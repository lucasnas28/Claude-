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7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11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- TRIMESTRE ISOLADO (aba DRE; R$ mil). 3T24, 4T24, 1T25 e 2T25: colunas "Reapresentacao" (CPC 23, nota 3.1 do ITR 2T26). Soma dos trimestres = ano (conferido)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liquida de vendas (DRE l.6) · fonte · unid. moeda</t>
        </is>
      </c>
      <c r="B5" t="n">
        <v>1</v>
      </c>
      <c r="C5" t="inlineStr">
        <is>
          <t>Net Revenues</t>
        </is>
      </c>
      <c r="D5" s="265" t="n">
        <v>3362273.093422</v>
      </c>
      <c r="E5" s="265" t="n">
        <v>3724341.685019</v>
      </c>
      <c r="F5" s="265" t="n">
        <v>4349125</v>
      </c>
      <c r="G5" s="265" t="n">
        <v>4441117.221559</v>
      </c>
      <c r="I5" s="265" t="n">
        <v>4578779.536233</v>
      </c>
      <c r="J5" s="265" t="n">
        <v>5201989</v>
      </c>
      <c r="K5" s="265" t="n">
        <v>5923131</v>
      </c>
      <c r="L5" s="265" t="n">
        <v>6064576.963332</v>
      </c>
      <c r="N5" s="265" t="n">
        <v>5867879.714343</v>
      </c>
      <c r="O5" s="265" t="n">
        <v>6429472</v>
      </c>
      <c r="P5" s="265" t="n">
        <v>6934929</v>
      </c>
      <c r="Q5" s="265" t="n">
        <v>7541305.285657</v>
      </c>
      <c r="S5" s="265" t="n">
        <v>7382470.647729</v>
      </c>
      <c r="T5" s="265" t="n">
        <v>7638924.352271</v>
      </c>
      <c r="U5" s="265" t="n">
        <v>8337057</v>
      </c>
      <c r="V5" s="265" t="n">
        <v>8726977</v>
      </c>
      <c r="X5" s="265" t="n">
        <v>8331305</v>
      </c>
      <c r="Y5" s="265" t="n">
        <v>8779636.433216</v>
      </c>
      <c r="Z5" s="265" t="n">
        <v>10763538</v>
      </c>
      <c r="AA5" s="265" t="n">
        <v>10549922.635784</v>
      </c>
      <c r="AC5" s="265" t="n">
        <v>9402270</v>
      </c>
      <c r="AD5" s="265" t="n">
        <v>9852461</v>
      </c>
    </row>
    <row r="6">
      <c r="A6" t="inlineStr">
        <is>
          <t>Custo dos servicos prestados e mercadorias vendidas (DRE l.7) · fonte · unid. moeda</t>
        </is>
      </c>
      <c r="B6" t="n">
        <v>2</v>
      </c>
      <c r="C6" t="inlineStr">
        <is>
          <t>COGS (cash)</t>
        </is>
      </c>
      <c r="D6" s="265" t="n">
        <v>-2560194.066782</v>
      </c>
      <c r="E6" s="265" t="n">
        <v>-2861692.344669</v>
      </c>
      <c r="F6" s="265" t="n">
        <v>-3311219</v>
      </c>
      <c r="G6" s="265" t="n">
        <v>-3441309.588549</v>
      </c>
      <c r="I6" s="265" t="n">
        <v>-3553067.345893</v>
      </c>
      <c r="J6" s="265" t="n">
        <v>-4019431</v>
      </c>
      <c r="K6" s="265" t="n">
        <v>-4568982</v>
      </c>
      <c r="L6" s="265" t="n">
        <v>-4752904.963332</v>
      </c>
      <c r="N6" s="265" t="n">
        <v>-4574505.714343</v>
      </c>
      <c r="O6" s="265" t="n">
        <v>-4985038</v>
      </c>
      <c r="P6" s="265" t="n">
        <v>-5374203</v>
      </c>
      <c r="Q6" s="265" t="n">
        <v>-5849003.330647</v>
      </c>
      <c r="S6" s="265" t="n">
        <v>-5732716</v>
      </c>
      <c r="T6" s="265" t="n">
        <v>-5926460</v>
      </c>
      <c r="U6" s="265" t="n">
        <v>-6479360</v>
      </c>
      <c r="V6" s="265" t="n">
        <v>-6821183</v>
      </c>
      <c r="X6" s="265" t="n">
        <v>-6478662</v>
      </c>
      <c r="Y6" s="265" t="n">
        <v>-6685998</v>
      </c>
      <c r="Z6" s="265" t="n">
        <v>-8470764</v>
      </c>
      <c r="AA6" s="265" t="n">
        <v>-8175217.446784</v>
      </c>
      <c r="AC6" s="265" t="n">
        <v>-7251758</v>
      </c>
      <c r="AD6" s="265" t="n">
        <v>-7541266</v>
      </c>
    </row>
    <row r="7">
      <c r="A7" t="inlineStr">
        <is>
          <t>Despesas comerciais, administrativas e gerais (DRE l.13; inclui a D&amp;A, devolvida abaixo) · fonte · unid. moeda</t>
        </is>
      </c>
      <c r="B7" t="n">
        <v>3</v>
      </c>
      <c r="C7" t="inlineStr">
        <is>
          <t>SG&amp;A and Other (cash)</t>
        </is>
      </c>
      <c r="D7" s="265" t="n">
        <v>-610097.06406</v>
      </c>
      <c r="E7" s="265" t="n">
        <v>-645362.93594</v>
      </c>
      <c r="F7" s="265" t="n">
        <v>-723325</v>
      </c>
      <c r="G7" s="265" t="n">
        <v>-748223</v>
      </c>
      <c r="I7" s="265" t="n">
        <v>-807035.19674</v>
      </c>
      <c r="J7" s="265" t="n">
        <v>-858244.80326</v>
      </c>
      <c r="K7" s="265" t="n">
        <v>-953504</v>
      </c>
      <c r="L7" s="265" t="n">
        <v>-992449</v>
      </c>
      <c r="N7" s="265" t="n">
        <v>-981450.33242</v>
      </c>
      <c r="O7" s="265" t="n">
        <v>-1058239</v>
      </c>
      <c r="P7" s="265" t="n">
        <v>-1147111</v>
      </c>
      <c r="Q7" s="265" t="n">
        <v>-1203353.5501</v>
      </c>
      <c r="S7" s="265" t="n">
        <v>-1244723.62143</v>
      </c>
      <c r="T7" s="265" t="n">
        <v>-1236882</v>
      </c>
      <c r="U7" s="265" t="n">
        <v>-1310428</v>
      </c>
      <c r="V7" s="265" t="n">
        <v>-1369239.5</v>
      </c>
      <c r="X7" s="265" t="n">
        <v>-1373306</v>
      </c>
      <c r="Y7" s="265" t="n">
        <v>-1428519</v>
      </c>
      <c r="Z7" s="265" t="n">
        <v>-1769134</v>
      </c>
      <c r="AA7" s="265" t="n">
        <v>-1873881</v>
      </c>
      <c r="AC7" s="265" t="n">
        <v>-1798334</v>
      </c>
      <c r="AD7" s="265" t="n">
        <v>-1796066</v>
      </c>
    </row>
    <row r="8">
      <c r="A8" t="inlineStr">
        <is>
          <t>Outras receitas (despesas) operacionais, liquidas (DRE l.14) · fonte · unid. moeda</t>
        </is>
      </c>
      <c r="B8" t="n">
        <v>3</v>
      </c>
      <c r="C8" t="inlineStr">
        <is>
          <t>SG&amp;A and Other (cash)</t>
        </is>
      </c>
      <c r="D8" s="265" t="n">
        <v>-10481.57432</v>
      </c>
      <c r="E8" s="265" t="n">
        <v>-2207.61262</v>
      </c>
      <c r="F8" s="265" t="n">
        <v>-54456</v>
      </c>
      <c r="G8" s="265" t="n">
        <v>7879</v>
      </c>
      <c r="I8" s="265" t="n">
        <v>11130.95514</v>
      </c>
      <c r="J8" s="265" t="n">
        <v>1745</v>
      </c>
      <c r="K8" s="265" t="n">
        <v>-12453</v>
      </c>
      <c r="L8" s="265" t="n">
        <v>102003</v>
      </c>
      <c r="N8" s="265" t="n">
        <v>1067</v>
      </c>
      <c r="O8" s="265" t="n">
        <v>27385</v>
      </c>
      <c r="P8" s="265" t="n">
        <v>413</v>
      </c>
      <c r="Q8" s="265" t="n">
        <v>53065.04499</v>
      </c>
      <c r="S8" s="265" t="n">
        <v>421</v>
      </c>
      <c r="T8" s="265" t="n">
        <v>-18179</v>
      </c>
      <c r="U8" s="265" t="n">
        <v>5492</v>
      </c>
      <c r="V8" s="265" t="n">
        <v>4281</v>
      </c>
      <c r="X8" s="265" t="n">
        <v>1301</v>
      </c>
      <c r="Y8" s="265" t="n">
        <v>-2721</v>
      </c>
      <c r="Z8" s="265" t="n">
        <v>147417</v>
      </c>
      <c r="AA8" s="265" t="n">
        <v>-47369.189</v>
      </c>
      <c r="AC8" s="265" t="n">
        <v>32416</v>
      </c>
      <c r="AD8" s="265" t="n">
        <v>-11212</v>
      </c>
    </row>
    <row r="9">
      <c r="A9" t="inlineStr">
        <is>
          <t>Receitas financeiras (DRE l.20) · fonte · unid. moeda</t>
        </is>
      </c>
      <c r="B9" t="n">
        <v>6</v>
      </c>
      <c r="C9" t="inlineStr">
        <is>
          <t>Nonoperating Income / (Loss)</t>
        </is>
      </c>
      <c r="D9" s="265" t="n">
        <v>25690.76605</v>
      </c>
      <c r="E9" s="265" t="n">
        <v>31700.5537</v>
      </c>
      <c r="F9" s="265" t="n">
        <v>44510</v>
      </c>
      <c r="G9" s="265" t="n">
        <v>39361</v>
      </c>
      <c r="I9" s="265" t="n">
        <v>44146.33455</v>
      </c>
      <c r="J9" s="265" t="n">
        <v>36200.66545</v>
      </c>
      <c r="K9" s="265" t="n">
        <v>47128</v>
      </c>
      <c r="L9" s="265" t="n">
        <v>56191</v>
      </c>
      <c r="N9" s="265" t="n">
        <v>63202</v>
      </c>
      <c r="O9" s="265" t="n">
        <v>62773</v>
      </c>
      <c r="P9" s="265" t="n">
        <v>63855</v>
      </c>
      <c r="Q9" s="265" t="n">
        <v>52167</v>
      </c>
      <c r="S9" s="265" t="n">
        <v>54595.66009</v>
      </c>
      <c r="T9" s="265" t="n">
        <v>71540.33991</v>
      </c>
      <c r="U9" s="265" t="n">
        <v>58966</v>
      </c>
      <c r="V9" s="265" t="n">
        <v>82206</v>
      </c>
      <c r="X9" s="265" t="n">
        <v>69356</v>
      </c>
      <c r="Y9" s="265" t="n">
        <v>58754</v>
      </c>
      <c r="Z9" s="265" t="n">
        <v>87088</v>
      </c>
      <c r="AA9" s="265" t="n">
        <v>96761</v>
      </c>
      <c r="AC9" s="265" t="n">
        <v>87895</v>
      </c>
      <c r="AD9" s="265" t="n">
        <v>90775</v>
      </c>
    </row>
    <row r="10">
      <c r="A10" t="inlineStr">
        <is>
          <t>Despesas financeiras (DRE l.21; inclui MDR de cartao e juros de arrendamento IFRS 16) · fonte · unid. moeda</t>
        </is>
      </c>
      <c r="B10" t="n">
        <v>5</v>
      </c>
      <c r="C10" t="inlineStr">
        <is>
          <t>Interest Expense</t>
        </is>
      </c>
      <c r="D10" s="265" t="n">
        <v>-50470</v>
      </c>
      <c r="E10" s="265" t="n">
        <v>-56216</v>
      </c>
      <c r="F10" s="265" t="n">
        <v>-91211</v>
      </c>
      <c r="G10" s="265" t="n">
        <v>-71983</v>
      </c>
      <c r="I10" s="265" t="n">
        <v>-73218</v>
      </c>
      <c r="J10" s="265" t="n">
        <v>-94761.77903000001</v>
      </c>
      <c r="K10" s="265" t="n">
        <v>-137924</v>
      </c>
      <c r="L10" s="265" t="n">
        <v>-154732.22097</v>
      </c>
      <c r="N10" s="265" t="n">
        <v>-135960</v>
      </c>
      <c r="O10" s="265" t="n">
        <v>-166879</v>
      </c>
      <c r="P10" s="265" t="n">
        <v>-163903</v>
      </c>
      <c r="Q10" s="265" t="n">
        <v>-180578</v>
      </c>
      <c r="S10" s="265" t="n">
        <v>-187301.66009</v>
      </c>
      <c r="T10" s="265" t="n">
        <v>-198208.73991</v>
      </c>
      <c r="U10" s="265" t="n">
        <v>-208790</v>
      </c>
      <c r="V10" s="265" t="n">
        <v>-244955.6</v>
      </c>
      <c r="X10" s="265" t="n">
        <v>-250609</v>
      </c>
      <c r="Y10" s="265" t="n">
        <v>-267809</v>
      </c>
      <c r="Z10" s="265" t="n">
        <v>-305637</v>
      </c>
      <c r="AA10" s="265" t="n">
        <v>-403524</v>
      </c>
      <c r="AC10" s="265" t="n">
        <v>-310031</v>
      </c>
      <c r="AD10" s="265" t="n">
        <v>-338073</v>
      </c>
    </row>
    <row r="11">
      <c r="A11" t="inlineStr">
        <is>
          <t>IR e CS - corrente (DRE l.26) · fonte · unid. moeda</t>
        </is>
      </c>
      <c r="B11" t="n">
        <v>7</v>
      </c>
      <c r="C11" t="inlineStr">
        <is>
          <t>Taxes</t>
        </is>
      </c>
      <c r="D11" s="265" t="n">
        <v>0</v>
      </c>
      <c r="E11" s="265" t="n">
        <v>0</v>
      </c>
      <c r="F11" s="265" t="n">
        <v>0</v>
      </c>
      <c r="G11" s="265" t="n">
        <v>-18759</v>
      </c>
      <c r="I11" s="265" t="n">
        <v>-1524.44138</v>
      </c>
      <c r="J11" s="265" t="n">
        <v>-3374</v>
      </c>
      <c r="K11" s="265" t="n">
        <v>-6525</v>
      </c>
      <c r="L11" s="265" t="n">
        <v>-12096</v>
      </c>
      <c r="N11" s="265" t="n">
        <v>-541</v>
      </c>
      <c r="O11" s="265" t="n">
        <v>-16241</v>
      </c>
      <c r="P11" s="265" t="n">
        <v>-383</v>
      </c>
      <c r="Q11" s="265" t="n">
        <v>-25485</v>
      </c>
      <c r="S11" s="265" t="n">
        <v>-96230.244987</v>
      </c>
      <c r="T11" s="265" t="n">
        <v>-138067.3</v>
      </c>
      <c r="U11" s="265" t="n">
        <v>-124370</v>
      </c>
      <c r="V11" s="265" t="n">
        <v>-11818</v>
      </c>
      <c r="X11" s="265" t="n">
        <v>-97399</v>
      </c>
      <c r="Y11" s="265" t="n">
        <v>-10341</v>
      </c>
      <c r="Z11" s="265" t="n">
        <v>300127</v>
      </c>
      <c r="AA11" s="265" t="n">
        <v>106038</v>
      </c>
      <c r="AC11" s="265" t="n">
        <v>-13946</v>
      </c>
      <c r="AD11" s="265" t="n">
        <v>-14247</v>
      </c>
    </row>
    <row r="12">
      <c r="A12" t="inlineStr">
        <is>
          <t>IR e CS - diferido (DRE l.27) · fonte · unid. moeda</t>
        </is>
      </c>
      <c r="B12" t="n">
        <v>7</v>
      </c>
      <c r="C12" t="inlineStr">
        <is>
          <t>Taxes</t>
        </is>
      </c>
      <c r="D12" s="265" t="n">
        <v>0</v>
      </c>
      <c r="E12" s="265" t="n">
        <v>0</v>
      </c>
      <c r="F12" s="265" t="n">
        <v>0</v>
      </c>
      <c r="G12" s="265" t="n">
        <v>0</v>
      </c>
      <c r="I12" s="265" t="n">
        <v>0</v>
      </c>
      <c r="J12" s="265" t="n">
        <v>0</v>
      </c>
      <c r="K12" s="265" t="n">
        <v>0</v>
      </c>
      <c r="L12" s="265" t="n">
        <v>0</v>
      </c>
      <c r="N12" s="265" t="n">
        <v>0</v>
      </c>
      <c r="O12" s="265" t="n">
        <v>0</v>
      </c>
      <c r="P12" s="265" t="n">
        <v>0</v>
      </c>
      <c r="Q12" s="265" t="n">
        <v>0</v>
      </c>
      <c r="S12" s="265" t="n">
        <v>63862</v>
      </c>
      <c r="T12" s="265" t="n">
        <v>134676.56</v>
      </c>
      <c r="U12" s="265" t="n">
        <v>76694</v>
      </c>
      <c r="V12" s="265" t="n">
        <v>-43036</v>
      </c>
      <c r="X12" s="265" t="n">
        <v>74334</v>
      </c>
      <c r="Y12" s="265" t="n">
        <v>-47225</v>
      </c>
      <c r="Z12" s="265" t="n">
        <v>93938</v>
      </c>
      <c r="AA12" s="265" t="n">
        <v>90221</v>
      </c>
      <c r="AC12" s="265" t="n">
        <v>42410</v>
      </c>
      <c r="AD12" s="265" t="n">
        <v>-426</v>
      </c>
    </row>
    <row r="13">
      <c r="A13" t="inlineStr">
        <is>
          <t>Lucro liquido combinado do periodo (DRE l.30; inclui nao controladores) - memoria · memoria · unid. moeda</t>
        </is>
      </c>
      <c r="C13" t="inlineStr">
        <is>
          <t>[linha bruta, sem código; lançada nas linhas abaixo]</t>
        </is>
      </c>
      <c r="D13" s="265" t="n">
        <v>156721.15431</v>
      </c>
      <c r="E13" s="265" t="n">
        <v>190563.34549</v>
      </c>
      <c r="F13" s="265" t="n">
        <v>213424</v>
      </c>
      <c r="G13" s="265" t="n">
        <v>208082.63301</v>
      </c>
      <c r="I13" s="265" t="n">
        <v>199211.84191</v>
      </c>
      <c r="J13" s="265" t="n">
        <v>264123.08316</v>
      </c>
      <c r="K13" s="265" t="n">
        <v>290871</v>
      </c>
      <c r="L13" s="265" t="n">
        <v>310588.77903</v>
      </c>
      <c r="N13" s="265" t="n">
        <v>239691.66758</v>
      </c>
      <c r="O13" s="265" t="n">
        <v>293233</v>
      </c>
      <c r="P13" s="265" t="n">
        <v>313597</v>
      </c>
      <c r="Q13" s="265" t="n">
        <v>388117.4499</v>
      </c>
      <c r="S13" s="265" t="n">
        <v>240377.781312</v>
      </c>
      <c r="T13" s="265" t="n">
        <v>327344.212271</v>
      </c>
      <c r="U13" s="265" t="n">
        <v>355261</v>
      </c>
      <c r="V13" s="265" t="n">
        <v>323231.9</v>
      </c>
      <c r="X13" s="265" t="n">
        <v>276320</v>
      </c>
      <c r="Y13" s="265" t="n">
        <v>395777</v>
      </c>
      <c r="Z13" s="265" t="n">
        <v>846573</v>
      </c>
      <c r="AA13" s="265" t="n">
        <v>342951</v>
      </c>
      <c r="AC13" s="265" t="n">
        <v>190922</v>
      </c>
      <c r="AD13" s="265" t="n">
        <v>241946</v>
      </c>
    </row>
    <row r="14">
      <c r="A14" t="inlineStr">
        <is>
          <t>Lucro liquido atribuido aos nao controladores (releases; so aberto a partir do 3T25). COD 9 com sinal -1 (entra negativo quando positivo) [0 em 22 per.: conta vazia/"-" na fonte] · release · unid. moeda</t>
        </is>
      </c>
      <c r="C14" t="inlineStr">
        <is>
          <t>[linha bruta, sem código; lançada nas linhas abaixo]</t>
        </is>
      </c>
      <c r="D14" s="265" t="n">
        <v>0</v>
      </c>
      <c r="E14" s="265" t="n">
        <v>0</v>
      </c>
      <c r="F14" s="265" t="n">
        <v>0</v>
      </c>
      <c r="G14" s="265" t="n">
        <v>0</v>
      </c>
      <c r="I14" s="265" t="n">
        <v>0</v>
      </c>
      <c r="J14" s="265" t="n">
        <v>0</v>
      </c>
      <c r="K14" s="265" t="n">
        <v>0</v>
      </c>
      <c r="L14" s="265" t="n">
        <v>0</v>
      </c>
      <c r="N14" s="265" t="n">
        <v>0</v>
      </c>
      <c r="O14" s="265" t="n">
        <v>0</v>
      </c>
      <c r="P14" s="265" t="n">
        <v>0</v>
      </c>
      <c r="Q14" s="265" t="n">
        <v>0</v>
      </c>
      <c r="S14" s="265" t="n">
        <v>0</v>
      </c>
      <c r="T14" s="265" t="n">
        <v>0</v>
      </c>
      <c r="U14" s="265" t="n">
        <v>0</v>
      </c>
      <c r="V14" s="265" t="n">
        <v>0</v>
      </c>
      <c r="X14" s="265" t="n">
        <v>0</v>
      </c>
      <c r="Y14" s="265" t="n">
        <v>0</v>
      </c>
      <c r="Z14" s="265" t="n">
        <v>-3973</v>
      </c>
      <c r="AA14" s="265" t="n">
        <v>18687</v>
      </c>
      <c r="AC14" s="265" t="n">
        <v>-21959</v>
      </c>
      <c r="AD14" s="265" t="n">
        <v>5141</v>
      </c>
    </row>
    <row r="15">
      <c r="A15" t="inlineStr">
        <is>
          <t xml:space="preserve">(lançamento) código 9, sinal -1 sobre a linha bruta 14: Lucro liquido atribuido aos nao controladores (releases; so aberto a partir do 3T25). COD </t>
        </is>
      </c>
      <c r="B15" t="n">
        <v>9</v>
      </c>
      <c r="C15" t="inlineStr">
        <is>
          <t>Minority Interest Expense, after tax (enter as - )</t>
        </is>
      </c>
      <c r="D15" s="265">
        <f>IF(D14="","",-1*D14)</f>
        <v>0</v>
      </c>
      <c r="E15" s="265">
        <f>IF(E14="","",-1*E14)</f>
        <v>0</v>
      </c>
      <c r="F15" s="265">
        <f>IF(F14="","",-1*F14)</f>
        <v>0</v>
      </c>
      <c r="G15" s="265">
        <f>IF(G14="","",-1*G14)</f>
        <v>0</v>
      </c>
      <c r="I15" s="265">
        <f>IF(I14="","",-1*I14)</f>
        <v>0</v>
      </c>
      <c r="J15" s="265">
        <f>IF(J14="","",-1*J14)</f>
        <v>0</v>
      </c>
      <c r="K15" s="265">
        <f>IF(K14="","",-1*K14)</f>
        <v>0</v>
      </c>
      <c r="L15" s="265">
        <f>IF(L14="","",-1*L14)</f>
        <v>0</v>
      </c>
      <c r="N15" s="265">
        <f>IF(N14="","",-1*N14)</f>
        <v>0</v>
      </c>
      <c r="O15" s="265">
        <f>IF(O14="","",-1*O14)</f>
        <v>0</v>
      </c>
      <c r="P15" s="265">
        <f>IF(P14="","",-1*P14)</f>
        <v>0</v>
      </c>
      <c r="Q15" s="265">
        <f>IF(Q14="","",-1*Q14)</f>
        <v>0</v>
      </c>
      <c r="S15" s="265">
        <f>IF(S14="","",-1*S14)</f>
        <v>0</v>
      </c>
      <c r="T15" s="265">
        <f>IF(T14="","",-1*T14)</f>
        <v>0</v>
      </c>
      <c r="U15" s="265">
        <f>IF(U14="","",-1*U14)</f>
        <v>0</v>
      </c>
      <c r="V15" s="265">
        <f>IF(V14="","",-1*V14)</f>
        <v>0</v>
      </c>
      <c r="X15" s="265">
        <f>IF(X14="","",-1*X14)</f>
        <v>0</v>
      </c>
      <c r="Y15" s="265">
        <f>IF(Y14="","",-1*Y14)</f>
        <v>0</v>
      </c>
      <c r="Z15" s="265">
        <f>IF(Z14="","",-1*Z14)</f>
        <v>3973</v>
      </c>
      <c r="AA15" s="265">
        <f>IF(AA14="","",-1*AA14)</f>
        <v>-18687</v>
      </c>
      <c r="AC15" s="265">
        <f>IF(AC14="","",-1*AC14)</f>
        <v>21959</v>
      </c>
      <c r="AD15" s="265">
        <f>IF(AD14="","",-1*AD14)</f>
        <v>-5141</v>
      </c>
    </row>
    <row r="16">
      <c r="A16" t="inlineStr">
        <is>
          <t>Depreciacao (DRE l.32) - memoria · memoria · unid. moeda</t>
        </is>
      </c>
      <c r="C16" t="inlineStr">
        <is>
          <t>[linha bruta, sem código; lançada nas linhas abaixo]</t>
        </is>
      </c>
      <c r="D16" s="265" t="n">
        <v>37608</v>
      </c>
      <c r="E16" s="265" t="n">
        <v>44295</v>
      </c>
      <c r="F16" s="265" t="n">
        <v>51000</v>
      </c>
      <c r="G16" s="265" t="n">
        <v>48048</v>
      </c>
      <c r="I16" s="265" t="n">
        <v>48188</v>
      </c>
      <c r="J16" s="265" t="n">
        <v>57144</v>
      </c>
      <c r="K16" s="265" t="n">
        <v>55727</v>
      </c>
      <c r="L16" s="265" t="n">
        <v>58720</v>
      </c>
      <c r="N16" s="265" t="n">
        <v>63128</v>
      </c>
      <c r="O16" s="265" t="n">
        <v>61086</v>
      </c>
      <c r="P16" s="265" t="n">
        <v>59994</v>
      </c>
      <c r="Q16" s="265" t="n">
        <v>24736</v>
      </c>
      <c r="S16" s="265" t="n">
        <v>61651</v>
      </c>
      <c r="T16" s="265" t="n">
        <v>49812</v>
      </c>
      <c r="U16" s="265" t="n">
        <v>54035</v>
      </c>
      <c r="V16" s="265" t="n">
        <v>45106</v>
      </c>
      <c r="X16" s="265" t="n">
        <v>58799</v>
      </c>
      <c r="Y16" s="265" t="n">
        <v>60696</v>
      </c>
      <c r="Z16" s="265" t="n">
        <v>92906</v>
      </c>
      <c r="AA16" s="265" t="n">
        <v>99632</v>
      </c>
      <c r="AC16" s="265" t="n">
        <v>90048</v>
      </c>
      <c r="AD16" s="265" t="n">
        <v>101359</v>
      </c>
    </row>
    <row r="17">
      <c r="A17" t="inlineStr">
        <is>
          <t>Depreciacao de arrendamento (DRE l.33) - memoria · memoria · unid. moeda</t>
        </is>
      </c>
      <c r="C17" t="inlineStr">
        <is>
          <t>[linha bruta, sem código; lançada nas linhas abaixo]</t>
        </is>
      </c>
      <c r="D17" s="265" t="n">
        <v>20121</v>
      </c>
      <c r="E17" s="265" t="n">
        <v>19438</v>
      </c>
      <c r="F17" s="265" t="n">
        <v>20918</v>
      </c>
      <c r="G17" s="265" t="n">
        <v>19017</v>
      </c>
      <c r="I17" s="265" t="n">
        <v>24007</v>
      </c>
      <c r="J17" s="265" t="n">
        <v>26586</v>
      </c>
      <c r="K17" s="265" t="n">
        <v>28493</v>
      </c>
      <c r="L17" s="265" t="n">
        <v>30302</v>
      </c>
      <c r="N17" s="265" t="n">
        <v>34873</v>
      </c>
      <c r="O17" s="265" t="n">
        <v>31059</v>
      </c>
      <c r="P17" s="265" t="n">
        <v>38534</v>
      </c>
      <c r="Q17" s="265" t="n">
        <v>39982</v>
      </c>
      <c r="S17" s="265" t="n">
        <v>42920</v>
      </c>
      <c r="T17" s="265" t="n">
        <v>35497</v>
      </c>
      <c r="U17" s="265" t="n">
        <v>41459</v>
      </c>
      <c r="V17" s="265" t="n">
        <v>46266</v>
      </c>
      <c r="X17" s="265" t="n">
        <v>46495</v>
      </c>
      <c r="Y17" s="265" t="n">
        <v>52397</v>
      </c>
      <c r="Z17" s="265" t="n">
        <v>69259</v>
      </c>
      <c r="AA17" s="265" t="n">
        <v>59412</v>
      </c>
      <c r="AC17" s="265" t="n">
        <v>68402</v>
      </c>
      <c r="AD17" s="265" t="n">
        <v>76331</v>
      </c>
    </row>
    <row r="18">
      <c r="A18" t="inlineStr">
        <is>
          <t>Despesa financeira de arrendamento (DRE l.34) - memoria (dentro das despesas financeiras) · memoria · unid. moeda</t>
        </is>
      </c>
      <c r="C18" t="inlineStr">
        <is>
          <t>[linha bruta, sem código; lançada nas linhas abaixo]</t>
        </is>
      </c>
      <c r="D18" s="265" t="n">
        <v>9862</v>
      </c>
      <c r="E18" s="265" t="n">
        <v>11161</v>
      </c>
      <c r="F18" s="265" t="n">
        <v>20776</v>
      </c>
      <c r="G18" s="265" t="n">
        <v>19908</v>
      </c>
      <c r="I18" s="265" t="n">
        <v>15643</v>
      </c>
      <c r="J18" s="265" t="n">
        <v>25884</v>
      </c>
      <c r="K18" s="265" t="n">
        <v>31271</v>
      </c>
      <c r="L18" s="265" t="n">
        <v>32003</v>
      </c>
      <c r="N18" s="265" t="n">
        <v>33876</v>
      </c>
      <c r="O18" s="265" t="n">
        <v>38493.44216</v>
      </c>
      <c r="P18" s="265" t="n">
        <v>45535.55784</v>
      </c>
      <c r="Q18" s="265" t="n">
        <v>51083</v>
      </c>
      <c r="S18" s="265" t="n">
        <v>52406</v>
      </c>
      <c r="T18" s="265" t="n">
        <v>52037</v>
      </c>
      <c r="U18" s="265" t="n">
        <v>57862</v>
      </c>
      <c r="V18" s="265" t="n">
        <v>37900</v>
      </c>
      <c r="X18" s="265" t="n">
        <v>69390</v>
      </c>
      <c r="Y18" s="265" t="n">
        <v>81621</v>
      </c>
      <c r="Z18" s="265" t="n">
        <v>101981</v>
      </c>
      <c r="AA18" s="265" t="n">
        <v>103425</v>
      </c>
      <c r="AC18" s="265" t="n">
        <v>101261</v>
      </c>
      <c r="AD18" s="265" t="n">
        <v>107983</v>
      </c>
    </row>
    <row r="19">
      <c r="A19" t="inlineStr">
        <is>
          <t>EBITDA (DRE l.36, como divulgado, pos IFRS 16) - memoria · memoria · unid. moeda</t>
        </is>
      </c>
      <c r="C19" t="inlineStr">
        <is>
          <t>[linha bruta, sem código; lançada nas linhas abaixo]</t>
        </is>
      </c>
      <c r="D19" s="265" t="n">
        <v>239229.38826</v>
      </c>
      <c r="E19" s="265" t="n">
        <v>278811.79179</v>
      </c>
      <c r="F19" s="265" t="n">
        <v>332043</v>
      </c>
      <c r="G19" s="265" t="n">
        <v>326528.63301</v>
      </c>
      <c r="I19" s="265" t="n">
        <v>302002.94874</v>
      </c>
      <c r="J19" s="265" t="n">
        <v>409788.19674</v>
      </c>
      <c r="K19" s="265" t="n">
        <v>472412</v>
      </c>
      <c r="L19" s="265" t="n">
        <v>510248</v>
      </c>
      <c r="N19" s="265" t="n">
        <v>410991.66758</v>
      </c>
      <c r="O19" s="265" t="n">
        <v>505725</v>
      </c>
      <c r="P19" s="265" t="n">
        <v>512556</v>
      </c>
      <c r="Q19" s="265" t="n">
        <v>606731.4499</v>
      </c>
      <c r="S19" s="265" t="n">
        <v>510023.026299</v>
      </c>
      <c r="T19" s="265" t="n">
        <v>542712.352271</v>
      </c>
      <c r="U19" s="265" t="n">
        <v>648255</v>
      </c>
      <c r="V19" s="265" t="n">
        <v>632207.5</v>
      </c>
      <c r="X19" s="265" t="n">
        <v>585932</v>
      </c>
      <c r="Y19" s="265" t="n">
        <v>775491.433216</v>
      </c>
      <c r="Z19" s="265" t="n">
        <v>833222</v>
      </c>
      <c r="AA19" s="265" t="n">
        <v>612499</v>
      </c>
      <c r="AC19" s="265" t="n">
        <v>543044</v>
      </c>
      <c r="AD19" s="265" t="n">
        <v>681607</v>
      </c>
    </row>
    <row r="20">
      <c r="A20" t="inlineStr">
        <is>
          <t>EBIT - lucro operacional antes do resultado financeiro (DRE l.17) - memoria · memoria · unid. moeda</t>
        </is>
      </c>
      <c r="C20" t="inlineStr">
        <is>
          <t>[linha bruta, sem código; lançada nas linhas abaixo]</t>
        </is>
      </c>
      <c r="D20" s="265" t="n">
        <v>181500.38826</v>
      </c>
      <c r="E20" s="265" t="n">
        <v>215078.79179</v>
      </c>
      <c r="F20" s="265" t="n">
        <v>260125</v>
      </c>
      <c r="G20" s="265" t="n">
        <v>259463.63301</v>
      </c>
      <c r="I20" s="265" t="n">
        <v>229807.94874</v>
      </c>
      <c r="J20" s="265" t="n">
        <v>326058.19674</v>
      </c>
      <c r="K20" s="265" t="n">
        <v>388192</v>
      </c>
      <c r="L20" s="265" t="n">
        <v>421226</v>
      </c>
      <c r="N20" s="265" t="n">
        <v>312990.66758</v>
      </c>
      <c r="O20" s="265" t="n">
        <v>413580</v>
      </c>
      <c r="P20" s="265" t="n">
        <v>414028</v>
      </c>
      <c r="Q20" s="265" t="n">
        <v>542013.4499</v>
      </c>
      <c r="S20" s="265" t="n">
        <v>405452.026299</v>
      </c>
      <c r="T20" s="265" t="n">
        <v>457403.352271</v>
      </c>
      <c r="U20" s="265" t="n">
        <v>552761</v>
      </c>
      <c r="V20" s="265" t="n">
        <v>540835.5</v>
      </c>
      <c r="X20" s="265" t="n">
        <v>480638</v>
      </c>
      <c r="Y20" s="265" t="n">
        <v>662398.433216</v>
      </c>
      <c r="Z20" s="265" t="n">
        <v>671057</v>
      </c>
      <c r="AA20" s="265" t="n">
        <v>453455</v>
      </c>
      <c r="AC20" s="265" t="n">
        <v>384594</v>
      </c>
      <c r="AD20" s="265" t="n">
        <v>503917</v>
      </c>
    </row>
    <row r="21">
      <c r="A21" t="inlineStr">
        <is>
          <t>DFC - ACUMULADO NO ANO (aba Fluxo de Caixa; R$ mil). Comeca no 1T21; 2020 so tem a coluna anual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JCP pagos + distribuicao de lucros (DFC l.56 + l.57, acum.). 2020: 0 (coluna anual 2020 da DFC = 0) · memoria · unid. moeda</t>
        </is>
      </c>
      <c r="C22" t="inlineStr">
        <is>
          <t>[linha bruta, sem código; lançada nas linhas abaixo]</t>
        </is>
      </c>
      <c r="D22" s="265" t="n">
        <v>0</v>
      </c>
      <c r="E22" s="265" t="n">
        <v>0</v>
      </c>
      <c r="F22" s="265" t="n">
        <v>0</v>
      </c>
      <c r="G22" s="265" t="n">
        <v>0</v>
      </c>
      <c r="I22" s="265" t="n">
        <v>0</v>
      </c>
      <c r="J22" s="265" t="n">
        <v>0</v>
      </c>
      <c r="K22" s="265" t="n">
        <v>0</v>
      </c>
      <c r="L22" s="265" t="n">
        <v>0</v>
      </c>
      <c r="N22" s="265" t="n">
        <v>0</v>
      </c>
      <c r="O22" s="265" t="n">
        <v>0</v>
      </c>
      <c r="P22" s="265" t="n">
        <v>0</v>
      </c>
      <c r="Q22" s="265" t="n">
        <v>0</v>
      </c>
      <c r="S22" s="265" t="n">
        <v>0</v>
      </c>
      <c r="T22" s="265" t="n">
        <v>0</v>
      </c>
      <c r="U22" s="265" t="n">
        <v>0</v>
      </c>
      <c r="V22" s="265" t="n">
        <v>-81047</v>
      </c>
      <c r="X22" s="265" t="n">
        <v>0</v>
      </c>
      <c r="Y22" s="265" t="n">
        <v>0</v>
      </c>
      <c r="Z22" s="265" t="n">
        <v>0</v>
      </c>
      <c r="AA22" s="265" t="n">
        <v>-145544</v>
      </c>
      <c r="AC22" s="265" t="n">
        <v>0</v>
      </c>
      <c r="AD22" s="265" t="n">
        <v>0</v>
      </c>
    </row>
    <row r="23">
      <c r="A23" t="inlineStr">
        <is>
          <t>Recompra de acoes (DFC l.60, acum.) - memoria · memoria · unid. moeda</t>
        </is>
      </c>
      <c r="C23" t="inlineStr">
        <is>
          <t>[linha bruta, sem código; lançada nas linhas abaixo]</t>
        </is>
      </c>
      <c r="D23" s="265" t="n">
        <v>0</v>
      </c>
      <c r="E23" s="265" t="n">
        <v>0</v>
      </c>
      <c r="F23" s="265" t="n">
        <v>0</v>
      </c>
      <c r="G23" s="265" t="n">
        <v>0</v>
      </c>
      <c r="I23" s="265" t="n">
        <v>0</v>
      </c>
      <c r="J23" s="265" t="n">
        <v>0</v>
      </c>
      <c r="K23" s="265" t="n">
        <v>0</v>
      </c>
      <c r="L23" s="265" t="n">
        <v>0</v>
      </c>
      <c r="N23" s="265" t="n">
        <v>0</v>
      </c>
      <c r="O23" s="265" t="n">
        <v>0</v>
      </c>
      <c r="P23" s="265" t="n">
        <v>-7465</v>
      </c>
      <c r="Q23" s="265" t="n">
        <v>-7465</v>
      </c>
      <c r="S23" s="265" t="n">
        <v>0</v>
      </c>
      <c r="T23" s="265" t="n">
        <v>-10818</v>
      </c>
      <c r="U23" s="265" t="n">
        <v>-10818</v>
      </c>
      <c r="V23" s="265" t="n">
        <v>-10818</v>
      </c>
      <c r="X23" s="265" t="n">
        <v>-16204</v>
      </c>
      <c r="Y23" s="265" t="n">
        <v>-16204</v>
      </c>
      <c r="Z23" s="265" t="n">
        <v>-33210</v>
      </c>
      <c r="AA23" s="265" t="n">
        <v>-33210</v>
      </c>
      <c r="AC23" s="265" t="n">
        <v>0</v>
      </c>
      <c r="AD23" s="265" t="n">
        <v>0</v>
      </c>
    </row>
    <row r="24">
      <c r="A24" t="inlineStr">
        <is>
          <t>Aquisicao de imobilizado + intangivel - capex (DFC l.41 + l.44, acum.) - memoria · memoria · unid. moeda</t>
        </is>
      </c>
      <c r="C24" t="inlineStr">
        <is>
          <t>[linha bruta, sem código; lançada nas linhas abaixo]</t>
        </is>
      </c>
      <c r="D24" s="265" t="n">
        <v>-290590.10849</v>
      </c>
      <c r="E24" s="265" t="n">
        <v>-555453</v>
      </c>
      <c r="F24" s="265" t="n">
        <v>-803544</v>
      </c>
      <c r="G24" s="265" t="n">
        <v>-1435300</v>
      </c>
      <c r="I24" s="265" t="n">
        <v>-324135</v>
      </c>
      <c r="J24" s="265" t="n">
        <v>-552686</v>
      </c>
      <c r="K24" s="265" t="n">
        <v>-726033</v>
      </c>
      <c r="L24" s="265" t="n">
        <v>-869159</v>
      </c>
      <c r="N24" s="265" t="n">
        <v>-234333</v>
      </c>
      <c r="O24" s="265" t="n">
        <v>-503970</v>
      </c>
      <c r="P24" s="265" t="n">
        <v>-880975</v>
      </c>
      <c r="Q24" s="265" t="n">
        <v>-1212623</v>
      </c>
      <c r="S24" s="265" t="n">
        <v>-345586</v>
      </c>
      <c r="T24" s="265" t="n">
        <v>-659585</v>
      </c>
      <c r="U24" s="265" t="n">
        <v>-904087</v>
      </c>
      <c r="V24" s="265" t="n">
        <v>-1268652</v>
      </c>
      <c r="X24" s="265" t="n">
        <v>-355847</v>
      </c>
      <c r="Y24" s="265" t="n">
        <v>-611441</v>
      </c>
      <c r="Z24" s="265" t="n">
        <v>-924353</v>
      </c>
      <c r="AA24" s="265" t="n">
        <v>-1145137</v>
      </c>
      <c r="AC24" s="265" t="n">
        <v>-219609</v>
      </c>
      <c r="AD24" s="265" t="n">
        <v>-162223</v>
      </c>
    </row>
    <row r="25">
      <c r="A25" t="inlineStr">
        <is>
          <t>DERIVADAS (formula nesta aba)</t>
        </is>
      </c>
      <c r="C25" t="inlineStr">
        <is>
          <t>[linha bruta, sem código; lançada nas linhas abaixo]</t>
        </is>
      </c>
      <c r="D25" s="265" t="n"/>
      <c r="E25" s="265" t="n"/>
      <c r="F25" s="265" t="n"/>
      <c r="G25" s="265" t="n"/>
      <c r="I25" s="265" t="n"/>
      <c r="J25" s="265" t="n"/>
      <c r="K25" s="265" t="n"/>
      <c r="L25" s="265" t="n"/>
      <c r="N25" s="265" t="n"/>
      <c r="O25" s="265" t="n"/>
      <c r="P25" s="265" t="n"/>
      <c r="Q25" s="265" t="n"/>
      <c r="S25" s="265" t="n"/>
      <c r="T25" s="265" t="n"/>
      <c r="U25" s="265" t="n"/>
      <c r="V25" s="265" t="n"/>
      <c r="X25" s="265" t="n"/>
      <c r="Y25" s="265" t="n"/>
      <c r="Z25" s="265" t="n"/>
      <c r="AA25" s="265" t="n"/>
      <c r="AC25" s="265" t="n"/>
      <c r="AD25" s="265" t="n"/>
    </row>
    <row r="26">
      <c r="A26" t="inlineStr">
        <is>
          <t>D&amp;A = depreciacao + depreciacao de arrendamento (DRE l.32 + l.33 = EBITDA - EBIT). COD1=4 lanca; COD2=3 devolve ao SG&amp;A · derivada · unid. moeda</t>
        </is>
      </c>
      <c r="C26" t="inlineStr">
        <is>
          <t>[linha bruta, sem código; lançada nas linhas abaixo]</t>
        </is>
      </c>
      <c r="D26" s="265">
        <f>D16+D17</f>
        <v>57729</v>
      </c>
      <c r="E26" s="265">
        <f>E16+E17</f>
        <v>63733</v>
      </c>
      <c r="F26" s="265">
        <f>F16+F17</f>
        <v>71918</v>
      </c>
      <c r="G26" s="265">
        <f>G16+G17</f>
        <v>67065</v>
      </c>
      <c r="I26" s="265">
        <f>I16+I17</f>
        <v>72195</v>
      </c>
      <c r="J26" s="265">
        <f>J16+J17</f>
        <v>83730</v>
      </c>
      <c r="K26" s="265">
        <f>K16+K17</f>
        <v>84220</v>
      </c>
      <c r="L26" s="265">
        <f>L16+L17</f>
        <v>89022</v>
      </c>
      <c r="N26" s="265">
        <f>N16+N17</f>
        <v>98001</v>
      </c>
      <c r="O26" s="265">
        <f>O16+O17</f>
        <v>92145</v>
      </c>
      <c r="P26" s="265">
        <f>P16+P17</f>
        <v>98528</v>
      </c>
      <c r="Q26" s="265">
        <f>Q16+Q17</f>
        <v>64718</v>
      </c>
      <c r="S26" s="265">
        <f>S16+S17</f>
        <v>104571</v>
      </c>
      <c r="T26" s="265">
        <f>T16+T17</f>
        <v>85309</v>
      </c>
      <c r="U26" s="265">
        <f>U16+U17</f>
        <v>95494</v>
      </c>
      <c r="V26" s="265">
        <f>V16+V17</f>
        <v>91372</v>
      </c>
      <c r="X26" s="265">
        <f>X16+X17</f>
        <v>105294</v>
      </c>
      <c r="Y26" s="265">
        <f>Y16+Y17</f>
        <v>113093</v>
      </c>
      <c r="Z26" s="265">
        <f>Z16+Z17</f>
        <v>162165</v>
      </c>
      <c r="AA26" s="265">
        <f>AA16+AA17</f>
        <v>159044</v>
      </c>
      <c r="AC26" s="265">
        <f>AC16+AC17</f>
        <v>158450</v>
      </c>
      <c r="AD26" s="265">
        <f>AD16+AD17</f>
        <v>177690</v>
      </c>
    </row>
    <row r="27">
      <c r="A27" t="inlineStr">
        <is>
          <t xml:space="preserve">(lançamento) código 4, sinal -1 sobre a linha bruta 26: D&amp;A = depreciacao + depreciacao de arrendamento (DRE l.32 + l.33 = EBITDA - EBIT). COD1=4 </t>
        </is>
      </c>
      <c r="B27" t="n">
        <v>4</v>
      </c>
      <c r="C27" t="inlineStr">
        <is>
          <t>D&amp;A</t>
        </is>
      </c>
      <c r="D27" s="265">
        <f>IF(D26="","",-1*D26)</f>
        <v>-57729</v>
      </c>
      <c r="E27" s="265">
        <f>IF(E26="","",-1*E26)</f>
        <v>-63733</v>
      </c>
      <c r="F27" s="265">
        <f>IF(F26="","",-1*F26)</f>
        <v>-71918</v>
      </c>
      <c r="G27" s="265">
        <f>IF(G26="","",-1*G26)</f>
        <v>-67065</v>
      </c>
      <c r="I27" s="265">
        <f>IF(I26="","",-1*I26)</f>
        <v>-72195</v>
      </c>
      <c r="J27" s="265">
        <f>IF(J26="","",-1*J26)</f>
        <v>-83730</v>
      </c>
      <c r="K27" s="265">
        <f>IF(K26="","",-1*K26)</f>
        <v>-84220</v>
      </c>
      <c r="L27" s="265">
        <f>IF(L26="","",-1*L26)</f>
        <v>-89022</v>
      </c>
      <c r="N27" s="265">
        <f>IF(N26="","",-1*N26)</f>
        <v>-98001</v>
      </c>
      <c r="O27" s="265">
        <f>IF(O26="","",-1*O26)</f>
        <v>-92145</v>
      </c>
      <c r="P27" s="265">
        <f>IF(P26="","",-1*P26)</f>
        <v>-98528</v>
      </c>
      <c r="Q27" s="265">
        <f>IF(Q26="","",-1*Q26)</f>
        <v>-64718</v>
      </c>
      <c r="S27" s="265">
        <f>IF(S26="","",-1*S26)</f>
        <v>-104571</v>
      </c>
      <c r="T27" s="265">
        <f>IF(T26="","",-1*T26)</f>
        <v>-85309</v>
      </c>
      <c r="U27" s="265">
        <f>IF(U26="","",-1*U26)</f>
        <v>-95494</v>
      </c>
      <c r="V27" s="265">
        <f>IF(V26="","",-1*V26)</f>
        <v>-91372</v>
      </c>
      <c r="X27" s="265">
        <f>IF(X26="","",-1*X26)</f>
        <v>-105294</v>
      </c>
      <c r="Y27" s="265">
        <f>IF(Y26="","",-1*Y26)</f>
        <v>-113093</v>
      </c>
      <c r="Z27" s="265">
        <f>IF(Z26="","",-1*Z26)</f>
        <v>-162165</v>
      </c>
      <c r="AA27" s="265">
        <f>IF(AA26="","",-1*AA26)</f>
        <v>-159044</v>
      </c>
      <c r="AC27" s="265">
        <f>IF(AC26="","",-1*AC26)</f>
        <v>-158450</v>
      </c>
      <c r="AD27" s="265">
        <f>IF(AD26="","",-1*AD26)</f>
        <v>-177690</v>
      </c>
    </row>
    <row r="28">
      <c r="A28" t="inlineStr">
        <is>
          <t xml:space="preserve">(lançamento) código 3, sinal +1 sobre a linha bruta 26: D&amp;A = depreciacao + depreciacao de arrendamento (DRE l.32 + l.33 = EBITDA - EBIT). COD1=4 </t>
        </is>
      </c>
      <c r="B28" t="n">
        <v>3</v>
      </c>
      <c r="C28" t="inlineStr">
        <is>
          <t>SG&amp;A and Other (cash)</t>
        </is>
      </c>
      <c r="D28" s="265">
        <f>IF(D26="","",D26)</f>
        <v>57729</v>
      </c>
      <c r="E28" s="265">
        <f>IF(E26="","",E26)</f>
        <v>63733</v>
      </c>
      <c r="F28" s="265">
        <f>IF(F26="","",F26)</f>
        <v>71918</v>
      </c>
      <c r="G28" s="265">
        <f>IF(G26="","",G26)</f>
        <v>67065</v>
      </c>
      <c r="I28" s="265">
        <f>IF(I26="","",I26)</f>
        <v>72195</v>
      </c>
      <c r="J28" s="265">
        <f>IF(J26="","",J26)</f>
        <v>83730</v>
      </c>
      <c r="K28" s="265">
        <f>IF(K26="","",K26)</f>
        <v>84220</v>
      </c>
      <c r="L28" s="265">
        <f>IF(L26="","",L26)</f>
        <v>89022</v>
      </c>
      <c r="N28" s="265">
        <f>IF(N26="","",N26)</f>
        <v>98001</v>
      </c>
      <c r="O28" s="265">
        <f>IF(O26="","",O26)</f>
        <v>92145</v>
      </c>
      <c r="P28" s="265">
        <f>IF(P26="","",P26)</f>
        <v>98528</v>
      </c>
      <c r="Q28" s="265">
        <f>IF(Q26="","",Q26)</f>
        <v>64718</v>
      </c>
      <c r="S28" s="265">
        <f>IF(S26="","",S26)</f>
        <v>104571</v>
      </c>
      <c r="T28" s="265">
        <f>IF(T26="","",T26)</f>
        <v>85309</v>
      </c>
      <c r="U28" s="265">
        <f>IF(U26="","",U26)</f>
        <v>95494</v>
      </c>
      <c r="V28" s="265">
        <f>IF(V26="","",V26)</f>
        <v>91372</v>
      </c>
      <c r="X28" s="265">
        <f>IF(X26="","",X26)</f>
        <v>105294</v>
      </c>
      <c r="Y28" s="265">
        <f>IF(Y26="","",Y26)</f>
        <v>113093</v>
      </c>
      <c r="Z28" s="265">
        <f>IF(Z26="","",Z26)</f>
        <v>162165</v>
      </c>
      <c r="AA28" s="265">
        <f>IF(AA26="","",AA26)</f>
        <v>159044</v>
      </c>
      <c r="AC28" s="265">
        <f>IF(AC26="","",AC26)</f>
        <v>158450</v>
      </c>
      <c r="AD28" s="265">
        <f>IF(AD26="","",AD26)</f>
        <v>177690</v>
      </c>
    </row>
    <row r="29">
      <c r="A29" t="inlineStr">
        <is>
          <t>JCP e dividendos pagos (DFC, trimestralizado; ja negativo na fonte) · derivada · unid. moeda</t>
        </is>
      </c>
      <c r="B29" t="n">
        <v>10</v>
      </c>
      <c r="C29" t="inlineStr">
        <is>
          <t>Common Dividends</t>
        </is>
      </c>
      <c r="D29" s="265">
        <f>N(D22)</f>
        <v>0</v>
      </c>
      <c r="E29" s="265">
        <f>N(E22)-N(D22)</f>
        <v>0</v>
      </c>
      <c r="F29" s="265">
        <f>N(F22)-N(E22)</f>
        <v>0</v>
      </c>
      <c r="G29" s="265">
        <f>N(G22)-N(F22)</f>
        <v>0</v>
      </c>
      <c r="I29" s="265">
        <f>N(I22)</f>
        <v>0</v>
      </c>
      <c r="J29" s="265">
        <f>N(J22)-N(I22)</f>
        <v>0</v>
      </c>
      <c r="K29" s="265">
        <f>N(K22)-N(J22)</f>
        <v>0</v>
      </c>
      <c r="L29" s="265">
        <f>N(L22)-N(K22)</f>
        <v>0</v>
      </c>
      <c r="N29" s="265">
        <f>N(N22)</f>
        <v>0</v>
      </c>
      <c r="O29" s="265">
        <f>N(O22)-N(N22)</f>
        <v>0</v>
      </c>
      <c r="P29" s="265">
        <f>N(P22)-N(O22)</f>
        <v>0</v>
      </c>
      <c r="Q29" s="265">
        <f>N(Q22)-N(P22)</f>
        <v>0</v>
      </c>
      <c r="S29" s="265">
        <f>N(S22)</f>
        <v>0</v>
      </c>
      <c r="T29" s="265">
        <f>N(T22)-N(S22)</f>
        <v>0</v>
      </c>
      <c r="U29" s="265">
        <f>N(U22)-N(T22)</f>
        <v>0</v>
      </c>
      <c r="V29" s="265">
        <f>N(V22)-N(U22)</f>
        <v>-81047</v>
      </c>
      <c r="X29" s="265">
        <f>N(X22)</f>
        <v>0</v>
      </c>
      <c r="Y29" s="265">
        <f>N(Y22)-N(X22)</f>
        <v>0</v>
      </c>
      <c r="Z29" s="265">
        <f>N(Z22)-N(Y22)</f>
        <v>0</v>
      </c>
      <c r="AA29" s="265">
        <f>N(AA22)-N(Z22)</f>
        <v>-145544</v>
      </c>
      <c r="AC29" s="265">
        <f>N(AC22)</f>
        <v>0</v>
      </c>
      <c r="AD29" s="265">
        <f>N(AD22)-N(AC22)</f>
        <v>0</v>
      </c>
    </row>
    <row r="30">
      <c r="A30" t="inlineStr">
        <is>
          <t>Capex (DFC, trimestralizado; 2020 sem DFC trimestral) - memoria · derivada · unid. moeda</t>
        </is>
      </c>
      <c r="C30" t="inlineStr">
        <is>
          <t>[linha bruta, sem código; lançada nas linhas abaixo]</t>
        </is>
      </c>
      <c r="D30" s="265">
        <f>N(D24)</f>
        <v>-290590.10849</v>
      </c>
      <c r="E30" s="265">
        <f>N(E24)-N(D24)</f>
        <v>-264862.89151</v>
      </c>
      <c r="F30" s="265">
        <f>N(F24)-N(E24)</f>
        <v>-248091</v>
      </c>
      <c r="G30" s="265">
        <f>N(G24)-N(F24)</f>
        <v>-631756</v>
      </c>
      <c r="I30" s="265">
        <f>N(I24)</f>
        <v>-324135</v>
      </c>
      <c r="J30" s="265">
        <f>N(J24)-N(I24)</f>
        <v>-228551</v>
      </c>
      <c r="K30" s="265">
        <f>N(K24)-N(J24)</f>
        <v>-173347</v>
      </c>
      <c r="L30" s="265">
        <f>N(L24)-N(K24)</f>
        <v>-143126</v>
      </c>
      <c r="N30" s="265">
        <f>N(N24)</f>
        <v>-234333</v>
      </c>
      <c r="O30" s="265">
        <f>N(O24)-N(N24)</f>
        <v>-269637</v>
      </c>
      <c r="P30" s="265">
        <f>N(P24)-N(O24)</f>
        <v>-377005</v>
      </c>
      <c r="Q30" s="265">
        <f>N(Q24)-N(P24)</f>
        <v>-331648</v>
      </c>
      <c r="S30" s="265">
        <f>N(S24)</f>
        <v>-345586</v>
      </c>
      <c r="T30" s="265">
        <f>N(T24)-N(S24)</f>
        <v>-313999</v>
      </c>
      <c r="U30" s="265">
        <f>N(U24)-N(T24)</f>
        <v>-244502</v>
      </c>
      <c r="V30" s="265">
        <f>N(V24)-N(U24)</f>
        <v>-364565</v>
      </c>
      <c r="X30" s="265">
        <f>N(X24)</f>
        <v>-355847</v>
      </c>
      <c r="Y30" s="265">
        <f>N(Y24)-N(X24)</f>
        <v>-255594</v>
      </c>
      <c r="Z30" s="265">
        <f>N(Z24)-N(Y24)</f>
        <v>-312912</v>
      </c>
      <c r="AA30" s="265">
        <f>N(AA24)-N(Z24)</f>
        <v>-220784</v>
      </c>
      <c r="AC30" s="265">
        <f>N(AC24)</f>
        <v>-219609</v>
      </c>
      <c r="AD30" s="265">
        <f>N(AD24)-N(AC24)</f>
        <v>57386</v>
      </c>
    </row>
    <row r="31">
      <c r="A31" t="inlineStr">
        <is>
          <t>Lucro liquido atribuido ao Grupo Mateus = combinado - nao controladores. COD 44 alimenta o check IS do Model (linha 4) · derivada · unid. moeda</t>
        </is>
      </c>
      <c r="B31" t="n">
        <v>44</v>
      </c>
      <c r="C31" t="inlineStr">
        <is>
          <t>Lucro liquido atribuido ao Grupo Mateus = combinado - nao co</t>
        </is>
      </c>
      <c r="D31" s="265">
        <f>D13-N(D14)</f>
        <v>156721.15431</v>
      </c>
      <c r="E31" s="265">
        <f>E13-N(E14)</f>
        <v>190563.34549</v>
      </c>
      <c r="F31" s="265">
        <f>F13-N(F14)</f>
        <v>213424</v>
      </c>
      <c r="G31" s="265">
        <f>G13-N(G14)</f>
        <v>208082.63301</v>
      </c>
      <c r="I31" s="265">
        <f>I13-N(I14)</f>
        <v>199211.84191</v>
      </c>
      <c r="J31" s="265">
        <f>J13-N(J14)</f>
        <v>264123.08316</v>
      </c>
      <c r="K31" s="265">
        <f>K13-N(K14)</f>
        <v>290871</v>
      </c>
      <c r="L31" s="265">
        <f>L13-N(L14)</f>
        <v>310588.77903</v>
      </c>
      <c r="N31" s="265">
        <f>N13-N(N14)</f>
        <v>239691.66758</v>
      </c>
      <c r="O31" s="265">
        <f>O13-N(O14)</f>
        <v>293233</v>
      </c>
      <c r="P31" s="265">
        <f>P13-N(P14)</f>
        <v>313597</v>
      </c>
      <c r="Q31" s="265">
        <f>Q13-N(Q14)</f>
        <v>388117.4499</v>
      </c>
      <c r="S31" s="265">
        <f>S13-N(S14)</f>
        <v>240377.781312</v>
      </c>
      <c r="T31" s="265">
        <f>T13-N(T14)</f>
        <v>327344.212271</v>
      </c>
      <c r="U31" s="265">
        <f>U13-N(U14)</f>
        <v>355261</v>
      </c>
      <c r="V31" s="265">
        <f>V13-N(V14)</f>
        <v>323231.9</v>
      </c>
      <c r="X31" s="265">
        <f>X13-N(X14)</f>
        <v>276320</v>
      </c>
      <c r="Y31" s="265">
        <f>Y13-N(Y14)</f>
        <v>395777</v>
      </c>
      <c r="Z31" s="265">
        <f>Z13-N(Z14)</f>
        <v>850546</v>
      </c>
      <c r="AA31" s="265">
        <f>AA13-N(AA14)</f>
        <v>324264</v>
      </c>
      <c r="AC31" s="265">
        <f>AC13-N(AC14)</f>
        <v>212881</v>
      </c>
      <c r="AD31" s="265">
        <f>AD13-N(AD14)</f>
        <v>236805</v>
      </c>
    </row>
    <row r="32">
      <c r="A32" t="inlineStr">
        <is>
          <t>BALANCO (aba Balanco Patrimonial; R$ mil, fim de trimestre). Sem coluna Mar.20 na fonte: 1Q20 fica vazio (#N/A no Model). Dez.24, Mar.25 e Jun.25 reapresentados</t>
        </is>
      </c>
      <c r="C32" t="inlineStr">
        <is>
          <t>[linha bruta, sem código; lançada nas linhas abaixo]</t>
        </is>
      </c>
      <c r="D32" s="265" t="n"/>
      <c r="E32" s="265" t="n"/>
      <c r="F32" s="265" t="n"/>
      <c r="G32" s="265" t="n"/>
      <c r="I32" s="265" t="n"/>
      <c r="J32" s="265" t="n"/>
      <c r="K32" s="265" t="n"/>
      <c r="L32" s="265" t="n"/>
      <c r="N32" s="265" t="n"/>
      <c r="O32" s="265" t="n"/>
      <c r="P32" s="265" t="n"/>
      <c r="Q32" s="265" t="n"/>
      <c r="S32" s="265" t="n"/>
      <c r="T32" s="265" t="n"/>
      <c r="U32" s="265" t="n"/>
      <c r="V32" s="265" t="n"/>
      <c r="X32" s="265" t="n"/>
      <c r="Y32" s="265" t="n"/>
      <c r="Z32" s="265" t="n"/>
      <c r="AA32" s="265" t="n"/>
      <c r="AC32" s="265" t="n"/>
      <c r="AD32" s="265" t="n"/>
    </row>
    <row r="33">
      <c r="A33" t="inlineStr">
        <is>
          <t>Caixa e equivalentes de caixa (BP l.7) · fonte · unid. moeda</t>
        </is>
      </c>
      <c r="B33" t="n">
        <v>11</v>
      </c>
      <c r="C33" t="inlineStr">
        <is>
          <t>Cash and equivalents (inc. investment securities)</t>
        </is>
      </c>
      <c r="D33" s="265" t="n">
        <v>1796587.11858</v>
      </c>
      <c r="E33" s="265" t="n">
        <v>1687023</v>
      </c>
      <c r="F33" s="265" t="n">
        <v>959079</v>
      </c>
      <c r="G33" s="265" t="n">
        <v>877255</v>
      </c>
      <c r="I33" s="265" t="n">
        <v>618570</v>
      </c>
      <c r="J33" s="265" t="n">
        <v>889893</v>
      </c>
      <c r="K33" s="265" t="n">
        <v>694792</v>
      </c>
      <c r="L33" s="265" t="n">
        <v>1795647</v>
      </c>
      <c r="N33" s="265" t="n">
        <v>1671461</v>
      </c>
      <c r="O33" s="265" t="n">
        <v>1355789</v>
      </c>
      <c r="P33" s="265" t="n">
        <v>1116813</v>
      </c>
      <c r="Q33" s="265" t="n">
        <v>1289138</v>
      </c>
      <c r="S33" s="265" t="n">
        <v>1341031</v>
      </c>
      <c r="T33" s="265" t="n">
        <v>1240114</v>
      </c>
      <c r="U33" s="265" t="n">
        <v>698687</v>
      </c>
      <c r="V33" s="265" t="n">
        <v>1664167</v>
      </c>
      <c r="X33" s="265" t="n">
        <v>1520551</v>
      </c>
      <c r="Y33" s="265" t="n">
        <v>1027777</v>
      </c>
      <c r="Z33" s="265" t="n">
        <v>1182893</v>
      </c>
      <c r="AA33" s="265" t="n">
        <v>1801712</v>
      </c>
      <c r="AC33" s="265" t="n">
        <v>1984238</v>
      </c>
      <c r="AD33" s="265" t="n">
        <v>1631590</v>
      </c>
    </row>
    <row r="34">
      <c r="A34" t="inlineStr">
        <is>
          <t>Contas a receber (BP l.8) · fonte · unid. moeda</t>
        </is>
      </c>
      <c r="B34" t="n">
        <v>12</v>
      </c>
      <c r="C34" t="inlineStr">
        <is>
          <t>Accounts receivable</t>
        </is>
      </c>
      <c r="D34" s="265" t="n">
        <v>1277833.93347</v>
      </c>
      <c r="E34" s="265" t="n">
        <v>1462541.59393</v>
      </c>
      <c r="F34" s="265" t="n">
        <v>1544314</v>
      </c>
      <c r="G34" s="265" t="n">
        <v>1816264</v>
      </c>
      <c r="I34" s="265" t="n">
        <v>1872825</v>
      </c>
      <c r="J34" s="265" t="n">
        <v>2080076.44904</v>
      </c>
      <c r="K34" s="265" t="n">
        <v>2377348.25629</v>
      </c>
      <c r="L34" s="265" t="n">
        <v>2548256.31124</v>
      </c>
      <c r="N34" s="265" t="n">
        <v>2385043.30103</v>
      </c>
      <c r="O34" s="265" t="n">
        <v>2582667</v>
      </c>
      <c r="P34" s="265" t="n">
        <v>2868599</v>
      </c>
      <c r="Q34" s="265" t="n">
        <v>3457627.98322</v>
      </c>
      <c r="S34" s="265" t="n">
        <v>3085517</v>
      </c>
      <c r="T34" s="265" t="n">
        <v>3181456.70197</v>
      </c>
      <c r="U34" s="265" t="n">
        <v>3509695</v>
      </c>
      <c r="V34" s="265" t="n">
        <v>3399130</v>
      </c>
      <c r="X34" s="265" t="n">
        <v>3650849</v>
      </c>
      <c r="Y34" s="265" t="n">
        <v>3621480</v>
      </c>
      <c r="Z34" s="265" t="n">
        <v>3964078</v>
      </c>
      <c r="AA34" s="265" t="n">
        <v>4080890</v>
      </c>
      <c r="AC34" s="265" t="n">
        <v>4013107</v>
      </c>
      <c r="AD34" s="265" t="n">
        <v>3959317</v>
      </c>
    </row>
    <row r="35">
      <c r="A35" t="inlineStr">
        <is>
          <t>Estoques (BP l.9) · fonte · unid. moeda</t>
        </is>
      </c>
      <c r="B35" t="n">
        <v>13</v>
      </c>
      <c r="C35" t="inlineStr">
        <is>
          <t>Inventories</t>
        </is>
      </c>
      <c r="D35" s="265" t="n">
        <v>2637474.43892</v>
      </c>
      <c r="E35" s="265" t="n">
        <v>2826493.03354</v>
      </c>
      <c r="F35" s="265" t="n">
        <v>3492306</v>
      </c>
      <c r="G35" s="265" t="n">
        <v>3498630</v>
      </c>
      <c r="I35" s="265" t="n">
        <v>3803451</v>
      </c>
      <c r="J35" s="265" t="n">
        <v>3994994</v>
      </c>
      <c r="K35" s="265" t="n">
        <v>4666193</v>
      </c>
      <c r="L35" s="265" t="n">
        <v>3985375</v>
      </c>
      <c r="N35" s="265" t="n">
        <v>4436302</v>
      </c>
      <c r="O35" s="265" t="n">
        <v>4693948</v>
      </c>
      <c r="P35" s="265" t="n">
        <v>4939475</v>
      </c>
      <c r="Q35" s="265" t="n">
        <v>5087655</v>
      </c>
      <c r="S35" s="265" t="n">
        <v>4957342</v>
      </c>
      <c r="T35" s="265" t="n">
        <v>5294057</v>
      </c>
      <c r="U35" s="265" t="n">
        <v>5963407</v>
      </c>
      <c r="V35" s="265" t="n">
        <v>4939518</v>
      </c>
      <c r="X35" s="265" t="n">
        <v>5242901</v>
      </c>
      <c r="Y35" s="265" t="n">
        <v>5020008</v>
      </c>
      <c r="Z35" s="265" t="n">
        <v>5730287</v>
      </c>
      <c r="AA35" s="265" t="n">
        <v>5170062</v>
      </c>
      <c r="AC35" s="265" t="n">
        <v>5221233</v>
      </c>
      <c r="AD35" s="265" t="n">
        <v>5736020</v>
      </c>
    </row>
    <row r="36">
      <c r="A36" t="inlineStr">
        <is>
          <t>Tributos a recuperar (BP l.10) · fonte · unid. moeda</t>
        </is>
      </c>
      <c r="B36" t="n">
        <v>16</v>
      </c>
      <c r="C36" t="inlineStr">
        <is>
          <t>Other current assets</t>
        </is>
      </c>
      <c r="D36" s="265" t="n">
        <v>96079.42739</v>
      </c>
      <c r="E36" s="265" t="n">
        <v>87231.1024</v>
      </c>
      <c r="F36" s="265" t="n">
        <v>92043</v>
      </c>
      <c r="G36" s="265" t="n">
        <v>67338</v>
      </c>
      <c r="I36" s="265" t="n">
        <v>105261</v>
      </c>
      <c r="J36" s="265" t="n">
        <v>88476</v>
      </c>
      <c r="K36" s="265" t="n">
        <v>106728</v>
      </c>
      <c r="L36" s="265" t="n">
        <v>379672</v>
      </c>
      <c r="N36" s="265" t="n">
        <v>388410</v>
      </c>
      <c r="O36" s="265" t="n">
        <v>326169</v>
      </c>
      <c r="P36" s="265" t="n">
        <v>249090</v>
      </c>
      <c r="Q36" s="265" t="n">
        <v>419631</v>
      </c>
      <c r="S36" s="265" t="n">
        <v>459811</v>
      </c>
      <c r="T36" s="265" t="n">
        <v>527238</v>
      </c>
      <c r="U36" s="265" t="n">
        <v>527556</v>
      </c>
      <c r="V36" s="265" t="n">
        <v>605142</v>
      </c>
      <c r="X36" s="265" t="n">
        <v>684671</v>
      </c>
      <c r="Y36" s="265" t="n">
        <v>683545</v>
      </c>
      <c r="Z36" s="265" t="n">
        <v>1122231</v>
      </c>
      <c r="AA36" s="265" t="n">
        <v>1312606</v>
      </c>
      <c r="AC36" s="265" t="n">
        <v>1307822</v>
      </c>
      <c r="AD36" s="265" t="n">
        <v>1294163</v>
      </c>
    </row>
    <row r="37">
      <c r="A37" t="inlineStr">
        <is>
          <t>Outros ativos CP (BP l.11) · fonte · unid. moeda</t>
        </is>
      </c>
      <c r="B37" t="n">
        <v>16</v>
      </c>
      <c r="C37" t="inlineStr">
        <is>
          <t>Other current assets</t>
        </is>
      </c>
      <c r="D37" s="265" t="n">
        <v>12175.46278</v>
      </c>
      <c r="E37" s="265" t="n">
        <v>46294</v>
      </c>
      <c r="F37" s="265" t="n">
        <v>118729</v>
      </c>
      <c r="G37" s="265" t="n">
        <v>12670</v>
      </c>
      <c r="I37" s="265" t="n">
        <v>29611</v>
      </c>
      <c r="J37" s="265" t="n">
        <v>30402</v>
      </c>
      <c r="K37" s="265" t="n">
        <v>41710</v>
      </c>
      <c r="L37" s="265" t="n">
        <v>91317</v>
      </c>
      <c r="N37" s="265" t="n">
        <v>140407</v>
      </c>
      <c r="O37" s="265" t="n">
        <v>118904</v>
      </c>
      <c r="P37" s="265" t="n">
        <v>132658</v>
      </c>
      <c r="Q37" s="265" t="n">
        <v>116483</v>
      </c>
      <c r="S37" s="265" t="n">
        <v>160371</v>
      </c>
      <c r="T37" s="265" t="n">
        <v>186466</v>
      </c>
      <c r="U37" s="265" t="n">
        <v>233914</v>
      </c>
      <c r="V37" s="265" t="n">
        <v>253517</v>
      </c>
      <c r="X37" s="265" t="n">
        <v>312504</v>
      </c>
      <c r="Y37" s="265" t="n">
        <v>363516</v>
      </c>
      <c r="Z37" s="265" t="n">
        <v>388556</v>
      </c>
      <c r="AA37" s="265" t="n">
        <v>388275</v>
      </c>
      <c r="AC37" s="265" t="n">
        <v>426112</v>
      </c>
      <c r="AD37" s="265" t="n">
        <v>454790</v>
      </c>
    </row>
    <row r="38">
      <c r="A38" t="inlineStr">
        <is>
          <t>Aplicações financeiras (BP l.15) · fonte · unid. moeda</t>
        </is>
      </c>
      <c r="B38" t="n">
        <v>11</v>
      </c>
      <c r="C38" t="inlineStr">
        <is>
          <t>Cash and equivalents (inc. investment securities)</t>
        </is>
      </c>
      <c r="D38" s="265" t="n">
        <v>1359.61967</v>
      </c>
      <c r="E38" s="265" t="n">
        <v>1357.19428</v>
      </c>
      <c r="F38" s="265" t="n">
        <v>1338</v>
      </c>
      <c r="G38" s="265" t="n">
        <v>3071</v>
      </c>
      <c r="I38" s="265" t="n">
        <v>2370</v>
      </c>
      <c r="J38" s="265" t="n">
        <v>1287</v>
      </c>
      <c r="K38" s="265" t="n">
        <v>1815</v>
      </c>
      <c r="L38" s="265" t="n">
        <v>1508</v>
      </c>
      <c r="N38" s="265" t="n">
        <v>1204</v>
      </c>
      <c r="O38" s="265" t="n">
        <v>1681</v>
      </c>
      <c r="P38" s="265" t="n">
        <v>824</v>
      </c>
      <c r="Q38" s="265" t="n">
        <v>882</v>
      </c>
      <c r="S38" s="265" t="n">
        <v>264</v>
      </c>
      <c r="T38" s="265" t="n">
        <v>331</v>
      </c>
      <c r="U38" s="265" t="n">
        <v>112</v>
      </c>
      <c r="V38" s="265" t="n">
        <v>46</v>
      </c>
      <c r="X38" s="265" t="n">
        <v>46</v>
      </c>
      <c r="Y38" s="265" t="n">
        <v>46</v>
      </c>
      <c r="Z38" s="265" t="n">
        <v>46</v>
      </c>
      <c r="AA38" s="265" t="n">
        <v>0</v>
      </c>
      <c r="AC38" s="265" t="n">
        <v>0</v>
      </c>
      <c r="AD38" s="265" t="n">
        <v>0</v>
      </c>
    </row>
    <row r="39">
      <c r="A39" t="inlineStr">
        <is>
          <t>Partes relacionadas (BP l.16) · fonte · unid. moeda</t>
        </is>
      </c>
      <c r="B39" t="n">
        <v>22</v>
      </c>
      <c r="C39" t="inlineStr">
        <is>
          <t>Other non-current assets</t>
        </is>
      </c>
      <c r="D39" s="265" t="n">
        <v>8402.25683</v>
      </c>
      <c r="E39" s="265" t="n">
        <v>19673.12111</v>
      </c>
      <c r="F39" s="265" t="n">
        <v>6767</v>
      </c>
      <c r="G39" s="265" t="n">
        <v>7321</v>
      </c>
      <c r="I39" s="265" t="n">
        <v>7285</v>
      </c>
      <c r="J39" s="265" t="n">
        <v>8607</v>
      </c>
      <c r="K39" s="265" t="n">
        <v>5824.68171</v>
      </c>
      <c r="L39" s="265" t="n">
        <v>7237.63351</v>
      </c>
      <c r="N39" s="265" t="n">
        <v>6438.92086</v>
      </c>
      <c r="O39" s="265" t="n">
        <v>6568</v>
      </c>
      <c r="P39" s="265" t="n">
        <v>5616</v>
      </c>
      <c r="Q39" s="265" t="n">
        <v>103.81072</v>
      </c>
      <c r="S39" s="265" t="n">
        <v>47</v>
      </c>
      <c r="T39" s="265" t="n">
        <v>18</v>
      </c>
      <c r="U39" s="265" t="n">
        <v>32</v>
      </c>
      <c r="V39" s="265" t="n">
        <v>114</v>
      </c>
      <c r="X39" s="265" t="n">
        <v>47</v>
      </c>
      <c r="Y39" s="265" t="n">
        <v>71.10598</v>
      </c>
      <c r="Z39" s="265" t="n">
        <v>95</v>
      </c>
      <c r="AA39" s="265" t="n">
        <v>39</v>
      </c>
      <c r="AC39" s="265" t="n">
        <v>30</v>
      </c>
      <c r="AD39" s="265" t="n">
        <v>0</v>
      </c>
    </row>
    <row r="40">
      <c r="A40" t="inlineStr">
        <is>
          <t>Tributos a recuperar (BP l.17) · fonte · unid. moeda</t>
        </is>
      </c>
      <c r="B40" t="n">
        <v>22</v>
      </c>
      <c r="C40" t="inlineStr">
        <is>
          <t>Other non-current assets</t>
        </is>
      </c>
      <c r="D40" s="265" t="n">
        <v>78592.84951</v>
      </c>
      <c r="E40" s="265" t="n">
        <v>95340.87715</v>
      </c>
      <c r="F40" s="265" t="n">
        <v>112499</v>
      </c>
      <c r="G40" s="265" t="n">
        <v>135289</v>
      </c>
      <c r="I40" s="265" t="n">
        <v>117179</v>
      </c>
      <c r="J40" s="265" t="n">
        <v>139337</v>
      </c>
      <c r="K40" s="265" t="n">
        <v>155282</v>
      </c>
      <c r="L40" s="265" t="n">
        <v>165856</v>
      </c>
      <c r="N40" s="265" t="n">
        <v>177915</v>
      </c>
      <c r="O40" s="265" t="n">
        <v>300858</v>
      </c>
      <c r="P40" s="265" t="n">
        <v>320271</v>
      </c>
      <c r="Q40" s="265" t="n">
        <v>239491</v>
      </c>
      <c r="S40" s="265" t="n">
        <v>245638</v>
      </c>
      <c r="T40" s="265" t="n">
        <v>262028</v>
      </c>
      <c r="U40" s="265" t="n">
        <v>278177</v>
      </c>
      <c r="V40" s="265" t="n">
        <v>227784</v>
      </c>
      <c r="X40" s="265" t="n">
        <v>244789</v>
      </c>
      <c r="Y40" s="265" t="n">
        <v>486035</v>
      </c>
      <c r="Z40" s="265" t="n">
        <v>600278</v>
      </c>
      <c r="AA40" s="265" t="n">
        <v>548224</v>
      </c>
      <c r="AC40" s="265" t="n">
        <v>577770</v>
      </c>
      <c r="AD40" s="265" t="n">
        <v>674844</v>
      </c>
    </row>
    <row r="41">
      <c r="A41" t="inlineStr">
        <is>
          <t>Imposto de renda e contribuição social diferidos (BP l.18) · fonte · unid. moeda</t>
        </is>
      </c>
      <c r="B41" t="n">
        <v>14</v>
      </c>
      <c r="C41" t="inlineStr">
        <is>
          <t>Deferred income taxes</t>
        </is>
      </c>
      <c r="D41" s="265" t="n">
        <v>0</v>
      </c>
      <c r="E41" s="265" t="n">
        <v>0</v>
      </c>
      <c r="F41" s="265" t="n">
        <v>0</v>
      </c>
      <c r="G41" s="265" t="n">
        <v>0</v>
      </c>
      <c r="I41" s="265" t="n">
        <v>0</v>
      </c>
      <c r="J41" s="265" t="n">
        <v>0</v>
      </c>
      <c r="K41" s="265" t="n">
        <v>0</v>
      </c>
      <c r="L41" s="265" t="n">
        <v>0</v>
      </c>
      <c r="N41" s="265" t="n">
        <v>0</v>
      </c>
      <c r="O41" s="265" t="n">
        <v>0</v>
      </c>
      <c r="P41" s="265" t="n">
        <v>0</v>
      </c>
      <c r="Q41" s="265" t="n">
        <v>0</v>
      </c>
      <c r="S41" s="265" t="n">
        <v>42100</v>
      </c>
      <c r="T41" s="265" t="n">
        <v>139576</v>
      </c>
      <c r="U41" s="265" t="n">
        <v>203290</v>
      </c>
      <c r="V41" s="265" t="n">
        <v>503543</v>
      </c>
      <c r="X41" s="265" t="n">
        <v>599643</v>
      </c>
      <c r="Y41" s="265" t="n">
        <v>306893</v>
      </c>
      <c r="Z41" s="265" t="n">
        <v>802623</v>
      </c>
      <c r="AA41" s="265" t="n">
        <v>866468</v>
      </c>
      <c r="AC41" s="265" t="n">
        <v>908878</v>
      </c>
      <c r="AD41" s="265" t="n">
        <v>899443</v>
      </c>
    </row>
    <row r="42">
      <c r="A42" t="inlineStr">
        <is>
          <t>Outros ativos (BP l.19) · fonte · unid. moeda</t>
        </is>
      </c>
      <c r="B42" t="n">
        <v>22</v>
      </c>
      <c r="C42" t="inlineStr">
        <is>
          <t>Other non-current assets</t>
        </is>
      </c>
      <c r="D42" s="265" t="n">
        <v>1528.27243</v>
      </c>
      <c r="E42" s="265" t="n">
        <v>1012.13588</v>
      </c>
      <c r="F42" s="265" t="n">
        <v>21663</v>
      </c>
      <c r="G42" s="265" t="n">
        <v>28868</v>
      </c>
      <c r="I42" s="265" t="n">
        <v>28421</v>
      </c>
      <c r="J42" s="265" t="n">
        <v>33049</v>
      </c>
      <c r="K42" s="265" t="n">
        <v>39870</v>
      </c>
      <c r="L42" s="265" t="n">
        <v>42746</v>
      </c>
      <c r="N42" s="265" t="n">
        <v>48895</v>
      </c>
      <c r="O42" s="265" t="n">
        <v>99377</v>
      </c>
      <c r="P42" s="265" t="n">
        <v>87216</v>
      </c>
      <c r="Q42" s="265" t="n">
        <v>84444</v>
      </c>
      <c r="S42" s="265" t="n">
        <v>95970</v>
      </c>
      <c r="T42" s="265" t="n">
        <v>102885</v>
      </c>
      <c r="U42" s="265" t="n">
        <v>106667</v>
      </c>
      <c r="V42" s="265" t="n">
        <v>81824</v>
      </c>
      <c r="X42" s="265" t="n">
        <v>65887</v>
      </c>
      <c r="Y42" s="265" t="n">
        <v>201382</v>
      </c>
      <c r="Z42" s="265" t="n">
        <v>65589</v>
      </c>
      <c r="AA42" s="265" t="n">
        <v>110796</v>
      </c>
      <c r="AC42" s="265" t="n">
        <v>142466</v>
      </c>
      <c r="AD42" s="265" t="n">
        <v>161601</v>
      </c>
    </row>
    <row r="43">
      <c r="A43" t="inlineStr">
        <is>
          <t>Depósitos judiciais (BP l.20) · fonte · unid. moeda</t>
        </is>
      </c>
      <c r="B43" t="n">
        <v>22</v>
      </c>
      <c r="C43" t="inlineStr">
        <is>
          <t>Other non-current assets</t>
        </is>
      </c>
      <c r="D43" s="265" t="n">
        <v>15148.74623</v>
      </c>
      <c r="E43" s="265" t="n">
        <v>15320.57028</v>
      </c>
      <c r="F43" s="265" t="n">
        <v>15900</v>
      </c>
      <c r="G43" s="265" t="n">
        <v>16340</v>
      </c>
      <c r="I43" s="265" t="n">
        <v>16480</v>
      </c>
      <c r="J43" s="265" t="n">
        <v>17840</v>
      </c>
      <c r="K43" s="265" t="n">
        <v>19502</v>
      </c>
      <c r="L43" s="265" t="n">
        <v>20808</v>
      </c>
      <c r="N43" s="265" t="n">
        <v>22319</v>
      </c>
      <c r="O43" s="265" t="n">
        <v>24494</v>
      </c>
      <c r="P43" s="265" t="n">
        <v>26300</v>
      </c>
      <c r="Q43" s="265" t="n">
        <v>27436</v>
      </c>
      <c r="S43" s="265" t="n">
        <v>30604</v>
      </c>
      <c r="T43" s="265" t="n">
        <v>28768</v>
      </c>
      <c r="U43" s="265" t="n">
        <v>29568</v>
      </c>
      <c r="V43" s="265" t="n">
        <v>30637</v>
      </c>
      <c r="X43" s="265" t="n">
        <v>29720</v>
      </c>
      <c r="Y43" s="265" t="n">
        <v>24282</v>
      </c>
      <c r="Z43" s="265" t="n">
        <v>25800</v>
      </c>
      <c r="AA43" s="265" t="n">
        <v>19357</v>
      </c>
      <c r="AC43" s="265" t="n">
        <v>18802</v>
      </c>
      <c r="AD43" s="265" t="n">
        <v>18219</v>
      </c>
    </row>
    <row r="44">
      <c r="A44" t="inlineStr">
        <is>
          <t>Ativos de direito de uso (BP l.21) · fonte · unid. moeda</t>
        </is>
      </c>
      <c r="B44" t="n">
        <v>19</v>
      </c>
      <c r="C44" t="inlineStr">
        <is>
          <t>Right-of-use-assets</t>
        </is>
      </c>
      <c r="D44" s="265" t="n">
        <v>662079.67344</v>
      </c>
      <c r="E44" s="265" t="n">
        <v>703265.9924700001</v>
      </c>
      <c r="F44" s="265" t="n">
        <v>830842</v>
      </c>
      <c r="G44" s="265" t="n">
        <v>907504</v>
      </c>
      <c r="I44" s="265" t="n">
        <v>998229</v>
      </c>
      <c r="J44" s="265" t="n">
        <v>1194760</v>
      </c>
      <c r="K44" s="265" t="n">
        <v>1257424</v>
      </c>
      <c r="L44" s="265" t="n">
        <v>1260815</v>
      </c>
      <c r="N44" s="265" t="n">
        <v>1330053</v>
      </c>
      <c r="O44" s="265" t="n">
        <v>1564699</v>
      </c>
      <c r="P44" s="265" t="n">
        <v>1774395</v>
      </c>
      <c r="Q44" s="265" t="n">
        <v>1850811</v>
      </c>
      <c r="S44" s="265" t="n">
        <v>2021405</v>
      </c>
      <c r="T44" s="265" t="n">
        <v>1866203</v>
      </c>
      <c r="U44" s="265" t="n">
        <v>1884077</v>
      </c>
      <c r="V44" s="265" t="n">
        <v>2036014</v>
      </c>
      <c r="X44" s="265" t="n">
        <v>2339617</v>
      </c>
      <c r="Y44" s="265" t="n">
        <v>2641269</v>
      </c>
      <c r="Z44" s="265" t="n">
        <v>3539580</v>
      </c>
      <c r="AA44" s="265" t="n">
        <v>3654264</v>
      </c>
      <c r="AC44" s="265" t="n">
        <v>3696106</v>
      </c>
      <c r="AD44" s="265" t="n">
        <v>3867883</v>
      </c>
    </row>
    <row r="45">
      <c r="A45" t="inlineStr">
        <is>
          <t>Investimentos (BP l.22) · fonte · unid. moeda</t>
        </is>
      </c>
      <c r="B45" t="n">
        <v>17</v>
      </c>
      <c r="C45" t="inlineStr">
        <is>
          <t>Equity in affiliates</t>
        </is>
      </c>
      <c r="D45" s="265" t="n">
        <v>0</v>
      </c>
      <c r="E45" s="265" t="n">
        <v>0</v>
      </c>
      <c r="F45" s="265" t="n">
        <v>0</v>
      </c>
      <c r="G45" s="265" t="n">
        <v>0</v>
      </c>
      <c r="I45" s="265" t="n">
        <v>0</v>
      </c>
      <c r="J45" s="265" t="n">
        <v>0</v>
      </c>
      <c r="K45" s="265" t="n">
        <v>0</v>
      </c>
      <c r="L45" s="265" t="n">
        <v>0</v>
      </c>
      <c r="N45" s="265" t="n">
        <v>0</v>
      </c>
      <c r="O45" s="265" t="n">
        <v>0</v>
      </c>
      <c r="P45" s="265" t="n">
        <v>0</v>
      </c>
      <c r="Q45" s="265" t="n">
        <v>19238</v>
      </c>
      <c r="S45" s="265" t="n">
        <v>43168</v>
      </c>
      <c r="T45" s="265" t="n">
        <v>43164</v>
      </c>
      <c r="U45" s="265" t="n">
        <v>43144</v>
      </c>
      <c r="V45" s="265" t="n">
        <v>43144</v>
      </c>
      <c r="X45" s="265" t="n">
        <v>55844</v>
      </c>
      <c r="Y45" s="265" t="n">
        <v>428234</v>
      </c>
      <c r="Z45" s="265" t="n">
        <v>55844</v>
      </c>
      <c r="AA45" s="265" t="n">
        <v>0</v>
      </c>
      <c r="AC45" s="265" t="n">
        <v>0</v>
      </c>
      <c r="AD45" s="265" t="n">
        <v>0</v>
      </c>
    </row>
    <row r="46">
      <c r="A46" t="inlineStr">
        <is>
          <t>Intangível (BP l.23) · fonte · unid. moeda</t>
        </is>
      </c>
      <c r="B46" t="n">
        <v>21</v>
      </c>
      <c r="C46" t="inlineStr">
        <is>
          <t>Intangibles</t>
        </is>
      </c>
      <c r="D46" s="265" t="n">
        <v>3239.99999</v>
      </c>
      <c r="E46" s="265" t="n">
        <v>3189.99998</v>
      </c>
      <c r="F46" s="265" t="n">
        <v>2606</v>
      </c>
      <c r="G46" s="265" t="n">
        <v>2556</v>
      </c>
      <c r="I46" s="265" t="n">
        <v>2506</v>
      </c>
      <c r="J46" s="265" t="n">
        <v>2456</v>
      </c>
      <c r="K46" s="265" t="n">
        <v>2406</v>
      </c>
      <c r="L46" s="265" t="n">
        <v>4515</v>
      </c>
      <c r="N46" s="265" t="n">
        <v>11951</v>
      </c>
      <c r="O46" s="265" t="n">
        <v>26200</v>
      </c>
      <c r="P46" s="265" t="n">
        <v>30907</v>
      </c>
      <c r="Q46" s="265" t="n">
        <v>33840</v>
      </c>
      <c r="S46" s="265" t="n">
        <v>39202</v>
      </c>
      <c r="T46" s="265" t="n">
        <v>43174</v>
      </c>
      <c r="U46" s="265" t="n">
        <v>46893</v>
      </c>
      <c r="V46" s="265" t="n">
        <v>61160</v>
      </c>
      <c r="X46" s="265" t="n">
        <v>63831</v>
      </c>
      <c r="Y46" s="265" t="n">
        <v>69687</v>
      </c>
      <c r="Z46" s="265" t="n">
        <v>729491</v>
      </c>
      <c r="AA46" s="265" t="n">
        <v>651724</v>
      </c>
      <c r="AC46" s="265" t="n">
        <v>663084</v>
      </c>
      <c r="AD46" s="265" t="n">
        <v>748934</v>
      </c>
    </row>
    <row r="47">
      <c r="A47" t="inlineStr">
        <is>
          <t>Imobilizado (BP l.24) · fonte · unid. moeda</t>
        </is>
      </c>
      <c r="B47" t="n">
        <v>18</v>
      </c>
      <c r="C47" t="inlineStr">
        <is>
          <t>PP&amp;E</t>
        </is>
      </c>
      <c r="D47" s="265" t="n">
        <v>1591003.531</v>
      </c>
      <c r="E47" s="265" t="n">
        <v>1809858.66171</v>
      </c>
      <c r="F47" s="265" t="n">
        <v>2007877</v>
      </c>
      <c r="G47" s="265" t="n">
        <v>2581885</v>
      </c>
      <c r="I47" s="265" t="n">
        <v>2857882</v>
      </c>
      <c r="J47" s="265" t="n">
        <v>2953797</v>
      </c>
      <c r="K47" s="265" t="n">
        <v>3018884</v>
      </c>
      <c r="L47" s="265" t="n">
        <v>2960185</v>
      </c>
      <c r="N47" s="265" t="n">
        <v>3105771</v>
      </c>
      <c r="O47" s="265" t="n">
        <v>3276785</v>
      </c>
      <c r="P47" s="265" t="n">
        <v>3504174</v>
      </c>
      <c r="Q47" s="265" t="n">
        <v>3730515</v>
      </c>
      <c r="S47" s="265" t="n">
        <v>3996864</v>
      </c>
      <c r="T47" s="265" t="n">
        <v>4215529</v>
      </c>
      <c r="U47" s="265" t="n">
        <v>4375436</v>
      </c>
      <c r="V47" s="265" t="n">
        <v>4382427</v>
      </c>
      <c r="X47" s="265" t="n">
        <v>4531517</v>
      </c>
      <c r="Y47" s="265" t="n">
        <v>4792495</v>
      </c>
      <c r="Z47" s="265" t="n">
        <v>5488702</v>
      </c>
      <c r="AA47" s="265" t="n">
        <v>5747597</v>
      </c>
      <c r="AC47" s="265" t="n">
        <v>5777757</v>
      </c>
      <c r="AD47" s="265" t="n">
        <v>5706318</v>
      </c>
    </row>
    <row r="48">
      <c r="A48" t="inlineStr">
        <is>
          <t>Fornecedores (BP l.32) · fonte · unid. moeda</t>
        </is>
      </c>
      <c r="B48" t="n">
        <v>23</v>
      </c>
      <c r="C48" t="inlineStr">
        <is>
          <t>Accounts payable</t>
        </is>
      </c>
      <c r="D48" s="265" t="n">
        <v>717979.88696</v>
      </c>
      <c r="E48" s="265" t="n">
        <v>1041789.91181</v>
      </c>
      <c r="F48" s="265" t="n">
        <v>1042603</v>
      </c>
      <c r="G48" s="265" t="n">
        <v>1056585</v>
      </c>
      <c r="I48" s="265" t="n">
        <v>1260097</v>
      </c>
      <c r="J48" s="265" t="n">
        <v>1617196</v>
      </c>
      <c r="K48" s="265" t="n">
        <v>1436143</v>
      </c>
      <c r="L48" s="265" t="n">
        <v>2008574</v>
      </c>
      <c r="N48" s="265" t="n">
        <v>2198248</v>
      </c>
      <c r="O48" s="265" t="n">
        <v>2183737</v>
      </c>
      <c r="P48" s="265" t="n">
        <v>2308076</v>
      </c>
      <c r="Q48" s="265" t="n">
        <v>3039206</v>
      </c>
      <c r="S48" s="265" t="n">
        <v>2623383</v>
      </c>
      <c r="T48" s="265" t="n">
        <v>2787903</v>
      </c>
      <c r="U48" s="265" t="n">
        <v>2958921</v>
      </c>
      <c r="V48" s="265" t="n">
        <v>3078569</v>
      </c>
      <c r="X48" s="265" t="n">
        <v>3755177</v>
      </c>
      <c r="Y48" s="265" t="n">
        <v>3357777</v>
      </c>
      <c r="Z48" s="265" t="n">
        <v>4133147</v>
      </c>
      <c r="AA48" s="265" t="n">
        <v>4469873</v>
      </c>
      <c r="AC48" s="265" t="n">
        <v>4634788</v>
      </c>
      <c r="AD48" s="265" t="n">
        <v>4790556</v>
      </c>
    </row>
    <row r="49">
      <c r="A49" t="inlineStr">
        <is>
          <t>Empréstimos, financiamentos e debêntures (BP l.33) · fonte · unid. moeda</t>
        </is>
      </c>
      <c r="B49" t="n">
        <v>27</v>
      </c>
      <c r="C49" t="inlineStr">
        <is>
          <t>Current portion of long-term debt</t>
        </is>
      </c>
      <c r="D49" s="265" t="n">
        <v>89709.97532</v>
      </c>
      <c r="E49" s="265" t="n">
        <v>88934.05342</v>
      </c>
      <c r="F49" s="265" t="n">
        <v>86364</v>
      </c>
      <c r="G49" s="265" t="n">
        <v>172832</v>
      </c>
      <c r="I49" s="265" t="n">
        <v>174013</v>
      </c>
      <c r="J49" s="265" t="n">
        <v>187278</v>
      </c>
      <c r="K49" s="265" t="n">
        <v>191156</v>
      </c>
      <c r="L49" s="265" t="n">
        <v>192831</v>
      </c>
      <c r="N49" s="265" t="n">
        <v>192110</v>
      </c>
      <c r="O49" s="265" t="n">
        <v>216191</v>
      </c>
      <c r="P49" s="265" t="n">
        <v>231929</v>
      </c>
      <c r="Q49" s="265" t="n">
        <v>465402</v>
      </c>
      <c r="S49" s="265" t="n">
        <v>508391</v>
      </c>
      <c r="T49" s="265" t="n">
        <v>537107</v>
      </c>
      <c r="U49" s="265" t="n">
        <v>548585</v>
      </c>
      <c r="V49" s="265" t="n">
        <v>420986</v>
      </c>
      <c r="X49" s="265" t="n">
        <v>249077</v>
      </c>
      <c r="Y49" s="265" t="n">
        <v>248593</v>
      </c>
      <c r="Z49" s="265" t="n">
        <v>535225</v>
      </c>
      <c r="AA49" s="265" t="n">
        <v>1204737</v>
      </c>
      <c r="AC49" s="265" t="n">
        <v>1537253</v>
      </c>
      <c r="AD49" s="265" t="n">
        <v>1529728</v>
      </c>
    </row>
    <row r="50">
      <c r="A50" t="inlineStr">
        <is>
          <t>Obrigações trabalhistas (BP l.34) · fonte · unid. moeda</t>
        </is>
      </c>
      <c r="B50" t="n">
        <v>24</v>
      </c>
      <c r="C50" t="inlineStr">
        <is>
          <t>Accrued expenses</t>
        </is>
      </c>
      <c r="D50" s="265" t="n">
        <v>199758.0463</v>
      </c>
      <c r="E50" s="265" t="n">
        <v>237623.15962</v>
      </c>
      <c r="F50" s="265" t="n">
        <v>271913</v>
      </c>
      <c r="G50" s="265" t="n">
        <v>224680</v>
      </c>
      <c r="I50" s="265" t="n">
        <v>237809</v>
      </c>
      <c r="J50" s="265" t="n">
        <v>267690</v>
      </c>
      <c r="K50" s="265" t="n">
        <v>328581</v>
      </c>
      <c r="L50" s="265" t="n">
        <v>301307</v>
      </c>
      <c r="N50" s="265" t="n">
        <v>309092</v>
      </c>
      <c r="O50" s="265" t="n">
        <v>357078</v>
      </c>
      <c r="P50" s="265" t="n">
        <v>410755</v>
      </c>
      <c r="Q50" s="265" t="n">
        <v>394255</v>
      </c>
      <c r="S50" s="265" t="n">
        <v>429905</v>
      </c>
      <c r="T50" s="265" t="n">
        <v>454609</v>
      </c>
      <c r="U50" s="265" t="n">
        <v>494728</v>
      </c>
      <c r="V50" s="265" t="n">
        <v>445071</v>
      </c>
      <c r="X50" s="265" t="n">
        <v>482103</v>
      </c>
      <c r="Y50" s="265" t="n">
        <v>472507</v>
      </c>
      <c r="Z50" s="265" t="n">
        <v>596021</v>
      </c>
      <c r="AA50" s="265" t="n">
        <v>526602</v>
      </c>
      <c r="AC50" s="265" t="n">
        <v>545443</v>
      </c>
      <c r="AD50" s="265" t="n">
        <v>563536</v>
      </c>
    </row>
    <row r="51">
      <c r="A51" t="inlineStr">
        <is>
          <t>Obrigações tributárias (BP l.35) · fonte · unid. moeda</t>
        </is>
      </c>
      <c r="B51" t="n">
        <v>25</v>
      </c>
      <c r="C51" t="inlineStr">
        <is>
          <t>Taxes payable</t>
        </is>
      </c>
      <c r="D51" s="265" t="n">
        <v>72394.71599</v>
      </c>
      <c r="E51" s="265" t="n">
        <v>74346.64341999999</v>
      </c>
      <c r="F51" s="265" t="n">
        <v>80566</v>
      </c>
      <c r="G51" s="265" t="n">
        <v>98616</v>
      </c>
      <c r="I51" s="265" t="n">
        <v>92553</v>
      </c>
      <c r="J51" s="265" t="n">
        <v>102658</v>
      </c>
      <c r="K51" s="265" t="n">
        <v>108198</v>
      </c>
      <c r="L51" s="265" t="n">
        <v>132164</v>
      </c>
      <c r="N51" s="265" t="n">
        <v>115657</v>
      </c>
      <c r="O51" s="265" t="n">
        <v>164978</v>
      </c>
      <c r="P51" s="265" t="n">
        <v>145007</v>
      </c>
      <c r="Q51" s="265" t="n">
        <v>212910</v>
      </c>
      <c r="S51" s="265" t="n">
        <v>288502</v>
      </c>
      <c r="T51" s="265" t="n">
        <v>511963</v>
      </c>
      <c r="U51" s="265" t="n">
        <v>642737</v>
      </c>
      <c r="V51" s="265" t="n">
        <v>419431</v>
      </c>
      <c r="X51" s="265" t="n">
        <v>374463</v>
      </c>
      <c r="Y51" s="265" t="n">
        <v>328697</v>
      </c>
      <c r="Z51" s="265" t="n">
        <v>328881</v>
      </c>
      <c r="AA51" s="265" t="n">
        <v>333643</v>
      </c>
      <c r="AC51" s="265" t="n">
        <v>243746</v>
      </c>
      <c r="AD51" s="265" t="n">
        <v>193914</v>
      </c>
    </row>
    <row r="52">
      <c r="A52" t="inlineStr">
        <is>
          <t>Tributos parcelados (BP l.36) · fonte · unid. moeda</t>
        </is>
      </c>
      <c r="B52" t="n">
        <v>25</v>
      </c>
      <c r="C52" t="inlineStr">
        <is>
          <t>Taxes payable</t>
        </is>
      </c>
      <c r="D52" s="265" t="n">
        <v>9787.4159</v>
      </c>
      <c r="E52" s="265" t="n">
        <v>9888.0023</v>
      </c>
      <c r="F52" s="265" t="n">
        <v>21443</v>
      </c>
      <c r="G52" s="265" t="n">
        <v>30002</v>
      </c>
      <c r="I52" s="265" t="n">
        <v>22891</v>
      </c>
      <c r="J52" s="265" t="n">
        <v>16647</v>
      </c>
      <c r="K52" s="265" t="n">
        <v>10660</v>
      </c>
      <c r="L52" s="265" t="n">
        <v>10402</v>
      </c>
      <c r="N52" s="265" t="n">
        <v>10288</v>
      </c>
      <c r="O52" s="265" t="n">
        <v>10973</v>
      </c>
      <c r="P52" s="265" t="n">
        <v>11518</v>
      </c>
      <c r="Q52" s="265" t="n">
        <v>11977</v>
      </c>
      <c r="S52" s="265" t="n">
        <v>12062</v>
      </c>
      <c r="T52" s="265" t="n">
        <v>12953</v>
      </c>
      <c r="U52" s="265" t="n">
        <v>14731</v>
      </c>
      <c r="V52" s="265" t="n">
        <v>15132</v>
      </c>
      <c r="X52" s="265" t="n">
        <v>26747</v>
      </c>
      <c r="Y52" s="265" t="n">
        <v>24291</v>
      </c>
      <c r="Z52" s="265" t="n">
        <v>39882</v>
      </c>
      <c r="AA52" s="265" t="n">
        <v>37857</v>
      </c>
      <c r="AC52" s="265" t="n">
        <v>30751</v>
      </c>
      <c r="AD52" s="265" t="n">
        <v>24794</v>
      </c>
    </row>
    <row r="53">
      <c r="A53" t="inlineStr">
        <is>
          <t>Passivos de arrendamento (BP l.37) · fonte · unid. moeda</t>
        </is>
      </c>
      <c r="B53" t="n">
        <v>29</v>
      </c>
      <c r="C53" t="inlineStr">
        <is>
          <t>Short term operating leases</t>
        </is>
      </c>
      <c r="D53" s="265" t="n">
        <v>71365.50853000001</v>
      </c>
      <c r="E53" s="265" t="n">
        <v>68692.76446000001</v>
      </c>
      <c r="F53" s="265" t="n">
        <v>54577</v>
      </c>
      <c r="G53" s="265" t="n">
        <v>61137</v>
      </c>
      <c r="I53" s="265" t="n">
        <v>70026</v>
      </c>
      <c r="J53" s="265" t="n">
        <v>78059</v>
      </c>
      <c r="K53" s="265" t="n">
        <v>77645</v>
      </c>
      <c r="L53" s="265" t="n">
        <v>80274</v>
      </c>
      <c r="N53" s="265" t="n">
        <v>81877</v>
      </c>
      <c r="O53" s="265" t="n">
        <v>53549</v>
      </c>
      <c r="P53" s="265" t="n">
        <v>35351</v>
      </c>
      <c r="Q53" s="265" t="n">
        <v>35626</v>
      </c>
      <c r="S53" s="265" t="n">
        <v>111740</v>
      </c>
      <c r="T53" s="265" t="n">
        <v>102545</v>
      </c>
      <c r="U53" s="265" t="n">
        <v>100131</v>
      </c>
      <c r="V53" s="265" t="n">
        <v>79464</v>
      </c>
      <c r="X53" s="265" t="n">
        <v>113741</v>
      </c>
      <c r="Y53" s="265" t="n">
        <v>227857</v>
      </c>
      <c r="Z53" s="265" t="n">
        <v>274631</v>
      </c>
      <c r="AA53" s="265" t="n">
        <v>262150</v>
      </c>
      <c r="AC53" s="265" t="n">
        <v>262498</v>
      </c>
      <c r="AD53" s="265" t="n">
        <v>250873</v>
      </c>
    </row>
    <row r="54">
      <c r="A54" t="inlineStr">
        <is>
          <t>Juros sobre capital próprio a pagar (BP l.38) · fonte · unid. moeda</t>
        </is>
      </c>
      <c r="B54" t="n">
        <v>26</v>
      </c>
      <c r="C54" t="inlineStr">
        <is>
          <t>Other current liabilities (non-debt)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83274</v>
      </c>
      <c r="T54" s="265" t="n">
        <v>199916</v>
      </c>
      <c r="U54" s="265" t="n">
        <v>286624</v>
      </c>
      <c r="V54" s="265" t="n">
        <v>0</v>
      </c>
      <c r="X54" s="265" t="n">
        <v>116650</v>
      </c>
      <c r="Y54" s="265" t="n">
        <v>248932</v>
      </c>
      <c r="Z54" s="265" t="n">
        <v>387991</v>
      </c>
      <c r="AA54" s="265" t="n">
        <v>338834</v>
      </c>
      <c r="AC54" s="265" t="n">
        <v>0</v>
      </c>
      <c r="AD54" s="265" t="n">
        <v>0</v>
      </c>
    </row>
    <row r="55">
      <c r="A55" t="inlineStr">
        <is>
          <t>Outros passivos (BP l.39) · fonte · unid. moeda</t>
        </is>
      </c>
      <c r="B55" t="n">
        <v>26</v>
      </c>
      <c r="C55" t="inlineStr">
        <is>
          <t>Other current liabilities (non-debt)</t>
        </is>
      </c>
      <c r="D55" s="265" t="n">
        <v>11903.76382</v>
      </c>
      <c r="E55" s="265" t="n">
        <v>11025.09488</v>
      </c>
      <c r="F55" s="265" t="n">
        <v>10107</v>
      </c>
      <c r="G55" s="265" t="n">
        <v>6485</v>
      </c>
      <c r="I55" s="265" t="n">
        <v>10036</v>
      </c>
      <c r="J55" s="265" t="n">
        <v>104094</v>
      </c>
      <c r="K55" s="265" t="n">
        <v>56304</v>
      </c>
      <c r="L55" s="265" t="n">
        <v>27794</v>
      </c>
      <c r="N55" s="265" t="n">
        <v>23079</v>
      </c>
      <c r="O55" s="265" t="n">
        <v>40228</v>
      </c>
      <c r="P55" s="265" t="n">
        <v>49173</v>
      </c>
      <c r="Q55" s="265" t="n">
        <v>76354</v>
      </c>
      <c r="S55" s="265" t="n">
        <v>95269</v>
      </c>
      <c r="T55" s="265" t="n">
        <v>138811</v>
      </c>
      <c r="U55" s="265" t="n">
        <v>172311</v>
      </c>
      <c r="V55" s="265" t="n">
        <v>214597</v>
      </c>
      <c r="X55" s="265" t="n">
        <v>114541</v>
      </c>
      <c r="Y55" s="265" t="n">
        <v>141212</v>
      </c>
      <c r="Z55" s="265" t="n">
        <v>119513</v>
      </c>
      <c r="AA55" s="265" t="n">
        <v>163349</v>
      </c>
      <c r="AC55" s="265" t="n">
        <v>312021</v>
      </c>
      <c r="AD55" s="265" t="n">
        <v>161023</v>
      </c>
    </row>
    <row r="56">
      <c r="A56" t="inlineStr">
        <is>
          <t>Partes relacionadas (BP l.40) | 2T23=16.677 e 3T23=18.094 dos releases 2T24/3T24 (planilha traz 0 e o passivo nao fecha com o total) · fonte · unid. moeda</t>
        </is>
      </c>
      <c r="B56" t="n">
        <v>26</v>
      </c>
      <c r="C56" t="inlineStr">
        <is>
          <t>Other current liabilities (non-debt)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16677</v>
      </c>
      <c r="P56" s="265" t="n">
        <v>18094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C56" s="265" t="n">
        <v>0</v>
      </c>
      <c r="AD56" s="265" t="n">
        <v>0</v>
      </c>
    </row>
    <row r="57">
      <c r="A57" t="inlineStr">
        <is>
          <t>Empréstimos, financiamentos e debêntures (BP l.44) · fonte · unid. moeda</t>
        </is>
      </c>
      <c r="B57" t="n">
        <v>30</v>
      </c>
      <c r="C57" t="inlineStr">
        <is>
          <t>Long term debt</t>
        </is>
      </c>
      <c r="D57" s="265" t="n">
        <v>482810.73958</v>
      </c>
      <c r="E57" s="265" t="n">
        <v>463176.17923</v>
      </c>
      <c r="F57" s="265" t="n">
        <v>445125</v>
      </c>
      <c r="G57" s="265" t="n">
        <v>869537</v>
      </c>
      <c r="I57" s="265" t="n">
        <v>872031</v>
      </c>
      <c r="J57" s="265" t="n">
        <v>876531</v>
      </c>
      <c r="K57" s="265" t="n">
        <v>1641207</v>
      </c>
      <c r="L57" s="265" t="n">
        <v>1638222</v>
      </c>
      <c r="N57" s="265" t="n">
        <v>1616264</v>
      </c>
      <c r="O57" s="265" t="n">
        <v>1582105</v>
      </c>
      <c r="P57" s="265" t="n">
        <v>1546724</v>
      </c>
      <c r="Q57" s="265" t="n">
        <v>1313982</v>
      </c>
      <c r="S57" s="265" t="n">
        <v>1305794</v>
      </c>
      <c r="T57" s="265" t="n">
        <v>1287123</v>
      </c>
      <c r="U57" s="265" t="n">
        <v>1259718</v>
      </c>
      <c r="V57" s="265" t="n">
        <v>1852872</v>
      </c>
      <c r="X57" s="265" t="n">
        <v>1885998</v>
      </c>
      <c r="Y57" s="265" t="n">
        <v>1866925</v>
      </c>
      <c r="Z57" s="265" t="n">
        <v>2086176</v>
      </c>
      <c r="AA57" s="265" t="n">
        <v>1656368</v>
      </c>
      <c r="AC57" s="265" t="n">
        <v>1182868</v>
      </c>
      <c r="AD57" s="265" t="n">
        <v>1194648</v>
      </c>
    </row>
    <row r="58">
      <c r="A58" t="inlineStr">
        <is>
          <t>Tributos parcelados (BP l.45) · fonte · unid. moeda</t>
        </is>
      </c>
      <c r="B58" t="n">
        <v>34</v>
      </c>
      <c r="C58" t="inlineStr">
        <is>
          <t>Other non-current liabilities</t>
        </is>
      </c>
      <c r="D58" s="265" t="n">
        <v>35156.91508</v>
      </c>
      <c r="E58" s="265" t="n">
        <v>33312.89791</v>
      </c>
      <c r="F58" s="265" t="n">
        <v>76916</v>
      </c>
      <c r="G58" s="265" t="n">
        <v>32534</v>
      </c>
      <c r="I58" s="265" t="n">
        <v>24705</v>
      </c>
      <c r="J58" s="265" t="n">
        <v>24199</v>
      </c>
      <c r="K58" s="265" t="n">
        <v>22798</v>
      </c>
      <c r="L58" s="265" t="n">
        <v>20181</v>
      </c>
      <c r="N58" s="265" t="n">
        <v>17608</v>
      </c>
      <c r="O58" s="265" t="n">
        <v>17715</v>
      </c>
      <c r="P58" s="265" t="n">
        <v>17251</v>
      </c>
      <c r="Q58" s="265" t="n">
        <v>17490</v>
      </c>
      <c r="S58" s="265" t="n">
        <v>16448</v>
      </c>
      <c r="T58" s="265" t="n">
        <v>17990</v>
      </c>
      <c r="U58" s="265" t="n">
        <v>22330</v>
      </c>
      <c r="V58" s="265" t="n">
        <v>22771</v>
      </c>
      <c r="X58" s="265" t="n">
        <v>33544</v>
      </c>
      <c r="Y58" s="265" t="n">
        <v>28707</v>
      </c>
      <c r="Z58" s="265" t="n">
        <v>57355</v>
      </c>
      <c r="AA58" s="265" t="n">
        <v>48966</v>
      </c>
      <c r="AC58" s="265" t="n">
        <v>38827</v>
      </c>
      <c r="AD58" s="265" t="n">
        <v>33089</v>
      </c>
    </row>
    <row r="59">
      <c r="A59" t="inlineStr">
        <is>
          <t>Provisão para riscos (BP l.46) · fonte · unid. moeda</t>
        </is>
      </c>
      <c r="B59" t="n">
        <v>34</v>
      </c>
      <c r="C59" t="inlineStr">
        <is>
          <t>Other non-current liabilities</t>
        </is>
      </c>
      <c r="D59" s="265" t="n">
        <v>15569.17415</v>
      </c>
      <c r="E59" s="265" t="n">
        <v>14750.47135</v>
      </c>
      <c r="F59" s="265" t="n">
        <v>14286</v>
      </c>
      <c r="G59" s="265" t="n">
        <v>15187</v>
      </c>
      <c r="I59" s="265" t="n">
        <v>15645</v>
      </c>
      <c r="J59" s="265" t="n">
        <v>13688</v>
      </c>
      <c r="K59" s="265" t="n">
        <v>12276</v>
      </c>
      <c r="L59" s="265" t="n">
        <v>28046</v>
      </c>
      <c r="N59" s="265" t="n">
        <v>26037</v>
      </c>
      <c r="O59" s="265" t="n">
        <v>55669</v>
      </c>
      <c r="P59" s="265" t="n">
        <v>57918</v>
      </c>
      <c r="Q59" s="265" t="n">
        <v>59821</v>
      </c>
      <c r="S59" s="265" t="n">
        <v>58614</v>
      </c>
      <c r="T59" s="265" t="n">
        <v>61745</v>
      </c>
      <c r="U59" s="265" t="n">
        <v>64033</v>
      </c>
      <c r="V59" s="265" t="n">
        <v>305138</v>
      </c>
      <c r="X59" s="265" t="n">
        <v>389113</v>
      </c>
      <c r="Y59" s="265" t="n">
        <v>475108</v>
      </c>
      <c r="Z59" s="265" t="n">
        <v>181884</v>
      </c>
      <c r="AA59" s="265" t="n">
        <v>97533</v>
      </c>
      <c r="AC59" s="265" t="n">
        <v>115928</v>
      </c>
      <c r="AD59" s="265" t="n">
        <v>123242</v>
      </c>
    </row>
    <row r="60">
      <c r="A60" t="inlineStr">
        <is>
          <t>Passivo fiscal diferido (BP l.47) · fonte · unid. moeda</t>
        </is>
      </c>
      <c r="B60" t="n">
        <v>33</v>
      </c>
      <c r="C60" t="inlineStr">
        <is>
          <t>Deferred income taxes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26377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Passivos de arrendamento (BP l.48) · fonte · unid. moeda</t>
        </is>
      </c>
      <c r="B61" t="n">
        <v>31</v>
      </c>
      <c r="C61" t="inlineStr">
        <is>
          <t>Long term operating leases</t>
        </is>
      </c>
      <c r="D61" s="265" t="n">
        <v>590831.99564</v>
      </c>
      <c r="E61" s="265" t="n">
        <v>634573.22806</v>
      </c>
      <c r="F61" s="265" t="n">
        <v>813529</v>
      </c>
      <c r="G61" s="265" t="n">
        <v>890536</v>
      </c>
      <c r="I61" s="265" t="n">
        <v>979426</v>
      </c>
      <c r="J61" s="265" t="n">
        <v>1175417</v>
      </c>
      <c r="K61" s="265" t="n">
        <v>1248706</v>
      </c>
      <c r="L61" s="265" t="n">
        <v>1257061</v>
      </c>
      <c r="N61" s="265" t="n">
        <v>1332143</v>
      </c>
      <c r="O61" s="265" t="n">
        <v>1603235</v>
      </c>
      <c r="P61" s="265" t="n">
        <v>1839131</v>
      </c>
      <c r="Q61" s="265" t="n">
        <v>1927542</v>
      </c>
      <c r="S61" s="265" t="n">
        <v>2030806</v>
      </c>
      <c r="T61" s="265" t="n">
        <v>1891562</v>
      </c>
      <c r="U61" s="265" t="n">
        <v>1926101</v>
      </c>
      <c r="V61" s="265" t="n">
        <v>2089299</v>
      </c>
      <c r="X61" s="265" t="n">
        <v>2393571</v>
      </c>
      <c r="Y61" s="265" t="n">
        <v>2597466</v>
      </c>
      <c r="Z61" s="265" t="n">
        <v>3513560</v>
      </c>
      <c r="AA61" s="265" t="n">
        <v>3657119</v>
      </c>
      <c r="AC61" s="265" t="n">
        <v>3709792</v>
      </c>
      <c r="AD61" s="265" t="n">
        <v>3908547</v>
      </c>
    </row>
    <row r="62">
      <c r="A62" t="inlineStr">
        <is>
          <t>Outros passivos (BP l.49) · fonte · unid. moeda</t>
        </is>
      </c>
      <c r="B62" t="n">
        <v>34</v>
      </c>
      <c r="C62" t="inlineStr">
        <is>
          <t>Other non-current liabilities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8625</v>
      </c>
      <c r="AA62" s="265" t="n">
        <v>8250</v>
      </c>
      <c r="AC62" s="265" t="n">
        <v>7875</v>
      </c>
      <c r="AD62" s="265" t="n">
        <v>7500</v>
      </c>
    </row>
    <row r="63">
      <c r="A63" t="inlineStr">
        <is>
          <t>Partes relacionadas (BP l.50) · fonte · unid. moeda</t>
        </is>
      </c>
      <c r="B63" t="n">
        <v>34</v>
      </c>
      <c r="C63" t="inlineStr">
        <is>
          <t>Other non-current liabilities</t>
        </is>
      </c>
      <c r="D63" s="265" t="n">
        <v>19976.70205</v>
      </c>
      <c r="E63" s="265" t="n">
        <v>25664</v>
      </c>
      <c r="F63" s="265" t="n">
        <v>20285</v>
      </c>
      <c r="G63" s="265" t="n">
        <v>20279</v>
      </c>
      <c r="I63" s="265" t="n">
        <v>25043</v>
      </c>
      <c r="J63" s="265" t="n">
        <v>31170.44904</v>
      </c>
      <c r="K63" s="265" t="n">
        <v>22834.938</v>
      </c>
      <c r="L63" s="265" t="n">
        <v>25096.94475</v>
      </c>
      <c r="N63" s="265" t="n">
        <v>22170.22189</v>
      </c>
      <c r="O63" s="265" t="n">
        <v>0</v>
      </c>
      <c r="P63" s="265" t="n">
        <v>0</v>
      </c>
      <c r="Q63" s="265" t="n">
        <v>29217.79394</v>
      </c>
      <c r="S63" s="265" t="n">
        <v>37542</v>
      </c>
      <c r="T63" s="265" t="n">
        <v>25947</v>
      </c>
      <c r="U63" s="265" t="n">
        <v>12989</v>
      </c>
      <c r="V63" s="265" t="n">
        <v>52544</v>
      </c>
      <c r="X63" s="265" t="n">
        <v>51355</v>
      </c>
      <c r="Y63" s="265" t="n">
        <v>36226</v>
      </c>
      <c r="Z63" s="265" t="n">
        <v>155427</v>
      </c>
      <c r="AA63" s="265" t="n">
        <v>78917</v>
      </c>
      <c r="AC63" s="265" t="n">
        <v>118043</v>
      </c>
      <c r="AD63" s="265" t="n">
        <v>26431</v>
      </c>
    </row>
    <row r="64">
      <c r="A64" t="inlineStr">
        <is>
          <t>Capital social (BP l.54) · fonte · unid. moeda</t>
        </is>
      </c>
      <c r="B64" t="n">
        <v>37</v>
      </c>
      <c r="C64" t="inlineStr">
        <is>
          <t>Common Stock and APIC</t>
        </is>
      </c>
      <c r="D64" s="265" t="n">
        <v>4780929.42447</v>
      </c>
      <c r="E64" s="265" t="n">
        <v>4780929.12447</v>
      </c>
      <c r="F64" s="265" t="n">
        <v>4780929</v>
      </c>
      <c r="G64" s="265" t="n">
        <v>4780929</v>
      </c>
      <c r="I64" s="265" t="n">
        <v>4780929</v>
      </c>
      <c r="J64" s="265" t="n">
        <v>4780929</v>
      </c>
      <c r="K64" s="265" t="n">
        <v>4780929</v>
      </c>
      <c r="L64" s="265" t="n">
        <v>4780929</v>
      </c>
      <c r="N64" s="265" t="n">
        <v>4780929</v>
      </c>
      <c r="O64" s="265" t="n">
        <v>4780929</v>
      </c>
      <c r="P64" s="265" t="n">
        <v>4777949</v>
      </c>
      <c r="Q64" s="265" t="n">
        <v>8013514</v>
      </c>
      <c r="S64" s="265" t="n">
        <v>8013514</v>
      </c>
      <c r="T64" s="265" t="n">
        <v>8013514</v>
      </c>
      <c r="U64" s="265" t="n">
        <v>8057731</v>
      </c>
      <c r="V64" s="265" t="n">
        <v>8346465</v>
      </c>
      <c r="X64" s="265" t="n">
        <v>8346465</v>
      </c>
      <c r="Y64" s="265" t="n">
        <v>8346465</v>
      </c>
      <c r="Z64" s="265" t="n">
        <v>8346465</v>
      </c>
      <c r="AA64" s="265" t="n">
        <v>8346465</v>
      </c>
      <c r="AC64" s="265" t="n">
        <v>8698233</v>
      </c>
      <c r="AD64" s="265" t="n">
        <v>8698233</v>
      </c>
    </row>
    <row r="65">
      <c r="A65" t="inlineStr">
        <is>
          <t>Ações em tesouraria (BP l.55) · fonte · unid. moeda</t>
        </is>
      </c>
      <c r="B65" t="n">
        <v>38</v>
      </c>
      <c r="C65" t="inlineStr">
        <is>
          <t>Treasury stock (contra account)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-2980</v>
      </c>
      <c r="S65" s="265" t="n">
        <v>-2980</v>
      </c>
      <c r="T65" s="265" t="n">
        <v>-13798</v>
      </c>
      <c r="U65" s="265" t="n">
        <v>-4095</v>
      </c>
      <c r="V65" s="265" t="n">
        <v>-4095</v>
      </c>
      <c r="X65" s="265" t="n">
        <v>-20299</v>
      </c>
      <c r="Y65" s="265" t="n">
        <v>-9419</v>
      </c>
      <c r="Z65" s="265" t="n">
        <v>-26425</v>
      </c>
      <c r="AA65" s="265" t="n">
        <v>-26425</v>
      </c>
      <c r="AC65" s="265" t="n">
        <v>-26425</v>
      </c>
      <c r="AD65" s="265" t="n">
        <v>-14284</v>
      </c>
    </row>
    <row r="66">
      <c r="A66" t="inlineStr">
        <is>
          <t>AFAC - Adiantamento para futuro aumento de capital (BP l.56) · fonte · unid. moeda</t>
        </is>
      </c>
      <c r="B66" t="n">
        <v>37</v>
      </c>
      <c r="C66" t="inlineStr">
        <is>
          <t>Common Stock and APIC</t>
        </is>
      </c>
      <c r="D66" s="265" t="n">
        <v>44217.03145</v>
      </c>
      <c r="E66" s="265" t="n">
        <v>44217.03145</v>
      </c>
      <c r="F66" s="265" t="n">
        <v>44217</v>
      </c>
      <c r="G66" s="265" t="n">
        <v>44217</v>
      </c>
      <c r="I66" s="265" t="n">
        <v>44217</v>
      </c>
      <c r="J66" s="265" t="n">
        <v>44217</v>
      </c>
      <c r="K66" s="265" t="n">
        <v>44217</v>
      </c>
      <c r="L66" s="265" t="n">
        <v>44217</v>
      </c>
      <c r="N66" s="265" t="n">
        <v>44217</v>
      </c>
      <c r="O66" s="265" t="n">
        <v>44217</v>
      </c>
      <c r="P66" s="265" t="n">
        <v>44217</v>
      </c>
      <c r="Q66" s="265" t="n">
        <v>44217</v>
      </c>
      <c r="S66" s="265" t="n">
        <v>44217</v>
      </c>
      <c r="T66" s="265" t="n">
        <v>44217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12934</v>
      </c>
      <c r="AC66" s="265" t="n">
        <v>0</v>
      </c>
      <c r="AD66" s="265" t="n">
        <v>0</v>
      </c>
    </row>
    <row r="67">
      <c r="A67" t="inlineStr">
        <is>
          <t>Reserva legal (BP l.57) · fonte · unid. moeda</t>
        </is>
      </c>
      <c r="B67" t="n">
        <v>41</v>
      </c>
      <c r="C67" t="inlineStr">
        <is>
          <t>Retained earnings</t>
        </is>
      </c>
      <c r="D67" s="265" t="n">
        <v>48733</v>
      </c>
      <c r="E67" s="265" t="n">
        <v>58113</v>
      </c>
      <c r="F67" s="265" t="n">
        <v>68608</v>
      </c>
      <c r="G67" s="265" t="n">
        <v>78902</v>
      </c>
      <c r="I67" s="265" t="n">
        <v>88738</v>
      </c>
      <c r="J67" s="265" t="n">
        <v>101796</v>
      </c>
      <c r="K67" s="265" t="n">
        <v>116159</v>
      </c>
      <c r="L67" s="265" t="n">
        <v>131523</v>
      </c>
      <c r="N67" s="265" t="n">
        <v>143358.95</v>
      </c>
      <c r="O67" s="265" t="n">
        <v>157851</v>
      </c>
      <c r="P67" s="265" t="n">
        <v>173321</v>
      </c>
      <c r="Q67" s="265" t="n">
        <v>192566</v>
      </c>
      <c r="S67" s="265" t="n">
        <v>192566</v>
      </c>
      <c r="T67" s="265" t="n">
        <v>192566</v>
      </c>
      <c r="U67" s="265" t="n">
        <v>192566</v>
      </c>
      <c r="V67" s="265" t="n">
        <v>258476</v>
      </c>
      <c r="X67" s="265" t="n">
        <v>258476</v>
      </c>
      <c r="Y67" s="265" t="n">
        <v>258476</v>
      </c>
      <c r="Z67" s="265" t="n">
        <v>258476</v>
      </c>
      <c r="AA67" s="265" t="n">
        <v>350122</v>
      </c>
      <c r="AC67" s="265" t="n">
        <v>350122</v>
      </c>
      <c r="AD67" s="265" t="n">
        <v>350122</v>
      </c>
    </row>
    <row r="68">
      <c r="A68" t="inlineStr">
        <is>
          <t>Reserva para incentivos fiscais (BP l.58) · fonte · unid. moeda</t>
        </is>
      </c>
      <c r="B68" t="n">
        <v>41</v>
      </c>
      <c r="C68" t="inlineStr">
        <is>
          <t>Retained earnings</t>
        </is>
      </c>
      <c r="D68" s="265" t="n">
        <v>925924</v>
      </c>
      <c r="E68" s="265" t="n">
        <v>1104151</v>
      </c>
      <c r="F68" s="265" t="n">
        <v>1303567</v>
      </c>
      <c r="G68" s="265" t="n">
        <v>1499139</v>
      </c>
      <c r="I68" s="265" t="n">
        <v>1686021</v>
      </c>
      <c r="J68" s="265" t="n">
        <v>1934133</v>
      </c>
      <c r="K68" s="265" t="n">
        <v>2207022</v>
      </c>
      <c r="L68" s="265" t="n">
        <v>2498937</v>
      </c>
      <c r="N68" s="265" t="n">
        <v>2723819.05</v>
      </c>
      <c r="O68" s="265" t="n">
        <v>2999171</v>
      </c>
      <c r="P68" s="265" t="n">
        <v>3291894</v>
      </c>
      <c r="Q68" s="265" t="n">
        <v>424955</v>
      </c>
      <c r="S68" s="265" t="n">
        <v>328673</v>
      </c>
      <c r="T68" s="265" t="n">
        <v>193811</v>
      </c>
      <c r="U68" s="265" t="n">
        <v>93413</v>
      </c>
      <c r="V68" s="265" t="n">
        <v>424955</v>
      </c>
      <c r="X68" s="265" t="n">
        <v>424955</v>
      </c>
      <c r="Y68" s="265" t="n">
        <v>424955</v>
      </c>
      <c r="Z68" s="265" t="n">
        <v>424955</v>
      </c>
      <c r="AA68" s="265" t="n">
        <v>424955</v>
      </c>
      <c r="AC68" s="265" t="n">
        <v>424955</v>
      </c>
      <c r="AD68" s="265" t="n">
        <v>424955</v>
      </c>
    </row>
    <row r="69">
      <c r="A69" t="inlineStr">
        <is>
          <t>Reserva de retenção de lucros (BP l.59) · fonte · unid. moeda</t>
        </is>
      </c>
      <c r="B69" t="n">
        <v>41</v>
      </c>
      <c r="C69" t="inlineStr">
        <is>
          <t>Retained earnings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129809</v>
      </c>
      <c r="X69" s="265" t="n">
        <v>129809</v>
      </c>
      <c r="Y69" s="265" t="n">
        <v>129809</v>
      </c>
      <c r="Z69" s="265" t="n">
        <v>-318799</v>
      </c>
      <c r="AA69" s="265" t="n">
        <v>1275906</v>
      </c>
      <c r="AC69" s="265" t="n">
        <v>1275906</v>
      </c>
      <c r="AD69" s="265" t="n">
        <v>1275906</v>
      </c>
    </row>
    <row r="70">
      <c r="A70" t="inlineStr">
        <is>
          <t>Reserva de lucros acumulados do período (BP l.60) · fonte · unid. moeda</t>
        </is>
      </c>
      <c r="B70" t="n">
        <v>41</v>
      </c>
      <c r="C70" t="inlineStr">
        <is>
          <t>Retained earnings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237810</v>
      </c>
      <c r="T70" s="265" t="n">
        <v>562007</v>
      </c>
      <c r="U70" s="265" t="n">
        <v>935145</v>
      </c>
      <c r="V70" s="265" t="n">
        <v>0</v>
      </c>
      <c r="X70" s="265" t="n">
        <v>137235</v>
      </c>
      <c r="Y70" s="265" t="n">
        <v>376751</v>
      </c>
      <c r="Z70" s="265" t="n">
        <v>1508655</v>
      </c>
      <c r="AA70" s="265" t="n">
        <v>0</v>
      </c>
      <c r="AC70" s="265" t="n">
        <v>212881</v>
      </c>
      <c r="AD70" s="265" t="n">
        <v>449686</v>
      </c>
    </row>
    <row r="71">
      <c r="A71" t="inlineStr">
        <is>
          <t>Patrimônio líquido atribuído à participação dos acionistas não controladores (BP l.63) · fonte · unid. moeda</t>
        </is>
      </c>
      <c r="B71" t="n">
        <v>35</v>
      </c>
      <c r="C71" t="inlineStr">
        <is>
          <t>Minority interest</t>
        </is>
      </c>
      <c r="D71" s="265" t="n">
        <v>64457</v>
      </c>
      <c r="E71" s="265" t="n">
        <v>67415</v>
      </c>
      <c r="F71" s="265" t="n">
        <v>70928</v>
      </c>
      <c r="G71" s="265" t="n">
        <v>73394</v>
      </c>
      <c r="I71" s="265" t="n">
        <v>75890</v>
      </c>
      <c r="J71" s="265" t="n">
        <v>79272</v>
      </c>
      <c r="K71" s="265" t="n">
        <v>82943</v>
      </c>
      <c r="L71" s="265" t="n">
        <v>86379</v>
      </c>
      <c r="N71" s="265" t="n">
        <v>89272.39999999999</v>
      </c>
      <c r="O71" s="265" t="n">
        <v>93836</v>
      </c>
      <c r="P71" s="265" t="n">
        <v>98030</v>
      </c>
      <c r="Q71" s="265" t="n">
        <v>101241</v>
      </c>
      <c r="S71" s="265" t="n">
        <v>103804</v>
      </c>
      <c r="T71" s="265" t="n">
        <v>108517</v>
      </c>
      <c r="U71" s="265" t="n">
        <v>121956</v>
      </c>
      <c r="V71" s="265" t="n">
        <v>76683</v>
      </c>
      <c r="X71" s="265" t="n">
        <v>79696</v>
      </c>
      <c r="Y71" s="265" t="n">
        <v>85385</v>
      </c>
      <c r="Z71" s="265" t="n">
        <v>1058071</v>
      </c>
      <c r="AA71" s="265" t="n">
        <v>1083859</v>
      </c>
      <c r="AC71" s="265" t="n">
        <v>1061900</v>
      </c>
      <c r="AD71" s="265" t="n">
        <v>1160623</v>
      </c>
    </row>
    <row r="72">
      <c r="A72" t="inlineStr">
        <is>
          <t>BALANCO - totais divulgados (memoria)</t>
        </is>
      </c>
      <c r="C72" t="inlineStr">
        <is>
          <t>[linha bruta, sem código; lançada nas linhas abaixo]</t>
        </is>
      </c>
      <c r="D72" s="265" t="n"/>
      <c r="E72" s="265" t="n"/>
      <c r="F72" s="265" t="n"/>
      <c r="G72" s="265" t="n"/>
      <c r="I72" s="265" t="n"/>
      <c r="J72" s="265" t="n"/>
      <c r="K72" s="265" t="n"/>
      <c r="L72" s="265" t="n"/>
      <c r="N72" s="265" t="n"/>
      <c r="O72" s="265" t="n"/>
      <c r="P72" s="265" t="n"/>
      <c r="Q72" s="265" t="n"/>
      <c r="S72" s="265" t="n"/>
      <c r="T72" s="265" t="n"/>
      <c r="U72" s="265" t="n"/>
      <c r="V72" s="265" t="n"/>
      <c r="X72" s="265" t="n"/>
      <c r="Y72" s="265" t="n"/>
      <c r="Z72" s="265" t="n"/>
      <c r="AA72" s="265" t="n"/>
      <c r="AC72" s="265" t="n"/>
      <c r="AD72" s="265" t="n"/>
    </row>
    <row r="73">
      <c r="A73" t="inlineStr">
        <is>
          <t>Total do ativo (BP l.27) · memoria · unid. moeda</t>
        </is>
      </c>
      <c r="C73" t="inlineStr">
        <is>
          <t>[linha bruta, sem código; lançada nas linhas abaixo]</t>
        </is>
      </c>
      <c r="D73" s="265" t="n">
        <v>8181505.33024</v>
      </c>
      <c r="E73" s="265" t="n">
        <v>8758601.28273</v>
      </c>
      <c r="F73" s="265" t="n">
        <v>9205963</v>
      </c>
      <c r="G73" s="265" t="n">
        <v>9954991</v>
      </c>
      <c r="I73" s="265" t="n">
        <v>10460070</v>
      </c>
      <c r="J73" s="265" t="n">
        <v>11434974.44904</v>
      </c>
      <c r="K73" s="265" t="n">
        <v>12387778.938</v>
      </c>
      <c r="L73" s="265" t="n">
        <v>13263937.94475</v>
      </c>
      <c r="N73" s="265" t="n">
        <v>13726170.22189</v>
      </c>
      <c r="O73" s="265" t="n">
        <v>14378139</v>
      </c>
      <c r="P73" s="265" t="n">
        <v>15056338</v>
      </c>
      <c r="Q73" s="265" t="n">
        <v>16357295.79394</v>
      </c>
      <c r="S73" s="265" t="n">
        <v>16519334</v>
      </c>
      <c r="T73" s="265" t="n">
        <v>17131007.70197</v>
      </c>
      <c r="U73" s="265" t="n">
        <v>17900655</v>
      </c>
      <c r="V73" s="265" t="n">
        <v>18228167</v>
      </c>
      <c r="X73" s="265" t="n">
        <v>19342417</v>
      </c>
      <c r="Y73" s="265" t="n">
        <v>19666720.10598</v>
      </c>
      <c r="Z73" s="265" t="n">
        <v>23696093</v>
      </c>
      <c r="AA73" s="265" t="n">
        <v>24352014</v>
      </c>
      <c r="AC73" s="265" t="n">
        <v>24737405</v>
      </c>
      <c r="AD73" s="265" t="n">
        <v>25153122</v>
      </c>
    </row>
    <row r="74">
      <c r="A74" t="inlineStr">
        <is>
          <t>Total do passivo e do patrimônio líquido (BP l.66) | 2T23 e 3T23 dos releases 2T24/3T24 (planilha soma sem as partes relacionadas) · memoria · unid. moeda</t>
        </is>
      </c>
      <c r="C74" t="inlineStr">
        <is>
          <t>[linha bruta, sem código; lançada nas linhas abaixo]</t>
        </is>
      </c>
      <c r="D74" s="265" t="n">
        <v>8181505.29524</v>
      </c>
      <c r="E74" s="265" t="n">
        <v>8758601.562379999</v>
      </c>
      <c r="F74" s="265" t="n">
        <v>9205963</v>
      </c>
      <c r="G74" s="265" t="n">
        <v>9954991</v>
      </c>
      <c r="I74" s="265" t="n">
        <v>10460070</v>
      </c>
      <c r="J74" s="265" t="n">
        <v>11434974.44904</v>
      </c>
      <c r="K74" s="265" t="n">
        <v>12387778.938</v>
      </c>
      <c r="L74" s="265" t="n">
        <v>13263937.94475</v>
      </c>
      <c r="N74" s="265" t="n">
        <v>13726169.62189</v>
      </c>
      <c r="O74" s="265" t="n">
        <v>14378139</v>
      </c>
      <c r="P74" s="265" t="n">
        <v>15056338</v>
      </c>
      <c r="Q74" s="265" t="n">
        <v>16357295.79394</v>
      </c>
      <c r="S74" s="265" t="n">
        <v>16519334</v>
      </c>
      <c r="T74" s="265" t="n">
        <v>17131008</v>
      </c>
      <c r="U74" s="265" t="n">
        <v>17900655</v>
      </c>
      <c r="V74" s="265" t="n">
        <v>18228167</v>
      </c>
      <c r="X74" s="265" t="n">
        <v>19342417</v>
      </c>
      <c r="Y74" s="265" t="n">
        <v>19666720</v>
      </c>
      <c r="Z74" s="265" t="n">
        <v>23696093</v>
      </c>
      <c r="AA74" s="265" t="n">
        <v>24352014</v>
      </c>
      <c r="AC74" s="265" t="n">
        <v>24737405</v>
      </c>
      <c r="AD74" s="265" t="n">
        <v>25153122</v>
      </c>
    </row>
    <row r="75">
      <c r="A75" t="inlineStr">
        <is>
          <t>Total do patrimônio líquido (BP l.64) · memoria · unid. moeda</t>
        </is>
      </c>
      <c r="C75" t="inlineStr">
        <is>
          <t>[linha bruta, sem código; lançada nas linhas abaixo]</t>
        </is>
      </c>
      <c r="D75" s="265" t="n">
        <v>5864260.45592</v>
      </c>
      <c r="E75" s="265" t="n">
        <v>6054825.15592</v>
      </c>
      <c r="F75" s="265" t="n">
        <v>6268249</v>
      </c>
      <c r="G75" s="265" t="n">
        <v>6476581</v>
      </c>
      <c r="I75" s="265" t="n">
        <v>6675795.22437</v>
      </c>
      <c r="J75" s="265" t="n">
        <v>6940347</v>
      </c>
      <c r="K75" s="265" t="n">
        <v>7231270</v>
      </c>
      <c r="L75" s="265" t="n">
        <v>7541985</v>
      </c>
      <c r="N75" s="265" t="n">
        <v>7781596.4</v>
      </c>
      <c r="O75" s="265" t="n">
        <v>8076004</v>
      </c>
      <c r="P75" s="265" t="n">
        <v>8385411</v>
      </c>
      <c r="Q75" s="265" t="n">
        <v>8773513</v>
      </c>
      <c r="S75" s="265" t="n">
        <v>8917604</v>
      </c>
      <c r="T75" s="265" t="n">
        <v>9100834</v>
      </c>
      <c r="U75" s="265" t="n">
        <v>9396716</v>
      </c>
      <c r="V75" s="265" t="n">
        <v>9232293</v>
      </c>
      <c r="X75" s="265" t="n">
        <v>9356337</v>
      </c>
      <c r="Y75" s="265" t="n">
        <v>9612422</v>
      </c>
      <c r="Z75" s="265" t="n">
        <v>11251398</v>
      </c>
      <c r="AA75" s="265" t="n">
        <v>11467816</v>
      </c>
      <c r="AC75" s="265" t="n">
        <v>11997572</v>
      </c>
      <c r="AD75" s="265" t="n">
        <v>12345241</v>
      </c>
    </row>
    <row r="76">
      <c r="A76" t="inlineStr">
        <is>
          <t>CHECKS (devem ser 0)</t>
        </is>
      </c>
      <c r="C76" t="inlineStr">
        <is>
          <t>[linha bruta, sem código; lançada nas linhas abaixo]</t>
        </is>
      </c>
      <c r="D76" s="265" t="n"/>
      <c r="E76" s="265" t="n"/>
      <c r="F76" s="265" t="n"/>
      <c r="G76" s="265" t="n"/>
      <c r="I76" s="265" t="n"/>
      <c r="J76" s="265" t="n"/>
      <c r="K76" s="265" t="n"/>
      <c r="L76" s="265" t="n"/>
      <c r="N76" s="265" t="n"/>
      <c r="O76" s="265" t="n"/>
      <c r="P76" s="265" t="n"/>
      <c r="Q76" s="265" t="n"/>
      <c r="S76" s="265" t="n"/>
      <c r="T76" s="265" t="n"/>
      <c r="U76" s="265" t="n"/>
      <c r="V76" s="265" t="n"/>
      <c r="X76" s="265" t="n"/>
      <c r="Y76" s="265" t="n"/>
      <c r="Z76" s="265" t="n"/>
      <c r="AA76" s="265" t="n"/>
      <c r="AC76" s="265" t="n"/>
      <c r="AD76" s="265" t="n"/>
    </row>
    <row r="77">
      <c r="A77" t="inlineStr">
        <is>
          <t>CHECK: receita + custo + despesas op. + resultado financeiro + IR - lucro liquido combinado · derivada · unid. moeda</t>
        </is>
      </c>
      <c r="C77" t="inlineStr">
        <is>
          <t>[linha bruta, sem código; lançada nas linhas abaixo]</t>
        </is>
      </c>
      <c r="D77" s="265">
        <f>ROUND(D5+D6+D7+D8+D9+D10+D11+D12-D13,0)</f>
        <v>0</v>
      </c>
      <c r="E77" s="265">
        <f>ROUND(E5+E6+E7+E8+E9+E10+E11+E12-E13,0)</f>
        <v>0</v>
      </c>
      <c r="F77" s="265">
        <f>ROUND(F5+F6+F7+F8+F9+F10+F11+F12-F13,0)</f>
        <v>0</v>
      </c>
      <c r="G77" s="265">
        <f>ROUND(G5+G6+G7+G8+G9+G10+G11+G12-G13,0)</f>
        <v>0</v>
      </c>
      <c r="I77" s="265">
        <f>ROUND(I5+I6+I7+I8+I9+I10+I11+I12-I13,0)</f>
        <v>0</v>
      </c>
      <c r="J77" s="265">
        <f>ROUND(J5+J6+J7+J8+J9+J10+J11+J12-J13,0)</f>
        <v>0</v>
      </c>
      <c r="K77" s="265">
        <f>ROUND(K5+K6+K7+K8+K9+K10+K11+K12-K13,0)</f>
        <v>0</v>
      </c>
      <c r="L77" s="265">
        <f>ROUND(L5+L6+L7+L8+L9+L10+L11+L12-L13,0)</f>
        <v>0</v>
      </c>
      <c r="N77" s="265">
        <f>ROUND(N5+N6+N7+N8+N9+N10+N11+N12-N13,0)</f>
        <v>0</v>
      </c>
      <c r="O77" s="265">
        <f>ROUND(O5+O6+O7+O8+O9+O10+O11+O12-O13,0)</f>
        <v>0</v>
      </c>
      <c r="P77" s="265">
        <f>ROUND(P5+P6+P7+P8+P9+P10+P11+P12-P13,0)</f>
        <v>0</v>
      </c>
      <c r="Q77" s="265">
        <f>ROUND(Q5+Q6+Q7+Q8+Q9+Q10+Q11+Q12-Q13,0)</f>
        <v>0</v>
      </c>
      <c r="S77" s="265">
        <f>ROUND(S5+S6+S7+S8+S9+S10+S11+S12-S13,0)</f>
        <v>0</v>
      </c>
      <c r="T77" s="265">
        <f>ROUND(T5+T6+T7+T8+T9+T10+T11+T12-T13,0)</f>
        <v>0</v>
      </c>
      <c r="U77" s="265">
        <f>ROUND(U5+U6+U7+U8+U9+U10+U11+U12-U13,0)</f>
        <v>0</v>
      </c>
      <c r="V77" s="265">
        <f>ROUND(V5+V6+V7+V8+V9+V10+V11+V12-V13,0)</f>
        <v>0</v>
      </c>
      <c r="X77" s="265">
        <f>ROUND(X5+X6+X7+X8+X9+X10+X11+X12-X13,0)</f>
        <v>0</v>
      </c>
      <c r="Y77" s="265">
        <f>ROUND(Y5+Y6+Y7+Y8+Y9+Y10+Y11+Y12-Y13,0)</f>
        <v>0</v>
      </c>
      <c r="Z77" s="265">
        <f>ROUND(Z5+Z6+Z7+Z8+Z9+Z10+Z11+Z12-Z13,0)</f>
        <v>0</v>
      </c>
      <c r="AA77" s="265">
        <f>ROUND(AA5+AA6+AA7+AA8+AA9+AA10+AA11+AA12-AA13,0)</f>
        <v>0</v>
      </c>
      <c r="AC77" s="265">
        <f>ROUND(AC5+AC6+AC7+AC8+AC9+AC10+AC11+AC12-AC13,0)</f>
        <v>0</v>
      </c>
      <c r="AD77" s="265">
        <f>ROUND(AD5+AD6+AD7+AD8+AD9+AD10+AD11+AD12-AD13,0)</f>
        <v>0</v>
      </c>
    </row>
    <row r="78">
      <c r="A78" t="inlineStr">
        <is>
          <t>CHECK: D&amp;A (l.32 + l.33) + EBIT - EBITDA divulgado · derivada · unid. moeda</t>
        </is>
      </c>
      <c r="C78" t="inlineStr">
        <is>
          <t>[linha bruta, sem código; lançada nas linhas abaixo]</t>
        </is>
      </c>
      <c r="D78" s="265">
        <f>ROUND(D26+D20-D19,0)</f>
        <v>0</v>
      </c>
      <c r="E78" s="265">
        <f>ROUND(E26+E20-E19,0)</f>
        <v>0</v>
      </c>
      <c r="F78" s="265">
        <f>ROUND(F26+F20-F19,0)</f>
        <v>0</v>
      </c>
      <c r="G78" s="265">
        <f>ROUND(G26+G20-G19,0)</f>
        <v>0</v>
      </c>
      <c r="I78" s="265">
        <f>ROUND(I26+I20-I19,0)</f>
        <v>0</v>
      </c>
      <c r="J78" s="265">
        <f>ROUND(J26+J20-J19,0)</f>
        <v>0</v>
      </c>
      <c r="K78" s="265">
        <f>ROUND(K26+K20-K19,0)</f>
        <v>0</v>
      </c>
      <c r="L78" s="265">
        <f>ROUND(L26+L20-L19,0)</f>
        <v>0</v>
      </c>
      <c r="N78" s="265">
        <f>ROUND(N26+N20-N19,0)</f>
        <v>0</v>
      </c>
      <c r="O78" s="265">
        <f>ROUND(O26+O20-O19,0)</f>
        <v>0</v>
      </c>
      <c r="P78" s="265">
        <f>ROUND(P26+P20-P19,0)</f>
        <v>0</v>
      </c>
      <c r="Q78" s="265">
        <f>ROUND(Q26+Q20-Q19,0)</f>
        <v>0</v>
      </c>
      <c r="S78" s="265">
        <f>ROUND(S26+S20-S19,0)</f>
        <v>0</v>
      </c>
      <c r="T78" s="265">
        <f>ROUND(T26+T20-T19,0)</f>
        <v>0</v>
      </c>
      <c r="U78" s="265">
        <f>ROUND(U26+U20-U19,0)</f>
        <v>0</v>
      </c>
      <c r="V78" s="265">
        <f>ROUND(V26+V20-V19,0)</f>
        <v>0</v>
      </c>
      <c r="X78" s="265">
        <f>ROUND(X26+X20-X19,0)</f>
        <v>0</v>
      </c>
      <c r="Y78" s="265">
        <f>ROUND(Y26+Y20-Y19,0)</f>
        <v>0</v>
      </c>
      <c r="Z78" s="265">
        <f>ROUND(Z26+Z20-Z19,0)</f>
        <v>0</v>
      </c>
      <c r="AA78" s="265">
        <f>ROUND(AA26+AA20-AA19,0)</f>
        <v>0</v>
      </c>
      <c r="AC78" s="265">
        <f>ROUND(AC26+AC20-AC19,0)</f>
        <v>0</v>
      </c>
      <c r="AD78" s="265">
        <f>ROUND(AD26+AD20-AD19,0)</f>
        <v>0</v>
      </c>
    </row>
    <row r="79">
      <c r="A79" t="inlineStr">
        <is>
          <t>CHECK: contas de ativo - ativo total · derivada · unid. moeda</t>
        </is>
      </c>
      <c r="C79" t="inlineStr">
        <is>
          <t>[linha bruta, sem código; lançada nas linhas abaixo]</t>
        </is>
      </c>
      <c r="D79" s="265">
        <f>ROUND(D33+D34+D35+D36+D37+D38+D39+D40+D41+D42+D43+D44+D45+D46+D47-D73,0)</f>
        <v>0</v>
      </c>
      <c r="E79" s="265">
        <f>ROUND(E33+E34+E35+E36+E37+E38+E39+E40+E41+E42+E43+E44+E45+E46+E47-E73,0)</f>
        <v>0</v>
      </c>
      <c r="F79" s="265">
        <f>ROUND(F33+F34+F35+F36+F37+F38+F39+F40+F41+F42+F43+F44+F45+F46+F47-F73,0)</f>
        <v>0</v>
      </c>
      <c r="G79" s="265">
        <f>ROUND(G33+G34+G35+G36+G37+G38+G39+G40+G41+G42+G43+G44+G45+G46+G47-G73,0)</f>
        <v>0</v>
      </c>
      <c r="I79" s="265">
        <f>ROUND(I33+I34+I35+I36+I37+I38+I39+I40+I41+I42+I43+I44+I45+I46+I47-I73,0)</f>
        <v>0</v>
      </c>
      <c r="J79" s="265">
        <f>ROUND(J33+J34+J35+J36+J37+J38+J39+J40+J41+J42+J43+J44+J45+J46+J47-J73,0)</f>
        <v>0</v>
      </c>
      <c r="K79" s="265">
        <f>ROUND(K33+K34+K35+K36+K37+K38+K39+K40+K41+K42+K43+K44+K45+K46+K47-K73,0)</f>
        <v>0</v>
      </c>
      <c r="L79" s="265">
        <f>ROUND(L33+L34+L35+L36+L37+L38+L39+L40+L41+L42+L43+L44+L45+L46+L47-L73,0)</f>
        <v>0</v>
      </c>
      <c r="N79" s="265">
        <f>ROUND(N33+N34+N35+N36+N37+N38+N39+N40+N41+N42+N43+N44+N45+N46+N47-N73,0)</f>
        <v>0</v>
      </c>
      <c r="O79" s="265">
        <f>ROUND(O33+O34+O35+O36+O37+O38+O39+O40+O41+O42+O43+O44+O45+O46+O47-O73,0)</f>
        <v>0</v>
      </c>
      <c r="P79" s="265">
        <f>ROUND(P33+P34+P35+P36+P37+P38+P39+P40+P41+P42+P43+P44+P45+P46+P47-P73,0)</f>
        <v>0</v>
      </c>
      <c r="Q79" s="265">
        <f>ROUND(Q33+Q34+Q35+Q36+Q37+Q38+Q39+Q40+Q41+Q42+Q43+Q44+Q45+Q46+Q47-Q73,0)</f>
        <v>0</v>
      </c>
      <c r="S79" s="265">
        <f>ROUND(S33+S34+S35+S36+S37+S38+S39+S40+S41+S42+S43+S44+S45+S46+S47-S73,0)</f>
        <v>0</v>
      </c>
      <c r="T79" s="265">
        <f>ROUND(T33+T34+T35+T36+T37+T38+T39+T40+T41+T42+T43+T44+T45+T46+T47-T73,0)</f>
        <v>0</v>
      </c>
      <c r="U79" s="265">
        <f>ROUND(U33+U34+U35+U36+U37+U38+U39+U40+U41+U42+U43+U44+U45+U46+U47-U73,0)</f>
        <v>0</v>
      </c>
      <c r="V79" s="265">
        <f>ROUND(V33+V34+V35+V36+V37+V38+V39+V40+V41+V42+V43+V44+V45+V46+V47-V73,0)</f>
        <v>0</v>
      </c>
      <c r="X79" s="265">
        <f>ROUND(X33+X34+X35+X36+X37+X38+X39+X40+X41+X42+X43+X44+X45+X46+X47-X73,0)</f>
        <v>0</v>
      </c>
      <c r="Y79" s="265">
        <f>ROUND(Y33+Y34+Y35+Y36+Y37+Y38+Y39+Y40+Y41+Y42+Y43+Y44+Y45+Y46+Y47-Y73,0)</f>
        <v>0</v>
      </c>
      <c r="Z79" s="265">
        <f>ROUND(Z33+Z34+Z35+Z36+Z37+Z38+Z39+Z40+Z41+Z42+Z43+Z44+Z45+Z46+Z47-Z73,0)</f>
        <v>0</v>
      </c>
      <c r="AA79" s="265">
        <f>ROUND(AA33+AA34+AA35+AA36+AA37+AA38+AA39+AA40+AA41+AA42+AA43+AA44+AA45+AA46+AA47-AA73,0)</f>
        <v>0</v>
      </c>
      <c r="AC79" s="265">
        <f>ROUND(AC33+AC34+AC35+AC36+AC37+AC38+AC39+AC40+AC41+AC42+AC43+AC44+AC45+AC46+AC47-AC73,0)</f>
        <v>0</v>
      </c>
      <c r="AD79" s="265">
        <f>ROUND(AD33+AD34+AD35+AD36+AD37+AD38+AD39+AD40+AD41+AD42+AD43+AD44+AD45+AD46+AD47-AD73,0)</f>
        <v>0</v>
      </c>
    </row>
    <row r="80">
      <c r="A80" t="inlineStr">
        <is>
          <t>CHECK: passivo + PL - passivo total · derivada · unid. moeda</t>
        </is>
      </c>
      <c r="C80" t="inlineStr">
        <is>
          <t>[linha bruta, sem código; lançada nas linhas abaixo]</t>
        </is>
      </c>
      <c r="D80" s="265">
        <f>ROUND(D48+D49+D50+D51+D52+D53+D54+D55+D56+D57+D58+D59+D60+D61+D62+D63+D64+D65+D66+D67+D68+D69+D70+D71-D74,0)</f>
        <v>0</v>
      </c>
      <c r="E80" s="265">
        <f>ROUND(E48+E49+E50+E51+E52+E53+E54+E55+E56+E57+E58+E59+E60+E61+E62+E63+E64+E65+E66+E67+E68+E69+E70+E71-E74,0)</f>
        <v>0</v>
      </c>
      <c r="F80" s="265">
        <f>ROUND(F48+F49+F50+F51+F52+F53+F54+F55+F56+F57+F58+F59+F60+F61+F62+F63+F64+F65+F66+F67+F68+F69+F70+F71-F74,0)</f>
        <v>0</v>
      </c>
      <c r="G80" s="265">
        <f>ROUND(G48+G49+G50+G51+G52+G53+G54+G55+G56+G57+G58+G59+G60+G61+G62+G63+G64+G65+G66+G67+G68+G69+G70+G71-G74,0)</f>
        <v>0</v>
      </c>
      <c r="I80" s="265">
        <f>ROUND(I48+I49+I50+I51+I52+I53+I54+I55+I56+I57+I58+I59+I60+I61+I62+I63+I64+I65+I66+I67+I68+I69+I70+I71-I74,0)</f>
        <v>0</v>
      </c>
      <c r="J80" s="265">
        <f>ROUND(J48+J49+J50+J51+J52+J53+J54+J55+J56+J57+J58+J59+J60+J61+J62+J63+J64+J65+J66+J67+J68+J69+J70+J71-J74,0)</f>
        <v>0</v>
      </c>
      <c r="K80" s="265">
        <f>ROUND(K48+K49+K50+K51+K52+K53+K54+K55+K56+K57+K58+K59+K60+K61+K62+K63+K64+K65+K66+K67+K68+K69+K70+K71-K74,0)</f>
        <v>0</v>
      </c>
      <c r="L80" s="265">
        <f>ROUND(L48+L49+L50+L51+L52+L53+L54+L55+L56+L57+L58+L59+L60+L61+L62+L63+L64+L65+L66+L67+L68+L69+L70+L71-L74,0)</f>
        <v>0</v>
      </c>
      <c r="N80" s="265">
        <f>ROUND(N48+N49+N50+N51+N52+N53+N54+N55+N56+N57+N58+N59+N60+N61+N62+N63+N64+N65+N66+N67+N68+N69+N70+N71-N74,0)</f>
        <v>0</v>
      </c>
      <c r="O80" s="265">
        <f>ROUND(O48+O49+O50+O51+O52+O53+O54+O55+O56+O57+O58+O59+O60+O61+O62+O63+O64+O65+O66+O67+O68+O69+O70+O71-O74,0)</f>
        <v>0</v>
      </c>
      <c r="P80" s="265">
        <f>ROUND(P48+P49+P50+P51+P52+P53+P54+P55+P56+P57+P58+P59+P60+P61+P62+P63+P64+P65+P66+P67+P68+P69+P70+P71-P74,0)</f>
        <v>0</v>
      </c>
      <c r="Q80" s="265">
        <f>ROUND(Q48+Q49+Q50+Q51+Q52+Q53+Q54+Q55+Q56+Q57+Q58+Q59+Q60+Q61+Q62+Q63+Q64+Q65+Q66+Q67+Q68+Q69+Q70+Q71-Q74,0)</f>
        <v>0</v>
      </c>
      <c r="S80" s="265">
        <f>ROUND(S48+S49+S50+S51+S52+S53+S54+S55+S56+S57+S58+S59+S60+S61+S62+S63+S64+S65+S66+S67+S68+S69+S70+S71-S74,0)</f>
        <v>0</v>
      </c>
      <c r="T80" s="265">
        <f>ROUND(T48+T49+T50+T51+T52+T53+T54+T55+T56+T57+T58+T59+T60+T61+T62+T63+T64+T65+T66+T67+T68+T69+T70+T71-T74,0)</f>
        <v>0</v>
      </c>
      <c r="U80" s="265">
        <f>ROUND(U48+U49+U50+U51+U52+U53+U54+U55+U56+U57+U58+U59+U60+U61+U62+U63+U64+U65+U66+U67+U68+U69+U70+U71-U74,0)</f>
        <v>0</v>
      </c>
      <c r="V80" s="265">
        <f>ROUND(V48+V49+V50+V51+V52+V53+V54+V55+V56+V57+V58+V59+V60+V61+V62+V63+V64+V65+V66+V67+V68+V69+V70+V71-V74,0)</f>
        <v>0</v>
      </c>
      <c r="X80" s="265">
        <f>ROUND(X48+X49+X50+X51+X52+X53+X54+X55+X56+X57+X58+X59+X60+X61+X62+X63+X64+X65+X66+X67+X68+X69+X70+X71-X74,0)</f>
        <v>0</v>
      </c>
      <c r="Y80" s="265">
        <f>ROUND(Y48+Y49+Y50+Y51+Y52+Y53+Y54+Y55+Y56+Y57+Y58+Y59+Y60+Y61+Y62+Y63+Y64+Y65+Y66+Y67+Y68+Y69+Y70+Y71-Y74,0)</f>
        <v>0</v>
      </c>
      <c r="Z80" s="265">
        <f>ROUND(Z48+Z49+Z50+Z51+Z52+Z53+Z54+Z55+Z56+Z57+Z58+Z59+Z60+Z61+Z62+Z63+Z64+Z65+Z66+Z67+Z68+Z69+Z70+Z71-Z74,0)</f>
        <v>0</v>
      </c>
      <c r="AA80" s="265">
        <f>ROUND(AA48+AA49+AA50+AA51+AA52+AA53+AA54+AA55+AA56+AA57+AA58+AA59+AA60+AA61+AA62+AA63+AA64+AA65+AA66+AA67+AA68+AA69+AA70+AA71-AA74,0)</f>
        <v>0</v>
      </c>
      <c r="AC80" s="265">
        <f>ROUND(AC48+AC49+AC50+AC51+AC52+AC53+AC54+AC55+AC56+AC57+AC58+AC59+AC60+AC61+AC62+AC63+AC64+AC65+AC66+AC67+AC68+AC69+AC70+AC71-AC74,0)</f>
        <v>0</v>
      </c>
      <c r="AD80" s="265">
        <f>ROUND(AD48+AD49+AD50+AD51+AD52+AD53+AD54+AD55+AD56+AD57+AD58+AD59+AD60+AD61+AD62+AD63+AD64+AD65+AD66+AD67+AD68+AD69+AD70+AD71-AD74,0)</f>
        <v>0</v>
      </c>
    </row>
    <row r="81">
      <c r="A81" t="inlineStr">
        <is>
          <t>[vazio] cod 8 Equity in affiliates: sem equivalencia na DRE</t>
        </is>
      </c>
      <c r="C81" t="inlineStr">
        <is>
          <t>[linha bruta, sem código; lançada nas linhas abaixo]</t>
        </is>
      </c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[vazio] cod 20 Goodwill: nao aberto (dentro do intangivel, inclui a combinacao com o Novo Atacarejo)</t>
        </is>
      </c>
      <c r="C82" t="inlineStr">
        <is>
          <t>[linha bruta, sem código; lançada nas linhas abaixo]</t>
        </is>
      </c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3">
      <c r="A83" t="inlineStr">
        <is>
          <t>[vazio] cod 28 Revolver: sem linha propria (emprestimos CP no cod 27)</t>
        </is>
      </c>
      <c r="C83" t="inlineStr">
        <is>
          <t>[linha bruta, sem código; lançada nas linhas abaixo]</t>
        </is>
      </c>
      <c r="D83" s="265" t="n"/>
      <c r="E83" s="265" t="n"/>
      <c r="F83" s="265" t="n"/>
      <c r="G83" s="265" t="n"/>
      <c r="I83" s="265" t="n"/>
      <c r="J83" s="265" t="n"/>
      <c r="K83" s="265" t="n"/>
      <c r="L83" s="265" t="n"/>
      <c r="N83" s="265" t="n"/>
      <c r="O83" s="265" t="n"/>
      <c r="P83" s="265" t="n"/>
      <c r="Q83" s="265" t="n"/>
      <c r="S83" s="265" t="n"/>
      <c r="T83" s="265" t="n"/>
      <c r="U83" s="265" t="n"/>
      <c r="V83" s="265" t="n"/>
      <c r="X83" s="265" t="n"/>
      <c r="Y83" s="265" t="n"/>
      <c r="Z83" s="265" t="n"/>
      <c r="AA83" s="265" t="n"/>
      <c r="AC83" s="265" t="n"/>
      <c r="AD83" s="265" t="n"/>
    </row>
    <row r="84">
      <c r="A84" t="inlineStr">
        <is>
          <t>[vazio] cod 32 Convertible debt: inexistente</t>
        </is>
      </c>
      <c r="C84" t="inlineStr">
        <is>
          <t>[linha bruta, sem código; lançada nas linhas abaixo]</t>
        </is>
      </c>
      <c r="D84" s="265" t="n"/>
      <c r="E84" s="265" t="n"/>
      <c r="F84" s="265" t="n"/>
      <c r="G84" s="265" t="n"/>
      <c r="I84" s="265" t="n"/>
      <c r="J84" s="265" t="n"/>
      <c r="K84" s="265" t="n"/>
      <c r="L84" s="265" t="n"/>
      <c r="N84" s="265" t="n"/>
      <c r="O84" s="265" t="n"/>
      <c r="P84" s="265" t="n"/>
      <c r="Q84" s="265" t="n"/>
      <c r="S84" s="265" t="n"/>
      <c r="T84" s="265" t="n"/>
      <c r="U84" s="265" t="n"/>
      <c r="V84" s="265" t="n"/>
      <c r="X84" s="265" t="n"/>
      <c r="Y84" s="265" t="n"/>
      <c r="Z84" s="265" t="n"/>
      <c r="AA84" s="265" t="n"/>
      <c r="AC84" s="265" t="n"/>
      <c r="AD84" s="265" t="n"/>
    </row>
    <row r="85">
      <c r="A85" t="inlineStr">
        <is>
          <t>[vazio] cod 36 Convertible Preferred Stock: inexistente</t>
        </is>
      </c>
      <c r="C85" t="inlineStr">
        <is>
          <t>[linha bruta, sem código; lançada nas linhas abaixo]</t>
        </is>
      </c>
      <c r="D85" s="265" t="n"/>
      <c r="E85" s="265" t="n"/>
      <c r="F85" s="265" t="n"/>
      <c r="G85" s="265" t="n"/>
      <c r="I85" s="265" t="n"/>
      <c r="J85" s="265" t="n"/>
      <c r="K85" s="265" t="n"/>
      <c r="L85" s="265" t="n"/>
      <c r="N85" s="265" t="n"/>
      <c r="O85" s="265" t="n"/>
      <c r="P85" s="265" t="n"/>
      <c r="Q85" s="265" t="n"/>
      <c r="S85" s="265" t="n"/>
      <c r="T85" s="265" t="n"/>
      <c r="U85" s="265" t="n"/>
      <c r="V85" s="265" t="n"/>
      <c r="X85" s="265" t="n"/>
      <c r="Y85" s="265" t="n"/>
      <c r="Z85" s="265" t="n"/>
      <c r="AA85" s="265" t="n"/>
      <c r="AC85" s="265" t="n"/>
      <c r="AD85" s="265" t="n"/>
    </row>
    <row r="86">
      <c r="A86" t="inlineStr">
        <is>
          <t>[vazio] cod 39 ORA: sem linha propria na fonte</t>
        </is>
      </c>
      <c r="C86" t="inlineStr">
        <is>
          <t>[linha bruta, sem código; lançada nas linhas abaixo]</t>
        </is>
      </c>
      <c r="D86" s="265" t="n"/>
      <c r="E86" s="265" t="n"/>
      <c r="F86" s="265" t="n"/>
      <c r="G86" s="265" t="n"/>
      <c r="I86" s="265" t="n"/>
      <c r="J86" s="265" t="n"/>
      <c r="K86" s="265" t="n"/>
      <c r="L86" s="265" t="n"/>
      <c r="N86" s="265" t="n"/>
      <c r="O86" s="265" t="n"/>
      <c r="P86" s="265" t="n"/>
      <c r="Q86" s="265" t="n"/>
      <c r="S86" s="265" t="n"/>
      <c r="T86" s="265" t="n"/>
      <c r="U86" s="265" t="n"/>
      <c r="V86" s="265" t="n"/>
      <c r="X86" s="265" t="n"/>
      <c r="Y86" s="265" t="n"/>
      <c r="Z86" s="265" t="n"/>
      <c r="AA86" s="265" t="n"/>
      <c r="AC86" s="265" t="n"/>
      <c r="AD86" s="265" t="n"/>
    </row>
    <row r="87">
      <c r="A87" t="inlineStr">
        <is>
          <t>[vazio] cod 40 Other equity: sem linha propria</t>
        </is>
      </c>
      <c r="C87" t="inlineStr">
        <is>
          <t>[linha bruta, sem código; lançada nas linhas abaixo]</t>
        </is>
      </c>
      <c r="D87" s="265" t="n"/>
      <c r="E87" s="265" t="n"/>
      <c r="F87" s="265" t="n"/>
      <c r="G87" s="265" t="n"/>
      <c r="I87" s="265" t="n"/>
      <c r="J87" s="265" t="n"/>
      <c r="K87" s="265" t="n"/>
      <c r="L87" s="265" t="n"/>
      <c r="N87" s="265" t="n"/>
      <c r="O87" s="265" t="n"/>
      <c r="P87" s="265" t="n"/>
      <c r="Q87" s="265" t="n"/>
      <c r="S87" s="265" t="n"/>
      <c r="T87" s="265" t="n"/>
      <c r="U87" s="265" t="n"/>
      <c r="V87" s="265" t="n"/>
      <c r="X87" s="265" t="n"/>
      <c r="Y87" s="265" t="n"/>
      <c r="Z87" s="265" t="n"/>
      <c r="AA87" s="265" t="n"/>
      <c r="AC87" s="265" t="n"/>
      <c r="AD87" s="265" t="n"/>
    </row>
    <row r="88">
      <c r="A88" t="inlineStr">
        <is>
          <t>Nota: nao controladores no resultado (cod 9) so a partir do 3T25 (releases); antes disso a DRE do release nao separa e o PL de nao controladores era &lt; R$ 125 mi. NI do Model = lucro atribuido ao Grupo Mateus.</t>
        </is>
      </c>
      <c r="C88" t="inlineStr">
        <is>
          <t>[linha bruta, sem código; lançada nas linhas abaixo]</t>
        </is>
      </c>
      <c r="D88" s="265" t="n"/>
      <c r="E88" s="265" t="n"/>
      <c r="F88" s="265" t="n"/>
      <c r="G88" s="265" t="n"/>
      <c r="I88" s="265" t="n"/>
      <c r="J88" s="265" t="n"/>
      <c r="K88" s="265" t="n"/>
      <c r="L88" s="265" t="n"/>
      <c r="N88" s="265" t="n"/>
      <c r="O88" s="265" t="n"/>
      <c r="P88" s="265" t="n"/>
      <c r="Q88" s="265" t="n"/>
      <c r="S88" s="265" t="n"/>
      <c r="T88" s="265" t="n"/>
      <c r="U88" s="265" t="n"/>
      <c r="V88" s="265" t="n"/>
      <c r="X88" s="265" t="n"/>
      <c r="Y88" s="265" t="n"/>
      <c r="Z88" s="265" t="n"/>
      <c r="AA88" s="265" t="n"/>
      <c r="AC88" s="265" t="n"/>
      <c r="AD88" s="265" t="n"/>
    </row>
    <row r="89">
      <c r="D89" s="265" t="n"/>
      <c r="E89" s="265" t="n"/>
      <c r="F89" s="265" t="n"/>
      <c r="G89" s="265" t="n"/>
      <c r="I89" s="265" t="n"/>
      <c r="J89" s="265" t="n"/>
      <c r="K89" s="265" t="n"/>
      <c r="L89" s="265" t="n"/>
      <c r="N89" s="265" t="n"/>
      <c r="O89" s="265" t="n"/>
      <c r="P89" s="265" t="n"/>
      <c r="Q89" s="265" t="n"/>
      <c r="S89" s="265" t="n"/>
      <c r="T89" s="265" t="n"/>
      <c r="U89" s="265" t="n"/>
      <c r="V89" s="265" t="n"/>
      <c r="X89" s="265" t="n"/>
      <c r="Y89" s="265" t="n"/>
      <c r="Z89" s="265" t="n"/>
      <c r="AA89" s="265" t="n"/>
      <c r="AC89" s="265" t="n"/>
      <c r="AD89" s="265" t="n"/>
    </row>
    <row r="90">
      <c r="A90" t="inlineStr">
        <is>
          <t>DRIVERS DE RECEITA (codigos 45+; UNID "un" = sem fator: R$ milhoes, lojas, m2 e %). Receita por segmento e por regiao e SSS: releases. Lojas e area: abas N de lojas e Evolucao da Area de Vendas.</t>
        </is>
      </c>
      <c r="C90" t="inlineStr">
        <is>
          <t>[linha bruta, sem código; lançada nas linhas abaixo]</t>
        </is>
      </c>
      <c r="D90" s="265" t="n"/>
      <c r="E90" s="265" t="n"/>
      <c r="F90" s="265" t="n"/>
      <c r="G90" s="265" t="n"/>
      <c r="I90" s="265" t="n"/>
      <c r="J90" s="265" t="n"/>
      <c r="K90" s="265" t="n"/>
      <c r="L90" s="265" t="n"/>
      <c r="N90" s="265" t="n"/>
      <c r="O90" s="265" t="n"/>
      <c r="P90" s="265" t="n"/>
      <c r="Q90" s="265" t="n"/>
      <c r="S90" s="265" t="n"/>
      <c r="T90" s="265" t="n"/>
      <c r="U90" s="265" t="n"/>
      <c r="V90" s="265" t="n"/>
      <c r="X90" s="265" t="n"/>
      <c r="Y90" s="265" t="n"/>
      <c r="Z90" s="265" t="n"/>
      <c r="AA90" s="265" t="n"/>
      <c r="AC90" s="265" t="n"/>
      <c r="AD90" s="265" t="n"/>
    </row>
    <row r="91">
      <c r="A91" t="inlineStr">
        <is>
          <t>Receita bruta de mercadorias - Atacarejo (Mix Mateus; inclui Novo Atacarejo a partir do 3T25) (R$ milhoes) · release · unid. un</t>
        </is>
      </c>
      <c r="B91" t="n">
        <v>45</v>
      </c>
      <c r="C91" t="inlineStr">
        <is>
          <t>Receita bruta de mercadorias - Atacarejo (Mix Mateus; inclui</t>
        </is>
      </c>
      <c r="D91" s="265" t="n">
        <v>1827000</v>
      </c>
      <c r="E91" s="265" t="n">
        <v>2003000</v>
      </c>
      <c r="F91" s="265" t="n">
        <v>2381000</v>
      </c>
      <c r="G91" s="265" t="n">
        <v>2485000</v>
      </c>
      <c r="I91" s="265" t="n">
        <v>2514000</v>
      </c>
      <c r="J91" s="265" t="n">
        <v>2956000</v>
      </c>
      <c r="K91" s="265" t="n">
        <v>3478000</v>
      </c>
      <c r="L91" s="265" t="n">
        <v>3584000</v>
      </c>
      <c r="N91" s="265" t="n">
        <v>3523000</v>
      </c>
      <c r="O91" s="265" t="n">
        <v>3899000</v>
      </c>
      <c r="P91" s="265" t="n">
        <v>4209000</v>
      </c>
      <c r="Q91" s="265" t="n">
        <v>4753000</v>
      </c>
      <c r="S91" s="265" t="n">
        <v>4683000</v>
      </c>
      <c r="T91" s="265" t="n">
        <v>4765000</v>
      </c>
      <c r="U91" s="265" t="n">
        <v>5304000</v>
      </c>
      <c r="V91" s="265" t="n">
        <v>5620000</v>
      </c>
      <c r="X91" s="265" t="n">
        <v>5252000</v>
      </c>
      <c r="Y91" s="265" t="n">
        <v>5541000</v>
      </c>
      <c r="Z91" s="265" t="n">
        <v>7530000</v>
      </c>
      <c r="AA91" s="265" t="n">
        <v>7354000</v>
      </c>
      <c r="AC91" s="265" t="n"/>
      <c r="AD91" s="265" t="n"/>
    </row>
    <row r="92">
      <c r="A92" t="inlineStr">
        <is>
          <t>Receita bruta de mercadorias - Varejo (Super/Hiper, Camino) (R$ milhoes) · release · unid. un</t>
        </is>
      </c>
      <c r="B92" t="n">
        <v>46</v>
      </c>
      <c r="C92" t="inlineStr">
        <is>
          <t xml:space="preserve">Receita bruta de mercadorias - Varejo (Super/Hiper, Camino) </t>
        </is>
      </c>
      <c r="D92" s="265" t="n">
        <v>1114000</v>
      </c>
      <c r="E92" s="265" t="n">
        <v>1215000</v>
      </c>
      <c r="F92" s="265" t="n">
        <v>1435000</v>
      </c>
      <c r="G92" s="265" t="n">
        <v>1465000</v>
      </c>
      <c r="I92" s="265" t="n">
        <v>1474000</v>
      </c>
      <c r="J92" s="265" t="n">
        <v>1622000</v>
      </c>
      <c r="K92" s="265" t="n">
        <v>1829000</v>
      </c>
      <c r="L92" s="265" t="n">
        <v>1883000</v>
      </c>
      <c r="N92" s="265" t="n">
        <v>1757000</v>
      </c>
      <c r="O92" s="265" t="n">
        <v>1877000</v>
      </c>
      <c r="P92" s="265" t="n">
        <v>2047000</v>
      </c>
      <c r="Q92" s="265" t="n">
        <v>2096000</v>
      </c>
      <c r="S92" s="265" t="n">
        <v>2036000</v>
      </c>
      <c r="T92" s="265" t="n">
        <v>2055000</v>
      </c>
      <c r="U92" s="265" t="n">
        <v>2164000</v>
      </c>
      <c r="V92" s="265" t="n">
        <v>2244000</v>
      </c>
      <c r="X92" s="265" t="n">
        <v>2110000</v>
      </c>
      <c r="Y92" s="265" t="n">
        <v>2143000</v>
      </c>
      <c r="Z92" s="265" t="n">
        <v>2228000</v>
      </c>
      <c r="AA92" s="265" t="n">
        <v>2326000</v>
      </c>
      <c r="AC92" s="265" t="n"/>
      <c r="AD92" s="265" t="n"/>
    </row>
    <row r="93">
      <c r="A93" t="inlineStr">
        <is>
          <t>Receita bruta de mercadorias - Eletro (R$ milhoes) · release · unid. un</t>
        </is>
      </c>
      <c r="B93" t="n">
        <v>47</v>
      </c>
      <c r="C93" t="inlineStr">
        <is>
          <t>Receita bruta de mercadorias - Eletro (R$ milhoes)</t>
        </is>
      </c>
      <c r="D93" s="265" t="n">
        <v>196000</v>
      </c>
      <c r="E93" s="265" t="n">
        <v>243000</v>
      </c>
      <c r="F93" s="265" t="n">
        <v>264000</v>
      </c>
      <c r="G93" s="265" t="n">
        <v>292000</v>
      </c>
      <c r="I93" s="265" t="n">
        <v>256000</v>
      </c>
      <c r="J93" s="265" t="n">
        <v>281000</v>
      </c>
      <c r="K93" s="265" t="n">
        <v>288000</v>
      </c>
      <c r="L93" s="265" t="n">
        <v>292000</v>
      </c>
      <c r="N93" s="265" t="n">
        <v>234000</v>
      </c>
      <c r="O93" s="265" t="n">
        <v>294000</v>
      </c>
      <c r="P93" s="265" t="n">
        <v>316000</v>
      </c>
      <c r="Q93" s="265" t="n">
        <v>339000</v>
      </c>
      <c r="S93" s="265" t="n">
        <v>261000</v>
      </c>
      <c r="T93" s="265" t="n">
        <v>315000</v>
      </c>
      <c r="U93" s="265" t="n">
        <v>337000</v>
      </c>
      <c r="V93" s="265" t="n">
        <v>354000</v>
      </c>
      <c r="X93" s="265" t="n">
        <v>254000</v>
      </c>
      <c r="Y93" s="265" t="n">
        <v>277000</v>
      </c>
      <c r="Z93" s="265" t="n">
        <v>283000</v>
      </c>
      <c r="AA93" s="265" t="n">
        <v>339000</v>
      </c>
      <c r="AC93" s="265" t="n"/>
      <c r="AD93" s="265" t="n"/>
    </row>
    <row r="94">
      <c r="A94" t="inlineStr">
        <is>
          <t>Receita bruta de mercadorias - Atacado B2B (R$ milhoes) · release · unid. un</t>
        </is>
      </c>
      <c r="B94" t="n">
        <v>48</v>
      </c>
      <c r="C94" t="inlineStr">
        <is>
          <t>Receita bruta de mercadorias - Atacado B2B (R$ milhoes)</t>
        </is>
      </c>
      <c r="D94" s="265" t="n">
        <v>662000</v>
      </c>
      <c r="E94" s="265" t="n">
        <v>741000</v>
      </c>
      <c r="F94" s="265" t="n">
        <v>804000</v>
      </c>
      <c r="G94" s="265" t="n">
        <v>813000</v>
      </c>
      <c r="I94" s="265" t="n">
        <v>928000</v>
      </c>
      <c r="J94" s="265" t="n">
        <v>997000</v>
      </c>
      <c r="K94" s="265" t="n">
        <v>1069000</v>
      </c>
      <c r="L94" s="265" t="n">
        <v>1079000</v>
      </c>
      <c r="N94" s="265" t="n">
        <v>1078000</v>
      </c>
      <c r="O94" s="265" t="n">
        <v>1187000</v>
      </c>
      <c r="P94" s="265" t="n">
        <v>1236000</v>
      </c>
      <c r="Q94" s="265" t="n">
        <v>1400000</v>
      </c>
      <c r="S94" s="265" t="n">
        <v>1400000</v>
      </c>
      <c r="T94" s="265" t="n">
        <v>1534000</v>
      </c>
      <c r="U94" s="265" t="n">
        <v>1625000</v>
      </c>
      <c r="V94" s="265" t="n">
        <v>1690000</v>
      </c>
      <c r="X94" s="265" t="n">
        <v>1816000</v>
      </c>
      <c r="Y94" s="265" t="n">
        <v>1986000</v>
      </c>
      <c r="Z94" s="265" t="n">
        <v>2060000</v>
      </c>
      <c r="AA94" s="265" t="n">
        <v>2052000</v>
      </c>
      <c r="AC94" s="265" t="n"/>
      <c r="AD94" s="265" t="n"/>
    </row>
    <row r="95">
      <c r="A95" t="inlineStr">
        <is>
          <t>Receita liquida - Grupo Mateus MA, PA, PI, CE, SE e BA (R$ milhoes; desde 3T25) · release · unid. un</t>
        </is>
      </c>
      <c r="B95" t="n">
        <v>49</v>
      </c>
      <c r="C95" t="inlineStr">
        <is>
          <t>Receita liquida - Grupo Mateus MA, PA, PI, CE, SE e BA (R$ m</t>
        </is>
      </c>
      <c r="D95" s="265" t="n"/>
      <c r="E95" s="265" t="n"/>
      <c r="F95" s="265" t="n"/>
      <c r="G95" s="265" t="n"/>
      <c r="I95" s="265" t="n"/>
      <c r="J95" s="265" t="n"/>
      <c r="K95" s="265" t="n"/>
      <c r="L95" s="265" t="n"/>
      <c r="N95" s="265" t="n"/>
      <c r="O95" s="265" t="n"/>
      <c r="P95" s="265" t="n"/>
      <c r="Q95" s="265" t="n"/>
      <c r="S95" s="265" t="n"/>
      <c r="T95" s="265" t="n"/>
      <c r="U95" s="265" t="n"/>
      <c r="V95" s="265" t="n"/>
      <c r="X95" s="265" t="n"/>
      <c r="Y95" s="265" t="n"/>
      <c r="Z95" s="265" t="n">
        <v>7869000</v>
      </c>
      <c r="AA95" s="265" t="n">
        <v>7723000</v>
      </c>
      <c r="AC95" s="265" t="n">
        <v>7012000</v>
      </c>
      <c r="AD95" s="265" t="n">
        <v>7387000</v>
      </c>
    </row>
    <row r="96">
      <c r="A96" t="inlineStr">
        <is>
          <t>Receita liquida - combinacao Grupo Mateus + Novo Atacarejo PE, PB e AL (R$ milhoes; 3T25 = Mateus PE/PB/AL 1.431 + Novo Atacarejo 1.464) · release · unid. un</t>
        </is>
      </c>
      <c r="B96" t="n">
        <v>50</v>
      </c>
      <c r="C96" t="inlineStr">
        <is>
          <t>Receita liquida - combinacao Grupo Mateus + Novo Atacarejo P</t>
        </is>
      </c>
      <c r="D96" s="265" t="n"/>
      <c r="E96" s="265" t="n"/>
      <c r="F96" s="265" t="n"/>
      <c r="G96" s="265" t="n"/>
      <c r="I96" s="265" t="n"/>
      <c r="J96" s="265" t="n"/>
      <c r="K96" s="265" t="n"/>
      <c r="L96" s="265" t="n"/>
      <c r="N96" s="265" t="n"/>
      <c r="O96" s="265" t="n"/>
      <c r="P96" s="265" t="n"/>
      <c r="Q96" s="265" t="n"/>
      <c r="S96" s="265" t="n"/>
      <c r="T96" s="265" t="n"/>
      <c r="U96" s="265" t="n"/>
      <c r="V96" s="265" t="n"/>
      <c r="X96" s="265" t="n"/>
      <c r="Y96" s="265" t="n"/>
      <c r="Z96" s="265" t="n">
        <v>2895000</v>
      </c>
      <c r="AA96" s="265" t="n">
        <v>2827000</v>
      </c>
      <c r="AC96" s="265" t="n">
        <v>2390000</v>
      </c>
      <c r="AD96" s="265" t="n">
        <v>2466000</v>
      </c>
    </row>
    <row r="97">
      <c r="A97" t="inlineStr">
        <is>
          <t>Lojas - Atacarejo e Food Service (Mix Mateus) (fim do periodo) · fonte · unid. un</t>
        </is>
      </c>
      <c r="B97" t="n">
        <v>51</v>
      </c>
      <c r="C97" t="inlineStr">
        <is>
          <t>Lojas - Atacarejo e Food Service (Mix Mateus) (fim do period</t>
        </is>
      </c>
      <c r="D97" s="265" t="n">
        <v>35000</v>
      </c>
      <c r="E97" s="265" t="n">
        <v>38000</v>
      </c>
      <c r="F97" s="265" t="n">
        <v>40000</v>
      </c>
      <c r="G97" s="265" t="n">
        <v>42000</v>
      </c>
      <c r="I97" s="265" t="n">
        <v>48000</v>
      </c>
      <c r="J97" s="265" t="n">
        <v>50000</v>
      </c>
      <c r="K97" s="265" t="n">
        <v>53000</v>
      </c>
      <c r="L97" s="265" t="n">
        <v>58000</v>
      </c>
      <c r="N97" s="265" t="n">
        <v>62000</v>
      </c>
      <c r="O97" s="265" t="n">
        <v>64000</v>
      </c>
      <c r="P97" s="265" t="n">
        <v>69000</v>
      </c>
      <c r="Q97" s="265" t="n">
        <v>80000</v>
      </c>
      <c r="S97" s="265" t="n">
        <v>82000</v>
      </c>
      <c r="T97" s="265" t="n">
        <v>84000</v>
      </c>
      <c r="U97" s="265" t="n">
        <v>88000</v>
      </c>
      <c r="V97" s="265" t="n">
        <v>90000</v>
      </c>
      <c r="X97" s="265" t="n">
        <v>92000</v>
      </c>
      <c r="Y97" s="265" t="n">
        <v>96000</v>
      </c>
      <c r="Z97" s="265" t="n">
        <v>98000</v>
      </c>
      <c r="AA97" s="265" t="n">
        <v>102000</v>
      </c>
      <c r="AC97" s="265" t="n">
        <v>105000</v>
      </c>
      <c r="AD97" s="265" t="n">
        <v>77000</v>
      </c>
    </row>
    <row r="98">
      <c r="A98" t="inlineStr">
        <is>
          <t>Lojas - Novo Atacarejo (fim do periodo) · fonte · unid. un</t>
        </is>
      </c>
      <c r="B98" t="n">
        <v>52</v>
      </c>
      <c r="C98" t="inlineStr">
        <is>
          <t>Lojas - Novo Atacarejo (fim do periodo)</t>
        </is>
      </c>
      <c r="D98" s="265" t="n">
        <v>0</v>
      </c>
      <c r="E98" s="265" t="n">
        <v>0</v>
      </c>
      <c r="F98" s="265" t="n">
        <v>0</v>
      </c>
      <c r="G98" s="265" t="n">
        <v>0</v>
      </c>
      <c r="I98" s="265" t="n">
        <v>0</v>
      </c>
      <c r="J98" s="265" t="n">
        <v>0</v>
      </c>
      <c r="K98" s="265" t="n">
        <v>0</v>
      </c>
      <c r="L98" s="265" t="n">
        <v>0</v>
      </c>
      <c r="N98" s="265" t="n">
        <v>0</v>
      </c>
      <c r="O98" s="265" t="n">
        <v>0</v>
      </c>
      <c r="P98" s="265" t="n">
        <v>0</v>
      </c>
      <c r="Q98" s="265" t="n">
        <v>0</v>
      </c>
      <c r="S98" s="265" t="n">
        <v>0</v>
      </c>
      <c r="T98" s="265" t="n">
        <v>0</v>
      </c>
      <c r="U98" s="265" t="n">
        <v>0</v>
      </c>
      <c r="V98" s="265" t="n">
        <v>0</v>
      </c>
      <c r="X98" s="265" t="n">
        <v>0</v>
      </c>
      <c r="Y98" s="265" t="n">
        <v>0</v>
      </c>
      <c r="Z98" s="265" t="n">
        <v>36000</v>
      </c>
      <c r="AA98" s="265" t="n">
        <v>37000</v>
      </c>
      <c r="AC98" s="265" t="n">
        <v>37000</v>
      </c>
      <c r="AD98" s="265" t="n">
        <v>67000</v>
      </c>
    </row>
    <row r="99">
      <c r="A99" t="inlineStr">
        <is>
          <t>Lojas - Varejo (Super/Hiper + Camino) (fim do periodo) · fonte · unid. un</t>
        </is>
      </c>
      <c r="B99" t="n">
        <v>53</v>
      </c>
      <c r="C99" t="inlineStr">
        <is>
          <t>Lojas - Varejo (Super/Hiper + Camino) (fim do periodo)</t>
        </is>
      </c>
      <c r="D99" s="265" t="n">
        <v>55000</v>
      </c>
      <c r="E99" s="265" t="n">
        <v>56000</v>
      </c>
      <c r="F99" s="265" t="n">
        <v>57000</v>
      </c>
      <c r="G99" s="265" t="n">
        <v>61000</v>
      </c>
      <c r="I99" s="265" t="n">
        <v>68000</v>
      </c>
      <c r="J99" s="265" t="n">
        <v>69000</v>
      </c>
      <c r="K99" s="265" t="n">
        <v>70000</v>
      </c>
      <c r="L99" s="265" t="n">
        <v>70000</v>
      </c>
      <c r="N99" s="265" t="n">
        <v>70000</v>
      </c>
      <c r="O99" s="265" t="n">
        <v>71000</v>
      </c>
      <c r="P99" s="265" t="n">
        <v>72000</v>
      </c>
      <c r="Q99" s="265" t="n">
        <v>73000</v>
      </c>
      <c r="S99" s="265" t="n">
        <v>73000</v>
      </c>
      <c r="T99" s="265" t="n">
        <v>76000</v>
      </c>
      <c r="U99" s="265" t="n">
        <v>76000</v>
      </c>
      <c r="V99" s="265" t="n">
        <v>78000</v>
      </c>
      <c r="X99" s="265" t="n">
        <v>80000</v>
      </c>
      <c r="Y99" s="265" t="n">
        <v>80000</v>
      </c>
      <c r="Z99" s="265" t="n">
        <v>81000</v>
      </c>
      <c r="AA99" s="265" t="n">
        <v>85000</v>
      </c>
      <c r="AC99" s="265" t="n">
        <v>86000</v>
      </c>
      <c r="AD99" s="265" t="n">
        <v>90000</v>
      </c>
    </row>
    <row r="100">
      <c r="A100" t="inlineStr">
        <is>
          <t>Lojas - Eletro (fim do periodo) · fonte · unid. un</t>
        </is>
      </c>
      <c r="B100" t="n">
        <v>54</v>
      </c>
      <c r="C100" t="inlineStr">
        <is>
          <t>Lojas - Eletro (fim do periodo)</t>
        </is>
      </c>
      <c r="D100" s="265" t="n">
        <v>80000</v>
      </c>
      <c r="E100" s="265" t="n">
        <v>88000</v>
      </c>
      <c r="F100" s="265" t="n">
        <v>92000</v>
      </c>
      <c r="G100" s="265" t="n">
        <v>99000</v>
      </c>
      <c r="I100" s="265" t="n">
        <v>102000</v>
      </c>
      <c r="J100" s="265" t="n">
        <v>103000</v>
      </c>
      <c r="K100" s="265" t="n">
        <v>103000</v>
      </c>
      <c r="L100" s="265" t="n">
        <v>104000</v>
      </c>
      <c r="N100" s="265" t="n">
        <v>106000</v>
      </c>
      <c r="O100" s="265" t="n">
        <v>104000</v>
      </c>
      <c r="P100" s="265" t="n">
        <v>105000</v>
      </c>
      <c r="Q100" s="265" t="n">
        <v>105000</v>
      </c>
      <c r="S100" s="265" t="n">
        <v>104000</v>
      </c>
      <c r="T100" s="265" t="n">
        <v>104000</v>
      </c>
      <c r="U100" s="265" t="n">
        <v>104000</v>
      </c>
      <c r="V100" s="265" t="n">
        <v>104000</v>
      </c>
      <c r="X100" s="265" t="n">
        <v>104000</v>
      </c>
      <c r="Y100" s="265" t="n">
        <v>95000</v>
      </c>
      <c r="Z100" s="265" t="n">
        <v>91000</v>
      </c>
      <c r="AA100" s="265" t="n">
        <v>78000</v>
      </c>
      <c r="AC100" s="265" t="n">
        <v>78000</v>
      </c>
      <c r="AD100" s="265" t="n">
        <v>78000</v>
      </c>
    </row>
    <row r="101">
      <c r="A101" t="inlineStr">
        <is>
          <t>Lojas - Farmacia (fim do periodo) · fonte · unid. un</t>
        </is>
      </c>
      <c r="B101" t="n">
        <v>55</v>
      </c>
      <c r="C101" t="inlineStr">
        <is>
          <t>Lojas - Farmacia (fim do periodo)</t>
        </is>
      </c>
      <c r="D101" s="265" t="n">
        <v>0</v>
      </c>
      <c r="E101" s="265" t="n">
        <v>0</v>
      </c>
      <c r="F101" s="265" t="n">
        <v>0</v>
      </c>
      <c r="G101" s="265" t="n">
        <v>0</v>
      </c>
      <c r="I101" s="265" t="n">
        <v>0</v>
      </c>
      <c r="J101" s="265" t="n">
        <v>0</v>
      </c>
      <c r="K101" s="265" t="n">
        <v>0</v>
      </c>
      <c r="L101" s="265" t="n">
        <v>0</v>
      </c>
      <c r="N101" s="265" t="n">
        <v>0</v>
      </c>
      <c r="O101" s="265" t="n">
        <v>0</v>
      </c>
      <c r="P101" s="265" t="n">
        <v>0</v>
      </c>
      <c r="Q101" s="265" t="n">
        <v>0</v>
      </c>
      <c r="S101" s="265" t="n">
        <v>0</v>
      </c>
      <c r="T101" s="265" t="n">
        <v>0</v>
      </c>
      <c r="U101" s="265" t="n">
        <v>0</v>
      </c>
      <c r="V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C101" s="265" t="n">
        <v>0</v>
      </c>
      <c r="AD101" s="265" t="n">
        <v>1000</v>
      </c>
    </row>
    <row r="102">
      <c r="A102" t="inlineStr">
        <is>
          <t>Area de vendas - Atacarejo (m2; a aba diz "mil m2" mas os valores estao em m2) · fonte · unid. un</t>
        </is>
      </c>
      <c r="B102" t="n">
        <v>56</v>
      </c>
      <c r="C102" t="inlineStr">
        <is>
          <t>Area de vendas - Atacarejo (m2; a aba diz "mil m2" mas os va</t>
        </is>
      </c>
      <c r="D102" s="265" t="n">
        <v>172313370.7</v>
      </c>
      <c r="E102" s="265" t="n">
        <v>186618840.7</v>
      </c>
      <c r="F102" s="265" t="n">
        <v>195258000</v>
      </c>
      <c r="G102" s="265" t="n">
        <v>204422000</v>
      </c>
      <c r="I102" s="265" t="n">
        <v>236290000</v>
      </c>
      <c r="J102" s="265" t="n">
        <v>247402000</v>
      </c>
      <c r="K102" s="265" t="n">
        <v>258719000</v>
      </c>
      <c r="L102" s="265" t="n">
        <v>281028000</v>
      </c>
      <c r="N102" s="265" t="n">
        <v>297424350.7</v>
      </c>
      <c r="O102" s="265" t="n">
        <v>304425000</v>
      </c>
      <c r="P102" s="265" t="n">
        <v>321276350.7</v>
      </c>
      <c r="Q102" s="265" t="n">
        <v>362853970.7</v>
      </c>
      <c r="S102" s="265" t="n">
        <v>370218700.7</v>
      </c>
      <c r="T102" s="265" t="n">
        <v>376739590.7</v>
      </c>
      <c r="U102" s="265" t="n">
        <v>391853790.7</v>
      </c>
      <c r="V102" s="265" t="n">
        <v>401125400.7</v>
      </c>
      <c r="X102" s="265" t="n">
        <v>408033400.7</v>
      </c>
      <c r="Y102" s="265" t="n">
        <v>425229960.7</v>
      </c>
      <c r="Z102" s="265" t="n">
        <v>433065960.7</v>
      </c>
      <c r="AA102" s="265" t="n">
        <v>445430380.7</v>
      </c>
      <c r="AC102" s="265" t="n">
        <v>455002000</v>
      </c>
      <c r="AD102" s="265" t="n">
        <v>346191380.7</v>
      </c>
    </row>
    <row r="103">
      <c r="A103" t="inlineStr">
        <is>
          <t>Area de vendas - Novo Atacarejo (m2) · fonte · unid. un</t>
        </is>
      </c>
      <c r="B103" t="n">
        <v>57</v>
      </c>
      <c r="C103" t="inlineStr">
        <is>
          <t>Area de vendas - Novo Atacarejo (m2)</t>
        </is>
      </c>
      <c r="D103" s="265" t="n">
        <v>0</v>
      </c>
      <c r="E103" s="265" t="n">
        <v>0</v>
      </c>
      <c r="F103" s="265" t="n">
        <v>0</v>
      </c>
      <c r="G103" s="265" t="n">
        <v>0</v>
      </c>
      <c r="I103" s="265" t="n">
        <v>0</v>
      </c>
      <c r="J103" s="265" t="n">
        <v>0</v>
      </c>
      <c r="K103" s="265" t="n">
        <v>0</v>
      </c>
      <c r="L103" s="265" t="n">
        <v>0</v>
      </c>
      <c r="N103" s="265" t="n">
        <v>0</v>
      </c>
      <c r="O103" s="265" t="n">
        <v>0</v>
      </c>
      <c r="P103" s="265" t="n">
        <v>0</v>
      </c>
      <c r="Q103" s="265" t="n">
        <v>0</v>
      </c>
      <c r="S103" s="265" t="n">
        <v>0</v>
      </c>
      <c r="T103" s="265" t="n">
        <v>0</v>
      </c>
      <c r="U103" s="265" t="n">
        <v>0</v>
      </c>
      <c r="V103" s="265" t="n">
        <v>0</v>
      </c>
      <c r="X103" s="265" t="n">
        <v>0</v>
      </c>
      <c r="Y103" s="265" t="n">
        <v>0</v>
      </c>
      <c r="Z103" s="265" t="n">
        <v>137197000</v>
      </c>
      <c r="AA103" s="265" t="n">
        <v>140920050</v>
      </c>
      <c r="AC103" s="265" t="n">
        <v>140920000</v>
      </c>
      <c r="AD103" s="265" t="n">
        <v>257161530</v>
      </c>
    </row>
    <row r="104">
      <c r="A104" t="inlineStr">
        <is>
          <t>Area de vendas - Varejo (m2) · fonte · unid. un</t>
        </is>
      </c>
      <c r="B104" t="n">
        <v>58</v>
      </c>
      <c r="C104" t="inlineStr">
        <is>
          <t>Area de vendas - Varejo (m2)</t>
        </is>
      </c>
      <c r="D104" s="265" t="n">
        <v>93923232.7</v>
      </c>
      <c r="E104" s="265" t="n">
        <v>95641282.7</v>
      </c>
      <c r="F104" s="265" t="n">
        <v>97277000</v>
      </c>
      <c r="G104" s="265" t="n">
        <v>105812000</v>
      </c>
      <c r="I104" s="265" t="n">
        <v>116745000</v>
      </c>
      <c r="J104" s="265" t="n">
        <v>118729000</v>
      </c>
      <c r="K104" s="265" t="n">
        <v>120216000</v>
      </c>
      <c r="L104" s="265" t="n">
        <v>120216000</v>
      </c>
      <c r="N104" s="265" t="n">
        <v>120216000</v>
      </c>
      <c r="O104" s="265" t="n">
        <v>121271000</v>
      </c>
      <c r="P104" s="265" t="n">
        <v>123571000</v>
      </c>
      <c r="Q104" s="265" t="n">
        <v>124372000</v>
      </c>
      <c r="S104" s="265" t="n">
        <v>124372000</v>
      </c>
      <c r="T104" s="265" t="n">
        <v>127274292.7</v>
      </c>
      <c r="U104" s="265" t="n">
        <v>127274292.7</v>
      </c>
      <c r="V104" s="265" t="n">
        <v>132684292.7</v>
      </c>
      <c r="X104" s="265" t="n">
        <v>134494292.7</v>
      </c>
      <c r="Y104" s="265" t="n">
        <v>135281942.7</v>
      </c>
      <c r="Z104" s="265" t="n">
        <v>135690942.7</v>
      </c>
      <c r="AA104" s="265" t="n">
        <v>142699482.7</v>
      </c>
      <c r="AC104" s="265" t="n">
        <v>144400000</v>
      </c>
      <c r="AD104" s="265" t="n">
        <v>149842192.7</v>
      </c>
    </row>
    <row r="105">
      <c r="A105" t="inlineStr">
        <is>
          <t>Area de vendas - Eletro (m2) · fonte · unid. un</t>
        </is>
      </c>
      <c r="B105" t="n">
        <v>59</v>
      </c>
      <c r="C105" t="inlineStr">
        <is>
          <t>Area de vendas - Eletro (m2)</t>
        </is>
      </c>
      <c r="D105" s="265" t="n">
        <v>83575380</v>
      </c>
      <c r="E105" s="265" t="n">
        <v>89891600</v>
      </c>
      <c r="F105" s="265" t="n">
        <v>93233000</v>
      </c>
      <c r="G105" s="265" t="n">
        <v>97593000</v>
      </c>
      <c r="I105" s="265" t="n">
        <v>99641000</v>
      </c>
      <c r="J105" s="265" t="n">
        <v>100220000</v>
      </c>
      <c r="K105" s="265" t="n">
        <v>98723000</v>
      </c>
      <c r="L105" s="265" t="n">
        <v>99247000</v>
      </c>
      <c r="N105" s="265" t="n">
        <v>100463390</v>
      </c>
      <c r="O105" s="265" t="n">
        <v>99299000</v>
      </c>
      <c r="P105" s="265" t="n">
        <v>99578320</v>
      </c>
      <c r="Q105" s="265" t="n">
        <v>99578320</v>
      </c>
      <c r="S105" s="265" t="n">
        <v>98939000</v>
      </c>
      <c r="T105" s="265" t="n">
        <v>99459560</v>
      </c>
      <c r="U105" s="265" t="n">
        <v>98696410</v>
      </c>
      <c r="V105" s="265" t="n">
        <v>98696410</v>
      </c>
      <c r="X105" s="265" t="n">
        <v>98588500</v>
      </c>
      <c r="Y105" s="265" t="n">
        <v>91357360</v>
      </c>
      <c r="Z105" s="265" t="n">
        <v>87184000</v>
      </c>
      <c r="AA105" s="265" t="n">
        <v>72402320</v>
      </c>
      <c r="AC105" s="265" t="n">
        <v>72402000</v>
      </c>
      <c r="AD105" s="265" t="n">
        <v>72402000</v>
      </c>
    </row>
    <row r="106">
      <c r="A106" t="inlineStr">
        <is>
          <t>Area de vendas - Farmacia (m2) · fonte · unid. un</t>
        </is>
      </c>
      <c r="B106" t="n">
        <v>60</v>
      </c>
      <c r="C106" t="inlineStr">
        <is>
          <t>Area de vendas - Farmacia (m2)</t>
        </is>
      </c>
      <c r="D106" s="265" t="n">
        <v>0</v>
      </c>
      <c r="E106" s="265" t="n">
        <v>0</v>
      </c>
      <c r="F106" s="265" t="n">
        <v>0</v>
      </c>
      <c r="G106" s="265" t="n">
        <v>0</v>
      </c>
      <c r="I106" s="265" t="n">
        <v>0</v>
      </c>
      <c r="J106" s="265" t="n">
        <v>0</v>
      </c>
      <c r="K106" s="265" t="n">
        <v>0</v>
      </c>
      <c r="L106" s="265" t="n">
        <v>0</v>
      </c>
      <c r="N106" s="265" t="n">
        <v>0</v>
      </c>
      <c r="O106" s="265" t="n">
        <v>0</v>
      </c>
      <c r="P106" s="265" t="n">
        <v>0</v>
      </c>
      <c r="Q106" s="265" t="n">
        <v>0</v>
      </c>
      <c r="S106" s="265" t="n">
        <v>0</v>
      </c>
      <c r="T106" s="265" t="n">
        <v>0</v>
      </c>
      <c r="U106" s="265" t="n">
        <v>0</v>
      </c>
      <c r="V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C106" s="265" t="n">
        <v>0</v>
      </c>
      <c r="AD106" s="265" t="n">
        <v>771000</v>
      </c>
    </row>
    <row r="107">
      <c r="A107" t="inlineStr">
        <is>
          <t>SSS consolidado sem ajuste calendario (%) - releases (1T20 e 1T21 divulgados arredondados: 7% e 10%) · release · unid. un</t>
        </is>
      </c>
      <c r="B107" t="n">
        <v>61</v>
      </c>
      <c r="C107" t="inlineStr">
        <is>
          <t>SSS consolidado sem ajuste calendario (%) - releases (1T20 e</t>
        </is>
      </c>
      <c r="D107" s="265" t="n">
        <v>100</v>
      </c>
      <c r="E107" s="265" t="n">
        <v>18</v>
      </c>
      <c r="F107" s="265" t="n">
        <v>15</v>
      </c>
      <c r="G107" s="265" t="n">
        <v>14</v>
      </c>
      <c r="I107" s="265" t="n">
        <v>127</v>
      </c>
      <c r="J107" s="265" t="n">
        <v>167</v>
      </c>
      <c r="K107" s="265" t="n">
        <v>117</v>
      </c>
      <c r="L107" s="265" t="n">
        <v>117</v>
      </c>
      <c r="N107" s="265" t="n">
        <v>113</v>
      </c>
      <c r="O107" s="265" t="n">
        <v>104</v>
      </c>
      <c r="P107" s="265" t="n">
        <v>43</v>
      </c>
      <c r="Q107" s="265" t="n">
        <v>88</v>
      </c>
      <c r="S107" s="265" t="n">
        <v>96</v>
      </c>
      <c r="T107" s="265" t="n">
        <v>48</v>
      </c>
      <c r="U107" s="265" t="n">
        <v>77</v>
      </c>
      <c r="V107" s="265" t="n">
        <v>59</v>
      </c>
      <c r="X107" s="265" t="n">
        <v>52</v>
      </c>
      <c r="Y107" s="265" t="n">
        <v>61</v>
      </c>
      <c r="Z107" s="265" t="n">
        <v>28</v>
      </c>
      <c r="AA107" s="265" t="n">
        <v>-11</v>
      </c>
      <c r="AC107" s="265" t="n">
        <v>-73</v>
      </c>
      <c r="AD107" s="265" t="n">
        <v>-80</v>
      </c>
    </row>
    <row r="108">
      <c r="A108" t="inlineStr">
        <is>
          <t>Fontes da receita por segmento: 1T20 e 2T20: comparativos dos releases 1T21 e 2T21; 3T20: comparativo do 3T21; 4T21 a 4T22: release 4T22 (PDFs de 2022 sao imagem, lidos na tabela "Destaques por Segmento" e graficos do 4T22); demais: release do proprio trimestre. 3T25: Atacarejo = Mix Mateus 5.804 + Novo Atacarejo 1.726 (no 4T25 a Cia ja divulga somado). 1T26 e 2T26: a Cia deixou de abrir a receita por segmento</t>
        </is>
      </c>
      <c r="C108" t="inlineStr">
        <is>
          <t>[linha bruta, sem código; lançada nas linhas abaixo]</t>
        </is>
      </c>
      <c r="D108" s="265" t="n"/>
      <c r="E108" s="265" t="n"/>
      <c r="F108" s="265" t="n"/>
      <c r="G108" s="265" t="n"/>
      <c r="I108" s="265" t="n"/>
      <c r="J108" s="265" t="n"/>
      <c r="K108" s="265" t="n"/>
      <c r="L108" s="265" t="n"/>
      <c r="N108" s="265" t="n"/>
      <c r="O108" s="265" t="n"/>
      <c r="P108" s="265" t="n"/>
      <c r="Q108" s="265" t="n"/>
      <c r="S108" s="265" t="n"/>
      <c r="T108" s="265" t="n"/>
      <c r="U108" s="265" t="n"/>
      <c r="V108" s="265" t="n"/>
      <c r="X108" s="265" t="n"/>
      <c r="Y108" s="265" t="n"/>
      <c r="Z108" s="265" t="n"/>
      <c r="AA108" s="265" t="n"/>
      <c r="AC108" s="265" t="n"/>
      <c r="AD108" s="265" t="n"/>
    </row>
    <row r="109">
      <c r="A109" t="inlineStr">
        <is>
          <t>Receita bruta de mercadorias = antes de devolucoes e sem receita de servicos (conceito dos releases). Lojas 2T26: 30 lojas Mateus de PE/PB/AL migraram para a bandeira Novo Atacarejo (Atacarejo 102 -&gt; 77; Novo 37 -&gt; 67).</t>
        </is>
      </c>
      <c r="C109" t="inlineStr">
        <is>
          <t>[linha bruta, sem código; lançada nas linhas abaixo]</t>
        </is>
      </c>
      <c r="D109" s="265" t="n"/>
      <c r="E109" s="265" t="n"/>
      <c r="F109" s="265" t="n"/>
      <c r="G109" s="265" t="n"/>
      <c r="I109" s="265" t="n"/>
      <c r="J109" s="265" t="n"/>
      <c r="K109" s="265" t="n"/>
      <c r="L109" s="265" t="n"/>
      <c r="N109" s="265" t="n"/>
      <c r="O109" s="265" t="n"/>
      <c r="P109" s="265" t="n"/>
      <c r="Q109" s="265" t="n"/>
      <c r="S109" s="265" t="n"/>
      <c r="T109" s="265" t="n"/>
      <c r="U109" s="265" t="n"/>
      <c r="V109" s="265" t="n"/>
      <c r="X109" s="265" t="n"/>
      <c r="Y109" s="265" t="n"/>
      <c r="Z109" s="265" t="n"/>
      <c r="AA109" s="265" t="n"/>
      <c r="AC109" s="265" t="n"/>
      <c r="AD109" s="265" t="n"/>
    </row>
    <row r="111">
      <c r="A111" t="inlineStr">
        <is>
          <t>Linhas de origem: 4 a 109. A Inputs (2) varre as linhas 4 a 150; as linhas 110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9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Grupo Mateus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3362.273093422</v>
      </c>
      <c r="E4" s="11">
        <f>IF(E$3=0,"",SUMIFS(INDEX(Inputs!$D$4:$AG$150,0,MATCH(E$2,Inputs!$D$2:$AG$2,0)),Inputs!$B$4:$B$150,$B4)/1000)</f>
        <v>3724.341685019</v>
      </c>
      <c r="F4" s="11">
        <f>IF(F$3=0,"",SUMIFS(INDEX(Inputs!$D$4:$AG$150,0,MATCH(F$2,Inputs!$D$2:$AG$2,0)),Inputs!$B$4:$B$150,$B4)/1000)</f>
        <v>4349.125</v>
      </c>
      <c r="G4" s="11">
        <f>IF(G$3=0,"",SUMIFS(INDEX(Inputs!$D$4:$AG$150,0,MATCH(G$2,Inputs!$D$2:$AG$2,0)),Inputs!$B$4:$B$150,$B4)/1000)</f>
        <v>4441.117221559</v>
      </c>
      <c r="H4" s="12">
        <f>IF(COUNT(D4:G4)=4,SUM(D4:G4),"")</f>
        <v>15876.857</v>
      </c>
      <c r="I4" s="11">
        <f>IF(I$3=0,"",SUMIFS(INDEX(Inputs!$D$4:$AG$150,0,MATCH(I$2,Inputs!$D$2:$AG$2,0)),Inputs!$B$4:$B$150,$B4)/1000)</f>
        <v>4578.779536233</v>
      </c>
      <c r="J4" s="11">
        <f>IF(J$3=0,"",SUMIFS(INDEX(Inputs!$D$4:$AG$150,0,MATCH(J$2,Inputs!$D$2:$AG$2,0)),Inputs!$B$4:$B$150,$B4)/1000)</f>
        <v>5201.989</v>
      </c>
      <c r="K4" s="11">
        <f>IF(K$3=0,"",SUMIFS(INDEX(Inputs!$D$4:$AG$150,0,MATCH(K$2,Inputs!$D$2:$AG$2,0)),Inputs!$B$4:$B$150,$B4)/1000)</f>
        <v>5923.131</v>
      </c>
      <c r="L4" s="11">
        <f>IF(L$3=0,"",SUMIFS(INDEX(Inputs!$D$4:$AG$150,0,MATCH(L$2,Inputs!$D$2:$AG$2,0)),Inputs!$B$4:$B$150,$B4)/1000)</f>
        <v>6064.576963332</v>
      </c>
      <c r="M4" s="12">
        <f>IF(COUNT(I4:L4)=4,SUM(I4:L4),"")</f>
        <v>21768.476499565</v>
      </c>
      <c r="N4" s="11">
        <f>IF(N$3=0,"",SUMIFS(INDEX(Inputs!$D$4:$AG$150,0,MATCH(N$2,Inputs!$D$2:$AG$2,0)),Inputs!$B$4:$B$150,$B4)/1000)</f>
        <v>5867.879714343</v>
      </c>
      <c r="O4" s="11">
        <f>IF(O$3=0,"",SUMIFS(INDEX(Inputs!$D$4:$AG$150,0,MATCH(O$2,Inputs!$D$2:$AG$2,0)),Inputs!$B$4:$B$150,$B4)/1000)</f>
        <v>6429.472</v>
      </c>
      <c r="P4" s="11">
        <f>IF(P$3=0,"",SUMIFS(INDEX(Inputs!$D$4:$AG$150,0,MATCH(P$2,Inputs!$D$2:$AG$2,0)),Inputs!$B$4:$B$150,$B4)/1000)</f>
        <v>6934.929</v>
      </c>
      <c r="Q4" s="11">
        <f>IF(Q$3=0,"",SUMIFS(INDEX(Inputs!$D$4:$AG$150,0,MATCH(Q$2,Inputs!$D$2:$AG$2,0)),Inputs!$B$4:$B$150,$B4)/1000)</f>
        <v>7541.305285657</v>
      </c>
      <c r="R4" s="12">
        <f>IF(COUNT(N4:Q4)=4,SUM(N4:Q4),"")</f>
        <v>26773.586</v>
      </c>
      <c r="S4" s="11">
        <f>IF(S$3=0,"",SUMIFS(INDEX(Inputs!$D$4:$AG$150,0,MATCH(S$2,Inputs!$D$2:$AG$2,0)),Inputs!$B$4:$B$150,$B4)/1000)</f>
        <v>7382.470647729</v>
      </c>
      <c r="T4" s="11">
        <f>IF(T$3=0,"",SUMIFS(INDEX(Inputs!$D$4:$AG$150,0,MATCH(T$2,Inputs!$D$2:$AG$2,0)),Inputs!$B$4:$B$150,$B4)/1000)</f>
        <v>7638.924352271</v>
      </c>
      <c r="U4" s="11">
        <f>IF(U$3=0,"",SUMIFS(INDEX(Inputs!$D$4:$AG$150,0,MATCH(U$2,Inputs!$D$2:$AG$2,0)),Inputs!$B$4:$B$150,$B4)/1000)</f>
        <v>8337.057</v>
      </c>
      <c r="V4" s="11">
        <f>IF(V$3=0,"",SUMIFS(INDEX(Inputs!$D$4:$AG$150,0,MATCH(V$2,Inputs!$D$2:$AG$2,0)),Inputs!$B$4:$B$150,$B4)/1000)</f>
        <v>8726.977</v>
      </c>
      <c r="W4" s="12">
        <f>IF(COUNT(S4:V4)=4,SUM(S4:V4),"")</f>
        <v>32085.429</v>
      </c>
      <c r="X4" s="11">
        <f>IF(X$3=0,"",SUMIFS(INDEX(Inputs!$D$4:$AG$150,0,MATCH(X$2,Inputs!$D$2:$AG$2,0)),Inputs!$B$4:$B$150,$B4)/1000)</f>
        <v>8331.305</v>
      </c>
      <c r="Y4" s="11">
        <f>IF(Y$3=0,"",SUMIFS(INDEX(Inputs!$D$4:$AG$150,0,MATCH(Y$2,Inputs!$D$2:$AG$2,0)),Inputs!$B$4:$B$150,$B4)/1000)</f>
        <v>8779.636433216</v>
      </c>
      <c r="Z4" s="11">
        <f>IF(Z$3=0,"",SUMIFS(INDEX(Inputs!$D$4:$AG$150,0,MATCH(Z$2,Inputs!$D$2:$AG$2,0)),Inputs!$B$4:$B$150,$B4)/1000)</f>
        <v>10763.538</v>
      </c>
      <c r="AA4" s="11">
        <f>IF(AA$3=0,"",SUMIFS(INDEX(Inputs!$D$4:$AG$150,0,MATCH(AA$2,Inputs!$D$2:$AG$2,0)),Inputs!$B$4:$B$150,$B4)/1000)</f>
        <v>10549.922635784</v>
      </c>
      <c r="AB4" s="12">
        <f>IF(COUNT(X4:AA4)=4,SUM(X4:AA4),"")</f>
        <v>38424.402069</v>
      </c>
      <c r="AC4" s="11">
        <f>IF(AC$3=0,"",SUMIFS(INDEX(Inputs!$D$4:$AG$150,0,MATCH(AC$2,Inputs!$D$2:$AG$2,0)),Inputs!$B$4:$B$150,$B4)/1000)</f>
        <v>9402.27</v>
      </c>
      <c r="AD4" s="11">
        <f>IF(AD$3=0,"",SUMIFS(INDEX(Inputs!$D$4:$AG$150,0,MATCH(AD$2,Inputs!$D$2:$AG$2,0)),Inputs!$B$4:$B$150,$B4)/1000)</f>
        <v>9852.461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-2560.194066782</v>
      </c>
      <c r="E5" s="11">
        <f>IF(E$3=0,"",SUMIFS(INDEX(Inputs!$D$4:$AG$150,0,MATCH(E$2,Inputs!$D$2:$AG$2,0)),Inputs!$B$4:$B$150,$B5)/1000)</f>
        <v>-2861.692344669</v>
      </c>
      <c r="F5" s="11">
        <f>IF(F$3=0,"",SUMIFS(INDEX(Inputs!$D$4:$AG$150,0,MATCH(F$2,Inputs!$D$2:$AG$2,0)),Inputs!$B$4:$B$150,$B5)/1000)</f>
        <v>-3311.219</v>
      </c>
      <c r="G5" s="11">
        <f>IF(G$3=0,"",SUMIFS(INDEX(Inputs!$D$4:$AG$150,0,MATCH(G$2,Inputs!$D$2:$AG$2,0)),Inputs!$B$4:$B$150,$B5)/1000)</f>
        <v>-3441.309588549</v>
      </c>
      <c r="H5" s="12">
        <f>IF(COUNT(D5:G5)=4,SUM(D5:G5),"")</f>
        <v>-12174.415</v>
      </c>
      <c r="I5" s="11">
        <f>IF(I$3=0,"",SUMIFS(INDEX(Inputs!$D$4:$AG$150,0,MATCH(I$2,Inputs!$D$2:$AG$2,0)),Inputs!$B$4:$B$150,$B5)/1000)</f>
        <v>-3553.067345893</v>
      </c>
      <c r="J5" s="11">
        <f>IF(J$3=0,"",SUMIFS(INDEX(Inputs!$D$4:$AG$150,0,MATCH(J$2,Inputs!$D$2:$AG$2,0)),Inputs!$B$4:$B$150,$B5)/1000)</f>
        <v>-4019.431</v>
      </c>
      <c r="K5" s="11">
        <f>IF(K$3=0,"",SUMIFS(INDEX(Inputs!$D$4:$AG$150,0,MATCH(K$2,Inputs!$D$2:$AG$2,0)),Inputs!$B$4:$B$150,$B5)/1000)</f>
        <v>-4568.982</v>
      </c>
      <c r="L5" s="11">
        <f>IF(L$3=0,"",SUMIFS(INDEX(Inputs!$D$4:$AG$150,0,MATCH(L$2,Inputs!$D$2:$AG$2,0)),Inputs!$B$4:$B$150,$B5)/1000)</f>
        <v>-4752.904963332</v>
      </c>
      <c r="M5" s="12">
        <f>IF(COUNT(I5:L5)=4,SUM(I5:L5),"")</f>
        <v>-16894.385309225</v>
      </c>
      <c r="N5" s="11">
        <f>IF(N$3=0,"",SUMIFS(INDEX(Inputs!$D$4:$AG$150,0,MATCH(N$2,Inputs!$D$2:$AG$2,0)),Inputs!$B$4:$B$150,$B5)/1000)</f>
        <v>-4574.505714343</v>
      </c>
      <c r="O5" s="11">
        <f>IF(O$3=0,"",SUMIFS(INDEX(Inputs!$D$4:$AG$150,0,MATCH(O$2,Inputs!$D$2:$AG$2,0)),Inputs!$B$4:$B$150,$B5)/1000)</f>
        <v>-4985.038</v>
      </c>
      <c r="P5" s="11">
        <f>IF(P$3=0,"",SUMIFS(INDEX(Inputs!$D$4:$AG$150,0,MATCH(P$2,Inputs!$D$2:$AG$2,0)),Inputs!$B$4:$B$150,$B5)/1000)</f>
        <v>-5374.203</v>
      </c>
      <c r="Q5" s="11">
        <f>IF(Q$3=0,"",SUMIFS(INDEX(Inputs!$D$4:$AG$150,0,MATCH(Q$2,Inputs!$D$2:$AG$2,0)),Inputs!$B$4:$B$150,$B5)/1000)</f>
        <v>-5849.003330647</v>
      </c>
      <c r="R5" s="12">
        <f>IF(COUNT(N5:Q5)=4,SUM(N5:Q5),"")</f>
        <v>-20782.75004499</v>
      </c>
      <c r="S5" s="11">
        <f>IF(S$3=0,"",SUMIFS(INDEX(Inputs!$D$4:$AG$150,0,MATCH(S$2,Inputs!$D$2:$AG$2,0)),Inputs!$B$4:$B$150,$B5)/1000)</f>
        <v>-5732.716</v>
      </c>
      <c r="T5" s="11">
        <f>IF(T$3=0,"",SUMIFS(INDEX(Inputs!$D$4:$AG$150,0,MATCH(T$2,Inputs!$D$2:$AG$2,0)),Inputs!$B$4:$B$150,$B5)/1000)</f>
        <v>-5926.46</v>
      </c>
      <c r="U5" s="11">
        <f>IF(U$3=0,"",SUMIFS(INDEX(Inputs!$D$4:$AG$150,0,MATCH(U$2,Inputs!$D$2:$AG$2,0)),Inputs!$B$4:$B$150,$B5)/1000)</f>
        <v>-6479.36</v>
      </c>
      <c r="V5" s="11">
        <f>IF(V$3=0,"",SUMIFS(INDEX(Inputs!$D$4:$AG$150,0,MATCH(V$2,Inputs!$D$2:$AG$2,0)),Inputs!$B$4:$B$150,$B5)/1000)</f>
        <v>-6821.183</v>
      </c>
      <c r="W5" s="12">
        <f>IF(COUNT(S5:V5)=4,SUM(S5:V5),"")</f>
        <v>-24959.719</v>
      </c>
      <c r="X5" s="11">
        <f>IF(X$3=0,"",SUMIFS(INDEX(Inputs!$D$4:$AG$150,0,MATCH(X$2,Inputs!$D$2:$AG$2,0)),Inputs!$B$4:$B$150,$B5)/1000)</f>
        <v>-6478.662</v>
      </c>
      <c r="Y5" s="11">
        <f>IF(Y$3=0,"",SUMIFS(INDEX(Inputs!$D$4:$AG$150,0,MATCH(Y$2,Inputs!$D$2:$AG$2,0)),Inputs!$B$4:$B$150,$B5)/1000)</f>
        <v>-6685.998</v>
      </c>
      <c r="Z5" s="11">
        <f>IF(Z$3=0,"",SUMIFS(INDEX(Inputs!$D$4:$AG$150,0,MATCH(Z$2,Inputs!$D$2:$AG$2,0)),Inputs!$B$4:$B$150,$B5)/1000)</f>
        <v>-8470.764</v>
      </c>
      <c r="AA5" s="11">
        <f>IF(AA$3=0,"",SUMIFS(INDEX(Inputs!$D$4:$AG$150,0,MATCH(AA$2,Inputs!$D$2:$AG$2,0)),Inputs!$B$4:$B$150,$B5)/1000)</f>
        <v>-8175.217446784</v>
      </c>
      <c r="AB5" s="12">
        <f>IF(COUNT(X5:AA5)=4,SUM(X5:AA5),"")</f>
        <v>-29810.641446784</v>
      </c>
      <c r="AC5" s="11">
        <f>IF(AC$3=0,"",SUMIFS(INDEX(Inputs!$D$4:$AG$150,0,MATCH(AC$2,Inputs!$D$2:$AG$2,0)),Inputs!$B$4:$B$150,$B5)/1000)</f>
        <v>-7251.758</v>
      </c>
      <c r="AD5" s="11">
        <f>IF(AD$3=0,"",SUMIFS(INDEX(Inputs!$D$4:$AG$150,0,MATCH(AD$2,Inputs!$D$2:$AG$2,0)),Inputs!$B$4:$B$150,$B5)/1000)</f>
        <v>-7541.266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-562.84963838</v>
      </c>
      <c r="E6" s="11">
        <f>IF(E$3=0,"",SUMIFS(INDEX(Inputs!$D$4:$AG$150,0,MATCH(E$2,Inputs!$D$2:$AG$2,0)),Inputs!$B$4:$B$150,$B6)/1000)</f>
        <v>-583.83754856</v>
      </c>
      <c r="F6" s="11">
        <f>IF(F$3=0,"",SUMIFS(INDEX(Inputs!$D$4:$AG$150,0,MATCH(F$2,Inputs!$D$2:$AG$2,0)),Inputs!$B$4:$B$150,$B6)/1000)</f>
        <v>-705.863</v>
      </c>
      <c r="G6" s="11">
        <f>IF(G$3=0,"",SUMIFS(INDEX(Inputs!$D$4:$AG$150,0,MATCH(G$2,Inputs!$D$2:$AG$2,0)),Inputs!$B$4:$B$150,$B6)/1000)</f>
        <v>-673.279</v>
      </c>
      <c r="H6" s="12">
        <f>IF(COUNT(D6:G6)=4,SUM(D6:G6),"")</f>
        <v>-2525.82918694</v>
      </c>
      <c r="I6" s="11">
        <f>IF(I$3=0,"",SUMIFS(INDEX(Inputs!$D$4:$AG$150,0,MATCH(I$2,Inputs!$D$2:$AG$2,0)),Inputs!$B$4:$B$150,$B6)/1000)</f>
        <v>-723.7092416</v>
      </c>
      <c r="J6" s="11">
        <f>IF(J$3=0,"",SUMIFS(INDEX(Inputs!$D$4:$AG$150,0,MATCH(J$2,Inputs!$D$2:$AG$2,0)),Inputs!$B$4:$B$150,$B6)/1000)</f>
        <v>-772.76980326</v>
      </c>
      <c r="K6" s="11">
        <f>IF(K$3=0,"",SUMIFS(INDEX(Inputs!$D$4:$AG$150,0,MATCH(K$2,Inputs!$D$2:$AG$2,0)),Inputs!$B$4:$B$150,$B6)/1000)</f>
        <v>-881.737</v>
      </c>
      <c r="L6" s="11">
        <f>IF(L$3=0,"",SUMIFS(INDEX(Inputs!$D$4:$AG$150,0,MATCH(L$2,Inputs!$D$2:$AG$2,0)),Inputs!$B$4:$B$150,$B6)/1000)</f>
        <v>-801.424</v>
      </c>
      <c r="M6" s="12">
        <f>IF(COUNT(I6:L6)=4,SUM(I6:L6),"")</f>
        <v>-3179.64004486</v>
      </c>
      <c r="N6" s="11">
        <f>IF(N$3=0,"",SUMIFS(INDEX(Inputs!$D$4:$AG$150,0,MATCH(N$2,Inputs!$D$2:$AG$2,0)),Inputs!$B$4:$B$150,$B6)/1000)</f>
        <v>-882.38233242</v>
      </c>
      <c r="O6" s="11">
        <f>IF(O$3=0,"",SUMIFS(INDEX(Inputs!$D$4:$AG$150,0,MATCH(O$2,Inputs!$D$2:$AG$2,0)),Inputs!$B$4:$B$150,$B6)/1000)</f>
        <v>-938.709</v>
      </c>
      <c r="P6" s="11">
        <f>IF(P$3=0,"",SUMIFS(INDEX(Inputs!$D$4:$AG$150,0,MATCH(P$2,Inputs!$D$2:$AG$2,0)),Inputs!$B$4:$B$150,$B6)/1000)</f>
        <v>-1048.17</v>
      </c>
      <c r="Q6" s="11">
        <f>IF(Q$3=0,"",SUMIFS(INDEX(Inputs!$D$4:$AG$150,0,MATCH(Q$2,Inputs!$D$2:$AG$2,0)),Inputs!$B$4:$B$150,$B6)/1000)</f>
        <v>-1085.57050511</v>
      </c>
      <c r="R6" s="12">
        <f>IF(COUNT(N6:Q6)=4,SUM(N6:Q6),"")</f>
        <v>-3954.83183753</v>
      </c>
      <c r="S6" s="11">
        <f>IF(S$3=0,"",SUMIFS(INDEX(Inputs!$D$4:$AG$150,0,MATCH(S$2,Inputs!$D$2:$AG$2,0)),Inputs!$B$4:$B$150,$B6)/1000)</f>
        <v>-1139.73162143</v>
      </c>
      <c r="T6" s="11">
        <f>IF(T$3=0,"",SUMIFS(INDEX(Inputs!$D$4:$AG$150,0,MATCH(T$2,Inputs!$D$2:$AG$2,0)),Inputs!$B$4:$B$150,$B6)/1000)</f>
        <v>-1169.752</v>
      </c>
      <c r="U6" s="11">
        <f>IF(U$3=0,"",SUMIFS(INDEX(Inputs!$D$4:$AG$150,0,MATCH(U$2,Inputs!$D$2:$AG$2,0)),Inputs!$B$4:$B$150,$B6)/1000)</f>
        <v>-1209.442</v>
      </c>
      <c r="V6" s="11">
        <f>IF(V$3=0,"",SUMIFS(INDEX(Inputs!$D$4:$AG$150,0,MATCH(V$2,Inputs!$D$2:$AG$2,0)),Inputs!$B$4:$B$150,$B6)/1000)</f>
        <v>-1273.5865</v>
      </c>
      <c r="W6" s="12">
        <f>IF(COUNT(S6:V6)=4,SUM(S6:V6),"")</f>
        <v>-4792.51212143</v>
      </c>
      <c r="X6" s="11">
        <f>IF(X$3=0,"",SUMIFS(INDEX(Inputs!$D$4:$AG$150,0,MATCH(X$2,Inputs!$D$2:$AG$2,0)),Inputs!$B$4:$B$150,$B6)/1000)</f>
        <v>-1266.711</v>
      </c>
      <c r="Y6" s="11">
        <f>IF(Y$3=0,"",SUMIFS(INDEX(Inputs!$D$4:$AG$150,0,MATCH(Y$2,Inputs!$D$2:$AG$2,0)),Inputs!$B$4:$B$150,$B6)/1000)</f>
        <v>-1318.147</v>
      </c>
      <c r="Z6" s="11">
        <f>IF(Z$3=0,"",SUMIFS(INDEX(Inputs!$D$4:$AG$150,0,MATCH(Z$2,Inputs!$D$2:$AG$2,0)),Inputs!$B$4:$B$150,$B6)/1000)</f>
        <v>-1459.552</v>
      </c>
      <c r="AA6" s="11">
        <f>IF(AA$3=0,"",SUMIFS(INDEX(Inputs!$D$4:$AG$150,0,MATCH(AA$2,Inputs!$D$2:$AG$2,0)),Inputs!$B$4:$B$150,$B6)/1000)</f>
        <v>-1762.206189</v>
      </c>
      <c r="AB6" s="12">
        <f>IF(COUNT(X6:AA6)=4,SUM(X6:AA6),"")</f>
        <v>-5806.616189</v>
      </c>
      <c r="AC6" s="11">
        <f>IF(AC$3=0,"",SUMIFS(INDEX(Inputs!$D$4:$AG$150,0,MATCH(AC$2,Inputs!$D$2:$AG$2,0)),Inputs!$B$4:$B$150,$B6)/1000)</f>
        <v>-1607.468</v>
      </c>
      <c r="AD6" s="11">
        <f>IF(AD$3=0,"",SUMIFS(INDEX(Inputs!$D$4:$AG$150,0,MATCH(AD$2,Inputs!$D$2:$AG$2,0)),Inputs!$B$4:$B$150,$B6)/1000)</f>
        <v>-1629.588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-57.729</v>
      </c>
      <c r="E7" s="11">
        <f>IF(E$3=0,"",SUMIFS(INDEX(Inputs!$D$4:$AG$150,0,MATCH(E$2,Inputs!$D$2:$AG$2,0)),Inputs!$B$4:$B$150,$B7)/1000)</f>
        <v>-63.733</v>
      </c>
      <c r="F7" s="11">
        <f>IF(F$3=0,"",SUMIFS(INDEX(Inputs!$D$4:$AG$150,0,MATCH(F$2,Inputs!$D$2:$AG$2,0)),Inputs!$B$4:$B$150,$B7)/1000)</f>
        <v>-71.918</v>
      </c>
      <c r="G7" s="11">
        <f>IF(G$3=0,"",SUMIFS(INDEX(Inputs!$D$4:$AG$150,0,MATCH(G$2,Inputs!$D$2:$AG$2,0)),Inputs!$B$4:$B$150,$B7)/1000)</f>
        <v>-67.065</v>
      </c>
      <c r="H7" s="12">
        <f>IF(COUNT(D7:G7)=4,SUM(D7:G7),"")</f>
        <v>-260.445</v>
      </c>
      <c r="I7" s="11">
        <f>IF(I$3=0,"",SUMIFS(INDEX(Inputs!$D$4:$AG$150,0,MATCH(I$2,Inputs!$D$2:$AG$2,0)),Inputs!$B$4:$B$150,$B7)/1000)</f>
        <v>-72.195</v>
      </c>
      <c r="J7" s="11">
        <f>IF(J$3=0,"",SUMIFS(INDEX(Inputs!$D$4:$AG$150,0,MATCH(J$2,Inputs!$D$2:$AG$2,0)),Inputs!$B$4:$B$150,$B7)/1000)</f>
        <v>-83.73</v>
      </c>
      <c r="K7" s="11">
        <f>IF(K$3=0,"",SUMIFS(INDEX(Inputs!$D$4:$AG$150,0,MATCH(K$2,Inputs!$D$2:$AG$2,0)),Inputs!$B$4:$B$150,$B7)/1000)</f>
        <v>-84.22</v>
      </c>
      <c r="L7" s="11">
        <f>IF(L$3=0,"",SUMIFS(INDEX(Inputs!$D$4:$AG$150,0,MATCH(L$2,Inputs!$D$2:$AG$2,0)),Inputs!$B$4:$B$150,$B7)/1000)</f>
        <v>-89.022</v>
      </c>
      <c r="M7" s="12">
        <f>IF(COUNT(I7:L7)=4,SUM(I7:L7),"")</f>
        <v>-329.167</v>
      </c>
      <c r="N7" s="11">
        <f>IF(N$3=0,"",SUMIFS(INDEX(Inputs!$D$4:$AG$150,0,MATCH(N$2,Inputs!$D$2:$AG$2,0)),Inputs!$B$4:$B$150,$B7)/1000)</f>
        <v>-98.001</v>
      </c>
      <c r="O7" s="11">
        <f>IF(O$3=0,"",SUMIFS(INDEX(Inputs!$D$4:$AG$150,0,MATCH(O$2,Inputs!$D$2:$AG$2,0)),Inputs!$B$4:$B$150,$B7)/1000)</f>
        <v>-92.145</v>
      </c>
      <c r="P7" s="11">
        <f>IF(P$3=0,"",SUMIFS(INDEX(Inputs!$D$4:$AG$150,0,MATCH(P$2,Inputs!$D$2:$AG$2,0)),Inputs!$B$4:$B$150,$B7)/1000)</f>
        <v>-98.528</v>
      </c>
      <c r="Q7" s="11">
        <f>IF(Q$3=0,"",SUMIFS(INDEX(Inputs!$D$4:$AG$150,0,MATCH(Q$2,Inputs!$D$2:$AG$2,0)),Inputs!$B$4:$B$150,$B7)/1000)</f>
        <v>-64.718</v>
      </c>
      <c r="R7" s="12">
        <f>IF(COUNT(N7:Q7)=4,SUM(N7:Q7),"")</f>
        <v>-353.392</v>
      </c>
      <c r="S7" s="11">
        <f>IF(S$3=0,"",SUMIFS(INDEX(Inputs!$D$4:$AG$150,0,MATCH(S$2,Inputs!$D$2:$AG$2,0)),Inputs!$B$4:$B$150,$B7)/1000)</f>
        <v>-104.571</v>
      </c>
      <c r="T7" s="11">
        <f>IF(T$3=0,"",SUMIFS(INDEX(Inputs!$D$4:$AG$150,0,MATCH(T$2,Inputs!$D$2:$AG$2,0)),Inputs!$B$4:$B$150,$B7)/1000)</f>
        <v>-85.309</v>
      </c>
      <c r="U7" s="11">
        <f>IF(U$3=0,"",SUMIFS(INDEX(Inputs!$D$4:$AG$150,0,MATCH(U$2,Inputs!$D$2:$AG$2,0)),Inputs!$B$4:$B$150,$B7)/1000)</f>
        <v>-95.494</v>
      </c>
      <c r="V7" s="11">
        <f>IF(V$3=0,"",SUMIFS(INDEX(Inputs!$D$4:$AG$150,0,MATCH(V$2,Inputs!$D$2:$AG$2,0)),Inputs!$B$4:$B$150,$B7)/1000)</f>
        <v>-91.372</v>
      </c>
      <c r="W7" s="12">
        <f>IF(COUNT(S7:V7)=4,SUM(S7:V7),"")</f>
        <v>-376.746</v>
      </c>
      <c r="X7" s="11">
        <f>IF(X$3=0,"",SUMIFS(INDEX(Inputs!$D$4:$AG$150,0,MATCH(X$2,Inputs!$D$2:$AG$2,0)),Inputs!$B$4:$B$150,$B7)/1000)</f>
        <v>-105.294</v>
      </c>
      <c r="Y7" s="11">
        <f>IF(Y$3=0,"",SUMIFS(INDEX(Inputs!$D$4:$AG$150,0,MATCH(Y$2,Inputs!$D$2:$AG$2,0)),Inputs!$B$4:$B$150,$B7)/1000)</f>
        <v>-113.093</v>
      </c>
      <c r="Z7" s="11">
        <f>IF(Z$3=0,"",SUMIFS(INDEX(Inputs!$D$4:$AG$150,0,MATCH(Z$2,Inputs!$D$2:$AG$2,0)),Inputs!$B$4:$B$150,$B7)/1000)</f>
        <v>-162.165</v>
      </c>
      <c r="AA7" s="11">
        <f>IF(AA$3=0,"",SUMIFS(INDEX(Inputs!$D$4:$AG$150,0,MATCH(AA$2,Inputs!$D$2:$AG$2,0)),Inputs!$B$4:$B$150,$B7)/1000)</f>
        <v>-159.044</v>
      </c>
      <c r="AB7" s="12">
        <f>IF(COUNT(X7:AA7)=4,SUM(X7:AA7),"")</f>
        <v>-539.596</v>
      </c>
      <c r="AC7" s="11">
        <f>IF(AC$3=0,"",SUMIFS(INDEX(Inputs!$D$4:$AG$150,0,MATCH(AC$2,Inputs!$D$2:$AG$2,0)),Inputs!$B$4:$B$150,$B7)/1000)</f>
        <v>-158.45</v>
      </c>
      <c r="AD7" s="11">
        <f>IF(AD$3=0,"",SUMIFS(INDEX(Inputs!$D$4:$AG$150,0,MATCH(AD$2,Inputs!$D$2:$AG$2,0)),Inputs!$B$4:$B$150,$B7)/1000)</f>
        <v>-177.69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-50.47</v>
      </c>
      <c r="E8" s="11">
        <f>IF(E$3=0,"",SUMIFS(INDEX(Inputs!$D$4:$AG$150,0,MATCH(E$2,Inputs!$D$2:$AG$2,0)),Inputs!$B$4:$B$150,$B8)/1000)</f>
        <v>-56.216</v>
      </c>
      <c r="F8" s="11">
        <f>IF(F$3=0,"",SUMIFS(INDEX(Inputs!$D$4:$AG$150,0,MATCH(F$2,Inputs!$D$2:$AG$2,0)),Inputs!$B$4:$B$150,$B8)/1000)</f>
        <v>-91.211</v>
      </c>
      <c r="G8" s="11">
        <f>IF(G$3=0,"",SUMIFS(INDEX(Inputs!$D$4:$AG$150,0,MATCH(G$2,Inputs!$D$2:$AG$2,0)),Inputs!$B$4:$B$150,$B8)/1000)</f>
        <v>-71.983</v>
      </c>
      <c r="H8" s="12">
        <f>IF(COUNT(D8:G8)=4,SUM(D8:G8),"")</f>
        <v>-269.88</v>
      </c>
      <c r="I8" s="11">
        <f>IF(I$3=0,"",SUMIFS(INDEX(Inputs!$D$4:$AG$150,0,MATCH(I$2,Inputs!$D$2:$AG$2,0)),Inputs!$B$4:$B$150,$B8)/1000)</f>
        <v>-73.218</v>
      </c>
      <c r="J8" s="11">
        <f>IF(J$3=0,"",SUMIFS(INDEX(Inputs!$D$4:$AG$150,0,MATCH(J$2,Inputs!$D$2:$AG$2,0)),Inputs!$B$4:$B$150,$B8)/1000)</f>
        <v>-94.76177903</v>
      </c>
      <c r="K8" s="11">
        <f>IF(K$3=0,"",SUMIFS(INDEX(Inputs!$D$4:$AG$150,0,MATCH(K$2,Inputs!$D$2:$AG$2,0)),Inputs!$B$4:$B$150,$B8)/1000)</f>
        <v>-137.924</v>
      </c>
      <c r="L8" s="11">
        <f>IF(L$3=0,"",SUMIFS(INDEX(Inputs!$D$4:$AG$150,0,MATCH(L$2,Inputs!$D$2:$AG$2,0)),Inputs!$B$4:$B$150,$B8)/1000)</f>
        <v>-154.73222097</v>
      </c>
      <c r="M8" s="12">
        <f>IF(COUNT(I8:L8)=4,SUM(I8:L8),"")</f>
        <v>-460.636</v>
      </c>
      <c r="N8" s="11">
        <f>IF(N$3=0,"",SUMIFS(INDEX(Inputs!$D$4:$AG$150,0,MATCH(N$2,Inputs!$D$2:$AG$2,0)),Inputs!$B$4:$B$150,$B8)/1000)</f>
        <v>-135.96</v>
      </c>
      <c r="O8" s="11">
        <f>IF(O$3=0,"",SUMIFS(INDEX(Inputs!$D$4:$AG$150,0,MATCH(O$2,Inputs!$D$2:$AG$2,0)),Inputs!$B$4:$B$150,$B8)/1000)</f>
        <v>-166.879</v>
      </c>
      <c r="P8" s="11">
        <f>IF(P$3=0,"",SUMIFS(INDEX(Inputs!$D$4:$AG$150,0,MATCH(P$2,Inputs!$D$2:$AG$2,0)),Inputs!$B$4:$B$150,$B8)/1000)</f>
        <v>-163.903</v>
      </c>
      <c r="Q8" s="11">
        <f>IF(Q$3=0,"",SUMIFS(INDEX(Inputs!$D$4:$AG$150,0,MATCH(Q$2,Inputs!$D$2:$AG$2,0)),Inputs!$B$4:$B$150,$B8)/1000)</f>
        <v>-180.578</v>
      </c>
      <c r="R8" s="12">
        <f>IF(COUNT(N8:Q8)=4,SUM(N8:Q8),"")</f>
        <v>-647.32</v>
      </c>
      <c r="S8" s="11">
        <f>IF(S$3=0,"",SUMIFS(INDEX(Inputs!$D$4:$AG$150,0,MATCH(S$2,Inputs!$D$2:$AG$2,0)),Inputs!$B$4:$B$150,$B8)/1000)</f>
        <v>-187.30166009</v>
      </c>
      <c r="T8" s="11">
        <f>IF(T$3=0,"",SUMIFS(INDEX(Inputs!$D$4:$AG$150,0,MATCH(T$2,Inputs!$D$2:$AG$2,0)),Inputs!$B$4:$B$150,$B8)/1000)</f>
        <v>-198.20873991</v>
      </c>
      <c r="U8" s="11">
        <f>IF(U$3=0,"",SUMIFS(INDEX(Inputs!$D$4:$AG$150,0,MATCH(U$2,Inputs!$D$2:$AG$2,0)),Inputs!$B$4:$B$150,$B8)/1000)</f>
        <v>-208.79</v>
      </c>
      <c r="V8" s="11">
        <f>IF(V$3=0,"",SUMIFS(INDEX(Inputs!$D$4:$AG$150,0,MATCH(V$2,Inputs!$D$2:$AG$2,0)),Inputs!$B$4:$B$150,$B8)/1000)</f>
        <v>-244.9556</v>
      </c>
      <c r="W8" s="12">
        <f>IF(COUNT(S8:V8)=4,SUM(S8:V8),"")</f>
        <v>-839.256</v>
      </c>
      <c r="X8" s="11">
        <f>IF(X$3=0,"",SUMIFS(INDEX(Inputs!$D$4:$AG$150,0,MATCH(X$2,Inputs!$D$2:$AG$2,0)),Inputs!$B$4:$B$150,$B8)/1000)</f>
        <v>-250.609</v>
      </c>
      <c r="Y8" s="11">
        <f>IF(Y$3=0,"",SUMIFS(INDEX(Inputs!$D$4:$AG$150,0,MATCH(Y$2,Inputs!$D$2:$AG$2,0)),Inputs!$B$4:$B$150,$B8)/1000)</f>
        <v>-267.809</v>
      </c>
      <c r="Z8" s="11">
        <f>IF(Z$3=0,"",SUMIFS(INDEX(Inputs!$D$4:$AG$150,0,MATCH(Z$2,Inputs!$D$2:$AG$2,0)),Inputs!$B$4:$B$150,$B8)/1000)</f>
        <v>-305.637</v>
      </c>
      <c r="AA8" s="11">
        <f>IF(AA$3=0,"",SUMIFS(INDEX(Inputs!$D$4:$AG$150,0,MATCH(AA$2,Inputs!$D$2:$AG$2,0)),Inputs!$B$4:$B$150,$B8)/1000)</f>
        <v>-403.524</v>
      </c>
      <c r="AB8" s="12">
        <f>IF(COUNT(X8:AA8)=4,SUM(X8:AA8),"")</f>
        <v>-1227.579</v>
      </c>
      <c r="AC8" s="11">
        <f>IF(AC$3=0,"",SUMIFS(INDEX(Inputs!$D$4:$AG$150,0,MATCH(AC$2,Inputs!$D$2:$AG$2,0)),Inputs!$B$4:$B$150,$B8)/1000)</f>
        <v>-310.031</v>
      </c>
      <c r="AD8" s="11">
        <f>IF(AD$3=0,"",SUMIFS(INDEX(Inputs!$D$4:$AG$150,0,MATCH(AD$2,Inputs!$D$2:$AG$2,0)),Inputs!$B$4:$B$150,$B8)/1000)</f>
        <v>-338.073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25.69076605</v>
      </c>
      <c r="E9" s="11">
        <f>IF(E$3=0,"",SUMIFS(INDEX(Inputs!$D$4:$AG$150,0,MATCH(E$2,Inputs!$D$2:$AG$2,0)),Inputs!$B$4:$B$150,$B9)/1000)</f>
        <v>31.7005537</v>
      </c>
      <c r="F9" s="11">
        <f>IF(F$3=0,"",SUMIFS(INDEX(Inputs!$D$4:$AG$150,0,MATCH(F$2,Inputs!$D$2:$AG$2,0)),Inputs!$B$4:$B$150,$B9)/1000)</f>
        <v>44.51</v>
      </c>
      <c r="G9" s="11">
        <f>IF(G$3=0,"",SUMIFS(INDEX(Inputs!$D$4:$AG$150,0,MATCH(G$2,Inputs!$D$2:$AG$2,0)),Inputs!$B$4:$B$150,$B9)/1000)</f>
        <v>39.361</v>
      </c>
      <c r="H9" s="12">
        <f>IF(COUNT(D9:G9)=4,SUM(D9:G9),"")</f>
        <v>141.26231975</v>
      </c>
      <c r="I9" s="11">
        <f>IF(I$3=0,"",SUMIFS(INDEX(Inputs!$D$4:$AG$150,0,MATCH(I$2,Inputs!$D$2:$AG$2,0)),Inputs!$B$4:$B$150,$B9)/1000)</f>
        <v>44.14633455</v>
      </c>
      <c r="J9" s="11">
        <f>IF(J$3=0,"",SUMIFS(INDEX(Inputs!$D$4:$AG$150,0,MATCH(J$2,Inputs!$D$2:$AG$2,0)),Inputs!$B$4:$B$150,$B9)/1000)</f>
        <v>36.20066545</v>
      </c>
      <c r="K9" s="11">
        <f>IF(K$3=0,"",SUMIFS(INDEX(Inputs!$D$4:$AG$150,0,MATCH(K$2,Inputs!$D$2:$AG$2,0)),Inputs!$B$4:$B$150,$B9)/1000)</f>
        <v>47.128</v>
      </c>
      <c r="L9" s="11">
        <f>IF(L$3=0,"",SUMIFS(INDEX(Inputs!$D$4:$AG$150,0,MATCH(L$2,Inputs!$D$2:$AG$2,0)),Inputs!$B$4:$B$150,$B9)/1000)</f>
        <v>56.191</v>
      </c>
      <c r="M9" s="12">
        <f>IF(COUNT(I9:L9)=4,SUM(I9:L9),"")</f>
        <v>183.666</v>
      </c>
      <c r="N9" s="11">
        <f>IF(N$3=0,"",SUMIFS(INDEX(Inputs!$D$4:$AG$150,0,MATCH(N$2,Inputs!$D$2:$AG$2,0)),Inputs!$B$4:$B$150,$B9)/1000)</f>
        <v>63.202</v>
      </c>
      <c r="O9" s="11">
        <f>IF(O$3=0,"",SUMIFS(INDEX(Inputs!$D$4:$AG$150,0,MATCH(O$2,Inputs!$D$2:$AG$2,0)),Inputs!$B$4:$B$150,$B9)/1000)</f>
        <v>62.773</v>
      </c>
      <c r="P9" s="11">
        <f>IF(P$3=0,"",SUMIFS(INDEX(Inputs!$D$4:$AG$150,0,MATCH(P$2,Inputs!$D$2:$AG$2,0)),Inputs!$B$4:$B$150,$B9)/1000)</f>
        <v>63.855</v>
      </c>
      <c r="Q9" s="11">
        <f>IF(Q$3=0,"",SUMIFS(INDEX(Inputs!$D$4:$AG$150,0,MATCH(Q$2,Inputs!$D$2:$AG$2,0)),Inputs!$B$4:$B$150,$B9)/1000)</f>
        <v>52.167</v>
      </c>
      <c r="R9" s="12">
        <f>IF(COUNT(N9:Q9)=4,SUM(N9:Q9),"")</f>
        <v>241.997</v>
      </c>
      <c r="S9" s="11">
        <f>IF(S$3=0,"",SUMIFS(INDEX(Inputs!$D$4:$AG$150,0,MATCH(S$2,Inputs!$D$2:$AG$2,0)),Inputs!$B$4:$B$150,$B9)/1000)</f>
        <v>54.59566009</v>
      </c>
      <c r="T9" s="11">
        <f>IF(T$3=0,"",SUMIFS(INDEX(Inputs!$D$4:$AG$150,0,MATCH(T$2,Inputs!$D$2:$AG$2,0)),Inputs!$B$4:$B$150,$B9)/1000)</f>
        <v>71.54033991</v>
      </c>
      <c r="U9" s="11">
        <f>IF(U$3=0,"",SUMIFS(INDEX(Inputs!$D$4:$AG$150,0,MATCH(U$2,Inputs!$D$2:$AG$2,0)),Inputs!$B$4:$B$150,$B9)/1000)</f>
        <v>58.966</v>
      </c>
      <c r="V9" s="11">
        <f>IF(V$3=0,"",SUMIFS(INDEX(Inputs!$D$4:$AG$150,0,MATCH(V$2,Inputs!$D$2:$AG$2,0)),Inputs!$B$4:$B$150,$B9)/1000)</f>
        <v>82.206</v>
      </c>
      <c r="W9" s="12">
        <f>IF(COUNT(S9:V9)=4,SUM(S9:V9),"")</f>
        <v>267.308</v>
      </c>
      <c r="X9" s="11">
        <f>IF(X$3=0,"",SUMIFS(INDEX(Inputs!$D$4:$AG$150,0,MATCH(X$2,Inputs!$D$2:$AG$2,0)),Inputs!$B$4:$B$150,$B9)/1000)</f>
        <v>69.356</v>
      </c>
      <c r="Y9" s="11">
        <f>IF(Y$3=0,"",SUMIFS(INDEX(Inputs!$D$4:$AG$150,0,MATCH(Y$2,Inputs!$D$2:$AG$2,0)),Inputs!$B$4:$B$150,$B9)/1000)</f>
        <v>58.754</v>
      </c>
      <c r="Z9" s="11">
        <f>IF(Z$3=0,"",SUMIFS(INDEX(Inputs!$D$4:$AG$150,0,MATCH(Z$2,Inputs!$D$2:$AG$2,0)),Inputs!$B$4:$B$150,$B9)/1000)</f>
        <v>87.088</v>
      </c>
      <c r="AA9" s="11">
        <f>IF(AA$3=0,"",SUMIFS(INDEX(Inputs!$D$4:$AG$150,0,MATCH(AA$2,Inputs!$D$2:$AG$2,0)),Inputs!$B$4:$B$150,$B9)/1000)</f>
        <v>96.761</v>
      </c>
      <c r="AB9" s="12">
        <f>IF(COUNT(X9:AA9)=4,SUM(X9:AA9),"")</f>
        <v>311.959</v>
      </c>
      <c r="AC9" s="11">
        <f>IF(AC$3=0,"",SUMIFS(INDEX(Inputs!$D$4:$AG$150,0,MATCH(AC$2,Inputs!$D$2:$AG$2,0)),Inputs!$B$4:$B$150,$B9)/1000)</f>
        <v>87.895</v>
      </c>
      <c r="AD9" s="11">
        <f>IF(AD$3=0,"",SUMIFS(INDEX(Inputs!$D$4:$AG$150,0,MATCH(AD$2,Inputs!$D$2:$AG$2,0)),Inputs!$B$4:$B$150,$B9)/1000)</f>
        <v>90.775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0</v>
      </c>
      <c r="E10" s="11">
        <f>IF(E$3=0,"",SUMIFS(INDEX(Inputs!$D$4:$AG$150,0,MATCH(E$2,Inputs!$D$2:$AG$2,0)),Inputs!$B$4:$B$150,$B10)/1000)</f>
        <v>0</v>
      </c>
      <c r="F10" s="11">
        <f>IF(F$3=0,"",SUMIFS(INDEX(Inputs!$D$4:$AG$150,0,MATCH(F$2,Inputs!$D$2:$AG$2,0)),Inputs!$B$4:$B$150,$B10)/1000)</f>
        <v>0</v>
      </c>
      <c r="G10" s="11">
        <f>IF(G$3=0,"",SUMIFS(INDEX(Inputs!$D$4:$AG$150,0,MATCH(G$2,Inputs!$D$2:$AG$2,0)),Inputs!$B$4:$B$150,$B10)/1000)</f>
        <v>-18.759</v>
      </c>
      <c r="H10" s="12">
        <f>IF(COUNT(D10:G10)=4,SUM(D10:G10),"")</f>
        <v>-18.759</v>
      </c>
      <c r="I10" s="11">
        <f>IF(I$3=0,"",SUMIFS(INDEX(Inputs!$D$4:$AG$150,0,MATCH(I$2,Inputs!$D$2:$AG$2,0)),Inputs!$B$4:$B$150,$B10)/1000)</f>
        <v>-1.52444138</v>
      </c>
      <c r="J10" s="11">
        <f>IF(J$3=0,"",SUMIFS(INDEX(Inputs!$D$4:$AG$150,0,MATCH(J$2,Inputs!$D$2:$AG$2,0)),Inputs!$B$4:$B$150,$B10)/1000)</f>
        <v>-3.374</v>
      </c>
      <c r="K10" s="11">
        <f>IF(K$3=0,"",SUMIFS(INDEX(Inputs!$D$4:$AG$150,0,MATCH(K$2,Inputs!$D$2:$AG$2,0)),Inputs!$B$4:$B$150,$B10)/1000)</f>
        <v>-6.525</v>
      </c>
      <c r="L10" s="11">
        <f>IF(L$3=0,"",SUMIFS(INDEX(Inputs!$D$4:$AG$150,0,MATCH(L$2,Inputs!$D$2:$AG$2,0)),Inputs!$B$4:$B$150,$B10)/1000)</f>
        <v>-12.096</v>
      </c>
      <c r="M10" s="12">
        <f>IF(COUNT(I10:L10)=4,SUM(I10:L10),"")</f>
        <v>-23.51944138</v>
      </c>
      <c r="N10" s="11">
        <f>IF(N$3=0,"",SUMIFS(INDEX(Inputs!$D$4:$AG$150,0,MATCH(N$2,Inputs!$D$2:$AG$2,0)),Inputs!$B$4:$B$150,$B10)/1000)</f>
        <v>-0.541</v>
      </c>
      <c r="O10" s="11">
        <f>IF(O$3=0,"",SUMIFS(INDEX(Inputs!$D$4:$AG$150,0,MATCH(O$2,Inputs!$D$2:$AG$2,0)),Inputs!$B$4:$B$150,$B10)/1000)</f>
        <v>-16.241</v>
      </c>
      <c r="P10" s="11">
        <f>IF(P$3=0,"",SUMIFS(INDEX(Inputs!$D$4:$AG$150,0,MATCH(P$2,Inputs!$D$2:$AG$2,0)),Inputs!$B$4:$B$150,$B10)/1000)</f>
        <v>-0.383</v>
      </c>
      <c r="Q10" s="11">
        <f>IF(Q$3=0,"",SUMIFS(INDEX(Inputs!$D$4:$AG$150,0,MATCH(Q$2,Inputs!$D$2:$AG$2,0)),Inputs!$B$4:$B$150,$B10)/1000)</f>
        <v>-25.485</v>
      </c>
      <c r="R10" s="12">
        <f>IF(COUNT(N10:Q10)=4,SUM(N10:Q10),"")</f>
        <v>-42.65</v>
      </c>
      <c r="S10" s="11">
        <f>IF(S$3=0,"",SUMIFS(INDEX(Inputs!$D$4:$AG$150,0,MATCH(S$2,Inputs!$D$2:$AG$2,0)),Inputs!$B$4:$B$150,$B10)/1000)</f>
        <v>-32.368244987</v>
      </c>
      <c r="T10" s="11">
        <f>IF(T$3=0,"",SUMIFS(INDEX(Inputs!$D$4:$AG$150,0,MATCH(T$2,Inputs!$D$2:$AG$2,0)),Inputs!$B$4:$B$150,$B10)/1000)</f>
        <v>-3.39073999999999</v>
      </c>
      <c r="U10" s="11">
        <f>IF(U$3=0,"",SUMIFS(INDEX(Inputs!$D$4:$AG$150,0,MATCH(U$2,Inputs!$D$2:$AG$2,0)),Inputs!$B$4:$B$150,$B10)/1000)</f>
        <v>-47.676</v>
      </c>
      <c r="V10" s="11">
        <f>IF(V$3=0,"",SUMIFS(INDEX(Inputs!$D$4:$AG$150,0,MATCH(V$2,Inputs!$D$2:$AG$2,0)),Inputs!$B$4:$B$150,$B10)/1000)</f>
        <v>-54.854</v>
      </c>
      <c r="W10" s="12">
        <f>IF(COUNT(S10:V10)=4,SUM(S10:V10),"")</f>
        <v>-138.288984987</v>
      </c>
      <c r="X10" s="11">
        <f>IF(X$3=0,"",SUMIFS(INDEX(Inputs!$D$4:$AG$150,0,MATCH(X$2,Inputs!$D$2:$AG$2,0)),Inputs!$B$4:$B$150,$B10)/1000)</f>
        <v>-23.065</v>
      </c>
      <c r="Y10" s="11">
        <f>IF(Y$3=0,"",SUMIFS(INDEX(Inputs!$D$4:$AG$150,0,MATCH(Y$2,Inputs!$D$2:$AG$2,0)),Inputs!$B$4:$B$150,$B10)/1000)</f>
        <v>-57.566</v>
      </c>
      <c r="Z10" s="11">
        <f>IF(Z$3=0,"",SUMIFS(INDEX(Inputs!$D$4:$AG$150,0,MATCH(Z$2,Inputs!$D$2:$AG$2,0)),Inputs!$B$4:$B$150,$B10)/1000)</f>
        <v>394.065</v>
      </c>
      <c r="AA10" s="11">
        <f>IF(AA$3=0,"",SUMIFS(INDEX(Inputs!$D$4:$AG$150,0,MATCH(AA$2,Inputs!$D$2:$AG$2,0)),Inputs!$B$4:$B$150,$B10)/1000)</f>
        <v>196.259</v>
      </c>
      <c r="AB10" s="12">
        <f>IF(COUNT(X10:AA10)=4,SUM(X10:AA10),"")</f>
        <v>509.693</v>
      </c>
      <c r="AC10" s="11">
        <f>IF(AC$3=0,"",SUMIFS(INDEX(Inputs!$D$4:$AG$150,0,MATCH(AC$2,Inputs!$D$2:$AG$2,0)),Inputs!$B$4:$B$150,$B10)/1000)</f>
        <v>28.464</v>
      </c>
      <c r="AD10" s="11">
        <f>IF(AD$3=0,"",SUMIFS(INDEX(Inputs!$D$4:$AG$150,0,MATCH(AD$2,Inputs!$D$2:$AG$2,0)),Inputs!$B$4:$B$150,$B10)/1000)</f>
        <v>-14.673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3.973</v>
      </c>
      <c r="AA12" s="11">
        <f>IF(AA$3=0,"",SUMIFS(INDEX(Inputs!$D$4:$AG$150,0,MATCH(AA$2,Inputs!$D$2:$AG$2,0)),Inputs!$B$4:$B$150,$B12)/1000)</f>
        <v>-18.687</v>
      </c>
      <c r="AB12" s="12">
        <f>IF(COUNT(X12:AA12)=4,SUM(X12:AA12),"")</f>
        <v>-14.714</v>
      </c>
      <c r="AC12" s="11">
        <f>IF(AC$3=0,"",SUMIFS(INDEX(Inputs!$D$4:$AG$150,0,MATCH(AC$2,Inputs!$D$2:$AG$2,0)),Inputs!$B$4:$B$150,$B12)/1000)</f>
        <v>21.959</v>
      </c>
      <c r="AD12" s="11">
        <f>IF(AD$3=0,"",SUMIFS(INDEX(Inputs!$D$4:$AG$150,0,MATCH(AD$2,Inputs!$D$2:$AG$2,0)),Inputs!$B$4:$B$150,$B12)/1000)</f>
        <v>-5.141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0</v>
      </c>
      <c r="T13" s="11">
        <f>IF(T$3=0,"",SUMIFS(INDEX(Inputs!$D$4:$AG$150,0,MATCH(T$2,Inputs!$D$2:$AG$2,0)),Inputs!$B$4:$B$150,$B13)/1000)</f>
        <v>0</v>
      </c>
      <c r="U13" s="11">
        <f>IF(U$3=0,"",SUMIFS(INDEX(Inputs!$D$4:$AG$150,0,MATCH(U$2,Inputs!$D$2:$AG$2,0)),Inputs!$B$4:$B$150,$B13)/1000)</f>
        <v>0</v>
      </c>
      <c r="V13" s="11">
        <f>IF(V$3=0,"",SUMIFS(INDEX(Inputs!$D$4:$AG$150,0,MATCH(V$2,Inputs!$D$2:$AG$2,0)),Inputs!$B$4:$B$150,$B13)/1000)</f>
        <v>-81.047</v>
      </c>
      <c r="W13" s="12">
        <f>IF(COUNT(S13:V13)=4,SUM(S13:V13),"")</f>
        <v>-81.047</v>
      </c>
      <c r="X13" s="11">
        <f>IF(X$3=0,"",SUMIFS(INDEX(Inputs!$D$4:$AG$150,0,MATCH(X$2,Inputs!$D$2:$AG$2,0)),Inputs!$B$4:$B$150,$B13)/1000)</f>
        <v>0</v>
      </c>
      <c r="Y13" s="11">
        <f>IF(Y$3=0,"",SUMIFS(INDEX(Inputs!$D$4:$AG$150,0,MATCH(Y$2,Inputs!$D$2:$AG$2,0)),Inputs!$B$4:$B$150,$B13)/1000)</f>
        <v>0</v>
      </c>
      <c r="Z13" s="11">
        <f>IF(Z$3=0,"",SUMIFS(INDEX(Inputs!$D$4:$AG$150,0,MATCH(Z$2,Inputs!$D$2:$AG$2,0)),Inputs!$B$4:$B$150,$B13)/1000)</f>
        <v>0</v>
      </c>
      <c r="AA13" s="11">
        <f>IF(AA$3=0,"",SUMIFS(INDEX(Inputs!$D$4:$AG$150,0,MATCH(AA$2,Inputs!$D$2:$AG$2,0)),Inputs!$B$4:$B$150,$B13)/1000)</f>
        <v>-145.544</v>
      </c>
      <c r="AB13" s="12">
        <f>IF(COUNT(X13:AA13)=4,SUM(X13:AA13),"")</f>
        <v>-145.544</v>
      </c>
      <c r="AC13" s="11">
        <f>IF(AC$3=0,"",SUMIFS(INDEX(Inputs!$D$4:$AG$150,0,MATCH(AC$2,Inputs!$D$2:$AG$2,0)),Inputs!$B$4:$B$150,$B13)/1000)</f>
        <v>0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1797.94673825</v>
      </c>
      <c r="E15" s="11">
        <f>IF(E$3=0,"",SUMIFS(INDEX(Inputs!$D$4:$AG$150,0,MATCH(E$2,Inputs!$D$2:$AG$2,0)),Inputs!$B$4:$B$150,$B15)/1000)</f>
        <v>1688.38019428</v>
      </c>
      <c r="F15" s="11">
        <f>IF(F$3=0,"",SUMIFS(INDEX(Inputs!$D$4:$AG$150,0,MATCH(F$2,Inputs!$D$2:$AG$2,0)),Inputs!$B$4:$B$150,$B15)/1000)</f>
        <v>960.417</v>
      </c>
      <c r="G15" s="11">
        <f>IF(G$3=0,"",SUMIFS(INDEX(Inputs!$D$4:$AG$150,0,MATCH(G$2,Inputs!$D$2:$AG$2,0)),Inputs!$B$4:$B$150,$B15)/1000)</f>
        <v>880.326</v>
      </c>
      <c r="H15" s="12">
        <f>IF(G15="","",G15)</f>
        <v>880.326</v>
      </c>
      <c r="I15" s="11">
        <f>IF(I$3=0,"",SUMIFS(INDEX(Inputs!$D$4:$AG$150,0,MATCH(I$2,Inputs!$D$2:$AG$2,0)),Inputs!$B$4:$B$150,$B15)/1000)</f>
        <v>620.94</v>
      </c>
      <c r="J15" s="11">
        <f>IF(J$3=0,"",SUMIFS(INDEX(Inputs!$D$4:$AG$150,0,MATCH(J$2,Inputs!$D$2:$AG$2,0)),Inputs!$B$4:$B$150,$B15)/1000)</f>
        <v>891.18</v>
      </c>
      <c r="K15" s="11">
        <f>IF(K$3=0,"",SUMIFS(INDEX(Inputs!$D$4:$AG$150,0,MATCH(K$2,Inputs!$D$2:$AG$2,0)),Inputs!$B$4:$B$150,$B15)/1000)</f>
        <v>696.607</v>
      </c>
      <c r="L15" s="11">
        <f>IF(L$3=0,"",SUMIFS(INDEX(Inputs!$D$4:$AG$150,0,MATCH(L$2,Inputs!$D$2:$AG$2,0)),Inputs!$B$4:$B$150,$B15)/1000)</f>
        <v>1797.155</v>
      </c>
      <c r="M15" s="12">
        <f>IF(L15="","",L15)</f>
        <v>1797.155</v>
      </c>
      <c r="N15" s="11">
        <f>IF(N$3=0,"",SUMIFS(INDEX(Inputs!$D$4:$AG$150,0,MATCH(N$2,Inputs!$D$2:$AG$2,0)),Inputs!$B$4:$B$150,$B15)/1000)</f>
        <v>1672.665</v>
      </c>
      <c r="O15" s="11">
        <f>IF(O$3=0,"",SUMIFS(INDEX(Inputs!$D$4:$AG$150,0,MATCH(O$2,Inputs!$D$2:$AG$2,0)),Inputs!$B$4:$B$150,$B15)/1000)</f>
        <v>1357.47</v>
      </c>
      <c r="P15" s="11">
        <f>IF(P$3=0,"",SUMIFS(INDEX(Inputs!$D$4:$AG$150,0,MATCH(P$2,Inputs!$D$2:$AG$2,0)),Inputs!$B$4:$B$150,$B15)/1000)</f>
        <v>1117.637</v>
      </c>
      <c r="Q15" s="11">
        <f>IF(Q$3=0,"",SUMIFS(INDEX(Inputs!$D$4:$AG$150,0,MATCH(Q$2,Inputs!$D$2:$AG$2,0)),Inputs!$B$4:$B$150,$B15)/1000)</f>
        <v>1290.02</v>
      </c>
      <c r="R15" s="12">
        <f>IF(Q15="","",Q15)</f>
        <v>1290.02</v>
      </c>
      <c r="S15" s="11">
        <f>IF(S$3=0,"",SUMIFS(INDEX(Inputs!$D$4:$AG$150,0,MATCH(S$2,Inputs!$D$2:$AG$2,0)),Inputs!$B$4:$B$150,$B15)/1000)</f>
        <v>1341.295</v>
      </c>
      <c r="T15" s="11">
        <f>IF(T$3=0,"",SUMIFS(INDEX(Inputs!$D$4:$AG$150,0,MATCH(T$2,Inputs!$D$2:$AG$2,0)),Inputs!$B$4:$B$150,$B15)/1000)</f>
        <v>1240.445</v>
      </c>
      <c r="U15" s="11">
        <f>IF(U$3=0,"",SUMIFS(INDEX(Inputs!$D$4:$AG$150,0,MATCH(U$2,Inputs!$D$2:$AG$2,0)),Inputs!$B$4:$B$150,$B15)/1000)</f>
        <v>698.799</v>
      </c>
      <c r="V15" s="11">
        <f>IF(V$3=0,"",SUMIFS(INDEX(Inputs!$D$4:$AG$150,0,MATCH(V$2,Inputs!$D$2:$AG$2,0)),Inputs!$B$4:$B$150,$B15)/1000)</f>
        <v>1664.213</v>
      </c>
      <c r="W15" s="12">
        <f>IF(V15="","",V15)</f>
        <v>1664.213</v>
      </c>
      <c r="X15" s="11">
        <f>IF(X$3=0,"",SUMIFS(INDEX(Inputs!$D$4:$AG$150,0,MATCH(X$2,Inputs!$D$2:$AG$2,0)),Inputs!$B$4:$B$150,$B15)/1000)</f>
        <v>1520.597</v>
      </c>
      <c r="Y15" s="11">
        <f>IF(Y$3=0,"",SUMIFS(INDEX(Inputs!$D$4:$AG$150,0,MATCH(Y$2,Inputs!$D$2:$AG$2,0)),Inputs!$B$4:$B$150,$B15)/1000)</f>
        <v>1027.823</v>
      </c>
      <c r="Z15" s="11">
        <f>IF(Z$3=0,"",SUMIFS(INDEX(Inputs!$D$4:$AG$150,0,MATCH(Z$2,Inputs!$D$2:$AG$2,0)),Inputs!$B$4:$B$150,$B15)/1000)</f>
        <v>1182.939</v>
      </c>
      <c r="AA15" s="11">
        <f>IF(AA$3=0,"",SUMIFS(INDEX(Inputs!$D$4:$AG$150,0,MATCH(AA$2,Inputs!$D$2:$AG$2,0)),Inputs!$B$4:$B$150,$B15)/1000)</f>
        <v>1801.712</v>
      </c>
      <c r="AB15" s="12">
        <f>IF(AA15="","",AA15)</f>
        <v>1801.712</v>
      </c>
      <c r="AC15" s="11">
        <f>IF(AC$3=0,"",SUMIFS(INDEX(Inputs!$D$4:$AG$150,0,MATCH(AC$2,Inputs!$D$2:$AG$2,0)),Inputs!$B$4:$B$150,$B15)/1000)</f>
        <v>1984.238</v>
      </c>
      <c r="AD15" s="11">
        <f>IF(AD$3=0,"",SUMIFS(INDEX(Inputs!$D$4:$AG$150,0,MATCH(AD$2,Inputs!$D$2:$AG$2,0)),Inputs!$B$4:$B$150,$B15)/1000)</f>
        <v>1631.59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1277.83393347</v>
      </c>
      <c r="E16" s="11">
        <f>IF(E$3=0,"",SUMIFS(INDEX(Inputs!$D$4:$AG$150,0,MATCH(E$2,Inputs!$D$2:$AG$2,0)),Inputs!$B$4:$B$150,$B16)/1000)</f>
        <v>1462.54159393</v>
      </c>
      <c r="F16" s="11">
        <f>IF(F$3=0,"",SUMIFS(INDEX(Inputs!$D$4:$AG$150,0,MATCH(F$2,Inputs!$D$2:$AG$2,0)),Inputs!$B$4:$B$150,$B16)/1000)</f>
        <v>1544.314</v>
      </c>
      <c r="G16" s="11">
        <f>IF(G$3=0,"",SUMIFS(INDEX(Inputs!$D$4:$AG$150,0,MATCH(G$2,Inputs!$D$2:$AG$2,0)),Inputs!$B$4:$B$150,$B16)/1000)</f>
        <v>1816.264</v>
      </c>
      <c r="H16" s="12">
        <f>IF(G16="","",G16)</f>
        <v>1816.264</v>
      </c>
      <c r="I16" s="11">
        <f>IF(I$3=0,"",SUMIFS(INDEX(Inputs!$D$4:$AG$150,0,MATCH(I$2,Inputs!$D$2:$AG$2,0)),Inputs!$B$4:$B$150,$B16)/1000)</f>
        <v>1872.825</v>
      </c>
      <c r="J16" s="11">
        <f>IF(J$3=0,"",SUMIFS(INDEX(Inputs!$D$4:$AG$150,0,MATCH(J$2,Inputs!$D$2:$AG$2,0)),Inputs!$B$4:$B$150,$B16)/1000)</f>
        <v>2080.07644904</v>
      </c>
      <c r="K16" s="11">
        <f>IF(K$3=0,"",SUMIFS(INDEX(Inputs!$D$4:$AG$150,0,MATCH(K$2,Inputs!$D$2:$AG$2,0)),Inputs!$B$4:$B$150,$B16)/1000)</f>
        <v>2377.34825629</v>
      </c>
      <c r="L16" s="11">
        <f>IF(L$3=0,"",SUMIFS(INDEX(Inputs!$D$4:$AG$150,0,MATCH(L$2,Inputs!$D$2:$AG$2,0)),Inputs!$B$4:$B$150,$B16)/1000)</f>
        <v>2548.25631124</v>
      </c>
      <c r="M16" s="12">
        <f>IF(L16="","",L16)</f>
        <v>2548.25631124</v>
      </c>
      <c r="N16" s="11">
        <f>IF(N$3=0,"",SUMIFS(INDEX(Inputs!$D$4:$AG$150,0,MATCH(N$2,Inputs!$D$2:$AG$2,0)),Inputs!$B$4:$B$150,$B16)/1000)</f>
        <v>2385.04330103</v>
      </c>
      <c r="O16" s="11">
        <f>IF(O$3=0,"",SUMIFS(INDEX(Inputs!$D$4:$AG$150,0,MATCH(O$2,Inputs!$D$2:$AG$2,0)),Inputs!$B$4:$B$150,$B16)/1000)</f>
        <v>2582.667</v>
      </c>
      <c r="P16" s="11">
        <f>IF(P$3=0,"",SUMIFS(INDEX(Inputs!$D$4:$AG$150,0,MATCH(P$2,Inputs!$D$2:$AG$2,0)),Inputs!$B$4:$B$150,$B16)/1000)</f>
        <v>2868.599</v>
      </c>
      <c r="Q16" s="11">
        <f>IF(Q$3=0,"",SUMIFS(INDEX(Inputs!$D$4:$AG$150,0,MATCH(Q$2,Inputs!$D$2:$AG$2,0)),Inputs!$B$4:$B$150,$B16)/1000)</f>
        <v>3457.62798322</v>
      </c>
      <c r="R16" s="12">
        <f>IF(Q16="","",Q16)</f>
        <v>3457.62798322</v>
      </c>
      <c r="S16" s="11">
        <f>IF(S$3=0,"",SUMIFS(INDEX(Inputs!$D$4:$AG$150,0,MATCH(S$2,Inputs!$D$2:$AG$2,0)),Inputs!$B$4:$B$150,$B16)/1000)</f>
        <v>3085.517</v>
      </c>
      <c r="T16" s="11">
        <f>IF(T$3=0,"",SUMIFS(INDEX(Inputs!$D$4:$AG$150,0,MATCH(T$2,Inputs!$D$2:$AG$2,0)),Inputs!$B$4:$B$150,$B16)/1000)</f>
        <v>3181.45670197</v>
      </c>
      <c r="U16" s="11">
        <f>IF(U$3=0,"",SUMIFS(INDEX(Inputs!$D$4:$AG$150,0,MATCH(U$2,Inputs!$D$2:$AG$2,0)),Inputs!$B$4:$B$150,$B16)/1000)</f>
        <v>3509.695</v>
      </c>
      <c r="V16" s="11">
        <f>IF(V$3=0,"",SUMIFS(INDEX(Inputs!$D$4:$AG$150,0,MATCH(V$2,Inputs!$D$2:$AG$2,0)),Inputs!$B$4:$B$150,$B16)/1000)</f>
        <v>3399.13</v>
      </c>
      <c r="W16" s="12">
        <f>IF(V16="","",V16)</f>
        <v>3399.13</v>
      </c>
      <c r="X16" s="11">
        <f>IF(X$3=0,"",SUMIFS(INDEX(Inputs!$D$4:$AG$150,0,MATCH(X$2,Inputs!$D$2:$AG$2,0)),Inputs!$B$4:$B$150,$B16)/1000)</f>
        <v>3650.849</v>
      </c>
      <c r="Y16" s="11">
        <f>IF(Y$3=0,"",SUMIFS(INDEX(Inputs!$D$4:$AG$150,0,MATCH(Y$2,Inputs!$D$2:$AG$2,0)),Inputs!$B$4:$B$150,$B16)/1000)</f>
        <v>3621.48</v>
      </c>
      <c r="Z16" s="11">
        <f>IF(Z$3=0,"",SUMIFS(INDEX(Inputs!$D$4:$AG$150,0,MATCH(Z$2,Inputs!$D$2:$AG$2,0)),Inputs!$B$4:$B$150,$B16)/1000)</f>
        <v>3964.078</v>
      </c>
      <c r="AA16" s="11">
        <f>IF(AA$3=0,"",SUMIFS(INDEX(Inputs!$D$4:$AG$150,0,MATCH(AA$2,Inputs!$D$2:$AG$2,0)),Inputs!$B$4:$B$150,$B16)/1000)</f>
        <v>4080.89</v>
      </c>
      <c r="AB16" s="12">
        <f>IF(AA16="","",AA16)</f>
        <v>4080.89</v>
      </c>
      <c r="AC16" s="11">
        <f>IF(AC$3=0,"",SUMIFS(INDEX(Inputs!$D$4:$AG$150,0,MATCH(AC$2,Inputs!$D$2:$AG$2,0)),Inputs!$B$4:$B$150,$B16)/1000)</f>
        <v>4013.107</v>
      </c>
      <c r="AD16" s="11">
        <f>IF(AD$3=0,"",SUMIFS(INDEX(Inputs!$D$4:$AG$150,0,MATCH(AD$2,Inputs!$D$2:$AG$2,0)),Inputs!$B$4:$B$150,$B16)/1000)</f>
        <v>3959.317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2637.47443892</v>
      </c>
      <c r="E17" s="11">
        <f>IF(E$3=0,"",SUMIFS(INDEX(Inputs!$D$4:$AG$150,0,MATCH(E$2,Inputs!$D$2:$AG$2,0)),Inputs!$B$4:$B$150,$B17)/1000)</f>
        <v>2826.49303354</v>
      </c>
      <c r="F17" s="11">
        <f>IF(F$3=0,"",SUMIFS(INDEX(Inputs!$D$4:$AG$150,0,MATCH(F$2,Inputs!$D$2:$AG$2,0)),Inputs!$B$4:$B$150,$B17)/1000)</f>
        <v>3492.306</v>
      </c>
      <c r="G17" s="11">
        <f>IF(G$3=0,"",SUMIFS(INDEX(Inputs!$D$4:$AG$150,0,MATCH(G$2,Inputs!$D$2:$AG$2,0)),Inputs!$B$4:$B$150,$B17)/1000)</f>
        <v>3498.63</v>
      </c>
      <c r="H17" s="12">
        <f>IF(G17="","",G17)</f>
        <v>3498.63</v>
      </c>
      <c r="I17" s="11">
        <f>IF(I$3=0,"",SUMIFS(INDEX(Inputs!$D$4:$AG$150,0,MATCH(I$2,Inputs!$D$2:$AG$2,0)),Inputs!$B$4:$B$150,$B17)/1000)</f>
        <v>3803.451</v>
      </c>
      <c r="J17" s="11">
        <f>IF(J$3=0,"",SUMIFS(INDEX(Inputs!$D$4:$AG$150,0,MATCH(J$2,Inputs!$D$2:$AG$2,0)),Inputs!$B$4:$B$150,$B17)/1000)</f>
        <v>3994.994</v>
      </c>
      <c r="K17" s="11">
        <f>IF(K$3=0,"",SUMIFS(INDEX(Inputs!$D$4:$AG$150,0,MATCH(K$2,Inputs!$D$2:$AG$2,0)),Inputs!$B$4:$B$150,$B17)/1000)</f>
        <v>4666.193</v>
      </c>
      <c r="L17" s="11">
        <f>IF(L$3=0,"",SUMIFS(INDEX(Inputs!$D$4:$AG$150,0,MATCH(L$2,Inputs!$D$2:$AG$2,0)),Inputs!$B$4:$B$150,$B17)/1000)</f>
        <v>3985.375</v>
      </c>
      <c r="M17" s="12">
        <f>IF(L17="","",L17)</f>
        <v>3985.375</v>
      </c>
      <c r="N17" s="11">
        <f>IF(N$3=0,"",SUMIFS(INDEX(Inputs!$D$4:$AG$150,0,MATCH(N$2,Inputs!$D$2:$AG$2,0)),Inputs!$B$4:$B$150,$B17)/1000)</f>
        <v>4436.302</v>
      </c>
      <c r="O17" s="11">
        <f>IF(O$3=0,"",SUMIFS(INDEX(Inputs!$D$4:$AG$150,0,MATCH(O$2,Inputs!$D$2:$AG$2,0)),Inputs!$B$4:$B$150,$B17)/1000)</f>
        <v>4693.948</v>
      </c>
      <c r="P17" s="11">
        <f>IF(P$3=0,"",SUMIFS(INDEX(Inputs!$D$4:$AG$150,0,MATCH(P$2,Inputs!$D$2:$AG$2,0)),Inputs!$B$4:$B$150,$B17)/1000)</f>
        <v>4939.475</v>
      </c>
      <c r="Q17" s="11">
        <f>IF(Q$3=0,"",SUMIFS(INDEX(Inputs!$D$4:$AG$150,0,MATCH(Q$2,Inputs!$D$2:$AG$2,0)),Inputs!$B$4:$B$150,$B17)/1000)</f>
        <v>5087.655</v>
      </c>
      <c r="R17" s="12">
        <f>IF(Q17="","",Q17)</f>
        <v>5087.655</v>
      </c>
      <c r="S17" s="11">
        <f>IF(S$3=0,"",SUMIFS(INDEX(Inputs!$D$4:$AG$150,0,MATCH(S$2,Inputs!$D$2:$AG$2,0)),Inputs!$B$4:$B$150,$B17)/1000)</f>
        <v>4957.342</v>
      </c>
      <c r="T17" s="11">
        <f>IF(T$3=0,"",SUMIFS(INDEX(Inputs!$D$4:$AG$150,0,MATCH(T$2,Inputs!$D$2:$AG$2,0)),Inputs!$B$4:$B$150,$B17)/1000)</f>
        <v>5294.057</v>
      </c>
      <c r="U17" s="11">
        <f>IF(U$3=0,"",SUMIFS(INDEX(Inputs!$D$4:$AG$150,0,MATCH(U$2,Inputs!$D$2:$AG$2,0)),Inputs!$B$4:$B$150,$B17)/1000)</f>
        <v>5963.407</v>
      </c>
      <c r="V17" s="11">
        <f>IF(V$3=0,"",SUMIFS(INDEX(Inputs!$D$4:$AG$150,0,MATCH(V$2,Inputs!$D$2:$AG$2,0)),Inputs!$B$4:$B$150,$B17)/1000)</f>
        <v>4939.518</v>
      </c>
      <c r="W17" s="12">
        <f>IF(V17="","",V17)</f>
        <v>4939.518</v>
      </c>
      <c r="X17" s="11">
        <f>IF(X$3=0,"",SUMIFS(INDEX(Inputs!$D$4:$AG$150,0,MATCH(X$2,Inputs!$D$2:$AG$2,0)),Inputs!$B$4:$B$150,$B17)/1000)</f>
        <v>5242.901</v>
      </c>
      <c r="Y17" s="11">
        <f>IF(Y$3=0,"",SUMIFS(INDEX(Inputs!$D$4:$AG$150,0,MATCH(Y$2,Inputs!$D$2:$AG$2,0)),Inputs!$B$4:$B$150,$B17)/1000)</f>
        <v>5020.008</v>
      </c>
      <c r="Z17" s="11">
        <f>IF(Z$3=0,"",SUMIFS(INDEX(Inputs!$D$4:$AG$150,0,MATCH(Z$2,Inputs!$D$2:$AG$2,0)),Inputs!$B$4:$B$150,$B17)/1000)</f>
        <v>5730.287</v>
      </c>
      <c r="AA17" s="11">
        <f>IF(AA$3=0,"",SUMIFS(INDEX(Inputs!$D$4:$AG$150,0,MATCH(AA$2,Inputs!$D$2:$AG$2,0)),Inputs!$B$4:$B$150,$B17)/1000)</f>
        <v>5170.062</v>
      </c>
      <c r="AB17" s="12">
        <f>IF(AA17="","",AA17)</f>
        <v>5170.062</v>
      </c>
      <c r="AC17" s="11">
        <f>IF(AC$3=0,"",SUMIFS(INDEX(Inputs!$D$4:$AG$150,0,MATCH(AC$2,Inputs!$D$2:$AG$2,0)),Inputs!$B$4:$B$150,$B17)/1000)</f>
        <v>5221.233</v>
      </c>
      <c r="AD17" s="11">
        <f>IF(AD$3=0,"",SUMIFS(INDEX(Inputs!$D$4:$AG$150,0,MATCH(AD$2,Inputs!$D$2:$AG$2,0)),Inputs!$B$4:$B$150,$B17)/1000)</f>
        <v>5736.02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42.1</v>
      </c>
      <c r="T18" s="11">
        <f>IF(T$3=0,"",SUMIFS(INDEX(Inputs!$D$4:$AG$150,0,MATCH(T$2,Inputs!$D$2:$AG$2,0)),Inputs!$B$4:$B$150,$B18)/1000)</f>
        <v>139.576</v>
      </c>
      <c r="U18" s="11">
        <f>IF(U$3=0,"",SUMIFS(INDEX(Inputs!$D$4:$AG$150,0,MATCH(U$2,Inputs!$D$2:$AG$2,0)),Inputs!$B$4:$B$150,$B18)/1000)</f>
        <v>203.29</v>
      </c>
      <c r="V18" s="11">
        <f>IF(V$3=0,"",SUMIFS(INDEX(Inputs!$D$4:$AG$150,0,MATCH(V$2,Inputs!$D$2:$AG$2,0)),Inputs!$B$4:$B$150,$B18)/1000)</f>
        <v>503.543</v>
      </c>
      <c r="W18" s="12">
        <f>IF(V18="","",V18)</f>
        <v>503.543</v>
      </c>
      <c r="X18" s="11">
        <f>IF(X$3=0,"",SUMIFS(INDEX(Inputs!$D$4:$AG$150,0,MATCH(X$2,Inputs!$D$2:$AG$2,0)),Inputs!$B$4:$B$150,$B18)/1000)</f>
        <v>599.643</v>
      </c>
      <c r="Y18" s="11">
        <f>IF(Y$3=0,"",SUMIFS(INDEX(Inputs!$D$4:$AG$150,0,MATCH(Y$2,Inputs!$D$2:$AG$2,0)),Inputs!$B$4:$B$150,$B18)/1000)</f>
        <v>306.893</v>
      </c>
      <c r="Z18" s="11">
        <f>IF(Z$3=0,"",SUMIFS(INDEX(Inputs!$D$4:$AG$150,0,MATCH(Z$2,Inputs!$D$2:$AG$2,0)),Inputs!$B$4:$B$150,$B18)/1000)</f>
        <v>802.623</v>
      </c>
      <c r="AA18" s="11">
        <f>IF(AA$3=0,"",SUMIFS(INDEX(Inputs!$D$4:$AG$150,0,MATCH(AA$2,Inputs!$D$2:$AG$2,0)),Inputs!$B$4:$B$150,$B18)/1000)</f>
        <v>866.468</v>
      </c>
      <c r="AB18" s="12">
        <f>IF(AA18="","",AA18)</f>
        <v>866.468</v>
      </c>
      <c r="AC18" s="11">
        <f>IF(AC$3=0,"",SUMIFS(INDEX(Inputs!$D$4:$AG$150,0,MATCH(AC$2,Inputs!$D$2:$AG$2,0)),Inputs!$B$4:$B$150,$B18)/1000)</f>
        <v>908.878</v>
      </c>
      <c r="AD18" s="11">
        <f>IF(AD$3=0,"",SUMIFS(INDEX(Inputs!$D$4:$AG$150,0,MATCH(AD$2,Inputs!$D$2:$AG$2,0)),Inputs!$B$4:$B$150,$B18)/1000)</f>
        <v>899.443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108.25489017</v>
      </c>
      <c r="E20" s="11">
        <f>IF(E$3=0,"",SUMIFS(INDEX(Inputs!$D$4:$AG$150,0,MATCH(E$2,Inputs!$D$2:$AG$2,0)),Inputs!$B$4:$B$150,$B20)/1000)</f>
        <v>133.5251024</v>
      </c>
      <c r="F20" s="11">
        <f>IF(F$3=0,"",SUMIFS(INDEX(Inputs!$D$4:$AG$150,0,MATCH(F$2,Inputs!$D$2:$AG$2,0)),Inputs!$B$4:$B$150,$B20)/1000)</f>
        <v>210.772</v>
      </c>
      <c r="G20" s="11">
        <f>IF(G$3=0,"",SUMIFS(INDEX(Inputs!$D$4:$AG$150,0,MATCH(G$2,Inputs!$D$2:$AG$2,0)),Inputs!$B$4:$B$150,$B20)/1000)</f>
        <v>80.008</v>
      </c>
      <c r="H20" s="12">
        <f>IF(G20="","",G20)</f>
        <v>80.008</v>
      </c>
      <c r="I20" s="11">
        <f>IF(I$3=0,"",SUMIFS(INDEX(Inputs!$D$4:$AG$150,0,MATCH(I$2,Inputs!$D$2:$AG$2,0)),Inputs!$B$4:$B$150,$B20)/1000)</f>
        <v>134.872</v>
      </c>
      <c r="J20" s="11">
        <f>IF(J$3=0,"",SUMIFS(INDEX(Inputs!$D$4:$AG$150,0,MATCH(J$2,Inputs!$D$2:$AG$2,0)),Inputs!$B$4:$B$150,$B20)/1000)</f>
        <v>118.878</v>
      </c>
      <c r="K20" s="11">
        <f>IF(K$3=0,"",SUMIFS(INDEX(Inputs!$D$4:$AG$150,0,MATCH(K$2,Inputs!$D$2:$AG$2,0)),Inputs!$B$4:$B$150,$B20)/1000)</f>
        <v>148.438</v>
      </c>
      <c r="L20" s="11">
        <f>IF(L$3=0,"",SUMIFS(INDEX(Inputs!$D$4:$AG$150,0,MATCH(L$2,Inputs!$D$2:$AG$2,0)),Inputs!$B$4:$B$150,$B20)/1000)</f>
        <v>470.989</v>
      </c>
      <c r="M20" s="12">
        <f>IF(L20="","",L20)</f>
        <v>470.989</v>
      </c>
      <c r="N20" s="11">
        <f>IF(N$3=0,"",SUMIFS(INDEX(Inputs!$D$4:$AG$150,0,MATCH(N$2,Inputs!$D$2:$AG$2,0)),Inputs!$B$4:$B$150,$B20)/1000)</f>
        <v>528.817</v>
      </c>
      <c r="O20" s="11">
        <f>IF(O$3=0,"",SUMIFS(INDEX(Inputs!$D$4:$AG$150,0,MATCH(O$2,Inputs!$D$2:$AG$2,0)),Inputs!$B$4:$B$150,$B20)/1000)</f>
        <v>445.073</v>
      </c>
      <c r="P20" s="11">
        <f>IF(P$3=0,"",SUMIFS(INDEX(Inputs!$D$4:$AG$150,0,MATCH(P$2,Inputs!$D$2:$AG$2,0)),Inputs!$B$4:$B$150,$B20)/1000)</f>
        <v>381.748</v>
      </c>
      <c r="Q20" s="11">
        <f>IF(Q$3=0,"",SUMIFS(INDEX(Inputs!$D$4:$AG$150,0,MATCH(Q$2,Inputs!$D$2:$AG$2,0)),Inputs!$B$4:$B$150,$B20)/1000)</f>
        <v>536.114</v>
      </c>
      <c r="R20" s="12">
        <f>IF(Q20="","",Q20)</f>
        <v>536.114</v>
      </c>
      <c r="S20" s="11">
        <f>IF(S$3=0,"",SUMIFS(INDEX(Inputs!$D$4:$AG$150,0,MATCH(S$2,Inputs!$D$2:$AG$2,0)),Inputs!$B$4:$B$150,$B20)/1000)</f>
        <v>620.182</v>
      </c>
      <c r="T20" s="11">
        <f>IF(T$3=0,"",SUMIFS(INDEX(Inputs!$D$4:$AG$150,0,MATCH(T$2,Inputs!$D$2:$AG$2,0)),Inputs!$B$4:$B$150,$B20)/1000)</f>
        <v>713.704</v>
      </c>
      <c r="U20" s="11">
        <f>IF(U$3=0,"",SUMIFS(INDEX(Inputs!$D$4:$AG$150,0,MATCH(U$2,Inputs!$D$2:$AG$2,0)),Inputs!$B$4:$B$150,$B20)/1000)</f>
        <v>761.47</v>
      </c>
      <c r="V20" s="11">
        <f>IF(V$3=0,"",SUMIFS(INDEX(Inputs!$D$4:$AG$150,0,MATCH(V$2,Inputs!$D$2:$AG$2,0)),Inputs!$B$4:$B$150,$B20)/1000)</f>
        <v>858.659</v>
      </c>
      <c r="W20" s="12">
        <f>IF(V20="","",V20)</f>
        <v>858.659</v>
      </c>
      <c r="X20" s="11">
        <f>IF(X$3=0,"",SUMIFS(INDEX(Inputs!$D$4:$AG$150,0,MATCH(X$2,Inputs!$D$2:$AG$2,0)),Inputs!$B$4:$B$150,$B20)/1000)</f>
        <v>997.175</v>
      </c>
      <c r="Y20" s="11">
        <f>IF(Y$3=0,"",SUMIFS(INDEX(Inputs!$D$4:$AG$150,0,MATCH(Y$2,Inputs!$D$2:$AG$2,0)),Inputs!$B$4:$B$150,$B20)/1000)</f>
        <v>1047.061</v>
      </c>
      <c r="Z20" s="11">
        <f>IF(Z$3=0,"",SUMIFS(INDEX(Inputs!$D$4:$AG$150,0,MATCH(Z$2,Inputs!$D$2:$AG$2,0)),Inputs!$B$4:$B$150,$B20)/1000)</f>
        <v>1510.787</v>
      </c>
      <c r="AA20" s="11">
        <f>IF(AA$3=0,"",SUMIFS(INDEX(Inputs!$D$4:$AG$150,0,MATCH(AA$2,Inputs!$D$2:$AG$2,0)),Inputs!$B$4:$B$150,$B20)/1000)</f>
        <v>1700.881</v>
      </c>
      <c r="AB20" s="12">
        <f>IF(AA20="","",AA20)</f>
        <v>1700.881</v>
      </c>
      <c r="AC20" s="11">
        <f>IF(AC$3=0,"",SUMIFS(INDEX(Inputs!$D$4:$AG$150,0,MATCH(AC$2,Inputs!$D$2:$AG$2,0)),Inputs!$B$4:$B$150,$B20)/1000)</f>
        <v>1733.934</v>
      </c>
      <c r="AD20" s="11">
        <f>IF(AD$3=0,"",SUMIFS(INDEX(Inputs!$D$4:$AG$150,0,MATCH(AD$2,Inputs!$D$2:$AG$2,0)),Inputs!$B$4:$B$150,$B20)/1000)</f>
        <v>1748.953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19.238</v>
      </c>
      <c r="R21" s="12">
        <f>IF(Q21="","",Q21)</f>
        <v>19.238</v>
      </c>
      <c r="S21" s="11">
        <f>IF(S$3=0,"",SUMIFS(INDEX(Inputs!$D$4:$AG$150,0,MATCH(S$2,Inputs!$D$2:$AG$2,0)),Inputs!$B$4:$B$150,$B21)/1000)</f>
        <v>43.168</v>
      </c>
      <c r="T21" s="11">
        <f>IF(T$3=0,"",SUMIFS(INDEX(Inputs!$D$4:$AG$150,0,MATCH(T$2,Inputs!$D$2:$AG$2,0)),Inputs!$B$4:$B$150,$B21)/1000)</f>
        <v>43.164</v>
      </c>
      <c r="U21" s="11">
        <f>IF(U$3=0,"",SUMIFS(INDEX(Inputs!$D$4:$AG$150,0,MATCH(U$2,Inputs!$D$2:$AG$2,0)),Inputs!$B$4:$B$150,$B21)/1000)</f>
        <v>43.144</v>
      </c>
      <c r="V21" s="11">
        <f>IF(V$3=0,"",SUMIFS(INDEX(Inputs!$D$4:$AG$150,0,MATCH(V$2,Inputs!$D$2:$AG$2,0)),Inputs!$B$4:$B$150,$B21)/1000)</f>
        <v>43.144</v>
      </c>
      <c r="W21" s="12">
        <f>IF(V21="","",V21)</f>
        <v>43.144</v>
      </c>
      <c r="X21" s="11">
        <f>IF(X$3=0,"",SUMIFS(INDEX(Inputs!$D$4:$AG$150,0,MATCH(X$2,Inputs!$D$2:$AG$2,0)),Inputs!$B$4:$B$150,$B21)/1000)</f>
        <v>55.844</v>
      </c>
      <c r="Y21" s="11">
        <f>IF(Y$3=0,"",SUMIFS(INDEX(Inputs!$D$4:$AG$150,0,MATCH(Y$2,Inputs!$D$2:$AG$2,0)),Inputs!$B$4:$B$150,$B21)/1000)</f>
        <v>428.234</v>
      </c>
      <c r="Z21" s="11">
        <f>IF(Z$3=0,"",SUMIFS(INDEX(Inputs!$D$4:$AG$150,0,MATCH(Z$2,Inputs!$D$2:$AG$2,0)),Inputs!$B$4:$B$150,$B21)/1000)</f>
        <v>55.844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1591.003531</v>
      </c>
      <c r="E22" s="11">
        <f>IF(E$3=0,"",SUMIFS(INDEX(Inputs!$D$4:$AG$150,0,MATCH(E$2,Inputs!$D$2:$AG$2,0)),Inputs!$B$4:$B$150,$B22)/1000)</f>
        <v>1809.85866171</v>
      </c>
      <c r="F22" s="11">
        <f>IF(F$3=0,"",SUMIFS(INDEX(Inputs!$D$4:$AG$150,0,MATCH(F$2,Inputs!$D$2:$AG$2,0)),Inputs!$B$4:$B$150,$B22)/1000)</f>
        <v>2007.877</v>
      </c>
      <c r="G22" s="11">
        <f>IF(G$3=0,"",SUMIFS(INDEX(Inputs!$D$4:$AG$150,0,MATCH(G$2,Inputs!$D$2:$AG$2,0)),Inputs!$B$4:$B$150,$B22)/1000)</f>
        <v>2581.885</v>
      </c>
      <c r="H22" s="12">
        <f>IF(G22="","",G22)</f>
        <v>2581.885</v>
      </c>
      <c r="I22" s="11">
        <f>IF(I$3=0,"",SUMIFS(INDEX(Inputs!$D$4:$AG$150,0,MATCH(I$2,Inputs!$D$2:$AG$2,0)),Inputs!$B$4:$B$150,$B22)/1000)</f>
        <v>2857.882</v>
      </c>
      <c r="J22" s="11">
        <f>IF(J$3=0,"",SUMIFS(INDEX(Inputs!$D$4:$AG$150,0,MATCH(J$2,Inputs!$D$2:$AG$2,0)),Inputs!$B$4:$B$150,$B22)/1000)</f>
        <v>2953.797</v>
      </c>
      <c r="K22" s="11">
        <f>IF(K$3=0,"",SUMIFS(INDEX(Inputs!$D$4:$AG$150,0,MATCH(K$2,Inputs!$D$2:$AG$2,0)),Inputs!$B$4:$B$150,$B22)/1000)</f>
        <v>3018.884</v>
      </c>
      <c r="L22" s="11">
        <f>IF(L$3=0,"",SUMIFS(INDEX(Inputs!$D$4:$AG$150,0,MATCH(L$2,Inputs!$D$2:$AG$2,0)),Inputs!$B$4:$B$150,$B22)/1000)</f>
        <v>2960.185</v>
      </c>
      <c r="M22" s="12">
        <f>IF(L22="","",L22)</f>
        <v>2960.185</v>
      </c>
      <c r="N22" s="11">
        <f>IF(N$3=0,"",SUMIFS(INDEX(Inputs!$D$4:$AG$150,0,MATCH(N$2,Inputs!$D$2:$AG$2,0)),Inputs!$B$4:$B$150,$B22)/1000)</f>
        <v>3105.771</v>
      </c>
      <c r="O22" s="11">
        <f>IF(O$3=0,"",SUMIFS(INDEX(Inputs!$D$4:$AG$150,0,MATCH(O$2,Inputs!$D$2:$AG$2,0)),Inputs!$B$4:$B$150,$B22)/1000)</f>
        <v>3276.785</v>
      </c>
      <c r="P22" s="11">
        <f>IF(P$3=0,"",SUMIFS(INDEX(Inputs!$D$4:$AG$150,0,MATCH(P$2,Inputs!$D$2:$AG$2,0)),Inputs!$B$4:$B$150,$B22)/1000)</f>
        <v>3504.174</v>
      </c>
      <c r="Q22" s="11">
        <f>IF(Q$3=0,"",SUMIFS(INDEX(Inputs!$D$4:$AG$150,0,MATCH(Q$2,Inputs!$D$2:$AG$2,0)),Inputs!$B$4:$B$150,$B22)/1000)</f>
        <v>3730.515</v>
      </c>
      <c r="R22" s="12">
        <f>IF(Q22="","",Q22)</f>
        <v>3730.515</v>
      </c>
      <c r="S22" s="11">
        <f>IF(S$3=0,"",SUMIFS(INDEX(Inputs!$D$4:$AG$150,0,MATCH(S$2,Inputs!$D$2:$AG$2,0)),Inputs!$B$4:$B$150,$B22)/1000)</f>
        <v>3996.864</v>
      </c>
      <c r="T22" s="11">
        <f>IF(T$3=0,"",SUMIFS(INDEX(Inputs!$D$4:$AG$150,0,MATCH(T$2,Inputs!$D$2:$AG$2,0)),Inputs!$B$4:$B$150,$B22)/1000)</f>
        <v>4215.529</v>
      </c>
      <c r="U22" s="11">
        <f>IF(U$3=0,"",SUMIFS(INDEX(Inputs!$D$4:$AG$150,0,MATCH(U$2,Inputs!$D$2:$AG$2,0)),Inputs!$B$4:$B$150,$B22)/1000)</f>
        <v>4375.436</v>
      </c>
      <c r="V22" s="11">
        <f>IF(V$3=0,"",SUMIFS(INDEX(Inputs!$D$4:$AG$150,0,MATCH(V$2,Inputs!$D$2:$AG$2,0)),Inputs!$B$4:$B$150,$B22)/1000)</f>
        <v>4382.427</v>
      </c>
      <c r="W22" s="12">
        <f>IF(V22="","",V22)</f>
        <v>4382.427</v>
      </c>
      <c r="X22" s="11">
        <f>IF(X$3=0,"",SUMIFS(INDEX(Inputs!$D$4:$AG$150,0,MATCH(X$2,Inputs!$D$2:$AG$2,0)),Inputs!$B$4:$B$150,$B22)/1000)</f>
        <v>4531.517</v>
      </c>
      <c r="Y22" s="11">
        <f>IF(Y$3=0,"",SUMIFS(INDEX(Inputs!$D$4:$AG$150,0,MATCH(Y$2,Inputs!$D$2:$AG$2,0)),Inputs!$B$4:$B$150,$B22)/1000)</f>
        <v>4792.495</v>
      </c>
      <c r="Z22" s="11">
        <f>IF(Z$3=0,"",SUMIFS(INDEX(Inputs!$D$4:$AG$150,0,MATCH(Z$2,Inputs!$D$2:$AG$2,0)),Inputs!$B$4:$B$150,$B22)/1000)</f>
        <v>5488.702</v>
      </c>
      <c r="AA22" s="11">
        <f>IF(AA$3=0,"",SUMIFS(INDEX(Inputs!$D$4:$AG$150,0,MATCH(AA$2,Inputs!$D$2:$AG$2,0)),Inputs!$B$4:$B$150,$B22)/1000)</f>
        <v>5747.597</v>
      </c>
      <c r="AB22" s="12">
        <f>IF(AA22="","",AA22)</f>
        <v>5747.597</v>
      </c>
      <c r="AC22" s="11">
        <f>IF(AC$3=0,"",SUMIFS(INDEX(Inputs!$D$4:$AG$150,0,MATCH(AC$2,Inputs!$D$2:$AG$2,0)),Inputs!$B$4:$B$150,$B22)/1000)</f>
        <v>5777.757</v>
      </c>
      <c r="AD22" s="11">
        <f>IF(AD$3=0,"",SUMIFS(INDEX(Inputs!$D$4:$AG$150,0,MATCH(AD$2,Inputs!$D$2:$AG$2,0)),Inputs!$B$4:$B$150,$B22)/1000)</f>
        <v>5706.318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662.07967344</v>
      </c>
      <c r="E23" s="11">
        <f>IF(E$3=0,"",SUMIFS(INDEX(Inputs!$D$4:$AG$150,0,MATCH(E$2,Inputs!$D$2:$AG$2,0)),Inputs!$B$4:$B$150,$B23)/1000)</f>
        <v>703.26599247</v>
      </c>
      <c r="F23" s="11">
        <f>IF(F$3=0,"",SUMIFS(INDEX(Inputs!$D$4:$AG$150,0,MATCH(F$2,Inputs!$D$2:$AG$2,0)),Inputs!$B$4:$B$150,$B23)/1000)</f>
        <v>830.842</v>
      </c>
      <c r="G23" s="11">
        <f>IF(G$3=0,"",SUMIFS(INDEX(Inputs!$D$4:$AG$150,0,MATCH(G$2,Inputs!$D$2:$AG$2,0)),Inputs!$B$4:$B$150,$B23)/1000)</f>
        <v>907.504</v>
      </c>
      <c r="H23" s="12">
        <f>IF(G23="","",G23)</f>
        <v>907.504</v>
      </c>
      <c r="I23" s="11">
        <f>IF(I$3=0,"",SUMIFS(INDEX(Inputs!$D$4:$AG$150,0,MATCH(I$2,Inputs!$D$2:$AG$2,0)),Inputs!$B$4:$B$150,$B23)/1000)</f>
        <v>998.229</v>
      </c>
      <c r="J23" s="11">
        <f>IF(J$3=0,"",SUMIFS(INDEX(Inputs!$D$4:$AG$150,0,MATCH(J$2,Inputs!$D$2:$AG$2,0)),Inputs!$B$4:$B$150,$B23)/1000)</f>
        <v>1194.76</v>
      </c>
      <c r="K23" s="11">
        <f>IF(K$3=0,"",SUMIFS(INDEX(Inputs!$D$4:$AG$150,0,MATCH(K$2,Inputs!$D$2:$AG$2,0)),Inputs!$B$4:$B$150,$B23)/1000)</f>
        <v>1257.424</v>
      </c>
      <c r="L23" s="11">
        <f>IF(L$3=0,"",SUMIFS(INDEX(Inputs!$D$4:$AG$150,0,MATCH(L$2,Inputs!$D$2:$AG$2,0)),Inputs!$B$4:$B$150,$B23)/1000)</f>
        <v>1260.815</v>
      </c>
      <c r="M23" s="12">
        <f>IF(L23="","",L23)</f>
        <v>1260.815</v>
      </c>
      <c r="N23" s="11">
        <f>IF(N$3=0,"",SUMIFS(INDEX(Inputs!$D$4:$AG$150,0,MATCH(N$2,Inputs!$D$2:$AG$2,0)),Inputs!$B$4:$B$150,$B23)/1000)</f>
        <v>1330.053</v>
      </c>
      <c r="O23" s="11">
        <f>IF(O$3=0,"",SUMIFS(INDEX(Inputs!$D$4:$AG$150,0,MATCH(O$2,Inputs!$D$2:$AG$2,0)),Inputs!$B$4:$B$150,$B23)/1000)</f>
        <v>1564.699</v>
      </c>
      <c r="P23" s="11">
        <f>IF(P$3=0,"",SUMIFS(INDEX(Inputs!$D$4:$AG$150,0,MATCH(P$2,Inputs!$D$2:$AG$2,0)),Inputs!$B$4:$B$150,$B23)/1000)</f>
        <v>1774.395</v>
      </c>
      <c r="Q23" s="11">
        <f>IF(Q$3=0,"",SUMIFS(INDEX(Inputs!$D$4:$AG$150,0,MATCH(Q$2,Inputs!$D$2:$AG$2,0)),Inputs!$B$4:$B$150,$B23)/1000)</f>
        <v>1850.811</v>
      </c>
      <c r="R23" s="12">
        <f>IF(Q23="","",Q23)</f>
        <v>1850.811</v>
      </c>
      <c r="S23" s="11">
        <f>IF(S$3=0,"",SUMIFS(INDEX(Inputs!$D$4:$AG$150,0,MATCH(S$2,Inputs!$D$2:$AG$2,0)),Inputs!$B$4:$B$150,$B23)/1000)</f>
        <v>2021.405</v>
      </c>
      <c r="T23" s="11">
        <f>IF(T$3=0,"",SUMIFS(INDEX(Inputs!$D$4:$AG$150,0,MATCH(T$2,Inputs!$D$2:$AG$2,0)),Inputs!$B$4:$B$150,$B23)/1000)</f>
        <v>1866.203</v>
      </c>
      <c r="U23" s="11">
        <f>IF(U$3=0,"",SUMIFS(INDEX(Inputs!$D$4:$AG$150,0,MATCH(U$2,Inputs!$D$2:$AG$2,0)),Inputs!$B$4:$B$150,$B23)/1000)</f>
        <v>1884.077</v>
      </c>
      <c r="V23" s="11">
        <f>IF(V$3=0,"",SUMIFS(INDEX(Inputs!$D$4:$AG$150,0,MATCH(V$2,Inputs!$D$2:$AG$2,0)),Inputs!$B$4:$B$150,$B23)/1000)</f>
        <v>2036.014</v>
      </c>
      <c r="W23" s="12">
        <f>IF(V23="","",V23)</f>
        <v>2036.014</v>
      </c>
      <c r="X23" s="11">
        <f>IF(X$3=0,"",SUMIFS(INDEX(Inputs!$D$4:$AG$150,0,MATCH(X$2,Inputs!$D$2:$AG$2,0)),Inputs!$B$4:$B$150,$B23)/1000)</f>
        <v>2339.617</v>
      </c>
      <c r="Y23" s="11">
        <f>IF(Y$3=0,"",SUMIFS(INDEX(Inputs!$D$4:$AG$150,0,MATCH(Y$2,Inputs!$D$2:$AG$2,0)),Inputs!$B$4:$B$150,$B23)/1000)</f>
        <v>2641.269</v>
      </c>
      <c r="Z23" s="11">
        <f>IF(Z$3=0,"",SUMIFS(INDEX(Inputs!$D$4:$AG$150,0,MATCH(Z$2,Inputs!$D$2:$AG$2,0)),Inputs!$B$4:$B$150,$B23)/1000)</f>
        <v>3539.58</v>
      </c>
      <c r="AA23" s="11">
        <f>IF(AA$3=0,"",SUMIFS(INDEX(Inputs!$D$4:$AG$150,0,MATCH(AA$2,Inputs!$D$2:$AG$2,0)),Inputs!$B$4:$B$150,$B23)/1000)</f>
        <v>3654.264</v>
      </c>
      <c r="AB23" s="12">
        <f>IF(AA23="","",AA23)</f>
        <v>3654.264</v>
      </c>
      <c r="AC23" s="11">
        <f>IF(AC$3=0,"",SUMIFS(INDEX(Inputs!$D$4:$AG$150,0,MATCH(AC$2,Inputs!$D$2:$AG$2,0)),Inputs!$B$4:$B$150,$B23)/1000)</f>
        <v>3696.106</v>
      </c>
      <c r="AD23" s="11">
        <f>IF(AD$3=0,"",SUMIFS(INDEX(Inputs!$D$4:$AG$150,0,MATCH(AD$2,Inputs!$D$2:$AG$2,0)),Inputs!$B$4:$B$150,$B23)/1000)</f>
        <v>3867.883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0</v>
      </c>
      <c r="E24" s="11">
        <f>IF(E$3=0,"",SUMIFS(INDEX(Inputs!$D$4:$AG$150,0,MATCH(E$2,Inputs!$D$2:$AG$2,0)),Inputs!$B$4:$B$150,$B24)/1000)</f>
        <v>0</v>
      </c>
      <c r="F24" s="11">
        <f>IF(F$3=0,"",SUMIFS(INDEX(Inputs!$D$4:$AG$150,0,MATCH(F$2,Inputs!$D$2:$AG$2,0)),Inputs!$B$4:$B$150,$B24)/1000)</f>
        <v>0</v>
      </c>
      <c r="G24" s="11">
        <f>IF(G$3=0,"",SUMIFS(INDEX(Inputs!$D$4:$AG$150,0,MATCH(G$2,Inputs!$D$2:$AG$2,0)),Inputs!$B$4:$B$150,$B24)/1000)</f>
        <v>0</v>
      </c>
      <c r="H24" s="12">
        <f>IF(G24="","",G24)</f>
        <v>0</v>
      </c>
      <c r="I24" s="11">
        <f>IF(I$3=0,"",SUMIFS(INDEX(Inputs!$D$4:$AG$150,0,MATCH(I$2,Inputs!$D$2:$AG$2,0)),Inputs!$B$4:$B$150,$B24)/1000)</f>
        <v>0</v>
      </c>
      <c r="J24" s="11">
        <f>IF(J$3=0,"",SUMIFS(INDEX(Inputs!$D$4:$AG$150,0,MATCH(J$2,Inputs!$D$2:$AG$2,0)),Inputs!$B$4:$B$150,$B24)/1000)</f>
        <v>0</v>
      </c>
      <c r="K24" s="11">
        <f>IF(K$3=0,"",SUMIFS(INDEX(Inputs!$D$4:$AG$150,0,MATCH(K$2,Inputs!$D$2:$AG$2,0)),Inputs!$B$4:$B$150,$B24)/1000)</f>
        <v>0</v>
      </c>
      <c r="L24" s="11">
        <f>IF(L$3=0,"",SUMIFS(INDEX(Inputs!$D$4:$AG$150,0,MATCH(L$2,Inputs!$D$2:$AG$2,0)),Inputs!$B$4:$B$150,$B24)/1000)</f>
        <v>0</v>
      </c>
      <c r="M24" s="12">
        <f>IF(L24="","",L24)</f>
        <v>0</v>
      </c>
      <c r="N24" s="11">
        <f>IF(N$3=0,"",SUMIFS(INDEX(Inputs!$D$4:$AG$150,0,MATCH(N$2,Inputs!$D$2:$AG$2,0)),Inputs!$B$4:$B$150,$B24)/1000)</f>
        <v>0</v>
      </c>
      <c r="O24" s="11">
        <f>IF(O$3=0,"",SUMIFS(INDEX(Inputs!$D$4:$AG$150,0,MATCH(O$2,Inputs!$D$2:$AG$2,0)),Inputs!$B$4:$B$150,$B24)/1000)</f>
        <v>0</v>
      </c>
      <c r="P24" s="11">
        <f>IF(P$3=0,"",SUMIFS(INDEX(Inputs!$D$4:$AG$150,0,MATCH(P$2,Inputs!$D$2:$AG$2,0)),Inputs!$B$4:$B$150,$B24)/1000)</f>
        <v>0</v>
      </c>
      <c r="Q24" s="11">
        <f>IF(Q$3=0,"",SUMIFS(INDEX(Inputs!$D$4:$AG$150,0,MATCH(Q$2,Inputs!$D$2:$AG$2,0)),Inputs!$B$4:$B$150,$B24)/1000)</f>
        <v>0</v>
      </c>
      <c r="R24" s="12">
        <f>IF(Q24="","",Q24)</f>
        <v>0</v>
      </c>
      <c r="S24" s="11">
        <f>IF(S$3=0,"",SUMIFS(INDEX(Inputs!$D$4:$AG$150,0,MATCH(S$2,Inputs!$D$2:$AG$2,0)),Inputs!$B$4:$B$150,$B24)/1000)</f>
        <v>0</v>
      </c>
      <c r="T24" s="11">
        <f>IF(T$3=0,"",SUMIFS(INDEX(Inputs!$D$4:$AG$150,0,MATCH(T$2,Inputs!$D$2:$AG$2,0)),Inputs!$B$4:$B$150,$B24)/1000)</f>
        <v>0</v>
      </c>
      <c r="U24" s="11">
        <f>IF(U$3=0,"",SUMIFS(INDEX(Inputs!$D$4:$AG$150,0,MATCH(U$2,Inputs!$D$2:$AG$2,0)),Inputs!$B$4:$B$150,$B24)/1000)</f>
        <v>0</v>
      </c>
      <c r="V24" s="11">
        <f>IF(V$3=0,"",SUMIFS(INDEX(Inputs!$D$4:$AG$150,0,MATCH(V$2,Inputs!$D$2:$AG$2,0)),Inputs!$B$4:$B$150,$B24)/1000)</f>
        <v>0</v>
      </c>
      <c r="W24" s="12">
        <f>IF(V24="","",V24)</f>
        <v>0</v>
      </c>
      <c r="X24" s="11">
        <f>IF(X$3=0,"",SUMIFS(INDEX(Inputs!$D$4:$AG$150,0,MATCH(X$2,Inputs!$D$2:$AG$2,0)),Inputs!$B$4:$B$150,$B24)/1000)</f>
        <v>0</v>
      </c>
      <c r="Y24" s="11">
        <f>IF(Y$3=0,"",SUMIFS(INDEX(Inputs!$D$4:$AG$150,0,MATCH(Y$2,Inputs!$D$2:$AG$2,0)),Inputs!$B$4:$B$150,$B24)/1000)</f>
        <v>0</v>
      </c>
      <c r="Z24" s="11">
        <f>IF(Z$3=0,"",SUMIFS(INDEX(Inputs!$D$4:$AG$150,0,MATCH(Z$2,Inputs!$D$2:$AG$2,0)),Inputs!$B$4:$B$150,$B24)/1000)</f>
        <v>0</v>
      </c>
      <c r="AA24" s="11">
        <f>IF(AA$3=0,"",SUMIFS(INDEX(Inputs!$D$4:$AG$150,0,MATCH(AA$2,Inputs!$D$2:$AG$2,0)),Inputs!$B$4:$B$150,$B24)/1000)</f>
        <v>0</v>
      </c>
      <c r="AB24" s="12">
        <f>IF(AA24="","",AA24)</f>
        <v>0</v>
      </c>
      <c r="AC24" s="11">
        <f>IF(AC$3=0,"",SUMIFS(INDEX(Inputs!$D$4:$AG$150,0,MATCH(AC$2,Inputs!$D$2:$AG$2,0)),Inputs!$B$4:$B$150,$B24)/1000)</f>
        <v>0</v>
      </c>
      <c r="AD24" s="11">
        <f>IF(AD$3=0,"",SUMIFS(INDEX(Inputs!$D$4:$AG$150,0,MATCH(AD$2,Inputs!$D$2:$AG$2,0)),Inputs!$B$4:$B$150,$B24)/1000)</f>
        <v>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3.23999999</v>
      </c>
      <c r="E25" s="11">
        <f>IF(E$3=0,"",SUMIFS(INDEX(Inputs!$D$4:$AG$150,0,MATCH(E$2,Inputs!$D$2:$AG$2,0)),Inputs!$B$4:$B$150,$B25)/1000)</f>
        <v>3.18999998</v>
      </c>
      <c r="F25" s="11">
        <f>IF(F$3=0,"",SUMIFS(INDEX(Inputs!$D$4:$AG$150,0,MATCH(F$2,Inputs!$D$2:$AG$2,0)),Inputs!$B$4:$B$150,$B25)/1000)</f>
        <v>2.606</v>
      </c>
      <c r="G25" s="11">
        <f>IF(G$3=0,"",SUMIFS(INDEX(Inputs!$D$4:$AG$150,0,MATCH(G$2,Inputs!$D$2:$AG$2,0)),Inputs!$B$4:$B$150,$B25)/1000)</f>
        <v>2.556</v>
      </c>
      <c r="H25" s="12">
        <f>IF(G25="","",G25)</f>
        <v>2.556</v>
      </c>
      <c r="I25" s="11">
        <f>IF(I$3=0,"",SUMIFS(INDEX(Inputs!$D$4:$AG$150,0,MATCH(I$2,Inputs!$D$2:$AG$2,0)),Inputs!$B$4:$B$150,$B25)/1000)</f>
        <v>2.506</v>
      </c>
      <c r="J25" s="11">
        <f>IF(J$3=0,"",SUMIFS(INDEX(Inputs!$D$4:$AG$150,0,MATCH(J$2,Inputs!$D$2:$AG$2,0)),Inputs!$B$4:$B$150,$B25)/1000)</f>
        <v>2.456</v>
      </c>
      <c r="K25" s="11">
        <f>IF(K$3=0,"",SUMIFS(INDEX(Inputs!$D$4:$AG$150,0,MATCH(K$2,Inputs!$D$2:$AG$2,0)),Inputs!$B$4:$B$150,$B25)/1000)</f>
        <v>2.406</v>
      </c>
      <c r="L25" s="11">
        <f>IF(L$3=0,"",SUMIFS(INDEX(Inputs!$D$4:$AG$150,0,MATCH(L$2,Inputs!$D$2:$AG$2,0)),Inputs!$B$4:$B$150,$B25)/1000)</f>
        <v>4.515</v>
      </c>
      <c r="M25" s="12">
        <f>IF(L25="","",L25)</f>
        <v>4.515</v>
      </c>
      <c r="N25" s="11">
        <f>IF(N$3=0,"",SUMIFS(INDEX(Inputs!$D$4:$AG$150,0,MATCH(N$2,Inputs!$D$2:$AG$2,0)),Inputs!$B$4:$B$150,$B25)/1000)</f>
        <v>11.951</v>
      </c>
      <c r="O25" s="11">
        <f>IF(O$3=0,"",SUMIFS(INDEX(Inputs!$D$4:$AG$150,0,MATCH(O$2,Inputs!$D$2:$AG$2,0)),Inputs!$B$4:$B$150,$B25)/1000)</f>
        <v>26.2</v>
      </c>
      <c r="P25" s="11">
        <f>IF(P$3=0,"",SUMIFS(INDEX(Inputs!$D$4:$AG$150,0,MATCH(P$2,Inputs!$D$2:$AG$2,0)),Inputs!$B$4:$B$150,$B25)/1000)</f>
        <v>30.907</v>
      </c>
      <c r="Q25" s="11">
        <f>IF(Q$3=0,"",SUMIFS(INDEX(Inputs!$D$4:$AG$150,0,MATCH(Q$2,Inputs!$D$2:$AG$2,0)),Inputs!$B$4:$B$150,$B25)/1000)</f>
        <v>33.84</v>
      </c>
      <c r="R25" s="12">
        <f>IF(Q25="","",Q25)</f>
        <v>33.84</v>
      </c>
      <c r="S25" s="11">
        <f>IF(S$3=0,"",SUMIFS(INDEX(Inputs!$D$4:$AG$150,0,MATCH(S$2,Inputs!$D$2:$AG$2,0)),Inputs!$B$4:$B$150,$B25)/1000)</f>
        <v>39.202</v>
      </c>
      <c r="T25" s="11">
        <f>IF(T$3=0,"",SUMIFS(INDEX(Inputs!$D$4:$AG$150,0,MATCH(T$2,Inputs!$D$2:$AG$2,0)),Inputs!$B$4:$B$150,$B25)/1000)</f>
        <v>43.174</v>
      </c>
      <c r="U25" s="11">
        <f>IF(U$3=0,"",SUMIFS(INDEX(Inputs!$D$4:$AG$150,0,MATCH(U$2,Inputs!$D$2:$AG$2,0)),Inputs!$B$4:$B$150,$B25)/1000)</f>
        <v>46.893</v>
      </c>
      <c r="V25" s="11">
        <f>IF(V$3=0,"",SUMIFS(INDEX(Inputs!$D$4:$AG$150,0,MATCH(V$2,Inputs!$D$2:$AG$2,0)),Inputs!$B$4:$B$150,$B25)/1000)</f>
        <v>61.16</v>
      </c>
      <c r="W25" s="12">
        <f>IF(V25="","",V25)</f>
        <v>61.16</v>
      </c>
      <c r="X25" s="11">
        <f>IF(X$3=0,"",SUMIFS(INDEX(Inputs!$D$4:$AG$150,0,MATCH(X$2,Inputs!$D$2:$AG$2,0)),Inputs!$B$4:$B$150,$B25)/1000)</f>
        <v>63.831</v>
      </c>
      <c r="Y25" s="11">
        <f>IF(Y$3=0,"",SUMIFS(INDEX(Inputs!$D$4:$AG$150,0,MATCH(Y$2,Inputs!$D$2:$AG$2,0)),Inputs!$B$4:$B$150,$B25)/1000)</f>
        <v>69.687</v>
      </c>
      <c r="Z25" s="11">
        <f>IF(Z$3=0,"",SUMIFS(INDEX(Inputs!$D$4:$AG$150,0,MATCH(Z$2,Inputs!$D$2:$AG$2,0)),Inputs!$B$4:$B$150,$B25)/1000)</f>
        <v>729.491</v>
      </c>
      <c r="AA25" s="11">
        <f>IF(AA$3=0,"",SUMIFS(INDEX(Inputs!$D$4:$AG$150,0,MATCH(AA$2,Inputs!$D$2:$AG$2,0)),Inputs!$B$4:$B$150,$B25)/1000)</f>
        <v>651.724</v>
      </c>
      <c r="AB25" s="12">
        <f>IF(AA25="","",AA25)</f>
        <v>651.724</v>
      </c>
      <c r="AC25" s="11">
        <f>IF(AC$3=0,"",SUMIFS(INDEX(Inputs!$D$4:$AG$150,0,MATCH(AC$2,Inputs!$D$2:$AG$2,0)),Inputs!$B$4:$B$150,$B25)/1000)</f>
        <v>663.084</v>
      </c>
      <c r="AD25" s="11">
        <f>IF(AD$3=0,"",SUMIFS(INDEX(Inputs!$D$4:$AG$150,0,MATCH(AD$2,Inputs!$D$2:$AG$2,0)),Inputs!$B$4:$B$150,$B25)/1000)</f>
        <v>748.934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103.672125</v>
      </c>
      <c r="E26" s="11">
        <f>IF(E$3=0,"",SUMIFS(INDEX(Inputs!$D$4:$AG$150,0,MATCH(E$2,Inputs!$D$2:$AG$2,0)),Inputs!$B$4:$B$150,$B26)/1000)</f>
        <v>131.34670442</v>
      </c>
      <c r="F26" s="11">
        <f>IF(F$3=0,"",SUMIFS(INDEX(Inputs!$D$4:$AG$150,0,MATCH(F$2,Inputs!$D$2:$AG$2,0)),Inputs!$B$4:$B$150,$B26)/1000)</f>
        <v>156.829</v>
      </c>
      <c r="G26" s="11">
        <f>IF(G$3=0,"",SUMIFS(INDEX(Inputs!$D$4:$AG$150,0,MATCH(G$2,Inputs!$D$2:$AG$2,0)),Inputs!$B$4:$B$150,$B26)/1000)</f>
        <v>187.818</v>
      </c>
      <c r="H26" s="12">
        <f>IF(G26="","",G26)</f>
        <v>187.818</v>
      </c>
      <c r="I26" s="11">
        <f>IF(I$3=0,"",SUMIFS(INDEX(Inputs!$D$4:$AG$150,0,MATCH(I$2,Inputs!$D$2:$AG$2,0)),Inputs!$B$4:$B$150,$B26)/1000)</f>
        <v>169.365</v>
      </c>
      <c r="J26" s="11">
        <f>IF(J$3=0,"",SUMIFS(INDEX(Inputs!$D$4:$AG$150,0,MATCH(J$2,Inputs!$D$2:$AG$2,0)),Inputs!$B$4:$B$150,$B26)/1000)</f>
        <v>198.833</v>
      </c>
      <c r="K26" s="11">
        <f>IF(K$3=0,"",SUMIFS(INDEX(Inputs!$D$4:$AG$150,0,MATCH(K$2,Inputs!$D$2:$AG$2,0)),Inputs!$B$4:$B$150,$B26)/1000)</f>
        <v>220.47868171</v>
      </c>
      <c r="L26" s="11">
        <f>IF(L$3=0,"",SUMIFS(INDEX(Inputs!$D$4:$AG$150,0,MATCH(L$2,Inputs!$D$2:$AG$2,0)),Inputs!$B$4:$B$150,$B26)/1000)</f>
        <v>236.64763351</v>
      </c>
      <c r="M26" s="12">
        <f>IF(L26="","",L26)</f>
        <v>236.64763351</v>
      </c>
      <c r="N26" s="11">
        <f>IF(N$3=0,"",SUMIFS(INDEX(Inputs!$D$4:$AG$150,0,MATCH(N$2,Inputs!$D$2:$AG$2,0)),Inputs!$B$4:$B$150,$B26)/1000)</f>
        <v>255.56792086</v>
      </c>
      <c r="O26" s="11">
        <f>IF(O$3=0,"",SUMIFS(INDEX(Inputs!$D$4:$AG$150,0,MATCH(O$2,Inputs!$D$2:$AG$2,0)),Inputs!$B$4:$B$150,$B26)/1000)</f>
        <v>431.297</v>
      </c>
      <c r="P26" s="11">
        <f>IF(P$3=0,"",SUMIFS(INDEX(Inputs!$D$4:$AG$150,0,MATCH(P$2,Inputs!$D$2:$AG$2,0)),Inputs!$B$4:$B$150,$B26)/1000)</f>
        <v>439.403</v>
      </c>
      <c r="Q26" s="11">
        <f>IF(Q$3=0,"",SUMIFS(INDEX(Inputs!$D$4:$AG$150,0,MATCH(Q$2,Inputs!$D$2:$AG$2,0)),Inputs!$B$4:$B$150,$B26)/1000)</f>
        <v>351.47481072</v>
      </c>
      <c r="R26" s="12">
        <f>IF(Q26="","",Q26)</f>
        <v>351.47481072</v>
      </c>
      <c r="S26" s="11">
        <f>IF(S$3=0,"",SUMIFS(INDEX(Inputs!$D$4:$AG$150,0,MATCH(S$2,Inputs!$D$2:$AG$2,0)),Inputs!$B$4:$B$150,$B26)/1000)</f>
        <v>372.259</v>
      </c>
      <c r="T26" s="11">
        <f>IF(T$3=0,"",SUMIFS(INDEX(Inputs!$D$4:$AG$150,0,MATCH(T$2,Inputs!$D$2:$AG$2,0)),Inputs!$B$4:$B$150,$B26)/1000)</f>
        <v>393.699</v>
      </c>
      <c r="U26" s="11">
        <f>IF(U$3=0,"",SUMIFS(INDEX(Inputs!$D$4:$AG$150,0,MATCH(U$2,Inputs!$D$2:$AG$2,0)),Inputs!$B$4:$B$150,$B26)/1000)</f>
        <v>414.444</v>
      </c>
      <c r="V26" s="11">
        <f>IF(V$3=0,"",SUMIFS(INDEX(Inputs!$D$4:$AG$150,0,MATCH(V$2,Inputs!$D$2:$AG$2,0)),Inputs!$B$4:$B$150,$B26)/1000)</f>
        <v>340.359</v>
      </c>
      <c r="W26" s="12">
        <f>IF(V26="","",V26)</f>
        <v>340.359</v>
      </c>
      <c r="X26" s="11">
        <f>IF(X$3=0,"",SUMIFS(INDEX(Inputs!$D$4:$AG$150,0,MATCH(X$2,Inputs!$D$2:$AG$2,0)),Inputs!$B$4:$B$150,$B26)/1000)</f>
        <v>340.443</v>
      </c>
      <c r="Y26" s="11">
        <f>IF(Y$3=0,"",SUMIFS(INDEX(Inputs!$D$4:$AG$150,0,MATCH(Y$2,Inputs!$D$2:$AG$2,0)),Inputs!$B$4:$B$150,$B26)/1000)</f>
        <v>711.77010598</v>
      </c>
      <c r="Z26" s="11">
        <f>IF(Z$3=0,"",SUMIFS(INDEX(Inputs!$D$4:$AG$150,0,MATCH(Z$2,Inputs!$D$2:$AG$2,0)),Inputs!$B$4:$B$150,$B26)/1000)</f>
        <v>691.762</v>
      </c>
      <c r="AA26" s="11">
        <f>IF(AA$3=0,"",SUMIFS(INDEX(Inputs!$D$4:$AG$150,0,MATCH(AA$2,Inputs!$D$2:$AG$2,0)),Inputs!$B$4:$B$150,$B26)/1000)</f>
        <v>678.416</v>
      </c>
      <c r="AB26" s="12">
        <f>IF(AA26="","",AA26)</f>
        <v>678.416</v>
      </c>
      <c r="AC26" s="11">
        <f>IF(AC$3=0,"",SUMIFS(INDEX(Inputs!$D$4:$AG$150,0,MATCH(AC$2,Inputs!$D$2:$AG$2,0)),Inputs!$B$4:$B$150,$B26)/1000)</f>
        <v>739.068</v>
      </c>
      <c r="AD26" s="11">
        <f>IF(AD$3=0,"",SUMIFS(INDEX(Inputs!$D$4:$AG$150,0,MATCH(AD$2,Inputs!$D$2:$AG$2,0)),Inputs!$B$4:$B$150,$B26)/1000)</f>
        <v>854.664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717.97988696</v>
      </c>
      <c r="E28" s="11">
        <f>IF(E$3=0,"",SUMIFS(INDEX(Inputs!$D$4:$AG$150,0,MATCH(E$2,Inputs!$D$2:$AG$2,0)),Inputs!$B$4:$B$150,$B28)/1000)</f>
        <v>1041.78991181</v>
      </c>
      <c r="F28" s="11">
        <f>IF(F$3=0,"",SUMIFS(INDEX(Inputs!$D$4:$AG$150,0,MATCH(F$2,Inputs!$D$2:$AG$2,0)),Inputs!$B$4:$B$150,$B28)/1000)</f>
        <v>1042.603</v>
      </c>
      <c r="G28" s="11">
        <f>IF(G$3=0,"",SUMIFS(INDEX(Inputs!$D$4:$AG$150,0,MATCH(G$2,Inputs!$D$2:$AG$2,0)),Inputs!$B$4:$B$150,$B28)/1000)</f>
        <v>1056.585</v>
      </c>
      <c r="H28" s="12">
        <f>IF(G28="","",G28)</f>
        <v>1056.585</v>
      </c>
      <c r="I28" s="11">
        <f>IF(I$3=0,"",SUMIFS(INDEX(Inputs!$D$4:$AG$150,0,MATCH(I$2,Inputs!$D$2:$AG$2,0)),Inputs!$B$4:$B$150,$B28)/1000)</f>
        <v>1260.097</v>
      </c>
      <c r="J28" s="11">
        <f>IF(J$3=0,"",SUMIFS(INDEX(Inputs!$D$4:$AG$150,0,MATCH(J$2,Inputs!$D$2:$AG$2,0)),Inputs!$B$4:$B$150,$B28)/1000)</f>
        <v>1617.196</v>
      </c>
      <c r="K28" s="11">
        <f>IF(K$3=0,"",SUMIFS(INDEX(Inputs!$D$4:$AG$150,0,MATCH(K$2,Inputs!$D$2:$AG$2,0)),Inputs!$B$4:$B$150,$B28)/1000)</f>
        <v>1436.143</v>
      </c>
      <c r="L28" s="11">
        <f>IF(L$3=0,"",SUMIFS(INDEX(Inputs!$D$4:$AG$150,0,MATCH(L$2,Inputs!$D$2:$AG$2,0)),Inputs!$B$4:$B$150,$B28)/1000)</f>
        <v>2008.574</v>
      </c>
      <c r="M28" s="12">
        <f>IF(L28="","",L28)</f>
        <v>2008.574</v>
      </c>
      <c r="N28" s="11">
        <f>IF(N$3=0,"",SUMIFS(INDEX(Inputs!$D$4:$AG$150,0,MATCH(N$2,Inputs!$D$2:$AG$2,0)),Inputs!$B$4:$B$150,$B28)/1000)</f>
        <v>2198.248</v>
      </c>
      <c r="O28" s="11">
        <f>IF(O$3=0,"",SUMIFS(INDEX(Inputs!$D$4:$AG$150,0,MATCH(O$2,Inputs!$D$2:$AG$2,0)),Inputs!$B$4:$B$150,$B28)/1000)</f>
        <v>2183.737</v>
      </c>
      <c r="P28" s="11">
        <f>IF(P$3=0,"",SUMIFS(INDEX(Inputs!$D$4:$AG$150,0,MATCH(P$2,Inputs!$D$2:$AG$2,0)),Inputs!$B$4:$B$150,$B28)/1000)</f>
        <v>2308.076</v>
      </c>
      <c r="Q28" s="11">
        <f>IF(Q$3=0,"",SUMIFS(INDEX(Inputs!$D$4:$AG$150,0,MATCH(Q$2,Inputs!$D$2:$AG$2,0)),Inputs!$B$4:$B$150,$B28)/1000)</f>
        <v>3039.206</v>
      </c>
      <c r="R28" s="12">
        <f>IF(Q28="","",Q28)</f>
        <v>3039.206</v>
      </c>
      <c r="S28" s="11">
        <f>IF(S$3=0,"",SUMIFS(INDEX(Inputs!$D$4:$AG$150,0,MATCH(S$2,Inputs!$D$2:$AG$2,0)),Inputs!$B$4:$B$150,$B28)/1000)</f>
        <v>2623.383</v>
      </c>
      <c r="T28" s="11">
        <f>IF(T$3=0,"",SUMIFS(INDEX(Inputs!$D$4:$AG$150,0,MATCH(T$2,Inputs!$D$2:$AG$2,0)),Inputs!$B$4:$B$150,$B28)/1000)</f>
        <v>2787.903</v>
      </c>
      <c r="U28" s="11">
        <f>IF(U$3=0,"",SUMIFS(INDEX(Inputs!$D$4:$AG$150,0,MATCH(U$2,Inputs!$D$2:$AG$2,0)),Inputs!$B$4:$B$150,$B28)/1000)</f>
        <v>2958.921</v>
      </c>
      <c r="V28" s="11">
        <f>IF(V$3=0,"",SUMIFS(INDEX(Inputs!$D$4:$AG$150,0,MATCH(V$2,Inputs!$D$2:$AG$2,0)),Inputs!$B$4:$B$150,$B28)/1000)</f>
        <v>3078.569</v>
      </c>
      <c r="W28" s="12">
        <f>IF(V28="","",V28)</f>
        <v>3078.569</v>
      </c>
      <c r="X28" s="11">
        <f>IF(X$3=0,"",SUMIFS(INDEX(Inputs!$D$4:$AG$150,0,MATCH(X$2,Inputs!$D$2:$AG$2,0)),Inputs!$B$4:$B$150,$B28)/1000)</f>
        <v>3755.177</v>
      </c>
      <c r="Y28" s="11">
        <f>IF(Y$3=0,"",SUMIFS(INDEX(Inputs!$D$4:$AG$150,0,MATCH(Y$2,Inputs!$D$2:$AG$2,0)),Inputs!$B$4:$B$150,$B28)/1000)</f>
        <v>3357.777</v>
      </c>
      <c r="Z28" s="11">
        <f>IF(Z$3=0,"",SUMIFS(INDEX(Inputs!$D$4:$AG$150,0,MATCH(Z$2,Inputs!$D$2:$AG$2,0)),Inputs!$B$4:$B$150,$B28)/1000)</f>
        <v>4133.147</v>
      </c>
      <c r="AA28" s="11">
        <f>IF(AA$3=0,"",SUMIFS(INDEX(Inputs!$D$4:$AG$150,0,MATCH(AA$2,Inputs!$D$2:$AG$2,0)),Inputs!$B$4:$B$150,$B28)/1000)</f>
        <v>4469.873</v>
      </c>
      <c r="AB28" s="12">
        <f>IF(AA28="","",AA28)</f>
        <v>4469.873</v>
      </c>
      <c r="AC28" s="11">
        <f>IF(AC$3=0,"",SUMIFS(INDEX(Inputs!$D$4:$AG$150,0,MATCH(AC$2,Inputs!$D$2:$AG$2,0)),Inputs!$B$4:$B$150,$B28)/1000)</f>
        <v>4634.788</v>
      </c>
      <c r="AD28" s="11">
        <f>IF(AD$3=0,"",SUMIFS(INDEX(Inputs!$D$4:$AG$150,0,MATCH(AD$2,Inputs!$D$2:$AG$2,0)),Inputs!$B$4:$B$150,$B28)/1000)</f>
        <v>4790.556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199.7580463</v>
      </c>
      <c r="E29" s="11">
        <f>IF(E$3=0,"",SUMIFS(INDEX(Inputs!$D$4:$AG$150,0,MATCH(E$2,Inputs!$D$2:$AG$2,0)),Inputs!$B$4:$B$150,$B29)/1000)</f>
        <v>237.62315962</v>
      </c>
      <c r="F29" s="11">
        <f>IF(F$3=0,"",SUMIFS(INDEX(Inputs!$D$4:$AG$150,0,MATCH(F$2,Inputs!$D$2:$AG$2,0)),Inputs!$B$4:$B$150,$B29)/1000)</f>
        <v>271.913</v>
      </c>
      <c r="G29" s="11">
        <f>IF(G$3=0,"",SUMIFS(INDEX(Inputs!$D$4:$AG$150,0,MATCH(G$2,Inputs!$D$2:$AG$2,0)),Inputs!$B$4:$B$150,$B29)/1000)</f>
        <v>224.68</v>
      </c>
      <c r="H29" s="12">
        <f>IF(G29="","",G29)</f>
        <v>224.68</v>
      </c>
      <c r="I29" s="11">
        <f>IF(I$3=0,"",SUMIFS(INDEX(Inputs!$D$4:$AG$150,0,MATCH(I$2,Inputs!$D$2:$AG$2,0)),Inputs!$B$4:$B$150,$B29)/1000)</f>
        <v>237.809</v>
      </c>
      <c r="J29" s="11">
        <f>IF(J$3=0,"",SUMIFS(INDEX(Inputs!$D$4:$AG$150,0,MATCH(J$2,Inputs!$D$2:$AG$2,0)),Inputs!$B$4:$B$150,$B29)/1000)</f>
        <v>267.69</v>
      </c>
      <c r="K29" s="11">
        <f>IF(K$3=0,"",SUMIFS(INDEX(Inputs!$D$4:$AG$150,0,MATCH(K$2,Inputs!$D$2:$AG$2,0)),Inputs!$B$4:$B$150,$B29)/1000)</f>
        <v>328.581</v>
      </c>
      <c r="L29" s="11">
        <f>IF(L$3=0,"",SUMIFS(INDEX(Inputs!$D$4:$AG$150,0,MATCH(L$2,Inputs!$D$2:$AG$2,0)),Inputs!$B$4:$B$150,$B29)/1000)</f>
        <v>301.307</v>
      </c>
      <c r="M29" s="12">
        <f>IF(L29="","",L29)</f>
        <v>301.307</v>
      </c>
      <c r="N29" s="11">
        <f>IF(N$3=0,"",SUMIFS(INDEX(Inputs!$D$4:$AG$150,0,MATCH(N$2,Inputs!$D$2:$AG$2,0)),Inputs!$B$4:$B$150,$B29)/1000)</f>
        <v>309.092</v>
      </c>
      <c r="O29" s="11">
        <f>IF(O$3=0,"",SUMIFS(INDEX(Inputs!$D$4:$AG$150,0,MATCH(O$2,Inputs!$D$2:$AG$2,0)),Inputs!$B$4:$B$150,$B29)/1000)</f>
        <v>357.078</v>
      </c>
      <c r="P29" s="11">
        <f>IF(P$3=0,"",SUMIFS(INDEX(Inputs!$D$4:$AG$150,0,MATCH(P$2,Inputs!$D$2:$AG$2,0)),Inputs!$B$4:$B$150,$B29)/1000)</f>
        <v>410.755</v>
      </c>
      <c r="Q29" s="11">
        <f>IF(Q$3=0,"",SUMIFS(INDEX(Inputs!$D$4:$AG$150,0,MATCH(Q$2,Inputs!$D$2:$AG$2,0)),Inputs!$B$4:$B$150,$B29)/1000)</f>
        <v>394.255</v>
      </c>
      <c r="R29" s="12">
        <f>IF(Q29="","",Q29)</f>
        <v>394.255</v>
      </c>
      <c r="S29" s="11">
        <f>IF(S$3=0,"",SUMIFS(INDEX(Inputs!$D$4:$AG$150,0,MATCH(S$2,Inputs!$D$2:$AG$2,0)),Inputs!$B$4:$B$150,$B29)/1000)</f>
        <v>429.905</v>
      </c>
      <c r="T29" s="11">
        <f>IF(T$3=0,"",SUMIFS(INDEX(Inputs!$D$4:$AG$150,0,MATCH(T$2,Inputs!$D$2:$AG$2,0)),Inputs!$B$4:$B$150,$B29)/1000)</f>
        <v>454.609</v>
      </c>
      <c r="U29" s="11">
        <f>IF(U$3=0,"",SUMIFS(INDEX(Inputs!$D$4:$AG$150,0,MATCH(U$2,Inputs!$D$2:$AG$2,0)),Inputs!$B$4:$B$150,$B29)/1000)</f>
        <v>494.728</v>
      </c>
      <c r="V29" s="11">
        <f>IF(V$3=0,"",SUMIFS(INDEX(Inputs!$D$4:$AG$150,0,MATCH(V$2,Inputs!$D$2:$AG$2,0)),Inputs!$B$4:$B$150,$B29)/1000)</f>
        <v>445.071</v>
      </c>
      <c r="W29" s="12">
        <f>IF(V29="","",V29)</f>
        <v>445.071</v>
      </c>
      <c r="X29" s="11">
        <f>IF(X$3=0,"",SUMIFS(INDEX(Inputs!$D$4:$AG$150,0,MATCH(X$2,Inputs!$D$2:$AG$2,0)),Inputs!$B$4:$B$150,$B29)/1000)</f>
        <v>482.103</v>
      </c>
      <c r="Y29" s="11">
        <f>IF(Y$3=0,"",SUMIFS(INDEX(Inputs!$D$4:$AG$150,0,MATCH(Y$2,Inputs!$D$2:$AG$2,0)),Inputs!$B$4:$B$150,$B29)/1000)</f>
        <v>472.507</v>
      </c>
      <c r="Z29" s="11">
        <f>IF(Z$3=0,"",SUMIFS(INDEX(Inputs!$D$4:$AG$150,0,MATCH(Z$2,Inputs!$D$2:$AG$2,0)),Inputs!$B$4:$B$150,$B29)/1000)</f>
        <v>596.021</v>
      </c>
      <c r="AA29" s="11">
        <f>IF(AA$3=0,"",SUMIFS(INDEX(Inputs!$D$4:$AG$150,0,MATCH(AA$2,Inputs!$D$2:$AG$2,0)),Inputs!$B$4:$B$150,$B29)/1000)</f>
        <v>526.602</v>
      </c>
      <c r="AB29" s="12">
        <f>IF(AA29="","",AA29)</f>
        <v>526.602</v>
      </c>
      <c r="AC29" s="11">
        <f>IF(AC$3=0,"",SUMIFS(INDEX(Inputs!$D$4:$AG$150,0,MATCH(AC$2,Inputs!$D$2:$AG$2,0)),Inputs!$B$4:$B$150,$B29)/1000)</f>
        <v>545.443</v>
      </c>
      <c r="AD29" s="11">
        <f>IF(AD$3=0,"",SUMIFS(INDEX(Inputs!$D$4:$AG$150,0,MATCH(AD$2,Inputs!$D$2:$AG$2,0)),Inputs!$B$4:$B$150,$B29)/1000)</f>
        <v>563.536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82.18213189</v>
      </c>
      <c r="E30" s="11">
        <f>IF(E$3=0,"",SUMIFS(INDEX(Inputs!$D$4:$AG$150,0,MATCH(E$2,Inputs!$D$2:$AG$2,0)),Inputs!$B$4:$B$150,$B30)/1000)</f>
        <v>84.23464572</v>
      </c>
      <c r="F30" s="11">
        <f>IF(F$3=0,"",SUMIFS(INDEX(Inputs!$D$4:$AG$150,0,MATCH(F$2,Inputs!$D$2:$AG$2,0)),Inputs!$B$4:$B$150,$B30)/1000)</f>
        <v>102.009</v>
      </c>
      <c r="G30" s="11">
        <f>IF(G$3=0,"",SUMIFS(INDEX(Inputs!$D$4:$AG$150,0,MATCH(G$2,Inputs!$D$2:$AG$2,0)),Inputs!$B$4:$B$150,$B30)/1000)</f>
        <v>128.618</v>
      </c>
      <c r="H30" s="12">
        <f>IF(G30="","",G30)</f>
        <v>128.618</v>
      </c>
      <c r="I30" s="11">
        <f>IF(I$3=0,"",SUMIFS(INDEX(Inputs!$D$4:$AG$150,0,MATCH(I$2,Inputs!$D$2:$AG$2,0)),Inputs!$B$4:$B$150,$B30)/1000)</f>
        <v>115.444</v>
      </c>
      <c r="J30" s="11">
        <f>IF(J$3=0,"",SUMIFS(INDEX(Inputs!$D$4:$AG$150,0,MATCH(J$2,Inputs!$D$2:$AG$2,0)),Inputs!$B$4:$B$150,$B30)/1000)</f>
        <v>119.305</v>
      </c>
      <c r="K30" s="11">
        <f>IF(K$3=0,"",SUMIFS(INDEX(Inputs!$D$4:$AG$150,0,MATCH(K$2,Inputs!$D$2:$AG$2,0)),Inputs!$B$4:$B$150,$B30)/1000)</f>
        <v>118.858</v>
      </c>
      <c r="L30" s="11">
        <f>IF(L$3=0,"",SUMIFS(INDEX(Inputs!$D$4:$AG$150,0,MATCH(L$2,Inputs!$D$2:$AG$2,0)),Inputs!$B$4:$B$150,$B30)/1000)</f>
        <v>142.566</v>
      </c>
      <c r="M30" s="12">
        <f>IF(L30="","",L30)</f>
        <v>142.566</v>
      </c>
      <c r="N30" s="11">
        <f>IF(N$3=0,"",SUMIFS(INDEX(Inputs!$D$4:$AG$150,0,MATCH(N$2,Inputs!$D$2:$AG$2,0)),Inputs!$B$4:$B$150,$B30)/1000)</f>
        <v>125.945</v>
      </c>
      <c r="O30" s="11">
        <f>IF(O$3=0,"",SUMIFS(INDEX(Inputs!$D$4:$AG$150,0,MATCH(O$2,Inputs!$D$2:$AG$2,0)),Inputs!$B$4:$B$150,$B30)/1000)</f>
        <v>175.951</v>
      </c>
      <c r="P30" s="11">
        <f>IF(P$3=0,"",SUMIFS(INDEX(Inputs!$D$4:$AG$150,0,MATCH(P$2,Inputs!$D$2:$AG$2,0)),Inputs!$B$4:$B$150,$B30)/1000)</f>
        <v>156.525</v>
      </c>
      <c r="Q30" s="11">
        <f>IF(Q$3=0,"",SUMIFS(INDEX(Inputs!$D$4:$AG$150,0,MATCH(Q$2,Inputs!$D$2:$AG$2,0)),Inputs!$B$4:$B$150,$B30)/1000)</f>
        <v>224.887</v>
      </c>
      <c r="R30" s="12">
        <f>IF(Q30="","",Q30)</f>
        <v>224.887</v>
      </c>
      <c r="S30" s="11">
        <f>IF(S$3=0,"",SUMIFS(INDEX(Inputs!$D$4:$AG$150,0,MATCH(S$2,Inputs!$D$2:$AG$2,0)),Inputs!$B$4:$B$150,$B30)/1000)</f>
        <v>300.564</v>
      </c>
      <c r="T30" s="11">
        <f>IF(T$3=0,"",SUMIFS(INDEX(Inputs!$D$4:$AG$150,0,MATCH(T$2,Inputs!$D$2:$AG$2,0)),Inputs!$B$4:$B$150,$B30)/1000)</f>
        <v>524.916</v>
      </c>
      <c r="U30" s="11">
        <f>IF(U$3=0,"",SUMIFS(INDEX(Inputs!$D$4:$AG$150,0,MATCH(U$2,Inputs!$D$2:$AG$2,0)),Inputs!$B$4:$B$150,$B30)/1000)</f>
        <v>657.468</v>
      </c>
      <c r="V30" s="11">
        <f>IF(V$3=0,"",SUMIFS(INDEX(Inputs!$D$4:$AG$150,0,MATCH(V$2,Inputs!$D$2:$AG$2,0)),Inputs!$B$4:$B$150,$B30)/1000)</f>
        <v>434.563</v>
      </c>
      <c r="W30" s="12">
        <f>IF(V30="","",V30)</f>
        <v>434.563</v>
      </c>
      <c r="X30" s="11">
        <f>IF(X$3=0,"",SUMIFS(INDEX(Inputs!$D$4:$AG$150,0,MATCH(X$2,Inputs!$D$2:$AG$2,0)),Inputs!$B$4:$B$150,$B30)/1000)</f>
        <v>401.21</v>
      </c>
      <c r="Y30" s="11">
        <f>IF(Y$3=0,"",SUMIFS(INDEX(Inputs!$D$4:$AG$150,0,MATCH(Y$2,Inputs!$D$2:$AG$2,0)),Inputs!$B$4:$B$150,$B30)/1000)</f>
        <v>352.988</v>
      </c>
      <c r="Z30" s="11">
        <f>IF(Z$3=0,"",SUMIFS(INDEX(Inputs!$D$4:$AG$150,0,MATCH(Z$2,Inputs!$D$2:$AG$2,0)),Inputs!$B$4:$B$150,$B30)/1000)</f>
        <v>368.763</v>
      </c>
      <c r="AA30" s="11">
        <f>IF(AA$3=0,"",SUMIFS(INDEX(Inputs!$D$4:$AG$150,0,MATCH(AA$2,Inputs!$D$2:$AG$2,0)),Inputs!$B$4:$B$150,$B30)/1000)</f>
        <v>371.5</v>
      </c>
      <c r="AB30" s="12">
        <f>IF(AA30="","",AA30)</f>
        <v>371.5</v>
      </c>
      <c r="AC30" s="11">
        <f>IF(AC$3=0,"",SUMIFS(INDEX(Inputs!$D$4:$AG$150,0,MATCH(AC$2,Inputs!$D$2:$AG$2,0)),Inputs!$B$4:$B$150,$B30)/1000)</f>
        <v>274.497</v>
      </c>
      <c r="AD30" s="11">
        <f>IF(AD$3=0,"",SUMIFS(INDEX(Inputs!$D$4:$AG$150,0,MATCH(AD$2,Inputs!$D$2:$AG$2,0)),Inputs!$B$4:$B$150,$B30)/1000)</f>
        <v>218.708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11.90376382</v>
      </c>
      <c r="E31" s="11">
        <f>IF(E$3=0,"",SUMIFS(INDEX(Inputs!$D$4:$AG$150,0,MATCH(E$2,Inputs!$D$2:$AG$2,0)),Inputs!$B$4:$B$150,$B31)/1000)</f>
        <v>11.02509488</v>
      </c>
      <c r="F31" s="11">
        <f>IF(F$3=0,"",SUMIFS(INDEX(Inputs!$D$4:$AG$150,0,MATCH(F$2,Inputs!$D$2:$AG$2,0)),Inputs!$B$4:$B$150,$B31)/1000)</f>
        <v>10.107</v>
      </c>
      <c r="G31" s="11">
        <f>IF(G$3=0,"",SUMIFS(INDEX(Inputs!$D$4:$AG$150,0,MATCH(G$2,Inputs!$D$2:$AG$2,0)),Inputs!$B$4:$B$150,$B31)/1000)</f>
        <v>6.485</v>
      </c>
      <c r="H31" s="12">
        <f>IF(G31="","",G31)</f>
        <v>6.485</v>
      </c>
      <c r="I31" s="11">
        <f>IF(I$3=0,"",SUMIFS(INDEX(Inputs!$D$4:$AG$150,0,MATCH(I$2,Inputs!$D$2:$AG$2,0)),Inputs!$B$4:$B$150,$B31)/1000)</f>
        <v>10.036</v>
      </c>
      <c r="J31" s="11">
        <f>IF(J$3=0,"",SUMIFS(INDEX(Inputs!$D$4:$AG$150,0,MATCH(J$2,Inputs!$D$2:$AG$2,0)),Inputs!$B$4:$B$150,$B31)/1000)</f>
        <v>104.094</v>
      </c>
      <c r="K31" s="11">
        <f>IF(K$3=0,"",SUMIFS(INDEX(Inputs!$D$4:$AG$150,0,MATCH(K$2,Inputs!$D$2:$AG$2,0)),Inputs!$B$4:$B$150,$B31)/1000)</f>
        <v>56.304</v>
      </c>
      <c r="L31" s="11">
        <f>IF(L$3=0,"",SUMIFS(INDEX(Inputs!$D$4:$AG$150,0,MATCH(L$2,Inputs!$D$2:$AG$2,0)),Inputs!$B$4:$B$150,$B31)/1000)</f>
        <v>27.794</v>
      </c>
      <c r="M31" s="12">
        <f>IF(L31="","",L31)</f>
        <v>27.794</v>
      </c>
      <c r="N31" s="11">
        <f>IF(N$3=0,"",SUMIFS(INDEX(Inputs!$D$4:$AG$150,0,MATCH(N$2,Inputs!$D$2:$AG$2,0)),Inputs!$B$4:$B$150,$B31)/1000)</f>
        <v>23.079</v>
      </c>
      <c r="O31" s="11">
        <f>IF(O$3=0,"",SUMIFS(INDEX(Inputs!$D$4:$AG$150,0,MATCH(O$2,Inputs!$D$2:$AG$2,0)),Inputs!$B$4:$B$150,$B31)/1000)</f>
        <v>56.905</v>
      </c>
      <c r="P31" s="11">
        <f>IF(P$3=0,"",SUMIFS(INDEX(Inputs!$D$4:$AG$150,0,MATCH(P$2,Inputs!$D$2:$AG$2,0)),Inputs!$B$4:$B$150,$B31)/1000)</f>
        <v>67.267</v>
      </c>
      <c r="Q31" s="11">
        <f>IF(Q$3=0,"",SUMIFS(INDEX(Inputs!$D$4:$AG$150,0,MATCH(Q$2,Inputs!$D$2:$AG$2,0)),Inputs!$B$4:$B$150,$B31)/1000)</f>
        <v>76.354</v>
      </c>
      <c r="R31" s="12">
        <f>IF(Q31="","",Q31)</f>
        <v>76.354</v>
      </c>
      <c r="S31" s="11">
        <f>IF(S$3=0,"",SUMIFS(INDEX(Inputs!$D$4:$AG$150,0,MATCH(S$2,Inputs!$D$2:$AG$2,0)),Inputs!$B$4:$B$150,$B31)/1000)</f>
        <v>178.543</v>
      </c>
      <c r="T31" s="11">
        <f>IF(T$3=0,"",SUMIFS(INDEX(Inputs!$D$4:$AG$150,0,MATCH(T$2,Inputs!$D$2:$AG$2,0)),Inputs!$B$4:$B$150,$B31)/1000)</f>
        <v>338.727</v>
      </c>
      <c r="U31" s="11">
        <f>IF(U$3=0,"",SUMIFS(INDEX(Inputs!$D$4:$AG$150,0,MATCH(U$2,Inputs!$D$2:$AG$2,0)),Inputs!$B$4:$B$150,$B31)/1000)</f>
        <v>458.935</v>
      </c>
      <c r="V31" s="11">
        <f>IF(V$3=0,"",SUMIFS(INDEX(Inputs!$D$4:$AG$150,0,MATCH(V$2,Inputs!$D$2:$AG$2,0)),Inputs!$B$4:$B$150,$B31)/1000)</f>
        <v>214.597</v>
      </c>
      <c r="W31" s="12">
        <f>IF(V31="","",V31)</f>
        <v>214.597</v>
      </c>
      <c r="X31" s="11">
        <f>IF(X$3=0,"",SUMIFS(INDEX(Inputs!$D$4:$AG$150,0,MATCH(X$2,Inputs!$D$2:$AG$2,0)),Inputs!$B$4:$B$150,$B31)/1000)</f>
        <v>231.191</v>
      </c>
      <c r="Y31" s="11">
        <f>IF(Y$3=0,"",SUMIFS(INDEX(Inputs!$D$4:$AG$150,0,MATCH(Y$2,Inputs!$D$2:$AG$2,0)),Inputs!$B$4:$B$150,$B31)/1000)</f>
        <v>390.144</v>
      </c>
      <c r="Z31" s="11">
        <f>IF(Z$3=0,"",SUMIFS(INDEX(Inputs!$D$4:$AG$150,0,MATCH(Z$2,Inputs!$D$2:$AG$2,0)),Inputs!$B$4:$B$150,$B31)/1000)</f>
        <v>507.504</v>
      </c>
      <c r="AA31" s="11">
        <f>IF(AA$3=0,"",SUMIFS(INDEX(Inputs!$D$4:$AG$150,0,MATCH(AA$2,Inputs!$D$2:$AG$2,0)),Inputs!$B$4:$B$150,$B31)/1000)</f>
        <v>502.183</v>
      </c>
      <c r="AB31" s="12">
        <f>IF(AA31="","",AA31)</f>
        <v>502.183</v>
      </c>
      <c r="AC31" s="11">
        <f>IF(AC$3=0,"",SUMIFS(INDEX(Inputs!$D$4:$AG$150,0,MATCH(AC$2,Inputs!$D$2:$AG$2,0)),Inputs!$B$4:$B$150,$B31)/1000)</f>
        <v>312.021</v>
      </c>
      <c r="AD31" s="11">
        <f>IF(AD$3=0,"",SUMIFS(INDEX(Inputs!$D$4:$AG$150,0,MATCH(AD$2,Inputs!$D$2:$AG$2,0)),Inputs!$B$4:$B$150,$B31)/1000)</f>
        <v>161.023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89.70997532</v>
      </c>
      <c r="E32" s="11">
        <f>IF(E$3=0,"",SUMIFS(INDEX(Inputs!$D$4:$AG$150,0,MATCH(E$2,Inputs!$D$2:$AG$2,0)),Inputs!$B$4:$B$150,$B32)/1000)</f>
        <v>88.93405342</v>
      </c>
      <c r="F32" s="11">
        <f>IF(F$3=0,"",SUMIFS(INDEX(Inputs!$D$4:$AG$150,0,MATCH(F$2,Inputs!$D$2:$AG$2,0)),Inputs!$B$4:$B$150,$B32)/1000)</f>
        <v>86.364</v>
      </c>
      <c r="G32" s="11">
        <f>IF(G$3=0,"",SUMIFS(INDEX(Inputs!$D$4:$AG$150,0,MATCH(G$2,Inputs!$D$2:$AG$2,0)),Inputs!$B$4:$B$150,$B32)/1000)</f>
        <v>172.832</v>
      </c>
      <c r="H32" s="12">
        <f>IF(G32="","",G32)</f>
        <v>172.832</v>
      </c>
      <c r="I32" s="11">
        <f>IF(I$3=0,"",SUMIFS(INDEX(Inputs!$D$4:$AG$150,0,MATCH(I$2,Inputs!$D$2:$AG$2,0)),Inputs!$B$4:$B$150,$B32)/1000)</f>
        <v>174.013</v>
      </c>
      <c r="J32" s="11">
        <f>IF(J$3=0,"",SUMIFS(INDEX(Inputs!$D$4:$AG$150,0,MATCH(J$2,Inputs!$D$2:$AG$2,0)),Inputs!$B$4:$B$150,$B32)/1000)</f>
        <v>187.278</v>
      </c>
      <c r="K32" s="11">
        <f>IF(K$3=0,"",SUMIFS(INDEX(Inputs!$D$4:$AG$150,0,MATCH(K$2,Inputs!$D$2:$AG$2,0)),Inputs!$B$4:$B$150,$B32)/1000)</f>
        <v>191.156</v>
      </c>
      <c r="L32" s="11">
        <f>IF(L$3=0,"",SUMIFS(INDEX(Inputs!$D$4:$AG$150,0,MATCH(L$2,Inputs!$D$2:$AG$2,0)),Inputs!$B$4:$B$150,$B32)/1000)</f>
        <v>192.831</v>
      </c>
      <c r="M32" s="12">
        <f>IF(L32="","",L32)</f>
        <v>192.831</v>
      </c>
      <c r="N32" s="11">
        <f>IF(N$3=0,"",SUMIFS(INDEX(Inputs!$D$4:$AG$150,0,MATCH(N$2,Inputs!$D$2:$AG$2,0)),Inputs!$B$4:$B$150,$B32)/1000)</f>
        <v>192.11</v>
      </c>
      <c r="O32" s="11">
        <f>IF(O$3=0,"",SUMIFS(INDEX(Inputs!$D$4:$AG$150,0,MATCH(O$2,Inputs!$D$2:$AG$2,0)),Inputs!$B$4:$B$150,$B32)/1000)</f>
        <v>216.191</v>
      </c>
      <c r="P32" s="11">
        <f>IF(P$3=0,"",SUMIFS(INDEX(Inputs!$D$4:$AG$150,0,MATCH(P$2,Inputs!$D$2:$AG$2,0)),Inputs!$B$4:$B$150,$B32)/1000)</f>
        <v>231.929</v>
      </c>
      <c r="Q32" s="11">
        <f>IF(Q$3=0,"",SUMIFS(INDEX(Inputs!$D$4:$AG$150,0,MATCH(Q$2,Inputs!$D$2:$AG$2,0)),Inputs!$B$4:$B$150,$B32)/1000)</f>
        <v>465.402</v>
      </c>
      <c r="R32" s="12">
        <f>IF(Q32="","",Q32)</f>
        <v>465.402</v>
      </c>
      <c r="S32" s="11">
        <f>IF(S$3=0,"",SUMIFS(INDEX(Inputs!$D$4:$AG$150,0,MATCH(S$2,Inputs!$D$2:$AG$2,0)),Inputs!$B$4:$B$150,$B32)/1000)</f>
        <v>508.391</v>
      </c>
      <c r="T32" s="11">
        <f>IF(T$3=0,"",SUMIFS(INDEX(Inputs!$D$4:$AG$150,0,MATCH(T$2,Inputs!$D$2:$AG$2,0)),Inputs!$B$4:$B$150,$B32)/1000)</f>
        <v>537.107</v>
      </c>
      <c r="U32" s="11">
        <f>IF(U$3=0,"",SUMIFS(INDEX(Inputs!$D$4:$AG$150,0,MATCH(U$2,Inputs!$D$2:$AG$2,0)),Inputs!$B$4:$B$150,$B32)/1000)</f>
        <v>548.585</v>
      </c>
      <c r="V32" s="11">
        <f>IF(V$3=0,"",SUMIFS(INDEX(Inputs!$D$4:$AG$150,0,MATCH(V$2,Inputs!$D$2:$AG$2,0)),Inputs!$B$4:$B$150,$B32)/1000)</f>
        <v>420.986</v>
      </c>
      <c r="W32" s="12">
        <f>IF(V32="","",V32)</f>
        <v>420.986</v>
      </c>
      <c r="X32" s="11">
        <f>IF(X$3=0,"",SUMIFS(INDEX(Inputs!$D$4:$AG$150,0,MATCH(X$2,Inputs!$D$2:$AG$2,0)),Inputs!$B$4:$B$150,$B32)/1000)</f>
        <v>249.077</v>
      </c>
      <c r="Y32" s="11">
        <f>IF(Y$3=0,"",SUMIFS(INDEX(Inputs!$D$4:$AG$150,0,MATCH(Y$2,Inputs!$D$2:$AG$2,0)),Inputs!$B$4:$B$150,$B32)/1000)</f>
        <v>248.593</v>
      </c>
      <c r="Z32" s="11">
        <f>IF(Z$3=0,"",SUMIFS(INDEX(Inputs!$D$4:$AG$150,0,MATCH(Z$2,Inputs!$D$2:$AG$2,0)),Inputs!$B$4:$B$150,$B32)/1000)</f>
        <v>535.225</v>
      </c>
      <c r="AA32" s="11">
        <f>IF(AA$3=0,"",SUMIFS(INDEX(Inputs!$D$4:$AG$150,0,MATCH(AA$2,Inputs!$D$2:$AG$2,0)),Inputs!$B$4:$B$150,$B32)/1000)</f>
        <v>1204.737</v>
      </c>
      <c r="AB32" s="12">
        <f>IF(AA32="","",AA32)</f>
        <v>1204.737</v>
      </c>
      <c r="AC32" s="11">
        <f>IF(AC$3=0,"",SUMIFS(INDEX(Inputs!$D$4:$AG$150,0,MATCH(AC$2,Inputs!$D$2:$AG$2,0)),Inputs!$B$4:$B$150,$B32)/1000)</f>
        <v>1537.253</v>
      </c>
      <c r="AD32" s="11">
        <f>IF(AD$3=0,"",SUMIFS(INDEX(Inputs!$D$4:$AG$150,0,MATCH(AD$2,Inputs!$D$2:$AG$2,0)),Inputs!$B$4:$B$150,$B32)/1000)</f>
        <v>1529.728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71.36550853</v>
      </c>
      <c r="E34" s="11">
        <f>IF(E$3=0,"",SUMIFS(INDEX(Inputs!$D$4:$AG$150,0,MATCH(E$2,Inputs!$D$2:$AG$2,0)),Inputs!$B$4:$B$150,$B34)/1000)</f>
        <v>68.69276446</v>
      </c>
      <c r="F34" s="11">
        <f>IF(F$3=0,"",SUMIFS(INDEX(Inputs!$D$4:$AG$150,0,MATCH(F$2,Inputs!$D$2:$AG$2,0)),Inputs!$B$4:$B$150,$B34)/1000)</f>
        <v>54.577</v>
      </c>
      <c r="G34" s="11">
        <f>IF(G$3=0,"",SUMIFS(INDEX(Inputs!$D$4:$AG$150,0,MATCH(G$2,Inputs!$D$2:$AG$2,0)),Inputs!$B$4:$B$150,$B34)/1000)</f>
        <v>61.137</v>
      </c>
      <c r="H34" s="12">
        <f>IF(G34="","",G34)</f>
        <v>61.137</v>
      </c>
      <c r="I34" s="11">
        <f>IF(I$3=0,"",SUMIFS(INDEX(Inputs!$D$4:$AG$150,0,MATCH(I$2,Inputs!$D$2:$AG$2,0)),Inputs!$B$4:$B$150,$B34)/1000)</f>
        <v>70.026</v>
      </c>
      <c r="J34" s="11">
        <f>IF(J$3=0,"",SUMIFS(INDEX(Inputs!$D$4:$AG$150,0,MATCH(J$2,Inputs!$D$2:$AG$2,0)),Inputs!$B$4:$B$150,$B34)/1000)</f>
        <v>78.059</v>
      </c>
      <c r="K34" s="11">
        <f>IF(K$3=0,"",SUMIFS(INDEX(Inputs!$D$4:$AG$150,0,MATCH(K$2,Inputs!$D$2:$AG$2,0)),Inputs!$B$4:$B$150,$B34)/1000)</f>
        <v>77.645</v>
      </c>
      <c r="L34" s="11">
        <f>IF(L$3=0,"",SUMIFS(INDEX(Inputs!$D$4:$AG$150,0,MATCH(L$2,Inputs!$D$2:$AG$2,0)),Inputs!$B$4:$B$150,$B34)/1000)</f>
        <v>80.274</v>
      </c>
      <c r="M34" s="12">
        <f>IF(L34="","",L34)</f>
        <v>80.274</v>
      </c>
      <c r="N34" s="11">
        <f>IF(N$3=0,"",SUMIFS(INDEX(Inputs!$D$4:$AG$150,0,MATCH(N$2,Inputs!$D$2:$AG$2,0)),Inputs!$B$4:$B$150,$B34)/1000)</f>
        <v>81.877</v>
      </c>
      <c r="O34" s="11">
        <f>IF(O$3=0,"",SUMIFS(INDEX(Inputs!$D$4:$AG$150,0,MATCH(O$2,Inputs!$D$2:$AG$2,0)),Inputs!$B$4:$B$150,$B34)/1000)</f>
        <v>53.549</v>
      </c>
      <c r="P34" s="11">
        <f>IF(P$3=0,"",SUMIFS(INDEX(Inputs!$D$4:$AG$150,0,MATCH(P$2,Inputs!$D$2:$AG$2,0)),Inputs!$B$4:$B$150,$B34)/1000)</f>
        <v>35.351</v>
      </c>
      <c r="Q34" s="11">
        <f>IF(Q$3=0,"",SUMIFS(INDEX(Inputs!$D$4:$AG$150,0,MATCH(Q$2,Inputs!$D$2:$AG$2,0)),Inputs!$B$4:$B$150,$B34)/1000)</f>
        <v>35.626</v>
      </c>
      <c r="R34" s="12">
        <f>IF(Q34="","",Q34)</f>
        <v>35.626</v>
      </c>
      <c r="S34" s="11">
        <f>IF(S$3=0,"",SUMIFS(INDEX(Inputs!$D$4:$AG$150,0,MATCH(S$2,Inputs!$D$2:$AG$2,0)),Inputs!$B$4:$B$150,$B34)/1000)</f>
        <v>111.74</v>
      </c>
      <c r="T34" s="11">
        <f>IF(T$3=0,"",SUMIFS(INDEX(Inputs!$D$4:$AG$150,0,MATCH(T$2,Inputs!$D$2:$AG$2,0)),Inputs!$B$4:$B$150,$B34)/1000)</f>
        <v>102.545</v>
      </c>
      <c r="U34" s="11">
        <f>IF(U$3=0,"",SUMIFS(INDEX(Inputs!$D$4:$AG$150,0,MATCH(U$2,Inputs!$D$2:$AG$2,0)),Inputs!$B$4:$B$150,$B34)/1000)</f>
        <v>100.131</v>
      </c>
      <c r="V34" s="11">
        <f>IF(V$3=0,"",SUMIFS(INDEX(Inputs!$D$4:$AG$150,0,MATCH(V$2,Inputs!$D$2:$AG$2,0)),Inputs!$B$4:$B$150,$B34)/1000)</f>
        <v>79.464</v>
      </c>
      <c r="W34" s="12">
        <f>IF(V34="","",V34)</f>
        <v>79.464</v>
      </c>
      <c r="X34" s="11">
        <f>IF(X$3=0,"",SUMIFS(INDEX(Inputs!$D$4:$AG$150,0,MATCH(X$2,Inputs!$D$2:$AG$2,0)),Inputs!$B$4:$B$150,$B34)/1000)</f>
        <v>113.741</v>
      </c>
      <c r="Y34" s="11">
        <f>IF(Y$3=0,"",SUMIFS(INDEX(Inputs!$D$4:$AG$150,0,MATCH(Y$2,Inputs!$D$2:$AG$2,0)),Inputs!$B$4:$B$150,$B34)/1000)</f>
        <v>227.857</v>
      </c>
      <c r="Z34" s="11">
        <f>IF(Z$3=0,"",SUMIFS(INDEX(Inputs!$D$4:$AG$150,0,MATCH(Z$2,Inputs!$D$2:$AG$2,0)),Inputs!$B$4:$B$150,$B34)/1000)</f>
        <v>274.631</v>
      </c>
      <c r="AA34" s="11">
        <f>IF(AA$3=0,"",SUMIFS(INDEX(Inputs!$D$4:$AG$150,0,MATCH(AA$2,Inputs!$D$2:$AG$2,0)),Inputs!$B$4:$B$150,$B34)/1000)</f>
        <v>262.15</v>
      </c>
      <c r="AB34" s="12">
        <f>IF(AA34="","",AA34)</f>
        <v>262.15</v>
      </c>
      <c r="AC34" s="11">
        <f>IF(AC$3=0,"",SUMIFS(INDEX(Inputs!$D$4:$AG$150,0,MATCH(AC$2,Inputs!$D$2:$AG$2,0)),Inputs!$B$4:$B$150,$B34)/1000)</f>
        <v>262.498</v>
      </c>
      <c r="AD34" s="11">
        <f>IF(AD$3=0,"",SUMIFS(INDEX(Inputs!$D$4:$AG$150,0,MATCH(AD$2,Inputs!$D$2:$AG$2,0)),Inputs!$B$4:$B$150,$B34)/1000)</f>
        <v>250.873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482.81073958</v>
      </c>
      <c r="E35" s="11">
        <f>IF(E$3=0,"",SUMIFS(INDEX(Inputs!$D$4:$AG$150,0,MATCH(E$2,Inputs!$D$2:$AG$2,0)),Inputs!$B$4:$B$150,$B35)/1000)</f>
        <v>463.17617923</v>
      </c>
      <c r="F35" s="11">
        <f>IF(F$3=0,"",SUMIFS(INDEX(Inputs!$D$4:$AG$150,0,MATCH(F$2,Inputs!$D$2:$AG$2,0)),Inputs!$B$4:$B$150,$B35)/1000)</f>
        <v>445.125</v>
      </c>
      <c r="G35" s="11">
        <f>IF(G$3=0,"",SUMIFS(INDEX(Inputs!$D$4:$AG$150,0,MATCH(G$2,Inputs!$D$2:$AG$2,0)),Inputs!$B$4:$B$150,$B35)/1000)</f>
        <v>869.537</v>
      </c>
      <c r="H35" s="12">
        <f>IF(G35="","",G35)</f>
        <v>869.537</v>
      </c>
      <c r="I35" s="11">
        <f>IF(I$3=0,"",SUMIFS(INDEX(Inputs!$D$4:$AG$150,0,MATCH(I$2,Inputs!$D$2:$AG$2,0)),Inputs!$B$4:$B$150,$B35)/1000)</f>
        <v>872.031</v>
      </c>
      <c r="J35" s="11">
        <f>IF(J$3=0,"",SUMIFS(INDEX(Inputs!$D$4:$AG$150,0,MATCH(J$2,Inputs!$D$2:$AG$2,0)),Inputs!$B$4:$B$150,$B35)/1000)</f>
        <v>876.531</v>
      </c>
      <c r="K35" s="11">
        <f>IF(K$3=0,"",SUMIFS(INDEX(Inputs!$D$4:$AG$150,0,MATCH(K$2,Inputs!$D$2:$AG$2,0)),Inputs!$B$4:$B$150,$B35)/1000)</f>
        <v>1641.207</v>
      </c>
      <c r="L35" s="11">
        <f>IF(L$3=0,"",SUMIFS(INDEX(Inputs!$D$4:$AG$150,0,MATCH(L$2,Inputs!$D$2:$AG$2,0)),Inputs!$B$4:$B$150,$B35)/1000)</f>
        <v>1638.222</v>
      </c>
      <c r="M35" s="12">
        <f>IF(L35="","",L35)</f>
        <v>1638.222</v>
      </c>
      <c r="N35" s="11">
        <f>IF(N$3=0,"",SUMIFS(INDEX(Inputs!$D$4:$AG$150,0,MATCH(N$2,Inputs!$D$2:$AG$2,0)),Inputs!$B$4:$B$150,$B35)/1000)</f>
        <v>1616.264</v>
      </c>
      <c r="O35" s="11">
        <f>IF(O$3=0,"",SUMIFS(INDEX(Inputs!$D$4:$AG$150,0,MATCH(O$2,Inputs!$D$2:$AG$2,0)),Inputs!$B$4:$B$150,$B35)/1000)</f>
        <v>1582.105</v>
      </c>
      <c r="P35" s="11">
        <f>IF(P$3=0,"",SUMIFS(INDEX(Inputs!$D$4:$AG$150,0,MATCH(P$2,Inputs!$D$2:$AG$2,0)),Inputs!$B$4:$B$150,$B35)/1000)</f>
        <v>1546.724</v>
      </c>
      <c r="Q35" s="11">
        <f>IF(Q$3=0,"",SUMIFS(INDEX(Inputs!$D$4:$AG$150,0,MATCH(Q$2,Inputs!$D$2:$AG$2,0)),Inputs!$B$4:$B$150,$B35)/1000)</f>
        <v>1313.982</v>
      </c>
      <c r="R35" s="12">
        <f>IF(Q35="","",Q35)</f>
        <v>1313.982</v>
      </c>
      <c r="S35" s="11">
        <f>IF(S$3=0,"",SUMIFS(INDEX(Inputs!$D$4:$AG$150,0,MATCH(S$2,Inputs!$D$2:$AG$2,0)),Inputs!$B$4:$B$150,$B35)/1000)</f>
        <v>1305.794</v>
      </c>
      <c r="T35" s="11">
        <f>IF(T$3=0,"",SUMIFS(INDEX(Inputs!$D$4:$AG$150,0,MATCH(T$2,Inputs!$D$2:$AG$2,0)),Inputs!$B$4:$B$150,$B35)/1000)</f>
        <v>1287.123</v>
      </c>
      <c r="U35" s="11">
        <f>IF(U$3=0,"",SUMIFS(INDEX(Inputs!$D$4:$AG$150,0,MATCH(U$2,Inputs!$D$2:$AG$2,0)),Inputs!$B$4:$B$150,$B35)/1000)</f>
        <v>1259.718</v>
      </c>
      <c r="V35" s="11">
        <f>IF(V$3=0,"",SUMIFS(INDEX(Inputs!$D$4:$AG$150,0,MATCH(V$2,Inputs!$D$2:$AG$2,0)),Inputs!$B$4:$B$150,$B35)/1000)</f>
        <v>1852.872</v>
      </c>
      <c r="W35" s="12">
        <f>IF(V35="","",V35)</f>
        <v>1852.872</v>
      </c>
      <c r="X35" s="11">
        <f>IF(X$3=0,"",SUMIFS(INDEX(Inputs!$D$4:$AG$150,0,MATCH(X$2,Inputs!$D$2:$AG$2,0)),Inputs!$B$4:$B$150,$B35)/1000)</f>
        <v>1885.998</v>
      </c>
      <c r="Y35" s="11">
        <f>IF(Y$3=0,"",SUMIFS(INDEX(Inputs!$D$4:$AG$150,0,MATCH(Y$2,Inputs!$D$2:$AG$2,0)),Inputs!$B$4:$B$150,$B35)/1000)</f>
        <v>1866.925</v>
      </c>
      <c r="Z35" s="11">
        <f>IF(Z$3=0,"",SUMIFS(INDEX(Inputs!$D$4:$AG$150,0,MATCH(Z$2,Inputs!$D$2:$AG$2,0)),Inputs!$B$4:$B$150,$B35)/1000)</f>
        <v>2086.176</v>
      </c>
      <c r="AA35" s="11">
        <f>IF(AA$3=0,"",SUMIFS(INDEX(Inputs!$D$4:$AG$150,0,MATCH(AA$2,Inputs!$D$2:$AG$2,0)),Inputs!$B$4:$B$150,$B35)/1000)</f>
        <v>1656.368</v>
      </c>
      <c r="AB35" s="12">
        <f>IF(AA35="","",AA35)</f>
        <v>1656.368</v>
      </c>
      <c r="AC35" s="11">
        <f>IF(AC$3=0,"",SUMIFS(INDEX(Inputs!$D$4:$AG$150,0,MATCH(AC$2,Inputs!$D$2:$AG$2,0)),Inputs!$B$4:$B$150,$B35)/1000)</f>
        <v>1182.868</v>
      </c>
      <c r="AD35" s="11">
        <f>IF(AD$3=0,"",SUMIFS(INDEX(Inputs!$D$4:$AG$150,0,MATCH(AD$2,Inputs!$D$2:$AG$2,0)),Inputs!$B$4:$B$150,$B35)/1000)</f>
        <v>1194.648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590.83199564</v>
      </c>
      <c r="E36" s="11">
        <f>IF(E$3=0,"",SUMIFS(INDEX(Inputs!$D$4:$AG$150,0,MATCH(E$2,Inputs!$D$2:$AG$2,0)),Inputs!$B$4:$B$150,$B36)/1000)</f>
        <v>634.57322806</v>
      </c>
      <c r="F36" s="11">
        <f>IF(F$3=0,"",SUMIFS(INDEX(Inputs!$D$4:$AG$150,0,MATCH(F$2,Inputs!$D$2:$AG$2,0)),Inputs!$B$4:$B$150,$B36)/1000)</f>
        <v>813.529</v>
      </c>
      <c r="G36" s="11">
        <f>IF(G$3=0,"",SUMIFS(INDEX(Inputs!$D$4:$AG$150,0,MATCH(G$2,Inputs!$D$2:$AG$2,0)),Inputs!$B$4:$B$150,$B36)/1000)</f>
        <v>890.536</v>
      </c>
      <c r="H36" s="12">
        <f>IF(G36="","",G36)</f>
        <v>890.536</v>
      </c>
      <c r="I36" s="11">
        <f>IF(I$3=0,"",SUMIFS(INDEX(Inputs!$D$4:$AG$150,0,MATCH(I$2,Inputs!$D$2:$AG$2,0)),Inputs!$B$4:$B$150,$B36)/1000)</f>
        <v>979.426</v>
      </c>
      <c r="J36" s="11">
        <f>IF(J$3=0,"",SUMIFS(INDEX(Inputs!$D$4:$AG$150,0,MATCH(J$2,Inputs!$D$2:$AG$2,0)),Inputs!$B$4:$B$150,$B36)/1000)</f>
        <v>1175.417</v>
      </c>
      <c r="K36" s="11">
        <f>IF(K$3=0,"",SUMIFS(INDEX(Inputs!$D$4:$AG$150,0,MATCH(K$2,Inputs!$D$2:$AG$2,0)),Inputs!$B$4:$B$150,$B36)/1000)</f>
        <v>1248.706</v>
      </c>
      <c r="L36" s="11">
        <f>IF(L$3=0,"",SUMIFS(INDEX(Inputs!$D$4:$AG$150,0,MATCH(L$2,Inputs!$D$2:$AG$2,0)),Inputs!$B$4:$B$150,$B36)/1000)</f>
        <v>1257.061</v>
      </c>
      <c r="M36" s="12">
        <f>IF(L36="","",L36)</f>
        <v>1257.061</v>
      </c>
      <c r="N36" s="11">
        <f>IF(N$3=0,"",SUMIFS(INDEX(Inputs!$D$4:$AG$150,0,MATCH(N$2,Inputs!$D$2:$AG$2,0)),Inputs!$B$4:$B$150,$B36)/1000)</f>
        <v>1332.143</v>
      </c>
      <c r="O36" s="11">
        <f>IF(O$3=0,"",SUMIFS(INDEX(Inputs!$D$4:$AG$150,0,MATCH(O$2,Inputs!$D$2:$AG$2,0)),Inputs!$B$4:$B$150,$B36)/1000)</f>
        <v>1603.235</v>
      </c>
      <c r="P36" s="11">
        <f>IF(P$3=0,"",SUMIFS(INDEX(Inputs!$D$4:$AG$150,0,MATCH(P$2,Inputs!$D$2:$AG$2,0)),Inputs!$B$4:$B$150,$B36)/1000)</f>
        <v>1839.131</v>
      </c>
      <c r="Q36" s="11">
        <f>IF(Q$3=0,"",SUMIFS(INDEX(Inputs!$D$4:$AG$150,0,MATCH(Q$2,Inputs!$D$2:$AG$2,0)),Inputs!$B$4:$B$150,$B36)/1000)</f>
        <v>1927.542</v>
      </c>
      <c r="R36" s="12">
        <f>IF(Q36="","",Q36)</f>
        <v>1927.542</v>
      </c>
      <c r="S36" s="11">
        <f>IF(S$3=0,"",SUMIFS(INDEX(Inputs!$D$4:$AG$150,0,MATCH(S$2,Inputs!$D$2:$AG$2,0)),Inputs!$B$4:$B$150,$B36)/1000)</f>
        <v>2030.806</v>
      </c>
      <c r="T36" s="11">
        <f>IF(T$3=0,"",SUMIFS(INDEX(Inputs!$D$4:$AG$150,0,MATCH(T$2,Inputs!$D$2:$AG$2,0)),Inputs!$B$4:$B$150,$B36)/1000)</f>
        <v>1891.562</v>
      </c>
      <c r="U36" s="11">
        <f>IF(U$3=0,"",SUMIFS(INDEX(Inputs!$D$4:$AG$150,0,MATCH(U$2,Inputs!$D$2:$AG$2,0)),Inputs!$B$4:$B$150,$B36)/1000)</f>
        <v>1926.101</v>
      </c>
      <c r="V36" s="11">
        <f>IF(V$3=0,"",SUMIFS(INDEX(Inputs!$D$4:$AG$150,0,MATCH(V$2,Inputs!$D$2:$AG$2,0)),Inputs!$B$4:$B$150,$B36)/1000)</f>
        <v>2089.299</v>
      </c>
      <c r="W36" s="12">
        <f>IF(V36="","",V36)</f>
        <v>2089.299</v>
      </c>
      <c r="X36" s="11">
        <f>IF(X$3=0,"",SUMIFS(INDEX(Inputs!$D$4:$AG$150,0,MATCH(X$2,Inputs!$D$2:$AG$2,0)),Inputs!$B$4:$B$150,$B36)/1000)</f>
        <v>2393.571</v>
      </c>
      <c r="Y36" s="11">
        <f>IF(Y$3=0,"",SUMIFS(INDEX(Inputs!$D$4:$AG$150,0,MATCH(Y$2,Inputs!$D$2:$AG$2,0)),Inputs!$B$4:$B$150,$B36)/1000)</f>
        <v>2597.466</v>
      </c>
      <c r="Z36" s="11">
        <f>IF(Z$3=0,"",SUMIFS(INDEX(Inputs!$D$4:$AG$150,0,MATCH(Z$2,Inputs!$D$2:$AG$2,0)),Inputs!$B$4:$B$150,$B36)/1000)</f>
        <v>3513.56</v>
      </c>
      <c r="AA36" s="11">
        <f>IF(AA$3=0,"",SUMIFS(INDEX(Inputs!$D$4:$AG$150,0,MATCH(AA$2,Inputs!$D$2:$AG$2,0)),Inputs!$B$4:$B$150,$B36)/1000)</f>
        <v>3657.119</v>
      </c>
      <c r="AB36" s="12">
        <f>IF(AA36="","",AA36)</f>
        <v>3657.119</v>
      </c>
      <c r="AC36" s="11">
        <f>IF(AC$3=0,"",SUMIFS(INDEX(Inputs!$D$4:$AG$150,0,MATCH(AC$2,Inputs!$D$2:$AG$2,0)),Inputs!$B$4:$B$150,$B36)/1000)</f>
        <v>3709.792</v>
      </c>
      <c r="AD36" s="11">
        <f>IF(AD$3=0,"",SUMIFS(INDEX(Inputs!$D$4:$AG$150,0,MATCH(AD$2,Inputs!$D$2:$AG$2,0)),Inputs!$B$4:$B$150,$B36)/1000)</f>
        <v>3908.547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26.377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70.70279128</v>
      </c>
      <c r="E39" s="11">
        <f>IF(E$3=0,"",SUMIFS(INDEX(Inputs!$D$4:$AG$150,0,MATCH(E$2,Inputs!$D$2:$AG$2,0)),Inputs!$B$4:$B$150,$B39)/1000)</f>
        <v>73.72736926</v>
      </c>
      <c r="F39" s="11">
        <f>IF(F$3=0,"",SUMIFS(INDEX(Inputs!$D$4:$AG$150,0,MATCH(F$2,Inputs!$D$2:$AG$2,0)),Inputs!$B$4:$B$150,$B39)/1000)</f>
        <v>111.487</v>
      </c>
      <c r="G39" s="11">
        <f>IF(G$3=0,"",SUMIFS(INDEX(Inputs!$D$4:$AG$150,0,MATCH(G$2,Inputs!$D$2:$AG$2,0)),Inputs!$B$4:$B$150,$B39)/1000)</f>
        <v>68</v>
      </c>
      <c r="H39" s="12">
        <f>IF(G39="","",G39)</f>
        <v>68</v>
      </c>
      <c r="I39" s="11">
        <f>IF(I$3=0,"",SUMIFS(INDEX(Inputs!$D$4:$AG$150,0,MATCH(I$2,Inputs!$D$2:$AG$2,0)),Inputs!$B$4:$B$150,$B39)/1000)</f>
        <v>65.393</v>
      </c>
      <c r="J39" s="11">
        <f>IF(J$3=0,"",SUMIFS(INDEX(Inputs!$D$4:$AG$150,0,MATCH(J$2,Inputs!$D$2:$AG$2,0)),Inputs!$B$4:$B$150,$B39)/1000)</f>
        <v>69.05744904</v>
      </c>
      <c r="K39" s="11">
        <f>IF(K$3=0,"",SUMIFS(INDEX(Inputs!$D$4:$AG$150,0,MATCH(K$2,Inputs!$D$2:$AG$2,0)),Inputs!$B$4:$B$150,$B39)/1000)</f>
        <v>57.908938</v>
      </c>
      <c r="L39" s="11">
        <f>IF(L$3=0,"",SUMIFS(INDEX(Inputs!$D$4:$AG$150,0,MATCH(L$2,Inputs!$D$2:$AG$2,0)),Inputs!$B$4:$B$150,$B39)/1000)</f>
        <v>73.32394475</v>
      </c>
      <c r="M39" s="12">
        <f>IF(L39="","",L39)</f>
        <v>73.32394475</v>
      </c>
      <c r="N39" s="11">
        <f>IF(N$3=0,"",SUMIFS(INDEX(Inputs!$D$4:$AG$150,0,MATCH(N$2,Inputs!$D$2:$AG$2,0)),Inputs!$B$4:$B$150,$B39)/1000)</f>
        <v>65.81522189</v>
      </c>
      <c r="O39" s="11">
        <f>IF(O$3=0,"",SUMIFS(INDEX(Inputs!$D$4:$AG$150,0,MATCH(O$2,Inputs!$D$2:$AG$2,0)),Inputs!$B$4:$B$150,$B39)/1000)</f>
        <v>73.384</v>
      </c>
      <c r="P39" s="11">
        <f>IF(P$3=0,"",SUMIFS(INDEX(Inputs!$D$4:$AG$150,0,MATCH(P$2,Inputs!$D$2:$AG$2,0)),Inputs!$B$4:$B$150,$B39)/1000)</f>
        <v>75.169</v>
      </c>
      <c r="Q39" s="11">
        <f>IF(Q$3=0,"",SUMIFS(INDEX(Inputs!$D$4:$AG$150,0,MATCH(Q$2,Inputs!$D$2:$AG$2,0)),Inputs!$B$4:$B$150,$B39)/1000)</f>
        <v>106.52879394</v>
      </c>
      <c r="R39" s="12">
        <f>IF(Q39="","",Q39)</f>
        <v>106.52879394</v>
      </c>
      <c r="S39" s="11">
        <f>IF(S$3=0,"",SUMIFS(INDEX(Inputs!$D$4:$AG$150,0,MATCH(S$2,Inputs!$D$2:$AG$2,0)),Inputs!$B$4:$B$150,$B39)/1000)</f>
        <v>112.604</v>
      </c>
      <c r="T39" s="11">
        <f>IF(T$3=0,"",SUMIFS(INDEX(Inputs!$D$4:$AG$150,0,MATCH(T$2,Inputs!$D$2:$AG$2,0)),Inputs!$B$4:$B$150,$B39)/1000)</f>
        <v>105.682</v>
      </c>
      <c r="U39" s="11">
        <f>IF(U$3=0,"",SUMIFS(INDEX(Inputs!$D$4:$AG$150,0,MATCH(U$2,Inputs!$D$2:$AG$2,0)),Inputs!$B$4:$B$150,$B39)/1000)</f>
        <v>99.352</v>
      </c>
      <c r="V39" s="11">
        <f>IF(V$3=0,"",SUMIFS(INDEX(Inputs!$D$4:$AG$150,0,MATCH(V$2,Inputs!$D$2:$AG$2,0)),Inputs!$B$4:$B$150,$B39)/1000)</f>
        <v>380.453</v>
      </c>
      <c r="W39" s="12">
        <f>IF(V39="","",V39)</f>
        <v>380.453</v>
      </c>
      <c r="X39" s="11">
        <f>IF(X$3=0,"",SUMIFS(INDEX(Inputs!$D$4:$AG$150,0,MATCH(X$2,Inputs!$D$2:$AG$2,0)),Inputs!$B$4:$B$150,$B39)/1000)</f>
        <v>474.012</v>
      </c>
      <c r="Y39" s="11">
        <f>IF(Y$3=0,"",SUMIFS(INDEX(Inputs!$D$4:$AG$150,0,MATCH(Y$2,Inputs!$D$2:$AG$2,0)),Inputs!$B$4:$B$150,$B39)/1000)</f>
        <v>540.041</v>
      </c>
      <c r="Z39" s="11">
        <f>IF(Z$3=0,"",SUMIFS(INDEX(Inputs!$D$4:$AG$150,0,MATCH(Z$2,Inputs!$D$2:$AG$2,0)),Inputs!$B$4:$B$150,$B39)/1000)</f>
        <v>403.291</v>
      </c>
      <c r="AA39" s="11">
        <f>IF(AA$3=0,"",SUMIFS(INDEX(Inputs!$D$4:$AG$150,0,MATCH(AA$2,Inputs!$D$2:$AG$2,0)),Inputs!$B$4:$B$150,$B39)/1000)</f>
        <v>233.666</v>
      </c>
      <c r="AB39" s="12">
        <f>IF(AA39="","",AA39)</f>
        <v>233.666</v>
      </c>
      <c r="AC39" s="11">
        <f>IF(AC$3=0,"",SUMIFS(INDEX(Inputs!$D$4:$AG$150,0,MATCH(AC$2,Inputs!$D$2:$AG$2,0)),Inputs!$B$4:$B$150,$B39)/1000)</f>
        <v>280.673</v>
      </c>
      <c r="AD39" s="11">
        <f>IF(AD$3=0,"",SUMIFS(INDEX(Inputs!$D$4:$AG$150,0,MATCH(AD$2,Inputs!$D$2:$AG$2,0)),Inputs!$B$4:$B$150,$B39)/1000)</f>
        <v>190.262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64.457</v>
      </c>
      <c r="E41" s="11">
        <f>IF(E$3=0,"",SUMIFS(INDEX(Inputs!$D$4:$AG$150,0,MATCH(E$2,Inputs!$D$2:$AG$2,0)),Inputs!$B$4:$B$150,$B41)/1000)</f>
        <v>67.415</v>
      </c>
      <c r="F41" s="11">
        <f>IF(F$3=0,"",SUMIFS(INDEX(Inputs!$D$4:$AG$150,0,MATCH(F$2,Inputs!$D$2:$AG$2,0)),Inputs!$B$4:$B$150,$B41)/1000)</f>
        <v>70.928</v>
      </c>
      <c r="G41" s="11">
        <f>IF(G$3=0,"",SUMIFS(INDEX(Inputs!$D$4:$AG$150,0,MATCH(G$2,Inputs!$D$2:$AG$2,0)),Inputs!$B$4:$B$150,$B41)/1000)</f>
        <v>73.394</v>
      </c>
      <c r="H41" s="12">
        <f>IF(G41="","",G41)</f>
        <v>73.394</v>
      </c>
      <c r="I41" s="11">
        <f>IF(I$3=0,"",SUMIFS(INDEX(Inputs!$D$4:$AG$150,0,MATCH(I$2,Inputs!$D$2:$AG$2,0)),Inputs!$B$4:$B$150,$B41)/1000)</f>
        <v>75.89</v>
      </c>
      <c r="J41" s="11">
        <f>IF(J$3=0,"",SUMIFS(INDEX(Inputs!$D$4:$AG$150,0,MATCH(J$2,Inputs!$D$2:$AG$2,0)),Inputs!$B$4:$B$150,$B41)/1000)</f>
        <v>79.272</v>
      </c>
      <c r="K41" s="11">
        <f>IF(K$3=0,"",SUMIFS(INDEX(Inputs!$D$4:$AG$150,0,MATCH(K$2,Inputs!$D$2:$AG$2,0)),Inputs!$B$4:$B$150,$B41)/1000)</f>
        <v>82.943</v>
      </c>
      <c r="L41" s="11">
        <f>IF(L$3=0,"",SUMIFS(INDEX(Inputs!$D$4:$AG$150,0,MATCH(L$2,Inputs!$D$2:$AG$2,0)),Inputs!$B$4:$B$150,$B41)/1000)</f>
        <v>86.379</v>
      </c>
      <c r="M41" s="12">
        <f>IF(L41="","",L41)</f>
        <v>86.379</v>
      </c>
      <c r="N41" s="11">
        <f>IF(N$3=0,"",SUMIFS(INDEX(Inputs!$D$4:$AG$150,0,MATCH(N$2,Inputs!$D$2:$AG$2,0)),Inputs!$B$4:$B$150,$B41)/1000)</f>
        <v>89.2724</v>
      </c>
      <c r="O41" s="11">
        <f>IF(O$3=0,"",SUMIFS(INDEX(Inputs!$D$4:$AG$150,0,MATCH(O$2,Inputs!$D$2:$AG$2,0)),Inputs!$B$4:$B$150,$B41)/1000)</f>
        <v>93.836</v>
      </c>
      <c r="P41" s="11">
        <f>IF(P$3=0,"",SUMIFS(INDEX(Inputs!$D$4:$AG$150,0,MATCH(P$2,Inputs!$D$2:$AG$2,0)),Inputs!$B$4:$B$150,$B41)/1000)</f>
        <v>98.03</v>
      </c>
      <c r="Q41" s="11">
        <f>IF(Q$3=0,"",SUMIFS(INDEX(Inputs!$D$4:$AG$150,0,MATCH(Q$2,Inputs!$D$2:$AG$2,0)),Inputs!$B$4:$B$150,$B41)/1000)</f>
        <v>101.241</v>
      </c>
      <c r="R41" s="12">
        <f>IF(Q41="","",Q41)</f>
        <v>101.241</v>
      </c>
      <c r="S41" s="11">
        <f>IF(S$3=0,"",SUMIFS(INDEX(Inputs!$D$4:$AG$150,0,MATCH(S$2,Inputs!$D$2:$AG$2,0)),Inputs!$B$4:$B$150,$B41)/1000)</f>
        <v>103.804</v>
      </c>
      <c r="T41" s="11">
        <f>IF(T$3=0,"",SUMIFS(INDEX(Inputs!$D$4:$AG$150,0,MATCH(T$2,Inputs!$D$2:$AG$2,0)),Inputs!$B$4:$B$150,$B41)/1000)</f>
        <v>108.517</v>
      </c>
      <c r="U41" s="11">
        <f>IF(U$3=0,"",SUMIFS(INDEX(Inputs!$D$4:$AG$150,0,MATCH(U$2,Inputs!$D$2:$AG$2,0)),Inputs!$B$4:$B$150,$B41)/1000)</f>
        <v>121.956</v>
      </c>
      <c r="V41" s="11">
        <f>IF(V$3=0,"",SUMIFS(INDEX(Inputs!$D$4:$AG$150,0,MATCH(V$2,Inputs!$D$2:$AG$2,0)),Inputs!$B$4:$B$150,$B41)/1000)</f>
        <v>76.683</v>
      </c>
      <c r="W41" s="12">
        <f>IF(V41="","",V41)</f>
        <v>76.683</v>
      </c>
      <c r="X41" s="11">
        <f>IF(X$3=0,"",SUMIFS(INDEX(Inputs!$D$4:$AG$150,0,MATCH(X$2,Inputs!$D$2:$AG$2,0)),Inputs!$B$4:$B$150,$B41)/1000)</f>
        <v>79.696</v>
      </c>
      <c r="Y41" s="11">
        <f>IF(Y$3=0,"",SUMIFS(INDEX(Inputs!$D$4:$AG$150,0,MATCH(Y$2,Inputs!$D$2:$AG$2,0)),Inputs!$B$4:$B$150,$B41)/1000)</f>
        <v>85.385</v>
      </c>
      <c r="Z41" s="11">
        <f>IF(Z$3=0,"",SUMIFS(INDEX(Inputs!$D$4:$AG$150,0,MATCH(Z$2,Inputs!$D$2:$AG$2,0)),Inputs!$B$4:$B$150,$B41)/1000)</f>
        <v>1058.071</v>
      </c>
      <c r="AA41" s="11">
        <f>IF(AA$3=0,"",SUMIFS(INDEX(Inputs!$D$4:$AG$150,0,MATCH(AA$2,Inputs!$D$2:$AG$2,0)),Inputs!$B$4:$B$150,$B41)/1000)</f>
        <v>1083.859</v>
      </c>
      <c r="AB41" s="12">
        <f>IF(AA41="","",AA41)</f>
        <v>1083.859</v>
      </c>
      <c r="AC41" s="11">
        <f>IF(AC$3=0,"",SUMIFS(INDEX(Inputs!$D$4:$AG$150,0,MATCH(AC$2,Inputs!$D$2:$AG$2,0)),Inputs!$B$4:$B$150,$B41)/1000)</f>
        <v>1061.9</v>
      </c>
      <c r="AD41" s="11">
        <f>IF(AD$3=0,"",SUMIFS(INDEX(Inputs!$D$4:$AG$150,0,MATCH(AD$2,Inputs!$D$2:$AG$2,0)),Inputs!$B$4:$B$150,$B41)/1000)</f>
        <v>1160.623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4825.14645592</v>
      </c>
      <c r="E43" s="11">
        <f>IF(E$3=0,"",SUMIFS(INDEX(Inputs!$D$4:$AG$150,0,MATCH(E$2,Inputs!$D$2:$AG$2,0)),Inputs!$B$4:$B$150,$B43)/1000)</f>
        <v>4825.14615592</v>
      </c>
      <c r="F43" s="11">
        <f>IF(F$3=0,"",SUMIFS(INDEX(Inputs!$D$4:$AG$150,0,MATCH(F$2,Inputs!$D$2:$AG$2,0)),Inputs!$B$4:$B$150,$B43)/1000)</f>
        <v>4825.146</v>
      </c>
      <c r="G43" s="11">
        <f>IF(G$3=0,"",SUMIFS(INDEX(Inputs!$D$4:$AG$150,0,MATCH(G$2,Inputs!$D$2:$AG$2,0)),Inputs!$B$4:$B$150,$B43)/1000)</f>
        <v>4825.146</v>
      </c>
      <c r="H43" s="12">
        <f>IF(G43="","",G43)</f>
        <v>4825.146</v>
      </c>
      <c r="I43" s="11">
        <f>IF(I$3=0,"",SUMIFS(INDEX(Inputs!$D$4:$AG$150,0,MATCH(I$2,Inputs!$D$2:$AG$2,0)),Inputs!$B$4:$B$150,$B43)/1000)</f>
        <v>4825.146</v>
      </c>
      <c r="J43" s="11">
        <f>IF(J$3=0,"",SUMIFS(INDEX(Inputs!$D$4:$AG$150,0,MATCH(J$2,Inputs!$D$2:$AG$2,0)),Inputs!$B$4:$B$150,$B43)/1000)</f>
        <v>4825.146</v>
      </c>
      <c r="K43" s="11">
        <f>IF(K$3=0,"",SUMIFS(INDEX(Inputs!$D$4:$AG$150,0,MATCH(K$2,Inputs!$D$2:$AG$2,0)),Inputs!$B$4:$B$150,$B43)/1000)</f>
        <v>4825.146</v>
      </c>
      <c r="L43" s="11">
        <f>IF(L$3=0,"",SUMIFS(INDEX(Inputs!$D$4:$AG$150,0,MATCH(L$2,Inputs!$D$2:$AG$2,0)),Inputs!$B$4:$B$150,$B43)/1000)</f>
        <v>4825.146</v>
      </c>
      <c r="M43" s="12">
        <f>IF(L43="","",L43)</f>
        <v>4825.146</v>
      </c>
      <c r="N43" s="11">
        <f>IF(N$3=0,"",SUMIFS(INDEX(Inputs!$D$4:$AG$150,0,MATCH(N$2,Inputs!$D$2:$AG$2,0)),Inputs!$B$4:$B$150,$B43)/1000)</f>
        <v>4825.146</v>
      </c>
      <c r="O43" s="11">
        <f>IF(O$3=0,"",SUMIFS(INDEX(Inputs!$D$4:$AG$150,0,MATCH(O$2,Inputs!$D$2:$AG$2,0)),Inputs!$B$4:$B$150,$B43)/1000)</f>
        <v>4825.146</v>
      </c>
      <c r="P43" s="11">
        <f>IF(P$3=0,"",SUMIFS(INDEX(Inputs!$D$4:$AG$150,0,MATCH(P$2,Inputs!$D$2:$AG$2,0)),Inputs!$B$4:$B$150,$B43)/1000)</f>
        <v>4822.166</v>
      </c>
      <c r="Q43" s="11">
        <f>IF(Q$3=0,"",SUMIFS(INDEX(Inputs!$D$4:$AG$150,0,MATCH(Q$2,Inputs!$D$2:$AG$2,0)),Inputs!$B$4:$B$150,$B43)/1000)</f>
        <v>8057.731</v>
      </c>
      <c r="R43" s="12">
        <f>IF(Q43="","",Q43)</f>
        <v>8057.731</v>
      </c>
      <c r="S43" s="11">
        <f>IF(S$3=0,"",SUMIFS(INDEX(Inputs!$D$4:$AG$150,0,MATCH(S$2,Inputs!$D$2:$AG$2,0)),Inputs!$B$4:$B$150,$B43)/1000)</f>
        <v>8057.731</v>
      </c>
      <c r="T43" s="11">
        <f>IF(T$3=0,"",SUMIFS(INDEX(Inputs!$D$4:$AG$150,0,MATCH(T$2,Inputs!$D$2:$AG$2,0)),Inputs!$B$4:$B$150,$B43)/1000)</f>
        <v>8057.731</v>
      </c>
      <c r="U43" s="11">
        <f>IF(U$3=0,"",SUMIFS(INDEX(Inputs!$D$4:$AG$150,0,MATCH(U$2,Inputs!$D$2:$AG$2,0)),Inputs!$B$4:$B$150,$B43)/1000)</f>
        <v>8057.731</v>
      </c>
      <c r="V43" s="11">
        <f>IF(V$3=0,"",SUMIFS(INDEX(Inputs!$D$4:$AG$150,0,MATCH(V$2,Inputs!$D$2:$AG$2,0)),Inputs!$B$4:$B$150,$B43)/1000)</f>
        <v>8346.465</v>
      </c>
      <c r="W43" s="12">
        <f>IF(V43="","",V43)</f>
        <v>8346.465</v>
      </c>
      <c r="X43" s="11">
        <f>IF(X$3=0,"",SUMIFS(INDEX(Inputs!$D$4:$AG$150,0,MATCH(X$2,Inputs!$D$2:$AG$2,0)),Inputs!$B$4:$B$150,$B43)/1000)</f>
        <v>8346.465</v>
      </c>
      <c r="Y43" s="11">
        <f>IF(Y$3=0,"",SUMIFS(INDEX(Inputs!$D$4:$AG$150,0,MATCH(Y$2,Inputs!$D$2:$AG$2,0)),Inputs!$B$4:$B$150,$B43)/1000)</f>
        <v>8346.465</v>
      </c>
      <c r="Z43" s="11">
        <f>IF(Z$3=0,"",SUMIFS(INDEX(Inputs!$D$4:$AG$150,0,MATCH(Z$2,Inputs!$D$2:$AG$2,0)),Inputs!$B$4:$B$150,$B43)/1000)</f>
        <v>8346.465</v>
      </c>
      <c r="AA43" s="11">
        <f>IF(AA$3=0,"",SUMIFS(INDEX(Inputs!$D$4:$AG$150,0,MATCH(AA$2,Inputs!$D$2:$AG$2,0)),Inputs!$B$4:$B$150,$B43)/1000)</f>
        <v>8359.399</v>
      </c>
      <c r="AB43" s="12">
        <f>IF(AA43="","",AA43)</f>
        <v>8359.399</v>
      </c>
      <c r="AC43" s="11">
        <f>IF(AC$3=0,"",SUMIFS(INDEX(Inputs!$D$4:$AG$150,0,MATCH(AC$2,Inputs!$D$2:$AG$2,0)),Inputs!$B$4:$B$150,$B43)/1000)</f>
        <v>8698.233</v>
      </c>
      <c r="AD43" s="11">
        <f>IF(AD$3=0,"",SUMIFS(INDEX(Inputs!$D$4:$AG$150,0,MATCH(AD$2,Inputs!$D$2:$AG$2,0)),Inputs!$B$4:$B$150,$B43)/1000)</f>
        <v>8698.233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-2.98</v>
      </c>
      <c r="R44" s="12">
        <f>IF(Q44="","",Q44)</f>
        <v>-2.98</v>
      </c>
      <c r="S44" s="11">
        <f>IF(S$3=0,"",SUMIFS(INDEX(Inputs!$D$4:$AG$150,0,MATCH(S$2,Inputs!$D$2:$AG$2,0)),Inputs!$B$4:$B$150,$B44)/1000)</f>
        <v>-2.98</v>
      </c>
      <c r="T44" s="11">
        <f>IF(T$3=0,"",SUMIFS(INDEX(Inputs!$D$4:$AG$150,0,MATCH(T$2,Inputs!$D$2:$AG$2,0)),Inputs!$B$4:$B$150,$B44)/1000)</f>
        <v>-13.798</v>
      </c>
      <c r="U44" s="11">
        <f>IF(U$3=0,"",SUMIFS(INDEX(Inputs!$D$4:$AG$150,0,MATCH(U$2,Inputs!$D$2:$AG$2,0)),Inputs!$B$4:$B$150,$B44)/1000)</f>
        <v>-4.095</v>
      </c>
      <c r="V44" s="11">
        <f>IF(V$3=0,"",SUMIFS(INDEX(Inputs!$D$4:$AG$150,0,MATCH(V$2,Inputs!$D$2:$AG$2,0)),Inputs!$B$4:$B$150,$B44)/1000)</f>
        <v>-4.095</v>
      </c>
      <c r="W44" s="12">
        <f>IF(V44="","",V44)</f>
        <v>-4.095</v>
      </c>
      <c r="X44" s="11">
        <f>IF(X$3=0,"",SUMIFS(INDEX(Inputs!$D$4:$AG$150,0,MATCH(X$2,Inputs!$D$2:$AG$2,0)),Inputs!$B$4:$B$150,$B44)/1000)</f>
        <v>-20.299</v>
      </c>
      <c r="Y44" s="11">
        <f>IF(Y$3=0,"",SUMIFS(INDEX(Inputs!$D$4:$AG$150,0,MATCH(Y$2,Inputs!$D$2:$AG$2,0)),Inputs!$B$4:$B$150,$B44)/1000)</f>
        <v>-9.419</v>
      </c>
      <c r="Z44" s="11">
        <f>IF(Z$3=0,"",SUMIFS(INDEX(Inputs!$D$4:$AG$150,0,MATCH(Z$2,Inputs!$D$2:$AG$2,0)),Inputs!$B$4:$B$150,$B44)/1000)</f>
        <v>-26.425</v>
      </c>
      <c r="AA44" s="11">
        <f>IF(AA$3=0,"",SUMIFS(INDEX(Inputs!$D$4:$AG$150,0,MATCH(AA$2,Inputs!$D$2:$AG$2,0)),Inputs!$B$4:$B$150,$B44)/1000)</f>
        <v>-26.425</v>
      </c>
      <c r="AB44" s="12">
        <f>IF(AA44="","",AA44)</f>
        <v>-26.425</v>
      </c>
      <c r="AC44" s="11">
        <f>IF(AC$3=0,"",SUMIFS(INDEX(Inputs!$D$4:$AG$150,0,MATCH(AC$2,Inputs!$D$2:$AG$2,0)),Inputs!$B$4:$B$150,$B44)/1000)</f>
        <v>-26.425</v>
      </c>
      <c r="AD44" s="11">
        <f>IF(AD$3=0,"",SUMIFS(INDEX(Inputs!$D$4:$AG$150,0,MATCH(AD$2,Inputs!$D$2:$AG$2,0)),Inputs!$B$4:$B$150,$B44)/1000)</f>
        <v>-14.284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0</v>
      </c>
      <c r="E45" s="11">
        <f>IF(E$3=0,"",SUMIFS(INDEX(Inputs!$D$4:$AG$150,0,MATCH(E$2,Inputs!$D$2:$AG$2,0)),Inputs!$B$4:$B$150,$B45)/1000)</f>
        <v>0</v>
      </c>
      <c r="F45" s="11">
        <f>IF(F$3=0,"",SUMIFS(INDEX(Inputs!$D$4:$AG$150,0,MATCH(F$2,Inputs!$D$2:$AG$2,0)),Inputs!$B$4:$B$150,$B45)/1000)</f>
        <v>0</v>
      </c>
      <c r="G45" s="11">
        <f>IF(G$3=0,"",SUMIFS(INDEX(Inputs!$D$4:$AG$150,0,MATCH(G$2,Inputs!$D$2:$AG$2,0)),Inputs!$B$4:$B$150,$B45)/1000)</f>
        <v>0</v>
      </c>
      <c r="H45" s="12">
        <f>IF(G45="","",G45)</f>
        <v>0</v>
      </c>
      <c r="I45" s="11">
        <f>IF(I$3=0,"",SUMIFS(INDEX(Inputs!$D$4:$AG$150,0,MATCH(I$2,Inputs!$D$2:$AG$2,0)),Inputs!$B$4:$B$150,$B45)/1000)</f>
        <v>0</v>
      </c>
      <c r="J45" s="11">
        <f>IF(J$3=0,"",SUMIFS(INDEX(Inputs!$D$4:$AG$150,0,MATCH(J$2,Inputs!$D$2:$AG$2,0)),Inputs!$B$4:$B$150,$B45)/1000)</f>
        <v>0</v>
      </c>
      <c r="K45" s="11">
        <f>IF(K$3=0,"",SUMIFS(INDEX(Inputs!$D$4:$AG$150,0,MATCH(K$2,Inputs!$D$2:$AG$2,0)),Inputs!$B$4:$B$150,$B45)/1000)</f>
        <v>0</v>
      </c>
      <c r="L45" s="11">
        <f>IF(L$3=0,"",SUMIFS(INDEX(Inputs!$D$4:$AG$150,0,MATCH(L$2,Inputs!$D$2:$AG$2,0)),Inputs!$B$4:$B$150,$B45)/1000)</f>
        <v>0</v>
      </c>
      <c r="M45" s="12">
        <f>IF(L45="","",L45)</f>
        <v>0</v>
      </c>
      <c r="N45" s="11">
        <f>IF(N$3=0,"",SUMIFS(INDEX(Inputs!$D$4:$AG$150,0,MATCH(N$2,Inputs!$D$2:$AG$2,0)),Inputs!$B$4:$B$150,$B45)/1000)</f>
        <v>0</v>
      </c>
      <c r="O45" s="11">
        <f>IF(O$3=0,"",SUMIFS(INDEX(Inputs!$D$4:$AG$150,0,MATCH(O$2,Inputs!$D$2:$AG$2,0)),Inputs!$B$4:$B$150,$B45)/1000)</f>
        <v>0</v>
      </c>
      <c r="P45" s="11">
        <f>IF(P$3=0,"",SUMIFS(INDEX(Inputs!$D$4:$AG$150,0,MATCH(P$2,Inputs!$D$2:$AG$2,0)),Inputs!$B$4:$B$150,$B45)/1000)</f>
        <v>0</v>
      </c>
      <c r="Q45" s="11">
        <f>IF(Q$3=0,"",SUMIFS(INDEX(Inputs!$D$4:$AG$150,0,MATCH(Q$2,Inputs!$D$2:$AG$2,0)),Inputs!$B$4:$B$150,$B45)/1000)</f>
        <v>0</v>
      </c>
      <c r="R45" s="12">
        <f>IF(Q45="","",Q45)</f>
        <v>0</v>
      </c>
      <c r="S45" s="11">
        <f>IF(S$3=0,"",SUMIFS(INDEX(Inputs!$D$4:$AG$150,0,MATCH(S$2,Inputs!$D$2:$AG$2,0)),Inputs!$B$4:$B$150,$B45)/1000)</f>
        <v>0</v>
      </c>
      <c r="T45" s="11">
        <f>IF(T$3=0,"",SUMIFS(INDEX(Inputs!$D$4:$AG$150,0,MATCH(T$2,Inputs!$D$2:$AG$2,0)),Inputs!$B$4:$B$150,$B45)/1000)</f>
        <v>0</v>
      </c>
      <c r="U45" s="11">
        <f>IF(U$3=0,"",SUMIFS(INDEX(Inputs!$D$4:$AG$150,0,MATCH(U$2,Inputs!$D$2:$AG$2,0)),Inputs!$B$4:$B$150,$B45)/1000)</f>
        <v>0</v>
      </c>
      <c r="V45" s="11">
        <f>IF(V$3=0,"",SUMIFS(INDEX(Inputs!$D$4:$AG$150,0,MATCH(V$2,Inputs!$D$2:$AG$2,0)),Inputs!$B$4:$B$150,$B45)/1000)</f>
        <v>0</v>
      </c>
      <c r="W45" s="12">
        <f>IF(V45="","",V45)</f>
        <v>0</v>
      </c>
      <c r="X45" s="11">
        <f>IF(X$3=0,"",SUMIFS(INDEX(Inputs!$D$4:$AG$150,0,MATCH(X$2,Inputs!$D$2:$AG$2,0)),Inputs!$B$4:$B$150,$B45)/1000)</f>
        <v>0</v>
      </c>
      <c r="Y45" s="11">
        <f>IF(Y$3=0,"",SUMIFS(INDEX(Inputs!$D$4:$AG$150,0,MATCH(Y$2,Inputs!$D$2:$AG$2,0)),Inputs!$B$4:$B$150,$B45)/1000)</f>
        <v>0</v>
      </c>
      <c r="Z45" s="11">
        <f>IF(Z$3=0,"",SUMIFS(INDEX(Inputs!$D$4:$AG$150,0,MATCH(Z$2,Inputs!$D$2:$AG$2,0)),Inputs!$B$4:$B$150,$B45)/1000)</f>
        <v>0</v>
      </c>
      <c r="AA45" s="11">
        <f>IF(AA$3=0,"",SUMIFS(INDEX(Inputs!$D$4:$AG$150,0,MATCH(AA$2,Inputs!$D$2:$AG$2,0)),Inputs!$B$4:$B$150,$B45)/1000)</f>
        <v>0</v>
      </c>
      <c r="AB45" s="12">
        <f>IF(AA45="","",AA45)</f>
        <v>0</v>
      </c>
      <c r="AC45" s="11">
        <f>IF(AC$3=0,"",SUMIFS(INDEX(Inputs!$D$4:$AG$150,0,MATCH(AC$2,Inputs!$D$2:$AG$2,0)),Inputs!$B$4:$B$150,$B45)/1000)</f>
        <v>0</v>
      </c>
      <c r="AD45" s="11">
        <f>IF(AD$3=0,"",SUMIFS(INDEX(Inputs!$D$4:$AG$150,0,MATCH(AD$2,Inputs!$D$2:$AG$2,0)),Inputs!$B$4:$B$150,$B45)/1000)</f>
        <v>0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974.657</v>
      </c>
      <c r="E47" s="11">
        <f>IF(E$3=0,"",SUMIFS(INDEX(Inputs!$D$4:$AG$150,0,MATCH(E$2,Inputs!$D$2:$AG$2,0)),Inputs!$B$4:$B$150,$B47)/1000)</f>
        <v>1162.264</v>
      </c>
      <c r="F47" s="11">
        <f>IF(F$3=0,"",SUMIFS(INDEX(Inputs!$D$4:$AG$150,0,MATCH(F$2,Inputs!$D$2:$AG$2,0)),Inputs!$B$4:$B$150,$B47)/1000)</f>
        <v>1372.175</v>
      </c>
      <c r="G47" s="11">
        <f>IF(G$3=0,"",SUMIFS(INDEX(Inputs!$D$4:$AG$150,0,MATCH(G$2,Inputs!$D$2:$AG$2,0)),Inputs!$B$4:$B$150,$B47)/1000)</f>
        <v>1578.041</v>
      </c>
      <c r="H47" s="12">
        <f>IF(G47="","",G47)</f>
        <v>1578.041</v>
      </c>
      <c r="I47" s="11">
        <f>IF(I$3=0,"",SUMIFS(INDEX(Inputs!$D$4:$AG$150,0,MATCH(I$2,Inputs!$D$2:$AG$2,0)),Inputs!$B$4:$B$150,$B47)/1000)</f>
        <v>1774.759</v>
      </c>
      <c r="J47" s="11">
        <f>IF(J$3=0,"",SUMIFS(INDEX(Inputs!$D$4:$AG$150,0,MATCH(J$2,Inputs!$D$2:$AG$2,0)),Inputs!$B$4:$B$150,$B47)/1000)</f>
        <v>2035.929</v>
      </c>
      <c r="K47" s="11">
        <f>IF(K$3=0,"",SUMIFS(INDEX(Inputs!$D$4:$AG$150,0,MATCH(K$2,Inputs!$D$2:$AG$2,0)),Inputs!$B$4:$B$150,$B47)/1000)</f>
        <v>2323.181</v>
      </c>
      <c r="L47" s="11">
        <f>IF(L$3=0,"",SUMIFS(INDEX(Inputs!$D$4:$AG$150,0,MATCH(L$2,Inputs!$D$2:$AG$2,0)),Inputs!$B$4:$B$150,$B47)/1000)</f>
        <v>2630.46</v>
      </c>
      <c r="M47" s="12">
        <f>IF(L47="","",L47)</f>
        <v>2630.46</v>
      </c>
      <c r="N47" s="11">
        <f>IF(N$3=0,"",SUMIFS(INDEX(Inputs!$D$4:$AG$150,0,MATCH(N$2,Inputs!$D$2:$AG$2,0)),Inputs!$B$4:$B$150,$B47)/1000)</f>
        <v>2867.178</v>
      </c>
      <c r="O47" s="11">
        <f>IF(O$3=0,"",SUMIFS(INDEX(Inputs!$D$4:$AG$150,0,MATCH(O$2,Inputs!$D$2:$AG$2,0)),Inputs!$B$4:$B$150,$B47)/1000)</f>
        <v>3157.022</v>
      </c>
      <c r="P47" s="11">
        <f>IF(P$3=0,"",SUMIFS(INDEX(Inputs!$D$4:$AG$150,0,MATCH(P$2,Inputs!$D$2:$AG$2,0)),Inputs!$B$4:$B$150,$B47)/1000)</f>
        <v>3465.215</v>
      </c>
      <c r="Q47" s="11">
        <f>IF(Q$3=0,"",SUMIFS(INDEX(Inputs!$D$4:$AG$150,0,MATCH(Q$2,Inputs!$D$2:$AG$2,0)),Inputs!$B$4:$B$150,$B47)/1000)</f>
        <v>617.521</v>
      </c>
      <c r="R47" s="12">
        <f>IF(Q47="","",Q47)</f>
        <v>617.521</v>
      </c>
      <c r="S47" s="11">
        <f>IF(S$3=0,"",SUMIFS(INDEX(Inputs!$D$4:$AG$150,0,MATCH(S$2,Inputs!$D$2:$AG$2,0)),Inputs!$B$4:$B$150,$B47)/1000)</f>
        <v>759.049</v>
      </c>
      <c r="T47" s="11">
        <f>IF(T$3=0,"",SUMIFS(INDEX(Inputs!$D$4:$AG$150,0,MATCH(T$2,Inputs!$D$2:$AG$2,0)),Inputs!$B$4:$B$150,$B47)/1000)</f>
        <v>948.384</v>
      </c>
      <c r="U47" s="11">
        <f>IF(U$3=0,"",SUMIFS(INDEX(Inputs!$D$4:$AG$150,0,MATCH(U$2,Inputs!$D$2:$AG$2,0)),Inputs!$B$4:$B$150,$B47)/1000)</f>
        <v>1221.124</v>
      </c>
      <c r="V47" s="11">
        <f>IF(V$3=0,"",SUMIFS(INDEX(Inputs!$D$4:$AG$150,0,MATCH(V$2,Inputs!$D$2:$AG$2,0)),Inputs!$B$4:$B$150,$B47)/1000)</f>
        <v>813.24</v>
      </c>
      <c r="W47" s="12">
        <f>IF(V47="","",V47)</f>
        <v>813.24</v>
      </c>
      <c r="X47" s="11">
        <f>IF(X$3=0,"",SUMIFS(INDEX(Inputs!$D$4:$AG$150,0,MATCH(X$2,Inputs!$D$2:$AG$2,0)),Inputs!$B$4:$B$150,$B47)/1000)</f>
        <v>950.475</v>
      </c>
      <c r="Y47" s="11">
        <f>IF(Y$3=0,"",SUMIFS(INDEX(Inputs!$D$4:$AG$150,0,MATCH(Y$2,Inputs!$D$2:$AG$2,0)),Inputs!$B$4:$B$150,$B47)/1000)</f>
        <v>1189.991</v>
      </c>
      <c r="Z47" s="11">
        <f>IF(Z$3=0,"",SUMIFS(INDEX(Inputs!$D$4:$AG$150,0,MATCH(Z$2,Inputs!$D$2:$AG$2,0)),Inputs!$B$4:$B$150,$B47)/1000)</f>
        <v>1873.287</v>
      </c>
      <c r="AA47" s="11">
        <f>IF(AA$3=0,"",SUMIFS(INDEX(Inputs!$D$4:$AG$150,0,MATCH(AA$2,Inputs!$D$2:$AG$2,0)),Inputs!$B$4:$B$150,$B47)/1000)</f>
        <v>2050.983</v>
      </c>
      <c r="AB47" s="12">
        <f>IF(AA47="","",AA47)</f>
        <v>2050.983</v>
      </c>
      <c r="AC47" s="11">
        <f>IF(AC$3=0,"",SUMIFS(INDEX(Inputs!$D$4:$AG$150,0,MATCH(AC$2,Inputs!$D$2:$AG$2,0)),Inputs!$B$4:$B$150,$B47)/1000)</f>
        <v>2263.864</v>
      </c>
      <c r="AD47" s="11">
        <f>IF(AD$3=0,"",SUMIFS(INDEX(Inputs!$D$4:$AG$150,0,MATCH(AD$2,Inputs!$D$2:$AG$2,0)),Inputs!$B$4:$B$150,$B47)/1000)</f>
        <v>2500.669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156.72115431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190.56334549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213.424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208.08263301</v>
      </c>
      <c r="H50" s="12">
        <f>IF(COUNT(D50:G50)=4,SUM(D50:G50),"")</f>
        <v>768.79113281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199.21184191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264.12308316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290.871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310.58877903</v>
      </c>
      <c r="M50" s="12">
        <f>IF(COUNT(I50:L50)=4,SUM(I50:L50),"")</f>
        <v>1064.7947041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239.69166758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293.233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313.597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388.1174499</v>
      </c>
      <c r="R50" s="12">
        <f>IF(COUNT(N50:Q50)=4,SUM(N50:Q50),"")</f>
        <v>1234.63911748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240.377781312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327.344212271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355.261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323.2319</v>
      </c>
      <c r="W50" s="12">
        <f>IF(COUNT(S50:V50)=4,SUM(S50:V50),"")</f>
        <v>1246.214893583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276.32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395.777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850.546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324.264</v>
      </c>
      <c r="AB50" s="12">
        <f>IF(COUNT(X50:AA50)=4,SUM(X50:AA50),"")</f>
        <v>1846.907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212.881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236.805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bruta de mercadorias - Atacarejo (Mix Mateus; inclui Novo Atacarejo a partir do 3T25) (R$ milhoes)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1827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2003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2381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2485</v>
      </c>
      <c r="H53" s="12">
        <f>IF(COUNT(D53:G53)=4,SUM(D53:G53),"")</f>
        <v>8696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2514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2956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3478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3584</v>
      </c>
      <c r="M53" s="12">
        <f>IF(COUNT(I53:L53)=4,SUM(I53:L53),"")</f>
        <v>12532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3523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3899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4209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4753</v>
      </c>
      <c r="R53" s="12">
        <f>IF(COUNT(N53:Q53)=4,SUM(N53:Q53),"")</f>
        <v>16384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4683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4765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5304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5620</v>
      </c>
      <c r="W53" s="12">
        <f>IF(COUNT(S53:V53)=4,SUM(S53:V53),"")</f>
        <v>20372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5252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5541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7530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7354</v>
      </c>
      <c r="AB53" s="12">
        <f>IF(COUNT(X53:AA53)=4,SUM(X53:AA53),"")</f>
        <v>25677</v>
      </c>
      <c r="AC53" s="11" t="str">
        <f>IF(SUMPRODUCT((Inputs!$B$4:$B$150=$B53)*ISNUMBER(INDEX(Inputs!$D$4:$AG$150,0,MATCH(AC$2,Inputs!$D$2:$AG$2,0))))=0,"",SUMIFS(INDEX(Inputs!$D$4:$AG$150,0,MATCH(AC$2,Inputs!$D$2:$AG$2,0)),Inputs!$B$4:$B$150,$B53)/1000)</f>
        <v/>
      </c>
      <c r="AD53" s="11" t="str">
        <f>IF(SUMPRODUCT((Inputs!$B$4:$B$150=$B53)*ISNUMBER(INDEX(Inputs!$D$4:$AG$150,0,MATCH(AD$2,Inputs!$D$2:$AG$2,0))))=0,"",SUMIFS(INDEX(Inputs!$D$4:$AG$150,0,MATCH(AD$2,Inputs!$D$2:$AG$2,0)),Inputs!$B$4:$B$150,$B53)/1000)</f>
        <v/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bruta de mercadorias - Varejo (Super/Hiper, Camino) (R$ milhoes)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1114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1215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1435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1465</v>
      </c>
      <c r="H54" s="12">
        <f>IF(COUNT(D54:G54)=4,SUM(D54:G54),"")</f>
        <v>5229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1474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1622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1829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1883</v>
      </c>
      <c r="M54" s="12">
        <f>IF(COUNT(I54:L54)=4,SUM(I54:L54),"")</f>
        <v>6808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1757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1877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2047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2096</v>
      </c>
      <c r="R54" s="12">
        <f>IF(COUNT(N54:Q54)=4,SUM(N54:Q54),"")</f>
        <v>7777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2036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2055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2164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2244</v>
      </c>
      <c r="W54" s="12">
        <f>IF(COUNT(S54:V54)=4,SUM(S54:V54),"")</f>
        <v>8499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2110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2143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2228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2326</v>
      </c>
      <c r="AB54" s="12">
        <f>IF(COUNT(X54:AA54)=4,SUM(X54:AA54),"")</f>
        <v>8807</v>
      </c>
      <c r="AC54" s="11" t="str">
        <f>IF(SUMPRODUCT((Inputs!$B$4:$B$150=$B54)*ISNUMBER(INDEX(Inputs!$D$4:$AG$150,0,MATCH(AC$2,Inputs!$D$2:$AG$2,0))))=0,"",SUMIFS(INDEX(Inputs!$D$4:$AG$150,0,MATCH(AC$2,Inputs!$D$2:$AG$2,0)),Inputs!$B$4:$B$150,$B54)/1000)</f>
        <v/>
      </c>
      <c r="AD54" s="11" t="str">
        <f>IF(SUMPRODUCT((Inputs!$B$4:$B$150=$B54)*ISNUMBER(INDEX(Inputs!$D$4:$AG$150,0,MATCH(AD$2,Inputs!$D$2:$AG$2,0))))=0,"",SUMIFS(INDEX(Inputs!$D$4:$AG$150,0,MATCH(AD$2,Inputs!$D$2:$AG$2,0)),Inputs!$B$4:$B$150,$B54)/1000)</f>
        <v/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bruta de mercadorias - Eletro (R$ milhoes)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196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243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264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292</v>
      </c>
      <c r="H55" s="12">
        <f>IF(COUNT(D55:G55)=4,SUM(D55:G55),"")</f>
        <v>995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256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281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288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292</v>
      </c>
      <c r="M55" s="12">
        <f>IF(COUNT(I55:L55)=4,SUM(I55:L55),"")</f>
        <v>1117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234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294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316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339</v>
      </c>
      <c r="R55" s="12">
        <f>IF(COUNT(N55:Q55)=4,SUM(N55:Q55),"")</f>
        <v>1183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261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315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337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354</v>
      </c>
      <c r="W55" s="12">
        <f>IF(COUNT(S55:V55)=4,SUM(S55:V55),"")</f>
        <v>1267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254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277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283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339</v>
      </c>
      <c r="AB55" s="12">
        <f>IF(COUNT(X55:AA55)=4,SUM(X55:AA55),"")</f>
        <v>1153</v>
      </c>
      <c r="AC55" s="11" t="str">
        <f>IF(SUMPRODUCT((Inputs!$B$4:$B$150=$B55)*ISNUMBER(INDEX(Inputs!$D$4:$AG$150,0,MATCH(AC$2,Inputs!$D$2:$AG$2,0))))=0,"",SUMIFS(INDEX(Inputs!$D$4:$AG$150,0,MATCH(AC$2,Inputs!$D$2:$AG$2,0)),Inputs!$B$4:$B$150,$B55)/1000)</f>
        <v/>
      </c>
      <c r="AD55" s="11" t="str">
        <f>IF(SUMPRODUCT((Inputs!$B$4:$B$150=$B55)*ISNUMBER(INDEX(Inputs!$D$4:$AG$150,0,MATCH(AD$2,Inputs!$D$2:$AG$2,0))))=0,"",SUMIFS(INDEX(Inputs!$D$4:$AG$150,0,MATCH(AD$2,Inputs!$D$2:$AG$2,0)),Inputs!$B$4:$B$150,$B55)/1000)</f>
        <v/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bruta de mercadorias - Atacado B2B (R$ milhoes)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662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741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804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813</v>
      </c>
      <c r="H56" s="12">
        <f>IF(COUNT(D56:G56)=4,SUM(D56:G56),"")</f>
        <v>3020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928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997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1069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1079</v>
      </c>
      <c r="M56" s="12">
        <f>IF(COUNT(I56:L56)=4,SUM(I56:L56),"")</f>
        <v>4073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1078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1187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1236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1400</v>
      </c>
      <c r="R56" s="12">
        <f>IF(COUNT(N56:Q56)=4,SUM(N56:Q56),"")</f>
        <v>4901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1400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1534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1625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1690</v>
      </c>
      <c r="W56" s="12">
        <f>IF(COUNT(S56:V56)=4,SUM(S56:V56),"")</f>
        <v>6249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1816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1986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2060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2052</v>
      </c>
      <c r="AB56" s="12">
        <f>IF(COUNT(X56:AA56)=4,SUM(X56:AA56),"")</f>
        <v>7914</v>
      </c>
      <c r="AC56" s="11" t="str">
        <f>IF(SUMPRODUCT((Inputs!$B$4:$B$150=$B56)*ISNUMBER(INDEX(Inputs!$D$4:$AG$150,0,MATCH(AC$2,Inputs!$D$2:$AG$2,0))))=0,"",SUMIFS(INDEX(Inputs!$D$4:$AG$150,0,MATCH(AC$2,Inputs!$D$2:$AG$2,0)),Inputs!$B$4:$B$150,$B56)/1000)</f>
        <v/>
      </c>
      <c r="AD56" s="11" t="str">
        <f>IF(SUMPRODUCT((Inputs!$B$4:$B$150=$B56)*ISNUMBER(INDEX(Inputs!$D$4:$AG$150,0,MATCH(AD$2,Inputs!$D$2:$AG$2,0))))=0,"",SUMIFS(INDEX(Inputs!$D$4:$AG$150,0,MATCH(AD$2,Inputs!$D$2:$AG$2,0)),Inputs!$B$4:$B$150,$B56)/1000)</f>
        <v/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Receita liquida - Grupo Mateus MA, PA, PI, CE, SE e BA (R$ milhoes; desde 3T25)</t>
        </is>
      </c>
      <c r="D57" s="11" t="str">
        <f>IF(SUMPRODUCT((Inputs!$B$4:$B$150=$B57)*ISNUMBER(INDEX(Inputs!$D$4:$AG$150,0,MATCH(D$2,Inputs!$D$2:$AG$2,0))))=0,"",SUMIFS(INDEX(Inputs!$D$4:$AG$150,0,MATCH(D$2,Inputs!$D$2:$AG$2,0)),Inputs!$B$4:$B$150,$B57)/1000)</f>
        <v/>
      </c>
      <c r="E57" s="11" t="str">
        <f>IF(SUMPRODUCT((Inputs!$B$4:$B$150=$B57)*ISNUMBER(INDEX(Inputs!$D$4:$AG$150,0,MATCH(E$2,Inputs!$D$2:$AG$2,0))))=0,"",SUMIFS(INDEX(Inputs!$D$4:$AG$150,0,MATCH(E$2,Inputs!$D$2:$AG$2,0)),Inputs!$B$4:$B$150,$B57)/1000)</f>
        <v/>
      </c>
      <c r="F57" s="11" t="str">
        <f>IF(SUMPRODUCT((Inputs!$B$4:$B$150=$B57)*ISNUMBER(INDEX(Inputs!$D$4:$AG$150,0,MATCH(F$2,Inputs!$D$2:$AG$2,0))))=0,"",SUMIFS(INDEX(Inputs!$D$4:$AG$150,0,MATCH(F$2,Inputs!$D$2:$AG$2,0)),Inputs!$B$4:$B$150,$B57)/1000)</f>
        <v/>
      </c>
      <c r="G57" s="11" t="str">
        <f>IF(SUMPRODUCT((Inputs!$B$4:$B$150=$B57)*ISNUMBER(INDEX(Inputs!$D$4:$AG$150,0,MATCH(G$2,Inputs!$D$2:$AG$2,0))))=0,"",SUMIFS(INDEX(Inputs!$D$4:$AG$150,0,MATCH(G$2,Inputs!$D$2:$AG$2,0)),Inputs!$B$4:$B$150,$B57)/1000)</f>
        <v/>
      </c>
      <c r="H57" s="12" t="str">
        <f>IF(COUNT(D57:G57)=4,SUM(D57:G57),"")</f>
        <v/>
      </c>
      <c r="I57" s="11" t="str">
        <f>IF(SUMPRODUCT((Inputs!$B$4:$B$150=$B57)*ISNUMBER(INDEX(Inputs!$D$4:$AG$150,0,MATCH(I$2,Inputs!$D$2:$AG$2,0))))=0,"",SUMIFS(INDEX(Inputs!$D$4:$AG$150,0,MATCH(I$2,Inputs!$D$2:$AG$2,0)),Inputs!$B$4:$B$150,$B57)/1000)</f>
        <v/>
      </c>
      <c r="J57" s="11" t="str">
        <f>IF(SUMPRODUCT((Inputs!$B$4:$B$150=$B57)*ISNUMBER(INDEX(Inputs!$D$4:$AG$150,0,MATCH(J$2,Inputs!$D$2:$AG$2,0))))=0,"",SUMIFS(INDEX(Inputs!$D$4:$AG$150,0,MATCH(J$2,Inputs!$D$2:$AG$2,0)),Inputs!$B$4:$B$150,$B57)/1000)</f>
        <v/>
      </c>
      <c r="K57" s="11" t="str">
        <f>IF(SUMPRODUCT((Inputs!$B$4:$B$150=$B57)*ISNUMBER(INDEX(Inputs!$D$4:$AG$150,0,MATCH(K$2,Inputs!$D$2:$AG$2,0))))=0,"",SUMIFS(INDEX(Inputs!$D$4:$AG$150,0,MATCH(K$2,Inputs!$D$2:$AG$2,0)),Inputs!$B$4:$B$150,$B57)/1000)</f>
        <v/>
      </c>
      <c r="L57" s="11" t="str">
        <f>IF(SUMPRODUCT((Inputs!$B$4:$B$150=$B57)*ISNUMBER(INDEX(Inputs!$D$4:$AG$150,0,MATCH(L$2,Inputs!$D$2:$AG$2,0))))=0,"",SUMIFS(INDEX(Inputs!$D$4:$AG$150,0,MATCH(L$2,Inputs!$D$2:$AG$2,0)),Inputs!$B$4:$B$150,$B57)/1000)</f>
        <v/>
      </c>
      <c r="M57" s="12" t="str">
        <f>IF(COUNT(I57:L57)=4,SUM(I57:L57),"")</f>
        <v/>
      </c>
      <c r="N57" s="11" t="str">
        <f>IF(SUMPRODUCT((Inputs!$B$4:$B$150=$B57)*ISNUMBER(INDEX(Inputs!$D$4:$AG$150,0,MATCH(N$2,Inputs!$D$2:$AG$2,0))))=0,"",SUMIFS(INDEX(Inputs!$D$4:$AG$150,0,MATCH(N$2,Inputs!$D$2:$AG$2,0)),Inputs!$B$4:$B$150,$B57)/1000)</f>
        <v/>
      </c>
      <c r="O57" s="11" t="str">
        <f>IF(SUMPRODUCT((Inputs!$B$4:$B$150=$B57)*ISNUMBER(INDEX(Inputs!$D$4:$AG$150,0,MATCH(O$2,Inputs!$D$2:$AG$2,0))))=0,"",SUMIFS(INDEX(Inputs!$D$4:$AG$150,0,MATCH(O$2,Inputs!$D$2:$AG$2,0)),Inputs!$B$4:$B$150,$B57)/1000)</f>
        <v/>
      </c>
      <c r="P57" s="11" t="str">
        <f>IF(SUMPRODUCT((Inputs!$B$4:$B$150=$B57)*ISNUMBER(INDEX(Inputs!$D$4:$AG$150,0,MATCH(P$2,Inputs!$D$2:$AG$2,0))))=0,"",SUMIFS(INDEX(Inputs!$D$4:$AG$150,0,MATCH(P$2,Inputs!$D$2:$AG$2,0)),Inputs!$B$4:$B$150,$B57)/1000)</f>
        <v/>
      </c>
      <c r="Q57" s="11" t="str">
        <f>IF(SUMPRODUCT((Inputs!$B$4:$B$150=$B57)*ISNUMBER(INDEX(Inputs!$D$4:$AG$150,0,MATCH(Q$2,Inputs!$D$2:$AG$2,0))))=0,"",SUMIFS(INDEX(Inputs!$D$4:$AG$150,0,MATCH(Q$2,Inputs!$D$2:$AG$2,0)),Inputs!$B$4:$B$150,$B57)/1000)</f>
        <v/>
      </c>
      <c r="R57" s="12" t="str">
        <f>IF(COUNT(N57:Q57)=4,SUM(N57:Q57),"")</f>
        <v/>
      </c>
      <c r="S57" s="11" t="str">
        <f>IF(SUMPRODUCT((Inputs!$B$4:$B$150=$B57)*ISNUMBER(INDEX(Inputs!$D$4:$AG$150,0,MATCH(S$2,Inputs!$D$2:$AG$2,0))))=0,"",SUMIFS(INDEX(Inputs!$D$4:$AG$150,0,MATCH(S$2,Inputs!$D$2:$AG$2,0)),Inputs!$B$4:$B$150,$B57)/1000)</f>
        <v/>
      </c>
      <c r="T57" s="11" t="str">
        <f>IF(SUMPRODUCT((Inputs!$B$4:$B$150=$B57)*ISNUMBER(INDEX(Inputs!$D$4:$AG$150,0,MATCH(T$2,Inputs!$D$2:$AG$2,0))))=0,"",SUMIFS(INDEX(Inputs!$D$4:$AG$150,0,MATCH(T$2,Inputs!$D$2:$AG$2,0)),Inputs!$B$4:$B$150,$B57)/1000)</f>
        <v/>
      </c>
      <c r="U57" s="11" t="str">
        <f>IF(SUMPRODUCT((Inputs!$B$4:$B$150=$B57)*ISNUMBER(INDEX(Inputs!$D$4:$AG$150,0,MATCH(U$2,Inputs!$D$2:$AG$2,0))))=0,"",SUMIFS(INDEX(Inputs!$D$4:$AG$150,0,MATCH(U$2,Inputs!$D$2:$AG$2,0)),Inputs!$B$4:$B$150,$B57)/1000)</f>
        <v/>
      </c>
      <c r="V57" s="11" t="str">
        <f>IF(SUMPRODUCT((Inputs!$B$4:$B$150=$B57)*ISNUMBER(INDEX(Inputs!$D$4:$AG$150,0,MATCH(V$2,Inputs!$D$2:$AG$2,0))))=0,"",SUMIFS(INDEX(Inputs!$D$4:$AG$150,0,MATCH(V$2,Inputs!$D$2:$AG$2,0)),Inputs!$B$4:$B$150,$B57)/1000)</f>
        <v/>
      </c>
      <c r="W57" s="12" t="str">
        <f>IF(COUNT(S57:V57)=4,SUM(S57:V57),"")</f>
        <v/>
      </c>
      <c r="X57" s="11" t="str">
        <f>IF(SUMPRODUCT((Inputs!$B$4:$B$150=$B57)*ISNUMBER(INDEX(Inputs!$D$4:$AG$150,0,MATCH(X$2,Inputs!$D$2:$AG$2,0))))=0,"",SUMIFS(INDEX(Inputs!$D$4:$AG$150,0,MATCH(X$2,Inputs!$D$2:$AG$2,0)),Inputs!$B$4:$B$150,$B57)/1000)</f>
        <v/>
      </c>
      <c r="Y57" s="11" t="str">
        <f>IF(SUMPRODUCT((Inputs!$B$4:$B$150=$B57)*ISNUMBER(INDEX(Inputs!$D$4:$AG$150,0,MATCH(Y$2,Inputs!$D$2:$AG$2,0))))=0,"",SUMIFS(INDEX(Inputs!$D$4:$AG$150,0,MATCH(Y$2,Inputs!$D$2:$AG$2,0)),Inputs!$B$4:$B$150,$B57)/1000)</f>
        <v/>
      </c>
      <c r="Z57" s="11">
        <f>IF(SUMPRODUCT((Inputs!$B$4:$B$150=$B57)*ISNUMBER(INDEX(Inputs!$D$4:$AG$150,0,MATCH(Z$2,Inputs!$D$2:$AG$2,0))))=0,"",SUMIFS(INDEX(Inputs!$D$4:$AG$150,0,MATCH(Z$2,Inputs!$D$2:$AG$2,0)),Inputs!$B$4:$B$150,$B57)/1000)</f>
        <v>7869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7723</v>
      </c>
      <c r="AB57" s="12" t="str">
        <f>IF(COUNT(X57:AA57)=4,SUM(X57:AA57),"")</f>
        <v/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7012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7387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Receita liquida - combinacao Grupo Mateus + Novo Atacarejo PE, PB e AL (R$ milhoes; 3T25 = Mateus PE/PB/AL 1.431 + Novo Atacarejo 1.464)</t>
        </is>
      </c>
      <c r="D58" s="11" t="str">
        <f>IF(SUMPRODUCT((Inputs!$B$4:$B$150=$B58)*ISNUMBER(INDEX(Inputs!$D$4:$AG$150,0,MATCH(D$2,Inputs!$D$2:$AG$2,0))))=0,"",SUMIFS(INDEX(Inputs!$D$4:$AG$150,0,MATCH(D$2,Inputs!$D$2:$AG$2,0)),Inputs!$B$4:$B$150,$B58)/1000)</f>
        <v/>
      </c>
      <c r="E58" s="11" t="str">
        <f>IF(SUMPRODUCT((Inputs!$B$4:$B$150=$B58)*ISNUMBER(INDEX(Inputs!$D$4:$AG$150,0,MATCH(E$2,Inputs!$D$2:$AG$2,0))))=0,"",SUMIFS(INDEX(Inputs!$D$4:$AG$150,0,MATCH(E$2,Inputs!$D$2:$AG$2,0)),Inputs!$B$4:$B$150,$B58)/1000)</f>
        <v/>
      </c>
      <c r="F58" s="11" t="str">
        <f>IF(SUMPRODUCT((Inputs!$B$4:$B$150=$B58)*ISNUMBER(INDEX(Inputs!$D$4:$AG$150,0,MATCH(F$2,Inputs!$D$2:$AG$2,0))))=0,"",SUMIFS(INDEX(Inputs!$D$4:$AG$150,0,MATCH(F$2,Inputs!$D$2:$AG$2,0)),Inputs!$B$4:$B$150,$B58)/1000)</f>
        <v/>
      </c>
      <c r="G58" s="11" t="str">
        <f>IF(SUMPRODUCT((Inputs!$B$4:$B$150=$B58)*ISNUMBER(INDEX(Inputs!$D$4:$AG$150,0,MATCH(G$2,Inputs!$D$2:$AG$2,0))))=0,"",SUMIFS(INDEX(Inputs!$D$4:$AG$150,0,MATCH(G$2,Inputs!$D$2:$AG$2,0)),Inputs!$B$4:$B$150,$B58)/1000)</f>
        <v/>
      </c>
      <c r="H58" s="12" t="str">
        <f>IF(COUNT(D58:G58)=4,SUM(D58:G58),"")</f>
        <v/>
      </c>
      <c r="I58" s="11" t="str">
        <f>IF(SUMPRODUCT((Inputs!$B$4:$B$150=$B58)*ISNUMBER(INDEX(Inputs!$D$4:$AG$150,0,MATCH(I$2,Inputs!$D$2:$AG$2,0))))=0,"",SUMIFS(INDEX(Inputs!$D$4:$AG$150,0,MATCH(I$2,Inputs!$D$2:$AG$2,0)),Inputs!$B$4:$B$150,$B58)/1000)</f>
        <v/>
      </c>
      <c r="J58" s="11" t="str">
        <f>IF(SUMPRODUCT((Inputs!$B$4:$B$150=$B58)*ISNUMBER(INDEX(Inputs!$D$4:$AG$150,0,MATCH(J$2,Inputs!$D$2:$AG$2,0))))=0,"",SUMIFS(INDEX(Inputs!$D$4:$AG$150,0,MATCH(J$2,Inputs!$D$2:$AG$2,0)),Inputs!$B$4:$B$150,$B58)/1000)</f>
        <v/>
      </c>
      <c r="K58" s="11" t="str">
        <f>IF(SUMPRODUCT((Inputs!$B$4:$B$150=$B58)*ISNUMBER(INDEX(Inputs!$D$4:$AG$150,0,MATCH(K$2,Inputs!$D$2:$AG$2,0))))=0,"",SUMIFS(INDEX(Inputs!$D$4:$AG$150,0,MATCH(K$2,Inputs!$D$2:$AG$2,0)),Inputs!$B$4:$B$150,$B58)/1000)</f>
        <v/>
      </c>
      <c r="L58" s="11" t="str">
        <f>IF(SUMPRODUCT((Inputs!$B$4:$B$150=$B58)*ISNUMBER(INDEX(Inputs!$D$4:$AG$150,0,MATCH(L$2,Inputs!$D$2:$AG$2,0))))=0,"",SUMIFS(INDEX(Inputs!$D$4:$AG$150,0,MATCH(L$2,Inputs!$D$2:$AG$2,0)),Inputs!$B$4:$B$150,$B58)/1000)</f>
        <v/>
      </c>
      <c r="M58" s="12" t="str">
        <f>IF(COUNT(I58:L58)=4,SUM(I58:L58),"")</f>
        <v/>
      </c>
      <c r="N58" s="11" t="str">
        <f>IF(SUMPRODUCT((Inputs!$B$4:$B$150=$B58)*ISNUMBER(INDEX(Inputs!$D$4:$AG$150,0,MATCH(N$2,Inputs!$D$2:$AG$2,0))))=0,"",SUMIFS(INDEX(Inputs!$D$4:$AG$150,0,MATCH(N$2,Inputs!$D$2:$AG$2,0)),Inputs!$B$4:$B$150,$B58)/1000)</f>
        <v/>
      </c>
      <c r="O58" s="11" t="str">
        <f>IF(SUMPRODUCT((Inputs!$B$4:$B$150=$B58)*ISNUMBER(INDEX(Inputs!$D$4:$AG$150,0,MATCH(O$2,Inputs!$D$2:$AG$2,0))))=0,"",SUMIFS(INDEX(Inputs!$D$4:$AG$150,0,MATCH(O$2,Inputs!$D$2:$AG$2,0)),Inputs!$B$4:$B$150,$B58)/1000)</f>
        <v/>
      </c>
      <c r="P58" s="11" t="str">
        <f>IF(SUMPRODUCT((Inputs!$B$4:$B$150=$B58)*ISNUMBER(INDEX(Inputs!$D$4:$AG$150,0,MATCH(P$2,Inputs!$D$2:$AG$2,0))))=0,"",SUMIFS(INDEX(Inputs!$D$4:$AG$150,0,MATCH(P$2,Inputs!$D$2:$AG$2,0)),Inputs!$B$4:$B$150,$B58)/1000)</f>
        <v/>
      </c>
      <c r="Q58" s="11" t="str">
        <f>IF(SUMPRODUCT((Inputs!$B$4:$B$150=$B58)*ISNUMBER(INDEX(Inputs!$D$4:$AG$150,0,MATCH(Q$2,Inputs!$D$2:$AG$2,0))))=0,"",SUMIFS(INDEX(Inputs!$D$4:$AG$150,0,MATCH(Q$2,Inputs!$D$2:$AG$2,0)),Inputs!$B$4:$B$150,$B58)/1000)</f>
        <v/>
      </c>
      <c r="R58" s="12" t="str">
        <f>IF(COUNT(N58:Q58)=4,SUM(N58:Q58),"")</f>
        <v/>
      </c>
      <c r="S58" s="11" t="str">
        <f>IF(SUMPRODUCT((Inputs!$B$4:$B$150=$B58)*ISNUMBER(INDEX(Inputs!$D$4:$AG$150,0,MATCH(S$2,Inputs!$D$2:$AG$2,0))))=0,"",SUMIFS(INDEX(Inputs!$D$4:$AG$150,0,MATCH(S$2,Inputs!$D$2:$AG$2,0)),Inputs!$B$4:$B$150,$B58)/1000)</f>
        <v/>
      </c>
      <c r="T58" s="11" t="str">
        <f>IF(SUMPRODUCT((Inputs!$B$4:$B$150=$B58)*ISNUMBER(INDEX(Inputs!$D$4:$AG$150,0,MATCH(T$2,Inputs!$D$2:$AG$2,0))))=0,"",SUMIFS(INDEX(Inputs!$D$4:$AG$150,0,MATCH(T$2,Inputs!$D$2:$AG$2,0)),Inputs!$B$4:$B$150,$B58)/1000)</f>
        <v/>
      </c>
      <c r="U58" s="11" t="str">
        <f>IF(SUMPRODUCT((Inputs!$B$4:$B$150=$B58)*ISNUMBER(INDEX(Inputs!$D$4:$AG$150,0,MATCH(U$2,Inputs!$D$2:$AG$2,0))))=0,"",SUMIFS(INDEX(Inputs!$D$4:$AG$150,0,MATCH(U$2,Inputs!$D$2:$AG$2,0)),Inputs!$B$4:$B$150,$B58)/1000)</f>
        <v/>
      </c>
      <c r="V58" s="11" t="str">
        <f>IF(SUMPRODUCT((Inputs!$B$4:$B$150=$B58)*ISNUMBER(INDEX(Inputs!$D$4:$AG$150,0,MATCH(V$2,Inputs!$D$2:$AG$2,0))))=0,"",SUMIFS(INDEX(Inputs!$D$4:$AG$150,0,MATCH(V$2,Inputs!$D$2:$AG$2,0)),Inputs!$B$4:$B$150,$B58)/1000)</f>
        <v/>
      </c>
      <c r="W58" s="12" t="str">
        <f>IF(COUNT(S58:V58)=4,SUM(S58:V58),"")</f>
        <v/>
      </c>
      <c r="X58" s="11" t="str">
        <f>IF(SUMPRODUCT((Inputs!$B$4:$B$150=$B58)*ISNUMBER(INDEX(Inputs!$D$4:$AG$150,0,MATCH(X$2,Inputs!$D$2:$AG$2,0))))=0,"",SUMIFS(INDEX(Inputs!$D$4:$AG$150,0,MATCH(X$2,Inputs!$D$2:$AG$2,0)),Inputs!$B$4:$B$150,$B58)/1000)</f>
        <v/>
      </c>
      <c r="Y58" s="11" t="str">
        <f>IF(SUMPRODUCT((Inputs!$B$4:$B$150=$B58)*ISNUMBER(INDEX(Inputs!$D$4:$AG$150,0,MATCH(Y$2,Inputs!$D$2:$AG$2,0))))=0,"",SUMIFS(INDEX(Inputs!$D$4:$AG$150,0,MATCH(Y$2,Inputs!$D$2:$AG$2,0)),Inputs!$B$4:$B$150,$B58)/1000)</f>
        <v/>
      </c>
      <c r="Z58" s="11">
        <f>IF(SUMPRODUCT((Inputs!$B$4:$B$150=$B58)*ISNUMBER(INDEX(Inputs!$D$4:$AG$150,0,MATCH(Z$2,Inputs!$D$2:$AG$2,0))))=0,"",SUMIFS(INDEX(Inputs!$D$4:$AG$150,0,MATCH(Z$2,Inputs!$D$2:$AG$2,0)),Inputs!$B$4:$B$150,$B58)/1000)</f>
        <v>2895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2827</v>
      </c>
      <c r="AB58" s="12" t="str">
        <f>IF(COUNT(X58:AA58)=4,SUM(X58:AA58),"")</f>
        <v/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2390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2466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Lojas - Atacarejo e Food Service (Mix Mateus) (fim do periodo)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35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38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40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42</v>
      </c>
      <c r="H59" s="12">
        <f>IF(COUNT(D59:G59)=4,SUM(D59:G59),"")</f>
        <v>155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48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50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53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58</v>
      </c>
      <c r="M59" s="12">
        <f>IF(COUNT(I59:L59)=4,SUM(I59:L59),"")</f>
        <v>209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62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64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69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80</v>
      </c>
      <c r="R59" s="12">
        <f>IF(COUNT(N59:Q59)=4,SUM(N59:Q59),"")</f>
        <v>275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82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84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88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90</v>
      </c>
      <c r="W59" s="12">
        <f>IF(COUNT(S59:V59)=4,SUM(S59:V59),"")</f>
        <v>344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92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96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98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102</v>
      </c>
      <c r="AB59" s="12">
        <f>IF(COUNT(X59:AA59)=4,SUM(X59:AA59),"")</f>
        <v>388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105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77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Lojas - Novo Atacarejo (fim do periodo)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0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0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0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0</v>
      </c>
      <c r="H60" s="12">
        <f>IF(COUNT(D60:G60)=4,SUM(D60:G60),"")</f>
        <v>0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0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0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0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0</v>
      </c>
      <c r="M60" s="12">
        <f>IF(COUNT(I60:L60)=4,SUM(I60:L60),"")</f>
        <v>0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0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0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0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0</v>
      </c>
      <c r="R60" s="12">
        <f>IF(COUNT(N60:Q60)=4,SUM(N60:Q60),"")</f>
        <v>0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0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0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0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0</v>
      </c>
      <c r="W60" s="12">
        <f>IF(COUNT(S60:V60)=4,SUM(S60:V60),"")</f>
        <v>0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0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0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36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37</v>
      </c>
      <c r="AB60" s="12">
        <f>IF(COUNT(X60:AA60)=4,SUM(X60:AA60),"")</f>
        <v>73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37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67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Lojas - Varejo (Super/Hiper + Camino) (fim do periodo)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55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56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57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61</v>
      </c>
      <c r="H61" s="12">
        <f>IF(COUNT(D61:G61)=4,SUM(D61:G61),"")</f>
        <v>229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68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69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70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70</v>
      </c>
      <c r="M61" s="12">
        <f>IF(COUNT(I61:L61)=4,SUM(I61:L61),"")</f>
        <v>277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70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71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72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73</v>
      </c>
      <c r="R61" s="12">
        <f>IF(COUNT(N61:Q61)=4,SUM(N61:Q61),"")</f>
        <v>286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73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76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76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78</v>
      </c>
      <c r="W61" s="12">
        <f>IF(COUNT(S61:V61)=4,SUM(S61:V61),"")</f>
        <v>303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80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80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81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85</v>
      </c>
      <c r="AB61" s="12">
        <f>IF(COUNT(X61:AA61)=4,SUM(X61:AA61),"")</f>
        <v>326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86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90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Lojas - Eletro (fim do periodo)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80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88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92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99</v>
      </c>
      <c r="H62" s="12">
        <f>IF(COUNT(D62:G62)=4,SUM(D62:G62),"")</f>
        <v>359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102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103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103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104</v>
      </c>
      <c r="M62" s="12">
        <f>IF(COUNT(I62:L62)=4,SUM(I62:L62),"")</f>
        <v>412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106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104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105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105</v>
      </c>
      <c r="R62" s="12">
        <f>IF(COUNT(N62:Q62)=4,SUM(N62:Q62),"")</f>
        <v>420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104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104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104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104</v>
      </c>
      <c r="W62" s="12">
        <f>IF(COUNT(S62:V62)=4,SUM(S62:V62),"")</f>
        <v>416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104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95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91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78</v>
      </c>
      <c r="AB62" s="12">
        <f>IF(COUNT(X62:AA62)=4,SUM(X62:AA62),"")</f>
        <v>368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78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78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Lojas - Farmacia (fim do periodo)</t>
        </is>
      </c>
      <c r="D63" s="11">
        <f>IF(SUMPRODUCT((Inputs!$B$4:$B$150=$B63)*ISNUMBER(INDEX(Inputs!$D$4:$AG$150,0,MATCH(D$2,Inputs!$D$2:$AG$2,0))))=0,"",SUMIFS(INDEX(Inputs!$D$4:$AG$150,0,MATCH(D$2,Inputs!$D$2:$AG$2,0)),Inputs!$B$4:$B$150,$B63)/1000)</f>
        <v>0</v>
      </c>
      <c r="E63" s="11">
        <f>IF(SUMPRODUCT((Inputs!$B$4:$B$150=$B63)*ISNUMBER(INDEX(Inputs!$D$4:$AG$150,0,MATCH(E$2,Inputs!$D$2:$AG$2,0))))=0,"",SUMIFS(INDEX(Inputs!$D$4:$AG$150,0,MATCH(E$2,Inputs!$D$2:$AG$2,0)),Inputs!$B$4:$B$150,$B63)/1000)</f>
        <v>0</v>
      </c>
      <c r="F63" s="11">
        <f>IF(SUMPRODUCT((Inputs!$B$4:$B$150=$B63)*ISNUMBER(INDEX(Inputs!$D$4:$AG$150,0,MATCH(F$2,Inputs!$D$2:$AG$2,0))))=0,"",SUMIFS(INDEX(Inputs!$D$4:$AG$150,0,MATCH(F$2,Inputs!$D$2:$AG$2,0)),Inputs!$B$4:$B$150,$B63)/1000)</f>
        <v>0</v>
      </c>
      <c r="G63" s="11">
        <f>IF(SUMPRODUCT((Inputs!$B$4:$B$150=$B63)*ISNUMBER(INDEX(Inputs!$D$4:$AG$150,0,MATCH(G$2,Inputs!$D$2:$AG$2,0))))=0,"",SUMIFS(INDEX(Inputs!$D$4:$AG$150,0,MATCH(G$2,Inputs!$D$2:$AG$2,0)),Inputs!$B$4:$B$150,$B63)/1000)</f>
        <v>0</v>
      </c>
      <c r="H63" s="12">
        <f>IF(COUNT(D63:G63)=4,SUM(D63:G63),"")</f>
        <v>0</v>
      </c>
      <c r="I63" s="11">
        <f>IF(SUMPRODUCT((Inputs!$B$4:$B$150=$B63)*ISNUMBER(INDEX(Inputs!$D$4:$AG$150,0,MATCH(I$2,Inputs!$D$2:$AG$2,0))))=0,"",SUMIFS(INDEX(Inputs!$D$4:$AG$150,0,MATCH(I$2,Inputs!$D$2:$AG$2,0)),Inputs!$B$4:$B$150,$B63)/1000)</f>
        <v>0</v>
      </c>
      <c r="J63" s="11">
        <f>IF(SUMPRODUCT((Inputs!$B$4:$B$150=$B63)*ISNUMBER(INDEX(Inputs!$D$4:$AG$150,0,MATCH(J$2,Inputs!$D$2:$AG$2,0))))=0,"",SUMIFS(INDEX(Inputs!$D$4:$AG$150,0,MATCH(J$2,Inputs!$D$2:$AG$2,0)),Inputs!$B$4:$B$150,$B63)/1000)</f>
        <v>0</v>
      </c>
      <c r="K63" s="11">
        <f>IF(SUMPRODUCT((Inputs!$B$4:$B$150=$B63)*ISNUMBER(INDEX(Inputs!$D$4:$AG$150,0,MATCH(K$2,Inputs!$D$2:$AG$2,0))))=0,"",SUMIFS(INDEX(Inputs!$D$4:$AG$150,0,MATCH(K$2,Inputs!$D$2:$AG$2,0)),Inputs!$B$4:$B$150,$B63)/1000)</f>
        <v>0</v>
      </c>
      <c r="L63" s="11">
        <f>IF(SUMPRODUCT((Inputs!$B$4:$B$150=$B63)*ISNUMBER(INDEX(Inputs!$D$4:$AG$150,0,MATCH(L$2,Inputs!$D$2:$AG$2,0))))=0,"",SUMIFS(INDEX(Inputs!$D$4:$AG$150,0,MATCH(L$2,Inputs!$D$2:$AG$2,0)),Inputs!$B$4:$B$150,$B63)/1000)</f>
        <v>0</v>
      </c>
      <c r="M63" s="12">
        <f>IF(COUNT(I63:L63)=4,SUM(I63:L63),"")</f>
        <v>0</v>
      </c>
      <c r="N63" s="11">
        <f>IF(SUMPRODUCT((Inputs!$B$4:$B$150=$B63)*ISNUMBER(INDEX(Inputs!$D$4:$AG$150,0,MATCH(N$2,Inputs!$D$2:$AG$2,0))))=0,"",SUMIFS(INDEX(Inputs!$D$4:$AG$150,0,MATCH(N$2,Inputs!$D$2:$AG$2,0)),Inputs!$B$4:$B$150,$B63)/1000)</f>
        <v>0</v>
      </c>
      <c r="O63" s="11">
        <f>IF(SUMPRODUCT((Inputs!$B$4:$B$150=$B63)*ISNUMBER(INDEX(Inputs!$D$4:$AG$150,0,MATCH(O$2,Inputs!$D$2:$AG$2,0))))=0,"",SUMIFS(INDEX(Inputs!$D$4:$AG$150,0,MATCH(O$2,Inputs!$D$2:$AG$2,0)),Inputs!$B$4:$B$150,$B63)/1000)</f>
        <v>0</v>
      </c>
      <c r="P63" s="11">
        <f>IF(SUMPRODUCT((Inputs!$B$4:$B$150=$B63)*ISNUMBER(INDEX(Inputs!$D$4:$AG$150,0,MATCH(P$2,Inputs!$D$2:$AG$2,0))))=0,"",SUMIFS(INDEX(Inputs!$D$4:$AG$150,0,MATCH(P$2,Inputs!$D$2:$AG$2,0)),Inputs!$B$4:$B$150,$B63)/1000)</f>
        <v>0</v>
      </c>
      <c r="Q63" s="11">
        <f>IF(SUMPRODUCT((Inputs!$B$4:$B$150=$B63)*ISNUMBER(INDEX(Inputs!$D$4:$AG$150,0,MATCH(Q$2,Inputs!$D$2:$AG$2,0))))=0,"",SUMIFS(INDEX(Inputs!$D$4:$AG$150,0,MATCH(Q$2,Inputs!$D$2:$AG$2,0)),Inputs!$B$4:$B$150,$B63)/1000)</f>
        <v>0</v>
      </c>
      <c r="R63" s="12">
        <f>IF(COUNT(N63:Q63)=4,SUM(N63:Q63),"")</f>
        <v>0</v>
      </c>
      <c r="S63" s="11">
        <f>IF(SUMPRODUCT((Inputs!$B$4:$B$150=$B63)*ISNUMBER(INDEX(Inputs!$D$4:$AG$150,0,MATCH(S$2,Inputs!$D$2:$AG$2,0))))=0,"",SUMIFS(INDEX(Inputs!$D$4:$AG$150,0,MATCH(S$2,Inputs!$D$2:$AG$2,0)),Inputs!$B$4:$B$150,$B63)/1000)</f>
        <v>0</v>
      </c>
      <c r="T63" s="11">
        <f>IF(SUMPRODUCT((Inputs!$B$4:$B$150=$B63)*ISNUMBER(INDEX(Inputs!$D$4:$AG$150,0,MATCH(T$2,Inputs!$D$2:$AG$2,0))))=0,"",SUMIFS(INDEX(Inputs!$D$4:$AG$150,0,MATCH(T$2,Inputs!$D$2:$AG$2,0)),Inputs!$B$4:$B$150,$B63)/1000)</f>
        <v>0</v>
      </c>
      <c r="U63" s="11">
        <f>IF(SUMPRODUCT((Inputs!$B$4:$B$150=$B63)*ISNUMBER(INDEX(Inputs!$D$4:$AG$150,0,MATCH(U$2,Inputs!$D$2:$AG$2,0))))=0,"",SUMIFS(INDEX(Inputs!$D$4:$AG$150,0,MATCH(U$2,Inputs!$D$2:$AG$2,0)),Inputs!$B$4:$B$150,$B63)/1000)</f>
        <v>0</v>
      </c>
      <c r="V63" s="11">
        <f>IF(SUMPRODUCT((Inputs!$B$4:$B$150=$B63)*ISNUMBER(INDEX(Inputs!$D$4:$AG$150,0,MATCH(V$2,Inputs!$D$2:$AG$2,0))))=0,"",SUMIFS(INDEX(Inputs!$D$4:$AG$150,0,MATCH(V$2,Inputs!$D$2:$AG$2,0)),Inputs!$B$4:$B$150,$B63)/1000)</f>
        <v>0</v>
      </c>
      <c r="W63" s="12">
        <f>IF(COUNT(S63:V63)=4,SUM(S63:V63),"")</f>
        <v>0</v>
      </c>
      <c r="X63" s="11">
        <f>IF(SUMPRODUCT((Inputs!$B$4:$B$150=$B63)*ISNUMBER(INDEX(Inputs!$D$4:$AG$150,0,MATCH(X$2,Inputs!$D$2:$AG$2,0))))=0,"",SUMIFS(INDEX(Inputs!$D$4:$AG$150,0,MATCH(X$2,Inputs!$D$2:$AG$2,0)),Inputs!$B$4:$B$150,$B63)/1000)</f>
        <v>0</v>
      </c>
      <c r="Y63" s="11">
        <f>IF(SUMPRODUCT((Inputs!$B$4:$B$150=$B63)*ISNUMBER(INDEX(Inputs!$D$4:$AG$150,0,MATCH(Y$2,Inputs!$D$2:$AG$2,0))))=0,"",SUMIFS(INDEX(Inputs!$D$4:$AG$150,0,MATCH(Y$2,Inputs!$D$2:$AG$2,0)),Inputs!$B$4:$B$150,$B63)/1000)</f>
        <v>0</v>
      </c>
      <c r="Z63" s="11">
        <f>IF(SUMPRODUCT((Inputs!$B$4:$B$150=$B63)*ISNUMBER(INDEX(Inputs!$D$4:$AG$150,0,MATCH(Z$2,Inputs!$D$2:$AG$2,0))))=0,"",SUMIFS(INDEX(Inputs!$D$4:$AG$150,0,MATCH(Z$2,Inputs!$D$2:$AG$2,0)),Inputs!$B$4:$B$150,$B63)/1000)</f>
        <v>0</v>
      </c>
      <c r="AA63" s="11">
        <f>IF(SUMPRODUCT((Inputs!$B$4:$B$150=$B63)*ISNUMBER(INDEX(Inputs!$D$4:$AG$150,0,MATCH(AA$2,Inputs!$D$2:$AG$2,0))))=0,"",SUMIFS(INDEX(Inputs!$D$4:$AG$150,0,MATCH(AA$2,Inputs!$D$2:$AG$2,0)),Inputs!$B$4:$B$150,$B63)/1000)</f>
        <v>0</v>
      </c>
      <c r="AB63" s="12">
        <f>IF(COUNT(X63:AA63)=4,SUM(X63:AA63),"")</f>
        <v>0</v>
      </c>
      <c r="AC63" s="11">
        <f>IF(SUMPRODUCT((Inputs!$B$4:$B$150=$B63)*ISNUMBER(INDEX(Inputs!$D$4:$AG$150,0,MATCH(AC$2,Inputs!$D$2:$AG$2,0))))=0,"",SUMIFS(INDEX(Inputs!$D$4:$AG$150,0,MATCH(AC$2,Inputs!$D$2:$AG$2,0)),Inputs!$B$4:$B$150,$B63)/1000)</f>
        <v>0</v>
      </c>
      <c r="AD63" s="11">
        <f>IF(SUMPRODUCT((Inputs!$B$4:$B$150=$B63)*ISNUMBER(INDEX(Inputs!$D$4:$AG$150,0,MATCH(AD$2,Inputs!$D$2:$AG$2,0))))=0,"",SUMIFS(INDEX(Inputs!$D$4:$AG$150,0,MATCH(AD$2,Inputs!$D$2:$AG$2,0)),Inputs!$B$4:$B$150,$B63)/1000)</f>
        <v>1</v>
      </c>
      <c r="AE63" s="11" t="str">
        <f>IF(SUMPRODUCT((Inputs!$B$4:$B$150=$B63)*ISNUMBER(INDEX(Inputs!$D$4:$AG$150,0,MATCH(AE$2,Inputs!$D$2:$AG$2,0))))=0,"",SUMIFS(INDEX(Inputs!$D$4:$AG$150,0,MATCH(AE$2,Inputs!$D$2:$AG$2,0)),Inputs!$B$4:$B$150,$B63)/1000)</f>
        <v/>
      </c>
      <c r="AF63" s="11" t="str">
        <f>IF(SUMPRODUCT((Inputs!$B$4:$B$150=$B63)*ISNUMBER(INDEX(Inputs!$D$4:$AG$150,0,MATCH(AF$2,Inputs!$D$2:$AG$2,0))))=0,"",SUMIFS(INDEX(Inputs!$D$4:$AG$150,0,MATCH(AF$2,Inputs!$D$2:$AG$2,0)),Inputs!$B$4:$B$150,$B63)/1000)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Area de vendas - Atacarejo (m2; a aba diz "mil m2" mas os valores estao em m2)</t>
        </is>
      </c>
      <c r="D64" s="11">
        <f>IF(SUMPRODUCT((Inputs!$B$4:$B$150=$B64)*ISNUMBER(INDEX(Inputs!$D$4:$AG$150,0,MATCH(D$2,Inputs!$D$2:$AG$2,0))))=0,"",SUMIFS(INDEX(Inputs!$D$4:$AG$150,0,MATCH(D$2,Inputs!$D$2:$AG$2,0)),Inputs!$B$4:$B$150,$B64)/1000)</f>
        <v>172313.3707</v>
      </c>
      <c r="E64" s="11">
        <f>IF(SUMPRODUCT((Inputs!$B$4:$B$150=$B64)*ISNUMBER(INDEX(Inputs!$D$4:$AG$150,0,MATCH(E$2,Inputs!$D$2:$AG$2,0))))=0,"",SUMIFS(INDEX(Inputs!$D$4:$AG$150,0,MATCH(E$2,Inputs!$D$2:$AG$2,0)),Inputs!$B$4:$B$150,$B64)/1000)</f>
        <v>186618.8407</v>
      </c>
      <c r="F64" s="11">
        <f>IF(SUMPRODUCT((Inputs!$B$4:$B$150=$B64)*ISNUMBER(INDEX(Inputs!$D$4:$AG$150,0,MATCH(F$2,Inputs!$D$2:$AG$2,0))))=0,"",SUMIFS(INDEX(Inputs!$D$4:$AG$150,0,MATCH(F$2,Inputs!$D$2:$AG$2,0)),Inputs!$B$4:$B$150,$B64)/1000)</f>
        <v>195258</v>
      </c>
      <c r="G64" s="11">
        <f>IF(SUMPRODUCT((Inputs!$B$4:$B$150=$B64)*ISNUMBER(INDEX(Inputs!$D$4:$AG$150,0,MATCH(G$2,Inputs!$D$2:$AG$2,0))))=0,"",SUMIFS(INDEX(Inputs!$D$4:$AG$150,0,MATCH(G$2,Inputs!$D$2:$AG$2,0)),Inputs!$B$4:$B$150,$B64)/1000)</f>
        <v>204422</v>
      </c>
      <c r="H64" s="12">
        <f>IF(COUNT(D64:G64)=4,SUM(D64:G64),"")</f>
        <v>758612.2114</v>
      </c>
      <c r="I64" s="11">
        <f>IF(SUMPRODUCT((Inputs!$B$4:$B$150=$B64)*ISNUMBER(INDEX(Inputs!$D$4:$AG$150,0,MATCH(I$2,Inputs!$D$2:$AG$2,0))))=0,"",SUMIFS(INDEX(Inputs!$D$4:$AG$150,0,MATCH(I$2,Inputs!$D$2:$AG$2,0)),Inputs!$B$4:$B$150,$B64)/1000)</f>
        <v>236290</v>
      </c>
      <c r="J64" s="11">
        <f>IF(SUMPRODUCT((Inputs!$B$4:$B$150=$B64)*ISNUMBER(INDEX(Inputs!$D$4:$AG$150,0,MATCH(J$2,Inputs!$D$2:$AG$2,0))))=0,"",SUMIFS(INDEX(Inputs!$D$4:$AG$150,0,MATCH(J$2,Inputs!$D$2:$AG$2,0)),Inputs!$B$4:$B$150,$B64)/1000)</f>
        <v>247402</v>
      </c>
      <c r="K64" s="11">
        <f>IF(SUMPRODUCT((Inputs!$B$4:$B$150=$B64)*ISNUMBER(INDEX(Inputs!$D$4:$AG$150,0,MATCH(K$2,Inputs!$D$2:$AG$2,0))))=0,"",SUMIFS(INDEX(Inputs!$D$4:$AG$150,0,MATCH(K$2,Inputs!$D$2:$AG$2,0)),Inputs!$B$4:$B$150,$B64)/1000)</f>
        <v>258719</v>
      </c>
      <c r="L64" s="11">
        <f>IF(SUMPRODUCT((Inputs!$B$4:$B$150=$B64)*ISNUMBER(INDEX(Inputs!$D$4:$AG$150,0,MATCH(L$2,Inputs!$D$2:$AG$2,0))))=0,"",SUMIFS(INDEX(Inputs!$D$4:$AG$150,0,MATCH(L$2,Inputs!$D$2:$AG$2,0)),Inputs!$B$4:$B$150,$B64)/1000)</f>
        <v>281028</v>
      </c>
      <c r="M64" s="12">
        <f>IF(COUNT(I64:L64)=4,SUM(I64:L64),"")</f>
        <v>1023439</v>
      </c>
      <c r="N64" s="11">
        <f>IF(SUMPRODUCT((Inputs!$B$4:$B$150=$B64)*ISNUMBER(INDEX(Inputs!$D$4:$AG$150,0,MATCH(N$2,Inputs!$D$2:$AG$2,0))))=0,"",SUMIFS(INDEX(Inputs!$D$4:$AG$150,0,MATCH(N$2,Inputs!$D$2:$AG$2,0)),Inputs!$B$4:$B$150,$B64)/1000)</f>
        <v>297424.3507</v>
      </c>
      <c r="O64" s="11">
        <f>IF(SUMPRODUCT((Inputs!$B$4:$B$150=$B64)*ISNUMBER(INDEX(Inputs!$D$4:$AG$150,0,MATCH(O$2,Inputs!$D$2:$AG$2,0))))=0,"",SUMIFS(INDEX(Inputs!$D$4:$AG$150,0,MATCH(O$2,Inputs!$D$2:$AG$2,0)),Inputs!$B$4:$B$150,$B64)/1000)</f>
        <v>304425</v>
      </c>
      <c r="P64" s="11">
        <f>IF(SUMPRODUCT((Inputs!$B$4:$B$150=$B64)*ISNUMBER(INDEX(Inputs!$D$4:$AG$150,0,MATCH(P$2,Inputs!$D$2:$AG$2,0))))=0,"",SUMIFS(INDEX(Inputs!$D$4:$AG$150,0,MATCH(P$2,Inputs!$D$2:$AG$2,0)),Inputs!$B$4:$B$150,$B64)/1000)</f>
        <v>321276.3507</v>
      </c>
      <c r="Q64" s="11">
        <f>IF(SUMPRODUCT((Inputs!$B$4:$B$150=$B64)*ISNUMBER(INDEX(Inputs!$D$4:$AG$150,0,MATCH(Q$2,Inputs!$D$2:$AG$2,0))))=0,"",SUMIFS(INDEX(Inputs!$D$4:$AG$150,0,MATCH(Q$2,Inputs!$D$2:$AG$2,0)),Inputs!$B$4:$B$150,$B64)/1000)</f>
        <v>362853.9707</v>
      </c>
      <c r="R64" s="12">
        <f>IF(COUNT(N64:Q64)=4,SUM(N64:Q64),"")</f>
        <v>1285979.6721</v>
      </c>
      <c r="S64" s="11">
        <f>IF(SUMPRODUCT((Inputs!$B$4:$B$150=$B64)*ISNUMBER(INDEX(Inputs!$D$4:$AG$150,0,MATCH(S$2,Inputs!$D$2:$AG$2,0))))=0,"",SUMIFS(INDEX(Inputs!$D$4:$AG$150,0,MATCH(S$2,Inputs!$D$2:$AG$2,0)),Inputs!$B$4:$B$150,$B64)/1000)</f>
        <v>370218.7007</v>
      </c>
      <c r="T64" s="11">
        <f>IF(SUMPRODUCT((Inputs!$B$4:$B$150=$B64)*ISNUMBER(INDEX(Inputs!$D$4:$AG$150,0,MATCH(T$2,Inputs!$D$2:$AG$2,0))))=0,"",SUMIFS(INDEX(Inputs!$D$4:$AG$150,0,MATCH(T$2,Inputs!$D$2:$AG$2,0)),Inputs!$B$4:$B$150,$B64)/1000)</f>
        <v>376739.5907</v>
      </c>
      <c r="U64" s="11">
        <f>IF(SUMPRODUCT((Inputs!$B$4:$B$150=$B64)*ISNUMBER(INDEX(Inputs!$D$4:$AG$150,0,MATCH(U$2,Inputs!$D$2:$AG$2,0))))=0,"",SUMIFS(INDEX(Inputs!$D$4:$AG$150,0,MATCH(U$2,Inputs!$D$2:$AG$2,0)),Inputs!$B$4:$B$150,$B64)/1000)</f>
        <v>391853.7907</v>
      </c>
      <c r="V64" s="11">
        <f>IF(SUMPRODUCT((Inputs!$B$4:$B$150=$B64)*ISNUMBER(INDEX(Inputs!$D$4:$AG$150,0,MATCH(V$2,Inputs!$D$2:$AG$2,0))))=0,"",SUMIFS(INDEX(Inputs!$D$4:$AG$150,0,MATCH(V$2,Inputs!$D$2:$AG$2,0)),Inputs!$B$4:$B$150,$B64)/1000)</f>
        <v>401125.4007</v>
      </c>
      <c r="W64" s="12">
        <f>IF(COUNT(S64:V64)=4,SUM(S64:V64),"")</f>
        <v>1539937.4828</v>
      </c>
      <c r="X64" s="11">
        <f>IF(SUMPRODUCT((Inputs!$B$4:$B$150=$B64)*ISNUMBER(INDEX(Inputs!$D$4:$AG$150,0,MATCH(X$2,Inputs!$D$2:$AG$2,0))))=0,"",SUMIFS(INDEX(Inputs!$D$4:$AG$150,0,MATCH(X$2,Inputs!$D$2:$AG$2,0)),Inputs!$B$4:$B$150,$B64)/1000)</f>
        <v>408033.4007</v>
      </c>
      <c r="Y64" s="11">
        <f>IF(SUMPRODUCT((Inputs!$B$4:$B$150=$B64)*ISNUMBER(INDEX(Inputs!$D$4:$AG$150,0,MATCH(Y$2,Inputs!$D$2:$AG$2,0))))=0,"",SUMIFS(INDEX(Inputs!$D$4:$AG$150,0,MATCH(Y$2,Inputs!$D$2:$AG$2,0)),Inputs!$B$4:$B$150,$B64)/1000)</f>
        <v>425229.9607</v>
      </c>
      <c r="Z64" s="11">
        <f>IF(SUMPRODUCT((Inputs!$B$4:$B$150=$B64)*ISNUMBER(INDEX(Inputs!$D$4:$AG$150,0,MATCH(Z$2,Inputs!$D$2:$AG$2,0))))=0,"",SUMIFS(INDEX(Inputs!$D$4:$AG$150,0,MATCH(Z$2,Inputs!$D$2:$AG$2,0)),Inputs!$B$4:$B$150,$B64)/1000)</f>
        <v>433065.9607</v>
      </c>
      <c r="AA64" s="11">
        <f>IF(SUMPRODUCT((Inputs!$B$4:$B$150=$B64)*ISNUMBER(INDEX(Inputs!$D$4:$AG$150,0,MATCH(AA$2,Inputs!$D$2:$AG$2,0))))=0,"",SUMIFS(INDEX(Inputs!$D$4:$AG$150,0,MATCH(AA$2,Inputs!$D$2:$AG$2,0)),Inputs!$B$4:$B$150,$B64)/1000)</f>
        <v>445430.3807</v>
      </c>
      <c r="AB64" s="12">
        <f>IF(COUNT(X64:AA64)=4,SUM(X64:AA64),"")</f>
        <v>1711759.7028</v>
      </c>
      <c r="AC64" s="11">
        <f>IF(SUMPRODUCT((Inputs!$B$4:$B$150=$B64)*ISNUMBER(INDEX(Inputs!$D$4:$AG$150,0,MATCH(AC$2,Inputs!$D$2:$AG$2,0))))=0,"",SUMIFS(INDEX(Inputs!$D$4:$AG$150,0,MATCH(AC$2,Inputs!$D$2:$AG$2,0)),Inputs!$B$4:$B$150,$B64)/1000)</f>
        <v>455002</v>
      </c>
      <c r="AD64" s="11">
        <f>IF(SUMPRODUCT((Inputs!$B$4:$B$150=$B64)*ISNUMBER(INDEX(Inputs!$D$4:$AG$150,0,MATCH(AD$2,Inputs!$D$2:$AG$2,0))))=0,"",SUMIFS(INDEX(Inputs!$D$4:$AG$150,0,MATCH(AD$2,Inputs!$D$2:$AG$2,0)),Inputs!$B$4:$B$150,$B64)/1000)</f>
        <v>346191.3807</v>
      </c>
      <c r="AE64" s="11" t="str">
        <f>IF(SUMPRODUCT((Inputs!$B$4:$B$150=$B64)*ISNUMBER(INDEX(Inputs!$D$4:$AG$150,0,MATCH(AE$2,Inputs!$D$2:$AG$2,0))))=0,"",SUMIFS(INDEX(Inputs!$D$4:$AG$150,0,MATCH(AE$2,Inputs!$D$2:$AG$2,0)),Inputs!$B$4:$B$150,$B64)/1000)</f>
        <v/>
      </c>
      <c r="AF64" s="11" t="str">
        <f>IF(SUMPRODUCT((Inputs!$B$4:$B$150=$B64)*ISNUMBER(INDEX(Inputs!$D$4:$AG$150,0,MATCH(AF$2,Inputs!$D$2:$AG$2,0))))=0,"",SUMIFS(INDEX(Inputs!$D$4:$AG$150,0,MATCH(AF$2,Inputs!$D$2:$AG$2,0)),Inputs!$B$4:$B$150,$B64)/1000)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Area de vendas - Novo Atacarejo (m2)</t>
        </is>
      </c>
      <c r="D65" s="11">
        <f>IF(SUMPRODUCT((Inputs!$B$4:$B$150=$B65)*ISNUMBER(INDEX(Inputs!$D$4:$AG$150,0,MATCH(D$2,Inputs!$D$2:$AG$2,0))))=0,"",SUMIFS(INDEX(Inputs!$D$4:$AG$150,0,MATCH(D$2,Inputs!$D$2:$AG$2,0)),Inputs!$B$4:$B$150,$B65)/1000)</f>
        <v>0</v>
      </c>
      <c r="E65" s="11">
        <f>IF(SUMPRODUCT((Inputs!$B$4:$B$150=$B65)*ISNUMBER(INDEX(Inputs!$D$4:$AG$150,0,MATCH(E$2,Inputs!$D$2:$AG$2,0))))=0,"",SUMIFS(INDEX(Inputs!$D$4:$AG$150,0,MATCH(E$2,Inputs!$D$2:$AG$2,0)),Inputs!$B$4:$B$150,$B65)/1000)</f>
        <v>0</v>
      </c>
      <c r="F65" s="11">
        <f>IF(SUMPRODUCT((Inputs!$B$4:$B$150=$B65)*ISNUMBER(INDEX(Inputs!$D$4:$AG$150,0,MATCH(F$2,Inputs!$D$2:$AG$2,0))))=0,"",SUMIFS(INDEX(Inputs!$D$4:$AG$150,0,MATCH(F$2,Inputs!$D$2:$AG$2,0)),Inputs!$B$4:$B$150,$B65)/1000)</f>
        <v>0</v>
      </c>
      <c r="G65" s="11">
        <f>IF(SUMPRODUCT((Inputs!$B$4:$B$150=$B65)*ISNUMBER(INDEX(Inputs!$D$4:$AG$150,0,MATCH(G$2,Inputs!$D$2:$AG$2,0))))=0,"",SUMIFS(INDEX(Inputs!$D$4:$AG$150,0,MATCH(G$2,Inputs!$D$2:$AG$2,0)),Inputs!$B$4:$B$150,$B65)/1000)</f>
        <v>0</v>
      </c>
      <c r="H65" s="12">
        <f>IF(COUNT(D65:G65)=4,SUM(D65:G65),"")</f>
        <v>0</v>
      </c>
      <c r="I65" s="11">
        <f>IF(SUMPRODUCT((Inputs!$B$4:$B$150=$B65)*ISNUMBER(INDEX(Inputs!$D$4:$AG$150,0,MATCH(I$2,Inputs!$D$2:$AG$2,0))))=0,"",SUMIFS(INDEX(Inputs!$D$4:$AG$150,0,MATCH(I$2,Inputs!$D$2:$AG$2,0)),Inputs!$B$4:$B$150,$B65)/1000)</f>
        <v>0</v>
      </c>
      <c r="J65" s="11">
        <f>IF(SUMPRODUCT((Inputs!$B$4:$B$150=$B65)*ISNUMBER(INDEX(Inputs!$D$4:$AG$150,0,MATCH(J$2,Inputs!$D$2:$AG$2,0))))=0,"",SUMIFS(INDEX(Inputs!$D$4:$AG$150,0,MATCH(J$2,Inputs!$D$2:$AG$2,0)),Inputs!$B$4:$B$150,$B65)/1000)</f>
        <v>0</v>
      </c>
      <c r="K65" s="11">
        <f>IF(SUMPRODUCT((Inputs!$B$4:$B$150=$B65)*ISNUMBER(INDEX(Inputs!$D$4:$AG$150,0,MATCH(K$2,Inputs!$D$2:$AG$2,0))))=0,"",SUMIFS(INDEX(Inputs!$D$4:$AG$150,0,MATCH(K$2,Inputs!$D$2:$AG$2,0)),Inputs!$B$4:$B$150,$B65)/1000)</f>
        <v>0</v>
      </c>
      <c r="L65" s="11">
        <f>IF(SUMPRODUCT((Inputs!$B$4:$B$150=$B65)*ISNUMBER(INDEX(Inputs!$D$4:$AG$150,0,MATCH(L$2,Inputs!$D$2:$AG$2,0))))=0,"",SUMIFS(INDEX(Inputs!$D$4:$AG$150,0,MATCH(L$2,Inputs!$D$2:$AG$2,0)),Inputs!$B$4:$B$150,$B65)/1000)</f>
        <v>0</v>
      </c>
      <c r="M65" s="12">
        <f>IF(COUNT(I65:L65)=4,SUM(I65:L65),"")</f>
        <v>0</v>
      </c>
      <c r="N65" s="11">
        <f>IF(SUMPRODUCT((Inputs!$B$4:$B$150=$B65)*ISNUMBER(INDEX(Inputs!$D$4:$AG$150,0,MATCH(N$2,Inputs!$D$2:$AG$2,0))))=0,"",SUMIFS(INDEX(Inputs!$D$4:$AG$150,0,MATCH(N$2,Inputs!$D$2:$AG$2,0)),Inputs!$B$4:$B$150,$B65)/1000)</f>
        <v>0</v>
      </c>
      <c r="O65" s="11">
        <f>IF(SUMPRODUCT((Inputs!$B$4:$B$150=$B65)*ISNUMBER(INDEX(Inputs!$D$4:$AG$150,0,MATCH(O$2,Inputs!$D$2:$AG$2,0))))=0,"",SUMIFS(INDEX(Inputs!$D$4:$AG$150,0,MATCH(O$2,Inputs!$D$2:$AG$2,0)),Inputs!$B$4:$B$150,$B65)/1000)</f>
        <v>0</v>
      </c>
      <c r="P65" s="11">
        <f>IF(SUMPRODUCT((Inputs!$B$4:$B$150=$B65)*ISNUMBER(INDEX(Inputs!$D$4:$AG$150,0,MATCH(P$2,Inputs!$D$2:$AG$2,0))))=0,"",SUMIFS(INDEX(Inputs!$D$4:$AG$150,0,MATCH(P$2,Inputs!$D$2:$AG$2,0)),Inputs!$B$4:$B$150,$B65)/1000)</f>
        <v>0</v>
      </c>
      <c r="Q65" s="11">
        <f>IF(SUMPRODUCT((Inputs!$B$4:$B$150=$B65)*ISNUMBER(INDEX(Inputs!$D$4:$AG$150,0,MATCH(Q$2,Inputs!$D$2:$AG$2,0))))=0,"",SUMIFS(INDEX(Inputs!$D$4:$AG$150,0,MATCH(Q$2,Inputs!$D$2:$AG$2,0)),Inputs!$B$4:$B$150,$B65)/1000)</f>
        <v>0</v>
      </c>
      <c r="R65" s="12">
        <f>IF(COUNT(N65:Q65)=4,SUM(N65:Q65),"")</f>
        <v>0</v>
      </c>
      <c r="S65" s="11">
        <f>IF(SUMPRODUCT((Inputs!$B$4:$B$150=$B65)*ISNUMBER(INDEX(Inputs!$D$4:$AG$150,0,MATCH(S$2,Inputs!$D$2:$AG$2,0))))=0,"",SUMIFS(INDEX(Inputs!$D$4:$AG$150,0,MATCH(S$2,Inputs!$D$2:$AG$2,0)),Inputs!$B$4:$B$150,$B65)/1000)</f>
        <v>0</v>
      </c>
      <c r="T65" s="11">
        <f>IF(SUMPRODUCT((Inputs!$B$4:$B$150=$B65)*ISNUMBER(INDEX(Inputs!$D$4:$AG$150,0,MATCH(T$2,Inputs!$D$2:$AG$2,0))))=0,"",SUMIFS(INDEX(Inputs!$D$4:$AG$150,0,MATCH(T$2,Inputs!$D$2:$AG$2,0)),Inputs!$B$4:$B$150,$B65)/1000)</f>
        <v>0</v>
      </c>
      <c r="U65" s="11">
        <f>IF(SUMPRODUCT((Inputs!$B$4:$B$150=$B65)*ISNUMBER(INDEX(Inputs!$D$4:$AG$150,0,MATCH(U$2,Inputs!$D$2:$AG$2,0))))=0,"",SUMIFS(INDEX(Inputs!$D$4:$AG$150,0,MATCH(U$2,Inputs!$D$2:$AG$2,0)),Inputs!$B$4:$B$150,$B65)/1000)</f>
        <v>0</v>
      </c>
      <c r="V65" s="11">
        <f>IF(SUMPRODUCT((Inputs!$B$4:$B$150=$B65)*ISNUMBER(INDEX(Inputs!$D$4:$AG$150,0,MATCH(V$2,Inputs!$D$2:$AG$2,0))))=0,"",SUMIFS(INDEX(Inputs!$D$4:$AG$150,0,MATCH(V$2,Inputs!$D$2:$AG$2,0)),Inputs!$B$4:$B$150,$B65)/1000)</f>
        <v>0</v>
      </c>
      <c r="W65" s="12">
        <f>IF(COUNT(S65:V65)=4,SUM(S65:V65),"")</f>
        <v>0</v>
      </c>
      <c r="X65" s="11">
        <f>IF(SUMPRODUCT((Inputs!$B$4:$B$150=$B65)*ISNUMBER(INDEX(Inputs!$D$4:$AG$150,0,MATCH(X$2,Inputs!$D$2:$AG$2,0))))=0,"",SUMIFS(INDEX(Inputs!$D$4:$AG$150,0,MATCH(X$2,Inputs!$D$2:$AG$2,0)),Inputs!$B$4:$B$150,$B65)/1000)</f>
        <v>0</v>
      </c>
      <c r="Y65" s="11">
        <f>IF(SUMPRODUCT((Inputs!$B$4:$B$150=$B65)*ISNUMBER(INDEX(Inputs!$D$4:$AG$150,0,MATCH(Y$2,Inputs!$D$2:$AG$2,0))))=0,"",SUMIFS(INDEX(Inputs!$D$4:$AG$150,0,MATCH(Y$2,Inputs!$D$2:$AG$2,0)),Inputs!$B$4:$B$150,$B65)/1000)</f>
        <v>0</v>
      </c>
      <c r="Z65" s="11">
        <f>IF(SUMPRODUCT((Inputs!$B$4:$B$150=$B65)*ISNUMBER(INDEX(Inputs!$D$4:$AG$150,0,MATCH(Z$2,Inputs!$D$2:$AG$2,0))))=0,"",SUMIFS(INDEX(Inputs!$D$4:$AG$150,0,MATCH(Z$2,Inputs!$D$2:$AG$2,0)),Inputs!$B$4:$B$150,$B65)/1000)</f>
        <v>137197</v>
      </c>
      <c r="AA65" s="11">
        <f>IF(SUMPRODUCT((Inputs!$B$4:$B$150=$B65)*ISNUMBER(INDEX(Inputs!$D$4:$AG$150,0,MATCH(AA$2,Inputs!$D$2:$AG$2,0))))=0,"",SUMIFS(INDEX(Inputs!$D$4:$AG$150,0,MATCH(AA$2,Inputs!$D$2:$AG$2,0)),Inputs!$B$4:$B$150,$B65)/1000)</f>
        <v>140920.05</v>
      </c>
      <c r="AB65" s="12">
        <f>IF(COUNT(X65:AA65)=4,SUM(X65:AA65),"")</f>
        <v>278117.05</v>
      </c>
      <c r="AC65" s="11">
        <f>IF(SUMPRODUCT((Inputs!$B$4:$B$150=$B65)*ISNUMBER(INDEX(Inputs!$D$4:$AG$150,0,MATCH(AC$2,Inputs!$D$2:$AG$2,0))))=0,"",SUMIFS(INDEX(Inputs!$D$4:$AG$150,0,MATCH(AC$2,Inputs!$D$2:$AG$2,0)),Inputs!$B$4:$B$150,$B65)/1000)</f>
        <v>140920</v>
      </c>
      <c r="AD65" s="11">
        <f>IF(SUMPRODUCT((Inputs!$B$4:$B$150=$B65)*ISNUMBER(INDEX(Inputs!$D$4:$AG$150,0,MATCH(AD$2,Inputs!$D$2:$AG$2,0))))=0,"",SUMIFS(INDEX(Inputs!$D$4:$AG$150,0,MATCH(AD$2,Inputs!$D$2:$AG$2,0)),Inputs!$B$4:$B$150,$B65)/1000)</f>
        <v>257161.53</v>
      </c>
      <c r="AE65" s="11" t="str">
        <f>IF(SUMPRODUCT((Inputs!$B$4:$B$150=$B65)*ISNUMBER(INDEX(Inputs!$D$4:$AG$150,0,MATCH(AE$2,Inputs!$D$2:$AG$2,0))))=0,"",SUMIFS(INDEX(Inputs!$D$4:$AG$150,0,MATCH(AE$2,Inputs!$D$2:$AG$2,0)),Inputs!$B$4:$B$150,$B65)/1000)</f>
        <v/>
      </c>
      <c r="AF65" s="11" t="str">
        <f>IF(SUMPRODUCT((Inputs!$B$4:$B$150=$B65)*ISNUMBER(INDEX(Inputs!$D$4:$AG$150,0,MATCH(AF$2,Inputs!$D$2:$AG$2,0))))=0,"",SUMIFS(INDEX(Inputs!$D$4:$AG$150,0,MATCH(AF$2,Inputs!$D$2:$AG$2,0)),Inputs!$B$4:$B$150,$B65)/1000)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Area de vendas - Varejo (m2)</t>
        </is>
      </c>
      <c r="D66" s="11">
        <f>IF(SUMPRODUCT((Inputs!$B$4:$B$150=$B66)*ISNUMBER(INDEX(Inputs!$D$4:$AG$150,0,MATCH(D$2,Inputs!$D$2:$AG$2,0))))=0,"",SUMIFS(INDEX(Inputs!$D$4:$AG$150,0,MATCH(D$2,Inputs!$D$2:$AG$2,0)),Inputs!$B$4:$B$150,$B66)/1000)</f>
        <v>93923.2327</v>
      </c>
      <c r="E66" s="11">
        <f>IF(SUMPRODUCT((Inputs!$B$4:$B$150=$B66)*ISNUMBER(INDEX(Inputs!$D$4:$AG$150,0,MATCH(E$2,Inputs!$D$2:$AG$2,0))))=0,"",SUMIFS(INDEX(Inputs!$D$4:$AG$150,0,MATCH(E$2,Inputs!$D$2:$AG$2,0)),Inputs!$B$4:$B$150,$B66)/1000)</f>
        <v>95641.2827</v>
      </c>
      <c r="F66" s="11">
        <f>IF(SUMPRODUCT((Inputs!$B$4:$B$150=$B66)*ISNUMBER(INDEX(Inputs!$D$4:$AG$150,0,MATCH(F$2,Inputs!$D$2:$AG$2,0))))=0,"",SUMIFS(INDEX(Inputs!$D$4:$AG$150,0,MATCH(F$2,Inputs!$D$2:$AG$2,0)),Inputs!$B$4:$B$150,$B66)/1000)</f>
        <v>97277</v>
      </c>
      <c r="G66" s="11">
        <f>IF(SUMPRODUCT((Inputs!$B$4:$B$150=$B66)*ISNUMBER(INDEX(Inputs!$D$4:$AG$150,0,MATCH(G$2,Inputs!$D$2:$AG$2,0))))=0,"",SUMIFS(INDEX(Inputs!$D$4:$AG$150,0,MATCH(G$2,Inputs!$D$2:$AG$2,0)),Inputs!$B$4:$B$150,$B66)/1000)</f>
        <v>105812</v>
      </c>
      <c r="H66" s="12">
        <f>IF(COUNT(D66:G66)=4,SUM(D66:G66),"")</f>
        <v>392653.5154</v>
      </c>
      <c r="I66" s="11">
        <f>IF(SUMPRODUCT((Inputs!$B$4:$B$150=$B66)*ISNUMBER(INDEX(Inputs!$D$4:$AG$150,0,MATCH(I$2,Inputs!$D$2:$AG$2,0))))=0,"",SUMIFS(INDEX(Inputs!$D$4:$AG$150,0,MATCH(I$2,Inputs!$D$2:$AG$2,0)),Inputs!$B$4:$B$150,$B66)/1000)</f>
        <v>116745</v>
      </c>
      <c r="J66" s="11">
        <f>IF(SUMPRODUCT((Inputs!$B$4:$B$150=$B66)*ISNUMBER(INDEX(Inputs!$D$4:$AG$150,0,MATCH(J$2,Inputs!$D$2:$AG$2,0))))=0,"",SUMIFS(INDEX(Inputs!$D$4:$AG$150,0,MATCH(J$2,Inputs!$D$2:$AG$2,0)),Inputs!$B$4:$B$150,$B66)/1000)</f>
        <v>118729</v>
      </c>
      <c r="K66" s="11">
        <f>IF(SUMPRODUCT((Inputs!$B$4:$B$150=$B66)*ISNUMBER(INDEX(Inputs!$D$4:$AG$150,0,MATCH(K$2,Inputs!$D$2:$AG$2,0))))=0,"",SUMIFS(INDEX(Inputs!$D$4:$AG$150,0,MATCH(K$2,Inputs!$D$2:$AG$2,0)),Inputs!$B$4:$B$150,$B66)/1000)</f>
        <v>120216</v>
      </c>
      <c r="L66" s="11">
        <f>IF(SUMPRODUCT((Inputs!$B$4:$B$150=$B66)*ISNUMBER(INDEX(Inputs!$D$4:$AG$150,0,MATCH(L$2,Inputs!$D$2:$AG$2,0))))=0,"",SUMIFS(INDEX(Inputs!$D$4:$AG$150,0,MATCH(L$2,Inputs!$D$2:$AG$2,0)),Inputs!$B$4:$B$150,$B66)/1000)</f>
        <v>120216</v>
      </c>
      <c r="M66" s="12">
        <f>IF(COUNT(I66:L66)=4,SUM(I66:L66),"")</f>
        <v>475906</v>
      </c>
      <c r="N66" s="11">
        <f>IF(SUMPRODUCT((Inputs!$B$4:$B$150=$B66)*ISNUMBER(INDEX(Inputs!$D$4:$AG$150,0,MATCH(N$2,Inputs!$D$2:$AG$2,0))))=0,"",SUMIFS(INDEX(Inputs!$D$4:$AG$150,0,MATCH(N$2,Inputs!$D$2:$AG$2,0)),Inputs!$B$4:$B$150,$B66)/1000)</f>
        <v>120216</v>
      </c>
      <c r="O66" s="11">
        <f>IF(SUMPRODUCT((Inputs!$B$4:$B$150=$B66)*ISNUMBER(INDEX(Inputs!$D$4:$AG$150,0,MATCH(O$2,Inputs!$D$2:$AG$2,0))))=0,"",SUMIFS(INDEX(Inputs!$D$4:$AG$150,0,MATCH(O$2,Inputs!$D$2:$AG$2,0)),Inputs!$B$4:$B$150,$B66)/1000)</f>
        <v>121271</v>
      </c>
      <c r="P66" s="11">
        <f>IF(SUMPRODUCT((Inputs!$B$4:$B$150=$B66)*ISNUMBER(INDEX(Inputs!$D$4:$AG$150,0,MATCH(P$2,Inputs!$D$2:$AG$2,0))))=0,"",SUMIFS(INDEX(Inputs!$D$4:$AG$150,0,MATCH(P$2,Inputs!$D$2:$AG$2,0)),Inputs!$B$4:$B$150,$B66)/1000)</f>
        <v>123571</v>
      </c>
      <c r="Q66" s="11">
        <f>IF(SUMPRODUCT((Inputs!$B$4:$B$150=$B66)*ISNUMBER(INDEX(Inputs!$D$4:$AG$150,0,MATCH(Q$2,Inputs!$D$2:$AG$2,0))))=0,"",SUMIFS(INDEX(Inputs!$D$4:$AG$150,0,MATCH(Q$2,Inputs!$D$2:$AG$2,0)),Inputs!$B$4:$B$150,$B66)/1000)</f>
        <v>124372</v>
      </c>
      <c r="R66" s="12">
        <f>IF(COUNT(N66:Q66)=4,SUM(N66:Q66),"")</f>
        <v>489430</v>
      </c>
      <c r="S66" s="11">
        <f>IF(SUMPRODUCT((Inputs!$B$4:$B$150=$B66)*ISNUMBER(INDEX(Inputs!$D$4:$AG$150,0,MATCH(S$2,Inputs!$D$2:$AG$2,0))))=0,"",SUMIFS(INDEX(Inputs!$D$4:$AG$150,0,MATCH(S$2,Inputs!$D$2:$AG$2,0)),Inputs!$B$4:$B$150,$B66)/1000)</f>
        <v>124372</v>
      </c>
      <c r="T66" s="11">
        <f>IF(SUMPRODUCT((Inputs!$B$4:$B$150=$B66)*ISNUMBER(INDEX(Inputs!$D$4:$AG$150,0,MATCH(T$2,Inputs!$D$2:$AG$2,0))))=0,"",SUMIFS(INDEX(Inputs!$D$4:$AG$150,0,MATCH(T$2,Inputs!$D$2:$AG$2,0)),Inputs!$B$4:$B$150,$B66)/1000)</f>
        <v>127274.2927</v>
      </c>
      <c r="U66" s="11">
        <f>IF(SUMPRODUCT((Inputs!$B$4:$B$150=$B66)*ISNUMBER(INDEX(Inputs!$D$4:$AG$150,0,MATCH(U$2,Inputs!$D$2:$AG$2,0))))=0,"",SUMIFS(INDEX(Inputs!$D$4:$AG$150,0,MATCH(U$2,Inputs!$D$2:$AG$2,0)),Inputs!$B$4:$B$150,$B66)/1000)</f>
        <v>127274.2927</v>
      </c>
      <c r="V66" s="11">
        <f>IF(SUMPRODUCT((Inputs!$B$4:$B$150=$B66)*ISNUMBER(INDEX(Inputs!$D$4:$AG$150,0,MATCH(V$2,Inputs!$D$2:$AG$2,0))))=0,"",SUMIFS(INDEX(Inputs!$D$4:$AG$150,0,MATCH(V$2,Inputs!$D$2:$AG$2,0)),Inputs!$B$4:$B$150,$B66)/1000)</f>
        <v>132684.2927</v>
      </c>
      <c r="W66" s="12">
        <f>IF(COUNT(S66:V66)=4,SUM(S66:V66),"")</f>
        <v>511604.8781</v>
      </c>
      <c r="X66" s="11">
        <f>IF(SUMPRODUCT((Inputs!$B$4:$B$150=$B66)*ISNUMBER(INDEX(Inputs!$D$4:$AG$150,0,MATCH(X$2,Inputs!$D$2:$AG$2,0))))=0,"",SUMIFS(INDEX(Inputs!$D$4:$AG$150,0,MATCH(X$2,Inputs!$D$2:$AG$2,0)),Inputs!$B$4:$B$150,$B66)/1000)</f>
        <v>134494.2927</v>
      </c>
      <c r="Y66" s="11">
        <f>IF(SUMPRODUCT((Inputs!$B$4:$B$150=$B66)*ISNUMBER(INDEX(Inputs!$D$4:$AG$150,0,MATCH(Y$2,Inputs!$D$2:$AG$2,0))))=0,"",SUMIFS(INDEX(Inputs!$D$4:$AG$150,0,MATCH(Y$2,Inputs!$D$2:$AG$2,0)),Inputs!$B$4:$B$150,$B66)/1000)</f>
        <v>135281.9427</v>
      </c>
      <c r="Z66" s="11">
        <f>IF(SUMPRODUCT((Inputs!$B$4:$B$150=$B66)*ISNUMBER(INDEX(Inputs!$D$4:$AG$150,0,MATCH(Z$2,Inputs!$D$2:$AG$2,0))))=0,"",SUMIFS(INDEX(Inputs!$D$4:$AG$150,0,MATCH(Z$2,Inputs!$D$2:$AG$2,0)),Inputs!$B$4:$B$150,$B66)/1000)</f>
        <v>135690.9427</v>
      </c>
      <c r="AA66" s="11">
        <f>IF(SUMPRODUCT((Inputs!$B$4:$B$150=$B66)*ISNUMBER(INDEX(Inputs!$D$4:$AG$150,0,MATCH(AA$2,Inputs!$D$2:$AG$2,0))))=0,"",SUMIFS(INDEX(Inputs!$D$4:$AG$150,0,MATCH(AA$2,Inputs!$D$2:$AG$2,0)),Inputs!$B$4:$B$150,$B66)/1000)</f>
        <v>142699.4827</v>
      </c>
      <c r="AB66" s="12">
        <f>IF(COUNT(X66:AA66)=4,SUM(X66:AA66),"")</f>
        <v>548166.6608</v>
      </c>
      <c r="AC66" s="11">
        <f>IF(SUMPRODUCT((Inputs!$B$4:$B$150=$B66)*ISNUMBER(INDEX(Inputs!$D$4:$AG$150,0,MATCH(AC$2,Inputs!$D$2:$AG$2,0))))=0,"",SUMIFS(INDEX(Inputs!$D$4:$AG$150,0,MATCH(AC$2,Inputs!$D$2:$AG$2,0)),Inputs!$B$4:$B$150,$B66)/1000)</f>
        <v>144400</v>
      </c>
      <c r="AD66" s="11">
        <f>IF(SUMPRODUCT((Inputs!$B$4:$B$150=$B66)*ISNUMBER(INDEX(Inputs!$D$4:$AG$150,0,MATCH(AD$2,Inputs!$D$2:$AG$2,0))))=0,"",SUMIFS(INDEX(Inputs!$D$4:$AG$150,0,MATCH(AD$2,Inputs!$D$2:$AG$2,0)),Inputs!$B$4:$B$150,$B66)/1000)</f>
        <v>149842.1927</v>
      </c>
      <c r="AE66" s="11" t="str">
        <f>IF(SUMPRODUCT((Inputs!$B$4:$B$150=$B66)*ISNUMBER(INDEX(Inputs!$D$4:$AG$150,0,MATCH(AE$2,Inputs!$D$2:$AG$2,0))))=0,"",SUMIFS(INDEX(Inputs!$D$4:$AG$150,0,MATCH(AE$2,Inputs!$D$2:$AG$2,0)),Inputs!$B$4:$B$150,$B66)/1000)</f>
        <v/>
      </c>
      <c r="AF66" s="11" t="str">
        <f>IF(SUMPRODUCT((Inputs!$B$4:$B$150=$B66)*ISNUMBER(INDEX(Inputs!$D$4:$AG$150,0,MATCH(AF$2,Inputs!$D$2:$AG$2,0))))=0,"",SUMIFS(INDEX(Inputs!$D$4:$AG$150,0,MATCH(AF$2,Inputs!$D$2:$AG$2,0)),Inputs!$B$4:$B$150,$B66)/1000)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Area de vendas - Eletro (m2)</t>
        </is>
      </c>
      <c r="D67" s="11">
        <f>IF(SUMPRODUCT((Inputs!$B$4:$B$150=$B67)*ISNUMBER(INDEX(Inputs!$D$4:$AG$150,0,MATCH(D$2,Inputs!$D$2:$AG$2,0))))=0,"",SUMIFS(INDEX(Inputs!$D$4:$AG$150,0,MATCH(D$2,Inputs!$D$2:$AG$2,0)),Inputs!$B$4:$B$150,$B67)/1000)</f>
        <v>83575.38</v>
      </c>
      <c r="E67" s="11">
        <f>IF(SUMPRODUCT((Inputs!$B$4:$B$150=$B67)*ISNUMBER(INDEX(Inputs!$D$4:$AG$150,0,MATCH(E$2,Inputs!$D$2:$AG$2,0))))=0,"",SUMIFS(INDEX(Inputs!$D$4:$AG$150,0,MATCH(E$2,Inputs!$D$2:$AG$2,0)),Inputs!$B$4:$B$150,$B67)/1000)</f>
        <v>89891.6</v>
      </c>
      <c r="F67" s="11">
        <f>IF(SUMPRODUCT((Inputs!$B$4:$B$150=$B67)*ISNUMBER(INDEX(Inputs!$D$4:$AG$150,0,MATCH(F$2,Inputs!$D$2:$AG$2,0))))=0,"",SUMIFS(INDEX(Inputs!$D$4:$AG$150,0,MATCH(F$2,Inputs!$D$2:$AG$2,0)),Inputs!$B$4:$B$150,$B67)/1000)</f>
        <v>93233</v>
      </c>
      <c r="G67" s="11">
        <f>IF(SUMPRODUCT((Inputs!$B$4:$B$150=$B67)*ISNUMBER(INDEX(Inputs!$D$4:$AG$150,0,MATCH(G$2,Inputs!$D$2:$AG$2,0))))=0,"",SUMIFS(INDEX(Inputs!$D$4:$AG$150,0,MATCH(G$2,Inputs!$D$2:$AG$2,0)),Inputs!$B$4:$B$150,$B67)/1000)</f>
        <v>97593</v>
      </c>
      <c r="H67" s="12">
        <f>IF(COUNT(D67:G67)=4,SUM(D67:G67),"")</f>
        <v>364292.98</v>
      </c>
      <c r="I67" s="11">
        <f>IF(SUMPRODUCT((Inputs!$B$4:$B$150=$B67)*ISNUMBER(INDEX(Inputs!$D$4:$AG$150,0,MATCH(I$2,Inputs!$D$2:$AG$2,0))))=0,"",SUMIFS(INDEX(Inputs!$D$4:$AG$150,0,MATCH(I$2,Inputs!$D$2:$AG$2,0)),Inputs!$B$4:$B$150,$B67)/1000)</f>
        <v>99641</v>
      </c>
      <c r="J67" s="11">
        <f>IF(SUMPRODUCT((Inputs!$B$4:$B$150=$B67)*ISNUMBER(INDEX(Inputs!$D$4:$AG$150,0,MATCH(J$2,Inputs!$D$2:$AG$2,0))))=0,"",SUMIFS(INDEX(Inputs!$D$4:$AG$150,0,MATCH(J$2,Inputs!$D$2:$AG$2,0)),Inputs!$B$4:$B$150,$B67)/1000)</f>
        <v>100220</v>
      </c>
      <c r="K67" s="11">
        <f>IF(SUMPRODUCT((Inputs!$B$4:$B$150=$B67)*ISNUMBER(INDEX(Inputs!$D$4:$AG$150,0,MATCH(K$2,Inputs!$D$2:$AG$2,0))))=0,"",SUMIFS(INDEX(Inputs!$D$4:$AG$150,0,MATCH(K$2,Inputs!$D$2:$AG$2,0)),Inputs!$B$4:$B$150,$B67)/1000)</f>
        <v>98723</v>
      </c>
      <c r="L67" s="11">
        <f>IF(SUMPRODUCT((Inputs!$B$4:$B$150=$B67)*ISNUMBER(INDEX(Inputs!$D$4:$AG$150,0,MATCH(L$2,Inputs!$D$2:$AG$2,0))))=0,"",SUMIFS(INDEX(Inputs!$D$4:$AG$150,0,MATCH(L$2,Inputs!$D$2:$AG$2,0)),Inputs!$B$4:$B$150,$B67)/1000)</f>
        <v>99247</v>
      </c>
      <c r="M67" s="12">
        <f>IF(COUNT(I67:L67)=4,SUM(I67:L67),"")</f>
        <v>397831</v>
      </c>
      <c r="N67" s="11">
        <f>IF(SUMPRODUCT((Inputs!$B$4:$B$150=$B67)*ISNUMBER(INDEX(Inputs!$D$4:$AG$150,0,MATCH(N$2,Inputs!$D$2:$AG$2,0))))=0,"",SUMIFS(INDEX(Inputs!$D$4:$AG$150,0,MATCH(N$2,Inputs!$D$2:$AG$2,0)),Inputs!$B$4:$B$150,$B67)/1000)</f>
        <v>100463.39</v>
      </c>
      <c r="O67" s="11">
        <f>IF(SUMPRODUCT((Inputs!$B$4:$B$150=$B67)*ISNUMBER(INDEX(Inputs!$D$4:$AG$150,0,MATCH(O$2,Inputs!$D$2:$AG$2,0))))=0,"",SUMIFS(INDEX(Inputs!$D$4:$AG$150,0,MATCH(O$2,Inputs!$D$2:$AG$2,0)),Inputs!$B$4:$B$150,$B67)/1000)</f>
        <v>99299</v>
      </c>
      <c r="P67" s="11">
        <f>IF(SUMPRODUCT((Inputs!$B$4:$B$150=$B67)*ISNUMBER(INDEX(Inputs!$D$4:$AG$150,0,MATCH(P$2,Inputs!$D$2:$AG$2,0))))=0,"",SUMIFS(INDEX(Inputs!$D$4:$AG$150,0,MATCH(P$2,Inputs!$D$2:$AG$2,0)),Inputs!$B$4:$B$150,$B67)/1000)</f>
        <v>99578.32</v>
      </c>
      <c r="Q67" s="11">
        <f>IF(SUMPRODUCT((Inputs!$B$4:$B$150=$B67)*ISNUMBER(INDEX(Inputs!$D$4:$AG$150,0,MATCH(Q$2,Inputs!$D$2:$AG$2,0))))=0,"",SUMIFS(INDEX(Inputs!$D$4:$AG$150,0,MATCH(Q$2,Inputs!$D$2:$AG$2,0)),Inputs!$B$4:$B$150,$B67)/1000)</f>
        <v>99578.32</v>
      </c>
      <c r="R67" s="12">
        <f>IF(COUNT(N67:Q67)=4,SUM(N67:Q67),"")</f>
        <v>398919.03</v>
      </c>
      <c r="S67" s="11">
        <f>IF(SUMPRODUCT((Inputs!$B$4:$B$150=$B67)*ISNUMBER(INDEX(Inputs!$D$4:$AG$150,0,MATCH(S$2,Inputs!$D$2:$AG$2,0))))=0,"",SUMIFS(INDEX(Inputs!$D$4:$AG$150,0,MATCH(S$2,Inputs!$D$2:$AG$2,0)),Inputs!$B$4:$B$150,$B67)/1000)</f>
        <v>98939</v>
      </c>
      <c r="T67" s="11">
        <f>IF(SUMPRODUCT((Inputs!$B$4:$B$150=$B67)*ISNUMBER(INDEX(Inputs!$D$4:$AG$150,0,MATCH(T$2,Inputs!$D$2:$AG$2,0))))=0,"",SUMIFS(INDEX(Inputs!$D$4:$AG$150,0,MATCH(T$2,Inputs!$D$2:$AG$2,0)),Inputs!$B$4:$B$150,$B67)/1000)</f>
        <v>99459.56</v>
      </c>
      <c r="U67" s="11">
        <f>IF(SUMPRODUCT((Inputs!$B$4:$B$150=$B67)*ISNUMBER(INDEX(Inputs!$D$4:$AG$150,0,MATCH(U$2,Inputs!$D$2:$AG$2,0))))=0,"",SUMIFS(INDEX(Inputs!$D$4:$AG$150,0,MATCH(U$2,Inputs!$D$2:$AG$2,0)),Inputs!$B$4:$B$150,$B67)/1000)</f>
        <v>98696.41</v>
      </c>
      <c r="V67" s="11">
        <f>IF(SUMPRODUCT((Inputs!$B$4:$B$150=$B67)*ISNUMBER(INDEX(Inputs!$D$4:$AG$150,0,MATCH(V$2,Inputs!$D$2:$AG$2,0))))=0,"",SUMIFS(INDEX(Inputs!$D$4:$AG$150,0,MATCH(V$2,Inputs!$D$2:$AG$2,0)),Inputs!$B$4:$B$150,$B67)/1000)</f>
        <v>98696.41</v>
      </c>
      <c r="W67" s="12">
        <f>IF(COUNT(S67:V67)=4,SUM(S67:V67),"")</f>
        <v>395791.38</v>
      </c>
      <c r="X67" s="11">
        <f>IF(SUMPRODUCT((Inputs!$B$4:$B$150=$B67)*ISNUMBER(INDEX(Inputs!$D$4:$AG$150,0,MATCH(X$2,Inputs!$D$2:$AG$2,0))))=0,"",SUMIFS(INDEX(Inputs!$D$4:$AG$150,0,MATCH(X$2,Inputs!$D$2:$AG$2,0)),Inputs!$B$4:$B$150,$B67)/1000)</f>
        <v>98588.5</v>
      </c>
      <c r="Y67" s="11">
        <f>IF(SUMPRODUCT((Inputs!$B$4:$B$150=$B67)*ISNUMBER(INDEX(Inputs!$D$4:$AG$150,0,MATCH(Y$2,Inputs!$D$2:$AG$2,0))))=0,"",SUMIFS(INDEX(Inputs!$D$4:$AG$150,0,MATCH(Y$2,Inputs!$D$2:$AG$2,0)),Inputs!$B$4:$B$150,$B67)/1000)</f>
        <v>91357.36</v>
      </c>
      <c r="Z67" s="11">
        <f>IF(SUMPRODUCT((Inputs!$B$4:$B$150=$B67)*ISNUMBER(INDEX(Inputs!$D$4:$AG$150,0,MATCH(Z$2,Inputs!$D$2:$AG$2,0))))=0,"",SUMIFS(INDEX(Inputs!$D$4:$AG$150,0,MATCH(Z$2,Inputs!$D$2:$AG$2,0)),Inputs!$B$4:$B$150,$B67)/1000)</f>
        <v>87184</v>
      </c>
      <c r="AA67" s="11">
        <f>IF(SUMPRODUCT((Inputs!$B$4:$B$150=$B67)*ISNUMBER(INDEX(Inputs!$D$4:$AG$150,0,MATCH(AA$2,Inputs!$D$2:$AG$2,0))))=0,"",SUMIFS(INDEX(Inputs!$D$4:$AG$150,0,MATCH(AA$2,Inputs!$D$2:$AG$2,0)),Inputs!$B$4:$B$150,$B67)/1000)</f>
        <v>72402.32</v>
      </c>
      <c r="AB67" s="12">
        <f>IF(COUNT(X67:AA67)=4,SUM(X67:AA67),"")</f>
        <v>349532.18</v>
      </c>
      <c r="AC67" s="11">
        <f>IF(SUMPRODUCT((Inputs!$B$4:$B$150=$B67)*ISNUMBER(INDEX(Inputs!$D$4:$AG$150,0,MATCH(AC$2,Inputs!$D$2:$AG$2,0))))=0,"",SUMIFS(INDEX(Inputs!$D$4:$AG$150,0,MATCH(AC$2,Inputs!$D$2:$AG$2,0)),Inputs!$B$4:$B$150,$B67)/1000)</f>
        <v>72402</v>
      </c>
      <c r="AD67" s="11">
        <f>IF(SUMPRODUCT((Inputs!$B$4:$B$150=$B67)*ISNUMBER(INDEX(Inputs!$D$4:$AG$150,0,MATCH(AD$2,Inputs!$D$2:$AG$2,0))))=0,"",SUMIFS(INDEX(Inputs!$D$4:$AG$150,0,MATCH(AD$2,Inputs!$D$2:$AG$2,0)),Inputs!$B$4:$B$150,$B67)/1000)</f>
        <v>72402</v>
      </c>
      <c r="AE67" s="11" t="str">
        <f>IF(SUMPRODUCT((Inputs!$B$4:$B$150=$B67)*ISNUMBER(INDEX(Inputs!$D$4:$AG$150,0,MATCH(AE$2,Inputs!$D$2:$AG$2,0))))=0,"",SUMIFS(INDEX(Inputs!$D$4:$AG$150,0,MATCH(AE$2,Inputs!$D$2:$AG$2,0)),Inputs!$B$4:$B$150,$B67)/1000)</f>
        <v/>
      </c>
      <c r="AF67" s="11" t="str">
        <f>IF(SUMPRODUCT((Inputs!$B$4:$B$150=$B67)*ISNUMBER(INDEX(Inputs!$D$4:$AG$150,0,MATCH(AF$2,Inputs!$D$2:$AG$2,0))))=0,"",SUMIFS(INDEX(Inputs!$D$4:$AG$150,0,MATCH(AF$2,Inputs!$D$2:$AG$2,0)),Inputs!$B$4:$B$150,$B67)/1000)</f>
        <v/>
      </c>
      <c r="AG67" s="12" t="str">
        <f>IF(COUNT(AC67:AF67)=4,SUM(AC67:AF67),"")</f>
        <v/>
      </c>
    </row>
    <row r="68">
      <c r="B68" s="9" t="n">
        <v>60</v>
      </c>
      <c r="C68" s="10" t="inlineStr">
        <is>
          <t>Area de vendas - Farmacia (m2)</t>
        </is>
      </c>
      <c r="D68" s="11">
        <f>IF(SUMPRODUCT((Inputs!$B$4:$B$150=$B68)*ISNUMBER(INDEX(Inputs!$D$4:$AG$150,0,MATCH(D$2,Inputs!$D$2:$AG$2,0))))=0,"",SUMIFS(INDEX(Inputs!$D$4:$AG$150,0,MATCH(D$2,Inputs!$D$2:$AG$2,0)),Inputs!$B$4:$B$150,$B68)/1000)</f>
        <v>0</v>
      </c>
      <c r="E68" s="11">
        <f>IF(SUMPRODUCT((Inputs!$B$4:$B$150=$B68)*ISNUMBER(INDEX(Inputs!$D$4:$AG$150,0,MATCH(E$2,Inputs!$D$2:$AG$2,0))))=0,"",SUMIFS(INDEX(Inputs!$D$4:$AG$150,0,MATCH(E$2,Inputs!$D$2:$AG$2,0)),Inputs!$B$4:$B$150,$B68)/1000)</f>
        <v>0</v>
      </c>
      <c r="F68" s="11">
        <f>IF(SUMPRODUCT((Inputs!$B$4:$B$150=$B68)*ISNUMBER(INDEX(Inputs!$D$4:$AG$150,0,MATCH(F$2,Inputs!$D$2:$AG$2,0))))=0,"",SUMIFS(INDEX(Inputs!$D$4:$AG$150,0,MATCH(F$2,Inputs!$D$2:$AG$2,0)),Inputs!$B$4:$B$150,$B68)/1000)</f>
        <v>0</v>
      </c>
      <c r="G68" s="11">
        <f>IF(SUMPRODUCT((Inputs!$B$4:$B$150=$B68)*ISNUMBER(INDEX(Inputs!$D$4:$AG$150,0,MATCH(G$2,Inputs!$D$2:$AG$2,0))))=0,"",SUMIFS(INDEX(Inputs!$D$4:$AG$150,0,MATCH(G$2,Inputs!$D$2:$AG$2,0)),Inputs!$B$4:$B$150,$B68)/1000)</f>
        <v>0</v>
      </c>
      <c r="H68" s="12">
        <f>IF(COUNT(D68:G68)=4,SUM(D68:G68),"")</f>
        <v>0</v>
      </c>
      <c r="I68" s="11">
        <f>IF(SUMPRODUCT((Inputs!$B$4:$B$150=$B68)*ISNUMBER(INDEX(Inputs!$D$4:$AG$150,0,MATCH(I$2,Inputs!$D$2:$AG$2,0))))=0,"",SUMIFS(INDEX(Inputs!$D$4:$AG$150,0,MATCH(I$2,Inputs!$D$2:$AG$2,0)),Inputs!$B$4:$B$150,$B68)/1000)</f>
        <v>0</v>
      </c>
      <c r="J68" s="11">
        <f>IF(SUMPRODUCT((Inputs!$B$4:$B$150=$B68)*ISNUMBER(INDEX(Inputs!$D$4:$AG$150,0,MATCH(J$2,Inputs!$D$2:$AG$2,0))))=0,"",SUMIFS(INDEX(Inputs!$D$4:$AG$150,0,MATCH(J$2,Inputs!$D$2:$AG$2,0)),Inputs!$B$4:$B$150,$B68)/1000)</f>
        <v>0</v>
      </c>
      <c r="K68" s="11">
        <f>IF(SUMPRODUCT((Inputs!$B$4:$B$150=$B68)*ISNUMBER(INDEX(Inputs!$D$4:$AG$150,0,MATCH(K$2,Inputs!$D$2:$AG$2,0))))=0,"",SUMIFS(INDEX(Inputs!$D$4:$AG$150,0,MATCH(K$2,Inputs!$D$2:$AG$2,0)),Inputs!$B$4:$B$150,$B68)/1000)</f>
        <v>0</v>
      </c>
      <c r="L68" s="11">
        <f>IF(SUMPRODUCT((Inputs!$B$4:$B$150=$B68)*ISNUMBER(INDEX(Inputs!$D$4:$AG$150,0,MATCH(L$2,Inputs!$D$2:$AG$2,0))))=0,"",SUMIFS(INDEX(Inputs!$D$4:$AG$150,0,MATCH(L$2,Inputs!$D$2:$AG$2,0)),Inputs!$B$4:$B$150,$B68)/1000)</f>
        <v>0</v>
      </c>
      <c r="M68" s="12">
        <f>IF(COUNT(I68:L68)=4,SUM(I68:L68),"")</f>
        <v>0</v>
      </c>
      <c r="N68" s="11">
        <f>IF(SUMPRODUCT((Inputs!$B$4:$B$150=$B68)*ISNUMBER(INDEX(Inputs!$D$4:$AG$150,0,MATCH(N$2,Inputs!$D$2:$AG$2,0))))=0,"",SUMIFS(INDEX(Inputs!$D$4:$AG$150,0,MATCH(N$2,Inputs!$D$2:$AG$2,0)),Inputs!$B$4:$B$150,$B68)/1000)</f>
        <v>0</v>
      </c>
      <c r="O68" s="11">
        <f>IF(SUMPRODUCT((Inputs!$B$4:$B$150=$B68)*ISNUMBER(INDEX(Inputs!$D$4:$AG$150,0,MATCH(O$2,Inputs!$D$2:$AG$2,0))))=0,"",SUMIFS(INDEX(Inputs!$D$4:$AG$150,0,MATCH(O$2,Inputs!$D$2:$AG$2,0)),Inputs!$B$4:$B$150,$B68)/1000)</f>
        <v>0</v>
      </c>
      <c r="P68" s="11">
        <f>IF(SUMPRODUCT((Inputs!$B$4:$B$150=$B68)*ISNUMBER(INDEX(Inputs!$D$4:$AG$150,0,MATCH(P$2,Inputs!$D$2:$AG$2,0))))=0,"",SUMIFS(INDEX(Inputs!$D$4:$AG$150,0,MATCH(P$2,Inputs!$D$2:$AG$2,0)),Inputs!$B$4:$B$150,$B68)/1000)</f>
        <v>0</v>
      </c>
      <c r="Q68" s="11">
        <f>IF(SUMPRODUCT((Inputs!$B$4:$B$150=$B68)*ISNUMBER(INDEX(Inputs!$D$4:$AG$150,0,MATCH(Q$2,Inputs!$D$2:$AG$2,0))))=0,"",SUMIFS(INDEX(Inputs!$D$4:$AG$150,0,MATCH(Q$2,Inputs!$D$2:$AG$2,0)),Inputs!$B$4:$B$150,$B68)/1000)</f>
        <v>0</v>
      </c>
      <c r="R68" s="12">
        <f>IF(COUNT(N68:Q68)=4,SUM(N68:Q68),"")</f>
        <v>0</v>
      </c>
      <c r="S68" s="11">
        <f>IF(SUMPRODUCT((Inputs!$B$4:$B$150=$B68)*ISNUMBER(INDEX(Inputs!$D$4:$AG$150,0,MATCH(S$2,Inputs!$D$2:$AG$2,0))))=0,"",SUMIFS(INDEX(Inputs!$D$4:$AG$150,0,MATCH(S$2,Inputs!$D$2:$AG$2,0)),Inputs!$B$4:$B$150,$B68)/1000)</f>
        <v>0</v>
      </c>
      <c r="T68" s="11">
        <f>IF(SUMPRODUCT((Inputs!$B$4:$B$150=$B68)*ISNUMBER(INDEX(Inputs!$D$4:$AG$150,0,MATCH(T$2,Inputs!$D$2:$AG$2,0))))=0,"",SUMIFS(INDEX(Inputs!$D$4:$AG$150,0,MATCH(T$2,Inputs!$D$2:$AG$2,0)),Inputs!$B$4:$B$150,$B68)/1000)</f>
        <v>0</v>
      </c>
      <c r="U68" s="11">
        <f>IF(SUMPRODUCT((Inputs!$B$4:$B$150=$B68)*ISNUMBER(INDEX(Inputs!$D$4:$AG$150,0,MATCH(U$2,Inputs!$D$2:$AG$2,0))))=0,"",SUMIFS(INDEX(Inputs!$D$4:$AG$150,0,MATCH(U$2,Inputs!$D$2:$AG$2,0)),Inputs!$B$4:$B$150,$B68)/1000)</f>
        <v>0</v>
      </c>
      <c r="V68" s="11">
        <f>IF(SUMPRODUCT((Inputs!$B$4:$B$150=$B68)*ISNUMBER(INDEX(Inputs!$D$4:$AG$150,0,MATCH(V$2,Inputs!$D$2:$AG$2,0))))=0,"",SUMIFS(INDEX(Inputs!$D$4:$AG$150,0,MATCH(V$2,Inputs!$D$2:$AG$2,0)),Inputs!$B$4:$B$150,$B68)/1000)</f>
        <v>0</v>
      </c>
      <c r="W68" s="12">
        <f>IF(COUNT(S68:V68)=4,SUM(S68:V68),"")</f>
        <v>0</v>
      </c>
      <c r="X68" s="11">
        <f>IF(SUMPRODUCT((Inputs!$B$4:$B$150=$B68)*ISNUMBER(INDEX(Inputs!$D$4:$AG$150,0,MATCH(X$2,Inputs!$D$2:$AG$2,0))))=0,"",SUMIFS(INDEX(Inputs!$D$4:$AG$150,0,MATCH(X$2,Inputs!$D$2:$AG$2,0)),Inputs!$B$4:$B$150,$B68)/1000)</f>
        <v>0</v>
      </c>
      <c r="Y68" s="11">
        <f>IF(SUMPRODUCT((Inputs!$B$4:$B$150=$B68)*ISNUMBER(INDEX(Inputs!$D$4:$AG$150,0,MATCH(Y$2,Inputs!$D$2:$AG$2,0))))=0,"",SUMIFS(INDEX(Inputs!$D$4:$AG$150,0,MATCH(Y$2,Inputs!$D$2:$AG$2,0)),Inputs!$B$4:$B$150,$B68)/1000)</f>
        <v>0</v>
      </c>
      <c r="Z68" s="11">
        <f>IF(SUMPRODUCT((Inputs!$B$4:$B$150=$B68)*ISNUMBER(INDEX(Inputs!$D$4:$AG$150,0,MATCH(Z$2,Inputs!$D$2:$AG$2,0))))=0,"",SUMIFS(INDEX(Inputs!$D$4:$AG$150,0,MATCH(Z$2,Inputs!$D$2:$AG$2,0)),Inputs!$B$4:$B$150,$B68)/1000)</f>
        <v>0</v>
      </c>
      <c r="AA68" s="11">
        <f>IF(SUMPRODUCT((Inputs!$B$4:$B$150=$B68)*ISNUMBER(INDEX(Inputs!$D$4:$AG$150,0,MATCH(AA$2,Inputs!$D$2:$AG$2,0))))=0,"",SUMIFS(INDEX(Inputs!$D$4:$AG$150,0,MATCH(AA$2,Inputs!$D$2:$AG$2,0)),Inputs!$B$4:$B$150,$B68)/1000)</f>
        <v>0</v>
      </c>
      <c r="AB68" s="12">
        <f>IF(COUNT(X68:AA68)=4,SUM(X68:AA68),"")</f>
        <v>0</v>
      </c>
      <c r="AC68" s="11">
        <f>IF(SUMPRODUCT((Inputs!$B$4:$B$150=$B68)*ISNUMBER(INDEX(Inputs!$D$4:$AG$150,0,MATCH(AC$2,Inputs!$D$2:$AG$2,0))))=0,"",SUMIFS(INDEX(Inputs!$D$4:$AG$150,0,MATCH(AC$2,Inputs!$D$2:$AG$2,0)),Inputs!$B$4:$B$150,$B68)/1000)</f>
        <v>0</v>
      </c>
      <c r="AD68" s="11">
        <f>IF(SUMPRODUCT((Inputs!$B$4:$B$150=$B68)*ISNUMBER(INDEX(Inputs!$D$4:$AG$150,0,MATCH(AD$2,Inputs!$D$2:$AG$2,0))))=0,"",SUMIFS(INDEX(Inputs!$D$4:$AG$150,0,MATCH(AD$2,Inputs!$D$2:$AG$2,0)),Inputs!$B$4:$B$150,$B68)/1000)</f>
        <v>771</v>
      </c>
      <c r="AE68" s="11" t="str">
        <f>IF(SUMPRODUCT((Inputs!$B$4:$B$150=$B68)*ISNUMBER(INDEX(Inputs!$D$4:$AG$150,0,MATCH(AE$2,Inputs!$D$2:$AG$2,0))))=0,"",SUMIFS(INDEX(Inputs!$D$4:$AG$150,0,MATCH(AE$2,Inputs!$D$2:$AG$2,0)),Inputs!$B$4:$B$150,$B68)/1000)</f>
        <v/>
      </c>
      <c r="AF68" s="11" t="str">
        <f>IF(SUMPRODUCT((Inputs!$B$4:$B$150=$B68)*ISNUMBER(INDEX(Inputs!$D$4:$AG$150,0,MATCH(AF$2,Inputs!$D$2:$AG$2,0))))=0,"",SUMIFS(INDEX(Inputs!$D$4:$AG$150,0,MATCH(AF$2,Inputs!$D$2:$AG$2,0)),Inputs!$B$4:$B$150,$B68)/1000)</f>
        <v/>
      </c>
      <c r="AG68" s="12" t="str">
        <f>IF(COUNT(AC68:AF68)=4,SUM(AC68:AF68),"")</f>
        <v/>
      </c>
    </row>
    <row r="69">
      <c r="B69" s="9" t="n">
        <v>61</v>
      </c>
      <c r="C69" s="10" t="inlineStr">
        <is>
          <t>SSS consolidado sem ajuste calendario (%) - releases (1T20 e 1T21 divulgados arredondados: 7% e 10%)</t>
        </is>
      </c>
      <c r="D69" s="11">
        <f>IF(SUMPRODUCT((Inputs!$B$4:$B$150=$B69)*ISNUMBER(INDEX(Inputs!$D$4:$AG$150,0,MATCH(D$2,Inputs!$D$2:$AG$2,0))))=0,"",SUMIFS(INDEX(Inputs!$D$4:$AG$150,0,MATCH(D$2,Inputs!$D$2:$AG$2,0)),Inputs!$B$4:$B$150,$B69)/1000)</f>
        <v>0.1</v>
      </c>
      <c r="E69" s="11">
        <f>IF(SUMPRODUCT((Inputs!$B$4:$B$150=$B69)*ISNUMBER(INDEX(Inputs!$D$4:$AG$150,0,MATCH(E$2,Inputs!$D$2:$AG$2,0))))=0,"",SUMIFS(INDEX(Inputs!$D$4:$AG$150,0,MATCH(E$2,Inputs!$D$2:$AG$2,0)),Inputs!$B$4:$B$150,$B69)/1000)</f>
        <v>0.018</v>
      </c>
      <c r="F69" s="11">
        <f>IF(SUMPRODUCT((Inputs!$B$4:$B$150=$B69)*ISNUMBER(INDEX(Inputs!$D$4:$AG$150,0,MATCH(F$2,Inputs!$D$2:$AG$2,0))))=0,"",SUMIFS(INDEX(Inputs!$D$4:$AG$150,0,MATCH(F$2,Inputs!$D$2:$AG$2,0)),Inputs!$B$4:$B$150,$B69)/1000)</f>
        <v>0.015</v>
      </c>
      <c r="G69" s="11">
        <f>IF(SUMPRODUCT((Inputs!$B$4:$B$150=$B69)*ISNUMBER(INDEX(Inputs!$D$4:$AG$150,0,MATCH(G$2,Inputs!$D$2:$AG$2,0))))=0,"",SUMIFS(INDEX(Inputs!$D$4:$AG$150,0,MATCH(G$2,Inputs!$D$2:$AG$2,0)),Inputs!$B$4:$B$150,$B69)/1000)</f>
        <v>0.014</v>
      </c>
      <c r="H69" s="12">
        <f>IF(COUNT(D69:G69)=4,SUM(D69:G69),"")</f>
        <v>0.147</v>
      </c>
      <c r="I69" s="11">
        <f>IF(SUMPRODUCT((Inputs!$B$4:$B$150=$B69)*ISNUMBER(INDEX(Inputs!$D$4:$AG$150,0,MATCH(I$2,Inputs!$D$2:$AG$2,0))))=0,"",SUMIFS(INDEX(Inputs!$D$4:$AG$150,0,MATCH(I$2,Inputs!$D$2:$AG$2,0)),Inputs!$B$4:$B$150,$B69)/1000)</f>
        <v>0.127</v>
      </c>
      <c r="J69" s="11">
        <f>IF(SUMPRODUCT((Inputs!$B$4:$B$150=$B69)*ISNUMBER(INDEX(Inputs!$D$4:$AG$150,0,MATCH(J$2,Inputs!$D$2:$AG$2,0))))=0,"",SUMIFS(INDEX(Inputs!$D$4:$AG$150,0,MATCH(J$2,Inputs!$D$2:$AG$2,0)),Inputs!$B$4:$B$150,$B69)/1000)</f>
        <v>0.167</v>
      </c>
      <c r="K69" s="11">
        <f>IF(SUMPRODUCT((Inputs!$B$4:$B$150=$B69)*ISNUMBER(INDEX(Inputs!$D$4:$AG$150,0,MATCH(K$2,Inputs!$D$2:$AG$2,0))))=0,"",SUMIFS(INDEX(Inputs!$D$4:$AG$150,0,MATCH(K$2,Inputs!$D$2:$AG$2,0)),Inputs!$B$4:$B$150,$B69)/1000)</f>
        <v>0.117</v>
      </c>
      <c r="L69" s="11">
        <f>IF(SUMPRODUCT((Inputs!$B$4:$B$150=$B69)*ISNUMBER(INDEX(Inputs!$D$4:$AG$150,0,MATCH(L$2,Inputs!$D$2:$AG$2,0))))=0,"",SUMIFS(INDEX(Inputs!$D$4:$AG$150,0,MATCH(L$2,Inputs!$D$2:$AG$2,0)),Inputs!$B$4:$B$150,$B69)/1000)</f>
        <v>0.117</v>
      </c>
      <c r="M69" s="12">
        <f>IF(COUNT(I69:L69)=4,SUM(I69:L69),"")</f>
        <v>0.528</v>
      </c>
      <c r="N69" s="11">
        <f>IF(SUMPRODUCT((Inputs!$B$4:$B$150=$B69)*ISNUMBER(INDEX(Inputs!$D$4:$AG$150,0,MATCH(N$2,Inputs!$D$2:$AG$2,0))))=0,"",SUMIFS(INDEX(Inputs!$D$4:$AG$150,0,MATCH(N$2,Inputs!$D$2:$AG$2,0)),Inputs!$B$4:$B$150,$B69)/1000)</f>
        <v>0.113</v>
      </c>
      <c r="O69" s="11">
        <f>IF(SUMPRODUCT((Inputs!$B$4:$B$150=$B69)*ISNUMBER(INDEX(Inputs!$D$4:$AG$150,0,MATCH(O$2,Inputs!$D$2:$AG$2,0))))=0,"",SUMIFS(INDEX(Inputs!$D$4:$AG$150,0,MATCH(O$2,Inputs!$D$2:$AG$2,0)),Inputs!$B$4:$B$150,$B69)/1000)</f>
        <v>0.104</v>
      </c>
      <c r="P69" s="11">
        <f>IF(SUMPRODUCT((Inputs!$B$4:$B$150=$B69)*ISNUMBER(INDEX(Inputs!$D$4:$AG$150,0,MATCH(P$2,Inputs!$D$2:$AG$2,0))))=0,"",SUMIFS(INDEX(Inputs!$D$4:$AG$150,0,MATCH(P$2,Inputs!$D$2:$AG$2,0)),Inputs!$B$4:$B$150,$B69)/1000)</f>
        <v>0.043</v>
      </c>
      <c r="Q69" s="11">
        <f>IF(SUMPRODUCT((Inputs!$B$4:$B$150=$B69)*ISNUMBER(INDEX(Inputs!$D$4:$AG$150,0,MATCH(Q$2,Inputs!$D$2:$AG$2,0))))=0,"",SUMIFS(INDEX(Inputs!$D$4:$AG$150,0,MATCH(Q$2,Inputs!$D$2:$AG$2,0)),Inputs!$B$4:$B$150,$B69)/1000)</f>
        <v>0.088</v>
      </c>
      <c r="R69" s="12">
        <f>IF(COUNT(N69:Q69)=4,SUM(N69:Q69),"")</f>
        <v>0.348</v>
      </c>
      <c r="S69" s="11">
        <f>IF(SUMPRODUCT((Inputs!$B$4:$B$150=$B69)*ISNUMBER(INDEX(Inputs!$D$4:$AG$150,0,MATCH(S$2,Inputs!$D$2:$AG$2,0))))=0,"",SUMIFS(INDEX(Inputs!$D$4:$AG$150,0,MATCH(S$2,Inputs!$D$2:$AG$2,0)),Inputs!$B$4:$B$150,$B69)/1000)</f>
        <v>0.096</v>
      </c>
      <c r="T69" s="11">
        <f>IF(SUMPRODUCT((Inputs!$B$4:$B$150=$B69)*ISNUMBER(INDEX(Inputs!$D$4:$AG$150,0,MATCH(T$2,Inputs!$D$2:$AG$2,0))))=0,"",SUMIFS(INDEX(Inputs!$D$4:$AG$150,0,MATCH(T$2,Inputs!$D$2:$AG$2,0)),Inputs!$B$4:$B$150,$B69)/1000)</f>
        <v>0.048</v>
      </c>
      <c r="U69" s="11">
        <f>IF(SUMPRODUCT((Inputs!$B$4:$B$150=$B69)*ISNUMBER(INDEX(Inputs!$D$4:$AG$150,0,MATCH(U$2,Inputs!$D$2:$AG$2,0))))=0,"",SUMIFS(INDEX(Inputs!$D$4:$AG$150,0,MATCH(U$2,Inputs!$D$2:$AG$2,0)),Inputs!$B$4:$B$150,$B69)/1000)</f>
        <v>0.077</v>
      </c>
      <c r="V69" s="11">
        <f>IF(SUMPRODUCT((Inputs!$B$4:$B$150=$B69)*ISNUMBER(INDEX(Inputs!$D$4:$AG$150,0,MATCH(V$2,Inputs!$D$2:$AG$2,0))))=0,"",SUMIFS(INDEX(Inputs!$D$4:$AG$150,0,MATCH(V$2,Inputs!$D$2:$AG$2,0)),Inputs!$B$4:$B$150,$B69)/1000)</f>
        <v>0.059</v>
      </c>
      <c r="W69" s="12">
        <f>IF(COUNT(S69:V69)=4,SUM(S69:V69),"")</f>
        <v>0.28</v>
      </c>
      <c r="X69" s="11">
        <f>IF(SUMPRODUCT((Inputs!$B$4:$B$150=$B69)*ISNUMBER(INDEX(Inputs!$D$4:$AG$150,0,MATCH(X$2,Inputs!$D$2:$AG$2,0))))=0,"",SUMIFS(INDEX(Inputs!$D$4:$AG$150,0,MATCH(X$2,Inputs!$D$2:$AG$2,0)),Inputs!$B$4:$B$150,$B69)/1000)</f>
        <v>0.052</v>
      </c>
      <c r="Y69" s="11">
        <f>IF(SUMPRODUCT((Inputs!$B$4:$B$150=$B69)*ISNUMBER(INDEX(Inputs!$D$4:$AG$150,0,MATCH(Y$2,Inputs!$D$2:$AG$2,0))))=0,"",SUMIFS(INDEX(Inputs!$D$4:$AG$150,0,MATCH(Y$2,Inputs!$D$2:$AG$2,0)),Inputs!$B$4:$B$150,$B69)/1000)</f>
        <v>0.061</v>
      </c>
      <c r="Z69" s="11">
        <f>IF(SUMPRODUCT((Inputs!$B$4:$B$150=$B69)*ISNUMBER(INDEX(Inputs!$D$4:$AG$150,0,MATCH(Z$2,Inputs!$D$2:$AG$2,0))))=0,"",SUMIFS(INDEX(Inputs!$D$4:$AG$150,0,MATCH(Z$2,Inputs!$D$2:$AG$2,0)),Inputs!$B$4:$B$150,$B69)/1000)</f>
        <v>0.028</v>
      </c>
      <c r="AA69" s="11">
        <f>IF(SUMPRODUCT((Inputs!$B$4:$B$150=$B69)*ISNUMBER(INDEX(Inputs!$D$4:$AG$150,0,MATCH(AA$2,Inputs!$D$2:$AG$2,0))))=0,"",SUMIFS(INDEX(Inputs!$D$4:$AG$150,0,MATCH(AA$2,Inputs!$D$2:$AG$2,0)),Inputs!$B$4:$B$150,$B69)/1000)</f>
        <v>-0.011</v>
      </c>
      <c r="AB69" s="12">
        <f>IF(COUNT(X69:AA69)=4,SUM(X69:AA69),"")</f>
        <v>0.13</v>
      </c>
      <c r="AC69" s="11">
        <f>IF(SUMPRODUCT((Inputs!$B$4:$B$150=$B69)*ISNUMBER(INDEX(Inputs!$D$4:$AG$150,0,MATCH(AC$2,Inputs!$D$2:$AG$2,0))))=0,"",SUMIFS(INDEX(Inputs!$D$4:$AG$150,0,MATCH(AC$2,Inputs!$D$2:$AG$2,0)),Inputs!$B$4:$B$150,$B69)/1000)</f>
        <v>-0.073</v>
      </c>
      <c r="AD69" s="11">
        <f>IF(SUMPRODUCT((Inputs!$B$4:$B$150=$B69)*ISNUMBER(INDEX(Inputs!$D$4:$AG$150,0,MATCH(AD$2,Inputs!$D$2:$AG$2,0))))=0,"",SUMIFS(INDEX(Inputs!$D$4:$AG$150,0,MATCH(AD$2,Inputs!$D$2:$AG$2,0)),Inputs!$B$4:$B$150,$B69)/1000)</f>
        <v>-0.08</v>
      </c>
      <c r="AE69" s="11" t="str">
        <f>IF(SUMPRODUCT((Inputs!$B$4:$B$150=$B69)*ISNUMBER(INDEX(Inputs!$D$4:$AG$150,0,MATCH(AE$2,Inputs!$D$2:$AG$2,0))))=0,"",SUMIFS(INDEX(Inputs!$D$4:$AG$150,0,MATCH(AE$2,Inputs!$D$2:$AG$2,0)),Inputs!$B$4:$B$150,$B69)/1000)</f>
        <v/>
      </c>
      <c r="AF69" s="11" t="str">
        <f>IF(SUMPRODUCT((Inputs!$B$4:$B$150=$B69)*ISNUMBER(INDEX(Inputs!$D$4:$AG$150,0,MATCH(AF$2,Inputs!$D$2:$AG$2,0))))=0,"",SUMIFS(INDEX(Inputs!$D$4:$AG$150,0,MATCH(AF$2,Inputs!$D$2:$AG$2,0)),Inputs!$B$4:$B$150,$B69)/1000)</f>
        <v/>
      </c>
      <c r="AG69" s="12" t="str">
        <f>IF(COUNT(AC69:AF69)=4,SUM(AC69:AF69),"")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02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3.50000000253203e-05</v>
      </c>
      <c r="J1" s="12">
        <f>IF(J2="","",SUM(J2,J3))</f>
        <v>0.000279650001175469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1.10844666778576e-12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0.00060000000121363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0.000298029997793492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0.000539195997646402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0.00043321600105628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1085.48439808098</v>
      </c>
      <c r="AK1" s="12">
        <f>IF(AK2="","",SUM(AK2,AK3))</f>
        <v>1063.9416539529</v>
      </c>
      <c r="AL1" s="12">
        <f>IF(AL2="","",SUM(AL2,AL3))</f>
        <v>2599.11205203389</v>
      </c>
      <c r="AM1" s="12">
        <f>IF(AM2="","",SUM(AM2,AM3))</f>
        <v>948.202848500639</v>
      </c>
      <c r="AN1" s="12">
        <f>IF(AN2="","",SUM(AN2,AN3))</f>
        <v>993.603840874752</v>
      </c>
      <c r="AO1" s="12">
        <f>IF(AO2="","",SUM(AO2,AO3))</f>
        <v>1271.55991918686</v>
      </c>
      <c r="AP1" s="12">
        <f>IF(AP2="","",SUM(AP2,AP3))</f>
        <v>1246.32428242323</v>
      </c>
      <c r="AQ1" s="12">
        <f>IF(AQ2="","",SUM(AQ2,AQ3))</f>
        <v>4459.69089098548</v>
      </c>
      <c r="AR1" s="12">
        <f>IF(AR2="","",SUM(AR2,AR3))</f>
        <v>1106.00432631123</v>
      </c>
      <c r="AS1" s="12">
        <f>IF(AS2="","",SUM(AS2,AS3))</f>
        <v>1158.96102651941</v>
      </c>
      <c r="AT1" s="12">
        <f>IF(AT2="","",SUM(AT2,AT3))</f>
        <v>1483.175012613</v>
      </c>
      <c r="AU1" s="12">
        <f>IF(AU2="","",SUM(AU2,AU3))</f>
        <v>1453.73961966736</v>
      </c>
      <c r="AV1" s="12">
        <f>IF(AV2="","",SUM(AV2,AV3))</f>
        <v>5201.879985111</v>
      </c>
      <c r="AW1" s="12">
        <f>IF(AW2="","",SUM(AW2,AW3))</f>
        <v>1284.53736400584</v>
      </c>
      <c r="AX1" s="12">
        <f>IF(AX2="","",SUM(AX2,AX3))</f>
        <v>1346.04242187369</v>
      </c>
      <c r="AY1" s="12">
        <f>IF(AY2="","",SUM(AY2,AY3))</f>
        <v>1722.59156292407</v>
      </c>
      <c r="AZ1" s="12">
        <f>IF(AZ2="","",SUM(AZ2,AZ3))</f>
        <v>1688.40466042886</v>
      </c>
      <c r="BA1" s="12">
        <f>IF(BA2="","",SUM(BA2,BA3))</f>
        <v>6041.57600923247</v>
      </c>
      <c r="BB1" s="12">
        <f>IF(BB2="","",SUM(BB2,BB3))</f>
        <v>1485.46681150618</v>
      </c>
      <c r="BC1" s="12">
        <f>IF(BC2="","",SUM(BC2,BC3))</f>
        <v>1556.59259169956</v>
      </c>
      <c r="BD1" s="12">
        <f>IF(BD2="","",SUM(BD2,BD3))</f>
        <v>1992.04216880423</v>
      </c>
      <c r="BE1" s="12">
        <f>IF(BE2="","",SUM(BE2,BE3))</f>
        <v>1952.50769478437</v>
      </c>
      <c r="BF1" s="12">
        <f>IF(BF2="","",SUM(BF2,BF3))</f>
        <v>6986.60926679435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IF(COUNT(I207,I283)&lt;2,"",ABS(I207-I283))</f>
        <v>3.50000000253203e-05</v>
      </c>
      <c r="J2" s="12">
        <f>IF(COUNT(J207,J283)&lt;2,"",ABS(J207-J283))</f>
        <v>0.000279650001175469</v>
      </c>
      <c r="K2" s="12">
        <f>IF(COUNT(K207,K283)&lt;2,"",ABS(K207-K283))</f>
        <v>0</v>
      </c>
      <c r="L2" s="12">
        <f>IF(COUNT(L207,L283)&lt;2,"",ABS(L207-L283))</f>
        <v>0</v>
      </c>
      <c r="M2" s="12">
        <f>IF(COUNT(M207,M283)&lt;2,"",ABS(M207-M283))</f>
        <v>0</v>
      </c>
      <c r="N2" s="12">
        <f>IF(COUNT(N207,N283)&lt;2,"",ABS(N207-N283))</f>
        <v>0</v>
      </c>
      <c r="O2" s="12">
        <f>IF(COUNT(O207,O283)&lt;2,"",ABS(O207-O283))</f>
        <v>0</v>
      </c>
      <c r="P2" s="12">
        <f>IF(COUNT(P207,P283)&lt;2,"",ABS(P207-P283))</f>
        <v>0</v>
      </c>
      <c r="Q2" s="12">
        <f>IF(COUNT(Q207,Q283)&lt;2,"",ABS(Q207-Q283))</f>
        <v>0</v>
      </c>
      <c r="R2" s="12">
        <f>IF(COUNT(R207,R283)&lt;2,"",ABS(R207-R283))</f>
        <v>0</v>
      </c>
      <c r="S2" s="12">
        <f>IF(COUNT(S207,S283)&lt;2,"",ABS(S207-S283))</f>
        <v>0.00060000000121363</v>
      </c>
      <c r="T2" s="12">
        <f>IF(COUNT(T207,T283)&lt;2,"",ABS(T207-T283))</f>
        <v>0</v>
      </c>
      <c r="U2" s="12">
        <f>IF(COUNT(U207,U283)&lt;2,"",ABS(U207-U283))</f>
        <v>0</v>
      </c>
      <c r="V2" s="12">
        <f>IF(COUNT(V207,V283)&lt;2,"",ABS(V207-V283))</f>
        <v>0</v>
      </c>
      <c r="W2" s="12">
        <f>IF(COUNT(W207,W283)&lt;2,"",ABS(W207-W283))</f>
        <v>0</v>
      </c>
      <c r="X2" s="12">
        <f>IF(COUNT(X207,X283)&lt;2,"",ABS(X207-X283))</f>
        <v>0</v>
      </c>
      <c r="Y2" s="12">
        <f>IF(COUNT(Y207,Y283)&lt;2,"",ABS(Y207-Y283))</f>
        <v>0.000298029997793492</v>
      </c>
      <c r="Z2" s="12">
        <f>IF(COUNT(Z207,Z283)&lt;2,"",ABS(Z207-Z283))</f>
        <v>0</v>
      </c>
      <c r="AA2" s="12">
        <f>IF(COUNT(AA207,AA283)&lt;2,"",ABS(AA207-AA283))</f>
        <v>0</v>
      </c>
      <c r="AB2" s="12">
        <f>IF(COUNT(AB207,AB283)&lt;2,"",ABS(AB207-AB283))</f>
        <v>0</v>
      </c>
      <c r="AC2" s="12">
        <f>IF(COUNT(AC207,AC283)&lt;2,"",ABS(AC207-AC283))</f>
        <v>0</v>
      </c>
      <c r="AD2" s="12">
        <f>IF(COUNT(AD207,AD283)&lt;2,"",ABS(AD207-AD283))</f>
        <v>0.000105979997897521</v>
      </c>
      <c r="AE2" s="12">
        <f>IF(COUNT(AE207,AE283)&lt;2,"",ABS(AE207-AE283))</f>
        <v>0</v>
      </c>
      <c r="AF2" s="12">
        <f>IF(COUNT(AF207,AF283)&lt;2,"",ABS(AF207-AF283))</f>
        <v>0</v>
      </c>
      <c r="AG2" s="12">
        <f>IF(COUNT(AG207,AG283)&lt;2,"",ABS(AG207-AG283))</f>
        <v>0</v>
      </c>
      <c r="AH2" s="12">
        <f>IF(COUNT(AH207,AH283)&lt;2,"",ABS(AH207-AH283))</f>
        <v>0</v>
      </c>
      <c r="AI2" s="12">
        <f>IF(COUNT(AI207,AI283)&lt;2,"",ABS(AI207-AI283))</f>
        <v>0</v>
      </c>
      <c r="AJ2" s="12">
        <f>IF(COUNT(AJ207,AJ283)&lt;2,"",ABS(AJ207-AJ283))</f>
        <v>0</v>
      </c>
      <c r="AK2" s="12">
        <f>IF(COUNT(AK207,AK283)&lt;2,"",ABS(AK207-AK283))</f>
        <v>0</v>
      </c>
      <c r="AL2" s="12">
        <f>IF(COUNT(AL207,AL283)&lt;2,"",ABS(AL207-AL283))</f>
        <v>0</v>
      </c>
      <c r="AM2" s="12">
        <f>IF(COUNT(AM207,AM283)&lt;2,"",ABS(AM207-AM283))</f>
        <v>0</v>
      </c>
      <c r="AN2" s="12">
        <f>IF(COUNT(AN207,AN283)&lt;2,"",ABS(AN207-AN283))</f>
        <v>0</v>
      </c>
      <c r="AO2" s="12">
        <f>IF(COUNT(AO207,AO283)&lt;2,"",ABS(AO207-AO283))</f>
        <v>0</v>
      </c>
      <c r="AP2" s="12">
        <f>IF(COUNT(AP207,AP283)&lt;2,"",ABS(AP207-AP283))</f>
        <v>0</v>
      </c>
      <c r="AQ2" s="12">
        <f>IF(COUNT(AQ207,AQ283)&lt;2,"",ABS(AQ207-AQ283))</f>
        <v>0</v>
      </c>
      <c r="AR2" s="12">
        <f>IF(COUNT(AR207,AR283)&lt;2,"",ABS(AR207-AR283))</f>
        <v>0</v>
      </c>
      <c r="AS2" s="12">
        <f>IF(COUNT(AS207,AS283)&lt;2,"",ABS(AS207-AS283))</f>
        <v>0</v>
      </c>
      <c r="AT2" s="12">
        <f>IF(COUNT(AT207,AT283)&lt;2,"",ABS(AT207-AT283))</f>
        <v>0</v>
      </c>
      <c r="AU2" s="12">
        <f>IF(COUNT(AU207,AU283)&lt;2,"",ABS(AU207-AU283))</f>
        <v>0</v>
      </c>
      <c r="AV2" s="12">
        <f>IF(COUNT(AV207,AV283)&lt;2,"",ABS(AV207-AV283))</f>
        <v>0</v>
      </c>
      <c r="AW2" s="12">
        <f>IF(COUNT(AW207,AW283)&lt;2,"",ABS(AW207-AW283))</f>
        <v>0</v>
      </c>
      <c r="AX2" s="12">
        <f>IF(COUNT(AX207,AX283)&lt;2,"",ABS(AX207-AX283))</f>
        <v>0</v>
      </c>
      <c r="AY2" s="12">
        <f>IF(COUNT(AY207,AY283)&lt;2,"",ABS(AY207-AY283))</f>
        <v>0</v>
      </c>
      <c r="AZ2" s="12">
        <f>IF(COUNT(AZ207,AZ283)&lt;2,"",ABS(AZ207-AZ283))</f>
        <v>0</v>
      </c>
      <c r="BA2" s="12">
        <f>IF(COUNT(BA207,BA283)&lt;2,"",ABS(BA207-BA283))</f>
        <v>0</v>
      </c>
      <c r="BB2" s="12">
        <f>IF(COUNT(BB207,BB283)&lt;2,"",ABS(BB207-BB283))</f>
        <v>0</v>
      </c>
      <c r="BC2" s="12">
        <f>IF(COUNT(BC207,BC283)&lt;2,"",ABS(BC207-BC283))</f>
        <v>0</v>
      </c>
      <c r="BD2" s="12">
        <f>IF(COUNT(BD207,BD283)&lt;2,"",ABS(BD207-BD283))</f>
        <v>0</v>
      </c>
      <c r="BE2" s="12">
        <f>IF(COUNT(BE207,BE283)&lt;2,"",ABS(BE207-BE283))</f>
        <v>0</v>
      </c>
      <c r="BF2" s="12">
        <f>IF(COUNT(BF207,BF283)&lt;2,"",ABS(BF207-BF283))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IF(COUNT(I147,I4)&lt;2,"",ABS(I147-I4))</f>
        <v>0</v>
      </c>
      <c r="J3" s="12">
        <f>IF(COUNT(J147,J4)&lt;2,"",ABS(J147-J4))</f>
        <v>0</v>
      </c>
      <c r="K3" s="12">
        <f>IF(COUNT(K147,K4)&lt;2,"",ABS(K147-K4))</f>
        <v>0</v>
      </c>
      <c r="L3" s="12">
        <f>IF(COUNT(L147,L4)&lt;2,"",ABS(L147-L4))</f>
        <v>0</v>
      </c>
      <c r="M3" s="12">
        <f>IF(COUNT(M147,M4)&lt;2,"",ABS(M147-M4))</f>
        <v>0</v>
      </c>
      <c r="N3" s="12">
        <f>IF(COUNT(N147,N4)&lt;2,"",ABS(N147-N4))</f>
        <v>1.10844666778576e-12</v>
      </c>
      <c r="O3" s="12">
        <f>IF(COUNT(O147,O4)&lt;2,"",ABS(O147-O4))</f>
        <v>0</v>
      </c>
      <c r="P3" s="12">
        <f>IF(COUNT(P147,P4)&lt;2,"",ABS(P147-P4))</f>
        <v>0</v>
      </c>
      <c r="Q3" s="12">
        <f>IF(COUNT(Q147,Q4)&lt;2,"",ABS(Q147-Q4))</f>
        <v>0</v>
      </c>
      <c r="R3" s="12">
        <f>IF(COUNT(R147,R4)&lt;2,"",ABS(R147-R4))</f>
        <v>0</v>
      </c>
      <c r="S3" s="12">
        <f>IF(COUNT(S147,S4)&lt;2,"",ABS(S147-S4))</f>
        <v>0</v>
      </c>
      <c r="T3" s="12">
        <f>IF(COUNT(T147,T4)&lt;2,"",ABS(T147-T4))</f>
        <v>0</v>
      </c>
      <c r="U3" s="12">
        <f>IF(COUNT(U147,U4)&lt;2,"",ABS(U147-U4))</f>
        <v>0</v>
      </c>
      <c r="V3" s="12">
        <f>IF(COUNT(V147,V4)&lt;2,"",ABS(V147-V4))</f>
        <v>0</v>
      </c>
      <c r="W3" s="12">
        <f>IF(COUNT(W147,W4)&lt;2,"",ABS(W147-W4))</f>
        <v>0</v>
      </c>
      <c r="X3" s="12">
        <f>IF(COUNT(X147,X4)&lt;2,"",ABS(X147-X4))</f>
        <v>0</v>
      </c>
      <c r="Y3" s="12">
        <f>IF(COUNT(Y147,Y4)&lt;2,"",ABS(Y147-Y4))</f>
        <v>0</v>
      </c>
      <c r="Z3" s="12">
        <f>IF(COUNT(Z147,Z4)&lt;2,"",ABS(Z147-Z4))</f>
        <v>0</v>
      </c>
      <c r="AA3" s="12">
        <f>IF(COUNT(AA147,AA4)&lt;2,"",ABS(AA147-AA4))</f>
        <v>0</v>
      </c>
      <c r="AB3" s="12">
        <f>IF(COUNT(AB147,AB4)&lt;2,"",ABS(AB147-AB4))</f>
        <v>0</v>
      </c>
      <c r="AC3" s="12">
        <f>IF(COUNT(AC147,AC4)&lt;2,"",ABS(AC147-AC4))</f>
        <v>0</v>
      </c>
      <c r="AD3" s="12">
        <f>IF(COUNT(AD147,AD4)&lt;2,"",ABS(AD147-AD4))</f>
        <v>0.000433215999748882</v>
      </c>
      <c r="AE3" s="12">
        <f>IF(COUNT(AE147,AE4)&lt;2,"",ABS(AE147-AE4))</f>
        <v>0</v>
      </c>
      <c r="AF3" s="12">
        <f>IF(COUNT(AF147,AF4)&lt;2,"",ABS(AF147-AF4))</f>
        <v>0</v>
      </c>
      <c r="AG3" s="12">
        <f>IF(COUNT(AG147,AG4)&lt;2,"",ABS(AG147-AG4))</f>
        <v>0.00043321600105628</v>
      </c>
      <c r="AH3" s="12">
        <f>IF(COUNT(AH147,AH4)&lt;2,"",ABS(AH147-AH4))</f>
        <v>0</v>
      </c>
      <c r="AI3" s="12">
        <f>IF(COUNT(AI147,AI4)&lt;2,"",ABS(AI147-AI4))</f>
        <v>0</v>
      </c>
      <c r="AJ3" s="12">
        <f>ABS(AJ147-AJ4)</f>
        <v>1085.48439808098</v>
      </c>
      <c r="AK3" s="12">
        <f>ABS(AK147-AK4)</f>
        <v>1063.9416539529</v>
      </c>
      <c r="AL3" s="12">
        <f>ABS(AL147-AL4)</f>
        <v>2599.11205203389</v>
      </c>
      <c r="AM3" s="12">
        <f>ABS(AM147-AM4)</f>
        <v>948.202848500639</v>
      </c>
      <c r="AN3" s="12">
        <f>ABS(AN147-AN4)</f>
        <v>993.603840874752</v>
      </c>
      <c r="AO3" s="12">
        <f>ABS(AO147-AO4)</f>
        <v>1271.55991918686</v>
      </c>
      <c r="AP3" s="12">
        <f>ABS(AP147-AP4)</f>
        <v>1246.32428242323</v>
      </c>
      <c r="AQ3" s="12">
        <f>ABS(AQ147-AQ4)</f>
        <v>4459.69089098548</v>
      </c>
      <c r="AR3" s="12">
        <f>ABS(AR147-AR4)</f>
        <v>1106.00432631123</v>
      </c>
      <c r="AS3" s="12">
        <f>ABS(AS147-AS4)</f>
        <v>1158.96102651941</v>
      </c>
      <c r="AT3" s="12">
        <f>ABS(AT147-AT4)</f>
        <v>1483.175012613</v>
      </c>
      <c r="AU3" s="12">
        <f>ABS(AU147-AU4)</f>
        <v>1453.73961966736</v>
      </c>
      <c r="AV3" s="12">
        <f>ABS(AV147-AV4)</f>
        <v>5201.879985111</v>
      </c>
      <c r="AW3" s="12">
        <f>ABS(AW147-AW4)</f>
        <v>1284.53736400584</v>
      </c>
      <c r="AX3" s="12">
        <f>ABS(AX147-AX4)</f>
        <v>1346.04242187369</v>
      </c>
      <c r="AY3" s="12">
        <f>ABS(AY147-AY4)</f>
        <v>1722.59156292407</v>
      </c>
      <c r="AZ3" s="12">
        <f>ABS(AZ147-AZ4)</f>
        <v>1688.40466042886</v>
      </c>
      <c r="BA3" s="12">
        <f>ABS(BA147-BA4)</f>
        <v>6041.57600923247</v>
      </c>
      <c r="BB3" s="12">
        <f>ABS(BB147-BB4)</f>
        <v>1485.46681150618</v>
      </c>
      <c r="BC3" s="12">
        <f>ABS(BC147-BC4)</f>
        <v>1556.59259169956</v>
      </c>
      <c r="BD3" s="12">
        <f>ABS(BD147-BD4)</f>
        <v>1992.04216880423</v>
      </c>
      <c r="BE3" s="12">
        <f>ABS(BE147-BE4)</f>
        <v>1952.50769478437</v>
      </c>
      <c r="BF3" s="12">
        <f>ABS(BF147-BF4)</f>
        <v>6986.60926679435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156.72115431</v>
      </c>
      <c r="J4">
        <f>IF(ISNUMBER('Inputs (2)'!E50),'Inputs (2)'!E50,"")</f>
        <v>190.56334549</v>
      </c>
      <c r="K4">
        <f>IF(ISNUMBER('Inputs (2)'!F50),'Inputs (2)'!F50,"")</f>
        <v>213.424</v>
      </c>
      <c r="L4">
        <f>IF(ISNUMBER('Inputs (2)'!G50),'Inputs (2)'!G50,"")</f>
        <v>208.08263301</v>
      </c>
      <c r="M4" s="11">
        <f>IF(COUNT(I4:L4)=4,SUM(I4:L4),"")</f>
        <v>768.79113281</v>
      </c>
      <c r="N4">
        <f>IF(ISNUMBER('Inputs (2)'!I50),'Inputs (2)'!I50,"")</f>
        <v>199.21184191</v>
      </c>
      <c r="O4">
        <f>IF(ISNUMBER('Inputs (2)'!J50),'Inputs (2)'!J50,"")</f>
        <v>264.12308316</v>
      </c>
      <c r="P4">
        <f>IF(ISNUMBER('Inputs (2)'!K50),'Inputs (2)'!K50,"")</f>
        <v>290.871</v>
      </c>
      <c r="Q4">
        <f>IF(ISNUMBER('Inputs (2)'!L50),'Inputs (2)'!L50,"")</f>
        <v>310.58877903</v>
      </c>
      <c r="R4" s="11">
        <f>IF(COUNT(N4:Q4)=4,SUM(N4:Q4),"")</f>
        <v>1064.7947041</v>
      </c>
      <c r="S4">
        <f>IF(ISNUMBER('Inputs (2)'!N50),'Inputs (2)'!N50,"")</f>
        <v>239.69166758</v>
      </c>
      <c r="T4">
        <f>IF(ISNUMBER('Inputs (2)'!O50),'Inputs (2)'!O50,"")</f>
        <v>293.233</v>
      </c>
      <c r="U4">
        <f>IF(ISNUMBER('Inputs (2)'!P50),'Inputs (2)'!P50,"")</f>
        <v>313.597</v>
      </c>
      <c r="V4">
        <f>IF(ISNUMBER('Inputs (2)'!Q50),'Inputs (2)'!Q50,"")</f>
        <v>388.1174499</v>
      </c>
      <c r="W4" s="11">
        <f>IF(COUNT(S4:V4)=4,SUM(S4:V4),"")</f>
        <v>1234.63911748</v>
      </c>
      <c r="X4">
        <f>IF(ISNUMBER('Inputs (2)'!S50),'Inputs (2)'!S50,"")</f>
        <v>240.377781312</v>
      </c>
      <c r="Y4">
        <f>IF(ISNUMBER('Inputs (2)'!T50),'Inputs (2)'!T50,"")</f>
        <v>327.344212271</v>
      </c>
      <c r="Z4">
        <f>IF(ISNUMBER('Inputs (2)'!U50),'Inputs (2)'!U50,"")</f>
        <v>355.261</v>
      </c>
      <c r="AA4">
        <f>IF(ISNUMBER('Inputs (2)'!V50),'Inputs (2)'!V50,"")</f>
        <v>323.2319</v>
      </c>
      <c r="AB4" s="11">
        <f>IF(COUNT(X4:AA4)=4,SUM(X4:AA4),"")</f>
        <v>1246.214893583</v>
      </c>
      <c r="AC4">
        <f>IF(ISNUMBER('Inputs (2)'!X50),'Inputs (2)'!X50,"")</f>
        <v>276.32</v>
      </c>
      <c r="AD4">
        <f>IF(ISNUMBER('Inputs (2)'!Y50),'Inputs (2)'!Y50,"")</f>
        <v>395.777</v>
      </c>
      <c r="AE4">
        <f>IF(ISNUMBER('Inputs (2)'!Z50),'Inputs (2)'!Z50,"")</f>
        <v>850.546</v>
      </c>
      <c r="AF4">
        <f>IF(ISNUMBER('Inputs (2)'!AA50),'Inputs (2)'!AA50,"")</f>
        <v>324.264</v>
      </c>
      <c r="AG4" s="11">
        <f>IF(COUNT(AC4:AF4)=4,SUM(AC4:AF4),"")</f>
        <v>1846.907</v>
      </c>
      <c r="AH4" s="11">
        <f>IF(ISNUMBER('Inputs (2)'!AC50),'Inputs (2)'!AC50,"")</f>
        <v>212.881</v>
      </c>
      <c r="AI4" s="11">
        <f>IF(ISNUMBER('Inputs (2)'!AD50),'Inputs (2)'!AD50,"")</f>
        <v>236.805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3362.273093422</v>
      </c>
      <c r="J15" s="34">
        <f>'Inputs (2)'!E4</f>
        <v>3724.341685019</v>
      </c>
      <c r="K15" s="34">
        <f>'Inputs (2)'!F4</f>
        <v>4349.125</v>
      </c>
      <c r="L15" s="34">
        <f>'Inputs (2)'!G4</f>
        <v>4441.117221559</v>
      </c>
      <c r="M15" s="35">
        <f>'Inputs (2)'!H4</f>
        <v>15876.857</v>
      </c>
      <c r="N15" s="34">
        <f>'Inputs (2)'!I4</f>
        <v>4578.779536233</v>
      </c>
      <c r="O15" s="34">
        <f>'Inputs (2)'!J4</f>
        <v>5201.989</v>
      </c>
      <c r="P15" s="34">
        <f>'Inputs (2)'!K4</f>
        <v>5923.131</v>
      </c>
      <c r="Q15" s="34">
        <f>'Inputs (2)'!L4</f>
        <v>6064.576963332</v>
      </c>
      <c r="R15" s="35">
        <f>'Inputs (2)'!M4</f>
        <v>21768.476499565</v>
      </c>
      <c r="S15" s="34">
        <f>'Inputs (2)'!N4</f>
        <v>5867.879714343</v>
      </c>
      <c r="T15" s="34">
        <f>'Inputs (2)'!O4</f>
        <v>6429.472</v>
      </c>
      <c r="U15" s="34">
        <f>'Inputs (2)'!P4</f>
        <v>6934.929</v>
      </c>
      <c r="V15" s="34">
        <f>'Inputs (2)'!Q4</f>
        <v>7541.305285657</v>
      </c>
      <c r="W15" s="35">
        <f>'Inputs (2)'!R4</f>
        <v>26773.586</v>
      </c>
      <c r="X15" s="34">
        <f>'Inputs (2)'!S4</f>
        <v>7382.470647729</v>
      </c>
      <c r="Y15" s="34">
        <f>'Inputs (2)'!T4</f>
        <v>7638.924352271</v>
      </c>
      <c r="Z15" s="34">
        <f>'Inputs (2)'!U4</f>
        <v>8337.057</v>
      </c>
      <c r="AA15" s="34">
        <f>'Inputs (2)'!V4</f>
        <v>8726.977</v>
      </c>
      <c r="AB15" s="35">
        <f>'Inputs (2)'!W4</f>
        <v>32085.429</v>
      </c>
      <c r="AC15" s="34">
        <f>'Inputs (2)'!X4</f>
        <v>8331.305</v>
      </c>
      <c r="AD15" s="34">
        <f>'Inputs (2)'!Y4</f>
        <v>8779.636433216</v>
      </c>
      <c r="AE15" s="34">
        <f>'Inputs (2)'!Z4</f>
        <v>10763.538</v>
      </c>
      <c r="AF15" s="34">
        <f>'Inputs (2)'!AA4</f>
        <v>10549.922635784</v>
      </c>
      <c r="AG15" s="35">
        <f>'Inputs (2)'!AB4</f>
        <v>38424.402069</v>
      </c>
      <c r="AH15" s="35">
        <f>'Inputs (2)'!AC4</f>
        <v>9402.27</v>
      </c>
      <c r="AI15" s="35">
        <f>'Inputs (2)'!AD4</f>
        <v>9852.461</v>
      </c>
      <c r="AJ15" s="35">
        <f>AE15*(1+AJ16)</f>
        <v>12608.641389633</v>
      </c>
      <c r="AK15" s="35">
        <f>AF15*(1+AK16)</f>
        <v>12358.4077282927</v>
      </c>
      <c r="AL15" s="35">
        <f>SUM(AH15:AK15)</f>
        <v>44221.7801179256</v>
      </c>
      <c r="AM15" s="35">
        <f>AH15*(1+AM16)</f>
        <v>11014.022589831</v>
      </c>
      <c r="AN15" s="35">
        <f>AI15*(1+AN16)</f>
        <v>11541.3860716007</v>
      </c>
      <c r="AO15" s="35">
        <f>AJ15*(1+AO16)</f>
        <v>14770.0354374524</v>
      </c>
      <c r="AP15" s="35">
        <f>AK15*(1+AP16)</f>
        <v>14476.9063102588</v>
      </c>
      <c r="AQ15" s="35">
        <f>SUM(AM15:AP15)</f>
        <v>51802.3504091429</v>
      </c>
      <c r="AR15" s="35">
        <f>AM15*(1+AR16)</f>
        <v>12846.9943469427</v>
      </c>
      <c r="AS15" s="35">
        <f>AN15*(1+AS16)</f>
        <v>13462.1225268444</v>
      </c>
      <c r="AT15" s="35">
        <f>AO15*(1+AT16)</f>
        <v>17228.0890311853</v>
      </c>
      <c r="AU15" s="35">
        <f>AP15*(1+AU16)</f>
        <v>16886.1768724562</v>
      </c>
      <c r="AV15" s="35">
        <f>SUM(AR15:AU15)</f>
        <v>60423.3827774286</v>
      </c>
      <c r="AW15" s="35">
        <f>AR15*(1+AW16)</f>
        <v>14920.7773073177</v>
      </c>
      <c r="AX15" s="35">
        <f>AS15*(1+AX16)</f>
        <v>15635.2004898851</v>
      </c>
      <c r="AY15" s="35">
        <f>AT15*(1+AY16)</f>
        <v>20009.0755022502</v>
      </c>
      <c r="AZ15" s="35">
        <f>AU15*(1+AZ16)</f>
        <v>19611.9713204246</v>
      </c>
      <c r="BA15" s="35">
        <f>SUM(AW15:AZ15)</f>
        <v>70177.0246198775</v>
      </c>
      <c r="BB15" s="35">
        <f>AW15*(1+BB16)</f>
        <v>17254.7098379259</v>
      </c>
      <c r="BC15" s="35">
        <f>AX15*(1+BC16)</f>
        <v>18080.8842699136</v>
      </c>
      <c r="BD15" s="35">
        <f>AY15*(1+BD16)</f>
        <v>23138.9280065962</v>
      </c>
      <c r="BE15" s="35">
        <f>AZ15*(1+BE16)</f>
        <v>22679.7081354259</v>
      </c>
      <c r="BF15" s="35">
        <f>SUM(BB15:BE15)</f>
        <v>81154.2302498616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0.361810718228389</v>
      </c>
      <c r="O16" s="40">
        <f>IFERROR(O15/J15-1,"")</f>
        <v>0.396753960820719</v>
      </c>
      <c r="P16" s="40">
        <f>IFERROR(P15/K15-1,"")</f>
        <v>0.361913258414049</v>
      </c>
      <c r="Q16" s="40">
        <f>IFERROR(Q15/L15-1,"")</f>
        <v>0.36555210339688</v>
      </c>
      <c r="R16" s="40">
        <f>IFERROR(R15/M15-1,"")</f>
        <v>0.371082229912696</v>
      </c>
      <c r="S16" s="40">
        <f>IFERROR(S15/N15-1,"")</f>
        <v>0.28153794431661</v>
      </c>
      <c r="T16" s="40">
        <f>IFERROR(T15/O15-1,"")</f>
        <v>0.235964166783128</v>
      </c>
      <c r="U16" s="40">
        <f>IFERROR(U15/P15-1,"")</f>
        <v>0.170821479383117</v>
      </c>
      <c r="V16" s="40">
        <f>IFERROR(V15/Q15-1,"")</f>
        <v>0.243500631825382</v>
      </c>
      <c r="W16" s="40">
        <f>IFERROR(W15/R15-1,"")</f>
        <v>0.22992465736107</v>
      </c>
      <c r="X16" s="40">
        <f>IFERROR(X15/S15-1,"")</f>
        <v>0.258115538681519</v>
      </c>
      <c r="Y16" s="40">
        <f>IFERROR(Y15/T15-1,"")</f>
        <v>0.188110680359289</v>
      </c>
      <c r="Z16" s="40">
        <f>IFERROR(Z15/U15-1,"")</f>
        <v>0.202183468641135</v>
      </c>
      <c r="AA16" s="40">
        <f>IFERROR(AA15/V15-1,"")</f>
        <v>0.1572236727504</v>
      </c>
      <c r="AB16" s="40">
        <f>IFERROR(AB15/W15-1,"")</f>
        <v>0.198398638120422</v>
      </c>
      <c r="AC16" s="40">
        <f>IFERROR(AC15/X15-1,"")</f>
        <v>0.128525313211084</v>
      </c>
      <c r="AD16" s="40">
        <f>IFERROR(AD15/Y15-1,"")</f>
        <v>0.149328888249282</v>
      </c>
      <c r="AE16" s="40">
        <f>IFERROR(AE15/Z15-1,"")</f>
        <v>0.291047668259915</v>
      </c>
      <c r="AF16" s="41">
        <f>IFERROR(AF15/AA15-1,"")</f>
        <v>0.20888626563173</v>
      </c>
      <c r="AG16" s="40">
        <f>IFERROR(AG15/AB15-1,"")</f>
        <v>0.197565476497135</v>
      </c>
      <c r="AH16" s="41">
        <f>IFERROR(AH15/AC15-1,"")</f>
        <v>0.128547088361307</v>
      </c>
      <c r="AI16" s="41">
        <f>IFERROR(AI15/AD15-1,"")</f>
        <v>0.122194646093224</v>
      </c>
      <c r="AJ16" s="41">
        <f>Control!$B$18</f>
        <v>0.171421644967757</v>
      </c>
      <c r="AK16" s="41">
        <f>Control!$B$18</f>
        <v>0.171421644967757</v>
      </c>
      <c r="AL16" s="42">
        <f>IFERROR(AL15/AG15-1,"")</f>
        <v>0.150877508477948</v>
      </c>
      <c r="AM16" s="41">
        <f>Control!$C$18</f>
        <v>0.171421644967757</v>
      </c>
      <c r="AN16" s="41">
        <f>Control!$C$18</f>
        <v>0.171421644967757</v>
      </c>
      <c r="AO16" s="41">
        <f>Control!$C$18</f>
        <v>0.171421644967757</v>
      </c>
      <c r="AP16" s="41">
        <f>Control!$C$18</f>
        <v>0.171421644967757</v>
      </c>
      <c r="AQ16" s="42">
        <f>IFERROR(AQ15/AL15-1,"")</f>
        <v>0.171421644967757</v>
      </c>
      <c r="AR16" s="41">
        <f>Control!$D$18</f>
        <v>0.166421644967757</v>
      </c>
      <c r="AS16" s="41">
        <f>Control!$D$18</f>
        <v>0.166421644967757</v>
      </c>
      <c r="AT16" s="41">
        <f>Control!$D$18</f>
        <v>0.166421644967757</v>
      </c>
      <c r="AU16" s="41">
        <f>Control!$D$18</f>
        <v>0.166421644967757</v>
      </c>
      <c r="AV16" s="42">
        <f>IFERROR(AV15/AQ15-1,"")</f>
        <v>0.166421644967757</v>
      </c>
      <c r="AW16" s="41">
        <f>Control!$E$18</f>
        <v>0.161421644967757</v>
      </c>
      <c r="AX16" s="41">
        <f>Control!$E$18</f>
        <v>0.161421644967757</v>
      </c>
      <c r="AY16" s="41">
        <f>Control!$E$18</f>
        <v>0.161421644967757</v>
      </c>
      <c r="AZ16" s="41">
        <f>Control!$E$18</f>
        <v>0.161421644967757</v>
      </c>
      <c r="BA16" s="42">
        <f>IFERROR(BA15/AV15-1,"")</f>
        <v>0.161421644967757</v>
      </c>
      <c r="BB16" s="41">
        <f>Control!$F$18</f>
        <v>0.156421644967757</v>
      </c>
      <c r="BC16" s="41">
        <f>Control!$F$18</f>
        <v>0.156421644967757</v>
      </c>
      <c r="BD16" s="41">
        <f>Control!$F$18</f>
        <v>0.156421644967757</v>
      </c>
      <c r="BE16" s="41">
        <f>Control!$F$18</f>
        <v>0.156421644967757</v>
      </c>
      <c r="BF16" s="42">
        <f>IFERROR(BF15/BA15-1,"")</f>
        <v>0.156421644967757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str">
        <f>IF(ISNUMBER(I39),I39,"")</f>
        <v/>
      </c>
      <c r="J17" s="40" t="str">
        <f>IF(ISNUMBER(J39),J39,"")</f>
        <v/>
      </c>
      <c r="K17" s="40" t="str">
        <f>IF(ISNUMBER(K39),K39,"")</f>
        <v/>
      </c>
      <c r="L17" s="40" t="str">
        <f>IF(ISNUMBER(L39),L39,"")</f>
        <v/>
      </c>
      <c r="M17" s="39" t="str">
        <f>IF(ISNUMBER(M39),M39,"")</f>
        <v/>
      </c>
      <c r="N17" s="40" t="str">
        <f>IF(ISNUMBER(N39),N39,"")</f>
        <v/>
      </c>
      <c r="O17" s="40" t="str">
        <f>IF(ISNUMBER(O39),O39,"")</f>
        <v/>
      </c>
      <c r="P17" s="40" t="str">
        <f>IF(ISNUMBER(P39),P39,"")</f>
        <v/>
      </c>
      <c r="Q17" s="40" t="str">
        <f>IF(ISNUMBER(Q39),Q39,"")</f>
        <v/>
      </c>
      <c r="R17" s="40" t="str">
        <f>IF(ISNUMBER(R39),R39,"")</f>
        <v/>
      </c>
      <c r="S17" s="40" t="str">
        <f>IF(ISNUMBER(S39),S39,"")</f>
        <v/>
      </c>
      <c r="T17" s="40" t="str">
        <f>IF(ISNUMBER(T39),T39,"")</f>
        <v/>
      </c>
      <c r="U17" s="40" t="str">
        <f>IF(ISNUMBER(U39),U39,"")</f>
        <v/>
      </c>
      <c r="V17" s="40" t="str">
        <f>IF(ISNUMBER(V39),V39,"")</f>
        <v/>
      </c>
      <c r="W17" s="40" t="str">
        <f>IF(ISNUMBER(W39),W39,"")</f>
        <v/>
      </c>
      <c r="X17" s="40" t="str">
        <f>IF(ISNUMBER(X39),X39,"")</f>
        <v/>
      </c>
      <c r="Y17" s="40" t="str">
        <f>IF(ISNUMBER(Y39),Y39,"")</f>
        <v/>
      </c>
      <c r="Z17" s="40" t="str">
        <f>IF(ISNUMBER(Z39),Z39,"")</f>
        <v/>
      </c>
      <c r="AA17" s="40" t="str">
        <f>IF(ISNUMBER(AA39),AA39,"")</f>
        <v/>
      </c>
      <c r="AB17" s="40" t="str">
        <f>IF(ISNUMBER(AB39),AB39,"")</f>
        <v/>
      </c>
      <c r="AC17" s="40" t="str">
        <f>IF(ISNUMBER(AC39),AC39,"")</f>
        <v/>
      </c>
      <c r="AD17" s="40" t="str">
        <f>IF(ISNUMBER(AD39),AD39,"")</f>
        <v/>
      </c>
      <c r="AE17" s="40">
        <f>IF(ISNUMBER(AE39),AE39,"")</f>
        <v>-0.462</v>
      </c>
      <c r="AF17" s="40">
        <f>IF(ISNUMBER(AF39),AF39,"")</f>
        <v>-0.077364</v>
      </c>
      <c r="AG17" s="40" t="str">
        <f>IF(ISNUMBER(AG39),AG39,"")</f>
        <v/>
      </c>
      <c r="AH17" s="41">
        <f>IF(ISNUMBER(AH39),AH39,"")</f>
        <v>0.27</v>
      </c>
      <c r="AI17" s="41">
        <f>IF(ISNUMBER(AI39),AI39,"")</f>
        <v>-0.539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bruta de mercadorias por segmento - como a Cia divulga (releases; R$ milhoes; aberta ate o 4T25)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Atacarejo (Mix Mateus; + Novo Atacarejo desde 3T25)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1827</v>
      </c>
      <c r="J19" s="269">
        <f>IFERROR(INDEX('Inputs (2)'!$D$53:$AL$53,MATCH(J$7&amp;"",'Inputs (2)'!$D$2:$AL$2,0)),"")</f>
        <v>2003</v>
      </c>
      <c r="K19" s="269">
        <f>IFERROR(INDEX('Inputs (2)'!$D$53:$AL$53,MATCH(K$7&amp;"",'Inputs (2)'!$D$2:$AL$2,0)),"")</f>
        <v>2381</v>
      </c>
      <c r="L19" s="269">
        <f>IFERROR(INDEX('Inputs (2)'!$D$53:$AL$53,MATCH(L$7&amp;"",'Inputs (2)'!$D$2:$AL$2,0)),"")</f>
        <v>2485</v>
      </c>
      <c r="M19" s="270">
        <f>IF(COUNT(I19:L19)=4,SUM(I19:L19),"")</f>
        <v>8696</v>
      </c>
      <c r="N19" s="269">
        <f>IFERROR(INDEX('Inputs (2)'!$D$53:$AL$53,MATCH(N$7&amp;"",'Inputs (2)'!$D$2:$AL$2,0)),"")</f>
        <v>2514</v>
      </c>
      <c r="O19" s="269">
        <f>IFERROR(INDEX('Inputs (2)'!$D$53:$AL$53,MATCH(O$7&amp;"",'Inputs (2)'!$D$2:$AL$2,0)),"")</f>
        <v>2956</v>
      </c>
      <c r="P19" s="269">
        <f>IFERROR(INDEX('Inputs (2)'!$D$53:$AL$53,MATCH(P$7&amp;"",'Inputs (2)'!$D$2:$AL$2,0)),"")</f>
        <v>3478</v>
      </c>
      <c r="Q19" s="269">
        <f>IFERROR(INDEX('Inputs (2)'!$D$53:$AL$53,MATCH(Q$7&amp;"",'Inputs (2)'!$D$2:$AL$2,0)),"")</f>
        <v>3584</v>
      </c>
      <c r="R19" s="270">
        <f>IF(COUNT(N19:Q19)=4,SUM(N19:Q19),"")</f>
        <v>12532</v>
      </c>
      <c r="S19" s="269">
        <f>IFERROR(INDEX('Inputs (2)'!$D$53:$AL$53,MATCH(S$7&amp;"",'Inputs (2)'!$D$2:$AL$2,0)),"")</f>
        <v>3523</v>
      </c>
      <c r="T19" s="269">
        <f>IFERROR(INDEX('Inputs (2)'!$D$53:$AL$53,MATCH(T$7&amp;"",'Inputs (2)'!$D$2:$AL$2,0)),"")</f>
        <v>3899</v>
      </c>
      <c r="U19" s="269">
        <f>IFERROR(INDEX('Inputs (2)'!$D$53:$AL$53,MATCH(U$7&amp;"",'Inputs (2)'!$D$2:$AL$2,0)),"")</f>
        <v>4209</v>
      </c>
      <c r="V19" s="269">
        <f>IFERROR(INDEX('Inputs (2)'!$D$53:$AL$53,MATCH(V$7&amp;"",'Inputs (2)'!$D$2:$AL$2,0)),"")</f>
        <v>4753</v>
      </c>
      <c r="W19" s="270">
        <f>IF(COUNT(S19:V19)=4,SUM(S19:V19),"")</f>
        <v>16384</v>
      </c>
      <c r="X19" s="269">
        <f>IFERROR(INDEX('Inputs (2)'!$D$53:$AL$53,MATCH(X$7&amp;"",'Inputs (2)'!$D$2:$AL$2,0)),"")</f>
        <v>4683</v>
      </c>
      <c r="Y19" s="269">
        <f>IFERROR(INDEX('Inputs (2)'!$D$53:$AL$53,MATCH(Y$7&amp;"",'Inputs (2)'!$D$2:$AL$2,0)),"")</f>
        <v>4765</v>
      </c>
      <c r="Z19" s="269">
        <f>IFERROR(INDEX('Inputs (2)'!$D$53:$AL$53,MATCH(Z$7&amp;"",'Inputs (2)'!$D$2:$AL$2,0)),"")</f>
        <v>5304</v>
      </c>
      <c r="AA19" s="269">
        <f>IFERROR(INDEX('Inputs (2)'!$D$53:$AL$53,MATCH(AA$7&amp;"",'Inputs (2)'!$D$2:$AL$2,0)),"")</f>
        <v>5620</v>
      </c>
      <c r="AB19" s="270">
        <f>IF(COUNT(X19:AA19)=4,SUM(X19:AA19),"")</f>
        <v>20372</v>
      </c>
      <c r="AC19" s="269">
        <f>IFERROR(INDEX('Inputs (2)'!$D$53:$AL$53,MATCH(AC$7&amp;"",'Inputs (2)'!$D$2:$AL$2,0)),"")</f>
        <v>5252</v>
      </c>
      <c r="AD19" s="269">
        <f>IFERROR(INDEX('Inputs (2)'!$D$53:$AL$53,MATCH(AD$7&amp;"",'Inputs (2)'!$D$2:$AL$2,0)),"")</f>
        <v>5541</v>
      </c>
      <c r="AE19" s="269">
        <f>IFERROR(INDEX('Inputs (2)'!$D$53:$AL$53,MATCH(AE$7&amp;"",'Inputs (2)'!$D$2:$AL$2,0)),"")</f>
        <v>7530</v>
      </c>
      <c r="AF19" s="269">
        <f>IFERROR(INDEX('Inputs (2)'!$D$53:$AL$53,MATCH(AF$7&amp;"",'Inputs (2)'!$D$2:$AL$2,0)),"")</f>
        <v>7354</v>
      </c>
      <c r="AG19" s="270">
        <f>IF(COUNT(AC19:AF19)=4,SUM(AC19:AF19),"")</f>
        <v>25677</v>
      </c>
      <c r="AH19" s="270" t="str">
        <f>IFERROR(INDEX('Inputs (2)'!$D$53:$AL$53,MATCH(AH$7&amp;"",'Inputs (2)'!$D$2:$AL$2,0)),"")</f>
        <v/>
      </c>
      <c r="AI19" s="270" t="str">
        <f>IFERROR(INDEX('Inputs (2)'!$D$53:$AL$53,MATCH(AI$7&amp;"",'Inputs (2)'!$D$2:$AL$2,0)),"")</f>
        <v/>
      </c>
    </row>
    <row r="20">
      <c r="C20" s="268" t="inlineStr">
        <is>
          <t xml:space="preserve">   Varejo (Super/Hiper, Camino)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1114</v>
      </c>
      <c r="J20" s="269">
        <f>IFERROR(INDEX('Inputs (2)'!$D$54:$AL$54,MATCH(J$7&amp;"",'Inputs (2)'!$D$2:$AL$2,0)),"")</f>
        <v>1215</v>
      </c>
      <c r="K20" s="269">
        <f>IFERROR(INDEX('Inputs (2)'!$D$54:$AL$54,MATCH(K$7&amp;"",'Inputs (2)'!$D$2:$AL$2,0)),"")</f>
        <v>1435</v>
      </c>
      <c r="L20" s="269">
        <f>IFERROR(INDEX('Inputs (2)'!$D$54:$AL$54,MATCH(L$7&amp;"",'Inputs (2)'!$D$2:$AL$2,0)),"")</f>
        <v>1465</v>
      </c>
      <c r="M20" s="270">
        <f>IF(COUNT(I20:L20)=4,SUM(I20:L20),"")</f>
        <v>5229</v>
      </c>
      <c r="N20" s="269">
        <f>IFERROR(INDEX('Inputs (2)'!$D$54:$AL$54,MATCH(N$7&amp;"",'Inputs (2)'!$D$2:$AL$2,0)),"")</f>
        <v>1474</v>
      </c>
      <c r="O20" s="269">
        <f>IFERROR(INDEX('Inputs (2)'!$D$54:$AL$54,MATCH(O$7&amp;"",'Inputs (2)'!$D$2:$AL$2,0)),"")</f>
        <v>1622</v>
      </c>
      <c r="P20" s="269">
        <f>IFERROR(INDEX('Inputs (2)'!$D$54:$AL$54,MATCH(P$7&amp;"",'Inputs (2)'!$D$2:$AL$2,0)),"")</f>
        <v>1829</v>
      </c>
      <c r="Q20" s="269">
        <f>IFERROR(INDEX('Inputs (2)'!$D$54:$AL$54,MATCH(Q$7&amp;"",'Inputs (2)'!$D$2:$AL$2,0)),"")</f>
        <v>1883</v>
      </c>
      <c r="R20" s="270">
        <f>IF(COUNT(N20:Q20)=4,SUM(N20:Q20),"")</f>
        <v>6808</v>
      </c>
      <c r="S20" s="269">
        <f>IFERROR(INDEX('Inputs (2)'!$D$54:$AL$54,MATCH(S$7&amp;"",'Inputs (2)'!$D$2:$AL$2,0)),"")</f>
        <v>1757</v>
      </c>
      <c r="T20" s="269">
        <f>IFERROR(INDEX('Inputs (2)'!$D$54:$AL$54,MATCH(T$7&amp;"",'Inputs (2)'!$D$2:$AL$2,0)),"")</f>
        <v>1877</v>
      </c>
      <c r="U20" s="269">
        <f>IFERROR(INDEX('Inputs (2)'!$D$54:$AL$54,MATCH(U$7&amp;"",'Inputs (2)'!$D$2:$AL$2,0)),"")</f>
        <v>2047</v>
      </c>
      <c r="V20" s="269">
        <f>IFERROR(INDEX('Inputs (2)'!$D$54:$AL$54,MATCH(V$7&amp;"",'Inputs (2)'!$D$2:$AL$2,0)),"")</f>
        <v>2096</v>
      </c>
      <c r="W20" s="270">
        <f>IF(COUNT(S20:V20)=4,SUM(S20:V20),"")</f>
        <v>7777</v>
      </c>
      <c r="X20" s="269">
        <f>IFERROR(INDEX('Inputs (2)'!$D$54:$AL$54,MATCH(X$7&amp;"",'Inputs (2)'!$D$2:$AL$2,0)),"")</f>
        <v>2036</v>
      </c>
      <c r="Y20" s="269">
        <f>IFERROR(INDEX('Inputs (2)'!$D$54:$AL$54,MATCH(Y$7&amp;"",'Inputs (2)'!$D$2:$AL$2,0)),"")</f>
        <v>2055</v>
      </c>
      <c r="Z20" s="269">
        <f>IFERROR(INDEX('Inputs (2)'!$D$54:$AL$54,MATCH(Z$7&amp;"",'Inputs (2)'!$D$2:$AL$2,0)),"")</f>
        <v>2164</v>
      </c>
      <c r="AA20" s="269">
        <f>IFERROR(INDEX('Inputs (2)'!$D$54:$AL$54,MATCH(AA$7&amp;"",'Inputs (2)'!$D$2:$AL$2,0)),"")</f>
        <v>2244</v>
      </c>
      <c r="AB20" s="270">
        <f>IF(COUNT(X20:AA20)=4,SUM(X20:AA20),"")</f>
        <v>8499</v>
      </c>
      <c r="AC20" s="269">
        <f>IFERROR(INDEX('Inputs (2)'!$D$54:$AL$54,MATCH(AC$7&amp;"",'Inputs (2)'!$D$2:$AL$2,0)),"")</f>
        <v>2110</v>
      </c>
      <c r="AD20" s="269">
        <f>IFERROR(INDEX('Inputs (2)'!$D$54:$AL$54,MATCH(AD$7&amp;"",'Inputs (2)'!$D$2:$AL$2,0)),"")</f>
        <v>2143</v>
      </c>
      <c r="AE20" s="269">
        <f>IFERROR(INDEX('Inputs (2)'!$D$54:$AL$54,MATCH(AE$7&amp;"",'Inputs (2)'!$D$2:$AL$2,0)),"")</f>
        <v>2228</v>
      </c>
      <c r="AF20" s="269">
        <f>IFERROR(INDEX('Inputs (2)'!$D$54:$AL$54,MATCH(AF$7&amp;"",'Inputs (2)'!$D$2:$AL$2,0)),"")</f>
        <v>2326</v>
      </c>
      <c r="AG20" s="270">
        <f>IF(COUNT(AC20:AF20)=4,SUM(AC20:AF20),"")</f>
        <v>8807</v>
      </c>
      <c r="AH20" s="270" t="str">
        <f>IFERROR(INDEX('Inputs (2)'!$D$54:$AL$54,MATCH(AH$7&amp;"",'Inputs (2)'!$D$2:$AL$2,0)),"")</f>
        <v/>
      </c>
      <c r="AI20" s="270" t="str">
        <f>IFERROR(INDEX('Inputs (2)'!$D$54:$AL$54,MATCH(AI$7&amp;"",'Inputs (2)'!$D$2:$AL$2,0)),"")</f>
        <v/>
      </c>
    </row>
    <row r="21">
      <c r="C21" s="268" t="inlineStr">
        <is>
          <t xml:space="preserve">   Eletro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196</v>
      </c>
      <c r="J21" s="269">
        <f>IFERROR(INDEX('Inputs (2)'!$D$55:$AL$55,MATCH(J$7&amp;"",'Inputs (2)'!$D$2:$AL$2,0)),"")</f>
        <v>243</v>
      </c>
      <c r="K21" s="269">
        <f>IFERROR(INDEX('Inputs (2)'!$D$55:$AL$55,MATCH(K$7&amp;"",'Inputs (2)'!$D$2:$AL$2,0)),"")</f>
        <v>264</v>
      </c>
      <c r="L21" s="269">
        <f>IFERROR(INDEX('Inputs (2)'!$D$55:$AL$55,MATCH(L$7&amp;"",'Inputs (2)'!$D$2:$AL$2,0)),"")</f>
        <v>292</v>
      </c>
      <c r="M21" s="270">
        <f>IF(COUNT(I21:L21)=4,SUM(I21:L21),"")</f>
        <v>995</v>
      </c>
      <c r="N21" s="269">
        <f>IFERROR(INDEX('Inputs (2)'!$D$55:$AL$55,MATCH(N$7&amp;"",'Inputs (2)'!$D$2:$AL$2,0)),"")</f>
        <v>256</v>
      </c>
      <c r="O21" s="269">
        <f>IFERROR(INDEX('Inputs (2)'!$D$55:$AL$55,MATCH(O$7&amp;"",'Inputs (2)'!$D$2:$AL$2,0)),"")</f>
        <v>281</v>
      </c>
      <c r="P21" s="269">
        <f>IFERROR(INDEX('Inputs (2)'!$D$55:$AL$55,MATCH(P$7&amp;"",'Inputs (2)'!$D$2:$AL$2,0)),"")</f>
        <v>288</v>
      </c>
      <c r="Q21" s="269">
        <f>IFERROR(INDEX('Inputs (2)'!$D$55:$AL$55,MATCH(Q$7&amp;"",'Inputs (2)'!$D$2:$AL$2,0)),"")</f>
        <v>292</v>
      </c>
      <c r="R21" s="270">
        <f>IF(COUNT(N21:Q21)=4,SUM(N21:Q21),"")</f>
        <v>1117</v>
      </c>
      <c r="S21" s="269">
        <f>IFERROR(INDEX('Inputs (2)'!$D$55:$AL$55,MATCH(S$7&amp;"",'Inputs (2)'!$D$2:$AL$2,0)),"")</f>
        <v>234</v>
      </c>
      <c r="T21" s="269">
        <f>IFERROR(INDEX('Inputs (2)'!$D$55:$AL$55,MATCH(T$7&amp;"",'Inputs (2)'!$D$2:$AL$2,0)),"")</f>
        <v>294</v>
      </c>
      <c r="U21" s="269">
        <f>IFERROR(INDEX('Inputs (2)'!$D$55:$AL$55,MATCH(U$7&amp;"",'Inputs (2)'!$D$2:$AL$2,0)),"")</f>
        <v>316</v>
      </c>
      <c r="V21" s="269">
        <f>IFERROR(INDEX('Inputs (2)'!$D$55:$AL$55,MATCH(V$7&amp;"",'Inputs (2)'!$D$2:$AL$2,0)),"")</f>
        <v>339</v>
      </c>
      <c r="W21" s="270">
        <f>IF(COUNT(S21:V21)=4,SUM(S21:V21),"")</f>
        <v>1183</v>
      </c>
      <c r="X21" s="269">
        <f>IFERROR(INDEX('Inputs (2)'!$D$55:$AL$55,MATCH(X$7&amp;"",'Inputs (2)'!$D$2:$AL$2,0)),"")</f>
        <v>261</v>
      </c>
      <c r="Y21" s="269">
        <f>IFERROR(INDEX('Inputs (2)'!$D$55:$AL$55,MATCH(Y$7&amp;"",'Inputs (2)'!$D$2:$AL$2,0)),"")</f>
        <v>315</v>
      </c>
      <c r="Z21" s="269">
        <f>IFERROR(INDEX('Inputs (2)'!$D$55:$AL$55,MATCH(Z$7&amp;"",'Inputs (2)'!$D$2:$AL$2,0)),"")</f>
        <v>337</v>
      </c>
      <c r="AA21" s="269">
        <f>IFERROR(INDEX('Inputs (2)'!$D$55:$AL$55,MATCH(AA$7&amp;"",'Inputs (2)'!$D$2:$AL$2,0)),"")</f>
        <v>354</v>
      </c>
      <c r="AB21" s="270">
        <f>IF(COUNT(X21:AA21)=4,SUM(X21:AA21),"")</f>
        <v>1267</v>
      </c>
      <c r="AC21" s="269">
        <f>IFERROR(INDEX('Inputs (2)'!$D$55:$AL$55,MATCH(AC$7&amp;"",'Inputs (2)'!$D$2:$AL$2,0)),"")</f>
        <v>254</v>
      </c>
      <c r="AD21" s="269">
        <f>IFERROR(INDEX('Inputs (2)'!$D$55:$AL$55,MATCH(AD$7&amp;"",'Inputs (2)'!$D$2:$AL$2,0)),"")</f>
        <v>277</v>
      </c>
      <c r="AE21" s="269">
        <f>IFERROR(INDEX('Inputs (2)'!$D$55:$AL$55,MATCH(AE$7&amp;"",'Inputs (2)'!$D$2:$AL$2,0)),"")</f>
        <v>283</v>
      </c>
      <c r="AF21" s="269">
        <f>IFERROR(INDEX('Inputs (2)'!$D$55:$AL$55,MATCH(AF$7&amp;"",'Inputs (2)'!$D$2:$AL$2,0)),"")</f>
        <v>339</v>
      </c>
      <c r="AG21" s="270">
        <f>IF(COUNT(AC21:AF21)=4,SUM(AC21:AF21),"")</f>
        <v>1153</v>
      </c>
      <c r="AH21" s="270" t="str">
        <f>IFERROR(INDEX('Inputs (2)'!$D$55:$AL$55,MATCH(AH$7&amp;"",'Inputs (2)'!$D$2:$AL$2,0)),"")</f>
        <v/>
      </c>
      <c r="AI21" s="270" t="str">
        <f>IFERROR(INDEX('Inputs (2)'!$D$55:$AL$55,MATCH(AI$7&amp;"",'Inputs (2)'!$D$2:$AL$2,0)),"")</f>
        <v/>
      </c>
    </row>
    <row r="22">
      <c r="C22" s="268" t="inlineStr">
        <is>
          <t xml:space="preserve">   Atacado (B2B)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>
        <f>IFERROR(INDEX('Inputs (2)'!$D$56:$AL$56,MATCH(I$7&amp;"",'Inputs (2)'!$D$2:$AL$2,0)),"")</f>
        <v>662</v>
      </c>
      <c r="J22" s="269">
        <f>IFERROR(INDEX('Inputs (2)'!$D$56:$AL$56,MATCH(J$7&amp;"",'Inputs (2)'!$D$2:$AL$2,0)),"")</f>
        <v>741</v>
      </c>
      <c r="K22" s="269">
        <f>IFERROR(INDEX('Inputs (2)'!$D$56:$AL$56,MATCH(K$7&amp;"",'Inputs (2)'!$D$2:$AL$2,0)),"")</f>
        <v>804</v>
      </c>
      <c r="L22" s="269">
        <f>IFERROR(INDEX('Inputs (2)'!$D$56:$AL$56,MATCH(L$7&amp;"",'Inputs (2)'!$D$2:$AL$2,0)),"")</f>
        <v>813</v>
      </c>
      <c r="M22" s="270">
        <f>IF(COUNT(I22:L22)=4,SUM(I22:L22),"")</f>
        <v>3020</v>
      </c>
      <c r="N22" s="269">
        <f>IFERROR(INDEX('Inputs (2)'!$D$56:$AL$56,MATCH(N$7&amp;"",'Inputs (2)'!$D$2:$AL$2,0)),"")</f>
        <v>928</v>
      </c>
      <c r="O22" s="269">
        <f>IFERROR(INDEX('Inputs (2)'!$D$56:$AL$56,MATCH(O$7&amp;"",'Inputs (2)'!$D$2:$AL$2,0)),"")</f>
        <v>997</v>
      </c>
      <c r="P22" s="269">
        <f>IFERROR(INDEX('Inputs (2)'!$D$56:$AL$56,MATCH(P$7&amp;"",'Inputs (2)'!$D$2:$AL$2,0)),"")</f>
        <v>1069</v>
      </c>
      <c r="Q22" s="269">
        <f>IFERROR(INDEX('Inputs (2)'!$D$56:$AL$56,MATCH(Q$7&amp;"",'Inputs (2)'!$D$2:$AL$2,0)),"")</f>
        <v>1079</v>
      </c>
      <c r="R22" s="270">
        <f>IF(COUNT(N22:Q22)=4,SUM(N22:Q22),"")</f>
        <v>4073</v>
      </c>
      <c r="S22" s="269">
        <f>IFERROR(INDEX('Inputs (2)'!$D$56:$AL$56,MATCH(S$7&amp;"",'Inputs (2)'!$D$2:$AL$2,0)),"")</f>
        <v>1078</v>
      </c>
      <c r="T22" s="269">
        <f>IFERROR(INDEX('Inputs (2)'!$D$56:$AL$56,MATCH(T$7&amp;"",'Inputs (2)'!$D$2:$AL$2,0)),"")</f>
        <v>1187</v>
      </c>
      <c r="U22" s="269">
        <f>IFERROR(INDEX('Inputs (2)'!$D$56:$AL$56,MATCH(U$7&amp;"",'Inputs (2)'!$D$2:$AL$2,0)),"")</f>
        <v>1236</v>
      </c>
      <c r="V22" s="269">
        <f>IFERROR(INDEX('Inputs (2)'!$D$56:$AL$56,MATCH(V$7&amp;"",'Inputs (2)'!$D$2:$AL$2,0)),"")</f>
        <v>1400</v>
      </c>
      <c r="W22" s="270">
        <f>IF(COUNT(S22:V22)=4,SUM(S22:V22),"")</f>
        <v>4901</v>
      </c>
      <c r="X22" s="269">
        <f>IFERROR(INDEX('Inputs (2)'!$D$56:$AL$56,MATCH(X$7&amp;"",'Inputs (2)'!$D$2:$AL$2,0)),"")</f>
        <v>1400</v>
      </c>
      <c r="Y22" s="269">
        <f>IFERROR(INDEX('Inputs (2)'!$D$56:$AL$56,MATCH(Y$7&amp;"",'Inputs (2)'!$D$2:$AL$2,0)),"")</f>
        <v>1534</v>
      </c>
      <c r="Z22" s="269">
        <f>IFERROR(INDEX('Inputs (2)'!$D$56:$AL$56,MATCH(Z$7&amp;"",'Inputs (2)'!$D$2:$AL$2,0)),"")</f>
        <v>1625</v>
      </c>
      <c r="AA22" s="269">
        <f>IFERROR(INDEX('Inputs (2)'!$D$56:$AL$56,MATCH(AA$7&amp;"",'Inputs (2)'!$D$2:$AL$2,0)),"")</f>
        <v>1690</v>
      </c>
      <c r="AB22" s="270">
        <f>IF(COUNT(X22:AA22)=4,SUM(X22:AA22),"")</f>
        <v>6249</v>
      </c>
      <c r="AC22" s="269">
        <f>IFERROR(INDEX('Inputs (2)'!$D$56:$AL$56,MATCH(AC$7&amp;"",'Inputs (2)'!$D$2:$AL$2,0)),"")</f>
        <v>1816</v>
      </c>
      <c r="AD22" s="269">
        <f>IFERROR(INDEX('Inputs (2)'!$D$56:$AL$56,MATCH(AD$7&amp;"",'Inputs (2)'!$D$2:$AL$2,0)),"")</f>
        <v>1986</v>
      </c>
      <c r="AE22" s="269">
        <f>IFERROR(INDEX('Inputs (2)'!$D$56:$AL$56,MATCH(AE$7&amp;"",'Inputs (2)'!$D$2:$AL$2,0)),"")</f>
        <v>2060</v>
      </c>
      <c r="AF22" s="269">
        <f>IFERROR(INDEX('Inputs (2)'!$D$56:$AL$56,MATCH(AF$7&amp;"",'Inputs (2)'!$D$2:$AL$2,0)),"")</f>
        <v>2052</v>
      </c>
      <c r="AG22" s="270">
        <f>IF(COUNT(AC22:AF22)=4,SUM(AC22:AF22),"")</f>
        <v>7914</v>
      </c>
      <c r="AH22" s="270" t="str">
        <f>IFERROR(INDEX('Inputs (2)'!$D$56:$AL$56,MATCH(AH$7&amp;"",'Inputs (2)'!$D$2:$AL$2,0)),"")</f>
        <v/>
      </c>
      <c r="AI22" s="270" t="str">
        <f>IFERROR(INDEX('Inputs (2)'!$D$56:$AL$56,MATCH(AI$7&amp;"",'Inputs (2)'!$D$2:$AL$2,0)),"")</f>
        <v/>
      </c>
    </row>
    <row r="23">
      <c r="C23" s="271" t="inlineStr">
        <is>
          <t>Receita bruta de mercadorias (soma)</t>
        </is>
      </c>
      <c r="D23" s="269" t="str">
        <f>IF(COUNT(D19,D20,D21,D22)&lt;4,"",SUM(D19,D20,D21,D22))</f>
        <v/>
      </c>
      <c r="E23" s="269" t="str">
        <f>IF(COUNT(E19,E20,E21,E22)&lt;4,"",SUM(E19,E20,E21,E22))</f>
        <v/>
      </c>
      <c r="F23" s="269" t="str">
        <f>IF(COUNT(F19,F20,F21,F22)&lt;4,"",SUM(F19,F20,F21,F22))</f>
        <v/>
      </c>
      <c r="G23" s="269" t="str">
        <f>IF(COUNT(G19,G20,G21,G22)&lt;4,"",SUM(G19,G20,G21,G22))</f>
        <v/>
      </c>
      <c r="H23" s="270" t="str">
        <f>IF(COUNT(H19,H20,H21,H22)&lt;4,"",SUM(H19,H20,H21,H22))</f>
        <v/>
      </c>
      <c r="I23" s="269">
        <f>IF(COUNT(I19,I20,I21,I22)&lt;4,"",SUM(I19,I20,I21,I22))</f>
        <v>3799</v>
      </c>
      <c r="J23" s="269">
        <f>IF(COUNT(J19,J20,J21,J22)&lt;4,"",SUM(J19,J20,J21,J22))</f>
        <v>4202</v>
      </c>
      <c r="K23" s="269">
        <f>IF(COUNT(K19,K20,K21,K22)&lt;4,"",SUM(K19,K20,K21,K22))</f>
        <v>4884</v>
      </c>
      <c r="L23" s="269">
        <f>IF(COUNT(L19,L20,L21,L22)&lt;4,"",SUM(L19,L20,L21,L22))</f>
        <v>5055</v>
      </c>
      <c r="M23" s="270">
        <f>IF(COUNT(M19,M20,M21,M22)&lt;4,"",SUM(M19,M20,M21,M22))</f>
        <v>17940</v>
      </c>
      <c r="N23" s="269">
        <f>IF(COUNT(N19,N20,N21,N22)&lt;4,"",SUM(N19,N20,N21,N22))</f>
        <v>5172</v>
      </c>
      <c r="O23" s="269">
        <f>IF(COUNT(O19,O20,O21,O22)&lt;4,"",SUM(O19,O20,O21,O22))</f>
        <v>5856</v>
      </c>
      <c r="P23" s="269">
        <f>IF(COUNT(P19,P20,P21,P22)&lt;4,"",SUM(P19,P20,P21,P22))</f>
        <v>6664</v>
      </c>
      <c r="Q23" s="269">
        <f>IF(COUNT(Q19,Q20,Q21,Q22)&lt;4,"",SUM(Q19,Q20,Q21,Q22))</f>
        <v>6838</v>
      </c>
      <c r="R23" s="270">
        <f>IF(COUNT(R19,R20,R21,R22)&lt;4,"",SUM(R19,R20,R21,R22))</f>
        <v>24530</v>
      </c>
      <c r="S23" s="269">
        <f>IF(COUNT(S19,S20,S21,S22)&lt;4,"",SUM(S19,S20,S21,S22))</f>
        <v>6592</v>
      </c>
      <c r="T23" s="269">
        <f>IF(COUNT(T19,T20,T21,T22)&lt;4,"",SUM(T19,T20,T21,T22))</f>
        <v>7257</v>
      </c>
      <c r="U23" s="269">
        <f>IF(COUNT(U19,U20,U21,U22)&lt;4,"",SUM(U19,U20,U21,U22))</f>
        <v>7808</v>
      </c>
      <c r="V23" s="269">
        <f>IF(COUNT(V19,V20,V21,V22)&lt;4,"",SUM(V19,V20,V21,V22))</f>
        <v>8588</v>
      </c>
      <c r="W23" s="270">
        <f>IF(COUNT(W19,W20,W21,W22)&lt;4,"",SUM(W19,W20,W21,W22))</f>
        <v>30245</v>
      </c>
      <c r="X23" s="269">
        <f>IF(COUNT(X19,X20,X21,X22)&lt;4,"",SUM(X19,X20,X21,X22))</f>
        <v>8380</v>
      </c>
      <c r="Y23" s="269">
        <f>IF(COUNT(Y19,Y20,Y21,Y22)&lt;4,"",SUM(Y19,Y20,Y21,Y22))</f>
        <v>8669</v>
      </c>
      <c r="Z23" s="269">
        <f>IF(COUNT(Z19,Z20,Z21,Z22)&lt;4,"",SUM(Z19,Z20,Z21,Z22))</f>
        <v>9430</v>
      </c>
      <c r="AA23" s="269">
        <f>IF(COUNT(AA19,AA20,AA21,AA22)&lt;4,"",SUM(AA19,AA20,AA21,AA22))</f>
        <v>9908</v>
      </c>
      <c r="AB23" s="270">
        <f>IF(COUNT(AB19,AB20,AB21,AB22)&lt;4,"",SUM(AB19,AB20,AB21,AB22))</f>
        <v>36387</v>
      </c>
      <c r="AC23" s="269">
        <f>IF(COUNT(AC19,AC20,AC21,AC22)&lt;4,"",SUM(AC19,AC20,AC21,AC22))</f>
        <v>9432</v>
      </c>
      <c r="AD23" s="269">
        <f>IF(COUNT(AD19,AD20,AD21,AD22)&lt;4,"",SUM(AD19,AD20,AD21,AD22))</f>
        <v>9947</v>
      </c>
      <c r="AE23" s="269">
        <f>IF(COUNT(AE19,AE20,AE21,AE22)&lt;4,"",SUM(AE19,AE20,AE21,AE22))</f>
        <v>12101</v>
      </c>
      <c r="AF23" s="269">
        <f>IF(COUNT(AF19,AF20,AF21,AF22)&lt;4,"",SUM(AF19,AF20,AF21,AF22))</f>
        <v>12071</v>
      </c>
      <c r="AG23" s="270">
        <f>IF(COUNT(AG19,AG20,AG21,AG22)&lt;4,"",SUM(AG19,AG20,AG21,AG22))</f>
        <v>43551</v>
      </c>
      <c r="AH23" s="270" t="str">
        <f>IF(COUNT(AH19,AH20,AH21,AH22)&lt;4,"",SUM(AH19,AH20,AH21,AH22))</f>
        <v/>
      </c>
      <c r="AI23" s="270" t="str">
        <f>IF(COUNT(AI19,AI20,AI21,AI22)&lt;4,"",SUM(AI19,AI20,AI21,AI22))</f>
        <v/>
      </c>
    </row>
    <row r="24">
      <c r="C24" s="268" t="inlineStr">
        <is>
          <t xml:space="preserve">   (-) Impostos, devolucoes e (+) servicos (derivado: receita liquida - bruta)</t>
        </is>
      </c>
      <c r="D24" s="269" t="str">
        <f>IF(COUNT(D23)=0,"",D15-D23)</f>
        <v/>
      </c>
      <c r="E24" s="269" t="str">
        <f>IF(COUNT(E23)=0,"",E15-E23)</f>
        <v/>
      </c>
      <c r="F24" s="269" t="str">
        <f>IF(COUNT(F23)=0,"",F15-F23)</f>
        <v/>
      </c>
      <c r="G24" s="269" t="str">
        <f>IF(COUNT(G23)=0,"",G15-G23)</f>
        <v/>
      </c>
      <c r="H24" s="270" t="str">
        <f>IF(COUNT(H23)=0,"",H15-H23)</f>
        <v/>
      </c>
      <c r="I24" s="269">
        <f>IF(COUNT(I23)=0,"",I15-I23)</f>
        <v>-436.726906578</v>
      </c>
      <c r="J24" s="269">
        <f>IF(COUNT(J23)=0,"",J15-J23)</f>
        <v>-477.658314981</v>
      </c>
      <c r="K24" s="269">
        <f>IF(COUNT(K23)=0,"",K15-K23)</f>
        <v>-534.875</v>
      </c>
      <c r="L24" s="269">
        <f>IF(COUNT(L23)=0,"",L15-L23)</f>
        <v>-613.882778441</v>
      </c>
      <c r="M24" s="270">
        <f>IF(COUNT(M23)=0,"",M15-M23)</f>
        <v>-2063.143</v>
      </c>
      <c r="N24" s="269">
        <f>IF(COUNT(N23)=0,"",N15-N23)</f>
        <v>-593.220463766999</v>
      </c>
      <c r="O24" s="269">
        <f>IF(COUNT(O23)=0,"",O15-O23)</f>
        <v>-654.011</v>
      </c>
      <c r="P24" s="269">
        <f>IF(COUNT(P23)=0,"",P15-P23)</f>
        <v>-740.869</v>
      </c>
      <c r="Q24" s="269">
        <f>IF(COUNT(Q23)=0,"",Q15-Q23)</f>
        <v>-773.423036667999</v>
      </c>
      <c r="R24" s="270">
        <f>IF(COUNT(R23)=0,"",R15-R23)</f>
        <v>-2761.523500435</v>
      </c>
      <c r="S24" s="269">
        <f>IF(COUNT(S23)=0,"",S15-S23)</f>
        <v>-724.120285657</v>
      </c>
      <c r="T24" s="269">
        <f>IF(COUNT(T23)=0,"",T15-T23)</f>
        <v>-827.528</v>
      </c>
      <c r="U24" s="269">
        <f>IF(COUNT(U23)=0,"",U15-U23)</f>
        <v>-873.071</v>
      </c>
      <c r="V24" s="269">
        <f>IF(COUNT(V23)=0,"",V15-V23)</f>
        <v>-1046.694714343</v>
      </c>
      <c r="W24" s="270">
        <f>IF(COUNT(W23)=0,"",W15-W23)</f>
        <v>-3471.414</v>
      </c>
      <c r="X24" s="269">
        <f>IF(COUNT(X23)=0,"",X15-X23)</f>
        <v>-997.529352271</v>
      </c>
      <c r="Y24" s="269">
        <f>IF(COUNT(Y23)=0,"",Y15-Y23)</f>
        <v>-1030.075647729</v>
      </c>
      <c r="Z24" s="269">
        <f>IF(COUNT(Z23)=0,"",Z15-Z23)</f>
        <v>-1092.943</v>
      </c>
      <c r="AA24" s="269">
        <f>IF(COUNT(AA23)=0,"",AA15-AA23)</f>
        <v>-1181.023</v>
      </c>
      <c r="AB24" s="270">
        <f>IF(COUNT(AB23)=0,"",AB15-AB23)</f>
        <v>-4301.571</v>
      </c>
      <c r="AC24" s="269">
        <f>IF(COUNT(AC23)=0,"",AC15-AC23)</f>
        <v>-1100.695</v>
      </c>
      <c r="AD24" s="269">
        <f>IF(COUNT(AD23)=0,"",AD15-AD23)</f>
        <v>-1167.363566784</v>
      </c>
      <c r="AE24" s="269">
        <f>IF(COUNT(AE23)=0,"",AE15-AE23)</f>
        <v>-1337.462</v>
      </c>
      <c r="AF24" s="269">
        <f>IF(COUNT(AF23)=0,"",AF15-AF23)</f>
        <v>-1521.077364216</v>
      </c>
      <c r="AG24" s="270">
        <f>IF(COUNT(AG23)=0,"",AG15-AG23)</f>
        <v>-5126.597931</v>
      </c>
      <c r="AH24" s="270" t="str">
        <f>IF(COUNT(AH23)=0,"",AH15-AH23)</f>
        <v/>
      </c>
      <c r="AI24" s="270" t="str">
        <f>IF(COUNT(AI23)=0,"",AI15-AI23)</f>
        <v/>
      </c>
    </row>
    <row r="25">
      <c r="C25" s="271" t="inlineStr">
        <is>
          <t>Receita liquida (linha 15)</t>
        </is>
      </c>
      <c r="D25" s="269">
        <f>D15</f>
        <v>0</v>
      </c>
      <c r="E25" s="269">
        <f>E15</f>
        <v>0</v>
      </c>
      <c r="F25" s="269">
        <f>F15</f>
        <v>0</v>
      </c>
      <c r="G25" s="269">
        <f>G15</f>
        <v>0</v>
      </c>
      <c r="H25" s="270">
        <f>H15</f>
        <v>0</v>
      </c>
      <c r="I25" s="269">
        <f>I15</f>
        <v>3362.273093422</v>
      </c>
      <c r="J25" s="269">
        <f>J15</f>
        <v>3724.341685019</v>
      </c>
      <c r="K25" s="269">
        <f>K15</f>
        <v>4349.125</v>
      </c>
      <c r="L25" s="269">
        <f>L15</f>
        <v>4441.117221559</v>
      </c>
      <c r="M25" s="270">
        <f>M15</f>
        <v>15876.857</v>
      </c>
      <c r="N25" s="269">
        <f>N15</f>
        <v>4578.779536233</v>
      </c>
      <c r="O25" s="269">
        <f>O15</f>
        <v>5201.989</v>
      </c>
      <c r="P25" s="269">
        <f>P15</f>
        <v>5923.131</v>
      </c>
      <c r="Q25" s="269">
        <f>Q15</f>
        <v>6064.576963332</v>
      </c>
      <c r="R25" s="270">
        <f>R15</f>
        <v>21768.476499565</v>
      </c>
      <c r="S25" s="269">
        <f>S15</f>
        <v>5867.879714343</v>
      </c>
      <c r="T25" s="269">
        <f>T15</f>
        <v>6429.472</v>
      </c>
      <c r="U25" s="269">
        <f>U15</f>
        <v>6934.929</v>
      </c>
      <c r="V25" s="269">
        <f>V15</f>
        <v>7541.305285657</v>
      </c>
      <c r="W25" s="270">
        <f>W15</f>
        <v>26773.586</v>
      </c>
      <c r="X25" s="269">
        <f>X15</f>
        <v>7382.470647729</v>
      </c>
      <c r="Y25" s="269">
        <f>Y15</f>
        <v>7638.924352271</v>
      </c>
      <c r="Z25" s="269">
        <f>Z15</f>
        <v>8337.057</v>
      </c>
      <c r="AA25" s="269">
        <f>AA15</f>
        <v>8726.977</v>
      </c>
      <c r="AB25" s="270">
        <f>AB15</f>
        <v>32085.429</v>
      </c>
      <c r="AC25" s="269">
        <f>AC15</f>
        <v>8331.305</v>
      </c>
      <c r="AD25" s="269">
        <f>AD15</f>
        <v>8779.636433216</v>
      </c>
      <c r="AE25" s="269">
        <f>AE15</f>
        <v>10763.538</v>
      </c>
      <c r="AF25" s="269">
        <f>AF15</f>
        <v>10549.922635784</v>
      </c>
      <c r="AG25" s="270">
        <f>AG15</f>
        <v>38424.402069</v>
      </c>
      <c r="AH25" s="270">
        <f>AH15</f>
        <v>9402.27</v>
      </c>
      <c r="AI25" s="270">
        <f>AI15</f>
        <v>9852.461</v>
      </c>
    </row>
    <row r="26">
      <c r="C26" s="268" t="inlineStr">
        <is>
          <t xml:space="preserve">   Receita liquida / receita bruta de mercadorias</t>
        </is>
      </c>
      <c r="D26" s="272" t="str">
        <f>IFERROR(D25/D23,"")</f>
        <v/>
      </c>
      <c r="E26" s="272" t="str">
        <f>IFERROR(E25/E23,"")</f>
        <v/>
      </c>
      <c r="F26" s="272" t="str">
        <f>IFERROR(F25/F23,"")</f>
        <v/>
      </c>
      <c r="G26" s="272" t="str">
        <f>IFERROR(G25/G23,"")</f>
        <v/>
      </c>
      <c r="H26" s="273" t="str">
        <f>IFERROR(H25/H23,"")</f>
        <v/>
      </c>
      <c r="I26" s="272">
        <f>IFERROR(I25/I23,"")</f>
        <v>0.885041614483285</v>
      </c>
      <c r="J26" s="272">
        <f>IFERROR(J25/J23,"")</f>
        <v>0.886325960261542</v>
      </c>
      <c r="K26" s="272">
        <f>IFERROR(K25/K23,"")</f>
        <v>0.890484234234234</v>
      </c>
      <c r="L26" s="272">
        <f>IFERROR(L25/L23,"")</f>
        <v>0.878559292098714</v>
      </c>
      <c r="M26" s="273">
        <f>IFERROR(M25/M23,"")</f>
        <v>0.884997603121516</v>
      </c>
      <c r="N26" s="272">
        <f>IFERROR(N25/N23,"")</f>
        <v>0.885301534461137</v>
      </c>
      <c r="O26" s="272">
        <f>IFERROR(O25/O23,"")</f>
        <v>0.888317793715847</v>
      </c>
      <c r="P26" s="272">
        <f>IFERROR(P25/P23,"")</f>
        <v>0.888825180072029</v>
      </c>
      <c r="Q26" s="272">
        <f>IFERROR(Q25/Q23,"")</f>
        <v>0.886893384517695</v>
      </c>
      <c r="R26" s="273">
        <f>IFERROR(R25/R23,"")</f>
        <v>0.887422604955768</v>
      </c>
      <c r="S26" s="272">
        <f>IFERROR(S25/S23,"")</f>
        <v>0.890151655695237</v>
      </c>
      <c r="T26" s="272">
        <f>IFERROR(T25/T23,"")</f>
        <v>0.885968306462726</v>
      </c>
      <c r="U26" s="272">
        <f>IFERROR(U25/U23,"")</f>
        <v>0.888182505122951</v>
      </c>
      <c r="V26" s="272">
        <f>IFERROR(V25/V23,"")</f>
        <v>0.878121248912087</v>
      </c>
      <c r="W26" s="273">
        <f>IFERROR(W25/W23,"")</f>
        <v>0.88522354108117</v>
      </c>
      <c r="X26" s="272">
        <f>IFERROR(X25/X23,"")</f>
        <v>0.880963084454535</v>
      </c>
      <c r="Y26" s="272">
        <f>IFERROR(Y25/Y23,"")</f>
        <v>0.881177108348253</v>
      </c>
      <c r="Z26" s="272">
        <f>IFERROR(Z25/Z23,"")</f>
        <v>0.884099363732768</v>
      </c>
      <c r="AA26" s="272">
        <f>IFERROR(AA25/AA23,"")</f>
        <v>0.880801069842552</v>
      </c>
      <c r="AB26" s="273">
        <f>IFERROR(AB25/AB23,"")</f>
        <v>0.881782752081788</v>
      </c>
      <c r="AC26" s="272">
        <f>IFERROR(AC25/AC23,"")</f>
        <v>0.88330205682782</v>
      </c>
      <c r="AD26" s="272">
        <f>IFERROR(AD25/AD23,"")</f>
        <v>0.882641644034985</v>
      </c>
      <c r="AE26" s="272">
        <f>IFERROR(AE25/AE23,"")</f>
        <v>0.889475084703744</v>
      </c>
      <c r="AF26" s="272">
        <f>IFERROR(AF25/AF23,"")</f>
        <v>0.873989117370889</v>
      </c>
      <c r="AG26" s="273">
        <f>IFERROR(AG25/AG23,"")</f>
        <v>0.882285184473376</v>
      </c>
      <c r="AH26" s="273" t="str">
        <f>IFERROR(AH25/AH23,"")</f>
        <v/>
      </c>
      <c r="AI26" s="273" t="str">
        <f>IFERROR(AI25/AI23,"")</f>
        <v/>
      </c>
    </row>
    <row r="27">
      <c r="C27" s="268" t="inlineStr">
        <is>
          <t xml:space="preserve">   % YoY Atacarejo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IFERROR(I19/D19-1,"")</f>
        <v/>
      </c>
      <c r="J27" s="272" t="str">
        <f>IFERROR(J19/E19-1,"")</f>
        <v/>
      </c>
      <c r="K27" s="272" t="str">
        <f>IFERROR(K19/F19-1,"")</f>
        <v/>
      </c>
      <c r="L27" s="272" t="str">
        <f>IFERROR(L19/G19-1,"")</f>
        <v/>
      </c>
      <c r="M27" s="273" t="str">
        <f>IFERROR(M19/H19-1,"")</f>
        <v/>
      </c>
      <c r="N27" s="272">
        <f>IFERROR(N19/I19-1,"")</f>
        <v>0.376026272577997</v>
      </c>
      <c r="O27" s="272">
        <f>IFERROR(O19/J19-1,"")</f>
        <v>0.475786320519221</v>
      </c>
      <c r="P27" s="272">
        <f>IFERROR(P19/K19-1,"")</f>
        <v>0.460730785384292</v>
      </c>
      <c r="Q27" s="272">
        <f>IFERROR(Q19/L19-1,"")</f>
        <v>0.442253521126761</v>
      </c>
      <c r="R27" s="273">
        <f>IFERROR(R19/M19-1,"")</f>
        <v>0.441122355105796</v>
      </c>
      <c r="S27" s="272">
        <f>IFERROR(S19/N19-1,"")</f>
        <v>0.401352426412092</v>
      </c>
      <c r="T27" s="272">
        <f>IFERROR(T19/O19-1,"")</f>
        <v>0.319012178619756</v>
      </c>
      <c r="U27" s="272">
        <f>IFERROR(U19/P19-1,"")</f>
        <v>0.210178263369753</v>
      </c>
      <c r="V27" s="272">
        <f>IFERROR(V19/Q19-1,"")</f>
        <v>0.326171875</v>
      </c>
      <c r="W27" s="273">
        <f>IFERROR(W19/R19-1,"")</f>
        <v>0.307373124800511</v>
      </c>
      <c r="X27" s="272">
        <f>IFERROR(X19/S19-1,"")</f>
        <v>0.32926483110985</v>
      </c>
      <c r="Y27" s="272">
        <f>IFERROR(Y19/T19-1,"")</f>
        <v>0.222108232880226</v>
      </c>
      <c r="Z27" s="272">
        <f>IFERROR(Z19/U19-1,"")</f>
        <v>0.26015680684248</v>
      </c>
      <c r="AA27" s="272">
        <f>IFERROR(AA19/V19-1,"")</f>
        <v>0.182411108773406</v>
      </c>
      <c r="AB27" s="273">
        <f>IFERROR(AB19/W19-1,"")</f>
        <v>0.243408203125</v>
      </c>
      <c r="AC27" s="272">
        <f>IFERROR(AC19/X19-1,"")</f>
        <v>0.121503309844117</v>
      </c>
      <c r="AD27" s="272">
        <f>IFERROR(AD19/Y19-1,"")</f>
        <v>0.162854144805876</v>
      </c>
      <c r="AE27" s="272">
        <f>IFERROR(AE19/Z19-1,"")</f>
        <v>0.419683257918552</v>
      </c>
      <c r="AF27" s="272">
        <f>IFERROR(AF19/AA19-1,"")</f>
        <v>0.308540925266904</v>
      </c>
      <c r="AG27" s="273">
        <f>IFERROR(AG19/AB19-1,"")</f>
        <v>0.260406440212056</v>
      </c>
      <c r="AH27" s="273" t="str">
        <f>IFERROR(AH19/AC19-1,"")</f>
        <v/>
      </c>
      <c r="AI27" s="273" t="str">
        <f>IFERROR(AI19/AD19-1,"")</f>
        <v/>
      </c>
    </row>
    <row r="28">
      <c r="C28" s="268" t="inlineStr">
        <is>
          <t xml:space="preserve">   % YoY Varejo</t>
        </is>
      </c>
      <c r="D28" s="272" t="str">
        <f>""</f>
        <v/>
      </c>
      <c r="E28" s="272" t="str">
        <f>""</f>
        <v/>
      </c>
      <c r="F28" s="272" t="str">
        <f>""</f>
        <v/>
      </c>
      <c r="G28" s="272" t="str">
        <f>""</f>
        <v/>
      </c>
      <c r="H28" s="273" t="str">
        <f>""</f>
        <v/>
      </c>
      <c r="I28" s="272" t="str">
        <f>IFERROR(I20/D20-1,"")</f>
        <v/>
      </c>
      <c r="J28" s="272" t="str">
        <f>IFERROR(J20/E20-1,"")</f>
        <v/>
      </c>
      <c r="K28" s="272" t="str">
        <f>IFERROR(K20/F20-1,"")</f>
        <v/>
      </c>
      <c r="L28" s="272" t="str">
        <f>IFERROR(L20/G20-1,"")</f>
        <v/>
      </c>
      <c r="M28" s="273" t="str">
        <f>IFERROR(M20/H20-1,"")</f>
        <v/>
      </c>
      <c r="N28" s="272">
        <f>IFERROR(N20/I20-1,"")</f>
        <v>0.323159784560144</v>
      </c>
      <c r="O28" s="272">
        <f>IFERROR(O20/J20-1,"")</f>
        <v>0.334979423868313</v>
      </c>
      <c r="P28" s="272">
        <f>IFERROR(P20/K20-1,"")</f>
        <v>0.274564459930314</v>
      </c>
      <c r="Q28" s="272">
        <f>IFERROR(Q20/L20-1,"")</f>
        <v>0.285324232081911</v>
      </c>
      <c r="R28" s="273">
        <f>IFERROR(R20/M20-1,"")</f>
        <v>0.301969783897495</v>
      </c>
      <c r="S28" s="272">
        <f>IFERROR(S20/N20-1,"")</f>
        <v>0.191994572591587</v>
      </c>
      <c r="T28" s="272">
        <f>IFERROR(T20/O20-1,"")</f>
        <v>0.157213316892725</v>
      </c>
      <c r="U28" s="272">
        <f>IFERROR(U20/P20-1,"")</f>
        <v>0.119190814652816</v>
      </c>
      <c r="V28" s="272">
        <f>IFERROR(V20/Q20-1,"")</f>
        <v>0.11311736590547</v>
      </c>
      <c r="W28" s="273">
        <f>IFERROR(W20/R20-1,"")</f>
        <v>0.142332549941246</v>
      </c>
      <c r="X28" s="272">
        <f>IFERROR(X20/S20-1,"")</f>
        <v>0.158793397837222</v>
      </c>
      <c r="Y28" s="272">
        <f>IFERROR(Y20/T20-1,"")</f>
        <v>0.0948321790090569</v>
      </c>
      <c r="Z28" s="272">
        <f>IFERROR(Z20/U20-1,"")</f>
        <v>0.0571568148510016</v>
      </c>
      <c r="AA28" s="272">
        <f>IFERROR(AA20/V20-1,"")</f>
        <v>0.0706106870229009</v>
      </c>
      <c r="AB28" s="273">
        <f>IFERROR(AB20/W20-1,"")</f>
        <v>0.0928378552140929</v>
      </c>
      <c r="AC28" s="272">
        <f>IFERROR(AC20/X20-1,"")</f>
        <v>0.0363457760314341</v>
      </c>
      <c r="AD28" s="272">
        <f>IFERROR(AD20/Y20-1,"")</f>
        <v>0.0428223844282238</v>
      </c>
      <c r="AE28" s="272">
        <f>IFERROR(AE20/Z20-1,"")</f>
        <v>0.0295748613678373</v>
      </c>
      <c r="AF28" s="272">
        <f>IFERROR(AF20/AA20-1,"")</f>
        <v>0.036541889483066</v>
      </c>
      <c r="AG28" s="273">
        <f>IFERROR(AG20/AB20-1,"")</f>
        <v>0.0362395575950112</v>
      </c>
      <c r="AH28" s="273" t="str">
        <f>IFERROR(AH20/AC20-1,"")</f>
        <v/>
      </c>
      <c r="AI28" s="273" t="str">
        <f>IFERROR(AI20/AD20-1,"")</f>
        <v/>
      </c>
    </row>
    <row r="29">
      <c r="C29" s="268" t="inlineStr">
        <is>
          <t xml:space="preserve">   % YoY Eletro</t>
        </is>
      </c>
      <c r="D29" s="272" t="str">
        <f>""</f>
        <v/>
      </c>
      <c r="E29" s="272" t="str">
        <f>""</f>
        <v/>
      </c>
      <c r="F29" s="272" t="str">
        <f>""</f>
        <v/>
      </c>
      <c r="G29" s="272" t="str">
        <f>""</f>
        <v/>
      </c>
      <c r="H29" s="273" t="str">
        <f>""</f>
        <v/>
      </c>
      <c r="I29" s="272" t="str">
        <f>IFERROR(I21/D21-1,"")</f>
        <v/>
      </c>
      <c r="J29" s="272" t="str">
        <f>IFERROR(J21/E21-1,"")</f>
        <v/>
      </c>
      <c r="K29" s="272" t="str">
        <f>IFERROR(K21/F21-1,"")</f>
        <v/>
      </c>
      <c r="L29" s="272" t="str">
        <f>IFERROR(L21/G21-1,"")</f>
        <v/>
      </c>
      <c r="M29" s="273" t="str">
        <f>IFERROR(M21/H21-1,"")</f>
        <v/>
      </c>
      <c r="N29" s="272">
        <f>IFERROR(N21/I21-1,"")</f>
        <v>0.306122448979592</v>
      </c>
      <c r="O29" s="272">
        <f>IFERROR(O21/J21-1,"")</f>
        <v>0.156378600823045</v>
      </c>
      <c r="P29" s="272">
        <f>IFERROR(P21/K21-1,"")</f>
        <v>0.0909090909090908</v>
      </c>
      <c r="Q29" s="272">
        <f>IFERROR(Q21/L21-1,"")</f>
        <v>0</v>
      </c>
      <c r="R29" s="273">
        <f>IFERROR(R21/M21-1,"")</f>
        <v>0.122613065326633</v>
      </c>
      <c r="S29" s="272">
        <f>IFERROR(S21/N21-1,"")</f>
        <v>-0.0859375</v>
      </c>
      <c r="T29" s="272">
        <f>IFERROR(T21/O21-1,"")</f>
        <v>0.0462633451957295</v>
      </c>
      <c r="U29" s="272">
        <f>IFERROR(U21/P21-1,"")</f>
        <v>0.0972222222222223</v>
      </c>
      <c r="V29" s="272">
        <f>IFERROR(V21/Q21-1,"")</f>
        <v>0.160958904109589</v>
      </c>
      <c r="W29" s="273">
        <f>IFERROR(W21/R21-1,"")</f>
        <v>0.0590868397493285</v>
      </c>
      <c r="X29" s="272">
        <f>IFERROR(X21/S21-1,"")</f>
        <v>0.115384615384615</v>
      </c>
      <c r="Y29" s="272">
        <f>IFERROR(Y21/T21-1,"")</f>
        <v>0.0714285714285714</v>
      </c>
      <c r="Z29" s="272">
        <f>IFERROR(Z21/U21-1,"")</f>
        <v>0.0664556962025316</v>
      </c>
      <c r="AA29" s="272">
        <f>IFERROR(AA21/V21-1,"")</f>
        <v>0.0442477876106195</v>
      </c>
      <c r="AB29" s="273">
        <f>IFERROR(AB21/W21-1,"")</f>
        <v>0.0710059171597632</v>
      </c>
      <c r="AC29" s="272">
        <f>IFERROR(AC21/X21-1,"")</f>
        <v>-0.0268199233716475</v>
      </c>
      <c r="AD29" s="272">
        <f>IFERROR(AD21/Y21-1,"")</f>
        <v>-0.120634920634921</v>
      </c>
      <c r="AE29" s="272">
        <f>IFERROR(AE21/Z21-1,"")</f>
        <v>-0.160237388724036</v>
      </c>
      <c r="AF29" s="272">
        <f>IFERROR(AF21/AA21-1,"")</f>
        <v>-0.0423728813559322</v>
      </c>
      <c r="AG29" s="273">
        <f>IFERROR(AG21/AB21-1,"")</f>
        <v>-0.0899763220205209</v>
      </c>
      <c r="AH29" s="273" t="str">
        <f>IFERROR(AH21/AC21-1,"")</f>
        <v/>
      </c>
      <c r="AI29" s="273" t="str">
        <f>IFERROR(AI21/AD21-1,"")</f>
        <v/>
      </c>
    </row>
    <row r="30">
      <c r="C30" s="268" t="inlineStr">
        <is>
          <t xml:space="preserve">   % YoY Atacado B2B</t>
        </is>
      </c>
      <c r="D30" s="272" t="str">
        <f>""</f>
        <v/>
      </c>
      <c r="E30" s="272" t="str">
        <f>""</f>
        <v/>
      </c>
      <c r="F30" s="272" t="str">
        <f>""</f>
        <v/>
      </c>
      <c r="G30" s="272" t="str">
        <f>""</f>
        <v/>
      </c>
      <c r="H30" s="273" t="str">
        <f>""</f>
        <v/>
      </c>
      <c r="I30" s="272" t="str">
        <f>IFERROR(I22/D22-1,"")</f>
        <v/>
      </c>
      <c r="J30" s="272" t="str">
        <f>IFERROR(J22/E22-1,"")</f>
        <v/>
      </c>
      <c r="K30" s="272" t="str">
        <f>IFERROR(K22/F22-1,"")</f>
        <v/>
      </c>
      <c r="L30" s="272" t="str">
        <f>IFERROR(L22/G22-1,"")</f>
        <v/>
      </c>
      <c r="M30" s="273" t="str">
        <f>IFERROR(M22/H22-1,"")</f>
        <v/>
      </c>
      <c r="N30" s="272">
        <f>IFERROR(N22/I22-1,"")</f>
        <v>0.401812688821752</v>
      </c>
      <c r="O30" s="272">
        <f>IFERROR(O22/J22-1,"")</f>
        <v>0.345479082321188</v>
      </c>
      <c r="P30" s="272">
        <f>IFERROR(P22/K22-1,"")</f>
        <v>0.329601990049751</v>
      </c>
      <c r="Q30" s="272">
        <f>IFERROR(Q22/L22-1,"")</f>
        <v>0.327183271832718</v>
      </c>
      <c r="R30" s="273">
        <f>IFERROR(R22/M22-1,"")</f>
        <v>0.348675496688742</v>
      </c>
      <c r="S30" s="272">
        <f>IFERROR(S22/N22-1,"")</f>
        <v>0.161637931034483</v>
      </c>
      <c r="T30" s="272">
        <f>IFERROR(T22/O22-1,"")</f>
        <v>0.190571715145436</v>
      </c>
      <c r="U30" s="272">
        <f>IFERROR(U22/P22-1,"")</f>
        <v>0.15622076707203</v>
      </c>
      <c r="V30" s="272">
        <f>IFERROR(V22/Q22-1,"")</f>
        <v>0.297497683039852</v>
      </c>
      <c r="W30" s="273">
        <f>IFERROR(W22/R22-1,"")</f>
        <v>0.203289958261724</v>
      </c>
      <c r="X30" s="272">
        <f>IFERROR(X22/S22-1,"")</f>
        <v>0.298701298701299</v>
      </c>
      <c r="Y30" s="272">
        <f>IFERROR(Y22/T22-1,"")</f>
        <v>0.292333614153328</v>
      </c>
      <c r="Z30" s="272">
        <f>IFERROR(Z22/U22-1,"")</f>
        <v>0.314724919093851</v>
      </c>
      <c r="AA30" s="272">
        <f>IFERROR(AA22/V22-1,"")</f>
        <v>0.207142857142857</v>
      </c>
      <c r="AB30" s="273">
        <f>IFERROR(AB22/W22-1,"")</f>
        <v>0.275045908998164</v>
      </c>
      <c r="AC30" s="272">
        <f>IFERROR(AC22/X22-1,"")</f>
        <v>0.297142857142857</v>
      </c>
      <c r="AD30" s="272">
        <f>IFERROR(AD22/Y22-1,"")</f>
        <v>0.294654498044329</v>
      </c>
      <c r="AE30" s="272">
        <f>IFERROR(AE22/Z22-1,"")</f>
        <v>0.267692307692308</v>
      </c>
      <c r="AF30" s="272">
        <f>IFERROR(AF22/AA22-1,"")</f>
        <v>0.214201183431953</v>
      </c>
      <c r="AG30" s="273">
        <f>IFERROR(AG22/AB22-1,"")</f>
        <v>0.266442630820931</v>
      </c>
      <c r="AH30" s="273" t="str">
        <f>IFERROR(AH22/AC22-1,"")</f>
        <v/>
      </c>
      <c r="AI30" s="273" t="str">
        <f>IFERROR(AI22/AD22-1,"")</f>
        <v/>
      </c>
    </row>
    <row r="31">
      <c r="C31" s="268" t="inlineStr">
        <is>
          <t xml:space="preserve">   % YoY receita bruta total</t>
        </is>
      </c>
      <c r="D31" s="272" t="str">
        <f>""</f>
        <v/>
      </c>
      <c r="E31" s="272" t="str">
        <f>""</f>
        <v/>
      </c>
      <c r="F31" s="272" t="str">
        <f>""</f>
        <v/>
      </c>
      <c r="G31" s="272" t="str">
        <f>""</f>
        <v/>
      </c>
      <c r="H31" s="273" t="str">
        <f>""</f>
        <v/>
      </c>
      <c r="I31" s="272" t="str">
        <f>IFERROR(I23/D23-1,"")</f>
        <v/>
      </c>
      <c r="J31" s="272" t="str">
        <f>IFERROR(J23/E23-1,"")</f>
        <v/>
      </c>
      <c r="K31" s="272" t="str">
        <f>IFERROR(K23/F23-1,"")</f>
        <v/>
      </c>
      <c r="L31" s="272" t="str">
        <f>IFERROR(L23/G23-1,"")</f>
        <v/>
      </c>
      <c r="M31" s="273" t="str">
        <f>IFERROR(M23/H23-1,"")</f>
        <v/>
      </c>
      <c r="N31" s="272">
        <f>IFERROR(N23/I23-1,"")</f>
        <v>0.361410897604633</v>
      </c>
      <c r="O31" s="272">
        <f>IFERROR(O23/J23-1,"")</f>
        <v>0.393622084721561</v>
      </c>
      <c r="P31" s="272">
        <f>IFERROR(P23/K23-1,"")</f>
        <v>0.364455364455365</v>
      </c>
      <c r="Q31" s="272">
        <f>IFERROR(Q23/L23-1,"")</f>
        <v>0.352720079129575</v>
      </c>
      <c r="R31" s="273">
        <f>IFERROR(R23/M23-1,"")</f>
        <v>0.367335562987737</v>
      </c>
      <c r="S31" s="272">
        <f>IFERROR(S23/N23-1,"")</f>
        <v>0.274555297757154</v>
      </c>
      <c r="T31" s="272">
        <f>IFERROR(T23/O23-1,"")</f>
        <v>0.239241803278689</v>
      </c>
      <c r="U31" s="272">
        <f>IFERROR(U23/P23-1,"")</f>
        <v>0.171668667466987</v>
      </c>
      <c r="V31" s="272">
        <f>IFERROR(V23/Q23-1,"")</f>
        <v>0.255922784439895</v>
      </c>
      <c r="W31" s="273">
        <f>IFERROR(W23/R23-1,"")</f>
        <v>0.232980024459845</v>
      </c>
      <c r="X31" s="272">
        <f>IFERROR(X23/S23-1,"")</f>
        <v>0.27123786407767</v>
      </c>
      <c r="Y31" s="272">
        <f>IFERROR(Y23/T23-1,"")</f>
        <v>0.194570759266915</v>
      </c>
      <c r="Z31" s="272">
        <f>IFERROR(Z23/U23-1,"")</f>
        <v>0.207735655737705</v>
      </c>
      <c r="AA31" s="272">
        <f>IFERROR(AA23/V23-1,"")</f>
        <v>0.153702841173731</v>
      </c>
      <c r="AB31" s="273">
        <f>IFERROR(AB23/W23-1,"")</f>
        <v>0.203074888411308</v>
      </c>
      <c r="AC31" s="272">
        <f>IFERROR(AC23/X23-1,"")</f>
        <v>0.125536992840096</v>
      </c>
      <c r="AD31" s="272">
        <f>IFERROR(AD23/Y23-1,"")</f>
        <v>0.14742184796401</v>
      </c>
      <c r="AE31" s="272">
        <f>IFERROR(AE23/Z23-1,"")</f>
        <v>0.283244962884411</v>
      </c>
      <c r="AF31" s="272">
        <f>IFERROR(AF23/AA23-1,"")</f>
        <v>0.218308437626161</v>
      </c>
      <c r="AG31" s="273">
        <f>IFERROR(AG23/AB23-1,"")</f>
        <v>0.19688350234974</v>
      </c>
      <c r="AH31" s="273" t="str">
        <f>IFERROR(AH23/AC23-1,"")</f>
        <v/>
      </c>
      <c r="AI31" s="273" t="str">
        <f>IFERROR(AI23/AD23-1,"")</f>
        <v/>
      </c>
    </row>
    <row r="32">
      <c r="C32" s="268" t="inlineStr">
        <is>
          <t xml:space="preserve">   Mix: % Atacarejo na receita bruta</t>
        </is>
      </c>
      <c r="D32" s="272" t="str">
        <f>IFERROR(D19/D23,"")</f>
        <v/>
      </c>
      <c r="E32" s="272" t="str">
        <f>IFERROR(E19/E23,"")</f>
        <v/>
      </c>
      <c r="F32" s="272" t="str">
        <f>IFERROR(F19/F23,"")</f>
        <v/>
      </c>
      <c r="G32" s="272" t="str">
        <f>IFERROR(G19/G23,"")</f>
        <v/>
      </c>
      <c r="H32" s="273" t="str">
        <f>IFERROR(H19/H23,"")</f>
        <v/>
      </c>
      <c r="I32" s="272">
        <f>IFERROR(I19/I23,"")</f>
        <v>0.480916030534351</v>
      </c>
      <c r="J32" s="272">
        <f>IFERROR(J19/J23,"")</f>
        <v>0.476677772489291</v>
      </c>
      <c r="K32" s="272">
        <f>IFERROR(K19/K23,"")</f>
        <v>0.487510237510238</v>
      </c>
      <c r="L32" s="272">
        <f>IFERROR(L19/L23,"")</f>
        <v>0.491592482690406</v>
      </c>
      <c r="M32" s="273">
        <f>IFERROR(M19/M23,"")</f>
        <v>0.484726867335563</v>
      </c>
      <c r="N32" s="272">
        <f>IFERROR(N19/N23,"")</f>
        <v>0.486078886310905</v>
      </c>
      <c r="O32" s="272">
        <f>IFERROR(O19/O23,"")</f>
        <v>0.504781420765027</v>
      </c>
      <c r="P32" s="272">
        <f>IFERROR(P19/P23,"")</f>
        <v>0.521908763505402</v>
      </c>
      <c r="Q32" s="272">
        <f>IFERROR(Q19/Q23,"")</f>
        <v>0.524129862532904</v>
      </c>
      <c r="R32" s="273">
        <f>IFERROR(R19/R23,"")</f>
        <v>0.510884631064003</v>
      </c>
      <c r="S32" s="272">
        <f>IFERROR(S19/S23,"")</f>
        <v>0.534435679611651</v>
      </c>
      <c r="T32" s="272">
        <f>IFERROR(T19/T23,"")</f>
        <v>0.537274355794405</v>
      </c>
      <c r="U32" s="272">
        <f>IFERROR(U19/U23,"")</f>
        <v>0.5390625</v>
      </c>
      <c r="V32" s="272">
        <f>IFERROR(V19/V23,"")</f>
        <v>0.553446669771775</v>
      </c>
      <c r="W32" s="273">
        <f>IFERROR(W19/W23,"")</f>
        <v>0.541709373450157</v>
      </c>
      <c r="X32" s="272">
        <f>IFERROR(X19/X23,"")</f>
        <v>0.558830548926014</v>
      </c>
      <c r="Y32" s="272">
        <f>IFERROR(Y19/Y23,"")</f>
        <v>0.549659707001961</v>
      </c>
      <c r="Z32" s="272">
        <f>IFERROR(Z19/Z23,"")</f>
        <v>0.562460233297985</v>
      </c>
      <c r="AA32" s="272">
        <f>IFERROR(AA19/AA23,"")</f>
        <v>0.567218409366169</v>
      </c>
      <c r="AB32" s="273">
        <f>IFERROR(AB19/AB23,"")</f>
        <v>0.559870283342952</v>
      </c>
      <c r="AC32" s="272">
        <f>IFERROR(AC19/AC23,"")</f>
        <v>0.556827820186599</v>
      </c>
      <c r="AD32" s="272">
        <f>IFERROR(AD19/AD23,"")</f>
        <v>0.557052377601287</v>
      </c>
      <c r="AE32" s="272">
        <f>IFERROR(AE19/AE23,"")</f>
        <v>0.622262622923725</v>
      </c>
      <c r="AF32" s="272">
        <f>IFERROR(AF19/AF23,"")</f>
        <v>0.609228730014083</v>
      </c>
      <c r="AG32" s="273">
        <f>IFERROR(AG19/AG23,"")</f>
        <v>0.589584624922505</v>
      </c>
      <c r="AH32" s="273" t="str">
        <f>IFERROR(AH19/AH23,"")</f>
        <v/>
      </c>
      <c r="AI32" s="273" t="str">
        <f>IFERROR(AI19/AI23,"")</f>
        <v/>
      </c>
    </row>
    <row r="33">
      <c r="C33" s="268" t="inlineStr">
        <is>
          <t xml:space="preserve">   Mix: % Atacado B2B na receita bruta</t>
        </is>
      </c>
      <c r="D33" s="272" t="str">
        <f>IFERROR(D22/D23,"")</f>
        <v/>
      </c>
      <c r="E33" s="272" t="str">
        <f>IFERROR(E22/E23,"")</f>
        <v/>
      </c>
      <c r="F33" s="272" t="str">
        <f>IFERROR(F22/F23,"")</f>
        <v/>
      </c>
      <c r="G33" s="272" t="str">
        <f>IFERROR(G22/G23,"")</f>
        <v/>
      </c>
      <c r="H33" s="273" t="str">
        <f>IFERROR(H22/H23,"")</f>
        <v/>
      </c>
      <c r="I33" s="272">
        <f>IFERROR(I22/I23,"")</f>
        <v>0.174256383258752</v>
      </c>
      <c r="J33" s="272">
        <f>IFERROR(J22/J23,"")</f>
        <v>0.176344597810566</v>
      </c>
      <c r="K33" s="272">
        <f>IFERROR(K22/K23,"")</f>
        <v>0.164619164619165</v>
      </c>
      <c r="L33" s="272">
        <f>IFERROR(L22/L23,"")</f>
        <v>0.160830860534125</v>
      </c>
      <c r="M33" s="273">
        <f>IFERROR(M22/M23,"")</f>
        <v>0.168338907469342</v>
      </c>
      <c r="N33" s="272">
        <f>IFERROR(N22/N23,"")</f>
        <v>0.179427687548337</v>
      </c>
      <c r="O33" s="272">
        <f>IFERROR(O22/O23,"")</f>
        <v>0.170252732240437</v>
      </c>
      <c r="P33" s="272">
        <f>IFERROR(P22/P23,"")</f>
        <v>0.160414165666267</v>
      </c>
      <c r="Q33" s="272">
        <f>IFERROR(Q22/Q23,"")</f>
        <v>0.157794676806084</v>
      </c>
      <c r="R33" s="273">
        <f>IFERROR(R22/R23,"")</f>
        <v>0.166041581736649</v>
      </c>
      <c r="S33" s="272">
        <f>IFERROR(S22/S23,"")</f>
        <v>0.163531553398058</v>
      </c>
      <c r="T33" s="272">
        <f>IFERROR(T22/T23,"")</f>
        <v>0.163566211933306</v>
      </c>
      <c r="U33" s="272">
        <f>IFERROR(U22/U23,"")</f>
        <v>0.158299180327869</v>
      </c>
      <c r="V33" s="272">
        <f>IFERROR(V22/V23,"")</f>
        <v>0.16301816488123</v>
      </c>
      <c r="W33" s="273">
        <f>IFERROR(W22/W23,"")</f>
        <v>0.162043312944288</v>
      </c>
      <c r="X33" s="272">
        <f>IFERROR(X22/X23,"")</f>
        <v>0.167064439140811</v>
      </c>
      <c r="Y33" s="272">
        <f>IFERROR(Y22/Y23,"")</f>
        <v>0.176952358980275</v>
      </c>
      <c r="Z33" s="272">
        <f>IFERROR(Z22/Z23,"")</f>
        <v>0.172322375397667</v>
      </c>
      <c r="AA33" s="272">
        <f>IFERROR(AA22/AA23,"")</f>
        <v>0.170569236980218</v>
      </c>
      <c r="AB33" s="273">
        <f>IFERROR(AB22/AB23,"")</f>
        <v>0.171737158875423</v>
      </c>
      <c r="AC33" s="272">
        <f>IFERROR(AC22/AC23,"")</f>
        <v>0.19253604749788</v>
      </c>
      <c r="AD33" s="272">
        <f>IFERROR(AD22/AD23,"")</f>
        <v>0.199658188398512</v>
      </c>
      <c r="AE33" s="272">
        <f>IFERROR(AE22/AE23,"")</f>
        <v>0.170233864969837</v>
      </c>
      <c r="AF33" s="272">
        <f>IFERROR(AF22/AF23,"")</f>
        <v>0.16999420097755</v>
      </c>
      <c r="AG33" s="273">
        <f>IFERROR(AG22/AG23,"")</f>
        <v>0.18171798580974</v>
      </c>
      <c r="AH33" s="273" t="str">
        <f>IFERROR(AH22/AH23,"")</f>
        <v/>
      </c>
      <c r="AI33" s="273" t="str">
        <f>IFERROR(AI22/AI23,"")</f>
        <v/>
      </c>
    </row>
    <row r="34"/>
    <row r="35">
      <c r="C35" s="267" t="inlineStr">
        <is>
          <t>Receita liquida por regiao - como a Cia divulga desde a combinacao com o Novo Atacarejo (releases; R$ milhoes)</t>
        </is>
      </c>
      <c r="D35" s="267">
        <f>D7</f>
        <v>0</v>
      </c>
      <c r="E35" s="267">
        <f>E7</f>
        <v>0</v>
      </c>
      <c r="F35" s="267">
        <f>F7</f>
        <v>0</v>
      </c>
      <c r="G35" s="267">
        <f>G7</f>
        <v>0</v>
      </c>
      <c r="H35" s="267">
        <f>H7</f>
        <v>2020</v>
      </c>
      <c r="I35" s="267" t="str">
        <f>I7</f>
        <v>1Q21</v>
      </c>
      <c r="J35" s="267" t="str">
        <f>J7</f>
        <v>2Q21</v>
      </c>
      <c r="K35" s="267" t="str">
        <f>K7</f>
        <v>3Q21</v>
      </c>
      <c r="L35" s="267" t="str">
        <f>L7</f>
        <v>4Q21</v>
      </c>
      <c r="M35" s="267">
        <f>M7</f>
        <v>2021</v>
      </c>
      <c r="N35" s="267" t="str">
        <f>N7</f>
        <v>1Q22</v>
      </c>
      <c r="O35" s="267" t="str">
        <f>O7</f>
        <v>2Q22</v>
      </c>
      <c r="P35" s="267" t="str">
        <f>P7</f>
        <v>3Q22</v>
      </c>
      <c r="Q35" s="267" t="str">
        <f>Q7</f>
        <v>4Q22</v>
      </c>
      <c r="R35" s="267">
        <f>R7</f>
        <v>2022</v>
      </c>
      <c r="S35" s="267" t="str">
        <f>S7</f>
        <v>1Q23</v>
      </c>
      <c r="T35" s="267" t="str">
        <f>T7</f>
        <v>2Q23</v>
      </c>
      <c r="U35" s="267" t="str">
        <f>U7</f>
        <v>3Q23</v>
      </c>
      <c r="V35" s="267" t="str">
        <f>V7</f>
        <v>4Q23</v>
      </c>
      <c r="W35" s="267">
        <f>W7</f>
        <v>2023</v>
      </c>
      <c r="X35" s="267" t="str">
        <f>X7</f>
        <v>1Q24</v>
      </c>
      <c r="Y35" s="267" t="str">
        <f>Y7</f>
        <v>2Q24</v>
      </c>
      <c r="Z35" s="267" t="str">
        <f>Z7</f>
        <v>3Q24</v>
      </c>
      <c r="AA35" s="267" t="str">
        <f>AA7</f>
        <v>4Q24</v>
      </c>
      <c r="AB35" s="267">
        <f>AB7</f>
        <v>2024</v>
      </c>
      <c r="AC35" s="267" t="str">
        <f>AC7</f>
        <v>1Q25</v>
      </c>
      <c r="AD35" s="267" t="str">
        <f>AD7</f>
        <v>2Q25</v>
      </c>
      <c r="AE35" s="267" t="str">
        <f>AE7</f>
        <v>3Q25</v>
      </c>
      <c r="AF35" s="267" t="str">
        <f>AF7</f>
        <v>4Q25</v>
      </c>
      <c r="AG35" s="267">
        <f>AG7</f>
        <v>2025</v>
      </c>
      <c r="AH35" s="267" t="str">
        <f>AH7</f>
        <v>1Q26</v>
      </c>
      <c r="AI35" s="267" t="str">
        <f>AI7</f>
        <v>2Q26</v>
      </c>
    </row>
    <row r="36">
      <c r="C36" s="268" t="inlineStr">
        <is>
          <t xml:space="preserve">   Grupo Mateus MA, PA, PI, CE, SE e BA</t>
        </is>
      </c>
      <c r="D36" s="269" t="str">
        <f>IFERROR(INDEX('Inputs (2)'!$D$57:$AL$57,MATCH(D$7&amp;"",'Inputs (2)'!$D$2:$AL$2,0)),"")</f>
        <v/>
      </c>
      <c r="E36" s="269" t="str">
        <f>IFERROR(INDEX('Inputs (2)'!$D$57:$AL$57,MATCH(E$7&amp;"",'Inputs (2)'!$D$2:$AL$2,0)),"")</f>
        <v/>
      </c>
      <c r="F36" s="269" t="str">
        <f>IFERROR(INDEX('Inputs (2)'!$D$57:$AL$57,MATCH(F$7&amp;"",'Inputs (2)'!$D$2:$AL$2,0)),"")</f>
        <v/>
      </c>
      <c r="G36" s="269" t="str">
        <f>IFERROR(INDEX('Inputs (2)'!$D$57:$AL$57,MATCH(G$7&amp;"",'Inputs (2)'!$D$2:$AL$2,0)),"")</f>
        <v/>
      </c>
      <c r="H36" s="270" t="str">
        <f>IF(COUNT(D36:G36)=4,SUM(D36:G36),"")</f>
        <v/>
      </c>
      <c r="I36" s="269" t="str">
        <f>IFERROR(INDEX('Inputs (2)'!$D$57:$AL$57,MATCH(I$7&amp;"",'Inputs (2)'!$D$2:$AL$2,0)),"")</f>
        <v/>
      </c>
      <c r="J36" s="269" t="str">
        <f>IFERROR(INDEX('Inputs (2)'!$D$57:$AL$57,MATCH(J$7&amp;"",'Inputs (2)'!$D$2:$AL$2,0)),"")</f>
        <v/>
      </c>
      <c r="K36" s="269" t="str">
        <f>IFERROR(INDEX('Inputs (2)'!$D$57:$AL$57,MATCH(K$7&amp;"",'Inputs (2)'!$D$2:$AL$2,0)),"")</f>
        <v/>
      </c>
      <c r="L36" s="269" t="str">
        <f>IFERROR(INDEX('Inputs (2)'!$D$57:$AL$57,MATCH(L$7&amp;"",'Inputs (2)'!$D$2:$AL$2,0)),"")</f>
        <v/>
      </c>
      <c r="M36" s="270" t="str">
        <f>IF(COUNT(I36:L36)=4,SUM(I36:L36),"")</f>
        <v/>
      </c>
      <c r="N36" s="269" t="str">
        <f>IFERROR(INDEX('Inputs (2)'!$D$57:$AL$57,MATCH(N$7&amp;"",'Inputs (2)'!$D$2:$AL$2,0)),"")</f>
        <v/>
      </c>
      <c r="O36" s="269" t="str">
        <f>IFERROR(INDEX('Inputs (2)'!$D$57:$AL$57,MATCH(O$7&amp;"",'Inputs (2)'!$D$2:$AL$2,0)),"")</f>
        <v/>
      </c>
      <c r="P36" s="269" t="str">
        <f>IFERROR(INDEX('Inputs (2)'!$D$57:$AL$57,MATCH(P$7&amp;"",'Inputs (2)'!$D$2:$AL$2,0)),"")</f>
        <v/>
      </c>
      <c r="Q36" s="269" t="str">
        <f>IFERROR(INDEX('Inputs (2)'!$D$57:$AL$57,MATCH(Q$7&amp;"",'Inputs (2)'!$D$2:$AL$2,0)),"")</f>
        <v/>
      </c>
      <c r="R36" s="270" t="str">
        <f>IF(COUNT(N36:Q36)=4,SUM(N36:Q36),"")</f>
        <v/>
      </c>
      <c r="S36" s="269" t="str">
        <f>IFERROR(INDEX('Inputs (2)'!$D$57:$AL$57,MATCH(S$7&amp;"",'Inputs (2)'!$D$2:$AL$2,0)),"")</f>
        <v/>
      </c>
      <c r="T36" s="269" t="str">
        <f>IFERROR(INDEX('Inputs (2)'!$D$57:$AL$57,MATCH(T$7&amp;"",'Inputs (2)'!$D$2:$AL$2,0)),"")</f>
        <v/>
      </c>
      <c r="U36" s="269" t="str">
        <f>IFERROR(INDEX('Inputs (2)'!$D$57:$AL$57,MATCH(U$7&amp;"",'Inputs (2)'!$D$2:$AL$2,0)),"")</f>
        <v/>
      </c>
      <c r="V36" s="269" t="str">
        <f>IFERROR(INDEX('Inputs (2)'!$D$57:$AL$57,MATCH(V$7&amp;"",'Inputs (2)'!$D$2:$AL$2,0)),"")</f>
        <v/>
      </c>
      <c r="W36" s="270" t="str">
        <f>IF(COUNT(S36:V36)=4,SUM(S36:V36),"")</f>
        <v/>
      </c>
      <c r="X36" s="269" t="str">
        <f>IFERROR(INDEX('Inputs (2)'!$D$57:$AL$57,MATCH(X$7&amp;"",'Inputs (2)'!$D$2:$AL$2,0)),"")</f>
        <v/>
      </c>
      <c r="Y36" s="269" t="str">
        <f>IFERROR(INDEX('Inputs (2)'!$D$57:$AL$57,MATCH(Y$7&amp;"",'Inputs (2)'!$D$2:$AL$2,0)),"")</f>
        <v/>
      </c>
      <c r="Z36" s="269" t="str">
        <f>IFERROR(INDEX('Inputs (2)'!$D$57:$AL$57,MATCH(Z$7&amp;"",'Inputs (2)'!$D$2:$AL$2,0)),"")</f>
        <v/>
      </c>
      <c r="AA36" s="269" t="str">
        <f>IFERROR(INDEX('Inputs (2)'!$D$57:$AL$57,MATCH(AA$7&amp;"",'Inputs (2)'!$D$2:$AL$2,0)),"")</f>
        <v/>
      </c>
      <c r="AB36" s="270" t="str">
        <f>IF(COUNT(X36:AA36)=4,SUM(X36:AA36),"")</f>
        <v/>
      </c>
      <c r="AC36" s="269" t="str">
        <f>IFERROR(INDEX('Inputs (2)'!$D$57:$AL$57,MATCH(AC$7&amp;"",'Inputs (2)'!$D$2:$AL$2,0)),"")</f>
        <v/>
      </c>
      <c r="AD36" s="269" t="str">
        <f>IFERROR(INDEX('Inputs (2)'!$D$57:$AL$57,MATCH(AD$7&amp;"",'Inputs (2)'!$D$2:$AL$2,0)),"")</f>
        <v/>
      </c>
      <c r="AE36" s="269">
        <f>IFERROR(INDEX('Inputs (2)'!$D$57:$AL$57,MATCH(AE$7&amp;"",'Inputs (2)'!$D$2:$AL$2,0)),"")</f>
        <v>7869</v>
      </c>
      <c r="AF36" s="269">
        <f>IFERROR(INDEX('Inputs (2)'!$D$57:$AL$57,MATCH(AF$7&amp;"",'Inputs (2)'!$D$2:$AL$2,0)),"")</f>
        <v>7723</v>
      </c>
      <c r="AG36" s="270" t="str">
        <f>IF(COUNT(AC36:AF36)=4,SUM(AC36:AF36),"")</f>
        <v/>
      </c>
      <c r="AH36" s="270">
        <f>IFERROR(INDEX('Inputs (2)'!$D$57:$AL$57,MATCH(AH$7&amp;"",'Inputs (2)'!$D$2:$AL$2,0)),"")</f>
        <v>7012</v>
      </c>
      <c r="AI36" s="270">
        <f>IFERROR(INDEX('Inputs (2)'!$D$57:$AL$57,MATCH(AI$7&amp;"",'Inputs (2)'!$D$2:$AL$2,0)),"")</f>
        <v>7387</v>
      </c>
    </row>
    <row r="37">
      <c r="C37" s="268" t="inlineStr">
        <is>
          <t xml:space="preserve">   Grupo Mateus + Novo Atacarejo PE, PB e AL</t>
        </is>
      </c>
      <c r="D37" s="269" t="str">
        <f>IFERROR(INDEX('Inputs (2)'!$D$58:$AL$58,MATCH(D$7&amp;"",'Inputs (2)'!$D$2:$AL$2,0)),"")</f>
        <v/>
      </c>
      <c r="E37" s="269" t="str">
        <f>IFERROR(INDEX('Inputs (2)'!$D$58:$AL$58,MATCH(E$7&amp;"",'Inputs (2)'!$D$2:$AL$2,0)),"")</f>
        <v/>
      </c>
      <c r="F37" s="269" t="str">
        <f>IFERROR(INDEX('Inputs (2)'!$D$58:$AL$58,MATCH(F$7&amp;"",'Inputs (2)'!$D$2:$AL$2,0)),"")</f>
        <v/>
      </c>
      <c r="G37" s="269" t="str">
        <f>IFERROR(INDEX('Inputs (2)'!$D$58:$AL$58,MATCH(G$7&amp;"",'Inputs (2)'!$D$2:$AL$2,0)),"")</f>
        <v/>
      </c>
      <c r="H37" s="270" t="str">
        <f>IF(COUNT(D37:G37)=4,SUM(D37:G37),"")</f>
        <v/>
      </c>
      <c r="I37" s="269" t="str">
        <f>IFERROR(INDEX('Inputs (2)'!$D$58:$AL$58,MATCH(I$7&amp;"",'Inputs (2)'!$D$2:$AL$2,0)),"")</f>
        <v/>
      </c>
      <c r="J37" s="269" t="str">
        <f>IFERROR(INDEX('Inputs (2)'!$D$58:$AL$58,MATCH(J$7&amp;"",'Inputs (2)'!$D$2:$AL$2,0)),"")</f>
        <v/>
      </c>
      <c r="K37" s="269" t="str">
        <f>IFERROR(INDEX('Inputs (2)'!$D$58:$AL$58,MATCH(K$7&amp;"",'Inputs (2)'!$D$2:$AL$2,0)),"")</f>
        <v/>
      </c>
      <c r="L37" s="269" t="str">
        <f>IFERROR(INDEX('Inputs (2)'!$D$58:$AL$58,MATCH(L$7&amp;"",'Inputs (2)'!$D$2:$AL$2,0)),"")</f>
        <v/>
      </c>
      <c r="M37" s="270" t="str">
        <f>IF(COUNT(I37:L37)=4,SUM(I37:L37),"")</f>
        <v/>
      </c>
      <c r="N37" s="269" t="str">
        <f>IFERROR(INDEX('Inputs (2)'!$D$58:$AL$58,MATCH(N$7&amp;"",'Inputs (2)'!$D$2:$AL$2,0)),"")</f>
        <v/>
      </c>
      <c r="O37" s="269" t="str">
        <f>IFERROR(INDEX('Inputs (2)'!$D$58:$AL$58,MATCH(O$7&amp;"",'Inputs (2)'!$D$2:$AL$2,0)),"")</f>
        <v/>
      </c>
      <c r="P37" s="269" t="str">
        <f>IFERROR(INDEX('Inputs (2)'!$D$58:$AL$58,MATCH(P$7&amp;"",'Inputs (2)'!$D$2:$AL$2,0)),"")</f>
        <v/>
      </c>
      <c r="Q37" s="269" t="str">
        <f>IFERROR(INDEX('Inputs (2)'!$D$58:$AL$58,MATCH(Q$7&amp;"",'Inputs (2)'!$D$2:$AL$2,0)),"")</f>
        <v/>
      </c>
      <c r="R37" s="270" t="str">
        <f>IF(COUNT(N37:Q37)=4,SUM(N37:Q37),"")</f>
        <v/>
      </c>
      <c r="S37" s="269" t="str">
        <f>IFERROR(INDEX('Inputs (2)'!$D$58:$AL$58,MATCH(S$7&amp;"",'Inputs (2)'!$D$2:$AL$2,0)),"")</f>
        <v/>
      </c>
      <c r="T37" s="269" t="str">
        <f>IFERROR(INDEX('Inputs (2)'!$D$58:$AL$58,MATCH(T$7&amp;"",'Inputs (2)'!$D$2:$AL$2,0)),"")</f>
        <v/>
      </c>
      <c r="U37" s="269" t="str">
        <f>IFERROR(INDEX('Inputs (2)'!$D$58:$AL$58,MATCH(U$7&amp;"",'Inputs (2)'!$D$2:$AL$2,0)),"")</f>
        <v/>
      </c>
      <c r="V37" s="269" t="str">
        <f>IFERROR(INDEX('Inputs (2)'!$D$58:$AL$58,MATCH(V$7&amp;"",'Inputs (2)'!$D$2:$AL$2,0)),"")</f>
        <v/>
      </c>
      <c r="W37" s="270" t="str">
        <f>IF(COUNT(S37:V37)=4,SUM(S37:V37),"")</f>
        <v/>
      </c>
      <c r="X37" s="269" t="str">
        <f>IFERROR(INDEX('Inputs (2)'!$D$58:$AL$58,MATCH(X$7&amp;"",'Inputs (2)'!$D$2:$AL$2,0)),"")</f>
        <v/>
      </c>
      <c r="Y37" s="269" t="str">
        <f>IFERROR(INDEX('Inputs (2)'!$D$58:$AL$58,MATCH(Y$7&amp;"",'Inputs (2)'!$D$2:$AL$2,0)),"")</f>
        <v/>
      </c>
      <c r="Z37" s="269" t="str">
        <f>IFERROR(INDEX('Inputs (2)'!$D$58:$AL$58,MATCH(Z$7&amp;"",'Inputs (2)'!$D$2:$AL$2,0)),"")</f>
        <v/>
      </c>
      <c r="AA37" s="269" t="str">
        <f>IFERROR(INDEX('Inputs (2)'!$D$58:$AL$58,MATCH(AA$7&amp;"",'Inputs (2)'!$D$2:$AL$2,0)),"")</f>
        <v/>
      </c>
      <c r="AB37" s="270" t="str">
        <f>IF(COUNT(X37:AA37)=4,SUM(X37:AA37),"")</f>
        <v/>
      </c>
      <c r="AC37" s="269" t="str">
        <f>IFERROR(INDEX('Inputs (2)'!$D$58:$AL$58,MATCH(AC$7&amp;"",'Inputs (2)'!$D$2:$AL$2,0)),"")</f>
        <v/>
      </c>
      <c r="AD37" s="269" t="str">
        <f>IFERROR(INDEX('Inputs (2)'!$D$58:$AL$58,MATCH(AD$7&amp;"",'Inputs (2)'!$D$2:$AL$2,0)),"")</f>
        <v/>
      </c>
      <c r="AE37" s="269">
        <f>IFERROR(INDEX('Inputs (2)'!$D$58:$AL$58,MATCH(AE$7&amp;"",'Inputs (2)'!$D$2:$AL$2,0)),"")</f>
        <v>2895</v>
      </c>
      <c r="AF37" s="269">
        <f>IFERROR(INDEX('Inputs (2)'!$D$58:$AL$58,MATCH(AF$7&amp;"",'Inputs (2)'!$D$2:$AL$2,0)),"")</f>
        <v>2827</v>
      </c>
      <c r="AG37" s="270" t="str">
        <f>IF(COUNT(AC37:AF37)=4,SUM(AC37:AF37),"")</f>
        <v/>
      </c>
      <c r="AH37" s="270">
        <f>IFERROR(INDEX('Inputs (2)'!$D$58:$AL$58,MATCH(AH$7&amp;"",'Inputs (2)'!$D$2:$AL$2,0)),"")</f>
        <v>2390</v>
      </c>
      <c r="AI37" s="270">
        <f>IFERROR(INDEX('Inputs (2)'!$D$58:$AL$58,MATCH(AI$7&amp;"",'Inputs (2)'!$D$2:$AL$2,0)),"")</f>
        <v>2466</v>
      </c>
    </row>
    <row r="38">
      <c r="C38" s="271" t="inlineStr">
        <is>
          <t>Receita liquida (soma das regioes)</t>
        </is>
      </c>
      <c r="D38" s="269" t="str">
        <f>IF(COUNT(D36,D37)&lt;2,"",SUM(D36,D37))</f>
        <v/>
      </c>
      <c r="E38" s="269" t="str">
        <f>IF(COUNT(E36,E37)&lt;2,"",SUM(E36,E37))</f>
        <v/>
      </c>
      <c r="F38" s="269" t="str">
        <f>IF(COUNT(F36,F37)&lt;2,"",SUM(F36,F37))</f>
        <v/>
      </c>
      <c r="G38" s="269" t="str">
        <f>IF(COUNT(G36,G37)&lt;2,"",SUM(G36,G37))</f>
        <v/>
      </c>
      <c r="H38" s="270" t="str">
        <f>IF(COUNT(H36,H37)&lt;2,"",SUM(H36,H37))</f>
        <v/>
      </c>
      <c r="I38" s="269" t="str">
        <f>IF(COUNT(I36,I37)&lt;2,"",SUM(I36,I37))</f>
        <v/>
      </c>
      <c r="J38" s="269" t="str">
        <f>IF(COUNT(J36,J37)&lt;2,"",SUM(J36,J37))</f>
        <v/>
      </c>
      <c r="K38" s="269" t="str">
        <f>IF(COUNT(K36,K37)&lt;2,"",SUM(K36,K37))</f>
        <v/>
      </c>
      <c r="L38" s="269" t="str">
        <f>IF(COUNT(L36,L37)&lt;2,"",SUM(L36,L37))</f>
        <v/>
      </c>
      <c r="M38" s="270" t="str">
        <f>IF(COUNT(M36,M37)&lt;2,"",SUM(M36,M37))</f>
        <v/>
      </c>
      <c r="N38" s="269" t="str">
        <f>IF(COUNT(N36,N37)&lt;2,"",SUM(N36,N37))</f>
        <v/>
      </c>
      <c r="O38" s="269" t="str">
        <f>IF(COUNT(O36,O37)&lt;2,"",SUM(O36,O37))</f>
        <v/>
      </c>
      <c r="P38" s="269" t="str">
        <f>IF(COUNT(P36,P37)&lt;2,"",SUM(P36,P37))</f>
        <v/>
      </c>
      <c r="Q38" s="269" t="str">
        <f>IF(COUNT(Q36,Q37)&lt;2,"",SUM(Q36,Q37))</f>
        <v/>
      </c>
      <c r="R38" s="270" t="str">
        <f>IF(COUNT(R36,R37)&lt;2,"",SUM(R36,R37))</f>
        <v/>
      </c>
      <c r="S38" s="269" t="str">
        <f>IF(COUNT(S36,S37)&lt;2,"",SUM(S36,S37))</f>
        <v/>
      </c>
      <c r="T38" s="269" t="str">
        <f>IF(COUNT(T36,T37)&lt;2,"",SUM(T36,T37))</f>
        <v/>
      </c>
      <c r="U38" s="269" t="str">
        <f>IF(COUNT(U36,U37)&lt;2,"",SUM(U36,U37))</f>
        <v/>
      </c>
      <c r="V38" s="269" t="str">
        <f>IF(COUNT(V36,V37)&lt;2,"",SUM(V36,V37))</f>
        <v/>
      </c>
      <c r="W38" s="270" t="str">
        <f>IF(COUNT(W36,W37)&lt;2,"",SUM(W36,W37))</f>
        <v/>
      </c>
      <c r="X38" s="269" t="str">
        <f>IF(COUNT(X36,X37)&lt;2,"",SUM(X36,X37))</f>
        <v/>
      </c>
      <c r="Y38" s="269" t="str">
        <f>IF(COUNT(Y36,Y37)&lt;2,"",SUM(Y36,Y37))</f>
        <v/>
      </c>
      <c r="Z38" s="269" t="str">
        <f>IF(COUNT(Z36,Z37)&lt;2,"",SUM(Z36,Z37))</f>
        <v/>
      </c>
      <c r="AA38" s="269" t="str">
        <f>IF(COUNT(AA36,AA37)&lt;2,"",SUM(AA36,AA37))</f>
        <v/>
      </c>
      <c r="AB38" s="270" t="str">
        <f>IF(COUNT(AB36,AB37)&lt;2,"",SUM(AB36,AB37))</f>
        <v/>
      </c>
      <c r="AC38" s="269" t="str">
        <f>IF(COUNT(AC36,AC37)&lt;2,"",SUM(AC36,AC37))</f>
        <v/>
      </c>
      <c r="AD38" s="269" t="str">
        <f>IF(COUNT(AD36,AD37)&lt;2,"",SUM(AD36,AD37))</f>
        <v/>
      </c>
      <c r="AE38" s="269">
        <f>IF(COUNT(AE36,AE37)&lt;2,"",SUM(AE36,AE37))</f>
        <v>10764</v>
      </c>
      <c r="AF38" s="269">
        <f>IF(COUNT(AF36,AF37)&lt;2,"",SUM(AF36,AF37))</f>
        <v>10550</v>
      </c>
      <c r="AG38" s="270" t="str">
        <f>IF(COUNT(AG36,AG37)&lt;2,"",SUM(AG36,AG37))</f>
        <v/>
      </c>
      <c r="AH38" s="270">
        <f>IF(COUNT(AH36,AH37)&lt;2,"",SUM(AH36,AH37))</f>
        <v>9402</v>
      </c>
      <c r="AI38" s="270">
        <f>IF(COUNT(AI36,AI37)&lt;2,"",SUM(AI36,AI37))</f>
        <v>9853</v>
      </c>
    </row>
    <row r="39">
      <c r="C39" s="268" t="inlineStr">
        <is>
          <t>Check vs Net Revenues (linha 15; difere so pelo arredondamento do release em R$ milhoes)</t>
        </is>
      </c>
      <c r="D39" s="274" t="str">
        <f>IF(COUNT(D38)=0,"",ROUND(D15-D38,6))</f>
        <v/>
      </c>
      <c r="E39" s="274" t="str">
        <f>IF(COUNT(E38)=0,"",ROUND(E15-E38,6))</f>
        <v/>
      </c>
      <c r="F39" s="274" t="str">
        <f>IF(COUNT(F38)=0,"",ROUND(F15-F38,6))</f>
        <v/>
      </c>
      <c r="G39" s="274" t="str">
        <f>IF(COUNT(G38)=0,"",ROUND(G15-G38,6))</f>
        <v/>
      </c>
      <c r="H39" s="275" t="str">
        <f>IF(COUNT(H38)=0,"",ROUND(H15-H38,6))</f>
        <v/>
      </c>
      <c r="I39" s="274" t="str">
        <f>IF(COUNT(I38)=0,"",ROUND(I15-I38,6))</f>
        <v/>
      </c>
      <c r="J39" s="274" t="str">
        <f>IF(COUNT(J38)=0,"",ROUND(J15-J38,6))</f>
        <v/>
      </c>
      <c r="K39" s="274" t="str">
        <f>IF(COUNT(K38)=0,"",ROUND(K15-K38,6))</f>
        <v/>
      </c>
      <c r="L39" s="274" t="str">
        <f>IF(COUNT(L38)=0,"",ROUND(L15-L38,6))</f>
        <v/>
      </c>
      <c r="M39" s="275" t="str">
        <f>IF(COUNT(M38)=0,"",ROUND(M15-M38,6))</f>
        <v/>
      </c>
      <c r="N39" s="274" t="str">
        <f>IF(COUNT(N38)=0,"",ROUND(N15-N38,6))</f>
        <v/>
      </c>
      <c r="O39" s="274" t="str">
        <f>IF(COUNT(O38)=0,"",ROUND(O15-O38,6))</f>
        <v/>
      </c>
      <c r="P39" s="274" t="str">
        <f>IF(COUNT(P38)=0,"",ROUND(P15-P38,6))</f>
        <v/>
      </c>
      <c r="Q39" s="274" t="str">
        <f>IF(COUNT(Q38)=0,"",ROUND(Q15-Q38,6))</f>
        <v/>
      </c>
      <c r="R39" s="275" t="str">
        <f>IF(COUNT(R38)=0,"",ROUND(R15-R38,6))</f>
        <v/>
      </c>
      <c r="S39" s="274" t="str">
        <f>IF(COUNT(S38)=0,"",ROUND(S15-S38,6))</f>
        <v/>
      </c>
      <c r="T39" s="274" t="str">
        <f>IF(COUNT(T38)=0,"",ROUND(T15-T38,6))</f>
        <v/>
      </c>
      <c r="U39" s="274" t="str">
        <f>IF(COUNT(U38)=0,"",ROUND(U15-U38,6))</f>
        <v/>
      </c>
      <c r="V39" s="274" t="str">
        <f>IF(COUNT(V38)=0,"",ROUND(V15-V38,6))</f>
        <v/>
      </c>
      <c r="W39" s="275" t="str">
        <f>IF(COUNT(W38)=0,"",ROUND(W15-W38,6))</f>
        <v/>
      </c>
      <c r="X39" s="274" t="str">
        <f>IF(COUNT(X38)=0,"",ROUND(X15-X38,6))</f>
        <v/>
      </c>
      <c r="Y39" s="274" t="str">
        <f>IF(COUNT(Y38)=0,"",ROUND(Y15-Y38,6))</f>
        <v/>
      </c>
      <c r="Z39" s="274" t="str">
        <f>IF(COUNT(Z38)=0,"",ROUND(Z15-Z38,6))</f>
        <v/>
      </c>
      <c r="AA39" s="274" t="str">
        <f>IF(COUNT(AA38)=0,"",ROUND(AA15-AA38,6))</f>
        <v/>
      </c>
      <c r="AB39" s="275" t="str">
        <f>IF(COUNT(AB38)=0,"",ROUND(AB15-AB38,6))</f>
        <v/>
      </c>
      <c r="AC39" s="274" t="str">
        <f>IF(COUNT(AC38)=0,"",ROUND(AC15-AC38,6))</f>
        <v/>
      </c>
      <c r="AD39" s="274" t="str">
        <f>IF(COUNT(AD38)=0,"",ROUND(AD15-AD38,6))</f>
        <v/>
      </c>
      <c r="AE39" s="274">
        <f>IF(COUNT(AE38)=0,"",ROUND(AE15-AE38,6))</f>
        <v>-0.462</v>
      </c>
      <c r="AF39" s="274">
        <f>IF(COUNT(AF38)=0,"",ROUND(AF15-AF38,6))</f>
        <v>-0.077364</v>
      </c>
      <c r="AG39" s="275" t="str">
        <f>IF(COUNT(AG38)=0,"",ROUND(AG15-AG38,6))</f>
        <v/>
      </c>
      <c r="AH39" s="275">
        <f>IF(COUNT(AH38)=0,"",ROUND(AH15-AH38,6))</f>
        <v>0.27</v>
      </c>
      <c r="AI39" s="275">
        <f>IF(COUNT(AI38)=0,"",ROUND(AI15-AI38,6))</f>
        <v>-0.539</v>
      </c>
    </row>
    <row r="40">
      <c r="C40" s="268" t="inlineStr">
        <is>
          <t xml:space="preserve">   % YoY MA-BA</t>
        </is>
      </c>
      <c r="D40" s="272" t="str">
        <f>""</f>
        <v/>
      </c>
      <c r="E40" s="272" t="str">
        <f>""</f>
        <v/>
      </c>
      <c r="F40" s="272" t="str">
        <f>""</f>
        <v/>
      </c>
      <c r="G40" s="272" t="str">
        <f>""</f>
        <v/>
      </c>
      <c r="H40" s="273" t="str">
        <f>""</f>
        <v/>
      </c>
      <c r="I40" s="272" t="str">
        <f>IFERROR(I36/D36-1,"")</f>
        <v/>
      </c>
      <c r="J40" s="272" t="str">
        <f>IFERROR(J36/E36-1,"")</f>
        <v/>
      </c>
      <c r="K40" s="272" t="str">
        <f>IFERROR(K36/F36-1,"")</f>
        <v/>
      </c>
      <c r="L40" s="272" t="str">
        <f>IFERROR(L36/G36-1,"")</f>
        <v/>
      </c>
      <c r="M40" s="273" t="str">
        <f>IFERROR(M36/H36-1,"")</f>
        <v/>
      </c>
      <c r="N40" s="272" t="str">
        <f>IFERROR(N36/I36-1,"")</f>
        <v/>
      </c>
      <c r="O40" s="272" t="str">
        <f>IFERROR(O36/J36-1,"")</f>
        <v/>
      </c>
      <c r="P40" s="272" t="str">
        <f>IFERROR(P36/K36-1,"")</f>
        <v/>
      </c>
      <c r="Q40" s="272" t="str">
        <f>IFERROR(Q36/L36-1,"")</f>
        <v/>
      </c>
      <c r="R40" s="273" t="str">
        <f>IFERROR(R36/M36-1,"")</f>
        <v/>
      </c>
      <c r="S40" s="272" t="str">
        <f>IFERROR(S36/N36-1,"")</f>
        <v/>
      </c>
      <c r="T40" s="272" t="str">
        <f>IFERROR(T36/O36-1,"")</f>
        <v/>
      </c>
      <c r="U40" s="272" t="str">
        <f>IFERROR(U36/P36-1,"")</f>
        <v/>
      </c>
      <c r="V40" s="272" t="str">
        <f>IFERROR(V36/Q36-1,"")</f>
        <v/>
      </c>
      <c r="W40" s="273" t="str">
        <f>IFERROR(W36/R36-1,"")</f>
        <v/>
      </c>
      <c r="X40" s="272" t="str">
        <f>IFERROR(X36/S36-1,"")</f>
        <v/>
      </c>
      <c r="Y40" s="272" t="str">
        <f>IFERROR(Y36/T36-1,"")</f>
        <v/>
      </c>
      <c r="Z40" s="272" t="str">
        <f>IFERROR(Z36/U36-1,"")</f>
        <v/>
      </c>
      <c r="AA40" s="272" t="str">
        <f>IFERROR(AA36/V36-1,"")</f>
        <v/>
      </c>
      <c r="AB40" s="273" t="str">
        <f>IFERROR(AB36/W36-1,"")</f>
        <v/>
      </c>
      <c r="AC40" s="272" t="str">
        <f>IFERROR(AC36/X36-1,"")</f>
        <v/>
      </c>
      <c r="AD40" s="272" t="str">
        <f>IFERROR(AD36/Y36-1,"")</f>
        <v/>
      </c>
      <c r="AE40" s="272" t="str">
        <f>IFERROR(AE36/Z36-1,"")</f>
        <v/>
      </c>
      <c r="AF40" s="272" t="str">
        <f>IFERROR(AF36/AA36-1,"")</f>
        <v/>
      </c>
      <c r="AG40" s="273" t="str">
        <f>IFERROR(AG36/AB36-1,"")</f>
        <v/>
      </c>
      <c r="AH40" s="273" t="str">
        <f>IFERROR(AH36/AC36-1,"")</f>
        <v/>
      </c>
      <c r="AI40" s="273" t="str">
        <f>IFERROR(AI36/AD36-1,"")</f>
        <v/>
      </c>
    </row>
    <row r="41">
      <c r="C41" s="268" t="inlineStr">
        <is>
          <t xml:space="preserve">   % PE/PB/AL na receita liquida</t>
        </is>
      </c>
      <c r="D41" s="272" t="str">
        <f>IFERROR(D37/D38,"")</f>
        <v/>
      </c>
      <c r="E41" s="272" t="str">
        <f>IFERROR(E37/E38,"")</f>
        <v/>
      </c>
      <c r="F41" s="272" t="str">
        <f>IFERROR(F37/F38,"")</f>
        <v/>
      </c>
      <c r="G41" s="272" t="str">
        <f>IFERROR(G37/G38,"")</f>
        <v/>
      </c>
      <c r="H41" s="273" t="str">
        <f>IFERROR(H37/H38,"")</f>
        <v/>
      </c>
      <c r="I41" s="272" t="str">
        <f>IFERROR(I37/I38,"")</f>
        <v/>
      </c>
      <c r="J41" s="272" t="str">
        <f>IFERROR(J37/J38,"")</f>
        <v/>
      </c>
      <c r="K41" s="272" t="str">
        <f>IFERROR(K37/K38,"")</f>
        <v/>
      </c>
      <c r="L41" s="272" t="str">
        <f>IFERROR(L37/L38,"")</f>
        <v/>
      </c>
      <c r="M41" s="273" t="str">
        <f>IFERROR(M37/M38,"")</f>
        <v/>
      </c>
      <c r="N41" s="272" t="str">
        <f>IFERROR(N37/N38,"")</f>
        <v/>
      </c>
      <c r="O41" s="272" t="str">
        <f>IFERROR(O37/O38,"")</f>
        <v/>
      </c>
      <c r="P41" s="272" t="str">
        <f>IFERROR(P37/P38,"")</f>
        <v/>
      </c>
      <c r="Q41" s="272" t="str">
        <f>IFERROR(Q37/Q38,"")</f>
        <v/>
      </c>
      <c r="R41" s="273" t="str">
        <f>IFERROR(R37/R38,"")</f>
        <v/>
      </c>
      <c r="S41" s="272" t="str">
        <f>IFERROR(S37/S38,"")</f>
        <v/>
      </c>
      <c r="T41" s="272" t="str">
        <f>IFERROR(T37/T38,"")</f>
        <v/>
      </c>
      <c r="U41" s="272" t="str">
        <f>IFERROR(U37/U38,"")</f>
        <v/>
      </c>
      <c r="V41" s="272" t="str">
        <f>IFERROR(V37/V38,"")</f>
        <v/>
      </c>
      <c r="W41" s="273" t="str">
        <f>IFERROR(W37/W38,"")</f>
        <v/>
      </c>
      <c r="X41" s="272" t="str">
        <f>IFERROR(X37/X38,"")</f>
        <v/>
      </c>
      <c r="Y41" s="272" t="str">
        <f>IFERROR(Y37/Y38,"")</f>
        <v/>
      </c>
      <c r="Z41" s="272" t="str">
        <f>IFERROR(Z37/Z38,"")</f>
        <v/>
      </c>
      <c r="AA41" s="272" t="str">
        <f>IFERROR(AA37/AA38,"")</f>
        <v/>
      </c>
      <c r="AB41" s="273" t="str">
        <f>IFERROR(AB37/AB38,"")</f>
        <v/>
      </c>
      <c r="AC41" s="272" t="str">
        <f>IFERROR(AC37/AC38,"")</f>
        <v/>
      </c>
      <c r="AD41" s="272" t="str">
        <f>IFERROR(AD37/AD38,"")</f>
        <v/>
      </c>
      <c r="AE41" s="272">
        <f>IFERROR(AE37/AE38,"")</f>
        <v>0.268952062430323</v>
      </c>
      <c r="AF41" s="272">
        <f>IFERROR(AF37/AF38,"")</f>
        <v>0.267962085308057</v>
      </c>
      <c r="AG41" s="273" t="str">
        <f>IFERROR(AG37/AG38,"")</f>
        <v/>
      </c>
      <c r="AH41" s="273">
        <f>IFERROR(AH37/AH38,"")</f>
        <v>0.254201233780047</v>
      </c>
      <c r="AI41" s="273">
        <f>IFERROR(AI37/AI38,"")</f>
        <v>0.250279102811327</v>
      </c>
    </row>
    <row r="42"/>
    <row r="43">
      <c r="C43" s="267" t="inlineStr">
        <is>
          <t>Drivers operacionais - lojas, area e produtividade (abas N de lojas e Area de Vendas; SSS dos releases)</t>
        </is>
      </c>
      <c r="D43" s="267">
        <f>D7</f>
        <v>0</v>
      </c>
      <c r="E43" s="267">
        <f>E7</f>
        <v>0</v>
      </c>
      <c r="F43" s="267">
        <f>F7</f>
        <v>0</v>
      </c>
      <c r="G43" s="267">
        <f>G7</f>
        <v>0</v>
      </c>
      <c r="H43" s="267">
        <f>H7</f>
        <v>2020</v>
      </c>
      <c r="I43" s="267" t="str">
        <f>I7</f>
        <v>1Q21</v>
      </c>
      <c r="J43" s="267" t="str">
        <f>J7</f>
        <v>2Q21</v>
      </c>
      <c r="K43" s="267" t="str">
        <f>K7</f>
        <v>3Q21</v>
      </c>
      <c r="L43" s="267" t="str">
        <f>L7</f>
        <v>4Q21</v>
      </c>
      <c r="M43" s="267">
        <f>M7</f>
        <v>2021</v>
      </c>
      <c r="N43" s="267" t="str">
        <f>N7</f>
        <v>1Q22</v>
      </c>
      <c r="O43" s="267" t="str">
        <f>O7</f>
        <v>2Q22</v>
      </c>
      <c r="P43" s="267" t="str">
        <f>P7</f>
        <v>3Q22</v>
      </c>
      <c r="Q43" s="267" t="str">
        <f>Q7</f>
        <v>4Q22</v>
      </c>
      <c r="R43" s="267">
        <f>R7</f>
        <v>2022</v>
      </c>
      <c r="S43" s="267" t="str">
        <f>S7</f>
        <v>1Q23</v>
      </c>
      <c r="T43" s="267" t="str">
        <f>T7</f>
        <v>2Q23</v>
      </c>
      <c r="U43" s="267" t="str">
        <f>U7</f>
        <v>3Q23</v>
      </c>
      <c r="V43" s="267" t="str">
        <f>V7</f>
        <v>4Q23</v>
      </c>
      <c r="W43" s="267">
        <f>W7</f>
        <v>2023</v>
      </c>
      <c r="X43" s="267" t="str">
        <f>X7</f>
        <v>1Q24</v>
      </c>
      <c r="Y43" s="267" t="str">
        <f>Y7</f>
        <v>2Q24</v>
      </c>
      <c r="Z43" s="267" t="str">
        <f>Z7</f>
        <v>3Q24</v>
      </c>
      <c r="AA43" s="267" t="str">
        <f>AA7</f>
        <v>4Q24</v>
      </c>
      <c r="AB43" s="267">
        <f>AB7</f>
        <v>2024</v>
      </c>
      <c r="AC43" s="267" t="str">
        <f>AC7</f>
        <v>1Q25</v>
      </c>
      <c r="AD43" s="267" t="str">
        <f>AD7</f>
        <v>2Q25</v>
      </c>
      <c r="AE43" s="267" t="str">
        <f>AE7</f>
        <v>3Q25</v>
      </c>
      <c r="AF43" s="267" t="str">
        <f>AF7</f>
        <v>4Q25</v>
      </c>
      <c r="AG43" s="267">
        <f>AG7</f>
        <v>2025</v>
      </c>
      <c r="AH43" s="267" t="str">
        <f>AH7</f>
        <v>1Q26</v>
      </c>
      <c r="AI43" s="267" t="str">
        <f>AI7</f>
        <v>2Q26</v>
      </c>
    </row>
    <row r="44">
      <c r="C44" s="268" t="inlineStr">
        <is>
          <t>Lojas - Atacarejo e Food Service (Mix Mateus)</t>
        </is>
      </c>
      <c r="D44" s="269" t="str">
        <f>IFERROR(INDEX('Inputs (2)'!$D$59:$AL$59,MATCH(D$7&amp;"",'Inputs (2)'!$D$2:$AL$2,0)),"")</f>
        <v/>
      </c>
      <c r="E44" s="269" t="str">
        <f>IFERROR(INDEX('Inputs (2)'!$D$59:$AL$59,MATCH(E$7&amp;"",'Inputs (2)'!$D$2:$AL$2,0)),"")</f>
        <v/>
      </c>
      <c r="F44" s="269" t="str">
        <f>IFERROR(INDEX('Inputs (2)'!$D$59:$AL$59,MATCH(F$7&amp;"",'Inputs (2)'!$D$2:$AL$2,0)),"")</f>
        <v/>
      </c>
      <c r="G44" s="269" t="str">
        <f>IFERROR(INDEX('Inputs (2)'!$D$59:$AL$59,MATCH(G$7&amp;"",'Inputs (2)'!$D$2:$AL$2,0)),"")</f>
        <v/>
      </c>
      <c r="H44" s="270" t="str">
        <f>IF(COUNT(G44)=0,"",G44)</f>
        <v/>
      </c>
      <c r="I44" s="269">
        <f>IFERROR(INDEX('Inputs (2)'!$D$59:$AL$59,MATCH(I$7&amp;"",'Inputs (2)'!$D$2:$AL$2,0)),"")</f>
        <v>35</v>
      </c>
      <c r="J44" s="269">
        <f>IFERROR(INDEX('Inputs (2)'!$D$59:$AL$59,MATCH(J$7&amp;"",'Inputs (2)'!$D$2:$AL$2,0)),"")</f>
        <v>38</v>
      </c>
      <c r="K44" s="269">
        <f>IFERROR(INDEX('Inputs (2)'!$D$59:$AL$59,MATCH(K$7&amp;"",'Inputs (2)'!$D$2:$AL$2,0)),"")</f>
        <v>40</v>
      </c>
      <c r="L44" s="269">
        <f>IFERROR(INDEX('Inputs (2)'!$D$59:$AL$59,MATCH(L$7&amp;"",'Inputs (2)'!$D$2:$AL$2,0)),"")</f>
        <v>42</v>
      </c>
      <c r="M44" s="270">
        <f>IF(COUNT(L44)=0,"",L44)</f>
        <v>42</v>
      </c>
      <c r="N44" s="269">
        <f>IFERROR(INDEX('Inputs (2)'!$D$59:$AL$59,MATCH(N$7&amp;"",'Inputs (2)'!$D$2:$AL$2,0)),"")</f>
        <v>48</v>
      </c>
      <c r="O44" s="269">
        <f>IFERROR(INDEX('Inputs (2)'!$D$59:$AL$59,MATCH(O$7&amp;"",'Inputs (2)'!$D$2:$AL$2,0)),"")</f>
        <v>50</v>
      </c>
      <c r="P44" s="269">
        <f>IFERROR(INDEX('Inputs (2)'!$D$59:$AL$59,MATCH(P$7&amp;"",'Inputs (2)'!$D$2:$AL$2,0)),"")</f>
        <v>53</v>
      </c>
      <c r="Q44" s="269">
        <f>IFERROR(INDEX('Inputs (2)'!$D$59:$AL$59,MATCH(Q$7&amp;"",'Inputs (2)'!$D$2:$AL$2,0)),"")</f>
        <v>58</v>
      </c>
      <c r="R44" s="270">
        <f>IF(COUNT(Q44)=0,"",Q44)</f>
        <v>58</v>
      </c>
      <c r="S44" s="269">
        <f>IFERROR(INDEX('Inputs (2)'!$D$59:$AL$59,MATCH(S$7&amp;"",'Inputs (2)'!$D$2:$AL$2,0)),"")</f>
        <v>62</v>
      </c>
      <c r="T44" s="269">
        <f>IFERROR(INDEX('Inputs (2)'!$D$59:$AL$59,MATCH(T$7&amp;"",'Inputs (2)'!$D$2:$AL$2,0)),"")</f>
        <v>64</v>
      </c>
      <c r="U44" s="269">
        <f>IFERROR(INDEX('Inputs (2)'!$D$59:$AL$59,MATCH(U$7&amp;"",'Inputs (2)'!$D$2:$AL$2,0)),"")</f>
        <v>69</v>
      </c>
      <c r="V44" s="269">
        <f>IFERROR(INDEX('Inputs (2)'!$D$59:$AL$59,MATCH(V$7&amp;"",'Inputs (2)'!$D$2:$AL$2,0)),"")</f>
        <v>80</v>
      </c>
      <c r="W44" s="270">
        <f>IF(COUNT(V44)=0,"",V44)</f>
        <v>80</v>
      </c>
      <c r="X44" s="269">
        <f>IFERROR(INDEX('Inputs (2)'!$D$59:$AL$59,MATCH(X$7&amp;"",'Inputs (2)'!$D$2:$AL$2,0)),"")</f>
        <v>82</v>
      </c>
      <c r="Y44" s="269">
        <f>IFERROR(INDEX('Inputs (2)'!$D$59:$AL$59,MATCH(Y$7&amp;"",'Inputs (2)'!$D$2:$AL$2,0)),"")</f>
        <v>84</v>
      </c>
      <c r="Z44" s="269">
        <f>IFERROR(INDEX('Inputs (2)'!$D$59:$AL$59,MATCH(Z$7&amp;"",'Inputs (2)'!$D$2:$AL$2,0)),"")</f>
        <v>88</v>
      </c>
      <c r="AA44" s="269">
        <f>IFERROR(INDEX('Inputs (2)'!$D$59:$AL$59,MATCH(AA$7&amp;"",'Inputs (2)'!$D$2:$AL$2,0)),"")</f>
        <v>90</v>
      </c>
      <c r="AB44" s="270">
        <f>IF(COUNT(AA44)=0,"",AA44)</f>
        <v>90</v>
      </c>
      <c r="AC44" s="269">
        <f>IFERROR(INDEX('Inputs (2)'!$D$59:$AL$59,MATCH(AC$7&amp;"",'Inputs (2)'!$D$2:$AL$2,0)),"")</f>
        <v>92</v>
      </c>
      <c r="AD44" s="269">
        <f>IFERROR(INDEX('Inputs (2)'!$D$59:$AL$59,MATCH(AD$7&amp;"",'Inputs (2)'!$D$2:$AL$2,0)),"")</f>
        <v>96</v>
      </c>
      <c r="AE44" s="269">
        <f>IFERROR(INDEX('Inputs (2)'!$D$59:$AL$59,MATCH(AE$7&amp;"",'Inputs (2)'!$D$2:$AL$2,0)),"")</f>
        <v>98</v>
      </c>
      <c r="AF44" s="269">
        <f>IFERROR(INDEX('Inputs (2)'!$D$59:$AL$59,MATCH(AF$7&amp;"",'Inputs (2)'!$D$2:$AL$2,0)),"")</f>
        <v>102</v>
      </c>
      <c r="AG44" s="270">
        <f>IF(COUNT(AF44)=0,"",AF44)</f>
        <v>102</v>
      </c>
      <c r="AH44" s="270">
        <f>IFERROR(INDEX('Inputs (2)'!$D$59:$AL$59,MATCH(AH$7&amp;"",'Inputs (2)'!$D$2:$AL$2,0)),"")</f>
        <v>105</v>
      </c>
      <c r="AI44" s="270">
        <f>IFERROR(INDEX('Inputs (2)'!$D$59:$AL$59,MATCH(AI$7&amp;"",'Inputs (2)'!$D$2:$AL$2,0)),"")</f>
        <v>77</v>
      </c>
    </row>
    <row r="45">
      <c r="C45" s="268" t="inlineStr">
        <is>
          <t>Lojas - Novo Atacarejo</t>
        </is>
      </c>
      <c r="D45" s="269" t="str">
        <f>IFERROR(INDEX('Inputs (2)'!$D$60:$AL$60,MATCH(D$7&amp;"",'Inputs (2)'!$D$2:$AL$2,0)),"")</f>
        <v/>
      </c>
      <c r="E45" s="269" t="str">
        <f>IFERROR(INDEX('Inputs (2)'!$D$60:$AL$60,MATCH(E$7&amp;"",'Inputs (2)'!$D$2:$AL$2,0)),"")</f>
        <v/>
      </c>
      <c r="F45" s="269" t="str">
        <f>IFERROR(INDEX('Inputs (2)'!$D$60:$AL$60,MATCH(F$7&amp;"",'Inputs (2)'!$D$2:$AL$2,0)),"")</f>
        <v/>
      </c>
      <c r="G45" s="269" t="str">
        <f>IFERROR(INDEX('Inputs (2)'!$D$60:$AL$60,MATCH(G$7&amp;"",'Inputs (2)'!$D$2:$AL$2,0)),"")</f>
        <v/>
      </c>
      <c r="H45" s="270" t="str">
        <f>IF(COUNT(G45)=0,"",G45)</f>
        <v/>
      </c>
      <c r="I45" s="269">
        <f>IFERROR(INDEX('Inputs (2)'!$D$60:$AL$60,MATCH(I$7&amp;"",'Inputs (2)'!$D$2:$AL$2,0)),"")</f>
        <v>0</v>
      </c>
      <c r="J45" s="269">
        <f>IFERROR(INDEX('Inputs (2)'!$D$60:$AL$60,MATCH(J$7&amp;"",'Inputs (2)'!$D$2:$AL$2,0)),"")</f>
        <v>0</v>
      </c>
      <c r="K45" s="269">
        <f>IFERROR(INDEX('Inputs (2)'!$D$60:$AL$60,MATCH(K$7&amp;"",'Inputs (2)'!$D$2:$AL$2,0)),"")</f>
        <v>0</v>
      </c>
      <c r="L45" s="269">
        <f>IFERROR(INDEX('Inputs (2)'!$D$60:$AL$60,MATCH(L$7&amp;"",'Inputs (2)'!$D$2:$AL$2,0)),"")</f>
        <v>0</v>
      </c>
      <c r="M45" s="270">
        <f>IF(COUNT(L45)=0,"",L45)</f>
        <v>0</v>
      </c>
      <c r="N45" s="269">
        <f>IFERROR(INDEX('Inputs (2)'!$D$60:$AL$60,MATCH(N$7&amp;"",'Inputs (2)'!$D$2:$AL$2,0)),"")</f>
        <v>0</v>
      </c>
      <c r="O45" s="269">
        <f>IFERROR(INDEX('Inputs (2)'!$D$60:$AL$60,MATCH(O$7&amp;"",'Inputs (2)'!$D$2:$AL$2,0)),"")</f>
        <v>0</v>
      </c>
      <c r="P45" s="269">
        <f>IFERROR(INDEX('Inputs (2)'!$D$60:$AL$60,MATCH(P$7&amp;"",'Inputs (2)'!$D$2:$AL$2,0)),"")</f>
        <v>0</v>
      </c>
      <c r="Q45" s="269">
        <f>IFERROR(INDEX('Inputs (2)'!$D$60:$AL$60,MATCH(Q$7&amp;"",'Inputs (2)'!$D$2:$AL$2,0)),"")</f>
        <v>0</v>
      </c>
      <c r="R45" s="270">
        <f>IF(COUNT(Q45)=0,"",Q45)</f>
        <v>0</v>
      </c>
      <c r="S45" s="269">
        <f>IFERROR(INDEX('Inputs (2)'!$D$60:$AL$60,MATCH(S$7&amp;"",'Inputs (2)'!$D$2:$AL$2,0)),"")</f>
        <v>0</v>
      </c>
      <c r="T45" s="269">
        <f>IFERROR(INDEX('Inputs (2)'!$D$60:$AL$60,MATCH(T$7&amp;"",'Inputs (2)'!$D$2:$AL$2,0)),"")</f>
        <v>0</v>
      </c>
      <c r="U45" s="269">
        <f>IFERROR(INDEX('Inputs (2)'!$D$60:$AL$60,MATCH(U$7&amp;"",'Inputs (2)'!$D$2:$AL$2,0)),"")</f>
        <v>0</v>
      </c>
      <c r="V45" s="269">
        <f>IFERROR(INDEX('Inputs (2)'!$D$60:$AL$60,MATCH(V$7&amp;"",'Inputs (2)'!$D$2:$AL$2,0)),"")</f>
        <v>0</v>
      </c>
      <c r="W45" s="270">
        <f>IF(COUNT(V45)=0,"",V45)</f>
        <v>0</v>
      </c>
      <c r="X45" s="269">
        <f>IFERROR(INDEX('Inputs (2)'!$D$60:$AL$60,MATCH(X$7&amp;"",'Inputs (2)'!$D$2:$AL$2,0)),"")</f>
        <v>0</v>
      </c>
      <c r="Y45" s="269">
        <f>IFERROR(INDEX('Inputs (2)'!$D$60:$AL$60,MATCH(Y$7&amp;"",'Inputs (2)'!$D$2:$AL$2,0)),"")</f>
        <v>0</v>
      </c>
      <c r="Z45" s="269">
        <f>IFERROR(INDEX('Inputs (2)'!$D$60:$AL$60,MATCH(Z$7&amp;"",'Inputs (2)'!$D$2:$AL$2,0)),"")</f>
        <v>0</v>
      </c>
      <c r="AA45" s="269">
        <f>IFERROR(INDEX('Inputs (2)'!$D$60:$AL$60,MATCH(AA$7&amp;"",'Inputs (2)'!$D$2:$AL$2,0)),"")</f>
        <v>0</v>
      </c>
      <c r="AB45" s="270">
        <f>IF(COUNT(AA45)=0,"",AA45)</f>
        <v>0</v>
      </c>
      <c r="AC45" s="269">
        <f>IFERROR(INDEX('Inputs (2)'!$D$60:$AL$60,MATCH(AC$7&amp;"",'Inputs (2)'!$D$2:$AL$2,0)),"")</f>
        <v>0</v>
      </c>
      <c r="AD45" s="269">
        <f>IFERROR(INDEX('Inputs (2)'!$D$60:$AL$60,MATCH(AD$7&amp;"",'Inputs (2)'!$D$2:$AL$2,0)),"")</f>
        <v>0</v>
      </c>
      <c r="AE45" s="269">
        <f>IFERROR(INDEX('Inputs (2)'!$D$60:$AL$60,MATCH(AE$7&amp;"",'Inputs (2)'!$D$2:$AL$2,0)),"")</f>
        <v>36</v>
      </c>
      <c r="AF45" s="269">
        <f>IFERROR(INDEX('Inputs (2)'!$D$60:$AL$60,MATCH(AF$7&amp;"",'Inputs (2)'!$D$2:$AL$2,0)),"")</f>
        <v>37</v>
      </c>
      <c r="AG45" s="270">
        <f>IF(COUNT(AF45)=0,"",AF45)</f>
        <v>37</v>
      </c>
      <c r="AH45" s="270">
        <f>IFERROR(INDEX('Inputs (2)'!$D$60:$AL$60,MATCH(AH$7&amp;"",'Inputs (2)'!$D$2:$AL$2,0)),"")</f>
        <v>37</v>
      </c>
      <c r="AI45" s="270">
        <f>IFERROR(INDEX('Inputs (2)'!$D$60:$AL$60,MATCH(AI$7&amp;"",'Inputs (2)'!$D$2:$AL$2,0)),"")</f>
        <v>67</v>
      </c>
    </row>
    <row r="46">
      <c r="C46" s="268" t="inlineStr">
        <is>
          <t>Lojas - Varejo (Super/Hiper + Camino)</t>
        </is>
      </c>
      <c r="D46" s="269" t="str">
        <f>IFERROR(INDEX('Inputs (2)'!$D$61:$AL$61,MATCH(D$7&amp;"",'Inputs (2)'!$D$2:$AL$2,0)),"")</f>
        <v/>
      </c>
      <c r="E46" s="269" t="str">
        <f>IFERROR(INDEX('Inputs (2)'!$D$61:$AL$61,MATCH(E$7&amp;"",'Inputs (2)'!$D$2:$AL$2,0)),"")</f>
        <v/>
      </c>
      <c r="F46" s="269" t="str">
        <f>IFERROR(INDEX('Inputs (2)'!$D$61:$AL$61,MATCH(F$7&amp;"",'Inputs (2)'!$D$2:$AL$2,0)),"")</f>
        <v/>
      </c>
      <c r="G46" s="269" t="str">
        <f>IFERROR(INDEX('Inputs (2)'!$D$61:$AL$61,MATCH(G$7&amp;"",'Inputs (2)'!$D$2:$AL$2,0)),"")</f>
        <v/>
      </c>
      <c r="H46" s="270" t="str">
        <f>IF(COUNT(G46)=0,"",G46)</f>
        <v/>
      </c>
      <c r="I46" s="269">
        <f>IFERROR(INDEX('Inputs (2)'!$D$61:$AL$61,MATCH(I$7&amp;"",'Inputs (2)'!$D$2:$AL$2,0)),"")</f>
        <v>55</v>
      </c>
      <c r="J46" s="269">
        <f>IFERROR(INDEX('Inputs (2)'!$D$61:$AL$61,MATCH(J$7&amp;"",'Inputs (2)'!$D$2:$AL$2,0)),"")</f>
        <v>56</v>
      </c>
      <c r="K46" s="269">
        <f>IFERROR(INDEX('Inputs (2)'!$D$61:$AL$61,MATCH(K$7&amp;"",'Inputs (2)'!$D$2:$AL$2,0)),"")</f>
        <v>57</v>
      </c>
      <c r="L46" s="269">
        <f>IFERROR(INDEX('Inputs (2)'!$D$61:$AL$61,MATCH(L$7&amp;"",'Inputs (2)'!$D$2:$AL$2,0)),"")</f>
        <v>61</v>
      </c>
      <c r="M46" s="270">
        <f>IF(COUNT(L46)=0,"",L46)</f>
        <v>61</v>
      </c>
      <c r="N46" s="269">
        <f>IFERROR(INDEX('Inputs (2)'!$D$61:$AL$61,MATCH(N$7&amp;"",'Inputs (2)'!$D$2:$AL$2,0)),"")</f>
        <v>68</v>
      </c>
      <c r="O46" s="269">
        <f>IFERROR(INDEX('Inputs (2)'!$D$61:$AL$61,MATCH(O$7&amp;"",'Inputs (2)'!$D$2:$AL$2,0)),"")</f>
        <v>69</v>
      </c>
      <c r="P46" s="269">
        <f>IFERROR(INDEX('Inputs (2)'!$D$61:$AL$61,MATCH(P$7&amp;"",'Inputs (2)'!$D$2:$AL$2,0)),"")</f>
        <v>70</v>
      </c>
      <c r="Q46" s="269">
        <f>IFERROR(INDEX('Inputs (2)'!$D$61:$AL$61,MATCH(Q$7&amp;"",'Inputs (2)'!$D$2:$AL$2,0)),"")</f>
        <v>70</v>
      </c>
      <c r="R46" s="270">
        <f>IF(COUNT(Q46)=0,"",Q46)</f>
        <v>70</v>
      </c>
      <c r="S46" s="269">
        <f>IFERROR(INDEX('Inputs (2)'!$D$61:$AL$61,MATCH(S$7&amp;"",'Inputs (2)'!$D$2:$AL$2,0)),"")</f>
        <v>70</v>
      </c>
      <c r="T46" s="269">
        <f>IFERROR(INDEX('Inputs (2)'!$D$61:$AL$61,MATCH(T$7&amp;"",'Inputs (2)'!$D$2:$AL$2,0)),"")</f>
        <v>71</v>
      </c>
      <c r="U46" s="269">
        <f>IFERROR(INDEX('Inputs (2)'!$D$61:$AL$61,MATCH(U$7&amp;"",'Inputs (2)'!$D$2:$AL$2,0)),"")</f>
        <v>72</v>
      </c>
      <c r="V46" s="269">
        <f>IFERROR(INDEX('Inputs (2)'!$D$61:$AL$61,MATCH(V$7&amp;"",'Inputs (2)'!$D$2:$AL$2,0)),"")</f>
        <v>73</v>
      </c>
      <c r="W46" s="270">
        <f>IF(COUNT(V46)=0,"",V46)</f>
        <v>73</v>
      </c>
      <c r="X46" s="269">
        <f>IFERROR(INDEX('Inputs (2)'!$D$61:$AL$61,MATCH(X$7&amp;"",'Inputs (2)'!$D$2:$AL$2,0)),"")</f>
        <v>73</v>
      </c>
      <c r="Y46" s="269">
        <f>IFERROR(INDEX('Inputs (2)'!$D$61:$AL$61,MATCH(Y$7&amp;"",'Inputs (2)'!$D$2:$AL$2,0)),"")</f>
        <v>76</v>
      </c>
      <c r="Z46" s="269">
        <f>IFERROR(INDEX('Inputs (2)'!$D$61:$AL$61,MATCH(Z$7&amp;"",'Inputs (2)'!$D$2:$AL$2,0)),"")</f>
        <v>76</v>
      </c>
      <c r="AA46" s="269">
        <f>IFERROR(INDEX('Inputs (2)'!$D$61:$AL$61,MATCH(AA$7&amp;"",'Inputs (2)'!$D$2:$AL$2,0)),"")</f>
        <v>78</v>
      </c>
      <c r="AB46" s="270">
        <f>IF(COUNT(AA46)=0,"",AA46)</f>
        <v>78</v>
      </c>
      <c r="AC46" s="269">
        <f>IFERROR(INDEX('Inputs (2)'!$D$61:$AL$61,MATCH(AC$7&amp;"",'Inputs (2)'!$D$2:$AL$2,0)),"")</f>
        <v>80</v>
      </c>
      <c r="AD46" s="269">
        <f>IFERROR(INDEX('Inputs (2)'!$D$61:$AL$61,MATCH(AD$7&amp;"",'Inputs (2)'!$D$2:$AL$2,0)),"")</f>
        <v>80</v>
      </c>
      <c r="AE46" s="269">
        <f>IFERROR(INDEX('Inputs (2)'!$D$61:$AL$61,MATCH(AE$7&amp;"",'Inputs (2)'!$D$2:$AL$2,0)),"")</f>
        <v>81</v>
      </c>
      <c r="AF46" s="269">
        <f>IFERROR(INDEX('Inputs (2)'!$D$61:$AL$61,MATCH(AF$7&amp;"",'Inputs (2)'!$D$2:$AL$2,0)),"")</f>
        <v>85</v>
      </c>
      <c r="AG46" s="270">
        <f>IF(COUNT(AF46)=0,"",AF46)</f>
        <v>85</v>
      </c>
      <c r="AH46" s="270">
        <f>IFERROR(INDEX('Inputs (2)'!$D$61:$AL$61,MATCH(AH$7&amp;"",'Inputs (2)'!$D$2:$AL$2,0)),"")</f>
        <v>86</v>
      </c>
      <c r="AI46" s="270">
        <f>IFERROR(INDEX('Inputs (2)'!$D$61:$AL$61,MATCH(AI$7&amp;"",'Inputs (2)'!$D$2:$AL$2,0)),"")</f>
        <v>90</v>
      </c>
    </row>
    <row r="47">
      <c r="C47" s="268" t="inlineStr">
        <is>
          <t>Lojas - Eletro</t>
        </is>
      </c>
      <c r="D47" s="269" t="str">
        <f>IFERROR(INDEX('Inputs (2)'!$D$62:$AL$62,MATCH(D$7&amp;"",'Inputs (2)'!$D$2:$AL$2,0)),"")</f>
        <v/>
      </c>
      <c r="E47" s="269" t="str">
        <f>IFERROR(INDEX('Inputs (2)'!$D$62:$AL$62,MATCH(E$7&amp;"",'Inputs (2)'!$D$2:$AL$2,0)),"")</f>
        <v/>
      </c>
      <c r="F47" s="269" t="str">
        <f>IFERROR(INDEX('Inputs (2)'!$D$62:$AL$62,MATCH(F$7&amp;"",'Inputs (2)'!$D$2:$AL$2,0)),"")</f>
        <v/>
      </c>
      <c r="G47" s="269" t="str">
        <f>IFERROR(INDEX('Inputs (2)'!$D$62:$AL$62,MATCH(G$7&amp;"",'Inputs (2)'!$D$2:$AL$2,0)),"")</f>
        <v/>
      </c>
      <c r="H47" s="270" t="str">
        <f>IF(COUNT(G47)=0,"",G47)</f>
        <v/>
      </c>
      <c r="I47" s="269">
        <f>IFERROR(INDEX('Inputs (2)'!$D$62:$AL$62,MATCH(I$7&amp;"",'Inputs (2)'!$D$2:$AL$2,0)),"")</f>
        <v>80</v>
      </c>
      <c r="J47" s="269">
        <f>IFERROR(INDEX('Inputs (2)'!$D$62:$AL$62,MATCH(J$7&amp;"",'Inputs (2)'!$D$2:$AL$2,0)),"")</f>
        <v>88</v>
      </c>
      <c r="K47" s="269">
        <f>IFERROR(INDEX('Inputs (2)'!$D$62:$AL$62,MATCH(K$7&amp;"",'Inputs (2)'!$D$2:$AL$2,0)),"")</f>
        <v>92</v>
      </c>
      <c r="L47" s="269">
        <f>IFERROR(INDEX('Inputs (2)'!$D$62:$AL$62,MATCH(L$7&amp;"",'Inputs (2)'!$D$2:$AL$2,0)),"")</f>
        <v>99</v>
      </c>
      <c r="M47" s="270">
        <f>IF(COUNT(L47)=0,"",L47)</f>
        <v>99</v>
      </c>
      <c r="N47" s="269">
        <f>IFERROR(INDEX('Inputs (2)'!$D$62:$AL$62,MATCH(N$7&amp;"",'Inputs (2)'!$D$2:$AL$2,0)),"")</f>
        <v>102</v>
      </c>
      <c r="O47" s="269">
        <f>IFERROR(INDEX('Inputs (2)'!$D$62:$AL$62,MATCH(O$7&amp;"",'Inputs (2)'!$D$2:$AL$2,0)),"")</f>
        <v>103</v>
      </c>
      <c r="P47" s="269">
        <f>IFERROR(INDEX('Inputs (2)'!$D$62:$AL$62,MATCH(P$7&amp;"",'Inputs (2)'!$D$2:$AL$2,0)),"")</f>
        <v>103</v>
      </c>
      <c r="Q47" s="269">
        <f>IFERROR(INDEX('Inputs (2)'!$D$62:$AL$62,MATCH(Q$7&amp;"",'Inputs (2)'!$D$2:$AL$2,0)),"")</f>
        <v>104</v>
      </c>
      <c r="R47" s="270">
        <f>IF(COUNT(Q47)=0,"",Q47)</f>
        <v>104</v>
      </c>
      <c r="S47" s="269">
        <f>IFERROR(INDEX('Inputs (2)'!$D$62:$AL$62,MATCH(S$7&amp;"",'Inputs (2)'!$D$2:$AL$2,0)),"")</f>
        <v>106</v>
      </c>
      <c r="T47" s="269">
        <f>IFERROR(INDEX('Inputs (2)'!$D$62:$AL$62,MATCH(T$7&amp;"",'Inputs (2)'!$D$2:$AL$2,0)),"")</f>
        <v>104</v>
      </c>
      <c r="U47" s="269">
        <f>IFERROR(INDEX('Inputs (2)'!$D$62:$AL$62,MATCH(U$7&amp;"",'Inputs (2)'!$D$2:$AL$2,0)),"")</f>
        <v>105</v>
      </c>
      <c r="V47" s="269">
        <f>IFERROR(INDEX('Inputs (2)'!$D$62:$AL$62,MATCH(V$7&amp;"",'Inputs (2)'!$D$2:$AL$2,0)),"")</f>
        <v>105</v>
      </c>
      <c r="W47" s="270">
        <f>IF(COUNT(V47)=0,"",V47)</f>
        <v>105</v>
      </c>
      <c r="X47" s="269">
        <f>IFERROR(INDEX('Inputs (2)'!$D$62:$AL$62,MATCH(X$7&amp;"",'Inputs (2)'!$D$2:$AL$2,0)),"")</f>
        <v>104</v>
      </c>
      <c r="Y47" s="269">
        <f>IFERROR(INDEX('Inputs (2)'!$D$62:$AL$62,MATCH(Y$7&amp;"",'Inputs (2)'!$D$2:$AL$2,0)),"")</f>
        <v>104</v>
      </c>
      <c r="Z47" s="269">
        <f>IFERROR(INDEX('Inputs (2)'!$D$62:$AL$62,MATCH(Z$7&amp;"",'Inputs (2)'!$D$2:$AL$2,0)),"")</f>
        <v>104</v>
      </c>
      <c r="AA47" s="269">
        <f>IFERROR(INDEX('Inputs (2)'!$D$62:$AL$62,MATCH(AA$7&amp;"",'Inputs (2)'!$D$2:$AL$2,0)),"")</f>
        <v>104</v>
      </c>
      <c r="AB47" s="270">
        <f>IF(COUNT(AA47)=0,"",AA47)</f>
        <v>104</v>
      </c>
      <c r="AC47" s="269">
        <f>IFERROR(INDEX('Inputs (2)'!$D$62:$AL$62,MATCH(AC$7&amp;"",'Inputs (2)'!$D$2:$AL$2,0)),"")</f>
        <v>104</v>
      </c>
      <c r="AD47" s="269">
        <f>IFERROR(INDEX('Inputs (2)'!$D$62:$AL$62,MATCH(AD$7&amp;"",'Inputs (2)'!$D$2:$AL$2,0)),"")</f>
        <v>95</v>
      </c>
      <c r="AE47" s="269">
        <f>IFERROR(INDEX('Inputs (2)'!$D$62:$AL$62,MATCH(AE$7&amp;"",'Inputs (2)'!$D$2:$AL$2,0)),"")</f>
        <v>91</v>
      </c>
      <c r="AF47" s="269">
        <f>IFERROR(INDEX('Inputs (2)'!$D$62:$AL$62,MATCH(AF$7&amp;"",'Inputs (2)'!$D$2:$AL$2,0)),"")</f>
        <v>78</v>
      </c>
      <c r="AG47" s="270">
        <f>IF(COUNT(AF47)=0,"",AF47)</f>
        <v>78</v>
      </c>
      <c r="AH47" s="270">
        <f>IFERROR(INDEX('Inputs (2)'!$D$62:$AL$62,MATCH(AH$7&amp;"",'Inputs (2)'!$D$2:$AL$2,0)),"")</f>
        <v>78</v>
      </c>
      <c r="AI47" s="270">
        <f>IFERROR(INDEX('Inputs (2)'!$D$62:$AL$62,MATCH(AI$7&amp;"",'Inputs (2)'!$D$2:$AL$2,0)),"")</f>
        <v>78</v>
      </c>
    </row>
    <row r="48">
      <c r="C48" s="268" t="inlineStr">
        <is>
          <t>Lojas - Farmacia</t>
        </is>
      </c>
      <c r="D48" s="269" t="str">
        <f>IFERROR(INDEX('Inputs (2)'!$D$63:$AL$63,MATCH(D$7&amp;"",'Inputs (2)'!$D$2:$AL$2,0)),"")</f>
        <v/>
      </c>
      <c r="E48" s="269" t="str">
        <f>IFERROR(INDEX('Inputs (2)'!$D$63:$AL$63,MATCH(E$7&amp;"",'Inputs (2)'!$D$2:$AL$2,0)),"")</f>
        <v/>
      </c>
      <c r="F48" s="269" t="str">
        <f>IFERROR(INDEX('Inputs (2)'!$D$63:$AL$63,MATCH(F$7&amp;"",'Inputs (2)'!$D$2:$AL$2,0)),"")</f>
        <v/>
      </c>
      <c r="G48" s="269" t="str">
        <f>IFERROR(INDEX('Inputs (2)'!$D$63:$AL$63,MATCH(G$7&amp;"",'Inputs (2)'!$D$2:$AL$2,0)),"")</f>
        <v/>
      </c>
      <c r="H48" s="270" t="str">
        <f>IF(COUNT(G48)=0,"",G48)</f>
        <v/>
      </c>
      <c r="I48" s="269">
        <f>IFERROR(INDEX('Inputs (2)'!$D$63:$AL$63,MATCH(I$7&amp;"",'Inputs (2)'!$D$2:$AL$2,0)),"")</f>
        <v>0</v>
      </c>
      <c r="J48" s="269">
        <f>IFERROR(INDEX('Inputs (2)'!$D$63:$AL$63,MATCH(J$7&amp;"",'Inputs (2)'!$D$2:$AL$2,0)),"")</f>
        <v>0</v>
      </c>
      <c r="K48" s="269">
        <f>IFERROR(INDEX('Inputs (2)'!$D$63:$AL$63,MATCH(K$7&amp;"",'Inputs (2)'!$D$2:$AL$2,0)),"")</f>
        <v>0</v>
      </c>
      <c r="L48" s="269">
        <f>IFERROR(INDEX('Inputs (2)'!$D$63:$AL$63,MATCH(L$7&amp;"",'Inputs (2)'!$D$2:$AL$2,0)),"")</f>
        <v>0</v>
      </c>
      <c r="M48" s="270">
        <f>IF(COUNT(L48)=0,"",L48)</f>
        <v>0</v>
      </c>
      <c r="N48" s="269">
        <f>IFERROR(INDEX('Inputs (2)'!$D$63:$AL$63,MATCH(N$7&amp;"",'Inputs (2)'!$D$2:$AL$2,0)),"")</f>
        <v>0</v>
      </c>
      <c r="O48" s="269">
        <f>IFERROR(INDEX('Inputs (2)'!$D$63:$AL$63,MATCH(O$7&amp;"",'Inputs (2)'!$D$2:$AL$2,0)),"")</f>
        <v>0</v>
      </c>
      <c r="P48" s="269">
        <f>IFERROR(INDEX('Inputs (2)'!$D$63:$AL$63,MATCH(P$7&amp;"",'Inputs (2)'!$D$2:$AL$2,0)),"")</f>
        <v>0</v>
      </c>
      <c r="Q48" s="269">
        <f>IFERROR(INDEX('Inputs (2)'!$D$63:$AL$63,MATCH(Q$7&amp;"",'Inputs (2)'!$D$2:$AL$2,0)),"")</f>
        <v>0</v>
      </c>
      <c r="R48" s="270">
        <f>IF(COUNT(Q48)=0,"",Q48)</f>
        <v>0</v>
      </c>
      <c r="S48" s="269">
        <f>IFERROR(INDEX('Inputs (2)'!$D$63:$AL$63,MATCH(S$7&amp;"",'Inputs (2)'!$D$2:$AL$2,0)),"")</f>
        <v>0</v>
      </c>
      <c r="T48" s="269">
        <f>IFERROR(INDEX('Inputs (2)'!$D$63:$AL$63,MATCH(T$7&amp;"",'Inputs (2)'!$D$2:$AL$2,0)),"")</f>
        <v>0</v>
      </c>
      <c r="U48" s="269">
        <f>IFERROR(INDEX('Inputs (2)'!$D$63:$AL$63,MATCH(U$7&amp;"",'Inputs (2)'!$D$2:$AL$2,0)),"")</f>
        <v>0</v>
      </c>
      <c r="V48" s="269">
        <f>IFERROR(INDEX('Inputs (2)'!$D$63:$AL$63,MATCH(V$7&amp;"",'Inputs (2)'!$D$2:$AL$2,0)),"")</f>
        <v>0</v>
      </c>
      <c r="W48" s="270">
        <f>IF(COUNT(V48)=0,"",V48)</f>
        <v>0</v>
      </c>
      <c r="X48" s="269">
        <f>IFERROR(INDEX('Inputs (2)'!$D$63:$AL$63,MATCH(X$7&amp;"",'Inputs (2)'!$D$2:$AL$2,0)),"")</f>
        <v>0</v>
      </c>
      <c r="Y48" s="269">
        <f>IFERROR(INDEX('Inputs (2)'!$D$63:$AL$63,MATCH(Y$7&amp;"",'Inputs (2)'!$D$2:$AL$2,0)),"")</f>
        <v>0</v>
      </c>
      <c r="Z48" s="269">
        <f>IFERROR(INDEX('Inputs (2)'!$D$63:$AL$63,MATCH(Z$7&amp;"",'Inputs (2)'!$D$2:$AL$2,0)),"")</f>
        <v>0</v>
      </c>
      <c r="AA48" s="269">
        <f>IFERROR(INDEX('Inputs (2)'!$D$63:$AL$63,MATCH(AA$7&amp;"",'Inputs (2)'!$D$2:$AL$2,0)),"")</f>
        <v>0</v>
      </c>
      <c r="AB48" s="270">
        <f>IF(COUNT(AA48)=0,"",AA48)</f>
        <v>0</v>
      </c>
      <c r="AC48" s="269">
        <f>IFERROR(INDEX('Inputs (2)'!$D$63:$AL$63,MATCH(AC$7&amp;"",'Inputs (2)'!$D$2:$AL$2,0)),"")</f>
        <v>0</v>
      </c>
      <c r="AD48" s="269">
        <f>IFERROR(INDEX('Inputs (2)'!$D$63:$AL$63,MATCH(AD$7&amp;"",'Inputs (2)'!$D$2:$AL$2,0)),"")</f>
        <v>0</v>
      </c>
      <c r="AE48" s="269">
        <f>IFERROR(INDEX('Inputs (2)'!$D$63:$AL$63,MATCH(AE$7&amp;"",'Inputs (2)'!$D$2:$AL$2,0)),"")</f>
        <v>0</v>
      </c>
      <c r="AF48" s="269">
        <f>IFERROR(INDEX('Inputs (2)'!$D$63:$AL$63,MATCH(AF$7&amp;"",'Inputs (2)'!$D$2:$AL$2,0)),"")</f>
        <v>0</v>
      </c>
      <c r="AG48" s="270">
        <f>IF(COUNT(AF48)=0,"",AF48)</f>
        <v>0</v>
      </c>
      <c r="AH48" s="270">
        <f>IFERROR(INDEX('Inputs (2)'!$D$63:$AL$63,MATCH(AH$7&amp;"",'Inputs (2)'!$D$2:$AL$2,0)),"")</f>
        <v>0</v>
      </c>
      <c r="AI48" s="270">
        <f>IFERROR(INDEX('Inputs (2)'!$D$63:$AL$63,MATCH(AI$7&amp;"",'Inputs (2)'!$D$2:$AL$2,0)),"")</f>
        <v>1</v>
      </c>
    </row>
    <row r="49">
      <c r="C49" s="271" t="inlineStr">
        <is>
          <t>Lojas - total</t>
        </is>
      </c>
      <c r="D49" s="269" t="str">
        <f>IF(COUNT(D44,D45,D46,D47,D48)&lt;1,"",SUM(D44,D45,D46,D47,D48))</f>
        <v/>
      </c>
      <c r="E49" s="269" t="str">
        <f>IF(COUNT(E44,E45,E46,E47,E48)&lt;1,"",SUM(E44,E45,E46,E47,E48))</f>
        <v/>
      </c>
      <c r="F49" s="269" t="str">
        <f>IF(COUNT(F44,F45,F46,F47,F48)&lt;1,"",SUM(F44,F45,F46,F47,F48))</f>
        <v/>
      </c>
      <c r="G49" s="269" t="str">
        <f>IF(COUNT(G44,G45,G46,G47,G48)&lt;1,"",SUM(G44,G45,G46,G47,G48))</f>
        <v/>
      </c>
      <c r="H49" s="270" t="str">
        <f>IF(COUNT(H44,H45,H46,H47,H48)&lt;1,"",SUM(H44,H45,H46,H47,H48))</f>
        <v/>
      </c>
      <c r="I49" s="269">
        <f>IF(COUNT(I44,I45,I46,I47,I48)&lt;1,"",SUM(I44,I45,I46,I47,I48))</f>
        <v>170</v>
      </c>
      <c r="J49" s="269">
        <f>IF(COUNT(J44,J45,J46,J47,J48)&lt;1,"",SUM(J44,J45,J46,J47,J48))</f>
        <v>182</v>
      </c>
      <c r="K49" s="269">
        <f>IF(COUNT(K44,K45,K46,K47,K48)&lt;1,"",SUM(K44,K45,K46,K47,K48))</f>
        <v>189</v>
      </c>
      <c r="L49" s="269">
        <f>IF(COUNT(L44,L45,L46,L47,L48)&lt;1,"",SUM(L44,L45,L46,L47,L48))</f>
        <v>202</v>
      </c>
      <c r="M49" s="270">
        <f>IF(COUNT(M44,M45,M46,M47,M48)&lt;1,"",SUM(M44,M45,M46,M47,M48))</f>
        <v>202</v>
      </c>
      <c r="N49" s="269">
        <f>IF(COUNT(N44,N45,N46,N47,N48)&lt;1,"",SUM(N44,N45,N46,N47,N48))</f>
        <v>218</v>
      </c>
      <c r="O49" s="269">
        <f>IF(COUNT(O44,O45,O46,O47,O48)&lt;1,"",SUM(O44,O45,O46,O47,O48))</f>
        <v>222</v>
      </c>
      <c r="P49" s="269">
        <f>IF(COUNT(P44,P45,P46,P47,P48)&lt;1,"",SUM(P44,P45,P46,P47,P48))</f>
        <v>226</v>
      </c>
      <c r="Q49" s="269">
        <f>IF(COUNT(Q44,Q45,Q46,Q47,Q48)&lt;1,"",SUM(Q44,Q45,Q46,Q47,Q48))</f>
        <v>232</v>
      </c>
      <c r="R49" s="270">
        <f>IF(COUNT(R44,R45,R46,R47,R48)&lt;1,"",SUM(R44,R45,R46,R47,R48))</f>
        <v>232</v>
      </c>
      <c r="S49" s="269">
        <f>IF(COUNT(S44,S45,S46,S47,S48)&lt;1,"",SUM(S44,S45,S46,S47,S48))</f>
        <v>238</v>
      </c>
      <c r="T49" s="269">
        <f>IF(COUNT(T44,T45,T46,T47,T48)&lt;1,"",SUM(T44,T45,T46,T47,T48))</f>
        <v>239</v>
      </c>
      <c r="U49" s="269">
        <f>IF(COUNT(U44,U45,U46,U47,U48)&lt;1,"",SUM(U44,U45,U46,U47,U48))</f>
        <v>246</v>
      </c>
      <c r="V49" s="269">
        <f>IF(COUNT(V44,V45,V46,V47,V48)&lt;1,"",SUM(V44,V45,V46,V47,V48))</f>
        <v>258</v>
      </c>
      <c r="W49" s="270">
        <f>IF(COUNT(W44,W45,W46,W47,W48)&lt;1,"",SUM(W44,W45,W46,W47,W48))</f>
        <v>258</v>
      </c>
      <c r="X49" s="269">
        <f>IF(COUNT(X44,X45,X46,X47,X48)&lt;1,"",SUM(X44,X45,X46,X47,X48))</f>
        <v>259</v>
      </c>
      <c r="Y49" s="269">
        <f>IF(COUNT(Y44,Y45,Y46,Y47,Y48)&lt;1,"",SUM(Y44,Y45,Y46,Y47,Y48))</f>
        <v>264</v>
      </c>
      <c r="Z49" s="269">
        <f>IF(COUNT(Z44,Z45,Z46,Z47,Z48)&lt;1,"",SUM(Z44,Z45,Z46,Z47,Z48))</f>
        <v>268</v>
      </c>
      <c r="AA49" s="269">
        <f>IF(COUNT(AA44,AA45,AA46,AA47,AA48)&lt;1,"",SUM(AA44,AA45,AA46,AA47,AA48))</f>
        <v>272</v>
      </c>
      <c r="AB49" s="270">
        <f>IF(COUNT(AB44,AB45,AB46,AB47,AB48)&lt;1,"",SUM(AB44,AB45,AB46,AB47,AB48))</f>
        <v>272</v>
      </c>
      <c r="AC49" s="269">
        <f>IF(COUNT(AC44,AC45,AC46,AC47,AC48)&lt;1,"",SUM(AC44,AC45,AC46,AC47,AC48))</f>
        <v>276</v>
      </c>
      <c r="AD49" s="269">
        <f>IF(COUNT(AD44,AD45,AD46,AD47,AD48)&lt;1,"",SUM(AD44,AD45,AD46,AD47,AD48))</f>
        <v>271</v>
      </c>
      <c r="AE49" s="269">
        <f>IF(COUNT(AE44,AE45,AE46,AE47,AE48)&lt;1,"",SUM(AE44,AE45,AE46,AE47,AE48))</f>
        <v>306</v>
      </c>
      <c r="AF49" s="269">
        <f>IF(COUNT(AF44,AF45,AF46,AF47,AF48)&lt;1,"",SUM(AF44,AF45,AF46,AF47,AF48))</f>
        <v>302</v>
      </c>
      <c r="AG49" s="270">
        <f>IF(COUNT(AG44,AG45,AG46,AG47,AG48)&lt;1,"",SUM(AG44,AG45,AG46,AG47,AG48))</f>
        <v>302</v>
      </c>
      <c r="AH49" s="270">
        <f>IF(COUNT(AH44,AH45,AH46,AH47,AH48)&lt;1,"",SUM(AH44,AH45,AH46,AH47,AH48))</f>
        <v>306</v>
      </c>
      <c r="AI49" s="270">
        <f>IF(COUNT(AI44,AI45,AI46,AI47,AI48)&lt;1,"",SUM(AI44,AI45,AI46,AI47,AI48))</f>
        <v>313</v>
      </c>
    </row>
    <row r="50">
      <c r="C50" s="268" t="inlineStr">
        <is>
          <t xml:space="preserve">   Aberturas liquidas no periodo (inclui fechamentos do Eletro)</t>
        </is>
      </c>
      <c r="D50" s="269" t="str">
        <f>IF(COUNT(D49,A149)&lt;2,"",D49-A149)</f>
        <v/>
      </c>
      <c r="E50" s="269" t="str">
        <f>IF(COUNT(E49,D49)&lt;2,"",E49-D49)</f>
        <v/>
      </c>
      <c r="F50" s="269" t="str">
        <f>IF(COUNT(F49,E49)&lt;2,"",F49-E49)</f>
        <v/>
      </c>
      <c r="G50" s="269" t="str">
        <f>IF(COUNT(G49,F49)&lt;2,"",G49-F49)</f>
        <v/>
      </c>
      <c r="H50" s="270" t="str">
        <f>IF(COUNT(D50:G50)=4,SUM(D50:G50),"")</f>
        <v/>
      </c>
      <c r="I50" s="269" t="str">
        <f>IF(COUNT(I49,G49)&lt;2,"",I49-G49)</f>
        <v/>
      </c>
      <c r="J50" s="269">
        <f>IF(COUNT(J49,I49)&lt;2,"",J49-I49)</f>
        <v>12</v>
      </c>
      <c r="K50" s="269">
        <f>IF(COUNT(K49,J49)&lt;2,"",K49-J49)</f>
        <v>7</v>
      </c>
      <c r="L50" s="269">
        <f>IF(COUNT(L49,K49)&lt;2,"",L49-K49)</f>
        <v>13</v>
      </c>
      <c r="M50" s="270" t="str">
        <f>IFERROR(M49-H49,"")</f>
        <v/>
      </c>
      <c r="N50" s="269">
        <f>IF(COUNT(N49,L49)&lt;2,"",N49-L49)</f>
        <v>16</v>
      </c>
      <c r="O50" s="269">
        <f>IF(COUNT(O49,N49)&lt;2,"",O49-N49)</f>
        <v>4</v>
      </c>
      <c r="P50" s="269">
        <f>IF(COUNT(P49,O49)&lt;2,"",P49-O49)</f>
        <v>4</v>
      </c>
      <c r="Q50" s="269">
        <f>IF(COUNT(Q49,P49)&lt;2,"",Q49-P49)</f>
        <v>6</v>
      </c>
      <c r="R50" s="270">
        <f>IFERROR(R49-M49,"")</f>
        <v>30</v>
      </c>
      <c r="S50" s="269">
        <f>IF(COUNT(S49,Q49)&lt;2,"",S49-Q49)</f>
        <v>6</v>
      </c>
      <c r="T50" s="269">
        <f>IF(COUNT(T49,S49)&lt;2,"",T49-S49)</f>
        <v>1</v>
      </c>
      <c r="U50" s="269">
        <f>IF(COUNT(U49,T49)&lt;2,"",U49-T49)</f>
        <v>7</v>
      </c>
      <c r="V50" s="269">
        <f>IF(COUNT(V49,U49)&lt;2,"",V49-U49)</f>
        <v>12</v>
      </c>
      <c r="W50" s="270">
        <f>IFERROR(W49-R49,"")</f>
        <v>26</v>
      </c>
      <c r="X50" s="269">
        <f>IF(COUNT(X49,V49)&lt;2,"",X49-V49)</f>
        <v>1</v>
      </c>
      <c r="Y50" s="269">
        <f>IF(COUNT(Y49,X49)&lt;2,"",Y49-X49)</f>
        <v>5</v>
      </c>
      <c r="Z50" s="269">
        <f>IF(COUNT(Z49,Y49)&lt;2,"",Z49-Y49)</f>
        <v>4</v>
      </c>
      <c r="AA50" s="269">
        <f>IF(COUNT(AA49,Z49)&lt;2,"",AA49-Z49)</f>
        <v>4</v>
      </c>
      <c r="AB50" s="270">
        <f>IFERROR(AB49-W49,"")</f>
        <v>14</v>
      </c>
      <c r="AC50" s="269">
        <f>IF(COUNT(AC49,AA49)&lt;2,"",AC49-AA49)</f>
        <v>4</v>
      </c>
      <c r="AD50" s="269">
        <f>IF(COUNT(AD49,AC49)&lt;2,"",AD49-AC49)</f>
        <v>-5</v>
      </c>
      <c r="AE50" s="269">
        <f>IF(COUNT(AE49,AD49)&lt;2,"",AE49-AD49)</f>
        <v>35</v>
      </c>
      <c r="AF50" s="269">
        <f>IF(COUNT(AF49,AE49)&lt;2,"",AF49-AE49)</f>
        <v>-4</v>
      </c>
      <c r="AG50" s="270">
        <f>IFERROR(AG49-AB49,"")</f>
        <v>30</v>
      </c>
      <c r="AH50" s="270">
        <f>IF(COUNT(AH49,AF49)&lt;2,"",AH49-AF49)</f>
        <v>4</v>
      </c>
      <c r="AI50" s="270">
        <f>IF(COUNT(AI49,AH49)&lt;2,"",AI49-AH49)</f>
        <v>7</v>
      </c>
    </row>
    <row r="51">
      <c r="C51" s="268" t="inlineStr">
        <is>
          <t>Area de vendas - Atacarejo + Novo Atacarejo (mil m2)</t>
        </is>
      </c>
      <c r="D51" s="269" t="str">
        <f>IFERROR(SUM(IFERROR(INDEX('Inputs (2)'!$D$64:$AL$64,MATCH(D$7&amp;"",'Inputs (2)'!$D$2:$AL$2,0)),""),IFERROR(INDEX('Inputs (2)'!$D$65:$AL$65,MATCH(D$7&amp;"",'Inputs (2)'!$D$2:$AL$2,0)),""))/1000,"")</f>
        <v/>
      </c>
      <c r="E51" s="269" t="str">
        <f>IFERROR(SUM(IFERROR(INDEX('Inputs (2)'!$D$64:$AL$64,MATCH(E$7&amp;"",'Inputs (2)'!$D$2:$AL$2,0)),""),IFERROR(INDEX('Inputs (2)'!$D$65:$AL$65,MATCH(E$7&amp;"",'Inputs (2)'!$D$2:$AL$2,0)),""))/1000,"")</f>
        <v/>
      </c>
      <c r="F51" s="269" t="str">
        <f>IFERROR(SUM(IFERROR(INDEX('Inputs (2)'!$D$64:$AL$64,MATCH(F$7&amp;"",'Inputs (2)'!$D$2:$AL$2,0)),""),IFERROR(INDEX('Inputs (2)'!$D$65:$AL$65,MATCH(F$7&amp;"",'Inputs (2)'!$D$2:$AL$2,0)),""))/1000,"")</f>
        <v/>
      </c>
      <c r="G51" s="269" t="str">
        <f>IFERROR(SUM(IFERROR(INDEX('Inputs (2)'!$D$64:$AL$64,MATCH(G$7&amp;"",'Inputs (2)'!$D$2:$AL$2,0)),""),IFERROR(INDEX('Inputs (2)'!$D$65:$AL$65,MATCH(G$7&amp;"",'Inputs (2)'!$D$2:$AL$2,0)),""))/1000,"")</f>
        <v/>
      </c>
      <c r="H51" s="270" t="str">
        <f>IF(COUNT(G51)=0,"",G51)</f>
        <v/>
      </c>
      <c r="I51" s="269">
        <f>IFERROR(SUM(IFERROR(INDEX('Inputs (2)'!$D$64:$AL$64,MATCH(I$7&amp;"",'Inputs (2)'!$D$2:$AL$2,0)),""),IFERROR(INDEX('Inputs (2)'!$D$65:$AL$65,MATCH(I$7&amp;"",'Inputs (2)'!$D$2:$AL$2,0)),""))/1000,"")</f>
        <v>172.3133707</v>
      </c>
      <c r="J51" s="269">
        <f>IFERROR(SUM(IFERROR(INDEX('Inputs (2)'!$D$64:$AL$64,MATCH(J$7&amp;"",'Inputs (2)'!$D$2:$AL$2,0)),""),IFERROR(INDEX('Inputs (2)'!$D$65:$AL$65,MATCH(J$7&amp;"",'Inputs (2)'!$D$2:$AL$2,0)),""))/1000,"")</f>
        <v>186.6188407</v>
      </c>
      <c r="K51" s="269">
        <f>IFERROR(SUM(IFERROR(INDEX('Inputs (2)'!$D$64:$AL$64,MATCH(K$7&amp;"",'Inputs (2)'!$D$2:$AL$2,0)),""),IFERROR(INDEX('Inputs (2)'!$D$65:$AL$65,MATCH(K$7&amp;"",'Inputs (2)'!$D$2:$AL$2,0)),""))/1000,"")</f>
        <v>195.258</v>
      </c>
      <c r="L51" s="269">
        <f>IFERROR(SUM(IFERROR(INDEX('Inputs (2)'!$D$64:$AL$64,MATCH(L$7&amp;"",'Inputs (2)'!$D$2:$AL$2,0)),""),IFERROR(INDEX('Inputs (2)'!$D$65:$AL$65,MATCH(L$7&amp;"",'Inputs (2)'!$D$2:$AL$2,0)),""))/1000,"")</f>
        <v>204.422</v>
      </c>
      <c r="M51" s="270">
        <f>IF(COUNT(L51)=0,"",L51)</f>
        <v>204.422</v>
      </c>
      <c r="N51" s="269">
        <f>IFERROR(SUM(IFERROR(INDEX('Inputs (2)'!$D$64:$AL$64,MATCH(N$7&amp;"",'Inputs (2)'!$D$2:$AL$2,0)),""),IFERROR(INDEX('Inputs (2)'!$D$65:$AL$65,MATCH(N$7&amp;"",'Inputs (2)'!$D$2:$AL$2,0)),""))/1000,"")</f>
        <v>236.29</v>
      </c>
      <c r="O51" s="269">
        <f>IFERROR(SUM(IFERROR(INDEX('Inputs (2)'!$D$64:$AL$64,MATCH(O$7&amp;"",'Inputs (2)'!$D$2:$AL$2,0)),""),IFERROR(INDEX('Inputs (2)'!$D$65:$AL$65,MATCH(O$7&amp;"",'Inputs (2)'!$D$2:$AL$2,0)),""))/1000,"")</f>
        <v>247.402</v>
      </c>
      <c r="P51" s="269">
        <f>IFERROR(SUM(IFERROR(INDEX('Inputs (2)'!$D$64:$AL$64,MATCH(P$7&amp;"",'Inputs (2)'!$D$2:$AL$2,0)),""),IFERROR(INDEX('Inputs (2)'!$D$65:$AL$65,MATCH(P$7&amp;"",'Inputs (2)'!$D$2:$AL$2,0)),""))/1000,"")</f>
        <v>258.719</v>
      </c>
      <c r="Q51" s="269">
        <f>IFERROR(SUM(IFERROR(INDEX('Inputs (2)'!$D$64:$AL$64,MATCH(Q$7&amp;"",'Inputs (2)'!$D$2:$AL$2,0)),""),IFERROR(INDEX('Inputs (2)'!$D$65:$AL$65,MATCH(Q$7&amp;"",'Inputs (2)'!$D$2:$AL$2,0)),""))/1000,"")</f>
        <v>281.028</v>
      </c>
      <c r="R51" s="270">
        <f>IF(COUNT(Q51)=0,"",Q51)</f>
        <v>281.028</v>
      </c>
      <c r="S51" s="269">
        <f>IFERROR(SUM(IFERROR(INDEX('Inputs (2)'!$D$64:$AL$64,MATCH(S$7&amp;"",'Inputs (2)'!$D$2:$AL$2,0)),""),IFERROR(INDEX('Inputs (2)'!$D$65:$AL$65,MATCH(S$7&amp;"",'Inputs (2)'!$D$2:$AL$2,0)),""))/1000,"")</f>
        <v>297.4243507</v>
      </c>
      <c r="T51" s="269">
        <f>IFERROR(SUM(IFERROR(INDEX('Inputs (2)'!$D$64:$AL$64,MATCH(T$7&amp;"",'Inputs (2)'!$D$2:$AL$2,0)),""),IFERROR(INDEX('Inputs (2)'!$D$65:$AL$65,MATCH(T$7&amp;"",'Inputs (2)'!$D$2:$AL$2,0)),""))/1000,"")</f>
        <v>304.425</v>
      </c>
      <c r="U51" s="269">
        <f>IFERROR(SUM(IFERROR(INDEX('Inputs (2)'!$D$64:$AL$64,MATCH(U$7&amp;"",'Inputs (2)'!$D$2:$AL$2,0)),""),IFERROR(INDEX('Inputs (2)'!$D$65:$AL$65,MATCH(U$7&amp;"",'Inputs (2)'!$D$2:$AL$2,0)),""))/1000,"")</f>
        <v>321.2763507</v>
      </c>
      <c r="V51" s="269">
        <f>IFERROR(SUM(IFERROR(INDEX('Inputs (2)'!$D$64:$AL$64,MATCH(V$7&amp;"",'Inputs (2)'!$D$2:$AL$2,0)),""),IFERROR(INDEX('Inputs (2)'!$D$65:$AL$65,MATCH(V$7&amp;"",'Inputs (2)'!$D$2:$AL$2,0)),""))/1000,"")</f>
        <v>362.8539707</v>
      </c>
      <c r="W51" s="270">
        <f>IF(COUNT(V51)=0,"",V51)</f>
        <v>362.8539707</v>
      </c>
      <c r="X51" s="269">
        <f>IFERROR(SUM(IFERROR(INDEX('Inputs (2)'!$D$64:$AL$64,MATCH(X$7&amp;"",'Inputs (2)'!$D$2:$AL$2,0)),""),IFERROR(INDEX('Inputs (2)'!$D$65:$AL$65,MATCH(X$7&amp;"",'Inputs (2)'!$D$2:$AL$2,0)),""))/1000,"")</f>
        <v>370.2187007</v>
      </c>
      <c r="Y51" s="269">
        <f>IFERROR(SUM(IFERROR(INDEX('Inputs (2)'!$D$64:$AL$64,MATCH(Y$7&amp;"",'Inputs (2)'!$D$2:$AL$2,0)),""),IFERROR(INDEX('Inputs (2)'!$D$65:$AL$65,MATCH(Y$7&amp;"",'Inputs (2)'!$D$2:$AL$2,0)),""))/1000,"")</f>
        <v>376.7395907</v>
      </c>
      <c r="Z51" s="269">
        <f>IFERROR(SUM(IFERROR(INDEX('Inputs (2)'!$D$64:$AL$64,MATCH(Z$7&amp;"",'Inputs (2)'!$D$2:$AL$2,0)),""),IFERROR(INDEX('Inputs (2)'!$D$65:$AL$65,MATCH(Z$7&amp;"",'Inputs (2)'!$D$2:$AL$2,0)),""))/1000,"")</f>
        <v>391.8537907</v>
      </c>
      <c r="AA51" s="269">
        <f>IFERROR(SUM(IFERROR(INDEX('Inputs (2)'!$D$64:$AL$64,MATCH(AA$7&amp;"",'Inputs (2)'!$D$2:$AL$2,0)),""),IFERROR(INDEX('Inputs (2)'!$D$65:$AL$65,MATCH(AA$7&amp;"",'Inputs (2)'!$D$2:$AL$2,0)),""))/1000,"")</f>
        <v>401.1254007</v>
      </c>
      <c r="AB51" s="270">
        <f>IF(COUNT(AA51)=0,"",AA51)</f>
        <v>401.1254007</v>
      </c>
      <c r="AC51" s="269">
        <f>IFERROR(SUM(IFERROR(INDEX('Inputs (2)'!$D$64:$AL$64,MATCH(AC$7&amp;"",'Inputs (2)'!$D$2:$AL$2,0)),""),IFERROR(INDEX('Inputs (2)'!$D$65:$AL$65,MATCH(AC$7&amp;"",'Inputs (2)'!$D$2:$AL$2,0)),""))/1000,"")</f>
        <v>408.0334007</v>
      </c>
      <c r="AD51" s="269">
        <f>IFERROR(SUM(IFERROR(INDEX('Inputs (2)'!$D$64:$AL$64,MATCH(AD$7&amp;"",'Inputs (2)'!$D$2:$AL$2,0)),""),IFERROR(INDEX('Inputs (2)'!$D$65:$AL$65,MATCH(AD$7&amp;"",'Inputs (2)'!$D$2:$AL$2,0)),""))/1000,"")</f>
        <v>425.2299607</v>
      </c>
      <c r="AE51" s="269">
        <f>IFERROR(SUM(IFERROR(INDEX('Inputs (2)'!$D$64:$AL$64,MATCH(AE$7&amp;"",'Inputs (2)'!$D$2:$AL$2,0)),""),IFERROR(INDEX('Inputs (2)'!$D$65:$AL$65,MATCH(AE$7&amp;"",'Inputs (2)'!$D$2:$AL$2,0)),""))/1000,"")</f>
        <v>570.2629607</v>
      </c>
      <c r="AF51" s="269">
        <f>IFERROR(SUM(IFERROR(INDEX('Inputs (2)'!$D$64:$AL$64,MATCH(AF$7&amp;"",'Inputs (2)'!$D$2:$AL$2,0)),""),IFERROR(INDEX('Inputs (2)'!$D$65:$AL$65,MATCH(AF$7&amp;"",'Inputs (2)'!$D$2:$AL$2,0)),""))/1000,"")</f>
        <v>586.3504307</v>
      </c>
      <c r="AG51" s="270">
        <f>IF(COUNT(AF51)=0,"",AF51)</f>
        <v>586.3504307</v>
      </c>
      <c r="AH51" s="270">
        <f>IFERROR(SUM(IFERROR(INDEX('Inputs (2)'!$D$64:$AL$64,MATCH(AH$7&amp;"",'Inputs (2)'!$D$2:$AL$2,0)),""),IFERROR(INDEX('Inputs (2)'!$D$65:$AL$65,MATCH(AH$7&amp;"",'Inputs (2)'!$D$2:$AL$2,0)),""))/1000,"")</f>
        <v>595.922</v>
      </c>
      <c r="AI51" s="270">
        <f>IFERROR(SUM(IFERROR(INDEX('Inputs (2)'!$D$64:$AL$64,MATCH(AI$7&amp;"",'Inputs (2)'!$D$2:$AL$2,0)),""),IFERROR(INDEX('Inputs (2)'!$D$65:$AL$65,MATCH(AI$7&amp;"",'Inputs (2)'!$D$2:$AL$2,0)),""))/1000,"")</f>
        <v>603.3529107</v>
      </c>
    </row>
    <row r="52">
      <c r="C52" s="268" t="inlineStr">
        <is>
          <t>Area de vendas - Varejo (mil m2)</t>
        </is>
      </c>
      <c r="D52" s="269" t="str">
        <f>IFERROR(SUM(IFERROR(INDEX('Inputs (2)'!$D$66:$AL$66,MATCH(D$7&amp;"",'Inputs (2)'!$D$2:$AL$2,0)),""))/1000,"")</f>
        <v/>
      </c>
      <c r="E52" s="269" t="str">
        <f>IFERROR(SUM(IFERROR(INDEX('Inputs (2)'!$D$66:$AL$66,MATCH(E$7&amp;"",'Inputs (2)'!$D$2:$AL$2,0)),""))/1000,"")</f>
        <v/>
      </c>
      <c r="F52" s="269" t="str">
        <f>IFERROR(SUM(IFERROR(INDEX('Inputs (2)'!$D$66:$AL$66,MATCH(F$7&amp;"",'Inputs (2)'!$D$2:$AL$2,0)),""))/1000,"")</f>
        <v/>
      </c>
      <c r="G52" s="269" t="str">
        <f>IFERROR(SUM(IFERROR(INDEX('Inputs (2)'!$D$66:$AL$66,MATCH(G$7&amp;"",'Inputs (2)'!$D$2:$AL$2,0)),""))/1000,"")</f>
        <v/>
      </c>
      <c r="H52" s="270" t="str">
        <f>IF(COUNT(G52)=0,"",G52)</f>
        <v/>
      </c>
      <c r="I52" s="269">
        <f>IFERROR(SUM(IFERROR(INDEX('Inputs (2)'!$D$66:$AL$66,MATCH(I$7&amp;"",'Inputs (2)'!$D$2:$AL$2,0)),""))/1000,"")</f>
        <v>93.9232327</v>
      </c>
      <c r="J52" s="269">
        <f>IFERROR(SUM(IFERROR(INDEX('Inputs (2)'!$D$66:$AL$66,MATCH(J$7&amp;"",'Inputs (2)'!$D$2:$AL$2,0)),""))/1000,"")</f>
        <v>95.6412827</v>
      </c>
      <c r="K52" s="269">
        <f>IFERROR(SUM(IFERROR(INDEX('Inputs (2)'!$D$66:$AL$66,MATCH(K$7&amp;"",'Inputs (2)'!$D$2:$AL$2,0)),""))/1000,"")</f>
        <v>97.277</v>
      </c>
      <c r="L52" s="269">
        <f>IFERROR(SUM(IFERROR(INDEX('Inputs (2)'!$D$66:$AL$66,MATCH(L$7&amp;"",'Inputs (2)'!$D$2:$AL$2,0)),""))/1000,"")</f>
        <v>105.812</v>
      </c>
      <c r="M52" s="270">
        <f>IF(COUNT(L52)=0,"",L52)</f>
        <v>105.812</v>
      </c>
      <c r="N52" s="269">
        <f>IFERROR(SUM(IFERROR(INDEX('Inputs (2)'!$D$66:$AL$66,MATCH(N$7&amp;"",'Inputs (2)'!$D$2:$AL$2,0)),""))/1000,"")</f>
        <v>116.745</v>
      </c>
      <c r="O52" s="269">
        <f>IFERROR(SUM(IFERROR(INDEX('Inputs (2)'!$D$66:$AL$66,MATCH(O$7&amp;"",'Inputs (2)'!$D$2:$AL$2,0)),""))/1000,"")</f>
        <v>118.729</v>
      </c>
      <c r="P52" s="269">
        <f>IFERROR(SUM(IFERROR(INDEX('Inputs (2)'!$D$66:$AL$66,MATCH(P$7&amp;"",'Inputs (2)'!$D$2:$AL$2,0)),""))/1000,"")</f>
        <v>120.216</v>
      </c>
      <c r="Q52" s="269">
        <f>IFERROR(SUM(IFERROR(INDEX('Inputs (2)'!$D$66:$AL$66,MATCH(Q$7&amp;"",'Inputs (2)'!$D$2:$AL$2,0)),""))/1000,"")</f>
        <v>120.216</v>
      </c>
      <c r="R52" s="270">
        <f>IF(COUNT(Q52)=0,"",Q52)</f>
        <v>120.216</v>
      </c>
      <c r="S52" s="269">
        <f>IFERROR(SUM(IFERROR(INDEX('Inputs (2)'!$D$66:$AL$66,MATCH(S$7&amp;"",'Inputs (2)'!$D$2:$AL$2,0)),""))/1000,"")</f>
        <v>120.216</v>
      </c>
      <c r="T52" s="269">
        <f>IFERROR(SUM(IFERROR(INDEX('Inputs (2)'!$D$66:$AL$66,MATCH(T$7&amp;"",'Inputs (2)'!$D$2:$AL$2,0)),""))/1000,"")</f>
        <v>121.271</v>
      </c>
      <c r="U52" s="269">
        <f>IFERROR(SUM(IFERROR(INDEX('Inputs (2)'!$D$66:$AL$66,MATCH(U$7&amp;"",'Inputs (2)'!$D$2:$AL$2,0)),""))/1000,"")</f>
        <v>123.571</v>
      </c>
      <c r="V52" s="269">
        <f>IFERROR(SUM(IFERROR(INDEX('Inputs (2)'!$D$66:$AL$66,MATCH(V$7&amp;"",'Inputs (2)'!$D$2:$AL$2,0)),""))/1000,"")</f>
        <v>124.372</v>
      </c>
      <c r="W52" s="270">
        <f>IF(COUNT(V52)=0,"",V52)</f>
        <v>124.372</v>
      </c>
      <c r="X52" s="269">
        <f>IFERROR(SUM(IFERROR(INDEX('Inputs (2)'!$D$66:$AL$66,MATCH(X$7&amp;"",'Inputs (2)'!$D$2:$AL$2,0)),""))/1000,"")</f>
        <v>124.372</v>
      </c>
      <c r="Y52" s="269">
        <f>IFERROR(SUM(IFERROR(INDEX('Inputs (2)'!$D$66:$AL$66,MATCH(Y$7&amp;"",'Inputs (2)'!$D$2:$AL$2,0)),""))/1000,"")</f>
        <v>127.2742927</v>
      </c>
      <c r="Z52" s="269">
        <f>IFERROR(SUM(IFERROR(INDEX('Inputs (2)'!$D$66:$AL$66,MATCH(Z$7&amp;"",'Inputs (2)'!$D$2:$AL$2,0)),""))/1000,"")</f>
        <v>127.2742927</v>
      </c>
      <c r="AA52" s="269">
        <f>IFERROR(SUM(IFERROR(INDEX('Inputs (2)'!$D$66:$AL$66,MATCH(AA$7&amp;"",'Inputs (2)'!$D$2:$AL$2,0)),""))/1000,"")</f>
        <v>132.6842927</v>
      </c>
      <c r="AB52" s="270">
        <f>IF(COUNT(AA52)=0,"",AA52)</f>
        <v>132.6842927</v>
      </c>
      <c r="AC52" s="269">
        <f>IFERROR(SUM(IFERROR(INDEX('Inputs (2)'!$D$66:$AL$66,MATCH(AC$7&amp;"",'Inputs (2)'!$D$2:$AL$2,0)),""))/1000,"")</f>
        <v>134.4942927</v>
      </c>
      <c r="AD52" s="269">
        <f>IFERROR(SUM(IFERROR(INDEX('Inputs (2)'!$D$66:$AL$66,MATCH(AD$7&amp;"",'Inputs (2)'!$D$2:$AL$2,0)),""))/1000,"")</f>
        <v>135.2819427</v>
      </c>
      <c r="AE52" s="269">
        <f>IFERROR(SUM(IFERROR(INDEX('Inputs (2)'!$D$66:$AL$66,MATCH(AE$7&amp;"",'Inputs (2)'!$D$2:$AL$2,0)),""))/1000,"")</f>
        <v>135.6909427</v>
      </c>
      <c r="AF52" s="269">
        <f>IFERROR(SUM(IFERROR(INDEX('Inputs (2)'!$D$66:$AL$66,MATCH(AF$7&amp;"",'Inputs (2)'!$D$2:$AL$2,0)),""))/1000,"")</f>
        <v>142.6994827</v>
      </c>
      <c r="AG52" s="270">
        <f>IF(COUNT(AF52)=0,"",AF52)</f>
        <v>142.6994827</v>
      </c>
      <c r="AH52" s="270">
        <f>IFERROR(SUM(IFERROR(INDEX('Inputs (2)'!$D$66:$AL$66,MATCH(AH$7&amp;"",'Inputs (2)'!$D$2:$AL$2,0)),""))/1000,"")</f>
        <v>144.4</v>
      </c>
      <c r="AI52" s="270">
        <f>IFERROR(SUM(IFERROR(INDEX('Inputs (2)'!$D$66:$AL$66,MATCH(AI$7&amp;"",'Inputs (2)'!$D$2:$AL$2,0)),""))/1000,"")</f>
        <v>149.8421927</v>
      </c>
    </row>
    <row r="53">
      <c r="C53" s="268" t="inlineStr">
        <is>
          <t>Area de vendas - Eletro (mil m2)</t>
        </is>
      </c>
      <c r="D53" s="269" t="str">
        <f>IFERROR(SUM(IFERROR(INDEX('Inputs (2)'!$D$67:$AL$67,MATCH(D$7&amp;"",'Inputs (2)'!$D$2:$AL$2,0)),""))/1000,"")</f>
        <v/>
      </c>
      <c r="E53" s="269" t="str">
        <f>IFERROR(SUM(IFERROR(INDEX('Inputs (2)'!$D$67:$AL$67,MATCH(E$7&amp;"",'Inputs (2)'!$D$2:$AL$2,0)),""))/1000,"")</f>
        <v/>
      </c>
      <c r="F53" s="269" t="str">
        <f>IFERROR(SUM(IFERROR(INDEX('Inputs (2)'!$D$67:$AL$67,MATCH(F$7&amp;"",'Inputs (2)'!$D$2:$AL$2,0)),""))/1000,"")</f>
        <v/>
      </c>
      <c r="G53" s="269" t="str">
        <f>IFERROR(SUM(IFERROR(INDEX('Inputs (2)'!$D$67:$AL$67,MATCH(G$7&amp;"",'Inputs (2)'!$D$2:$AL$2,0)),""))/1000,"")</f>
        <v/>
      </c>
      <c r="H53" s="270" t="str">
        <f>IF(COUNT(G53)=0,"",G53)</f>
        <v/>
      </c>
      <c r="I53" s="269">
        <f>IFERROR(SUM(IFERROR(INDEX('Inputs (2)'!$D$67:$AL$67,MATCH(I$7&amp;"",'Inputs (2)'!$D$2:$AL$2,0)),""))/1000,"")</f>
        <v>83.57538</v>
      </c>
      <c r="J53" s="269">
        <f>IFERROR(SUM(IFERROR(INDEX('Inputs (2)'!$D$67:$AL$67,MATCH(J$7&amp;"",'Inputs (2)'!$D$2:$AL$2,0)),""))/1000,"")</f>
        <v>89.8916</v>
      </c>
      <c r="K53" s="269">
        <f>IFERROR(SUM(IFERROR(INDEX('Inputs (2)'!$D$67:$AL$67,MATCH(K$7&amp;"",'Inputs (2)'!$D$2:$AL$2,0)),""))/1000,"")</f>
        <v>93.233</v>
      </c>
      <c r="L53" s="269">
        <f>IFERROR(SUM(IFERROR(INDEX('Inputs (2)'!$D$67:$AL$67,MATCH(L$7&amp;"",'Inputs (2)'!$D$2:$AL$2,0)),""))/1000,"")</f>
        <v>97.593</v>
      </c>
      <c r="M53" s="270">
        <f>IF(COUNT(L53)=0,"",L53)</f>
        <v>97.593</v>
      </c>
      <c r="N53" s="269">
        <f>IFERROR(SUM(IFERROR(INDEX('Inputs (2)'!$D$67:$AL$67,MATCH(N$7&amp;"",'Inputs (2)'!$D$2:$AL$2,0)),""))/1000,"")</f>
        <v>99.641</v>
      </c>
      <c r="O53" s="269">
        <f>IFERROR(SUM(IFERROR(INDEX('Inputs (2)'!$D$67:$AL$67,MATCH(O$7&amp;"",'Inputs (2)'!$D$2:$AL$2,0)),""))/1000,"")</f>
        <v>100.22</v>
      </c>
      <c r="P53" s="269">
        <f>IFERROR(SUM(IFERROR(INDEX('Inputs (2)'!$D$67:$AL$67,MATCH(P$7&amp;"",'Inputs (2)'!$D$2:$AL$2,0)),""))/1000,"")</f>
        <v>98.723</v>
      </c>
      <c r="Q53" s="269">
        <f>IFERROR(SUM(IFERROR(INDEX('Inputs (2)'!$D$67:$AL$67,MATCH(Q$7&amp;"",'Inputs (2)'!$D$2:$AL$2,0)),""))/1000,"")</f>
        <v>99.247</v>
      </c>
      <c r="R53" s="270">
        <f>IF(COUNT(Q53)=0,"",Q53)</f>
        <v>99.247</v>
      </c>
      <c r="S53" s="269">
        <f>IFERROR(SUM(IFERROR(INDEX('Inputs (2)'!$D$67:$AL$67,MATCH(S$7&amp;"",'Inputs (2)'!$D$2:$AL$2,0)),""))/1000,"")</f>
        <v>100.46339</v>
      </c>
      <c r="T53" s="269">
        <f>IFERROR(SUM(IFERROR(INDEX('Inputs (2)'!$D$67:$AL$67,MATCH(T$7&amp;"",'Inputs (2)'!$D$2:$AL$2,0)),""))/1000,"")</f>
        <v>99.299</v>
      </c>
      <c r="U53" s="269">
        <f>IFERROR(SUM(IFERROR(INDEX('Inputs (2)'!$D$67:$AL$67,MATCH(U$7&amp;"",'Inputs (2)'!$D$2:$AL$2,0)),""))/1000,"")</f>
        <v>99.57832</v>
      </c>
      <c r="V53" s="269">
        <f>IFERROR(SUM(IFERROR(INDEX('Inputs (2)'!$D$67:$AL$67,MATCH(V$7&amp;"",'Inputs (2)'!$D$2:$AL$2,0)),""))/1000,"")</f>
        <v>99.57832</v>
      </c>
      <c r="W53" s="270">
        <f>IF(COUNT(V53)=0,"",V53)</f>
        <v>99.57832</v>
      </c>
      <c r="X53" s="269">
        <f>IFERROR(SUM(IFERROR(INDEX('Inputs (2)'!$D$67:$AL$67,MATCH(X$7&amp;"",'Inputs (2)'!$D$2:$AL$2,0)),""))/1000,"")</f>
        <v>98.939</v>
      </c>
      <c r="Y53" s="269">
        <f>IFERROR(SUM(IFERROR(INDEX('Inputs (2)'!$D$67:$AL$67,MATCH(Y$7&amp;"",'Inputs (2)'!$D$2:$AL$2,0)),""))/1000,"")</f>
        <v>99.45956</v>
      </c>
      <c r="Z53" s="269">
        <f>IFERROR(SUM(IFERROR(INDEX('Inputs (2)'!$D$67:$AL$67,MATCH(Z$7&amp;"",'Inputs (2)'!$D$2:$AL$2,0)),""))/1000,"")</f>
        <v>98.69641</v>
      </c>
      <c r="AA53" s="269">
        <f>IFERROR(SUM(IFERROR(INDEX('Inputs (2)'!$D$67:$AL$67,MATCH(AA$7&amp;"",'Inputs (2)'!$D$2:$AL$2,0)),""))/1000,"")</f>
        <v>98.69641</v>
      </c>
      <c r="AB53" s="270">
        <f>IF(COUNT(AA53)=0,"",AA53)</f>
        <v>98.69641</v>
      </c>
      <c r="AC53" s="269">
        <f>IFERROR(SUM(IFERROR(INDEX('Inputs (2)'!$D$67:$AL$67,MATCH(AC$7&amp;"",'Inputs (2)'!$D$2:$AL$2,0)),""))/1000,"")</f>
        <v>98.5885</v>
      </c>
      <c r="AD53" s="269">
        <f>IFERROR(SUM(IFERROR(INDEX('Inputs (2)'!$D$67:$AL$67,MATCH(AD$7&amp;"",'Inputs (2)'!$D$2:$AL$2,0)),""))/1000,"")</f>
        <v>91.35736</v>
      </c>
      <c r="AE53" s="269">
        <f>IFERROR(SUM(IFERROR(INDEX('Inputs (2)'!$D$67:$AL$67,MATCH(AE$7&amp;"",'Inputs (2)'!$D$2:$AL$2,0)),""))/1000,"")</f>
        <v>87.184</v>
      </c>
      <c r="AF53" s="269">
        <f>IFERROR(SUM(IFERROR(INDEX('Inputs (2)'!$D$67:$AL$67,MATCH(AF$7&amp;"",'Inputs (2)'!$D$2:$AL$2,0)),""))/1000,"")</f>
        <v>72.40232</v>
      </c>
      <c r="AG53" s="270">
        <f>IF(COUNT(AF53)=0,"",AF53)</f>
        <v>72.40232</v>
      </c>
      <c r="AH53" s="270">
        <f>IFERROR(SUM(IFERROR(INDEX('Inputs (2)'!$D$67:$AL$67,MATCH(AH$7&amp;"",'Inputs (2)'!$D$2:$AL$2,0)),""))/1000,"")</f>
        <v>72.402</v>
      </c>
      <c r="AI53" s="270">
        <f>IFERROR(SUM(IFERROR(INDEX('Inputs (2)'!$D$67:$AL$67,MATCH(AI$7&amp;"",'Inputs (2)'!$D$2:$AL$2,0)),""))/1000,"")</f>
        <v>72.402</v>
      </c>
    </row>
    <row r="54">
      <c r="C54" s="271" t="inlineStr">
        <is>
          <t>Area de vendas - total (mil m2)</t>
        </is>
      </c>
      <c r="D54" s="269" t="str">
        <f>IFERROR(SUM(IFERROR(INDEX('Inputs (2)'!$D$64:$AL$64,MATCH(D$7&amp;"",'Inputs (2)'!$D$2:$AL$2,0)),""),IFERROR(INDEX('Inputs (2)'!$D$65:$AL$65,MATCH(D$7&amp;"",'Inputs (2)'!$D$2:$AL$2,0)),""),IFERROR(INDEX('Inputs (2)'!$D$66:$AL$66,MATCH(D$7&amp;"",'Inputs (2)'!$D$2:$AL$2,0)),""),IFERROR(INDEX('Inputs (2)'!$D$67:$AL$67,MATCH(D$7&amp;"",'Inputs (2)'!$D$2:$AL$2,0)),""),IFERROR(INDEX('Inputs (2)'!$D$68:$AL$68,MATCH(D$7&amp;"",'Inputs (2)'!$D$2:$AL$2,0)),""))/1000,"")</f>
        <v/>
      </c>
      <c r="E54" s="269" t="str">
        <f>IFERROR(SUM(IFERROR(INDEX('Inputs (2)'!$D$64:$AL$64,MATCH(E$7&amp;"",'Inputs (2)'!$D$2:$AL$2,0)),""),IFERROR(INDEX('Inputs (2)'!$D$65:$AL$65,MATCH(E$7&amp;"",'Inputs (2)'!$D$2:$AL$2,0)),""),IFERROR(INDEX('Inputs (2)'!$D$66:$AL$66,MATCH(E$7&amp;"",'Inputs (2)'!$D$2:$AL$2,0)),""),IFERROR(INDEX('Inputs (2)'!$D$67:$AL$67,MATCH(E$7&amp;"",'Inputs (2)'!$D$2:$AL$2,0)),""),IFERROR(INDEX('Inputs (2)'!$D$68:$AL$68,MATCH(E$7&amp;"",'Inputs (2)'!$D$2:$AL$2,0)),""))/1000,"")</f>
        <v/>
      </c>
      <c r="F54" s="269" t="str">
        <f>IFERROR(SUM(IFERROR(INDEX('Inputs (2)'!$D$64:$AL$64,MATCH(F$7&amp;"",'Inputs (2)'!$D$2:$AL$2,0)),""),IFERROR(INDEX('Inputs (2)'!$D$65:$AL$65,MATCH(F$7&amp;"",'Inputs (2)'!$D$2:$AL$2,0)),""),IFERROR(INDEX('Inputs (2)'!$D$66:$AL$66,MATCH(F$7&amp;"",'Inputs (2)'!$D$2:$AL$2,0)),""),IFERROR(INDEX('Inputs (2)'!$D$67:$AL$67,MATCH(F$7&amp;"",'Inputs (2)'!$D$2:$AL$2,0)),""),IFERROR(INDEX('Inputs (2)'!$D$68:$AL$68,MATCH(F$7&amp;"",'Inputs (2)'!$D$2:$AL$2,0)),""))/1000,"")</f>
        <v/>
      </c>
      <c r="G54" s="269" t="str">
        <f>IFERROR(SUM(IFERROR(INDEX('Inputs (2)'!$D$64:$AL$64,MATCH(G$7&amp;"",'Inputs (2)'!$D$2:$AL$2,0)),""),IFERROR(INDEX('Inputs (2)'!$D$65:$AL$65,MATCH(G$7&amp;"",'Inputs (2)'!$D$2:$AL$2,0)),""),IFERROR(INDEX('Inputs (2)'!$D$66:$AL$66,MATCH(G$7&amp;"",'Inputs (2)'!$D$2:$AL$2,0)),""),IFERROR(INDEX('Inputs (2)'!$D$67:$AL$67,MATCH(G$7&amp;"",'Inputs (2)'!$D$2:$AL$2,0)),""),IFERROR(INDEX('Inputs (2)'!$D$68:$AL$68,MATCH(G$7&amp;"",'Inputs (2)'!$D$2:$AL$2,0)),""))/1000,"")</f>
        <v/>
      </c>
      <c r="H54" s="270" t="str">
        <f>IF(COUNT(G54)=0,"",G54)</f>
        <v/>
      </c>
      <c r="I54" s="269">
        <f>IFERROR(SUM(IFERROR(INDEX('Inputs (2)'!$D$64:$AL$64,MATCH(I$7&amp;"",'Inputs (2)'!$D$2:$AL$2,0)),""),IFERROR(INDEX('Inputs (2)'!$D$65:$AL$65,MATCH(I$7&amp;"",'Inputs (2)'!$D$2:$AL$2,0)),""),IFERROR(INDEX('Inputs (2)'!$D$66:$AL$66,MATCH(I$7&amp;"",'Inputs (2)'!$D$2:$AL$2,0)),""),IFERROR(INDEX('Inputs (2)'!$D$67:$AL$67,MATCH(I$7&amp;"",'Inputs (2)'!$D$2:$AL$2,0)),""),IFERROR(INDEX('Inputs (2)'!$D$68:$AL$68,MATCH(I$7&amp;"",'Inputs (2)'!$D$2:$AL$2,0)),""))/1000,"")</f>
        <v>349.8119834</v>
      </c>
      <c r="J54" s="269">
        <f>IFERROR(SUM(IFERROR(INDEX('Inputs (2)'!$D$64:$AL$64,MATCH(J$7&amp;"",'Inputs (2)'!$D$2:$AL$2,0)),""),IFERROR(INDEX('Inputs (2)'!$D$65:$AL$65,MATCH(J$7&amp;"",'Inputs (2)'!$D$2:$AL$2,0)),""),IFERROR(INDEX('Inputs (2)'!$D$66:$AL$66,MATCH(J$7&amp;"",'Inputs (2)'!$D$2:$AL$2,0)),""),IFERROR(INDEX('Inputs (2)'!$D$67:$AL$67,MATCH(J$7&amp;"",'Inputs (2)'!$D$2:$AL$2,0)),""),IFERROR(INDEX('Inputs (2)'!$D$68:$AL$68,MATCH(J$7&amp;"",'Inputs (2)'!$D$2:$AL$2,0)),""))/1000,"")</f>
        <v>372.1517234</v>
      </c>
      <c r="K54" s="269">
        <f>IFERROR(SUM(IFERROR(INDEX('Inputs (2)'!$D$64:$AL$64,MATCH(K$7&amp;"",'Inputs (2)'!$D$2:$AL$2,0)),""),IFERROR(INDEX('Inputs (2)'!$D$65:$AL$65,MATCH(K$7&amp;"",'Inputs (2)'!$D$2:$AL$2,0)),""),IFERROR(INDEX('Inputs (2)'!$D$66:$AL$66,MATCH(K$7&amp;"",'Inputs (2)'!$D$2:$AL$2,0)),""),IFERROR(INDEX('Inputs (2)'!$D$67:$AL$67,MATCH(K$7&amp;"",'Inputs (2)'!$D$2:$AL$2,0)),""),IFERROR(INDEX('Inputs (2)'!$D$68:$AL$68,MATCH(K$7&amp;"",'Inputs (2)'!$D$2:$AL$2,0)),""))/1000,"")</f>
        <v>385.768</v>
      </c>
      <c r="L54" s="269">
        <f>IFERROR(SUM(IFERROR(INDEX('Inputs (2)'!$D$64:$AL$64,MATCH(L$7&amp;"",'Inputs (2)'!$D$2:$AL$2,0)),""),IFERROR(INDEX('Inputs (2)'!$D$65:$AL$65,MATCH(L$7&amp;"",'Inputs (2)'!$D$2:$AL$2,0)),""),IFERROR(INDEX('Inputs (2)'!$D$66:$AL$66,MATCH(L$7&amp;"",'Inputs (2)'!$D$2:$AL$2,0)),""),IFERROR(INDEX('Inputs (2)'!$D$67:$AL$67,MATCH(L$7&amp;"",'Inputs (2)'!$D$2:$AL$2,0)),""),IFERROR(INDEX('Inputs (2)'!$D$68:$AL$68,MATCH(L$7&amp;"",'Inputs (2)'!$D$2:$AL$2,0)),""))/1000,"")</f>
        <v>407.827</v>
      </c>
      <c r="M54" s="270">
        <f>IF(COUNT(L54)=0,"",L54)</f>
        <v>407.827</v>
      </c>
      <c r="N54" s="269">
        <f>IFERROR(SUM(IFERROR(INDEX('Inputs (2)'!$D$64:$AL$64,MATCH(N$7&amp;"",'Inputs (2)'!$D$2:$AL$2,0)),""),IFERROR(INDEX('Inputs (2)'!$D$65:$AL$65,MATCH(N$7&amp;"",'Inputs (2)'!$D$2:$AL$2,0)),""),IFERROR(INDEX('Inputs (2)'!$D$66:$AL$66,MATCH(N$7&amp;"",'Inputs (2)'!$D$2:$AL$2,0)),""),IFERROR(INDEX('Inputs (2)'!$D$67:$AL$67,MATCH(N$7&amp;"",'Inputs (2)'!$D$2:$AL$2,0)),""),IFERROR(INDEX('Inputs (2)'!$D$68:$AL$68,MATCH(N$7&amp;"",'Inputs (2)'!$D$2:$AL$2,0)),""))/1000,"")</f>
        <v>452.676</v>
      </c>
      <c r="O54" s="269">
        <f>IFERROR(SUM(IFERROR(INDEX('Inputs (2)'!$D$64:$AL$64,MATCH(O$7&amp;"",'Inputs (2)'!$D$2:$AL$2,0)),""),IFERROR(INDEX('Inputs (2)'!$D$65:$AL$65,MATCH(O$7&amp;"",'Inputs (2)'!$D$2:$AL$2,0)),""),IFERROR(INDEX('Inputs (2)'!$D$66:$AL$66,MATCH(O$7&amp;"",'Inputs (2)'!$D$2:$AL$2,0)),""),IFERROR(INDEX('Inputs (2)'!$D$67:$AL$67,MATCH(O$7&amp;"",'Inputs (2)'!$D$2:$AL$2,0)),""),IFERROR(INDEX('Inputs (2)'!$D$68:$AL$68,MATCH(O$7&amp;"",'Inputs (2)'!$D$2:$AL$2,0)),""))/1000,"")</f>
        <v>466.351</v>
      </c>
      <c r="P54" s="269">
        <f>IFERROR(SUM(IFERROR(INDEX('Inputs (2)'!$D$64:$AL$64,MATCH(P$7&amp;"",'Inputs (2)'!$D$2:$AL$2,0)),""),IFERROR(INDEX('Inputs (2)'!$D$65:$AL$65,MATCH(P$7&amp;"",'Inputs (2)'!$D$2:$AL$2,0)),""),IFERROR(INDEX('Inputs (2)'!$D$66:$AL$66,MATCH(P$7&amp;"",'Inputs (2)'!$D$2:$AL$2,0)),""),IFERROR(INDEX('Inputs (2)'!$D$67:$AL$67,MATCH(P$7&amp;"",'Inputs (2)'!$D$2:$AL$2,0)),""),IFERROR(INDEX('Inputs (2)'!$D$68:$AL$68,MATCH(P$7&amp;"",'Inputs (2)'!$D$2:$AL$2,0)),""))/1000,"")</f>
        <v>477.658</v>
      </c>
      <c r="Q54" s="269">
        <f>IFERROR(SUM(IFERROR(INDEX('Inputs (2)'!$D$64:$AL$64,MATCH(Q$7&amp;"",'Inputs (2)'!$D$2:$AL$2,0)),""),IFERROR(INDEX('Inputs (2)'!$D$65:$AL$65,MATCH(Q$7&amp;"",'Inputs (2)'!$D$2:$AL$2,0)),""),IFERROR(INDEX('Inputs (2)'!$D$66:$AL$66,MATCH(Q$7&amp;"",'Inputs (2)'!$D$2:$AL$2,0)),""),IFERROR(INDEX('Inputs (2)'!$D$67:$AL$67,MATCH(Q$7&amp;"",'Inputs (2)'!$D$2:$AL$2,0)),""),IFERROR(INDEX('Inputs (2)'!$D$68:$AL$68,MATCH(Q$7&amp;"",'Inputs (2)'!$D$2:$AL$2,0)),""))/1000,"")</f>
        <v>500.491</v>
      </c>
      <c r="R54" s="270">
        <f>IF(COUNT(Q54)=0,"",Q54)</f>
        <v>500.491</v>
      </c>
      <c r="S54" s="269">
        <f>IFERROR(SUM(IFERROR(INDEX('Inputs (2)'!$D$64:$AL$64,MATCH(S$7&amp;"",'Inputs (2)'!$D$2:$AL$2,0)),""),IFERROR(INDEX('Inputs (2)'!$D$65:$AL$65,MATCH(S$7&amp;"",'Inputs (2)'!$D$2:$AL$2,0)),""),IFERROR(INDEX('Inputs (2)'!$D$66:$AL$66,MATCH(S$7&amp;"",'Inputs (2)'!$D$2:$AL$2,0)),""),IFERROR(INDEX('Inputs (2)'!$D$67:$AL$67,MATCH(S$7&amp;"",'Inputs (2)'!$D$2:$AL$2,0)),""),IFERROR(INDEX('Inputs (2)'!$D$68:$AL$68,MATCH(S$7&amp;"",'Inputs (2)'!$D$2:$AL$2,0)),""))/1000,"")</f>
        <v>518.1037407</v>
      </c>
      <c r="T54" s="269">
        <f>IFERROR(SUM(IFERROR(INDEX('Inputs (2)'!$D$64:$AL$64,MATCH(T$7&amp;"",'Inputs (2)'!$D$2:$AL$2,0)),""),IFERROR(INDEX('Inputs (2)'!$D$65:$AL$65,MATCH(T$7&amp;"",'Inputs (2)'!$D$2:$AL$2,0)),""),IFERROR(INDEX('Inputs (2)'!$D$66:$AL$66,MATCH(T$7&amp;"",'Inputs (2)'!$D$2:$AL$2,0)),""),IFERROR(INDEX('Inputs (2)'!$D$67:$AL$67,MATCH(T$7&amp;"",'Inputs (2)'!$D$2:$AL$2,0)),""),IFERROR(INDEX('Inputs (2)'!$D$68:$AL$68,MATCH(T$7&amp;"",'Inputs (2)'!$D$2:$AL$2,0)),""))/1000,"")</f>
        <v>524.995</v>
      </c>
      <c r="U54" s="269">
        <f>IFERROR(SUM(IFERROR(INDEX('Inputs (2)'!$D$64:$AL$64,MATCH(U$7&amp;"",'Inputs (2)'!$D$2:$AL$2,0)),""),IFERROR(INDEX('Inputs (2)'!$D$65:$AL$65,MATCH(U$7&amp;"",'Inputs (2)'!$D$2:$AL$2,0)),""),IFERROR(INDEX('Inputs (2)'!$D$66:$AL$66,MATCH(U$7&amp;"",'Inputs (2)'!$D$2:$AL$2,0)),""),IFERROR(INDEX('Inputs (2)'!$D$67:$AL$67,MATCH(U$7&amp;"",'Inputs (2)'!$D$2:$AL$2,0)),""),IFERROR(INDEX('Inputs (2)'!$D$68:$AL$68,MATCH(U$7&amp;"",'Inputs (2)'!$D$2:$AL$2,0)),""))/1000,"")</f>
        <v>544.4256707</v>
      </c>
      <c r="V54" s="269">
        <f>IFERROR(SUM(IFERROR(INDEX('Inputs (2)'!$D$64:$AL$64,MATCH(V$7&amp;"",'Inputs (2)'!$D$2:$AL$2,0)),""),IFERROR(INDEX('Inputs (2)'!$D$65:$AL$65,MATCH(V$7&amp;"",'Inputs (2)'!$D$2:$AL$2,0)),""),IFERROR(INDEX('Inputs (2)'!$D$66:$AL$66,MATCH(V$7&amp;"",'Inputs (2)'!$D$2:$AL$2,0)),""),IFERROR(INDEX('Inputs (2)'!$D$67:$AL$67,MATCH(V$7&amp;"",'Inputs (2)'!$D$2:$AL$2,0)),""),IFERROR(INDEX('Inputs (2)'!$D$68:$AL$68,MATCH(V$7&amp;"",'Inputs (2)'!$D$2:$AL$2,0)),""))/1000,"")</f>
        <v>586.8042907</v>
      </c>
      <c r="W54" s="270">
        <f>IF(COUNT(V54)=0,"",V54)</f>
        <v>586.8042907</v>
      </c>
      <c r="X54" s="269">
        <f>IFERROR(SUM(IFERROR(INDEX('Inputs (2)'!$D$64:$AL$64,MATCH(X$7&amp;"",'Inputs (2)'!$D$2:$AL$2,0)),""),IFERROR(INDEX('Inputs (2)'!$D$65:$AL$65,MATCH(X$7&amp;"",'Inputs (2)'!$D$2:$AL$2,0)),""),IFERROR(INDEX('Inputs (2)'!$D$66:$AL$66,MATCH(X$7&amp;"",'Inputs (2)'!$D$2:$AL$2,0)),""),IFERROR(INDEX('Inputs (2)'!$D$67:$AL$67,MATCH(X$7&amp;"",'Inputs (2)'!$D$2:$AL$2,0)),""),IFERROR(INDEX('Inputs (2)'!$D$68:$AL$68,MATCH(X$7&amp;"",'Inputs (2)'!$D$2:$AL$2,0)),""))/1000,"")</f>
        <v>593.5297007</v>
      </c>
      <c r="Y54" s="269">
        <f>IFERROR(SUM(IFERROR(INDEX('Inputs (2)'!$D$64:$AL$64,MATCH(Y$7&amp;"",'Inputs (2)'!$D$2:$AL$2,0)),""),IFERROR(INDEX('Inputs (2)'!$D$65:$AL$65,MATCH(Y$7&amp;"",'Inputs (2)'!$D$2:$AL$2,0)),""),IFERROR(INDEX('Inputs (2)'!$D$66:$AL$66,MATCH(Y$7&amp;"",'Inputs (2)'!$D$2:$AL$2,0)),""),IFERROR(INDEX('Inputs (2)'!$D$67:$AL$67,MATCH(Y$7&amp;"",'Inputs (2)'!$D$2:$AL$2,0)),""),IFERROR(INDEX('Inputs (2)'!$D$68:$AL$68,MATCH(Y$7&amp;"",'Inputs (2)'!$D$2:$AL$2,0)),""))/1000,"")</f>
        <v>603.4734434</v>
      </c>
      <c r="Z54" s="269">
        <f>IFERROR(SUM(IFERROR(INDEX('Inputs (2)'!$D$64:$AL$64,MATCH(Z$7&amp;"",'Inputs (2)'!$D$2:$AL$2,0)),""),IFERROR(INDEX('Inputs (2)'!$D$65:$AL$65,MATCH(Z$7&amp;"",'Inputs (2)'!$D$2:$AL$2,0)),""),IFERROR(INDEX('Inputs (2)'!$D$66:$AL$66,MATCH(Z$7&amp;"",'Inputs (2)'!$D$2:$AL$2,0)),""),IFERROR(INDEX('Inputs (2)'!$D$67:$AL$67,MATCH(Z$7&amp;"",'Inputs (2)'!$D$2:$AL$2,0)),""),IFERROR(INDEX('Inputs (2)'!$D$68:$AL$68,MATCH(Z$7&amp;"",'Inputs (2)'!$D$2:$AL$2,0)),""))/1000,"")</f>
        <v>617.8244934</v>
      </c>
      <c r="AA54" s="269">
        <f>IFERROR(SUM(IFERROR(INDEX('Inputs (2)'!$D$64:$AL$64,MATCH(AA$7&amp;"",'Inputs (2)'!$D$2:$AL$2,0)),""),IFERROR(INDEX('Inputs (2)'!$D$65:$AL$65,MATCH(AA$7&amp;"",'Inputs (2)'!$D$2:$AL$2,0)),""),IFERROR(INDEX('Inputs (2)'!$D$66:$AL$66,MATCH(AA$7&amp;"",'Inputs (2)'!$D$2:$AL$2,0)),""),IFERROR(INDEX('Inputs (2)'!$D$67:$AL$67,MATCH(AA$7&amp;"",'Inputs (2)'!$D$2:$AL$2,0)),""),IFERROR(INDEX('Inputs (2)'!$D$68:$AL$68,MATCH(AA$7&amp;"",'Inputs (2)'!$D$2:$AL$2,0)),""))/1000,"")</f>
        <v>632.5061034</v>
      </c>
      <c r="AB54" s="270">
        <f>IF(COUNT(AA54)=0,"",AA54)</f>
        <v>632.5061034</v>
      </c>
      <c r="AC54" s="269">
        <f>IFERROR(SUM(IFERROR(INDEX('Inputs (2)'!$D$64:$AL$64,MATCH(AC$7&amp;"",'Inputs (2)'!$D$2:$AL$2,0)),""),IFERROR(INDEX('Inputs (2)'!$D$65:$AL$65,MATCH(AC$7&amp;"",'Inputs (2)'!$D$2:$AL$2,0)),""),IFERROR(INDEX('Inputs (2)'!$D$66:$AL$66,MATCH(AC$7&amp;"",'Inputs (2)'!$D$2:$AL$2,0)),""),IFERROR(INDEX('Inputs (2)'!$D$67:$AL$67,MATCH(AC$7&amp;"",'Inputs (2)'!$D$2:$AL$2,0)),""),IFERROR(INDEX('Inputs (2)'!$D$68:$AL$68,MATCH(AC$7&amp;"",'Inputs (2)'!$D$2:$AL$2,0)),""))/1000,"")</f>
        <v>641.1161934</v>
      </c>
      <c r="AD54" s="269">
        <f>IFERROR(SUM(IFERROR(INDEX('Inputs (2)'!$D$64:$AL$64,MATCH(AD$7&amp;"",'Inputs (2)'!$D$2:$AL$2,0)),""),IFERROR(INDEX('Inputs (2)'!$D$65:$AL$65,MATCH(AD$7&amp;"",'Inputs (2)'!$D$2:$AL$2,0)),""),IFERROR(INDEX('Inputs (2)'!$D$66:$AL$66,MATCH(AD$7&amp;"",'Inputs (2)'!$D$2:$AL$2,0)),""),IFERROR(INDEX('Inputs (2)'!$D$67:$AL$67,MATCH(AD$7&amp;"",'Inputs (2)'!$D$2:$AL$2,0)),""),IFERROR(INDEX('Inputs (2)'!$D$68:$AL$68,MATCH(AD$7&amp;"",'Inputs (2)'!$D$2:$AL$2,0)),""))/1000,"")</f>
        <v>651.8692634</v>
      </c>
      <c r="AE54" s="269">
        <f>IFERROR(SUM(IFERROR(INDEX('Inputs (2)'!$D$64:$AL$64,MATCH(AE$7&amp;"",'Inputs (2)'!$D$2:$AL$2,0)),""),IFERROR(INDEX('Inputs (2)'!$D$65:$AL$65,MATCH(AE$7&amp;"",'Inputs (2)'!$D$2:$AL$2,0)),""),IFERROR(INDEX('Inputs (2)'!$D$66:$AL$66,MATCH(AE$7&amp;"",'Inputs (2)'!$D$2:$AL$2,0)),""),IFERROR(INDEX('Inputs (2)'!$D$67:$AL$67,MATCH(AE$7&amp;"",'Inputs (2)'!$D$2:$AL$2,0)),""),IFERROR(INDEX('Inputs (2)'!$D$68:$AL$68,MATCH(AE$7&amp;"",'Inputs (2)'!$D$2:$AL$2,0)),""))/1000,"")</f>
        <v>793.1379034</v>
      </c>
      <c r="AF54" s="269">
        <f>IFERROR(SUM(IFERROR(INDEX('Inputs (2)'!$D$64:$AL$64,MATCH(AF$7&amp;"",'Inputs (2)'!$D$2:$AL$2,0)),""),IFERROR(INDEX('Inputs (2)'!$D$65:$AL$65,MATCH(AF$7&amp;"",'Inputs (2)'!$D$2:$AL$2,0)),""),IFERROR(INDEX('Inputs (2)'!$D$66:$AL$66,MATCH(AF$7&amp;"",'Inputs (2)'!$D$2:$AL$2,0)),""),IFERROR(INDEX('Inputs (2)'!$D$67:$AL$67,MATCH(AF$7&amp;"",'Inputs (2)'!$D$2:$AL$2,0)),""),IFERROR(INDEX('Inputs (2)'!$D$68:$AL$68,MATCH(AF$7&amp;"",'Inputs (2)'!$D$2:$AL$2,0)),""))/1000,"")</f>
        <v>801.4522334</v>
      </c>
      <c r="AG54" s="270">
        <f>IF(COUNT(AF54)=0,"",AF54)</f>
        <v>801.4522334</v>
      </c>
      <c r="AH54" s="270">
        <f>IFERROR(SUM(IFERROR(INDEX('Inputs (2)'!$D$64:$AL$64,MATCH(AH$7&amp;"",'Inputs (2)'!$D$2:$AL$2,0)),""),IFERROR(INDEX('Inputs (2)'!$D$65:$AL$65,MATCH(AH$7&amp;"",'Inputs (2)'!$D$2:$AL$2,0)),""),IFERROR(INDEX('Inputs (2)'!$D$66:$AL$66,MATCH(AH$7&amp;"",'Inputs (2)'!$D$2:$AL$2,0)),""),IFERROR(INDEX('Inputs (2)'!$D$67:$AL$67,MATCH(AH$7&amp;"",'Inputs (2)'!$D$2:$AL$2,0)),""),IFERROR(INDEX('Inputs (2)'!$D$68:$AL$68,MATCH(AH$7&amp;"",'Inputs (2)'!$D$2:$AL$2,0)),""))/1000,"")</f>
        <v>812.724</v>
      </c>
      <c r="AI54" s="270">
        <f>IFERROR(SUM(IFERROR(INDEX('Inputs (2)'!$D$64:$AL$64,MATCH(AI$7&amp;"",'Inputs (2)'!$D$2:$AL$2,0)),""),IFERROR(INDEX('Inputs (2)'!$D$65:$AL$65,MATCH(AI$7&amp;"",'Inputs (2)'!$D$2:$AL$2,0)),""),IFERROR(INDEX('Inputs (2)'!$D$66:$AL$66,MATCH(AI$7&amp;"",'Inputs (2)'!$D$2:$AL$2,0)),""),IFERROR(INDEX('Inputs (2)'!$D$67:$AL$67,MATCH(AI$7&amp;"",'Inputs (2)'!$D$2:$AL$2,0)),""),IFERROR(INDEX('Inputs (2)'!$D$68:$AL$68,MATCH(AI$7&amp;"",'Inputs (2)'!$D$2:$AL$2,0)),""))/1000,"")</f>
        <v>826.3681034</v>
      </c>
    </row>
    <row r="55">
      <c r="C55" s="268" t="inlineStr">
        <is>
          <t xml:space="preserve">   % YoY area de vendas</t>
        </is>
      </c>
      <c r="D55" s="272" t="str">
        <f>""</f>
        <v/>
      </c>
      <c r="E55" s="272" t="str">
        <f>""</f>
        <v/>
      </c>
      <c r="F55" s="272" t="str">
        <f>""</f>
        <v/>
      </c>
      <c r="G55" s="272" t="str">
        <f>""</f>
        <v/>
      </c>
      <c r="H55" s="273" t="str">
        <f>""</f>
        <v/>
      </c>
      <c r="I55" s="272" t="str">
        <f>IFERROR(I54/D54-1,"")</f>
        <v/>
      </c>
      <c r="J55" s="272" t="str">
        <f>IFERROR(J54/E54-1,"")</f>
        <v/>
      </c>
      <c r="K55" s="272" t="str">
        <f>IFERROR(K54/F54-1,"")</f>
        <v/>
      </c>
      <c r="L55" s="272" t="str">
        <f>IFERROR(L54/G54-1,"")</f>
        <v/>
      </c>
      <c r="M55" s="273" t="str">
        <f>IFERROR(M54/H54-1,"")</f>
        <v/>
      </c>
      <c r="N55" s="272">
        <f>IFERROR(N54/I54-1,"")</f>
        <v>0.294055153857831</v>
      </c>
      <c r="O55" s="272">
        <f>IFERROR(O54/J54-1,"")</f>
        <v>0.253120624403912</v>
      </c>
      <c r="P55" s="272">
        <f>IFERROR(P54/K54-1,"")</f>
        <v>0.238200161755252</v>
      </c>
      <c r="Q55" s="272">
        <f>IFERROR(Q54/L54-1,"")</f>
        <v>0.227213990245864</v>
      </c>
      <c r="R55" s="273">
        <f>IFERROR(R54/M54-1,"")</f>
        <v>0.227213990245864</v>
      </c>
      <c r="S55" s="272">
        <f>IFERROR(S54/N54-1,"")</f>
        <v>0.144535475041752</v>
      </c>
      <c r="T55" s="272">
        <f>IFERROR(T54/O54-1,"")</f>
        <v>0.125750775703279</v>
      </c>
      <c r="U55" s="272">
        <f>IFERROR(U54/P54-1,"")</f>
        <v>0.139781330366078</v>
      </c>
      <c r="V55" s="272">
        <f>IFERROR(V54/Q54-1,"")</f>
        <v>0.17245722840171</v>
      </c>
      <c r="W55" s="273">
        <f>IFERROR(W54/R54-1,"")</f>
        <v>0.17245722840171</v>
      </c>
      <c r="X55" s="272">
        <f>IFERROR(X54/S54-1,"")</f>
        <v>0.14558080568593</v>
      </c>
      <c r="Y55" s="272">
        <f>IFERROR(Y54/T54-1,"")</f>
        <v>0.149484172992124</v>
      </c>
      <c r="Z55" s="272">
        <f>IFERROR(Z54/U54-1,"")</f>
        <v>0.134818813017444</v>
      </c>
      <c r="AA55" s="272">
        <f>IFERROR(AA54/V54-1,"")</f>
        <v>0.0778825469143762</v>
      </c>
      <c r="AB55" s="273">
        <f>IFERROR(AB54/W54-1,"")</f>
        <v>0.0778825469143762</v>
      </c>
      <c r="AC55" s="272">
        <f>IFERROR(AC54/X54-1,"")</f>
        <v>0.0801754194337323</v>
      </c>
      <c r="AD55" s="272">
        <f>IFERROR(AD54/Y54-1,"")</f>
        <v>0.0801954427809375</v>
      </c>
      <c r="AE55" s="272">
        <f>IFERROR(AE54/Z54-1,"")</f>
        <v>0.283759242103236</v>
      </c>
      <c r="AF55" s="272">
        <f>IFERROR(AF54/AA54-1,"")</f>
        <v>0.267105928451662</v>
      </c>
      <c r="AG55" s="273">
        <f>IFERROR(AG54/AB54-1,"")</f>
        <v>0.267105928451662</v>
      </c>
      <c r="AH55" s="273">
        <f>IFERROR(AH54/AC54-1,"")</f>
        <v>0.267670366723886</v>
      </c>
      <c r="AI55" s="273">
        <f>IFERROR(AI54/AD54-1,"")</f>
        <v>0.267689933852463</v>
      </c>
    </row>
    <row r="56">
      <c r="C56" s="268" t="inlineStr">
        <is>
          <t>SSS consolidado (% YoY, sem ajuste calendario)</t>
        </is>
      </c>
      <c r="D56" s="272" t="str">
        <f>IFERROR(INDEX('Inputs (2)'!$D$69:$AL$69,MATCH(D$7&amp;"",'Inputs (2)'!$D$2:$AL$2,0)),"")</f>
        <v/>
      </c>
      <c r="E56" s="272" t="str">
        <f>IFERROR(INDEX('Inputs (2)'!$D$69:$AL$69,MATCH(E$7&amp;"",'Inputs (2)'!$D$2:$AL$2,0)),"")</f>
        <v/>
      </c>
      <c r="F56" s="272" t="str">
        <f>IFERROR(INDEX('Inputs (2)'!$D$69:$AL$69,MATCH(F$7&amp;"",'Inputs (2)'!$D$2:$AL$2,0)),"")</f>
        <v/>
      </c>
      <c r="G56" s="272" t="str">
        <f>IFERROR(INDEX('Inputs (2)'!$D$69:$AL$69,MATCH(G$7&amp;"",'Inputs (2)'!$D$2:$AL$2,0)),"")</f>
        <v/>
      </c>
      <c r="H56" s="273" t="n"/>
      <c r="I56" s="272">
        <f>IFERROR(INDEX('Inputs (2)'!$D$69:$AL$69,MATCH(I$7&amp;"",'Inputs (2)'!$D$2:$AL$2,0)),"")</f>
        <v>0.1</v>
      </c>
      <c r="J56" s="272">
        <f>IFERROR(INDEX('Inputs (2)'!$D$69:$AL$69,MATCH(J$7&amp;"",'Inputs (2)'!$D$2:$AL$2,0)),"")</f>
        <v>0.018</v>
      </c>
      <c r="K56" s="272">
        <f>IFERROR(INDEX('Inputs (2)'!$D$69:$AL$69,MATCH(K$7&amp;"",'Inputs (2)'!$D$2:$AL$2,0)),"")</f>
        <v>0.015</v>
      </c>
      <c r="L56" s="272">
        <f>IFERROR(INDEX('Inputs (2)'!$D$69:$AL$69,MATCH(L$7&amp;"",'Inputs (2)'!$D$2:$AL$2,0)),"")</f>
        <v>0.014</v>
      </c>
      <c r="M56" s="273" t="n"/>
      <c r="N56" s="272">
        <f>IFERROR(INDEX('Inputs (2)'!$D$69:$AL$69,MATCH(N$7&amp;"",'Inputs (2)'!$D$2:$AL$2,0)),"")</f>
        <v>0.127</v>
      </c>
      <c r="O56" s="272">
        <f>IFERROR(INDEX('Inputs (2)'!$D$69:$AL$69,MATCH(O$7&amp;"",'Inputs (2)'!$D$2:$AL$2,0)),"")</f>
        <v>0.167</v>
      </c>
      <c r="P56" s="272">
        <f>IFERROR(INDEX('Inputs (2)'!$D$69:$AL$69,MATCH(P$7&amp;"",'Inputs (2)'!$D$2:$AL$2,0)),"")</f>
        <v>0.117</v>
      </c>
      <c r="Q56" s="272">
        <f>IFERROR(INDEX('Inputs (2)'!$D$69:$AL$69,MATCH(Q$7&amp;"",'Inputs (2)'!$D$2:$AL$2,0)),"")</f>
        <v>0.117</v>
      </c>
      <c r="R56" s="273" t="n"/>
      <c r="S56" s="272">
        <f>IFERROR(INDEX('Inputs (2)'!$D$69:$AL$69,MATCH(S$7&amp;"",'Inputs (2)'!$D$2:$AL$2,0)),"")</f>
        <v>0.113</v>
      </c>
      <c r="T56" s="272">
        <f>IFERROR(INDEX('Inputs (2)'!$D$69:$AL$69,MATCH(T$7&amp;"",'Inputs (2)'!$D$2:$AL$2,0)),"")</f>
        <v>0.104</v>
      </c>
      <c r="U56" s="272">
        <f>IFERROR(INDEX('Inputs (2)'!$D$69:$AL$69,MATCH(U$7&amp;"",'Inputs (2)'!$D$2:$AL$2,0)),"")</f>
        <v>0.043</v>
      </c>
      <c r="V56" s="272">
        <f>IFERROR(INDEX('Inputs (2)'!$D$69:$AL$69,MATCH(V$7&amp;"",'Inputs (2)'!$D$2:$AL$2,0)),"")</f>
        <v>0.088</v>
      </c>
      <c r="W56" s="273" t="n"/>
      <c r="X56" s="272">
        <f>IFERROR(INDEX('Inputs (2)'!$D$69:$AL$69,MATCH(X$7&amp;"",'Inputs (2)'!$D$2:$AL$2,0)),"")</f>
        <v>0.096</v>
      </c>
      <c r="Y56" s="272">
        <f>IFERROR(INDEX('Inputs (2)'!$D$69:$AL$69,MATCH(Y$7&amp;"",'Inputs (2)'!$D$2:$AL$2,0)),"")</f>
        <v>0.048</v>
      </c>
      <c r="Z56" s="272">
        <f>IFERROR(INDEX('Inputs (2)'!$D$69:$AL$69,MATCH(Z$7&amp;"",'Inputs (2)'!$D$2:$AL$2,0)),"")</f>
        <v>0.077</v>
      </c>
      <c r="AA56" s="272">
        <f>IFERROR(INDEX('Inputs (2)'!$D$69:$AL$69,MATCH(AA$7&amp;"",'Inputs (2)'!$D$2:$AL$2,0)),"")</f>
        <v>0.059</v>
      </c>
      <c r="AB56" s="273" t="n"/>
      <c r="AC56" s="272">
        <f>IFERROR(INDEX('Inputs (2)'!$D$69:$AL$69,MATCH(AC$7&amp;"",'Inputs (2)'!$D$2:$AL$2,0)),"")</f>
        <v>0.052</v>
      </c>
      <c r="AD56" s="272">
        <f>IFERROR(INDEX('Inputs (2)'!$D$69:$AL$69,MATCH(AD$7&amp;"",'Inputs (2)'!$D$2:$AL$2,0)),"")</f>
        <v>0.061</v>
      </c>
      <c r="AE56" s="272">
        <f>IFERROR(INDEX('Inputs (2)'!$D$69:$AL$69,MATCH(AE$7&amp;"",'Inputs (2)'!$D$2:$AL$2,0)),"")</f>
        <v>0.028</v>
      </c>
      <c r="AF56" s="272">
        <f>IFERROR(INDEX('Inputs (2)'!$D$69:$AL$69,MATCH(AF$7&amp;"",'Inputs (2)'!$D$2:$AL$2,0)),"")</f>
        <v>-0.011</v>
      </c>
      <c r="AG56" s="273" t="n"/>
      <c r="AH56" s="273">
        <f>IFERROR(INDEX('Inputs (2)'!$D$69:$AL$69,MATCH(AH$7&amp;"",'Inputs (2)'!$D$2:$AL$2,0)),"")</f>
        <v>-0.073</v>
      </c>
      <c r="AI56" s="273">
        <f>IFERROR(INDEX('Inputs (2)'!$D$69:$AL$69,MATCH(AI$7&amp;"",'Inputs (2)'!$D$2:$AL$2,0)),"")</f>
        <v>-0.08</v>
      </c>
    </row>
    <row r="57">
      <c r="C57" s="268" t="inlineStr">
        <is>
          <t>Receita bruta por m2 - Atacarejo (R$/m2/mes, area media)</t>
        </is>
      </c>
      <c r="D57" s="269" t="str">
        <f>""</f>
        <v/>
      </c>
      <c r="E57" s="269" t="str">
        <f>IFERROR(E19*1000/AVERAGE(E51,D51)/3,"")</f>
        <v/>
      </c>
      <c r="F57" s="269" t="str">
        <f>IFERROR(F19*1000/AVERAGE(F51,E51)/3,"")</f>
        <v/>
      </c>
      <c r="G57" s="269" t="str">
        <f>IFERROR(G19*1000/AVERAGE(G51,F51)/3,"")</f>
        <v/>
      </c>
      <c r="H57" s="270" t="n"/>
      <c r="I57" s="269">
        <f>IFERROR(I19*1000/AVERAGE(I51,G51)/3,"")</f>
        <v>3534.25852866797</v>
      </c>
      <c r="J57" s="269">
        <f>IFERROR(J19*1000/AVERAGE(J51,I51)/3,"")</f>
        <v>3720.29394666174</v>
      </c>
      <c r="K57" s="269">
        <f>IFERROR(K19*1000/AVERAGE(K51,J51)/3,"")</f>
        <v>4156.66299748283</v>
      </c>
      <c r="L57" s="269">
        <f>IFERROR(L19*1000/AVERAGE(L51,K51)/3,"")</f>
        <v>4144.9826527889</v>
      </c>
      <c r="M57" s="270">
        <f>IFERROR(M19*1000/AVERAGE(M51,H51)/12,"")</f>
        <v>3544.95439173214</v>
      </c>
      <c r="N57" s="269">
        <f>IFERROR(N19*1000/AVERAGE(N51,L51)/3,"")</f>
        <v>3802.93706547587</v>
      </c>
      <c r="O57" s="269">
        <f>IFERROR(O19*1000/AVERAGE(O51,N51)/3,"")</f>
        <v>4074.21802855261</v>
      </c>
      <c r="P57" s="269">
        <f>IFERROR(P19*1000/AVERAGE(P51,O51)/3,"")</f>
        <v>4581.24967481426</v>
      </c>
      <c r="Q57" s="269">
        <f>IFERROR(Q19*1000/AVERAGE(Q51,P51)/3,"")</f>
        <v>4426.76537958216</v>
      </c>
      <c r="R57" s="270">
        <f>IFERROR(R19*1000/AVERAGE(R51,M51)/12,"")</f>
        <v>4302.53716482988</v>
      </c>
      <c r="S57" s="269">
        <f>IFERROR(S19*1000/AVERAGE(S51,Q51)/3,"")</f>
        <v>4060.25952496257</v>
      </c>
      <c r="T57" s="269">
        <f>IFERROR(T19*1000/AVERAGE(T51,S51)/3,"")</f>
        <v>4318.91025604679</v>
      </c>
      <c r="U57" s="269">
        <f>IFERROR(U19*1000/AVERAGE(U51,T51)/3,"")</f>
        <v>4484.56759260756</v>
      </c>
      <c r="V57" s="269">
        <f>IFERROR(V19*1000/AVERAGE(V51,U51)/3,"")</f>
        <v>4631.67114151925</v>
      </c>
      <c r="W57" s="270">
        <f>IFERROR(W19*1000/AVERAGE(W51,R51)/12,"")</f>
        <v>4240.9428915955</v>
      </c>
      <c r="X57" s="269">
        <f>IFERROR(X19*1000/AVERAGE(X51,V51)/3,"")</f>
        <v>4258.78650480545</v>
      </c>
      <c r="Y57" s="269">
        <f>IFERROR(Y19*1000/AVERAGE(Y51,X51)/3,"")</f>
        <v>4252.80327327613</v>
      </c>
      <c r="Z57" s="269">
        <f>IFERROR(Z19*1000/AVERAGE(Z51,Y51)/3,"")</f>
        <v>4600.61208640536</v>
      </c>
      <c r="AA57" s="269">
        <f>IFERROR(AA19*1000/AVERAGE(AA51,Z51)/3,"")</f>
        <v>4724.79821324435</v>
      </c>
      <c r="AB57" s="270">
        <f>IFERROR(AB19*1000/AVERAGE(AB51,W51)/12,"")</f>
        <v>4444.27357653827</v>
      </c>
      <c r="AC57" s="269">
        <f>IFERROR(AC19*1000/AVERAGE(AC51,AA51)/3,"")</f>
        <v>4327.1275394587</v>
      </c>
      <c r="AD57" s="269">
        <f>IFERROR(AD19*1000/AVERAGE(AD51,AC51)/3,"")</f>
        <v>4433.17223715868</v>
      </c>
      <c r="AE57" s="269">
        <f>IFERROR(AE19*1000/AVERAGE(AE51,AD51)/3,"")</f>
        <v>5042.72797132518</v>
      </c>
      <c r="AF57" s="269">
        <f>IFERROR(AF19*1000/AVERAGE(AF51,AE51)/3,"")</f>
        <v>4238.81195144415</v>
      </c>
      <c r="AG57" s="270">
        <f>IFERROR(AG19*1000/AVERAGE(AG51,AB51)/12,"")</f>
        <v>4333.77695323714</v>
      </c>
      <c r="AH57" s="270" t="str">
        <f>IFERROR(AH19*1000/AVERAGE(AH51,AF51)/3,"")</f>
        <v/>
      </c>
      <c r="AI57" s="270" t="str">
        <f>IFERROR(AI19*1000/AVERAGE(AI51,AH51)/3,"")</f>
        <v/>
      </c>
    </row>
    <row r="58">
      <c r="C58" s="268" t="inlineStr">
        <is>
          <t>Receita bruta por m2 - Varejo (R$/m2/mes, area media)</t>
        </is>
      </c>
      <c r="D58" s="269" t="str">
        <f>""</f>
        <v/>
      </c>
      <c r="E58" s="269" t="str">
        <f>IFERROR(E20*1000/AVERAGE(E52,D52)/3,"")</f>
        <v/>
      </c>
      <c r="F58" s="269" t="str">
        <f>IFERROR(F20*1000/AVERAGE(F52,E52)/3,"")</f>
        <v/>
      </c>
      <c r="G58" s="269" t="str">
        <f>IFERROR(G20*1000/AVERAGE(G52,F52)/3,"")</f>
        <v/>
      </c>
      <c r="H58" s="270" t="n"/>
      <c r="I58" s="269">
        <f>IFERROR(I20*1000/AVERAGE(I52,G52)/3,"")</f>
        <v>3953.58339634037</v>
      </c>
      <c r="J58" s="269">
        <f>IFERROR(J20*1000/AVERAGE(J52,I52)/3,"")</f>
        <v>4272.95160326193</v>
      </c>
      <c r="K58" s="269">
        <f>IFERROR(K20*1000/AVERAGE(K52,J52)/3,"")</f>
        <v>4958.92174281037</v>
      </c>
      <c r="L58" s="269">
        <f>IFERROR(L20*1000/AVERAGE(L52,K52)/3,"")</f>
        <v>4809.0574411547</v>
      </c>
      <c r="M58" s="270">
        <f>IFERROR(M20*1000/AVERAGE(M52,H52)/12,"")</f>
        <v>4118.15295051601</v>
      </c>
      <c r="N58" s="269">
        <f>IFERROR(N20*1000/AVERAGE(N52,L52)/3,"")</f>
        <v>4415.34827781947</v>
      </c>
      <c r="O58" s="269">
        <f>IFERROR(O20*1000/AVERAGE(O52,N52)/3,"")</f>
        <v>4592.15596343262</v>
      </c>
      <c r="P58" s="269">
        <f>IFERROR(P20*1000/AVERAGE(P52,O52)/3,"")</f>
        <v>5102.98743783437</v>
      </c>
      <c r="Q58" s="269">
        <f>IFERROR(Q20*1000/AVERAGE(Q52,P52)/3,"")</f>
        <v>5221.15747210577</v>
      </c>
      <c r="R58" s="270">
        <f>IFERROR(R20*1000/AVERAGE(R52,M52)/12,"")</f>
        <v>5020.02701730169</v>
      </c>
      <c r="S58" s="269">
        <f>IFERROR(S20*1000/AVERAGE(S52,Q52)/3,"")</f>
        <v>4871.7863401433</v>
      </c>
      <c r="T58" s="269">
        <f>IFERROR(T20*1000/AVERAGE(T52,S52)/3,"")</f>
        <v>5181.78342243406</v>
      </c>
      <c r="U58" s="269">
        <f>IFERROR(U20*1000/AVERAGE(U52,T52)/3,"")</f>
        <v>5573.66247076346</v>
      </c>
      <c r="V58" s="269">
        <f>IFERROR(V20*1000/AVERAGE(V52,U52)/3,"")</f>
        <v>5635.7039050642</v>
      </c>
      <c r="W58" s="270">
        <f>IFERROR(W20*1000/AVERAGE(W52,R52)/12,"")</f>
        <v>5299.38781406556</v>
      </c>
      <c r="X58" s="269">
        <f>IFERROR(X20*1000/AVERAGE(X52,V52)/3,"")</f>
        <v>5456.7480354635</v>
      </c>
      <c r="Y58" s="269">
        <f>IFERROR(Y20*1000/AVERAGE(Y52,X52)/3,"")</f>
        <v>5444.14934669133</v>
      </c>
      <c r="Z58" s="269">
        <f>IFERROR(Z20*1000/AVERAGE(Z52,Y52)/3,"")</f>
        <v>5667.54933797667</v>
      </c>
      <c r="AA58" s="269">
        <f>IFERROR(AA20*1000/AVERAGE(AA52,Z52)/3,"")</f>
        <v>5754.76281230756</v>
      </c>
      <c r="AB58" s="270">
        <f>IFERROR(AB20*1000/AVERAGE(AB52,W52)/12,"")</f>
        <v>5510.46615168118</v>
      </c>
      <c r="AC58" s="269">
        <f>IFERROR(AC20*1000/AVERAGE(AC52,AA52)/3,"")</f>
        <v>5264.89300989714</v>
      </c>
      <c r="AD58" s="269">
        <f>IFERROR(AD20*1000/AVERAGE(AD52,AC52)/3,"")</f>
        <v>5295.74691613725</v>
      </c>
      <c r="AE58" s="269">
        <f>IFERROR(AE20*1000/AVERAGE(AE52,AD52)/3,"")</f>
        <v>5481.48325298577</v>
      </c>
      <c r="AF58" s="269">
        <f>IFERROR(AF20*1000/AVERAGE(AF52,AE52)/3,"")</f>
        <v>5570.11493638339</v>
      </c>
      <c r="AG58" s="270">
        <f>IFERROR(AG20*1000/AVERAGE(AG52,AB52)/12,"")</f>
        <v>5330.1373009404</v>
      </c>
      <c r="AH58" s="270" t="str">
        <f>IFERROR(AH20*1000/AVERAGE(AH52,AF52)/3,"")</f>
        <v/>
      </c>
      <c r="AI58" s="270" t="str">
        <f>IFERROR(AI20*1000/AVERAGE(AI52,AH52)/3,"")</f>
        <v/>
      </c>
    </row>
    <row r="59">
      <c r="C59" s="268" t="inlineStr">
        <is>
          <t>Receita bruta por m2 - Eletro (R$/m2/mes, area media)</t>
        </is>
      </c>
      <c r="D59" s="269" t="str">
        <f>""</f>
        <v/>
      </c>
      <c r="E59" s="269" t="str">
        <f>IFERROR(E21*1000/AVERAGE(E53,D53)/3,"")</f>
        <v/>
      </c>
      <c r="F59" s="269" t="str">
        <f>IFERROR(F21*1000/AVERAGE(F53,E53)/3,"")</f>
        <v/>
      </c>
      <c r="G59" s="269" t="str">
        <f>IFERROR(G21*1000/AVERAGE(G53,F53)/3,"")</f>
        <v/>
      </c>
      <c r="H59" s="270" t="n"/>
      <c r="I59" s="269">
        <f>IFERROR(I21*1000/AVERAGE(I53,G53)/3,"")</f>
        <v>781.729419995857</v>
      </c>
      <c r="J59" s="269">
        <f>IFERROR(J21*1000/AVERAGE(J53,I53)/3,"")</f>
        <v>933.895315408154</v>
      </c>
      <c r="K59" s="269">
        <f>IFERROR(K21*1000/AVERAGE(K53,J53)/3,"")</f>
        <v>961.094249489146</v>
      </c>
      <c r="L59" s="269">
        <f>IFERROR(L21*1000/AVERAGE(L53,K53)/3,"")</f>
        <v>1020.12653761367</v>
      </c>
      <c r="M59" s="270">
        <f>IFERROR(M21*1000/AVERAGE(M53,H53)/12,"")</f>
        <v>849.616946570622</v>
      </c>
      <c r="N59" s="269">
        <f>IFERROR(N21*1000/AVERAGE(N53,L53)/3,"")</f>
        <v>865.300438396355</v>
      </c>
      <c r="O59" s="269">
        <f>IFERROR(O21*1000/AVERAGE(O53,N53)/3,"")</f>
        <v>937.318102748077</v>
      </c>
      <c r="P59" s="269">
        <f>IFERROR(P21*1000/AVERAGE(P53,O53)/3,"")</f>
        <v>965.10055644079</v>
      </c>
      <c r="Q59" s="269">
        <f>IFERROR(Q21*1000/AVERAGE(Q53,P53)/3,"")</f>
        <v>983.313970130154</v>
      </c>
      <c r="R59" s="270">
        <f>IFERROR(R21*1000/AVERAGE(R53,M53)/12,"")</f>
        <v>945.776603671341</v>
      </c>
      <c r="S59" s="269">
        <f>IFERROR(S21*1000/AVERAGE(S53,Q53)/3,"")</f>
        <v>781.131116913847</v>
      </c>
      <c r="T59" s="269">
        <f>IFERROR(T21*1000/AVERAGE(T53,S53)/3,"")</f>
        <v>981.165673878852</v>
      </c>
      <c r="U59" s="269">
        <f>IFERROR(U21*1000/AVERAGE(U53,T53)/3,"")</f>
        <v>1059.27949283843</v>
      </c>
      <c r="V59" s="269">
        <f>IFERROR(V21*1000/AVERAGE(V53,U53)/3,"")</f>
        <v>1134.78516207142</v>
      </c>
      <c r="W59" s="270">
        <f>IFERROR(W21*1000/AVERAGE(W53,R53)/12,"")</f>
        <v>991.657735879247</v>
      </c>
      <c r="X59" s="269">
        <f>IFERROR(X21*1000/AVERAGE(X53,V53)/3,"")</f>
        <v>876.49782900555</v>
      </c>
      <c r="Y59" s="269">
        <f>IFERROR(Y21*1000/AVERAGE(Y53,X53)/3,"")</f>
        <v>1058.4754244184</v>
      </c>
      <c r="Z59" s="269">
        <f>IFERROR(Z21*1000/AVERAGE(Z53,Y53)/3,"")</f>
        <v>1133.78701972323</v>
      </c>
      <c r="AA59" s="269">
        <f>IFERROR(AA21*1000/AVERAGE(AA53,Z53)/3,"")</f>
        <v>1195.58553345557</v>
      </c>
      <c r="AB59" s="270">
        <f>IFERROR(AB21*1000/AVERAGE(AB53,W53)/12,"")</f>
        <v>1065.02057355805</v>
      </c>
      <c r="AC59" s="269">
        <f>IFERROR(AC21*1000/AVERAGE(AC53,AA53)/3,"")</f>
        <v>858.318729665302</v>
      </c>
      <c r="AD59" s="269">
        <f>IFERROR(AD21*1000/AVERAGE(AD53,AC53)/3,"")</f>
        <v>972.20685234554</v>
      </c>
      <c r="AE59" s="269">
        <f>IFERROR(AE21*1000/AVERAGE(AE53,AD53)/3,"")</f>
        <v>1056.71126660325</v>
      </c>
      <c r="AF59" s="269">
        <f>IFERROR(AF21*1000/AVERAGE(AF53,AE53)/3,"")</f>
        <v>1416.16148552081</v>
      </c>
      <c r="AG59" s="270">
        <f>IFERROR(AG21*1000/AVERAGE(AG53,AB53)/12,"")</f>
        <v>1123.13321476242</v>
      </c>
      <c r="AH59" s="270" t="str">
        <f>IFERROR(AH21*1000/AVERAGE(AH53,AF53)/3,"")</f>
        <v/>
      </c>
      <c r="AI59" s="270" t="str">
        <f>IFERROR(AI21*1000/AVERAGE(AI53,AH53)/3,"")</f>
        <v/>
      </c>
    </row>
    <row r="60"/>
    <row r="61"/>
    <row r="62" hidden="1" outlineLevel="1" customFormat="1" s="43">
      <c r="A62" s="36" t="n"/>
      <c r="B62" s="37" t="n"/>
      <c r="C62" s="45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  <c r="BC62" s="39" t="n"/>
      <c r="BD62" s="39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39" t="n"/>
      <c r="BQ62" s="39" t="n"/>
      <c r="BR62" s="39" t="n"/>
      <c r="BS62" s="39" t="n"/>
      <c r="BT62" s="39" t="n"/>
      <c r="BU62" s="39" t="n"/>
      <c r="BV62" s="39" t="n"/>
      <c r="BW62" s="39" t="n"/>
      <c r="BX62" s="39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39" t="n"/>
      <c r="CH62" s="39" t="n"/>
      <c r="CI62" s="39" t="n"/>
      <c r="CJ62" s="39" t="n"/>
      <c r="CK62" s="39" t="n"/>
      <c r="CL62" s="39" t="n"/>
      <c r="CM62" s="39" t="n"/>
      <c r="CN62" s="39" t="n"/>
      <c r="CO62" s="39" t="n"/>
      <c r="CP62" s="39" t="n"/>
      <c r="CQ62" s="39" t="n"/>
      <c r="CR62" s="39" t="n"/>
      <c r="CS62" s="39" t="n"/>
      <c r="CT62" s="39" t="n"/>
      <c r="CU62" s="39" t="n"/>
      <c r="CV62" s="39" t="n"/>
      <c r="CW62" s="39" t="n"/>
      <c r="CX62" s="39" t="n"/>
      <c r="CY62" s="39" t="n"/>
    </row>
    <row r="63" hidden="1" outlineLevel="1" customFormat="1" s="43">
      <c r="A63" s="36" t="n"/>
      <c r="B63" s="37" t="n"/>
      <c r="C63" s="45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  <c r="BC63" s="39" t="n"/>
      <c r="BD63" s="39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39" t="n"/>
      <c r="BQ63" s="39" t="n"/>
      <c r="BR63" s="39" t="n"/>
      <c r="BS63" s="39" t="n"/>
      <c r="BT63" s="39" t="n"/>
      <c r="BU63" s="39" t="n"/>
      <c r="BV63" s="39" t="n"/>
      <c r="BW63" s="39" t="n"/>
      <c r="BX63" s="39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39" t="n"/>
      <c r="CH63" s="39" t="n"/>
      <c r="CI63" s="39" t="n"/>
      <c r="CJ63" s="39" t="n"/>
      <c r="CK63" s="39" t="n"/>
      <c r="CL63" s="39" t="n"/>
      <c r="CM63" s="39" t="n"/>
      <c r="CN63" s="39" t="n"/>
      <c r="CO63" s="39" t="n"/>
      <c r="CP63" s="39" t="n"/>
      <c r="CQ63" s="39" t="n"/>
      <c r="CR63" s="39" t="n"/>
      <c r="CS63" s="39" t="n"/>
      <c r="CT63" s="39" t="n"/>
      <c r="CU63" s="39" t="n"/>
      <c r="CV63" s="39" t="n"/>
      <c r="CW63" s="39" t="n"/>
      <c r="CX63" s="39" t="n"/>
      <c r="CY63" s="39" t="n"/>
    </row>
    <row r="64" collapsed="1">
      <c r="C64" s="13" t="inlineStr">
        <is>
          <t>COGS (cash)</t>
        </is>
      </c>
      <c r="D64" s="46" t="n"/>
      <c r="E64" s="46" t="n"/>
      <c r="F64" s="46" t="n"/>
      <c r="G64" s="46" t="n"/>
      <c r="H64" s="12" t="n"/>
      <c r="I64" s="46">
        <f>'Inputs (2)'!D5</f>
        <v>-2560.194066782</v>
      </c>
      <c r="J64" s="46">
        <f>'Inputs (2)'!E5</f>
        <v>-2861.692344669</v>
      </c>
      <c r="K64" s="46">
        <f>'Inputs (2)'!F5</f>
        <v>-3311.219</v>
      </c>
      <c r="L64" s="46">
        <f>'Inputs (2)'!G5</f>
        <v>-3441.309588549</v>
      </c>
      <c r="M64" s="12">
        <f>'Inputs (2)'!H5</f>
        <v>-12174.415</v>
      </c>
      <c r="N64" s="46">
        <f>'Inputs (2)'!I5</f>
        <v>-3553.067345893</v>
      </c>
      <c r="O64" s="46">
        <f>'Inputs (2)'!J5</f>
        <v>-4019.431</v>
      </c>
      <c r="P64" s="46">
        <f>'Inputs (2)'!K5</f>
        <v>-4568.982</v>
      </c>
      <c r="Q64" s="46">
        <f>'Inputs (2)'!L5</f>
        <v>-4752.904963332</v>
      </c>
      <c r="R64" s="12">
        <f>'Inputs (2)'!M5</f>
        <v>-16894.385309225</v>
      </c>
      <c r="S64" s="46">
        <f>'Inputs (2)'!N5</f>
        <v>-4574.505714343</v>
      </c>
      <c r="T64" s="46">
        <f>'Inputs (2)'!O5</f>
        <v>-4985.038</v>
      </c>
      <c r="U64" s="46">
        <f>'Inputs (2)'!P5</f>
        <v>-5374.203</v>
      </c>
      <c r="V64" s="46">
        <f>'Inputs (2)'!Q5</f>
        <v>-5849.003330647</v>
      </c>
      <c r="W64" s="12">
        <f>'Inputs (2)'!R5</f>
        <v>-20782.75004499</v>
      </c>
      <c r="X64" s="46">
        <f>'Inputs (2)'!S5</f>
        <v>-5732.716</v>
      </c>
      <c r="Y64" s="46">
        <f>'Inputs (2)'!T5</f>
        <v>-5926.46</v>
      </c>
      <c r="Z64" s="46">
        <f>'Inputs (2)'!U5</f>
        <v>-6479.36</v>
      </c>
      <c r="AA64" s="46">
        <f>'Inputs (2)'!V5</f>
        <v>-6821.183</v>
      </c>
      <c r="AB64" s="12">
        <f>'Inputs (2)'!W5</f>
        <v>-24959.719</v>
      </c>
      <c r="AC64" s="46">
        <f>'Inputs (2)'!X5</f>
        <v>-6478.662</v>
      </c>
      <c r="AD64" s="46">
        <f>'Inputs (2)'!Y5</f>
        <v>-6685.998</v>
      </c>
      <c r="AE64" s="46">
        <f>'Inputs (2)'!Z5</f>
        <v>-8470.764</v>
      </c>
      <c r="AF64" s="46">
        <f>'Inputs (2)'!AA5</f>
        <v>-8175.217446784</v>
      </c>
      <c r="AG64" s="12">
        <f>'Inputs (2)'!AB5</f>
        <v>-29810.641446784</v>
      </c>
      <c r="AH64" s="12">
        <f>'Inputs (2)'!AC5</f>
        <v>-7251.758</v>
      </c>
      <c r="AI64" s="12">
        <f>'Inputs (2)'!AD5</f>
        <v>-7541.266</v>
      </c>
      <c r="AJ64" s="12">
        <f>-(1-AJ65)*AJ15</f>
        <v>-9745.96512689414</v>
      </c>
      <c r="AK64" s="12">
        <f>-(1-AK65)*AK15</f>
        <v>-9552.54472086984</v>
      </c>
      <c r="AL64" s="12">
        <f>SUM(AH64:AK64)</f>
        <v>-34091.533847764</v>
      </c>
      <c r="AM64" s="12">
        <f>-(1-AM65)*AM15</f>
        <v>-8513.3898847798</v>
      </c>
      <c r="AN64" s="12">
        <f>-(1-AN65)*AN15</f>
        <v>-8921.02032994026</v>
      </c>
      <c r="AO64" s="12">
        <f>-(1-AO65)*AO15</f>
        <v>-11416.6345007447</v>
      </c>
      <c r="AP64" s="12">
        <f>-(1-AP65)*AP15</f>
        <v>-11190.0576505494</v>
      </c>
      <c r="AQ64" s="12">
        <f>SUM(AM64:AP64)</f>
        <v>-40041.1023660142</v>
      </c>
      <c r="AR64" s="12">
        <f>-(1-AR65)*AR15</f>
        <v>-9930.20223365671</v>
      </c>
      <c r="AS64" s="12">
        <f>-(1-AS65)*AS15</f>
        <v>-10405.6712080397</v>
      </c>
      <c r="AT64" s="12">
        <f>-(1-AT65)*AT15</f>
        <v>-13316.6095943543</v>
      </c>
      <c r="AU64" s="12">
        <f>-(1-AU65)*AU15</f>
        <v>-13052.3254520379</v>
      </c>
      <c r="AV64" s="12">
        <f>SUM(AR64:AU64)</f>
        <v>-46704.8084880886</v>
      </c>
      <c r="AW64" s="12">
        <f>-(1-AW65)*AW15</f>
        <v>-11533.1518130761</v>
      </c>
      <c r="AX64" s="12">
        <f>-(1-AX65)*AX15</f>
        <v>-12085.3717714351</v>
      </c>
      <c r="AY64" s="12">
        <f>-(1-AY65)*AY15</f>
        <v>-15466.1986204684</v>
      </c>
      <c r="AZ64" s="12">
        <f>-(1-AZ65)*AZ15</f>
        <v>-15159.2532971604</v>
      </c>
      <c r="BA64" s="12">
        <f>SUM(AW64:AZ64)</f>
        <v>-54243.9755021399</v>
      </c>
      <c r="BB64" s="12">
        <f>-(1-BB65)*BB15</f>
        <v>-13337.1863913403</v>
      </c>
      <c r="BC64" s="12">
        <f>-(1-BC65)*BC15</f>
        <v>-13975.7855039699</v>
      </c>
      <c r="BD64" s="12">
        <f>-(1-BD65)*BD15</f>
        <v>-17885.4468500801</v>
      </c>
      <c r="BE64" s="12">
        <f>-(1-BE65)*BE15</f>
        <v>-17530.4886343851</v>
      </c>
      <c r="BF64" s="12">
        <f>SUM(BB64:BE64)</f>
        <v>-62728.9073797754</v>
      </c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 customFormat="1" s="3">
      <c r="C65" s="47" t="inlineStr">
        <is>
          <t>% Gross Margin</t>
        </is>
      </c>
      <c r="D65" s="48" t="n"/>
      <c r="E65" s="48" t="n"/>
      <c r="F65" s="48" t="n"/>
      <c r="G65" s="48" t="n"/>
      <c r="H65" s="48" t="n"/>
      <c r="I65" s="48">
        <f>IFERROR((I15+I64)/I$15,"")</f>
        <v>0.23855261138936</v>
      </c>
      <c r="J65" s="48">
        <f>IFERROR((J15+J64)/J$15,"")</f>
        <v>0.231624650289196</v>
      </c>
      <c r="K65" s="48">
        <f>IFERROR((K15+K64)/K$15,"")</f>
        <v>0.2386470841836</v>
      </c>
      <c r="L65" s="48">
        <f>IFERROR((L15+L64)/L$15,"")</f>
        <v>0.225125251852512</v>
      </c>
      <c r="M65" s="48">
        <f>IFERROR((M15+M64)/M$15,"")</f>
        <v>0.23319741432451</v>
      </c>
      <c r="N65" s="48">
        <f>IFERROR((N15+N64)/N$15,"")</f>
        <v>0.224014321332418</v>
      </c>
      <c r="O65" s="48">
        <f>IFERROR((O15+O64)/O$15,"")</f>
        <v>0.227328047022014</v>
      </c>
      <c r="P65" s="48">
        <f>IFERROR((P15+P64)/P$15,"")</f>
        <v>0.228620471166348</v>
      </c>
      <c r="Q65" s="48">
        <f>IFERROR((Q15+Q64)/Q$15,"")</f>
        <v>0.216284170838413</v>
      </c>
      <c r="R65" s="48">
        <f>IFERROR((R15+R64)/R$15,"")</f>
        <v>0.223905939877667</v>
      </c>
      <c r="S65" s="48">
        <f>IFERROR((S15+S64)/S$15,"")</f>
        <v>0.220415901989022</v>
      </c>
      <c r="T65" s="48">
        <f>IFERROR((T15+T64)/T$15,"")</f>
        <v>0.224658261207141</v>
      </c>
      <c r="U65" s="48">
        <f>IFERROR((U15+U64)/U$15,"")</f>
        <v>0.225052916908017</v>
      </c>
      <c r="V65" s="48">
        <f>IFERROR((V15+V64)/V$15,"")</f>
        <v>0.224404382385717</v>
      </c>
      <c r="W65" s="48">
        <f>IFERROR((W15+W64)/W$15,"")</f>
        <v>0.223759191428821</v>
      </c>
      <c r="X65" s="48">
        <f>IFERROR((X15+X64)/X$15,"")</f>
        <v>0.223469178063918</v>
      </c>
      <c r="Y65" s="48">
        <f>IFERROR((Y15+Y64)/Y$15,"")</f>
        <v>0.22417611083711</v>
      </c>
      <c r="Z65" s="48">
        <f>IFERROR((Z15+Z64)/Z$15,"")</f>
        <v>0.222824073291091</v>
      </c>
      <c r="AA65" s="48">
        <f>IFERROR((AA15+AA64)/AA$15,"")</f>
        <v>0.218379629051389</v>
      </c>
      <c r="AB65" s="48">
        <f>IFERROR((AB15+AB64)/AB$15,"")</f>
        <v>0.222085545435593</v>
      </c>
      <c r="AC65" s="48">
        <f>IFERROR((AC15+AC64)/AC$15,"")</f>
        <v>0.222371285170811</v>
      </c>
      <c r="AD65" s="48">
        <f>IFERROR((AD15+AD64)/AD$15,"")</f>
        <v>0.238465276910002</v>
      </c>
      <c r="AE65" s="48">
        <f>IFERROR((AE15+AE64)/AE$15,"")</f>
        <v>0.21301304459556</v>
      </c>
      <c r="AF65" s="41">
        <f>IFERROR((AF15+AF64)/AF$15,"")</f>
        <v>0.225092189865478</v>
      </c>
      <c r="AG65" s="48">
        <f>IFERROR((AG15+AG64)/AG$15,"")</f>
        <v>0.224174226751739</v>
      </c>
      <c r="AH65" s="49">
        <f>IFERROR((AH15+AH64)/AH$15,"")</f>
        <v>0.228722638256506</v>
      </c>
      <c r="AI65" s="49">
        <f>IFERROR((AI15+AI64)/AI$15,"")</f>
        <v>0.234580476898107</v>
      </c>
      <c r="AJ65" s="49">
        <f>Control!$B$19</f>
        <v>0.227040818616077</v>
      </c>
      <c r="AK65" s="49">
        <f>Control!$B$19</f>
        <v>0.227040818616077</v>
      </c>
      <c r="AL65" s="48">
        <f>IFERROR((AL15+AL64)/AL$15,"")</f>
        <v>0.229078210853282</v>
      </c>
      <c r="AM65" s="49">
        <f>Control!$C$19</f>
        <v>0.227040818616077</v>
      </c>
      <c r="AN65" s="49">
        <f>Control!$C$19</f>
        <v>0.227040818616077</v>
      </c>
      <c r="AO65" s="49">
        <f>Control!$C$19</f>
        <v>0.227040818616077</v>
      </c>
      <c r="AP65" s="49">
        <f>Control!$C$19</f>
        <v>0.227040818616077</v>
      </c>
      <c r="AQ65" s="48">
        <f>IFERROR((AQ15+AQ64)/AQ$15,"")</f>
        <v>0.227040818616077</v>
      </c>
      <c r="AR65" s="49">
        <f>Control!$D$19</f>
        <v>0.227040818616077</v>
      </c>
      <c r="AS65" s="49">
        <f>Control!$D$19</f>
        <v>0.227040818616077</v>
      </c>
      <c r="AT65" s="49">
        <f>Control!$D$19</f>
        <v>0.227040818616077</v>
      </c>
      <c r="AU65" s="49">
        <f>Control!$D$19</f>
        <v>0.227040818616077</v>
      </c>
      <c r="AV65" s="48">
        <f>IFERROR((AV15+AV64)/AV$15,"")</f>
        <v>0.227040818616077</v>
      </c>
      <c r="AW65" s="49">
        <f>Control!$E$19</f>
        <v>0.227040818616077</v>
      </c>
      <c r="AX65" s="49">
        <f>Control!$E$19</f>
        <v>0.227040818616077</v>
      </c>
      <c r="AY65" s="49">
        <f>Control!$E$19</f>
        <v>0.227040818616077</v>
      </c>
      <c r="AZ65" s="49">
        <f>Control!$E$19</f>
        <v>0.227040818616077</v>
      </c>
      <c r="BA65" s="48">
        <f>IFERROR((BA15+BA64)/BA$15,"")</f>
        <v>0.227040818616077</v>
      </c>
      <c r="BB65" s="49">
        <f>Control!$F$19</f>
        <v>0.227040818616077</v>
      </c>
      <c r="BC65" s="49">
        <f>Control!$F$19</f>
        <v>0.227040818616077</v>
      </c>
      <c r="BD65" s="49">
        <f>Control!$F$19</f>
        <v>0.227040818616077</v>
      </c>
      <c r="BE65" s="49">
        <f>Control!$F$19</f>
        <v>0.227040818616077</v>
      </c>
      <c r="BF65" s="48">
        <f>IFERROR((BF15+BF64)/BF$15,"")</f>
        <v>0.227040818616077</v>
      </c>
      <c r="BG65" s="49" t="n"/>
      <c r="BH65" s="49" t="n"/>
      <c r="BI65" s="49" t="n"/>
      <c r="BJ65" s="49" t="n"/>
      <c r="BK65" s="48" t="n"/>
      <c r="BL65" s="49" t="n"/>
      <c r="BM65" s="49" t="n"/>
      <c r="BN65" s="49" t="n"/>
      <c r="BO65" s="49" t="n"/>
      <c r="BP65" s="48" t="n"/>
      <c r="BQ65" s="49" t="n"/>
      <c r="BR65" s="49" t="n"/>
      <c r="BS65" s="49" t="n"/>
      <c r="BT65" s="49" t="n"/>
      <c r="BU65" s="48" t="n"/>
      <c r="BV65" s="49" t="n"/>
      <c r="BW65" s="49" t="n"/>
      <c r="BX65" s="49" t="n"/>
      <c r="BY65" s="49" t="n"/>
      <c r="BZ65" s="48" t="n"/>
      <c r="CA65" s="49" t="n"/>
      <c r="CB65" s="49" t="n"/>
      <c r="CC65" s="49" t="n"/>
      <c r="CD65" s="49" t="n"/>
      <c r="CE65" s="48" t="n"/>
      <c r="CF65" s="49" t="n"/>
      <c r="CG65" s="49" t="n"/>
      <c r="CH65" s="49" t="n"/>
      <c r="CI65" s="49" t="n"/>
      <c r="CJ65" s="48" t="n"/>
      <c r="CK65" s="49" t="n"/>
      <c r="CL65" s="49" t="n"/>
      <c r="CM65" s="49" t="n"/>
      <c r="CN65" s="49" t="n"/>
      <c r="CO65" s="48" t="n"/>
      <c r="CP65" s="49" t="n"/>
      <c r="CQ65" s="49" t="n"/>
      <c r="CR65" s="49" t="n"/>
      <c r="CS65" s="49" t="n"/>
      <c r="CT65" s="48" t="n"/>
      <c r="CU65" s="49" t="n"/>
      <c r="CV65" s="49" t="n"/>
      <c r="CW65" s="49" t="n"/>
      <c r="CX65" s="49" t="n"/>
      <c r="CY65" s="48" t="n"/>
    </row>
    <row r="66" hidden="1" outlineLevel="1"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n"/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collapsed="1">
      <c r="C68" s="13" t="inlineStr">
        <is>
          <t>SG&amp;A and Other (cash)</t>
        </is>
      </c>
      <c r="D68" s="46" t="n"/>
      <c r="E68" s="46" t="n"/>
      <c r="F68" s="46" t="n"/>
      <c r="G68" s="46" t="n"/>
      <c r="H68" s="12" t="n"/>
      <c r="I68" s="46">
        <f>'Inputs (2)'!D6</f>
        <v>-562.84963838</v>
      </c>
      <c r="J68" s="46">
        <f>'Inputs (2)'!E6</f>
        <v>-583.83754856</v>
      </c>
      <c r="K68" s="46">
        <f>'Inputs (2)'!F6</f>
        <v>-705.863</v>
      </c>
      <c r="L68" s="46">
        <f>'Inputs (2)'!G6</f>
        <v>-673.279</v>
      </c>
      <c r="M68" s="12">
        <f>'Inputs (2)'!H6</f>
        <v>-2525.82918694</v>
      </c>
      <c r="N68" s="46">
        <f>'Inputs (2)'!I6</f>
        <v>-723.7092416</v>
      </c>
      <c r="O68" s="46">
        <f>'Inputs (2)'!J6</f>
        <v>-772.76980326</v>
      </c>
      <c r="P68" s="46">
        <f>'Inputs (2)'!K6</f>
        <v>-881.737</v>
      </c>
      <c r="Q68" s="46">
        <f>'Inputs (2)'!L6</f>
        <v>-801.424</v>
      </c>
      <c r="R68" s="12">
        <f>'Inputs (2)'!M6</f>
        <v>-3179.64004486</v>
      </c>
      <c r="S68" s="46">
        <f>'Inputs (2)'!N6</f>
        <v>-882.38233242</v>
      </c>
      <c r="T68" s="46">
        <f>'Inputs (2)'!O6</f>
        <v>-938.709</v>
      </c>
      <c r="U68" s="46">
        <f>'Inputs (2)'!P6</f>
        <v>-1048.17</v>
      </c>
      <c r="V68" s="46">
        <f>'Inputs (2)'!Q6</f>
        <v>-1085.57050511</v>
      </c>
      <c r="W68" s="12">
        <f>'Inputs (2)'!R6</f>
        <v>-3954.83183753</v>
      </c>
      <c r="X68" s="46">
        <f>'Inputs (2)'!S6</f>
        <v>-1139.73162143</v>
      </c>
      <c r="Y68" s="46">
        <f>'Inputs (2)'!T6</f>
        <v>-1169.752</v>
      </c>
      <c r="Z68" s="46">
        <f>'Inputs (2)'!U6</f>
        <v>-1209.442</v>
      </c>
      <c r="AA68" s="46">
        <f>'Inputs (2)'!V6</f>
        <v>-1273.5865</v>
      </c>
      <c r="AB68" s="12">
        <f>'Inputs (2)'!W6</f>
        <v>-4792.51212143</v>
      </c>
      <c r="AC68" s="46">
        <f>'Inputs (2)'!X6</f>
        <v>-1266.711</v>
      </c>
      <c r="AD68" s="46">
        <f>'Inputs (2)'!Y6</f>
        <v>-1318.147</v>
      </c>
      <c r="AE68" s="46">
        <f>'Inputs (2)'!Z6</f>
        <v>-1459.552</v>
      </c>
      <c r="AF68" s="46">
        <f>'Inputs (2)'!AA6</f>
        <v>-1762.206189</v>
      </c>
      <c r="AG68" s="12">
        <f>'Inputs (2)'!AB6</f>
        <v>-5806.616189</v>
      </c>
      <c r="AH68" s="12">
        <f>'Inputs (2)'!AC6</f>
        <v>-1607.468</v>
      </c>
      <c r="AI68" s="12">
        <f>'Inputs (2)'!AD6</f>
        <v>-1629.588</v>
      </c>
      <c r="AJ68" s="12">
        <f>-AJ15*AJ69</f>
        <v>-1977.83500352133</v>
      </c>
      <c r="AK68" s="12">
        <f>-AK15*AK69</f>
        <v>-1938.58248779311</v>
      </c>
      <c r="AL68" s="12">
        <f>SUM(AH68:AK68)</f>
        <v>-7153.47349131444</v>
      </c>
      <c r="AM68" s="12">
        <f>-AM15*AM69</f>
        <v>-1727.69759521066</v>
      </c>
      <c r="AN68" s="12">
        <f>-AN15*AN69</f>
        <v>-1810.42165100628</v>
      </c>
      <c r="AO68" s="12">
        <f>-AO15*AO69</f>
        <v>-2316.87873329977</v>
      </c>
      <c r="AP68" s="12">
        <f>-AP15*AP69</f>
        <v>-2270.89748675629</v>
      </c>
      <c r="AQ68" s="12">
        <f>SUM(AM68:AP68)</f>
        <v>-8125.89546627299</v>
      </c>
      <c r="AR68" s="12">
        <f>-AR15*AR69</f>
        <v>-2015.22387101245</v>
      </c>
      <c r="AS68" s="12">
        <f>-AS15*AS69</f>
        <v>-2111.71500025198</v>
      </c>
      <c r="AT68" s="12">
        <f>-AT15*AT69</f>
        <v>-2702.45750328633</v>
      </c>
      <c r="AU68" s="12">
        <f>-AU15*AU69</f>
        <v>-2648.82398205541</v>
      </c>
      <c r="AV68" s="12">
        <f>SUM(AR68:AU68)</f>
        <v>-9478.22035660618</v>
      </c>
      <c r="AW68" s="12">
        <f>-AW15*AW69</f>
        <v>-2340.52462324957</v>
      </c>
      <c r="AX68" s="12">
        <f>-AX15*AX69</f>
        <v>-2452.59150929575</v>
      </c>
      <c r="AY68" s="12">
        <f>-AY15*AY69</f>
        <v>-3138.69263892227</v>
      </c>
      <c r="AZ68" s="12">
        <f>-AZ15*AZ69</f>
        <v>-3076.40150646884</v>
      </c>
      <c r="BA68" s="12">
        <f>SUM(AW68:AZ68)</f>
        <v>-11008.2102779364</v>
      </c>
      <c r="BB68" s="12">
        <f>-BB15*BB69</f>
        <v>-2706.63333490581</v>
      </c>
      <c r="BC68" s="12">
        <f>-BC15*BC69</f>
        <v>-2836.22990761374</v>
      </c>
      <c r="BD68" s="12">
        <f>-BD15*BD69</f>
        <v>-3629.65210455068</v>
      </c>
      <c r="BE68" s="12">
        <f>-BE15*BE69</f>
        <v>-3557.61729069198</v>
      </c>
      <c r="BF68" s="12">
        <f>SUM(BB68:BE68)</f>
        <v>-12730.1326377622</v>
      </c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38" t="inlineStr">
        <is>
          <t>% SG&amp;A and Other Margin</t>
        </is>
      </c>
      <c r="D69" s="51" t="n"/>
      <c r="E69" s="51" t="n"/>
      <c r="F69" s="51" t="n"/>
      <c r="G69" s="51" t="n"/>
      <c r="H69" s="51" t="n"/>
      <c r="I69" s="51">
        <f>IFERROR(-(I68/I$15),"")</f>
        <v>0.167401523535125</v>
      </c>
      <c r="J69" s="51">
        <f>IFERROR(-(J68/J$15),"")</f>
        <v>0.156762616842719</v>
      </c>
      <c r="K69" s="51">
        <f>IFERROR(-(K68/K$15),"")</f>
        <v>0.162300002874141</v>
      </c>
      <c r="L69" s="51">
        <f>IFERROR(-(L68/L$15),"")</f>
        <v>0.151601267521521</v>
      </c>
      <c r="M69" s="51">
        <f>IFERROR(-(M68/M$15),"")</f>
        <v>0.159088740733761</v>
      </c>
      <c r="N69" s="51">
        <f>IFERROR(-(N68/N$15),"")</f>
        <v>0.158057236840759</v>
      </c>
      <c r="O69" s="51">
        <f>IFERROR(-(O68/O$15),"")</f>
        <v>0.148552756120784</v>
      </c>
      <c r="P69" s="51">
        <f>IFERROR(-(P68/P$15),"")</f>
        <v>0.148863329208826</v>
      </c>
      <c r="Q69" s="51">
        <f>IFERROR(-(Q68/Q$15),"")</f>
        <v>0.132148376522487</v>
      </c>
      <c r="R69" s="51">
        <f>IFERROR(-(R68/R$15),"")</f>
        <v>0.146066264440855</v>
      </c>
      <c r="S69" s="51">
        <f>IFERROR(-(S68/S$15),"")</f>
        <v>0.150374986430477</v>
      </c>
      <c r="T69" s="51">
        <f>IFERROR(-(T68/T$15),"")</f>
        <v>0.146000946889574</v>
      </c>
      <c r="U69" s="51">
        <f>IFERROR(-(U68/U$15),"")</f>
        <v>0.151143580561531</v>
      </c>
      <c r="V69" s="51">
        <f>IFERROR(-(V68/V$15),"")</f>
        <v>0.143949948183993</v>
      </c>
      <c r="W69" s="51">
        <f>IFERROR(-(W68/W$15),"")</f>
        <v>0.147713938563553</v>
      </c>
      <c r="X69" s="51">
        <f>IFERROR(-(X68/X$15),"")</f>
        <v>0.154383495148823</v>
      </c>
      <c r="Y69" s="51">
        <f>IFERROR(-(Y68/Y$15),"")</f>
        <v>0.153130460004129</v>
      </c>
      <c r="Z69" s="51">
        <f>IFERROR(-(Z68/Z$15),"")</f>
        <v>0.145068217717595</v>
      </c>
      <c r="AA69" s="51">
        <f>IFERROR(-(AA68/AA$15),"")</f>
        <v>0.14593673158529</v>
      </c>
      <c r="AB69" s="51">
        <f>IFERROR(-(AB68/AB$15),"")</f>
        <v>0.149367244596605</v>
      </c>
      <c r="AC69" s="51">
        <f>IFERROR(-(AC68/AC$15),"")</f>
        <v>0.152042327102417</v>
      </c>
      <c r="AD69" s="51">
        <f>IFERROR(-(AD68/AD$15),"")</f>
        <v>0.150136854757795</v>
      </c>
      <c r="AE69" s="51">
        <f>IFERROR(-(AE68/AE$15),"")</f>
        <v>0.135601509466497</v>
      </c>
      <c r="AF69" s="41">
        <f>IFERROR(-(AF68/AF$15),"")</f>
        <v>0.167034986874958</v>
      </c>
      <c r="AG69" s="51">
        <f>IFERROR(-(AG68/AG$15),"")</f>
        <v>0.151117932260152</v>
      </c>
      <c r="AH69" s="52">
        <f>IFERROR(-(AH68/AH$15),"")</f>
        <v>0.170965947584998</v>
      </c>
      <c r="AI69" s="52">
        <f>IFERROR(-(AI68/AI$15),"")</f>
        <v>0.165399081508671</v>
      </c>
      <c r="AJ69" s="52">
        <f>Control!$B$20</f>
        <v>0.156863451215889</v>
      </c>
      <c r="AK69" s="52">
        <f>Control!$B$20</f>
        <v>0.156863451215889</v>
      </c>
      <c r="AL69" s="51">
        <f>IFERROR(-(AL68/AL$15),"")</f>
        <v>0.161763580575869</v>
      </c>
      <c r="AM69" s="52">
        <f>Control!$C$20</f>
        <v>0.156863451215889</v>
      </c>
      <c r="AN69" s="52">
        <f>Control!$C$20</f>
        <v>0.156863451215889</v>
      </c>
      <c r="AO69" s="52">
        <f>Control!$C$20</f>
        <v>0.156863451215889</v>
      </c>
      <c r="AP69" s="52">
        <f>Control!$C$20</f>
        <v>0.156863451215889</v>
      </c>
      <c r="AQ69" s="51">
        <f>IFERROR(-(AQ68/AQ$15),"")</f>
        <v>0.156863451215889</v>
      </c>
      <c r="AR69" s="52">
        <f>Control!$D$20</f>
        <v>0.156863451215889</v>
      </c>
      <c r="AS69" s="52">
        <f>Control!$D$20</f>
        <v>0.156863451215889</v>
      </c>
      <c r="AT69" s="52">
        <f>Control!$D$20</f>
        <v>0.156863451215889</v>
      </c>
      <c r="AU69" s="52">
        <f>Control!$D$20</f>
        <v>0.156863451215889</v>
      </c>
      <c r="AV69" s="51">
        <f>IFERROR(-(AV68/AV$15),"")</f>
        <v>0.156863451215889</v>
      </c>
      <c r="AW69" s="52">
        <f>Control!$E$20</f>
        <v>0.156863451215889</v>
      </c>
      <c r="AX69" s="52">
        <f>Control!$E$20</f>
        <v>0.156863451215889</v>
      </c>
      <c r="AY69" s="52">
        <f>Control!$E$20</f>
        <v>0.156863451215889</v>
      </c>
      <c r="AZ69" s="52">
        <f>Control!$E$20</f>
        <v>0.156863451215889</v>
      </c>
      <c r="BA69" s="51">
        <f>IFERROR(-(BA68/BA$15),"")</f>
        <v>0.156863451215889</v>
      </c>
      <c r="BB69" s="52">
        <f>Control!$F$20</f>
        <v>0.156863451215889</v>
      </c>
      <c r="BC69" s="52">
        <f>Control!$F$20</f>
        <v>0.156863451215889</v>
      </c>
      <c r="BD69" s="52">
        <f>Control!$F$20</f>
        <v>0.156863451215889</v>
      </c>
      <c r="BE69" s="52">
        <f>Control!$F$20</f>
        <v>0.156863451215889</v>
      </c>
      <c r="BF69" s="51">
        <f>IFERROR(-(BF68/BF$15),"")</f>
        <v>0.156863451215889</v>
      </c>
      <c r="BG69" s="52" t="n"/>
      <c r="BH69" s="52" t="n"/>
      <c r="BI69" s="52" t="n"/>
      <c r="BJ69" s="52" t="n"/>
      <c r="BK69" s="51" t="n"/>
      <c r="BL69" s="52" t="n"/>
      <c r="BM69" s="52" t="n"/>
      <c r="BN69" s="52" t="n"/>
      <c r="BO69" s="52" t="n"/>
      <c r="BP69" s="51" t="n"/>
      <c r="BQ69" s="52" t="n"/>
      <c r="BR69" s="52" t="n"/>
      <c r="BS69" s="52" t="n"/>
      <c r="BT69" s="52" t="n"/>
      <c r="BU69" s="51" t="n"/>
      <c r="BV69" s="52" t="n"/>
      <c r="BW69" s="52" t="n"/>
      <c r="BX69" s="52" t="n"/>
      <c r="BY69" s="52" t="n"/>
      <c r="BZ69" s="51" t="n"/>
      <c r="CA69" s="52" t="n"/>
      <c r="CB69" s="52" t="n"/>
      <c r="CC69" s="52" t="n"/>
      <c r="CD69" s="52" t="n"/>
      <c r="CE69" s="51" t="n"/>
      <c r="CF69" s="52" t="n"/>
      <c r="CG69" s="52" t="n"/>
      <c r="CH69" s="52" t="n"/>
      <c r="CI69" s="52" t="n"/>
      <c r="CJ69" s="51" t="n"/>
      <c r="CK69" s="52" t="n"/>
      <c r="CL69" s="52" t="n"/>
      <c r="CM69" s="52" t="n"/>
      <c r="CN69" s="52" t="n"/>
      <c r="CO69" s="51" t="n"/>
      <c r="CP69" s="52" t="n"/>
      <c r="CQ69" s="52" t="n"/>
      <c r="CR69" s="52" t="n"/>
      <c r="CS69" s="52" t="n"/>
      <c r="CT69" s="51" t="n"/>
      <c r="CU69" s="52" t="n"/>
      <c r="CV69" s="52" t="n"/>
      <c r="CW69" s="52" t="n"/>
      <c r="CX69" s="52" t="n"/>
      <c r="CY69" s="51" t="n"/>
    </row>
    <row r="70" hidden="1" outlineLevel="1"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</row>
    <row r="71" hidden="1" outlineLevel="1">
      <c r="C71" s="50" t="inlineStr">
        <is>
          <t>Com Vendas</t>
        </is>
      </c>
      <c r="D71" s="11" t="n"/>
      <c r="E71" s="11" t="n"/>
      <c r="F71" s="11" t="n"/>
      <c r="G71" s="11" t="n"/>
      <c r="H71" s="50" t="n"/>
      <c r="I71" s="11" t="n"/>
      <c r="J71" s="11" t="n"/>
      <c r="K71" s="11" t="n"/>
      <c r="L71" s="11" t="n"/>
      <c r="M71" s="50" t="n"/>
      <c r="N71" s="11" t="n"/>
      <c r="O71" s="11" t="n"/>
      <c r="P71" s="11" t="n"/>
      <c r="Q71" s="11" t="n"/>
      <c r="R71" s="50" t="n"/>
      <c r="S71" s="11" t="n"/>
      <c r="T71" s="11" t="n"/>
      <c r="U71" s="11" t="n"/>
      <c r="V71" s="11" t="n"/>
      <c r="W71" s="50" t="n"/>
      <c r="X71" s="11" t="n"/>
      <c r="Y71" s="11" t="n"/>
      <c r="Z71" s="11" t="n"/>
      <c r="AA71" s="11" t="n"/>
      <c r="AB71" s="50" t="n"/>
      <c r="AC71" s="11" t="n"/>
      <c r="AD71" s="11" t="n"/>
      <c r="AE71" s="11" t="n"/>
      <c r="AF71" s="11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50" t="n"/>
      <c r="BB71" s="50" t="n"/>
      <c r="BC71" s="50" t="n"/>
      <c r="BD71" s="50" t="n"/>
      <c r="BE71" s="50" t="n"/>
      <c r="BF71" s="50" t="n"/>
      <c r="BG71" s="50" t="n"/>
      <c r="BH71" s="50" t="n"/>
      <c r="BI71" s="50" t="n"/>
      <c r="BJ71" s="50" t="n"/>
      <c r="BK71" s="50" t="n"/>
      <c r="BL71" s="50" t="n"/>
      <c r="BM71" s="50" t="n"/>
      <c r="BN71" s="50" t="n"/>
      <c r="BO71" s="50" t="n"/>
      <c r="BP71" s="50" t="n"/>
      <c r="BQ71" s="50" t="n"/>
      <c r="BR71" s="50" t="n"/>
      <c r="BS71" s="50" t="n"/>
      <c r="BT71" s="50" t="n"/>
      <c r="BU71" s="50" t="n"/>
      <c r="BV71" s="50" t="n"/>
      <c r="BW71" s="50" t="n"/>
      <c r="BX71" s="50" t="n"/>
      <c r="BY71" s="50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</row>
    <row r="72" hidden="1" outlineLevel="1">
      <c r="C72" s="50" t="inlineStr">
        <is>
          <t>Gerais &amp; Administrativas</t>
        </is>
      </c>
      <c r="D72" s="11" t="n"/>
      <c r="E72" s="11" t="n"/>
      <c r="F72" s="11" t="n"/>
      <c r="G72" s="11" t="n"/>
      <c r="H72" s="50" t="n"/>
      <c r="I72" s="11" t="n"/>
      <c r="J72" s="11" t="n"/>
      <c r="K72" s="11" t="n"/>
      <c r="L72" s="11" t="n"/>
      <c r="M72" s="50" t="n"/>
      <c r="N72" s="11" t="n"/>
      <c r="O72" s="11" t="n"/>
      <c r="P72" s="11" t="n"/>
      <c r="Q72" s="11" t="n"/>
      <c r="R72" s="50" t="n"/>
      <c r="S72" s="11" t="n"/>
      <c r="T72" s="11" t="n"/>
      <c r="U72" s="11" t="n"/>
      <c r="V72" s="11" t="n"/>
      <c r="W72" s="50" t="n"/>
      <c r="X72" s="11" t="n"/>
      <c r="Y72" s="11" t="n"/>
      <c r="Z72" s="11" t="n"/>
      <c r="AA72" s="11" t="n"/>
      <c r="AB72" s="50" t="n"/>
      <c r="AC72" s="11" t="n"/>
      <c r="AD72" s="11" t="n"/>
      <c r="AE72" s="11" t="n"/>
      <c r="AF72" s="11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50" t="n"/>
      <c r="BB72" s="50" t="n"/>
      <c r="BC72" s="50" t="n"/>
      <c r="BD72" s="50" t="n"/>
      <c r="BE72" s="50" t="n"/>
      <c r="BF72" s="50" t="n"/>
      <c r="BG72" s="50" t="n"/>
      <c r="BH72" s="50" t="n"/>
      <c r="BI72" s="50" t="n"/>
      <c r="BJ72" s="50" t="n"/>
      <c r="BK72" s="50" t="n"/>
      <c r="BL72" s="50" t="n"/>
      <c r="BM72" s="50" t="n"/>
      <c r="BN72" s="50" t="n"/>
      <c r="BO72" s="50" t="n"/>
      <c r="BP72" s="50" t="n"/>
      <c r="BQ72" s="50" t="n"/>
      <c r="BR72" s="50" t="n"/>
      <c r="BS72" s="50" t="n"/>
      <c r="BT72" s="50" t="n"/>
      <c r="BU72" s="50" t="n"/>
      <c r="BV72" s="50" t="n"/>
      <c r="BW72" s="50" t="n"/>
      <c r="BX72" s="50" t="n"/>
      <c r="BY72" s="50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</row>
    <row r="73" hidden="1" outlineLevel="1">
      <c r="C73" s="50" t="inlineStr">
        <is>
          <t>Outras Receitas (Despesas) Operacionais, Líquidas</t>
        </is>
      </c>
      <c r="D73" s="11" t="n"/>
      <c r="E73" s="11" t="n"/>
      <c r="F73" s="11" t="n"/>
      <c r="G73" s="11" t="n"/>
      <c r="H73" s="50" t="n"/>
      <c r="I73" s="11" t="n"/>
      <c r="J73" s="11" t="n"/>
      <c r="K73" s="11" t="n"/>
      <c r="L73" s="11" t="n"/>
      <c r="M73" s="50" t="n"/>
      <c r="N73" s="11" t="n"/>
      <c r="O73" s="11" t="n"/>
      <c r="P73" s="11" t="n"/>
      <c r="Q73" s="11" t="n"/>
      <c r="R73" s="50" t="n"/>
      <c r="S73" s="11" t="n"/>
      <c r="T73" s="11" t="n"/>
      <c r="U73" s="11" t="n"/>
      <c r="V73" s="11" t="n"/>
      <c r="W73" s="50" t="n"/>
      <c r="X73" s="11" t="n"/>
      <c r="Y73" s="11" t="n"/>
      <c r="Z73" s="11" t="n"/>
      <c r="AA73" s="11" t="n"/>
      <c r="AB73" s="50" t="n"/>
      <c r="AC73" s="11" t="n"/>
      <c r="AD73" s="11" t="n"/>
      <c r="AE73" s="11" t="n"/>
      <c r="AF73" s="11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50" t="n"/>
      <c r="BB73" s="50" t="n"/>
      <c r="BC73" s="50" t="n"/>
      <c r="BD73" s="50" t="n"/>
      <c r="BE73" s="50" t="n"/>
      <c r="BF73" s="50" t="n"/>
      <c r="BG73" s="50" t="n"/>
      <c r="BH73" s="50" t="n"/>
      <c r="BI73" s="50" t="n"/>
      <c r="BJ73" s="50" t="n"/>
      <c r="BK73" s="50" t="n"/>
      <c r="BL73" s="50" t="n"/>
      <c r="BM73" s="50" t="n"/>
      <c r="BN73" s="50" t="n"/>
      <c r="BO73" s="50" t="n"/>
      <c r="BP73" s="50" t="n"/>
      <c r="BQ73" s="50" t="n"/>
      <c r="BR73" s="50" t="n"/>
      <c r="BS73" s="50" t="n"/>
      <c r="BT73" s="50" t="n"/>
      <c r="BU73" s="50" t="n"/>
      <c r="BV73" s="50" t="n"/>
      <c r="BW73" s="50" t="n"/>
      <c r="BX73" s="50" t="n"/>
      <c r="BY73" s="50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</row>
    <row r="74" hidden="1" outlineLevel="1"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50" t="n"/>
      <c r="BB74" s="50" t="n"/>
      <c r="BC74" s="50" t="n"/>
      <c r="BD74" s="50" t="n"/>
      <c r="BE74" s="50" t="n"/>
      <c r="BF74" s="50" t="n"/>
      <c r="BG74" s="50" t="n"/>
      <c r="BH74" s="50" t="n"/>
      <c r="BI74" s="50" t="n"/>
      <c r="BJ74" s="50" t="n"/>
      <c r="BK74" s="50" t="n"/>
      <c r="BL74" s="50" t="n"/>
      <c r="BM74" s="50" t="n"/>
      <c r="BN74" s="50" t="n"/>
      <c r="BO74" s="50" t="n"/>
      <c r="BP74" s="50" t="n"/>
      <c r="BQ74" s="50" t="n"/>
      <c r="BR74" s="50" t="n"/>
      <c r="BS74" s="50" t="n"/>
      <c r="BT74" s="50" t="n"/>
      <c r="BU74" s="50" t="n"/>
      <c r="BV74" s="50" t="n"/>
      <c r="BW74" s="50" t="n"/>
      <c r="BX74" s="50" t="n"/>
      <c r="BY74" s="50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</row>
    <row r="75" hidden="1" outlineLevel="1">
      <c r="C75" s="50" t="inlineStr">
        <is>
          <t>Com Vendas (%)</t>
        </is>
      </c>
      <c r="D75" s="50" t="n"/>
      <c r="E75" s="50" t="n"/>
      <c r="F75" s="50" t="n"/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50" t="n"/>
      <c r="BB75" s="50" t="n"/>
      <c r="BC75" s="50" t="n"/>
      <c r="BD75" s="50" t="n"/>
      <c r="BE75" s="50" t="n"/>
      <c r="BF75" s="50" t="n"/>
      <c r="BG75" s="50" t="n"/>
      <c r="BH75" s="50" t="n"/>
      <c r="BI75" s="50" t="n"/>
      <c r="BJ75" s="50" t="n"/>
      <c r="BK75" s="50" t="n"/>
      <c r="BL75" s="50" t="n"/>
      <c r="BM75" s="50" t="n"/>
      <c r="BN75" s="50" t="n"/>
      <c r="BO75" s="50" t="n"/>
      <c r="BP75" s="50" t="n"/>
      <c r="BQ75" s="50" t="n"/>
      <c r="BR75" s="50" t="n"/>
      <c r="BS75" s="50" t="n"/>
      <c r="BT75" s="50" t="n"/>
      <c r="BU75" s="50" t="n"/>
      <c r="BV75" s="50" t="n"/>
      <c r="BW75" s="50" t="n"/>
      <c r="BX75" s="50" t="n"/>
      <c r="BY75" s="50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</row>
    <row r="76" hidden="1" outlineLevel="1">
      <c r="C76" s="50" t="inlineStr">
        <is>
          <t>Gerais &amp; Administrativas (%)</t>
        </is>
      </c>
      <c r="D76" s="50" t="n"/>
      <c r="E76" s="50" t="n"/>
      <c r="F76" s="50" t="n"/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50" t="n"/>
      <c r="BB76" s="50" t="n"/>
      <c r="BC76" s="50" t="n"/>
      <c r="BD76" s="50" t="n"/>
      <c r="BE76" s="50" t="n"/>
      <c r="BF76" s="50" t="n"/>
      <c r="BG76" s="50" t="n"/>
      <c r="BH76" s="50" t="n"/>
      <c r="BI76" s="50" t="n"/>
      <c r="BJ76" s="50" t="n"/>
      <c r="BK76" s="50" t="n"/>
      <c r="BL76" s="50" t="n"/>
      <c r="BM76" s="50" t="n"/>
      <c r="BN76" s="50" t="n"/>
      <c r="BO76" s="50" t="n"/>
      <c r="BP76" s="50" t="n"/>
      <c r="BQ76" s="50" t="n"/>
      <c r="BR76" s="50" t="n"/>
      <c r="BS76" s="50" t="n"/>
      <c r="BT76" s="50" t="n"/>
      <c r="BU76" s="50" t="n"/>
      <c r="BV76" s="50" t="n"/>
      <c r="BW76" s="50" t="n"/>
      <c r="BX76" s="50" t="n"/>
      <c r="BY76" s="50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</row>
    <row r="77" hidden="1" outlineLevel="1">
      <c r="C77" s="50" t="inlineStr">
        <is>
          <t>Outras Receitas (Despesas) Operacionais, Líquidas (%)</t>
        </is>
      </c>
      <c r="D77" s="50" t="n"/>
      <c r="E77" s="50" t="n"/>
      <c r="F77" s="50" t="n"/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50" t="n"/>
      <c r="BB77" s="50" t="n"/>
      <c r="BC77" s="50" t="n"/>
      <c r="BD77" s="50" t="n"/>
      <c r="BE77" s="50" t="n"/>
      <c r="BF77" s="50" t="n"/>
      <c r="BG77" s="50" t="n"/>
      <c r="BH77" s="50" t="n"/>
      <c r="BI77" s="50" t="n"/>
      <c r="BJ77" s="50" t="n"/>
      <c r="BK77" s="50" t="n"/>
      <c r="BL77" s="50" t="n"/>
      <c r="BM77" s="50" t="n"/>
      <c r="BN77" s="50" t="n"/>
      <c r="BO77" s="50" t="n"/>
      <c r="BP77" s="50" t="n"/>
      <c r="BQ77" s="50" t="n"/>
      <c r="BR77" s="50" t="n"/>
      <c r="BS77" s="50" t="n"/>
      <c r="BT77" s="50" t="n"/>
      <c r="BU77" s="50" t="n"/>
      <c r="BV77" s="50" t="n"/>
      <c r="BW77" s="50" t="n"/>
      <c r="BX77" s="50" t="n"/>
      <c r="BY77" s="50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</row>
    <row r="78" hidden="1" outlineLevel="1">
      <c r="C78" s="50" t="n"/>
      <c r="D78" s="50" t="n"/>
      <c r="E78" s="50" t="n"/>
      <c r="F78" s="50" t="n"/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50" t="n"/>
      <c r="BB78" s="50" t="n"/>
      <c r="BC78" s="50" t="n"/>
      <c r="BD78" s="50" t="n"/>
      <c r="BE78" s="50" t="n"/>
      <c r="BF78" s="50" t="n"/>
      <c r="BG78" s="50" t="n"/>
      <c r="BH78" s="50" t="n"/>
      <c r="BI78" s="50" t="n"/>
      <c r="BJ78" s="50" t="n"/>
      <c r="BK78" s="50" t="n"/>
      <c r="BL78" s="50" t="n"/>
      <c r="BM78" s="50" t="n"/>
      <c r="BN78" s="50" t="n"/>
      <c r="BO78" s="50" t="n"/>
      <c r="BP78" s="50" t="n"/>
      <c r="BQ78" s="50" t="n"/>
      <c r="BR78" s="50" t="n"/>
      <c r="BS78" s="50" t="n"/>
      <c r="BT78" s="50" t="n"/>
      <c r="BU78" s="50" t="n"/>
      <c r="BV78" s="50" t="n"/>
      <c r="BW78" s="50" t="n"/>
      <c r="BX78" s="50" t="n"/>
      <c r="BY78" s="50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</row>
    <row r="79" collapsed="1" customFormat="1" s="32">
      <c r="A79" s="30" t="n"/>
      <c r="B79" s="3" t="n"/>
      <c r="C79" s="33" t="inlineStr">
        <is>
          <t>EBITDA</t>
        </is>
      </c>
      <c r="D79" s="35" t="n"/>
      <c r="E79" s="35" t="n"/>
      <c r="F79" s="35" t="n"/>
      <c r="G79" s="35" t="n"/>
      <c r="H79" s="35" t="n"/>
      <c r="I79" s="35">
        <f>SUM(I15,I64,I68)</f>
        <v>239.22938826</v>
      </c>
      <c r="J79" s="35">
        <f>SUM(J15,J64,J68)</f>
        <v>278.81179179</v>
      </c>
      <c r="K79" s="35">
        <f>SUM(K15,K64,K68)</f>
        <v>332.043</v>
      </c>
      <c r="L79" s="35">
        <f>SUM(L15,L64,L68)</f>
        <v>326.52863301</v>
      </c>
      <c r="M79" s="35">
        <f>SUM(I79:L79)</f>
        <v>1176.61281306</v>
      </c>
      <c r="N79" s="35">
        <f>SUM(N15,N64,N68)</f>
        <v>302.002948740001</v>
      </c>
      <c r="O79" s="35">
        <f>SUM(O15,O64,O68)</f>
        <v>409.78819674</v>
      </c>
      <c r="P79" s="35">
        <f>SUM(P15,P64,P68)</f>
        <v>472.412</v>
      </c>
      <c r="Q79" s="35">
        <f>SUM(Q15,Q64,Q68)</f>
        <v>510.248000000001</v>
      </c>
      <c r="R79" s="35">
        <f>SUM(N79:Q79)</f>
        <v>1694.45114548</v>
      </c>
      <c r="S79" s="35">
        <f>SUM(S15,S64,S68)</f>
        <v>410.99166758</v>
      </c>
      <c r="T79" s="35">
        <f>SUM(T15,T64,T68)</f>
        <v>505.725</v>
      </c>
      <c r="U79" s="35">
        <f>SUM(U15,U64,U68)</f>
        <v>512.556</v>
      </c>
      <c r="V79" s="35">
        <f>SUM(V15,V64,V68)</f>
        <v>606.7314499</v>
      </c>
      <c r="W79" s="35">
        <f>SUM(S79:V79)</f>
        <v>2036.00411748</v>
      </c>
      <c r="X79" s="35">
        <f>SUM(X15,X64,X68)</f>
        <v>510.023026299</v>
      </c>
      <c r="Y79" s="35">
        <f>SUM(Y15,Y64,Y68)</f>
        <v>542.712352271</v>
      </c>
      <c r="Z79" s="35">
        <f>SUM(Z15,Z64,Z68)</f>
        <v>648.255000000001</v>
      </c>
      <c r="AA79" s="35">
        <f>SUM(AA15,AA64,AA68)</f>
        <v>632.207500000001</v>
      </c>
      <c r="AB79" s="35">
        <f>SUM(X79:AA79)</f>
        <v>2333.19787857</v>
      </c>
      <c r="AC79" s="35">
        <f>SUM(AC15,AC64,AC68)</f>
        <v>585.932</v>
      </c>
      <c r="AD79" s="35">
        <f>SUM(AD15,AD64,AD68)</f>
        <v>775.491433216</v>
      </c>
      <c r="AE79" s="35">
        <f>SUM(AE15,AE64,AE68)</f>
        <v>833.222000000001</v>
      </c>
      <c r="AF79" s="35">
        <f>SUM(AF15,AF64,AF68)</f>
        <v>612.499</v>
      </c>
      <c r="AG79" s="35">
        <f>SUM(AC79:AF79)</f>
        <v>2807.144433216</v>
      </c>
      <c r="AH79" s="35">
        <f>SUM(AH15,AH64,AH68)</f>
        <v>543.044000000001</v>
      </c>
      <c r="AI79" s="35">
        <f>SUM(AI15,AI64,AI68)</f>
        <v>681.607</v>
      </c>
      <c r="AJ79" s="35">
        <f>SUM(AJ15,AJ64,AJ68)</f>
        <v>884.841259217491</v>
      </c>
      <c r="AK79" s="35">
        <f>SUM(AK15,AK64,AK68)</f>
        <v>867.280519629718</v>
      </c>
      <c r="AL79" s="35">
        <f>SUM(AH79:AK79)</f>
        <v>2976.77277884721</v>
      </c>
      <c r="AM79" s="35">
        <f>SUM(AM15,AM64,AM68)</f>
        <v>772.935109840541</v>
      </c>
      <c r="AN79" s="35">
        <f>SUM(AN15,AN64,AN68)</f>
        <v>809.944090654133</v>
      </c>
      <c r="AO79" s="35">
        <f>SUM(AO15,AO64,AO68)</f>
        <v>1036.52220340789</v>
      </c>
      <c r="AP79" s="35">
        <f>SUM(AP15,AP64,AP68)</f>
        <v>1015.95117295314</v>
      </c>
      <c r="AQ79" s="35">
        <f>SUM(AM79:AP79)</f>
        <v>3635.3525768557</v>
      </c>
      <c r="AR79" s="35">
        <f>SUM(AR15,AR64,AR68)</f>
        <v>901.568242273537</v>
      </c>
      <c r="AS79" s="35">
        <f>SUM(AS15,AS64,AS68)</f>
        <v>944.736318552708</v>
      </c>
      <c r="AT79" s="35">
        <f>SUM(AT15,AT64,AT68)</f>
        <v>1209.02193354464</v>
      </c>
      <c r="AU79" s="35">
        <f>SUM(AU15,AU64,AU68)</f>
        <v>1185.02743836292</v>
      </c>
      <c r="AV79" s="35">
        <f>SUM(AR79:AU79)</f>
        <v>4240.3539327338</v>
      </c>
      <c r="AW79" s="35">
        <f>SUM(AW15,AW64,AW68)</f>
        <v>1047.10087099202</v>
      </c>
      <c r="AX79" s="35">
        <f>SUM(AX15,AX64,AX68)</f>
        <v>1097.23720915427</v>
      </c>
      <c r="AY79" s="35">
        <f>SUM(AY15,AY64,AY68)</f>
        <v>1404.18424285951</v>
      </c>
      <c r="AZ79" s="35">
        <f>SUM(AZ15,AZ64,AZ68)</f>
        <v>1376.31651679539</v>
      </c>
      <c r="BA79" s="35">
        <f>SUM(AW79:AZ79)</f>
        <v>4924.83883980119</v>
      </c>
      <c r="BB79" s="35">
        <f>SUM(BB15,BB64,BB68)</f>
        <v>1210.89011167976</v>
      </c>
      <c r="BC79" s="35">
        <f>SUM(BC15,BC64,BC68)</f>
        <v>1268.86885833001</v>
      </c>
      <c r="BD79" s="35">
        <f>SUM(BD15,BD64,BD68)</f>
        <v>1623.8290519654</v>
      </c>
      <c r="BE79" s="35">
        <f>SUM(BE15,BE64,BE68)</f>
        <v>1591.60221034882</v>
      </c>
      <c r="BF79" s="35">
        <f>SUM(BB79:BE79)</f>
        <v>5695.19023232399</v>
      </c>
      <c r="BG79" s="35" t="n"/>
      <c r="BH79" s="35" t="n"/>
      <c r="BI79" s="35" t="n"/>
      <c r="BJ79" s="35" t="n"/>
      <c r="BK79" s="35" t="n"/>
      <c r="BL79" s="35" t="n"/>
      <c r="BM79" s="35" t="n"/>
      <c r="BN79" s="35" t="n"/>
      <c r="BO79" s="35" t="n"/>
      <c r="BP79" s="35" t="n"/>
      <c r="BQ79" s="35" t="n"/>
      <c r="BR79" s="35" t="n"/>
      <c r="BS79" s="35" t="n"/>
      <c r="BT79" s="35" t="n"/>
      <c r="BU79" s="35" t="n"/>
      <c r="BV79" s="35" t="n"/>
      <c r="BW79" s="35" t="n"/>
      <c r="BX79" s="35" t="n"/>
      <c r="BY79" s="35" t="n"/>
      <c r="BZ79" s="35" t="n"/>
      <c r="CA79" s="35" t="n"/>
      <c r="CB79" s="35" t="n"/>
      <c r="CC79" s="35" t="n"/>
      <c r="CD79" s="35" t="n"/>
      <c r="CE79" s="35" t="n"/>
      <c r="CF79" s="35" t="n"/>
      <c r="CG79" s="35" t="n"/>
      <c r="CH79" s="35" t="n"/>
      <c r="CI79" s="35" t="n"/>
      <c r="CJ79" s="35" t="n"/>
      <c r="CK79" s="35" t="n"/>
      <c r="CL79" s="35" t="n"/>
      <c r="CM79" s="35" t="n"/>
      <c r="CN79" s="35" t="n"/>
      <c r="CO79" s="35" t="n"/>
      <c r="CP79" s="35" t="n"/>
      <c r="CQ79" s="35" t="n"/>
      <c r="CR79" s="35" t="n"/>
      <c r="CS79" s="35" t="n"/>
      <c r="CT79" s="35" t="n"/>
      <c r="CU79" s="35" t="n"/>
      <c r="CV79" s="35" t="n"/>
      <c r="CW79" s="35" t="n"/>
      <c r="CX79" s="35" t="n"/>
      <c r="CY79" s="35" t="n"/>
    </row>
    <row r="80" ht="13.5" customHeight="1">
      <c r="C80" s="13" t="inlineStr">
        <is>
          <t>D&amp;A</t>
        </is>
      </c>
      <c r="D80" s="46" t="n"/>
      <c r="E80" s="46" t="n"/>
      <c r="F80" s="46" t="n"/>
      <c r="G80" s="46" t="n"/>
      <c r="H80" s="12" t="n"/>
      <c r="I80" s="46">
        <f>'Inputs (2)'!D7</f>
        <v>-57.729</v>
      </c>
      <c r="J80" s="46">
        <f>'Inputs (2)'!E7</f>
        <v>-63.733</v>
      </c>
      <c r="K80" s="46">
        <f>'Inputs (2)'!F7</f>
        <v>-71.918</v>
      </c>
      <c r="L80" s="46">
        <f>'Inputs (2)'!G7</f>
        <v>-67.065</v>
      </c>
      <c r="M80" s="12">
        <f>'Inputs (2)'!H7</f>
        <v>-260.445</v>
      </c>
      <c r="N80" s="46">
        <f>'Inputs (2)'!I7</f>
        <v>-72.195</v>
      </c>
      <c r="O80" s="46">
        <f>'Inputs (2)'!J7</f>
        <v>-83.73</v>
      </c>
      <c r="P80" s="46">
        <f>'Inputs (2)'!K7</f>
        <v>-84.22</v>
      </c>
      <c r="Q80" s="46">
        <f>'Inputs (2)'!L7</f>
        <v>-89.022</v>
      </c>
      <c r="R80" s="12">
        <f>'Inputs (2)'!M7</f>
        <v>-329.167</v>
      </c>
      <c r="S80" s="46">
        <f>'Inputs (2)'!N7</f>
        <v>-98.001</v>
      </c>
      <c r="T80" s="46">
        <f>'Inputs (2)'!O7</f>
        <v>-92.145</v>
      </c>
      <c r="U80" s="46">
        <f>'Inputs (2)'!P7</f>
        <v>-98.528</v>
      </c>
      <c r="V80" s="46">
        <f>'Inputs (2)'!Q7</f>
        <v>-64.718</v>
      </c>
      <c r="W80" s="12">
        <f>'Inputs (2)'!R7</f>
        <v>-353.392</v>
      </c>
      <c r="X80" s="46">
        <f>'Inputs (2)'!S7</f>
        <v>-104.571</v>
      </c>
      <c r="Y80" s="46">
        <f>'Inputs (2)'!T7</f>
        <v>-85.309</v>
      </c>
      <c r="Z80" s="46">
        <f>'Inputs (2)'!U7</f>
        <v>-95.494</v>
      </c>
      <c r="AA80" s="46">
        <f>'Inputs (2)'!V7</f>
        <v>-91.372</v>
      </c>
      <c r="AB80" s="12">
        <f>'Inputs (2)'!W7</f>
        <v>-376.746</v>
      </c>
      <c r="AC80" s="46">
        <f>'Inputs (2)'!X7</f>
        <v>-105.294</v>
      </c>
      <c r="AD80" s="46">
        <f>'Inputs (2)'!Y7</f>
        <v>-113.093</v>
      </c>
      <c r="AE80" s="46">
        <f>'Inputs (2)'!Z7</f>
        <v>-162.165</v>
      </c>
      <c r="AF80" s="46">
        <f>'Inputs (2)'!AA7</f>
        <v>-159.044</v>
      </c>
      <c r="AG80" s="12">
        <f>'Inputs (2)'!AB7</f>
        <v>-539.596</v>
      </c>
      <c r="AH80" s="12">
        <f>'Inputs (2)'!AC7</f>
        <v>-158.45</v>
      </c>
      <c r="AI80" s="12">
        <f>'Inputs (2)'!AD7</f>
        <v>-177.69</v>
      </c>
      <c r="AJ80" s="12">
        <f>-AJ81*AJ15</f>
        <v>-190.282379436024</v>
      </c>
      <c r="AK80" s="12">
        <f>-AK81*AK15</f>
        <v>-186.505996634466</v>
      </c>
      <c r="AL80" s="12">
        <f>SUM(AH80:AK80)</f>
        <v>-712.92837607049</v>
      </c>
      <c r="AM80" s="12">
        <f>-AM81*AM15</f>
        <v>-166.217307701236</v>
      </c>
      <c r="AN80" s="12">
        <f>-AN81*AN15</f>
        <v>-174.175974700942</v>
      </c>
      <c r="AO80" s="12">
        <f>-AO81*AO15</f>
        <v>-222.900897927326</v>
      </c>
      <c r="AP80" s="12">
        <f>-AP81*AP15</f>
        <v>-218.477161373897</v>
      </c>
      <c r="AQ80" s="12">
        <f>SUM(AM80:AP80)</f>
        <v>-781.771341703401</v>
      </c>
      <c r="AR80" s="12">
        <f>-AR81*AR15</f>
        <v>-193.879465470987</v>
      </c>
      <c r="AS80" s="12">
        <f>-AS81*AS15</f>
        <v>-203.162626924535</v>
      </c>
      <c r="AT80" s="12">
        <f>-AT81*AT15</f>
        <v>-259.996432025182</v>
      </c>
      <c r="AU80" s="12">
        <f>-AU81*AU15</f>
        <v>-254.836489957627</v>
      </c>
      <c r="AV80" s="12">
        <f>SUM(AR80:AU80)</f>
        <v>-911.875014378331</v>
      </c>
      <c r="AW80" s="12">
        <f>-AW81*AW15</f>
        <v>-225.175807712783</v>
      </c>
      <c r="AX80" s="12">
        <f>-AX81*AX15</f>
        <v>-235.957472358664</v>
      </c>
      <c r="AY80" s="12">
        <f>-AY81*AY15</f>
        <v>-301.965483768434</v>
      </c>
      <c r="AZ80" s="12">
        <f>-AZ81*AZ15</f>
        <v>-295.972615364397</v>
      </c>
      <c r="BA80" s="12">
        <f>SUM(AW80:AZ80)</f>
        <v>-1059.07137920428</v>
      </c>
      <c r="BB80" s="12">
        <f>-BB81*BB15</f>
        <v>-260.39817796216</v>
      </c>
      <c r="BC80" s="12">
        <f>-BC81*BC15</f>
        <v>-272.866328327441</v>
      </c>
      <c r="BD80" s="12">
        <f>-BD81*BD15</f>
        <v>-349.199421462977</v>
      </c>
      <c r="BE80" s="12">
        <f>-BE81*BE15</f>
        <v>-342.269138725105</v>
      </c>
      <c r="BF80" s="12">
        <f>SUM(BB80:BE80)</f>
        <v>-1224.73306647768</v>
      </c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 customFormat="1" s="56">
      <c r="A81" s="53" t="n"/>
      <c r="B81" s="53" t="n"/>
      <c r="C81" s="54" t="inlineStr">
        <is>
          <t>% of Revenue</t>
        </is>
      </c>
      <c r="D81" s="53" t="n"/>
      <c r="E81" s="53" t="n"/>
      <c r="F81" s="53" t="n"/>
      <c r="G81" s="53" t="n"/>
      <c r="H81" s="53" t="n"/>
      <c r="I81" s="53">
        <f>IFERROR(-I80/I15,"")</f>
        <v>0.0171696344692946</v>
      </c>
      <c r="J81" s="53">
        <f>IFERROR(-J80/J15,"")</f>
        <v>0.0171125544834845</v>
      </c>
      <c r="K81" s="53">
        <f>IFERROR(-K80/K15,"")</f>
        <v>0.0165361998103067</v>
      </c>
      <c r="L81" s="53">
        <f>IFERROR(-L80/L15,"")</f>
        <v>0.0151009299359267</v>
      </c>
      <c r="M81" s="53" t="n"/>
      <c r="N81" s="53">
        <f>IFERROR(-N80/N15,"")</f>
        <v>0.0157673020569572</v>
      </c>
      <c r="O81" s="53">
        <f>IFERROR(-O80/O15,"")</f>
        <v>0.0160957664462574</v>
      </c>
      <c r="P81" s="53">
        <f>IFERROR(-P80/P15,"")</f>
        <v>0.0142188312228786</v>
      </c>
      <c r="Q81" s="53">
        <f>IFERROR(-Q80/Q15,"")</f>
        <v>0.0146790123265398</v>
      </c>
      <c r="R81" s="53" t="n"/>
      <c r="S81" s="53">
        <f>IFERROR(-S80/S15,"")</f>
        <v>0.0167012625975365</v>
      </c>
      <c r="T81" s="53">
        <f>IFERROR(-T80/T15,"")</f>
        <v>0.014331658960487</v>
      </c>
      <c r="U81" s="53">
        <f>IFERROR(-U80/U15,"")</f>
        <v>0.0142074994567356</v>
      </c>
      <c r="V81" s="53">
        <f>IFERROR(-V80/V15,"")</f>
        <v>0.00858180348740009</v>
      </c>
      <c r="W81" s="53" t="n"/>
      <c r="X81" s="53">
        <f>IFERROR(-X80/X15,"")</f>
        <v>0.0141647701683945</v>
      </c>
      <c r="Y81" s="53">
        <f>IFERROR(-Y80/Y15,"")</f>
        <v>0.0111676717906806</v>
      </c>
      <c r="Z81" s="53">
        <f>IFERROR(-Z80/Z15,"")</f>
        <v>0.0114541618223313</v>
      </c>
      <c r="AA81" s="53">
        <f>IFERROR(-AA80/AA15,"")</f>
        <v>0.0104700631157845</v>
      </c>
      <c r="AB81" s="53" t="n"/>
      <c r="AC81" s="53">
        <f>IFERROR(-AC80/AC15,"")</f>
        <v>0.0126383561758932</v>
      </c>
      <c r="AD81" s="53">
        <f>IFERROR(-AD80/AD15,"")</f>
        <v>0.0128812851033484</v>
      </c>
      <c r="AE81" s="53">
        <f>IFERROR(-AE80/AE15,"")</f>
        <v>0.0150661427497167</v>
      </c>
      <c r="AF81" s="55">
        <f>IFERROR(-AF80/AF15,"")</f>
        <v>0.0150753712127275</v>
      </c>
      <c r="AG81" s="53" t="n"/>
      <c r="AH81" s="55">
        <f>IFERROR(-AH80/AH15,"")</f>
        <v>0.0168523133243355</v>
      </c>
      <c r="AI81" s="55">
        <f>IFERROR(-AI80/AI15,"")</f>
        <v>0.0180350878831187</v>
      </c>
      <c r="AJ81" s="55">
        <f>Control!$B$21</f>
        <v>0.0150914260748567</v>
      </c>
      <c r="AK81" s="55">
        <f>Control!$B$21</f>
        <v>0.0150914260748567</v>
      </c>
      <c r="AL81" s="53" t="n"/>
      <c r="AM81" s="55">
        <f>Control!$C$21</f>
        <v>0.0150914260748567</v>
      </c>
      <c r="AN81" s="55">
        <f>Control!$C$21</f>
        <v>0.0150914260748567</v>
      </c>
      <c r="AO81" s="55">
        <f>Control!$C$21</f>
        <v>0.0150914260748567</v>
      </c>
      <c r="AP81" s="55">
        <f>Control!$C$21</f>
        <v>0.0150914260748567</v>
      </c>
      <c r="AQ81" s="53" t="n"/>
      <c r="AR81" s="55">
        <f>Control!$D$21</f>
        <v>0.0150914260748567</v>
      </c>
      <c r="AS81" s="55">
        <f>Control!$D$21</f>
        <v>0.0150914260748567</v>
      </c>
      <c r="AT81" s="55">
        <f>Control!$D$21</f>
        <v>0.0150914260748567</v>
      </c>
      <c r="AU81" s="55">
        <f>Control!$D$21</f>
        <v>0.0150914260748567</v>
      </c>
      <c r="AV81" s="53" t="n"/>
      <c r="AW81" s="55">
        <f>Control!$E$21</f>
        <v>0.0150914260748567</v>
      </c>
      <c r="AX81" s="55">
        <f>Control!$E$21</f>
        <v>0.0150914260748567</v>
      </c>
      <c r="AY81" s="55">
        <f>Control!$E$21</f>
        <v>0.0150914260748567</v>
      </c>
      <c r="AZ81" s="55">
        <f>Control!$E$21</f>
        <v>0.0150914260748567</v>
      </c>
      <c r="BA81" s="53" t="n"/>
      <c r="BB81" s="55">
        <f>Control!$F$21</f>
        <v>0.0150914260748567</v>
      </c>
      <c r="BC81" s="55">
        <f>Control!$F$21</f>
        <v>0.0150914260748567</v>
      </c>
      <c r="BD81" s="55">
        <f>Control!$F$21</f>
        <v>0.0150914260748567</v>
      </c>
      <c r="BE81" s="55">
        <f>Control!$F$21</f>
        <v>0.0150914260748567</v>
      </c>
      <c r="BF81" s="53" t="n"/>
      <c r="BG81" s="55" t="n"/>
      <c r="BH81" s="55" t="n"/>
      <c r="BI81" s="55" t="n"/>
      <c r="BJ81" s="55" t="n"/>
      <c r="BK81" s="53" t="n"/>
      <c r="BL81" s="55" t="n"/>
      <c r="BM81" s="55" t="n"/>
      <c r="BN81" s="55" t="n"/>
      <c r="BO81" s="55" t="n"/>
      <c r="BP81" s="53" t="n"/>
      <c r="BQ81" s="55" t="n"/>
      <c r="BR81" s="55" t="n"/>
      <c r="BS81" s="55" t="n"/>
      <c r="BT81" s="55" t="n"/>
      <c r="BU81" s="53" t="n"/>
      <c r="BV81" s="55" t="n"/>
      <c r="BW81" s="55" t="n"/>
      <c r="BX81" s="55" t="n"/>
      <c r="BY81" s="55" t="n"/>
      <c r="BZ81" s="53" t="n"/>
      <c r="CA81" s="55" t="n"/>
      <c r="CB81" s="55" t="n"/>
      <c r="CC81" s="55" t="n"/>
      <c r="CD81" s="55" t="n"/>
      <c r="CE81" s="53" t="n"/>
      <c r="CF81" s="55" t="n"/>
      <c r="CG81" s="55" t="n"/>
      <c r="CH81" s="55" t="n"/>
      <c r="CI81" s="55" t="n"/>
      <c r="CJ81" s="53" t="n"/>
      <c r="CK81" s="55" t="n"/>
      <c r="CL81" s="55" t="n"/>
      <c r="CM81" s="55" t="n"/>
      <c r="CN81" s="55" t="n"/>
      <c r="CO81" s="53" t="n"/>
      <c r="CP81" s="55" t="n"/>
      <c r="CQ81" s="55" t="n"/>
      <c r="CR81" s="55" t="n"/>
      <c r="CS81" s="55" t="n"/>
      <c r="CT81" s="53" t="n"/>
      <c r="CU81" s="55" t="n"/>
      <c r="CV81" s="55" t="n"/>
      <c r="CW81" s="55" t="n"/>
      <c r="CX81" s="55" t="n"/>
      <c r="CY81" s="53" t="n"/>
    </row>
    <row r="82" hidden="1" outlineLevel="1">
      <c r="C82" s="50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collapsed="1" customFormat="1" s="32">
      <c r="A83" s="30" t="n"/>
      <c r="B83" s="3" t="n"/>
      <c r="C83" s="33" t="inlineStr">
        <is>
          <t>Operating Profit - EBIT</t>
        </is>
      </c>
      <c r="D83" s="35" t="n"/>
      <c r="E83" s="35" t="n"/>
      <c r="F83" s="35" t="n"/>
      <c r="G83" s="35" t="n"/>
      <c r="H83" s="35" t="n"/>
      <c r="I83" s="35">
        <f>SUM(I79,I80)</f>
        <v>181.50038826</v>
      </c>
      <c r="J83" s="35">
        <f>SUM(J79,J80)</f>
        <v>215.07879179</v>
      </c>
      <c r="K83" s="35">
        <f>SUM(K79,K80)</f>
        <v>260.125</v>
      </c>
      <c r="L83" s="35">
        <f>SUM(L79,L80)</f>
        <v>259.46363301</v>
      </c>
      <c r="M83" s="35">
        <f>SUM(I83:L83)</f>
        <v>916.16781306</v>
      </c>
      <c r="N83" s="35">
        <f>SUM(N79,N80)</f>
        <v>229.807948740001</v>
      </c>
      <c r="O83" s="35">
        <f>SUM(O79,O80)</f>
        <v>326.05819674</v>
      </c>
      <c r="P83" s="35">
        <f>SUM(P79,P80)</f>
        <v>388.192</v>
      </c>
      <c r="Q83" s="35">
        <f>SUM(Q79,Q80)</f>
        <v>421.226000000001</v>
      </c>
      <c r="R83" s="35">
        <f>SUM(N83:Q83)</f>
        <v>1365.28414548</v>
      </c>
      <c r="S83" s="35">
        <f>SUM(S79,S80)</f>
        <v>312.99066758</v>
      </c>
      <c r="T83" s="35">
        <f>SUM(T79,T80)</f>
        <v>413.58</v>
      </c>
      <c r="U83" s="35">
        <f>SUM(U79,U80)</f>
        <v>414.028</v>
      </c>
      <c r="V83" s="35">
        <f>SUM(V79,V80)</f>
        <v>542.0134499</v>
      </c>
      <c r="W83" s="35">
        <f>SUM(S83:V83)</f>
        <v>1682.61211748</v>
      </c>
      <c r="X83" s="35">
        <f>SUM(X79,X80)</f>
        <v>405.452026299</v>
      </c>
      <c r="Y83" s="35">
        <f>SUM(Y79,Y80)</f>
        <v>457.403352271</v>
      </c>
      <c r="Z83" s="35">
        <f>SUM(Z79,Z80)</f>
        <v>552.761000000001</v>
      </c>
      <c r="AA83" s="35">
        <f>SUM(AA79,AA80)</f>
        <v>540.835500000001</v>
      </c>
      <c r="AB83" s="35">
        <f>SUM(X83:AA83)</f>
        <v>1956.45187857</v>
      </c>
      <c r="AC83" s="35">
        <f>SUM(AC79,AC80)</f>
        <v>480.638</v>
      </c>
      <c r="AD83" s="35">
        <f>SUM(AD79,AD80)</f>
        <v>662.398433216</v>
      </c>
      <c r="AE83" s="35">
        <f>SUM(AE79,AE80)</f>
        <v>671.057000000001</v>
      </c>
      <c r="AF83" s="35">
        <f>SUM(AF79,AF80)</f>
        <v>453.455</v>
      </c>
      <c r="AG83" s="35">
        <f>SUM(AC83:AF83)</f>
        <v>2267.548433216</v>
      </c>
      <c r="AH83" s="35">
        <f>SUM(AH79,AH80)</f>
        <v>384.594000000001</v>
      </c>
      <c r="AI83" s="35">
        <f>SUM(AI79,AI80)</f>
        <v>503.917</v>
      </c>
      <c r="AJ83" s="35">
        <f>SUM(AJ79,AJ80)</f>
        <v>694.558879781467</v>
      </c>
      <c r="AK83" s="35">
        <f>SUM(AK79,AK80)</f>
        <v>680.774522995252</v>
      </c>
      <c r="AL83" s="35">
        <f>SUM(AL79,AL80)</f>
        <v>2263.84440277672</v>
      </c>
      <c r="AM83" s="35">
        <f>SUM(AM79,AM80)</f>
        <v>606.717802139305</v>
      </c>
      <c r="AN83" s="35">
        <f>SUM(AN79,AN80)</f>
        <v>635.768115953191</v>
      </c>
      <c r="AO83" s="35">
        <f>SUM(AO79,AO80)</f>
        <v>813.621305480568</v>
      </c>
      <c r="AP83" s="35">
        <f>SUM(AP79,AP80)</f>
        <v>797.474011579239</v>
      </c>
      <c r="AQ83" s="35">
        <f>SUM(AQ79,AQ80)</f>
        <v>2853.5812351523</v>
      </c>
      <c r="AR83" s="35">
        <f>SUM(AR79,AR80)</f>
        <v>707.688776802549</v>
      </c>
      <c r="AS83" s="35">
        <f>SUM(AS79,AS80)</f>
        <v>741.573691628173</v>
      </c>
      <c r="AT83" s="35">
        <f>SUM(AT79,AT80)</f>
        <v>949.025501519458</v>
      </c>
      <c r="AU83" s="35">
        <f>SUM(AU79,AU80)</f>
        <v>930.190948405292</v>
      </c>
      <c r="AV83" s="35">
        <f>SUM(AV79,AV80)</f>
        <v>3328.47891835547</v>
      </c>
      <c r="AW83" s="35">
        <f>SUM(AW79,AW80)</f>
        <v>821.925063279237</v>
      </c>
      <c r="AX83" s="35">
        <f>SUM(AX79,AX80)</f>
        <v>861.279736795606</v>
      </c>
      <c r="AY83" s="35">
        <f>SUM(AY79,AY80)</f>
        <v>1102.21875909108</v>
      </c>
      <c r="AZ83" s="35">
        <f>SUM(AZ79,AZ80)</f>
        <v>1080.34390143099</v>
      </c>
      <c r="BA83" s="35">
        <f>SUM(BA79,BA80)</f>
        <v>3865.76746059691</v>
      </c>
      <c r="BB83" s="35">
        <f>SUM(BB79,BB80)</f>
        <v>950.491933717603</v>
      </c>
      <c r="BC83" s="35">
        <f>SUM(BC79,BC80)</f>
        <v>996.002530002571</v>
      </c>
      <c r="BD83" s="35">
        <f>SUM(BD79,BD80)</f>
        <v>1274.62963050243</v>
      </c>
      <c r="BE83" s="35">
        <f>SUM(BE79,BE80)</f>
        <v>1249.33307162371</v>
      </c>
      <c r="BF83" s="35">
        <f>SUM(BF79,BF80)</f>
        <v>4470.45716584631</v>
      </c>
      <c r="BG83" s="35" t="n"/>
      <c r="BH83" s="35" t="n"/>
      <c r="BI83" s="35" t="n"/>
      <c r="BJ83" s="35" t="n"/>
      <c r="BK83" s="35" t="n"/>
      <c r="BL83" s="35" t="n"/>
      <c r="BM83" s="35" t="n"/>
      <c r="BN83" s="35" t="n"/>
      <c r="BO83" s="35" t="n"/>
      <c r="BP83" s="35" t="n"/>
      <c r="BQ83" s="35" t="n"/>
      <c r="BR83" s="35" t="n"/>
      <c r="BS83" s="35" t="n"/>
      <c r="BT83" s="35" t="n"/>
      <c r="BU83" s="35" t="n"/>
      <c r="BV83" s="35" t="n"/>
      <c r="BW83" s="35" t="n"/>
      <c r="BX83" s="35" t="n"/>
      <c r="BY83" s="35" t="n"/>
      <c r="BZ83" s="35" t="n"/>
      <c r="CA83" s="35" t="n"/>
      <c r="CB83" s="35" t="n"/>
      <c r="CC83" s="35" t="n"/>
      <c r="CD83" s="35" t="n"/>
      <c r="CE83" s="35" t="n"/>
      <c r="CF83" s="35" t="n"/>
      <c r="CG83" s="35" t="n"/>
      <c r="CH83" s="35" t="n"/>
      <c r="CI83" s="35" t="n"/>
      <c r="CJ83" s="35" t="n"/>
      <c r="CK83" s="35" t="n"/>
      <c r="CL83" s="35" t="n"/>
      <c r="CM83" s="35" t="n"/>
      <c r="CN83" s="35" t="n"/>
      <c r="CO83" s="35" t="n"/>
      <c r="CP83" s="35" t="n"/>
      <c r="CQ83" s="35" t="n"/>
      <c r="CR83" s="35" t="n"/>
      <c r="CS83" s="35" t="n"/>
      <c r="CT83" s="35" t="n"/>
      <c r="CU83" s="35" t="n"/>
      <c r="CV83" s="35" t="n"/>
      <c r="CW83" s="35" t="n"/>
      <c r="CX83" s="35" t="n"/>
      <c r="CY83" s="35" t="n"/>
    </row>
    <row r="84">
      <c r="C84" s="14" t="inlineStr">
        <is>
          <t>Interest Expense</t>
        </is>
      </c>
      <c r="D84" s="46" t="n"/>
      <c r="E84" s="46" t="n"/>
      <c r="F84" s="46" t="n"/>
      <c r="G84" s="46" t="n"/>
      <c r="H84" s="12" t="n"/>
      <c r="I84" s="46">
        <f>'Inputs (2)'!D8</f>
        <v>-50.47</v>
      </c>
      <c r="J84" s="46">
        <f>'Inputs (2)'!E8</f>
        <v>-56.216</v>
      </c>
      <c r="K84" s="46">
        <f>'Inputs (2)'!F8</f>
        <v>-91.211</v>
      </c>
      <c r="L84" s="46">
        <f>'Inputs (2)'!G8</f>
        <v>-71.983</v>
      </c>
      <c r="M84" s="12">
        <f>'Inputs (2)'!H8</f>
        <v>-269.88</v>
      </c>
      <c r="N84" s="46">
        <f>'Inputs (2)'!I8</f>
        <v>-73.218</v>
      </c>
      <c r="O84" s="46">
        <f>'Inputs (2)'!J8</f>
        <v>-94.76177903</v>
      </c>
      <c r="P84" s="46">
        <f>'Inputs (2)'!K8</f>
        <v>-137.924</v>
      </c>
      <c r="Q84" s="46">
        <f>'Inputs (2)'!L8</f>
        <v>-154.73222097</v>
      </c>
      <c r="R84" s="12">
        <f>'Inputs (2)'!M8</f>
        <v>-460.636</v>
      </c>
      <c r="S84" s="46">
        <f>'Inputs (2)'!N8</f>
        <v>-135.96</v>
      </c>
      <c r="T84" s="46">
        <f>'Inputs (2)'!O8</f>
        <v>-166.879</v>
      </c>
      <c r="U84" s="46">
        <f>'Inputs (2)'!P8</f>
        <v>-163.903</v>
      </c>
      <c r="V84" s="46">
        <f>'Inputs (2)'!Q8</f>
        <v>-180.578</v>
      </c>
      <c r="W84" s="12">
        <f>'Inputs (2)'!R8</f>
        <v>-647.32</v>
      </c>
      <c r="X84" s="46">
        <f>'Inputs (2)'!S8</f>
        <v>-187.30166009</v>
      </c>
      <c r="Y84" s="46">
        <f>'Inputs (2)'!T8</f>
        <v>-198.20873991</v>
      </c>
      <c r="Z84" s="46">
        <f>'Inputs (2)'!U8</f>
        <v>-208.79</v>
      </c>
      <c r="AA84" s="46">
        <f>'Inputs (2)'!V8</f>
        <v>-244.9556</v>
      </c>
      <c r="AB84" s="12">
        <f>'Inputs (2)'!W8</f>
        <v>-839.256</v>
      </c>
      <c r="AC84" s="46">
        <f>'Inputs (2)'!X8</f>
        <v>-250.609</v>
      </c>
      <c r="AD84" s="46">
        <f>'Inputs (2)'!Y8</f>
        <v>-267.809</v>
      </c>
      <c r="AE84" s="46">
        <f>'Inputs (2)'!Z8</f>
        <v>-305.637</v>
      </c>
      <c r="AF84" s="46">
        <f>'Inputs (2)'!AA8</f>
        <v>-403.524</v>
      </c>
      <c r="AG84" s="12">
        <f>'Inputs (2)'!AB8</f>
        <v>-1227.579</v>
      </c>
      <c r="AH84" s="12">
        <f>'Inputs (2)'!AC8</f>
        <v>-310.031</v>
      </c>
      <c r="AI84" s="12">
        <f>'Inputs (2)'!AD8</f>
        <v>-338.073</v>
      </c>
      <c r="AJ84" s="12" t="str">
        <f>IF(Control!$E$9="","",-AI102*Control!$E$9/4)</f>
        <v/>
      </c>
      <c r="AK84" s="12" t="str">
        <f>IF(Control!$E$9="","",-AJ102*Control!$E$9/4)</f>
        <v/>
      </c>
      <c r="AL84" s="12">
        <f>SUM(AH84:AK84)</f>
        <v>-648.104</v>
      </c>
      <c r="AM84" s="12" t="str">
        <f>IF(Control!$E$9="","",-AL102*Control!$E$9/4)</f>
        <v/>
      </c>
      <c r="AN84" s="12" t="str">
        <f>IF(Control!$E$9="","",-AM102*Control!$E$9/4)</f>
        <v/>
      </c>
      <c r="AO84" s="12" t="str">
        <f>IF(Control!$E$9="","",-AN102*Control!$E$9/4)</f>
        <v/>
      </c>
      <c r="AP84" s="12" t="str">
        <f>IF(Control!$E$9="","",-AO102*Control!$E$9/4)</f>
        <v/>
      </c>
      <c r="AQ84" s="12">
        <f>SUM(AM84:AP84)</f>
        <v>0</v>
      </c>
      <c r="AR84" s="12" t="str">
        <f>IF(Control!$E$9="","",-AQ102*Control!$E$9/4)</f>
        <v/>
      </c>
      <c r="AS84" s="12" t="str">
        <f>IF(Control!$E$9="","",-AR102*Control!$E$9/4)</f>
        <v/>
      </c>
      <c r="AT84" s="12" t="str">
        <f>IF(Control!$E$9="","",-AS102*Control!$E$9/4)</f>
        <v/>
      </c>
      <c r="AU84" s="12" t="str">
        <f>IF(Control!$E$9="","",-AT102*Control!$E$9/4)</f>
        <v/>
      </c>
      <c r="AV84" s="12">
        <f>SUM(AR84:AU84)</f>
        <v>0</v>
      </c>
      <c r="AW84" s="12" t="str">
        <f>IF(Control!$E$9="","",-AV102*Control!$E$9/4)</f>
        <v/>
      </c>
      <c r="AX84" s="12" t="str">
        <f>IF(Control!$E$9="","",-AW102*Control!$E$9/4)</f>
        <v/>
      </c>
      <c r="AY84" s="12" t="str">
        <f>IF(Control!$E$9="","",-AX102*Control!$E$9/4)</f>
        <v/>
      </c>
      <c r="AZ84" s="12" t="str">
        <f>IF(Control!$E$9="","",-AY102*Control!$E$9/4)</f>
        <v/>
      </c>
      <c r="BA84" s="12">
        <f>SUM(AW84:AZ84)</f>
        <v>0</v>
      </c>
      <c r="BB84" s="12" t="str">
        <f>IF(Control!$E$9="","",-BA102*Control!$E$9/4)</f>
        <v/>
      </c>
      <c r="BC84" s="12" t="str">
        <f>IF(Control!$E$9="","",-BB102*Control!$E$9/4)</f>
        <v/>
      </c>
      <c r="BD84" s="12" t="str">
        <f>IF(Control!$E$9="","",-BC102*Control!$E$9/4)</f>
        <v/>
      </c>
      <c r="BE84" s="12" t="str">
        <f>IF(Control!$E$9="","",-BD102*Control!$E$9/4)</f>
        <v/>
      </c>
      <c r="BF84" s="12">
        <f>SUM(BB84:BE84)</f>
        <v>0</v>
      </c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0" t="inlineStr">
        <is>
          <t>% of Debt</t>
        </is>
      </c>
      <c r="D85" s="53" t="n"/>
      <c r="E85" s="53" t="n"/>
      <c r="F85" s="53" t="n"/>
      <c r="G85" s="53" t="n"/>
      <c r="H85" s="12" t="n"/>
      <c r="I85" s="53">
        <f>IFERROR(-I84/SUM(I222+I227),"")</f>
        <v>0.0881540155430278</v>
      </c>
      <c r="J85" s="53">
        <f>IFERROR(-J84/SUM(J222+J227),"")</f>
        <v>0.101820246529713</v>
      </c>
      <c r="K85" s="53">
        <f>IFERROR(-K84/SUM(K222+K227),"")</f>
        <v>0.171614087967954</v>
      </c>
      <c r="L85" s="53">
        <f>IFERROR(-L84/SUM(L222+L227),"")</f>
        <v>0.0690571189281339</v>
      </c>
      <c r="M85" s="12" t="n"/>
      <c r="N85" s="53">
        <f>IFERROR(-N84/SUM(N222+N227),"")</f>
        <v>0.0699951436077259</v>
      </c>
      <c r="O85" s="53">
        <f>IFERROR(-O84/SUM(O222+O227),"")</f>
        <v>0.0890778128686635</v>
      </c>
      <c r="P85" s="53">
        <f>IFERROR(-P84/SUM(P222+P227),"")</f>
        <v>0.0752711116738332</v>
      </c>
      <c r="Q85" s="53">
        <f>IFERROR(-Q84/SUM(Q222+Q227),"")</f>
        <v>0.0845045014917646</v>
      </c>
      <c r="R85" s="12" t="n"/>
      <c r="S85" s="53">
        <f>IFERROR(-S84/SUM(S222+S227),"")</f>
        <v>0.0751835626922307</v>
      </c>
      <c r="T85" s="53">
        <f>IFERROR(-T84/SUM(T222+T227),"")</f>
        <v>0.0927984047120163</v>
      </c>
      <c r="U85" s="53">
        <f>IFERROR(-U84/SUM(U222+U227),"")</f>
        <v>0.0921500708682357</v>
      </c>
      <c r="V85" s="53">
        <f>IFERROR(-V84/SUM(V222+V227),"")</f>
        <v>0.101483434716733</v>
      </c>
      <c r="W85" s="12" t="n"/>
      <c r="X85" s="53">
        <f>IFERROR(-X84/SUM(X222+X227),"")</f>
        <v>0.103242866681182</v>
      </c>
      <c r="Y85" s="53">
        <f>IFERROR(-Y84/SUM(Y222+Y227),"")</f>
        <v>0.108653371510171</v>
      </c>
      <c r="Z85" s="53">
        <f>IFERROR(-Z84/SUM(Z222+Z227),"")</f>
        <v>0.11546184461343</v>
      </c>
      <c r="AA85" s="53">
        <f>IFERROR(-AA84/SUM(AA222+AA227),"")</f>
        <v>0.107726867728768</v>
      </c>
      <c r="AB85" s="12" t="n"/>
      <c r="AC85" s="53">
        <f>IFERROR(-AC84/SUM(AC222+AC227),"")</f>
        <v>0.117377141318221</v>
      </c>
      <c r="AD85" s="53">
        <f>IFERROR(-AD84/SUM(AD222+AD227),"")</f>
        <v>0.126592635940701</v>
      </c>
      <c r="AE85" s="53">
        <f>IFERROR(-AE84/SUM(AE222+AE227),"")</f>
        <v>0.116592997408638</v>
      </c>
      <c r="AF85" s="55">
        <f>IFERROR(-AF84/SUM(AF222+AF227),"")</f>
        <v>0.141037815808927</v>
      </c>
      <c r="AG85" s="12" t="n"/>
      <c r="AH85" s="11">
        <f>IFERROR(-AH84/SUM(AH222+AH227),"")</f>
        <v>0.113976914997531</v>
      </c>
      <c r="AI85" s="11">
        <f>IFERROR(-AI84/SUM(AI222+AI227),"")</f>
        <v>0.124091902145666</v>
      </c>
      <c r="AJ85" s="11" t="str">
        <f>IFERROR(Control!$E$9,0)</f>
        <v/>
      </c>
      <c r="AK85" s="11" t="str">
        <f>IFERROR(Control!$E$9,0)</f>
        <v/>
      </c>
      <c r="AL85" s="12" t="n"/>
      <c r="AM85" s="11" t="str">
        <f>IFERROR(Control!$E$9,0)</f>
        <v/>
      </c>
      <c r="AN85" s="11" t="str">
        <f>IFERROR(Control!$E$9,0)</f>
        <v/>
      </c>
      <c r="AO85" s="11" t="str">
        <f>IFERROR(Control!$E$9,0)</f>
        <v/>
      </c>
      <c r="AP85" s="11" t="str">
        <f>IFERROR(Control!$E$9,0)</f>
        <v/>
      </c>
      <c r="AQ85" s="12" t="n"/>
      <c r="AR85" s="11" t="str">
        <f>IFERROR(Control!$E$9,0)</f>
        <v/>
      </c>
      <c r="AS85" s="11" t="str">
        <f>IFERROR(Control!$E$9,0)</f>
        <v/>
      </c>
      <c r="AT85" s="11" t="str">
        <f>IFERROR(Control!$E$9,0)</f>
        <v/>
      </c>
      <c r="AU85" s="11" t="str">
        <f>IFERROR(Control!$E$9,0)</f>
        <v/>
      </c>
      <c r="AV85" s="12" t="n"/>
      <c r="AW85" s="11" t="str">
        <f>IFERROR(Control!$E$9,0)</f>
        <v/>
      </c>
      <c r="AX85" s="11" t="str">
        <f>IFERROR(Control!$E$9,0)</f>
        <v/>
      </c>
      <c r="AY85" s="11" t="str">
        <f>IFERROR(Control!$E$9,0)</f>
        <v/>
      </c>
      <c r="AZ85" s="11" t="str">
        <f>IFERROR(Control!$E$9,0)</f>
        <v/>
      </c>
      <c r="BA85" s="12" t="n"/>
      <c r="BB85" s="11" t="str">
        <f>IFERROR(Control!$E$9,0)</f>
        <v/>
      </c>
      <c r="BC85" s="11" t="str">
        <f>IFERROR(Control!$E$9,0)</f>
        <v/>
      </c>
      <c r="BD85" s="11" t="str">
        <f>IFERROR(Control!$E$9,0)</f>
        <v/>
      </c>
      <c r="BE85" s="11" t="str">
        <f>IFERROR(Control!$E$9,0)</f>
        <v/>
      </c>
      <c r="BF85" s="12" t="n"/>
      <c r="BG85" s="11" t="n"/>
      <c r="BH85" s="11" t="n"/>
      <c r="BI85" s="11" t="n"/>
      <c r="BJ85" s="11" t="n"/>
      <c r="BK85" s="12" t="n"/>
      <c r="BL85" s="11" t="n"/>
      <c r="BM85" s="11" t="n"/>
      <c r="BN85" s="11" t="n"/>
      <c r="BO85" s="11" t="n"/>
      <c r="BP85" s="12" t="n"/>
      <c r="BQ85" s="11" t="n"/>
      <c r="BR85" s="11" t="n"/>
      <c r="BS85" s="11" t="n"/>
      <c r="BT85" s="11" t="n"/>
      <c r="BU85" s="12" t="n"/>
      <c r="BV85" s="11" t="n"/>
      <c r="BW85" s="11" t="n"/>
      <c r="BX85" s="11" t="n"/>
      <c r="BY85" s="11" t="n"/>
      <c r="BZ85" s="12" t="n"/>
      <c r="CA85" s="11" t="n"/>
      <c r="CB85" s="11" t="n"/>
      <c r="CC85" s="11" t="n"/>
      <c r="CD85" s="11" t="n"/>
      <c r="CE85" s="12" t="n"/>
      <c r="CF85" s="11" t="n"/>
      <c r="CG85" s="11" t="n"/>
      <c r="CH85" s="11" t="n"/>
      <c r="CI85" s="11" t="n"/>
      <c r="CJ85" s="12" t="n"/>
      <c r="CK85" s="11" t="n"/>
      <c r="CL85" s="11" t="n"/>
      <c r="CM85" s="11" t="n"/>
      <c r="CN85" s="11" t="n"/>
      <c r="CO85" s="12" t="n"/>
      <c r="CP85" s="11" t="n"/>
      <c r="CQ85" s="11" t="n"/>
      <c r="CR85" s="11" t="n"/>
      <c r="CS85" s="11" t="n"/>
      <c r="CT85" s="12" t="n"/>
      <c r="CU85" s="11" t="n"/>
      <c r="CV85" s="11" t="n"/>
      <c r="CW85" s="11" t="n"/>
      <c r="CX85" s="11" t="n"/>
      <c r="CY85" s="12" t="n"/>
    </row>
    <row r="86" hidden="1" outlineLevel="1">
      <c r="C86" s="50" t="inlineStr">
        <is>
          <t>%CDI</t>
        </is>
      </c>
      <c r="D86" s="11" t="n"/>
      <c r="E86" s="11" t="n"/>
      <c r="F86" s="11" t="n"/>
      <c r="G86" s="11" t="n"/>
      <c r="H86" s="12" t="n"/>
      <c r="I86" s="11" t="n"/>
      <c r="J86" s="11" t="n"/>
      <c r="K86" s="11" t="n"/>
      <c r="L86" s="11" t="n"/>
      <c r="M86" s="12" t="n"/>
      <c r="N86" s="11" t="n"/>
      <c r="O86" s="11" t="n"/>
      <c r="P86" s="11" t="n"/>
      <c r="Q86" s="11" t="n"/>
      <c r="R86" s="12" t="n"/>
      <c r="S86" s="11" t="n"/>
      <c r="T86" s="11" t="n"/>
      <c r="U86" s="11" t="n"/>
      <c r="V86" s="11" t="n"/>
      <c r="W86" s="12" t="n"/>
      <c r="X86" s="11" t="n"/>
      <c r="Y86" s="11" t="n"/>
      <c r="Z86" s="11" t="n"/>
      <c r="AA86" s="11" t="n"/>
      <c r="AB86" s="12" t="n"/>
      <c r="AC86" s="11" t="n"/>
      <c r="AD86" s="11" t="n"/>
      <c r="AE86" s="11" t="n"/>
      <c r="AF86" s="11" t="n"/>
      <c r="AG86" s="12" t="n"/>
      <c r="AH86" s="11" t="n"/>
      <c r="AI86" s="11" t="n"/>
      <c r="AJ86" s="11" t="n"/>
      <c r="AK86" s="11" t="n"/>
      <c r="AL86" s="12" t="n"/>
      <c r="AM86" s="11" t="n"/>
      <c r="AN86" s="11" t="n"/>
      <c r="AO86" s="11" t="n"/>
      <c r="AP86" s="11" t="n"/>
      <c r="AQ86" s="12" t="n"/>
      <c r="AR86" s="11" t="n"/>
      <c r="AS86" s="11" t="n"/>
      <c r="AT86" s="11" t="n"/>
      <c r="AU86" s="11" t="n"/>
      <c r="AV86" s="12" t="n"/>
      <c r="AW86" s="11" t="n"/>
      <c r="AX86" s="11" t="n"/>
      <c r="AY86" s="11" t="n"/>
      <c r="AZ86" s="11" t="n"/>
      <c r="BA86" s="12" t="n"/>
      <c r="BB86" s="11" t="n"/>
      <c r="BC86" s="11" t="n"/>
      <c r="BD86" s="11" t="n"/>
      <c r="BE86" s="11" t="n"/>
      <c r="BF86" s="12" t="n"/>
      <c r="BG86" s="11" t="n"/>
      <c r="BH86" s="11" t="n"/>
      <c r="BI86" s="11" t="n"/>
      <c r="BJ86" s="11" t="n"/>
      <c r="BK86" s="12" t="n"/>
      <c r="BL86" s="11" t="n"/>
      <c r="BM86" s="11" t="n"/>
      <c r="BN86" s="11" t="n"/>
      <c r="BO86" s="11" t="n"/>
      <c r="BP86" s="12" t="n"/>
      <c r="BQ86" s="11" t="n"/>
      <c r="BR86" s="11" t="n"/>
      <c r="BS86" s="11" t="n"/>
      <c r="BT86" s="11" t="n"/>
      <c r="BU86" s="12" t="n"/>
      <c r="BV86" s="11" t="n"/>
      <c r="BW86" s="11" t="n"/>
      <c r="BX86" s="11" t="n"/>
      <c r="BY86" s="11" t="n"/>
      <c r="BZ86" s="12" t="n"/>
      <c r="CA86" s="11" t="n"/>
      <c r="CB86" s="11" t="n"/>
      <c r="CC86" s="11" t="n"/>
      <c r="CD86" s="11" t="n"/>
      <c r="CE86" s="12" t="n"/>
      <c r="CF86" s="11" t="n"/>
      <c r="CG86" s="11" t="n"/>
      <c r="CH86" s="11" t="n"/>
      <c r="CI86" s="11" t="n"/>
      <c r="CJ86" s="12" t="n"/>
      <c r="CK86" s="11" t="n"/>
      <c r="CL86" s="11" t="n"/>
      <c r="CM86" s="11" t="n"/>
      <c r="CN86" s="11" t="n"/>
      <c r="CO86" s="12" t="n"/>
      <c r="CP86" s="11" t="n"/>
      <c r="CQ86" s="11" t="n"/>
      <c r="CR86" s="11" t="n"/>
      <c r="CS86" s="11" t="n"/>
      <c r="CT86" s="12" t="n"/>
      <c r="CU86" s="11" t="n"/>
      <c r="CV86" s="11" t="n"/>
      <c r="CW86" s="11" t="n"/>
      <c r="CX86" s="11" t="n"/>
      <c r="CY86" s="12" t="n"/>
    </row>
    <row r="87" hidden="1" outlineLevel="1">
      <c r="C87" s="57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RECEITA FINANCEIRA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DESPESA FINANCEIRA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OUTROS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Cash and equivalents (inc. investment securities)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Interest on cash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Average interest rate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% CDI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Current portion of long-term debt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Short term debt (Revolving credit facility)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Long term debt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Convertible debt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Total debt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Interest expense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Average interest rate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Stake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PRE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CDI+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Spread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PRE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CDI+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RECEITAS FINANCEIRAS - Rendimentos de aplicações financeiras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RECEITAS FINANCEIRAS - Variação cambial ativa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RECEITAS FINANCEIRAS - Atualização de contas a pagar por aquisição de empresas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RECEITAS FINANCEIRAS - Resultado positivo com instrumentos derivativos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RECEITAS FINANCEIRAS - Descontos obtidos de fornecedores por antecipação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RECEITAS FINANCEIRAS - Atualização monetária sobre Exclusão ICMS da base de PIS/COFINS (nota explicativa nº 7)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RECEITAS FINANCEIRAS - Outras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inlineStr">
        <is>
          <t>DESPESAS FINANCEIRAS - Encargos sobre empréstimos, financiamentos e debêntures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DESPESAS FINANCEIRAS - Variação cambial passiva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inlineStr">
        <is>
          <t>DESPESAS FINANCEIRAS - Resultado negativo com instrumentos derivativos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7" t="inlineStr">
        <is>
          <t>DESPESAS FINANCEIRAS - Juros sobre arrendamento - IFRS16</t>
        </is>
      </c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inlineStr">
        <is>
          <t>DESPESAS FINANCEIRAS - Despesas bancárias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7" t="inlineStr">
        <is>
          <t>DESPESAS FINANCEIRAS - Despesas com obtenção de empréstimos e financiamentos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inlineStr">
        <is>
          <t>DESPESAS FINANCEIRAS - Atualização de contas a pagar por aquisição de empresas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7" t="inlineStr">
        <is>
          <t>DESPESAS FINANCEIRAS - Outras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inlineStr">
        <is>
          <t>CHECK [EX IFRS-16]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hidden="1" outlineLevel="1">
      <c r="C132" s="57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collapsed="1">
      <c r="C133" s="14" t="inlineStr">
        <is>
          <t>Nonoperating Income / (Loss)</t>
        </is>
      </c>
      <c r="D133" s="46" t="n"/>
      <c r="E133" s="46" t="n"/>
      <c r="F133" s="46" t="n"/>
      <c r="G133" s="46" t="n"/>
      <c r="H133" s="12" t="n"/>
      <c r="I133" s="46">
        <f>'Inputs (2)'!D9</f>
        <v>25.69076605</v>
      </c>
      <c r="J133" s="46">
        <f>'Inputs (2)'!E9</f>
        <v>31.7005537</v>
      </c>
      <c r="K133" s="46">
        <f>'Inputs (2)'!F9</f>
        <v>44.51</v>
      </c>
      <c r="L133" s="46">
        <f>'Inputs (2)'!G9</f>
        <v>39.361</v>
      </c>
      <c r="M133" s="12">
        <f>'Inputs (2)'!H9</f>
        <v>141.26231975</v>
      </c>
      <c r="N133" s="46">
        <f>'Inputs (2)'!I9</f>
        <v>44.14633455</v>
      </c>
      <c r="O133" s="46">
        <f>'Inputs (2)'!J9</f>
        <v>36.20066545</v>
      </c>
      <c r="P133" s="46">
        <f>'Inputs (2)'!K9</f>
        <v>47.128</v>
      </c>
      <c r="Q133" s="46">
        <f>'Inputs (2)'!L9</f>
        <v>56.191</v>
      </c>
      <c r="R133" s="12">
        <f>'Inputs (2)'!M9</f>
        <v>183.666</v>
      </c>
      <c r="S133" s="46">
        <f>'Inputs (2)'!N9</f>
        <v>63.202</v>
      </c>
      <c r="T133" s="46">
        <f>'Inputs (2)'!O9</f>
        <v>62.773</v>
      </c>
      <c r="U133" s="46">
        <f>'Inputs (2)'!P9</f>
        <v>63.855</v>
      </c>
      <c r="V133" s="46">
        <f>'Inputs (2)'!Q9</f>
        <v>52.167</v>
      </c>
      <c r="W133" s="12">
        <f>'Inputs (2)'!R9</f>
        <v>241.997</v>
      </c>
      <c r="X133" s="46">
        <f>'Inputs (2)'!S9</f>
        <v>54.59566009</v>
      </c>
      <c r="Y133" s="46">
        <f>'Inputs (2)'!T9</f>
        <v>71.54033991</v>
      </c>
      <c r="Z133" s="46">
        <f>'Inputs (2)'!U9</f>
        <v>58.966</v>
      </c>
      <c r="AA133" s="46">
        <f>'Inputs (2)'!V9</f>
        <v>82.206</v>
      </c>
      <c r="AB133" s="12">
        <f>'Inputs (2)'!W9</f>
        <v>267.308</v>
      </c>
      <c r="AC133" s="46">
        <f>'Inputs (2)'!X9</f>
        <v>69.356</v>
      </c>
      <c r="AD133" s="46">
        <f>'Inputs (2)'!Y9</f>
        <v>58.754</v>
      </c>
      <c r="AE133" s="46">
        <f>'Inputs (2)'!Z9</f>
        <v>87.088</v>
      </c>
      <c r="AF133" s="46">
        <f>'Inputs (2)'!AA9</f>
        <v>96.761</v>
      </c>
      <c r="AG133" s="12">
        <f>'Inputs (2)'!AB9</f>
        <v>311.959</v>
      </c>
      <c r="AH133" s="12">
        <f>'Inputs (2)'!AC9</f>
        <v>87.895</v>
      </c>
      <c r="AI133" s="12">
        <f>'Inputs (2)'!AD9</f>
        <v>90.775</v>
      </c>
      <c r="AJ133" s="12">
        <f>AJ15*Control!$B$23</f>
        <v>107.251353950724</v>
      </c>
      <c r="AK133" s="12">
        <f>AK15*Control!$B$23</f>
        <v>105.12282176764</v>
      </c>
      <c r="AL133" s="12">
        <f>SUM(AH133:AK133)</f>
        <v>391.044175718365</v>
      </c>
      <c r="AM133" s="12">
        <f>AM15*Control!$C$23</f>
        <v>93.687241844668</v>
      </c>
      <c r="AN133" s="12">
        <f>AN15*Control!$C$23</f>
        <v>98.1730897402605</v>
      </c>
      <c r="AO133" s="12">
        <f>AO15*Control!$C$23</f>
        <v>125.636557469976</v>
      </c>
      <c r="AP133" s="12">
        <f>AP15*Control!$C$23</f>
        <v>123.143148798702</v>
      </c>
      <c r="AQ133" s="12">
        <f>SUM(AM133:AP133)</f>
        <v>440.640037853607</v>
      </c>
      <c r="AR133" s="12">
        <f>AR15*Control!$D$23</f>
        <v>109.27882674495</v>
      </c>
      <c r="AS133" s="12">
        <f>AS15*Control!$D$23</f>
        <v>114.511216826402</v>
      </c>
      <c r="AT133" s="12">
        <f>AT15*Control!$D$23</f>
        <v>146.545200032216</v>
      </c>
      <c r="AU133" s="12">
        <f>AU15*Control!$D$23</f>
        <v>143.636834188291</v>
      </c>
      <c r="AV133" s="12">
        <f>SUM(AR133:AU133)</f>
        <v>513.972077791858</v>
      </c>
      <c r="AW133" s="12">
        <f>AW15*Control!$E$23</f>
        <v>126.918794718266</v>
      </c>
      <c r="AX133" s="12">
        <f>AX15*Control!$E$23</f>
        <v>132.995805813779</v>
      </c>
      <c r="AY133" s="12">
        <f>AY15*Control!$E$23</f>
        <v>170.200767283545</v>
      </c>
      <c r="AZ133" s="12">
        <f>AZ15*Control!$E$23</f>
        <v>166.822928240926</v>
      </c>
      <c r="BA133" s="12">
        <f>SUM(AW133:AZ133)</f>
        <v>596.938296056516</v>
      </c>
      <c r="BB133" s="12">
        <f>BB15*Control!$F$23</f>
        <v>146.771641365422</v>
      </c>
      <c r="BC133" s="12">
        <f>BC15*Control!$F$23</f>
        <v>153.799228532983</v>
      </c>
      <c r="BD133" s="12">
        <f>BD15*Control!$F$23</f>
        <v>196.823851276812</v>
      </c>
      <c r="BE133" s="12">
        <f>BE15*Control!$F$23</f>
        <v>192.917645094709</v>
      </c>
      <c r="BF133" s="12">
        <f>SUM(BB133:BE133)</f>
        <v>690.312366269926</v>
      </c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0" t="inlineStr">
        <is>
          <t>Resultado Não Recorrente</t>
        </is>
      </c>
      <c r="D135" s="11" t="n"/>
      <c r="E135" s="11" t="n"/>
      <c r="F135" s="11" t="n"/>
      <c r="G135" s="11" t="n"/>
      <c r="H135" s="12" t="n"/>
      <c r="I135" s="11" t="n"/>
      <c r="J135" s="11" t="n"/>
      <c r="K135" s="11" t="n"/>
      <c r="L135" s="11" t="n"/>
      <c r="M135" s="12" t="n"/>
      <c r="N135" s="11" t="n"/>
      <c r="O135" s="11" t="n"/>
      <c r="P135" s="11" t="n"/>
      <c r="Q135" s="11" t="n"/>
      <c r="R135" s="12" t="n"/>
      <c r="S135" s="11" t="n"/>
      <c r="T135" s="11" t="n"/>
      <c r="U135" s="11" t="n"/>
      <c r="V135" s="11" t="n"/>
      <c r="W135" s="12" t="n"/>
      <c r="X135" s="11" t="n"/>
      <c r="Y135" s="11" t="n"/>
      <c r="Z135" s="11" t="n"/>
      <c r="AA135" s="11" t="n"/>
      <c r="AB135" s="12" t="n"/>
      <c r="AC135" s="11" t="n"/>
      <c r="AD135" s="11" t="n"/>
      <c r="AE135" s="11" t="n"/>
      <c r="AF135" s="11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hidden="1" outlineLevel="1">
      <c r="C136" s="50" t="inlineStr">
        <is>
          <t>Plano de Opção de Compra de Ações</t>
        </is>
      </c>
      <c r="D136" s="11" t="n"/>
      <c r="E136" s="11" t="n"/>
      <c r="F136" s="11" t="n"/>
      <c r="G136" s="11" t="n"/>
      <c r="H136" s="12" t="n"/>
      <c r="I136" s="11" t="n"/>
      <c r="J136" s="11" t="n"/>
      <c r="K136" s="11" t="n"/>
      <c r="L136" s="11" t="n"/>
      <c r="M136" s="12" t="n"/>
      <c r="N136" s="11" t="n"/>
      <c r="O136" s="11" t="n"/>
      <c r="P136" s="11" t="n"/>
      <c r="Q136" s="11" t="n"/>
      <c r="R136" s="12" t="n"/>
      <c r="S136" s="11" t="n"/>
      <c r="T136" s="11" t="n"/>
      <c r="U136" s="11" t="n"/>
      <c r="V136" s="11" t="n"/>
      <c r="W136" s="12" t="n"/>
      <c r="X136" s="11" t="n"/>
      <c r="Y136" s="11" t="n"/>
      <c r="Z136" s="11" t="n"/>
      <c r="AA136" s="11" t="n"/>
      <c r="AB136" s="12" t="n"/>
      <c r="AC136" s="11" t="n"/>
      <c r="AD136" s="11" t="n"/>
      <c r="AE136" s="11" t="n"/>
      <c r="AF136" s="11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hidden="1" outlineLevel="1">
      <c r="C137" s="50" t="inlineStr">
        <is>
          <t>Baixa Imobilizado</t>
        </is>
      </c>
      <c r="D137" s="11" t="n"/>
      <c r="E137" s="11" t="n"/>
      <c r="F137" s="11" t="n"/>
      <c r="G137" s="11" t="n"/>
      <c r="H137" s="12" t="n"/>
      <c r="I137" s="11" t="n"/>
      <c r="J137" s="11" t="n"/>
      <c r="K137" s="11" t="n"/>
      <c r="L137" s="11" t="n"/>
      <c r="M137" s="12" t="n"/>
      <c r="N137" s="11" t="n"/>
      <c r="O137" s="11" t="n"/>
      <c r="P137" s="11" t="n"/>
      <c r="Q137" s="11" t="n"/>
      <c r="R137" s="12" t="n"/>
      <c r="S137" s="11" t="n"/>
      <c r="T137" s="11" t="n"/>
      <c r="U137" s="11" t="n"/>
      <c r="V137" s="11" t="n"/>
      <c r="W137" s="12" t="n"/>
      <c r="X137" s="11" t="n"/>
      <c r="Y137" s="11" t="n"/>
      <c r="Z137" s="11" t="n"/>
      <c r="AA137" s="11" t="n"/>
      <c r="AB137" s="12" t="n"/>
      <c r="AC137" s="11" t="n"/>
      <c r="AD137" s="11" t="n"/>
      <c r="AE137" s="11" t="n"/>
      <c r="AF137" s="11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collapsed="1" customFormat="1" s="32">
      <c r="A140" s="30" t="n"/>
      <c r="B140" s="3" t="n"/>
      <c r="C140" s="33" t="inlineStr">
        <is>
          <t>Pretax Income - EBT</t>
        </is>
      </c>
      <c r="D140" s="35" t="n"/>
      <c r="E140" s="35" t="n"/>
      <c r="F140" s="35" t="n"/>
      <c r="G140" s="35" t="n"/>
      <c r="H140" s="35" t="n"/>
      <c r="I140" s="35">
        <f>SUM(I83,I84,I133)</f>
        <v>156.72115431</v>
      </c>
      <c r="J140" s="35">
        <f>SUM(J83,J84,J133)</f>
        <v>190.56334549</v>
      </c>
      <c r="K140" s="35">
        <f>SUM(K83,K84,K133)</f>
        <v>213.424</v>
      </c>
      <c r="L140" s="35">
        <f>SUM(L83,L84,L133)</f>
        <v>226.84163301</v>
      </c>
      <c r="M140" s="35">
        <f>SUM(I140:L140)</f>
        <v>787.55013281</v>
      </c>
      <c r="N140" s="35">
        <f>SUM(N83,N84,N133)</f>
        <v>200.736283290001</v>
      </c>
      <c r="O140" s="35">
        <f>SUM(O83,O84,O133)</f>
        <v>267.49708316</v>
      </c>
      <c r="P140" s="35">
        <f>SUM(P83,P84,P133)</f>
        <v>297.396</v>
      </c>
      <c r="Q140" s="35">
        <f>SUM(Q83,Q84,Q133)</f>
        <v>322.684779030001</v>
      </c>
      <c r="R140" s="35">
        <f>SUM(N140:Q140)</f>
        <v>1088.31414548</v>
      </c>
      <c r="S140" s="35">
        <f>SUM(S83,S84,S133)</f>
        <v>240.23266758</v>
      </c>
      <c r="T140" s="35">
        <f>SUM(T83,T84,T133)</f>
        <v>309.474</v>
      </c>
      <c r="U140" s="35">
        <f>SUM(U83,U84,U133)</f>
        <v>313.98</v>
      </c>
      <c r="V140" s="35">
        <f>SUM(V83,V84,V133)</f>
        <v>413.6024499</v>
      </c>
      <c r="W140" s="35">
        <f>SUM(S140:V140)</f>
        <v>1277.28911748</v>
      </c>
      <c r="X140" s="35">
        <f>SUM(X83,X84,X133)</f>
        <v>272.746026299</v>
      </c>
      <c r="Y140" s="35">
        <f>SUM(Y83,Y84,Y133)</f>
        <v>330.734952271</v>
      </c>
      <c r="Z140" s="35">
        <f>SUM(Z83,Z84,Z133)</f>
        <v>402.937000000001</v>
      </c>
      <c r="AA140" s="35">
        <f>SUM(AA83,AA84,AA133)</f>
        <v>378.085900000001</v>
      </c>
      <c r="AB140" s="35">
        <f>SUM(X140:AA140)</f>
        <v>1384.50387857</v>
      </c>
      <c r="AC140" s="35">
        <f>SUM(AC83,AC84,AC133)</f>
        <v>299.385</v>
      </c>
      <c r="AD140" s="35">
        <f>SUM(AD83,AD84,AD133)</f>
        <v>453.343433216</v>
      </c>
      <c r="AE140" s="35">
        <f>SUM(AE83,AE84,AE133)</f>
        <v>452.508000000001</v>
      </c>
      <c r="AF140" s="35">
        <f>SUM(AF83,AF84,AF133)</f>
        <v>146.692</v>
      </c>
      <c r="AG140" s="35">
        <f>SUM(AC140:AF140)</f>
        <v>1351.928433216</v>
      </c>
      <c r="AH140" s="35">
        <f>SUM(AH83,AH84,AH133)</f>
        <v>162.458000000001</v>
      </c>
      <c r="AI140" s="35">
        <f>SUM(AI83,AI84,AI133)</f>
        <v>256.619</v>
      </c>
      <c r="AJ140" s="35">
        <f>SUM(AJ83,AJ84,AJ133:AJ138)</f>
        <v>801.810233732191</v>
      </c>
      <c r="AK140" s="35">
        <f>SUM(AK83,AK84,AK133:AK138)</f>
        <v>785.897344762892</v>
      </c>
      <c r="AL140" s="35">
        <f>SUM(AH140:AK140)</f>
        <v>2006.78457849508</v>
      </c>
      <c r="AM140" s="35">
        <f>SUM(AM83,AM84,AM133:AM138)</f>
        <v>700.405043983973</v>
      </c>
      <c r="AN140" s="35">
        <f>SUM(AN83,AN84,AN133:AN138)</f>
        <v>733.941205693452</v>
      </c>
      <c r="AO140" s="35">
        <f>SUM(AO83,AO84,AO133:AO138)</f>
        <v>939.257862950545</v>
      </c>
      <c r="AP140" s="35">
        <f>SUM(AP83,AP84,AP133:AP138)</f>
        <v>920.61716037794</v>
      </c>
      <c r="AQ140" s="35">
        <f>SUM(AM140:AP140)</f>
        <v>3294.22127300591</v>
      </c>
      <c r="AR140" s="35">
        <f>SUM(AR83,AR84,AR133:AR138)</f>
        <v>816.967603547499</v>
      </c>
      <c r="AS140" s="35">
        <f>SUM(AS83,AS84,AS133:AS138)</f>
        <v>856.084908454575</v>
      </c>
      <c r="AT140" s="35">
        <f>SUM(AT83,AT84,AT133:AT138)</f>
        <v>1095.57070155167</v>
      </c>
      <c r="AU140" s="35">
        <f>SUM(AU83,AU84,AU133:AU138)</f>
        <v>1073.82778259358</v>
      </c>
      <c r="AV140" s="35">
        <f>SUM(AR140:AU140)</f>
        <v>3842.45099614733</v>
      </c>
      <c r="AW140" s="35">
        <f>SUM(AW83,AW84,AW133:AW138)</f>
        <v>948.843857997503</v>
      </c>
      <c r="AX140" s="35">
        <f>SUM(AX83,AX84,AX133:AX138)</f>
        <v>994.275542609385</v>
      </c>
      <c r="AY140" s="35">
        <f>SUM(AY83,AY84,AY133:AY138)</f>
        <v>1272.41952637462</v>
      </c>
      <c r="AZ140" s="35">
        <f>SUM(AZ83,AZ84,AZ133:AZ138)</f>
        <v>1247.16682967192</v>
      </c>
      <c r="BA140" s="35">
        <f>SUM(AW140:AZ140)</f>
        <v>4462.70575665343</v>
      </c>
      <c r="BB140" s="35">
        <f>SUM(BB83,BB84,BB133:BB138)</f>
        <v>1097.26357508303</v>
      </c>
      <c r="BC140" s="35">
        <f>SUM(BC83,BC84,BC133:BC138)</f>
        <v>1149.80175853555</v>
      </c>
      <c r="BD140" s="35">
        <f>SUM(BD83,BD84,BD133:BD138)</f>
        <v>1471.45348177924</v>
      </c>
      <c r="BE140" s="35">
        <f>SUM(BE83,BE84,BE133:BE138)</f>
        <v>1442.25071671842</v>
      </c>
      <c r="BF140" s="35">
        <f>SUM(BB140:BE140)</f>
        <v>5160.76953211624</v>
      </c>
      <c r="BG140" s="35" t="n"/>
      <c r="BH140" s="35" t="n"/>
      <c r="BI140" s="35" t="n"/>
      <c r="BJ140" s="35" t="n"/>
      <c r="BK140" s="35" t="n"/>
      <c r="BL140" s="35" t="n"/>
      <c r="BM140" s="35" t="n"/>
      <c r="BN140" s="35" t="n"/>
      <c r="BO140" s="35" t="n"/>
      <c r="BP140" s="35" t="n"/>
      <c r="BQ140" s="35" t="n"/>
      <c r="BR140" s="35" t="n"/>
      <c r="BS140" s="35" t="n"/>
      <c r="BT140" s="35" t="n"/>
      <c r="BU140" s="35" t="n"/>
      <c r="BV140" s="35" t="n"/>
      <c r="BW140" s="35" t="n"/>
      <c r="BX140" s="35" t="n"/>
      <c r="BY140" s="35" t="n"/>
      <c r="BZ140" s="35" t="n"/>
      <c r="CA140" s="35" t="n"/>
      <c r="CB140" s="35" t="n"/>
      <c r="CC140" s="35" t="n"/>
      <c r="CD140" s="35" t="n"/>
      <c r="CE140" s="35" t="n"/>
      <c r="CF140" s="35" t="n"/>
      <c r="CG140" s="35" t="n"/>
      <c r="CH140" s="35" t="n"/>
      <c r="CI140" s="35" t="n"/>
      <c r="CJ140" s="35" t="n"/>
      <c r="CK140" s="35" t="n"/>
      <c r="CL140" s="35" t="n"/>
      <c r="CM140" s="35" t="n"/>
      <c r="CN140" s="35" t="n"/>
      <c r="CO140" s="35" t="n"/>
      <c r="CP140" s="35" t="n"/>
      <c r="CQ140" s="35" t="n"/>
      <c r="CR140" s="35" t="n"/>
      <c r="CS140" s="35" t="n"/>
      <c r="CT140" s="35" t="n"/>
      <c r="CU140" s="35" t="n"/>
      <c r="CV140" s="35" t="n"/>
      <c r="CW140" s="35" t="n"/>
      <c r="CX140" s="35" t="n"/>
      <c r="CY140" s="35" t="n"/>
    </row>
    <row r="141">
      <c r="C141" s="14" t="inlineStr">
        <is>
          <t>Taxes</t>
        </is>
      </c>
      <c r="D141" s="46" t="n"/>
      <c r="E141" s="46" t="n"/>
      <c r="F141" s="46" t="n"/>
      <c r="G141" s="46" t="n"/>
      <c r="H141" s="12" t="n"/>
      <c r="I141" s="46">
        <f>'Inputs (2)'!D10</f>
        <v>0</v>
      </c>
      <c r="J141" s="46">
        <f>'Inputs (2)'!E10</f>
        <v>0</v>
      </c>
      <c r="K141" s="46">
        <f>'Inputs (2)'!F10</f>
        <v>0</v>
      </c>
      <c r="L141" s="46">
        <f>'Inputs (2)'!G10</f>
        <v>-18.759</v>
      </c>
      <c r="M141" s="12">
        <f>'Inputs (2)'!H10</f>
        <v>-18.759</v>
      </c>
      <c r="N141" s="46">
        <f>'Inputs (2)'!I10</f>
        <v>-1.52444138</v>
      </c>
      <c r="O141" s="46">
        <f>'Inputs (2)'!J10</f>
        <v>-3.374</v>
      </c>
      <c r="P141" s="46">
        <f>'Inputs (2)'!K10</f>
        <v>-6.525</v>
      </c>
      <c r="Q141" s="46">
        <f>'Inputs (2)'!L10</f>
        <v>-12.096</v>
      </c>
      <c r="R141" s="12">
        <f>'Inputs (2)'!M10</f>
        <v>-23.51944138</v>
      </c>
      <c r="S141" s="46">
        <f>'Inputs (2)'!N10</f>
        <v>-0.541</v>
      </c>
      <c r="T141" s="46">
        <f>'Inputs (2)'!O10</f>
        <v>-16.241</v>
      </c>
      <c r="U141" s="46">
        <f>'Inputs (2)'!P10</f>
        <v>-0.383</v>
      </c>
      <c r="V141" s="46">
        <f>'Inputs (2)'!Q10</f>
        <v>-25.485</v>
      </c>
      <c r="W141" s="12">
        <f>'Inputs (2)'!R10</f>
        <v>-42.65</v>
      </c>
      <c r="X141" s="46">
        <f>'Inputs (2)'!S10</f>
        <v>-32.368244987</v>
      </c>
      <c r="Y141" s="46">
        <f>'Inputs (2)'!T10</f>
        <v>-3.39073999999999</v>
      </c>
      <c r="Z141" s="46">
        <f>'Inputs (2)'!U10</f>
        <v>-47.676</v>
      </c>
      <c r="AA141" s="46">
        <f>'Inputs (2)'!V10</f>
        <v>-54.854</v>
      </c>
      <c r="AB141" s="12">
        <f>'Inputs (2)'!W10</f>
        <v>-138.288984987</v>
      </c>
      <c r="AC141" s="46">
        <f>'Inputs (2)'!X10</f>
        <v>-23.065</v>
      </c>
      <c r="AD141" s="46">
        <f>'Inputs (2)'!Y10</f>
        <v>-57.566</v>
      </c>
      <c r="AE141" s="46">
        <f>'Inputs (2)'!Z10</f>
        <v>394.065</v>
      </c>
      <c r="AF141" s="46">
        <f>'Inputs (2)'!AA10</f>
        <v>196.259</v>
      </c>
      <c r="AG141" s="12">
        <f>'Inputs (2)'!AB10</f>
        <v>509.693</v>
      </c>
      <c r="AH141" s="12">
        <f>'Inputs (2)'!AC10</f>
        <v>28.464</v>
      </c>
      <c r="AI141" s="12">
        <f>'Inputs (2)'!AD10</f>
        <v>-14.673</v>
      </c>
      <c r="AJ141" s="12">
        <f>-AJ140*AJ142</f>
        <v>283.674164348792</v>
      </c>
      <c r="AK141" s="12">
        <f>-AK140*AK142</f>
        <v>278.04430919001</v>
      </c>
      <c r="AL141" s="12">
        <f>SUM(AH141:AK141)</f>
        <v>575.509473538802</v>
      </c>
      <c r="AM141" s="12">
        <f>-AM140*AM142</f>
        <v>247.797804516667</v>
      </c>
      <c r="AN141" s="12">
        <f>-AN140*AN142</f>
        <v>259.6626351813</v>
      </c>
      <c r="AO141" s="12">
        <f>-AO140*AO142</f>
        <v>332.302056236315</v>
      </c>
      <c r="AP141" s="12">
        <f>-AP140*AP142</f>
        <v>325.707122045286</v>
      </c>
      <c r="AQ141" s="12">
        <f>SUM(AM141:AP141)</f>
        <v>1165.46961797957</v>
      </c>
      <c r="AR141" s="12">
        <f>-AR140*AR142</f>
        <v>289.036722763729</v>
      </c>
      <c r="AS141" s="12">
        <f>-AS140*AS142</f>
        <v>302.876118064834</v>
      </c>
      <c r="AT141" s="12">
        <f>-AT140*AT142</f>
        <v>387.604311061331</v>
      </c>
      <c r="AU141" s="12">
        <f>-AU140*AU142</f>
        <v>379.911837073776</v>
      </c>
      <c r="AV141" s="12">
        <f>SUM(AR141:AU141)</f>
        <v>1359.42898896367</v>
      </c>
      <c r="AW141" s="12">
        <f>-AW140*AW142</f>
        <v>335.693506008339</v>
      </c>
      <c r="AX141" s="12">
        <f>-AX140*AX142</f>
        <v>351.766879264309</v>
      </c>
      <c r="AY141" s="12">
        <f>-AY140*AY142</f>
        <v>450.172036549445</v>
      </c>
      <c r="AZ141" s="12">
        <f>-AZ140*AZ142</f>
        <v>441.237830756947</v>
      </c>
      <c r="BA141" s="12">
        <f>SUM(AW141:AZ141)</f>
        <v>1578.87025257904</v>
      </c>
      <c r="BB141" s="12">
        <f>-BB140*BB142</f>
        <v>388.203236423158</v>
      </c>
      <c r="BC141" s="12">
        <f>-BC140*BC142</f>
        <v>406.790833164006</v>
      </c>
      <c r="BD141" s="12">
        <f>-BD140*BD142</f>
        <v>520.588687024994</v>
      </c>
      <c r="BE141" s="12">
        <f>-BE140*BE142</f>
        <v>510.256978065954</v>
      </c>
      <c r="BF141" s="12">
        <f>SUM(BB141:BE141)</f>
        <v>1825.83973467811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inlineStr">
        <is>
          <t>% ETR</t>
        </is>
      </c>
      <c r="D142" s="53" t="n"/>
      <c r="E142" s="53" t="n"/>
      <c r="F142" s="53" t="n"/>
      <c r="G142" s="53" t="n"/>
      <c r="H142" s="53" t="n"/>
      <c r="I142" s="53">
        <f>IFERROR(-I141/I140,"")</f>
        <v>0</v>
      </c>
      <c r="J142" s="53">
        <f>IFERROR(-J141/J140,"")</f>
        <v>0</v>
      </c>
      <c r="K142" s="53">
        <f>IFERROR(-K141/K140,"")</f>
        <v>0</v>
      </c>
      <c r="L142" s="53">
        <f>IFERROR(-L141/L140,"")</f>
        <v>0.0826964598653415</v>
      </c>
      <c r="M142" s="53">
        <f>IFERROR(-M141/M140,"")</f>
        <v>0.0238194360187172</v>
      </c>
      <c r="N142" s="53">
        <f>IFERROR(-N141/N140,"")</f>
        <v>0.00759424930568063</v>
      </c>
      <c r="O142" s="53">
        <f>IFERROR(-O141/O140,"")</f>
        <v>0.0126132216476614</v>
      </c>
      <c r="P142" s="53">
        <f>IFERROR(-P141/P140,"")</f>
        <v>0.0219404430456361</v>
      </c>
      <c r="Q142" s="53">
        <f>IFERROR(-Q141/Q140,"")</f>
        <v>0.0374854991188643</v>
      </c>
      <c r="R142" s="53">
        <f>IFERROR(-R141/R140,"")</f>
        <v>0.0216108937641592</v>
      </c>
      <c r="S142" s="53">
        <f>IFERROR(-S141/S140,"")</f>
        <v>0.0022519834852179</v>
      </c>
      <c r="T142" s="53">
        <f>IFERROR(-T141/T140,"")</f>
        <v>0.0524793682183317</v>
      </c>
      <c r="U142" s="53">
        <f>IFERROR(-U141/U140,"")</f>
        <v>0.00121982291865724</v>
      </c>
      <c r="V142" s="53">
        <f>IFERROR(-V141/V140,"")</f>
        <v>0.0616171398553411</v>
      </c>
      <c r="W142" s="53">
        <f>IFERROR(-W141/W140,"")</f>
        <v>0.0333910305946593</v>
      </c>
      <c r="X142" s="53">
        <f>IFERROR(-X141/X140,"")</f>
        <v>0.118675404464064</v>
      </c>
      <c r="Y142" s="53">
        <f>IFERROR(-Y141/Y140,"")</f>
        <v>0.0102521368749126</v>
      </c>
      <c r="Z142" s="53">
        <f>IFERROR(-Z141/Z140,"")</f>
        <v>0.118321226395193</v>
      </c>
      <c r="AA142" s="53">
        <f>IFERROR(-AA141/AA140,"")</f>
        <v>0.145083432098367</v>
      </c>
      <c r="AB142" s="53">
        <f>IFERROR(-AB141/AB140,"")</f>
        <v>0.0998834218722689</v>
      </c>
      <c r="AC142" s="53">
        <f>IFERROR(-AC141/AC140,"")</f>
        <v>0.0770412679325952</v>
      </c>
      <c r="AD142" s="53">
        <f>IFERROR(-AD141/AD140,"")</f>
        <v>0.126980994500415</v>
      </c>
      <c r="AE142" s="53">
        <f>IFERROR(-AE141/AE140,"")</f>
        <v>-0.870846482272134</v>
      </c>
      <c r="AF142" s="41">
        <f>IFERROR(-AF141/AF140,"")</f>
        <v>-1.33789845390341</v>
      </c>
      <c r="AG142" s="53">
        <f>IFERROR(-AG141/AG140,"")</f>
        <v>-0.377011820653501</v>
      </c>
      <c r="AH142" s="41">
        <f>IFERROR(-AH141/AH140,"")</f>
        <v>-0.175208361545753</v>
      </c>
      <c r="AI142" s="41">
        <f>IFERROR(-AI141/AI140,"")</f>
        <v>0.0571781512670535</v>
      </c>
      <c r="AJ142" s="41">
        <f>Control!$B$22</f>
        <v>-0.353792147336873</v>
      </c>
      <c r="AK142" s="41">
        <f>Control!$B$22</f>
        <v>-0.353792147336873</v>
      </c>
      <c r="AL142" s="53">
        <f>IFERROR(-AL141/AL140,"")</f>
        <v>-0.286781889648756</v>
      </c>
      <c r="AM142" s="41">
        <f>Control!$C$22</f>
        <v>-0.353792147336873</v>
      </c>
      <c r="AN142" s="41">
        <f>Control!$C$22</f>
        <v>-0.353792147336873</v>
      </c>
      <c r="AO142" s="41">
        <f>Control!$C$22</f>
        <v>-0.353792147336873</v>
      </c>
      <c r="AP142" s="41">
        <f>Control!$C$22</f>
        <v>-0.353792147336873</v>
      </c>
      <c r="AQ142" s="53">
        <f>IFERROR(-AQ141/AQ140,"")</f>
        <v>-0.353792147336873</v>
      </c>
      <c r="AR142" s="41">
        <f>Control!$D$22</f>
        <v>-0.353792147336873</v>
      </c>
      <c r="AS142" s="41">
        <f>Control!$D$22</f>
        <v>-0.353792147336873</v>
      </c>
      <c r="AT142" s="41">
        <f>Control!$D$22</f>
        <v>-0.353792147336873</v>
      </c>
      <c r="AU142" s="41">
        <f>Control!$D$22</f>
        <v>-0.353792147336873</v>
      </c>
      <c r="AV142" s="53">
        <f>IFERROR(-AV141/AV140,"")</f>
        <v>-0.353792147336873</v>
      </c>
      <c r="AW142" s="41">
        <f>Control!$E$22</f>
        <v>-0.353792147336873</v>
      </c>
      <c r="AX142" s="41">
        <f>Control!$E$22</f>
        <v>-0.353792147336873</v>
      </c>
      <c r="AY142" s="41">
        <f>Control!$E$22</f>
        <v>-0.353792147336873</v>
      </c>
      <c r="AZ142" s="41">
        <f>Control!$E$22</f>
        <v>-0.353792147336873</v>
      </c>
      <c r="BA142" s="53">
        <f>IFERROR(-BA141/BA140,"")</f>
        <v>-0.353792147336873</v>
      </c>
      <c r="BB142" s="41">
        <f>Control!$F$22</f>
        <v>-0.353792147336873</v>
      </c>
      <c r="BC142" s="41">
        <f>Control!$F$22</f>
        <v>-0.353792147336873</v>
      </c>
      <c r="BD142" s="41">
        <f>Control!$F$22</f>
        <v>-0.353792147336873</v>
      </c>
      <c r="BE142" s="41">
        <f>Control!$F$22</f>
        <v>-0.353792147336873</v>
      </c>
      <c r="BF142" s="53">
        <f>IFERROR(-BF141/BF140,"")</f>
        <v>-0.353792147336873</v>
      </c>
      <c r="BG142" s="41" t="n"/>
      <c r="BH142" s="41" t="n"/>
      <c r="BI142" s="41" t="n"/>
      <c r="BJ142" s="41" t="n"/>
      <c r="BK142" s="53" t="n"/>
      <c r="BL142" s="41" t="n"/>
      <c r="BM142" s="41" t="n"/>
      <c r="BN142" s="41" t="n"/>
      <c r="BO142" s="41" t="n"/>
      <c r="BP142" s="53" t="n"/>
      <c r="BQ142" s="41" t="n"/>
      <c r="BR142" s="41" t="n"/>
      <c r="BS142" s="41" t="n"/>
      <c r="BT142" s="41" t="n"/>
      <c r="BU142" s="53" t="n"/>
      <c r="BV142" s="41" t="n"/>
      <c r="BW142" s="41" t="n"/>
      <c r="BX142" s="41" t="n"/>
      <c r="BY142" s="41" t="n"/>
      <c r="BZ142" s="53" t="n"/>
      <c r="CA142" s="41" t="n"/>
      <c r="CB142" s="41" t="n"/>
      <c r="CC142" s="41" t="n"/>
      <c r="CD142" s="41" t="n"/>
      <c r="CE142" s="53" t="n"/>
      <c r="CF142" s="41" t="n"/>
      <c r="CG142" s="41" t="n"/>
      <c r="CH142" s="41" t="n"/>
      <c r="CI142" s="41" t="n"/>
      <c r="CJ142" s="53" t="n"/>
      <c r="CK142" s="41" t="n"/>
      <c r="CL142" s="41" t="n"/>
      <c r="CM142" s="41" t="n"/>
      <c r="CN142" s="41" t="n"/>
      <c r="CO142" s="53" t="n"/>
      <c r="CP142" s="41" t="n"/>
      <c r="CQ142" s="41" t="n"/>
      <c r="CR142" s="41" t="n"/>
      <c r="CS142" s="41" t="n"/>
      <c r="CT142" s="53" t="n"/>
      <c r="CU142" s="41" t="n"/>
      <c r="CV142" s="41" t="n"/>
      <c r="CW142" s="41" t="n"/>
      <c r="CX142" s="41" t="n"/>
      <c r="CY142" s="53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Equity in Income of Affiliates, after tax (enter as +)</t>
        </is>
      </c>
      <c r="D145" s="46" t="n"/>
      <c r="E145" s="46" t="n"/>
      <c r="F145" s="46" t="n"/>
      <c r="G145" s="46" t="n"/>
      <c r="H145" s="12" t="n"/>
      <c r="I145" s="46">
        <f>'Inputs (2)'!D11</f>
        <v>0</v>
      </c>
      <c r="J145" s="46">
        <f>'Inputs (2)'!E11</f>
        <v>0</v>
      </c>
      <c r="K145" s="46">
        <f>'Inputs (2)'!F11</f>
        <v>0</v>
      </c>
      <c r="L145" s="46">
        <f>'Inputs (2)'!G11</f>
        <v>0</v>
      </c>
      <c r="M145" s="12">
        <f>'Inputs (2)'!H11</f>
        <v>0</v>
      </c>
      <c r="N145" s="46">
        <f>'Inputs (2)'!I11</f>
        <v>0</v>
      </c>
      <c r="O145" s="46">
        <f>'Inputs (2)'!J11</f>
        <v>0</v>
      </c>
      <c r="P145" s="46">
        <f>'Inputs (2)'!K11</f>
        <v>0</v>
      </c>
      <c r="Q145" s="46">
        <f>'Inputs (2)'!L11</f>
        <v>0</v>
      </c>
      <c r="R145" s="12">
        <f>'Inputs (2)'!M11</f>
        <v>0</v>
      </c>
      <c r="S145" s="46">
        <f>'Inputs (2)'!N11</f>
        <v>0</v>
      </c>
      <c r="T145" s="46">
        <f>'Inputs (2)'!O11</f>
        <v>0</v>
      </c>
      <c r="U145" s="46">
        <f>'Inputs (2)'!P11</f>
        <v>0</v>
      </c>
      <c r="V145" s="46">
        <f>'Inputs (2)'!Q11</f>
        <v>0</v>
      </c>
      <c r="W145" s="12">
        <f>'Inputs (2)'!R11</f>
        <v>0</v>
      </c>
      <c r="X145" s="46">
        <f>'Inputs (2)'!S11</f>
        <v>0</v>
      </c>
      <c r="Y145" s="46">
        <f>'Inputs (2)'!T11</f>
        <v>0</v>
      </c>
      <c r="Z145" s="46">
        <f>'Inputs (2)'!U11</f>
        <v>0</v>
      </c>
      <c r="AA145" s="46">
        <f>'Inputs (2)'!V11</f>
        <v>0</v>
      </c>
      <c r="AB145" s="12">
        <f>'Inputs (2)'!W11</f>
        <v>0</v>
      </c>
      <c r="AC145" s="46">
        <f>'Inputs (2)'!X11</f>
        <v>0</v>
      </c>
      <c r="AD145" s="46">
        <f>'Inputs (2)'!Y11</f>
        <v>0</v>
      </c>
      <c r="AE145" s="46">
        <f>'Inputs (2)'!Z11</f>
        <v>0</v>
      </c>
      <c r="AF145" s="46">
        <f>'Inputs (2)'!AA11</f>
        <v>0</v>
      </c>
      <c r="AG145" s="12">
        <f>'Inputs (2)'!AB11</f>
        <v>0</v>
      </c>
      <c r="AH145" s="12">
        <f>'Inputs (2)'!AC11</f>
        <v>0</v>
      </c>
      <c r="AI145" s="12">
        <f>'Inputs (2)'!AD11</f>
        <v>0</v>
      </c>
      <c r="AJ145" s="12">
        <f>0</f>
        <v>0</v>
      </c>
      <c r="AK145" s="12">
        <f>0</f>
        <v>0</v>
      </c>
      <c r="AL145" s="12">
        <f>SUM(AH145:AK145)</f>
        <v>0</v>
      </c>
      <c r="AM145" s="12">
        <f>0</f>
        <v>0</v>
      </c>
      <c r="AN145" s="12">
        <f>0</f>
        <v>0</v>
      </c>
      <c r="AO145" s="12">
        <f>0</f>
        <v>0</v>
      </c>
      <c r="AP145" s="12">
        <f>0</f>
        <v>0</v>
      </c>
      <c r="AQ145" s="12">
        <f>SUM(AM145:AP145)</f>
        <v>0</v>
      </c>
      <c r="AR145" s="12">
        <f>0</f>
        <v>0</v>
      </c>
      <c r="AS145" s="12">
        <f>0</f>
        <v>0</v>
      </c>
      <c r="AT145" s="12">
        <f>0</f>
        <v>0</v>
      </c>
      <c r="AU145" s="12">
        <f>0</f>
        <v>0</v>
      </c>
      <c r="AV145" s="12">
        <f>SUM(AR145:AU145)</f>
        <v>0</v>
      </c>
      <c r="AW145" s="12">
        <f>0</f>
        <v>0</v>
      </c>
      <c r="AX145" s="12">
        <f>0</f>
        <v>0</v>
      </c>
      <c r="AY145" s="12">
        <f>0</f>
        <v>0</v>
      </c>
      <c r="AZ145" s="12">
        <f>0</f>
        <v>0</v>
      </c>
      <c r="BA145" s="12">
        <f>SUM(AW145:AZ145)</f>
        <v>0</v>
      </c>
      <c r="BB145" s="12">
        <f>0</f>
        <v>0</v>
      </c>
      <c r="BC145" s="12">
        <f>0</f>
        <v>0</v>
      </c>
      <c r="BD145" s="12">
        <f>0</f>
        <v>0</v>
      </c>
      <c r="BE145" s="12">
        <f>0</f>
        <v>0</v>
      </c>
      <c r="BF145" s="12">
        <f>SUM(BB145:BE145)</f>
        <v>0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>
      <c r="C146" s="14" t="inlineStr">
        <is>
          <t>Minority Interest Expense, after tax (enter as - )</t>
        </is>
      </c>
      <c r="D146" s="46" t="n"/>
      <c r="E146" s="46" t="n"/>
      <c r="F146" s="46" t="n"/>
      <c r="G146" s="46" t="n"/>
      <c r="H146" s="12" t="n"/>
      <c r="I146" s="46">
        <f>'Inputs (2)'!D12</f>
        <v>0</v>
      </c>
      <c r="J146" s="46">
        <f>'Inputs (2)'!E12</f>
        <v>0</v>
      </c>
      <c r="K146" s="46">
        <f>'Inputs (2)'!F12</f>
        <v>0</v>
      </c>
      <c r="L146" s="46">
        <f>'Inputs (2)'!G12</f>
        <v>0</v>
      </c>
      <c r="M146" s="12">
        <f>'Inputs (2)'!H12</f>
        <v>0</v>
      </c>
      <c r="N146" s="46">
        <f>'Inputs (2)'!I12</f>
        <v>0</v>
      </c>
      <c r="O146" s="46">
        <f>'Inputs (2)'!J12</f>
        <v>0</v>
      </c>
      <c r="P146" s="46">
        <f>'Inputs (2)'!K12</f>
        <v>0</v>
      </c>
      <c r="Q146" s="46">
        <f>'Inputs (2)'!L12</f>
        <v>0</v>
      </c>
      <c r="R146" s="12">
        <f>'Inputs (2)'!M12</f>
        <v>0</v>
      </c>
      <c r="S146" s="46">
        <f>'Inputs (2)'!N12</f>
        <v>0</v>
      </c>
      <c r="T146" s="46">
        <f>'Inputs (2)'!O12</f>
        <v>0</v>
      </c>
      <c r="U146" s="46">
        <f>'Inputs (2)'!P12</f>
        <v>0</v>
      </c>
      <c r="V146" s="46">
        <f>'Inputs (2)'!Q12</f>
        <v>0</v>
      </c>
      <c r="W146" s="12">
        <f>'Inputs (2)'!R12</f>
        <v>0</v>
      </c>
      <c r="X146" s="46">
        <f>'Inputs (2)'!S12</f>
        <v>0</v>
      </c>
      <c r="Y146" s="46">
        <f>'Inputs (2)'!T12</f>
        <v>0</v>
      </c>
      <c r="Z146" s="46">
        <f>'Inputs (2)'!U12</f>
        <v>0</v>
      </c>
      <c r="AA146" s="46">
        <f>'Inputs (2)'!V12</f>
        <v>0</v>
      </c>
      <c r="AB146" s="12">
        <f>'Inputs (2)'!W12</f>
        <v>0</v>
      </c>
      <c r="AC146" s="46">
        <f>'Inputs (2)'!X12</f>
        <v>0</v>
      </c>
      <c r="AD146" s="46">
        <f>'Inputs (2)'!Y12</f>
        <v>0</v>
      </c>
      <c r="AE146" s="46">
        <f>'Inputs (2)'!Z12</f>
        <v>3.973</v>
      </c>
      <c r="AF146" s="46">
        <f>'Inputs (2)'!AA12</f>
        <v>-18.687</v>
      </c>
      <c r="AG146" s="12">
        <f>'Inputs (2)'!AB12</f>
        <v>-14.714</v>
      </c>
      <c r="AH146" s="12">
        <f>'Inputs (2)'!AC12</f>
        <v>21.959</v>
      </c>
      <c r="AI146" s="12">
        <f>'Inputs (2)'!AD12</f>
        <v>-5.141</v>
      </c>
      <c r="AJ146" s="12">
        <f>0</f>
        <v>0</v>
      </c>
      <c r="AK146" s="12">
        <f>0</f>
        <v>0</v>
      </c>
      <c r="AL146" s="12">
        <f>SUM(AH146:AK146)</f>
        <v>16.818</v>
      </c>
      <c r="AM146" s="12">
        <f>0</f>
        <v>0</v>
      </c>
      <c r="AN146" s="12">
        <f>0</f>
        <v>0</v>
      </c>
      <c r="AO146" s="12">
        <f>0</f>
        <v>0</v>
      </c>
      <c r="AP146" s="12">
        <f>0</f>
        <v>0</v>
      </c>
      <c r="AQ146" s="12">
        <f>SUM(AM146:AP146)</f>
        <v>0</v>
      </c>
      <c r="AR146" s="12">
        <f>0</f>
        <v>0</v>
      </c>
      <c r="AS146" s="12">
        <f>0</f>
        <v>0</v>
      </c>
      <c r="AT146" s="12">
        <f>0</f>
        <v>0</v>
      </c>
      <c r="AU146" s="12">
        <f>0</f>
        <v>0</v>
      </c>
      <c r="AV146" s="12">
        <f>SUM(AR146:AU146)</f>
        <v>0</v>
      </c>
      <c r="AW146" s="12">
        <f>0</f>
        <v>0</v>
      </c>
      <c r="AX146" s="12">
        <f>0</f>
        <v>0</v>
      </c>
      <c r="AY146" s="12">
        <f>0</f>
        <v>0</v>
      </c>
      <c r="AZ146" s="12">
        <f>0</f>
        <v>0</v>
      </c>
      <c r="BA146" s="12">
        <f>SUM(AW146:AZ146)</f>
        <v>0</v>
      </c>
      <c r="BB146" s="12">
        <f>0</f>
        <v>0</v>
      </c>
      <c r="BC146" s="12">
        <f>0</f>
        <v>0</v>
      </c>
      <c r="BD146" s="12">
        <f>0</f>
        <v>0</v>
      </c>
      <c r="BE146" s="12">
        <f>0</f>
        <v>0</v>
      </c>
      <c r="BF146" s="12">
        <f>SUM(BB146:BE146)</f>
        <v>0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customFormat="1" s="32">
      <c r="A147" s="30" t="n"/>
      <c r="B147" s="3" t="n"/>
      <c r="C147" s="33" t="inlineStr">
        <is>
          <t>Net Income</t>
        </is>
      </c>
      <c r="D147" s="35" t="n"/>
      <c r="E147" s="35" t="n"/>
      <c r="F147" s="35" t="n"/>
      <c r="G147" s="35" t="n"/>
      <c r="H147" s="35" t="n"/>
      <c r="I147" s="35">
        <f>SUM(I140,I141,I145,I146)</f>
        <v>156.72115431</v>
      </c>
      <c r="J147" s="35">
        <f>SUM(J140,J141,J145,J146)</f>
        <v>190.56334549</v>
      </c>
      <c r="K147" s="35">
        <f>SUM(K140,K141,K145,K146)</f>
        <v>213.424</v>
      </c>
      <c r="L147" s="35">
        <f>SUM(L140,L141,L145,L146)</f>
        <v>208.08263301</v>
      </c>
      <c r="M147" s="35">
        <f>SUM(I147:L147)</f>
        <v>768.79113281</v>
      </c>
      <c r="N147" s="35">
        <f>SUM(N140,N141,N145,N146)</f>
        <v>199.211841910001</v>
      </c>
      <c r="O147" s="35">
        <f>SUM(O140,O141,O145,O146)</f>
        <v>264.12308316</v>
      </c>
      <c r="P147" s="35">
        <f>SUM(P140,P141,P145,P146)</f>
        <v>290.871</v>
      </c>
      <c r="Q147" s="35">
        <f>SUM(Q140,Q141,Q145,Q146)</f>
        <v>310.588779030001</v>
      </c>
      <c r="R147" s="35">
        <f>SUM(N147:Q147)</f>
        <v>1064.7947041</v>
      </c>
      <c r="S147" s="35">
        <f>SUM(S140,S141,S145,S146)</f>
        <v>239.69166758</v>
      </c>
      <c r="T147" s="35">
        <f>SUM(T140,T141,T145,T146)</f>
        <v>293.233</v>
      </c>
      <c r="U147" s="35">
        <f>SUM(U140,U141,U145,U146)</f>
        <v>313.597</v>
      </c>
      <c r="V147" s="35">
        <f>SUM(V140,V141,V145,V146)</f>
        <v>388.1174499</v>
      </c>
      <c r="W147" s="35">
        <f>SUM(S147:V147)</f>
        <v>1234.63911748</v>
      </c>
      <c r="X147" s="35">
        <f>SUM(X140,X141,X145,X146)</f>
        <v>240.377781312</v>
      </c>
      <c r="Y147" s="35">
        <f>SUM(Y140,Y141,Y145,Y146)</f>
        <v>327.344212271</v>
      </c>
      <c r="Z147" s="35">
        <f>SUM(Z140,Z141,Z145,Z146)</f>
        <v>355.261000000001</v>
      </c>
      <c r="AA147" s="35">
        <f>SUM(AA140,AA141,AA145,AA146)</f>
        <v>323.231900000001</v>
      </c>
      <c r="AB147" s="35">
        <f>SUM(X147:AA147)</f>
        <v>1246.214893583</v>
      </c>
      <c r="AC147" s="35">
        <f>SUM(AC140,AC141,AC145,AC146)</f>
        <v>276.32</v>
      </c>
      <c r="AD147" s="35">
        <f>SUM(AD140,AD141,AD145,AD146)</f>
        <v>395.777433216</v>
      </c>
      <c r="AE147" s="35">
        <f>SUM(AE140,AE141,AE145,AE146)</f>
        <v>850.546000000001</v>
      </c>
      <c r="AF147" s="35">
        <f>SUM(AF140,AF141,AF145,AF146)</f>
        <v>324.264</v>
      </c>
      <c r="AG147" s="35">
        <f>SUM(AC147:AF147)</f>
        <v>1846.907433216</v>
      </c>
      <c r="AH147" s="35">
        <f>SUM(AH140,AH141,AH145,AH146)</f>
        <v>212.881000000001</v>
      </c>
      <c r="AI147" s="35">
        <f>SUM(AI140,AI141,AI145,AI146)</f>
        <v>236.805</v>
      </c>
      <c r="AJ147" s="35">
        <f>SUM(AJ140,AJ141,AJ145,AJ146)</f>
        <v>1085.48439808098</v>
      </c>
      <c r="AK147" s="35">
        <f>SUM(AK140,AK141,AK145,AK146)</f>
        <v>1063.9416539529</v>
      </c>
      <c r="AL147" s="35">
        <f>SUM(AH147:AK147)</f>
        <v>2599.11205203389</v>
      </c>
      <c r="AM147" s="35">
        <f>SUM(AM140,AM141,AM145,AM146)</f>
        <v>948.202848500639</v>
      </c>
      <c r="AN147" s="35">
        <f>SUM(AN140,AN141,AN145,AN146)</f>
        <v>993.603840874752</v>
      </c>
      <c r="AO147" s="35">
        <f>SUM(AO140,AO141,AO145,AO146)</f>
        <v>1271.55991918686</v>
      </c>
      <c r="AP147" s="35">
        <f>SUM(AP140,AP141,AP145,AP146)</f>
        <v>1246.32428242323</v>
      </c>
      <c r="AQ147" s="35">
        <f>SUM(AM147:AP147)</f>
        <v>4459.69089098548</v>
      </c>
      <c r="AR147" s="35">
        <f>SUM(AR140,AR141,AR145,AR146)</f>
        <v>1106.00432631123</v>
      </c>
      <c r="AS147" s="35">
        <f>SUM(AS140,AS141,AS145,AS146)</f>
        <v>1158.96102651941</v>
      </c>
      <c r="AT147" s="35">
        <f>SUM(AT140,AT141,AT145,AT146)</f>
        <v>1483.175012613</v>
      </c>
      <c r="AU147" s="35">
        <f>SUM(AU140,AU141,AU145,AU146)</f>
        <v>1453.73961966736</v>
      </c>
      <c r="AV147" s="35">
        <f>SUM(AR147:AU147)</f>
        <v>5201.879985111</v>
      </c>
      <c r="AW147" s="35">
        <f>SUM(AW140,AW141,AW145,AW146)</f>
        <v>1284.53736400584</v>
      </c>
      <c r="AX147" s="35">
        <f>SUM(AX140,AX141,AX145,AX146)</f>
        <v>1346.04242187369</v>
      </c>
      <c r="AY147" s="35">
        <f>SUM(AY140,AY141,AY145,AY146)</f>
        <v>1722.59156292407</v>
      </c>
      <c r="AZ147" s="35">
        <f>SUM(AZ140,AZ141,AZ145,AZ146)</f>
        <v>1688.40466042886</v>
      </c>
      <c r="BA147" s="35">
        <f>SUM(AW147:AZ147)</f>
        <v>6041.57600923247</v>
      </c>
      <c r="BB147" s="35">
        <f>SUM(BB140,BB141,BB145,BB146)</f>
        <v>1485.46681150618</v>
      </c>
      <c r="BC147" s="35">
        <f>SUM(BC140,BC141,BC145,BC146)</f>
        <v>1556.59259169956</v>
      </c>
      <c r="BD147" s="35">
        <f>SUM(BD140,BD141,BD145,BD146)</f>
        <v>1992.04216880423</v>
      </c>
      <c r="BE147" s="35">
        <f>SUM(BE140,BE141,BE145,BE146)</f>
        <v>1952.50769478437</v>
      </c>
      <c r="BF147" s="35">
        <f>SUM(BB147:BE147)</f>
        <v>6986.60926679435</v>
      </c>
      <c r="BG147" s="35" t="n"/>
      <c r="BH147" s="35" t="n"/>
      <c r="BI147" s="35" t="n"/>
      <c r="BJ147" s="35" t="n"/>
      <c r="BK147" s="35" t="n"/>
      <c r="BL147" s="35" t="n"/>
      <c r="BM147" s="35" t="n"/>
      <c r="BN147" s="35" t="n"/>
      <c r="BO147" s="35" t="n"/>
      <c r="BP147" s="35" t="n"/>
      <c r="BQ147" s="35" t="n"/>
      <c r="BR147" s="35" t="n"/>
      <c r="BS147" s="35" t="n"/>
      <c r="BT147" s="35" t="n"/>
      <c r="BU147" s="35" t="n"/>
      <c r="BV147" s="35" t="n"/>
      <c r="BW147" s="35" t="n"/>
      <c r="BX147" s="35" t="n"/>
      <c r="BY147" s="35" t="n"/>
      <c r="BZ147" s="35" t="n"/>
      <c r="CA147" s="35" t="n"/>
      <c r="CB147" s="35" t="n"/>
      <c r="CC147" s="35" t="n"/>
      <c r="CD147" s="35" t="n"/>
      <c r="CE147" s="35" t="n"/>
      <c r="CF147" s="35" t="n"/>
      <c r="CG147" s="35" t="n"/>
      <c r="CH147" s="35" t="n"/>
      <c r="CI147" s="35" t="n"/>
      <c r="CJ147" s="35" t="n"/>
      <c r="CK147" s="35" t="n"/>
      <c r="CL147" s="35" t="n"/>
      <c r="CM147" s="35" t="n"/>
      <c r="CN147" s="35" t="n"/>
      <c r="CO147" s="35" t="n"/>
      <c r="CP147" s="35" t="n"/>
      <c r="CQ147" s="35" t="n"/>
      <c r="CR147" s="35" t="n"/>
      <c r="CS147" s="35" t="n"/>
      <c r="CT147" s="35" t="n"/>
      <c r="CU147" s="35" t="n"/>
      <c r="CV147" s="35" t="n"/>
      <c r="CW147" s="35" t="n"/>
      <c r="CX147" s="35" t="n"/>
      <c r="CY147" s="35" t="n"/>
    </row>
    <row r="148">
      <c r="C148" s="13" t="inlineStr">
        <is>
          <t>Common Dividends</t>
        </is>
      </c>
      <c r="D148" s="46" t="n"/>
      <c r="E148" s="46" t="n"/>
      <c r="F148" s="46" t="n"/>
      <c r="G148" s="46" t="n"/>
      <c r="H148" s="12" t="n"/>
      <c r="I148" s="46">
        <f>'Inputs (2)'!D13</f>
        <v>0</v>
      </c>
      <c r="J148" s="46">
        <f>'Inputs (2)'!E13</f>
        <v>0</v>
      </c>
      <c r="K148" s="46">
        <f>'Inputs (2)'!F13</f>
        <v>0</v>
      </c>
      <c r="L148" s="46">
        <f>'Inputs (2)'!G13</f>
        <v>0</v>
      </c>
      <c r="M148" s="12">
        <f>'Inputs (2)'!H13</f>
        <v>0</v>
      </c>
      <c r="N148" s="46">
        <f>'Inputs (2)'!I13</f>
        <v>0</v>
      </c>
      <c r="O148" s="46">
        <f>'Inputs (2)'!J13</f>
        <v>0</v>
      </c>
      <c r="P148" s="46">
        <f>'Inputs (2)'!K13</f>
        <v>0</v>
      </c>
      <c r="Q148" s="46">
        <f>'Inputs (2)'!L13</f>
        <v>0</v>
      </c>
      <c r="R148" s="12">
        <f>'Inputs (2)'!M13</f>
        <v>0</v>
      </c>
      <c r="S148" s="46">
        <f>'Inputs (2)'!N13</f>
        <v>0</v>
      </c>
      <c r="T148" s="46">
        <f>'Inputs (2)'!O13</f>
        <v>0</v>
      </c>
      <c r="U148" s="46">
        <f>'Inputs (2)'!P13</f>
        <v>0</v>
      </c>
      <c r="V148" s="46">
        <f>'Inputs (2)'!Q13</f>
        <v>0</v>
      </c>
      <c r="W148" s="12">
        <f>'Inputs (2)'!R13</f>
        <v>0</v>
      </c>
      <c r="X148" s="46">
        <f>'Inputs (2)'!S13</f>
        <v>0</v>
      </c>
      <c r="Y148" s="46">
        <f>'Inputs (2)'!T13</f>
        <v>0</v>
      </c>
      <c r="Z148" s="46">
        <f>'Inputs (2)'!U13</f>
        <v>0</v>
      </c>
      <c r="AA148" s="46">
        <f>'Inputs (2)'!V13</f>
        <v>-81.047</v>
      </c>
      <c r="AB148" s="12">
        <f>'Inputs (2)'!W13</f>
        <v>-81.047</v>
      </c>
      <c r="AC148" s="46">
        <f>'Inputs (2)'!X13</f>
        <v>0</v>
      </c>
      <c r="AD148" s="46">
        <f>'Inputs (2)'!Y13</f>
        <v>0</v>
      </c>
      <c r="AE148" s="46">
        <f>'Inputs (2)'!Z13</f>
        <v>0</v>
      </c>
      <c r="AF148" s="46">
        <f>'Inputs (2)'!AA13</f>
        <v>-145.544</v>
      </c>
      <c r="AG148" s="12">
        <f>'Inputs (2)'!AB13</f>
        <v>-145.544</v>
      </c>
      <c r="AH148" s="12">
        <f>'Inputs (2)'!AC13</f>
        <v>0</v>
      </c>
      <c r="AI148" s="12">
        <f>'Inputs (2)'!AD13</f>
        <v>0</v>
      </c>
      <c r="AJ148" s="12">
        <f>-MAX(0,AJ147)*Control!$E$15</f>
        <v>0</v>
      </c>
      <c r="AK148" s="12">
        <f>-MAX(0,AK147)*Control!$E$15</f>
        <v>0</v>
      </c>
      <c r="AL148" s="12">
        <f>SUM(AH148:AK148)</f>
        <v>0</v>
      </c>
      <c r="AM148" s="12">
        <f>-MAX(0,AM147)*Control!$E$15</f>
        <v>0</v>
      </c>
      <c r="AN148" s="12">
        <f>-MAX(0,AN147)*Control!$E$15</f>
        <v>0</v>
      </c>
      <c r="AO148" s="12">
        <f>-MAX(0,AO147)*Control!$E$15</f>
        <v>0</v>
      </c>
      <c r="AP148" s="12">
        <f>-MAX(0,AP147)*Control!$E$15</f>
        <v>0</v>
      </c>
      <c r="AQ148" s="12">
        <f>SUM(AM148:AP148)</f>
        <v>0</v>
      </c>
      <c r="AR148" s="12">
        <f>-MAX(0,AR147)*Control!$E$15</f>
        <v>0</v>
      </c>
      <c r="AS148" s="12">
        <f>-MAX(0,AS147)*Control!$E$15</f>
        <v>0</v>
      </c>
      <c r="AT148" s="12">
        <f>-MAX(0,AT147)*Control!$E$15</f>
        <v>0</v>
      </c>
      <c r="AU148" s="12">
        <f>-MAX(0,AU147)*Control!$E$15</f>
        <v>0</v>
      </c>
      <c r="AV148" s="12">
        <f>SUM(AR148:AU148)</f>
        <v>0</v>
      </c>
      <c r="AW148" s="12">
        <f>-MAX(0,AW147)*Control!$E$15</f>
        <v>0</v>
      </c>
      <c r="AX148" s="12">
        <f>-MAX(0,AX147)*Control!$E$15</f>
        <v>0</v>
      </c>
      <c r="AY148" s="12">
        <f>-MAX(0,AY147)*Control!$E$15</f>
        <v>0</v>
      </c>
      <c r="AZ148" s="12">
        <f>-MAX(0,AZ147)*Control!$E$15</f>
        <v>0</v>
      </c>
      <c r="BA148" s="12">
        <f>SUM(AW148:AZ148)</f>
        <v>0</v>
      </c>
      <c r="BB148" s="12">
        <f>-MAX(0,BB147)*Control!$E$15</f>
        <v>0</v>
      </c>
      <c r="BC148" s="12">
        <f>-MAX(0,BC147)*Control!$E$15</f>
        <v>0</v>
      </c>
      <c r="BD148" s="12">
        <f>-MAX(0,BD147)*Control!$E$15</f>
        <v>0</v>
      </c>
      <c r="BE148" s="12">
        <f>-MAX(0,BE147)*Control!$E$15</f>
        <v>0</v>
      </c>
      <c r="BF148" s="12">
        <f>SUM(BB148:BE148)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hidden="1" outlineLevel="1">
      <c r="C149" s="50" t="inlineStr">
        <is>
          <t>% DVD Payout</t>
        </is>
      </c>
      <c r="D149" s="58" t="n"/>
      <c r="E149" s="58" t="n"/>
      <c r="F149" s="58" t="n"/>
      <c r="G149" s="58" t="n"/>
      <c r="H149" s="58" t="n"/>
      <c r="I149" s="58">
        <f>IF(I147=0,"",-I148/I147)</f>
        <v>0</v>
      </c>
      <c r="J149" s="58">
        <f>IF(J147=0,"",-J148/J147)</f>
        <v>0</v>
      </c>
      <c r="K149" s="58">
        <f>IF(K147=0,"",-K148/K147)</f>
        <v>0</v>
      </c>
      <c r="L149" s="58">
        <f>IF(L147=0,"",-L148/L147)</f>
        <v>0</v>
      </c>
      <c r="M149" s="58">
        <f>IF(M147=0,"",-M148/M147)</f>
        <v>0</v>
      </c>
      <c r="N149" s="58">
        <f>IF(N147=0,"",-N148/N147)</f>
        <v>0</v>
      </c>
      <c r="O149" s="58">
        <f>IF(O147=0,"",-O148/O147)</f>
        <v>0</v>
      </c>
      <c r="P149" s="58">
        <f>IF(P147=0,"",-P148/P147)</f>
        <v>0</v>
      </c>
      <c r="Q149" s="58">
        <f>IF(Q147=0,"",-Q148/Q147)</f>
        <v>0</v>
      </c>
      <c r="R149" s="58">
        <f>IF(R147=0,"",-R148/R147)</f>
        <v>0</v>
      </c>
      <c r="S149" s="58">
        <f>IF(S147=0,"",-S148/S147)</f>
        <v>0</v>
      </c>
      <c r="T149" s="58">
        <f>IF(T147=0,"",-T148/T147)</f>
        <v>0</v>
      </c>
      <c r="U149" s="58">
        <f>IF(U147=0,"",-U148/U147)</f>
        <v>0</v>
      </c>
      <c r="V149" s="58">
        <f>IF(V147=0,"",-V148/V147)</f>
        <v>0</v>
      </c>
      <c r="W149" s="58">
        <f>IF(W147=0,"",-W148/W147)</f>
        <v>0</v>
      </c>
      <c r="X149" s="58">
        <f>IF(X147=0,"",-X148/X147)</f>
        <v>0</v>
      </c>
      <c r="Y149" s="58">
        <f>IF(Y147=0,"",-Y148/Y147)</f>
        <v>0</v>
      </c>
      <c r="Z149" s="58">
        <f>IF(Z147=0,"",-Z148/Z147)</f>
        <v>0</v>
      </c>
      <c r="AA149" s="58">
        <f>IF(AA147=0,"",-AA148/AA147)</f>
        <v>0.250739484562012</v>
      </c>
      <c r="AB149" s="58">
        <f>IF(AB147=0,"",-AB148/AB147)</f>
        <v>0.0650345300937474</v>
      </c>
      <c r="AC149" s="58">
        <f>IF(AC147=0,"",-AC148/AC147)</f>
        <v>0</v>
      </c>
      <c r="AD149" s="58">
        <f>IF(AD147=0,"",-AD148/AD147)</f>
        <v>0</v>
      </c>
      <c r="AE149" s="58">
        <f>IF(AE147=0,"",-AE148/AE147)</f>
        <v>0</v>
      </c>
      <c r="AF149" s="41">
        <f>IF(AF147=0,"",-AF148/AF147)</f>
        <v>0.448844151678879</v>
      </c>
      <c r="AG149" s="12">
        <f>IF(AG147=0,"",-AG148/AG147)</f>
        <v>0.0788041660250215</v>
      </c>
      <c r="AH149" s="41">
        <f>IF(AH147=0,"",-AH148/AH147)</f>
        <v>0</v>
      </c>
      <c r="AI149" s="41">
        <f>IF(AI147=0,"",-AI148/AI147)</f>
        <v>0</v>
      </c>
      <c r="AJ149" s="41">
        <f>IF(AJ147=0,"",-AJ148/AJ147)</f>
        <v>0</v>
      </c>
      <c r="AK149" s="41">
        <f>IF(AK147=0,"",-AK148/AK147)</f>
        <v>0</v>
      </c>
      <c r="AL149" s="12">
        <f>IF(AL147=0,"",-AL148/AL147)</f>
        <v>0</v>
      </c>
      <c r="AM149" s="41">
        <f>IF(AM147=0,"",-AM148/AM147)</f>
        <v>0</v>
      </c>
      <c r="AN149" s="41">
        <f>IF(AN147=0,"",-AN148/AN147)</f>
        <v>0</v>
      </c>
      <c r="AO149" s="41">
        <f>IF(AO147=0,"",-AO148/AO147)</f>
        <v>0</v>
      </c>
      <c r="AP149" s="41">
        <f>IF(AP147=0,"",-AP148/AP147)</f>
        <v>0</v>
      </c>
      <c r="AQ149" s="12">
        <f>IF(AQ147=0,"",-AQ148/AQ147)</f>
        <v>0</v>
      </c>
      <c r="AR149" s="41">
        <f>IF(AR147=0,"",-AR148/AR147)</f>
        <v>0</v>
      </c>
      <c r="AS149" s="41">
        <f>IF(AS147=0,"",-AS148/AS147)</f>
        <v>0</v>
      </c>
      <c r="AT149" s="41">
        <f>IF(AT147=0,"",-AT148/AT147)</f>
        <v>0</v>
      </c>
      <c r="AU149" s="41">
        <f>IF(AU147=0,"",-AU148/AU147)</f>
        <v>0</v>
      </c>
      <c r="AV149" s="12">
        <f>IF(AV147=0,"",-AV148/AV147)</f>
        <v>0</v>
      </c>
      <c r="AW149" s="41">
        <f>IF(AW147=0,"",-AW148/AW147)</f>
        <v>0</v>
      </c>
      <c r="AX149" s="41">
        <f>IF(AX147=0,"",-AX148/AX147)</f>
        <v>0</v>
      </c>
      <c r="AY149" s="41">
        <f>IF(AY147=0,"",-AY148/AY147)</f>
        <v>0</v>
      </c>
      <c r="AZ149" s="41">
        <f>IF(AZ147=0,"",-AZ148/AZ147)</f>
        <v>0</v>
      </c>
      <c r="BA149" s="12">
        <f>IF(BA147=0,"",-BA148/BA147)</f>
        <v>0</v>
      </c>
      <c r="BB149" s="41">
        <f>IF(BB147=0,"",-BB148/BB147)</f>
        <v>0</v>
      </c>
      <c r="BC149" s="41">
        <f>IF(BC147=0,"",-BC148/BC147)</f>
        <v>0</v>
      </c>
      <c r="BD149" s="41">
        <f>IF(BD147=0,"",-BD148/BD147)</f>
        <v>0</v>
      </c>
      <c r="BE149" s="41">
        <f>IF(BE147=0,"",-BE148/BE147)</f>
        <v>0</v>
      </c>
      <c r="BF149" s="12">
        <f>IF(BF147=0,"",-BF148/BF147)</f>
        <v>0</v>
      </c>
      <c r="BG149" s="41" t="n"/>
      <c r="BH149" s="41" t="n"/>
      <c r="BI149" s="41" t="n"/>
      <c r="BJ149" s="41" t="n"/>
      <c r="BK149" s="12" t="n"/>
      <c r="BL149" s="41" t="n"/>
      <c r="BM149" s="41" t="n"/>
      <c r="BN149" s="41" t="n"/>
      <c r="BO149" s="41" t="n"/>
      <c r="BP149" s="12" t="n"/>
      <c r="BQ149" s="41" t="n"/>
      <c r="BR149" s="41" t="n"/>
      <c r="BS149" s="41" t="n"/>
      <c r="BT149" s="41" t="n"/>
      <c r="BU149" s="12" t="n"/>
      <c r="BV149" s="41" t="n"/>
      <c r="BW149" s="41" t="n"/>
      <c r="BX149" s="41" t="n"/>
      <c r="BY149" s="41" t="n"/>
      <c r="BZ149" s="12" t="n"/>
      <c r="CA149" s="41" t="n"/>
      <c r="CB149" s="41" t="n"/>
      <c r="CC149" s="41" t="n"/>
      <c r="CD149" s="41" t="n"/>
      <c r="CE149" s="12" t="n"/>
      <c r="CF149" s="41" t="n"/>
      <c r="CG149" s="41" t="n"/>
      <c r="CH149" s="41" t="n"/>
      <c r="CI149" s="41" t="n"/>
      <c r="CJ149" s="12" t="n"/>
      <c r="CK149" s="41" t="n"/>
      <c r="CL149" s="41" t="n"/>
      <c r="CM149" s="41" t="n"/>
      <c r="CN149" s="41" t="n"/>
      <c r="CO149" s="12" t="n"/>
      <c r="CP149" s="41" t="n"/>
      <c r="CQ149" s="41" t="n"/>
      <c r="CR149" s="41" t="n"/>
      <c r="CS149" s="41" t="n"/>
      <c r="CT149" s="12" t="n"/>
      <c r="CU149" s="41" t="n"/>
      <c r="CV149" s="41" t="n"/>
      <c r="CW149" s="41" t="n"/>
      <c r="CX149" s="41" t="n"/>
      <c r="CY149" s="12" t="n"/>
    </row>
    <row r="150" hidden="1" outlineLevel="1">
      <c r="C150" s="18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18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collapsed="1" ht="11.25" customHeight="1">
      <c r="C152" s="31" t="inlineStr">
        <is>
          <t>Balance Sheet</t>
        </is>
      </c>
      <c r="D152" s="31" t="n"/>
      <c r="E152" s="31" t="n"/>
      <c r="F152" s="31" t="n"/>
      <c r="G152" s="31" t="n"/>
      <c r="H152" s="31" t="n"/>
      <c r="I152" s="31" t="str">
        <f>I13</f>
        <v>1Q21</v>
      </c>
      <c r="J152" s="31" t="str">
        <f>J13</f>
        <v>2Q21</v>
      </c>
      <c r="K152" s="31" t="str">
        <f>K13</f>
        <v>3Q21</v>
      </c>
      <c r="L152" s="31" t="str">
        <f>L13</f>
        <v>4Q21</v>
      </c>
      <c r="M152" s="31">
        <f>M13</f>
        <v>2021</v>
      </c>
      <c r="N152" s="31" t="str">
        <f>N13</f>
        <v>1Q22</v>
      </c>
      <c r="O152" s="31" t="str">
        <f>O13</f>
        <v>2Q22</v>
      </c>
      <c r="P152" s="31" t="str">
        <f>P13</f>
        <v>3Q22</v>
      </c>
      <c r="Q152" s="31" t="str">
        <f>Q13</f>
        <v>4Q22</v>
      </c>
      <c r="R152" s="31">
        <f>R13</f>
        <v>2022</v>
      </c>
      <c r="S152" s="31" t="str">
        <f>S13</f>
        <v>1Q23</v>
      </c>
      <c r="T152" s="31" t="str">
        <f>T13</f>
        <v>2Q23</v>
      </c>
      <c r="U152" s="31" t="str">
        <f>U13</f>
        <v>3Q23</v>
      </c>
      <c r="V152" s="31" t="str">
        <f>V13</f>
        <v>4Q23</v>
      </c>
      <c r="W152" s="31">
        <f>W13</f>
        <v>2023</v>
      </c>
      <c r="X152" s="31" t="str">
        <f>X13</f>
        <v>1Q24</v>
      </c>
      <c r="Y152" s="31" t="str">
        <f>Y13</f>
        <v>2Q24</v>
      </c>
      <c r="Z152" s="31" t="str">
        <f>Z13</f>
        <v>3Q24</v>
      </c>
      <c r="AA152" s="31" t="str">
        <f>AA13</f>
        <v>4Q24</v>
      </c>
      <c r="AB152" s="31">
        <f>AB13</f>
        <v>2024</v>
      </c>
      <c r="AC152" s="31" t="str">
        <f>AC13</f>
        <v>1Q25</v>
      </c>
      <c r="AD152" s="31" t="str">
        <f>AD13</f>
        <v>2Q25</v>
      </c>
      <c r="AE152" s="31" t="str">
        <f>AE13</f>
        <v>3Q25</v>
      </c>
      <c r="AF152" s="31" t="str">
        <f>AF13</f>
        <v>4Q25</v>
      </c>
      <c r="AG152" s="31">
        <f>AG13</f>
        <v>2025</v>
      </c>
      <c r="AH152" s="31" t="str">
        <f>AH13</f>
        <v>1Q26</v>
      </c>
      <c r="AI152" s="31" t="str">
        <f>AI13</f>
        <v>2Q26</v>
      </c>
      <c r="AJ152" s="31" t="str">
        <f>AJ13</f>
        <v>3Q26</v>
      </c>
      <c r="AK152" s="31" t="str">
        <f>AK13</f>
        <v>4Q26</v>
      </c>
      <c r="AL152" s="31">
        <f>AL13</f>
        <v>2026</v>
      </c>
      <c r="AM152" s="31" t="str">
        <f>AM13</f>
        <v>1Q27</v>
      </c>
      <c r="AN152" s="31" t="str">
        <f>AN13</f>
        <v>2Q27</v>
      </c>
      <c r="AO152" s="31" t="str">
        <f>AO13</f>
        <v>3Q27</v>
      </c>
      <c r="AP152" s="31" t="str">
        <f>AP13</f>
        <v>4Q27</v>
      </c>
      <c r="AQ152" s="31">
        <f>AQ13</f>
        <v>2027</v>
      </c>
      <c r="AR152" s="31" t="str">
        <f>AR13</f>
        <v>1Q28</v>
      </c>
      <c r="AS152" s="31" t="str">
        <f>AS13</f>
        <v>2Q28</v>
      </c>
      <c r="AT152" s="31" t="str">
        <f>AT13</f>
        <v>3Q28</v>
      </c>
      <c r="AU152" s="31" t="str">
        <f>AU13</f>
        <v>4Q28</v>
      </c>
      <c r="AV152" s="31">
        <f>AV13</f>
        <v>2028</v>
      </c>
      <c r="AW152" s="31" t="str">
        <f>AW13</f>
        <v>1Q29</v>
      </c>
      <c r="AX152" s="31" t="str">
        <f>AX13</f>
        <v>2Q29</v>
      </c>
      <c r="AY152" s="31" t="str">
        <f>AY13</f>
        <v>3Q29</v>
      </c>
      <c r="AZ152" s="31" t="str">
        <f>AZ13</f>
        <v>4Q29</v>
      </c>
      <c r="BA152" s="31">
        <f>BA13</f>
        <v>2029</v>
      </c>
      <c r="BB152" s="31" t="str">
        <f>BB13</f>
        <v>1Q30</v>
      </c>
      <c r="BC152" s="31" t="str">
        <f>BC13</f>
        <v>2Q30</v>
      </c>
      <c r="BD152" s="31" t="str">
        <f>BD13</f>
        <v>3Q30</v>
      </c>
      <c r="BE152" s="31" t="str">
        <f>BE13</f>
        <v>4Q30</v>
      </c>
      <c r="BF152" s="31">
        <f>BF13</f>
        <v>2030</v>
      </c>
      <c r="BG152" s="31" t="n"/>
      <c r="BH152" s="31" t="n"/>
      <c r="BI152" s="31" t="n"/>
      <c r="BJ152" s="31" t="n"/>
      <c r="BK152" s="31" t="n"/>
      <c r="BL152" s="31" t="n"/>
      <c r="BM152" s="31" t="n"/>
      <c r="BN152" s="31" t="n"/>
      <c r="BO152" s="31" t="n"/>
      <c r="BP152" s="31" t="n"/>
      <c r="BQ152" s="31" t="n"/>
      <c r="BR152" s="31" t="n"/>
      <c r="BS152" s="31" t="n"/>
      <c r="BT152" s="31" t="n"/>
      <c r="BU152" s="31" t="n"/>
      <c r="BV152" s="31" t="n"/>
      <c r="BW152" s="31" t="n"/>
      <c r="BX152" s="31" t="n"/>
      <c r="BY152" s="31" t="n"/>
      <c r="BZ152" s="31" t="n"/>
      <c r="CA152" s="31" t="n"/>
      <c r="CB152" s="31" t="n"/>
      <c r="CC152" s="31" t="n"/>
      <c r="CD152" s="31" t="n"/>
      <c r="CE152" s="31" t="n"/>
      <c r="CF152" s="31" t="n"/>
      <c r="CG152" s="31" t="n"/>
      <c r="CH152" s="31" t="n"/>
      <c r="CI152" s="31" t="n"/>
      <c r="CJ152" s="31" t="n"/>
      <c r="CK152" s="31" t="n"/>
      <c r="CL152" s="31" t="n"/>
      <c r="CM152" s="31" t="n"/>
      <c r="CN152" s="31" t="n"/>
      <c r="CO152" s="31" t="n"/>
      <c r="CP152" s="31" t="n"/>
      <c r="CQ152" s="31" t="n"/>
      <c r="CR152" s="31" t="n"/>
      <c r="CS152" s="31" t="n"/>
      <c r="CT152" s="31" t="n"/>
      <c r="CU152" s="31" t="n"/>
      <c r="CV152" s="31" t="n"/>
      <c r="CW152" s="31" t="n"/>
      <c r="CX152" s="31" t="n"/>
      <c r="CY152" s="31" t="n"/>
    </row>
    <row r="153">
      <c r="C153" s="18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>
      <c r="C154" s="13" t="inlineStr">
        <is>
          <t>Cash and equivalents (inc. investment securities)</t>
        </is>
      </c>
      <c r="D154" s="46" t="n"/>
      <c r="E154" s="46" t="n"/>
      <c r="F154" s="46" t="n"/>
      <c r="G154" s="46" t="n"/>
      <c r="H154" s="12" t="n"/>
      <c r="I154" s="46">
        <f>'Inputs (2)'!D15</f>
        <v>1797.94673825</v>
      </c>
      <c r="J154" s="46">
        <f>'Inputs (2)'!E15</f>
        <v>1688.38019428</v>
      </c>
      <c r="K154" s="46">
        <f>'Inputs (2)'!F15</f>
        <v>960.417</v>
      </c>
      <c r="L154" s="46">
        <f>'Inputs (2)'!G15</f>
        <v>880.326</v>
      </c>
      <c r="M154" s="12">
        <f>'Inputs (2)'!H15</f>
        <v>880.326</v>
      </c>
      <c r="N154" s="46">
        <f>'Inputs (2)'!I15</f>
        <v>620.94</v>
      </c>
      <c r="O154" s="46">
        <f>'Inputs (2)'!J15</f>
        <v>891.18</v>
      </c>
      <c r="P154" s="46">
        <f>'Inputs (2)'!K15</f>
        <v>696.607</v>
      </c>
      <c r="Q154" s="46">
        <f>'Inputs (2)'!L15</f>
        <v>1797.155</v>
      </c>
      <c r="R154" s="12">
        <f>'Inputs (2)'!M15</f>
        <v>1797.155</v>
      </c>
      <c r="S154" s="46">
        <f>'Inputs (2)'!N15</f>
        <v>1672.665</v>
      </c>
      <c r="T154" s="46">
        <f>'Inputs (2)'!O15</f>
        <v>1357.47</v>
      </c>
      <c r="U154" s="46">
        <f>'Inputs (2)'!P15</f>
        <v>1117.637</v>
      </c>
      <c r="V154" s="46">
        <f>'Inputs (2)'!Q15</f>
        <v>1290.02</v>
      </c>
      <c r="W154" s="12">
        <f>'Inputs (2)'!R15</f>
        <v>1290.02</v>
      </c>
      <c r="X154" s="46">
        <f>'Inputs (2)'!S15</f>
        <v>1341.295</v>
      </c>
      <c r="Y154" s="46">
        <f>'Inputs (2)'!T15</f>
        <v>1240.445</v>
      </c>
      <c r="Z154" s="46">
        <f>'Inputs (2)'!U15</f>
        <v>698.799</v>
      </c>
      <c r="AA154" s="46">
        <f>'Inputs (2)'!V15</f>
        <v>1664.213</v>
      </c>
      <c r="AB154" s="12">
        <f>'Inputs (2)'!W15</f>
        <v>1664.213</v>
      </c>
      <c r="AC154" s="46">
        <f>'Inputs (2)'!X15</f>
        <v>1520.597</v>
      </c>
      <c r="AD154" s="46">
        <f>'Inputs (2)'!Y15</f>
        <v>1027.823</v>
      </c>
      <c r="AE154" s="46">
        <f>'Inputs (2)'!Z15</f>
        <v>1182.939</v>
      </c>
      <c r="AF154" s="46">
        <f>'Inputs (2)'!AA15</f>
        <v>1801.712</v>
      </c>
      <c r="AG154" s="12">
        <f>'Inputs (2)'!AB15</f>
        <v>1801.712</v>
      </c>
      <c r="AH154" s="12">
        <f>'Inputs (2)'!AC15</f>
        <v>1984.238</v>
      </c>
      <c r="AI154" s="12">
        <f>'Inputs (2)'!AD15</f>
        <v>1631.59</v>
      </c>
      <c r="AJ154" s="12">
        <f>AJ283-SUM(AJ155,AJ159,AJ163,AJ164,AJ165,AJ171,AJ176,AJ186,AJ189,AJ190,AJ199)</f>
        <v>867.940166397686</v>
      </c>
      <c r="AK154" s="12">
        <f>AK283-SUM(AK155,AK159,AK163,AK164,AK165,AK171,AK176,AK186,AK189,AK190,AK199)</f>
        <v>1935.10730361548</v>
      </c>
      <c r="AL154" s="12">
        <f>AK154</f>
        <v>1935.10730361548</v>
      </c>
      <c r="AM154" s="12">
        <f>AM283-SUM(AM155,AM159,AM163,AM164,AM165,AM171,AM176,AM186,AM189,AM190,AM199)</f>
        <v>3388.88770014463</v>
      </c>
      <c r="AN154" s="12">
        <f>AN283-SUM(AN155,AN159,AN163,AN164,AN165,AN171,AN176,AN186,AN189,AN190,AN199)</f>
        <v>4117.8431946999</v>
      </c>
      <c r="AO154" s="12">
        <f>AO283-SUM(AO155,AO159,AO163,AO164,AO165,AO171,AO176,AO186,AO189,AO190,AO199)</f>
        <v>3678.51657890741</v>
      </c>
      <c r="AP154" s="12">
        <f>AP283-SUM(AP155,AP159,AP163,AP164,AP165,AP171,AP176,AP186,AP189,AP190,AP199)</f>
        <v>5040.39586493438</v>
      </c>
      <c r="AQ154" s="12">
        <f>AP154</f>
        <v>5040.39586493438</v>
      </c>
      <c r="AR154" s="12">
        <f>AR283-SUM(AR155,AR159,AR163,AR164,AR165,AR171,AR176,AR186,AR189,AR190,AR199)</f>
        <v>6965.71222813047</v>
      </c>
      <c r="AS154" s="12">
        <f>AS283-SUM(AS155,AS159,AS163,AS164,AS165,AS171,AS176,AS186,AS189,AS190,AS199)</f>
        <v>7881.41030325153</v>
      </c>
      <c r="AT154" s="12">
        <f>AT283-SUM(AT155,AT159,AT163,AT164,AT165,AT171,AT176,AT186,AT189,AT190,AT199)</f>
        <v>7532.10879272094</v>
      </c>
      <c r="AU154" s="12">
        <f>AU283-SUM(AU155,AU159,AU163,AU164,AU165,AU171,AU176,AU186,AU189,AU190,AU199)</f>
        <v>9309.45001557284</v>
      </c>
      <c r="AV154" s="12">
        <f>AU154</f>
        <v>9309.45001557284</v>
      </c>
      <c r="AW154" s="12">
        <f>AW283-SUM(AW155,AW159,AW163,AW164,AW165,AW171,AW176,AW186,AW189,AW190,AW199)</f>
        <v>11709.0048499373</v>
      </c>
      <c r="AX154" s="12">
        <f>AX283-SUM(AX155,AX159,AX163,AX164,AX165,AX171,AX176,AX186,AX189,AX190,AX199)</f>
        <v>13105.9676184736</v>
      </c>
      <c r="AY154" s="12">
        <f>AY283-SUM(AY155,AY159,AY163,AY164,AY165,AY171,AY176,AY186,AY189,AY190,AY199)</f>
        <v>12983.4226665138</v>
      </c>
      <c r="AZ154" s="12">
        <f>AZ283-SUM(AZ155,AZ159,AZ163,AZ164,AZ165,AZ171,AZ176,AZ186,AZ189,AZ190,AZ199)</f>
        <v>15373.8540846931</v>
      </c>
      <c r="BA154" s="12">
        <f>AZ154</f>
        <v>15373.8540846931</v>
      </c>
      <c r="BB154" s="12">
        <f>BB283-SUM(BB155,BB159,BB163,BB164,BB165,BB171,BB176,BB186,BB189,BB190,BB199)</f>
        <v>18559.3806256489</v>
      </c>
      <c r="BC154" s="12">
        <f>BC283-SUM(BC155,BC159,BC163,BC164,BC165,BC171,BC176,BC186,BC189,BC190,BC199)</f>
        <v>20595.1383966631</v>
      </c>
      <c r="BD154" s="12">
        <f>BD283-SUM(BD155,BD159,BD163,BD164,BD165,BD171,BD176,BD186,BD189,BD190,BD199)</f>
        <v>20935.3895557945</v>
      </c>
      <c r="BE154" s="12">
        <f>BE283-SUM(BE155,BE159,BE163,BE164,BE165,BE171,BE176,BE186,BE189,BE190,BE199)</f>
        <v>24252.3801565339</v>
      </c>
      <c r="BF154" s="12">
        <f>BE154</f>
        <v>24252.3801565339</v>
      </c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>
      <c r="C155" s="14" t="inlineStr">
        <is>
          <t>Accounts receivable</t>
        </is>
      </c>
      <c r="D155" s="46" t="n"/>
      <c r="E155" s="46" t="n"/>
      <c r="F155" s="46" t="n"/>
      <c r="G155" s="46" t="n"/>
      <c r="H155" s="12" t="n"/>
      <c r="I155" s="46">
        <f>'Inputs (2)'!D16</f>
        <v>1277.83393347</v>
      </c>
      <c r="J155" s="46">
        <f>'Inputs (2)'!E16</f>
        <v>1462.54159393</v>
      </c>
      <c r="K155" s="46">
        <f>'Inputs (2)'!F16</f>
        <v>1544.314</v>
      </c>
      <c r="L155" s="46">
        <f>'Inputs (2)'!G16</f>
        <v>1816.264</v>
      </c>
      <c r="M155" s="12">
        <f>'Inputs (2)'!H16</f>
        <v>1816.264</v>
      </c>
      <c r="N155" s="46">
        <f>'Inputs (2)'!I16</f>
        <v>1872.825</v>
      </c>
      <c r="O155" s="46">
        <f>'Inputs (2)'!J16</f>
        <v>2080.07644904</v>
      </c>
      <c r="P155" s="46">
        <f>'Inputs (2)'!K16</f>
        <v>2377.34825629</v>
      </c>
      <c r="Q155" s="46">
        <f>'Inputs (2)'!L16</f>
        <v>2548.25631124</v>
      </c>
      <c r="R155" s="12">
        <f>'Inputs (2)'!M16</f>
        <v>2548.25631124</v>
      </c>
      <c r="S155" s="46">
        <f>'Inputs (2)'!N16</f>
        <v>2385.04330103</v>
      </c>
      <c r="T155" s="46">
        <f>'Inputs (2)'!O16</f>
        <v>2582.667</v>
      </c>
      <c r="U155" s="46">
        <f>'Inputs (2)'!P16</f>
        <v>2868.599</v>
      </c>
      <c r="V155" s="46">
        <f>'Inputs (2)'!Q16</f>
        <v>3457.62798322</v>
      </c>
      <c r="W155" s="12">
        <f>'Inputs (2)'!R16</f>
        <v>3457.62798322</v>
      </c>
      <c r="X155" s="46">
        <f>'Inputs (2)'!S16</f>
        <v>3085.517</v>
      </c>
      <c r="Y155" s="46">
        <f>'Inputs (2)'!T16</f>
        <v>3181.45670197</v>
      </c>
      <c r="Z155" s="46">
        <f>'Inputs (2)'!U16</f>
        <v>3509.695</v>
      </c>
      <c r="AA155" s="46">
        <f>'Inputs (2)'!V16</f>
        <v>3399.13</v>
      </c>
      <c r="AB155" s="12">
        <f>'Inputs (2)'!W16</f>
        <v>3399.13</v>
      </c>
      <c r="AC155" s="46">
        <f>'Inputs (2)'!X16</f>
        <v>3650.849</v>
      </c>
      <c r="AD155" s="46">
        <f>'Inputs (2)'!Y16</f>
        <v>3621.48</v>
      </c>
      <c r="AE155" s="46">
        <f>'Inputs (2)'!Z16</f>
        <v>3964.078</v>
      </c>
      <c r="AF155" s="46">
        <f>'Inputs (2)'!AA16</f>
        <v>4080.89</v>
      </c>
      <c r="AG155" s="12">
        <f>'Inputs (2)'!AB16</f>
        <v>4080.89</v>
      </c>
      <c r="AH155" s="12">
        <f>'Inputs (2)'!AC16</f>
        <v>4013.107</v>
      </c>
      <c r="AI155" s="12">
        <f>'Inputs (2)'!AD16</f>
        <v>3959.317</v>
      </c>
      <c r="AJ155" s="12">
        <f>(AJ156/(AJ$5-AI$5))*AJ$15</f>
        <v>5057.80275724055</v>
      </c>
      <c r="AK155" s="12">
        <f>(AK156/(AK$5-AJ$5))*AK$15</f>
        <v>4957.424575074</v>
      </c>
      <c r="AL155" s="12">
        <f>AK155</f>
        <v>4957.424575074</v>
      </c>
      <c r="AM155" s="12">
        <f>(AM156/(AM$5-AL$5))*AM$15</f>
        <v>4516.32177696121</v>
      </c>
      <c r="AN155" s="12">
        <f>(AN156/(AN$5-AM$5))*AN$15</f>
        <v>4680.56197299477</v>
      </c>
      <c r="AO155" s="12">
        <f>(AO156/(AO$5-AN$5))*AO$15</f>
        <v>5924.81962580918</v>
      </c>
      <c r="AP155" s="12">
        <f>(AP156/(AP$5-AO$5))*AP$15</f>
        <v>5807.23445053677</v>
      </c>
      <c r="AQ155" s="12">
        <f>AP155</f>
        <v>5807.23445053677</v>
      </c>
      <c r="AR155" s="12">
        <f>(AR156/(AR$5-AQ$5))*AR$15</f>
        <v>5210.04607544848</v>
      </c>
      <c r="AS155" s="12">
        <f>(AS156/(AS$5-AR$5))*AS$15</f>
        <v>5459.50879591409</v>
      </c>
      <c r="AT155" s="12">
        <f>(AT156/(AT$5-AS$5))*AT$15</f>
        <v>6910.8378540736</v>
      </c>
      <c r="AU155" s="12">
        <f>(AU156/(AU$5-AT$5))*AU$15</f>
        <v>6773.68396050852</v>
      </c>
      <c r="AV155" s="12">
        <f>AU155</f>
        <v>6773.68396050852</v>
      </c>
      <c r="AW155" s="12">
        <f>(AW156/(AW$5-AV$5))*AW$15</f>
        <v>6118.29428645301</v>
      </c>
      <c r="AX155" s="12">
        <f>(AX156/(AX$5-AW$5))*AX$15</f>
        <v>6340.79168646648</v>
      </c>
      <c r="AY155" s="12">
        <f>(AY156/(AY$5-AX$5))*AY$15</f>
        <v>8026.3966685836</v>
      </c>
      <c r="AZ155" s="12">
        <f>(AZ156/(AZ$5-AY$5))*AZ$15</f>
        <v>7867.10316790552</v>
      </c>
      <c r="BA155" s="12">
        <f>AZ155</f>
        <v>7867.10316790552</v>
      </c>
      <c r="BB155" s="12">
        <f>(BB156/(BB$5-BA$5))*BB$15</f>
        <v>7075.32794313682</v>
      </c>
      <c r="BC155" s="12">
        <f>(BC156/(BC$5-BB$5))*BC$15</f>
        <v>7332.62875246144</v>
      </c>
      <c r="BD155" s="12">
        <f>(BD156/(BD$5-BC$5))*BD$15</f>
        <v>9281.89883864717</v>
      </c>
      <c r="BE155" s="12">
        <f>(BE156/(BE$5-BD$5))*BE$15</f>
        <v>9097.68838656035</v>
      </c>
      <c r="BF155" s="12">
        <f>BE155</f>
        <v>9097.68838656035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inlineStr">
        <is>
          <t>DSO</t>
        </is>
      </c>
      <c r="D156" s="12" t="n"/>
      <c r="E156" s="12" t="n"/>
      <c r="F156" s="12" t="n"/>
      <c r="G156" s="12" t="n"/>
      <c r="H156" s="12" t="n"/>
      <c r="I156" s="12">
        <f>IFERROR((I155/I$15)*(I$5-H$5),"")</f>
        <v>34.2045547214168</v>
      </c>
      <c r="J156" s="12">
        <f>IFERROR((J155/J$15)*(J$5-I$5),"")</f>
        <v>35.7355195370457</v>
      </c>
      <c r="K156" s="12">
        <f>IFERROR((K155/K$15)*(K$5-J$5),"")</f>
        <v>32.6679246974966</v>
      </c>
      <c r="L156" s="12">
        <f>IFERROR((L155/L$15)*(L$5-K$5),"")</f>
        <v>37.6248316952424</v>
      </c>
      <c r="M156" s="12" t="n"/>
      <c r="N156" s="12">
        <f>IFERROR((N155/N$15)*(N$5-M$5),"")</f>
        <v>36.8120475480833</v>
      </c>
      <c r="O156" s="12">
        <f>IFERROR((O155/O$15)*(O$5-N$5),"")</f>
        <v>36.3874196701762</v>
      </c>
      <c r="P156" s="12">
        <f>IFERROR((P155/P$15)*(P$5-O$5),"")</f>
        <v>36.9257474769138</v>
      </c>
      <c r="Q156" s="12">
        <f>IFERROR((Q155/Q$15)*(Q$5-P$5),"")</f>
        <v>38.6572026460481</v>
      </c>
      <c r="R156" s="12" t="n"/>
      <c r="S156" s="12">
        <f>IFERROR((S155/S$15)*(S$5-R$5),"")</f>
        <v>36.5811685893997</v>
      </c>
      <c r="T156" s="12">
        <f>IFERROR((T155/T$15)*(T$5-S$5),"")</f>
        <v>36.5539653956033</v>
      </c>
      <c r="U156" s="12">
        <f>IFERROR((U155/U$15)*(U$5-T$5),"")</f>
        <v>38.0553438975367</v>
      </c>
      <c r="V156" s="12">
        <f>IFERROR((V155/V$15)*(V$5-U$5),"")</f>
        <v>42.1812620503835</v>
      </c>
      <c r="W156" s="12" t="n"/>
      <c r="X156" s="12">
        <f>IFERROR((X155/X$15)*(X$5-W$5),"")</f>
        <v>38.0336150860788</v>
      </c>
      <c r="Y156" s="12">
        <f>IFERROR((Y155/Y$15)*(Y$5-X$5),"")</f>
        <v>37.8996500722251</v>
      </c>
      <c r="Z156" s="12">
        <f>IFERROR((Z155/Z$15)*(Z$5-Y$5),"")</f>
        <v>38.7297268088727</v>
      </c>
      <c r="AA156" s="12">
        <f>IFERROR((AA155/AA$15)*(AA$5-Z$5),"")</f>
        <v>35.8337096568491</v>
      </c>
      <c r="AB156" s="12" t="n"/>
      <c r="AC156" s="12">
        <f>IFERROR((AC155/AC$15)*(AC$5-AB$5),"")</f>
        <v>39.4387685962763</v>
      </c>
      <c r="AD156" s="12">
        <f>IFERROR((AD155/AD$15)*(AD$5-AC$5),"")</f>
        <v>37.5362559152445</v>
      </c>
      <c r="AE156" s="12">
        <f>IFERROR((AE155/AE$15)*(AE$5-AD$5),"")</f>
        <v>33.88246281102</v>
      </c>
      <c r="AF156" s="11">
        <f>IFERROR((AF155/AF$15)*(AF$5-AE$5),"")</f>
        <v>35.5871690211783</v>
      </c>
      <c r="AG156" s="12" t="n"/>
      <c r="AH156" s="11">
        <f>IFERROR((AH155/AH$15)*(AH$5-AG$5),"")</f>
        <v>38.4140882999531</v>
      </c>
      <c r="AI156" s="11">
        <f>IFERROR((AI155/AI$15)*(AI$5-AH$5),"")</f>
        <v>36.5693248620827</v>
      </c>
      <c r="AJ156" s="11">
        <f>Control!$B$25</f>
        <v>36.9046782509591</v>
      </c>
      <c r="AK156" s="11">
        <f>Control!$B$25</f>
        <v>36.9046782509591</v>
      </c>
      <c r="AL156" s="12" t="n"/>
      <c r="AM156" s="11">
        <f>Control!$C$25</f>
        <v>36.9046782509591</v>
      </c>
      <c r="AN156" s="11">
        <f>Control!$C$25</f>
        <v>36.9046782509591</v>
      </c>
      <c r="AO156" s="11">
        <f>Control!$C$25</f>
        <v>36.9046782509591</v>
      </c>
      <c r="AP156" s="11">
        <f>Control!$C$25</f>
        <v>36.9046782509591</v>
      </c>
      <c r="AQ156" s="12" t="n"/>
      <c r="AR156" s="11">
        <f>Control!$D$25</f>
        <v>36.9046782509591</v>
      </c>
      <c r="AS156" s="11">
        <f>Control!$D$25</f>
        <v>36.9046782509591</v>
      </c>
      <c r="AT156" s="11">
        <f>Control!$D$25</f>
        <v>36.9046782509591</v>
      </c>
      <c r="AU156" s="11">
        <f>Control!$D$25</f>
        <v>36.9046782509591</v>
      </c>
      <c r="AV156" s="12" t="n"/>
      <c r="AW156" s="11">
        <f>Control!$E$25</f>
        <v>36.9046782509591</v>
      </c>
      <c r="AX156" s="11">
        <f>Control!$E$25</f>
        <v>36.9046782509591</v>
      </c>
      <c r="AY156" s="11">
        <f>Control!$E$25</f>
        <v>36.9046782509591</v>
      </c>
      <c r="AZ156" s="11">
        <f>Control!$E$25</f>
        <v>36.9046782509591</v>
      </c>
      <c r="BA156" s="12" t="n"/>
      <c r="BB156" s="11">
        <f>Control!$F$25</f>
        <v>36.9046782509591</v>
      </c>
      <c r="BC156" s="11">
        <f>Control!$F$25</f>
        <v>36.9046782509591</v>
      </c>
      <c r="BD156" s="11">
        <f>Control!$F$25</f>
        <v>36.9046782509591</v>
      </c>
      <c r="BE156" s="11">
        <f>Control!$F$25</f>
        <v>36.9046782509591</v>
      </c>
      <c r="BF156" s="12" t="n"/>
      <c r="BG156" s="11" t="n"/>
      <c r="BH156" s="11" t="n"/>
      <c r="BI156" s="11" t="n"/>
      <c r="BJ156" s="11" t="n"/>
      <c r="BK156" s="12" t="n"/>
      <c r="BL156" s="11" t="n"/>
      <c r="BM156" s="11" t="n"/>
      <c r="BN156" s="11" t="n"/>
      <c r="BO156" s="11" t="n"/>
      <c r="BP156" s="12" t="n"/>
      <c r="BQ156" s="11" t="n"/>
      <c r="BR156" s="11" t="n"/>
      <c r="BS156" s="11" t="n"/>
      <c r="BT156" s="11" t="n"/>
      <c r="BU156" s="12" t="n"/>
      <c r="BV156" s="11" t="n"/>
      <c r="BW156" s="11" t="n"/>
      <c r="BX156" s="11" t="n"/>
      <c r="BY156" s="11" t="n"/>
      <c r="BZ156" s="12" t="n"/>
      <c r="CA156" s="11" t="n"/>
      <c r="CB156" s="11" t="n"/>
      <c r="CC156" s="11" t="n"/>
      <c r="CD156" s="11" t="n"/>
      <c r="CE156" s="12" t="n"/>
      <c r="CF156" s="11" t="n"/>
      <c r="CG156" s="11" t="n"/>
      <c r="CH156" s="11" t="n"/>
      <c r="CI156" s="11" t="n"/>
      <c r="CJ156" s="12" t="n"/>
      <c r="CK156" s="11" t="n"/>
      <c r="CL156" s="11" t="n"/>
      <c r="CM156" s="11" t="n"/>
      <c r="CN156" s="11" t="n"/>
      <c r="CO156" s="12" t="n"/>
      <c r="CP156" s="11" t="n"/>
      <c r="CQ156" s="11" t="n"/>
      <c r="CR156" s="11" t="n"/>
      <c r="CS156" s="11" t="n"/>
      <c r="CT156" s="12" t="n"/>
      <c r="CU156" s="11" t="n"/>
      <c r="CV156" s="11" t="n"/>
      <c r="CW156" s="11" t="n"/>
      <c r="CX156" s="11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collapsed="1">
      <c r="C159" s="14" t="inlineStr">
        <is>
          <t>Inventories</t>
        </is>
      </c>
      <c r="D159" s="46" t="n"/>
      <c r="E159" s="46" t="n"/>
      <c r="F159" s="46" t="n"/>
      <c r="G159" s="46" t="n"/>
      <c r="H159" s="12" t="n"/>
      <c r="I159" s="46">
        <f>'Inputs (2)'!D17</f>
        <v>2637.47443892</v>
      </c>
      <c r="J159" s="46">
        <f>'Inputs (2)'!E17</f>
        <v>2826.49303354</v>
      </c>
      <c r="K159" s="46">
        <f>'Inputs (2)'!F17</f>
        <v>3492.306</v>
      </c>
      <c r="L159" s="46">
        <f>'Inputs (2)'!G17</f>
        <v>3498.63</v>
      </c>
      <c r="M159" s="12">
        <f>'Inputs (2)'!H17</f>
        <v>3498.63</v>
      </c>
      <c r="N159" s="46">
        <f>'Inputs (2)'!I17</f>
        <v>3803.451</v>
      </c>
      <c r="O159" s="46">
        <f>'Inputs (2)'!J17</f>
        <v>3994.994</v>
      </c>
      <c r="P159" s="46">
        <f>'Inputs (2)'!K17</f>
        <v>4666.193</v>
      </c>
      <c r="Q159" s="46">
        <f>'Inputs (2)'!L17</f>
        <v>3985.375</v>
      </c>
      <c r="R159" s="12">
        <f>'Inputs (2)'!M17</f>
        <v>3985.375</v>
      </c>
      <c r="S159" s="46">
        <f>'Inputs (2)'!N17</f>
        <v>4436.302</v>
      </c>
      <c r="T159" s="46">
        <f>'Inputs (2)'!O17</f>
        <v>4693.948</v>
      </c>
      <c r="U159" s="46">
        <f>'Inputs (2)'!P17</f>
        <v>4939.475</v>
      </c>
      <c r="V159" s="46">
        <f>'Inputs (2)'!Q17</f>
        <v>5087.655</v>
      </c>
      <c r="W159" s="12">
        <f>'Inputs (2)'!R17</f>
        <v>5087.655</v>
      </c>
      <c r="X159" s="46">
        <f>'Inputs (2)'!S17</f>
        <v>4957.342</v>
      </c>
      <c r="Y159" s="46">
        <f>'Inputs (2)'!T17</f>
        <v>5294.057</v>
      </c>
      <c r="Z159" s="46">
        <f>'Inputs (2)'!U17</f>
        <v>5963.407</v>
      </c>
      <c r="AA159" s="46">
        <f>'Inputs (2)'!V17</f>
        <v>4939.518</v>
      </c>
      <c r="AB159" s="12">
        <f>'Inputs (2)'!W17</f>
        <v>4939.518</v>
      </c>
      <c r="AC159" s="46">
        <f>'Inputs (2)'!X17</f>
        <v>5242.901</v>
      </c>
      <c r="AD159" s="46">
        <f>'Inputs (2)'!Y17</f>
        <v>5020.008</v>
      </c>
      <c r="AE159" s="46">
        <f>'Inputs (2)'!Z17</f>
        <v>5730.287</v>
      </c>
      <c r="AF159" s="46">
        <f>'Inputs (2)'!AA17</f>
        <v>5170.062</v>
      </c>
      <c r="AG159" s="12">
        <f>'Inputs (2)'!AB17</f>
        <v>5170.062</v>
      </c>
      <c r="AH159" s="12">
        <f>'Inputs (2)'!AC17</f>
        <v>5221.233</v>
      </c>
      <c r="AI159" s="12">
        <f>'Inputs (2)'!AD17</f>
        <v>5736.02</v>
      </c>
      <c r="AJ159" s="12">
        <f>(AJ160/(AJ$5-AI$5))*-AJ$64</f>
        <v>6984.45474026514</v>
      </c>
      <c r="AK159" s="12">
        <f>(AK160/(AK$5-AJ$5))*-AK$64</f>
        <v>6845.83983100465</v>
      </c>
      <c r="AL159" s="12">
        <f>AK159</f>
        <v>6845.83983100465</v>
      </c>
      <c r="AM159" s="12">
        <f>(AM160/(AM$5-AL$5))*-AM$64</f>
        <v>6236.70921103085</v>
      </c>
      <c r="AN159" s="12">
        <f>(AN160/(AN$5-AM$5))*-AN$64</f>
        <v>6463.51287870779</v>
      </c>
      <c r="AO159" s="12">
        <f>(AO160/(AO$5-AN$5))*-AO$64</f>
        <v>8181.74146104424</v>
      </c>
      <c r="AP159" s="12">
        <f>(AP160/(AP$5-AO$5))*-AP$64</f>
        <v>8019.36495602125</v>
      </c>
      <c r="AQ159" s="12">
        <f>AP159</f>
        <v>8019.36495602125</v>
      </c>
      <c r="AR159" s="12">
        <f>(AR160/(AR$5-AQ$5))*-AR$64</f>
        <v>7194.69159934566</v>
      </c>
      <c r="AS159" s="12">
        <f>(AS160/(AS$5-AR$5))*-AS$64</f>
        <v>7539.18132425262</v>
      </c>
      <c r="AT159" s="12">
        <f>(AT160/(AT$5-AS$5))*-AT$64</f>
        <v>9543.36033369212</v>
      </c>
      <c r="AU159" s="12">
        <f>(AU160/(AU$5-AT$5))*-AU$64</f>
        <v>9353.96086359909</v>
      </c>
      <c r="AV159" s="12">
        <f>AU159</f>
        <v>9353.96086359909</v>
      </c>
      <c r="AW159" s="12">
        <f>(AW160/(AW$5-AV$5))*-AW$64</f>
        <v>8448.91578070715</v>
      </c>
      <c r="AX159" s="12">
        <f>(AX160/(AX$5-AW$5))*-AX$64</f>
        <v>8756.16837532367</v>
      </c>
      <c r="AY159" s="12">
        <f>(AY160/(AY$5-AX$5))*-AY$64</f>
        <v>11083.8652572767</v>
      </c>
      <c r="AZ159" s="12">
        <f>(AZ160/(AZ$5-AY$5))*-AZ$64</f>
        <v>10863.8926131653</v>
      </c>
      <c r="BA159" s="12">
        <f>AZ159</f>
        <v>10863.8926131653</v>
      </c>
      <c r="BB159" s="12">
        <f>(BB160/(BB$5-BA$5))*-BB$64</f>
        <v>9770.50908531941</v>
      </c>
      <c r="BC159" s="12">
        <f>(BC160/(BC$5-BB$5))*-BC$64</f>
        <v>10125.8226362065</v>
      </c>
      <c r="BD159" s="12">
        <f>(BD160/(BD$5-BC$5))*-BD$64</f>
        <v>12817.6216934209</v>
      </c>
      <c r="BE159" s="12">
        <f>(BE160/(BE$5-BD$5))*-BE$64</f>
        <v>12563.2405664697</v>
      </c>
      <c r="BF159" s="12">
        <f>BE159</f>
        <v>12563.2405664697</v>
      </c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7" t="inlineStr">
        <is>
          <t>DIO</t>
        </is>
      </c>
      <c r="D160" s="12" t="n"/>
      <c r="E160" s="12" t="n"/>
      <c r="F160" s="12" t="n"/>
      <c r="G160" s="12" t="n"/>
      <c r="H160" s="12" t="n"/>
      <c r="I160" s="12">
        <f>IFERROR(((I159/I$64)*(I$5-H$5))*-1,"")</f>
        <v>92.7166821385389</v>
      </c>
      <c r="J160" s="12">
        <f>IFERROR(((J159/J$64)*(J$5-I$5))*-1,"")</f>
        <v>89.8806842501061</v>
      </c>
      <c r="K160" s="12">
        <f>IFERROR(((K159/K$64)*(K$5-J$5))*-1,"")</f>
        <v>97.0313808902401</v>
      </c>
      <c r="L160" s="12">
        <f>IFERROR(((L159/L$64)*(L$5-K$5))*-1,"")</f>
        <v>93.5324043704291</v>
      </c>
      <c r="M160" s="12" t="n"/>
      <c r="N160" s="12">
        <f>IFERROR(((N159/N$64)*(N$5-M$5))*-1,"")</f>
        <v>96.3422746252411</v>
      </c>
      <c r="O160" s="12">
        <f>IFERROR(((O159/O$64)*(O$5-N$5))*-1,"")</f>
        <v>90.4467458204905</v>
      </c>
      <c r="P160" s="12">
        <f>IFERROR(((P159/P$64)*(P$5-O$5))*-1,"")</f>
        <v>93.9574189611603</v>
      </c>
      <c r="Q160" s="12">
        <f>IFERROR(((Q159/Q$64)*(Q$5-P$5))*-1,"")</f>
        <v>77.1432424651215</v>
      </c>
      <c r="R160" s="12" t="n"/>
      <c r="S160" s="12">
        <f>IFERROR(((S159/S$64)*(S$5-R$5))*-1,"")</f>
        <v>87.2809446380468</v>
      </c>
      <c r="T160" s="12">
        <f>IFERROR(((T159/T$64)*(T$5-S$5))*-1,"")</f>
        <v>85.6862611679189</v>
      </c>
      <c r="U160" s="12">
        <f>IFERROR(((U159/U$64)*(U$5-T$5))*-1,"")</f>
        <v>84.5579707353816</v>
      </c>
      <c r="V160" s="12">
        <f>IFERROR(((V159/V$64)*(V$5-U$5))*-1,"")</f>
        <v>80.0246184760206</v>
      </c>
      <c r="W160" s="12" t="n"/>
      <c r="X160" s="12">
        <f>IFERROR(((X159/X$64)*(X$5-W$5))*-1,"")</f>
        <v>78.6918664730644</v>
      </c>
      <c r="Y160" s="12">
        <f>IFERROR(((Y159/Y$64)*(Y$5-X$5))*-1,"")</f>
        <v>81.2895365867651</v>
      </c>
      <c r="Z160" s="12">
        <f>IFERROR(((Z159/Z$64)*(Z$5-Y$5))*-1,"")</f>
        <v>84.6740178042276</v>
      </c>
      <c r="AA160" s="12">
        <f>IFERROR(((AA159/AA$64)*(AA$5-Z$5))*-1,"")</f>
        <v>66.6212379876042</v>
      </c>
      <c r="AB160" s="12" t="n"/>
      <c r="AC160" s="12">
        <f>IFERROR(((AC159/AC$64)*(AC$5-AB$5))*-1,"")</f>
        <v>72.8331081325125</v>
      </c>
      <c r="AD160" s="12">
        <f>IFERROR(((AD159/AD$64)*(AD$5-AC$5))*-1,"")</f>
        <v>68.3249872345161</v>
      </c>
      <c r="AE160" s="12">
        <f>IFERROR(((AE159/AE$64)*(AE$5-AD$5))*-1,"")</f>
        <v>62.2359924087131</v>
      </c>
      <c r="AF160" s="11">
        <f>IFERROR(((AF159/AF$64)*(AF$5-AE$5))*-1,"")</f>
        <v>58.1814131668279</v>
      </c>
      <c r="AG160" s="12" t="n"/>
      <c r="AH160" s="11">
        <f>IFERROR(((AH159/AH$64)*(AH$5-AG$5))*-1,"")</f>
        <v>64.7995934227259</v>
      </c>
      <c r="AI160" s="11">
        <f>IFERROR(((AI159/AI$64)*(AI$5-AH$5))*-1,"")</f>
        <v>69.2162058731253</v>
      </c>
      <c r="AJ160" s="11">
        <f>Control!$B$26</f>
        <v>65.9318833730701</v>
      </c>
      <c r="AK160" s="11">
        <f>Control!$B$26</f>
        <v>65.9318833730701</v>
      </c>
      <c r="AL160" s="12" t="n"/>
      <c r="AM160" s="11">
        <f>Control!$C$26</f>
        <v>65.9318833730701</v>
      </c>
      <c r="AN160" s="11">
        <f>Control!$C$26</f>
        <v>65.9318833730701</v>
      </c>
      <c r="AO160" s="11">
        <f>Control!$C$26</f>
        <v>65.9318833730701</v>
      </c>
      <c r="AP160" s="11">
        <f>Control!$C$26</f>
        <v>65.9318833730701</v>
      </c>
      <c r="AQ160" s="12" t="n"/>
      <c r="AR160" s="11">
        <f>Control!$D$26</f>
        <v>65.9318833730701</v>
      </c>
      <c r="AS160" s="11">
        <f>Control!$D$26</f>
        <v>65.9318833730701</v>
      </c>
      <c r="AT160" s="11">
        <f>Control!$D$26</f>
        <v>65.9318833730701</v>
      </c>
      <c r="AU160" s="11">
        <f>Control!$D$26</f>
        <v>65.9318833730701</v>
      </c>
      <c r="AV160" s="12" t="n"/>
      <c r="AW160" s="11">
        <f>Control!$E$26</f>
        <v>65.9318833730701</v>
      </c>
      <c r="AX160" s="11">
        <f>Control!$E$26</f>
        <v>65.9318833730701</v>
      </c>
      <c r="AY160" s="11">
        <f>Control!$E$26</f>
        <v>65.9318833730701</v>
      </c>
      <c r="AZ160" s="11">
        <f>Control!$E$26</f>
        <v>65.9318833730701</v>
      </c>
      <c r="BA160" s="12" t="n"/>
      <c r="BB160" s="11">
        <f>Control!$F$26</f>
        <v>65.9318833730701</v>
      </c>
      <c r="BC160" s="11">
        <f>Control!$F$26</f>
        <v>65.9318833730701</v>
      </c>
      <c r="BD160" s="11">
        <f>Control!$F$26</f>
        <v>65.9318833730701</v>
      </c>
      <c r="BE160" s="11">
        <f>Control!$F$26</f>
        <v>65.9318833730701</v>
      </c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>
      <c r="C163" s="14" t="inlineStr">
        <is>
          <t>Deferred income taxes</t>
        </is>
      </c>
      <c r="D163" s="46" t="n"/>
      <c r="E163" s="46" t="n"/>
      <c r="F163" s="46" t="n"/>
      <c r="G163" s="46" t="n"/>
      <c r="H163" s="12" t="n"/>
      <c r="I163" s="46">
        <f>'Inputs (2)'!D18</f>
        <v>0</v>
      </c>
      <c r="J163" s="46">
        <f>'Inputs (2)'!E18</f>
        <v>0</v>
      </c>
      <c r="K163" s="46">
        <f>'Inputs (2)'!F18</f>
        <v>0</v>
      </c>
      <c r="L163" s="46">
        <f>'Inputs (2)'!G18</f>
        <v>0</v>
      </c>
      <c r="M163" s="12">
        <f>'Inputs (2)'!H18</f>
        <v>0</v>
      </c>
      <c r="N163" s="46">
        <f>'Inputs (2)'!I18</f>
        <v>0</v>
      </c>
      <c r="O163" s="46">
        <f>'Inputs (2)'!J18</f>
        <v>0</v>
      </c>
      <c r="P163" s="46">
        <f>'Inputs (2)'!K18</f>
        <v>0</v>
      </c>
      <c r="Q163" s="46">
        <f>'Inputs (2)'!L18</f>
        <v>0</v>
      </c>
      <c r="R163" s="12">
        <f>'Inputs (2)'!M18</f>
        <v>0</v>
      </c>
      <c r="S163" s="46">
        <f>'Inputs (2)'!N18</f>
        <v>0</v>
      </c>
      <c r="T163" s="46">
        <f>'Inputs (2)'!O18</f>
        <v>0</v>
      </c>
      <c r="U163" s="46">
        <f>'Inputs (2)'!P18</f>
        <v>0</v>
      </c>
      <c r="V163" s="46">
        <f>'Inputs (2)'!Q18</f>
        <v>0</v>
      </c>
      <c r="W163" s="12">
        <f>'Inputs (2)'!R18</f>
        <v>0</v>
      </c>
      <c r="X163" s="46">
        <f>'Inputs (2)'!S18</f>
        <v>42.1</v>
      </c>
      <c r="Y163" s="46">
        <f>'Inputs (2)'!T18</f>
        <v>139.576</v>
      </c>
      <c r="Z163" s="46">
        <f>'Inputs (2)'!U18</f>
        <v>203.29</v>
      </c>
      <c r="AA163" s="46">
        <f>'Inputs (2)'!V18</f>
        <v>503.543</v>
      </c>
      <c r="AB163" s="12">
        <f>'Inputs (2)'!W18</f>
        <v>503.543</v>
      </c>
      <c r="AC163" s="46">
        <f>'Inputs (2)'!X18</f>
        <v>599.643</v>
      </c>
      <c r="AD163" s="46">
        <f>'Inputs (2)'!Y18</f>
        <v>306.893</v>
      </c>
      <c r="AE163" s="46">
        <f>'Inputs (2)'!Z18</f>
        <v>802.623</v>
      </c>
      <c r="AF163" s="46">
        <f>'Inputs (2)'!AA18</f>
        <v>866.468</v>
      </c>
      <c r="AG163" s="12">
        <f>'Inputs (2)'!AB18</f>
        <v>866.468</v>
      </c>
      <c r="AH163" s="12">
        <f>'Inputs (2)'!AC18</f>
        <v>908.878</v>
      </c>
      <c r="AI163" s="12">
        <f>'Inputs (2)'!AD18</f>
        <v>899.443</v>
      </c>
      <c r="AJ163" s="12">
        <f>AI163</f>
        <v>899.443</v>
      </c>
      <c r="AK163" s="12">
        <f>AJ163</f>
        <v>899.443</v>
      </c>
      <c r="AL163" s="12">
        <f>AK163</f>
        <v>899.443</v>
      </c>
      <c r="AM163" s="12">
        <f>AL163</f>
        <v>899.443</v>
      </c>
      <c r="AN163" s="12">
        <f>AM163</f>
        <v>899.443</v>
      </c>
      <c r="AO163" s="12">
        <f>AN163</f>
        <v>899.443</v>
      </c>
      <c r="AP163" s="12">
        <f>AO163</f>
        <v>899.443</v>
      </c>
      <c r="AQ163" s="12">
        <f>AP163</f>
        <v>899.443</v>
      </c>
      <c r="AR163" s="12">
        <f>AQ163</f>
        <v>899.443</v>
      </c>
      <c r="AS163" s="12">
        <f>AR163</f>
        <v>899.443</v>
      </c>
      <c r="AT163" s="12">
        <f>AS163</f>
        <v>899.443</v>
      </c>
      <c r="AU163" s="12">
        <f>AT163</f>
        <v>899.443</v>
      </c>
      <c r="AV163" s="12">
        <f>AU163</f>
        <v>899.443</v>
      </c>
      <c r="AW163" s="12">
        <f>AV163</f>
        <v>899.443</v>
      </c>
      <c r="AX163" s="12">
        <f>AW163</f>
        <v>899.443</v>
      </c>
      <c r="AY163" s="12">
        <f>AX163</f>
        <v>899.443</v>
      </c>
      <c r="AZ163" s="12">
        <f>AY163</f>
        <v>899.443</v>
      </c>
      <c r="BA163" s="12">
        <f>AZ163</f>
        <v>899.443</v>
      </c>
      <c r="BB163" s="12">
        <f>BA163</f>
        <v>899.443</v>
      </c>
      <c r="BC163" s="12">
        <f>BB163</f>
        <v>899.443</v>
      </c>
      <c r="BD163" s="12">
        <f>BC163</f>
        <v>899.443</v>
      </c>
      <c r="BE163" s="12">
        <f>BD163</f>
        <v>899.443</v>
      </c>
      <c r="BF163" s="12">
        <f>BE163</f>
        <v>899.443</v>
      </c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>
      <c r="C164" s="14" t="inlineStr">
        <is>
          <t>Prepaid expenses</t>
        </is>
      </c>
      <c r="D164" s="46" t="n"/>
      <c r="E164" s="46" t="n"/>
      <c r="F164" s="46" t="n"/>
      <c r="G164" s="46" t="n"/>
      <c r="H164" s="12" t="n"/>
      <c r="I164" s="46">
        <f>'Inputs (2)'!D19</f>
        <v>0</v>
      </c>
      <c r="J164" s="46">
        <f>'Inputs (2)'!E19</f>
        <v>0</v>
      </c>
      <c r="K164" s="46">
        <f>'Inputs (2)'!F19</f>
        <v>0</v>
      </c>
      <c r="L164" s="46">
        <f>'Inputs (2)'!G19</f>
        <v>0</v>
      </c>
      <c r="M164" s="12">
        <f>'Inputs (2)'!H19</f>
        <v>0</v>
      </c>
      <c r="N164" s="46">
        <f>'Inputs (2)'!I19</f>
        <v>0</v>
      </c>
      <c r="O164" s="46">
        <f>'Inputs (2)'!J19</f>
        <v>0</v>
      </c>
      <c r="P164" s="46">
        <f>'Inputs (2)'!K19</f>
        <v>0</v>
      </c>
      <c r="Q164" s="46">
        <f>'Inputs (2)'!L19</f>
        <v>0</v>
      </c>
      <c r="R164" s="12">
        <f>'Inputs (2)'!M19</f>
        <v>0</v>
      </c>
      <c r="S164" s="46">
        <f>'Inputs (2)'!N19</f>
        <v>0</v>
      </c>
      <c r="T164" s="46">
        <f>'Inputs (2)'!O19</f>
        <v>0</v>
      </c>
      <c r="U164" s="46">
        <f>'Inputs (2)'!P19</f>
        <v>0</v>
      </c>
      <c r="V164" s="46">
        <f>'Inputs (2)'!Q19</f>
        <v>0</v>
      </c>
      <c r="W164" s="12">
        <f>'Inputs (2)'!R19</f>
        <v>0</v>
      </c>
      <c r="X164" s="46">
        <f>'Inputs (2)'!S19</f>
        <v>0</v>
      </c>
      <c r="Y164" s="46">
        <f>'Inputs (2)'!T19</f>
        <v>0</v>
      </c>
      <c r="Z164" s="46">
        <f>'Inputs (2)'!U19</f>
        <v>0</v>
      </c>
      <c r="AA164" s="46">
        <f>'Inputs (2)'!V19</f>
        <v>0</v>
      </c>
      <c r="AB164" s="12">
        <f>'Inputs (2)'!W19</f>
        <v>0</v>
      </c>
      <c r="AC164" s="46">
        <f>'Inputs (2)'!X19</f>
        <v>0</v>
      </c>
      <c r="AD164" s="46">
        <f>'Inputs (2)'!Y19</f>
        <v>0</v>
      </c>
      <c r="AE164" s="46">
        <f>'Inputs (2)'!Z19</f>
        <v>0</v>
      </c>
      <c r="AF164" s="46">
        <f>'Inputs (2)'!AA19</f>
        <v>0</v>
      </c>
      <c r="AG164" s="12">
        <f>'Inputs (2)'!AB19</f>
        <v>0</v>
      </c>
      <c r="AH164" s="12">
        <f>'Inputs (2)'!AC19</f>
        <v>0</v>
      </c>
      <c r="AI164" s="12">
        <f>'Inputs (2)'!AD19</f>
        <v>0</v>
      </c>
      <c r="AJ164" s="12">
        <f>AI164</f>
        <v>0</v>
      </c>
      <c r="AK164" s="12">
        <f>AJ164</f>
        <v>0</v>
      </c>
      <c r="AL164" s="12">
        <f>AK164</f>
        <v>0</v>
      </c>
      <c r="AM164" s="12">
        <f>AL164</f>
        <v>0</v>
      </c>
      <c r="AN164" s="12">
        <f>AM164</f>
        <v>0</v>
      </c>
      <c r="AO164" s="12">
        <f>AN164</f>
        <v>0</v>
      </c>
      <c r="AP164" s="12">
        <f>AO164</f>
        <v>0</v>
      </c>
      <c r="AQ164" s="12">
        <f>AP164</f>
        <v>0</v>
      </c>
      <c r="AR164" s="12">
        <f>AQ164</f>
        <v>0</v>
      </c>
      <c r="AS164" s="12">
        <f>AR164</f>
        <v>0</v>
      </c>
      <c r="AT164" s="12">
        <f>AS164</f>
        <v>0</v>
      </c>
      <c r="AU164" s="12">
        <f>AT164</f>
        <v>0</v>
      </c>
      <c r="AV164" s="12">
        <f>AU164</f>
        <v>0</v>
      </c>
      <c r="AW164" s="12">
        <f>AV164</f>
        <v>0</v>
      </c>
      <c r="AX164" s="12">
        <f>AW164</f>
        <v>0</v>
      </c>
      <c r="AY164" s="12">
        <f>AX164</f>
        <v>0</v>
      </c>
      <c r="AZ164" s="12">
        <f>AY164</f>
        <v>0</v>
      </c>
      <c r="BA164" s="12">
        <f>AZ164</f>
        <v>0</v>
      </c>
      <c r="BB164" s="12">
        <f>BA164</f>
        <v>0</v>
      </c>
      <c r="BC164" s="12">
        <f>BB164</f>
        <v>0</v>
      </c>
      <c r="BD164" s="12">
        <f>BC164</f>
        <v>0</v>
      </c>
      <c r="BE164" s="12">
        <f>BD164</f>
        <v>0</v>
      </c>
      <c r="BF164" s="12">
        <f>BE164</f>
        <v>0</v>
      </c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>
      <c r="C165" s="14" t="inlineStr">
        <is>
          <t>Other current assets</t>
        </is>
      </c>
      <c r="D165" s="46" t="n"/>
      <c r="E165" s="46" t="n"/>
      <c r="F165" s="46" t="n"/>
      <c r="G165" s="46" t="n"/>
      <c r="H165" s="12" t="n"/>
      <c r="I165" s="46">
        <f>'Inputs (2)'!D20</f>
        <v>108.25489017</v>
      </c>
      <c r="J165" s="46">
        <f>'Inputs (2)'!E20</f>
        <v>133.5251024</v>
      </c>
      <c r="K165" s="46">
        <f>'Inputs (2)'!F20</f>
        <v>210.772</v>
      </c>
      <c r="L165" s="46">
        <f>'Inputs (2)'!G20</f>
        <v>80.008</v>
      </c>
      <c r="M165" s="12">
        <f>'Inputs (2)'!H20</f>
        <v>80.008</v>
      </c>
      <c r="N165" s="46">
        <f>'Inputs (2)'!I20</f>
        <v>134.872</v>
      </c>
      <c r="O165" s="46">
        <f>'Inputs (2)'!J20</f>
        <v>118.878</v>
      </c>
      <c r="P165" s="46">
        <f>'Inputs (2)'!K20</f>
        <v>148.438</v>
      </c>
      <c r="Q165" s="46">
        <f>'Inputs (2)'!L20</f>
        <v>470.989</v>
      </c>
      <c r="R165" s="12">
        <f>'Inputs (2)'!M20</f>
        <v>470.989</v>
      </c>
      <c r="S165" s="46">
        <f>'Inputs (2)'!N20</f>
        <v>528.817</v>
      </c>
      <c r="T165" s="46">
        <f>'Inputs (2)'!O20</f>
        <v>445.073</v>
      </c>
      <c r="U165" s="46">
        <f>'Inputs (2)'!P20</f>
        <v>381.748</v>
      </c>
      <c r="V165" s="46">
        <f>'Inputs (2)'!Q20</f>
        <v>536.114</v>
      </c>
      <c r="W165" s="12">
        <f>'Inputs (2)'!R20</f>
        <v>536.114</v>
      </c>
      <c r="X165" s="46">
        <f>'Inputs (2)'!S20</f>
        <v>620.182</v>
      </c>
      <c r="Y165" s="46">
        <f>'Inputs (2)'!T20</f>
        <v>713.704</v>
      </c>
      <c r="Z165" s="46">
        <f>'Inputs (2)'!U20</f>
        <v>761.47</v>
      </c>
      <c r="AA165" s="46">
        <f>'Inputs (2)'!V20</f>
        <v>858.659</v>
      </c>
      <c r="AB165" s="12">
        <f>'Inputs (2)'!W20</f>
        <v>858.659</v>
      </c>
      <c r="AC165" s="46">
        <f>'Inputs (2)'!X20</f>
        <v>997.175</v>
      </c>
      <c r="AD165" s="46">
        <f>'Inputs (2)'!Y20</f>
        <v>1047.061</v>
      </c>
      <c r="AE165" s="46">
        <f>'Inputs (2)'!Z20</f>
        <v>1510.787</v>
      </c>
      <c r="AF165" s="46">
        <f>'Inputs (2)'!AA20</f>
        <v>1700.881</v>
      </c>
      <c r="AG165" s="12">
        <f>'Inputs (2)'!AB20</f>
        <v>1700.881</v>
      </c>
      <c r="AH165" s="12">
        <f>'Inputs (2)'!AC20</f>
        <v>1733.934</v>
      </c>
      <c r="AI165" s="12">
        <f>'Inputs (2)'!AD20</f>
        <v>1748.953</v>
      </c>
      <c r="AJ165" s="12">
        <f>AI165</f>
        <v>1748.953</v>
      </c>
      <c r="AK165" s="12">
        <f>AJ165</f>
        <v>1748.953</v>
      </c>
      <c r="AL165" s="12">
        <f>AK165</f>
        <v>1748.953</v>
      </c>
      <c r="AM165" s="12">
        <f>AL165</f>
        <v>1748.953</v>
      </c>
      <c r="AN165" s="12">
        <f>AM165</f>
        <v>1748.953</v>
      </c>
      <c r="AO165" s="12">
        <f>AN165</f>
        <v>1748.953</v>
      </c>
      <c r="AP165" s="12">
        <f>AO165</f>
        <v>1748.953</v>
      </c>
      <c r="AQ165" s="12">
        <f>AP165</f>
        <v>1748.953</v>
      </c>
      <c r="AR165" s="12">
        <f>AQ165</f>
        <v>1748.953</v>
      </c>
      <c r="AS165" s="12">
        <f>AR165</f>
        <v>1748.953</v>
      </c>
      <c r="AT165" s="12">
        <f>AS165</f>
        <v>1748.953</v>
      </c>
      <c r="AU165" s="12">
        <f>AT165</f>
        <v>1748.953</v>
      </c>
      <c r="AV165" s="12">
        <f>AU165</f>
        <v>1748.953</v>
      </c>
      <c r="AW165" s="12">
        <f>AV165</f>
        <v>1748.953</v>
      </c>
      <c r="AX165" s="12">
        <f>AW165</f>
        <v>1748.953</v>
      </c>
      <c r="AY165" s="12">
        <f>AX165</f>
        <v>1748.953</v>
      </c>
      <c r="AZ165" s="12">
        <f>AY165</f>
        <v>1748.953</v>
      </c>
      <c r="BA165" s="12">
        <f>AZ165</f>
        <v>1748.953</v>
      </c>
      <c r="BB165" s="12">
        <f>BA165</f>
        <v>1748.953</v>
      </c>
      <c r="BC165" s="12">
        <f>BB165</f>
        <v>1748.953</v>
      </c>
      <c r="BD165" s="12">
        <f>BC165</f>
        <v>1748.953</v>
      </c>
      <c r="BE165" s="12">
        <f>BD165</f>
        <v>1748.953</v>
      </c>
      <c r="BF165" s="12">
        <f>BE165</f>
        <v>1748.953</v>
      </c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9" t="inlineStr">
        <is>
          <t>%(Var.)</t>
        </is>
      </c>
      <c r="D166" s="12" t="n"/>
      <c r="E166" s="40" t="n"/>
      <c r="F166" s="40" t="n"/>
      <c r="G166" s="40" t="n"/>
      <c r="H166" s="12" t="n"/>
      <c r="I166" s="40" t="str">
        <f>""</f>
        <v/>
      </c>
      <c r="J166" s="40">
        <f>IFERROR(IF(I165=0,"",J165/I165-1),"")</f>
        <v>0.233432523836258</v>
      </c>
      <c r="K166" s="40">
        <f>IFERROR(IF(J165=0,"",K165/J165-1),"")</f>
        <v>0.578519665677485</v>
      </c>
      <c r="L166" s="40">
        <f>IFERROR(IF(K165=0,"",L165/K165-1),"")</f>
        <v>-0.620404987379728</v>
      </c>
      <c r="M166" s="12">
        <f>IFERROR(IF(L165=0,"",M165/L165-1),"")</f>
        <v>0</v>
      </c>
      <c r="N166" s="40">
        <f>IFERROR(IF(M165=0,"",N165/M165-1),"")</f>
        <v>0.685731426857315</v>
      </c>
      <c r="O166" s="40">
        <f>IFERROR(IF(N165=0,"",O165/N165-1),"")</f>
        <v>-0.118586511655496</v>
      </c>
      <c r="P166" s="40">
        <f>IFERROR(IF(O165=0,"",P165/O165-1),"")</f>
        <v>0.248658288329211</v>
      </c>
      <c r="Q166" s="40">
        <f>IFERROR(IF(P165=0,"",Q165/P165-1),"")</f>
        <v>2.17296783842412</v>
      </c>
      <c r="R166" s="12">
        <f>IFERROR(IF(Q165=0,"",R165/Q165-1),"")</f>
        <v>0</v>
      </c>
      <c r="S166" s="40">
        <f>IFERROR(IF(R165=0,"",S165/R165-1),"")</f>
        <v>0.122779937535696</v>
      </c>
      <c r="T166" s="40">
        <f>IFERROR(IF(S165=0,"",T165/S165-1),"")</f>
        <v>-0.158361020920281</v>
      </c>
      <c r="U166" s="40">
        <f>IFERROR(IF(T165=0,"",U165/T165-1),"")</f>
        <v>-0.142280030466912</v>
      </c>
      <c r="V166" s="40">
        <f>IFERROR(IF(U165=0,"",V165/U165-1),"")</f>
        <v>0.404366231126293</v>
      </c>
      <c r="W166" s="12">
        <f>IFERROR(IF(V165=0,"",W165/V165-1),"")</f>
        <v>0</v>
      </c>
      <c r="X166" s="40">
        <f>IFERROR(IF(W165=0,"",X165/W165-1),"")</f>
        <v>0.156809932215909</v>
      </c>
      <c r="Y166" s="40">
        <f>IFERROR(IF(X165=0,"",Y165/X165-1),"")</f>
        <v>0.150797669071337</v>
      </c>
      <c r="Z166" s="40">
        <f>IFERROR(IF(Y165=0,"",Z165/Y165-1),"")</f>
        <v>0.0669269052716532</v>
      </c>
      <c r="AA166" s="40">
        <f>IFERROR(IF(Z165=0,"",AA165/Z165-1),"")</f>
        <v>0.127633393305055</v>
      </c>
      <c r="AB166" s="12">
        <f>IFERROR(IF(AA165=0,"",AB165/AA165-1),"")</f>
        <v>0</v>
      </c>
      <c r="AC166" s="40">
        <f>IFERROR(IF(AB165=0,"",AC165/AB165-1),"")</f>
        <v>0.161316657718605</v>
      </c>
      <c r="AD166" s="40">
        <f>IFERROR(IF(AC165=0,"",AD165/AC165-1),"")</f>
        <v>0.0500273271993381</v>
      </c>
      <c r="AE166" s="40">
        <f>IFERROR(IF(AD165=0,"",AE165/AD165-1),"")</f>
        <v>0.442883461422019</v>
      </c>
      <c r="AF166" s="55">
        <f>IFERROR(IF(AE165=0,"",AF165/AE165-1),"")</f>
        <v>0.125824487502209</v>
      </c>
      <c r="AG166" s="12">
        <f>IFERROR(IF(AF165=0,"",AG165/AF165-1),"")</f>
        <v>0</v>
      </c>
      <c r="AH166" s="12">
        <f>IFERROR(IF(AG165=0,"",AH165/AG165-1),"")</f>
        <v>0.0194328703771751</v>
      </c>
      <c r="AI166" s="12">
        <f>IFERROR(IF(AH165=0,"",AI165/AH165-1),"")</f>
        <v>0.00866180604336719</v>
      </c>
      <c r="AJ166" s="12">
        <f>IFERROR(IF(AI165=0,"",AJ165/AI165-1),"")</f>
        <v>0</v>
      </c>
      <c r="AK166" s="12">
        <f>IFERROR(IF(AJ165=0,"",AK165/AJ165-1),"")</f>
        <v>0</v>
      </c>
      <c r="AL166" s="12">
        <f>IFERROR(IF(AK165=0,"",AL165/AK165-1),"")</f>
        <v>0</v>
      </c>
      <c r="AM166" s="12">
        <f>IFERROR(IF(AL165=0,"",AM165/AL165-1),"")</f>
        <v>0</v>
      </c>
      <c r="AN166" s="12">
        <f>IFERROR(IF(AM165=0,"",AN165/AM165-1),"")</f>
        <v>0</v>
      </c>
      <c r="AO166" s="12">
        <f>IFERROR(IF(AN165=0,"",AO165/AN165-1),"")</f>
        <v>0</v>
      </c>
      <c r="AP166" s="12">
        <f>IFERROR(IF(AO165=0,"",AP165/AO165-1),"")</f>
        <v>0</v>
      </c>
      <c r="AQ166" s="12">
        <f>IFERROR(IF(AP165=0,"",AQ165/AP165-1),"")</f>
        <v>0</v>
      </c>
      <c r="AR166" s="12">
        <f>IFERROR(IF(AQ165=0,"",AR165/AQ165-1),"")</f>
        <v>0</v>
      </c>
      <c r="AS166" s="12">
        <f>IFERROR(IF(AR165=0,"",AS165/AR165-1),"")</f>
        <v>0</v>
      </c>
      <c r="AT166" s="12">
        <f>IFERROR(IF(AS165=0,"",AT165/AS165-1),"")</f>
        <v>0</v>
      </c>
      <c r="AU166" s="12">
        <f>IFERROR(IF(AT165=0,"",AU165/AT165-1),"")</f>
        <v>0</v>
      </c>
      <c r="AV166" s="12">
        <f>IFERROR(IF(AU165=0,"",AV165/AU165-1),"")</f>
        <v>0</v>
      </c>
      <c r="AW166" s="12">
        <f>IFERROR(IF(AV165=0,"",AW165/AV165-1),"")</f>
        <v>0</v>
      </c>
      <c r="AX166" s="12">
        <f>IFERROR(IF(AW165=0,"",AX165/AW165-1),"")</f>
        <v>0</v>
      </c>
      <c r="AY166" s="12">
        <f>IFERROR(IF(AX165=0,"",AY165/AX165-1),"")</f>
        <v>0</v>
      </c>
      <c r="AZ166" s="12">
        <f>IFERROR(IF(AY165=0,"",AZ165/AY165-1),"")</f>
        <v>0</v>
      </c>
      <c r="BA166" s="12">
        <f>IFERROR(IF(AZ165=0,"",BA165/AZ165-1),"")</f>
        <v>0</v>
      </c>
      <c r="BB166" s="12">
        <f>IFERROR(IF(BA165=0,"",BB165/BA165-1),"")</f>
        <v>0</v>
      </c>
      <c r="BC166" s="12">
        <f>IFERROR(IF(BB165=0,"",BC165/BB165-1),"")</f>
        <v>0</v>
      </c>
      <c r="BD166" s="12">
        <f>IFERROR(IF(BC165=0,"",BD165/BC165-1),"")</f>
        <v>0</v>
      </c>
      <c r="BE166" s="12">
        <f>IFERROR(IF(BD165=0,"",BE165/BD165-1),"")</f>
        <v>0</v>
      </c>
      <c r="BF166" s="12">
        <f>IFERROR(IF(BE165=0,"",BF165/BE165-1),"")</f>
        <v>0</v>
      </c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n"/>
      <c r="D167" s="12" t="n"/>
      <c r="E167" s="40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60" t="inlineStr">
        <is>
          <t xml:space="preserve">Impostos e Contribuições a Recuperar </t>
        </is>
      </c>
      <c r="D168" s="11" t="n"/>
      <c r="E168" s="11" t="n"/>
      <c r="F168" s="11" t="n"/>
      <c r="G168" s="11" t="n"/>
      <c r="H168" s="12" t="n"/>
      <c r="I168" s="11" t="n"/>
      <c r="J168" s="11" t="n"/>
      <c r="K168" s="11" t="n"/>
      <c r="L168" s="11" t="n"/>
      <c r="M168" s="12" t="n"/>
      <c r="N168" s="11" t="n"/>
      <c r="O168" s="11" t="n"/>
      <c r="P168" s="11" t="n"/>
      <c r="Q168" s="11" t="n"/>
      <c r="R168" s="12" t="n"/>
      <c r="S168" s="11" t="n"/>
      <c r="T168" s="11" t="n"/>
      <c r="U168" s="11" t="n"/>
      <c r="V168" s="11" t="n"/>
      <c r="W168" s="12" t="n"/>
      <c r="X168" s="11" t="n"/>
      <c r="Y168" s="11" t="n"/>
      <c r="Z168" s="11" t="n"/>
      <c r="AA168" s="11" t="n"/>
      <c r="AB168" s="12" t="n"/>
      <c r="AC168" s="11" t="n"/>
      <c r="AD168" s="11" t="n"/>
      <c r="AE168" s="11" t="n"/>
      <c r="AF168" s="11" t="n"/>
      <c r="AG168" s="12">
        <f>AF168</f>
        <v>0</v>
      </c>
      <c r="AH168" s="61">
        <f>IFERROR(AG168*AH15/AG15,"")</f>
        <v>0</v>
      </c>
      <c r="AI168" s="61">
        <f>IFERROR(AH168*AI15/AH15,"")</f>
        <v>0</v>
      </c>
      <c r="AJ168" s="61">
        <f>IFERROR(AI168*AJ15/AI15,"")</f>
        <v>0</v>
      </c>
      <c r="AK168" s="61">
        <f>IFERROR(AJ168*AK15/AJ15,"")</f>
        <v>0</v>
      </c>
      <c r="AL168" s="12">
        <f>IFERROR(AK168,"")</f>
        <v>0</v>
      </c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60" t="inlineStr">
        <is>
          <t>Outros Créditos</t>
        </is>
      </c>
      <c r="D169" s="11" t="n"/>
      <c r="E169" s="11" t="n"/>
      <c r="F169" s="11" t="n"/>
      <c r="G169" s="11" t="n"/>
      <c r="H169" s="12" t="n"/>
      <c r="I169" s="11" t="n"/>
      <c r="J169" s="11" t="n"/>
      <c r="K169" s="11" t="n"/>
      <c r="L169" s="11" t="n"/>
      <c r="M169" s="12" t="n"/>
      <c r="N169" s="11" t="n"/>
      <c r="O169" s="11" t="n"/>
      <c r="P169" s="11" t="n"/>
      <c r="Q169" s="11" t="n"/>
      <c r="R169" s="12" t="n"/>
      <c r="S169" s="11" t="n"/>
      <c r="T169" s="11" t="n"/>
      <c r="U169" s="11" t="n"/>
      <c r="V169" s="11" t="n"/>
      <c r="W169" s="12" t="n"/>
      <c r="X169" s="11" t="n"/>
      <c r="Y169" s="11" t="n"/>
      <c r="Z169" s="11" t="n"/>
      <c r="AA169" s="11" t="n"/>
      <c r="AB169" s="12" t="n"/>
      <c r="AC169" s="11" t="n"/>
      <c r="AD169" s="11" t="n"/>
      <c r="AE169" s="11" t="n"/>
      <c r="AF169" s="11" t="n"/>
      <c r="AG169" s="12">
        <f>AF169</f>
        <v>0</v>
      </c>
      <c r="AH169" s="12">
        <f>AG169</f>
        <v>0</v>
      </c>
      <c r="AI169" s="12">
        <f>AH169</f>
        <v>0</v>
      </c>
      <c r="AJ169" s="12">
        <f>AI169</f>
        <v>0</v>
      </c>
      <c r="AK169" s="12">
        <f>AJ169</f>
        <v>0</v>
      </c>
      <c r="AL169" s="12">
        <f>AK169</f>
        <v>0</v>
      </c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collapsed="1">
      <c r="C171" s="14" t="inlineStr">
        <is>
          <t>Equity in affiliates</t>
        </is>
      </c>
      <c r="D171" s="46" t="n"/>
      <c r="E171" s="46" t="n"/>
      <c r="F171" s="46" t="n"/>
      <c r="G171" s="46" t="n"/>
      <c r="H171" s="12" t="n"/>
      <c r="I171" s="46">
        <f>'Inputs (2)'!D21</f>
        <v>0</v>
      </c>
      <c r="J171" s="46">
        <f>'Inputs (2)'!E21</f>
        <v>0</v>
      </c>
      <c r="K171" s="46">
        <f>'Inputs (2)'!F21</f>
        <v>0</v>
      </c>
      <c r="L171" s="46">
        <f>'Inputs (2)'!G21</f>
        <v>0</v>
      </c>
      <c r="M171" s="12">
        <f>'Inputs (2)'!H21</f>
        <v>0</v>
      </c>
      <c r="N171" s="46">
        <f>'Inputs (2)'!I21</f>
        <v>0</v>
      </c>
      <c r="O171" s="46">
        <f>'Inputs (2)'!J21</f>
        <v>0</v>
      </c>
      <c r="P171" s="46">
        <f>'Inputs (2)'!K21</f>
        <v>0</v>
      </c>
      <c r="Q171" s="46">
        <f>'Inputs (2)'!L21</f>
        <v>0</v>
      </c>
      <c r="R171" s="12">
        <f>'Inputs (2)'!M21</f>
        <v>0</v>
      </c>
      <c r="S171" s="46">
        <f>'Inputs (2)'!N21</f>
        <v>0</v>
      </c>
      <c r="T171" s="46">
        <f>'Inputs (2)'!O21</f>
        <v>0</v>
      </c>
      <c r="U171" s="46">
        <f>'Inputs (2)'!P21</f>
        <v>0</v>
      </c>
      <c r="V171" s="46">
        <f>'Inputs (2)'!Q21</f>
        <v>19.238</v>
      </c>
      <c r="W171" s="12">
        <f>'Inputs (2)'!R21</f>
        <v>19.238</v>
      </c>
      <c r="X171" s="46">
        <f>'Inputs (2)'!S21</f>
        <v>43.168</v>
      </c>
      <c r="Y171" s="46">
        <f>'Inputs (2)'!T21</f>
        <v>43.164</v>
      </c>
      <c r="Z171" s="46">
        <f>'Inputs (2)'!U21</f>
        <v>43.144</v>
      </c>
      <c r="AA171" s="46">
        <f>'Inputs (2)'!V21</f>
        <v>43.144</v>
      </c>
      <c r="AB171" s="12">
        <f>'Inputs (2)'!W21</f>
        <v>43.144</v>
      </c>
      <c r="AC171" s="46">
        <f>'Inputs (2)'!X21</f>
        <v>55.844</v>
      </c>
      <c r="AD171" s="46">
        <f>'Inputs (2)'!Y21</f>
        <v>428.234</v>
      </c>
      <c r="AE171" s="46">
        <f>'Inputs (2)'!Z21</f>
        <v>55.844</v>
      </c>
      <c r="AF171" s="46">
        <f>'Inputs (2)'!AA21</f>
        <v>0</v>
      </c>
      <c r="AG171" s="12">
        <f>'Inputs (2)'!AB21</f>
        <v>0</v>
      </c>
      <c r="AH171" s="12">
        <f>'Inputs (2)'!AC21</f>
        <v>0</v>
      </c>
      <c r="AI171" s="12">
        <f>'Inputs (2)'!AD21</f>
        <v>0</v>
      </c>
      <c r="AJ171" s="12">
        <f>AI171+AJ145</f>
        <v>0</v>
      </c>
      <c r="AK171" s="12">
        <f>AJ171+AK145</f>
        <v>0</v>
      </c>
      <c r="AL171" s="12">
        <f>AK171</f>
        <v>0</v>
      </c>
      <c r="AM171" s="12">
        <f>AL171+AM145</f>
        <v>0</v>
      </c>
      <c r="AN171" s="12">
        <f>AM171+AN145</f>
        <v>0</v>
      </c>
      <c r="AO171" s="12">
        <f>AN171+AO145</f>
        <v>0</v>
      </c>
      <c r="AP171" s="12">
        <f>AO171+AP145</f>
        <v>0</v>
      </c>
      <c r="AQ171" s="12">
        <f>AP171</f>
        <v>0</v>
      </c>
      <c r="AR171" s="12">
        <f>AQ171+AR145</f>
        <v>0</v>
      </c>
      <c r="AS171" s="12">
        <f>AR171+AS145</f>
        <v>0</v>
      </c>
      <c r="AT171" s="12">
        <f>AS171+AT145</f>
        <v>0</v>
      </c>
      <c r="AU171" s="12">
        <f>AT171+AU145</f>
        <v>0</v>
      </c>
      <c r="AV171" s="12">
        <f>AU171</f>
        <v>0</v>
      </c>
      <c r="AW171" s="12">
        <f>AV171+AW145</f>
        <v>0</v>
      </c>
      <c r="AX171" s="12">
        <f>AW171+AX145</f>
        <v>0</v>
      </c>
      <c r="AY171" s="12">
        <f>AX171+AY145</f>
        <v>0</v>
      </c>
      <c r="AZ171" s="12">
        <f>AY171+AZ145</f>
        <v>0</v>
      </c>
      <c r="BA171" s="12">
        <f>AZ171</f>
        <v>0</v>
      </c>
      <c r="BB171" s="12">
        <f>BA171+BB145</f>
        <v>0</v>
      </c>
      <c r="BC171" s="12">
        <f>BB171+BC145</f>
        <v>0</v>
      </c>
      <c r="BD171" s="12">
        <f>BC171+BD145</f>
        <v>0</v>
      </c>
      <c r="BE171" s="12">
        <f>BD171+BE145</f>
        <v>0</v>
      </c>
      <c r="BF171" s="12">
        <f>BE171</f>
        <v>0</v>
      </c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Equity in Income - % YoY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>
        <f>IF(I145=0,0,N145/I145-1)</f>
        <v>0</v>
      </c>
      <c r="O173" s="12">
        <f>IF(J145=0,0,O145/J145-1)</f>
        <v>0</v>
      </c>
      <c r="P173" s="12">
        <f>IF(K145=0,0,P145/K145-1)</f>
        <v>0</v>
      </c>
      <c r="Q173" s="12">
        <f>IF(L145=0,0,Q145/L145-1)</f>
        <v>0</v>
      </c>
      <c r="R173" s="12" t="n"/>
      <c r="S173" s="12">
        <f>IF(N145=0,0,S145/N145-1)</f>
        <v>0</v>
      </c>
      <c r="T173" s="12">
        <f>IF(O145=0,0,T145/O145-1)</f>
        <v>0</v>
      </c>
      <c r="U173" s="12">
        <f>IF(P145=0,0,U145/P145-1)</f>
        <v>0</v>
      </c>
      <c r="V173" s="12">
        <f>IF(Q145=0,0,V145/Q145-1)</f>
        <v>0</v>
      </c>
      <c r="W173" s="12" t="n"/>
      <c r="X173" s="12">
        <f>IF(S145=0,0,X145/S145-1)</f>
        <v>0</v>
      </c>
      <c r="Y173" s="12">
        <f>IF(T145=0,0,Y145/T145-1)</f>
        <v>0</v>
      </c>
      <c r="Z173" s="12">
        <f>IF(U145=0,0,Z145/U145-1)</f>
        <v>0</v>
      </c>
      <c r="AA173" s="12">
        <f>IF(V145=0,0,AA145/V145-1)</f>
        <v>0</v>
      </c>
      <c r="AB173" s="12" t="n"/>
      <c r="AC173" s="12">
        <f>IF(X145=0,0,AC145/X145-1)</f>
        <v>0</v>
      </c>
      <c r="AD173" s="12">
        <f>IF(Y145=0,0,AD145/Y145-1)</f>
        <v>0</v>
      </c>
      <c r="AE173" s="12">
        <f>IF(Z145=0,0,AE145/Z145-1)</f>
        <v>0</v>
      </c>
      <c r="AF173" s="12">
        <f>IF(AA145=0,0,AF145/AA145-1)</f>
        <v>0</v>
      </c>
      <c r="AG173" s="12" t="n"/>
      <c r="AH173" s="11">
        <f>IF(AC145=0,0,AH145/AC145-1)</f>
        <v>0</v>
      </c>
      <c r="AI173" s="11">
        <f>IF(AD145=0,0,AI145/AD145-1)</f>
        <v>0</v>
      </c>
      <c r="AJ173" s="11" t="n"/>
      <c r="AK173" s="11" t="n"/>
      <c r="AL173" s="12" t="n"/>
      <c r="AM173" s="11" t="n"/>
      <c r="AN173" s="11" t="n"/>
      <c r="AO173" s="11" t="n"/>
      <c r="AP173" s="11" t="n"/>
      <c r="AQ173" s="12" t="n"/>
      <c r="AR173" s="11" t="n"/>
      <c r="AS173" s="11" t="n"/>
      <c r="AT173" s="11" t="n"/>
      <c r="AU173" s="11" t="n"/>
      <c r="AV173" s="12" t="n"/>
      <c r="AW173" s="11" t="n"/>
      <c r="AX173" s="11" t="n"/>
      <c r="AY173" s="11" t="n"/>
      <c r="AZ173" s="11" t="n"/>
      <c r="BA173" s="12" t="n"/>
      <c r="BB173" s="11" t="n"/>
      <c r="BC173" s="11" t="n"/>
      <c r="BD173" s="11" t="n"/>
      <c r="BE173" s="11" t="n"/>
      <c r="BF173" s="12" t="n"/>
      <c r="BG173" s="11" t="n"/>
      <c r="BH173" s="11" t="n"/>
      <c r="BI173" s="11" t="n"/>
      <c r="BJ173" s="11" t="n"/>
      <c r="BK173" s="12" t="n"/>
      <c r="BL173" s="11" t="n"/>
      <c r="BM173" s="11" t="n"/>
      <c r="BN173" s="11" t="n"/>
      <c r="BO173" s="11" t="n"/>
      <c r="BP173" s="12" t="n"/>
      <c r="BQ173" s="11" t="n"/>
      <c r="BR173" s="11" t="n"/>
      <c r="BS173" s="11" t="n"/>
      <c r="BT173" s="11" t="n"/>
      <c r="BU173" s="12" t="n"/>
      <c r="BV173" s="11" t="n"/>
      <c r="BW173" s="11" t="n"/>
      <c r="BX173" s="11" t="n"/>
      <c r="BY173" s="11" t="n"/>
      <c r="BZ173" s="12" t="n"/>
      <c r="CA173" s="11" t="n"/>
      <c r="CB173" s="11" t="n"/>
      <c r="CC173" s="11" t="n"/>
      <c r="CD173" s="11" t="n"/>
      <c r="CE173" s="12" t="n"/>
      <c r="CF173" s="11" t="n"/>
      <c r="CG173" s="11" t="n"/>
      <c r="CH173" s="11" t="n"/>
      <c r="CI173" s="11" t="n"/>
      <c r="CJ173" s="12" t="n"/>
      <c r="CK173" s="11" t="n"/>
      <c r="CL173" s="11" t="n"/>
      <c r="CM173" s="11" t="n"/>
      <c r="CN173" s="11" t="n"/>
      <c r="CO173" s="12" t="n"/>
      <c r="CP173" s="11" t="n"/>
      <c r="CQ173" s="11" t="n"/>
      <c r="CR173" s="11" t="n"/>
      <c r="CS173" s="11" t="n"/>
      <c r="CT173" s="12" t="n"/>
      <c r="CU173" s="11" t="n"/>
      <c r="CV173" s="11" t="n"/>
      <c r="CW173" s="11" t="n"/>
      <c r="CX173" s="11" t="n"/>
      <c r="CY173" s="12" t="n"/>
    </row>
    <row r="174" hidden="1" outlineLevel="1">
      <c r="C174" s="57" t="inlineStr">
        <is>
          <t>Dividends (enter as -)</t>
        </is>
      </c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1" t="n"/>
      <c r="AI174" s="11" t="n"/>
      <c r="AJ174" s="11" t="n"/>
      <c r="AK174" s="11" t="n"/>
      <c r="AL174" s="12" t="n"/>
      <c r="AM174" s="11" t="n"/>
      <c r="AN174" s="11" t="n"/>
      <c r="AO174" s="11" t="n"/>
      <c r="AP174" s="11" t="n"/>
      <c r="AQ174" s="12" t="n"/>
      <c r="AR174" s="11" t="n"/>
      <c r="AS174" s="11" t="n"/>
      <c r="AT174" s="11" t="n"/>
      <c r="AU174" s="11" t="n"/>
      <c r="AV174" s="12" t="n"/>
      <c r="AW174" s="11" t="n"/>
      <c r="AX174" s="11" t="n"/>
      <c r="AY174" s="11" t="n"/>
      <c r="AZ174" s="11" t="n"/>
      <c r="BA174" s="12" t="n"/>
      <c r="BB174" s="11" t="n"/>
      <c r="BC174" s="11" t="n"/>
      <c r="BD174" s="11" t="n"/>
      <c r="BE174" s="11" t="n"/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collapsed="1">
      <c r="C176" s="14" t="inlineStr">
        <is>
          <t>PP&amp;E</t>
        </is>
      </c>
      <c r="D176" s="46" t="n"/>
      <c r="E176" s="46" t="n"/>
      <c r="F176" s="46" t="n"/>
      <c r="G176" s="46" t="n"/>
      <c r="H176" s="12" t="n"/>
      <c r="I176" s="46">
        <f>'Inputs (2)'!D22</f>
        <v>1591.003531</v>
      </c>
      <c r="J176" s="46">
        <f>'Inputs (2)'!E22</f>
        <v>1809.85866171</v>
      </c>
      <c r="K176" s="46">
        <f>'Inputs (2)'!F22</f>
        <v>2007.877</v>
      </c>
      <c r="L176" s="46">
        <f>'Inputs (2)'!G22</f>
        <v>2581.885</v>
      </c>
      <c r="M176" s="12">
        <f>'Inputs (2)'!H22</f>
        <v>2581.885</v>
      </c>
      <c r="N176" s="46">
        <f>'Inputs (2)'!I22</f>
        <v>2857.882</v>
      </c>
      <c r="O176" s="46">
        <f>'Inputs (2)'!J22</f>
        <v>2953.797</v>
      </c>
      <c r="P176" s="46">
        <f>'Inputs (2)'!K22</f>
        <v>3018.884</v>
      </c>
      <c r="Q176" s="46">
        <f>'Inputs (2)'!L22</f>
        <v>2960.185</v>
      </c>
      <c r="R176" s="12">
        <f>'Inputs (2)'!M22</f>
        <v>2960.185</v>
      </c>
      <c r="S176" s="46">
        <f>'Inputs (2)'!N22</f>
        <v>3105.771</v>
      </c>
      <c r="T176" s="46">
        <f>'Inputs (2)'!O22</f>
        <v>3276.785</v>
      </c>
      <c r="U176" s="46">
        <f>'Inputs (2)'!P22</f>
        <v>3504.174</v>
      </c>
      <c r="V176" s="46">
        <f>'Inputs (2)'!Q22</f>
        <v>3730.515</v>
      </c>
      <c r="W176" s="12">
        <f>'Inputs (2)'!R22</f>
        <v>3730.515</v>
      </c>
      <c r="X176" s="46">
        <f>'Inputs (2)'!S22</f>
        <v>3996.864</v>
      </c>
      <c r="Y176" s="46">
        <f>'Inputs (2)'!T22</f>
        <v>4215.529</v>
      </c>
      <c r="Z176" s="46">
        <f>'Inputs (2)'!U22</f>
        <v>4375.436</v>
      </c>
      <c r="AA176" s="46">
        <f>'Inputs (2)'!V22</f>
        <v>4382.427</v>
      </c>
      <c r="AB176" s="12">
        <f>'Inputs (2)'!W22</f>
        <v>4382.427</v>
      </c>
      <c r="AC176" s="46">
        <f>'Inputs (2)'!X22</f>
        <v>4531.517</v>
      </c>
      <c r="AD176" s="46">
        <f>'Inputs (2)'!Y22</f>
        <v>4792.495</v>
      </c>
      <c r="AE176" s="46">
        <f>'Inputs (2)'!Z22</f>
        <v>5488.702</v>
      </c>
      <c r="AF176" s="46">
        <f>'Inputs (2)'!AA22</f>
        <v>5747.597</v>
      </c>
      <c r="AG176" s="12">
        <f>'Inputs (2)'!AB22</f>
        <v>5747.597</v>
      </c>
      <c r="AH176" s="12">
        <f>'Inputs (2)'!AC22</f>
        <v>5777.757</v>
      </c>
      <c r="AI176" s="12">
        <f>'Inputs (2)'!AD22</f>
        <v>5706.318</v>
      </c>
      <c r="AJ176" s="12">
        <f>AJ181</f>
        <v>5996.8734306742</v>
      </c>
      <c r="AK176" s="12">
        <f>AK181</f>
        <v>6281.66243917863</v>
      </c>
      <c r="AL176" s="12">
        <f>AK176</f>
        <v>6281.66243917863</v>
      </c>
      <c r="AM176" s="12">
        <f>AM181</f>
        <v>6535.47123412738</v>
      </c>
      <c r="AN176" s="12">
        <f>AN181</f>
        <v>6801.4326725555</v>
      </c>
      <c r="AO176" s="12">
        <f>AO181</f>
        <v>7141.79559311019</v>
      </c>
      <c r="AP176" s="12">
        <f>AP181</f>
        <v>7475.40360192118</v>
      </c>
      <c r="AQ176" s="12">
        <f>AP176</f>
        <v>7475.40360192118</v>
      </c>
      <c r="AR176" s="12">
        <f>AR181</f>
        <v>7771.45167403259</v>
      </c>
      <c r="AS176" s="12">
        <f>AS181</f>
        <v>8081.67485254191</v>
      </c>
      <c r="AT176" s="12">
        <f>AT181</f>
        <v>8478.68153022134</v>
      </c>
      <c r="AU176" s="12">
        <f>AU181</f>
        <v>8867.80913263308</v>
      </c>
      <c r="AV176" s="12">
        <f>AU176</f>
        <v>8867.80913263308</v>
      </c>
      <c r="AW176" s="12">
        <f>AW181</f>
        <v>9211.64577153424</v>
      </c>
      <c r="AX176" s="12">
        <f>AX181</f>
        <v>9571.94568582567</v>
      </c>
      <c r="AY176" s="12">
        <f>AY181</f>
        <v>10033.0378344793</v>
      </c>
      <c r="AZ176" s="12">
        <f>AZ181</f>
        <v>10484.9790545747</v>
      </c>
      <c r="BA176" s="12">
        <f>AZ176</f>
        <v>10484.9790545747</v>
      </c>
      <c r="BB176" s="12">
        <f>BB181</f>
        <v>10882.599186133</v>
      </c>
      <c r="BC176" s="12">
        <f>BC181</f>
        <v>11299.2578056996</v>
      </c>
      <c r="BD176" s="12">
        <f>BD181</f>
        <v>11832.4747467273</v>
      </c>
      <c r="BE176" s="12">
        <f>BE181</f>
        <v>12355.1093558988</v>
      </c>
      <c r="BF176" s="12">
        <f>BE176</f>
        <v>12355.1093558988</v>
      </c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Capital expenditures</t>
        </is>
      </c>
      <c r="D178" s="12" t="n"/>
      <c r="E178" s="12" t="n"/>
      <c r="F178" s="12" t="n"/>
      <c r="G178" s="12" t="n"/>
      <c r="H178" s="12" t="n"/>
      <c r="I178" s="12" t="n"/>
      <c r="J178" s="12">
        <f>J176-I176-J80</f>
        <v>282.58813071</v>
      </c>
      <c r="K178" s="12">
        <f>K176-J176-K80</f>
        <v>269.93633829</v>
      </c>
      <c r="L178" s="12">
        <f>L176-K176-L80</f>
        <v>641.073</v>
      </c>
      <c r="M178" s="12" t="n"/>
      <c r="N178" s="12">
        <f>N176-M176-N80</f>
        <v>348.192</v>
      </c>
      <c r="O178" s="12">
        <f>O176-N176-O80</f>
        <v>179.645</v>
      </c>
      <c r="P178" s="12">
        <f>P176-O176-P80</f>
        <v>149.307</v>
      </c>
      <c r="Q178" s="12">
        <f>Q176-P176-Q80</f>
        <v>30.3229999999999</v>
      </c>
      <c r="R178" s="12" t="n"/>
      <c r="S178" s="12">
        <f>S176-R176-S80</f>
        <v>243.587</v>
      </c>
      <c r="T178" s="12">
        <f>T176-S176-T80</f>
        <v>263.159</v>
      </c>
      <c r="U178" s="12">
        <f>U176-T176-U80</f>
        <v>325.917</v>
      </c>
      <c r="V178" s="12">
        <f>V176-U176-V80</f>
        <v>291.059</v>
      </c>
      <c r="W178" s="12" t="n"/>
      <c r="X178" s="12">
        <f>X176-W176-X80</f>
        <v>370.92</v>
      </c>
      <c r="Y178" s="12">
        <f>Y176-X176-Y80</f>
        <v>303.974</v>
      </c>
      <c r="Z178" s="12">
        <f>Z176-Y176-Z80</f>
        <v>255.400999999999</v>
      </c>
      <c r="AA178" s="12">
        <f>AA176-Z176-AA80</f>
        <v>98.363</v>
      </c>
      <c r="AB178" s="12" t="n"/>
      <c r="AC178" s="12">
        <f>AC176-AB176-AC80</f>
        <v>254.384</v>
      </c>
      <c r="AD178" s="12">
        <f>AD176-AC176-AD80</f>
        <v>374.071</v>
      </c>
      <c r="AE178" s="12">
        <f>AE176-AD176-AE80</f>
        <v>858.372</v>
      </c>
      <c r="AF178" s="11">
        <f>AF176-AE176-AF80</f>
        <v>417.939</v>
      </c>
      <c r="AG178" s="12">
        <f>SUM(AC178:AF178)</f>
        <v>1904.766</v>
      </c>
      <c r="AH178" s="11">
        <f>AH176-AG176-AH80</f>
        <v>188.61</v>
      </c>
      <c r="AI178" s="11">
        <f>AI176-AH176-AI80</f>
        <v>106.251000000001</v>
      </c>
      <c r="AJ178" s="11">
        <f>AJ15*Control!$B$24</f>
        <v>480.837810110224</v>
      </c>
      <c r="AK178" s="11">
        <f>AK15*Control!$B$24</f>
        <v>471.295005138893</v>
      </c>
      <c r="AL178" s="12" t="n"/>
      <c r="AM178" s="11">
        <f>AM15*Control!$C$24</f>
        <v>420.026102649989</v>
      </c>
      <c r="AN178" s="11">
        <f>AN15*Control!$C$24</f>
        <v>440.137413129065</v>
      </c>
      <c r="AO178" s="11">
        <f>AO15*Control!$C$24</f>
        <v>563.263818482013</v>
      </c>
      <c r="AP178" s="11">
        <f>AP15*Control!$C$24</f>
        <v>552.085170184889</v>
      </c>
      <c r="AQ178" s="12" t="n"/>
      <c r="AR178" s="11">
        <f>AR15*Control!$D$24</f>
        <v>489.927537582396</v>
      </c>
      <c r="AS178" s="11">
        <f>AS15*Control!$D$24</f>
        <v>513.385805433857</v>
      </c>
      <c r="AT178" s="11">
        <f>AT15*Control!$D$24</f>
        <v>657.00310970461</v>
      </c>
      <c r="AU178" s="11">
        <f>AU15*Control!$D$24</f>
        <v>643.964092369362</v>
      </c>
      <c r="AV178" s="12" t="n"/>
      <c r="AW178" s="11">
        <f>AW15*Control!$E$24</f>
        <v>569.012446613949</v>
      </c>
      <c r="AX178" s="11">
        <f>AX15*Control!$E$24</f>
        <v>596.257386650087</v>
      </c>
      <c r="AY178" s="11">
        <f>AY15*Control!$E$24</f>
        <v>763.057632422059</v>
      </c>
      <c r="AZ178" s="11">
        <f>AZ15*Control!$E$24</f>
        <v>747.913835459793</v>
      </c>
      <c r="BA178" s="12" t="n"/>
      <c r="BB178" s="11">
        <f>BB15*Control!$F$24</f>
        <v>658.018309520431</v>
      </c>
      <c r="BC178" s="11">
        <f>BC15*Control!$F$24</f>
        <v>689.52494789407</v>
      </c>
      <c r="BD178" s="11">
        <f>BD15*Control!$F$24</f>
        <v>882.41636249072</v>
      </c>
      <c r="BE178" s="11">
        <f>BE15*Control!$F$24</f>
        <v>864.903747896558</v>
      </c>
      <c r="BF178" s="12" t="n"/>
      <c r="BG178" s="11" t="n"/>
      <c r="BH178" s="11" t="n"/>
      <c r="BI178" s="11" t="n"/>
      <c r="BJ178" s="11" t="n"/>
      <c r="BK178" s="12" t="n"/>
      <c r="BL178" s="11" t="n"/>
      <c r="BM178" s="11" t="n"/>
      <c r="BN178" s="11" t="n"/>
      <c r="BO178" s="11" t="n"/>
      <c r="BP178" s="12" t="n"/>
      <c r="BQ178" s="11" t="n"/>
      <c r="BR178" s="11" t="n"/>
      <c r="BS178" s="11" t="n"/>
      <c r="BT178" s="11" t="n"/>
      <c r="BU178" s="12" t="n"/>
      <c r="BV178" s="11" t="n"/>
      <c r="BW178" s="11" t="n"/>
      <c r="BX178" s="11" t="n"/>
      <c r="BY178" s="11" t="n"/>
      <c r="BZ178" s="12" t="n"/>
      <c r="CA178" s="11" t="n"/>
      <c r="CB178" s="11" t="n"/>
      <c r="CC178" s="11" t="n"/>
      <c r="CD178" s="11" t="n"/>
      <c r="CE178" s="12" t="n"/>
      <c r="CF178" s="11" t="n"/>
      <c r="CG178" s="11" t="n"/>
      <c r="CH178" s="11" t="n"/>
      <c r="CI178" s="11" t="n"/>
      <c r="CJ178" s="12" t="n"/>
      <c r="CK178" s="11" t="n"/>
      <c r="CL178" s="11" t="n"/>
      <c r="CM178" s="11" t="n"/>
      <c r="CN178" s="11" t="n"/>
      <c r="CO178" s="12" t="n"/>
      <c r="CP178" s="11" t="n"/>
      <c r="CQ178" s="11" t="n"/>
      <c r="CR178" s="11" t="n"/>
      <c r="CS178" s="11" t="n"/>
      <c r="CT178" s="12" t="n"/>
      <c r="CU178" s="11" t="n"/>
      <c r="CV178" s="11" t="n"/>
      <c r="CW178" s="11" t="n"/>
      <c r="CX178" s="11" t="n"/>
      <c r="CY178" s="12" t="n"/>
    </row>
    <row r="179" hidden="1" outlineLevel="1">
      <c r="C179" s="57" t="inlineStr">
        <is>
          <t>Recurring asset sales (enter as -)</t>
        </is>
      </c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>
        <f>SUM(I179:L179)</f>
        <v>0</v>
      </c>
      <c r="N179" s="12" t="n"/>
      <c r="O179" s="12" t="n"/>
      <c r="P179" s="12" t="n"/>
      <c r="Q179" s="12" t="n"/>
      <c r="R179" s="12">
        <f>SUM(N179:Q179)</f>
        <v>0</v>
      </c>
      <c r="S179" s="12" t="n"/>
      <c r="T179" s="12" t="n"/>
      <c r="U179" s="12" t="n"/>
      <c r="V179" s="12" t="n"/>
      <c r="W179" s="12">
        <f>SUM(S179:V179)</f>
        <v>0</v>
      </c>
      <c r="X179" s="12" t="n"/>
      <c r="Y179" s="12" t="n"/>
      <c r="Z179" s="12" t="n"/>
      <c r="AA179" s="12" t="n"/>
      <c r="AB179" s="12">
        <f>SUM(X179:AA179)</f>
        <v>0</v>
      </c>
      <c r="AC179" s="12" t="n"/>
      <c r="AD179" s="12" t="n"/>
      <c r="AE179" s="12" t="n"/>
      <c r="AF179" s="11" t="n"/>
      <c r="AG179" s="12">
        <f>SUM(AC179:AF179)</f>
        <v>0</v>
      </c>
      <c r="AH179" s="11" t="n"/>
      <c r="AI179" s="11" t="n"/>
      <c r="AJ179" s="11">
        <f>0</f>
        <v>0</v>
      </c>
      <c r="AK179" s="11">
        <f>0</f>
        <v>0</v>
      </c>
      <c r="AL179" s="12" t="n"/>
      <c r="AM179" s="11">
        <f>0</f>
        <v>0</v>
      </c>
      <c r="AN179" s="11">
        <f>0</f>
        <v>0</v>
      </c>
      <c r="AO179" s="11">
        <f>0</f>
        <v>0</v>
      </c>
      <c r="AP179" s="11">
        <f>0</f>
        <v>0</v>
      </c>
      <c r="AQ179" s="12" t="n"/>
      <c r="AR179" s="11">
        <f>0</f>
        <v>0</v>
      </c>
      <c r="AS179" s="11">
        <f>0</f>
        <v>0</v>
      </c>
      <c r="AT179" s="11">
        <f>0</f>
        <v>0</v>
      </c>
      <c r="AU179" s="11">
        <f>0</f>
        <v>0</v>
      </c>
      <c r="AV179" s="12" t="n"/>
      <c r="AW179" s="11">
        <f>0</f>
        <v>0</v>
      </c>
      <c r="AX179" s="11">
        <f>0</f>
        <v>0</v>
      </c>
      <c r="AY179" s="11">
        <f>0</f>
        <v>0</v>
      </c>
      <c r="AZ179" s="11">
        <f>0</f>
        <v>0</v>
      </c>
      <c r="BA179" s="12" t="n"/>
      <c r="BB179" s="11">
        <f>0</f>
        <v>0</v>
      </c>
      <c r="BC179" s="11">
        <f>0</f>
        <v>0</v>
      </c>
      <c r="BD179" s="11">
        <f>0</f>
        <v>0</v>
      </c>
      <c r="BE179" s="11">
        <f>0</f>
        <v>0</v>
      </c>
      <c r="BF179" s="12" t="n"/>
      <c r="BG179" s="11" t="n"/>
      <c r="BH179" s="11" t="n"/>
      <c r="BI179" s="11" t="n"/>
      <c r="BJ179" s="11" t="n"/>
      <c r="BK179" s="12" t="n"/>
      <c r="BL179" s="11" t="n"/>
      <c r="BM179" s="11" t="n"/>
      <c r="BN179" s="11" t="n"/>
      <c r="BO179" s="11" t="n"/>
      <c r="BP179" s="12" t="n"/>
      <c r="BQ179" s="11" t="n"/>
      <c r="BR179" s="11" t="n"/>
      <c r="BS179" s="11" t="n"/>
      <c r="BT179" s="11" t="n"/>
      <c r="BU179" s="12" t="n"/>
      <c r="BV179" s="11" t="n"/>
      <c r="BW179" s="11" t="n"/>
      <c r="BX179" s="11" t="n"/>
      <c r="BY179" s="11" t="n"/>
      <c r="BZ179" s="12" t="n"/>
      <c r="CA179" s="11" t="n"/>
      <c r="CB179" s="11" t="n"/>
      <c r="CC179" s="11" t="n"/>
      <c r="CD179" s="11" t="n"/>
      <c r="CE179" s="12" t="n"/>
      <c r="CF179" s="11" t="n"/>
      <c r="CG179" s="11" t="n"/>
      <c r="CH179" s="11" t="n"/>
      <c r="CI179" s="11" t="n"/>
      <c r="CJ179" s="12" t="n"/>
      <c r="CK179" s="11" t="n"/>
      <c r="CL179" s="11" t="n"/>
      <c r="CM179" s="11" t="n"/>
      <c r="CN179" s="11" t="n"/>
      <c r="CO179" s="12" t="n"/>
      <c r="CP179" s="11" t="n"/>
      <c r="CQ179" s="11" t="n"/>
      <c r="CR179" s="11" t="n"/>
      <c r="CS179" s="11" t="n"/>
      <c r="CT179" s="12" t="n"/>
      <c r="CU179" s="11" t="n"/>
      <c r="CV179" s="11" t="n"/>
      <c r="CW179" s="11" t="n"/>
      <c r="CX179" s="11" t="n"/>
      <c r="CY179" s="12" t="n"/>
    </row>
    <row r="180" hidden="1" outlineLevel="1">
      <c r="C180" s="57" t="inlineStr">
        <is>
          <t>Depreciation</t>
        </is>
      </c>
      <c r="D180" s="12" t="n"/>
      <c r="E180" s="12" t="n"/>
      <c r="F180" s="12" t="n"/>
      <c r="G180" s="12" t="n"/>
      <c r="H180" s="12" t="n"/>
      <c r="I180" s="12">
        <f>I80</f>
        <v>-57.729</v>
      </c>
      <c r="J180" s="12">
        <f>J80</f>
        <v>-63.733</v>
      </c>
      <c r="K180" s="12">
        <f>K80</f>
        <v>-71.918</v>
      </c>
      <c r="L180" s="12">
        <f>L80</f>
        <v>-67.065</v>
      </c>
      <c r="M180" s="12" t="n"/>
      <c r="N180" s="12">
        <f>N80</f>
        <v>-72.195</v>
      </c>
      <c r="O180" s="12">
        <f>O80</f>
        <v>-83.73</v>
      </c>
      <c r="P180" s="12">
        <f>P80</f>
        <v>-84.22</v>
      </c>
      <c r="Q180" s="12">
        <f>Q80</f>
        <v>-89.022</v>
      </c>
      <c r="R180" s="12" t="n"/>
      <c r="S180" s="12">
        <f>S80</f>
        <v>-98.001</v>
      </c>
      <c r="T180" s="12">
        <f>T80</f>
        <v>-92.145</v>
      </c>
      <c r="U180" s="12">
        <f>U80</f>
        <v>-98.528</v>
      </c>
      <c r="V180" s="12">
        <f>V80</f>
        <v>-64.718</v>
      </c>
      <c r="W180" s="12" t="n"/>
      <c r="X180" s="12">
        <f>X80</f>
        <v>-104.571</v>
      </c>
      <c r="Y180" s="12">
        <f>Y80</f>
        <v>-85.309</v>
      </c>
      <c r="Z180" s="12">
        <f>Z80</f>
        <v>-95.494</v>
      </c>
      <c r="AA180" s="12">
        <f>AA80</f>
        <v>-91.372</v>
      </c>
      <c r="AB180" s="12" t="n"/>
      <c r="AC180" s="12">
        <f>AC80</f>
        <v>-105.294</v>
      </c>
      <c r="AD180" s="12">
        <f>AD80</f>
        <v>-113.093</v>
      </c>
      <c r="AE180" s="12">
        <f>AE80</f>
        <v>-162.165</v>
      </c>
      <c r="AF180" s="12">
        <f>AF80</f>
        <v>-159.044</v>
      </c>
      <c r="AG180" s="12" t="n"/>
      <c r="AH180" s="12">
        <f>AH80</f>
        <v>-158.45</v>
      </c>
      <c r="AI180" s="12">
        <f>AI80</f>
        <v>-177.69</v>
      </c>
      <c r="AJ180" s="12">
        <f>AJ80</f>
        <v>-190.282379436024</v>
      </c>
      <c r="AK180" s="12">
        <f>AK80</f>
        <v>-186.505996634466</v>
      </c>
      <c r="AL180" s="12" t="n"/>
      <c r="AM180" s="12">
        <f>AM80</f>
        <v>-166.217307701236</v>
      </c>
      <c r="AN180" s="12">
        <f>AN80</f>
        <v>-174.175974700942</v>
      </c>
      <c r="AO180" s="12">
        <f>AO80</f>
        <v>-222.900897927326</v>
      </c>
      <c r="AP180" s="12">
        <f>AP80</f>
        <v>-218.477161373897</v>
      </c>
      <c r="AQ180" s="12" t="n"/>
      <c r="AR180" s="12">
        <f>AR80</f>
        <v>-193.879465470987</v>
      </c>
      <c r="AS180" s="12">
        <f>AS80</f>
        <v>-203.162626924535</v>
      </c>
      <c r="AT180" s="12">
        <f>AT80</f>
        <v>-259.996432025182</v>
      </c>
      <c r="AU180" s="12">
        <f>AU80</f>
        <v>-254.836489957627</v>
      </c>
      <c r="AV180" s="12" t="n"/>
      <c r="AW180" s="12">
        <f>AW80</f>
        <v>-225.175807712783</v>
      </c>
      <c r="AX180" s="12">
        <f>AX80</f>
        <v>-235.957472358664</v>
      </c>
      <c r="AY180" s="12">
        <f>AY80</f>
        <v>-301.965483768434</v>
      </c>
      <c r="AZ180" s="12">
        <f>AZ80</f>
        <v>-295.972615364397</v>
      </c>
      <c r="BA180" s="12" t="n"/>
      <c r="BB180" s="12">
        <f>BB80</f>
        <v>-260.39817796216</v>
      </c>
      <c r="BC180" s="12">
        <f>BC80</f>
        <v>-272.866328327441</v>
      </c>
      <c r="BD180" s="12">
        <f>BD80</f>
        <v>-349.199421462977</v>
      </c>
      <c r="BE180" s="12">
        <f>BE80</f>
        <v>-342.269138725105</v>
      </c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inlineStr">
        <is>
          <t>PP&amp;E</t>
        </is>
      </c>
      <c r="D181" s="12" t="n"/>
      <c r="E181" s="12" t="n"/>
      <c r="F181" s="12" t="n"/>
      <c r="G181" s="12" t="n"/>
      <c r="H181" s="12" t="n"/>
      <c r="I181" s="12">
        <f>I176</f>
        <v>1591.003531</v>
      </c>
      <c r="J181" s="12">
        <f>J176</f>
        <v>1809.85866171</v>
      </c>
      <c r="K181" s="12">
        <f>K176</f>
        <v>2007.877</v>
      </c>
      <c r="L181" s="12">
        <f>L176</f>
        <v>2581.885</v>
      </c>
      <c r="M181" s="12" t="n"/>
      <c r="N181" s="12">
        <f>N176</f>
        <v>2857.882</v>
      </c>
      <c r="O181" s="12">
        <f>O176</f>
        <v>2953.797</v>
      </c>
      <c r="P181" s="12">
        <f>P176</f>
        <v>3018.884</v>
      </c>
      <c r="Q181" s="12">
        <f>Q176</f>
        <v>2960.185</v>
      </c>
      <c r="R181" s="12" t="n"/>
      <c r="S181" s="12">
        <f>S176</f>
        <v>3105.771</v>
      </c>
      <c r="T181" s="12">
        <f>T176</f>
        <v>3276.785</v>
      </c>
      <c r="U181" s="12">
        <f>U176</f>
        <v>3504.174</v>
      </c>
      <c r="V181" s="12">
        <f>V176</f>
        <v>3730.515</v>
      </c>
      <c r="W181" s="12" t="n"/>
      <c r="X181" s="12">
        <f>X176</f>
        <v>3996.864</v>
      </c>
      <c r="Y181" s="12">
        <f>Y176</f>
        <v>4215.529</v>
      </c>
      <c r="Z181" s="12">
        <f>Z176</f>
        <v>4375.436</v>
      </c>
      <c r="AA181" s="12">
        <f>Y181+SUM(AA178:AA180)</f>
        <v>4222.52</v>
      </c>
      <c r="AB181" s="12" t="n"/>
      <c r="AC181" s="12">
        <f>AC176</f>
        <v>4531.517</v>
      </c>
      <c r="AD181" s="12">
        <f>AD176</f>
        <v>4792.495</v>
      </c>
      <c r="AE181" s="12">
        <f>AE176</f>
        <v>5488.702</v>
      </c>
      <c r="AF181" s="12">
        <f>AF176</f>
        <v>5747.597</v>
      </c>
      <c r="AG181" s="12" t="n"/>
      <c r="AH181" s="12">
        <f>AH176</f>
        <v>5777.757</v>
      </c>
      <c r="AI181" s="12">
        <f>AI176</f>
        <v>5706.318</v>
      </c>
      <c r="AJ181" s="12">
        <f>AI181+SUM(AJ178:AJ180)</f>
        <v>5996.8734306742</v>
      </c>
      <c r="AK181" s="12">
        <f>AJ181+SUM(AK178:AK180)</f>
        <v>6281.66243917863</v>
      </c>
      <c r="AL181" s="12" t="n"/>
      <c r="AM181" s="12">
        <f>AK181+SUM(AM178:AM180)</f>
        <v>6535.47123412738</v>
      </c>
      <c r="AN181" s="12">
        <f>AM181+SUM(AN178:AN180)</f>
        <v>6801.4326725555</v>
      </c>
      <c r="AO181" s="12">
        <f>AN181+SUM(AO178:AO180)</f>
        <v>7141.79559311019</v>
      </c>
      <c r="AP181" s="12">
        <f>AO181+SUM(AP178:AP180)</f>
        <v>7475.40360192118</v>
      </c>
      <c r="AQ181" s="12" t="n"/>
      <c r="AR181" s="12">
        <f>AP181+SUM(AR178:AR180)</f>
        <v>7771.45167403259</v>
      </c>
      <c r="AS181" s="12">
        <f>AR181+SUM(AS178:AS180)</f>
        <v>8081.67485254191</v>
      </c>
      <c r="AT181" s="12">
        <f>AS181+SUM(AT178:AT180)</f>
        <v>8478.68153022134</v>
      </c>
      <c r="AU181" s="12">
        <f>AT181+SUM(AU178:AU180)</f>
        <v>8867.80913263308</v>
      </c>
      <c r="AV181" s="12" t="n"/>
      <c r="AW181" s="12">
        <f>AU181+SUM(AW178:AW180)</f>
        <v>9211.64577153424</v>
      </c>
      <c r="AX181" s="12">
        <f>AW181+SUM(AX178:AX180)</f>
        <v>9571.94568582567</v>
      </c>
      <c r="AY181" s="12">
        <f>AX181+SUM(AY178:AY180)</f>
        <v>10033.0378344793</v>
      </c>
      <c r="AZ181" s="12">
        <f>AY181+SUM(AZ178:AZ180)</f>
        <v>10484.9790545747</v>
      </c>
      <c r="BA181" s="12" t="n"/>
      <c r="BB181" s="12">
        <f>AZ181+SUM(BB178:BB180)</f>
        <v>10882.599186133</v>
      </c>
      <c r="BC181" s="12">
        <f>BB181+SUM(BC178:BC180)</f>
        <v>11299.2578056996</v>
      </c>
      <c r="BD181" s="12">
        <f>BC181+SUM(BD178:BD180)</f>
        <v>11832.4747467273</v>
      </c>
      <c r="BE181" s="12">
        <f>BD181+SUM(BE178:BE180)</f>
        <v>12355.1093558988</v>
      </c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>
        <f>IF(AJ15=0,"",AJ178/AJ15)</f>
        <v>0.0381355766455201</v>
      </c>
      <c r="AK182" s="12">
        <f>IF(AK15=0,"",AK178/AK15)</f>
        <v>0.0381355766455201</v>
      </c>
      <c r="AL182" s="12" t="n"/>
      <c r="AM182" s="12">
        <f>IF(AM15=0,"",AM178/AM15)</f>
        <v>0.0381355766455201</v>
      </c>
      <c r="AN182" s="12">
        <f>IF(AN15=0,"",AN178/AN15)</f>
        <v>0.0381355766455201</v>
      </c>
      <c r="AO182" s="12">
        <f>IF(AO15=0,"",AO178/AO15)</f>
        <v>0.0381355766455201</v>
      </c>
      <c r="AP182" s="12">
        <f>IF(AP15=0,"",AP178/AP15)</f>
        <v>0.0381355766455201</v>
      </c>
      <c r="AQ182" s="12" t="n"/>
      <c r="AR182" s="12">
        <f>IF(AR15=0,"",AR178/AR15)</f>
        <v>0.0381355766455201</v>
      </c>
      <c r="AS182" s="12">
        <f>IF(AS15=0,"",AS178/AS15)</f>
        <v>0.0381355766455201</v>
      </c>
      <c r="AT182" s="12">
        <f>IF(AT15=0,"",AT178/AT15)</f>
        <v>0.0381355766455201</v>
      </c>
      <c r="AU182" s="12">
        <f>IF(AU15=0,"",AU178/AU15)</f>
        <v>0.0381355766455201</v>
      </c>
      <c r="AV182" s="12" t="n"/>
      <c r="AW182" s="12">
        <f>IF(AW15=0,"",AW178/AW15)</f>
        <v>0.0381355766455201</v>
      </c>
      <c r="AX182" s="12">
        <f>IF(AX15=0,"",AX178/AX15)</f>
        <v>0.0381355766455201</v>
      </c>
      <c r="AY182" s="12">
        <f>IF(AY15=0,"",AY178/AY15)</f>
        <v>0.0381355766455201</v>
      </c>
      <c r="AZ182" s="12">
        <f>IF(AZ15=0,"",AZ178/AZ15)</f>
        <v>0.0381355766455201</v>
      </c>
      <c r="BA182" s="12" t="n"/>
      <c r="BB182" s="12">
        <f>IF(BB15=0,"",BB178/BB15)</f>
        <v>0.0381355766455201</v>
      </c>
      <c r="BC182" s="12">
        <f>IF(BC15=0,"",BC178/BC15)</f>
        <v>0.0381355766455201</v>
      </c>
      <c r="BD182" s="12">
        <f>IF(BD15=0,"",BD178/BD15)</f>
        <v>0.0381355766455201</v>
      </c>
      <c r="BE182" s="12">
        <f>IF(BE15=0,"",BE178/BE15)</f>
        <v>0.0381355766455201</v>
      </c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hidden="1" outlineLevel="1">
      <c r="C183" s="57" t="inlineStr">
        <is>
          <t>Capital expenditures (% Net Revenues)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58">
        <f>IFERROR(AF178/AF15,"")</f>
        <v>0.0396153615934968</v>
      </c>
      <c r="AG183" s="58">
        <f>IFERROR(AG178/AG15,"")</f>
        <v>0.049571779843953</v>
      </c>
      <c r="AH183" s="58">
        <f>IFERROR(AH178/AH15,"")</f>
        <v>0.0200600493285132</v>
      </c>
      <c r="AI183" s="58">
        <f>IFERROR(AI178/AI15,"")</f>
        <v>0.0107842091432791</v>
      </c>
      <c r="AJ183" s="58">
        <f>IFERROR(AJ178/AJ15,"")</f>
        <v>0.0381355766455201</v>
      </c>
      <c r="AK183" s="58">
        <f>IFERROR(AK178/AK15,"")</f>
        <v>0.0381355766455201</v>
      </c>
      <c r="AL183" s="58">
        <f>IFERROR(AL178/AL15,"")</f>
        <v>0</v>
      </c>
      <c r="AM183" s="58">
        <f>IFERROR(AM178/AM15,"")</f>
        <v>0.0381355766455201</v>
      </c>
      <c r="AN183" s="58">
        <f>IFERROR(AN178/AN15,"")</f>
        <v>0.0381355766455201</v>
      </c>
      <c r="AO183" s="58">
        <f>IFERROR(AO178/AO15,"")</f>
        <v>0.0381355766455201</v>
      </c>
      <c r="AP183" s="58">
        <f>IFERROR(AP178/AP15,"")</f>
        <v>0.0381355766455201</v>
      </c>
      <c r="AQ183" s="58">
        <f>IFERROR(AQ178/AQ15,"")</f>
        <v>0</v>
      </c>
      <c r="AR183" s="58">
        <f>IFERROR(AR178/AR15,"")</f>
        <v>0.0381355766455201</v>
      </c>
      <c r="AS183" s="58">
        <f>IFERROR(AS178/AS15,"")</f>
        <v>0.0381355766455201</v>
      </c>
      <c r="AT183" s="58">
        <f>IFERROR(AT178/AT15,"")</f>
        <v>0.0381355766455201</v>
      </c>
      <c r="AU183" s="58">
        <f>IFERROR(AU178/AU15,"")</f>
        <v>0.0381355766455201</v>
      </c>
      <c r="AV183" s="58">
        <f>IFERROR(AV178/AV15,"")</f>
        <v>0</v>
      </c>
      <c r="AW183" s="58">
        <f>IFERROR(AW178/AW15,"")</f>
        <v>0.0381355766455201</v>
      </c>
      <c r="AX183" s="58">
        <f>IFERROR(AX178/AX15,"")</f>
        <v>0.0381355766455201</v>
      </c>
      <c r="AY183" s="58">
        <f>IFERROR(AY178/AY15,"")</f>
        <v>0.0381355766455201</v>
      </c>
      <c r="AZ183" s="58">
        <f>IFERROR(AZ178/AZ15,"")</f>
        <v>0.0381355766455201</v>
      </c>
      <c r="BA183" s="58">
        <f>IFERROR(BA178/BA15,"")</f>
        <v>0</v>
      </c>
      <c r="BB183" s="58">
        <f>IFERROR(BB178/BB15,"")</f>
        <v>0.0381355766455201</v>
      </c>
      <c r="BC183" s="58">
        <f>IFERROR(BC178/BC15,"")</f>
        <v>0.0381355766455201</v>
      </c>
      <c r="BD183" s="58">
        <f>IFERROR(BD178/BD15,"")</f>
        <v>0.0381355766455201</v>
      </c>
      <c r="BE183" s="58">
        <f>IFERROR(BE178/BE15,"")</f>
        <v>0.0381355766455201</v>
      </c>
      <c r="BF183" s="58">
        <f>IFERROR(BF178/BF15,"")</f>
        <v>0</v>
      </c>
      <c r="BG183" s="58" t="n"/>
      <c r="BH183" s="58" t="n"/>
      <c r="BI183" s="58" t="n"/>
      <c r="BJ183" s="58" t="n"/>
      <c r="BK183" s="58" t="n"/>
      <c r="BL183" s="58" t="n"/>
      <c r="BM183" s="58" t="n"/>
      <c r="BN183" s="58" t="n"/>
      <c r="BO183" s="58" t="n"/>
      <c r="BP183" s="58" t="n"/>
      <c r="BQ183" s="58" t="n"/>
      <c r="BR183" s="58" t="n"/>
      <c r="BS183" s="58" t="n"/>
      <c r="BT183" s="58" t="n"/>
      <c r="BU183" s="58" t="n"/>
      <c r="BV183" s="58" t="n"/>
      <c r="BW183" s="58" t="n"/>
      <c r="BX183" s="58" t="n"/>
      <c r="BY183" s="58" t="n"/>
      <c r="BZ183" s="58" t="n"/>
      <c r="CA183" s="58" t="n"/>
      <c r="CB183" s="58" t="n"/>
      <c r="CC183" s="58" t="n"/>
      <c r="CD183" s="58" t="n"/>
      <c r="CE183" s="58" t="n"/>
      <c r="CF183" s="58" t="n"/>
      <c r="CG183" s="58" t="n"/>
      <c r="CH183" s="58" t="n"/>
      <c r="CI183" s="58" t="n"/>
      <c r="CJ183" s="58" t="n"/>
      <c r="CK183" s="58" t="n"/>
      <c r="CL183" s="58" t="n"/>
      <c r="CM183" s="58" t="n"/>
      <c r="CN183" s="58" t="n"/>
      <c r="CO183" s="58" t="n"/>
      <c r="CP183" s="58" t="n"/>
      <c r="CQ183" s="58" t="n"/>
      <c r="CR183" s="58" t="n"/>
      <c r="CS183" s="58" t="n"/>
      <c r="CT183" s="58" t="n"/>
      <c r="CU183" s="58" t="n"/>
      <c r="CV183" s="58" t="n"/>
      <c r="CW183" s="58" t="n"/>
      <c r="CX183" s="58" t="n"/>
      <c r="CY183" s="58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hidden="1" outlineLevel="1">
      <c r="C185" s="57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collapsed="1">
      <c r="C186" s="14" t="inlineStr">
        <is>
          <t>Right-of-use-assets</t>
        </is>
      </c>
      <c r="D186" s="46" t="n"/>
      <c r="E186" s="46" t="n"/>
      <c r="F186" s="46" t="n"/>
      <c r="G186" s="46" t="n"/>
      <c r="H186" s="12" t="n"/>
      <c r="I186" s="46">
        <f>'Inputs (2)'!D23</f>
        <v>662.07967344</v>
      </c>
      <c r="J186" s="46">
        <f>'Inputs (2)'!E23</f>
        <v>703.26599247</v>
      </c>
      <c r="K186" s="46">
        <f>'Inputs (2)'!F23</f>
        <v>830.842</v>
      </c>
      <c r="L186" s="46">
        <f>'Inputs (2)'!G23</f>
        <v>907.504</v>
      </c>
      <c r="M186" s="12">
        <f>'Inputs (2)'!H23</f>
        <v>907.504</v>
      </c>
      <c r="N186" s="46">
        <f>'Inputs (2)'!I23</f>
        <v>998.229</v>
      </c>
      <c r="O186" s="46">
        <f>'Inputs (2)'!J23</f>
        <v>1194.76</v>
      </c>
      <c r="P186" s="46">
        <f>'Inputs (2)'!K23</f>
        <v>1257.424</v>
      </c>
      <c r="Q186" s="46">
        <f>'Inputs (2)'!L23</f>
        <v>1260.815</v>
      </c>
      <c r="R186" s="12">
        <f>'Inputs (2)'!M23</f>
        <v>1260.815</v>
      </c>
      <c r="S186" s="46">
        <f>'Inputs (2)'!N23</f>
        <v>1330.053</v>
      </c>
      <c r="T186" s="46">
        <f>'Inputs (2)'!O23</f>
        <v>1564.699</v>
      </c>
      <c r="U186" s="46">
        <f>'Inputs (2)'!P23</f>
        <v>1774.395</v>
      </c>
      <c r="V186" s="46">
        <f>'Inputs (2)'!Q23</f>
        <v>1850.811</v>
      </c>
      <c r="W186" s="12">
        <f>'Inputs (2)'!R23</f>
        <v>1850.811</v>
      </c>
      <c r="X186" s="46">
        <f>'Inputs (2)'!S23</f>
        <v>2021.405</v>
      </c>
      <c r="Y186" s="46">
        <f>'Inputs (2)'!T23</f>
        <v>1866.203</v>
      </c>
      <c r="Z186" s="46">
        <f>'Inputs (2)'!U23</f>
        <v>1884.077</v>
      </c>
      <c r="AA186" s="46">
        <f>'Inputs (2)'!V23</f>
        <v>2036.014</v>
      </c>
      <c r="AB186" s="12">
        <f>'Inputs (2)'!W23</f>
        <v>2036.014</v>
      </c>
      <c r="AC186" s="46">
        <f>'Inputs (2)'!X23</f>
        <v>2339.617</v>
      </c>
      <c r="AD186" s="46">
        <f>'Inputs (2)'!Y23</f>
        <v>2641.269</v>
      </c>
      <c r="AE186" s="46">
        <f>'Inputs (2)'!Z23</f>
        <v>3539.58</v>
      </c>
      <c r="AF186" s="46">
        <f>'Inputs (2)'!AA23</f>
        <v>3654.264</v>
      </c>
      <c r="AG186" s="12">
        <f>'Inputs (2)'!AB23</f>
        <v>3654.264</v>
      </c>
      <c r="AH186" s="12">
        <f>'Inputs (2)'!AC23</f>
        <v>3696.106</v>
      </c>
      <c r="AI186" s="12">
        <f>'Inputs (2)'!AD23</f>
        <v>3867.883</v>
      </c>
      <c r="AJ186" s="12">
        <f>AI186</f>
        <v>3867.883</v>
      </c>
      <c r="AK186" s="12">
        <f>AJ186</f>
        <v>3867.883</v>
      </c>
      <c r="AL186" s="12">
        <f>AK186</f>
        <v>3867.883</v>
      </c>
      <c r="AM186" s="12">
        <f>AL186</f>
        <v>3867.883</v>
      </c>
      <c r="AN186" s="12">
        <f>AM186</f>
        <v>3867.883</v>
      </c>
      <c r="AO186" s="12">
        <f>AN186</f>
        <v>3867.883</v>
      </c>
      <c r="AP186" s="12">
        <f>AO186</f>
        <v>3867.883</v>
      </c>
      <c r="AQ186" s="12">
        <f>AP186</f>
        <v>3867.883</v>
      </c>
      <c r="AR186" s="12">
        <f>AQ186</f>
        <v>3867.883</v>
      </c>
      <c r="AS186" s="12">
        <f>AR186</f>
        <v>3867.883</v>
      </c>
      <c r="AT186" s="12">
        <f>AS186</f>
        <v>3867.883</v>
      </c>
      <c r="AU186" s="12">
        <f>AT186</f>
        <v>3867.883</v>
      </c>
      <c r="AV186" s="12">
        <f>AU186</f>
        <v>3867.883</v>
      </c>
      <c r="AW186" s="12">
        <f>AV186</f>
        <v>3867.883</v>
      </c>
      <c r="AX186" s="12">
        <f>AW186</f>
        <v>3867.883</v>
      </c>
      <c r="AY186" s="12">
        <f>AX186</f>
        <v>3867.883</v>
      </c>
      <c r="AZ186" s="12">
        <f>AY186</f>
        <v>3867.883</v>
      </c>
      <c r="BA186" s="12">
        <f>AZ186</f>
        <v>3867.883</v>
      </c>
      <c r="BB186" s="12">
        <f>BA186</f>
        <v>3867.883</v>
      </c>
      <c r="BC186" s="12">
        <f>BB186</f>
        <v>3867.883</v>
      </c>
      <c r="BD186" s="12">
        <f>BC186</f>
        <v>3867.883</v>
      </c>
      <c r="BE186" s="12">
        <f>BD186</f>
        <v>3867.883</v>
      </c>
      <c r="BF186" s="12">
        <f>BE186</f>
        <v>3867.883</v>
      </c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9" t="inlineStr">
        <is>
          <t>%(Var.)</t>
        </is>
      </c>
      <c r="D187" s="12" t="n"/>
      <c r="E187" s="40" t="n"/>
      <c r="F187" s="40" t="n"/>
      <c r="G187" s="40" t="n"/>
      <c r="H187" s="12" t="n"/>
      <c r="I187" s="40" t="str">
        <f>""</f>
        <v/>
      </c>
      <c r="J187" s="40">
        <f>IFERROR(IF(I186=0,"",J186/I186-1),"")</f>
        <v>0.0622074965932817</v>
      </c>
      <c r="K187" s="40">
        <f>IFERROR(IF(J186=0,"",K186/J186-1),"")</f>
        <v>0.181405057113496</v>
      </c>
      <c r="L187" s="40">
        <f>IFERROR(IF(K186=0,"",L186/K186-1),"")</f>
        <v>0.0922702511428166</v>
      </c>
      <c r="M187" s="12">
        <f>IFERROR(IF(L186=0,"",M186/L186-1),"")</f>
        <v>0</v>
      </c>
      <c r="N187" s="40">
        <f>IFERROR(IF(M186=0,"",N186/M186-1),"")</f>
        <v>0.0999720111426505</v>
      </c>
      <c r="O187" s="40">
        <f>IFERROR(IF(N186=0,"",O186/N186-1),"")</f>
        <v>0.196879673902481</v>
      </c>
      <c r="P187" s="40">
        <f>IFERROR(IF(O186=0,"",P186/O186-1),"")</f>
        <v>0.0524490274197329</v>
      </c>
      <c r="Q187" s="40">
        <f>IFERROR(IF(P186=0,"",Q186/P186-1),"")</f>
        <v>0.00269678326483347</v>
      </c>
      <c r="R187" s="12">
        <f>IFERROR(IF(Q186=0,"",R186/Q186-1),"")</f>
        <v>0</v>
      </c>
      <c r="S187" s="40">
        <f>IFERROR(IF(R186=0,"",S186/R186-1),"")</f>
        <v>0.0549152730575064</v>
      </c>
      <c r="T187" s="40">
        <f>IFERROR(IF(S186=0,"",T186/S186-1),"")</f>
        <v>0.176418533697529</v>
      </c>
      <c r="U187" s="40">
        <f>IFERROR(IF(T186=0,"",U186/T186-1),"")</f>
        <v>0.134016830074027</v>
      </c>
      <c r="V187" s="40">
        <f>IFERROR(IF(U186=0,"",V186/U186-1),"")</f>
        <v>0.0430659464211745</v>
      </c>
      <c r="W187" s="12">
        <f>IFERROR(IF(V186=0,"",W186/V186-1),"")</f>
        <v>0</v>
      </c>
      <c r="X187" s="40">
        <f>IFERROR(IF(W186=0,"",X186/W186-1),"")</f>
        <v>0.0921725665127342</v>
      </c>
      <c r="Y187" s="40">
        <f>IFERROR(IF(X186=0,"",Y186/X186-1),"")</f>
        <v>-0.0767792698642775</v>
      </c>
      <c r="Z187" s="40">
        <f>IFERROR(IF(Y186=0,"",Z186/Y186-1),"")</f>
        <v>0.00957773618411295</v>
      </c>
      <c r="AA187" s="40">
        <f>IFERROR(IF(Z186=0,"",AA186/Z186-1),"")</f>
        <v>0.0806426701244163</v>
      </c>
      <c r="AB187" s="12">
        <f>IFERROR(IF(AA186=0,"",AB186/AA186-1),"")</f>
        <v>0</v>
      </c>
      <c r="AC187" s="40">
        <f>IFERROR(IF(AB186=0,"",AC186/AB186-1),"")</f>
        <v>0.149116361675313</v>
      </c>
      <c r="AD187" s="40">
        <f>IFERROR(IF(AC186=0,"",AD186/AC186-1),"")</f>
        <v>0.128932214118807</v>
      </c>
      <c r="AE187" s="40">
        <f>IFERROR(IF(AD186=0,"",AE186/AD186-1),"")</f>
        <v>0.340105835490441</v>
      </c>
      <c r="AF187" s="55">
        <f>IFERROR(IF(AE186=0,"",AF186/AE186-1),"")</f>
        <v>0.0324004542911871</v>
      </c>
      <c r="AG187" s="12">
        <f>IFERROR(IF(AF186=0,"",AG186/AF186-1),"")</f>
        <v>0</v>
      </c>
      <c r="AH187" s="55">
        <f>IFERROR(IF(AG186=0,"",AH186/AG186-1),"")</f>
        <v>0.0114501853177549</v>
      </c>
      <c r="AI187" s="55">
        <f>IFERROR(IF(AH186=0,"",AI186/AH186-1),"")</f>
        <v>0.0464751281483808</v>
      </c>
      <c r="AJ187" s="55">
        <f>IFERROR(IF(AI186=0,"",AJ186/AI186-1),"")</f>
        <v>0</v>
      </c>
      <c r="AK187" s="55">
        <f>IFERROR(IF(AJ186=0,"",AK186/AJ186-1),"")</f>
        <v>0</v>
      </c>
      <c r="AL187" s="12">
        <f>IFERROR(IF(AK186=0,"",AL186/AK186-1),"")</f>
        <v>0</v>
      </c>
      <c r="AM187" s="55">
        <f>IFERROR(IF(AL186=0,"",AM186/AL186-1),"")</f>
        <v>0</v>
      </c>
      <c r="AN187" s="55">
        <f>IFERROR(IF(AM186=0,"",AN186/AM186-1),"")</f>
        <v>0</v>
      </c>
      <c r="AO187" s="55">
        <f>IFERROR(IF(AN186=0,"",AO186/AN186-1),"")</f>
        <v>0</v>
      </c>
      <c r="AP187" s="55">
        <f>IFERROR(IF(AO186=0,"",AP186/AO186-1),"")</f>
        <v>0</v>
      </c>
      <c r="AQ187" s="12">
        <f>IFERROR(IF(AP186=0,"",AQ186/AP186-1),"")</f>
        <v>0</v>
      </c>
      <c r="AR187" s="55">
        <f>IFERROR(IF(AQ186=0,"",AR186/AQ186-1),"")</f>
        <v>0</v>
      </c>
      <c r="AS187" s="55">
        <f>IFERROR(IF(AR186=0,"",AS186/AR186-1),"")</f>
        <v>0</v>
      </c>
      <c r="AT187" s="55">
        <f>IFERROR(IF(AS186=0,"",AT186/AS186-1),"")</f>
        <v>0</v>
      </c>
      <c r="AU187" s="55">
        <f>IFERROR(IF(AT186=0,"",AU186/AT186-1),"")</f>
        <v>0</v>
      </c>
      <c r="AV187" s="12">
        <f>IFERROR(IF(AU186=0,"",AV186/AU186-1),"")</f>
        <v>0</v>
      </c>
      <c r="AW187" s="55">
        <f>IFERROR(IF(AV186=0,"",AW186/AV186-1),"")</f>
        <v>0</v>
      </c>
      <c r="AX187" s="55">
        <f>IFERROR(IF(AW186=0,"",AX186/AW186-1),"")</f>
        <v>0</v>
      </c>
      <c r="AY187" s="55">
        <f>IFERROR(IF(AX186=0,"",AY186/AX186-1),"")</f>
        <v>0</v>
      </c>
      <c r="AZ187" s="55">
        <f>IFERROR(IF(AY186=0,"",AZ186/AY186-1),"")</f>
        <v>0</v>
      </c>
      <c r="BA187" s="12">
        <f>IFERROR(IF(AZ186=0,"",BA186/AZ186-1),"")</f>
        <v>0</v>
      </c>
      <c r="BB187" s="55">
        <f>IFERROR(IF(BA186=0,"",BB186/BA186-1),"")</f>
        <v>0</v>
      </c>
      <c r="BC187" s="55">
        <f>IFERROR(IF(BB186=0,"",BC186/BB186-1),"")</f>
        <v>0</v>
      </c>
      <c r="BD187" s="55">
        <f>IFERROR(IF(BC186=0,"",BD186/BC186-1),"")</f>
        <v>0</v>
      </c>
      <c r="BE187" s="55">
        <f>IFERROR(IF(BD186=0,"",BE186/BD186-1),"")</f>
        <v>0</v>
      </c>
      <c r="BF187" s="12">
        <f>IFERROR(IF(BE186=0,"",BF186/BE186-1),"")</f>
        <v>0</v>
      </c>
      <c r="BG187" s="55" t="n"/>
      <c r="BH187" s="55" t="n"/>
      <c r="BI187" s="55" t="n"/>
      <c r="BJ187" s="55" t="n"/>
      <c r="BK187" s="12" t="n"/>
      <c r="BL187" s="55" t="n"/>
      <c r="BM187" s="55" t="n"/>
      <c r="BN187" s="55" t="n"/>
      <c r="BO187" s="55" t="n"/>
      <c r="BP187" s="12" t="n"/>
      <c r="BQ187" s="55" t="n"/>
      <c r="BR187" s="55" t="n"/>
      <c r="BS187" s="55" t="n"/>
      <c r="BT187" s="55" t="n"/>
      <c r="BU187" s="12" t="n"/>
      <c r="BV187" s="55" t="n"/>
      <c r="BW187" s="55" t="n"/>
      <c r="BX187" s="55" t="n"/>
      <c r="BY187" s="55" t="n"/>
      <c r="BZ187" s="12" t="n"/>
      <c r="CA187" s="55" t="n"/>
      <c r="CB187" s="55" t="n"/>
      <c r="CC187" s="55" t="n"/>
      <c r="CD187" s="55" t="n"/>
      <c r="CE187" s="12" t="n"/>
      <c r="CF187" s="55" t="n"/>
      <c r="CG187" s="55" t="n"/>
      <c r="CH187" s="55" t="n"/>
      <c r="CI187" s="55" t="n"/>
      <c r="CJ187" s="12" t="n"/>
      <c r="CK187" s="55" t="n"/>
      <c r="CL187" s="55" t="n"/>
      <c r="CM187" s="55" t="n"/>
      <c r="CN187" s="55" t="n"/>
      <c r="CO187" s="12" t="n"/>
      <c r="CP187" s="55" t="n"/>
      <c r="CQ187" s="55" t="n"/>
      <c r="CR187" s="55" t="n"/>
      <c r="CS187" s="55" t="n"/>
      <c r="CT187" s="12" t="n"/>
      <c r="CU187" s="55" t="n"/>
      <c r="CV187" s="55" t="n"/>
      <c r="CW187" s="55" t="n"/>
      <c r="CX187" s="55" t="n"/>
      <c r="CY187" s="12" t="n"/>
    </row>
    <row r="188" hidden="1" outlineLevel="1">
      <c r="C188" s="57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collapsed="1">
      <c r="C189" s="14" t="inlineStr">
        <is>
          <t>Goodwill</t>
        </is>
      </c>
      <c r="D189" s="46" t="n"/>
      <c r="E189" s="46" t="n"/>
      <c r="F189" s="46" t="n"/>
      <c r="G189" s="46" t="n"/>
      <c r="H189" s="12" t="n"/>
      <c r="I189" s="46">
        <f>'Inputs (2)'!D24</f>
        <v>0</v>
      </c>
      <c r="J189" s="46">
        <f>'Inputs (2)'!E24</f>
        <v>0</v>
      </c>
      <c r="K189" s="46">
        <f>'Inputs (2)'!F24</f>
        <v>0</v>
      </c>
      <c r="L189" s="46">
        <f>'Inputs (2)'!G24</f>
        <v>0</v>
      </c>
      <c r="M189" s="12">
        <f>'Inputs (2)'!H24</f>
        <v>0</v>
      </c>
      <c r="N189" s="46">
        <f>'Inputs (2)'!I24</f>
        <v>0</v>
      </c>
      <c r="O189" s="46">
        <f>'Inputs (2)'!J24</f>
        <v>0</v>
      </c>
      <c r="P189" s="46">
        <f>'Inputs (2)'!K24</f>
        <v>0</v>
      </c>
      <c r="Q189" s="46">
        <f>'Inputs (2)'!L24</f>
        <v>0</v>
      </c>
      <c r="R189" s="12">
        <f>'Inputs (2)'!M24</f>
        <v>0</v>
      </c>
      <c r="S189" s="46">
        <f>'Inputs (2)'!N24</f>
        <v>0</v>
      </c>
      <c r="T189" s="46">
        <f>'Inputs (2)'!O24</f>
        <v>0</v>
      </c>
      <c r="U189" s="46">
        <f>'Inputs (2)'!P24</f>
        <v>0</v>
      </c>
      <c r="V189" s="46">
        <f>'Inputs (2)'!Q24</f>
        <v>0</v>
      </c>
      <c r="W189" s="12">
        <f>'Inputs (2)'!R24</f>
        <v>0</v>
      </c>
      <c r="X189" s="46">
        <f>'Inputs (2)'!S24</f>
        <v>0</v>
      </c>
      <c r="Y189" s="46">
        <f>'Inputs (2)'!T24</f>
        <v>0</v>
      </c>
      <c r="Z189" s="46">
        <f>'Inputs (2)'!U24</f>
        <v>0</v>
      </c>
      <c r="AA189" s="46">
        <f>'Inputs (2)'!V24</f>
        <v>0</v>
      </c>
      <c r="AB189" s="12">
        <f>'Inputs (2)'!W24</f>
        <v>0</v>
      </c>
      <c r="AC189" s="46">
        <f>'Inputs (2)'!X24</f>
        <v>0</v>
      </c>
      <c r="AD189" s="46">
        <f>'Inputs (2)'!Y24</f>
        <v>0</v>
      </c>
      <c r="AE189" s="46">
        <f>'Inputs (2)'!Z24</f>
        <v>0</v>
      </c>
      <c r="AF189" s="46">
        <f>'Inputs (2)'!AA24</f>
        <v>0</v>
      </c>
      <c r="AG189" s="12">
        <f>'Inputs (2)'!AB24</f>
        <v>0</v>
      </c>
      <c r="AH189" s="12">
        <f>'Inputs (2)'!AC24</f>
        <v>0</v>
      </c>
      <c r="AI189" s="12">
        <f>'Inputs (2)'!AD24</f>
        <v>0</v>
      </c>
      <c r="AJ189" s="12">
        <f>AI189</f>
        <v>0</v>
      </c>
      <c r="AK189" s="12">
        <f>AJ189</f>
        <v>0</v>
      </c>
      <c r="AL189" s="12">
        <f>AK189</f>
        <v>0</v>
      </c>
      <c r="AM189" s="12">
        <f>AL189</f>
        <v>0</v>
      </c>
      <c r="AN189" s="12">
        <f>AM189</f>
        <v>0</v>
      </c>
      <c r="AO189" s="12">
        <f>AN189</f>
        <v>0</v>
      </c>
      <c r="AP189" s="12">
        <f>AO189</f>
        <v>0</v>
      </c>
      <c r="AQ189" s="12">
        <f>AP189</f>
        <v>0</v>
      </c>
      <c r="AR189" s="12">
        <f>AQ189</f>
        <v>0</v>
      </c>
      <c r="AS189" s="12">
        <f>AR189</f>
        <v>0</v>
      </c>
      <c r="AT189" s="12">
        <f>AS189</f>
        <v>0</v>
      </c>
      <c r="AU189" s="12">
        <f>AT189</f>
        <v>0</v>
      </c>
      <c r="AV189" s="12">
        <f>AU189</f>
        <v>0</v>
      </c>
      <c r="AW189" s="12">
        <f>AV189</f>
        <v>0</v>
      </c>
      <c r="AX189" s="12">
        <f>AW189</f>
        <v>0</v>
      </c>
      <c r="AY189" s="12">
        <f>AX189</f>
        <v>0</v>
      </c>
      <c r="AZ189" s="12">
        <f>AY189</f>
        <v>0</v>
      </c>
      <c r="BA189" s="12">
        <f>AZ189</f>
        <v>0</v>
      </c>
      <c r="BB189" s="12">
        <f>BA189</f>
        <v>0</v>
      </c>
      <c r="BC189" s="12">
        <f>BB189</f>
        <v>0</v>
      </c>
      <c r="BD189" s="12">
        <f>BC189</f>
        <v>0</v>
      </c>
      <c r="BE189" s="12">
        <f>BD189</f>
        <v>0</v>
      </c>
      <c r="BF189" s="12">
        <f>BE189</f>
        <v>0</v>
      </c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>
      <c r="C190" s="14" t="inlineStr">
        <is>
          <t>Intangibles</t>
        </is>
      </c>
      <c r="D190" s="46" t="n"/>
      <c r="E190" s="46" t="n"/>
      <c r="F190" s="46" t="n"/>
      <c r="G190" s="46" t="n"/>
      <c r="H190" s="12" t="n"/>
      <c r="I190" s="46">
        <f>'Inputs (2)'!D25</f>
        <v>3.23999999</v>
      </c>
      <c r="J190" s="46">
        <f>'Inputs (2)'!E25</f>
        <v>3.18999998</v>
      </c>
      <c r="K190" s="46">
        <f>'Inputs (2)'!F25</f>
        <v>2.606</v>
      </c>
      <c r="L190" s="46">
        <f>'Inputs (2)'!G25</f>
        <v>2.556</v>
      </c>
      <c r="M190" s="12">
        <f>'Inputs (2)'!H25</f>
        <v>2.556</v>
      </c>
      <c r="N190" s="46">
        <f>'Inputs (2)'!I25</f>
        <v>2.506</v>
      </c>
      <c r="O190" s="46">
        <f>'Inputs (2)'!J25</f>
        <v>2.456</v>
      </c>
      <c r="P190" s="46">
        <f>'Inputs (2)'!K25</f>
        <v>2.406</v>
      </c>
      <c r="Q190" s="46">
        <f>'Inputs (2)'!L25</f>
        <v>4.515</v>
      </c>
      <c r="R190" s="12">
        <f>'Inputs (2)'!M25</f>
        <v>4.515</v>
      </c>
      <c r="S190" s="46">
        <f>'Inputs (2)'!N25</f>
        <v>11.951</v>
      </c>
      <c r="T190" s="46">
        <f>'Inputs (2)'!O25</f>
        <v>26.2</v>
      </c>
      <c r="U190" s="46">
        <f>'Inputs (2)'!P25</f>
        <v>30.907</v>
      </c>
      <c r="V190" s="46">
        <f>'Inputs (2)'!Q25</f>
        <v>33.84</v>
      </c>
      <c r="W190" s="12">
        <f>'Inputs (2)'!R25</f>
        <v>33.84</v>
      </c>
      <c r="X190" s="46">
        <f>'Inputs (2)'!S25</f>
        <v>39.202</v>
      </c>
      <c r="Y190" s="46">
        <f>'Inputs (2)'!T25</f>
        <v>43.174</v>
      </c>
      <c r="Z190" s="46">
        <f>'Inputs (2)'!U25</f>
        <v>46.893</v>
      </c>
      <c r="AA190" s="46">
        <f>'Inputs (2)'!V25</f>
        <v>61.16</v>
      </c>
      <c r="AB190" s="12">
        <f>'Inputs (2)'!W25</f>
        <v>61.16</v>
      </c>
      <c r="AC190" s="46">
        <f>'Inputs (2)'!X25</f>
        <v>63.831</v>
      </c>
      <c r="AD190" s="46">
        <f>'Inputs (2)'!Y25</f>
        <v>69.687</v>
      </c>
      <c r="AE190" s="46">
        <f>'Inputs (2)'!Z25</f>
        <v>729.491</v>
      </c>
      <c r="AF190" s="46">
        <f>'Inputs (2)'!AA25</f>
        <v>651.724</v>
      </c>
      <c r="AG190" s="12">
        <f>'Inputs (2)'!AB25</f>
        <v>651.724</v>
      </c>
      <c r="AH190" s="12">
        <f>'Inputs (2)'!AC25</f>
        <v>663.084</v>
      </c>
      <c r="AI190" s="12">
        <f>'Inputs (2)'!AD25</f>
        <v>748.934</v>
      </c>
      <c r="AJ190" s="12">
        <f>AI190</f>
        <v>748.934</v>
      </c>
      <c r="AK190" s="12">
        <f>AJ190</f>
        <v>748.934</v>
      </c>
      <c r="AL190" s="12">
        <f>AK190</f>
        <v>748.934</v>
      </c>
      <c r="AM190" s="16">
        <f>AL190</f>
        <v>748.934</v>
      </c>
      <c r="AN190" s="12">
        <f>AM190</f>
        <v>748.934</v>
      </c>
      <c r="AO190" s="12">
        <f>AN190</f>
        <v>748.934</v>
      </c>
      <c r="AP190" s="12">
        <f>AO190</f>
        <v>748.934</v>
      </c>
      <c r="AQ190" s="12">
        <f>AP190</f>
        <v>748.934</v>
      </c>
      <c r="AR190" s="16">
        <f>AQ190</f>
        <v>748.934</v>
      </c>
      <c r="AS190" s="12">
        <f>AR190</f>
        <v>748.934</v>
      </c>
      <c r="AT190" s="12">
        <f>AS190</f>
        <v>748.934</v>
      </c>
      <c r="AU190" s="12">
        <f>AT190</f>
        <v>748.934</v>
      </c>
      <c r="AV190" s="12">
        <f>AU190</f>
        <v>748.934</v>
      </c>
      <c r="AW190" s="16">
        <f>AV190</f>
        <v>748.934</v>
      </c>
      <c r="AX190" s="12">
        <f>AW190</f>
        <v>748.934</v>
      </c>
      <c r="AY190" s="12">
        <f>AX190</f>
        <v>748.934</v>
      </c>
      <c r="AZ190" s="12">
        <f>AY190</f>
        <v>748.934</v>
      </c>
      <c r="BA190" s="12">
        <f>AZ190</f>
        <v>748.934</v>
      </c>
      <c r="BB190" s="16">
        <f>BA190</f>
        <v>748.934</v>
      </c>
      <c r="BC190" s="12">
        <f>BB190</f>
        <v>748.934</v>
      </c>
      <c r="BD190" s="12">
        <f>BC190</f>
        <v>748.934</v>
      </c>
      <c r="BE190" s="12">
        <f>BD190</f>
        <v>748.934</v>
      </c>
      <c r="BF190" s="12">
        <f>BE190</f>
        <v>748.934</v>
      </c>
      <c r="BH190" s="12" t="n"/>
      <c r="BI190" s="12" t="n"/>
      <c r="BJ190" s="12" t="n"/>
      <c r="BK190" s="12" t="n"/>
      <c r="BM190" s="12" t="n"/>
      <c r="BN190" s="12" t="n"/>
      <c r="BO190" s="12" t="n"/>
      <c r="BP190" s="12" t="n"/>
      <c r="BR190" s="12" t="n"/>
      <c r="BS190" s="12" t="n"/>
      <c r="BT190" s="12" t="n"/>
      <c r="BU190" s="12" t="n"/>
      <c r="BW190" s="12" t="n"/>
      <c r="BX190" s="12" t="n"/>
      <c r="BY190" s="12" t="n"/>
      <c r="BZ190" s="12" t="n"/>
      <c r="CB190" s="12" t="n"/>
      <c r="CC190" s="12" t="n"/>
      <c r="CD190" s="12" t="n"/>
      <c r="CE190" s="12" t="n"/>
      <c r="CG190" s="12" t="n"/>
      <c r="CH190" s="12" t="n"/>
      <c r="CI190" s="12" t="n"/>
      <c r="CJ190" s="12" t="n"/>
      <c r="CL190" s="12" t="n"/>
      <c r="CM190" s="12" t="n"/>
      <c r="CN190" s="12" t="n"/>
      <c r="CO190" s="12" t="n"/>
      <c r="CQ190" s="12" t="n"/>
      <c r="CR190" s="12" t="n"/>
      <c r="CS190" s="12" t="n"/>
      <c r="CT190" s="12" t="n"/>
      <c r="CV190" s="12" t="n"/>
      <c r="CW190" s="12" t="n"/>
      <c r="CX190" s="12" t="n"/>
      <c r="CY190" s="12" t="n"/>
    </row>
    <row r="191" hidden="1" outlineLevel="1">
      <c r="C191" s="57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7" t="inlineStr">
        <is>
          <t>Purchase of intangible assets</t>
        </is>
      </c>
      <c r="D192" s="12" t="n"/>
      <c r="E192" s="12" t="n"/>
      <c r="F192" s="12" t="n"/>
      <c r="G192" s="12" t="n"/>
      <c r="H192" s="12" t="n"/>
      <c r="I192" s="12" t="str">
        <f>IF(COUNT(H190)=0,"",I190-H190-I94)</f>
        <v/>
      </c>
      <c r="J192" s="12">
        <f>J190-I190-J94</f>
        <v>-0.0500000099999998</v>
      </c>
      <c r="K192" s="12">
        <f>K190-J190-K94</f>
        <v>-0.58399998</v>
      </c>
      <c r="L192" s="12">
        <f>L190-K190-L94</f>
        <v>-0.0499999999999998</v>
      </c>
      <c r="M192" s="12" t="n"/>
      <c r="N192" s="12">
        <f>N190-M190-N94</f>
        <v>-0.0500000000000003</v>
      </c>
      <c r="O192" s="12">
        <f>O190-N190-O94</f>
        <v>-0.0499999999999998</v>
      </c>
      <c r="P192" s="12">
        <f>P190-O190-P94</f>
        <v>-0.0499999999999998</v>
      </c>
      <c r="Q192" s="12">
        <f>Q190-P190-Q94</f>
        <v>2.109</v>
      </c>
      <c r="R192" s="12" t="n"/>
      <c r="S192" s="12">
        <f>S190-R190-S94</f>
        <v>7.436</v>
      </c>
      <c r="T192" s="12">
        <f>T190-S190-T94</f>
        <v>14.249</v>
      </c>
      <c r="U192" s="12">
        <f>U190-T190-U94</f>
        <v>4.707</v>
      </c>
      <c r="V192" s="12">
        <f>V190-U190-V94</f>
        <v>2.933</v>
      </c>
      <c r="W192" s="12" t="n"/>
      <c r="X192" s="12">
        <f>X190-W190-X94</f>
        <v>5.362</v>
      </c>
      <c r="Y192" s="12">
        <f>Y190-X190-Y94</f>
        <v>3.972</v>
      </c>
      <c r="Z192" s="12">
        <f>Z190-Y190-Z94</f>
        <v>3.719</v>
      </c>
      <c r="AA192" s="12">
        <f>AA190-Z190-AA94</f>
        <v>14.267</v>
      </c>
      <c r="AB192" s="12" t="n"/>
      <c r="AC192" s="12">
        <f>AC190-AB190-AC94</f>
        <v>2.67100000000001</v>
      </c>
      <c r="AD192" s="12">
        <f>AD190-AC190-AD94</f>
        <v>5.85599999999999</v>
      </c>
      <c r="AE192" s="12">
        <f>AE190-AD190-AE94</f>
        <v>659.804</v>
      </c>
      <c r="AF192" s="12">
        <f>AF190-AE190-AF94</f>
        <v>-77.7669999999999</v>
      </c>
      <c r="AG192" s="12" t="n"/>
      <c r="AH192" s="11">
        <f>AH190-AG190-AH94</f>
        <v>11.3599999999999</v>
      </c>
      <c r="AI192" s="11">
        <f>AI190-AH190-AI94</f>
        <v>85.85</v>
      </c>
      <c r="AJ192" s="11" t="n"/>
      <c r="AK192" s="11" t="n"/>
      <c r="AL192" s="12" t="n"/>
      <c r="AM192" s="11" t="n"/>
      <c r="AN192" s="11" t="n"/>
      <c r="AO192" s="11" t="n"/>
      <c r="AP192" s="11" t="n"/>
      <c r="AQ192" s="12" t="n"/>
      <c r="AR192" s="11" t="n"/>
      <c r="AS192" s="11" t="n"/>
      <c r="AT192" s="11" t="n"/>
      <c r="AU192" s="11" t="n"/>
      <c r="AV192" s="12" t="n"/>
      <c r="AW192" s="11" t="n"/>
      <c r="AX192" s="11" t="n"/>
      <c r="AY192" s="11" t="n"/>
      <c r="AZ192" s="11" t="n"/>
      <c r="BA192" s="12" t="n"/>
      <c r="BB192" s="11" t="n"/>
      <c r="BC192" s="11" t="n"/>
      <c r="BD192" s="11" t="n"/>
      <c r="BE192" s="11" t="n"/>
      <c r="BF192" s="12" t="n"/>
      <c r="BG192" s="11" t="n"/>
      <c r="BH192" s="11" t="n"/>
      <c r="BI192" s="11" t="n"/>
      <c r="BJ192" s="11" t="n"/>
      <c r="BK192" s="12" t="n"/>
      <c r="BL192" s="11" t="n"/>
      <c r="BM192" s="11" t="n"/>
      <c r="BN192" s="11" t="n"/>
      <c r="BO192" s="11" t="n"/>
      <c r="BP192" s="12" t="n"/>
      <c r="BQ192" s="11" t="n"/>
      <c r="BR192" s="11" t="n"/>
      <c r="BS192" s="11" t="n"/>
      <c r="BT192" s="11" t="n"/>
      <c r="BU192" s="12" t="n"/>
      <c r="BV192" s="11" t="n"/>
      <c r="BW192" s="11" t="n"/>
      <c r="BX192" s="11" t="n"/>
      <c r="BY192" s="11" t="n"/>
      <c r="BZ192" s="12" t="n"/>
      <c r="CA192" s="11" t="n"/>
      <c r="CB192" s="11" t="n"/>
      <c r="CC192" s="11" t="n"/>
      <c r="CD192" s="11" t="n"/>
      <c r="CE192" s="12" t="n"/>
      <c r="CF192" s="11" t="n"/>
      <c r="CG192" s="11" t="n"/>
      <c r="CH192" s="11" t="n"/>
      <c r="CI192" s="11" t="n"/>
      <c r="CJ192" s="12" t="n"/>
      <c r="CK192" s="11" t="n"/>
      <c r="CL192" s="11" t="n"/>
      <c r="CM192" s="11" t="n"/>
      <c r="CN192" s="11" t="n"/>
      <c r="CO192" s="12" t="n"/>
      <c r="CP192" s="11" t="n"/>
      <c r="CQ192" s="11" t="n"/>
      <c r="CR192" s="11" t="n"/>
      <c r="CS192" s="11" t="n"/>
      <c r="CT192" s="12" t="n"/>
      <c r="CU192" s="11" t="n"/>
      <c r="CV192" s="11" t="n"/>
      <c r="CW192" s="11" t="n"/>
      <c r="CX192" s="11" t="n"/>
      <c r="CY192" s="12" t="n"/>
    </row>
    <row r="193" hidden="1" outlineLevel="1">
      <c r="C193" s="57" t="inlineStr">
        <is>
          <t>Amortization (enter as -)</t>
        </is>
      </c>
      <c r="D193" s="12" t="n"/>
      <c r="E193" s="12" t="n"/>
      <c r="F193" s="12" t="n"/>
      <c r="G193" s="12" t="n"/>
      <c r="H193" s="12" t="n"/>
      <c r="I193" s="12">
        <f>I93</f>
        <v>0</v>
      </c>
      <c r="J193" s="12">
        <f>J93</f>
        <v>0</v>
      </c>
      <c r="K193" s="12">
        <f>K93</f>
        <v>0</v>
      </c>
      <c r="L193" s="12">
        <f>L93</f>
        <v>0</v>
      </c>
      <c r="M193" s="12" t="n"/>
      <c r="N193" s="12">
        <f>N93</f>
        <v>0</v>
      </c>
      <c r="O193" s="12">
        <f>O93</f>
        <v>0</v>
      </c>
      <c r="P193" s="12">
        <f>P93</f>
        <v>0</v>
      </c>
      <c r="Q193" s="12">
        <f>Q93</f>
        <v>0</v>
      </c>
      <c r="R193" s="12" t="n"/>
      <c r="S193" s="12">
        <f>S93</f>
        <v>0</v>
      </c>
      <c r="T193" s="12">
        <f>T93</f>
        <v>0</v>
      </c>
      <c r="U193" s="12">
        <f>U93</f>
        <v>0</v>
      </c>
      <c r="V193" s="12">
        <f>V93</f>
        <v>0</v>
      </c>
      <c r="W193" s="12" t="n"/>
      <c r="X193" s="12">
        <f>X93</f>
        <v>0</v>
      </c>
      <c r="Y193" s="12">
        <f>Y93</f>
        <v>0</v>
      </c>
      <c r="Z193" s="12">
        <f>Z93</f>
        <v>0</v>
      </c>
      <c r="AA193" s="12">
        <f>AA93</f>
        <v>0</v>
      </c>
      <c r="AB193" s="12" t="n"/>
      <c r="AC193" s="12">
        <f>AC93</f>
        <v>0</v>
      </c>
      <c r="AD193" s="12">
        <f>AD93</f>
        <v>0</v>
      </c>
      <c r="AE193" s="12">
        <f>AE93</f>
        <v>0</v>
      </c>
      <c r="AF193" s="12">
        <f>AF93</f>
        <v>0</v>
      </c>
      <c r="AG193" s="12" t="n"/>
      <c r="AH193" s="12">
        <f>AH93</f>
        <v>0</v>
      </c>
      <c r="AI193" s="11">
        <f>AI93</f>
        <v>0</v>
      </c>
      <c r="AJ193" s="11" t="n"/>
      <c r="AK193" s="11" t="n"/>
      <c r="AL193" s="12" t="n"/>
      <c r="AM193" s="11" t="n"/>
      <c r="AN193" s="11" t="n"/>
      <c r="AO193" s="11" t="n"/>
      <c r="AP193" s="11" t="n"/>
      <c r="AQ193" s="12" t="n"/>
      <c r="AR193" s="11" t="n"/>
      <c r="AS193" s="11" t="n"/>
      <c r="AT193" s="11" t="n"/>
      <c r="AU193" s="11" t="n"/>
      <c r="AV193" s="12" t="n"/>
      <c r="AW193" s="11" t="n"/>
      <c r="AX193" s="11" t="n"/>
      <c r="AY193" s="11" t="n"/>
      <c r="AZ193" s="11" t="n"/>
      <c r="BA193" s="12" t="n"/>
      <c r="BB193" s="11" t="n"/>
      <c r="BC193" s="11" t="n"/>
      <c r="BD193" s="11" t="n"/>
      <c r="BE193" s="11" t="n"/>
      <c r="BF193" s="12" t="n"/>
      <c r="BG193" s="11" t="n"/>
      <c r="BH193" s="11" t="n"/>
      <c r="BI193" s="11" t="n"/>
      <c r="BJ193" s="11" t="n"/>
      <c r="BK193" s="12" t="n"/>
      <c r="BL193" s="11" t="n"/>
      <c r="BM193" s="11" t="n"/>
      <c r="BN193" s="11" t="n"/>
      <c r="BO193" s="11" t="n"/>
      <c r="BP193" s="12" t="n"/>
      <c r="BQ193" s="11" t="n"/>
      <c r="BR193" s="11" t="n"/>
      <c r="BS193" s="11" t="n"/>
      <c r="BT193" s="11" t="n"/>
      <c r="BU193" s="12" t="n"/>
      <c r="BV193" s="11" t="n"/>
      <c r="BW193" s="11" t="n"/>
      <c r="BX193" s="11" t="n"/>
      <c r="BY193" s="11" t="n"/>
      <c r="BZ193" s="12" t="n"/>
      <c r="CA193" s="11" t="n"/>
      <c r="CB193" s="11" t="n"/>
      <c r="CC193" s="11" t="n"/>
      <c r="CD193" s="11" t="n"/>
      <c r="CE193" s="12" t="n"/>
      <c r="CF193" s="11" t="n"/>
      <c r="CG193" s="11" t="n"/>
      <c r="CH193" s="11" t="n"/>
      <c r="CI193" s="11" t="n"/>
      <c r="CJ193" s="12" t="n"/>
      <c r="CK193" s="11" t="n"/>
      <c r="CL193" s="11" t="n"/>
      <c r="CM193" s="11" t="n"/>
      <c r="CN193" s="11" t="n"/>
      <c r="CO193" s="12" t="n"/>
      <c r="CP193" s="11" t="n"/>
      <c r="CQ193" s="11" t="n"/>
      <c r="CR193" s="11" t="n"/>
      <c r="CS193" s="11" t="n"/>
      <c r="CT193" s="12" t="n"/>
      <c r="CU193" s="11" t="n"/>
      <c r="CV193" s="11" t="n"/>
      <c r="CW193" s="11" t="n"/>
      <c r="CX193" s="11" t="n"/>
      <c r="CY193" s="12" t="n"/>
    </row>
    <row r="194" hidden="1" outlineLevel="1">
      <c r="C194" s="57" t="inlineStr">
        <is>
          <t>Intangibles</t>
        </is>
      </c>
      <c r="D194" s="12" t="n"/>
      <c r="E194" s="12" t="n"/>
      <c r="F194" s="12" t="n"/>
      <c r="G194" s="12" t="n"/>
      <c r="H194" s="12" t="n"/>
      <c r="I194" s="12">
        <f>I190</f>
        <v>3.23999999</v>
      </c>
      <c r="J194" s="12">
        <f>J190</f>
        <v>3.18999998</v>
      </c>
      <c r="K194" s="12">
        <f>K190</f>
        <v>2.606</v>
      </c>
      <c r="L194" s="12">
        <f>L190</f>
        <v>2.556</v>
      </c>
      <c r="M194" s="12">
        <f>M190</f>
        <v>2.556</v>
      </c>
      <c r="N194" s="12">
        <f>N190</f>
        <v>2.506</v>
      </c>
      <c r="O194" s="12">
        <f>O190</f>
        <v>2.456</v>
      </c>
      <c r="P194" s="12">
        <f>P190</f>
        <v>2.406</v>
      </c>
      <c r="Q194" s="12">
        <f>Q190</f>
        <v>4.515</v>
      </c>
      <c r="R194" s="12">
        <f>R190</f>
        <v>4.515</v>
      </c>
      <c r="S194" s="12">
        <f>S190</f>
        <v>11.951</v>
      </c>
      <c r="T194" s="12">
        <f>T190</f>
        <v>26.2</v>
      </c>
      <c r="U194" s="12">
        <f>U190</f>
        <v>30.907</v>
      </c>
      <c r="V194" s="12">
        <f>V190</f>
        <v>33.84</v>
      </c>
      <c r="W194" s="12">
        <f>W190</f>
        <v>33.84</v>
      </c>
      <c r="X194" s="12">
        <f>X190</f>
        <v>39.202</v>
      </c>
      <c r="Y194" s="12">
        <f>Y190</f>
        <v>43.174</v>
      </c>
      <c r="Z194" s="12">
        <f>Z190</f>
        <v>46.893</v>
      </c>
      <c r="AA194" s="12">
        <f>AA190</f>
        <v>61.16</v>
      </c>
      <c r="AB194" s="12">
        <f>AB190</f>
        <v>61.16</v>
      </c>
      <c r="AC194" s="12">
        <f>AC190</f>
        <v>63.831</v>
      </c>
      <c r="AD194" s="12">
        <f>AD190</f>
        <v>69.687</v>
      </c>
      <c r="AE194" s="12">
        <f>AE190</f>
        <v>729.491</v>
      </c>
      <c r="AF194" s="12">
        <f>AF190</f>
        <v>651.724</v>
      </c>
      <c r="AG194" s="12">
        <f>AG190</f>
        <v>651.724</v>
      </c>
      <c r="AH194" s="12">
        <f>AH190</f>
        <v>663.084</v>
      </c>
      <c r="AI194" s="12">
        <f>AI190</f>
        <v>748.934</v>
      </c>
      <c r="AJ194" s="12">
        <f>AJ190</f>
        <v>748.934</v>
      </c>
      <c r="AK194" s="12">
        <f>AK190</f>
        <v>748.934</v>
      </c>
      <c r="AL194" s="12" t="n"/>
      <c r="AM194" s="12">
        <f>AM190</f>
        <v>748.934</v>
      </c>
      <c r="AN194" s="12">
        <f>AN190</f>
        <v>748.934</v>
      </c>
      <c r="AO194" s="12">
        <f>AO190</f>
        <v>748.934</v>
      </c>
      <c r="AP194" s="12">
        <f>AP190</f>
        <v>748.934</v>
      </c>
      <c r="AQ194" s="12" t="n"/>
      <c r="AR194" s="12">
        <f>AR190</f>
        <v>748.934</v>
      </c>
      <c r="AS194" s="12">
        <f>AS190</f>
        <v>748.934</v>
      </c>
      <c r="AT194" s="12">
        <f>AT190</f>
        <v>748.934</v>
      </c>
      <c r="AU194" s="12">
        <f>AU190</f>
        <v>748.934</v>
      </c>
      <c r="AV194" s="12" t="n"/>
      <c r="AW194" s="12">
        <f>AW190</f>
        <v>748.934</v>
      </c>
      <c r="AX194" s="12">
        <f>AX190</f>
        <v>748.934</v>
      </c>
      <c r="AY194" s="12">
        <f>AY190</f>
        <v>748.934</v>
      </c>
      <c r="AZ194" s="12">
        <f>AZ190</f>
        <v>748.934</v>
      </c>
      <c r="BA194" s="12" t="n"/>
      <c r="BB194" s="12">
        <f>BB190</f>
        <v>748.934</v>
      </c>
      <c r="BC194" s="12">
        <f>BC190</f>
        <v>748.934</v>
      </c>
      <c r="BD194" s="12">
        <f>BD190</f>
        <v>748.934</v>
      </c>
      <c r="BE194" s="12">
        <f>BE190</f>
        <v>748.934</v>
      </c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57" t="inlineStr">
        <is>
          <t>Definir % do D&amp;A No PPE and Intagibles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7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collapsed="1">
      <c r="C199" s="14" t="inlineStr">
        <is>
          <t>Other non-current assets</t>
        </is>
      </c>
      <c r="D199" s="46" t="n"/>
      <c r="E199" s="46" t="n"/>
      <c r="F199" s="46" t="n"/>
      <c r="G199" s="46" t="n"/>
      <c r="H199" s="12" t="n"/>
      <c r="I199" s="46">
        <f>'Inputs (2)'!D26</f>
        <v>103.672125</v>
      </c>
      <c r="J199" s="46">
        <f>'Inputs (2)'!E26</f>
        <v>131.34670442</v>
      </c>
      <c r="K199" s="46">
        <f>'Inputs (2)'!F26</f>
        <v>156.829</v>
      </c>
      <c r="L199" s="46">
        <f>'Inputs (2)'!G26</f>
        <v>187.818</v>
      </c>
      <c r="M199" s="12">
        <f>'Inputs (2)'!H26</f>
        <v>187.818</v>
      </c>
      <c r="N199" s="46">
        <f>'Inputs (2)'!I26</f>
        <v>169.365</v>
      </c>
      <c r="O199" s="46">
        <f>'Inputs (2)'!J26</f>
        <v>198.833</v>
      </c>
      <c r="P199" s="46">
        <f>'Inputs (2)'!K26</f>
        <v>220.47868171</v>
      </c>
      <c r="Q199" s="46">
        <f>'Inputs (2)'!L26</f>
        <v>236.64763351</v>
      </c>
      <c r="R199" s="12">
        <f>'Inputs (2)'!M26</f>
        <v>236.64763351</v>
      </c>
      <c r="S199" s="46">
        <f>'Inputs (2)'!N26</f>
        <v>255.56792086</v>
      </c>
      <c r="T199" s="46">
        <f>'Inputs (2)'!O26</f>
        <v>431.297</v>
      </c>
      <c r="U199" s="46">
        <f>'Inputs (2)'!P26</f>
        <v>439.403</v>
      </c>
      <c r="V199" s="46">
        <f>'Inputs (2)'!Q26</f>
        <v>351.47481072</v>
      </c>
      <c r="W199" s="12">
        <f>'Inputs (2)'!R26</f>
        <v>351.47481072</v>
      </c>
      <c r="X199" s="46">
        <f>'Inputs (2)'!S26</f>
        <v>372.259</v>
      </c>
      <c r="Y199" s="46">
        <f>'Inputs (2)'!T26</f>
        <v>393.699</v>
      </c>
      <c r="Z199" s="46">
        <f>'Inputs (2)'!U26</f>
        <v>414.444</v>
      </c>
      <c r="AA199" s="46">
        <f>'Inputs (2)'!V26</f>
        <v>340.359</v>
      </c>
      <c r="AB199" s="12">
        <f>'Inputs (2)'!W26</f>
        <v>340.359</v>
      </c>
      <c r="AC199" s="46">
        <f>'Inputs (2)'!X26</f>
        <v>340.443</v>
      </c>
      <c r="AD199" s="46">
        <f>'Inputs (2)'!Y26</f>
        <v>711.77010598</v>
      </c>
      <c r="AE199" s="46">
        <f>'Inputs (2)'!Z26</f>
        <v>691.762</v>
      </c>
      <c r="AF199" s="46">
        <f>'Inputs (2)'!AA26</f>
        <v>678.416</v>
      </c>
      <c r="AG199" s="12">
        <f>'Inputs (2)'!AB26</f>
        <v>678.416</v>
      </c>
      <c r="AH199" s="12">
        <f>'Inputs (2)'!AC26</f>
        <v>739.068</v>
      </c>
      <c r="AI199" s="12">
        <f>'Inputs (2)'!AD26</f>
        <v>854.664</v>
      </c>
      <c r="AJ199" s="12">
        <f>AI199</f>
        <v>854.664</v>
      </c>
      <c r="AK199" s="12">
        <f>AJ199</f>
        <v>854.664</v>
      </c>
      <c r="AL199" s="12">
        <f>AK199</f>
        <v>854.664</v>
      </c>
      <c r="AM199" s="12">
        <f>AL199</f>
        <v>854.664</v>
      </c>
      <c r="AN199" s="12">
        <f>AM199</f>
        <v>854.664</v>
      </c>
      <c r="AO199" s="12">
        <f>AN199</f>
        <v>854.664</v>
      </c>
      <c r="AP199" s="12">
        <f>AO199</f>
        <v>854.664</v>
      </c>
      <c r="AQ199" s="12">
        <f>AP199</f>
        <v>854.664</v>
      </c>
      <c r="AR199" s="12">
        <f>AQ199</f>
        <v>854.664</v>
      </c>
      <c r="AS199" s="12">
        <f>AR199</f>
        <v>854.664</v>
      </c>
      <c r="AT199" s="12">
        <f>AS199</f>
        <v>854.664</v>
      </c>
      <c r="AU199" s="12">
        <f>AT199</f>
        <v>854.664</v>
      </c>
      <c r="AV199" s="12">
        <f>AU199</f>
        <v>854.664</v>
      </c>
      <c r="AW199" s="12">
        <f>AV199</f>
        <v>854.664</v>
      </c>
      <c r="AX199" s="12">
        <f>AW199</f>
        <v>854.664</v>
      </c>
      <c r="AY199" s="12">
        <f>AX199</f>
        <v>854.664</v>
      </c>
      <c r="AZ199" s="12">
        <f>AY199</f>
        <v>854.664</v>
      </c>
      <c r="BA199" s="12">
        <f>AZ199</f>
        <v>854.664</v>
      </c>
      <c r="BB199" s="12">
        <f>BA199</f>
        <v>854.664</v>
      </c>
      <c r="BC199" s="12">
        <f>BB199</f>
        <v>854.664</v>
      </c>
      <c r="BD199" s="12">
        <f>BC199</f>
        <v>854.664</v>
      </c>
      <c r="BE199" s="12">
        <f>BD199</f>
        <v>854.664</v>
      </c>
      <c r="BF199" s="12">
        <f>BE199</f>
        <v>854.664</v>
      </c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9" t="inlineStr">
        <is>
          <t>%(Var.)</t>
        </is>
      </c>
      <c r="D200" s="12" t="n"/>
      <c r="E200" s="40" t="n"/>
      <c r="F200" s="40" t="n"/>
      <c r="G200" s="40" t="n"/>
      <c r="H200" s="12" t="n"/>
      <c r="I200" s="40" t="str">
        <f>""</f>
        <v/>
      </c>
      <c r="J200" s="40">
        <f>IF(I199=0,"",J199/I199-1)</f>
        <v>0.266943302454734</v>
      </c>
      <c r="K200" s="40">
        <f>IF(J199=0,"",K199/J199-1)</f>
        <v>0.194007879318515</v>
      </c>
      <c r="L200" s="40">
        <f>IF(K199=0,"",L199/K199-1)</f>
        <v>0.197597383137047</v>
      </c>
      <c r="M200" s="12">
        <f>IF(L199=0,"",M199/L199-1)</f>
        <v>0</v>
      </c>
      <c r="N200" s="40">
        <f>IF(M199=0,"",N199/M199-1)</f>
        <v>-0.0982493690700572</v>
      </c>
      <c r="O200" s="40">
        <f>IF(N199=0,"",O199/N199-1)</f>
        <v>0.173991084344463</v>
      </c>
      <c r="P200" s="40">
        <f>IF(O199=0,"",P199/O199-1)</f>
        <v>0.10886362781832</v>
      </c>
      <c r="Q200" s="40">
        <f>IF(P199=0,"",Q199/P199-1)</f>
        <v>0.073335669800799</v>
      </c>
      <c r="R200" s="12">
        <f>IF(Q199=0,"",R199/Q199-1)</f>
        <v>0</v>
      </c>
      <c r="S200" s="40">
        <f>IF(R199=0,"",S199/R199-1)</f>
        <v>0.0799513059537969</v>
      </c>
      <c r="T200" s="40">
        <f>IF(S199=0,"",T199/S199-1)</f>
        <v>0.687602256764707</v>
      </c>
      <c r="U200" s="40">
        <f>IF(T199=0,"",U199/T199-1)</f>
        <v>0.0187944734139121</v>
      </c>
      <c r="V200" s="40">
        <f>IF(U199=0,"",V199/U199-1)</f>
        <v>-0.20010830440393</v>
      </c>
      <c r="W200" s="12">
        <f>IF(V199=0,"",W199/V199-1)</f>
        <v>0</v>
      </c>
      <c r="X200" s="40">
        <f>IF(W199=0,"",X199/W199-1)</f>
        <v>0.0591342214180965</v>
      </c>
      <c r="Y200" s="40">
        <f>IF(X199=0,"",Y199/X199-1)</f>
        <v>0.0575943093383908</v>
      </c>
      <c r="Z200" s="40">
        <f>IF(Y199=0,"",Z199/Y199-1)</f>
        <v>0.052692539224128</v>
      </c>
      <c r="AA200" s="40">
        <f>IF(Z199=0,"",AA199/Z199-1)</f>
        <v>-0.178757564351276</v>
      </c>
      <c r="AB200" s="12">
        <f>IF(AA199=0,"",AB199/AA199-1)</f>
        <v>0</v>
      </c>
      <c r="AC200" s="40">
        <f>IF(AB199=0,"",AC199/AB199-1)</f>
        <v>0.00024679823362983</v>
      </c>
      <c r="AD200" s="40">
        <f>IF(AC199=0,"",AD199/AC199-1)</f>
        <v>1.09071740637934</v>
      </c>
      <c r="AE200" s="40">
        <f>IF(AD199=0,"",AE199/AD199-1)</f>
        <v>-0.0281103488498606</v>
      </c>
      <c r="AF200" s="55">
        <f>IF(AE199=0,"",AF199/AE199-1)</f>
        <v>-0.0192927625397172</v>
      </c>
      <c r="AG200" s="12">
        <f>IF(AF199=0,"",AG199/AF199-1)</f>
        <v>0</v>
      </c>
      <c r="AH200" s="55">
        <f>IF(AG199=0,"",AH199/AG199-1)</f>
        <v>0.0894023725855522</v>
      </c>
      <c r="AI200" s="55">
        <f>IF(AH199=0,"",AI199/AH199-1)</f>
        <v>0.156407800094173</v>
      </c>
      <c r="AJ200" s="55">
        <f>IF(AI199=0,"",AJ199/AI199-1)</f>
        <v>0</v>
      </c>
      <c r="AK200" s="55">
        <f>IF(AJ199=0,"",AK199/AJ199-1)</f>
        <v>0</v>
      </c>
      <c r="AL200" s="12">
        <f>IF(AK199=0,"",AL199/AK199-1)</f>
        <v>0</v>
      </c>
      <c r="AM200" s="55">
        <f>IF(AL199=0,"",AM199/AL199-1)</f>
        <v>0</v>
      </c>
      <c r="AN200" s="55">
        <f>IF(AM199=0,"",AN199/AM199-1)</f>
        <v>0</v>
      </c>
      <c r="AO200" s="55">
        <f>IF(AN199=0,"",AO199/AN199-1)</f>
        <v>0</v>
      </c>
      <c r="AP200" s="55">
        <f>IF(AO199=0,"",AP199/AO199-1)</f>
        <v>0</v>
      </c>
      <c r="AQ200" s="12">
        <f>IF(AP199=0,"",AQ199/AP199-1)</f>
        <v>0</v>
      </c>
      <c r="AR200" s="55">
        <f>IF(AQ199=0,"",AR199/AQ199-1)</f>
        <v>0</v>
      </c>
      <c r="AS200" s="55">
        <f>IF(AR199=0,"",AS199/AR199-1)</f>
        <v>0</v>
      </c>
      <c r="AT200" s="55">
        <f>IF(AS199=0,"",AT199/AS199-1)</f>
        <v>0</v>
      </c>
      <c r="AU200" s="55">
        <f>IF(AT199=0,"",AU199/AT199-1)</f>
        <v>0</v>
      </c>
      <c r="AV200" s="12">
        <f>IF(AU199=0,"",AV199/AU199-1)</f>
        <v>0</v>
      </c>
      <c r="AW200" s="55">
        <f>IF(AV199=0,"",AW199/AV199-1)</f>
        <v>0</v>
      </c>
      <c r="AX200" s="55">
        <f>IF(AW199=0,"",AX199/AW199-1)</f>
        <v>0</v>
      </c>
      <c r="AY200" s="55">
        <f>IF(AX199=0,"",AY199/AX199-1)</f>
        <v>0</v>
      </c>
      <c r="AZ200" s="55">
        <f>IF(AY199=0,"",AZ199/AY199-1)</f>
        <v>0</v>
      </c>
      <c r="BA200" s="12">
        <f>IF(AZ199=0,"",BA199/AZ199-1)</f>
        <v>0</v>
      </c>
      <c r="BB200" s="55">
        <f>IF(BA199=0,"",BB199/BA199-1)</f>
        <v>0</v>
      </c>
      <c r="BC200" s="55">
        <f>IF(BB199=0,"",BC199/BB199-1)</f>
        <v>0</v>
      </c>
      <c r="BD200" s="55">
        <f>IF(BC199=0,"",BD199/BC199-1)</f>
        <v>0</v>
      </c>
      <c r="BE200" s="55">
        <f>IF(BD199=0,"",BE199/BD199-1)</f>
        <v>0</v>
      </c>
      <c r="BF200" s="12">
        <f>IF(BE199=0,"",BF199/BE199-1)</f>
        <v>0</v>
      </c>
      <c r="BG200" s="55" t="n"/>
      <c r="BH200" s="55" t="n"/>
      <c r="BI200" s="55" t="n"/>
      <c r="BJ200" s="55" t="n"/>
      <c r="BK200" s="12" t="n"/>
      <c r="BL200" s="55" t="n"/>
      <c r="BM200" s="55" t="n"/>
      <c r="BN200" s="55" t="n"/>
      <c r="BO200" s="55" t="n"/>
      <c r="BP200" s="12" t="n"/>
      <c r="BQ200" s="55" t="n"/>
      <c r="BR200" s="55" t="n"/>
      <c r="BS200" s="55" t="n"/>
      <c r="BT200" s="55" t="n"/>
      <c r="BU200" s="12" t="n"/>
      <c r="BV200" s="55" t="n"/>
      <c r="BW200" s="55" t="n"/>
      <c r="BX200" s="55" t="n"/>
      <c r="BY200" s="55" t="n"/>
      <c r="BZ200" s="12" t="n"/>
      <c r="CA200" s="55" t="n"/>
      <c r="CB200" s="55" t="n"/>
      <c r="CC200" s="55" t="n"/>
      <c r="CD200" s="55" t="n"/>
      <c r="CE200" s="12" t="n"/>
      <c r="CF200" s="55" t="n"/>
      <c r="CG200" s="55" t="n"/>
      <c r="CH200" s="55" t="n"/>
      <c r="CI200" s="55" t="n"/>
      <c r="CJ200" s="12" t="n"/>
      <c r="CK200" s="55" t="n"/>
      <c r="CL200" s="55" t="n"/>
      <c r="CM200" s="55" t="n"/>
      <c r="CN200" s="55" t="n"/>
      <c r="CO200" s="12" t="n"/>
      <c r="CP200" s="55" t="n"/>
      <c r="CQ200" s="55" t="n"/>
      <c r="CR200" s="55" t="n"/>
      <c r="CS200" s="55" t="n"/>
      <c r="CT200" s="12" t="n"/>
      <c r="CU200" s="55" t="n"/>
      <c r="CV200" s="55" t="n"/>
      <c r="CW200" s="55" t="n"/>
      <c r="CX200" s="55" t="n"/>
      <c r="CY200" s="12" t="n"/>
    </row>
    <row r="201" hidden="1" outlineLevel="1">
      <c r="C201" s="57" t="n"/>
      <c r="D201" s="12" t="n"/>
      <c r="E201" s="40" t="n"/>
      <c r="F201" s="40" t="n"/>
      <c r="G201" s="40" t="n"/>
      <c r="H201" s="12" t="n"/>
      <c r="I201" s="40" t="n"/>
      <c r="J201" s="40" t="n"/>
      <c r="K201" s="40" t="n"/>
      <c r="L201" s="40" t="n"/>
      <c r="M201" s="12" t="n"/>
      <c r="N201" s="40" t="n"/>
      <c r="O201" s="40" t="n"/>
      <c r="P201" s="40" t="n"/>
      <c r="Q201" s="40" t="n"/>
      <c r="R201" s="12" t="n"/>
      <c r="S201" s="40" t="n"/>
      <c r="T201" s="40" t="n"/>
      <c r="U201" s="40" t="n"/>
      <c r="V201" s="40" t="n"/>
      <c r="W201" s="12" t="n"/>
      <c r="X201" s="40" t="n"/>
      <c r="Y201" s="40" t="n"/>
      <c r="Z201" s="40" t="n"/>
      <c r="AA201" s="40" t="n"/>
      <c r="AB201" s="12" t="n"/>
      <c r="AC201" s="40" t="n"/>
      <c r="AD201" s="40" t="n"/>
      <c r="AE201" s="40" t="n"/>
      <c r="AF201" s="55" t="n"/>
      <c r="AG201" s="12" t="n"/>
      <c r="AH201" s="55" t="n"/>
      <c r="AI201" s="55" t="n"/>
      <c r="AJ201" s="55" t="n"/>
      <c r="AK201" s="55" t="n"/>
      <c r="AL201" s="12" t="n"/>
      <c r="AM201" s="55" t="n"/>
      <c r="AN201" s="55" t="n"/>
      <c r="AO201" s="55" t="n"/>
      <c r="AP201" s="55" t="n"/>
      <c r="AQ201" s="12" t="n"/>
      <c r="AR201" s="55" t="n"/>
      <c r="AS201" s="55" t="n"/>
      <c r="AT201" s="55" t="n"/>
      <c r="AU201" s="55" t="n"/>
      <c r="AV201" s="12" t="n"/>
      <c r="AW201" s="55" t="n"/>
      <c r="AX201" s="55" t="n"/>
      <c r="AY201" s="55" t="n"/>
      <c r="AZ201" s="55" t="n"/>
      <c r="BA201" s="12" t="n"/>
      <c r="BB201" s="55" t="n"/>
      <c r="BC201" s="55" t="n"/>
      <c r="BD201" s="55" t="n"/>
      <c r="BE201" s="55" t="n"/>
      <c r="BF201" s="12" t="n"/>
      <c r="BG201" s="55" t="n"/>
      <c r="BH201" s="55" t="n"/>
      <c r="BI201" s="55" t="n"/>
      <c r="BJ201" s="55" t="n"/>
      <c r="BK201" s="12" t="n"/>
      <c r="BL201" s="55" t="n"/>
      <c r="BM201" s="55" t="n"/>
      <c r="BN201" s="55" t="n"/>
      <c r="BO201" s="55" t="n"/>
      <c r="BP201" s="12" t="n"/>
      <c r="BQ201" s="55" t="n"/>
      <c r="BR201" s="55" t="n"/>
      <c r="BS201" s="55" t="n"/>
      <c r="BT201" s="55" t="n"/>
      <c r="BU201" s="12" t="n"/>
      <c r="BV201" s="55" t="n"/>
      <c r="BW201" s="55" t="n"/>
      <c r="BX201" s="55" t="n"/>
      <c r="BY201" s="55" t="n"/>
      <c r="BZ201" s="12" t="n"/>
      <c r="CA201" s="55" t="n"/>
      <c r="CB201" s="55" t="n"/>
      <c r="CC201" s="55" t="n"/>
      <c r="CD201" s="55" t="n"/>
      <c r="CE201" s="12" t="n"/>
      <c r="CF201" s="55" t="n"/>
      <c r="CG201" s="55" t="n"/>
      <c r="CH201" s="55" t="n"/>
      <c r="CI201" s="55" t="n"/>
      <c r="CJ201" s="12" t="n"/>
      <c r="CK201" s="55" t="n"/>
      <c r="CL201" s="55" t="n"/>
      <c r="CM201" s="55" t="n"/>
      <c r="CN201" s="55" t="n"/>
      <c r="CO201" s="12" t="n"/>
      <c r="CP201" s="55" t="n"/>
      <c r="CQ201" s="55" t="n"/>
      <c r="CR201" s="55" t="n"/>
      <c r="CS201" s="55" t="n"/>
      <c r="CT201" s="12" t="n"/>
      <c r="CU201" s="55" t="n"/>
      <c r="CV201" s="55" t="n"/>
      <c r="CW201" s="55" t="n"/>
      <c r="CX201" s="55" t="n"/>
      <c r="CY201" s="12" t="n"/>
    </row>
    <row r="202" hidden="1" outlineLevel="1">
      <c r="C202" s="60" t="inlineStr">
        <is>
          <t>Outros Créditos - LP</t>
        </is>
      </c>
      <c r="D202" s="11" t="n"/>
      <c r="E202" s="11" t="n"/>
      <c r="F202" s="11" t="n"/>
      <c r="G202" s="11" t="n"/>
      <c r="H202" s="12" t="n"/>
      <c r="I202" s="11" t="n"/>
      <c r="J202" s="11" t="n"/>
      <c r="K202" s="11" t="n"/>
      <c r="L202" s="11" t="n"/>
      <c r="M202" s="12" t="n"/>
      <c r="N202" s="11" t="n"/>
      <c r="O202" s="11" t="n"/>
      <c r="P202" s="11" t="n"/>
      <c r="Q202" s="11" t="n"/>
      <c r="R202" s="12" t="n"/>
      <c r="S202" s="11" t="n"/>
      <c r="T202" s="11" t="n"/>
      <c r="U202" s="11" t="n"/>
      <c r="V202" s="11" t="n"/>
      <c r="W202" s="12" t="n"/>
      <c r="X202" s="11" t="n"/>
      <c r="Y202" s="11" t="n"/>
      <c r="Z202" s="11" t="n"/>
      <c r="AA202" s="11" t="n"/>
      <c r="AB202" s="12" t="n"/>
      <c r="AC202" s="11" t="n"/>
      <c r="AD202" s="11" t="n"/>
      <c r="AE202" s="11" t="n"/>
      <c r="AF202" s="11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60" t="inlineStr">
        <is>
          <t xml:space="preserve">Impostos e Contribuições a Recuperar </t>
        </is>
      </c>
      <c r="D203" s="11" t="n"/>
      <c r="E203" s="11" t="n"/>
      <c r="F203" s="11" t="n"/>
      <c r="G203" s="11" t="n"/>
      <c r="H203" s="12" t="n"/>
      <c r="I203" s="11" t="n"/>
      <c r="J203" s="11" t="n"/>
      <c r="K203" s="11" t="n"/>
      <c r="L203" s="11" t="n"/>
      <c r="M203" s="12" t="n"/>
      <c r="N203" s="11" t="n"/>
      <c r="O203" s="11" t="n"/>
      <c r="P203" s="11" t="n"/>
      <c r="Q203" s="11" t="n"/>
      <c r="R203" s="12" t="n"/>
      <c r="S203" s="11" t="n"/>
      <c r="T203" s="11" t="n"/>
      <c r="U203" s="11" t="n"/>
      <c r="V203" s="11" t="n"/>
      <c r="W203" s="12" t="n"/>
      <c r="X203" s="11" t="n"/>
      <c r="Y203" s="11" t="n"/>
      <c r="Z203" s="11" t="n"/>
      <c r="AA203" s="11" t="n"/>
      <c r="AB203" s="12" t="n"/>
      <c r="AC203" s="11" t="n"/>
      <c r="AD203" s="11" t="n"/>
      <c r="AE203" s="11" t="n"/>
      <c r="AF203" s="11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60" t="inlineStr">
        <is>
          <t xml:space="preserve">Imposto de Renda e Contribuição Social Diferidos </t>
        </is>
      </c>
      <c r="D204" s="11" t="n"/>
      <c r="E204" s="11" t="n"/>
      <c r="F204" s="11" t="n"/>
      <c r="G204" s="11" t="n"/>
      <c r="H204" s="12" t="n"/>
      <c r="I204" s="11" t="n"/>
      <c r="J204" s="11" t="n"/>
      <c r="K204" s="11" t="n"/>
      <c r="L204" s="11" t="n"/>
      <c r="M204" s="12" t="n"/>
      <c r="N204" s="11" t="n"/>
      <c r="O204" s="11" t="n"/>
      <c r="P204" s="11" t="n"/>
      <c r="Q204" s="11" t="n"/>
      <c r="R204" s="12" t="n"/>
      <c r="S204" s="11" t="n"/>
      <c r="T204" s="11" t="n"/>
      <c r="U204" s="11" t="n"/>
      <c r="V204" s="11" t="n"/>
      <c r="W204" s="12" t="n"/>
      <c r="X204" s="11" t="n"/>
      <c r="Y204" s="11" t="n"/>
      <c r="Z204" s="11" t="n"/>
      <c r="AA204" s="11" t="n"/>
      <c r="AB204" s="12" t="n"/>
      <c r="AC204" s="11" t="n"/>
      <c r="AD204" s="11" t="n"/>
      <c r="AE204" s="11" t="n"/>
      <c r="AF204" s="11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60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hidden="1" outlineLevel="1">
      <c r="C206" s="57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collapsed="1" customFormat="1" s="32">
      <c r="A207" s="30" t="n"/>
      <c r="B207" s="3" t="n"/>
      <c r="C207" s="33" t="inlineStr">
        <is>
          <t>Total Assets</t>
        </is>
      </c>
      <c r="D207" s="35" t="n"/>
      <c r="E207" s="35" t="n"/>
      <c r="F207" s="35" t="n"/>
      <c r="G207" s="35" t="n"/>
      <c r="H207" s="35" t="n"/>
      <c r="I207" s="35">
        <f>SUM(I154,I155,I159,I163,I164,I165,I171,I176,I186,I189,I190,I199)</f>
        <v>8181.50533024</v>
      </c>
      <c r="J207" s="35">
        <f>SUM(J154,J155,J159,J163,J164,J165,J171,J176,J186,J189,J190,J199)</f>
        <v>8758.60128273</v>
      </c>
      <c r="K207" s="35">
        <f>SUM(K154,K155,K159,K163,K164,K165,K171,K176,K186,K189,K190,K199)</f>
        <v>9205.963</v>
      </c>
      <c r="L207" s="35">
        <f>SUM(L154,L155,L159,L163,L164,L165,L171,L176,L186,L189,L190,L199)</f>
        <v>9954.991</v>
      </c>
      <c r="M207" s="35">
        <f>SUM(M154,M155,M159,M163,M164,M165,M171,M176,M186,M189,M190,M199)</f>
        <v>9954.991</v>
      </c>
      <c r="N207" s="35">
        <f>SUM(N154,N155,N159,N163,N164,N165,N171,N176,N186,N189,N190,N199)</f>
        <v>10460.07</v>
      </c>
      <c r="O207" s="35">
        <f>SUM(O154,O155,O159,O163,O164,O165,O171,O176,O186,O189,O190,O199)</f>
        <v>11434.97444904</v>
      </c>
      <c r="P207" s="35">
        <f>SUM(P154,P155,P159,P163,P164,P165,P171,P176,P186,P189,P190,P199)</f>
        <v>12387.778938</v>
      </c>
      <c r="Q207" s="35">
        <f>SUM(Q154,Q155,Q159,Q163,Q164,Q165,Q171,Q176,Q186,Q189,Q190,Q199)</f>
        <v>13263.93794475</v>
      </c>
      <c r="R207" s="35">
        <f>SUM(R154,R155,R159,R163,R164,R165,R171,R176,R186,R189,R190,R199)</f>
        <v>13263.93794475</v>
      </c>
      <c r="S207" s="35">
        <f>SUM(S154,S155,S159,S163,S164,S165,S171,S176,S186,S189,S190,S199)</f>
        <v>13726.17022189</v>
      </c>
      <c r="T207" s="35">
        <f>SUM(T154,T155,T159,T163,T164,T165,T171,T176,T186,T189,T190,T199)</f>
        <v>14378.139</v>
      </c>
      <c r="U207" s="35">
        <f>SUM(U154,U155,U159,U163,U164,U165,U171,U176,U186,U189,U190,U199)</f>
        <v>15056.338</v>
      </c>
      <c r="V207" s="35">
        <f>SUM(V154,V155,V159,V163,V164,V165,V171,V176,V186,V189,V190,V199)</f>
        <v>16357.29579394</v>
      </c>
      <c r="W207" s="35">
        <f>SUM(W154,W155,W159,W163,W164,W165,W171,W176,W186,W189,W190,W199)</f>
        <v>16357.29579394</v>
      </c>
      <c r="X207" s="35">
        <f>SUM(X154,X155,X159,X163,X164,X165,X171,X176,X186,X189,X190,X199)</f>
        <v>16519.334</v>
      </c>
      <c r="Y207" s="35">
        <f>SUM(Y154,Y155,Y159,Y163,Y164,Y165,Y171,Y176,Y186,Y189,Y190,Y199)</f>
        <v>17131.00770197</v>
      </c>
      <c r="Z207" s="35">
        <f>SUM(Z154,Z155,Z159,Z163,Z164,Z165,Z171,Z176,Z186,Z189,Z190,Z199)</f>
        <v>17900.655</v>
      </c>
      <c r="AA207" s="35">
        <f>SUM(AA154,AA155,AA159,AA163,AA164,AA165,AA171,AA176,AA186,AA189,AA190,AA199)</f>
        <v>18228.167</v>
      </c>
      <c r="AB207" s="35">
        <f>SUM(AB154,AB155,AB159,AB163,AB164,AB165,AB171,AB176,AB186,AB189,AB190,AB199)</f>
        <v>18228.167</v>
      </c>
      <c r="AC207" s="35">
        <f>SUM(AC154,AC155,AC159,AC163,AC164,AC165,AC171,AC176,AC186,AC189,AC190,AC199)</f>
        <v>19342.417</v>
      </c>
      <c r="AD207" s="35">
        <f>SUM(AD154,AD155,AD159,AD163,AD164,AD165,AD171,AD176,AD186,AD189,AD190,AD199)</f>
        <v>19666.72010598</v>
      </c>
      <c r="AE207" s="35">
        <f>SUM(AE154,AE155,AE159,AE163,AE164,AE165,AE171,AE176,AE186,AE189,AE190,AE199)</f>
        <v>23696.093</v>
      </c>
      <c r="AF207" s="35">
        <f>SUM(AF154,AF155,AF159,AF163,AF164,AF165,AF171,AF176,AF186,AF189,AF190,AF199)</f>
        <v>24352.014</v>
      </c>
      <c r="AG207" s="35">
        <f>SUM(AG154,AG155,AG159,AG163,AG164,AG165,AG171,AG176,AG186,AG189,AG190,AG199)</f>
        <v>24352.014</v>
      </c>
      <c r="AH207" s="35">
        <f>SUM(AH154,AH155,AH159,AH163,AH164,AH165,AH171,AH176,AH186,AH189,AH190,AH199)</f>
        <v>24737.405</v>
      </c>
      <c r="AI207" s="35">
        <f>SUM(AI154,AI155,AI159,AI163,AI164,AI165,AI171,AI176,AI186,AI189,AI190,AI199)</f>
        <v>25153.122</v>
      </c>
      <c r="AJ207" s="35">
        <f>SUM(AJ154,AJ155,AJ159,AJ163,AJ164,AJ165,AJ171,AJ176,AJ186,AJ189,AJ190,AJ199)</f>
        <v>27026.9480945776</v>
      </c>
      <c r="AK207" s="35">
        <f>SUM(AK154,AK155,AK159,AK163,AK164,AK165,AK171,AK176,AK186,AK189,AK190,AK199)</f>
        <v>28139.9111488728</v>
      </c>
      <c r="AL207" s="35">
        <f>SUM(AL154,AL155,AL159,AL163,AL164,AL165,AL171,AL176,AL186,AL189,AL190,AL199)</f>
        <v>28139.9111488728</v>
      </c>
      <c r="AM207" s="35">
        <f>SUM(AM154,AM155,AM159,AM163,AM164,AM165,AM171,AM176,AM186,AM189,AM190,AM199)</f>
        <v>28797.2669222641</v>
      </c>
      <c r="AN207" s="35">
        <f>SUM(AN154,AN155,AN159,AN163,AN164,AN165,AN171,AN176,AN186,AN189,AN190,AN199)</f>
        <v>30183.227718958</v>
      </c>
      <c r="AO207" s="35">
        <f>SUM(AO154,AO155,AO159,AO163,AO164,AO165,AO171,AO176,AO186,AO189,AO190,AO199)</f>
        <v>33046.750258871</v>
      </c>
      <c r="AP207" s="35">
        <f>SUM(AP154,AP155,AP159,AP163,AP164,AP165,AP171,AP176,AP186,AP189,AP190,AP199)</f>
        <v>34462.2758734136</v>
      </c>
      <c r="AQ207" s="35">
        <f>SUM(AQ154,AQ155,AQ159,AQ163,AQ164,AQ165,AQ171,AQ176,AQ186,AQ189,AQ190,AQ199)</f>
        <v>34462.2758734136</v>
      </c>
      <c r="AR207" s="35">
        <f>SUM(AR154,AR155,AR159,AR163,AR164,AR165,AR171,AR176,AR186,AR189,AR190,AR199)</f>
        <v>35261.7785769572</v>
      </c>
      <c r="AS207" s="35">
        <f>SUM(AS154,AS155,AS159,AS163,AS164,AS165,AS171,AS176,AS186,AS189,AS190,AS199)</f>
        <v>37081.6522759602</v>
      </c>
      <c r="AT207" s="35">
        <f>SUM(AT154,AT155,AT159,AT163,AT164,AT165,AT171,AT176,AT186,AT189,AT190,AT199)</f>
        <v>40584.865510708</v>
      </c>
      <c r="AU207" s="35">
        <f>SUM(AU154,AU155,AU159,AU163,AU164,AU165,AU171,AU176,AU186,AU189,AU190,AU199)</f>
        <v>42424.7809723135</v>
      </c>
      <c r="AV207" s="35">
        <f>SUM(AV154,AV155,AV159,AV163,AV164,AV165,AV171,AV176,AV186,AV189,AV190,AV199)</f>
        <v>42424.7809723135</v>
      </c>
      <c r="AW207" s="35">
        <f>SUM(AW154,AW155,AW159,AW163,AW164,AW165,AW171,AW176,AW186,AW189,AW190,AW199)</f>
        <v>43607.7376886317</v>
      </c>
      <c r="AX207" s="35">
        <f>SUM(AX154,AX155,AX159,AX163,AX164,AX165,AX171,AX176,AX186,AX189,AX190,AX199)</f>
        <v>45894.7503660894</v>
      </c>
      <c r="AY207" s="35">
        <f>SUM(AY154,AY155,AY159,AY163,AY164,AY165,AY171,AY176,AY186,AY189,AY190,AY199)</f>
        <v>50246.5994268534</v>
      </c>
      <c r="AZ207" s="35">
        <f>SUM(AZ154,AZ155,AZ159,AZ163,AZ164,AZ165,AZ171,AZ176,AZ186,AZ189,AZ190,AZ199)</f>
        <v>52709.7059203386</v>
      </c>
      <c r="BA207" s="35">
        <f>SUM(BA154,BA155,BA159,BA163,BA164,BA165,BA171,BA176,BA186,BA189,BA190,BA199)</f>
        <v>52709.7059203386</v>
      </c>
      <c r="BB207" s="35">
        <f>SUM(BB154,BB155,BB159,BB163,BB164,BB165,BB171,BB176,BB186,BB189,BB190,BB199)</f>
        <v>54407.6938402381</v>
      </c>
      <c r="BC207" s="35">
        <f>SUM(BC154,BC155,BC159,BC163,BC164,BC165,BC171,BC176,BC186,BC189,BC190,BC199)</f>
        <v>57472.7245910306</v>
      </c>
      <c r="BD207" s="35">
        <f>SUM(BD154,BD155,BD159,BD163,BD164,BD165,BD171,BD176,BD186,BD189,BD190,BD199)</f>
        <v>62987.2618345899</v>
      </c>
      <c r="BE207" s="35">
        <f>SUM(BE154,BE155,BE159,BE163,BE164,BE165,BE171,BE176,BE186,BE189,BE190,BE199)</f>
        <v>66388.2954654627</v>
      </c>
      <c r="BF207" s="35">
        <f>SUM(BF154,BF155,BF159,BF163,BF164,BF165,BF171,BF176,BF186,BF189,BF190,BF199)</f>
        <v>66388.2954654627</v>
      </c>
      <c r="BG207" s="35" t="n"/>
      <c r="BH207" s="35" t="n"/>
      <c r="BI207" s="35" t="n"/>
      <c r="BJ207" s="35" t="n"/>
      <c r="BK207" s="35" t="n"/>
      <c r="BL207" s="35" t="n"/>
      <c r="BM207" s="35" t="n"/>
      <c r="BN207" s="35" t="n"/>
      <c r="BO207" s="35" t="n"/>
      <c r="BP207" s="35" t="n"/>
      <c r="BQ207" s="35" t="n"/>
      <c r="BR207" s="35" t="n"/>
      <c r="BS207" s="35" t="n"/>
      <c r="BT207" s="35" t="n"/>
      <c r="BU207" s="35" t="n"/>
      <c r="BV207" s="35" t="n"/>
      <c r="BW207" s="35" t="n"/>
      <c r="BX207" s="35" t="n"/>
      <c r="BY207" s="35" t="n"/>
      <c r="BZ207" s="35" t="n"/>
      <c r="CA207" s="35" t="n"/>
      <c r="CB207" s="35" t="n"/>
      <c r="CC207" s="35" t="n"/>
      <c r="CD207" s="35" t="n"/>
      <c r="CE207" s="35" t="n"/>
      <c r="CF207" s="35" t="n"/>
      <c r="CG207" s="35" t="n"/>
      <c r="CH207" s="35" t="n"/>
      <c r="CI207" s="35" t="n"/>
      <c r="CJ207" s="35" t="n"/>
      <c r="CK207" s="35" t="n"/>
      <c r="CL207" s="35" t="n"/>
      <c r="CM207" s="35" t="n"/>
      <c r="CN207" s="35" t="n"/>
      <c r="CO207" s="35" t="n"/>
      <c r="CP207" s="35" t="n"/>
      <c r="CQ207" s="35" t="n"/>
      <c r="CR207" s="35" t="n"/>
      <c r="CS207" s="35" t="n"/>
      <c r="CT207" s="35" t="n"/>
      <c r="CU207" s="35" t="n"/>
      <c r="CV207" s="35" t="n"/>
      <c r="CW207" s="35" t="n"/>
      <c r="CX207" s="35" t="n"/>
      <c r="CY207" s="35" t="n"/>
    </row>
    <row r="208">
      <c r="C208" s="14" t="inlineStr">
        <is>
          <t>Accounts payable</t>
        </is>
      </c>
      <c r="D208" s="46" t="n"/>
      <c r="E208" s="46" t="n"/>
      <c r="F208" s="46" t="n"/>
      <c r="G208" s="46" t="n"/>
      <c r="H208" s="12" t="n"/>
      <c r="I208" s="46">
        <f>'Inputs (2)'!D28</f>
        <v>717.97988696</v>
      </c>
      <c r="J208" s="46">
        <f>'Inputs (2)'!E28</f>
        <v>1041.78991181</v>
      </c>
      <c r="K208" s="46">
        <f>'Inputs (2)'!F28</f>
        <v>1042.603</v>
      </c>
      <c r="L208" s="46">
        <f>'Inputs (2)'!G28</f>
        <v>1056.585</v>
      </c>
      <c r="M208" s="12">
        <f>'Inputs (2)'!H28</f>
        <v>1056.585</v>
      </c>
      <c r="N208" s="46">
        <f>'Inputs (2)'!I28</f>
        <v>1260.097</v>
      </c>
      <c r="O208" s="46">
        <f>'Inputs (2)'!J28</f>
        <v>1617.196</v>
      </c>
      <c r="P208" s="46">
        <f>'Inputs (2)'!K28</f>
        <v>1436.143</v>
      </c>
      <c r="Q208" s="46">
        <f>'Inputs (2)'!L28</f>
        <v>2008.574</v>
      </c>
      <c r="R208" s="12">
        <f>'Inputs (2)'!M28</f>
        <v>2008.574</v>
      </c>
      <c r="S208" s="46">
        <f>'Inputs (2)'!N28</f>
        <v>2198.248</v>
      </c>
      <c r="T208" s="46">
        <f>'Inputs (2)'!O28</f>
        <v>2183.737</v>
      </c>
      <c r="U208" s="46">
        <f>'Inputs (2)'!P28</f>
        <v>2308.076</v>
      </c>
      <c r="V208" s="46">
        <f>'Inputs (2)'!Q28</f>
        <v>3039.206</v>
      </c>
      <c r="W208" s="12">
        <f>'Inputs (2)'!R28</f>
        <v>3039.206</v>
      </c>
      <c r="X208" s="46">
        <f>'Inputs (2)'!S28</f>
        <v>2623.383</v>
      </c>
      <c r="Y208" s="46">
        <f>'Inputs (2)'!T28</f>
        <v>2787.903</v>
      </c>
      <c r="Z208" s="46">
        <f>'Inputs (2)'!U28</f>
        <v>2958.921</v>
      </c>
      <c r="AA208" s="46">
        <f>'Inputs (2)'!V28</f>
        <v>3078.569</v>
      </c>
      <c r="AB208" s="12">
        <f>'Inputs (2)'!W28</f>
        <v>3078.569</v>
      </c>
      <c r="AC208" s="46">
        <f>'Inputs (2)'!X28</f>
        <v>3755.177</v>
      </c>
      <c r="AD208" s="46">
        <f>'Inputs (2)'!Y28</f>
        <v>3357.777</v>
      </c>
      <c r="AE208" s="46">
        <f>'Inputs (2)'!Z28</f>
        <v>4133.147</v>
      </c>
      <c r="AF208" s="46">
        <f>'Inputs (2)'!AA28</f>
        <v>4469.873</v>
      </c>
      <c r="AG208" s="12">
        <f>'Inputs (2)'!AB28</f>
        <v>4469.873</v>
      </c>
      <c r="AH208" s="12">
        <f>'Inputs (2)'!AC28</f>
        <v>4634.788</v>
      </c>
      <c r="AI208" s="12">
        <f>'Inputs (2)'!AD28</f>
        <v>4790.556</v>
      </c>
      <c r="AJ208" s="12">
        <f>(AJ209/(AJ$5-AI$5))*-AJ$64</f>
        <v>5444.80414325044</v>
      </c>
      <c r="AK208" s="12">
        <f>(AK209/(AK$5-AJ$5))*-AK$64</f>
        <v>5336.74545286952</v>
      </c>
      <c r="AL208" s="12">
        <f>AK208</f>
        <v>5336.74545286952</v>
      </c>
      <c r="AM208" s="12">
        <f>(AM209/(AM$5-AL$5))*-AM$64</f>
        <v>4861.89135949356</v>
      </c>
      <c r="AN208" s="12">
        <f>(AN209/(AN$5-AM$5))*-AN$64</f>
        <v>5038.6985112892</v>
      </c>
      <c r="AO208" s="12">
        <f>(AO209/(AO$5-AN$5))*-AO$64</f>
        <v>6378.16142601368</v>
      </c>
      <c r="AP208" s="12">
        <f>(AP209/(AP$5-AO$5))*-AP$64</f>
        <v>6251.57913717461</v>
      </c>
      <c r="AQ208" s="12">
        <f>AP208</f>
        <v>6251.57913717461</v>
      </c>
      <c r="AR208" s="12">
        <f>(AR209/(AR$5-AQ$5))*-AR$64</f>
        <v>5608.6964675555</v>
      </c>
      <c r="AS208" s="12">
        <f>(AS209/(AS$5-AR$5))*-AS$64</f>
        <v>5877.24700603453</v>
      </c>
      <c r="AT208" s="12">
        <f>(AT209/(AT$5-AS$5))*-AT$64</f>
        <v>7439.62554240078</v>
      </c>
      <c r="AU208" s="12">
        <f>(AU209/(AU$5-AT$5))*-AU$64</f>
        <v>7291.97722082932</v>
      </c>
      <c r="AV208" s="12">
        <f>AU208</f>
        <v>7291.97722082932</v>
      </c>
      <c r="AW208" s="12">
        <f>(AW209/(AW$5-AV$5))*-AW$64</f>
        <v>6586.43993833397</v>
      </c>
      <c r="AX208" s="12">
        <f>(AX209/(AX$5-AW$5))*-AX$64</f>
        <v>6825.96188563045</v>
      </c>
      <c r="AY208" s="12">
        <f>(AY209/(AY$5-AX$5))*-AY$64</f>
        <v>8640.54213539925</v>
      </c>
      <c r="AZ208" s="12">
        <f>(AZ209/(AZ$5-AY$5))*-AZ$64</f>
        <v>8469.060178883</v>
      </c>
      <c r="BA208" s="12">
        <f>AZ208</f>
        <v>8469.060178883</v>
      </c>
      <c r="BB208" s="12">
        <f>(BB209/(BB$5-BA$5))*-BB$64</f>
        <v>7616.7017079695</v>
      </c>
      <c r="BC208" s="12">
        <f>(BC209/(BC$5-BB$5))*-BC$64</f>
        <v>7893.69007226798</v>
      </c>
      <c r="BD208" s="12">
        <f>(BD209/(BD$5-BC$5))*-BD$64</f>
        <v>9992.10994963162</v>
      </c>
      <c r="BE208" s="12">
        <f>(BE209/(BE$5-BD$5))*-BE$64</f>
        <v>9793.8045033948</v>
      </c>
      <c r="BF208" s="12">
        <f>BE208</f>
        <v>9793.8045033948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7" t="inlineStr">
        <is>
          <t>DPO</t>
        </is>
      </c>
      <c r="D209" s="12" t="n"/>
      <c r="E209" s="12" t="n"/>
      <c r="F209" s="12" t="n"/>
      <c r="G209" s="12" t="n"/>
      <c r="H209" s="12" t="n"/>
      <c r="I209" s="12">
        <f>IFERROR(-(I208/I$64)*(I$5-H$5),"")</f>
        <v>25.239567056579</v>
      </c>
      <c r="J209" s="12">
        <f>IFERROR(-(J208/J$64)*(J$5-I$5),"")</f>
        <v>33.1282578825487</v>
      </c>
      <c r="K209" s="12">
        <f>IFERROR(-(K208/K$64)*(K$5-J$5),"")</f>
        <v>28.968025370717</v>
      </c>
      <c r="L209" s="12">
        <f>IFERROR(-(L208/L$64)*(L$5-K$5),"")</f>
        <v>28.2467524350188</v>
      </c>
      <c r="M209" s="12" t="n"/>
      <c r="N209" s="12">
        <f>IFERROR(-(N208/N$64)*(N$5-M$5),"")</f>
        <v>31.9185421945603</v>
      </c>
      <c r="O209" s="12">
        <f>IFERROR(-(O208/O$64)*(O$5-N$5),"")</f>
        <v>36.613350496625</v>
      </c>
      <c r="P209" s="12">
        <f>IFERROR(-(P208/P$64)*(P$5-O$5),"")</f>
        <v>28.9178543491745</v>
      </c>
      <c r="Q209" s="12">
        <f>IFERROR(-(Q208/Q$64)*(Q$5-P$5),"")</f>
        <v>38.8791295903495</v>
      </c>
      <c r="R209" s="12" t="n"/>
      <c r="S209" s="12">
        <f>IFERROR(-(S208/S$64)*(S$5-R$5),"")</f>
        <v>43.2488955866163</v>
      </c>
      <c r="T209" s="12">
        <f>IFERROR(-(T208/T$64)*(T$5-S$5),"")</f>
        <v>39.8633003399372</v>
      </c>
      <c r="U209" s="12">
        <f>IFERROR(-(U208/U$64)*(U$5-T$5),"")</f>
        <v>39.5115316633927</v>
      </c>
      <c r="V209" s="12">
        <f>IFERROR(-(V208/V$64)*(V$5-U$5),"")</f>
        <v>47.8042046129371</v>
      </c>
      <c r="W209" s="12" t="n"/>
      <c r="X209" s="12">
        <f>IFERROR(-(X208/X$64)*(X$5-W$5),"")</f>
        <v>41.643062904215</v>
      </c>
      <c r="Y209" s="12">
        <f>IFERROR(-(Y208/Y$64)*(Y$5-X$5),"")</f>
        <v>42.8078773838008</v>
      </c>
      <c r="Z209" s="12">
        <f>IFERROR(-(Z208/Z$64)*(Z$5-Y$5),"")</f>
        <v>42.0135217058475</v>
      </c>
      <c r="AA209" s="12">
        <f>IFERROR(-(AA208/AA$64)*(AA$5-Z$5),"")</f>
        <v>41.5218808819526</v>
      </c>
      <c r="AB209" s="12" t="n"/>
      <c r="AC209" s="12">
        <f>IFERROR(-(AC208/AC$64)*(AC$5-AB$5),"")</f>
        <v>52.1660074256073</v>
      </c>
      <c r="AD209" s="12">
        <f>IFERROR(-(AD208/AD$64)*(AD$5-AC$5),"")</f>
        <v>45.7011364645936</v>
      </c>
      <c r="AE209" s="12">
        <f>IFERROR(-(AE208/AE$64)*(AE$5-AD$5),"")</f>
        <v>44.8896373455806</v>
      </c>
      <c r="AF209" s="11">
        <f>IFERROR(-(AF208/AF$64)*(AF$5-AE$5),"")</f>
        <v>50.3018199426329</v>
      </c>
      <c r="AG209" s="12" t="n"/>
      <c r="AH209" s="11">
        <f>IFERROR(-(AH208/AH$64)*(AH$5-AG$5),"")</f>
        <v>57.521351374384</v>
      </c>
      <c r="AI209" s="11">
        <f>IFERROR(-(AI208/AI$64)*(AI$5-AH$5),"")</f>
        <v>57.8073490578372</v>
      </c>
      <c r="AJ209" s="11">
        <f>Control!$B$27</f>
        <v>51.3978836017726</v>
      </c>
      <c r="AK209" s="11">
        <f>Control!$B$27</f>
        <v>51.3978836017726</v>
      </c>
      <c r="AL209" s="12" t="n"/>
      <c r="AM209" s="11">
        <f>Control!$C$27</f>
        <v>51.3978836017726</v>
      </c>
      <c r="AN209" s="11">
        <f>Control!$C$27</f>
        <v>51.3978836017726</v>
      </c>
      <c r="AO209" s="11">
        <f>Control!$C$27</f>
        <v>51.3978836017726</v>
      </c>
      <c r="AP209" s="11">
        <f>Control!$C$27</f>
        <v>51.3978836017726</v>
      </c>
      <c r="AQ209" s="12" t="n"/>
      <c r="AR209" s="11">
        <f>Control!$D$27</f>
        <v>51.3978836017726</v>
      </c>
      <c r="AS209" s="11">
        <f>Control!$D$27</f>
        <v>51.3978836017726</v>
      </c>
      <c r="AT209" s="11">
        <f>Control!$D$27</f>
        <v>51.3978836017726</v>
      </c>
      <c r="AU209" s="11">
        <f>Control!$D$27</f>
        <v>51.3978836017726</v>
      </c>
      <c r="AV209" s="12" t="n"/>
      <c r="AW209" s="11">
        <f>Control!$E$27</f>
        <v>51.3978836017726</v>
      </c>
      <c r="AX209" s="11">
        <f>Control!$E$27</f>
        <v>51.3978836017726</v>
      </c>
      <c r="AY209" s="11">
        <f>Control!$E$27</f>
        <v>51.3978836017726</v>
      </c>
      <c r="AZ209" s="11">
        <f>Control!$E$27</f>
        <v>51.3978836017726</v>
      </c>
      <c r="BA209" s="12" t="n"/>
      <c r="BB209" s="11">
        <f>Control!$F$27</f>
        <v>51.3978836017726</v>
      </c>
      <c r="BC209" s="11">
        <f>Control!$F$27</f>
        <v>51.3978836017726</v>
      </c>
      <c r="BD209" s="11">
        <f>Control!$F$27</f>
        <v>51.3978836017726</v>
      </c>
      <c r="BE209" s="11">
        <f>Control!$F$27</f>
        <v>51.3978836017726</v>
      </c>
      <c r="BF209" s="12" t="n"/>
      <c r="BG209" s="11" t="n"/>
      <c r="BH209" s="11" t="n"/>
      <c r="BI209" s="11" t="n"/>
      <c r="BJ209" s="11" t="n"/>
      <c r="BK209" s="12" t="n"/>
      <c r="BL209" s="11" t="n"/>
      <c r="BM209" s="11" t="n"/>
      <c r="BN209" s="11" t="n"/>
      <c r="BO209" s="11" t="n"/>
      <c r="BP209" s="12" t="n"/>
      <c r="BQ209" s="11" t="n"/>
      <c r="BR209" s="11" t="n"/>
      <c r="BS209" s="11" t="n"/>
      <c r="BT209" s="11" t="n"/>
      <c r="BU209" s="12" t="n"/>
      <c r="BV209" s="11" t="n"/>
      <c r="BW209" s="11" t="n"/>
      <c r="BX209" s="11" t="n"/>
      <c r="BY209" s="11" t="n"/>
      <c r="BZ209" s="12" t="n"/>
      <c r="CA209" s="11" t="n"/>
      <c r="CB209" s="11" t="n"/>
      <c r="CC209" s="11" t="n"/>
      <c r="CD209" s="11" t="n"/>
      <c r="CE209" s="12" t="n"/>
      <c r="CF209" s="11" t="n"/>
      <c r="CG209" s="11" t="n"/>
      <c r="CH209" s="11" t="n"/>
      <c r="CI209" s="11" t="n"/>
      <c r="CJ209" s="12" t="n"/>
      <c r="CK209" s="11" t="n"/>
      <c r="CL209" s="11" t="n"/>
      <c r="CM209" s="11" t="n"/>
      <c r="CN209" s="11" t="n"/>
      <c r="CO209" s="12" t="n"/>
      <c r="CP209" s="11" t="n"/>
      <c r="CQ209" s="11" t="n"/>
      <c r="CR209" s="11" t="n"/>
      <c r="CS209" s="11" t="n"/>
      <c r="CT209" s="12" t="n"/>
      <c r="CU209" s="11" t="n"/>
      <c r="CV209" s="11" t="n"/>
      <c r="CW209" s="11" t="n"/>
      <c r="CX209" s="11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7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collapsed="1">
      <c r="C212" s="14" t="inlineStr">
        <is>
          <t>Accrued expenses</t>
        </is>
      </c>
      <c r="D212" s="46" t="n"/>
      <c r="E212" s="46" t="n"/>
      <c r="F212" s="46" t="n"/>
      <c r="G212" s="46" t="n"/>
      <c r="H212" s="12" t="n"/>
      <c r="I212" s="46">
        <f>'Inputs (2)'!D29</f>
        <v>199.7580463</v>
      </c>
      <c r="J212" s="46">
        <f>'Inputs (2)'!E29</f>
        <v>237.62315962</v>
      </c>
      <c r="K212" s="46">
        <f>'Inputs (2)'!F29</f>
        <v>271.913</v>
      </c>
      <c r="L212" s="46">
        <f>'Inputs (2)'!G29</f>
        <v>224.68</v>
      </c>
      <c r="M212" s="12">
        <f>'Inputs (2)'!H29</f>
        <v>224.68</v>
      </c>
      <c r="N212" s="46">
        <f>'Inputs (2)'!I29</f>
        <v>237.809</v>
      </c>
      <c r="O212" s="46">
        <f>'Inputs (2)'!J29</f>
        <v>267.69</v>
      </c>
      <c r="P212" s="46">
        <f>'Inputs (2)'!K29</f>
        <v>328.581</v>
      </c>
      <c r="Q212" s="46">
        <f>'Inputs (2)'!L29</f>
        <v>301.307</v>
      </c>
      <c r="R212" s="12">
        <f>'Inputs (2)'!M29</f>
        <v>301.307</v>
      </c>
      <c r="S212" s="46">
        <f>'Inputs (2)'!N29</f>
        <v>309.092</v>
      </c>
      <c r="T212" s="46">
        <f>'Inputs (2)'!O29</f>
        <v>357.078</v>
      </c>
      <c r="U212" s="46">
        <f>'Inputs (2)'!P29</f>
        <v>410.755</v>
      </c>
      <c r="V212" s="46">
        <f>'Inputs (2)'!Q29</f>
        <v>394.255</v>
      </c>
      <c r="W212" s="12">
        <f>'Inputs (2)'!R29</f>
        <v>394.255</v>
      </c>
      <c r="X212" s="46">
        <f>'Inputs (2)'!S29</f>
        <v>429.905</v>
      </c>
      <c r="Y212" s="46">
        <f>'Inputs (2)'!T29</f>
        <v>454.609</v>
      </c>
      <c r="Z212" s="46">
        <f>'Inputs (2)'!U29</f>
        <v>494.728</v>
      </c>
      <c r="AA212" s="46">
        <f>'Inputs (2)'!V29</f>
        <v>445.071</v>
      </c>
      <c r="AB212" s="12">
        <f>'Inputs (2)'!W29</f>
        <v>445.071</v>
      </c>
      <c r="AC212" s="46">
        <f>'Inputs (2)'!X29</f>
        <v>482.103</v>
      </c>
      <c r="AD212" s="46">
        <f>'Inputs (2)'!Y29</f>
        <v>472.507</v>
      </c>
      <c r="AE212" s="46">
        <f>'Inputs (2)'!Z29</f>
        <v>596.021</v>
      </c>
      <c r="AF212" s="46">
        <f>'Inputs (2)'!AA29</f>
        <v>526.602</v>
      </c>
      <c r="AG212" s="12">
        <f>'Inputs (2)'!AB29</f>
        <v>526.602</v>
      </c>
      <c r="AH212" s="12">
        <f>'Inputs (2)'!AC29</f>
        <v>545.443</v>
      </c>
      <c r="AI212" s="12">
        <f>'Inputs (2)'!AD29</f>
        <v>563.536</v>
      </c>
      <c r="AJ212" s="12">
        <f>AI212*(1+AJ16)</f>
        <v>660.13826811855</v>
      </c>
      <c r="AK212" s="12">
        <f>AJ212*(1+AK16)</f>
        <v>773.300255945598</v>
      </c>
      <c r="AL212" s="12">
        <f>AK212</f>
        <v>773.300255945598</v>
      </c>
      <c r="AM212" s="12">
        <f>AL212*(1+AM16)</f>
        <v>905.86065787378</v>
      </c>
      <c r="AN212" s="12">
        <f>AM212*(1+AN16)</f>
        <v>1061.14478195808</v>
      </c>
      <c r="AO212" s="12">
        <f>AN212*(1+AO16)</f>
        <v>1243.04796603028</v>
      </c>
      <c r="AP212" s="12">
        <f>AO212*(1+AP16)</f>
        <v>1456.13329314102</v>
      </c>
      <c r="AQ212" s="12">
        <f>AP212</f>
        <v>1456.13329314102</v>
      </c>
      <c r="AR212" s="12">
        <f>AQ212*(1+AR16)</f>
        <v>1698.46539107786</v>
      </c>
      <c r="AS212" s="12">
        <f>AR212*(1+AS16)</f>
        <v>1981.12679538185</v>
      </c>
      <c r="AT212" s="12">
        <f>AS212*(1+AT16)</f>
        <v>2310.82917555899</v>
      </c>
      <c r="AU212" s="12">
        <f>AT212*(1+AU16)</f>
        <v>2695.40116819501</v>
      </c>
      <c r="AV212" s="12">
        <f>AU212</f>
        <v>2695.40116819501</v>
      </c>
      <c r="AW212" s="12">
        <f>AV212*(1+AW16)</f>
        <v>3130.49725861306</v>
      </c>
      <c r="AX212" s="12">
        <f>AW212*(1+AX16)</f>
        <v>3635.82727566543</v>
      </c>
      <c r="AY212" s="12">
        <f>AX212*(1+AY16)</f>
        <v>4222.72849532198</v>
      </c>
      <c r="AZ212" s="12">
        <f>AY212*(1+AZ16)</f>
        <v>4904.36827528908</v>
      </c>
      <c r="BA212" s="12">
        <f>AZ212</f>
        <v>4904.36827528908</v>
      </c>
      <c r="BB212" s="12">
        <f>BA212*(1+BB16)</f>
        <v>5671.51762843748</v>
      </c>
      <c r="BC212" s="12">
        <f>BB212*(1+BC16)</f>
        <v>6558.6657453413</v>
      </c>
      <c r="BD212" s="12">
        <f>BC212*(1+BD16)</f>
        <v>7584.58303002127</v>
      </c>
      <c r="BE212" s="12">
        <f>BD212*(1+BE16)</f>
        <v>8770.97598397172</v>
      </c>
      <c r="BF212" s="12">
        <f>BE212</f>
        <v>8770.97598397172</v>
      </c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9" t="inlineStr">
        <is>
          <t>%(Var.)</t>
        </is>
      </c>
      <c r="D213" s="12" t="n"/>
      <c r="E213" s="40" t="n"/>
      <c r="F213" s="40" t="n"/>
      <c r="G213" s="40" t="n"/>
      <c r="H213" s="12" t="n"/>
      <c r="I213" s="40" t="str">
        <f>""</f>
        <v/>
      </c>
      <c r="J213" s="40">
        <f>IFERROR(IF(I212=0,"",J212/I212-1),"")</f>
        <v>0.189554884127839</v>
      </c>
      <c r="K213" s="40">
        <f>IFERROR(IF(J212=0,"",K212/J212-1),"")</f>
        <v>0.14430344430583</v>
      </c>
      <c r="L213" s="40">
        <f>IFERROR(IF(K212=0,"",L212/K212-1),"")</f>
        <v>-0.173706295763719</v>
      </c>
      <c r="M213" s="12">
        <f>IF(L212=0,"",M212/L212-1)</f>
        <v>0</v>
      </c>
      <c r="N213" s="40">
        <f>IFERROR(IF(M212=0,"",N212/M212-1),"")</f>
        <v>0.0584342175538544</v>
      </c>
      <c r="O213" s="40">
        <f>IFERROR(IF(N212=0,"",O212/N212-1),"")</f>
        <v>0.125651257942298</v>
      </c>
      <c r="P213" s="40">
        <f>IFERROR(IF(O212=0,"",P212/O212-1),"")</f>
        <v>0.227468340244313</v>
      </c>
      <c r="Q213" s="40">
        <f>IFERROR(IF(P212=0,"",Q212/P212-1),"")</f>
        <v>-0.0830054081033291</v>
      </c>
      <c r="R213" s="12">
        <f>IF(Q212=0,"",R212/Q212-1)</f>
        <v>0</v>
      </c>
      <c r="S213" s="40">
        <f>IFERROR(IF(R212=0,"",S212/R212-1),"")</f>
        <v>0.0258374349085815</v>
      </c>
      <c r="T213" s="40">
        <f>IFERROR(IF(S212=0,"",T212/S212-1),"")</f>
        <v>0.155248275594321</v>
      </c>
      <c r="U213" s="40">
        <f>IFERROR(IF(T212=0,"",U212/T212-1),"")</f>
        <v>0.150322898638393</v>
      </c>
      <c r="V213" s="40">
        <f>IFERROR(IF(U212=0,"",V212/U212-1),"")</f>
        <v>-0.0401699309807549</v>
      </c>
      <c r="W213" s="12">
        <f>IF(V212=0,"",W212/V212-1)</f>
        <v>0</v>
      </c>
      <c r="X213" s="40">
        <f>IFERROR(IF(W212=0,"",X212/W212-1),"")</f>
        <v>0.0904237105426691</v>
      </c>
      <c r="Y213" s="40">
        <f>IFERROR(IF(X212=0,"",Y212/X212-1),"")</f>
        <v>0.0574638582942744</v>
      </c>
      <c r="Z213" s="40">
        <f>IFERROR(IF(Y212=0,"",Z212/Y212-1),"")</f>
        <v>0.0882494627251111</v>
      </c>
      <c r="AA213" s="40">
        <f>IFERROR(IF(Z212=0,"",AA212/Z212-1),"")</f>
        <v>-0.10037232580327</v>
      </c>
      <c r="AB213" s="12">
        <f>IF(AA212=0,"",AB212/AA212-1)</f>
        <v>0</v>
      </c>
      <c r="AC213" s="40">
        <f>IFERROR(IF(AB212=0,"",AC212/AB212-1),"")</f>
        <v>0.0832047021711142</v>
      </c>
      <c r="AD213" s="40">
        <f>IFERROR(IF(AC212=0,"",AD212/AC212-1),"")</f>
        <v>-0.0199044602501955</v>
      </c>
      <c r="AE213" s="40">
        <f>IFERROR(IF(AD212=0,"",AE212/AD212-1),"")</f>
        <v>0.261401418391685</v>
      </c>
      <c r="AF213" s="55">
        <f>IFERROR(IF(AE212=0,"",AF212/AE212-1),"")</f>
        <v>-0.116470728380376</v>
      </c>
      <c r="AG213" s="12">
        <f>IF(AF212=0,"",AG212/AF212-1)</f>
        <v>0</v>
      </c>
      <c r="AH213" s="55">
        <f>IFERROR(IF(AG212=0,"",AH212/AG212-1),"")</f>
        <v>0.0357784436823256</v>
      </c>
      <c r="AI213" s="55">
        <f>IFERROR(IF(AH212=0,"",AI212/AH212-1),"")</f>
        <v>0.0331712021237782</v>
      </c>
      <c r="AJ213" s="55">
        <f>IFERROR(IF(AI212=0,"",AJ212/AI212-1),"")</f>
        <v>0.171421644967757</v>
      </c>
      <c r="AK213" s="55">
        <f>IF(AJ212=0,"",AK212/AJ212-1)</f>
        <v>0.171421644967757</v>
      </c>
      <c r="AL213" s="12">
        <f>IF(AK212=0,"",AL212/AK212-1)</f>
        <v>0</v>
      </c>
      <c r="AM213" s="55">
        <f>IF(AL212=0,"",AM212/AL212-1)</f>
        <v>0.171421644967757</v>
      </c>
      <c r="AN213" s="55">
        <f>IF(AM212=0,"",AN212/AM212-1)</f>
        <v>0.171421644967757</v>
      </c>
      <c r="AO213" s="55">
        <f>IF(AN212=0,"",AO212/AN212-1)</f>
        <v>0.171421644967757</v>
      </c>
      <c r="AP213" s="55">
        <f>IF(AO212=0,"",AP212/AO212-1)</f>
        <v>0.171421644967757</v>
      </c>
      <c r="AQ213" s="12">
        <f>IF(AP212=0,"",AQ212/AP212-1)</f>
        <v>0</v>
      </c>
      <c r="AR213" s="55">
        <f>IF(AQ212=0,"",AR212/AQ212-1)</f>
        <v>0.166421644967757</v>
      </c>
      <c r="AS213" s="55">
        <f>IF(AR212=0,"",AS212/AR212-1)</f>
        <v>0.166421644967757</v>
      </c>
      <c r="AT213" s="55">
        <f>IF(AS212=0,"",AT212/AS212-1)</f>
        <v>0.166421644967757</v>
      </c>
      <c r="AU213" s="55">
        <f>IF(AT212=0,"",AU212/AT212-1)</f>
        <v>0.166421644967757</v>
      </c>
      <c r="AV213" s="12">
        <f>IF(AU212=0,"",AV212/AU212-1)</f>
        <v>0</v>
      </c>
      <c r="AW213" s="55">
        <f>IF(AV212=0,"",AW212/AV212-1)</f>
        <v>0.161421644967757</v>
      </c>
      <c r="AX213" s="55">
        <f>IF(AW212=0,"",AX212/AW212-1)</f>
        <v>0.161421644967757</v>
      </c>
      <c r="AY213" s="55">
        <f>IF(AX212=0,"",AY212/AX212-1)</f>
        <v>0.161421644967757</v>
      </c>
      <c r="AZ213" s="55">
        <f>IF(AY212=0,"",AZ212/AY212-1)</f>
        <v>0.161421644967757</v>
      </c>
      <c r="BA213" s="12">
        <f>IF(AZ212=0,"",BA212/AZ212-1)</f>
        <v>0</v>
      </c>
      <c r="BB213" s="55">
        <f>IF(BA212=0,"",BB212/BA212-1)</f>
        <v>0.156421644967757</v>
      </c>
      <c r="BC213" s="55">
        <f>IF(BB212=0,"",BC212/BB212-1)</f>
        <v>0.156421644967757</v>
      </c>
      <c r="BD213" s="55">
        <f>IF(BC212=0,"",BD212/BC212-1)</f>
        <v>0.156421644967757</v>
      </c>
      <c r="BE213" s="55">
        <f>IF(BD212=0,"",BE212/BD212-1)</f>
        <v>0.156421644967757</v>
      </c>
      <c r="BF213" s="12">
        <f>IF(BE212=0,"",BF212/BE212-1)</f>
        <v>0</v>
      </c>
      <c r="BG213" s="55" t="n"/>
      <c r="BH213" s="55" t="n"/>
      <c r="BI213" s="55" t="n"/>
      <c r="BJ213" s="55" t="n"/>
      <c r="BK213" s="12" t="n"/>
      <c r="BL213" s="55" t="n"/>
      <c r="BM213" s="55" t="n"/>
      <c r="BN213" s="55" t="n"/>
      <c r="BO213" s="55" t="n"/>
      <c r="BP213" s="12" t="n"/>
      <c r="BQ213" s="55" t="n"/>
      <c r="BR213" s="55" t="n"/>
      <c r="BS213" s="55" t="n"/>
      <c r="BT213" s="55" t="n"/>
      <c r="BU213" s="12" t="n"/>
      <c r="BV213" s="55" t="n"/>
      <c r="BW213" s="55" t="n"/>
      <c r="BX213" s="55" t="n"/>
      <c r="BY213" s="55" t="n"/>
      <c r="BZ213" s="12" t="n"/>
      <c r="CA213" s="55" t="n"/>
      <c r="CB213" s="55" t="n"/>
      <c r="CC213" s="55" t="n"/>
      <c r="CD213" s="55" t="n"/>
      <c r="CE213" s="12" t="n"/>
      <c r="CF213" s="55" t="n"/>
      <c r="CG213" s="55" t="n"/>
      <c r="CH213" s="55" t="n"/>
      <c r="CI213" s="55" t="n"/>
      <c r="CJ213" s="12" t="n"/>
      <c r="CK213" s="55" t="n"/>
      <c r="CL213" s="55" t="n"/>
      <c r="CM213" s="55" t="n"/>
      <c r="CN213" s="55" t="n"/>
      <c r="CO213" s="12" t="n"/>
      <c r="CP213" s="55" t="n"/>
      <c r="CQ213" s="55" t="n"/>
      <c r="CR213" s="55" t="n"/>
      <c r="CS213" s="55" t="n"/>
      <c r="CT213" s="12" t="n"/>
      <c r="CU213" s="55" t="n"/>
      <c r="CV213" s="55" t="n"/>
      <c r="CW213" s="55" t="n"/>
      <c r="CX213" s="55" t="n"/>
      <c r="CY213" s="12" t="n"/>
    </row>
    <row r="214" collapsed="1">
      <c r="C214" s="14" t="inlineStr">
        <is>
          <t>Taxes payable</t>
        </is>
      </c>
      <c r="D214" s="46" t="n"/>
      <c r="E214" s="46" t="n"/>
      <c r="F214" s="46" t="n"/>
      <c r="G214" s="46" t="n"/>
      <c r="H214" s="12" t="n"/>
      <c r="I214" s="46">
        <f>'Inputs (2)'!D30</f>
        <v>82.18213189</v>
      </c>
      <c r="J214" s="46">
        <f>'Inputs (2)'!E30</f>
        <v>84.23464572</v>
      </c>
      <c r="K214" s="46">
        <f>'Inputs (2)'!F30</f>
        <v>102.009</v>
      </c>
      <c r="L214" s="46">
        <f>'Inputs (2)'!G30</f>
        <v>128.618</v>
      </c>
      <c r="M214" s="12">
        <f>'Inputs (2)'!H30</f>
        <v>128.618</v>
      </c>
      <c r="N214" s="46">
        <f>'Inputs (2)'!I30</f>
        <v>115.444</v>
      </c>
      <c r="O214" s="46">
        <f>'Inputs (2)'!J30</f>
        <v>119.305</v>
      </c>
      <c r="P214" s="46">
        <f>'Inputs (2)'!K30</f>
        <v>118.858</v>
      </c>
      <c r="Q214" s="46">
        <f>'Inputs (2)'!L30</f>
        <v>142.566</v>
      </c>
      <c r="R214" s="12">
        <f>'Inputs (2)'!M30</f>
        <v>142.566</v>
      </c>
      <c r="S214" s="46">
        <f>'Inputs (2)'!N30</f>
        <v>125.945</v>
      </c>
      <c r="T214" s="46">
        <f>'Inputs (2)'!O30</f>
        <v>175.951</v>
      </c>
      <c r="U214" s="46">
        <f>'Inputs (2)'!P30</f>
        <v>156.525</v>
      </c>
      <c r="V214" s="46">
        <f>'Inputs (2)'!Q30</f>
        <v>224.887</v>
      </c>
      <c r="W214" s="12">
        <f>'Inputs (2)'!R30</f>
        <v>224.887</v>
      </c>
      <c r="X214" s="46">
        <f>'Inputs (2)'!S30</f>
        <v>300.564</v>
      </c>
      <c r="Y214" s="46">
        <f>'Inputs (2)'!T30</f>
        <v>524.916</v>
      </c>
      <c r="Z214" s="46">
        <f>'Inputs (2)'!U30</f>
        <v>657.468</v>
      </c>
      <c r="AA214" s="46">
        <f>'Inputs (2)'!V30</f>
        <v>434.563</v>
      </c>
      <c r="AB214" s="12">
        <f>'Inputs (2)'!W30</f>
        <v>434.563</v>
      </c>
      <c r="AC214" s="46">
        <f>'Inputs (2)'!X30</f>
        <v>401.21</v>
      </c>
      <c r="AD214" s="46">
        <f>'Inputs (2)'!Y30</f>
        <v>352.988</v>
      </c>
      <c r="AE214" s="46">
        <f>'Inputs (2)'!Z30</f>
        <v>368.763</v>
      </c>
      <c r="AF214" s="46">
        <f>'Inputs (2)'!AA30</f>
        <v>371.5</v>
      </c>
      <c r="AG214" s="12">
        <f>'Inputs (2)'!AB30</f>
        <v>371.5</v>
      </c>
      <c r="AH214" s="12">
        <f>'Inputs (2)'!AC30</f>
        <v>274.497</v>
      </c>
      <c r="AI214" s="12">
        <f>'Inputs (2)'!AD30</f>
        <v>218.708</v>
      </c>
      <c r="AJ214" s="12">
        <f>AI214*(1+AJ16)</f>
        <v>256.199285127608</v>
      </c>
      <c r="AK214" s="12">
        <f>AJ214*(1+AK16)</f>
        <v>300.117388023746</v>
      </c>
      <c r="AL214" s="12">
        <f>AK214</f>
        <v>300.117388023746</v>
      </c>
      <c r="AM214" s="12">
        <f>AL214*(1+AM16)</f>
        <v>351.564004362203</v>
      </c>
      <c r="AN214" s="12">
        <f>AM214*(1+AN16)</f>
        <v>411.829684301424</v>
      </c>
      <c r="AO214" s="12">
        <f>AN214*(1+AO16)</f>
        <v>482.426206230926</v>
      </c>
      <c r="AP214" s="12">
        <f>AO214*(1+AP16)</f>
        <v>565.124500078586</v>
      </c>
      <c r="AQ214" s="12">
        <f>AP214</f>
        <v>565.124500078586</v>
      </c>
      <c r="AR214" s="12">
        <f>AQ214*(1+AR16)</f>
        <v>659.173448993245</v>
      </c>
      <c r="AS214" s="12">
        <f>AR214*(1+AS16)</f>
        <v>768.874178693771</v>
      </c>
      <c r="AT214" s="12">
        <f>AS214*(1+AT16)</f>
        <v>896.831484285222</v>
      </c>
      <c r="AU214" s="12">
        <f>AT214*(1+AU16)</f>
        <v>1046.08365515884</v>
      </c>
      <c r="AV214" s="12">
        <f>AU214</f>
        <v>1046.08365515884</v>
      </c>
      <c r="AW214" s="12">
        <f>AV214*(1+AW16)</f>
        <v>1214.94419954847</v>
      </c>
      <c r="AX214" s="12">
        <f>AW214*(1+AX16)</f>
        <v>1411.06249078362</v>
      </c>
      <c r="AY214" s="12">
        <f>AX214*(1+AY16)</f>
        <v>1638.83851919821</v>
      </c>
      <c r="AZ214" s="12">
        <f>AY214*(1+AZ16)</f>
        <v>1903.3825288037</v>
      </c>
      <c r="BA214" s="12">
        <f>AZ214</f>
        <v>1903.3825288037</v>
      </c>
      <c r="BB214" s="12">
        <f>BA214*(1+BB16)</f>
        <v>2201.11275496207</v>
      </c>
      <c r="BC214" s="12">
        <f>BB214*(1+BC16)</f>
        <v>2545.41443285275</v>
      </c>
      <c r="BD214" s="12">
        <f>BC214*(1+BD16)</f>
        <v>2943.57234556424</v>
      </c>
      <c r="BE214" s="12">
        <f>BD214*(1+BE16)</f>
        <v>3404.010773939</v>
      </c>
      <c r="BF214" s="12">
        <f>BE214</f>
        <v>3404.010773939</v>
      </c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>
      <c r="C215" s="14" t="inlineStr">
        <is>
          <t>Other current liabilities (non-debt)</t>
        </is>
      </c>
      <c r="D215" s="46" t="n"/>
      <c r="E215" s="46" t="n"/>
      <c r="F215" s="46" t="n"/>
      <c r="G215" s="46" t="n"/>
      <c r="H215" s="12" t="n"/>
      <c r="I215" s="46">
        <f>'Inputs (2)'!D31</f>
        <v>11.90376382</v>
      </c>
      <c r="J215" s="46">
        <f>'Inputs (2)'!E31</f>
        <v>11.02509488</v>
      </c>
      <c r="K215" s="46">
        <f>'Inputs (2)'!F31</f>
        <v>10.107</v>
      </c>
      <c r="L215" s="46">
        <f>'Inputs (2)'!G31</f>
        <v>6.485</v>
      </c>
      <c r="M215" s="12">
        <f>'Inputs (2)'!H31</f>
        <v>6.485</v>
      </c>
      <c r="N215" s="46">
        <f>'Inputs (2)'!I31</f>
        <v>10.036</v>
      </c>
      <c r="O215" s="46">
        <f>'Inputs (2)'!J31</f>
        <v>104.094</v>
      </c>
      <c r="P215" s="46">
        <f>'Inputs (2)'!K31</f>
        <v>56.304</v>
      </c>
      <c r="Q215" s="46">
        <f>'Inputs (2)'!L31</f>
        <v>27.794</v>
      </c>
      <c r="R215" s="12">
        <f>'Inputs (2)'!M31</f>
        <v>27.794</v>
      </c>
      <c r="S215" s="46">
        <f>'Inputs (2)'!N31</f>
        <v>23.079</v>
      </c>
      <c r="T215" s="46">
        <f>'Inputs (2)'!O31</f>
        <v>56.905</v>
      </c>
      <c r="U215" s="46">
        <f>'Inputs (2)'!P31</f>
        <v>67.267</v>
      </c>
      <c r="V215" s="46">
        <f>'Inputs (2)'!Q31</f>
        <v>76.354</v>
      </c>
      <c r="W215" s="12">
        <f>'Inputs (2)'!R31</f>
        <v>76.354</v>
      </c>
      <c r="X215" s="46">
        <f>'Inputs (2)'!S31</f>
        <v>178.543</v>
      </c>
      <c r="Y215" s="46">
        <f>'Inputs (2)'!T31</f>
        <v>338.727</v>
      </c>
      <c r="Z215" s="46">
        <f>'Inputs (2)'!U31</f>
        <v>458.935</v>
      </c>
      <c r="AA215" s="46">
        <f>'Inputs (2)'!V31</f>
        <v>214.597</v>
      </c>
      <c r="AB215" s="12">
        <f>'Inputs (2)'!W31</f>
        <v>214.597</v>
      </c>
      <c r="AC215" s="46">
        <f>'Inputs (2)'!X31</f>
        <v>231.191</v>
      </c>
      <c r="AD215" s="46">
        <f>'Inputs (2)'!Y31</f>
        <v>390.144</v>
      </c>
      <c r="AE215" s="46">
        <f>'Inputs (2)'!Z31</f>
        <v>507.504</v>
      </c>
      <c r="AF215" s="46">
        <f>'Inputs (2)'!AA31</f>
        <v>502.183</v>
      </c>
      <c r="AG215" s="12">
        <f>'Inputs (2)'!AB31</f>
        <v>502.183</v>
      </c>
      <c r="AH215" s="12">
        <f>'Inputs (2)'!AC31</f>
        <v>312.021</v>
      </c>
      <c r="AI215" s="12">
        <f>'Inputs (2)'!AD31</f>
        <v>161.023</v>
      </c>
      <c r="AJ215" s="12">
        <f>AI215</f>
        <v>161.023</v>
      </c>
      <c r="AK215" s="12">
        <f>AJ215</f>
        <v>161.023</v>
      </c>
      <c r="AL215" s="12">
        <f>AK215</f>
        <v>161.023</v>
      </c>
      <c r="AM215" s="12">
        <f>AL215</f>
        <v>161.023</v>
      </c>
      <c r="AN215" s="12">
        <f>AM215</f>
        <v>161.023</v>
      </c>
      <c r="AO215" s="12">
        <f>AN215</f>
        <v>161.023</v>
      </c>
      <c r="AP215" s="12">
        <f>AO215</f>
        <v>161.023</v>
      </c>
      <c r="AQ215" s="12">
        <f>AP215</f>
        <v>161.023</v>
      </c>
      <c r="AR215" s="12">
        <f>AQ215</f>
        <v>161.023</v>
      </c>
      <c r="AS215" s="12">
        <f>AR215</f>
        <v>161.023</v>
      </c>
      <c r="AT215" s="12">
        <f>AS215</f>
        <v>161.023</v>
      </c>
      <c r="AU215" s="12">
        <f>AT215</f>
        <v>161.023</v>
      </c>
      <c r="AV215" s="12">
        <f>AU215</f>
        <v>161.023</v>
      </c>
      <c r="AW215" s="12">
        <f>AV215</f>
        <v>161.023</v>
      </c>
      <c r="AX215" s="12">
        <f>AW215</f>
        <v>161.023</v>
      </c>
      <c r="AY215" s="12">
        <f>AX215</f>
        <v>161.023</v>
      </c>
      <c r="AZ215" s="12">
        <f>AY215</f>
        <v>161.023</v>
      </c>
      <c r="BA215" s="12">
        <f>AZ215</f>
        <v>161.023</v>
      </c>
      <c r="BB215" s="12">
        <f>BA215</f>
        <v>161.023</v>
      </c>
      <c r="BC215" s="12">
        <f>BB215</f>
        <v>161.023</v>
      </c>
      <c r="BD215" s="12">
        <f>BC215</f>
        <v>161.023</v>
      </c>
      <c r="BE215" s="12">
        <f>BD215</f>
        <v>161.023</v>
      </c>
      <c r="BF215" s="12">
        <f>BE215</f>
        <v>161.023</v>
      </c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9" t="inlineStr">
        <is>
          <t>%(Var.)</t>
        </is>
      </c>
      <c r="D216" s="12" t="n"/>
      <c r="E216" s="40" t="n"/>
      <c r="F216" s="40" t="n"/>
      <c r="G216" s="40" t="n"/>
      <c r="H216" s="12" t="n"/>
      <c r="I216" s="40" t="str">
        <f>""</f>
        <v/>
      </c>
      <c r="J216" s="40">
        <f>IFERROR(IF(I215=0,"",J215/I215-1),"")</f>
        <v>-0.0738143794926199</v>
      </c>
      <c r="K216" s="40">
        <f>IFERROR(IF(J215=0,"",K215/J215-1),"")</f>
        <v>-0.0832731953777074</v>
      </c>
      <c r="L216" s="40">
        <f>IFERROR(IF(K215=0,"",L215/K215-1),"")</f>
        <v>-0.358365489264866</v>
      </c>
      <c r="M216" s="12">
        <f>IF(L215=0,"",M215/L215-1)</f>
        <v>0</v>
      </c>
      <c r="N216" s="40">
        <f>IFERROR(IF(M215=0,"",N215/M215-1),"")</f>
        <v>0.547571318427139</v>
      </c>
      <c r="O216" s="40">
        <f>IFERROR(IF(N215=0,"",O215/N215-1),"")</f>
        <v>9.37206058190514</v>
      </c>
      <c r="P216" s="40">
        <f>IFERROR(IF(O215=0,"",P215/O215-1),"")</f>
        <v>-0.459104271139547</v>
      </c>
      <c r="Q216" s="40">
        <f>IFERROR(IF(P215=0,"",Q215/P215-1),"")</f>
        <v>-0.506358340437624</v>
      </c>
      <c r="R216" s="12">
        <f>IF(Q215=0,"",R215/Q215-1)</f>
        <v>0</v>
      </c>
      <c r="S216" s="40">
        <f>IFERROR(IF(R215=0,"",S215/R215-1),"")</f>
        <v>-0.169640929697057</v>
      </c>
      <c r="T216" s="40">
        <f>IFERROR(IF(S215=0,"",T215/S215-1),"")</f>
        <v>1.46566142380519</v>
      </c>
      <c r="U216" s="40">
        <f>IFERROR(IF(T215=0,"",U215/T215-1),"")</f>
        <v>0.182092961954134</v>
      </c>
      <c r="V216" s="40">
        <f>IFERROR(IF(U215=0,"",V215/U215-1),"")</f>
        <v>0.135088527807097</v>
      </c>
      <c r="W216" s="12">
        <f>IF(V215=0,"",W215/V215-1)</f>
        <v>0</v>
      </c>
      <c r="X216" s="40">
        <f>IFERROR(IF(W215=0,"",X215/W215-1),"")</f>
        <v>1.33835817376955</v>
      </c>
      <c r="Y216" s="40">
        <f>IFERROR(IF(X215=0,"",Y215/X215-1),"")</f>
        <v>0.897173229978212</v>
      </c>
      <c r="Z216" s="40">
        <f>IFERROR(IF(Y215=0,"",Z215/Y215-1),"")</f>
        <v>0.354881659861777</v>
      </c>
      <c r="AA216" s="40">
        <f>IFERROR(IF(Z215=0,"",AA215/Z215-1),"")</f>
        <v>-0.532402192031551</v>
      </c>
      <c r="AB216" s="12">
        <f>IF(AA215=0,"",AB215/AA215-1)</f>
        <v>0</v>
      </c>
      <c r="AC216" s="40">
        <f>IFERROR(IF(AB215=0,"",AC215/AB215-1),"")</f>
        <v>0.0773263372740531</v>
      </c>
      <c r="AD216" s="40">
        <f>IFERROR(IF(AC215=0,"",AD215/AC215-1),"")</f>
        <v>0.687539739868767</v>
      </c>
      <c r="AE216" s="40">
        <f>IFERROR(IF(AD215=0,"",AE215/AD215-1),"")</f>
        <v>0.300812007874016</v>
      </c>
      <c r="AF216" s="55">
        <f>IFERROR(IF(AE215=0,"",AF215/AE215-1),"")</f>
        <v>-0.0104846464264322</v>
      </c>
      <c r="AG216" s="12">
        <f>IF(AF215=0,"",AG215/AF215-1)</f>
        <v>0</v>
      </c>
      <c r="AH216" s="55">
        <f>IFERROR(IF(AG215=0,"",AH215/AG215-1),"")</f>
        <v>-0.378670723620672</v>
      </c>
      <c r="AI216" s="55">
        <f>IFERROR(IF(AH215=0,"",AI215/AH215-1),"")</f>
        <v>-0.483935376144554</v>
      </c>
      <c r="AJ216" s="55">
        <f>IFERROR(IF(AI215=0,"",AJ215/AI215-1),"")</f>
        <v>0</v>
      </c>
      <c r="AK216" s="55">
        <f>IFERROR(IF(AJ215=0,"",AK215/AJ215-1),"")</f>
        <v>0</v>
      </c>
      <c r="AL216" s="12">
        <f>IFERROR(IF(AK215=0,"",AL215/AK215-1),"")</f>
        <v>0</v>
      </c>
      <c r="AM216" s="55">
        <f>IFERROR(IF(AL215=0,"",AM215/AL215-1),"")</f>
        <v>0</v>
      </c>
      <c r="AN216" s="55">
        <f>IFERROR(IF(AM215=0,"",AN215/AM215-1),"")</f>
        <v>0</v>
      </c>
      <c r="AO216" s="55">
        <f>IFERROR(IF(AN215=0,"",AO215/AN215-1),"")</f>
        <v>0</v>
      </c>
      <c r="AP216" s="55">
        <f>IFERROR(IF(AO215=0,"",AP215/AO215-1),"")</f>
        <v>0</v>
      </c>
      <c r="AQ216" s="12">
        <f>IFERROR(IF(AP215=0,"",AQ215/AP215-1),"")</f>
        <v>0</v>
      </c>
      <c r="AR216" s="55">
        <f>IFERROR(IF(AQ215=0,"",AR215/AQ215-1),"")</f>
        <v>0</v>
      </c>
      <c r="AS216" s="55">
        <f>IFERROR(IF(AR215=0,"",AS215/AR215-1),"")</f>
        <v>0</v>
      </c>
      <c r="AT216" s="55">
        <f>IFERROR(IF(AS215=0,"",AT215/AS215-1),"")</f>
        <v>0</v>
      </c>
      <c r="AU216" s="55">
        <f>IFERROR(IF(AT215=0,"",AU215/AT215-1),"")</f>
        <v>0</v>
      </c>
      <c r="AV216" s="12">
        <f>IFERROR(IF(AU215=0,"",AV215/AU215-1),"")</f>
        <v>0</v>
      </c>
      <c r="AW216" s="55">
        <f>IFERROR(IF(AV215=0,"",AW215/AV215-1),"")</f>
        <v>0</v>
      </c>
      <c r="AX216" s="55">
        <f>IFERROR(IF(AW215=0,"",AX215/AW215-1),"")</f>
        <v>0</v>
      </c>
      <c r="AY216" s="55">
        <f>IFERROR(IF(AX215=0,"",AY215/AX215-1),"")</f>
        <v>0</v>
      </c>
      <c r="AZ216" s="55">
        <f>IFERROR(IF(AY215=0,"",AZ215/AY215-1),"")</f>
        <v>0</v>
      </c>
      <c r="BA216" s="12">
        <f>IFERROR(IF(AZ215=0,"",BA215/AZ215-1),"")</f>
        <v>0</v>
      </c>
      <c r="BB216" s="55">
        <f>IFERROR(IF(BA215=0,"",BB215/BA215-1),"")</f>
        <v>0</v>
      </c>
      <c r="BC216" s="55">
        <f>IFERROR(IF(BB215=0,"",BC215/BB215-1),"")</f>
        <v>0</v>
      </c>
      <c r="BD216" s="55">
        <f>IFERROR(IF(BC215=0,"",BD215/BC215-1),"")</f>
        <v>0</v>
      </c>
      <c r="BE216" s="55">
        <f>IFERROR(IF(BD215=0,"",BE215/BD215-1),"")</f>
        <v>0</v>
      </c>
      <c r="BF216" s="12">
        <f>IFERROR(IF(BE215=0,"",BF215/BE215-1),"")</f>
        <v>0</v>
      </c>
      <c r="BG216" s="55" t="n"/>
      <c r="BH216" s="55" t="n"/>
      <c r="BI216" s="55" t="n"/>
      <c r="BJ216" s="55" t="n"/>
      <c r="BK216" s="12" t="n"/>
      <c r="BL216" s="55" t="n"/>
      <c r="BM216" s="55" t="n"/>
      <c r="BN216" s="55" t="n"/>
      <c r="BO216" s="55" t="n"/>
      <c r="BP216" s="12" t="n"/>
      <c r="BQ216" s="55" t="n"/>
      <c r="BR216" s="55" t="n"/>
      <c r="BS216" s="55" t="n"/>
      <c r="BT216" s="55" t="n"/>
      <c r="BU216" s="12" t="n"/>
      <c r="BV216" s="55" t="n"/>
      <c r="BW216" s="55" t="n"/>
      <c r="BX216" s="55" t="n"/>
      <c r="BY216" s="55" t="n"/>
      <c r="BZ216" s="12" t="n"/>
      <c r="CA216" s="55" t="n"/>
      <c r="CB216" s="55" t="n"/>
      <c r="CC216" s="55" t="n"/>
      <c r="CD216" s="55" t="n"/>
      <c r="CE216" s="12" t="n"/>
      <c r="CF216" s="55" t="n"/>
      <c r="CG216" s="55" t="n"/>
      <c r="CH216" s="55" t="n"/>
      <c r="CI216" s="55" t="n"/>
      <c r="CJ216" s="12" t="n"/>
      <c r="CK216" s="55" t="n"/>
      <c r="CL216" s="55" t="n"/>
      <c r="CM216" s="55" t="n"/>
      <c r="CN216" s="55" t="n"/>
      <c r="CO216" s="12" t="n"/>
      <c r="CP216" s="55" t="n"/>
      <c r="CQ216" s="55" t="n"/>
      <c r="CR216" s="55" t="n"/>
      <c r="CS216" s="55" t="n"/>
      <c r="CT216" s="12" t="n"/>
      <c r="CU216" s="55" t="n"/>
      <c r="CV216" s="55" t="n"/>
      <c r="CW216" s="55" t="n"/>
      <c r="CX216" s="55" t="n"/>
      <c r="CY216" s="12" t="n"/>
    </row>
    <row r="217" hidden="1" outlineLevel="1">
      <c r="C217" s="57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inlineStr">
        <is>
          <t xml:space="preserve">Dividendos a Pagar </t>
        </is>
      </c>
      <c r="D218" s="11" t="n"/>
      <c r="E218" s="11" t="n"/>
      <c r="F218" s="11" t="n"/>
      <c r="G218" s="11" t="n"/>
      <c r="H218" s="12" t="n"/>
      <c r="I218" s="11" t="n"/>
      <c r="J218" s="11" t="n"/>
      <c r="K218" s="11" t="n"/>
      <c r="L218" s="11" t="n"/>
      <c r="M218" s="12" t="n"/>
      <c r="N218" s="11" t="n"/>
      <c r="O218" s="11" t="n"/>
      <c r="P218" s="11" t="n"/>
      <c r="Q218" s="11" t="n"/>
      <c r="R218" s="12" t="n"/>
      <c r="S218" s="11" t="n"/>
      <c r="T218" s="11" t="n"/>
      <c r="U218" s="11" t="n"/>
      <c r="V218" s="11" t="n"/>
      <c r="W218" s="12" t="n"/>
      <c r="X218" s="11" t="n"/>
      <c r="Y218" s="11" t="n"/>
      <c r="Z218" s="11" t="n"/>
      <c r="AA218" s="11" t="n"/>
      <c r="AB218" s="12" t="n"/>
      <c r="AC218" s="11" t="n"/>
      <c r="AD218" s="11" t="n"/>
      <c r="AE218" s="11" t="n"/>
      <c r="AF218" s="11" t="n"/>
      <c r="AG218" s="12" t="n"/>
      <c r="AH218" s="11" t="n"/>
      <c r="AI218" s="11" t="n"/>
      <c r="AJ218" s="11" t="n"/>
      <c r="AK218" s="11" t="n"/>
      <c r="AL218" s="12" t="n"/>
      <c r="AM218" s="11" t="n"/>
      <c r="AN218" s="11" t="n"/>
      <c r="AO218" s="11" t="n"/>
      <c r="AP218" s="11" t="n"/>
      <c r="AQ218" s="12" t="n"/>
      <c r="AR218" s="11" t="n"/>
      <c r="AS218" s="11" t="n"/>
      <c r="AT218" s="11" t="n"/>
      <c r="AU218" s="11" t="n"/>
      <c r="AV218" s="12" t="n"/>
      <c r="AW218" s="11" t="n"/>
      <c r="AX218" s="11" t="n"/>
      <c r="AY218" s="11" t="n"/>
      <c r="AZ218" s="11" t="n"/>
      <c r="BA218" s="12" t="n"/>
      <c r="BB218" s="11" t="n"/>
      <c r="BC218" s="11" t="n"/>
      <c r="BD218" s="11" t="n"/>
      <c r="BE218" s="11" t="n"/>
      <c r="BF218" s="12" t="n"/>
      <c r="BG218" s="11" t="n"/>
      <c r="BH218" s="11" t="n"/>
      <c r="BI218" s="11" t="n"/>
      <c r="BJ218" s="11" t="n"/>
      <c r="BK218" s="12" t="n"/>
      <c r="BL218" s="11" t="n"/>
      <c r="BM218" s="11" t="n"/>
      <c r="BN218" s="11" t="n"/>
      <c r="BO218" s="11" t="n"/>
      <c r="BP218" s="12" t="n"/>
      <c r="BQ218" s="11" t="n"/>
      <c r="BR218" s="11" t="n"/>
      <c r="BS218" s="11" t="n"/>
      <c r="BT218" s="11" t="n"/>
      <c r="BU218" s="12" t="n"/>
      <c r="BV218" s="11" t="n"/>
      <c r="BW218" s="11" t="n"/>
      <c r="BX218" s="11" t="n"/>
      <c r="BY218" s="11" t="n"/>
      <c r="BZ218" s="12" t="n"/>
      <c r="CA218" s="11" t="n"/>
      <c r="CB218" s="11" t="n"/>
      <c r="CC218" s="11" t="n"/>
      <c r="CD218" s="11" t="n"/>
      <c r="CE218" s="12" t="n"/>
      <c r="CF218" s="11" t="n"/>
      <c r="CG218" s="11" t="n"/>
      <c r="CH218" s="11" t="n"/>
      <c r="CI218" s="11" t="n"/>
      <c r="CJ218" s="12" t="n"/>
      <c r="CK218" s="11" t="n"/>
      <c r="CL218" s="11" t="n"/>
      <c r="CM218" s="11" t="n"/>
      <c r="CN218" s="11" t="n"/>
      <c r="CO218" s="12" t="n"/>
      <c r="CP218" s="11" t="n"/>
      <c r="CQ218" s="11" t="n"/>
      <c r="CR218" s="11" t="n"/>
      <c r="CS218" s="11" t="n"/>
      <c r="CT218" s="12" t="n"/>
      <c r="CU218" s="11" t="n"/>
      <c r="CV218" s="11" t="n"/>
      <c r="CW218" s="11" t="n"/>
      <c r="CX218" s="11" t="n"/>
      <c r="CY218" s="12" t="n"/>
    </row>
    <row r="219" hidden="1" outlineLevel="1">
      <c r="C219" s="57" t="inlineStr">
        <is>
          <t>Contas a pagar pela aquisição de controladas</t>
        </is>
      </c>
      <c r="D219" s="11" t="n"/>
      <c r="E219" s="11" t="n"/>
      <c r="F219" s="11" t="n"/>
      <c r="G219" s="11" t="n"/>
      <c r="H219" s="12" t="n"/>
      <c r="I219" s="11" t="n"/>
      <c r="J219" s="11" t="n"/>
      <c r="K219" s="11" t="n"/>
      <c r="L219" s="11" t="n"/>
      <c r="M219" s="12" t="n"/>
      <c r="N219" s="11" t="n"/>
      <c r="O219" s="11" t="n"/>
      <c r="P219" s="11" t="n"/>
      <c r="Q219" s="11" t="n"/>
      <c r="R219" s="12" t="n"/>
      <c r="S219" s="11" t="n"/>
      <c r="T219" s="11" t="n"/>
      <c r="U219" s="11" t="n"/>
      <c r="V219" s="11" t="n"/>
      <c r="W219" s="12" t="n"/>
      <c r="X219" s="11" t="n"/>
      <c r="Y219" s="11" t="n"/>
      <c r="Z219" s="11" t="n"/>
      <c r="AA219" s="11" t="n"/>
      <c r="AB219" s="12" t="n"/>
      <c r="AC219" s="11" t="n"/>
      <c r="AD219" s="11" t="n"/>
      <c r="AE219" s="11" t="n"/>
      <c r="AF219" s="11" t="n"/>
      <c r="AG219" s="12" t="n"/>
      <c r="AH219" s="11" t="n"/>
      <c r="AI219" s="11" t="n"/>
      <c r="AJ219" s="11" t="n"/>
      <c r="AK219" s="11" t="n"/>
      <c r="AL219" s="12" t="n"/>
      <c r="AM219" s="11" t="n"/>
      <c r="AN219" s="11" t="n"/>
      <c r="AO219" s="11" t="n"/>
      <c r="AP219" s="11" t="n"/>
      <c r="AQ219" s="12" t="n"/>
      <c r="AR219" s="11" t="n"/>
      <c r="AS219" s="11" t="n"/>
      <c r="AT219" s="11" t="n"/>
      <c r="AU219" s="11" t="n"/>
      <c r="AV219" s="12" t="n"/>
      <c r="AW219" s="11" t="n"/>
      <c r="AX219" s="11" t="n"/>
      <c r="AY219" s="11" t="n"/>
      <c r="AZ219" s="11" t="n"/>
      <c r="BA219" s="12" t="n"/>
      <c r="BB219" s="11" t="n"/>
      <c r="BC219" s="11" t="n"/>
      <c r="BD219" s="11" t="n"/>
      <c r="BE219" s="11" t="n"/>
      <c r="BF219" s="12" t="n"/>
      <c r="BG219" s="11" t="n"/>
      <c r="BH219" s="11" t="n"/>
      <c r="BI219" s="11" t="n"/>
      <c r="BJ219" s="11" t="n"/>
      <c r="BK219" s="12" t="n"/>
      <c r="BL219" s="11" t="n"/>
      <c r="BM219" s="11" t="n"/>
      <c r="BN219" s="11" t="n"/>
      <c r="BO219" s="11" t="n"/>
      <c r="BP219" s="12" t="n"/>
      <c r="BQ219" s="11" t="n"/>
      <c r="BR219" s="11" t="n"/>
      <c r="BS219" s="11" t="n"/>
      <c r="BT219" s="11" t="n"/>
      <c r="BU219" s="12" t="n"/>
      <c r="BV219" s="11" t="n"/>
      <c r="BW219" s="11" t="n"/>
      <c r="BX219" s="11" t="n"/>
      <c r="BY219" s="11" t="n"/>
      <c r="BZ219" s="12" t="n"/>
      <c r="CA219" s="11" t="n"/>
      <c r="CB219" s="11" t="n"/>
      <c r="CC219" s="11" t="n"/>
      <c r="CD219" s="11" t="n"/>
      <c r="CE219" s="12" t="n"/>
      <c r="CF219" s="11" t="n"/>
      <c r="CG219" s="11" t="n"/>
      <c r="CH219" s="11" t="n"/>
      <c r="CI219" s="11" t="n"/>
      <c r="CJ219" s="12" t="n"/>
      <c r="CK219" s="11" t="n"/>
      <c r="CL219" s="11" t="n"/>
      <c r="CM219" s="11" t="n"/>
      <c r="CN219" s="11" t="n"/>
      <c r="CO219" s="12" t="n"/>
      <c r="CP219" s="11" t="n"/>
      <c r="CQ219" s="11" t="n"/>
      <c r="CR219" s="11" t="n"/>
      <c r="CS219" s="11" t="n"/>
      <c r="CT219" s="12" t="n"/>
      <c r="CU219" s="11" t="n"/>
      <c r="CV219" s="11" t="n"/>
      <c r="CW219" s="11" t="n"/>
      <c r="CX219" s="11" t="n"/>
      <c r="CY219" s="12" t="n"/>
    </row>
    <row r="220" hidden="1" outlineLevel="1">
      <c r="C220" s="57" t="inlineStr">
        <is>
          <t>Outros</t>
        </is>
      </c>
      <c r="D220" s="11" t="n"/>
      <c r="E220" s="11" t="n"/>
      <c r="F220" s="11" t="n"/>
      <c r="G220" s="11" t="n"/>
      <c r="H220" s="12" t="n"/>
      <c r="I220" s="11" t="n"/>
      <c r="J220" s="11" t="n"/>
      <c r="K220" s="11" t="n"/>
      <c r="L220" s="11" t="n"/>
      <c r="M220" s="12" t="n"/>
      <c r="N220" s="11" t="n"/>
      <c r="O220" s="11" t="n"/>
      <c r="P220" s="11" t="n"/>
      <c r="Q220" s="11" t="n"/>
      <c r="R220" s="12" t="n"/>
      <c r="S220" s="11" t="n"/>
      <c r="T220" s="11" t="n"/>
      <c r="U220" s="11" t="n"/>
      <c r="V220" s="11" t="n"/>
      <c r="W220" s="12" t="n"/>
      <c r="X220" s="11" t="n"/>
      <c r="Y220" s="11" t="n"/>
      <c r="Z220" s="11" t="n"/>
      <c r="AA220" s="11" t="n"/>
      <c r="AB220" s="12" t="n"/>
      <c r="AC220" s="11" t="n"/>
      <c r="AD220" s="11" t="n"/>
      <c r="AE220" s="11" t="n"/>
      <c r="AF220" s="11" t="n"/>
      <c r="AG220" s="12" t="n"/>
      <c r="AH220" s="11" t="n"/>
      <c r="AI220" s="11" t="n"/>
      <c r="AJ220" s="11" t="n"/>
      <c r="AK220" s="11" t="n"/>
      <c r="AL220" s="12" t="n"/>
      <c r="AM220" s="11" t="n"/>
      <c r="AN220" s="11" t="n"/>
      <c r="AO220" s="11" t="n"/>
      <c r="AP220" s="11" t="n"/>
      <c r="AQ220" s="12" t="n"/>
      <c r="AR220" s="11" t="n"/>
      <c r="AS220" s="11" t="n"/>
      <c r="AT220" s="11" t="n"/>
      <c r="AU220" s="11" t="n"/>
      <c r="AV220" s="12" t="n"/>
      <c r="AW220" s="11" t="n"/>
      <c r="AX220" s="11" t="n"/>
      <c r="AY220" s="11" t="n"/>
      <c r="AZ220" s="11" t="n"/>
      <c r="BA220" s="12" t="n"/>
      <c r="BB220" s="11" t="n"/>
      <c r="BC220" s="11" t="n"/>
      <c r="BD220" s="11" t="n"/>
      <c r="BE220" s="11" t="n"/>
      <c r="BF220" s="12" t="n"/>
      <c r="BG220" s="11" t="n"/>
      <c r="BH220" s="11" t="n"/>
      <c r="BI220" s="11" t="n"/>
      <c r="BJ220" s="11" t="n"/>
      <c r="BK220" s="12" t="n"/>
      <c r="BL220" s="11" t="n"/>
      <c r="BM220" s="11" t="n"/>
      <c r="BN220" s="11" t="n"/>
      <c r="BO220" s="11" t="n"/>
      <c r="BP220" s="12" t="n"/>
      <c r="BQ220" s="11" t="n"/>
      <c r="BR220" s="11" t="n"/>
      <c r="BS220" s="11" t="n"/>
      <c r="BT220" s="11" t="n"/>
      <c r="BU220" s="12" t="n"/>
      <c r="BV220" s="11" t="n"/>
      <c r="BW220" s="11" t="n"/>
      <c r="BX220" s="11" t="n"/>
      <c r="BY220" s="11" t="n"/>
      <c r="BZ220" s="12" t="n"/>
      <c r="CA220" s="11" t="n"/>
      <c r="CB220" s="11" t="n"/>
      <c r="CC220" s="11" t="n"/>
      <c r="CD220" s="11" t="n"/>
      <c r="CE220" s="12" t="n"/>
      <c r="CF220" s="11" t="n"/>
      <c r="CG220" s="11" t="n"/>
      <c r="CH220" s="11" t="n"/>
      <c r="CI220" s="11" t="n"/>
      <c r="CJ220" s="12" t="n"/>
      <c r="CK220" s="11" t="n"/>
      <c r="CL220" s="11" t="n"/>
      <c r="CM220" s="11" t="n"/>
      <c r="CN220" s="11" t="n"/>
      <c r="CO220" s="12" t="n"/>
      <c r="CP220" s="11" t="n"/>
      <c r="CQ220" s="11" t="n"/>
      <c r="CR220" s="11" t="n"/>
      <c r="CS220" s="11" t="n"/>
      <c r="CT220" s="12" t="n"/>
      <c r="CU220" s="11" t="n"/>
      <c r="CV220" s="11" t="n"/>
      <c r="CW220" s="11" t="n"/>
      <c r="CX220" s="11" t="n"/>
      <c r="CY220" s="12" t="n"/>
    </row>
    <row r="221" hidden="1" outlineLevel="1">
      <c r="C221" s="57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 collapsed="1">
      <c r="C222" s="14" t="inlineStr">
        <is>
          <t>Current portion of long-term debt</t>
        </is>
      </c>
      <c r="D222" s="46" t="n"/>
      <c r="E222" s="46" t="n"/>
      <c r="F222" s="46" t="n"/>
      <c r="G222" s="46" t="n"/>
      <c r="H222" s="12" t="n"/>
      <c r="I222" s="46">
        <f>'Inputs (2)'!D32</f>
        <v>89.70997532</v>
      </c>
      <c r="J222" s="46">
        <f>'Inputs (2)'!E32</f>
        <v>88.93405342</v>
      </c>
      <c r="K222" s="46">
        <f>'Inputs (2)'!F32</f>
        <v>86.364</v>
      </c>
      <c r="L222" s="46">
        <f>'Inputs (2)'!G32</f>
        <v>172.832</v>
      </c>
      <c r="M222" s="12">
        <f>'Inputs (2)'!H32</f>
        <v>172.832</v>
      </c>
      <c r="N222" s="46">
        <f>'Inputs (2)'!I32</f>
        <v>174.013</v>
      </c>
      <c r="O222" s="46">
        <f>'Inputs (2)'!J32</f>
        <v>187.278</v>
      </c>
      <c r="P222" s="46">
        <f>'Inputs (2)'!K32</f>
        <v>191.156</v>
      </c>
      <c r="Q222" s="46">
        <f>'Inputs (2)'!L32</f>
        <v>192.831</v>
      </c>
      <c r="R222" s="12">
        <f>'Inputs (2)'!M32</f>
        <v>192.831</v>
      </c>
      <c r="S222" s="46">
        <f>'Inputs (2)'!N32</f>
        <v>192.11</v>
      </c>
      <c r="T222" s="46">
        <f>'Inputs (2)'!O32</f>
        <v>216.191</v>
      </c>
      <c r="U222" s="46">
        <f>'Inputs (2)'!P32</f>
        <v>231.929</v>
      </c>
      <c r="V222" s="46">
        <f>'Inputs (2)'!Q32</f>
        <v>465.402</v>
      </c>
      <c r="W222" s="12">
        <f>'Inputs (2)'!R32</f>
        <v>465.402</v>
      </c>
      <c r="X222" s="46">
        <f>'Inputs (2)'!S32</f>
        <v>508.391</v>
      </c>
      <c r="Y222" s="46">
        <f>'Inputs (2)'!T32</f>
        <v>537.107</v>
      </c>
      <c r="Z222" s="46">
        <f>'Inputs (2)'!U32</f>
        <v>548.585</v>
      </c>
      <c r="AA222" s="46">
        <f>'Inputs (2)'!V32</f>
        <v>420.986</v>
      </c>
      <c r="AB222" s="12">
        <f>'Inputs (2)'!W32</f>
        <v>420.986</v>
      </c>
      <c r="AC222" s="46">
        <f>'Inputs (2)'!X32</f>
        <v>249.077</v>
      </c>
      <c r="AD222" s="46">
        <f>'Inputs (2)'!Y32</f>
        <v>248.593</v>
      </c>
      <c r="AE222" s="46">
        <f>'Inputs (2)'!Z32</f>
        <v>535.225</v>
      </c>
      <c r="AF222" s="46">
        <f>'Inputs (2)'!AA32</f>
        <v>1204.737</v>
      </c>
      <c r="AG222" s="12">
        <f>'Inputs (2)'!AB32</f>
        <v>1204.737</v>
      </c>
      <c r="AH222" s="12">
        <f>'Inputs (2)'!AC32</f>
        <v>1537.253</v>
      </c>
      <c r="AI222" s="12">
        <f>'Inputs (2)'!AD32</f>
        <v>1529.728</v>
      </c>
      <c r="AJ222" s="12">
        <f>AI222</f>
        <v>1529.728</v>
      </c>
      <c r="AK222" s="12">
        <f>AJ222</f>
        <v>1529.728</v>
      </c>
      <c r="AL222" s="12">
        <f>AK222</f>
        <v>1529.728</v>
      </c>
      <c r="AM222" s="12">
        <f>AL222</f>
        <v>1529.728</v>
      </c>
      <c r="AN222" s="12">
        <f>AM222</f>
        <v>1529.728</v>
      </c>
      <c r="AO222" s="12">
        <f>AN222</f>
        <v>1529.728</v>
      </c>
      <c r="AP222" s="12">
        <f>AO222</f>
        <v>1529.728</v>
      </c>
      <c r="AQ222" s="12">
        <f>AP222</f>
        <v>1529.728</v>
      </c>
      <c r="AR222" s="12">
        <f>AQ222</f>
        <v>1529.728</v>
      </c>
      <c r="AS222" s="12">
        <f>AR222</f>
        <v>1529.728</v>
      </c>
      <c r="AT222" s="12">
        <f>AS222</f>
        <v>1529.728</v>
      </c>
      <c r="AU222" s="12">
        <f>AT222</f>
        <v>1529.728</v>
      </c>
      <c r="AV222" s="12">
        <f>AU222</f>
        <v>1529.728</v>
      </c>
      <c r="AW222" s="12">
        <f>AV222</f>
        <v>1529.728</v>
      </c>
      <c r="AX222" s="12">
        <f>AW222</f>
        <v>1529.728</v>
      </c>
      <c r="AY222" s="12">
        <f>AX222</f>
        <v>1529.728</v>
      </c>
      <c r="AZ222" s="12">
        <f>AY222</f>
        <v>1529.728</v>
      </c>
      <c r="BA222" s="12">
        <f>AZ222</f>
        <v>1529.728</v>
      </c>
      <c r="BB222" s="12">
        <f>BA222</f>
        <v>1529.728</v>
      </c>
      <c r="BC222" s="12">
        <f>BB222</f>
        <v>1529.728</v>
      </c>
      <c r="BD222" s="12">
        <f>BC222</f>
        <v>1529.728</v>
      </c>
      <c r="BE222" s="12">
        <f>BD222</f>
        <v>1529.728</v>
      </c>
      <c r="BF222" s="12">
        <f>BE222</f>
        <v>1529.728</v>
      </c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>
      <c r="C223" s="14" t="inlineStr">
        <is>
          <t>Short term debt (Revolving credit facility)</t>
        </is>
      </c>
      <c r="D223" s="46" t="n"/>
      <c r="E223" s="46" t="n"/>
      <c r="F223" s="46" t="n"/>
      <c r="G223" s="46" t="n"/>
      <c r="H223" s="12" t="n"/>
      <c r="I223" s="46">
        <f>'Inputs (2)'!D33</f>
        <v>0</v>
      </c>
      <c r="J223" s="46">
        <f>'Inputs (2)'!E33</f>
        <v>0</v>
      </c>
      <c r="K223" s="46">
        <f>'Inputs (2)'!F33</f>
        <v>0</v>
      </c>
      <c r="L223" s="46">
        <f>'Inputs (2)'!G33</f>
        <v>0</v>
      </c>
      <c r="M223" s="12">
        <f>'Inputs (2)'!H33</f>
        <v>0</v>
      </c>
      <c r="N223" s="46">
        <f>'Inputs (2)'!I33</f>
        <v>0</v>
      </c>
      <c r="O223" s="46">
        <f>'Inputs (2)'!J33</f>
        <v>0</v>
      </c>
      <c r="P223" s="46">
        <f>'Inputs (2)'!K33</f>
        <v>0</v>
      </c>
      <c r="Q223" s="46">
        <f>'Inputs (2)'!L33</f>
        <v>0</v>
      </c>
      <c r="R223" s="12">
        <f>'Inputs (2)'!M33</f>
        <v>0</v>
      </c>
      <c r="S223" s="46">
        <f>'Inputs (2)'!N33</f>
        <v>0</v>
      </c>
      <c r="T223" s="46">
        <f>'Inputs (2)'!O33</f>
        <v>0</v>
      </c>
      <c r="U223" s="46">
        <f>'Inputs (2)'!P33</f>
        <v>0</v>
      </c>
      <c r="V223" s="46">
        <f>'Inputs (2)'!Q33</f>
        <v>0</v>
      </c>
      <c r="W223" s="12">
        <f>'Inputs (2)'!R33</f>
        <v>0</v>
      </c>
      <c r="X223" s="46">
        <f>'Inputs (2)'!S33</f>
        <v>0</v>
      </c>
      <c r="Y223" s="46">
        <f>'Inputs (2)'!T33</f>
        <v>0</v>
      </c>
      <c r="Z223" s="46">
        <f>'Inputs (2)'!U33</f>
        <v>0</v>
      </c>
      <c r="AA223" s="46">
        <f>'Inputs (2)'!V33</f>
        <v>0</v>
      </c>
      <c r="AB223" s="12">
        <f>'Inputs (2)'!W33</f>
        <v>0</v>
      </c>
      <c r="AC223" s="46">
        <f>'Inputs (2)'!X33</f>
        <v>0</v>
      </c>
      <c r="AD223" s="46">
        <f>'Inputs (2)'!Y33</f>
        <v>0</v>
      </c>
      <c r="AE223" s="46">
        <f>'Inputs (2)'!Z33</f>
        <v>0</v>
      </c>
      <c r="AF223" s="46">
        <f>'Inputs (2)'!AA33</f>
        <v>0</v>
      </c>
      <c r="AG223" s="12">
        <f>'Inputs (2)'!AB33</f>
        <v>0</v>
      </c>
      <c r="AH223" s="12">
        <f>'Inputs (2)'!AC33</f>
        <v>0</v>
      </c>
      <c r="AI223" s="12">
        <f>'Inputs (2)'!AD33</f>
        <v>0</v>
      </c>
      <c r="AJ223" s="12">
        <f>AI223</f>
        <v>0</v>
      </c>
      <c r="AK223" s="12">
        <f>AJ223</f>
        <v>0</v>
      </c>
      <c r="AL223" s="12">
        <f>AK223</f>
        <v>0</v>
      </c>
      <c r="AM223" s="12">
        <f>AL223</f>
        <v>0</v>
      </c>
      <c r="AN223" s="12">
        <f>AM223</f>
        <v>0</v>
      </c>
      <c r="AO223" s="12">
        <f>AN223</f>
        <v>0</v>
      </c>
      <c r="AP223" s="12">
        <f>AO223</f>
        <v>0</v>
      </c>
      <c r="AQ223" s="12">
        <f>AP223</f>
        <v>0</v>
      </c>
      <c r="AR223" s="12">
        <f>AQ223</f>
        <v>0</v>
      </c>
      <c r="AS223" s="12">
        <f>AR223</f>
        <v>0</v>
      </c>
      <c r="AT223" s="12">
        <f>AS223</f>
        <v>0</v>
      </c>
      <c r="AU223" s="12">
        <f>AT223</f>
        <v>0</v>
      </c>
      <c r="AV223" s="12">
        <f>AU223</f>
        <v>0</v>
      </c>
      <c r="AW223" s="12">
        <f>AV223</f>
        <v>0</v>
      </c>
      <c r="AX223" s="12">
        <f>AW223</f>
        <v>0</v>
      </c>
      <c r="AY223" s="12">
        <f>AX223</f>
        <v>0</v>
      </c>
      <c r="AZ223" s="12">
        <f>AY223</f>
        <v>0</v>
      </c>
      <c r="BA223" s="12">
        <f>AZ223</f>
        <v>0</v>
      </c>
      <c r="BB223" s="12">
        <f>BA223</f>
        <v>0</v>
      </c>
      <c r="BC223" s="12">
        <f>BB223</f>
        <v>0</v>
      </c>
      <c r="BD223" s="12">
        <f>BC223</f>
        <v>0</v>
      </c>
      <c r="BE223" s="12">
        <f>BD223</f>
        <v>0</v>
      </c>
      <c r="BF223" s="12">
        <f>BE223</f>
        <v>0</v>
      </c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>
      <c r="C224" s="14" t="inlineStr">
        <is>
          <t>Short term operating leases</t>
        </is>
      </c>
      <c r="D224" s="46" t="n"/>
      <c r="E224" s="46" t="n"/>
      <c r="F224" s="46" t="n"/>
      <c r="G224" s="46" t="n"/>
      <c r="H224" s="12" t="n"/>
      <c r="I224" s="46">
        <f>'Inputs (2)'!D34</f>
        <v>71.36550853</v>
      </c>
      <c r="J224" s="46">
        <f>'Inputs (2)'!E34</f>
        <v>68.69276446</v>
      </c>
      <c r="K224" s="46">
        <f>'Inputs (2)'!F34</f>
        <v>54.577</v>
      </c>
      <c r="L224" s="46">
        <f>'Inputs (2)'!G34</f>
        <v>61.137</v>
      </c>
      <c r="M224" s="12">
        <f>'Inputs (2)'!H34</f>
        <v>61.137</v>
      </c>
      <c r="N224" s="46">
        <f>'Inputs (2)'!I34</f>
        <v>70.026</v>
      </c>
      <c r="O224" s="46">
        <f>'Inputs (2)'!J34</f>
        <v>78.059</v>
      </c>
      <c r="P224" s="46">
        <f>'Inputs (2)'!K34</f>
        <v>77.645</v>
      </c>
      <c r="Q224" s="46">
        <f>'Inputs (2)'!L34</f>
        <v>80.274</v>
      </c>
      <c r="R224" s="12">
        <f>'Inputs (2)'!M34</f>
        <v>80.274</v>
      </c>
      <c r="S224" s="46">
        <f>'Inputs (2)'!N34</f>
        <v>81.877</v>
      </c>
      <c r="T224" s="46">
        <f>'Inputs (2)'!O34</f>
        <v>53.549</v>
      </c>
      <c r="U224" s="46">
        <f>'Inputs (2)'!P34</f>
        <v>35.351</v>
      </c>
      <c r="V224" s="46">
        <f>'Inputs (2)'!Q34</f>
        <v>35.626</v>
      </c>
      <c r="W224" s="12">
        <f>'Inputs (2)'!R34</f>
        <v>35.626</v>
      </c>
      <c r="X224" s="46">
        <f>'Inputs (2)'!S34</f>
        <v>111.74</v>
      </c>
      <c r="Y224" s="46">
        <f>'Inputs (2)'!T34</f>
        <v>102.545</v>
      </c>
      <c r="Z224" s="46">
        <f>'Inputs (2)'!U34</f>
        <v>100.131</v>
      </c>
      <c r="AA224" s="46">
        <f>'Inputs (2)'!V34</f>
        <v>79.464</v>
      </c>
      <c r="AB224" s="12">
        <f>'Inputs (2)'!W34</f>
        <v>79.464</v>
      </c>
      <c r="AC224" s="46">
        <f>'Inputs (2)'!X34</f>
        <v>113.741</v>
      </c>
      <c r="AD224" s="46">
        <f>'Inputs (2)'!Y34</f>
        <v>227.857</v>
      </c>
      <c r="AE224" s="46">
        <f>'Inputs (2)'!Z34</f>
        <v>274.631</v>
      </c>
      <c r="AF224" s="46">
        <f>'Inputs (2)'!AA34</f>
        <v>262.15</v>
      </c>
      <c r="AG224" s="12">
        <f>'Inputs (2)'!AB34</f>
        <v>262.15</v>
      </c>
      <c r="AH224" s="12">
        <f>'Inputs (2)'!AC34</f>
        <v>262.498</v>
      </c>
      <c r="AI224" s="12">
        <f>'Inputs (2)'!AD34</f>
        <v>250.873</v>
      </c>
      <c r="AJ224" s="12">
        <f>AI224</f>
        <v>250.873</v>
      </c>
      <c r="AK224" s="12">
        <f>AJ224</f>
        <v>250.873</v>
      </c>
      <c r="AL224" s="12">
        <f>AK224</f>
        <v>250.873</v>
      </c>
      <c r="AM224" s="12">
        <f>AL224</f>
        <v>250.873</v>
      </c>
      <c r="AN224" s="12">
        <f>AM224</f>
        <v>250.873</v>
      </c>
      <c r="AO224" s="12">
        <f>AN224</f>
        <v>250.873</v>
      </c>
      <c r="AP224" s="12">
        <f>AO224</f>
        <v>250.873</v>
      </c>
      <c r="AQ224" s="12">
        <f>AP224</f>
        <v>250.873</v>
      </c>
      <c r="AR224" s="12">
        <f>AQ224</f>
        <v>250.873</v>
      </c>
      <c r="AS224" s="12">
        <f>AR224</f>
        <v>250.873</v>
      </c>
      <c r="AT224" s="12">
        <f>AS224</f>
        <v>250.873</v>
      </c>
      <c r="AU224" s="12">
        <f>AT224</f>
        <v>250.873</v>
      </c>
      <c r="AV224" s="12">
        <f>AU224</f>
        <v>250.873</v>
      </c>
      <c r="AW224" s="12">
        <f>AV224</f>
        <v>250.873</v>
      </c>
      <c r="AX224" s="12">
        <f>AW224</f>
        <v>250.873</v>
      </c>
      <c r="AY224" s="12">
        <f>AX224</f>
        <v>250.873</v>
      </c>
      <c r="AZ224" s="12">
        <f>AY224</f>
        <v>250.873</v>
      </c>
      <c r="BA224" s="12">
        <f>AZ224</f>
        <v>250.873</v>
      </c>
      <c r="BB224" s="12">
        <f>BA224</f>
        <v>250.873</v>
      </c>
      <c r="BC224" s="12">
        <f>BB224</f>
        <v>250.873</v>
      </c>
      <c r="BD224" s="12">
        <f>BC224</f>
        <v>250.873</v>
      </c>
      <c r="BE224" s="12">
        <f>BD224</f>
        <v>250.873</v>
      </c>
      <c r="BF224" s="12">
        <f>BE224</f>
        <v>250.873</v>
      </c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9" t="inlineStr">
        <is>
          <t>%(Var.)</t>
        </is>
      </c>
      <c r="D225" s="12" t="n"/>
      <c r="E225" s="40" t="n"/>
      <c r="F225" s="40" t="n"/>
      <c r="G225" s="40" t="n"/>
      <c r="H225" s="12" t="n"/>
      <c r="I225" s="40" t="str">
        <f>""</f>
        <v/>
      </c>
      <c r="J225" s="40">
        <f>IFERROR(IF(I224=0,"",J224/I224-1),"")</f>
        <v>-0.0374514821662968</v>
      </c>
      <c r="K225" s="40">
        <f>IFERROR(IF(J224=0,"",K224/J224-1),"")</f>
        <v>-0.205491285304432</v>
      </c>
      <c r="L225" s="40">
        <f>IFERROR(IF(K224=0,"",L224/K224-1),"")</f>
        <v>0.120197152646719</v>
      </c>
      <c r="M225" s="12">
        <f>IF(L224=0,"",M224/L224-1)</f>
        <v>0</v>
      </c>
      <c r="N225" s="40">
        <f>IFERROR(IF(M224=0,"",N224/M224-1),"")</f>
        <v>0.14539476912508</v>
      </c>
      <c r="O225" s="40">
        <f>IFERROR(IF(N224=0,"",O224/N224-1),"")</f>
        <v>0.114714534601434</v>
      </c>
      <c r="P225" s="40">
        <f>IFERROR(IF(O224=0,"",P224/O224-1),"")</f>
        <v>-0.00530368054932806</v>
      </c>
      <c r="Q225" s="40">
        <f>IFERROR(IF(P224=0,"",Q224/P224-1),"")</f>
        <v>0.0338592311159767</v>
      </c>
      <c r="R225" s="12">
        <f>IF(Q224=0,"",R224/Q224-1)</f>
        <v>0</v>
      </c>
      <c r="S225" s="40">
        <f>IFERROR(IF(R224=0,"",S224/R224-1),"")</f>
        <v>0.0199691058125917</v>
      </c>
      <c r="T225" s="40">
        <f>IFERROR(IF(S224=0,"",T224/S224-1),"")</f>
        <v>-0.345982388216471</v>
      </c>
      <c r="U225" s="40">
        <f>IFERROR(IF(T224=0,"",U224/T224-1),"")</f>
        <v>-0.339838278959458</v>
      </c>
      <c r="V225" s="40">
        <f>IFERROR(IF(U224=0,"",V224/U224-1),"")</f>
        <v>0.00777912930327296</v>
      </c>
      <c r="W225" s="12">
        <f>IF(V224=0,"",W224/V224-1)</f>
        <v>0</v>
      </c>
      <c r="X225" s="40">
        <f>IFERROR(IF(W224=0,"",X224/W224-1),"")</f>
        <v>2.13647336215124</v>
      </c>
      <c r="Y225" s="40">
        <f>IFERROR(IF(X224=0,"",Y224/X224-1),"")</f>
        <v>-0.0822892428852693</v>
      </c>
      <c r="Z225" s="40">
        <f>IFERROR(IF(Y224=0,"",Z224/Y224-1),"")</f>
        <v>-0.0235408844897362</v>
      </c>
      <c r="AA225" s="40">
        <f>IFERROR(IF(Z224=0,"",AA224/Z224-1),"")</f>
        <v>-0.206399616502382</v>
      </c>
      <c r="AB225" s="12">
        <f>IF(AA224=0,"",AB224/AA224-1)</f>
        <v>0</v>
      </c>
      <c r="AC225" s="40">
        <f>IFERROR(IF(AB224=0,"",AC224/AB224-1),"")</f>
        <v>0.431352562166516</v>
      </c>
      <c r="AD225" s="40">
        <f>IFERROR(IF(AC224=0,"",AD224/AC224-1),"")</f>
        <v>1.00329696415541</v>
      </c>
      <c r="AE225" s="40">
        <f>IFERROR(IF(AD224=0,"",AE224/AD224-1),"")</f>
        <v>0.205277871647568</v>
      </c>
      <c r="AF225" s="11">
        <f>IFERROR(IF(AE224=0,"",AF224/AE224-1),"")</f>
        <v>-0.0454464353987715</v>
      </c>
      <c r="AG225" s="12">
        <f>IF(AF224=0,"",AG224/AF224-1)</f>
        <v>0</v>
      </c>
      <c r="AH225" s="11">
        <f>IFERROR(IF(AG224=0,"",AH224/AG224-1),"")</f>
        <v>0.00132748426473395</v>
      </c>
      <c r="AI225" s="11">
        <f>IFERROR(IF(AH224=0,"",AI224/AH224-1),"")</f>
        <v>-0.0442860517032511</v>
      </c>
      <c r="AJ225" s="11">
        <f>IFERROR(IF(AI224=0,"",AJ224/AI224-1),"")</f>
        <v>0</v>
      </c>
      <c r="AK225" s="11">
        <f>IFERROR(IF(AJ224=0,"",AK224/AJ224-1),"")</f>
        <v>0</v>
      </c>
      <c r="AL225" s="12">
        <f>IFERROR(IF(AK224=0,"",AL224/AK224-1),"")</f>
        <v>0</v>
      </c>
      <c r="AM225" s="11">
        <f>IFERROR(IF(AL224=0,"",AM224/AL224-1),"")</f>
        <v>0</v>
      </c>
      <c r="AN225" s="11">
        <f>IFERROR(IF(AM224=0,"",AN224/AM224-1),"")</f>
        <v>0</v>
      </c>
      <c r="AO225" s="11">
        <f>IFERROR(IF(AN224=0,"",AO224/AN224-1),"")</f>
        <v>0</v>
      </c>
      <c r="AP225" s="11">
        <f>IFERROR(IF(AO224=0,"",AP224/AO224-1),"")</f>
        <v>0</v>
      </c>
      <c r="AQ225" s="12">
        <f>IFERROR(IF(AP224=0,"",AQ224/AP224-1),"")</f>
        <v>0</v>
      </c>
      <c r="AR225" s="11">
        <f>IFERROR(IF(AQ224=0,"",AR224/AQ224-1),"")</f>
        <v>0</v>
      </c>
      <c r="AS225" s="11">
        <f>IFERROR(IF(AR224=0,"",AS224/AR224-1),"")</f>
        <v>0</v>
      </c>
      <c r="AT225" s="11">
        <f>IFERROR(IF(AS224=0,"",AT224/AS224-1),"")</f>
        <v>0</v>
      </c>
      <c r="AU225" s="11">
        <f>IFERROR(IF(AT224=0,"",AU224/AT224-1),"")</f>
        <v>0</v>
      </c>
      <c r="AV225" s="12">
        <f>IFERROR(IF(AU224=0,"",AV224/AU224-1),"")</f>
        <v>0</v>
      </c>
      <c r="AW225" s="11">
        <f>IFERROR(IF(AV224=0,"",AW224/AV224-1),"")</f>
        <v>0</v>
      </c>
      <c r="AX225" s="11">
        <f>IFERROR(IF(AW224=0,"",AX224/AW224-1),"")</f>
        <v>0</v>
      </c>
      <c r="AY225" s="11">
        <f>IFERROR(IF(AX224=0,"",AY224/AX224-1),"")</f>
        <v>0</v>
      </c>
      <c r="AZ225" s="11">
        <f>IFERROR(IF(AY224=0,"",AZ224/AY224-1),"")</f>
        <v>0</v>
      </c>
      <c r="BA225" s="12">
        <f>IFERROR(IF(AZ224=0,"",BA224/AZ224-1),"")</f>
        <v>0</v>
      </c>
      <c r="BB225" s="11">
        <f>IFERROR(IF(BA224=0,"",BB224/BA224-1),"")</f>
        <v>0</v>
      </c>
      <c r="BC225" s="11">
        <f>IFERROR(IF(BB224=0,"",BC224/BB224-1),"")</f>
        <v>0</v>
      </c>
      <c r="BD225" s="11">
        <f>IFERROR(IF(BC224=0,"",BD224/BC224-1),"")</f>
        <v>0</v>
      </c>
      <c r="BE225" s="11">
        <f>IFERROR(IF(BD224=0,"",BE224/BD224-1),"")</f>
        <v>0</v>
      </c>
      <c r="BF225" s="12">
        <f>IFERROR(IF(BE224=0,"",BF224/BE224-1),"")</f>
        <v>0</v>
      </c>
      <c r="BG225" s="11" t="n"/>
      <c r="BH225" s="11" t="n"/>
      <c r="BI225" s="11" t="n"/>
      <c r="BJ225" s="11" t="n"/>
      <c r="BK225" s="12" t="n"/>
      <c r="BL225" s="11" t="n"/>
      <c r="BM225" s="11" t="n"/>
      <c r="BN225" s="11" t="n"/>
      <c r="BO225" s="11" t="n"/>
      <c r="BP225" s="12" t="n"/>
      <c r="BQ225" s="11" t="n"/>
      <c r="BR225" s="11" t="n"/>
      <c r="BS225" s="11" t="n"/>
      <c r="BT225" s="11" t="n"/>
      <c r="BU225" s="12" t="n"/>
      <c r="BV225" s="11" t="n"/>
      <c r="BW225" s="11" t="n"/>
      <c r="BX225" s="11" t="n"/>
      <c r="BY225" s="11" t="n"/>
      <c r="BZ225" s="12" t="n"/>
      <c r="CA225" s="11" t="n"/>
      <c r="CB225" s="11" t="n"/>
      <c r="CC225" s="11" t="n"/>
      <c r="CD225" s="11" t="n"/>
      <c r="CE225" s="12" t="n"/>
      <c r="CF225" s="11" t="n"/>
      <c r="CG225" s="11" t="n"/>
      <c r="CH225" s="11" t="n"/>
      <c r="CI225" s="11" t="n"/>
      <c r="CJ225" s="12" t="n"/>
      <c r="CK225" s="11" t="n"/>
      <c r="CL225" s="11" t="n"/>
      <c r="CM225" s="11" t="n"/>
      <c r="CN225" s="11" t="n"/>
      <c r="CO225" s="12" t="n"/>
      <c r="CP225" s="11" t="n"/>
      <c r="CQ225" s="11" t="n"/>
      <c r="CR225" s="11" t="n"/>
      <c r="CS225" s="11" t="n"/>
      <c r="CT225" s="12" t="n"/>
      <c r="CU225" s="11" t="n"/>
      <c r="CV225" s="11" t="n"/>
      <c r="CW225" s="11" t="n"/>
      <c r="CX225" s="11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collapsed="1">
      <c r="C227" s="14" t="inlineStr">
        <is>
          <t>Long term debt</t>
        </is>
      </c>
      <c r="D227" s="46" t="n"/>
      <c r="E227" s="46" t="n"/>
      <c r="F227" s="46" t="n"/>
      <c r="G227" s="46" t="n"/>
      <c r="H227" s="12" t="n"/>
      <c r="I227" s="46">
        <f>'Inputs (2)'!D35</f>
        <v>482.81073958</v>
      </c>
      <c r="J227" s="46">
        <f>'Inputs (2)'!E35</f>
        <v>463.17617923</v>
      </c>
      <c r="K227" s="46">
        <f>'Inputs (2)'!F35</f>
        <v>445.125</v>
      </c>
      <c r="L227" s="46">
        <f>'Inputs (2)'!G35</f>
        <v>869.537</v>
      </c>
      <c r="M227" s="12">
        <f>'Inputs (2)'!H35</f>
        <v>869.537</v>
      </c>
      <c r="N227" s="46">
        <f>'Inputs (2)'!I35</f>
        <v>872.031</v>
      </c>
      <c r="O227" s="46">
        <f>'Inputs (2)'!J35</f>
        <v>876.531</v>
      </c>
      <c r="P227" s="46">
        <f>'Inputs (2)'!K35</f>
        <v>1641.207</v>
      </c>
      <c r="Q227" s="46">
        <f>'Inputs (2)'!L35</f>
        <v>1638.222</v>
      </c>
      <c r="R227" s="12">
        <f>'Inputs (2)'!M35</f>
        <v>1638.222</v>
      </c>
      <c r="S227" s="46">
        <f>'Inputs (2)'!N35</f>
        <v>1616.264</v>
      </c>
      <c r="T227" s="46">
        <f>'Inputs (2)'!O35</f>
        <v>1582.105</v>
      </c>
      <c r="U227" s="46">
        <f>'Inputs (2)'!P35</f>
        <v>1546.724</v>
      </c>
      <c r="V227" s="46">
        <f>'Inputs (2)'!Q35</f>
        <v>1313.982</v>
      </c>
      <c r="W227" s="12">
        <f>'Inputs (2)'!R35</f>
        <v>1313.982</v>
      </c>
      <c r="X227" s="46">
        <f>'Inputs (2)'!S35</f>
        <v>1305.794</v>
      </c>
      <c r="Y227" s="46">
        <f>'Inputs (2)'!T35</f>
        <v>1287.123</v>
      </c>
      <c r="Z227" s="46">
        <f>'Inputs (2)'!U35</f>
        <v>1259.718</v>
      </c>
      <c r="AA227" s="46">
        <f>'Inputs (2)'!V35</f>
        <v>1852.872</v>
      </c>
      <c r="AB227" s="12">
        <f>'Inputs (2)'!W35</f>
        <v>1852.872</v>
      </c>
      <c r="AC227" s="46">
        <f>'Inputs (2)'!X35</f>
        <v>1885.998</v>
      </c>
      <c r="AD227" s="46">
        <f>'Inputs (2)'!Y35</f>
        <v>1866.925</v>
      </c>
      <c r="AE227" s="46">
        <f>'Inputs (2)'!Z35</f>
        <v>2086.176</v>
      </c>
      <c r="AF227" s="46">
        <f>'Inputs (2)'!AA35</f>
        <v>1656.368</v>
      </c>
      <c r="AG227" s="12">
        <f>'Inputs (2)'!AB35</f>
        <v>1656.368</v>
      </c>
      <c r="AH227" s="12">
        <f>'Inputs (2)'!AC35</f>
        <v>1182.868</v>
      </c>
      <c r="AI227" s="12">
        <f>'Inputs (2)'!AD35</f>
        <v>1194.648</v>
      </c>
      <c r="AJ227" s="12">
        <f>AJ233</f>
        <v>1194.648</v>
      </c>
      <c r="AK227" s="12">
        <f>AK233</f>
        <v>1194.648</v>
      </c>
      <c r="AL227" s="12">
        <f>AK227</f>
        <v>1194.648</v>
      </c>
      <c r="AM227" s="12">
        <f>AM233</f>
        <v>1194.648</v>
      </c>
      <c r="AN227" s="12">
        <f>AN233</f>
        <v>1194.648</v>
      </c>
      <c r="AO227" s="12">
        <f>AO233</f>
        <v>1194.648</v>
      </c>
      <c r="AP227" s="12">
        <f>AP233</f>
        <v>1194.648</v>
      </c>
      <c r="AQ227" s="12">
        <f>AP227</f>
        <v>1194.648</v>
      </c>
      <c r="AR227" s="12">
        <f>AR233</f>
        <v>1194.648</v>
      </c>
      <c r="AS227" s="12">
        <f>AS233</f>
        <v>1194.648</v>
      </c>
      <c r="AT227" s="12">
        <f>AT233</f>
        <v>1194.648</v>
      </c>
      <c r="AU227" s="12">
        <f>AU233</f>
        <v>1194.648</v>
      </c>
      <c r="AV227" s="12">
        <f>AU227</f>
        <v>1194.648</v>
      </c>
      <c r="AW227" s="12">
        <f>AW233</f>
        <v>1194.648</v>
      </c>
      <c r="AX227" s="12">
        <f>AX233</f>
        <v>1194.648</v>
      </c>
      <c r="AY227" s="12">
        <f>AY233</f>
        <v>1194.648</v>
      </c>
      <c r="AZ227" s="12">
        <f>AZ233</f>
        <v>1194.648</v>
      </c>
      <c r="BA227" s="12">
        <f>AZ227</f>
        <v>1194.648</v>
      </c>
      <c r="BB227" s="12">
        <f>BB233</f>
        <v>1194.648</v>
      </c>
      <c r="BC227" s="12">
        <f>BC233</f>
        <v>1194.648</v>
      </c>
      <c r="BD227" s="12">
        <f>BD233</f>
        <v>1194.648</v>
      </c>
      <c r="BE227" s="12">
        <f>BE233</f>
        <v>1194.648</v>
      </c>
      <c r="BF227" s="12">
        <f>BE227</f>
        <v>1194.648</v>
      </c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inlineStr">
        <is>
          <t>Current portion of LTD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>
        <f>AF222</f>
        <v>1204.737</v>
      </c>
      <c r="AI229" s="62" t="n"/>
      <c r="AJ229" s="62" t="n"/>
      <c r="AK229" s="62" t="n"/>
      <c r="AL229" s="12" t="n"/>
      <c r="AM229" s="12">
        <f>AK222</f>
        <v>1529.728</v>
      </c>
      <c r="AN229" s="62" t="n"/>
      <c r="AO229" s="62" t="n"/>
      <c r="AP229" s="62" t="n"/>
      <c r="AQ229" s="12" t="n"/>
      <c r="AR229" s="12">
        <f>AP222</f>
        <v>1529.728</v>
      </c>
      <c r="AS229" s="62" t="n"/>
      <c r="AT229" s="62" t="n"/>
      <c r="AU229" s="62" t="n"/>
      <c r="AV229" s="12" t="n"/>
      <c r="AW229" s="12">
        <f>AU222</f>
        <v>1529.728</v>
      </c>
      <c r="AX229" s="62" t="n"/>
      <c r="AY229" s="62" t="n"/>
      <c r="AZ229" s="62" t="n"/>
      <c r="BA229" s="12" t="n"/>
      <c r="BB229" s="12">
        <f>AZ222</f>
        <v>1529.728</v>
      </c>
      <c r="BC229" s="62" t="n"/>
      <c r="BD229" s="62" t="n"/>
      <c r="BE229" s="62" t="n"/>
      <c r="BF229" s="12" t="n"/>
      <c r="BG229" s="12" t="n"/>
      <c r="BH229" s="62" t="n"/>
      <c r="BI229" s="62" t="n"/>
      <c r="BJ229" s="62" t="n"/>
      <c r="BK229" s="12" t="n"/>
      <c r="BL229" s="12" t="n"/>
      <c r="BM229" s="62" t="n"/>
      <c r="BN229" s="62" t="n"/>
      <c r="BO229" s="62" t="n"/>
      <c r="BP229" s="12" t="n"/>
      <c r="BQ229" s="12" t="n"/>
      <c r="BR229" s="62" t="n"/>
      <c r="BS229" s="62" t="n"/>
      <c r="BT229" s="62" t="n"/>
      <c r="BU229" s="12" t="n"/>
      <c r="BV229" s="12" t="n"/>
      <c r="BW229" s="62" t="n"/>
      <c r="BX229" s="62" t="n"/>
      <c r="BY229" s="62" t="n"/>
      <c r="BZ229" s="12" t="n"/>
      <c r="CA229" s="12" t="n"/>
      <c r="CB229" s="62" t="n"/>
      <c r="CC229" s="62" t="n"/>
      <c r="CD229" s="62" t="n"/>
      <c r="CE229" s="12" t="n"/>
      <c r="CF229" s="12" t="n"/>
      <c r="CG229" s="62" t="n"/>
      <c r="CH229" s="62" t="n"/>
      <c r="CI229" s="62" t="n"/>
      <c r="CJ229" s="12" t="n"/>
      <c r="CK229" s="12" t="n"/>
      <c r="CL229" s="62" t="n"/>
      <c r="CM229" s="62" t="n"/>
      <c r="CN229" s="62" t="n"/>
      <c r="CO229" s="12" t="n"/>
      <c r="CP229" s="12" t="n"/>
      <c r="CQ229" s="62" t="n"/>
      <c r="CR229" s="62" t="n"/>
      <c r="CS229" s="62" t="n"/>
      <c r="CT229" s="12" t="n"/>
      <c r="CU229" s="12" t="n"/>
      <c r="CV229" s="62" t="n"/>
      <c r="CW229" s="62" t="n"/>
      <c r="CX229" s="62" t="n"/>
      <c r="CY229" s="12" t="n"/>
    </row>
    <row r="230" hidden="1" outlineLevel="1">
      <c r="C230" s="57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Reclassification of LTD to CP of LTD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>
        <f>-AI229</f>
        <v>0</v>
      </c>
      <c r="AJ231" s="12">
        <f>-AJ229</f>
        <v>0</v>
      </c>
      <c r="AK231" s="12">
        <f>-AK229</f>
        <v>0</v>
      </c>
      <c r="AL231" s="12" t="n"/>
      <c r="AM231" s="12" t="n"/>
      <c r="AN231" s="12">
        <f>-AN229</f>
        <v>0</v>
      </c>
      <c r="AO231" s="12">
        <f>-AO229</f>
        <v>0</v>
      </c>
      <c r="AP231" s="12">
        <f>-AP229</f>
        <v>0</v>
      </c>
      <c r="AQ231" s="12" t="n"/>
      <c r="AR231" s="12" t="n"/>
      <c r="AS231" s="12">
        <f>-AS229</f>
        <v>0</v>
      </c>
      <c r="AT231" s="12">
        <f>-AT229</f>
        <v>0</v>
      </c>
      <c r="AU231" s="12">
        <f>-AU229</f>
        <v>0</v>
      </c>
      <c r="AV231" s="12" t="n"/>
      <c r="AW231" s="12" t="n"/>
      <c r="AX231" s="12">
        <f>-AX229</f>
        <v>0</v>
      </c>
      <c r="AY231" s="12">
        <f>-AY229</f>
        <v>0</v>
      </c>
      <c r="AZ231" s="12">
        <f>-AZ229</f>
        <v>0</v>
      </c>
      <c r="BA231" s="12" t="n"/>
      <c r="BB231" s="12" t="n"/>
      <c r="BC231" s="12">
        <f>-BC229</f>
        <v>0</v>
      </c>
      <c r="BD231" s="12">
        <f>-BD229</f>
        <v>0</v>
      </c>
      <c r="BE231" s="12">
        <f>-BE229</f>
        <v>0</v>
      </c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>
      <c r="C232" s="57" t="inlineStr">
        <is>
          <t>Discretionary (paydown)/borrowing of long term debt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62" t="n"/>
      <c r="AI232" s="62" t="n"/>
      <c r="AJ232" s="62" t="n"/>
      <c r="AK232" s="62" t="n"/>
      <c r="AL232" s="12" t="n"/>
      <c r="AM232" s="62" t="n"/>
      <c r="AN232" s="62" t="n"/>
      <c r="AO232" s="62" t="n"/>
      <c r="AP232" s="62" t="n"/>
      <c r="AQ232" s="12" t="n"/>
      <c r="AR232" s="62" t="n"/>
      <c r="AS232" s="62" t="n"/>
      <c r="AT232" s="62" t="n"/>
      <c r="AU232" s="62" t="n"/>
      <c r="AV232" s="12" t="n"/>
      <c r="AW232" s="62" t="n"/>
      <c r="AX232" s="62" t="n"/>
      <c r="AY232" s="62" t="n"/>
      <c r="AZ232" s="62" t="n"/>
      <c r="BA232" s="12" t="n"/>
      <c r="BB232" s="62" t="n"/>
      <c r="BC232" s="62" t="n"/>
      <c r="BD232" s="62" t="n"/>
      <c r="BE232" s="62" t="n"/>
      <c r="BF232" s="12" t="n"/>
      <c r="BG232" s="62" t="n"/>
      <c r="BH232" s="62" t="n"/>
      <c r="BI232" s="62" t="n"/>
      <c r="BJ232" s="62" t="n"/>
      <c r="BK232" s="12" t="n"/>
      <c r="BL232" s="62" t="n"/>
      <c r="BM232" s="62" t="n"/>
      <c r="BN232" s="62" t="n"/>
      <c r="BO232" s="62" t="n"/>
      <c r="BP232" s="12" t="n"/>
      <c r="BQ232" s="62" t="n"/>
      <c r="BR232" s="62" t="n"/>
      <c r="BS232" s="62" t="n"/>
      <c r="BT232" s="62" t="n"/>
      <c r="BU232" s="12" t="n"/>
      <c r="BV232" s="62" t="n"/>
      <c r="BW232" s="62" t="n"/>
      <c r="BX232" s="62" t="n"/>
      <c r="BY232" s="62" t="n"/>
      <c r="BZ232" s="12" t="n"/>
      <c r="CA232" s="62" t="n"/>
      <c r="CB232" s="62" t="n"/>
      <c r="CC232" s="62" t="n"/>
      <c r="CD232" s="62" t="n"/>
      <c r="CE232" s="12" t="n"/>
      <c r="CF232" s="62" t="n"/>
      <c r="CG232" s="62" t="n"/>
      <c r="CH232" s="62" t="n"/>
      <c r="CI232" s="62" t="n"/>
      <c r="CJ232" s="12" t="n"/>
      <c r="CK232" s="62" t="n"/>
      <c r="CL232" s="62" t="n"/>
      <c r="CM232" s="62" t="n"/>
      <c r="CN232" s="62" t="n"/>
      <c r="CO232" s="12" t="n"/>
      <c r="CP232" s="62" t="n"/>
      <c r="CQ232" s="62" t="n"/>
      <c r="CR232" s="62" t="n"/>
      <c r="CS232" s="62" t="n"/>
      <c r="CT232" s="12" t="n"/>
      <c r="CU232" s="62" t="n"/>
      <c r="CV232" s="62" t="n"/>
      <c r="CW232" s="62" t="n"/>
      <c r="CX232" s="62" t="n"/>
      <c r="CY232" s="12" t="n"/>
    </row>
    <row r="233" hidden="1" outlineLevel="1">
      <c r="C233" s="57" t="inlineStr">
        <is>
          <t>Long term debt</t>
        </is>
      </c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>
        <f>AH227</f>
        <v>1182.868</v>
      </c>
      <c r="AI233" s="12">
        <f>AI227</f>
        <v>1194.648</v>
      </c>
      <c r="AJ233" s="12">
        <f>AI233+SUM(AJ231:AJ232)</f>
        <v>1194.648</v>
      </c>
      <c r="AK233" s="12">
        <f>AJ233+SUM(AK231:AK232)</f>
        <v>1194.648</v>
      </c>
      <c r="AL233" s="12" t="n"/>
      <c r="AM233" s="12">
        <f>AK233+SUM(AM231:AM232)</f>
        <v>1194.648</v>
      </c>
      <c r="AN233" s="12">
        <f>AM233+SUM(AN231:AN232)</f>
        <v>1194.648</v>
      </c>
      <c r="AO233" s="12">
        <f>AN233+SUM(AO231:AO232)</f>
        <v>1194.648</v>
      </c>
      <c r="AP233" s="12">
        <f>AO233+SUM(AP231:AP232)</f>
        <v>1194.648</v>
      </c>
      <c r="AQ233" s="12" t="n"/>
      <c r="AR233" s="12">
        <f>AP233+SUM(AR231:AR232)</f>
        <v>1194.648</v>
      </c>
      <c r="AS233" s="12">
        <f>AR233+SUM(AS231:AS232)</f>
        <v>1194.648</v>
      </c>
      <c r="AT233" s="12">
        <f>AS233+SUM(AT231:AT232)</f>
        <v>1194.648</v>
      </c>
      <c r="AU233" s="12">
        <f>AT233+SUM(AU231:AU232)</f>
        <v>1194.648</v>
      </c>
      <c r="AV233" s="12" t="n"/>
      <c r="AW233" s="12">
        <f>AU233+SUM(AW231:AW232)</f>
        <v>1194.648</v>
      </c>
      <c r="AX233" s="12">
        <f>AW233+SUM(AX231:AX232)</f>
        <v>1194.648</v>
      </c>
      <c r="AY233" s="12">
        <f>AX233+SUM(AY231:AY232)</f>
        <v>1194.648</v>
      </c>
      <c r="AZ233" s="12">
        <f>AY233+SUM(AZ231:AZ232)</f>
        <v>1194.648</v>
      </c>
      <c r="BA233" s="12" t="n"/>
      <c r="BB233" s="12">
        <f>AZ233+SUM(BB231:BB232)</f>
        <v>1194.648</v>
      </c>
      <c r="BC233" s="12">
        <f>BB233+SUM(BC231:BC232)</f>
        <v>1194.648</v>
      </c>
      <c r="BD233" s="12">
        <f>BC233+SUM(BD231:BD232)</f>
        <v>1194.648</v>
      </c>
      <c r="BE233" s="12">
        <f>BD233+SUM(BE231:BE232)</f>
        <v>1194.648</v>
      </c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>Discretionary (paydown)/borrowing of convertible debt</t>
        </is>
      </c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62" t="n"/>
      <c r="AI235" s="62" t="n"/>
      <c r="AJ235" s="62" t="n"/>
      <c r="AK235" s="62" t="n"/>
      <c r="AL235" s="12" t="n"/>
      <c r="AM235" s="62" t="n"/>
      <c r="AN235" s="62" t="n"/>
      <c r="AO235" s="62" t="n"/>
      <c r="AP235" s="62" t="n"/>
      <c r="AQ235" s="12" t="n"/>
      <c r="AR235" s="62" t="n"/>
      <c r="AS235" s="62" t="n"/>
      <c r="AT235" s="62" t="n"/>
      <c r="AU235" s="62" t="n"/>
      <c r="AV235" s="12" t="n"/>
      <c r="AW235" s="62" t="n"/>
      <c r="AX235" s="62" t="n"/>
      <c r="AY235" s="62" t="n"/>
      <c r="AZ235" s="62" t="n"/>
      <c r="BA235" s="12" t="n"/>
      <c r="BB235" s="62" t="n"/>
      <c r="BC235" s="62" t="n"/>
      <c r="BD235" s="62" t="n"/>
      <c r="BE235" s="62" t="n"/>
      <c r="BF235" s="12" t="n"/>
      <c r="BG235" s="62" t="n"/>
      <c r="BH235" s="62" t="n"/>
      <c r="BI235" s="62" t="n"/>
      <c r="BJ235" s="62" t="n"/>
      <c r="BK235" s="12" t="n"/>
      <c r="BL235" s="62" t="n"/>
      <c r="BM235" s="62" t="n"/>
      <c r="BN235" s="62" t="n"/>
      <c r="BO235" s="62" t="n"/>
      <c r="BP235" s="12" t="n"/>
      <c r="BQ235" s="62" t="n"/>
      <c r="BR235" s="62" t="n"/>
      <c r="BS235" s="62" t="n"/>
      <c r="BT235" s="62" t="n"/>
      <c r="BU235" s="12" t="n"/>
      <c r="BV235" s="62" t="n"/>
      <c r="BW235" s="62" t="n"/>
      <c r="BX235" s="62" t="n"/>
      <c r="BY235" s="62" t="n"/>
      <c r="BZ235" s="12" t="n"/>
      <c r="CA235" s="62" t="n"/>
      <c r="CB235" s="62" t="n"/>
      <c r="CC235" s="62" t="n"/>
      <c r="CD235" s="62" t="n"/>
      <c r="CE235" s="12" t="n"/>
      <c r="CF235" s="62" t="n"/>
      <c r="CG235" s="62" t="n"/>
      <c r="CH235" s="62" t="n"/>
      <c r="CI235" s="62" t="n"/>
      <c r="CJ235" s="12" t="n"/>
      <c r="CK235" s="62" t="n"/>
      <c r="CL235" s="62" t="n"/>
      <c r="CM235" s="62" t="n"/>
      <c r="CN235" s="62" t="n"/>
      <c r="CO235" s="12" t="n"/>
      <c r="CP235" s="62" t="n"/>
      <c r="CQ235" s="62" t="n"/>
      <c r="CR235" s="62" t="n"/>
      <c r="CS235" s="62" t="n"/>
      <c r="CT235" s="12" t="n"/>
      <c r="CU235" s="62" t="n"/>
      <c r="CV235" s="62" t="n"/>
      <c r="CW235" s="62" t="n"/>
      <c r="CX235" s="62" t="n"/>
      <c r="CY235" s="12" t="n"/>
    </row>
    <row r="236" hidden="1" outlineLevel="1">
      <c r="C236" s="57" t="inlineStr">
        <is>
          <t>Convertible debt</t>
        </is>
      </c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>
        <f>AH248</f>
        <v>0</v>
      </c>
      <c r="AI236" s="12">
        <f>AH236+SUM(AI235)</f>
        <v>0</v>
      </c>
      <c r="AJ236" s="12">
        <f>AI236+SUM(AJ235)</f>
        <v>0</v>
      </c>
      <c r="AK236" s="12">
        <f>AJ236+SUM(AK235)</f>
        <v>0</v>
      </c>
      <c r="AL236" s="12" t="n"/>
      <c r="AM236" s="12">
        <f>AM248</f>
        <v>0</v>
      </c>
      <c r="AN236" s="12">
        <f>AM236+SUM(AN235)</f>
        <v>0</v>
      </c>
      <c r="AO236" s="12">
        <f>AN236+SUM(AO235)</f>
        <v>0</v>
      </c>
      <c r="AP236" s="12">
        <f>AO236+SUM(AP235)</f>
        <v>0</v>
      </c>
      <c r="AQ236" s="12" t="n"/>
      <c r="AR236" s="12">
        <f>AR248</f>
        <v>0</v>
      </c>
      <c r="AS236" s="12">
        <f>AR236+SUM(AS235)</f>
        <v>0</v>
      </c>
      <c r="AT236" s="12">
        <f>AS236+SUM(AT235)</f>
        <v>0</v>
      </c>
      <c r="AU236" s="12">
        <f>AT236+SUM(AU235)</f>
        <v>0</v>
      </c>
      <c r="AV236" s="12" t="n"/>
      <c r="AW236" s="12">
        <f>AW248</f>
        <v>0</v>
      </c>
      <c r="AX236" s="12">
        <f>AW236+SUM(AX235)</f>
        <v>0</v>
      </c>
      <c r="AY236" s="12">
        <f>AX236+SUM(AY235)</f>
        <v>0</v>
      </c>
      <c r="AZ236" s="12">
        <f>AY236+SUM(AZ235)</f>
        <v>0</v>
      </c>
      <c r="BA236" s="12" t="n"/>
      <c r="BB236" s="12">
        <f>BB248</f>
        <v>0</v>
      </c>
      <c r="BC236" s="12">
        <f>BB236+SUM(BC235)</f>
        <v>0</v>
      </c>
      <c r="BD236" s="12">
        <f>BC236+SUM(BD235)</f>
        <v>0</v>
      </c>
      <c r="BE236" s="12">
        <f>BD236+SUM(BE235)</f>
        <v>0</v>
      </c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I237" s="12" t="n"/>
      <c r="AJ237" s="12" t="n"/>
      <c r="AK237" s="12" t="n"/>
      <c r="AL237" s="12" t="n"/>
      <c r="AN237" s="12" t="n"/>
      <c r="AO237" s="12" t="n"/>
      <c r="AP237" s="12" t="n"/>
      <c r="AQ237" s="12" t="n"/>
      <c r="AS237" s="12" t="n"/>
      <c r="AT237" s="12" t="n"/>
      <c r="AU237" s="12" t="n"/>
      <c r="AV237" s="12" t="n"/>
      <c r="AX237" s="12" t="n"/>
      <c r="AY237" s="12" t="n"/>
      <c r="AZ237" s="12" t="n"/>
      <c r="BA237" s="12" t="n"/>
      <c r="BC237" s="12" t="n"/>
      <c r="BD237" s="12" t="n"/>
      <c r="BE237" s="12" t="n"/>
      <c r="BF237" s="12" t="n"/>
      <c r="BH237" s="12" t="n"/>
      <c r="BI237" s="12" t="n"/>
      <c r="BJ237" s="12" t="n"/>
      <c r="BK237" s="12" t="n"/>
      <c r="BM237" s="12" t="n"/>
      <c r="BN237" s="12" t="n"/>
      <c r="BO237" s="12" t="n"/>
      <c r="BP237" s="12" t="n"/>
      <c r="BR237" s="12" t="n"/>
      <c r="BS237" s="12" t="n"/>
      <c r="BT237" s="12" t="n"/>
      <c r="BU237" s="12" t="n"/>
      <c r="BW237" s="12" t="n"/>
      <c r="BX237" s="12" t="n"/>
      <c r="BY237" s="12" t="n"/>
      <c r="BZ237" s="12" t="n"/>
      <c r="CB237" s="12" t="n"/>
      <c r="CC237" s="12" t="n"/>
      <c r="CD237" s="12" t="n"/>
      <c r="CE237" s="12" t="n"/>
      <c r="CG237" s="12" t="n"/>
      <c r="CH237" s="12" t="n"/>
      <c r="CI237" s="12" t="n"/>
      <c r="CJ237" s="12" t="n"/>
      <c r="CL237" s="12" t="n"/>
      <c r="CM237" s="12" t="n"/>
      <c r="CN237" s="12" t="n"/>
      <c r="CO237" s="12" t="n"/>
      <c r="CQ237" s="12" t="n"/>
      <c r="CR237" s="12" t="n"/>
      <c r="CS237" s="12" t="n"/>
      <c r="CT237" s="12" t="n"/>
      <c r="CV237" s="12" t="n"/>
      <c r="CW237" s="12" t="n"/>
      <c r="CX237" s="12" t="n"/>
      <c r="CY237" s="12" t="n"/>
    </row>
    <row r="238" hidden="1" outlineLevel="1">
      <c r="C238" s="57" t="inlineStr">
        <is>
          <t>Calculation of short term debt</t>
        </is>
      </c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hidden="1" outlineLevel="1">
      <c r="C239" s="57" t="inlineStr">
        <is>
          <t>Cash @ beginning of the period (end of last period)</t>
        </is>
      </c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63">
        <f>AG154</f>
        <v>1801.712</v>
      </c>
      <c r="AI239" s="12" t="n"/>
      <c r="AJ239" s="12" t="n"/>
      <c r="AK239" s="12" t="n"/>
      <c r="AL239" s="12" t="n"/>
      <c r="AM239" s="63">
        <f>AL154</f>
        <v>1935.10730361548</v>
      </c>
      <c r="AN239" s="12" t="n"/>
      <c r="AO239" s="12" t="n"/>
      <c r="AP239" s="12" t="n"/>
      <c r="AQ239" s="12" t="n"/>
      <c r="AR239" s="63">
        <f>AQ154</f>
        <v>5040.39586493438</v>
      </c>
      <c r="AS239" s="12" t="n"/>
      <c r="AT239" s="12" t="n"/>
      <c r="AU239" s="12" t="n"/>
      <c r="AV239" s="12" t="n"/>
      <c r="AW239" s="63">
        <f>AV154</f>
        <v>9309.45001557284</v>
      </c>
      <c r="AX239" s="12" t="n"/>
      <c r="AY239" s="12" t="n"/>
      <c r="AZ239" s="12" t="n"/>
      <c r="BA239" s="12" t="n"/>
      <c r="BB239" s="63">
        <f>BA154</f>
        <v>15373.8540846931</v>
      </c>
      <c r="BC239" s="12" t="n"/>
      <c r="BD239" s="12" t="n"/>
      <c r="BE239" s="12" t="n"/>
      <c r="BF239" s="12" t="n"/>
      <c r="BG239" s="63" t="n"/>
      <c r="BH239" s="12" t="n"/>
      <c r="BI239" s="12" t="n"/>
      <c r="BJ239" s="12" t="n"/>
      <c r="BK239" s="12" t="n"/>
      <c r="BL239" s="63" t="n"/>
      <c r="BM239" s="12" t="n"/>
      <c r="BN239" s="12" t="n"/>
      <c r="BO239" s="12" t="n"/>
      <c r="BP239" s="12" t="n"/>
      <c r="BQ239" s="63" t="n"/>
      <c r="BR239" s="12" t="n"/>
      <c r="BS239" s="12" t="n"/>
      <c r="BT239" s="12" t="n"/>
      <c r="BU239" s="12" t="n"/>
      <c r="BV239" s="63" t="n"/>
      <c r="BW239" s="12" t="n"/>
      <c r="BX239" s="12" t="n"/>
      <c r="BY239" s="12" t="n"/>
      <c r="BZ239" s="12" t="n"/>
      <c r="CA239" s="63" t="n"/>
      <c r="CB239" s="12" t="n"/>
      <c r="CC239" s="12" t="n"/>
      <c r="CD239" s="12" t="n"/>
      <c r="CE239" s="12" t="n"/>
      <c r="CF239" s="63" t="n"/>
      <c r="CG239" s="12" t="n"/>
      <c r="CH239" s="12" t="n"/>
      <c r="CI239" s="12" t="n"/>
      <c r="CJ239" s="12" t="n"/>
      <c r="CK239" s="63" t="n"/>
      <c r="CL239" s="12" t="n"/>
      <c r="CM239" s="12" t="n"/>
      <c r="CN239" s="12" t="n"/>
      <c r="CO239" s="12" t="n"/>
      <c r="CP239" s="63" t="n"/>
      <c r="CQ239" s="12" t="n"/>
      <c r="CR239" s="12" t="n"/>
      <c r="CS239" s="12" t="n"/>
      <c r="CT239" s="12" t="n"/>
      <c r="CU239" s="63" t="n"/>
      <c r="CV239" s="12" t="n"/>
      <c r="CW239" s="12" t="n"/>
      <c r="CX239" s="12" t="n"/>
      <c r="CY239" s="12" t="n"/>
    </row>
    <row r="240" hidden="1" outlineLevel="1">
      <c r="C240" s="57" t="inlineStr">
        <is>
          <t>Plus: Free cash flows prior to debt during period</t>
        </is>
      </c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inlineStr">
        <is>
          <t>% of sales</t>
        </is>
      </c>
      <c r="AH240" s="64">
        <f>(AH302+AH309)+SUM(AH312:AH318)</f>
        <v>303.230000000001</v>
      </c>
      <c r="AI240" s="64">
        <f>(AI302+AI309)+SUM(AI312:AI318)</f>
        <v>-95.1430000000001</v>
      </c>
      <c r="AJ240" s="64">
        <f>(AJ302+AJ309)+SUM(AJ312:AJ318)</f>
        <v>0</v>
      </c>
      <c r="AK240" s="64">
        <f>(AK302+AK309)+SUM(AK312:AK318)</f>
        <v>0</v>
      </c>
      <c r="AL240" s="12" t="n"/>
      <c r="AM240" s="64">
        <f>(AM302+AM309)+SUM(AM312:AM318)</f>
        <v>0</v>
      </c>
      <c r="AN240" s="64">
        <f>(AN302+AN309)+SUM(AN312:AN318)</f>
        <v>0</v>
      </c>
      <c r="AO240" s="64">
        <f>(AO302+AO309)+SUM(AO312:AO318)</f>
        <v>0</v>
      </c>
      <c r="AP240" s="64">
        <f>(AP302+AP309)+SUM(AP312:AP318)</f>
        <v>0</v>
      </c>
      <c r="AQ240" s="12" t="n"/>
      <c r="AR240" s="64">
        <f>(AR302+AR309)+SUM(AR312:AR318)</f>
        <v>0</v>
      </c>
      <c r="AS240" s="64">
        <f>(AS302+AS309)+SUM(AS312:AS318)</f>
        <v>0</v>
      </c>
      <c r="AT240" s="64">
        <f>(AT302+AT309)+SUM(AT312:AT318)</f>
        <v>0</v>
      </c>
      <c r="AU240" s="64">
        <f>(AU302+AU309)+SUM(AU312:AU318)</f>
        <v>0</v>
      </c>
      <c r="AV240" s="12" t="n"/>
      <c r="AW240" s="64">
        <f>(AW302+AW309)+SUM(AW312:AW318)</f>
        <v>0</v>
      </c>
      <c r="AX240" s="64">
        <f>(AX302+AX309)+SUM(AX312:AX318)</f>
        <v>0</v>
      </c>
      <c r="AY240" s="64">
        <f>(AY302+AY309)+SUM(AY312:AY318)</f>
        <v>0</v>
      </c>
      <c r="AZ240" s="64">
        <f>(AZ302+AZ309)+SUM(AZ312:AZ318)</f>
        <v>0</v>
      </c>
      <c r="BA240" s="12" t="n"/>
      <c r="BB240" s="64">
        <f>(BB302+BB309)+SUM(BB312:BB318)</f>
        <v>0</v>
      </c>
      <c r="BC240" s="64">
        <f>(BC302+BC309)+SUM(BC312:BC318)</f>
        <v>0</v>
      </c>
      <c r="BD240" s="64">
        <f>(BD302+BD309)+SUM(BD312:BD318)</f>
        <v>0</v>
      </c>
      <c r="BE240" s="64">
        <f>(BE302+BE309)+SUM(BE312:BE318)</f>
        <v>0</v>
      </c>
      <c r="BF240" s="12" t="n"/>
      <c r="BG240" s="64" t="n"/>
      <c r="BH240" s="64" t="n"/>
      <c r="BI240" s="64" t="n"/>
      <c r="BJ240" s="64" t="n"/>
      <c r="BK240" s="12" t="n"/>
      <c r="BL240" s="64" t="n"/>
      <c r="BM240" s="64" t="n"/>
      <c r="BN240" s="64" t="n"/>
      <c r="BO240" s="64" t="n"/>
      <c r="BP240" s="12" t="n"/>
      <c r="BQ240" s="64" t="n"/>
      <c r="BR240" s="64" t="n"/>
      <c r="BS240" s="64" t="n"/>
      <c r="BT240" s="64" t="n"/>
      <c r="BU240" s="12" t="n"/>
      <c r="BV240" s="64" t="n"/>
      <c r="BW240" s="64" t="n"/>
      <c r="BX240" s="64" t="n"/>
      <c r="BY240" s="64" t="n"/>
      <c r="BZ240" s="12" t="n"/>
      <c r="CA240" s="64" t="n"/>
      <c r="CB240" s="64" t="n"/>
      <c r="CC240" s="64" t="n"/>
      <c r="CD240" s="64" t="n"/>
      <c r="CE240" s="12" t="n"/>
      <c r="CF240" s="64" t="n"/>
      <c r="CG240" s="64" t="n"/>
      <c r="CH240" s="64" t="n"/>
      <c r="CI240" s="64" t="n"/>
      <c r="CJ240" s="12" t="n"/>
      <c r="CK240" s="64" t="n"/>
      <c r="CL240" s="64" t="n"/>
      <c r="CM240" s="64" t="n"/>
      <c r="CN240" s="64" t="n"/>
      <c r="CO240" s="12" t="n"/>
      <c r="CP240" s="64" t="n"/>
      <c r="CQ240" s="64" t="n"/>
      <c r="CR240" s="64" t="n"/>
      <c r="CS240" s="64" t="n"/>
      <c r="CT240" s="12" t="n"/>
      <c r="CU240" s="64" t="n"/>
      <c r="CV240" s="64" t="n"/>
      <c r="CW240" s="64" t="n"/>
      <c r="CX240" s="64" t="n"/>
      <c r="CY240" s="12" t="n"/>
    </row>
    <row r="241" hidden="1" outlineLevel="1">
      <c r="C241" s="57" t="inlineStr">
        <is>
          <t>Less: Minimum cash balance</t>
        </is>
      </c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52" t="n"/>
      <c r="AH241" s="12">
        <f>($AG$241*AH15)</f>
        <v>0</v>
      </c>
      <c r="AI241" s="12">
        <f>($AG$241*AI15)</f>
        <v>0</v>
      </c>
      <c r="AJ241" s="12">
        <f>($AG$241*AJ15)</f>
        <v>0</v>
      </c>
      <c r="AK241" s="12">
        <f>($AG$241*AK15)</f>
        <v>0</v>
      </c>
      <c r="AL241" s="12" t="n"/>
      <c r="AM241" s="12">
        <f>($AG$241*AM15)</f>
        <v>0</v>
      </c>
      <c r="AN241" s="12">
        <f>($AG$241*AN15)</f>
        <v>0</v>
      </c>
      <c r="AO241" s="12">
        <f>($AG$241*AO15)</f>
        <v>0</v>
      </c>
      <c r="AP241" s="12">
        <f>($AG$241*AP15)</f>
        <v>0</v>
      </c>
      <c r="AQ241" s="12" t="n"/>
      <c r="AR241" s="12">
        <f>($AG$241*AR15)</f>
        <v>0</v>
      </c>
      <c r="AS241" s="12">
        <f>($AG$241*AS15)</f>
        <v>0</v>
      </c>
      <c r="AT241" s="12">
        <f>($AG$241*AT15)</f>
        <v>0</v>
      </c>
      <c r="AU241" s="12">
        <f>($AG$241*AU15)</f>
        <v>0</v>
      </c>
      <c r="AV241" s="12" t="n"/>
      <c r="AW241" s="12">
        <f>($AG$241*AW15)</f>
        <v>0</v>
      </c>
      <c r="AX241" s="12">
        <f>($AG$241*AX15)</f>
        <v>0</v>
      </c>
      <c r="AY241" s="12">
        <f>($AG$241*AY15)</f>
        <v>0</v>
      </c>
      <c r="AZ241" s="12">
        <f>($AG$241*AZ15)</f>
        <v>0</v>
      </c>
      <c r="BA241" s="12" t="n"/>
      <c r="BB241" s="12">
        <f>($AG$241*BB15)</f>
        <v>0</v>
      </c>
      <c r="BC241" s="12">
        <f>($AG$241*BC15)</f>
        <v>0</v>
      </c>
      <c r="BD241" s="12">
        <f>($AG$241*BD15)</f>
        <v>0</v>
      </c>
      <c r="BE241" s="12">
        <f>($AG$241*BE15)</f>
        <v>0</v>
      </c>
      <c r="BF241" s="12" t="n"/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hidden="1" outlineLevel="1">
      <c r="C242" s="57" t="inlineStr">
        <is>
          <t>Total cash available / (debt required) for short term debt paydown</t>
        </is>
      </c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3">
        <f>AH239+AH240-AH241-AF229+AH231+AH235</f>
        <v>2104.942</v>
      </c>
      <c r="AI242" s="3">
        <f>AI239+AI240-AI241-AG229+AI231+AI235</f>
        <v>-95.1430000000001</v>
      </c>
      <c r="AJ242" s="3">
        <f>AJ239+AJ240-AJ241-AH229+AJ231+AJ235</f>
        <v>-1204.737</v>
      </c>
      <c r="AK242" s="3">
        <f>AK239+AK240-AK241-AI229+AK231+AK235</f>
        <v>0</v>
      </c>
      <c r="AL242" s="12" t="n"/>
      <c r="AM242" s="3">
        <f>AM239+AM240-AM241-AK229+AM231+AM235</f>
        <v>1935.10730361548</v>
      </c>
      <c r="AN242" s="3">
        <f>AN239+AN240-AN241-AL229+AN231+AN235</f>
        <v>0</v>
      </c>
      <c r="AO242" s="3">
        <f>AO239+AO240-AO241-AM229+AO231+AO235</f>
        <v>-1529.728</v>
      </c>
      <c r="AP242" s="3">
        <f>AP239+AP240-AP241-AN229+AP231+AP235</f>
        <v>0</v>
      </c>
      <c r="AQ242" s="12" t="n"/>
      <c r="AR242" s="3">
        <f>AR239+AR240-AR241-AP229+AR231+AR235</f>
        <v>5040.39586493438</v>
      </c>
      <c r="AS242" s="3">
        <f>AS239+AS240-AS241-AQ229+AS231+AS235</f>
        <v>0</v>
      </c>
      <c r="AT242" s="3">
        <f>AT239+AT240-AT241-AR229+AT231+AT235</f>
        <v>-1529.728</v>
      </c>
      <c r="AU242" s="3">
        <f>AU239+AU240-AU241-AS229+AU231+AU235</f>
        <v>0</v>
      </c>
      <c r="AV242" s="12" t="n"/>
      <c r="AW242" s="3">
        <f>AW239+AW240-AW241-AU229+AW231+AW235</f>
        <v>9309.45001557284</v>
      </c>
      <c r="AX242" s="3">
        <f>AX239+AX240-AX241-AV229+AX231+AX235</f>
        <v>0</v>
      </c>
      <c r="AY242" s="3">
        <f>AY239+AY240-AY241-AW229+AY231+AY235</f>
        <v>-1529.728</v>
      </c>
      <c r="AZ242" s="3">
        <f>AZ239+AZ240-AZ241-AX229+AZ231+AZ235</f>
        <v>0</v>
      </c>
      <c r="BA242" s="12" t="n"/>
      <c r="BB242" s="3">
        <f>BB239+BB240-BB241-AZ229+BB231+BB235</f>
        <v>15373.8540846931</v>
      </c>
      <c r="BC242" s="3">
        <f>BC239+BC240-BC241-BA229+BC231+BC235</f>
        <v>0</v>
      </c>
      <c r="BD242" s="3">
        <f>BD239+BD240-BD241-BB229+BD231+BD235</f>
        <v>-1529.728</v>
      </c>
      <c r="BE242" s="3">
        <f>BE239+BE240-BE241-BC229+BE231+BE235</f>
        <v>0</v>
      </c>
      <c r="BF242" s="12" t="n"/>
      <c r="BG242" s="3" t="n"/>
      <c r="BH242" s="3" t="n"/>
      <c r="BI242" s="3" t="n"/>
      <c r="BJ242" s="3" t="n"/>
      <c r="BK242" s="12" t="n"/>
      <c r="BL242" s="3" t="n"/>
      <c r="BM242" s="3" t="n"/>
      <c r="BN242" s="3" t="n"/>
      <c r="BO242" s="3" t="n"/>
      <c r="BP242" s="12" t="n"/>
      <c r="BQ242" s="3" t="n"/>
      <c r="BR242" s="3" t="n"/>
      <c r="BS242" s="3" t="n"/>
      <c r="BT242" s="3" t="n"/>
      <c r="BU242" s="12" t="n"/>
      <c r="BV242" s="3" t="n"/>
      <c r="BW242" s="3" t="n"/>
      <c r="BX242" s="3" t="n"/>
      <c r="BY242" s="3" t="n"/>
      <c r="BZ242" s="12" t="n"/>
      <c r="CA242" s="3" t="n"/>
      <c r="CB242" s="3" t="n"/>
      <c r="CC242" s="3" t="n"/>
      <c r="CD242" s="3" t="n"/>
      <c r="CE242" s="12" t="n"/>
      <c r="CF242" s="3" t="n"/>
      <c r="CG242" s="3" t="n"/>
      <c r="CH242" s="3" t="n"/>
      <c r="CI242" s="3" t="n"/>
      <c r="CJ242" s="12" t="n"/>
      <c r="CK242" s="3" t="n"/>
      <c r="CL242" s="3" t="n"/>
      <c r="CM242" s="3" t="n"/>
      <c r="CN242" s="3" t="n"/>
      <c r="CO242" s="12" t="n"/>
      <c r="CP242" s="3" t="n"/>
      <c r="CQ242" s="3" t="n"/>
      <c r="CR242" s="3" t="n"/>
      <c r="CS242" s="3" t="n"/>
      <c r="CT242" s="12" t="n"/>
      <c r="CU242" s="3" t="n"/>
      <c r="CV242" s="3" t="n"/>
      <c r="CW242" s="3" t="n"/>
      <c r="CX242" s="3" t="n"/>
      <c r="CY242" s="12" t="n"/>
    </row>
    <row r="243" hidden="1" outlineLevel="1">
      <c r="C243" s="57" t="inlineStr">
        <is>
          <t>Short term debt</t>
        </is>
      </c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>
        <f>AH223</f>
        <v>0</v>
      </c>
      <c r="AI243" s="12">
        <f>MAX(0,AH243-AI242)</f>
        <v>95.1430000000001</v>
      </c>
      <c r="AJ243" s="12">
        <f>MAX(0,AI243-AJ242)</f>
        <v>1299.88</v>
      </c>
      <c r="AK243" s="12">
        <f>MAX(0,AJ243-AK242)</f>
        <v>1299.88</v>
      </c>
      <c r="AL243" s="12" t="n"/>
      <c r="AM243" s="12">
        <f>AM223</f>
        <v>0</v>
      </c>
      <c r="AN243" s="12">
        <f>MAX(0,AM243-AN242)</f>
        <v>0</v>
      </c>
      <c r="AO243" s="12">
        <f>MAX(0,AN243-AO242)</f>
        <v>1529.728</v>
      </c>
      <c r="AP243" s="12">
        <f>MAX(0,AO243-AP242)</f>
        <v>1529.728</v>
      </c>
      <c r="AQ243" s="12" t="n"/>
      <c r="AR243" s="12">
        <f>AR223</f>
        <v>0</v>
      </c>
      <c r="AS243" s="12">
        <f>MAX(0,AR243-AS242)</f>
        <v>0</v>
      </c>
      <c r="AT243" s="12">
        <f>MAX(0,AS243-AT242)</f>
        <v>1529.728</v>
      </c>
      <c r="AU243" s="12">
        <f>MAX(0,AT243-AU242)</f>
        <v>1529.728</v>
      </c>
      <c r="AV243" s="12" t="n"/>
      <c r="AW243" s="12">
        <f>AW223</f>
        <v>0</v>
      </c>
      <c r="AX243" s="12">
        <f>MAX(0,AW243-AX242)</f>
        <v>0</v>
      </c>
      <c r="AY243" s="12">
        <f>MAX(0,AX243-AY242)</f>
        <v>1529.728</v>
      </c>
      <c r="AZ243" s="12">
        <f>MAX(0,AY243-AZ242)</f>
        <v>1529.728</v>
      </c>
      <c r="BA243" s="12" t="n"/>
      <c r="BB243" s="12">
        <f>BB223</f>
        <v>0</v>
      </c>
      <c r="BC243" s="12">
        <f>MAX(0,BB243-BC242)</f>
        <v>0</v>
      </c>
      <c r="BD243" s="12">
        <f>MAX(0,BC243-BD242)</f>
        <v>1529.728</v>
      </c>
      <c r="BE243" s="12">
        <f>MAX(0,BD243-BE242)</f>
        <v>1529.728</v>
      </c>
      <c r="BF243" s="12" t="n"/>
      <c r="BG243" s="12" t="n"/>
      <c r="BH243" s="12" t="n"/>
      <c r="BI243" s="12" t="n"/>
      <c r="BJ243" s="12" t="n"/>
      <c r="BK243" s="12" t="n"/>
      <c r="BL243" s="12" t="n"/>
      <c r="BM243" s="12" t="n"/>
      <c r="BN243" s="12" t="n"/>
      <c r="BO243" s="12" t="n"/>
      <c r="BP243" s="12" t="n"/>
      <c r="BQ243" s="12" t="n"/>
      <c r="BR243" s="12" t="n"/>
      <c r="BS243" s="12" t="n"/>
      <c r="BT243" s="12" t="n"/>
      <c r="BU243" s="12" t="n"/>
      <c r="BV243" s="12" t="n"/>
      <c r="BW243" s="12" t="n"/>
      <c r="BX243" s="12" t="n"/>
      <c r="BY243" s="12" t="n"/>
      <c r="BZ243" s="12" t="n"/>
      <c r="CA243" s="12" t="n"/>
      <c r="CB243" s="12" t="n"/>
      <c r="CC243" s="12" t="n"/>
      <c r="CD243" s="12" t="n"/>
      <c r="CE243" s="12" t="n"/>
      <c r="CF243" s="12" t="n"/>
      <c r="CG243" s="12" t="n"/>
      <c r="CH243" s="12" t="n"/>
      <c r="CI243" s="12" t="n"/>
      <c r="CJ243" s="12" t="n"/>
      <c r="CK243" s="12" t="n"/>
      <c r="CL243" s="12" t="n"/>
      <c r="CM243" s="12" t="n"/>
      <c r="CN243" s="12" t="n"/>
      <c r="CO243" s="12" t="n"/>
      <c r="CP243" s="12" t="n"/>
      <c r="CQ243" s="12" t="n"/>
      <c r="CR243" s="12" t="n"/>
      <c r="CS243" s="12" t="n"/>
      <c r="CT243" s="12" t="n"/>
      <c r="CU243" s="12" t="n"/>
      <c r="CV243" s="12" t="n"/>
      <c r="CW243" s="12" t="n"/>
      <c r="CX243" s="12" t="n"/>
      <c r="CY243" s="12" t="n"/>
    </row>
    <row r="244" hidden="1" outlineLevel="1">
      <c r="C244" s="57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collapsed="1">
      <c r="C245" s="14" t="inlineStr">
        <is>
          <t>Long term operating leases</t>
        </is>
      </c>
      <c r="D245" s="46" t="n"/>
      <c r="E245" s="46" t="n"/>
      <c r="F245" s="46" t="n"/>
      <c r="G245" s="46" t="n"/>
      <c r="H245" s="12" t="n"/>
      <c r="I245" s="46">
        <f>'Inputs (2)'!D36</f>
        <v>590.83199564</v>
      </c>
      <c r="J245" s="46">
        <f>'Inputs (2)'!E36</f>
        <v>634.57322806</v>
      </c>
      <c r="K245" s="46">
        <f>'Inputs (2)'!F36</f>
        <v>813.529</v>
      </c>
      <c r="L245" s="46">
        <f>'Inputs (2)'!G36</f>
        <v>890.536</v>
      </c>
      <c r="M245" s="12">
        <f>'Inputs (2)'!H36</f>
        <v>890.536</v>
      </c>
      <c r="N245" s="46">
        <f>'Inputs (2)'!I36</f>
        <v>979.426</v>
      </c>
      <c r="O245" s="46">
        <f>'Inputs (2)'!J36</f>
        <v>1175.417</v>
      </c>
      <c r="P245" s="46">
        <f>'Inputs (2)'!K36</f>
        <v>1248.706</v>
      </c>
      <c r="Q245" s="46">
        <f>'Inputs (2)'!L36</f>
        <v>1257.061</v>
      </c>
      <c r="R245" s="12">
        <f>'Inputs (2)'!M36</f>
        <v>1257.061</v>
      </c>
      <c r="S245" s="46">
        <f>'Inputs (2)'!N36</f>
        <v>1332.143</v>
      </c>
      <c r="T245" s="46">
        <f>'Inputs (2)'!O36</f>
        <v>1603.235</v>
      </c>
      <c r="U245" s="46">
        <f>'Inputs (2)'!P36</f>
        <v>1839.131</v>
      </c>
      <c r="V245" s="46">
        <f>'Inputs (2)'!Q36</f>
        <v>1927.542</v>
      </c>
      <c r="W245" s="12">
        <f>'Inputs (2)'!R36</f>
        <v>1927.542</v>
      </c>
      <c r="X245" s="46">
        <f>'Inputs (2)'!S36</f>
        <v>2030.806</v>
      </c>
      <c r="Y245" s="46">
        <f>'Inputs (2)'!T36</f>
        <v>1891.562</v>
      </c>
      <c r="Z245" s="46">
        <f>'Inputs (2)'!U36</f>
        <v>1926.101</v>
      </c>
      <c r="AA245" s="46">
        <f>'Inputs (2)'!V36</f>
        <v>2089.299</v>
      </c>
      <c r="AB245" s="12">
        <f>'Inputs (2)'!W36</f>
        <v>2089.299</v>
      </c>
      <c r="AC245" s="46">
        <f>'Inputs (2)'!X36</f>
        <v>2393.571</v>
      </c>
      <c r="AD245" s="46">
        <f>'Inputs (2)'!Y36</f>
        <v>2597.466</v>
      </c>
      <c r="AE245" s="46">
        <f>'Inputs (2)'!Z36</f>
        <v>3513.56</v>
      </c>
      <c r="AF245" s="46">
        <f>'Inputs (2)'!AA36</f>
        <v>3657.119</v>
      </c>
      <c r="AG245" s="12">
        <f>'Inputs (2)'!AB36</f>
        <v>3657.119</v>
      </c>
      <c r="AH245" s="12">
        <f>'Inputs (2)'!AC36</f>
        <v>3709.792</v>
      </c>
      <c r="AI245" s="12">
        <f>'Inputs (2)'!AD36</f>
        <v>3908.547</v>
      </c>
      <c r="AJ245" s="12">
        <f>AI245</f>
        <v>3908.547</v>
      </c>
      <c r="AK245" s="12">
        <f>AJ245</f>
        <v>3908.547</v>
      </c>
      <c r="AL245" s="12">
        <f>AK245</f>
        <v>3908.547</v>
      </c>
      <c r="AM245" s="12">
        <f>AL245</f>
        <v>3908.547</v>
      </c>
      <c r="AN245" s="12">
        <f>AM245</f>
        <v>3908.547</v>
      </c>
      <c r="AO245" s="12">
        <f>AN245</f>
        <v>3908.547</v>
      </c>
      <c r="AP245" s="12">
        <f>AO245</f>
        <v>3908.547</v>
      </c>
      <c r="AQ245" s="12">
        <f>AP245</f>
        <v>3908.547</v>
      </c>
      <c r="AR245" s="12">
        <f>AQ245</f>
        <v>3908.547</v>
      </c>
      <c r="AS245" s="12">
        <f>AR245</f>
        <v>3908.547</v>
      </c>
      <c r="AT245" s="12">
        <f>AS245</f>
        <v>3908.547</v>
      </c>
      <c r="AU245" s="12">
        <f>AT245</f>
        <v>3908.547</v>
      </c>
      <c r="AV245" s="12">
        <f>AU245</f>
        <v>3908.547</v>
      </c>
      <c r="AW245" s="12">
        <f>AV245</f>
        <v>3908.547</v>
      </c>
      <c r="AX245" s="12">
        <f>AW245</f>
        <v>3908.547</v>
      </c>
      <c r="AY245" s="12">
        <f>AX245</f>
        <v>3908.547</v>
      </c>
      <c r="AZ245" s="12">
        <f>AY245</f>
        <v>3908.547</v>
      </c>
      <c r="BA245" s="12">
        <f>AZ245</f>
        <v>3908.547</v>
      </c>
      <c r="BB245" s="12">
        <f>BA245</f>
        <v>3908.547</v>
      </c>
      <c r="BC245" s="12">
        <f>BB245</f>
        <v>3908.547</v>
      </c>
      <c r="BD245" s="12">
        <f>BC245</f>
        <v>3908.547</v>
      </c>
      <c r="BE245" s="12">
        <f>BD245</f>
        <v>3908.547</v>
      </c>
      <c r="BF245" s="12">
        <f>BE245</f>
        <v>3908.547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59" t="inlineStr">
        <is>
          <t>%(Var.)</t>
        </is>
      </c>
      <c r="D246" s="12" t="n"/>
      <c r="E246" s="40" t="n"/>
      <c r="F246" s="40" t="n"/>
      <c r="G246" s="40" t="n"/>
      <c r="H246" s="12" t="n"/>
      <c r="I246" s="40" t="str">
        <f>""</f>
        <v/>
      </c>
      <c r="J246" s="40">
        <f>IFERROR(IF(I245=0,"",J245/I245-1),"")</f>
        <v>0.074033283137652</v>
      </c>
      <c r="K246" s="40">
        <f>IFERROR(IF(J245=0,"",K245/J245-1),"")</f>
        <v>0.282009646841072</v>
      </c>
      <c r="L246" s="40">
        <f>IFERROR(IF(K245=0,"",L245/K245-1),"")</f>
        <v>0.0946579654812552</v>
      </c>
      <c r="M246" s="12">
        <f>IF(L245=0,"",M245/L245-1)</f>
        <v>0</v>
      </c>
      <c r="N246" s="40">
        <f>IFERROR(IF(M245=0,"",N245/M245-1),"")</f>
        <v>0.0998162904138633</v>
      </c>
      <c r="O246" s="40">
        <f>IFERROR(IF(N245=0,"",O245/N245-1),"")</f>
        <v>0.200108022453968</v>
      </c>
      <c r="P246" s="40">
        <f>IFERROR(IF(O245=0,"",P245/O245-1),"")</f>
        <v>0.0623514888758627</v>
      </c>
      <c r="Q246" s="40">
        <f>IFERROR(IF(P245=0,"",Q245/P245-1),"")</f>
        <v>0.00669092644705804</v>
      </c>
      <c r="R246" s="12">
        <f>IF(Q245=0,"",R245/Q245-1)</f>
        <v>0</v>
      </c>
      <c r="S246" s="40">
        <f>IFERROR(IF(R245=0,"",S245/R245-1),"")</f>
        <v>0.0597282073025893</v>
      </c>
      <c r="T246" s="40">
        <f>IFERROR(IF(S245=0,"",T245/S245-1),"")</f>
        <v>0.203500675227809</v>
      </c>
      <c r="U246" s="40">
        <f>IFERROR(IF(T245=0,"",U245/T245-1),"")</f>
        <v>0.14713750635434</v>
      </c>
      <c r="V246" s="40">
        <f>IFERROR(IF(U245=0,"",V245/U245-1),"")</f>
        <v>0.0480721601669483</v>
      </c>
      <c r="W246" s="12">
        <f>IF(V245=0,"",W245/V245-1)</f>
        <v>0</v>
      </c>
      <c r="X246" s="40">
        <f>IFERROR(IF(W245=0,"",X245/W245-1),"")</f>
        <v>0.0535728923157057</v>
      </c>
      <c r="Y246" s="40">
        <f>IFERROR(IF(X245=0,"",Y245/X245-1),"")</f>
        <v>-0.068565879754147</v>
      </c>
      <c r="Z246" s="40">
        <f>IFERROR(IF(Y245=0,"",Z245/Y245-1),"")</f>
        <v>0.0182595125087099</v>
      </c>
      <c r="AA246" s="40">
        <f>IFERROR(IF(Z245=0,"",AA245/Z245-1),"")</f>
        <v>0.0847297208194169</v>
      </c>
      <c r="AB246" s="12">
        <f>IF(AA245=0,"",AB245/AA245-1)</f>
        <v>0</v>
      </c>
      <c r="AC246" s="40">
        <f>IFERROR(IF(AB245=0,"",AC245/AB245-1),"")</f>
        <v>0.145633535458544</v>
      </c>
      <c r="AD246" s="40">
        <f>IFERROR(IF(AC245=0,"",AD245/AC245-1),"")</f>
        <v>0.0851844378127911</v>
      </c>
      <c r="AE246" s="40">
        <f>IFERROR(IF(AD245=0,"",AE245/AD245-1),"")</f>
        <v>0.35268758089615</v>
      </c>
      <c r="AF246" s="41">
        <f>IFERROR(IF(AE245=0,"",AF245/AE245-1),"")</f>
        <v>0.0408585594098294</v>
      </c>
      <c r="AG246" s="12">
        <f>IF(AF245=0,"",AG245/AF245-1)</f>
        <v>0</v>
      </c>
      <c r="AH246" s="11">
        <f>IFERROR(IF(AG245=0,"",AH245/AG245-1),"")</f>
        <v>0.0144028673937051</v>
      </c>
      <c r="AI246" s="11">
        <f>IFERROR(IF(AH245=0,"",AI245/AH245-1),"")</f>
        <v>0.0535757799898216</v>
      </c>
      <c r="AJ246" s="11">
        <f>IFERROR(IF(AI245=0,"",AJ245/AI245-1),"")</f>
        <v>0</v>
      </c>
      <c r="AK246" s="11">
        <f>IFERROR(IF(AJ245=0,"",AK245/AJ245-1),"")</f>
        <v>0</v>
      </c>
      <c r="AL246" s="12">
        <f>IFERROR(IF(AK245=0,"",AL245/AK245-1),"")</f>
        <v>0</v>
      </c>
      <c r="AM246" s="11">
        <f>IFERROR(IF(AL245=0,"",AM245/AL245-1),"")</f>
        <v>0</v>
      </c>
      <c r="AN246" s="11">
        <f>IFERROR(IF(AM245=0,"",AN245/AM245-1),"")</f>
        <v>0</v>
      </c>
      <c r="AO246" s="11">
        <f>IFERROR(IF(AN245=0,"",AO245/AN245-1),"")</f>
        <v>0</v>
      </c>
      <c r="AP246" s="11">
        <f>IFERROR(IF(AO245=0,"",AP245/AO245-1),"")</f>
        <v>0</v>
      </c>
      <c r="AQ246" s="12">
        <f>IFERROR(IF(AP245=0,"",AQ245/AP245-1),"")</f>
        <v>0</v>
      </c>
      <c r="AR246" s="11">
        <f>IFERROR(IF(AQ245=0,"",AR245/AQ245-1),"")</f>
        <v>0</v>
      </c>
      <c r="AS246" s="11">
        <f>IFERROR(IF(AR245=0,"",AS245/AR245-1),"")</f>
        <v>0</v>
      </c>
      <c r="AT246" s="11">
        <f>IFERROR(IF(AS245=0,"",AT245/AS245-1),"")</f>
        <v>0</v>
      </c>
      <c r="AU246" s="11">
        <f>IFERROR(IF(AT245=0,"",AU245/AT245-1),"")</f>
        <v>0</v>
      </c>
      <c r="AV246" s="12">
        <f>IFERROR(IF(AU245=0,"",AV245/AU245-1),"")</f>
        <v>0</v>
      </c>
      <c r="AW246" s="11">
        <f>IFERROR(IF(AV245=0,"",AW245/AV245-1),"")</f>
        <v>0</v>
      </c>
      <c r="AX246" s="11">
        <f>IFERROR(IF(AW245=0,"",AX245/AW245-1),"")</f>
        <v>0</v>
      </c>
      <c r="AY246" s="11">
        <f>IFERROR(IF(AX245=0,"",AY245/AX245-1),"")</f>
        <v>0</v>
      </c>
      <c r="AZ246" s="11">
        <f>IFERROR(IF(AY245=0,"",AZ245/AY245-1),"")</f>
        <v>0</v>
      </c>
      <c r="BA246" s="12">
        <f>IFERROR(IF(AZ245=0,"",BA245/AZ245-1),"")</f>
        <v>0</v>
      </c>
      <c r="BB246" s="11">
        <f>IFERROR(IF(BA245=0,"",BB245/BA245-1),"")</f>
        <v>0</v>
      </c>
      <c r="BC246" s="11">
        <f>IFERROR(IF(BB245=0,"",BC245/BB245-1),"")</f>
        <v>0</v>
      </c>
      <c r="BD246" s="11">
        <f>IFERROR(IF(BC245=0,"",BD245/BC245-1),"")</f>
        <v>0</v>
      </c>
      <c r="BE246" s="11">
        <f>IFERROR(IF(BD245=0,"",BE245/BD245-1),"")</f>
        <v>0</v>
      </c>
      <c r="BF246" s="12">
        <f>IFERROR(IF(BE245=0,"",BF245/BE245-1),"")</f>
        <v>0</v>
      </c>
      <c r="BG246" s="11" t="n"/>
      <c r="BH246" s="11" t="n"/>
      <c r="BI246" s="11" t="n"/>
      <c r="BJ246" s="11" t="n"/>
      <c r="BK246" s="12" t="n"/>
      <c r="BL246" s="11" t="n"/>
      <c r="BM246" s="11" t="n"/>
      <c r="BN246" s="11" t="n"/>
      <c r="BO246" s="11" t="n"/>
      <c r="BP246" s="12" t="n"/>
      <c r="BQ246" s="11" t="n"/>
      <c r="BR246" s="11" t="n"/>
      <c r="BS246" s="11" t="n"/>
      <c r="BT246" s="11" t="n"/>
      <c r="BU246" s="12" t="n"/>
      <c r="BV246" s="11" t="n"/>
      <c r="BW246" s="11" t="n"/>
      <c r="BX246" s="11" t="n"/>
      <c r="BY246" s="11" t="n"/>
      <c r="BZ246" s="12" t="n"/>
      <c r="CA246" s="11" t="n"/>
      <c r="CB246" s="11" t="n"/>
      <c r="CC246" s="11" t="n"/>
      <c r="CD246" s="11" t="n"/>
      <c r="CE246" s="12" t="n"/>
      <c r="CF246" s="11" t="n"/>
      <c r="CG246" s="11" t="n"/>
      <c r="CH246" s="11" t="n"/>
      <c r="CI246" s="11" t="n"/>
      <c r="CJ246" s="12" t="n"/>
      <c r="CK246" s="11" t="n"/>
      <c r="CL246" s="11" t="n"/>
      <c r="CM246" s="11" t="n"/>
      <c r="CN246" s="11" t="n"/>
      <c r="CO246" s="12" t="n"/>
      <c r="CP246" s="11" t="n"/>
      <c r="CQ246" s="11" t="n"/>
      <c r="CR246" s="11" t="n"/>
      <c r="CS246" s="11" t="n"/>
      <c r="CT246" s="12" t="n"/>
      <c r="CU246" s="11" t="n"/>
      <c r="CV246" s="11" t="n"/>
      <c r="CW246" s="11" t="n"/>
      <c r="CX246" s="11" t="n"/>
      <c r="CY246" s="12" t="n"/>
    </row>
    <row r="247" hidden="1" outlineLevel="1">
      <c r="C247" s="57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collapsed="1">
      <c r="C248" s="14" t="inlineStr">
        <is>
          <t>Convertible debt</t>
        </is>
      </c>
      <c r="D248" s="46" t="n"/>
      <c r="E248" s="46" t="n"/>
      <c r="F248" s="46" t="n"/>
      <c r="G248" s="46" t="n"/>
      <c r="H248" s="12" t="n"/>
      <c r="I248" s="46">
        <f>'Inputs (2)'!D37</f>
        <v>0</v>
      </c>
      <c r="J248" s="46">
        <f>'Inputs (2)'!E37</f>
        <v>0</v>
      </c>
      <c r="K248" s="46">
        <f>'Inputs (2)'!F37</f>
        <v>0</v>
      </c>
      <c r="L248" s="46">
        <f>'Inputs (2)'!G37</f>
        <v>0</v>
      </c>
      <c r="M248" s="12">
        <f>'Inputs (2)'!H37</f>
        <v>0</v>
      </c>
      <c r="N248" s="46">
        <f>'Inputs (2)'!I37</f>
        <v>0</v>
      </c>
      <c r="O248" s="46">
        <f>'Inputs (2)'!J37</f>
        <v>0</v>
      </c>
      <c r="P248" s="46">
        <f>'Inputs (2)'!K37</f>
        <v>0</v>
      </c>
      <c r="Q248" s="46">
        <f>'Inputs (2)'!L37</f>
        <v>0</v>
      </c>
      <c r="R248" s="12">
        <f>'Inputs (2)'!M37</f>
        <v>0</v>
      </c>
      <c r="S248" s="46">
        <f>'Inputs (2)'!N37</f>
        <v>0</v>
      </c>
      <c r="T248" s="46">
        <f>'Inputs (2)'!O37</f>
        <v>0</v>
      </c>
      <c r="U248" s="46">
        <f>'Inputs (2)'!P37</f>
        <v>0</v>
      </c>
      <c r="V248" s="46">
        <f>'Inputs (2)'!Q37</f>
        <v>0</v>
      </c>
      <c r="W248" s="12">
        <f>'Inputs (2)'!R37</f>
        <v>0</v>
      </c>
      <c r="X248" s="46">
        <f>'Inputs (2)'!S37</f>
        <v>0</v>
      </c>
      <c r="Y248" s="46">
        <f>'Inputs (2)'!T37</f>
        <v>0</v>
      </c>
      <c r="Z248" s="46">
        <f>'Inputs (2)'!U37</f>
        <v>0</v>
      </c>
      <c r="AA248" s="46">
        <f>'Inputs (2)'!V37</f>
        <v>0</v>
      </c>
      <c r="AB248" s="12">
        <f>'Inputs (2)'!W37</f>
        <v>0</v>
      </c>
      <c r="AC248" s="46">
        <f>'Inputs (2)'!X37</f>
        <v>0</v>
      </c>
      <c r="AD248" s="46">
        <f>'Inputs (2)'!Y37</f>
        <v>0</v>
      </c>
      <c r="AE248" s="46">
        <f>'Inputs (2)'!Z37</f>
        <v>0</v>
      </c>
      <c r="AF248" s="46">
        <f>'Inputs (2)'!AA37</f>
        <v>0</v>
      </c>
      <c r="AG248" s="12">
        <f>'Inputs (2)'!AB37</f>
        <v>0</v>
      </c>
      <c r="AH248" s="12">
        <f>'Inputs (2)'!AC37</f>
        <v>0</v>
      </c>
      <c r="AI248" s="12">
        <f>'Inputs (2)'!AD37</f>
        <v>0</v>
      </c>
      <c r="AJ248" s="12">
        <f>AI248</f>
        <v>0</v>
      </c>
      <c r="AK248" s="12">
        <f>AJ248</f>
        <v>0</v>
      </c>
      <c r="AL248" s="12">
        <f>AK248</f>
        <v>0</v>
      </c>
      <c r="AM248" s="12">
        <f>AL248</f>
        <v>0</v>
      </c>
      <c r="AN248" s="12">
        <f>AM248</f>
        <v>0</v>
      </c>
      <c r="AO248" s="12">
        <f>AN248</f>
        <v>0</v>
      </c>
      <c r="AP248" s="12">
        <f>AO248</f>
        <v>0</v>
      </c>
      <c r="AQ248" s="12">
        <f>AP248</f>
        <v>0</v>
      </c>
      <c r="AR248" s="12">
        <f>AQ248</f>
        <v>0</v>
      </c>
      <c r="AS248" s="12">
        <f>AR248</f>
        <v>0</v>
      </c>
      <c r="AT248" s="12">
        <f>AS248</f>
        <v>0</v>
      </c>
      <c r="AU248" s="12">
        <f>AT248</f>
        <v>0</v>
      </c>
      <c r="AV248" s="12">
        <f>AU248</f>
        <v>0</v>
      </c>
      <c r="AW248" s="12">
        <f>AV248</f>
        <v>0</v>
      </c>
      <c r="AX248" s="12">
        <f>AW248</f>
        <v>0</v>
      </c>
      <c r="AY248" s="12">
        <f>AX248</f>
        <v>0</v>
      </c>
      <c r="AZ248" s="12">
        <f>AY248</f>
        <v>0</v>
      </c>
      <c r="BA248" s="12">
        <f>AZ248</f>
        <v>0</v>
      </c>
      <c r="BB248" s="12">
        <f>BA248</f>
        <v>0</v>
      </c>
      <c r="BC248" s="12">
        <f>BB248</f>
        <v>0</v>
      </c>
      <c r="BD248" s="12">
        <f>BC248</f>
        <v>0</v>
      </c>
      <c r="BE248" s="12">
        <f>BD248</f>
        <v>0</v>
      </c>
      <c r="BF248" s="12">
        <f>BE248</f>
        <v>0</v>
      </c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>
      <c r="C249" s="14" t="inlineStr">
        <is>
          <t>Deferred income taxes</t>
        </is>
      </c>
      <c r="D249" s="46" t="n"/>
      <c r="E249" s="46" t="n"/>
      <c r="F249" s="46" t="n"/>
      <c r="G249" s="46" t="n"/>
      <c r="H249" s="12" t="n"/>
      <c r="I249" s="46">
        <f>'Inputs (2)'!D38</f>
        <v>0</v>
      </c>
      <c r="J249" s="46">
        <f>'Inputs (2)'!E38</f>
        <v>0</v>
      </c>
      <c r="K249" s="46">
        <f>'Inputs (2)'!F38</f>
        <v>0</v>
      </c>
      <c r="L249" s="46">
        <f>'Inputs (2)'!G38</f>
        <v>0</v>
      </c>
      <c r="M249" s="12">
        <f>'Inputs (2)'!H38</f>
        <v>0</v>
      </c>
      <c r="N249" s="46">
        <f>'Inputs (2)'!I38</f>
        <v>0</v>
      </c>
      <c r="O249" s="46">
        <f>'Inputs (2)'!J38</f>
        <v>0</v>
      </c>
      <c r="P249" s="46">
        <f>'Inputs (2)'!K38</f>
        <v>0</v>
      </c>
      <c r="Q249" s="46">
        <f>'Inputs (2)'!L38</f>
        <v>0</v>
      </c>
      <c r="R249" s="12">
        <f>'Inputs (2)'!M38</f>
        <v>0</v>
      </c>
      <c r="S249" s="46">
        <f>'Inputs (2)'!N38</f>
        <v>0</v>
      </c>
      <c r="T249" s="46">
        <f>'Inputs (2)'!O38</f>
        <v>0</v>
      </c>
      <c r="U249" s="46">
        <f>'Inputs (2)'!P38</f>
        <v>0</v>
      </c>
      <c r="V249" s="46">
        <f>'Inputs (2)'!Q38</f>
        <v>0</v>
      </c>
      <c r="W249" s="12">
        <f>'Inputs (2)'!R38</f>
        <v>0</v>
      </c>
      <c r="X249" s="46">
        <f>'Inputs (2)'!S38</f>
        <v>0</v>
      </c>
      <c r="Y249" s="46">
        <f>'Inputs (2)'!T38</f>
        <v>0</v>
      </c>
      <c r="Z249" s="46">
        <f>'Inputs (2)'!U38</f>
        <v>0</v>
      </c>
      <c r="AA249" s="46">
        <f>'Inputs (2)'!V38</f>
        <v>0</v>
      </c>
      <c r="AB249" s="12">
        <f>'Inputs (2)'!W38</f>
        <v>0</v>
      </c>
      <c r="AC249" s="46">
        <f>'Inputs (2)'!X38</f>
        <v>0</v>
      </c>
      <c r="AD249" s="46">
        <f>'Inputs (2)'!Y38</f>
        <v>0</v>
      </c>
      <c r="AE249" s="46">
        <f>'Inputs (2)'!Z38</f>
        <v>26.377</v>
      </c>
      <c r="AF249" s="46">
        <f>'Inputs (2)'!AA38</f>
        <v>0</v>
      </c>
      <c r="AG249" s="12">
        <f>'Inputs (2)'!AB38</f>
        <v>0</v>
      </c>
      <c r="AH249" s="12">
        <f>'Inputs (2)'!AC38</f>
        <v>0</v>
      </c>
      <c r="AI249" s="12">
        <f>'Inputs (2)'!AD38</f>
        <v>0</v>
      </c>
      <c r="AJ249" s="12">
        <f>AI249</f>
        <v>0</v>
      </c>
      <c r="AK249" s="12">
        <f>AJ249</f>
        <v>0</v>
      </c>
      <c r="AL249" s="12">
        <f>AK249</f>
        <v>0</v>
      </c>
      <c r="AM249" s="12">
        <f>AL249</f>
        <v>0</v>
      </c>
      <c r="AN249" s="12">
        <f>AM249</f>
        <v>0</v>
      </c>
      <c r="AO249" s="12">
        <f>AN249</f>
        <v>0</v>
      </c>
      <c r="AP249" s="12">
        <f>AO249</f>
        <v>0</v>
      </c>
      <c r="AQ249" s="12">
        <f>AP249</f>
        <v>0</v>
      </c>
      <c r="AR249" s="12">
        <f>AQ249</f>
        <v>0</v>
      </c>
      <c r="AS249" s="12">
        <f>AR249</f>
        <v>0</v>
      </c>
      <c r="AT249" s="12">
        <f>AS249</f>
        <v>0</v>
      </c>
      <c r="AU249" s="12">
        <f>AT249</f>
        <v>0</v>
      </c>
      <c r="AV249" s="12">
        <f>AU249</f>
        <v>0</v>
      </c>
      <c r="AW249" s="12">
        <f>AV249</f>
        <v>0</v>
      </c>
      <c r="AX249" s="12">
        <f>AW249</f>
        <v>0</v>
      </c>
      <c r="AY249" s="12">
        <f>AX249</f>
        <v>0</v>
      </c>
      <c r="AZ249" s="12">
        <f>AY249</f>
        <v>0</v>
      </c>
      <c r="BA249" s="12">
        <f>AZ249</f>
        <v>0</v>
      </c>
      <c r="BB249" s="12">
        <f>BA249</f>
        <v>0</v>
      </c>
      <c r="BC249" s="12">
        <f>BB249</f>
        <v>0</v>
      </c>
      <c r="BD249" s="12">
        <f>BC249</f>
        <v>0</v>
      </c>
      <c r="BE249" s="12">
        <f>BD249</f>
        <v>0</v>
      </c>
      <c r="BF249" s="12">
        <f>BE249</f>
        <v>0</v>
      </c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>
      <c r="C250" s="14" t="inlineStr">
        <is>
          <t>Other non-current liabilities</t>
        </is>
      </c>
      <c r="D250" s="46" t="n"/>
      <c r="E250" s="46" t="n"/>
      <c r="F250" s="46" t="n"/>
      <c r="G250" s="46" t="n"/>
      <c r="H250" s="12" t="n"/>
      <c r="I250" s="46">
        <f>'Inputs (2)'!D39</f>
        <v>70.70279128</v>
      </c>
      <c r="J250" s="46">
        <f>'Inputs (2)'!E39</f>
        <v>73.72736926</v>
      </c>
      <c r="K250" s="46">
        <f>'Inputs (2)'!F39</f>
        <v>111.487</v>
      </c>
      <c r="L250" s="46">
        <f>'Inputs (2)'!G39</f>
        <v>68</v>
      </c>
      <c r="M250" s="12">
        <f>'Inputs (2)'!H39</f>
        <v>68</v>
      </c>
      <c r="N250" s="46">
        <f>'Inputs (2)'!I39</f>
        <v>65.393</v>
      </c>
      <c r="O250" s="46">
        <f>'Inputs (2)'!J39</f>
        <v>69.05744904</v>
      </c>
      <c r="P250" s="46">
        <f>'Inputs (2)'!K39</f>
        <v>57.908938</v>
      </c>
      <c r="Q250" s="46">
        <f>'Inputs (2)'!L39</f>
        <v>73.32394475</v>
      </c>
      <c r="R250" s="12">
        <f>'Inputs (2)'!M39</f>
        <v>73.32394475</v>
      </c>
      <c r="S250" s="46">
        <f>'Inputs (2)'!N39</f>
        <v>65.81522189</v>
      </c>
      <c r="T250" s="46">
        <f>'Inputs (2)'!O39</f>
        <v>73.384</v>
      </c>
      <c r="U250" s="46">
        <f>'Inputs (2)'!P39</f>
        <v>75.169</v>
      </c>
      <c r="V250" s="46">
        <f>'Inputs (2)'!Q39</f>
        <v>106.52879394</v>
      </c>
      <c r="W250" s="12">
        <f>'Inputs (2)'!R39</f>
        <v>106.52879394</v>
      </c>
      <c r="X250" s="46">
        <f>'Inputs (2)'!S39</f>
        <v>112.604</v>
      </c>
      <c r="Y250" s="46">
        <f>'Inputs (2)'!T39</f>
        <v>105.682</v>
      </c>
      <c r="Z250" s="46">
        <f>'Inputs (2)'!U39</f>
        <v>99.352</v>
      </c>
      <c r="AA250" s="46">
        <f>'Inputs (2)'!V39</f>
        <v>380.453</v>
      </c>
      <c r="AB250" s="12">
        <f>'Inputs (2)'!W39</f>
        <v>380.453</v>
      </c>
      <c r="AC250" s="46">
        <f>'Inputs (2)'!X39</f>
        <v>474.012</v>
      </c>
      <c r="AD250" s="46">
        <f>'Inputs (2)'!Y39</f>
        <v>540.041</v>
      </c>
      <c r="AE250" s="46">
        <f>'Inputs (2)'!Z39</f>
        <v>403.291</v>
      </c>
      <c r="AF250" s="46">
        <f>'Inputs (2)'!AA39</f>
        <v>233.666</v>
      </c>
      <c r="AG250" s="12">
        <f>'Inputs (2)'!AB39</f>
        <v>233.666</v>
      </c>
      <c r="AH250" s="12">
        <f>'Inputs (2)'!AC39</f>
        <v>280.673</v>
      </c>
      <c r="AI250" s="12">
        <f>'Inputs (2)'!AD39</f>
        <v>190.262</v>
      </c>
      <c r="AJ250" s="12">
        <f>AI250</f>
        <v>190.262</v>
      </c>
      <c r="AK250" s="12">
        <f>AJ250</f>
        <v>190.262</v>
      </c>
      <c r="AL250" s="12">
        <f>AK250</f>
        <v>190.262</v>
      </c>
      <c r="AM250" s="12">
        <f>AL250</f>
        <v>190.262</v>
      </c>
      <c r="AN250" s="12">
        <f>AM250</f>
        <v>190.262</v>
      </c>
      <c r="AO250" s="12">
        <f>AN250</f>
        <v>190.262</v>
      </c>
      <c r="AP250" s="12">
        <f>AO250</f>
        <v>190.262</v>
      </c>
      <c r="AQ250" s="12">
        <f>AP250</f>
        <v>190.262</v>
      </c>
      <c r="AR250" s="12">
        <f>AQ250</f>
        <v>190.262</v>
      </c>
      <c r="AS250" s="12">
        <f>AR250</f>
        <v>190.262</v>
      </c>
      <c r="AT250" s="12">
        <f>AS250</f>
        <v>190.262</v>
      </c>
      <c r="AU250" s="12">
        <f>AT250</f>
        <v>190.262</v>
      </c>
      <c r="AV250" s="12">
        <f>AU250</f>
        <v>190.262</v>
      </c>
      <c r="AW250" s="12">
        <f>AV250</f>
        <v>190.262</v>
      </c>
      <c r="AX250" s="12">
        <f>AW250</f>
        <v>190.262</v>
      </c>
      <c r="AY250" s="12">
        <f>AX250</f>
        <v>190.262</v>
      </c>
      <c r="AZ250" s="12">
        <f>AY250</f>
        <v>190.262</v>
      </c>
      <c r="BA250" s="12">
        <f>AZ250</f>
        <v>190.262</v>
      </c>
      <c r="BB250" s="12">
        <f>BA250</f>
        <v>190.262</v>
      </c>
      <c r="BC250" s="12">
        <f>BB250</f>
        <v>190.262</v>
      </c>
      <c r="BD250" s="12">
        <f>BC250</f>
        <v>190.262</v>
      </c>
      <c r="BE250" s="12">
        <f>BD250</f>
        <v>190.262</v>
      </c>
      <c r="BF250" s="12">
        <f>BE250</f>
        <v>190.262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 ht="12" customHeight="1">
      <c r="C251" s="59" t="inlineStr">
        <is>
          <t>%(Var.)</t>
        </is>
      </c>
      <c r="D251" s="12" t="n"/>
      <c r="E251" s="40" t="n"/>
      <c r="F251" s="40" t="n"/>
      <c r="G251" s="40" t="n"/>
      <c r="H251" s="12" t="n"/>
      <c r="I251" s="40" t="str">
        <f>""</f>
        <v/>
      </c>
      <c r="J251" s="40">
        <f>IF(I250=0,"",J250/I250-1)</f>
        <v>0.0427787634016026</v>
      </c>
      <c r="K251" s="40">
        <f>IF(J250=0,"",K250/J250-1)</f>
        <v>0.512152150809022</v>
      </c>
      <c r="L251" s="40">
        <f>IF(K250=0,"",L250/K250-1)</f>
        <v>-0.39006341546548</v>
      </c>
      <c r="M251" s="12">
        <f>IF(L250=0,"",M250/L250-1)</f>
        <v>0</v>
      </c>
      <c r="N251" s="40">
        <f>IF(M250=0,"",N250/M250-1)</f>
        <v>-0.0383382352941176</v>
      </c>
      <c r="O251" s="40">
        <f>IF(N250=0,"",O250/N250-1)</f>
        <v>0.056037328766076</v>
      </c>
      <c r="P251" s="40">
        <f>IF(O250=0,"",P250/O250-1)</f>
        <v>-0.161438211155794</v>
      </c>
      <c r="Q251" s="40">
        <f>IF(P250=0,"",Q250/P250-1)</f>
        <v>0.266193912069325</v>
      </c>
      <c r="R251" s="12">
        <f>IF(Q250=0,"",R250/Q250-1)</f>
        <v>0</v>
      </c>
      <c r="S251" s="40">
        <f>IF(R250=0,"",S250/R250-1)</f>
        <v>-0.102404785852714</v>
      </c>
      <c r="T251" s="40">
        <f>IF(S250=0,"",T250/S250-1)</f>
        <v>0.115000419244199</v>
      </c>
      <c r="U251" s="40">
        <f>IF(T250=0,"",U250/T250-1)</f>
        <v>0.0243241033467785</v>
      </c>
      <c r="V251" s="40">
        <f>IF(U250=0,"",V250/U250-1)</f>
        <v>0.417190516569331</v>
      </c>
      <c r="W251" s="12">
        <f>IF(V250=0,"",W250/V250-1)</f>
        <v>0</v>
      </c>
      <c r="X251" s="40">
        <f>IF(W250=0,"",X250/W250-1)</f>
        <v>0.0570287697373324</v>
      </c>
      <c r="Y251" s="40">
        <f>IF(X250=0,"",Y250/X250-1)</f>
        <v>-0.0614720613832546</v>
      </c>
      <c r="Z251" s="40">
        <f>IF(Y250=0,"",Z250/Y250-1)</f>
        <v>-0.059896671145512</v>
      </c>
      <c r="AA251" s="40">
        <f>IF(Z250=0,"",AA250/Z250-1)</f>
        <v>2.8293441500926</v>
      </c>
      <c r="AB251" s="12">
        <f>IF(AA250=0,"",AB250/AA250-1)</f>
        <v>0</v>
      </c>
      <c r="AC251" s="40">
        <f>IF(AB250=0,"",AC250/AB250-1)</f>
        <v>0.245914738482809</v>
      </c>
      <c r="AD251" s="40">
        <f>IF(AC250=0,"",AD250/AC250-1)</f>
        <v>0.139298161227986</v>
      </c>
      <c r="AE251" s="40">
        <f>IF(AD250=0,"",AE250/AD250-1)</f>
        <v>-0.253221514662776</v>
      </c>
      <c r="AF251" s="41">
        <f>IF(AE250=0,"",AF250/AE250-1)</f>
        <v>-0.420601997069114</v>
      </c>
      <c r="AG251" s="12">
        <f>IF(AF250=0,"",AG250/AF250-1)</f>
        <v>0</v>
      </c>
      <c r="AH251" s="41">
        <f>IF(AG250=0,"",AH250/AG250-1)</f>
        <v>0.201171757979338</v>
      </c>
      <c r="AI251" s="41">
        <f>IF(AH250=0,"",AI250/AH250-1)</f>
        <v>-0.322122184891315</v>
      </c>
      <c r="AJ251" s="41">
        <f>IF(AI250=0,"",AJ250/AI250-1)</f>
        <v>0</v>
      </c>
      <c r="AK251" s="41">
        <f>IF(AJ250=0,"",AK250/AJ250-1)</f>
        <v>0</v>
      </c>
      <c r="AL251" s="12">
        <f>IF(AK250=0,"",AL250/AK250-1)</f>
        <v>0</v>
      </c>
      <c r="AM251" s="41">
        <f>IF(AL250=0,"",AM250/AL250-1)</f>
        <v>0</v>
      </c>
      <c r="AN251" s="41">
        <f>IF(AM250=0,"",AN250/AM250-1)</f>
        <v>0</v>
      </c>
      <c r="AO251" s="41">
        <f>IF(AN250=0,"",AO250/AN250-1)</f>
        <v>0</v>
      </c>
      <c r="AP251" s="41">
        <f>IF(AO250=0,"",AP250/AO250-1)</f>
        <v>0</v>
      </c>
      <c r="AQ251" s="12">
        <f>IF(AP250=0,"",AQ250/AP250-1)</f>
        <v>0</v>
      </c>
      <c r="AR251" s="41">
        <f>IF(AQ250=0,"",AR250/AQ250-1)</f>
        <v>0</v>
      </c>
      <c r="AS251" s="41">
        <f>IF(AR250=0,"",AS250/AR250-1)</f>
        <v>0</v>
      </c>
      <c r="AT251" s="41">
        <f>IF(AS250=0,"",AT250/AS250-1)</f>
        <v>0</v>
      </c>
      <c r="AU251" s="41">
        <f>IF(AT250=0,"",AU250/AT250-1)</f>
        <v>0</v>
      </c>
      <c r="AV251" s="12">
        <f>IF(AU250=0,"",AV250/AU250-1)</f>
        <v>0</v>
      </c>
      <c r="AW251" s="41">
        <f>IF(AV250=0,"",AW250/AV250-1)</f>
        <v>0</v>
      </c>
      <c r="AX251" s="41">
        <f>IF(AW250=0,"",AX250/AW250-1)</f>
        <v>0</v>
      </c>
      <c r="AY251" s="41">
        <f>IF(AX250=0,"",AY250/AX250-1)</f>
        <v>0</v>
      </c>
      <c r="AZ251" s="41">
        <f>IF(AY250=0,"",AZ250/AY250-1)</f>
        <v>0</v>
      </c>
      <c r="BA251" s="12">
        <f>IF(AZ250=0,"",BA250/AZ250-1)</f>
        <v>0</v>
      </c>
      <c r="BB251" s="41">
        <f>IF(BA250=0,"",BB250/BA250-1)</f>
        <v>0</v>
      </c>
      <c r="BC251" s="41">
        <f>IF(BB250=0,"",BC250/BB250-1)</f>
        <v>0</v>
      </c>
      <c r="BD251" s="41">
        <f>IF(BC250=0,"",BD250/BC250-1)</f>
        <v>0</v>
      </c>
      <c r="BE251" s="41">
        <f>IF(BD250=0,"",BE250/BD250-1)</f>
        <v>0</v>
      </c>
      <c r="BF251" s="12">
        <f>IF(BE250=0,"",BF250/BE250-1)</f>
        <v>0</v>
      </c>
      <c r="BG251" s="41" t="n"/>
      <c r="BH251" s="41" t="n"/>
      <c r="BI251" s="41" t="n"/>
      <c r="BJ251" s="41" t="n"/>
      <c r="BK251" s="12" t="n"/>
      <c r="BL251" s="41" t="n"/>
      <c r="BM251" s="41" t="n"/>
      <c r="BN251" s="41" t="n"/>
      <c r="BO251" s="41" t="n"/>
      <c r="BP251" s="12" t="n"/>
      <c r="BQ251" s="41" t="n"/>
      <c r="BR251" s="41" t="n"/>
      <c r="BS251" s="41" t="n"/>
      <c r="BT251" s="41" t="n"/>
      <c r="BU251" s="12" t="n"/>
      <c r="BV251" s="41" t="n"/>
      <c r="BW251" s="41" t="n"/>
      <c r="BX251" s="41" t="n"/>
      <c r="BY251" s="41" t="n"/>
      <c r="BZ251" s="12" t="n"/>
      <c r="CA251" s="41" t="n"/>
      <c r="CB251" s="41" t="n"/>
      <c r="CC251" s="41" t="n"/>
      <c r="CD251" s="41" t="n"/>
      <c r="CE251" s="12" t="n"/>
      <c r="CF251" s="41" t="n"/>
      <c r="CG251" s="41" t="n"/>
      <c r="CH251" s="41" t="n"/>
      <c r="CI251" s="41" t="n"/>
      <c r="CJ251" s="12" t="n"/>
      <c r="CK251" s="41" t="n"/>
      <c r="CL251" s="41" t="n"/>
      <c r="CM251" s="41" t="n"/>
      <c r="CN251" s="41" t="n"/>
      <c r="CO251" s="12" t="n"/>
      <c r="CP251" s="41" t="n"/>
      <c r="CQ251" s="41" t="n"/>
      <c r="CR251" s="41" t="n"/>
      <c r="CS251" s="41" t="n"/>
      <c r="CT251" s="12" t="n"/>
      <c r="CU251" s="41" t="n"/>
      <c r="CV251" s="41" t="n"/>
      <c r="CW251" s="41" t="n"/>
      <c r="CX251" s="41" t="n"/>
      <c r="CY251" s="12" t="n"/>
    </row>
    <row r="252" hidden="1" outlineLevel="1" ht="12" customHeight="1">
      <c r="C252" s="59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 hidden="1" outlineLevel="1">
      <c r="C253" s="57" t="inlineStr">
        <is>
          <t>Contas a pagar pela aquisição de controladas</t>
        </is>
      </c>
      <c r="D253" s="11" t="n"/>
      <c r="E253" s="11" t="n"/>
      <c r="F253" s="11" t="n"/>
      <c r="G253" s="11" t="n"/>
      <c r="H253" s="12" t="n"/>
      <c r="I253" s="11" t="n"/>
      <c r="J253" s="11" t="n"/>
      <c r="K253" s="11" t="n"/>
      <c r="L253" s="11" t="n"/>
      <c r="M253" s="12" t="n"/>
      <c r="N253" s="11" t="n"/>
      <c r="O253" s="11" t="n"/>
      <c r="P253" s="11" t="n"/>
      <c r="Q253" s="11" t="n"/>
      <c r="R253" s="12" t="n"/>
      <c r="S253" s="11" t="n"/>
      <c r="T253" s="11" t="n"/>
      <c r="U253" s="11" t="n"/>
      <c r="V253" s="11" t="n"/>
      <c r="W253" s="12" t="n"/>
      <c r="X253" s="11" t="n"/>
      <c r="Y253" s="11" t="n"/>
      <c r="Z253" s="11" t="n"/>
      <c r="AA253" s="11" t="n"/>
      <c r="AB253" s="12" t="n"/>
      <c r="AC253" s="11" t="n"/>
      <c r="AD253" s="11" t="n"/>
      <c r="AE253" s="11" t="n"/>
      <c r="AF253" s="11" t="n"/>
      <c r="AG253" s="12" t="n"/>
      <c r="AH253" s="12" t="n"/>
      <c r="AI253" s="12" t="n"/>
      <c r="AJ253" s="12" t="n"/>
      <c r="AK253" s="12" t="n"/>
      <c r="AL253" s="12" t="n"/>
      <c r="AM253" s="12" t="n"/>
      <c r="AN253" s="12" t="n"/>
      <c r="AO253" s="12" t="n"/>
      <c r="AP253" s="12" t="n"/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 hidden="1" outlineLevel="1">
      <c r="C254" s="57" t="inlineStr">
        <is>
          <t xml:space="preserve">Outras Obrigações </t>
        </is>
      </c>
      <c r="D254" s="11" t="n"/>
      <c r="E254" s="11" t="n"/>
      <c r="F254" s="11" t="n"/>
      <c r="G254" s="11" t="n"/>
      <c r="H254" s="12" t="n"/>
      <c r="I254" s="11" t="n"/>
      <c r="J254" s="11" t="n"/>
      <c r="K254" s="11" t="n"/>
      <c r="L254" s="11" t="n"/>
      <c r="M254" s="12" t="n"/>
      <c r="N254" s="11" t="n"/>
      <c r="O254" s="11" t="n"/>
      <c r="P254" s="11" t="n"/>
      <c r="Q254" s="11" t="n"/>
      <c r="R254" s="12" t="n"/>
      <c r="S254" s="11" t="n"/>
      <c r="T254" s="11" t="n"/>
      <c r="U254" s="11" t="n"/>
      <c r="V254" s="11" t="n"/>
      <c r="W254" s="12" t="n"/>
      <c r="X254" s="11" t="n"/>
      <c r="Y254" s="11" t="n"/>
      <c r="Z254" s="11" t="n"/>
      <c r="AA254" s="11" t="n"/>
      <c r="AB254" s="12" t="n"/>
      <c r="AC254" s="11" t="n"/>
      <c r="AD254" s="11" t="n"/>
      <c r="AE254" s="11" t="n"/>
      <c r="AF254" s="11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 hidden="1" outlineLevel="1">
      <c r="C255" s="57" t="inlineStr">
        <is>
          <t xml:space="preserve">Provisão de Risco Cíveis, Trabalhistas e Tributários </t>
        </is>
      </c>
      <c r="D255" s="11" t="n"/>
      <c r="E255" s="11" t="n"/>
      <c r="F255" s="11" t="n"/>
      <c r="G255" s="11" t="n"/>
      <c r="H255" s="12" t="n"/>
      <c r="I255" s="11" t="n"/>
      <c r="J255" s="11" t="n"/>
      <c r="K255" s="11" t="n"/>
      <c r="L255" s="11" t="n"/>
      <c r="M255" s="12" t="n"/>
      <c r="N255" s="11" t="n"/>
      <c r="O255" s="11" t="n"/>
      <c r="P255" s="11" t="n"/>
      <c r="Q255" s="11" t="n"/>
      <c r="R255" s="12" t="n"/>
      <c r="S255" s="11" t="n"/>
      <c r="T255" s="11" t="n"/>
      <c r="U255" s="11" t="n"/>
      <c r="V255" s="11" t="n"/>
      <c r="W255" s="12" t="n"/>
      <c r="X255" s="11" t="n"/>
      <c r="Y255" s="11" t="n"/>
      <c r="Z255" s="11" t="n"/>
      <c r="AA255" s="11" t="n"/>
      <c r="AB255" s="12" t="n"/>
      <c r="AC255" s="11" t="n"/>
      <c r="AD255" s="11" t="n"/>
      <c r="AE255" s="11" t="n"/>
      <c r="AF255" s="11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 hidden="1" outlineLevel="1">
      <c r="C256" s="57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collapsed="1" customFormat="1" s="32">
      <c r="A257" s="30" t="n"/>
      <c r="B257" s="30" t="n"/>
      <c r="C257" s="65" t="inlineStr">
        <is>
          <t>Total Liabilities</t>
        </is>
      </c>
      <c r="D257" s="35" t="n"/>
      <c r="E257" s="35" t="n"/>
      <c r="F257" s="35" t="n"/>
      <c r="G257" s="35" t="n"/>
      <c r="H257" s="35" t="n"/>
      <c r="I257" s="35">
        <f>SUM(I208+I212+I214+I215+I222+I223+I224+I227+I245+I248+I249+I250)</f>
        <v>2317.24483932</v>
      </c>
      <c r="J257" s="35">
        <f>SUM(J208+J212+J214+J215+J222+J223+J224+J227+J245+J248+J249+J250)</f>
        <v>2703.77640646</v>
      </c>
      <c r="K257" s="35">
        <f>SUM(K208+K212+K214+K215+K222+K223+K224+K227+K245+K248+K249+K250)</f>
        <v>2937.714</v>
      </c>
      <c r="L257" s="35">
        <f>SUM(L208+L212+L214+L215+L222+L223+L224+L227+L245+L248+L249+L250)</f>
        <v>3478.41</v>
      </c>
      <c r="M257" s="35">
        <f>SUM(M208,M212,M214,M215,M222,M223,M227,M224,M245,M248,M249,M250)</f>
        <v>3478.41</v>
      </c>
      <c r="N257" s="35">
        <f>SUM(N208+N212+N214+N215+N222+N223+N224+N227+N245+N248+N249+N250)</f>
        <v>3784.275</v>
      </c>
      <c r="O257" s="35">
        <f>SUM(O208+O212+O214+O215+O222+O223+O224+O227+O245+O248+O249+O250)</f>
        <v>4494.62744904</v>
      </c>
      <c r="P257" s="35">
        <f>SUM(P208+P212+P214+P215+P222+P223+P224+P227+P245+P248+P249+P250)</f>
        <v>5156.508938</v>
      </c>
      <c r="Q257" s="35">
        <f>SUM(Q208+Q212+Q214+Q215+Q222+Q223+Q224+Q227+Q245+Q248+Q249+Q250)</f>
        <v>5721.95294475</v>
      </c>
      <c r="R257" s="35">
        <f>SUM(R208,R212,R214,R215,R222,R223,R227,R224,R245,R248,R249,R250)</f>
        <v>5721.95294475</v>
      </c>
      <c r="S257" s="35">
        <f>SUM(S208+S212+S214+S215+S222+S223+S224+S227+S245+S248+S249+S250)</f>
        <v>5944.57322189</v>
      </c>
      <c r="T257" s="35">
        <f>SUM(T208+T212+T214+T215+T222+T223+T224+T227+T245+T248+T249+T250)</f>
        <v>6302.135</v>
      </c>
      <c r="U257" s="35">
        <f>SUM(U208+U212+U214+U215+U222+U223+U224+U227+U245+U248+U249+U250)</f>
        <v>6670.927</v>
      </c>
      <c r="V257" s="35">
        <f>SUM(V208+V212+V214+V215+V222+V223+V224+V227+V245+V248+V249+V250)</f>
        <v>7583.78279394</v>
      </c>
      <c r="W257" s="35">
        <f>SUM(W208,W212,W214,W215,W222,W223,W227,W224,W245,W248,W249,W250)</f>
        <v>7583.78279394</v>
      </c>
      <c r="X257" s="35">
        <f>SUM(X208+X212+X214+X215+X222+X223+X224+X227+X245+X248+X249+X250)</f>
        <v>7601.73</v>
      </c>
      <c r="Y257" s="35">
        <f>SUM(Y208+Y212+Y214+Y215+Y222+Y223+Y224+Y227+Y245+Y248+Y249+Y250)</f>
        <v>8030.174</v>
      </c>
      <c r="Z257" s="35">
        <f>SUM(Z208+Z212+Z214+Z215+Z222+Z223+Z224+Z227+Z245+Z248+Z249+Z250)</f>
        <v>8503.939</v>
      </c>
      <c r="AA257" s="35">
        <f>SUM(AA208+AA212+AA214+AA215+AA222+AA223+AA224+AA227+AA245+AA248+AA249+AA250)</f>
        <v>8995.874</v>
      </c>
      <c r="AB257" s="35">
        <f>SUM(AB208,AB212,AB214,AB215,AB222,AB223,AB227,AB224,AB245,AB248,AB249,AB250)</f>
        <v>8995.874</v>
      </c>
      <c r="AC257" s="35">
        <f>SUM(AC208+AC212+AC214+AC215+AC222+AC223+AC224+AC227+AC245+AC248+AC249+AC250)</f>
        <v>9986.08</v>
      </c>
      <c r="AD257" s="35">
        <f>SUM(AD208+AD212+AD214+AD215+AD222+AD223+AD224+AD227+AD245+AD248+AD249+AD250)</f>
        <v>10054.298</v>
      </c>
      <c r="AE257" s="35">
        <f>SUM(AE208+AE212+AE214+AE215+AE222+AE223+AE224+AE227+AE245+AE248+AE249+AE250)</f>
        <v>12444.695</v>
      </c>
      <c r="AF257" s="35">
        <f>SUM(AF208+AF212+AF214+AF215+AF222+AF223+AF224+AF227+AF245+AF248+AF249+AF250)</f>
        <v>12884.198</v>
      </c>
      <c r="AG257" s="35">
        <f>SUM(AG208,AG212,AG214,AG215,AG222,AG223,AG227,AG224,AG245,AG248,AG249,AG250)</f>
        <v>12884.198</v>
      </c>
      <c r="AH257" s="35">
        <f>SUM(AH208+AH212+AH214+AH215+AH222+AH223+AH224+AH227+AH245+AH248+AH249+AH250)</f>
        <v>12739.833</v>
      </c>
      <c r="AI257" s="35">
        <f>SUM(AI208+AI212+AI214+AI215+AI222+AI223+AI224+AI227+AI245+AI248+AI249+AI250)</f>
        <v>12807.881</v>
      </c>
      <c r="AJ257" s="35">
        <f>SUM(AJ208+AJ212+AJ214+AJ215+AJ222+AJ223+AJ224+AJ227+AJ245+AJ248+AJ249+AJ250)</f>
        <v>13596.2226964966</v>
      </c>
      <c r="AK257" s="35">
        <f>SUM(AK208+AK212+AK214+AK215+AK222+AK223+AK224+AK227+AK245+AK248+AK249+AK250)</f>
        <v>13645.2440968389</v>
      </c>
      <c r="AL257" s="35">
        <f>SUM(AL208,AL212,AL214,AL215,AL222,AL223,AL227,AL224,AL245,AL248,AL249,AL250)</f>
        <v>13645.2440968389</v>
      </c>
      <c r="AM257" s="35">
        <f>SUM(AM208+AM212+AM214+AM215+AM222+AM223+AM224+AM227+AM245+AM248+AM249+AM250)</f>
        <v>13354.3970217295</v>
      </c>
      <c r="AN257" s="35">
        <f>SUM(AN208+AN212+AN214+AN215+AN222+AN223+AN224+AN227+AN245+AN248+AN249+AN250)</f>
        <v>13746.7539775487</v>
      </c>
      <c r="AO257" s="35">
        <f>SUM(AO208+AO212+AO214+AO215+AO222+AO223+AO224+AO227+AO245+AO248+AO249+AO250)</f>
        <v>15338.7165982749</v>
      </c>
      <c r="AP257" s="35">
        <f>SUM(AP208+AP212+AP214+AP215+AP222+AP223+AP224+AP227+AP245+AP248+AP249+AP250)</f>
        <v>15507.9179303942</v>
      </c>
      <c r="AQ257" s="35">
        <f>SUM(AQ208,AQ212,AQ214,AQ215,AQ222,AQ223,AQ227,AQ224,AQ245,AQ248,AQ249,AQ250)</f>
        <v>15507.9179303942</v>
      </c>
      <c r="AR257" s="35">
        <f>SUM(AR208+AR212+AR214+AR215+AR222+AR223+AR224+AR227+AR245+AR248+AR249+AR250)</f>
        <v>15201.4163076266</v>
      </c>
      <c r="AS257" s="35">
        <f>SUM(AS208+AS212+AS214+AS215+AS222+AS223+AS224+AS227+AS245+AS248+AS249+AS250)</f>
        <v>15862.3289801101</v>
      </c>
      <c r="AT257" s="35">
        <f>SUM(AT208+AT212+AT214+AT215+AT222+AT223+AT224+AT227+AT245+AT248+AT249+AT250)</f>
        <v>17882.367202245</v>
      </c>
      <c r="AU257" s="35">
        <f>SUM(AU208+AU212+AU214+AU215+AU222+AU223+AU224+AU227+AU245+AU248+AU249+AU250)</f>
        <v>18268.5430441832</v>
      </c>
      <c r="AV257" s="35">
        <f>SUM(AV208,AV212,AV214,AV215,AV222,AV223,AV227,AV224,AV245,AV248,AV249,AV250)</f>
        <v>18268.5430441832</v>
      </c>
      <c r="AW257" s="35">
        <f>SUM(AW208+AW212+AW214+AW215+AW222+AW223+AW224+AW227+AW245+AW248+AW249+AW250)</f>
        <v>18166.9623964955</v>
      </c>
      <c r="AX257" s="35">
        <f>SUM(AX208+AX212+AX214+AX215+AX222+AX223+AX224+AX227+AX245+AX248+AX249+AX250)</f>
        <v>19107.9326520795</v>
      </c>
      <c r="AY257" s="35">
        <f>SUM(AY208+AY212+AY214+AY215+AY222+AY223+AY224+AY227+AY245+AY248+AY249+AY250)</f>
        <v>21737.1901499194</v>
      </c>
      <c r="AZ257" s="35">
        <f>SUM(AZ208+AZ212+AZ214+AZ215+AZ222+AZ223+AZ224+AZ227+AZ245+AZ248+AZ249+AZ250)</f>
        <v>22511.8919829758</v>
      </c>
      <c r="BA257" s="35">
        <f>SUM(BA208,BA212,BA214,BA215,BA222,BA223,BA227,BA224,BA245,BA248,BA249,BA250)</f>
        <v>22511.8919829758</v>
      </c>
      <c r="BB257" s="35">
        <f>SUM(BB208+BB212+BB214+BB215+BB222+BB223+BB224+BB227+BB245+BB248+BB249+BB250)</f>
        <v>22724.413091369</v>
      </c>
      <c r="BC257" s="35">
        <f>SUM(BC208+BC212+BC214+BC215+BC222+BC223+BC224+BC227+BC245+BC248+BC249+BC250)</f>
        <v>24232.851250462</v>
      </c>
      <c r="BD257" s="35">
        <f>SUM(BD208+BD212+BD214+BD215+BD222+BD223+BD224+BD227+BD245+BD248+BD249+BD250)</f>
        <v>27755.3463252171</v>
      </c>
      <c r="BE257" s="35">
        <f>SUM(BE208+BE212+BE214+BE215+BE222+BE223+BE224+BE227+BE245+BE248+BE249+BE250)</f>
        <v>29203.8722613055</v>
      </c>
      <c r="BF257" s="35">
        <f>SUM(BF208,BF212,BF214,BF215,BF222,BF223,BF227,BF224,BF245,BF248,BF249,BF250)</f>
        <v>29203.8722613055</v>
      </c>
      <c r="BG257" s="35" t="n"/>
      <c r="BH257" s="35" t="n"/>
      <c r="BI257" s="35" t="n"/>
      <c r="BJ257" s="35" t="n"/>
      <c r="BK257" s="35" t="n"/>
      <c r="BL257" s="35" t="n"/>
      <c r="BM257" s="35" t="n"/>
      <c r="BN257" s="35" t="n"/>
      <c r="BO257" s="35" t="n"/>
      <c r="BP257" s="35" t="n"/>
      <c r="BQ257" s="35" t="n"/>
      <c r="BR257" s="35" t="n"/>
      <c r="BS257" s="35" t="n"/>
      <c r="BT257" s="35" t="n"/>
      <c r="BU257" s="35" t="n"/>
      <c r="BV257" s="35" t="n"/>
      <c r="BW257" s="35" t="n"/>
      <c r="BX257" s="35" t="n"/>
      <c r="BY257" s="35" t="n"/>
      <c r="BZ257" s="35" t="n"/>
      <c r="CA257" s="35" t="n"/>
      <c r="CB257" s="35" t="n"/>
      <c r="CC257" s="35" t="n"/>
      <c r="CD257" s="35" t="n"/>
      <c r="CE257" s="35" t="n"/>
      <c r="CF257" s="35" t="n"/>
      <c r="CG257" s="35" t="n"/>
      <c r="CH257" s="35" t="n"/>
      <c r="CI257" s="35" t="n"/>
      <c r="CJ257" s="35" t="n"/>
      <c r="CK257" s="35" t="n"/>
      <c r="CL257" s="35" t="n"/>
      <c r="CM257" s="35" t="n"/>
      <c r="CN257" s="35" t="n"/>
      <c r="CO257" s="35" t="n"/>
      <c r="CP257" s="35" t="n"/>
      <c r="CQ257" s="35" t="n"/>
      <c r="CR257" s="35" t="n"/>
      <c r="CS257" s="35" t="n"/>
      <c r="CT257" s="35" t="n"/>
      <c r="CU257" s="35" t="n"/>
      <c r="CV257" s="35" t="n"/>
      <c r="CW257" s="35" t="n"/>
      <c r="CX257" s="35" t="n"/>
      <c r="CY257" s="35" t="n"/>
    </row>
    <row r="258">
      <c r="C258" s="14" t="inlineStr">
        <is>
          <t>Minority interest</t>
        </is>
      </c>
      <c r="D258" s="46" t="n"/>
      <c r="E258" s="46" t="n"/>
      <c r="F258" s="46" t="n"/>
      <c r="G258" s="46" t="n"/>
      <c r="H258" s="12" t="n"/>
      <c r="I258" s="46">
        <f>'Inputs (2)'!D41</f>
        <v>64.457</v>
      </c>
      <c r="J258" s="46">
        <f>'Inputs (2)'!E41</f>
        <v>67.415</v>
      </c>
      <c r="K258" s="46">
        <f>'Inputs (2)'!F41</f>
        <v>70.928</v>
      </c>
      <c r="L258" s="46">
        <f>'Inputs (2)'!G41</f>
        <v>73.394</v>
      </c>
      <c r="M258" s="12">
        <f>'Inputs (2)'!H41</f>
        <v>73.394</v>
      </c>
      <c r="N258" s="46">
        <f>'Inputs (2)'!I41</f>
        <v>75.89</v>
      </c>
      <c r="O258" s="46">
        <f>'Inputs (2)'!J41</f>
        <v>79.272</v>
      </c>
      <c r="P258" s="46">
        <f>'Inputs (2)'!K41</f>
        <v>82.943</v>
      </c>
      <c r="Q258" s="46">
        <f>'Inputs (2)'!L41</f>
        <v>86.379</v>
      </c>
      <c r="R258" s="12">
        <f>'Inputs (2)'!M41</f>
        <v>86.379</v>
      </c>
      <c r="S258" s="46">
        <f>'Inputs (2)'!N41</f>
        <v>89.2724</v>
      </c>
      <c r="T258" s="46">
        <f>'Inputs (2)'!O41</f>
        <v>93.836</v>
      </c>
      <c r="U258" s="46">
        <f>'Inputs (2)'!P41</f>
        <v>98.03</v>
      </c>
      <c r="V258" s="46">
        <f>'Inputs (2)'!Q41</f>
        <v>101.241</v>
      </c>
      <c r="W258" s="12">
        <f>'Inputs (2)'!R41</f>
        <v>101.241</v>
      </c>
      <c r="X258" s="46">
        <f>'Inputs (2)'!S41</f>
        <v>103.804</v>
      </c>
      <c r="Y258" s="46">
        <f>'Inputs (2)'!T41</f>
        <v>108.517</v>
      </c>
      <c r="Z258" s="46">
        <f>'Inputs (2)'!U41</f>
        <v>121.956</v>
      </c>
      <c r="AA258" s="46">
        <f>'Inputs (2)'!V41</f>
        <v>76.683</v>
      </c>
      <c r="AB258" s="12">
        <f>'Inputs (2)'!W41</f>
        <v>76.683</v>
      </c>
      <c r="AC258" s="46">
        <f>'Inputs (2)'!X41</f>
        <v>79.696</v>
      </c>
      <c r="AD258" s="46">
        <f>'Inputs (2)'!Y41</f>
        <v>85.385</v>
      </c>
      <c r="AE258" s="46">
        <f>'Inputs (2)'!Z41</f>
        <v>1058.071</v>
      </c>
      <c r="AF258" s="46">
        <f>'Inputs (2)'!AA41</f>
        <v>1083.859</v>
      </c>
      <c r="AG258" s="12">
        <f>'Inputs (2)'!AB41</f>
        <v>1083.859</v>
      </c>
      <c r="AH258" s="12">
        <f>'Inputs (2)'!AC41</f>
        <v>1061.9</v>
      </c>
      <c r="AI258" s="12">
        <f>'Inputs (2)'!AD41</f>
        <v>1160.623</v>
      </c>
      <c r="AJ258" s="12">
        <f>AI258</f>
        <v>1160.623</v>
      </c>
      <c r="AK258" s="12">
        <f>AJ258</f>
        <v>1160.623</v>
      </c>
      <c r="AL258" s="12">
        <f>AK258</f>
        <v>1160.623</v>
      </c>
      <c r="AM258" s="12">
        <f>AL258</f>
        <v>1160.623</v>
      </c>
      <c r="AN258" s="12">
        <f>AM258</f>
        <v>1160.623</v>
      </c>
      <c r="AO258" s="12">
        <f>AN258</f>
        <v>1160.623</v>
      </c>
      <c r="AP258" s="12">
        <f>AO258</f>
        <v>1160.623</v>
      </c>
      <c r="AQ258" s="12">
        <f>AP258</f>
        <v>1160.623</v>
      </c>
      <c r="AR258" s="12">
        <f>AQ258</f>
        <v>1160.623</v>
      </c>
      <c r="AS258" s="12">
        <f>AR258</f>
        <v>1160.623</v>
      </c>
      <c r="AT258" s="12">
        <f>AS258</f>
        <v>1160.623</v>
      </c>
      <c r="AU258" s="12">
        <f>AT258</f>
        <v>1160.623</v>
      </c>
      <c r="AV258" s="12">
        <f>AU258</f>
        <v>1160.623</v>
      </c>
      <c r="AW258" s="12">
        <f>AV258</f>
        <v>1160.623</v>
      </c>
      <c r="AX258" s="12">
        <f>AW258</f>
        <v>1160.623</v>
      </c>
      <c r="AY258" s="12">
        <f>AX258</f>
        <v>1160.623</v>
      </c>
      <c r="AZ258" s="12">
        <f>AY258</f>
        <v>1160.623</v>
      </c>
      <c r="BA258" s="12">
        <f>AZ258</f>
        <v>1160.623</v>
      </c>
      <c r="BB258" s="12">
        <f>BA258</f>
        <v>1160.623</v>
      </c>
      <c r="BC258" s="12">
        <f>BB258</f>
        <v>1160.623</v>
      </c>
      <c r="BD258" s="12">
        <f>BC258</f>
        <v>1160.623</v>
      </c>
      <c r="BE258" s="12">
        <f>BD258</f>
        <v>1160.623</v>
      </c>
      <c r="BF258" s="12">
        <f>BE258</f>
        <v>1160.623</v>
      </c>
      <c r="BG258" s="12" t="n"/>
      <c r="BH258" s="12" t="n"/>
      <c r="BI258" s="12" t="n"/>
      <c r="BJ258" s="12" t="n"/>
      <c r="BK258" s="12" t="n"/>
      <c r="BL258" s="12" t="n"/>
      <c r="BM258" s="12" t="n"/>
      <c r="BN258" s="12" t="n"/>
      <c r="BO258" s="12" t="n"/>
      <c r="BP258" s="12" t="n"/>
      <c r="BQ258" s="12" t="n"/>
      <c r="BR258" s="12" t="n"/>
      <c r="BS258" s="12" t="n"/>
      <c r="BT258" s="12" t="n"/>
      <c r="BU258" s="12" t="n"/>
      <c r="BV258" s="12" t="n"/>
      <c r="BW258" s="12" t="n"/>
      <c r="BX258" s="12" t="n"/>
      <c r="BY258" s="12" t="n"/>
      <c r="BZ258" s="12" t="n"/>
      <c r="CA258" s="12" t="n"/>
      <c r="CB258" s="12" t="n"/>
      <c r="CC258" s="12" t="n"/>
      <c r="CD258" s="12" t="n"/>
      <c r="CE258" s="12" t="n"/>
      <c r="CF258" s="12" t="n"/>
      <c r="CG258" s="12" t="n"/>
      <c r="CH258" s="12" t="n"/>
      <c r="CI258" s="12" t="n"/>
      <c r="CJ258" s="12" t="n"/>
      <c r="CK258" s="12" t="n"/>
      <c r="CL258" s="12" t="n"/>
      <c r="CM258" s="12" t="n"/>
      <c r="CN258" s="12" t="n"/>
      <c r="CO258" s="12" t="n"/>
      <c r="CP258" s="12" t="n"/>
      <c r="CQ258" s="12" t="n"/>
      <c r="CR258" s="12" t="n"/>
      <c r="CS258" s="12" t="n"/>
      <c r="CT258" s="12" t="n"/>
      <c r="CU258" s="12" t="n"/>
      <c r="CV258" s="12" t="n"/>
      <c r="CW258" s="12" t="n"/>
      <c r="CX258" s="12" t="n"/>
      <c r="CY258" s="12" t="n"/>
    </row>
    <row r="259" hidden="1" outlineLevel="1" customFormat="1" s="66">
      <c r="A259" s="37" t="n"/>
      <c r="B259" s="37" t="n"/>
      <c r="C259" s="59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  <c r="AO259" s="42" t="n"/>
      <c r="AP259" s="42" t="n"/>
      <c r="AQ259" s="42" t="n"/>
      <c r="AR259" s="42" t="n"/>
      <c r="AS259" s="42" t="n"/>
      <c r="AT259" s="42" t="n"/>
      <c r="AU259" s="42" t="n"/>
      <c r="AV259" s="42" t="n"/>
      <c r="AW259" s="42" t="n"/>
      <c r="AX259" s="42" t="n"/>
      <c r="AY259" s="42" t="n"/>
      <c r="AZ259" s="42" t="n"/>
      <c r="BA259" s="42" t="n"/>
      <c r="BB259" s="42" t="n"/>
      <c r="BC259" s="42" t="n"/>
      <c r="BD259" s="42" t="n"/>
      <c r="BE259" s="42" t="n"/>
      <c r="BF259" s="42" t="n"/>
      <c r="BG259" s="42" t="n"/>
      <c r="BH259" s="42" t="n"/>
      <c r="BI259" s="42" t="n"/>
      <c r="BJ259" s="42" t="n"/>
      <c r="BK259" s="42" t="n"/>
      <c r="BL259" s="42" t="n"/>
      <c r="BM259" s="42" t="n"/>
      <c r="BN259" s="42" t="n"/>
      <c r="BO259" s="42" t="n"/>
      <c r="BP259" s="42" t="n"/>
      <c r="BQ259" s="42" t="n"/>
      <c r="BR259" s="42" t="n"/>
      <c r="BS259" s="42" t="n"/>
      <c r="BT259" s="42" t="n"/>
      <c r="BU259" s="42" t="n"/>
      <c r="BV259" s="42" t="n"/>
      <c r="BW259" s="42" t="n"/>
      <c r="BX259" s="42" t="n"/>
      <c r="BY259" s="42" t="n"/>
      <c r="BZ259" s="42" t="n"/>
      <c r="CA259" s="42" t="n"/>
      <c r="CB259" s="42" t="n"/>
      <c r="CC259" s="42" t="n"/>
      <c r="CD259" s="42" t="n"/>
      <c r="CE259" s="42" t="n"/>
      <c r="CF259" s="42" t="n"/>
      <c r="CG259" s="42" t="n"/>
      <c r="CH259" s="42" t="n"/>
      <c r="CI259" s="42" t="n"/>
      <c r="CJ259" s="42" t="n"/>
      <c r="CK259" s="42" t="n"/>
      <c r="CL259" s="42" t="n"/>
      <c r="CM259" s="42" t="n"/>
      <c r="CN259" s="42" t="n"/>
      <c r="CO259" s="42" t="n"/>
      <c r="CP259" s="42" t="n"/>
      <c r="CQ259" s="42" t="n"/>
      <c r="CR259" s="42" t="n"/>
      <c r="CS259" s="42" t="n"/>
      <c r="CT259" s="42" t="n"/>
      <c r="CU259" s="42" t="n"/>
      <c r="CV259" s="42" t="n"/>
      <c r="CW259" s="42" t="n"/>
      <c r="CX259" s="42" t="n"/>
      <c r="CY259" s="42" t="n"/>
    </row>
    <row r="260" hidden="1" outlineLevel="1" customFormat="1" s="66">
      <c r="A260" s="37" t="n"/>
      <c r="B260" s="37" t="n"/>
      <c r="C260" s="57" t="inlineStr">
        <is>
          <t>Minority Interest Expense - % YoY</t>
        </is>
      </c>
      <c r="D260" s="42" t="n"/>
      <c r="E260" s="58" t="n"/>
      <c r="F260" s="42" t="n"/>
      <c r="G260" s="42" t="n"/>
      <c r="H260" s="58" t="n"/>
      <c r="I260" s="42" t="n"/>
      <c r="J260" s="58">
        <f>IF(I145=0,0,J145/I145-1)</f>
        <v>0</v>
      </c>
      <c r="K260" s="42" t="n"/>
      <c r="L260" s="42" t="n"/>
      <c r="M260" s="58" t="n"/>
      <c r="N260" s="58">
        <f>IF(I145=0,0,N145/I145-1)</f>
        <v>0</v>
      </c>
      <c r="O260" s="58">
        <f>IF(J145=0,0,O145/J145-1)</f>
        <v>0</v>
      </c>
      <c r="P260" s="58">
        <f>IF(K145=0,0,P145/K145-1)</f>
        <v>0</v>
      </c>
      <c r="Q260" s="58">
        <f>IF(L145=0,0,Q145/L145-1)</f>
        <v>0</v>
      </c>
      <c r="R260" s="58" t="n"/>
      <c r="S260" s="58">
        <f>IF(N145=0,0,S145/N145-1)</f>
        <v>0</v>
      </c>
      <c r="T260" s="58">
        <f>IF(O145=0,0,T145/O145-1)</f>
        <v>0</v>
      </c>
      <c r="U260" s="58">
        <f>IF(P145=0,0,U145/P145-1)</f>
        <v>0</v>
      </c>
      <c r="V260" s="58">
        <f>IF(Q145=0,0,V145/Q145-1)</f>
        <v>0</v>
      </c>
      <c r="W260" s="58">
        <f>IF(R146=0,0,W146/R146-1)</f>
        <v>0</v>
      </c>
      <c r="X260" s="58">
        <f>IF(S145=0,0,X145/S145-1)</f>
        <v>0</v>
      </c>
      <c r="Y260" s="58">
        <f>IF(T145=0,0,Y145/T145-1)</f>
        <v>0</v>
      </c>
      <c r="Z260" s="58">
        <f>IF(U145=0,0,Z145/U145-1)</f>
        <v>0</v>
      </c>
      <c r="AA260" s="58">
        <f>IF(V145=0,0,AA145/V145-1)</f>
        <v>0</v>
      </c>
      <c r="AB260" s="58">
        <f>IF(W146=0,0,AB146/W146-1)</f>
        <v>0</v>
      </c>
      <c r="AC260" s="58">
        <f>IF(X145=0,0,AC145/X145-1)</f>
        <v>0</v>
      </c>
      <c r="AD260" s="58">
        <f>IF(Y145=0,0,AD145/Y145-1)</f>
        <v>0</v>
      </c>
      <c r="AE260" s="58">
        <f>IF(Z145=0,0,AE145/Z145-1)</f>
        <v>0</v>
      </c>
      <c r="AF260" s="58">
        <f>IF(AA145=0,0,AF145/AA145-1)</f>
        <v>0</v>
      </c>
      <c r="AG260" s="58">
        <f>IF(AB146=0,0,AG146/AB146-1)</f>
        <v>0</v>
      </c>
      <c r="AH260" s="62">
        <f>IF(AC145=0,0,AH145/AC145-1)</f>
        <v>0</v>
      </c>
      <c r="AI260" s="62">
        <f>IF(AD145=0,0,AI145/AD145-1)</f>
        <v>0</v>
      </c>
      <c r="AJ260" s="62" t="n"/>
      <c r="AK260" s="62" t="n"/>
      <c r="AL260" s="58">
        <f>IF(AG146=0,0,AL146/AG146-1)</f>
        <v>-2.14299306782656</v>
      </c>
      <c r="AM260" s="62" t="n"/>
      <c r="AN260" s="62" t="n"/>
      <c r="AO260" s="62" t="n"/>
      <c r="AP260" s="62" t="n"/>
      <c r="AQ260" s="58">
        <f>IF(AL146=0,0,AQ146/AL146-1)</f>
        <v>-1</v>
      </c>
      <c r="AR260" s="62" t="n"/>
      <c r="AS260" s="62" t="n"/>
      <c r="AT260" s="62" t="n"/>
      <c r="AU260" s="62" t="n"/>
      <c r="AV260" s="58">
        <f>IF(AQ146=0,0,AV146/AQ146-1)</f>
        <v>0</v>
      </c>
      <c r="AW260" s="62" t="n"/>
      <c r="AX260" s="62" t="n"/>
      <c r="AY260" s="62" t="n"/>
      <c r="AZ260" s="62" t="n"/>
      <c r="BA260" s="58">
        <f>IF(AV146=0,0,BA146/AV146-1)</f>
        <v>0</v>
      </c>
      <c r="BB260" s="62" t="n"/>
      <c r="BC260" s="62" t="n"/>
      <c r="BD260" s="62" t="n"/>
      <c r="BE260" s="62" t="n"/>
      <c r="BF260" s="58">
        <f>IF(BA146=0,0,BF146/BA146-1)</f>
        <v>0</v>
      </c>
      <c r="BG260" s="62" t="n"/>
      <c r="BH260" s="62" t="n"/>
      <c r="BI260" s="62" t="n"/>
      <c r="BJ260" s="62" t="n"/>
      <c r="BK260" s="58" t="n"/>
      <c r="BL260" s="62" t="n"/>
      <c r="BM260" s="62" t="n"/>
      <c r="BN260" s="62" t="n"/>
      <c r="BO260" s="62" t="n"/>
      <c r="BP260" s="58" t="n"/>
      <c r="BQ260" s="62" t="n"/>
      <c r="BR260" s="62" t="n"/>
      <c r="BS260" s="62" t="n"/>
      <c r="BT260" s="62" t="n"/>
      <c r="BU260" s="58" t="n"/>
      <c r="BV260" s="62" t="n"/>
      <c r="BW260" s="62" t="n"/>
      <c r="BX260" s="62" t="n"/>
      <c r="BY260" s="62" t="n"/>
      <c r="BZ260" s="58" t="n"/>
      <c r="CA260" s="62" t="n"/>
      <c r="CB260" s="62" t="n"/>
      <c r="CC260" s="62" t="n"/>
      <c r="CD260" s="62" t="n"/>
      <c r="CE260" s="58" t="n"/>
      <c r="CF260" s="62" t="n"/>
      <c r="CG260" s="62" t="n"/>
      <c r="CH260" s="62" t="n"/>
      <c r="CI260" s="62" t="n"/>
      <c r="CJ260" s="58" t="n"/>
      <c r="CK260" s="62" t="n"/>
      <c r="CL260" s="62" t="n"/>
      <c r="CM260" s="62" t="n"/>
      <c r="CN260" s="62" t="n"/>
      <c r="CO260" s="58" t="n"/>
      <c r="CP260" s="62" t="n"/>
      <c r="CQ260" s="62" t="n"/>
      <c r="CR260" s="62" t="n"/>
      <c r="CS260" s="62" t="n"/>
      <c r="CT260" s="58" t="n"/>
      <c r="CU260" s="62" t="n"/>
      <c r="CV260" s="62" t="n"/>
      <c r="CW260" s="62" t="n"/>
      <c r="CX260" s="62" t="n"/>
      <c r="CY260" s="58" t="n"/>
    </row>
    <row r="261" hidden="1" outlineLevel="1" customFormat="1" s="66">
      <c r="A261" s="37" t="n"/>
      <c r="B261" s="37" t="n"/>
      <c r="C261" s="57" t="inlineStr">
        <is>
          <t>Dividends (enter as -)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2" t="n"/>
      <c r="AI261" s="62" t="n"/>
      <c r="AJ261" s="62" t="n"/>
      <c r="AK261" s="62" t="n"/>
      <c r="AL261" s="42" t="n"/>
      <c r="AM261" s="62" t="n"/>
      <c r="AN261" s="62" t="n"/>
      <c r="AO261" s="62" t="n"/>
      <c r="AP261" s="62" t="n"/>
      <c r="AQ261" s="42" t="n"/>
      <c r="AR261" s="62" t="n"/>
      <c r="AS261" s="62" t="n"/>
      <c r="AT261" s="62" t="n"/>
      <c r="AU261" s="62" t="n"/>
      <c r="AV261" s="42" t="n"/>
      <c r="AW261" s="62" t="n"/>
      <c r="AX261" s="62" t="n"/>
      <c r="AY261" s="62" t="n"/>
      <c r="AZ261" s="62" t="n"/>
      <c r="BA261" s="42" t="n"/>
      <c r="BB261" s="62" t="n"/>
      <c r="BC261" s="62" t="n"/>
      <c r="BD261" s="62" t="n"/>
      <c r="BE261" s="62" t="n"/>
      <c r="BF261" s="42" t="n"/>
      <c r="BG261" s="62" t="n"/>
      <c r="BH261" s="62" t="n"/>
      <c r="BI261" s="62" t="n"/>
      <c r="BJ261" s="62" t="n"/>
      <c r="BK261" s="42" t="n"/>
      <c r="BL261" s="62" t="n"/>
      <c r="BM261" s="62" t="n"/>
      <c r="BN261" s="62" t="n"/>
      <c r="BO261" s="62" t="n"/>
      <c r="BP261" s="42" t="n"/>
      <c r="BQ261" s="62" t="n"/>
      <c r="BR261" s="62" t="n"/>
      <c r="BS261" s="62" t="n"/>
      <c r="BT261" s="62" t="n"/>
      <c r="BU261" s="42" t="n"/>
      <c r="BV261" s="62" t="n"/>
      <c r="BW261" s="62" t="n"/>
      <c r="BX261" s="62" t="n"/>
      <c r="BY261" s="62" t="n"/>
      <c r="BZ261" s="42" t="n"/>
      <c r="CA261" s="62" t="n"/>
      <c r="CB261" s="62" t="n"/>
      <c r="CC261" s="62" t="n"/>
      <c r="CD261" s="62" t="n"/>
      <c r="CE261" s="42" t="n"/>
      <c r="CF261" s="62" t="n"/>
      <c r="CG261" s="62" t="n"/>
      <c r="CH261" s="62" t="n"/>
      <c r="CI261" s="62" t="n"/>
      <c r="CJ261" s="42" t="n"/>
      <c r="CK261" s="62" t="n"/>
      <c r="CL261" s="62" t="n"/>
      <c r="CM261" s="62" t="n"/>
      <c r="CN261" s="62" t="n"/>
      <c r="CO261" s="42" t="n"/>
      <c r="CP261" s="62" t="n"/>
      <c r="CQ261" s="62" t="n"/>
      <c r="CR261" s="62" t="n"/>
      <c r="CS261" s="62" t="n"/>
      <c r="CT261" s="42" t="n"/>
      <c r="CU261" s="62" t="n"/>
      <c r="CV261" s="62" t="n"/>
      <c r="CW261" s="62" t="n"/>
      <c r="CX261" s="62" t="n"/>
      <c r="CY261" s="42" t="n"/>
    </row>
    <row r="262" hidden="1" outlineLevel="1" customFormat="1" s="66">
      <c r="A262" s="37" t="n"/>
      <c r="B262" s="37" t="n"/>
      <c r="C262" s="59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  <c r="AO262" s="42" t="n"/>
      <c r="AP262" s="42" t="n"/>
      <c r="AQ262" s="42" t="n"/>
      <c r="AR262" s="42" t="n"/>
      <c r="AS262" s="42" t="n"/>
      <c r="AT262" s="42" t="n"/>
      <c r="AU262" s="42" t="n"/>
      <c r="AV262" s="42" t="n"/>
      <c r="AW262" s="42" t="n"/>
      <c r="AX262" s="42" t="n"/>
      <c r="AY262" s="42" t="n"/>
      <c r="AZ262" s="42" t="n"/>
      <c r="BA262" s="42" t="n"/>
      <c r="BB262" s="42" t="n"/>
      <c r="BC262" s="42" t="n"/>
      <c r="BD262" s="42" t="n"/>
      <c r="BE262" s="42" t="n"/>
      <c r="BF262" s="42" t="n"/>
      <c r="BG262" s="42" t="n"/>
      <c r="BH262" s="42" t="n"/>
      <c r="BI262" s="42" t="n"/>
      <c r="BJ262" s="42" t="n"/>
      <c r="BK262" s="42" t="n"/>
      <c r="BL262" s="42" t="n"/>
      <c r="BM262" s="42" t="n"/>
      <c r="BN262" s="42" t="n"/>
      <c r="BO262" s="42" t="n"/>
      <c r="BP262" s="42" t="n"/>
      <c r="BQ262" s="42" t="n"/>
      <c r="BR262" s="42" t="n"/>
      <c r="BS262" s="42" t="n"/>
      <c r="BT262" s="42" t="n"/>
      <c r="BU262" s="42" t="n"/>
      <c r="BV262" s="42" t="n"/>
      <c r="BW262" s="42" t="n"/>
      <c r="BX262" s="42" t="n"/>
      <c r="BY262" s="42" t="n"/>
      <c r="BZ262" s="42" t="n"/>
      <c r="CA262" s="42" t="n"/>
      <c r="CB262" s="42" t="n"/>
      <c r="CC262" s="42" t="n"/>
      <c r="CD262" s="42" t="n"/>
      <c r="CE262" s="42" t="n"/>
      <c r="CF262" s="42" t="n"/>
      <c r="CG262" s="42" t="n"/>
      <c r="CH262" s="42" t="n"/>
      <c r="CI262" s="42" t="n"/>
      <c r="CJ262" s="42" t="n"/>
      <c r="CK262" s="42" t="n"/>
      <c r="CL262" s="42" t="n"/>
      <c r="CM262" s="42" t="n"/>
      <c r="CN262" s="42" t="n"/>
      <c r="CO262" s="42" t="n"/>
      <c r="CP262" s="42" t="n"/>
      <c r="CQ262" s="42" t="n"/>
      <c r="CR262" s="42" t="n"/>
      <c r="CS262" s="42" t="n"/>
      <c r="CT262" s="42" t="n"/>
      <c r="CU262" s="42" t="n"/>
      <c r="CV262" s="42" t="n"/>
      <c r="CW262" s="42" t="n"/>
      <c r="CX262" s="42" t="n"/>
      <c r="CY262" s="42" t="n"/>
    </row>
    <row r="263" collapsed="1">
      <c r="C263" s="14" t="inlineStr">
        <is>
          <t>Convertible Preferred Stock</t>
        </is>
      </c>
      <c r="D263" s="46" t="n"/>
      <c r="E263" s="46" t="n"/>
      <c r="F263" s="46" t="n"/>
      <c r="G263" s="46" t="n"/>
      <c r="H263" s="12" t="n"/>
      <c r="I263" s="46">
        <f>'Inputs (2)'!D42</f>
        <v>0</v>
      </c>
      <c r="J263" s="46">
        <f>'Inputs (2)'!E42</f>
        <v>0</v>
      </c>
      <c r="K263" s="46">
        <f>'Inputs (2)'!F42</f>
        <v>0</v>
      </c>
      <c r="L263" s="46">
        <f>'Inputs (2)'!G42</f>
        <v>0</v>
      </c>
      <c r="M263" s="12">
        <f>'Inputs (2)'!H42</f>
        <v>0</v>
      </c>
      <c r="N263" s="46">
        <f>'Inputs (2)'!I42</f>
        <v>0</v>
      </c>
      <c r="O263" s="46">
        <f>'Inputs (2)'!J42</f>
        <v>0</v>
      </c>
      <c r="P263" s="46">
        <f>'Inputs (2)'!K42</f>
        <v>0</v>
      </c>
      <c r="Q263" s="46">
        <f>'Inputs (2)'!L42</f>
        <v>0</v>
      </c>
      <c r="R263" s="12">
        <f>'Inputs (2)'!M42</f>
        <v>0</v>
      </c>
      <c r="S263" s="46">
        <f>'Inputs (2)'!N42</f>
        <v>0</v>
      </c>
      <c r="T263" s="46">
        <f>'Inputs (2)'!O42</f>
        <v>0</v>
      </c>
      <c r="U263" s="46">
        <f>'Inputs (2)'!P42</f>
        <v>0</v>
      </c>
      <c r="V263" s="46">
        <f>'Inputs (2)'!Q42</f>
        <v>0</v>
      </c>
      <c r="W263" s="12">
        <f>'Inputs (2)'!R42</f>
        <v>0</v>
      </c>
      <c r="X263" s="46">
        <f>'Inputs (2)'!S42</f>
        <v>0</v>
      </c>
      <c r="Y263" s="46">
        <f>'Inputs (2)'!T42</f>
        <v>0</v>
      </c>
      <c r="Z263" s="46">
        <f>'Inputs (2)'!U42</f>
        <v>0</v>
      </c>
      <c r="AA263" s="46">
        <f>'Inputs (2)'!V42</f>
        <v>0</v>
      </c>
      <c r="AB263" s="12">
        <f>'Inputs (2)'!W42</f>
        <v>0</v>
      </c>
      <c r="AC263" s="46">
        <f>'Inputs (2)'!X42</f>
        <v>0</v>
      </c>
      <c r="AD263" s="46">
        <f>'Inputs (2)'!Y42</f>
        <v>0</v>
      </c>
      <c r="AE263" s="46">
        <f>'Inputs (2)'!Z42</f>
        <v>0</v>
      </c>
      <c r="AF263" s="46">
        <f>'Inputs (2)'!AA42</f>
        <v>0</v>
      </c>
      <c r="AG263" s="12">
        <f>'Inputs (2)'!AB42</f>
        <v>0</v>
      </c>
      <c r="AH263" s="12">
        <f>'Inputs (2)'!AC42</f>
        <v>0</v>
      </c>
      <c r="AI263" s="12">
        <f>'Inputs (2)'!AD42</f>
        <v>0</v>
      </c>
      <c r="AJ263" s="12">
        <f>AI263</f>
        <v>0</v>
      </c>
      <c r="AK263" s="12">
        <f>AJ263</f>
        <v>0</v>
      </c>
      <c r="AL263" s="12">
        <f>AK263</f>
        <v>0</v>
      </c>
      <c r="AM263" s="12">
        <f>AL263</f>
        <v>0</v>
      </c>
      <c r="AN263" s="12">
        <f>AM263</f>
        <v>0</v>
      </c>
      <c r="AO263" s="12">
        <f>AN263</f>
        <v>0</v>
      </c>
      <c r="AP263" s="12">
        <f>AO263</f>
        <v>0</v>
      </c>
      <c r="AQ263" s="12">
        <f>AP263</f>
        <v>0</v>
      </c>
      <c r="AR263" s="12">
        <f>AQ263</f>
        <v>0</v>
      </c>
      <c r="AS263" s="12">
        <f>AR263</f>
        <v>0</v>
      </c>
      <c r="AT263" s="12">
        <f>AS263</f>
        <v>0</v>
      </c>
      <c r="AU263" s="12">
        <f>AT263</f>
        <v>0</v>
      </c>
      <c r="AV263" s="12">
        <f>AU263</f>
        <v>0</v>
      </c>
      <c r="AW263" s="12">
        <f>AV263</f>
        <v>0</v>
      </c>
      <c r="AX263" s="12">
        <f>AW263</f>
        <v>0</v>
      </c>
      <c r="AY263" s="12">
        <f>AX263</f>
        <v>0</v>
      </c>
      <c r="AZ263" s="12">
        <f>AY263</f>
        <v>0</v>
      </c>
      <c r="BA263" s="12">
        <f>AZ263</f>
        <v>0</v>
      </c>
      <c r="BB263" s="12">
        <f>BA263</f>
        <v>0</v>
      </c>
      <c r="BC263" s="12">
        <f>BB263</f>
        <v>0</v>
      </c>
      <c r="BD263" s="12">
        <f>BC263</f>
        <v>0</v>
      </c>
      <c r="BE263" s="12">
        <f>BD263</f>
        <v>0</v>
      </c>
      <c r="BF263" s="12">
        <f>BE263</f>
        <v>0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3" t="inlineStr">
        <is>
          <t>Common Stock and APIC</t>
        </is>
      </c>
      <c r="D264" s="46" t="n"/>
      <c r="E264" s="46" t="n"/>
      <c r="F264" s="46" t="n"/>
      <c r="G264" s="46" t="n"/>
      <c r="H264" s="12" t="n"/>
      <c r="I264" s="46">
        <f>'Inputs (2)'!D43</f>
        <v>4825.14645592</v>
      </c>
      <c r="J264" s="46">
        <f>'Inputs (2)'!E43</f>
        <v>4825.14615592</v>
      </c>
      <c r="K264" s="46">
        <f>'Inputs (2)'!F43</f>
        <v>4825.146</v>
      </c>
      <c r="L264" s="46">
        <f>'Inputs (2)'!G43</f>
        <v>4825.146</v>
      </c>
      <c r="M264" s="12">
        <f>'Inputs (2)'!H43</f>
        <v>4825.146</v>
      </c>
      <c r="N264" s="46">
        <f>'Inputs (2)'!I43</f>
        <v>4825.146</v>
      </c>
      <c r="O264" s="46">
        <f>'Inputs (2)'!J43</f>
        <v>4825.146</v>
      </c>
      <c r="P264" s="46">
        <f>'Inputs (2)'!K43</f>
        <v>4825.146</v>
      </c>
      <c r="Q264" s="46">
        <f>'Inputs (2)'!L43</f>
        <v>4825.146</v>
      </c>
      <c r="R264" s="12">
        <f>'Inputs (2)'!M43</f>
        <v>4825.146</v>
      </c>
      <c r="S264" s="46">
        <f>'Inputs (2)'!N43</f>
        <v>4825.146</v>
      </c>
      <c r="T264" s="46">
        <f>'Inputs (2)'!O43</f>
        <v>4825.146</v>
      </c>
      <c r="U264" s="46">
        <f>'Inputs (2)'!P43</f>
        <v>4822.166</v>
      </c>
      <c r="V264" s="46">
        <f>'Inputs (2)'!Q43</f>
        <v>8057.731</v>
      </c>
      <c r="W264" s="12">
        <f>'Inputs (2)'!R43</f>
        <v>8057.731</v>
      </c>
      <c r="X264" s="46">
        <f>'Inputs (2)'!S43</f>
        <v>8057.731</v>
      </c>
      <c r="Y264" s="46">
        <f>'Inputs (2)'!T43</f>
        <v>8057.731</v>
      </c>
      <c r="Z264" s="46">
        <f>'Inputs (2)'!U43</f>
        <v>8057.731</v>
      </c>
      <c r="AA264" s="46">
        <f>'Inputs (2)'!V43</f>
        <v>8346.465</v>
      </c>
      <c r="AB264" s="12">
        <f>'Inputs (2)'!W43</f>
        <v>8346.465</v>
      </c>
      <c r="AC264" s="46">
        <f>'Inputs (2)'!X43</f>
        <v>8346.465</v>
      </c>
      <c r="AD264" s="46">
        <f>'Inputs (2)'!Y43</f>
        <v>8346.465</v>
      </c>
      <c r="AE264" s="46">
        <f>'Inputs (2)'!Z43</f>
        <v>8346.465</v>
      </c>
      <c r="AF264" s="46">
        <f>'Inputs (2)'!AA43</f>
        <v>8359.399</v>
      </c>
      <c r="AG264" s="12">
        <f>'Inputs (2)'!AB43</f>
        <v>8359.399</v>
      </c>
      <c r="AH264" s="12">
        <f>'Inputs (2)'!AC43</f>
        <v>8698.233</v>
      </c>
      <c r="AI264" s="12">
        <f>'Inputs (2)'!AD43</f>
        <v>8698.233</v>
      </c>
      <c r="AJ264" s="12">
        <f>AI264+AJ268</f>
        <v>8698.233</v>
      </c>
      <c r="AK264" s="12">
        <f>AJ264+AK268</f>
        <v>8698.233</v>
      </c>
      <c r="AL264" s="12">
        <f>AK264</f>
        <v>8698.233</v>
      </c>
      <c r="AM264" s="12">
        <f>AL264+AM268</f>
        <v>8698.233</v>
      </c>
      <c r="AN264" s="12">
        <f>AM264+AN268</f>
        <v>8698.233</v>
      </c>
      <c r="AO264" s="12">
        <f>AN264+AO268</f>
        <v>8698.233</v>
      </c>
      <c r="AP264" s="12">
        <f>AO264+AP268</f>
        <v>8698.233</v>
      </c>
      <c r="AQ264" s="12">
        <f>AP264</f>
        <v>8698.233</v>
      </c>
      <c r="AR264" s="12">
        <f>AQ264+AR268</f>
        <v>8698.233</v>
      </c>
      <c r="AS264" s="12">
        <f>AR264+AS268</f>
        <v>8698.233</v>
      </c>
      <c r="AT264" s="12">
        <f>AS264+AT268</f>
        <v>8698.233</v>
      </c>
      <c r="AU264" s="12">
        <f>AT264+AU268</f>
        <v>8698.233</v>
      </c>
      <c r="AV264" s="12">
        <f>AU264</f>
        <v>8698.233</v>
      </c>
      <c r="AW264" s="12">
        <f>AV264+AW268</f>
        <v>8698.233</v>
      </c>
      <c r="AX264" s="12">
        <f>AW264+AX268</f>
        <v>8698.233</v>
      </c>
      <c r="AY264" s="12">
        <f>AX264+AY268</f>
        <v>8698.233</v>
      </c>
      <c r="AZ264" s="12">
        <f>AY264+AZ268</f>
        <v>8698.233</v>
      </c>
      <c r="BA264" s="12">
        <f>AZ264</f>
        <v>8698.233</v>
      </c>
      <c r="BB264" s="12">
        <f>BA264+BB268</f>
        <v>8698.233</v>
      </c>
      <c r="BC264" s="12">
        <f>BB264+BC268</f>
        <v>8698.233</v>
      </c>
      <c r="BD264" s="12">
        <f>BC264+BD268</f>
        <v>8698.233</v>
      </c>
      <c r="BE264" s="12">
        <f>BD264+BE268</f>
        <v>8698.233</v>
      </c>
      <c r="BF264" s="12">
        <f>BE264</f>
        <v>8698.233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hidden="1" outlineLevel="1" customFormat="1" s="66">
      <c r="A265" s="37" t="n"/>
      <c r="B265" s="37" t="n"/>
      <c r="C265" s="67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  <c r="AO265" s="42" t="n"/>
      <c r="AP265" s="42" t="n"/>
      <c r="AQ265" s="42" t="n"/>
      <c r="AR265" s="42" t="n"/>
      <c r="AS265" s="42" t="n"/>
      <c r="AT265" s="42" t="n"/>
      <c r="AU265" s="42" t="n"/>
      <c r="AV265" s="42" t="n"/>
      <c r="AW265" s="42" t="n"/>
      <c r="AX265" s="42" t="n"/>
      <c r="AY265" s="42" t="n"/>
      <c r="AZ265" s="42" t="n"/>
      <c r="BA265" s="42" t="n"/>
      <c r="BB265" s="42" t="n"/>
      <c r="BC265" s="42" t="n"/>
      <c r="BD265" s="42" t="n"/>
      <c r="BE265" s="42" t="n"/>
      <c r="BF265" s="42" t="n"/>
      <c r="BG265" s="42" t="n"/>
      <c r="BH265" s="42" t="n"/>
      <c r="BI265" s="42" t="n"/>
      <c r="BJ265" s="42" t="n"/>
      <c r="BK265" s="42" t="n"/>
      <c r="BL265" s="42" t="n"/>
      <c r="BM265" s="42" t="n"/>
      <c r="BN265" s="42" t="n"/>
      <c r="BO265" s="42" t="n"/>
      <c r="BP265" s="42" t="n"/>
      <c r="BQ265" s="42" t="n"/>
      <c r="BR265" s="42" t="n"/>
      <c r="BS265" s="42" t="n"/>
      <c r="BT265" s="42" t="n"/>
      <c r="BU265" s="42" t="n"/>
      <c r="BV265" s="42" t="n"/>
      <c r="BW265" s="42" t="n"/>
      <c r="BX265" s="42" t="n"/>
      <c r="BY265" s="42" t="n"/>
      <c r="BZ265" s="42" t="n"/>
      <c r="CA265" s="42" t="n"/>
      <c r="CB265" s="42" t="n"/>
      <c r="CC265" s="42" t="n"/>
      <c r="CD265" s="42" t="n"/>
      <c r="CE265" s="42" t="n"/>
      <c r="CF265" s="42" t="n"/>
      <c r="CG265" s="42" t="n"/>
      <c r="CH265" s="42" t="n"/>
      <c r="CI265" s="42" t="n"/>
      <c r="CJ265" s="42" t="n"/>
      <c r="CK265" s="42" t="n"/>
      <c r="CL265" s="42" t="n"/>
      <c r="CM265" s="42" t="n"/>
      <c r="CN265" s="42" t="n"/>
      <c r="CO265" s="42" t="n"/>
      <c r="CP265" s="42" t="n"/>
      <c r="CQ265" s="42" t="n"/>
      <c r="CR265" s="42" t="n"/>
      <c r="CS265" s="42" t="n"/>
      <c r="CT265" s="42" t="n"/>
      <c r="CU265" s="42" t="n"/>
      <c r="CV265" s="42" t="n"/>
      <c r="CW265" s="42" t="n"/>
      <c r="CX265" s="42" t="n"/>
      <c r="CY265" s="42" t="n"/>
    </row>
    <row r="266" hidden="1" outlineLevel="1" customFormat="1" s="66">
      <c r="A266" s="37" t="n"/>
      <c r="B266" s="37" t="n"/>
      <c r="C266" s="67" t="inlineStr">
        <is>
          <t>Diluted Shares outstanding</t>
        </is>
      </c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  <c r="AO266" s="42" t="n"/>
      <c r="AP266" s="42" t="n"/>
      <c r="AQ266" s="42" t="n"/>
      <c r="AR266" s="42" t="n"/>
      <c r="AS266" s="42" t="n"/>
      <c r="AT266" s="42" t="n"/>
      <c r="AU266" s="42" t="n"/>
      <c r="AV266" s="42" t="n"/>
      <c r="AW266" s="42" t="n"/>
      <c r="AX266" s="42" t="n"/>
      <c r="AY266" s="42" t="n"/>
      <c r="AZ266" s="42" t="n"/>
      <c r="BA266" s="42" t="n"/>
      <c r="BB266" s="42" t="n"/>
      <c r="BC266" s="42" t="n"/>
      <c r="BD266" s="42" t="n"/>
      <c r="BE266" s="42" t="n"/>
      <c r="BF266" s="42" t="n"/>
      <c r="BG266" s="42" t="n"/>
      <c r="BH266" s="42" t="n"/>
      <c r="BI266" s="42" t="n"/>
      <c r="BJ266" s="42" t="n"/>
      <c r="BK266" s="42" t="n"/>
      <c r="BL266" s="42" t="n"/>
      <c r="BM266" s="42" t="n"/>
      <c r="BN266" s="42" t="n"/>
      <c r="BO266" s="42" t="n"/>
      <c r="BP266" s="42" t="n"/>
      <c r="BQ266" s="42" t="n"/>
      <c r="BR266" s="42" t="n"/>
      <c r="BS266" s="42" t="n"/>
      <c r="BT266" s="42" t="n"/>
      <c r="BU266" s="42" t="n"/>
      <c r="BV266" s="42" t="n"/>
      <c r="BW266" s="42" t="n"/>
      <c r="BX266" s="42" t="n"/>
      <c r="BY266" s="42" t="n"/>
      <c r="BZ266" s="42" t="n"/>
      <c r="CA266" s="42" t="n"/>
      <c r="CB266" s="42" t="n"/>
      <c r="CC266" s="42" t="n"/>
      <c r="CD266" s="42" t="n"/>
      <c r="CE266" s="42" t="n"/>
      <c r="CF266" s="42" t="n"/>
      <c r="CG266" s="42" t="n"/>
      <c r="CH266" s="42" t="n"/>
      <c r="CI266" s="42" t="n"/>
      <c r="CJ266" s="42" t="n"/>
      <c r="CK266" s="42" t="n"/>
      <c r="CL266" s="42" t="n"/>
      <c r="CM266" s="42" t="n"/>
      <c r="CN266" s="42" t="n"/>
      <c r="CO266" s="42" t="n"/>
      <c r="CP266" s="42" t="n"/>
      <c r="CQ266" s="42" t="n"/>
      <c r="CR266" s="42" t="n"/>
      <c r="CS266" s="42" t="n"/>
      <c r="CT266" s="42" t="n"/>
      <c r="CU266" s="42" t="n"/>
      <c r="CV266" s="42" t="n"/>
      <c r="CW266" s="42" t="n"/>
      <c r="CX266" s="42" t="n"/>
      <c r="CY266" s="42" t="n"/>
    </row>
    <row r="267" hidden="1" outlineLevel="1" customFormat="1" s="66">
      <c r="A267" s="37" t="n"/>
      <c r="B267" s="37" t="n"/>
      <c r="C267" s="67" t="inlineStr">
        <is>
          <t>Treasury share $ repurchases</t>
        </is>
      </c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11" t="n"/>
      <c r="AI267" s="11" t="n"/>
      <c r="AJ267" s="11" t="n"/>
      <c r="AK267" s="11" t="n"/>
      <c r="AL267" s="42" t="n"/>
      <c r="AM267" s="11" t="n"/>
      <c r="AN267" s="11" t="n"/>
      <c r="AO267" s="11" t="n"/>
      <c r="AP267" s="11" t="n"/>
      <c r="AQ267" s="42" t="n"/>
      <c r="AR267" s="11" t="n"/>
      <c r="AS267" s="11" t="n"/>
      <c r="AT267" s="11" t="n"/>
      <c r="AU267" s="11" t="n"/>
      <c r="AV267" s="42" t="n"/>
      <c r="AW267" s="11" t="n"/>
      <c r="AX267" s="11" t="n"/>
      <c r="AY267" s="11" t="n"/>
      <c r="AZ267" s="11" t="n"/>
      <c r="BA267" s="42" t="n"/>
      <c r="BB267" s="11" t="n"/>
      <c r="BC267" s="11" t="n"/>
      <c r="BD267" s="11" t="n"/>
      <c r="BE267" s="11" t="n"/>
      <c r="BF267" s="42" t="n"/>
      <c r="BG267" s="11" t="n"/>
      <c r="BH267" s="11" t="n"/>
      <c r="BI267" s="11" t="n"/>
      <c r="BJ267" s="11" t="n"/>
      <c r="BK267" s="42" t="n"/>
      <c r="BL267" s="11" t="n"/>
      <c r="BM267" s="11" t="n"/>
      <c r="BN267" s="11" t="n"/>
      <c r="BO267" s="11" t="n"/>
      <c r="BP267" s="42" t="n"/>
      <c r="BQ267" s="11" t="n"/>
      <c r="BR267" s="11" t="n"/>
      <c r="BS267" s="11" t="n"/>
      <c r="BT267" s="11" t="n"/>
      <c r="BU267" s="42" t="n"/>
      <c r="BV267" s="11" t="n"/>
      <c r="BW267" s="11" t="n"/>
      <c r="BX267" s="11" t="n"/>
      <c r="BY267" s="11" t="n"/>
      <c r="BZ267" s="42" t="n"/>
      <c r="CA267" s="11" t="n"/>
      <c r="CB267" s="11" t="n"/>
      <c r="CC267" s="11" t="n"/>
      <c r="CD267" s="11" t="n"/>
      <c r="CE267" s="42" t="n"/>
      <c r="CF267" s="11" t="n"/>
      <c r="CG267" s="11" t="n"/>
      <c r="CH267" s="11" t="n"/>
      <c r="CI267" s="11" t="n"/>
      <c r="CJ267" s="42" t="n"/>
      <c r="CK267" s="11" t="n"/>
      <c r="CL267" s="11" t="n"/>
      <c r="CM267" s="11" t="n"/>
      <c r="CN267" s="11" t="n"/>
      <c r="CO267" s="42" t="n"/>
      <c r="CP267" s="11" t="n"/>
      <c r="CQ267" s="11" t="n"/>
      <c r="CR267" s="11" t="n"/>
      <c r="CS267" s="11" t="n"/>
      <c r="CT267" s="42" t="n"/>
      <c r="CU267" s="11" t="n"/>
      <c r="CV267" s="11" t="n"/>
      <c r="CW267" s="11" t="n"/>
      <c r="CX267" s="11" t="n"/>
      <c r="CY267" s="42" t="n"/>
    </row>
    <row r="268" hidden="1" outlineLevel="1" customFormat="1" s="66">
      <c r="A268" s="37" t="n"/>
      <c r="B268" s="37" t="n"/>
      <c r="C268" s="67" t="inlineStr">
        <is>
          <t>Value of shares issued</t>
        </is>
      </c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11" t="n"/>
      <c r="AI268" s="11" t="n"/>
      <c r="AJ268" s="11" t="n"/>
      <c r="AK268" s="11" t="n"/>
      <c r="AL268" s="42" t="n"/>
      <c r="AM268" s="11" t="n"/>
      <c r="AN268" s="11" t="n"/>
      <c r="AO268" s="11" t="n"/>
      <c r="AP268" s="11" t="n"/>
      <c r="AQ268" s="42" t="n"/>
      <c r="AR268" s="11" t="n"/>
      <c r="AS268" s="11" t="n"/>
      <c r="AT268" s="11" t="n"/>
      <c r="AU268" s="11" t="n"/>
      <c r="AV268" s="42" t="n"/>
      <c r="AW268" s="11" t="n"/>
      <c r="AX268" s="11" t="n"/>
      <c r="AY268" s="11" t="n"/>
      <c r="AZ268" s="11" t="n"/>
      <c r="BA268" s="42" t="n"/>
      <c r="BB268" s="11" t="n"/>
      <c r="BC268" s="11" t="n"/>
      <c r="BD268" s="11" t="n"/>
      <c r="BE268" s="11" t="n"/>
      <c r="BF268" s="42" t="n"/>
      <c r="BG268" s="11" t="n"/>
      <c r="BH268" s="11" t="n"/>
      <c r="BI268" s="11" t="n"/>
      <c r="BJ268" s="11" t="n"/>
      <c r="BK268" s="42" t="n"/>
      <c r="BL268" s="11" t="n"/>
      <c r="BM268" s="11" t="n"/>
      <c r="BN268" s="11" t="n"/>
      <c r="BO268" s="11" t="n"/>
      <c r="BP268" s="42" t="n"/>
      <c r="BQ268" s="11" t="n"/>
      <c r="BR268" s="11" t="n"/>
      <c r="BS268" s="11" t="n"/>
      <c r="BT268" s="11" t="n"/>
      <c r="BU268" s="42" t="n"/>
      <c r="BV268" s="11" t="n"/>
      <c r="BW268" s="11" t="n"/>
      <c r="BX268" s="11" t="n"/>
      <c r="BY268" s="11" t="n"/>
      <c r="BZ268" s="42" t="n"/>
      <c r="CA268" s="11" t="n"/>
      <c r="CB268" s="11" t="n"/>
      <c r="CC268" s="11" t="n"/>
      <c r="CD268" s="11" t="n"/>
      <c r="CE268" s="42" t="n"/>
      <c r="CF268" s="11" t="n"/>
      <c r="CG268" s="11" t="n"/>
      <c r="CH268" s="11" t="n"/>
      <c r="CI268" s="11" t="n"/>
      <c r="CJ268" s="42" t="n"/>
      <c r="CK268" s="11" t="n"/>
      <c r="CL268" s="11" t="n"/>
      <c r="CM268" s="11" t="n"/>
      <c r="CN268" s="11" t="n"/>
      <c r="CO268" s="42" t="n"/>
      <c r="CP268" s="11" t="n"/>
      <c r="CQ268" s="11" t="n"/>
      <c r="CR268" s="11" t="n"/>
      <c r="CS268" s="11" t="n"/>
      <c r="CT268" s="42" t="n"/>
      <c r="CU268" s="11" t="n"/>
      <c r="CV268" s="11" t="n"/>
      <c r="CW268" s="11" t="n"/>
      <c r="CX268" s="11" t="n"/>
      <c r="CY268" s="42" t="n"/>
    </row>
    <row r="269" hidden="1" outlineLevel="1" customFormat="1" s="66">
      <c r="A269" s="37" t="n"/>
      <c r="B269" s="37" t="n"/>
      <c r="C269" s="67" t="inlineStr">
        <is>
          <t>Expected average share price</t>
        </is>
      </c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68">
        <f>AF269*(1+AH270)</f>
        <v>0</v>
      </c>
      <c r="AI269" s="68">
        <f>AH269*(1+AI270)</f>
        <v>0</v>
      </c>
      <c r="AJ269" s="68">
        <f>AH269*(1+AJ270)</f>
        <v>0</v>
      </c>
      <c r="AK269" s="68">
        <f>AJ269*(1+AK270)</f>
        <v>0</v>
      </c>
      <c r="AL269" s="42" t="n"/>
      <c r="AM269" s="68">
        <f>AK269*(1+AM270)</f>
        <v>0</v>
      </c>
      <c r="AN269" s="68">
        <f>AM269*(1+AN270)</f>
        <v>0</v>
      </c>
      <c r="AO269" s="68">
        <f>AM269*(1+AO270)</f>
        <v>0</v>
      </c>
      <c r="AP269" s="68">
        <f>AO269*(1+AP270)</f>
        <v>0</v>
      </c>
      <c r="AQ269" s="42" t="n"/>
      <c r="AR269" s="68">
        <f>AP269*(1+AR270)</f>
        <v>0</v>
      </c>
      <c r="AS269" s="68">
        <f>AR269*(1+AS270)</f>
        <v>0</v>
      </c>
      <c r="AT269" s="68">
        <f>AR269*(1+AT270)</f>
        <v>0</v>
      </c>
      <c r="AU269" s="68">
        <f>AT269*(1+AU270)</f>
        <v>0</v>
      </c>
      <c r="AV269" s="42" t="n"/>
      <c r="AW269" s="68">
        <f>AU269*(1+AW270)</f>
        <v>0</v>
      </c>
      <c r="AX269" s="68">
        <f>AW269*(1+AX270)</f>
        <v>0</v>
      </c>
      <c r="AY269" s="68">
        <f>AW269*(1+AY270)</f>
        <v>0</v>
      </c>
      <c r="AZ269" s="68">
        <f>AY269*(1+AZ270)</f>
        <v>0</v>
      </c>
      <c r="BA269" s="42" t="n"/>
      <c r="BB269" s="68">
        <f>AZ269*(1+BB270)</f>
        <v>0</v>
      </c>
      <c r="BC269" s="68">
        <f>BB269*(1+BC270)</f>
        <v>0</v>
      </c>
      <c r="BD269" s="68">
        <f>BB269*(1+BD270)</f>
        <v>0</v>
      </c>
      <c r="BE269" s="68">
        <f>BD269*(1+BE270)</f>
        <v>0</v>
      </c>
      <c r="BF269" s="42" t="n"/>
      <c r="BG269" s="68" t="n"/>
      <c r="BH269" s="68" t="n"/>
      <c r="BI269" s="68" t="n"/>
      <c r="BJ269" s="68" t="n"/>
      <c r="BK269" s="42" t="n"/>
      <c r="BL269" s="68" t="n"/>
      <c r="BM269" s="68" t="n"/>
      <c r="BN269" s="68" t="n"/>
      <c r="BO269" s="68" t="n"/>
      <c r="BP269" s="42" t="n"/>
      <c r="BQ269" s="68" t="n"/>
      <c r="BR269" s="68" t="n"/>
      <c r="BS269" s="68" t="n"/>
      <c r="BT269" s="68" t="n"/>
      <c r="BU269" s="42" t="n"/>
      <c r="BV269" s="68" t="n"/>
      <c r="BW269" s="68" t="n"/>
      <c r="BX269" s="68" t="n"/>
      <c r="BY269" s="68" t="n"/>
      <c r="BZ269" s="42" t="n"/>
      <c r="CA269" s="68" t="n"/>
      <c r="CB269" s="68" t="n"/>
      <c r="CC269" s="68" t="n"/>
      <c r="CD269" s="68" t="n"/>
      <c r="CE269" s="42" t="n"/>
      <c r="CF269" s="68" t="n"/>
      <c r="CG269" s="68" t="n"/>
      <c r="CH269" s="68" t="n"/>
      <c r="CI269" s="68" t="n"/>
      <c r="CJ269" s="42" t="n"/>
      <c r="CK269" s="68" t="n"/>
      <c r="CL269" s="68" t="n"/>
      <c r="CM269" s="68" t="n"/>
      <c r="CN269" s="68" t="n"/>
      <c r="CO269" s="42" t="n"/>
      <c r="CP269" s="68" t="n"/>
      <c r="CQ269" s="68" t="n"/>
      <c r="CR269" s="68" t="n"/>
      <c r="CS269" s="68" t="n"/>
      <c r="CT269" s="42" t="n"/>
      <c r="CU269" s="68" t="n"/>
      <c r="CV269" s="68" t="n"/>
      <c r="CW269" s="68" t="n"/>
      <c r="CX269" s="68" t="n"/>
      <c r="CY269" s="42" t="n"/>
    </row>
    <row r="270" hidden="1" outlineLevel="1" customFormat="1" s="66">
      <c r="A270" s="37" t="n"/>
      <c r="B270" s="37" t="n"/>
      <c r="C270" s="67" t="inlineStr">
        <is>
          <t>Consensus EPS growth</t>
        </is>
      </c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58">
        <f>$AL$275</f>
        <v>0</v>
      </c>
      <c r="AI270" s="58">
        <f>$AL$275</f>
        <v>0</v>
      </c>
      <c r="AJ270" s="58">
        <f>$AL$275</f>
        <v>0</v>
      </c>
      <c r="AK270" s="58">
        <f>$AL$275</f>
        <v>0</v>
      </c>
      <c r="AL270" s="42" t="n"/>
      <c r="AM270" s="58">
        <f>$AL$275</f>
        <v>0</v>
      </c>
      <c r="AN270" s="58">
        <f>$AL$275</f>
        <v>0</v>
      </c>
      <c r="AO270" s="58">
        <f>$AL$275</f>
        <v>0</v>
      </c>
      <c r="AP270" s="58">
        <f>$AL$275</f>
        <v>0</v>
      </c>
      <c r="AQ270" s="42" t="n"/>
      <c r="AR270" s="58">
        <f>$AL$275</f>
        <v>0</v>
      </c>
      <c r="AS270" s="58">
        <f>$AL$275</f>
        <v>0</v>
      </c>
      <c r="AT270" s="58">
        <f>$AL$275</f>
        <v>0</v>
      </c>
      <c r="AU270" s="58">
        <f>$AL$275</f>
        <v>0</v>
      </c>
      <c r="AV270" s="42" t="n"/>
      <c r="AW270" s="58">
        <f>$AL$275</f>
        <v>0</v>
      </c>
      <c r="AX270" s="58">
        <f>$AL$275</f>
        <v>0</v>
      </c>
      <c r="AY270" s="58">
        <f>$AL$275</f>
        <v>0</v>
      </c>
      <c r="AZ270" s="58">
        <f>$AL$275</f>
        <v>0</v>
      </c>
      <c r="BA270" s="42" t="n"/>
      <c r="BB270" s="58">
        <f>$AL$275</f>
        <v>0</v>
      </c>
      <c r="BC270" s="58">
        <f>$AL$275</f>
        <v>0</v>
      </c>
      <c r="BD270" s="58">
        <f>$AL$275</f>
        <v>0</v>
      </c>
      <c r="BE270" s="58">
        <f>$AL$275</f>
        <v>0</v>
      </c>
      <c r="BF270" s="42" t="n"/>
      <c r="BG270" s="58" t="n"/>
      <c r="BH270" s="58" t="n"/>
      <c r="BI270" s="58" t="n"/>
      <c r="BJ270" s="58" t="n"/>
      <c r="BK270" s="42" t="n"/>
      <c r="BL270" s="58" t="n"/>
      <c r="BM270" s="58" t="n"/>
      <c r="BN270" s="58" t="n"/>
      <c r="BO270" s="58" t="n"/>
      <c r="BP270" s="42" t="n"/>
      <c r="BQ270" s="58" t="n"/>
      <c r="BR270" s="58" t="n"/>
      <c r="BS270" s="58" t="n"/>
      <c r="BT270" s="58" t="n"/>
      <c r="BU270" s="42" t="n"/>
      <c r="BV270" s="58" t="n"/>
      <c r="BW270" s="58" t="n"/>
      <c r="BX270" s="58" t="n"/>
      <c r="BY270" s="58" t="n"/>
      <c r="BZ270" s="42" t="n"/>
      <c r="CA270" s="58" t="n"/>
      <c r="CB270" s="58" t="n"/>
      <c r="CC270" s="58" t="n"/>
      <c r="CD270" s="58" t="n"/>
      <c r="CE270" s="42" t="n"/>
      <c r="CF270" s="58" t="n"/>
      <c r="CG270" s="58" t="n"/>
      <c r="CH270" s="58" t="n"/>
      <c r="CI270" s="58" t="n"/>
      <c r="CJ270" s="42" t="n"/>
      <c r="CK270" s="58" t="n"/>
      <c r="CL270" s="58" t="n"/>
      <c r="CM270" s="58" t="n"/>
      <c r="CN270" s="58" t="n"/>
      <c r="CO270" s="42" t="n"/>
      <c r="CP270" s="58" t="n"/>
      <c r="CQ270" s="58" t="n"/>
      <c r="CR270" s="58" t="n"/>
      <c r="CS270" s="58" t="n"/>
      <c r="CT270" s="42" t="n"/>
      <c r="CU270" s="58" t="n"/>
      <c r="CV270" s="58" t="n"/>
      <c r="CW270" s="58" t="n"/>
      <c r="CX270" s="58" t="n"/>
      <c r="CY270" s="42" t="n"/>
    </row>
    <row r="271" hidden="1" outlineLevel="1" customFormat="1" s="66">
      <c r="A271" s="37" t="n"/>
      <c r="B271" s="37" t="n"/>
      <c r="C271" s="67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12" t="n"/>
      <c r="AI271" s="12" t="n"/>
      <c r="AJ271" s="12" t="n"/>
      <c r="AK271" s="12" t="n"/>
      <c r="AL271" s="42" t="n"/>
      <c r="AM271" s="12" t="n"/>
      <c r="AN271" s="12" t="n"/>
      <c r="AO271" s="12" t="n"/>
      <c r="AP271" s="12" t="n"/>
      <c r="AQ271" s="42" t="n"/>
      <c r="AR271" s="12" t="n"/>
      <c r="AS271" s="12" t="n"/>
      <c r="AT271" s="12" t="n"/>
      <c r="AU271" s="12" t="n"/>
      <c r="AV271" s="42" t="n"/>
      <c r="AW271" s="12" t="n"/>
      <c r="AX271" s="12" t="n"/>
      <c r="AY271" s="12" t="n"/>
      <c r="AZ271" s="12" t="n"/>
      <c r="BA271" s="42" t="n"/>
      <c r="BB271" s="12" t="n"/>
      <c r="BC271" s="12" t="n"/>
      <c r="BD271" s="12" t="n"/>
      <c r="BE271" s="12" t="n"/>
      <c r="BF271" s="42" t="n"/>
      <c r="BG271" s="12" t="n"/>
      <c r="BH271" s="12" t="n"/>
      <c r="BI271" s="12" t="n"/>
      <c r="BJ271" s="12" t="n"/>
      <c r="BK271" s="42" t="n"/>
      <c r="BL271" s="12" t="n"/>
      <c r="BM271" s="12" t="n"/>
      <c r="BN271" s="12" t="n"/>
      <c r="BO271" s="12" t="n"/>
      <c r="BP271" s="42" t="n"/>
      <c r="BQ271" s="12" t="n"/>
      <c r="BR271" s="12" t="n"/>
      <c r="BS271" s="12" t="n"/>
      <c r="BT271" s="12" t="n"/>
      <c r="BU271" s="42" t="n"/>
      <c r="BV271" s="12" t="n"/>
      <c r="BW271" s="12" t="n"/>
      <c r="BX271" s="12" t="n"/>
      <c r="BY271" s="12" t="n"/>
      <c r="BZ271" s="42" t="n"/>
      <c r="CA271" s="12" t="n"/>
      <c r="CB271" s="12" t="n"/>
      <c r="CC271" s="12" t="n"/>
      <c r="CD271" s="12" t="n"/>
      <c r="CE271" s="42" t="n"/>
      <c r="CF271" s="12" t="n"/>
      <c r="CG271" s="12" t="n"/>
      <c r="CH271" s="12" t="n"/>
      <c r="CI271" s="12" t="n"/>
      <c r="CJ271" s="42" t="n"/>
      <c r="CK271" s="12" t="n"/>
      <c r="CL271" s="12" t="n"/>
      <c r="CM271" s="12" t="n"/>
      <c r="CN271" s="12" t="n"/>
      <c r="CO271" s="42" t="n"/>
      <c r="CP271" s="12" t="n"/>
      <c r="CQ271" s="12" t="n"/>
      <c r="CR271" s="12" t="n"/>
      <c r="CS271" s="12" t="n"/>
      <c r="CT271" s="42" t="n"/>
      <c r="CU271" s="12" t="n"/>
      <c r="CV271" s="12" t="n"/>
      <c r="CW271" s="12" t="n"/>
      <c r="CX271" s="12" t="n"/>
      <c r="CY271" s="42" t="n"/>
    </row>
    <row r="272" hidden="1" outlineLevel="1" customFormat="1" s="66">
      <c r="A272" s="37" t="n"/>
      <c r="B272" s="37" t="n"/>
      <c r="C272" s="67" t="inlineStr">
        <is>
          <t>Shares repurchased</t>
        </is>
      </c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69" t="str">
        <f>IFERROR(-AH267/AH269,"")</f>
        <v/>
      </c>
      <c r="AI272" s="69" t="str">
        <f>IFERROR(-AI267/AI269,"")</f>
        <v/>
      </c>
      <c r="AJ272" s="69" t="str">
        <f>IFERROR(-AJ267/AJ269,"")</f>
        <v/>
      </c>
      <c r="AK272" s="69" t="str">
        <f>IFERROR(-AK267/AK269,"")</f>
        <v/>
      </c>
      <c r="AL272" s="42" t="n"/>
      <c r="AM272" s="69" t="str">
        <f>IFERROR(-AM267/AM269,"")</f>
        <v/>
      </c>
      <c r="AN272" s="69" t="str">
        <f>IFERROR(-AN267/AN269,"")</f>
        <v/>
      </c>
      <c r="AO272" s="69" t="str">
        <f>IFERROR(-AO267/AO269,"")</f>
        <v/>
      </c>
      <c r="AP272" s="69" t="str">
        <f>IFERROR(-AP267/AP269,"")</f>
        <v/>
      </c>
      <c r="AQ272" s="42" t="n"/>
      <c r="AR272" s="69" t="str">
        <f>IFERROR(-AR267/AR269,"")</f>
        <v/>
      </c>
      <c r="AS272" s="69" t="str">
        <f>IFERROR(-AS267/AS269,"")</f>
        <v/>
      </c>
      <c r="AT272" s="69" t="str">
        <f>IFERROR(-AT267/AT269,"")</f>
        <v/>
      </c>
      <c r="AU272" s="69" t="str">
        <f>IFERROR(-AU267/AU269,"")</f>
        <v/>
      </c>
      <c r="AV272" s="42" t="n"/>
      <c r="AW272" s="69" t="str">
        <f>IFERROR(-AW267/AW269,"")</f>
        <v/>
      </c>
      <c r="AX272" s="69" t="str">
        <f>IFERROR(-AX267/AX269,"")</f>
        <v/>
      </c>
      <c r="AY272" s="69" t="str">
        <f>IFERROR(-AY267/AY269,"")</f>
        <v/>
      </c>
      <c r="AZ272" s="69" t="str">
        <f>IFERROR(-AZ267/AZ269,"")</f>
        <v/>
      </c>
      <c r="BA272" s="42" t="n"/>
      <c r="BB272" s="69" t="str">
        <f>IFERROR(-BB267/BB269,"")</f>
        <v/>
      </c>
      <c r="BC272" s="69" t="str">
        <f>IFERROR(-BC267/BC269,"")</f>
        <v/>
      </c>
      <c r="BD272" s="69" t="str">
        <f>IFERROR(-BD267/BD269,"")</f>
        <v/>
      </c>
      <c r="BE272" s="69" t="str">
        <f>IFERROR(-BE267/BE269,"")</f>
        <v/>
      </c>
      <c r="BF272" s="42" t="n"/>
      <c r="BG272" s="69" t="n"/>
      <c r="BH272" s="69" t="n"/>
      <c r="BI272" s="69" t="n"/>
      <c r="BJ272" s="69" t="n"/>
      <c r="BK272" s="42" t="n"/>
      <c r="BL272" s="69" t="n"/>
      <c r="BM272" s="69" t="n"/>
      <c r="BN272" s="69" t="n"/>
      <c r="BO272" s="69" t="n"/>
      <c r="BP272" s="42" t="n"/>
      <c r="BQ272" s="69" t="n"/>
      <c r="BR272" s="69" t="n"/>
      <c r="BS272" s="69" t="n"/>
      <c r="BT272" s="69" t="n"/>
      <c r="BU272" s="42" t="n"/>
      <c r="BV272" s="69" t="n"/>
      <c r="BW272" s="69" t="n"/>
      <c r="BX272" s="69" t="n"/>
      <c r="BY272" s="69" t="n"/>
      <c r="BZ272" s="42" t="n"/>
      <c r="CA272" s="69" t="n"/>
      <c r="CB272" s="69" t="n"/>
      <c r="CC272" s="69" t="n"/>
      <c r="CD272" s="69" t="n"/>
      <c r="CE272" s="42" t="n"/>
      <c r="CF272" s="69" t="n"/>
      <c r="CG272" s="69" t="n"/>
      <c r="CH272" s="69" t="n"/>
      <c r="CI272" s="69" t="n"/>
      <c r="CJ272" s="42" t="n"/>
      <c r="CK272" s="69" t="n"/>
      <c r="CL272" s="69" t="n"/>
      <c r="CM272" s="69" t="n"/>
      <c r="CN272" s="69" t="n"/>
      <c r="CO272" s="42" t="n"/>
      <c r="CP272" s="69" t="n"/>
      <c r="CQ272" s="69" t="n"/>
      <c r="CR272" s="69" t="n"/>
      <c r="CS272" s="69" t="n"/>
      <c r="CT272" s="42" t="n"/>
      <c r="CU272" s="69" t="n"/>
      <c r="CV272" s="69" t="n"/>
      <c r="CW272" s="69" t="n"/>
      <c r="CX272" s="69" t="n"/>
      <c r="CY272" s="42" t="n"/>
    </row>
    <row r="273" hidden="1" outlineLevel="1" customFormat="1" s="66">
      <c r="A273" s="37" t="n"/>
      <c r="B273" s="37" t="n"/>
      <c r="C273" s="67" t="inlineStr">
        <is>
          <t>Shares issued</t>
        </is>
      </c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9" t="n"/>
      <c r="AG273" s="42" t="n"/>
      <c r="AH273" s="69" t="str">
        <f>IFERROR(AH268/AH269,"")</f>
        <v/>
      </c>
      <c r="AI273" s="69" t="str">
        <f>IFERROR(AI268/AI269,"")</f>
        <v/>
      </c>
      <c r="AJ273" s="69" t="str">
        <f>IFERROR(AJ268/AJ269,"")</f>
        <v/>
      </c>
      <c r="AK273" s="69" t="str">
        <f>IFERROR(AK268/AK269,"")</f>
        <v/>
      </c>
      <c r="AL273" s="42" t="n"/>
      <c r="AM273" s="69" t="str">
        <f>IFERROR(AM268/AM269,"")</f>
        <v/>
      </c>
      <c r="AN273" s="69" t="str">
        <f>IFERROR(AN268/AN269,"")</f>
        <v/>
      </c>
      <c r="AO273" s="69" t="str">
        <f>IFERROR(AO268/AO269,"")</f>
        <v/>
      </c>
      <c r="AP273" s="69" t="str">
        <f>IFERROR(AP268/AP269,"")</f>
        <v/>
      </c>
      <c r="AQ273" s="42" t="n"/>
      <c r="AR273" s="69" t="str">
        <f>IFERROR(AR268/AR269,"")</f>
        <v/>
      </c>
      <c r="AS273" s="69" t="str">
        <f>IFERROR(AS268/AS269,"")</f>
        <v/>
      </c>
      <c r="AT273" s="69" t="str">
        <f>IFERROR(AT268/AT269,"")</f>
        <v/>
      </c>
      <c r="AU273" s="69" t="str">
        <f>IFERROR(AU268/AU269,"")</f>
        <v/>
      </c>
      <c r="AV273" s="42" t="n"/>
      <c r="AW273" s="69" t="str">
        <f>IFERROR(AW268/AW269,"")</f>
        <v/>
      </c>
      <c r="AX273" s="69" t="str">
        <f>IFERROR(AX268/AX269,"")</f>
        <v/>
      </c>
      <c r="AY273" s="69" t="str">
        <f>IFERROR(AY268/AY269,"")</f>
        <v/>
      </c>
      <c r="AZ273" s="69" t="str">
        <f>IFERROR(AZ268/AZ269,"")</f>
        <v/>
      </c>
      <c r="BA273" s="42" t="n"/>
      <c r="BB273" s="69" t="str">
        <f>IFERROR(BB268/BB269,"")</f>
        <v/>
      </c>
      <c r="BC273" s="69" t="str">
        <f>IFERROR(BC268/BC269,"")</f>
        <v/>
      </c>
      <c r="BD273" s="69" t="str">
        <f>IFERROR(BD268/BD269,"")</f>
        <v/>
      </c>
      <c r="BE273" s="69" t="str">
        <f>IFERROR(BE268/BE269,"")</f>
        <v/>
      </c>
      <c r="BF273" s="42" t="n"/>
      <c r="BG273" s="69" t="n"/>
      <c r="BH273" s="69" t="n"/>
      <c r="BI273" s="69" t="n"/>
      <c r="BJ273" s="69" t="n"/>
      <c r="BK273" s="42" t="n"/>
      <c r="BL273" s="69" t="n"/>
      <c r="BM273" s="69" t="n"/>
      <c r="BN273" s="69" t="n"/>
      <c r="BO273" s="69" t="n"/>
      <c r="BP273" s="42" t="n"/>
      <c r="BQ273" s="69" t="n"/>
      <c r="BR273" s="69" t="n"/>
      <c r="BS273" s="69" t="n"/>
      <c r="BT273" s="69" t="n"/>
      <c r="BU273" s="42" t="n"/>
      <c r="BV273" s="69" t="n"/>
      <c r="BW273" s="69" t="n"/>
      <c r="BX273" s="69" t="n"/>
      <c r="BY273" s="69" t="n"/>
      <c r="BZ273" s="42" t="n"/>
      <c r="CA273" s="69" t="n"/>
      <c r="CB273" s="69" t="n"/>
      <c r="CC273" s="69" t="n"/>
      <c r="CD273" s="69" t="n"/>
      <c r="CE273" s="42" t="n"/>
      <c r="CF273" s="69" t="n"/>
      <c r="CG273" s="69" t="n"/>
      <c r="CH273" s="69" t="n"/>
      <c r="CI273" s="69" t="n"/>
      <c r="CJ273" s="42" t="n"/>
      <c r="CK273" s="69" t="n"/>
      <c r="CL273" s="69" t="n"/>
      <c r="CM273" s="69" t="n"/>
      <c r="CN273" s="69" t="n"/>
      <c r="CO273" s="42" t="n"/>
      <c r="CP273" s="69" t="n"/>
      <c r="CQ273" s="69" t="n"/>
      <c r="CR273" s="69" t="n"/>
      <c r="CS273" s="69" t="n"/>
      <c r="CT273" s="42" t="n"/>
      <c r="CU273" s="69" t="n"/>
      <c r="CV273" s="69" t="n"/>
      <c r="CW273" s="69" t="n"/>
      <c r="CX273" s="69" t="n"/>
      <c r="CY273" s="42" t="n"/>
    </row>
    <row r="274" hidden="1" outlineLevel="1" customFormat="1" s="66">
      <c r="A274" s="37" t="n"/>
      <c r="B274" s="37" t="n"/>
      <c r="C274" s="67" t="inlineStr">
        <is>
          <t>End of period basic shares outstanding</t>
        </is>
      </c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3" t="str">
        <f>IFERROR(AG274+AH273-AH272,"")</f>
        <v/>
      </c>
      <c r="AI274" s="3" t="str">
        <f>IFERROR(AH274+AI273-AI272,"")</f>
        <v/>
      </c>
      <c r="AJ274" s="69" t="str">
        <f>IFERROR(AH274+AJ273-AJ272,"")</f>
        <v/>
      </c>
      <c r="AK274" s="69" t="str">
        <f>IFERROR(AJ274+AK273-AK272,"")</f>
        <v/>
      </c>
      <c r="AL274" s="42" t="n"/>
      <c r="AM274" s="3" t="str">
        <f>IFERROR(AK274+AM273-AM272,"")</f>
        <v/>
      </c>
      <c r="AN274" s="3" t="str">
        <f>IFERROR(AM274+AN273-AN272,"")</f>
        <v/>
      </c>
      <c r="AO274" s="69" t="str">
        <f>IFERROR(AM274+AO273-AO272,"")</f>
        <v/>
      </c>
      <c r="AP274" s="69" t="str">
        <f>IFERROR(AO274+AP273-AP272,"")</f>
        <v/>
      </c>
      <c r="AQ274" s="42" t="n"/>
      <c r="AR274" s="3" t="str">
        <f>IFERROR(AP274+AR273-AR272,"")</f>
        <v/>
      </c>
      <c r="AS274" s="3" t="str">
        <f>IFERROR(AR274+AS273-AS272,"")</f>
        <v/>
      </c>
      <c r="AT274" s="69" t="str">
        <f>IFERROR(AR274+AT273-AT272,"")</f>
        <v/>
      </c>
      <c r="AU274" s="69" t="str">
        <f>IFERROR(AT274+AU273-AU272,"")</f>
        <v/>
      </c>
      <c r="AV274" s="42" t="n"/>
      <c r="AW274" s="3" t="str">
        <f>IFERROR(AU274+AW273-AW272,"")</f>
        <v/>
      </c>
      <c r="AX274" s="3" t="str">
        <f>IFERROR(AW274+AX273-AX272,"")</f>
        <v/>
      </c>
      <c r="AY274" s="69" t="str">
        <f>IFERROR(AW274+AY273-AY272,"")</f>
        <v/>
      </c>
      <c r="AZ274" s="69" t="str">
        <f>IFERROR(AY274+AZ273-AZ272,"")</f>
        <v/>
      </c>
      <c r="BA274" s="42" t="n"/>
      <c r="BB274" s="3" t="str">
        <f>IFERROR(AZ274+BB273-BB272,"")</f>
        <v/>
      </c>
      <c r="BC274" s="3" t="str">
        <f>IFERROR(BB274+BC273-BC272,"")</f>
        <v/>
      </c>
      <c r="BD274" s="69" t="str">
        <f>IFERROR(BB274+BD273-BD272,"")</f>
        <v/>
      </c>
      <c r="BE274" s="69" t="str">
        <f>IFERROR(BD274+BE273-BE272,"")</f>
        <v/>
      </c>
      <c r="BF274" s="42" t="n"/>
      <c r="BG274" s="3" t="n"/>
      <c r="BH274" s="3" t="n"/>
      <c r="BI274" s="69" t="n"/>
      <c r="BJ274" s="69" t="n"/>
      <c r="BK274" s="42" t="n"/>
      <c r="BL274" s="3" t="n"/>
      <c r="BM274" s="3" t="n"/>
      <c r="BN274" s="69" t="n"/>
      <c r="BO274" s="69" t="n"/>
      <c r="BP274" s="42" t="n"/>
      <c r="BQ274" s="3" t="n"/>
      <c r="BR274" s="3" t="n"/>
      <c r="BS274" s="69" t="n"/>
      <c r="BT274" s="69" t="n"/>
      <c r="BU274" s="42" t="n"/>
      <c r="BV274" s="3" t="n"/>
      <c r="BW274" s="3" t="n"/>
      <c r="BX274" s="69" t="n"/>
      <c r="BY274" s="69" t="n"/>
      <c r="BZ274" s="42" t="n"/>
      <c r="CA274" s="3" t="n"/>
      <c r="CB274" s="3" t="n"/>
      <c r="CC274" s="69" t="n"/>
      <c r="CD274" s="69" t="n"/>
      <c r="CE274" s="42" t="n"/>
      <c r="CF274" s="3" t="n"/>
      <c r="CG274" s="3" t="n"/>
      <c r="CH274" s="69" t="n"/>
      <c r="CI274" s="69" t="n"/>
      <c r="CJ274" s="42" t="n"/>
      <c r="CK274" s="3" t="n"/>
      <c r="CL274" s="3" t="n"/>
      <c r="CM274" s="69" t="n"/>
      <c r="CN274" s="69" t="n"/>
      <c r="CO274" s="42" t="n"/>
      <c r="CP274" s="3" t="n"/>
      <c r="CQ274" s="3" t="n"/>
      <c r="CR274" s="69" t="n"/>
      <c r="CS274" s="69" t="n"/>
      <c r="CT274" s="42" t="n"/>
      <c r="CU274" s="3" t="n"/>
      <c r="CV274" s="3" t="n"/>
      <c r="CW274" s="69" t="n"/>
      <c r="CX274" s="69" t="n"/>
      <c r="CY274" s="42" t="n"/>
    </row>
    <row r="275" hidden="1" outlineLevel="1" customFormat="1" s="66">
      <c r="A275" s="37" t="n"/>
      <c r="B275" s="37" t="n"/>
      <c r="C275" s="67" t="inlineStr">
        <is>
          <t>Weighted average basic shares outstanding</t>
        </is>
      </c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69" t="str">
        <f>IFERROR(AVERAGE(AG274,AH274),"")</f>
        <v/>
      </c>
      <c r="AI275" s="69" t="str">
        <f>IFERROR(AVERAGE(AH274,AI274),"")</f>
        <v/>
      </c>
      <c r="AJ275" s="69" t="str">
        <f>IFERROR(AVERAGE(AH274,AJ274),"")</f>
        <v/>
      </c>
      <c r="AK275" s="69" t="str">
        <f>IFERROR(AVERAGE(AJ274,AK274),"")</f>
        <v/>
      </c>
      <c r="AL275" s="42" t="n"/>
      <c r="AM275" s="69" t="str">
        <f>IFERROR(AVERAGE(AL274,AM274),"")</f>
        <v/>
      </c>
      <c r="AN275" s="69" t="str">
        <f>IFERROR(AVERAGE(AM274,AN274),"")</f>
        <v/>
      </c>
      <c r="AO275" s="69" t="str">
        <f>IFERROR(AVERAGE(AM274,AO274),"")</f>
        <v/>
      </c>
      <c r="AP275" s="69" t="str">
        <f>IFERROR(AVERAGE(AO274,AP274),"")</f>
        <v/>
      </c>
      <c r="AQ275" s="42" t="n"/>
      <c r="AR275" s="69" t="str">
        <f>IFERROR(AVERAGE(AQ274,AR274),"")</f>
        <v/>
      </c>
      <c r="AS275" s="69" t="str">
        <f>IFERROR(AVERAGE(AR274,AS274),"")</f>
        <v/>
      </c>
      <c r="AT275" s="69" t="str">
        <f>IFERROR(AVERAGE(AR274,AT274),"")</f>
        <v/>
      </c>
      <c r="AU275" s="69" t="str">
        <f>IFERROR(AVERAGE(AT274,AU274),"")</f>
        <v/>
      </c>
      <c r="AV275" s="42" t="n"/>
      <c r="AW275" s="69" t="str">
        <f>IFERROR(AVERAGE(AV274,AW274),"")</f>
        <v/>
      </c>
      <c r="AX275" s="69" t="str">
        <f>IFERROR(AVERAGE(AW274,AX274),"")</f>
        <v/>
      </c>
      <c r="AY275" s="69" t="str">
        <f>IFERROR(AVERAGE(AW274,AY274),"")</f>
        <v/>
      </c>
      <c r="AZ275" s="69" t="str">
        <f>IFERROR(AVERAGE(AY274,AZ274),"")</f>
        <v/>
      </c>
      <c r="BA275" s="42" t="n"/>
      <c r="BB275" s="69" t="str">
        <f>IFERROR(AVERAGE(BA274,BB274),"")</f>
        <v/>
      </c>
      <c r="BC275" s="69" t="str">
        <f>IFERROR(AVERAGE(BB274,BC274),"")</f>
        <v/>
      </c>
      <c r="BD275" s="69" t="str">
        <f>IFERROR(AVERAGE(BB274,BD274),"")</f>
        <v/>
      </c>
      <c r="BE275" s="69" t="str">
        <f>IFERROR(AVERAGE(BD274,BE274),"")</f>
        <v/>
      </c>
      <c r="BF275" s="42" t="n"/>
      <c r="BG275" s="69" t="n"/>
      <c r="BH275" s="69" t="n"/>
      <c r="BI275" s="69" t="n"/>
      <c r="BJ275" s="69" t="n"/>
      <c r="BK275" s="42" t="n"/>
      <c r="BL275" s="69" t="n"/>
      <c r="BM275" s="69" t="n"/>
      <c r="BN275" s="69" t="n"/>
      <c r="BO275" s="69" t="n"/>
      <c r="BP275" s="42" t="n"/>
      <c r="BQ275" s="69" t="n"/>
      <c r="BR275" s="69" t="n"/>
      <c r="BS275" s="69" t="n"/>
      <c r="BT275" s="69" t="n"/>
      <c r="BU275" s="42" t="n"/>
      <c r="BV275" s="69" t="n"/>
      <c r="BW275" s="69" t="n"/>
      <c r="BX275" s="69" t="n"/>
      <c r="BY275" s="69" t="n"/>
      <c r="BZ275" s="42" t="n"/>
      <c r="CA275" s="69" t="n"/>
      <c r="CB275" s="69" t="n"/>
      <c r="CC275" s="69" t="n"/>
      <c r="CD275" s="69" t="n"/>
      <c r="CE275" s="42" t="n"/>
      <c r="CF275" s="69" t="n"/>
      <c r="CG275" s="69" t="n"/>
      <c r="CH275" s="69" t="n"/>
      <c r="CI275" s="69" t="n"/>
      <c r="CJ275" s="42" t="n"/>
      <c r="CK275" s="69" t="n"/>
      <c r="CL275" s="69" t="n"/>
      <c r="CM275" s="69" t="n"/>
      <c r="CN275" s="69" t="n"/>
      <c r="CO275" s="42" t="n"/>
      <c r="CP275" s="69" t="n"/>
      <c r="CQ275" s="69" t="n"/>
      <c r="CR275" s="69" t="n"/>
      <c r="CS275" s="69" t="n"/>
      <c r="CT275" s="42" t="n"/>
      <c r="CU275" s="69" t="n"/>
      <c r="CV275" s="69" t="n"/>
      <c r="CW275" s="69" t="n"/>
      <c r="CX275" s="69" t="n"/>
      <c r="CY275" s="42" t="n"/>
    </row>
    <row r="276" hidden="1" outlineLevel="1" customFormat="1" s="66">
      <c r="A276" s="37" t="n"/>
      <c r="B276" s="37" t="n"/>
      <c r="C276" s="67" t="n"/>
      <c r="D276" s="42" t="n"/>
      <c r="E276" s="42" t="n"/>
      <c r="F276" s="42" t="n"/>
      <c r="G276" s="42" t="n"/>
      <c r="H276" s="12" t="n"/>
      <c r="I276" s="42" t="n"/>
      <c r="J276" s="42" t="n"/>
      <c r="K276" s="42" t="n"/>
      <c r="L276" s="42" t="n"/>
      <c r="M276" s="12" t="n"/>
      <c r="N276" s="42" t="n"/>
      <c r="O276" s="42" t="n"/>
      <c r="P276" s="42" t="n"/>
      <c r="Q276" s="42" t="n"/>
      <c r="R276" s="12" t="n"/>
      <c r="S276" s="42" t="n"/>
      <c r="T276" s="42" t="n"/>
      <c r="U276" s="42" t="n"/>
      <c r="V276" s="42" t="n"/>
      <c r="W276" s="12" t="n"/>
      <c r="X276" s="42" t="n"/>
      <c r="Y276" s="42" t="n"/>
      <c r="Z276" s="42" t="n"/>
      <c r="AA276" s="42" t="n"/>
      <c r="AB276" s="12" t="n"/>
      <c r="AC276" s="42" t="n"/>
      <c r="AD276" s="42" t="n"/>
      <c r="AE276" s="42" t="n"/>
      <c r="AF276" s="42" t="n"/>
      <c r="AG276" s="12" t="n"/>
      <c r="AH276" s="42" t="n"/>
      <c r="AI276" s="42" t="n"/>
      <c r="AJ276" s="42" t="n"/>
      <c r="AK276" s="42" t="n"/>
      <c r="AL276" s="12" t="n"/>
      <c r="AM276" s="42" t="n"/>
      <c r="AN276" s="42" t="n"/>
      <c r="AO276" s="42" t="n"/>
      <c r="AP276" s="42" t="n"/>
      <c r="AQ276" s="12" t="n"/>
      <c r="AR276" s="42" t="n"/>
      <c r="AS276" s="42" t="n"/>
      <c r="AT276" s="42" t="n"/>
      <c r="AU276" s="42" t="n"/>
      <c r="AV276" s="12" t="n"/>
      <c r="AW276" s="42" t="n"/>
      <c r="AX276" s="42" t="n"/>
      <c r="AY276" s="42" t="n"/>
      <c r="AZ276" s="42" t="n"/>
      <c r="BA276" s="12" t="n"/>
      <c r="BB276" s="42" t="n"/>
      <c r="BC276" s="42" t="n"/>
      <c r="BD276" s="42" t="n"/>
      <c r="BE276" s="42" t="n"/>
      <c r="BF276" s="12" t="n"/>
      <c r="BG276" s="42" t="n"/>
      <c r="BH276" s="42" t="n"/>
      <c r="BI276" s="42" t="n"/>
      <c r="BJ276" s="42" t="n"/>
      <c r="BK276" s="12" t="n"/>
      <c r="BL276" s="42" t="n"/>
      <c r="BM276" s="42" t="n"/>
      <c r="BN276" s="42" t="n"/>
      <c r="BO276" s="42" t="n"/>
      <c r="BP276" s="12" t="n"/>
      <c r="BQ276" s="42" t="n"/>
      <c r="BR276" s="42" t="n"/>
      <c r="BS276" s="42" t="n"/>
      <c r="BT276" s="42" t="n"/>
      <c r="BU276" s="12" t="n"/>
      <c r="BV276" s="42" t="n"/>
      <c r="BW276" s="42" t="n"/>
      <c r="BX276" s="42" t="n"/>
      <c r="BY276" s="42" t="n"/>
      <c r="BZ276" s="12" t="n"/>
      <c r="CA276" s="42" t="n"/>
      <c r="CB276" s="42" t="n"/>
      <c r="CC276" s="42" t="n"/>
      <c r="CD276" s="42" t="n"/>
      <c r="CE276" s="12" t="n"/>
      <c r="CF276" s="42" t="n"/>
      <c r="CG276" s="42" t="n"/>
      <c r="CH276" s="42" t="n"/>
      <c r="CI276" s="42" t="n"/>
      <c r="CJ276" s="12" t="n"/>
      <c r="CK276" s="42" t="n"/>
      <c r="CL276" s="42" t="n"/>
      <c r="CM276" s="42" t="n"/>
      <c r="CN276" s="42" t="n"/>
      <c r="CO276" s="12" t="n"/>
      <c r="CP276" s="42" t="n"/>
      <c r="CQ276" s="42" t="n"/>
      <c r="CR276" s="42" t="n"/>
      <c r="CS276" s="42" t="n"/>
      <c r="CT276" s="12" t="n"/>
      <c r="CU276" s="42" t="n"/>
      <c r="CV276" s="42" t="n"/>
      <c r="CW276" s="42" t="n"/>
      <c r="CX276" s="42" t="n"/>
      <c r="CY276" s="12" t="n"/>
    </row>
    <row r="277" collapsed="1">
      <c r="C277" s="14" t="inlineStr">
        <is>
          <t>Treasury stock (contra account)</t>
        </is>
      </c>
      <c r="D277" s="46" t="n"/>
      <c r="E277" s="46" t="n"/>
      <c r="F277" s="46" t="n"/>
      <c r="G277" s="46" t="n"/>
      <c r="H277" s="12" t="n"/>
      <c r="I277" s="46">
        <f>'Inputs (2)'!D44</f>
        <v>0</v>
      </c>
      <c r="J277" s="46">
        <f>'Inputs (2)'!E44</f>
        <v>0</v>
      </c>
      <c r="K277" s="46">
        <f>'Inputs (2)'!F44</f>
        <v>0</v>
      </c>
      <c r="L277" s="46">
        <f>'Inputs (2)'!G44</f>
        <v>0</v>
      </c>
      <c r="M277" s="12">
        <f>'Inputs (2)'!H44</f>
        <v>0</v>
      </c>
      <c r="N277" s="46">
        <f>'Inputs (2)'!I44</f>
        <v>0</v>
      </c>
      <c r="O277" s="46">
        <f>'Inputs (2)'!J44</f>
        <v>0</v>
      </c>
      <c r="P277" s="46">
        <f>'Inputs (2)'!K44</f>
        <v>0</v>
      </c>
      <c r="Q277" s="46">
        <f>'Inputs (2)'!L44</f>
        <v>0</v>
      </c>
      <c r="R277" s="12">
        <f>'Inputs (2)'!M44</f>
        <v>0</v>
      </c>
      <c r="S277" s="46">
        <f>'Inputs (2)'!N44</f>
        <v>0</v>
      </c>
      <c r="T277" s="46">
        <f>'Inputs (2)'!O44</f>
        <v>0</v>
      </c>
      <c r="U277" s="46">
        <f>'Inputs (2)'!P44</f>
        <v>0</v>
      </c>
      <c r="V277" s="46">
        <f>'Inputs (2)'!Q44</f>
        <v>-2.98</v>
      </c>
      <c r="W277" s="12">
        <f>'Inputs (2)'!R44</f>
        <v>-2.98</v>
      </c>
      <c r="X277" s="46">
        <f>'Inputs (2)'!S44</f>
        <v>-2.98</v>
      </c>
      <c r="Y277" s="46">
        <f>'Inputs (2)'!T44</f>
        <v>-13.798</v>
      </c>
      <c r="Z277" s="46">
        <f>'Inputs (2)'!U44</f>
        <v>-4.095</v>
      </c>
      <c r="AA277" s="46">
        <f>'Inputs (2)'!V44</f>
        <v>-4.095</v>
      </c>
      <c r="AB277" s="12">
        <f>'Inputs (2)'!W44</f>
        <v>-4.095</v>
      </c>
      <c r="AC277" s="46">
        <f>'Inputs (2)'!X44</f>
        <v>-20.299</v>
      </c>
      <c r="AD277" s="46">
        <f>'Inputs (2)'!Y44</f>
        <v>-9.419</v>
      </c>
      <c r="AE277" s="46">
        <f>'Inputs (2)'!Z44</f>
        <v>-26.425</v>
      </c>
      <c r="AF277" s="46">
        <f>'Inputs (2)'!AA44</f>
        <v>-26.425</v>
      </c>
      <c r="AG277" s="12">
        <f>'Inputs (2)'!AB44</f>
        <v>-26.425</v>
      </c>
      <c r="AH277" s="12">
        <f>'Inputs (2)'!AC44</f>
        <v>-26.425</v>
      </c>
      <c r="AI277" s="12">
        <f>'Inputs (2)'!AD44</f>
        <v>-14.284</v>
      </c>
      <c r="AJ277" s="12">
        <f>AI277</f>
        <v>-14.284</v>
      </c>
      <c r="AK277" s="12">
        <f>AJ277</f>
        <v>-14.284</v>
      </c>
      <c r="AL277" s="12">
        <f>AK277</f>
        <v>-14.284</v>
      </c>
      <c r="AM277" s="12">
        <f>AL277</f>
        <v>-14.284</v>
      </c>
      <c r="AN277" s="12">
        <f>AM277</f>
        <v>-14.284</v>
      </c>
      <c r="AO277" s="12">
        <f>AN277</f>
        <v>-14.284</v>
      </c>
      <c r="AP277" s="12">
        <f>AO277</f>
        <v>-14.284</v>
      </c>
      <c r="AQ277" s="12">
        <f>AP277</f>
        <v>-14.284</v>
      </c>
      <c r="AR277" s="12">
        <f>AQ277</f>
        <v>-14.284</v>
      </c>
      <c r="AS277" s="12">
        <f>AR277</f>
        <v>-14.284</v>
      </c>
      <c r="AT277" s="12">
        <f>AS277</f>
        <v>-14.284</v>
      </c>
      <c r="AU277" s="12">
        <f>AT277</f>
        <v>-14.284</v>
      </c>
      <c r="AV277" s="12">
        <f>AU277</f>
        <v>-14.284</v>
      </c>
      <c r="AW277" s="12">
        <f>AV277</f>
        <v>-14.284</v>
      </c>
      <c r="AX277" s="12">
        <f>AW277</f>
        <v>-14.284</v>
      </c>
      <c r="AY277" s="12">
        <f>AX277</f>
        <v>-14.284</v>
      </c>
      <c r="AZ277" s="12">
        <f>AY277</f>
        <v>-14.284</v>
      </c>
      <c r="BA277" s="12">
        <f>AZ277</f>
        <v>-14.284</v>
      </c>
      <c r="BB277" s="12">
        <f>BA277</f>
        <v>-14.284</v>
      </c>
      <c r="BC277" s="12">
        <f>BB277</f>
        <v>-14.284</v>
      </c>
      <c r="BD277" s="12">
        <f>BC277</f>
        <v>-14.284</v>
      </c>
      <c r="BE277" s="12">
        <f>BD277</f>
        <v>-14.284</v>
      </c>
      <c r="BF277" s="12">
        <f>BE277</f>
        <v>-14.284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4" t="inlineStr">
        <is>
          <t>Comprehensive (accumulated) loss</t>
        </is>
      </c>
      <c r="D278" s="46" t="n"/>
      <c r="E278" s="46" t="n"/>
      <c r="F278" s="46" t="n"/>
      <c r="G278" s="46" t="n"/>
      <c r="H278" s="12" t="n"/>
      <c r="I278" s="46">
        <f>'Inputs (2)'!D45</f>
        <v>0</v>
      </c>
      <c r="J278" s="46">
        <f>'Inputs (2)'!E45</f>
        <v>0</v>
      </c>
      <c r="K278" s="46">
        <f>'Inputs (2)'!F45</f>
        <v>0</v>
      </c>
      <c r="L278" s="46">
        <f>'Inputs (2)'!G45</f>
        <v>0</v>
      </c>
      <c r="M278" s="12">
        <f>'Inputs (2)'!H45</f>
        <v>0</v>
      </c>
      <c r="N278" s="46">
        <f>'Inputs (2)'!I45</f>
        <v>0</v>
      </c>
      <c r="O278" s="46">
        <f>'Inputs (2)'!J45</f>
        <v>0</v>
      </c>
      <c r="P278" s="46">
        <f>'Inputs (2)'!K45</f>
        <v>0</v>
      </c>
      <c r="Q278" s="46">
        <f>'Inputs (2)'!L45</f>
        <v>0</v>
      </c>
      <c r="R278" s="12">
        <f>'Inputs (2)'!M45</f>
        <v>0</v>
      </c>
      <c r="S278" s="46">
        <f>'Inputs (2)'!N45</f>
        <v>0</v>
      </c>
      <c r="T278" s="46">
        <f>'Inputs (2)'!O45</f>
        <v>0</v>
      </c>
      <c r="U278" s="46">
        <f>'Inputs (2)'!P45</f>
        <v>0</v>
      </c>
      <c r="V278" s="46">
        <f>'Inputs (2)'!Q45</f>
        <v>0</v>
      </c>
      <c r="W278" s="12">
        <f>'Inputs (2)'!R45</f>
        <v>0</v>
      </c>
      <c r="X278" s="46">
        <f>'Inputs (2)'!S45</f>
        <v>0</v>
      </c>
      <c r="Y278" s="46">
        <f>'Inputs (2)'!T45</f>
        <v>0</v>
      </c>
      <c r="Z278" s="46">
        <f>'Inputs (2)'!U45</f>
        <v>0</v>
      </c>
      <c r="AA278" s="46">
        <f>'Inputs (2)'!V45</f>
        <v>0</v>
      </c>
      <c r="AB278" s="12">
        <f>'Inputs (2)'!W45</f>
        <v>0</v>
      </c>
      <c r="AC278" s="46">
        <f>'Inputs (2)'!X45</f>
        <v>0</v>
      </c>
      <c r="AD278" s="46">
        <f>'Inputs (2)'!Y45</f>
        <v>0</v>
      </c>
      <c r="AE278" s="46">
        <f>'Inputs (2)'!Z45</f>
        <v>0</v>
      </c>
      <c r="AF278" s="46">
        <f>'Inputs (2)'!AA45</f>
        <v>0</v>
      </c>
      <c r="AG278" s="12">
        <f>'Inputs (2)'!AB45</f>
        <v>0</v>
      </c>
      <c r="AH278" s="12">
        <f>'Inputs (2)'!AC45</f>
        <v>0</v>
      </c>
      <c r="AI278" s="12">
        <f>'Inputs (2)'!AD45</f>
        <v>0</v>
      </c>
      <c r="AJ278" s="12">
        <f>AI278</f>
        <v>0</v>
      </c>
      <c r="AK278" s="12">
        <f>AJ278</f>
        <v>0</v>
      </c>
      <c r="AL278" s="12">
        <f>AK278</f>
        <v>0</v>
      </c>
      <c r="AM278" s="12">
        <f>AL278</f>
        <v>0</v>
      </c>
      <c r="AN278" s="12">
        <f>AM278</f>
        <v>0</v>
      </c>
      <c r="AO278" s="12">
        <f>AN278</f>
        <v>0</v>
      </c>
      <c r="AP278" s="12">
        <f>AO278</f>
        <v>0</v>
      </c>
      <c r="AQ278" s="12">
        <f>AP278</f>
        <v>0</v>
      </c>
      <c r="AR278" s="12">
        <f>AQ278</f>
        <v>0</v>
      </c>
      <c r="AS278" s="12">
        <f>AR278</f>
        <v>0</v>
      </c>
      <c r="AT278" s="12">
        <f>AS278</f>
        <v>0</v>
      </c>
      <c r="AU278" s="12">
        <f>AT278</f>
        <v>0</v>
      </c>
      <c r="AV278" s="12">
        <f>AU278</f>
        <v>0</v>
      </c>
      <c r="AW278" s="12">
        <f>AV278</f>
        <v>0</v>
      </c>
      <c r="AX278" s="12">
        <f>AW278</f>
        <v>0</v>
      </c>
      <c r="AY278" s="12">
        <f>AX278</f>
        <v>0</v>
      </c>
      <c r="AZ278" s="12">
        <f>AY278</f>
        <v>0</v>
      </c>
      <c r="BA278" s="12">
        <f>AZ278</f>
        <v>0</v>
      </c>
      <c r="BB278" s="12">
        <f>BA278</f>
        <v>0</v>
      </c>
      <c r="BC278" s="12">
        <f>BB278</f>
        <v>0</v>
      </c>
      <c r="BD278" s="12">
        <f>BC278</f>
        <v>0</v>
      </c>
      <c r="BE278" s="12">
        <f>BD278</f>
        <v>0</v>
      </c>
      <c r="BF278" s="12">
        <f>BE278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14" t="inlineStr">
        <is>
          <t>Other equity account</t>
        </is>
      </c>
      <c r="D279" s="46" t="n"/>
      <c r="E279" s="46" t="n"/>
      <c r="F279" s="46" t="n"/>
      <c r="G279" s="46" t="n"/>
      <c r="H279" s="12" t="n"/>
      <c r="I279" s="46">
        <f>'Inputs (2)'!D46</f>
        <v>0</v>
      </c>
      <c r="J279" s="46">
        <f>'Inputs (2)'!E46</f>
        <v>0</v>
      </c>
      <c r="K279" s="46">
        <f>'Inputs (2)'!F46</f>
        <v>0</v>
      </c>
      <c r="L279" s="46">
        <f>'Inputs (2)'!G46</f>
        <v>0</v>
      </c>
      <c r="M279" s="12">
        <f>'Inputs (2)'!H46</f>
        <v>0</v>
      </c>
      <c r="N279" s="46">
        <f>'Inputs (2)'!I46</f>
        <v>0</v>
      </c>
      <c r="O279" s="46">
        <f>'Inputs (2)'!J46</f>
        <v>0</v>
      </c>
      <c r="P279" s="46">
        <f>'Inputs (2)'!K46</f>
        <v>0</v>
      </c>
      <c r="Q279" s="46">
        <f>'Inputs (2)'!L46</f>
        <v>0</v>
      </c>
      <c r="R279" s="12">
        <f>'Inputs (2)'!M46</f>
        <v>0</v>
      </c>
      <c r="S279" s="46">
        <f>'Inputs (2)'!N46</f>
        <v>0</v>
      </c>
      <c r="T279" s="46">
        <f>'Inputs (2)'!O46</f>
        <v>0</v>
      </c>
      <c r="U279" s="46">
        <f>'Inputs (2)'!P46</f>
        <v>0</v>
      </c>
      <c r="V279" s="46">
        <f>'Inputs (2)'!Q46</f>
        <v>0</v>
      </c>
      <c r="W279" s="12">
        <f>'Inputs (2)'!R46</f>
        <v>0</v>
      </c>
      <c r="X279" s="46">
        <f>'Inputs (2)'!S46</f>
        <v>0</v>
      </c>
      <c r="Y279" s="46">
        <f>'Inputs (2)'!T46</f>
        <v>0</v>
      </c>
      <c r="Z279" s="46">
        <f>'Inputs (2)'!U46</f>
        <v>0</v>
      </c>
      <c r="AA279" s="46">
        <f>'Inputs (2)'!V46</f>
        <v>0</v>
      </c>
      <c r="AB279" s="12">
        <f>'Inputs (2)'!W46</f>
        <v>0</v>
      </c>
      <c r="AC279" s="46">
        <f>'Inputs (2)'!X46</f>
        <v>0</v>
      </c>
      <c r="AD279" s="46">
        <f>'Inputs (2)'!Y46</f>
        <v>0</v>
      </c>
      <c r="AE279" s="46">
        <f>'Inputs (2)'!Z46</f>
        <v>0</v>
      </c>
      <c r="AF279" s="46">
        <f>'Inputs (2)'!AA46</f>
        <v>0</v>
      </c>
      <c r="AG279" s="12">
        <f>'Inputs (2)'!AB46</f>
        <v>0</v>
      </c>
      <c r="AH279" s="12">
        <f>'Inputs (2)'!AC46</f>
        <v>0</v>
      </c>
      <c r="AI279" s="12">
        <f>'Inputs (2)'!AD46</f>
        <v>0</v>
      </c>
      <c r="AJ279" s="12">
        <f>AI279</f>
        <v>0</v>
      </c>
      <c r="AK279" s="12">
        <f>AJ279</f>
        <v>0</v>
      </c>
      <c r="AL279" s="12">
        <f>AK279</f>
        <v>0</v>
      </c>
      <c r="AM279" s="12">
        <f>AL279</f>
        <v>0</v>
      </c>
      <c r="AN279" s="12">
        <f>AM279</f>
        <v>0</v>
      </c>
      <c r="AO279" s="12">
        <f>AN279</f>
        <v>0</v>
      </c>
      <c r="AP279" s="12">
        <f>AO279</f>
        <v>0</v>
      </c>
      <c r="AQ279" s="12">
        <f>AP279</f>
        <v>0</v>
      </c>
      <c r="AR279" s="12">
        <f>AQ279</f>
        <v>0</v>
      </c>
      <c r="AS279" s="12">
        <f>AR279</f>
        <v>0</v>
      </c>
      <c r="AT279" s="12">
        <f>AS279</f>
        <v>0</v>
      </c>
      <c r="AU279" s="12">
        <f>AT279</f>
        <v>0</v>
      </c>
      <c r="AV279" s="12">
        <f>AU279</f>
        <v>0</v>
      </c>
      <c r="AW279" s="12">
        <f>AV279</f>
        <v>0</v>
      </c>
      <c r="AX279" s="12">
        <f>AW279</f>
        <v>0</v>
      </c>
      <c r="AY279" s="12">
        <f>AX279</f>
        <v>0</v>
      </c>
      <c r="AZ279" s="12">
        <f>AY279</f>
        <v>0</v>
      </c>
      <c r="BA279" s="12">
        <f>AZ279</f>
        <v>0</v>
      </c>
      <c r="BB279" s="12">
        <f>BA279</f>
        <v>0</v>
      </c>
      <c r="BC279" s="12">
        <f>BB279</f>
        <v>0</v>
      </c>
      <c r="BD279" s="12">
        <f>BC279</f>
        <v>0</v>
      </c>
      <c r="BE279" s="12">
        <f>BD279</f>
        <v>0</v>
      </c>
      <c r="BF279" s="12">
        <f>BE279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5" t="inlineStr">
        <is>
          <t>Retained earnings</t>
        </is>
      </c>
      <c r="D280" s="46" t="n"/>
      <c r="E280" s="46" t="n"/>
      <c r="F280" s="46" t="n"/>
      <c r="G280" s="46" t="n"/>
      <c r="H280" s="12" t="n"/>
      <c r="I280" s="46">
        <f>'Inputs (2)'!D47</f>
        <v>974.657</v>
      </c>
      <c r="J280" s="46">
        <f>'Inputs (2)'!E47</f>
        <v>1162.264</v>
      </c>
      <c r="K280" s="46">
        <f>'Inputs (2)'!F47</f>
        <v>1372.175</v>
      </c>
      <c r="L280" s="46">
        <f>'Inputs (2)'!G47</f>
        <v>1578.041</v>
      </c>
      <c r="M280" s="12">
        <f>'Inputs (2)'!H47</f>
        <v>1578.041</v>
      </c>
      <c r="N280" s="46">
        <f>'Inputs (2)'!I47</f>
        <v>1774.759</v>
      </c>
      <c r="O280" s="46">
        <f>'Inputs (2)'!J47</f>
        <v>2035.929</v>
      </c>
      <c r="P280" s="46">
        <f>'Inputs (2)'!K47</f>
        <v>2323.181</v>
      </c>
      <c r="Q280" s="46">
        <f>'Inputs (2)'!L47</f>
        <v>2630.46</v>
      </c>
      <c r="R280" s="12">
        <f>'Inputs (2)'!M47</f>
        <v>2630.46</v>
      </c>
      <c r="S280" s="46">
        <f>'Inputs (2)'!N47</f>
        <v>2867.178</v>
      </c>
      <c r="T280" s="46">
        <f>'Inputs (2)'!O47</f>
        <v>3157.022</v>
      </c>
      <c r="U280" s="46">
        <f>'Inputs (2)'!P47</f>
        <v>3465.215</v>
      </c>
      <c r="V280" s="46">
        <f>'Inputs (2)'!Q47</f>
        <v>617.521</v>
      </c>
      <c r="W280" s="12">
        <f>'Inputs (2)'!R47</f>
        <v>617.521</v>
      </c>
      <c r="X280" s="46">
        <f>'Inputs (2)'!S47</f>
        <v>759.049</v>
      </c>
      <c r="Y280" s="46">
        <f>'Inputs (2)'!T47</f>
        <v>948.384</v>
      </c>
      <c r="Z280" s="46">
        <f>'Inputs (2)'!U47</f>
        <v>1221.124</v>
      </c>
      <c r="AA280" s="46">
        <f>'Inputs (2)'!V47</f>
        <v>813.24</v>
      </c>
      <c r="AB280" s="12">
        <f>'Inputs (2)'!W47</f>
        <v>813.24</v>
      </c>
      <c r="AC280" s="46">
        <f>'Inputs (2)'!X47</f>
        <v>950.475</v>
      </c>
      <c r="AD280" s="46">
        <f>'Inputs (2)'!Y47</f>
        <v>1189.991</v>
      </c>
      <c r="AE280" s="46">
        <f>'Inputs (2)'!Z47</f>
        <v>1873.287</v>
      </c>
      <c r="AF280" s="46">
        <f>'Inputs (2)'!AA47</f>
        <v>2050.983</v>
      </c>
      <c r="AG280" s="12">
        <f>'Inputs (2)'!AB47</f>
        <v>2050.983</v>
      </c>
      <c r="AH280" s="12">
        <f>'Inputs (2)'!AC47</f>
        <v>2263.864</v>
      </c>
      <c r="AI280" s="12">
        <f>'Inputs (2)'!AD47</f>
        <v>2500.669</v>
      </c>
      <c r="AJ280" s="12">
        <f>AI280+AJ147+AJ148</f>
        <v>3586.15339808098</v>
      </c>
      <c r="AK280" s="12">
        <f>AJ280+AK147+AK148</f>
        <v>4650.09505203389</v>
      </c>
      <c r="AL280" s="12">
        <f>AK280</f>
        <v>4650.09505203389</v>
      </c>
      <c r="AM280" s="12">
        <f>AL280+AM147+AM148</f>
        <v>5598.29790053452</v>
      </c>
      <c r="AN280" s="12">
        <f>AM280+AN147+AN148</f>
        <v>6591.90174140928</v>
      </c>
      <c r="AO280" s="12">
        <f>AN280+AO147+AO148</f>
        <v>7863.46166059614</v>
      </c>
      <c r="AP280" s="12">
        <f>AO280+AP147+AP148</f>
        <v>9109.78594301936</v>
      </c>
      <c r="AQ280" s="12">
        <f>AP280</f>
        <v>9109.78594301936</v>
      </c>
      <c r="AR280" s="12">
        <f>AQ280+AR147+AR148</f>
        <v>10215.7902693306</v>
      </c>
      <c r="AS280" s="12">
        <f>AR280+AS147+AS148</f>
        <v>11374.75129585</v>
      </c>
      <c r="AT280" s="12">
        <f>AS280+AT147+AT148</f>
        <v>12857.926308463</v>
      </c>
      <c r="AU280" s="12">
        <f>AT280+AU147+AU148</f>
        <v>14311.6659281304</v>
      </c>
      <c r="AV280" s="12">
        <f>AU280</f>
        <v>14311.6659281304</v>
      </c>
      <c r="AW280" s="12">
        <f>AV280+AW147+AW148</f>
        <v>15596.2032921362</v>
      </c>
      <c r="AX280" s="12">
        <f>AW280+AX147+AX148</f>
        <v>16942.2457140099</v>
      </c>
      <c r="AY280" s="12">
        <f>AX280+AY147+AY148</f>
        <v>18664.837276934</v>
      </c>
      <c r="AZ280" s="12">
        <f>AY280+AZ147+AZ148</f>
        <v>20353.2419373628</v>
      </c>
      <c r="BA280" s="12">
        <f>AZ280</f>
        <v>20353.2419373628</v>
      </c>
      <c r="BB280" s="12">
        <f>BA280+BB147+BB148</f>
        <v>21838.708748869</v>
      </c>
      <c r="BC280" s="12">
        <f>BB280+BC147+BC148</f>
        <v>23395.3013405686</v>
      </c>
      <c r="BD280" s="12">
        <f>BC280+BD147+BD148</f>
        <v>25387.3435093728</v>
      </c>
      <c r="BE280" s="12">
        <f>BD280+BE147+BE148</f>
        <v>27339.8512041572</v>
      </c>
      <c r="BF280" s="12">
        <f>BE280</f>
        <v>27339.8512041572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customFormat="1" s="32">
      <c r="A281" s="30" t="inlineStr">
        <is>
          <t xml:space="preserve"> </t>
        </is>
      </c>
      <c r="B281" s="30" t="n"/>
      <c r="C281" s="65" t="inlineStr">
        <is>
          <t>Total Shareholders' Equity</t>
        </is>
      </c>
      <c r="D281" s="35" t="n"/>
      <c r="E281" s="35" t="n"/>
      <c r="F281" s="35" t="n"/>
      <c r="G281" s="35" t="n"/>
      <c r="H281" s="35" t="n"/>
      <c r="I281" s="35">
        <f>SUM(I258+I263+I264+I277+I278+I279+I280)</f>
        <v>5864.26045592</v>
      </c>
      <c r="J281" s="35">
        <f>SUM(J258+J263+J264+J277+J278+J279+J280)</f>
        <v>6054.82515592</v>
      </c>
      <c r="K281" s="35">
        <f>SUM(K258+K263+K264+K277+K278+K279+K280)</f>
        <v>6268.249</v>
      </c>
      <c r="L281" s="35">
        <f>SUM(L258+L263+L264+L277+L278+L279+L280)</f>
        <v>6476.581</v>
      </c>
      <c r="M281" s="35">
        <f>SUM(M258,M263,M264,M277,M278,M279,M280)</f>
        <v>6476.581</v>
      </c>
      <c r="N281" s="35">
        <f>SUM(N258+N263+N264+N277+N278+N279+N280)</f>
        <v>6675.795</v>
      </c>
      <c r="O281" s="35">
        <f>SUM(O258+O263+O264+O277+O278+O279+O280)</f>
        <v>6940.347</v>
      </c>
      <c r="P281" s="35">
        <f>SUM(P258+P263+P264+P277+P278+P279+P280)</f>
        <v>7231.27</v>
      </c>
      <c r="Q281" s="35">
        <f>SUM(Q258+Q263+Q264+Q277+Q278+Q279+Q280)</f>
        <v>7541.985</v>
      </c>
      <c r="R281" s="35">
        <f>SUM(R258,R263,R264,R277,R278,R279,R280)</f>
        <v>7541.985</v>
      </c>
      <c r="S281" s="35">
        <f>SUM(S258+S263+S264+S277+S278+S279+S280)</f>
        <v>7781.5964</v>
      </c>
      <c r="T281" s="35">
        <f>SUM(T258+T263+T264+T277+T278+T279+T280)</f>
        <v>8076.004</v>
      </c>
      <c r="U281" s="35">
        <f>SUM(U258+U263+U264+U277+U278+U279+U280)</f>
        <v>8385.411</v>
      </c>
      <c r="V281" s="35">
        <f>SUM(V258+V263+V264+V277+V278+V279+V280)</f>
        <v>8773.513</v>
      </c>
      <c r="W281" s="35">
        <f>SUM(W258,W263,W264,W277,W278,W279,W280)</f>
        <v>8773.513</v>
      </c>
      <c r="X281" s="35">
        <f>SUM(X258+X263+X264+X277+X278+X279+X280)</f>
        <v>8917.604</v>
      </c>
      <c r="Y281" s="35">
        <f>SUM(Y258+Y263+Y264+Y277+Y278+Y279+Y280)</f>
        <v>9100.834</v>
      </c>
      <c r="Z281" s="35">
        <f>SUM(Z258+Z263+Z264+Z277+Z278+Z279+Z280)</f>
        <v>9396.716</v>
      </c>
      <c r="AA281" s="35">
        <f>SUM(AA258+AA263+AA264+AA277+AA278+AA279+AA280)</f>
        <v>9232.293</v>
      </c>
      <c r="AB281" s="35">
        <f>SUM(AB258,AB263,AB264,AB277,AB278,AB279,AB280)</f>
        <v>9232.293</v>
      </c>
      <c r="AC281" s="35">
        <f>SUM(AC258+AC263+AC264+AC277+AC278+AC279+AC280)</f>
        <v>9356.337</v>
      </c>
      <c r="AD281" s="35">
        <f>SUM(AD258+AD263+AD264+AD277+AD278+AD279+AD280)</f>
        <v>9612.422</v>
      </c>
      <c r="AE281" s="35">
        <f>SUM(AE258+AE263+AE264+AE277+AE278+AE279+AE280)</f>
        <v>11251.398</v>
      </c>
      <c r="AF281" s="35">
        <f>SUM(AF258+AF263+AF264+AF277+AF278+AF279+AF280)</f>
        <v>11467.816</v>
      </c>
      <c r="AG281" s="35">
        <f>SUM(AG258,AG263,AG264,AG277,AG278,AG279,AG280)</f>
        <v>11467.816</v>
      </c>
      <c r="AH281" s="35">
        <f>SUM(AH258+AH263+AH264+AH277+AH278+AH279+AH280)</f>
        <v>11997.572</v>
      </c>
      <c r="AI281" s="35">
        <f>SUM(AI258+AI263+AI264+AI277+AI278+AI279+AI280)</f>
        <v>12345.241</v>
      </c>
      <c r="AJ281" s="35">
        <f>SUM(AJ258+AJ263+AJ264+AJ277+AJ278+AJ279+AJ280)</f>
        <v>13430.725398081</v>
      </c>
      <c r="AK281" s="35">
        <f>SUM(AK258+AK263+AK264+AK277+AK278+AK279+AK280)</f>
        <v>14494.6670520339</v>
      </c>
      <c r="AL281" s="35">
        <f>SUM(AL258,AL263,AL264,AL277,AL278,AL279,AL280)</f>
        <v>14494.6670520339</v>
      </c>
      <c r="AM281" s="35">
        <f>SUM(AM258+AM263+AM264+AM277+AM278+AM279+AM280)</f>
        <v>15442.8699005345</v>
      </c>
      <c r="AN281" s="35">
        <f>SUM(AN258+AN263+AN264+AN277+AN278+AN279+AN280)</f>
        <v>16436.4737414093</v>
      </c>
      <c r="AO281" s="35">
        <f>SUM(AO258+AO263+AO264+AO277+AO278+AO279+AO280)</f>
        <v>17708.0336605961</v>
      </c>
      <c r="AP281" s="35">
        <f>SUM(AP258+AP263+AP264+AP277+AP278+AP279+AP280)</f>
        <v>18954.3579430194</v>
      </c>
      <c r="AQ281" s="35">
        <f>SUM(AQ258,AQ263,AQ264,AQ277,AQ278,AQ279,AQ280)</f>
        <v>18954.3579430194</v>
      </c>
      <c r="AR281" s="35">
        <f>SUM(AR258+AR263+AR264+AR277+AR278+AR279+AR280)</f>
        <v>20060.3622693306</v>
      </c>
      <c r="AS281" s="35">
        <f>SUM(AS258+AS263+AS264+AS277+AS278+AS279+AS280)</f>
        <v>21219.32329585</v>
      </c>
      <c r="AT281" s="35">
        <f>SUM(AT258+AT263+AT264+AT277+AT278+AT279+AT280)</f>
        <v>22702.498308463</v>
      </c>
      <c r="AU281" s="35">
        <f>SUM(AU258+AU263+AU264+AU277+AU278+AU279+AU280)</f>
        <v>24156.2379281304</v>
      </c>
      <c r="AV281" s="35">
        <f>SUM(AV258,AV263,AV264,AV277,AV278,AV279,AV280)</f>
        <v>24156.2379281304</v>
      </c>
      <c r="AW281" s="35">
        <f>SUM(AW258+AW263+AW264+AW277+AW278+AW279+AW280)</f>
        <v>25440.7752921362</v>
      </c>
      <c r="AX281" s="35">
        <f>SUM(AX258+AX263+AX264+AX277+AX278+AX279+AX280)</f>
        <v>26786.8177140099</v>
      </c>
      <c r="AY281" s="35">
        <f>SUM(AY258+AY263+AY264+AY277+AY278+AY279+AY280)</f>
        <v>28509.409276934</v>
      </c>
      <c r="AZ281" s="35">
        <f>SUM(AZ258+AZ263+AZ264+AZ277+AZ278+AZ279+AZ280)</f>
        <v>30197.8139373628</v>
      </c>
      <c r="BA281" s="35">
        <f>SUM(BA258,BA263,BA264,BA277,BA278,BA279,BA280)</f>
        <v>30197.8139373628</v>
      </c>
      <c r="BB281" s="35">
        <f>SUM(BB258+BB263+BB264+BB277+BB278+BB279+BB280)</f>
        <v>31683.280748869</v>
      </c>
      <c r="BC281" s="35">
        <f>SUM(BC258+BC263+BC264+BC277+BC278+BC279+BC280)</f>
        <v>33239.8733405686</v>
      </c>
      <c r="BD281" s="35">
        <f>SUM(BD258+BD263+BD264+BD277+BD278+BD279+BD280)</f>
        <v>35231.9155093728</v>
      </c>
      <c r="BE281" s="35">
        <f>SUM(BE258+BE263+BE264+BE277+BE278+BE279+BE280)</f>
        <v>37184.4232041572</v>
      </c>
      <c r="BF281" s="35">
        <f>SUM(BF258,BF263,BF264,BF277,BF278,BF279,BF280)</f>
        <v>37184.4232041572</v>
      </c>
      <c r="BG281" s="35" t="n"/>
      <c r="BH281" s="35" t="n"/>
      <c r="BI281" s="35" t="n"/>
      <c r="BJ281" s="35" t="n"/>
      <c r="BK281" s="35" t="n"/>
      <c r="BL281" s="35" t="n"/>
      <c r="BM281" s="35" t="n"/>
      <c r="BN281" s="35" t="n"/>
      <c r="BO281" s="35" t="n"/>
      <c r="BP281" s="35" t="n"/>
      <c r="BQ281" s="35" t="n"/>
      <c r="BR281" s="35" t="n"/>
      <c r="BS281" s="35" t="n"/>
      <c r="BT281" s="35" t="n"/>
      <c r="BU281" s="35" t="n"/>
      <c r="BV281" s="35" t="n"/>
      <c r="BW281" s="35" t="n"/>
      <c r="BX281" s="35" t="n"/>
      <c r="BY281" s="35" t="n"/>
      <c r="BZ281" s="35" t="n"/>
      <c r="CA281" s="35" t="n"/>
      <c r="CB281" s="35" t="n"/>
      <c r="CC281" s="35" t="n"/>
      <c r="CD281" s="35" t="n"/>
      <c r="CE281" s="35" t="n"/>
      <c r="CF281" s="35" t="n"/>
      <c r="CG281" s="35" t="n"/>
      <c r="CH281" s="35" t="n"/>
      <c r="CI281" s="35" t="n"/>
      <c r="CJ281" s="35" t="n"/>
      <c r="CK281" s="35" t="n"/>
      <c r="CL281" s="35" t="n"/>
      <c r="CM281" s="35" t="n"/>
      <c r="CN281" s="35" t="n"/>
      <c r="CO281" s="35" t="n"/>
      <c r="CP281" s="35" t="n"/>
      <c r="CQ281" s="35" t="n"/>
      <c r="CR281" s="35" t="n"/>
      <c r="CS281" s="35" t="n"/>
      <c r="CT281" s="35" t="n"/>
      <c r="CU281" s="35" t="n"/>
      <c r="CV281" s="35" t="n"/>
      <c r="CW281" s="35" t="n"/>
      <c r="CX281" s="35" t="n"/>
      <c r="CY281" s="35" t="n"/>
    </row>
    <row r="282">
      <c r="C282" s="10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  <c r="AQ282" s="12" t="n"/>
      <c r="AR282" s="12" t="n"/>
      <c r="AS282" s="12" t="n"/>
      <c r="AT282" s="12" t="n"/>
      <c r="AU282" s="12" t="n"/>
      <c r="AV282" s="12" t="n"/>
      <c r="AW282" s="12" t="n"/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customFormat="1" s="32">
      <c r="A283" s="30" t="n"/>
      <c r="B283" s="3" t="n"/>
      <c r="C283" s="33" t="inlineStr">
        <is>
          <t>Total Liabilities + Shareholders' Equity</t>
        </is>
      </c>
      <c r="D283" s="35" t="n"/>
      <c r="E283" s="35" t="n"/>
      <c r="F283" s="35" t="n"/>
      <c r="G283" s="35" t="n"/>
      <c r="H283" s="35" t="n"/>
      <c r="I283" s="35">
        <f>I281+I257</f>
        <v>8181.50529524</v>
      </c>
      <c r="J283" s="35">
        <f>J281+J257</f>
        <v>8758.60156238</v>
      </c>
      <c r="K283" s="35">
        <f>K281+K257</f>
        <v>9205.963</v>
      </c>
      <c r="L283" s="35">
        <f>L281+L257</f>
        <v>9954.991</v>
      </c>
      <c r="M283" s="35">
        <f>M281+M257</f>
        <v>9954.991</v>
      </c>
      <c r="N283" s="35">
        <f>N281+N257</f>
        <v>10460.07</v>
      </c>
      <c r="O283" s="35">
        <f>O281+O257</f>
        <v>11434.97444904</v>
      </c>
      <c r="P283" s="35">
        <f>P281+P257</f>
        <v>12387.778938</v>
      </c>
      <c r="Q283" s="35">
        <f>Q281+Q257</f>
        <v>13263.93794475</v>
      </c>
      <c r="R283" s="35">
        <f>R281+R257</f>
        <v>13263.93794475</v>
      </c>
      <c r="S283" s="35">
        <f>S281+S257</f>
        <v>13726.16962189</v>
      </c>
      <c r="T283" s="35">
        <f>T281+T257</f>
        <v>14378.139</v>
      </c>
      <c r="U283" s="35">
        <f>U281+U257</f>
        <v>15056.338</v>
      </c>
      <c r="V283" s="35">
        <f>V281+V257</f>
        <v>16357.29579394</v>
      </c>
      <c r="W283" s="35">
        <f>W281+W257</f>
        <v>16357.29579394</v>
      </c>
      <c r="X283" s="35">
        <f>X281+X257</f>
        <v>16519.334</v>
      </c>
      <c r="Y283" s="35">
        <f>Y281+Y257</f>
        <v>17131.008</v>
      </c>
      <c r="Z283" s="35">
        <f>Z281+Z257</f>
        <v>17900.655</v>
      </c>
      <c r="AA283" s="35">
        <f>AA281+AA257</f>
        <v>18228.167</v>
      </c>
      <c r="AB283" s="35">
        <f>AB281+AB257</f>
        <v>18228.167</v>
      </c>
      <c r="AC283" s="35">
        <f>AC281+AC257</f>
        <v>19342.417</v>
      </c>
      <c r="AD283" s="35">
        <f>AD281+AD257</f>
        <v>19666.72</v>
      </c>
      <c r="AE283" s="35">
        <f>AE281+AE257</f>
        <v>23696.093</v>
      </c>
      <c r="AF283" s="35">
        <f>AF281+AF257</f>
        <v>24352.014</v>
      </c>
      <c r="AG283" s="35">
        <f>AG281+AG257</f>
        <v>24352.014</v>
      </c>
      <c r="AH283" s="35">
        <f>AH281+AH257</f>
        <v>24737.405</v>
      </c>
      <c r="AI283" s="35">
        <f>AI281+AI257</f>
        <v>25153.122</v>
      </c>
      <c r="AJ283" s="35">
        <f>AJ281+AJ257</f>
        <v>27026.9480945776</v>
      </c>
      <c r="AK283" s="35">
        <f>AK281+AK257</f>
        <v>28139.9111488728</v>
      </c>
      <c r="AL283" s="35">
        <f>AL281+AL257</f>
        <v>28139.9111488728</v>
      </c>
      <c r="AM283" s="35">
        <f>AM281+AM257</f>
        <v>28797.2669222641</v>
      </c>
      <c r="AN283" s="35">
        <f>AN281+AN257</f>
        <v>30183.227718958</v>
      </c>
      <c r="AO283" s="35">
        <f>AO281+AO257</f>
        <v>33046.750258871</v>
      </c>
      <c r="AP283" s="35">
        <f>AP281+AP257</f>
        <v>34462.2758734136</v>
      </c>
      <c r="AQ283" s="35">
        <f>AQ281+AQ257</f>
        <v>34462.2758734136</v>
      </c>
      <c r="AR283" s="35">
        <f>AR281+AR257</f>
        <v>35261.7785769572</v>
      </c>
      <c r="AS283" s="35">
        <f>AS281+AS257</f>
        <v>37081.6522759602</v>
      </c>
      <c r="AT283" s="35">
        <f>AT281+AT257</f>
        <v>40584.865510708</v>
      </c>
      <c r="AU283" s="35">
        <f>AU281+AU257</f>
        <v>42424.7809723135</v>
      </c>
      <c r="AV283" s="35">
        <f>AV281+AV257</f>
        <v>42424.7809723135</v>
      </c>
      <c r="AW283" s="35">
        <f>AW281+AW257</f>
        <v>43607.7376886317</v>
      </c>
      <c r="AX283" s="35">
        <f>AX281+AX257</f>
        <v>45894.7503660894</v>
      </c>
      <c r="AY283" s="35">
        <f>AY281+AY257</f>
        <v>50246.5994268534</v>
      </c>
      <c r="AZ283" s="35">
        <f>AZ281+AZ257</f>
        <v>52709.7059203386</v>
      </c>
      <c r="BA283" s="35">
        <f>BA281+BA257</f>
        <v>52709.7059203386</v>
      </c>
      <c r="BB283" s="35">
        <f>BB281+BB257</f>
        <v>54407.6938402381</v>
      </c>
      <c r="BC283" s="35">
        <f>BC281+BC257</f>
        <v>57472.7245910306</v>
      </c>
      <c r="BD283" s="35">
        <f>BD281+BD257</f>
        <v>62987.2618345899</v>
      </c>
      <c r="BE283" s="35">
        <f>BE281+BE257</f>
        <v>66388.2954654627</v>
      </c>
      <c r="BF283" s="35">
        <f>BF281+BF257</f>
        <v>66388.2954654627</v>
      </c>
      <c r="BG283" s="35" t="n"/>
      <c r="BH283" s="35" t="n"/>
      <c r="BI283" s="35" t="n"/>
      <c r="BJ283" s="35" t="n"/>
      <c r="BK283" s="35" t="n"/>
      <c r="BL283" s="35" t="n"/>
      <c r="BM283" s="35" t="n"/>
      <c r="BN283" s="35" t="n"/>
      <c r="BO283" s="35" t="n"/>
      <c r="BP283" s="35" t="n"/>
      <c r="BQ283" s="35" t="n"/>
      <c r="BR283" s="35" t="n"/>
      <c r="BS283" s="35" t="n"/>
      <c r="BT283" s="35" t="n"/>
      <c r="BU283" s="35" t="n"/>
      <c r="BV283" s="35" t="n"/>
      <c r="BW283" s="35" t="n"/>
      <c r="BX283" s="35" t="n"/>
      <c r="BY283" s="35" t="n"/>
      <c r="BZ283" s="35" t="n"/>
      <c r="CA283" s="35" t="n"/>
      <c r="CB283" s="35" t="n"/>
      <c r="CC283" s="35" t="n"/>
      <c r="CD283" s="35" t="n"/>
      <c r="CE283" s="35" t="n"/>
      <c r="CF283" s="35" t="n"/>
      <c r="CG283" s="35" t="n"/>
      <c r="CH283" s="35" t="n"/>
      <c r="CI283" s="35" t="n"/>
      <c r="CJ283" s="35" t="n"/>
      <c r="CK283" s="35" t="n"/>
      <c r="CL283" s="35" t="n"/>
      <c r="CM283" s="35" t="n"/>
      <c r="CN283" s="35" t="n"/>
      <c r="CO283" s="35" t="n"/>
      <c r="CP283" s="35" t="n"/>
      <c r="CQ283" s="35" t="n"/>
      <c r="CR283" s="35" t="n"/>
      <c r="CS283" s="35" t="n"/>
      <c r="CT283" s="35" t="n"/>
      <c r="CU283" s="35" t="n"/>
      <c r="CV283" s="35" t="n"/>
      <c r="CW283" s="35" t="n"/>
      <c r="CX283" s="35" t="n"/>
      <c r="CY283" s="35" t="n"/>
    </row>
    <row r="284">
      <c r="C284" s="18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 customFormat="1" s="32">
      <c r="A285" s="30" t="n"/>
      <c r="B285" s="30" t="n"/>
      <c r="C285" s="31" t="inlineStr">
        <is>
          <t>Cash Flow Statement</t>
        </is>
      </c>
      <c r="D285" s="70" t="n"/>
      <c r="E285" s="70" t="n"/>
      <c r="F285" s="70" t="n"/>
      <c r="G285" s="70" t="n"/>
      <c r="H285" s="70" t="n"/>
      <c r="I285" s="70" t="str">
        <f>I152</f>
        <v>1Q21</v>
      </c>
      <c r="J285" s="70" t="str">
        <f>J152</f>
        <v>2Q21</v>
      </c>
      <c r="K285" s="70" t="str">
        <f>K152</f>
        <v>3Q21</v>
      </c>
      <c r="L285" s="70" t="str">
        <f>L152</f>
        <v>4Q21</v>
      </c>
      <c r="M285" s="70">
        <f>M152</f>
        <v>2021</v>
      </c>
      <c r="N285" s="70" t="str">
        <f>N152</f>
        <v>1Q22</v>
      </c>
      <c r="O285" s="70" t="str">
        <f>O152</f>
        <v>2Q22</v>
      </c>
      <c r="P285" s="70" t="str">
        <f>P152</f>
        <v>3Q22</v>
      </c>
      <c r="Q285" s="70" t="str">
        <f>Q152</f>
        <v>4Q22</v>
      </c>
      <c r="R285" s="70">
        <f>R152</f>
        <v>2022</v>
      </c>
      <c r="S285" s="70" t="str">
        <f>S152</f>
        <v>1Q23</v>
      </c>
      <c r="T285" s="70" t="str">
        <f>T152</f>
        <v>2Q23</v>
      </c>
      <c r="U285" s="70" t="str">
        <f>U152</f>
        <v>3Q23</v>
      </c>
      <c r="V285" s="70" t="str">
        <f>V152</f>
        <v>4Q23</v>
      </c>
      <c r="W285" s="70">
        <f>W152</f>
        <v>2023</v>
      </c>
      <c r="X285" s="70" t="str">
        <f>X152</f>
        <v>1Q24</v>
      </c>
      <c r="Y285" s="70" t="str">
        <f>Y152</f>
        <v>2Q24</v>
      </c>
      <c r="Z285" s="70" t="str">
        <f>Z152</f>
        <v>3Q24</v>
      </c>
      <c r="AA285" s="70" t="str">
        <f>AA152</f>
        <v>4Q24</v>
      </c>
      <c r="AB285" s="70">
        <f>AB152</f>
        <v>2024</v>
      </c>
      <c r="AC285" s="70" t="str">
        <f>AC152</f>
        <v>1Q25</v>
      </c>
      <c r="AD285" s="70" t="str">
        <f>AD152</f>
        <v>2Q25</v>
      </c>
      <c r="AE285" s="70" t="str">
        <f>AE152</f>
        <v>3Q25</v>
      </c>
      <c r="AF285" s="70" t="str">
        <f>AF152</f>
        <v>4Q25</v>
      </c>
      <c r="AG285" s="70">
        <f>AG152</f>
        <v>2025</v>
      </c>
      <c r="AH285" s="70" t="str">
        <f>AH152</f>
        <v>1Q26</v>
      </c>
      <c r="AI285" s="70" t="str">
        <f>AI152</f>
        <v>2Q26</v>
      </c>
      <c r="AJ285" s="70" t="str">
        <f>AJ152</f>
        <v>3Q26</v>
      </c>
      <c r="AK285" s="70" t="str">
        <f>AK152</f>
        <v>4Q26</v>
      </c>
      <c r="AL285" s="70">
        <f>AL152</f>
        <v>2026</v>
      </c>
      <c r="AM285" s="70" t="str">
        <f>AM152</f>
        <v>1Q27</v>
      </c>
      <c r="AN285" s="70" t="str">
        <f>AN152</f>
        <v>2Q27</v>
      </c>
      <c r="AO285" s="70" t="str">
        <f>AO152</f>
        <v>3Q27</v>
      </c>
      <c r="AP285" s="70" t="str">
        <f>AP152</f>
        <v>4Q27</v>
      </c>
      <c r="AQ285" s="70">
        <f>AQ152</f>
        <v>2027</v>
      </c>
      <c r="AR285" s="70" t="str">
        <f>AR152</f>
        <v>1Q28</v>
      </c>
      <c r="AS285" s="70" t="str">
        <f>AS152</f>
        <v>2Q28</v>
      </c>
      <c r="AT285" s="70" t="str">
        <f>AT152</f>
        <v>3Q28</v>
      </c>
      <c r="AU285" s="70" t="str">
        <f>AU152</f>
        <v>4Q28</v>
      </c>
      <c r="AV285" s="70">
        <f>AV152</f>
        <v>2028</v>
      </c>
      <c r="AW285" s="70" t="str">
        <f>AW152</f>
        <v>1Q29</v>
      </c>
      <c r="AX285" s="70" t="str">
        <f>AX152</f>
        <v>2Q29</v>
      </c>
      <c r="AY285" s="70" t="str">
        <f>AY152</f>
        <v>3Q29</v>
      </c>
      <c r="AZ285" s="70" t="str">
        <f>AZ152</f>
        <v>4Q29</v>
      </c>
      <c r="BA285" s="70">
        <f>BA152</f>
        <v>2029</v>
      </c>
      <c r="BB285" s="70" t="str">
        <f>BB152</f>
        <v>1Q30</v>
      </c>
      <c r="BC285" s="70" t="str">
        <f>BC152</f>
        <v>2Q30</v>
      </c>
      <c r="BD285" s="70" t="str">
        <f>BD152</f>
        <v>3Q30</v>
      </c>
      <c r="BE285" s="70" t="str">
        <f>BE152</f>
        <v>4Q30</v>
      </c>
      <c r="BF285" s="70">
        <f>BF152</f>
        <v>2030</v>
      </c>
      <c r="BG285" s="70" t="n"/>
      <c r="BH285" s="70" t="n"/>
      <c r="BI285" s="70" t="n"/>
      <c r="BJ285" s="70" t="n"/>
      <c r="BK285" s="70" t="n"/>
      <c r="BL285" s="70" t="n"/>
      <c r="BM285" s="70" t="n"/>
      <c r="BN285" s="70" t="n"/>
      <c r="BO285" s="70" t="n"/>
      <c r="BP285" s="70" t="n"/>
      <c r="BQ285" s="70" t="n"/>
      <c r="BR285" s="70" t="n"/>
      <c r="BS285" s="70" t="n"/>
      <c r="BT285" s="70" t="n"/>
      <c r="BU285" s="70" t="n"/>
      <c r="BV285" s="70" t="n"/>
      <c r="BW285" s="70" t="n"/>
      <c r="BX285" s="70" t="n"/>
      <c r="BY285" s="70" t="n"/>
      <c r="BZ285" s="70" t="n"/>
      <c r="CA285" s="70" t="n"/>
      <c r="CB285" s="70" t="n"/>
      <c r="CC285" s="70" t="n"/>
      <c r="CD285" s="70" t="n"/>
      <c r="CE285" s="70" t="n"/>
      <c r="CF285" s="70" t="n"/>
      <c r="CG285" s="70" t="n"/>
      <c r="CH285" s="70" t="n"/>
      <c r="CI285" s="70" t="n"/>
      <c r="CJ285" s="70" t="n"/>
      <c r="CK285" s="70" t="n"/>
      <c r="CL285" s="70" t="n"/>
      <c r="CM285" s="70" t="n"/>
      <c r="CN285" s="70" t="n"/>
      <c r="CO285" s="70" t="n"/>
      <c r="CP285" s="70" t="n"/>
      <c r="CQ285" s="70" t="n"/>
      <c r="CR285" s="70" t="n"/>
      <c r="CS285" s="70" t="n"/>
      <c r="CT285" s="70" t="n"/>
      <c r="CU285" s="70" t="n"/>
      <c r="CV285" s="70" t="n"/>
      <c r="CW285" s="70" t="n"/>
      <c r="CX285" s="70" t="n"/>
      <c r="CY285" s="70" t="n"/>
    </row>
    <row r="286">
      <c r="C286" s="18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  <c r="AY286" s="3" t="n"/>
      <c r="AZ286" s="3" t="n"/>
      <c r="BA286" s="3" t="n"/>
      <c r="BB286" s="3" t="n"/>
      <c r="BC286" s="3" t="n"/>
      <c r="BD286" s="3" t="n"/>
      <c r="BE286" s="3" t="n"/>
      <c r="BF286" s="3" t="n"/>
      <c r="BG286" s="3" t="n"/>
      <c r="BH286" s="3" t="n"/>
      <c r="BI286" s="3" t="n"/>
      <c r="BJ286" s="3" t="n"/>
      <c r="BK286" s="3" t="n"/>
      <c r="BL286" s="3" t="n"/>
      <c r="BM286" s="3" t="n"/>
      <c r="BN286" s="3" t="n"/>
      <c r="BO286" s="3" t="n"/>
      <c r="BP286" s="3" t="n"/>
      <c r="BQ286" s="3" t="n"/>
      <c r="BR286" s="3" t="n"/>
      <c r="BS286" s="3" t="n"/>
      <c r="BT286" s="3" t="n"/>
      <c r="BU286" s="3" t="n"/>
      <c r="BV286" s="3" t="n"/>
      <c r="BW286" s="3" t="n"/>
      <c r="BX286" s="3" t="n"/>
      <c r="BY286" s="3" t="n"/>
      <c r="BZ286" s="3" t="n"/>
      <c r="CA286" s="3" t="n"/>
      <c r="CB286" s="3" t="n"/>
      <c r="CC286" s="3" t="n"/>
      <c r="CD286" s="3" t="n"/>
      <c r="CE286" s="3" t="n"/>
      <c r="CF286" s="3" t="n"/>
      <c r="CG286" s="3" t="n"/>
      <c r="CH286" s="3" t="n"/>
      <c r="CI286" s="3" t="n"/>
      <c r="CJ286" s="3" t="n"/>
      <c r="CK286" s="3" t="n"/>
      <c r="CL286" s="3" t="n"/>
      <c r="CM286" s="3" t="n"/>
      <c r="CN286" s="3" t="n"/>
      <c r="CO286" s="3" t="n"/>
      <c r="CP286" s="3" t="n"/>
      <c r="CQ286" s="3" t="n"/>
      <c r="CR286" s="3" t="n"/>
      <c r="CS286" s="3" t="n"/>
      <c r="CT286" s="3" t="n"/>
      <c r="CU286" s="3" t="n"/>
      <c r="CV286" s="3" t="n"/>
      <c r="CW286" s="3" t="n"/>
      <c r="CX286" s="3" t="n"/>
      <c r="CY286" s="3" t="n"/>
    </row>
    <row r="287">
      <c r="C287" s="10" t="inlineStr">
        <is>
          <t>Net Income</t>
        </is>
      </c>
      <c r="D287" s="12" t="n"/>
      <c r="E287" s="12" t="n"/>
      <c r="F287" s="12" t="n"/>
      <c r="G287" s="12" t="n"/>
      <c r="H287" s="12" t="n"/>
      <c r="I287" s="12" t="n"/>
      <c r="J287" s="12">
        <f>J147</f>
        <v>190.56334549</v>
      </c>
      <c r="K287" s="12">
        <f>K147</f>
        <v>213.424</v>
      </c>
      <c r="L287" s="12">
        <f>L147</f>
        <v>208.08263301</v>
      </c>
      <c r="M287" s="12" t="n"/>
      <c r="N287" s="12">
        <f>N147</f>
        <v>199.211841910001</v>
      </c>
      <c r="O287" s="12">
        <f>O147</f>
        <v>264.12308316</v>
      </c>
      <c r="P287" s="12">
        <f>P147</f>
        <v>290.871</v>
      </c>
      <c r="Q287" s="12">
        <f>Q147</f>
        <v>310.588779030001</v>
      </c>
      <c r="R287" s="12">
        <f>SUM(N287:Q287)</f>
        <v>1064.7947041</v>
      </c>
      <c r="S287" s="12">
        <f>S147</f>
        <v>239.69166758</v>
      </c>
      <c r="T287" s="12">
        <f>T147</f>
        <v>293.233</v>
      </c>
      <c r="U287" s="12">
        <f>U147</f>
        <v>313.597</v>
      </c>
      <c r="V287" s="12">
        <f>V147</f>
        <v>388.1174499</v>
      </c>
      <c r="W287" s="12">
        <f>SUM(S287:V287)</f>
        <v>1234.63911748</v>
      </c>
      <c r="X287" s="12">
        <f>X147</f>
        <v>240.377781312</v>
      </c>
      <c r="Y287" s="12">
        <f>Y147</f>
        <v>327.344212271</v>
      </c>
      <c r="Z287" s="12">
        <f>Z147</f>
        <v>355.261000000001</v>
      </c>
      <c r="AA287" s="12">
        <f>AA147</f>
        <v>323.231900000001</v>
      </c>
      <c r="AB287" s="12">
        <f>SUM(X287:AA287)</f>
        <v>1246.214893583</v>
      </c>
      <c r="AC287" s="12">
        <f>AC147</f>
        <v>276.32</v>
      </c>
      <c r="AD287" s="12">
        <f>AD147</f>
        <v>395.777433216</v>
      </c>
      <c r="AE287" s="12">
        <f>AE147</f>
        <v>850.546000000001</v>
      </c>
      <c r="AF287" s="12">
        <f>AF147</f>
        <v>324.264</v>
      </c>
      <c r="AG287" s="12">
        <f>SUM(AC287:AF287)</f>
        <v>1846.907433216</v>
      </c>
      <c r="AH287" s="12">
        <f>AH147</f>
        <v>212.881000000001</v>
      </c>
      <c r="AI287" s="12">
        <f>AI147</f>
        <v>236.805</v>
      </c>
      <c r="AJ287" s="12">
        <f>AJ147</f>
        <v>1085.48439808098</v>
      </c>
      <c r="AK287" s="12">
        <f>AK147</f>
        <v>1063.9416539529</v>
      </c>
      <c r="AL287" s="12">
        <f>SUM(AH287:AK287)</f>
        <v>2599.11205203389</v>
      </c>
      <c r="AM287" s="12">
        <f>AM147</f>
        <v>948.202848500639</v>
      </c>
      <c r="AN287" s="12">
        <f>AN147</f>
        <v>993.603840874752</v>
      </c>
      <c r="AO287" s="12">
        <f>AO147</f>
        <v>1271.55991918686</v>
      </c>
      <c r="AP287" s="12">
        <f>AP147</f>
        <v>1246.32428242323</v>
      </c>
      <c r="AQ287" s="12">
        <f>SUM(AM287:AP287)</f>
        <v>4459.69089098548</v>
      </c>
      <c r="AR287" s="12">
        <f>AR147</f>
        <v>1106.00432631123</v>
      </c>
      <c r="AS287" s="12">
        <f>AS147</f>
        <v>1158.96102651941</v>
      </c>
      <c r="AT287" s="12">
        <f>AT147</f>
        <v>1483.175012613</v>
      </c>
      <c r="AU287" s="12">
        <f>AU147</f>
        <v>1453.73961966736</v>
      </c>
      <c r="AV287" s="12">
        <f>SUM(AR287:AU287)</f>
        <v>5201.879985111</v>
      </c>
      <c r="AW287" s="12">
        <f>AW147</f>
        <v>1284.53736400584</v>
      </c>
      <c r="AX287" s="12">
        <f>AX147</f>
        <v>1346.04242187369</v>
      </c>
      <c r="AY287" s="12">
        <f>AY147</f>
        <v>1722.59156292407</v>
      </c>
      <c r="AZ287" s="12">
        <f>AZ147</f>
        <v>1688.40466042886</v>
      </c>
      <c r="BA287" s="12">
        <f>SUM(AW287:AZ287)</f>
        <v>6041.57600923247</v>
      </c>
      <c r="BB287" s="12">
        <f>BB147</f>
        <v>1485.46681150618</v>
      </c>
      <c r="BC287" s="12">
        <f>BC147</f>
        <v>1556.59259169956</v>
      </c>
      <c r="BD287" s="12">
        <f>BD147</f>
        <v>1992.04216880423</v>
      </c>
      <c r="BE287" s="12">
        <f>BE147</f>
        <v>1952.50769478437</v>
      </c>
      <c r="BF287" s="12">
        <f>SUM(BB287:BE287)</f>
        <v>6986.60926679435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0" t="inlineStr">
        <is>
          <t>Depreciation &amp; amortization</t>
        </is>
      </c>
      <c r="D288" s="12" t="n"/>
      <c r="E288" s="12" t="n"/>
      <c r="F288" s="12" t="n"/>
      <c r="G288" s="12" t="n"/>
      <c r="H288" s="12" t="n"/>
      <c r="I288" s="12" t="n"/>
      <c r="J288" s="12">
        <f>-J80</f>
        <v>63.733</v>
      </c>
      <c r="K288" s="12">
        <f>-K80</f>
        <v>71.918</v>
      </c>
      <c r="L288" s="12">
        <f>-L80</f>
        <v>67.065</v>
      </c>
      <c r="M288" s="12" t="n"/>
      <c r="N288" s="12">
        <f>-N80</f>
        <v>72.195</v>
      </c>
      <c r="O288" s="12">
        <f>-O80</f>
        <v>83.73</v>
      </c>
      <c r="P288" s="12">
        <f>-P80</f>
        <v>84.22</v>
      </c>
      <c r="Q288" s="12">
        <f>-Q80</f>
        <v>89.022</v>
      </c>
      <c r="R288" s="12">
        <f>SUM(N288:Q288)</f>
        <v>329.167</v>
      </c>
      <c r="S288" s="12">
        <f>-S80</f>
        <v>98.001</v>
      </c>
      <c r="T288" s="12">
        <f>-T80</f>
        <v>92.145</v>
      </c>
      <c r="U288" s="12">
        <f>-U80</f>
        <v>98.528</v>
      </c>
      <c r="V288" s="12">
        <f>-V80</f>
        <v>64.718</v>
      </c>
      <c r="W288" s="12">
        <f>SUM(S288:V288)</f>
        <v>353.392</v>
      </c>
      <c r="X288" s="12">
        <f>-X80</f>
        <v>104.571</v>
      </c>
      <c r="Y288" s="12">
        <f>-Y80</f>
        <v>85.309</v>
      </c>
      <c r="Z288" s="12">
        <f>-Z80</f>
        <v>95.494</v>
      </c>
      <c r="AA288" s="12">
        <f>-AA80</f>
        <v>91.372</v>
      </c>
      <c r="AB288" s="12">
        <f>SUM(X288:AA288)</f>
        <v>376.746</v>
      </c>
      <c r="AC288" s="12">
        <f>-AC80</f>
        <v>105.294</v>
      </c>
      <c r="AD288" s="12">
        <f>-AD80</f>
        <v>113.093</v>
      </c>
      <c r="AE288" s="12">
        <f>-AE80</f>
        <v>162.165</v>
      </c>
      <c r="AF288" s="12">
        <f>-AF80</f>
        <v>159.044</v>
      </c>
      <c r="AG288" s="12">
        <f>SUM(AC288:AF288)</f>
        <v>539.596</v>
      </c>
      <c r="AH288" s="12">
        <f>-AH80</f>
        <v>158.45</v>
      </c>
      <c r="AI288" s="12">
        <f>-AI80</f>
        <v>177.69</v>
      </c>
      <c r="AJ288" s="12">
        <f>-AJ80</f>
        <v>190.282379436024</v>
      </c>
      <c r="AK288" s="12">
        <f>-AK80</f>
        <v>186.505996634466</v>
      </c>
      <c r="AL288" s="12">
        <f>SUM(AH288:AK288)</f>
        <v>712.92837607049</v>
      </c>
      <c r="AM288" s="12">
        <f>-AM80</f>
        <v>166.217307701236</v>
      </c>
      <c r="AN288" s="12">
        <f>-AN80</f>
        <v>174.175974700942</v>
      </c>
      <c r="AO288" s="12">
        <f>-AO80</f>
        <v>222.900897927326</v>
      </c>
      <c r="AP288" s="12">
        <f>-AP80</f>
        <v>218.477161373897</v>
      </c>
      <c r="AQ288" s="12">
        <f>SUM(AM288:AP288)</f>
        <v>781.771341703401</v>
      </c>
      <c r="AR288" s="12">
        <f>-AR80</f>
        <v>193.879465470987</v>
      </c>
      <c r="AS288" s="12">
        <f>-AS80</f>
        <v>203.162626924535</v>
      </c>
      <c r="AT288" s="12">
        <f>-AT80</f>
        <v>259.996432025182</v>
      </c>
      <c r="AU288" s="12">
        <f>-AU80</f>
        <v>254.836489957627</v>
      </c>
      <c r="AV288" s="12">
        <f>SUM(AR288:AU288)</f>
        <v>911.875014378331</v>
      </c>
      <c r="AW288" s="12">
        <f>-AW80</f>
        <v>225.175807712783</v>
      </c>
      <c r="AX288" s="12">
        <f>-AX80</f>
        <v>235.957472358664</v>
      </c>
      <c r="AY288" s="12">
        <f>-AY80</f>
        <v>301.965483768434</v>
      </c>
      <c r="AZ288" s="12">
        <f>-AZ80</f>
        <v>295.972615364397</v>
      </c>
      <c r="BA288" s="12">
        <f>SUM(AW288:AZ288)</f>
        <v>1059.07137920428</v>
      </c>
      <c r="BB288" s="12">
        <f>-BB80</f>
        <v>260.39817796216</v>
      </c>
      <c r="BC288" s="12">
        <f>-BC80</f>
        <v>272.866328327441</v>
      </c>
      <c r="BD288" s="12">
        <f>-BD80</f>
        <v>349.199421462977</v>
      </c>
      <c r="BE288" s="12">
        <f>-BE80</f>
        <v>342.269138725105</v>
      </c>
      <c r="BF288" s="12">
        <f>SUM(BB288:BE288)</f>
        <v>1224.73306647768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0" t="inlineStr">
        <is>
          <t xml:space="preserve">Changes in working capital </t>
        </is>
      </c>
      <c r="D289" s="12" t="n"/>
      <c r="E289" s="12" t="n"/>
      <c r="F289" s="12" t="n"/>
      <c r="G289" s="12" t="n"/>
      <c r="H289" s="12" t="n"/>
      <c r="I289" s="12" t="n"/>
      <c r="J289" s="12">
        <f>SUM(J290:J299)</f>
        <v>-36.1474842500002</v>
      </c>
      <c r="K289" s="12">
        <f>SUM(K290:K299)</f>
        <v>-772.87308216</v>
      </c>
      <c r="L289" s="12">
        <f>SUM(L290:L299)</f>
        <v>-157.774</v>
      </c>
      <c r="M289" s="12" t="n"/>
      <c r="N289" s="12">
        <f>SUM(N290:N299)</f>
        <v>-209.228</v>
      </c>
      <c r="O289" s="12">
        <f>SUM(O290:O299)</f>
        <v>102.09855096</v>
      </c>
      <c r="P289" s="12">
        <f>SUM(P290:P299)</f>
        <v>-1166.42980725</v>
      </c>
      <c r="Q289" s="12">
        <f>SUM(Q290:Q299)</f>
        <v>727.71394505</v>
      </c>
      <c r="R289" s="12">
        <f>SUM(N289:Q289)</f>
        <v>-545.84531124</v>
      </c>
      <c r="S289" s="12">
        <f>SUM(S290:S299)</f>
        <v>-169.41898979</v>
      </c>
      <c r="T289" s="12">
        <f>SUM(T290:T299)</f>
        <v>-254.21869897</v>
      </c>
      <c r="U289" s="12">
        <f>SUM(U290:U299)</f>
        <v>-299.182</v>
      </c>
      <c r="V289" s="12">
        <f>SUM(V290:V299)</f>
        <v>-99.495983219999</v>
      </c>
      <c r="W289" s="12">
        <f>SUM(S289:V289)</f>
        <v>-822.315671979999</v>
      </c>
      <c r="X289" s="12">
        <f>SUM(X290:X299)</f>
        <v>173.94898322</v>
      </c>
      <c r="Y289" s="12">
        <f>SUM(Y290:Y299)</f>
        <v>-49.8927019700001</v>
      </c>
      <c r="Z289" s="12">
        <f>SUM(Z290:Z299)</f>
        <v>-645.171298030001</v>
      </c>
      <c r="AA289" s="12">
        <f>SUM(AA290:AA299)</f>
        <v>339.76</v>
      </c>
      <c r="AB289" s="12">
        <f>SUM(X289:AA289)</f>
        <v>-181.355016780001</v>
      </c>
      <c r="AC289" s="12">
        <f>SUM(AC290:AC299)</f>
        <v>-92.8369999999997</v>
      </c>
      <c r="AD289" s="12">
        <f>SUM(AD290:AD299)</f>
        <v>198.861</v>
      </c>
      <c r="AE289" s="12">
        <f>SUM(AE290:AE299)</f>
        <v>-953.937000000001</v>
      </c>
      <c r="AF289" s="12">
        <f>SUM(AF290:AF299)</f>
        <v>427.82</v>
      </c>
      <c r="AG289" s="12">
        <f>SUM(AC289:AF289)</f>
        <v>-420.093</v>
      </c>
      <c r="AH289" s="12">
        <f>SUM(AH290:AH299)</f>
        <v>-162.26</v>
      </c>
      <c r="AI289" s="12">
        <f>SUM(AI290:AI299)</f>
        <v>-499.507</v>
      </c>
      <c r="AJ289" s="12">
        <f>SUM(AJ290:AJ299)</f>
        <v>-1558.5788010091</v>
      </c>
      <c r="AK289" s="12">
        <f>SUM(AK290:AK299)</f>
        <v>288.01449176932</v>
      </c>
      <c r="AL289" s="12">
        <f>SUM(AH289:AK289)</f>
        <v>-1932.33130923978</v>
      </c>
      <c r="AM289" s="12">
        <f>SUM(AM290:AM299)</f>
        <v>759.386342977268</v>
      </c>
      <c r="AN289" s="12">
        <f>SUM(AN290:AN299)</f>
        <v>1.31309210864811</v>
      </c>
      <c r="AO289" s="12">
        <f>SUM(AO290:AO299)</f>
        <v>-1370.52361442467</v>
      </c>
      <c r="AP289" s="12">
        <f>SUM(AP290:AP299)</f>
        <v>449.163012414726</v>
      </c>
      <c r="AQ289" s="12">
        <f>SUM(AM289:AP289)</f>
        <v>-160.661166924025</v>
      </c>
      <c r="AR289" s="12">
        <f>SUM(AR290:AR299)</f>
        <v>1115.36010899628</v>
      </c>
      <c r="AS289" s="12">
        <f>SUM(AS290:AS299)</f>
        <v>66.9602271109634</v>
      </c>
      <c r="AT289" s="12">
        <f>SUM(AT290:AT299)</f>
        <v>-1435.46984546416</v>
      </c>
      <c r="AU289" s="12">
        <f>SUM(AU290:AU299)</f>
        <v>712.729205596283</v>
      </c>
      <c r="AV289" s="12">
        <f>SUM(AR289:AU289)</f>
        <v>459.57969623936</v>
      </c>
      <c r="AW289" s="12">
        <f>SUM(AW290:AW299)</f>
        <v>1458.85410925977</v>
      </c>
      <c r="AX289" s="12">
        <f>SUM(AX290:AX299)</f>
        <v>411.220260954017</v>
      </c>
      <c r="AY289" s="12">
        <f>SUM(AY290:AY299)</f>
        <v>-1384.04436623025</v>
      </c>
      <c r="AZ289" s="12">
        <f>SUM(AZ290:AZ299)</f>
        <v>1153.96797784589</v>
      </c>
      <c r="BA289" s="12">
        <f>SUM(AW289:AZ289)</f>
        <v>1639.99798182943</v>
      </c>
      <c r="BB289" s="12">
        <f>SUM(BB290:BB299)</f>
        <v>2097.67986100783</v>
      </c>
      <c r="BC289" s="12">
        <f>SUM(BC290:BC299)</f>
        <v>895.82379888131</v>
      </c>
      <c r="BD289" s="12">
        <f>SUM(BD290:BD299)</f>
        <v>-1118.57406864512</v>
      </c>
      <c r="BE289" s="12">
        <f>SUM(BE290:BE299)</f>
        <v>1887.11751512652</v>
      </c>
      <c r="BF289" s="12">
        <f>SUM(BB289:BE289)</f>
        <v>3762.04710637054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hidden="1" outlineLevel="1">
      <c r="C290" s="10" t="inlineStr">
        <is>
          <t>Accounts receivable</t>
        </is>
      </c>
      <c r="D290" s="12" t="n"/>
      <c r="E290" s="12" t="n"/>
      <c r="F290" s="12" t="n"/>
      <c r="G290" s="12" t="n"/>
      <c r="H290" s="12" t="n"/>
      <c r="I290" s="12" t="n"/>
      <c r="J290" s="12">
        <f>(J155-I155)*-1</f>
        <v>-184.70766046</v>
      </c>
      <c r="K290" s="12">
        <f>(K155-J155)*-1</f>
        <v>-81.7724060700002</v>
      </c>
      <c r="L290" s="12">
        <f>(L155-K155)*-1</f>
        <v>-271.95</v>
      </c>
      <c r="M290" s="12" t="n"/>
      <c r="N290" s="12">
        <f>(N155-M155)*-1</f>
        <v>-56.5610000000002</v>
      </c>
      <c r="O290" s="12">
        <f>(O155-N155)*-1</f>
        <v>-207.25144904</v>
      </c>
      <c r="P290" s="12">
        <f>(P155-O155)*-1</f>
        <v>-297.27180725</v>
      </c>
      <c r="Q290" s="12">
        <f>(Q155-P155)*-1</f>
        <v>-170.90805495</v>
      </c>
      <c r="R290" s="12">
        <f>SUM(N290:Q290)</f>
        <v>-731.99231124</v>
      </c>
      <c r="S290" s="12">
        <f>(S155-R155)*-1</f>
        <v>163.21301021</v>
      </c>
      <c r="T290" s="12">
        <f>(T155-S155)*-1</f>
        <v>-197.62369897</v>
      </c>
      <c r="U290" s="12">
        <f>(U155-T155)*-1</f>
        <v>-285.932</v>
      </c>
      <c r="V290" s="12">
        <f>(V155-U155)*-1</f>
        <v>-589.02898322</v>
      </c>
      <c r="W290" s="12">
        <f>SUM(S290:V290)</f>
        <v>-909.37167198</v>
      </c>
      <c r="X290" s="12">
        <f>(X155-W155)*-1</f>
        <v>372.11098322</v>
      </c>
      <c r="Y290" s="12">
        <f>(Y155-X155)*-1</f>
        <v>-95.93970197</v>
      </c>
      <c r="Z290" s="12">
        <f>(Z155-Y155)*-1</f>
        <v>-328.23829803</v>
      </c>
      <c r="AA290" s="12">
        <f>(AA155-Z155)*-1</f>
        <v>110.565</v>
      </c>
      <c r="AB290" s="12">
        <f>SUM(X290:AA290)</f>
        <v>58.4979832199997</v>
      </c>
      <c r="AC290" s="12">
        <f>(AC155-AB155)*-1</f>
        <v>-251.719</v>
      </c>
      <c r="AD290" s="12">
        <f>(AD155-AC155)*-1</f>
        <v>29.3690000000001</v>
      </c>
      <c r="AE290" s="12">
        <f>(AE155-AD155)*-1</f>
        <v>-342.598</v>
      </c>
      <c r="AF290" s="12">
        <f>(AF155-AE155)*-1</f>
        <v>-116.812</v>
      </c>
      <c r="AG290" s="12">
        <f>SUM(AC290:AF290)</f>
        <v>-681.76</v>
      </c>
      <c r="AH290" s="12">
        <f>(AH155-AG155)*-1</f>
        <v>67.7829999999999</v>
      </c>
      <c r="AI290" s="12">
        <f>(AI155-AH155)*-1</f>
        <v>53.79</v>
      </c>
      <c r="AJ290" s="12">
        <f>(AJ155-AI155)*-1</f>
        <v>-1098.48575724055</v>
      </c>
      <c r="AK290" s="12">
        <f>(AK155-AJ155)*-1</f>
        <v>100.378182166554</v>
      </c>
      <c r="AL290" s="12">
        <f>SUM(AH290:AK290)</f>
        <v>-876.534575073998</v>
      </c>
      <c r="AM290" s="12">
        <f>(AM155-AL155)*-1</f>
        <v>441.102798112793</v>
      </c>
      <c r="AN290" s="12">
        <f>(AN155-AM155)*-1</f>
        <v>-164.240196033565</v>
      </c>
      <c r="AO290" s="12">
        <f>(AO155-AN155)*-1</f>
        <v>-1244.25765281441</v>
      </c>
      <c r="AP290" s="12">
        <f>(AP155-AO155)*-1</f>
        <v>117.585175272417</v>
      </c>
      <c r="AQ290" s="12">
        <f>SUM(AM290:AP290)</f>
        <v>-849.809875462768</v>
      </c>
      <c r="AR290" s="12">
        <f>(AR155-AQ155)*-1</f>
        <v>597.188375088291</v>
      </c>
      <c r="AS290" s="12">
        <f>(AS155-AR155)*-1</f>
        <v>-249.462720465614</v>
      </c>
      <c r="AT290" s="12">
        <f>(AT155-AS155)*-1</f>
        <v>-1451.32905815951</v>
      </c>
      <c r="AU290" s="12">
        <f>(AU155-AT155)*-1</f>
        <v>137.153893565076</v>
      </c>
      <c r="AV290" s="12">
        <f>SUM(AR290:AU290)</f>
        <v>-966.449509971756</v>
      </c>
      <c r="AW290" s="12">
        <f>(AW155-AV155)*-1</f>
        <v>655.389674055513</v>
      </c>
      <c r="AX290" s="12">
        <f>(AX155-AW155)*-1</f>
        <v>-222.497400013469</v>
      </c>
      <c r="AY290" s="12">
        <f>(AY155-AX155)*-1</f>
        <v>-1685.60498211712</v>
      </c>
      <c r="AZ290" s="12">
        <f>(AZ155-AY155)*-1</f>
        <v>159.293500678084</v>
      </c>
      <c r="BA290" s="12">
        <f>SUM(AW290:AZ290)</f>
        <v>-1093.419207397</v>
      </c>
      <c r="BB290" s="12">
        <f>(BB155-BA155)*-1</f>
        <v>791.775224768699</v>
      </c>
      <c r="BC290" s="12">
        <f>(BC155-BB155)*-1</f>
        <v>-257.300809324624</v>
      </c>
      <c r="BD290" s="12">
        <f>(BD155-BC155)*-1</f>
        <v>-1949.27008618573</v>
      </c>
      <c r="BE290" s="12">
        <f>(BE155-BD155)*-1</f>
        <v>184.210452086822</v>
      </c>
      <c r="BF290" s="12">
        <f>SUM(BB290:BE290)</f>
        <v>-1230.58521865483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 hidden="1" outlineLevel="1">
      <c r="C291" s="10" t="inlineStr">
        <is>
          <t>Inventories</t>
        </is>
      </c>
      <c r="D291" s="12" t="n"/>
      <c r="E291" s="12" t="n"/>
      <c r="F291" s="12" t="n"/>
      <c r="G291" s="12" t="n"/>
      <c r="H291" s="12" t="n"/>
      <c r="I291" s="12" t="n"/>
      <c r="J291" s="12">
        <f>(J159-I159)*-1</f>
        <v>-189.01859462</v>
      </c>
      <c r="K291" s="12">
        <f>(K159-J159)*-1</f>
        <v>-665.81296646</v>
      </c>
      <c r="L291" s="12">
        <f>(L159-K159)*-1</f>
        <v>-6.32400000000007</v>
      </c>
      <c r="M291" s="12" t="n"/>
      <c r="N291" s="12">
        <f>(N159-M159)*-1</f>
        <v>-304.821</v>
      </c>
      <c r="O291" s="12">
        <f>(O159-N159)*-1</f>
        <v>-191.543</v>
      </c>
      <c r="P291" s="12">
        <f>(P159-O159)*-1</f>
        <v>-671.199</v>
      </c>
      <c r="Q291" s="12">
        <f>(Q159-P159)*-1</f>
        <v>680.818</v>
      </c>
      <c r="R291" s="12">
        <f>SUM(N291:Q291)</f>
        <v>-486.745</v>
      </c>
      <c r="S291" s="12">
        <f>(S159-R159)*-1</f>
        <v>-450.927</v>
      </c>
      <c r="T291" s="12">
        <f>(T159-S159)*-1</f>
        <v>-257.646000000001</v>
      </c>
      <c r="U291" s="12">
        <f>(U159-T159)*-1</f>
        <v>-245.527</v>
      </c>
      <c r="V291" s="12">
        <f>(V159-U159)*-1</f>
        <v>-148.179999999999</v>
      </c>
      <c r="W291" s="12">
        <f>SUM(S291:V291)</f>
        <v>-1102.28</v>
      </c>
      <c r="X291" s="12">
        <f>(X159-W159)*-1</f>
        <v>130.313</v>
      </c>
      <c r="Y291" s="12">
        <f>(Y159-X159)*-1</f>
        <v>-336.715</v>
      </c>
      <c r="Z291" s="12">
        <f>(Z159-Y159)*-1</f>
        <v>-669.35</v>
      </c>
      <c r="AA291" s="12">
        <f>(AA159-Z159)*-1</f>
        <v>1023.889</v>
      </c>
      <c r="AB291" s="12">
        <f>SUM(X291:AA291)</f>
        <v>148.137</v>
      </c>
      <c r="AC291" s="12">
        <f>(AC159-AB159)*-1</f>
        <v>-303.383</v>
      </c>
      <c r="AD291" s="12">
        <f>(AD159-AC159)*-1</f>
        <v>222.893</v>
      </c>
      <c r="AE291" s="12">
        <f>(AE159-AD159)*-1</f>
        <v>-710.279000000001</v>
      </c>
      <c r="AF291" s="12">
        <f>(AF159-AE159)*-1</f>
        <v>560.225</v>
      </c>
      <c r="AG291" s="12">
        <f>SUM(AC291:AF291)</f>
        <v>-230.544</v>
      </c>
      <c r="AH291" s="12">
        <f>(AH159-AG159)*-1</f>
        <v>-51.1710000000003</v>
      </c>
      <c r="AI291" s="12">
        <f>(AI159-AH159)*-1</f>
        <v>-514.787</v>
      </c>
      <c r="AJ291" s="12">
        <f>(AJ159-AI159)*-1</f>
        <v>-1248.43474026514</v>
      </c>
      <c r="AK291" s="12">
        <f>(AK159-AJ159)*-1</f>
        <v>138.614909260496</v>
      </c>
      <c r="AL291" s="12">
        <f>SUM(AH291:AK291)</f>
        <v>-1675.77783100465</v>
      </c>
      <c r="AM291" s="12">
        <f>(AM159-AL159)*-1</f>
        <v>609.130619973796</v>
      </c>
      <c r="AN291" s="12">
        <f>(AN159-AM159)*-1</f>
        <v>-226.803667676942</v>
      </c>
      <c r="AO291" s="12">
        <f>(AO159-AN159)*-1</f>
        <v>-1718.22858233645</v>
      </c>
      <c r="AP291" s="12">
        <f>(AP159-AO159)*-1</f>
        <v>162.376505022987</v>
      </c>
      <c r="AQ291" s="12">
        <f>SUM(AM291:AP291)</f>
        <v>-1173.52512501661</v>
      </c>
      <c r="AR291" s="12">
        <f>(AR159-AQ159)*-1</f>
        <v>824.673356675595</v>
      </c>
      <c r="AS291" s="12">
        <f>(AS159-AR159)*-1</f>
        <v>-344.489724906965</v>
      </c>
      <c r="AT291" s="12">
        <f>(AT159-AS159)*-1</f>
        <v>-2004.1790094395</v>
      </c>
      <c r="AU291" s="12">
        <f>(AU159-AT159)*-1</f>
        <v>189.399470093029</v>
      </c>
      <c r="AV291" s="12">
        <f>SUM(AR291:AU291)</f>
        <v>-1334.59590757784</v>
      </c>
      <c r="AW291" s="12">
        <f>(AW159-AV159)*-1</f>
        <v>905.045082891938</v>
      </c>
      <c r="AX291" s="12">
        <f>(AX159-AW159)*-1</f>
        <v>-307.252594616519</v>
      </c>
      <c r="AY291" s="12">
        <f>(AY159-AX159)*-1</f>
        <v>-2327.69688195307</v>
      </c>
      <c r="AZ291" s="12">
        <f>(AZ159-AY159)*-1</f>
        <v>219.972644111465</v>
      </c>
      <c r="BA291" s="12">
        <f>SUM(AW291:AZ291)</f>
        <v>-1509.93174956619</v>
      </c>
      <c r="BB291" s="12">
        <f>(BB159-BA159)*-1</f>
        <v>1093.38352784587</v>
      </c>
      <c r="BC291" s="12">
        <f>(BC159-BB159)*-1</f>
        <v>-355.313550887046</v>
      </c>
      <c r="BD291" s="12">
        <f>(BD159-BC159)*-1</f>
        <v>-2691.79905721449</v>
      </c>
      <c r="BE291" s="12">
        <f>(BE159-BD159)*-1</f>
        <v>254.38112695129</v>
      </c>
      <c r="BF291" s="12">
        <f>SUM(BB291:BE291)</f>
        <v>-1699.34795330437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 hidden="1" outlineLevel="1">
      <c r="C292" s="10" t="inlineStr">
        <is>
          <t>Deferred income taxes</t>
        </is>
      </c>
      <c r="D292" s="12" t="n"/>
      <c r="E292" s="12" t="n"/>
      <c r="F292" s="12" t="n"/>
      <c r="G292" s="12" t="n"/>
      <c r="H292" s="12" t="n"/>
      <c r="I292" s="12" t="n"/>
      <c r="J292" s="12">
        <f>(J163-I163)*-1</f>
        <v>0</v>
      </c>
      <c r="K292" s="12">
        <f>(K163-J163)*-1</f>
        <v>0</v>
      </c>
      <c r="L292" s="12">
        <f>(L163-K163)*-1</f>
        <v>0</v>
      </c>
      <c r="M292" s="12" t="n"/>
      <c r="N292" s="12">
        <f>(N163-M163)*-1</f>
        <v>0</v>
      </c>
      <c r="O292" s="12">
        <f>(O163-N163)*-1</f>
        <v>0</v>
      </c>
      <c r="P292" s="12">
        <f>(P163-O163)*-1</f>
        <v>0</v>
      </c>
      <c r="Q292" s="12">
        <f>(Q163-P163)*-1</f>
        <v>0</v>
      </c>
      <c r="R292" s="12">
        <f>SUM(N292:Q292)</f>
        <v>0</v>
      </c>
      <c r="S292" s="12">
        <f>(S163-R163)*-1</f>
        <v>0</v>
      </c>
      <c r="T292" s="12">
        <f>(T163-S163)*-1</f>
        <v>0</v>
      </c>
      <c r="U292" s="12">
        <f>(U163-T163)*-1</f>
        <v>0</v>
      </c>
      <c r="V292" s="12">
        <f>(V163-U163)*-1</f>
        <v>0</v>
      </c>
      <c r="W292" s="12">
        <f>SUM(S292:V292)</f>
        <v>0</v>
      </c>
      <c r="X292" s="12">
        <f>(X163-W163)*-1</f>
        <v>-42.1</v>
      </c>
      <c r="Y292" s="12">
        <f>(Y163-X163)*-1</f>
        <v>-97.476</v>
      </c>
      <c r="Z292" s="12">
        <f>(Z163-Y163)*-1</f>
        <v>-63.714</v>
      </c>
      <c r="AA292" s="12">
        <f>(AA163-Z163)*-1</f>
        <v>-300.253</v>
      </c>
      <c r="AB292" s="12">
        <f>SUM(X292:AA292)</f>
        <v>-503.543</v>
      </c>
      <c r="AC292" s="12">
        <f>(AC163-AB163)*-1</f>
        <v>-96.1</v>
      </c>
      <c r="AD292" s="12">
        <f>(AD163-AC163)*-1</f>
        <v>292.75</v>
      </c>
      <c r="AE292" s="12">
        <f>(AE163-AD163)*-1</f>
        <v>-495.73</v>
      </c>
      <c r="AF292" s="12">
        <f>(AF163-AE163)*-1</f>
        <v>-63.8449999999999</v>
      </c>
      <c r="AG292" s="12">
        <f>SUM(AC292:AF292)</f>
        <v>-362.925</v>
      </c>
      <c r="AH292" s="12">
        <f>(AH163-AG163)*-1</f>
        <v>-42.4100000000001</v>
      </c>
      <c r="AI292" s="12">
        <f>(AI163-AH163)*-1</f>
        <v>9.43500000000006</v>
      </c>
      <c r="AJ292" s="12">
        <f>(AJ163-AI163)*-1</f>
        <v>0</v>
      </c>
      <c r="AK292" s="12">
        <f>(AK163-AJ163)*-1</f>
        <v>0</v>
      </c>
      <c r="AL292" s="12">
        <f>SUM(AH292:AK292)</f>
        <v>-32.975</v>
      </c>
      <c r="AM292" s="12">
        <f>(AM163-AL163)*-1</f>
        <v>0</v>
      </c>
      <c r="AN292" s="12">
        <f>(AN163-AM163)*-1</f>
        <v>0</v>
      </c>
      <c r="AO292" s="12">
        <f>(AO163-AN163)*-1</f>
        <v>0</v>
      </c>
      <c r="AP292" s="12">
        <f>(AP163-AO163)*-1</f>
        <v>0</v>
      </c>
      <c r="AQ292" s="12">
        <f>SUM(AM292:AP292)</f>
        <v>0</v>
      </c>
      <c r="AR292" s="12">
        <f>(AR163-AQ163)*-1</f>
        <v>0</v>
      </c>
      <c r="AS292" s="12">
        <f>(AS163-AR163)*-1</f>
        <v>0</v>
      </c>
      <c r="AT292" s="12">
        <f>(AT163-AS163)*-1</f>
        <v>0</v>
      </c>
      <c r="AU292" s="12">
        <f>(AU163-AT163)*-1</f>
        <v>0</v>
      </c>
      <c r="AV292" s="12">
        <f>SUM(AR292:AU292)</f>
        <v>0</v>
      </c>
      <c r="AW292" s="12">
        <f>(AW163-AV163)*-1</f>
        <v>0</v>
      </c>
      <c r="AX292" s="12">
        <f>(AX163-AW163)*-1</f>
        <v>0</v>
      </c>
      <c r="AY292" s="12">
        <f>(AY163-AX163)*-1</f>
        <v>0</v>
      </c>
      <c r="AZ292" s="12">
        <f>(AZ163-AY163)*-1</f>
        <v>0</v>
      </c>
      <c r="BA292" s="12">
        <f>SUM(AW292:AZ292)</f>
        <v>0</v>
      </c>
      <c r="BB292" s="12">
        <f>(BB163-BA163)*-1</f>
        <v>0</v>
      </c>
      <c r="BC292" s="12">
        <f>(BC163-BB163)*-1</f>
        <v>0</v>
      </c>
      <c r="BD292" s="12">
        <f>(BD163-BC163)*-1</f>
        <v>0</v>
      </c>
      <c r="BE292" s="12">
        <f>(BE163-BD163)*-1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 hidden="1" outlineLevel="1">
      <c r="C293" s="10" t="inlineStr">
        <is>
          <t>Prepaid expenses</t>
        </is>
      </c>
      <c r="D293" s="12" t="n"/>
      <c r="E293" s="12" t="n"/>
      <c r="F293" s="12" t="n"/>
      <c r="G293" s="12" t="n"/>
      <c r="H293" s="12" t="n"/>
      <c r="I293" s="12" t="n"/>
      <c r="J293" s="12">
        <f>(J164-I164)*-1</f>
        <v>0</v>
      </c>
      <c r="K293" s="12">
        <f>(K164-J164)*-1</f>
        <v>0</v>
      </c>
      <c r="L293" s="12">
        <f>(L164-K164)*-1</f>
        <v>0</v>
      </c>
      <c r="M293" s="12" t="n"/>
      <c r="N293" s="12">
        <f>(N164-M164)*-1</f>
        <v>0</v>
      </c>
      <c r="O293" s="12">
        <f>(O164-N164)*-1</f>
        <v>0</v>
      </c>
      <c r="P293" s="12">
        <f>(P164-O164)*-1</f>
        <v>0</v>
      </c>
      <c r="Q293" s="12">
        <f>(Q164-P164)*-1</f>
        <v>0</v>
      </c>
      <c r="R293" s="12">
        <f>SUM(N293:Q293)</f>
        <v>0</v>
      </c>
      <c r="S293" s="12">
        <f>(S164-R164)*-1</f>
        <v>0</v>
      </c>
      <c r="T293" s="12">
        <f>(T164-S164)*-1</f>
        <v>0</v>
      </c>
      <c r="U293" s="12">
        <f>(U164-T164)*-1</f>
        <v>0</v>
      </c>
      <c r="V293" s="12">
        <f>(V164-U164)*-1</f>
        <v>0</v>
      </c>
      <c r="W293" s="12">
        <f>SUM(S293:V293)</f>
        <v>0</v>
      </c>
      <c r="X293" s="12">
        <f>(X164-W164)*-1</f>
        <v>0</v>
      </c>
      <c r="Y293" s="12">
        <f>(Y164-X164)*-1</f>
        <v>0</v>
      </c>
      <c r="Z293" s="12">
        <f>(Z164-Y164)*-1</f>
        <v>0</v>
      </c>
      <c r="AA293" s="12">
        <f>(AA164-Z164)*-1</f>
        <v>0</v>
      </c>
      <c r="AB293" s="12">
        <f>SUM(X293:AA293)</f>
        <v>0</v>
      </c>
      <c r="AC293" s="12">
        <f>(AC164-AB164)*-1</f>
        <v>0</v>
      </c>
      <c r="AD293" s="12">
        <f>(AD164-AC164)*-1</f>
        <v>0</v>
      </c>
      <c r="AE293" s="12">
        <f>(AE164-AD164)*-1</f>
        <v>0</v>
      </c>
      <c r="AF293" s="12">
        <f>(AF164-AE164)*-1</f>
        <v>0</v>
      </c>
      <c r="AG293" s="12">
        <f>SUM(AC293:AF293)</f>
        <v>0</v>
      </c>
      <c r="AH293" s="12">
        <f>(AH164-AG164)*-1</f>
        <v>0</v>
      </c>
      <c r="AI293" s="12">
        <f>(AI164-AH164)*-1</f>
        <v>0</v>
      </c>
      <c r="AJ293" s="12">
        <f>(AJ164-AI164)*-1</f>
        <v>0</v>
      </c>
      <c r="AK293" s="12">
        <f>(AK164-AJ164)*-1</f>
        <v>0</v>
      </c>
      <c r="AL293" s="12">
        <f>SUM(AH293:AK293)</f>
        <v>0</v>
      </c>
      <c r="AM293" s="12">
        <f>(AM164-AL164)*-1</f>
        <v>0</v>
      </c>
      <c r="AN293" s="12">
        <f>(AN164-AM164)*-1</f>
        <v>0</v>
      </c>
      <c r="AO293" s="12">
        <f>(AO164-AN164)*-1</f>
        <v>0</v>
      </c>
      <c r="AP293" s="12">
        <f>(AP164-AO164)*-1</f>
        <v>0</v>
      </c>
      <c r="AQ293" s="12">
        <f>SUM(AM293:AP293)</f>
        <v>0</v>
      </c>
      <c r="AR293" s="12">
        <f>(AR164-AQ164)*-1</f>
        <v>0</v>
      </c>
      <c r="AS293" s="12">
        <f>(AS164-AR164)*-1</f>
        <v>0</v>
      </c>
      <c r="AT293" s="12">
        <f>(AT164-AS164)*-1</f>
        <v>0</v>
      </c>
      <c r="AU293" s="12">
        <f>(AU164-AT164)*-1</f>
        <v>0</v>
      </c>
      <c r="AV293" s="12">
        <f>SUM(AR293:AU293)</f>
        <v>0</v>
      </c>
      <c r="AW293" s="12">
        <f>(AW164-AV164)*-1</f>
        <v>0</v>
      </c>
      <c r="AX293" s="12">
        <f>(AX164-AW164)*-1</f>
        <v>0</v>
      </c>
      <c r="AY293" s="12">
        <f>(AY164-AX164)*-1</f>
        <v>0</v>
      </c>
      <c r="AZ293" s="12">
        <f>(AZ164-AY164)*-1</f>
        <v>0</v>
      </c>
      <c r="BA293" s="12">
        <f>SUM(AW293:AZ293)</f>
        <v>0</v>
      </c>
      <c r="BB293" s="12">
        <f>(BB164-BA164)*-1</f>
        <v>0</v>
      </c>
      <c r="BC293" s="12">
        <f>(BC164-BB164)*-1</f>
        <v>0</v>
      </c>
      <c r="BD293" s="12">
        <f>(BD164-BC164)*-1</f>
        <v>0</v>
      </c>
      <c r="BE293" s="12">
        <f>(BE164-BD164)*-1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 hidden="1" outlineLevel="1">
      <c r="C294" s="10" t="inlineStr">
        <is>
          <t>Other current assets</t>
        </is>
      </c>
      <c r="D294" s="12" t="n"/>
      <c r="E294" s="12" t="n"/>
      <c r="F294" s="12" t="n"/>
      <c r="G294" s="12" t="n"/>
      <c r="H294" s="12" t="n"/>
      <c r="I294" s="12" t="n"/>
      <c r="J294" s="12">
        <f>(J165-I165)*-1</f>
        <v>-25.27021223</v>
      </c>
      <c r="K294" s="12">
        <f>(K165-J165)*-1</f>
        <v>-77.2468976</v>
      </c>
      <c r="L294" s="12">
        <f>(L165-K165)*-1</f>
        <v>130.764</v>
      </c>
      <c r="M294" s="12" t="n"/>
      <c r="N294" s="12">
        <f>(N165-M165)*-1</f>
        <v>-54.864</v>
      </c>
      <c r="O294" s="12">
        <f>(O165-N165)*-1</f>
        <v>15.994</v>
      </c>
      <c r="P294" s="12">
        <f>(P165-O165)*-1</f>
        <v>-29.56</v>
      </c>
      <c r="Q294" s="12">
        <f>(Q165-P165)*-1</f>
        <v>-322.551</v>
      </c>
      <c r="R294" s="12">
        <f>SUM(N294:Q294)</f>
        <v>-390.981</v>
      </c>
      <c r="S294" s="12">
        <f>(S165-R165)*-1</f>
        <v>-57.828</v>
      </c>
      <c r="T294" s="12">
        <f>(T165-S165)*-1</f>
        <v>83.744</v>
      </c>
      <c r="U294" s="12">
        <f>(U165-T165)*-1</f>
        <v>63.325</v>
      </c>
      <c r="V294" s="12">
        <f>(V165-U165)*-1</f>
        <v>-154.366</v>
      </c>
      <c r="W294" s="12">
        <f>SUM(S294:V294)</f>
        <v>-65.1250000000001</v>
      </c>
      <c r="X294" s="12">
        <f>(X165-W165)*-1</f>
        <v>-84.068</v>
      </c>
      <c r="Y294" s="12">
        <f>(Y165-X165)*-1</f>
        <v>-93.5219999999999</v>
      </c>
      <c r="Z294" s="12">
        <f>(Z165-Y165)*-1</f>
        <v>-47.7660000000001</v>
      </c>
      <c r="AA294" s="12">
        <f>(AA165-Z165)*-1</f>
        <v>-97.189</v>
      </c>
      <c r="AB294" s="12">
        <f>SUM(X294:AA294)</f>
        <v>-322.545</v>
      </c>
      <c r="AC294" s="12">
        <f>(AC165-AB165)*-1</f>
        <v>-138.516</v>
      </c>
      <c r="AD294" s="12">
        <f>(AD165-AC165)*-1</f>
        <v>-49.886</v>
      </c>
      <c r="AE294" s="12">
        <f>(AE165-AD165)*-1</f>
        <v>-463.726</v>
      </c>
      <c r="AF294" s="12">
        <f>(AF165-AE165)*-1</f>
        <v>-190.094</v>
      </c>
      <c r="AG294" s="12">
        <f>SUM(AC294:AF294)</f>
        <v>-842.222</v>
      </c>
      <c r="AH294" s="12">
        <f>(AH165-AG165)*-1</f>
        <v>-33.0529999999999</v>
      </c>
      <c r="AI294" s="12">
        <f>(AI165-AH165)*-1</f>
        <v>-15.019</v>
      </c>
      <c r="AJ294" s="12">
        <f>(AJ165-AI165)*-1</f>
        <v>0</v>
      </c>
      <c r="AK294" s="12">
        <f>(AK165-AJ165)*-1</f>
        <v>0</v>
      </c>
      <c r="AL294" s="12">
        <f>SUM(AH294:AK294)</f>
        <v>-48.0719999999999</v>
      </c>
      <c r="AM294" s="12">
        <f>(AM165-AL165)*-1</f>
        <v>0</v>
      </c>
      <c r="AN294" s="12">
        <f>(AN165-AM165)*-1</f>
        <v>0</v>
      </c>
      <c r="AO294" s="12">
        <f>(AO165-AN165)*-1</f>
        <v>0</v>
      </c>
      <c r="AP294" s="12">
        <f>(AP165-AO165)*-1</f>
        <v>0</v>
      </c>
      <c r="AQ294" s="12">
        <f>SUM(AM294:AP294)</f>
        <v>0</v>
      </c>
      <c r="AR294" s="12">
        <f>(AR165-AQ165)*-1</f>
        <v>0</v>
      </c>
      <c r="AS294" s="12">
        <f>(AS165-AR165)*-1</f>
        <v>0</v>
      </c>
      <c r="AT294" s="12">
        <f>(AT165-AS165)*-1</f>
        <v>0</v>
      </c>
      <c r="AU294" s="12">
        <f>(AU165-AT165)*-1</f>
        <v>0</v>
      </c>
      <c r="AV294" s="12">
        <f>SUM(AR294:AU294)</f>
        <v>0</v>
      </c>
      <c r="AW294" s="12">
        <f>(AW165-AV165)*-1</f>
        <v>0</v>
      </c>
      <c r="AX294" s="12">
        <f>(AX165-AW165)*-1</f>
        <v>0</v>
      </c>
      <c r="AY294" s="12">
        <f>(AY165-AX165)*-1</f>
        <v>0</v>
      </c>
      <c r="AZ294" s="12">
        <f>(AZ165-AY165)*-1</f>
        <v>0</v>
      </c>
      <c r="BA294" s="12">
        <f>SUM(AW294:AZ294)</f>
        <v>0</v>
      </c>
      <c r="BB294" s="12">
        <f>(BB165-BA165)*-1</f>
        <v>0</v>
      </c>
      <c r="BC294" s="12">
        <f>(BC165-BB165)*-1</f>
        <v>0</v>
      </c>
      <c r="BD294" s="12">
        <f>(BD165-BC165)*-1</f>
        <v>0</v>
      </c>
      <c r="BE294" s="12">
        <f>(BE165-BD165)*-1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 hidden="1" outlineLevel="1">
      <c r="C295" s="10" t="inlineStr">
        <is>
          <t>Accounts payable</t>
        </is>
      </c>
      <c r="D295" s="12" t="n"/>
      <c r="E295" s="12" t="n"/>
      <c r="F295" s="12" t="n"/>
      <c r="G295" s="12" t="n"/>
      <c r="H295" s="12" t="n"/>
      <c r="I295" s="12" t="n"/>
      <c r="J295" s="12">
        <f>J208-I208</f>
        <v>323.81002485</v>
      </c>
      <c r="K295" s="12">
        <f>K208-J208</f>
        <v>0.813088190000144</v>
      </c>
      <c r="L295" s="12">
        <f>L208-K208</f>
        <v>13.982</v>
      </c>
      <c r="M295" s="12" t="n"/>
      <c r="N295" s="12">
        <f>N208-M208</f>
        <v>203.512</v>
      </c>
      <c r="O295" s="12">
        <f>O208-N208</f>
        <v>357.099</v>
      </c>
      <c r="P295" s="12">
        <f>P208-O208</f>
        <v>-181.053</v>
      </c>
      <c r="Q295" s="12">
        <f>Q208-P208</f>
        <v>572.431</v>
      </c>
      <c r="R295" s="12">
        <f>SUM(N295:Q295)</f>
        <v>951.989</v>
      </c>
      <c r="S295" s="12">
        <f>S208-R208</f>
        <v>189.674</v>
      </c>
      <c r="T295" s="12">
        <f>T208-S208</f>
        <v>-14.511</v>
      </c>
      <c r="U295" s="12">
        <f>U208-T208</f>
        <v>124.339</v>
      </c>
      <c r="V295" s="12">
        <f>V208-U208</f>
        <v>731.13</v>
      </c>
      <c r="W295" s="12">
        <f>SUM(S295:V295)</f>
        <v>1030.632</v>
      </c>
      <c r="X295" s="12">
        <f>X208-W208</f>
        <v>-415.823</v>
      </c>
      <c r="Y295" s="12">
        <f>Y208-X208</f>
        <v>164.52</v>
      </c>
      <c r="Z295" s="12">
        <f>Z208-Y208</f>
        <v>171.018</v>
      </c>
      <c r="AA295" s="12">
        <f>AA208-Z208</f>
        <v>119.648</v>
      </c>
      <c r="AB295" s="12">
        <f>SUM(X295:AA295)</f>
        <v>39.3629999999998</v>
      </c>
      <c r="AC295" s="12">
        <f>AC208-AB208</f>
        <v>676.608</v>
      </c>
      <c r="AD295" s="12">
        <f>AD208-AC208</f>
        <v>-397.4</v>
      </c>
      <c r="AE295" s="12">
        <f>AE208-AD208</f>
        <v>775.37</v>
      </c>
      <c r="AF295" s="12">
        <f>AF208-AE208</f>
        <v>336.726</v>
      </c>
      <c r="AG295" s="12">
        <f>SUM(AC295:AF295)</f>
        <v>1391.304</v>
      </c>
      <c r="AH295" s="12">
        <f>AH208-AG208</f>
        <v>164.915</v>
      </c>
      <c r="AI295" s="12">
        <f>AI208-AH208</f>
        <v>155.768</v>
      </c>
      <c r="AJ295" s="12">
        <f>AJ208-AI208</f>
        <v>654.248143250436</v>
      </c>
      <c r="AK295" s="12">
        <f>AK208-AJ208</f>
        <v>-108.058690380916</v>
      </c>
      <c r="AL295" s="12">
        <f>SUM(AH295:AK295)</f>
        <v>866.87245286952</v>
      </c>
      <c r="AM295" s="12">
        <f>AM208-AL208</f>
        <v>-474.85409337596</v>
      </c>
      <c r="AN295" s="12">
        <f>AN208-AM208</f>
        <v>176.807151795636</v>
      </c>
      <c r="AO295" s="12">
        <f>AO208-AN208</f>
        <v>1339.46291472449</v>
      </c>
      <c r="AP295" s="12">
        <f>AP208-AO208</f>
        <v>-126.582288839074</v>
      </c>
      <c r="AQ295" s="12">
        <f>SUM(AM295:AP295)</f>
        <v>914.83368430509</v>
      </c>
      <c r="AR295" s="12">
        <f>AR208-AQ208</f>
        <v>-642.882669619113</v>
      </c>
      <c r="AS295" s="12">
        <f>AS208-AR208</f>
        <v>268.550538479034</v>
      </c>
      <c r="AT295" s="12">
        <f>AT208-AS208</f>
        <v>1562.37853636624</v>
      </c>
      <c r="AU295" s="12">
        <f>AU208-AT208</f>
        <v>-147.648321571457</v>
      </c>
      <c r="AV295" s="12">
        <f>SUM(AR295:AU295)</f>
        <v>1040.39808365471</v>
      </c>
      <c r="AW295" s="12">
        <f>AW208-AV208</f>
        <v>-705.537282495354</v>
      </c>
      <c r="AX295" s="12">
        <f>AX208-AW208</f>
        <v>239.521947296484</v>
      </c>
      <c r="AY295" s="12">
        <f>AY208-AX208</f>
        <v>1814.5802497688</v>
      </c>
      <c r="AZ295" s="12">
        <f>AZ208-AY208</f>
        <v>-171.481956516251</v>
      </c>
      <c r="BA295" s="12">
        <f>SUM(AW295:AZ295)</f>
        <v>1177.08295805368</v>
      </c>
      <c r="BB295" s="12">
        <f>BB208-BA208</f>
        <v>-852.358470913504</v>
      </c>
      <c r="BC295" s="12">
        <f>BC208-BB208</f>
        <v>276.988364298481</v>
      </c>
      <c r="BD295" s="12">
        <f>BD208-BC208</f>
        <v>2098.41987736364</v>
      </c>
      <c r="BE295" s="12">
        <f>BE208-BD208</f>
        <v>-198.305446236813</v>
      </c>
      <c r="BF295" s="12">
        <f>SUM(BB295:BE295)</f>
        <v>1324.7443245118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 hidden="1" outlineLevel="1">
      <c r="C296" s="10" t="inlineStr">
        <is>
          <t>Accrued expenses</t>
        </is>
      </c>
      <c r="D296" s="12" t="n"/>
      <c r="E296" s="12" t="n"/>
      <c r="F296" s="12" t="n"/>
      <c r="G296" s="12" t="n"/>
      <c r="H296" s="12" t="n"/>
      <c r="I296" s="12" t="n"/>
      <c r="J296" s="12">
        <f>J212-I212</f>
        <v>37.86511332</v>
      </c>
      <c r="K296" s="12">
        <f>K212-J212</f>
        <v>34.28984038</v>
      </c>
      <c r="L296" s="12">
        <f>L212-K212</f>
        <v>-47.233</v>
      </c>
      <c r="M296" s="12" t="n"/>
      <c r="N296" s="12">
        <f>N212-M212</f>
        <v>13.129</v>
      </c>
      <c r="O296" s="12">
        <f>O212-N212</f>
        <v>29.881</v>
      </c>
      <c r="P296" s="12">
        <f>P212-O212</f>
        <v>60.891</v>
      </c>
      <c r="Q296" s="12">
        <f>Q212-P212</f>
        <v>-27.274</v>
      </c>
      <c r="R296" s="12">
        <f>SUM(N296:Q296)</f>
        <v>76.627</v>
      </c>
      <c r="S296" s="12">
        <f>S212-R212</f>
        <v>7.78499999999997</v>
      </c>
      <c r="T296" s="12">
        <f>T212-S212</f>
        <v>47.986</v>
      </c>
      <c r="U296" s="12">
        <f>U212-T212</f>
        <v>53.677</v>
      </c>
      <c r="V296" s="12">
        <f>V212-U212</f>
        <v>-16.5</v>
      </c>
      <c r="W296" s="12">
        <f>SUM(S296:V296)</f>
        <v>92.948</v>
      </c>
      <c r="X296" s="12">
        <f>X212-W212</f>
        <v>35.65</v>
      </c>
      <c r="Y296" s="12">
        <f>Y212-X212</f>
        <v>24.704</v>
      </c>
      <c r="Z296" s="12">
        <f>Z212-Y212</f>
        <v>40.119</v>
      </c>
      <c r="AA296" s="12">
        <f>AA212-Z212</f>
        <v>-49.657</v>
      </c>
      <c r="AB296" s="12">
        <f>SUM(X296:AA296)</f>
        <v>50.816</v>
      </c>
      <c r="AC296" s="12">
        <f>AC212-AB212</f>
        <v>37.032</v>
      </c>
      <c r="AD296" s="12">
        <f>AD212-AC212</f>
        <v>-9.596</v>
      </c>
      <c r="AE296" s="12">
        <f>AE212-AD212</f>
        <v>123.514</v>
      </c>
      <c r="AF296" s="12">
        <f>AF212-AE212</f>
        <v>-69.419</v>
      </c>
      <c r="AG296" s="12">
        <f>SUM(AC296:AF296)</f>
        <v>81.531</v>
      </c>
      <c r="AH296" s="12">
        <f>AH212-AG212</f>
        <v>18.841</v>
      </c>
      <c r="AI296" s="12">
        <f>AI212-AH212</f>
        <v>18.093</v>
      </c>
      <c r="AJ296" s="12">
        <f>AJ212-AI212</f>
        <v>96.6022681185499</v>
      </c>
      <c r="AK296" s="12">
        <f>AK212-AJ212</f>
        <v>113.161987827048</v>
      </c>
      <c r="AL296" s="12">
        <f>SUM(AH296:AK296)</f>
        <v>246.698255945598</v>
      </c>
      <c r="AM296" s="12">
        <f>AM212-AL212</f>
        <v>132.560401928182</v>
      </c>
      <c r="AN296" s="12">
        <f>AN212-AM212</f>
        <v>155.284124084298</v>
      </c>
      <c r="AO296" s="12">
        <f>AO212-AN212</f>
        <v>181.903184072205</v>
      </c>
      <c r="AP296" s="12">
        <f>AP212-AO212</f>
        <v>213.085327110736</v>
      </c>
      <c r="AQ296" s="12">
        <f>SUM(AM296:AP296)</f>
        <v>682.833037195421</v>
      </c>
      <c r="AR296" s="12">
        <f>AR212-AQ212</f>
        <v>242.332097936845</v>
      </c>
      <c r="AS296" s="12">
        <f>AS212-AR212</f>
        <v>282.661404303983</v>
      </c>
      <c r="AT296" s="12">
        <f>AT212-AS212</f>
        <v>329.702380177148</v>
      </c>
      <c r="AU296" s="12">
        <f>AU212-AT212</f>
        <v>384.571992636013</v>
      </c>
      <c r="AV296" s="12">
        <f>SUM(AR296:AU296)</f>
        <v>1239.26787505399</v>
      </c>
      <c r="AW296" s="12">
        <f>AW212-AV212</f>
        <v>435.096090418052</v>
      </c>
      <c r="AX296" s="12">
        <f>AX212-AW212</f>
        <v>505.330017052373</v>
      </c>
      <c r="AY296" s="12">
        <f>AY212-AX212</f>
        <v>586.901219656552</v>
      </c>
      <c r="AZ296" s="12">
        <f>AZ212-AY212</f>
        <v>681.639779967095</v>
      </c>
      <c r="BA296" s="12">
        <f>SUM(AW296:AZ296)</f>
        <v>2208.96710709407</v>
      </c>
      <c r="BB296" s="12">
        <f>BB212-BA212</f>
        <v>767.149353148398</v>
      </c>
      <c r="BC296" s="12">
        <f>BC212-BB212</f>
        <v>887.148116903822</v>
      </c>
      <c r="BD296" s="12">
        <f>BD212-BC212</f>
        <v>1025.91728467997</v>
      </c>
      <c r="BE296" s="12">
        <f>BE212-BD212</f>
        <v>1186.39295395046</v>
      </c>
      <c r="BF296" s="12">
        <f>SUM(BB296:BE296)</f>
        <v>3866.60770868265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 hidden="1" outlineLevel="1">
      <c r="C297" s="10" t="inlineStr">
        <is>
          <t>Taxes payable</t>
        </is>
      </c>
      <c r="D297" s="12" t="n"/>
      <c r="E297" s="12" t="n"/>
      <c r="F297" s="12" t="n"/>
      <c r="G297" s="12" t="n"/>
      <c r="H297" s="12" t="n"/>
      <c r="I297" s="12" t="n"/>
      <c r="J297" s="12">
        <f>J214-I214</f>
        <v>2.05251383000001</v>
      </c>
      <c r="K297" s="12">
        <f>K214-J214</f>
        <v>17.77435428</v>
      </c>
      <c r="L297" s="12">
        <f>L214-K214</f>
        <v>26.609</v>
      </c>
      <c r="M297" s="12" t="n"/>
      <c r="N297" s="12">
        <f>N214-M214</f>
        <v>-13.174</v>
      </c>
      <c r="O297" s="12">
        <f>O214-N214</f>
        <v>3.861</v>
      </c>
      <c r="P297" s="12">
        <f>P214-O214</f>
        <v>-0.447000000000003</v>
      </c>
      <c r="Q297" s="12">
        <f>Q214-P214</f>
        <v>23.708</v>
      </c>
      <c r="R297" s="12">
        <f>SUM(N297:Q297)</f>
        <v>13.948</v>
      </c>
      <c r="S297" s="12">
        <f>S214-R214</f>
        <v>-16.621</v>
      </c>
      <c r="T297" s="12">
        <f>T214-S214</f>
        <v>50.006</v>
      </c>
      <c r="U297" s="12">
        <f>U214-T214</f>
        <v>-19.426</v>
      </c>
      <c r="V297" s="12">
        <f>V214-U214</f>
        <v>68.362</v>
      </c>
      <c r="W297" s="12">
        <f>SUM(S297:V297)</f>
        <v>82.321</v>
      </c>
      <c r="X297" s="12">
        <f>X214-W214</f>
        <v>75.677</v>
      </c>
      <c r="Y297" s="12">
        <f>Y214-X214</f>
        <v>224.352</v>
      </c>
      <c r="Z297" s="12">
        <f>Z214-Y214</f>
        <v>132.552</v>
      </c>
      <c r="AA297" s="12">
        <f>AA214-Z214</f>
        <v>-222.905</v>
      </c>
      <c r="AB297" s="12">
        <f>SUM(X297:AA297)</f>
        <v>209.676</v>
      </c>
      <c r="AC297" s="12">
        <f>AC214-AB214</f>
        <v>-33.353</v>
      </c>
      <c r="AD297" s="12">
        <f>AD214-AC214</f>
        <v>-48.222</v>
      </c>
      <c r="AE297" s="12">
        <f>AE214-AD214</f>
        <v>15.775</v>
      </c>
      <c r="AF297" s="12">
        <f>AF214-AE214</f>
        <v>2.73700000000002</v>
      </c>
      <c r="AG297" s="12">
        <f>SUM(AC297:AF297)</f>
        <v>-63.063</v>
      </c>
      <c r="AH297" s="12">
        <f>AH214-AG214</f>
        <v>-97.003</v>
      </c>
      <c r="AI297" s="12">
        <f>AI214-AH214</f>
        <v>-55.789</v>
      </c>
      <c r="AJ297" s="12">
        <f>AJ214-AI214</f>
        <v>37.4912851276082</v>
      </c>
      <c r="AK297" s="12">
        <f>AK214-AJ214</f>
        <v>43.918102896138</v>
      </c>
      <c r="AL297" s="12">
        <f>SUM(AH297:AK297)</f>
        <v>-71.3826119762538</v>
      </c>
      <c r="AM297" s="12">
        <f>AM214-AL214</f>
        <v>51.4466163384572</v>
      </c>
      <c r="AN297" s="12">
        <f>AN214-AM214</f>
        <v>60.2656799392206</v>
      </c>
      <c r="AO297" s="12">
        <f>AO214-AN214</f>
        <v>70.5965219295022</v>
      </c>
      <c r="AP297" s="12">
        <f>AP214-AO214</f>
        <v>82.6982938476597</v>
      </c>
      <c r="AQ297" s="12">
        <f>SUM(AM297:AP297)</f>
        <v>265.00711205484</v>
      </c>
      <c r="AR297" s="12">
        <f>AR214-AQ214</f>
        <v>94.0489489146595</v>
      </c>
      <c r="AS297" s="12">
        <f>AS214-AR214</f>
        <v>109.700729700526</v>
      </c>
      <c r="AT297" s="12">
        <f>AT214-AS214</f>
        <v>127.95730559145</v>
      </c>
      <c r="AU297" s="12">
        <f>AU214-AT214</f>
        <v>149.252170873622</v>
      </c>
      <c r="AV297" s="12">
        <f>SUM(AR297:AU297)</f>
        <v>480.959155080257</v>
      </c>
      <c r="AW297" s="12">
        <f>AW214-AV214</f>
        <v>168.860544389624</v>
      </c>
      <c r="AX297" s="12">
        <f>AX214-AW214</f>
        <v>196.118291235148</v>
      </c>
      <c r="AY297" s="12">
        <f>AY214-AX214</f>
        <v>227.776028414591</v>
      </c>
      <c r="AZ297" s="12">
        <f>AZ214-AY214</f>
        <v>264.544009605497</v>
      </c>
      <c r="BA297" s="12">
        <f>SUM(AW297:AZ297)</f>
        <v>857.298873644861</v>
      </c>
      <c r="BB297" s="12">
        <f>BB214-BA214</f>
        <v>297.730226158364</v>
      </c>
      <c r="BC297" s="12">
        <f>BC214-BB214</f>
        <v>344.301677890678</v>
      </c>
      <c r="BD297" s="12">
        <f>BD214-BC214</f>
        <v>398.157912711496</v>
      </c>
      <c r="BE297" s="12">
        <f>BE214-BD214</f>
        <v>460.438428374757</v>
      </c>
      <c r="BF297" s="12">
        <f>SUM(BB297:BE297)</f>
        <v>1500.6282451353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 hidden="1" outlineLevel="1">
      <c r="C298" s="10" t="inlineStr">
        <is>
          <t>Other current liabilities (non-debt)</t>
        </is>
      </c>
      <c r="D298" s="12" t="n"/>
      <c r="E298" s="12" t="n"/>
      <c r="F298" s="12" t="n"/>
      <c r="G298" s="12" t="n"/>
      <c r="H298" s="12" t="n"/>
      <c r="I298" s="12" t="n"/>
      <c r="J298" s="12">
        <f>J215-I215</f>
        <v>-0.878668939999999</v>
      </c>
      <c r="K298" s="12">
        <f>K215-J215</f>
        <v>-0.918094880000002</v>
      </c>
      <c r="L298" s="12">
        <f>L215-K215</f>
        <v>-3.622</v>
      </c>
      <c r="M298" s="12" t="n"/>
      <c r="N298" s="12">
        <f>N215-M215</f>
        <v>3.551</v>
      </c>
      <c r="O298" s="12">
        <f>O215-N215</f>
        <v>94.058</v>
      </c>
      <c r="P298" s="12">
        <f>P215-O215</f>
        <v>-47.79</v>
      </c>
      <c r="Q298" s="12">
        <f>Q215-P215</f>
        <v>-28.51</v>
      </c>
      <c r="R298" s="12">
        <f>SUM(N298:Q298)</f>
        <v>21.309</v>
      </c>
      <c r="S298" s="12">
        <f>S215-R215</f>
        <v>-4.715</v>
      </c>
      <c r="T298" s="12">
        <f>T215-S215</f>
        <v>33.826</v>
      </c>
      <c r="U298" s="12">
        <f>U215-T215</f>
        <v>10.362</v>
      </c>
      <c r="V298" s="12">
        <f>V215-U215</f>
        <v>9.087</v>
      </c>
      <c r="W298" s="12">
        <f>SUM(S298:V298)</f>
        <v>48.56</v>
      </c>
      <c r="X298" s="12">
        <f>X215-W215</f>
        <v>102.189</v>
      </c>
      <c r="Y298" s="12">
        <f>Y215-X215</f>
        <v>160.184</v>
      </c>
      <c r="Z298" s="12">
        <f>Z215-Y215</f>
        <v>120.208</v>
      </c>
      <c r="AA298" s="12">
        <f>AA215-Z215</f>
        <v>-244.338</v>
      </c>
      <c r="AB298" s="12">
        <f>SUM(X298:AA298)</f>
        <v>138.243</v>
      </c>
      <c r="AC298" s="12">
        <f>AC215-AB215</f>
        <v>16.594</v>
      </c>
      <c r="AD298" s="12">
        <f>AD215-AC215</f>
        <v>158.953</v>
      </c>
      <c r="AE298" s="12">
        <f>AE215-AD215</f>
        <v>117.36</v>
      </c>
      <c r="AF298" s="12">
        <f>AF215-AE215</f>
        <v>-5.32100000000003</v>
      </c>
      <c r="AG298" s="12">
        <f>SUM(AC298:AF298)</f>
        <v>287.586</v>
      </c>
      <c r="AH298" s="12">
        <f>AH215-AG215</f>
        <v>-190.162</v>
      </c>
      <c r="AI298" s="12">
        <f>AI215-AH215</f>
        <v>-150.998</v>
      </c>
      <c r="AJ298" s="12">
        <f>AJ215-AI215</f>
        <v>0</v>
      </c>
      <c r="AK298" s="12">
        <f>AK215-AJ215</f>
        <v>0</v>
      </c>
      <c r="AL298" s="12">
        <f>SUM(AH298:AK298)</f>
        <v>-341.16</v>
      </c>
      <c r="AM298" s="12">
        <f>AM215-AL215</f>
        <v>0</v>
      </c>
      <c r="AN298" s="12">
        <f>AN215-AM215</f>
        <v>0</v>
      </c>
      <c r="AO298" s="12">
        <f>AO215-AN215</f>
        <v>0</v>
      </c>
      <c r="AP298" s="12">
        <f>AP215-AO215</f>
        <v>0</v>
      </c>
      <c r="AQ298" s="12">
        <f>SUM(AM298:AP298)</f>
        <v>0</v>
      </c>
      <c r="AR298" s="12">
        <f>AR215-AQ215</f>
        <v>0</v>
      </c>
      <c r="AS298" s="12">
        <f>AS215-AR215</f>
        <v>0</v>
      </c>
      <c r="AT298" s="12">
        <f>AT215-AS215</f>
        <v>0</v>
      </c>
      <c r="AU298" s="12">
        <f>AU215-AT215</f>
        <v>0</v>
      </c>
      <c r="AV298" s="12">
        <f>SUM(AR298:AU298)</f>
        <v>0</v>
      </c>
      <c r="AW298" s="12">
        <f>AW215-AV215</f>
        <v>0</v>
      </c>
      <c r="AX298" s="12">
        <f>AX215-AW215</f>
        <v>0</v>
      </c>
      <c r="AY298" s="12">
        <f>AY215-AX215</f>
        <v>0</v>
      </c>
      <c r="AZ298" s="12">
        <f>AZ215-AY215</f>
        <v>0</v>
      </c>
      <c r="BA298" s="12">
        <f>SUM(AW298:AZ298)</f>
        <v>0</v>
      </c>
      <c r="BB298" s="12">
        <f>BB215-BA215</f>
        <v>0</v>
      </c>
      <c r="BC298" s="12">
        <f>BC215-BB215</f>
        <v>0</v>
      </c>
      <c r="BD298" s="12">
        <f>BD215-BC215</f>
        <v>0</v>
      </c>
      <c r="BE298" s="12">
        <f>BE215-BD215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 hidden="1" outlineLevel="1">
      <c r="C299" s="10" t="inlineStr">
        <is>
          <t>Deferred income taxes</t>
        </is>
      </c>
      <c r="D299" s="12" t="n"/>
      <c r="E299" s="12" t="n"/>
      <c r="F299" s="12" t="n"/>
      <c r="G299" s="12" t="n"/>
      <c r="H299" s="12" t="n"/>
      <c r="I299" s="12" t="n"/>
      <c r="J299" s="12">
        <f>J249-I249</f>
        <v>0</v>
      </c>
      <c r="K299" s="12">
        <f>K249-J249</f>
        <v>0</v>
      </c>
      <c r="L299" s="12">
        <f>L249-K249</f>
        <v>0</v>
      </c>
      <c r="M299" s="12" t="n"/>
      <c r="N299" s="12">
        <f>N249-M249</f>
        <v>0</v>
      </c>
      <c r="O299" s="12">
        <f>O249-N249</f>
        <v>0</v>
      </c>
      <c r="P299" s="12">
        <f>P249-O249</f>
        <v>0</v>
      </c>
      <c r="Q299" s="12">
        <f>Q249-P249</f>
        <v>0</v>
      </c>
      <c r="R299" s="12">
        <f>SUM(N299:Q299)</f>
        <v>0</v>
      </c>
      <c r="S299" s="12">
        <f>S249-R249</f>
        <v>0</v>
      </c>
      <c r="T299" s="12">
        <f>T249-S249</f>
        <v>0</v>
      </c>
      <c r="U299" s="12">
        <f>U249-T249</f>
        <v>0</v>
      </c>
      <c r="V299" s="12">
        <f>V249-U249</f>
        <v>0</v>
      </c>
      <c r="W299" s="12">
        <f>SUM(S299:V299)</f>
        <v>0</v>
      </c>
      <c r="X299" s="12">
        <f>X249-W249</f>
        <v>0</v>
      </c>
      <c r="Y299" s="12">
        <f>Y249-X249</f>
        <v>0</v>
      </c>
      <c r="Z299" s="12">
        <f>Z249-Y249</f>
        <v>0</v>
      </c>
      <c r="AA299" s="12">
        <f>AA249-Z249</f>
        <v>0</v>
      </c>
      <c r="AB299" s="12">
        <f>SUM(X299:AA299)</f>
        <v>0</v>
      </c>
      <c r="AC299" s="12">
        <f>AC249-AB249</f>
        <v>0</v>
      </c>
      <c r="AD299" s="12">
        <f>AD249-AC249</f>
        <v>0</v>
      </c>
      <c r="AE299" s="12">
        <f>AE249-AD249</f>
        <v>26.377</v>
      </c>
      <c r="AF299" s="12">
        <f>AF249-AE249</f>
        <v>-26.377</v>
      </c>
      <c r="AG299" s="12">
        <f>SUM(AC299:AF299)</f>
        <v>0</v>
      </c>
      <c r="AH299" s="12">
        <f>AH249-AG249</f>
        <v>0</v>
      </c>
      <c r="AI299" s="12">
        <f>AI249-AH249</f>
        <v>0</v>
      </c>
      <c r="AJ299" s="12">
        <f>AJ249-AI249</f>
        <v>0</v>
      </c>
      <c r="AK299" s="12">
        <f>AK249-AJ249</f>
        <v>0</v>
      </c>
      <c r="AL299" s="12">
        <f>SUM(AH299:AK299)</f>
        <v>0</v>
      </c>
      <c r="AM299" s="12">
        <f>AM249-AL249</f>
        <v>0</v>
      </c>
      <c r="AN299" s="12">
        <f>AN249-AM249</f>
        <v>0</v>
      </c>
      <c r="AO299" s="12">
        <f>AO249-AN249</f>
        <v>0</v>
      </c>
      <c r="AP299" s="12">
        <f>AP249-AO249</f>
        <v>0</v>
      </c>
      <c r="AQ299" s="12">
        <f>SUM(AM299:AP299)</f>
        <v>0</v>
      </c>
      <c r="AR299" s="12">
        <f>AR249-AQ249</f>
        <v>0</v>
      </c>
      <c r="AS299" s="12">
        <f>AS249-AR249</f>
        <v>0</v>
      </c>
      <c r="AT299" s="12">
        <f>AT249-AS249</f>
        <v>0</v>
      </c>
      <c r="AU299" s="12">
        <f>AU249-AT249</f>
        <v>0</v>
      </c>
      <c r="AV299" s="12">
        <f>SUM(AR299:AU299)</f>
        <v>0</v>
      </c>
      <c r="AW299" s="12">
        <f>AW249-AV249</f>
        <v>0</v>
      </c>
      <c r="AX299" s="12">
        <f>AX249-AW249</f>
        <v>0</v>
      </c>
      <c r="AY299" s="12">
        <f>AY249-AX249</f>
        <v>0</v>
      </c>
      <c r="AZ299" s="12">
        <f>AZ249-AY249</f>
        <v>0</v>
      </c>
      <c r="BA299" s="12">
        <f>SUM(AW299:AZ299)</f>
        <v>0</v>
      </c>
      <c r="BB299" s="12">
        <f>BB249-BA249</f>
        <v>0</v>
      </c>
      <c r="BC299" s="12">
        <f>BC249-BB249</f>
        <v>0</v>
      </c>
      <c r="BD299" s="12">
        <f>BD249-BC249</f>
        <v>0</v>
      </c>
      <c r="BE299" s="12">
        <f>BE249-BD249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 collapsed="1">
      <c r="C300" s="10" t="inlineStr">
        <is>
          <t>Equity income in affiliates</t>
        </is>
      </c>
      <c r="D300" s="12" t="n"/>
      <c r="E300" s="12" t="n"/>
      <c r="F300" s="12" t="n"/>
      <c r="G300" s="12" t="n"/>
      <c r="H300" s="12" t="n"/>
      <c r="I300" s="12" t="n"/>
      <c r="J300" s="12">
        <f>(J171-I171)*-1</f>
        <v>0</v>
      </c>
      <c r="K300" s="12">
        <f>(K171-J171)*-1</f>
        <v>0</v>
      </c>
      <c r="L300" s="12">
        <f>(L171-K171)*-1</f>
        <v>0</v>
      </c>
      <c r="M300" s="12" t="n"/>
      <c r="N300" s="12">
        <f>(N171-M171)*-1</f>
        <v>0</v>
      </c>
      <c r="O300" s="12">
        <f>(O171-N171)*-1</f>
        <v>0</v>
      </c>
      <c r="P300" s="12">
        <f>(P171-O171)*-1</f>
        <v>0</v>
      </c>
      <c r="Q300" s="12">
        <f>(Q171-P171)*-1</f>
        <v>0</v>
      </c>
      <c r="R300" s="12">
        <f>SUM(N300:Q300)</f>
        <v>0</v>
      </c>
      <c r="S300" s="12">
        <f>(S171-R171)*-1</f>
        <v>0</v>
      </c>
      <c r="T300" s="12">
        <f>(T171-S171)*-1</f>
        <v>0</v>
      </c>
      <c r="U300" s="12">
        <f>(U171-T171)*-1</f>
        <v>0</v>
      </c>
      <c r="V300" s="12">
        <f>(V171-U171)*-1</f>
        <v>-19.238</v>
      </c>
      <c r="W300" s="12">
        <f>SUM(S300:V300)</f>
        <v>-19.238</v>
      </c>
      <c r="X300" s="12">
        <f>(X171-W171)*-1</f>
        <v>-23.93</v>
      </c>
      <c r="Y300" s="12">
        <f>(Y171-X171)*-1</f>
        <v>0.00399999999999778</v>
      </c>
      <c r="Z300" s="12">
        <f>(Z171-Y171)*-1</f>
        <v>0.0200000000000031</v>
      </c>
      <c r="AA300" s="12">
        <f>(AA171-Z171)*-1</f>
        <v>0</v>
      </c>
      <c r="AB300" s="12">
        <f>SUM(X300:AA300)</f>
        <v>-23.906</v>
      </c>
      <c r="AC300" s="12">
        <f>(AC171-AB171)*-1</f>
        <v>-12.7</v>
      </c>
      <c r="AD300" s="12">
        <f>(AD171-AC171)*-1</f>
        <v>-372.39</v>
      </c>
      <c r="AE300" s="12">
        <f>(AE171-AD171)*-1</f>
        <v>372.39</v>
      </c>
      <c r="AF300" s="12">
        <f>(AF171-AE171)*-1</f>
        <v>55.844</v>
      </c>
      <c r="AG300" s="12">
        <f>SUM(AC300:AF300)</f>
        <v>43.144</v>
      </c>
      <c r="AH300" s="12">
        <f>(AH171-AG171)*-1</f>
        <v>0</v>
      </c>
      <c r="AI300" s="12">
        <f>(AI171-AH171)*-1</f>
        <v>0</v>
      </c>
      <c r="AJ300" s="12">
        <f>(AJ171-AI171)*-1</f>
        <v>0</v>
      </c>
      <c r="AK300" s="12">
        <f>(AK171-AJ171)*-1</f>
        <v>0</v>
      </c>
      <c r="AL300" s="12">
        <f>SUM(AH300:AK300)</f>
        <v>0</v>
      </c>
      <c r="AM300" s="12">
        <f>(AM171-AL171)*-1</f>
        <v>0</v>
      </c>
      <c r="AN300" s="12">
        <f>(AN171-AM171)*-1</f>
        <v>0</v>
      </c>
      <c r="AO300" s="12">
        <f>(AO171-AN171)*-1</f>
        <v>0</v>
      </c>
      <c r="AP300" s="12">
        <f>(AP171-AO171)*-1</f>
        <v>0</v>
      </c>
      <c r="AQ300" s="12">
        <f>SUM(AM300:AP300)</f>
        <v>0</v>
      </c>
      <c r="AR300" s="12">
        <f>(AR171-AQ171)*-1</f>
        <v>0</v>
      </c>
      <c r="AS300" s="12">
        <f>(AS171-AR171)*-1</f>
        <v>0</v>
      </c>
      <c r="AT300" s="12">
        <f>(AT171-AS171)*-1</f>
        <v>0</v>
      </c>
      <c r="AU300" s="12">
        <f>(AU171-AT171)*-1</f>
        <v>0</v>
      </c>
      <c r="AV300" s="12">
        <f>SUM(AR300:AU300)</f>
        <v>0</v>
      </c>
      <c r="AW300" s="12">
        <f>(AW171-AV171)*-1</f>
        <v>0</v>
      </c>
      <c r="AX300" s="12">
        <f>(AX171-AW171)*-1</f>
        <v>0</v>
      </c>
      <c r="AY300" s="12">
        <f>(AY171-AX171)*-1</f>
        <v>0</v>
      </c>
      <c r="AZ300" s="12">
        <f>(AZ171-AY171)*-1</f>
        <v>0</v>
      </c>
      <c r="BA300" s="12">
        <f>SUM(AW300:AZ300)</f>
        <v>0</v>
      </c>
      <c r="BB300" s="12">
        <f>(BB171-BA171)*-1</f>
        <v>0</v>
      </c>
      <c r="BC300" s="12">
        <f>(BC171-BB171)*-1</f>
        <v>0</v>
      </c>
      <c r="BD300" s="12">
        <f>(BD171-BC171)*-1</f>
        <v>0</v>
      </c>
      <c r="BE300" s="12">
        <f>(BE171-BD171)*-1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0" t="inlineStr">
        <is>
          <t>Dividends received from affiliates</t>
        </is>
      </c>
      <c r="D301" s="12" t="n"/>
      <c r="E301" s="12" t="n"/>
      <c r="F301" s="12" t="n"/>
      <c r="G301" s="12" t="n"/>
      <c r="H301" s="12" t="n"/>
      <c r="I301" s="12" t="n"/>
      <c r="J301" s="12">
        <f>-J174</f>
        <v>0</v>
      </c>
      <c r="K301" s="12">
        <f>-K174</f>
        <v>0</v>
      </c>
      <c r="L301" s="12">
        <f>-L174</f>
        <v>0</v>
      </c>
      <c r="M301" s="12" t="n"/>
      <c r="N301" s="12">
        <f>-N174</f>
        <v>0</v>
      </c>
      <c r="O301" s="12">
        <f>-O174</f>
        <v>0</v>
      </c>
      <c r="P301" s="12">
        <f>-P174</f>
        <v>0</v>
      </c>
      <c r="Q301" s="12">
        <f>-Q174</f>
        <v>0</v>
      </c>
      <c r="R301" s="12">
        <f>SUM(N301:Q301)</f>
        <v>0</v>
      </c>
      <c r="S301" s="12">
        <f>-S174</f>
        <v>0</v>
      </c>
      <c r="T301" s="12">
        <f>-T174</f>
        <v>0</v>
      </c>
      <c r="U301" s="12">
        <f>-U174</f>
        <v>0</v>
      </c>
      <c r="V301" s="12">
        <f>-V174</f>
        <v>0</v>
      </c>
      <c r="W301" s="12">
        <f>SUM(S301:V301)</f>
        <v>0</v>
      </c>
      <c r="X301" s="12">
        <f>-X174</f>
        <v>0</v>
      </c>
      <c r="Y301" s="12">
        <f>-Y174</f>
        <v>0</v>
      </c>
      <c r="Z301" s="12">
        <f>-Z174</f>
        <v>0</v>
      </c>
      <c r="AA301" s="12">
        <f>-AA174</f>
        <v>0</v>
      </c>
      <c r="AB301" s="12">
        <f>SUM(X301:AA301)</f>
        <v>0</v>
      </c>
      <c r="AC301" s="12">
        <f>-AC174</f>
        <v>0</v>
      </c>
      <c r="AD301" s="12">
        <f>-AD174</f>
        <v>0</v>
      </c>
      <c r="AE301" s="12">
        <f>-AE174</f>
        <v>0</v>
      </c>
      <c r="AF301" s="12">
        <f>-AF174</f>
        <v>0</v>
      </c>
      <c r="AG301" s="12">
        <f>SUM(AC301:AF301)</f>
        <v>0</v>
      </c>
      <c r="AH301" s="12">
        <f>-AH174</f>
        <v>0</v>
      </c>
      <c r="AI301" s="12">
        <f>-AI174</f>
        <v>0</v>
      </c>
      <c r="AJ301" s="12">
        <f>-AJ174</f>
        <v>0</v>
      </c>
      <c r="AK301" s="12">
        <f>-AK174</f>
        <v>0</v>
      </c>
      <c r="AL301" s="12">
        <f>SUM(AH301:AK301)</f>
        <v>0</v>
      </c>
      <c r="AM301" s="12">
        <f>-AM174</f>
        <v>0</v>
      </c>
      <c r="AN301" s="12">
        <f>-AN174</f>
        <v>0</v>
      </c>
      <c r="AO301" s="12">
        <f>-AO174</f>
        <v>0</v>
      </c>
      <c r="AP301" s="12">
        <f>-AP174</f>
        <v>0</v>
      </c>
      <c r="AQ301" s="12">
        <f>SUM(AM301:AP301)</f>
        <v>0</v>
      </c>
      <c r="AR301" s="12">
        <f>-AR174</f>
        <v>0</v>
      </c>
      <c r="AS301" s="12">
        <f>-AS174</f>
        <v>0</v>
      </c>
      <c r="AT301" s="12">
        <f>-AT174</f>
        <v>0</v>
      </c>
      <c r="AU301" s="12">
        <f>-AU174</f>
        <v>0</v>
      </c>
      <c r="AV301" s="12">
        <f>SUM(AR301:AU301)</f>
        <v>0</v>
      </c>
      <c r="AW301" s="12">
        <f>-AW174</f>
        <v>0</v>
      </c>
      <c r="AX301" s="12">
        <f>-AX174</f>
        <v>0</v>
      </c>
      <c r="AY301" s="12">
        <f>-AY174</f>
        <v>0</v>
      </c>
      <c r="AZ301" s="12">
        <f>-AZ174</f>
        <v>0</v>
      </c>
      <c r="BA301" s="12">
        <f>SUM(AW301:AZ301)</f>
        <v>0</v>
      </c>
      <c r="BB301" s="12">
        <f>-BB174</f>
        <v>0</v>
      </c>
      <c r="BC301" s="12">
        <f>-BC174</f>
        <v>0</v>
      </c>
      <c r="BD301" s="12">
        <f>-BD174</f>
        <v>0</v>
      </c>
      <c r="BE301" s="12">
        <f>-BE174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71" t="inlineStr">
        <is>
          <t>Minority interest expense</t>
        </is>
      </c>
      <c r="D302" s="12" t="n"/>
      <c r="E302" s="12" t="n"/>
      <c r="F302" s="12" t="n"/>
      <c r="G302" s="12" t="n"/>
      <c r="H302" s="12" t="n"/>
      <c r="I302" s="12" t="n"/>
      <c r="J302" s="12">
        <f>-J146</f>
        <v>0</v>
      </c>
      <c r="K302" s="12">
        <f>-K146</f>
        <v>0</v>
      </c>
      <c r="L302" s="12">
        <f>-L146</f>
        <v>0</v>
      </c>
      <c r="M302" s="12" t="n"/>
      <c r="N302" s="12">
        <f>-N146</f>
        <v>0</v>
      </c>
      <c r="O302" s="12">
        <f>-O146</f>
        <v>0</v>
      </c>
      <c r="P302" s="12">
        <f>-P146</f>
        <v>0</v>
      </c>
      <c r="Q302" s="12">
        <f>-Q146</f>
        <v>0</v>
      </c>
      <c r="R302" s="12">
        <f>SUM(N302:Q302)</f>
        <v>0</v>
      </c>
      <c r="S302" s="12">
        <f>-S146</f>
        <v>0</v>
      </c>
      <c r="T302" s="12">
        <f>-T146</f>
        <v>0</v>
      </c>
      <c r="U302" s="12">
        <f>-U146</f>
        <v>0</v>
      </c>
      <c r="V302" s="12">
        <f>-V146</f>
        <v>0</v>
      </c>
      <c r="W302" s="12">
        <f>SUM(S302:V302)</f>
        <v>0</v>
      </c>
      <c r="X302" s="12">
        <f>-X146</f>
        <v>0</v>
      </c>
      <c r="Y302" s="12">
        <f>-Y146</f>
        <v>0</v>
      </c>
      <c r="Z302" s="12">
        <f>-Z146</f>
        <v>0</v>
      </c>
      <c r="AA302" s="12">
        <f>-AA146</f>
        <v>0</v>
      </c>
      <c r="AB302" s="12">
        <f>SUM(X302:AA302)</f>
        <v>0</v>
      </c>
      <c r="AC302" s="12">
        <f>-AC146</f>
        <v>0</v>
      </c>
      <c r="AD302" s="12">
        <f>-AD146</f>
        <v>0</v>
      </c>
      <c r="AE302" s="12">
        <f>-AE146</f>
        <v>-3.973</v>
      </c>
      <c r="AF302" s="12">
        <f>-AF146</f>
        <v>18.687</v>
      </c>
      <c r="AG302" s="12">
        <f>SUM(AC302:AF302)</f>
        <v>14.714</v>
      </c>
      <c r="AH302" s="12">
        <f>-AH146</f>
        <v>-21.959</v>
      </c>
      <c r="AI302" s="12">
        <f>-AI146</f>
        <v>5.141</v>
      </c>
      <c r="AJ302" s="12">
        <f>-AJ146</f>
        <v>0</v>
      </c>
      <c r="AK302" s="12">
        <f>-AK146</f>
        <v>0</v>
      </c>
      <c r="AL302" s="12">
        <f>SUM(AH302:AK302)</f>
        <v>-16.818</v>
      </c>
      <c r="AM302" s="12">
        <f>-AM146</f>
        <v>0</v>
      </c>
      <c r="AN302" s="12">
        <f>-AN146</f>
        <v>0</v>
      </c>
      <c r="AO302" s="12">
        <f>-AO146</f>
        <v>0</v>
      </c>
      <c r="AP302" s="12">
        <f>-AP146</f>
        <v>0</v>
      </c>
      <c r="AQ302" s="12">
        <f>SUM(AM302:AP302)</f>
        <v>0</v>
      </c>
      <c r="AR302" s="12">
        <f>-AR146</f>
        <v>0</v>
      </c>
      <c r="AS302" s="12">
        <f>-AS146</f>
        <v>0</v>
      </c>
      <c r="AT302" s="12">
        <f>-AT146</f>
        <v>0</v>
      </c>
      <c r="AU302" s="12">
        <f>-AU146</f>
        <v>0</v>
      </c>
      <c r="AV302" s="12">
        <f>SUM(AR302:AU302)</f>
        <v>0</v>
      </c>
      <c r="AW302" s="12">
        <f>-AW146</f>
        <v>0</v>
      </c>
      <c r="AX302" s="12">
        <f>-AX146</f>
        <v>0</v>
      </c>
      <c r="AY302" s="12">
        <f>-AY146</f>
        <v>0</v>
      </c>
      <c r="AZ302" s="12">
        <f>-AZ146</f>
        <v>0</v>
      </c>
      <c r="BA302" s="12">
        <f>SUM(AW302:AZ302)</f>
        <v>0</v>
      </c>
      <c r="BB302" s="12">
        <f>-BB146</f>
        <v>0</v>
      </c>
      <c r="BC302" s="12">
        <f>-BC146</f>
        <v>0</v>
      </c>
      <c r="BD302" s="12">
        <f>-BD146</f>
        <v>0</v>
      </c>
      <c r="BE302" s="12">
        <f>-BE146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inlineStr">
        <is>
          <t>Cash from operations</t>
        </is>
      </c>
      <c r="D303" s="12" t="n"/>
      <c r="E303" s="12" t="n"/>
      <c r="F303" s="12" t="n"/>
      <c r="G303" s="12" t="n"/>
      <c r="H303" s="12" t="n"/>
      <c r="I303" s="12" t="n"/>
      <c r="J303" s="12">
        <f>SUM(J287,J288,J289,J300,J301,J302)</f>
        <v>218.14886124</v>
      </c>
      <c r="K303" s="12">
        <f>SUM(K287,K288,K289,K300,K301,K302)</f>
        <v>-487.53108216</v>
      </c>
      <c r="L303" s="12">
        <f>SUM(L287,L288,L289,L300,L301,L302)</f>
        <v>117.37363301</v>
      </c>
      <c r="M303" s="12" t="n"/>
      <c r="N303" s="12">
        <f>SUM(N287,N288,N289,N300,N301,N302)</f>
        <v>62.1788419100009</v>
      </c>
      <c r="O303" s="12">
        <f>SUM(O287,O288,O289,O300,O301,O302)</f>
        <v>449.951634119999</v>
      </c>
      <c r="P303" s="12">
        <f>SUM(P287,P288,P289,P300,P301,P302)</f>
        <v>-791.338807249999</v>
      </c>
      <c r="Q303" s="12">
        <f>SUM(Q287,Q288,Q289,Q300,Q301,Q302)</f>
        <v>1127.32472408</v>
      </c>
      <c r="R303" s="12">
        <f>SUM(R287,R288,R289,R300,R301,R302)</f>
        <v>848.116392860001</v>
      </c>
      <c r="S303" s="12">
        <f>SUM(S287,S288,S289,S300,S301,S302)</f>
        <v>168.27367779</v>
      </c>
      <c r="T303" s="12">
        <f>SUM(T287,T288,T289,T300,T301,T302)</f>
        <v>131.15930103</v>
      </c>
      <c r="U303" s="12">
        <f>SUM(U287,U288,U289,U300,U301,U302)</f>
        <v>112.942999999999</v>
      </c>
      <c r="V303" s="12">
        <f>SUM(V287,V288,V289,V300,V301,V302)</f>
        <v>334.101466680001</v>
      </c>
      <c r="W303" s="12">
        <f>SUM(W287,W288,W289,W300,W301,W302)</f>
        <v>746.4774455</v>
      </c>
      <c r="X303" s="12">
        <f>SUM(X287,X288,X289,X300,X301,X302)</f>
        <v>494.967764531999</v>
      </c>
      <c r="Y303" s="12">
        <f>SUM(Y287,Y288,Y289,Y300,Y301,Y302)</f>
        <v>362.764510301</v>
      </c>
      <c r="Z303" s="12">
        <f>SUM(Z287,Z288,Z289,Z300,Z301,Z302)</f>
        <v>-194.39629803</v>
      </c>
      <c r="AA303" s="12">
        <f>SUM(AA287,AA288,AA289,AA300,AA301,AA302)</f>
        <v>754.363900000001</v>
      </c>
      <c r="AB303" s="12">
        <f>SUM(AB287,AB288,AB289,AB300,AB301,AB302)</f>
        <v>1417.699876803</v>
      </c>
      <c r="AC303" s="12">
        <f>SUM(AC287,AC288,AC289,AC300,AC301,AC302)</f>
        <v>276.077</v>
      </c>
      <c r="AD303" s="12">
        <f>SUM(AD287,AD288,AD289,AD300,AD301,AD302)</f>
        <v>335.341433216</v>
      </c>
      <c r="AE303" s="12">
        <f>SUM(AE287,AE288,AE289,AE300,AE301,AE302)</f>
        <v>427.191000000001</v>
      </c>
      <c r="AF303" s="12">
        <f>SUM(AF287,AF288,AF289,AF300,AF301,AF302)</f>
        <v>985.659</v>
      </c>
      <c r="AG303" s="12">
        <f>SUM(AG287,AG288,AG289,AG300,AG301,AG302)</f>
        <v>2024.268433216</v>
      </c>
      <c r="AH303" s="12">
        <f>SUM(AH287,AH288,AH289,AH300,AH301,AH302)</f>
        <v>187.112</v>
      </c>
      <c r="AI303" s="12">
        <f>SUM(AI287,AI288,AI289,AI300,AI301,AI302)</f>
        <v>-79.8710000000005</v>
      </c>
      <c r="AJ303" s="12">
        <f>SUM(AJ287,AJ288,AJ289,AJ300,AJ301,AJ302)</f>
        <v>-282.812023492091</v>
      </c>
      <c r="AK303" s="12">
        <f>SUM(AK287,AK288,AK289,AK300,AK301,AK302)</f>
        <v>1538.46214235669</v>
      </c>
      <c r="AL303" s="12">
        <f>SUM(AL287,AL288,AL289,AL300,AL301,AL302)</f>
        <v>1362.8911188646</v>
      </c>
      <c r="AM303" s="12">
        <f>SUM(AM287,AM288,AM289,AM300,AM301,AM302)</f>
        <v>1873.80649917914</v>
      </c>
      <c r="AN303" s="12">
        <f>SUM(AN287,AN288,AN289,AN300,AN301,AN302)</f>
        <v>1169.09290768434</v>
      </c>
      <c r="AO303" s="12">
        <f>SUM(AO287,AO288,AO289,AO300,AO301,AO302)</f>
        <v>123.93720268952</v>
      </c>
      <c r="AP303" s="12">
        <f>SUM(AP287,AP288,AP289,AP300,AP301,AP302)</f>
        <v>1913.96445621185</v>
      </c>
      <c r="AQ303" s="12">
        <f>SUM(AQ287,AQ288,AQ289,AQ300,AQ301,AQ302)</f>
        <v>5080.80106576485</v>
      </c>
      <c r="AR303" s="12">
        <f>SUM(AR287,AR288,AR289,AR300,AR301,AR302)</f>
        <v>2415.24390077849</v>
      </c>
      <c r="AS303" s="12">
        <f>SUM(AS287,AS288,AS289,AS300,AS301,AS302)</f>
        <v>1429.08388055491</v>
      </c>
      <c r="AT303" s="12">
        <f>SUM(AT287,AT288,AT289,AT300,AT301,AT302)</f>
        <v>307.701599174022</v>
      </c>
      <c r="AU303" s="12">
        <f>SUM(AU287,AU288,AU289,AU300,AU301,AU302)</f>
        <v>2421.30531522127</v>
      </c>
      <c r="AV303" s="12">
        <f>SUM(AV287,AV288,AV289,AV300,AV301,AV302)</f>
        <v>6573.33469572869</v>
      </c>
      <c r="AW303" s="12">
        <f>SUM(AW287,AW288,AW289,AW300,AW301,AW302)</f>
        <v>2968.5672809784</v>
      </c>
      <c r="AX303" s="12">
        <f>SUM(AX287,AX288,AX289,AX300,AX301,AX302)</f>
        <v>1993.22015518638</v>
      </c>
      <c r="AY303" s="12">
        <f>SUM(AY287,AY288,AY289,AY300,AY301,AY302)</f>
        <v>640.512680462254</v>
      </c>
      <c r="AZ303" s="12">
        <f>SUM(AZ287,AZ288,AZ289,AZ300,AZ301,AZ302)</f>
        <v>3138.34525363915</v>
      </c>
      <c r="BA303" s="12">
        <f>SUM(BA287,BA288,BA289,BA300,BA301,BA302)</f>
        <v>8740.64537026618</v>
      </c>
      <c r="BB303" s="12">
        <f>SUM(BB287,BB288,BB289,BB300,BB301,BB302)</f>
        <v>3843.54485047617</v>
      </c>
      <c r="BC303" s="12">
        <f>SUM(BC287,BC288,BC289,BC300,BC301,BC302)</f>
        <v>2725.28271890831</v>
      </c>
      <c r="BD303" s="12">
        <f>SUM(BD287,BD288,BD289,BD300,BD301,BD302)</f>
        <v>1222.66752162209</v>
      </c>
      <c r="BE303" s="12">
        <f>SUM(BE287,BE288,BE289,BE300,BE301,BE302)</f>
        <v>4181.894348636</v>
      </c>
      <c r="BF303" s="12">
        <f>SUM(BF287,BF288,BF289,BF300,BF301,BF302)</f>
        <v>11973.3894396426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0" t="inlineStr">
        <is>
          <t>Purchase of fixed assets (capital expenditures)</t>
        </is>
      </c>
      <c r="D305" s="12" t="n"/>
      <c r="E305" s="12" t="n"/>
      <c r="F305" s="12" t="n"/>
      <c r="G305" s="12" t="n"/>
      <c r="H305" s="12" t="n"/>
      <c r="I305" s="12" t="n"/>
      <c r="J305" s="12">
        <f>-J178</f>
        <v>-282.58813071</v>
      </c>
      <c r="K305" s="12">
        <f>-K178</f>
        <v>-269.93633829</v>
      </c>
      <c r="L305" s="12">
        <f>-L178</f>
        <v>-641.073</v>
      </c>
      <c r="M305" s="12" t="n"/>
      <c r="N305" s="12">
        <f>-N178</f>
        <v>-348.192</v>
      </c>
      <c r="O305" s="12">
        <f>-O178</f>
        <v>-179.645</v>
      </c>
      <c r="P305" s="12">
        <f>-P178</f>
        <v>-149.307</v>
      </c>
      <c r="Q305" s="12">
        <f>-Q178</f>
        <v>-30.3229999999999</v>
      </c>
      <c r="R305" s="12">
        <f>SUM(N305:Q305)</f>
        <v>-707.467</v>
      </c>
      <c r="S305" s="12">
        <f>-S178</f>
        <v>-243.587</v>
      </c>
      <c r="T305" s="12">
        <f>-T178</f>
        <v>-263.159</v>
      </c>
      <c r="U305" s="12">
        <f>-U178</f>
        <v>-325.917</v>
      </c>
      <c r="V305" s="12">
        <f>-V178</f>
        <v>-291.059</v>
      </c>
      <c r="W305" s="12">
        <f>SUM(S305:V305)</f>
        <v>-1123.722</v>
      </c>
      <c r="X305" s="12">
        <f>-X178</f>
        <v>-370.92</v>
      </c>
      <c r="Y305" s="12">
        <f>-Y178</f>
        <v>-303.974</v>
      </c>
      <c r="Z305" s="12">
        <f>-Z178</f>
        <v>-255.400999999999</v>
      </c>
      <c r="AA305" s="12">
        <f>-AA178</f>
        <v>-98.363</v>
      </c>
      <c r="AB305" s="12">
        <f>SUM(X305:AA305)</f>
        <v>-1028.658</v>
      </c>
      <c r="AC305" s="12">
        <f>-AC178</f>
        <v>-254.384</v>
      </c>
      <c r="AD305" s="12">
        <f>-AD178</f>
        <v>-374.071</v>
      </c>
      <c r="AE305" s="12">
        <f>-AE178</f>
        <v>-858.372</v>
      </c>
      <c r="AF305" s="12">
        <f>-AF178</f>
        <v>-417.939</v>
      </c>
      <c r="AG305" s="12">
        <f>SUM(AC305:AF305)</f>
        <v>-1904.766</v>
      </c>
      <c r="AH305" s="12">
        <f>-AH178</f>
        <v>-188.61</v>
      </c>
      <c r="AI305" s="12">
        <f>-AI178</f>
        <v>-106.251000000001</v>
      </c>
      <c r="AJ305" s="12">
        <f>-AJ178</f>
        <v>-480.837810110224</v>
      </c>
      <c r="AK305" s="12">
        <f>-AK178</f>
        <v>-471.295005138893</v>
      </c>
      <c r="AL305" s="12">
        <f>SUM(AH305:AK305)</f>
        <v>-1246.99381524912</v>
      </c>
      <c r="AM305" s="12">
        <f>-AM178</f>
        <v>-420.026102649989</v>
      </c>
      <c r="AN305" s="12">
        <f>-AN178</f>
        <v>-440.137413129065</v>
      </c>
      <c r="AO305" s="12">
        <f>-AO178</f>
        <v>-563.263818482013</v>
      </c>
      <c r="AP305" s="12">
        <f>-AP178</f>
        <v>-552.085170184889</v>
      </c>
      <c r="AQ305" s="12">
        <f>SUM(AM305:AP305)</f>
        <v>-1975.51250444596</v>
      </c>
      <c r="AR305" s="12">
        <f>-AR178</f>
        <v>-489.927537582396</v>
      </c>
      <c r="AS305" s="12">
        <f>-AS178</f>
        <v>-513.385805433857</v>
      </c>
      <c r="AT305" s="12">
        <f>-AT178</f>
        <v>-657.00310970461</v>
      </c>
      <c r="AU305" s="12">
        <f>-AU178</f>
        <v>-643.964092369362</v>
      </c>
      <c r="AV305" s="12">
        <f>SUM(AR305:AU305)</f>
        <v>-2304.28054509023</v>
      </c>
      <c r="AW305" s="12">
        <f>-AW178</f>
        <v>-569.012446613949</v>
      </c>
      <c r="AX305" s="12">
        <f>-AX178</f>
        <v>-596.257386650087</v>
      </c>
      <c r="AY305" s="12">
        <f>-AY178</f>
        <v>-763.057632422059</v>
      </c>
      <c r="AZ305" s="12">
        <f>-AZ178</f>
        <v>-747.913835459793</v>
      </c>
      <c r="BA305" s="12">
        <f>SUM(AW305:AZ305)</f>
        <v>-2676.24130114589</v>
      </c>
      <c r="BB305" s="12">
        <f>-BB178</f>
        <v>-658.018309520431</v>
      </c>
      <c r="BC305" s="12">
        <f>-BC178</f>
        <v>-689.52494789407</v>
      </c>
      <c r="BD305" s="12">
        <f>-BD178</f>
        <v>-882.41636249072</v>
      </c>
      <c r="BE305" s="12">
        <f>-BE178</f>
        <v>-864.903747896558</v>
      </c>
      <c r="BF305" s="12">
        <f>SUM(BB305:BE305)</f>
        <v>-3094.86336780178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0" t="inlineStr">
        <is>
          <t>Proceeds from sale of fixed assets</t>
        </is>
      </c>
      <c r="D306" s="12" t="n"/>
      <c r="E306" s="12" t="n"/>
      <c r="F306" s="12" t="n"/>
      <c r="G306" s="12" t="n"/>
      <c r="H306" s="12" t="n"/>
      <c r="I306" s="12" t="n"/>
      <c r="J306" s="12">
        <f>-J179</f>
        <v>0</v>
      </c>
      <c r="K306" s="12">
        <f>-K179</f>
        <v>0</v>
      </c>
      <c r="L306" s="12">
        <f>-L179</f>
        <v>0</v>
      </c>
      <c r="M306" s="12" t="n"/>
      <c r="N306" s="12">
        <f>-N179</f>
        <v>0</v>
      </c>
      <c r="O306" s="12">
        <f>-O179</f>
        <v>0</v>
      </c>
      <c r="P306" s="12">
        <f>-P179</f>
        <v>0</v>
      </c>
      <c r="Q306" s="12">
        <f>-Q179</f>
        <v>0</v>
      </c>
      <c r="R306" s="12">
        <f>SUM(N306:Q306)</f>
        <v>0</v>
      </c>
      <c r="S306" s="12">
        <f>-S179</f>
        <v>0</v>
      </c>
      <c r="T306" s="12">
        <f>-T179</f>
        <v>0</v>
      </c>
      <c r="U306" s="12">
        <f>-U179</f>
        <v>0</v>
      </c>
      <c r="V306" s="12">
        <f>-V179</f>
        <v>0</v>
      </c>
      <c r="W306" s="12">
        <f>SUM(S306:V306)</f>
        <v>0</v>
      </c>
      <c r="X306" s="12">
        <f>-X179</f>
        <v>0</v>
      </c>
      <c r="Y306" s="12">
        <f>-Y179</f>
        <v>0</v>
      </c>
      <c r="Z306" s="12">
        <f>-Z179</f>
        <v>0</v>
      </c>
      <c r="AA306" s="12">
        <f>-AA179</f>
        <v>0</v>
      </c>
      <c r="AB306" s="12">
        <f>SUM(X306:AA306)</f>
        <v>0</v>
      </c>
      <c r="AC306" s="12">
        <f>-AC179</f>
        <v>0</v>
      </c>
      <c r="AD306" s="12">
        <f>-AD179</f>
        <v>0</v>
      </c>
      <c r="AE306" s="12">
        <f>-AE179</f>
        <v>0</v>
      </c>
      <c r="AF306" s="12">
        <f>-AF179</f>
        <v>0</v>
      </c>
      <c r="AG306" s="12">
        <f>SUM(AC306:AF306)</f>
        <v>0</v>
      </c>
      <c r="AH306" s="12">
        <f>-AH179</f>
        <v>0</v>
      </c>
      <c r="AI306" s="12">
        <f>-AI179</f>
        <v>0</v>
      </c>
      <c r="AJ306" s="12">
        <f>-AJ179</f>
        <v>0</v>
      </c>
      <c r="AK306" s="12">
        <f>-AK179</f>
        <v>0</v>
      </c>
      <c r="AL306" s="12">
        <f>SUM(AH306:AK306)</f>
        <v>0</v>
      </c>
      <c r="AM306" s="12">
        <f>-AM179</f>
        <v>0</v>
      </c>
      <c r="AN306" s="12">
        <f>-AN179</f>
        <v>0</v>
      </c>
      <c r="AO306" s="12">
        <f>-AO179</f>
        <v>0</v>
      </c>
      <c r="AP306" s="12">
        <f>-AP179</f>
        <v>0</v>
      </c>
      <c r="AQ306" s="12">
        <f>SUM(AM306:AP306)</f>
        <v>0</v>
      </c>
      <c r="AR306" s="12">
        <f>-AR179</f>
        <v>0</v>
      </c>
      <c r="AS306" s="12">
        <f>-AS179</f>
        <v>0</v>
      </c>
      <c r="AT306" s="12">
        <f>-AT179</f>
        <v>0</v>
      </c>
      <c r="AU306" s="12">
        <f>-AU179</f>
        <v>0</v>
      </c>
      <c r="AV306" s="12">
        <f>SUM(AR306:AU306)</f>
        <v>0</v>
      </c>
      <c r="AW306" s="12">
        <f>-AW179</f>
        <v>0</v>
      </c>
      <c r="AX306" s="12">
        <f>-AX179</f>
        <v>0</v>
      </c>
      <c r="AY306" s="12">
        <f>-AY179</f>
        <v>0</v>
      </c>
      <c r="AZ306" s="12">
        <f>-AZ179</f>
        <v>0</v>
      </c>
      <c r="BA306" s="12">
        <f>SUM(AW306:AZ306)</f>
        <v>0</v>
      </c>
      <c r="BB306" s="12">
        <f>-BB179</f>
        <v>0</v>
      </c>
      <c r="BC306" s="12">
        <f>-BC179</f>
        <v>0</v>
      </c>
      <c r="BD306" s="12">
        <f>-BD179</f>
        <v>0</v>
      </c>
      <c r="BE306" s="12">
        <f>-BE179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0" t="inlineStr">
        <is>
          <t>Var.Right-of-use-assets</t>
        </is>
      </c>
      <c r="D307" s="12" t="n"/>
      <c r="E307" s="12" t="n"/>
      <c r="F307" s="12" t="n"/>
      <c r="G307" s="12" t="n"/>
      <c r="H307" s="12" t="n"/>
      <c r="I307" s="12" t="n"/>
      <c r="J307" s="12">
        <f>(J186-I186)*-1</f>
        <v>-41.1863190299999</v>
      </c>
      <c r="K307" s="12">
        <f>(K186-J186)*-1</f>
        <v>-127.57600753</v>
      </c>
      <c r="L307" s="12">
        <f>(L186-K186)*-1</f>
        <v>-76.662</v>
      </c>
      <c r="M307" s="12" t="n"/>
      <c r="N307" s="12">
        <f>(N186-M186)*-1</f>
        <v>-90.725</v>
      </c>
      <c r="O307" s="12">
        <f>(O186-N186)*-1</f>
        <v>-196.531</v>
      </c>
      <c r="P307" s="12">
        <f>(P186-O186)*-1</f>
        <v>-62.664</v>
      </c>
      <c r="Q307" s="12">
        <f>(Q186-P186)*-1</f>
        <v>-3.39100000000008</v>
      </c>
      <c r="R307" s="12">
        <f>SUM(N307:Q307)</f>
        <v>-353.311</v>
      </c>
      <c r="S307" s="12">
        <f>(S186-R186)*-1</f>
        <v>-69.2380000000001</v>
      </c>
      <c r="T307" s="12">
        <f>(T186-S186)*-1</f>
        <v>-234.646</v>
      </c>
      <c r="U307" s="12">
        <f>(U186-T186)*-1</f>
        <v>-209.696</v>
      </c>
      <c r="V307" s="12">
        <f>(V186-U186)*-1</f>
        <v>-76.4159999999999</v>
      </c>
      <c r="W307" s="12">
        <f>SUM(S307:V307)</f>
        <v>-589.996</v>
      </c>
      <c r="X307" s="12">
        <f>(X186-W186)*-1</f>
        <v>-170.594</v>
      </c>
      <c r="Y307" s="12">
        <f>(Y186-X186)*-1</f>
        <v>155.202</v>
      </c>
      <c r="Z307" s="12">
        <f>(Z186-Y186)*-1</f>
        <v>-17.874</v>
      </c>
      <c r="AA307" s="12">
        <f>(AA186-Z186)*-1</f>
        <v>-151.937</v>
      </c>
      <c r="AB307" s="12">
        <f>SUM(X307:AA307)</f>
        <v>-185.203</v>
      </c>
      <c r="AC307" s="12">
        <f>(AC186-AB186)*-1</f>
        <v>-303.603</v>
      </c>
      <c r="AD307" s="12">
        <f>(AD186-AC186)*-1</f>
        <v>-301.652</v>
      </c>
      <c r="AE307" s="12">
        <f>(AE186-AD186)*-1</f>
        <v>-898.311</v>
      </c>
      <c r="AF307" s="12">
        <f>(AF186-AE186)*-1</f>
        <v>-114.684</v>
      </c>
      <c r="AG307" s="12">
        <f>SUM(AC307:AF307)</f>
        <v>-1618.25</v>
      </c>
      <c r="AH307" s="12">
        <f>(AH186-AG186)*-1</f>
        <v>-41.8420000000001</v>
      </c>
      <c r="AI307" s="12">
        <f>(AI186-AH186)*-1</f>
        <v>-171.777</v>
      </c>
      <c r="AJ307" s="12">
        <f>(AJ186-AI186)*-1</f>
        <v>0</v>
      </c>
      <c r="AK307" s="12">
        <f>(AK186-AJ186)*-1</f>
        <v>0</v>
      </c>
      <c r="AL307" s="12">
        <f>SUM(AH307:AK307)</f>
        <v>-213.619</v>
      </c>
      <c r="AM307" s="12">
        <f>(AM186-AL186)*-1</f>
        <v>0</v>
      </c>
      <c r="AN307" s="12">
        <f>(AN186-AM186)*-1</f>
        <v>0</v>
      </c>
      <c r="AO307" s="12">
        <f>(AO186-AN186)*-1</f>
        <v>0</v>
      </c>
      <c r="AP307" s="12">
        <f>(AP186-AO186)*-1</f>
        <v>0</v>
      </c>
      <c r="AQ307" s="12">
        <f>SUM(AM307:AP307)</f>
        <v>0</v>
      </c>
      <c r="AR307" s="12">
        <f>(AR186-AQ186)*-1</f>
        <v>0</v>
      </c>
      <c r="AS307" s="12">
        <f>(AS186-AR186)*-1</f>
        <v>0</v>
      </c>
      <c r="AT307" s="12">
        <f>(AT186-AS186)*-1</f>
        <v>0</v>
      </c>
      <c r="AU307" s="12">
        <f>(AU186-AT186)*-1</f>
        <v>0</v>
      </c>
      <c r="AV307" s="12">
        <f>SUM(AR307:AU307)</f>
        <v>0</v>
      </c>
      <c r="AW307" s="12">
        <f>(AW186-AV186)*-1</f>
        <v>0</v>
      </c>
      <c r="AX307" s="12">
        <f>(AX186-AW186)*-1</f>
        <v>0</v>
      </c>
      <c r="AY307" s="12">
        <f>(AY186-AX186)*-1</f>
        <v>0</v>
      </c>
      <c r="AZ307" s="12">
        <f>(AZ186-AY186)*-1</f>
        <v>0</v>
      </c>
      <c r="BA307" s="12">
        <f>SUM(AW307:AZ307)</f>
        <v>0</v>
      </c>
      <c r="BB307" s="12">
        <f>(BB186-BA186)*-1</f>
        <v>0</v>
      </c>
      <c r="BC307" s="12">
        <f>(BC186-BB186)*-1</f>
        <v>0</v>
      </c>
      <c r="BD307" s="12">
        <f>(BD186-BC186)*-1</f>
        <v>0</v>
      </c>
      <c r="BE307" s="12">
        <f>(BE186-BD186)*-1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  <c r="CZ307" s="12" t="n"/>
      <c r="DA307" s="12" t="n"/>
      <c r="DB307" s="12" t="n"/>
      <c r="DC307" s="12" t="n"/>
    </row>
    <row r="308">
      <c r="C308" s="10" t="inlineStr">
        <is>
          <t>Purchases of intangible assets</t>
        </is>
      </c>
      <c r="D308" s="12" t="n"/>
      <c r="E308" s="12" t="n"/>
      <c r="F308" s="12" t="n"/>
      <c r="G308" s="12" t="n"/>
      <c r="H308" s="12" t="n"/>
      <c r="I308" s="12" t="n"/>
      <c r="J308" s="12">
        <f>((J190-I190)*-1)+((J189-I189)*-1)</f>
        <v>0.0500000099999998</v>
      </c>
      <c r="K308" s="12">
        <f>((K190-J190)*-1)+((K189-J189)*-1)</f>
        <v>0.58399998</v>
      </c>
      <c r="L308" s="12">
        <f>((L190-K190)*-1)+((L189-K189)*-1)</f>
        <v>0.0499999999999998</v>
      </c>
      <c r="M308" s="12" t="n"/>
      <c r="N308" s="12">
        <f>((N190-M190)*-1)+((N189-M189)*-1)</f>
        <v>0.0500000000000003</v>
      </c>
      <c r="O308" s="12">
        <f>((O190-N190)*-1)+((O189-N189)*-1)</f>
        <v>0.0499999999999998</v>
      </c>
      <c r="P308" s="12">
        <f>((P190-O190)*-1)+((P189-O189)*-1)</f>
        <v>0.0499999999999998</v>
      </c>
      <c r="Q308" s="12">
        <f>((Q190-P190)*-1)+((Q189-P189)*-1)</f>
        <v>-2.109</v>
      </c>
      <c r="R308" s="12">
        <f>SUM(N308:Q308)</f>
        <v>-1.959</v>
      </c>
      <c r="S308" s="12">
        <f>((S190-R190)*-1)+((S189-R189)*-1)</f>
        <v>-7.436</v>
      </c>
      <c r="T308" s="12">
        <f>((T190-S190)*-1)+((T189-S189)*-1)</f>
        <v>-14.249</v>
      </c>
      <c r="U308" s="12">
        <f>((U190-T190)*-1)+((U189-T189)*-1)</f>
        <v>-4.707</v>
      </c>
      <c r="V308" s="12">
        <f>((V190-U190)*-1)+((V189-U189)*-1)</f>
        <v>-2.933</v>
      </c>
      <c r="W308" s="12">
        <f>SUM(S308:V308)</f>
        <v>-29.325</v>
      </c>
      <c r="X308" s="12">
        <f>((X190-W190)*-1)+((X189-W189)*-1)</f>
        <v>-5.362</v>
      </c>
      <c r="Y308" s="12">
        <f>((Y190-X190)*-1)+((Y189-X189)*-1)</f>
        <v>-3.972</v>
      </c>
      <c r="Z308" s="12">
        <f>((Z190-Y190)*-1)+((Z189-Y189)*-1)</f>
        <v>-3.719</v>
      </c>
      <c r="AA308" s="12">
        <f>((AA190-Z190)*-1)+((AA189-Z189)*-1)</f>
        <v>-14.267</v>
      </c>
      <c r="AB308" s="12">
        <f>SUM(X308:AA308)</f>
        <v>-27.32</v>
      </c>
      <c r="AC308" s="12">
        <f>((AC190-AB190)*-1)+((AC189-AB189)*-1)</f>
        <v>-2.67100000000001</v>
      </c>
      <c r="AD308" s="12">
        <f>((AD190-AC190)*-1)+((AD189-AC189)*-1)</f>
        <v>-5.85599999999999</v>
      </c>
      <c r="AE308" s="12">
        <f>((AE190-AD190)*-1)+((AE189-AD189)*-1)</f>
        <v>-659.804</v>
      </c>
      <c r="AF308" s="12">
        <f>((AF190-AE190)*-1)+((AF189-AE189)*-1)</f>
        <v>77.7669999999999</v>
      </c>
      <c r="AG308" s="12">
        <f>SUM(AC308:AF308)</f>
        <v>-590.564</v>
      </c>
      <c r="AH308" s="12">
        <f>((AH190-AG190)*-1)+((AH189-AG189)*-1)</f>
        <v>-11.3599999999999</v>
      </c>
      <c r="AI308" s="12">
        <f>((AI190-AH190)*-1)+((AI189-AH189)*-1)</f>
        <v>-85.85</v>
      </c>
      <c r="AJ308" s="12">
        <f>((AJ190-AI190)*-1)+((AJ189-AI189)*-1)</f>
        <v>0</v>
      </c>
      <c r="AK308" s="12">
        <f>((AK190-AJ190)*-1)+((AK189-AJ189)*-1)</f>
        <v>0</v>
      </c>
      <c r="AL308" s="12">
        <f>SUM(AH308:AK308)</f>
        <v>-97.2099999999999</v>
      </c>
      <c r="AM308" s="12">
        <f>((AM190-AL190)*-1)+((AM189-AL189)*-1)</f>
        <v>0</v>
      </c>
      <c r="AN308" s="12">
        <f>((AN190-AM190)*-1)+((AN189-AM189)*-1)</f>
        <v>0</v>
      </c>
      <c r="AO308" s="12">
        <f>((AO190-AN190)*-1)+((AO189-AN189)*-1)</f>
        <v>0</v>
      </c>
      <c r="AP308" s="12">
        <f>((AP190-AO190)*-1)+((AP189-AO189)*-1)</f>
        <v>0</v>
      </c>
      <c r="AQ308" s="12">
        <f>SUM(AM308:AP308)</f>
        <v>0</v>
      </c>
      <c r="AR308" s="12">
        <f>((AR190-AQ190)*-1)+((AR189-AQ189)*-1)</f>
        <v>0</v>
      </c>
      <c r="AS308" s="12">
        <f>((AS190-AR190)*-1)+((AS189-AR189)*-1)</f>
        <v>0</v>
      </c>
      <c r="AT308" s="12">
        <f>((AT190-AS190)*-1)+((AT189-AS189)*-1)</f>
        <v>0</v>
      </c>
      <c r="AU308" s="12">
        <f>((AU190-AT190)*-1)+((AU189-AT189)*-1)</f>
        <v>0</v>
      </c>
      <c r="AV308" s="12">
        <f>SUM(AR308:AU308)</f>
        <v>0</v>
      </c>
      <c r="AW308" s="12">
        <f>((AW190-AV190)*-1)+((AW189-AV189)*-1)</f>
        <v>0</v>
      </c>
      <c r="AX308" s="12">
        <f>((AX190-AW190)*-1)+((AX189-AW189)*-1)</f>
        <v>0</v>
      </c>
      <c r="AY308" s="12">
        <f>((AY190-AX190)*-1)+((AY189-AX189)*-1)</f>
        <v>0</v>
      </c>
      <c r="AZ308" s="12">
        <f>((AZ190-AY190)*-1)+((AZ189-AY189)*-1)</f>
        <v>0</v>
      </c>
      <c r="BA308" s="12">
        <f>SUM(AW308:AZ308)</f>
        <v>0</v>
      </c>
      <c r="BB308" s="12">
        <f>((BB190-BA190)*-1)+((BB189-BA189)*-1)</f>
        <v>0</v>
      </c>
      <c r="BC308" s="12">
        <f>((BC190-BB190)*-1)+((BC189-BB189)*-1)</f>
        <v>0</v>
      </c>
      <c r="BD308" s="12">
        <f>((BD190-BC190)*-1)+((BD189-BC189)*-1)</f>
        <v>0</v>
      </c>
      <c r="BE308" s="12">
        <f>((BE190-BD190)*-1)+((BE189-BD189)*-1)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  <c r="CZ308" s="12" t="n"/>
      <c r="DA308" s="12" t="n"/>
      <c r="DB308" s="12" t="n"/>
      <c r="DC308" s="12" t="n"/>
    </row>
    <row r="309">
      <c r="C309" s="71" t="inlineStr">
        <is>
          <t>Purchases/Proceeds from other long-term assets</t>
        </is>
      </c>
      <c r="D309" s="12" t="n"/>
      <c r="E309" s="12" t="n"/>
      <c r="F309" s="12" t="n"/>
      <c r="G309" s="12" t="n"/>
      <c r="H309" s="12" t="n"/>
      <c r="I309" s="12" t="n"/>
      <c r="J309" s="12">
        <f>((J199-I199)*-1)+(J250-I250)</f>
        <v>-24.65000144</v>
      </c>
      <c r="K309" s="12">
        <f>((K199-J199)*-1)+(K250-J250)</f>
        <v>12.27733516</v>
      </c>
      <c r="L309" s="12">
        <f>((L199-K199)*-1)+(L250-K250)</f>
        <v>-74.476</v>
      </c>
      <c r="M309" s="12" t="n"/>
      <c r="N309" s="12">
        <f>((N199-M199)*-1)+(N250-M250)</f>
        <v>15.846</v>
      </c>
      <c r="O309" s="12">
        <f>((O199-N199)*-1)+(O250-N250)</f>
        <v>-25.80355096</v>
      </c>
      <c r="P309" s="12">
        <f>((P199-O199)*-1)+(P250-O250)</f>
        <v>-32.79419275</v>
      </c>
      <c r="Q309" s="12">
        <f>((Q199-P199)*-1)+(Q250-P250)</f>
        <v>-0.753945049999999</v>
      </c>
      <c r="R309" s="12">
        <f>SUM(N309:Q309)</f>
        <v>-43.50568876</v>
      </c>
      <c r="S309" s="12">
        <f>((S199-R199)*-1)+(S250-R250)</f>
        <v>-26.42901021</v>
      </c>
      <c r="T309" s="12">
        <f>((T199-S199)*-1)+(T250-S250)</f>
        <v>-168.16030103</v>
      </c>
      <c r="U309" s="12">
        <f>((U199-T199)*-1)+(U250-T250)</f>
        <v>-6.321</v>
      </c>
      <c r="V309" s="12">
        <f>((V199-U199)*-1)+(V250-U250)</f>
        <v>119.28798322</v>
      </c>
      <c r="W309" s="12">
        <f>SUM(S309:V309)</f>
        <v>-81.62232802</v>
      </c>
      <c r="X309" s="12">
        <f>((X199-W199)*-1)+(X250-W250)</f>
        <v>-14.70898322</v>
      </c>
      <c r="Y309" s="12">
        <f>((Y199-X199)*-1)+(Y250-X250)</f>
        <v>-28.362</v>
      </c>
      <c r="Z309" s="12">
        <f>((Z199-Y199)*-1)+(Z250-Y250)</f>
        <v>-27.075</v>
      </c>
      <c r="AA309" s="12">
        <f>((AA199-Z199)*-1)+(AA250-Z250)</f>
        <v>355.186</v>
      </c>
      <c r="AB309" s="12">
        <f>SUM(X309:AA309)</f>
        <v>285.04001678</v>
      </c>
      <c r="AC309" s="12">
        <f>((AC199-AB199)*-1)+(AC250-AB250)</f>
        <v>93.475</v>
      </c>
      <c r="AD309" s="12">
        <f>((AD199-AC199)*-1)+(AD250-AC250)</f>
        <v>-305.29810598</v>
      </c>
      <c r="AE309" s="12">
        <f>((AE199-AD199)*-1)+(AE250-AD250)</f>
        <v>-116.74189402</v>
      </c>
      <c r="AF309" s="12">
        <f>((AF199-AE199)*-1)+(AF250-AE250)</f>
        <v>-156.279</v>
      </c>
      <c r="AG309" s="12">
        <f>SUM(AC309:AF309)</f>
        <v>-484.844</v>
      </c>
      <c r="AH309" s="12">
        <f>((AH199-AG199)*-1)+(AH250-AG250)</f>
        <v>-13.6449999999999</v>
      </c>
      <c r="AI309" s="12">
        <f>((AI199-AH199)*-1)+(AI250-AH250)</f>
        <v>-206.007</v>
      </c>
      <c r="AJ309" s="12">
        <f>((AJ199-AI199)*-1)+(AJ250-AI250)</f>
        <v>0</v>
      </c>
      <c r="AK309" s="12">
        <f>((AK199-AJ199)*-1)+(AK250-AJ250)</f>
        <v>0</v>
      </c>
      <c r="AL309" s="12">
        <f>SUM(AH309:AK309)</f>
        <v>-219.652</v>
      </c>
      <c r="AM309" s="12">
        <f>((AM199-AL199)*-1)+(AM250-AL250)</f>
        <v>0</v>
      </c>
      <c r="AN309" s="12">
        <f>((AN199-AM199)*-1)+(AN250-AM250)</f>
        <v>0</v>
      </c>
      <c r="AO309" s="12">
        <f>((AO199-AN199)*-1)+(AO250-AN250)</f>
        <v>0</v>
      </c>
      <c r="AP309" s="12">
        <f>((AP199-AO199)*-1)+(AP250-AO250)</f>
        <v>0</v>
      </c>
      <c r="AQ309" s="12">
        <f>SUM(AM309:AP309)</f>
        <v>0</v>
      </c>
      <c r="AR309" s="12">
        <f>((AR199-AQ199)*-1)+(AR250-AQ250)</f>
        <v>0</v>
      </c>
      <c r="AS309" s="12">
        <f>((AS199-AR199)*-1)+(AS250-AR250)</f>
        <v>0</v>
      </c>
      <c r="AT309" s="12">
        <f>((AT199-AS199)*-1)+(AT250-AS250)</f>
        <v>0</v>
      </c>
      <c r="AU309" s="12">
        <f>((AU199-AT199)*-1)+(AU250-AT250)</f>
        <v>0</v>
      </c>
      <c r="AV309" s="12">
        <f>SUM(AR309:AU309)</f>
        <v>0</v>
      </c>
      <c r="AW309" s="12">
        <f>((AW199-AV199)*-1)+(AW250-AV250)</f>
        <v>0</v>
      </c>
      <c r="AX309" s="12">
        <f>((AX199-AW199)*-1)+(AX250-AW250)</f>
        <v>0</v>
      </c>
      <c r="AY309" s="12">
        <f>((AY199-AX199)*-1)+(AY250-AX250)</f>
        <v>0</v>
      </c>
      <c r="AZ309" s="12">
        <f>((AZ199-AY199)*-1)+(AZ250-AY250)</f>
        <v>0</v>
      </c>
      <c r="BA309" s="12">
        <f>SUM(AW309:AZ309)</f>
        <v>0</v>
      </c>
      <c r="BB309" s="12">
        <f>((BB199-BA199)*-1)+(BB250-BA250)</f>
        <v>0</v>
      </c>
      <c r="BC309" s="12">
        <f>((BC199-BB199)*-1)+(BC250-BB250)</f>
        <v>0</v>
      </c>
      <c r="BD309" s="12">
        <f>((BD199-BC199)*-1)+(BD250-BC250)</f>
        <v>0</v>
      </c>
      <c r="BE309" s="12">
        <f>((BE199-BD199)*-1)+(BE250-BD250)</f>
        <v>0</v>
      </c>
      <c r="BF309" s="12">
        <f>SUM(BB309:BE309)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Cash from investing</t>
        </is>
      </c>
      <c r="D310" s="12" t="n"/>
      <c r="E310" s="12" t="n"/>
      <c r="F310" s="12" t="n"/>
      <c r="G310" s="12" t="n"/>
      <c r="H310" s="12" t="n"/>
      <c r="I310" s="12" t="n"/>
      <c r="J310" s="12">
        <f>SUM(J305,J306,J308,J309,J307)</f>
        <v>-348.37445117</v>
      </c>
      <c r="K310" s="12">
        <f>SUM(K305,K306,K308,K309,K307)</f>
        <v>-384.65101068</v>
      </c>
      <c r="L310" s="12">
        <f>SUM(L305,L306,L308,L309,L307)</f>
        <v>-792.161</v>
      </c>
      <c r="M310" s="12" t="n"/>
      <c r="N310" s="12">
        <f>SUM(N305,N306,N308,N309,N307)</f>
        <v>-423.021</v>
      </c>
      <c r="O310" s="12">
        <f>SUM(O305,O306,O308,O309,O307)</f>
        <v>-401.92955096</v>
      </c>
      <c r="P310" s="12">
        <f>SUM(P305,P306,P308,P309,P307)</f>
        <v>-244.71519275</v>
      </c>
      <c r="Q310" s="12">
        <f>SUM(Q305,Q306,Q308,Q309,Q307)</f>
        <v>-36.57694505</v>
      </c>
      <c r="R310" s="12">
        <f>SUM(R305,R306,R308,R309)</f>
        <v>-752.93168876</v>
      </c>
      <c r="S310" s="12">
        <f>SUM(S305,S306,S308,S309,S307)</f>
        <v>-346.69001021</v>
      </c>
      <c r="T310" s="12">
        <f>SUM(T305,T306,T308,T309,T307)</f>
        <v>-680.21430103</v>
      </c>
      <c r="U310" s="12">
        <f>SUM(U305,U306,U308,U309,U307)</f>
        <v>-546.641</v>
      </c>
      <c r="V310" s="12">
        <f>SUM(V305,V306,V308,V309,V307)</f>
        <v>-251.12001678</v>
      </c>
      <c r="W310" s="12">
        <f>SUM(W305,W306,W308,W309)</f>
        <v>-1234.66932802</v>
      </c>
      <c r="X310" s="12">
        <f>SUM(X305,X306,X308,X309,X307)</f>
        <v>-561.58498322</v>
      </c>
      <c r="Y310" s="12">
        <f>SUM(Y305,Y306,Y308,Y309,Y307)</f>
        <v>-181.106</v>
      </c>
      <c r="Z310" s="12">
        <f>SUM(Z305,Z306,Z308,Z309,Z307)</f>
        <v>-304.068999999999</v>
      </c>
      <c r="AA310" s="12">
        <f>SUM(AA305,AA306,AA308,AA309,AA307)</f>
        <v>90.6190000000002</v>
      </c>
      <c r="AB310" s="12">
        <f>SUM(AB305,AB306,AB308,AB309)</f>
        <v>-770.93798322</v>
      </c>
      <c r="AC310" s="12">
        <f>SUM(AC305,AC306,AC308,AC309,AC307)</f>
        <v>-467.183</v>
      </c>
      <c r="AD310" s="12">
        <f>SUM(AD305,AD306,AD308,AD309,AD307)</f>
        <v>-986.87710598</v>
      </c>
      <c r="AE310" s="12">
        <f>SUM(AE305,AE306,AE308,AE309,AE307)</f>
        <v>-2533.22889402</v>
      </c>
      <c r="AF310" s="12">
        <f>SUM(AF305,AF306,AF308,AF309,AF307)</f>
        <v>-611.135</v>
      </c>
      <c r="AG310" s="12">
        <f>SUM(AG305,AG306,AG308,AG309)</f>
        <v>-2980.174</v>
      </c>
      <c r="AH310" s="12">
        <f>SUM(AH305,AH306,AH308,AH309,AH307)</f>
        <v>-255.457</v>
      </c>
      <c r="AI310" s="12">
        <f>SUM(AI305,AI306,AI308,AI309,AI307)</f>
        <v>-569.885</v>
      </c>
      <c r="AJ310" s="12">
        <f>SUM(AJ305,AJ306,AJ308,AJ309,AJ307)</f>
        <v>-480.837810110224</v>
      </c>
      <c r="AK310" s="12">
        <f>SUM(AK305,AK306,AK308,AK309,AK307)</f>
        <v>-471.295005138893</v>
      </c>
      <c r="AL310" s="12">
        <f>SUM(AL305,AL306,AL308,AL309)</f>
        <v>-1563.85581524912</v>
      </c>
      <c r="AM310" s="12">
        <f>SUM(AM305,AM306,AM308,AM309,AM307)</f>
        <v>-420.026102649989</v>
      </c>
      <c r="AN310" s="12">
        <f>SUM(AN305,AN306,AN308,AN309,AN307)</f>
        <v>-440.137413129065</v>
      </c>
      <c r="AO310" s="12">
        <f>SUM(AO305,AO306,AO308,AO309,AO307)</f>
        <v>-563.263818482013</v>
      </c>
      <c r="AP310" s="12">
        <f>SUM(AP305,AP306,AP308,AP309,AP307)</f>
        <v>-552.085170184889</v>
      </c>
      <c r="AQ310" s="12">
        <f>SUM(AQ305,AQ306,AQ308,AQ309)</f>
        <v>-1975.51250444596</v>
      </c>
      <c r="AR310" s="12">
        <f>SUM(AR305,AR306,AR308,AR309,AR307)</f>
        <v>-489.927537582396</v>
      </c>
      <c r="AS310" s="12">
        <f>SUM(AS305,AS306,AS308,AS309,AS307)</f>
        <v>-513.385805433857</v>
      </c>
      <c r="AT310" s="12">
        <f>SUM(AT305,AT306,AT308,AT309,AT307)</f>
        <v>-657.00310970461</v>
      </c>
      <c r="AU310" s="12">
        <f>SUM(AU305,AU306,AU308,AU309,AU307)</f>
        <v>-643.964092369362</v>
      </c>
      <c r="AV310" s="12">
        <f>SUM(AV305,AV306,AV308,AV309)</f>
        <v>-2304.28054509023</v>
      </c>
      <c r="AW310" s="12">
        <f>SUM(AW305,AW306,AW308,AW309,AW307)</f>
        <v>-569.012446613949</v>
      </c>
      <c r="AX310" s="12">
        <f>SUM(AX305,AX306,AX308,AX309,AX307)</f>
        <v>-596.257386650087</v>
      </c>
      <c r="AY310" s="12">
        <f>SUM(AY305,AY306,AY308,AY309,AY307)</f>
        <v>-763.057632422059</v>
      </c>
      <c r="AZ310" s="12">
        <f>SUM(AZ305,AZ306,AZ308,AZ309,AZ307)</f>
        <v>-747.913835459793</v>
      </c>
      <c r="BA310" s="12">
        <f>SUM(BA305,BA306,BA308,BA309)</f>
        <v>-2676.24130114589</v>
      </c>
      <c r="BB310" s="12">
        <f>SUM(BB305,BB306,BB308,BB309,BB307)</f>
        <v>-658.018309520431</v>
      </c>
      <c r="BC310" s="12">
        <f>SUM(BC305,BC306,BC308,BC309,BC307)</f>
        <v>-689.52494789407</v>
      </c>
      <c r="BD310" s="12">
        <f>SUM(BD305,BD306,BD308,BD309,BD307)</f>
        <v>-882.41636249072</v>
      </c>
      <c r="BE310" s="12">
        <f>SUM(BE305,BE306,BE308,BE309,BE307)</f>
        <v>-864.903747896558</v>
      </c>
      <c r="BF310" s="12">
        <f>SUM(BF305,BF306,BF308,BF309)</f>
        <v>-3094.86336780178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4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  <c r="AL311" s="12" t="n"/>
      <c r="AM311" s="12" t="n"/>
      <c r="AN311" s="12" t="n"/>
      <c r="AO311" s="12" t="n"/>
      <c r="AP311" s="12" t="n"/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</row>
    <row r="312">
      <c r="C312" s="14" t="inlineStr">
        <is>
          <t>Convertible preferred stock</t>
        </is>
      </c>
      <c r="D312" s="12" t="n"/>
      <c r="E312" s="12" t="n"/>
      <c r="F312" s="12" t="n"/>
      <c r="G312" s="12" t="n"/>
      <c r="H312" s="12" t="n"/>
      <c r="I312" s="12" t="n"/>
      <c r="J312" s="12">
        <f>J263-I263</f>
        <v>0</v>
      </c>
      <c r="K312" s="12">
        <f>K263-J263</f>
        <v>0</v>
      </c>
      <c r="L312" s="12">
        <f>L263-K263</f>
        <v>0</v>
      </c>
      <c r="M312" s="12" t="n"/>
      <c r="N312" s="12">
        <f>N263-M263</f>
        <v>0</v>
      </c>
      <c r="O312" s="12">
        <f>O263-N263</f>
        <v>0</v>
      </c>
      <c r="P312" s="12">
        <f>P263-O263</f>
        <v>0</v>
      </c>
      <c r="Q312" s="12">
        <f>Q263-P263</f>
        <v>0</v>
      </c>
      <c r="R312" s="12">
        <f>SUM(N312:Q312)</f>
        <v>0</v>
      </c>
      <c r="S312" s="12">
        <f>S263-R263</f>
        <v>0</v>
      </c>
      <c r="T312" s="12">
        <f>T263-S263</f>
        <v>0</v>
      </c>
      <c r="U312" s="12">
        <f>U263-T263</f>
        <v>0</v>
      </c>
      <c r="V312" s="12">
        <f>V263-U263</f>
        <v>0</v>
      </c>
      <c r="W312" s="12">
        <f>SUM(S312:V312)</f>
        <v>0</v>
      </c>
      <c r="X312" s="12">
        <f>X263-W263</f>
        <v>0</v>
      </c>
      <c r="Y312" s="12">
        <f>Y263-X263</f>
        <v>0</v>
      </c>
      <c r="Z312" s="12">
        <f>Z263-Y263</f>
        <v>0</v>
      </c>
      <c r="AA312" s="12">
        <f>AA263-Z263</f>
        <v>0</v>
      </c>
      <c r="AB312" s="12">
        <f>SUM(X312:AA312)</f>
        <v>0</v>
      </c>
      <c r="AC312" s="12">
        <f>AC263-AB263</f>
        <v>0</v>
      </c>
      <c r="AD312" s="12">
        <f>AD263-AC263</f>
        <v>0</v>
      </c>
      <c r="AE312" s="12">
        <f>AE263-AD263</f>
        <v>0</v>
      </c>
      <c r="AF312" s="12">
        <f>AF263-AE263</f>
        <v>0</v>
      </c>
      <c r="AG312" s="12">
        <f>SUM(AC312:AF312)</f>
        <v>0</v>
      </c>
      <c r="AH312" s="12">
        <f>AH263-AG263</f>
        <v>0</v>
      </c>
      <c r="AI312" s="12">
        <f>AI263-AH263</f>
        <v>0</v>
      </c>
      <c r="AJ312" s="12">
        <f>AJ263-AI263</f>
        <v>0</v>
      </c>
      <c r="AK312" s="12">
        <f>AK263-AJ263</f>
        <v>0</v>
      </c>
      <c r="AL312" s="12">
        <f>SUM(AH312:AK312)</f>
        <v>0</v>
      </c>
      <c r="AM312" s="12">
        <f>AM263-AL263</f>
        <v>0</v>
      </c>
      <c r="AN312" s="12">
        <f>AN263-AM263</f>
        <v>0</v>
      </c>
      <c r="AO312" s="12">
        <f>AO263-AN263</f>
        <v>0</v>
      </c>
      <c r="AP312" s="12">
        <f>AP263-AO263</f>
        <v>0</v>
      </c>
      <c r="AQ312" s="12">
        <f>SUM(AM312:AP312)</f>
        <v>0</v>
      </c>
      <c r="AR312" s="12">
        <f>AR263-AQ263</f>
        <v>0</v>
      </c>
      <c r="AS312" s="12">
        <f>AS263-AR263</f>
        <v>0</v>
      </c>
      <c r="AT312" s="12">
        <f>AT263-AS263</f>
        <v>0</v>
      </c>
      <c r="AU312" s="12">
        <f>AU263-AT263</f>
        <v>0</v>
      </c>
      <c r="AV312" s="12">
        <f>SUM(AR312:AU312)</f>
        <v>0</v>
      </c>
      <c r="AW312" s="12">
        <f>AW263-AV263</f>
        <v>0</v>
      </c>
      <c r="AX312" s="12">
        <f>AX263-AW263</f>
        <v>0</v>
      </c>
      <c r="AY312" s="12">
        <f>AY263-AX263</f>
        <v>0</v>
      </c>
      <c r="AZ312" s="12">
        <f>AZ263-AY263</f>
        <v>0</v>
      </c>
      <c r="BA312" s="12">
        <f>SUM(AW312:AZ312)</f>
        <v>0</v>
      </c>
      <c r="BB312" s="12">
        <f>BB263-BA263</f>
        <v>0</v>
      </c>
      <c r="BC312" s="12">
        <f>BC263-BB263</f>
        <v>0</v>
      </c>
      <c r="BD312" s="12">
        <f>BD263-BC263</f>
        <v>0</v>
      </c>
      <c r="BE312" s="12">
        <f>BE263-BD263</f>
        <v>0</v>
      </c>
      <c r="BF312" s="12">
        <f>SUM(BB312:BE312)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inlineStr">
        <is>
          <t>Common stock and APIC</t>
        </is>
      </c>
      <c r="D313" s="12" t="n"/>
      <c r="E313" s="12" t="n"/>
      <c r="F313" s="12" t="n"/>
      <c r="G313" s="12" t="n"/>
      <c r="H313" s="12" t="n"/>
      <c r="I313" s="12" t="n"/>
      <c r="J313" s="12">
        <f>J264-I264</f>
        <v>-0.00029999999969732</v>
      </c>
      <c r="K313" s="12">
        <f>K264-J264</f>
        <v>-0.000155919999997423</v>
      </c>
      <c r="L313" s="12">
        <f>L264-K264</f>
        <v>0</v>
      </c>
      <c r="M313" s="12" t="n"/>
      <c r="N313" s="12">
        <f>N264-M264</f>
        <v>0</v>
      </c>
      <c r="O313" s="12">
        <f>O264-N264</f>
        <v>0</v>
      </c>
      <c r="P313" s="12">
        <f>P264-O264</f>
        <v>0</v>
      </c>
      <c r="Q313" s="12">
        <f>Q264-P264</f>
        <v>0</v>
      </c>
      <c r="R313" s="12">
        <f>SUM(N313:Q313)</f>
        <v>0</v>
      </c>
      <c r="S313" s="12">
        <f>S264-R264</f>
        <v>0</v>
      </c>
      <c r="T313" s="12">
        <f>T264-S264</f>
        <v>0</v>
      </c>
      <c r="U313" s="12">
        <f>U264-T264</f>
        <v>-2.97999999999956</v>
      </c>
      <c r="V313" s="12">
        <f>V264-U264</f>
        <v>3235.565</v>
      </c>
      <c r="W313" s="12">
        <f>SUM(S313:V313)</f>
        <v>3232.585</v>
      </c>
      <c r="X313" s="12">
        <f>X264-W264</f>
        <v>0</v>
      </c>
      <c r="Y313" s="12">
        <f>Y264-X264</f>
        <v>0</v>
      </c>
      <c r="Z313" s="12">
        <f>Z264-Y264</f>
        <v>0</v>
      </c>
      <c r="AA313" s="12">
        <f>AA264-Z264</f>
        <v>288.734</v>
      </c>
      <c r="AB313" s="12">
        <f>SUM(X313:AA313)</f>
        <v>288.734</v>
      </c>
      <c r="AC313" s="12">
        <f>AC264-AB264</f>
        <v>0</v>
      </c>
      <c r="AD313" s="12">
        <f>AD264-AC264</f>
        <v>0</v>
      </c>
      <c r="AE313" s="12">
        <f>AE264-AD264</f>
        <v>0</v>
      </c>
      <c r="AF313" s="12">
        <f>AF264-AE264</f>
        <v>12.9339999999993</v>
      </c>
      <c r="AG313" s="12">
        <f>SUM(AC313:AF313)</f>
        <v>12.9339999999993</v>
      </c>
      <c r="AH313" s="12">
        <f>AH264-AG264</f>
        <v>338.834000000001</v>
      </c>
      <c r="AI313" s="12">
        <f>AI264-AH264</f>
        <v>0</v>
      </c>
      <c r="AJ313" s="12">
        <f>AJ264-AI264</f>
        <v>0</v>
      </c>
      <c r="AK313" s="12">
        <f>AK264-AJ264</f>
        <v>0</v>
      </c>
      <c r="AL313" s="12">
        <f>SUM(AH313:AK313)</f>
        <v>338.834000000001</v>
      </c>
      <c r="AM313" s="12">
        <f>AM264-AL264</f>
        <v>0</v>
      </c>
      <c r="AN313" s="12">
        <f>AN264-AM264</f>
        <v>0</v>
      </c>
      <c r="AO313" s="12">
        <f>AO264-AN264</f>
        <v>0</v>
      </c>
      <c r="AP313" s="12">
        <f>AP264-AO264</f>
        <v>0</v>
      </c>
      <c r="AQ313" s="12">
        <f>SUM(AM313:AP313)</f>
        <v>0</v>
      </c>
      <c r="AR313" s="12">
        <f>AR264-AQ264</f>
        <v>0</v>
      </c>
      <c r="AS313" s="12">
        <f>AS264-AR264</f>
        <v>0</v>
      </c>
      <c r="AT313" s="12">
        <f>AT264-AS264</f>
        <v>0</v>
      </c>
      <c r="AU313" s="12">
        <f>AU264-AT264</f>
        <v>0</v>
      </c>
      <c r="AV313" s="12">
        <f>SUM(AR313:AU313)</f>
        <v>0</v>
      </c>
      <c r="AW313" s="12">
        <f>AW264-AV264</f>
        <v>0</v>
      </c>
      <c r="AX313" s="12">
        <f>AX264-AW264</f>
        <v>0</v>
      </c>
      <c r="AY313" s="12">
        <f>AY264-AX264</f>
        <v>0</v>
      </c>
      <c r="AZ313" s="12">
        <f>AZ264-AY264</f>
        <v>0</v>
      </c>
      <c r="BA313" s="12">
        <f>SUM(AW313:AZ313)</f>
        <v>0</v>
      </c>
      <c r="BB313" s="12">
        <f>BB264-BA264</f>
        <v>0</v>
      </c>
      <c r="BC313" s="12">
        <f>BC264-BB264</f>
        <v>0</v>
      </c>
      <c r="BD313" s="12">
        <f>BD264-BC264</f>
        <v>0</v>
      </c>
      <c r="BE313" s="12">
        <f>BE264-BD264</f>
        <v>0</v>
      </c>
      <c r="BF313" s="12">
        <f>SUM(BB313:BE313)</f>
        <v>0</v>
      </c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Treasury stock repurchases</t>
        </is>
      </c>
      <c r="D314" s="12" t="n"/>
      <c r="E314" s="12" t="n"/>
      <c r="F314" s="12" t="n"/>
      <c r="G314" s="12" t="n"/>
      <c r="H314" s="12" t="n"/>
      <c r="I314" s="12" t="n"/>
      <c r="J314" s="12">
        <f>J277-I277</f>
        <v>0</v>
      </c>
      <c r="K314" s="12">
        <f>K277-J277</f>
        <v>0</v>
      </c>
      <c r="L314" s="12">
        <f>L277-K277</f>
        <v>0</v>
      </c>
      <c r="M314" s="12" t="n"/>
      <c r="N314" s="12">
        <f>N277-M277</f>
        <v>0</v>
      </c>
      <c r="O314" s="12">
        <f>O277-N277</f>
        <v>0</v>
      </c>
      <c r="P314" s="12">
        <f>P277-O277</f>
        <v>0</v>
      </c>
      <c r="Q314" s="12">
        <f>Q277-P277</f>
        <v>0</v>
      </c>
      <c r="R314" s="12">
        <f>SUM(N314:Q314)</f>
        <v>0</v>
      </c>
      <c r="S314" s="12">
        <f>S277-R277</f>
        <v>0</v>
      </c>
      <c r="T314" s="12">
        <f>T277-S277</f>
        <v>0</v>
      </c>
      <c r="U314" s="12">
        <f>U277-T277</f>
        <v>0</v>
      </c>
      <c r="V314" s="12">
        <f>V277-U277</f>
        <v>-2.98</v>
      </c>
      <c r="W314" s="12">
        <f>SUM(S314:V314)</f>
        <v>-2.98</v>
      </c>
      <c r="X314" s="12">
        <f>X277-W277</f>
        <v>0</v>
      </c>
      <c r="Y314" s="12">
        <f>Y277-X277</f>
        <v>-10.818</v>
      </c>
      <c r="Z314" s="12">
        <f>Z277-Y277</f>
        <v>9.703</v>
      </c>
      <c r="AA314" s="12">
        <f>AA277-Z277</f>
        <v>0</v>
      </c>
      <c r="AB314" s="12">
        <f>SUM(X314:AA314)</f>
        <v>-1.115</v>
      </c>
      <c r="AC314" s="12">
        <f>AC277-AB277</f>
        <v>-16.204</v>
      </c>
      <c r="AD314" s="12">
        <f>AD277-AC277</f>
        <v>10.88</v>
      </c>
      <c r="AE314" s="12">
        <f>AE277-AD277</f>
        <v>-17.006</v>
      </c>
      <c r="AF314" s="12">
        <f>AF277-AE277</f>
        <v>0</v>
      </c>
      <c r="AG314" s="12">
        <f>SUM(AC314:AF314)</f>
        <v>-22.33</v>
      </c>
      <c r="AH314" s="12">
        <f>AH277-AG277</f>
        <v>0</v>
      </c>
      <c r="AI314" s="12">
        <f>AI277-AH277</f>
        <v>12.141</v>
      </c>
      <c r="AJ314" s="12">
        <f>AJ277-AI277</f>
        <v>0</v>
      </c>
      <c r="AK314" s="12">
        <f>AK277-AJ277</f>
        <v>0</v>
      </c>
      <c r="AL314" s="12">
        <f>SUM(AH314:AK314)</f>
        <v>12.141</v>
      </c>
      <c r="AM314" s="12">
        <f>AM277-AL277</f>
        <v>0</v>
      </c>
      <c r="AN314" s="12">
        <f>AN277-AM277</f>
        <v>0</v>
      </c>
      <c r="AO314" s="12">
        <f>AO277-AN277</f>
        <v>0</v>
      </c>
      <c r="AP314" s="12">
        <f>AP277-AO277</f>
        <v>0</v>
      </c>
      <c r="AQ314" s="12">
        <f>SUM(AM314:AP314)</f>
        <v>0</v>
      </c>
      <c r="AR314" s="12">
        <f>AR277-AQ277</f>
        <v>0</v>
      </c>
      <c r="AS314" s="12">
        <f>AS277-AR277</f>
        <v>0</v>
      </c>
      <c r="AT314" s="12">
        <f>AT277-AS277</f>
        <v>0</v>
      </c>
      <c r="AU314" s="12">
        <f>AU277-AT277</f>
        <v>0</v>
      </c>
      <c r="AV314" s="12">
        <f>SUM(AR314:AU314)</f>
        <v>0</v>
      </c>
      <c r="AW314" s="12">
        <f>AW277-AV277</f>
        <v>0</v>
      </c>
      <c r="AX314" s="12">
        <f>AX277-AW277</f>
        <v>0</v>
      </c>
      <c r="AY314" s="12">
        <f>AY277-AX277</f>
        <v>0</v>
      </c>
      <c r="AZ314" s="12">
        <f>AZ277-AY277</f>
        <v>0</v>
      </c>
      <c r="BA314" s="12">
        <f>SUM(AW314:AZ314)</f>
        <v>0</v>
      </c>
      <c r="BB314" s="12">
        <f>BB277-BA277</f>
        <v>0</v>
      </c>
      <c r="BC314" s="12">
        <f>BC277-BB277</f>
        <v>0</v>
      </c>
      <c r="BD314" s="12">
        <f>BD277-BC277</f>
        <v>0</v>
      </c>
      <c r="BE314" s="12">
        <f>BE277-BD277</f>
        <v>0</v>
      </c>
      <c r="BF314" s="12">
        <f>SUM(BB314:BE314)</f>
        <v>0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14" t="inlineStr">
        <is>
          <t>Comprehensive accumulated loss</t>
        </is>
      </c>
      <c r="D315" s="12" t="n"/>
      <c r="E315" s="12" t="n"/>
      <c r="F315" s="12" t="n"/>
      <c r="G315" s="12" t="n"/>
      <c r="H315" s="12" t="n"/>
      <c r="I315" s="12" t="n"/>
      <c r="J315" s="12">
        <f>J278-I278</f>
        <v>0</v>
      </c>
      <c r="K315" s="12">
        <f>K278-J278</f>
        <v>0</v>
      </c>
      <c r="L315" s="12">
        <f>L278-K278</f>
        <v>0</v>
      </c>
      <c r="M315" s="12" t="n"/>
      <c r="N315" s="12">
        <f>N278-M278</f>
        <v>0</v>
      </c>
      <c r="O315" s="12">
        <f>O278-N278</f>
        <v>0</v>
      </c>
      <c r="P315" s="12">
        <f>P278-O278</f>
        <v>0</v>
      </c>
      <c r="Q315" s="12">
        <f>Q278-P278</f>
        <v>0</v>
      </c>
      <c r="R315" s="12">
        <f>SUM(N315:Q315)</f>
        <v>0</v>
      </c>
      <c r="S315" s="12">
        <f>S278-R278</f>
        <v>0</v>
      </c>
      <c r="T315" s="12">
        <f>T278-S278</f>
        <v>0</v>
      </c>
      <c r="U315" s="12">
        <f>U278-T278</f>
        <v>0</v>
      </c>
      <c r="V315" s="12">
        <f>V278-U278</f>
        <v>0</v>
      </c>
      <c r="W315" s="12">
        <f>SUM(S315:V315)</f>
        <v>0</v>
      </c>
      <c r="X315" s="12">
        <f>X278-W278</f>
        <v>0</v>
      </c>
      <c r="Y315" s="12">
        <f>Y278-X278</f>
        <v>0</v>
      </c>
      <c r="Z315" s="12">
        <f>Z278-Y278</f>
        <v>0</v>
      </c>
      <c r="AA315" s="12">
        <f>AA278-Z278</f>
        <v>0</v>
      </c>
      <c r="AB315" s="12">
        <f>SUM(X315:AA315)</f>
        <v>0</v>
      </c>
      <c r="AC315" s="12">
        <f>AC278-AB278</f>
        <v>0</v>
      </c>
      <c r="AD315" s="12">
        <f>AD278-AC278</f>
        <v>0</v>
      </c>
      <c r="AE315" s="12">
        <f>AE278-AD278</f>
        <v>0</v>
      </c>
      <c r="AF315" s="12">
        <f>AF278-AE278</f>
        <v>0</v>
      </c>
      <c r="AG315" s="12">
        <f>SUM(AC315:AF315)</f>
        <v>0</v>
      </c>
      <c r="AH315" s="12">
        <f>AH278-AG278</f>
        <v>0</v>
      </c>
      <c r="AI315" s="12">
        <f>AI278-AH278</f>
        <v>0</v>
      </c>
      <c r="AJ315" s="12">
        <f>AJ278-AI278</f>
        <v>0</v>
      </c>
      <c r="AK315" s="12">
        <f>AK278-AJ278</f>
        <v>0</v>
      </c>
      <c r="AL315" s="12">
        <f>SUM(AH315:AK315)</f>
        <v>0</v>
      </c>
      <c r="AM315" s="12">
        <f>AM278-AL278</f>
        <v>0</v>
      </c>
      <c r="AN315" s="12">
        <f>AN278-AM278</f>
        <v>0</v>
      </c>
      <c r="AO315" s="12">
        <f>AO278-AN278</f>
        <v>0</v>
      </c>
      <c r="AP315" s="12">
        <f>AP278-AO278</f>
        <v>0</v>
      </c>
      <c r="AQ315" s="12">
        <f>SUM(AM315:AP315)</f>
        <v>0</v>
      </c>
      <c r="AR315" s="12">
        <f>AR278-AQ278</f>
        <v>0</v>
      </c>
      <c r="AS315" s="12">
        <f>AS278-AR278</f>
        <v>0</v>
      </c>
      <c r="AT315" s="12">
        <f>AT278-AS278</f>
        <v>0</v>
      </c>
      <c r="AU315" s="12">
        <f>AU278-AT278</f>
        <v>0</v>
      </c>
      <c r="AV315" s="12">
        <f>SUM(AR315:AU315)</f>
        <v>0</v>
      </c>
      <c r="AW315" s="12">
        <f>AW278-AV278</f>
        <v>0</v>
      </c>
      <c r="AX315" s="12">
        <f>AX278-AW278</f>
        <v>0</v>
      </c>
      <c r="AY315" s="12">
        <f>AY278-AX278</f>
        <v>0</v>
      </c>
      <c r="AZ315" s="12">
        <f>AZ278-AY278</f>
        <v>0</v>
      </c>
      <c r="BA315" s="12">
        <f>SUM(AW315:AZ315)</f>
        <v>0</v>
      </c>
      <c r="BB315" s="12">
        <f>BB278-BA278</f>
        <v>0</v>
      </c>
      <c r="BC315" s="12">
        <f>BC278-BB278</f>
        <v>0</v>
      </c>
      <c r="BD315" s="12">
        <f>BD278-BC278</f>
        <v>0</v>
      </c>
      <c r="BE315" s="12">
        <f>BE278-BD278</f>
        <v>0</v>
      </c>
      <c r="BF315" s="12">
        <f>SUM(BB315:BE315)</f>
        <v>0</v>
      </c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</row>
    <row r="316">
      <c r="C316" s="14" t="inlineStr">
        <is>
          <t>Other equity account</t>
        </is>
      </c>
      <c r="D316" s="12" t="n"/>
      <c r="E316" s="12" t="n"/>
      <c r="F316" s="12" t="n"/>
      <c r="G316" s="12" t="n"/>
      <c r="H316" s="12" t="n"/>
      <c r="I316" s="12" t="n"/>
      <c r="J316" s="12">
        <f>J279-I279</f>
        <v>0</v>
      </c>
      <c r="K316" s="12">
        <f>K279-J279</f>
        <v>0</v>
      </c>
      <c r="L316" s="12">
        <f>L279-K279</f>
        <v>0</v>
      </c>
      <c r="M316" s="12" t="n"/>
      <c r="N316" s="12">
        <f>N279-M279</f>
        <v>0</v>
      </c>
      <c r="O316" s="12">
        <f>O279-N279</f>
        <v>0</v>
      </c>
      <c r="P316" s="12">
        <f>P279-O279</f>
        <v>0</v>
      </c>
      <c r="Q316" s="12">
        <f>Q279-P279</f>
        <v>0</v>
      </c>
      <c r="R316" s="12">
        <f>SUM(N316:Q316)</f>
        <v>0</v>
      </c>
      <c r="S316" s="12">
        <f>S279-R279</f>
        <v>0</v>
      </c>
      <c r="T316" s="12">
        <f>T279-S279</f>
        <v>0</v>
      </c>
      <c r="U316" s="12">
        <f>U279-T279</f>
        <v>0</v>
      </c>
      <c r="V316" s="12">
        <f>V279-U279</f>
        <v>0</v>
      </c>
      <c r="W316" s="12">
        <f>SUM(S316:V316)</f>
        <v>0</v>
      </c>
      <c r="X316" s="12">
        <f>X279-W279</f>
        <v>0</v>
      </c>
      <c r="Y316" s="12">
        <f>Y279-X279</f>
        <v>0</v>
      </c>
      <c r="Z316" s="12">
        <f>Z279-Y279</f>
        <v>0</v>
      </c>
      <c r="AA316" s="12">
        <f>AA279-Z279</f>
        <v>0</v>
      </c>
      <c r="AB316" s="12">
        <f>SUM(X316:AA316)</f>
        <v>0</v>
      </c>
      <c r="AC316" s="12">
        <f>AC279-AB279</f>
        <v>0</v>
      </c>
      <c r="AD316" s="12">
        <f>AD279-AC279</f>
        <v>0</v>
      </c>
      <c r="AE316" s="12">
        <f>AE279-AD279</f>
        <v>0</v>
      </c>
      <c r="AF316" s="12">
        <f>AF279-AE279</f>
        <v>0</v>
      </c>
      <c r="AG316" s="12">
        <f>SUM(AC316:AF316)</f>
        <v>0</v>
      </c>
      <c r="AH316" s="12">
        <f>AH279-AG279</f>
        <v>0</v>
      </c>
      <c r="AI316" s="12">
        <f>AI279-AH279</f>
        <v>0</v>
      </c>
      <c r="AJ316" s="12">
        <f>AJ279-AI279</f>
        <v>0</v>
      </c>
      <c r="AK316" s="12">
        <f>AK279-AJ279</f>
        <v>0</v>
      </c>
      <c r="AL316" s="12">
        <f>SUM(AH316:AK316)</f>
        <v>0</v>
      </c>
      <c r="AM316" s="12">
        <f>AM279-AL279</f>
        <v>0</v>
      </c>
      <c r="AN316" s="12">
        <f>AN279-AM279</f>
        <v>0</v>
      </c>
      <c r="AO316" s="12">
        <f>AO279-AN279</f>
        <v>0</v>
      </c>
      <c r="AP316" s="12">
        <f>AP279-AO279</f>
        <v>0</v>
      </c>
      <c r="AQ316" s="12">
        <f>SUM(AM316:AP316)</f>
        <v>0</v>
      </c>
      <c r="AR316" s="12">
        <f>AR279-AQ279</f>
        <v>0</v>
      </c>
      <c r="AS316" s="12">
        <f>AS279-AR279</f>
        <v>0</v>
      </c>
      <c r="AT316" s="12">
        <f>AT279-AS279</f>
        <v>0</v>
      </c>
      <c r="AU316" s="12">
        <f>AU279-AT279</f>
        <v>0</v>
      </c>
      <c r="AV316" s="12">
        <f>SUM(AR316:AU316)</f>
        <v>0</v>
      </c>
      <c r="AW316" s="12">
        <f>AW279-AV279</f>
        <v>0</v>
      </c>
      <c r="AX316" s="12">
        <f>AX279-AW279</f>
        <v>0</v>
      </c>
      <c r="AY316" s="12">
        <f>AY279-AX279</f>
        <v>0</v>
      </c>
      <c r="AZ316" s="12">
        <f>AZ279-AY279</f>
        <v>0</v>
      </c>
      <c r="BA316" s="12">
        <f>SUM(AW316:AZ316)</f>
        <v>0</v>
      </c>
      <c r="BB316" s="12">
        <f>BB279-BA279</f>
        <v>0</v>
      </c>
      <c r="BC316" s="12">
        <f>BC279-BB279</f>
        <v>0</v>
      </c>
      <c r="BD316" s="12">
        <f>BD279-BC279</f>
        <v>0</v>
      </c>
      <c r="BE316" s="12">
        <f>BE279-BD279</f>
        <v>0</v>
      </c>
      <c r="BF316" s="12">
        <f>SUM(BB316:BE316)</f>
        <v>0</v>
      </c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</row>
    <row r="317">
      <c r="C317" s="10" t="inlineStr">
        <is>
          <t>Common and preferred dividends</t>
        </is>
      </c>
      <c r="D317" s="12" t="n"/>
      <c r="E317" s="12" t="n"/>
      <c r="F317" s="12" t="n"/>
      <c r="G317" s="12" t="n"/>
      <c r="H317" s="12" t="n"/>
      <c r="I317" s="12" t="n"/>
      <c r="J317" s="12">
        <f>(J280-I280)-J287</f>
        <v>-2.95634549000039</v>
      </c>
      <c r="K317" s="12">
        <f>(K280-J280)-K287</f>
        <v>-3.51299999999983</v>
      </c>
      <c r="L317" s="12">
        <f>(L280-K280)-L287</f>
        <v>-2.21663301000024</v>
      </c>
      <c r="M317" s="12" t="n"/>
      <c r="N317" s="12">
        <f>(N280-M280)-N287</f>
        <v>-2.49384191000101</v>
      </c>
      <c r="O317" s="12">
        <f>(O280-N280)-O287</f>
        <v>-2.95308315999944</v>
      </c>
      <c r="P317" s="12">
        <f>(P280-O280)-P287</f>
        <v>-3.61900000000043</v>
      </c>
      <c r="Q317" s="12">
        <f>(Q280-P280)-Q287</f>
        <v>-3.30977903000053</v>
      </c>
      <c r="R317" s="12">
        <f>SUM(N317:Q317)</f>
        <v>-12.3757041000014</v>
      </c>
      <c r="S317" s="12">
        <f>(S280-R280)-S287</f>
        <v>-2.97366757999995</v>
      </c>
      <c r="T317" s="12">
        <f>(T280-S280)-T287</f>
        <v>-3.38900000000024</v>
      </c>
      <c r="U317" s="12">
        <f>(U280-T280)-U287</f>
        <v>-5.40399999999937</v>
      </c>
      <c r="V317" s="12">
        <f>(V280-U280)-V287</f>
        <v>-3235.8114499</v>
      </c>
      <c r="W317" s="12">
        <f>SUM(S317:V317)</f>
        <v>-3247.57811748</v>
      </c>
      <c r="X317" s="12">
        <f>(X280-W280)-X287</f>
        <v>-98.8497813119996</v>
      </c>
      <c r="Y317" s="12">
        <f>(Y280-X280)-Y287</f>
        <v>-138.009212271</v>
      </c>
      <c r="Z317" s="12">
        <f>(Z280-Y280)-Z287</f>
        <v>-82.521000000001</v>
      </c>
      <c r="AA317" s="12">
        <f>(AA280-Z280)-AA287</f>
        <v>-731.115900000001</v>
      </c>
      <c r="AB317" s="12">
        <f>SUM(X317:AA317)</f>
        <v>-1050.495893583</v>
      </c>
      <c r="AC317" s="12">
        <f>(AC280-AB280)-AC287</f>
        <v>-139.085</v>
      </c>
      <c r="AD317" s="12">
        <f>(AD280-AC280)-AD287</f>
        <v>-156.261433216</v>
      </c>
      <c r="AE317" s="12">
        <f>(AE280-AD280)-AE287</f>
        <v>-167.250000000001</v>
      </c>
      <c r="AF317" s="12">
        <f>(AF280-AE280)-AF287</f>
        <v>-146.568</v>
      </c>
      <c r="AG317" s="12">
        <f>SUM(AC317:AF317)</f>
        <v>-609.164433216001</v>
      </c>
      <c r="AH317" s="12">
        <f>(AH280-AG280)-AH287</f>
        <v>0</v>
      </c>
      <c r="AI317" s="12">
        <f>(AI280-AH280)-AI287</f>
        <v>0</v>
      </c>
      <c r="AJ317" s="12">
        <f>(AJ280-AI280)-AJ287</f>
        <v>0</v>
      </c>
      <c r="AK317" s="12">
        <f>(AK280-AJ280)-AK287</f>
        <v>0</v>
      </c>
      <c r="AL317" s="12">
        <f>SUM(AH317:AK317)</f>
        <v>0</v>
      </c>
      <c r="AM317" s="12">
        <f>(AM280-AL280)-AM287</f>
        <v>0</v>
      </c>
      <c r="AN317" s="12">
        <f>(AN280-AM280)-AN287</f>
        <v>0</v>
      </c>
      <c r="AO317" s="12">
        <f>(AO280-AN280)-AO287</f>
        <v>0</v>
      </c>
      <c r="AP317" s="12">
        <f>(AP280-AO280)-AP287</f>
        <v>0</v>
      </c>
      <c r="AQ317" s="12">
        <f>SUM(AM317:AP317)</f>
        <v>0</v>
      </c>
      <c r="AR317" s="12">
        <f>(AR280-AQ280)-AR287</f>
        <v>0</v>
      </c>
      <c r="AS317" s="12">
        <f>(AS280-AR280)-AS287</f>
        <v>0</v>
      </c>
      <c r="AT317" s="12">
        <f>(AT280-AS280)-AT287</f>
        <v>0</v>
      </c>
      <c r="AU317" s="12">
        <f>(AU280-AT280)-AU287</f>
        <v>0</v>
      </c>
      <c r="AV317" s="12">
        <f>SUM(AR317:AU317)</f>
        <v>0</v>
      </c>
      <c r="AW317" s="12">
        <f>(AW280-AV280)-AW287</f>
        <v>0</v>
      </c>
      <c r="AX317" s="12">
        <f>(AX280-AW280)-AX287</f>
        <v>0</v>
      </c>
      <c r="AY317" s="12">
        <f>(AY280-AX280)-AY287</f>
        <v>0</v>
      </c>
      <c r="AZ317" s="12">
        <f>(AZ280-AY280)-AZ287</f>
        <v>0</v>
      </c>
      <c r="BA317" s="12">
        <f>SUM(AW317:AZ317)</f>
        <v>0</v>
      </c>
      <c r="BB317" s="12">
        <f>(BB280-BA280)-BB287</f>
        <v>0</v>
      </c>
      <c r="BC317" s="12">
        <f>(BC280-BB280)-BC287</f>
        <v>0</v>
      </c>
      <c r="BD317" s="12">
        <f>(BD280-BC280)-BD287</f>
        <v>0</v>
      </c>
      <c r="BE317" s="12">
        <f>(BE280-BD280)-BE287</f>
        <v>0</v>
      </c>
      <c r="BF317" s="12">
        <f>SUM(BB317:BE317)</f>
        <v>0</v>
      </c>
      <c r="BG317" s="12" t="n"/>
      <c r="BH317" s="12" t="n"/>
      <c r="BI317" s="12" t="n"/>
      <c r="BJ317" s="12" t="n"/>
      <c r="BK317" s="12" t="n"/>
      <c r="BL317" s="12" t="n"/>
      <c r="BM317" s="12" t="n"/>
      <c r="BN317" s="12" t="n"/>
      <c r="BO317" s="12" t="n"/>
      <c r="BP317" s="12" t="n"/>
      <c r="BQ317" s="12" t="n"/>
      <c r="BR317" s="12" t="n"/>
      <c r="BS317" s="12" t="n"/>
      <c r="BT317" s="12" t="n"/>
      <c r="BU317" s="12" t="n"/>
      <c r="BV317" s="12" t="n"/>
      <c r="BW317" s="12" t="n"/>
      <c r="BX317" s="12" t="n"/>
      <c r="BY317" s="12" t="n"/>
      <c r="BZ317" s="12" t="n"/>
      <c r="CA317" s="12" t="n"/>
      <c r="CB317" s="12" t="n"/>
      <c r="CC317" s="12" t="n"/>
      <c r="CD317" s="12" t="n"/>
      <c r="CE317" s="12" t="n"/>
      <c r="CF317" s="12" t="n"/>
      <c r="CG317" s="12" t="n"/>
      <c r="CH317" s="12" t="n"/>
      <c r="CI317" s="12" t="n"/>
      <c r="CJ317" s="12" t="n"/>
      <c r="CK317" s="12" t="n"/>
      <c r="CL317" s="12" t="n"/>
      <c r="CM317" s="12" t="n"/>
      <c r="CN317" s="12" t="n"/>
      <c r="CO317" s="12" t="n"/>
      <c r="CP317" s="12" t="n"/>
      <c r="CQ317" s="12" t="n"/>
      <c r="CR317" s="12" t="n"/>
      <c r="CS317" s="12" t="n"/>
      <c r="CT317" s="12" t="n"/>
      <c r="CU317" s="12" t="n"/>
      <c r="CV317" s="12" t="n"/>
      <c r="CW317" s="12" t="n"/>
      <c r="CX317" s="12" t="n"/>
      <c r="CY317" s="12" t="n"/>
    </row>
    <row r="318">
      <c r="C318" s="14" t="inlineStr">
        <is>
          <t>Dividends to minority interests</t>
        </is>
      </c>
      <c r="D318" s="12" t="n"/>
      <c r="E318" s="12" t="n"/>
      <c r="F318" s="12" t="n"/>
      <c r="G318" s="12" t="n"/>
      <c r="H318" s="12" t="n"/>
      <c r="I318" s="12" t="n"/>
      <c r="J318" s="12">
        <f>(J258-I258)+J146</f>
        <v>2.95800000000001</v>
      </c>
      <c r="K318" s="12">
        <f>(K258-J258)+K146</f>
        <v>3.51299999999999</v>
      </c>
      <c r="L318" s="12">
        <f>(L258-K258)+L146</f>
        <v>2.46600000000001</v>
      </c>
      <c r="M318" s="12" t="n"/>
      <c r="N318" s="12">
        <f>(N258-M258)+N146</f>
        <v>2.496</v>
      </c>
      <c r="O318" s="12">
        <f>(O258-N258)+O146</f>
        <v>3.38200000000001</v>
      </c>
      <c r="P318" s="12">
        <f>(P258-O258)+P146</f>
        <v>3.67099999999999</v>
      </c>
      <c r="Q318" s="12">
        <f>(Q258-P258)+Q146</f>
        <v>3.43600000000001</v>
      </c>
      <c r="R318" s="12">
        <f>SUM(N318:Q318)</f>
        <v>12.985</v>
      </c>
      <c r="S318" s="12">
        <f>(S258-R258)+S146</f>
        <v>2.89339999999999</v>
      </c>
      <c r="T318" s="12">
        <f>(T258-S258)+T146</f>
        <v>4.56360000000001</v>
      </c>
      <c r="U318" s="12">
        <f>(U258-T258)+U146</f>
        <v>4.194</v>
      </c>
      <c r="V318" s="12">
        <f>(V258-U258)+V146</f>
        <v>3.211</v>
      </c>
      <c r="W318" s="12">
        <f>SUM(S318:V318)</f>
        <v>14.862</v>
      </c>
      <c r="X318" s="12">
        <f>(X258-W258)+X146</f>
        <v>2.563</v>
      </c>
      <c r="Y318" s="12">
        <f>(Y258-X258)+Y146</f>
        <v>4.71299999999999</v>
      </c>
      <c r="Z318" s="12">
        <f>(Z258-Y258)+Z146</f>
        <v>13.439</v>
      </c>
      <c r="AA318" s="12">
        <f>(AA258-Z258)+AA146</f>
        <v>-45.273</v>
      </c>
      <c r="AB318" s="12">
        <f>SUM(X318:AA318)</f>
        <v>-24.558</v>
      </c>
      <c r="AC318" s="12">
        <f>(AC258-AB258)+AC146</f>
        <v>3.01299999999999</v>
      </c>
      <c r="AD318" s="12">
        <f>(AD258-AC258)+AD146</f>
        <v>5.68900000000001</v>
      </c>
      <c r="AE318" s="12">
        <f>(AE258-AD258)+AE146</f>
        <v>976.659</v>
      </c>
      <c r="AF318" s="12">
        <f>(AF258-AE258)+AF146</f>
        <v>7.10100000000001</v>
      </c>
      <c r="AG318" s="12">
        <f>SUM(AC318:AF318)</f>
        <v>992.462</v>
      </c>
      <c r="AH318" s="12">
        <f>(AH258-AG258)+AH146</f>
        <v>1.66977542903624e-13</v>
      </c>
      <c r="AI318" s="12">
        <f>(AI258-AH258)+AI146</f>
        <v>93.582</v>
      </c>
      <c r="AJ318" s="12">
        <f>(AJ258-AI258)+AJ146</f>
        <v>0</v>
      </c>
      <c r="AK318" s="12">
        <f>(AK258-AJ258)+AK146</f>
        <v>0</v>
      </c>
      <c r="AL318" s="12">
        <f>SUM(AH318:AK318)</f>
        <v>93.5820000000001</v>
      </c>
      <c r="AM318" s="12">
        <f>(AM258-AL258)+AM146</f>
        <v>0</v>
      </c>
      <c r="AN318" s="12">
        <f>(AN258-AM258)+AN146</f>
        <v>0</v>
      </c>
      <c r="AO318" s="12">
        <f>(AO258-AN258)+AO146</f>
        <v>0</v>
      </c>
      <c r="AP318" s="12">
        <f>(AP258-AO258)+AP146</f>
        <v>0</v>
      </c>
      <c r="AQ318" s="12">
        <f>SUM(AM318:AP318)</f>
        <v>0</v>
      </c>
      <c r="AR318" s="12">
        <f>(AR258-AQ258)+AR146</f>
        <v>0</v>
      </c>
      <c r="AS318" s="12">
        <f>(AS258-AR258)+AS146</f>
        <v>0</v>
      </c>
      <c r="AT318" s="12">
        <f>(AT258-AS258)+AT146</f>
        <v>0</v>
      </c>
      <c r="AU318" s="12">
        <f>(AU258-AT258)+AU146</f>
        <v>0</v>
      </c>
      <c r="AV318" s="12">
        <f>SUM(AR318:AU318)</f>
        <v>0</v>
      </c>
      <c r="AW318" s="12">
        <f>(AW258-AV258)+AW146</f>
        <v>0</v>
      </c>
      <c r="AX318" s="12">
        <f>(AX258-AW258)+AX146</f>
        <v>0</v>
      </c>
      <c r="AY318" s="12">
        <f>(AY258-AX258)+AY146</f>
        <v>0</v>
      </c>
      <c r="AZ318" s="12">
        <f>(AZ258-AY258)+AZ146</f>
        <v>0</v>
      </c>
      <c r="BA318" s="12">
        <f>SUM(AW318:AZ318)</f>
        <v>0</v>
      </c>
      <c r="BB318" s="12">
        <f>(BB258-BA258)+BB146</f>
        <v>0</v>
      </c>
      <c r="BC318" s="12">
        <f>(BC258-BB258)+BC146</f>
        <v>0</v>
      </c>
      <c r="BD318" s="12">
        <f>(BD258-BC258)+BD146</f>
        <v>0</v>
      </c>
      <c r="BE318" s="12">
        <f>(BE258-BD258)+BE146</f>
        <v>0</v>
      </c>
      <c r="BF318" s="12">
        <f>SUM(BB318:BE318)</f>
        <v>0</v>
      </c>
      <c r="BG318" s="12" t="n"/>
      <c r="BH318" s="12" t="n"/>
      <c r="BI318" s="12" t="n"/>
      <c r="BJ318" s="12" t="n"/>
      <c r="BK318" s="12" t="n"/>
      <c r="BL318" s="12" t="n"/>
      <c r="BM318" s="12" t="n"/>
      <c r="BN318" s="12" t="n"/>
      <c r="BO318" s="12" t="n"/>
      <c r="BP318" s="12" t="n"/>
      <c r="BQ318" s="12" t="n"/>
      <c r="BR318" s="12" t="n"/>
      <c r="BS318" s="12" t="n"/>
      <c r="BT318" s="12" t="n"/>
      <c r="BU318" s="12" t="n"/>
      <c r="BV318" s="12" t="n"/>
      <c r="BW318" s="12" t="n"/>
      <c r="BX318" s="12" t="n"/>
      <c r="BY318" s="12" t="n"/>
      <c r="BZ318" s="12" t="n"/>
      <c r="CA318" s="12" t="n"/>
      <c r="CB318" s="12" t="n"/>
      <c r="CC318" s="12" t="n"/>
      <c r="CD318" s="12" t="n"/>
      <c r="CE318" s="12" t="n"/>
      <c r="CF318" s="12" t="n"/>
      <c r="CG318" s="12" t="n"/>
      <c r="CH318" s="12" t="n"/>
      <c r="CI318" s="12" t="n"/>
      <c r="CJ318" s="12" t="n"/>
      <c r="CK318" s="12" t="n"/>
      <c r="CL318" s="12" t="n"/>
      <c r="CM318" s="12" t="n"/>
      <c r="CN318" s="12" t="n"/>
      <c r="CO318" s="12" t="n"/>
      <c r="CP318" s="12" t="n"/>
      <c r="CQ318" s="12" t="n"/>
      <c r="CR318" s="12" t="n"/>
      <c r="CS318" s="12" t="n"/>
      <c r="CT318" s="12" t="n"/>
      <c r="CU318" s="12" t="n"/>
      <c r="CV318" s="12" t="n"/>
      <c r="CW318" s="12" t="n"/>
      <c r="CX318" s="12" t="n"/>
      <c r="CY318" s="12" t="n"/>
    </row>
    <row r="319">
      <c r="C319" s="15" t="inlineStr">
        <is>
          <t>Increases / (decreases) in debt</t>
        </is>
      </c>
      <c r="D319" s="12" t="n"/>
      <c r="E319" s="12" t="n"/>
      <c r="F319" s="12" t="n"/>
      <c r="G319" s="12" t="n"/>
      <c r="H319" s="12" t="n"/>
      <c r="I319" s="12" t="n"/>
      <c r="J319" s="12">
        <f>SUM(J222:J224,J227,J248,J245)-SUM(I222:I224,I227,I248,I245)</f>
        <v>20.6580061</v>
      </c>
      <c r="K319" s="12">
        <f>SUM(K222:K224,K227,K248,K245)-SUM(J222:J224,J227,J248,J245)</f>
        <v>144.21877483</v>
      </c>
      <c r="L319" s="12">
        <f>SUM(L222:L224,L227,L248,L245)-SUM(K222:K224,K227,K248,K245)</f>
        <v>594.447</v>
      </c>
      <c r="M319" s="12" t="n"/>
      <c r="N319" s="12">
        <f>SUM(N222:N224,N227,N248,N245)-SUM(M222:M224,M227,M248,M245)</f>
        <v>101.454</v>
      </c>
      <c r="O319" s="12">
        <f>SUM(O222:O224,O227,O248,O245)-SUM(N222:N224,N227,N248,N245)</f>
        <v>221.789</v>
      </c>
      <c r="P319" s="12">
        <f>SUM(P222:P224,P227,P248,P245)-SUM(O222:O224,O227,O248,O245)</f>
        <v>841.429</v>
      </c>
      <c r="Q319" s="12">
        <f>SUM(Q222:Q224,Q227,Q248,Q245)-SUM(P222:P224,P227,P248,P245)</f>
        <v>9.67399999999998</v>
      </c>
      <c r="R319" s="12">
        <f>SUM(N319:Q319)</f>
        <v>1174.346</v>
      </c>
      <c r="S319" s="12">
        <f>SUM(S222:S224,S227,S248,S245)-SUM(R222:R224,R227,R248,R245)</f>
        <v>54.0059999999999</v>
      </c>
      <c r="T319" s="12">
        <f>SUM(T222:T224,T227,T248,T245)-SUM(S222:S224,S227,S248,S245)</f>
        <v>232.686</v>
      </c>
      <c r="U319" s="12">
        <f>SUM(U222:U224,U227,U248,U245)-SUM(T222:T224,T227,T248,T245)</f>
        <v>198.055</v>
      </c>
      <c r="V319" s="12">
        <f>SUM(V222:V224,V227,V248,V245)-SUM(U222:U224,U227,U248,U245)</f>
        <v>89.4169999999995</v>
      </c>
      <c r="W319" s="12">
        <f>SUM(S319:V319)</f>
        <v>574.164</v>
      </c>
      <c r="X319" s="12">
        <f>SUM(X222:X224,X227,X248,X245)-SUM(W222:W224,W227,W248,W245)</f>
        <v>214.179000000001</v>
      </c>
      <c r="Y319" s="12">
        <f>SUM(Y222:Y224,Y227,Y248,Y245)-SUM(X222:X224,X227,X248,X245)</f>
        <v>-138.394</v>
      </c>
      <c r="Z319" s="12">
        <f>SUM(Z222:Z224,Z227,Z248,Z245)-SUM(Y222:Y224,Y227,Y248,Y245)</f>
        <v>16.1980000000003</v>
      </c>
      <c r="AA319" s="12">
        <f>SUM(AA222:AA224,AA227,AA248,AA245)-SUM(Z222:Z224,Z227,Z248,Z245)</f>
        <v>608.086</v>
      </c>
      <c r="AB319" s="12">
        <f>SUM(X319:AA319)</f>
        <v>700.069</v>
      </c>
      <c r="AC319" s="12">
        <f>SUM(AC222:AC224,AC227,AC248,AC245)-SUM(AB222:AB224,AB227,AB248,AB245)</f>
        <v>199.766</v>
      </c>
      <c r="AD319" s="12">
        <f>SUM(AD222:AD224,AD227,AD248,AD245)-SUM(AC222:AC224,AC227,AC248,AC245)</f>
        <v>298.454</v>
      </c>
      <c r="AE319" s="12">
        <f>SUM(AE222:AE224,AE227,AE248,AE245)-SUM(AD222:AD224,AD227,AD248,AD245)</f>
        <v>1468.751</v>
      </c>
      <c r="AF319" s="12">
        <f>SUM(AF222:AF224,AF227,AF248,AF245)-SUM(AE222:AE224,AE227,AE248,AE245)</f>
        <v>370.782</v>
      </c>
      <c r="AG319" s="12">
        <f>SUM(AC319:AF319)</f>
        <v>2337.753</v>
      </c>
      <c r="AH319" s="12">
        <f>SUM(AH222:AH224,AH227,AH248,AH245)-SUM(AG222:AG224,AG227,AG248,AG245)</f>
        <v>-87.9629999999997</v>
      </c>
      <c r="AI319" s="12">
        <f>SUM(AI222:AI224,AI227,AI248,AI245)-SUM(AH222:AH224,AH227,AH248,AH245)</f>
        <v>191.385</v>
      </c>
      <c r="AJ319" s="12">
        <f>SUM(AJ222:AJ224,AJ227,AJ248,AJ245)-SUM(AI222:AI224,AI227,AI248,AI245)</f>
        <v>0</v>
      </c>
      <c r="AK319" s="12">
        <f>SUM(AK222:AK224,AK227,AK248,AK245)-SUM(AJ222:AJ224,AJ227,AJ248,AJ245)</f>
        <v>0</v>
      </c>
      <c r="AL319" s="12">
        <f>SUM(AH319:AK319)</f>
        <v>103.422</v>
      </c>
      <c r="AM319" s="12">
        <f>SUM(AM222:AM224,AM227,AM248,AM245)-SUM(AL222:AL224,AL227,AL248,AL245)</f>
        <v>0</v>
      </c>
      <c r="AN319" s="12">
        <f>SUM(AN222:AN224,AN227,AN248,AN245)-SUM(AM222:AM224,AM227,AM248,AM245)</f>
        <v>0</v>
      </c>
      <c r="AO319" s="12">
        <f>SUM(AO222:AO224,AO227,AO248,AO245)-SUM(AN222:AN224,AN227,AN248,AN245)</f>
        <v>0</v>
      </c>
      <c r="AP319" s="12">
        <f>SUM(AP222:AP224,AP227,AP248,AP245)-SUM(AO222:AO224,AO227,AO248,AO245)</f>
        <v>0</v>
      </c>
      <c r="AQ319" s="12">
        <f>SUM(AM319:AP319)</f>
        <v>0</v>
      </c>
      <c r="AR319" s="12">
        <f>SUM(AR222:AR224,AR227,AR248,AR245)-SUM(AQ222:AQ224,AQ227,AQ248,AQ245)</f>
        <v>0</v>
      </c>
      <c r="AS319" s="12">
        <f>SUM(AS222:AS224,AS227,AS248,AS245)-SUM(AR222:AR224,AR227,AR248,AR245)</f>
        <v>0</v>
      </c>
      <c r="AT319" s="12">
        <f>SUM(AT222:AT224,AT227,AT248,AT245)-SUM(AS222:AS224,AS227,AS248,AS245)</f>
        <v>0</v>
      </c>
      <c r="AU319" s="12">
        <f>SUM(AU222:AU224,AU227,AU248,AU245)-SUM(AT222:AT224,AT227,AT248,AT245)</f>
        <v>0</v>
      </c>
      <c r="AV319" s="12">
        <f>SUM(AR319:AU319)</f>
        <v>0</v>
      </c>
      <c r="AW319" s="12">
        <f>SUM(AW222:AW224,AW227,AW248,AW245)-SUM(AV222:AV224,AV227,AV248,AV245)</f>
        <v>0</v>
      </c>
      <c r="AX319" s="12">
        <f>SUM(AX222:AX224,AX227,AX248,AX245)-SUM(AW222:AW224,AW227,AW248,AW245)</f>
        <v>0</v>
      </c>
      <c r="AY319" s="12">
        <f>SUM(AY222:AY224,AY227,AY248,AY245)-SUM(AX222:AX224,AX227,AX248,AX245)</f>
        <v>0</v>
      </c>
      <c r="AZ319" s="12">
        <f>SUM(AZ222:AZ224,AZ227,AZ248,AZ245)-SUM(AY222:AY224,AY227,AY248,AY245)</f>
        <v>0</v>
      </c>
      <c r="BA319" s="12">
        <f>SUM(AW319:AZ319)</f>
        <v>0</v>
      </c>
      <c r="BB319" s="12">
        <f>SUM(BB222:BB224,BB227,BB248,BB245)-SUM(BA222:BA224,BA227,BA248,BA245)</f>
        <v>0</v>
      </c>
      <c r="BC319" s="12">
        <f>SUM(BC222:BC224,BC227,BC248,BC245)-SUM(BB222:BB224,BB227,BB248,BB245)</f>
        <v>0</v>
      </c>
      <c r="BD319" s="12">
        <f>SUM(BD222:BD224,BD227,BD248,BD245)-SUM(BC222:BC224,BC227,BC248,BC245)</f>
        <v>0</v>
      </c>
      <c r="BE319" s="12">
        <f>SUM(BE222:BE224,BE227,BE248,BE245)-SUM(BD222:BD224,BD227,BD248,BD245)</f>
        <v>0</v>
      </c>
      <c r="BF319" s="12">
        <f>SUM(BB319:BE319)</f>
        <v>0</v>
      </c>
      <c r="BG319" s="12" t="n"/>
      <c r="BH319" s="12" t="n"/>
      <c r="BI319" s="12" t="n"/>
      <c r="BJ319" s="12" t="n"/>
      <c r="BK319" s="12" t="n"/>
      <c r="BL319" s="12" t="n"/>
      <c r="BM319" s="12" t="n"/>
      <c r="BN319" s="12" t="n"/>
      <c r="BO319" s="12" t="n"/>
      <c r="BP319" s="12" t="n"/>
      <c r="BQ319" s="12" t="n"/>
      <c r="BR319" s="12" t="n"/>
      <c r="BS319" s="12" t="n"/>
      <c r="BT319" s="12" t="n"/>
      <c r="BU319" s="12" t="n"/>
      <c r="BV319" s="12" t="n"/>
      <c r="BW319" s="12" t="n"/>
      <c r="BX319" s="12" t="n"/>
      <c r="BY319" s="12" t="n"/>
      <c r="BZ319" s="12" t="n"/>
      <c r="CA319" s="12" t="n"/>
      <c r="CB319" s="12" t="n"/>
      <c r="CC319" s="12" t="n"/>
      <c r="CD319" s="12" t="n"/>
      <c r="CE319" s="12" t="n"/>
      <c r="CF319" s="12" t="n"/>
      <c r="CG319" s="12" t="n"/>
      <c r="CH319" s="12" t="n"/>
      <c r="CI319" s="12" t="n"/>
      <c r="CJ319" s="12" t="n"/>
      <c r="CK319" s="12" t="n"/>
      <c r="CL319" s="12" t="n"/>
      <c r="CM319" s="12" t="n"/>
      <c r="CN319" s="12" t="n"/>
      <c r="CO319" s="12" t="n"/>
      <c r="CP319" s="12" t="n"/>
      <c r="CQ319" s="12" t="n"/>
      <c r="CR319" s="12" t="n"/>
      <c r="CS319" s="12" t="n"/>
      <c r="CT319" s="12" t="n"/>
      <c r="CU319" s="12" t="n"/>
      <c r="CV319" s="12" t="n"/>
      <c r="CW319" s="12" t="n"/>
      <c r="CX319" s="12" t="n"/>
      <c r="CY319" s="12" t="n"/>
      <c r="CZ319" s="12" t="n"/>
      <c r="DA319" s="12" t="n"/>
      <c r="DB319" s="12" t="n"/>
      <c r="DC319" s="12" t="n"/>
    </row>
    <row r="320">
      <c r="C320" s="14" t="inlineStr">
        <is>
          <t>Cash from financing</t>
        </is>
      </c>
      <c r="D320" s="12" t="n"/>
      <c r="E320" s="12" t="n"/>
      <c r="F320" s="12" t="n"/>
      <c r="G320" s="12" t="n"/>
      <c r="H320" s="12" t="n"/>
      <c r="I320" s="12" t="n"/>
      <c r="J320" s="12">
        <f>SUM(J312,J313,J314,J315,J316,J317,J318,J319)</f>
        <v>20.6593606099999</v>
      </c>
      <c r="K320" s="12">
        <f>SUM(K312,K313,K314,K315,K316,K317,K318,K319)</f>
        <v>144.21861891</v>
      </c>
      <c r="L320" s="12">
        <f>SUM(L312,L313,L314,L315,L316,L317,L318,L319)</f>
        <v>594.69636699</v>
      </c>
      <c r="M320" s="12" t="n"/>
      <c r="N320" s="12">
        <f>SUM(N312,N313,N314,N315,N316,N317,N318,N319)</f>
        <v>101.456158089999</v>
      </c>
      <c r="O320" s="12">
        <f>SUM(O312,O313,O314,O315,O316,O317,O318,O319)</f>
        <v>222.21791684</v>
      </c>
      <c r="P320" s="12">
        <f>SUM(P312,P313,P314,P315,P316,P317,P318,P319)</f>
        <v>841.481</v>
      </c>
      <c r="Q320" s="12">
        <f>SUM(Q312,Q313,Q314,Q315,Q316,Q317,Q318,Q319)</f>
        <v>9.80022096999946</v>
      </c>
      <c r="R320" s="12">
        <f>SUM(R312,R313,R314,R315,R316,R317,R318,R319)</f>
        <v>1174.9552959</v>
      </c>
      <c r="S320" s="12">
        <f>SUM(S312,S313,S314,S315,S316,S317,S318,S319)</f>
        <v>53.9257324199999</v>
      </c>
      <c r="T320" s="12">
        <f>SUM(T312,T313,T314,T315,T316,T317,T318,T319)</f>
        <v>233.8606</v>
      </c>
      <c r="U320" s="12">
        <f>SUM(U312,U313,U314,U315,U316,U317,U318,U319)</f>
        <v>193.865000000001</v>
      </c>
      <c r="V320" s="12">
        <f>SUM(V312,V313,V314,V315,V316,V317,V318,V319)</f>
        <v>89.4015500999988</v>
      </c>
      <c r="W320" s="12">
        <f>SUM(W312,W313,W314,W315,W316,W317,W318,W319)</f>
        <v>571.05288252</v>
      </c>
      <c r="X320" s="12">
        <f>SUM(X312,X313,X314,X315,X316,X317,X318,X319)</f>
        <v>117.892218688001</v>
      </c>
      <c r="Y320" s="12">
        <f>SUM(Y312,Y313,Y314,Y315,Y316,Y317,Y318,Y319)</f>
        <v>-282.508212271001</v>
      </c>
      <c r="Z320" s="12">
        <f>SUM(Z312,Z313,Z314,Z315,Z316,Z317,Z318,Z319)</f>
        <v>-43.1810000000007</v>
      </c>
      <c r="AA320" s="12">
        <f>SUM(AA312,AA313,AA314,AA315,AA316,AA317,AA318,AA319)</f>
        <v>120.431099999999</v>
      </c>
      <c r="AB320" s="12">
        <f>SUM(AB312,AB313,AB314,AB315,AB316,AB317,AB318,AB319)</f>
        <v>-87.365893583001</v>
      </c>
      <c r="AC320" s="12">
        <f>SUM(AC312,AC313,AC314,AC315,AC316,AC317,AC318,AC319)</f>
        <v>47.4899999999996</v>
      </c>
      <c r="AD320" s="12">
        <f>SUM(AD312,AD313,AD314,AD315,AD316,AD317,AD318,AD319)</f>
        <v>158.761566784</v>
      </c>
      <c r="AE320" s="12">
        <f>SUM(AE312,AE313,AE314,AE315,AE316,AE317,AE318,AE319)</f>
        <v>2261.154</v>
      </c>
      <c r="AF320" s="12">
        <f>SUM(AF312,AF313,AF314,AF315,AF316,AF317,AF318,AF319)</f>
        <v>244.248999999999</v>
      </c>
      <c r="AG320" s="12">
        <f>SUM(AG312,AG313,AG314,AG315,AG316,AG317,AG318,AG319)</f>
        <v>2711.654566784</v>
      </c>
      <c r="AH320" s="12">
        <f>SUM(AH312,AH313,AH314,AH315,AH316,AH317,AH318,AH319)</f>
        <v>250.871000000001</v>
      </c>
      <c r="AI320" s="12">
        <f>SUM(AI312,AI313,AI314,AI315,AI316,AI317,AI318,AI319)</f>
        <v>297.108</v>
      </c>
      <c r="AJ320" s="12">
        <f>SUM(AJ312,AJ313,AJ314,AJ315,AJ316,AJ317,AJ318,AJ319)</f>
        <v>0</v>
      </c>
      <c r="AK320" s="12">
        <f>SUM(AK312,AK313,AK314,AK315,AK316,AK317,AK318,AK319)</f>
        <v>0</v>
      </c>
      <c r="AL320" s="12">
        <f>SUM(AL312,AL313,AL314,AL315,AL316,AL317,AL318,AL319)</f>
        <v>547.979000000001</v>
      </c>
      <c r="AM320" s="12">
        <f>SUM(AM312,AM313,AM314,AM315,AM316,AM317,AM318,AM319)</f>
        <v>0</v>
      </c>
      <c r="AN320" s="12">
        <f>SUM(AN312,AN313,AN314,AN315,AN316,AN317,AN318,AN319)</f>
        <v>0</v>
      </c>
      <c r="AO320" s="12">
        <f>SUM(AO312,AO313,AO314,AO315,AO316,AO317,AO318,AO319)</f>
        <v>0</v>
      </c>
      <c r="AP320" s="12">
        <f>SUM(AP312,AP313,AP314,AP315,AP316,AP317,AP318,AP319)</f>
        <v>0</v>
      </c>
      <c r="AQ320" s="12">
        <f>SUM(AQ312,AQ313,AQ314,AQ315,AQ316,AQ317,AQ318,AQ319)</f>
        <v>0</v>
      </c>
      <c r="AR320" s="12">
        <f>SUM(AR312,AR313,AR314,AR315,AR316,AR317,AR318,AR319)</f>
        <v>0</v>
      </c>
      <c r="AS320" s="12">
        <f>SUM(AS312,AS313,AS314,AS315,AS316,AS317,AS318,AS319)</f>
        <v>0</v>
      </c>
      <c r="AT320" s="12">
        <f>SUM(AT312,AT313,AT314,AT315,AT316,AT317,AT318,AT319)</f>
        <v>0</v>
      </c>
      <c r="AU320" s="12">
        <f>SUM(AU312,AU313,AU314,AU315,AU316,AU317,AU318,AU319)</f>
        <v>0</v>
      </c>
      <c r="AV320" s="12">
        <f>SUM(AV312,AV313,AV314,AV315,AV316,AV317,AV318,AV319)</f>
        <v>0</v>
      </c>
      <c r="AW320" s="12">
        <f>SUM(AW312,AW313,AW314,AW315,AW316,AW317,AW318,AW319)</f>
        <v>0</v>
      </c>
      <c r="AX320" s="12">
        <f>SUM(AX312,AX313,AX314,AX315,AX316,AX317,AX318,AX319)</f>
        <v>0</v>
      </c>
      <c r="AY320" s="12">
        <f>SUM(AY312,AY313,AY314,AY315,AY316,AY317,AY318,AY319)</f>
        <v>0</v>
      </c>
      <c r="AZ320" s="12">
        <f>SUM(AZ312,AZ313,AZ314,AZ315,AZ316,AZ317,AZ318,AZ319)</f>
        <v>0</v>
      </c>
      <c r="BA320" s="12">
        <f>SUM(BA312,BA313,BA314,BA315,BA316,BA317,BA318,BA319)</f>
        <v>0</v>
      </c>
      <c r="BB320" s="12">
        <f>SUM(BB312,BB313,BB314,BB315,BB316,BB317,BB318,BB319)</f>
        <v>0</v>
      </c>
      <c r="BC320" s="12">
        <f>SUM(BC312,BC313,BC314,BC315,BC316,BC317,BC318,BC319)</f>
        <v>0</v>
      </c>
      <c r="BD320" s="12">
        <f>SUM(BD312,BD313,BD314,BD315,BD316,BD317,BD318,BD319)</f>
        <v>0</v>
      </c>
      <c r="BE320" s="12">
        <f>SUM(BE312,BE313,BE314,BE315,BE316,BE317,BE318,BE319)</f>
        <v>0</v>
      </c>
      <c r="BF320" s="12">
        <f>SUM(BF312,BF313,BF314,BF315,BF316,BF317,BF318,BF319)</f>
        <v>0</v>
      </c>
      <c r="BG320" s="12" t="n"/>
      <c r="BH320" s="12" t="n"/>
      <c r="BI320" s="12" t="n"/>
      <c r="BJ320" s="12" t="n"/>
      <c r="BK320" s="12" t="n"/>
      <c r="BL320" s="12" t="n"/>
      <c r="BM320" s="12" t="n"/>
      <c r="BN320" s="12" t="n"/>
      <c r="BO320" s="12" t="n"/>
      <c r="BP320" s="12" t="n"/>
      <c r="BQ320" s="12" t="n"/>
      <c r="BR320" s="12" t="n"/>
      <c r="BS320" s="12" t="n"/>
      <c r="BT320" s="12" t="n"/>
      <c r="BU320" s="12" t="n"/>
      <c r="BV320" s="12" t="n"/>
      <c r="BW320" s="12" t="n"/>
      <c r="BX320" s="12" t="n"/>
      <c r="BY320" s="12" t="n"/>
      <c r="BZ320" s="12" t="n"/>
      <c r="CA320" s="12" t="n"/>
      <c r="CB320" s="12" t="n"/>
      <c r="CC320" s="12" t="n"/>
      <c r="CD320" s="12" t="n"/>
      <c r="CE320" s="12" t="n"/>
      <c r="CF320" s="12" t="n"/>
      <c r="CG320" s="12" t="n"/>
      <c r="CH320" s="12" t="n"/>
      <c r="CI320" s="12" t="n"/>
      <c r="CJ320" s="12" t="n"/>
      <c r="CK320" s="12" t="n"/>
      <c r="CL320" s="12" t="n"/>
      <c r="CM320" s="12" t="n"/>
      <c r="CN320" s="12" t="n"/>
      <c r="CO320" s="12" t="n"/>
      <c r="CP320" s="12" t="n"/>
      <c r="CQ320" s="12" t="n"/>
      <c r="CR320" s="12" t="n"/>
      <c r="CS320" s="12" t="n"/>
      <c r="CT320" s="12" t="n"/>
      <c r="CU320" s="12" t="n"/>
      <c r="CV320" s="12" t="n"/>
      <c r="CW320" s="12" t="n"/>
      <c r="CX320" s="12" t="n"/>
      <c r="CY320" s="12" t="n"/>
    </row>
    <row r="321">
      <c r="C321" s="14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  <c r="AL321" s="12" t="n"/>
      <c r="AM321" s="12" t="n"/>
      <c r="AN321" s="12" t="n"/>
      <c r="AO321" s="12" t="n"/>
      <c r="AP321" s="12" t="n"/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  <c r="BJ321" s="12" t="n"/>
      <c r="BK321" s="12" t="n"/>
      <c r="BL321" s="12" t="n"/>
      <c r="BM321" s="12" t="n"/>
      <c r="BN321" s="12" t="n"/>
      <c r="BO321" s="12" t="n"/>
      <c r="BP321" s="12" t="n"/>
      <c r="BQ321" s="12" t="n"/>
      <c r="BR321" s="12" t="n"/>
      <c r="BS321" s="12" t="n"/>
      <c r="BT321" s="12" t="n"/>
      <c r="BU321" s="12" t="n"/>
      <c r="BV321" s="12" t="n"/>
      <c r="BW321" s="12" t="n"/>
      <c r="BX321" s="12" t="n"/>
      <c r="BY321" s="12" t="n"/>
      <c r="BZ321" s="12" t="n"/>
      <c r="CA321" s="12" t="n"/>
      <c r="CB321" s="12" t="n"/>
      <c r="CC321" s="12" t="n"/>
      <c r="CD321" s="12" t="n"/>
      <c r="CE321" s="12" t="n"/>
      <c r="CF321" s="12" t="n"/>
      <c r="CG321" s="12" t="n"/>
      <c r="CH321" s="12" t="n"/>
      <c r="CI321" s="12" t="n"/>
      <c r="CJ321" s="12" t="n"/>
      <c r="CK321" s="12" t="n"/>
      <c r="CL321" s="12" t="n"/>
      <c r="CM321" s="12" t="n"/>
      <c r="CN321" s="12" t="n"/>
      <c r="CO321" s="12" t="n"/>
      <c r="CP321" s="12" t="n"/>
      <c r="CQ321" s="12" t="n"/>
      <c r="CR321" s="12" t="n"/>
      <c r="CS321" s="12" t="n"/>
      <c r="CT321" s="12" t="n"/>
      <c r="CU321" s="12" t="n"/>
      <c r="CV321" s="12" t="n"/>
      <c r="CW321" s="12" t="n"/>
      <c r="CX321" s="12" t="n"/>
      <c r="CY321" s="12" t="n"/>
    </row>
    <row r="322">
      <c r="C322" s="14" t="inlineStr">
        <is>
          <t>Others / cash reconciliation plug</t>
        </is>
      </c>
      <c r="D322" s="12" t="n"/>
      <c r="E322" s="12" t="n"/>
      <c r="F322" s="12" t="n"/>
      <c r="G322" s="12" t="n"/>
      <c r="H322" s="12" t="n"/>
      <c r="I322" s="12" t="n"/>
      <c r="J322" s="12">
        <f>J154-I154-SUM(J303,J310,J320)</f>
        <v>-0.00031465000022024</v>
      </c>
      <c r="K322" s="12">
        <f>K154-J154-SUM(K303,K310,K320)</f>
        <v>0.000279649999924914</v>
      </c>
      <c r="L322" s="12">
        <f>L154-K154-SUM(L303,L310,L320)</f>
        <v>4.2632564145606e-13</v>
      </c>
      <c r="M322" s="12" t="n"/>
      <c r="N322" s="12">
        <f>N154-M154-SUM(N303,N310,N320)</f>
        <v>0</v>
      </c>
      <c r="O322" s="12">
        <f>O154-N154-SUM(O303,O310,O320)</f>
        <v>0</v>
      </c>
      <c r="P322" s="12">
        <f>P154-O154-SUM(P303,P310,P320)</f>
        <v>0</v>
      </c>
      <c r="Q322" s="12">
        <f>Q154-P154-SUM(Q303,Q310,Q320)</f>
        <v>0</v>
      </c>
      <c r="R322" s="12">
        <f>SUM(N322:Q322)</f>
        <v>0</v>
      </c>
      <c r="S322" s="12">
        <f>S154-R154-SUM(S303,S310,S320)</f>
        <v>0.0006000000003894</v>
      </c>
      <c r="T322" s="12">
        <f>T154-S154-SUM(T303,T310,T320)</f>
        <v>-0.000600000000247292</v>
      </c>
      <c r="U322" s="12">
        <f>U154-T154-SUM(U303,U310,U320)</f>
        <v>0</v>
      </c>
      <c r="V322" s="12">
        <f>V154-U154-SUM(V303,V310,V320)</f>
        <v>0</v>
      </c>
      <c r="W322" s="12">
        <f>SUM(S322:V322)</f>
        <v>1.4210854715202e-13</v>
      </c>
      <c r="X322" s="12">
        <f>X154-W154-SUM(X303,X310,X320)</f>
        <v>0</v>
      </c>
      <c r="Y322" s="12">
        <f>Y154-X154-SUM(Y303,Y310,Y320)</f>
        <v>-0.000298029999441951</v>
      </c>
      <c r="Z322" s="12">
        <f>Z154-Y154-SUM(Z303,Z310,Z320)</f>
        <v>0.000298029999726168</v>
      </c>
      <c r="AA322" s="12">
        <f>AA154-Z154-SUM(AA303,AA310,AA320)</f>
        <v>0</v>
      </c>
      <c r="AB322" s="12">
        <f>SUM(X322:AA322)</f>
        <v>2.8421709430404e-13</v>
      </c>
      <c r="AC322" s="12">
        <f>AC154-AB154-SUM(AC303,AC310,AC320)</f>
        <v>0</v>
      </c>
      <c r="AD322" s="12">
        <f>AD154-AC154-SUM(AD303,AD310,AD320)</f>
        <v>0.00010597999988704</v>
      </c>
      <c r="AE322" s="12">
        <f>AE154-AD154-SUM(AE303,AE310,AE320)</f>
        <v>-0.000105979998693329</v>
      </c>
      <c r="AF322" s="12">
        <f>AF154-AE154-SUM(AF303,AF310,AF320)</f>
        <v>0</v>
      </c>
      <c r="AG322" s="12">
        <f>SUM(AC322:AF322)</f>
        <v>1.19371179607697e-12</v>
      </c>
      <c r="AH322" s="12">
        <f>AH154-AG154-SUM(AH303,AH310,AH320)</f>
        <v>-1.53477230924182e-12</v>
      </c>
      <c r="AI322" s="12">
        <f>AI154-AH154-SUM(AI303,AI310,AI320)</f>
        <v>0</v>
      </c>
      <c r="AJ322" s="12">
        <f>AJ154-AI154-SUM(AJ303,AJ310,AJ320)</f>
        <v>0</v>
      </c>
      <c r="AK322" s="12">
        <f>AK154-AJ154-SUM(AK303,AK310,AK320)</f>
        <v>0</v>
      </c>
      <c r="AL322" s="12">
        <f>SUM(AH322:AK322)</f>
        <v>-1.53477230924182e-12</v>
      </c>
      <c r="AM322" s="12">
        <f>AM154-AL154-SUM(AM303,AM310,AM320)</f>
        <v>0</v>
      </c>
      <c r="AN322" s="12">
        <f>AN154-AM154-SUM(AN303,AN310,AN320)</f>
        <v>-6.3664629124105e-12</v>
      </c>
      <c r="AO322" s="12">
        <f>AO154-AN154-SUM(AO303,AO310,AO320)</f>
        <v>1.76214598468505e-12</v>
      </c>
      <c r="AP322" s="12">
        <f>AP154-AO154-SUM(AP303,AP310,AP320)</f>
        <v>0</v>
      </c>
      <c r="AQ322" s="12">
        <f>SUM(AM322:AP322)</f>
        <v>-4.60431692772545e-12</v>
      </c>
      <c r="AR322" s="12">
        <f>AR154-AQ154-SUM(AR303,AR310,AR320)</f>
        <v>0</v>
      </c>
      <c r="AS322" s="12">
        <f>AS154-AR154-SUM(AS303,AS310,AS320)</f>
        <v>6.82121026329696e-12</v>
      </c>
      <c r="AT322" s="12">
        <f>AT154-AS154-SUM(AT303,AT310,AT320)</f>
        <v>-1.53477230924182e-12</v>
      </c>
      <c r="AU322" s="12">
        <f>AU154-AT154-SUM(AU303,AU310,AU320)</f>
        <v>0</v>
      </c>
      <c r="AV322" s="12">
        <f>SUM(AR322:AU322)</f>
        <v>5.28643795405515e-12</v>
      </c>
      <c r="AW322" s="12">
        <f>AW154-AV154-SUM(AW303,AW310,AW320)</f>
        <v>0</v>
      </c>
      <c r="AX322" s="12">
        <f>AX154-AW154-SUM(AX303,AX310,AX320)</f>
        <v>0</v>
      </c>
      <c r="AY322" s="12">
        <f>AY154-AX154-SUM(AY303,AY310,AY320)</f>
        <v>8.75388650456443e-12</v>
      </c>
      <c r="AZ322" s="12">
        <f>AZ154-AY154-SUM(AZ303,AZ310,AZ320)</f>
        <v>0</v>
      </c>
      <c r="BA322" s="12">
        <f>SUM(AW322:AZ322)</f>
        <v>8.75388650456443e-12</v>
      </c>
      <c r="BB322" s="12">
        <f>BB154-BA154-SUM(BB303,BB310,BB320)</f>
        <v>0</v>
      </c>
      <c r="BC322" s="12">
        <f>BC154-BB154-SUM(BC303,BC310,BC320)</f>
        <v>0</v>
      </c>
      <c r="BD322" s="12">
        <f>BD154-BC154-SUM(BD303,BD310,BD320)</f>
        <v>1.59161572810262e-12</v>
      </c>
      <c r="BE322" s="12">
        <f>BE154-BD154-SUM(BE303,BE310,BE320)</f>
        <v>0</v>
      </c>
      <c r="BF322" s="12">
        <f>SUM(BB322:BE322)</f>
        <v>1.59161572810262e-12</v>
      </c>
      <c r="BG322" s="12" t="n"/>
      <c r="BH322" s="12" t="n"/>
      <c r="BI322" s="12" t="n"/>
      <c r="BJ322" s="12" t="n"/>
      <c r="BK322" s="12" t="n"/>
      <c r="BL322" s="12" t="n"/>
      <c r="BM322" s="12" t="n"/>
      <c r="BN322" s="12" t="n"/>
      <c r="BO322" s="12" t="n"/>
      <c r="BP322" s="12" t="n"/>
      <c r="BQ322" s="12" t="n"/>
      <c r="BR322" s="12" t="n"/>
      <c r="BS322" s="12" t="n"/>
      <c r="BT322" s="12" t="n"/>
      <c r="BU322" s="12" t="n"/>
      <c r="BV322" s="12" t="n"/>
      <c r="BW322" s="12" t="n"/>
      <c r="BX322" s="12" t="n"/>
      <c r="BY322" s="12" t="n"/>
      <c r="BZ322" s="12" t="n"/>
      <c r="CA322" s="12" t="n"/>
      <c r="CB322" s="12" t="n"/>
      <c r="CC322" s="12" t="n"/>
      <c r="CD322" s="12" t="n"/>
      <c r="CE322" s="12" t="n"/>
      <c r="CF322" s="12" t="n"/>
      <c r="CG322" s="12" t="n"/>
      <c r="CH322" s="12" t="n"/>
      <c r="CI322" s="12" t="n"/>
      <c r="CJ322" s="12" t="n"/>
      <c r="CK322" s="12" t="n"/>
      <c r="CL322" s="12" t="n"/>
      <c r="CM322" s="12" t="n"/>
      <c r="CN322" s="12" t="n"/>
      <c r="CO322" s="12" t="n"/>
      <c r="CP322" s="12" t="n"/>
      <c r="CQ322" s="12" t="n"/>
      <c r="CR322" s="12" t="n"/>
      <c r="CS322" s="12" t="n"/>
      <c r="CT322" s="12" t="n"/>
      <c r="CU322" s="12" t="n"/>
      <c r="CV322" s="12" t="n"/>
      <c r="CW322" s="12" t="n"/>
      <c r="CX322" s="12" t="n"/>
      <c r="CY322" s="12" t="n"/>
    </row>
    <row r="323">
      <c r="C323" s="14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  <c r="AL323" s="12" t="n"/>
      <c r="AM323" s="12" t="n"/>
      <c r="AN323" s="12" t="n"/>
      <c r="AO323" s="12" t="n"/>
      <c r="AP323" s="12" t="n"/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  <c r="BJ323" s="12" t="n"/>
      <c r="BK323" s="12" t="n"/>
      <c r="BL323" s="12" t="n"/>
      <c r="BM323" s="12" t="n"/>
      <c r="BN323" s="12" t="n"/>
      <c r="BO323" s="12" t="n"/>
      <c r="BP323" s="12" t="n"/>
      <c r="BQ323" s="12" t="n"/>
      <c r="BR323" s="12" t="n"/>
      <c r="BS323" s="12" t="n"/>
      <c r="BT323" s="12" t="n"/>
      <c r="BU323" s="12" t="n"/>
      <c r="BV323" s="12" t="n"/>
      <c r="BW323" s="12" t="n"/>
      <c r="BX323" s="12" t="n"/>
      <c r="BY323" s="12" t="n"/>
      <c r="BZ323" s="12" t="n"/>
      <c r="CA323" s="12" t="n"/>
      <c r="CB323" s="12" t="n"/>
      <c r="CC323" s="12" t="n"/>
      <c r="CD323" s="12" t="n"/>
      <c r="CE323" s="12" t="n"/>
      <c r="CF323" s="12" t="n"/>
      <c r="CG323" s="12" t="n"/>
      <c r="CH323" s="12" t="n"/>
      <c r="CI323" s="12" t="n"/>
      <c r="CJ323" s="12" t="n"/>
      <c r="CK323" s="12" t="n"/>
      <c r="CL323" s="12" t="n"/>
      <c r="CM323" s="12" t="n"/>
      <c r="CN323" s="12" t="n"/>
      <c r="CO323" s="12" t="n"/>
      <c r="CP323" s="12" t="n"/>
      <c r="CQ323" s="12" t="n"/>
      <c r="CR323" s="12" t="n"/>
      <c r="CS323" s="12" t="n"/>
      <c r="CT323" s="12" t="n"/>
      <c r="CU323" s="12" t="n"/>
      <c r="CV323" s="12" t="n"/>
      <c r="CW323" s="12" t="n"/>
      <c r="CX323" s="12" t="n"/>
      <c r="CY323" s="12" t="n"/>
    </row>
    <row r="324">
      <c r="C324" s="14" t="inlineStr">
        <is>
          <t>Total increase/decrease of cash</t>
        </is>
      </c>
      <c r="D324" s="12" t="n"/>
      <c r="E324" s="12" t="n"/>
      <c r="F324" s="12" t="n"/>
      <c r="G324" s="12" t="n"/>
      <c r="H324" s="12" t="n"/>
      <c r="I324" s="12" t="n"/>
      <c r="J324" s="12">
        <f>SUM(J303,J310,J320,J322)</f>
        <v>-109.56654397</v>
      </c>
      <c r="K324" s="12">
        <f>SUM(K303,K310,K320,K322)</f>
        <v>-727.96319428</v>
      </c>
      <c r="L324" s="12">
        <f>SUM(L303,L310,L320,L322)</f>
        <v>-80.091</v>
      </c>
      <c r="M324" s="12" t="n"/>
      <c r="N324" s="12">
        <f>SUM(N303,N310,N320,N322)</f>
        <v>-259.386</v>
      </c>
      <c r="O324" s="12">
        <f>SUM(O303,O310,O320,O322)</f>
        <v>270.24</v>
      </c>
      <c r="P324" s="12">
        <f>SUM(P303,P310,P320,P322)</f>
        <v>-194.573</v>
      </c>
      <c r="Q324" s="12">
        <f>SUM(Q303,Q310,Q320,Q322)</f>
        <v>1100.548</v>
      </c>
      <c r="R324" s="12">
        <f>SUM(N324:Q324)</f>
        <v>916.829</v>
      </c>
      <c r="S324" s="12">
        <f>SUM(S303,S310,S320,S322)</f>
        <v>-124.49</v>
      </c>
      <c r="T324" s="12">
        <f>SUM(T303,T310,T320,T322)</f>
        <v>-315.195</v>
      </c>
      <c r="U324" s="12">
        <f>SUM(U303,U310,U320,U322)</f>
        <v>-239.832999999999</v>
      </c>
      <c r="V324" s="12">
        <f>SUM(V303,V310,V320,V322)</f>
        <v>172.383</v>
      </c>
      <c r="W324" s="12">
        <f>SUM(S324:V324)</f>
        <v>-507.135</v>
      </c>
      <c r="X324" s="12">
        <f>SUM(X303,X310,X320,X322)</f>
        <v>51.2750000000001</v>
      </c>
      <c r="Y324" s="12">
        <f>SUM(Y303,Y310,Y320,Y322)</f>
        <v>-100.85</v>
      </c>
      <c r="Z324" s="12">
        <f>SUM(Z303,Z310,Z320,Z322)</f>
        <v>-541.646</v>
      </c>
      <c r="AA324" s="12">
        <f>SUM(AA303,AA310,AA320,AA322)</f>
        <v>965.414000000001</v>
      </c>
      <c r="AB324" s="12">
        <f>SUM(X324:AA324)</f>
        <v>374.193000000001</v>
      </c>
      <c r="AC324" s="12">
        <f>SUM(AC303,AC310,AC320,AC322)</f>
        <v>-143.616</v>
      </c>
      <c r="AD324" s="12">
        <f>SUM(AD303,AD310,AD320,AD322)</f>
        <v>-492.774</v>
      </c>
      <c r="AE324" s="12">
        <f>SUM(AE303,AE310,AE320,AE322)</f>
        <v>155.116</v>
      </c>
      <c r="AF324" s="12">
        <f>SUM(AF303,AF310,AF320,AF322)</f>
        <v>618.773</v>
      </c>
      <c r="AG324" s="12">
        <f>SUM(AC324:AF324)</f>
        <v>137.499</v>
      </c>
      <c r="AH324" s="12">
        <f>SUM(AH303,AH310,AH320,AH322)</f>
        <v>182.526</v>
      </c>
      <c r="AI324" s="12">
        <f>SUM(AI303,AI310,AI320,AI322)</f>
        <v>-352.648000000001</v>
      </c>
      <c r="AJ324" s="12">
        <f>SUM(AJ303,AJ310,AJ320,AJ322)</f>
        <v>-763.649833602315</v>
      </c>
      <c r="AK324" s="12">
        <f>SUM(AK303,AK310,AK320,AK322)</f>
        <v>1067.1671372178</v>
      </c>
      <c r="AL324" s="12">
        <f>SUM(AH324:AK324)</f>
        <v>133.39530361548</v>
      </c>
      <c r="AM324" s="12">
        <f>SUM(AM303,AM310,AM320,AM322)</f>
        <v>1453.78039652915</v>
      </c>
      <c r="AN324" s="12">
        <f>SUM(AN303,AN310,AN320,AN322)</f>
        <v>728.95549455527</v>
      </c>
      <c r="AO324" s="12">
        <f>SUM(AO303,AO310,AO320,AO322)</f>
        <v>-439.326615792492</v>
      </c>
      <c r="AP324" s="12">
        <f>SUM(AP303,AP310,AP320,AP322)</f>
        <v>1361.87928602696</v>
      </c>
      <c r="AQ324" s="12">
        <f>SUM(AM324:AP324)</f>
        <v>3105.28856131889</v>
      </c>
      <c r="AR324" s="12">
        <f>SUM(AR303,AR310,AR320,AR322)</f>
        <v>1925.3163631961</v>
      </c>
      <c r="AS324" s="12">
        <f>SUM(AS303,AS310,AS320,AS322)</f>
        <v>915.698075121058</v>
      </c>
      <c r="AT324" s="12">
        <f>SUM(AT303,AT310,AT320,AT322)</f>
        <v>-349.301510530589</v>
      </c>
      <c r="AU324" s="12">
        <f>SUM(AU303,AU310,AU320,AU322)</f>
        <v>1777.34122285191</v>
      </c>
      <c r="AV324" s="12">
        <f>SUM(AR324:AU324)</f>
        <v>4269.05415063847</v>
      </c>
      <c r="AW324" s="12">
        <f>SUM(AW303,AW310,AW320,AW322)</f>
        <v>2399.55483436445</v>
      </c>
      <c r="AX324" s="12">
        <f>SUM(AX303,AX310,AX320,AX322)</f>
        <v>1396.96276853629</v>
      </c>
      <c r="AY324" s="12">
        <f>SUM(AY303,AY310,AY320,AY322)</f>
        <v>-122.544951959797</v>
      </c>
      <c r="AZ324" s="12">
        <f>SUM(AZ303,AZ310,AZ320,AZ322)</f>
        <v>2390.43141817936</v>
      </c>
      <c r="BA324" s="12">
        <f>SUM(AW324:AZ324)</f>
        <v>6064.4040691203</v>
      </c>
      <c r="BB324" s="12">
        <f>SUM(BB303,BB310,BB320,BB322)</f>
        <v>3185.52654095574</v>
      </c>
      <c r="BC324" s="12">
        <f>SUM(BC303,BC310,BC320,BC322)</f>
        <v>2035.75777101424</v>
      </c>
      <c r="BD324" s="12">
        <f>SUM(BD303,BD310,BD320,BD322)</f>
        <v>340.251159131374</v>
      </c>
      <c r="BE324" s="12">
        <f>SUM(BE303,BE310,BE320,BE322)</f>
        <v>3316.99060073944</v>
      </c>
      <c r="BF324" s="12">
        <f>SUM(BB324:BE324)</f>
        <v>8878.52607184079</v>
      </c>
      <c r="BG324" s="12" t="n"/>
      <c r="BH324" s="12" t="n"/>
      <c r="BI324" s="12" t="n"/>
      <c r="BJ324" s="12" t="n"/>
      <c r="BK324" s="12" t="n"/>
      <c r="BL324" s="12" t="n"/>
      <c r="BM324" s="12" t="n"/>
      <c r="BN324" s="12" t="n"/>
      <c r="BO324" s="12" t="n"/>
      <c r="BP324" s="12" t="n"/>
      <c r="BQ324" s="12" t="n"/>
      <c r="BR324" s="12" t="n"/>
      <c r="BS324" s="12" t="n"/>
      <c r="BT324" s="12" t="n"/>
      <c r="BU324" s="12" t="n"/>
      <c r="BV324" s="12" t="n"/>
      <c r="BW324" s="12" t="n"/>
      <c r="BX324" s="12" t="n"/>
      <c r="BY324" s="12" t="n"/>
      <c r="BZ324" s="12" t="n"/>
      <c r="CA324" s="12" t="n"/>
      <c r="CB324" s="12" t="n"/>
      <c r="CC324" s="12" t="n"/>
      <c r="CD324" s="12" t="n"/>
      <c r="CE324" s="12" t="n"/>
      <c r="CF324" s="12" t="n"/>
      <c r="CG324" s="12" t="n"/>
      <c r="CH324" s="12" t="n"/>
      <c r="CI324" s="12" t="n"/>
      <c r="CJ324" s="12" t="n"/>
      <c r="CK324" s="12" t="n"/>
      <c r="CL324" s="12" t="n"/>
      <c r="CM324" s="12" t="n"/>
      <c r="CN324" s="12" t="n"/>
      <c r="CO324" s="12" t="n"/>
      <c r="CP324" s="12" t="n"/>
      <c r="CQ324" s="12" t="n"/>
      <c r="CR324" s="12" t="n"/>
      <c r="CS324" s="12" t="n"/>
      <c r="CT324" s="12" t="n"/>
      <c r="CU324" s="12" t="n"/>
      <c r="CV324" s="12" t="n"/>
      <c r="CW324" s="12" t="n"/>
      <c r="CX324" s="12" t="n"/>
      <c r="CY324" s="12" t="n"/>
    </row>
    <row r="325">
      <c r="C325" s="4" t="inlineStr">
        <is>
          <t>Check</t>
        </is>
      </c>
      <c r="E325" s="72" t="n"/>
      <c r="F325" s="72" t="n"/>
      <c r="G325" s="72" t="n"/>
      <c r="I325" s="72" t="str">
        <f>""</f>
        <v/>
      </c>
      <c r="J325" s="72">
        <f>J154-I154-J324</f>
        <v>0</v>
      </c>
      <c r="K325" s="72">
        <f>K154-J154-K324</f>
        <v>0</v>
      </c>
      <c r="L325" s="72">
        <f>L154-K154-L324</f>
        <v>0</v>
      </c>
      <c r="M325" s="4" t="str">
        <f>""</f>
        <v/>
      </c>
      <c r="N325" s="72">
        <f>N154-M154-N324</f>
        <v>0</v>
      </c>
      <c r="O325" s="72">
        <f>O154-N154-O324</f>
        <v>0</v>
      </c>
      <c r="P325" s="72">
        <f>P154-O154-P324</f>
        <v>0</v>
      </c>
      <c r="Q325" s="72">
        <f>Q154-P154-Q324</f>
        <v>0</v>
      </c>
      <c r="R325" s="4">
        <f>R154-M154-R324</f>
        <v>0</v>
      </c>
      <c r="S325" s="72">
        <f>S154-R154-S324</f>
        <v>0</v>
      </c>
      <c r="T325" s="72">
        <f>T154-S154-T324</f>
        <v>0</v>
      </c>
      <c r="U325" s="72">
        <f>U154-T154-U324</f>
        <v>0</v>
      </c>
      <c r="V325" s="72">
        <f>V154-U154-V324</f>
        <v>0</v>
      </c>
      <c r="W325" s="4">
        <f>W154-R154-W324</f>
        <v>0</v>
      </c>
      <c r="X325" s="72">
        <f>X154-W154-X324</f>
        <v>0</v>
      </c>
      <c r="Y325" s="72">
        <f>Y154-X154-Y324</f>
        <v>0</v>
      </c>
      <c r="Z325" s="72">
        <f>Z154-Y154-Z324</f>
        <v>0</v>
      </c>
      <c r="AA325" s="72">
        <f>AA154-Z154-AA324</f>
        <v>0</v>
      </c>
      <c r="AB325" s="4">
        <f>AB154-W154-AB324</f>
        <v>0</v>
      </c>
      <c r="AC325" s="72">
        <f>AC154-AB154-AC324</f>
        <v>0</v>
      </c>
      <c r="AD325" s="72">
        <f>AD154-AC154-AD324</f>
        <v>0</v>
      </c>
      <c r="AE325" s="72">
        <f>AE154-AD154-AE324</f>
        <v>0</v>
      </c>
      <c r="AF325" s="72">
        <f>AF154-AE154-AF324</f>
        <v>0</v>
      </c>
      <c r="AG325" s="4">
        <f>AG154-AB154-AG324</f>
        <v>0</v>
      </c>
      <c r="AH325" s="72">
        <f>AH154-AG154-AH324</f>
        <v>0</v>
      </c>
      <c r="AI325" s="72">
        <f>AI154-AH154-AI324</f>
        <v>0</v>
      </c>
      <c r="AJ325" s="72">
        <f>AJ154-AI154-AJ324</f>
        <v>0</v>
      </c>
      <c r="AK325" s="72">
        <f>AK154-AJ154-AK324</f>
        <v>0</v>
      </c>
      <c r="AL325" s="4">
        <f>AL154-AG154-AL324</f>
        <v>1.13686837721616e-12</v>
      </c>
      <c r="AM325" s="72">
        <f>AM154-AL154-AM324</f>
        <v>0</v>
      </c>
      <c r="AN325" s="72">
        <f>AN154-AM154-AN324</f>
        <v>0</v>
      </c>
      <c r="AO325" s="72">
        <f>AO154-AN154-AO324</f>
        <v>0</v>
      </c>
      <c r="AP325" s="72">
        <f>AP154-AO154-AP324</f>
        <v>0</v>
      </c>
      <c r="AQ325" s="4">
        <f>AQ154-AL154-AQ324</f>
        <v>0</v>
      </c>
      <c r="AR325" s="72">
        <f>AR154-AQ154-AR324</f>
        <v>0</v>
      </c>
      <c r="AS325" s="72">
        <f>AS154-AR154-AS324</f>
        <v>0</v>
      </c>
      <c r="AT325" s="72">
        <f>AT154-AS154-AT324</f>
        <v>0</v>
      </c>
      <c r="AU325" s="72">
        <f>AU154-AT154-AU324</f>
        <v>0</v>
      </c>
      <c r="AV325" s="4">
        <f>AV154-AQ154-AV324</f>
        <v>0</v>
      </c>
      <c r="AW325" s="72">
        <f>AW154-AV154-AW324</f>
        <v>0</v>
      </c>
      <c r="AX325" s="72">
        <f>AX154-AW154-AX324</f>
        <v>0</v>
      </c>
      <c r="AY325" s="72">
        <f>AY154-AX154-AY324</f>
        <v>0</v>
      </c>
      <c r="AZ325" s="72">
        <f>AZ154-AY154-AZ324</f>
        <v>0</v>
      </c>
      <c r="BA325" s="4">
        <f>BA154-AV154-BA324</f>
        <v>0</v>
      </c>
      <c r="BB325" s="72">
        <f>BB154-BA154-BB324</f>
        <v>0</v>
      </c>
      <c r="BC325" s="72">
        <f>BC154-BB154-BC324</f>
        <v>0</v>
      </c>
      <c r="BD325" s="72">
        <f>BD154-BC154-BD324</f>
        <v>0</v>
      </c>
      <c r="BE325" s="72">
        <f>BE154-BD154-BE324</f>
        <v>0</v>
      </c>
      <c r="BF325" s="4">
        <f>BF154-BA154-BF324</f>
        <v>0</v>
      </c>
      <c r="BG325" s="72" t="n"/>
      <c r="BH325" s="72" t="n"/>
      <c r="BI325" s="72" t="n"/>
      <c r="BJ325" s="72" t="n"/>
      <c r="BL325" s="72" t="n"/>
      <c r="BM325" s="72" t="n"/>
      <c r="BN325" s="72" t="n"/>
      <c r="BO325" s="72" t="n"/>
      <c r="BQ325" s="72" t="n"/>
      <c r="BR325" s="72" t="n"/>
      <c r="BS325" s="72" t="n"/>
      <c r="BT325" s="72" t="n"/>
      <c r="BV325" s="72" t="n"/>
      <c r="BW325" s="72" t="n"/>
      <c r="BX325" s="72" t="n"/>
      <c r="BY325" s="72" t="n"/>
      <c r="CA325" s="72" t="n"/>
      <c r="CB325" s="72" t="n"/>
      <c r="CC325" s="72" t="n"/>
      <c r="CD325" s="72" t="n"/>
      <c r="CF325" s="72" t="n"/>
      <c r="CG325" s="72" t="n"/>
      <c r="CH325" s="72" t="n"/>
      <c r="CI325" s="72" t="n"/>
      <c r="CK325" s="72" t="n"/>
      <c r="CL325" s="72" t="n"/>
      <c r="CM325" s="72" t="n"/>
      <c r="CN325" s="72" t="n"/>
      <c r="CP325" s="72" t="n"/>
      <c r="CQ325" s="72" t="n"/>
      <c r="CR325" s="72" t="n"/>
      <c r="CS325" s="72" t="n"/>
      <c r="CU325" s="72" t="n"/>
      <c r="CV325" s="72" t="n"/>
      <c r="CW325" s="72" t="n"/>
      <c r="CX325" s="72" t="n"/>
    </row>
    <row r="326"/>
    <row r="327">
      <c r="C327" s="73" t="inlineStr">
        <is>
          <t>Ratio Analysis</t>
        </is>
      </c>
      <c r="D327" s="73" t="n"/>
      <c r="E327" s="73" t="n"/>
      <c r="F327" s="73" t="n"/>
      <c r="G327" s="73" t="n"/>
      <c r="H327" s="73" t="n"/>
      <c r="I327" s="73" t="n"/>
      <c r="J327" s="73" t="n"/>
      <c r="K327" s="73" t="n"/>
      <c r="L327" s="73" t="n"/>
      <c r="M327" s="73" t="n"/>
      <c r="N327" s="73" t="n"/>
      <c r="O327" s="73" t="n"/>
      <c r="P327" s="73" t="n"/>
      <c r="Q327" s="73" t="n"/>
      <c r="R327" s="73" t="n"/>
      <c r="S327" s="73" t="n"/>
      <c r="T327" s="73" t="n"/>
      <c r="U327" s="73" t="n"/>
      <c r="V327" s="73" t="n"/>
      <c r="W327" s="73" t="n"/>
      <c r="X327" s="73" t="n"/>
      <c r="Y327" s="73" t="n"/>
      <c r="Z327" s="73" t="n"/>
      <c r="AA327" s="73" t="n"/>
      <c r="AB327" s="73" t="n"/>
      <c r="AC327" s="73" t="n"/>
      <c r="AD327" s="73" t="n"/>
      <c r="AE327" s="73" t="n"/>
      <c r="AF327" s="73" t="n"/>
      <c r="AG327" s="73" t="n"/>
      <c r="AH327" s="73" t="n"/>
      <c r="AI327" s="73" t="n"/>
      <c r="AJ327" s="73" t="n"/>
      <c r="AK327" s="73" t="n"/>
      <c r="AL327" s="73" t="n"/>
      <c r="AM327" s="73" t="n"/>
      <c r="AN327" s="73" t="n"/>
      <c r="AO327" s="73" t="n"/>
      <c r="AP327" s="73" t="n"/>
      <c r="AQ327" s="73" t="n"/>
      <c r="AR327" s="73" t="n"/>
      <c r="AS327" s="73" t="n"/>
      <c r="AT327" s="73" t="n"/>
      <c r="AU327" s="73" t="n"/>
      <c r="AV327" s="73" t="n"/>
      <c r="AW327" s="73" t="n"/>
      <c r="AX327" s="73" t="n"/>
      <c r="AY327" s="73" t="n"/>
      <c r="AZ327" s="73" t="n"/>
      <c r="BA327" s="73" t="n"/>
      <c r="BB327" s="73" t="n"/>
      <c r="BC327" s="73" t="n"/>
      <c r="BD327" s="73" t="n"/>
      <c r="BE327" s="73" t="n"/>
      <c r="BF327" s="73" t="n"/>
      <c r="BG327" s="73" t="n"/>
      <c r="BH327" s="73" t="n"/>
      <c r="BI327" s="73" t="n"/>
      <c r="BJ327" s="73" t="n"/>
      <c r="BK327" s="73" t="n"/>
      <c r="BL327" s="73" t="n"/>
      <c r="BM327" s="73" t="n"/>
      <c r="BN327" s="73" t="n"/>
      <c r="BO327" s="73" t="n"/>
      <c r="BP327" s="73" t="n"/>
      <c r="BQ327" s="73" t="n"/>
      <c r="BR327" s="73" t="n"/>
      <c r="BS327" s="73" t="n"/>
      <c r="BT327" s="73" t="n"/>
      <c r="BU327" s="73" t="n"/>
      <c r="BV327" s="73" t="n"/>
      <c r="BW327" s="73" t="n"/>
      <c r="BX327" s="73" t="n"/>
      <c r="BY327" s="73" t="n"/>
      <c r="BZ327" s="73" t="n"/>
      <c r="CA327" s="73" t="n"/>
      <c r="CB327" s="73" t="n"/>
      <c r="CC327" s="73" t="n"/>
      <c r="CD327" s="73" t="n"/>
      <c r="CE327" s="73" t="n"/>
      <c r="CF327" s="73" t="n"/>
      <c r="CG327" s="73" t="n"/>
      <c r="CH327" s="73" t="n"/>
      <c r="CI327" s="73" t="n"/>
      <c r="CJ327" s="73" t="n"/>
      <c r="CK327" s="73" t="n"/>
      <c r="CL327" s="73" t="n"/>
      <c r="CM327" s="73" t="n"/>
      <c r="CN327" s="73" t="n"/>
      <c r="CO327" s="73" t="n"/>
      <c r="CP327" s="73" t="n"/>
      <c r="CQ327" s="73" t="n"/>
      <c r="CR327" s="73" t="n"/>
      <c r="CS327" s="73" t="n"/>
      <c r="CT327" s="73" t="n"/>
      <c r="CU327" s="73" t="n"/>
      <c r="CV327" s="73" t="n"/>
      <c r="CW327" s="73" t="n"/>
      <c r="CX327" s="73" t="n"/>
      <c r="CY327" s="73" t="n"/>
    </row>
    <row r="328"/>
    <row r="329" customFormat="1" s="74">
      <c r="C329" s="74" t="inlineStr">
        <is>
          <t>YEAR</t>
        </is>
      </c>
      <c r="D329">
        <f>IFERROR(D285,"")</f>
        <v>0</v>
      </c>
      <c r="E329" s="75">
        <f>IFERROR(E285,"")</f>
        <v>0</v>
      </c>
      <c r="F329" s="75">
        <f>IFERROR(F285,"")</f>
        <v>0</v>
      </c>
      <c r="G329" s="75">
        <f>IFERROR(G285,"")</f>
        <v>0</v>
      </c>
      <c r="H329" s="75">
        <f>IFERROR(H285,"")</f>
        <v>0</v>
      </c>
      <c r="I329" s="75" t="str">
        <f>IFERROR(I285,"")</f>
        <v>1Q21</v>
      </c>
      <c r="J329" s="75" t="str">
        <f>IFERROR(J285,"")</f>
        <v>2Q21</v>
      </c>
      <c r="K329" s="75" t="str">
        <f>IFERROR(K285,"")</f>
        <v>3Q21</v>
      </c>
      <c r="L329" s="75" t="str">
        <f>IFERROR(L285,"")</f>
        <v>4Q21</v>
      </c>
      <c r="M329" s="75">
        <f>IFERROR(M285,"")</f>
        <v>2021</v>
      </c>
      <c r="N329" s="75" t="str">
        <f>IFERROR(N285,"")</f>
        <v>1Q22</v>
      </c>
      <c r="O329" s="75" t="str">
        <f>IFERROR(O285,"")</f>
        <v>2Q22</v>
      </c>
      <c r="P329" s="75" t="str">
        <f>IFERROR(P285,"")</f>
        <v>3Q22</v>
      </c>
      <c r="Q329" s="75" t="str">
        <f>IFERROR(Q285,"")</f>
        <v>4Q22</v>
      </c>
      <c r="R329" s="75">
        <f>IFERROR(R285,"")</f>
        <v>2022</v>
      </c>
      <c r="S329" s="75" t="str">
        <f>IFERROR(S285,"")</f>
        <v>1Q23</v>
      </c>
      <c r="T329" s="75" t="str">
        <f>IFERROR(T285,"")</f>
        <v>2Q23</v>
      </c>
      <c r="U329" s="75" t="str">
        <f>IFERROR(U285,"")</f>
        <v>3Q23</v>
      </c>
      <c r="V329" s="75" t="str">
        <f>IFERROR(V285,"")</f>
        <v>4Q23</v>
      </c>
      <c r="W329" s="75">
        <f>IFERROR(W285,"")</f>
        <v>2023</v>
      </c>
      <c r="X329" s="75" t="str">
        <f>IFERROR(X285,"")</f>
        <v>1Q24</v>
      </c>
      <c r="Y329" s="75" t="str">
        <f>IFERROR(Y285,"")</f>
        <v>2Q24</v>
      </c>
      <c r="Z329" s="75" t="str">
        <f>IFERROR(Z285,"")</f>
        <v>3Q24</v>
      </c>
      <c r="AA329" s="75" t="str">
        <f>IFERROR(AA285,"")</f>
        <v>4Q24</v>
      </c>
      <c r="AB329" s="75">
        <f>IFERROR(AB285,"")</f>
        <v>2024</v>
      </c>
      <c r="AC329" s="75" t="str">
        <f>IFERROR(AC285,"")</f>
        <v>1Q25</v>
      </c>
      <c r="AD329" s="75" t="str">
        <f>IFERROR(AD285,"")</f>
        <v>2Q25</v>
      </c>
      <c r="AE329" s="75" t="str">
        <f>IFERROR(AE285,"")</f>
        <v>3Q25</v>
      </c>
      <c r="AF329" s="75" t="str">
        <f>IFERROR(AF285,"")</f>
        <v>4Q25</v>
      </c>
      <c r="AG329" s="75">
        <f>IFERROR(AG285,"")</f>
        <v>2025</v>
      </c>
      <c r="AH329" s="75" t="str">
        <f>IFERROR(AH285,"")</f>
        <v>1Q26</v>
      </c>
      <c r="AI329" s="75" t="str">
        <f>IFERROR(AI285,"")</f>
        <v>2Q26</v>
      </c>
      <c r="AJ329" s="75" t="str">
        <f>IFERROR(AJ285,"")</f>
        <v>3Q26</v>
      </c>
      <c r="AK329" s="75" t="str">
        <f>IFERROR(AK285,"")</f>
        <v>4Q26</v>
      </c>
      <c r="AL329" s="75">
        <f>IFERROR(AL285,"")</f>
        <v>2026</v>
      </c>
      <c r="AM329" s="75" t="str">
        <f>IFERROR(AM285,"")</f>
        <v>1Q27</v>
      </c>
      <c r="AN329" s="75" t="str">
        <f>IFERROR(AN285,"")</f>
        <v>2Q27</v>
      </c>
      <c r="AO329" s="75" t="str">
        <f>IFERROR(AO285,"")</f>
        <v>3Q27</v>
      </c>
      <c r="AP329" s="75" t="str">
        <f>IFERROR(AP285,"")</f>
        <v>4Q27</v>
      </c>
      <c r="AQ329" s="75">
        <f>IFERROR(AQ285,"")</f>
        <v>2027</v>
      </c>
      <c r="AR329" s="75" t="str">
        <f>IFERROR(AR285,"")</f>
        <v>1Q28</v>
      </c>
      <c r="AS329" s="75" t="str">
        <f>IFERROR(AS285,"")</f>
        <v>2Q28</v>
      </c>
      <c r="AT329" s="75" t="str">
        <f>IFERROR(AT285,"")</f>
        <v>3Q28</v>
      </c>
      <c r="AU329" s="75" t="str">
        <f>IFERROR(AU285,"")</f>
        <v>4Q28</v>
      </c>
      <c r="AV329" s="75">
        <f>IFERROR(AV285,"")</f>
        <v>2028</v>
      </c>
      <c r="AW329" s="75" t="str">
        <f>IFERROR(AW285,"")</f>
        <v>1Q29</v>
      </c>
      <c r="AX329" s="75" t="str">
        <f>IFERROR(AX285,"")</f>
        <v>2Q29</v>
      </c>
      <c r="AY329" s="75" t="str">
        <f>IFERROR(AY285,"")</f>
        <v>3Q29</v>
      </c>
      <c r="AZ329" s="75" t="str">
        <f>IFERROR(AZ285,"")</f>
        <v>4Q29</v>
      </c>
      <c r="BA329" s="75">
        <f>IFERROR(BA285,"")</f>
        <v>2029</v>
      </c>
      <c r="BB329" s="75" t="str">
        <f>IFERROR(BB285,"")</f>
        <v>1Q30</v>
      </c>
      <c r="BC329" s="75" t="str">
        <f>IFERROR(BC285,"")</f>
        <v>2Q30</v>
      </c>
      <c r="BD329" s="75" t="str">
        <f>IFERROR(BD285,"")</f>
        <v>3Q30</v>
      </c>
      <c r="BE329" s="75" t="str">
        <f>IFERROR(BE285,"")</f>
        <v>4Q30</v>
      </c>
      <c r="BF329" s="75">
        <f>IFERROR(BF285,"")</f>
        <v>2030</v>
      </c>
      <c r="BG329" s="75" t="n"/>
      <c r="BH329" s="75" t="n"/>
      <c r="BI329" s="75" t="n"/>
      <c r="BJ329" s="75" t="n"/>
      <c r="BK329" s="75" t="n"/>
      <c r="BL329" s="75" t="n"/>
      <c r="BM329" s="75" t="n"/>
      <c r="BN329" s="75" t="n"/>
      <c r="BO329" s="75" t="n"/>
      <c r="BP329" s="75" t="n"/>
      <c r="BQ329" s="75" t="n"/>
      <c r="BR329" s="75" t="n"/>
      <c r="BS329" s="75" t="n"/>
      <c r="BT329" s="75" t="n"/>
      <c r="BU329" s="75" t="n"/>
      <c r="BV329" s="75" t="n"/>
      <c r="BW329" s="75" t="n"/>
      <c r="BX329" s="75" t="n"/>
      <c r="BY329" s="75" t="n"/>
      <c r="BZ329" s="75" t="n"/>
      <c r="CA329" s="75" t="n"/>
      <c r="CB329" s="75" t="n"/>
      <c r="CC329" s="75" t="n"/>
      <c r="CD329" s="75" t="n"/>
      <c r="CE329" s="75" t="n"/>
      <c r="CF329" s="75" t="n"/>
      <c r="CG329" s="75" t="n"/>
      <c r="CH329" s="75" t="n"/>
      <c r="CI329" s="75" t="n"/>
      <c r="CJ329" s="75" t="n"/>
      <c r="CK329" s="75" t="n"/>
      <c r="CL329" s="75" t="n"/>
      <c r="CM329" s="75" t="n"/>
      <c r="CN329" s="75" t="n"/>
      <c r="CO329" s="75" t="n"/>
      <c r="CP329" s="75" t="n"/>
      <c r="CQ329" s="75" t="n"/>
      <c r="CR329" s="75" t="n"/>
      <c r="CS329" s="75" t="n"/>
      <c r="CT329" s="75" t="n"/>
      <c r="CU329" s="75" t="n"/>
      <c r="CV329" s="75" t="n"/>
      <c r="CW329" s="75" t="n"/>
      <c r="CX329" s="75" t="n"/>
      <c r="CY329" s="75" t="n"/>
    </row>
    <row r="330" customFormat="1" s="77">
      <c r="A330" s="76" t="n"/>
      <c r="B330" s="76" t="n"/>
      <c r="C330" s="74" t="inlineStr">
        <is>
          <t>GROWTH &amp; MARGINS</t>
        </is>
      </c>
    </row>
    <row r="331" customFormat="1" s="77">
      <c r="A331" s="76" t="n"/>
      <c r="B331" s="76" t="n"/>
      <c r="C331" s="77" t="inlineStr">
        <is>
          <t>NET REVENUE GROWTH (YoY)</t>
        </is>
      </c>
      <c r="E331" s="78" t="str">
        <f>IFERROR(E15/D15-1,"")</f>
        <v/>
      </c>
      <c r="F331" s="78" t="str">
        <f>IFERROR(F15/E15-1,"")</f>
        <v/>
      </c>
      <c r="G331" s="78" t="str">
        <f>IFERROR(G15/F15-1,"")</f>
        <v/>
      </c>
      <c r="H331" s="257" t="str">
        <f>""</f>
        <v/>
      </c>
      <c r="I331" s="257" t="str">
        <f>""</f>
        <v/>
      </c>
      <c r="J331" s="257" t="str">
        <f>""</f>
        <v/>
      </c>
      <c r="K331" s="257" t="str">
        <f>""</f>
        <v/>
      </c>
      <c r="L331" s="257" t="str">
        <f>""</f>
        <v/>
      </c>
      <c r="M331" s="257" t="str">
        <f>IFERROR(IF(AND(ISNUMBER(M15),ISNUMBER(H15),H15&lt;&gt;0),M15/H15-1,""),"")</f>
        <v/>
      </c>
      <c r="N331" s="257">
        <f>IFERROR(IF(AND(ISNUMBER(N15),ISNUMBER(I15),I15&lt;&gt;0),N15/I15-1,""),"")</f>
        <v>0.361810718228389</v>
      </c>
      <c r="O331" s="257">
        <f>IFERROR(IF(AND(ISNUMBER(O15),ISNUMBER(J15),J15&lt;&gt;0),O15/J15-1,""),"")</f>
        <v>0.396753960820719</v>
      </c>
      <c r="P331" s="257">
        <f>IFERROR(IF(AND(ISNUMBER(P15),ISNUMBER(K15),K15&lt;&gt;0),P15/K15-1,""),"")</f>
        <v>0.361913258414049</v>
      </c>
      <c r="Q331" s="257">
        <f>IFERROR(IF(AND(ISNUMBER(Q15),ISNUMBER(L15),L15&lt;&gt;0),Q15/L15-1,""),"")</f>
        <v>0.36555210339688</v>
      </c>
      <c r="R331" s="257">
        <f>IFERROR(IF(AND(ISNUMBER(R15),ISNUMBER(M15),M15&lt;&gt;0),R15/M15-1,""),"")</f>
        <v>0.371082229912696</v>
      </c>
      <c r="S331" s="257">
        <f>IFERROR(IF(AND(ISNUMBER(S15),ISNUMBER(N15),N15&lt;&gt;0),S15/N15-1,""),"")</f>
        <v>0.28153794431661</v>
      </c>
      <c r="T331" s="257">
        <f>IFERROR(IF(AND(ISNUMBER(T15),ISNUMBER(O15),O15&lt;&gt;0),T15/O15-1,""),"")</f>
        <v>0.235964166783128</v>
      </c>
      <c r="U331" s="257">
        <f>IFERROR(IF(AND(ISNUMBER(U15),ISNUMBER(P15),P15&lt;&gt;0),U15/P15-1,""),"")</f>
        <v>0.170821479383117</v>
      </c>
      <c r="V331" s="257">
        <f>IFERROR(IF(AND(ISNUMBER(V15),ISNUMBER(Q15),Q15&lt;&gt;0),V15/Q15-1,""),"")</f>
        <v>0.243500631825382</v>
      </c>
      <c r="W331" s="257">
        <f>IFERROR(IF(AND(ISNUMBER(W15),ISNUMBER(R15),R15&lt;&gt;0),W15/R15-1,""),"")</f>
        <v>0.22992465736107</v>
      </c>
      <c r="X331" s="257">
        <f>IFERROR(IF(AND(ISNUMBER(X15),ISNUMBER(S15),S15&lt;&gt;0),X15/S15-1,""),"")</f>
        <v>0.258115538681519</v>
      </c>
      <c r="Y331" s="257">
        <f>IFERROR(IF(AND(ISNUMBER(Y15),ISNUMBER(T15),T15&lt;&gt;0),Y15/T15-1,""),"")</f>
        <v>0.188110680359289</v>
      </c>
      <c r="Z331" s="257">
        <f>IFERROR(IF(AND(ISNUMBER(Z15),ISNUMBER(U15),U15&lt;&gt;0),Z15/U15-1,""),"")</f>
        <v>0.202183468641135</v>
      </c>
      <c r="AA331" s="257">
        <f>IFERROR(IF(AND(ISNUMBER(AA15),ISNUMBER(V15),V15&lt;&gt;0),AA15/V15-1,""),"")</f>
        <v>0.1572236727504</v>
      </c>
      <c r="AB331" s="257">
        <f>IFERROR(IF(AND(ISNUMBER(AB15),ISNUMBER(W15),W15&lt;&gt;0),AB15/W15-1,""),"")</f>
        <v>0.198398638120422</v>
      </c>
      <c r="AC331" s="257">
        <f>IFERROR(IF(AND(ISNUMBER(AC15),ISNUMBER(X15),X15&lt;&gt;0),AC15/X15-1,""),"")</f>
        <v>0.128525313211084</v>
      </c>
      <c r="AD331" s="257">
        <f>IFERROR(IF(AND(ISNUMBER(AD15),ISNUMBER(Y15),Y15&lt;&gt;0),AD15/Y15-1,""),"")</f>
        <v>0.149328888249282</v>
      </c>
      <c r="AE331" s="257">
        <f>IFERROR(IF(AND(ISNUMBER(AE15),ISNUMBER(Z15),Z15&lt;&gt;0),AE15/Z15-1,""),"")</f>
        <v>0.291047668259915</v>
      </c>
      <c r="AF331" s="257">
        <f>IFERROR(IF(AND(ISNUMBER(AF15),ISNUMBER(AA15),AA15&lt;&gt;0),AF15/AA15-1,""),"")</f>
        <v>0.20888626563173</v>
      </c>
      <c r="AG331" s="257">
        <f>IFERROR(IF(AND(ISNUMBER(AG15),ISNUMBER(AB15),AB15&lt;&gt;0),AG15/AB15-1,""),"")</f>
        <v>0.197565476497135</v>
      </c>
      <c r="AH331" s="257">
        <f>IFERROR(IF(AND(ISNUMBER(AH15),ISNUMBER(AC15),AC15&lt;&gt;0),AH15/AC15-1,""),"")</f>
        <v>0.128547088361307</v>
      </c>
      <c r="AI331" s="257">
        <f>IFERROR(IF(AND(ISNUMBER(AI15),ISNUMBER(AD15),AD15&lt;&gt;0),AI15/AD15-1,""),"")</f>
        <v>0.122194646093224</v>
      </c>
      <c r="AJ331" s="257">
        <f>IFERROR(IF(AND(ISNUMBER(AJ15),ISNUMBER(AE15),AE15&lt;&gt;0),AJ15/AE15-1,""),"")</f>
        <v>0.171421644967757</v>
      </c>
      <c r="AK331" s="257">
        <f>IFERROR(IF(AND(ISNUMBER(AK15),ISNUMBER(AF15),AF15&lt;&gt;0),AK15/AF15-1,""),"")</f>
        <v>0.171421644967757</v>
      </c>
      <c r="AL331" s="257">
        <f>IFERROR(IF(AND(ISNUMBER(AL15),ISNUMBER(AG15),AG15&lt;&gt;0),AL15/AG15-1,""),"")</f>
        <v>0.150877508477948</v>
      </c>
      <c r="AM331" s="257">
        <f>IFERROR(IF(AND(ISNUMBER(AM15),ISNUMBER(AH15),AH15&lt;&gt;0),AM15/AH15-1,""),"")</f>
        <v>0.171421644967757</v>
      </c>
      <c r="AN331" s="257">
        <f>IFERROR(IF(AND(ISNUMBER(AN15),ISNUMBER(AI15),AI15&lt;&gt;0),AN15/AI15-1,""),"")</f>
        <v>0.171421644967757</v>
      </c>
      <c r="AO331" s="257">
        <f>IFERROR(IF(AND(ISNUMBER(AO15),ISNUMBER(AJ15),AJ15&lt;&gt;0),AO15/AJ15-1,""),"")</f>
        <v>0.171421644967757</v>
      </c>
      <c r="AP331" s="257">
        <f>IFERROR(IF(AND(ISNUMBER(AP15),ISNUMBER(AK15),AK15&lt;&gt;0),AP15/AK15-1,""),"")</f>
        <v>0.171421644967757</v>
      </c>
      <c r="AQ331" s="257">
        <f>IFERROR(IF(AND(ISNUMBER(AQ15),ISNUMBER(AL15),AL15&lt;&gt;0),AQ15/AL15-1,""),"")</f>
        <v>0.171421644967757</v>
      </c>
      <c r="AR331" s="257">
        <f>IFERROR(IF(AND(ISNUMBER(AR15),ISNUMBER(AM15),AM15&lt;&gt;0),AR15/AM15-1,""),"")</f>
        <v>0.166421644967757</v>
      </c>
      <c r="AS331" s="257">
        <f>IFERROR(IF(AND(ISNUMBER(AS15),ISNUMBER(AN15),AN15&lt;&gt;0),AS15/AN15-1,""),"")</f>
        <v>0.166421644967757</v>
      </c>
      <c r="AT331" s="257">
        <f>IFERROR(IF(AND(ISNUMBER(AT15),ISNUMBER(AO15),AO15&lt;&gt;0),AT15/AO15-1,""),"")</f>
        <v>0.166421644967757</v>
      </c>
      <c r="AU331" s="257">
        <f>IFERROR(IF(AND(ISNUMBER(AU15),ISNUMBER(AP15),AP15&lt;&gt;0),AU15/AP15-1,""),"")</f>
        <v>0.166421644967757</v>
      </c>
      <c r="AV331" s="257">
        <f>IFERROR(IF(AND(ISNUMBER(AV15),ISNUMBER(AQ15),AQ15&lt;&gt;0),AV15/AQ15-1,""),"")</f>
        <v>0.166421644967757</v>
      </c>
      <c r="AW331" s="257">
        <f>IFERROR(IF(AND(ISNUMBER(AW15),ISNUMBER(AR15),AR15&lt;&gt;0),AW15/AR15-1,""),"")</f>
        <v>0.161421644967757</v>
      </c>
      <c r="AX331" s="257">
        <f>IFERROR(IF(AND(ISNUMBER(AX15),ISNUMBER(AS15),AS15&lt;&gt;0),AX15/AS15-1,""),"")</f>
        <v>0.161421644967757</v>
      </c>
      <c r="AY331" s="257">
        <f>IFERROR(IF(AND(ISNUMBER(AY15),ISNUMBER(AT15),AT15&lt;&gt;0),AY15/AT15-1,""),"")</f>
        <v>0.161421644967757</v>
      </c>
      <c r="AZ331" s="257">
        <f>IFERROR(IF(AND(ISNUMBER(AZ15),ISNUMBER(AU15),AU15&lt;&gt;0),AZ15/AU15-1,""),"")</f>
        <v>0.161421644967757</v>
      </c>
      <c r="BA331" s="257">
        <f>IFERROR(IF(AND(ISNUMBER(BA15),ISNUMBER(AV15),AV15&lt;&gt;0),BA15/AV15-1,""),"")</f>
        <v>0.161421644967757</v>
      </c>
      <c r="BB331" s="257">
        <f>IFERROR(IF(AND(ISNUMBER(BB15),ISNUMBER(AW15),AW15&lt;&gt;0),BB15/AW15-1,""),"")</f>
        <v>0.156421644967757</v>
      </c>
      <c r="BC331" s="257">
        <f>IFERROR(IF(AND(ISNUMBER(BC15),ISNUMBER(AX15),AX15&lt;&gt;0),BC15/AX15-1,""),"")</f>
        <v>0.156421644967757</v>
      </c>
      <c r="BD331" s="257">
        <f>IFERROR(IF(AND(ISNUMBER(BD15),ISNUMBER(AY15),AY15&lt;&gt;0),BD15/AY15-1,""),"")</f>
        <v>0.156421644967757</v>
      </c>
      <c r="BE331" s="257">
        <f>IFERROR(IF(AND(ISNUMBER(BE15),ISNUMBER(AZ15),AZ15&lt;&gt;0),BE15/AZ15-1,""),"")</f>
        <v>0.156421644967757</v>
      </c>
      <c r="BF331" s="257">
        <f>IFERROR(IF(AND(ISNUMBER(BF15),ISNUMBER(BA15),BA15&lt;&gt;0),BF15/BA15-1,""),"")</f>
        <v>0.156421644967757</v>
      </c>
      <c r="BG331" s="79" t="n"/>
      <c r="BH331" s="79" t="n"/>
      <c r="BI331" s="79" t="n"/>
      <c r="BJ331" s="79" t="n"/>
      <c r="BK331" s="78" t="n"/>
      <c r="BL331" s="79" t="n"/>
      <c r="BM331" s="79" t="n"/>
      <c r="BN331" s="79" t="n"/>
      <c r="BO331" s="79" t="n"/>
      <c r="BP331" s="78" t="n"/>
      <c r="BQ331" s="79" t="n"/>
      <c r="BR331" s="79" t="n"/>
      <c r="BS331" s="79" t="n"/>
      <c r="BT331" s="79" t="n"/>
      <c r="BU331" s="78" t="n"/>
      <c r="BV331" s="79" t="n"/>
      <c r="BW331" s="79" t="n"/>
      <c r="BX331" s="79" t="n"/>
      <c r="BY331" s="79" t="n"/>
      <c r="BZ331" s="78" t="n"/>
      <c r="CA331" s="79" t="n"/>
      <c r="CB331" s="79" t="n"/>
      <c r="CC331" s="79" t="n"/>
      <c r="CD331" s="79" t="n"/>
      <c r="CE331" s="78" t="n"/>
      <c r="CF331" s="79" t="n"/>
      <c r="CG331" s="79" t="n"/>
      <c r="CH331" s="79" t="n"/>
      <c r="CI331" s="79" t="n"/>
      <c r="CJ331" s="78" t="n"/>
      <c r="CK331" s="79" t="n"/>
      <c r="CL331" s="79" t="n"/>
      <c r="CM331" s="79" t="n"/>
      <c r="CN331" s="79" t="n"/>
      <c r="CO331" s="78" t="n"/>
      <c r="CP331" s="79" t="n"/>
      <c r="CQ331" s="79" t="n"/>
      <c r="CR331" s="79" t="n"/>
      <c r="CS331" s="79" t="n"/>
      <c r="CT331" s="78" t="n"/>
      <c r="CU331" s="79" t="n"/>
      <c r="CV331" s="79" t="n"/>
      <c r="CW331" s="79" t="n"/>
      <c r="CX331" s="79" t="n"/>
      <c r="CY331" s="78" t="n"/>
    </row>
    <row r="332" customFormat="1" s="77">
      <c r="A332" s="76" t="n"/>
      <c r="B332" s="76" t="n"/>
      <c r="C332" s="77" t="inlineStr">
        <is>
          <t>GROSS MARGIN</t>
        </is>
      </c>
      <c r="D332" s="79" t="str">
        <f>IFERROR(SUM(D15,D64)/D15,"")</f>
        <v/>
      </c>
      <c r="E332" s="79" t="str">
        <f>IFERROR(SUM(E15,E64)/E15,"")</f>
        <v/>
      </c>
      <c r="F332" s="79" t="str">
        <f>IFERROR(SUM(F15,F64)/F15,"")</f>
        <v/>
      </c>
      <c r="G332" s="79" t="str">
        <f>IFERROR(SUM(G15,G64)/G15,"")</f>
        <v/>
      </c>
      <c r="H332" s="258" t="str">
        <f>IFERROR(IF(N(H15)&lt;&gt;0,(H15+H64)/H15,""),"")</f>
        <v/>
      </c>
      <c r="I332" s="258">
        <f>IFERROR(IF(N(I15)&lt;&gt;0,(I15+I64)/I15,""),"")</f>
        <v>0.23855261138936</v>
      </c>
      <c r="J332" s="258">
        <f>IFERROR(IF(N(J15)&lt;&gt;0,(J15+J64)/J15,""),"")</f>
        <v>0.231624650289196</v>
      </c>
      <c r="K332" s="258">
        <f>IFERROR(IF(N(K15)&lt;&gt;0,(K15+K64)/K15,""),"")</f>
        <v>0.2386470841836</v>
      </c>
      <c r="L332" s="258">
        <f>IFERROR(IF(N(L15)&lt;&gt;0,(L15+L64)/L15,""),"")</f>
        <v>0.225125251852512</v>
      </c>
      <c r="M332" s="258">
        <f>IFERROR(IF(N(M15)&lt;&gt;0,(M15+M64)/M15,""),"")</f>
        <v>0.23319741432451</v>
      </c>
      <c r="N332" s="258">
        <f>IFERROR(IF(N(N15)&lt;&gt;0,(N15+N64)/N15,""),"")</f>
        <v>0.224014321332418</v>
      </c>
      <c r="O332" s="258">
        <f>IFERROR(IF(N(O15)&lt;&gt;0,(O15+O64)/O15,""),"")</f>
        <v>0.227328047022014</v>
      </c>
      <c r="P332" s="258">
        <f>IFERROR(IF(N(P15)&lt;&gt;0,(P15+P64)/P15,""),"")</f>
        <v>0.228620471166348</v>
      </c>
      <c r="Q332" s="258">
        <f>IFERROR(IF(N(Q15)&lt;&gt;0,(Q15+Q64)/Q15,""),"")</f>
        <v>0.216284170838413</v>
      </c>
      <c r="R332" s="258">
        <f>IFERROR(IF(N(R15)&lt;&gt;0,(R15+R64)/R15,""),"")</f>
        <v>0.223905939877667</v>
      </c>
      <c r="S332" s="258">
        <f>IFERROR(IF(N(S15)&lt;&gt;0,(S15+S64)/S15,""),"")</f>
        <v>0.220415901989022</v>
      </c>
      <c r="T332" s="258">
        <f>IFERROR(IF(N(T15)&lt;&gt;0,(T15+T64)/T15,""),"")</f>
        <v>0.224658261207141</v>
      </c>
      <c r="U332" s="258">
        <f>IFERROR(IF(N(U15)&lt;&gt;0,(U15+U64)/U15,""),"")</f>
        <v>0.225052916908017</v>
      </c>
      <c r="V332" s="258">
        <f>IFERROR(IF(N(V15)&lt;&gt;0,(V15+V64)/V15,""),"")</f>
        <v>0.224404382385717</v>
      </c>
      <c r="W332" s="258">
        <f>IFERROR(IF(N(W15)&lt;&gt;0,(W15+W64)/W15,""),"")</f>
        <v>0.223759191428821</v>
      </c>
      <c r="X332" s="258">
        <f>IFERROR(IF(N(X15)&lt;&gt;0,(X15+X64)/X15,""),"")</f>
        <v>0.223469178063918</v>
      </c>
      <c r="Y332" s="258">
        <f>IFERROR(IF(N(Y15)&lt;&gt;0,(Y15+Y64)/Y15,""),"")</f>
        <v>0.22417611083711</v>
      </c>
      <c r="Z332" s="258">
        <f>IFERROR(IF(N(Z15)&lt;&gt;0,(Z15+Z64)/Z15,""),"")</f>
        <v>0.222824073291091</v>
      </c>
      <c r="AA332" s="258">
        <f>IFERROR(IF(N(AA15)&lt;&gt;0,(AA15+AA64)/AA15,""),"")</f>
        <v>0.218379629051389</v>
      </c>
      <c r="AB332" s="258">
        <f>IFERROR(IF(N(AB15)&lt;&gt;0,(AB15+AB64)/AB15,""),"")</f>
        <v>0.222085545435593</v>
      </c>
      <c r="AC332" s="258">
        <f>IFERROR(IF(N(AC15)&lt;&gt;0,(AC15+AC64)/AC15,""),"")</f>
        <v>0.222371285170811</v>
      </c>
      <c r="AD332" s="258">
        <f>IFERROR(IF(N(AD15)&lt;&gt;0,(AD15+AD64)/AD15,""),"")</f>
        <v>0.238465276910002</v>
      </c>
      <c r="AE332" s="258">
        <f>IFERROR(IF(N(AE15)&lt;&gt;0,(AE15+AE64)/AE15,""),"")</f>
        <v>0.21301304459556</v>
      </c>
      <c r="AF332" s="258">
        <f>IFERROR(IF(N(AF15)&lt;&gt;0,(AF15+AF64)/AF15,""),"")</f>
        <v>0.225092189865478</v>
      </c>
      <c r="AG332" s="258">
        <f>IFERROR(IF(N(AG15)&lt;&gt;0,(AG15+AG64)/AG15,""),"")</f>
        <v>0.224174226751739</v>
      </c>
      <c r="AH332" s="258">
        <f>IFERROR(IF(N(AH15)&lt;&gt;0,(AH15+AH64)/AH15,""),"")</f>
        <v>0.228722638256506</v>
      </c>
      <c r="AI332" s="258">
        <f>IFERROR(IF(N(AI15)&lt;&gt;0,(AI15+AI64)/AI15,""),"")</f>
        <v>0.234580476898107</v>
      </c>
      <c r="AJ332" s="258">
        <f>IFERROR(IF(N(AJ15)&lt;&gt;0,(AJ15+AJ64)/AJ15,""),"")</f>
        <v>0.227040818616077</v>
      </c>
      <c r="AK332" s="258">
        <f>IFERROR(IF(N(AK15)&lt;&gt;0,(AK15+AK64)/AK15,""),"")</f>
        <v>0.227040818616077</v>
      </c>
      <c r="AL332" s="258">
        <f>IFERROR(IF(N(AL15)&lt;&gt;0,(AL15+AL64)/AL15,""),"")</f>
        <v>0.229078210853282</v>
      </c>
      <c r="AM332" s="258">
        <f>IFERROR(IF(N(AM15)&lt;&gt;0,(AM15+AM64)/AM15,""),"")</f>
        <v>0.227040818616077</v>
      </c>
      <c r="AN332" s="258">
        <f>IFERROR(IF(N(AN15)&lt;&gt;0,(AN15+AN64)/AN15,""),"")</f>
        <v>0.227040818616077</v>
      </c>
      <c r="AO332" s="258">
        <f>IFERROR(IF(N(AO15)&lt;&gt;0,(AO15+AO64)/AO15,""),"")</f>
        <v>0.227040818616077</v>
      </c>
      <c r="AP332" s="258">
        <f>IFERROR(IF(N(AP15)&lt;&gt;0,(AP15+AP64)/AP15,""),"")</f>
        <v>0.227040818616077</v>
      </c>
      <c r="AQ332" s="258">
        <f>IFERROR(IF(N(AQ15)&lt;&gt;0,(AQ15+AQ64)/AQ15,""),"")</f>
        <v>0.227040818616077</v>
      </c>
      <c r="AR332" s="258">
        <f>IFERROR(IF(N(AR15)&lt;&gt;0,(AR15+AR64)/AR15,""),"")</f>
        <v>0.227040818616077</v>
      </c>
      <c r="AS332" s="258">
        <f>IFERROR(IF(N(AS15)&lt;&gt;0,(AS15+AS64)/AS15,""),"")</f>
        <v>0.227040818616077</v>
      </c>
      <c r="AT332" s="258">
        <f>IFERROR(IF(N(AT15)&lt;&gt;0,(AT15+AT64)/AT15,""),"")</f>
        <v>0.227040818616077</v>
      </c>
      <c r="AU332" s="258">
        <f>IFERROR(IF(N(AU15)&lt;&gt;0,(AU15+AU64)/AU15,""),"")</f>
        <v>0.227040818616077</v>
      </c>
      <c r="AV332" s="258">
        <f>IFERROR(IF(N(AV15)&lt;&gt;0,(AV15+AV64)/AV15,""),"")</f>
        <v>0.227040818616077</v>
      </c>
      <c r="AW332" s="258">
        <f>IFERROR(IF(N(AW15)&lt;&gt;0,(AW15+AW64)/AW15,""),"")</f>
        <v>0.227040818616077</v>
      </c>
      <c r="AX332" s="258">
        <f>IFERROR(IF(N(AX15)&lt;&gt;0,(AX15+AX64)/AX15,""),"")</f>
        <v>0.227040818616077</v>
      </c>
      <c r="AY332" s="258">
        <f>IFERROR(IF(N(AY15)&lt;&gt;0,(AY15+AY64)/AY15,""),"")</f>
        <v>0.227040818616077</v>
      </c>
      <c r="AZ332" s="258">
        <f>IFERROR(IF(N(AZ15)&lt;&gt;0,(AZ15+AZ64)/AZ15,""),"")</f>
        <v>0.227040818616077</v>
      </c>
      <c r="BA332" s="258">
        <f>IFERROR(IF(N(BA15)&lt;&gt;0,(BA15+BA64)/BA15,""),"")</f>
        <v>0.227040818616077</v>
      </c>
      <c r="BB332" s="258">
        <f>IFERROR(IF(N(BB15)&lt;&gt;0,(BB15+BB64)/BB15,""),"")</f>
        <v>0.227040818616077</v>
      </c>
      <c r="BC332" s="258">
        <f>IFERROR(IF(N(BC15)&lt;&gt;0,(BC15+BC64)/BC15,""),"")</f>
        <v>0.227040818616077</v>
      </c>
      <c r="BD332" s="258">
        <f>IFERROR(IF(N(BD15)&lt;&gt;0,(BD15+BD64)/BD15,""),"")</f>
        <v>0.227040818616077</v>
      </c>
      <c r="BE332" s="258">
        <f>IFERROR(IF(N(BE15)&lt;&gt;0,(BE15+BE64)/BE15,""),"")</f>
        <v>0.227040818616077</v>
      </c>
      <c r="BF332" s="258">
        <f>IFERROR(IF(N(BF15)&lt;&gt;0,(BF15+BF64)/BF15,""),"")</f>
        <v>0.227040818616077</v>
      </c>
      <c r="BG332" s="80" t="n"/>
      <c r="BH332" s="80" t="n"/>
      <c r="BI332" s="80" t="n"/>
      <c r="BJ332" s="80" t="n"/>
      <c r="BL332" s="80" t="n"/>
      <c r="BM332" s="80" t="n"/>
      <c r="BN332" s="80" t="n"/>
      <c r="BO332" s="80" t="n"/>
      <c r="BQ332" s="80" t="n"/>
      <c r="BR332" s="80" t="n"/>
      <c r="BS332" s="80" t="n"/>
      <c r="BT332" s="80" t="n"/>
      <c r="BV332" s="80" t="n"/>
      <c r="BW332" s="80" t="n"/>
      <c r="BX332" s="80" t="n"/>
      <c r="BY332" s="80" t="n"/>
      <c r="CA332" s="80" t="n"/>
      <c r="CB332" s="80" t="n"/>
      <c r="CC332" s="80" t="n"/>
      <c r="CD332" s="80" t="n"/>
      <c r="CF332" s="80" t="n"/>
      <c r="CG332" s="80" t="n"/>
      <c r="CH332" s="80" t="n"/>
      <c r="CI332" s="80" t="n"/>
      <c r="CK332" s="80" t="n"/>
      <c r="CL332" s="80" t="n"/>
      <c r="CM332" s="80" t="n"/>
      <c r="CN332" s="80" t="n"/>
      <c r="CP332" s="80" t="n"/>
      <c r="CQ332" s="80" t="n"/>
      <c r="CR332" s="80" t="n"/>
      <c r="CS332" s="80" t="n"/>
      <c r="CU332" s="80" t="n"/>
      <c r="CV332" s="80" t="n"/>
      <c r="CW332" s="80" t="n"/>
      <c r="CX332" s="80" t="n"/>
    </row>
    <row r="333" customFormat="1" s="77">
      <c r="A333" s="76" t="n"/>
      <c r="B333" s="76" t="n"/>
      <c r="C333" s="77" t="inlineStr">
        <is>
          <t>EBIT MARGIN</t>
        </is>
      </c>
      <c r="D333" s="78" t="str">
        <f>IFERROR((D83/D15),"")</f>
        <v/>
      </c>
      <c r="E333" s="78" t="str">
        <f>IFERROR((E83/E15),"")</f>
        <v/>
      </c>
      <c r="F333" s="78" t="str">
        <f>IFERROR((F83/F15),"")</f>
        <v/>
      </c>
      <c r="G333" s="78" t="str">
        <f>IFERROR((G83/G15),"")</f>
        <v/>
      </c>
      <c r="H333" s="258" t="str">
        <f>IFERROR(IF(N(H15)&lt;&gt;0,H83/H15,""),"")</f>
        <v/>
      </c>
      <c r="I333" s="257">
        <f>IFERROR(IF(N(I15)&lt;&gt;0,I83/I15,""),"")</f>
        <v>0.0539814533849407</v>
      </c>
      <c r="J333" s="257">
        <f>IFERROR(IF(N(J15)&lt;&gt;0,J83/J15,""),"")</f>
        <v>0.0577494789629924</v>
      </c>
      <c r="K333" s="257">
        <f>IFERROR(IF(N(K15)&lt;&gt;0,K83/K15,""),"")</f>
        <v>0.0598108814991521</v>
      </c>
      <c r="L333" s="257">
        <f>IFERROR(IF(N(L15)&lt;&gt;0,L83/L15,""),"")</f>
        <v>0.0584230543950647</v>
      </c>
      <c r="M333" s="258">
        <f>IFERROR(IF(N(M15)&lt;&gt;0,M83/M15,""),"")</f>
        <v>0.0577046082269306</v>
      </c>
      <c r="N333" s="257">
        <f>IFERROR(IF(N(N15)&lt;&gt;0,N83/N15,""),"")</f>
        <v>0.0501897824347022</v>
      </c>
      <c r="O333" s="257">
        <f>IFERROR(IF(N(O15)&lt;&gt;0,O83/O15,""),"")</f>
        <v>0.0626795244549728</v>
      </c>
      <c r="P333" s="257">
        <f>IFERROR(IF(N(P15)&lt;&gt;0,P83/P15,""),"")</f>
        <v>0.0655383107346436</v>
      </c>
      <c r="Q333" s="257">
        <f>IFERROR(IF(N(Q15)&lt;&gt;0,Q83/Q15,""),"")</f>
        <v>0.0694567819893855</v>
      </c>
      <c r="R333" s="258">
        <f>IFERROR(IF(N(R15)&lt;&gt;0,R83/R15,""),"")</f>
        <v>0.0627184059255265</v>
      </c>
      <c r="S333" s="257">
        <f>IFERROR(IF(N(S15)&lt;&gt;0,S83/S15,""),"")</f>
        <v>0.0533396529610089</v>
      </c>
      <c r="T333" s="257">
        <f>IFERROR(IF(N(T15)&lt;&gt;0,T83/T15,""),"")</f>
        <v>0.0643256553570807</v>
      </c>
      <c r="U333" s="257">
        <f>IFERROR(IF(N(U15)&lt;&gt;0,U83/U15,""),"")</f>
        <v>0.0597018368897504</v>
      </c>
      <c r="V333" s="257">
        <f>IFERROR(IF(N(V15)&lt;&gt;0,V83/V15,""),"")</f>
        <v>0.0718726307143233</v>
      </c>
      <c r="W333" s="258">
        <f>IFERROR(IF(N(W15)&lt;&gt;0,W83/W15,""),"")</f>
        <v>0.0628459750397276</v>
      </c>
      <c r="X333" s="257">
        <f>IFERROR(IF(N(X15)&lt;&gt;0,X83/X15,""),"")</f>
        <v>0.0549209127467002</v>
      </c>
      <c r="Y333" s="257">
        <f>IFERROR(IF(N(Y15)&lt;&gt;0,Y83/Y15,""),"")</f>
        <v>0.0598779790423003</v>
      </c>
      <c r="Z333" s="257">
        <f>IFERROR(IF(N(Z15)&lt;&gt;0,Z83/Z15,""),"")</f>
        <v>0.0663016937511644</v>
      </c>
      <c r="AA333" s="257">
        <f>IFERROR(IF(N(AA15)&lt;&gt;0,AA83/AA15,""),"")</f>
        <v>0.0619728343503141</v>
      </c>
      <c r="AB333" s="258">
        <f>IFERROR(IF(N(AB15)&lt;&gt;0,AB83/AB15,""),"")</f>
        <v>0.0609763353505419</v>
      </c>
      <c r="AC333" s="257">
        <f>IFERROR(IF(N(AC15)&lt;&gt;0,AC83/AC15,""),"")</f>
        <v>0.0576906018925006</v>
      </c>
      <c r="AD333" s="257">
        <f>IFERROR(IF(N(AD15)&lt;&gt;0,AD83/AD15,""),"")</f>
        <v>0.0754471370488586</v>
      </c>
      <c r="AE333" s="257">
        <f>IFERROR(IF(N(AE15)&lt;&gt;0,AE83/AE15,""),"")</f>
        <v>0.062345392379346</v>
      </c>
      <c r="AF333" s="257">
        <f>IFERROR(IF(N(AF15)&lt;&gt;0,AF83/AF15,""),"")</f>
        <v>0.0429818317777932</v>
      </c>
      <c r="AG333" s="258">
        <f>IFERROR(IF(N(AG15)&lt;&gt;0,AG83/AG15,""),"")</f>
        <v>0.0590132392728997</v>
      </c>
      <c r="AH333" s="257">
        <f>IFERROR(IF(N(AH15)&lt;&gt;0,AH83/AH15,""),"")</f>
        <v>0.0409043773471726</v>
      </c>
      <c r="AI333" s="257">
        <f>IFERROR(IF(N(AI15)&lt;&gt;0,AI83/AI15,""),"")</f>
        <v>0.0511463075063174</v>
      </c>
      <c r="AJ333" s="257">
        <f>IFERROR(IF(N(AJ15)&lt;&gt;0,AJ83/AJ15,""),"")</f>
        <v>0.0550859413253315</v>
      </c>
      <c r="AK333" s="257">
        <f>IFERROR(IF(N(AK15)&lt;&gt;0,AK83/AK15,""),"")</f>
        <v>0.0550859413253314</v>
      </c>
      <c r="AL333" s="258">
        <f>IFERROR(IF(N(AL15)&lt;&gt;0,AL83/AL15,""),"")</f>
        <v>0.0511929731625402</v>
      </c>
      <c r="AM333" s="257">
        <f>IFERROR(IF(N(AM15)&lt;&gt;0,AM83/AM15,""),"")</f>
        <v>0.0550859413253314</v>
      </c>
      <c r="AN333" s="257">
        <f>IFERROR(IF(N(AN15)&lt;&gt;0,AN83/AN15,""),"")</f>
        <v>0.0550859413253314</v>
      </c>
      <c r="AO333" s="257">
        <f>IFERROR(IF(N(AO15)&lt;&gt;0,AO83/AO15,""),"")</f>
        <v>0.0550859413253314</v>
      </c>
      <c r="AP333" s="257">
        <f>IFERROR(IF(N(AP15)&lt;&gt;0,AP83/AP15,""),"")</f>
        <v>0.0550859413253314</v>
      </c>
      <c r="AQ333" s="258">
        <f>IFERROR(IF(N(AQ15)&lt;&gt;0,AQ83/AQ15,""),"")</f>
        <v>0.0550859413253314</v>
      </c>
      <c r="AR333" s="257">
        <f>IFERROR(IF(N(AR15)&lt;&gt;0,AR83/AR15,""),"")</f>
        <v>0.0550859413253314</v>
      </c>
      <c r="AS333" s="257">
        <f>IFERROR(IF(N(AS15)&lt;&gt;0,AS83/AS15,""),"")</f>
        <v>0.0550859413253314</v>
      </c>
      <c r="AT333" s="257">
        <f>IFERROR(IF(N(AT15)&lt;&gt;0,AT83/AT15,""),"")</f>
        <v>0.0550859413253314</v>
      </c>
      <c r="AU333" s="257">
        <f>IFERROR(IF(N(AU15)&lt;&gt;0,AU83/AU15,""),"")</f>
        <v>0.0550859413253314</v>
      </c>
      <c r="AV333" s="258">
        <f>IFERROR(IF(N(AV15)&lt;&gt;0,AV83/AV15,""),"")</f>
        <v>0.0550859413253314</v>
      </c>
      <c r="AW333" s="257">
        <f>IFERROR(IF(N(AW15)&lt;&gt;0,AW83/AW15,""),"")</f>
        <v>0.0550859413253314</v>
      </c>
      <c r="AX333" s="257">
        <f>IFERROR(IF(N(AX15)&lt;&gt;0,AX83/AX15,""),"")</f>
        <v>0.0550859413253315</v>
      </c>
      <c r="AY333" s="257">
        <f>IFERROR(IF(N(AY15)&lt;&gt;0,AY83/AY15,""),"")</f>
        <v>0.0550859413253314</v>
      </c>
      <c r="AZ333" s="257">
        <f>IFERROR(IF(N(AZ15)&lt;&gt;0,AZ83/AZ15,""),"")</f>
        <v>0.0550859413253314</v>
      </c>
      <c r="BA333" s="258">
        <f>IFERROR(IF(N(BA15)&lt;&gt;0,BA83/BA15,""),"")</f>
        <v>0.0550859413253314</v>
      </c>
      <c r="BB333" s="257">
        <f>IFERROR(IF(N(BB15)&lt;&gt;0,BB83/BB15,""),"")</f>
        <v>0.0550859413253314</v>
      </c>
      <c r="BC333" s="257">
        <f>IFERROR(IF(N(BC15)&lt;&gt;0,BC83/BC15,""),"")</f>
        <v>0.0550859413253314</v>
      </c>
      <c r="BD333" s="257">
        <f>IFERROR(IF(N(BD15)&lt;&gt;0,BD83/BD15,""),"")</f>
        <v>0.0550859413253314</v>
      </c>
      <c r="BE333" s="257">
        <f>IFERROR(IF(N(BE15)&lt;&gt;0,BE83/BE15,""),"")</f>
        <v>0.0550859413253314</v>
      </c>
      <c r="BF333" s="258">
        <f>IFERROR(IF(N(BF15)&lt;&gt;0,BF83/BF15,""),"")</f>
        <v>0.0550859413253314</v>
      </c>
      <c r="BG333" s="81" t="n"/>
      <c r="BH333" s="81" t="n"/>
      <c r="BI333" s="81" t="n"/>
      <c r="BJ333" s="81" t="n"/>
      <c r="BL333" s="81" t="n"/>
      <c r="BM333" s="81" t="n"/>
      <c r="BN333" s="81" t="n"/>
      <c r="BO333" s="81" t="n"/>
      <c r="BQ333" s="81" t="n"/>
      <c r="BR333" s="81" t="n"/>
      <c r="BS333" s="81" t="n"/>
      <c r="BT333" s="81" t="n"/>
      <c r="BV333" s="81" t="n"/>
      <c r="BW333" s="81" t="n"/>
      <c r="BX333" s="81" t="n"/>
      <c r="BY333" s="81" t="n"/>
      <c r="CA333" s="81" t="n"/>
      <c r="CB333" s="81" t="n"/>
      <c r="CC333" s="81" t="n"/>
      <c r="CD333" s="81" t="n"/>
      <c r="CF333" s="81" t="n"/>
      <c r="CG333" s="81" t="n"/>
      <c r="CH333" s="81" t="n"/>
      <c r="CI333" s="81" t="n"/>
      <c r="CK333" s="81" t="n"/>
      <c r="CL333" s="81" t="n"/>
      <c r="CM333" s="81" t="n"/>
      <c r="CN333" s="81" t="n"/>
      <c r="CP333" s="81" t="n"/>
      <c r="CQ333" s="81" t="n"/>
      <c r="CR333" s="81" t="n"/>
      <c r="CS333" s="81" t="n"/>
      <c r="CU333" s="81" t="n"/>
      <c r="CV333" s="81" t="n"/>
      <c r="CW333" s="81" t="n"/>
      <c r="CX333" s="81" t="n"/>
    </row>
    <row r="334" customFormat="1" s="77">
      <c r="A334" s="76" t="n"/>
      <c r="B334" s="76" t="n"/>
      <c r="C334" s="77" t="inlineStr">
        <is>
          <t>EBITDA MARGIN</t>
        </is>
      </c>
      <c r="D334" s="78" t="str">
        <f>IFERROR(D79/D15,"")</f>
        <v/>
      </c>
      <c r="E334" s="78" t="str">
        <f>IFERROR(E79/E15,"")</f>
        <v/>
      </c>
      <c r="F334" s="78" t="str">
        <f>IFERROR(F79/F15,"")</f>
        <v/>
      </c>
      <c r="G334" s="78" t="str">
        <f>IFERROR(G79/G15,"")</f>
        <v/>
      </c>
      <c r="H334" s="258" t="str">
        <f>IFERROR(IF(N(H15)&lt;&gt;0,H79/H15,""),"")</f>
        <v/>
      </c>
      <c r="I334" s="257">
        <f>IFERROR(IF(N(I15)&lt;&gt;0,I79/I15,""),"")</f>
        <v>0.0711510878542352</v>
      </c>
      <c r="J334" s="257">
        <f>IFERROR(IF(N(J15)&lt;&gt;0,J79/J15,""),"")</f>
        <v>0.0748620334464768</v>
      </c>
      <c r="K334" s="257">
        <f>IFERROR(IF(N(K15)&lt;&gt;0,K79/K15,""),"")</f>
        <v>0.0763470813094588</v>
      </c>
      <c r="L334" s="257">
        <f>IFERROR(IF(N(L15)&lt;&gt;0,L79/L15,""),"")</f>
        <v>0.0735239843309915</v>
      </c>
      <c r="M334" s="258">
        <f>IFERROR(IF(N(M15)&lt;&gt;0,M79/M15,""),"")</f>
        <v>0.0741086735907491</v>
      </c>
      <c r="N334" s="257">
        <f>IFERROR(IF(N(N15)&lt;&gt;0,N79/N15,""),"")</f>
        <v>0.0659570844916594</v>
      </c>
      <c r="O334" s="257">
        <f>IFERROR(IF(N(O15)&lt;&gt;0,O79/O15,""),"")</f>
        <v>0.0787752909012302</v>
      </c>
      <c r="P334" s="257">
        <f>IFERROR(IF(N(P15)&lt;&gt;0,P79/P15,""),"")</f>
        <v>0.0797571419575222</v>
      </c>
      <c r="Q334" s="257">
        <f>IFERROR(IF(N(Q15)&lt;&gt;0,Q79/Q15,""),"")</f>
        <v>0.0841357943159254</v>
      </c>
      <c r="R334" s="258">
        <f>IFERROR(IF(N(R15)&lt;&gt;0,R79/R15,""),"")</f>
        <v>0.0778396754368117</v>
      </c>
      <c r="S334" s="257">
        <f>IFERROR(IF(N(S15)&lt;&gt;0,S79/S15,""),"")</f>
        <v>0.0700409155585454</v>
      </c>
      <c r="T334" s="257">
        <f>IFERROR(IF(N(T15)&lt;&gt;0,T79/T15,""),"")</f>
        <v>0.0786573143175676</v>
      </c>
      <c r="U334" s="257">
        <f>IFERROR(IF(N(U15)&lt;&gt;0,U79/U15,""),"")</f>
        <v>0.073909336346486</v>
      </c>
      <c r="V334" s="257">
        <f>IFERROR(IF(N(V15)&lt;&gt;0,V79/V15,""),"")</f>
        <v>0.0804544342017234</v>
      </c>
      <c r="W334" s="258">
        <f>IFERROR(IF(N(W15)&lt;&gt;0,W79/W15,""),"")</f>
        <v>0.076045252865268</v>
      </c>
      <c r="X334" s="257">
        <f>IFERROR(IF(N(X15)&lt;&gt;0,X79/X15,""),"")</f>
        <v>0.0690856829150947</v>
      </c>
      <c r="Y334" s="257">
        <f>IFERROR(IF(N(Y15)&lt;&gt;0,Y79/Y15,""),"")</f>
        <v>0.0710456508329809</v>
      </c>
      <c r="Z334" s="257">
        <f>IFERROR(IF(N(Z15)&lt;&gt;0,Z79/Z15,""),"")</f>
        <v>0.0777558555734957</v>
      </c>
      <c r="AA334" s="257">
        <f>IFERROR(IF(N(AA15)&lt;&gt;0,AA79/AA15,""),"")</f>
        <v>0.0724428974660986</v>
      </c>
      <c r="AB334" s="258">
        <f>IFERROR(IF(N(AB15)&lt;&gt;0,AB79/AB15,""),"")</f>
        <v>0.0727183008389884</v>
      </c>
      <c r="AC334" s="257">
        <f>IFERROR(IF(N(AC15)&lt;&gt;0,AC79/AC15,""),"")</f>
        <v>0.0703289580683938</v>
      </c>
      <c r="AD334" s="257">
        <f>IFERROR(IF(N(AD15)&lt;&gt;0,AD79/AD15,""),"")</f>
        <v>0.088328422152207</v>
      </c>
      <c r="AE334" s="257">
        <f>IFERROR(IF(N(AE15)&lt;&gt;0,AE79/AE15,""),"")</f>
        <v>0.0774115351290627</v>
      </c>
      <c r="AF334" s="257">
        <f>IFERROR(IF(N(AF15)&lt;&gt;0,AF79/AF15,""),"")</f>
        <v>0.0580572029905206</v>
      </c>
      <c r="AG334" s="258">
        <f>IFERROR(IF(N(AG15)&lt;&gt;0,AG79/AG15,""),"")</f>
        <v>0.0730562944915868</v>
      </c>
      <c r="AH334" s="257">
        <f>IFERROR(IF(N(AH15)&lt;&gt;0,AH79/AH15,""),"")</f>
        <v>0.0577566906715081</v>
      </c>
      <c r="AI334" s="257">
        <f>IFERROR(IF(N(AI15)&lt;&gt;0,AI79/AI15,""),"")</f>
        <v>0.0691813953894362</v>
      </c>
      <c r="AJ334" s="257">
        <f>IFERROR(IF(N(AJ15)&lt;&gt;0,AJ79/AJ15,""),"")</f>
        <v>0.0701773674001881</v>
      </c>
      <c r="AK334" s="257">
        <f>IFERROR(IF(N(AK15)&lt;&gt;0,AK79/AK15,""),"")</f>
        <v>0.070177367400188</v>
      </c>
      <c r="AL334" s="258">
        <f>IFERROR(IF(N(AL15)&lt;&gt;0,AL79/AL15,""),"")</f>
        <v>0.0673146302774128</v>
      </c>
      <c r="AM334" s="257">
        <f>IFERROR(IF(N(AM15)&lt;&gt;0,AM79/AM15,""),"")</f>
        <v>0.0701773674001881</v>
      </c>
      <c r="AN334" s="257">
        <f>IFERROR(IF(N(AN15)&lt;&gt;0,AN79/AN15,""),"")</f>
        <v>0.070177367400188</v>
      </c>
      <c r="AO334" s="257">
        <f>IFERROR(IF(N(AO15)&lt;&gt;0,AO79/AO15,""),"")</f>
        <v>0.0701773674001881</v>
      </c>
      <c r="AP334" s="257">
        <f>IFERROR(IF(N(AP15)&lt;&gt;0,AP79/AP15,""),"")</f>
        <v>0.0701773674001881</v>
      </c>
      <c r="AQ334" s="258">
        <f>IFERROR(IF(N(AQ15)&lt;&gt;0,AQ79/AQ15,""),"")</f>
        <v>0.0701773674001881</v>
      </c>
      <c r="AR334" s="257">
        <f>IFERROR(IF(N(AR15)&lt;&gt;0,AR79/AR15,""),"")</f>
        <v>0.070177367400188</v>
      </c>
      <c r="AS334" s="257">
        <f>IFERROR(IF(N(AS15)&lt;&gt;0,AS79/AS15,""),"")</f>
        <v>0.0701773674001881</v>
      </c>
      <c r="AT334" s="257">
        <f>IFERROR(IF(N(AT15)&lt;&gt;0,AT79/AT15,""),"")</f>
        <v>0.0701773674001881</v>
      </c>
      <c r="AU334" s="257">
        <f>IFERROR(IF(N(AU15)&lt;&gt;0,AU79/AU15,""),"")</f>
        <v>0.0701773674001881</v>
      </c>
      <c r="AV334" s="258">
        <f>IFERROR(IF(N(AV15)&lt;&gt;0,AV79/AV15,""),"")</f>
        <v>0.0701773674001881</v>
      </c>
      <c r="AW334" s="257">
        <f>IFERROR(IF(N(AW15)&lt;&gt;0,AW79/AW15,""),"")</f>
        <v>0.0701773674001881</v>
      </c>
      <c r="AX334" s="257">
        <f>IFERROR(IF(N(AX15)&lt;&gt;0,AX79/AX15,""),"")</f>
        <v>0.0701773674001881</v>
      </c>
      <c r="AY334" s="257">
        <f>IFERROR(IF(N(AY15)&lt;&gt;0,AY79/AY15,""),"")</f>
        <v>0.0701773674001881</v>
      </c>
      <c r="AZ334" s="257">
        <f>IFERROR(IF(N(AZ15)&lt;&gt;0,AZ79/AZ15,""),"")</f>
        <v>0.0701773674001881</v>
      </c>
      <c r="BA334" s="258">
        <f>IFERROR(IF(N(BA15)&lt;&gt;0,BA79/BA15,""),"")</f>
        <v>0.0701773674001881</v>
      </c>
      <c r="BB334" s="257">
        <f>IFERROR(IF(N(BB15)&lt;&gt;0,BB79/BB15,""),"")</f>
        <v>0.0701773674001881</v>
      </c>
      <c r="BC334" s="257">
        <f>IFERROR(IF(N(BC15)&lt;&gt;0,BC79/BC15,""),"")</f>
        <v>0.0701773674001881</v>
      </c>
      <c r="BD334" s="257">
        <f>IFERROR(IF(N(BD15)&lt;&gt;0,BD79/BD15,""),"")</f>
        <v>0.0701773674001881</v>
      </c>
      <c r="BE334" s="257">
        <f>IFERROR(IF(N(BE15)&lt;&gt;0,BE79/BE15,""),"")</f>
        <v>0.0701773674001881</v>
      </c>
      <c r="BF334" s="258">
        <f>IFERROR(IF(N(BF15)&lt;&gt;0,BF79/BF15,""),"")</f>
        <v>0.0701773674001881</v>
      </c>
      <c r="BG334" s="81" t="n"/>
      <c r="BH334" s="81" t="n"/>
      <c r="BI334" s="81" t="n"/>
      <c r="BJ334" s="81" t="n"/>
      <c r="BL334" s="81" t="n"/>
      <c r="BM334" s="81" t="n"/>
      <c r="BN334" s="81" t="n"/>
      <c r="BO334" s="81" t="n"/>
      <c r="BQ334" s="81" t="n"/>
      <c r="BR334" s="81" t="n"/>
      <c r="BS334" s="81" t="n"/>
      <c r="BT334" s="81" t="n"/>
      <c r="BV334" s="81" t="n"/>
      <c r="BW334" s="81" t="n"/>
      <c r="BX334" s="81" t="n"/>
      <c r="BY334" s="81" t="n"/>
      <c r="CA334" s="81" t="n"/>
      <c r="CB334" s="81" t="n"/>
      <c r="CC334" s="81" t="n"/>
      <c r="CD334" s="81" t="n"/>
      <c r="CF334" s="81" t="n"/>
      <c r="CG334" s="81" t="n"/>
      <c r="CH334" s="81" t="n"/>
      <c r="CI334" s="81" t="n"/>
      <c r="CK334" s="81" t="n"/>
      <c r="CL334" s="81" t="n"/>
      <c r="CM334" s="81" t="n"/>
      <c r="CN334" s="81" t="n"/>
      <c r="CP334" s="81" t="n"/>
      <c r="CQ334" s="81" t="n"/>
      <c r="CR334" s="81" t="n"/>
      <c r="CS334" s="81" t="n"/>
      <c r="CU334" s="81" t="n"/>
      <c r="CV334" s="81" t="n"/>
      <c r="CW334" s="81" t="n"/>
      <c r="CX334" s="81" t="n"/>
    </row>
    <row r="335" customFormat="1" s="77">
      <c r="A335" s="76" t="n"/>
      <c r="B335" s="76" t="n"/>
      <c r="C335" s="77" t="inlineStr">
        <is>
          <t>ETR</t>
        </is>
      </c>
      <c r="D335" s="78" t="str">
        <f>IFERROR(-D141/D140,"")</f>
        <v/>
      </c>
      <c r="E335" s="78" t="str">
        <f>IFERROR(-E141/E140,"")</f>
        <v/>
      </c>
      <c r="F335" s="78" t="str">
        <f>IFERROR(-F141/F140,"")</f>
        <v/>
      </c>
      <c r="G335" s="78" t="str">
        <f>IFERROR(-G141/G140,"")</f>
        <v/>
      </c>
      <c r="H335" s="258" t="str">
        <f>IFERROR(IF(N(H140)&lt;&gt;0,-H141/H140,""),"")</f>
        <v/>
      </c>
      <c r="I335" s="257">
        <f>IFERROR(IF(N(I140)&lt;&gt;0,-I141/I140,""),"")</f>
        <v>0</v>
      </c>
      <c r="J335" s="257">
        <f>IFERROR(IF(N(J140)&lt;&gt;0,-J141/J140,""),"")</f>
        <v>0</v>
      </c>
      <c r="K335" s="257">
        <f>IFERROR(IF(N(K140)&lt;&gt;0,-K141/K140,""),"")</f>
        <v>0</v>
      </c>
      <c r="L335" s="257">
        <f>IFERROR(IF(N(L140)&lt;&gt;0,-L141/L140,""),"")</f>
        <v>0.0826964598653415</v>
      </c>
      <c r="M335" s="258">
        <f>IFERROR(IF(N(M140)&lt;&gt;0,-M141/M140,""),"")</f>
        <v>0.0238194360187172</v>
      </c>
      <c r="N335" s="257">
        <f>IFERROR(IF(N(N140)&lt;&gt;0,-N141/N140,""),"")</f>
        <v>0.00759424930568063</v>
      </c>
      <c r="O335" s="257">
        <f>IFERROR(IF(N(O140)&lt;&gt;0,-O141/O140,""),"")</f>
        <v>0.0126132216476614</v>
      </c>
      <c r="P335" s="257">
        <f>IFERROR(IF(N(P140)&lt;&gt;0,-P141/P140,""),"")</f>
        <v>0.0219404430456361</v>
      </c>
      <c r="Q335" s="257">
        <f>IFERROR(IF(N(Q140)&lt;&gt;0,-Q141/Q140,""),"")</f>
        <v>0.0374854991188643</v>
      </c>
      <c r="R335" s="258">
        <f>IFERROR(IF(N(R140)&lt;&gt;0,-R141/R140,""),"")</f>
        <v>0.0216108937641592</v>
      </c>
      <c r="S335" s="257">
        <f>IFERROR(IF(N(S140)&lt;&gt;0,-S141/S140,""),"")</f>
        <v>0.0022519834852179</v>
      </c>
      <c r="T335" s="257">
        <f>IFERROR(IF(N(T140)&lt;&gt;0,-T141/T140,""),"")</f>
        <v>0.0524793682183317</v>
      </c>
      <c r="U335" s="257">
        <f>IFERROR(IF(N(U140)&lt;&gt;0,-U141/U140,""),"")</f>
        <v>0.00121982291865724</v>
      </c>
      <c r="V335" s="257">
        <f>IFERROR(IF(N(V140)&lt;&gt;0,-V141/V140,""),"")</f>
        <v>0.0616171398553411</v>
      </c>
      <c r="W335" s="258">
        <f>IFERROR(IF(N(W140)&lt;&gt;0,-W141/W140,""),"")</f>
        <v>0.0333910305946593</v>
      </c>
      <c r="X335" s="257">
        <f>IFERROR(IF(N(X140)&lt;&gt;0,-X141/X140,""),"")</f>
        <v>0.118675404464064</v>
      </c>
      <c r="Y335" s="257">
        <f>IFERROR(IF(N(Y140)&lt;&gt;0,-Y141/Y140,""),"")</f>
        <v>0.0102521368749126</v>
      </c>
      <c r="Z335" s="257">
        <f>IFERROR(IF(N(Z140)&lt;&gt;0,-Z141/Z140,""),"")</f>
        <v>0.118321226395193</v>
      </c>
      <c r="AA335" s="257">
        <f>IFERROR(IF(N(AA140)&lt;&gt;0,-AA141/AA140,""),"")</f>
        <v>0.145083432098367</v>
      </c>
      <c r="AB335" s="258">
        <f>IFERROR(IF(N(AB140)&lt;&gt;0,-AB141/AB140,""),"")</f>
        <v>0.0998834218722689</v>
      </c>
      <c r="AC335" s="257">
        <f>IFERROR(IF(N(AC140)&lt;&gt;0,-AC141/AC140,""),"")</f>
        <v>0.0770412679325952</v>
      </c>
      <c r="AD335" s="257">
        <f>IFERROR(IF(N(AD140)&lt;&gt;0,-AD141/AD140,""),"")</f>
        <v>0.126980994500415</v>
      </c>
      <c r="AE335" s="257">
        <f>IFERROR(IF(N(AE140)&lt;&gt;0,-AE141/AE140,""),"")</f>
        <v>-0.870846482272134</v>
      </c>
      <c r="AF335" s="257">
        <f>IFERROR(IF(N(AF140)&lt;&gt;0,-AF141/AF140,""),"")</f>
        <v>-1.33789845390341</v>
      </c>
      <c r="AG335" s="258">
        <f>IFERROR(IF(N(AG140)&lt;&gt;0,-AG141/AG140,""),"")</f>
        <v>-0.377011820653501</v>
      </c>
      <c r="AH335" s="257">
        <f>IFERROR(IF(N(AH140)&lt;&gt;0,-AH141/AH140,""),"")</f>
        <v>-0.175208361545753</v>
      </c>
      <c r="AI335" s="257">
        <f>IFERROR(IF(N(AI140)&lt;&gt;0,-AI141/AI140,""),"")</f>
        <v>0.0571781512670535</v>
      </c>
      <c r="AJ335" s="257">
        <f>IFERROR(IF(N(AJ140)&lt;&gt;0,-AJ141/AJ140,""),"")</f>
        <v>-0.353792147336873</v>
      </c>
      <c r="AK335" s="257">
        <f>IFERROR(IF(N(AK140)&lt;&gt;0,-AK141/AK140,""),"")</f>
        <v>-0.353792147336873</v>
      </c>
      <c r="AL335" s="258">
        <f>IFERROR(IF(N(AL140)&lt;&gt;0,-AL141/AL140,""),"")</f>
        <v>-0.286781889648756</v>
      </c>
      <c r="AM335" s="257">
        <f>IFERROR(IF(N(AM140)&lt;&gt;0,-AM141/AM140,""),"")</f>
        <v>-0.353792147336873</v>
      </c>
      <c r="AN335" s="257">
        <f>IFERROR(IF(N(AN140)&lt;&gt;0,-AN141/AN140,""),"")</f>
        <v>-0.353792147336873</v>
      </c>
      <c r="AO335" s="257">
        <f>IFERROR(IF(N(AO140)&lt;&gt;0,-AO141/AO140,""),"")</f>
        <v>-0.353792147336873</v>
      </c>
      <c r="AP335" s="257">
        <f>IFERROR(IF(N(AP140)&lt;&gt;0,-AP141/AP140,""),"")</f>
        <v>-0.353792147336873</v>
      </c>
      <c r="AQ335" s="258">
        <f>IFERROR(IF(N(AQ140)&lt;&gt;0,-AQ141/AQ140,""),"")</f>
        <v>-0.353792147336873</v>
      </c>
      <c r="AR335" s="257">
        <f>IFERROR(IF(N(AR140)&lt;&gt;0,-AR141/AR140,""),"")</f>
        <v>-0.353792147336873</v>
      </c>
      <c r="AS335" s="257">
        <f>IFERROR(IF(N(AS140)&lt;&gt;0,-AS141/AS140,""),"")</f>
        <v>-0.353792147336873</v>
      </c>
      <c r="AT335" s="257">
        <f>IFERROR(IF(N(AT140)&lt;&gt;0,-AT141/AT140,""),"")</f>
        <v>-0.353792147336873</v>
      </c>
      <c r="AU335" s="257">
        <f>IFERROR(IF(N(AU140)&lt;&gt;0,-AU141/AU140,""),"")</f>
        <v>-0.353792147336873</v>
      </c>
      <c r="AV335" s="258">
        <f>IFERROR(IF(N(AV140)&lt;&gt;0,-AV141/AV140,""),"")</f>
        <v>-0.353792147336873</v>
      </c>
      <c r="AW335" s="257">
        <f>IFERROR(IF(N(AW140)&lt;&gt;0,-AW141/AW140,""),"")</f>
        <v>-0.353792147336873</v>
      </c>
      <c r="AX335" s="257">
        <f>IFERROR(IF(N(AX140)&lt;&gt;0,-AX141/AX140,""),"")</f>
        <v>-0.353792147336873</v>
      </c>
      <c r="AY335" s="257">
        <f>IFERROR(IF(N(AY140)&lt;&gt;0,-AY141/AY140,""),"")</f>
        <v>-0.353792147336873</v>
      </c>
      <c r="AZ335" s="257">
        <f>IFERROR(IF(N(AZ140)&lt;&gt;0,-AZ141/AZ140,""),"")</f>
        <v>-0.353792147336873</v>
      </c>
      <c r="BA335" s="258">
        <f>IFERROR(IF(N(BA140)&lt;&gt;0,-BA141/BA140,""),"")</f>
        <v>-0.353792147336873</v>
      </c>
      <c r="BB335" s="257">
        <f>IFERROR(IF(N(BB140)&lt;&gt;0,-BB141/BB140,""),"")</f>
        <v>-0.353792147336873</v>
      </c>
      <c r="BC335" s="257">
        <f>IFERROR(IF(N(BC140)&lt;&gt;0,-BC141/BC140,""),"")</f>
        <v>-0.353792147336873</v>
      </c>
      <c r="BD335" s="257">
        <f>IFERROR(IF(N(BD140)&lt;&gt;0,-BD141/BD140,""),"")</f>
        <v>-0.353792147336873</v>
      </c>
      <c r="BE335" s="257">
        <f>IFERROR(IF(N(BE140)&lt;&gt;0,-BE141/BE140,""),"")</f>
        <v>-0.353792147336873</v>
      </c>
      <c r="BF335" s="258">
        <f>IFERROR(IF(N(BF140)&lt;&gt;0,-BF141/BF140,""),"")</f>
        <v>-0.353792147336873</v>
      </c>
      <c r="BG335" s="81" t="n"/>
      <c r="BH335" s="81" t="n"/>
      <c r="BI335" s="81" t="n"/>
      <c r="BJ335" s="81" t="n"/>
      <c r="BL335" s="81" t="n"/>
      <c r="BM335" s="81" t="n"/>
      <c r="BN335" s="81" t="n"/>
      <c r="BO335" s="81" t="n"/>
      <c r="BQ335" s="81" t="n"/>
      <c r="BR335" s="81" t="n"/>
      <c r="BS335" s="81" t="n"/>
      <c r="BT335" s="81" t="n"/>
      <c r="BV335" s="81" t="n"/>
      <c r="BW335" s="81" t="n"/>
      <c r="BX335" s="81" t="n"/>
      <c r="BY335" s="81" t="n"/>
      <c r="CA335" s="81" t="n"/>
      <c r="CB335" s="81" t="n"/>
      <c r="CC335" s="81" t="n"/>
      <c r="CD335" s="81" t="n"/>
      <c r="CF335" s="81" t="n"/>
      <c r="CG335" s="81" t="n"/>
      <c r="CH335" s="81" t="n"/>
      <c r="CI335" s="81" t="n"/>
      <c r="CK335" s="81" t="n"/>
      <c r="CL335" s="81" t="n"/>
      <c r="CM335" s="81" t="n"/>
      <c r="CN335" s="81" t="n"/>
      <c r="CP335" s="81" t="n"/>
      <c r="CQ335" s="81" t="n"/>
      <c r="CR335" s="81" t="n"/>
      <c r="CS335" s="81" t="n"/>
      <c r="CU335" s="81" t="n"/>
      <c r="CV335" s="81" t="n"/>
      <c r="CW335" s="81" t="n"/>
      <c r="CX335" s="81" t="n"/>
    </row>
    <row r="336" customFormat="1" s="77">
      <c r="A336" s="76" t="n"/>
      <c r="B336" s="76" t="n"/>
    </row>
    <row r="337" customFormat="1" s="77">
      <c r="A337" s="76" t="n"/>
      <c r="B337" s="76" t="n"/>
      <c r="C337" s="74" t="inlineStr">
        <is>
          <t>CAPITAL STRUCTURE</t>
        </is>
      </c>
    </row>
    <row r="338" customFormat="1" s="77">
      <c r="A338" s="76" t="n"/>
      <c r="B338" s="76" t="n"/>
      <c r="C338" s="77" t="inlineStr">
        <is>
          <t>TOTAL DEBT / EQUITY (BOOK VALUE)</t>
        </is>
      </c>
      <c r="H338" s="262" t="str">
        <f>IFERROR(IF(N(H281)&lt;&gt;0,(N(H222)+N(H223)+N(H224)+N(H227)+N(H245)+N(H248))/H281,""),"")</f>
        <v/>
      </c>
      <c r="I338" s="262">
        <f>IFERROR(IF(N(I281)&lt;&gt;0,(N(I222)+N(I223)+N(I224)+N(I227)+N(I245)+N(I248))/I281,""),"")</f>
        <v>0.210549689658403</v>
      </c>
      <c r="J338" s="262">
        <f>IFERROR(IF(N(J281)&lt;&gt;0,(N(J222)+N(J223)+N(J224)+N(J227)+N(J245)+N(J248))/J281,""),"")</f>
        <v>0.207334843342681</v>
      </c>
      <c r="K338" s="262">
        <f>IFERROR(IF(N(K281)&lt;&gt;0,(N(K222)+N(K223)+N(K224)+N(K227)+N(K245)+N(K248))/K281,""),"")</f>
        <v>0.223283248639293</v>
      </c>
      <c r="L338" s="262">
        <f>IFERROR(IF(N(L281)&lt;&gt;0,(N(L222)+N(L223)+N(L224)+N(L227)+N(L245)+N(L248))/L281,""),"")</f>
        <v>0.30788497820069</v>
      </c>
      <c r="M338" s="262">
        <f>IFERROR(IF(N(M281)&lt;&gt;0,(N(M222)+N(M223)+N(M224)+N(M227)+N(M245)+N(M248))/M281,""),"")</f>
        <v>0.30788497820069</v>
      </c>
      <c r="N338" s="262">
        <f>IFERROR(IF(N(N281)&lt;&gt;0,(N(N222)+N(N223)+N(N224)+N(N227)+N(N245)+N(N248))/N281,""),"")</f>
        <v>0.313894599819198</v>
      </c>
      <c r="O338" s="262">
        <f>IFERROR(IF(N(O281)&lt;&gt;0,(N(O222)+N(O223)+N(O224)+N(O227)+N(O245)+N(O248))/O281,""),"")</f>
        <v>0.333886043449989</v>
      </c>
      <c r="P338" s="262">
        <f>IFERROR(IF(N(P281)&lt;&gt;0,(N(P222)+N(P223)+N(P224)+N(P227)+N(P245)+N(P248))/P281,""),"")</f>
        <v>0.436813173896148</v>
      </c>
      <c r="Q338" s="262">
        <f>IFERROR(IF(N(Q281)&lt;&gt;0,(N(Q222)+N(Q223)+N(Q224)+N(Q227)+N(Q245)+N(Q248))/Q281,""),"")</f>
        <v>0.420100013457995</v>
      </c>
      <c r="R338" s="262">
        <f>IFERROR(IF(N(R281)&lt;&gt;0,(N(R222)+N(R223)+N(R224)+N(R227)+N(R245)+N(R248))/R281,""),"")</f>
        <v>0.420100013457995</v>
      </c>
      <c r="S338" s="262">
        <f>IFERROR(IF(N(S281)&lt;&gt;0,(N(S222)+N(S223)+N(S224)+N(S227)+N(S245)+N(S248))/S281,""),"")</f>
        <v>0.414104488893821</v>
      </c>
      <c r="T338" s="262">
        <f>IFERROR(IF(N(T281)&lt;&gt;0,(N(T222)+N(T223)+N(T224)+N(T227)+N(T245)+N(T248))/T281,""),"")</f>
        <v>0.427820491421252</v>
      </c>
      <c r="U338" s="262">
        <f>IFERROR(IF(N(U281)&lt;&gt;0,(N(U222)+N(U223)+N(U224)+N(U227)+N(U245)+N(U248))/U281,""),"")</f>
        <v>0.435653660864089</v>
      </c>
      <c r="V338" s="262">
        <f>IFERROR(IF(N(V281)&lt;&gt;0,(N(V222)+N(V223)+N(V224)+N(V227)+N(V245)+N(V248))/V281,""),"")</f>
        <v>0.426573939082327</v>
      </c>
      <c r="W338" s="262">
        <f>IFERROR(IF(N(W281)&lt;&gt;0,(N(W222)+N(W223)+N(W224)+N(W227)+N(W245)+N(W248))/W281,""),"")</f>
        <v>0.426573939082327</v>
      </c>
      <c r="X338" s="262">
        <f>IFERROR(IF(N(X281)&lt;&gt;0,(N(X222)+N(X223)+N(X224)+N(X227)+N(X245)+N(X248))/X281,""),"")</f>
        <v>0.443698890419445</v>
      </c>
      <c r="Y338" s="262">
        <f>IFERROR(IF(N(Y281)&lt;&gt;0,(N(Y222)+N(Y223)+N(Y224)+N(Y227)+N(Y245)+N(Y248))/Y281,""),"")</f>
        <v>0.419559020634812</v>
      </c>
      <c r="Z338" s="262">
        <f>IFERROR(IF(N(Z281)&lt;&gt;0,(N(Z222)+N(Z223)+N(Z224)+N(Z227)+N(Z245)+N(Z248))/Z281,""),"")</f>
        <v>0.408071819984769</v>
      </c>
      <c r="AA338" s="262">
        <f>IFERROR(IF(N(AA281)&lt;&gt;0,(N(AA222)+N(AA223)+N(AA224)+N(AA227)+N(AA245)+N(AA248))/AA281,""),"")</f>
        <v>0.481204506832701</v>
      </c>
      <c r="AB338" s="262">
        <f>IFERROR(IF(N(AB281)&lt;&gt;0,(N(AB222)+N(AB223)+N(AB224)+N(AB227)+N(AB245)+N(AB248))/AB281,""),"")</f>
        <v>0.481204506832701</v>
      </c>
      <c r="AC338" s="262">
        <f>IFERROR(IF(N(AC281)&lt;&gt;0,(N(AC222)+N(AC223)+N(AC224)+N(AC227)+N(AC245)+N(AC248))/AC281,""),"")</f>
        <v>0.496175693543317</v>
      </c>
      <c r="AD338" s="262">
        <f>IFERROR(IF(N(AD281)&lt;&gt;0,(N(AD222)+N(AD223)+N(AD224)+N(AD227)+N(AD245)+N(AD248))/AD281,""),"")</f>
        <v>0.514005835365946</v>
      </c>
      <c r="AE338" s="262">
        <f>IFERROR(IF(N(AE281)&lt;&gt;0,(N(AE222)+N(AE223)+N(AE224)+N(AE227)+N(AE245)+N(AE248))/AE281,""),"")</f>
        <v>0.569670720029635</v>
      </c>
      <c r="AF338" s="262">
        <f>IFERROR(IF(N(AF281)&lt;&gt;0,(N(AF222)+N(AF223)+N(AF224)+N(AF227)+N(AF245)+N(AF248))/AF281,""),"")</f>
        <v>0.591252423303618</v>
      </c>
      <c r="AG338" s="262">
        <f>IFERROR(IF(N(AG281)&lt;&gt;0,(N(AG222)+N(AG223)+N(AG224)+N(AG227)+N(AG245)+N(AG248))/AG281,""),"")</f>
        <v>0.591252423303618</v>
      </c>
      <c r="AH338" s="262">
        <f>IFERROR(IF(N(AH281)&lt;&gt;0,(N(AH222)+N(AH223)+N(AH224)+N(AH227)+N(AH245)+N(AH248))/AH281,""),"")</f>
        <v>0.557813780988353</v>
      </c>
      <c r="AI338" s="262">
        <f>IFERROR(IF(N(AI281)&lt;&gt;0,(N(AI222)+N(AI223)+N(AI224)+N(AI227)+N(AI245)+N(AI248))/AI281,""),"")</f>
        <v>0.557607259347954</v>
      </c>
      <c r="AJ338" s="262">
        <f>IFERROR(IF(N(AJ281)&lt;&gt;0,(N(AJ222)+N(AJ223)+N(AJ224)+N(AJ227)+N(AJ245)+N(AJ248))/AJ281,""),"")</f>
        <v>0.512540893806345</v>
      </c>
      <c r="AK338" s="262">
        <f>IFERROR(IF(N(AK281)&lt;&gt;0,(N(AK222)+N(AK223)+N(AK224)+N(AK227)+N(AK245)+N(AK248))/AK281,""),"")</f>
        <v>0.474919222034429</v>
      </c>
      <c r="AL338" s="262">
        <f>IFERROR(IF(N(AL281)&lt;&gt;0,(N(AL222)+N(AL223)+N(AL224)+N(AL227)+N(AL245)+N(AL248))/AL281,""),"")</f>
        <v>0.474919222034429</v>
      </c>
      <c r="AM338" s="262">
        <f>IFERROR(IF(N(AM281)&lt;&gt;0,(N(AM222)+N(AM223)+N(AM224)+N(AM227)+N(AM245)+N(AM248))/AM281,""),"")</f>
        <v>0.445758854690716</v>
      </c>
      <c r="AN338" s="262">
        <f>IFERROR(IF(N(AN281)&lt;&gt;0,(N(AN222)+N(AN223)+N(AN224)+N(AN227)+N(AN245)+N(AN248))/AN281,""),"")</f>
        <v>0.41881221655575</v>
      </c>
      <c r="AO338" s="262">
        <f>IFERROR(IF(N(AO281)&lt;&gt;0,(N(AO222)+N(AO223)+N(AO224)+N(AO227)+N(AO245)+N(AO248))/AO281,""),"")</f>
        <v>0.388738587916613</v>
      </c>
      <c r="AP338" s="262">
        <f>IFERROR(IF(N(AP281)&lt;&gt;0,(N(AP222)+N(AP223)+N(AP224)+N(AP227)+N(AP245)+N(AP248))/AP281,""),"")</f>
        <v>0.363177482492105</v>
      </c>
      <c r="AQ338" s="262">
        <f>IFERROR(IF(N(AQ281)&lt;&gt;0,(N(AQ222)+N(AQ223)+N(AQ224)+N(AQ227)+N(AQ245)+N(AQ248))/AQ281,""),"")</f>
        <v>0.363177482492105</v>
      </c>
      <c r="AR338" s="262">
        <f>IFERROR(IF(N(AR281)&lt;&gt;0,(N(AR222)+N(AR223)+N(AR224)+N(AR227)+N(AR245)+N(AR248))/AR281,""),"")</f>
        <v>0.343154121923528</v>
      </c>
      <c r="AS338" s="262">
        <f>IFERROR(IF(N(AS281)&lt;&gt;0,(N(AS222)+N(AS223)+N(AS224)+N(AS227)+N(AS245)+N(AS248))/AS281,""),"")</f>
        <v>0.324411664972667</v>
      </c>
      <c r="AT338" s="262">
        <f>IFERROR(IF(N(AT281)&lt;&gt;0,(N(AT222)+N(AT223)+N(AT224)+N(AT227)+N(AT245)+N(AT248))/AT281,""),"")</f>
        <v>0.303217553701298</v>
      </c>
      <c r="AU338" s="262">
        <f>IFERROR(IF(N(AU281)&lt;&gt;0,(N(AU222)+N(AU223)+N(AU224)+N(AU227)+N(AU245)+N(AU248))/AU281,""),"")</f>
        <v>0.28496970515362</v>
      </c>
      <c r="AV338" s="262">
        <f>IFERROR(IF(N(AV281)&lt;&gt;0,(N(AV222)+N(AV223)+N(AV224)+N(AV227)+N(AV245)+N(AV248))/AV281,""),"")</f>
        <v>0.28496970515362</v>
      </c>
      <c r="AW338" s="262">
        <f>IFERROR(IF(N(AW281)&lt;&gt;0,(N(AW222)+N(AW223)+N(AW224)+N(AW227)+N(AW245)+N(AW248))/AW281,""),"")</f>
        <v>0.270581219359608</v>
      </c>
      <c r="AX338" s="262">
        <f>IFERROR(IF(N(AX281)&lt;&gt;0,(N(AX222)+N(AX223)+N(AX224)+N(AX227)+N(AX245)+N(AX248))/AX281,""),"")</f>
        <v>0.256984464279968</v>
      </c>
      <c r="AY338" s="262">
        <f>IFERROR(IF(N(AY281)&lt;&gt;0,(N(AY222)+N(AY223)+N(AY224)+N(AY227)+N(AY245)+N(AY248))/AY281,""),"")</f>
        <v>0.241456984714498</v>
      </c>
      <c r="AZ338" s="262">
        <f>IFERROR(IF(N(AZ281)&lt;&gt;0,(N(AZ222)+N(AZ223)+N(AZ224)+N(AZ227)+N(AZ245)+N(AZ248))/AZ281,""),"")</f>
        <v>0.227956765820154</v>
      </c>
      <c r="BA338" s="262">
        <f>IFERROR(IF(N(BA281)&lt;&gt;0,(N(BA222)+N(BA223)+N(BA224)+N(BA227)+N(BA245)+N(BA248))/BA281,""),"")</f>
        <v>0.227956765820154</v>
      </c>
      <c r="BB338" s="262">
        <f>IFERROR(IF(N(BB281)&lt;&gt;0,(N(BB222)+N(BB223)+N(BB224)+N(BB227)+N(BB245)+N(BB248))/BB281,""),"")</f>
        <v>0.217269040241223</v>
      </c>
      <c r="BC338" s="262">
        <f>IFERROR(IF(N(BC281)&lt;&gt;0,(N(BC222)+N(BC223)+N(BC224)+N(BC227)+N(BC245)+N(BC248))/BC281,""),"")</f>
        <v>0.207094531602756</v>
      </c>
      <c r="BD338" s="262">
        <f>IFERROR(IF(N(BD281)&lt;&gt;0,(N(BD222)+N(BD223)+N(BD224)+N(BD227)+N(BD245)+N(BD248))/BD281,""),"")</f>
        <v>0.195385232408629</v>
      </c>
      <c r="BE338" s="262">
        <f>IFERROR(IF(N(BE281)&lt;&gt;0,(N(BE222)+N(BE223)+N(BE224)+N(BE227)+N(BE245)+N(BE248))/BE281,""),"")</f>
        <v>0.185125797493355</v>
      </c>
      <c r="BF338" s="262">
        <f>IFERROR(IF(N(BF281)&lt;&gt;0,(N(BF222)+N(BF223)+N(BF224)+N(BF227)+N(BF245)+N(BF248))/BF281,""),"")</f>
        <v>0.185125797493355</v>
      </c>
    </row>
    <row r="339" customFormat="1" s="77">
      <c r="A339" s="76" t="n"/>
      <c r="B339" s="76" t="n"/>
      <c r="C339" s="77" t="inlineStr">
        <is>
          <t>NET DEBT / (NET DEBT + EQUITY) (BOOK VALUE)</t>
        </is>
      </c>
      <c r="H339" s="258" t="str">
        <f>IFERROR(IF(((N(H222)+N(H223)+N(H224)+N(H227)+N(H245)+N(H248))-N(H154)+N(H281))&lt;&gt;0,((N(H222)+N(H223)+N(H224)+N(H227)+N(H245)+N(H248))-N(H154))/((N(H222)+N(H223)+N(H224)+N(H227)+N(H245)+N(H248))-N(H154)+H281),""),"")</f>
        <v/>
      </c>
      <c r="I339" s="258">
        <f>IFERROR(IF(((N(I222)+N(I223)+N(I224)+N(I227)+N(I245)+N(I248))-N(I154)+N(I281))&lt;&gt;0,((N(I222)+N(I223)+N(I224)+N(I227)+N(I245)+N(I248))-N(I154))/((N(I222)+N(I223)+N(I224)+N(I227)+N(I245)+N(I248))-N(I154)+I281),""),"")</f>
        <v>-0.106248844734629</v>
      </c>
      <c r="J339" s="258">
        <f>IFERROR(IF(((N(J222)+N(J223)+N(J224)+N(J227)+N(J245)+N(J248))-N(J154)+N(J281))&lt;&gt;0,((N(J222)+N(J223)+N(J224)+N(J227)+N(J245)+N(J248))-N(J154))/((N(J222)+N(J223)+N(J224)+N(J227)+N(J245)+N(J248))-N(J154)+J281),""),"")</f>
        <v>-0.0770220102563775</v>
      </c>
      <c r="K339" s="258">
        <f>IFERROR(IF(((N(K222)+N(K223)+N(K224)+N(K227)+N(K245)+N(K248))-N(K154)+N(K281))&lt;&gt;0,((N(K222)+N(K223)+N(K224)+N(K227)+N(K245)+N(K248))-N(K154))/((N(K222)+N(K223)+N(K224)+N(K227)+N(K245)+N(K248))-N(K154)+K281),""),"")</f>
        <v>0.0654763741744785</v>
      </c>
      <c r="L339" s="258">
        <f>IFERROR(IF(((N(L222)+N(L223)+N(L224)+N(L227)+N(L245)+N(L248))-N(L154)+N(L281))&lt;&gt;0,((N(L222)+N(L223)+N(L224)+N(L227)+N(L245)+N(L248))-N(L154))/((N(L222)+N(L223)+N(L224)+N(L227)+N(L245)+N(L248))-N(L154)+L281),""),"")</f>
        <v>0.146728909290374</v>
      </c>
      <c r="M339" s="258">
        <f>IFERROR(IF(((N(M222)+N(M223)+N(M224)+N(M227)+N(M245)+N(M248))-N(M154)+N(M281))&lt;&gt;0,((N(M222)+N(M223)+N(M224)+N(M227)+N(M245)+N(M248))-N(M154))/((N(M222)+N(M223)+N(M224)+N(M227)+N(M245)+N(M248))-N(M154)+M281),""),"")</f>
        <v>0.146728909290374</v>
      </c>
      <c r="N339" s="258">
        <f>IFERROR(IF(((N(N222)+N(N223)+N(N224)+N(N227)+N(N245)+N(N248))-N(N154)+N(N281))&lt;&gt;0,((N(N222)+N(N223)+N(N224)+N(N227)+N(N245)+N(N248))-N(N154))/((N(N222)+N(N223)+N(N224)+N(N227)+N(N245)+N(N248))-N(N154)+N281),""),"")</f>
        <v>0.18091932482417</v>
      </c>
      <c r="O339" s="258">
        <f>IFERROR(IF(((N(O222)+N(O223)+N(O224)+N(O227)+N(O245)+N(O248))-N(O154)+N(O281))&lt;&gt;0,((N(O222)+N(O223)+N(O224)+N(O227)+N(O245)+N(O248))-N(O154))/((N(O222)+N(O223)+N(O224)+N(O227)+N(O245)+N(O248))-N(O154)+O281),""),"")</f>
        <v>0.170455170244209</v>
      </c>
      <c r="P339" s="258">
        <f>IFERROR(IF(((N(P222)+N(P223)+N(P224)+N(P227)+N(P245)+N(P248))-N(P154)+N(P281))&lt;&gt;0,((N(P222)+N(P223)+N(P224)+N(P227)+N(P245)+N(P248))-N(P154))/((N(P222)+N(P223)+N(P224)+N(P227)+N(P245)+N(P248))-N(P154)+P281),""),"")</f>
        <v>0.253998890170061</v>
      </c>
      <c r="Q339" s="258">
        <f>IFERROR(IF(((N(Q222)+N(Q223)+N(Q224)+N(Q227)+N(Q245)+N(Q248))-N(Q154)+N(Q281))&lt;&gt;0,((N(Q222)+N(Q223)+N(Q224)+N(Q227)+N(Q245)+N(Q248))-N(Q154))/((N(Q222)+N(Q223)+N(Q224)+N(Q227)+N(Q245)+N(Q248))-N(Q154)+Q281),""),"")</f>
        <v>0.153842641344574</v>
      </c>
      <c r="R339" s="258">
        <f>IFERROR(IF(((N(R222)+N(R223)+N(R224)+N(R227)+N(R245)+N(R248))-N(R154)+N(R281))&lt;&gt;0,((N(R222)+N(R223)+N(R224)+N(R227)+N(R245)+N(R248))-N(R154))/((N(R222)+N(R223)+N(R224)+N(R227)+N(R245)+N(R248))-N(R154)+R281),""),"")</f>
        <v>0.153842641344574</v>
      </c>
      <c r="S339" s="258">
        <f>IFERROR(IF(((N(S222)+N(S223)+N(S224)+N(S227)+N(S245)+N(S248))-N(S154)+N(S281))&lt;&gt;0,((N(S222)+N(S223)+N(S224)+N(S227)+N(S245)+N(S248))-N(S154))/((N(S222)+N(S223)+N(S224)+N(S227)+N(S245)+N(S248))-N(S154)+S281),""),"")</f>
        <v>0.166078122192588</v>
      </c>
      <c r="T339" s="258">
        <f>IFERROR(IF(((N(T222)+N(T223)+N(T224)+N(T227)+N(T245)+N(T248))-N(T154)+N(T281))&lt;&gt;0,((N(T222)+N(T223)+N(T224)+N(T227)+N(T245)+N(T248))-N(T154))/((N(T222)+N(T223)+N(T224)+N(T227)+N(T245)+N(T248))-N(T154)+T281),""),"")</f>
        <v>0.206181402203779</v>
      </c>
      <c r="U339" s="258">
        <f>IFERROR(IF(((N(U222)+N(U223)+N(U224)+N(U227)+N(U245)+N(U248))-N(U154)+N(U281))&lt;&gt;0,((N(U222)+N(U223)+N(U224)+N(U227)+N(U245)+N(U248))-N(U154))/((N(U222)+N(U223)+N(U224)+N(U227)+N(U245)+N(U248))-N(U154)+U281),""),"")</f>
        <v>0.232169135371424</v>
      </c>
      <c r="V339" s="258">
        <f>IFERROR(IF(((N(V222)+N(V223)+N(V224)+N(V227)+N(V245)+N(V248))-N(V154)+N(V281))&lt;&gt;0,((N(V222)+N(V223)+N(V224)+N(V227)+N(V245)+N(V248))-N(V154))/((N(V222)+N(V223)+N(V224)+N(V227)+N(V245)+N(V248))-N(V154)+V281),""),"")</f>
        <v>0.218468035715161</v>
      </c>
      <c r="W339" s="258">
        <f>IFERROR(IF(((N(W222)+N(W223)+N(W224)+N(W227)+N(W245)+N(W248))-N(W154)+N(W281))&lt;&gt;0,((N(W222)+N(W223)+N(W224)+N(W227)+N(W245)+N(W248))-N(W154))/((N(W222)+N(W223)+N(W224)+N(W227)+N(W245)+N(W248))-N(W154)+W281),""),"")</f>
        <v>0.218468035715161</v>
      </c>
      <c r="X339" s="258">
        <f>IFERROR(IF(((N(X222)+N(X223)+N(X224)+N(X227)+N(X245)+N(X248))-N(X154)+N(X281))&lt;&gt;0,((N(X222)+N(X223)+N(X224)+N(X227)+N(X245)+N(X248))-N(X154))/((N(X222)+N(X223)+N(X224)+N(X227)+N(X245)+N(X248))-N(X154)+X281),""),"")</f>
        <v>0.226777675270354</v>
      </c>
      <c r="Y339" s="258">
        <f>IFERROR(IF(((N(Y222)+N(Y223)+N(Y224)+N(Y227)+N(Y245)+N(Y248))-N(Y154)+N(Y281))&lt;&gt;0,((N(Y222)+N(Y223)+N(Y224)+N(Y227)+N(Y245)+N(Y248))-N(Y154))/((N(Y222)+N(Y223)+N(Y224)+N(Y227)+N(Y245)+N(Y248))-N(Y154)+Y281),""),"")</f>
        <v>0.220734008144382</v>
      </c>
      <c r="Z339" s="258">
        <f>IFERROR(IF(((N(Z222)+N(Z223)+N(Z224)+N(Z227)+N(Z245)+N(Z248))-N(Z154)+N(Z281))&lt;&gt;0,((N(Z222)+N(Z223)+N(Z224)+N(Z227)+N(Z245)+N(Z248))-N(Z154))/((N(Z222)+N(Z223)+N(Z224)+N(Z227)+N(Z245)+N(Z248))-N(Z154)+Z281),""),"")</f>
        <v>0.250209296632455</v>
      </c>
      <c r="AA339" s="258">
        <f>IFERROR(IF(((N(AA222)+N(AA223)+N(AA224)+N(AA227)+N(AA245)+N(AA248))-N(AA154)+N(AA281))&lt;&gt;0,((N(AA222)+N(AA223)+N(AA224)+N(AA227)+N(AA245)+N(AA248))-N(AA154))/((N(AA222)+N(AA223)+N(AA224)+N(AA227)+N(AA245)+N(AA248))-N(AA154)+AA281),""),"")</f>
        <v>0.231327713511476</v>
      </c>
      <c r="AB339" s="258">
        <f>IFERROR(IF(((N(AB222)+N(AB223)+N(AB224)+N(AB227)+N(AB245)+N(AB248))-N(AB154)+N(AB281))&lt;&gt;0,((N(AB222)+N(AB223)+N(AB224)+N(AB227)+N(AB245)+N(AB248))-N(AB154))/((N(AB222)+N(AB223)+N(AB224)+N(AB227)+N(AB245)+N(AB248))-N(AB154)+AB281),""),"")</f>
        <v>0.231327713511476</v>
      </c>
      <c r="AC339" s="258">
        <f>IFERROR(IF(((N(AC222)+N(AC223)+N(AC224)+N(AC227)+N(AC245)+N(AC248))-N(AC154)+N(AC281))&lt;&gt;0,((N(AC222)+N(AC223)+N(AC224)+N(AC227)+N(AC245)+N(AC248))-N(AC154))/((N(AC222)+N(AC223)+N(AC224)+N(AC227)+N(AC245)+N(AC248))-N(AC154)+AC281),""),"")</f>
        <v>0.250180976680234</v>
      </c>
      <c r="AD339" s="258">
        <f>IFERROR(IF(((N(AD222)+N(AD223)+N(AD224)+N(AD227)+N(AD245)+N(AD248))-N(AD154)+N(AD281))&lt;&gt;0,((N(AD222)+N(AD223)+N(AD224)+N(AD227)+N(AD245)+N(AD248))-N(AD154))/((N(AD222)+N(AD223)+N(AD224)+N(AD227)+N(AD245)+N(AD248))-N(AD154)+AD281),""),"")</f>
        <v>0.289308000331228</v>
      </c>
      <c r="AE339" s="258">
        <f>IFERROR(IF(((N(AE222)+N(AE223)+N(AE224)+N(AE227)+N(AE245)+N(AE248))-N(AE154)+N(AE281))&lt;&gt;0,((N(AE222)+N(AE223)+N(AE224)+N(AE227)+N(AE245)+N(AE248))-N(AE154))/((N(AE222)+N(AE223)+N(AE224)+N(AE227)+N(AE245)+N(AE248))-N(AE154)+AE281),""),"")</f>
        <v>0.317188786465098</v>
      </c>
      <c r="AF339" s="258">
        <f>IFERROR(IF(((N(AF222)+N(AF223)+N(AF224)+N(AF227)+N(AF245)+N(AF248))-N(AF154)+N(AF281))&lt;&gt;0,((N(AF222)+N(AF223)+N(AF224)+N(AF227)+N(AF245)+N(AF248))-N(AF154))/((N(AF222)+N(AF223)+N(AF224)+N(AF227)+N(AF245)+N(AF248))-N(AF154)+AF281),""),"")</f>
        <v>0.302719038082196</v>
      </c>
      <c r="AG339" s="258">
        <f>IFERROR(IF(((N(AG222)+N(AG223)+N(AG224)+N(AG227)+N(AG245)+N(AG248))-N(AG154)+N(AG281))&lt;&gt;0,((N(AG222)+N(AG223)+N(AG224)+N(AG227)+N(AG245)+N(AG248))-N(AG154))/((N(AG222)+N(AG223)+N(AG224)+N(AG227)+N(AG245)+N(AG248))-N(AG154)+AG281),""),"")</f>
        <v>0.302719038082196</v>
      </c>
      <c r="AH339" s="258">
        <f>IFERROR(IF(((N(AH222)+N(AH223)+N(AH224)+N(AH227)+N(AH245)+N(AH248))-N(AH154)+N(AH281))&lt;&gt;0,((N(AH222)+N(AH223)+N(AH224)+N(AH227)+N(AH245)+N(AH248))-N(AH154))/((N(AH222)+N(AH223)+N(AH224)+N(AH227)+N(AH245)+N(AH248))-N(AH154)+AH281),""),"")</f>
        <v>0.281829574197379</v>
      </c>
      <c r="AI339" s="258">
        <f>IFERROR(IF(((N(AI222)+N(AI223)+N(AI224)+N(AI227)+N(AI245)+N(AI248))-N(AI154)+N(AI281))&lt;&gt;0,((N(AI222)+N(AI223)+N(AI224)+N(AI227)+N(AI245)+N(AI248))-N(AI154))/((N(AI222)+N(AI223)+N(AI224)+N(AI227)+N(AI245)+N(AI248))-N(AI154)+AI281),""),"")</f>
        <v>0.29846408970574</v>
      </c>
      <c r="AJ339" s="258">
        <f>IFERROR(IF(((N(AJ222)+N(AJ223)+N(AJ224)+N(AJ227)+N(AJ245)+N(AJ248))-N(AJ154)+N(AJ281))&lt;&gt;0,((N(AJ222)+N(AJ223)+N(AJ224)+N(AJ227)+N(AJ245)+N(AJ248))-N(AJ154))/((N(AJ222)+N(AJ223)+N(AJ224)+N(AJ227)+N(AJ245)+N(AJ248))-N(AJ154)+AJ281),""),"")</f>
        <v>0.3093528760624</v>
      </c>
      <c r="AK339" s="258">
        <f>IFERROR(IF(((N(AK222)+N(AK223)+N(AK224)+N(AK227)+N(AK245)+N(AK248))-N(AK154)+N(AK281))&lt;&gt;0,((N(AK222)+N(AK223)+N(AK224)+N(AK227)+N(AK245)+N(AK248))-N(AK154))/((N(AK222)+N(AK223)+N(AK224)+N(AK227)+N(AK245)+N(AK248))-N(AK154)+AK281),""),"")</f>
        <v>0.254518240596769</v>
      </c>
      <c r="AL339" s="258">
        <f>IFERROR(IF(((N(AL222)+N(AL223)+N(AL224)+N(AL227)+N(AL245)+N(AL248))-N(AL154)+N(AL281))&lt;&gt;0,((N(AL222)+N(AL223)+N(AL224)+N(AL227)+N(AL245)+N(AL248))-N(AL154))/((N(AL222)+N(AL223)+N(AL224)+N(AL227)+N(AL245)+N(AL248))-N(AL154)+AL281),""),"")</f>
        <v>0.254518240596769</v>
      </c>
      <c r="AM339" s="258">
        <f>IFERROR(IF(((N(AM222)+N(AM223)+N(AM224)+N(AM227)+N(AM245)+N(AM248))-N(AM154)+N(AM281))&lt;&gt;0,((N(AM222)+N(AM223)+N(AM224)+N(AM227)+N(AM245)+N(AM248))-N(AM154))/((N(AM222)+N(AM223)+N(AM224)+N(AM227)+N(AM245)+N(AM248))-N(AM154)+AM281),""),"")</f>
        <v>0.184546902116713</v>
      </c>
      <c r="AN339" s="258">
        <f>IFERROR(IF(((N(AN222)+N(AN223)+N(AN224)+N(AN227)+N(AN245)+N(AN248))-N(AN154)+N(AN281))&lt;&gt;0,((N(AN222)+N(AN223)+N(AN224)+N(AN227)+N(AN245)+N(AN248))-N(AN154))/((N(AN222)+N(AN223)+N(AN224)+N(AN227)+N(AN245)+N(AN248))-N(AN154)+AN281),""),"")</f>
        <v>0.144041837554852</v>
      </c>
      <c r="AO339" s="258">
        <f>IFERROR(IF(((N(AO222)+N(AO223)+N(AO224)+N(AO227)+N(AO245)+N(AO248))-N(AO154)+N(AO281))&lt;&gt;0,((N(AO222)+N(AO223)+N(AO224)+N(AO227)+N(AO245)+N(AO248))-N(AO154))/((N(AO222)+N(AO223)+N(AO224)+N(AO227)+N(AO245)+N(AO248))-N(AO154)+AO281),""),"")</f>
        <v>0.153265023507876</v>
      </c>
      <c r="AP339" s="258">
        <f>IFERROR(IF(((N(AP222)+N(AP223)+N(AP224)+N(AP227)+N(AP245)+N(AP248))-N(AP154)+N(AP281))&lt;&gt;0,((N(AP222)+N(AP223)+N(AP224)+N(AP227)+N(AP245)+N(AP248))-N(AP154))/((N(AP222)+N(AP223)+N(AP224)+N(AP227)+N(AP245)+N(AP248))-N(AP154)+AP281),""),"")</f>
        <v>0.0886345599436533</v>
      </c>
      <c r="AQ339" s="258">
        <f>IFERROR(IF(((N(AQ222)+N(AQ223)+N(AQ224)+N(AQ227)+N(AQ245)+N(AQ248))-N(AQ154)+N(AQ281))&lt;&gt;0,((N(AQ222)+N(AQ223)+N(AQ224)+N(AQ227)+N(AQ245)+N(AQ248))-N(AQ154))/((N(AQ222)+N(AQ223)+N(AQ224)+N(AQ227)+N(AQ245)+N(AQ248))-N(AQ154)+AQ281),""),"")</f>
        <v>0.0886345599436533</v>
      </c>
      <c r="AR339" s="258">
        <f>IFERROR(IF(((N(AR222)+N(AR223)+N(AR224)+N(AR227)+N(AR245)+N(AR248))-N(AR154)+N(AR281))&lt;&gt;0,((N(AR222)+N(AR223)+N(AR224)+N(AR227)+N(AR245)+N(AR248))-N(AR154))/((N(AR222)+N(AR223)+N(AR224)+N(AR227)+N(AR245)+N(AR248))-N(AR154)+AR281),""),"")</f>
        <v>-0.00410023021618092</v>
      </c>
      <c r="AS339" s="258">
        <f>IFERROR(IF(((N(AS222)+N(AS223)+N(AS224)+N(AS227)+N(AS245)+N(AS248))-N(AS154)+N(AS281))&lt;&gt;0,((N(AS222)+N(AS223)+N(AS224)+N(AS227)+N(AS245)+N(AS248))-N(AS154))/((N(AS222)+N(AS223)+N(AS224)+N(AS227)+N(AS245)+N(AS248))-N(AS154)+AS281),""),"")</f>
        <v>-0.0493338275027433</v>
      </c>
      <c r="AT339" s="258">
        <f>IFERROR(IF(((N(AT222)+N(AT223)+N(AT224)+N(AT227)+N(AT245)+N(AT248))-N(AT154)+N(AT281))&lt;&gt;0,((N(AT222)+N(AT223)+N(AT224)+N(AT227)+N(AT245)+N(AT248))-N(AT154))/((N(AT222)+N(AT223)+N(AT224)+N(AT227)+N(AT245)+N(AT248))-N(AT154)+AT281),""),"")</f>
        <v>-0.0293963607161179</v>
      </c>
      <c r="AU339" s="258">
        <f>IFERROR(IF(((N(AU222)+N(AU223)+N(AU224)+N(AU227)+N(AU245)+N(AU248))-N(AU154)+N(AU281))&lt;&gt;0,((N(AU222)+N(AU223)+N(AU224)+N(AU227)+N(AU245)+N(AU248))-N(AU154))/((N(AU222)+N(AU223)+N(AU224)+N(AU227)+N(AU245)+N(AU248))-N(AU154)+AU281),""),"")</f>
        <v>-0.111623968565848</v>
      </c>
      <c r="AV339" s="258">
        <f>IFERROR(IF(((N(AV222)+N(AV223)+N(AV224)+N(AV227)+N(AV245)+N(AV248))-N(AV154)+N(AV281))&lt;&gt;0,((N(AV222)+N(AV223)+N(AV224)+N(AV227)+N(AV245)+N(AV248))-N(AV154))/((N(AV222)+N(AV223)+N(AV224)+N(AV227)+N(AV245)+N(AV248))-N(AV154)+AV281),""),"")</f>
        <v>-0.111623968565848</v>
      </c>
      <c r="AW339" s="258">
        <f>IFERROR(IF(((N(AW222)+N(AW223)+N(AW224)+N(AW227)+N(AW245)+N(AW248))-N(AW154)+N(AW281))&lt;&gt;0,((N(AW222)+N(AW223)+N(AW224)+N(AW227)+N(AW245)+N(AW248))-N(AW154))/((N(AW222)+N(AW223)+N(AW224)+N(AW227)+N(AW245)+N(AW248))-N(AW154)+AW281),""),"")</f>
        <v>-0.234056573874214</v>
      </c>
      <c r="AX339" s="258">
        <f>IFERROR(IF(((N(AX222)+N(AX223)+N(AX224)+N(AX227)+N(AX245)+N(AX248))-N(AX154)+N(AX281))&lt;&gt;0,((N(AX222)+N(AX223)+N(AX224)+N(AX227)+N(AX245)+N(AX248))-N(AX154))/((N(AX222)+N(AX223)+N(AX224)+N(AX227)+N(AX245)+N(AX248))-N(AX154)+AX281),""),"")</f>
        <v>-0.302566433167267</v>
      </c>
      <c r="AY339" s="258">
        <f>IFERROR(IF(((N(AY222)+N(AY223)+N(AY224)+N(AY227)+N(AY245)+N(AY248))-N(AY154)+N(AY281))&lt;&gt;0,((N(AY222)+N(AY223)+N(AY224)+N(AY227)+N(AY245)+N(AY248))-N(AY154))/((N(AY222)+N(AY223)+N(AY224)+N(AY227)+N(AY245)+N(AY248))-N(AY154)+AY281),""),"")</f>
        <v>-0.272185891873737</v>
      </c>
      <c r="AZ339" s="258">
        <f>IFERROR(IF(((N(AZ222)+N(AZ223)+N(AZ224)+N(AZ227)+N(AZ245)+N(AZ248))-N(AZ154)+N(AZ281))&lt;&gt;0,((N(AZ222)+N(AZ223)+N(AZ224)+N(AZ227)+N(AZ245)+N(AZ248))-N(AZ154))/((N(AZ222)+N(AZ223)+N(AZ224)+N(AZ227)+N(AZ245)+N(AZ248))-N(AZ154)+AZ281),""),"")</f>
        <v>-0.391107129742709</v>
      </c>
      <c r="BA339" s="258">
        <f>IFERROR(IF(((N(BA222)+N(BA223)+N(BA224)+N(BA227)+N(BA245)+N(BA248))-N(BA154)+N(BA281))&lt;&gt;0,((N(BA222)+N(BA223)+N(BA224)+N(BA227)+N(BA245)+N(BA248))-N(BA154))/((N(BA222)+N(BA223)+N(BA224)+N(BA227)+N(BA245)+N(BA248))-N(BA154)+BA281),""),"")</f>
        <v>-0.391107129742709</v>
      </c>
      <c r="BB339" s="258">
        <f>IFERROR(IF(((N(BB222)+N(BB223)+N(BB224)+N(BB227)+N(BB245)+N(BB248))-N(BB154)+N(BB281))&lt;&gt;0,((N(BB222)+N(BB223)+N(BB224)+N(BB227)+N(BB245)+N(BB248))-N(BB154))/((N(BB222)+N(BB223)+N(BB224)+N(BB227)+N(BB245)+N(BB248))-N(BB154)+BB281),""),"")</f>
        <v>-0.583554675847893</v>
      </c>
      <c r="BC339" s="258">
        <f>IFERROR(IF(((N(BC222)+N(BC223)+N(BC224)+N(BC227)+N(BC245)+N(BC248))-N(BC154)+N(BC281))&lt;&gt;0,((N(BC222)+N(BC223)+N(BC224)+N(BC227)+N(BC245)+N(BC248))-N(BC154))/((N(BC222)+N(BC223)+N(BC224)+N(BC227)+N(BC245)+N(BC248))-N(BC154)+BC281),""),"")</f>
        <v>-0.702118476604724</v>
      </c>
      <c r="BD339" s="258">
        <f>IFERROR(IF(((N(BD222)+N(BD223)+N(BD224)+N(BD227)+N(BD245)+N(BD248))-N(BD154)+N(BD281))&lt;&gt;0,((N(BD222)+N(BD223)+N(BD224)+N(BD227)+N(BD245)+N(BD248))-N(BD154))/((N(BD222)+N(BD223)+N(BD224)+N(BD227)+N(BD245)+N(BD248))-N(BD154)+BD281),""),"")</f>
        <v>-0.663426816013084</v>
      </c>
      <c r="BE339" s="258">
        <f>IFERROR(IF(((N(BE222)+N(BE223)+N(BE224)+N(BE227)+N(BE245)+N(BE248))-N(BE154)+N(BE281))&lt;&gt;0,((N(BE222)+N(BE223)+N(BE224)+N(BE227)+N(BE245)+N(BE248))-N(BE154))/((N(BE222)+N(BE223)+N(BE224)+N(BE227)+N(BE245)+N(BE248))-N(BE154)+BE281),""),"")</f>
        <v>-0.876500062136766</v>
      </c>
      <c r="BF339" s="258">
        <f>IFERROR(IF(((N(BF222)+N(BF223)+N(BF224)+N(BF227)+N(BF245)+N(BF248))-N(BF154)+N(BF281))&lt;&gt;0,((N(BF222)+N(BF223)+N(BF224)+N(BF227)+N(BF245)+N(BF248))-N(BF154))/((N(BF222)+N(BF223)+N(BF224)+N(BF227)+N(BF245)+N(BF248))-N(BF154)+BF281),""),"")</f>
        <v>-0.876500062136766</v>
      </c>
    </row>
    <row r="340" customFormat="1" s="77">
      <c r="A340" s="76" t="n"/>
      <c r="B340" s="76" t="n"/>
    </row>
    <row r="341" customFormat="1" s="77">
      <c r="A341" s="76" t="n"/>
      <c r="B341" s="76" t="n"/>
      <c r="C341" s="74" t="inlineStr">
        <is>
          <t>FINANCIAL RISK RATIOS</t>
        </is>
      </c>
    </row>
    <row r="342" customFormat="1" s="77">
      <c r="A342" s="76" t="n"/>
      <c r="B342" s="76" t="n"/>
      <c r="C342" s="77" t="inlineStr">
        <is>
          <t>EBITDA / TOTAL INTEREST (LTM)</t>
        </is>
      </c>
      <c r="D342" s="82" t="str">
        <f>IFERROR(D79/-D84,"")</f>
        <v/>
      </c>
      <c r="E342" s="82" t="str">
        <f>IFERROR(E79/-E84,"")</f>
        <v/>
      </c>
      <c r="F342" s="82" t="str">
        <f>IFERROR(F79/-F84,"")</f>
        <v/>
      </c>
      <c r="G342" s="82" t="str">
        <f>IFERROR(G79/-G84,"")</f>
        <v/>
      </c>
      <c r="H342" s="262" t="str">
        <f>IFERROR(IF(AND(COUNT(H79)=1,(H84)&lt;&gt;0),(H79)/-(H84),""),"")</f>
        <v/>
      </c>
      <c r="I342" s="262" t="str">
        <f>""</f>
        <v/>
      </c>
      <c r="J342" s="262" t="str">
        <f>""</f>
        <v/>
      </c>
      <c r="K342" s="262" t="str">
        <f>""</f>
        <v/>
      </c>
      <c r="L342" s="262">
        <f>IFERROR(IF(AND(COUNT(I79,J79,K79,L79)=4,(I84+J84+K84+L84)&lt;&gt;0),(I79+J79+K79+L79)/-(I84+J84+K84+L84),""),"")</f>
        <v>4.35976290595821</v>
      </c>
      <c r="M342" s="262">
        <f>IFERROR(IF(AND(COUNT(I79,J79,K79,L79)=4,(I84+J84+K84+L84)&lt;&gt;0),(I79+J79+K79+L79)/-(I84+J84+K84+L84),""),"")</f>
        <v>4.35976290595821</v>
      </c>
      <c r="N342" s="262">
        <f>IFERROR(IF(AND(COUNT(J79,K79,L79,N79)=4,(J84+K84+L84+N84)&lt;&gt;0),(J79+K79+L79+N79)/-(J84+K84+L84+N84),""),"")</f>
        <v>4.23536494641662</v>
      </c>
      <c r="O342" s="262">
        <f>IFERROR(IF(AND(COUNT(K79,L79,N79,O79)=4,(K84+L84+N84+O84)&lt;&gt;0),(K79+L79+N79+O79)/-(K84+L84+N84+O84),""),"")</f>
        <v>4.13789637121562</v>
      </c>
      <c r="P342" s="262">
        <f>IFERROR(IF(AND(COUNT(L79,N79,O79,P79)=4,(L84+N84+O84+P84)&lt;&gt;0),(L79+N79+O79+P79)/-(L84+N84+O84+P84),""),"")</f>
        <v>3.99784237587753</v>
      </c>
      <c r="Q342" s="262">
        <f>IFERROR(IF(AND(COUNT(N79,O79,P79,Q79)=4,(N84+O84+P84+Q84)&lt;&gt;0),(N79+O79+P79+Q79)/-(N84+O84+P84+Q84),""),"")</f>
        <v>3.6785035157478</v>
      </c>
      <c r="R342" s="262">
        <f>IFERROR(IF(AND(COUNT(N79,O79,P79,Q79)=4,(N84+O84+P84+Q84)&lt;&gt;0),(N79+O79+P79+Q79)/-(N84+O84+P84+Q84),""),"")</f>
        <v>3.6785035157478</v>
      </c>
      <c r="S342" s="262">
        <f>IFERROR(IF(AND(COUNT(O79,P79,Q79,S79)=4,(O84+P84+Q84+S84)&lt;&gt;0),(O79+P79+Q79+S79)/-(O84+P84+Q84+S84),""),"")</f>
        <v>3.44576933749604</v>
      </c>
      <c r="T342" s="262">
        <f>IFERROR(IF(AND(COUNT(P79,Q79,S79,T79)=4,(P84+Q84+S84+T84)&lt;&gt;0),(P79+Q79+S79+T79)/-(P84+Q84+S84+T84),""),"")</f>
        <v>3.18957499690109</v>
      </c>
      <c r="U342" s="262">
        <f>IFERROR(IF(AND(COUNT(Q79,S79,T79,U79)=4,(Q84+S84+T84+U84)&lt;&gt;0),(Q79+S79+T79+U79)/-(Q84+S84+T84+U84),""),"")</f>
        <v>3.12083848715846</v>
      </c>
      <c r="V342" s="262">
        <f>IFERROR(IF(AND(COUNT(S79,T79,U79,V79)=4,(S84+T84+U84+V84)&lt;&gt;0),(S79+T79+U79+V79)/-(S84+T84+U84+V84),""),"")</f>
        <v>3.14528226762652</v>
      </c>
      <c r="W342" s="262">
        <f>IFERROR(IF(AND(COUNT(S79,T79,U79,V79)=4,(S84+T84+U84+V84)&lt;&gt;0),(S79+T79+U79+V79)/-(S84+T84+U84+V84),""),"")</f>
        <v>3.14528226762652</v>
      </c>
      <c r="X342" s="262">
        <f>IFERROR(IF(AND(COUNT(T79,U79,V79,X79)=4,(T84+U84+V84+X84)&lt;&gt;0),(T79+U79+V79+X79)/-(T84+U84+V84+X84),""),"")</f>
        <v>3.05589328592035</v>
      </c>
      <c r="Y342" s="262">
        <f>IFERROR(IF(AND(COUNT(U79,V79,X79,Y79)=4,(U84+V84+X84+Y84)&lt;&gt;0),(U79+V79+X79+Y79)/-(U84+V84+X84+Y84),""),"")</f>
        <v>2.97540879039123</v>
      </c>
      <c r="Z342" s="262">
        <f>IFERROR(IF(AND(COUNT(V79,X79,Y79,Z79)=4,(V84+X84+Y84+Z84)&lt;&gt;0),(V79+X79+Y79+Z79)/-(V84+X84+Y84+Z84),""),"")</f>
        <v>2.9781728700529</v>
      </c>
      <c r="AA342" s="262">
        <f>IFERROR(IF(AND(COUNT(X79,Y79,Z79,AA79)=4,(X84+Y84+Z84+AA84)&lt;&gt;0),(X79+Y79+Z79+AA79)/-(X84+Y84+Z84+AA84),""),"")</f>
        <v>2.78007887768452</v>
      </c>
      <c r="AB342" s="262">
        <f>IFERROR(IF(AND(COUNT(X79,Y79,Z79,AA79)=4,(X84+Y84+Z84+AA84)&lt;&gt;0),(X79+Y79+Z79+AA79)/-(X84+Y84+Z84+AA84),""),"")</f>
        <v>2.78007887768452</v>
      </c>
      <c r="AC342" s="262">
        <f>IFERROR(IF(AND(COUNT(Y79,Z79,AA79,AC79)=4,(Y84+Z84+AA84+AC84)&lt;&gt;0),(Y79+Z79+AA79+AC79)/-(Y84+Z84+AA84+AC84),""),"")</f>
        <v>2.66918314288195</v>
      </c>
      <c r="AD342" s="262">
        <f>IFERROR(IF(AND(COUNT(Z79,AA79,AC79,AD79)=4,(Z84+AA84+AC84+AD84)&lt;&gt;0),(Z79+AA79+AC79+AD79)/-(Z84+AA84+AC84+AD84),""),"")</f>
        <v>2.71753224788091</v>
      </c>
      <c r="AE342" s="262">
        <f>IFERROR(IF(AND(COUNT(AA79,AC79,AD79,AE79)=4,(AA84+AC84+AD84+AE84)&lt;&gt;0),(AA79+AC79+AD79+AE79)/-(AA84+AC84+AD84+AE84),""),"")</f>
        <v>2.64436380071068</v>
      </c>
      <c r="AF342" s="262">
        <f>IFERROR(IF(AND(COUNT(AB79,AD79,AE79,AF79)=4,(AB84+AD84+AE84+AF84)&lt;&gt;0),(AB79+AD79+AE79+AF79)/-(AB84+AD84+AE84+AF84),""),"")</f>
        <v>2.50762312167429</v>
      </c>
      <c r="AG342" s="262">
        <f>IFERROR(IF(AND(COUNT(AC79,AD79,AE79,AF79)=4,(AC84+AD84+AE84+AF84)&lt;&gt;0),(AC79+AD79+AE79+AF79)/-(AC84+AD84+AE84+AF84),""),"")</f>
        <v>2.28673220478356</v>
      </c>
      <c r="AH342" s="262">
        <f>IFERROR(IF(AND(COUNT(AD79,AF79,AG79,AH79)=4,(AD84+AF84+AG84+AH84)&lt;&gt;0),(AD79+AF79+AG79+AH79)/-(AD84+AF84+AG84+AH84),""),"")</f>
        <v>2.14499824867912</v>
      </c>
      <c r="AI342" s="262">
        <f>IFERROR(IF(AND(COUNT(AE79,AG79,AH79,AI79)=4,(AE84+AG84+AH84+AI84)&lt;&gt;0),(AE79+AG79+AH79+AI79)/-(AE84+AG84+AH84+AI84),""),"")</f>
        <v>2.23030891075862</v>
      </c>
      <c r="AJ342" s="262" t="str">
        <f>IFERROR(IF(AND(COUNT(AF79,AH79,AI79,AJ79)=4,(AF84+AH84+AI84+AJ84)&lt;&gt;0),(AF79+AH79+AI79+AJ79)/-(AF84+AH84+AI84+AJ84),""),"")</f>
        <v/>
      </c>
      <c r="AK342" s="262" t="str">
        <f>IFERROR(IF(AND(COUNT(AH79,AI79,AJ79,AK79)=4,(AH84+AI84+AJ84+AK84)&lt;&gt;0),(AH79+AI79+AJ79+AK79)/-(AH84+AI84+AJ84+AK84),""),"")</f>
        <v/>
      </c>
      <c r="AL342" s="262" t="str">
        <f>IFERROR(IF(AND(COUNT(AH79,AI79,AJ79,AK79)=4,(AH84+AI84+AJ84+AK84)&lt;&gt;0),(AH79+AI79+AJ79+AK79)/-(AH84+AI84+AJ84+AK84),""),"")</f>
        <v/>
      </c>
      <c r="AM342" s="262" t="str">
        <f>IFERROR(IF(AND(COUNT(AI79,AJ79,AK79,AM79)=4,(AI84+AJ84+AK84+AM84)&lt;&gt;0),(AI79+AJ79+AK79+AM79)/-(AI84+AJ84+AK84+AM84),""),"")</f>
        <v/>
      </c>
      <c r="AN342" s="262" t="str">
        <f>IFERROR(IF(AND(COUNT(AJ79,AK79,AM79,AN79)=4,(AJ84+AK84+AM84+AN84)&lt;&gt;0),(AJ79+AK79+AM79+AN79)/-(AJ84+AK84+AM84+AN84),""),"")</f>
        <v/>
      </c>
      <c r="AO342" s="262" t="str">
        <f>IFERROR(IF(AND(COUNT(AK79,AM79,AN79,AO79)=4,(AK84+AM84+AN84+AO84)&lt;&gt;0),(AK79+AM79+AN79+AO79)/-(AK84+AM84+AN84+AO84),""),"")</f>
        <v/>
      </c>
      <c r="AP342" s="262" t="str">
        <f>IFERROR(IF(AND(COUNT(AM79,AN79,AO79,AP79)=4,(AM84+AN84+AO84+AP84)&lt;&gt;0),(AM79+AN79+AO79+AP79)/-(AM84+AN84+AO84+AP84),""),"")</f>
        <v/>
      </c>
      <c r="AQ342" s="262" t="str">
        <f>IFERROR(IF(AND(COUNT(AM79,AN79,AO79,AP79)=4,(AM84+AN84+AO84+AP84)&lt;&gt;0),(AM79+AN79+AO79+AP79)/-(AM84+AN84+AO84+AP84),""),"")</f>
        <v/>
      </c>
      <c r="AR342" s="262" t="str">
        <f>IFERROR(IF(AND(COUNT(AN79,AO79,AP79,AR79)=4,(AN84+AO84+AP84+AR84)&lt;&gt;0),(AN79+AO79+AP79+AR79)/-(AN84+AO84+AP84+AR84),""),"")</f>
        <v/>
      </c>
      <c r="AS342" s="262" t="str">
        <f>IFERROR(IF(AND(COUNT(AO79,AP79,AR79,AS79)=4,(AO84+AP84+AR84+AS84)&lt;&gt;0),(AO79+AP79+AR79+AS79)/-(AO84+AP84+AR84+AS84),""),"")</f>
        <v/>
      </c>
      <c r="AT342" s="262" t="str">
        <f>IFERROR(IF(AND(COUNT(AP79,AR79,AS79,AT79)=4,(AP84+AR84+AS84+AT84)&lt;&gt;0),(AP79+AR79+AS79+AT79)/-(AP84+AR84+AS84+AT84),""),"")</f>
        <v/>
      </c>
      <c r="AU342" s="262" t="str">
        <f>IFERROR(IF(AND(COUNT(AR79,AS79,AT79,AU79)=4,(AR84+AS84+AT84+AU84)&lt;&gt;0),(AR79+AS79+AT79+AU79)/-(AR84+AS84+AT84+AU84),""),"")</f>
        <v/>
      </c>
      <c r="AV342" s="262" t="str">
        <f>IFERROR(IF(AND(COUNT(AR79,AS79,AT79,AU79)=4,(AR84+AS84+AT84+AU84)&lt;&gt;0),(AR79+AS79+AT79+AU79)/-(AR84+AS84+AT84+AU84),""),"")</f>
        <v/>
      </c>
      <c r="AW342" s="262" t="str">
        <f>IFERROR(IF(AND(COUNT(AS79,AT79,AU79,AW79)=4,(AS84+AT84+AU84+AW84)&lt;&gt;0),(AS79+AT79+AU79+AW79)/-(AS84+AT84+AU84+AW84),""),"")</f>
        <v/>
      </c>
      <c r="AX342" s="262" t="str">
        <f>IFERROR(IF(AND(COUNT(AT79,AU79,AW79,AX79)=4,(AT84+AU84+AW84+AX84)&lt;&gt;0),(AT79+AU79+AW79+AX79)/-(AT84+AU84+AW84+AX84),""),"")</f>
        <v/>
      </c>
      <c r="AY342" s="262" t="str">
        <f>IFERROR(IF(AND(COUNT(AU79,AW79,AX79,AY79)=4,(AU84+AW84+AX84+AY84)&lt;&gt;0),(AU79+AW79+AX79+AY79)/-(AU84+AW84+AX84+AY84),""),"")</f>
        <v/>
      </c>
      <c r="AZ342" s="262" t="str">
        <f>IFERROR(IF(AND(COUNT(AW79,AX79,AY79,AZ79)=4,(AW84+AX84+AY84+AZ84)&lt;&gt;0),(AW79+AX79+AY79+AZ79)/-(AW84+AX84+AY84+AZ84),""),"")</f>
        <v/>
      </c>
      <c r="BA342" s="262" t="str">
        <f>IFERROR(IF(AND(COUNT(AW79,AX79,AY79,AZ79)=4,(AW84+AX84+AY84+AZ84)&lt;&gt;0),(AW79+AX79+AY79+AZ79)/-(AW84+AX84+AY84+AZ84),""),"")</f>
        <v/>
      </c>
      <c r="BB342" s="262" t="str">
        <f>IFERROR(IF(AND(COUNT(AX79,AY79,AZ79,BB79)=4,(AX84+AY84+AZ84+BB84)&lt;&gt;0),(AX79+AY79+AZ79+BB79)/-(AX84+AY84+AZ84+BB84),""),"")</f>
        <v/>
      </c>
      <c r="BC342" s="262" t="str">
        <f>IFERROR(IF(AND(COUNT(AY79,AZ79,BB79,BC79)=4,(AY84+AZ84+BB84+BC84)&lt;&gt;0),(AY79+AZ79+BB79+BC79)/-(AY84+AZ84+BB84+BC84),""),"")</f>
        <v/>
      </c>
      <c r="BD342" s="262" t="str">
        <f>IFERROR(IF(AND(COUNT(AZ79,BB79,BC79,BD79)=4,(AZ84+BB84+BC84+BD84)&lt;&gt;0),(AZ79+BB79+BC79+BD79)/-(AZ84+BB84+BC84+BD84),""),"")</f>
        <v/>
      </c>
      <c r="BE342" s="262" t="str">
        <f>IFERROR(IF(AND(COUNT(BB79,BC79,BD79,BE79)=4,(BB84+BC84+BD84+BE84)&lt;&gt;0),(BB79+BC79+BD79+BE79)/-(BB84+BC84+BD84+BE84),""),"")</f>
        <v/>
      </c>
      <c r="BF342" s="262" t="str">
        <f>IFERROR(IF(AND(COUNT(BB79,BC79,BD79,BE79)=4,(BB84+BC84+BD84+BE84)&lt;&gt;0),(BB79+BC79+BD79+BE79)/-(BB84+BC84+BD84+BE84),""),"")</f>
        <v/>
      </c>
      <c r="BG342" s="82" t="n"/>
      <c r="BH342" s="82" t="n"/>
      <c r="BI342" s="82" t="n"/>
      <c r="BJ342" s="82" t="n"/>
      <c r="BL342" s="82" t="n"/>
      <c r="BM342" s="82" t="n"/>
      <c r="BN342" s="82" t="n"/>
      <c r="BO342" s="82" t="n"/>
      <c r="BQ342" s="82" t="n"/>
      <c r="BR342" s="82" t="n"/>
      <c r="BS342" s="82" t="n"/>
      <c r="BT342" s="82" t="n"/>
      <c r="BV342" s="82" t="n"/>
      <c r="BW342" s="82" t="n"/>
      <c r="BX342" s="82" t="n"/>
      <c r="BY342" s="82" t="n"/>
      <c r="CA342" s="82" t="n"/>
      <c r="CB342" s="82" t="n"/>
      <c r="CC342" s="82" t="n"/>
      <c r="CD342" s="82" t="n"/>
      <c r="CF342" s="82" t="n"/>
      <c r="CG342" s="82" t="n"/>
      <c r="CH342" s="82" t="n"/>
      <c r="CI342" s="82" t="n"/>
      <c r="CK342" s="82" t="n"/>
      <c r="CL342" s="82" t="n"/>
      <c r="CM342" s="82" t="n"/>
      <c r="CN342" s="82" t="n"/>
      <c r="CP342" s="82" t="n"/>
      <c r="CQ342" s="82" t="n"/>
      <c r="CR342" s="82" t="n"/>
      <c r="CS342" s="82" t="n"/>
      <c r="CU342" s="82" t="n"/>
      <c r="CV342" s="82" t="n"/>
      <c r="CW342" s="82" t="n"/>
      <c r="CX342" s="82" t="n"/>
    </row>
    <row r="343" customFormat="1" s="77">
      <c r="A343" s="76" t="n"/>
      <c r="B343" s="76" t="n"/>
      <c r="C343" s="77" t="inlineStr">
        <is>
          <t>(EBITDA - CAPEX) / TOTAL INTEREST (LTM)</t>
        </is>
      </c>
      <c r="D343" s="82" t="str">
        <f>IFERROR((D79-D178)/-D84,"")</f>
        <v/>
      </c>
      <c r="E343" s="82" t="str">
        <f>IFERROR((E79-E178)/-E84,"")</f>
        <v/>
      </c>
      <c r="F343" s="82" t="str">
        <f>IFERROR((F79-F178)/-F84,"")</f>
        <v/>
      </c>
      <c r="G343" s="82" t="str">
        <f>IFERROR((G79-G178)/-G84,"")</f>
        <v/>
      </c>
      <c r="H343" s="262" t="str">
        <f>IFERROR(IF(AND(COUNT(H79)=1,(H84)&lt;&gt;0),((H79)-(H178))/-(H84),""),"")</f>
        <v/>
      </c>
      <c r="I343" s="262" t="str">
        <f>""</f>
        <v/>
      </c>
      <c r="J343" s="262" t="str">
        <f>""</f>
        <v/>
      </c>
      <c r="K343" s="262" t="str">
        <f>""</f>
        <v/>
      </c>
      <c r="L343" s="262">
        <f>IFERROR(IF(AND(COUNT(I79,J79,K79,L79)=4,(I84+J84+K84+L84)&lt;&gt;0),((I79+J79+K79+L79)-(I178+J178+K178+L178))/-(I84+J84+K84+L84),""),"")</f>
        <v>-0.0629341038239211</v>
      </c>
      <c r="M343" s="262">
        <f>IFERROR(IF(AND(COUNT(I79,J79,K79,L79)=4,(I84+J84+K84+L84)&lt;&gt;0),((I79+J79+K79+L79)-(I178+J178+K178+L178))/-(I84+J84+K84+L84),""),"")</f>
        <v>-0.0629341038239211</v>
      </c>
      <c r="N343" s="262">
        <f>IFERROR(IF(AND(COUNT(J79,K79,L79,N79)=4,(J84+K84+L84+N84)&lt;&gt;0),((J79+K79+L79+N79)-(J178+K178+L178+N178))/-(J84+K84+L84+N84),""),"")</f>
        <v>-1.03340451173503</v>
      </c>
      <c r="O343" s="262">
        <f>IFERROR(IF(AND(COUNT(K79,L79,N79,O79)=4,(K84+L84+N84+O84)&lt;&gt;0),((K79+L79+N79+O79)-(K178+L178+N178+O178))/-(K84+L84+N84+O84),""),"")</f>
        <v>-0.206790404725235</v>
      </c>
      <c r="P343" s="262">
        <f>IFERROR(IF(AND(COUNT(L79,N79,O79,P79)=4,(L84+N84+O84+P84)&lt;&gt;0),((L79+N79+O79+P79)-(L178+N178+O178+P178))/-(L84+N84+O84+P84),""),"")</f>
        <v>0.509450949790221</v>
      </c>
      <c r="Q343" s="262">
        <f>IFERROR(IF(AND(COUNT(N79,O79,P79,Q79)=4,(N84+O84+P84+Q84)&lt;&gt;0),((N79+O79+P79+Q79)-(N178+O178+P178+Q178))/-(N84+O84+P84+Q84),""),"")</f>
        <v>2.14265525377956</v>
      </c>
      <c r="R343" s="262">
        <f>IFERROR(IF(AND(COUNT(N79,O79,P79,Q79)=4,(N84+O84+P84+Q84)&lt;&gt;0),((N79+O79+P79+Q79)-(N178+O178+P178+Q178))/-(N84+O84+P84+Q84),""),"")</f>
        <v>2.14265525377956</v>
      </c>
      <c r="S343" s="262">
        <f>IFERROR(IF(AND(COUNT(O79,P79,Q79,S79)=4,(O84+P84+Q84+S84)&lt;&gt;0),((O79+P79+Q79+S79)-(O178+P178+Q178+S178))/-(O84+P84+Q84+S84),""),"")</f>
        <v>2.29390204464078</v>
      </c>
      <c r="T343" s="262">
        <f>IFERROR(IF(AND(COUNT(P79,Q79,S79,T79)=4,(P84+Q84+S84+T84)&lt;&gt;0),((P79+Q79+S79+T79)-(P178+Q178+S178+T178))/-(P84+Q84+S84+T84),""),"")</f>
        <v>2.03696121289462</v>
      </c>
      <c r="U343" s="262">
        <f>IFERROR(IF(AND(COUNT(Q79,S79,T79,U79)=4,(Q84+S84+T84+U84)&lt;&gt;0),((Q79+S79+T79+U79)-(Q178+S178+T178+U178))/-(Q84+S84+T84+U84),""),"")</f>
        <v>1.73222738973749</v>
      </c>
      <c r="V343" s="262">
        <f>IFERROR(IF(AND(COUNT(S79,T79,U79,V79)=4,(S84+T84+U84+V84)&lt;&gt;0),((S79+T79+U79+V79)-(S178+T178+U178+V178))/-(S84+T84+U84+V84),""),"")</f>
        <v>1.40932169171353</v>
      </c>
      <c r="W343" s="262">
        <f>IFERROR(IF(AND(COUNT(S79,T79,U79,V79)=4,(S84+T84+U84+V84)&lt;&gt;0),((S79+T79+U79+V79)-(S178+T178+U178+V178))/-(S84+T84+U84+V84),""),"")</f>
        <v>1.40932169171353</v>
      </c>
      <c r="X343" s="262">
        <f>IFERROR(IF(AND(COUNT(T79,U79,V79,X79)=4,(T84+U84+V84+X84)&lt;&gt;0),((T79+U79+V79+X79)-(T178+U178+V178+X178))/-(T84+U84+V84+X84),""),"")</f>
        <v>1.26524829784581</v>
      </c>
      <c r="Y343" s="262">
        <f>IFERROR(IF(AND(COUNT(U79,V79,X79,Y79)=4,(U84+V84+X84+Y84)&lt;&gt;0),((U79+V79+X79+Y79)-(U178+V178+X178+Y178))/-(U84+V84+X84+Y84),""),"")</f>
        <v>1.20570301029574</v>
      </c>
      <c r="Z343" s="262">
        <f>IFERROR(IF(AND(COUNT(V79,X79,Y79,Z79)=4,(V84+X84+Y84+Z84)&lt;&gt;0),((V79+X79+Y79+Z79)-(V178+X178+Y178+Z178))/-(V84+X84+Y84+Z84),""),"")</f>
        <v>1.40198491591713</v>
      </c>
      <c r="AA343" s="262">
        <f>IFERROR(IF(AND(COUNT(X79,Y79,Z79,AA79)=4,(X84+Y84+Z84+AA84)&lt;&gt;0),((X79+Y79+Z79+AA79)-(X178+Y178+Z178+AA178))/-(X84+Y84+Z84+AA84),""),"")</f>
        <v>1.55440041962167</v>
      </c>
      <c r="AB343" s="262">
        <f>IFERROR(IF(AND(COUNT(X79,Y79,Z79,AA79)=4,(X84+Y84+Z84+AA84)&lt;&gt;0),((X79+Y79+Z79+AA79)-(X178+Y178+Z178+AA178))/-(X84+Y84+Z84+AA84),""),"")</f>
        <v>1.55440041962167</v>
      </c>
      <c r="AC343" s="262">
        <f>IFERROR(IF(AND(COUNT(Y79,Z79,AA79,AC79)=4,(Y84+Z84+AA84+AC84)&lt;&gt;0),((Y79+Z79+AA79+AC79)-(Y178+Z178+AA178+AC178))/-(Y84+Z84+AA84+AC84),""),"")</f>
        <v>1.65859257303789</v>
      </c>
      <c r="AD343" s="262">
        <f>IFERROR(IF(AND(COUNT(Z79,AA79,AC79,AD79)=4,(Z84+AA84+AC84+AD84)&lt;&gt;0),((Z79+AA79+AC79+AD79)-(Z178+AA178+AC178+AD178))/-(Z84+AA84+AC84+AD84),""),"")</f>
        <v>1.70718892706536</v>
      </c>
      <c r="AE343" s="262">
        <f>IFERROR(IF(AND(COUNT(AA79,AC79,AD79,AE79)=4,(AA84+AC84+AD84+AE84)&lt;&gt;0),((AA79+AC79+AD79+AE79)-(AA178+AC178+AD178+AE178))/-(AA84+AC84+AD84+AE84),""),"")</f>
        <v>1.16150666159531</v>
      </c>
      <c r="AF343" s="262">
        <f>IFERROR(IF(AND(COUNT(AB79,AD79,AE79,AF79)=4,(AB84+AD84+AE84+AF84)&lt;&gt;0),((AB79+AD79+AE79+AF79)-(AB178+AD178+AE178+AF178))/-(AB84+AD84+AE84+AF84),""),"")</f>
        <v>1.59893554644962</v>
      </c>
      <c r="AG343" s="262">
        <f>IFERROR(IF(AND(COUNT(AC79,AD79,AE79,AF79)=4,(AC84+AD84+AE84+AF84)&lt;&gt;0),((AC79+AD79+AE79+AF79)-(AC178+AD178+AE178+AF178))/-(AC84+AD84+AE84+AF84),""),"")</f>
        <v>0.735087870691826</v>
      </c>
      <c r="AH343" s="262">
        <f>IFERROR(IF(AND(COUNT(AD79,AF79,AG79,AH79)=4,(AD84+AF84+AG84+AH84)&lt;&gt;0),((AD79+AF79+AG79+AH79)-(AD178+AF178+AG178+AH178))/-(AD84+AF84+AG84+AH84),""),"")</f>
        <v>0.838768979748234</v>
      </c>
      <c r="AI343" s="262">
        <f>IFERROR(IF(AND(COUNT(AE79,AG79,AH79,AI79)=4,(AE84+AG84+AH84+AI84)&lt;&gt;0),((AE79+AG79+AH79+AI79)-(AE178+AG178+AH178+AI178))/-(AE84+AG84+AH84+AI84),""),"")</f>
        <v>0.828405934579063</v>
      </c>
      <c r="AJ343" s="262" t="str">
        <f>IFERROR(IF(AND(COUNT(AF79,AH79,AI79,AJ79)=4,(AF84+AH84+AI84+AJ84)&lt;&gt;0),((AF79+AH79+AI79+AJ79)-(AF178+AH178+AI178+AJ178))/-(AF84+AH84+AI84+AJ84),""),"")</f>
        <v/>
      </c>
      <c r="AK343" s="262" t="str">
        <f>IFERROR(IF(AND(COUNT(AH79,AI79,AJ79,AK79)=4,(AH84+AI84+AJ84+AK84)&lt;&gt;0),((AH79+AI79+AJ79+AK79)-(AH178+AI178+AJ178+AK178))/-(AH84+AI84+AJ84+AK84),""),"")</f>
        <v/>
      </c>
      <c r="AL343" s="262" t="str">
        <f>IFERROR(IF(AND(COUNT(AH79,AI79,AJ79,AK79)=4,(AH84+AI84+AJ84+AK84)&lt;&gt;0),((AH79+AI79+AJ79+AK79)-(AH178+AI178+AJ178+AK178))/-(AH84+AI84+AJ84+AK84),""),"")</f>
        <v/>
      </c>
      <c r="AM343" s="262" t="str">
        <f>IFERROR(IF(AND(COUNT(AI79,AJ79,AK79,AM79)=4,(AI84+AJ84+AK84+AM84)&lt;&gt;0),((AI79+AJ79+AK79+AM79)-(AI178+AJ178+AK178+AM178))/-(AI84+AJ84+AK84+AM84),""),"")</f>
        <v/>
      </c>
      <c r="AN343" s="262" t="str">
        <f>IFERROR(IF(AND(COUNT(AJ79,AK79,AM79,AN79)=4,(AJ84+AK84+AM84+AN84)&lt;&gt;0),((AJ79+AK79+AM79+AN79)-(AJ178+AK178+AM178+AN178))/-(AJ84+AK84+AM84+AN84),""),"")</f>
        <v/>
      </c>
      <c r="AO343" s="262" t="str">
        <f>IFERROR(IF(AND(COUNT(AK79,AM79,AN79,AO79)=4,(AK84+AM84+AN84+AO84)&lt;&gt;0),((AK79+AM79+AN79+AO79)-(AK178+AM178+AN178+AO178))/-(AK84+AM84+AN84+AO84),""),"")</f>
        <v/>
      </c>
      <c r="AP343" s="262" t="str">
        <f>IFERROR(IF(AND(COUNT(AM79,AN79,AO79,AP79)=4,(AM84+AN84+AO84+AP84)&lt;&gt;0),((AM79+AN79+AO79+AP79)-(AM178+AN178+AO178+AP178))/-(AM84+AN84+AO84+AP84),""),"")</f>
        <v/>
      </c>
      <c r="AQ343" s="262" t="str">
        <f>IFERROR(IF(AND(COUNT(AM79,AN79,AO79,AP79)=4,(AM84+AN84+AO84+AP84)&lt;&gt;0),((AM79+AN79+AO79+AP79)-(AM178+AN178+AO178+AP178))/-(AM84+AN84+AO84+AP84),""),"")</f>
        <v/>
      </c>
      <c r="AR343" s="262" t="str">
        <f>IFERROR(IF(AND(COUNT(AN79,AO79,AP79,AR79)=4,(AN84+AO84+AP84+AR84)&lt;&gt;0),((AN79+AO79+AP79+AR79)-(AN178+AO178+AP178+AR178))/-(AN84+AO84+AP84+AR84),""),"")</f>
        <v/>
      </c>
      <c r="AS343" s="262" t="str">
        <f>IFERROR(IF(AND(COUNT(AO79,AP79,AR79,AS79)=4,(AO84+AP84+AR84+AS84)&lt;&gt;0),((AO79+AP79+AR79+AS79)-(AO178+AP178+AR178+AS178))/-(AO84+AP84+AR84+AS84),""),"")</f>
        <v/>
      </c>
      <c r="AT343" s="262" t="str">
        <f>IFERROR(IF(AND(COUNT(AP79,AR79,AS79,AT79)=4,(AP84+AR84+AS84+AT84)&lt;&gt;0),((AP79+AR79+AS79+AT79)-(AP178+AR178+AS178+AT178))/-(AP84+AR84+AS84+AT84),""),"")</f>
        <v/>
      </c>
      <c r="AU343" s="262" t="str">
        <f>IFERROR(IF(AND(COUNT(AR79,AS79,AT79,AU79)=4,(AR84+AS84+AT84+AU84)&lt;&gt;0),((AR79+AS79+AT79+AU79)-(AR178+AS178+AT178+AU178))/-(AR84+AS84+AT84+AU84),""),"")</f>
        <v/>
      </c>
      <c r="AV343" s="262" t="str">
        <f>IFERROR(IF(AND(COUNT(AR79,AS79,AT79,AU79)=4,(AR84+AS84+AT84+AU84)&lt;&gt;0),((AR79+AS79+AT79+AU79)-(AR178+AS178+AT178+AU178))/-(AR84+AS84+AT84+AU84),""),"")</f>
        <v/>
      </c>
      <c r="AW343" s="262" t="str">
        <f>IFERROR(IF(AND(COUNT(AS79,AT79,AU79,AW79)=4,(AS84+AT84+AU84+AW84)&lt;&gt;0),((AS79+AT79+AU79+AW79)-(AS178+AT178+AU178+AW178))/-(AS84+AT84+AU84+AW84),""),"")</f>
        <v/>
      </c>
      <c r="AX343" s="262" t="str">
        <f>IFERROR(IF(AND(COUNT(AT79,AU79,AW79,AX79)=4,(AT84+AU84+AW84+AX84)&lt;&gt;0),((AT79+AU79+AW79+AX79)-(AT178+AU178+AW178+AX178))/-(AT84+AU84+AW84+AX84),""),"")</f>
        <v/>
      </c>
      <c r="AY343" s="262" t="str">
        <f>IFERROR(IF(AND(COUNT(AU79,AW79,AX79,AY79)=4,(AU84+AW84+AX84+AY84)&lt;&gt;0),((AU79+AW79+AX79+AY79)-(AU178+AW178+AX178+AY178))/-(AU84+AW84+AX84+AY84),""),"")</f>
        <v/>
      </c>
      <c r="AZ343" s="262" t="str">
        <f>IFERROR(IF(AND(COUNT(AW79,AX79,AY79,AZ79)=4,(AW84+AX84+AY84+AZ84)&lt;&gt;0),((AW79+AX79+AY79+AZ79)-(AW178+AX178+AY178+AZ178))/-(AW84+AX84+AY84+AZ84),""),"")</f>
        <v/>
      </c>
      <c r="BA343" s="262" t="str">
        <f>IFERROR(IF(AND(COUNT(AW79,AX79,AY79,AZ79)=4,(AW84+AX84+AY84+AZ84)&lt;&gt;0),((AW79+AX79+AY79+AZ79)-(AW178+AX178+AY178+AZ178))/-(AW84+AX84+AY84+AZ84),""),"")</f>
        <v/>
      </c>
      <c r="BB343" s="262" t="str">
        <f>IFERROR(IF(AND(COUNT(AX79,AY79,AZ79,BB79)=4,(AX84+AY84+AZ84+BB84)&lt;&gt;0),((AX79+AY79+AZ79+BB79)-(AX178+AY178+AZ178+BB178))/-(AX84+AY84+AZ84+BB84),""),"")</f>
        <v/>
      </c>
      <c r="BC343" s="262" t="str">
        <f>IFERROR(IF(AND(COUNT(AY79,AZ79,BB79,BC79)=4,(AY84+AZ84+BB84+BC84)&lt;&gt;0),((AY79+AZ79+BB79+BC79)-(AY178+AZ178+BB178+BC178))/-(AY84+AZ84+BB84+BC84),""),"")</f>
        <v/>
      </c>
      <c r="BD343" s="262" t="str">
        <f>IFERROR(IF(AND(COUNT(AZ79,BB79,BC79,BD79)=4,(AZ84+BB84+BC84+BD84)&lt;&gt;0),((AZ79+BB79+BC79+BD79)-(AZ178+BB178+BC178+BD178))/-(AZ84+BB84+BC84+BD84),""),"")</f>
        <v/>
      </c>
      <c r="BE343" s="262" t="str">
        <f>IFERROR(IF(AND(COUNT(BB79,BC79,BD79,BE79)=4,(BB84+BC84+BD84+BE84)&lt;&gt;0),((BB79+BC79+BD79+BE79)-(BB178+BC178+BD178+BE178))/-(BB84+BC84+BD84+BE84),""),"")</f>
        <v/>
      </c>
      <c r="BF343" s="262" t="str">
        <f>IFERROR(IF(AND(COUNT(BB79,BC79,BD79,BE79)=4,(BB84+BC84+BD84+BE84)&lt;&gt;0),((BB79+BC79+BD79+BE79)-(BB178+BC178+BD178+BE178))/-(BB84+BC84+BD84+BE84),""),"")</f>
        <v/>
      </c>
      <c r="BG343" s="82" t="n"/>
      <c r="BH343" s="82" t="n"/>
      <c r="BI343" s="82" t="n"/>
      <c r="BJ343" s="82" t="n"/>
      <c r="BL343" s="82" t="n"/>
      <c r="BM343" s="82" t="n"/>
      <c r="BN343" s="82" t="n"/>
      <c r="BO343" s="82" t="n"/>
      <c r="BQ343" s="82" t="n"/>
      <c r="BR343" s="82" t="n"/>
      <c r="BS343" s="82" t="n"/>
      <c r="BT343" s="82" t="n"/>
      <c r="BV343" s="82" t="n"/>
      <c r="BW343" s="82" t="n"/>
      <c r="BX343" s="82" t="n"/>
      <c r="BY343" s="82" t="n"/>
      <c r="CA343" s="82" t="n"/>
      <c r="CB343" s="82" t="n"/>
      <c r="CC343" s="82" t="n"/>
      <c r="CD343" s="82" t="n"/>
      <c r="CF343" s="82" t="n"/>
      <c r="CG343" s="82" t="n"/>
      <c r="CH343" s="82" t="n"/>
      <c r="CI343" s="82" t="n"/>
      <c r="CK343" s="82" t="n"/>
      <c r="CL343" s="82" t="n"/>
      <c r="CM343" s="82" t="n"/>
      <c r="CN343" s="82" t="n"/>
      <c r="CP343" s="82" t="n"/>
      <c r="CQ343" s="82" t="n"/>
      <c r="CR343" s="82" t="n"/>
      <c r="CS343" s="82" t="n"/>
      <c r="CU343" s="82" t="n"/>
      <c r="CV343" s="82" t="n"/>
      <c r="CW343" s="82" t="n"/>
      <c r="CX343" s="82" t="n"/>
    </row>
    <row r="344" customFormat="1" s="77">
      <c r="A344" s="76" t="n"/>
      <c r="B344" s="76" t="n"/>
      <c r="C344" s="77" t="inlineStr">
        <is>
          <t>TOTAL DEBT / EBITDA (LTM)</t>
        </is>
      </c>
      <c r="D344" s="82" t="str">
        <f>IFERROR(SUM(D222,D223,D224,D227,D245,D248)/D79,"")</f>
        <v/>
      </c>
      <c r="E344" s="82" t="str">
        <f>IFERROR(SUM(E222,E223,E224,E227,E245,E248)/E79,"")</f>
        <v/>
      </c>
      <c r="F344" s="82" t="str">
        <f>IFERROR(SUM(F222,F223,F224,F227,F245,F248)/F79,"")</f>
        <v/>
      </c>
      <c r="G344" s="82" t="str">
        <f>IFERROR(SUM(G222,G223,G224,G227,G245,G248)/G79,"")</f>
        <v/>
      </c>
      <c r="H344" s="262" t="str">
        <f>IFERROR(IF(AND(COUNT(H79)=1,(H79)&lt;&gt;0),(N(H222)+N(H223)+N(H224)+N(H227)+N(H245)+N(H248))/(H79),""),"")</f>
        <v/>
      </c>
      <c r="I344" s="262" t="str">
        <f>""</f>
        <v/>
      </c>
      <c r="J344" s="262" t="str">
        <f>""</f>
        <v/>
      </c>
      <c r="K344" s="262" t="str">
        <f>""</f>
        <v/>
      </c>
      <c r="L344" s="262">
        <f>IFERROR(IF(AND(COUNT(I79,J79,K79,L79)=4,(I79+J79+K79+L79)&lt;&gt;0),(N(L222)+N(L223)+N(L224)+N(L227)+N(L245)+N(L248))/(I79+J79+K79+L79),""),"")</f>
        <v>1.69473082212501</v>
      </c>
      <c r="M344" s="262">
        <f>IFERROR(IF(AND(COUNT(I79,J79,K79,L79)=4,(I79+J79+K79+L79)&lt;&gt;0),(N(M222)+N(M223)+N(M224)+N(M227)+N(M245)+N(M248))/(I79+J79+K79+L79),""),"")</f>
        <v>1.69473082212501</v>
      </c>
      <c r="N344" s="262">
        <f>IFERROR(IF(AND(COUNT(J79,K79,L79,N79)=4,(J79+K79+L79+N79)&lt;&gt;0),(N(N222)+N(N223)+N(N224)+N(N227)+N(N245)+N(N248))/(J79+K79+L79+N79),""),"")</f>
        <v>1.69075281505212</v>
      </c>
      <c r="O344" s="262">
        <f>IFERROR(IF(AND(COUNT(K79,L79,N79,O79)=4,(K79+L79+N79+O79)&lt;&gt;0),(N(O222)+N(O223)+N(O224)+N(O227)+N(O245)+N(O248))/(K79+L79+N79+O79),""),"")</f>
        <v>1.69100112493818</v>
      </c>
      <c r="P344" s="262">
        <f>IFERROR(IF(AND(COUNT(L79,N79,O79,P79)=4,(L79+N79+O79+P79)&lt;&gt;0),(N(P222)+N(P223)+N(P224)+N(P227)+N(P245)+N(P248))/(L79+N79+O79+P79),""),"")</f>
        <v>2.09085030511318</v>
      </c>
      <c r="Q344" s="262">
        <f>IFERROR(IF(AND(COUNT(N79,O79,P79,Q79)=4,(N79+O79+P79+Q79)&lt;&gt;0),(N(Q222)+N(Q223)+N(Q224)+N(Q227)+N(Q245)+N(Q248))/(N79+O79+P79+Q79),""),"")</f>
        <v>1.86986093311204</v>
      </c>
      <c r="R344" s="262">
        <f>IFERROR(IF(AND(COUNT(N79,O79,P79,Q79)=4,(N79+O79+P79+Q79)&lt;&gt;0),(N(R222)+N(R223)+N(R224)+N(R227)+N(R245)+N(R248))/(N79+O79+P79+Q79),""),"")</f>
        <v>1.86986093311204</v>
      </c>
      <c r="S344" s="262">
        <f>IFERROR(IF(AND(COUNT(O79,P79,Q79,S79)=4,(O79+P79+Q79+S79)&lt;&gt;0),(N(S222)+N(S223)+N(S224)+N(S227)+N(S245)+N(S248))/(O79+P79+Q79+S79),""),"")</f>
        <v>1.7868042421337</v>
      </c>
      <c r="T344" s="262">
        <f>IFERROR(IF(AND(COUNT(P79,Q79,S79,T79)=4,(P79+Q79+S79+T79)&lt;&gt;0),(N(T222)+N(T223)+N(T224)+N(T227)+N(T245)+N(T248))/(P79+Q79+S79+T79),""),"")</f>
        <v>1.81905993633276</v>
      </c>
      <c r="U344" s="262">
        <f>IFERROR(IF(AND(COUNT(Q79,S79,T79,U79)=4,(Q79+S79+T79+U79)&lt;&gt;0),(N(U222)+N(U223)+N(U224)+N(U227)+N(U245)+N(U248))/(Q79+S79+T79+U79),""),"")</f>
        <v>1.88352465692368</v>
      </c>
      <c r="V344" s="262">
        <f>IFERROR(IF(AND(COUNT(S79,T79,U79,V79)=4,(S79+T79+U79+V79)&lt;&gt;0),(N(V222)+N(V223)+N(V224)+N(V227)+N(V245)+N(V248))/(S79+T79+U79+V79),""),"")</f>
        <v>1.83818488767706</v>
      </c>
      <c r="W344" s="262">
        <f>IFERROR(IF(AND(COUNT(S79,T79,U79,V79)=4,(S79+T79+U79+V79)&lt;&gt;0),(N(W222)+N(W223)+N(W224)+N(W227)+N(W245)+N(W248))/(S79+T79+U79+V79),""),"")</f>
        <v>1.83818488767706</v>
      </c>
      <c r="X344" s="262">
        <f>IFERROR(IF(AND(COUNT(T79,U79,V79,X79)=4,(T79+U79+V79+X79)&lt;&gt;0),(N(X222)+N(X223)+N(X224)+N(X227)+N(X245)+N(X248))/(T79+U79+V79+X79),""),"")</f>
        <v>1.85323899490615</v>
      </c>
      <c r="Y344" s="262">
        <f>IFERROR(IF(AND(COUNT(U79,V79,X79,Y79)=4,(U79+V79+X79+Y79)&lt;&gt;0),(N(Y222)+N(Y223)+N(Y224)+N(Y227)+N(Y245)+N(Y248))/(U79+V79+X79+Y79),""),"")</f>
        <v>1.75796356739477</v>
      </c>
      <c r="Z344" s="262">
        <f>IFERROR(IF(AND(COUNT(V79,X79,Y79,Z79)=4,(V79+X79+Y79+Z79)&lt;&gt;0),(N(Z222)+N(Z223)+N(Z224)+N(Z227)+N(Z245)+N(Z248))/(V79+X79+Y79+Z79),""),"")</f>
        <v>1.66161057745086</v>
      </c>
      <c r="AA344" s="262">
        <f>IFERROR(IF(AND(COUNT(X79,Y79,Z79,AA79)=4,(X79+Y79+Z79+AA79)&lt;&gt;0),(N(AA222)+N(AA223)+N(AA224)+N(AA227)+N(AA245)+N(AA248))/(X79+Y79+Z79+AA79),""),"")</f>
        <v>1.90409096493901</v>
      </c>
      <c r="AB344" s="262">
        <f>IFERROR(IF(AND(COUNT(X79,Y79,Z79,AA79)=4,(X79+Y79+Z79+AA79)&lt;&gt;0),(N(AB222)+N(AB223)+N(AB224)+N(AB227)+N(AB245)+N(AB248))/(X79+Y79+Z79+AA79),""),"")</f>
        <v>1.90409096493901</v>
      </c>
      <c r="AC344" s="262">
        <f>IFERROR(IF(AND(COUNT(Y79,Z79,AA79,AC79)=4,(Y79+Z79+AA79+AC79)&lt;&gt;0),(N(AC222)+N(AC223)+N(AC224)+N(AC227)+N(AC245)+N(AC248))/(Y79+Z79+AA79+AC79),""),"")</f>
        <v>1.9270158131939</v>
      </c>
      <c r="AD344" s="262">
        <f>IFERROR(IF(AND(COUNT(Z79,AA79,AC79,AD79)=4,(Z79+AA79+AC79+AD79)&lt;&gt;0),(N(AD222)+N(AD223)+N(AD224)+N(AD227)+N(AD245)+N(AD248))/(Z79+AA79+AC79+AD79),""),"")</f>
        <v>1.87019467338828</v>
      </c>
      <c r="AE344" s="262">
        <f>IFERROR(IF(AND(COUNT(AA79,AC79,AD79,AE79)=4,(AA79+AC79+AD79+AE79)&lt;&gt;0),(N(AE222)+N(AE223)+N(AE224)+N(AE227)+N(AE245)+N(AE248))/(AA79+AC79+AD79+AE79),""),"")</f>
        <v>2.26739492694728</v>
      </c>
      <c r="AF344" s="262">
        <f>IFERROR(IF(AND(COUNT(AB79,AD79,AE79,AF79)=4,(AB79+AD79+AE79+AF79)&lt;&gt;0),(N(AF222)+N(AF223)+N(AF224)+N(AF227)+N(AF245)+N(AF248))/(AB79+AD79+AE79+AF79),""),"")</f>
        <v>1.48874904451485</v>
      </c>
      <c r="AG344" s="262">
        <f>IFERROR(IF(AND(COUNT(AC79,AD79,AE79,AF79)=4,(AC79+AD79+AE79+AF79)&lt;&gt;0),(N(AG222)+N(AG223)+N(AG224)+N(AG227)+N(AG245)+N(AG248))/(AC79+AD79+AE79+AF79),""),"")</f>
        <v>2.41539905099649</v>
      </c>
      <c r="AH344" s="262">
        <f>IFERROR(IF(AND(COUNT(AD79,AF79,AG79,AH79)=4,(AD79+AF79+AG79+AH79)&lt;&gt;0),(N(AH222)+N(AH223)+N(AH224)+N(AH227)+N(AH245)+N(AH248))/(AD79+AF79+AG79+AH79),""),"")</f>
        <v>1.41244372334968</v>
      </c>
      <c r="AI344" s="262">
        <f>IFERROR(IF(AND(COUNT(AE79,AG79,AH79,AI79)=4,(AE79+AG79+AH79+AI79)&lt;&gt;0),(N(AI222)+N(AI223)+N(AI224)+N(AI227)+N(AI245)+N(AI248))/(AE79+AG79+AH79+AI79),""),"")</f>
        <v>1.41495813622388</v>
      </c>
      <c r="AJ344" s="262">
        <f>IFERROR(IF(AND(COUNT(AF79,AH79,AI79,AJ79)=4,(AF79+AH79+AI79+AJ79)&lt;&gt;0),(N(AJ222)+N(AJ223)+N(AJ224)+N(AJ227)+N(AJ245)+N(AJ248))/(AF79+AH79+AI79+AJ79),""),"")</f>
        <v>2.52895595336295</v>
      </c>
      <c r="AK344" s="262">
        <f>IFERROR(IF(AND(COUNT(AH79,AI79,AJ79,AK79)=4,(AH79+AI79+AJ79+AK79)&lt;&gt;0),(N(AK222)+N(AK223)+N(AK224)+N(AK227)+N(AK245)+N(AK248))/(AH79+AI79+AJ79+AK79),""),"")</f>
        <v>2.31250300624754</v>
      </c>
      <c r="AL344" s="262">
        <f>IFERROR(IF(AND(COUNT(AH79,AI79,AJ79,AK79)=4,(AH79+AI79+AJ79+AK79)&lt;&gt;0),(N(AL222)+N(AL223)+N(AL224)+N(AL227)+N(AL245)+N(AL248))/(AH79+AI79+AJ79+AK79),""),"")</f>
        <v>2.31250300624754</v>
      </c>
      <c r="AM344" s="262">
        <f>IFERROR(IF(AND(COUNT(AI79,AJ79,AK79,AM79)=4,(AI79+AJ79+AK79+AM79)&lt;&gt;0),(N(AM222)+N(AM223)+N(AM224)+N(AM227)+N(AM245)+N(AM248))/(AI79+AJ79+AK79+AM79),""),"")</f>
        <v>2.146715789043</v>
      </c>
      <c r="AN344" s="262">
        <f>IFERROR(IF(AND(COUNT(AJ79,AK79,AM79,AN79)=4,(AJ79+AK79+AM79+AN79)&lt;&gt;0),(N(AN222)+N(AN223)+N(AN224)+N(AN227)+N(AN245)+N(AN248))/(AJ79+AK79+AM79+AN79),""),"")</f>
        <v>2.06410614049008</v>
      </c>
      <c r="AO344" s="262">
        <f>IFERROR(IF(AND(COUNT(AK79,AM79,AN79,AO79)=4,(AK79+AM79+AN79+AO79)&lt;&gt;0),(N(AO222)+N(AO223)+N(AO224)+N(AO227)+N(AO245)+N(AO248))/(AK79+AM79+AN79+AO79),""),"")</f>
        <v>1.97431143734103</v>
      </c>
      <c r="AP344" s="262">
        <f>IFERROR(IF(AND(COUNT(AM79,AN79,AO79,AP79)=4,(AM79+AN79+AO79+AP79)&lt;&gt;0),(N(AP222)+N(AP223)+N(AP224)+N(AP227)+N(AP245)+N(AP248))/(AM79+AN79+AO79+AP79),""),"")</f>
        <v>1.89357039089561</v>
      </c>
      <c r="AQ344" s="262">
        <f>IFERROR(IF(AND(COUNT(AM79,AN79,AO79,AP79)=4,(AM79+AN79+AO79+AP79)&lt;&gt;0),(N(AQ222)+N(AQ223)+N(AQ224)+N(AQ227)+N(AQ245)+N(AQ248))/(AM79+AN79+AO79+AP79),""),"")</f>
        <v>1.89357039089561</v>
      </c>
      <c r="AR344" s="262">
        <f>IFERROR(IF(AND(COUNT(AN79,AO79,AP79,AR79)=4,(AN79+AO79+AP79+AR79)&lt;&gt;0),(N(AR222)+N(AR223)+N(AR224)+N(AR227)+N(AR245)+N(AR248))/(AN79+AO79+AP79+AR79),""),"")</f>
        <v>1.82885816569715</v>
      </c>
      <c r="AS344" s="262">
        <f>IFERROR(IF(AND(COUNT(AO79,AP79,AR79,AS79)=4,(AO79+AP79+AR79+AS79)&lt;&gt;0),(N(AS222)+N(AS223)+N(AS224)+N(AS227)+N(AS245)+N(AS248))/(AO79+AP79+AR79+AS79),""),"")</f>
        <v>1.7656291563418</v>
      </c>
      <c r="AT344" s="262">
        <f>IFERROR(IF(AND(COUNT(AP79,AR79,AS79,AT79)=4,(AP79+AR79+AS79+AT79)&lt;&gt;0),(N(AT222)+N(AT223)+N(AT224)+N(AT227)+N(AT245)+N(AT248))/(AP79+AR79+AS79+AT79),""),"")</f>
        <v>1.69081958109838</v>
      </c>
      <c r="AU344" s="262">
        <f>IFERROR(IF(AND(COUNT(AR79,AS79,AT79,AU79)=4,(AR79+AS79+AT79+AU79)&lt;&gt;0),(N(AU222)+N(AU223)+N(AU224)+N(AU227)+N(AU245)+N(AU248))/(AR79+AS79+AT79+AU79),""),"")</f>
        <v>1.62340127951582</v>
      </c>
      <c r="AV344" s="262">
        <f>IFERROR(IF(AND(COUNT(AR79,AS79,AT79,AU79)=4,(AR79+AS79+AT79+AU79)&lt;&gt;0),(N(AV222)+N(AV223)+N(AV224)+N(AV227)+N(AV245)+N(AV248))/(AR79+AS79+AT79+AU79),""),"")</f>
        <v>1.62340127951582</v>
      </c>
      <c r="AW344" s="262">
        <f>IFERROR(IF(AND(COUNT(AS79,AT79,AU79,AW79)=4,(AS79+AT79+AU79+AW79)&lt;&gt;0),(N(AW222)+N(AW223)+N(AW224)+N(AW227)+N(AW245)+N(AW248))/(AS79+AT79+AU79+AW79),""),"")</f>
        <v>1.56953352612946</v>
      </c>
      <c r="AX344" s="262">
        <f>IFERROR(IF(AND(COUNT(AT79,AU79,AW79,AX79)=4,(AT79+AU79+AW79+AX79)&lt;&gt;0),(N(AX222)+N(AX223)+N(AX224)+N(AX227)+N(AX245)+N(AX248))/(AT79+AU79+AW79+AX79),""),"")</f>
        <v>1.51679337049214</v>
      </c>
      <c r="AY344" s="262">
        <f>IFERROR(IF(AND(COUNT(AU79,AW79,AX79,AY79)=4,(AU79+AW79+AX79+AY79)&lt;&gt;0),(N(AY222)+N(AY223)+N(AY224)+N(AY227)+N(AY245)+N(AY248))/(AU79+AW79+AX79+AY79),""),"")</f>
        <v>1.454256603824</v>
      </c>
      <c r="AZ344" s="262">
        <f>IFERROR(IF(AND(COUNT(AW79,AX79,AY79,AZ79)=4,(AW79+AX79+AY79+AZ79)&lt;&gt;0),(N(AZ222)+N(AZ223)+N(AZ224)+N(AZ227)+N(AZ245)+N(AZ248))/(AW79+AX79+AY79+AZ79),""),"")</f>
        <v>1.39777081523299</v>
      </c>
      <c r="BA344" s="262">
        <f>IFERROR(IF(AND(COUNT(AW79,AX79,AY79,AZ79)=4,(AW79+AX79+AY79+AZ79)&lt;&gt;0),(N(BA222)+N(BA223)+N(BA224)+N(BA227)+N(BA245)+N(BA248))/(AW79+AX79+AY79+AZ79),""),"")</f>
        <v>1.39777081523299</v>
      </c>
      <c r="BB344" s="262">
        <f>IFERROR(IF(AND(COUNT(AX79,AY79,AZ79,BB79)=4,(AX79+AY79+AZ79+BB79)&lt;&gt;0),(N(BB222)+N(BB223)+N(BB224)+N(BB227)+N(BB245)+N(BB248))/(AX79+AY79+AZ79+BB79),""),"")</f>
        <v>1.35278033511511</v>
      </c>
      <c r="BC344" s="262">
        <f>IFERROR(IF(AND(COUNT(AY79,AZ79,BB79,BC79)=4,(AY79+AZ79+BB79+BC79)&lt;&gt;0),(N(BC222)+N(BC223)+N(BC224)+N(BC227)+N(BC245)+N(BC248))/(AY79+AZ79+BB79+BC79),""),"")</f>
        <v>1.30864184541679</v>
      </c>
      <c r="BD344" s="262">
        <f>IFERROR(IF(AND(COUNT(AZ79,BB79,BC79,BD79)=4,(AZ79+BB79+BC79+BD79)&lt;&gt;0),(N(BD222)+N(BD223)+N(BD224)+N(BD227)+N(BD245)+N(BD248))/(AZ79+BB79+BC79+BD79),""),"")</f>
        <v>1.25618903601273</v>
      </c>
      <c r="BE344" s="262">
        <f>IFERROR(IF(AND(COUNT(BB79,BC79,BD79,BE79)=4,(BB79+BC79+BD79+BE79)&lt;&gt;0),(N(BE222)+N(BE223)+N(BE224)+N(BE227)+N(BE245)+N(BE248))/(BB79+BC79+BD79+BE79),""),"")</f>
        <v>1.2087034355639</v>
      </c>
      <c r="BF344" s="262">
        <f>IFERROR(IF(AND(COUNT(BB79,BC79,BD79,BE79)=4,(BB79+BC79+BD79+BE79)&lt;&gt;0),(N(BF222)+N(BF223)+N(BF224)+N(BF227)+N(BF245)+N(BF248))/(BB79+BC79+BD79+BE79),""),"")</f>
        <v>1.2087034355639</v>
      </c>
      <c r="BG344" s="82" t="n"/>
      <c r="BH344" s="82" t="n"/>
      <c r="BI344" s="82" t="n"/>
      <c r="BJ344" s="82" t="n"/>
      <c r="BL344" s="82" t="n"/>
      <c r="BM344" s="82" t="n"/>
      <c r="BN344" s="82" t="n"/>
      <c r="BO344" s="82" t="n"/>
      <c r="BQ344" s="82" t="n"/>
      <c r="BR344" s="82" t="n"/>
      <c r="BS344" s="82" t="n"/>
      <c r="BT344" s="82" t="n"/>
      <c r="BV344" s="82" t="n"/>
      <c r="BW344" s="82" t="n"/>
      <c r="BX344" s="82" t="n"/>
      <c r="BY344" s="82" t="n"/>
      <c r="CA344" s="82" t="n"/>
      <c r="CB344" s="82" t="n"/>
      <c r="CC344" s="82" t="n"/>
      <c r="CD344" s="82" t="n"/>
      <c r="CF344" s="82" t="n"/>
      <c r="CG344" s="82" t="n"/>
      <c r="CH344" s="82" t="n"/>
      <c r="CI344" s="82" t="n"/>
      <c r="CK344" s="82" t="n"/>
      <c r="CL344" s="82" t="n"/>
      <c r="CM344" s="82" t="n"/>
      <c r="CN344" s="82" t="n"/>
      <c r="CP344" s="82" t="n"/>
      <c r="CQ344" s="82" t="n"/>
      <c r="CR344" s="82" t="n"/>
      <c r="CS344" s="82" t="n"/>
      <c r="CU344" s="82" t="n"/>
      <c r="CV344" s="82" t="n"/>
      <c r="CW344" s="82" t="n"/>
      <c r="CX344" s="82" t="n"/>
    </row>
    <row r="345" customFormat="1" s="77">
      <c r="A345" s="76" t="n"/>
      <c r="B345" s="76" t="n"/>
      <c r="C345" s="77" t="inlineStr">
        <is>
          <t>TOTAL DEBT / TOTAL CAPITALIZATION</t>
        </is>
      </c>
      <c r="D345" s="80" t="str">
        <f>IFERROR(SUM(D222+D223+D224+D227+D245+D248)/(SUM(D222+D223+D224+D227+D245+D248)+D281),"")</f>
        <v/>
      </c>
      <c r="E345" s="80" t="str">
        <f>IFERROR(SUM(E222+E223+E224+E227+E245+E248)/(SUM(E222+E223+E224+E227+E245+E248)+E281),"")</f>
        <v/>
      </c>
      <c r="F345" s="80" t="str">
        <f>IFERROR(SUM(F222+F223+F224+F227+F245+F248)/(SUM(F222+F223+F224+F227+F245+F248)+F281),"")</f>
        <v/>
      </c>
      <c r="G345" s="80" t="str">
        <f>IFERROR(SUM(G222+G223+G224+G227+G245+G248)/(SUM(G222+G223+G224+G227+G245+G248)+G281),"")</f>
        <v/>
      </c>
      <c r="H345" s="258" t="str">
        <f>IFERROR(IF(((N(H222)+N(H223)+N(H224)+N(H227)+N(H245)+N(H248))+N(H281))&lt;&gt;0,(N(H222)+N(H223)+N(H224)+N(H227)+N(H245)+N(H248))/((N(H222)+N(H223)+N(H224)+N(H227)+N(H245)+N(H248))+H281),""),"")</f>
        <v/>
      </c>
      <c r="I345" s="258">
        <f>IFERROR(IF(((N(I222)+N(I223)+N(I224)+N(I227)+N(I245)+N(I248))+N(I281))&lt;&gt;0,(N(I222)+N(I223)+N(I224)+N(I227)+N(I245)+N(I248))/((N(I222)+N(I223)+N(I224)+N(I227)+N(I245)+N(I248))+I281),""),"")</f>
        <v>0.173928993957957</v>
      </c>
      <c r="J345" s="258">
        <f>IFERROR(IF(((N(J222)+N(J223)+N(J224)+N(J227)+N(J245)+N(J248))+N(J281))&lt;&gt;0,(N(J222)+N(J223)+N(J224)+N(J227)+N(J245)+N(J248))/((N(J222)+N(J223)+N(J224)+N(J227)+N(J245)+N(J248))+J281),""),"")</f>
        <v>0.171729362807624</v>
      </c>
      <c r="K345" s="258">
        <f>IFERROR(IF(((N(K222)+N(K223)+N(K224)+N(K227)+N(K245)+N(K248))+N(K281))&lt;&gt;0,(N(K222)+N(K223)+N(K224)+N(K227)+N(K245)+N(K248))/((N(K222)+N(K223)+N(K224)+N(K227)+N(K245)+N(K248))+K281),""),"")</f>
        <v>0.182527839637843</v>
      </c>
      <c r="L345" s="258">
        <f>IFERROR(IF(((N(L222)+N(L223)+N(L224)+N(L227)+N(L245)+N(L248))+N(L281))&lt;&gt;0,(N(L222)+N(L223)+N(L224)+N(L227)+N(L245)+N(L248))/((N(L222)+N(L223)+N(L224)+N(L227)+N(L245)+N(L248))+L281),""),"")</f>
        <v>0.235406769962493</v>
      </c>
      <c r="M345" s="258">
        <f>IFERROR(IF(((N(M222)+N(M223)+N(M224)+N(M227)+N(M245)+N(M248))+N(M281))&lt;&gt;0,(N(M222)+N(M223)+N(M224)+N(M227)+N(M245)+N(M248))/((N(M222)+N(M223)+N(M224)+N(M227)+N(M245)+N(M248))+M281),""),"")</f>
        <v>0.235406769962493</v>
      </c>
      <c r="N345" s="258">
        <f>IFERROR(IF(((N(N222)+N(N223)+N(N224)+N(N227)+N(N245)+N(N248))+N(N281))&lt;&gt;0,(N(N222)+N(N223)+N(N224)+N(N227)+N(N245)+N(N248))/((N(N222)+N(N223)+N(N224)+N(N227)+N(N245)+N(N248))+N281),""),"")</f>
        <v>0.238903942418511</v>
      </c>
      <c r="O345" s="258">
        <f>IFERROR(IF(((N(O222)+N(O223)+N(O224)+N(O227)+N(O245)+N(O248))+N(O281))&lt;&gt;0,(N(O222)+N(O223)+N(O224)+N(O227)+N(O245)+N(O248))/((N(O222)+N(O223)+N(O224)+N(O227)+N(O245)+N(O248))+O281),""),"")</f>
        <v>0.250310770616071</v>
      </c>
      <c r="P345" s="258">
        <f>IFERROR(IF(((N(P222)+N(P223)+N(P224)+N(P227)+N(P245)+N(P248))+N(P281))&lt;&gt;0,(N(P222)+N(P223)+N(P224)+N(P227)+N(P245)+N(P248))/((N(P222)+N(P223)+N(P224)+N(P227)+N(P245)+N(P248))+P281),""),"")</f>
        <v>0.304015290110168</v>
      </c>
      <c r="Q345" s="258">
        <f>IFERROR(IF(((N(Q222)+N(Q223)+N(Q224)+N(Q227)+N(Q245)+N(Q248))+N(Q281))&lt;&gt;0,(N(Q222)+N(Q223)+N(Q224)+N(Q227)+N(Q245)+N(Q248))/((N(Q222)+N(Q223)+N(Q224)+N(Q227)+N(Q245)+N(Q248))+Q281),""),"")</f>
        <v>0.295824244403066</v>
      </c>
      <c r="R345" s="258">
        <f>IFERROR(IF(((N(R222)+N(R223)+N(R224)+N(R227)+N(R245)+N(R248))+N(R281))&lt;&gt;0,(N(R222)+N(R223)+N(R224)+N(R227)+N(R245)+N(R248))/((N(R222)+N(R223)+N(R224)+N(R227)+N(R245)+N(R248))+R281),""),"")</f>
        <v>0.295824244403066</v>
      </c>
      <c r="S345" s="258">
        <f>IFERROR(IF(((N(S222)+N(S223)+N(S224)+N(S227)+N(S245)+N(S248))+N(S281))&lt;&gt;0,(N(S222)+N(S223)+N(S224)+N(S227)+N(S245)+N(S248))/((N(S222)+N(S223)+N(S224)+N(S227)+N(S245)+N(S248))+S281),""),"")</f>
        <v>0.292838677867258</v>
      </c>
      <c r="T345" s="258">
        <f>IFERROR(IF(((N(T222)+N(T223)+N(T224)+N(T227)+N(T245)+N(T248))+N(T281))&lt;&gt;0,(N(T222)+N(T223)+N(T224)+N(T227)+N(T245)+N(T248))/((N(T222)+N(T223)+N(T224)+N(T227)+N(T245)+N(T248))+T281),""),"")</f>
        <v>0.299631847274723</v>
      </c>
      <c r="U345" s="258">
        <f>IFERROR(IF(((N(U222)+N(U223)+N(U224)+N(U227)+N(U245)+N(U248))+N(U281))&lt;&gt;0,(N(U222)+N(U223)+N(U224)+N(U227)+N(U245)+N(U248))/((N(U222)+N(U223)+N(U224)+N(U227)+N(U245)+N(U248))+U281),""),"")</f>
        <v>0.303453174494661</v>
      </c>
      <c r="V345" s="258">
        <f>IFERROR(IF(((N(V222)+N(V223)+N(V224)+N(V227)+N(V245)+N(V248))+N(V281))&lt;&gt;0,(N(V222)+N(V223)+N(V224)+N(V227)+N(V245)+N(V248))/((N(V222)+N(V223)+N(V224)+N(V227)+N(V245)+N(V248))+V281),""),"")</f>
        <v>0.299019859676344</v>
      </c>
      <c r="W345" s="258">
        <f>IFERROR(IF(((N(W222)+N(W223)+N(W224)+N(W227)+N(W245)+N(W248))+N(W281))&lt;&gt;0,(N(W222)+N(W223)+N(W224)+N(W227)+N(W245)+N(W248))/((N(W222)+N(W223)+N(W224)+N(W227)+N(W245)+N(W248))+W281),""),"")</f>
        <v>0.299019859676344</v>
      </c>
      <c r="X345" s="258">
        <f>IFERROR(IF(((N(X222)+N(X223)+N(X224)+N(X227)+N(X245)+N(X248))+N(X281))&lt;&gt;0,(N(X222)+N(X223)+N(X224)+N(X227)+N(X245)+N(X248))/((N(X222)+N(X223)+N(X224)+N(X227)+N(X245)+N(X248))+X281),""),"")</f>
        <v>0.307334786612279</v>
      </c>
      <c r="Y345" s="258">
        <f>IFERROR(IF(((N(Y222)+N(Y223)+N(Y224)+N(Y227)+N(Y245)+N(Y248))+N(Y281))&lt;&gt;0,(N(Y222)+N(Y223)+N(Y224)+N(Y227)+N(Y245)+N(Y248))/((N(Y222)+N(Y223)+N(Y224)+N(Y227)+N(Y245)+N(Y248))+Y281),""),"")</f>
        <v>0.295555883577979</v>
      </c>
      <c r="Z345" s="258">
        <f>IFERROR(IF(((N(Z222)+N(Z223)+N(Z224)+N(Z227)+N(Z245)+N(Z248))+N(Z281))&lt;&gt;0,(N(Z222)+N(Z223)+N(Z224)+N(Z227)+N(Z245)+N(Z248))/((N(Z222)+N(Z223)+N(Z224)+N(Z227)+N(Z245)+N(Z248))+Z281),""),"")</f>
        <v>0.289808953061203</v>
      </c>
      <c r="AA345" s="258">
        <f>IFERROR(IF(((N(AA222)+N(AA223)+N(AA224)+N(AA227)+N(AA245)+N(AA248))+N(AA281))&lt;&gt;0,(N(AA222)+N(AA223)+N(AA224)+N(AA227)+N(AA245)+N(AA248))/((N(AA222)+N(AA223)+N(AA224)+N(AA227)+N(AA245)+N(AA248))+AA281),""),"")</f>
        <v>0.324873779827793</v>
      </c>
      <c r="AB345" s="258">
        <f>IFERROR(IF(((N(AB222)+N(AB223)+N(AB224)+N(AB227)+N(AB245)+N(AB248))+N(AB281))&lt;&gt;0,(N(AB222)+N(AB223)+N(AB224)+N(AB227)+N(AB245)+N(AB248))/((N(AB222)+N(AB223)+N(AB224)+N(AB227)+N(AB245)+N(AB248))+AB281),""),"")</f>
        <v>0.324873779827793</v>
      </c>
      <c r="AC345" s="258">
        <f>IFERROR(IF(((N(AC222)+N(AC223)+N(AC224)+N(AC227)+N(AC245)+N(AC248))+N(AC281))&lt;&gt;0,(N(AC222)+N(AC223)+N(AC224)+N(AC227)+N(AC245)+N(AC248))/((N(AC222)+N(AC223)+N(AC224)+N(AC227)+N(AC245)+N(AC248))+AC281),""),"")</f>
        <v>0.331629297070219</v>
      </c>
      <c r="AD345" s="258">
        <f>IFERROR(IF(((N(AD222)+N(AD223)+N(AD224)+N(AD227)+N(AD245)+N(AD248))+N(AD281))&lt;&gt;0,(N(AD222)+N(AD223)+N(AD224)+N(AD227)+N(AD245)+N(AD248))/((N(AD222)+N(AD223)+N(AD224)+N(AD227)+N(AD245)+N(AD248))+AD281),""),"")</f>
        <v>0.339500564237725</v>
      </c>
      <c r="AE345" s="258">
        <f>IFERROR(IF(((N(AE222)+N(AE223)+N(AE224)+N(AE227)+N(AE245)+N(AE248))+N(AE281))&lt;&gt;0,(N(AE222)+N(AE223)+N(AE224)+N(AE227)+N(AE245)+N(AE248))/((N(AE222)+N(AE223)+N(AE224)+N(AE227)+N(AE245)+N(AE248))+AE281),""),"")</f>
        <v>0.362923709259787</v>
      </c>
      <c r="AF345" s="258">
        <f>IFERROR(IF(((N(AF222)+N(AF223)+N(AF224)+N(AF227)+N(AF245)+N(AF248))+N(AF281))&lt;&gt;0,(N(AF222)+N(AF223)+N(AF224)+N(AF227)+N(AF245)+N(AF248))/((N(AF222)+N(AF223)+N(AF224)+N(AF227)+N(AF245)+N(AF248))+AF281),""),"")</f>
        <v>0.371564193489875</v>
      </c>
      <c r="AG345" s="258">
        <f>IFERROR(IF(((N(AG222)+N(AG223)+N(AG224)+N(AG227)+N(AG245)+N(AG248))+N(AG281))&lt;&gt;0,(N(AG222)+N(AG223)+N(AG224)+N(AG227)+N(AG245)+N(AG248))/((N(AG222)+N(AG223)+N(AG224)+N(AG227)+N(AG245)+N(AG248))+AG281),""),"")</f>
        <v>0.371564193489875</v>
      </c>
      <c r="AH345" s="258">
        <f>IFERROR(IF(((N(AH222)+N(AH223)+N(AH224)+N(AH227)+N(AH245)+N(AH248))+N(AH281))&lt;&gt;0,(N(AH222)+N(AH223)+N(AH224)+N(AH227)+N(AH245)+N(AH248))/((N(AH222)+N(AH223)+N(AH224)+N(AH227)+N(AH245)+N(AH248))+AH281),""),"")</f>
        <v>0.35807475052278</v>
      </c>
      <c r="AI345" s="258">
        <f>IFERROR(IF(((N(AI222)+N(AI223)+N(AI224)+N(AI227)+N(AI245)+N(AI248))+N(AI281))&lt;&gt;0,(N(AI222)+N(AI223)+N(AI224)+N(AI227)+N(AI245)+N(AI248))/((N(AI222)+N(AI223)+N(AI224)+N(AI227)+N(AI245)+N(AI248))+AI281),""),"")</f>
        <v>0.357989638274657</v>
      </c>
      <c r="AJ345" s="258">
        <f>IFERROR(IF(((N(AJ222)+N(AJ223)+N(AJ224)+N(AJ227)+N(AJ245)+N(AJ248))+N(AJ281))&lt;&gt;0,(N(AJ222)+N(AJ223)+N(AJ224)+N(AJ227)+N(AJ245)+N(AJ248))/((N(AJ222)+N(AJ223)+N(AJ224)+N(AJ227)+N(AJ245)+N(AJ248))+AJ281),""),"")</f>
        <v>0.338860850576095</v>
      </c>
      <c r="AK345" s="258">
        <f>IFERROR(IF(((N(AK222)+N(AK223)+N(AK224)+N(AK227)+N(AK245)+N(AK248))+N(AK281))&lt;&gt;0,(N(AK222)+N(AK223)+N(AK224)+N(AK227)+N(AK245)+N(AK248))/((N(AK222)+N(AK223)+N(AK224)+N(AK227)+N(AK245)+N(AK248))+AK281),""),"")</f>
        <v>0.321996767646264</v>
      </c>
      <c r="AL345" s="258">
        <f>IFERROR(IF(((N(AL222)+N(AL223)+N(AL224)+N(AL227)+N(AL245)+N(AL248))+N(AL281))&lt;&gt;0,(N(AL222)+N(AL223)+N(AL224)+N(AL227)+N(AL245)+N(AL248))/((N(AL222)+N(AL223)+N(AL224)+N(AL227)+N(AL245)+N(AL248))+AL281),""),"")</f>
        <v>0.321996767646264</v>
      </c>
      <c r="AM345" s="258">
        <f>IFERROR(IF(((N(AM222)+N(AM223)+N(AM224)+N(AM227)+N(AM245)+N(AM248))+N(AM281))&lt;&gt;0,(N(AM222)+N(AM223)+N(AM224)+N(AM227)+N(AM245)+N(AM248))/((N(AM222)+N(AM223)+N(AM224)+N(AM227)+N(AM245)+N(AM248))+AM281),""),"")</f>
        <v>0.308321718552486</v>
      </c>
      <c r="AN345" s="258">
        <f>IFERROR(IF(((N(AN222)+N(AN223)+N(AN224)+N(AN227)+N(AN245)+N(AN248))+N(AN281))&lt;&gt;0,(N(AN222)+N(AN223)+N(AN224)+N(AN227)+N(AN245)+N(AN248))/((N(AN222)+N(AN223)+N(AN224)+N(AN227)+N(AN245)+N(AN248))+AN281),""),"")</f>
        <v>0.295185093325769</v>
      </c>
      <c r="AO345" s="258">
        <f>IFERROR(IF(((N(AO222)+N(AO223)+N(AO224)+N(AO227)+N(AO245)+N(AO248))+N(AO281))&lt;&gt;0,(N(AO222)+N(AO223)+N(AO224)+N(AO227)+N(AO245)+N(AO248))/((N(AO222)+N(AO223)+N(AO224)+N(AO227)+N(AO245)+N(AO248))+AO281),""),"")</f>
        <v>0.279922075543245</v>
      </c>
      <c r="AP345" s="258">
        <f>IFERROR(IF(((N(AP222)+N(AP223)+N(AP224)+N(AP227)+N(AP245)+N(AP248))+N(AP281))&lt;&gt;0,(N(AP222)+N(AP223)+N(AP224)+N(AP227)+N(AP245)+N(AP248))/((N(AP222)+N(AP223)+N(AP224)+N(AP227)+N(AP245)+N(AP248))+AP281),""),"")</f>
        <v>0.266419807513368</v>
      </c>
      <c r="AQ345" s="258">
        <f>IFERROR(IF(((N(AQ222)+N(AQ223)+N(AQ224)+N(AQ227)+N(AQ245)+N(AQ248))+N(AQ281))&lt;&gt;0,(N(AQ222)+N(AQ223)+N(AQ224)+N(AQ227)+N(AQ245)+N(AQ248))/((N(AQ222)+N(AQ223)+N(AQ224)+N(AQ227)+N(AQ245)+N(AQ248))+AQ281),""),"")</f>
        <v>0.266419807513368</v>
      </c>
      <c r="AR345" s="258">
        <f>IFERROR(IF(((N(AR222)+N(AR223)+N(AR224)+N(AR227)+N(AR245)+N(AR248))+N(AR281))&lt;&gt;0,(N(AR222)+N(AR223)+N(AR224)+N(AR227)+N(AR245)+N(AR248))/((N(AR222)+N(AR223)+N(AR224)+N(AR227)+N(AR245)+N(AR248))+AR281),""),"")</f>
        <v>0.255483802135899</v>
      </c>
      <c r="AS345" s="258">
        <f>IFERROR(IF(((N(AS222)+N(AS223)+N(AS224)+N(AS227)+N(AS245)+N(AS248))+N(AS281))&lt;&gt;0,(N(AS222)+N(AS223)+N(AS224)+N(AS227)+N(AS245)+N(AS248))/((N(AS222)+N(AS223)+N(AS224)+N(AS227)+N(AS245)+N(AS248))+AS281),""),"")</f>
        <v>0.244947755711108</v>
      </c>
      <c r="AT345" s="258">
        <f>IFERROR(IF(((N(AT222)+N(AT223)+N(AT224)+N(AT227)+N(AT245)+N(AT248))+N(AT281))&lt;&gt;0,(N(AT222)+N(AT223)+N(AT224)+N(AT227)+N(AT245)+N(AT248))/((N(AT222)+N(AT223)+N(AT224)+N(AT227)+N(AT245)+N(AT248))+AT281),""),"")</f>
        <v>0.232668408156507</v>
      </c>
      <c r="AU345" s="258">
        <f>IFERROR(IF(((N(AU222)+N(AU223)+N(AU224)+N(AU227)+N(AU245)+N(AU248))+N(AU281))&lt;&gt;0,(N(AU222)+N(AU223)+N(AU224)+N(AU227)+N(AU245)+N(AU248))/((N(AU222)+N(AU223)+N(AU224)+N(AU227)+N(AU245)+N(AU248))+AU281),""),"")</f>
        <v>0.22177153594415</v>
      </c>
      <c r="AV345" s="258">
        <f>IFERROR(IF(((N(AV222)+N(AV223)+N(AV224)+N(AV227)+N(AV245)+N(AV248))+N(AV281))&lt;&gt;0,(N(AV222)+N(AV223)+N(AV224)+N(AV227)+N(AV245)+N(AV248))/((N(AV222)+N(AV223)+N(AV224)+N(AV227)+N(AV245)+N(AV248))+AV281),""),"")</f>
        <v>0.22177153594415</v>
      </c>
      <c r="AW345" s="258">
        <f>IFERROR(IF(((N(AW222)+N(AW223)+N(AW224)+N(AW227)+N(AW245)+N(AW248))+N(AW281))&lt;&gt;0,(N(AW222)+N(AW223)+N(AW224)+N(AW227)+N(AW245)+N(AW248))/((N(AW222)+N(AW223)+N(AW224)+N(AW227)+N(AW245)+N(AW248))+AW281),""),"")</f>
        <v>0.212958617077612</v>
      </c>
      <c r="AX345" s="258">
        <f>IFERROR(IF(((N(AX222)+N(AX223)+N(AX224)+N(AX227)+N(AX245)+N(AX248))+N(AX281))&lt;&gt;0,(N(AX222)+N(AX223)+N(AX224)+N(AX227)+N(AX245)+N(AX248))/((N(AX222)+N(AX223)+N(AX224)+N(AX227)+N(AX245)+N(AX248))+AX281),""),"")</f>
        <v>0.20444521915963</v>
      </c>
      <c r="AY345" s="258">
        <f>IFERROR(IF(((N(AY222)+N(AY223)+N(AY224)+N(AY227)+N(AY245)+N(AY248))+N(AY281))&lt;&gt;0,(N(AY222)+N(AY223)+N(AY224)+N(AY227)+N(AY245)+N(AY248))/((N(AY222)+N(AY223)+N(AY224)+N(AY227)+N(AY245)+N(AY248))+AY281),""),"")</f>
        <v>0.194494845723572</v>
      </c>
      <c r="AZ345" s="258">
        <f>IFERROR(IF(((N(AZ222)+N(AZ223)+N(AZ224)+N(AZ227)+N(AZ245)+N(AZ248))+N(AZ281))&lt;&gt;0,(N(AZ222)+N(AZ223)+N(AZ224)+N(AZ227)+N(AZ245)+N(AZ248))/((N(AZ222)+N(AZ223)+N(AZ224)+N(AZ227)+N(AZ245)+N(AZ248))+AZ281),""),"")</f>
        <v>0.185639081248843</v>
      </c>
      <c r="BA345" s="258">
        <f>IFERROR(IF(((N(BA222)+N(BA223)+N(BA224)+N(BA227)+N(BA245)+N(BA248))+N(BA281))&lt;&gt;0,(N(BA222)+N(BA223)+N(BA224)+N(BA227)+N(BA245)+N(BA248))/((N(BA222)+N(BA223)+N(BA224)+N(BA227)+N(BA245)+N(BA248))+BA281),""),"")</f>
        <v>0.185639081248843</v>
      </c>
      <c r="BB345" s="258">
        <f>IFERROR(IF(((N(BB222)+N(BB223)+N(BB224)+N(BB227)+N(BB245)+N(BB248))+N(BB281))&lt;&gt;0,(N(BB222)+N(BB223)+N(BB224)+N(BB227)+N(BB245)+N(BB248))/((N(BB222)+N(BB223)+N(BB224)+N(BB227)+N(BB245)+N(BB248))+BB281),""),"")</f>
        <v>0.178488923203179</v>
      </c>
      <c r="BC345" s="258">
        <f>IFERROR(IF(((N(BC222)+N(BC223)+N(BC224)+N(BC227)+N(BC245)+N(BC248))+N(BC281))&lt;&gt;0,(N(BC222)+N(BC223)+N(BC224)+N(BC227)+N(BC245)+N(BC248))/((N(BC222)+N(BC223)+N(BC224)+N(BC227)+N(BC245)+N(BC248))+BC281),""),"")</f>
        <v>0.171564468383251</v>
      </c>
      <c r="BD345" s="258">
        <f>IFERROR(IF(((N(BD222)+N(BD223)+N(BD224)+N(BD227)+N(BD245)+N(BD248))+N(BD281))&lt;&gt;0,(N(BD222)+N(BD223)+N(BD224)+N(BD227)+N(BD245)+N(BD248))/((N(BD222)+N(BD223)+N(BD224)+N(BD227)+N(BD245)+N(BD248))+BD281),""),"")</f>
        <v>0.163449595253021</v>
      </c>
      <c r="BE345" s="258">
        <f>IFERROR(IF(((N(BE222)+N(BE223)+N(BE224)+N(BE227)+N(BE245)+N(BE248))+N(BE281))&lt;&gt;0,(N(BE222)+N(BE223)+N(BE224)+N(BE227)+N(BE245)+N(BE248))/((N(BE222)+N(BE223)+N(BE224)+N(BE227)+N(BE245)+N(BE248))+BE281),""),"")</f>
        <v>0.156207718948412</v>
      </c>
      <c r="BF345" s="258">
        <f>IFERROR(IF(((N(BF222)+N(BF223)+N(BF224)+N(BF227)+N(BF245)+N(BF248))+N(BF281))&lt;&gt;0,(N(BF222)+N(BF223)+N(BF224)+N(BF227)+N(BF245)+N(BF248))/((N(BF222)+N(BF223)+N(BF224)+N(BF227)+N(BF245)+N(BF248))+BF281),""),"")</f>
        <v>0.156207718948412</v>
      </c>
      <c r="BG345" s="80" t="n"/>
      <c r="BH345" s="80" t="n"/>
      <c r="BI345" s="80" t="n"/>
      <c r="BJ345" s="80" t="n"/>
      <c r="BL345" s="80" t="n"/>
      <c r="BM345" s="80" t="n"/>
      <c r="BN345" s="80" t="n"/>
      <c r="BO345" s="80" t="n"/>
      <c r="BQ345" s="80" t="n"/>
      <c r="BR345" s="80" t="n"/>
      <c r="BS345" s="80" t="n"/>
      <c r="BT345" s="80" t="n"/>
      <c r="BV345" s="80" t="n"/>
      <c r="BW345" s="80" t="n"/>
      <c r="BX345" s="80" t="n"/>
      <c r="BY345" s="80" t="n"/>
      <c r="CA345" s="80" t="n"/>
      <c r="CB345" s="80" t="n"/>
      <c r="CC345" s="80" t="n"/>
      <c r="CD345" s="80" t="n"/>
      <c r="CF345" s="80" t="n"/>
      <c r="CG345" s="80" t="n"/>
      <c r="CH345" s="80" t="n"/>
      <c r="CI345" s="80" t="n"/>
      <c r="CK345" s="80" t="n"/>
      <c r="CL345" s="80" t="n"/>
      <c r="CM345" s="80" t="n"/>
      <c r="CN345" s="80" t="n"/>
      <c r="CP345" s="80" t="n"/>
      <c r="CQ345" s="80" t="n"/>
      <c r="CR345" s="80" t="n"/>
      <c r="CS345" s="80" t="n"/>
      <c r="CU345" s="80" t="n"/>
      <c r="CV345" s="80" t="n"/>
      <c r="CW345" s="80" t="n"/>
      <c r="CX345" s="80" t="n"/>
    </row>
    <row r="346" customFormat="1" s="77">
      <c r="A346" s="76" t="n"/>
      <c r="B346" s="76" t="n"/>
      <c r="C346" s="77" t="inlineStr">
        <is>
          <t>NET DEBT / EBITDA (LTM)</t>
        </is>
      </c>
      <c r="D346" s="82" t="str">
        <f>IFERROR(SUM((D222+D223+D224+D227+D245)-D154)/(D79*4),"")</f>
        <v/>
      </c>
      <c r="E346" s="82" t="str">
        <f>IFERROR(SUM((E222+E223+E224+E227+E245)-E154)/(E79*4),"")</f>
        <v/>
      </c>
      <c r="F346" s="82" t="str">
        <f>IFERROR(SUM((F222+F223+F224+F227+F245)-F154)/(F79*4),"")</f>
        <v/>
      </c>
      <c r="G346" s="82" t="str">
        <f>IFERROR(SUM((G222+G223+G224+G227+G245)-G154)/(G79*4),"")</f>
        <v/>
      </c>
      <c r="H346" s="262" t="str">
        <f>IFERROR(IF(AND(COUNT(H79)=1,(H79)&lt;&gt;0),((N(H222)+N(H223)+N(H224)+N(H227)+N(H245)+N(H248))-N(H154))/(H79),""),"")</f>
        <v/>
      </c>
      <c r="I346" s="262" t="str">
        <f>""</f>
        <v/>
      </c>
      <c r="J346" s="262" t="str">
        <f>""</f>
        <v/>
      </c>
      <c r="K346" s="262" t="str">
        <f>""</f>
        <v/>
      </c>
      <c r="L346" s="262">
        <f>IFERROR(IF(AND(COUNT(I79,J79,K79,L79)=4,(I79+J79+K79+L79)&lt;&gt;0),((N(L222)+N(L223)+N(L224)+N(L227)+N(L245)+N(L248))-N(L154))/(I79+J79+K79+L79),""),"")</f>
        <v>0.946544171232994</v>
      </c>
      <c r="M346" s="262">
        <f>IFERROR(IF(AND(COUNT(I79,J79,K79,L79)=4,(I79+J79+K79+L79)&lt;&gt;0),((N(M222)+N(M223)+N(M224)+N(M227)+N(M245)+N(M248))-N(M154))/(I79+J79+K79+L79),""),"")</f>
        <v>0.946544171232994</v>
      </c>
      <c r="N346" s="262">
        <f>IFERROR(IF(AND(COUNT(J79,K79,L79,N79)=4,(J79+K79+L79+N79)&lt;&gt;0),((N(N222)+N(N223)+N(N224)+N(N227)+N(N245)+N(N248))-N(N154))/(J79+K79+L79+N79),""),"")</f>
        <v>1.18974682268637</v>
      </c>
      <c r="O346" s="262">
        <f>IFERROR(IF(AND(COUNT(K79,L79,N79,O79)=4,(K79+L79+N79+O79)&lt;&gt;0),((N(O222)+N(O223)+N(O224)+N(O227)+N(O245)+N(O248))-N(O154))/(K79+L79+N79+O79),""),"")</f>
        <v>1.04067698158835</v>
      </c>
      <c r="P346" s="262">
        <f>IFERROR(IF(AND(COUNT(L79,N79,O79,P79)=4,(L79+N79+O79+P79)&lt;&gt;0),((N(P222)+N(P223)+N(P224)+N(P227)+N(P245)+N(P248))-N(P154))/(L79+N79+O79+P79),""),"")</f>
        <v>1.62974462777298</v>
      </c>
      <c r="Q346" s="262">
        <f>IFERROR(IF(AND(COUNT(N79,O79,P79,Q79)=4,(N79+O79+P79+Q79)&lt;&gt;0),((N(Q222)+N(Q223)+N(Q224)+N(Q227)+N(Q245)+N(Q248))-N(Q154))/(N79+O79+P79+Q79),""),"")</f>
        <v>0.809249061950122</v>
      </c>
      <c r="R346" s="262">
        <f>IFERROR(IF(AND(COUNT(N79,O79,P79,Q79)=4,(N79+O79+P79+Q79)&lt;&gt;0),((N(R222)+N(R223)+N(R224)+N(R227)+N(R245)+N(R248))-N(R154))/(N79+O79+P79+Q79),""),"")</f>
        <v>0.809249061950122</v>
      </c>
      <c r="S346" s="262">
        <f>IFERROR(IF(AND(COUNT(O79,P79,Q79,S79)=4,(O79+P79+Q79+S79)&lt;&gt;0),((N(S222)+N(S223)+N(S224)+N(S227)+N(S245)+N(S248))-N(S154))/(O79+P79+Q79+S79),""),"")</f>
        <v>0.859318367449051</v>
      </c>
      <c r="T346" s="262">
        <f>IFERROR(IF(AND(COUNT(P79,Q79,S79,T79)=4,(P79+Q79+S79+T79)&lt;&gt;0),((N(T222)+N(T223)+N(T224)+N(T227)+N(T245)+N(T248))-N(T154))/(P79+Q79+S79+T79),""),"")</f>
        <v>1.10436757269034</v>
      </c>
      <c r="U346" s="262">
        <f>IFERROR(IF(AND(COUNT(Q79,S79,T79,U79)=4,(Q79+S79+T79+U79)&lt;&gt;0),((N(U222)+N(U223)+N(U224)+N(U227)+N(U245)+N(U248))-N(U154))/(Q79+S79+T79+U79),""),"")</f>
        <v>1.30728073300896</v>
      </c>
      <c r="V346" s="262">
        <f>IFERROR(IF(AND(COUNT(S79,T79,U79,V79)=4,(S79+T79+U79+V79)&lt;&gt;0),((N(V222)+N(V223)+N(V224)+N(V227)+N(V245)+N(V248))-N(V154))/(S79+T79+U79+V79),""),"")</f>
        <v>1.20458106098309</v>
      </c>
      <c r="W346" s="262">
        <f>IFERROR(IF(AND(COUNT(S79,T79,U79,V79)=4,(S79+T79+U79+V79)&lt;&gt;0),((N(W222)+N(W223)+N(W224)+N(W227)+N(W245)+N(W248))-N(W154))/(S79+T79+U79+V79),""),"")</f>
        <v>1.20458106098309</v>
      </c>
      <c r="X346" s="262">
        <f>IFERROR(IF(AND(COUNT(T79,U79,V79,X79)=4,(T79+U79+V79+X79)&lt;&gt;0),((N(X222)+N(X223)+N(X224)+N(X227)+N(X245)+N(X248))-N(X154))/(T79+U79+V79+X79),""),"")</f>
        <v>1.2250082160959</v>
      </c>
      <c r="Y346" s="262">
        <f>IFERROR(IF(AND(COUNT(U79,V79,X79,Y79)=4,(U79+V79+X79+Y79)&lt;&gt;0),((N(Y222)+N(Y223)+N(Y224)+N(Y227)+N(Y245)+N(Y248))-N(Y154))/(U79+V79+X79+Y79),""),"")</f>
        <v>1.18686229546487</v>
      </c>
      <c r="Z346" s="262">
        <f>IFERROR(IF(AND(COUNT(V79,X79,Y79,Z79)=4,(V79+X79+Y79+Z79)&lt;&gt;0),((N(Z222)+N(Z223)+N(Z224)+N(Z227)+N(Z245)+N(Z248))-N(Z154))/(V79+X79+Y79+Z79),""),"")</f>
        <v>1.35880155108598</v>
      </c>
      <c r="AA346" s="262">
        <f>IFERROR(IF(AND(COUNT(X79,Y79,Z79,AA79)=4,(X79+Y79+Z79+AA79)&lt;&gt;0),((N(AA222)+N(AA223)+N(AA224)+N(AA227)+N(AA245)+N(AA248))-N(AA154))/(X79+Y79+Z79+AA79),""),"")</f>
        <v>1.19081541498009</v>
      </c>
      <c r="AB346" s="262">
        <f>IFERROR(IF(AND(COUNT(X79,Y79,Z79,AA79)=4,(X79+Y79+Z79+AA79)&lt;&gt;0),((N(AB222)+N(AB223)+N(AB224)+N(AB227)+N(AB245)+N(AB248))-N(AB154))/(X79+Y79+Z79+AA79),""),"")</f>
        <v>1.19081541498009</v>
      </c>
      <c r="AC346" s="262">
        <f>IFERROR(IF(AND(COUNT(Y79,Z79,AA79,AC79)=4,(Y79+Z79+AA79+AC79)&lt;&gt;0),((N(AC222)+N(AC223)+N(AC224)+N(AC227)+N(AC245)+N(AC248))-N(AC154))/(Y79+Z79+AA79+AC79),""),"")</f>
        <v>1.29582878279441</v>
      </c>
      <c r="AD346" s="262">
        <f>IFERROR(IF(AND(COUNT(Z79,AA79,AC79,AD79)=4,(Z79+AA79+AC79+AD79)&lt;&gt;0),((N(AD222)+N(AD223)+N(AD224)+N(AD227)+N(AD245)+N(AD248))-N(AD154))/(Z79+AA79+AC79+AD79),""),"")</f>
        <v>1.48114570383311</v>
      </c>
      <c r="AE346" s="262">
        <f>IFERROR(IF(AND(COUNT(AA79,AC79,AD79,AE79)=4,(AA79+AC79+AD79+AE79)&lt;&gt;0),((N(AE222)+N(AE223)+N(AE224)+N(AE227)+N(AE245)+N(AE248))-N(AE154))/(AA79+AC79+AD79+AE79),""),"")</f>
        <v>1.84892993143928</v>
      </c>
      <c r="AF346" s="262">
        <f>IFERROR(IF(AND(COUNT(AB79,AD79,AE79,AF79)=4,(AB79+AD79+AE79+AF79)&lt;&gt;0),((N(AF222)+N(AF223)+N(AF224)+N(AF227)+N(AF245)+N(AF248))-N(AF154))/(AB79+AD79+AE79+AF79),""),"")</f>
        <v>1.09315183726774</v>
      </c>
      <c r="AG346" s="262">
        <f>IFERROR(IF(AND(COUNT(AC79,AD79,AE79,AF79)=4,(AC79+AD79+AE79+AF79)&lt;&gt;0),((N(AG222)+N(AG223)+N(AG224)+N(AG227)+N(AG245)+N(AG248))-N(AG154))/(AC79+AD79+AE79+AF79),""),"")</f>
        <v>1.77356816453374</v>
      </c>
      <c r="AH346" s="262">
        <f>IFERROR(IF(AND(COUNT(AD79,AF79,AG79,AH79)=4,(AD79+AF79+AG79+AH79)&lt;&gt;0),((N(AH222)+N(AH223)+N(AH224)+N(AH227)+N(AH245)+N(AH248))-N(AH154))/(AD79+AF79+AG79+AH79),""),"")</f>
        <v>0.993667215342042</v>
      </c>
      <c r="AI346" s="262">
        <f>IFERROR(IF(AND(COUNT(AE79,AG79,AH79,AI79)=4,(AE79+AG79+AH79+AI79)&lt;&gt;0),((N(AI222)+N(AI223)+N(AI224)+N(AI227)+N(AI245)+N(AI248))-N(AI154))/(AE79+AG79+AH79+AI79),""),"")</f>
        <v>1.07958626502352</v>
      </c>
      <c r="AJ346" s="262">
        <f>IFERROR(IF(AND(COUNT(AF79,AH79,AI79,AJ79)=4,(AF79+AH79+AI79+AJ79)&lt;&gt;0),((N(AJ222)+N(AJ223)+N(AJ224)+N(AJ227)+N(AJ245)+N(AJ248))-N(AJ154))/(AF79+AH79+AI79+AJ79),""),"")</f>
        <v>2.21009373679316</v>
      </c>
      <c r="AK346" s="262">
        <f>IFERROR(IF(AND(COUNT(AH79,AI79,AJ79,AK79)=4,(AH79+AI79+AJ79+AK79)&lt;&gt;0),((N(AK222)+N(AK223)+N(AK224)+N(AK227)+N(AK245)+N(AK248))-N(AK154))/(AH79+AI79+AJ79+AK79),""),"")</f>
        <v>1.66243414060678</v>
      </c>
      <c r="AL346" s="262">
        <f>IFERROR(IF(AND(COUNT(AH79,AI79,AJ79,AK79)=4,(AH79+AI79+AJ79+AK79)&lt;&gt;0),((N(AL222)+N(AL223)+N(AL224)+N(AL227)+N(AL245)+N(AL248))-N(AL154))/(AH79+AI79+AJ79+AK79),""),"")</f>
        <v>1.66243414060678</v>
      </c>
      <c r="AM346" s="262">
        <f>IFERROR(IF(AND(COUNT(AI79,AJ79,AK79,AM79)=4,(AI79+AJ79+AK79+AM79)&lt;&gt;0),((N(AM222)+N(AM223)+N(AM224)+N(AM227)+N(AM245)+N(AM248))-N(AM154))/(AI79+AJ79+AK79+AM79),""),"")</f>
        <v>1.08988918738396</v>
      </c>
      <c r="AN346" s="262">
        <f>IFERROR(IF(AND(COUNT(AJ79,AK79,AM79,AN79)=4,(AJ79+AK79+AM79+AN79)&lt;&gt;0),((N(AN222)+N(AN223)+N(AN224)+N(AN227)+N(AN245)+N(AN248))-N(AN154))/(AJ79+AK79+AM79+AN79),""),"")</f>
        <v>0.829370912462496</v>
      </c>
      <c r="AO346" s="262">
        <f>IFERROR(IF(AND(COUNT(AK79,AM79,AN79,AO79)=4,(AK79+AM79+AN79+AO79)&lt;&gt;0),((N(AO222)+N(AO223)+N(AO224)+N(AO227)+N(AO245)+N(AO248))-N(AO154))/(AK79+AM79+AN79+AO79),""),"")</f>
        <v>0.919292178463295</v>
      </c>
      <c r="AP346" s="262">
        <f>IFERROR(IF(AND(COUNT(AM79,AN79,AO79,AP79)=4,(AM79+AN79+AO79+AP79)&lt;&gt;0),((N(AP222)+N(AP223)+N(AP224)+N(AP227)+N(AP245)+N(AP248))-N(AP154))/(AM79+AN79+AO79+AP79),""),"")</f>
        <v>0.507076025253105</v>
      </c>
      <c r="AQ346" s="262">
        <f>IFERROR(IF(AND(COUNT(AM79,AN79,AO79,AP79)=4,(AM79+AN79+AO79+AP79)&lt;&gt;0),((N(AQ222)+N(AQ223)+N(AQ224)+N(AQ227)+N(AQ245)+N(AQ248))-N(AQ154))/(AM79+AN79+AO79+AP79),""),"")</f>
        <v>0.507076025253105</v>
      </c>
      <c r="AR346" s="262">
        <f>IFERROR(IF(AND(COUNT(AN79,AO79,AP79,AR79)=4,(AN79+AO79+AP79+AR79)&lt;&gt;0),((N(AR222)+N(AR223)+N(AR224)+N(AR227)+N(AR245)+N(AR248))-N(AR154))/(AN79+AO79+AP79+AR79),""),"")</f>
        <v>-0.0217631613022115</v>
      </c>
      <c r="AS346" s="262">
        <f>IFERROR(IF(AND(COUNT(AO79,AP79,AR79,AS79)=4,(AO79+AP79+AR79+AS79)&lt;&gt;0),((N(AS222)+N(AS223)+N(AS224)+N(AS227)+N(AS245)+N(AS248))-N(AS154))/(AO79+AP79+AR79+AS79),""),"")</f>
        <v>-0.255878718748276</v>
      </c>
      <c r="AT346" s="262">
        <f>IFERROR(IF(AND(COUNT(AP79,AR79,AS79,AT79)=4,(AP79+AR79+AS79+AT79)&lt;&gt;0),((N(AT222)+N(AT223)+N(AT224)+N(AT227)+N(AT245)+N(AT248))-N(AT154))/(AP79+AR79+AS79+AT79),""),"")</f>
        <v>-0.159240623140072</v>
      </c>
      <c r="AU346" s="262">
        <f>IFERROR(IF(AND(COUNT(AR79,AS79,AT79,AU79)=4,(AR79+AS79+AT79+AU79)&lt;&gt;0),((N(AU222)+N(AU223)+N(AU224)+N(AU227)+N(AU245)+N(AU248))-N(AU154))/(AR79+AS79+AT79+AU79),""),"")</f>
        <v>-0.572040460313414</v>
      </c>
      <c r="AV346" s="262">
        <f>IFERROR(IF(AND(COUNT(AR79,AS79,AT79,AU79)=4,(AR79+AS79+AT79+AU79)&lt;&gt;0),((N(AV222)+N(AV223)+N(AV224)+N(AV227)+N(AV245)+N(AV248))-N(AV154))/(AR79+AS79+AT79+AU79),""),"")</f>
        <v>-0.572040460313414</v>
      </c>
      <c r="AW346" s="262">
        <f>IFERROR(IF(AND(COUNT(AS79,AT79,AU79,AW79)=4,(AS79+AT79+AU79+AW79)&lt;&gt;0),((N(AW222)+N(AW223)+N(AW224)+N(AW227)+N(AW245)+N(AW248))-N(AW154))/(AS79+AT79+AU79+AW79),""),"")</f>
        <v>-1.1001672711616</v>
      </c>
      <c r="AX346" s="262">
        <f>IFERROR(IF(AND(COUNT(AT79,AU79,AW79,AX79)=4,(AT79+AU79+AW79+AX79)&lt;&gt;0),((N(AX222)+N(AX223)+N(AX224)+N(AX227)+N(AX245)+N(AX248))-N(AX154))/(AT79+AU79+AW79+AX79),""),"")</f>
        <v>-1.37100934730853</v>
      </c>
      <c r="AY346" s="262">
        <f>IFERROR(IF(AND(COUNT(AU79,AW79,AX79,AY79)=4,(AU79+AW79+AX79+AY79)&lt;&gt;0),((N(AY222)+N(AY223)+N(AY224)+N(AY227)+N(AY245)+N(AY248))-N(AY154))/(AU79+AW79+AX79+AY79),""),"")</f>
        <v>-1.2885946010949</v>
      </c>
      <c r="AZ346" s="262">
        <f>IFERROR(IF(AND(COUNT(AW79,AX79,AY79,AZ79)=4,(AW79+AX79+AY79+AZ79)&lt;&gt;0),((N(AZ222)+N(AZ223)+N(AZ224)+N(AZ227)+N(AZ245)+N(AZ248))-N(AZ154))/(AW79+AX79+AY79+AZ79),""),"")</f>
        <v>-1.72392607369785</v>
      </c>
      <c r="BA346" s="262">
        <f>IFERROR(IF(AND(COUNT(AW79,AX79,AY79,AZ79)=4,(AW79+AX79+AY79+AZ79)&lt;&gt;0),((N(BA222)+N(BA223)+N(BA224)+N(BA227)+N(BA245)+N(BA248))-N(BA154))/(AW79+AX79+AY79+AZ79),""),"")</f>
        <v>-1.72392607369785</v>
      </c>
      <c r="BB346" s="262">
        <f>IFERROR(IF(AND(COUNT(AX79,AY79,AZ79,BB79)=4,(AX79+AY79+AZ79+BB79)&lt;&gt;0),((N(BB222)+N(BB223)+N(BB224)+N(BB227)+N(BB245)+N(BB248))-N(BB154))/(AX79+AY79+AZ79+BB79),""),"")</f>
        <v>-2.29444644823149</v>
      </c>
      <c r="BC346" s="262">
        <f>IFERROR(IF(AND(COUNT(AY79,AZ79,BB79,BC79)=4,(AY79+AZ79+BB79+BC79)&lt;&gt;0),((N(BC222)+N(BC223)+N(BC224)+N(BC227)+N(BC245)+N(BC248))-N(BC154))/(AY79+AZ79+BB79+BC79),""),"")</f>
        <v>-2.60659037791223</v>
      </c>
      <c r="BD346" s="262">
        <f>IFERROR(IF(AND(COUNT(AZ79,BB79,BC79,BD79)=4,(AZ79+BB79+BC79+BD79)&lt;&gt;0),((N(BD222)+N(BD223)+N(BD224)+N(BD227)+N(BD245)+N(BD248))-N(BD154))/(AZ79+BB79+BC79+BD79),""),"")</f>
        <v>-2.56420407625331</v>
      </c>
      <c r="BE346" s="262">
        <f>IFERROR(IF(AND(COUNT(BB79,BC79,BD79,BE79)=4,(BB79+BC79+BD79+BE79)&lt;&gt;0),((N(BE222)+N(BE223)+N(BE224)+N(BE227)+N(BE245)+N(BE248))-N(BE154))/(BB79+BC79+BD79+BE79),""),"")</f>
        <v>-3.04969341637715</v>
      </c>
      <c r="BF346" s="262">
        <f>IFERROR(IF(AND(COUNT(BB79,BC79,BD79,BE79)=4,(BB79+BC79+BD79+BE79)&lt;&gt;0),((N(BF222)+N(BF223)+N(BF224)+N(BF227)+N(BF245)+N(BF248))-N(BF154))/(BB79+BC79+BD79+BE79),""),"")</f>
        <v>-3.04969341637715</v>
      </c>
      <c r="BG346" s="82" t="n"/>
      <c r="BH346" s="82" t="n"/>
      <c r="BI346" s="82" t="n"/>
      <c r="BJ346" s="82" t="n"/>
      <c r="BL346" s="82" t="n"/>
      <c r="BM346" s="82" t="n"/>
      <c r="BN346" s="82" t="n"/>
      <c r="BO346" s="82" t="n"/>
      <c r="BQ346" s="82" t="n"/>
      <c r="BR346" s="82" t="n"/>
      <c r="BS346" s="82" t="n"/>
      <c r="BT346" s="82" t="n"/>
      <c r="BV346" s="82" t="n"/>
      <c r="BW346" s="82" t="n"/>
      <c r="BX346" s="82" t="n"/>
      <c r="BY346" s="82" t="n"/>
      <c r="CA346" s="82" t="n"/>
      <c r="CB346" s="82" t="n"/>
      <c r="CC346" s="82" t="n"/>
      <c r="CD346" s="82" t="n"/>
      <c r="CF346" s="82" t="n"/>
      <c r="CG346" s="82" t="n"/>
      <c r="CH346" s="82" t="n"/>
      <c r="CI346" s="82" t="n"/>
      <c r="CK346" s="82" t="n"/>
      <c r="CL346" s="82" t="n"/>
      <c r="CM346" s="82" t="n"/>
      <c r="CN346" s="82" t="n"/>
      <c r="CP346" s="82" t="n"/>
      <c r="CQ346" s="82" t="n"/>
      <c r="CR346" s="82" t="n"/>
      <c r="CS346" s="82" t="n"/>
      <c r="CU346" s="82" t="n"/>
      <c r="CV346" s="82" t="n"/>
      <c r="CW346" s="82" t="n"/>
      <c r="CX346" s="82" t="n"/>
    </row>
    <row r="347" customFormat="1" s="77">
      <c r="A347" s="76" t="n"/>
      <c r="B347" s="76" t="n"/>
      <c r="C347" s="83" t="inlineStr">
        <is>
          <t>NET DEBT (EX IFRS 16.) / EBITDA (LTM)</t>
        </is>
      </c>
      <c r="D347" s="82" t="str">
        <f>IFERROR(SUM((D222+D223+D227)-D154)/(D79*4),"")</f>
        <v/>
      </c>
      <c r="E347" s="82" t="str">
        <f>IFERROR(SUM((E222+E223+E227)-E154)/(E79*4),"")</f>
        <v/>
      </c>
      <c r="F347" s="82" t="str">
        <f>IFERROR(SUM((F222+F223+F227)-F154)/(F79*4),"")</f>
        <v/>
      </c>
      <c r="G347" s="82" t="str">
        <f>IFERROR(SUM((G222+G223+G227)-G154)/(G79*4),"")</f>
        <v/>
      </c>
      <c r="H347" s="262" t="str">
        <f>IFERROR(IF(AND(COUNT(H79)=1,(H79)&lt;&gt;0),((N(H222)+N(H223)+N(H227)+N(H248))-N(H154))/(H79),""),"")</f>
        <v/>
      </c>
      <c r="I347" s="262" t="str">
        <f>""</f>
        <v/>
      </c>
      <c r="J347" s="262" t="str">
        <f>""</f>
        <v/>
      </c>
      <c r="K347" s="262" t="str">
        <f>""</f>
        <v/>
      </c>
      <c r="L347" s="262">
        <f>IFERROR(IF(AND(COUNT(I79,J79,K79,L79)=4,(I79+J79+K79+L79)&lt;&gt;0),((N(L222)+N(L223)+N(L227)+N(L248))-N(L154))/(I79+J79+K79+L79),""),"")</f>
        <v>0.137719900889552</v>
      </c>
      <c r="M347" s="262">
        <f>IFERROR(IF(AND(COUNT(I79,J79,K79,L79)=4,(I79+J79+K79+L79)&lt;&gt;0),((N(M222)+N(M223)+N(M227)+N(M248))-N(M154))/(I79+J79+K79+L79),""),"")</f>
        <v>0.137719900889552</v>
      </c>
      <c r="N347" s="262">
        <f>IFERROR(IF(AND(COUNT(J79,K79,L79,N79)=4,(J79+K79+L79+N79)&lt;&gt;0),((N(N222)+N(N223)+N(N227)+N(N248))-N(N154))/(J79+K79+L79+N79),""),"")</f>
        <v>0.342995541241748</v>
      </c>
      <c r="O347" s="262">
        <f>IFERROR(IF(AND(COUNT(K79,L79,N79,O79)=4,(K79+L79+N79+O79)&lt;&gt;0),((N(O222)+N(O223)+N(O227)+N(O248))-N(O154))/(K79+L79+N79+O79),""),"")</f>
        <v>0.125973211407726</v>
      </c>
      <c r="P347" s="262">
        <f>IFERROR(IF(AND(COUNT(L79,N79,O79,P79)=4,(L79+N79+O79+P79)&lt;&gt;0),((N(P222)+N(P223)+N(P227)+N(P248))-N(P154))/(L79+N79+O79+P79),""),"")</f>
        <v>0.751791956832473</v>
      </c>
      <c r="Q347" s="262">
        <f>IFERROR(IF(AND(COUNT(N79,O79,P79,Q79)=4,(N79+O79+P79+Q79)&lt;&gt;0),((N(Q222)+N(Q223)+N(Q227)+N(Q248))-N(Q154))/(N79+O79+P79+Q79),""),"")</f>
        <v>0.0200052979340383</v>
      </c>
      <c r="R347" s="262">
        <f>IFERROR(IF(AND(COUNT(N79,O79,P79,Q79)=4,(N79+O79+P79+Q79)&lt;&gt;0),((N(R222)+N(R223)+N(R227)+N(R248))-N(R154))/(N79+O79+P79+Q79),""),"")</f>
        <v>0.0200052979340383</v>
      </c>
      <c r="S347" s="262">
        <f>IFERROR(IF(AND(COUNT(O79,P79,Q79,S79)=4,(O79+P79+Q79+S79)&lt;&gt;0),((N(S222)+N(S223)+N(S227)+N(S248))-N(S154))/(O79+P79+Q79+S79),""),"")</f>
        <v>0.0752500832907838</v>
      </c>
      <c r="T347" s="262">
        <f>IFERROR(IF(AND(COUNT(P79,Q79,S79,T79)=4,(P79+Q79+S79+T79)&lt;&gt;0),((N(T222)+N(T223)+N(T227)+N(T248))-N(T154))/(P79+Q79+S79+T79),""),"")</f>
        <v>0.232089825848844</v>
      </c>
      <c r="U347" s="262">
        <f>IFERROR(IF(AND(COUNT(Q79,S79,T79,U79)=4,(Q79+S79+T79+U79)&lt;&gt;0),((N(U222)+N(U223)+N(U227)+N(U248))-N(U154))/(Q79+S79+T79+U79),""),"")</f>
        <v>0.340814104767839</v>
      </c>
      <c r="V347" s="262">
        <f>IFERROR(IF(AND(COUNT(S79,T79,U79,V79)=4,(S79+T79+U79+V79)&lt;&gt;0),((N(V222)+N(V223)+N(V227)+N(V248))-N(V154))/(S79+T79+U79+V79),""),"")</f>
        <v>0.240355113134887</v>
      </c>
      <c r="W347" s="262">
        <f>IFERROR(IF(AND(COUNT(S79,T79,U79,V79)=4,(S79+T79+U79+V79)&lt;&gt;0),((N(W222)+N(W223)+N(W227)+N(W248))-N(W154))/(S79+T79+U79+V79),""),"")</f>
        <v>0.240355113134887</v>
      </c>
      <c r="X347" s="262">
        <f>IFERROR(IF(AND(COUNT(T79,U79,V79,X79)=4,(T79+U79+V79+X79)&lt;&gt;0),((N(X222)+N(X223)+N(X227)+N(X248))-N(X154))/(T79+U79+V79+X79),""),"")</f>
        <v>0.221490464805712</v>
      </c>
      <c r="Y347" s="262">
        <f>IFERROR(IF(AND(COUNT(U79,V79,X79,Y79)=4,(U79+V79+X79+Y79)&lt;&gt;0),((N(Y222)+N(Y223)+N(Y227)+N(Y248))-N(Y154))/(U79+V79+X79+Y79),""),"")</f>
        <v>0.268774799393442</v>
      </c>
      <c r="Z347" s="262">
        <f>IFERROR(IF(AND(COUNT(V79,X79,Y79,Z79)=4,(V79+X79+Y79+Z79)&lt;&gt;0),((N(Z222)+N(Z223)+N(Z227)+N(Z248))-N(Z154))/(V79+X79+Y79+Z79),""),"")</f>
        <v>0.480778916380746</v>
      </c>
      <c r="AA347" s="262">
        <f>IFERROR(IF(AND(COUNT(X79,Y79,Z79,AA79)=4,(X79+Y79+Z79+AA79)&lt;&gt;0),((N(AA222)+N(AA223)+N(AA227)+N(AA248))-N(AA154))/(X79+Y79+Z79+AA79),""),"")</f>
        <v>0.261291597082047</v>
      </c>
      <c r="AB347" s="262">
        <f>IFERROR(IF(AND(COUNT(X79,Y79,Z79,AA79)=4,(X79+Y79+Z79+AA79)&lt;&gt;0),((N(AB222)+N(AB223)+N(AB227)+N(AB248))-N(AB154))/(X79+Y79+Z79+AA79),""),"")</f>
        <v>0.261291597082047</v>
      </c>
      <c r="AC347" s="262">
        <f>IFERROR(IF(AND(COUNT(Y79,Z79,AA79,AC79)=4,(Y79+Z79+AA79+AC79)&lt;&gt;0),((N(AC222)+N(AC223)+N(AC227)+N(AC248))-N(AC154))/(Y79+Z79+AA79+AC79),""),"")</f>
        <v>0.25506465162421</v>
      </c>
      <c r="AD347" s="262">
        <f>IFERROR(IF(AND(COUNT(Z79,AA79,AC79,AD79)=4,(Z79+AA79+AC79+AD79)&lt;&gt;0),((N(AD222)+N(AD223)+N(AD227)+N(AD248))-N(AD154))/(Z79+AA79+AC79+AD79),""),"")</f>
        <v>0.41171156798429</v>
      </c>
      <c r="AE347" s="262">
        <f>IFERROR(IF(AND(COUNT(AA79,AC79,AD79,AE79)=4,(AA79+AC79+AD79+AE79)&lt;&gt;0),((N(AE222)+N(AE223)+N(AE227)+N(AE248))-N(AE154))/(AA79+AC79+AD79+AE79),""),"")</f>
        <v>0.508856326799964</v>
      </c>
      <c r="AF347" s="262">
        <f>IFERROR(IF(AND(COUNT(AB79,AD79,AE79,AF79)=4,(AB79+AD79+AE79+AF79)&lt;&gt;0),((N(AF222)+N(AF223)+N(AF227)+N(AF248))-N(AF154))/(AB79+AD79+AE79+AF79),""),"")</f>
        <v>0.232608159448981</v>
      </c>
      <c r="AG347" s="262">
        <f>IFERROR(IF(AND(COUNT(AC79,AD79,AE79,AF79)=4,(AC79+AD79+AE79+AF79)&lt;&gt;0),((N(AG222)+N(AG223)+N(AG227)+N(AG248))-N(AG154))/(AC79+AD79+AE79+AF79),""),"")</f>
        <v>0.377391696510004</v>
      </c>
      <c r="AH347" s="262">
        <f>IFERROR(IF(AND(COUNT(AD79,AF79,AG79,AH79)=4,(AD79+AF79+AG79+AH79)&lt;&gt;0),((N(AH222)+N(AH223)+N(AH227)+N(AH248))-N(AH154))/(AD79+AF79+AG79+AH79),""),"")</f>
        <v>0.155309248710179</v>
      </c>
      <c r="AI347" s="262">
        <f>IFERROR(IF(AND(COUNT(AE79,AG79,AH79,AI79)=4,(AE79+AG79+AH79+AI79)&lt;&gt;0),((N(AI222)+N(AI223)+N(AI227)+N(AI248))-N(AI154))/(AE79+AG79+AH79+AI79),""),"")</f>
        <v>0.22462118892709</v>
      </c>
      <c r="AJ347" s="262">
        <f>IFERROR(IF(AND(COUNT(AF79,AH79,AI79,AJ79)=4,(AF79+AH79+AI79+AJ79)&lt;&gt;0),((N(AJ222)+N(AJ223)+N(AJ227)+N(AJ248))-N(AJ154))/(AF79+AH79+AI79+AJ79),""),"")</f>
        <v>0.682013884988005</v>
      </c>
      <c r="AK347" s="262">
        <f>IFERROR(IF(AND(COUNT(AH79,AI79,AJ79,AK79)=4,(AH79+AI79+AJ79+AK79)&lt;&gt;0),((N(AK222)+N(AK223)+N(AK227)+N(AK248))-N(AK154))/(AH79+AI79+AJ79+AK79),""),"")</f>
        <v>0.265142405894404</v>
      </c>
      <c r="AL347" s="262">
        <f>IFERROR(IF(AND(COUNT(AH79,AI79,AJ79,AK79)=4,(AH79+AI79+AJ79+AK79)&lt;&gt;0),((N(AL222)+N(AL223)+N(AL227)+N(AL248))-N(AL154))/(AH79+AI79+AJ79+AK79),""),"")</f>
        <v>0.265142405894404</v>
      </c>
      <c r="AM347" s="262">
        <f>IFERROR(IF(AND(COUNT(AI79,AJ79,AK79,AM79)=4,(AI79+AJ79+AK79+AM79)&lt;&gt;0),((N(AM222)+N(AM223)+N(AM227)+N(AM248))-N(AM154))/(AI79+AJ79+AK79+AM79),""),"")</f>
        <v>-0.20722836044303</v>
      </c>
      <c r="AN347" s="262">
        <f>IFERROR(IF(AND(COUNT(AJ79,AK79,AM79,AN79)=4,(AJ79+AK79+AM79+AN79)&lt;&gt;0),((N(AN222)+N(AN223)+N(AN227)+N(AN248))-N(AN154))/(AJ79+AK79+AM79+AN79),""),"")</f>
        <v>-0.417831120090072</v>
      </c>
      <c r="AO347" s="262">
        <f>IFERROR(IF(AND(COUNT(AK79,AM79,AN79,AO79)=4,(AK79+AM79+AN79+AO79)&lt;&gt;0),((N(AO222)+N(AO223)+N(AO227)+N(AO248))-N(AO154))/(AK79+AM79+AN79+AO79),""),"")</f>
        <v>-0.273652888285488</v>
      </c>
      <c r="AP347" s="262">
        <f>IFERROR(IF(AND(COUNT(AM79,AN79,AO79,AP79)=4,(AM79+AN79+AO79+AP79)&lt;&gt;0),((N(AP222)+N(AP223)+N(AP227)+N(AP248))-N(AP154))/(AM79+AN79+AO79+AP79),""),"")</f>
        <v>-0.637082598171964</v>
      </c>
      <c r="AQ347" s="262">
        <f>IFERROR(IF(AND(COUNT(AM79,AN79,AO79,AP79)=4,(AM79+AN79+AO79+AP79)&lt;&gt;0),((N(AQ222)+N(AQ223)+N(AQ227)+N(AQ248))-N(AQ154))/(AM79+AN79+AO79+AP79),""),"")</f>
        <v>-0.637082598171964</v>
      </c>
      <c r="AR347" s="262">
        <f>IFERROR(IF(AND(COUNT(AN79,AO79,AP79,AR79)=4,(AN79+AO79+AP79+AR79)&lt;&gt;0),((N(AR222)+N(AR223)+N(AR227)+N(AR248))-N(AR154))/(AN79+AO79+AP79+AR79),""),"")</f>
        <v>-1.12682049181637</v>
      </c>
      <c r="AS347" s="262">
        <f>IFERROR(IF(AND(COUNT(AO79,AP79,AR79,AS79)=4,(AO79+AP79+AR79+AS79)&lt;&gt;0),((N(AS222)+N(AS223)+N(AS227)+N(AS248))-N(AS154))/(AO79+AP79+AR79+AS79),""),"")</f>
        <v>-1.32273096501926</v>
      </c>
      <c r="AT347" s="262">
        <f>IFERROR(IF(AND(COUNT(AP79,AR79,AS79,AT79)=4,(AP79+AR79+AS79+AT79)&lt;&gt;0),((N(AT222)+N(AT223)+N(AT227)+N(AT248))-N(AT154))/(AP79+AR79+AS79+AT79),""),"")</f>
        <v>-1.18089041956231</v>
      </c>
      <c r="AU347" s="262">
        <f>IFERROR(IF(AND(COUNT(AR79,AS79,AT79,AU79)=4,(AR79+AS79+AT79+AU79)&lt;&gt;0),((N(AU222)+N(AU223)+N(AU227)+N(AU248))-N(AU154))/(AR79+AS79+AT79+AU79),""),"")</f>
        <v>-1.55295386187902</v>
      </c>
      <c r="AV347" s="262">
        <f>IFERROR(IF(AND(COUNT(AR79,AS79,AT79,AU79)=4,(AR79+AS79+AT79+AU79)&lt;&gt;0),((N(AV222)+N(AV223)+N(AV227)+N(AV248))-N(AV154))/(AR79+AS79+AT79+AU79),""),"")</f>
        <v>-1.55295386187902</v>
      </c>
      <c r="AW347" s="262">
        <f>IFERROR(IF(AND(COUNT(AS79,AT79,AU79,AW79)=4,(AS79+AT79+AU79+AW79)&lt;&gt;0),((N(AW222)+N(AW223)+N(AW227)+N(AW248))-N(AW154))/(AS79+AT79+AU79+AW79),""),"")</f>
        <v>-2.04853197273808</v>
      </c>
      <c r="AX347" s="262">
        <f>IFERROR(IF(AND(COUNT(AT79,AU79,AW79,AX79)=4,(AT79+AU79+AW79+AX79)&lt;&gt;0),((N(AX222)+N(AX223)+N(AX227)+N(AX248))-N(AX154))/(AT79+AU79+AW79+AX79),""),"")</f>
        <v>-2.28750668120576</v>
      </c>
      <c r="AY347" s="262">
        <f>IFERROR(IF(AND(COUNT(AU79,AW79,AX79,AY79)=4,(AU79+AW79+AX79+AY79)&lt;&gt;0),((N(AY222)+N(AY223)+N(AY227)+N(AY248))-N(AY154))/(AU79+AW79+AX79+AY79),""),"")</f>
        <v>-2.16730512695558</v>
      </c>
      <c r="AZ347" s="262">
        <f>IFERROR(IF(AND(COUNT(AW79,AX79,AY79,AZ79)=4,(AW79+AX79+AY79+AZ79)&lt;&gt;0),((N(AZ222)+N(AZ223)+N(AZ227)+N(AZ248))-N(AZ154))/(AW79+AX79+AY79+AZ79),""),"")</f>
        <v>-2.56850599505177</v>
      </c>
      <c r="BA347" s="262">
        <f>IFERROR(IF(AND(COUNT(AW79,AX79,AY79,AZ79)=4,(AW79+AX79+AY79+AZ79)&lt;&gt;0),((N(BA222)+N(BA223)+N(BA227)+N(BA248))-N(BA154))/(AW79+AX79+AY79+AZ79),""),"")</f>
        <v>-2.56850599505177</v>
      </c>
      <c r="BB347" s="262">
        <f>IFERROR(IF(AND(COUNT(AX79,AY79,AZ79,BB79)=4,(AX79+AY79+AZ79+BB79)&lt;&gt;0),((N(BB222)+N(BB223)+N(BB227)+N(BB248))-N(BB154))/(AX79+AY79+AZ79+BB79),""),"")</f>
        <v>-3.11184161529985</v>
      </c>
      <c r="BC347" s="262">
        <f>IFERROR(IF(AND(COUNT(AY79,AZ79,BB79,BC79)=4,(AY79+AZ79+BB79+BC79)&lt;&gt;0),((N(BC222)+N(BC223)+N(BC227)+N(BC248))-N(BC154))/(AY79+AZ79+BB79+BC79),""),"")</f>
        <v>-3.39731559182959</v>
      </c>
      <c r="BD347" s="262">
        <f>IFERROR(IF(AND(COUNT(AZ79,BB79,BC79,BD79)=4,(AZ79+BB79+BC79+BD79)&lt;&gt;0),((N(BD222)+N(BD223)+N(BD227)+N(BD248))-N(BD154))/(AZ79+BB79+BC79+BD79),""),"")</f>
        <v>-3.32323554670538</v>
      </c>
      <c r="BE347" s="262">
        <f>IFERROR(IF(AND(COUNT(BB79,BC79,BD79,BE79)=4,(BB79+BC79+BD79+BE79)&lt;&gt;0),((N(BE222)+N(BE223)+N(BE227)+N(BE248))-N(BE154))/(BB79+BC79+BD79+BE79),""),"")</f>
        <v>-3.78003249730767</v>
      </c>
      <c r="BF347" s="262">
        <f>IFERROR(IF(AND(COUNT(BB79,BC79,BD79,BE79)=4,(BB79+BC79+BD79+BE79)&lt;&gt;0),((N(BF222)+N(BF223)+N(BF227)+N(BF248))-N(BF154))/(BB79+BC79+BD79+BE79),""),"")</f>
        <v>-3.78003249730767</v>
      </c>
      <c r="BG347" s="82" t="n"/>
      <c r="BH347" s="82" t="n"/>
      <c r="BI347" s="82" t="n"/>
      <c r="BJ347" s="82" t="n"/>
      <c r="BL347" s="82" t="n"/>
      <c r="BM347" s="82" t="n"/>
      <c r="BN347" s="82" t="n"/>
      <c r="BO347" s="82" t="n"/>
      <c r="BQ347" s="82" t="n"/>
      <c r="BR347" s="82" t="n"/>
      <c r="BS347" s="82" t="n"/>
      <c r="BT347" s="82" t="n"/>
      <c r="BV347" s="82" t="n"/>
      <c r="BW347" s="82" t="n"/>
      <c r="BX347" s="82" t="n"/>
      <c r="BY347" s="82" t="n"/>
      <c r="CA347" s="82" t="n"/>
      <c r="CB347" s="82" t="n"/>
      <c r="CC347" s="82" t="n"/>
      <c r="CD347" s="82" t="n"/>
      <c r="CF347" s="82" t="n"/>
      <c r="CG347" s="82" t="n"/>
      <c r="CH347" s="82" t="n"/>
      <c r="CI347" s="82" t="n"/>
      <c r="CK347" s="82" t="n"/>
      <c r="CL347" s="82" t="n"/>
      <c r="CM347" s="82" t="n"/>
      <c r="CN347" s="82" t="n"/>
      <c r="CP347" s="82" t="n"/>
      <c r="CQ347" s="82" t="n"/>
      <c r="CR347" s="82" t="n"/>
      <c r="CS347" s="82" t="n"/>
      <c r="CU347" s="82" t="n"/>
      <c r="CV347" s="82" t="n"/>
      <c r="CW347" s="82" t="n"/>
      <c r="CX347" s="82" t="n"/>
    </row>
    <row r="348" customFormat="1" s="77">
      <c r="A348" s="76" t="n"/>
      <c r="B348" s="76" t="n"/>
      <c r="C348" s="77" t="inlineStr">
        <is>
          <t>INTEREST COVERAGE (EBIT / INTEREST, LTM)</t>
        </is>
      </c>
      <c r="D348" s="82" t="str">
        <f>IFERROR(D83/-D84,"")</f>
        <v/>
      </c>
      <c r="E348" s="82" t="str">
        <f>IFERROR(E83/-E84,"")</f>
        <v/>
      </c>
      <c r="F348" s="82" t="str">
        <f>IFERROR(F83/-F84,"")</f>
        <v/>
      </c>
      <c r="G348" s="82" t="str">
        <f>IFERROR(G83/-G84,"")</f>
        <v/>
      </c>
      <c r="H348" s="262" t="str">
        <f>IFERROR(IF(AND(COUNT(H83)=1,(H84)&lt;&gt;0),(H83)/-(H84),""),"")</f>
        <v/>
      </c>
      <c r="I348" s="262" t="str">
        <f>""</f>
        <v/>
      </c>
      <c r="J348" s="262" t="str">
        <f>""</f>
        <v/>
      </c>
      <c r="K348" s="262" t="str">
        <f>""</f>
        <v/>
      </c>
      <c r="L348" s="262">
        <f>IFERROR(IF(AND(COUNT(I83,J83,K83,L83)=4,(I84+J84+K84+L84)&lt;&gt;0),(I83+J83+K83+L83)/-(I84+J84+K84+L84),""),"")</f>
        <v>3.39472288817252</v>
      </c>
      <c r="M348" s="262">
        <f>IFERROR(IF(AND(COUNT(I83,J83,K83,L83)=4,(I84+J84+K84+L84)&lt;&gt;0),(I83+J83+K83+L83)/-(I84+J84+K84+L84),""),"")</f>
        <v>3.39472288817252</v>
      </c>
      <c r="N348" s="262">
        <f>IFERROR(IF(AND(COUNT(J83,K83,L83,N83)=4,(J84+K84+L84+N84)&lt;&gt;0),(J83+K83+L83+N83)/-(J84+K84+L84+N84),""),"")</f>
        <v>3.29590939192422</v>
      </c>
      <c r="O348" s="262">
        <f>IFERROR(IF(AND(COUNT(K83,L83,N83,O83)=4,(K84+L84+N84+O84)&lt;&gt;0),(K83+L83+N83+O83)/-(K84+L84+N84+O84),""),"")</f>
        <v>3.24740316591483</v>
      </c>
      <c r="P348" s="262">
        <f>IFERROR(IF(AND(COUNT(L83,N83,O83,P83)=4,(L84+N84+O84+P84)&lt;&gt;0),(L83+N83+O83+P83)/-(L84+N84+O84+P84),""),"")</f>
        <v>3.18487400268231</v>
      </c>
      <c r="Q348" s="262">
        <f>IFERROR(IF(AND(COUNT(N83,O83,P83,Q83)=4,(N84+O84+P84+Q84)&lt;&gt;0),(N83+O83+P83+Q83)/-(N84+O84+P84+Q84),""),"")</f>
        <v>2.963911082677</v>
      </c>
      <c r="R348" s="262">
        <f>IFERROR(IF(AND(COUNT(N83,O83,P83,Q83)=4,(N84+O84+P84+Q84)&lt;&gt;0),(N83+O83+P83+Q83)/-(N84+O84+P84+Q84),""),"")</f>
        <v>2.963911082677</v>
      </c>
      <c r="S348" s="262">
        <f>IFERROR(IF(AND(COUNT(O83,P83,Q83,S83)=4,(O84+P84+Q84+S84)&lt;&gt;0),(O83+P83+Q83+S83)/-(O84+P84+Q84+S84),""),"")</f>
        <v>2.76753486833608</v>
      </c>
      <c r="T348" s="262">
        <f>IFERROR(IF(AND(COUNT(P83,Q83,S83,T83)=4,(P84+Q84+S84+T84)&lt;&gt;0),(P83+Q83+S83+T83)/-(P84+Q84+S84+T84),""),"")</f>
        <v>2.57934675794381</v>
      </c>
      <c r="U348" s="262">
        <f>IFERROR(IF(AND(COUNT(Q83,S83,T83,U83)=4,(Q84+S84+T84+U84)&lt;&gt;0),(Q83+S83+T83+U83)/-(Q84+S84+T84+U84),""),"")</f>
        <v>2.51309646463259</v>
      </c>
      <c r="V348" s="262">
        <f>IFERROR(IF(AND(COUNT(S83,T83,U83,V83)=4,(S84+T84+U84+V84)&lt;&gt;0),(S83+T83+U83+V83)/-(S84+T84+U84+V84),""),"")</f>
        <v>2.59935135246864</v>
      </c>
      <c r="W348" s="262">
        <f>IFERROR(IF(AND(COUNT(S83,T83,U83,V83)=4,(S84+T84+U84+V84)&lt;&gt;0),(S83+T83+U83+V83)/-(S84+T84+U84+V84),""),"")</f>
        <v>2.59935135246864</v>
      </c>
      <c r="X348" s="262">
        <f>IFERROR(IF(AND(COUNT(T83,U83,V83,X83)=4,(T84+U84+V84+X84)&lt;&gt;0),(T83+U83+V83+X83)/-(T84+U84+V84+X84),""),"")</f>
        <v>2.54067680767017</v>
      </c>
      <c r="Y348" s="262">
        <f>IFERROR(IF(AND(COUNT(U83,V83,X83,Y83)=4,(U84+V84+X84+Y84)&lt;&gt;0),(U83+V83+X83+Y83)/-(U84+V84+X84+Y84),""),"")</f>
        <v>2.49166884496173</v>
      </c>
      <c r="Z348" s="262">
        <f>IFERROR(IF(AND(COUNT(V83,X83,Y83,Z83)=4,(V84+X84+Y84+Z84)&lt;&gt;0),(V83+X83+Y83+Z83)/-(V84+X84+Y84+Z84),""),"")</f>
        <v>2.52637036787966</v>
      </c>
      <c r="AA348" s="262">
        <f>IFERROR(IF(AND(COUNT(X83,Y83,Z83,AA83)=4,(X84+Y84+Z84+AA84)&lt;&gt;0),(X83+Y83+Z83+AA83)/-(X84+Y84+Z84+AA84),""),"")</f>
        <v>2.33117413348252</v>
      </c>
      <c r="AB348" s="262">
        <f>IFERROR(IF(AND(COUNT(X83,Y83,Z83,AA83)=4,(X84+Y84+Z84+AA84)&lt;&gt;0),(X83+Y83+Z83+AA83)/-(X84+Y84+Z84+AA84),""),"")</f>
        <v>2.33117413348252</v>
      </c>
      <c r="AC348" s="262">
        <f>IFERROR(IF(AND(COUNT(Y83,Z83,AA83,AC83)=4,(Y84+Z84+AA84+AC84)&lt;&gt;0),(Y83+Z83+AA83+AC83)/-(Y84+Z84+AA84+AC84),""),"")</f>
        <v>2.25096429517466</v>
      </c>
      <c r="AD348" s="262">
        <f>IFERROR(IF(AND(COUNT(Z83,AA83,AC83,AD83)=4,(Z84+AA84+AC84+AD84)&lt;&gt;0),(Z83+AA83+AC83+AD83)/-(Z84+AA84+AC84+AD84),""),"")</f>
        <v>2.30067545546449</v>
      </c>
      <c r="AE348" s="262">
        <f>IFERROR(IF(AND(COUNT(AA83,AC83,AD83,AE83)=4,(AA84+AC84+AD84+AE84)&lt;&gt;0),(AA83+AC83+AD83+AE83)/-(AA84+AC84+AD84+AE84),""),"")</f>
        <v>2.20290512855158</v>
      </c>
      <c r="AF348" s="262">
        <f>IFERROR(IF(AND(COUNT(AB83,AD83,AE83,AF83)=4,(AB84+AD84+AE84+AF84)&lt;&gt;0),(AB83+AD83+AE83+AF83)/-(AB84+AD84+AE84+AF84),""),"")</f>
        <v>2.06106636056636</v>
      </c>
      <c r="AG348" s="262">
        <f>IFERROR(IF(AND(COUNT(AC83,AD83,AE83,AF83)=4,(AC84+AD84+AE84+AF84)&lt;&gt;0),(AC83+AD83+AE83+AF83)/-(AC84+AD84+AE84+AF84),""),"")</f>
        <v>1.84717108488822</v>
      </c>
      <c r="AH348" s="262">
        <f>IFERROR(IF(AND(COUNT(AD83,AF83,AG83,AH83)=4,(AD84+AF84+AG84+AH84)&lt;&gt;0),(AD83+AF83+AG83+AH83)/-(AD84+AF84+AG84+AH84),""),"")</f>
        <v>1.7057913519869</v>
      </c>
      <c r="AI348" s="262">
        <f>IFERROR(IF(AND(COUNT(AE83,AG83,AH83,AI83)=4,(AE84+AG84+AH84+AI84)&lt;&gt;0),(AE83+AG83+AH83+AI83)/-(AE84+AG84+AH84+AI84),""),"")</f>
        <v>1.75449564172886</v>
      </c>
      <c r="AJ348" s="262" t="str">
        <f>IFERROR(IF(AND(COUNT(AF83,AH83,AI83,AJ83)=4,(AF84+AH84+AI84+AJ84)&lt;&gt;0),(AF83+AH83+AI83+AJ83)/-(AF84+AH84+AI84+AJ84),""),"")</f>
        <v/>
      </c>
      <c r="AK348" s="262" t="str">
        <f>IFERROR(IF(AND(COUNT(AH83,AI83,AJ83,AK83)=4,(AH84+AI84+AJ84+AK84)&lt;&gt;0),(AH83+AI83+AJ83+AK83)/-(AH84+AI84+AJ84+AK84),""),"")</f>
        <v/>
      </c>
      <c r="AL348" s="262" t="str">
        <f>IFERROR(IF(AND(COUNT(AH83,AI83,AJ83,AK83)=4,(AH84+AI84+AJ84+AK84)&lt;&gt;0),(AH83+AI83+AJ83+AK83)/-(AH84+AI84+AJ84+AK84),""),"")</f>
        <v/>
      </c>
      <c r="AM348" s="262" t="str">
        <f>IFERROR(IF(AND(COUNT(AI83,AJ83,AK83,AM83)=4,(AI84+AJ84+AK84+AM84)&lt;&gt;0),(AI83+AJ83+AK83+AM83)/-(AI84+AJ84+AK84+AM84),""),"")</f>
        <v/>
      </c>
      <c r="AN348" s="262" t="str">
        <f>IFERROR(IF(AND(COUNT(AJ83,AK83,AM83,AN83)=4,(AJ84+AK84+AM84+AN84)&lt;&gt;0),(AJ83+AK83+AM83+AN83)/-(AJ84+AK84+AM84+AN84),""),"")</f>
        <v/>
      </c>
      <c r="AO348" s="262" t="str">
        <f>IFERROR(IF(AND(COUNT(AK83,AM83,AN83,AO83)=4,(AK84+AM84+AN84+AO84)&lt;&gt;0),(AK83+AM83+AN83+AO83)/-(AK84+AM84+AN84+AO84),""),"")</f>
        <v/>
      </c>
      <c r="AP348" s="262" t="str">
        <f>IFERROR(IF(AND(COUNT(AM83,AN83,AO83,AP83)=4,(AM84+AN84+AO84+AP84)&lt;&gt;0),(AM83+AN83+AO83+AP83)/-(AM84+AN84+AO84+AP84),""),"")</f>
        <v/>
      </c>
      <c r="AQ348" s="262" t="str">
        <f>IFERROR(IF(AND(COUNT(AM83,AN83,AO83,AP83)=4,(AM84+AN84+AO84+AP84)&lt;&gt;0),(AM83+AN83+AO83+AP83)/-(AM84+AN84+AO84+AP84),""),"")</f>
        <v/>
      </c>
      <c r="AR348" s="262" t="str">
        <f>IFERROR(IF(AND(COUNT(AN83,AO83,AP83,AR83)=4,(AN84+AO84+AP84+AR84)&lt;&gt;0),(AN83+AO83+AP83+AR83)/-(AN84+AO84+AP84+AR84),""),"")</f>
        <v/>
      </c>
      <c r="AS348" s="262" t="str">
        <f>IFERROR(IF(AND(COUNT(AO83,AP83,AR83,AS83)=4,(AO84+AP84+AR84+AS84)&lt;&gt;0),(AO83+AP83+AR83+AS83)/-(AO84+AP84+AR84+AS84),""),"")</f>
        <v/>
      </c>
      <c r="AT348" s="262" t="str">
        <f>IFERROR(IF(AND(COUNT(AP83,AR83,AS83,AT83)=4,(AP84+AR84+AS84+AT84)&lt;&gt;0),(AP83+AR83+AS83+AT83)/-(AP84+AR84+AS84+AT84),""),"")</f>
        <v/>
      </c>
      <c r="AU348" s="262" t="str">
        <f>IFERROR(IF(AND(COUNT(AR83,AS83,AT83,AU83)=4,(AR84+AS84+AT84+AU84)&lt;&gt;0),(AR83+AS83+AT83+AU83)/-(AR84+AS84+AT84+AU84),""),"")</f>
        <v/>
      </c>
      <c r="AV348" s="262" t="str">
        <f>IFERROR(IF(AND(COUNT(AR83,AS83,AT83,AU83)=4,(AR84+AS84+AT84+AU84)&lt;&gt;0),(AR83+AS83+AT83+AU83)/-(AR84+AS84+AT84+AU84),""),"")</f>
        <v/>
      </c>
      <c r="AW348" s="262" t="str">
        <f>IFERROR(IF(AND(COUNT(AS83,AT83,AU83,AW83)=4,(AS84+AT84+AU84+AW84)&lt;&gt;0),(AS83+AT83+AU83+AW83)/-(AS84+AT84+AU84+AW84),""),"")</f>
        <v/>
      </c>
      <c r="AX348" s="262" t="str">
        <f>IFERROR(IF(AND(COUNT(AT83,AU83,AW83,AX83)=4,(AT84+AU84+AW84+AX84)&lt;&gt;0),(AT83+AU83+AW83+AX83)/-(AT84+AU84+AW84+AX84),""),"")</f>
        <v/>
      </c>
      <c r="AY348" s="262" t="str">
        <f>IFERROR(IF(AND(COUNT(AU83,AW83,AX83,AY83)=4,(AU84+AW84+AX84+AY84)&lt;&gt;0),(AU83+AW83+AX83+AY83)/-(AU84+AW84+AX84+AY84),""),"")</f>
        <v/>
      </c>
      <c r="AZ348" s="262" t="str">
        <f>IFERROR(IF(AND(COUNT(AW83,AX83,AY83,AZ83)=4,(AW84+AX84+AY84+AZ84)&lt;&gt;0),(AW83+AX83+AY83+AZ83)/-(AW84+AX84+AY84+AZ84),""),"")</f>
        <v/>
      </c>
      <c r="BA348" s="262" t="str">
        <f>IFERROR(IF(AND(COUNT(AW83,AX83,AY83,AZ83)=4,(AW84+AX84+AY84+AZ84)&lt;&gt;0),(AW83+AX83+AY83+AZ83)/-(AW84+AX84+AY84+AZ84),""),"")</f>
        <v/>
      </c>
      <c r="BB348" s="262" t="str">
        <f>IFERROR(IF(AND(COUNT(AX83,AY83,AZ83,BB83)=4,(AX84+AY84+AZ84+BB84)&lt;&gt;0),(AX83+AY83+AZ83+BB83)/-(AX84+AY84+AZ84+BB84),""),"")</f>
        <v/>
      </c>
      <c r="BC348" s="262" t="str">
        <f>IFERROR(IF(AND(COUNT(AY83,AZ83,BB83,BC83)=4,(AY84+AZ84+BB84+BC84)&lt;&gt;0),(AY83+AZ83+BB83+BC83)/-(AY84+AZ84+BB84+BC84),""),"")</f>
        <v/>
      </c>
      <c r="BD348" s="262" t="str">
        <f>IFERROR(IF(AND(COUNT(AZ83,BB83,BC83,BD83)=4,(AZ84+BB84+BC84+BD84)&lt;&gt;0),(AZ83+BB83+BC83+BD83)/-(AZ84+BB84+BC84+BD84),""),"")</f>
        <v/>
      </c>
      <c r="BE348" s="262" t="str">
        <f>IFERROR(IF(AND(COUNT(BB83,BC83,BD83,BE83)=4,(BB84+BC84+BD84+BE84)&lt;&gt;0),(BB83+BC83+BD83+BE83)/-(BB84+BC84+BD84+BE84),""),"")</f>
        <v/>
      </c>
      <c r="BF348" s="262" t="str">
        <f>IFERROR(IF(AND(COUNT(BB83,BC83,BD83,BE83)=4,(BB84+BC84+BD84+BE84)&lt;&gt;0),(BB83+BC83+BD83+BE83)/-(BB84+BC84+BD84+BE84),""),"")</f>
        <v/>
      </c>
      <c r="BG348" s="82" t="n"/>
      <c r="BH348" s="82" t="n"/>
      <c r="BI348" s="82" t="n"/>
      <c r="BJ348" s="82" t="n"/>
      <c r="BL348" s="82" t="n"/>
      <c r="BM348" s="82" t="n"/>
      <c r="BN348" s="82" t="n"/>
      <c r="BO348" s="82" t="n"/>
      <c r="BQ348" s="82" t="n"/>
      <c r="BR348" s="82" t="n"/>
      <c r="BS348" s="82" t="n"/>
      <c r="BT348" s="82" t="n"/>
      <c r="BV348" s="82" t="n"/>
      <c r="BW348" s="82" t="n"/>
      <c r="BX348" s="82" t="n"/>
      <c r="BY348" s="82" t="n"/>
      <c r="CA348" s="82" t="n"/>
      <c r="CB348" s="82" t="n"/>
      <c r="CC348" s="82" t="n"/>
      <c r="CD348" s="82" t="n"/>
      <c r="CF348" s="82" t="n"/>
      <c r="CG348" s="82" t="n"/>
      <c r="CH348" s="82" t="n"/>
      <c r="CI348" s="82" t="n"/>
      <c r="CK348" s="82" t="n"/>
      <c r="CL348" s="82" t="n"/>
      <c r="CM348" s="82" t="n"/>
      <c r="CN348" s="82" t="n"/>
      <c r="CP348" s="82" t="n"/>
      <c r="CQ348" s="82" t="n"/>
      <c r="CR348" s="82" t="n"/>
      <c r="CS348" s="82" t="n"/>
      <c r="CU348" s="82" t="n"/>
      <c r="CV348" s="82" t="n"/>
      <c r="CW348" s="82" t="n"/>
      <c r="CX348" s="82" t="n"/>
    </row>
    <row r="349" customFormat="1" s="77">
      <c r="A349" s="76" t="n"/>
      <c r="B349" s="76" t="n"/>
    </row>
    <row r="350" customFormat="1" s="77">
      <c r="A350" s="76" t="n"/>
      <c r="B350" s="76" t="n"/>
      <c r="C350" s="74" t="inlineStr">
        <is>
          <t>INTERNAL LIQUIDITY</t>
        </is>
      </c>
    </row>
    <row r="351" customFormat="1" s="77">
      <c r="A351" s="76" t="n"/>
      <c r="B351" s="76" t="n"/>
      <c r="C351" s="77" t="inlineStr">
        <is>
          <t>CURRENT RATIO</t>
        </is>
      </c>
      <c r="D351" s="82" t="str">
        <f>IFERROR(SUM(D154,D155,D159,D163,D164,D165)/SUM(D208,D212,D214,D215),"")</f>
        <v/>
      </c>
      <c r="E351" s="82" t="str">
        <f>IFERROR(SUM(E154,E155,E159,E163,E164,E165)/SUM(E208,E212,E214,E215),"")</f>
        <v/>
      </c>
      <c r="F351" s="82" t="str">
        <f>IFERROR(SUM(F154,F155,F159,F163,F164,F165)/SUM(F208,F212,F214,F215),"")</f>
        <v/>
      </c>
      <c r="G351" s="82" t="str">
        <f>IFERROR(SUM(G154,G155,G159,G163,G164,G165)/SUM(G208,G212,G214,G215),"")</f>
        <v/>
      </c>
      <c r="H351" s="262" t="str">
        <f>IFERROR(IF((N(H208)+N(H212)+N(H214)+N(H215)+N(H222)+N(H223)+N(H224))&lt;&gt;0,(N(H154)+(N(H155)+N(H159)+N(H163)+N(H164)+N(H165)))/(N(H208)+N(H212)+N(H214)+N(H215)+N(H222)+N(H223)+N(H224)),""),"")</f>
        <v/>
      </c>
      <c r="I351" s="262">
        <f>IFERROR(IF((N(I208)+N(I212)+N(I214)+N(I215)+N(I222)+N(I223)+N(I224))&lt;&gt;0,(N(I154)+(N(I155)+N(I159)+N(I163)+N(I164)+N(I165)))/(N(I208)+N(I212)+N(I214)+N(I215)+N(I222)+N(I223)+N(I224)),""),"")</f>
        <v>4.96335016755475</v>
      </c>
      <c r="J351" s="262">
        <f>IFERROR(IF((N(J208)+N(J212)+N(J214)+N(J215)+N(J222)+N(J223)+N(J224))&lt;&gt;0,(N(J154)+(N(J155)+N(J159)+N(J163)+N(J164)+N(J165)))/(N(J208)+N(J212)+N(J214)+N(J215)+N(J222)+N(J223)+N(J224)),""),"")</f>
        <v>3.98808418723493</v>
      </c>
      <c r="K351" s="262">
        <f>IFERROR(IF((N(K208)+N(K212)+N(K214)+N(K215)+N(K222)+N(K223)+N(K224))&lt;&gt;0,(N(K154)+(N(K155)+N(K159)+N(K163)+N(K164)+N(K165)))/(N(K208)+N(K212)+N(K214)+N(K215)+N(K222)+N(K223)+N(K224)),""),"")</f>
        <v>3.96014029330691</v>
      </c>
      <c r="L351" s="262">
        <f>IFERROR(IF((N(L208)+N(L212)+N(L214)+N(L215)+N(L222)+N(L223)+N(L224))&lt;&gt;0,(N(L154)+(N(L155)+N(L159)+N(L163)+N(L164)+N(L165)))/(N(L208)+N(L212)+N(L214)+N(L215)+N(L222)+N(L223)+N(L224)),""),"")</f>
        <v>3.80239187511399</v>
      </c>
      <c r="M351" s="262">
        <f>IFERROR(IF((N(M208)+N(M212)+N(M214)+N(M215)+N(M222)+N(M223)+N(M224))&lt;&gt;0,(N(M154)+(N(M155)+N(M159)+N(M163)+N(M164)+N(M165)))/(N(M208)+N(M212)+N(M214)+N(M215)+N(M222)+N(M223)+N(M224)),""),"")</f>
        <v>3.80239187511399</v>
      </c>
      <c r="N351" s="262">
        <f>IFERROR(IF((N(N208)+N(N212)+N(N214)+N(N215)+N(N222)+N(N223)+N(N224))&lt;&gt;0,(N(N154)+(N(N155)+N(N159)+N(N163)+N(N164)+N(N165)))/(N(N208)+N(N212)+N(N214)+N(N215)+N(N222)+N(N223)+N(N224)),""),"")</f>
        <v>3.44436215644537</v>
      </c>
      <c r="O351" s="262">
        <f>IFERROR(IF((N(O208)+N(O212)+N(O214)+N(O215)+N(O222)+N(O223)+N(O224))&lt;&gt;0,(N(O154)+(N(O155)+N(O159)+N(O163)+N(O164)+N(O165)))/(N(O208)+N(O212)+N(O214)+N(O215)+N(O222)+N(O223)+N(O224)),""),"")</f>
        <v>2.98494387439955</v>
      </c>
      <c r="P351" s="262">
        <f>IFERROR(IF((N(P208)+N(P212)+N(P214)+N(P215)+N(P222)+N(P223)+N(P224))&lt;&gt;0,(N(P154)+(N(P155)+N(P159)+N(P163)+N(P164)+N(P165)))/(N(P208)+N(P212)+N(P214)+N(P215)+N(P222)+N(P223)+N(P224)),""),"")</f>
        <v>3.57161800485537</v>
      </c>
      <c r="Q351" s="262">
        <f>IFERROR(IF((N(Q208)+N(Q212)+N(Q214)+N(Q215)+N(Q222)+N(Q223)+N(Q224))&lt;&gt;0,(N(Q154)+(N(Q155)+N(Q159)+N(Q163)+N(Q164)+N(Q165)))/(N(Q208)+N(Q212)+N(Q214)+N(Q215)+N(Q222)+N(Q223)+N(Q224)),""),"")</f>
        <v>3.19675598752936</v>
      </c>
      <c r="R351" s="262">
        <f>IFERROR(IF((N(R208)+N(R212)+N(R214)+N(R215)+N(R222)+N(R223)+N(R224))&lt;&gt;0,(N(R154)+(N(R155)+N(R159)+N(R163)+N(R164)+N(R165)))/(N(R208)+N(R212)+N(R214)+N(R215)+N(R222)+N(R223)+N(R224)),""),"")</f>
        <v>3.19675598752936</v>
      </c>
      <c r="S351" s="262">
        <f>IFERROR(IF((N(S208)+N(S212)+N(S214)+N(S215)+N(S222)+N(S223)+N(S224))&lt;&gt;0,(N(S154)+(N(S155)+N(S159)+N(S163)+N(S164)+N(S165)))/(N(S208)+N(S212)+N(S214)+N(S215)+N(S222)+N(S223)+N(S224)),""),"")</f>
        <v>3.0790943818778</v>
      </c>
      <c r="T351" s="262">
        <f>IFERROR(IF((N(T208)+N(T212)+N(T214)+N(T215)+N(T222)+N(T223)+N(T224))&lt;&gt;0,(N(T154)+(N(T155)+N(T159)+N(T163)+N(T164)+N(T165)))/(N(T208)+N(T212)+N(T214)+N(T215)+N(T222)+N(T223)+N(T224)),""),"")</f>
        <v>2.98321784340005</v>
      </c>
      <c r="U351" s="262">
        <f>IFERROR(IF((N(U208)+N(U212)+N(U214)+N(U215)+N(U222)+N(U223)+N(U224))&lt;&gt;0,(N(U154)+(N(U155)+N(U159)+N(U163)+N(U164)+N(U165)))/(N(U208)+N(U212)+N(U214)+N(U215)+N(U222)+N(U223)+N(U224)),""),"")</f>
        <v>2.89960755823463</v>
      </c>
      <c r="V351" s="262">
        <f>IFERROR(IF((N(V208)+N(V212)+N(V214)+N(V215)+N(V222)+N(V223)+N(V224))&lt;&gt;0,(N(V154)+(N(V155)+N(V159)+N(V163)+N(V164)+N(V165)))/(N(V208)+N(V212)+N(V214)+N(V215)+N(V222)+N(V223)+N(V224)),""),"")</f>
        <v>2.44855479060752</v>
      </c>
      <c r="W351" s="262">
        <f>IFERROR(IF((N(W208)+N(W212)+N(W214)+N(W215)+N(W222)+N(W223)+N(W224))&lt;&gt;0,(N(W154)+(N(W155)+N(W159)+N(W163)+N(W164)+N(W165)))/(N(W208)+N(W212)+N(W214)+N(W215)+N(W222)+N(W223)+N(W224)),""),"")</f>
        <v>2.44855479060752</v>
      </c>
      <c r="X351" s="262">
        <f>IFERROR(IF((N(X208)+N(X212)+N(X214)+N(X215)+N(X222)+N(X223)+N(X224))&lt;&gt;0,(N(X154)+(N(X155)+N(X159)+N(X163)+N(X164)+N(X165)))/(N(X208)+N(X212)+N(X214)+N(X215)+N(X222)+N(X223)+N(X224)),""),"")</f>
        <v>2.41935535141743</v>
      </c>
      <c r="Y351" s="262">
        <f>IFERROR(IF((N(Y208)+N(Y212)+N(Y214)+N(Y215)+N(Y222)+N(Y223)+N(Y224))&lt;&gt;0,(N(Y154)+(N(Y155)+N(Y159)+N(Y163)+N(Y164)+N(Y165)))/(N(Y208)+N(Y212)+N(Y214)+N(Y215)+N(Y222)+N(Y223)+N(Y224)),""),"")</f>
        <v>2.2270688003052</v>
      </c>
      <c r="Z351" s="262">
        <f>IFERROR(IF((N(Z208)+N(Z212)+N(Z214)+N(Z215)+N(Z222)+N(Z223)+N(Z224))&lt;&gt;0,(N(Z154)+(N(Z155)+N(Z159)+N(Z163)+N(Z164)+N(Z165)))/(N(Z208)+N(Z212)+N(Z214)+N(Z215)+N(Z222)+N(Z223)+N(Z224)),""),"")</f>
        <v>2.13396360980216</v>
      </c>
      <c r="AA351" s="262">
        <f>IFERROR(IF((N(AA208)+N(AA212)+N(AA214)+N(AA215)+N(AA222)+N(AA223)+N(AA224))&lt;&gt;0,(N(AA154)+(N(AA155)+N(AA159)+N(AA163)+N(AA164)+N(AA165)))/(N(AA208)+N(AA212)+N(AA214)+N(AA215)+N(AA222)+N(AA223)+N(AA224)),""),"")</f>
        <v>2.43193987053977</v>
      </c>
      <c r="AB351" s="262">
        <f>IFERROR(IF((N(AB208)+N(AB212)+N(AB214)+N(AB215)+N(AB222)+N(AB223)+N(AB224))&lt;&gt;0,(N(AB154)+(N(AB155)+N(AB159)+N(AB163)+N(AB164)+N(AB165)))/(N(AB208)+N(AB212)+N(AB214)+N(AB215)+N(AB222)+N(AB223)+N(AB224)),""),"")</f>
        <v>2.43193987053977</v>
      </c>
      <c r="AC351" s="262">
        <f>IFERROR(IF((N(AC208)+N(AC212)+N(AC214)+N(AC215)+N(AC222)+N(AC223)+N(AC224))&lt;&gt;0,(N(AC154)+(N(AC155)+N(AC159)+N(AC163)+N(AC164)+N(AC165)))/(N(AC208)+N(AC212)+N(AC214)+N(AC215)+N(AC222)+N(AC223)+N(AC224)),""),"")</f>
        <v>2.29549303306126</v>
      </c>
      <c r="AD351" s="262">
        <f>IFERROR(IF((N(AD208)+N(AD212)+N(AD214)+N(AD215)+N(AD222)+N(AD223)+N(AD224))&lt;&gt;0,(N(AD154)+(N(AD155)+N(AD159)+N(AD163)+N(AD164)+N(AD165)))/(N(AD208)+N(AD212)+N(AD214)+N(AD215)+N(AD222)+N(AD223)+N(AD224)),""),"")</f>
        <v>2.18288267451057</v>
      </c>
      <c r="AE351" s="262">
        <f>IFERROR(IF((N(AE208)+N(AE212)+N(AE214)+N(AE215)+N(AE222)+N(AE223)+N(AE224))&lt;&gt;0,(N(AE154)+(N(AE155)+N(AE159)+N(AE163)+N(AE164)+N(AE165)))/(N(AE208)+N(AE212)+N(AE214)+N(AE215)+N(AE222)+N(AE223)+N(AE224)),""),"")</f>
        <v>2.05613650261539</v>
      </c>
      <c r="AF351" s="262">
        <f>IFERROR(IF((N(AF208)+N(AF212)+N(AF214)+N(AF215)+N(AF222)+N(AF223)+N(AF224))&lt;&gt;0,(N(AF154)+(N(AF155)+N(AF159)+N(AF163)+N(AF164)+N(AF165)))/(N(AF208)+N(AF212)+N(AF214)+N(AF215)+N(AF222)+N(AF223)+N(AF224)),""),"")</f>
        <v>1.85633494138308</v>
      </c>
      <c r="AG351" s="262">
        <f>IFERROR(IF((N(AG208)+N(AG212)+N(AG214)+N(AG215)+N(AG222)+N(AG223)+N(AG224))&lt;&gt;0,(N(AG154)+(N(AG155)+N(AG159)+N(AG163)+N(AG164)+N(AG165)))/(N(AG208)+N(AG212)+N(AG214)+N(AG215)+N(AG222)+N(AG223)+N(AG224)),""),"")</f>
        <v>1.85633494138308</v>
      </c>
      <c r="AH351" s="262">
        <f>IFERROR(IF((N(AH208)+N(AH212)+N(AH214)+N(AH215)+N(AH222)+N(AH223)+N(AH224))&lt;&gt;0,(N(AH154)+(N(AH155)+N(AH159)+N(AH163)+N(AH164)+N(AH165)))/(N(AH208)+N(AH212)+N(AH214)+N(AH215)+N(AH222)+N(AH223)+N(AH224)),""),"")</f>
        <v>1.83194211326241</v>
      </c>
      <c r="AI351" s="262">
        <f>IFERROR(IF((N(AI208)+N(AI212)+N(AI214)+N(AI215)+N(AI222)+N(AI223)+N(AI224))&lt;&gt;0,(N(AI154)+(N(AI155)+N(AI159)+N(AI163)+N(AI164)+N(AI165)))/(N(AI208)+N(AI212)+N(AI214)+N(AI215)+N(AI222)+N(AI223)+N(AI224)),""),"")</f>
        <v>1.85979963334515</v>
      </c>
      <c r="AJ351" s="262">
        <f>IFERROR(IF((N(AJ208)+N(AJ212)+N(AJ214)+N(AJ215)+N(AJ222)+N(AJ223)+N(AJ224))&lt;&gt;0,(N(AJ154)+(N(AJ155)+N(AJ159)+N(AJ163)+N(AJ164)+N(AJ165)))/(N(AJ208)+N(AJ212)+N(AJ214)+N(AJ215)+N(AJ222)+N(AJ223)+N(AJ224)),""),"")</f>
        <v>1.87390494115333</v>
      </c>
      <c r="AK351" s="262">
        <f>IFERROR(IF((N(AK208)+N(AK212)+N(AK214)+N(AK215)+N(AK222)+N(AK223)+N(AK224))&lt;&gt;0,(N(AK154)+(N(AK155)+N(AK159)+N(AK163)+N(AK164)+N(AK165)))/(N(AK208)+N(AK212)+N(AK214)+N(AK215)+N(AK222)+N(AK223)+N(AK224)),""),"")</f>
        <v>1.96206722222319</v>
      </c>
      <c r="AL351" s="262">
        <f>IFERROR(IF((N(AL208)+N(AL212)+N(AL214)+N(AL215)+N(AL222)+N(AL223)+N(AL224))&lt;&gt;0,(N(AL154)+(N(AL155)+N(AL159)+N(AL163)+N(AL164)+N(AL165)))/(N(AL208)+N(AL212)+N(AL214)+N(AL215)+N(AL222)+N(AL223)+N(AL224)),""),"")</f>
        <v>1.96206722222319</v>
      </c>
      <c r="AM351" s="262">
        <f>IFERROR(IF((N(AM208)+N(AM212)+N(AM214)+N(AM215)+N(AM222)+N(AM223)+N(AM224))&lt;&gt;0,(N(AM154)+(N(AM155)+N(AM159)+N(AM163)+N(AM164)+N(AM165)))/(N(AM208)+N(AM212)+N(AM214)+N(AM215)+N(AM222)+N(AM223)+N(AM224)),""),"")</f>
        <v>2.08292266694402</v>
      </c>
      <c r="AN351" s="262">
        <f>IFERROR(IF((N(AN208)+N(AN212)+N(AN214)+N(AN215)+N(AN222)+N(AN223)+N(AN224))&lt;&gt;0,(N(AN154)+(N(AN155)+N(AN159)+N(AN163)+N(AN164)+N(AN165)))/(N(AN208)+N(AN212)+N(AN214)+N(AN215)+N(AN222)+N(AN223)+N(AN224)),""),"")</f>
        <v>2.11873711452122</v>
      </c>
      <c r="AO351" s="262">
        <f>IFERROR(IF((N(AO208)+N(AO212)+N(AO214)+N(AO215)+N(AO222)+N(AO223)+N(AO224))&lt;&gt;0,(N(AO154)+(N(AO155)+N(AO159)+N(AO163)+N(AO164)+N(AO165)))/(N(AO208)+N(AO212)+N(AO214)+N(AO215)+N(AO222)+N(AO223)+N(AO224)),""),"")</f>
        <v>2.03414092645948</v>
      </c>
      <c r="AP351" s="262">
        <f>IFERROR(IF((N(AP208)+N(AP212)+N(AP214)+N(AP215)+N(AP222)+N(AP223)+N(AP224))&lt;&gt;0,(N(AP154)+(N(AP155)+N(AP159)+N(AP163)+N(AP164)+N(AP165)))/(N(AP208)+N(AP212)+N(AP214)+N(AP215)+N(AP222)+N(AP223)+N(AP224)),""),"")</f>
        <v>2.10636581001265</v>
      </c>
      <c r="AQ351" s="262">
        <f>IFERROR(IF((N(AQ208)+N(AQ212)+N(AQ214)+N(AQ215)+N(AQ222)+N(AQ223)+N(AQ224))&lt;&gt;0,(N(AQ154)+(N(AQ155)+N(AQ159)+N(AQ163)+N(AQ164)+N(AQ165)))/(N(AQ208)+N(AQ212)+N(AQ214)+N(AQ215)+N(AQ222)+N(AQ223)+N(AQ224)),""),"")</f>
        <v>2.10636581001265</v>
      </c>
      <c r="AR351" s="262">
        <f>IFERROR(IF((N(AR208)+N(AR212)+N(AR214)+N(AR215)+N(AR222)+N(AR223)+N(AR224))&lt;&gt;0,(N(AR154)+(N(AR155)+N(AR159)+N(AR163)+N(AR164)+N(AR165)))/(N(AR208)+N(AR212)+N(AR214)+N(AR215)+N(AR222)+N(AR223)+N(AR224)),""),"")</f>
        <v>2.22233915373226</v>
      </c>
      <c r="AS351" s="262">
        <f>IFERROR(IF((N(AS208)+N(AS212)+N(AS214)+N(AS215)+N(AS222)+N(AS223)+N(AS224))&lt;&gt;0,(N(AS154)+(N(AS155)+N(AS159)+N(AS163)+N(AS164)+N(AS165)))/(N(AS208)+N(AS212)+N(AS214)+N(AS215)+N(AS222)+N(AS223)+N(AS224)),""),"")</f>
        <v>2.22620696586137</v>
      </c>
      <c r="AT351" s="262">
        <f>IFERROR(IF((N(AT208)+N(AT212)+N(AT214)+N(AT215)+N(AT222)+N(AT223)+N(AT224))&lt;&gt;0,(N(AT154)+(N(AT155)+N(AT159)+N(AT163)+N(AT164)+N(AT165)))/(N(AT208)+N(AT212)+N(AT214)+N(AT215)+N(AT222)+N(AT223)+N(AT224)),""),"")</f>
        <v>2.11572745794444</v>
      </c>
      <c r="AU351" s="262">
        <f>IFERROR(IF((N(AU208)+N(AU212)+N(AU214)+N(AU215)+N(AU222)+N(AU223)+N(AU224))&lt;&gt;0,(N(AU154)+(N(AU155)+N(AU159)+N(AU163)+N(AU164)+N(AU165)))/(N(AU208)+N(AU212)+N(AU214)+N(AU215)+N(AU222)+N(AU223)+N(AU224)),""),"")</f>
        <v>2.16457068138453</v>
      </c>
      <c r="AV351" s="262">
        <f>IFERROR(IF((N(AV208)+N(AV212)+N(AV214)+N(AV215)+N(AV222)+N(AV223)+N(AV224))&lt;&gt;0,(N(AV154)+(N(AV155)+N(AV159)+N(AV163)+N(AV164)+N(AV165)))/(N(AV208)+N(AV212)+N(AV214)+N(AV215)+N(AV222)+N(AV223)+N(AV224)),""),"")</f>
        <v>2.16457068138453</v>
      </c>
      <c r="AW351" s="262">
        <f>IFERROR(IF((N(AW208)+N(AW212)+N(AW214)+N(AW215)+N(AW222)+N(AW223)+N(AW224))&lt;&gt;0,(N(AW154)+(N(AW155)+N(AW159)+N(AW163)+N(AW164)+N(AW165)))/(N(AW208)+N(AW212)+N(AW214)+N(AW215)+N(AW222)+N(AW223)+N(AW224)),""),"")</f>
        <v>2.24683254686571</v>
      </c>
      <c r="AX351" s="262">
        <f>IFERROR(IF((N(AX208)+N(AX212)+N(AX214)+N(AX215)+N(AX222)+N(AX223)+N(AX224))&lt;&gt;0,(N(AX154)+(N(AX155)+N(AX159)+N(AX163)+N(AX164)+N(AX165)))/(N(AX208)+N(AX212)+N(AX214)+N(AX215)+N(AX222)+N(AX223)+N(AX224)),""),"")</f>
        <v>2.23326056357555</v>
      </c>
      <c r="AY351" s="262">
        <f>IFERROR(IF((N(AY208)+N(AY212)+N(AY214)+N(AY215)+N(AY222)+N(AY223)+N(AY224))&lt;&gt;0,(N(AY154)+(N(AY155)+N(AY159)+N(AY163)+N(AY164)+N(AY165)))/(N(AY208)+N(AY212)+N(AY214)+N(AY215)+N(AY222)+N(AY223)+N(AY224)),""),"")</f>
        <v>2.11278547733818</v>
      </c>
      <c r="AZ351" s="262">
        <f>IFERROR(IF((N(AZ208)+N(AZ212)+N(AZ214)+N(AZ215)+N(AZ222)+N(AZ223)+N(AZ224))&lt;&gt;0,(N(AZ154)+(N(AZ155)+N(AZ159)+N(AZ163)+N(AZ164)+N(AZ165)))/(N(AZ208)+N(AZ212)+N(AZ214)+N(AZ215)+N(AZ222)+N(AZ223)+N(AZ224)),""),"")</f>
        <v>2.13452882925206</v>
      </c>
      <c r="BA351" s="262">
        <f>IFERROR(IF((N(BA208)+N(BA212)+N(BA214)+N(BA215)+N(BA222)+N(BA223)+N(BA224))&lt;&gt;0,(N(BA154)+(N(BA155)+N(BA159)+N(BA163)+N(BA164)+N(BA165)))/(N(BA208)+N(BA212)+N(BA214)+N(BA215)+N(BA222)+N(BA223)+N(BA224)),""),"")</f>
        <v>2.13452882925206</v>
      </c>
      <c r="BB351" s="262">
        <f>IFERROR(IF((N(BB208)+N(BB212)+N(BB214)+N(BB215)+N(BB222)+N(BB223)+N(BB224))&lt;&gt;0,(N(BB154)+(N(BB155)+N(BB159)+N(BB163)+N(BB164)+N(BB165)))/(N(BB208)+N(BB212)+N(BB214)+N(BB215)+N(BB222)+N(BB223)+N(BB224)),""),"")</f>
        <v>2.18310535891645</v>
      </c>
      <c r="BC351" s="262">
        <f>IFERROR(IF((N(BC208)+N(BC212)+N(BC214)+N(BC215)+N(BC222)+N(BC223)+N(BC224))&lt;&gt;0,(N(BC154)+(N(BC155)+N(BC159)+N(BC163)+N(BC164)+N(BC165)))/(N(BC208)+N(BC212)+N(BC214)+N(BC215)+N(BC222)+N(BC223)+N(BC224)),""),"")</f>
        <v>2.14906481416839</v>
      </c>
      <c r="BD351" s="262">
        <f>IFERROR(IF((N(BD208)+N(BD212)+N(BD214)+N(BD215)+N(BD222)+N(BD223)+N(BD224))&lt;&gt;0,(N(BD154)+(N(BD155)+N(BD159)+N(BD163)+N(BD164)+N(BD165)))/(N(BD208)+N(BD212)+N(BD214)+N(BD215)+N(BD222)+N(BD223)+N(BD224)),""),"")</f>
        <v>2.03381404949652</v>
      </c>
      <c r="BE351" s="262">
        <f>IFERROR(IF((N(BE208)+N(BE212)+N(BE214)+N(BE215)+N(BE222)+N(BE223)+N(BE224))&lt;&gt;0,(N(BE154)+(N(BE155)+N(BE159)+N(BE163)+N(BE164)+N(BE165)))/(N(BE208)+N(BE212)+N(BE214)+N(BE215)+N(BE222)+N(BE223)+N(BE224)),""),"")</f>
        <v>2.03098543370561</v>
      </c>
      <c r="BF351" s="262">
        <f>IFERROR(IF((N(BF208)+N(BF212)+N(BF214)+N(BF215)+N(BF222)+N(BF223)+N(BF224))&lt;&gt;0,(N(BF154)+(N(BF155)+N(BF159)+N(BF163)+N(BF164)+N(BF165)))/(N(BF208)+N(BF212)+N(BF214)+N(BF215)+N(BF222)+N(BF223)+N(BF224)),""),"")</f>
        <v>2.03098543370561</v>
      </c>
      <c r="BG351" s="82" t="n"/>
      <c r="BH351" s="82" t="n"/>
      <c r="BI351" s="82" t="n"/>
      <c r="BJ351" s="82" t="n"/>
      <c r="BL351" s="82" t="n"/>
      <c r="BM351" s="82" t="n"/>
      <c r="BN351" s="82" t="n"/>
      <c r="BO351" s="82" t="n"/>
      <c r="BQ351" s="82" t="n"/>
      <c r="BR351" s="82" t="n"/>
      <c r="BS351" s="82" t="n"/>
      <c r="BT351" s="82" t="n"/>
      <c r="BV351" s="82" t="n"/>
      <c r="BW351" s="82" t="n"/>
      <c r="BX351" s="82" t="n"/>
      <c r="BY351" s="82" t="n"/>
      <c r="CA351" s="82" t="n"/>
      <c r="CB351" s="82" t="n"/>
      <c r="CC351" s="82" t="n"/>
      <c r="CD351" s="82" t="n"/>
      <c r="CF351" s="82" t="n"/>
      <c r="CG351" s="82" t="n"/>
      <c r="CH351" s="82" t="n"/>
      <c r="CI351" s="82" t="n"/>
      <c r="CK351" s="82" t="n"/>
      <c r="CL351" s="82" t="n"/>
      <c r="CM351" s="82" t="n"/>
      <c r="CN351" s="82" t="n"/>
      <c r="CP351" s="82" t="n"/>
      <c r="CQ351" s="82" t="n"/>
      <c r="CR351" s="82" t="n"/>
      <c r="CS351" s="82" t="n"/>
      <c r="CU351" s="82" t="n"/>
      <c r="CV351" s="82" t="n"/>
      <c r="CW351" s="82" t="n"/>
      <c r="CX351" s="82" t="n"/>
    </row>
    <row r="352" customFormat="1" s="77">
      <c r="A352" s="76" t="n"/>
      <c r="B352" s="76" t="n"/>
      <c r="C352" s="77" t="inlineStr">
        <is>
          <t>CASH RATIO</t>
        </is>
      </c>
      <c r="D352" s="82" t="str">
        <f>IFERROR(SUM(D154)/SUM(D208,D212,D214,D215),"")</f>
        <v/>
      </c>
      <c r="E352" s="82" t="str">
        <f>IFERROR(SUM(E154)/SUM(E208,E212,E214,E215),"")</f>
        <v/>
      </c>
      <c r="F352" s="82" t="str">
        <f>IFERROR(SUM(F154)/SUM(F208,F212,F214,F215),"")</f>
        <v/>
      </c>
      <c r="G352" s="82" t="str">
        <f>IFERROR(SUM(G154)/SUM(G208,G212,G214,G215),"")</f>
        <v/>
      </c>
      <c r="H352" s="262" t="str">
        <f>IFERROR(IF((N(H208)+N(H212)+N(H214)+N(H215)+N(H222)+N(H223)+N(H224))&lt;&gt;0,N(H154)/(N(H208)+N(H212)+N(H214)+N(H215)+N(H222)+N(H223)+N(H224)),""),"")</f>
        <v/>
      </c>
      <c r="I352" s="262">
        <f>IFERROR(IF((N(I208)+N(I212)+N(I214)+N(I215)+N(I222)+N(I223)+N(I224))&lt;&gt;0,N(I154)/(N(I208)+N(I212)+N(I214)+N(I215)+N(I222)+N(I223)+N(I224)),""),"")</f>
        <v>1.53290799866461</v>
      </c>
      <c r="J352" s="262">
        <f>IFERROR(IF((N(J208)+N(J212)+N(J214)+N(J215)+N(J222)+N(J223)+N(J224))&lt;&gt;0,N(J154)/(N(J208)+N(J212)+N(J214)+N(J215)+N(J222)+N(J223)+N(J224)),""),"")</f>
        <v>1.10186034201364</v>
      </c>
      <c r="K352" s="262">
        <f>IFERROR(IF((N(K208)+N(K212)+N(K214)+N(K215)+N(K222)+N(K223)+N(K224))&lt;&gt;0,N(K154)/(N(K208)+N(K212)+N(K214)+N(K215)+N(K222)+N(K223)+N(K224)),""),"")</f>
        <v>0.61267768709974</v>
      </c>
      <c r="L352" s="262">
        <f>IFERROR(IF((N(L208)+N(L212)+N(L214)+N(L215)+N(L222)+N(L223)+N(L224))&lt;&gt;0,N(L154)/(N(L208)+N(L212)+N(L214)+N(L215)+N(L222)+N(L223)+N(L224)),""),"")</f>
        <v>0.533421961696308</v>
      </c>
      <c r="M352" s="262">
        <f>IFERROR(IF((N(M208)+N(M212)+N(M214)+N(M215)+N(M222)+N(M223)+N(M224))&lt;&gt;0,N(M154)/(N(M208)+N(M212)+N(M214)+N(M215)+N(M222)+N(M223)+N(M224)),""),"")</f>
        <v>0.533421961696308</v>
      </c>
      <c r="N352" s="262">
        <f>IFERROR(IF((N(N208)+N(N212)+N(N214)+N(N215)+N(N222)+N(N223)+N(N224))&lt;&gt;0,N(N154)/(N(N208)+N(N212)+N(N214)+N(N215)+N(N222)+N(N223)+N(N224)),""),"")</f>
        <v>0.332511345837182</v>
      </c>
      <c r="O352" s="262">
        <f>IFERROR(IF((N(O208)+N(O212)+N(O214)+N(O215)+N(O222)+N(O223)+N(O224))&lt;&gt;0,N(O154)/(N(O208)+N(O212)+N(O214)+N(O215)+N(O222)+N(O223)+N(O224)),""),"")</f>
        <v>0.375451525137532</v>
      </c>
      <c r="P352" s="262">
        <f>IFERROR(IF((N(P208)+N(P212)+N(P214)+N(P215)+N(P222)+N(P223)+N(P224))&lt;&gt;0,N(P154)/(N(P208)+N(P212)+N(P214)+N(P215)+N(P222)+N(P223)+N(P224)),""),"")</f>
        <v>0.315394168571645</v>
      </c>
      <c r="Q352" s="262">
        <f>IFERROR(IF((N(Q208)+N(Q212)+N(Q214)+N(Q215)+N(Q222)+N(Q223)+N(Q224))&lt;&gt;0,N(Q154)/(N(Q208)+N(Q212)+N(Q214)+N(Q215)+N(Q222)+N(Q223)+N(Q224)),""),"")</f>
        <v>0.652716730843127</v>
      </c>
      <c r="R352" s="262">
        <f>IFERROR(IF((N(R208)+N(R212)+N(R214)+N(R215)+N(R222)+N(R223)+N(R224))&lt;&gt;0,N(R154)/(N(R208)+N(R212)+N(R214)+N(R215)+N(R222)+N(R223)+N(R224)),""),"")</f>
        <v>0.652716730843127</v>
      </c>
      <c r="S352" s="262">
        <f>IFERROR(IF((N(S208)+N(S212)+N(S214)+N(S215)+N(S222)+N(S223)+N(S224))&lt;&gt;0,N(S154)/(N(S208)+N(S212)+N(S214)+N(S215)+N(S222)+N(S223)+N(S224)),""),"")</f>
        <v>0.570807046664376</v>
      </c>
      <c r="T352" s="262">
        <f>IFERROR(IF((N(T208)+N(T212)+N(T214)+N(T215)+N(T222)+N(T223)+N(T224))&lt;&gt;0,N(T154)/(N(T208)+N(T212)+N(T214)+N(T215)+N(T222)+N(T223)+N(T224)),""),"")</f>
        <v>0.446035714532148</v>
      </c>
      <c r="U352" s="262">
        <f>IFERROR(IF((N(U208)+N(U212)+N(U214)+N(U215)+N(U222)+N(U223)+N(U224))&lt;&gt;0,N(U154)/(N(U208)+N(U212)+N(U214)+N(U215)+N(U222)+N(U223)+N(U224)),""),"")</f>
        <v>0.348184041698456</v>
      </c>
      <c r="V352" s="262">
        <f>IFERROR(IF((N(V208)+N(V212)+N(V214)+N(V215)+N(V222)+N(V223)+N(V224))&lt;&gt;0,N(V154)/(N(V208)+N(V212)+N(V214)+N(V215)+N(V222)+N(V223)+N(V224)),""),"")</f>
        <v>0.304556711593987</v>
      </c>
      <c r="W352" s="262">
        <f>IFERROR(IF((N(W208)+N(W212)+N(W214)+N(W215)+N(W222)+N(W223)+N(W224))&lt;&gt;0,N(W154)/(N(W208)+N(W212)+N(W214)+N(W215)+N(W222)+N(W223)+N(W224)),""),"")</f>
        <v>0.304556711593987</v>
      </c>
      <c r="X352" s="262">
        <f>IFERROR(IF((N(X208)+N(X212)+N(X214)+N(X215)+N(X222)+N(X223)+N(X224))&lt;&gt;0,N(X154)/(N(X208)+N(X212)+N(X214)+N(X215)+N(X222)+N(X223)+N(X224)),""),"")</f>
        <v>0.323007008264367</v>
      </c>
      <c r="Y352" s="262">
        <f>IFERROR(IF((N(Y208)+N(Y212)+N(Y214)+N(Y215)+N(Y222)+N(Y223)+N(Y224))&lt;&gt;0,N(Y154)/(N(Y208)+N(Y212)+N(Y214)+N(Y215)+N(Y222)+N(Y223)+N(Y224)),""),"")</f>
        <v>0.261377042934953</v>
      </c>
      <c r="Z352" s="262">
        <f>IFERROR(IF((N(Z208)+N(Z212)+N(Z214)+N(Z215)+N(Z222)+N(Z223)+N(Z224))&lt;&gt;0,N(Z154)/(N(Z208)+N(Z212)+N(Z214)+N(Z215)+N(Z222)+N(Z223)+N(Z224)),""),"")</f>
        <v>0.133901142951746</v>
      </c>
      <c r="AA352" s="262">
        <f>IFERROR(IF((N(AA208)+N(AA212)+N(AA214)+N(AA215)+N(AA222)+N(AA223)+N(AA224))&lt;&gt;0,N(AA154)/(N(AA208)+N(AA212)+N(AA214)+N(AA215)+N(AA222)+N(AA223)+N(AA224)),""),"")</f>
        <v>0.356114695340502</v>
      </c>
      <c r="AB352" s="262">
        <f>IFERROR(IF((N(AB208)+N(AB212)+N(AB214)+N(AB215)+N(AB222)+N(AB223)+N(AB224))&lt;&gt;0,N(AB154)/(N(AB208)+N(AB212)+N(AB214)+N(AB215)+N(AB222)+N(AB223)+N(AB224)),""),"")</f>
        <v>0.356114695340502</v>
      </c>
      <c r="AC352" s="262">
        <f>IFERROR(IF((N(AC208)+N(AC212)+N(AC214)+N(AC215)+N(AC222)+N(AC223)+N(AC224))&lt;&gt;0,N(AC154)/(N(AC208)+N(AC212)+N(AC214)+N(AC215)+N(AC222)+N(AC223)+N(AC224)),""),"")</f>
        <v>0.290606266718828</v>
      </c>
      <c r="AD352" s="262">
        <f>IFERROR(IF((N(AD208)+N(AD212)+N(AD214)+N(AD215)+N(AD222)+N(AD223)+N(AD224))&lt;&gt;0,N(AD154)/(N(AD208)+N(AD212)+N(AD214)+N(AD215)+N(AD222)+N(AD223)+N(AD224)),""),"")</f>
        <v>0.203534707653629</v>
      </c>
      <c r="AE352" s="262">
        <f>IFERROR(IF((N(AE208)+N(AE212)+N(AE214)+N(AE215)+N(AE222)+N(AE223)+N(AE224))&lt;&gt;0,N(AE154)/(N(AE208)+N(AE212)+N(AE214)+N(AE215)+N(AE222)+N(AE223)+N(AE224)),""),"")</f>
        <v>0.184393661955475</v>
      </c>
      <c r="AF352" s="262">
        <f>IFERROR(IF((N(AF208)+N(AF212)+N(AF214)+N(AF215)+N(AF222)+N(AF223)+N(AF224))&lt;&gt;0,N(AF154)/(N(AF208)+N(AF212)+N(AF214)+N(AF215)+N(AF222)+N(AF223)+N(AF224)),""),"")</f>
        <v>0.245563711276134</v>
      </c>
      <c r="AG352" s="262">
        <f>IFERROR(IF((N(AG208)+N(AG212)+N(AG214)+N(AG215)+N(AG222)+N(AG223)+N(AG224))&lt;&gt;0,N(AG154)/(N(AG208)+N(AG212)+N(AG214)+N(AG215)+N(AG222)+N(AG223)+N(AG224)),""),"")</f>
        <v>0.245563711276134</v>
      </c>
      <c r="AH352" s="262">
        <f>IFERROR(IF((N(AH208)+N(AH212)+N(AH214)+N(AH215)+N(AH222)+N(AH223)+N(AH224))&lt;&gt;0,N(AH154)/(N(AH208)+N(AH212)+N(AH214)+N(AH215)+N(AH222)+N(AH223)+N(AH224)),""),"")</f>
        <v>0.262239873124959</v>
      </c>
      <c r="AI352" s="262">
        <f>IFERROR(IF((N(AI208)+N(AI212)+N(AI214)+N(AI215)+N(AI222)+N(AI223)+N(AI224))&lt;&gt;0,N(AI154)/(N(AI208)+N(AI212)+N(AI214)+N(AI215)+N(AI222)+N(AI223)+N(AI224)),""),"")</f>
        <v>0.217127753238305</v>
      </c>
      <c r="AJ352" s="262">
        <f>IFERROR(IF((N(AJ208)+N(AJ212)+N(AJ214)+N(AJ215)+N(AJ222)+N(AJ223)+N(AJ224))&lt;&gt;0,N(AJ154)/(N(AJ208)+N(AJ212)+N(AJ214)+N(AJ215)+N(AJ222)+N(AJ223)+N(AJ224)),""),"")</f>
        <v>0.104536271180568</v>
      </c>
      <c r="AK352" s="262">
        <f>IFERROR(IF((N(AK208)+N(AK212)+N(AK214)+N(AK215)+N(AK222)+N(AK223)+N(AK224))&lt;&gt;0,N(AK154)/(N(AK208)+N(AK212)+N(AK214)+N(AK215)+N(AK222)+N(AK223)+N(AK224)),""),"")</f>
        <v>0.231699788461791</v>
      </c>
      <c r="AL352" s="262">
        <f>IFERROR(IF((N(AL208)+N(AL212)+N(AL214)+N(AL215)+N(AL222)+N(AL223)+N(AL224))&lt;&gt;0,N(AL154)/(N(AL208)+N(AL212)+N(AL214)+N(AL215)+N(AL222)+N(AL223)+N(AL224)),""),"")</f>
        <v>0.231699788461791</v>
      </c>
      <c r="AM352" s="262">
        <f>IFERROR(IF((N(AM208)+N(AM212)+N(AM214)+N(AM215)+N(AM222)+N(AM223)+N(AM224))&lt;&gt;0,N(AM154)/(N(AM208)+N(AM212)+N(AM214)+N(AM215)+N(AM222)+N(AM223)+N(AM224)),""),"")</f>
        <v>0.420408499630235</v>
      </c>
      <c r="AN352" s="262">
        <f>IFERROR(IF((N(AN208)+N(AN212)+N(AN214)+N(AN215)+N(AN222)+N(AN223)+N(AN224))&lt;&gt;0,N(AN154)/(N(AN208)+N(AN212)+N(AN214)+N(AN215)+N(AN222)+N(AN223)+N(AN224)),""),"")</f>
        <v>0.487128655912194</v>
      </c>
      <c r="AO352" s="262">
        <f>IFERROR(IF((N(AO208)+N(AO212)+N(AO214)+N(AO215)+N(AO222)+N(AO223)+N(AO224))&lt;&gt;0,N(AO154)/(N(AO208)+N(AO212)+N(AO214)+N(AO215)+N(AO222)+N(AO223)+N(AO224)),""),"")</f>
        <v>0.366194277302613</v>
      </c>
      <c r="AP352" s="262">
        <f>IFERROR(IF((N(AP208)+N(AP212)+N(AP214)+N(AP215)+N(AP222)+N(AP223)+N(AP224))&lt;&gt;0,N(AP154)/(N(AP208)+N(AP212)+N(AP214)+N(AP215)+N(AP222)+N(AP223)+N(AP224)),""),"")</f>
        <v>0.493456864662935</v>
      </c>
      <c r="AQ352" s="262">
        <f>IFERROR(IF((N(AQ208)+N(AQ212)+N(AQ214)+N(AQ215)+N(AQ222)+N(AQ223)+N(AQ224))&lt;&gt;0,N(AQ154)/(N(AQ208)+N(AQ212)+N(AQ214)+N(AQ215)+N(AQ222)+N(AQ223)+N(AQ224)),""),"")</f>
        <v>0.493456864662935</v>
      </c>
      <c r="AR352" s="262">
        <f>IFERROR(IF((N(AR208)+N(AR212)+N(AR214)+N(AR215)+N(AR222)+N(AR223)+N(AR224))&lt;&gt;0,N(AR154)/(N(AR208)+N(AR212)+N(AR214)+N(AR215)+N(AR222)+N(AR223)+N(AR224)),""),"")</f>
        <v>0.703042070708611</v>
      </c>
      <c r="AS352" s="262">
        <f>IFERROR(IF((N(AS208)+N(AS212)+N(AS214)+N(AS215)+N(AS222)+N(AS223)+N(AS224))&lt;&gt;0,N(AS154)/(N(AS208)+N(AS212)+N(AS214)+N(AS215)+N(AS222)+N(AS223)+N(AS224)),""),"")</f>
        <v>0.745719156981348</v>
      </c>
      <c r="AT352" s="262">
        <f>IFERROR(IF((N(AT208)+N(AT212)+N(AT214)+N(AT215)+N(AT222)+N(AT223)+N(AT224))&lt;&gt;0,N(AT154)/(N(AT208)+N(AT212)+N(AT214)+N(AT215)+N(AT222)+N(AT223)+N(AT224)),""),"")</f>
        <v>0.598313012938779</v>
      </c>
      <c r="AU352" s="262">
        <f>IFERROR(IF((N(AU208)+N(AU212)+N(AU214)+N(AU215)+N(AU222)+N(AU223)+N(AU224))&lt;&gt;0,N(AU154)/(N(AU208)+N(AU212)+N(AU214)+N(AU215)+N(AU222)+N(AU223)+N(AU224)),""),"")</f>
        <v>0.717486572641754</v>
      </c>
      <c r="AV352" s="262">
        <f>IFERROR(IF((N(AV208)+N(AV212)+N(AV214)+N(AV215)+N(AV222)+N(AV223)+N(AV224))&lt;&gt;0,N(AV154)/(N(AV208)+N(AV212)+N(AV214)+N(AV215)+N(AV222)+N(AV223)+N(AV224)),""),"")</f>
        <v>0.717486572641754</v>
      </c>
      <c r="AW352" s="262">
        <f>IFERROR(IF((N(AW208)+N(AW212)+N(AW214)+N(AW215)+N(AW222)+N(AW223)+N(AW224))&lt;&gt;0,N(AW154)/(N(AW208)+N(AW212)+N(AW214)+N(AW215)+N(AW222)+N(AW223)+N(AW224)),""),"")</f>
        <v>0.90954285482529</v>
      </c>
      <c r="AX352" s="262">
        <f>IFERROR(IF((N(AX208)+N(AX212)+N(AX214)+N(AX215)+N(AX222)+N(AX223)+N(AX224))&lt;&gt;0,N(AX154)/(N(AX208)+N(AX212)+N(AX214)+N(AX215)+N(AX222)+N(AX223)+N(AX224)),""),"")</f>
        <v>0.948712636552422</v>
      </c>
      <c r="AY352" s="262">
        <f>IFERROR(IF((N(AY208)+N(AY212)+N(AY214)+N(AY215)+N(AY222)+N(AY223)+N(AY224))&lt;&gt;0,N(AY154)/(N(AY208)+N(AY212)+N(AY214)+N(AY215)+N(AY222)+N(AY223)+N(AY224)),""),"")</f>
        <v>0.789566611677677</v>
      </c>
      <c r="AZ352" s="262">
        <f>IFERROR(IF((N(AZ208)+N(AZ212)+N(AZ214)+N(AZ215)+N(AZ222)+N(AZ223)+N(AZ224))&lt;&gt;0,N(AZ154)/(N(AZ208)+N(AZ212)+N(AZ214)+N(AZ215)+N(AZ222)+N(AZ223)+N(AZ224)),""),"")</f>
        <v>0.892871744725556</v>
      </c>
      <c r="BA352" s="262">
        <f>IFERROR(IF((N(BA208)+N(BA212)+N(BA214)+N(BA215)+N(BA222)+N(BA223)+N(BA224))&lt;&gt;0,N(BA154)/(N(BA208)+N(BA212)+N(BA214)+N(BA215)+N(BA222)+N(BA223)+N(BA224)),""),"")</f>
        <v>0.892871744725556</v>
      </c>
      <c r="BB352" s="262">
        <f>IFERROR(IF((N(BB208)+N(BB212)+N(BB214)+N(BB215)+N(BB222)+N(BB223)+N(BB224))&lt;&gt;0,N(BB154)/(N(BB208)+N(BB212)+N(BB214)+N(BB215)+N(BB222)+N(BB223)+N(BB224)),""),"")</f>
        <v>1.06473681239083</v>
      </c>
      <c r="BC352" s="262">
        <f>IFERROR(IF((N(BC208)+N(BC212)+N(BC214)+N(BC215)+N(BC222)+N(BC223)+N(BC224))&lt;&gt;0,N(BC154)/(N(BC208)+N(BC212)+N(BC214)+N(BC215)+N(BC222)+N(BC223)+N(BC224)),""),"")</f>
        <v>1.08742328948354</v>
      </c>
      <c r="BD352" s="262">
        <f>IFERROR(IF((N(BD208)+N(BD212)+N(BD214)+N(BD215)+N(BD222)+N(BD223)+N(BD224))&lt;&gt;0,N(BD154)/(N(BD208)+N(BD212)+N(BD214)+N(BD215)+N(BD222)+N(BD223)+N(BD224)),""),"")</f>
        <v>0.932040455398875</v>
      </c>
      <c r="BE352" s="262">
        <f>IFERROR(IF((N(BE208)+N(BE212)+N(BE214)+N(BE215)+N(BE222)+N(BE223)+N(BE224))&lt;&gt;0,N(BE154)/(N(BE208)+N(BE212)+N(BE214)+N(BE215)+N(BE222)+N(BE223)+N(BE224)),""),"")</f>
        <v>1.01430192204908</v>
      </c>
      <c r="BF352" s="262">
        <f>IFERROR(IF((N(BF208)+N(BF212)+N(BF214)+N(BF215)+N(BF222)+N(BF223)+N(BF224))&lt;&gt;0,N(BF154)/(N(BF208)+N(BF212)+N(BF214)+N(BF215)+N(BF222)+N(BF223)+N(BF224)),""),"")</f>
        <v>1.01430192204908</v>
      </c>
      <c r="BG352" s="82" t="n"/>
      <c r="BH352" s="82" t="n"/>
      <c r="BI352" s="82" t="n"/>
      <c r="BJ352" s="82" t="n"/>
      <c r="BL352" s="82" t="n"/>
      <c r="BM352" s="82" t="n"/>
      <c r="BN352" s="82" t="n"/>
      <c r="BO352" s="82" t="n"/>
      <c r="BQ352" s="82" t="n"/>
      <c r="BR352" s="82" t="n"/>
      <c r="BS352" s="82" t="n"/>
      <c r="BT352" s="82" t="n"/>
      <c r="BV352" s="82" t="n"/>
      <c r="BW352" s="82" t="n"/>
      <c r="BX352" s="82" t="n"/>
      <c r="BY352" s="82" t="n"/>
      <c r="CA352" s="82" t="n"/>
      <c r="CB352" s="82" t="n"/>
      <c r="CC352" s="82" t="n"/>
      <c r="CD352" s="82" t="n"/>
      <c r="CF352" s="82" t="n"/>
      <c r="CG352" s="82" t="n"/>
      <c r="CH352" s="82" t="n"/>
      <c r="CI352" s="82" t="n"/>
      <c r="CK352" s="82" t="n"/>
      <c r="CL352" s="82" t="n"/>
      <c r="CM352" s="82" t="n"/>
      <c r="CN352" s="82" t="n"/>
      <c r="CP352" s="82" t="n"/>
      <c r="CQ352" s="82" t="n"/>
      <c r="CR352" s="82" t="n"/>
      <c r="CS352" s="82" t="n"/>
      <c r="CU352" s="82" t="n"/>
      <c r="CV352" s="82" t="n"/>
      <c r="CW352" s="82" t="n"/>
      <c r="CX352" s="82" t="n"/>
    </row>
    <row r="353" customFormat="1" s="77">
      <c r="A353" s="76" t="n"/>
      <c r="B353" s="76" t="n"/>
    </row>
    <row r="354" customFormat="1" s="77">
      <c r="A354" s="76" t="n"/>
      <c r="B354" s="76" t="n"/>
      <c r="C354" s="74" t="inlineStr">
        <is>
          <t>OPERATING EFFICIENCY</t>
        </is>
      </c>
    </row>
    <row r="355" customFormat="1" s="84">
      <c r="A355" s="81" t="n"/>
      <c r="B355" s="81" t="n"/>
      <c r="C355" s="84" t="inlineStr">
        <is>
          <t>RETURN ON CAPITAL (ROIC) - LTM</t>
        </is>
      </c>
      <c r="D355" t="str">
        <f>IFERROR(D357/D360,"")</f>
        <v/>
      </c>
      <c r="E355" t="str">
        <f>IFERROR(E357/E360,"")</f>
        <v/>
      </c>
      <c r="F355" t="str">
        <f>IFERROR(F357/F360,"")</f>
        <v/>
      </c>
      <c r="G355" t="str">
        <f>IFERROR(G357/G360,"")</f>
        <v/>
      </c>
      <c r="H355" s="257" t="str">
        <f>IFERROR(IF(AND(COUNT(H357)=1,N(H360)&lt;&gt;0),(H357)/H360,""),"")</f>
        <v/>
      </c>
      <c r="I355" s="257" t="str">
        <f>""</f>
        <v/>
      </c>
      <c r="J355" s="257" t="str">
        <f>""</f>
        <v/>
      </c>
      <c r="K355" s="257" t="str">
        <f>""</f>
        <v/>
      </c>
      <c r="L355" s="257">
        <f>IFERROR(IF(AND(COUNT(I357,J357,K357,L357)=4,N(L360)&lt;&gt;0),(I357+J357+K357+L357)/L360,""),"")</f>
        <v>0.117875636374476</v>
      </c>
      <c r="M355" s="257">
        <f>IFERROR(IF(AND(COUNT(I357,J357,K357,L357)=4,N(M360)&lt;&gt;0),(I357+J357+K357+L357)/M360,""),"")</f>
        <v>0.117875636374476</v>
      </c>
      <c r="N355" s="257">
        <f>IFERROR(IF(AND(COUNT(J357,K357,L357,N357)=4,N(N360)&lt;&gt;0),(J357+K357+L357+N357)/N360,""),"")</f>
        <v>0.115488698679494</v>
      </c>
      <c r="O355" s="257">
        <f>IFERROR(IF(AND(COUNT(K357,L357,N357,O357)=4,N(O360)&lt;&gt;0),(K357+L357+N357+O357)/O360,""),"")</f>
        <v>0.125278934417552</v>
      </c>
      <c r="P355" s="257">
        <f>IFERROR(IF(AND(COUNT(L357,N357,O357,P357)=4,N(P360)&lt;&gt;0),(L357+N357+O357+P357)/P360,""),"")</f>
        <v>0.120462671259854</v>
      </c>
      <c r="Q355" s="257">
        <f>IFERROR(IF(AND(COUNT(N357,O357,P357,Q357)=4,N(Q360)&lt;&gt;0),(N357+O357+P357+Q357)/Q360,""),"")</f>
        <v>0.149790940937461</v>
      </c>
      <c r="R355" s="257">
        <f>IFERROR(IF(AND(COUNT(N357,O357,P357,Q357)=4,N(R360)&lt;&gt;0),(N357+O357+P357+Q357)/R360,""),"")</f>
        <v>0.149790940937461</v>
      </c>
      <c r="S355" s="257">
        <f>IFERROR(IF(AND(COUNT(O357,P357,Q357,S357)=4,N(S360)&lt;&gt;0),(O357+P357+Q357+S357)/S360,""),"")</f>
        <v>0.152105113344175</v>
      </c>
      <c r="T355" s="257">
        <f>IFERROR(IF(AND(COUNT(P357,Q357,S357,T357)=4,N(T360)&lt;&gt;0),(P357+Q357+S357+T357)/T360,""),"")</f>
        <v>0.146385780838474</v>
      </c>
      <c r="U355" s="257">
        <f>IFERROR(IF(AND(COUNT(Q357,S357,T357,U357)=4,N(U360)&lt;&gt;0),(Q357+S357+T357+U357)/U360,""),"")</f>
        <v>0.139468289037354</v>
      </c>
      <c r="V355" s="257">
        <f>IFERROR(IF(AND(COUNT(S357,T357,U357,V357)=4,N(V360)&lt;&gt;0),(S357+T357+U357+V357)/V360,""),"")</f>
        <v>0.145117203425428</v>
      </c>
      <c r="W355" s="257">
        <f>IFERROR(IF(AND(COUNT(S357,T357,U357,V357)=4,N(W360)&lt;&gt;0),(S357+T357+U357+V357)/W360,""),"")</f>
        <v>0.145117203425428</v>
      </c>
      <c r="X355" s="257">
        <f>IFERROR(IF(AND(COUNT(T357,U357,V357,X357)=4,N(X360)&lt;&gt;0),(T357+U357+V357+X357)/X360,""),"")</f>
        <v>0.145462849063081</v>
      </c>
      <c r="Y355" s="257">
        <f>IFERROR(IF(AND(COUNT(U357,V357,X357,Y357)=4,N(Y360)&lt;&gt;0),(U357+V357+X357+Y357)/Y360,""),"")</f>
        <v>0.14887015929803</v>
      </c>
      <c r="Z355" s="257">
        <f>IFERROR(IF(AND(COUNT(V357,X357,Y357,Z357)=4,N(Z360)&lt;&gt;0),(V357+X357+Y357+Z357)/Z360,""),"")</f>
        <v>0.144605498200082</v>
      </c>
      <c r="AA355" s="257">
        <f>IFERROR(IF(AND(COUNT(X357,Y357,Z357,AA357)=4,N(AA360)&lt;&gt;0),(X357+Y357+Z357+AA357)/AA360,""),"")</f>
        <v>0.147045525132623</v>
      </c>
      <c r="AB355" s="257">
        <f>IFERROR(IF(AND(COUNT(X357,Y357,Z357,AA357)=4,N(AB360)&lt;&gt;0),(X357+Y357+Z357+AA357)/AB360,""),"")</f>
        <v>0.147045525132623</v>
      </c>
      <c r="AC355" s="257">
        <f>IFERROR(IF(AND(COUNT(Y357,Z357,AA357,AC357)=4,N(AC360)&lt;&gt;0),(Y357+Z357+AA357+AC357)/AC360,""),"")</f>
        <v>0.148607941035945</v>
      </c>
      <c r="AD355" s="257">
        <f>IFERROR(IF(AND(COUNT(Z357,AA357,AC357,AD357)=4,N(AD360)&lt;&gt;0),(Z357+AA357+AC357+AD357)/AD360,""),"")</f>
        <v>0.150537627227982</v>
      </c>
      <c r="AE355" s="257">
        <f>IFERROR(IF(AND(COUNT(AA357,AC357,AD357,AE357)=4,N(AE360)&lt;&gt;0),(AA357+AC357+AD357+AE357)/AE360,""),"")</f>
        <v>0.131033874401194</v>
      </c>
      <c r="AF355" s="257">
        <f>IFERROR(IF(AND(COUNT(AB357,AD357,AE357,AF357)=4,N(AF360)&lt;&gt;0),(AB357+AD357+AE357+AF357)/AF360,""),"")</f>
        <v>0.21061246010366</v>
      </c>
      <c r="AG355" s="257">
        <f>IFERROR(IF(AND(COUNT(AC357,AD357,AE357,AF357)=4,N(AG360)&lt;&gt;0),(AC357+AD357+AE357+AF357)/AG360,""),"")</f>
        <v>0.130508639021323</v>
      </c>
      <c r="AH355" s="257">
        <f>IFERROR(IF(AND(COUNT(AD357,AF357,AG357,AH357)=4,N(AH360)&lt;&gt;0),(AD357+AF357+AG357+AH357)/AH360,""),"")</f>
        <v>0.220515987441848</v>
      </c>
      <c r="AI355" s="257">
        <f>IFERROR(IF(AND(COUNT(AE357,AG357,AH357,AI357)=4,N(AI360)&lt;&gt;0),(AE357+AG357+AH357+AI357)/AI360,""),"")</f>
        <v>0.215844002301241</v>
      </c>
      <c r="AJ355" s="257">
        <f>IFERROR(IF(AND(COUNT(AF357,AH357,AI357,AJ357)=4,N(AJ360)&lt;&gt;0),(AF357+AH357+AI357+AJ357)/AJ360,""),"")</f>
        <v>0.103242406128352</v>
      </c>
      <c r="AK355" s="257">
        <f>IFERROR(IF(AND(COUNT(AH357,AI357,AJ357,AK357)=4,N(AK360)&lt;&gt;0),(AH357+AI357+AJ357+AK357)/AK360,""),"")</f>
        <v>0.114950906070136</v>
      </c>
      <c r="AL355" s="257">
        <f>IFERROR(IF(AND(COUNT(AH357,AI357,AJ357,AK357)=4,N(AL360)&lt;&gt;0),(AH357+AI357+AJ357+AK357)/AL360,""),"")</f>
        <v>0.114950906070136</v>
      </c>
      <c r="AM355" s="257">
        <f>IFERROR(IF(AND(COUNT(AI357,AJ357,AK357,AM357)=4,N(AM360)&lt;&gt;0),(AI357+AJ357+AK357+AM357)/AM360,""),"")</f>
        <v>0.129748861585748</v>
      </c>
      <c r="AN355" s="257">
        <f>IFERROR(IF(AND(COUNT(AJ357,AK357,AM357,AN357)=4,N(AN360)&lt;&gt;0),(AJ357+AK357+AM357+AN357)/AN360,""),"")</f>
        <v>0.13632752686237</v>
      </c>
      <c r="AO355" s="257">
        <f>IFERROR(IF(AND(COUNT(AK357,AM357,AN357,AO357)=4,N(AO360)&lt;&gt;0),(AK357+AM357+AN357+AO357)/AO360,""),"")</f>
        <v>0.130867918243173</v>
      </c>
      <c r="AP355" s="257">
        <f>IFERROR(IF(AND(COUNT(AM357,AN357,AO357,AP357)=4,N(AP360)&lt;&gt;0),(AM357+AN357+AO357+AP357)/AP360,""),"")</f>
        <v>0.137206194265678</v>
      </c>
      <c r="AQ355" s="257">
        <f>IFERROR(IF(AND(COUNT(AM357,AN357,AO357,AP357)=4,N(AQ360)&lt;&gt;0),(AM357+AN357+AO357+AP357)/AQ360,""),"")</f>
        <v>0.137206194265678</v>
      </c>
      <c r="AR355" s="257">
        <f>IFERROR(IF(AND(COUNT(AN357,AO357,AP357,AR357)=4,N(AR360)&lt;&gt;0),(AN357+AO357+AP357+AR357)/AR360,""),"")</f>
        <v>0.147886987993089</v>
      </c>
      <c r="AS355" s="257">
        <f>IFERROR(IF(AND(COUNT(AO357,AP357,AR357,AS357)=4,N(AS360)&lt;&gt;0),(AO357+AP357+AR357+AS357)/AS360,""),"")</f>
        <v>0.151340214944774</v>
      </c>
      <c r="AT355" s="257">
        <f>IFERROR(IF(AND(COUNT(AP357,AR357,AS357,AT357)=4,N(AT360)&lt;&gt;0),(AP357+AR357+AS357+AT357)/AT360,""),"")</f>
        <v>0.14490501040033</v>
      </c>
      <c r="AU355" s="257">
        <f>IFERROR(IF(AND(COUNT(AR357,AS357,AT357,AU357)=4,N(AU360)&lt;&gt;0),(AR357+AS357+AT357+AU357)/AU360,""),"")</f>
        <v>0.153170247598917</v>
      </c>
      <c r="AV355" s="257">
        <f>IFERROR(IF(AND(COUNT(AR357,AS357,AT357,AU357)=4,N(AV360)&lt;&gt;0),(AR357+AS357+AT357+AU357)/AV360,""),"")</f>
        <v>0.153170247598917</v>
      </c>
      <c r="AW355" s="257">
        <f>IFERROR(IF(AND(COUNT(AS357,AT357,AU357,AW357)=4,N(AW360)&lt;&gt;0),(AS357+AT357+AU357+AW357)/AW360,""),"")</f>
        <v>0.166995906442091</v>
      </c>
      <c r="AX355" s="257">
        <f>IFERROR(IF(AND(COUNT(AT357,AU357,AW357,AX357)=4,N(AX360)&lt;&gt;0),(AT357+AU357+AW357+AX357)/AX360,""),"")</f>
        <v>0.173230369900352</v>
      </c>
      <c r="AY355" s="257">
        <f>IFERROR(IF(AND(COUNT(AU357,AW357,AX357,AY357)=4,N(AY360)&lt;&gt;0),(AU357+AW357+AX357+AY357)/AY360,""),"")</f>
        <v>0.165803237459497</v>
      </c>
      <c r="AZ355" s="257">
        <f>IFERROR(IF(AND(COUNT(AW357,AX357,AY357,AZ357)=4,N(AZ360)&lt;&gt;0),(AW357+AX357+AY357+AZ357)/AZ360,""),"")</f>
        <v>0.178082317068325</v>
      </c>
      <c r="BA355" s="257">
        <f>IFERROR(IF(AND(COUNT(AW357,AX357,AY357,AZ357)=4,N(BA360)&lt;&gt;0),(AW357+AX357+AY357+AZ357)/BA360,""),"")</f>
        <v>0.178082317068325</v>
      </c>
      <c r="BB355" s="257">
        <f>IFERROR(IF(AND(COUNT(AX357,AY357,AZ357,BB357)=4,N(BB360)&lt;&gt;0),(AX357+AY357+AZ357+BB357)/BB360,""),"")</f>
        <v>0.199639893890612</v>
      </c>
      <c r="BC355" s="257">
        <f>IFERROR(IF(AND(COUNT(AY357,AZ357,BB357,BC357)=4,N(BC360)&lt;&gt;0),(AY357+AZ357+BB357+BC357)/BC360,""),"")</f>
        <v>0.211437160127544</v>
      </c>
      <c r="BD355" s="257">
        <f>IFERROR(IF(AND(COUNT(AZ357,BB357,BC357,BD357)=4,N(BD360)&lt;&gt;0),(AZ357+BB357+BC357+BD357)/BD360,""),"")</f>
        <v>0.203087941962416</v>
      </c>
      <c r="BE355" s="257">
        <f>IFERROR(IF(AND(COUNT(BB357,BC357,BD357,BE357)=4,N(BE360)&lt;&gt;0),(BB357+BC357+BD357+BE357)/BE360,""),"")</f>
        <v>0.225600195636556</v>
      </c>
      <c r="BF355" s="257">
        <f>IFERROR(IF(AND(COUNT(BB357,BC357,BD357,BE357)=4,N(BF360)&lt;&gt;0),(BB357+BC357+BD357+BE357)/BF360,""),"")</f>
        <v>0.225600195636556</v>
      </c>
      <c r="BG355" s="81" t="n"/>
      <c r="BH355" s="81" t="n"/>
      <c r="BI355" s="81" t="n"/>
      <c r="BJ355" s="81" t="n"/>
      <c r="BL355" s="81" t="n"/>
      <c r="BM355" s="81" t="n"/>
      <c r="BN355" s="81" t="n"/>
      <c r="BO355" s="81" t="n"/>
      <c r="BQ355" s="81" t="n"/>
      <c r="BR355" s="81" t="n"/>
      <c r="BS355" s="81" t="n"/>
      <c r="BT355" s="81" t="n"/>
      <c r="BV355" s="81" t="n"/>
      <c r="BW355" s="81" t="n"/>
      <c r="BX355" s="81" t="n"/>
      <c r="BY355" s="81" t="n"/>
      <c r="CA355" s="81" t="n"/>
      <c r="CB355" s="81" t="n"/>
      <c r="CC355" s="81" t="n"/>
      <c r="CD355" s="81" t="n"/>
      <c r="CF355" s="81" t="n"/>
      <c r="CG355" s="81" t="n"/>
      <c r="CH355" s="81" t="n"/>
      <c r="CI355" s="81" t="n"/>
      <c r="CK355" s="81" t="n"/>
      <c r="CL355" s="81" t="n"/>
      <c r="CM355" s="81" t="n"/>
      <c r="CN355" s="81" t="n"/>
      <c r="CP355" s="81" t="n"/>
      <c r="CQ355" s="81" t="n"/>
      <c r="CR355" s="81" t="n"/>
      <c r="CS355" s="81" t="n"/>
      <c r="CU355" s="81" t="n"/>
      <c r="CV355" s="81" t="n"/>
      <c r="CW355" s="81" t="n"/>
      <c r="CX355" s="81" t="n"/>
    </row>
    <row r="356" customFormat="1" s="84">
      <c r="A356" s="81" t="n"/>
      <c r="B356" s="81" t="n"/>
      <c r="C356" s="84" t="inlineStr">
        <is>
          <t>RETURN ON CAPITAL (ROIC) - EX GOODWILL - LTM</t>
        </is>
      </c>
      <c r="D356" t="str">
        <f>IFERROR(D357/D361,"")</f>
        <v/>
      </c>
      <c r="E356" t="str">
        <f>IFERROR(E357/E361,"")</f>
        <v/>
      </c>
      <c r="F356" t="str">
        <f>IFERROR(F357/F361,"")</f>
        <v/>
      </c>
      <c r="G356" t="str">
        <f>IFERROR(G357/G361,"")</f>
        <v/>
      </c>
      <c r="H356" s="257" t="str">
        <f>IFERROR(IF(AND(COUNT(H357)=1,N(H361)&lt;&gt;0),(H357)/H361,""),"")</f>
        <v/>
      </c>
      <c r="I356" s="257" t="str">
        <f>""</f>
        <v/>
      </c>
      <c r="J356" s="257" t="str">
        <f>""</f>
        <v/>
      </c>
      <c r="K356" s="257" t="str">
        <f>""</f>
        <v/>
      </c>
      <c r="L356" s="257">
        <f>IFERROR(IF(AND(COUNT(I357,J357,K357,L357)=4,N(L361)&lt;&gt;0),(I357+J357+K357+L357)/L361,""),"")</f>
        <v>0.117875636374476</v>
      </c>
      <c r="M356" s="257">
        <f>IFERROR(IF(AND(COUNT(I357,J357,K357,L357)=4,N(M361)&lt;&gt;0),(I357+J357+K357+L357)/M361,""),"")</f>
        <v>0.117875636374476</v>
      </c>
      <c r="N356" s="257">
        <f>IFERROR(IF(AND(COUNT(J357,K357,L357,N357)=4,N(N361)&lt;&gt;0),(J357+K357+L357+N357)/N361,""),"")</f>
        <v>0.115488698679494</v>
      </c>
      <c r="O356" s="257">
        <f>IFERROR(IF(AND(COUNT(K357,L357,N357,O357)=4,N(O361)&lt;&gt;0),(K357+L357+N357+O357)/O361,""),"")</f>
        <v>0.125278934417552</v>
      </c>
      <c r="P356" s="257">
        <f>IFERROR(IF(AND(COUNT(L357,N357,O357,P357)=4,N(P361)&lt;&gt;0),(L357+N357+O357+P357)/P361,""),"")</f>
        <v>0.120462671259854</v>
      </c>
      <c r="Q356" s="257">
        <f>IFERROR(IF(AND(COUNT(N357,O357,P357,Q357)=4,N(Q361)&lt;&gt;0),(N357+O357+P357+Q357)/Q361,""),"")</f>
        <v>0.149790940937461</v>
      </c>
      <c r="R356" s="257">
        <f>IFERROR(IF(AND(COUNT(N357,O357,P357,Q357)=4,N(R361)&lt;&gt;0),(N357+O357+P357+Q357)/R361,""),"")</f>
        <v>0.149790940937461</v>
      </c>
      <c r="S356" s="257">
        <f>IFERROR(IF(AND(COUNT(O357,P357,Q357,S357)=4,N(S361)&lt;&gt;0),(O357+P357+Q357+S357)/S361,""),"")</f>
        <v>0.152105113344175</v>
      </c>
      <c r="T356" s="257">
        <f>IFERROR(IF(AND(COUNT(P357,Q357,S357,T357)=4,N(T361)&lt;&gt;0),(P357+Q357+S357+T357)/T361,""),"")</f>
        <v>0.146385780838474</v>
      </c>
      <c r="U356" s="257">
        <f>IFERROR(IF(AND(COUNT(Q357,S357,T357,U357)=4,N(U361)&lt;&gt;0),(Q357+S357+T357+U357)/U361,""),"")</f>
        <v>0.139468289037354</v>
      </c>
      <c r="V356" s="257">
        <f>IFERROR(IF(AND(COUNT(S357,T357,U357,V357)=4,N(V361)&lt;&gt;0),(S357+T357+U357+V357)/V361,""),"")</f>
        <v>0.145117203425428</v>
      </c>
      <c r="W356" s="257">
        <f>IFERROR(IF(AND(COUNT(S357,T357,U357,V357)=4,N(W361)&lt;&gt;0),(S357+T357+U357+V357)/W361,""),"")</f>
        <v>0.145117203425428</v>
      </c>
      <c r="X356" s="257">
        <f>IFERROR(IF(AND(COUNT(T357,U357,V357,X357)=4,N(X361)&lt;&gt;0),(T357+U357+V357+X357)/X361,""),"")</f>
        <v>0.145462849063081</v>
      </c>
      <c r="Y356" s="257">
        <f>IFERROR(IF(AND(COUNT(U357,V357,X357,Y357)=4,N(Y361)&lt;&gt;0),(U357+V357+X357+Y357)/Y361,""),"")</f>
        <v>0.14887015929803</v>
      </c>
      <c r="Z356" s="257">
        <f>IFERROR(IF(AND(COUNT(V357,X357,Y357,Z357)=4,N(Z361)&lt;&gt;0),(V357+X357+Y357+Z357)/Z361,""),"")</f>
        <v>0.144605498200082</v>
      </c>
      <c r="AA356" s="257">
        <f>IFERROR(IF(AND(COUNT(X357,Y357,Z357,AA357)=4,N(AA361)&lt;&gt;0),(X357+Y357+Z357+AA357)/AA361,""),"")</f>
        <v>0.147045525132623</v>
      </c>
      <c r="AB356" s="257">
        <f>IFERROR(IF(AND(COUNT(X357,Y357,Z357,AA357)=4,N(AB361)&lt;&gt;0),(X357+Y357+Z357+AA357)/AB361,""),"")</f>
        <v>0.147045525132623</v>
      </c>
      <c r="AC356" s="257">
        <f>IFERROR(IF(AND(COUNT(Y357,Z357,AA357,AC357)=4,N(AC361)&lt;&gt;0),(Y357+Z357+AA357+AC357)/AC361,""),"")</f>
        <v>0.148607941035945</v>
      </c>
      <c r="AD356" s="257">
        <f>IFERROR(IF(AND(COUNT(Z357,AA357,AC357,AD357)=4,N(AD361)&lt;&gt;0),(Z357+AA357+AC357+AD357)/AD361,""),"")</f>
        <v>0.150537627227982</v>
      </c>
      <c r="AE356" s="257">
        <f>IFERROR(IF(AND(COUNT(AA357,AC357,AD357,AE357)=4,N(AE361)&lt;&gt;0),(AA357+AC357+AD357+AE357)/AE361,""),"")</f>
        <v>0.131033874401194</v>
      </c>
      <c r="AF356" s="257">
        <f>IFERROR(IF(AND(COUNT(AB357,AD357,AE357,AF357)=4,N(AF361)&lt;&gt;0),(AB357+AD357+AE357+AF357)/AF361,""),"")</f>
        <v>0.21061246010366</v>
      </c>
      <c r="AG356" s="257">
        <f>IFERROR(IF(AND(COUNT(AC357,AD357,AE357,AF357)=4,N(AG361)&lt;&gt;0),(AC357+AD357+AE357+AF357)/AG361,""),"")</f>
        <v>0.130508639021323</v>
      </c>
      <c r="AH356" s="257">
        <f>IFERROR(IF(AND(COUNT(AD357,AF357,AG357,AH357)=4,N(AH361)&lt;&gt;0),(AD357+AF357+AG357+AH357)/AH361,""),"")</f>
        <v>0.220515987441848</v>
      </c>
      <c r="AI356" s="257">
        <f>IFERROR(IF(AND(COUNT(AE357,AG357,AH357,AI357)=4,N(AI361)&lt;&gt;0),(AE357+AG357+AH357+AI357)/AI361,""),"")</f>
        <v>0.215844002301241</v>
      </c>
      <c r="AJ356" s="257">
        <f>IFERROR(IF(AND(COUNT(AF357,AH357,AI357,AJ357)=4,N(AJ361)&lt;&gt;0),(AF357+AH357+AI357+AJ357)/AJ361,""),"")</f>
        <v>0.103242406128352</v>
      </c>
      <c r="AK356" s="257">
        <f>IFERROR(IF(AND(COUNT(AH357,AI357,AJ357,AK357)=4,N(AK361)&lt;&gt;0),(AH357+AI357+AJ357+AK357)/AK361,""),"")</f>
        <v>0.114950906070136</v>
      </c>
      <c r="AL356" s="257">
        <f>IFERROR(IF(AND(COUNT(AH357,AI357,AJ357,AK357)=4,N(AL361)&lt;&gt;0),(AH357+AI357+AJ357+AK357)/AL361,""),"")</f>
        <v>0.114950906070136</v>
      </c>
      <c r="AM356" s="257">
        <f>IFERROR(IF(AND(COUNT(AI357,AJ357,AK357,AM357)=4,N(AM361)&lt;&gt;0),(AI357+AJ357+AK357+AM357)/AM361,""),"")</f>
        <v>0.129748861585748</v>
      </c>
      <c r="AN356" s="257">
        <f>IFERROR(IF(AND(COUNT(AJ357,AK357,AM357,AN357)=4,N(AN361)&lt;&gt;0),(AJ357+AK357+AM357+AN357)/AN361,""),"")</f>
        <v>0.13632752686237</v>
      </c>
      <c r="AO356" s="257">
        <f>IFERROR(IF(AND(COUNT(AK357,AM357,AN357,AO357)=4,N(AO361)&lt;&gt;0),(AK357+AM357+AN357+AO357)/AO361,""),"")</f>
        <v>0.130867918243173</v>
      </c>
      <c r="AP356" s="257">
        <f>IFERROR(IF(AND(COUNT(AM357,AN357,AO357,AP357)=4,N(AP361)&lt;&gt;0),(AM357+AN357+AO357+AP357)/AP361,""),"")</f>
        <v>0.137206194265678</v>
      </c>
      <c r="AQ356" s="257">
        <f>IFERROR(IF(AND(COUNT(AM357,AN357,AO357,AP357)=4,N(AQ361)&lt;&gt;0),(AM357+AN357+AO357+AP357)/AQ361,""),"")</f>
        <v>0.137206194265678</v>
      </c>
      <c r="AR356" s="257">
        <f>IFERROR(IF(AND(COUNT(AN357,AO357,AP357,AR357)=4,N(AR361)&lt;&gt;0),(AN357+AO357+AP357+AR357)/AR361,""),"")</f>
        <v>0.147886987993089</v>
      </c>
      <c r="AS356" s="257">
        <f>IFERROR(IF(AND(COUNT(AO357,AP357,AR357,AS357)=4,N(AS361)&lt;&gt;0),(AO357+AP357+AR357+AS357)/AS361,""),"")</f>
        <v>0.151340214944774</v>
      </c>
      <c r="AT356" s="257">
        <f>IFERROR(IF(AND(COUNT(AP357,AR357,AS357,AT357)=4,N(AT361)&lt;&gt;0),(AP357+AR357+AS357+AT357)/AT361,""),"")</f>
        <v>0.14490501040033</v>
      </c>
      <c r="AU356" s="257">
        <f>IFERROR(IF(AND(COUNT(AR357,AS357,AT357,AU357)=4,N(AU361)&lt;&gt;0),(AR357+AS357+AT357+AU357)/AU361,""),"")</f>
        <v>0.153170247598917</v>
      </c>
      <c r="AV356" s="257">
        <f>IFERROR(IF(AND(COUNT(AR357,AS357,AT357,AU357)=4,N(AV361)&lt;&gt;0),(AR357+AS357+AT357+AU357)/AV361,""),"")</f>
        <v>0.153170247598917</v>
      </c>
      <c r="AW356" s="257">
        <f>IFERROR(IF(AND(COUNT(AS357,AT357,AU357,AW357)=4,N(AW361)&lt;&gt;0),(AS357+AT357+AU357+AW357)/AW361,""),"")</f>
        <v>0.166995906442091</v>
      </c>
      <c r="AX356" s="257">
        <f>IFERROR(IF(AND(COUNT(AT357,AU357,AW357,AX357)=4,N(AX361)&lt;&gt;0),(AT357+AU357+AW357+AX357)/AX361,""),"")</f>
        <v>0.173230369900352</v>
      </c>
      <c r="AY356" s="257">
        <f>IFERROR(IF(AND(COUNT(AU357,AW357,AX357,AY357)=4,N(AY361)&lt;&gt;0),(AU357+AW357+AX357+AY357)/AY361,""),"")</f>
        <v>0.165803237459497</v>
      </c>
      <c r="AZ356" s="257">
        <f>IFERROR(IF(AND(COUNT(AW357,AX357,AY357,AZ357)=4,N(AZ361)&lt;&gt;0),(AW357+AX357+AY357+AZ357)/AZ361,""),"")</f>
        <v>0.178082317068325</v>
      </c>
      <c r="BA356" s="257">
        <f>IFERROR(IF(AND(COUNT(AW357,AX357,AY357,AZ357)=4,N(BA361)&lt;&gt;0),(AW357+AX357+AY357+AZ357)/BA361,""),"")</f>
        <v>0.178082317068325</v>
      </c>
      <c r="BB356" s="257">
        <f>IFERROR(IF(AND(COUNT(AX357,AY357,AZ357,BB357)=4,N(BB361)&lt;&gt;0),(AX357+AY357+AZ357+BB357)/BB361,""),"")</f>
        <v>0.199639893890612</v>
      </c>
      <c r="BC356" s="257">
        <f>IFERROR(IF(AND(COUNT(AY357,AZ357,BB357,BC357)=4,N(BC361)&lt;&gt;0),(AY357+AZ357+BB357+BC357)/BC361,""),"")</f>
        <v>0.211437160127544</v>
      </c>
      <c r="BD356" s="257">
        <f>IFERROR(IF(AND(COUNT(AZ357,BB357,BC357,BD357)=4,N(BD361)&lt;&gt;0),(AZ357+BB357+BC357+BD357)/BD361,""),"")</f>
        <v>0.203087941962416</v>
      </c>
      <c r="BE356" s="257">
        <f>IFERROR(IF(AND(COUNT(BB357,BC357,BD357,BE357)=4,N(BE361)&lt;&gt;0),(BB357+BC357+BD357+BE357)/BE361,""),"")</f>
        <v>0.225600195636556</v>
      </c>
      <c r="BF356" s="257">
        <f>IFERROR(IF(AND(COUNT(BB357,BC357,BD357,BE357)=4,N(BF361)&lt;&gt;0),(BB357+BC357+BD357+BE357)/BF361,""),"")</f>
        <v>0.225600195636556</v>
      </c>
      <c r="BG356" s="81" t="n"/>
      <c r="BH356" s="81" t="n"/>
      <c r="BI356" s="81" t="n"/>
      <c r="BJ356" s="81" t="n"/>
      <c r="BL356" s="81" t="n"/>
      <c r="BM356" s="81" t="n"/>
      <c r="BN356" s="81" t="n"/>
      <c r="BO356" s="81" t="n"/>
      <c r="BQ356" s="81" t="n"/>
      <c r="BR356" s="81" t="n"/>
      <c r="BS356" s="81" t="n"/>
      <c r="BT356" s="81" t="n"/>
      <c r="BV356" s="81" t="n"/>
      <c r="BW356" s="81" t="n"/>
      <c r="BX356" s="81" t="n"/>
      <c r="BY356" s="81" t="n"/>
      <c r="CA356" s="81" t="n"/>
      <c r="CB356" s="81" t="n"/>
      <c r="CC356" s="81" t="n"/>
      <c r="CD356" s="81" t="n"/>
      <c r="CF356" s="81" t="n"/>
      <c r="CG356" s="81" t="n"/>
      <c r="CH356" s="81" t="n"/>
      <c r="CI356" s="81" t="n"/>
      <c r="CK356" s="81" t="n"/>
      <c r="CL356" s="81" t="n"/>
      <c r="CM356" s="81" t="n"/>
      <c r="CN356" s="81" t="n"/>
      <c r="CP356" s="81" t="n"/>
      <c r="CQ356" s="81" t="n"/>
      <c r="CR356" s="81" t="n"/>
      <c r="CS356" s="81" t="n"/>
      <c r="CU356" s="81" t="n"/>
      <c r="CV356" s="81" t="n"/>
      <c r="CW356" s="81" t="n"/>
      <c r="CX356" s="81" t="n"/>
    </row>
    <row r="357" customFormat="1" s="77">
      <c r="A357" s="76" t="n"/>
      <c r="B357" s="76" t="n"/>
      <c r="C357" s="77" t="inlineStr">
        <is>
          <t>NOPLAT</t>
        </is>
      </c>
      <c r="D357">
        <f>IFERROR(D358*(1-D359),"")</f>
        <v>0</v>
      </c>
      <c r="E357">
        <f>IFERROR(E358*(1-E359),"")</f>
        <v>0</v>
      </c>
      <c r="F357">
        <f>IFERROR(F358*(1-F359),"")</f>
        <v>0</v>
      </c>
      <c r="G357">
        <f>IFERROR(G358*(1-G359),"")</f>
        <v>0</v>
      </c>
      <c r="H357" s="263">
        <f>IFERROR(H358*(1-N(H359)),0)</f>
        <v>0</v>
      </c>
      <c r="I357" s="263">
        <f>IFERROR(I358*(1-N(I359)),0)</f>
        <v>181.50038826</v>
      </c>
      <c r="J357" s="263">
        <f>IFERROR(J358*(1-N(J359)),0)</f>
        <v>215.07879179</v>
      </c>
      <c r="K357" s="263">
        <f>IFERROR(K358*(1-N(K359)),0)</f>
        <v>260.125</v>
      </c>
      <c r="L357" s="263">
        <f>IFERROR(L358*(1-N(L359)),0)</f>
        <v>238.006909096273</v>
      </c>
      <c r="M357" s="263">
        <f>IFERROR(M358*(1-N(M359)),0)</f>
        <v>894.34521245441</v>
      </c>
      <c r="N357" s="263">
        <f>IFERROR(N358*(1-N(N359)),0)</f>
        <v>228.062729884842</v>
      </c>
      <c r="O357" s="263">
        <f>IFERROR(O358*(1-N(O359)),0)</f>
        <v>321.945552434481</v>
      </c>
      <c r="P357" s="263">
        <f>IFERROR(P358*(1-N(P359)),0)</f>
        <v>379.674895533229</v>
      </c>
      <c r="Q357" s="263">
        <f>IFERROR(Q358*(1-N(Q359)),0)</f>
        <v>405.436133148158</v>
      </c>
      <c r="R357" s="263">
        <f>IFERROR(R358*(1-N(R359)),0)</f>
        <v>1335.77913485414</v>
      </c>
      <c r="S357" s="263">
        <f>IFERROR(S358*(1-N(S359)),0)</f>
        <v>312.285817765582</v>
      </c>
      <c r="T357" s="263">
        <f>IFERROR(T358*(1-N(T359)),0)</f>
        <v>391.875582892263</v>
      </c>
      <c r="U357" s="263">
        <f>IFERROR(U358*(1-N(U359)),0)</f>
        <v>413.522959156634</v>
      </c>
      <c r="V357" s="263">
        <f>IFERROR(V358*(1-N(V359)),0)</f>
        <v>508.616131354036</v>
      </c>
      <c r="W357" s="263">
        <f>IFERROR(W358*(1-N(W359)),0)</f>
        <v>1626.42796478628</v>
      </c>
      <c r="X357" s="263">
        <f>IFERROR(X358*(1-N(X359)),0)</f>
        <v>357.334843087192</v>
      </c>
      <c r="Y357" s="263">
        <f>IFERROR(Y358*(1-N(Y359)),0)</f>
        <v>452.713990496474</v>
      </c>
      <c r="Z357" s="263">
        <f>IFERROR(Z358*(1-N(Z359)),0)</f>
        <v>487.357640576568</v>
      </c>
      <c r="AA357" s="263">
        <f>IFERROR(AA358*(1-N(AA359)),0)</f>
        <v>462.369229459365</v>
      </c>
      <c r="AB357" s="263">
        <f>IFERROR(AB358*(1-N(AB359)),0)</f>
        <v>1761.03477021</v>
      </c>
      <c r="AC357" s="263">
        <f>IFERROR(AC358*(1-N(AC359)),0)</f>
        <v>443.609039063413</v>
      </c>
      <c r="AD357" s="263">
        <f>IFERROR(AD358*(1-N(AD359)),0)</f>
        <v>578.286421410715</v>
      </c>
      <c r="AE357" s="263">
        <f>IFERROR(AE358*(1-N(AE359)),0)</f>
        <v>671.057000000001</v>
      </c>
      <c r="AF357" s="263">
        <f>IFERROR(AF358*(1-N(AF359)),0)</f>
        <v>453.455</v>
      </c>
      <c r="AG357" s="263">
        <f>IFERROR(AG358*(1-N(AG359)),0)</f>
        <v>2267.548433216</v>
      </c>
      <c r="AH357" s="263">
        <f>IFERROR(AH358*(1-N(AH359)),0)</f>
        <v>384.594000000001</v>
      </c>
      <c r="AI357" s="263">
        <f>IFERROR(AI358*(1-N(AI359)),0)</f>
        <v>475.10395754796</v>
      </c>
      <c r="AJ357" s="263">
        <f>IFERROR(AJ358*(1-N(AJ359)),0)</f>
        <v>694.558879781467</v>
      </c>
      <c r="AK357" s="263">
        <f>IFERROR(AK358*(1-N(AK359)),0)</f>
        <v>680.774522995252</v>
      </c>
      <c r="AL357" s="263">
        <f>IFERROR(AL358*(1-N(AL359)),0)</f>
        <v>2263.84440277672</v>
      </c>
      <c r="AM357" s="263">
        <f>IFERROR(AM358*(1-N(AM359)),0)</f>
        <v>606.717802139305</v>
      </c>
      <c r="AN357" s="263">
        <f>IFERROR(AN358*(1-N(AN359)),0)</f>
        <v>635.768115953191</v>
      </c>
      <c r="AO357" s="263">
        <f>IFERROR(AO358*(1-N(AO359)),0)</f>
        <v>813.621305480568</v>
      </c>
      <c r="AP357" s="263">
        <f>IFERROR(AP358*(1-N(AP359)),0)</f>
        <v>797.474011579239</v>
      </c>
      <c r="AQ357" s="263">
        <f>IFERROR(AQ358*(1-N(AQ359)),0)</f>
        <v>2853.5812351523</v>
      </c>
      <c r="AR357" s="263">
        <f>IFERROR(AR358*(1-N(AR359)),0)</f>
        <v>707.688776802549</v>
      </c>
      <c r="AS357" s="263">
        <f>IFERROR(AS358*(1-N(AS359)),0)</f>
        <v>741.573691628173</v>
      </c>
      <c r="AT357" s="263">
        <f>IFERROR(AT358*(1-N(AT359)),0)</f>
        <v>949.025501519458</v>
      </c>
      <c r="AU357" s="263">
        <f>IFERROR(AU358*(1-N(AU359)),0)</f>
        <v>930.190948405292</v>
      </c>
      <c r="AV357" s="263">
        <f>IFERROR(AV358*(1-N(AV359)),0)</f>
        <v>3328.47891835547</v>
      </c>
      <c r="AW357" s="263">
        <f>IFERROR(AW358*(1-N(AW359)),0)</f>
        <v>821.925063279237</v>
      </c>
      <c r="AX357" s="263">
        <f>IFERROR(AX358*(1-N(AX359)),0)</f>
        <v>861.279736795606</v>
      </c>
      <c r="AY357" s="263">
        <f>IFERROR(AY358*(1-N(AY359)),0)</f>
        <v>1102.21875909108</v>
      </c>
      <c r="AZ357" s="263">
        <f>IFERROR(AZ358*(1-N(AZ359)),0)</f>
        <v>1080.34390143099</v>
      </c>
      <c r="BA357" s="263">
        <f>IFERROR(BA358*(1-N(BA359)),0)</f>
        <v>3865.76746059691</v>
      </c>
      <c r="BB357" s="263">
        <f>IFERROR(BB358*(1-N(BB359)),0)</f>
        <v>950.491933717603</v>
      </c>
      <c r="BC357" s="263">
        <f>IFERROR(BC358*(1-N(BC359)),0)</f>
        <v>996.002530002571</v>
      </c>
      <c r="BD357" s="263">
        <f>IFERROR(BD358*(1-N(BD359)),0)</f>
        <v>1274.62963050243</v>
      </c>
      <c r="BE357" s="263">
        <f>IFERROR(BE358*(1-N(BE359)),0)</f>
        <v>1249.33307162371</v>
      </c>
      <c r="BF357" s="263">
        <f>IFERROR(BF358*(1-N(BF359)),0)</f>
        <v>4470.45716584631</v>
      </c>
      <c r="BG357" s="85" t="n"/>
      <c r="BH357" s="76" t="n"/>
      <c r="BI357" s="76" t="n"/>
      <c r="BJ357" s="76" t="n"/>
      <c r="BL357" s="85" t="n"/>
      <c r="BM357" s="76" t="n"/>
      <c r="BN357" s="76" t="n"/>
      <c r="BO357" s="76" t="n"/>
      <c r="BQ357" s="85" t="n"/>
      <c r="BR357" s="76" t="n"/>
      <c r="BS357" s="76" t="n"/>
      <c r="BT357" s="76" t="n"/>
      <c r="BV357" s="85" t="n"/>
      <c r="BW357" s="76" t="n"/>
      <c r="BX357" s="76" t="n"/>
      <c r="BY357" s="76" t="n"/>
      <c r="CA357" s="85" t="n"/>
      <c r="CB357" s="76" t="n"/>
      <c r="CC357" s="76" t="n"/>
      <c r="CD357" s="76" t="n"/>
      <c r="CF357" s="85" t="n"/>
      <c r="CG357" s="76" t="n"/>
      <c r="CH357" s="76" t="n"/>
      <c r="CI357" s="76" t="n"/>
      <c r="CK357" s="85" t="n"/>
      <c r="CL357" s="76" t="n"/>
      <c r="CM357" s="76" t="n"/>
      <c r="CN357" s="76" t="n"/>
      <c r="CP357" s="85" t="n"/>
      <c r="CQ357" s="76" t="n"/>
      <c r="CR357" s="76" t="n"/>
      <c r="CS357" s="76" t="n"/>
      <c r="CU357" s="85" t="n"/>
      <c r="CV357" s="76" t="n"/>
      <c r="CW357" s="76" t="n"/>
      <c r="CX357" s="76" t="n"/>
    </row>
    <row r="358" customFormat="1" s="77">
      <c r="A358" s="76" t="n"/>
      <c r="B358" s="76" t="n"/>
      <c r="C358" s="77" t="inlineStr">
        <is>
          <t>EBIT</t>
        </is>
      </c>
      <c r="D358" s="86">
        <f>IFERROR(D140,"")</f>
        <v>0</v>
      </c>
      <c r="E358" s="86">
        <f>IFERROR(E140,"")</f>
        <v>0</v>
      </c>
      <c r="F358" s="86">
        <f>IFERROR(F140,"")</f>
        <v>0</v>
      </c>
      <c r="G358" s="86">
        <f>IFERROR(G140,"")</f>
        <v>0</v>
      </c>
      <c r="H358" s="263">
        <f>IFERROR(H83,0)</f>
        <v>0</v>
      </c>
      <c r="I358" s="263">
        <f>IFERROR(I83,0)</f>
        <v>181.50038826</v>
      </c>
      <c r="J358" s="263">
        <f>IFERROR(J83,0)</f>
        <v>215.07879179</v>
      </c>
      <c r="K358" s="263">
        <f>IFERROR(K83,0)</f>
        <v>260.125</v>
      </c>
      <c r="L358" s="263">
        <f>IFERROR(L83,0)</f>
        <v>259.46363301</v>
      </c>
      <c r="M358" s="263">
        <f>IFERROR(M83,0)</f>
        <v>916.16781306</v>
      </c>
      <c r="N358" s="263">
        <f>IFERROR(N83,0)</f>
        <v>229.807948740001</v>
      </c>
      <c r="O358" s="263">
        <f>IFERROR(O83,0)</f>
        <v>326.05819674</v>
      </c>
      <c r="P358" s="263">
        <f>IFERROR(P83,0)</f>
        <v>388.192</v>
      </c>
      <c r="Q358" s="263">
        <f>IFERROR(Q83,0)</f>
        <v>421.226000000001</v>
      </c>
      <c r="R358" s="263">
        <f>IFERROR(R83,0)</f>
        <v>1365.28414548</v>
      </c>
      <c r="S358" s="263">
        <f>IFERROR(S83,0)</f>
        <v>312.99066758</v>
      </c>
      <c r="T358" s="263">
        <f>IFERROR(T83,0)</f>
        <v>413.58</v>
      </c>
      <c r="U358" s="263">
        <f>IFERROR(U83,0)</f>
        <v>414.028</v>
      </c>
      <c r="V358" s="263">
        <f>IFERROR(V83,0)</f>
        <v>542.0134499</v>
      </c>
      <c r="W358" s="263">
        <f>IFERROR(W83,0)</f>
        <v>1682.61211748</v>
      </c>
      <c r="X358" s="263">
        <f>IFERROR(X83,0)</f>
        <v>405.452026299</v>
      </c>
      <c r="Y358" s="263">
        <f>IFERROR(Y83,0)</f>
        <v>457.403352271</v>
      </c>
      <c r="Z358" s="263">
        <f>IFERROR(Z83,0)</f>
        <v>552.761000000001</v>
      </c>
      <c r="AA358" s="263">
        <f>IFERROR(AA83,0)</f>
        <v>540.835500000001</v>
      </c>
      <c r="AB358" s="263">
        <f>IFERROR(AB83,0)</f>
        <v>1956.45187857</v>
      </c>
      <c r="AC358" s="263">
        <f>IFERROR(AC83,0)</f>
        <v>480.638</v>
      </c>
      <c r="AD358" s="263">
        <f>IFERROR(AD83,0)</f>
        <v>662.398433216</v>
      </c>
      <c r="AE358" s="263">
        <f>IFERROR(AE83,0)</f>
        <v>671.057000000001</v>
      </c>
      <c r="AF358" s="263">
        <f>IFERROR(AF83,0)</f>
        <v>453.455</v>
      </c>
      <c r="AG358" s="263">
        <f>IFERROR(AG83,0)</f>
        <v>2267.548433216</v>
      </c>
      <c r="AH358" s="263">
        <f>IFERROR(AH83,0)</f>
        <v>384.594000000001</v>
      </c>
      <c r="AI358" s="263">
        <f>IFERROR(AI83,0)</f>
        <v>503.917</v>
      </c>
      <c r="AJ358" s="263">
        <f>IFERROR(AJ83,0)</f>
        <v>694.558879781467</v>
      </c>
      <c r="AK358" s="263">
        <f>IFERROR(AK83,0)</f>
        <v>680.774522995252</v>
      </c>
      <c r="AL358" s="263">
        <f>IFERROR(AL83,0)</f>
        <v>2263.84440277672</v>
      </c>
      <c r="AM358" s="263">
        <f>IFERROR(AM83,0)</f>
        <v>606.717802139305</v>
      </c>
      <c r="AN358" s="263">
        <f>IFERROR(AN83,0)</f>
        <v>635.768115953191</v>
      </c>
      <c r="AO358" s="263">
        <f>IFERROR(AO83,0)</f>
        <v>813.621305480568</v>
      </c>
      <c r="AP358" s="263">
        <f>IFERROR(AP83,0)</f>
        <v>797.474011579239</v>
      </c>
      <c r="AQ358" s="263">
        <f>IFERROR(AQ83,0)</f>
        <v>2853.5812351523</v>
      </c>
      <c r="AR358" s="263">
        <f>IFERROR(AR83,0)</f>
        <v>707.688776802549</v>
      </c>
      <c r="AS358" s="263">
        <f>IFERROR(AS83,0)</f>
        <v>741.573691628173</v>
      </c>
      <c r="AT358" s="263">
        <f>IFERROR(AT83,0)</f>
        <v>949.025501519458</v>
      </c>
      <c r="AU358" s="263">
        <f>IFERROR(AU83,0)</f>
        <v>930.190948405292</v>
      </c>
      <c r="AV358" s="263">
        <f>IFERROR(AV83,0)</f>
        <v>3328.47891835547</v>
      </c>
      <c r="AW358" s="263">
        <f>IFERROR(AW83,0)</f>
        <v>821.925063279237</v>
      </c>
      <c r="AX358" s="263">
        <f>IFERROR(AX83,0)</f>
        <v>861.279736795606</v>
      </c>
      <c r="AY358" s="263">
        <f>IFERROR(AY83,0)</f>
        <v>1102.21875909108</v>
      </c>
      <c r="AZ358" s="263">
        <f>IFERROR(AZ83,0)</f>
        <v>1080.34390143099</v>
      </c>
      <c r="BA358" s="263">
        <f>IFERROR(BA83,0)</f>
        <v>3865.76746059691</v>
      </c>
      <c r="BB358" s="263">
        <f>IFERROR(BB83,0)</f>
        <v>950.491933717603</v>
      </c>
      <c r="BC358" s="263">
        <f>IFERROR(BC83,0)</f>
        <v>996.002530002571</v>
      </c>
      <c r="BD358" s="263">
        <f>IFERROR(BD83,0)</f>
        <v>1274.62963050243</v>
      </c>
      <c r="BE358" s="263">
        <f>IFERROR(BE83,0)</f>
        <v>1249.33307162371</v>
      </c>
      <c r="BF358" s="263">
        <f>IFERROR(BF83,0)</f>
        <v>4470.45716584631</v>
      </c>
      <c r="BG358" s="63" t="n"/>
      <c r="BH358" s="63" t="n"/>
      <c r="BI358" s="63" t="n"/>
      <c r="BJ358" s="63" t="n"/>
      <c r="BL358" s="63" t="n"/>
      <c r="BM358" s="63" t="n"/>
      <c r="BN358" s="63" t="n"/>
      <c r="BO358" s="63" t="n"/>
      <c r="BQ358" s="63" t="n"/>
      <c r="BR358" s="63" t="n"/>
      <c r="BS358" s="63" t="n"/>
      <c r="BT358" s="63" t="n"/>
      <c r="BV358" s="63" t="n"/>
      <c r="BW358" s="63" t="n"/>
      <c r="BX358" s="63" t="n"/>
      <c r="BY358" s="63" t="n"/>
      <c r="CA358" s="63" t="n"/>
      <c r="CB358" s="63" t="n"/>
      <c r="CC358" s="63" t="n"/>
      <c r="CD358" s="63" t="n"/>
      <c r="CF358" s="63" t="n"/>
      <c r="CG358" s="63" t="n"/>
      <c r="CH358" s="63" t="n"/>
      <c r="CI358" s="63" t="n"/>
      <c r="CK358" s="63" t="n"/>
      <c r="CL358" s="63" t="n"/>
      <c r="CM358" s="63" t="n"/>
      <c r="CN358" s="63" t="n"/>
      <c r="CP358" s="63" t="n"/>
      <c r="CQ358" s="63" t="n"/>
      <c r="CR358" s="63" t="n"/>
      <c r="CS358" s="63" t="n"/>
      <c r="CU358" s="63" t="n"/>
      <c r="CV358" s="63" t="n"/>
      <c r="CW358" s="63" t="n"/>
      <c r="CX358" s="63" t="n"/>
    </row>
    <row r="359" customFormat="1" s="77">
      <c r="A359" s="76" t="n"/>
      <c r="B359" s="76" t="n"/>
      <c r="C359" s="77" t="inlineStr">
        <is>
          <t>ETR (LIMITED TO 0%-100%)</t>
        </is>
      </c>
      <c r="D359" s="87">
        <f>IFERROR(D142,"")</f>
        <v>0</v>
      </c>
      <c r="E359" s="87">
        <f>IFERROR(E142,"")</f>
        <v>0</v>
      </c>
      <c r="F359" s="87">
        <f>IFERROR(F142,"")</f>
        <v>0</v>
      </c>
      <c r="G359" s="87">
        <f>IFERROR(G142,"")</f>
        <v>0</v>
      </c>
      <c r="H359" s="258" t="str">
        <f>IFERROR(IF(N(H140)&lt;&gt;0,MAX(0,MIN(1,-H141/H140)),""),"")</f>
        <v/>
      </c>
      <c r="I359" s="258">
        <f>IFERROR(IF(N(I140)&lt;&gt;0,MAX(0,MIN(1,-I141/I140)),""),"")</f>
        <v>0</v>
      </c>
      <c r="J359" s="258">
        <f>IFERROR(IF(N(J140)&lt;&gt;0,MAX(0,MIN(1,-J141/J140)),""),"")</f>
        <v>0</v>
      </c>
      <c r="K359" s="258">
        <f>IFERROR(IF(N(K140)&lt;&gt;0,MAX(0,MIN(1,-K141/K140)),""),"")</f>
        <v>0</v>
      </c>
      <c r="L359" s="258">
        <f>IFERROR(IF(N(L140)&lt;&gt;0,MAX(0,MIN(1,-L141/L140)),""),"")</f>
        <v>0.0826964598653415</v>
      </c>
      <c r="M359" s="258">
        <f>IFERROR(IF(N(M140)&lt;&gt;0,MAX(0,MIN(1,-M141/M140)),""),"")</f>
        <v>0.0238194360187172</v>
      </c>
      <c r="N359" s="258">
        <f>IFERROR(IF(N(N140)&lt;&gt;0,MAX(0,MIN(1,-N141/N140)),""),"")</f>
        <v>0.00759424930568063</v>
      </c>
      <c r="O359" s="258">
        <f>IFERROR(IF(N(O140)&lt;&gt;0,MAX(0,MIN(1,-O141/O140)),""),"")</f>
        <v>0.0126132216476614</v>
      </c>
      <c r="P359" s="258">
        <f>IFERROR(IF(N(P140)&lt;&gt;0,MAX(0,MIN(1,-P141/P140)),""),"")</f>
        <v>0.0219404430456361</v>
      </c>
      <c r="Q359" s="258">
        <f>IFERROR(IF(N(Q140)&lt;&gt;0,MAX(0,MIN(1,-Q141/Q140)),""),"")</f>
        <v>0.0374854991188643</v>
      </c>
      <c r="R359" s="258">
        <f>IFERROR(IF(N(R140)&lt;&gt;0,MAX(0,MIN(1,-R141/R140)),""),"")</f>
        <v>0.0216108937641592</v>
      </c>
      <c r="S359" s="258">
        <f>IFERROR(IF(N(S140)&lt;&gt;0,MAX(0,MIN(1,-S141/S140)),""),"")</f>
        <v>0.0022519834852179</v>
      </c>
      <c r="T359" s="258">
        <f>IFERROR(IF(N(T140)&lt;&gt;0,MAX(0,MIN(1,-T141/T140)),""),"")</f>
        <v>0.0524793682183317</v>
      </c>
      <c r="U359" s="258">
        <f>IFERROR(IF(N(U140)&lt;&gt;0,MAX(0,MIN(1,-U141/U140)),""),"")</f>
        <v>0.00121982291865724</v>
      </c>
      <c r="V359" s="258">
        <f>IFERROR(IF(N(V140)&lt;&gt;0,MAX(0,MIN(1,-V141/V140)),""),"")</f>
        <v>0.0616171398553411</v>
      </c>
      <c r="W359" s="258">
        <f>IFERROR(IF(N(W140)&lt;&gt;0,MAX(0,MIN(1,-W141/W140)),""),"")</f>
        <v>0.0333910305946593</v>
      </c>
      <c r="X359" s="258">
        <f>IFERROR(IF(N(X140)&lt;&gt;0,MAX(0,MIN(1,-X141/X140)),""),"")</f>
        <v>0.118675404464064</v>
      </c>
      <c r="Y359" s="258">
        <f>IFERROR(IF(N(Y140)&lt;&gt;0,MAX(0,MIN(1,-Y141/Y140)),""),"")</f>
        <v>0.0102521368749126</v>
      </c>
      <c r="Z359" s="258">
        <f>IFERROR(IF(N(Z140)&lt;&gt;0,MAX(0,MIN(1,-Z141/Z140)),""),"")</f>
        <v>0.118321226395193</v>
      </c>
      <c r="AA359" s="258">
        <f>IFERROR(IF(N(AA140)&lt;&gt;0,MAX(0,MIN(1,-AA141/AA140)),""),"")</f>
        <v>0.145083432098367</v>
      </c>
      <c r="AB359" s="258">
        <f>IFERROR(IF(N(AB140)&lt;&gt;0,MAX(0,MIN(1,-AB141/AB140)),""),"")</f>
        <v>0.0998834218722689</v>
      </c>
      <c r="AC359" s="258">
        <f>IFERROR(IF(N(AC140)&lt;&gt;0,MAX(0,MIN(1,-AC141/AC140)),""),"")</f>
        <v>0.0770412679325952</v>
      </c>
      <c r="AD359" s="258">
        <f>IFERROR(IF(N(AD140)&lt;&gt;0,MAX(0,MIN(1,-AD141/AD140)),""),"")</f>
        <v>0.126980994500415</v>
      </c>
      <c r="AE359" s="258">
        <f>IFERROR(IF(N(AE140)&lt;&gt;0,MAX(0,MIN(1,-AE141/AE140)),""),"")</f>
        <v>0</v>
      </c>
      <c r="AF359" s="258">
        <f>IFERROR(IF(N(AF140)&lt;&gt;0,MAX(0,MIN(1,-AF141/AF140)),""),"")</f>
        <v>0</v>
      </c>
      <c r="AG359" s="258">
        <f>IFERROR(IF(N(AG140)&lt;&gt;0,MAX(0,MIN(1,-AG141/AG140)),""),"")</f>
        <v>0</v>
      </c>
      <c r="AH359" s="258">
        <f>IFERROR(IF(N(AH140)&lt;&gt;0,MAX(0,MIN(1,-AH141/AH140)),""),"")</f>
        <v>0</v>
      </c>
      <c r="AI359" s="258">
        <f>IFERROR(IF(N(AI140)&lt;&gt;0,MAX(0,MIN(1,-AI141/AI140)),""),"")</f>
        <v>0.0571781512670535</v>
      </c>
      <c r="AJ359" s="258">
        <f>IFERROR(IF(N(AJ140)&lt;&gt;0,MAX(0,MIN(1,-AJ141/AJ140)),""),"")</f>
        <v>0</v>
      </c>
      <c r="AK359" s="258">
        <f>IFERROR(IF(N(AK140)&lt;&gt;0,MAX(0,MIN(1,-AK141/AK140)),""),"")</f>
        <v>0</v>
      </c>
      <c r="AL359" s="258">
        <f>IFERROR(IF(N(AL140)&lt;&gt;0,MAX(0,MIN(1,-AL141/AL140)),""),"")</f>
        <v>0</v>
      </c>
      <c r="AM359" s="258">
        <f>IFERROR(IF(N(AM140)&lt;&gt;0,MAX(0,MIN(1,-AM141/AM140)),""),"")</f>
        <v>0</v>
      </c>
      <c r="AN359" s="258">
        <f>IFERROR(IF(N(AN140)&lt;&gt;0,MAX(0,MIN(1,-AN141/AN140)),""),"")</f>
        <v>0</v>
      </c>
      <c r="AO359" s="258">
        <f>IFERROR(IF(N(AO140)&lt;&gt;0,MAX(0,MIN(1,-AO141/AO140)),""),"")</f>
        <v>0</v>
      </c>
      <c r="AP359" s="258">
        <f>IFERROR(IF(N(AP140)&lt;&gt;0,MAX(0,MIN(1,-AP141/AP140)),""),"")</f>
        <v>0</v>
      </c>
      <c r="AQ359" s="258">
        <f>IFERROR(IF(N(AQ140)&lt;&gt;0,MAX(0,MIN(1,-AQ141/AQ140)),""),"")</f>
        <v>0</v>
      </c>
      <c r="AR359" s="258">
        <f>IFERROR(IF(N(AR140)&lt;&gt;0,MAX(0,MIN(1,-AR141/AR140)),""),"")</f>
        <v>0</v>
      </c>
      <c r="AS359" s="258">
        <f>IFERROR(IF(N(AS140)&lt;&gt;0,MAX(0,MIN(1,-AS141/AS140)),""),"")</f>
        <v>0</v>
      </c>
      <c r="AT359" s="258">
        <f>IFERROR(IF(N(AT140)&lt;&gt;0,MAX(0,MIN(1,-AT141/AT140)),""),"")</f>
        <v>0</v>
      </c>
      <c r="AU359" s="258">
        <f>IFERROR(IF(N(AU140)&lt;&gt;0,MAX(0,MIN(1,-AU141/AU140)),""),"")</f>
        <v>0</v>
      </c>
      <c r="AV359" s="258">
        <f>IFERROR(IF(N(AV140)&lt;&gt;0,MAX(0,MIN(1,-AV141/AV140)),""),"")</f>
        <v>0</v>
      </c>
      <c r="AW359" s="258">
        <f>IFERROR(IF(N(AW140)&lt;&gt;0,MAX(0,MIN(1,-AW141/AW140)),""),"")</f>
        <v>0</v>
      </c>
      <c r="AX359" s="258">
        <f>IFERROR(IF(N(AX140)&lt;&gt;0,MAX(0,MIN(1,-AX141/AX140)),""),"")</f>
        <v>0</v>
      </c>
      <c r="AY359" s="258">
        <f>IFERROR(IF(N(AY140)&lt;&gt;0,MAX(0,MIN(1,-AY141/AY140)),""),"")</f>
        <v>0</v>
      </c>
      <c r="AZ359" s="258">
        <f>IFERROR(IF(N(AZ140)&lt;&gt;0,MAX(0,MIN(1,-AZ141/AZ140)),""),"")</f>
        <v>0</v>
      </c>
      <c r="BA359" s="258">
        <f>IFERROR(IF(N(BA140)&lt;&gt;0,MAX(0,MIN(1,-BA141/BA140)),""),"")</f>
        <v>0</v>
      </c>
      <c r="BB359" s="258">
        <f>IFERROR(IF(N(BB140)&lt;&gt;0,MAX(0,MIN(1,-BB141/BB140)),""),"")</f>
        <v>0</v>
      </c>
      <c r="BC359" s="258">
        <f>IFERROR(IF(N(BC140)&lt;&gt;0,MAX(0,MIN(1,-BC141/BC140)),""),"")</f>
        <v>0</v>
      </c>
      <c r="BD359" s="258">
        <f>IFERROR(IF(N(BD140)&lt;&gt;0,MAX(0,MIN(1,-BD141/BD140)),""),"")</f>
        <v>0</v>
      </c>
      <c r="BE359" s="258">
        <f>IFERROR(IF(N(BE140)&lt;&gt;0,MAX(0,MIN(1,-BE141/BE140)),""),"")</f>
        <v>0</v>
      </c>
      <c r="BF359" s="258">
        <f>IFERROR(IF(N(BF140)&lt;&gt;0,MAX(0,MIN(1,-BF141/BF140)),""),"")</f>
        <v>0</v>
      </c>
      <c r="BG359" s="88" t="n"/>
      <c r="BH359" s="88" t="n"/>
      <c r="BI359" s="88" t="n"/>
      <c r="BJ359" s="88" t="n"/>
      <c r="BL359" s="88" t="n"/>
      <c r="BM359" s="88" t="n"/>
      <c r="BN359" s="88" t="n"/>
      <c r="BO359" s="88" t="n"/>
      <c r="BQ359" s="88" t="n"/>
      <c r="BR359" s="88" t="n"/>
      <c r="BS359" s="88" t="n"/>
      <c r="BT359" s="88" t="n"/>
      <c r="BV359" s="88" t="n"/>
      <c r="BW359" s="88" t="n"/>
      <c r="BX359" s="88" t="n"/>
      <c r="BY359" s="88" t="n"/>
      <c r="CA359" s="88" t="n"/>
      <c r="CB359" s="88" t="n"/>
      <c r="CC359" s="88" t="n"/>
      <c r="CD359" s="88" t="n"/>
      <c r="CF359" s="88" t="n"/>
      <c r="CG359" s="88" t="n"/>
      <c r="CH359" s="88" t="n"/>
      <c r="CI359" s="88" t="n"/>
      <c r="CK359" s="88" t="n"/>
      <c r="CL359" s="88" t="n"/>
      <c r="CM359" s="88" t="n"/>
      <c r="CN359" s="88" t="n"/>
      <c r="CP359" s="88" t="n"/>
      <c r="CQ359" s="88" t="n"/>
      <c r="CR359" s="88" t="n"/>
      <c r="CS359" s="88" t="n"/>
      <c r="CU359" s="88" t="n"/>
      <c r="CV359" s="88" t="n"/>
      <c r="CW359" s="88" t="n"/>
      <c r="CX359" s="88" t="n"/>
    </row>
    <row r="360" customFormat="1" s="77">
      <c r="A360" s="76" t="n"/>
      <c r="B360" s="76" t="n"/>
      <c r="C360" s="77" t="inlineStr">
        <is>
          <t>INVESTED CAPITAL</t>
        </is>
      </c>
      <c r="D360" s="86">
        <f>IFERROR(D363-D364+D365,"")</f>
        <v>0</v>
      </c>
      <c r="E360" s="86">
        <f>IFERROR(E363-E364+E365,"")</f>
        <v>0</v>
      </c>
      <c r="F360" s="86">
        <f>IFERROR(F363-F364+F365,"")</f>
        <v>0</v>
      </c>
      <c r="G360" s="86">
        <f>IFERROR(G363-G364+G365,"")</f>
        <v>0</v>
      </c>
      <c r="H360" s="263">
        <f>IFERROR(H362+H365,0)</f>
        <v>0</v>
      </c>
      <c r="I360" s="263">
        <f>IFERROR(I362+I365,0)</f>
        <v>5301.03197174</v>
      </c>
      <c r="J360" s="263">
        <f>IFERROR(J362+J365,0)</f>
        <v>5621.82090716</v>
      </c>
      <c r="K360" s="263">
        <f>IFERROR(K362+K365,0)</f>
        <v>6707.427</v>
      </c>
      <c r="L360" s="263">
        <f>IFERROR(L362+L365,0)</f>
        <v>7590.297</v>
      </c>
      <c r="M360" s="263">
        <f>IFERROR(M362+M365,0)</f>
        <v>7590.297</v>
      </c>
      <c r="N360" s="263">
        <f>IFERROR(N362+N365,0)</f>
        <v>8150.351</v>
      </c>
      <c r="O360" s="263">
        <f>IFERROR(O362+O365,0)</f>
        <v>8366.452</v>
      </c>
      <c r="P360" s="263">
        <f>IFERROR(P362+P365,0)</f>
        <v>9693.377</v>
      </c>
      <c r="Q360" s="263">
        <f>IFERROR(Q362+Q365,0)</f>
        <v>8913.218</v>
      </c>
      <c r="R360" s="263">
        <f>IFERROR(R362+R365,0)</f>
        <v>8913.218</v>
      </c>
      <c r="S360" s="263">
        <f>IFERROR(S362+S365,0)</f>
        <v>9331.326</v>
      </c>
      <c r="T360" s="263">
        <f>IFERROR(T362+T365,0)</f>
        <v>10173.614</v>
      </c>
      <c r="U360" s="263">
        <f>IFERROR(U362+U365,0)</f>
        <v>10920.909</v>
      </c>
      <c r="V360" s="263">
        <f>IFERROR(V362+V365,0)</f>
        <v>11206.807</v>
      </c>
      <c r="W360" s="263">
        <f>IFERROR(W362+W365,0)</f>
        <v>11206.807</v>
      </c>
      <c r="X360" s="263">
        <f>IFERROR(X362+X365,0)</f>
        <v>11489.872</v>
      </c>
      <c r="Y360" s="263">
        <f>IFERROR(Y362+Y365,0)</f>
        <v>11635.56170197</v>
      </c>
      <c r="Z360" s="263">
        <f>IFERROR(Z362+Z365,0)</f>
        <v>12489.308</v>
      </c>
      <c r="AA360" s="263">
        <f>IFERROR(AA362+AA365,0)</f>
        <v>11967.557</v>
      </c>
      <c r="AB360" s="263">
        <f>IFERROR(AB362+AB365,0)</f>
        <v>11967.557</v>
      </c>
      <c r="AC360" s="263">
        <f>IFERROR(AC362+AC365,0)</f>
        <v>12422.283</v>
      </c>
      <c r="AD360" s="263">
        <f>IFERROR(AD362+AD365,0)</f>
        <v>13097.20610598</v>
      </c>
      <c r="AE360" s="263">
        <f>IFERROR(AE362+AE365,0)</f>
        <v>16448.584</v>
      </c>
      <c r="AF360" s="263">
        <f>IFERROR(AF362+AF365,0)</f>
        <v>16446.478</v>
      </c>
      <c r="AG360" s="263">
        <f>IFERROR(AG362+AG365,0)</f>
        <v>16446.478</v>
      </c>
      <c r="AH360" s="263">
        <f>IFERROR(AH362+AH365,0)</f>
        <v>16705.745</v>
      </c>
      <c r="AI360" s="263">
        <f>IFERROR(AI362+AI365,0)</f>
        <v>17597.447</v>
      </c>
      <c r="AJ360" s="263">
        <f>IFERROR(AJ362+AJ365,0)</f>
        <v>19446.5812316833</v>
      </c>
      <c r="AK360" s="263">
        <f>IFERROR(AK362+AK365,0)</f>
        <v>19443.3557484184</v>
      </c>
      <c r="AL360" s="263">
        <f>IFERROR(AL362+AL365,0)</f>
        <v>19443.3557484184</v>
      </c>
      <c r="AM360" s="263">
        <f>IFERROR(AM362+AM365,0)</f>
        <v>18937.7782003899</v>
      </c>
      <c r="AN360" s="263">
        <f>IFERROR(AN362+AN365,0)</f>
        <v>19202.4265467094</v>
      </c>
      <c r="AO360" s="263">
        <f>IFERROR(AO362+AO365,0)</f>
        <v>20913.3130816887</v>
      </c>
      <c r="AP360" s="263">
        <f>IFERROR(AP362+AP365,0)</f>
        <v>20797.758078085</v>
      </c>
      <c r="AQ360" s="263">
        <f>IFERROR(AQ362+AQ365,0)</f>
        <v>20797.758078085</v>
      </c>
      <c r="AR360" s="263">
        <f>IFERROR(AR362+AR365,0)</f>
        <v>19978.4460412001</v>
      </c>
      <c r="AS360" s="263">
        <f>IFERROR(AS362+AS365,0)</f>
        <v>20221.7089925985</v>
      </c>
      <c r="AT360" s="263">
        <f>IFERROR(AT362+AT365,0)</f>
        <v>22054.1855157421</v>
      </c>
      <c r="AU360" s="263">
        <f>IFERROR(AU362+AU365,0)</f>
        <v>21730.5839125575</v>
      </c>
      <c r="AV360" s="263">
        <f>IFERROR(AV362+AV365,0)</f>
        <v>21730.5839125575</v>
      </c>
      <c r="AW360" s="263">
        <f>IFERROR(AW362+AW365,0)</f>
        <v>20615.5664421989</v>
      </c>
      <c r="AX360" s="263">
        <f>IFERROR(AX362+AX365,0)</f>
        <v>20564.6460955363</v>
      </c>
      <c r="AY360" s="263">
        <f>IFERROR(AY362+AY365,0)</f>
        <v>22409.7826104202</v>
      </c>
      <c r="AZ360" s="263">
        <f>IFERROR(AZ362+AZ365,0)</f>
        <v>21707.7558526697</v>
      </c>
      <c r="BA360" s="263">
        <f>IFERROR(BA362+BA365,0)</f>
        <v>21707.7558526697</v>
      </c>
      <c r="BB360" s="263">
        <f>IFERROR(BB362+BB365,0)</f>
        <v>20007.6961232201</v>
      </c>
      <c r="BC360" s="263">
        <f>IFERROR(BC362+BC365,0)</f>
        <v>19528.5309439055</v>
      </c>
      <c r="BD360" s="263">
        <f>IFERROR(BD362+BD365,0)</f>
        <v>21180.3219535783</v>
      </c>
      <c r="BE360" s="263">
        <f>IFERROR(BE362+BE365,0)</f>
        <v>19815.8390476233</v>
      </c>
      <c r="BF360" s="263">
        <f>IFERROR(BF362+BF365,0)</f>
        <v>19815.8390476233</v>
      </c>
      <c r="BG360" s="63" t="n"/>
      <c r="BH360" s="63" t="n"/>
      <c r="BI360" s="63" t="n"/>
      <c r="BJ360" s="63" t="n"/>
      <c r="BL360" s="63" t="n"/>
      <c r="BM360" s="63" t="n"/>
      <c r="BN360" s="63" t="n"/>
      <c r="BO360" s="63" t="n"/>
      <c r="BQ360" s="63" t="n"/>
      <c r="BR360" s="63" t="n"/>
      <c r="BS360" s="63" t="n"/>
      <c r="BT360" s="63" t="n"/>
      <c r="BV360" s="63" t="n"/>
      <c r="BW360" s="63" t="n"/>
      <c r="BX360" s="63" t="n"/>
      <c r="BY360" s="63" t="n"/>
      <c r="CA360" s="63" t="n"/>
      <c r="CB360" s="63" t="n"/>
      <c r="CC360" s="63" t="n"/>
      <c r="CD360" s="63" t="n"/>
      <c r="CF360" s="63" t="n"/>
      <c r="CG360" s="63" t="n"/>
      <c r="CH360" s="63" t="n"/>
      <c r="CI360" s="63" t="n"/>
      <c r="CK360" s="63" t="n"/>
      <c r="CL360" s="63" t="n"/>
      <c r="CM360" s="63" t="n"/>
      <c r="CN360" s="63" t="n"/>
      <c r="CP360" s="63" t="n"/>
      <c r="CQ360" s="63" t="n"/>
      <c r="CR360" s="63" t="n"/>
      <c r="CS360" s="63" t="n"/>
      <c r="CU360" s="63" t="n"/>
      <c r="CV360" s="63" t="n"/>
      <c r="CW360" s="63" t="n"/>
      <c r="CX360" s="63" t="n"/>
    </row>
    <row r="361" customFormat="1" s="77">
      <c r="A361" s="76" t="n"/>
      <c r="B361" s="76" t="n"/>
      <c r="C361" s="77" t="inlineStr">
        <is>
          <t>INVESTED CAPITAL - EX GOODWILL</t>
        </is>
      </c>
      <c r="D361" s="89">
        <f>IFERROR(D360-D189,"")</f>
        <v>0</v>
      </c>
      <c r="E361" s="89">
        <f>IFERROR(E360-E189,"")</f>
        <v>0</v>
      </c>
      <c r="F361" s="89">
        <f>IFERROR(F360-F189,"")</f>
        <v>0</v>
      </c>
      <c r="G361" s="89">
        <f>IFERROR(G360-G189,"")</f>
        <v>0</v>
      </c>
      <c r="H361" s="263">
        <f>IFERROR(H360-N(H189),0)</f>
        <v>0</v>
      </c>
      <c r="I361" s="263">
        <f>IFERROR(I360-N(I189),0)</f>
        <v>5301.03197174</v>
      </c>
      <c r="J361" s="263">
        <f>IFERROR(J360-N(J189),0)</f>
        <v>5621.82090716</v>
      </c>
      <c r="K361" s="263">
        <f>IFERROR(K360-N(K189),0)</f>
        <v>6707.427</v>
      </c>
      <c r="L361" s="263">
        <f>IFERROR(L360-N(L189),0)</f>
        <v>7590.297</v>
      </c>
      <c r="M361" s="263">
        <f>IFERROR(M360-N(M189),0)</f>
        <v>7590.297</v>
      </c>
      <c r="N361" s="263">
        <f>IFERROR(N360-N(N189),0)</f>
        <v>8150.351</v>
      </c>
      <c r="O361" s="263">
        <f>IFERROR(O360-N(O189),0)</f>
        <v>8366.452</v>
      </c>
      <c r="P361" s="263">
        <f>IFERROR(P360-N(P189),0)</f>
        <v>9693.377</v>
      </c>
      <c r="Q361" s="263">
        <f>IFERROR(Q360-N(Q189),0)</f>
        <v>8913.218</v>
      </c>
      <c r="R361" s="263">
        <f>IFERROR(R360-N(R189),0)</f>
        <v>8913.218</v>
      </c>
      <c r="S361" s="263">
        <f>IFERROR(S360-N(S189),0)</f>
        <v>9331.326</v>
      </c>
      <c r="T361" s="263">
        <f>IFERROR(T360-N(T189),0)</f>
        <v>10173.614</v>
      </c>
      <c r="U361" s="263">
        <f>IFERROR(U360-N(U189),0)</f>
        <v>10920.909</v>
      </c>
      <c r="V361" s="263">
        <f>IFERROR(V360-N(V189),0)</f>
        <v>11206.807</v>
      </c>
      <c r="W361" s="263">
        <f>IFERROR(W360-N(W189),0)</f>
        <v>11206.807</v>
      </c>
      <c r="X361" s="263">
        <f>IFERROR(X360-N(X189),0)</f>
        <v>11489.872</v>
      </c>
      <c r="Y361" s="263">
        <f>IFERROR(Y360-N(Y189),0)</f>
        <v>11635.56170197</v>
      </c>
      <c r="Z361" s="263">
        <f>IFERROR(Z360-N(Z189),0)</f>
        <v>12489.308</v>
      </c>
      <c r="AA361" s="263">
        <f>IFERROR(AA360-N(AA189),0)</f>
        <v>11967.557</v>
      </c>
      <c r="AB361" s="263">
        <f>IFERROR(AB360-N(AB189),0)</f>
        <v>11967.557</v>
      </c>
      <c r="AC361" s="263">
        <f>IFERROR(AC360-N(AC189),0)</f>
        <v>12422.283</v>
      </c>
      <c r="AD361" s="263">
        <f>IFERROR(AD360-N(AD189),0)</f>
        <v>13097.20610598</v>
      </c>
      <c r="AE361" s="263">
        <f>IFERROR(AE360-N(AE189),0)</f>
        <v>16448.584</v>
      </c>
      <c r="AF361" s="263">
        <f>IFERROR(AF360-N(AF189),0)</f>
        <v>16446.478</v>
      </c>
      <c r="AG361" s="263">
        <f>IFERROR(AG360-N(AG189),0)</f>
        <v>16446.478</v>
      </c>
      <c r="AH361" s="263">
        <f>IFERROR(AH360-N(AH189),0)</f>
        <v>16705.745</v>
      </c>
      <c r="AI361" s="263">
        <f>IFERROR(AI360-N(AI189),0)</f>
        <v>17597.447</v>
      </c>
      <c r="AJ361" s="263">
        <f>IFERROR(AJ360-N(AJ189),0)</f>
        <v>19446.5812316833</v>
      </c>
      <c r="AK361" s="263">
        <f>IFERROR(AK360-N(AK189),0)</f>
        <v>19443.3557484184</v>
      </c>
      <c r="AL361" s="263">
        <f>IFERROR(AL360-N(AL189),0)</f>
        <v>19443.3557484184</v>
      </c>
      <c r="AM361" s="263">
        <f>IFERROR(AM360-N(AM189),0)</f>
        <v>18937.7782003899</v>
      </c>
      <c r="AN361" s="263">
        <f>IFERROR(AN360-N(AN189),0)</f>
        <v>19202.4265467094</v>
      </c>
      <c r="AO361" s="263">
        <f>IFERROR(AO360-N(AO189),0)</f>
        <v>20913.3130816887</v>
      </c>
      <c r="AP361" s="263">
        <f>IFERROR(AP360-N(AP189),0)</f>
        <v>20797.758078085</v>
      </c>
      <c r="AQ361" s="263">
        <f>IFERROR(AQ360-N(AQ189),0)</f>
        <v>20797.758078085</v>
      </c>
      <c r="AR361" s="263">
        <f>IFERROR(AR360-N(AR189),0)</f>
        <v>19978.4460412001</v>
      </c>
      <c r="AS361" s="263">
        <f>IFERROR(AS360-N(AS189),0)</f>
        <v>20221.7089925985</v>
      </c>
      <c r="AT361" s="263">
        <f>IFERROR(AT360-N(AT189),0)</f>
        <v>22054.1855157421</v>
      </c>
      <c r="AU361" s="263">
        <f>IFERROR(AU360-N(AU189),0)</f>
        <v>21730.5839125575</v>
      </c>
      <c r="AV361" s="263">
        <f>IFERROR(AV360-N(AV189),0)</f>
        <v>21730.5839125575</v>
      </c>
      <c r="AW361" s="263">
        <f>IFERROR(AW360-N(AW189),0)</f>
        <v>20615.5664421989</v>
      </c>
      <c r="AX361" s="263">
        <f>IFERROR(AX360-N(AX189),0)</f>
        <v>20564.6460955363</v>
      </c>
      <c r="AY361" s="263">
        <f>IFERROR(AY360-N(AY189),0)</f>
        <v>22409.7826104202</v>
      </c>
      <c r="AZ361" s="263">
        <f>IFERROR(AZ360-N(AZ189),0)</f>
        <v>21707.7558526697</v>
      </c>
      <c r="BA361" s="263">
        <f>IFERROR(BA360-N(BA189),0)</f>
        <v>21707.7558526697</v>
      </c>
      <c r="BB361" s="263">
        <f>IFERROR(BB360-N(BB189),0)</f>
        <v>20007.6961232201</v>
      </c>
      <c r="BC361" s="263">
        <f>IFERROR(BC360-N(BC189),0)</f>
        <v>19528.5309439055</v>
      </c>
      <c r="BD361" s="263">
        <f>IFERROR(BD360-N(BD189),0)</f>
        <v>21180.3219535783</v>
      </c>
      <c r="BE361" s="263">
        <f>IFERROR(BE360-N(BE189),0)</f>
        <v>19815.8390476233</v>
      </c>
      <c r="BF361" s="263">
        <f>IFERROR(BF360-N(BF189),0)</f>
        <v>19815.8390476233</v>
      </c>
      <c r="BG361" s="90" t="n"/>
      <c r="BH361" s="90" t="n"/>
      <c r="BI361" s="90" t="n"/>
      <c r="BJ361" s="90" t="n"/>
      <c r="BL361" s="90" t="n"/>
      <c r="BM361" s="90" t="n"/>
      <c r="BN361" s="90" t="n"/>
      <c r="BO361" s="90" t="n"/>
      <c r="BQ361" s="90" t="n"/>
      <c r="BR361" s="90" t="n"/>
      <c r="BS361" s="90" t="n"/>
      <c r="BT361" s="90" t="n"/>
      <c r="BV361" s="90" t="n"/>
      <c r="BW361" s="90" t="n"/>
      <c r="BX361" s="90" t="n"/>
      <c r="BY361" s="90" t="n"/>
      <c r="CA361" s="90" t="n"/>
      <c r="CB361" s="90" t="n"/>
      <c r="CC361" s="90" t="n"/>
      <c r="CD361" s="90" t="n"/>
      <c r="CF361" s="90" t="n"/>
      <c r="CG361" s="90" t="n"/>
      <c r="CH361" s="90" t="n"/>
      <c r="CI361" s="90" t="n"/>
      <c r="CK361" s="90" t="n"/>
      <c r="CL361" s="90" t="n"/>
      <c r="CM361" s="90" t="n"/>
      <c r="CN361" s="90" t="n"/>
      <c r="CP361" s="90" t="n"/>
      <c r="CQ361" s="90" t="n"/>
      <c r="CR361" s="90" t="n"/>
      <c r="CS361" s="90" t="n"/>
      <c r="CU361" s="90" t="n"/>
      <c r="CV361" s="90" t="n"/>
      <c r="CW361" s="90" t="n"/>
      <c r="CX361" s="90" t="n"/>
    </row>
    <row r="362" customFormat="1" s="77">
      <c r="A362" s="76" t="n"/>
      <c r="B362" s="76" t="n"/>
      <c r="C362" s="77" t="inlineStr">
        <is>
          <t>OPERATING WORKING CAPITAL</t>
        </is>
      </c>
      <c r="D362" s="91">
        <f>IFERROR(D363-D364,"")</f>
        <v>0</v>
      </c>
      <c r="E362" s="91">
        <f>IFERROR(E363-E364,"")</f>
        <v>0</v>
      </c>
      <c r="F362" s="91">
        <f>IFERROR(F363-F364,"")</f>
        <v>0</v>
      </c>
      <c r="G362" s="91">
        <f>IFERROR(G363-G364,"")</f>
        <v>0</v>
      </c>
      <c r="H362" s="263">
        <f>IFERROR(H363-H364,0)</f>
        <v>0</v>
      </c>
      <c r="I362" s="263">
        <f>IFERROR(I363-I364,0)</f>
        <v>3011.73943359</v>
      </c>
      <c r="J362" s="263">
        <f>IFERROR(J363-J364,0)</f>
        <v>3047.88691784</v>
      </c>
      <c r="K362" s="263">
        <f>IFERROR(K363-K364,0)</f>
        <v>3820.76</v>
      </c>
      <c r="L362" s="263">
        <f>IFERROR(L363-L364,0)</f>
        <v>3978.534</v>
      </c>
      <c r="M362" s="263">
        <f>IFERROR(M363-M364,0)</f>
        <v>3978.534</v>
      </c>
      <c r="N362" s="263">
        <f>IFERROR(N363-N364,0)</f>
        <v>4187.762</v>
      </c>
      <c r="O362" s="263">
        <f>IFERROR(O363-O364,0)</f>
        <v>4085.66344904</v>
      </c>
      <c r="P362" s="263">
        <f>IFERROR(P363-P364,0)</f>
        <v>5252.09325629</v>
      </c>
      <c r="Q362" s="263">
        <f>IFERROR(Q363-Q364,0)</f>
        <v>4524.37931124</v>
      </c>
      <c r="R362" s="263">
        <f>IFERROR(R363-R364,0)</f>
        <v>4524.37931124</v>
      </c>
      <c r="S362" s="263">
        <f>IFERROR(S363-S364,0)</f>
        <v>4693.79830103</v>
      </c>
      <c r="T362" s="263">
        <f>IFERROR(T363-T364,0)</f>
        <v>4948.017</v>
      </c>
      <c r="U362" s="263">
        <f>IFERROR(U363-U364,0)</f>
        <v>5247.199</v>
      </c>
      <c r="V362" s="263">
        <f>IFERROR(V363-V364,0)</f>
        <v>5346.69498322</v>
      </c>
      <c r="W362" s="263">
        <f>IFERROR(W363-W364,0)</f>
        <v>5346.69498322</v>
      </c>
      <c r="X362" s="263">
        <f>IFERROR(X363-X364,0)</f>
        <v>5172.746</v>
      </c>
      <c r="Y362" s="263">
        <f>IFERROR(Y363-Y364,0)</f>
        <v>5222.63870197</v>
      </c>
      <c r="Z362" s="263">
        <f>IFERROR(Z363-Z364,0)</f>
        <v>5867.81</v>
      </c>
      <c r="AA362" s="263">
        <f>IFERROR(AA363-AA364,0)</f>
        <v>5528.05</v>
      </c>
      <c r="AB362" s="263">
        <f>IFERROR(AB363-AB364,0)</f>
        <v>5528.05</v>
      </c>
      <c r="AC362" s="263">
        <f>IFERROR(AC363-AC364,0)</f>
        <v>5620.887</v>
      </c>
      <c r="AD362" s="263">
        <f>IFERROR(AD363-AD364,0)</f>
        <v>5422.026</v>
      </c>
      <c r="AE362" s="263">
        <f>IFERROR(AE363-AE364,0)</f>
        <v>6402.34</v>
      </c>
      <c r="AF362" s="263">
        <f>IFERROR(AF363-AF364,0)</f>
        <v>5948.143</v>
      </c>
      <c r="AG362" s="263">
        <f>IFERROR(AG363-AG364,0)</f>
        <v>5948.143</v>
      </c>
      <c r="AH362" s="263">
        <f>IFERROR(AH363-AH364,0)</f>
        <v>6110.403</v>
      </c>
      <c r="AI362" s="263">
        <f>IFERROR(AI363-AI364,0)</f>
        <v>6609.91</v>
      </c>
      <c r="AJ362" s="263">
        <f>IFERROR(AJ363-AJ364,0)</f>
        <v>8168.4888010091</v>
      </c>
      <c r="AK362" s="263">
        <f>IFERROR(AK363-AK364,0)</f>
        <v>7880.47430923978</v>
      </c>
      <c r="AL362" s="263">
        <f>IFERROR(AL363-AL364,0)</f>
        <v>7880.47430923978</v>
      </c>
      <c r="AM362" s="263">
        <f>IFERROR(AM363-AM364,0)</f>
        <v>7121.08796626251</v>
      </c>
      <c r="AN362" s="263">
        <f>IFERROR(AN363-AN364,0)</f>
        <v>7119.77487415386</v>
      </c>
      <c r="AO362" s="263">
        <f>IFERROR(AO363-AO364,0)</f>
        <v>8490.29848857853</v>
      </c>
      <c r="AP362" s="263">
        <f>IFERROR(AP363-AP364,0)</f>
        <v>8041.1354761638</v>
      </c>
      <c r="AQ362" s="263">
        <f>IFERROR(AQ363-AQ364,0)</f>
        <v>8041.1354761638</v>
      </c>
      <c r="AR362" s="263">
        <f>IFERROR(AR363-AR364,0)</f>
        <v>6925.77536716753</v>
      </c>
      <c r="AS362" s="263">
        <f>IFERROR(AS363-AS364,0)</f>
        <v>6858.81514005656</v>
      </c>
      <c r="AT362" s="263">
        <f>IFERROR(AT363-AT364,0)</f>
        <v>8294.28498552073</v>
      </c>
      <c r="AU362" s="263">
        <f>IFERROR(AU363-AU364,0)</f>
        <v>7581.55577992445</v>
      </c>
      <c r="AV362" s="263">
        <f>IFERROR(AV363-AV364,0)</f>
        <v>7581.55577992445</v>
      </c>
      <c r="AW362" s="263">
        <f>IFERROR(AW363-AW364,0)</f>
        <v>6122.70167066467</v>
      </c>
      <c r="AX362" s="263">
        <f>IFERROR(AX363-AX364,0)</f>
        <v>5711.48140971065</v>
      </c>
      <c r="AY362" s="263">
        <f>IFERROR(AY363-AY364,0)</f>
        <v>7095.52577594091</v>
      </c>
      <c r="AZ362" s="263">
        <f>IFERROR(AZ363-AZ364,0)</f>
        <v>5941.55779809501</v>
      </c>
      <c r="BA362" s="263">
        <f>IFERROR(BA363-BA364,0)</f>
        <v>5941.55779809501</v>
      </c>
      <c r="BB362" s="263">
        <f>IFERROR(BB363-BB364,0)</f>
        <v>3843.87793708719</v>
      </c>
      <c r="BC362" s="263">
        <f>IFERROR(BC363-BC364,0)</f>
        <v>2948.05413820588</v>
      </c>
      <c r="BD362" s="263">
        <f>IFERROR(BD363-BD364,0)</f>
        <v>4066.62820685099</v>
      </c>
      <c r="BE362" s="263">
        <f>IFERROR(BE363-BE364,0)</f>
        <v>2179.51069172447</v>
      </c>
      <c r="BF362" s="263">
        <f>IFERROR(BF363-BF364,0)</f>
        <v>2179.51069172447</v>
      </c>
      <c r="BG362" s="63" t="n"/>
      <c r="BH362" s="63" t="n"/>
      <c r="BI362" s="63" t="n"/>
      <c r="BJ362" s="63" t="n"/>
      <c r="BL362" s="63" t="n"/>
      <c r="BM362" s="63" t="n"/>
      <c r="BN362" s="63" t="n"/>
      <c r="BO362" s="63" t="n"/>
      <c r="BQ362" s="63" t="n"/>
      <c r="BR362" s="63" t="n"/>
      <c r="BS362" s="63" t="n"/>
      <c r="BT362" s="63" t="n"/>
      <c r="BV362" s="63" t="n"/>
      <c r="BW362" s="63" t="n"/>
      <c r="BX362" s="63" t="n"/>
      <c r="BY362" s="63" t="n"/>
      <c r="CA362" s="63" t="n"/>
      <c r="CB362" s="63" t="n"/>
      <c r="CC362" s="63" t="n"/>
      <c r="CD362" s="63" t="n"/>
      <c r="CF362" s="63" t="n"/>
      <c r="CG362" s="63" t="n"/>
      <c r="CH362" s="63" t="n"/>
      <c r="CI362" s="63" t="n"/>
      <c r="CK362" s="63" t="n"/>
      <c r="CL362" s="63" t="n"/>
      <c r="CM362" s="63" t="n"/>
      <c r="CN362" s="63" t="n"/>
      <c r="CP362" s="63" t="n"/>
      <c r="CQ362" s="63" t="n"/>
      <c r="CR362" s="63" t="n"/>
      <c r="CS362" s="63" t="n"/>
      <c r="CU362" s="63" t="n"/>
      <c r="CV362" s="63" t="n"/>
      <c r="CW362" s="63" t="n"/>
      <c r="CX362" s="63" t="n"/>
    </row>
    <row r="363" customFormat="1" s="77">
      <c r="A363" s="76" t="n"/>
      <c r="B363" s="76" t="n"/>
      <c r="C363" s="77" t="inlineStr">
        <is>
          <t>CURRENT ASSETS (OPERATING, EX CASH)</t>
        </is>
      </c>
      <c r="D363" s="89">
        <f>IFERROR(D155+D159+D163+D164+D165,"")</f>
        <v>0</v>
      </c>
      <c r="E363" s="89">
        <f>IFERROR(E155+E159+E163+E164+E165,"")</f>
        <v>0</v>
      </c>
      <c r="F363" s="89">
        <f>IFERROR(F155+F159+F163+F164+F165,"")</f>
        <v>0</v>
      </c>
      <c r="G363" s="89">
        <f>IFERROR(G155+G159+G163+G164+G165,"")</f>
        <v>0</v>
      </c>
      <c r="H363" s="263">
        <f>IFERROR((N(H155)+N(H159)+N(H163)+N(H164)+N(H165)),0)</f>
        <v>0</v>
      </c>
      <c r="I363" s="263">
        <f>IFERROR((N(I155)+N(I159)+N(I163)+N(I164)+N(I165)),0)</f>
        <v>4023.56326256</v>
      </c>
      <c r="J363" s="263">
        <f>IFERROR((N(J155)+N(J159)+N(J163)+N(J164)+N(J165)),0)</f>
        <v>4422.55972987</v>
      </c>
      <c r="K363" s="263">
        <f>IFERROR((N(K155)+N(K159)+N(K163)+N(K164)+N(K165)),0)</f>
        <v>5247.392</v>
      </c>
      <c r="L363" s="263">
        <f>IFERROR((N(L155)+N(L159)+N(L163)+N(L164)+N(L165)),0)</f>
        <v>5394.902</v>
      </c>
      <c r="M363" s="263">
        <f>IFERROR((N(M155)+N(M159)+N(M163)+N(M164)+N(M165)),0)</f>
        <v>5394.902</v>
      </c>
      <c r="N363" s="263">
        <f>IFERROR((N(N155)+N(N159)+N(N163)+N(N164)+N(N165)),0)</f>
        <v>5811.148</v>
      </c>
      <c r="O363" s="263">
        <f>IFERROR((N(O155)+N(O159)+N(O163)+N(O164)+N(O165)),0)</f>
        <v>6193.94844904</v>
      </c>
      <c r="P363" s="263">
        <f>IFERROR((N(P155)+N(P159)+N(P163)+N(P164)+N(P165)),0)</f>
        <v>7191.97925629</v>
      </c>
      <c r="Q363" s="263">
        <f>IFERROR((N(Q155)+N(Q159)+N(Q163)+N(Q164)+N(Q165)),0)</f>
        <v>7004.62031124</v>
      </c>
      <c r="R363" s="263">
        <f>IFERROR((N(R155)+N(R159)+N(R163)+N(R164)+N(R165)),0)</f>
        <v>7004.62031124</v>
      </c>
      <c r="S363" s="263">
        <f>IFERROR((N(S155)+N(S159)+N(S163)+N(S164)+N(S165)),0)</f>
        <v>7350.16230103</v>
      </c>
      <c r="T363" s="263">
        <f>IFERROR((N(T155)+N(T159)+N(T163)+N(T164)+N(T165)),0)</f>
        <v>7721.688</v>
      </c>
      <c r="U363" s="263">
        <f>IFERROR((N(U155)+N(U159)+N(U163)+N(U164)+N(U165)),0)</f>
        <v>8189.822</v>
      </c>
      <c r="V363" s="263">
        <f>IFERROR((N(V155)+N(V159)+N(V163)+N(V164)+N(V165)),0)</f>
        <v>9081.39698322</v>
      </c>
      <c r="W363" s="263">
        <f>IFERROR((N(W155)+N(W159)+N(W163)+N(W164)+N(W165)),0)</f>
        <v>9081.39698322</v>
      </c>
      <c r="X363" s="263">
        <f>IFERROR((N(X155)+N(X159)+N(X163)+N(X164)+N(X165)),0)</f>
        <v>8705.141</v>
      </c>
      <c r="Y363" s="263">
        <f>IFERROR((N(Y155)+N(Y159)+N(Y163)+N(Y164)+N(Y165)),0)</f>
        <v>9328.79370197</v>
      </c>
      <c r="Z363" s="263">
        <f>IFERROR((N(Z155)+N(Z159)+N(Z163)+N(Z164)+N(Z165)),0)</f>
        <v>10437.862</v>
      </c>
      <c r="AA363" s="263">
        <f>IFERROR((N(AA155)+N(AA159)+N(AA163)+N(AA164)+N(AA165)),0)</f>
        <v>9700.85</v>
      </c>
      <c r="AB363" s="263">
        <f>IFERROR((N(AB155)+N(AB159)+N(AB163)+N(AB164)+N(AB165)),0)</f>
        <v>9700.85</v>
      </c>
      <c r="AC363" s="263">
        <f>IFERROR((N(AC155)+N(AC159)+N(AC163)+N(AC164)+N(AC165)),0)</f>
        <v>10490.568</v>
      </c>
      <c r="AD363" s="263">
        <f>IFERROR((N(AD155)+N(AD159)+N(AD163)+N(AD164)+N(AD165)),0)</f>
        <v>9995.442</v>
      </c>
      <c r="AE363" s="263">
        <f>IFERROR((N(AE155)+N(AE159)+N(AE163)+N(AE164)+N(AE165)),0)</f>
        <v>12007.775</v>
      </c>
      <c r="AF363" s="263">
        <f>IFERROR((N(AF155)+N(AF159)+N(AF163)+N(AF164)+N(AF165)),0)</f>
        <v>11818.301</v>
      </c>
      <c r="AG363" s="263">
        <f>IFERROR((N(AG155)+N(AG159)+N(AG163)+N(AG164)+N(AG165)),0)</f>
        <v>11818.301</v>
      </c>
      <c r="AH363" s="263">
        <f>IFERROR((N(AH155)+N(AH159)+N(AH163)+N(AH164)+N(AH165)),0)</f>
        <v>11877.152</v>
      </c>
      <c r="AI363" s="263">
        <f>IFERROR((N(AI155)+N(AI159)+N(AI163)+N(AI164)+N(AI165)),0)</f>
        <v>12343.733</v>
      </c>
      <c r="AJ363" s="263">
        <f>IFERROR((N(AJ155)+N(AJ159)+N(AJ163)+N(AJ164)+N(AJ165)),0)</f>
        <v>14690.6534975057</v>
      </c>
      <c r="AK363" s="263">
        <f>IFERROR((N(AK155)+N(AK159)+N(AK163)+N(AK164)+N(AK165)),0)</f>
        <v>14451.6604060786</v>
      </c>
      <c r="AL363" s="263">
        <f>IFERROR((N(AL155)+N(AL159)+N(AL163)+N(AL164)+N(AL165)),0)</f>
        <v>14451.6604060786</v>
      </c>
      <c r="AM363" s="263">
        <f>IFERROR((N(AM155)+N(AM159)+N(AM163)+N(AM164)+N(AM165)),0)</f>
        <v>13401.4269879921</v>
      </c>
      <c r="AN363" s="263">
        <f>IFERROR((N(AN155)+N(AN159)+N(AN163)+N(AN164)+N(AN165)),0)</f>
        <v>13792.4708517026</v>
      </c>
      <c r="AO363" s="263">
        <f>IFERROR((N(AO155)+N(AO159)+N(AO163)+N(AO164)+N(AO165)),0)</f>
        <v>16754.9570868534</v>
      </c>
      <c r="AP363" s="263">
        <f>IFERROR((N(AP155)+N(AP159)+N(AP163)+N(AP164)+N(AP165)),0)</f>
        <v>16474.995406558</v>
      </c>
      <c r="AQ363" s="263">
        <f>IFERROR((N(AQ155)+N(AQ159)+N(AQ163)+N(AQ164)+N(AQ165)),0)</f>
        <v>16474.995406558</v>
      </c>
      <c r="AR363" s="263">
        <f>IFERROR((N(AR155)+N(AR159)+N(AR163)+N(AR164)+N(AR165)),0)</f>
        <v>15053.1336747941</v>
      </c>
      <c r="AS363" s="263">
        <f>IFERROR((N(AS155)+N(AS159)+N(AS163)+N(AS164)+N(AS165)),0)</f>
        <v>15647.0861201667</v>
      </c>
      <c r="AT363" s="263">
        <f>IFERROR((N(AT155)+N(AT159)+N(AT163)+N(AT164)+N(AT165)),0)</f>
        <v>19102.5941877657</v>
      </c>
      <c r="AU363" s="263">
        <f>IFERROR((N(AU155)+N(AU159)+N(AU163)+N(AU164)+N(AU165)),0)</f>
        <v>18776.0408241076</v>
      </c>
      <c r="AV363" s="263">
        <f>IFERROR((N(AV155)+N(AV159)+N(AV163)+N(AV164)+N(AV165)),0)</f>
        <v>18776.0408241076</v>
      </c>
      <c r="AW363" s="263">
        <f>IFERROR((N(AW155)+N(AW159)+N(AW163)+N(AW164)+N(AW165)),0)</f>
        <v>17215.6060671602</v>
      </c>
      <c r="AX363" s="263">
        <f>IFERROR((N(AX155)+N(AX159)+N(AX163)+N(AX164)+N(AX165)),0)</f>
        <v>17745.3560617902</v>
      </c>
      <c r="AY363" s="263">
        <f>IFERROR((N(AY155)+N(AY159)+N(AY163)+N(AY164)+N(AY165)),0)</f>
        <v>21758.6579258603</v>
      </c>
      <c r="AZ363" s="263">
        <f>IFERROR((N(AZ155)+N(AZ159)+N(AZ163)+N(AZ164)+N(AZ165)),0)</f>
        <v>21379.3917810708</v>
      </c>
      <c r="BA363" s="263">
        <f>IFERROR((N(BA155)+N(BA159)+N(BA163)+N(BA164)+N(BA165)),0)</f>
        <v>21379.3917810708</v>
      </c>
      <c r="BB363" s="263">
        <f>IFERROR((N(BB155)+N(BB159)+N(BB163)+N(BB164)+N(BB165)),0)</f>
        <v>19494.2330284562</v>
      </c>
      <c r="BC363" s="263">
        <f>IFERROR((N(BC155)+N(BC159)+N(BC163)+N(BC164)+N(BC165)),0)</f>
        <v>20106.8473886679</v>
      </c>
      <c r="BD363" s="263">
        <f>IFERROR((N(BD155)+N(BD159)+N(BD163)+N(BD164)+N(BD165)),0)</f>
        <v>24747.9165320681</v>
      </c>
      <c r="BE363" s="263">
        <f>IFERROR((N(BE155)+N(BE159)+N(BE163)+N(BE164)+N(BE165)),0)</f>
        <v>24309.32495303</v>
      </c>
      <c r="BF363" s="263">
        <f>IFERROR((N(BF155)+N(BF159)+N(BF163)+N(BF164)+N(BF165)),0)</f>
        <v>24309.32495303</v>
      </c>
      <c r="BG363" s="90" t="n"/>
      <c r="BH363" s="90" t="n"/>
      <c r="BI363" s="90" t="n"/>
      <c r="BJ363" s="90" t="n"/>
      <c r="BL363" s="90" t="n"/>
      <c r="BM363" s="90" t="n"/>
      <c r="BN363" s="90" t="n"/>
      <c r="BO363" s="90" t="n"/>
      <c r="BQ363" s="90" t="n"/>
      <c r="BR363" s="90" t="n"/>
      <c r="BS363" s="90" t="n"/>
      <c r="BT363" s="90" t="n"/>
      <c r="BV363" s="90" t="n"/>
      <c r="BW363" s="90" t="n"/>
      <c r="BX363" s="90" t="n"/>
      <c r="BY363" s="90" t="n"/>
      <c r="CA363" s="90" t="n"/>
      <c r="CB363" s="90" t="n"/>
      <c r="CC363" s="90" t="n"/>
      <c r="CD363" s="90" t="n"/>
      <c r="CF363" s="90" t="n"/>
      <c r="CG363" s="90" t="n"/>
      <c r="CH363" s="90" t="n"/>
      <c r="CI363" s="90" t="n"/>
      <c r="CK363" s="90" t="n"/>
      <c r="CL363" s="90" t="n"/>
      <c r="CM363" s="90" t="n"/>
      <c r="CN363" s="90" t="n"/>
      <c r="CP363" s="90" t="n"/>
      <c r="CQ363" s="90" t="n"/>
      <c r="CR363" s="90" t="n"/>
      <c r="CS363" s="90" t="n"/>
      <c r="CU363" s="90" t="n"/>
      <c r="CV363" s="90" t="n"/>
      <c r="CW363" s="90" t="n"/>
      <c r="CX363" s="90" t="n"/>
    </row>
    <row r="364" customFormat="1" s="77">
      <c r="A364" s="76" t="n"/>
      <c r="B364" s="76" t="n"/>
      <c r="C364" s="77" t="inlineStr">
        <is>
          <t>CURRENT LIABILITIES (OPERATING, EX DEBT)</t>
        </is>
      </c>
      <c r="D364" s="89">
        <f>IFERROR(D208+D212+D214+D215,"")</f>
        <v>0</v>
      </c>
      <c r="E364" s="89">
        <f>IFERROR(E208+E212+E214+E215,"")</f>
        <v>0</v>
      </c>
      <c r="F364" s="89">
        <f>IFERROR(F208+F212+F214+F215,"")</f>
        <v>0</v>
      </c>
      <c r="G364" s="89">
        <f>IFERROR(G208+G212+G214+G215,"")</f>
        <v>0</v>
      </c>
      <c r="H364" s="263">
        <f>IFERROR((N(H208)+N(H212)+N(H214)+N(H215)),0)</f>
        <v>0</v>
      </c>
      <c r="I364" s="263">
        <f>IFERROR((N(I208)+N(I212)+N(I214)+N(I215)),0)</f>
        <v>1011.82382897</v>
      </c>
      <c r="J364" s="263">
        <f>IFERROR((N(J208)+N(J212)+N(J214)+N(J215)),0)</f>
        <v>1374.67281203</v>
      </c>
      <c r="K364" s="263">
        <f>IFERROR((N(K208)+N(K212)+N(K214)+N(K215)),0)</f>
        <v>1426.632</v>
      </c>
      <c r="L364" s="263">
        <f>IFERROR((N(L208)+N(L212)+N(L214)+N(L215)),0)</f>
        <v>1416.368</v>
      </c>
      <c r="M364" s="263">
        <f>IFERROR((N(M208)+N(M212)+N(M214)+N(M215)),0)</f>
        <v>1416.368</v>
      </c>
      <c r="N364" s="263">
        <f>IFERROR((N(N208)+N(N212)+N(N214)+N(N215)),0)</f>
        <v>1623.386</v>
      </c>
      <c r="O364" s="263">
        <f>IFERROR((N(O208)+N(O212)+N(O214)+N(O215)),0)</f>
        <v>2108.285</v>
      </c>
      <c r="P364" s="263">
        <f>IFERROR((N(P208)+N(P212)+N(P214)+N(P215)),0)</f>
        <v>1939.886</v>
      </c>
      <c r="Q364" s="263">
        <f>IFERROR((N(Q208)+N(Q212)+N(Q214)+N(Q215)),0)</f>
        <v>2480.241</v>
      </c>
      <c r="R364" s="263">
        <f>IFERROR((N(R208)+N(R212)+N(R214)+N(R215)),0)</f>
        <v>2480.241</v>
      </c>
      <c r="S364" s="263">
        <f>IFERROR((N(S208)+N(S212)+N(S214)+N(S215)),0)</f>
        <v>2656.364</v>
      </c>
      <c r="T364" s="263">
        <f>IFERROR((N(T208)+N(T212)+N(T214)+N(T215)),0)</f>
        <v>2773.671</v>
      </c>
      <c r="U364" s="263">
        <f>IFERROR((N(U208)+N(U212)+N(U214)+N(U215)),0)</f>
        <v>2942.623</v>
      </c>
      <c r="V364" s="263">
        <f>IFERROR((N(V208)+N(V212)+N(V214)+N(V215)),0)</f>
        <v>3734.702</v>
      </c>
      <c r="W364" s="263">
        <f>IFERROR((N(W208)+N(W212)+N(W214)+N(W215)),0)</f>
        <v>3734.702</v>
      </c>
      <c r="X364" s="263">
        <f>IFERROR((N(X208)+N(X212)+N(X214)+N(X215)),0)</f>
        <v>3532.395</v>
      </c>
      <c r="Y364" s="263">
        <f>IFERROR((N(Y208)+N(Y212)+N(Y214)+N(Y215)),0)</f>
        <v>4106.155</v>
      </c>
      <c r="Z364" s="263">
        <f>IFERROR((N(Z208)+N(Z212)+N(Z214)+N(Z215)),0)</f>
        <v>4570.052</v>
      </c>
      <c r="AA364" s="263">
        <f>IFERROR((N(AA208)+N(AA212)+N(AA214)+N(AA215)),0)</f>
        <v>4172.8</v>
      </c>
      <c r="AB364" s="263">
        <f>IFERROR((N(AB208)+N(AB212)+N(AB214)+N(AB215)),0)</f>
        <v>4172.8</v>
      </c>
      <c r="AC364" s="263">
        <f>IFERROR((N(AC208)+N(AC212)+N(AC214)+N(AC215)),0)</f>
        <v>4869.681</v>
      </c>
      <c r="AD364" s="263">
        <f>IFERROR((N(AD208)+N(AD212)+N(AD214)+N(AD215)),0)</f>
        <v>4573.416</v>
      </c>
      <c r="AE364" s="263">
        <f>IFERROR((N(AE208)+N(AE212)+N(AE214)+N(AE215)),0)</f>
        <v>5605.435</v>
      </c>
      <c r="AF364" s="263">
        <f>IFERROR((N(AF208)+N(AF212)+N(AF214)+N(AF215)),0)</f>
        <v>5870.158</v>
      </c>
      <c r="AG364" s="263">
        <f>IFERROR((N(AG208)+N(AG212)+N(AG214)+N(AG215)),0)</f>
        <v>5870.158</v>
      </c>
      <c r="AH364" s="263">
        <f>IFERROR((N(AH208)+N(AH212)+N(AH214)+N(AH215)),0)</f>
        <v>5766.749</v>
      </c>
      <c r="AI364" s="263">
        <f>IFERROR((N(AI208)+N(AI212)+N(AI214)+N(AI215)),0)</f>
        <v>5733.823</v>
      </c>
      <c r="AJ364" s="263">
        <f>IFERROR((N(AJ208)+N(AJ212)+N(AJ214)+N(AJ215)),0)</f>
        <v>6522.16469649659</v>
      </c>
      <c r="AK364" s="263">
        <f>IFERROR((N(AK208)+N(AK212)+N(AK214)+N(AK215)),0)</f>
        <v>6571.18609683887</v>
      </c>
      <c r="AL364" s="263">
        <f>IFERROR((N(AL208)+N(AL212)+N(AL214)+N(AL215)),0)</f>
        <v>6571.18609683887</v>
      </c>
      <c r="AM364" s="263">
        <f>IFERROR((N(AM208)+N(AM212)+N(AM214)+N(AM215)),0)</f>
        <v>6280.33902172954</v>
      </c>
      <c r="AN364" s="263">
        <f>IFERROR((N(AN208)+N(AN212)+N(AN214)+N(AN215)),0)</f>
        <v>6672.6959775487</v>
      </c>
      <c r="AO364" s="263">
        <f>IFERROR((N(AO208)+N(AO212)+N(AO214)+N(AO215)),0)</f>
        <v>8264.65859827489</v>
      </c>
      <c r="AP364" s="263">
        <f>IFERROR((N(AP208)+N(AP212)+N(AP214)+N(AP215)),0)</f>
        <v>8433.85993039421</v>
      </c>
      <c r="AQ364" s="263">
        <f>IFERROR((N(AQ208)+N(AQ212)+N(AQ214)+N(AQ215)),0)</f>
        <v>8433.85993039421</v>
      </c>
      <c r="AR364" s="263">
        <f>IFERROR((N(AR208)+N(AR212)+N(AR214)+N(AR215)),0)</f>
        <v>8127.35830762661</v>
      </c>
      <c r="AS364" s="263">
        <f>IFERROR((N(AS208)+N(AS212)+N(AS214)+N(AS215)),0)</f>
        <v>8788.27098011015</v>
      </c>
      <c r="AT364" s="263">
        <f>IFERROR((N(AT208)+N(AT212)+N(AT214)+N(AT215)),0)</f>
        <v>10808.309202245</v>
      </c>
      <c r="AU364" s="263">
        <f>IFERROR((N(AU208)+N(AU212)+N(AU214)+N(AU215)),0)</f>
        <v>11194.4850441832</v>
      </c>
      <c r="AV364" s="263">
        <f>IFERROR((N(AV208)+N(AV212)+N(AV214)+N(AV215)),0)</f>
        <v>11194.4850441832</v>
      </c>
      <c r="AW364" s="263">
        <f>IFERROR((N(AW208)+N(AW212)+N(AW214)+N(AW215)),0)</f>
        <v>11092.9043964955</v>
      </c>
      <c r="AX364" s="263">
        <f>IFERROR((N(AX208)+N(AX212)+N(AX214)+N(AX215)),0)</f>
        <v>12033.8746520795</v>
      </c>
      <c r="AY364" s="263">
        <f>IFERROR((N(AY208)+N(AY212)+N(AY214)+N(AY215)),0)</f>
        <v>14663.1321499194</v>
      </c>
      <c r="AZ364" s="263">
        <f>IFERROR((N(AZ208)+N(AZ212)+N(AZ214)+N(AZ215)),0)</f>
        <v>15437.8339829758</v>
      </c>
      <c r="BA364" s="263">
        <f>IFERROR((N(BA208)+N(BA212)+N(BA214)+N(BA215)),0)</f>
        <v>15437.8339829758</v>
      </c>
      <c r="BB364" s="263">
        <f>IFERROR((N(BB208)+N(BB212)+N(BB214)+N(BB215)),0)</f>
        <v>15650.355091369</v>
      </c>
      <c r="BC364" s="263">
        <f>IFERROR((N(BC208)+N(BC212)+N(BC214)+N(BC215)),0)</f>
        <v>17158.793250462</v>
      </c>
      <c r="BD364" s="263">
        <f>IFERROR((N(BD208)+N(BD212)+N(BD214)+N(BD215)),0)</f>
        <v>20681.2883252171</v>
      </c>
      <c r="BE364" s="263">
        <f>IFERROR((N(BE208)+N(BE212)+N(BE214)+N(BE215)),0)</f>
        <v>22129.8142613055</v>
      </c>
      <c r="BF364" s="263">
        <f>IFERROR((N(BF208)+N(BF212)+N(BF214)+N(BF215)),0)</f>
        <v>22129.8142613055</v>
      </c>
      <c r="BG364" s="90" t="n"/>
      <c r="BH364" s="90" t="n"/>
      <c r="BI364" s="90" t="n"/>
      <c r="BJ364" s="90" t="n"/>
      <c r="BL364" s="90" t="n"/>
      <c r="BM364" s="90" t="n"/>
      <c r="BN364" s="90" t="n"/>
      <c r="BO364" s="90" t="n"/>
      <c r="BQ364" s="90" t="n"/>
      <c r="BR364" s="90" t="n"/>
      <c r="BS364" s="90" t="n"/>
      <c r="BT364" s="90" t="n"/>
      <c r="BV364" s="90" t="n"/>
      <c r="BW364" s="90" t="n"/>
      <c r="BX364" s="90" t="n"/>
      <c r="BY364" s="90" t="n"/>
      <c r="CA364" s="90" t="n"/>
      <c r="CB364" s="90" t="n"/>
      <c r="CC364" s="90" t="n"/>
      <c r="CD364" s="90" t="n"/>
      <c r="CF364" s="90" t="n"/>
      <c r="CG364" s="90" t="n"/>
      <c r="CH364" s="90" t="n"/>
      <c r="CI364" s="90" t="n"/>
      <c r="CK364" s="90" t="n"/>
      <c r="CL364" s="90" t="n"/>
      <c r="CM364" s="90" t="n"/>
      <c r="CN364" s="90" t="n"/>
      <c r="CP364" s="90" t="n"/>
      <c r="CQ364" s="90" t="n"/>
      <c r="CR364" s="90" t="n"/>
      <c r="CS364" s="90" t="n"/>
      <c r="CU364" s="90" t="n"/>
      <c r="CV364" s="90" t="n"/>
      <c r="CW364" s="90" t="n"/>
      <c r="CX364" s="90" t="n"/>
    </row>
    <row r="365" customFormat="1" s="77">
      <c r="A365" s="76" t="n"/>
      <c r="B365" s="76" t="n"/>
      <c r="C365" s="77" t="inlineStr">
        <is>
          <t>FIXED ASSETS</t>
        </is>
      </c>
      <c r="D365" s="89">
        <f>IFERROR(D176+D186+D189+D190+D199-D250,"")</f>
        <v>0</v>
      </c>
      <c r="E365" s="89">
        <f>IFERROR(E176+E186+E189+E190+E199-E250,"")</f>
        <v>0</v>
      </c>
      <c r="F365" s="89">
        <f>IFERROR(F176+F186+F189+F190+F199-F250,"")</f>
        <v>0</v>
      </c>
      <c r="G365" s="89">
        <f>IFERROR(G176+G186+G189+G190+G199-G250,"")</f>
        <v>0</v>
      </c>
      <c r="H365" s="263">
        <f>IFERROR((N(H176)+N(H186)+N(H189)+N(H190)+N(H199))-N(H250),0)</f>
        <v>0</v>
      </c>
      <c r="I365" s="263">
        <f>IFERROR((N(I176)+N(I186)+N(I189)+N(I190)+N(I199))-N(I250),0)</f>
        <v>2289.29253815</v>
      </c>
      <c r="J365" s="263">
        <f>IFERROR((N(J176)+N(J186)+N(J189)+N(J190)+N(J199))-N(J250),0)</f>
        <v>2573.93398932</v>
      </c>
      <c r="K365" s="263">
        <f>IFERROR((N(K176)+N(K186)+N(K189)+N(K190)+N(K199))-N(K250),0)</f>
        <v>2886.667</v>
      </c>
      <c r="L365" s="263">
        <f>IFERROR((N(L176)+N(L186)+N(L189)+N(L190)+N(L199))-N(L250),0)</f>
        <v>3611.763</v>
      </c>
      <c r="M365" s="263">
        <f>IFERROR((N(M176)+N(M186)+N(M189)+N(M190)+N(M199))-N(M250),0)</f>
        <v>3611.763</v>
      </c>
      <c r="N365" s="263">
        <f>IFERROR((N(N176)+N(N186)+N(N189)+N(N190)+N(N199))-N(N250),0)</f>
        <v>3962.589</v>
      </c>
      <c r="O365" s="263">
        <f>IFERROR((N(O176)+N(O186)+N(O189)+N(O190)+N(O199))-N(O250),0)</f>
        <v>4280.78855096</v>
      </c>
      <c r="P365" s="263">
        <f>IFERROR((N(P176)+N(P186)+N(P189)+N(P190)+N(P199))-N(P250),0)</f>
        <v>4441.28374371</v>
      </c>
      <c r="Q365" s="263">
        <f>IFERROR((N(Q176)+N(Q186)+N(Q189)+N(Q190)+N(Q199))-N(Q250),0)</f>
        <v>4388.83868876</v>
      </c>
      <c r="R365" s="263">
        <f>IFERROR((N(R176)+N(R186)+N(R189)+N(R190)+N(R199))-N(R250),0)</f>
        <v>4388.83868876</v>
      </c>
      <c r="S365" s="263">
        <f>IFERROR((N(S176)+N(S186)+N(S189)+N(S190)+N(S199))-N(S250),0)</f>
        <v>4637.52769897</v>
      </c>
      <c r="T365" s="263">
        <f>IFERROR((N(T176)+N(T186)+N(T189)+N(T190)+N(T199))-N(T250),0)</f>
        <v>5225.597</v>
      </c>
      <c r="U365" s="263">
        <f>IFERROR((N(U176)+N(U186)+N(U189)+N(U190)+N(U199))-N(U250),0)</f>
        <v>5673.71</v>
      </c>
      <c r="V365" s="263">
        <f>IFERROR((N(V176)+N(V186)+N(V189)+N(V190)+N(V199))-N(V250),0)</f>
        <v>5860.11201678</v>
      </c>
      <c r="W365" s="263">
        <f>IFERROR((N(W176)+N(W186)+N(W189)+N(W190)+N(W199))-N(W250),0)</f>
        <v>5860.11201678</v>
      </c>
      <c r="X365" s="263">
        <f>IFERROR((N(X176)+N(X186)+N(X189)+N(X190)+N(X199))-N(X250),0)</f>
        <v>6317.126</v>
      </c>
      <c r="Y365" s="263">
        <f>IFERROR((N(Y176)+N(Y186)+N(Y189)+N(Y190)+N(Y199))-N(Y250),0)</f>
        <v>6412.923</v>
      </c>
      <c r="Z365" s="263">
        <f>IFERROR((N(Z176)+N(Z186)+N(Z189)+N(Z190)+N(Z199))-N(Z250),0)</f>
        <v>6621.498</v>
      </c>
      <c r="AA365" s="263">
        <f>IFERROR((N(AA176)+N(AA186)+N(AA189)+N(AA190)+N(AA199))-N(AA250),0)</f>
        <v>6439.507</v>
      </c>
      <c r="AB365" s="263">
        <f>IFERROR((N(AB176)+N(AB186)+N(AB189)+N(AB190)+N(AB199))-N(AB250),0)</f>
        <v>6439.507</v>
      </c>
      <c r="AC365" s="263">
        <f>IFERROR((N(AC176)+N(AC186)+N(AC189)+N(AC190)+N(AC199))-N(AC250),0)</f>
        <v>6801.396</v>
      </c>
      <c r="AD365" s="263">
        <f>IFERROR((N(AD176)+N(AD186)+N(AD189)+N(AD190)+N(AD199))-N(AD250),0)</f>
        <v>7675.18010598</v>
      </c>
      <c r="AE365" s="263">
        <f>IFERROR((N(AE176)+N(AE186)+N(AE189)+N(AE190)+N(AE199))-N(AE250),0)</f>
        <v>10046.244</v>
      </c>
      <c r="AF365" s="263">
        <f>IFERROR((N(AF176)+N(AF186)+N(AF189)+N(AF190)+N(AF199))-N(AF250),0)</f>
        <v>10498.335</v>
      </c>
      <c r="AG365" s="263">
        <f>IFERROR((N(AG176)+N(AG186)+N(AG189)+N(AG190)+N(AG199))-N(AG250),0)</f>
        <v>10498.335</v>
      </c>
      <c r="AH365" s="263">
        <f>IFERROR((N(AH176)+N(AH186)+N(AH189)+N(AH190)+N(AH199))-N(AH250),0)</f>
        <v>10595.342</v>
      </c>
      <c r="AI365" s="263">
        <f>IFERROR((N(AI176)+N(AI186)+N(AI189)+N(AI190)+N(AI199))-N(AI250),0)</f>
        <v>10987.537</v>
      </c>
      <c r="AJ365" s="263">
        <f>IFERROR((N(AJ176)+N(AJ186)+N(AJ189)+N(AJ190)+N(AJ199))-N(AJ250),0)</f>
        <v>11278.0924306742</v>
      </c>
      <c r="AK365" s="263">
        <f>IFERROR((N(AK176)+N(AK186)+N(AK189)+N(AK190)+N(AK199))-N(AK250),0)</f>
        <v>11562.8814391786</v>
      </c>
      <c r="AL365" s="263">
        <f>IFERROR((N(AL176)+N(AL186)+N(AL189)+N(AL190)+N(AL199))-N(AL250),0)</f>
        <v>11562.8814391786</v>
      </c>
      <c r="AM365" s="263">
        <f>IFERROR((N(AM176)+N(AM186)+N(AM189)+N(AM190)+N(AM199))-N(AM250),0)</f>
        <v>11816.6902341274</v>
      </c>
      <c r="AN365" s="263">
        <f>IFERROR((N(AN176)+N(AN186)+N(AN189)+N(AN190)+N(AN199))-N(AN250),0)</f>
        <v>12082.6516725555</v>
      </c>
      <c r="AO365" s="263">
        <f>IFERROR((N(AO176)+N(AO186)+N(AO189)+N(AO190)+N(AO199))-N(AO250),0)</f>
        <v>12423.0145931102</v>
      </c>
      <c r="AP365" s="263">
        <f>IFERROR((N(AP176)+N(AP186)+N(AP189)+N(AP190)+N(AP199))-N(AP250),0)</f>
        <v>12756.6226019212</v>
      </c>
      <c r="AQ365" s="263">
        <f>IFERROR((N(AQ176)+N(AQ186)+N(AQ189)+N(AQ190)+N(AQ199))-N(AQ250),0)</f>
        <v>12756.6226019212</v>
      </c>
      <c r="AR365" s="263">
        <f>IFERROR((N(AR176)+N(AR186)+N(AR189)+N(AR190)+N(AR199))-N(AR250),0)</f>
        <v>13052.6706740326</v>
      </c>
      <c r="AS365" s="263">
        <f>IFERROR((N(AS176)+N(AS186)+N(AS189)+N(AS190)+N(AS199))-N(AS250),0)</f>
        <v>13362.8938525419</v>
      </c>
      <c r="AT365" s="263">
        <f>IFERROR((N(AT176)+N(AT186)+N(AT189)+N(AT190)+N(AT199))-N(AT250),0)</f>
        <v>13759.9005302213</v>
      </c>
      <c r="AU365" s="263">
        <f>IFERROR((N(AU176)+N(AU186)+N(AU189)+N(AU190)+N(AU199))-N(AU250),0)</f>
        <v>14149.0281326331</v>
      </c>
      <c r="AV365" s="263">
        <f>IFERROR((N(AV176)+N(AV186)+N(AV189)+N(AV190)+N(AV199))-N(AV250),0)</f>
        <v>14149.0281326331</v>
      </c>
      <c r="AW365" s="263">
        <f>IFERROR((N(AW176)+N(AW186)+N(AW189)+N(AW190)+N(AW199))-N(AW250),0)</f>
        <v>14492.8647715342</v>
      </c>
      <c r="AX365" s="263">
        <f>IFERROR((N(AX176)+N(AX186)+N(AX189)+N(AX190)+N(AX199))-N(AX250),0)</f>
        <v>14853.1646858257</v>
      </c>
      <c r="AY365" s="263">
        <f>IFERROR((N(AY176)+N(AY186)+N(AY189)+N(AY190)+N(AY199))-N(AY250),0)</f>
        <v>15314.2568344793</v>
      </c>
      <c r="AZ365" s="263">
        <f>IFERROR((N(AZ176)+N(AZ186)+N(AZ189)+N(AZ190)+N(AZ199))-N(AZ250),0)</f>
        <v>15766.1980545747</v>
      </c>
      <c r="BA365" s="263">
        <f>IFERROR((N(BA176)+N(BA186)+N(BA189)+N(BA190)+N(BA199))-N(BA250),0)</f>
        <v>15766.1980545747</v>
      </c>
      <c r="BB365" s="263">
        <f>IFERROR((N(BB176)+N(BB186)+N(BB189)+N(BB190)+N(BB199))-N(BB250),0)</f>
        <v>16163.818186133</v>
      </c>
      <c r="BC365" s="263">
        <f>IFERROR((N(BC176)+N(BC186)+N(BC189)+N(BC190)+N(BC199))-N(BC250),0)</f>
        <v>16580.4768056996</v>
      </c>
      <c r="BD365" s="263">
        <f>IFERROR((N(BD176)+N(BD186)+N(BD189)+N(BD190)+N(BD199))-N(BD250),0)</f>
        <v>17113.6937467273</v>
      </c>
      <c r="BE365" s="263">
        <f>IFERROR((N(BE176)+N(BE186)+N(BE189)+N(BE190)+N(BE199))-N(BE250),0)</f>
        <v>17636.3283558988</v>
      </c>
      <c r="BF365" s="263">
        <f>IFERROR((N(BF176)+N(BF186)+N(BF189)+N(BF190)+N(BF199))-N(BF250),0)</f>
        <v>17636.3283558988</v>
      </c>
      <c r="BG365" s="90" t="n"/>
      <c r="BH365" s="90" t="n"/>
      <c r="BI365" s="90" t="n"/>
      <c r="BJ365" s="90" t="n"/>
      <c r="BL365" s="90" t="n"/>
      <c r="BM365" s="90" t="n"/>
      <c r="BN365" s="90" t="n"/>
      <c r="BO365" s="90" t="n"/>
      <c r="BQ365" s="90" t="n"/>
      <c r="BR365" s="90" t="n"/>
      <c r="BS365" s="90" t="n"/>
      <c r="BT365" s="90" t="n"/>
      <c r="BV365" s="90" t="n"/>
      <c r="BW365" s="90" t="n"/>
      <c r="BX365" s="90" t="n"/>
      <c r="BY365" s="90" t="n"/>
      <c r="CA365" s="90" t="n"/>
      <c r="CB365" s="90" t="n"/>
      <c r="CC365" s="90" t="n"/>
      <c r="CD365" s="90" t="n"/>
      <c r="CF365" s="90" t="n"/>
      <c r="CG365" s="90" t="n"/>
      <c r="CH365" s="90" t="n"/>
      <c r="CI365" s="90" t="n"/>
      <c r="CK365" s="90" t="n"/>
      <c r="CL365" s="90" t="n"/>
      <c r="CM365" s="90" t="n"/>
      <c r="CN365" s="90" t="n"/>
      <c r="CP365" s="90" t="n"/>
      <c r="CQ365" s="90" t="n"/>
      <c r="CR365" s="90" t="n"/>
      <c r="CS365" s="90" t="n"/>
      <c r="CU365" s="90" t="n"/>
      <c r="CV365" s="90" t="n"/>
      <c r="CW365" s="90" t="n"/>
      <c r="CX365" s="90" t="n"/>
    </row>
    <row r="366" customFormat="1" s="77">
      <c r="A366" s="76" t="n"/>
      <c r="B366" s="76" t="n"/>
    </row>
    <row r="367" customFormat="1" s="77">
      <c r="A367" s="76" t="n"/>
      <c r="B367" s="76" t="n"/>
    </row>
    <row r="368" customFormat="1" s="77">
      <c r="A368" s="76" t="n"/>
      <c r="B368" s="76" t="n"/>
    </row>
    <row r="369" customFormat="1" s="77">
      <c r="A369" s="76" t="n"/>
      <c r="B369" s="76" t="n"/>
    </row>
    <row r="370" customFormat="1" s="77">
      <c r="A370" s="76" t="n"/>
      <c r="B370" s="76" t="n"/>
    </row>
    <row r="371" customFormat="1" s="77">
      <c r="A371" s="76" t="n"/>
      <c r="B371" s="76" t="n"/>
    </row>
    <row r="372" customFormat="1" s="77">
      <c r="A372" s="76" t="n"/>
      <c r="B372" s="76" t="n"/>
    </row>
    <row r="373" customFormat="1" s="77">
      <c r="A373" s="76" t="n"/>
      <c r="B373" s="76" t="n"/>
      <c r="C373" s="74" t="inlineStr">
        <is>
          <t>DUPONT ANALYSIS</t>
        </is>
      </c>
    </row>
    <row r="374" customFormat="1" s="77">
      <c r="A374" s="76" t="n"/>
      <c r="B374" s="76" t="n"/>
      <c r="C374" s="77" t="inlineStr">
        <is>
          <t>NET PROFIT MARGIN (LTM)</t>
        </is>
      </c>
      <c r="D374" s="84" t="str">
        <f>IFERROR(D147/D15,"")</f>
        <v/>
      </c>
      <c r="E374" s="84" t="str">
        <f>IFERROR(E147/E15,"")</f>
        <v/>
      </c>
      <c r="F374" s="84" t="str">
        <f>IFERROR(F147/F15,"")</f>
        <v/>
      </c>
      <c r="G374" s="84" t="str">
        <f>IFERROR(G147/G15,"")</f>
        <v/>
      </c>
      <c r="H374" s="258" t="str">
        <f>IFERROR(IF(AND(COUNT(H147)=1,(H15)&lt;&gt;0),(H147)/(H15),""),"")</f>
        <v/>
      </c>
      <c r="I374" s="257" t="str">
        <f>""</f>
        <v/>
      </c>
      <c r="J374" s="257" t="str">
        <f>""</f>
        <v/>
      </c>
      <c r="K374" s="257" t="str">
        <f>""</f>
        <v/>
      </c>
      <c r="L374" s="257">
        <f>IFERROR(IF(AND(COUNT(I147,J147,K147,L147)=4,(I15+J15+K15+L15)&lt;&gt;0),(I147+J147+K147+L147)/(I15+J15+K15+L15),""),"")</f>
        <v>0.0484221236489061</v>
      </c>
      <c r="M374" s="258">
        <f>IFERROR(IF(AND(COUNT(I147,J147,K147,L147)=4,(I15+J15+K15+L15)&lt;&gt;0),(I147+J147+K147+L147)/(I15+J15+K15+L15),""),"")</f>
        <v>0.0484221236489061</v>
      </c>
      <c r="N374" s="257">
        <f>IFERROR(IF(AND(COUNT(J147,K147,L147,N147)=4,(J15+K15+L15+N15)&lt;&gt;0),(J147+K147+L147+N147)/(J15+K15+L15+N15),""),"")</f>
        <v>0.0474618013666119</v>
      </c>
      <c r="O374" s="257">
        <f>IFERROR(IF(AND(COUNT(K147,L147,N147,O147)=4,(K15+L15+N15+O15)&lt;&gt;0),(K147+L147+N147+O147)/(K15+L15+N15+O15),""),"")</f>
        <v>0.047646386597926</v>
      </c>
      <c r="P374" s="257">
        <f>IFERROR(IF(AND(COUNT(L147,N147,O147,P147)=4,(L15+N15+O15+P15)&lt;&gt;0),(L147+N147+O147+P147)/(L15+N15+O15+P15),""),"")</f>
        <v>0.0477680693766508</v>
      </c>
      <c r="Q374" s="257">
        <f>IFERROR(IF(AND(COUNT(N147,O147,P147,Q147)=4,(N15+O15+P15+Q15)&lt;&gt;0),(N147+O147+P147+Q147)/(N15+O15+P15+Q15),""),"")</f>
        <v>0.0489145257419039</v>
      </c>
      <c r="R374" s="258">
        <f>IFERROR(IF(AND(COUNT(N147,O147,P147,Q147)=4,(N15+O15+P15+Q15)&lt;&gt;0),(N147+O147+P147+Q147)/(N15+O15+P15+Q15),""),"")</f>
        <v>0.0489145257419039</v>
      </c>
      <c r="S374" s="257">
        <f>IFERROR(IF(AND(COUNT(O147,P147,Q147,S147)=4,(O15+P15+Q15+S15)&lt;&gt;0),(O147+P147+Q147+S147)/(O15+P15+Q15+S15),""),"")</f>
        <v>0.0479354159901877</v>
      </c>
      <c r="T374" s="257">
        <f>IFERROR(IF(AND(COUNT(P147,Q147,S147,T147)=4,(P15+Q15+S15+T15)&lt;&gt;0),(P147+Q147+S147+T147)/(P15+Q15+S15+T15),""),"")</f>
        <v>0.0467112068764166</v>
      </c>
      <c r="U374" s="257">
        <f>IFERROR(IF(AND(COUNT(Q147,S147,T147,U147)=4,(Q15+S15+T15+U15)&lt;&gt;0),(Q147+S147+T147+U147)/(Q15+S15+T15+U15),""),"")</f>
        <v>0.0457412719537563</v>
      </c>
      <c r="V374" s="257">
        <f>IFERROR(IF(AND(COUNT(S147,T147,U147,V147)=4,(S15+T15+U15+V15)&lt;&gt;0),(S147+T147+U147+V147)/(S15+T15+U15+V15),""),"")</f>
        <v>0.0461140736799321</v>
      </c>
      <c r="W374" s="258">
        <f>IFERROR(IF(AND(COUNT(S147,T147,U147,V147)=4,(S15+T15+U15+V15)&lt;&gt;0),(S147+T147+U147+V147)/(S15+T15+U15+V15),""),"")</f>
        <v>0.0461140736799321</v>
      </c>
      <c r="X374" s="257">
        <f>IFERROR(IF(AND(COUNT(T147,U147,V147,X147)=4,(T15+U15+V15+X15)&lt;&gt;0),(T147+U147+V147+X147)/(T15+U15+V15+X15),""),"")</f>
        <v>0.0436693122402687</v>
      </c>
      <c r="Y374" s="257">
        <f>IFERROR(IF(AND(COUNT(U147,V147,X147,Y147)=4,(U15+V15+X15+Y15)&lt;&gt;0),(U147+V147+X147+Y147)/(U15+V15+X15+Y15),""),"")</f>
        <v>0.0430352022933671</v>
      </c>
      <c r="Z374" s="257">
        <f>IFERROR(IF(AND(COUNT(V147,X147,Y147,Z147)=4,(V15+X15+Y15+Z15)&lt;&gt;0),(V147+X147+Y147+Z147)/(V15+X15+Y15+Z15),""),"")</f>
        <v>0.0424307683507788</v>
      </c>
      <c r="AA374" s="257">
        <f>IFERROR(IF(AND(COUNT(X147,Y147,Z147,AA147)=4,(X15+Y15+Z15+AA15)&lt;&gt;0),(X147+Y147+Z147+AA147)/(X15+Y15+Z15+AA15),""),"")</f>
        <v>0.0388405245752831</v>
      </c>
      <c r="AB374" s="258">
        <f>IFERROR(IF(AND(COUNT(X147,Y147,Z147,AA147)=4,(X15+Y15+Z15+AA15)&lt;&gt;0),(X147+Y147+Z147+AA147)/(X15+Y15+Z15+AA15),""),"")</f>
        <v>0.0388405245752831</v>
      </c>
      <c r="AC374" s="257">
        <f>IFERROR(IF(AND(COUNT(Y147,Z147,AA147,AC147)=4,(Y15+Z15+AA15+AC15)&lt;&gt;0),(Y147+Z147+AA147+AC147)/(Y15+Z15+AA15+AC15),""),"")</f>
        <v>0.038812946987748</v>
      </c>
      <c r="AD374" s="257">
        <f>IFERROR(IF(AND(COUNT(Z147,AA147,AC147,AD147)=4,(Z15+AA15+AC15+AD15)&lt;&gt;0),(Z147+AA147+AC147+AD147)/(Z15+AA15+AC15+AD15),""),"")</f>
        <v>0.0395198625923023</v>
      </c>
      <c r="AE374" s="257">
        <f>IFERROR(IF(AND(COUNT(AA147,AC147,AD147,AE147)=4,(AA15+AC15+AD15+AE15)&lt;&gt;0),(AA147+AC147+AD147+AE147)/(AA15+AC15+AD15+AE15),""),"")</f>
        <v>0.0504317454302409</v>
      </c>
      <c r="AF374" s="257">
        <f>IFERROR(IF(AND(COUNT(AB147,AD147,AE147,AF147)=4,(AB15+AD15+AE15+AF15)&lt;&gt;0),(AB147+AD147+AE147+AF147)/(AB15+AD15+AE15+AF15),""),"")</f>
        <v>0.0453018510550278</v>
      </c>
      <c r="AG374" s="258">
        <f>IFERROR(IF(AND(COUNT(AC147,AD147,AE147,AF147)=4,(AC15+AD15+AE15+AF15)&lt;&gt;0),(AC147+AD147+AE147+AF147)/(AC15+AD15+AE15+AF15),""),"")</f>
        <v>0.0480660032106537</v>
      </c>
      <c r="AH374" s="257">
        <f>IFERROR(IF(AND(COUNT(AD147,AF147,AG147,AH147)=4,(AD15+AF15+AG15+AH15)&lt;&gt;0),(AD147+AF147+AG147+AH147)/(AD15+AF15+AG15+AH15),""),"")</f>
        <v>0.0413934763658744</v>
      </c>
      <c r="AI374" s="257">
        <f>IFERROR(IF(AND(COUNT(AE147,AG147,AH147,AI147)=4,(AE15+AG15+AH15+AI15)&lt;&gt;0),(AE147+AG147+AH147+AI147)/(AE15+AG15+AH15+AI15),""),"")</f>
        <v>0.0459821246608455</v>
      </c>
      <c r="AJ374" s="257">
        <f>IFERROR(IF(AND(COUNT(AF147,AH147,AI147,AJ147)=4,(AF15+AH15+AI15+AJ15)&lt;&gt;0),(AF147+AH147+AI147+AJ147)/(AF15+AH15+AI15+AJ15),""),"")</f>
        <v>0.0438408380430401</v>
      </c>
      <c r="AK374" s="257">
        <f>IFERROR(IF(AND(COUNT(AH147,AI147,AJ147,AK147)=4,(AH15+AI15+AJ15+AK15)&lt;&gt;0),(AH147+AI147+AJ147+AK147)/(AH15+AI15+AJ15+AK15),""),"")</f>
        <v>0.0587744782119324</v>
      </c>
      <c r="AL374" s="258">
        <f>IFERROR(IF(AND(COUNT(AH147,AI147,AJ147,AK147)=4,(AH15+AI15+AJ15+AK15)&lt;&gt;0),(AH147+AI147+AJ147+AK147)/(AH15+AI15+AJ15+AK15),""),"")</f>
        <v>0.0587744782119324</v>
      </c>
      <c r="AM374" s="257">
        <f>IFERROR(IF(AND(COUNT(AI147,AJ147,AK147,AM147)=4,(AI15+AJ15+AK15+AM15)&lt;&gt;0),(AI147+AJ147+AK147+AM147)/(AI15+AJ15+AK15+AM15),""),"")</f>
        <v>0.0727509686367733</v>
      </c>
      <c r="AN374" s="257">
        <f>IFERROR(IF(AND(COUNT(AJ147,AK147,AM147,AN147)=4,(AJ15+AK15+AM15+AN15)&lt;&gt;0),(AJ147+AK147+AM147+AN147)/(AJ15+AK15+AM15+AN15),""),"")</f>
        <v>0.0860905124142467</v>
      </c>
      <c r="AO374" s="257">
        <f>IFERROR(IF(AND(COUNT(AK147,AM147,AN147,AO147)=4,(AK15+AM15+AN15+AO15)&lt;&gt;0),(AK147+AM147+AN147+AO147)/(AK15+AM15+AN15+AO15),""),"")</f>
        <v>0.0860905124142467</v>
      </c>
      <c r="AP374" s="257">
        <f>IFERROR(IF(AND(COUNT(AM147,AN147,AO147,AP147)=4,(AM15+AN15+AO15+AP15)&lt;&gt;0),(AM147+AN147+AO147+AP147)/(AM15+AN15+AO15+AP15),""),"")</f>
        <v>0.0860905124142468</v>
      </c>
      <c r="AQ374" s="258">
        <f>IFERROR(IF(AND(COUNT(AM147,AN147,AO147,AP147)=4,(AM15+AN15+AO15+AP15)&lt;&gt;0),(AM147+AN147+AO147+AP147)/(AM15+AN15+AO15+AP15),""),"")</f>
        <v>0.0860905124142468</v>
      </c>
      <c r="AR374" s="257">
        <f>IFERROR(IF(AND(COUNT(AN147,AO147,AP147,AR147)=4,(AN15+AO15+AP15+AR15)&lt;&gt;0),(AN147+AO147+AP147+AR147)/(AN15+AO15+AP15+AR15),""),"")</f>
        <v>0.0860905124142468</v>
      </c>
      <c r="AS374" s="257">
        <f>IFERROR(IF(AND(COUNT(AO147,AP147,AR147,AS147)=4,(AO15+AP15+AR15+AS15)&lt;&gt;0),(AO147+AP147+AR147+AS147)/(AO15+AP15+AR15+AS15),""),"")</f>
        <v>0.0860905124142468</v>
      </c>
      <c r="AT374" s="257">
        <f>IFERROR(IF(AND(COUNT(AP147,AR147,AS147,AT147)=4,(AP15+AR15+AS15+AT15)&lt;&gt;0),(AP147+AR147+AS147+AT147)/(AP15+AR15+AS15+AT15),""),"")</f>
        <v>0.0860905124142467</v>
      </c>
      <c r="AU374" s="257">
        <f>IFERROR(IF(AND(COUNT(AR147,AS147,AT147,AU147)=4,(AR15+AS15+AT15+AU15)&lt;&gt;0),(AR147+AS147+AT147+AU147)/(AR15+AS15+AT15+AU15),""),"")</f>
        <v>0.0860905124142467</v>
      </c>
      <c r="AV374" s="258">
        <f>IFERROR(IF(AND(COUNT(AR147,AS147,AT147,AU147)=4,(AR15+AS15+AT15+AU15)&lt;&gt;0),(AR147+AS147+AT147+AU147)/(AR15+AS15+AT15+AU15),""),"")</f>
        <v>0.0860905124142467</v>
      </c>
      <c r="AW374" s="257">
        <f>IFERROR(IF(AND(COUNT(AS147,AT147,AU147,AW147)=4,(AS15+AT15+AU15+AW15)&lt;&gt;0),(AS147+AT147+AU147+AW147)/(AS15+AT15+AU15+AW15),""),"")</f>
        <v>0.0860905124142468</v>
      </c>
      <c r="AX374" s="257">
        <f>IFERROR(IF(AND(COUNT(AT147,AU147,AW147,AX147)=4,(AT15+AU15+AW15+AX15)&lt;&gt;0),(AT147+AU147+AW147+AX147)/(AT15+AU15+AW15+AX15),""),"")</f>
        <v>0.0860905124142468</v>
      </c>
      <c r="AY374" s="257">
        <f>IFERROR(IF(AND(COUNT(AU147,AW147,AX147,AY147)=4,(AU15+AW15+AX15+AY15)&lt;&gt;0),(AU147+AW147+AX147+AY147)/(AU15+AW15+AX15+AY15),""),"")</f>
        <v>0.0860905124142468</v>
      </c>
      <c r="AZ374" s="257">
        <f>IFERROR(IF(AND(COUNT(AW147,AX147,AY147,AZ147)=4,(AW15+AX15+AY15+AZ15)&lt;&gt;0),(AW147+AX147+AY147+AZ147)/(AW15+AX15+AY15+AZ15),""),"")</f>
        <v>0.0860905124142467</v>
      </c>
      <c r="BA374" s="258">
        <f>IFERROR(IF(AND(COUNT(AW147,AX147,AY147,AZ147)=4,(AW15+AX15+AY15+AZ15)&lt;&gt;0),(AW147+AX147+AY147+AZ147)/(AW15+AX15+AY15+AZ15),""),"")</f>
        <v>0.0860905124142467</v>
      </c>
      <c r="BB374" s="257">
        <f>IFERROR(IF(AND(COUNT(AX147,AY147,AZ147,BB147)=4,(AX15+AY15+AZ15+BB15)&lt;&gt;0),(AX147+AY147+AZ147+BB147)/(AX15+AY15+AZ15+BB15),""),"")</f>
        <v>0.0860905124142468</v>
      </c>
      <c r="BC374" s="257">
        <f>IFERROR(IF(AND(COUNT(AY147,AZ147,BB147,BC147)=4,(AY15+AZ15+BB15+BC15)&lt;&gt;0),(AY147+AZ147+BB147+BC147)/(AY15+AZ15+BB15+BC15),""),"")</f>
        <v>0.0860905124142467</v>
      </c>
      <c r="BD374" s="257">
        <f>IFERROR(IF(AND(COUNT(AZ147,BB147,BC147,BD147)=4,(AZ15+BB15+BC15+BD15)&lt;&gt;0),(AZ147+BB147+BC147+BD147)/(AZ15+BB15+BC15+BD15),""),"")</f>
        <v>0.0860905124142467</v>
      </c>
      <c r="BE374" s="257">
        <f>IFERROR(IF(AND(COUNT(BB147,BC147,BD147,BE147)=4,(BB15+BC15+BD15+BE15)&lt;&gt;0),(BB147+BC147+BD147+BE147)/(BB15+BC15+BD15+BE15),""),"")</f>
        <v>0.0860905124142468</v>
      </c>
      <c r="BF374" s="258">
        <f>IFERROR(IF(AND(COUNT(BB147,BC147,BD147,BE147)=4,(BB15+BC15+BD15+BE15)&lt;&gt;0),(BB147+BC147+BD147+BE147)/(BB15+BC15+BD15+BE15),""),"")</f>
        <v>0.0860905124142468</v>
      </c>
      <c r="BG374" s="81" t="n"/>
      <c r="BH374" s="81" t="n"/>
      <c r="BI374" s="81" t="n"/>
      <c r="BJ374" s="81" t="n"/>
      <c r="BL374" s="81" t="n"/>
      <c r="BM374" s="81" t="n"/>
      <c r="BN374" s="81" t="n"/>
      <c r="BO374" s="81" t="n"/>
      <c r="BQ374" s="81" t="n"/>
      <c r="BR374" s="81" t="n"/>
      <c r="BS374" s="81" t="n"/>
      <c r="BT374" s="81" t="n"/>
      <c r="BV374" s="81" t="n"/>
      <c r="BW374" s="81" t="n"/>
      <c r="BX374" s="81" t="n"/>
      <c r="BY374" s="81" t="n"/>
      <c r="CA374" s="81" t="n"/>
      <c r="CB374" s="81" t="n"/>
      <c r="CC374" s="81" t="n"/>
      <c r="CD374" s="81" t="n"/>
      <c r="CF374" s="81" t="n"/>
      <c r="CG374" s="81" t="n"/>
      <c r="CH374" s="81" t="n"/>
      <c r="CI374" s="81" t="n"/>
      <c r="CK374" s="81" t="n"/>
      <c r="CL374" s="81" t="n"/>
      <c r="CM374" s="81" t="n"/>
      <c r="CN374" s="81" t="n"/>
      <c r="CP374" s="81" t="n"/>
      <c r="CQ374" s="81" t="n"/>
      <c r="CR374" s="81" t="n"/>
      <c r="CS374" s="81" t="n"/>
      <c r="CU374" s="81" t="n"/>
      <c r="CV374" s="81" t="n"/>
      <c r="CW374" s="81" t="n"/>
      <c r="CX374" s="81" t="n"/>
    </row>
    <row r="375" customFormat="1" s="77">
      <c r="A375" s="76" t="n"/>
      <c r="B375" s="76" t="n"/>
      <c r="C375" s="77" t="inlineStr">
        <is>
          <t>ASSET TURNOVER (LTM REVENUE / ASSETS)</t>
        </is>
      </c>
      <c r="D375" s="84" t="str">
        <f>IFERROR(D15/D207,"")</f>
        <v/>
      </c>
      <c r="E375" s="84" t="str">
        <f>IFERROR(E15/E207,"")</f>
        <v/>
      </c>
      <c r="F375" s="84" t="str">
        <f>IFERROR(F15/F207,"")</f>
        <v/>
      </c>
      <c r="G375" s="84" t="str">
        <f>IFERROR(G15/G207,"")</f>
        <v/>
      </c>
      <c r="H375" s="262" t="str">
        <f>IFERROR(IF(AND(COUNT(H15)=1,N(H207)&lt;&gt;0),(H15)/H207,""),"")</f>
        <v/>
      </c>
      <c r="I375" s="264" t="str">
        <f>""</f>
        <v/>
      </c>
      <c r="J375" s="264" t="str">
        <f>""</f>
        <v/>
      </c>
      <c r="K375" s="264" t="str">
        <f>""</f>
        <v/>
      </c>
      <c r="L375" s="264">
        <f>IFERROR(IF(AND(COUNT(I15,J15,K15,L15)=4,N(L207)&lt;&gt;0),(I15+J15+K15+L15)/L207,""),"")</f>
        <v>1.5948640234833</v>
      </c>
      <c r="M375" s="262">
        <f>IFERROR(IF(AND(COUNT(I15,J15,K15,L15)=4,N(M207)&lt;&gt;0),(I15+J15+K15+L15)/M207,""),"")</f>
        <v>1.5948640234833</v>
      </c>
      <c r="N375" s="264">
        <f>IFERROR(IF(AND(COUNT(J15,K15,L15,N15)=4,N(N207)&lt;&gt;0),(J15+K15+L15+N15)/N207,""),"")</f>
        <v>1.63415382906721</v>
      </c>
      <c r="O375" s="264">
        <f>IFERROR(IF(AND(COUNT(K15,L15,N15,O15)=4,N(O207)&lt;&gt;0),(K15+L15+N15+O15)/O207,""),"")</f>
        <v>1.62405354210049</v>
      </c>
      <c r="P375" s="264">
        <f>IFERROR(IF(AND(COUNT(L15,N15,O15,P15)=4,N(P207)&lt;&gt;0),(L15+N15+O15+P15)/P207,""),"")</f>
        <v>1.62620085962273</v>
      </c>
      <c r="Q375" s="264">
        <f>IFERROR(IF(AND(COUNT(N15,O15,P15,Q15)=4,N(Q207)&lt;&gt;0),(N15+O15+P15+Q15)/Q207,""),"")</f>
        <v>1.64117749873681</v>
      </c>
      <c r="R375" s="262">
        <f>IFERROR(IF(AND(COUNT(N15,O15,P15,Q15)=4,N(R207)&lt;&gt;0),(N15+O15+P15+Q15)/R207,""),"")</f>
        <v>1.64117749873681</v>
      </c>
      <c r="S375" s="264">
        <f>IFERROR(IF(AND(COUNT(O15,P15,Q15,S15)=4,N(S207)&lt;&gt;0),(O15+P15+Q15+S15)/S207,""),"")</f>
        <v>1.67982593140974</v>
      </c>
      <c r="T375" s="264">
        <f>IFERROR(IF(AND(COUNT(P15,Q15,S15,T15)=4,N(T207)&lt;&gt;0),(P15+Q15+S15+T15)/T207,""),"")</f>
        <v>1.68902663117077</v>
      </c>
      <c r="U375" s="264">
        <f>IFERROR(IF(AND(COUNT(Q15,S15,T15,U15)=4,N(U207)&lt;&gt;0),(Q15+S15+T15+U15)/U207,""),"")</f>
        <v>1.68014677125839</v>
      </c>
      <c r="V375" s="264">
        <f>IFERROR(IF(AND(COUNT(S15,T15,U15,V15)=4,N(V207)&lt;&gt;0),(S15+T15+U15+V15)/V207,""),"")</f>
        <v>1.63679781409339</v>
      </c>
      <c r="W375" s="262">
        <f>IFERROR(IF(AND(COUNT(S15,T15,U15,V15)=4,N(W207)&lt;&gt;0),(S15+T15+U15+V15)/W207,""),"")</f>
        <v>1.63679781409339</v>
      </c>
      <c r="X375" s="264">
        <f>IFERROR(IF(AND(COUNT(T15,U15,V15,X15)=4,N(X207)&lt;&gt;0),(T15+U15+V15+X15)/X207,""),"")</f>
        <v>1.7124284146919</v>
      </c>
      <c r="Y375" s="264">
        <f>IFERROR(IF(AND(COUNT(U15,V15,X15,Y15)=4,N(Y207)&lt;&gt;0),(U15+V15+X15+Y15)/Y207,""),"")</f>
        <v>1.72188523867542</v>
      </c>
      <c r="Z375" s="264">
        <f>IFERROR(IF(AND(COUNT(V15,X15,Y15,Z15)=4,N(Z207)&lt;&gt;0),(V15+X15+Y15+Z15)/Z207,""),"")</f>
        <v>1.72618025908309</v>
      </c>
      <c r="AA375" s="264">
        <f>IFERROR(IF(AND(COUNT(X15,Y15,Z15,AA15)=4,N(AA207)&lt;&gt;0),(X15+Y15+Z15+AA15)/AA207,""),"")</f>
        <v>1.76021149027217</v>
      </c>
      <c r="AB375" s="262">
        <f>IFERROR(IF(AND(COUNT(X15,Y15,Z15,AA15)=4,N(AB207)&lt;&gt;0),(X15+Y15+Z15+AA15)/AB207,""),"")</f>
        <v>1.76021149027217</v>
      </c>
      <c r="AC375" s="264">
        <f>IFERROR(IF(AND(COUNT(Y15,Z15,AA15,AC15)=4,N(AC207)&lt;&gt;0),(Y15+Z15+AA15+AC15)/AC207,""),"")</f>
        <v>1.70786636190663</v>
      </c>
      <c r="AD375" s="264">
        <f>IFERROR(IF(AND(COUNT(Z15,AA15,AC15,AD15)=4,N(AD207)&lt;&gt;0),(Z15+AA15+AC15+AD15)/AD207,""),"")</f>
        <v>1.73770589346134</v>
      </c>
      <c r="AE375" s="264">
        <f>IFERROR(IF(AND(COUNT(AA15,AC15,AD15,AE15)=4,N(AE207)&lt;&gt;0),(AA15+AC15+AD15+AE15)/AE207,""),"")</f>
        <v>1.54461988451919</v>
      </c>
      <c r="AF375" s="264">
        <f>IFERROR(IF(AND(COUNT(AB15,AD15,AE15,AF15)=4,N(AF207)&lt;&gt;0),(AB15+AD15+AE15+AF15)/AF207,""),"")</f>
        <v>2.55332171166623</v>
      </c>
      <c r="AG375" s="262">
        <f>IFERROR(IF(AND(COUNT(AC15,AD15,AE15,AF15)=4,N(AG207)&lt;&gt;0),(AC15+AD15+AE15+AF15)/AG207,""),"")</f>
        <v>1.57787368506769</v>
      </c>
      <c r="AH375" s="264">
        <f>IFERROR(IF(AND(COUNT(AD15,AF15,AG15,AH15)=4,N(AH207)&lt;&gt;0),(AD15+AF15+AG15+AH15)/AH207,""),"")</f>
        <v>2.71476458981854</v>
      </c>
      <c r="AI375" s="264">
        <f>IFERROR(IF(AND(COUNT(AE15,AG15,AH15,AI15)=4,N(AI207)&lt;&gt;0),(AE15+AG15+AH15+AI15)/AI207,""),"")</f>
        <v>2.72104079441908</v>
      </c>
      <c r="AJ375" s="264">
        <f>IFERROR(IF(AND(COUNT(AF15,AH15,AI15,AJ15)=4,N(AJ207)&lt;&gt;0),(AF15+AH15+AI15+AJ15)/AJ207,""),"")</f>
        <v>1.56929649907184</v>
      </c>
      <c r="AK375" s="264">
        <f>IFERROR(IF(AND(COUNT(AH15,AI15,AJ15,AK15)=4,N(AK207)&lt;&gt;0),(AH15+AI15+AJ15+AK15)/AK207,""),"")</f>
        <v>1.57149679272165</v>
      </c>
      <c r="AL375" s="262">
        <f>IFERROR(IF(AND(COUNT(AH15,AI15,AJ15,AK15)=4,N(AL207)&lt;&gt;0),(AH15+AI15+AJ15+AK15)/AL207,""),"")</f>
        <v>1.57149679272165</v>
      </c>
      <c r="AM375" s="264">
        <f>IFERROR(IF(AND(COUNT(AI15,AJ15,AK15,AM15)=4,N(AM207)&lt;&gt;0),(AI15+AJ15+AK15+AM15)/AM207,""),"")</f>
        <v>1.59159314776227</v>
      </c>
      <c r="AN375" s="264">
        <f>IFERROR(IF(AND(COUNT(AJ15,AK15,AM15,AN15)=4,N(AN207)&lt;&gt;0),(AJ15+AK15+AM15+AN15)/AN207,""),"")</f>
        <v>1.57446573381245</v>
      </c>
      <c r="AO375" s="264">
        <f>IFERROR(IF(AND(COUNT(AK15,AM15,AN15,AO15)=4,N(AO207)&lt;&gt;0),(AK15+AM15+AN15+AO15)/AO207,""),"")</f>
        <v>1.50344138040743</v>
      </c>
      <c r="AP375" s="264">
        <f>IFERROR(IF(AND(COUNT(AM15,AN15,AO15,AP15)=4,N(AP207)&lt;&gt;0),(AM15+AN15+AO15+AP15)/AP207,""),"")</f>
        <v>1.5031610390278</v>
      </c>
      <c r="AQ375" s="262">
        <f>IFERROR(IF(AND(COUNT(AM15,AN15,AO15,AP15)=4,N(AQ207)&lt;&gt;0),(AM15+AN15+AO15+AP15)/AQ207,""),"")</f>
        <v>1.5031610390278</v>
      </c>
      <c r="AR375" s="264">
        <f>IFERROR(IF(AND(COUNT(AN15,AO15,AP15,AR15)=4,N(AR207)&lt;&gt;0),(AN15+AO15+AP15+AR15)/AR207,""),"")</f>
        <v>1.52106116965138</v>
      </c>
      <c r="AS375" s="264">
        <f>IFERROR(IF(AND(COUNT(AO15,AP15,AR15,AS15)=4,N(AS207)&lt;&gt;0),(AO15+AP15+AR15+AS15)/AS207,""),"")</f>
        <v>1.49820882327606</v>
      </c>
      <c r="AT375" s="264">
        <f>IFERROR(IF(AND(COUNT(AP15,AR15,AS15,AT15)=4,N(AT207)&lt;&gt;0),(AP15+AR15+AS15+AT15)/AT207,""),"")</f>
        <v>1.42945187781698</v>
      </c>
      <c r="AU375" s="264">
        <f>IFERROR(IF(AND(COUNT(AR15,AS15,AT15,AU15)=4,N(AU207)&lt;&gt;0),(AR15+AS15+AT15+AU15)/AU207,""),"")</f>
        <v>1.42424737129134</v>
      </c>
      <c r="AV375" s="262">
        <f>IFERROR(IF(AND(COUNT(AR15,AS15,AT15,AU15)=4,N(AV207)&lt;&gt;0),(AR15+AS15+AT15+AU15)/AV207,""),"")</f>
        <v>1.42424737129134</v>
      </c>
      <c r="AW375" s="264">
        <f>IFERROR(IF(AND(COUNT(AS15,AT15,AU15,AW15)=4,N(AW207)&lt;&gt;0),(AS15+AT15+AU15+AW15)/AW207,""),"")</f>
        <v>1.43316688850145</v>
      </c>
      <c r="AX375" s="264">
        <f>IFERROR(IF(AND(COUNT(AT15,AU15,AW15,AX15)=4,N(AX207)&lt;&gt;0),(AT15+AU15+AW15+AX15)/AX207,""),"")</f>
        <v>1.40909893146794</v>
      </c>
      <c r="AY375" s="264">
        <f>IFERROR(IF(AND(COUNT(AU15,AW15,AX15,AY15)=4,N(AY207)&lt;&gt;0),(AU15+AW15+AX15+AY15)/AY207,""),"")</f>
        <v>1.34240388287572</v>
      </c>
      <c r="AZ375" s="264">
        <f>IFERROR(IF(AND(COUNT(AW15,AX15,AY15,AZ15)=4,N(AZ207)&lt;&gt;0),(AW15+AX15+AY15+AZ15)/AZ207,""),"")</f>
        <v>1.33138714008266</v>
      </c>
      <c r="BA375" s="262">
        <f>IFERROR(IF(AND(COUNT(AW15,AX15,AY15,AZ15)=4,N(BA207)&lt;&gt;0),(AW15+AX15+AY15+AZ15)/BA207,""),"")</f>
        <v>1.33138714008266</v>
      </c>
      <c r="BB375" s="264">
        <f>IFERROR(IF(AND(COUNT(AX15,AY15,AZ15,BB15)=4,N(BB207)&lt;&gt;0),(AX15+AY15+AZ15+BB15)/BB207,""),"")</f>
        <v>1.3327335167597</v>
      </c>
      <c r="BC375" s="264">
        <f>IFERROR(IF(AND(COUNT(AY15,AZ15,BB15,BC15)=4,N(BC207)&lt;&gt;0),(AY15+AZ15+BB15+BC15)/BC207,""),"")</f>
        <v>1.30421241491329</v>
      </c>
      <c r="BD375" s="264">
        <f>IFERROR(IF(AND(COUNT(AZ15,BB15,BC15,BD15)=4,N(BD207)&lt;&gt;0),(AZ15+BB15+BC15+BD15)/BD207,""),"")</f>
        <v>1.23971881235165</v>
      </c>
      <c r="BE375" s="264">
        <f>IFERROR(IF(AND(COUNT(BB15,BC15,BD15,BE15)=4,N(BE207)&lt;&gt;0),(BB15+BC15+BD15+BE15)/BE207,""),"")</f>
        <v>1.22241774217687</v>
      </c>
      <c r="BF375" s="262">
        <f>IFERROR(IF(AND(COUNT(BB15,BC15,BD15,BE15)=4,N(BF207)&lt;&gt;0),(BB15+BC15+BD15+BE15)/BF207,""),"")</f>
        <v>1.22241774217687</v>
      </c>
      <c r="BG375" s="81" t="n"/>
      <c r="BH375" s="81" t="n"/>
      <c r="BI375" s="81" t="n"/>
      <c r="BJ375" s="81" t="n"/>
      <c r="BL375" s="81" t="n"/>
      <c r="BM375" s="81" t="n"/>
      <c r="BN375" s="81" t="n"/>
      <c r="BO375" s="81" t="n"/>
      <c r="BQ375" s="81" t="n"/>
      <c r="BR375" s="81" t="n"/>
      <c r="BS375" s="81" t="n"/>
      <c r="BT375" s="81" t="n"/>
      <c r="BV375" s="81" t="n"/>
      <c r="BW375" s="81" t="n"/>
      <c r="BX375" s="81" t="n"/>
      <c r="BY375" s="81" t="n"/>
      <c r="CA375" s="81" t="n"/>
      <c r="CB375" s="81" t="n"/>
      <c r="CC375" s="81" t="n"/>
      <c r="CD375" s="81" t="n"/>
      <c r="CF375" s="81" t="n"/>
      <c r="CG375" s="81" t="n"/>
      <c r="CH375" s="81" t="n"/>
      <c r="CI375" s="81" t="n"/>
      <c r="CK375" s="81" t="n"/>
      <c r="CL375" s="81" t="n"/>
      <c r="CM375" s="81" t="n"/>
      <c r="CN375" s="81" t="n"/>
      <c r="CP375" s="81" t="n"/>
      <c r="CQ375" s="81" t="n"/>
      <c r="CR375" s="81" t="n"/>
      <c r="CS375" s="81" t="n"/>
      <c r="CU375" s="81" t="n"/>
      <c r="CV375" s="81" t="n"/>
      <c r="CW375" s="81" t="n"/>
      <c r="CX375" s="81" t="n"/>
    </row>
    <row r="376" customFormat="1" s="77">
      <c r="A376" s="76" t="n"/>
      <c r="B376" s="76" t="n"/>
      <c r="C376" s="77" t="inlineStr">
        <is>
          <t>EQUITY MULTIPLIER (ASSETS / EQUITY)</t>
        </is>
      </c>
      <c r="D376" s="84" t="str">
        <f>IFERROR(D207/D281,"")</f>
        <v/>
      </c>
      <c r="E376" s="84" t="str">
        <f>IFERROR(E207/E281,"")</f>
        <v/>
      </c>
      <c r="F376" s="84" t="str">
        <f>IFERROR(F207/F281,"")</f>
        <v/>
      </c>
      <c r="G376" s="84" t="str">
        <f>IFERROR(G207/G281,"")</f>
        <v/>
      </c>
      <c r="H376" s="262" t="str">
        <f>IFERROR(IF(N(H281)&lt;&gt;0,H207/H281,""),"")</f>
        <v/>
      </c>
      <c r="I376" s="264">
        <f>IFERROR(IF(N(I281)&lt;&gt;0,I207/I281,""),"")</f>
        <v>1.39514699112328</v>
      </c>
      <c r="J376" s="264">
        <f>IFERROR(IF(N(J281)&lt;&gt;0,J207/J281,""),"")</f>
        <v>1.44654900136405</v>
      </c>
      <c r="K376" s="264">
        <f>IFERROR(IF(N(K281)&lt;&gt;0,K207/K281,""),"")</f>
        <v>1.46866581081894</v>
      </c>
      <c r="L376" s="264">
        <f>IFERROR(IF(N(L281)&lt;&gt;0,L207/L281,""),"")</f>
        <v>1.53707504005586</v>
      </c>
      <c r="M376" s="262">
        <f>IFERROR(IF(N(M281)&lt;&gt;0,M207/M281,""),"")</f>
        <v>1.53707504005586</v>
      </c>
      <c r="N376" s="264">
        <f>IFERROR(IF(N(N281)&lt;&gt;0,N207/N281,""),"")</f>
        <v>1.5668650700029</v>
      </c>
      <c r="O376" s="264">
        <f>IFERROR(IF(N(O281)&lt;&gt;0,O207/O281,""),"")</f>
        <v>1.64760846237803</v>
      </c>
      <c r="P376" s="264">
        <f>IFERROR(IF(N(P281)&lt;&gt;0,P207/P281,""),"")</f>
        <v>1.71308482991231</v>
      </c>
      <c r="Q376" s="264">
        <f>IFERROR(IF(N(Q281)&lt;&gt;0,Q207/Q281,""),"")</f>
        <v>1.75867996883446</v>
      </c>
      <c r="R376" s="262">
        <f>IFERROR(IF(N(R281)&lt;&gt;0,R207/R281,""),"")</f>
        <v>1.75867996883446</v>
      </c>
      <c r="S376" s="264">
        <f>IFERROR(IF(N(S281)&lt;&gt;0,S207/S281,""),"")</f>
        <v>1.76392728642287</v>
      </c>
      <c r="T376" s="264">
        <f>IFERROR(IF(N(T281)&lt;&gt;0,T207/T281,""),"")</f>
        <v>1.7803531300876</v>
      </c>
      <c r="U376" s="264">
        <f>IFERROR(IF(N(U281)&lt;&gt;0,U207/U281,""),"")</f>
        <v>1.79553965810382</v>
      </c>
      <c r="V376" s="264">
        <f>IFERROR(IF(N(V281)&lt;&gt;0,V207/V281,""),"")</f>
        <v>1.86439523072913</v>
      </c>
      <c r="W376" s="262">
        <f>IFERROR(IF(N(W281)&lt;&gt;0,W207/W281,""),"")</f>
        <v>1.86439523072913</v>
      </c>
      <c r="X376" s="264">
        <f>IFERROR(IF(N(X281)&lt;&gt;0,X207/X281,""),"")</f>
        <v>1.85244085743211</v>
      </c>
      <c r="Y376" s="264">
        <f>IFERROR(IF(N(Y281)&lt;&gt;0,Y207/Y281,""),"")</f>
        <v>1.88235580409114</v>
      </c>
      <c r="Z376" s="264">
        <f>IFERROR(IF(N(Z281)&lt;&gt;0,Z207/Z281,""),"")</f>
        <v>1.90499053073435</v>
      </c>
      <c r="AA376" s="264">
        <f>IFERROR(IF(N(AA281)&lt;&gt;0,AA207/AA281,""),"")</f>
        <v>1.97439216887939</v>
      </c>
      <c r="AB376" s="262">
        <f>IFERROR(IF(N(AB281)&lt;&gt;0,AB207/AB281,""),"")</f>
        <v>1.97439216887939</v>
      </c>
      <c r="AC376" s="264">
        <f>IFERROR(IF(N(AC281)&lt;&gt;0,AC207/AC281,""),"")</f>
        <v>2.06730657521207</v>
      </c>
      <c r="AD376" s="264">
        <f>IFERROR(IF(N(AD281)&lt;&gt;0,AD207/AD281,""),"")</f>
        <v>2.04596927870832</v>
      </c>
      <c r="AE376" s="264">
        <f>IFERROR(IF(N(AE281)&lt;&gt;0,AE207/AE281,""),"")</f>
        <v>2.10605766501194</v>
      </c>
      <c r="AF376" s="264">
        <f>IFERROR(IF(N(AF281)&lt;&gt;0,AF207/AF281,""),"")</f>
        <v>2.12350930639278</v>
      </c>
      <c r="AG376" s="262">
        <f>IFERROR(IF(N(AG281)&lt;&gt;0,AG207/AG281,""),"")</f>
        <v>2.12350930639278</v>
      </c>
      <c r="AH376" s="264">
        <f>IFERROR(IF(N(AH281)&lt;&gt;0,AH207/AH281,""),"")</f>
        <v>2.06186760121131</v>
      </c>
      <c r="AI376" s="264">
        <f>IFERROR(IF(N(AI281)&lt;&gt;0,AI207/AI281,""),"")</f>
        <v>2.03747516958154</v>
      </c>
      <c r="AJ376" s="264">
        <f>IFERROR(IF(N(AJ281)&lt;&gt;0,AJ207/AJ281,""),"")</f>
        <v>2.01232229038346</v>
      </c>
      <c r="AK376" s="264">
        <f>IFERROR(IF(N(AK281)&lt;&gt;0,AK207/AK281,""),"")</f>
        <v>1.94139755317278</v>
      </c>
      <c r="AL376" s="262">
        <f>IFERROR(IF(N(AL281)&lt;&gt;0,AL207/AL281,""),"")</f>
        <v>1.94139755317278</v>
      </c>
      <c r="AM376" s="264">
        <f>IFERROR(IF(N(AM281)&lt;&gt;0,AM207/AM281,""),"")</f>
        <v>1.86476134991381</v>
      </c>
      <c r="AN376" s="264">
        <f>IFERROR(IF(N(AN281)&lt;&gt;0,AN207/AN281,""),"")</f>
        <v>1.83635664156575</v>
      </c>
      <c r="AO376" s="264">
        <f>IFERROR(IF(N(AO281)&lt;&gt;0,AO207/AO281,""),"")</f>
        <v>1.86620100753516</v>
      </c>
      <c r="AP376" s="264">
        <f>IFERROR(IF(N(AP281)&lt;&gt;0,AP207/AP281,""),"")</f>
        <v>1.81817162981802</v>
      </c>
      <c r="AQ376" s="262">
        <f>IFERROR(IF(N(AQ281)&lt;&gt;0,AQ207/AQ281,""),"")</f>
        <v>1.81817162981802</v>
      </c>
      <c r="AR376" s="264">
        <f>IFERROR(IF(N(AR281)&lt;&gt;0,AR207/AR281,""),"")</f>
        <v>1.75778373807672</v>
      </c>
      <c r="AS376" s="264">
        <f>IFERROR(IF(N(AS281)&lt;&gt;0,AS207/AS281,""),"")</f>
        <v>1.74754169861828</v>
      </c>
      <c r="AT376" s="264">
        <f>IFERROR(IF(N(AT281)&lt;&gt;0,AT207/AT281,""),"")</f>
        <v>1.78768278976499</v>
      </c>
      <c r="AU376" s="264">
        <f>IFERROR(IF(N(AU281)&lt;&gt;0,AU207/AU281,""),"")</f>
        <v>1.75626606670028</v>
      </c>
      <c r="AV376" s="262">
        <f>IFERROR(IF(N(AV281)&lt;&gt;0,AV207/AV281,""),"")</f>
        <v>1.75626606670028</v>
      </c>
      <c r="AW376" s="264">
        <f>IFERROR(IF(N(AW281)&lt;&gt;0,AW207/AW281,""),"")</f>
        <v>1.71408839502273</v>
      </c>
      <c r="AX376" s="264">
        <f>IFERROR(IF(N(AX281)&lt;&gt;0,AX207/AX281,""),"")</f>
        <v>1.7133334334853</v>
      </c>
      <c r="AY376" s="264">
        <f>IFERROR(IF(N(AY281)&lt;&gt;0,AY207/AY281,""),"")</f>
        <v>1.76245670118133</v>
      </c>
      <c r="AZ376" s="264">
        <f>IFERROR(IF(N(AZ281)&lt;&gt;0,AZ207/AZ281,""),"")</f>
        <v>1.74548084936448</v>
      </c>
      <c r="BA376" s="262">
        <f>IFERROR(IF(N(BA281)&lt;&gt;0,BA207/BA281,""),"")</f>
        <v>1.74548084936448</v>
      </c>
      <c r="BB376" s="264">
        <f>IFERROR(IF(N(BB281)&lt;&gt;0,BB207/BB281,""),"")</f>
        <v>1.71723674298408</v>
      </c>
      <c r="BC376" s="264">
        <f>IFERROR(IF(N(BC281)&lt;&gt;0,BC207/BC281,""),"")</f>
        <v>1.72902959052152</v>
      </c>
      <c r="BD376" s="264">
        <f>IFERROR(IF(N(BD281)&lt;&gt;0,BD207/BD281,""),"")</f>
        <v>1.78778987528604</v>
      </c>
      <c r="BE376" s="264">
        <f>IFERROR(IF(N(BE281)&lt;&gt;0,BE207/BE281,""),"")</f>
        <v>1.78537919227534</v>
      </c>
      <c r="BF376" s="262">
        <f>IFERROR(IF(N(BF281)&lt;&gt;0,BF207/BF281,""),"")</f>
        <v>1.78537919227534</v>
      </c>
      <c r="BG376" s="81" t="n"/>
      <c r="BH376" s="81" t="n"/>
      <c r="BI376" s="81" t="n"/>
      <c r="BJ376" s="81" t="n"/>
      <c r="BL376" s="81" t="n"/>
      <c r="BM376" s="81" t="n"/>
      <c r="BN376" s="81" t="n"/>
      <c r="BO376" s="81" t="n"/>
      <c r="BQ376" s="81" t="n"/>
      <c r="BR376" s="81" t="n"/>
      <c r="BS376" s="81" t="n"/>
      <c r="BT376" s="81" t="n"/>
      <c r="BV376" s="81" t="n"/>
      <c r="BW376" s="81" t="n"/>
      <c r="BX376" s="81" t="n"/>
      <c r="BY376" s="81" t="n"/>
      <c r="CA376" s="81" t="n"/>
      <c r="CB376" s="81" t="n"/>
      <c r="CC376" s="81" t="n"/>
      <c r="CD376" s="81" t="n"/>
      <c r="CF376" s="81" t="n"/>
      <c r="CG376" s="81" t="n"/>
      <c r="CH376" s="81" t="n"/>
      <c r="CI376" s="81" t="n"/>
      <c r="CK376" s="81" t="n"/>
      <c r="CL376" s="81" t="n"/>
      <c r="CM376" s="81" t="n"/>
      <c r="CN376" s="81" t="n"/>
      <c r="CP376" s="81" t="n"/>
      <c r="CQ376" s="81" t="n"/>
      <c r="CR376" s="81" t="n"/>
      <c r="CS376" s="81" t="n"/>
      <c r="CU376" s="81" t="n"/>
      <c r="CV376" s="81" t="n"/>
      <c r="CW376" s="81" t="n"/>
      <c r="CX376" s="81" t="n"/>
    </row>
    <row r="377" customFormat="1" s="77">
      <c r="A377" s="76" t="n"/>
      <c r="B377" s="76" t="n"/>
      <c r="C377" s="77" t="inlineStr">
        <is>
          <t>ROE - DUPONT</t>
        </is>
      </c>
      <c r="D377" s="84">
        <f>IFERROR(PRODUCT(D374:D376),"")</f>
        <v>0</v>
      </c>
      <c r="E377" s="84">
        <f>IFERROR(PRODUCT(E374:E376),"")</f>
        <v>0</v>
      </c>
      <c r="F377" s="84">
        <f>IFERROR(PRODUCT(F374:F376),"")</f>
        <v>0</v>
      </c>
      <c r="G377" s="84">
        <f>IFERROR(PRODUCT(G374:G376),"")</f>
        <v>0</v>
      </c>
      <c r="H377" s="258" t="str">
        <f>IFERROR(IF(COUNT(H374,H375,H376)=3,H374*H375*H376,""),"")</f>
        <v/>
      </c>
      <c r="I377" s="257" t="str">
        <f>IFERROR(IF(COUNT(I374,I375,I376)=3,I374*I375*I376,""),"")</f>
        <v/>
      </c>
      <c r="J377" s="257" t="str">
        <f>IFERROR(IF(COUNT(J374,J375,J376)=3,J374*J375*J376,""),"")</f>
        <v/>
      </c>
      <c r="K377" s="257" t="str">
        <f>IFERROR(IF(COUNT(K374,K375,K376)=3,K374*K375*K376,""),"")</f>
        <v/>
      </c>
      <c r="L377" s="257">
        <f>IFERROR(IF(COUNT(L374,L375,L376)=3,L374*L375*L376,""),"")</f>
        <v>0.11870323752764</v>
      </c>
      <c r="M377" s="258">
        <f>IFERROR(IF(COUNT(M374,M375,M376)=3,M374*M375*M376,""),"")</f>
        <v>0.11870323752764</v>
      </c>
      <c r="N377" s="257">
        <f>IFERROR(IF(COUNT(N374,N375,N376)=3,N374*N375*N376,""),"")</f>
        <v>0.121525873758856</v>
      </c>
      <c r="O377" s="257">
        <f>IFERROR(IF(COUNT(O374,O375,O376)=3,O374*O375*O376,""),"")</f>
        <v>0.127492408964566</v>
      </c>
      <c r="P377" s="257">
        <f>IFERROR(IF(COUNT(P374,P375,P376)=3,P374*P375*P376,""),"")</f>
        <v>0.133073244130008</v>
      </c>
      <c r="Q377" s="257">
        <f>IFERROR(IF(COUNT(Q374,Q375,Q376)=3,Q374*Q375*Q376,""),"")</f>
        <v>0.14118228876085</v>
      </c>
      <c r="R377" s="258">
        <f>IFERROR(IF(COUNT(R374,R375,R376)=3,R374*R375*R376,""),"")</f>
        <v>0.14118228876085</v>
      </c>
      <c r="S377" s="257">
        <f>IFERROR(IF(COUNT(S374,S375,S376)=3,S374*S375*S376,""),"")</f>
        <v>0.14203698996391</v>
      </c>
      <c r="T377" s="257">
        <f>IFERROR(IF(COUNT(T374,T375,T376)=3,T374*T375*T376,""),"")</f>
        <v>0.140463581569549</v>
      </c>
      <c r="U377" s="257">
        <f>IFERROR(IF(COUNT(U374,U375,U376)=3,U374*U375*U376,""),"")</f>
        <v>0.137990904275294</v>
      </c>
      <c r="V377" s="257">
        <f>IFERROR(IF(COUNT(V374,V375,V376)=3,V374*V375*V376,""),"")</f>
        <v>0.14072346134097</v>
      </c>
      <c r="W377" s="258">
        <f>IFERROR(IF(COUNT(W374,W375,W376)=3,W374*W375*W376,""),"")</f>
        <v>0.14072346134097</v>
      </c>
      <c r="X377" s="257">
        <f>IFERROR(IF(COUNT(X374,X375,X376)=3,X374*X375*X376,""),"")</f>
        <v>0.138526585303855</v>
      </c>
      <c r="Y377" s="257">
        <f>IFERROR(IF(COUNT(Y374,Y375,Y376)=3,Y374*Y375*Y376,""),"")</f>
        <v>0.139485726635932</v>
      </c>
      <c r="Z377" s="257">
        <f>IFERROR(IF(COUNT(Z374,Z375,Z376)=3,Z374*Z375*Z376,""),"")</f>
        <v>0.139527516153835</v>
      </c>
      <c r="AA377" s="257">
        <f>IFERROR(IF(COUNT(AA374,AA375,AA376)=3,AA374*AA375*AA376,""),"")</f>
        <v>0.134984330933063</v>
      </c>
      <c r="AB377" s="258">
        <f>IFERROR(IF(COUNT(AB374,AB375,AB376)=3,AB374*AB375*AB376,""),"")</f>
        <v>0.134984330933063</v>
      </c>
      <c r="AC377" s="257">
        <f>IFERROR(IF(COUNT(AC374,AC375,AC376)=3,AC374*AC375*AC376,""),"")</f>
        <v>0.137036226064859</v>
      </c>
      <c r="AD377" s="257">
        <f>IFERROR(IF(COUNT(AD374,AD375,AD376)=3,AD374*AD375*AD376,""),"")</f>
        <v>0.140504685834226</v>
      </c>
      <c r="AE377" s="257">
        <f>IFERROR(IF(COUNT(AE374,AE375,AE376)=3,AE374*AE375*AE376,""),"")</f>
        <v>0.164057420528187</v>
      </c>
      <c r="AF377" s="257">
        <f>IFERROR(IF(COUNT(AF374,AF375,AF376)=3,AF374*AF375*AF376,""),"")</f>
        <v>0.245626745912125</v>
      </c>
      <c r="AG377" s="258">
        <f>IFERROR(IF(COUNT(AG374,AG375,AG376)=3,AG374*AG375*AG376,""),"")</f>
        <v>0.16105136612028</v>
      </c>
      <c r="AH377" s="257">
        <f>IFERROR(IF(COUNT(AH374,AH375,AH376)=3,AH374*AH375*AH376,""),"")</f>
        <v>0.23169936937507</v>
      </c>
      <c r="AI377" s="257">
        <f>IFERROR(IF(COUNT(AI374,AI375,AI376)=3,AI374*AI375*AI376,""),"")</f>
        <v>0.254927338657545</v>
      </c>
      <c r="AJ377" s="257">
        <f>IFERROR(IF(COUNT(AJ374,AJ375,AJ376)=3,AJ374*AJ375*AJ376,""),"")</f>
        <v>0.138446311942813</v>
      </c>
      <c r="AK377" s="257">
        <f>IFERROR(IF(COUNT(AK374,AK375,AK376)=3,AK374*AK375*AK376,""),"")</f>
        <v>0.179315057234735</v>
      </c>
      <c r="AL377" s="258">
        <f>IFERROR(IF(COUNT(AL374,AL375,AL376)=3,AL374*AL375*AL376,""),"")</f>
        <v>0.179315057234735</v>
      </c>
      <c r="AM377" s="257">
        <f>IFERROR(IF(COUNT(AM374,AM375,AM376)=3,AM374*AM375*AM376,""),"")</f>
        <v>0.215920610742121</v>
      </c>
      <c r="AN377" s="257">
        <f>IFERROR(IF(COUNT(AN374,AN375,AN376)=3,AN374*AN375*AN376,""),"")</f>
        <v>0.248911829007582</v>
      </c>
      <c r="AO377" s="257">
        <f>IFERROR(IF(COUNT(AO374,AO375,AO376)=3,AO374*AO375*AO376,""),"")</f>
        <v>0.241546201260788</v>
      </c>
      <c r="AP377" s="257">
        <f>IFERROR(IF(COUNT(AP374,AP375,AP376)=3,AP374*AP375*AP376,""),"")</f>
        <v>0.23528577989253</v>
      </c>
      <c r="AQ377" s="258">
        <f>IFERROR(IF(COUNT(AQ374,AQ375,AQ376)=3,AQ374*AQ375*AQ376,""),"")</f>
        <v>0.23528577989253</v>
      </c>
      <c r="AR377" s="257">
        <f>IFERROR(IF(COUNT(AR374,AR375,AR376)=3,AR374*AR375*AR376,""),"")</f>
        <v>0.230179909355653</v>
      </c>
      <c r="AS377" s="257">
        <f>IFERROR(IF(COUNT(AS374,AS375,AS376)=3,AS374*AS375*AS376,""),"")</f>
        <v>0.225400663713726</v>
      </c>
      <c r="AT377" s="257">
        <f>IFERROR(IF(COUNT(AT374,AT375,AT376)=3,AT374*AT375*AT376,""),"")</f>
        <v>0.219996256799854</v>
      </c>
      <c r="AU377" s="257">
        <f>IFERROR(IF(COUNT(AU374,AU375,AU376)=3,AU374*AU375*AU376,""),"")</f>
        <v>0.215343134166323</v>
      </c>
      <c r="AV377" s="258">
        <f>IFERROR(IF(COUNT(AV374,AV375,AV376)=3,AV374*AV375*AV376,""),"")</f>
        <v>0.215343134166323</v>
      </c>
      <c r="AW377" s="257">
        <f>IFERROR(IF(COUNT(AW374,AW375,AW376)=3,AW374*AW375*AW376,""),"")</f>
        <v>0.211487777436905</v>
      </c>
      <c r="AX377" s="257">
        <f>IFERROR(IF(COUNT(AX374,AX375,AX376)=3,AX374*AX375*AX376,""),"")</f>
        <v>0.207844562859291</v>
      </c>
      <c r="AY377" s="257">
        <f>IFERROR(IF(COUNT(AY374,AY375,AY376)=3,AY374*AY375*AY376,""),"")</f>
        <v>0.203684015759988</v>
      </c>
      <c r="AZ377" s="257">
        <f>IFERROR(IF(COUNT(AZ374,AZ375,AZ376)=3,AZ374*AZ375*AZ376,""),"")</f>
        <v>0.200066667798009</v>
      </c>
      <c r="BA377" s="258">
        <f>IFERROR(IF(COUNT(BA374,BA375,BA376)=3,BA374*BA375*BA376,""),"")</f>
        <v>0.200066667798009</v>
      </c>
      <c r="BB377" s="257">
        <f>IFERROR(IF(COUNT(BB374,BB375,BB376)=3,BB374*BB375*BB376,""),"")</f>
        <v>0.197028379296094</v>
      </c>
      <c r="BC377" s="257">
        <f>IFERROR(IF(COUNT(BC374,BC375,BC376)=3,BC374*BC375*BC376,""),"")</f>
        <v>0.194135987235633</v>
      </c>
      <c r="BD377" s="257">
        <f>IFERROR(IF(COUNT(BD374,BD375,BD376)=3,BD374*BD375*BD376,""),"")</f>
        <v>0.19080728751891</v>
      </c>
      <c r="BE377" s="257">
        <f>IFERROR(IF(COUNT(BE374,BE375,BE376)=3,BE374*BE375*BE376,""),"")</f>
        <v>0.187890752760507</v>
      </c>
      <c r="BF377" s="258">
        <f>IFERROR(IF(COUNT(BF374,BF375,BF376)=3,BF374*BF375*BF376,""),"")</f>
        <v>0.187890752760507</v>
      </c>
      <c r="BG377" s="81" t="n"/>
      <c r="BH377" s="81" t="n"/>
      <c r="BI377" s="81" t="n"/>
      <c r="BJ377" s="81" t="n"/>
      <c r="BL377" s="81" t="n"/>
      <c r="BM377" s="81" t="n"/>
      <c r="BN377" s="81" t="n"/>
      <c r="BO377" s="81" t="n"/>
      <c r="BQ377" s="81" t="n"/>
      <c r="BR377" s="81" t="n"/>
      <c r="BS377" s="81" t="n"/>
      <c r="BT377" s="81" t="n"/>
      <c r="BV377" s="81" t="n"/>
      <c r="BW377" s="81" t="n"/>
      <c r="BX377" s="81" t="n"/>
      <c r="BY377" s="81" t="n"/>
      <c r="CA377" s="81" t="n"/>
      <c r="CB377" s="81" t="n"/>
      <c r="CC377" s="81" t="n"/>
      <c r="CD377" s="81" t="n"/>
      <c r="CF377" s="81" t="n"/>
      <c r="CG377" s="81" t="n"/>
      <c r="CH377" s="81" t="n"/>
      <c r="CI377" s="81" t="n"/>
      <c r="CK377" s="81" t="n"/>
      <c r="CL377" s="81" t="n"/>
      <c r="CM377" s="81" t="n"/>
      <c r="CN377" s="81" t="n"/>
      <c r="CP377" s="81" t="n"/>
      <c r="CQ377" s="81" t="n"/>
      <c r="CR377" s="81" t="n"/>
      <c r="CS377" s="81" t="n"/>
      <c r="CU377" s="81" t="n"/>
      <c r="CV377" s="81" t="n"/>
      <c r="CW377" s="81" t="n"/>
      <c r="CX377" s="81" t="n"/>
    </row>
    <row r="378" customFormat="1" s="77">
      <c r="A378" s="76" t="n"/>
      <c r="B378" s="76" t="n"/>
      <c r="C378" s="77" t="inlineStr">
        <is>
          <t>ROE (LTM)</t>
        </is>
      </c>
      <c r="D378" s="84" t="str">
        <f>IFERROR(D147/D281,"")</f>
        <v/>
      </c>
      <c r="E378" s="84" t="str">
        <f>IFERROR(E147/E281,"")</f>
        <v/>
      </c>
      <c r="F378" s="84" t="str">
        <f>IFERROR(F147/F281,"")</f>
        <v/>
      </c>
      <c r="G378" s="84" t="str">
        <f>IFERROR(G147/G281,"")</f>
        <v/>
      </c>
      <c r="H378" s="258" t="str">
        <f>IFERROR(IF(AND(COUNT(H147)=1,N(H281)&lt;&gt;0),(H147)/H281,""),"")</f>
        <v/>
      </c>
      <c r="I378" s="257" t="str">
        <f>""</f>
        <v/>
      </c>
      <c r="J378" s="257" t="str">
        <f>""</f>
        <v/>
      </c>
      <c r="K378" s="257" t="str">
        <f>""</f>
        <v/>
      </c>
      <c r="L378" s="257">
        <f>IFERROR(IF(AND(COUNT(I147,J147,K147,L147)=4,N(L281)&lt;&gt;0),(I147+J147+K147+L147)/L281,""),"")</f>
        <v>0.11870323752764</v>
      </c>
      <c r="M378" s="258">
        <f>IFERROR(IF(AND(COUNT(I147,J147,K147,L147)=4,N(M281)&lt;&gt;0),(I147+J147+K147+L147)/M281,""),"")</f>
        <v>0.11870323752764</v>
      </c>
      <c r="N378" s="257">
        <f>IFERROR(IF(AND(COUNT(J147,K147,L147,N147)=4,N(N281)&lt;&gt;0),(J147+K147+L147+N147)/N281,""),"")</f>
        <v>0.121525873758856</v>
      </c>
      <c r="O378" s="257">
        <f>IFERROR(IF(AND(COUNT(K147,L147,N147,O147)=4,N(O281)&lt;&gt;0),(K147+L147+N147+O147)/O281,""),"")</f>
        <v>0.127492408964566</v>
      </c>
      <c r="P378" s="257">
        <f>IFERROR(IF(AND(COUNT(L147,N147,O147,P147)=4,N(P281)&lt;&gt;0),(L147+N147+O147+P147)/P281,""),"")</f>
        <v>0.133073244130008</v>
      </c>
      <c r="Q378" s="257">
        <f>IFERROR(IF(AND(COUNT(N147,O147,P147,Q147)=4,N(Q281)&lt;&gt;0),(N147+O147+P147+Q147)/Q281,""),"")</f>
        <v>0.14118228876085</v>
      </c>
      <c r="R378" s="258">
        <f>IFERROR(IF(AND(COUNT(N147,O147,P147,Q147)=4,N(R281)&lt;&gt;0),(N147+O147+P147+Q147)/R281,""),"")</f>
        <v>0.14118228876085</v>
      </c>
      <c r="S378" s="257">
        <f>IFERROR(IF(AND(COUNT(O147,P147,Q147,S147)=4,N(S281)&lt;&gt;0),(O147+P147+Q147+S147)/S281,""),"")</f>
        <v>0.14203698996391</v>
      </c>
      <c r="T378" s="257">
        <f>IFERROR(IF(AND(COUNT(P147,Q147,S147,T147)=4,N(T281)&lt;&gt;0),(P147+Q147+S147+T147)/T281,""),"")</f>
        <v>0.140463581569549</v>
      </c>
      <c r="U378" s="257">
        <f>IFERROR(IF(AND(COUNT(Q147,S147,T147,U147)=4,N(U281)&lt;&gt;0),(Q147+S147+T147+U147)/U281,""),"")</f>
        <v>0.137990904275294</v>
      </c>
      <c r="V378" s="257">
        <f>IFERROR(IF(AND(COUNT(S147,T147,U147,V147)=4,N(V281)&lt;&gt;0),(S147+T147+U147+V147)/V281,""),"")</f>
        <v>0.14072346134097</v>
      </c>
      <c r="W378" s="258">
        <f>IFERROR(IF(AND(COUNT(S147,T147,U147,V147)=4,N(W281)&lt;&gt;0),(S147+T147+U147+V147)/W281,""),"")</f>
        <v>0.14072346134097</v>
      </c>
      <c r="X378" s="257">
        <f>IFERROR(IF(AND(COUNT(T147,U147,V147,X147)=4,N(X281)&lt;&gt;0),(T147+U147+V147+X147)/X281,""),"")</f>
        <v>0.138526585303855</v>
      </c>
      <c r="Y378" s="257">
        <f>IFERROR(IF(AND(COUNT(U147,V147,X147,Y147)=4,N(Y281)&lt;&gt;0),(U147+V147+X147+Y147)/Y281,""),"")</f>
        <v>0.139485726635932</v>
      </c>
      <c r="Z378" s="257">
        <f>IFERROR(IF(AND(COUNT(V147,X147,Y147,Z147)=4,N(Z281)&lt;&gt;0),(V147+X147+Y147+Z147)/Z281,""),"")</f>
        <v>0.139527516153835</v>
      </c>
      <c r="AA378" s="257">
        <f>IFERROR(IF(AND(COUNT(X147,Y147,Z147,AA147)=4,N(AA281)&lt;&gt;0),(X147+Y147+Z147+AA147)/AA281,""),"")</f>
        <v>0.134984330933063</v>
      </c>
      <c r="AB378" s="258">
        <f>IFERROR(IF(AND(COUNT(X147,Y147,Z147,AA147)=4,N(AB281)&lt;&gt;0),(X147+Y147+Z147+AA147)/AB281,""),"")</f>
        <v>0.134984330933063</v>
      </c>
      <c r="AC378" s="257">
        <f>IFERROR(IF(AND(COUNT(Y147,Z147,AA147,AC147)=4,N(AC281)&lt;&gt;0),(Y147+Z147+AA147+AC147)/AC281,""),"")</f>
        <v>0.137036226064859</v>
      </c>
      <c r="AD378" s="257">
        <f>IFERROR(IF(AND(COUNT(Z147,AA147,AC147,AD147)=4,N(AD281)&lt;&gt;0),(Z147+AA147+AC147+AD147)/AD281,""),"")</f>
        <v>0.140504685834226</v>
      </c>
      <c r="AE378" s="257">
        <f>IFERROR(IF(AND(COUNT(AA147,AC147,AD147,AE147)=4,N(AE281)&lt;&gt;0),(AA147+AC147+AD147+AE147)/AE281,""),"")</f>
        <v>0.164057420528187</v>
      </c>
      <c r="AF378" s="257">
        <f>IFERROR(IF(AND(COUNT(AB147,AD147,AE147,AF147)=4,N(AF281)&lt;&gt;0),(AB147+AD147+AE147+AF147)/AF281,""),"")</f>
        <v>0.245626745912125</v>
      </c>
      <c r="AG378" s="258">
        <f>IFERROR(IF(AND(COUNT(AC147,AD147,AE147,AF147)=4,N(AG281)&lt;&gt;0),(AC147+AD147+AE147+AF147)/AG281,""),"")</f>
        <v>0.16105136612028</v>
      </c>
      <c r="AH378" s="257">
        <f>IFERROR(IF(AND(COUNT(AD147,AF147,AG147,AH147)=4,N(AH281)&lt;&gt;0),(AD147+AF147+AG147+AH147)/AH281,""),"")</f>
        <v>0.23169936937507</v>
      </c>
      <c r="AI378" s="257">
        <f>IFERROR(IF(AND(COUNT(AE147,AG147,AH147,AI147)=4,N(AI281)&lt;&gt;0),(AE147+AG147+AH147+AI147)/AI281,""),"")</f>
        <v>0.254927338657544</v>
      </c>
      <c r="AJ378" s="257">
        <f>IFERROR(IF(AND(COUNT(AF147,AH147,AI147,AJ147)=4,N(AJ281)&lt;&gt;0),(AF147+AH147+AI147+AJ147)/AJ281,""),"")</f>
        <v>0.138446311942813</v>
      </c>
      <c r="AK378" s="257">
        <f>IFERROR(IF(AND(COUNT(AH147,AI147,AJ147,AK147)=4,N(AK281)&lt;&gt;0),(AH147+AI147+AJ147+AK147)/AK281,""),"")</f>
        <v>0.179315057234735</v>
      </c>
      <c r="AL378" s="258">
        <f>IFERROR(IF(AND(COUNT(AH147,AI147,AJ147,AK147)=4,N(AL281)&lt;&gt;0),(AH147+AI147+AJ147+AK147)/AL281,""),"")</f>
        <v>0.179315057234735</v>
      </c>
      <c r="AM378" s="257">
        <f>IFERROR(IF(AND(COUNT(AI147,AJ147,AK147,AM147)=4,N(AM281)&lt;&gt;0),(AI147+AJ147+AK147+AM147)/AM281,""),"")</f>
        <v>0.215920610742121</v>
      </c>
      <c r="AN378" s="257">
        <f>IFERROR(IF(AND(COUNT(AJ147,AK147,AM147,AN147)=4,N(AN281)&lt;&gt;0),(AJ147+AK147+AM147+AN147)/AN281,""),"")</f>
        <v>0.248911829007582</v>
      </c>
      <c r="AO378" s="257">
        <f>IFERROR(IF(AND(COUNT(AK147,AM147,AN147,AO147)=4,N(AO281)&lt;&gt;0),(AK147+AM147+AN147+AO147)/AO281,""),"")</f>
        <v>0.241546201260787</v>
      </c>
      <c r="AP378" s="257">
        <f>IFERROR(IF(AND(COUNT(AM147,AN147,AO147,AP147)=4,N(AP281)&lt;&gt;0),(AM147+AN147+AO147+AP147)/AP281,""),"")</f>
        <v>0.23528577989253</v>
      </c>
      <c r="AQ378" s="258">
        <f>IFERROR(IF(AND(COUNT(AM147,AN147,AO147,AP147)=4,N(AQ281)&lt;&gt;0),(AM147+AN147+AO147+AP147)/AQ281,""),"")</f>
        <v>0.23528577989253</v>
      </c>
      <c r="AR378" s="257">
        <f>IFERROR(IF(AND(COUNT(AN147,AO147,AP147,AR147)=4,N(AR281)&lt;&gt;0),(AN147+AO147+AP147+AR147)/AR281,""),"")</f>
        <v>0.230179909355652</v>
      </c>
      <c r="AS378" s="257">
        <f>IFERROR(IF(AND(COUNT(AO147,AP147,AR147,AS147)=4,N(AS281)&lt;&gt;0),(AO147+AP147+AR147+AS147)/AS281,""),"")</f>
        <v>0.225400663713726</v>
      </c>
      <c r="AT378" s="257">
        <f>IFERROR(IF(AND(COUNT(AP147,AR147,AS147,AT147)=4,N(AT281)&lt;&gt;0),(AP147+AR147+AS147+AT147)/AT281,""),"")</f>
        <v>0.219996256799854</v>
      </c>
      <c r="AU378" s="257">
        <f>IFERROR(IF(AND(COUNT(AR147,AS147,AT147,AU147)=4,N(AU281)&lt;&gt;0),(AR147+AS147+AT147+AU147)/AU281,""),"")</f>
        <v>0.215343134166323</v>
      </c>
      <c r="AV378" s="258">
        <f>IFERROR(IF(AND(COUNT(AR147,AS147,AT147,AU147)=4,N(AV281)&lt;&gt;0),(AR147+AS147+AT147+AU147)/AV281,""),"")</f>
        <v>0.215343134166323</v>
      </c>
      <c r="AW378" s="257">
        <f>IFERROR(IF(AND(COUNT(AS147,AT147,AU147,AW147)=4,N(AW281)&lt;&gt;0),(AS147+AT147+AU147+AW147)/AW281,""),"")</f>
        <v>0.211487777436905</v>
      </c>
      <c r="AX378" s="257">
        <f>IFERROR(IF(AND(COUNT(AT147,AU147,AW147,AX147)=4,N(AX281)&lt;&gt;0),(AT147+AU147+AW147+AX147)/AX281,""),"")</f>
        <v>0.207844562859291</v>
      </c>
      <c r="AY378" s="257">
        <f>IFERROR(IF(AND(COUNT(AU147,AW147,AX147,AY147)=4,N(AY281)&lt;&gt;0),(AU147+AW147+AX147+AY147)/AY281,""),"")</f>
        <v>0.203684015759988</v>
      </c>
      <c r="AZ378" s="257">
        <f>IFERROR(IF(AND(COUNT(AW147,AX147,AY147,AZ147)=4,N(AZ281)&lt;&gt;0),(AW147+AX147+AY147+AZ147)/AZ281,""),"")</f>
        <v>0.200066667798009</v>
      </c>
      <c r="BA378" s="258">
        <f>IFERROR(IF(AND(COUNT(AW147,AX147,AY147,AZ147)=4,N(BA281)&lt;&gt;0),(AW147+AX147+AY147+AZ147)/BA281,""),"")</f>
        <v>0.200066667798009</v>
      </c>
      <c r="BB378" s="257">
        <f>IFERROR(IF(AND(COUNT(AX147,AY147,AZ147,BB147)=4,N(BB281)&lt;&gt;0),(AX147+AY147+AZ147+BB147)/BB281,""),"")</f>
        <v>0.197028379296094</v>
      </c>
      <c r="BC378" s="257">
        <f>IFERROR(IF(AND(COUNT(AY147,AZ147,BB147,BC147)=4,N(BC281)&lt;&gt;0),(AY147+AZ147+BB147+BC147)/BC281,""),"")</f>
        <v>0.194135987235633</v>
      </c>
      <c r="BD378" s="257">
        <f>IFERROR(IF(AND(COUNT(AZ147,BB147,BC147,BD147)=4,N(BD281)&lt;&gt;0),(AZ147+BB147+BC147+BD147)/BD281,""),"")</f>
        <v>0.19080728751891</v>
      </c>
      <c r="BE378" s="257">
        <f>IFERROR(IF(AND(COUNT(BB147,BC147,BD147,BE147)=4,N(BE281)&lt;&gt;0),(BB147+BC147+BD147+BE147)/BE281,""),"")</f>
        <v>0.187890752760507</v>
      </c>
      <c r="BF378" s="258">
        <f>IFERROR(IF(AND(COUNT(BB147,BC147,BD147,BE147)=4,N(BF281)&lt;&gt;0),(BB147+BC147+BD147+BE147)/BF281,""),"")</f>
        <v>0.187890752760507</v>
      </c>
      <c r="BG378" s="81" t="n"/>
      <c r="BH378" s="81" t="n"/>
      <c r="BI378" s="81" t="n"/>
      <c r="BJ378" s="81" t="n"/>
      <c r="BL378" s="81" t="n"/>
      <c r="BM378" s="81" t="n"/>
      <c r="BN378" s="81" t="n"/>
      <c r="BO378" s="81" t="n"/>
      <c r="BQ378" s="81" t="n"/>
      <c r="BR378" s="81" t="n"/>
      <c r="BS378" s="81" t="n"/>
      <c r="BT378" s="81" t="n"/>
      <c r="BV378" s="81" t="n"/>
      <c r="BW378" s="81" t="n"/>
      <c r="BX378" s="81" t="n"/>
      <c r="BY378" s="81" t="n"/>
      <c r="CA378" s="81" t="n"/>
      <c r="CB378" s="81" t="n"/>
      <c r="CC378" s="81" t="n"/>
      <c r="CD378" s="81" t="n"/>
      <c r="CF378" s="81" t="n"/>
      <c r="CG378" s="81" t="n"/>
      <c r="CH378" s="81" t="n"/>
      <c r="CI378" s="81" t="n"/>
      <c r="CK378" s="81" t="n"/>
      <c r="CL378" s="81" t="n"/>
      <c r="CM378" s="81" t="n"/>
      <c r="CN378" s="81" t="n"/>
      <c r="CP378" s="81" t="n"/>
      <c r="CQ378" s="81" t="n"/>
      <c r="CR378" s="81" t="n"/>
      <c r="CS378" s="81" t="n"/>
      <c r="CU378" s="81" t="n"/>
      <c r="CV378" s="81" t="n"/>
      <c r="CW378" s="81" t="n"/>
      <c r="CX378" s="81" t="n"/>
    </row>
    <row r="379"/>
    <row r="380">
      <c r="C380" s="73" t="inlineStr">
        <is>
          <t>Scenario Analysis</t>
        </is>
      </c>
      <c r="D380" s="73" t="n"/>
      <c r="E380" s="73" t="n"/>
      <c r="F380" s="73" t="n"/>
      <c r="G380" s="73" t="n"/>
      <c r="H380" s="73" t="n"/>
      <c r="I380" s="73" t="n"/>
      <c r="J380" s="73" t="n"/>
      <c r="K380" s="73" t="n"/>
      <c r="L380" s="73" t="n"/>
      <c r="M380" s="73" t="n"/>
      <c r="N380" s="73" t="n"/>
      <c r="O380" s="73" t="n"/>
      <c r="P380" s="73" t="n"/>
      <c r="Q380" s="73" t="n"/>
      <c r="R380" s="73" t="n"/>
      <c r="S380" s="73" t="n"/>
      <c r="T380" s="73" t="n"/>
      <c r="U380" s="73" t="n"/>
      <c r="V380" s="73" t="n"/>
      <c r="W380" s="73" t="n"/>
      <c r="X380" s="73" t="n"/>
      <c r="Y380" s="73" t="n"/>
      <c r="Z380" s="73" t="n"/>
      <c r="AA380" s="73" t="n"/>
      <c r="AB380" s="73" t="n"/>
      <c r="AC380" s="73" t="n"/>
      <c r="AD380" s="73" t="n"/>
      <c r="AE380" s="73" t="n"/>
      <c r="AF380" s="73" t="n"/>
      <c r="AG380" s="73" t="n"/>
      <c r="AH380" s="73" t="n"/>
      <c r="AI380" s="73" t="n"/>
      <c r="AJ380" s="73" t="n"/>
      <c r="AK380" s="73" t="n"/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73" t="n"/>
      <c r="BR380" s="73" t="n"/>
      <c r="BS380" s="73" t="n"/>
      <c r="BT380" s="73" t="n"/>
      <c r="BU380" s="73" t="n"/>
      <c r="BV380" s="73" t="n"/>
      <c r="BW380" s="73" t="n"/>
      <c r="BX380" s="73" t="n"/>
      <c r="BY380" s="73" t="n"/>
      <c r="BZ380" s="73" t="n"/>
      <c r="CA380" s="73" t="n"/>
      <c r="CB380" s="73" t="n"/>
      <c r="CC380" s="73" t="n"/>
      <c r="CD380" s="73" t="n"/>
      <c r="CE380" s="73" t="n"/>
      <c r="CF380" s="73" t="n"/>
      <c r="CG380" s="73" t="n"/>
      <c r="CH380" s="73" t="n"/>
      <c r="CI380" s="73" t="n"/>
      <c r="CJ380" s="73" t="n"/>
      <c r="CK380" s="73" t="n"/>
      <c r="CL380" s="73" t="n"/>
      <c r="CM380" s="73" t="n"/>
      <c r="CN380" s="73" t="n"/>
      <c r="CO380" s="73" t="n"/>
      <c r="CP380" s="73" t="n"/>
      <c r="CQ380" s="73" t="n"/>
      <c r="CR380" s="73" t="n"/>
      <c r="CS380" s="73" t="n"/>
      <c r="CT380" s="73" t="n"/>
      <c r="CU380" s="73" t="n"/>
      <c r="CV380" s="73" t="n"/>
      <c r="CW380" s="73" t="n"/>
      <c r="CX380" s="73" t="n"/>
      <c r="CY380" s="73" t="n"/>
    </row>
    <row r="381"/>
    <row r="382"/>
    <row r="383">
      <c r="C383" s="4" t="inlineStr">
        <is>
          <t>Bull case</t>
        </is>
      </c>
    </row>
    <row r="384">
      <c r="C384" s="4" t="inlineStr">
        <is>
          <t>Base case</t>
        </is>
      </c>
    </row>
    <row r="385">
      <c r="C385" s="4" t="inlineStr">
        <is>
          <t>Bear case</t>
        </is>
      </c>
    </row>
    <row r="386"/>
    <row r="387"/>
    <row r="388">
      <c r="C388" s="4" t="inlineStr">
        <is>
          <t>Bull case</t>
        </is>
      </c>
    </row>
    <row r="389">
      <c r="C389" s="4" t="inlineStr">
        <is>
          <t>Base case</t>
        </is>
      </c>
    </row>
    <row r="390">
      <c r="C390" s="4" t="inlineStr">
        <is>
          <t>Bear case</t>
        </is>
      </c>
    </row>
    <row r="391"/>
    <row r="392"/>
    <row r="393">
      <c r="C393" s="4" t="inlineStr">
        <is>
          <t>% Gross Margin</t>
        </is>
      </c>
    </row>
    <row r="394">
      <c r="C394" s="4" t="inlineStr">
        <is>
          <t>Bull case</t>
        </is>
      </c>
    </row>
    <row r="395">
      <c r="C395" s="4" t="inlineStr">
        <is>
          <t>Base case</t>
        </is>
      </c>
    </row>
    <row r="396">
      <c r="C396" s="4" t="inlineStr">
        <is>
          <t>Bear case</t>
        </is>
      </c>
    </row>
    <row r="397"/>
    <row r="398"/>
    <row r="399">
      <c r="C399" s="4" t="inlineStr">
        <is>
          <t>Capital expenditures</t>
        </is>
      </c>
    </row>
    <row r="400">
      <c r="C400" s="4" t="inlineStr">
        <is>
          <t>Bull case</t>
        </is>
      </c>
    </row>
    <row r="401">
      <c r="C401" s="4" t="inlineStr">
        <is>
          <t>Base case</t>
        </is>
      </c>
    </row>
    <row r="402">
      <c r="C402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25:G325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25:L325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25:Q325">
    <cfRule type="cellIs" priority="22" operator="notEqual" dxfId="0">
      <formula>0</formula>
    </cfRule>
  </conditionalFormatting>
  <conditionalFormatting sqref="S325:V325">
    <cfRule type="cellIs" priority="21" operator="notEqual" dxfId="0">
      <formula>0</formula>
    </cfRule>
  </conditionalFormatting>
  <conditionalFormatting sqref="X325:AA325">
    <cfRule type="cellIs" priority="20" operator="notEqual" dxfId="0">
      <formula>0</formula>
    </cfRule>
  </conditionalFormatting>
  <conditionalFormatting sqref="AC325:AF325">
    <cfRule type="cellIs" priority="19" operator="notEqual" dxfId="0">
      <formula>0</formula>
    </cfRule>
  </conditionalFormatting>
  <conditionalFormatting sqref="AH325:AK325">
    <cfRule type="cellIs" priority="15" operator="notEqual" dxfId="0">
      <formula>0</formula>
    </cfRule>
  </conditionalFormatting>
  <conditionalFormatting sqref="AM325:AP325">
    <cfRule type="cellIs" priority="14" operator="notEqual" dxfId="0">
      <formula>0</formula>
    </cfRule>
  </conditionalFormatting>
  <conditionalFormatting sqref="AR325:AU325">
    <cfRule type="cellIs" priority="13" operator="notEqual" dxfId="0">
      <formula>0</formula>
    </cfRule>
  </conditionalFormatting>
  <conditionalFormatting sqref="AW325:AZ325">
    <cfRule type="cellIs" priority="12" operator="notEqual" dxfId="0">
      <formula>0</formula>
    </cfRule>
  </conditionalFormatting>
  <conditionalFormatting sqref="BB325:BE325">
    <cfRule type="cellIs" priority="11" operator="notEqual" dxfId="0">
      <formula>0</formula>
    </cfRule>
  </conditionalFormatting>
  <conditionalFormatting sqref="BG325:BJ325">
    <cfRule type="cellIs" priority="10" operator="notEqual" dxfId="0">
      <formula>0</formula>
    </cfRule>
  </conditionalFormatting>
  <conditionalFormatting sqref="BL325:BO325">
    <cfRule type="cellIs" priority="9" operator="notEqual" dxfId="0">
      <formula>0</formula>
    </cfRule>
  </conditionalFormatting>
  <conditionalFormatting sqref="BQ325:BT325">
    <cfRule type="cellIs" priority="8" operator="notEqual" dxfId="0">
      <formula>0</formula>
    </cfRule>
  </conditionalFormatting>
  <conditionalFormatting sqref="BV325:BY325">
    <cfRule type="cellIs" priority="7" operator="notEqual" dxfId="0">
      <formula>0</formula>
    </cfRule>
  </conditionalFormatting>
  <conditionalFormatting sqref="CA325:CD325">
    <cfRule type="cellIs" priority="6" operator="notEqual" dxfId="0">
      <formula>0</formula>
    </cfRule>
  </conditionalFormatting>
  <conditionalFormatting sqref="CF325:CI325">
    <cfRule type="cellIs" priority="5" operator="notEqual" dxfId="0">
      <formula>0</formula>
    </cfRule>
  </conditionalFormatting>
  <conditionalFormatting sqref="CK325:CN325">
    <cfRule type="cellIs" priority="4" operator="notEqual" dxfId="0">
      <formula>0</formula>
    </cfRule>
  </conditionalFormatting>
  <conditionalFormatting sqref="CP325:CS325">
    <cfRule type="cellIs" priority="3" operator="notEqual" dxfId="0">
      <formula>0</formula>
    </cfRule>
  </conditionalFormatting>
  <conditionalFormatting sqref="CU325:CX325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GMAT3) - fonte: Dados Historicos 2T26 do RI (abas Balanco Patrimonial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26773.586</v>
      </c>
      <c r="E18" s="113">
        <f>IFERROR(Model!AB15,"")</f>
        <v>32085.429</v>
      </c>
      <c r="F18" s="113">
        <f>IFERROR(Model!AG15,"")</f>
        <v>38424.402069</v>
      </c>
      <c r="G18" s="113">
        <f>IFERROR(Model!AL15,"")</f>
        <v>44221.7801179256</v>
      </c>
      <c r="H18" s="113">
        <f>IFERROR(Model!AQ15,"")</f>
        <v>51802.3504091429</v>
      </c>
      <c r="I18" s="113">
        <f>IFERROR(Model!AV15,"")</f>
        <v>60423.3827774286</v>
      </c>
      <c r="J18" s="113">
        <f>IFERROR(Model!BA15,"")</f>
        <v>70177.0246198775</v>
      </c>
      <c r="K18" s="113">
        <f>IFERROR(Model!BF15,"")</f>
        <v>81154.2302498616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0.198398638120422</v>
      </c>
      <c r="F19" s="117">
        <f>IFERROR(IF(E18=0,"",F18/E18-1),"")</f>
        <v>0.197565476497135</v>
      </c>
      <c r="G19" s="117">
        <f>IFERROR(IF(F18=0,"",G18/F18-1),"")</f>
        <v>0.150877508477948</v>
      </c>
      <c r="H19" s="117">
        <f>IFERROR(IF(G18=0,"",H18/G18-1),"")</f>
        <v>0.171421644967757</v>
      </c>
      <c r="I19" s="117">
        <f>IFERROR(IF(H18=0,"",I18/H18-1),"")</f>
        <v>0.166421644967757</v>
      </c>
      <c r="J19" s="117">
        <f>IFERROR(IF(I18=0,"",J18/I18-1),"")</f>
        <v>0.161421644967757</v>
      </c>
      <c r="K19" s="117">
        <f>IFERROR(IF(J18=0,"",K18/J18-1),"")</f>
        <v>0.156421644967757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IFERROR(Model!W79,"")</f>
        <v>2036.00411748</v>
      </c>
      <c r="E20" s="113">
        <f>IFERROR(Model!AB79,"")</f>
        <v>2333.19787857</v>
      </c>
      <c r="F20" s="113">
        <f>IFERROR(Model!AG79,"")</f>
        <v>2807.144433216</v>
      </c>
      <c r="G20" s="113">
        <f>IFERROR(Model!AL79,"")</f>
        <v>2976.77277884721</v>
      </c>
      <c r="H20" s="113">
        <f>IFERROR(Model!AQ79,"")</f>
        <v>3635.3525768557</v>
      </c>
      <c r="I20" s="113">
        <f>IFERROR(Model!AV79,"")</f>
        <v>4240.3539327338</v>
      </c>
      <c r="J20" s="113">
        <f>IFERROR(Model!BA79,"")</f>
        <v>4924.83883980119</v>
      </c>
      <c r="K20" s="113">
        <f>IFERROR(Model!BF79,"")</f>
        <v>5695.19023232399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0.076045252865268</v>
      </c>
      <c r="E21" s="122">
        <f>IFERROR(IF(E18=0,"",E20/E18),"")</f>
        <v>0.0727183008389884</v>
      </c>
      <c r="F21" s="122">
        <f>IFERROR(IF(F18=0,"",F20/F18),"")</f>
        <v>0.0730562944915868</v>
      </c>
      <c r="G21" s="122">
        <f>IFERROR(IF(G18=0,"",G20/G18),"")</f>
        <v>0.0673146302774128</v>
      </c>
      <c r="H21" s="122">
        <f>IFERROR(IF(H18=0,"",H20/H18),"")</f>
        <v>0.0701773674001881</v>
      </c>
      <c r="I21" s="122">
        <f>IFERROR(IF(I18=0,"",I20/I18),"")</f>
        <v>0.0701773674001881</v>
      </c>
      <c r="J21" s="122">
        <f>IFERROR(IF(J18=0,"",J20/J18),"")</f>
        <v>0.0701773674001881</v>
      </c>
      <c r="K21" s="122">
        <f>IFERROR(IF(K18=0,"",K20/K18),"")</f>
        <v>0.0701773674001881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IFERROR(Model!W83,"")</f>
        <v>1682.61211748</v>
      </c>
      <c r="E22" s="113">
        <f>IFERROR(Model!AB83,"")</f>
        <v>1956.45187857</v>
      </c>
      <c r="F22" s="113">
        <f>IFERROR(Model!AG83,"")</f>
        <v>2267.548433216</v>
      </c>
      <c r="G22" s="113">
        <f>IFERROR(Model!AL83,"")</f>
        <v>2263.84440277672</v>
      </c>
      <c r="H22" s="113">
        <f>IFERROR(Model!AQ83,"")</f>
        <v>2853.5812351523</v>
      </c>
      <c r="I22" s="113">
        <f>IFERROR(Model!AV83,"")</f>
        <v>3328.47891835547</v>
      </c>
      <c r="J22" s="113">
        <f>IFERROR(Model!BA83,"")</f>
        <v>3865.76746059691</v>
      </c>
      <c r="K22" s="113">
        <f>IFERROR(Model!BF83,"")</f>
        <v>4470.45716584631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0.0628459750397276</v>
      </c>
      <c r="E23" s="122">
        <f>IFERROR(IF(E18=0,"",E22/E18),"")</f>
        <v>0.0609763353505419</v>
      </c>
      <c r="F23" s="122">
        <f>IFERROR(IF(F18=0,"",F22/F18),"")</f>
        <v>0.0590132392728997</v>
      </c>
      <c r="G23" s="122">
        <f>IFERROR(IF(G18=0,"",G22/G18),"")</f>
        <v>0.0511929731625402</v>
      </c>
      <c r="H23" s="122">
        <f>IFERROR(IF(H18=0,"",H22/H18),"")</f>
        <v>0.0550859413253314</v>
      </c>
      <c r="I23" s="122">
        <f>IFERROR(IF(I18=0,"",I22/I18),"")</f>
        <v>0.0550859413253314</v>
      </c>
      <c r="J23" s="122">
        <f>IFERROR(IF(J18=0,"",J22/J18),"")</f>
        <v>0.0550859413253314</v>
      </c>
      <c r="K23" s="122">
        <f>IFERROR(IF(K18=0,"",K22/K18),"")</f>
        <v>0.0550859413253314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IFERROR(Model!W142,"")</f>
        <v>0.0333910305946593</v>
      </c>
      <c r="E24" s="125">
        <f>IFERROR(Model!AB142,"")</f>
        <v>0.0998834218722689</v>
      </c>
      <c r="F24" s="125">
        <f>IFERROR(Model!AG142,"")</f>
        <v>-0.377011820653501</v>
      </c>
      <c r="G24" s="125">
        <f>IFERROR(Model!AL142,"")</f>
        <v>-0.286781889648756</v>
      </c>
      <c r="H24" s="125">
        <f>IFERROR(Model!AQ142,"")</f>
        <v>-0.353792147336873</v>
      </c>
      <c r="I24" s="125">
        <f>IFERROR(Model!AV142,"")</f>
        <v>-0.353792147336873</v>
      </c>
      <c r="J24" s="125">
        <f>IFERROR(Model!BA142,"")</f>
        <v>-0.353792147336873</v>
      </c>
      <c r="K24" s="125">
        <f>IFERROR(Model!BF142,"")</f>
        <v>-0.353792147336873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1626.42796478628</v>
      </c>
      <c r="E25" s="127">
        <f>IFERROR(E22*(1-E24),"")</f>
        <v>1761.03477021</v>
      </c>
      <c r="F25" s="127">
        <f>IFERROR(F22*(1-F24),"")</f>
        <v>3122.44099644276</v>
      </c>
      <c r="G25" s="127">
        <f>IFERROR(G22*(1-G24),"")</f>
        <v>2913.07397847578</v>
      </c>
      <c r="H25" s="127">
        <f>IFERROR(H22*(1-H24),"")</f>
        <v>3863.15586793704</v>
      </c>
      <c r="I25" s="127">
        <f>IFERROR(I22*(1-I24),"")</f>
        <v>4506.06862224597</v>
      </c>
      <c r="J25" s="127">
        <f>IFERROR(J22*(1-J24),"")</f>
        <v>5233.4456315865</v>
      </c>
      <c r="K25" s="127">
        <f>IFERROR(K22*(1-K24),"")</f>
        <v>6052.06980612859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IFERROR(-Model!W80,"")</f>
        <v>353.392</v>
      </c>
      <c r="E26" s="130">
        <f>IFERROR(-Model!AB80,"")</f>
        <v>376.746</v>
      </c>
      <c r="F26" s="130">
        <f>IFERROR(-Model!AG80,"")</f>
        <v>539.596</v>
      </c>
      <c r="G26" s="130">
        <f>IFERROR(-Model!AL80,"")</f>
        <v>712.92837607049</v>
      </c>
      <c r="H26" s="130">
        <f>IFERROR(-Model!AQ80,"")</f>
        <v>781.771341703401</v>
      </c>
      <c r="I26" s="130">
        <f>IFERROR(-Model!AV80,"")</f>
        <v>911.875014378331</v>
      </c>
      <c r="J26" s="130">
        <f>IFERROR(-Model!BA80,"")</f>
        <v>1059.07137920428</v>
      </c>
      <c r="K26" s="130">
        <f>IFERROR(-Model!BF80,"")</f>
        <v>1224.73306647768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IFERROR(Model!W289,"")</f>
        <v>-822.315671979999</v>
      </c>
      <c r="E27" s="133">
        <f>IFERROR(Model!AB289,"")</f>
        <v>-181.355016780001</v>
      </c>
      <c r="F27" s="133">
        <f>IFERROR(Model!AG289,"")</f>
        <v>-420.093</v>
      </c>
      <c r="G27" s="133">
        <f>IFERROR(Model!AL289,"")</f>
        <v>-1932.33130923978</v>
      </c>
      <c r="H27" s="133">
        <f>IFERROR(Model!AQ289,"")</f>
        <v>-160.661166924025</v>
      </c>
      <c r="I27" s="133">
        <f>IFERROR(Model!AV289,"")</f>
        <v>459.57969623936</v>
      </c>
      <c r="J27" s="133">
        <f>IFERROR(Model!BA289,"")</f>
        <v>1639.99798182943</v>
      </c>
      <c r="K27" s="133">
        <f>IFERROR(Model!BF289,"")</f>
        <v>3762.04710637054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IFERROR(Model!W290,"")</f>
        <v>-909.37167198</v>
      </c>
      <c r="E28" s="136">
        <f>IFERROR(Model!AB290,"")</f>
        <v>58.4979832199997</v>
      </c>
      <c r="F28" s="136">
        <f>IFERROR(Model!AG290,"")</f>
        <v>-681.76</v>
      </c>
      <c r="G28" s="136">
        <f>IFERROR(Model!AL290,"")</f>
        <v>-876.534575073998</v>
      </c>
      <c r="H28" s="136">
        <f>IFERROR(Model!AQ290,"")</f>
        <v>-849.809875462768</v>
      </c>
      <c r="I28" s="136">
        <f>IFERROR(Model!AV290,"")</f>
        <v>-966.449509971756</v>
      </c>
      <c r="J28" s="136">
        <f>IFERROR(Model!BA290,"")</f>
        <v>-1093.419207397</v>
      </c>
      <c r="K28" s="136">
        <f>IFERROR(Model!BF290,"")</f>
        <v>-1230.58521865483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IFERROR(Model!W291,"")</f>
        <v>-1102.28</v>
      </c>
      <c r="E29" s="136">
        <f>IFERROR(Model!AB291,"")</f>
        <v>148.137</v>
      </c>
      <c r="F29" s="136">
        <f>IFERROR(Model!AG291,"")</f>
        <v>-230.544</v>
      </c>
      <c r="G29" s="136">
        <f>IFERROR(Model!AL291,"")</f>
        <v>-1675.77783100465</v>
      </c>
      <c r="H29" s="136">
        <f>IFERROR(Model!AQ291,"")</f>
        <v>-1173.52512501661</v>
      </c>
      <c r="I29" s="136">
        <f>IFERROR(Model!AV291,"")</f>
        <v>-1334.59590757784</v>
      </c>
      <c r="J29" s="136">
        <f>IFERROR(Model!BA291,"")</f>
        <v>-1509.93174956619</v>
      </c>
      <c r="K29" s="136">
        <f>IFERROR(Model!BF291,"")</f>
        <v>-1699.34795330437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IFERROR(Model!W292,"")</f>
        <v>0</v>
      </c>
      <c r="E30" s="136">
        <f>IFERROR(Model!AB292,"")</f>
        <v>-503.543</v>
      </c>
      <c r="F30" s="136">
        <f>IFERROR(Model!AG292,"")</f>
        <v>-362.925</v>
      </c>
      <c r="G30" s="136">
        <f>IFERROR(Model!AL292,"")</f>
        <v>-32.975</v>
      </c>
      <c r="H30" s="136">
        <f>IFERROR(Model!AQ292,"")</f>
        <v>0</v>
      </c>
      <c r="I30" s="136">
        <f>IFERROR(Model!AV292,"")</f>
        <v>0</v>
      </c>
      <c r="J30" s="136">
        <f>IFERROR(Model!BA292,"")</f>
        <v>0</v>
      </c>
      <c r="K30" s="136">
        <f>IFERROR(Model!BF292,"")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IFERROR(Model!W293,"")</f>
        <v>0</v>
      </c>
      <c r="E31" s="136">
        <f>IFERROR(Model!AB293,"")</f>
        <v>0</v>
      </c>
      <c r="F31" s="136">
        <f>IFERROR(Model!AG293,"")</f>
        <v>0</v>
      </c>
      <c r="G31" s="136">
        <f>IFERROR(Model!AL293,"")</f>
        <v>0</v>
      </c>
      <c r="H31" s="136">
        <f>IFERROR(Model!AQ293,"")</f>
        <v>0</v>
      </c>
      <c r="I31" s="136">
        <f>IFERROR(Model!AV293,"")</f>
        <v>0</v>
      </c>
      <c r="J31" s="136">
        <f>IFERROR(Model!BA293,"")</f>
        <v>0</v>
      </c>
      <c r="K31" s="136">
        <f>IFERROR(Model!BF293,"")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IFERROR(Model!W294,"")</f>
        <v>-65.1250000000001</v>
      </c>
      <c r="E32" s="136">
        <f>IFERROR(Model!AB294,"")</f>
        <v>-322.545</v>
      </c>
      <c r="F32" s="136">
        <f>IFERROR(Model!AG294,"")</f>
        <v>-842.222</v>
      </c>
      <c r="G32" s="136">
        <f>IFERROR(Model!AL294,"")</f>
        <v>-48.0719999999999</v>
      </c>
      <c r="H32" s="136">
        <f>IFERROR(Model!AQ294,"")</f>
        <v>0</v>
      </c>
      <c r="I32" s="136">
        <f>IFERROR(Model!AV294,"")</f>
        <v>0</v>
      </c>
      <c r="J32" s="136">
        <f>IFERROR(Model!BA294,"")</f>
        <v>0</v>
      </c>
      <c r="K32" s="136">
        <f>IFERROR(Model!BF294,"")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IFERROR(Model!W295,"")</f>
        <v>1030.632</v>
      </c>
      <c r="E33" s="136">
        <f>IFERROR(Model!AB295,"")</f>
        <v>39.3629999999998</v>
      </c>
      <c r="F33" s="136">
        <f>IFERROR(Model!AG295,"")</f>
        <v>1391.304</v>
      </c>
      <c r="G33" s="136">
        <f>IFERROR(Model!AL295,"")</f>
        <v>866.87245286952</v>
      </c>
      <c r="H33" s="136">
        <f>IFERROR(Model!AQ295,"")</f>
        <v>914.83368430509</v>
      </c>
      <c r="I33" s="136">
        <f>IFERROR(Model!AV295,"")</f>
        <v>1040.39808365471</v>
      </c>
      <c r="J33" s="136">
        <f>IFERROR(Model!BA295,"")</f>
        <v>1177.08295805368</v>
      </c>
      <c r="K33" s="136">
        <f>IFERROR(Model!BF295,"")</f>
        <v>1324.7443245118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IFERROR(Model!W296,"")</f>
        <v>92.948</v>
      </c>
      <c r="E34" s="136">
        <f>IFERROR(Model!AB296,"")</f>
        <v>50.816</v>
      </c>
      <c r="F34" s="136">
        <f>IFERROR(Model!AG296,"")</f>
        <v>81.531</v>
      </c>
      <c r="G34" s="136">
        <f>IFERROR(Model!AL296,"")</f>
        <v>246.698255945598</v>
      </c>
      <c r="H34" s="136">
        <f>IFERROR(Model!AQ296,"")</f>
        <v>682.833037195421</v>
      </c>
      <c r="I34" s="136">
        <f>IFERROR(Model!AV296,"")</f>
        <v>1239.26787505399</v>
      </c>
      <c r="J34" s="136">
        <f>IFERROR(Model!BA296,"")</f>
        <v>2208.96710709407</v>
      </c>
      <c r="K34" s="136">
        <f>IFERROR(Model!BF296,"")</f>
        <v>3866.60770868265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IFERROR(Model!W297,"")</f>
        <v>82.321</v>
      </c>
      <c r="E35" s="136">
        <f>IFERROR(Model!AB297,"")</f>
        <v>209.676</v>
      </c>
      <c r="F35" s="136">
        <f>IFERROR(Model!AG297,"")</f>
        <v>-63.063</v>
      </c>
      <c r="G35" s="136">
        <f>IFERROR(Model!AL297,"")</f>
        <v>-71.3826119762538</v>
      </c>
      <c r="H35" s="136">
        <f>IFERROR(Model!AQ297,"")</f>
        <v>265.00711205484</v>
      </c>
      <c r="I35" s="136">
        <f>IFERROR(Model!AV297,"")</f>
        <v>480.959155080257</v>
      </c>
      <c r="J35" s="136">
        <f>IFERROR(Model!BA297,"")</f>
        <v>857.298873644861</v>
      </c>
      <c r="K35" s="136">
        <f>IFERROR(Model!BF297,"")</f>
        <v>1500.6282451353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IFERROR(Model!W298,"")</f>
        <v>48.56</v>
      </c>
      <c r="E36" s="136">
        <f>IFERROR(Model!AB298,"")</f>
        <v>138.243</v>
      </c>
      <c r="F36" s="136">
        <f>IFERROR(Model!AG298,"")</f>
        <v>287.586</v>
      </c>
      <c r="G36" s="136">
        <f>IFERROR(Model!AL298,"")</f>
        <v>-341.16</v>
      </c>
      <c r="H36" s="136">
        <f>IFERROR(Model!AQ298,"")</f>
        <v>0</v>
      </c>
      <c r="I36" s="136">
        <f>IFERROR(Model!AV298,"")</f>
        <v>0</v>
      </c>
      <c r="J36" s="136">
        <f>IFERROR(Model!BA298,"")</f>
        <v>0</v>
      </c>
      <c r="K36" s="136">
        <f>IFERROR(Model!BF298,"")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IFERROR(Model!W299,"")</f>
        <v>0</v>
      </c>
      <c r="E37" s="136">
        <f>IFERROR(Model!AB299,"")</f>
        <v>0</v>
      </c>
      <c r="F37" s="136">
        <f>IFERROR(Model!AG299,"")</f>
        <v>0</v>
      </c>
      <c r="G37" s="136">
        <f>IFERROR(Model!AL299,"")</f>
        <v>0</v>
      </c>
      <c r="H37" s="136">
        <f>IFERROR(Model!AQ299,"")</f>
        <v>0</v>
      </c>
      <c r="I37" s="136">
        <f>IFERROR(Model!AV299,"")</f>
        <v>0</v>
      </c>
      <c r="J37" s="136">
        <f>IFERROR(Model!BA299,"")</f>
        <v>0</v>
      </c>
      <c r="K37" s="136">
        <f>IFERROR(Model!BF299,"")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IFERROR((Model!W199-Model!R199)*-1,"")</f>
        <v>-114.82717721</v>
      </c>
      <c r="E38" s="136">
        <f>IFERROR((Model!AB199-Model!W199)*-1,"")</f>
        <v>11.11581072</v>
      </c>
      <c r="F38" s="136">
        <f>IFERROR((Model!AG199-Model!AB199)*-1,"")</f>
        <v>-338.057</v>
      </c>
      <c r="G38" s="136">
        <f>IFERROR((Model!AL199-Model!AG199)*-1,"")</f>
        <v>-176.248</v>
      </c>
      <c r="H38" s="136">
        <f>IFERROR((Model!AQ199-Model!AL199)*-1,"")</f>
        <v>0</v>
      </c>
      <c r="I38" s="136">
        <f>IFERROR((Model!AV199-Model!AQ199)*-1,"")</f>
        <v>0</v>
      </c>
      <c r="J38" s="136">
        <f>IFERROR((Model!BA199-Model!AV199)*-1,"")</f>
        <v>0</v>
      </c>
      <c r="K38" s="136">
        <f>IFERROR((Model!BF199-Model!BA199)*-1,"")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IFERROR(Model!W250-Model!R250,"")</f>
        <v>33.20484919</v>
      </c>
      <c r="E39" s="136">
        <f>IFERROR(Model!AB250-Model!W250,"")</f>
        <v>273.92420606</v>
      </c>
      <c r="F39" s="136">
        <f>IFERROR(Model!AG250-Model!AB250,"")</f>
        <v>-146.787</v>
      </c>
      <c r="G39" s="136">
        <f>IFERROR(Model!AL250-Model!AG250,"")</f>
        <v>-43.404</v>
      </c>
      <c r="H39" s="136">
        <f>IFERROR(Model!AQ250-Model!AL250,"")</f>
        <v>0</v>
      </c>
      <c r="I39" s="136">
        <f>IFERROR(Model!AV250-Model!AQ250,"")</f>
        <v>0</v>
      </c>
      <c r="J39" s="136">
        <f>IFERROR(Model!BA250-Model!AV250,"")</f>
        <v>0</v>
      </c>
      <c r="K39" s="136">
        <f>IFERROR(Model!BF250-Model!BA250,"")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IFERROR(Model!W305,"")</f>
        <v>-1123.722</v>
      </c>
      <c r="E40" s="136">
        <f>IFERROR(Model!AB305,"")</f>
        <v>-1028.658</v>
      </c>
      <c r="F40" s="136">
        <f>IFERROR(Model!AG305,"")</f>
        <v>-1904.766</v>
      </c>
      <c r="G40" s="136">
        <f>IFERROR(Model!AL305,"")</f>
        <v>-1246.99381524912</v>
      </c>
      <c r="H40" s="136">
        <f>IFERROR(Model!AQ305,"")</f>
        <v>-1975.51250444596</v>
      </c>
      <c r="I40" s="136">
        <f>IFERROR(Model!AV305,"")</f>
        <v>-2304.28054509023</v>
      </c>
      <c r="J40" s="136">
        <f>IFERROR(Model!BA305,"")</f>
        <v>-2676.24130114589</v>
      </c>
      <c r="K40" s="136">
        <f>IFERROR(Model!BF305,"")</f>
        <v>-3094.86336780178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-1592.64567198</v>
      </c>
      <c r="E44" s="133">
        <f>IFERROR(SUM(E27,E40:E42,E26),"")</f>
        <v>-833.26701678</v>
      </c>
      <c r="F44" s="133">
        <f>IFERROR(SUM(F27,F40:F42,F26),"")</f>
        <v>-1785.263</v>
      </c>
      <c r="G44" s="133">
        <f>IFERROR(SUM(G27,G40:G42,G26),"")</f>
        <v>-2466.39674841841</v>
      </c>
      <c r="H44" s="133">
        <f>IFERROR(SUM(H27,H40:H42,H26),"")</f>
        <v>-1354.40232966658</v>
      </c>
      <c r="I44" s="133">
        <f>IFERROR(SUM(I27,I40:I42,I26),"")</f>
        <v>-932.825834472534</v>
      </c>
      <c r="J44" s="133">
        <f>IFERROR(SUM(J27,J40:J42,J26),"")</f>
        <v>22.8280598878209</v>
      </c>
      <c r="K44" s="133">
        <f>IFERROR(SUM(K27,K40:K42,K26),"")</f>
        <v>1891.91680504644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IFERROR(Model!W360,"")</f>
        <v>11206.807</v>
      </c>
      <c r="E46" s="136">
        <f>IFERROR(Model!AB360,"")</f>
        <v>11967.557</v>
      </c>
      <c r="F46" s="136">
        <f>IFERROR(Model!AG360,"")</f>
        <v>16446.478</v>
      </c>
      <c r="G46" s="136">
        <f>IFERROR(Model!AL360,"")</f>
        <v>19443.3557484184</v>
      </c>
      <c r="H46" s="136">
        <f>IFERROR(Model!AQ360,"")</f>
        <v>20797.758078085</v>
      </c>
      <c r="I46" s="136">
        <f>IFERROR(Model!AV360,"")</f>
        <v>21730.5839125575</v>
      </c>
      <c r="J46" s="136">
        <f>IFERROR(Model!BA360,"")</f>
        <v>21707.7558526697</v>
      </c>
      <c r="K46" s="136">
        <f>IFERROR(Model!BF360,"")</f>
        <v>19815.8390476233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IFERROR(Model!W361,"")</f>
        <v>11206.807</v>
      </c>
      <c r="E47" s="136">
        <f>IFERROR(Model!AB361,"")</f>
        <v>11967.557</v>
      </c>
      <c r="F47" s="136">
        <f>IFERROR(Model!AG361,"")</f>
        <v>16446.478</v>
      </c>
      <c r="G47" s="136">
        <f>IFERROR(Model!AL361,"")</f>
        <v>19443.3557484184</v>
      </c>
      <c r="H47" s="136">
        <f>IFERROR(Model!AQ361,"")</f>
        <v>20797.758078085</v>
      </c>
      <c r="I47" s="136">
        <f>IFERROR(Model!AV361,"")</f>
        <v>21730.5839125575</v>
      </c>
      <c r="J47" s="136">
        <f>IFERROR(Model!BA361,"")</f>
        <v>21707.7558526697</v>
      </c>
      <c r="K47" s="136">
        <f>IFERROR(Model!BF361,"")</f>
        <v>19815.8390476233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0.418576988528918</v>
      </c>
      <c r="E48" s="122">
        <f>IFERROR(IF(E18=0,"",E46/E18),"")</f>
        <v>0.372990400097191</v>
      </c>
      <c r="F48" s="122">
        <f>IFERROR(IF(F18=0,"",F46/F18),"")</f>
        <v>0.428021702731158</v>
      </c>
      <c r="G48" s="122">
        <f>IFERROR(IF(G18=0,"",G46/G18),"")</f>
        <v>0.439678269318175</v>
      </c>
      <c r="H48" s="122">
        <f>IFERROR(IF(H18=0,"",H46/H18),"")</f>
        <v>0.401482904034684</v>
      </c>
      <c r="I48" s="122">
        <f>IFERROR(IF(I18=0,"",I46/I18),"")</f>
        <v>0.359638651688913</v>
      </c>
      <c r="J48" s="122">
        <f>IFERROR(IF(J18=0,"",J46/J18),"")</f>
        <v>0.30932852981802</v>
      </c>
      <c r="K48" s="122">
        <f>IFERROR(IF(K18=0,"",K46/K18),"")</f>
        <v>0.244175060087605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0.14512857808529</v>
      </c>
      <c r="E50" s="150">
        <f>IFERROR(IF(E46=0,"",E25/E46),"")</f>
        <v>0.147150731783438</v>
      </c>
      <c r="F50" s="150">
        <f>IFERROR(IF(F46=0,"",F25/F46),"")</f>
        <v>0.189854690861032</v>
      </c>
      <c r="G50" s="150">
        <f>IFERROR(IF(G46=0,"",G25/G46),"")</f>
        <v>0.149823621815527</v>
      </c>
      <c r="H50" s="150">
        <f>IFERROR(IF(H46=0,"",H25/H46),"")</f>
        <v>0.185748668362852</v>
      </c>
      <c r="I50" s="150">
        <f>IFERROR(IF(I46=0,"",I25/I46),"")</f>
        <v>0.207360678405058</v>
      </c>
      <c r="J50" s="150">
        <f>IFERROR(IF(J46=0,"",J25/J46),"")</f>
        <v>0.241086442426653</v>
      </c>
      <c r="K50" s="150">
        <f>IFERROR(IF(K46=0,"",K25/K46),"")</f>
        <v>0.305415773290432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2.38904676416753</v>
      </c>
      <c r="E51" s="154">
        <f>IFERROR(IF(E46=0,"",E18/E46),"")</f>
        <v>2.68103414924199</v>
      </c>
      <c r="F51" s="154">
        <f>IFERROR(IF(F46=0,"",F18/F46),"")</f>
        <v>2.3363301291012</v>
      </c>
      <c r="G51" s="154">
        <f>IFERROR(IF(G46=0,"",G18/G46),"")</f>
        <v>2.27439032079238</v>
      </c>
      <c r="H51" s="154">
        <f>IFERROR(IF(H46=0,"",H18/H46),"")</f>
        <v>2.49076608231769</v>
      </c>
      <c r="I51" s="154">
        <f>IFERROR(IF(I46=0,"",I18/I46),"")</f>
        <v>2.78056876062643</v>
      </c>
      <c r="J51" s="154">
        <f>IFERROR(IF(J46=0,"",J18/J46),"")</f>
        <v>3.23280882170263</v>
      </c>
      <c r="K51" s="154">
        <f>IFERROR(IF(K46=0,"",K18/K46),"")</f>
        <v>4.09542235657164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33.7822928062806</v>
      </c>
      <c r="E53" s="155">
        <f>IFERROR(E25+E44,"")</f>
        <v>927.767753430001</v>
      </c>
      <c r="F53" s="155">
        <f>IFERROR(F25+F44,"")</f>
        <v>1337.17799644276</v>
      </c>
      <c r="G53" s="156">
        <f>IFERROR(G25+G44,"")</f>
        <v>446.677230057379</v>
      </c>
      <c r="H53" s="155">
        <f>IFERROR(H25+H44,"")</f>
        <v>2508.75353827046</v>
      </c>
      <c r="I53" s="155">
        <f>IFERROR(I25+I44,"")</f>
        <v>3573.24278777343</v>
      </c>
      <c r="J53" s="155">
        <f>IFERROR(J25+J44,"")</f>
        <v>5256.27369147432</v>
      </c>
      <c r="K53" s="155">
        <f>IFERROR(K25+K44,"")</f>
        <v>7943.98661117503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0.305415773290432</v>
      </c>
      <c r="E64" s="157" t="inlineStr">
        <is>
          <t>Current portion of long-term debt</t>
        </is>
      </c>
      <c r="H64" s="137">
        <f>IFERROR(INDEX(Model!$I$222:$BF$222,1,MATCH(Control!$B$7,Model!$I$5:$BF$5,0)),"")</f>
        <v>1529.728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IFERROR(INDEX(Model!$I$223:$BF$223,1,MATCH(Control!$B$7,Model!$I$5:$BF$5,0)),"")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IFERROR(INDEX(Model!$I$227:$BF$227,1,MATCH(Control!$B$7,Model!$I$5:$BF$5,0)),"")</f>
        <v>1194.648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IFERROR(INDEX(Model!$I$248:$BF$248,1,MATCH(Control!$B$7,Model!$I$5:$BF$5,0)),"")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IFERROR(INDEX(Model!$I$258:$BF$258,1,MATCH(Control!$B$7,Model!$I$5:$BF$5,0)),"")</f>
        <v>1160.623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IFERROR(INDEX(Model!$I$263:$BF$263,1,MATCH(Control!$B$7,Model!$I$5:$BF$5,0)),"")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IFERROR(INDEX(Model!$I$224:$BF$224,1,MATCH(Control!$B$7,Model!$I$5:$BF$5,0)),"")</f>
        <v>250.873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IFERROR(INDEX(Model!$I$245:$BF$245,1,MATCH(Control!$B$7,Model!$I$5:$BF$5,0)),"")</f>
        <v>3908.547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IFERROR(-INDEX(Model!$I$154:$BF$154,1,MATCH(Control!$B$7,Model!$I$5:$BF$5,0)),"")</f>
        <v>-1631.59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5695.19023232399</v>
      </c>
      <c r="E73" s="157" t="inlineStr">
        <is>
          <t>Less: Equity investments</t>
        </is>
      </c>
      <c r="H73" s="137">
        <f>IFERROR(-INDEX(Model!$I$171:$BF$171,1,MATCH(Control!$B$7,Model!$I$5:$BF$5,0)),"")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6412.829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6412.829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6412.829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GMAT3) - fonte: Dados Historicos 2T26 do RI (abas Balanco Patrimonial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Grupo Mateus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GMAT3) - fonte: Dados Historicos 2T26 do RI (abas Balanco Patrimonial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6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IFERROR(-Model!AG84/AVERAGE(Model!AB102,Model!AG102),"")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0.171421644967757</v>
      </c>
      <c r="C18" s="247">
        <f>IF(B18="","",B18)</f>
        <v>0.171421644967757</v>
      </c>
      <c r="D18" s="247">
        <f>IF(C18="","",MAX(0,C18-0.5%))</f>
        <v>0.166421644967757</v>
      </c>
      <c r="E18" s="247">
        <f>IF(D18="","",MAX(0,D18-0.5%))</f>
        <v>0.161421644967757</v>
      </c>
      <c r="F18" s="247">
        <f>IF(E18="","",MAX(0,E18-0.5%))</f>
        <v>0.156421644967757</v>
      </c>
    </row>
    <row r="19" ht="15" customHeight="1">
      <c r="A19" t="inlineStr">
        <is>
          <t>Gross margin</t>
        </is>
      </c>
      <c r="B19" s="247">
        <f>IFERROR(AVERAGE(Model!AC65:AF65,Model!AH65:AI65),"")</f>
        <v>0.227040818616077</v>
      </c>
      <c r="C19" s="247">
        <f>IF(B19="","",B19)</f>
        <v>0.227040818616077</v>
      </c>
      <c r="D19" s="247">
        <f>IF(C19="","",C19)</f>
        <v>0.227040818616077</v>
      </c>
      <c r="E19" s="247">
        <f>IF(D19="","",D19)</f>
        <v>0.227040818616077</v>
      </c>
      <c r="F19" s="247">
        <f>IF(E19="","",E19)</f>
        <v>0.227040818616077</v>
      </c>
    </row>
    <row r="20" ht="15" customHeight="1">
      <c r="A20" t="inlineStr">
        <is>
          <t>SG&amp;A / Revenue</t>
        </is>
      </c>
      <c r="B20" s="247">
        <f>IFERROR(AVERAGE(Model!AC69:AF69,Model!AH69:AI69),"")</f>
        <v>0.156863451215889</v>
      </c>
      <c r="C20" s="247">
        <f>IF(B20="","",B20)</f>
        <v>0.156863451215889</v>
      </c>
      <c r="D20" s="247">
        <f>IF(C20="","",C20)</f>
        <v>0.156863451215889</v>
      </c>
      <c r="E20" s="247">
        <f>IF(D20="","",D20)</f>
        <v>0.156863451215889</v>
      </c>
      <c r="F20" s="247">
        <f>IF(E20="","",E20)</f>
        <v>0.156863451215889</v>
      </c>
    </row>
    <row r="21" ht="15" customHeight="1">
      <c r="A21" t="inlineStr">
        <is>
          <t>D&amp;A / Revenue</t>
        </is>
      </c>
      <c r="B21" s="247">
        <f>IFERROR(AVERAGE(Model!AC81:AF81,Model!AH81:AI81),"")</f>
        <v>0.0150914260748567</v>
      </c>
      <c r="C21" s="247">
        <f>IF(B21="","",B21)</f>
        <v>0.0150914260748567</v>
      </c>
      <c r="D21" s="247">
        <f>IF(C21="","",C21)</f>
        <v>0.0150914260748567</v>
      </c>
      <c r="E21" s="247">
        <f>IF(D21="","",D21)</f>
        <v>0.0150914260748567</v>
      </c>
      <c r="F21" s="247">
        <f>IF(E21="","",E21)</f>
        <v>0.0150914260748567</v>
      </c>
    </row>
    <row r="22" ht="15" customHeight="1">
      <c r="A22" t="inlineStr">
        <is>
          <t>Effective tax rate</t>
        </is>
      </c>
      <c r="B22" s="247">
        <f>IFERROR(AVERAGE(Model!AC142:AF142,Model!AH142:AI142),"")</f>
        <v>-0.353792147336873</v>
      </c>
      <c r="C22" s="247">
        <f>IF(B22="","",B22)</f>
        <v>-0.353792147336873</v>
      </c>
      <c r="D22" s="247">
        <f>IF(C22="","",C22)</f>
        <v>-0.353792147336873</v>
      </c>
      <c r="E22" s="247">
        <f>IF(D22="","",D22)</f>
        <v>-0.353792147336873</v>
      </c>
      <c r="F22" s="247">
        <f>IF(E22="","",E22)</f>
        <v>-0.353792147336873</v>
      </c>
    </row>
    <row r="23" ht="15" customHeight="1">
      <c r="A23" t="inlineStr">
        <is>
          <t>Financial income / Revenue</t>
        </is>
      </c>
      <c r="B23" s="247">
        <f>IFERROR(AVERAGE(Model!AC133:AF133,Model!AH133:AI133)/AVERAGE(Model!AC15:AF15,Model!AH15:AI15),"")</f>
        <v>0.00850617847208407</v>
      </c>
      <c r="C23" s="247">
        <f>IF(B23="","",B23)</f>
        <v>0.00850617847208407</v>
      </c>
      <c r="D23" s="247">
        <f>IF(C23="","",C23)</f>
        <v>0.00850617847208407</v>
      </c>
      <c r="E23" s="247">
        <f>IF(D23="","",D23)</f>
        <v>0.00850617847208407</v>
      </c>
      <c r="F23" s="247">
        <f>IF(E23="","",E23)</f>
        <v>0.00850617847208407</v>
      </c>
    </row>
    <row r="24" ht="15" customHeight="1">
      <c r="A24" t="inlineStr">
        <is>
          <t>Capex / Revenue</t>
        </is>
      </c>
      <c r="B24" s="247">
        <f>IFERROR(-AVERAGE(Model!AC305:AF305,Model!AH305:AI305)/AVERAGE(Model!AC15:AF15,Model!AH15:AI15),"")</f>
        <v>0.0381355766455201</v>
      </c>
      <c r="C24" s="247">
        <f>IF(B24="","",B24)</f>
        <v>0.0381355766455201</v>
      </c>
      <c r="D24" s="247">
        <f>IF(C24="","",C24)</f>
        <v>0.0381355766455201</v>
      </c>
      <c r="E24" s="247">
        <f>IF(D24="","",D24)</f>
        <v>0.0381355766455201</v>
      </c>
      <c r="F24" s="247">
        <f>IF(E24="","",E24)</f>
        <v>0.0381355766455201</v>
      </c>
    </row>
    <row r="25" ht="15" customHeight="1">
      <c r="A25" t="inlineStr">
        <is>
          <t>DSO</t>
        </is>
      </c>
      <c r="B25" s="249">
        <f>IFERROR(AVERAGE(Model!AC156:AF156,Model!AH156:AI156),0)</f>
        <v>36.9046782509591</v>
      </c>
      <c r="C25" s="249">
        <f>IF(B25="","",B25)</f>
        <v>36.9046782509591</v>
      </c>
      <c r="D25" s="249">
        <f>IF(C25="","",C25)</f>
        <v>36.9046782509591</v>
      </c>
      <c r="E25" s="249">
        <f>IF(D25="","",D25)</f>
        <v>36.9046782509591</v>
      </c>
      <c r="F25" s="249">
        <f>IF(E25="","",E25)</f>
        <v>36.9046782509591</v>
      </c>
    </row>
    <row r="26" ht="15" customHeight="1">
      <c r="A26" t="inlineStr">
        <is>
          <t>DIO</t>
        </is>
      </c>
      <c r="B26" s="249">
        <f>IFERROR(AVERAGE(Model!AC160:AF160,Model!AH160:AI160),0)</f>
        <v>65.9318833730701</v>
      </c>
      <c r="C26" s="249">
        <f>IF(B26="","",B26)</f>
        <v>65.9318833730701</v>
      </c>
      <c r="D26" s="249">
        <f>IF(C26="","",C26)</f>
        <v>65.9318833730701</v>
      </c>
      <c r="E26" s="249">
        <f>IF(D26="","",D26)</f>
        <v>65.9318833730701</v>
      </c>
      <c r="F26" s="249">
        <f>IF(E26="","",E26)</f>
        <v>65.9318833730701</v>
      </c>
    </row>
    <row r="27" ht="15" customHeight="1">
      <c r="A27" t="inlineStr">
        <is>
          <t>DPO</t>
        </is>
      </c>
      <c r="B27" s="249">
        <f>IFERROR(AVERAGE(Model!AC209:AF209,Model!AH209:AI209),0)</f>
        <v>51.3978836017726</v>
      </c>
      <c r="C27" s="249">
        <f>IF(B27="","",B27)</f>
        <v>51.3978836017726</v>
      </c>
      <c r="D27" s="249">
        <f>IF(C27="","",C27)</f>
        <v>51.3978836017726</v>
      </c>
      <c r="E27" s="249">
        <f>IF(D27="","",D27)</f>
        <v>51.3978836017726</v>
      </c>
      <c r="F27" s="249">
        <f>IF(E27="","",E27)</f>
        <v>51.3978836017726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Grupo Mateus (GMAT3) - fonte: Dados Historicos 2T26 do RI (abas Balanco Patrimonial, DRE, Fluxo de Caixa, N de lojas, Evolucao da Area de Vendas) + releases trimestrais 3T20-2T26 (receita bruta por segmento, receita liquida por regiao, SSS, lucro dos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2026-10-16T15:38:40Z</dcterms:modified>
  <cp:lastModifiedBy>Lucas Nascimento</cp:lastModifiedBy>
  <cp:revision>0</cp:revision>
</cp:coreProperties>
</file>