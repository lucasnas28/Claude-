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7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70" fontId="0" fillId="0" borderId="0" pivotButton="0" quotePrefix="0" xfId="0"/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70" fontId="5" fillId="2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Grupo Mateus (GMAT3) - fonte: Dados Historicos 2T26 do RI (abas Balanco Patrimonial, DRE, Fluxo de Caixa, N de lojas, Evolucao da Area de Vendas) + releases trimestrais 3T20-2T26 (receita bruta por segmento, receita liquida por regiao, SSS, lucro dos nao controladores). Moeda: BRL. Brutos em R$ mil. Consolidado.</t>
        </is>
      </c>
    </row>
    <row r="2">
      <c r="J2" t="inlineStr">
        <is>
          <t>Trimestre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(aba DRE; R$ mil). 3T24, 4T24, 1T25 e 2T25: colunas "Reapresentacao" (CPC 23, nota 3.1 do ITR 2T26). Soma dos trimestres = ano (conferido)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liquida de vendas (DRE l.6)</t>
        </is>
      </c>
      <c r="J6" t="inlineStr">
        <is>
          <t>fonte</t>
        </is>
      </c>
      <c r="K6" s="258" t="n">
        <v>2409284.42457</v>
      </c>
      <c r="L6" s="258" t="n">
        <v>2889003.34843</v>
      </c>
      <c r="M6" s="258" t="n">
        <v>3463454.227</v>
      </c>
      <c r="N6" s="258" t="n">
        <v>3635295.90979</v>
      </c>
      <c r="O6" s="258" t="n">
        <v>3362273.093422</v>
      </c>
      <c r="P6" s="258" t="n">
        <v>3724341.68501941</v>
      </c>
      <c r="Q6" s="258" t="n">
        <v>4349125</v>
      </c>
      <c r="R6" s="258" t="n">
        <v>4441117.22155859</v>
      </c>
      <c r="S6" s="258" t="n">
        <v>4578779.53623342</v>
      </c>
      <c r="T6" s="258" t="n">
        <v>5201989</v>
      </c>
      <c r="U6" s="258" t="n">
        <v>5923131</v>
      </c>
      <c r="V6" s="258" t="n">
        <v>6064576.96333213</v>
      </c>
      <c r="W6" s="258" t="n">
        <v>5867879.71434321</v>
      </c>
      <c r="X6" s="258" t="n">
        <v>6429472</v>
      </c>
      <c r="Y6" s="258" t="n">
        <v>6934929</v>
      </c>
      <c r="Z6" s="258" t="n">
        <v>7541305.28565679</v>
      </c>
      <c r="AA6" s="258" t="n">
        <v>7382470.64772889</v>
      </c>
      <c r="AB6" s="258" t="n">
        <v>7638924.35227111</v>
      </c>
      <c r="AC6" s="258" t="n">
        <v>8337057</v>
      </c>
      <c r="AD6" s="258" t="n">
        <v>8726977</v>
      </c>
      <c r="AE6" s="258" t="n">
        <v>8331305</v>
      </c>
      <c r="AF6" s="258" t="n">
        <v>8779636.433216229</v>
      </c>
      <c r="AG6" s="258" t="n">
        <v>10763538</v>
      </c>
      <c r="AH6" s="258" t="n">
        <v>10549922.6357838</v>
      </c>
      <c r="AI6" s="258" t="n">
        <v>9402270</v>
      </c>
      <c r="AJ6" s="258" t="n">
        <v>9852461</v>
      </c>
    </row>
    <row r="7">
      <c r="A7" t="n">
        <v>2</v>
      </c>
      <c r="B7" t="n">
        <v>1</v>
      </c>
      <c r="G7" t="inlineStr">
        <is>
          <t>moeda</t>
        </is>
      </c>
      <c r="H7" t="inlineStr">
        <is>
          <t>Custo dos servicos prestados e mercadorias vendidas (DRE l.7)</t>
        </is>
      </c>
      <c r="J7" t="inlineStr">
        <is>
          <t>fonte</t>
        </is>
      </c>
      <c r="K7" s="258" t="n">
        <v>-1805748</v>
      </c>
      <c r="L7" s="258" t="n">
        <v>-2195072</v>
      </c>
      <c r="M7" s="258" t="n">
        <v>-2625787</v>
      </c>
      <c r="N7" s="258" t="n">
        <v>-2781019.90703</v>
      </c>
      <c r="O7" s="258" t="n">
        <v>-2560194.066782</v>
      </c>
      <c r="P7" s="258" t="n">
        <v>-2861692.34466941</v>
      </c>
      <c r="Q7" s="258" t="n">
        <v>-3311219</v>
      </c>
      <c r="R7" s="258" t="n">
        <v>-3441309.5885486</v>
      </c>
      <c r="S7" s="258" t="n">
        <v>-3553067.34589342</v>
      </c>
      <c r="T7" s="258" t="n">
        <v>-4019431</v>
      </c>
      <c r="U7" s="258" t="n">
        <v>-4568982</v>
      </c>
      <c r="V7" s="258" t="n">
        <v>-4752904.96333213</v>
      </c>
      <c r="W7" s="258" t="n">
        <v>-4574505.71434321</v>
      </c>
      <c r="X7" s="258" t="n">
        <v>-4985038</v>
      </c>
      <c r="Y7" s="258" t="n">
        <v>-5374203</v>
      </c>
      <c r="Z7" s="258" t="n">
        <v>-5849003.33064679</v>
      </c>
      <c r="AA7" s="258" t="n">
        <v>-5732716</v>
      </c>
      <c r="AB7" s="258" t="n">
        <v>-5926460</v>
      </c>
      <c r="AC7" s="258" t="n">
        <v>-6479360</v>
      </c>
      <c r="AD7" s="258" t="n">
        <v>-6821183</v>
      </c>
      <c r="AE7" s="258" t="n">
        <v>-6478662</v>
      </c>
      <c r="AF7" s="258" t="n">
        <v>-6685998</v>
      </c>
      <c r="AG7" s="258" t="n">
        <v>-8470764</v>
      </c>
      <c r="AH7" s="258" t="n">
        <v>-8175217.44678377</v>
      </c>
      <c r="AI7" s="258" t="n">
        <v>-7251758</v>
      </c>
      <c r="AJ7" s="258" t="n">
        <v>-7541266</v>
      </c>
    </row>
    <row r="8">
      <c r="A8" t="n">
        <v>3</v>
      </c>
      <c r="B8" t="n">
        <v>1</v>
      </c>
      <c r="G8" t="inlineStr">
        <is>
          <t>moeda</t>
        </is>
      </c>
      <c r="H8" t="inlineStr">
        <is>
          <t>Despesas comerciais, administrativas e gerais (DRE l.13; inclui a D&amp;A, devolvida abaixo)</t>
        </is>
      </c>
      <c r="J8" t="inlineStr">
        <is>
          <t>fonte</t>
        </is>
      </c>
      <c r="K8" s="258" t="n">
        <v>-463885.88628</v>
      </c>
      <c r="L8" s="258" t="n">
        <v>-454361.11372</v>
      </c>
      <c r="M8" s="258" t="n">
        <v>-560733</v>
      </c>
      <c r="N8" s="258" t="n">
        <v>-637644</v>
      </c>
      <c r="O8" s="258" t="n">
        <v>-610097.0640600011</v>
      </c>
      <c r="P8" s="258" t="n">
        <v>-645362.9359399989</v>
      </c>
      <c r="Q8" s="258" t="n">
        <v>-723325</v>
      </c>
      <c r="R8" s="258" t="n">
        <v>-748223</v>
      </c>
      <c r="S8" s="258" t="n">
        <v>-807035.19674</v>
      </c>
      <c r="T8" s="258" t="n">
        <v>-858244.80326</v>
      </c>
      <c r="U8" s="258" t="n">
        <v>-953504</v>
      </c>
      <c r="V8" s="258" t="n">
        <v>-992449</v>
      </c>
      <c r="W8" s="258" t="n">
        <v>-981450.33242</v>
      </c>
      <c r="X8" s="258" t="n">
        <v>-1058239</v>
      </c>
      <c r="Y8" s="258" t="n">
        <v>-1147111</v>
      </c>
      <c r="Z8" s="258" t="n">
        <v>-1203353.5501</v>
      </c>
      <c r="AA8" s="258" t="n">
        <v>-1244723.62143</v>
      </c>
      <c r="AB8" s="258" t="n">
        <v>-1236882</v>
      </c>
      <c r="AC8" s="258" t="n">
        <v>-1310428</v>
      </c>
      <c r="AD8" s="258" t="n">
        <v>-1369239.5</v>
      </c>
      <c r="AE8" s="258" t="n">
        <v>-1373306</v>
      </c>
      <c r="AF8" s="258" t="n">
        <v>-1428519</v>
      </c>
      <c r="AG8" s="258" t="n">
        <v>-1769134</v>
      </c>
      <c r="AH8" s="258" t="n">
        <v>-1873881</v>
      </c>
      <c r="AI8" s="258" t="n">
        <v>-1798334</v>
      </c>
      <c r="AJ8" s="258" t="n">
        <v>-1796066</v>
      </c>
    </row>
    <row r="9">
      <c r="A9" t="n">
        <v>3</v>
      </c>
      <c r="B9" t="n">
        <v>1</v>
      </c>
      <c r="G9" t="inlineStr">
        <is>
          <t>moeda</t>
        </is>
      </c>
      <c r="H9" t="inlineStr">
        <is>
          <t>Outras receitas (despesas) operacionais, liquidas (DRE l.14)</t>
        </is>
      </c>
      <c r="J9" t="inlineStr">
        <is>
          <t>fonte</t>
        </is>
      </c>
      <c r="K9" s="258" t="n">
        <v>-143.26486</v>
      </c>
      <c r="L9" s="258" t="n">
        <v>-100.73514</v>
      </c>
      <c r="M9" s="258" t="n">
        <v>-935</v>
      </c>
      <c r="N9" s="258" t="n">
        <v>-1923</v>
      </c>
      <c r="O9" s="258" t="n">
        <v>-10481.57432</v>
      </c>
      <c r="P9" s="258" t="n">
        <v>-2207.61262</v>
      </c>
      <c r="Q9" s="258" t="n">
        <v>-54456</v>
      </c>
      <c r="R9" s="258" t="n">
        <v>7879</v>
      </c>
      <c r="S9" s="258" t="n">
        <v>11130.95514</v>
      </c>
      <c r="T9" s="258" t="n">
        <v>1745</v>
      </c>
      <c r="U9" s="258" t="n">
        <v>-12453</v>
      </c>
      <c r="V9" s="258" t="n">
        <v>102003</v>
      </c>
      <c r="W9" s="258" t="n">
        <v>1067</v>
      </c>
      <c r="X9" s="258" t="n">
        <v>27385</v>
      </c>
      <c r="Y9" s="258" t="n">
        <v>413</v>
      </c>
      <c r="Z9" s="258" t="n">
        <v>53065.04499</v>
      </c>
      <c r="AA9" s="258" t="n">
        <v>421</v>
      </c>
      <c r="AB9" s="258" t="n">
        <v>-18179</v>
      </c>
      <c r="AC9" s="258" t="n">
        <v>5492</v>
      </c>
      <c r="AD9" s="258" t="n">
        <v>4281</v>
      </c>
      <c r="AE9" s="258" t="n">
        <v>1301</v>
      </c>
      <c r="AF9" s="258" t="n">
        <v>-2721</v>
      </c>
      <c r="AG9" s="258" t="n">
        <v>147417</v>
      </c>
      <c r="AH9" s="258" t="n">
        <v>-47369.189</v>
      </c>
      <c r="AI9" s="258" t="n">
        <v>32416</v>
      </c>
      <c r="AJ9" s="258" t="n">
        <v>-11212</v>
      </c>
    </row>
    <row r="10">
      <c r="A10" t="n">
        <v>6</v>
      </c>
      <c r="B10" t="n">
        <v>1</v>
      </c>
      <c r="G10" t="inlineStr">
        <is>
          <t>moeda</t>
        </is>
      </c>
      <c r="H10" t="inlineStr">
        <is>
          <t>Receitas financeiras (DRE l.20)</t>
        </is>
      </c>
      <c r="J10" t="inlineStr">
        <is>
          <t>fonte</t>
        </is>
      </c>
      <c r="K10" s="258" t="n">
        <v>16478.86336</v>
      </c>
      <c r="L10" s="258" t="n">
        <v>18931.13664</v>
      </c>
      <c r="M10" s="258" t="n">
        <v>18504</v>
      </c>
      <c r="N10" s="258" t="n">
        <v>29563</v>
      </c>
      <c r="O10" s="258" t="n">
        <v>25690.76605</v>
      </c>
      <c r="P10" s="258" t="n">
        <v>31700.5537</v>
      </c>
      <c r="Q10" s="258" t="n">
        <v>44510</v>
      </c>
      <c r="R10" s="258" t="n">
        <v>39361</v>
      </c>
      <c r="S10" s="258" t="n">
        <v>44146.33455</v>
      </c>
      <c r="T10" s="258" t="n">
        <v>36200.66545</v>
      </c>
      <c r="U10" s="258" t="n">
        <v>47128</v>
      </c>
      <c r="V10" s="258" t="n">
        <v>56191</v>
      </c>
      <c r="W10" s="258" t="n">
        <v>63202</v>
      </c>
      <c r="X10" s="258" t="n">
        <v>62773</v>
      </c>
      <c r="Y10" s="258" t="n">
        <v>63855</v>
      </c>
      <c r="Z10" s="258" t="n">
        <v>52167</v>
      </c>
      <c r="AA10" s="258" t="n">
        <v>54595.66009</v>
      </c>
      <c r="AB10" s="258" t="n">
        <v>71540.33991</v>
      </c>
      <c r="AC10" s="258" t="n">
        <v>58966</v>
      </c>
      <c r="AD10" s="258" t="n">
        <v>82206</v>
      </c>
      <c r="AE10" s="258" t="n">
        <v>69356</v>
      </c>
      <c r="AF10" s="258" t="n">
        <v>58754</v>
      </c>
      <c r="AG10" s="258" t="n">
        <v>87088</v>
      </c>
      <c r="AH10" s="258" t="n">
        <v>96761</v>
      </c>
      <c r="AI10" s="258" t="n">
        <v>87895</v>
      </c>
      <c r="AJ10" s="258" t="n">
        <v>90775</v>
      </c>
    </row>
    <row r="11">
      <c r="A11" t="n">
        <v>5</v>
      </c>
      <c r="B11" t="n">
        <v>1</v>
      </c>
      <c r="G11" t="inlineStr">
        <is>
          <t>moeda</t>
        </is>
      </c>
      <c r="H11" t="inlineStr">
        <is>
          <t>Despesas financeiras (DRE l.21; inclui MDR de cartao e juros de arrendamento IFRS 16)</t>
        </is>
      </c>
      <c r="J11" t="inlineStr">
        <is>
          <t>fonte</t>
        </is>
      </c>
      <c r="K11" s="258" t="n">
        <v>-54162.16727</v>
      </c>
      <c r="L11" s="258" t="n">
        <v>-63048.83273</v>
      </c>
      <c r="M11" s="258" t="n">
        <v>-57591</v>
      </c>
      <c r="N11" s="258" t="n">
        <v>-53821</v>
      </c>
      <c r="O11" s="258" t="n">
        <v>-50470</v>
      </c>
      <c r="P11" s="258" t="n">
        <v>-56216</v>
      </c>
      <c r="Q11" s="258" t="n">
        <v>-91211</v>
      </c>
      <c r="R11" s="258" t="n">
        <v>-71983</v>
      </c>
      <c r="S11" s="258" t="n">
        <v>-73218</v>
      </c>
      <c r="T11" s="258" t="n">
        <v>-94761.77903000001</v>
      </c>
      <c r="U11" s="258" t="n">
        <v>-137924</v>
      </c>
      <c r="V11" s="258" t="n">
        <v>-154732.22097</v>
      </c>
      <c r="W11" s="258" t="n">
        <v>-135960</v>
      </c>
      <c r="X11" s="258" t="n">
        <v>-166879</v>
      </c>
      <c r="Y11" s="258" t="n">
        <v>-163903</v>
      </c>
      <c r="Z11" s="258" t="n">
        <v>-180578</v>
      </c>
      <c r="AA11" s="258" t="n">
        <v>-187301.66009</v>
      </c>
      <c r="AB11" s="258" t="n">
        <v>-198208.73991</v>
      </c>
      <c r="AC11" s="258" t="n">
        <v>-208790</v>
      </c>
      <c r="AD11" s="258" t="n">
        <v>-244955.6</v>
      </c>
      <c r="AE11" s="258" t="n">
        <v>-250609</v>
      </c>
      <c r="AF11" s="258" t="n">
        <v>-267809</v>
      </c>
      <c r="AG11" s="258" t="n">
        <v>-305637</v>
      </c>
      <c r="AH11" s="258" t="n">
        <v>-403524</v>
      </c>
      <c r="AI11" s="258" t="n">
        <v>-310031</v>
      </c>
      <c r="AJ11" s="258" t="n">
        <v>-338073</v>
      </c>
    </row>
    <row r="12">
      <c r="A12" t="n">
        <v>7</v>
      </c>
      <c r="B12" t="n">
        <v>1</v>
      </c>
      <c r="G12" t="inlineStr">
        <is>
          <t>moeda</t>
        </is>
      </c>
      <c r="H12" t="inlineStr">
        <is>
          <t>IR e CS - corrente (DRE l.26)</t>
        </is>
      </c>
      <c r="J12" t="inlineStr">
        <is>
          <t>fonte</t>
        </is>
      </c>
      <c r="K12" s="258" t="n">
        <v>0</v>
      </c>
      <c r="L12" s="258" t="n">
        <v>0</v>
      </c>
      <c r="M12" s="258" t="n">
        <v>-6948</v>
      </c>
      <c r="N12" s="258" t="n">
        <v>5004</v>
      </c>
      <c r="O12" s="258" t="n">
        <v>0</v>
      </c>
      <c r="P12" s="258" t="n">
        <v>0</v>
      </c>
      <c r="Q12" s="258" t="n">
        <v>0</v>
      </c>
      <c r="R12" s="258" t="n">
        <v>-18759</v>
      </c>
      <c r="S12" s="258" t="n">
        <v>-1524.44138</v>
      </c>
      <c r="T12" s="258" t="n">
        <v>-3374</v>
      </c>
      <c r="U12" s="258" t="n">
        <v>-6525</v>
      </c>
      <c r="V12" s="258" t="n">
        <v>-12096</v>
      </c>
      <c r="W12" s="258" t="n">
        <v>-541</v>
      </c>
      <c r="X12" s="258" t="n">
        <v>-16241</v>
      </c>
      <c r="Y12" s="258" t="n">
        <v>-383</v>
      </c>
      <c r="Z12" s="258" t="n">
        <v>-25485</v>
      </c>
      <c r="AA12" s="258" t="n">
        <v>-96230.244987315</v>
      </c>
      <c r="AB12" s="258" t="n">
        <v>-138067.3</v>
      </c>
      <c r="AC12" s="258" t="n">
        <v>-124370</v>
      </c>
      <c r="AD12" s="258" t="n">
        <v>-11818</v>
      </c>
      <c r="AE12" s="258" t="n">
        <v>-97399</v>
      </c>
      <c r="AF12" s="258" t="n">
        <v>-10341</v>
      </c>
      <c r="AG12" s="258" t="n">
        <v>300127</v>
      </c>
      <c r="AH12" s="258" t="n">
        <v>106038</v>
      </c>
      <c r="AI12" s="258" t="n">
        <v>-13946</v>
      </c>
      <c r="AJ12" s="258" t="n">
        <v>-14247</v>
      </c>
    </row>
    <row r="13">
      <c r="A13" t="n">
        <v>7</v>
      </c>
      <c r="B13" t="n">
        <v>1</v>
      </c>
      <c r="G13" t="inlineStr">
        <is>
          <t>moeda</t>
        </is>
      </c>
      <c r="H13" t="inlineStr">
        <is>
          <t>IR e CS - diferido (DRE l.27)</t>
        </is>
      </c>
      <c r="J13" t="inlineStr">
        <is>
          <t>fonte</t>
        </is>
      </c>
      <c r="K13" s="258" t="n">
        <v>0</v>
      </c>
      <c r="L13" s="258" t="n">
        <v>0</v>
      </c>
      <c r="M13" s="258" t="n">
        <v>5704</v>
      </c>
      <c r="N13" s="258" t="n">
        <v>-2031</v>
      </c>
      <c r="O13" s="258" t="n">
        <v>0</v>
      </c>
      <c r="P13" s="258" t="n">
        <v>0</v>
      </c>
      <c r="Q13" s="258" t="n">
        <v>0</v>
      </c>
      <c r="R13" s="258" t="n">
        <v>0</v>
      </c>
      <c r="S13" s="258" t="n">
        <v>0</v>
      </c>
      <c r="T13" s="258" t="n">
        <v>0</v>
      </c>
      <c r="U13" s="258" t="n">
        <v>0</v>
      </c>
      <c r="V13" s="258" t="n">
        <v>0</v>
      </c>
      <c r="W13" s="258" t="n">
        <v>0</v>
      </c>
      <c r="X13" s="258" t="n">
        <v>0</v>
      </c>
      <c r="Y13" s="258" t="n">
        <v>0</v>
      </c>
      <c r="Z13" s="258" t="n">
        <v>0</v>
      </c>
      <c r="AA13" s="258" t="n">
        <v>63862</v>
      </c>
      <c r="AB13" s="258" t="n">
        <v>134676.56</v>
      </c>
      <c r="AC13" s="258" t="n">
        <v>76694</v>
      </c>
      <c r="AD13" s="258" t="n">
        <v>-43036</v>
      </c>
      <c r="AE13" s="258" t="n">
        <v>74334</v>
      </c>
      <c r="AF13" s="258" t="n">
        <v>-47225</v>
      </c>
      <c r="AG13" s="258" t="n">
        <v>93938</v>
      </c>
      <c r="AH13" s="258" t="n">
        <v>90221</v>
      </c>
      <c r="AI13" s="258" t="n">
        <v>42410</v>
      </c>
      <c r="AJ13" s="258" t="n">
        <v>-426</v>
      </c>
    </row>
    <row r="14">
      <c r="G14" t="inlineStr">
        <is>
          <t>moeda</t>
        </is>
      </c>
      <c r="H14" t="inlineStr">
        <is>
          <t>Lucro liquido combinado do periodo (DRE l.30; inclui nao controladores) - memoria</t>
        </is>
      </c>
      <c r="J14" t="inlineStr">
        <is>
          <t>memoria</t>
        </is>
      </c>
      <c r="K14" s="258" t="n">
        <v>101823.9695199998</v>
      </c>
      <c r="L14" s="258" t="n">
        <v>195351.8034799998</v>
      </c>
      <c r="M14" s="258" t="n">
        <v>235668.227</v>
      </c>
      <c r="N14" s="258" t="n">
        <v>193424.0027600001</v>
      </c>
      <c r="O14" s="258" t="n">
        <v>156721.1543099988</v>
      </c>
      <c r="P14" s="258" t="n">
        <v>190563.3454900012</v>
      </c>
      <c r="Q14" s="258" t="n">
        <v>213424</v>
      </c>
      <c r="R14" s="258" t="n">
        <v>208082.6330099902</v>
      </c>
      <c r="S14" s="258" t="n">
        <v>199211.8419099997</v>
      </c>
      <c r="T14" s="258" t="n">
        <v>264123.08316</v>
      </c>
      <c r="U14" s="258" t="n">
        <v>290871</v>
      </c>
      <c r="V14" s="258" t="n">
        <v>310588.77903</v>
      </c>
      <c r="W14" s="258" t="n">
        <v>239691.66758</v>
      </c>
      <c r="X14" s="258" t="n">
        <v>293233</v>
      </c>
      <c r="Y14" s="258" t="n">
        <v>313597</v>
      </c>
      <c r="Z14" s="258" t="n">
        <v>388117.4499000006</v>
      </c>
      <c r="AA14" s="258" t="n">
        <v>240377.7813115751</v>
      </c>
      <c r="AB14" s="258" t="n">
        <v>327344.2122711098</v>
      </c>
      <c r="AC14" s="258" t="n">
        <v>355261</v>
      </c>
      <c r="AD14" s="258" t="n">
        <v>323231.9</v>
      </c>
      <c r="AE14" s="258" t="n">
        <v>276320</v>
      </c>
      <c r="AF14" s="258" t="n">
        <v>395777</v>
      </c>
      <c r="AG14" s="258" t="n">
        <v>846573</v>
      </c>
      <c r="AH14" s="258" t="n">
        <v>342951.000000031</v>
      </c>
      <c r="AI14" s="258" t="n">
        <v>190922</v>
      </c>
      <c r="AJ14" s="258" t="n">
        <v>241946</v>
      </c>
    </row>
    <row r="15">
      <c r="A15" t="n">
        <v>9</v>
      </c>
      <c r="B15" t="n">
        <v>-1</v>
      </c>
      <c r="G15" t="inlineStr">
        <is>
          <t>moeda</t>
        </is>
      </c>
      <c r="H15" t="inlineStr">
        <is>
          <t>Lucro liquido atribuido aos nao controladores (releases; so aberto a partir do 3T25). COD 9 com sinal -1 (entra negativo quando positivo) [0 em 22 per.: conta vazia/"-" na fonte]</t>
        </is>
      </c>
      <c r="J15" t="inlineStr">
        <is>
          <t>release</t>
        </is>
      </c>
      <c r="K15" s="258" t="n">
        <v>0</v>
      </c>
      <c r="L15" s="258" t="n">
        <v>0</v>
      </c>
      <c r="M15" s="258" t="n">
        <v>0</v>
      </c>
      <c r="N15" s="258" t="n">
        <v>0</v>
      </c>
      <c r="O15" s="258" t="n">
        <v>0</v>
      </c>
      <c r="P15" s="258" t="n">
        <v>0</v>
      </c>
      <c r="Q15" s="258" t="n">
        <v>0</v>
      </c>
      <c r="R15" s="258" t="n">
        <v>0</v>
      </c>
      <c r="S15" s="258" t="n">
        <v>0</v>
      </c>
      <c r="T15" s="258" t="n">
        <v>0</v>
      </c>
      <c r="U15" s="258" t="n">
        <v>0</v>
      </c>
      <c r="V15" s="258" t="n">
        <v>0</v>
      </c>
      <c r="W15" s="258" t="n">
        <v>0</v>
      </c>
      <c r="X15" s="258" t="n">
        <v>0</v>
      </c>
      <c r="Y15" s="258" t="n">
        <v>0</v>
      </c>
      <c r="Z15" s="258" t="n">
        <v>0</v>
      </c>
      <c r="AA15" s="258" t="n">
        <v>0</v>
      </c>
      <c r="AB15" s="258" t="n">
        <v>0</v>
      </c>
      <c r="AC15" s="258" t="n">
        <v>0</v>
      </c>
      <c r="AD15" s="258" t="n">
        <v>0</v>
      </c>
      <c r="AE15" s="258" t="n">
        <v>0</v>
      </c>
      <c r="AF15" s="258" t="n">
        <v>0</v>
      </c>
      <c r="AG15" s="258" t="n">
        <v>-3973</v>
      </c>
      <c r="AH15" s="258" t="n">
        <v>18687</v>
      </c>
      <c r="AI15" s="258" t="n">
        <v>-21959</v>
      </c>
      <c r="AJ15" s="258" t="n">
        <v>5141</v>
      </c>
    </row>
    <row r="16">
      <c r="G16" t="inlineStr">
        <is>
          <t>moeda</t>
        </is>
      </c>
      <c r="H16" t="inlineStr">
        <is>
          <t>Depreciacao (DRE l.32) - memoria</t>
        </is>
      </c>
      <c r="J16" t="inlineStr">
        <is>
          <t>memoria</t>
        </is>
      </c>
      <c r="K16" s="258" t="n">
        <v>22718</v>
      </c>
      <c r="L16" s="258" t="n">
        <v>24931</v>
      </c>
      <c r="M16" s="258" t="n">
        <v>33748</v>
      </c>
      <c r="N16" s="258" t="n">
        <v>27495</v>
      </c>
      <c r="O16" s="258" t="n">
        <v>37608</v>
      </c>
      <c r="P16" s="258" t="n">
        <v>44295</v>
      </c>
      <c r="Q16" s="258" t="n">
        <v>51000</v>
      </c>
      <c r="R16" s="258" t="n">
        <v>48048</v>
      </c>
      <c r="S16" s="258" t="n">
        <v>48188</v>
      </c>
      <c r="T16" s="258" t="n">
        <v>57144</v>
      </c>
      <c r="U16" s="258" t="n">
        <v>55727</v>
      </c>
      <c r="V16" s="258" t="n">
        <v>58720</v>
      </c>
      <c r="W16" s="258" t="n">
        <v>63128</v>
      </c>
      <c r="X16" s="258" t="n">
        <v>61086</v>
      </c>
      <c r="Y16" s="258" t="n">
        <v>59994</v>
      </c>
      <c r="Z16" s="258" t="n">
        <v>24736</v>
      </c>
      <c r="AA16" s="258" t="n">
        <v>61651</v>
      </c>
      <c r="AB16" s="258" t="n">
        <v>49812</v>
      </c>
      <c r="AC16" s="258" t="n">
        <v>54035</v>
      </c>
      <c r="AD16" s="258" t="n">
        <v>45106</v>
      </c>
      <c r="AE16" s="258" t="n">
        <v>58799</v>
      </c>
      <c r="AF16" s="258" t="n">
        <v>60696</v>
      </c>
      <c r="AG16" s="258" t="n">
        <v>92906</v>
      </c>
      <c r="AH16" s="258" t="n">
        <v>99632</v>
      </c>
      <c r="AI16" s="258" t="n">
        <v>90048</v>
      </c>
      <c r="AJ16" s="258" t="n">
        <v>101359</v>
      </c>
    </row>
    <row r="17">
      <c r="G17" t="inlineStr">
        <is>
          <t>moeda</t>
        </is>
      </c>
      <c r="H17" t="inlineStr">
        <is>
          <t>Depreciacao de arrendamento (DRE l.33) - memoria</t>
        </is>
      </c>
      <c r="J17" t="inlineStr">
        <is>
          <t>memoria</t>
        </is>
      </c>
      <c r="K17" s="258" t="n">
        <v>16845</v>
      </c>
      <c r="L17" s="258" t="n">
        <v>28857</v>
      </c>
      <c r="M17" s="258" t="n">
        <v>9179</v>
      </c>
      <c r="N17" s="258" t="n">
        <v>16191</v>
      </c>
      <c r="O17" s="258" t="n">
        <v>20121</v>
      </c>
      <c r="P17" s="258" t="n">
        <v>19438</v>
      </c>
      <c r="Q17" s="258" t="n">
        <v>20918</v>
      </c>
      <c r="R17" s="258" t="n">
        <v>19017</v>
      </c>
      <c r="S17" s="258" t="n">
        <v>24007</v>
      </c>
      <c r="T17" s="258" t="n">
        <v>26586</v>
      </c>
      <c r="U17" s="258" t="n">
        <v>28493</v>
      </c>
      <c r="V17" s="258" t="n">
        <v>30302</v>
      </c>
      <c r="W17" s="258" t="n">
        <v>34873</v>
      </c>
      <c r="X17" s="258" t="n">
        <v>31059</v>
      </c>
      <c r="Y17" s="258" t="n">
        <v>38534</v>
      </c>
      <c r="Z17" s="258" t="n">
        <v>39982</v>
      </c>
      <c r="AA17" s="258" t="n">
        <v>42920</v>
      </c>
      <c r="AB17" s="258" t="n">
        <v>35497</v>
      </c>
      <c r="AC17" s="258" t="n">
        <v>41459</v>
      </c>
      <c r="AD17" s="258" t="n">
        <v>46266</v>
      </c>
      <c r="AE17" s="258" t="n">
        <v>46495</v>
      </c>
      <c r="AF17" s="258" t="n">
        <v>52397</v>
      </c>
      <c r="AG17" s="258" t="n">
        <v>69259</v>
      </c>
      <c r="AH17" s="258" t="n">
        <v>59412</v>
      </c>
      <c r="AI17" s="258" t="n">
        <v>68402</v>
      </c>
      <c r="AJ17" s="258" t="n">
        <v>76331</v>
      </c>
    </row>
    <row r="18">
      <c r="G18" t="inlineStr">
        <is>
          <t>moeda</t>
        </is>
      </c>
      <c r="H18" t="inlineStr">
        <is>
          <t>Despesa financeira de arrendamento (DRE l.34) - memoria (dentro das despesas financeiras)</t>
        </is>
      </c>
      <c r="J18" t="inlineStr">
        <is>
          <t>memoria</t>
        </is>
      </c>
      <c r="K18" s="258" t="n">
        <v>6731</v>
      </c>
      <c r="L18" s="258" t="n">
        <v>10670</v>
      </c>
      <c r="M18" s="258" t="n">
        <v>6046</v>
      </c>
      <c r="N18" s="258" t="n">
        <v>9356</v>
      </c>
      <c r="O18" s="258" t="n">
        <v>9862</v>
      </c>
      <c r="P18" s="258" t="n">
        <v>11161</v>
      </c>
      <c r="Q18" s="258" t="n">
        <v>20776</v>
      </c>
      <c r="R18" s="258" t="n">
        <v>19908</v>
      </c>
      <c r="S18" s="258" t="n">
        <v>15643</v>
      </c>
      <c r="T18" s="258" t="n">
        <v>25884</v>
      </c>
      <c r="U18" s="258" t="n">
        <v>31271</v>
      </c>
      <c r="V18" s="258" t="n">
        <v>32003</v>
      </c>
      <c r="W18" s="258" t="n">
        <v>33876</v>
      </c>
      <c r="X18" s="258" t="n">
        <v>38493.44216</v>
      </c>
      <c r="Y18" s="258" t="n">
        <v>45535.55784</v>
      </c>
      <c r="Z18" s="258" t="n">
        <v>51083</v>
      </c>
      <c r="AA18" s="258" t="n">
        <v>52406</v>
      </c>
      <c r="AB18" s="258" t="n">
        <v>52037</v>
      </c>
      <c r="AC18" s="258" t="n">
        <v>57862</v>
      </c>
      <c r="AD18" s="258" t="n">
        <v>37900</v>
      </c>
      <c r="AE18" s="258" t="n">
        <v>69390</v>
      </c>
      <c r="AF18" s="258" t="n">
        <v>81621</v>
      </c>
      <c r="AG18" s="258" t="n">
        <v>101981</v>
      </c>
      <c r="AH18" s="258" t="n">
        <v>103425</v>
      </c>
      <c r="AI18" s="258" t="n">
        <v>101261</v>
      </c>
      <c r="AJ18" s="258" t="n">
        <v>107983</v>
      </c>
    </row>
    <row r="19">
      <c r="G19" t="inlineStr">
        <is>
          <t>moeda</t>
        </is>
      </c>
      <c r="H19" t="inlineStr">
        <is>
          <t>EBITDA (DRE l.36, como divulgado, pos IFRS 16) - memoria</t>
        </is>
      </c>
      <c r="J19" t="inlineStr">
        <is>
          <t>memoria</t>
        </is>
      </c>
      <c r="K19" s="258" t="n">
        <v>179070.2734299998</v>
      </c>
      <c r="L19" s="258" t="n">
        <v>293257.4995699998</v>
      </c>
      <c r="M19" s="258" t="n">
        <v>318926.227</v>
      </c>
      <c r="N19" s="258" t="n">
        <v>258395.0027600001</v>
      </c>
      <c r="O19" s="258" t="n">
        <v>239229.3882599988</v>
      </c>
      <c r="P19" s="258" t="n">
        <v>278811.7917900012</v>
      </c>
      <c r="Q19" s="258" t="n">
        <v>332043</v>
      </c>
      <c r="R19" s="258" t="n">
        <v>326528.6330099902</v>
      </c>
      <c r="S19" s="258" t="n">
        <v>302002.9487399997</v>
      </c>
      <c r="T19" s="258" t="n">
        <v>409788.19674</v>
      </c>
      <c r="U19" s="258" t="n">
        <v>472412</v>
      </c>
      <c r="V19" s="258" t="n">
        <v>510248</v>
      </c>
      <c r="W19" s="258" t="n">
        <v>410991.66758</v>
      </c>
      <c r="X19" s="258" t="n">
        <v>505725</v>
      </c>
      <c r="Y19" s="258" t="n">
        <v>512556</v>
      </c>
      <c r="Z19" s="258" t="n">
        <v>606731.4499000006</v>
      </c>
      <c r="AA19" s="258" t="n">
        <v>510023.0262988901</v>
      </c>
      <c r="AB19" s="258" t="n">
        <v>542712.3522711098</v>
      </c>
      <c r="AC19" s="258" t="n">
        <v>648255</v>
      </c>
      <c r="AD19" s="258" t="n">
        <v>632207.5</v>
      </c>
      <c r="AE19" s="258" t="n">
        <v>585932</v>
      </c>
      <c r="AF19" s="258" t="n">
        <v>775491.4332162291</v>
      </c>
      <c r="AG19" s="258" t="n">
        <v>833222</v>
      </c>
      <c r="AH19" s="258" t="n">
        <v>612499.000000031</v>
      </c>
      <c r="AI19" s="258" t="n">
        <v>543044</v>
      </c>
      <c r="AJ19" s="258" t="n">
        <v>681607</v>
      </c>
    </row>
    <row r="20">
      <c r="G20" t="inlineStr">
        <is>
          <t>moeda</t>
        </is>
      </c>
      <c r="H20" t="inlineStr">
        <is>
          <t>EBIT - lucro operacional antes do resultado financeiro (DRE l.17) - memoria</t>
        </is>
      </c>
      <c r="J20" t="inlineStr">
        <is>
          <t>memoria</t>
        </is>
      </c>
      <c r="K20" s="258" t="n">
        <v>139507.2734299998</v>
      </c>
      <c r="L20" s="258" t="n">
        <v>239469.4995699998</v>
      </c>
      <c r="M20" s="258" t="n">
        <v>275999.227</v>
      </c>
      <c r="N20" s="258" t="n">
        <v>214709.0027600001</v>
      </c>
      <c r="O20" s="258" t="n">
        <v>181500.3882599988</v>
      </c>
      <c r="P20" s="258" t="n">
        <v>215078.7917900012</v>
      </c>
      <c r="Q20" s="258" t="n">
        <v>260125</v>
      </c>
      <c r="R20" s="258" t="n">
        <v>259463.6330099902</v>
      </c>
      <c r="S20" s="258" t="n">
        <v>229807.9487399997</v>
      </c>
      <c r="T20" s="258" t="n">
        <v>326058.19674</v>
      </c>
      <c r="U20" s="258" t="n">
        <v>388192</v>
      </c>
      <c r="V20" s="258" t="n">
        <v>421226</v>
      </c>
      <c r="W20" s="258" t="n">
        <v>312990.66758</v>
      </c>
      <c r="X20" s="258" t="n">
        <v>413580</v>
      </c>
      <c r="Y20" s="258" t="n">
        <v>414028</v>
      </c>
      <c r="Z20" s="258" t="n">
        <v>542013.4499000006</v>
      </c>
      <c r="AA20" s="258" t="n">
        <v>405452.0262988901</v>
      </c>
      <c r="AB20" s="258" t="n">
        <v>457403.3522711098</v>
      </c>
      <c r="AC20" s="258" t="n">
        <v>552761</v>
      </c>
      <c r="AD20" s="258" t="n">
        <v>540835.5</v>
      </c>
      <c r="AE20" s="258" t="n">
        <v>480638</v>
      </c>
      <c r="AF20" s="258" t="n">
        <v>662398.4332162291</v>
      </c>
      <c r="AG20" s="258" t="n">
        <v>671057</v>
      </c>
      <c r="AH20" s="258" t="n">
        <v>453455.000000031</v>
      </c>
      <c r="AI20" s="258" t="n">
        <v>384594</v>
      </c>
      <c r="AJ20" s="258" t="n">
        <v>503917</v>
      </c>
    </row>
    <row r="21">
      <c r="H21" s="254" t="inlineStr">
        <is>
          <t>DFC - ACUMULADO NO ANO (aba Fluxo de Caixa; R$ mil). Comeca no 1T21; 2020 so tem a coluna anual</t>
        </is>
      </c>
    </row>
    <row r="22">
      <c r="G22" t="inlineStr">
        <is>
          <t>moeda</t>
        </is>
      </c>
      <c r="H22" t="inlineStr">
        <is>
          <t>JCP pagos + distribuicao de lucros (DFC l.56 + l.57, acum.). 2020: 0 (coluna anual 2020 da DFC = 0)</t>
        </is>
      </c>
      <c r="J22" t="inlineStr">
        <is>
          <t>memoria</t>
        </is>
      </c>
      <c r="K22" s="258" t="n">
        <v>0</v>
      </c>
      <c r="L22" s="258" t="n">
        <v>0</v>
      </c>
      <c r="M22" s="258" t="n">
        <v>0</v>
      </c>
      <c r="N22" s="258" t="n">
        <v>0</v>
      </c>
      <c r="O22" s="258" t="n">
        <v>0</v>
      </c>
      <c r="P22" s="258" t="n">
        <v>0</v>
      </c>
      <c r="Q22" s="258" t="n">
        <v>0</v>
      </c>
      <c r="R22" s="258" t="n">
        <v>0</v>
      </c>
      <c r="S22" s="258" t="n">
        <v>0</v>
      </c>
      <c r="T22" s="258" t="n">
        <v>0</v>
      </c>
      <c r="U22" s="258" t="n">
        <v>0</v>
      </c>
      <c r="V22" s="258" t="n">
        <v>0</v>
      </c>
      <c r="W22" s="258" t="n">
        <v>0</v>
      </c>
      <c r="X22" s="258" t="n">
        <v>0</v>
      </c>
      <c r="Y22" s="258" t="n">
        <v>0</v>
      </c>
      <c r="Z22" s="258" t="n">
        <v>0</v>
      </c>
      <c r="AA22" s="258" t="n">
        <v>0</v>
      </c>
      <c r="AB22" s="258" t="n">
        <v>0</v>
      </c>
      <c r="AC22" s="258" t="n">
        <v>0</v>
      </c>
      <c r="AD22" s="258" t="n">
        <v>-81047</v>
      </c>
      <c r="AE22" s="258" t="n">
        <v>0</v>
      </c>
      <c r="AF22" s="258" t="n">
        <v>0</v>
      </c>
      <c r="AG22" s="258" t="n">
        <v>0</v>
      </c>
      <c r="AH22" s="258" t="n">
        <v>-145544</v>
      </c>
      <c r="AI22" s="258" t="n">
        <v>0</v>
      </c>
      <c r="AJ22" s="258" t="n">
        <v>0</v>
      </c>
    </row>
    <row r="23">
      <c r="G23" t="inlineStr">
        <is>
          <t>moeda</t>
        </is>
      </c>
      <c r="H23" t="inlineStr">
        <is>
          <t>Recompra de acoes (DFC l.60, acum.) - memoria</t>
        </is>
      </c>
      <c r="J23" t="inlineStr">
        <is>
          <t>memoria</t>
        </is>
      </c>
      <c r="K23" s="258" t="n"/>
      <c r="L23" s="258" t="n"/>
      <c r="M23" s="258" t="n"/>
      <c r="N23" s="258" t="n"/>
      <c r="O23" s="258" t="n">
        <v>0</v>
      </c>
      <c r="P23" s="258" t="n">
        <v>0</v>
      </c>
      <c r="Q23" s="258" t="n">
        <v>0</v>
      </c>
      <c r="R23" s="258" t="n">
        <v>0</v>
      </c>
      <c r="S23" s="258" t="n">
        <v>0</v>
      </c>
      <c r="T23" s="258" t="n">
        <v>0</v>
      </c>
      <c r="U23" s="258" t="n">
        <v>0</v>
      </c>
      <c r="V23" s="258" t="n">
        <v>0</v>
      </c>
      <c r="W23" s="258" t="n">
        <v>0</v>
      </c>
      <c r="X23" s="258" t="n">
        <v>0</v>
      </c>
      <c r="Y23" s="258" t="n">
        <v>-7465</v>
      </c>
      <c r="Z23" s="258" t="n">
        <v>-7465</v>
      </c>
      <c r="AA23" s="258" t="n">
        <v>0</v>
      </c>
      <c r="AB23" s="258" t="n">
        <v>-10818</v>
      </c>
      <c r="AC23" s="258" t="n">
        <v>-10818</v>
      </c>
      <c r="AD23" s="258" t="n">
        <v>-10818</v>
      </c>
      <c r="AE23" s="258" t="n">
        <v>-16204</v>
      </c>
      <c r="AF23" s="258" t="n">
        <v>-16204</v>
      </c>
      <c r="AG23" s="258" t="n">
        <v>-33210</v>
      </c>
      <c r="AH23" s="258" t="n">
        <v>-33210</v>
      </c>
      <c r="AI23" s="258" t="n">
        <v>0</v>
      </c>
      <c r="AJ23" s="258" t="n">
        <v>0</v>
      </c>
    </row>
    <row r="24">
      <c r="G24" t="inlineStr">
        <is>
          <t>moeda</t>
        </is>
      </c>
      <c r="H24" t="inlineStr">
        <is>
          <t>Aquisicao de imobilizado + intangivel - capex (DFC l.41 + l.44, acum.) - memoria</t>
        </is>
      </c>
      <c r="J24" t="inlineStr">
        <is>
          <t>memoria</t>
        </is>
      </c>
      <c r="K24" s="258" t="n"/>
      <c r="L24" s="258" t="n"/>
      <c r="M24" s="258" t="n"/>
      <c r="N24" s="258" t="n"/>
      <c r="O24" s="258" t="n">
        <v>-290590.10849</v>
      </c>
      <c r="P24" s="258" t="n">
        <v>-555453</v>
      </c>
      <c r="Q24" s="258" t="n">
        <v>-803544</v>
      </c>
      <c r="R24" s="258" t="n">
        <v>-1435300</v>
      </c>
      <c r="S24" s="258" t="n">
        <v>-324135</v>
      </c>
      <c r="T24" s="258" t="n">
        <v>-552686</v>
      </c>
      <c r="U24" s="258" t="n">
        <v>-726033</v>
      </c>
      <c r="V24" s="258" t="n">
        <v>-869159</v>
      </c>
      <c r="W24" s="258" t="n">
        <v>-234333</v>
      </c>
      <c r="X24" s="258" t="n">
        <v>-503970</v>
      </c>
      <c r="Y24" s="258" t="n">
        <v>-880975</v>
      </c>
      <c r="Z24" s="258" t="n">
        <v>-1212623</v>
      </c>
      <c r="AA24" s="258" t="n">
        <v>-345586</v>
      </c>
      <c r="AB24" s="258" t="n">
        <v>-659585</v>
      </c>
      <c r="AC24" s="258" t="n">
        <v>-904087</v>
      </c>
      <c r="AD24" s="258" t="n">
        <v>-1268652</v>
      </c>
      <c r="AE24" s="258" t="n">
        <v>-355847</v>
      </c>
      <c r="AF24" s="258" t="n">
        <v>-611441</v>
      </c>
      <c r="AG24" s="258" t="n">
        <v>-924353</v>
      </c>
      <c r="AH24" s="258" t="n">
        <v>-1145137</v>
      </c>
      <c r="AI24" s="258" t="n">
        <v>-219609</v>
      </c>
      <c r="AJ24" s="258" t="n">
        <v>-162223</v>
      </c>
    </row>
    <row r="25">
      <c r="H25" s="254" t="inlineStr">
        <is>
          <t>DERIVADAS (formula nesta aba)</t>
        </is>
      </c>
    </row>
    <row r="26">
      <c r="A26" t="n">
        <v>4</v>
      </c>
      <c r="B26" t="n">
        <v>-1</v>
      </c>
      <c r="C26" t="n">
        <v>3</v>
      </c>
      <c r="D26" t="n">
        <v>1</v>
      </c>
      <c r="G26" t="inlineStr">
        <is>
          <t>moeda</t>
        </is>
      </c>
      <c r="H26" t="inlineStr">
        <is>
          <t>D&amp;A = depreciacao + depreciacao de arrendamento (DRE l.32 + l.33 = EBITDA - EBIT). COD1=4 lanca; COD2=3 devolve ao SG&amp;A</t>
        </is>
      </c>
      <c r="J26" t="inlineStr">
        <is>
          <t>derivada</t>
        </is>
      </c>
      <c r="K26" s="258">
        <f>K16+K17</f>
        <v>39563</v>
      </c>
      <c r="L26" s="258">
        <f>L16+L17</f>
        <v>53788</v>
      </c>
      <c r="M26" s="258">
        <f>M16+M17</f>
        <v>42927</v>
      </c>
      <c r="N26" s="258">
        <f>N16+N17</f>
        <v>43686</v>
      </c>
      <c r="O26" s="258">
        <f>O16+O17</f>
        <v>57729</v>
      </c>
      <c r="P26" s="258">
        <f>P16+P17</f>
        <v>63733</v>
      </c>
      <c r="Q26" s="258">
        <f>Q16+Q17</f>
        <v>71918</v>
      </c>
      <c r="R26" s="258">
        <f>R16+R17</f>
        <v>67065</v>
      </c>
      <c r="S26" s="258">
        <f>S16+S17</f>
        <v>72195</v>
      </c>
      <c r="T26" s="258">
        <f>T16+T17</f>
        <v>83730</v>
      </c>
      <c r="U26" s="258">
        <f>U16+U17</f>
        <v>84220</v>
      </c>
      <c r="V26" s="258">
        <f>V16+V17</f>
        <v>89022</v>
      </c>
      <c r="W26" s="258">
        <f>W16+W17</f>
        <v>98001</v>
      </c>
      <c r="X26" s="258">
        <f>X16+X17</f>
        <v>92145</v>
      </c>
      <c r="Y26" s="258">
        <f>Y16+Y17</f>
        <v>98528</v>
      </c>
      <c r="Z26" s="258">
        <f>Z16+Z17</f>
        <v>64718</v>
      </c>
      <c r="AA26" s="258">
        <f>AA16+AA17</f>
        <v>104571</v>
      </c>
      <c r="AB26" s="258">
        <f>AB16+AB17</f>
        <v>85309</v>
      </c>
      <c r="AC26" s="258">
        <f>AC16+AC17</f>
        <v>95494</v>
      </c>
      <c r="AD26" s="258">
        <f>AD16+AD17</f>
        <v>91372</v>
      </c>
      <c r="AE26" s="258">
        <f>AE16+AE17</f>
        <v>105294</v>
      </c>
      <c r="AF26" s="258">
        <f>AF16+AF17</f>
        <v>113093</v>
      </c>
      <c r="AG26" s="258">
        <f>AG16+AG17</f>
        <v>162165</v>
      </c>
      <c r="AH26" s="258">
        <f>AH16+AH17</f>
        <v>159044</v>
      </c>
      <c r="AI26" s="258">
        <f>AI16+AI17</f>
        <v>158450</v>
      </c>
      <c r="AJ26" s="258">
        <f>AJ16+AJ17</f>
        <v>177690</v>
      </c>
    </row>
    <row r="27">
      <c r="A27" t="n">
        <v>10</v>
      </c>
      <c r="B27" t="n">
        <v>1</v>
      </c>
      <c r="G27" t="inlineStr">
        <is>
          <t>moeda</t>
        </is>
      </c>
      <c r="H27" t="inlineStr">
        <is>
          <t>JCP e dividendos pagos (DFC, trimestralizado; ja negativo na fonte)</t>
        </is>
      </c>
      <c r="J27" t="inlineStr">
        <is>
          <t>derivada</t>
        </is>
      </c>
      <c r="K27" s="258">
        <f>N(K22)</f>
        <v>0</v>
      </c>
      <c r="L27" s="258">
        <f>N(L22)-N(K22)</f>
        <v>0</v>
      </c>
      <c r="M27" s="258">
        <f>N(M22)-N(L22)</f>
        <v>0</v>
      </c>
      <c r="N27" s="258">
        <f>N(N22)-N(M22)</f>
        <v>0</v>
      </c>
      <c r="O27" s="258">
        <f>N(O22)</f>
        <v>0</v>
      </c>
      <c r="P27" s="258">
        <f>N(P22)-N(O22)</f>
        <v>0</v>
      </c>
      <c r="Q27" s="258">
        <f>N(Q22)-N(P22)</f>
        <v>0</v>
      </c>
      <c r="R27" s="258">
        <f>N(R22)-N(Q22)</f>
        <v>0</v>
      </c>
      <c r="S27" s="258">
        <f>N(S22)</f>
        <v>0</v>
      </c>
      <c r="T27" s="258">
        <f>N(T22)-N(S22)</f>
        <v>0</v>
      </c>
      <c r="U27" s="258">
        <f>N(U22)-N(T22)</f>
        <v>0</v>
      </c>
      <c r="V27" s="258">
        <f>N(V22)-N(U22)</f>
        <v>0</v>
      </c>
      <c r="W27" s="258">
        <f>N(W22)</f>
        <v>0</v>
      </c>
      <c r="X27" s="258">
        <f>N(X22)-N(W22)</f>
        <v>0</v>
      </c>
      <c r="Y27" s="258">
        <f>N(Y22)-N(X22)</f>
        <v>0</v>
      </c>
      <c r="Z27" s="258">
        <f>N(Z22)-N(Y22)</f>
        <v>0</v>
      </c>
      <c r="AA27" s="258">
        <f>N(AA22)</f>
        <v>0</v>
      </c>
      <c r="AB27" s="258">
        <f>N(AB22)-N(AA22)</f>
        <v>0</v>
      </c>
      <c r="AC27" s="258">
        <f>N(AC22)-N(AB22)</f>
        <v>0</v>
      </c>
      <c r="AD27" s="258">
        <f>N(AD22)-N(AC22)</f>
        <v>-81047</v>
      </c>
      <c r="AE27" s="258">
        <f>N(AE22)</f>
        <v>0</v>
      </c>
      <c r="AF27" s="258">
        <f>N(AF22)-N(AE22)</f>
        <v>0</v>
      </c>
      <c r="AG27" s="258">
        <f>N(AG22)-N(AF22)</f>
        <v>0</v>
      </c>
      <c r="AH27" s="258">
        <f>N(AH22)-N(AG22)</f>
        <v>-145544</v>
      </c>
      <c r="AI27" s="258">
        <f>N(AI22)</f>
        <v>0</v>
      </c>
      <c r="AJ27" s="258">
        <f>N(AJ22)-N(AI22)</f>
        <v>0</v>
      </c>
    </row>
    <row r="28">
      <c r="G28" t="inlineStr">
        <is>
          <t>moeda</t>
        </is>
      </c>
      <c r="H28" t="inlineStr">
        <is>
          <t>Capex (DFC, trimestralizado; 2020 sem DFC trimestral) - memoria</t>
        </is>
      </c>
      <c r="J28" t="inlineStr">
        <is>
          <t>derivada</t>
        </is>
      </c>
      <c r="K28" s="258" t="n"/>
      <c r="L28" s="258" t="n"/>
      <c r="M28" s="258" t="n"/>
      <c r="N28" s="258" t="n"/>
      <c r="O28" s="258">
        <f>N(O24)</f>
        <v>-290590.10849</v>
      </c>
      <c r="P28" s="258">
        <f>N(P24)-N(O24)</f>
        <v>-264862.89151</v>
      </c>
      <c r="Q28" s="258">
        <f>N(Q24)-N(P24)</f>
        <v>-248091</v>
      </c>
      <c r="R28" s="258">
        <f>N(R24)-N(Q24)</f>
        <v>-631756</v>
      </c>
      <c r="S28" s="258">
        <f>N(S24)</f>
        <v>-324135</v>
      </c>
      <c r="T28" s="258">
        <f>N(T24)-N(S24)</f>
        <v>-228551</v>
      </c>
      <c r="U28" s="258">
        <f>N(U24)-N(T24)</f>
        <v>-173347</v>
      </c>
      <c r="V28" s="258">
        <f>N(V24)-N(U24)</f>
        <v>-143126</v>
      </c>
      <c r="W28" s="258">
        <f>N(W24)</f>
        <v>-234333</v>
      </c>
      <c r="X28" s="258">
        <f>N(X24)-N(W24)</f>
        <v>-269637</v>
      </c>
      <c r="Y28" s="258">
        <f>N(Y24)-N(X24)</f>
        <v>-377005</v>
      </c>
      <c r="Z28" s="258">
        <f>N(Z24)-N(Y24)</f>
        <v>-331648</v>
      </c>
      <c r="AA28" s="258">
        <f>N(AA24)</f>
        <v>-345586</v>
      </c>
      <c r="AB28" s="258">
        <f>N(AB24)-N(AA24)</f>
        <v>-313999</v>
      </c>
      <c r="AC28" s="258">
        <f>N(AC24)-N(AB24)</f>
        <v>-244502</v>
      </c>
      <c r="AD28" s="258">
        <f>N(AD24)-N(AC24)</f>
        <v>-364565</v>
      </c>
      <c r="AE28" s="258">
        <f>N(AE24)</f>
        <v>-355847</v>
      </c>
      <c r="AF28" s="258">
        <f>N(AF24)-N(AE24)</f>
        <v>-255594</v>
      </c>
      <c r="AG28" s="258">
        <f>N(AG24)-N(AF24)</f>
        <v>-312912</v>
      </c>
      <c r="AH28" s="258">
        <f>N(AH24)-N(AG24)</f>
        <v>-220784</v>
      </c>
      <c r="AI28" s="258">
        <f>N(AI24)</f>
        <v>-219609</v>
      </c>
      <c r="AJ28" s="258">
        <f>N(AJ24)-N(AI24)</f>
        <v>57386</v>
      </c>
    </row>
    <row r="29">
      <c r="A29" t="n">
        <v>44</v>
      </c>
      <c r="B29" t="n">
        <v>1</v>
      </c>
      <c r="G29" t="inlineStr">
        <is>
          <t>moeda</t>
        </is>
      </c>
      <c r="H29" t="inlineStr">
        <is>
          <t>Lucro liquido atribuido ao Grupo Mateus = combinado - nao controladores. COD 44 alimenta o check IS do Model (linha 4)</t>
        </is>
      </c>
      <c r="J29" t="inlineStr">
        <is>
          <t>derivada</t>
        </is>
      </c>
      <c r="K29" s="258">
        <f>K14-N(K15)</f>
        <v>101823.96952</v>
      </c>
      <c r="L29" s="258">
        <f>L14-N(L15)</f>
        <v>195351.80348</v>
      </c>
      <c r="M29" s="258">
        <f>M14-N(M15)</f>
        <v>235668.227</v>
      </c>
      <c r="N29" s="258">
        <f>N14-N(N15)</f>
        <v>193424.00276</v>
      </c>
      <c r="O29" s="258">
        <f>O14-N(O15)</f>
        <v>156721.154309999</v>
      </c>
      <c r="P29" s="258">
        <f>P14-N(P15)</f>
        <v>190563.345490001</v>
      </c>
      <c r="Q29" s="258">
        <f>Q14-N(Q15)</f>
        <v>213424</v>
      </c>
      <c r="R29" s="258">
        <f>R14-N(R15)</f>
        <v>208082.63300999</v>
      </c>
      <c r="S29" s="258">
        <f>S14-N(S15)</f>
        <v>199211.84191</v>
      </c>
      <c r="T29" s="258">
        <f>T14-N(T15)</f>
        <v>264123.08316</v>
      </c>
      <c r="U29" s="258">
        <f>U14-N(U15)</f>
        <v>290871</v>
      </c>
      <c r="V29" s="258">
        <f>V14-N(V15)</f>
        <v>310588.77903</v>
      </c>
      <c r="W29" s="258">
        <f>W14-N(W15)</f>
        <v>239691.66758</v>
      </c>
      <c r="X29" s="258">
        <f>X14-N(X15)</f>
        <v>293233</v>
      </c>
      <c r="Y29" s="258">
        <f>Y14-N(Y15)</f>
        <v>313597</v>
      </c>
      <c r="Z29" s="258">
        <f>Z14-N(Z15)</f>
        <v>388117.449900001</v>
      </c>
      <c r="AA29" s="258">
        <f>AA14-N(AA15)</f>
        <v>240377.781311575</v>
      </c>
      <c r="AB29" s="258">
        <f>AB14-N(AB15)</f>
        <v>327344.21227111</v>
      </c>
      <c r="AC29" s="258">
        <f>AC14-N(AC15)</f>
        <v>355261</v>
      </c>
      <c r="AD29" s="258">
        <f>AD14-N(AD15)</f>
        <v>323231.9</v>
      </c>
      <c r="AE29" s="258">
        <f>AE14-N(AE15)</f>
        <v>276320</v>
      </c>
      <c r="AF29" s="258">
        <f>AF14-N(AF15)</f>
        <v>395777</v>
      </c>
      <c r="AG29" s="258">
        <f>AG14-N(AG15)</f>
        <v>850546</v>
      </c>
      <c r="AH29" s="258">
        <f>AH14-N(AH15)</f>
        <v>324264.000000031</v>
      </c>
      <c r="AI29" s="258">
        <f>AI14-N(AI15)</f>
        <v>212881</v>
      </c>
      <c r="AJ29" s="258">
        <f>AJ14-N(AJ15)</f>
        <v>236805</v>
      </c>
    </row>
    <row r="30">
      <c r="H30" s="254" t="inlineStr">
        <is>
          <t>BALANCO (aba Balanco Patrimonial; R$ mil, fim de trimestre). Sem coluna Mar.20 na fonte: 1Q20 fica vazio (#N/A no Model). Dez.24, Mar.25 e Jun.25 reapresentados</t>
        </is>
      </c>
    </row>
    <row r="31">
      <c r="A31" t="n">
        <v>11</v>
      </c>
      <c r="B31" t="n">
        <v>1</v>
      </c>
      <c r="G31" t="inlineStr">
        <is>
          <t>moeda</t>
        </is>
      </c>
      <c r="H31" t="inlineStr">
        <is>
          <t>Caixa e equivalentes de caixa (BP l.7)</t>
        </is>
      </c>
      <c r="J31" t="inlineStr">
        <is>
          <t>fonte</t>
        </is>
      </c>
      <c r="K31" s="258" t="n"/>
      <c r="L31" s="258" t="n">
        <v>944126</v>
      </c>
      <c r="M31" s="258" t="n">
        <v>811985</v>
      </c>
      <c r="N31" s="258" t="n">
        <v>2112385</v>
      </c>
      <c r="O31" s="258" t="n">
        <v>1796587.11858</v>
      </c>
      <c r="P31" s="258" t="n">
        <v>1687023</v>
      </c>
      <c r="Q31" s="258" t="n">
        <v>959079</v>
      </c>
      <c r="R31" s="258" t="n">
        <v>877255</v>
      </c>
      <c r="S31" s="258" t="n">
        <v>618570</v>
      </c>
      <c r="T31" s="258" t="n">
        <v>889893</v>
      </c>
      <c r="U31" s="258" t="n">
        <v>694792</v>
      </c>
      <c r="V31" s="258" t="n">
        <v>1795647</v>
      </c>
      <c r="W31" s="258" t="n">
        <v>1671461</v>
      </c>
      <c r="X31" s="258" t="n">
        <v>1355789</v>
      </c>
      <c r="Y31" s="258" t="n">
        <v>1116813</v>
      </c>
      <c r="Z31" s="258" t="n">
        <v>1289138</v>
      </c>
      <c r="AA31" s="258" t="n">
        <v>1341031</v>
      </c>
      <c r="AB31" s="258" t="n">
        <v>1240114</v>
      </c>
      <c r="AC31" s="258" t="n">
        <v>698687</v>
      </c>
      <c r="AD31" s="258" t="n">
        <v>1664167</v>
      </c>
      <c r="AE31" s="258" t="n">
        <v>1520551</v>
      </c>
      <c r="AF31" s="258" t="n">
        <v>1027777</v>
      </c>
      <c r="AG31" s="258" t="n">
        <v>1182893</v>
      </c>
      <c r="AH31" s="258" t="n">
        <v>1801712</v>
      </c>
      <c r="AI31" s="258" t="n">
        <v>1984238</v>
      </c>
      <c r="AJ31" s="258" t="n">
        <v>1631590</v>
      </c>
    </row>
    <row r="32">
      <c r="A32" t="n">
        <v>12</v>
      </c>
      <c r="B32" t="n">
        <v>1</v>
      </c>
      <c r="G32" t="inlineStr">
        <is>
          <t>moeda</t>
        </is>
      </c>
      <c r="H32" t="inlineStr">
        <is>
          <t>Contas a receber (BP l.8)</t>
        </is>
      </c>
      <c r="J32" t="inlineStr">
        <is>
          <t>fonte</t>
        </is>
      </c>
      <c r="K32" s="258" t="n"/>
      <c r="L32" s="258" t="n">
        <v>964031</v>
      </c>
      <c r="M32" s="258" t="n">
        <v>995203.22796018</v>
      </c>
      <c r="N32" s="258" t="n">
        <v>1305457.62749007</v>
      </c>
      <c r="O32" s="258" t="n">
        <v>1277833.93346995</v>
      </c>
      <c r="P32" s="258" t="n">
        <v>1462541.5939301</v>
      </c>
      <c r="Q32" s="258" t="n">
        <v>1544314</v>
      </c>
      <c r="R32" s="258" t="n">
        <v>1816264</v>
      </c>
      <c r="S32" s="258" t="n">
        <v>1872825</v>
      </c>
      <c r="T32" s="258" t="n">
        <v>2080076.44904</v>
      </c>
      <c r="U32" s="258" t="n">
        <v>2377348.25629</v>
      </c>
      <c r="V32" s="258" t="n">
        <v>2548256.31124</v>
      </c>
      <c r="W32" s="258" t="n">
        <v>2385043.30103</v>
      </c>
      <c r="X32" s="258" t="n">
        <v>2582667</v>
      </c>
      <c r="Y32" s="258" t="n">
        <v>2868599</v>
      </c>
      <c r="Z32" s="258" t="n">
        <v>3457627.98322</v>
      </c>
      <c r="AA32" s="258" t="n">
        <v>3085517</v>
      </c>
      <c r="AB32" s="258" t="n">
        <v>3181456.70197</v>
      </c>
      <c r="AC32" s="258" t="n">
        <v>3509695</v>
      </c>
      <c r="AD32" s="258" t="n">
        <v>3399130</v>
      </c>
      <c r="AE32" s="258" t="n">
        <v>3650849</v>
      </c>
      <c r="AF32" s="258" t="n">
        <v>3621480</v>
      </c>
      <c r="AG32" s="258" t="n">
        <v>3964078</v>
      </c>
      <c r="AH32" s="258" t="n">
        <v>4080890</v>
      </c>
      <c r="AI32" s="258" t="n">
        <v>4013107</v>
      </c>
      <c r="AJ32" s="258" t="n">
        <v>3959317</v>
      </c>
    </row>
    <row r="33">
      <c r="A33" t="n">
        <v>13</v>
      </c>
      <c r="B33" t="n">
        <v>1</v>
      </c>
      <c r="G33" t="inlineStr">
        <is>
          <t>moeda</t>
        </is>
      </c>
      <c r="H33" t="inlineStr">
        <is>
          <t>Estoques (BP l.9)</t>
        </is>
      </c>
      <c r="J33" t="inlineStr">
        <is>
          <t>fonte</t>
        </is>
      </c>
      <c r="K33" s="258" t="n"/>
      <c r="L33" s="258" t="n">
        <v>1587934</v>
      </c>
      <c r="M33" s="258" t="n">
        <v>2092272.66586999</v>
      </c>
      <c r="N33" s="258" t="n">
        <v>2617533</v>
      </c>
      <c r="O33" s="258" t="n">
        <v>2637474.43892005</v>
      </c>
      <c r="P33" s="258" t="n">
        <v>2826493.0335399</v>
      </c>
      <c r="Q33" s="258" t="n">
        <v>3492306</v>
      </c>
      <c r="R33" s="258" t="n">
        <v>3498630</v>
      </c>
      <c r="S33" s="258" t="n">
        <v>3803451</v>
      </c>
      <c r="T33" s="258" t="n">
        <v>3994994</v>
      </c>
      <c r="U33" s="258" t="n">
        <v>4666193</v>
      </c>
      <c r="V33" s="258" t="n">
        <v>3985375</v>
      </c>
      <c r="W33" s="258" t="n">
        <v>4436302</v>
      </c>
      <c r="X33" s="258" t="n">
        <v>4693948</v>
      </c>
      <c r="Y33" s="258" t="n">
        <v>4939475</v>
      </c>
      <c r="Z33" s="258" t="n">
        <v>5087655</v>
      </c>
      <c r="AA33" s="258" t="n">
        <v>4957342</v>
      </c>
      <c r="AB33" s="258" t="n">
        <v>5294057</v>
      </c>
      <c r="AC33" s="258" t="n">
        <v>5963407</v>
      </c>
      <c r="AD33" s="258" t="n">
        <v>4939518</v>
      </c>
      <c r="AE33" s="258" t="n">
        <v>5242901</v>
      </c>
      <c r="AF33" s="258" t="n">
        <v>5020008</v>
      </c>
      <c r="AG33" s="258" t="n">
        <v>5730287</v>
      </c>
      <c r="AH33" s="258" t="n">
        <v>5170062</v>
      </c>
      <c r="AI33" s="258" t="n">
        <v>5221233</v>
      </c>
      <c r="AJ33" s="258" t="n">
        <v>5736020</v>
      </c>
    </row>
    <row r="34">
      <c r="A34" t="n">
        <v>16</v>
      </c>
      <c r="B34" t="n">
        <v>1</v>
      </c>
      <c r="G34" t="inlineStr">
        <is>
          <t>moeda</t>
        </is>
      </c>
      <c r="H34" t="inlineStr">
        <is>
          <t>Tributos a recuperar (BP l.10)</t>
        </is>
      </c>
      <c r="J34" t="inlineStr">
        <is>
          <t>fonte</t>
        </is>
      </c>
      <c r="K34" s="258" t="n"/>
      <c r="L34" s="258" t="n">
        <v>26293</v>
      </c>
      <c r="M34" s="258" t="n">
        <v>89935.83631</v>
      </c>
      <c r="N34" s="258" t="n">
        <v>21882</v>
      </c>
      <c r="O34" s="258" t="n">
        <v>96079.42739</v>
      </c>
      <c r="P34" s="258" t="n">
        <v>87231.1024</v>
      </c>
      <c r="Q34" s="258" t="n">
        <v>92043</v>
      </c>
      <c r="R34" s="258" t="n">
        <v>67338</v>
      </c>
      <c r="S34" s="258" t="n">
        <v>105261</v>
      </c>
      <c r="T34" s="258" t="n">
        <v>88476</v>
      </c>
      <c r="U34" s="258" t="n">
        <v>106728</v>
      </c>
      <c r="V34" s="258" t="n">
        <v>379672</v>
      </c>
      <c r="W34" s="258" t="n">
        <v>388410</v>
      </c>
      <c r="X34" s="258" t="n">
        <v>326169</v>
      </c>
      <c r="Y34" s="258" t="n">
        <v>249090</v>
      </c>
      <c r="Z34" s="258" t="n">
        <v>419631</v>
      </c>
      <c r="AA34" s="258" t="n">
        <v>459811</v>
      </c>
      <c r="AB34" s="258" t="n">
        <v>527238</v>
      </c>
      <c r="AC34" s="258" t="n">
        <v>527556</v>
      </c>
      <c r="AD34" s="258" t="n">
        <v>605142</v>
      </c>
      <c r="AE34" s="258" t="n">
        <v>684671</v>
      </c>
      <c r="AF34" s="258" t="n">
        <v>683545</v>
      </c>
      <c r="AG34" s="258" t="n">
        <v>1122231</v>
      </c>
      <c r="AH34" s="258" t="n">
        <v>1312606</v>
      </c>
      <c r="AI34" s="258" t="n">
        <v>1307822</v>
      </c>
      <c r="AJ34" s="258" t="n">
        <v>1294163</v>
      </c>
    </row>
    <row r="35">
      <c r="A35" t="n">
        <v>16</v>
      </c>
      <c r="B35" t="n">
        <v>1</v>
      </c>
      <c r="G35" t="inlineStr">
        <is>
          <t>moeda</t>
        </is>
      </c>
      <c r="H35" t="inlineStr">
        <is>
          <t>Outros ativos CP (BP l.11)</t>
        </is>
      </c>
      <c r="J35" t="inlineStr">
        <is>
          <t>fonte</t>
        </is>
      </c>
      <c r="K35" s="258" t="n"/>
      <c r="L35" s="258" t="n">
        <v>11679</v>
      </c>
      <c r="M35" s="258" t="n">
        <v>8636.89042</v>
      </c>
      <c r="N35" s="258" t="n">
        <v>8757.604859999999</v>
      </c>
      <c r="O35" s="258" t="n">
        <v>12175.46278</v>
      </c>
      <c r="P35" s="258" t="n">
        <v>46294</v>
      </c>
      <c r="Q35" s="258" t="n">
        <v>118729</v>
      </c>
      <c r="R35" s="258" t="n">
        <v>12670</v>
      </c>
      <c r="S35" s="258" t="n">
        <v>29611</v>
      </c>
      <c r="T35" s="258" t="n">
        <v>30402</v>
      </c>
      <c r="U35" s="258" t="n">
        <v>41710</v>
      </c>
      <c r="V35" s="258" t="n">
        <v>91317</v>
      </c>
      <c r="W35" s="258" t="n">
        <v>140407</v>
      </c>
      <c r="X35" s="258" t="n">
        <v>118904</v>
      </c>
      <c r="Y35" s="258" t="n">
        <v>132658</v>
      </c>
      <c r="Z35" s="258" t="n">
        <v>116483</v>
      </c>
      <c r="AA35" s="258" t="n">
        <v>160371</v>
      </c>
      <c r="AB35" s="258" t="n">
        <v>186466</v>
      </c>
      <c r="AC35" s="258" t="n">
        <v>233914</v>
      </c>
      <c r="AD35" s="258" t="n">
        <v>253517</v>
      </c>
      <c r="AE35" s="258" t="n">
        <v>312504</v>
      </c>
      <c r="AF35" s="258" t="n">
        <v>363516</v>
      </c>
      <c r="AG35" s="258" t="n">
        <v>388556</v>
      </c>
      <c r="AH35" s="258" t="n">
        <v>388275</v>
      </c>
      <c r="AI35" s="258" t="n">
        <v>426112</v>
      </c>
      <c r="AJ35" s="258" t="n">
        <v>454790</v>
      </c>
    </row>
    <row r="36">
      <c r="A36" t="n">
        <v>11</v>
      </c>
      <c r="B36" t="n">
        <v>1</v>
      </c>
      <c r="G36" t="inlineStr">
        <is>
          <t>moeda</t>
        </is>
      </c>
      <c r="H36" t="inlineStr">
        <is>
          <t>Aplicações financeiras (BP l.15)</t>
        </is>
      </c>
      <c r="J36" t="inlineStr">
        <is>
          <t>fonte</t>
        </is>
      </c>
      <c r="K36" s="258" t="n"/>
      <c r="L36" s="258" t="n">
        <v>14603</v>
      </c>
      <c r="M36" s="258" t="n">
        <v>4931.07241</v>
      </c>
      <c r="N36" s="258" t="n">
        <v>14965.10725</v>
      </c>
      <c r="O36" s="258" t="n">
        <v>1359.61967</v>
      </c>
      <c r="P36" s="258" t="n">
        <v>1357.19428</v>
      </c>
      <c r="Q36" s="258" t="n">
        <v>1338</v>
      </c>
      <c r="R36" s="258" t="n">
        <v>3071</v>
      </c>
      <c r="S36" s="258" t="n">
        <v>2370</v>
      </c>
      <c r="T36" s="258" t="n">
        <v>1287</v>
      </c>
      <c r="U36" s="258" t="n">
        <v>1815</v>
      </c>
      <c r="V36" s="258" t="n">
        <v>1508</v>
      </c>
      <c r="W36" s="258" t="n">
        <v>1204</v>
      </c>
      <c r="X36" s="258" t="n">
        <v>1681</v>
      </c>
      <c r="Y36" s="258" t="n">
        <v>824</v>
      </c>
      <c r="Z36" s="258" t="n">
        <v>882</v>
      </c>
      <c r="AA36" s="258" t="n">
        <v>264</v>
      </c>
      <c r="AB36" s="258" t="n">
        <v>331</v>
      </c>
      <c r="AC36" s="258" t="n">
        <v>112</v>
      </c>
      <c r="AD36" s="258" t="n">
        <v>46</v>
      </c>
      <c r="AE36" s="258" t="n">
        <v>46</v>
      </c>
      <c r="AF36" s="258" t="n">
        <v>46</v>
      </c>
      <c r="AG36" s="258" t="n">
        <v>46</v>
      </c>
      <c r="AH36" s="258" t="n">
        <v>0</v>
      </c>
      <c r="AI36" s="258" t="n">
        <v>0</v>
      </c>
      <c r="AJ36" s="258" t="n">
        <v>0</v>
      </c>
    </row>
    <row r="37">
      <c r="A37" t="n">
        <v>22</v>
      </c>
      <c r="B37" t="n">
        <v>1</v>
      </c>
      <c r="G37" t="inlineStr">
        <is>
          <t>moeda</t>
        </is>
      </c>
      <c r="H37" t="inlineStr">
        <is>
          <t>Partes relacionadas (BP l.16)</t>
        </is>
      </c>
      <c r="J37" t="inlineStr">
        <is>
          <t>fonte</t>
        </is>
      </c>
      <c r="K37" s="258" t="n"/>
      <c r="L37" s="258" t="n">
        <v>48406</v>
      </c>
      <c r="M37" s="258" t="n">
        <v>46416.91311</v>
      </c>
      <c r="N37" s="258" t="n">
        <v>22165.79462</v>
      </c>
      <c r="O37" s="258" t="n">
        <v>8402.25683</v>
      </c>
      <c r="P37" s="258" t="n">
        <v>19673.12111</v>
      </c>
      <c r="Q37" s="258" t="n">
        <v>6767</v>
      </c>
      <c r="R37" s="258" t="n">
        <v>7321</v>
      </c>
      <c r="S37" s="258" t="n">
        <v>7285</v>
      </c>
      <c r="T37" s="258" t="n">
        <v>8607</v>
      </c>
      <c r="U37" s="258" t="n">
        <v>5824.68171</v>
      </c>
      <c r="V37" s="258" t="n">
        <v>7237.63351000001</v>
      </c>
      <c r="W37" s="258" t="n">
        <v>6438.92086000001</v>
      </c>
      <c r="X37" s="258" t="n">
        <v>6568</v>
      </c>
      <c r="Y37" s="258" t="n">
        <v>5616</v>
      </c>
      <c r="Z37" s="258" t="n">
        <v>103.810720000067</v>
      </c>
      <c r="AA37" s="258" t="n">
        <v>47</v>
      </c>
      <c r="AB37" s="258" t="n">
        <v>18</v>
      </c>
      <c r="AC37" s="258" t="n">
        <v>32</v>
      </c>
      <c r="AD37" s="258" t="n">
        <v>114</v>
      </c>
      <c r="AE37" s="258" t="n">
        <v>47</v>
      </c>
      <c r="AF37" s="258" t="n">
        <v>71.1059800001094</v>
      </c>
      <c r="AG37" s="258" t="n">
        <v>95</v>
      </c>
      <c r="AH37" s="258" t="n">
        <v>39</v>
      </c>
      <c r="AI37" s="258" t="n">
        <v>30</v>
      </c>
      <c r="AJ37" s="258" t="n">
        <v>0</v>
      </c>
    </row>
    <row r="38">
      <c r="A38" t="n">
        <v>22</v>
      </c>
      <c r="B38" t="n">
        <v>1</v>
      </c>
      <c r="G38" t="inlineStr">
        <is>
          <t>moeda</t>
        </is>
      </c>
      <c r="H38" t="inlineStr">
        <is>
          <t>Tributos a recuperar (BP l.17)</t>
        </is>
      </c>
      <c r="J38" t="inlineStr">
        <is>
          <t>fonte</t>
        </is>
      </c>
      <c r="K38" s="258" t="n"/>
      <c r="L38" s="258" t="n">
        <v>89579</v>
      </c>
      <c r="M38" s="258" t="n">
        <v>39974.06315</v>
      </c>
      <c r="N38" s="258" t="n">
        <v>140240</v>
      </c>
      <c r="O38" s="258" t="n">
        <v>78592.84951</v>
      </c>
      <c r="P38" s="258" t="n">
        <v>95340.87715</v>
      </c>
      <c r="Q38" s="258" t="n">
        <v>112499</v>
      </c>
      <c r="R38" s="258" t="n">
        <v>135289</v>
      </c>
      <c r="S38" s="258" t="n">
        <v>117179</v>
      </c>
      <c r="T38" s="258" t="n">
        <v>139337</v>
      </c>
      <c r="U38" s="258" t="n">
        <v>155282</v>
      </c>
      <c r="V38" s="258" t="n">
        <v>165856</v>
      </c>
      <c r="W38" s="258" t="n">
        <v>177915</v>
      </c>
      <c r="X38" s="258" t="n">
        <v>300858</v>
      </c>
      <c r="Y38" s="258" t="n">
        <v>320271</v>
      </c>
      <c r="Z38" s="258" t="n">
        <v>239491</v>
      </c>
      <c r="AA38" s="258" t="n">
        <v>245638</v>
      </c>
      <c r="AB38" s="258" t="n">
        <v>262028</v>
      </c>
      <c r="AC38" s="258" t="n">
        <v>278177</v>
      </c>
      <c r="AD38" s="258" t="n">
        <v>227784</v>
      </c>
      <c r="AE38" s="258" t="n">
        <v>244789</v>
      </c>
      <c r="AF38" s="258" t="n">
        <v>486035</v>
      </c>
      <c r="AG38" s="258" t="n">
        <v>600278</v>
      </c>
      <c r="AH38" s="258" t="n">
        <v>548224</v>
      </c>
      <c r="AI38" s="258" t="n">
        <v>577770</v>
      </c>
      <c r="AJ38" s="258" t="n">
        <v>674844</v>
      </c>
    </row>
    <row r="39">
      <c r="A39" t="n">
        <v>14</v>
      </c>
      <c r="B39" t="n">
        <v>1</v>
      </c>
      <c r="G39" t="inlineStr">
        <is>
          <t>moeda</t>
        </is>
      </c>
      <c r="H39" t="inlineStr">
        <is>
          <t>Imposto de renda e contribuição social diferidos (BP l.18)</t>
        </is>
      </c>
      <c r="J39" t="inlineStr">
        <is>
          <t>fonte</t>
        </is>
      </c>
      <c r="K39" s="258" t="n"/>
      <c r="L39" s="258" t="n">
        <v>0</v>
      </c>
      <c r="M39" s="258" t="n">
        <v>0</v>
      </c>
      <c r="N39" s="258" t="n">
        <v>0</v>
      </c>
      <c r="O39" s="258" t="n">
        <v>0</v>
      </c>
      <c r="P39" s="258" t="n">
        <v>0</v>
      </c>
      <c r="Q39" s="258" t="n">
        <v>0</v>
      </c>
      <c r="R39" s="258" t="n">
        <v>0</v>
      </c>
      <c r="S39" s="258" t="n">
        <v>0</v>
      </c>
      <c r="T39" s="258" t="n">
        <v>0</v>
      </c>
      <c r="U39" s="258" t="n">
        <v>0</v>
      </c>
      <c r="V39" s="258" t="n">
        <v>0</v>
      </c>
      <c r="W39" s="258" t="n">
        <v>0</v>
      </c>
      <c r="X39" s="258" t="n">
        <v>0</v>
      </c>
      <c r="Y39" s="258" t="n">
        <v>0</v>
      </c>
      <c r="Z39" s="258" t="n">
        <v>0</v>
      </c>
      <c r="AA39" s="258" t="n">
        <v>42100</v>
      </c>
      <c r="AB39" s="258" t="n">
        <v>139576</v>
      </c>
      <c r="AC39" s="258" t="n">
        <v>203290</v>
      </c>
      <c r="AD39" s="258" t="n">
        <v>503543</v>
      </c>
      <c r="AE39" s="258" t="n">
        <v>599643</v>
      </c>
      <c r="AF39" s="258" t="n">
        <v>306893</v>
      </c>
      <c r="AG39" s="258" t="n">
        <v>802623</v>
      </c>
      <c r="AH39" s="258" t="n">
        <v>866468</v>
      </c>
      <c r="AI39" s="258" t="n">
        <v>908878</v>
      </c>
      <c r="AJ39" s="258" t="n">
        <v>899443</v>
      </c>
    </row>
    <row r="40">
      <c r="A40" t="n">
        <v>22</v>
      </c>
      <c r="B40" t="n">
        <v>1</v>
      </c>
      <c r="G40" t="inlineStr">
        <is>
          <t>moeda</t>
        </is>
      </c>
      <c r="H40" t="inlineStr">
        <is>
          <t>Outros ativos (BP l.19)</t>
        </is>
      </c>
      <c r="J40" t="inlineStr">
        <is>
          <t>fonte</t>
        </is>
      </c>
      <c r="K40" s="258" t="n"/>
      <c r="L40" s="258" t="n">
        <v>479</v>
      </c>
      <c r="M40" s="258" t="n">
        <v>912.7711399999999</v>
      </c>
      <c r="N40" s="258" t="n">
        <v>1618.65231</v>
      </c>
      <c r="O40" s="258" t="n">
        <v>1528.27243</v>
      </c>
      <c r="P40" s="258" t="n">
        <v>1012.13588</v>
      </c>
      <c r="Q40" s="258" t="n">
        <v>21663</v>
      </c>
      <c r="R40" s="258" t="n">
        <v>28868</v>
      </c>
      <c r="S40" s="258" t="n">
        <v>28421</v>
      </c>
      <c r="T40" s="258" t="n">
        <v>33049</v>
      </c>
      <c r="U40" s="258" t="n">
        <v>39870</v>
      </c>
      <c r="V40" s="258" t="n">
        <v>42746</v>
      </c>
      <c r="W40" s="258" t="n">
        <v>48895</v>
      </c>
      <c r="X40" s="258" t="n">
        <v>99377</v>
      </c>
      <c r="Y40" s="258" t="n">
        <v>87216</v>
      </c>
      <c r="Z40" s="258" t="n">
        <v>84444</v>
      </c>
      <c r="AA40" s="258" t="n">
        <v>95970</v>
      </c>
      <c r="AB40" s="258" t="n">
        <v>102885</v>
      </c>
      <c r="AC40" s="258" t="n">
        <v>106667</v>
      </c>
      <c r="AD40" s="258" t="n">
        <v>81824</v>
      </c>
      <c r="AE40" s="258" t="n">
        <v>65887</v>
      </c>
      <c r="AF40" s="258" t="n">
        <v>201382</v>
      </c>
      <c r="AG40" s="258" t="n">
        <v>65589</v>
      </c>
      <c r="AH40" s="258" t="n">
        <v>110796</v>
      </c>
      <c r="AI40" s="258" t="n">
        <v>142466</v>
      </c>
      <c r="AJ40" s="258" t="n">
        <v>161601</v>
      </c>
    </row>
    <row r="41">
      <c r="A41" t="n">
        <v>22</v>
      </c>
      <c r="B41" t="n">
        <v>1</v>
      </c>
      <c r="G41" t="inlineStr">
        <is>
          <t>moeda</t>
        </is>
      </c>
      <c r="H41" t="inlineStr">
        <is>
          <t>Depósitos judiciais (BP l.20)</t>
        </is>
      </c>
      <c r="J41" t="inlineStr">
        <is>
          <t>fonte</t>
        </is>
      </c>
      <c r="K41" s="258" t="n"/>
      <c r="L41" s="258" t="n">
        <v>13300</v>
      </c>
      <c r="M41" s="258" t="n">
        <v>14947.11319</v>
      </c>
      <c r="N41" s="258" t="n">
        <v>14757.34487</v>
      </c>
      <c r="O41" s="258" t="n">
        <v>15148.74623</v>
      </c>
      <c r="P41" s="258" t="n">
        <v>15320.57028</v>
      </c>
      <c r="Q41" s="258" t="n">
        <v>15900</v>
      </c>
      <c r="R41" s="258" t="n">
        <v>16340</v>
      </c>
      <c r="S41" s="258" t="n">
        <v>16480</v>
      </c>
      <c r="T41" s="258" t="n">
        <v>17840</v>
      </c>
      <c r="U41" s="258" t="n">
        <v>19502</v>
      </c>
      <c r="V41" s="258" t="n">
        <v>20808</v>
      </c>
      <c r="W41" s="258" t="n">
        <v>22319</v>
      </c>
      <c r="X41" s="258" t="n">
        <v>24494</v>
      </c>
      <c r="Y41" s="258" t="n">
        <v>26300</v>
      </c>
      <c r="Z41" s="258" t="n">
        <v>27436</v>
      </c>
      <c r="AA41" s="258" t="n">
        <v>30604</v>
      </c>
      <c r="AB41" s="258" t="n">
        <v>28768</v>
      </c>
      <c r="AC41" s="258" t="n">
        <v>29568</v>
      </c>
      <c r="AD41" s="258" t="n">
        <v>30637</v>
      </c>
      <c r="AE41" s="258" t="n">
        <v>29720</v>
      </c>
      <c r="AF41" s="258" t="n">
        <v>24282</v>
      </c>
      <c r="AG41" s="258" t="n">
        <v>25800</v>
      </c>
      <c r="AH41" s="258" t="n">
        <v>19357</v>
      </c>
      <c r="AI41" s="258" t="n">
        <v>18802</v>
      </c>
      <c r="AJ41" s="258" t="n">
        <v>18219</v>
      </c>
    </row>
    <row r="42">
      <c r="A42" t="n">
        <v>19</v>
      </c>
      <c r="B42" t="n">
        <v>1</v>
      </c>
      <c r="G42" t="inlineStr">
        <is>
          <t>moeda</t>
        </is>
      </c>
      <c r="H42" t="inlineStr">
        <is>
          <t>Ativos de direito de uso (BP l.21)</t>
        </is>
      </c>
      <c r="J42" t="inlineStr">
        <is>
          <t>fonte</t>
        </is>
      </c>
      <c r="K42" s="258" t="n"/>
      <c r="L42" s="258" t="n">
        <v>464426</v>
      </c>
      <c r="M42" s="258" t="n">
        <v>539476.82052</v>
      </c>
      <c r="N42" s="258" t="n">
        <v>597051.35882</v>
      </c>
      <c r="O42" s="258" t="n">
        <v>662079.67344</v>
      </c>
      <c r="P42" s="258" t="n">
        <v>703265.9924700001</v>
      </c>
      <c r="Q42" s="258" t="n">
        <v>830842</v>
      </c>
      <c r="R42" s="258" t="n">
        <v>907504</v>
      </c>
      <c r="S42" s="258" t="n">
        <v>998229</v>
      </c>
      <c r="T42" s="258" t="n">
        <v>1194760</v>
      </c>
      <c r="U42" s="258" t="n">
        <v>1257424</v>
      </c>
      <c r="V42" s="258" t="n">
        <v>1260815</v>
      </c>
      <c r="W42" s="258" t="n">
        <v>1330053</v>
      </c>
      <c r="X42" s="258" t="n">
        <v>1564699</v>
      </c>
      <c r="Y42" s="258" t="n">
        <v>1774395</v>
      </c>
      <c r="Z42" s="258" t="n">
        <v>1850811</v>
      </c>
      <c r="AA42" s="258" t="n">
        <v>2021405</v>
      </c>
      <c r="AB42" s="258" t="n">
        <v>1866203</v>
      </c>
      <c r="AC42" s="258" t="n">
        <v>1884077</v>
      </c>
      <c r="AD42" s="258" t="n">
        <v>2036014</v>
      </c>
      <c r="AE42" s="258" t="n">
        <v>2339617</v>
      </c>
      <c r="AF42" s="258" t="n">
        <v>2641269</v>
      </c>
      <c r="AG42" s="258" t="n">
        <v>3539580</v>
      </c>
      <c r="AH42" s="258" t="n">
        <v>3654264</v>
      </c>
      <c r="AI42" s="258" t="n">
        <v>3696106</v>
      </c>
      <c r="AJ42" s="258" t="n">
        <v>3867883</v>
      </c>
    </row>
    <row r="43">
      <c r="A43" t="n">
        <v>17</v>
      </c>
      <c r="B43" t="n">
        <v>1</v>
      </c>
      <c r="G43" t="inlineStr">
        <is>
          <t>moeda</t>
        </is>
      </c>
      <c r="H43" t="inlineStr">
        <is>
          <t>Investimentos (BP l.22)</t>
        </is>
      </c>
      <c r="J43" t="inlineStr">
        <is>
          <t>fonte</t>
        </is>
      </c>
      <c r="K43" s="258" t="n"/>
      <c r="L43" s="258" t="n">
        <v>0</v>
      </c>
      <c r="M43" s="258" t="n">
        <v>0</v>
      </c>
      <c r="N43" s="258" t="n">
        <v>0</v>
      </c>
      <c r="O43" s="258" t="n">
        <v>0</v>
      </c>
      <c r="P43" s="258" t="n">
        <v>0</v>
      </c>
      <c r="Q43" s="258" t="n">
        <v>0</v>
      </c>
      <c r="R43" s="258" t="n">
        <v>0</v>
      </c>
      <c r="S43" s="258" t="n">
        <v>0</v>
      </c>
      <c r="T43" s="258" t="n">
        <v>0</v>
      </c>
      <c r="U43" s="258" t="n">
        <v>0</v>
      </c>
      <c r="V43" s="258" t="n">
        <v>0</v>
      </c>
      <c r="W43" s="258" t="n">
        <v>0</v>
      </c>
      <c r="X43" s="258" t="n">
        <v>0</v>
      </c>
      <c r="Y43" s="258" t="n">
        <v>0</v>
      </c>
      <c r="Z43" s="258" t="n">
        <v>19238</v>
      </c>
      <c r="AA43" s="258" t="n">
        <v>43168</v>
      </c>
      <c r="AB43" s="258" t="n">
        <v>43164</v>
      </c>
      <c r="AC43" s="258" t="n">
        <v>43144</v>
      </c>
      <c r="AD43" s="258" t="n">
        <v>43144</v>
      </c>
      <c r="AE43" s="258" t="n">
        <v>55844</v>
      </c>
      <c r="AF43" s="258" t="n">
        <v>428234</v>
      </c>
      <c r="AG43" s="258" t="n">
        <v>55844</v>
      </c>
      <c r="AH43" s="258" t="n">
        <v>0</v>
      </c>
      <c r="AI43" s="258" t="n">
        <v>0</v>
      </c>
      <c r="AJ43" s="258" t="n">
        <v>0</v>
      </c>
    </row>
    <row r="44">
      <c r="A44" t="n">
        <v>21</v>
      </c>
      <c r="B44" t="n">
        <v>1</v>
      </c>
      <c r="G44" t="inlineStr">
        <is>
          <t>moeda</t>
        </is>
      </c>
      <c r="H44" t="inlineStr">
        <is>
          <t>Intangível (BP l.23)</t>
        </is>
      </c>
      <c r="J44" t="inlineStr">
        <is>
          <t>fonte</t>
        </is>
      </c>
      <c r="K44" s="258" t="n"/>
      <c r="L44" s="258" t="n">
        <v>450</v>
      </c>
      <c r="M44" s="258" t="n">
        <v>450</v>
      </c>
      <c r="N44" s="258" t="n">
        <v>450</v>
      </c>
      <c r="O44" s="258" t="n">
        <v>3239.99999</v>
      </c>
      <c r="P44" s="258" t="n">
        <v>3189.99998</v>
      </c>
      <c r="Q44" s="258" t="n">
        <v>2606</v>
      </c>
      <c r="R44" s="258" t="n">
        <v>2556</v>
      </c>
      <c r="S44" s="258" t="n">
        <v>2506</v>
      </c>
      <c r="T44" s="258" t="n">
        <v>2456</v>
      </c>
      <c r="U44" s="258" t="n">
        <v>2406</v>
      </c>
      <c r="V44" s="258" t="n">
        <v>4515</v>
      </c>
      <c r="W44" s="258" t="n">
        <v>11951</v>
      </c>
      <c r="X44" s="258" t="n">
        <v>26200</v>
      </c>
      <c r="Y44" s="258" t="n">
        <v>30907</v>
      </c>
      <c r="Z44" s="258" t="n">
        <v>33840</v>
      </c>
      <c r="AA44" s="258" t="n">
        <v>39202</v>
      </c>
      <c r="AB44" s="258" t="n">
        <v>43174</v>
      </c>
      <c r="AC44" s="258" t="n">
        <v>46893</v>
      </c>
      <c r="AD44" s="258" t="n">
        <v>61160</v>
      </c>
      <c r="AE44" s="258" t="n">
        <v>63831</v>
      </c>
      <c r="AF44" s="258" t="n">
        <v>69687</v>
      </c>
      <c r="AG44" s="258" t="n">
        <v>729491</v>
      </c>
      <c r="AH44" s="258" t="n">
        <v>651724</v>
      </c>
      <c r="AI44" s="258" t="n">
        <v>663084</v>
      </c>
      <c r="AJ44" s="258" t="n">
        <v>748934</v>
      </c>
    </row>
    <row r="45">
      <c r="A45" t="n">
        <v>18</v>
      </c>
      <c r="B45" t="n">
        <v>1</v>
      </c>
      <c r="G45" t="inlineStr">
        <is>
          <t>moeda</t>
        </is>
      </c>
      <c r="H45" t="inlineStr">
        <is>
          <t>Imobilizado (BP l.24)</t>
        </is>
      </c>
      <c r="J45" t="inlineStr">
        <is>
          <t>fonte</t>
        </is>
      </c>
      <c r="K45" s="258" t="n"/>
      <c r="L45" s="258" t="n">
        <v>965038</v>
      </c>
      <c r="M45" s="258" t="n">
        <v>1115377.81244</v>
      </c>
      <c r="N45" s="258" t="n">
        <v>1341446.87548</v>
      </c>
      <c r="O45" s="258" t="n">
        <v>1591003.531</v>
      </c>
      <c r="P45" s="258" t="n">
        <v>1809858.66171</v>
      </c>
      <c r="Q45" s="258" t="n">
        <v>2007877</v>
      </c>
      <c r="R45" s="258" t="n">
        <v>2581885</v>
      </c>
      <c r="S45" s="258" t="n">
        <v>2857882</v>
      </c>
      <c r="T45" s="258" t="n">
        <v>2953797</v>
      </c>
      <c r="U45" s="258" t="n">
        <v>3018884</v>
      </c>
      <c r="V45" s="258" t="n">
        <v>2960185</v>
      </c>
      <c r="W45" s="258" t="n">
        <v>3105771</v>
      </c>
      <c r="X45" s="258" t="n">
        <v>3276785</v>
      </c>
      <c r="Y45" s="258" t="n">
        <v>3504174</v>
      </c>
      <c r="Z45" s="258" t="n">
        <v>3730515</v>
      </c>
      <c r="AA45" s="258" t="n">
        <v>3996864</v>
      </c>
      <c r="AB45" s="258" t="n">
        <v>4215529</v>
      </c>
      <c r="AC45" s="258" t="n">
        <v>4375436</v>
      </c>
      <c r="AD45" s="258" t="n">
        <v>4382427</v>
      </c>
      <c r="AE45" s="258" t="n">
        <v>4531517</v>
      </c>
      <c r="AF45" s="258" t="n">
        <v>4792495</v>
      </c>
      <c r="AG45" s="258" t="n">
        <v>5488702</v>
      </c>
      <c r="AH45" s="258" t="n">
        <v>5747597</v>
      </c>
      <c r="AI45" s="258" t="n">
        <v>5777757</v>
      </c>
      <c r="AJ45" s="258" t="n">
        <v>5706318</v>
      </c>
    </row>
    <row r="46">
      <c r="A46" t="n">
        <v>23</v>
      </c>
      <c r="B46" t="n">
        <v>1</v>
      </c>
      <c r="G46" t="inlineStr">
        <is>
          <t>moeda</t>
        </is>
      </c>
      <c r="H46" t="inlineStr">
        <is>
          <t>Fornecedores (BP l.32)</t>
        </is>
      </c>
      <c r="J46" t="inlineStr">
        <is>
          <t>fonte</t>
        </is>
      </c>
      <c r="K46" s="258" t="n"/>
      <c r="L46" s="258" t="n">
        <v>694082</v>
      </c>
      <c r="M46" s="258" t="n">
        <v>947405.58199</v>
      </c>
      <c r="N46" s="258" t="n">
        <v>944604.6996000001</v>
      </c>
      <c r="O46" s="258" t="n">
        <v>717979.88696</v>
      </c>
      <c r="P46" s="258" t="n">
        <v>1041789.91181</v>
      </c>
      <c r="Q46" s="258" t="n">
        <v>1042603</v>
      </c>
      <c r="R46" s="258" t="n">
        <v>1056585</v>
      </c>
      <c r="S46" s="258" t="n">
        <v>1260097</v>
      </c>
      <c r="T46" s="258" t="n">
        <v>1617196</v>
      </c>
      <c r="U46" s="258" t="n">
        <v>1436143</v>
      </c>
      <c r="V46" s="258" t="n">
        <v>2008574</v>
      </c>
      <c r="W46" s="258" t="n">
        <v>2198248</v>
      </c>
      <c r="X46" s="258" t="n">
        <v>2183737</v>
      </c>
      <c r="Y46" s="258" t="n">
        <v>2308076</v>
      </c>
      <c r="Z46" s="258" t="n">
        <v>3039206</v>
      </c>
      <c r="AA46" s="258" t="n">
        <v>2623383</v>
      </c>
      <c r="AB46" s="258" t="n">
        <v>2787903</v>
      </c>
      <c r="AC46" s="258" t="n">
        <v>2958921</v>
      </c>
      <c r="AD46" s="258" t="n">
        <v>3078569</v>
      </c>
      <c r="AE46" s="258" t="n">
        <v>3755177</v>
      </c>
      <c r="AF46" s="258" t="n">
        <v>3357777</v>
      </c>
      <c r="AG46" s="258" t="n">
        <v>4133147</v>
      </c>
      <c r="AH46" s="258" t="n">
        <v>4469873</v>
      </c>
      <c r="AI46" s="258" t="n">
        <v>4634788</v>
      </c>
      <c r="AJ46" s="258" t="n">
        <v>4790556</v>
      </c>
    </row>
    <row r="47">
      <c r="A47" t="n">
        <v>27</v>
      </c>
      <c r="B47" t="n">
        <v>1</v>
      </c>
      <c r="G47" t="inlineStr">
        <is>
          <t>moeda</t>
        </is>
      </c>
      <c r="H47" t="inlineStr">
        <is>
          <t>Empréstimos, financiamentos e debêntures (BP l.33)</t>
        </is>
      </c>
      <c r="J47" t="inlineStr">
        <is>
          <t>fonte</t>
        </is>
      </c>
      <c r="K47" s="258" t="n"/>
      <c r="L47" s="258" t="n">
        <v>226009</v>
      </c>
      <c r="M47" s="258" t="n">
        <v>246760.86836</v>
      </c>
      <c r="N47" s="258" t="n">
        <v>61168.26825</v>
      </c>
      <c r="O47" s="258" t="n">
        <v>89709.97532</v>
      </c>
      <c r="P47" s="258" t="n">
        <v>88934.05342</v>
      </c>
      <c r="Q47" s="258" t="n">
        <v>86364</v>
      </c>
      <c r="R47" s="258" t="n">
        <v>172832</v>
      </c>
      <c r="S47" s="258" t="n">
        <v>174013</v>
      </c>
      <c r="T47" s="258" t="n">
        <v>187278</v>
      </c>
      <c r="U47" s="258" t="n">
        <v>191156</v>
      </c>
      <c r="V47" s="258" t="n">
        <v>192831</v>
      </c>
      <c r="W47" s="258" t="n">
        <v>192110</v>
      </c>
      <c r="X47" s="258" t="n">
        <v>216191</v>
      </c>
      <c r="Y47" s="258" t="n">
        <v>231929</v>
      </c>
      <c r="Z47" s="258" t="n">
        <v>465402</v>
      </c>
      <c r="AA47" s="258" t="n">
        <v>508391</v>
      </c>
      <c r="AB47" s="258" t="n">
        <v>537107</v>
      </c>
      <c r="AC47" s="258" t="n">
        <v>548585</v>
      </c>
      <c r="AD47" s="258" t="n">
        <v>420986</v>
      </c>
      <c r="AE47" s="258" t="n">
        <v>249077</v>
      </c>
      <c r="AF47" s="258" t="n">
        <v>248593</v>
      </c>
      <c r="AG47" s="258" t="n">
        <v>535225</v>
      </c>
      <c r="AH47" s="258" t="n">
        <v>1204737</v>
      </c>
      <c r="AI47" s="258" t="n">
        <v>1537253</v>
      </c>
      <c r="AJ47" s="258" t="n">
        <v>1529728</v>
      </c>
    </row>
    <row r="48">
      <c r="A48" t="n">
        <v>24</v>
      </c>
      <c r="B48" t="n">
        <v>1</v>
      </c>
      <c r="G48" t="inlineStr">
        <is>
          <t>moeda</t>
        </is>
      </c>
      <c r="H48" t="inlineStr">
        <is>
          <t>Obrigações trabalhistas (BP l.34)</t>
        </is>
      </c>
      <c r="J48" t="inlineStr">
        <is>
          <t>fonte</t>
        </is>
      </c>
      <c r="K48" s="258" t="n"/>
      <c r="L48" s="258" t="n">
        <v>200715</v>
      </c>
      <c r="M48" s="258" t="n">
        <v>218954.38567</v>
      </c>
      <c r="N48" s="258" t="n">
        <v>178802.46017</v>
      </c>
      <c r="O48" s="258" t="n">
        <v>199758.0463</v>
      </c>
      <c r="P48" s="258" t="n">
        <v>237623.15962</v>
      </c>
      <c r="Q48" s="258" t="n">
        <v>271913</v>
      </c>
      <c r="R48" s="258" t="n">
        <v>224680</v>
      </c>
      <c r="S48" s="258" t="n">
        <v>237809</v>
      </c>
      <c r="T48" s="258" t="n">
        <v>267690</v>
      </c>
      <c r="U48" s="258" t="n">
        <v>328581</v>
      </c>
      <c r="V48" s="258" t="n">
        <v>301307</v>
      </c>
      <c r="W48" s="258" t="n">
        <v>309092</v>
      </c>
      <c r="X48" s="258" t="n">
        <v>357078</v>
      </c>
      <c r="Y48" s="258" t="n">
        <v>410755</v>
      </c>
      <c r="Z48" s="258" t="n">
        <v>394255</v>
      </c>
      <c r="AA48" s="258" t="n">
        <v>429905</v>
      </c>
      <c r="AB48" s="258" t="n">
        <v>454609</v>
      </c>
      <c r="AC48" s="258" t="n">
        <v>494728</v>
      </c>
      <c r="AD48" s="258" t="n">
        <v>445071</v>
      </c>
      <c r="AE48" s="258" t="n">
        <v>482103</v>
      </c>
      <c r="AF48" s="258" t="n">
        <v>472507</v>
      </c>
      <c r="AG48" s="258" t="n">
        <v>596021</v>
      </c>
      <c r="AH48" s="258" t="n">
        <v>526602</v>
      </c>
      <c r="AI48" s="258" t="n">
        <v>545443</v>
      </c>
      <c r="AJ48" s="258" t="n">
        <v>563536</v>
      </c>
    </row>
    <row r="49">
      <c r="A49" t="n">
        <v>25</v>
      </c>
      <c r="B49" t="n">
        <v>1</v>
      </c>
      <c r="G49" t="inlineStr">
        <is>
          <t>moeda</t>
        </is>
      </c>
      <c r="H49" t="inlineStr">
        <is>
          <t>Obrigações tributárias (BP l.35)</t>
        </is>
      </c>
      <c r="J49" t="inlineStr">
        <is>
          <t>fonte</t>
        </is>
      </c>
      <c r="K49" s="258" t="n"/>
      <c r="L49" s="258" t="n">
        <v>94707</v>
      </c>
      <c r="M49" s="258" t="n">
        <v>109545.53598</v>
      </c>
      <c r="N49" s="258" t="n">
        <v>96391.82058</v>
      </c>
      <c r="O49" s="258" t="n">
        <v>72394.71599</v>
      </c>
      <c r="P49" s="258" t="n">
        <v>74346.64341999999</v>
      </c>
      <c r="Q49" s="258" t="n">
        <v>80566</v>
      </c>
      <c r="R49" s="258" t="n">
        <v>98616</v>
      </c>
      <c r="S49" s="258" t="n">
        <v>92553</v>
      </c>
      <c r="T49" s="258" t="n">
        <v>102658</v>
      </c>
      <c r="U49" s="258" t="n">
        <v>108198</v>
      </c>
      <c r="V49" s="258" t="n">
        <v>132164</v>
      </c>
      <c r="W49" s="258" t="n">
        <v>115657</v>
      </c>
      <c r="X49" s="258" t="n">
        <v>164978</v>
      </c>
      <c r="Y49" s="258" t="n">
        <v>145007</v>
      </c>
      <c r="Z49" s="258" t="n">
        <v>212910</v>
      </c>
      <c r="AA49" s="258" t="n">
        <v>288502</v>
      </c>
      <c r="AB49" s="258" t="n">
        <v>511963</v>
      </c>
      <c r="AC49" s="258" t="n">
        <v>642737</v>
      </c>
      <c r="AD49" s="258" t="n">
        <v>419431</v>
      </c>
      <c r="AE49" s="258" t="n">
        <v>374463</v>
      </c>
      <c r="AF49" s="258" t="n">
        <v>328697</v>
      </c>
      <c r="AG49" s="258" t="n">
        <v>328881</v>
      </c>
      <c r="AH49" s="258" t="n">
        <v>333643</v>
      </c>
      <c r="AI49" s="258" t="n">
        <v>243746</v>
      </c>
      <c r="AJ49" s="258" t="n">
        <v>193914</v>
      </c>
    </row>
    <row r="50">
      <c r="A50" t="n">
        <v>25</v>
      </c>
      <c r="B50" t="n">
        <v>1</v>
      </c>
      <c r="G50" t="inlineStr">
        <is>
          <t>moeda</t>
        </is>
      </c>
      <c r="H50" t="inlineStr">
        <is>
          <t>Tributos parcelados (BP l.36)</t>
        </is>
      </c>
      <c r="J50" t="inlineStr">
        <is>
          <t>fonte</t>
        </is>
      </c>
      <c r="K50" s="258" t="n"/>
      <c r="L50" s="258" t="n">
        <v>1406</v>
      </c>
      <c r="M50" s="258" t="n">
        <v>1412.62221</v>
      </c>
      <c r="N50" s="258" t="n">
        <v>6391.81666</v>
      </c>
      <c r="O50" s="258" t="n">
        <v>9787.4159</v>
      </c>
      <c r="P50" s="258" t="n">
        <v>9888.0023</v>
      </c>
      <c r="Q50" s="258" t="n">
        <v>21443</v>
      </c>
      <c r="R50" s="258" t="n">
        <v>30002</v>
      </c>
      <c r="S50" s="258" t="n">
        <v>22891</v>
      </c>
      <c r="T50" s="258" t="n">
        <v>16647</v>
      </c>
      <c r="U50" s="258" t="n">
        <v>10660</v>
      </c>
      <c r="V50" s="258" t="n">
        <v>10402</v>
      </c>
      <c r="W50" s="258" t="n">
        <v>10288</v>
      </c>
      <c r="X50" s="258" t="n">
        <v>10973</v>
      </c>
      <c r="Y50" s="258" t="n">
        <v>11518</v>
      </c>
      <c r="Z50" s="258" t="n">
        <v>11977</v>
      </c>
      <c r="AA50" s="258" t="n">
        <v>12062</v>
      </c>
      <c r="AB50" s="258" t="n">
        <v>12953</v>
      </c>
      <c r="AC50" s="258" t="n">
        <v>14731</v>
      </c>
      <c r="AD50" s="258" t="n">
        <v>15132</v>
      </c>
      <c r="AE50" s="258" t="n">
        <v>26747</v>
      </c>
      <c r="AF50" s="258" t="n">
        <v>24291</v>
      </c>
      <c r="AG50" s="258" t="n">
        <v>39882</v>
      </c>
      <c r="AH50" s="258" t="n">
        <v>37857</v>
      </c>
      <c r="AI50" s="258" t="n">
        <v>30751</v>
      </c>
      <c r="AJ50" s="258" t="n">
        <v>24794</v>
      </c>
    </row>
    <row r="51">
      <c r="A51" t="n">
        <v>29</v>
      </c>
      <c r="B51" t="n">
        <v>1</v>
      </c>
      <c r="G51" t="inlineStr">
        <is>
          <t>moeda</t>
        </is>
      </c>
      <c r="H51" t="inlineStr">
        <is>
          <t>Passivos de arrendamento (BP l.37)</t>
        </is>
      </c>
      <c r="J51" t="inlineStr">
        <is>
          <t>fonte</t>
        </is>
      </c>
      <c r="K51" s="258" t="n"/>
      <c r="L51" s="258" t="n">
        <v>78374</v>
      </c>
      <c r="M51" s="258" t="n">
        <v>66417.31273000001</v>
      </c>
      <c r="N51" s="258" t="n">
        <v>67184.08374</v>
      </c>
      <c r="O51" s="258" t="n">
        <v>71365.50853000001</v>
      </c>
      <c r="P51" s="258" t="n">
        <v>68692.76446000001</v>
      </c>
      <c r="Q51" s="258" t="n">
        <v>54577</v>
      </c>
      <c r="R51" s="258" t="n">
        <v>61137</v>
      </c>
      <c r="S51" s="258" t="n">
        <v>70026</v>
      </c>
      <c r="T51" s="258" t="n">
        <v>78059</v>
      </c>
      <c r="U51" s="258" t="n">
        <v>77645</v>
      </c>
      <c r="V51" s="258" t="n">
        <v>80274</v>
      </c>
      <c r="W51" s="258" t="n">
        <v>81877</v>
      </c>
      <c r="X51" s="258" t="n">
        <v>53549</v>
      </c>
      <c r="Y51" s="258" t="n">
        <v>35351</v>
      </c>
      <c r="Z51" s="258" t="n">
        <v>35626</v>
      </c>
      <c r="AA51" s="258" t="n">
        <v>111740</v>
      </c>
      <c r="AB51" s="258" t="n">
        <v>102545</v>
      </c>
      <c r="AC51" s="258" t="n">
        <v>100131</v>
      </c>
      <c r="AD51" s="258" t="n">
        <v>79464</v>
      </c>
      <c r="AE51" s="258" t="n">
        <v>113741</v>
      </c>
      <c r="AF51" s="258" t="n">
        <v>227857</v>
      </c>
      <c r="AG51" s="258" t="n">
        <v>274631</v>
      </c>
      <c r="AH51" s="258" t="n">
        <v>262150</v>
      </c>
      <c r="AI51" s="258" t="n">
        <v>262498</v>
      </c>
      <c r="AJ51" s="258" t="n">
        <v>250873</v>
      </c>
    </row>
    <row r="52">
      <c r="A52" t="n">
        <v>26</v>
      </c>
      <c r="B52" t="n">
        <v>1</v>
      </c>
      <c r="G52" t="inlineStr">
        <is>
          <t>moeda</t>
        </is>
      </c>
      <c r="H52" t="inlineStr">
        <is>
          <t>Juros sobre capital próprio a pagar (BP l.38)</t>
        </is>
      </c>
      <c r="J52" t="inlineStr">
        <is>
          <t>fonte</t>
        </is>
      </c>
      <c r="K52" s="258" t="n"/>
      <c r="L52" s="258" t="n">
        <v>0</v>
      </c>
      <c r="M52" s="258" t="n">
        <v>0</v>
      </c>
      <c r="N52" s="258" t="n">
        <v>0</v>
      </c>
      <c r="O52" s="258" t="n">
        <v>0</v>
      </c>
      <c r="P52" s="258" t="n">
        <v>0</v>
      </c>
      <c r="Q52" s="258" t="n">
        <v>0</v>
      </c>
      <c r="R52" s="258" t="n">
        <v>0</v>
      </c>
      <c r="S52" s="258" t="n">
        <v>0</v>
      </c>
      <c r="T52" s="258" t="n">
        <v>0</v>
      </c>
      <c r="U52" s="258" t="n">
        <v>0</v>
      </c>
      <c r="V52" s="258" t="n">
        <v>0</v>
      </c>
      <c r="W52" s="258" t="n">
        <v>0</v>
      </c>
      <c r="X52" s="258" t="n">
        <v>0</v>
      </c>
      <c r="Y52" s="258" t="n">
        <v>0</v>
      </c>
      <c r="Z52" s="258" t="n">
        <v>0</v>
      </c>
      <c r="AA52" s="258" t="n">
        <v>83274</v>
      </c>
      <c r="AB52" s="258" t="n">
        <v>199916</v>
      </c>
      <c r="AC52" s="258" t="n">
        <v>286624</v>
      </c>
      <c r="AD52" s="258" t="n">
        <v>0</v>
      </c>
      <c r="AE52" s="258" t="n">
        <v>116650</v>
      </c>
      <c r="AF52" s="258" t="n">
        <v>248932</v>
      </c>
      <c r="AG52" s="258" t="n">
        <v>387991</v>
      </c>
      <c r="AH52" s="258" t="n">
        <v>338834</v>
      </c>
      <c r="AI52" s="258" t="n">
        <v>0</v>
      </c>
      <c r="AJ52" s="258" t="n">
        <v>0</v>
      </c>
    </row>
    <row r="53">
      <c r="A53" t="n">
        <v>26</v>
      </c>
      <c r="B53" t="n">
        <v>1</v>
      </c>
      <c r="G53" t="inlineStr">
        <is>
          <t>moeda</t>
        </is>
      </c>
      <c r="H53" t="inlineStr">
        <is>
          <t>Outros passivos (BP l.39)</t>
        </is>
      </c>
      <c r="J53" t="inlineStr">
        <is>
          <t>fonte</t>
        </is>
      </c>
      <c r="K53" s="258" t="n"/>
      <c r="L53" s="258" t="n">
        <v>54547</v>
      </c>
      <c r="M53" s="258" t="n">
        <v>2908.34062</v>
      </c>
      <c r="N53" s="258" t="n">
        <v>6787.0716</v>
      </c>
      <c r="O53" s="258" t="n">
        <v>11903.76382</v>
      </c>
      <c r="P53" s="258" t="n">
        <v>11025.09488</v>
      </c>
      <c r="Q53" s="258" t="n">
        <v>10107</v>
      </c>
      <c r="R53" s="258" t="n">
        <v>6485</v>
      </c>
      <c r="S53" s="258" t="n">
        <v>10036</v>
      </c>
      <c r="T53" s="258" t="n">
        <v>104094</v>
      </c>
      <c r="U53" s="258" t="n">
        <v>56304</v>
      </c>
      <c r="V53" s="258" t="n">
        <v>27794</v>
      </c>
      <c r="W53" s="258" t="n">
        <v>23079</v>
      </c>
      <c r="X53" s="258" t="n">
        <v>40228</v>
      </c>
      <c r="Y53" s="258" t="n">
        <v>49173</v>
      </c>
      <c r="Z53" s="258" t="n">
        <v>76354</v>
      </c>
      <c r="AA53" s="258" t="n">
        <v>95269</v>
      </c>
      <c r="AB53" s="258" t="n">
        <v>138811</v>
      </c>
      <c r="AC53" s="258" t="n">
        <v>172311</v>
      </c>
      <c r="AD53" s="258" t="n">
        <v>214597</v>
      </c>
      <c r="AE53" s="258" t="n">
        <v>114541</v>
      </c>
      <c r="AF53" s="258" t="n">
        <v>141212</v>
      </c>
      <c r="AG53" s="258" t="n">
        <v>119513</v>
      </c>
      <c r="AH53" s="258" t="n">
        <v>163349</v>
      </c>
      <c r="AI53" s="258" t="n">
        <v>312021</v>
      </c>
      <c r="AJ53" s="258" t="n">
        <v>161023</v>
      </c>
    </row>
    <row r="54">
      <c r="A54" t="n">
        <v>26</v>
      </c>
      <c r="B54" t="n">
        <v>1</v>
      </c>
      <c r="G54" t="inlineStr">
        <is>
          <t>moeda</t>
        </is>
      </c>
      <c r="H54" t="inlineStr">
        <is>
          <t>Partes relacionadas (BP l.40) | 2T23=16.677 e 3T23=18.094 dos releases 2T24/3T24 (planilha traz 0 e o passivo nao fecha com o total)</t>
        </is>
      </c>
      <c r="J54" t="inlineStr">
        <is>
          <t>fonte</t>
        </is>
      </c>
      <c r="K54" s="258" t="n"/>
      <c r="L54" s="258" t="n">
        <v>0</v>
      </c>
      <c r="M54" s="258" t="n">
        <v>0</v>
      </c>
      <c r="N54" s="258" t="n">
        <v>0</v>
      </c>
      <c r="O54" s="258" t="n">
        <v>0</v>
      </c>
      <c r="P54" s="258" t="n">
        <v>0</v>
      </c>
      <c r="Q54" s="258" t="n">
        <v>0</v>
      </c>
      <c r="R54" s="258" t="n">
        <v>0</v>
      </c>
      <c r="S54" s="258" t="n">
        <v>0</v>
      </c>
      <c r="T54" s="258" t="n">
        <v>0</v>
      </c>
      <c r="U54" s="258" t="n">
        <v>0</v>
      </c>
      <c r="V54" s="258" t="n">
        <v>0</v>
      </c>
      <c r="W54" s="258" t="n">
        <v>0</v>
      </c>
      <c r="X54" s="258" t="n">
        <v>16677</v>
      </c>
      <c r="Y54" s="258" t="n">
        <v>18094</v>
      </c>
      <c r="Z54" s="258" t="n">
        <v>0</v>
      </c>
      <c r="AA54" s="258" t="n">
        <v>0</v>
      </c>
      <c r="AB54" s="258" t="n">
        <v>0</v>
      </c>
      <c r="AC54" s="258" t="n">
        <v>0</v>
      </c>
      <c r="AD54" s="258" t="n">
        <v>0</v>
      </c>
      <c r="AE54" s="258" t="n">
        <v>0</v>
      </c>
      <c r="AF54" s="258" t="n">
        <v>0</v>
      </c>
      <c r="AG54" s="258" t="n">
        <v>0</v>
      </c>
      <c r="AH54" s="258" t="n">
        <v>0</v>
      </c>
      <c r="AI54" s="258" t="n">
        <v>0</v>
      </c>
      <c r="AJ54" s="258" t="n">
        <v>0</v>
      </c>
    </row>
    <row r="55">
      <c r="A55" t="n">
        <v>30</v>
      </c>
      <c r="B55" t="n">
        <v>1</v>
      </c>
      <c r="G55" t="inlineStr">
        <is>
          <t>moeda</t>
        </is>
      </c>
      <c r="H55" t="inlineStr">
        <is>
          <t>Empréstimos, financiamentos e debêntures (BP l.44)</t>
        </is>
      </c>
      <c r="J55" t="inlineStr">
        <is>
          <t>fonte</t>
        </is>
      </c>
      <c r="K55" s="258" t="n"/>
      <c r="L55" s="258" t="n">
        <v>975544</v>
      </c>
      <c r="M55" s="258" t="n">
        <v>1059138.74924</v>
      </c>
      <c r="N55" s="258" t="n">
        <v>531326.45287</v>
      </c>
      <c r="O55" s="258" t="n">
        <v>482810.73958</v>
      </c>
      <c r="P55" s="258" t="n">
        <v>463176.17923</v>
      </c>
      <c r="Q55" s="258" t="n">
        <v>445125</v>
      </c>
      <c r="R55" s="258" t="n">
        <v>869537</v>
      </c>
      <c r="S55" s="258" t="n">
        <v>872031</v>
      </c>
      <c r="T55" s="258" t="n">
        <v>876531</v>
      </c>
      <c r="U55" s="258" t="n">
        <v>1641207</v>
      </c>
      <c r="V55" s="258" t="n">
        <v>1638222</v>
      </c>
      <c r="W55" s="258" t="n">
        <v>1616264</v>
      </c>
      <c r="X55" s="258" t="n">
        <v>1582105</v>
      </c>
      <c r="Y55" s="258" t="n">
        <v>1546724</v>
      </c>
      <c r="Z55" s="258" t="n">
        <v>1313982</v>
      </c>
      <c r="AA55" s="258" t="n">
        <v>1305794</v>
      </c>
      <c r="AB55" s="258" t="n">
        <v>1287123</v>
      </c>
      <c r="AC55" s="258" t="n">
        <v>1259718</v>
      </c>
      <c r="AD55" s="258" t="n">
        <v>1852872</v>
      </c>
      <c r="AE55" s="258" t="n">
        <v>1885998</v>
      </c>
      <c r="AF55" s="258" t="n">
        <v>1866925</v>
      </c>
      <c r="AG55" s="258" t="n">
        <v>2086176</v>
      </c>
      <c r="AH55" s="258" t="n">
        <v>1656368</v>
      </c>
      <c r="AI55" s="258" t="n">
        <v>1182868</v>
      </c>
      <c r="AJ55" s="258" t="n">
        <v>1194648</v>
      </c>
    </row>
    <row r="56">
      <c r="A56" t="n">
        <v>34</v>
      </c>
      <c r="B56" t="n">
        <v>1</v>
      </c>
      <c r="G56" t="inlineStr">
        <is>
          <t>moeda</t>
        </is>
      </c>
      <c r="H56" t="inlineStr">
        <is>
          <t>Tributos parcelados (BP l.45)</t>
        </is>
      </c>
      <c r="J56" t="inlineStr">
        <is>
          <t>fonte</t>
        </is>
      </c>
      <c r="K56" s="258" t="n"/>
      <c r="L56" s="258" t="n">
        <v>4517</v>
      </c>
      <c r="M56" s="258" t="n">
        <v>4772.40888</v>
      </c>
      <c r="N56" s="258" t="n">
        <v>23353.28314</v>
      </c>
      <c r="O56" s="258" t="n">
        <v>35156.91508</v>
      </c>
      <c r="P56" s="258" t="n">
        <v>33312.89791</v>
      </c>
      <c r="Q56" s="258" t="n">
        <v>76916</v>
      </c>
      <c r="R56" s="258" t="n">
        <v>32534</v>
      </c>
      <c r="S56" s="258" t="n">
        <v>24705</v>
      </c>
      <c r="T56" s="258" t="n">
        <v>24199</v>
      </c>
      <c r="U56" s="258" t="n">
        <v>22798</v>
      </c>
      <c r="V56" s="258" t="n">
        <v>20181</v>
      </c>
      <c r="W56" s="258" t="n">
        <v>17608</v>
      </c>
      <c r="X56" s="258" t="n">
        <v>17715</v>
      </c>
      <c r="Y56" s="258" t="n">
        <v>17251</v>
      </c>
      <c r="Z56" s="258" t="n">
        <v>17490</v>
      </c>
      <c r="AA56" s="258" t="n">
        <v>16448</v>
      </c>
      <c r="AB56" s="258" t="n">
        <v>17990</v>
      </c>
      <c r="AC56" s="258" t="n">
        <v>22330</v>
      </c>
      <c r="AD56" s="258" t="n">
        <v>22771</v>
      </c>
      <c r="AE56" s="258" t="n">
        <v>33544</v>
      </c>
      <c r="AF56" s="258" t="n">
        <v>28707</v>
      </c>
      <c r="AG56" s="258" t="n">
        <v>57355</v>
      </c>
      <c r="AH56" s="258" t="n">
        <v>48966</v>
      </c>
      <c r="AI56" s="258" t="n">
        <v>38827</v>
      </c>
      <c r="AJ56" s="258" t="n">
        <v>33089</v>
      </c>
    </row>
    <row r="57">
      <c r="A57" t="n">
        <v>34</v>
      </c>
      <c r="B57" t="n">
        <v>1</v>
      </c>
      <c r="G57" t="inlineStr">
        <is>
          <t>moeda</t>
        </is>
      </c>
      <c r="H57" t="inlineStr">
        <is>
          <t>Provisão para riscos (BP l.46)</t>
        </is>
      </c>
      <c r="J57" t="inlineStr">
        <is>
          <t>fonte</t>
        </is>
      </c>
      <c r="K57" s="258" t="n"/>
      <c r="L57" s="258" t="n">
        <v>15155</v>
      </c>
      <c r="M57" s="258" t="n">
        <v>16222.65973</v>
      </c>
      <c r="N57" s="258" t="n">
        <v>17208.04695</v>
      </c>
      <c r="O57" s="258" t="n">
        <v>15569.17415</v>
      </c>
      <c r="P57" s="258" t="n">
        <v>14750.47135</v>
      </c>
      <c r="Q57" s="258" t="n">
        <v>14286</v>
      </c>
      <c r="R57" s="258" t="n">
        <v>15187</v>
      </c>
      <c r="S57" s="258" t="n">
        <v>15645</v>
      </c>
      <c r="T57" s="258" t="n">
        <v>13688</v>
      </c>
      <c r="U57" s="258" t="n">
        <v>12276</v>
      </c>
      <c r="V57" s="258" t="n">
        <v>28046</v>
      </c>
      <c r="W57" s="258" t="n">
        <v>26037</v>
      </c>
      <c r="X57" s="258" t="n">
        <v>55669</v>
      </c>
      <c r="Y57" s="258" t="n">
        <v>57918</v>
      </c>
      <c r="Z57" s="258" t="n">
        <v>59821</v>
      </c>
      <c r="AA57" s="258" t="n">
        <v>58614</v>
      </c>
      <c r="AB57" s="258" t="n">
        <v>61745</v>
      </c>
      <c r="AC57" s="258" t="n">
        <v>64033</v>
      </c>
      <c r="AD57" s="258" t="n">
        <v>305138</v>
      </c>
      <c r="AE57" s="258" t="n">
        <v>389113</v>
      </c>
      <c r="AF57" s="258" t="n">
        <v>475108</v>
      </c>
      <c r="AG57" s="258" t="n">
        <v>181884</v>
      </c>
      <c r="AH57" s="258" t="n">
        <v>97533</v>
      </c>
      <c r="AI57" s="258" t="n">
        <v>115928</v>
      </c>
      <c r="AJ57" s="258" t="n">
        <v>123242</v>
      </c>
    </row>
    <row r="58">
      <c r="A58" t="n">
        <v>33</v>
      </c>
      <c r="B58" t="n">
        <v>1</v>
      </c>
      <c r="G58" t="inlineStr">
        <is>
          <t>moeda</t>
        </is>
      </c>
      <c r="H58" t="inlineStr">
        <is>
          <t>Passivo fiscal diferido (BP l.47)</t>
        </is>
      </c>
      <c r="J58" t="inlineStr">
        <is>
          <t>fonte</t>
        </is>
      </c>
      <c r="K58" s="258" t="n"/>
      <c r="L58" s="258" t="n">
        <v>0</v>
      </c>
      <c r="M58" s="258" t="n">
        <v>0</v>
      </c>
      <c r="N58" s="258" t="n">
        <v>0</v>
      </c>
      <c r="O58" s="258" t="n">
        <v>0</v>
      </c>
      <c r="P58" s="258" t="n">
        <v>0</v>
      </c>
      <c r="Q58" s="258" t="n">
        <v>0</v>
      </c>
      <c r="R58" s="258" t="n">
        <v>0</v>
      </c>
      <c r="S58" s="258" t="n">
        <v>0</v>
      </c>
      <c r="T58" s="258" t="n">
        <v>0</v>
      </c>
      <c r="U58" s="258" t="n">
        <v>0</v>
      </c>
      <c r="V58" s="258" t="n">
        <v>0</v>
      </c>
      <c r="W58" s="258" t="n">
        <v>0</v>
      </c>
      <c r="X58" s="258" t="n">
        <v>0</v>
      </c>
      <c r="Y58" s="258" t="n">
        <v>0</v>
      </c>
      <c r="Z58" s="258" t="n">
        <v>0</v>
      </c>
      <c r="AA58" s="258" t="n">
        <v>0</v>
      </c>
      <c r="AB58" s="258" t="n">
        <v>0</v>
      </c>
      <c r="AC58" s="258" t="n">
        <v>0</v>
      </c>
      <c r="AD58" s="258" t="n">
        <v>0</v>
      </c>
      <c r="AE58" s="258" t="n">
        <v>0</v>
      </c>
      <c r="AF58" s="258" t="n">
        <v>0</v>
      </c>
      <c r="AG58" s="258" t="n">
        <v>26377</v>
      </c>
      <c r="AH58" s="258" t="n">
        <v>0</v>
      </c>
      <c r="AI58" s="258" t="n">
        <v>0</v>
      </c>
      <c r="AJ58" s="258" t="n">
        <v>0</v>
      </c>
    </row>
    <row r="59">
      <c r="A59" t="n">
        <v>31</v>
      </c>
      <c r="B59" t="n">
        <v>1</v>
      </c>
      <c r="G59" t="inlineStr">
        <is>
          <t>moeda</t>
        </is>
      </c>
      <c r="H59" t="inlineStr">
        <is>
          <t>Passivos de arrendamento (BP l.48)</t>
        </is>
      </c>
      <c r="J59" t="inlineStr">
        <is>
          <t>fonte</t>
        </is>
      </c>
      <c r="K59" s="258" t="n"/>
      <c r="L59" s="258" t="n">
        <v>382650</v>
      </c>
      <c r="M59" s="258" t="n">
        <v>468673.65356</v>
      </c>
      <c r="N59" s="258" t="n">
        <v>523288.1195</v>
      </c>
      <c r="O59" s="258" t="n">
        <v>590831.99564</v>
      </c>
      <c r="P59" s="258" t="n">
        <v>634573.22806</v>
      </c>
      <c r="Q59" s="258" t="n">
        <v>813529</v>
      </c>
      <c r="R59" s="258" t="n">
        <v>890536</v>
      </c>
      <c r="S59" s="258" t="n">
        <v>979426</v>
      </c>
      <c r="T59" s="258" t="n">
        <v>1175417</v>
      </c>
      <c r="U59" s="258" t="n">
        <v>1248706</v>
      </c>
      <c r="V59" s="258" t="n">
        <v>1257061</v>
      </c>
      <c r="W59" s="258" t="n">
        <v>1332143</v>
      </c>
      <c r="X59" s="258" t="n">
        <v>1603235</v>
      </c>
      <c r="Y59" s="258" t="n">
        <v>1839131</v>
      </c>
      <c r="Z59" s="258" t="n">
        <v>1927542</v>
      </c>
      <c r="AA59" s="258" t="n">
        <v>2030806</v>
      </c>
      <c r="AB59" s="258" t="n">
        <v>1891562</v>
      </c>
      <c r="AC59" s="258" t="n">
        <v>1926101</v>
      </c>
      <c r="AD59" s="258" t="n">
        <v>2089299</v>
      </c>
      <c r="AE59" s="258" t="n">
        <v>2393571</v>
      </c>
      <c r="AF59" s="258" t="n">
        <v>2597466</v>
      </c>
      <c r="AG59" s="258" t="n">
        <v>3513560</v>
      </c>
      <c r="AH59" s="258" t="n">
        <v>3657119</v>
      </c>
      <c r="AI59" s="258" t="n">
        <v>3709792</v>
      </c>
      <c r="AJ59" s="258" t="n">
        <v>3908547</v>
      </c>
    </row>
    <row r="60">
      <c r="A60" t="n">
        <v>34</v>
      </c>
      <c r="B60" t="n">
        <v>1</v>
      </c>
      <c r="G60" t="inlineStr">
        <is>
          <t>moeda</t>
        </is>
      </c>
      <c r="H60" t="inlineStr">
        <is>
          <t>Outros passivos (BP l.49)</t>
        </is>
      </c>
      <c r="J60" t="inlineStr">
        <is>
          <t>fonte</t>
        </is>
      </c>
      <c r="K60" s="258" t="n"/>
      <c r="L60" s="258" t="n">
        <v>0</v>
      </c>
      <c r="M60" s="258" t="n">
        <v>0</v>
      </c>
      <c r="N60" s="258" t="n">
        <v>0</v>
      </c>
      <c r="O60" s="258" t="n">
        <v>0</v>
      </c>
      <c r="P60" s="258" t="n">
        <v>0</v>
      </c>
      <c r="Q60" s="258" t="n">
        <v>0</v>
      </c>
      <c r="R60" s="258" t="n">
        <v>0</v>
      </c>
      <c r="S60" s="258" t="n">
        <v>0</v>
      </c>
      <c r="T60" s="258" t="n">
        <v>0</v>
      </c>
      <c r="U60" s="258" t="n">
        <v>0</v>
      </c>
      <c r="V60" s="258" t="n">
        <v>0</v>
      </c>
      <c r="W60" s="258" t="n">
        <v>0</v>
      </c>
      <c r="X60" s="258" t="n">
        <v>0</v>
      </c>
      <c r="Y60" s="258" t="n">
        <v>0</v>
      </c>
      <c r="Z60" s="258" t="n">
        <v>0</v>
      </c>
      <c r="AA60" s="258" t="n">
        <v>0</v>
      </c>
      <c r="AB60" s="258" t="n">
        <v>0</v>
      </c>
      <c r="AC60" s="258" t="n">
        <v>0</v>
      </c>
      <c r="AD60" s="258" t="n">
        <v>0</v>
      </c>
      <c r="AE60" s="258" t="n">
        <v>0</v>
      </c>
      <c r="AF60" s="258" t="n">
        <v>0</v>
      </c>
      <c r="AG60" s="258" t="n">
        <v>8625</v>
      </c>
      <c r="AH60" s="258" t="n">
        <v>8250</v>
      </c>
      <c r="AI60" s="258" t="n">
        <v>7875</v>
      </c>
      <c r="AJ60" s="258" t="n">
        <v>7500</v>
      </c>
    </row>
    <row r="61">
      <c r="A61" t="n">
        <v>34</v>
      </c>
      <c r="B61" t="n">
        <v>1</v>
      </c>
      <c r="G61" t="inlineStr">
        <is>
          <t>moeda</t>
        </is>
      </c>
      <c r="H61" t="inlineStr">
        <is>
          <t>Partes relacionadas (BP l.50)</t>
        </is>
      </c>
      <c r="J61" t="inlineStr">
        <is>
          <t>fonte</t>
        </is>
      </c>
      <c r="K61" s="258" t="n"/>
      <c r="L61" s="258" t="n">
        <v>86479</v>
      </c>
      <c r="M61" s="258" t="n">
        <v>66502.9498300003</v>
      </c>
      <c r="N61" s="258" t="n">
        <v>34665.27813</v>
      </c>
      <c r="O61" s="258" t="n">
        <v>19976.7020499997</v>
      </c>
      <c r="P61" s="258" t="n">
        <v>25664</v>
      </c>
      <c r="Q61" s="258" t="n">
        <v>20285</v>
      </c>
      <c r="R61" s="258" t="n">
        <v>20279</v>
      </c>
      <c r="S61" s="258" t="n">
        <v>25043</v>
      </c>
      <c r="T61" s="258" t="n">
        <v>31170.4490400003</v>
      </c>
      <c r="U61" s="258" t="n">
        <v>22834.9380000006</v>
      </c>
      <c r="V61" s="258" t="n">
        <v>25096.9447499998</v>
      </c>
      <c r="W61" s="258" t="n">
        <v>22170.2218900006</v>
      </c>
      <c r="X61" s="258" t="n">
        <v>0</v>
      </c>
      <c r="Y61" s="258" t="n">
        <v>0</v>
      </c>
      <c r="Z61" s="258" t="n">
        <v>29217.7939400002</v>
      </c>
      <c r="AA61" s="258" t="n">
        <v>37542</v>
      </c>
      <c r="AB61" s="258" t="n">
        <v>25947</v>
      </c>
      <c r="AC61" s="258" t="n">
        <v>12989</v>
      </c>
      <c r="AD61" s="258" t="n">
        <v>52544</v>
      </c>
      <c r="AE61" s="258" t="n">
        <v>51355</v>
      </c>
      <c r="AF61" s="258" t="n">
        <v>36226</v>
      </c>
      <c r="AG61" s="258" t="n">
        <v>155427</v>
      </c>
      <c r="AH61" s="258" t="n">
        <v>78917</v>
      </c>
      <c r="AI61" s="258" t="n">
        <v>118043</v>
      </c>
      <c r="AJ61" s="258" t="n">
        <v>26431</v>
      </c>
    </row>
    <row r="62">
      <c r="A62" t="n">
        <v>37</v>
      </c>
      <c r="B62" t="n">
        <v>1</v>
      </c>
      <c r="G62" t="inlineStr">
        <is>
          <t>moeda</t>
        </is>
      </c>
      <c r="H62" t="inlineStr">
        <is>
          <t>Capital social (BP l.54)</t>
        </is>
      </c>
      <c r="J62" t="inlineStr">
        <is>
          <t>fonte</t>
        </is>
      </c>
      <c r="K62" s="258" t="n"/>
      <c r="L62" s="258" t="n">
        <v>1863829</v>
      </c>
      <c r="M62" s="258" t="n">
        <v>1863829.09978</v>
      </c>
      <c r="N62" s="258" t="n">
        <v>4780929.42447</v>
      </c>
      <c r="O62" s="258" t="n">
        <v>4780929.42447</v>
      </c>
      <c r="P62" s="258" t="n">
        <v>4780929.12447</v>
      </c>
      <c r="Q62" s="258" t="n">
        <v>4780929</v>
      </c>
      <c r="R62" s="258" t="n">
        <v>4780929</v>
      </c>
      <c r="S62" s="258" t="n">
        <v>4780929</v>
      </c>
      <c r="T62" s="258" t="n">
        <v>4780929</v>
      </c>
      <c r="U62" s="258" t="n">
        <v>4780929</v>
      </c>
      <c r="V62" s="258" t="n">
        <v>4780929</v>
      </c>
      <c r="W62" s="258" t="n">
        <v>4780929</v>
      </c>
      <c r="X62" s="258" t="n">
        <v>4780929</v>
      </c>
      <c r="Y62" s="258" t="n">
        <v>4777949</v>
      </c>
      <c r="Z62" s="258" t="n">
        <v>8013514</v>
      </c>
      <c r="AA62" s="258" t="n">
        <v>8013514</v>
      </c>
      <c r="AB62" s="258" t="n">
        <v>8013514</v>
      </c>
      <c r="AC62" s="258" t="n">
        <v>8057731</v>
      </c>
      <c r="AD62" s="258" t="n">
        <v>8346465</v>
      </c>
      <c r="AE62" s="258" t="n">
        <v>8346465</v>
      </c>
      <c r="AF62" s="258" t="n">
        <v>8346465</v>
      </c>
      <c r="AG62" s="258" t="n">
        <v>8346465</v>
      </c>
      <c r="AH62" s="258" t="n">
        <v>8346465</v>
      </c>
      <c r="AI62" s="258" t="n">
        <v>8698233</v>
      </c>
      <c r="AJ62" s="258" t="n">
        <v>8698233</v>
      </c>
    </row>
    <row r="63">
      <c r="A63" t="n">
        <v>38</v>
      </c>
      <c r="B63" t="n">
        <v>1</v>
      </c>
      <c r="G63" t="inlineStr">
        <is>
          <t>moeda</t>
        </is>
      </c>
      <c r="H63" t="inlineStr">
        <is>
          <t>Ações em tesouraria (BP l.55)</t>
        </is>
      </c>
      <c r="J63" t="inlineStr">
        <is>
          <t>fonte</t>
        </is>
      </c>
      <c r="K63" s="258" t="n"/>
      <c r="L63" s="258" t="n">
        <v>0</v>
      </c>
      <c r="M63" s="258" t="n">
        <v>0</v>
      </c>
      <c r="N63" s="258" t="n">
        <v>0</v>
      </c>
      <c r="O63" s="258" t="n">
        <v>0</v>
      </c>
      <c r="P63" s="258" t="n">
        <v>0</v>
      </c>
      <c r="Q63" s="258" t="n">
        <v>0</v>
      </c>
      <c r="R63" s="258" t="n">
        <v>0</v>
      </c>
      <c r="S63" s="258" t="n">
        <v>0</v>
      </c>
      <c r="T63" s="258" t="n">
        <v>0</v>
      </c>
      <c r="U63" s="258" t="n">
        <v>0</v>
      </c>
      <c r="V63" s="258" t="n">
        <v>0</v>
      </c>
      <c r="W63" s="258" t="n">
        <v>0</v>
      </c>
      <c r="X63" s="258" t="n">
        <v>0</v>
      </c>
      <c r="Y63" s="258" t="n">
        <v>0</v>
      </c>
      <c r="Z63" s="258" t="n">
        <v>-2980</v>
      </c>
      <c r="AA63" s="258" t="n">
        <v>-2980</v>
      </c>
      <c r="AB63" s="258" t="n">
        <v>-13798</v>
      </c>
      <c r="AC63" s="258" t="n">
        <v>-4095</v>
      </c>
      <c r="AD63" s="258" t="n">
        <v>-4095</v>
      </c>
      <c r="AE63" s="258" t="n">
        <v>-20299</v>
      </c>
      <c r="AF63" s="258" t="n">
        <v>-9419</v>
      </c>
      <c r="AG63" s="258" t="n">
        <v>-26425</v>
      </c>
      <c r="AH63" s="258" t="n">
        <v>-26425</v>
      </c>
      <c r="AI63" s="258" t="n">
        <v>-26425</v>
      </c>
      <c r="AJ63" s="258" t="n">
        <v>-14284</v>
      </c>
    </row>
    <row r="64">
      <c r="A64" t="n">
        <v>37</v>
      </c>
      <c r="B64" t="n">
        <v>1</v>
      </c>
      <c r="G64" t="inlineStr">
        <is>
          <t>moeda</t>
        </is>
      </c>
      <c r="H64" t="inlineStr">
        <is>
          <t>AFAC - Adiantamento para futuro aumento de capital (BP l.56)</t>
        </is>
      </c>
      <c r="J64" t="inlineStr">
        <is>
          <t>fonte</t>
        </is>
      </c>
      <c r="K64" s="258" t="n"/>
      <c r="L64" s="258" t="n">
        <v>44217</v>
      </c>
      <c r="M64" s="258" t="n">
        <v>44217</v>
      </c>
      <c r="N64" s="258" t="n">
        <v>44217.03145</v>
      </c>
      <c r="O64" s="258" t="n">
        <v>44217.03145</v>
      </c>
      <c r="P64" s="258" t="n">
        <v>44217.03145</v>
      </c>
      <c r="Q64" s="258" t="n">
        <v>44217</v>
      </c>
      <c r="R64" s="258" t="n">
        <v>44217</v>
      </c>
      <c r="S64" s="258" t="n">
        <v>44217</v>
      </c>
      <c r="T64" s="258" t="n">
        <v>44217</v>
      </c>
      <c r="U64" s="258" t="n">
        <v>44217</v>
      </c>
      <c r="V64" s="258" t="n">
        <v>44217</v>
      </c>
      <c r="W64" s="258" t="n">
        <v>44217</v>
      </c>
      <c r="X64" s="258" t="n">
        <v>44217</v>
      </c>
      <c r="Y64" s="258" t="n">
        <v>44217</v>
      </c>
      <c r="Z64" s="258" t="n">
        <v>44217</v>
      </c>
      <c r="AA64" s="258" t="n">
        <v>44217</v>
      </c>
      <c r="AB64" s="258" t="n">
        <v>44217</v>
      </c>
      <c r="AC64" s="258" t="n">
        <v>0</v>
      </c>
      <c r="AD64" s="258" t="n">
        <v>0</v>
      </c>
      <c r="AE64" s="258" t="n">
        <v>0</v>
      </c>
      <c r="AF64" s="258" t="n">
        <v>0</v>
      </c>
      <c r="AG64" s="258" t="n">
        <v>0</v>
      </c>
      <c r="AH64" s="258" t="n">
        <v>12934</v>
      </c>
      <c r="AI64" s="258" t="n">
        <v>0</v>
      </c>
      <c r="AJ64" s="258" t="n">
        <v>0</v>
      </c>
    </row>
    <row r="65">
      <c r="A65" t="n">
        <v>41</v>
      </c>
      <c r="B65" t="n">
        <v>1</v>
      </c>
      <c r="G65" t="inlineStr">
        <is>
          <t>moeda</t>
        </is>
      </c>
      <c r="H65" t="inlineStr">
        <is>
          <t>Reserva legal (BP l.57)</t>
        </is>
      </c>
      <c r="J65" t="inlineStr">
        <is>
          <t>fonte</t>
        </is>
      </c>
      <c r="K65" s="258" t="n"/>
      <c r="L65" s="258" t="n">
        <v>46688</v>
      </c>
      <c r="M65" s="258" t="n">
        <v>46688</v>
      </c>
      <c r="N65" s="258" t="n">
        <v>40955</v>
      </c>
      <c r="O65" s="258" t="n">
        <v>48733</v>
      </c>
      <c r="P65" s="258" t="n">
        <v>58113</v>
      </c>
      <c r="Q65" s="258" t="n">
        <v>68608</v>
      </c>
      <c r="R65" s="258" t="n">
        <v>78902</v>
      </c>
      <c r="S65" s="258" t="n">
        <v>88738</v>
      </c>
      <c r="T65" s="258" t="n">
        <v>101796</v>
      </c>
      <c r="U65" s="258" t="n">
        <v>116159</v>
      </c>
      <c r="V65" s="258" t="n">
        <v>131523</v>
      </c>
      <c r="W65" s="258" t="n">
        <v>143358.95</v>
      </c>
      <c r="X65" s="258" t="n">
        <v>157851</v>
      </c>
      <c r="Y65" s="258" t="n">
        <v>173321</v>
      </c>
      <c r="Z65" s="258" t="n">
        <v>192566</v>
      </c>
      <c r="AA65" s="258" t="n">
        <v>192566</v>
      </c>
      <c r="AB65" s="258" t="n">
        <v>192566</v>
      </c>
      <c r="AC65" s="258" t="n">
        <v>192566</v>
      </c>
      <c r="AD65" s="258" t="n">
        <v>258476</v>
      </c>
      <c r="AE65" s="258" t="n">
        <v>258476</v>
      </c>
      <c r="AF65" s="258" t="n">
        <v>258476</v>
      </c>
      <c r="AG65" s="258" t="n">
        <v>258476</v>
      </c>
      <c r="AH65" s="258" t="n">
        <v>350122</v>
      </c>
      <c r="AI65" s="258" t="n">
        <v>350122</v>
      </c>
      <c r="AJ65" s="258" t="n">
        <v>350122</v>
      </c>
    </row>
    <row r="66">
      <c r="A66" t="n">
        <v>41</v>
      </c>
      <c r="B66" t="n">
        <v>1</v>
      </c>
      <c r="G66" t="inlineStr">
        <is>
          <t>moeda</t>
        </is>
      </c>
      <c r="H66" t="inlineStr">
        <is>
          <t>Reserva para incentivos fiscais (BP l.58)</t>
        </is>
      </c>
      <c r="J66" t="inlineStr">
        <is>
          <t>fonte</t>
        </is>
      </c>
      <c r="K66" s="258" t="n"/>
      <c r="L66" s="258" t="n">
        <v>0</v>
      </c>
      <c r="M66" s="258" t="n">
        <v>947</v>
      </c>
      <c r="N66" s="258" t="n">
        <v>778155</v>
      </c>
      <c r="O66" s="258" t="n">
        <v>925924</v>
      </c>
      <c r="P66" s="258" t="n">
        <v>1104151</v>
      </c>
      <c r="Q66" s="258" t="n">
        <v>1303567</v>
      </c>
      <c r="R66" s="258" t="n">
        <v>1499139</v>
      </c>
      <c r="S66" s="258" t="n">
        <v>1686021</v>
      </c>
      <c r="T66" s="258" t="n">
        <v>1934133</v>
      </c>
      <c r="U66" s="258" t="n">
        <v>2207022</v>
      </c>
      <c r="V66" s="258" t="n">
        <v>2498937</v>
      </c>
      <c r="W66" s="258" t="n">
        <v>2723819.05</v>
      </c>
      <c r="X66" s="258" t="n">
        <v>2999171</v>
      </c>
      <c r="Y66" s="258" t="n">
        <v>3291894</v>
      </c>
      <c r="Z66" s="258" t="n">
        <v>424955</v>
      </c>
      <c r="AA66" s="258" t="n">
        <v>328673</v>
      </c>
      <c r="AB66" s="258" t="n">
        <v>193811</v>
      </c>
      <c r="AC66" s="258" t="n">
        <v>93413</v>
      </c>
      <c r="AD66" s="258" t="n">
        <v>424955</v>
      </c>
      <c r="AE66" s="258" t="n">
        <v>424955</v>
      </c>
      <c r="AF66" s="258" t="n">
        <v>424955</v>
      </c>
      <c r="AG66" s="258" t="n">
        <v>424955</v>
      </c>
      <c r="AH66" s="258" t="n">
        <v>424955</v>
      </c>
      <c r="AI66" s="258" t="n">
        <v>424955</v>
      </c>
      <c r="AJ66" s="258" t="n">
        <v>424955</v>
      </c>
    </row>
    <row r="67">
      <c r="A67" t="n">
        <v>41</v>
      </c>
      <c r="B67" t="n">
        <v>1</v>
      </c>
      <c r="G67" t="inlineStr">
        <is>
          <t>moeda</t>
        </is>
      </c>
      <c r="H67" t="inlineStr">
        <is>
          <t>Reserva de retenção de lucros (BP l.59)</t>
        </is>
      </c>
      <c r="J67" t="inlineStr">
        <is>
          <t>fonte</t>
        </is>
      </c>
      <c r="K67" s="258" t="n"/>
      <c r="L67" s="258" t="n">
        <v>0</v>
      </c>
      <c r="M67" s="258" t="n">
        <v>0</v>
      </c>
      <c r="N67" s="258" t="n">
        <v>0</v>
      </c>
      <c r="O67" s="258" t="n">
        <v>0</v>
      </c>
      <c r="P67" s="258" t="n">
        <v>0</v>
      </c>
      <c r="Q67" s="258" t="n">
        <v>0</v>
      </c>
      <c r="R67" s="258" t="n">
        <v>0</v>
      </c>
      <c r="S67" s="258" t="n">
        <v>0</v>
      </c>
      <c r="T67" s="258" t="n">
        <v>0</v>
      </c>
      <c r="U67" s="258" t="n">
        <v>0</v>
      </c>
      <c r="V67" s="258" t="n">
        <v>0</v>
      </c>
      <c r="W67" s="258" t="n">
        <v>0</v>
      </c>
      <c r="X67" s="258" t="n">
        <v>0</v>
      </c>
      <c r="Y67" s="258" t="n">
        <v>0</v>
      </c>
      <c r="Z67" s="258" t="n">
        <v>0</v>
      </c>
      <c r="AA67" s="258" t="n">
        <v>0</v>
      </c>
      <c r="AB67" s="258" t="n">
        <v>0</v>
      </c>
      <c r="AC67" s="258" t="n">
        <v>0</v>
      </c>
      <c r="AD67" s="258" t="n">
        <v>129809</v>
      </c>
      <c r="AE67" s="258" t="n">
        <v>129809</v>
      </c>
      <c r="AF67" s="258" t="n">
        <v>129809</v>
      </c>
      <c r="AG67" s="258" t="n">
        <v>-318799</v>
      </c>
      <c r="AH67" s="258" t="n">
        <v>1275906</v>
      </c>
      <c r="AI67" s="258" t="n">
        <v>1275906</v>
      </c>
      <c r="AJ67" s="258" t="n">
        <v>1275906</v>
      </c>
    </row>
    <row r="68">
      <c r="A68" t="n">
        <v>41</v>
      </c>
      <c r="B68" t="n">
        <v>1</v>
      </c>
      <c r="G68" t="inlineStr">
        <is>
          <t>moeda</t>
        </is>
      </c>
      <c r="H68" t="inlineStr">
        <is>
          <t>Reserva de lucros acumulados do período (BP l.60)</t>
        </is>
      </c>
      <c r="J68" t="inlineStr">
        <is>
          <t>fonte</t>
        </is>
      </c>
      <c r="K68" s="258" t="n"/>
      <c r="L68" s="258" t="n">
        <v>298122</v>
      </c>
      <c r="M68" s="258" t="n">
        <v>532571</v>
      </c>
      <c r="N68" s="258" t="n">
        <v>0</v>
      </c>
      <c r="O68" s="258" t="n">
        <v>0</v>
      </c>
      <c r="P68" s="258" t="n">
        <v>0</v>
      </c>
      <c r="Q68" s="258" t="n">
        <v>0</v>
      </c>
      <c r="R68" s="258" t="n">
        <v>0</v>
      </c>
      <c r="S68" s="258" t="n">
        <v>0</v>
      </c>
      <c r="T68" s="258" t="n">
        <v>0</v>
      </c>
      <c r="U68" s="258" t="n">
        <v>0</v>
      </c>
      <c r="V68" s="258" t="n">
        <v>0</v>
      </c>
      <c r="W68" s="258" t="n">
        <v>0</v>
      </c>
      <c r="X68" s="258" t="n">
        <v>0</v>
      </c>
      <c r="Y68" s="258" t="n">
        <v>0</v>
      </c>
      <c r="Z68" s="258" t="n">
        <v>0</v>
      </c>
      <c r="AA68" s="258" t="n">
        <v>237810</v>
      </c>
      <c r="AB68" s="258" t="n">
        <v>562007</v>
      </c>
      <c r="AC68" s="258" t="n">
        <v>935145</v>
      </c>
      <c r="AD68" s="258" t="n">
        <v>0</v>
      </c>
      <c r="AE68" s="258" t="n">
        <v>137235</v>
      </c>
      <c r="AF68" s="258" t="n">
        <v>376751</v>
      </c>
      <c r="AG68" s="258" t="n">
        <v>1508655</v>
      </c>
      <c r="AH68" s="258" t="n">
        <v>0</v>
      </c>
      <c r="AI68" s="258" t="n">
        <v>212881</v>
      </c>
      <c r="AJ68" s="258" t="n">
        <v>449686</v>
      </c>
    </row>
    <row r="69">
      <c r="A69" t="n">
        <v>35</v>
      </c>
      <c r="B69" t="n">
        <v>1</v>
      </c>
      <c r="G69" t="inlineStr">
        <is>
          <t>moeda</t>
        </is>
      </c>
      <c r="H69" t="inlineStr">
        <is>
          <t>Patrimônio líquido atribuído à participação dos acionistas não controladores (BP l.63)</t>
        </is>
      </c>
      <c r="J69" t="inlineStr">
        <is>
          <t>fonte</t>
        </is>
      </c>
      <c r="K69" s="258" t="n"/>
      <c r="L69" s="258" t="n">
        <v>63302.648</v>
      </c>
      <c r="M69" s="258" t="n">
        <v>63553</v>
      </c>
      <c r="N69" s="258" t="n">
        <v>63284</v>
      </c>
      <c r="O69" s="258" t="n">
        <v>64457</v>
      </c>
      <c r="P69" s="258" t="n">
        <v>67415</v>
      </c>
      <c r="Q69" s="258" t="n">
        <v>70928</v>
      </c>
      <c r="R69" s="258" t="n">
        <v>73394</v>
      </c>
      <c r="S69" s="258" t="n">
        <v>75890</v>
      </c>
      <c r="T69" s="258" t="n">
        <v>79272</v>
      </c>
      <c r="U69" s="258" t="n">
        <v>82943</v>
      </c>
      <c r="V69" s="258" t="n">
        <v>86379</v>
      </c>
      <c r="W69" s="258" t="n">
        <v>89272.39999999999</v>
      </c>
      <c r="X69" s="258" t="n">
        <v>93836</v>
      </c>
      <c r="Y69" s="258" t="n">
        <v>98030</v>
      </c>
      <c r="Z69" s="258" t="n">
        <v>101241</v>
      </c>
      <c r="AA69" s="258" t="n">
        <v>103804</v>
      </c>
      <c r="AB69" s="258" t="n">
        <v>108517</v>
      </c>
      <c r="AC69" s="258" t="n">
        <v>121956</v>
      </c>
      <c r="AD69" s="258" t="n">
        <v>76683</v>
      </c>
      <c r="AE69" s="258" t="n">
        <v>79696</v>
      </c>
      <c r="AF69" s="258" t="n">
        <v>85385</v>
      </c>
      <c r="AG69" s="258" t="n">
        <v>1058071</v>
      </c>
      <c r="AH69" s="258" t="n">
        <v>1083859</v>
      </c>
      <c r="AI69" s="258" t="n">
        <v>1061900</v>
      </c>
      <c r="AJ69" s="258" t="n">
        <v>1160623</v>
      </c>
    </row>
    <row r="70">
      <c r="H70" s="254" t="inlineStr">
        <is>
          <t>BALANCO - totais divulgados (memoria)</t>
        </is>
      </c>
    </row>
    <row r="71">
      <c r="G71" t="inlineStr">
        <is>
          <t>moeda</t>
        </is>
      </c>
      <c r="H71" t="inlineStr">
        <is>
          <t>Total do ativo (BP l.27)</t>
        </is>
      </c>
      <c r="J71" t="inlineStr">
        <is>
          <t>memoria</t>
        </is>
      </c>
      <c r="K71" s="258" t="n"/>
      <c r="L71" s="258" t="n">
        <v>5130344</v>
      </c>
      <c r="M71" s="258" t="n">
        <v>5760519.77551017</v>
      </c>
      <c r="N71" s="258" t="n">
        <v>8198710.36570007</v>
      </c>
      <c r="O71" s="258" t="n">
        <v>8181505.330239999</v>
      </c>
      <c r="P71" s="258" t="n">
        <v>8758601.28273</v>
      </c>
      <c r="Q71" s="258" t="n">
        <v>9205963</v>
      </c>
      <c r="R71" s="258" t="n">
        <v>9954991</v>
      </c>
      <c r="S71" s="258" t="n">
        <v>10460070</v>
      </c>
      <c r="T71" s="258" t="n">
        <v>11434974.44904</v>
      </c>
      <c r="U71" s="258" t="n">
        <v>12387778.938</v>
      </c>
      <c r="V71" s="258" t="n">
        <v>13263937.94475</v>
      </c>
      <c r="W71" s="258" t="n">
        <v>13726170.22189</v>
      </c>
      <c r="X71" s="258" t="n">
        <v>14378139</v>
      </c>
      <c r="Y71" s="258" t="n">
        <v>15056338</v>
      </c>
      <c r="Z71" s="258" t="n">
        <v>16357295.79394</v>
      </c>
      <c r="AA71" s="258" t="n">
        <v>16519334</v>
      </c>
      <c r="AB71" s="258" t="n">
        <v>17131007.70197</v>
      </c>
      <c r="AC71" s="258" t="n">
        <v>17900655</v>
      </c>
      <c r="AD71" s="258" t="n">
        <v>18228167</v>
      </c>
      <c r="AE71" s="258" t="n">
        <v>19342417</v>
      </c>
      <c r="AF71" s="258" t="n">
        <v>19666720.10598</v>
      </c>
      <c r="AG71" s="258" t="n">
        <v>23696093</v>
      </c>
      <c r="AH71" s="258" t="n">
        <v>24352014</v>
      </c>
      <c r="AI71" s="258" t="n">
        <v>24737405</v>
      </c>
      <c r="AJ71" s="258" t="n">
        <v>25153122</v>
      </c>
    </row>
    <row r="72">
      <c r="G72" t="inlineStr">
        <is>
          <t>moeda</t>
        </is>
      </c>
      <c r="H72" t="inlineStr">
        <is>
          <t>Total do passivo e do patrimônio líquido (BP l.66) | 2T23 e 3T23 dos releases 2T24/3T24 (planilha soma sem as partes relacionadas)</t>
        </is>
      </c>
      <c r="J72" t="inlineStr">
        <is>
          <t>memoria</t>
        </is>
      </c>
      <c r="K72" s="258" t="n"/>
      <c r="L72" s="258" t="n">
        <v>5130343.648</v>
      </c>
      <c r="M72" s="258" t="n">
        <v>5760520.16858</v>
      </c>
      <c r="N72" s="258" t="n">
        <v>8198711.857109999</v>
      </c>
      <c r="O72" s="258" t="n">
        <v>8181505.295239999</v>
      </c>
      <c r="P72" s="258" t="n">
        <v>8758601.562380001</v>
      </c>
      <c r="Q72" s="258" t="n">
        <v>9205963</v>
      </c>
      <c r="R72" s="258" t="n">
        <v>9954991</v>
      </c>
      <c r="S72" s="258" t="n">
        <v>10460070</v>
      </c>
      <c r="T72" s="258" t="n">
        <v>11434974.44904</v>
      </c>
      <c r="U72" s="258" t="n">
        <v>12387778.938</v>
      </c>
      <c r="V72" s="258" t="n">
        <v>13263937.94475</v>
      </c>
      <c r="W72" s="258" t="n">
        <v>13726169.62189</v>
      </c>
      <c r="X72" s="258" t="n">
        <v>14378139</v>
      </c>
      <c r="Y72" s="258" t="n">
        <v>15056338</v>
      </c>
      <c r="Z72" s="258" t="n">
        <v>16357295.79394</v>
      </c>
      <c r="AA72" s="258" t="n">
        <v>16519334</v>
      </c>
      <c r="AB72" s="258" t="n">
        <v>17131008</v>
      </c>
      <c r="AC72" s="258" t="n">
        <v>17900655</v>
      </c>
      <c r="AD72" s="258" t="n">
        <v>18228167</v>
      </c>
      <c r="AE72" s="258" t="n">
        <v>19342417</v>
      </c>
      <c r="AF72" s="258" t="n">
        <v>19666720</v>
      </c>
      <c r="AG72" s="258" t="n">
        <v>23696093</v>
      </c>
      <c r="AH72" s="258" t="n">
        <v>24352014</v>
      </c>
      <c r="AI72" s="258" t="n">
        <v>24737405</v>
      </c>
      <c r="AJ72" s="258" t="n">
        <v>25153122</v>
      </c>
    </row>
    <row r="73">
      <c r="G73" t="inlineStr">
        <is>
          <t>moeda</t>
        </is>
      </c>
      <c r="H73" t="inlineStr">
        <is>
          <t>Total do patrimônio líquido (BP l.64)</t>
        </is>
      </c>
      <c r="J73" t="inlineStr">
        <is>
          <t>memoria</t>
        </is>
      </c>
      <c r="K73" s="258" t="n"/>
      <c r="L73" s="258" t="n">
        <v>2316158.648</v>
      </c>
      <c r="M73" s="258" t="n">
        <v>2551805.09978</v>
      </c>
      <c r="N73" s="258" t="n">
        <v>5707540.45592</v>
      </c>
      <c r="O73" s="258" t="n">
        <v>5864260.45592</v>
      </c>
      <c r="P73" s="258" t="n">
        <v>6054825.15592</v>
      </c>
      <c r="Q73" s="258" t="n">
        <v>6268249</v>
      </c>
      <c r="R73" s="258" t="n">
        <v>6476581</v>
      </c>
      <c r="S73" s="258" t="n">
        <v>6675795.22437</v>
      </c>
      <c r="T73" s="258" t="n">
        <v>6940347</v>
      </c>
      <c r="U73" s="258" t="n">
        <v>7231270</v>
      </c>
      <c r="V73" s="258" t="n">
        <v>7541985</v>
      </c>
      <c r="W73" s="258" t="n">
        <v>7781596.4</v>
      </c>
      <c r="X73" s="258" t="n">
        <v>8076004</v>
      </c>
      <c r="Y73" s="258" t="n">
        <v>8385411</v>
      </c>
      <c r="Z73" s="258" t="n">
        <v>8773513</v>
      </c>
      <c r="AA73" s="258" t="n">
        <v>8917604</v>
      </c>
      <c r="AB73" s="258" t="n">
        <v>9100834</v>
      </c>
      <c r="AC73" s="258" t="n">
        <v>9396716</v>
      </c>
      <c r="AD73" s="258" t="n">
        <v>9232293</v>
      </c>
      <c r="AE73" s="258" t="n">
        <v>9356337</v>
      </c>
      <c r="AF73" s="258" t="n">
        <v>9612422</v>
      </c>
      <c r="AG73" s="258" t="n">
        <v>11251398</v>
      </c>
      <c r="AH73" s="258" t="n">
        <v>11467816</v>
      </c>
      <c r="AI73" s="258" t="n">
        <v>11997572</v>
      </c>
      <c r="AJ73" s="258" t="n">
        <v>12345241</v>
      </c>
    </row>
    <row r="74">
      <c r="H74" s="254" t="inlineStr">
        <is>
          <t>CHECKS (devem ser 0)</t>
        </is>
      </c>
    </row>
    <row r="75">
      <c r="G75" t="inlineStr">
        <is>
          <t>moeda</t>
        </is>
      </c>
      <c r="H75" t="inlineStr">
        <is>
          <t>CHECK: receita + custo + despesas op. + resultado financeiro + IR - lucro liquido combinado</t>
        </is>
      </c>
      <c r="J75" t="inlineStr">
        <is>
          <t>derivada</t>
        </is>
      </c>
      <c r="K75" s="258">
        <f>ROUND(K6+K7+K8+K9+K10+K11+K12+K13-K14,0)</f>
        <v>0</v>
      </c>
      <c r="L75" s="258">
        <f>ROUND(L6+L7+L8+L9+L10+L11+L12+L13-L14,0)</f>
        <v>0</v>
      </c>
      <c r="M75" s="258">
        <f>ROUND(M6+M7+M8+M9+M10+M11+M12+M13-M14,0)</f>
        <v>0</v>
      </c>
      <c r="N75" s="258">
        <f>ROUND(N6+N7+N8+N9+N10+N11+N12+N13-N14,0)</f>
        <v>0</v>
      </c>
      <c r="O75" s="258">
        <f>ROUND(O6+O7+O8+O9+O10+O11+O12+O13-O14,0)</f>
        <v>0</v>
      </c>
      <c r="P75" s="258">
        <f>ROUND(P6+P7+P8+P9+P10+P11+P12+P13-P14,0)</f>
        <v>0</v>
      </c>
      <c r="Q75" s="258">
        <f>ROUND(Q6+Q7+Q8+Q9+Q10+Q11+Q12+Q13-Q14,0)</f>
        <v>0</v>
      </c>
      <c r="R75" s="258">
        <f>ROUND(R6+R7+R8+R9+R10+R11+R12+R13-R14,0)</f>
        <v>0</v>
      </c>
      <c r="S75" s="258">
        <f>ROUND(S6+S7+S8+S9+S10+S11+S12+S13-S14,0)</f>
        <v>0</v>
      </c>
      <c r="T75" s="258">
        <f>ROUND(T6+T7+T8+T9+T10+T11+T12+T13-T14,0)</f>
        <v>0</v>
      </c>
      <c r="U75" s="258">
        <f>ROUND(U6+U7+U8+U9+U10+U11+U12+U13-U14,0)</f>
        <v>0</v>
      </c>
      <c r="V75" s="258">
        <f>ROUND(V6+V7+V8+V9+V10+V11+V12+V13-V14,0)</f>
        <v>0</v>
      </c>
      <c r="W75" s="258">
        <f>ROUND(W6+W7+W8+W9+W10+W11+W12+W13-W14,0)</f>
        <v>0</v>
      </c>
      <c r="X75" s="258">
        <f>ROUND(X6+X7+X8+X9+X10+X11+X12+X13-X14,0)</f>
        <v>0</v>
      </c>
      <c r="Y75" s="258">
        <f>ROUND(Y6+Y7+Y8+Y9+Y10+Y11+Y12+Y13-Y14,0)</f>
        <v>0</v>
      </c>
      <c r="Z75" s="258">
        <f>ROUND(Z6+Z7+Z8+Z9+Z10+Z11+Z12+Z13-Z14,0)</f>
        <v>0</v>
      </c>
      <c r="AA75" s="258">
        <f>ROUND(AA6+AA7+AA8+AA9+AA10+AA11+AA12+AA13-AA14,0)</f>
        <v>0</v>
      </c>
      <c r="AB75" s="258">
        <f>ROUND(AB6+AB7+AB8+AB9+AB10+AB11+AB12+AB13-AB14,0)</f>
        <v>0</v>
      </c>
      <c r="AC75" s="258">
        <f>ROUND(AC6+AC7+AC8+AC9+AC10+AC11+AC12+AC13-AC14,0)</f>
        <v>0</v>
      </c>
      <c r="AD75" s="258">
        <f>ROUND(AD6+AD7+AD8+AD9+AD10+AD11+AD12+AD13-AD14,0)</f>
        <v>0</v>
      </c>
      <c r="AE75" s="258">
        <f>ROUND(AE6+AE7+AE8+AE9+AE10+AE11+AE12+AE13-AE14,0)</f>
        <v>0</v>
      </c>
      <c r="AF75" s="258">
        <f>ROUND(AF6+AF7+AF8+AF9+AF10+AF11+AF12+AF13-AF14,0)</f>
        <v>0</v>
      </c>
      <c r="AG75" s="258">
        <f>ROUND(AG6+AG7+AG8+AG9+AG10+AG11+AG12+AG13-AG14,0)</f>
        <v>0</v>
      </c>
      <c r="AH75" s="258">
        <f>ROUND(AH6+AH7+AH8+AH9+AH10+AH11+AH12+AH13-AH14,0)</f>
        <v>0</v>
      </c>
      <c r="AI75" s="258">
        <f>ROUND(AI6+AI7+AI8+AI9+AI10+AI11+AI12+AI13-AI14,0)</f>
        <v>0</v>
      </c>
      <c r="AJ75" s="258">
        <f>ROUND(AJ6+AJ7+AJ8+AJ9+AJ10+AJ11+AJ12+AJ13-AJ14,0)</f>
        <v>0</v>
      </c>
    </row>
    <row r="76">
      <c r="G76" t="inlineStr">
        <is>
          <t>moeda</t>
        </is>
      </c>
      <c r="H76" t="inlineStr">
        <is>
          <t>CHECK: D&amp;A (l.32 + l.33) + EBIT - EBITDA divulgado</t>
        </is>
      </c>
      <c r="J76" t="inlineStr">
        <is>
          <t>derivada</t>
        </is>
      </c>
      <c r="K76" s="258">
        <f>ROUND(K26+K20-K19,0)</f>
        <v>0</v>
      </c>
      <c r="L76" s="258">
        <f>ROUND(L26+L20-L19,0)</f>
        <v>0</v>
      </c>
      <c r="M76" s="258">
        <f>ROUND(M26+M20-M19,0)</f>
        <v>0</v>
      </c>
      <c r="N76" s="258">
        <f>ROUND(N26+N20-N19,0)</f>
        <v>0</v>
      </c>
      <c r="O76" s="258">
        <f>ROUND(O26+O20-O19,0)</f>
        <v>0</v>
      </c>
      <c r="P76" s="258">
        <f>ROUND(P26+P20-P19,0)</f>
        <v>0</v>
      </c>
      <c r="Q76" s="258">
        <f>ROUND(Q26+Q20-Q19,0)</f>
        <v>0</v>
      </c>
      <c r="R76" s="258">
        <f>ROUND(R26+R20-R19,0)</f>
        <v>0</v>
      </c>
      <c r="S76" s="258">
        <f>ROUND(S26+S20-S19,0)</f>
        <v>0</v>
      </c>
      <c r="T76" s="258">
        <f>ROUND(T26+T20-T19,0)</f>
        <v>0</v>
      </c>
      <c r="U76" s="258">
        <f>ROUND(U26+U20-U19,0)</f>
        <v>0</v>
      </c>
      <c r="V76" s="258">
        <f>ROUND(V26+V20-V19,0)</f>
        <v>0</v>
      </c>
      <c r="W76" s="258">
        <f>ROUND(W26+W20-W19,0)</f>
        <v>0</v>
      </c>
      <c r="X76" s="258">
        <f>ROUND(X26+X20-X19,0)</f>
        <v>0</v>
      </c>
      <c r="Y76" s="258">
        <f>ROUND(Y26+Y20-Y19,0)</f>
        <v>0</v>
      </c>
      <c r="Z76" s="258">
        <f>ROUND(Z26+Z20-Z19,0)</f>
        <v>0</v>
      </c>
      <c r="AA76" s="258">
        <f>ROUND(AA26+AA20-AA19,0)</f>
        <v>0</v>
      </c>
      <c r="AB76" s="258">
        <f>ROUND(AB26+AB20-AB19,0)</f>
        <v>0</v>
      </c>
      <c r="AC76" s="258">
        <f>ROUND(AC26+AC20-AC19,0)</f>
        <v>0</v>
      </c>
      <c r="AD76" s="258">
        <f>ROUND(AD26+AD20-AD19,0)</f>
        <v>0</v>
      </c>
      <c r="AE76" s="258">
        <f>ROUND(AE26+AE20-AE19,0)</f>
        <v>0</v>
      </c>
      <c r="AF76" s="258">
        <f>ROUND(AF26+AF20-AF19,0)</f>
        <v>0</v>
      </c>
      <c r="AG76" s="258">
        <f>ROUND(AG26+AG20-AG19,0)</f>
        <v>0</v>
      </c>
      <c r="AH76" s="258">
        <f>ROUND(AH26+AH20-AH19,0)</f>
        <v>0</v>
      </c>
      <c r="AI76" s="258">
        <f>ROUND(AI26+AI20-AI19,0)</f>
        <v>0</v>
      </c>
      <c r="AJ76" s="258">
        <f>ROUND(AJ26+AJ20-AJ19,0)</f>
        <v>0</v>
      </c>
    </row>
    <row r="77">
      <c r="G77" t="inlineStr">
        <is>
          <t>moeda</t>
        </is>
      </c>
      <c r="H77" t="inlineStr">
        <is>
          <t>CHECK: contas de ativo - ativo total</t>
        </is>
      </c>
      <c r="J77" t="inlineStr">
        <is>
          <t>derivada</t>
        </is>
      </c>
      <c r="K77" s="258">
        <f>ROUND(K31+K32+K33+K34+K35+K36+K37+K38+K39+K40+K41+K42+K43+K44+K45-K71,0)</f>
        <v>0</v>
      </c>
      <c r="L77" s="258">
        <f>ROUND(L31+L32+L33+L34+L35+L36+L37+L38+L39+L40+L41+L42+L43+L44+L45-L71,0)</f>
        <v>0</v>
      </c>
      <c r="M77" s="258">
        <f>ROUND(M31+M32+M33+M34+M35+M36+M37+M38+M39+M40+M41+M42+M43+M44+M45-M71,0)</f>
        <v>0</v>
      </c>
      <c r="N77" s="258">
        <f>ROUND(N31+N32+N33+N34+N35+N36+N37+N38+N39+N40+N41+N42+N43+N44+N45-N71,0)</f>
        <v>0</v>
      </c>
      <c r="O77" s="258">
        <f>ROUND(O31+O32+O33+O34+O35+O36+O37+O38+O39+O40+O41+O42+O43+O44+O45-O71,0)</f>
        <v>0</v>
      </c>
      <c r="P77" s="258">
        <f>ROUND(P31+P32+P33+P34+P35+P36+P37+P38+P39+P40+P41+P42+P43+P44+P45-P71,0)</f>
        <v>0</v>
      </c>
      <c r="Q77" s="258">
        <f>ROUND(Q31+Q32+Q33+Q34+Q35+Q36+Q37+Q38+Q39+Q40+Q41+Q42+Q43+Q44+Q45-Q71,0)</f>
        <v>0</v>
      </c>
      <c r="R77" s="258">
        <f>ROUND(R31+R32+R33+R34+R35+R36+R37+R38+R39+R40+R41+R42+R43+R44+R45-R71,0)</f>
        <v>0</v>
      </c>
      <c r="S77" s="258">
        <f>ROUND(S31+S32+S33+S34+S35+S36+S37+S38+S39+S40+S41+S42+S43+S44+S45-S71,0)</f>
        <v>0</v>
      </c>
      <c r="T77" s="258">
        <f>ROUND(T31+T32+T33+T34+T35+T36+T37+T38+T39+T40+T41+T42+T43+T44+T45-T71,0)</f>
        <v>0</v>
      </c>
      <c r="U77" s="258">
        <f>ROUND(U31+U32+U33+U34+U35+U36+U37+U38+U39+U40+U41+U42+U43+U44+U45-U71,0)</f>
        <v>0</v>
      </c>
      <c r="V77" s="258">
        <f>ROUND(V31+V32+V33+V34+V35+V36+V37+V38+V39+V40+V41+V42+V43+V44+V45-V71,0)</f>
        <v>0</v>
      </c>
      <c r="W77" s="258">
        <f>ROUND(W31+W32+W33+W34+W35+W36+W37+W38+W39+W40+W41+W42+W43+W44+W45-W71,0)</f>
        <v>0</v>
      </c>
      <c r="X77" s="258">
        <f>ROUND(X31+X32+X33+X34+X35+X36+X37+X38+X39+X40+X41+X42+X43+X44+X45-X71,0)</f>
        <v>0</v>
      </c>
      <c r="Y77" s="258">
        <f>ROUND(Y31+Y32+Y33+Y34+Y35+Y36+Y37+Y38+Y39+Y40+Y41+Y42+Y43+Y44+Y45-Y71,0)</f>
        <v>0</v>
      </c>
      <c r="Z77" s="258">
        <f>ROUND(Z31+Z32+Z33+Z34+Z35+Z36+Z37+Z38+Z39+Z40+Z41+Z42+Z43+Z44+Z45-Z71,0)</f>
        <v>0</v>
      </c>
      <c r="AA77" s="258">
        <f>ROUND(AA31+AA32+AA33+AA34+AA35+AA36+AA37+AA38+AA39+AA40+AA41+AA42+AA43+AA44+AA45-AA71,0)</f>
        <v>0</v>
      </c>
      <c r="AB77" s="258">
        <f>ROUND(AB31+AB32+AB33+AB34+AB35+AB36+AB37+AB38+AB39+AB40+AB41+AB42+AB43+AB44+AB45-AB71,0)</f>
        <v>0</v>
      </c>
      <c r="AC77" s="258">
        <f>ROUND(AC31+AC32+AC33+AC34+AC35+AC36+AC37+AC38+AC39+AC40+AC41+AC42+AC43+AC44+AC45-AC71,0)</f>
        <v>0</v>
      </c>
      <c r="AD77" s="258">
        <f>ROUND(AD31+AD32+AD33+AD34+AD35+AD36+AD37+AD38+AD39+AD40+AD41+AD42+AD43+AD44+AD45-AD71,0)</f>
        <v>0</v>
      </c>
      <c r="AE77" s="258">
        <f>ROUND(AE31+AE32+AE33+AE34+AE35+AE36+AE37+AE38+AE39+AE40+AE41+AE42+AE43+AE44+AE45-AE71,0)</f>
        <v>0</v>
      </c>
      <c r="AF77" s="258">
        <f>ROUND(AF31+AF32+AF33+AF34+AF35+AF36+AF37+AF38+AF39+AF40+AF41+AF42+AF43+AF44+AF45-AF71,0)</f>
        <v>0</v>
      </c>
      <c r="AG77" s="258">
        <f>ROUND(AG31+AG32+AG33+AG34+AG35+AG36+AG37+AG38+AG39+AG40+AG41+AG42+AG43+AG44+AG45-AG71,0)</f>
        <v>0</v>
      </c>
      <c r="AH77" s="258">
        <f>ROUND(AH31+AH32+AH33+AH34+AH35+AH36+AH37+AH38+AH39+AH40+AH41+AH42+AH43+AH44+AH45-AH71,0)</f>
        <v>0</v>
      </c>
      <c r="AI77" s="258">
        <f>ROUND(AI31+AI32+AI33+AI34+AI35+AI36+AI37+AI38+AI39+AI40+AI41+AI42+AI43+AI44+AI45-AI71,0)</f>
        <v>0</v>
      </c>
      <c r="AJ77" s="258">
        <f>ROUND(AJ31+AJ32+AJ33+AJ34+AJ35+AJ36+AJ37+AJ38+AJ39+AJ40+AJ41+AJ42+AJ43+AJ44+AJ45-AJ71,0)</f>
        <v>0</v>
      </c>
    </row>
    <row r="78">
      <c r="G78" t="inlineStr">
        <is>
          <t>moeda</t>
        </is>
      </c>
      <c r="H78" t="inlineStr">
        <is>
          <t>CHECK: passivo + PL - passivo total</t>
        </is>
      </c>
      <c r="J78" t="inlineStr">
        <is>
          <t>derivada</t>
        </is>
      </c>
      <c r="K78" s="258">
        <f>ROUND(K46+K47+K48+K49+K50+K51+K52+K53+K54+K55+K56+K57+K58+K59+K60+K61+K62+K63+K64+K65+K66+K67+K68+K69-K72,0)</f>
        <v>0</v>
      </c>
      <c r="L78" s="258">
        <f>ROUND(L46+L47+L48+L49+L50+L51+L52+L53+L54+L55+L56+L57+L58+L59+L60+L61+L62+L63+L64+L65+L66+L67+L68+L69-L72,0)</f>
        <v>0</v>
      </c>
      <c r="M78" s="258">
        <f>ROUND(M46+M47+M48+M49+M50+M51+M52+M53+M54+M55+M56+M57+M58+M59+M60+M61+M62+M63+M64+M65+M66+M67+M68+M69-M72,0)</f>
        <v>0</v>
      </c>
      <c r="N78" s="258">
        <f>ROUND(N46+N47+N48+N49+N50+N51+N52+N53+N54+N55+N56+N57+N58+N59+N60+N61+N62+N63+N64+N65+N66+N67+N68+N69-N72,0)</f>
        <v>0</v>
      </c>
      <c r="O78" s="258">
        <f>ROUND(O46+O47+O48+O49+O50+O51+O52+O53+O54+O55+O56+O57+O58+O59+O60+O61+O62+O63+O64+O65+O66+O67+O68+O69-O72,0)</f>
        <v>0</v>
      </c>
      <c r="P78" s="258">
        <f>ROUND(P46+P47+P48+P49+P50+P51+P52+P53+P54+P55+P56+P57+P58+P59+P60+P61+P62+P63+P64+P65+P66+P67+P68+P69-P72,0)</f>
        <v>0</v>
      </c>
      <c r="Q78" s="258">
        <f>ROUND(Q46+Q47+Q48+Q49+Q50+Q51+Q52+Q53+Q54+Q55+Q56+Q57+Q58+Q59+Q60+Q61+Q62+Q63+Q64+Q65+Q66+Q67+Q68+Q69-Q72,0)</f>
        <v>0</v>
      </c>
      <c r="R78" s="258">
        <f>ROUND(R46+R47+R48+R49+R50+R51+R52+R53+R54+R55+R56+R57+R58+R59+R60+R61+R62+R63+R64+R65+R66+R67+R68+R69-R72,0)</f>
        <v>0</v>
      </c>
      <c r="S78" s="258">
        <f>ROUND(S46+S47+S48+S49+S50+S51+S52+S53+S54+S55+S56+S57+S58+S59+S60+S61+S62+S63+S64+S65+S66+S67+S68+S69-S72,0)</f>
        <v>0</v>
      </c>
      <c r="T78" s="258">
        <f>ROUND(T46+T47+T48+T49+T50+T51+T52+T53+T54+T55+T56+T57+T58+T59+T60+T61+T62+T63+T64+T65+T66+T67+T68+T69-T72,0)</f>
        <v>0</v>
      </c>
      <c r="U78" s="258">
        <f>ROUND(U46+U47+U48+U49+U50+U51+U52+U53+U54+U55+U56+U57+U58+U59+U60+U61+U62+U63+U64+U65+U66+U67+U68+U69-U72,0)</f>
        <v>0</v>
      </c>
      <c r="V78" s="258">
        <f>ROUND(V46+V47+V48+V49+V50+V51+V52+V53+V54+V55+V56+V57+V58+V59+V60+V61+V62+V63+V64+V65+V66+V67+V68+V69-V72,0)</f>
        <v>0</v>
      </c>
      <c r="W78" s="258">
        <f>ROUND(W46+W47+W48+W49+W50+W51+W52+W53+W54+W55+W56+W57+W58+W59+W60+W61+W62+W63+W64+W65+W66+W67+W68+W69-W72,0)</f>
        <v>0</v>
      </c>
      <c r="X78" s="258">
        <f>ROUND(X46+X47+X48+X49+X50+X51+X52+X53+X54+X55+X56+X57+X58+X59+X60+X61+X62+X63+X64+X65+X66+X67+X68+X69-X72,0)</f>
        <v>0</v>
      </c>
      <c r="Y78" s="258">
        <f>ROUND(Y46+Y47+Y48+Y49+Y50+Y51+Y52+Y53+Y54+Y55+Y56+Y57+Y58+Y59+Y60+Y61+Y62+Y63+Y64+Y65+Y66+Y67+Y68+Y69-Y72,0)</f>
        <v>0</v>
      </c>
      <c r="Z78" s="258">
        <f>ROUND(Z46+Z47+Z48+Z49+Z50+Z51+Z52+Z53+Z54+Z55+Z56+Z57+Z58+Z59+Z60+Z61+Z62+Z63+Z64+Z65+Z66+Z67+Z68+Z69-Z72,0)</f>
        <v>0</v>
      </c>
      <c r="AA78" s="258">
        <f>ROUND(AA46+AA47+AA48+AA49+AA50+AA51+AA52+AA53+AA54+AA55+AA56+AA57+AA58+AA59+AA60+AA61+AA62+AA63+AA64+AA65+AA66+AA67+AA68+AA69-AA72,0)</f>
        <v>0</v>
      </c>
      <c r="AB78" s="258">
        <f>ROUND(AB46+AB47+AB48+AB49+AB50+AB51+AB52+AB53+AB54+AB55+AB56+AB57+AB58+AB59+AB60+AB61+AB62+AB63+AB64+AB65+AB66+AB67+AB68+AB69-AB72,0)</f>
        <v>0</v>
      </c>
      <c r="AC78" s="258">
        <f>ROUND(AC46+AC47+AC48+AC49+AC50+AC51+AC52+AC53+AC54+AC55+AC56+AC57+AC58+AC59+AC60+AC61+AC62+AC63+AC64+AC65+AC66+AC67+AC68+AC69-AC72,0)</f>
        <v>0</v>
      </c>
      <c r="AD78" s="258">
        <f>ROUND(AD46+AD47+AD48+AD49+AD50+AD51+AD52+AD53+AD54+AD55+AD56+AD57+AD58+AD59+AD60+AD61+AD62+AD63+AD64+AD65+AD66+AD67+AD68+AD69-AD72,0)</f>
        <v>0</v>
      </c>
      <c r="AE78" s="258">
        <f>ROUND(AE46+AE47+AE48+AE49+AE50+AE51+AE52+AE53+AE54+AE55+AE56+AE57+AE58+AE59+AE60+AE61+AE62+AE63+AE64+AE65+AE66+AE67+AE68+AE69-AE72,0)</f>
        <v>0</v>
      </c>
      <c r="AF78" s="258">
        <f>ROUND(AF46+AF47+AF48+AF49+AF50+AF51+AF52+AF53+AF54+AF55+AF56+AF57+AF58+AF59+AF60+AF61+AF62+AF63+AF64+AF65+AF66+AF67+AF68+AF69-AF72,0)</f>
        <v>0</v>
      </c>
      <c r="AG78" s="258">
        <f>ROUND(AG46+AG47+AG48+AG49+AG50+AG51+AG52+AG53+AG54+AG55+AG56+AG57+AG58+AG59+AG60+AG61+AG62+AG63+AG64+AG65+AG66+AG67+AG68+AG69-AG72,0)</f>
        <v>0</v>
      </c>
      <c r="AH78" s="258">
        <f>ROUND(AH46+AH47+AH48+AH49+AH50+AH51+AH52+AH53+AH54+AH55+AH56+AH57+AH58+AH59+AH60+AH61+AH62+AH63+AH64+AH65+AH66+AH67+AH68+AH69-AH72,0)</f>
        <v>0</v>
      </c>
      <c r="AI78" s="258">
        <f>ROUND(AI46+AI47+AI48+AI49+AI50+AI51+AI52+AI53+AI54+AI55+AI56+AI57+AI58+AI59+AI60+AI61+AI62+AI63+AI64+AI65+AI66+AI67+AI68+AI69-AI72,0)</f>
        <v>0</v>
      </c>
      <c r="AJ78" s="258">
        <f>ROUND(AJ46+AJ47+AJ48+AJ49+AJ50+AJ51+AJ52+AJ53+AJ54+AJ55+AJ56+AJ57+AJ58+AJ59+AJ60+AJ61+AJ62+AJ63+AJ64+AJ65+AJ66+AJ67+AJ68+AJ69-AJ72,0)</f>
        <v>0</v>
      </c>
    </row>
    <row r="79">
      <c r="H79" t="inlineStr">
        <is>
          <t>[vazio] cod 8 Equity in affiliates: sem equivalencia na DRE</t>
        </is>
      </c>
    </row>
    <row r="80">
      <c r="H80" t="inlineStr">
        <is>
          <t>[vazio] cod 20 Goodwill: nao aberto (dentro do intangivel, inclui a combinacao com o Novo Atacarejo)</t>
        </is>
      </c>
    </row>
    <row r="81">
      <c r="H81" t="inlineStr">
        <is>
          <t>[vazio] cod 28 Revolver: sem linha propria (emprestimos CP no cod 27)</t>
        </is>
      </c>
    </row>
    <row r="82">
      <c r="H82" t="inlineStr">
        <is>
          <t>[vazio] cod 32 Convertible debt: inexistente</t>
        </is>
      </c>
    </row>
    <row r="83">
      <c r="H83" t="inlineStr">
        <is>
          <t>[vazio] cod 36 Convertible Preferred Stock: inexistente</t>
        </is>
      </c>
    </row>
    <row r="84">
      <c r="H84" t="inlineStr">
        <is>
          <t>[vazio] cod 39 ORA: sem linha propria na fonte</t>
        </is>
      </c>
    </row>
    <row r="85">
      <c r="H85" t="inlineStr">
        <is>
          <t>[vazio] cod 40 Other equity: sem linha propria</t>
        </is>
      </c>
    </row>
    <row r="86">
      <c r="H86" t="inlineStr">
        <is>
          <t>Nota: nao controladores no resultado (cod 9) so a partir do 3T25 (releases); antes disso a DRE do release nao separa e o PL de nao controladores era &lt; R$ 125 mi. NI do Model = lucro atribuido ao Grupo Mateus.</t>
        </is>
      </c>
    </row>
    <row r="88">
      <c r="H88" s="254" t="inlineStr">
        <is>
          <t>DRIVERS DE RECEITA (codigos 45+; UNID "un" = sem fator: R$ milhoes, lojas, m2 e %). Receita por segmento e por regiao e SSS: releases. Lojas e area: abas N de lojas e Evolucao da Area de Vendas.</t>
        </is>
      </c>
    </row>
    <row r="89">
      <c r="A89" t="n">
        <v>45</v>
      </c>
      <c r="B89" t="n">
        <v>1</v>
      </c>
      <c r="G89" t="inlineStr">
        <is>
          <t>un</t>
        </is>
      </c>
      <c r="H89" t="inlineStr">
        <is>
          <t>Receita bruta de mercadorias - Atacarejo (Mix Mateus; inclui Novo Atacarejo a partir do 3T25) (R$ milhoes)</t>
        </is>
      </c>
      <c r="J89" t="inlineStr">
        <is>
          <t>release</t>
        </is>
      </c>
      <c r="K89" s="260" t="n">
        <v>1251</v>
      </c>
      <c r="L89" s="260" t="n">
        <v>1552</v>
      </c>
      <c r="M89" s="260" t="n">
        <v>1933</v>
      </c>
      <c r="N89" s="260" t="n">
        <v>2076</v>
      </c>
      <c r="O89" s="260" t="n">
        <v>1827</v>
      </c>
      <c r="P89" s="260" t="n">
        <v>2003</v>
      </c>
      <c r="Q89" s="260" t="n">
        <v>2381</v>
      </c>
      <c r="R89" s="260" t="n">
        <v>2485</v>
      </c>
      <c r="S89" s="260" t="n">
        <v>2514</v>
      </c>
      <c r="T89" s="260" t="n">
        <v>2956</v>
      </c>
      <c r="U89" s="260" t="n">
        <v>3478</v>
      </c>
      <c r="V89" s="260" t="n">
        <v>3584</v>
      </c>
      <c r="W89" s="260" t="n">
        <v>3523</v>
      </c>
      <c r="X89" s="260" t="n">
        <v>3899</v>
      </c>
      <c r="Y89" s="260" t="n">
        <v>4209</v>
      </c>
      <c r="Z89" s="260" t="n">
        <v>4753</v>
      </c>
      <c r="AA89" s="260" t="n">
        <v>4683</v>
      </c>
      <c r="AB89" s="260" t="n">
        <v>4765</v>
      </c>
      <c r="AC89" s="260" t="n">
        <v>5304</v>
      </c>
      <c r="AD89" s="260" t="n">
        <v>5620</v>
      </c>
      <c r="AE89" s="260" t="n">
        <v>5252</v>
      </c>
      <c r="AF89" s="260" t="n">
        <v>5541</v>
      </c>
      <c r="AG89" s="260" t="n">
        <v>7530</v>
      </c>
      <c r="AH89" s="260" t="n">
        <v>7354</v>
      </c>
      <c r="AI89" s="260" t="n"/>
      <c r="AJ89" s="260" t="n"/>
    </row>
    <row r="90">
      <c r="A90" t="n">
        <v>46</v>
      </c>
      <c r="B90" t="n">
        <v>1</v>
      </c>
      <c r="G90" t="inlineStr">
        <is>
          <t>un</t>
        </is>
      </c>
      <c r="H90" t="inlineStr">
        <is>
          <t>Receita bruta de mercadorias - Varejo (Super/Hiper, Camino) (R$ milhoes)</t>
        </is>
      </c>
      <c r="J90" t="inlineStr">
        <is>
          <t>release</t>
        </is>
      </c>
      <c r="K90" s="260" t="n">
        <v>806</v>
      </c>
      <c r="L90" s="260" t="n">
        <v>869</v>
      </c>
      <c r="M90" s="260" t="n">
        <v>1021</v>
      </c>
      <c r="N90" s="260" t="n">
        <v>1183</v>
      </c>
      <c r="O90" s="260" t="n">
        <v>1114</v>
      </c>
      <c r="P90" s="260" t="n">
        <v>1215</v>
      </c>
      <c r="Q90" s="260" t="n">
        <v>1435</v>
      </c>
      <c r="R90" s="260" t="n">
        <v>1465</v>
      </c>
      <c r="S90" s="260" t="n">
        <v>1474</v>
      </c>
      <c r="T90" s="260" t="n">
        <v>1622</v>
      </c>
      <c r="U90" s="260" t="n">
        <v>1829</v>
      </c>
      <c r="V90" s="260" t="n">
        <v>1883</v>
      </c>
      <c r="W90" s="260" t="n">
        <v>1757</v>
      </c>
      <c r="X90" s="260" t="n">
        <v>1877</v>
      </c>
      <c r="Y90" s="260" t="n">
        <v>2047</v>
      </c>
      <c r="Z90" s="260" t="n">
        <v>2096</v>
      </c>
      <c r="AA90" s="260" t="n">
        <v>2036</v>
      </c>
      <c r="AB90" s="260" t="n">
        <v>2055</v>
      </c>
      <c r="AC90" s="260" t="n">
        <v>2164</v>
      </c>
      <c r="AD90" s="260" t="n">
        <v>2244</v>
      </c>
      <c r="AE90" s="260" t="n">
        <v>2110</v>
      </c>
      <c r="AF90" s="260" t="n">
        <v>2143</v>
      </c>
      <c r="AG90" s="260" t="n">
        <v>2228</v>
      </c>
      <c r="AH90" s="260" t="n">
        <v>2326</v>
      </c>
      <c r="AI90" s="260" t="n"/>
      <c r="AJ90" s="260" t="n"/>
    </row>
    <row r="91">
      <c r="A91" t="n">
        <v>47</v>
      </c>
      <c r="B91" t="n">
        <v>1</v>
      </c>
      <c r="G91" t="inlineStr">
        <is>
          <t>un</t>
        </is>
      </c>
      <c r="H91" t="inlineStr">
        <is>
          <t>Receita bruta de mercadorias - Eletro (R$ milhoes)</t>
        </is>
      </c>
      <c r="J91" t="inlineStr">
        <is>
          <t>release</t>
        </is>
      </c>
      <c r="K91" s="260" t="n">
        <v>120</v>
      </c>
      <c r="L91" s="260" t="n">
        <v>155</v>
      </c>
      <c r="M91" s="260" t="n">
        <v>252</v>
      </c>
      <c r="N91" s="260" t="n">
        <v>269</v>
      </c>
      <c r="O91" s="260" t="n">
        <v>196</v>
      </c>
      <c r="P91" s="260" t="n">
        <v>243</v>
      </c>
      <c r="Q91" s="260" t="n">
        <v>264</v>
      </c>
      <c r="R91" s="260" t="n">
        <v>292</v>
      </c>
      <c r="S91" s="260" t="n">
        <v>256</v>
      </c>
      <c r="T91" s="260" t="n">
        <v>281</v>
      </c>
      <c r="U91" s="260" t="n">
        <v>288</v>
      </c>
      <c r="V91" s="260" t="n">
        <v>292</v>
      </c>
      <c r="W91" s="260" t="n">
        <v>234</v>
      </c>
      <c r="X91" s="260" t="n">
        <v>294</v>
      </c>
      <c r="Y91" s="260" t="n">
        <v>316</v>
      </c>
      <c r="Z91" s="260" t="n">
        <v>339</v>
      </c>
      <c r="AA91" s="260" t="n">
        <v>261</v>
      </c>
      <c r="AB91" s="260" t="n">
        <v>315</v>
      </c>
      <c r="AC91" s="260" t="n">
        <v>337</v>
      </c>
      <c r="AD91" s="260" t="n">
        <v>354</v>
      </c>
      <c r="AE91" s="260" t="n">
        <v>254</v>
      </c>
      <c r="AF91" s="260" t="n">
        <v>277</v>
      </c>
      <c r="AG91" s="260" t="n">
        <v>283</v>
      </c>
      <c r="AH91" s="260" t="n">
        <v>339</v>
      </c>
      <c r="AI91" s="260" t="n"/>
      <c r="AJ91" s="260" t="n"/>
    </row>
    <row r="92">
      <c r="A92" t="n">
        <v>48</v>
      </c>
      <c r="B92" t="n">
        <v>1</v>
      </c>
      <c r="G92" t="inlineStr">
        <is>
          <t>un</t>
        </is>
      </c>
      <c r="H92" t="inlineStr">
        <is>
          <t>Receita bruta de mercadorias - Atacado B2B (R$ milhoes)</t>
        </is>
      </c>
      <c r="J92" t="inlineStr">
        <is>
          <t>release</t>
        </is>
      </c>
      <c r="K92" s="260" t="n">
        <v>613</v>
      </c>
      <c r="L92" s="260" t="n">
        <v>788</v>
      </c>
      <c r="M92" s="260" t="n">
        <v>731</v>
      </c>
      <c r="N92" s="260" t="n">
        <v>732</v>
      </c>
      <c r="O92" s="260" t="n">
        <v>662</v>
      </c>
      <c r="P92" s="260" t="n">
        <v>741</v>
      </c>
      <c r="Q92" s="260" t="n">
        <v>804</v>
      </c>
      <c r="R92" s="260" t="n">
        <v>813</v>
      </c>
      <c r="S92" s="260" t="n">
        <v>928</v>
      </c>
      <c r="T92" s="260" t="n">
        <v>997</v>
      </c>
      <c r="U92" s="260" t="n">
        <v>1069</v>
      </c>
      <c r="V92" s="260" t="n">
        <v>1079</v>
      </c>
      <c r="W92" s="260" t="n">
        <v>1078</v>
      </c>
      <c r="X92" s="260" t="n">
        <v>1187</v>
      </c>
      <c r="Y92" s="260" t="n">
        <v>1236</v>
      </c>
      <c r="Z92" s="260" t="n">
        <v>1400</v>
      </c>
      <c r="AA92" s="260" t="n">
        <v>1400</v>
      </c>
      <c r="AB92" s="260" t="n">
        <v>1534</v>
      </c>
      <c r="AC92" s="260" t="n">
        <v>1625</v>
      </c>
      <c r="AD92" s="260" t="n">
        <v>1690</v>
      </c>
      <c r="AE92" s="260" t="n">
        <v>1816</v>
      </c>
      <c r="AF92" s="260" t="n">
        <v>1986</v>
      </c>
      <c r="AG92" s="260" t="n">
        <v>2060</v>
      </c>
      <c r="AH92" s="260" t="n">
        <v>2052</v>
      </c>
      <c r="AI92" s="260" t="n"/>
      <c r="AJ92" s="260" t="n"/>
    </row>
    <row r="93">
      <c r="A93" t="n">
        <v>49</v>
      </c>
      <c r="B93" t="n">
        <v>1</v>
      </c>
      <c r="G93" t="inlineStr">
        <is>
          <t>un</t>
        </is>
      </c>
      <c r="H93" t="inlineStr">
        <is>
          <t>Receita liquida - Grupo Mateus MA, PA, PI, CE, SE e BA (R$ milhoes; desde 3T25)</t>
        </is>
      </c>
      <c r="J93" t="inlineStr">
        <is>
          <t>release</t>
        </is>
      </c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  <c r="AA93" s="260" t="n"/>
      <c r="AB93" s="260" t="n"/>
      <c r="AC93" s="260" t="n"/>
      <c r="AD93" s="260" t="n"/>
      <c r="AE93" s="260" t="n"/>
      <c r="AF93" s="260" t="n"/>
      <c r="AG93" s="260" t="n">
        <v>7869</v>
      </c>
      <c r="AH93" s="260" t="n">
        <v>7723</v>
      </c>
      <c r="AI93" s="260" t="n">
        <v>7012</v>
      </c>
      <c r="AJ93" s="260" t="n">
        <v>7387</v>
      </c>
    </row>
    <row r="94">
      <c r="A94" t="n">
        <v>50</v>
      </c>
      <c r="B94" t="n">
        <v>1</v>
      </c>
      <c r="G94" t="inlineStr">
        <is>
          <t>un</t>
        </is>
      </c>
      <c r="H94" t="inlineStr">
        <is>
          <t>Receita liquida - combinacao Grupo Mateus + Novo Atacarejo PE, PB e AL (R$ milhoes; 3T25 = Mateus PE/PB/AL 1.431 + Novo Atacarejo 1.464)</t>
        </is>
      </c>
      <c r="J94" t="inlineStr">
        <is>
          <t>release</t>
        </is>
      </c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  <c r="AA94" s="260" t="n"/>
      <c r="AB94" s="260" t="n"/>
      <c r="AC94" s="260" t="n"/>
      <c r="AD94" s="260" t="n"/>
      <c r="AE94" s="260" t="n"/>
      <c r="AF94" s="260" t="n"/>
      <c r="AG94" s="260" t="n">
        <v>2895</v>
      </c>
      <c r="AH94" s="260" t="n">
        <v>2827</v>
      </c>
      <c r="AI94" s="260" t="n">
        <v>2390</v>
      </c>
      <c r="AJ94" s="260" t="n">
        <v>2466</v>
      </c>
    </row>
    <row r="95">
      <c r="A95" t="n">
        <v>51</v>
      </c>
      <c r="B95" t="n">
        <v>1</v>
      </c>
      <c r="G95" t="inlineStr">
        <is>
          <t>un</t>
        </is>
      </c>
      <c r="H95" t="inlineStr">
        <is>
          <t>Lojas - Atacarejo e Food Service (Mix Mateus) (fim do periodo)</t>
        </is>
      </c>
      <c r="J95" t="inlineStr">
        <is>
          <t>fonte</t>
        </is>
      </c>
      <c r="K95" s="260" t="n">
        <v>26</v>
      </c>
      <c r="L95" s="260" t="n">
        <v>29</v>
      </c>
      <c r="M95" s="260" t="n">
        <v>30</v>
      </c>
      <c r="N95" s="260" t="n">
        <v>33</v>
      </c>
      <c r="O95" s="260" t="n">
        <v>35</v>
      </c>
      <c r="P95" s="260" t="n">
        <v>38</v>
      </c>
      <c r="Q95" s="260" t="n">
        <v>40</v>
      </c>
      <c r="R95" s="260" t="n">
        <v>42</v>
      </c>
      <c r="S95" s="260" t="n">
        <v>48</v>
      </c>
      <c r="T95" s="260" t="n">
        <v>50</v>
      </c>
      <c r="U95" s="260" t="n">
        <v>53</v>
      </c>
      <c r="V95" s="260" t="n">
        <v>58</v>
      </c>
      <c r="W95" s="260" t="n">
        <v>62</v>
      </c>
      <c r="X95" s="260" t="n">
        <v>64</v>
      </c>
      <c r="Y95" s="260" t="n">
        <v>69</v>
      </c>
      <c r="Z95" s="260" t="n">
        <v>80</v>
      </c>
      <c r="AA95" s="260" t="n">
        <v>82</v>
      </c>
      <c r="AB95" s="260" t="n">
        <v>84</v>
      </c>
      <c r="AC95" s="260" t="n">
        <v>88</v>
      </c>
      <c r="AD95" s="260" t="n">
        <v>90</v>
      </c>
      <c r="AE95" s="260" t="n">
        <v>92</v>
      </c>
      <c r="AF95" s="260" t="n">
        <v>96</v>
      </c>
      <c r="AG95" s="260" t="n">
        <v>98</v>
      </c>
      <c r="AH95" s="260" t="n">
        <v>102</v>
      </c>
      <c r="AI95" s="260" t="n">
        <v>105</v>
      </c>
      <c r="AJ95" s="260" t="n">
        <v>77</v>
      </c>
    </row>
    <row r="96">
      <c r="A96" t="n">
        <v>52</v>
      </c>
      <c r="B96" t="n">
        <v>1</v>
      </c>
      <c r="G96" t="inlineStr">
        <is>
          <t>un</t>
        </is>
      </c>
      <c r="H96" t="inlineStr">
        <is>
          <t>Lojas - Novo Atacarejo (fim do periodo)</t>
        </is>
      </c>
      <c r="J96" t="inlineStr">
        <is>
          <t>fonte</t>
        </is>
      </c>
      <c r="K96" s="260" t="n">
        <v>0</v>
      </c>
      <c r="L96" s="260" t="n">
        <v>0</v>
      </c>
      <c r="M96" s="260" t="n">
        <v>0</v>
      </c>
      <c r="N96" s="260" t="n">
        <v>0</v>
      </c>
      <c r="O96" s="260" t="n">
        <v>0</v>
      </c>
      <c r="P96" s="260" t="n">
        <v>0</v>
      </c>
      <c r="Q96" s="260" t="n">
        <v>0</v>
      </c>
      <c r="R96" s="260" t="n">
        <v>0</v>
      </c>
      <c r="S96" s="260" t="n">
        <v>0</v>
      </c>
      <c r="T96" s="260" t="n">
        <v>0</v>
      </c>
      <c r="U96" s="260" t="n">
        <v>0</v>
      </c>
      <c r="V96" s="260" t="n">
        <v>0</v>
      </c>
      <c r="W96" s="260" t="n">
        <v>0</v>
      </c>
      <c r="X96" s="260" t="n">
        <v>0</v>
      </c>
      <c r="Y96" s="260" t="n">
        <v>0</v>
      </c>
      <c r="Z96" s="260" t="n">
        <v>0</v>
      </c>
      <c r="AA96" s="260" t="n">
        <v>0</v>
      </c>
      <c r="AB96" s="260" t="n">
        <v>0</v>
      </c>
      <c r="AC96" s="260" t="n">
        <v>0</v>
      </c>
      <c r="AD96" s="260" t="n">
        <v>0</v>
      </c>
      <c r="AE96" s="260" t="n">
        <v>0</v>
      </c>
      <c r="AF96" s="260" t="n">
        <v>0</v>
      </c>
      <c r="AG96" s="260" t="n">
        <v>36</v>
      </c>
      <c r="AH96" s="260" t="n">
        <v>37</v>
      </c>
      <c r="AI96" s="260" t="n">
        <v>37</v>
      </c>
      <c r="AJ96" s="260" t="n">
        <v>67</v>
      </c>
    </row>
    <row r="97">
      <c r="A97" t="n">
        <v>53</v>
      </c>
      <c r="B97" t="n">
        <v>1</v>
      </c>
      <c r="G97" t="inlineStr">
        <is>
          <t>un</t>
        </is>
      </c>
      <c r="H97" t="inlineStr">
        <is>
          <t>Lojas - Varejo (Super/Hiper + Camino) (fim do periodo)</t>
        </is>
      </c>
      <c r="J97" t="inlineStr">
        <is>
          <t>fonte</t>
        </is>
      </c>
      <c r="K97" s="260" t="n">
        <v>40</v>
      </c>
      <c r="L97" s="260" t="n">
        <v>41</v>
      </c>
      <c r="M97" s="260" t="n">
        <v>44</v>
      </c>
      <c r="N97" s="260" t="n">
        <v>49</v>
      </c>
      <c r="O97" s="260" t="n">
        <v>55</v>
      </c>
      <c r="P97" s="260" t="n">
        <v>56</v>
      </c>
      <c r="Q97" s="260" t="n">
        <v>57</v>
      </c>
      <c r="R97" s="260" t="n">
        <v>61</v>
      </c>
      <c r="S97" s="260" t="n">
        <v>68</v>
      </c>
      <c r="T97" s="260" t="n">
        <v>69</v>
      </c>
      <c r="U97" s="260" t="n">
        <v>70</v>
      </c>
      <c r="V97" s="260" t="n">
        <v>70</v>
      </c>
      <c r="W97" s="260" t="n">
        <v>70</v>
      </c>
      <c r="X97" s="260" t="n">
        <v>71</v>
      </c>
      <c r="Y97" s="260" t="n">
        <v>72</v>
      </c>
      <c r="Z97" s="260" t="n">
        <v>73</v>
      </c>
      <c r="AA97" s="260" t="n">
        <v>73</v>
      </c>
      <c r="AB97" s="260" t="n">
        <v>76</v>
      </c>
      <c r="AC97" s="260" t="n">
        <v>76</v>
      </c>
      <c r="AD97" s="260" t="n">
        <v>78</v>
      </c>
      <c r="AE97" s="260" t="n">
        <v>80</v>
      </c>
      <c r="AF97" s="260" t="n">
        <v>80</v>
      </c>
      <c r="AG97" s="260" t="n">
        <v>81</v>
      </c>
      <c r="AH97" s="260" t="n">
        <v>85</v>
      </c>
      <c r="AI97" s="260" t="n">
        <v>86</v>
      </c>
      <c r="AJ97" s="260" t="n">
        <v>90</v>
      </c>
    </row>
    <row r="98">
      <c r="A98" t="n">
        <v>54</v>
      </c>
      <c r="B98" t="n">
        <v>1</v>
      </c>
      <c r="G98" t="inlineStr">
        <is>
          <t>un</t>
        </is>
      </c>
      <c r="H98" t="inlineStr">
        <is>
          <t>Lojas - Eletro (fim do periodo)</t>
        </is>
      </c>
      <c r="J98" t="inlineStr">
        <is>
          <t>fonte</t>
        </is>
      </c>
      <c r="K98" s="260" t="n">
        <v>61</v>
      </c>
      <c r="L98" s="260" t="n">
        <v>67</v>
      </c>
      <c r="M98" s="260" t="n">
        <v>71</v>
      </c>
      <c r="N98" s="260" t="n">
        <v>77</v>
      </c>
      <c r="O98" s="260" t="n">
        <v>80</v>
      </c>
      <c r="P98" s="260" t="n">
        <v>88</v>
      </c>
      <c r="Q98" s="260" t="n">
        <v>92</v>
      </c>
      <c r="R98" s="260" t="n">
        <v>99</v>
      </c>
      <c r="S98" s="260" t="n">
        <v>102</v>
      </c>
      <c r="T98" s="260" t="n">
        <v>103</v>
      </c>
      <c r="U98" s="260" t="n">
        <v>103</v>
      </c>
      <c r="V98" s="260" t="n">
        <v>104</v>
      </c>
      <c r="W98" s="260" t="n">
        <v>106</v>
      </c>
      <c r="X98" s="260" t="n">
        <v>104</v>
      </c>
      <c r="Y98" s="260" t="n">
        <v>105</v>
      </c>
      <c r="Z98" s="260" t="n">
        <v>105</v>
      </c>
      <c r="AA98" s="260" t="n">
        <v>104</v>
      </c>
      <c r="AB98" s="260" t="n">
        <v>104</v>
      </c>
      <c r="AC98" s="260" t="n">
        <v>104</v>
      </c>
      <c r="AD98" s="260" t="n">
        <v>104</v>
      </c>
      <c r="AE98" s="260" t="n">
        <v>104</v>
      </c>
      <c r="AF98" s="260" t="n">
        <v>95</v>
      </c>
      <c r="AG98" s="260" t="n">
        <v>91</v>
      </c>
      <c r="AH98" s="260" t="n">
        <v>78</v>
      </c>
      <c r="AI98" s="260" t="n">
        <v>78</v>
      </c>
      <c r="AJ98" s="260" t="n">
        <v>78</v>
      </c>
    </row>
    <row r="99">
      <c r="A99" t="n">
        <v>55</v>
      </c>
      <c r="B99" t="n">
        <v>1</v>
      </c>
      <c r="G99" t="inlineStr">
        <is>
          <t>un</t>
        </is>
      </c>
      <c r="H99" t="inlineStr">
        <is>
          <t>Lojas - Farmacia (fim do periodo)</t>
        </is>
      </c>
      <c r="J99" t="inlineStr">
        <is>
          <t>fonte</t>
        </is>
      </c>
      <c r="K99" s="260" t="n">
        <v>0</v>
      </c>
      <c r="L99" s="260" t="n">
        <v>0</v>
      </c>
      <c r="M99" s="260" t="n">
        <v>0</v>
      </c>
      <c r="N99" s="260" t="n">
        <v>0</v>
      </c>
      <c r="O99" s="260" t="n">
        <v>0</v>
      </c>
      <c r="P99" s="260" t="n">
        <v>0</v>
      </c>
      <c r="Q99" s="260" t="n">
        <v>0</v>
      </c>
      <c r="R99" s="260" t="n">
        <v>0</v>
      </c>
      <c r="S99" s="260" t="n">
        <v>0</v>
      </c>
      <c r="T99" s="260" t="n">
        <v>0</v>
      </c>
      <c r="U99" s="260" t="n">
        <v>0</v>
      </c>
      <c r="V99" s="260" t="n">
        <v>0</v>
      </c>
      <c r="W99" s="260" t="n">
        <v>0</v>
      </c>
      <c r="X99" s="260" t="n">
        <v>0</v>
      </c>
      <c r="Y99" s="260" t="n">
        <v>0</v>
      </c>
      <c r="Z99" s="260" t="n">
        <v>0</v>
      </c>
      <c r="AA99" s="260" t="n">
        <v>0</v>
      </c>
      <c r="AB99" s="260" t="n">
        <v>0</v>
      </c>
      <c r="AC99" s="260" t="n">
        <v>0</v>
      </c>
      <c r="AD99" s="260" t="n">
        <v>0</v>
      </c>
      <c r="AE99" s="260" t="n">
        <v>0</v>
      </c>
      <c r="AF99" s="260" t="n">
        <v>0</v>
      </c>
      <c r="AG99" s="260" t="n">
        <v>0</v>
      </c>
      <c r="AH99" s="260" t="n">
        <v>0</v>
      </c>
      <c r="AI99" s="260" t="n">
        <v>0</v>
      </c>
      <c r="AJ99" s="260" t="n">
        <v>1</v>
      </c>
    </row>
    <row r="100">
      <c r="A100" t="n">
        <v>56</v>
      </c>
      <c r="B100" t="n">
        <v>1</v>
      </c>
      <c r="G100" t="inlineStr">
        <is>
          <t>un</t>
        </is>
      </c>
      <c r="H100" t="inlineStr">
        <is>
          <t>Area de vendas - Atacarejo (m2; a aba diz "mil m2" mas os valores estao em m2)</t>
        </is>
      </c>
      <c r="J100" t="inlineStr">
        <is>
          <t>fonte</t>
        </is>
      </c>
      <c r="K100" s="260" t="n">
        <v>130570.4807</v>
      </c>
      <c r="L100" s="260" t="n">
        <v>144829.2607</v>
      </c>
      <c r="M100" s="260" t="n">
        <v>149591.2607</v>
      </c>
      <c r="N100" s="260" t="n">
        <v>162362.5607</v>
      </c>
      <c r="O100" s="260" t="n">
        <v>172313.3707</v>
      </c>
      <c r="P100" s="260" t="n">
        <v>186618.8407</v>
      </c>
      <c r="Q100" s="260" t="n">
        <v>195258</v>
      </c>
      <c r="R100" s="260" t="n">
        <v>204422</v>
      </c>
      <c r="S100" s="260" t="n">
        <v>236290</v>
      </c>
      <c r="T100" s="260" t="n">
        <v>247402</v>
      </c>
      <c r="U100" s="260" t="n">
        <v>258719</v>
      </c>
      <c r="V100" s="260" t="n">
        <v>281028</v>
      </c>
      <c r="W100" s="260" t="n">
        <v>297424.3507</v>
      </c>
      <c r="X100" s="260" t="n">
        <v>304425</v>
      </c>
      <c r="Y100" s="260" t="n">
        <v>321276.3507</v>
      </c>
      <c r="Z100" s="260" t="n">
        <v>362853.9707</v>
      </c>
      <c r="AA100" s="260" t="n">
        <v>370218.7007</v>
      </c>
      <c r="AB100" s="260" t="n">
        <v>376739.5907</v>
      </c>
      <c r="AC100" s="260" t="n">
        <v>391853.7907</v>
      </c>
      <c r="AD100" s="260" t="n">
        <v>401125.4007</v>
      </c>
      <c r="AE100" s="260" t="n">
        <v>408033.4007</v>
      </c>
      <c r="AF100" s="260" t="n">
        <v>425229.9607</v>
      </c>
      <c r="AG100" s="260" t="n">
        <v>433065.9607</v>
      </c>
      <c r="AH100" s="260" t="n">
        <v>445430.3807</v>
      </c>
      <c r="AI100" s="260" t="n">
        <v>455002</v>
      </c>
      <c r="AJ100" s="260" t="n">
        <v>346191.3807</v>
      </c>
    </row>
    <row r="101">
      <c r="A101" t="n">
        <v>57</v>
      </c>
      <c r="B101" t="n">
        <v>1</v>
      </c>
      <c r="G101" t="inlineStr">
        <is>
          <t>un</t>
        </is>
      </c>
      <c r="H101" t="inlineStr">
        <is>
          <t>Area de vendas - Novo Atacarejo (m2)</t>
        </is>
      </c>
      <c r="J101" t="inlineStr">
        <is>
          <t>fonte</t>
        </is>
      </c>
      <c r="K101" s="260" t="n">
        <v>0</v>
      </c>
      <c r="L101" s="260" t="n">
        <v>0</v>
      </c>
      <c r="M101" s="260" t="n">
        <v>0</v>
      </c>
      <c r="N101" s="260" t="n">
        <v>0</v>
      </c>
      <c r="O101" s="260" t="n">
        <v>0</v>
      </c>
      <c r="P101" s="260" t="n">
        <v>0</v>
      </c>
      <c r="Q101" s="260" t="n">
        <v>0</v>
      </c>
      <c r="R101" s="260" t="n">
        <v>0</v>
      </c>
      <c r="S101" s="260" t="n">
        <v>0</v>
      </c>
      <c r="T101" s="260" t="n">
        <v>0</v>
      </c>
      <c r="U101" s="260" t="n">
        <v>0</v>
      </c>
      <c r="V101" s="260" t="n">
        <v>0</v>
      </c>
      <c r="W101" s="260" t="n">
        <v>0</v>
      </c>
      <c r="X101" s="260" t="n">
        <v>0</v>
      </c>
      <c r="Y101" s="260" t="n">
        <v>0</v>
      </c>
      <c r="Z101" s="260" t="n">
        <v>0</v>
      </c>
      <c r="AA101" s="260" t="n">
        <v>0</v>
      </c>
      <c r="AB101" s="260" t="n">
        <v>0</v>
      </c>
      <c r="AC101" s="260" t="n">
        <v>0</v>
      </c>
      <c r="AD101" s="260" t="n">
        <v>0</v>
      </c>
      <c r="AE101" s="260" t="n">
        <v>0</v>
      </c>
      <c r="AF101" s="260" t="n">
        <v>0</v>
      </c>
      <c r="AG101" s="260" t="n">
        <v>137197</v>
      </c>
      <c r="AH101" s="260" t="n">
        <v>140920.05</v>
      </c>
      <c r="AI101" s="260" t="n">
        <v>140920</v>
      </c>
      <c r="AJ101" s="260" t="n">
        <v>257161.53</v>
      </c>
    </row>
    <row r="102">
      <c r="A102" t="n">
        <v>58</v>
      </c>
      <c r="B102" t="n">
        <v>1</v>
      </c>
      <c r="G102" t="inlineStr">
        <is>
          <t>un</t>
        </is>
      </c>
      <c r="H102" t="inlineStr">
        <is>
          <t>Area de vendas - Varejo (m2)</t>
        </is>
      </c>
      <c r="J102" t="inlineStr">
        <is>
          <t>fonte</t>
        </is>
      </c>
      <c r="K102" s="260" t="n">
        <v>71735.12270000001</v>
      </c>
      <c r="L102" s="260" t="n">
        <v>72492.06269999999</v>
      </c>
      <c r="M102" s="260" t="n">
        <v>76358.81269999999</v>
      </c>
      <c r="N102" s="260" t="n">
        <v>85579.87270000001</v>
      </c>
      <c r="O102" s="260" t="n">
        <v>93923.23269999999</v>
      </c>
      <c r="P102" s="260" t="n">
        <v>95641.2827</v>
      </c>
      <c r="Q102" s="260" t="n">
        <v>97277</v>
      </c>
      <c r="R102" s="260" t="n">
        <v>105812</v>
      </c>
      <c r="S102" s="260" t="n">
        <v>116745</v>
      </c>
      <c r="T102" s="260" t="n">
        <v>118729</v>
      </c>
      <c r="U102" s="260" t="n">
        <v>120216</v>
      </c>
      <c r="V102" s="260" t="n">
        <v>120216</v>
      </c>
      <c r="W102" s="260" t="n">
        <v>120216</v>
      </c>
      <c r="X102" s="260" t="n">
        <v>121271</v>
      </c>
      <c r="Y102" s="260" t="n">
        <v>123571</v>
      </c>
      <c r="Z102" s="260" t="n">
        <v>124372</v>
      </c>
      <c r="AA102" s="260" t="n">
        <v>124372</v>
      </c>
      <c r="AB102" s="260" t="n">
        <v>127274.2927</v>
      </c>
      <c r="AC102" s="260" t="n">
        <v>127274.2927</v>
      </c>
      <c r="AD102" s="260" t="n">
        <v>132684.2927</v>
      </c>
      <c r="AE102" s="260" t="n">
        <v>134494.2927</v>
      </c>
      <c r="AF102" s="260" t="n">
        <v>135281.9427</v>
      </c>
      <c r="AG102" s="260" t="n">
        <v>135690.9427</v>
      </c>
      <c r="AH102" s="260" t="n">
        <v>142699.4827</v>
      </c>
      <c r="AI102" s="260" t="n">
        <v>144400</v>
      </c>
      <c r="AJ102" s="260" t="n">
        <v>149842.1927</v>
      </c>
    </row>
    <row r="103">
      <c r="A103" t="n">
        <v>59</v>
      </c>
      <c r="B103" t="n">
        <v>1</v>
      </c>
      <c r="G103" t="inlineStr">
        <is>
          <t>un</t>
        </is>
      </c>
      <c r="H103" t="inlineStr">
        <is>
          <t>Area de vendas - Eletro (m2)</t>
        </is>
      </c>
      <c r="J103" t="inlineStr">
        <is>
          <t>fonte</t>
        </is>
      </c>
      <c r="K103" s="260" t="n">
        <v>68149.50999999999</v>
      </c>
      <c r="L103" s="260" t="n">
        <v>72341.67</v>
      </c>
      <c r="M103" s="260" t="n">
        <v>75060.34</v>
      </c>
      <c r="N103" s="260" t="n">
        <v>80834.32000000001</v>
      </c>
      <c r="O103" s="260" t="n">
        <v>83575.38</v>
      </c>
      <c r="P103" s="260" t="n">
        <v>89891.60000000001</v>
      </c>
      <c r="Q103" s="260" t="n">
        <v>93233</v>
      </c>
      <c r="R103" s="260" t="n">
        <v>97593</v>
      </c>
      <c r="S103" s="260" t="n">
        <v>99641</v>
      </c>
      <c r="T103" s="260" t="n">
        <v>100220</v>
      </c>
      <c r="U103" s="260" t="n">
        <v>98723</v>
      </c>
      <c r="V103" s="260" t="n">
        <v>99247</v>
      </c>
      <c r="W103" s="260" t="n">
        <v>100463.39</v>
      </c>
      <c r="X103" s="260" t="n">
        <v>99299</v>
      </c>
      <c r="Y103" s="260" t="n">
        <v>99578.32000000001</v>
      </c>
      <c r="Z103" s="260" t="n">
        <v>99578.32000000001</v>
      </c>
      <c r="AA103" s="260" t="n">
        <v>98939</v>
      </c>
      <c r="AB103" s="260" t="n">
        <v>99459.56</v>
      </c>
      <c r="AC103" s="260" t="n">
        <v>98696.41</v>
      </c>
      <c r="AD103" s="260" t="n">
        <v>98696.41</v>
      </c>
      <c r="AE103" s="260" t="n">
        <v>98588.5</v>
      </c>
      <c r="AF103" s="260" t="n">
        <v>91357.36</v>
      </c>
      <c r="AG103" s="260" t="n">
        <v>87184</v>
      </c>
      <c r="AH103" s="260" t="n">
        <v>72402.32000000001</v>
      </c>
      <c r="AI103" s="260" t="n">
        <v>72402</v>
      </c>
      <c r="AJ103" s="260" t="n">
        <v>72402</v>
      </c>
    </row>
    <row r="104">
      <c r="A104" t="n">
        <v>60</v>
      </c>
      <c r="B104" t="n">
        <v>1</v>
      </c>
      <c r="G104" t="inlineStr">
        <is>
          <t>un</t>
        </is>
      </c>
      <c r="H104" t="inlineStr">
        <is>
          <t>Area de vendas - Farmacia (m2)</t>
        </is>
      </c>
      <c r="J104" t="inlineStr">
        <is>
          <t>fonte</t>
        </is>
      </c>
      <c r="K104" s="260" t="n">
        <v>0</v>
      </c>
      <c r="L104" s="260" t="n">
        <v>0</v>
      </c>
      <c r="M104" s="260" t="n">
        <v>0</v>
      </c>
      <c r="N104" s="260" t="n">
        <v>0</v>
      </c>
      <c r="O104" s="260" t="n">
        <v>0</v>
      </c>
      <c r="P104" s="260" t="n">
        <v>0</v>
      </c>
      <c r="Q104" s="260" t="n">
        <v>0</v>
      </c>
      <c r="R104" s="260" t="n">
        <v>0</v>
      </c>
      <c r="S104" s="260" t="n">
        <v>0</v>
      </c>
      <c r="T104" s="260" t="n">
        <v>0</v>
      </c>
      <c r="U104" s="260" t="n">
        <v>0</v>
      </c>
      <c r="V104" s="260" t="n">
        <v>0</v>
      </c>
      <c r="W104" s="260" t="n">
        <v>0</v>
      </c>
      <c r="X104" s="260" t="n">
        <v>0</v>
      </c>
      <c r="Y104" s="260" t="n">
        <v>0</v>
      </c>
      <c r="Z104" s="260" t="n">
        <v>0</v>
      </c>
      <c r="AA104" s="260" t="n">
        <v>0</v>
      </c>
      <c r="AB104" s="260" t="n">
        <v>0</v>
      </c>
      <c r="AC104" s="260" t="n">
        <v>0</v>
      </c>
      <c r="AD104" s="260" t="n">
        <v>0</v>
      </c>
      <c r="AE104" s="260" t="n">
        <v>0</v>
      </c>
      <c r="AF104" s="260" t="n">
        <v>0</v>
      </c>
      <c r="AG104" s="260" t="n">
        <v>0</v>
      </c>
      <c r="AH104" s="260" t="n">
        <v>0</v>
      </c>
      <c r="AI104" s="260" t="n">
        <v>0</v>
      </c>
      <c r="AJ104" s="260" t="n">
        <v>771</v>
      </c>
    </row>
    <row r="105">
      <c r="A105" t="n">
        <v>61</v>
      </c>
      <c r="B105" t="n">
        <v>1</v>
      </c>
      <c r="G105" t="inlineStr">
        <is>
          <t>un</t>
        </is>
      </c>
      <c r="H105" t="inlineStr">
        <is>
          <t>SSS consolidado sem ajuste calendario (%) - releases (1T20 e 1T21 divulgados arredondados: 7% e 10%)</t>
        </is>
      </c>
      <c r="J105" t="inlineStr">
        <is>
          <t>release</t>
        </is>
      </c>
      <c r="K105" s="261" t="n">
        <v>0.07000000000000001</v>
      </c>
      <c r="L105" s="261" t="n">
        <v>0.238</v>
      </c>
      <c r="M105" s="261" t="n">
        <v>0.237</v>
      </c>
      <c r="N105" s="261" t="n">
        <v>0.213</v>
      </c>
      <c r="O105" s="261" t="n">
        <v>0.1</v>
      </c>
      <c r="P105" s="261" t="n">
        <v>0.018</v>
      </c>
      <c r="Q105" s="261" t="n">
        <v>0.015</v>
      </c>
      <c r="R105" s="261" t="n">
        <v>0.014</v>
      </c>
      <c r="S105" s="261" t="n">
        <v>0.127</v>
      </c>
      <c r="T105" s="261" t="n">
        <v>0.167</v>
      </c>
      <c r="U105" s="261" t="n">
        <v>0.117</v>
      </c>
      <c r="V105" s="261" t="n">
        <v>0.117</v>
      </c>
      <c r="W105" s="261" t="n">
        <v>0.113</v>
      </c>
      <c r="X105" s="261" t="n">
        <v>0.104</v>
      </c>
      <c r="Y105" s="261" t="n">
        <v>0.043</v>
      </c>
      <c r="Z105" s="261" t="n">
        <v>0.08799999999999999</v>
      </c>
      <c r="AA105" s="261" t="n">
        <v>0.096</v>
      </c>
      <c r="AB105" s="261" t="n">
        <v>0.048</v>
      </c>
      <c r="AC105" s="261" t="n">
        <v>0.077</v>
      </c>
      <c r="AD105" s="261" t="n">
        <v>0.059</v>
      </c>
      <c r="AE105" s="261" t="n">
        <v>0.052</v>
      </c>
      <c r="AF105" s="261" t="n">
        <v>0.061</v>
      </c>
      <c r="AG105" s="261" t="n">
        <v>0.028</v>
      </c>
      <c r="AH105" s="261" t="n">
        <v>-0.011</v>
      </c>
      <c r="AI105" s="261" t="n">
        <v>-0.073</v>
      </c>
      <c r="AJ105" s="261" t="n">
        <v>-0.08</v>
      </c>
    </row>
    <row r="106">
      <c r="H106" t="inlineStr">
        <is>
          <t>Fontes da receita por segmento: 1T20 e 2T20: comparativos dos releases 1T21 e 2T21; 3T20: comparativo do 3T21; 4T21 a 4T22: release 4T22 (PDFs de 2022 sao imagem, lidos na tabela "Destaques por Segmento" e graficos do 4T22); demais: release do proprio trimestre. 3T25: Atacarejo = Mix Mateus 5.804 + Novo Atacarejo 1.726 (no 4T25 a Cia ja divulga somado). 1T26 e 2T26: a Cia deixou de abrir a receita por segmento</t>
        </is>
      </c>
    </row>
    <row r="107">
      <c r="H107" t="inlineStr">
        <is>
          <t>Receita bruta de mercadorias = antes de devolucoes e sem receita de servicos (conceito dos releases). Lojas 2T26: 30 lojas Mateus de PE/PB/AL migraram para a bandeira Novo Atacarejo (Atacarejo 102 -&gt; 77; Novo 37 -&gt; 67).</t>
        </is>
      </c>
    </row>
    <row r="143">
      <c r="H143" s="254" t="inlineStr">
        <is>
          <t>CONVENCOES</t>
        </is>
      </c>
    </row>
    <row r="144">
      <c r="H144" t="inlineStr">
        <is>
          <t>Linhas de origem: 5 a 107. As formulas da Inputs (2) varrem as linhas 5 a 140; as linhas 108 a 140 estao livres para novas contas.</t>
        </is>
      </c>
    </row>
    <row r="145">
      <c r="H145" t="inlineStr">
        <is>
          <t>Periodos: colunas K a AJ (1Q20 a 2Q26 = 1T20 a 2T26).</t>
        </is>
      </c>
    </row>
    <row r="146">
      <c r="H146" t="inlineStr">
        <is>
          <t>Brutos em R$ mil, como na fonte. A Inputs (2) multiplica pelo fator da celula B1 (0,001) e entrega R$ milhoes.</t>
        </is>
      </c>
    </row>
    <row r="147">
      <c r="H147" t="inlineStr">
        <is>
          <t>ORIGEM: fonte = copiado da planilha; release = digitado do release do trimestre; memoria = como divulgado, sem codigo; derivada = formula nesta aba.</t>
        </is>
      </c>
    </row>
    <row r="148">
      <c r="H148" t="inlineStr">
        <is>
          <t>Codigos 45 a 61: drivers de receita (memoria); alimentam o bloco logo abaixo da receita liquida no Model.</t>
        </is>
      </c>
    </row>
    <row r="153">
      <c r="H153" s="254" t="n"/>
    </row>
    <row r="154"/>
    <row r="155"/>
    <row r="156"/>
    <row r="157"/>
    <row r="158"/>
    <row r="159"/>
    <row r="160"/>
    <row r="161"/>
    <row r="162"/>
    <row r="163"/>
    <row r="16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9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61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$140=$B4)*ISNUMBER(INDEX(Inputs!$K$5:$AJ$140,0,MATCH(D$2,Inputs!$K$4:$AJ$4,0))))+SUMPRODUCT((Inputs!$C$5:$C$140=$B4)*ISNUMBER(INDEX(Inputs!$K$5:$AJ$140,0,MATCH(D$2,Inputs!$K$4:$AJ$4,0))))+SUMPRODUCT((Inputs!$E$5:$E$140=$B4)*ISNUMBER(INDEX(Inputs!$K$5:$AJ$140,0,MATCH(D$2,Inputs!$K$4:$AJ$4,0))))=0,NA(),SUMPRODUCT((Inputs!$A$5:$A$140=$B4)*Inputs!$B$5:$B$140*(((Inputs!$G$5:$G$140="moeda")+(Inputs!$G$5:$G$140="acoes"))*Inputs!$B$1+((Inputs!$G$5:$G$140&lt;&gt;"moeda")*(Inputs!$G$5:$G$140&lt;&gt;"acoes")))*INDEX(Inputs!$K$5:$AJ$140,0,MATCH(D$2,Inputs!$K$4:$AJ$4,0)))+SUMPRODUCT((Inputs!$C$5:$C$140=$B4)*Inputs!$D$5:$D$140*(((Inputs!$G$5:$G$140="moeda")+(Inputs!$G$5:$G$140="acoes"))*Inputs!$B$1+((Inputs!$G$5:$G$140&lt;&gt;"moeda")*(Inputs!$G$5:$G$140&lt;&gt;"acoes")))*INDEX(Inputs!$K$5:$AJ$140,0,MATCH(D$2,Inputs!$K$4:$AJ$4,0)))+SUMPRODUCT((Inputs!$E$5:$E$140=$B4)*Inputs!$F$5:$F$140*(((Inputs!$G$5:$G$140="moeda")+(Inputs!$G$5:$G$140="acoes"))*Inputs!$B$1+((Inputs!$G$5:$G$140&lt;&gt;"moeda")*(Inputs!$G$5:$G$140&lt;&gt;"acoes")))*INDEX(Inputs!$K$5:$AJ$140,0,MATCH(D$2,Inputs!$K$4:$AJ$4,0)))))</f>
        <v>3362.273093422</v>
      </c>
      <c r="E4" s="6">
        <f>IF(ISNA(MATCH(E$2,Inputs!$K$4:$AJ$4,0)),NA(),IF(SUMPRODUCT((Inputs!$A$5:$A$140=$B4)*ISNUMBER(INDEX(Inputs!$K$5:$AJ$140,0,MATCH(E$2,Inputs!$K$4:$AJ$4,0))))+SUMPRODUCT((Inputs!$C$5:$C$140=$B4)*ISNUMBER(INDEX(Inputs!$K$5:$AJ$140,0,MATCH(E$2,Inputs!$K$4:$AJ$4,0))))+SUMPRODUCT((Inputs!$E$5:$E$140=$B4)*ISNUMBER(INDEX(Inputs!$K$5:$AJ$140,0,MATCH(E$2,Inputs!$K$4:$AJ$4,0))))=0,NA(),SUMPRODUCT((Inputs!$A$5:$A$140=$B4)*Inputs!$B$5:$B$140*(((Inputs!$G$5:$G$140="moeda")+(Inputs!$G$5:$G$140="acoes"))*Inputs!$B$1+((Inputs!$G$5:$G$140&lt;&gt;"moeda")*(Inputs!$G$5:$G$140&lt;&gt;"acoes")))*INDEX(Inputs!$K$5:$AJ$140,0,MATCH(E$2,Inputs!$K$4:$AJ$4,0)))+SUMPRODUCT((Inputs!$C$5:$C$140=$B4)*Inputs!$D$5:$D$140*(((Inputs!$G$5:$G$140="moeda")+(Inputs!$G$5:$G$140="acoes"))*Inputs!$B$1+((Inputs!$G$5:$G$140&lt;&gt;"moeda")*(Inputs!$G$5:$G$140&lt;&gt;"acoes")))*INDEX(Inputs!$K$5:$AJ$140,0,MATCH(E$2,Inputs!$K$4:$AJ$4,0)))+SUMPRODUCT((Inputs!$E$5:$E$140=$B4)*Inputs!$F$5:$F$140*(((Inputs!$G$5:$G$140="moeda")+(Inputs!$G$5:$G$140="acoes"))*Inputs!$B$1+((Inputs!$G$5:$G$140&lt;&gt;"moeda")*(Inputs!$G$5:$G$140&lt;&gt;"acoes")))*INDEX(Inputs!$K$5:$AJ$140,0,MATCH(E$2,Inputs!$K$4:$AJ$4,0)))))</f>
        <v>3724.34168501941</v>
      </c>
      <c r="F4" s="6">
        <f>IF(ISNA(MATCH(F$2,Inputs!$K$4:$AJ$4,0)),NA(),IF(SUMPRODUCT((Inputs!$A$5:$A$140=$B4)*ISNUMBER(INDEX(Inputs!$K$5:$AJ$140,0,MATCH(F$2,Inputs!$K$4:$AJ$4,0))))+SUMPRODUCT((Inputs!$C$5:$C$140=$B4)*ISNUMBER(INDEX(Inputs!$K$5:$AJ$140,0,MATCH(F$2,Inputs!$K$4:$AJ$4,0))))+SUMPRODUCT((Inputs!$E$5:$E$140=$B4)*ISNUMBER(INDEX(Inputs!$K$5:$AJ$140,0,MATCH(F$2,Inputs!$K$4:$AJ$4,0))))=0,NA(),SUMPRODUCT((Inputs!$A$5:$A$140=$B4)*Inputs!$B$5:$B$140*(((Inputs!$G$5:$G$140="moeda")+(Inputs!$G$5:$G$140="acoes"))*Inputs!$B$1+((Inputs!$G$5:$G$140&lt;&gt;"moeda")*(Inputs!$G$5:$G$140&lt;&gt;"acoes")))*INDEX(Inputs!$K$5:$AJ$140,0,MATCH(F$2,Inputs!$K$4:$AJ$4,0)))+SUMPRODUCT((Inputs!$C$5:$C$140=$B4)*Inputs!$D$5:$D$140*(((Inputs!$G$5:$G$140="moeda")+(Inputs!$G$5:$G$140="acoes"))*Inputs!$B$1+((Inputs!$G$5:$G$140&lt;&gt;"moeda")*(Inputs!$G$5:$G$140&lt;&gt;"acoes")))*INDEX(Inputs!$K$5:$AJ$140,0,MATCH(F$2,Inputs!$K$4:$AJ$4,0)))+SUMPRODUCT((Inputs!$E$5:$E$140=$B4)*Inputs!$F$5:$F$140*(((Inputs!$G$5:$G$140="moeda")+(Inputs!$G$5:$G$140="acoes"))*Inputs!$B$1+((Inputs!$G$5:$G$140&lt;&gt;"moeda")*(Inputs!$G$5:$G$140&lt;&gt;"acoes")))*INDEX(Inputs!$K$5:$AJ$140,0,MATCH(F$2,Inputs!$K$4:$AJ$4,0)))))</f>
        <v>4349.125</v>
      </c>
      <c r="G4" s="6">
        <f>IF(ISNA(MATCH(G$2,Inputs!$K$4:$AJ$4,0)),NA(),IF(SUMPRODUCT((Inputs!$A$5:$A$140=$B4)*ISNUMBER(INDEX(Inputs!$K$5:$AJ$140,0,MATCH(G$2,Inputs!$K$4:$AJ$4,0))))+SUMPRODUCT((Inputs!$C$5:$C$140=$B4)*ISNUMBER(INDEX(Inputs!$K$5:$AJ$140,0,MATCH(G$2,Inputs!$K$4:$AJ$4,0))))+SUMPRODUCT((Inputs!$E$5:$E$140=$B4)*ISNUMBER(INDEX(Inputs!$K$5:$AJ$140,0,MATCH(G$2,Inputs!$K$4:$AJ$4,0))))=0,NA(),SUMPRODUCT((Inputs!$A$5:$A$140=$B4)*Inputs!$B$5:$B$140*(((Inputs!$G$5:$G$140="moeda")+(Inputs!$G$5:$G$140="acoes"))*Inputs!$B$1+((Inputs!$G$5:$G$140&lt;&gt;"moeda")*(Inputs!$G$5:$G$140&lt;&gt;"acoes")))*INDEX(Inputs!$K$5:$AJ$140,0,MATCH(G$2,Inputs!$K$4:$AJ$4,0)))+SUMPRODUCT((Inputs!$C$5:$C$140=$B4)*Inputs!$D$5:$D$140*(((Inputs!$G$5:$G$140="moeda")+(Inputs!$G$5:$G$140="acoes"))*Inputs!$B$1+((Inputs!$G$5:$G$140&lt;&gt;"moeda")*(Inputs!$G$5:$G$140&lt;&gt;"acoes")))*INDEX(Inputs!$K$5:$AJ$140,0,MATCH(G$2,Inputs!$K$4:$AJ$4,0)))+SUMPRODUCT((Inputs!$E$5:$E$140=$B4)*Inputs!$F$5:$F$140*(((Inputs!$G$5:$G$140="moeda")+(Inputs!$G$5:$G$140="acoes"))*Inputs!$B$1+((Inputs!$G$5:$G$140&lt;&gt;"moeda")*(Inputs!$G$5:$G$140&lt;&gt;"acoes")))*INDEX(Inputs!$K$5:$AJ$140,0,MATCH(G$2,Inputs!$K$4:$AJ$4,0)))))</f>
        <v>4441.11722155859</v>
      </c>
      <c r="H4" s="3">
        <f>SUM(D4:G4)</f>
        <v>15876.857</v>
      </c>
      <c r="I4" s="6">
        <f>IF(ISNA(MATCH(I$2,Inputs!$K$4:$AJ$4,0)),NA(),IF(SUMPRODUCT((Inputs!$A$5:$A$140=$B4)*ISNUMBER(INDEX(Inputs!$K$5:$AJ$140,0,MATCH(I$2,Inputs!$K$4:$AJ$4,0))))+SUMPRODUCT((Inputs!$C$5:$C$140=$B4)*ISNUMBER(INDEX(Inputs!$K$5:$AJ$140,0,MATCH(I$2,Inputs!$K$4:$AJ$4,0))))+SUMPRODUCT((Inputs!$E$5:$E$140=$B4)*ISNUMBER(INDEX(Inputs!$K$5:$AJ$140,0,MATCH(I$2,Inputs!$K$4:$AJ$4,0))))=0,NA(),SUMPRODUCT((Inputs!$A$5:$A$140=$B4)*Inputs!$B$5:$B$140*(((Inputs!$G$5:$G$140="moeda")+(Inputs!$G$5:$G$140="acoes"))*Inputs!$B$1+((Inputs!$G$5:$G$140&lt;&gt;"moeda")*(Inputs!$G$5:$G$140&lt;&gt;"acoes")))*INDEX(Inputs!$K$5:$AJ$140,0,MATCH(I$2,Inputs!$K$4:$AJ$4,0)))+SUMPRODUCT((Inputs!$C$5:$C$140=$B4)*Inputs!$D$5:$D$140*(((Inputs!$G$5:$G$140="moeda")+(Inputs!$G$5:$G$140="acoes"))*Inputs!$B$1+((Inputs!$G$5:$G$140&lt;&gt;"moeda")*(Inputs!$G$5:$G$140&lt;&gt;"acoes")))*INDEX(Inputs!$K$5:$AJ$140,0,MATCH(I$2,Inputs!$K$4:$AJ$4,0)))+SUMPRODUCT((Inputs!$E$5:$E$140=$B4)*Inputs!$F$5:$F$140*(((Inputs!$G$5:$G$140="moeda")+(Inputs!$G$5:$G$140="acoes"))*Inputs!$B$1+((Inputs!$G$5:$G$140&lt;&gt;"moeda")*(Inputs!$G$5:$G$140&lt;&gt;"acoes")))*INDEX(Inputs!$K$5:$AJ$140,0,MATCH(I$2,Inputs!$K$4:$AJ$4,0)))))</f>
        <v>4578.77953623342</v>
      </c>
      <c r="J4" s="6">
        <f>IF(ISNA(MATCH(J$2,Inputs!$K$4:$AJ$4,0)),NA(),IF(SUMPRODUCT((Inputs!$A$5:$A$140=$B4)*ISNUMBER(INDEX(Inputs!$K$5:$AJ$140,0,MATCH(J$2,Inputs!$K$4:$AJ$4,0))))+SUMPRODUCT((Inputs!$C$5:$C$140=$B4)*ISNUMBER(INDEX(Inputs!$K$5:$AJ$140,0,MATCH(J$2,Inputs!$K$4:$AJ$4,0))))+SUMPRODUCT((Inputs!$E$5:$E$140=$B4)*ISNUMBER(INDEX(Inputs!$K$5:$AJ$140,0,MATCH(J$2,Inputs!$K$4:$AJ$4,0))))=0,NA(),SUMPRODUCT((Inputs!$A$5:$A$140=$B4)*Inputs!$B$5:$B$140*(((Inputs!$G$5:$G$140="moeda")+(Inputs!$G$5:$G$140="acoes"))*Inputs!$B$1+((Inputs!$G$5:$G$140&lt;&gt;"moeda")*(Inputs!$G$5:$G$140&lt;&gt;"acoes")))*INDEX(Inputs!$K$5:$AJ$140,0,MATCH(J$2,Inputs!$K$4:$AJ$4,0)))+SUMPRODUCT((Inputs!$C$5:$C$140=$B4)*Inputs!$D$5:$D$140*(((Inputs!$G$5:$G$140="moeda")+(Inputs!$G$5:$G$140="acoes"))*Inputs!$B$1+((Inputs!$G$5:$G$140&lt;&gt;"moeda")*(Inputs!$G$5:$G$140&lt;&gt;"acoes")))*INDEX(Inputs!$K$5:$AJ$140,0,MATCH(J$2,Inputs!$K$4:$AJ$4,0)))+SUMPRODUCT((Inputs!$E$5:$E$140=$B4)*Inputs!$F$5:$F$140*(((Inputs!$G$5:$G$140="moeda")+(Inputs!$G$5:$G$140="acoes"))*Inputs!$B$1+((Inputs!$G$5:$G$140&lt;&gt;"moeda")*(Inputs!$G$5:$G$140&lt;&gt;"acoes")))*INDEX(Inputs!$K$5:$AJ$140,0,MATCH(J$2,Inputs!$K$4:$AJ$4,0)))))</f>
        <v>5201.989</v>
      </c>
      <c r="K4" s="6">
        <f>IF(ISNA(MATCH(K$2,Inputs!$K$4:$AJ$4,0)),NA(),IF(SUMPRODUCT((Inputs!$A$5:$A$140=$B4)*ISNUMBER(INDEX(Inputs!$K$5:$AJ$140,0,MATCH(K$2,Inputs!$K$4:$AJ$4,0))))+SUMPRODUCT((Inputs!$C$5:$C$140=$B4)*ISNUMBER(INDEX(Inputs!$K$5:$AJ$140,0,MATCH(K$2,Inputs!$K$4:$AJ$4,0))))+SUMPRODUCT((Inputs!$E$5:$E$140=$B4)*ISNUMBER(INDEX(Inputs!$K$5:$AJ$140,0,MATCH(K$2,Inputs!$K$4:$AJ$4,0))))=0,NA(),SUMPRODUCT((Inputs!$A$5:$A$140=$B4)*Inputs!$B$5:$B$140*(((Inputs!$G$5:$G$140="moeda")+(Inputs!$G$5:$G$140="acoes"))*Inputs!$B$1+((Inputs!$G$5:$G$140&lt;&gt;"moeda")*(Inputs!$G$5:$G$140&lt;&gt;"acoes")))*INDEX(Inputs!$K$5:$AJ$140,0,MATCH(K$2,Inputs!$K$4:$AJ$4,0)))+SUMPRODUCT((Inputs!$C$5:$C$140=$B4)*Inputs!$D$5:$D$140*(((Inputs!$G$5:$G$140="moeda")+(Inputs!$G$5:$G$140="acoes"))*Inputs!$B$1+((Inputs!$G$5:$G$140&lt;&gt;"moeda")*(Inputs!$G$5:$G$140&lt;&gt;"acoes")))*INDEX(Inputs!$K$5:$AJ$140,0,MATCH(K$2,Inputs!$K$4:$AJ$4,0)))+SUMPRODUCT((Inputs!$E$5:$E$140=$B4)*Inputs!$F$5:$F$140*(((Inputs!$G$5:$G$140="moeda")+(Inputs!$G$5:$G$140="acoes"))*Inputs!$B$1+((Inputs!$G$5:$G$140&lt;&gt;"moeda")*(Inputs!$G$5:$G$140&lt;&gt;"acoes")))*INDEX(Inputs!$K$5:$AJ$140,0,MATCH(K$2,Inputs!$K$4:$AJ$4,0)))))</f>
        <v>5923.131</v>
      </c>
      <c r="L4" s="6">
        <f>IF(ISNA(MATCH(L$2,Inputs!$K$4:$AJ$4,0)),NA(),IF(SUMPRODUCT((Inputs!$A$5:$A$140=$B4)*ISNUMBER(INDEX(Inputs!$K$5:$AJ$140,0,MATCH(L$2,Inputs!$K$4:$AJ$4,0))))+SUMPRODUCT((Inputs!$C$5:$C$140=$B4)*ISNUMBER(INDEX(Inputs!$K$5:$AJ$140,0,MATCH(L$2,Inputs!$K$4:$AJ$4,0))))+SUMPRODUCT((Inputs!$E$5:$E$140=$B4)*ISNUMBER(INDEX(Inputs!$K$5:$AJ$140,0,MATCH(L$2,Inputs!$K$4:$AJ$4,0))))=0,NA(),SUMPRODUCT((Inputs!$A$5:$A$140=$B4)*Inputs!$B$5:$B$140*(((Inputs!$G$5:$G$140="moeda")+(Inputs!$G$5:$G$140="acoes"))*Inputs!$B$1+((Inputs!$G$5:$G$140&lt;&gt;"moeda")*(Inputs!$G$5:$G$140&lt;&gt;"acoes")))*INDEX(Inputs!$K$5:$AJ$140,0,MATCH(L$2,Inputs!$K$4:$AJ$4,0)))+SUMPRODUCT((Inputs!$C$5:$C$140=$B4)*Inputs!$D$5:$D$140*(((Inputs!$G$5:$G$140="moeda")+(Inputs!$G$5:$G$140="acoes"))*Inputs!$B$1+((Inputs!$G$5:$G$140&lt;&gt;"moeda")*(Inputs!$G$5:$G$140&lt;&gt;"acoes")))*INDEX(Inputs!$K$5:$AJ$140,0,MATCH(L$2,Inputs!$K$4:$AJ$4,0)))+SUMPRODUCT((Inputs!$E$5:$E$140=$B4)*Inputs!$F$5:$F$140*(((Inputs!$G$5:$G$140="moeda")+(Inputs!$G$5:$G$140="acoes"))*Inputs!$B$1+((Inputs!$G$5:$G$140&lt;&gt;"moeda")*(Inputs!$G$5:$G$140&lt;&gt;"acoes")))*INDEX(Inputs!$K$5:$AJ$140,0,MATCH(L$2,Inputs!$K$4:$AJ$4,0)))))</f>
        <v>6064.57696333213</v>
      </c>
      <c r="M4" s="3">
        <f>SUM(I4:L4)</f>
        <v>21768.4764995656</v>
      </c>
      <c r="N4" s="6">
        <f>IF(ISNA(MATCH(N$2,Inputs!$K$4:$AJ$4,0)),NA(),IF(SUMPRODUCT((Inputs!$A$5:$A$140=$B4)*ISNUMBER(INDEX(Inputs!$K$5:$AJ$140,0,MATCH(N$2,Inputs!$K$4:$AJ$4,0))))+SUMPRODUCT((Inputs!$C$5:$C$140=$B4)*ISNUMBER(INDEX(Inputs!$K$5:$AJ$140,0,MATCH(N$2,Inputs!$K$4:$AJ$4,0))))+SUMPRODUCT((Inputs!$E$5:$E$140=$B4)*ISNUMBER(INDEX(Inputs!$K$5:$AJ$140,0,MATCH(N$2,Inputs!$K$4:$AJ$4,0))))=0,NA(),SUMPRODUCT((Inputs!$A$5:$A$140=$B4)*Inputs!$B$5:$B$140*(((Inputs!$G$5:$G$140="moeda")+(Inputs!$G$5:$G$140="acoes"))*Inputs!$B$1+((Inputs!$G$5:$G$140&lt;&gt;"moeda")*(Inputs!$G$5:$G$140&lt;&gt;"acoes")))*INDEX(Inputs!$K$5:$AJ$140,0,MATCH(N$2,Inputs!$K$4:$AJ$4,0)))+SUMPRODUCT((Inputs!$C$5:$C$140=$B4)*Inputs!$D$5:$D$140*(((Inputs!$G$5:$G$140="moeda")+(Inputs!$G$5:$G$140="acoes"))*Inputs!$B$1+((Inputs!$G$5:$G$140&lt;&gt;"moeda")*(Inputs!$G$5:$G$140&lt;&gt;"acoes")))*INDEX(Inputs!$K$5:$AJ$140,0,MATCH(N$2,Inputs!$K$4:$AJ$4,0)))+SUMPRODUCT((Inputs!$E$5:$E$140=$B4)*Inputs!$F$5:$F$140*(((Inputs!$G$5:$G$140="moeda")+(Inputs!$G$5:$G$140="acoes"))*Inputs!$B$1+((Inputs!$G$5:$G$140&lt;&gt;"moeda")*(Inputs!$G$5:$G$140&lt;&gt;"acoes")))*INDEX(Inputs!$K$5:$AJ$140,0,MATCH(N$2,Inputs!$K$4:$AJ$4,0)))))</f>
        <v>5867.87971434321</v>
      </c>
      <c r="O4" s="6">
        <f>IF(ISNA(MATCH(O$2,Inputs!$K$4:$AJ$4,0)),NA(),IF(SUMPRODUCT((Inputs!$A$5:$A$140=$B4)*ISNUMBER(INDEX(Inputs!$K$5:$AJ$140,0,MATCH(O$2,Inputs!$K$4:$AJ$4,0))))+SUMPRODUCT((Inputs!$C$5:$C$140=$B4)*ISNUMBER(INDEX(Inputs!$K$5:$AJ$140,0,MATCH(O$2,Inputs!$K$4:$AJ$4,0))))+SUMPRODUCT((Inputs!$E$5:$E$140=$B4)*ISNUMBER(INDEX(Inputs!$K$5:$AJ$140,0,MATCH(O$2,Inputs!$K$4:$AJ$4,0))))=0,NA(),SUMPRODUCT((Inputs!$A$5:$A$140=$B4)*Inputs!$B$5:$B$140*(((Inputs!$G$5:$G$140="moeda")+(Inputs!$G$5:$G$140="acoes"))*Inputs!$B$1+((Inputs!$G$5:$G$140&lt;&gt;"moeda")*(Inputs!$G$5:$G$140&lt;&gt;"acoes")))*INDEX(Inputs!$K$5:$AJ$140,0,MATCH(O$2,Inputs!$K$4:$AJ$4,0)))+SUMPRODUCT((Inputs!$C$5:$C$140=$B4)*Inputs!$D$5:$D$140*(((Inputs!$G$5:$G$140="moeda")+(Inputs!$G$5:$G$140="acoes"))*Inputs!$B$1+((Inputs!$G$5:$G$140&lt;&gt;"moeda")*(Inputs!$G$5:$G$140&lt;&gt;"acoes")))*INDEX(Inputs!$K$5:$AJ$140,0,MATCH(O$2,Inputs!$K$4:$AJ$4,0)))+SUMPRODUCT((Inputs!$E$5:$E$140=$B4)*Inputs!$F$5:$F$140*(((Inputs!$G$5:$G$140="moeda")+(Inputs!$G$5:$G$140="acoes"))*Inputs!$B$1+((Inputs!$G$5:$G$140&lt;&gt;"moeda")*(Inputs!$G$5:$G$140&lt;&gt;"acoes")))*INDEX(Inputs!$K$5:$AJ$140,0,MATCH(O$2,Inputs!$K$4:$AJ$4,0)))))</f>
        <v>6429.472</v>
      </c>
      <c r="P4" s="6">
        <f>IF(ISNA(MATCH(P$2,Inputs!$K$4:$AJ$4,0)),NA(),IF(SUMPRODUCT((Inputs!$A$5:$A$140=$B4)*ISNUMBER(INDEX(Inputs!$K$5:$AJ$140,0,MATCH(P$2,Inputs!$K$4:$AJ$4,0))))+SUMPRODUCT((Inputs!$C$5:$C$140=$B4)*ISNUMBER(INDEX(Inputs!$K$5:$AJ$140,0,MATCH(P$2,Inputs!$K$4:$AJ$4,0))))+SUMPRODUCT((Inputs!$E$5:$E$140=$B4)*ISNUMBER(INDEX(Inputs!$K$5:$AJ$140,0,MATCH(P$2,Inputs!$K$4:$AJ$4,0))))=0,NA(),SUMPRODUCT((Inputs!$A$5:$A$140=$B4)*Inputs!$B$5:$B$140*(((Inputs!$G$5:$G$140="moeda")+(Inputs!$G$5:$G$140="acoes"))*Inputs!$B$1+((Inputs!$G$5:$G$140&lt;&gt;"moeda")*(Inputs!$G$5:$G$140&lt;&gt;"acoes")))*INDEX(Inputs!$K$5:$AJ$140,0,MATCH(P$2,Inputs!$K$4:$AJ$4,0)))+SUMPRODUCT((Inputs!$C$5:$C$140=$B4)*Inputs!$D$5:$D$140*(((Inputs!$G$5:$G$140="moeda")+(Inputs!$G$5:$G$140="acoes"))*Inputs!$B$1+((Inputs!$G$5:$G$140&lt;&gt;"moeda")*(Inputs!$G$5:$G$140&lt;&gt;"acoes")))*INDEX(Inputs!$K$5:$AJ$140,0,MATCH(P$2,Inputs!$K$4:$AJ$4,0)))+SUMPRODUCT((Inputs!$E$5:$E$140=$B4)*Inputs!$F$5:$F$140*(((Inputs!$G$5:$G$140="moeda")+(Inputs!$G$5:$G$140="acoes"))*Inputs!$B$1+((Inputs!$G$5:$G$140&lt;&gt;"moeda")*(Inputs!$G$5:$G$140&lt;&gt;"acoes")))*INDEX(Inputs!$K$5:$AJ$140,0,MATCH(P$2,Inputs!$K$4:$AJ$4,0)))))</f>
        <v>6934.929</v>
      </c>
      <c r="Q4" s="6">
        <f>IF(ISNA(MATCH(Q$2,Inputs!$K$4:$AJ$4,0)),NA(),IF(SUMPRODUCT((Inputs!$A$5:$A$140=$B4)*ISNUMBER(INDEX(Inputs!$K$5:$AJ$140,0,MATCH(Q$2,Inputs!$K$4:$AJ$4,0))))+SUMPRODUCT((Inputs!$C$5:$C$140=$B4)*ISNUMBER(INDEX(Inputs!$K$5:$AJ$140,0,MATCH(Q$2,Inputs!$K$4:$AJ$4,0))))+SUMPRODUCT((Inputs!$E$5:$E$140=$B4)*ISNUMBER(INDEX(Inputs!$K$5:$AJ$140,0,MATCH(Q$2,Inputs!$K$4:$AJ$4,0))))=0,NA(),SUMPRODUCT((Inputs!$A$5:$A$140=$B4)*Inputs!$B$5:$B$140*(((Inputs!$G$5:$G$140="moeda")+(Inputs!$G$5:$G$140="acoes"))*Inputs!$B$1+((Inputs!$G$5:$G$140&lt;&gt;"moeda")*(Inputs!$G$5:$G$140&lt;&gt;"acoes")))*INDEX(Inputs!$K$5:$AJ$140,0,MATCH(Q$2,Inputs!$K$4:$AJ$4,0)))+SUMPRODUCT((Inputs!$C$5:$C$140=$B4)*Inputs!$D$5:$D$140*(((Inputs!$G$5:$G$140="moeda")+(Inputs!$G$5:$G$140="acoes"))*Inputs!$B$1+((Inputs!$G$5:$G$140&lt;&gt;"moeda")*(Inputs!$G$5:$G$140&lt;&gt;"acoes")))*INDEX(Inputs!$K$5:$AJ$140,0,MATCH(Q$2,Inputs!$K$4:$AJ$4,0)))+SUMPRODUCT((Inputs!$E$5:$E$140=$B4)*Inputs!$F$5:$F$140*(((Inputs!$G$5:$G$140="moeda")+(Inputs!$G$5:$G$140="acoes"))*Inputs!$B$1+((Inputs!$G$5:$G$140&lt;&gt;"moeda")*(Inputs!$G$5:$G$140&lt;&gt;"acoes")))*INDEX(Inputs!$K$5:$AJ$140,0,MATCH(Q$2,Inputs!$K$4:$AJ$4,0)))))</f>
        <v>7541.30528565679</v>
      </c>
      <c r="R4" s="3">
        <f>SUM(N4:Q4)</f>
        <v>26773.586</v>
      </c>
      <c r="S4" s="6">
        <f>IF(ISNA(MATCH(S$2,Inputs!$K$4:$AJ$4,0)),NA(),IF(SUMPRODUCT((Inputs!$A$5:$A$140=$B4)*ISNUMBER(INDEX(Inputs!$K$5:$AJ$140,0,MATCH(S$2,Inputs!$K$4:$AJ$4,0))))+SUMPRODUCT((Inputs!$C$5:$C$140=$B4)*ISNUMBER(INDEX(Inputs!$K$5:$AJ$140,0,MATCH(S$2,Inputs!$K$4:$AJ$4,0))))+SUMPRODUCT((Inputs!$E$5:$E$140=$B4)*ISNUMBER(INDEX(Inputs!$K$5:$AJ$140,0,MATCH(S$2,Inputs!$K$4:$AJ$4,0))))=0,NA(),SUMPRODUCT((Inputs!$A$5:$A$140=$B4)*Inputs!$B$5:$B$140*(((Inputs!$G$5:$G$140="moeda")+(Inputs!$G$5:$G$140="acoes"))*Inputs!$B$1+((Inputs!$G$5:$G$140&lt;&gt;"moeda")*(Inputs!$G$5:$G$140&lt;&gt;"acoes")))*INDEX(Inputs!$K$5:$AJ$140,0,MATCH(S$2,Inputs!$K$4:$AJ$4,0)))+SUMPRODUCT((Inputs!$C$5:$C$140=$B4)*Inputs!$D$5:$D$140*(((Inputs!$G$5:$G$140="moeda")+(Inputs!$G$5:$G$140="acoes"))*Inputs!$B$1+((Inputs!$G$5:$G$140&lt;&gt;"moeda")*(Inputs!$G$5:$G$140&lt;&gt;"acoes")))*INDEX(Inputs!$K$5:$AJ$140,0,MATCH(S$2,Inputs!$K$4:$AJ$4,0)))+SUMPRODUCT((Inputs!$E$5:$E$140=$B4)*Inputs!$F$5:$F$140*(((Inputs!$G$5:$G$140="moeda")+(Inputs!$G$5:$G$140="acoes"))*Inputs!$B$1+((Inputs!$G$5:$G$140&lt;&gt;"moeda")*(Inputs!$G$5:$G$140&lt;&gt;"acoes")))*INDEX(Inputs!$K$5:$AJ$140,0,MATCH(S$2,Inputs!$K$4:$AJ$4,0)))))</f>
        <v>7382.47064772889</v>
      </c>
      <c r="T4" s="6">
        <f>IF(ISNA(MATCH(T$2,Inputs!$K$4:$AJ$4,0)),NA(),IF(SUMPRODUCT((Inputs!$A$5:$A$140=$B4)*ISNUMBER(INDEX(Inputs!$K$5:$AJ$140,0,MATCH(T$2,Inputs!$K$4:$AJ$4,0))))+SUMPRODUCT((Inputs!$C$5:$C$140=$B4)*ISNUMBER(INDEX(Inputs!$K$5:$AJ$140,0,MATCH(T$2,Inputs!$K$4:$AJ$4,0))))+SUMPRODUCT((Inputs!$E$5:$E$140=$B4)*ISNUMBER(INDEX(Inputs!$K$5:$AJ$140,0,MATCH(T$2,Inputs!$K$4:$AJ$4,0))))=0,NA(),SUMPRODUCT((Inputs!$A$5:$A$140=$B4)*Inputs!$B$5:$B$140*(((Inputs!$G$5:$G$140="moeda")+(Inputs!$G$5:$G$140="acoes"))*Inputs!$B$1+((Inputs!$G$5:$G$140&lt;&gt;"moeda")*(Inputs!$G$5:$G$140&lt;&gt;"acoes")))*INDEX(Inputs!$K$5:$AJ$140,0,MATCH(T$2,Inputs!$K$4:$AJ$4,0)))+SUMPRODUCT((Inputs!$C$5:$C$140=$B4)*Inputs!$D$5:$D$140*(((Inputs!$G$5:$G$140="moeda")+(Inputs!$G$5:$G$140="acoes"))*Inputs!$B$1+((Inputs!$G$5:$G$140&lt;&gt;"moeda")*(Inputs!$G$5:$G$140&lt;&gt;"acoes")))*INDEX(Inputs!$K$5:$AJ$140,0,MATCH(T$2,Inputs!$K$4:$AJ$4,0)))+SUMPRODUCT((Inputs!$E$5:$E$140=$B4)*Inputs!$F$5:$F$140*(((Inputs!$G$5:$G$140="moeda")+(Inputs!$G$5:$G$140="acoes"))*Inputs!$B$1+((Inputs!$G$5:$G$140&lt;&gt;"moeda")*(Inputs!$G$5:$G$140&lt;&gt;"acoes")))*INDEX(Inputs!$K$5:$AJ$140,0,MATCH(T$2,Inputs!$K$4:$AJ$4,0)))))</f>
        <v>7638.92435227111</v>
      </c>
      <c r="U4" s="6">
        <f>IF(ISNA(MATCH(U$2,Inputs!$K$4:$AJ$4,0)),NA(),IF(SUMPRODUCT((Inputs!$A$5:$A$140=$B4)*ISNUMBER(INDEX(Inputs!$K$5:$AJ$140,0,MATCH(U$2,Inputs!$K$4:$AJ$4,0))))+SUMPRODUCT((Inputs!$C$5:$C$140=$B4)*ISNUMBER(INDEX(Inputs!$K$5:$AJ$140,0,MATCH(U$2,Inputs!$K$4:$AJ$4,0))))+SUMPRODUCT((Inputs!$E$5:$E$140=$B4)*ISNUMBER(INDEX(Inputs!$K$5:$AJ$140,0,MATCH(U$2,Inputs!$K$4:$AJ$4,0))))=0,NA(),SUMPRODUCT((Inputs!$A$5:$A$140=$B4)*Inputs!$B$5:$B$140*(((Inputs!$G$5:$G$140="moeda")+(Inputs!$G$5:$G$140="acoes"))*Inputs!$B$1+((Inputs!$G$5:$G$140&lt;&gt;"moeda")*(Inputs!$G$5:$G$140&lt;&gt;"acoes")))*INDEX(Inputs!$K$5:$AJ$140,0,MATCH(U$2,Inputs!$K$4:$AJ$4,0)))+SUMPRODUCT((Inputs!$C$5:$C$140=$B4)*Inputs!$D$5:$D$140*(((Inputs!$G$5:$G$140="moeda")+(Inputs!$G$5:$G$140="acoes"))*Inputs!$B$1+((Inputs!$G$5:$G$140&lt;&gt;"moeda")*(Inputs!$G$5:$G$140&lt;&gt;"acoes")))*INDEX(Inputs!$K$5:$AJ$140,0,MATCH(U$2,Inputs!$K$4:$AJ$4,0)))+SUMPRODUCT((Inputs!$E$5:$E$140=$B4)*Inputs!$F$5:$F$140*(((Inputs!$G$5:$G$140="moeda")+(Inputs!$G$5:$G$140="acoes"))*Inputs!$B$1+((Inputs!$G$5:$G$140&lt;&gt;"moeda")*(Inputs!$G$5:$G$140&lt;&gt;"acoes")))*INDEX(Inputs!$K$5:$AJ$140,0,MATCH(U$2,Inputs!$K$4:$AJ$4,0)))))</f>
        <v>8337.057</v>
      </c>
      <c r="V4" s="6">
        <f>IF(ISNA(MATCH(V$2,Inputs!$K$4:$AJ$4,0)),NA(),IF(SUMPRODUCT((Inputs!$A$5:$A$140=$B4)*ISNUMBER(INDEX(Inputs!$K$5:$AJ$140,0,MATCH(V$2,Inputs!$K$4:$AJ$4,0))))+SUMPRODUCT((Inputs!$C$5:$C$140=$B4)*ISNUMBER(INDEX(Inputs!$K$5:$AJ$140,0,MATCH(V$2,Inputs!$K$4:$AJ$4,0))))+SUMPRODUCT((Inputs!$E$5:$E$140=$B4)*ISNUMBER(INDEX(Inputs!$K$5:$AJ$140,0,MATCH(V$2,Inputs!$K$4:$AJ$4,0))))=0,NA(),SUMPRODUCT((Inputs!$A$5:$A$140=$B4)*Inputs!$B$5:$B$140*(((Inputs!$G$5:$G$140="moeda")+(Inputs!$G$5:$G$140="acoes"))*Inputs!$B$1+((Inputs!$G$5:$G$140&lt;&gt;"moeda")*(Inputs!$G$5:$G$140&lt;&gt;"acoes")))*INDEX(Inputs!$K$5:$AJ$140,0,MATCH(V$2,Inputs!$K$4:$AJ$4,0)))+SUMPRODUCT((Inputs!$C$5:$C$140=$B4)*Inputs!$D$5:$D$140*(((Inputs!$G$5:$G$140="moeda")+(Inputs!$G$5:$G$140="acoes"))*Inputs!$B$1+((Inputs!$G$5:$G$140&lt;&gt;"moeda")*(Inputs!$G$5:$G$140&lt;&gt;"acoes")))*INDEX(Inputs!$K$5:$AJ$140,0,MATCH(V$2,Inputs!$K$4:$AJ$4,0)))+SUMPRODUCT((Inputs!$E$5:$E$140=$B4)*Inputs!$F$5:$F$140*(((Inputs!$G$5:$G$140="moeda")+(Inputs!$G$5:$G$140="acoes"))*Inputs!$B$1+((Inputs!$G$5:$G$140&lt;&gt;"moeda")*(Inputs!$G$5:$G$140&lt;&gt;"acoes")))*INDEX(Inputs!$K$5:$AJ$140,0,MATCH(V$2,Inputs!$K$4:$AJ$4,0)))))</f>
        <v>8726.977</v>
      </c>
      <c r="W4" s="3">
        <f>SUM(S4:V4)</f>
        <v>32085.429</v>
      </c>
      <c r="X4" s="6">
        <f>IF(ISNA(MATCH(X$2,Inputs!$K$4:$AJ$4,0)),NA(),IF(SUMPRODUCT((Inputs!$A$5:$A$140=$B4)*ISNUMBER(INDEX(Inputs!$K$5:$AJ$140,0,MATCH(X$2,Inputs!$K$4:$AJ$4,0))))+SUMPRODUCT((Inputs!$C$5:$C$140=$B4)*ISNUMBER(INDEX(Inputs!$K$5:$AJ$140,0,MATCH(X$2,Inputs!$K$4:$AJ$4,0))))+SUMPRODUCT((Inputs!$E$5:$E$140=$B4)*ISNUMBER(INDEX(Inputs!$K$5:$AJ$140,0,MATCH(X$2,Inputs!$K$4:$AJ$4,0))))=0,NA(),SUMPRODUCT((Inputs!$A$5:$A$140=$B4)*Inputs!$B$5:$B$140*(((Inputs!$G$5:$G$140="moeda")+(Inputs!$G$5:$G$140="acoes"))*Inputs!$B$1+((Inputs!$G$5:$G$140&lt;&gt;"moeda")*(Inputs!$G$5:$G$140&lt;&gt;"acoes")))*INDEX(Inputs!$K$5:$AJ$140,0,MATCH(X$2,Inputs!$K$4:$AJ$4,0)))+SUMPRODUCT((Inputs!$C$5:$C$140=$B4)*Inputs!$D$5:$D$140*(((Inputs!$G$5:$G$140="moeda")+(Inputs!$G$5:$G$140="acoes"))*Inputs!$B$1+((Inputs!$G$5:$G$140&lt;&gt;"moeda")*(Inputs!$G$5:$G$140&lt;&gt;"acoes")))*INDEX(Inputs!$K$5:$AJ$140,0,MATCH(X$2,Inputs!$K$4:$AJ$4,0)))+SUMPRODUCT((Inputs!$E$5:$E$140=$B4)*Inputs!$F$5:$F$140*(((Inputs!$G$5:$G$140="moeda")+(Inputs!$G$5:$G$140="acoes"))*Inputs!$B$1+((Inputs!$G$5:$G$140&lt;&gt;"moeda")*(Inputs!$G$5:$G$140&lt;&gt;"acoes")))*INDEX(Inputs!$K$5:$AJ$140,0,MATCH(X$2,Inputs!$K$4:$AJ$4,0)))))</f>
        <v>8331.305</v>
      </c>
      <c r="Y4" s="6">
        <f>IF(ISNA(MATCH(Y$2,Inputs!$K$4:$AJ$4,0)),NA(),IF(SUMPRODUCT((Inputs!$A$5:$A$140=$B4)*ISNUMBER(INDEX(Inputs!$K$5:$AJ$140,0,MATCH(Y$2,Inputs!$K$4:$AJ$4,0))))+SUMPRODUCT((Inputs!$C$5:$C$140=$B4)*ISNUMBER(INDEX(Inputs!$K$5:$AJ$140,0,MATCH(Y$2,Inputs!$K$4:$AJ$4,0))))+SUMPRODUCT((Inputs!$E$5:$E$140=$B4)*ISNUMBER(INDEX(Inputs!$K$5:$AJ$140,0,MATCH(Y$2,Inputs!$K$4:$AJ$4,0))))=0,NA(),SUMPRODUCT((Inputs!$A$5:$A$140=$B4)*Inputs!$B$5:$B$140*(((Inputs!$G$5:$G$140="moeda")+(Inputs!$G$5:$G$140="acoes"))*Inputs!$B$1+((Inputs!$G$5:$G$140&lt;&gt;"moeda")*(Inputs!$G$5:$G$140&lt;&gt;"acoes")))*INDEX(Inputs!$K$5:$AJ$140,0,MATCH(Y$2,Inputs!$K$4:$AJ$4,0)))+SUMPRODUCT((Inputs!$C$5:$C$140=$B4)*Inputs!$D$5:$D$140*(((Inputs!$G$5:$G$140="moeda")+(Inputs!$G$5:$G$140="acoes"))*Inputs!$B$1+((Inputs!$G$5:$G$140&lt;&gt;"moeda")*(Inputs!$G$5:$G$140&lt;&gt;"acoes")))*INDEX(Inputs!$K$5:$AJ$140,0,MATCH(Y$2,Inputs!$K$4:$AJ$4,0)))+SUMPRODUCT((Inputs!$E$5:$E$140=$B4)*Inputs!$F$5:$F$140*(((Inputs!$G$5:$G$140="moeda")+(Inputs!$G$5:$G$140="acoes"))*Inputs!$B$1+((Inputs!$G$5:$G$140&lt;&gt;"moeda")*(Inputs!$G$5:$G$140&lt;&gt;"acoes")))*INDEX(Inputs!$K$5:$AJ$140,0,MATCH(Y$2,Inputs!$K$4:$AJ$4,0)))))</f>
        <v>8779.63643321623</v>
      </c>
      <c r="Z4" s="6">
        <f>IF(ISNA(MATCH(Z$2,Inputs!$K$4:$AJ$4,0)),NA(),IF(SUMPRODUCT((Inputs!$A$5:$A$140=$B4)*ISNUMBER(INDEX(Inputs!$K$5:$AJ$140,0,MATCH(Z$2,Inputs!$K$4:$AJ$4,0))))+SUMPRODUCT((Inputs!$C$5:$C$140=$B4)*ISNUMBER(INDEX(Inputs!$K$5:$AJ$140,0,MATCH(Z$2,Inputs!$K$4:$AJ$4,0))))+SUMPRODUCT((Inputs!$E$5:$E$140=$B4)*ISNUMBER(INDEX(Inputs!$K$5:$AJ$140,0,MATCH(Z$2,Inputs!$K$4:$AJ$4,0))))=0,NA(),SUMPRODUCT((Inputs!$A$5:$A$140=$B4)*Inputs!$B$5:$B$140*(((Inputs!$G$5:$G$140="moeda")+(Inputs!$G$5:$G$140="acoes"))*Inputs!$B$1+((Inputs!$G$5:$G$140&lt;&gt;"moeda")*(Inputs!$G$5:$G$140&lt;&gt;"acoes")))*INDEX(Inputs!$K$5:$AJ$140,0,MATCH(Z$2,Inputs!$K$4:$AJ$4,0)))+SUMPRODUCT((Inputs!$C$5:$C$140=$B4)*Inputs!$D$5:$D$140*(((Inputs!$G$5:$G$140="moeda")+(Inputs!$G$5:$G$140="acoes"))*Inputs!$B$1+((Inputs!$G$5:$G$140&lt;&gt;"moeda")*(Inputs!$G$5:$G$140&lt;&gt;"acoes")))*INDEX(Inputs!$K$5:$AJ$140,0,MATCH(Z$2,Inputs!$K$4:$AJ$4,0)))+SUMPRODUCT((Inputs!$E$5:$E$140=$B4)*Inputs!$F$5:$F$140*(((Inputs!$G$5:$G$140="moeda")+(Inputs!$G$5:$G$140="acoes"))*Inputs!$B$1+((Inputs!$G$5:$G$140&lt;&gt;"moeda")*(Inputs!$G$5:$G$140&lt;&gt;"acoes")))*INDEX(Inputs!$K$5:$AJ$140,0,MATCH(Z$2,Inputs!$K$4:$AJ$4,0)))))</f>
        <v>10763.538</v>
      </c>
      <c r="AA4" s="6">
        <f>IF(ISNA(MATCH(AA$2,Inputs!$K$4:$AJ$4,0)),NA(),IF(SUMPRODUCT((Inputs!$A$5:$A$140=$B4)*ISNUMBER(INDEX(Inputs!$K$5:$AJ$140,0,MATCH(AA$2,Inputs!$K$4:$AJ$4,0))))+SUMPRODUCT((Inputs!$C$5:$C$140=$B4)*ISNUMBER(INDEX(Inputs!$K$5:$AJ$140,0,MATCH(AA$2,Inputs!$K$4:$AJ$4,0))))+SUMPRODUCT((Inputs!$E$5:$E$140=$B4)*ISNUMBER(INDEX(Inputs!$K$5:$AJ$140,0,MATCH(AA$2,Inputs!$K$4:$AJ$4,0))))=0,NA(),SUMPRODUCT((Inputs!$A$5:$A$140=$B4)*Inputs!$B$5:$B$140*(((Inputs!$G$5:$G$140="moeda")+(Inputs!$G$5:$G$140="acoes"))*Inputs!$B$1+((Inputs!$G$5:$G$140&lt;&gt;"moeda")*(Inputs!$G$5:$G$140&lt;&gt;"acoes")))*INDEX(Inputs!$K$5:$AJ$140,0,MATCH(AA$2,Inputs!$K$4:$AJ$4,0)))+SUMPRODUCT((Inputs!$C$5:$C$140=$B4)*Inputs!$D$5:$D$140*(((Inputs!$G$5:$G$140="moeda")+(Inputs!$G$5:$G$140="acoes"))*Inputs!$B$1+((Inputs!$G$5:$G$140&lt;&gt;"moeda")*(Inputs!$G$5:$G$140&lt;&gt;"acoes")))*INDEX(Inputs!$K$5:$AJ$140,0,MATCH(AA$2,Inputs!$K$4:$AJ$4,0)))+SUMPRODUCT((Inputs!$E$5:$E$140=$B4)*Inputs!$F$5:$F$140*(((Inputs!$G$5:$G$140="moeda")+(Inputs!$G$5:$G$140="acoes"))*Inputs!$B$1+((Inputs!$G$5:$G$140&lt;&gt;"moeda")*(Inputs!$G$5:$G$140&lt;&gt;"acoes")))*INDEX(Inputs!$K$5:$AJ$140,0,MATCH(AA$2,Inputs!$K$4:$AJ$4,0)))))</f>
        <v>10549.9226357838</v>
      </c>
      <c r="AB4" s="3">
        <f>SUM(X4:AA4)</f>
        <v>38424.402069</v>
      </c>
      <c r="AC4" s="6">
        <f>IF(ISNA(MATCH(AC$2,Inputs!$K$4:$AJ$4,0)),NA(),IF(SUMPRODUCT((Inputs!$A$5:$A$140=$B4)*ISNUMBER(INDEX(Inputs!$K$5:$AJ$140,0,MATCH(AC$2,Inputs!$K$4:$AJ$4,0))))+SUMPRODUCT((Inputs!$C$5:$C$140=$B4)*ISNUMBER(INDEX(Inputs!$K$5:$AJ$140,0,MATCH(AC$2,Inputs!$K$4:$AJ$4,0))))+SUMPRODUCT((Inputs!$E$5:$E$140=$B4)*ISNUMBER(INDEX(Inputs!$K$5:$AJ$140,0,MATCH(AC$2,Inputs!$K$4:$AJ$4,0))))=0,NA(),SUMPRODUCT((Inputs!$A$5:$A$140=$B4)*Inputs!$B$5:$B$140*(((Inputs!$G$5:$G$140="moeda")+(Inputs!$G$5:$G$140="acoes"))*Inputs!$B$1+((Inputs!$G$5:$G$140&lt;&gt;"moeda")*(Inputs!$G$5:$G$140&lt;&gt;"acoes")))*INDEX(Inputs!$K$5:$AJ$140,0,MATCH(AC$2,Inputs!$K$4:$AJ$4,0)))+SUMPRODUCT((Inputs!$C$5:$C$140=$B4)*Inputs!$D$5:$D$140*(((Inputs!$G$5:$G$140="moeda")+(Inputs!$G$5:$G$140="acoes"))*Inputs!$B$1+((Inputs!$G$5:$G$140&lt;&gt;"moeda")*(Inputs!$G$5:$G$140&lt;&gt;"acoes")))*INDEX(Inputs!$K$5:$AJ$140,0,MATCH(AC$2,Inputs!$K$4:$AJ$4,0)))+SUMPRODUCT((Inputs!$E$5:$E$140=$B4)*Inputs!$F$5:$F$140*(((Inputs!$G$5:$G$140="moeda")+(Inputs!$G$5:$G$140="acoes"))*Inputs!$B$1+((Inputs!$G$5:$G$140&lt;&gt;"moeda")*(Inputs!$G$5:$G$140&lt;&gt;"acoes")))*INDEX(Inputs!$K$5:$AJ$140,0,MATCH(AC$2,Inputs!$K$4:$AJ$4,0)))))</f>
        <v>9402.27</v>
      </c>
      <c r="AD4" s="6">
        <f>IF(ISNA(MATCH(AD$2,Inputs!$K$4:$AJ$4,0)),NA(),IF(SUMPRODUCT((Inputs!$A$5:$A$140=$B4)*ISNUMBER(INDEX(Inputs!$K$5:$AJ$140,0,MATCH(AD$2,Inputs!$K$4:$AJ$4,0))))+SUMPRODUCT((Inputs!$C$5:$C$140=$B4)*ISNUMBER(INDEX(Inputs!$K$5:$AJ$140,0,MATCH(AD$2,Inputs!$K$4:$AJ$4,0))))+SUMPRODUCT((Inputs!$E$5:$E$140=$B4)*ISNUMBER(INDEX(Inputs!$K$5:$AJ$140,0,MATCH(AD$2,Inputs!$K$4:$AJ$4,0))))=0,NA(),SUMPRODUCT((Inputs!$A$5:$A$140=$B4)*Inputs!$B$5:$B$140*(((Inputs!$G$5:$G$140="moeda")+(Inputs!$G$5:$G$140="acoes"))*Inputs!$B$1+((Inputs!$G$5:$G$140&lt;&gt;"moeda")*(Inputs!$G$5:$G$140&lt;&gt;"acoes")))*INDEX(Inputs!$K$5:$AJ$140,0,MATCH(AD$2,Inputs!$K$4:$AJ$4,0)))+SUMPRODUCT((Inputs!$C$5:$C$140=$B4)*Inputs!$D$5:$D$140*(((Inputs!$G$5:$G$140="moeda")+(Inputs!$G$5:$G$140="acoes"))*Inputs!$B$1+((Inputs!$G$5:$G$140&lt;&gt;"moeda")*(Inputs!$G$5:$G$140&lt;&gt;"acoes")))*INDEX(Inputs!$K$5:$AJ$140,0,MATCH(AD$2,Inputs!$K$4:$AJ$4,0)))+SUMPRODUCT((Inputs!$E$5:$E$140=$B4)*Inputs!$F$5:$F$140*(((Inputs!$G$5:$G$140="moeda")+(Inputs!$G$5:$G$140="acoes"))*Inputs!$B$1+((Inputs!$G$5:$G$140&lt;&gt;"moeda")*(Inputs!$G$5:$G$140&lt;&gt;"acoes")))*INDEX(Inputs!$K$5:$AJ$140,0,MATCH(AD$2,Inputs!$K$4:$AJ$4,0)))))</f>
        <v>9852.461</v>
      </c>
      <c r="AE4" s="6" t="e">
        <f>IF(ISNA(MATCH(AE$2,Inputs!$K$4:$AJ$4,0)),NA(),IF(SUMPRODUCT((Inputs!$A$5:$A$140=$B4)*ISNUMBER(INDEX(Inputs!$K$5:$AJ$140,0,MATCH(AE$2,Inputs!$K$4:$AJ$4,0))))+SUMPRODUCT((Inputs!$C$5:$C$140=$B4)*ISNUMBER(INDEX(Inputs!$K$5:$AJ$140,0,MATCH(AE$2,Inputs!$K$4:$AJ$4,0))))+SUMPRODUCT((Inputs!$E$5:$E$140=$B4)*ISNUMBER(INDEX(Inputs!$K$5:$AJ$140,0,MATCH(AE$2,Inputs!$K$4:$AJ$4,0))))=0,NA(),SUMPRODUCT((Inputs!$A$5:$A$140=$B4)*Inputs!$B$5:$B$140*(((Inputs!$G$5:$G$140="moeda")+(Inputs!$G$5:$G$140="acoes"))*Inputs!$B$1+((Inputs!$G$5:$G$140&lt;&gt;"moeda")*(Inputs!$G$5:$G$140&lt;&gt;"acoes")))*INDEX(Inputs!$K$5:$AJ$140,0,MATCH(AE$2,Inputs!$K$4:$AJ$4,0)))+SUMPRODUCT((Inputs!$C$5:$C$140=$B4)*Inputs!$D$5:$D$140*(((Inputs!$G$5:$G$140="moeda")+(Inputs!$G$5:$G$140="acoes"))*Inputs!$B$1+((Inputs!$G$5:$G$140&lt;&gt;"moeda")*(Inputs!$G$5:$G$140&lt;&gt;"acoes")))*INDEX(Inputs!$K$5:$AJ$140,0,MATCH(AE$2,Inputs!$K$4:$AJ$4,0)))+SUMPRODUCT((Inputs!$E$5:$E$140=$B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" s="6" t="e">
        <f>IF(ISNA(MATCH(AF$2,Inputs!$K$4:$AJ$4,0)),NA(),IF(SUMPRODUCT((Inputs!$A$5:$A$140=$B4)*ISNUMBER(INDEX(Inputs!$K$5:$AJ$140,0,MATCH(AF$2,Inputs!$K$4:$AJ$4,0))))+SUMPRODUCT((Inputs!$C$5:$C$140=$B4)*ISNUMBER(INDEX(Inputs!$K$5:$AJ$140,0,MATCH(AF$2,Inputs!$K$4:$AJ$4,0))))+SUMPRODUCT((Inputs!$E$5:$E$140=$B4)*ISNUMBER(INDEX(Inputs!$K$5:$AJ$140,0,MATCH(AF$2,Inputs!$K$4:$AJ$4,0))))=0,NA(),SUMPRODUCT((Inputs!$A$5:$A$140=$B4)*Inputs!$B$5:$B$140*(((Inputs!$G$5:$G$140="moeda")+(Inputs!$G$5:$G$140="acoes"))*Inputs!$B$1+((Inputs!$G$5:$G$140&lt;&gt;"moeda")*(Inputs!$G$5:$G$140&lt;&gt;"acoes")))*INDEX(Inputs!$K$5:$AJ$140,0,MATCH(AF$2,Inputs!$K$4:$AJ$4,0)))+SUMPRODUCT((Inputs!$C$5:$C$140=$B4)*Inputs!$D$5:$D$140*(((Inputs!$G$5:$G$140="moeda")+(Inputs!$G$5:$G$140="acoes"))*Inputs!$B$1+((Inputs!$G$5:$G$140&lt;&gt;"moeda")*(Inputs!$G$5:$G$140&lt;&gt;"acoes")))*INDEX(Inputs!$K$5:$AJ$140,0,MATCH(AF$2,Inputs!$K$4:$AJ$4,0)))+SUMPRODUCT((Inputs!$E$5:$E$140=$B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" s="3" t="e">
        <f>SUM(AC4:AF4)</f>
        <v>#N/A</v>
      </c>
      <c r="AH4" s="6">
        <f>IF(ISNA(MATCH(AH$2,Inputs!$K$4:$AJ$4,0)),NA(),IF(SUMPRODUCT((Inputs!$A$5:$A$140=$B4)*ISNUMBER(INDEX(Inputs!$K$5:$AJ$140,0,MATCH(AH$2,Inputs!$K$4:$AJ$4,0))))+SUMPRODUCT((Inputs!$C$5:$C$140=$B4)*ISNUMBER(INDEX(Inputs!$K$5:$AJ$140,0,MATCH(AH$2,Inputs!$K$4:$AJ$4,0))))+SUMPRODUCT((Inputs!$E$5:$E$140=$B4)*ISNUMBER(INDEX(Inputs!$K$5:$AJ$140,0,MATCH(AH$2,Inputs!$K$4:$AJ$4,0))))=0,NA(),SUMPRODUCT((Inputs!$A$5:$A$140=$B4)*Inputs!$B$5:$B$140*(((Inputs!$G$5:$G$140="moeda")+(Inputs!$G$5:$G$140="acoes"))*Inputs!$B$1+((Inputs!$G$5:$G$140&lt;&gt;"moeda")*(Inputs!$G$5:$G$140&lt;&gt;"acoes")))*INDEX(Inputs!$K$5:$AJ$140,0,MATCH(AH$2,Inputs!$K$4:$AJ$4,0)))+SUMPRODUCT((Inputs!$C$5:$C$140=$B4)*Inputs!$D$5:$D$140*(((Inputs!$G$5:$G$140="moeda")+(Inputs!$G$5:$G$140="acoes"))*Inputs!$B$1+((Inputs!$G$5:$G$140&lt;&gt;"moeda")*(Inputs!$G$5:$G$140&lt;&gt;"acoes")))*INDEX(Inputs!$K$5:$AJ$140,0,MATCH(AH$2,Inputs!$K$4:$AJ$4,0)))+SUMPRODUCT((Inputs!$E$5:$E$140=$B4)*Inputs!$F$5:$F$140*(((Inputs!$G$5:$G$140="moeda")+(Inputs!$G$5:$G$140="acoes"))*Inputs!$B$1+((Inputs!$G$5:$G$140&lt;&gt;"moeda")*(Inputs!$G$5:$G$140&lt;&gt;"acoes")))*INDEX(Inputs!$K$5:$AJ$140,0,MATCH(AH$2,Inputs!$K$4:$AJ$4,0)))))</f>
        <v>2409.28442457</v>
      </c>
      <c r="AI4" s="6">
        <f>IF(ISNA(MATCH(AI$2,Inputs!$K$4:$AJ$4,0)),NA(),IF(SUMPRODUCT((Inputs!$A$5:$A$140=$B4)*ISNUMBER(INDEX(Inputs!$K$5:$AJ$140,0,MATCH(AI$2,Inputs!$K$4:$AJ$4,0))))+SUMPRODUCT((Inputs!$C$5:$C$140=$B4)*ISNUMBER(INDEX(Inputs!$K$5:$AJ$140,0,MATCH(AI$2,Inputs!$K$4:$AJ$4,0))))+SUMPRODUCT((Inputs!$E$5:$E$140=$B4)*ISNUMBER(INDEX(Inputs!$K$5:$AJ$140,0,MATCH(AI$2,Inputs!$K$4:$AJ$4,0))))=0,NA(),SUMPRODUCT((Inputs!$A$5:$A$140=$B4)*Inputs!$B$5:$B$140*(((Inputs!$G$5:$G$140="moeda")+(Inputs!$G$5:$G$140="acoes"))*Inputs!$B$1+((Inputs!$G$5:$G$140&lt;&gt;"moeda")*(Inputs!$G$5:$G$140&lt;&gt;"acoes")))*INDEX(Inputs!$K$5:$AJ$140,0,MATCH(AI$2,Inputs!$K$4:$AJ$4,0)))+SUMPRODUCT((Inputs!$C$5:$C$140=$B4)*Inputs!$D$5:$D$140*(((Inputs!$G$5:$G$140="moeda")+(Inputs!$G$5:$G$140="acoes"))*Inputs!$B$1+((Inputs!$G$5:$G$140&lt;&gt;"moeda")*(Inputs!$G$5:$G$140&lt;&gt;"acoes")))*INDEX(Inputs!$K$5:$AJ$140,0,MATCH(AI$2,Inputs!$K$4:$AJ$4,0)))+SUMPRODUCT((Inputs!$E$5:$E$140=$B4)*Inputs!$F$5:$F$140*(((Inputs!$G$5:$G$140="moeda")+(Inputs!$G$5:$G$140="acoes"))*Inputs!$B$1+((Inputs!$G$5:$G$140&lt;&gt;"moeda")*(Inputs!$G$5:$G$140&lt;&gt;"acoes")))*INDEX(Inputs!$K$5:$AJ$140,0,MATCH(AI$2,Inputs!$K$4:$AJ$4,0)))))</f>
        <v>2889.00334843</v>
      </c>
      <c r="AJ4" s="6">
        <f>IF(ISNA(MATCH(AJ$2,Inputs!$K$4:$AJ$4,0)),NA(),IF(SUMPRODUCT((Inputs!$A$5:$A$140=$B4)*ISNUMBER(INDEX(Inputs!$K$5:$AJ$140,0,MATCH(AJ$2,Inputs!$K$4:$AJ$4,0))))+SUMPRODUCT((Inputs!$C$5:$C$140=$B4)*ISNUMBER(INDEX(Inputs!$K$5:$AJ$140,0,MATCH(AJ$2,Inputs!$K$4:$AJ$4,0))))+SUMPRODUCT((Inputs!$E$5:$E$140=$B4)*ISNUMBER(INDEX(Inputs!$K$5:$AJ$140,0,MATCH(AJ$2,Inputs!$K$4:$AJ$4,0))))=0,NA(),SUMPRODUCT((Inputs!$A$5:$A$140=$B4)*Inputs!$B$5:$B$140*(((Inputs!$G$5:$G$140="moeda")+(Inputs!$G$5:$G$140="acoes"))*Inputs!$B$1+((Inputs!$G$5:$G$140&lt;&gt;"moeda")*(Inputs!$G$5:$G$140&lt;&gt;"acoes")))*INDEX(Inputs!$K$5:$AJ$140,0,MATCH(AJ$2,Inputs!$K$4:$AJ$4,0)))+SUMPRODUCT((Inputs!$C$5:$C$140=$B4)*Inputs!$D$5:$D$140*(((Inputs!$G$5:$G$140="moeda")+(Inputs!$G$5:$G$140="acoes"))*Inputs!$B$1+((Inputs!$G$5:$G$140&lt;&gt;"moeda")*(Inputs!$G$5:$G$140&lt;&gt;"acoes")))*INDEX(Inputs!$K$5:$AJ$140,0,MATCH(AJ$2,Inputs!$K$4:$AJ$4,0)))+SUMPRODUCT((Inputs!$E$5:$E$140=$B4)*Inputs!$F$5:$F$140*(((Inputs!$G$5:$G$140="moeda")+(Inputs!$G$5:$G$140="acoes"))*Inputs!$B$1+((Inputs!$G$5:$G$140&lt;&gt;"moeda")*(Inputs!$G$5:$G$140&lt;&gt;"acoes")))*INDEX(Inputs!$K$5:$AJ$140,0,MATCH(AJ$2,Inputs!$K$4:$AJ$4,0)))))</f>
        <v>3463.454227</v>
      </c>
      <c r="AK4" s="6">
        <f>IF(ISNA(MATCH(AK$2,Inputs!$K$4:$AJ$4,0)),NA(),IF(SUMPRODUCT((Inputs!$A$5:$A$140=$B4)*ISNUMBER(INDEX(Inputs!$K$5:$AJ$140,0,MATCH(AK$2,Inputs!$K$4:$AJ$4,0))))+SUMPRODUCT((Inputs!$C$5:$C$140=$B4)*ISNUMBER(INDEX(Inputs!$K$5:$AJ$140,0,MATCH(AK$2,Inputs!$K$4:$AJ$4,0))))+SUMPRODUCT((Inputs!$E$5:$E$140=$B4)*ISNUMBER(INDEX(Inputs!$K$5:$AJ$140,0,MATCH(AK$2,Inputs!$K$4:$AJ$4,0))))=0,NA(),SUMPRODUCT((Inputs!$A$5:$A$140=$B4)*Inputs!$B$5:$B$140*(((Inputs!$G$5:$G$140="moeda")+(Inputs!$G$5:$G$140="acoes"))*Inputs!$B$1+((Inputs!$G$5:$G$140&lt;&gt;"moeda")*(Inputs!$G$5:$G$140&lt;&gt;"acoes")))*INDEX(Inputs!$K$5:$AJ$140,0,MATCH(AK$2,Inputs!$K$4:$AJ$4,0)))+SUMPRODUCT((Inputs!$C$5:$C$140=$B4)*Inputs!$D$5:$D$140*(((Inputs!$G$5:$G$140="moeda")+(Inputs!$G$5:$G$140="acoes"))*Inputs!$B$1+((Inputs!$G$5:$G$140&lt;&gt;"moeda")*(Inputs!$G$5:$G$140&lt;&gt;"acoes")))*INDEX(Inputs!$K$5:$AJ$140,0,MATCH(AK$2,Inputs!$K$4:$AJ$4,0)))+SUMPRODUCT((Inputs!$E$5:$E$140=$B4)*Inputs!$F$5:$F$140*(((Inputs!$G$5:$G$140="moeda")+(Inputs!$G$5:$G$140="acoes"))*Inputs!$B$1+((Inputs!$G$5:$G$140&lt;&gt;"moeda")*(Inputs!$G$5:$G$140&lt;&gt;"acoes")))*INDEX(Inputs!$K$5:$AJ$140,0,MATCH(AK$2,Inputs!$K$4:$AJ$4,0)))))</f>
        <v>3635.29590979</v>
      </c>
      <c r="AL4" s="3">
        <f>SUM(AH4:AK4)</f>
        <v>12397.03790979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$140=$B5)*ISNUMBER(INDEX(Inputs!$K$5:$AJ$140,0,MATCH(D$2,Inputs!$K$4:$AJ$4,0))))+SUMPRODUCT((Inputs!$C$5:$C$140=$B5)*ISNUMBER(INDEX(Inputs!$K$5:$AJ$140,0,MATCH(D$2,Inputs!$K$4:$AJ$4,0))))+SUMPRODUCT((Inputs!$E$5:$E$140=$B5)*ISNUMBER(INDEX(Inputs!$K$5:$AJ$140,0,MATCH(D$2,Inputs!$K$4:$AJ$4,0))))=0,NA(),SUMPRODUCT((Inputs!$A$5:$A$140=$B5)*Inputs!$B$5:$B$140*(((Inputs!$G$5:$G$140="moeda")+(Inputs!$G$5:$G$140="acoes"))*Inputs!$B$1+((Inputs!$G$5:$G$140&lt;&gt;"moeda")*(Inputs!$G$5:$G$140&lt;&gt;"acoes")))*INDEX(Inputs!$K$5:$AJ$140,0,MATCH(D$2,Inputs!$K$4:$AJ$4,0)))+SUMPRODUCT((Inputs!$C$5:$C$140=$B5)*Inputs!$D$5:$D$140*(((Inputs!$G$5:$G$140="moeda")+(Inputs!$G$5:$G$140="acoes"))*Inputs!$B$1+((Inputs!$G$5:$G$140&lt;&gt;"moeda")*(Inputs!$G$5:$G$140&lt;&gt;"acoes")))*INDEX(Inputs!$K$5:$AJ$140,0,MATCH(D$2,Inputs!$K$4:$AJ$4,0)))+SUMPRODUCT((Inputs!$E$5:$E$140=$B5)*Inputs!$F$5:$F$140*(((Inputs!$G$5:$G$140="moeda")+(Inputs!$G$5:$G$140="acoes"))*Inputs!$B$1+((Inputs!$G$5:$G$140&lt;&gt;"moeda")*(Inputs!$G$5:$G$140&lt;&gt;"acoes")))*INDEX(Inputs!$K$5:$AJ$140,0,MATCH(D$2,Inputs!$K$4:$AJ$4,0)))))</f>
        <v>-2560.194066782</v>
      </c>
      <c r="E5" s="6">
        <f>IF(ISNA(MATCH(E$2,Inputs!$K$4:$AJ$4,0)),NA(),IF(SUMPRODUCT((Inputs!$A$5:$A$140=$B5)*ISNUMBER(INDEX(Inputs!$K$5:$AJ$140,0,MATCH(E$2,Inputs!$K$4:$AJ$4,0))))+SUMPRODUCT((Inputs!$C$5:$C$140=$B5)*ISNUMBER(INDEX(Inputs!$K$5:$AJ$140,0,MATCH(E$2,Inputs!$K$4:$AJ$4,0))))+SUMPRODUCT((Inputs!$E$5:$E$140=$B5)*ISNUMBER(INDEX(Inputs!$K$5:$AJ$140,0,MATCH(E$2,Inputs!$K$4:$AJ$4,0))))=0,NA(),SUMPRODUCT((Inputs!$A$5:$A$140=$B5)*Inputs!$B$5:$B$140*(((Inputs!$G$5:$G$140="moeda")+(Inputs!$G$5:$G$140="acoes"))*Inputs!$B$1+((Inputs!$G$5:$G$140&lt;&gt;"moeda")*(Inputs!$G$5:$G$140&lt;&gt;"acoes")))*INDEX(Inputs!$K$5:$AJ$140,0,MATCH(E$2,Inputs!$K$4:$AJ$4,0)))+SUMPRODUCT((Inputs!$C$5:$C$140=$B5)*Inputs!$D$5:$D$140*(((Inputs!$G$5:$G$140="moeda")+(Inputs!$G$5:$G$140="acoes"))*Inputs!$B$1+((Inputs!$G$5:$G$140&lt;&gt;"moeda")*(Inputs!$G$5:$G$140&lt;&gt;"acoes")))*INDEX(Inputs!$K$5:$AJ$140,0,MATCH(E$2,Inputs!$K$4:$AJ$4,0)))+SUMPRODUCT((Inputs!$E$5:$E$140=$B5)*Inputs!$F$5:$F$140*(((Inputs!$G$5:$G$140="moeda")+(Inputs!$G$5:$G$140="acoes"))*Inputs!$B$1+((Inputs!$G$5:$G$140&lt;&gt;"moeda")*(Inputs!$G$5:$G$140&lt;&gt;"acoes")))*INDEX(Inputs!$K$5:$AJ$140,0,MATCH(E$2,Inputs!$K$4:$AJ$4,0)))))</f>
        <v>-2861.69234466941</v>
      </c>
      <c r="F5" s="6">
        <f>IF(ISNA(MATCH(F$2,Inputs!$K$4:$AJ$4,0)),NA(),IF(SUMPRODUCT((Inputs!$A$5:$A$140=$B5)*ISNUMBER(INDEX(Inputs!$K$5:$AJ$140,0,MATCH(F$2,Inputs!$K$4:$AJ$4,0))))+SUMPRODUCT((Inputs!$C$5:$C$140=$B5)*ISNUMBER(INDEX(Inputs!$K$5:$AJ$140,0,MATCH(F$2,Inputs!$K$4:$AJ$4,0))))+SUMPRODUCT((Inputs!$E$5:$E$140=$B5)*ISNUMBER(INDEX(Inputs!$K$5:$AJ$140,0,MATCH(F$2,Inputs!$K$4:$AJ$4,0))))=0,NA(),SUMPRODUCT((Inputs!$A$5:$A$140=$B5)*Inputs!$B$5:$B$140*(((Inputs!$G$5:$G$140="moeda")+(Inputs!$G$5:$G$140="acoes"))*Inputs!$B$1+((Inputs!$G$5:$G$140&lt;&gt;"moeda")*(Inputs!$G$5:$G$140&lt;&gt;"acoes")))*INDEX(Inputs!$K$5:$AJ$140,0,MATCH(F$2,Inputs!$K$4:$AJ$4,0)))+SUMPRODUCT((Inputs!$C$5:$C$140=$B5)*Inputs!$D$5:$D$140*(((Inputs!$G$5:$G$140="moeda")+(Inputs!$G$5:$G$140="acoes"))*Inputs!$B$1+((Inputs!$G$5:$G$140&lt;&gt;"moeda")*(Inputs!$G$5:$G$140&lt;&gt;"acoes")))*INDEX(Inputs!$K$5:$AJ$140,0,MATCH(F$2,Inputs!$K$4:$AJ$4,0)))+SUMPRODUCT((Inputs!$E$5:$E$140=$B5)*Inputs!$F$5:$F$140*(((Inputs!$G$5:$G$140="moeda")+(Inputs!$G$5:$G$140="acoes"))*Inputs!$B$1+((Inputs!$G$5:$G$140&lt;&gt;"moeda")*(Inputs!$G$5:$G$140&lt;&gt;"acoes")))*INDEX(Inputs!$K$5:$AJ$140,0,MATCH(F$2,Inputs!$K$4:$AJ$4,0)))))</f>
        <v>-3311.219</v>
      </c>
      <c r="G5" s="6">
        <f>IF(ISNA(MATCH(G$2,Inputs!$K$4:$AJ$4,0)),NA(),IF(SUMPRODUCT((Inputs!$A$5:$A$140=$B5)*ISNUMBER(INDEX(Inputs!$K$5:$AJ$140,0,MATCH(G$2,Inputs!$K$4:$AJ$4,0))))+SUMPRODUCT((Inputs!$C$5:$C$140=$B5)*ISNUMBER(INDEX(Inputs!$K$5:$AJ$140,0,MATCH(G$2,Inputs!$K$4:$AJ$4,0))))+SUMPRODUCT((Inputs!$E$5:$E$140=$B5)*ISNUMBER(INDEX(Inputs!$K$5:$AJ$140,0,MATCH(G$2,Inputs!$K$4:$AJ$4,0))))=0,NA(),SUMPRODUCT((Inputs!$A$5:$A$140=$B5)*Inputs!$B$5:$B$140*(((Inputs!$G$5:$G$140="moeda")+(Inputs!$G$5:$G$140="acoes"))*Inputs!$B$1+((Inputs!$G$5:$G$140&lt;&gt;"moeda")*(Inputs!$G$5:$G$140&lt;&gt;"acoes")))*INDEX(Inputs!$K$5:$AJ$140,0,MATCH(G$2,Inputs!$K$4:$AJ$4,0)))+SUMPRODUCT((Inputs!$C$5:$C$140=$B5)*Inputs!$D$5:$D$140*(((Inputs!$G$5:$G$140="moeda")+(Inputs!$G$5:$G$140="acoes"))*Inputs!$B$1+((Inputs!$G$5:$G$140&lt;&gt;"moeda")*(Inputs!$G$5:$G$140&lt;&gt;"acoes")))*INDEX(Inputs!$K$5:$AJ$140,0,MATCH(G$2,Inputs!$K$4:$AJ$4,0)))+SUMPRODUCT((Inputs!$E$5:$E$140=$B5)*Inputs!$F$5:$F$140*(((Inputs!$G$5:$G$140="moeda")+(Inputs!$G$5:$G$140="acoes"))*Inputs!$B$1+((Inputs!$G$5:$G$140&lt;&gt;"moeda")*(Inputs!$G$5:$G$140&lt;&gt;"acoes")))*INDEX(Inputs!$K$5:$AJ$140,0,MATCH(G$2,Inputs!$K$4:$AJ$4,0)))))</f>
        <v>-3441.3095885486</v>
      </c>
      <c r="H5" s="3">
        <f>SUM(D5:G5)</f>
        <v>-12174.415</v>
      </c>
      <c r="I5" s="6">
        <f>IF(ISNA(MATCH(I$2,Inputs!$K$4:$AJ$4,0)),NA(),IF(SUMPRODUCT((Inputs!$A$5:$A$140=$B5)*ISNUMBER(INDEX(Inputs!$K$5:$AJ$140,0,MATCH(I$2,Inputs!$K$4:$AJ$4,0))))+SUMPRODUCT((Inputs!$C$5:$C$140=$B5)*ISNUMBER(INDEX(Inputs!$K$5:$AJ$140,0,MATCH(I$2,Inputs!$K$4:$AJ$4,0))))+SUMPRODUCT((Inputs!$E$5:$E$140=$B5)*ISNUMBER(INDEX(Inputs!$K$5:$AJ$140,0,MATCH(I$2,Inputs!$K$4:$AJ$4,0))))=0,NA(),SUMPRODUCT((Inputs!$A$5:$A$140=$B5)*Inputs!$B$5:$B$140*(((Inputs!$G$5:$G$140="moeda")+(Inputs!$G$5:$G$140="acoes"))*Inputs!$B$1+((Inputs!$G$5:$G$140&lt;&gt;"moeda")*(Inputs!$G$5:$G$140&lt;&gt;"acoes")))*INDEX(Inputs!$K$5:$AJ$140,0,MATCH(I$2,Inputs!$K$4:$AJ$4,0)))+SUMPRODUCT((Inputs!$C$5:$C$140=$B5)*Inputs!$D$5:$D$140*(((Inputs!$G$5:$G$140="moeda")+(Inputs!$G$5:$G$140="acoes"))*Inputs!$B$1+((Inputs!$G$5:$G$140&lt;&gt;"moeda")*(Inputs!$G$5:$G$140&lt;&gt;"acoes")))*INDEX(Inputs!$K$5:$AJ$140,0,MATCH(I$2,Inputs!$K$4:$AJ$4,0)))+SUMPRODUCT((Inputs!$E$5:$E$140=$B5)*Inputs!$F$5:$F$140*(((Inputs!$G$5:$G$140="moeda")+(Inputs!$G$5:$G$140="acoes"))*Inputs!$B$1+((Inputs!$G$5:$G$140&lt;&gt;"moeda")*(Inputs!$G$5:$G$140&lt;&gt;"acoes")))*INDEX(Inputs!$K$5:$AJ$140,0,MATCH(I$2,Inputs!$K$4:$AJ$4,0)))))</f>
        <v>-3553.06734589342</v>
      </c>
      <c r="J5" s="6">
        <f>IF(ISNA(MATCH(J$2,Inputs!$K$4:$AJ$4,0)),NA(),IF(SUMPRODUCT((Inputs!$A$5:$A$140=$B5)*ISNUMBER(INDEX(Inputs!$K$5:$AJ$140,0,MATCH(J$2,Inputs!$K$4:$AJ$4,0))))+SUMPRODUCT((Inputs!$C$5:$C$140=$B5)*ISNUMBER(INDEX(Inputs!$K$5:$AJ$140,0,MATCH(J$2,Inputs!$K$4:$AJ$4,0))))+SUMPRODUCT((Inputs!$E$5:$E$140=$B5)*ISNUMBER(INDEX(Inputs!$K$5:$AJ$140,0,MATCH(J$2,Inputs!$K$4:$AJ$4,0))))=0,NA(),SUMPRODUCT((Inputs!$A$5:$A$140=$B5)*Inputs!$B$5:$B$140*(((Inputs!$G$5:$G$140="moeda")+(Inputs!$G$5:$G$140="acoes"))*Inputs!$B$1+((Inputs!$G$5:$G$140&lt;&gt;"moeda")*(Inputs!$G$5:$G$140&lt;&gt;"acoes")))*INDEX(Inputs!$K$5:$AJ$140,0,MATCH(J$2,Inputs!$K$4:$AJ$4,0)))+SUMPRODUCT((Inputs!$C$5:$C$140=$B5)*Inputs!$D$5:$D$140*(((Inputs!$G$5:$G$140="moeda")+(Inputs!$G$5:$G$140="acoes"))*Inputs!$B$1+((Inputs!$G$5:$G$140&lt;&gt;"moeda")*(Inputs!$G$5:$G$140&lt;&gt;"acoes")))*INDEX(Inputs!$K$5:$AJ$140,0,MATCH(J$2,Inputs!$K$4:$AJ$4,0)))+SUMPRODUCT((Inputs!$E$5:$E$140=$B5)*Inputs!$F$5:$F$140*(((Inputs!$G$5:$G$140="moeda")+(Inputs!$G$5:$G$140="acoes"))*Inputs!$B$1+((Inputs!$G$5:$G$140&lt;&gt;"moeda")*(Inputs!$G$5:$G$140&lt;&gt;"acoes")))*INDEX(Inputs!$K$5:$AJ$140,0,MATCH(J$2,Inputs!$K$4:$AJ$4,0)))))</f>
        <v>-4019.431</v>
      </c>
      <c r="K5" s="6">
        <f>IF(ISNA(MATCH(K$2,Inputs!$K$4:$AJ$4,0)),NA(),IF(SUMPRODUCT((Inputs!$A$5:$A$140=$B5)*ISNUMBER(INDEX(Inputs!$K$5:$AJ$140,0,MATCH(K$2,Inputs!$K$4:$AJ$4,0))))+SUMPRODUCT((Inputs!$C$5:$C$140=$B5)*ISNUMBER(INDEX(Inputs!$K$5:$AJ$140,0,MATCH(K$2,Inputs!$K$4:$AJ$4,0))))+SUMPRODUCT((Inputs!$E$5:$E$140=$B5)*ISNUMBER(INDEX(Inputs!$K$5:$AJ$140,0,MATCH(K$2,Inputs!$K$4:$AJ$4,0))))=0,NA(),SUMPRODUCT((Inputs!$A$5:$A$140=$B5)*Inputs!$B$5:$B$140*(((Inputs!$G$5:$G$140="moeda")+(Inputs!$G$5:$G$140="acoes"))*Inputs!$B$1+((Inputs!$G$5:$G$140&lt;&gt;"moeda")*(Inputs!$G$5:$G$140&lt;&gt;"acoes")))*INDEX(Inputs!$K$5:$AJ$140,0,MATCH(K$2,Inputs!$K$4:$AJ$4,0)))+SUMPRODUCT((Inputs!$C$5:$C$140=$B5)*Inputs!$D$5:$D$140*(((Inputs!$G$5:$G$140="moeda")+(Inputs!$G$5:$G$140="acoes"))*Inputs!$B$1+((Inputs!$G$5:$G$140&lt;&gt;"moeda")*(Inputs!$G$5:$G$140&lt;&gt;"acoes")))*INDEX(Inputs!$K$5:$AJ$140,0,MATCH(K$2,Inputs!$K$4:$AJ$4,0)))+SUMPRODUCT((Inputs!$E$5:$E$140=$B5)*Inputs!$F$5:$F$140*(((Inputs!$G$5:$G$140="moeda")+(Inputs!$G$5:$G$140="acoes"))*Inputs!$B$1+((Inputs!$G$5:$G$140&lt;&gt;"moeda")*(Inputs!$G$5:$G$140&lt;&gt;"acoes")))*INDEX(Inputs!$K$5:$AJ$140,0,MATCH(K$2,Inputs!$K$4:$AJ$4,0)))))</f>
        <v>-4568.982</v>
      </c>
      <c r="L5" s="6">
        <f>IF(ISNA(MATCH(L$2,Inputs!$K$4:$AJ$4,0)),NA(),IF(SUMPRODUCT((Inputs!$A$5:$A$140=$B5)*ISNUMBER(INDEX(Inputs!$K$5:$AJ$140,0,MATCH(L$2,Inputs!$K$4:$AJ$4,0))))+SUMPRODUCT((Inputs!$C$5:$C$140=$B5)*ISNUMBER(INDEX(Inputs!$K$5:$AJ$140,0,MATCH(L$2,Inputs!$K$4:$AJ$4,0))))+SUMPRODUCT((Inputs!$E$5:$E$140=$B5)*ISNUMBER(INDEX(Inputs!$K$5:$AJ$140,0,MATCH(L$2,Inputs!$K$4:$AJ$4,0))))=0,NA(),SUMPRODUCT((Inputs!$A$5:$A$140=$B5)*Inputs!$B$5:$B$140*(((Inputs!$G$5:$G$140="moeda")+(Inputs!$G$5:$G$140="acoes"))*Inputs!$B$1+((Inputs!$G$5:$G$140&lt;&gt;"moeda")*(Inputs!$G$5:$G$140&lt;&gt;"acoes")))*INDEX(Inputs!$K$5:$AJ$140,0,MATCH(L$2,Inputs!$K$4:$AJ$4,0)))+SUMPRODUCT((Inputs!$C$5:$C$140=$B5)*Inputs!$D$5:$D$140*(((Inputs!$G$5:$G$140="moeda")+(Inputs!$G$5:$G$140="acoes"))*Inputs!$B$1+((Inputs!$G$5:$G$140&lt;&gt;"moeda")*(Inputs!$G$5:$G$140&lt;&gt;"acoes")))*INDEX(Inputs!$K$5:$AJ$140,0,MATCH(L$2,Inputs!$K$4:$AJ$4,0)))+SUMPRODUCT((Inputs!$E$5:$E$140=$B5)*Inputs!$F$5:$F$140*(((Inputs!$G$5:$G$140="moeda")+(Inputs!$G$5:$G$140="acoes"))*Inputs!$B$1+((Inputs!$G$5:$G$140&lt;&gt;"moeda")*(Inputs!$G$5:$G$140&lt;&gt;"acoes")))*INDEX(Inputs!$K$5:$AJ$140,0,MATCH(L$2,Inputs!$K$4:$AJ$4,0)))))</f>
        <v>-4752.90496333213</v>
      </c>
      <c r="M5" s="3">
        <f>SUM(I5:L5)</f>
        <v>-16894.3853092256</v>
      </c>
      <c r="N5" s="6">
        <f>IF(ISNA(MATCH(N$2,Inputs!$K$4:$AJ$4,0)),NA(),IF(SUMPRODUCT((Inputs!$A$5:$A$140=$B5)*ISNUMBER(INDEX(Inputs!$K$5:$AJ$140,0,MATCH(N$2,Inputs!$K$4:$AJ$4,0))))+SUMPRODUCT((Inputs!$C$5:$C$140=$B5)*ISNUMBER(INDEX(Inputs!$K$5:$AJ$140,0,MATCH(N$2,Inputs!$K$4:$AJ$4,0))))+SUMPRODUCT((Inputs!$E$5:$E$140=$B5)*ISNUMBER(INDEX(Inputs!$K$5:$AJ$140,0,MATCH(N$2,Inputs!$K$4:$AJ$4,0))))=0,NA(),SUMPRODUCT((Inputs!$A$5:$A$140=$B5)*Inputs!$B$5:$B$140*(((Inputs!$G$5:$G$140="moeda")+(Inputs!$G$5:$G$140="acoes"))*Inputs!$B$1+((Inputs!$G$5:$G$140&lt;&gt;"moeda")*(Inputs!$G$5:$G$140&lt;&gt;"acoes")))*INDEX(Inputs!$K$5:$AJ$140,0,MATCH(N$2,Inputs!$K$4:$AJ$4,0)))+SUMPRODUCT((Inputs!$C$5:$C$140=$B5)*Inputs!$D$5:$D$140*(((Inputs!$G$5:$G$140="moeda")+(Inputs!$G$5:$G$140="acoes"))*Inputs!$B$1+((Inputs!$G$5:$G$140&lt;&gt;"moeda")*(Inputs!$G$5:$G$140&lt;&gt;"acoes")))*INDEX(Inputs!$K$5:$AJ$140,0,MATCH(N$2,Inputs!$K$4:$AJ$4,0)))+SUMPRODUCT((Inputs!$E$5:$E$140=$B5)*Inputs!$F$5:$F$140*(((Inputs!$G$5:$G$140="moeda")+(Inputs!$G$5:$G$140="acoes"))*Inputs!$B$1+((Inputs!$G$5:$G$140&lt;&gt;"moeda")*(Inputs!$G$5:$G$140&lt;&gt;"acoes")))*INDEX(Inputs!$K$5:$AJ$140,0,MATCH(N$2,Inputs!$K$4:$AJ$4,0)))))</f>
        <v>-4574.50571434321</v>
      </c>
      <c r="O5" s="6">
        <f>IF(ISNA(MATCH(O$2,Inputs!$K$4:$AJ$4,0)),NA(),IF(SUMPRODUCT((Inputs!$A$5:$A$140=$B5)*ISNUMBER(INDEX(Inputs!$K$5:$AJ$140,0,MATCH(O$2,Inputs!$K$4:$AJ$4,0))))+SUMPRODUCT((Inputs!$C$5:$C$140=$B5)*ISNUMBER(INDEX(Inputs!$K$5:$AJ$140,0,MATCH(O$2,Inputs!$K$4:$AJ$4,0))))+SUMPRODUCT((Inputs!$E$5:$E$140=$B5)*ISNUMBER(INDEX(Inputs!$K$5:$AJ$140,0,MATCH(O$2,Inputs!$K$4:$AJ$4,0))))=0,NA(),SUMPRODUCT((Inputs!$A$5:$A$140=$B5)*Inputs!$B$5:$B$140*(((Inputs!$G$5:$G$140="moeda")+(Inputs!$G$5:$G$140="acoes"))*Inputs!$B$1+((Inputs!$G$5:$G$140&lt;&gt;"moeda")*(Inputs!$G$5:$G$140&lt;&gt;"acoes")))*INDEX(Inputs!$K$5:$AJ$140,0,MATCH(O$2,Inputs!$K$4:$AJ$4,0)))+SUMPRODUCT((Inputs!$C$5:$C$140=$B5)*Inputs!$D$5:$D$140*(((Inputs!$G$5:$G$140="moeda")+(Inputs!$G$5:$G$140="acoes"))*Inputs!$B$1+((Inputs!$G$5:$G$140&lt;&gt;"moeda")*(Inputs!$G$5:$G$140&lt;&gt;"acoes")))*INDEX(Inputs!$K$5:$AJ$140,0,MATCH(O$2,Inputs!$K$4:$AJ$4,0)))+SUMPRODUCT((Inputs!$E$5:$E$140=$B5)*Inputs!$F$5:$F$140*(((Inputs!$G$5:$G$140="moeda")+(Inputs!$G$5:$G$140="acoes"))*Inputs!$B$1+((Inputs!$G$5:$G$140&lt;&gt;"moeda")*(Inputs!$G$5:$G$140&lt;&gt;"acoes")))*INDEX(Inputs!$K$5:$AJ$140,0,MATCH(O$2,Inputs!$K$4:$AJ$4,0)))))</f>
        <v>-4985.038</v>
      </c>
      <c r="P5" s="6">
        <f>IF(ISNA(MATCH(P$2,Inputs!$K$4:$AJ$4,0)),NA(),IF(SUMPRODUCT((Inputs!$A$5:$A$140=$B5)*ISNUMBER(INDEX(Inputs!$K$5:$AJ$140,0,MATCH(P$2,Inputs!$K$4:$AJ$4,0))))+SUMPRODUCT((Inputs!$C$5:$C$140=$B5)*ISNUMBER(INDEX(Inputs!$K$5:$AJ$140,0,MATCH(P$2,Inputs!$K$4:$AJ$4,0))))+SUMPRODUCT((Inputs!$E$5:$E$140=$B5)*ISNUMBER(INDEX(Inputs!$K$5:$AJ$140,0,MATCH(P$2,Inputs!$K$4:$AJ$4,0))))=0,NA(),SUMPRODUCT((Inputs!$A$5:$A$140=$B5)*Inputs!$B$5:$B$140*(((Inputs!$G$5:$G$140="moeda")+(Inputs!$G$5:$G$140="acoes"))*Inputs!$B$1+((Inputs!$G$5:$G$140&lt;&gt;"moeda")*(Inputs!$G$5:$G$140&lt;&gt;"acoes")))*INDEX(Inputs!$K$5:$AJ$140,0,MATCH(P$2,Inputs!$K$4:$AJ$4,0)))+SUMPRODUCT((Inputs!$C$5:$C$140=$B5)*Inputs!$D$5:$D$140*(((Inputs!$G$5:$G$140="moeda")+(Inputs!$G$5:$G$140="acoes"))*Inputs!$B$1+((Inputs!$G$5:$G$140&lt;&gt;"moeda")*(Inputs!$G$5:$G$140&lt;&gt;"acoes")))*INDEX(Inputs!$K$5:$AJ$140,0,MATCH(P$2,Inputs!$K$4:$AJ$4,0)))+SUMPRODUCT((Inputs!$E$5:$E$140=$B5)*Inputs!$F$5:$F$140*(((Inputs!$G$5:$G$140="moeda")+(Inputs!$G$5:$G$140="acoes"))*Inputs!$B$1+((Inputs!$G$5:$G$140&lt;&gt;"moeda")*(Inputs!$G$5:$G$140&lt;&gt;"acoes")))*INDEX(Inputs!$K$5:$AJ$140,0,MATCH(P$2,Inputs!$K$4:$AJ$4,0)))))</f>
        <v>-5374.203</v>
      </c>
      <c r="Q5" s="6">
        <f>IF(ISNA(MATCH(Q$2,Inputs!$K$4:$AJ$4,0)),NA(),IF(SUMPRODUCT((Inputs!$A$5:$A$140=$B5)*ISNUMBER(INDEX(Inputs!$K$5:$AJ$140,0,MATCH(Q$2,Inputs!$K$4:$AJ$4,0))))+SUMPRODUCT((Inputs!$C$5:$C$140=$B5)*ISNUMBER(INDEX(Inputs!$K$5:$AJ$140,0,MATCH(Q$2,Inputs!$K$4:$AJ$4,0))))+SUMPRODUCT((Inputs!$E$5:$E$140=$B5)*ISNUMBER(INDEX(Inputs!$K$5:$AJ$140,0,MATCH(Q$2,Inputs!$K$4:$AJ$4,0))))=0,NA(),SUMPRODUCT((Inputs!$A$5:$A$140=$B5)*Inputs!$B$5:$B$140*(((Inputs!$G$5:$G$140="moeda")+(Inputs!$G$5:$G$140="acoes"))*Inputs!$B$1+((Inputs!$G$5:$G$140&lt;&gt;"moeda")*(Inputs!$G$5:$G$140&lt;&gt;"acoes")))*INDEX(Inputs!$K$5:$AJ$140,0,MATCH(Q$2,Inputs!$K$4:$AJ$4,0)))+SUMPRODUCT((Inputs!$C$5:$C$140=$B5)*Inputs!$D$5:$D$140*(((Inputs!$G$5:$G$140="moeda")+(Inputs!$G$5:$G$140="acoes"))*Inputs!$B$1+((Inputs!$G$5:$G$140&lt;&gt;"moeda")*(Inputs!$G$5:$G$140&lt;&gt;"acoes")))*INDEX(Inputs!$K$5:$AJ$140,0,MATCH(Q$2,Inputs!$K$4:$AJ$4,0)))+SUMPRODUCT((Inputs!$E$5:$E$140=$B5)*Inputs!$F$5:$F$140*(((Inputs!$G$5:$G$140="moeda")+(Inputs!$G$5:$G$140="acoes"))*Inputs!$B$1+((Inputs!$G$5:$G$140&lt;&gt;"moeda")*(Inputs!$G$5:$G$140&lt;&gt;"acoes")))*INDEX(Inputs!$K$5:$AJ$140,0,MATCH(Q$2,Inputs!$K$4:$AJ$4,0)))))</f>
        <v>-5849.00333064679</v>
      </c>
      <c r="R5" s="3">
        <f>SUM(N5:Q5)</f>
        <v>-20782.75004499</v>
      </c>
      <c r="S5" s="6">
        <f>IF(ISNA(MATCH(S$2,Inputs!$K$4:$AJ$4,0)),NA(),IF(SUMPRODUCT((Inputs!$A$5:$A$140=$B5)*ISNUMBER(INDEX(Inputs!$K$5:$AJ$140,0,MATCH(S$2,Inputs!$K$4:$AJ$4,0))))+SUMPRODUCT((Inputs!$C$5:$C$140=$B5)*ISNUMBER(INDEX(Inputs!$K$5:$AJ$140,0,MATCH(S$2,Inputs!$K$4:$AJ$4,0))))+SUMPRODUCT((Inputs!$E$5:$E$140=$B5)*ISNUMBER(INDEX(Inputs!$K$5:$AJ$140,0,MATCH(S$2,Inputs!$K$4:$AJ$4,0))))=0,NA(),SUMPRODUCT((Inputs!$A$5:$A$140=$B5)*Inputs!$B$5:$B$140*(((Inputs!$G$5:$G$140="moeda")+(Inputs!$G$5:$G$140="acoes"))*Inputs!$B$1+((Inputs!$G$5:$G$140&lt;&gt;"moeda")*(Inputs!$G$5:$G$140&lt;&gt;"acoes")))*INDEX(Inputs!$K$5:$AJ$140,0,MATCH(S$2,Inputs!$K$4:$AJ$4,0)))+SUMPRODUCT((Inputs!$C$5:$C$140=$B5)*Inputs!$D$5:$D$140*(((Inputs!$G$5:$G$140="moeda")+(Inputs!$G$5:$G$140="acoes"))*Inputs!$B$1+((Inputs!$G$5:$G$140&lt;&gt;"moeda")*(Inputs!$G$5:$G$140&lt;&gt;"acoes")))*INDEX(Inputs!$K$5:$AJ$140,0,MATCH(S$2,Inputs!$K$4:$AJ$4,0)))+SUMPRODUCT((Inputs!$E$5:$E$140=$B5)*Inputs!$F$5:$F$140*(((Inputs!$G$5:$G$140="moeda")+(Inputs!$G$5:$G$140="acoes"))*Inputs!$B$1+((Inputs!$G$5:$G$140&lt;&gt;"moeda")*(Inputs!$G$5:$G$140&lt;&gt;"acoes")))*INDEX(Inputs!$K$5:$AJ$140,0,MATCH(S$2,Inputs!$K$4:$AJ$4,0)))))</f>
        <v>-5732.716</v>
      </c>
      <c r="T5" s="6">
        <f>IF(ISNA(MATCH(T$2,Inputs!$K$4:$AJ$4,0)),NA(),IF(SUMPRODUCT((Inputs!$A$5:$A$140=$B5)*ISNUMBER(INDEX(Inputs!$K$5:$AJ$140,0,MATCH(T$2,Inputs!$K$4:$AJ$4,0))))+SUMPRODUCT((Inputs!$C$5:$C$140=$B5)*ISNUMBER(INDEX(Inputs!$K$5:$AJ$140,0,MATCH(T$2,Inputs!$K$4:$AJ$4,0))))+SUMPRODUCT((Inputs!$E$5:$E$140=$B5)*ISNUMBER(INDEX(Inputs!$K$5:$AJ$140,0,MATCH(T$2,Inputs!$K$4:$AJ$4,0))))=0,NA(),SUMPRODUCT((Inputs!$A$5:$A$140=$B5)*Inputs!$B$5:$B$140*(((Inputs!$G$5:$G$140="moeda")+(Inputs!$G$5:$G$140="acoes"))*Inputs!$B$1+((Inputs!$G$5:$G$140&lt;&gt;"moeda")*(Inputs!$G$5:$G$140&lt;&gt;"acoes")))*INDEX(Inputs!$K$5:$AJ$140,0,MATCH(T$2,Inputs!$K$4:$AJ$4,0)))+SUMPRODUCT((Inputs!$C$5:$C$140=$B5)*Inputs!$D$5:$D$140*(((Inputs!$G$5:$G$140="moeda")+(Inputs!$G$5:$G$140="acoes"))*Inputs!$B$1+((Inputs!$G$5:$G$140&lt;&gt;"moeda")*(Inputs!$G$5:$G$140&lt;&gt;"acoes")))*INDEX(Inputs!$K$5:$AJ$140,0,MATCH(T$2,Inputs!$K$4:$AJ$4,0)))+SUMPRODUCT((Inputs!$E$5:$E$140=$B5)*Inputs!$F$5:$F$140*(((Inputs!$G$5:$G$140="moeda")+(Inputs!$G$5:$G$140="acoes"))*Inputs!$B$1+((Inputs!$G$5:$G$140&lt;&gt;"moeda")*(Inputs!$G$5:$G$140&lt;&gt;"acoes")))*INDEX(Inputs!$K$5:$AJ$140,0,MATCH(T$2,Inputs!$K$4:$AJ$4,0)))))</f>
        <v>-5926.46</v>
      </c>
      <c r="U5" s="6">
        <f>IF(ISNA(MATCH(U$2,Inputs!$K$4:$AJ$4,0)),NA(),IF(SUMPRODUCT((Inputs!$A$5:$A$140=$B5)*ISNUMBER(INDEX(Inputs!$K$5:$AJ$140,0,MATCH(U$2,Inputs!$K$4:$AJ$4,0))))+SUMPRODUCT((Inputs!$C$5:$C$140=$B5)*ISNUMBER(INDEX(Inputs!$K$5:$AJ$140,0,MATCH(U$2,Inputs!$K$4:$AJ$4,0))))+SUMPRODUCT((Inputs!$E$5:$E$140=$B5)*ISNUMBER(INDEX(Inputs!$K$5:$AJ$140,0,MATCH(U$2,Inputs!$K$4:$AJ$4,0))))=0,NA(),SUMPRODUCT((Inputs!$A$5:$A$140=$B5)*Inputs!$B$5:$B$140*(((Inputs!$G$5:$G$140="moeda")+(Inputs!$G$5:$G$140="acoes"))*Inputs!$B$1+((Inputs!$G$5:$G$140&lt;&gt;"moeda")*(Inputs!$G$5:$G$140&lt;&gt;"acoes")))*INDEX(Inputs!$K$5:$AJ$140,0,MATCH(U$2,Inputs!$K$4:$AJ$4,0)))+SUMPRODUCT((Inputs!$C$5:$C$140=$B5)*Inputs!$D$5:$D$140*(((Inputs!$G$5:$G$140="moeda")+(Inputs!$G$5:$G$140="acoes"))*Inputs!$B$1+((Inputs!$G$5:$G$140&lt;&gt;"moeda")*(Inputs!$G$5:$G$140&lt;&gt;"acoes")))*INDEX(Inputs!$K$5:$AJ$140,0,MATCH(U$2,Inputs!$K$4:$AJ$4,0)))+SUMPRODUCT((Inputs!$E$5:$E$140=$B5)*Inputs!$F$5:$F$140*(((Inputs!$G$5:$G$140="moeda")+(Inputs!$G$5:$G$140="acoes"))*Inputs!$B$1+((Inputs!$G$5:$G$140&lt;&gt;"moeda")*(Inputs!$G$5:$G$140&lt;&gt;"acoes")))*INDEX(Inputs!$K$5:$AJ$140,0,MATCH(U$2,Inputs!$K$4:$AJ$4,0)))))</f>
        <v>-6479.36</v>
      </c>
      <c r="V5" s="6">
        <f>IF(ISNA(MATCH(V$2,Inputs!$K$4:$AJ$4,0)),NA(),IF(SUMPRODUCT((Inputs!$A$5:$A$140=$B5)*ISNUMBER(INDEX(Inputs!$K$5:$AJ$140,0,MATCH(V$2,Inputs!$K$4:$AJ$4,0))))+SUMPRODUCT((Inputs!$C$5:$C$140=$B5)*ISNUMBER(INDEX(Inputs!$K$5:$AJ$140,0,MATCH(V$2,Inputs!$K$4:$AJ$4,0))))+SUMPRODUCT((Inputs!$E$5:$E$140=$B5)*ISNUMBER(INDEX(Inputs!$K$5:$AJ$140,0,MATCH(V$2,Inputs!$K$4:$AJ$4,0))))=0,NA(),SUMPRODUCT((Inputs!$A$5:$A$140=$B5)*Inputs!$B$5:$B$140*(((Inputs!$G$5:$G$140="moeda")+(Inputs!$G$5:$G$140="acoes"))*Inputs!$B$1+((Inputs!$G$5:$G$140&lt;&gt;"moeda")*(Inputs!$G$5:$G$140&lt;&gt;"acoes")))*INDEX(Inputs!$K$5:$AJ$140,0,MATCH(V$2,Inputs!$K$4:$AJ$4,0)))+SUMPRODUCT((Inputs!$C$5:$C$140=$B5)*Inputs!$D$5:$D$140*(((Inputs!$G$5:$G$140="moeda")+(Inputs!$G$5:$G$140="acoes"))*Inputs!$B$1+((Inputs!$G$5:$G$140&lt;&gt;"moeda")*(Inputs!$G$5:$G$140&lt;&gt;"acoes")))*INDEX(Inputs!$K$5:$AJ$140,0,MATCH(V$2,Inputs!$K$4:$AJ$4,0)))+SUMPRODUCT((Inputs!$E$5:$E$140=$B5)*Inputs!$F$5:$F$140*(((Inputs!$G$5:$G$140="moeda")+(Inputs!$G$5:$G$140="acoes"))*Inputs!$B$1+((Inputs!$G$5:$G$140&lt;&gt;"moeda")*(Inputs!$G$5:$G$140&lt;&gt;"acoes")))*INDEX(Inputs!$K$5:$AJ$140,0,MATCH(V$2,Inputs!$K$4:$AJ$4,0)))))</f>
        <v>-6821.183</v>
      </c>
      <c r="W5" s="3">
        <f>SUM(S5:V5)</f>
        <v>-24959.719</v>
      </c>
      <c r="X5" s="6">
        <f>IF(ISNA(MATCH(X$2,Inputs!$K$4:$AJ$4,0)),NA(),IF(SUMPRODUCT((Inputs!$A$5:$A$140=$B5)*ISNUMBER(INDEX(Inputs!$K$5:$AJ$140,0,MATCH(X$2,Inputs!$K$4:$AJ$4,0))))+SUMPRODUCT((Inputs!$C$5:$C$140=$B5)*ISNUMBER(INDEX(Inputs!$K$5:$AJ$140,0,MATCH(X$2,Inputs!$K$4:$AJ$4,0))))+SUMPRODUCT((Inputs!$E$5:$E$140=$B5)*ISNUMBER(INDEX(Inputs!$K$5:$AJ$140,0,MATCH(X$2,Inputs!$K$4:$AJ$4,0))))=0,NA(),SUMPRODUCT((Inputs!$A$5:$A$140=$B5)*Inputs!$B$5:$B$140*(((Inputs!$G$5:$G$140="moeda")+(Inputs!$G$5:$G$140="acoes"))*Inputs!$B$1+((Inputs!$G$5:$G$140&lt;&gt;"moeda")*(Inputs!$G$5:$G$140&lt;&gt;"acoes")))*INDEX(Inputs!$K$5:$AJ$140,0,MATCH(X$2,Inputs!$K$4:$AJ$4,0)))+SUMPRODUCT((Inputs!$C$5:$C$140=$B5)*Inputs!$D$5:$D$140*(((Inputs!$G$5:$G$140="moeda")+(Inputs!$G$5:$G$140="acoes"))*Inputs!$B$1+((Inputs!$G$5:$G$140&lt;&gt;"moeda")*(Inputs!$G$5:$G$140&lt;&gt;"acoes")))*INDEX(Inputs!$K$5:$AJ$140,0,MATCH(X$2,Inputs!$K$4:$AJ$4,0)))+SUMPRODUCT((Inputs!$E$5:$E$140=$B5)*Inputs!$F$5:$F$140*(((Inputs!$G$5:$G$140="moeda")+(Inputs!$G$5:$G$140="acoes"))*Inputs!$B$1+((Inputs!$G$5:$G$140&lt;&gt;"moeda")*(Inputs!$G$5:$G$140&lt;&gt;"acoes")))*INDEX(Inputs!$K$5:$AJ$140,0,MATCH(X$2,Inputs!$K$4:$AJ$4,0)))))</f>
        <v>-6478.662</v>
      </c>
      <c r="Y5" s="6">
        <f>IF(ISNA(MATCH(Y$2,Inputs!$K$4:$AJ$4,0)),NA(),IF(SUMPRODUCT((Inputs!$A$5:$A$140=$B5)*ISNUMBER(INDEX(Inputs!$K$5:$AJ$140,0,MATCH(Y$2,Inputs!$K$4:$AJ$4,0))))+SUMPRODUCT((Inputs!$C$5:$C$140=$B5)*ISNUMBER(INDEX(Inputs!$K$5:$AJ$140,0,MATCH(Y$2,Inputs!$K$4:$AJ$4,0))))+SUMPRODUCT((Inputs!$E$5:$E$140=$B5)*ISNUMBER(INDEX(Inputs!$K$5:$AJ$140,0,MATCH(Y$2,Inputs!$K$4:$AJ$4,0))))=0,NA(),SUMPRODUCT((Inputs!$A$5:$A$140=$B5)*Inputs!$B$5:$B$140*(((Inputs!$G$5:$G$140="moeda")+(Inputs!$G$5:$G$140="acoes"))*Inputs!$B$1+((Inputs!$G$5:$G$140&lt;&gt;"moeda")*(Inputs!$G$5:$G$140&lt;&gt;"acoes")))*INDEX(Inputs!$K$5:$AJ$140,0,MATCH(Y$2,Inputs!$K$4:$AJ$4,0)))+SUMPRODUCT((Inputs!$C$5:$C$140=$B5)*Inputs!$D$5:$D$140*(((Inputs!$G$5:$G$140="moeda")+(Inputs!$G$5:$G$140="acoes"))*Inputs!$B$1+((Inputs!$G$5:$G$140&lt;&gt;"moeda")*(Inputs!$G$5:$G$140&lt;&gt;"acoes")))*INDEX(Inputs!$K$5:$AJ$140,0,MATCH(Y$2,Inputs!$K$4:$AJ$4,0)))+SUMPRODUCT((Inputs!$E$5:$E$140=$B5)*Inputs!$F$5:$F$140*(((Inputs!$G$5:$G$140="moeda")+(Inputs!$G$5:$G$140="acoes"))*Inputs!$B$1+((Inputs!$G$5:$G$140&lt;&gt;"moeda")*(Inputs!$G$5:$G$140&lt;&gt;"acoes")))*INDEX(Inputs!$K$5:$AJ$140,0,MATCH(Y$2,Inputs!$K$4:$AJ$4,0)))))</f>
        <v>-6685.998</v>
      </c>
      <c r="Z5" s="6">
        <f>IF(ISNA(MATCH(Z$2,Inputs!$K$4:$AJ$4,0)),NA(),IF(SUMPRODUCT((Inputs!$A$5:$A$140=$B5)*ISNUMBER(INDEX(Inputs!$K$5:$AJ$140,0,MATCH(Z$2,Inputs!$K$4:$AJ$4,0))))+SUMPRODUCT((Inputs!$C$5:$C$140=$B5)*ISNUMBER(INDEX(Inputs!$K$5:$AJ$140,0,MATCH(Z$2,Inputs!$K$4:$AJ$4,0))))+SUMPRODUCT((Inputs!$E$5:$E$140=$B5)*ISNUMBER(INDEX(Inputs!$K$5:$AJ$140,0,MATCH(Z$2,Inputs!$K$4:$AJ$4,0))))=0,NA(),SUMPRODUCT((Inputs!$A$5:$A$140=$B5)*Inputs!$B$5:$B$140*(((Inputs!$G$5:$G$140="moeda")+(Inputs!$G$5:$G$140="acoes"))*Inputs!$B$1+((Inputs!$G$5:$G$140&lt;&gt;"moeda")*(Inputs!$G$5:$G$140&lt;&gt;"acoes")))*INDEX(Inputs!$K$5:$AJ$140,0,MATCH(Z$2,Inputs!$K$4:$AJ$4,0)))+SUMPRODUCT((Inputs!$C$5:$C$140=$B5)*Inputs!$D$5:$D$140*(((Inputs!$G$5:$G$140="moeda")+(Inputs!$G$5:$G$140="acoes"))*Inputs!$B$1+((Inputs!$G$5:$G$140&lt;&gt;"moeda")*(Inputs!$G$5:$G$140&lt;&gt;"acoes")))*INDEX(Inputs!$K$5:$AJ$140,0,MATCH(Z$2,Inputs!$K$4:$AJ$4,0)))+SUMPRODUCT((Inputs!$E$5:$E$140=$B5)*Inputs!$F$5:$F$140*(((Inputs!$G$5:$G$140="moeda")+(Inputs!$G$5:$G$140="acoes"))*Inputs!$B$1+((Inputs!$G$5:$G$140&lt;&gt;"moeda")*(Inputs!$G$5:$G$140&lt;&gt;"acoes")))*INDEX(Inputs!$K$5:$AJ$140,0,MATCH(Z$2,Inputs!$K$4:$AJ$4,0)))))</f>
        <v>-8470.764</v>
      </c>
      <c r="AA5" s="6">
        <f>IF(ISNA(MATCH(AA$2,Inputs!$K$4:$AJ$4,0)),NA(),IF(SUMPRODUCT((Inputs!$A$5:$A$140=$B5)*ISNUMBER(INDEX(Inputs!$K$5:$AJ$140,0,MATCH(AA$2,Inputs!$K$4:$AJ$4,0))))+SUMPRODUCT((Inputs!$C$5:$C$140=$B5)*ISNUMBER(INDEX(Inputs!$K$5:$AJ$140,0,MATCH(AA$2,Inputs!$K$4:$AJ$4,0))))+SUMPRODUCT((Inputs!$E$5:$E$140=$B5)*ISNUMBER(INDEX(Inputs!$K$5:$AJ$140,0,MATCH(AA$2,Inputs!$K$4:$AJ$4,0))))=0,NA(),SUMPRODUCT((Inputs!$A$5:$A$140=$B5)*Inputs!$B$5:$B$140*(((Inputs!$G$5:$G$140="moeda")+(Inputs!$G$5:$G$140="acoes"))*Inputs!$B$1+((Inputs!$G$5:$G$140&lt;&gt;"moeda")*(Inputs!$G$5:$G$140&lt;&gt;"acoes")))*INDEX(Inputs!$K$5:$AJ$140,0,MATCH(AA$2,Inputs!$K$4:$AJ$4,0)))+SUMPRODUCT((Inputs!$C$5:$C$140=$B5)*Inputs!$D$5:$D$140*(((Inputs!$G$5:$G$140="moeda")+(Inputs!$G$5:$G$140="acoes"))*Inputs!$B$1+((Inputs!$G$5:$G$140&lt;&gt;"moeda")*(Inputs!$G$5:$G$140&lt;&gt;"acoes")))*INDEX(Inputs!$K$5:$AJ$140,0,MATCH(AA$2,Inputs!$K$4:$AJ$4,0)))+SUMPRODUCT((Inputs!$E$5:$E$140=$B5)*Inputs!$F$5:$F$140*(((Inputs!$G$5:$G$140="moeda")+(Inputs!$G$5:$G$140="acoes"))*Inputs!$B$1+((Inputs!$G$5:$G$140&lt;&gt;"moeda")*(Inputs!$G$5:$G$140&lt;&gt;"acoes")))*INDEX(Inputs!$K$5:$AJ$140,0,MATCH(AA$2,Inputs!$K$4:$AJ$4,0)))))</f>
        <v>-8175.21744678377</v>
      </c>
      <c r="AB5" s="3">
        <f>SUM(X5:AA5)</f>
        <v>-29810.6414467838</v>
      </c>
      <c r="AC5" s="6">
        <f>IF(ISNA(MATCH(AC$2,Inputs!$K$4:$AJ$4,0)),NA(),IF(SUMPRODUCT((Inputs!$A$5:$A$140=$B5)*ISNUMBER(INDEX(Inputs!$K$5:$AJ$140,0,MATCH(AC$2,Inputs!$K$4:$AJ$4,0))))+SUMPRODUCT((Inputs!$C$5:$C$140=$B5)*ISNUMBER(INDEX(Inputs!$K$5:$AJ$140,0,MATCH(AC$2,Inputs!$K$4:$AJ$4,0))))+SUMPRODUCT((Inputs!$E$5:$E$140=$B5)*ISNUMBER(INDEX(Inputs!$K$5:$AJ$140,0,MATCH(AC$2,Inputs!$K$4:$AJ$4,0))))=0,NA(),SUMPRODUCT((Inputs!$A$5:$A$140=$B5)*Inputs!$B$5:$B$140*(((Inputs!$G$5:$G$140="moeda")+(Inputs!$G$5:$G$140="acoes"))*Inputs!$B$1+((Inputs!$G$5:$G$140&lt;&gt;"moeda")*(Inputs!$G$5:$G$140&lt;&gt;"acoes")))*INDEX(Inputs!$K$5:$AJ$140,0,MATCH(AC$2,Inputs!$K$4:$AJ$4,0)))+SUMPRODUCT((Inputs!$C$5:$C$140=$B5)*Inputs!$D$5:$D$140*(((Inputs!$G$5:$G$140="moeda")+(Inputs!$G$5:$G$140="acoes"))*Inputs!$B$1+((Inputs!$G$5:$G$140&lt;&gt;"moeda")*(Inputs!$G$5:$G$140&lt;&gt;"acoes")))*INDEX(Inputs!$K$5:$AJ$140,0,MATCH(AC$2,Inputs!$K$4:$AJ$4,0)))+SUMPRODUCT((Inputs!$E$5:$E$140=$B5)*Inputs!$F$5:$F$140*(((Inputs!$G$5:$G$140="moeda")+(Inputs!$G$5:$G$140="acoes"))*Inputs!$B$1+((Inputs!$G$5:$G$140&lt;&gt;"moeda")*(Inputs!$G$5:$G$140&lt;&gt;"acoes")))*INDEX(Inputs!$K$5:$AJ$140,0,MATCH(AC$2,Inputs!$K$4:$AJ$4,0)))))</f>
        <v>-7251.758</v>
      </c>
      <c r="AD5" s="6">
        <f>IF(ISNA(MATCH(AD$2,Inputs!$K$4:$AJ$4,0)),NA(),IF(SUMPRODUCT((Inputs!$A$5:$A$140=$B5)*ISNUMBER(INDEX(Inputs!$K$5:$AJ$140,0,MATCH(AD$2,Inputs!$K$4:$AJ$4,0))))+SUMPRODUCT((Inputs!$C$5:$C$140=$B5)*ISNUMBER(INDEX(Inputs!$K$5:$AJ$140,0,MATCH(AD$2,Inputs!$K$4:$AJ$4,0))))+SUMPRODUCT((Inputs!$E$5:$E$140=$B5)*ISNUMBER(INDEX(Inputs!$K$5:$AJ$140,0,MATCH(AD$2,Inputs!$K$4:$AJ$4,0))))=0,NA(),SUMPRODUCT((Inputs!$A$5:$A$140=$B5)*Inputs!$B$5:$B$140*(((Inputs!$G$5:$G$140="moeda")+(Inputs!$G$5:$G$140="acoes"))*Inputs!$B$1+((Inputs!$G$5:$G$140&lt;&gt;"moeda")*(Inputs!$G$5:$G$140&lt;&gt;"acoes")))*INDEX(Inputs!$K$5:$AJ$140,0,MATCH(AD$2,Inputs!$K$4:$AJ$4,0)))+SUMPRODUCT((Inputs!$C$5:$C$140=$B5)*Inputs!$D$5:$D$140*(((Inputs!$G$5:$G$140="moeda")+(Inputs!$G$5:$G$140="acoes"))*Inputs!$B$1+((Inputs!$G$5:$G$140&lt;&gt;"moeda")*(Inputs!$G$5:$G$140&lt;&gt;"acoes")))*INDEX(Inputs!$K$5:$AJ$140,0,MATCH(AD$2,Inputs!$K$4:$AJ$4,0)))+SUMPRODUCT((Inputs!$E$5:$E$140=$B5)*Inputs!$F$5:$F$140*(((Inputs!$G$5:$G$140="moeda")+(Inputs!$G$5:$G$140="acoes"))*Inputs!$B$1+((Inputs!$G$5:$G$140&lt;&gt;"moeda")*(Inputs!$G$5:$G$140&lt;&gt;"acoes")))*INDEX(Inputs!$K$5:$AJ$140,0,MATCH(AD$2,Inputs!$K$4:$AJ$4,0)))))</f>
        <v>-7541.266</v>
      </c>
      <c r="AE5" s="6" t="e">
        <f>IF(ISNA(MATCH(AE$2,Inputs!$K$4:$AJ$4,0)),NA(),IF(SUMPRODUCT((Inputs!$A$5:$A$140=$B5)*ISNUMBER(INDEX(Inputs!$K$5:$AJ$140,0,MATCH(AE$2,Inputs!$K$4:$AJ$4,0))))+SUMPRODUCT((Inputs!$C$5:$C$140=$B5)*ISNUMBER(INDEX(Inputs!$K$5:$AJ$140,0,MATCH(AE$2,Inputs!$K$4:$AJ$4,0))))+SUMPRODUCT((Inputs!$E$5:$E$140=$B5)*ISNUMBER(INDEX(Inputs!$K$5:$AJ$140,0,MATCH(AE$2,Inputs!$K$4:$AJ$4,0))))=0,NA(),SUMPRODUCT((Inputs!$A$5:$A$140=$B5)*Inputs!$B$5:$B$140*(((Inputs!$G$5:$G$140="moeda")+(Inputs!$G$5:$G$140="acoes"))*Inputs!$B$1+((Inputs!$G$5:$G$140&lt;&gt;"moeda")*(Inputs!$G$5:$G$140&lt;&gt;"acoes")))*INDEX(Inputs!$K$5:$AJ$140,0,MATCH(AE$2,Inputs!$K$4:$AJ$4,0)))+SUMPRODUCT((Inputs!$C$5:$C$140=$B5)*Inputs!$D$5:$D$140*(((Inputs!$G$5:$G$140="moeda")+(Inputs!$G$5:$G$140="acoes"))*Inputs!$B$1+((Inputs!$G$5:$G$140&lt;&gt;"moeda")*(Inputs!$G$5:$G$140&lt;&gt;"acoes")))*INDEX(Inputs!$K$5:$AJ$140,0,MATCH(AE$2,Inputs!$K$4:$AJ$4,0)))+SUMPRODUCT((Inputs!$E$5:$E$140=$B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" s="6" t="e">
        <f>IF(ISNA(MATCH(AF$2,Inputs!$K$4:$AJ$4,0)),NA(),IF(SUMPRODUCT((Inputs!$A$5:$A$140=$B5)*ISNUMBER(INDEX(Inputs!$K$5:$AJ$140,0,MATCH(AF$2,Inputs!$K$4:$AJ$4,0))))+SUMPRODUCT((Inputs!$C$5:$C$140=$B5)*ISNUMBER(INDEX(Inputs!$K$5:$AJ$140,0,MATCH(AF$2,Inputs!$K$4:$AJ$4,0))))+SUMPRODUCT((Inputs!$E$5:$E$140=$B5)*ISNUMBER(INDEX(Inputs!$K$5:$AJ$140,0,MATCH(AF$2,Inputs!$K$4:$AJ$4,0))))=0,NA(),SUMPRODUCT((Inputs!$A$5:$A$140=$B5)*Inputs!$B$5:$B$140*(((Inputs!$G$5:$G$140="moeda")+(Inputs!$G$5:$G$140="acoes"))*Inputs!$B$1+((Inputs!$G$5:$G$140&lt;&gt;"moeda")*(Inputs!$G$5:$G$140&lt;&gt;"acoes")))*INDEX(Inputs!$K$5:$AJ$140,0,MATCH(AF$2,Inputs!$K$4:$AJ$4,0)))+SUMPRODUCT((Inputs!$C$5:$C$140=$B5)*Inputs!$D$5:$D$140*(((Inputs!$G$5:$G$140="moeda")+(Inputs!$G$5:$G$140="acoes"))*Inputs!$B$1+((Inputs!$G$5:$G$140&lt;&gt;"moeda")*(Inputs!$G$5:$G$140&lt;&gt;"acoes")))*INDEX(Inputs!$K$5:$AJ$140,0,MATCH(AF$2,Inputs!$K$4:$AJ$4,0)))+SUMPRODUCT((Inputs!$E$5:$E$140=$B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" s="3" t="e">
        <f>SUM(AC5:AF5)</f>
        <v>#N/A</v>
      </c>
      <c r="AH5" s="6">
        <f>IF(ISNA(MATCH(AH$2,Inputs!$K$4:$AJ$4,0)),NA(),IF(SUMPRODUCT((Inputs!$A$5:$A$140=$B5)*ISNUMBER(INDEX(Inputs!$K$5:$AJ$140,0,MATCH(AH$2,Inputs!$K$4:$AJ$4,0))))+SUMPRODUCT((Inputs!$C$5:$C$140=$B5)*ISNUMBER(INDEX(Inputs!$K$5:$AJ$140,0,MATCH(AH$2,Inputs!$K$4:$AJ$4,0))))+SUMPRODUCT((Inputs!$E$5:$E$140=$B5)*ISNUMBER(INDEX(Inputs!$K$5:$AJ$140,0,MATCH(AH$2,Inputs!$K$4:$AJ$4,0))))=0,NA(),SUMPRODUCT((Inputs!$A$5:$A$140=$B5)*Inputs!$B$5:$B$140*(((Inputs!$G$5:$G$140="moeda")+(Inputs!$G$5:$G$140="acoes"))*Inputs!$B$1+((Inputs!$G$5:$G$140&lt;&gt;"moeda")*(Inputs!$G$5:$G$140&lt;&gt;"acoes")))*INDEX(Inputs!$K$5:$AJ$140,0,MATCH(AH$2,Inputs!$K$4:$AJ$4,0)))+SUMPRODUCT((Inputs!$C$5:$C$140=$B5)*Inputs!$D$5:$D$140*(((Inputs!$G$5:$G$140="moeda")+(Inputs!$G$5:$G$140="acoes"))*Inputs!$B$1+((Inputs!$G$5:$G$140&lt;&gt;"moeda")*(Inputs!$G$5:$G$140&lt;&gt;"acoes")))*INDEX(Inputs!$K$5:$AJ$140,0,MATCH(AH$2,Inputs!$K$4:$AJ$4,0)))+SUMPRODUCT((Inputs!$E$5:$E$140=$B5)*Inputs!$F$5:$F$140*(((Inputs!$G$5:$G$140="moeda")+(Inputs!$G$5:$G$140="acoes"))*Inputs!$B$1+((Inputs!$G$5:$G$140&lt;&gt;"moeda")*(Inputs!$G$5:$G$140&lt;&gt;"acoes")))*INDEX(Inputs!$K$5:$AJ$140,0,MATCH(AH$2,Inputs!$K$4:$AJ$4,0)))))</f>
        <v>-1805.748</v>
      </c>
      <c r="AI5" s="6">
        <f>IF(ISNA(MATCH(AI$2,Inputs!$K$4:$AJ$4,0)),NA(),IF(SUMPRODUCT((Inputs!$A$5:$A$140=$B5)*ISNUMBER(INDEX(Inputs!$K$5:$AJ$140,0,MATCH(AI$2,Inputs!$K$4:$AJ$4,0))))+SUMPRODUCT((Inputs!$C$5:$C$140=$B5)*ISNUMBER(INDEX(Inputs!$K$5:$AJ$140,0,MATCH(AI$2,Inputs!$K$4:$AJ$4,0))))+SUMPRODUCT((Inputs!$E$5:$E$140=$B5)*ISNUMBER(INDEX(Inputs!$K$5:$AJ$140,0,MATCH(AI$2,Inputs!$K$4:$AJ$4,0))))=0,NA(),SUMPRODUCT((Inputs!$A$5:$A$140=$B5)*Inputs!$B$5:$B$140*(((Inputs!$G$5:$G$140="moeda")+(Inputs!$G$5:$G$140="acoes"))*Inputs!$B$1+((Inputs!$G$5:$G$140&lt;&gt;"moeda")*(Inputs!$G$5:$G$140&lt;&gt;"acoes")))*INDEX(Inputs!$K$5:$AJ$140,0,MATCH(AI$2,Inputs!$K$4:$AJ$4,0)))+SUMPRODUCT((Inputs!$C$5:$C$140=$B5)*Inputs!$D$5:$D$140*(((Inputs!$G$5:$G$140="moeda")+(Inputs!$G$5:$G$140="acoes"))*Inputs!$B$1+((Inputs!$G$5:$G$140&lt;&gt;"moeda")*(Inputs!$G$5:$G$140&lt;&gt;"acoes")))*INDEX(Inputs!$K$5:$AJ$140,0,MATCH(AI$2,Inputs!$K$4:$AJ$4,0)))+SUMPRODUCT((Inputs!$E$5:$E$140=$B5)*Inputs!$F$5:$F$140*(((Inputs!$G$5:$G$140="moeda")+(Inputs!$G$5:$G$140="acoes"))*Inputs!$B$1+((Inputs!$G$5:$G$140&lt;&gt;"moeda")*(Inputs!$G$5:$G$140&lt;&gt;"acoes")))*INDEX(Inputs!$K$5:$AJ$140,0,MATCH(AI$2,Inputs!$K$4:$AJ$4,0)))))</f>
        <v>-2195.072</v>
      </c>
      <c r="AJ5" s="6">
        <f>IF(ISNA(MATCH(AJ$2,Inputs!$K$4:$AJ$4,0)),NA(),IF(SUMPRODUCT((Inputs!$A$5:$A$140=$B5)*ISNUMBER(INDEX(Inputs!$K$5:$AJ$140,0,MATCH(AJ$2,Inputs!$K$4:$AJ$4,0))))+SUMPRODUCT((Inputs!$C$5:$C$140=$B5)*ISNUMBER(INDEX(Inputs!$K$5:$AJ$140,0,MATCH(AJ$2,Inputs!$K$4:$AJ$4,0))))+SUMPRODUCT((Inputs!$E$5:$E$140=$B5)*ISNUMBER(INDEX(Inputs!$K$5:$AJ$140,0,MATCH(AJ$2,Inputs!$K$4:$AJ$4,0))))=0,NA(),SUMPRODUCT((Inputs!$A$5:$A$140=$B5)*Inputs!$B$5:$B$140*(((Inputs!$G$5:$G$140="moeda")+(Inputs!$G$5:$G$140="acoes"))*Inputs!$B$1+((Inputs!$G$5:$G$140&lt;&gt;"moeda")*(Inputs!$G$5:$G$140&lt;&gt;"acoes")))*INDEX(Inputs!$K$5:$AJ$140,0,MATCH(AJ$2,Inputs!$K$4:$AJ$4,0)))+SUMPRODUCT((Inputs!$C$5:$C$140=$B5)*Inputs!$D$5:$D$140*(((Inputs!$G$5:$G$140="moeda")+(Inputs!$G$5:$G$140="acoes"))*Inputs!$B$1+((Inputs!$G$5:$G$140&lt;&gt;"moeda")*(Inputs!$G$5:$G$140&lt;&gt;"acoes")))*INDEX(Inputs!$K$5:$AJ$140,0,MATCH(AJ$2,Inputs!$K$4:$AJ$4,0)))+SUMPRODUCT((Inputs!$E$5:$E$140=$B5)*Inputs!$F$5:$F$140*(((Inputs!$G$5:$G$140="moeda")+(Inputs!$G$5:$G$140="acoes"))*Inputs!$B$1+((Inputs!$G$5:$G$140&lt;&gt;"moeda")*(Inputs!$G$5:$G$140&lt;&gt;"acoes")))*INDEX(Inputs!$K$5:$AJ$140,0,MATCH(AJ$2,Inputs!$K$4:$AJ$4,0)))))</f>
        <v>-2625.787</v>
      </c>
      <c r="AK5" s="6">
        <f>IF(ISNA(MATCH(AK$2,Inputs!$K$4:$AJ$4,0)),NA(),IF(SUMPRODUCT((Inputs!$A$5:$A$140=$B5)*ISNUMBER(INDEX(Inputs!$K$5:$AJ$140,0,MATCH(AK$2,Inputs!$K$4:$AJ$4,0))))+SUMPRODUCT((Inputs!$C$5:$C$140=$B5)*ISNUMBER(INDEX(Inputs!$K$5:$AJ$140,0,MATCH(AK$2,Inputs!$K$4:$AJ$4,0))))+SUMPRODUCT((Inputs!$E$5:$E$140=$B5)*ISNUMBER(INDEX(Inputs!$K$5:$AJ$140,0,MATCH(AK$2,Inputs!$K$4:$AJ$4,0))))=0,NA(),SUMPRODUCT((Inputs!$A$5:$A$140=$B5)*Inputs!$B$5:$B$140*(((Inputs!$G$5:$G$140="moeda")+(Inputs!$G$5:$G$140="acoes"))*Inputs!$B$1+((Inputs!$G$5:$G$140&lt;&gt;"moeda")*(Inputs!$G$5:$G$140&lt;&gt;"acoes")))*INDEX(Inputs!$K$5:$AJ$140,0,MATCH(AK$2,Inputs!$K$4:$AJ$4,0)))+SUMPRODUCT((Inputs!$C$5:$C$140=$B5)*Inputs!$D$5:$D$140*(((Inputs!$G$5:$G$140="moeda")+(Inputs!$G$5:$G$140="acoes"))*Inputs!$B$1+((Inputs!$G$5:$G$140&lt;&gt;"moeda")*(Inputs!$G$5:$G$140&lt;&gt;"acoes")))*INDEX(Inputs!$K$5:$AJ$140,0,MATCH(AK$2,Inputs!$K$4:$AJ$4,0)))+SUMPRODUCT((Inputs!$E$5:$E$140=$B5)*Inputs!$F$5:$F$140*(((Inputs!$G$5:$G$140="moeda")+(Inputs!$G$5:$G$140="acoes"))*Inputs!$B$1+((Inputs!$G$5:$G$140&lt;&gt;"moeda")*(Inputs!$G$5:$G$140&lt;&gt;"acoes")))*INDEX(Inputs!$K$5:$AJ$140,0,MATCH(AK$2,Inputs!$K$4:$AJ$4,0)))))</f>
        <v>-2781.01990703</v>
      </c>
      <c r="AL5" s="3">
        <f>SUM(AH5:AK5)</f>
        <v>-9407.62690703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$140=$B6)*ISNUMBER(INDEX(Inputs!$K$5:$AJ$140,0,MATCH(D$2,Inputs!$K$4:$AJ$4,0))))+SUMPRODUCT((Inputs!$C$5:$C$140=$B6)*ISNUMBER(INDEX(Inputs!$K$5:$AJ$140,0,MATCH(D$2,Inputs!$K$4:$AJ$4,0))))+SUMPRODUCT((Inputs!$E$5:$E$140=$B6)*ISNUMBER(INDEX(Inputs!$K$5:$AJ$140,0,MATCH(D$2,Inputs!$K$4:$AJ$4,0))))=0,NA(),SUMPRODUCT((Inputs!$A$5:$A$140=$B6)*Inputs!$B$5:$B$140*(((Inputs!$G$5:$G$140="moeda")+(Inputs!$G$5:$G$140="acoes"))*Inputs!$B$1+((Inputs!$G$5:$G$140&lt;&gt;"moeda")*(Inputs!$G$5:$G$140&lt;&gt;"acoes")))*INDEX(Inputs!$K$5:$AJ$140,0,MATCH(D$2,Inputs!$K$4:$AJ$4,0)))+SUMPRODUCT((Inputs!$C$5:$C$140=$B6)*Inputs!$D$5:$D$140*(((Inputs!$G$5:$G$140="moeda")+(Inputs!$G$5:$G$140="acoes"))*Inputs!$B$1+((Inputs!$G$5:$G$140&lt;&gt;"moeda")*(Inputs!$G$5:$G$140&lt;&gt;"acoes")))*INDEX(Inputs!$K$5:$AJ$140,0,MATCH(D$2,Inputs!$K$4:$AJ$4,0)))+SUMPRODUCT((Inputs!$E$5:$E$140=$B6)*Inputs!$F$5:$F$140*(((Inputs!$G$5:$G$140="moeda")+(Inputs!$G$5:$G$140="acoes"))*Inputs!$B$1+((Inputs!$G$5:$G$140&lt;&gt;"moeda")*(Inputs!$G$5:$G$140&lt;&gt;"acoes")))*INDEX(Inputs!$K$5:$AJ$140,0,MATCH(D$2,Inputs!$K$4:$AJ$4,0)))))</f>
        <v>-562.849638380001</v>
      </c>
      <c r="E6" s="6">
        <f>IF(ISNA(MATCH(E$2,Inputs!$K$4:$AJ$4,0)),NA(),IF(SUMPRODUCT((Inputs!$A$5:$A$140=$B6)*ISNUMBER(INDEX(Inputs!$K$5:$AJ$140,0,MATCH(E$2,Inputs!$K$4:$AJ$4,0))))+SUMPRODUCT((Inputs!$C$5:$C$140=$B6)*ISNUMBER(INDEX(Inputs!$K$5:$AJ$140,0,MATCH(E$2,Inputs!$K$4:$AJ$4,0))))+SUMPRODUCT((Inputs!$E$5:$E$140=$B6)*ISNUMBER(INDEX(Inputs!$K$5:$AJ$140,0,MATCH(E$2,Inputs!$K$4:$AJ$4,0))))=0,NA(),SUMPRODUCT((Inputs!$A$5:$A$140=$B6)*Inputs!$B$5:$B$140*(((Inputs!$G$5:$G$140="moeda")+(Inputs!$G$5:$G$140="acoes"))*Inputs!$B$1+((Inputs!$G$5:$G$140&lt;&gt;"moeda")*(Inputs!$G$5:$G$140&lt;&gt;"acoes")))*INDEX(Inputs!$K$5:$AJ$140,0,MATCH(E$2,Inputs!$K$4:$AJ$4,0)))+SUMPRODUCT((Inputs!$C$5:$C$140=$B6)*Inputs!$D$5:$D$140*(((Inputs!$G$5:$G$140="moeda")+(Inputs!$G$5:$G$140="acoes"))*Inputs!$B$1+((Inputs!$G$5:$G$140&lt;&gt;"moeda")*(Inputs!$G$5:$G$140&lt;&gt;"acoes")))*INDEX(Inputs!$K$5:$AJ$140,0,MATCH(E$2,Inputs!$K$4:$AJ$4,0)))+SUMPRODUCT((Inputs!$E$5:$E$140=$B6)*Inputs!$F$5:$F$140*(((Inputs!$G$5:$G$140="moeda")+(Inputs!$G$5:$G$140="acoes"))*Inputs!$B$1+((Inputs!$G$5:$G$140&lt;&gt;"moeda")*(Inputs!$G$5:$G$140&lt;&gt;"acoes")))*INDEX(Inputs!$K$5:$AJ$140,0,MATCH(E$2,Inputs!$K$4:$AJ$4,0)))))</f>
        <v>-583.837548559999</v>
      </c>
      <c r="F6" s="6">
        <f>IF(ISNA(MATCH(F$2,Inputs!$K$4:$AJ$4,0)),NA(),IF(SUMPRODUCT((Inputs!$A$5:$A$140=$B6)*ISNUMBER(INDEX(Inputs!$K$5:$AJ$140,0,MATCH(F$2,Inputs!$K$4:$AJ$4,0))))+SUMPRODUCT((Inputs!$C$5:$C$140=$B6)*ISNUMBER(INDEX(Inputs!$K$5:$AJ$140,0,MATCH(F$2,Inputs!$K$4:$AJ$4,0))))+SUMPRODUCT((Inputs!$E$5:$E$140=$B6)*ISNUMBER(INDEX(Inputs!$K$5:$AJ$140,0,MATCH(F$2,Inputs!$K$4:$AJ$4,0))))=0,NA(),SUMPRODUCT((Inputs!$A$5:$A$140=$B6)*Inputs!$B$5:$B$140*(((Inputs!$G$5:$G$140="moeda")+(Inputs!$G$5:$G$140="acoes"))*Inputs!$B$1+((Inputs!$G$5:$G$140&lt;&gt;"moeda")*(Inputs!$G$5:$G$140&lt;&gt;"acoes")))*INDEX(Inputs!$K$5:$AJ$140,0,MATCH(F$2,Inputs!$K$4:$AJ$4,0)))+SUMPRODUCT((Inputs!$C$5:$C$140=$B6)*Inputs!$D$5:$D$140*(((Inputs!$G$5:$G$140="moeda")+(Inputs!$G$5:$G$140="acoes"))*Inputs!$B$1+((Inputs!$G$5:$G$140&lt;&gt;"moeda")*(Inputs!$G$5:$G$140&lt;&gt;"acoes")))*INDEX(Inputs!$K$5:$AJ$140,0,MATCH(F$2,Inputs!$K$4:$AJ$4,0)))+SUMPRODUCT((Inputs!$E$5:$E$140=$B6)*Inputs!$F$5:$F$140*(((Inputs!$G$5:$G$140="moeda")+(Inputs!$G$5:$G$140="acoes"))*Inputs!$B$1+((Inputs!$G$5:$G$140&lt;&gt;"moeda")*(Inputs!$G$5:$G$140&lt;&gt;"acoes")))*INDEX(Inputs!$K$5:$AJ$140,0,MATCH(F$2,Inputs!$K$4:$AJ$4,0)))))</f>
        <v>-705.863</v>
      </c>
      <c r="G6" s="6">
        <f>IF(ISNA(MATCH(G$2,Inputs!$K$4:$AJ$4,0)),NA(),IF(SUMPRODUCT((Inputs!$A$5:$A$140=$B6)*ISNUMBER(INDEX(Inputs!$K$5:$AJ$140,0,MATCH(G$2,Inputs!$K$4:$AJ$4,0))))+SUMPRODUCT((Inputs!$C$5:$C$140=$B6)*ISNUMBER(INDEX(Inputs!$K$5:$AJ$140,0,MATCH(G$2,Inputs!$K$4:$AJ$4,0))))+SUMPRODUCT((Inputs!$E$5:$E$140=$B6)*ISNUMBER(INDEX(Inputs!$K$5:$AJ$140,0,MATCH(G$2,Inputs!$K$4:$AJ$4,0))))=0,NA(),SUMPRODUCT((Inputs!$A$5:$A$140=$B6)*Inputs!$B$5:$B$140*(((Inputs!$G$5:$G$140="moeda")+(Inputs!$G$5:$G$140="acoes"))*Inputs!$B$1+((Inputs!$G$5:$G$140&lt;&gt;"moeda")*(Inputs!$G$5:$G$140&lt;&gt;"acoes")))*INDEX(Inputs!$K$5:$AJ$140,0,MATCH(G$2,Inputs!$K$4:$AJ$4,0)))+SUMPRODUCT((Inputs!$C$5:$C$140=$B6)*Inputs!$D$5:$D$140*(((Inputs!$G$5:$G$140="moeda")+(Inputs!$G$5:$G$140="acoes"))*Inputs!$B$1+((Inputs!$G$5:$G$140&lt;&gt;"moeda")*(Inputs!$G$5:$G$140&lt;&gt;"acoes")))*INDEX(Inputs!$K$5:$AJ$140,0,MATCH(G$2,Inputs!$K$4:$AJ$4,0)))+SUMPRODUCT((Inputs!$E$5:$E$140=$B6)*Inputs!$F$5:$F$140*(((Inputs!$G$5:$G$140="moeda")+(Inputs!$G$5:$G$140="acoes"))*Inputs!$B$1+((Inputs!$G$5:$G$140&lt;&gt;"moeda")*(Inputs!$G$5:$G$140&lt;&gt;"acoes")))*INDEX(Inputs!$K$5:$AJ$140,0,MATCH(G$2,Inputs!$K$4:$AJ$4,0)))))</f>
        <v>-673.279</v>
      </c>
      <c r="H6" s="3">
        <f>SUM(D6:G6)</f>
        <v>-2525.82918694</v>
      </c>
      <c r="I6" s="6">
        <f>IF(ISNA(MATCH(I$2,Inputs!$K$4:$AJ$4,0)),NA(),IF(SUMPRODUCT((Inputs!$A$5:$A$140=$B6)*ISNUMBER(INDEX(Inputs!$K$5:$AJ$140,0,MATCH(I$2,Inputs!$K$4:$AJ$4,0))))+SUMPRODUCT((Inputs!$C$5:$C$140=$B6)*ISNUMBER(INDEX(Inputs!$K$5:$AJ$140,0,MATCH(I$2,Inputs!$K$4:$AJ$4,0))))+SUMPRODUCT((Inputs!$E$5:$E$140=$B6)*ISNUMBER(INDEX(Inputs!$K$5:$AJ$140,0,MATCH(I$2,Inputs!$K$4:$AJ$4,0))))=0,NA(),SUMPRODUCT((Inputs!$A$5:$A$140=$B6)*Inputs!$B$5:$B$140*(((Inputs!$G$5:$G$140="moeda")+(Inputs!$G$5:$G$140="acoes"))*Inputs!$B$1+((Inputs!$G$5:$G$140&lt;&gt;"moeda")*(Inputs!$G$5:$G$140&lt;&gt;"acoes")))*INDEX(Inputs!$K$5:$AJ$140,0,MATCH(I$2,Inputs!$K$4:$AJ$4,0)))+SUMPRODUCT((Inputs!$C$5:$C$140=$B6)*Inputs!$D$5:$D$140*(((Inputs!$G$5:$G$140="moeda")+(Inputs!$G$5:$G$140="acoes"))*Inputs!$B$1+((Inputs!$G$5:$G$140&lt;&gt;"moeda")*(Inputs!$G$5:$G$140&lt;&gt;"acoes")))*INDEX(Inputs!$K$5:$AJ$140,0,MATCH(I$2,Inputs!$K$4:$AJ$4,0)))+SUMPRODUCT((Inputs!$E$5:$E$140=$B6)*Inputs!$F$5:$F$140*(((Inputs!$G$5:$G$140="moeda")+(Inputs!$G$5:$G$140="acoes"))*Inputs!$B$1+((Inputs!$G$5:$G$140&lt;&gt;"moeda")*(Inputs!$G$5:$G$140&lt;&gt;"acoes")))*INDEX(Inputs!$K$5:$AJ$140,0,MATCH(I$2,Inputs!$K$4:$AJ$4,0)))))</f>
        <v>-723.7092416</v>
      </c>
      <c r="J6" s="6">
        <f>IF(ISNA(MATCH(J$2,Inputs!$K$4:$AJ$4,0)),NA(),IF(SUMPRODUCT((Inputs!$A$5:$A$140=$B6)*ISNUMBER(INDEX(Inputs!$K$5:$AJ$140,0,MATCH(J$2,Inputs!$K$4:$AJ$4,0))))+SUMPRODUCT((Inputs!$C$5:$C$140=$B6)*ISNUMBER(INDEX(Inputs!$K$5:$AJ$140,0,MATCH(J$2,Inputs!$K$4:$AJ$4,0))))+SUMPRODUCT((Inputs!$E$5:$E$140=$B6)*ISNUMBER(INDEX(Inputs!$K$5:$AJ$140,0,MATCH(J$2,Inputs!$K$4:$AJ$4,0))))=0,NA(),SUMPRODUCT((Inputs!$A$5:$A$140=$B6)*Inputs!$B$5:$B$140*(((Inputs!$G$5:$G$140="moeda")+(Inputs!$G$5:$G$140="acoes"))*Inputs!$B$1+((Inputs!$G$5:$G$140&lt;&gt;"moeda")*(Inputs!$G$5:$G$140&lt;&gt;"acoes")))*INDEX(Inputs!$K$5:$AJ$140,0,MATCH(J$2,Inputs!$K$4:$AJ$4,0)))+SUMPRODUCT((Inputs!$C$5:$C$140=$B6)*Inputs!$D$5:$D$140*(((Inputs!$G$5:$G$140="moeda")+(Inputs!$G$5:$G$140="acoes"))*Inputs!$B$1+((Inputs!$G$5:$G$140&lt;&gt;"moeda")*(Inputs!$G$5:$G$140&lt;&gt;"acoes")))*INDEX(Inputs!$K$5:$AJ$140,0,MATCH(J$2,Inputs!$K$4:$AJ$4,0)))+SUMPRODUCT((Inputs!$E$5:$E$140=$B6)*Inputs!$F$5:$F$140*(((Inputs!$G$5:$G$140="moeda")+(Inputs!$G$5:$G$140="acoes"))*Inputs!$B$1+((Inputs!$G$5:$G$140&lt;&gt;"moeda")*(Inputs!$G$5:$G$140&lt;&gt;"acoes")))*INDEX(Inputs!$K$5:$AJ$140,0,MATCH(J$2,Inputs!$K$4:$AJ$4,0)))))</f>
        <v>-772.76980326</v>
      </c>
      <c r="K6" s="6">
        <f>IF(ISNA(MATCH(K$2,Inputs!$K$4:$AJ$4,0)),NA(),IF(SUMPRODUCT((Inputs!$A$5:$A$140=$B6)*ISNUMBER(INDEX(Inputs!$K$5:$AJ$140,0,MATCH(K$2,Inputs!$K$4:$AJ$4,0))))+SUMPRODUCT((Inputs!$C$5:$C$140=$B6)*ISNUMBER(INDEX(Inputs!$K$5:$AJ$140,0,MATCH(K$2,Inputs!$K$4:$AJ$4,0))))+SUMPRODUCT((Inputs!$E$5:$E$140=$B6)*ISNUMBER(INDEX(Inputs!$K$5:$AJ$140,0,MATCH(K$2,Inputs!$K$4:$AJ$4,0))))=0,NA(),SUMPRODUCT((Inputs!$A$5:$A$140=$B6)*Inputs!$B$5:$B$140*(((Inputs!$G$5:$G$140="moeda")+(Inputs!$G$5:$G$140="acoes"))*Inputs!$B$1+((Inputs!$G$5:$G$140&lt;&gt;"moeda")*(Inputs!$G$5:$G$140&lt;&gt;"acoes")))*INDEX(Inputs!$K$5:$AJ$140,0,MATCH(K$2,Inputs!$K$4:$AJ$4,0)))+SUMPRODUCT((Inputs!$C$5:$C$140=$B6)*Inputs!$D$5:$D$140*(((Inputs!$G$5:$G$140="moeda")+(Inputs!$G$5:$G$140="acoes"))*Inputs!$B$1+((Inputs!$G$5:$G$140&lt;&gt;"moeda")*(Inputs!$G$5:$G$140&lt;&gt;"acoes")))*INDEX(Inputs!$K$5:$AJ$140,0,MATCH(K$2,Inputs!$K$4:$AJ$4,0)))+SUMPRODUCT((Inputs!$E$5:$E$140=$B6)*Inputs!$F$5:$F$140*(((Inputs!$G$5:$G$140="moeda")+(Inputs!$G$5:$G$140="acoes"))*Inputs!$B$1+((Inputs!$G$5:$G$140&lt;&gt;"moeda")*(Inputs!$G$5:$G$140&lt;&gt;"acoes")))*INDEX(Inputs!$K$5:$AJ$140,0,MATCH(K$2,Inputs!$K$4:$AJ$4,0)))))</f>
        <v>-881.737</v>
      </c>
      <c r="L6" s="6">
        <f>IF(ISNA(MATCH(L$2,Inputs!$K$4:$AJ$4,0)),NA(),IF(SUMPRODUCT((Inputs!$A$5:$A$140=$B6)*ISNUMBER(INDEX(Inputs!$K$5:$AJ$140,0,MATCH(L$2,Inputs!$K$4:$AJ$4,0))))+SUMPRODUCT((Inputs!$C$5:$C$140=$B6)*ISNUMBER(INDEX(Inputs!$K$5:$AJ$140,0,MATCH(L$2,Inputs!$K$4:$AJ$4,0))))+SUMPRODUCT((Inputs!$E$5:$E$140=$B6)*ISNUMBER(INDEX(Inputs!$K$5:$AJ$140,0,MATCH(L$2,Inputs!$K$4:$AJ$4,0))))=0,NA(),SUMPRODUCT((Inputs!$A$5:$A$140=$B6)*Inputs!$B$5:$B$140*(((Inputs!$G$5:$G$140="moeda")+(Inputs!$G$5:$G$140="acoes"))*Inputs!$B$1+((Inputs!$G$5:$G$140&lt;&gt;"moeda")*(Inputs!$G$5:$G$140&lt;&gt;"acoes")))*INDEX(Inputs!$K$5:$AJ$140,0,MATCH(L$2,Inputs!$K$4:$AJ$4,0)))+SUMPRODUCT((Inputs!$C$5:$C$140=$B6)*Inputs!$D$5:$D$140*(((Inputs!$G$5:$G$140="moeda")+(Inputs!$G$5:$G$140="acoes"))*Inputs!$B$1+((Inputs!$G$5:$G$140&lt;&gt;"moeda")*(Inputs!$G$5:$G$140&lt;&gt;"acoes")))*INDEX(Inputs!$K$5:$AJ$140,0,MATCH(L$2,Inputs!$K$4:$AJ$4,0)))+SUMPRODUCT((Inputs!$E$5:$E$140=$B6)*Inputs!$F$5:$F$140*(((Inputs!$G$5:$G$140="moeda")+(Inputs!$G$5:$G$140="acoes"))*Inputs!$B$1+((Inputs!$G$5:$G$140&lt;&gt;"moeda")*(Inputs!$G$5:$G$140&lt;&gt;"acoes")))*INDEX(Inputs!$K$5:$AJ$140,0,MATCH(L$2,Inputs!$K$4:$AJ$4,0)))))</f>
        <v>-801.424</v>
      </c>
      <c r="M6" s="3">
        <f>SUM(I6:L6)</f>
        <v>-3179.64004486</v>
      </c>
      <c r="N6" s="6">
        <f>IF(ISNA(MATCH(N$2,Inputs!$K$4:$AJ$4,0)),NA(),IF(SUMPRODUCT((Inputs!$A$5:$A$140=$B6)*ISNUMBER(INDEX(Inputs!$K$5:$AJ$140,0,MATCH(N$2,Inputs!$K$4:$AJ$4,0))))+SUMPRODUCT((Inputs!$C$5:$C$140=$B6)*ISNUMBER(INDEX(Inputs!$K$5:$AJ$140,0,MATCH(N$2,Inputs!$K$4:$AJ$4,0))))+SUMPRODUCT((Inputs!$E$5:$E$140=$B6)*ISNUMBER(INDEX(Inputs!$K$5:$AJ$140,0,MATCH(N$2,Inputs!$K$4:$AJ$4,0))))=0,NA(),SUMPRODUCT((Inputs!$A$5:$A$140=$B6)*Inputs!$B$5:$B$140*(((Inputs!$G$5:$G$140="moeda")+(Inputs!$G$5:$G$140="acoes"))*Inputs!$B$1+((Inputs!$G$5:$G$140&lt;&gt;"moeda")*(Inputs!$G$5:$G$140&lt;&gt;"acoes")))*INDEX(Inputs!$K$5:$AJ$140,0,MATCH(N$2,Inputs!$K$4:$AJ$4,0)))+SUMPRODUCT((Inputs!$C$5:$C$140=$B6)*Inputs!$D$5:$D$140*(((Inputs!$G$5:$G$140="moeda")+(Inputs!$G$5:$G$140="acoes"))*Inputs!$B$1+((Inputs!$G$5:$G$140&lt;&gt;"moeda")*(Inputs!$G$5:$G$140&lt;&gt;"acoes")))*INDEX(Inputs!$K$5:$AJ$140,0,MATCH(N$2,Inputs!$K$4:$AJ$4,0)))+SUMPRODUCT((Inputs!$E$5:$E$140=$B6)*Inputs!$F$5:$F$140*(((Inputs!$G$5:$G$140="moeda")+(Inputs!$G$5:$G$140="acoes"))*Inputs!$B$1+((Inputs!$G$5:$G$140&lt;&gt;"moeda")*(Inputs!$G$5:$G$140&lt;&gt;"acoes")))*INDEX(Inputs!$K$5:$AJ$140,0,MATCH(N$2,Inputs!$K$4:$AJ$4,0)))))</f>
        <v>-882.38233242</v>
      </c>
      <c r="O6" s="6">
        <f>IF(ISNA(MATCH(O$2,Inputs!$K$4:$AJ$4,0)),NA(),IF(SUMPRODUCT((Inputs!$A$5:$A$140=$B6)*ISNUMBER(INDEX(Inputs!$K$5:$AJ$140,0,MATCH(O$2,Inputs!$K$4:$AJ$4,0))))+SUMPRODUCT((Inputs!$C$5:$C$140=$B6)*ISNUMBER(INDEX(Inputs!$K$5:$AJ$140,0,MATCH(O$2,Inputs!$K$4:$AJ$4,0))))+SUMPRODUCT((Inputs!$E$5:$E$140=$B6)*ISNUMBER(INDEX(Inputs!$K$5:$AJ$140,0,MATCH(O$2,Inputs!$K$4:$AJ$4,0))))=0,NA(),SUMPRODUCT((Inputs!$A$5:$A$140=$B6)*Inputs!$B$5:$B$140*(((Inputs!$G$5:$G$140="moeda")+(Inputs!$G$5:$G$140="acoes"))*Inputs!$B$1+((Inputs!$G$5:$G$140&lt;&gt;"moeda")*(Inputs!$G$5:$G$140&lt;&gt;"acoes")))*INDEX(Inputs!$K$5:$AJ$140,0,MATCH(O$2,Inputs!$K$4:$AJ$4,0)))+SUMPRODUCT((Inputs!$C$5:$C$140=$B6)*Inputs!$D$5:$D$140*(((Inputs!$G$5:$G$140="moeda")+(Inputs!$G$5:$G$140="acoes"))*Inputs!$B$1+((Inputs!$G$5:$G$140&lt;&gt;"moeda")*(Inputs!$G$5:$G$140&lt;&gt;"acoes")))*INDEX(Inputs!$K$5:$AJ$140,0,MATCH(O$2,Inputs!$K$4:$AJ$4,0)))+SUMPRODUCT((Inputs!$E$5:$E$140=$B6)*Inputs!$F$5:$F$140*(((Inputs!$G$5:$G$140="moeda")+(Inputs!$G$5:$G$140="acoes"))*Inputs!$B$1+((Inputs!$G$5:$G$140&lt;&gt;"moeda")*(Inputs!$G$5:$G$140&lt;&gt;"acoes")))*INDEX(Inputs!$K$5:$AJ$140,0,MATCH(O$2,Inputs!$K$4:$AJ$4,0)))))</f>
        <v>-938.709</v>
      </c>
      <c r="P6" s="6">
        <f>IF(ISNA(MATCH(P$2,Inputs!$K$4:$AJ$4,0)),NA(),IF(SUMPRODUCT((Inputs!$A$5:$A$140=$B6)*ISNUMBER(INDEX(Inputs!$K$5:$AJ$140,0,MATCH(P$2,Inputs!$K$4:$AJ$4,0))))+SUMPRODUCT((Inputs!$C$5:$C$140=$B6)*ISNUMBER(INDEX(Inputs!$K$5:$AJ$140,0,MATCH(P$2,Inputs!$K$4:$AJ$4,0))))+SUMPRODUCT((Inputs!$E$5:$E$140=$B6)*ISNUMBER(INDEX(Inputs!$K$5:$AJ$140,0,MATCH(P$2,Inputs!$K$4:$AJ$4,0))))=0,NA(),SUMPRODUCT((Inputs!$A$5:$A$140=$B6)*Inputs!$B$5:$B$140*(((Inputs!$G$5:$G$140="moeda")+(Inputs!$G$5:$G$140="acoes"))*Inputs!$B$1+((Inputs!$G$5:$G$140&lt;&gt;"moeda")*(Inputs!$G$5:$G$140&lt;&gt;"acoes")))*INDEX(Inputs!$K$5:$AJ$140,0,MATCH(P$2,Inputs!$K$4:$AJ$4,0)))+SUMPRODUCT((Inputs!$C$5:$C$140=$B6)*Inputs!$D$5:$D$140*(((Inputs!$G$5:$G$140="moeda")+(Inputs!$G$5:$G$140="acoes"))*Inputs!$B$1+((Inputs!$G$5:$G$140&lt;&gt;"moeda")*(Inputs!$G$5:$G$140&lt;&gt;"acoes")))*INDEX(Inputs!$K$5:$AJ$140,0,MATCH(P$2,Inputs!$K$4:$AJ$4,0)))+SUMPRODUCT((Inputs!$E$5:$E$140=$B6)*Inputs!$F$5:$F$140*(((Inputs!$G$5:$G$140="moeda")+(Inputs!$G$5:$G$140="acoes"))*Inputs!$B$1+((Inputs!$G$5:$G$140&lt;&gt;"moeda")*(Inputs!$G$5:$G$140&lt;&gt;"acoes")))*INDEX(Inputs!$K$5:$AJ$140,0,MATCH(P$2,Inputs!$K$4:$AJ$4,0)))))</f>
        <v>-1048.17</v>
      </c>
      <c r="Q6" s="6">
        <f>IF(ISNA(MATCH(Q$2,Inputs!$K$4:$AJ$4,0)),NA(),IF(SUMPRODUCT((Inputs!$A$5:$A$140=$B6)*ISNUMBER(INDEX(Inputs!$K$5:$AJ$140,0,MATCH(Q$2,Inputs!$K$4:$AJ$4,0))))+SUMPRODUCT((Inputs!$C$5:$C$140=$B6)*ISNUMBER(INDEX(Inputs!$K$5:$AJ$140,0,MATCH(Q$2,Inputs!$K$4:$AJ$4,0))))+SUMPRODUCT((Inputs!$E$5:$E$140=$B6)*ISNUMBER(INDEX(Inputs!$K$5:$AJ$140,0,MATCH(Q$2,Inputs!$K$4:$AJ$4,0))))=0,NA(),SUMPRODUCT((Inputs!$A$5:$A$140=$B6)*Inputs!$B$5:$B$140*(((Inputs!$G$5:$G$140="moeda")+(Inputs!$G$5:$G$140="acoes"))*Inputs!$B$1+((Inputs!$G$5:$G$140&lt;&gt;"moeda")*(Inputs!$G$5:$G$140&lt;&gt;"acoes")))*INDEX(Inputs!$K$5:$AJ$140,0,MATCH(Q$2,Inputs!$K$4:$AJ$4,0)))+SUMPRODUCT((Inputs!$C$5:$C$140=$B6)*Inputs!$D$5:$D$140*(((Inputs!$G$5:$G$140="moeda")+(Inputs!$G$5:$G$140="acoes"))*Inputs!$B$1+((Inputs!$G$5:$G$140&lt;&gt;"moeda")*(Inputs!$G$5:$G$140&lt;&gt;"acoes")))*INDEX(Inputs!$K$5:$AJ$140,0,MATCH(Q$2,Inputs!$K$4:$AJ$4,0)))+SUMPRODUCT((Inputs!$E$5:$E$140=$B6)*Inputs!$F$5:$F$140*(((Inputs!$G$5:$G$140="moeda")+(Inputs!$G$5:$G$140="acoes"))*Inputs!$B$1+((Inputs!$G$5:$G$140&lt;&gt;"moeda")*(Inputs!$G$5:$G$140&lt;&gt;"acoes")))*INDEX(Inputs!$K$5:$AJ$140,0,MATCH(Q$2,Inputs!$K$4:$AJ$4,0)))))</f>
        <v>-1085.57050511</v>
      </c>
      <c r="R6" s="3">
        <f>SUM(N6:Q6)</f>
        <v>-3954.83183753</v>
      </c>
      <c r="S6" s="6">
        <f>IF(ISNA(MATCH(S$2,Inputs!$K$4:$AJ$4,0)),NA(),IF(SUMPRODUCT((Inputs!$A$5:$A$140=$B6)*ISNUMBER(INDEX(Inputs!$K$5:$AJ$140,0,MATCH(S$2,Inputs!$K$4:$AJ$4,0))))+SUMPRODUCT((Inputs!$C$5:$C$140=$B6)*ISNUMBER(INDEX(Inputs!$K$5:$AJ$140,0,MATCH(S$2,Inputs!$K$4:$AJ$4,0))))+SUMPRODUCT((Inputs!$E$5:$E$140=$B6)*ISNUMBER(INDEX(Inputs!$K$5:$AJ$140,0,MATCH(S$2,Inputs!$K$4:$AJ$4,0))))=0,NA(),SUMPRODUCT((Inputs!$A$5:$A$140=$B6)*Inputs!$B$5:$B$140*(((Inputs!$G$5:$G$140="moeda")+(Inputs!$G$5:$G$140="acoes"))*Inputs!$B$1+((Inputs!$G$5:$G$140&lt;&gt;"moeda")*(Inputs!$G$5:$G$140&lt;&gt;"acoes")))*INDEX(Inputs!$K$5:$AJ$140,0,MATCH(S$2,Inputs!$K$4:$AJ$4,0)))+SUMPRODUCT((Inputs!$C$5:$C$140=$B6)*Inputs!$D$5:$D$140*(((Inputs!$G$5:$G$140="moeda")+(Inputs!$G$5:$G$140="acoes"))*Inputs!$B$1+((Inputs!$G$5:$G$140&lt;&gt;"moeda")*(Inputs!$G$5:$G$140&lt;&gt;"acoes")))*INDEX(Inputs!$K$5:$AJ$140,0,MATCH(S$2,Inputs!$K$4:$AJ$4,0)))+SUMPRODUCT((Inputs!$E$5:$E$140=$B6)*Inputs!$F$5:$F$140*(((Inputs!$G$5:$G$140="moeda")+(Inputs!$G$5:$G$140="acoes"))*Inputs!$B$1+((Inputs!$G$5:$G$140&lt;&gt;"moeda")*(Inputs!$G$5:$G$140&lt;&gt;"acoes")))*INDEX(Inputs!$K$5:$AJ$140,0,MATCH(S$2,Inputs!$K$4:$AJ$4,0)))))</f>
        <v>-1139.73162143</v>
      </c>
      <c r="T6" s="6">
        <f>IF(ISNA(MATCH(T$2,Inputs!$K$4:$AJ$4,0)),NA(),IF(SUMPRODUCT((Inputs!$A$5:$A$140=$B6)*ISNUMBER(INDEX(Inputs!$K$5:$AJ$140,0,MATCH(T$2,Inputs!$K$4:$AJ$4,0))))+SUMPRODUCT((Inputs!$C$5:$C$140=$B6)*ISNUMBER(INDEX(Inputs!$K$5:$AJ$140,0,MATCH(T$2,Inputs!$K$4:$AJ$4,0))))+SUMPRODUCT((Inputs!$E$5:$E$140=$B6)*ISNUMBER(INDEX(Inputs!$K$5:$AJ$140,0,MATCH(T$2,Inputs!$K$4:$AJ$4,0))))=0,NA(),SUMPRODUCT((Inputs!$A$5:$A$140=$B6)*Inputs!$B$5:$B$140*(((Inputs!$G$5:$G$140="moeda")+(Inputs!$G$5:$G$140="acoes"))*Inputs!$B$1+((Inputs!$G$5:$G$140&lt;&gt;"moeda")*(Inputs!$G$5:$G$140&lt;&gt;"acoes")))*INDEX(Inputs!$K$5:$AJ$140,0,MATCH(T$2,Inputs!$K$4:$AJ$4,0)))+SUMPRODUCT((Inputs!$C$5:$C$140=$B6)*Inputs!$D$5:$D$140*(((Inputs!$G$5:$G$140="moeda")+(Inputs!$G$5:$G$140="acoes"))*Inputs!$B$1+((Inputs!$G$5:$G$140&lt;&gt;"moeda")*(Inputs!$G$5:$G$140&lt;&gt;"acoes")))*INDEX(Inputs!$K$5:$AJ$140,0,MATCH(T$2,Inputs!$K$4:$AJ$4,0)))+SUMPRODUCT((Inputs!$E$5:$E$140=$B6)*Inputs!$F$5:$F$140*(((Inputs!$G$5:$G$140="moeda")+(Inputs!$G$5:$G$140="acoes"))*Inputs!$B$1+((Inputs!$G$5:$G$140&lt;&gt;"moeda")*(Inputs!$G$5:$G$140&lt;&gt;"acoes")))*INDEX(Inputs!$K$5:$AJ$140,0,MATCH(T$2,Inputs!$K$4:$AJ$4,0)))))</f>
        <v>-1169.752</v>
      </c>
      <c r="U6" s="6">
        <f>IF(ISNA(MATCH(U$2,Inputs!$K$4:$AJ$4,0)),NA(),IF(SUMPRODUCT((Inputs!$A$5:$A$140=$B6)*ISNUMBER(INDEX(Inputs!$K$5:$AJ$140,0,MATCH(U$2,Inputs!$K$4:$AJ$4,0))))+SUMPRODUCT((Inputs!$C$5:$C$140=$B6)*ISNUMBER(INDEX(Inputs!$K$5:$AJ$140,0,MATCH(U$2,Inputs!$K$4:$AJ$4,0))))+SUMPRODUCT((Inputs!$E$5:$E$140=$B6)*ISNUMBER(INDEX(Inputs!$K$5:$AJ$140,0,MATCH(U$2,Inputs!$K$4:$AJ$4,0))))=0,NA(),SUMPRODUCT((Inputs!$A$5:$A$140=$B6)*Inputs!$B$5:$B$140*(((Inputs!$G$5:$G$140="moeda")+(Inputs!$G$5:$G$140="acoes"))*Inputs!$B$1+((Inputs!$G$5:$G$140&lt;&gt;"moeda")*(Inputs!$G$5:$G$140&lt;&gt;"acoes")))*INDEX(Inputs!$K$5:$AJ$140,0,MATCH(U$2,Inputs!$K$4:$AJ$4,0)))+SUMPRODUCT((Inputs!$C$5:$C$140=$B6)*Inputs!$D$5:$D$140*(((Inputs!$G$5:$G$140="moeda")+(Inputs!$G$5:$G$140="acoes"))*Inputs!$B$1+((Inputs!$G$5:$G$140&lt;&gt;"moeda")*(Inputs!$G$5:$G$140&lt;&gt;"acoes")))*INDEX(Inputs!$K$5:$AJ$140,0,MATCH(U$2,Inputs!$K$4:$AJ$4,0)))+SUMPRODUCT((Inputs!$E$5:$E$140=$B6)*Inputs!$F$5:$F$140*(((Inputs!$G$5:$G$140="moeda")+(Inputs!$G$5:$G$140="acoes"))*Inputs!$B$1+((Inputs!$G$5:$G$140&lt;&gt;"moeda")*(Inputs!$G$5:$G$140&lt;&gt;"acoes")))*INDEX(Inputs!$K$5:$AJ$140,0,MATCH(U$2,Inputs!$K$4:$AJ$4,0)))))</f>
        <v>-1209.442</v>
      </c>
      <c r="V6" s="6">
        <f>IF(ISNA(MATCH(V$2,Inputs!$K$4:$AJ$4,0)),NA(),IF(SUMPRODUCT((Inputs!$A$5:$A$140=$B6)*ISNUMBER(INDEX(Inputs!$K$5:$AJ$140,0,MATCH(V$2,Inputs!$K$4:$AJ$4,0))))+SUMPRODUCT((Inputs!$C$5:$C$140=$B6)*ISNUMBER(INDEX(Inputs!$K$5:$AJ$140,0,MATCH(V$2,Inputs!$K$4:$AJ$4,0))))+SUMPRODUCT((Inputs!$E$5:$E$140=$B6)*ISNUMBER(INDEX(Inputs!$K$5:$AJ$140,0,MATCH(V$2,Inputs!$K$4:$AJ$4,0))))=0,NA(),SUMPRODUCT((Inputs!$A$5:$A$140=$B6)*Inputs!$B$5:$B$140*(((Inputs!$G$5:$G$140="moeda")+(Inputs!$G$5:$G$140="acoes"))*Inputs!$B$1+((Inputs!$G$5:$G$140&lt;&gt;"moeda")*(Inputs!$G$5:$G$140&lt;&gt;"acoes")))*INDEX(Inputs!$K$5:$AJ$140,0,MATCH(V$2,Inputs!$K$4:$AJ$4,0)))+SUMPRODUCT((Inputs!$C$5:$C$140=$B6)*Inputs!$D$5:$D$140*(((Inputs!$G$5:$G$140="moeda")+(Inputs!$G$5:$G$140="acoes"))*Inputs!$B$1+((Inputs!$G$5:$G$140&lt;&gt;"moeda")*(Inputs!$G$5:$G$140&lt;&gt;"acoes")))*INDEX(Inputs!$K$5:$AJ$140,0,MATCH(V$2,Inputs!$K$4:$AJ$4,0)))+SUMPRODUCT((Inputs!$E$5:$E$140=$B6)*Inputs!$F$5:$F$140*(((Inputs!$G$5:$G$140="moeda")+(Inputs!$G$5:$G$140="acoes"))*Inputs!$B$1+((Inputs!$G$5:$G$140&lt;&gt;"moeda")*(Inputs!$G$5:$G$140&lt;&gt;"acoes")))*INDEX(Inputs!$K$5:$AJ$140,0,MATCH(V$2,Inputs!$K$4:$AJ$4,0)))))</f>
        <v>-1273.5865</v>
      </c>
      <c r="W6" s="3">
        <f>SUM(S6:V6)</f>
        <v>-4792.51212143</v>
      </c>
      <c r="X6" s="6">
        <f>IF(ISNA(MATCH(X$2,Inputs!$K$4:$AJ$4,0)),NA(),IF(SUMPRODUCT((Inputs!$A$5:$A$140=$B6)*ISNUMBER(INDEX(Inputs!$K$5:$AJ$140,0,MATCH(X$2,Inputs!$K$4:$AJ$4,0))))+SUMPRODUCT((Inputs!$C$5:$C$140=$B6)*ISNUMBER(INDEX(Inputs!$K$5:$AJ$140,0,MATCH(X$2,Inputs!$K$4:$AJ$4,0))))+SUMPRODUCT((Inputs!$E$5:$E$140=$B6)*ISNUMBER(INDEX(Inputs!$K$5:$AJ$140,0,MATCH(X$2,Inputs!$K$4:$AJ$4,0))))=0,NA(),SUMPRODUCT((Inputs!$A$5:$A$140=$B6)*Inputs!$B$5:$B$140*(((Inputs!$G$5:$G$140="moeda")+(Inputs!$G$5:$G$140="acoes"))*Inputs!$B$1+((Inputs!$G$5:$G$140&lt;&gt;"moeda")*(Inputs!$G$5:$G$140&lt;&gt;"acoes")))*INDEX(Inputs!$K$5:$AJ$140,0,MATCH(X$2,Inputs!$K$4:$AJ$4,0)))+SUMPRODUCT((Inputs!$C$5:$C$140=$B6)*Inputs!$D$5:$D$140*(((Inputs!$G$5:$G$140="moeda")+(Inputs!$G$5:$G$140="acoes"))*Inputs!$B$1+((Inputs!$G$5:$G$140&lt;&gt;"moeda")*(Inputs!$G$5:$G$140&lt;&gt;"acoes")))*INDEX(Inputs!$K$5:$AJ$140,0,MATCH(X$2,Inputs!$K$4:$AJ$4,0)))+SUMPRODUCT((Inputs!$E$5:$E$140=$B6)*Inputs!$F$5:$F$140*(((Inputs!$G$5:$G$140="moeda")+(Inputs!$G$5:$G$140="acoes"))*Inputs!$B$1+((Inputs!$G$5:$G$140&lt;&gt;"moeda")*(Inputs!$G$5:$G$140&lt;&gt;"acoes")))*INDEX(Inputs!$K$5:$AJ$140,0,MATCH(X$2,Inputs!$K$4:$AJ$4,0)))))</f>
        <v>-1266.711</v>
      </c>
      <c r="Y6" s="6">
        <f>IF(ISNA(MATCH(Y$2,Inputs!$K$4:$AJ$4,0)),NA(),IF(SUMPRODUCT((Inputs!$A$5:$A$140=$B6)*ISNUMBER(INDEX(Inputs!$K$5:$AJ$140,0,MATCH(Y$2,Inputs!$K$4:$AJ$4,0))))+SUMPRODUCT((Inputs!$C$5:$C$140=$B6)*ISNUMBER(INDEX(Inputs!$K$5:$AJ$140,0,MATCH(Y$2,Inputs!$K$4:$AJ$4,0))))+SUMPRODUCT((Inputs!$E$5:$E$140=$B6)*ISNUMBER(INDEX(Inputs!$K$5:$AJ$140,0,MATCH(Y$2,Inputs!$K$4:$AJ$4,0))))=0,NA(),SUMPRODUCT((Inputs!$A$5:$A$140=$B6)*Inputs!$B$5:$B$140*(((Inputs!$G$5:$G$140="moeda")+(Inputs!$G$5:$G$140="acoes"))*Inputs!$B$1+((Inputs!$G$5:$G$140&lt;&gt;"moeda")*(Inputs!$G$5:$G$140&lt;&gt;"acoes")))*INDEX(Inputs!$K$5:$AJ$140,0,MATCH(Y$2,Inputs!$K$4:$AJ$4,0)))+SUMPRODUCT((Inputs!$C$5:$C$140=$B6)*Inputs!$D$5:$D$140*(((Inputs!$G$5:$G$140="moeda")+(Inputs!$G$5:$G$140="acoes"))*Inputs!$B$1+((Inputs!$G$5:$G$140&lt;&gt;"moeda")*(Inputs!$G$5:$G$140&lt;&gt;"acoes")))*INDEX(Inputs!$K$5:$AJ$140,0,MATCH(Y$2,Inputs!$K$4:$AJ$4,0)))+SUMPRODUCT((Inputs!$E$5:$E$140=$B6)*Inputs!$F$5:$F$140*(((Inputs!$G$5:$G$140="moeda")+(Inputs!$G$5:$G$140="acoes"))*Inputs!$B$1+((Inputs!$G$5:$G$140&lt;&gt;"moeda")*(Inputs!$G$5:$G$140&lt;&gt;"acoes")))*INDEX(Inputs!$K$5:$AJ$140,0,MATCH(Y$2,Inputs!$K$4:$AJ$4,0)))))</f>
        <v>-1318.147</v>
      </c>
      <c r="Z6" s="6">
        <f>IF(ISNA(MATCH(Z$2,Inputs!$K$4:$AJ$4,0)),NA(),IF(SUMPRODUCT((Inputs!$A$5:$A$140=$B6)*ISNUMBER(INDEX(Inputs!$K$5:$AJ$140,0,MATCH(Z$2,Inputs!$K$4:$AJ$4,0))))+SUMPRODUCT((Inputs!$C$5:$C$140=$B6)*ISNUMBER(INDEX(Inputs!$K$5:$AJ$140,0,MATCH(Z$2,Inputs!$K$4:$AJ$4,0))))+SUMPRODUCT((Inputs!$E$5:$E$140=$B6)*ISNUMBER(INDEX(Inputs!$K$5:$AJ$140,0,MATCH(Z$2,Inputs!$K$4:$AJ$4,0))))=0,NA(),SUMPRODUCT((Inputs!$A$5:$A$140=$B6)*Inputs!$B$5:$B$140*(((Inputs!$G$5:$G$140="moeda")+(Inputs!$G$5:$G$140="acoes"))*Inputs!$B$1+((Inputs!$G$5:$G$140&lt;&gt;"moeda")*(Inputs!$G$5:$G$140&lt;&gt;"acoes")))*INDEX(Inputs!$K$5:$AJ$140,0,MATCH(Z$2,Inputs!$K$4:$AJ$4,0)))+SUMPRODUCT((Inputs!$C$5:$C$140=$B6)*Inputs!$D$5:$D$140*(((Inputs!$G$5:$G$140="moeda")+(Inputs!$G$5:$G$140="acoes"))*Inputs!$B$1+((Inputs!$G$5:$G$140&lt;&gt;"moeda")*(Inputs!$G$5:$G$140&lt;&gt;"acoes")))*INDEX(Inputs!$K$5:$AJ$140,0,MATCH(Z$2,Inputs!$K$4:$AJ$4,0)))+SUMPRODUCT((Inputs!$E$5:$E$140=$B6)*Inputs!$F$5:$F$140*(((Inputs!$G$5:$G$140="moeda")+(Inputs!$G$5:$G$140="acoes"))*Inputs!$B$1+((Inputs!$G$5:$G$140&lt;&gt;"moeda")*(Inputs!$G$5:$G$140&lt;&gt;"acoes")))*INDEX(Inputs!$K$5:$AJ$140,0,MATCH(Z$2,Inputs!$K$4:$AJ$4,0)))))</f>
        <v>-1459.552</v>
      </c>
      <c r="AA6" s="6">
        <f>IF(ISNA(MATCH(AA$2,Inputs!$K$4:$AJ$4,0)),NA(),IF(SUMPRODUCT((Inputs!$A$5:$A$140=$B6)*ISNUMBER(INDEX(Inputs!$K$5:$AJ$140,0,MATCH(AA$2,Inputs!$K$4:$AJ$4,0))))+SUMPRODUCT((Inputs!$C$5:$C$140=$B6)*ISNUMBER(INDEX(Inputs!$K$5:$AJ$140,0,MATCH(AA$2,Inputs!$K$4:$AJ$4,0))))+SUMPRODUCT((Inputs!$E$5:$E$140=$B6)*ISNUMBER(INDEX(Inputs!$K$5:$AJ$140,0,MATCH(AA$2,Inputs!$K$4:$AJ$4,0))))=0,NA(),SUMPRODUCT((Inputs!$A$5:$A$140=$B6)*Inputs!$B$5:$B$140*(((Inputs!$G$5:$G$140="moeda")+(Inputs!$G$5:$G$140="acoes"))*Inputs!$B$1+((Inputs!$G$5:$G$140&lt;&gt;"moeda")*(Inputs!$G$5:$G$140&lt;&gt;"acoes")))*INDEX(Inputs!$K$5:$AJ$140,0,MATCH(AA$2,Inputs!$K$4:$AJ$4,0)))+SUMPRODUCT((Inputs!$C$5:$C$140=$B6)*Inputs!$D$5:$D$140*(((Inputs!$G$5:$G$140="moeda")+(Inputs!$G$5:$G$140="acoes"))*Inputs!$B$1+((Inputs!$G$5:$G$140&lt;&gt;"moeda")*(Inputs!$G$5:$G$140&lt;&gt;"acoes")))*INDEX(Inputs!$K$5:$AJ$140,0,MATCH(AA$2,Inputs!$K$4:$AJ$4,0)))+SUMPRODUCT((Inputs!$E$5:$E$140=$B6)*Inputs!$F$5:$F$140*(((Inputs!$G$5:$G$140="moeda")+(Inputs!$G$5:$G$140="acoes"))*Inputs!$B$1+((Inputs!$G$5:$G$140&lt;&gt;"moeda")*(Inputs!$G$5:$G$140&lt;&gt;"acoes")))*INDEX(Inputs!$K$5:$AJ$140,0,MATCH(AA$2,Inputs!$K$4:$AJ$4,0)))))</f>
        <v>-1762.206189</v>
      </c>
      <c r="AB6" s="3">
        <f>SUM(X6:AA6)</f>
        <v>-5806.616189</v>
      </c>
      <c r="AC6" s="6">
        <f>IF(ISNA(MATCH(AC$2,Inputs!$K$4:$AJ$4,0)),NA(),IF(SUMPRODUCT((Inputs!$A$5:$A$140=$B6)*ISNUMBER(INDEX(Inputs!$K$5:$AJ$140,0,MATCH(AC$2,Inputs!$K$4:$AJ$4,0))))+SUMPRODUCT((Inputs!$C$5:$C$140=$B6)*ISNUMBER(INDEX(Inputs!$K$5:$AJ$140,0,MATCH(AC$2,Inputs!$K$4:$AJ$4,0))))+SUMPRODUCT((Inputs!$E$5:$E$140=$B6)*ISNUMBER(INDEX(Inputs!$K$5:$AJ$140,0,MATCH(AC$2,Inputs!$K$4:$AJ$4,0))))=0,NA(),SUMPRODUCT((Inputs!$A$5:$A$140=$B6)*Inputs!$B$5:$B$140*(((Inputs!$G$5:$G$140="moeda")+(Inputs!$G$5:$G$140="acoes"))*Inputs!$B$1+((Inputs!$G$5:$G$140&lt;&gt;"moeda")*(Inputs!$G$5:$G$140&lt;&gt;"acoes")))*INDEX(Inputs!$K$5:$AJ$140,0,MATCH(AC$2,Inputs!$K$4:$AJ$4,0)))+SUMPRODUCT((Inputs!$C$5:$C$140=$B6)*Inputs!$D$5:$D$140*(((Inputs!$G$5:$G$140="moeda")+(Inputs!$G$5:$G$140="acoes"))*Inputs!$B$1+((Inputs!$G$5:$G$140&lt;&gt;"moeda")*(Inputs!$G$5:$G$140&lt;&gt;"acoes")))*INDEX(Inputs!$K$5:$AJ$140,0,MATCH(AC$2,Inputs!$K$4:$AJ$4,0)))+SUMPRODUCT((Inputs!$E$5:$E$140=$B6)*Inputs!$F$5:$F$140*(((Inputs!$G$5:$G$140="moeda")+(Inputs!$G$5:$G$140="acoes"))*Inputs!$B$1+((Inputs!$G$5:$G$140&lt;&gt;"moeda")*(Inputs!$G$5:$G$140&lt;&gt;"acoes")))*INDEX(Inputs!$K$5:$AJ$140,0,MATCH(AC$2,Inputs!$K$4:$AJ$4,0)))))</f>
        <v>-1607.468</v>
      </c>
      <c r="AD6" s="6">
        <f>IF(ISNA(MATCH(AD$2,Inputs!$K$4:$AJ$4,0)),NA(),IF(SUMPRODUCT((Inputs!$A$5:$A$140=$B6)*ISNUMBER(INDEX(Inputs!$K$5:$AJ$140,0,MATCH(AD$2,Inputs!$K$4:$AJ$4,0))))+SUMPRODUCT((Inputs!$C$5:$C$140=$B6)*ISNUMBER(INDEX(Inputs!$K$5:$AJ$140,0,MATCH(AD$2,Inputs!$K$4:$AJ$4,0))))+SUMPRODUCT((Inputs!$E$5:$E$140=$B6)*ISNUMBER(INDEX(Inputs!$K$5:$AJ$140,0,MATCH(AD$2,Inputs!$K$4:$AJ$4,0))))=0,NA(),SUMPRODUCT((Inputs!$A$5:$A$140=$B6)*Inputs!$B$5:$B$140*(((Inputs!$G$5:$G$140="moeda")+(Inputs!$G$5:$G$140="acoes"))*Inputs!$B$1+((Inputs!$G$5:$G$140&lt;&gt;"moeda")*(Inputs!$G$5:$G$140&lt;&gt;"acoes")))*INDEX(Inputs!$K$5:$AJ$140,0,MATCH(AD$2,Inputs!$K$4:$AJ$4,0)))+SUMPRODUCT((Inputs!$C$5:$C$140=$B6)*Inputs!$D$5:$D$140*(((Inputs!$G$5:$G$140="moeda")+(Inputs!$G$5:$G$140="acoes"))*Inputs!$B$1+((Inputs!$G$5:$G$140&lt;&gt;"moeda")*(Inputs!$G$5:$G$140&lt;&gt;"acoes")))*INDEX(Inputs!$K$5:$AJ$140,0,MATCH(AD$2,Inputs!$K$4:$AJ$4,0)))+SUMPRODUCT((Inputs!$E$5:$E$140=$B6)*Inputs!$F$5:$F$140*(((Inputs!$G$5:$G$140="moeda")+(Inputs!$G$5:$G$140="acoes"))*Inputs!$B$1+((Inputs!$G$5:$G$140&lt;&gt;"moeda")*(Inputs!$G$5:$G$140&lt;&gt;"acoes")))*INDEX(Inputs!$K$5:$AJ$140,0,MATCH(AD$2,Inputs!$K$4:$AJ$4,0)))))</f>
        <v>-1629.588</v>
      </c>
      <c r="AE6" s="6" t="e">
        <f>IF(ISNA(MATCH(AE$2,Inputs!$K$4:$AJ$4,0)),NA(),IF(SUMPRODUCT((Inputs!$A$5:$A$140=$B6)*ISNUMBER(INDEX(Inputs!$K$5:$AJ$140,0,MATCH(AE$2,Inputs!$K$4:$AJ$4,0))))+SUMPRODUCT((Inputs!$C$5:$C$140=$B6)*ISNUMBER(INDEX(Inputs!$K$5:$AJ$140,0,MATCH(AE$2,Inputs!$K$4:$AJ$4,0))))+SUMPRODUCT((Inputs!$E$5:$E$140=$B6)*ISNUMBER(INDEX(Inputs!$K$5:$AJ$140,0,MATCH(AE$2,Inputs!$K$4:$AJ$4,0))))=0,NA(),SUMPRODUCT((Inputs!$A$5:$A$140=$B6)*Inputs!$B$5:$B$140*(((Inputs!$G$5:$G$140="moeda")+(Inputs!$G$5:$G$140="acoes"))*Inputs!$B$1+((Inputs!$G$5:$G$140&lt;&gt;"moeda")*(Inputs!$G$5:$G$140&lt;&gt;"acoes")))*INDEX(Inputs!$K$5:$AJ$140,0,MATCH(AE$2,Inputs!$K$4:$AJ$4,0)))+SUMPRODUCT((Inputs!$C$5:$C$140=$B6)*Inputs!$D$5:$D$140*(((Inputs!$G$5:$G$140="moeda")+(Inputs!$G$5:$G$140="acoes"))*Inputs!$B$1+((Inputs!$G$5:$G$140&lt;&gt;"moeda")*(Inputs!$G$5:$G$140&lt;&gt;"acoes")))*INDEX(Inputs!$K$5:$AJ$140,0,MATCH(AE$2,Inputs!$K$4:$AJ$4,0)))+SUMPRODUCT((Inputs!$E$5:$E$140=$B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" s="6" t="e">
        <f>IF(ISNA(MATCH(AF$2,Inputs!$K$4:$AJ$4,0)),NA(),IF(SUMPRODUCT((Inputs!$A$5:$A$140=$B6)*ISNUMBER(INDEX(Inputs!$K$5:$AJ$140,0,MATCH(AF$2,Inputs!$K$4:$AJ$4,0))))+SUMPRODUCT((Inputs!$C$5:$C$140=$B6)*ISNUMBER(INDEX(Inputs!$K$5:$AJ$140,0,MATCH(AF$2,Inputs!$K$4:$AJ$4,0))))+SUMPRODUCT((Inputs!$E$5:$E$140=$B6)*ISNUMBER(INDEX(Inputs!$K$5:$AJ$140,0,MATCH(AF$2,Inputs!$K$4:$AJ$4,0))))=0,NA(),SUMPRODUCT((Inputs!$A$5:$A$140=$B6)*Inputs!$B$5:$B$140*(((Inputs!$G$5:$G$140="moeda")+(Inputs!$G$5:$G$140="acoes"))*Inputs!$B$1+((Inputs!$G$5:$G$140&lt;&gt;"moeda")*(Inputs!$G$5:$G$140&lt;&gt;"acoes")))*INDEX(Inputs!$K$5:$AJ$140,0,MATCH(AF$2,Inputs!$K$4:$AJ$4,0)))+SUMPRODUCT((Inputs!$C$5:$C$140=$B6)*Inputs!$D$5:$D$140*(((Inputs!$G$5:$G$140="moeda")+(Inputs!$G$5:$G$140="acoes"))*Inputs!$B$1+((Inputs!$G$5:$G$140&lt;&gt;"moeda")*(Inputs!$G$5:$G$140&lt;&gt;"acoes")))*INDEX(Inputs!$K$5:$AJ$140,0,MATCH(AF$2,Inputs!$K$4:$AJ$4,0)))+SUMPRODUCT((Inputs!$E$5:$E$140=$B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" s="3" t="e">
        <f>SUM(AC6:AF6)</f>
        <v>#N/A</v>
      </c>
      <c r="AH6" s="6">
        <f>IF(ISNA(MATCH(AH$2,Inputs!$K$4:$AJ$4,0)),NA(),IF(SUMPRODUCT((Inputs!$A$5:$A$140=$B6)*ISNUMBER(INDEX(Inputs!$K$5:$AJ$140,0,MATCH(AH$2,Inputs!$K$4:$AJ$4,0))))+SUMPRODUCT((Inputs!$C$5:$C$140=$B6)*ISNUMBER(INDEX(Inputs!$K$5:$AJ$140,0,MATCH(AH$2,Inputs!$K$4:$AJ$4,0))))+SUMPRODUCT((Inputs!$E$5:$E$140=$B6)*ISNUMBER(INDEX(Inputs!$K$5:$AJ$140,0,MATCH(AH$2,Inputs!$K$4:$AJ$4,0))))=0,NA(),SUMPRODUCT((Inputs!$A$5:$A$140=$B6)*Inputs!$B$5:$B$140*(((Inputs!$G$5:$G$140="moeda")+(Inputs!$G$5:$G$140="acoes"))*Inputs!$B$1+((Inputs!$G$5:$G$140&lt;&gt;"moeda")*(Inputs!$G$5:$G$140&lt;&gt;"acoes")))*INDEX(Inputs!$K$5:$AJ$140,0,MATCH(AH$2,Inputs!$K$4:$AJ$4,0)))+SUMPRODUCT((Inputs!$C$5:$C$140=$B6)*Inputs!$D$5:$D$140*(((Inputs!$G$5:$G$140="moeda")+(Inputs!$G$5:$G$140="acoes"))*Inputs!$B$1+((Inputs!$G$5:$G$140&lt;&gt;"moeda")*(Inputs!$G$5:$G$140&lt;&gt;"acoes")))*INDEX(Inputs!$K$5:$AJ$140,0,MATCH(AH$2,Inputs!$K$4:$AJ$4,0)))+SUMPRODUCT((Inputs!$E$5:$E$140=$B6)*Inputs!$F$5:$F$140*(((Inputs!$G$5:$G$140="moeda")+(Inputs!$G$5:$G$140="acoes"))*Inputs!$B$1+((Inputs!$G$5:$G$140&lt;&gt;"moeda")*(Inputs!$G$5:$G$140&lt;&gt;"acoes")))*INDEX(Inputs!$K$5:$AJ$140,0,MATCH(AH$2,Inputs!$K$4:$AJ$4,0)))))</f>
        <v>-424.46615114</v>
      </c>
      <c r="AI6" s="6">
        <f>IF(ISNA(MATCH(AI$2,Inputs!$K$4:$AJ$4,0)),NA(),IF(SUMPRODUCT((Inputs!$A$5:$A$140=$B6)*ISNUMBER(INDEX(Inputs!$K$5:$AJ$140,0,MATCH(AI$2,Inputs!$K$4:$AJ$4,0))))+SUMPRODUCT((Inputs!$C$5:$C$140=$B6)*ISNUMBER(INDEX(Inputs!$K$5:$AJ$140,0,MATCH(AI$2,Inputs!$K$4:$AJ$4,0))))+SUMPRODUCT((Inputs!$E$5:$E$140=$B6)*ISNUMBER(INDEX(Inputs!$K$5:$AJ$140,0,MATCH(AI$2,Inputs!$K$4:$AJ$4,0))))=0,NA(),SUMPRODUCT((Inputs!$A$5:$A$140=$B6)*Inputs!$B$5:$B$140*(((Inputs!$G$5:$G$140="moeda")+(Inputs!$G$5:$G$140="acoes"))*Inputs!$B$1+((Inputs!$G$5:$G$140&lt;&gt;"moeda")*(Inputs!$G$5:$G$140&lt;&gt;"acoes")))*INDEX(Inputs!$K$5:$AJ$140,0,MATCH(AI$2,Inputs!$K$4:$AJ$4,0)))+SUMPRODUCT((Inputs!$C$5:$C$140=$B6)*Inputs!$D$5:$D$140*(((Inputs!$G$5:$G$140="moeda")+(Inputs!$G$5:$G$140="acoes"))*Inputs!$B$1+((Inputs!$G$5:$G$140&lt;&gt;"moeda")*(Inputs!$G$5:$G$140&lt;&gt;"acoes")))*INDEX(Inputs!$K$5:$AJ$140,0,MATCH(AI$2,Inputs!$K$4:$AJ$4,0)))+SUMPRODUCT((Inputs!$E$5:$E$140=$B6)*Inputs!$F$5:$F$140*(((Inputs!$G$5:$G$140="moeda")+(Inputs!$G$5:$G$140="acoes"))*Inputs!$B$1+((Inputs!$G$5:$G$140&lt;&gt;"moeda")*(Inputs!$G$5:$G$140&lt;&gt;"acoes")))*INDEX(Inputs!$K$5:$AJ$140,0,MATCH(AI$2,Inputs!$K$4:$AJ$4,0)))))</f>
        <v>-400.67384886</v>
      </c>
      <c r="AJ6" s="6">
        <f>IF(ISNA(MATCH(AJ$2,Inputs!$K$4:$AJ$4,0)),NA(),IF(SUMPRODUCT((Inputs!$A$5:$A$140=$B6)*ISNUMBER(INDEX(Inputs!$K$5:$AJ$140,0,MATCH(AJ$2,Inputs!$K$4:$AJ$4,0))))+SUMPRODUCT((Inputs!$C$5:$C$140=$B6)*ISNUMBER(INDEX(Inputs!$K$5:$AJ$140,0,MATCH(AJ$2,Inputs!$K$4:$AJ$4,0))))+SUMPRODUCT((Inputs!$E$5:$E$140=$B6)*ISNUMBER(INDEX(Inputs!$K$5:$AJ$140,0,MATCH(AJ$2,Inputs!$K$4:$AJ$4,0))))=0,NA(),SUMPRODUCT((Inputs!$A$5:$A$140=$B6)*Inputs!$B$5:$B$140*(((Inputs!$G$5:$G$140="moeda")+(Inputs!$G$5:$G$140="acoes"))*Inputs!$B$1+((Inputs!$G$5:$G$140&lt;&gt;"moeda")*(Inputs!$G$5:$G$140&lt;&gt;"acoes")))*INDEX(Inputs!$K$5:$AJ$140,0,MATCH(AJ$2,Inputs!$K$4:$AJ$4,0)))+SUMPRODUCT((Inputs!$C$5:$C$140=$B6)*Inputs!$D$5:$D$140*(((Inputs!$G$5:$G$140="moeda")+(Inputs!$G$5:$G$140="acoes"))*Inputs!$B$1+((Inputs!$G$5:$G$140&lt;&gt;"moeda")*(Inputs!$G$5:$G$140&lt;&gt;"acoes")))*INDEX(Inputs!$K$5:$AJ$140,0,MATCH(AJ$2,Inputs!$K$4:$AJ$4,0)))+SUMPRODUCT((Inputs!$E$5:$E$140=$B6)*Inputs!$F$5:$F$140*(((Inputs!$G$5:$G$140="moeda")+(Inputs!$G$5:$G$140="acoes"))*Inputs!$B$1+((Inputs!$G$5:$G$140&lt;&gt;"moeda")*(Inputs!$G$5:$G$140&lt;&gt;"acoes")))*INDEX(Inputs!$K$5:$AJ$140,0,MATCH(AJ$2,Inputs!$K$4:$AJ$4,0)))))</f>
        <v>-518.741</v>
      </c>
      <c r="AK6" s="6">
        <f>IF(ISNA(MATCH(AK$2,Inputs!$K$4:$AJ$4,0)),NA(),IF(SUMPRODUCT((Inputs!$A$5:$A$140=$B6)*ISNUMBER(INDEX(Inputs!$K$5:$AJ$140,0,MATCH(AK$2,Inputs!$K$4:$AJ$4,0))))+SUMPRODUCT((Inputs!$C$5:$C$140=$B6)*ISNUMBER(INDEX(Inputs!$K$5:$AJ$140,0,MATCH(AK$2,Inputs!$K$4:$AJ$4,0))))+SUMPRODUCT((Inputs!$E$5:$E$140=$B6)*ISNUMBER(INDEX(Inputs!$K$5:$AJ$140,0,MATCH(AK$2,Inputs!$K$4:$AJ$4,0))))=0,NA(),SUMPRODUCT((Inputs!$A$5:$A$140=$B6)*Inputs!$B$5:$B$140*(((Inputs!$G$5:$G$140="moeda")+(Inputs!$G$5:$G$140="acoes"))*Inputs!$B$1+((Inputs!$G$5:$G$140&lt;&gt;"moeda")*(Inputs!$G$5:$G$140&lt;&gt;"acoes")))*INDEX(Inputs!$K$5:$AJ$140,0,MATCH(AK$2,Inputs!$K$4:$AJ$4,0)))+SUMPRODUCT((Inputs!$C$5:$C$140=$B6)*Inputs!$D$5:$D$140*(((Inputs!$G$5:$G$140="moeda")+(Inputs!$G$5:$G$140="acoes"))*Inputs!$B$1+((Inputs!$G$5:$G$140&lt;&gt;"moeda")*(Inputs!$G$5:$G$140&lt;&gt;"acoes")))*INDEX(Inputs!$K$5:$AJ$140,0,MATCH(AK$2,Inputs!$K$4:$AJ$4,0)))+SUMPRODUCT((Inputs!$E$5:$E$140=$B6)*Inputs!$F$5:$F$140*(((Inputs!$G$5:$G$140="moeda")+(Inputs!$G$5:$G$140="acoes"))*Inputs!$B$1+((Inputs!$G$5:$G$140&lt;&gt;"moeda")*(Inputs!$G$5:$G$140&lt;&gt;"acoes")))*INDEX(Inputs!$K$5:$AJ$140,0,MATCH(AK$2,Inputs!$K$4:$AJ$4,0)))))</f>
        <v>-595.881</v>
      </c>
      <c r="AL6" s="3">
        <f>SUM(AH6:AK6)</f>
        <v>-1939.762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$140=$B7)*ISNUMBER(INDEX(Inputs!$K$5:$AJ$140,0,MATCH(D$2,Inputs!$K$4:$AJ$4,0))))+SUMPRODUCT((Inputs!$C$5:$C$140=$B7)*ISNUMBER(INDEX(Inputs!$K$5:$AJ$140,0,MATCH(D$2,Inputs!$K$4:$AJ$4,0))))+SUMPRODUCT((Inputs!$E$5:$E$140=$B7)*ISNUMBER(INDEX(Inputs!$K$5:$AJ$140,0,MATCH(D$2,Inputs!$K$4:$AJ$4,0))))=0,NA(),SUMPRODUCT((Inputs!$A$5:$A$140=$B7)*Inputs!$B$5:$B$140*(((Inputs!$G$5:$G$140="moeda")+(Inputs!$G$5:$G$140="acoes"))*Inputs!$B$1+((Inputs!$G$5:$G$140&lt;&gt;"moeda")*(Inputs!$G$5:$G$140&lt;&gt;"acoes")))*INDEX(Inputs!$K$5:$AJ$140,0,MATCH(D$2,Inputs!$K$4:$AJ$4,0)))+SUMPRODUCT((Inputs!$C$5:$C$140=$B7)*Inputs!$D$5:$D$140*(((Inputs!$G$5:$G$140="moeda")+(Inputs!$G$5:$G$140="acoes"))*Inputs!$B$1+((Inputs!$G$5:$G$140&lt;&gt;"moeda")*(Inputs!$G$5:$G$140&lt;&gt;"acoes")))*INDEX(Inputs!$K$5:$AJ$140,0,MATCH(D$2,Inputs!$K$4:$AJ$4,0)))+SUMPRODUCT((Inputs!$E$5:$E$140=$B7)*Inputs!$F$5:$F$140*(((Inputs!$G$5:$G$140="moeda")+(Inputs!$G$5:$G$140="acoes"))*Inputs!$B$1+((Inputs!$G$5:$G$140&lt;&gt;"moeda")*(Inputs!$G$5:$G$140&lt;&gt;"acoes")))*INDEX(Inputs!$K$5:$AJ$140,0,MATCH(D$2,Inputs!$K$4:$AJ$4,0)))))</f>
        <v>-57.729</v>
      </c>
      <c r="E7" s="6">
        <f>IF(ISNA(MATCH(E$2,Inputs!$K$4:$AJ$4,0)),NA(),IF(SUMPRODUCT((Inputs!$A$5:$A$140=$B7)*ISNUMBER(INDEX(Inputs!$K$5:$AJ$140,0,MATCH(E$2,Inputs!$K$4:$AJ$4,0))))+SUMPRODUCT((Inputs!$C$5:$C$140=$B7)*ISNUMBER(INDEX(Inputs!$K$5:$AJ$140,0,MATCH(E$2,Inputs!$K$4:$AJ$4,0))))+SUMPRODUCT((Inputs!$E$5:$E$140=$B7)*ISNUMBER(INDEX(Inputs!$K$5:$AJ$140,0,MATCH(E$2,Inputs!$K$4:$AJ$4,0))))=0,NA(),SUMPRODUCT((Inputs!$A$5:$A$140=$B7)*Inputs!$B$5:$B$140*(((Inputs!$G$5:$G$140="moeda")+(Inputs!$G$5:$G$140="acoes"))*Inputs!$B$1+((Inputs!$G$5:$G$140&lt;&gt;"moeda")*(Inputs!$G$5:$G$140&lt;&gt;"acoes")))*INDEX(Inputs!$K$5:$AJ$140,0,MATCH(E$2,Inputs!$K$4:$AJ$4,0)))+SUMPRODUCT((Inputs!$C$5:$C$140=$B7)*Inputs!$D$5:$D$140*(((Inputs!$G$5:$G$140="moeda")+(Inputs!$G$5:$G$140="acoes"))*Inputs!$B$1+((Inputs!$G$5:$G$140&lt;&gt;"moeda")*(Inputs!$G$5:$G$140&lt;&gt;"acoes")))*INDEX(Inputs!$K$5:$AJ$140,0,MATCH(E$2,Inputs!$K$4:$AJ$4,0)))+SUMPRODUCT((Inputs!$E$5:$E$140=$B7)*Inputs!$F$5:$F$140*(((Inputs!$G$5:$G$140="moeda")+(Inputs!$G$5:$G$140="acoes"))*Inputs!$B$1+((Inputs!$G$5:$G$140&lt;&gt;"moeda")*(Inputs!$G$5:$G$140&lt;&gt;"acoes")))*INDEX(Inputs!$K$5:$AJ$140,0,MATCH(E$2,Inputs!$K$4:$AJ$4,0)))))</f>
        <v>-63.733</v>
      </c>
      <c r="F7" s="6">
        <f>IF(ISNA(MATCH(F$2,Inputs!$K$4:$AJ$4,0)),NA(),IF(SUMPRODUCT((Inputs!$A$5:$A$140=$B7)*ISNUMBER(INDEX(Inputs!$K$5:$AJ$140,0,MATCH(F$2,Inputs!$K$4:$AJ$4,0))))+SUMPRODUCT((Inputs!$C$5:$C$140=$B7)*ISNUMBER(INDEX(Inputs!$K$5:$AJ$140,0,MATCH(F$2,Inputs!$K$4:$AJ$4,0))))+SUMPRODUCT((Inputs!$E$5:$E$140=$B7)*ISNUMBER(INDEX(Inputs!$K$5:$AJ$140,0,MATCH(F$2,Inputs!$K$4:$AJ$4,0))))=0,NA(),SUMPRODUCT((Inputs!$A$5:$A$140=$B7)*Inputs!$B$5:$B$140*(((Inputs!$G$5:$G$140="moeda")+(Inputs!$G$5:$G$140="acoes"))*Inputs!$B$1+((Inputs!$G$5:$G$140&lt;&gt;"moeda")*(Inputs!$G$5:$G$140&lt;&gt;"acoes")))*INDEX(Inputs!$K$5:$AJ$140,0,MATCH(F$2,Inputs!$K$4:$AJ$4,0)))+SUMPRODUCT((Inputs!$C$5:$C$140=$B7)*Inputs!$D$5:$D$140*(((Inputs!$G$5:$G$140="moeda")+(Inputs!$G$5:$G$140="acoes"))*Inputs!$B$1+((Inputs!$G$5:$G$140&lt;&gt;"moeda")*(Inputs!$G$5:$G$140&lt;&gt;"acoes")))*INDEX(Inputs!$K$5:$AJ$140,0,MATCH(F$2,Inputs!$K$4:$AJ$4,0)))+SUMPRODUCT((Inputs!$E$5:$E$140=$B7)*Inputs!$F$5:$F$140*(((Inputs!$G$5:$G$140="moeda")+(Inputs!$G$5:$G$140="acoes"))*Inputs!$B$1+((Inputs!$G$5:$G$140&lt;&gt;"moeda")*(Inputs!$G$5:$G$140&lt;&gt;"acoes")))*INDEX(Inputs!$K$5:$AJ$140,0,MATCH(F$2,Inputs!$K$4:$AJ$4,0)))))</f>
        <v>-71.918</v>
      </c>
      <c r="G7" s="6">
        <f>IF(ISNA(MATCH(G$2,Inputs!$K$4:$AJ$4,0)),NA(),IF(SUMPRODUCT((Inputs!$A$5:$A$140=$B7)*ISNUMBER(INDEX(Inputs!$K$5:$AJ$140,0,MATCH(G$2,Inputs!$K$4:$AJ$4,0))))+SUMPRODUCT((Inputs!$C$5:$C$140=$B7)*ISNUMBER(INDEX(Inputs!$K$5:$AJ$140,0,MATCH(G$2,Inputs!$K$4:$AJ$4,0))))+SUMPRODUCT((Inputs!$E$5:$E$140=$B7)*ISNUMBER(INDEX(Inputs!$K$5:$AJ$140,0,MATCH(G$2,Inputs!$K$4:$AJ$4,0))))=0,NA(),SUMPRODUCT((Inputs!$A$5:$A$140=$B7)*Inputs!$B$5:$B$140*(((Inputs!$G$5:$G$140="moeda")+(Inputs!$G$5:$G$140="acoes"))*Inputs!$B$1+((Inputs!$G$5:$G$140&lt;&gt;"moeda")*(Inputs!$G$5:$G$140&lt;&gt;"acoes")))*INDEX(Inputs!$K$5:$AJ$140,0,MATCH(G$2,Inputs!$K$4:$AJ$4,0)))+SUMPRODUCT((Inputs!$C$5:$C$140=$B7)*Inputs!$D$5:$D$140*(((Inputs!$G$5:$G$140="moeda")+(Inputs!$G$5:$G$140="acoes"))*Inputs!$B$1+((Inputs!$G$5:$G$140&lt;&gt;"moeda")*(Inputs!$G$5:$G$140&lt;&gt;"acoes")))*INDEX(Inputs!$K$5:$AJ$140,0,MATCH(G$2,Inputs!$K$4:$AJ$4,0)))+SUMPRODUCT((Inputs!$E$5:$E$140=$B7)*Inputs!$F$5:$F$140*(((Inputs!$G$5:$G$140="moeda")+(Inputs!$G$5:$G$140="acoes"))*Inputs!$B$1+((Inputs!$G$5:$G$140&lt;&gt;"moeda")*(Inputs!$G$5:$G$140&lt;&gt;"acoes")))*INDEX(Inputs!$K$5:$AJ$140,0,MATCH(G$2,Inputs!$K$4:$AJ$4,0)))))</f>
        <v>-67.065</v>
      </c>
      <c r="H7" s="3">
        <f>SUM(D7:G7)</f>
        <v>-260.445</v>
      </c>
      <c r="I7" s="6">
        <f>IF(ISNA(MATCH(I$2,Inputs!$K$4:$AJ$4,0)),NA(),IF(SUMPRODUCT((Inputs!$A$5:$A$140=$B7)*ISNUMBER(INDEX(Inputs!$K$5:$AJ$140,0,MATCH(I$2,Inputs!$K$4:$AJ$4,0))))+SUMPRODUCT((Inputs!$C$5:$C$140=$B7)*ISNUMBER(INDEX(Inputs!$K$5:$AJ$140,0,MATCH(I$2,Inputs!$K$4:$AJ$4,0))))+SUMPRODUCT((Inputs!$E$5:$E$140=$B7)*ISNUMBER(INDEX(Inputs!$K$5:$AJ$140,0,MATCH(I$2,Inputs!$K$4:$AJ$4,0))))=0,NA(),SUMPRODUCT((Inputs!$A$5:$A$140=$B7)*Inputs!$B$5:$B$140*(((Inputs!$G$5:$G$140="moeda")+(Inputs!$G$5:$G$140="acoes"))*Inputs!$B$1+((Inputs!$G$5:$G$140&lt;&gt;"moeda")*(Inputs!$G$5:$G$140&lt;&gt;"acoes")))*INDEX(Inputs!$K$5:$AJ$140,0,MATCH(I$2,Inputs!$K$4:$AJ$4,0)))+SUMPRODUCT((Inputs!$C$5:$C$140=$B7)*Inputs!$D$5:$D$140*(((Inputs!$G$5:$G$140="moeda")+(Inputs!$G$5:$G$140="acoes"))*Inputs!$B$1+((Inputs!$G$5:$G$140&lt;&gt;"moeda")*(Inputs!$G$5:$G$140&lt;&gt;"acoes")))*INDEX(Inputs!$K$5:$AJ$140,0,MATCH(I$2,Inputs!$K$4:$AJ$4,0)))+SUMPRODUCT((Inputs!$E$5:$E$140=$B7)*Inputs!$F$5:$F$140*(((Inputs!$G$5:$G$140="moeda")+(Inputs!$G$5:$G$140="acoes"))*Inputs!$B$1+((Inputs!$G$5:$G$140&lt;&gt;"moeda")*(Inputs!$G$5:$G$140&lt;&gt;"acoes")))*INDEX(Inputs!$K$5:$AJ$140,0,MATCH(I$2,Inputs!$K$4:$AJ$4,0)))))</f>
        <v>-72.195</v>
      </c>
      <c r="J7" s="6">
        <f>IF(ISNA(MATCH(J$2,Inputs!$K$4:$AJ$4,0)),NA(),IF(SUMPRODUCT((Inputs!$A$5:$A$140=$B7)*ISNUMBER(INDEX(Inputs!$K$5:$AJ$140,0,MATCH(J$2,Inputs!$K$4:$AJ$4,0))))+SUMPRODUCT((Inputs!$C$5:$C$140=$B7)*ISNUMBER(INDEX(Inputs!$K$5:$AJ$140,0,MATCH(J$2,Inputs!$K$4:$AJ$4,0))))+SUMPRODUCT((Inputs!$E$5:$E$140=$B7)*ISNUMBER(INDEX(Inputs!$K$5:$AJ$140,0,MATCH(J$2,Inputs!$K$4:$AJ$4,0))))=0,NA(),SUMPRODUCT((Inputs!$A$5:$A$140=$B7)*Inputs!$B$5:$B$140*(((Inputs!$G$5:$G$140="moeda")+(Inputs!$G$5:$G$140="acoes"))*Inputs!$B$1+((Inputs!$G$5:$G$140&lt;&gt;"moeda")*(Inputs!$G$5:$G$140&lt;&gt;"acoes")))*INDEX(Inputs!$K$5:$AJ$140,0,MATCH(J$2,Inputs!$K$4:$AJ$4,0)))+SUMPRODUCT((Inputs!$C$5:$C$140=$B7)*Inputs!$D$5:$D$140*(((Inputs!$G$5:$G$140="moeda")+(Inputs!$G$5:$G$140="acoes"))*Inputs!$B$1+((Inputs!$G$5:$G$140&lt;&gt;"moeda")*(Inputs!$G$5:$G$140&lt;&gt;"acoes")))*INDEX(Inputs!$K$5:$AJ$140,0,MATCH(J$2,Inputs!$K$4:$AJ$4,0)))+SUMPRODUCT((Inputs!$E$5:$E$140=$B7)*Inputs!$F$5:$F$140*(((Inputs!$G$5:$G$140="moeda")+(Inputs!$G$5:$G$140="acoes"))*Inputs!$B$1+((Inputs!$G$5:$G$140&lt;&gt;"moeda")*(Inputs!$G$5:$G$140&lt;&gt;"acoes")))*INDEX(Inputs!$K$5:$AJ$140,0,MATCH(J$2,Inputs!$K$4:$AJ$4,0)))))</f>
        <v>-83.73</v>
      </c>
      <c r="K7" s="6">
        <f>IF(ISNA(MATCH(K$2,Inputs!$K$4:$AJ$4,0)),NA(),IF(SUMPRODUCT((Inputs!$A$5:$A$140=$B7)*ISNUMBER(INDEX(Inputs!$K$5:$AJ$140,0,MATCH(K$2,Inputs!$K$4:$AJ$4,0))))+SUMPRODUCT((Inputs!$C$5:$C$140=$B7)*ISNUMBER(INDEX(Inputs!$K$5:$AJ$140,0,MATCH(K$2,Inputs!$K$4:$AJ$4,0))))+SUMPRODUCT((Inputs!$E$5:$E$140=$B7)*ISNUMBER(INDEX(Inputs!$K$5:$AJ$140,0,MATCH(K$2,Inputs!$K$4:$AJ$4,0))))=0,NA(),SUMPRODUCT((Inputs!$A$5:$A$140=$B7)*Inputs!$B$5:$B$140*(((Inputs!$G$5:$G$140="moeda")+(Inputs!$G$5:$G$140="acoes"))*Inputs!$B$1+((Inputs!$G$5:$G$140&lt;&gt;"moeda")*(Inputs!$G$5:$G$140&lt;&gt;"acoes")))*INDEX(Inputs!$K$5:$AJ$140,0,MATCH(K$2,Inputs!$K$4:$AJ$4,0)))+SUMPRODUCT((Inputs!$C$5:$C$140=$B7)*Inputs!$D$5:$D$140*(((Inputs!$G$5:$G$140="moeda")+(Inputs!$G$5:$G$140="acoes"))*Inputs!$B$1+((Inputs!$G$5:$G$140&lt;&gt;"moeda")*(Inputs!$G$5:$G$140&lt;&gt;"acoes")))*INDEX(Inputs!$K$5:$AJ$140,0,MATCH(K$2,Inputs!$K$4:$AJ$4,0)))+SUMPRODUCT((Inputs!$E$5:$E$140=$B7)*Inputs!$F$5:$F$140*(((Inputs!$G$5:$G$140="moeda")+(Inputs!$G$5:$G$140="acoes"))*Inputs!$B$1+((Inputs!$G$5:$G$140&lt;&gt;"moeda")*(Inputs!$G$5:$G$140&lt;&gt;"acoes")))*INDEX(Inputs!$K$5:$AJ$140,0,MATCH(K$2,Inputs!$K$4:$AJ$4,0)))))</f>
        <v>-84.22</v>
      </c>
      <c r="L7" s="6">
        <f>IF(ISNA(MATCH(L$2,Inputs!$K$4:$AJ$4,0)),NA(),IF(SUMPRODUCT((Inputs!$A$5:$A$140=$B7)*ISNUMBER(INDEX(Inputs!$K$5:$AJ$140,0,MATCH(L$2,Inputs!$K$4:$AJ$4,0))))+SUMPRODUCT((Inputs!$C$5:$C$140=$B7)*ISNUMBER(INDEX(Inputs!$K$5:$AJ$140,0,MATCH(L$2,Inputs!$K$4:$AJ$4,0))))+SUMPRODUCT((Inputs!$E$5:$E$140=$B7)*ISNUMBER(INDEX(Inputs!$K$5:$AJ$140,0,MATCH(L$2,Inputs!$K$4:$AJ$4,0))))=0,NA(),SUMPRODUCT((Inputs!$A$5:$A$140=$B7)*Inputs!$B$5:$B$140*(((Inputs!$G$5:$G$140="moeda")+(Inputs!$G$5:$G$140="acoes"))*Inputs!$B$1+((Inputs!$G$5:$G$140&lt;&gt;"moeda")*(Inputs!$G$5:$G$140&lt;&gt;"acoes")))*INDEX(Inputs!$K$5:$AJ$140,0,MATCH(L$2,Inputs!$K$4:$AJ$4,0)))+SUMPRODUCT((Inputs!$C$5:$C$140=$B7)*Inputs!$D$5:$D$140*(((Inputs!$G$5:$G$140="moeda")+(Inputs!$G$5:$G$140="acoes"))*Inputs!$B$1+((Inputs!$G$5:$G$140&lt;&gt;"moeda")*(Inputs!$G$5:$G$140&lt;&gt;"acoes")))*INDEX(Inputs!$K$5:$AJ$140,0,MATCH(L$2,Inputs!$K$4:$AJ$4,0)))+SUMPRODUCT((Inputs!$E$5:$E$140=$B7)*Inputs!$F$5:$F$140*(((Inputs!$G$5:$G$140="moeda")+(Inputs!$G$5:$G$140="acoes"))*Inputs!$B$1+((Inputs!$G$5:$G$140&lt;&gt;"moeda")*(Inputs!$G$5:$G$140&lt;&gt;"acoes")))*INDEX(Inputs!$K$5:$AJ$140,0,MATCH(L$2,Inputs!$K$4:$AJ$4,0)))))</f>
        <v>-89.022</v>
      </c>
      <c r="M7" s="3">
        <f>SUM(I7:L7)</f>
        <v>-329.167</v>
      </c>
      <c r="N7" s="6">
        <f>IF(ISNA(MATCH(N$2,Inputs!$K$4:$AJ$4,0)),NA(),IF(SUMPRODUCT((Inputs!$A$5:$A$140=$B7)*ISNUMBER(INDEX(Inputs!$K$5:$AJ$140,0,MATCH(N$2,Inputs!$K$4:$AJ$4,0))))+SUMPRODUCT((Inputs!$C$5:$C$140=$B7)*ISNUMBER(INDEX(Inputs!$K$5:$AJ$140,0,MATCH(N$2,Inputs!$K$4:$AJ$4,0))))+SUMPRODUCT((Inputs!$E$5:$E$140=$B7)*ISNUMBER(INDEX(Inputs!$K$5:$AJ$140,0,MATCH(N$2,Inputs!$K$4:$AJ$4,0))))=0,NA(),SUMPRODUCT((Inputs!$A$5:$A$140=$B7)*Inputs!$B$5:$B$140*(((Inputs!$G$5:$G$140="moeda")+(Inputs!$G$5:$G$140="acoes"))*Inputs!$B$1+((Inputs!$G$5:$G$140&lt;&gt;"moeda")*(Inputs!$G$5:$G$140&lt;&gt;"acoes")))*INDEX(Inputs!$K$5:$AJ$140,0,MATCH(N$2,Inputs!$K$4:$AJ$4,0)))+SUMPRODUCT((Inputs!$C$5:$C$140=$B7)*Inputs!$D$5:$D$140*(((Inputs!$G$5:$G$140="moeda")+(Inputs!$G$5:$G$140="acoes"))*Inputs!$B$1+((Inputs!$G$5:$G$140&lt;&gt;"moeda")*(Inputs!$G$5:$G$140&lt;&gt;"acoes")))*INDEX(Inputs!$K$5:$AJ$140,0,MATCH(N$2,Inputs!$K$4:$AJ$4,0)))+SUMPRODUCT((Inputs!$E$5:$E$140=$B7)*Inputs!$F$5:$F$140*(((Inputs!$G$5:$G$140="moeda")+(Inputs!$G$5:$G$140="acoes"))*Inputs!$B$1+((Inputs!$G$5:$G$140&lt;&gt;"moeda")*(Inputs!$G$5:$G$140&lt;&gt;"acoes")))*INDEX(Inputs!$K$5:$AJ$140,0,MATCH(N$2,Inputs!$K$4:$AJ$4,0)))))</f>
        <v>-98.001</v>
      </c>
      <c r="O7" s="6">
        <f>IF(ISNA(MATCH(O$2,Inputs!$K$4:$AJ$4,0)),NA(),IF(SUMPRODUCT((Inputs!$A$5:$A$140=$B7)*ISNUMBER(INDEX(Inputs!$K$5:$AJ$140,0,MATCH(O$2,Inputs!$K$4:$AJ$4,0))))+SUMPRODUCT((Inputs!$C$5:$C$140=$B7)*ISNUMBER(INDEX(Inputs!$K$5:$AJ$140,0,MATCH(O$2,Inputs!$K$4:$AJ$4,0))))+SUMPRODUCT((Inputs!$E$5:$E$140=$B7)*ISNUMBER(INDEX(Inputs!$K$5:$AJ$140,0,MATCH(O$2,Inputs!$K$4:$AJ$4,0))))=0,NA(),SUMPRODUCT((Inputs!$A$5:$A$140=$B7)*Inputs!$B$5:$B$140*(((Inputs!$G$5:$G$140="moeda")+(Inputs!$G$5:$G$140="acoes"))*Inputs!$B$1+((Inputs!$G$5:$G$140&lt;&gt;"moeda")*(Inputs!$G$5:$G$140&lt;&gt;"acoes")))*INDEX(Inputs!$K$5:$AJ$140,0,MATCH(O$2,Inputs!$K$4:$AJ$4,0)))+SUMPRODUCT((Inputs!$C$5:$C$140=$B7)*Inputs!$D$5:$D$140*(((Inputs!$G$5:$G$140="moeda")+(Inputs!$G$5:$G$140="acoes"))*Inputs!$B$1+((Inputs!$G$5:$G$140&lt;&gt;"moeda")*(Inputs!$G$5:$G$140&lt;&gt;"acoes")))*INDEX(Inputs!$K$5:$AJ$140,0,MATCH(O$2,Inputs!$K$4:$AJ$4,0)))+SUMPRODUCT((Inputs!$E$5:$E$140=$B7)*Inputs!$F$5:$F$140*(((Inputs!$G$5:$G$140="moeda")+(Inputs!$G$5:$G$140="acoes"))*Inputs!$B$1+((Inputs!$G$5:$G$140&lt;&gt;"moeda")*(Inputs!$G$5:$G$140&lt;&gt;"acoes")))*INDEX(Inputs!$K$5:$AJ$140,0,MATCH(O$2,Inputs!$K$4:$AJ$4,0)))))</f>
        <v>-92.145</v>
      </c>
      <c r="P7" s="6">
        <f>IF(ISNA(MATCH(P$2,Inputs!$K$4:$AJ$4,0)),NA(),IF(SUMPRODUCT((Inputs!$A$5:$A$140=$B7)*ISNUMBER(INDEX(Inputs!$K$5:$AJ$140,0,MATCH(P$2,Inputs!$K$4:$AJ$4,0))))+SUMPRODUCT((Inputs!$C$5:$C$140=$B7)*ISNUMBER(INDEX(Inputs!$K$5:$AJ$140,0,MATCH(P$2,Inputs!$K$4:$AJ$4,0))))+SUMPRODUCT((Inputs!$E$5:$E$140=$B7)*ISNUMBER(INDEX(Inputs!$K$5:$AJ$140,0,MATCH(P$2,Inputs!$K$4:$AJ$4,0))))=0,NA(),SUMPRODUCT((Inputs!$A$5:$A$140=$B7)*Inputs!$B$5:$B$140*(((Inputs!$G$5:$G$140="moeda")+(Inputs!$G$5:$G$140="acoes"))*Inputs!$B$1+((Inputs!$G$5:$G$140&lt;&gt;"moeda")*(Inputs!$G$5:$G$140&lt;&gt;"acoes")))*INDEX(Inputs!$K$5:$AJ$140,0,MATCH(P$2,Inputs!$K$4:$AJ$4,0)))+SUMPRODUCT((Inputs!$C$5:$C$140=$B7)*Inputs!$D$5:$D$140*(((Inputs!$G$5:$G$140="moeda")+(Inputs!$G$5:$G$140="acoes"))*Inputs!$B$1+((Inputs!$G$5:$G$140&lt;&gt;"moeda")*(Inputs!$G$5:$G$140&lt;&gt;"acoes")))*INDEX(Inputs!$K$5:$AJ$140,0,MATCH(P$2,Inputs!$K$4:$AJ$4,0)))+SUMPRODUCT((Inputs!$E$5:$E$140=$B7)*Inputs!$F$5:$F$140*(((Inputs!$G$5:$G$140="moeda")+(Inputs!$G$5:$G$140="acoes"))*Inputs!$B$1+((Inputs!$G$5:$G$140&lt;&gt;"moeda")*(Inputs!$G$5:$G$140&lt;&gt;"acoes")))*INDEX(Inputs!$K$5:$AJ$140,0,MATCH(P$2,Inputs!$K$4:$AJ$4,0)))))</f>
        <v>-98.528</v>
      </c>
      <c r="Q7" s="6">
        <f>IF(ISNA(MATCH(Q$2,Inputs!$K$4:$AJ$4,0)),NA(),IF(SUMPRODUCT((Inputs!$A$5:$A$140=$B7)*ISNUMBER(INDEX(Inputs!$K$5:$AJ$140,0,MATCH(Q$2,Inputs!$K$4:$AJ$4,0))))+SUMPRODUCT((Inputs!$C$5:$C$140=$B7)*ISNUMBER(INDEX(Inputs!$K$5:$AJ$140,0,MATCH(Q$2,Inputs!$K$4:$AJ$4,0))))+SUMPRODUCT((Inputs!$E$5:$E$140=$B7)*ISNUMBER(INDEX(Inputs!$K$5:$AJ$140,0,MATCH(Q$2,Inputs!$K$4:$AJ$4,0))))=0,NA(),SUMPRODUCT((Inputs!$A$5:$A$140=$B7)*Inputs!$B$5:$B$140*(((Inputs!$G$5:$G$140="moeda")+(Inputs!$G$5:$G$140="acoes"))*Inputs!$B$1+((Inputs!$G$5:$G$140&lt;&gt;"moeda")*(Inputs!$G$5:$G$140&lt;&gt;"acoes")))*INDEX(Inputs!$K$5:$AJ$140,0,MATCH(Q$2,Inputs!$K$4:$AJ$4,0)))+SUMPRODUCT((Inputs!$C$5:$C$140=$B7)*Inputs!$D$5:$D$140*(((Inputs!$G$5:$G$140="moeda")+(Inputs!$G$5:$G$140="acoes"))*Inputs!$B$1+((Inputs!$G$5:$G$140&lt;&gt;"moeda")*(Inputs!$G$5:$G$140&lt;&gt;"acoes")))*INDEX(Inputs!$K$5:$AJ$140,0,MATCH(Q$2,Inputs!$K$4:$AJ$4,0)))+SUMPRODUCT((Inputs!$E$5:$E$140=$B7)*Inputs!$F$5:$F$140*(((Inputs!$G$5:$G$140="moeda")+(Inputs!$G$5:$G$140="acoes"))*Inputs!$B$1+((Inputs!$G$5:$G$140&lt;&gt;"moeda")*(Inputs!$G$5:$G$140&lt;&gt;"acoes")))*INDEX(Inputs!$K$5:$AJ$140,0,MATCH(Q$2,Inputs!$K$4:$AJ$4,0)))))</f>
        <v>-64.718</v>
      </c>
      <c r="R7" s="3">
        <f>SUM(N7:Q7)</f>
        <v>-353.392</v>
      </c>
      <c r="S7" s="6">
        <f>IF(ISNA(MATCH(S$2,Inputs!$K$4:$AJ$4,0)),NA(),IF(SUMPRODUCT((Inputs!$A$5:$A$140=$B7)*ISNUMBER(INDEX(Inputs!$K$5:$AJ$140,0,MATCH(S$2,Inputs!$K$4:$AJ$4,0))))+SUMPRODUCT((Inputs!$C$5:$C$140=$B7)*ISNUMBER(INDEX(Inputs!$K$5:$AJ$140,0,MATCH(S$2,Inputs!$K$4:$AJ$4,0))))+SUMPRODUCT((Inputs!$E$5:$E$140=$B7)*ISNUMBER(INDEX(Inputs!$K$5:$AJ$140,0,MATCH(S$2,Inputs!$K$4:$AJ$4,0))))=0,NA(),SUMPRODUCT((Inputs!$A$5:$A$140=$B7)*Inputs!$B$5:$B$140*(((Inputs!$G$5:$G$140="moeda")+(Inputs!$G$5:$G$140="acoes"))*Inputs!$B$1+((Inputs!$G$5:$G$140&lt;&gt;"moeda")*(Inputs!$G$5:$G$140&lt;&gt;"acoes")))*INDEX(Inputs!$K$5:$AJ$140,0,MATCH(S$2,Inputs!$K$4:$AJ$4,0)))+SUMPRODUCT((Inputs!$C$5:$C$140=$B7)*Inputs!$D$5:$D$140*(((Inputs!$G$5:$G$140="moeda")+(Inputs!$G$5:$G$140="acoes"))*Inputs!$B$1+((Inputs!$G$5:$G$140&lt;&gt;"moeda")*(Inputs!$G$5:$G$140&lt;&gt;"acoes")))*INDEX(Inputs!$K$5:$AJ$140,0,MATCH(S$2,Inputs!$K$4:$AJ$4,0)))+SUMPRODUCT((Inputs!$E$5:$E$140=$B7)*Inputs!$F$5:$F$140*(((Inputs!$G$5:$G$140="moeda")+(Inputs!$G$5:$G$140="acoes"))*Inputs!$B$1+((Inputs!$G$5:$G$140&lt;&gt;"moeda")*(Inputs!$G$5:$G$140&lt;&gt;"acoes")))*INDEX(Inputs!$K$5:$AJ$140,0,MATCH(S$2,Inputs!$K$4:$AJ$4,0)))))</f>
        <v>-104.571</v>
      </c>
      <c r="T7" s="6">
        <f>IF(ISNA(MATCH(T$2,Inputs!$K$4:$AJ$4,0)),NA(),IF(SUMPRODUCT((Inputs!$A$5:$A$140=$B7)*ISNUMBER(INDEX(Inputs!$K$5:$AJ$140,0,MATCH(T$2,Inputs!$K$4:$AJ$4,0))))+SUMPRODUCT((Inputs!$C$5:$C$140=$B7)*ISNUMBER(INDEX(Inputs!$K$5:$AJ$140,0,MATCH(T$2,Inputs!$K$4:$AJ$4,0))))+SUMPRODUCT((Inputs!$E$5:$E$140=$B7)*ISNUMBER(INDEX(Inputs!$K$5:$AJ$140,0,MATCH(T$2,Inputs!$K$4:$AJ$4,0))))=0,NA(),SUMPRODUCT((Inputs!$A$5:$A$140=$B7)*Inputs!$B$5:$B$140*(((Inputs!$G$5:$G$140="moeda")+(Inputs!$G$5:$G$140="acoes"))*Inputs!$B$1+((Inputs!$G$5:$G$140&lt;&gt;"moeda")*(Inputs!$G$5:$G$140&lt;&gt;"acoes")))*INDEX(Inputs!$K$5:$AJ$140,0,MATCH(T$2,Inputs!$K$4:$AJ$4,0)))+SUMPRODUCT((Inputs!$C$5:$C$140=$B7)*Inputs!$D$5:$D$140*(((Inputs!$G$5:$G$140="moeda")+(Inputs!$G$5:$G$140="acoes"))*Inputs!$B$1+((Inputs!$G$5:$G$140&lt;&gt;"moeda")*(Inputs!$G$5:$G$140&lt;&gt;"acoes")))*INDEX(Inputs!$K$5:$AJ$140,0,MATCH(T$2,Inputs!$K$4:$AJ$4,0)))+SUMPRODUCT((Inputs!$E$5:$E$140=$B7)*Inputs!$F$5:$F$140*(((Inputs!$G$5:$G$140="moeda")+(Inputs!$G$5:$G$140="acoes"))*Inputs!$B$1+((Inputs!$G$5:$G$140&lt;&gt;"moeda")*(Inputs!$G$5:$G$140&lt;&gt;"acoes")))*INDEX(Inputs!$K$5:$AJ$140,0,MATCH(T$2,Inputs!$K$4:$AJ$4,0)))))</f>
        <v>-85.309</v>
      </c>
      <c r="U7" s="6">
        <f>IF(ISNA(MATCH(U$2,Inputs!$K$4:$AJ$4,0)),NA(),IF(SUMPRODUCT((Inputs!$A$5:$A$140=$B7)*ISNUMBER(INDEX(Inputs!$K$5:$AJ$140,0,MATCH(U$2,Inputs!$K$4:$AJ$4,0))))+SUMPRODUCT((Inputs!$C$5:$C$140=$B7)*ISNUMBER(INDEX(Inputs!$K$5:$AJ$140,0,MATCH(U$2,Inputs!$K$4:$AJ$4,0))))+SUMPRODUCT((Inputs!$E$5:$E$140=$B7)*ISNUMBER(INDEX(Inputs!$K$5:$AJ$140,0,MATCH(U$2,Inputs!$K$4:$AJ$4,0))))=0,NA(),SUMPRODUCT((Inputs!$A$5:$A$140=$B7)*Inputs!$B$5:$B$140*(((Inputs!$G$5:$G$140="moeda")+(Inputs!$G$5:$G$140="acoes"))*Inputs!$B$1+((Inputs!$G$5:$G$140&lt;&gt;"moeda")*(Inputs!$G$5:$G$140&lt;&gt;"acoes")))*INDEX(Inputs!$K$5:$AJ$140,0,MATCH(U$2,Inputs!$K$4:$AJ$4,0)))+SUMPRODUCT((Inputs!$C$5:$C$140=$B7)*Inputs!$D$5:$D$140*(((Inputs!$G$5:$G$140="moeda")+(Inputs!$G$5:$G$140="acoes"))*Inputs!$B$1+((Inputs!$G$5:$G$140&lt;&gt;"moeda")*(Inputs!$G$5:$G$140&lt;&gt;"acoes")))*INDEX(Inputs!$K$5:$AJ$140,0,MATCH(U$2,Inputs!$K$4:$AJ$4,0)))+SUMPRODUCT((Inputs!$E$5:$E$140=$B7)*Inputs!$F$5:$F$140*(((Inputs!$G$5:$G$140="moeda")+(Inputs!$G$5:$G$140="acoes"))*Inputs!$B$1+((Inputs!$G$5:$G$140&lt;&gt;"moeda")*(Inputs!$G$5:$G$140&lt;&gt;"acoes")))*INDEX(Inputs!$K$5:$AJ$140,0,MATCH(U$2,Inputs!$K$4:$AJ$4,0)))))</f>
        <v>-95.494</v>
      </c>
      <c r="V7" s="6">
        <f>IF(ISNA(MATCH(V$2,Inputs!$K$4:$AJ$4,0)),NA(),IF(SUMPRODUCT((Inputs!$A$5:$A$140=$B7)*ISNUMBER(INDEX(Inputs!$K$5:$AJ$140,0,MATCH(V$2,Inputs!$K$4:$AJ$4,0))))+SUMPRODUCT((Inputs!$C$5:$C$140=$B7)*ISNUMBER(INDEX(Inputs!$K$5:$AJ$140,0,MATCH(V$2,Inputs!$K$4:$AJ$4,0))))+SUMPRODUCT((Inputs!$E$5:$E$140=$B7)*ISNUMBER(INDEX(Inputs!$K$5:$AJ$140,0,MATCH(V$2,Inputs!$K$4:$AJ$4,0))))=0,NA(),SUMPRODUCT((Inputs!$A$5:$A$140=$B7)*Inputs!$B$5:$B$140*(((Inputs!$G$5:$G$140="moeda")+(Inputs!$G$5:$G$140="acoes"))*Inputs!$B$1+((Inputs!$G$5:$G$140&lt;&gt;"moeda")*(Inputs!$G$5:$G$140&lt;&gt;"acoes")))*INDEX(Inputs!$K$5:$AJ$140,0,MATCH(V$2,Inputs!$K$4:$AJ$4,0)))+SUMPRODUCT((Inputs!$C$5:$C$140=$B7)*Inputs!$D$5:$D$140*(((Inputs!$G$5:$G$140="moeda")+(Inputs!$G$5:$G$140="acoes"))*Inputs!$B$1+((Inputs!$G$5:$G$140&lt;&gt;"moeda")*(Inputs!$G$5:$G$140&lt;&gt;"acoes")))*INDEX(Inputs!$K$5:$AJ$140,0,MATCH(V$2,Inputs!$K$4:$AJ$4,0)))+SUMPRODUCT((Inputs!$E$5:$E$140=$B7)*Inputs!$F$5:$F$140*(((Inputs!$G$5:$G$140="moeda")+(Inputs!$G$5:$G$140="acoes"))*Inputs!$B$1+((Inputs!$G$5:$G$140&lt;&gt;"moeda")*(Inputs!$G$5:$G$140&lt;&gt;"acoes")))*INDEX(Inputs!$K$5:$AJ$140,0,MATCH(V$2,Inputs!$K$4:$AJ$4,0)))))</f>
        <v>-91.372</v>
      </c>
      <c r="W7" s="3">
        <f>SUM(S7:V7)</f>
        <v>-376.746</v>
      </c>
      <c r="X7" s="6">
        <f>IF(ISNA(MATCH(X$2,Inputs!$K$4:$AJ$4,0)),NA(),IF(SUMPRODUCT((Inputs!$A$5:$A$140=$B7)*ISNUMBER(INDEX(Inputs!$K$5:$AJ$140,0,MATCH(X$2,Inputs!$K$4:$AJ$4,0))))+SUMPRODUCT((Inputs!$C$5:$C$140=$B7)*ISNUMBER(INDEX(Inputs!$K$5:$AJ$140,0,MATCH(X$2,Inputs!$K$4:$AJ$4,0))))+SUMPRODUCT((Inputs!$E$5:$E$140=$B7)*ISNUMBER(INDEX(Inputs!$K$5:$AJ$140,0,MATCH(X$2,Inputs!$K$4:$AJ$4,0))))=0,NA(),SUMPRODUCT((Inputs!$A$5:$A$140=$B7)*Inputs!$B$5:$B$140*(((Inputs!$G$5:$G$140="moeda")+(Inputs!$G$5:$G$140="acoes"))*Inputs!$B$1+((Inputs!$G$5:$G$140&lt;&gt;"moeda")*(Inputs!$G$5:$G$140&lt;&gt;"acoes")))*INDEX(Inputs!$K$5:$AJ$140,0,MATCH(X$2,Inputs!$K$4:$AJ$4,0)))+SUMPRODUCT((Inputs!$C$5:$C$140=$B7)*Inputs!$D$5:$D$140*(((Inputs!$G$5:$G$140="moeda")+(Inputs!$G$5:$G$140="acoes"))*Inputs!$B$1+((Inputs!$G$5:$G$140&lt;&gt;"moeda")*(Inputs!$G$5:$G$140&lt;&gt;"acoes")))*INDEX(Inputs!$K$5:$AJ$140,0,MATCH(X$2,Inputs!$K$4:$AJ$4,0)))+SUMPRODUCT((Inputs!$E$5:$E$140=$B7)*Inputs!$F$5:$F$140*(((Inputs!$G$5:$G$140="moeda")+(Inputs!$G$5:$G$140="acoes"))*Inputs!$B$1+((Inputs!$G$5:$G$140&lt;&gt;"moeda")*(Inputs!$G$5:$G$140&lt;&gt;"acoes")))*INDEX(Inputs!$K$5:$AJ$140,0,MATCH(X$2,Inputs!$K$4:$AJ$4,0)))))</f>
        <v>-105.294</v>
      </c>
      <c r="Y7" s="6">
        <f>IF(ISNA(MATCH(Y$2,Inputs!$K$4:$AJ$4,0)),NA(),IF(SUMPRODUCT((Inputs!$A$5:$A$140=$B7)*ISNUMBER(INDEX(Inputs!$K$5:$AJ$140,0,MATCH(Y$2,Inputs!$K$4:$AJ$4,0))))+SUMPRODUCT((Inputs!$C$5:$C$140=$B7)*ISNUMBER(INDEX(Inputs!$K$5:$AJ$140,0,MATCH(Y$2,Inputs!$K$4:$AJ$4,0))))+SUMPRODUCT((Inputs!$E$5:$E$140=$B7)*ISNUMBER(INDEX(Inputs!$K$5:$AJ$140,0,MATCH(Y$2,Inputs!$K$4:$AJ$4,0))))=0,NA(),SUMPRODUCT((Inputs!$A$5:$A$140=$B7)*Inputs!$B$5:$B$140*(((Inputs!$G$5:$G$140="moeda")+(Inputs!$G$5:$G$140="acoes"))*Inputs!$B$1+((Inputs!$G$5:$G$140&lt;&gt;"moeda")*(Inputs!$G$5:$G$140&lt;&gt;"acoes")))*INDEX(Inputs!$K$5:$AJ$140,0,MATCH(Y$2,Inputs!$K$4:$AJ$4,0)))+SUMPRODUCT((Inputs!$C$5:$C$140=$B7)*Inputs!$D$5:$D$140*(((Inputs!$G$5:$G$140="moeda")+(Inputs!$G$5:$G$140="acoes"))*Inputs!$B$1+((Inputs!$G$5:$G$140&lt;&gt;"moeda")*(Inputs!$G$5:$G$140&lt;&gt;"acoes")))*INDEX(Inputs!$K$5:$AJ$140,0,MATCH(Y$2,Inputs!$K$4:$AJ$4,0)))+SUMPRODUCT((Inputs!$E$5:$E$140=$B7)*Inputs!$F$5:$F$140*(((Inputs!$G$5:$G$140="moeda")+(Inputs!$G$5:$G$140="acoes"))*Inputs!$B$1+((Inputs!$G$5:$G$140&lt;&gt;"moeda")*(Inputs!$G$5:$G$140&lt;&gt;"acoes")))*INDEX(Inputs!$K$5:$AJ$140,0,MATCH(Y$2,Inputs!$K$4:$AJ$4,0)))))</f>
        <v>-113.093</v>
      </c>
      <c r="Z7" s="6">
        <f>IF(ISNA(MATCH(Z$2,Inputs!$K$4:$AJ$4,0)),NA(),IF(SUMPRODUCT((Inputs!$A$5:$A$140=$B7)*ISNUMBER(INDEX(Inputs!$K$5:$AJ$140,0,MATCH(Z$2,Inputs!$K$4:$AJ$4,0))))+SUMPRODUCT((Inputs!$C$5:$C$140=$B7)*ISNUMBER(INDEX(Inputs!$K$5:$AJ$140,0,MATCH(Z$2,Inputs!$K$4:$AJ$4,0))))+SUMPRODUCT((Inputs!$E$5:$E$140=$B7)*ISNUMBER(INDEX(Inputs!$K$5:$AJ$140,0,MATCH(Z$2,Inputs!$K$4:$AJ$4,0))))=0,NA(),SUMPRODUCT((Inputs!$A$5:$A$140=$B7)*Inputs!$B$5:$B$140*(((Inputs!$G$5:$G$140="moeda")+(Inputs!$G$5:$G$140="acoes"))*Inputs!$B$1+((Inputs!$G$5:$G$140&lt;&gt;"moeda")*(Inputs!$G$5:$G$140&lt;&gt;"acoes")))*INDEX(Inputs!$K$5:$AJ$140,0,MATCH(Z$2,Inputs!$K$4:$AJ$4,0)))+SUMPRODUCT((Inputs!$C$5:$C$140=$B7)*Inputs!$D$5:$D$140*(((Inputs!$G$5:$G$140="moeda")+(Inputs!$G$5:$G$140="acoes"))*Inputs!$B$1+((Inputs!$G$5:$G$140&lt;&gt;"moeda")*(Inputs!$G$5:$G$140&lt;&gt;"acoes")))*INDEX(Inputs!$K$5:$AJ$140,0,MATCH(Z$2,Inputs!$K$4:$AJ$4,0)))+SUMPRODUCT((Inputs!$E$5:$E$140=$B7)*Inputs!$F$5:$F$140*(((Inputs!$G$5:$G$140="moeda")+(Inputs!$G$5:$G$140="acoes"))*Inputs!$B$1+((Inputs!$G$5:$G$140&lt;&gt;"moeda")*(Inputs!$G$5:$G$140&lt;&gt;"acoes")))*INDEX(Inputs!$K$5:$AJ$140,0,MATCH(Z$2,Inputs!$K$4:$AJ$4,0)))))</f>
        <v>-162.165</v>
      </c>
      <c r="AA7" s="6">
        <f>IF(ISNA(MATCH(AA$2,Inputs!$K$4:$AJ$4,0)),NA(),IF(SUMPRODUCT((Inputs!$A$5:$A$140=$B7)*ISNUMBER(INDEX(Inputs!$K$5:$AJ$140,0,MATCH(AA$2,Inputs!$K$4:$AJ$4,0))))+SUMPRODUCT((Inputs!$C$5:$C$140=$B7)*ISNUMBER(INDEX(Inputs!$K$5:$AJ$140,0,MATCH(AA$2,Inputs!$K$4:$AJ$4,0))))+SUMPRODUCT((Inputs!$E$5:$E$140=$B7)*ISNUMBER(INDEX(Inputs!$K$5:$AJ$140,0,MATCH(AA$2,Inputs!$K$4:$AJ$4,0))))=0,NA(),SUMPRODUCT((Inputs!$A$5:$A$140=$B7)*Inputs!$B$5:$B$140*(((Inputs!$G$5:$G$140="moeda")+(Inputs!$G$5:$G$140="acoes"))*Inputs!$B$1+((Inputs!$G$5:$G$140&lt;&gt;"moeda")*(Inputs!$G$5:$G$140&lt;&gt;"acoes")))*INDEX(Inputs!$K$5:$AJ$140,0,MATCH(AA$2,Inputs!$K$4:$AJ$4,0)))+SUMPRODUCT((Inputs!$C$5:$C$140=$B7)*Inputs!$D$5:$D$140*(((Inputs!$G$5:$G$140="moeda")+(Inputs!$G$5:$G$140="acoes"))*Inputs!$B$1+((Inputs!$G$5:$G$140&lt;&gt;"moeda")*(Inputs!$G$5:$G$140&lt;&gt;"acoes")))*INDEX(Inputs!$K$5:$AJ$140,0,MATCH(AA$2,Inputs!$K$4:$AJ$4,0)))+SUMPRODUCT((Inputs!$E$5:$E$140=$B7)*Inputs!$F$5:$F$140*(((Inputs!$G$5:$G$140="moeda")+(Inputs!$G$5:$G$140="acoes"))*Inputs!$B$1+((Inputs!$G$5:$G$140&lt;&gt;"moeda")*(Inputs!$G$5:$G$140&lt;&gt;"acoes")))*INDEX(Inputs!$K$5:$AJ$140,0,MATCH(AA$2,Inputs!$K$4:$AJ$4,0)))))</f>
        <v>-159.044</v>
      </c>
      <c r="AB7" s="3">
        <f>SUM(X7:AA7)</f>
        <v>-539.596</v>
      </c>
      <c r="AC7" s="6">
        <f>IF(ISNA(MATCH(AC$2,Inputs!$K$4:$AJ$4,0)),NA(),IF(SUMPRODUCT((Inputs!$A$5:$A$140=$B7)*ISNUMBER(INDEX(Inputs!$K$5:$AJ$140,0,MATCH(AC$2,Inputs!$K$4:$AJ$4,0))))+SUMPRODUCT((Inputs!$C$5:$C$140=$B7)*ISNUMBER(INDEX(Inputs!$K$5:$AJ$140,0,MATCH(AC$2,Inputs!$K$4:$AJ$4,0))))+SUMPRODUCT((Inputs!$E$5:$E$140=$B7)*ISNUMBER(INDEX(Inputs!$K$5:$AJ$140,0,MATCH(AC$2,Inputs!$K$4:$AJ$4,0))))=0,NA(),SUMPRODUCT((Inputs!$A$5:$A$140=$B7)*Inputs!$B$5:$B$140*(((Inputs!$G$5:$G$140="moeda")+(Inputs!$G$5:$G$140="acoes"))*Inputs!$B$1+((Inputs!$G$5:$G$140&lt;&gt;"moeda")*(Inputs!$G$5:$G$140&lt;&gt;"acoes")))*INDEX(Inputs!$K$5:$AJ$140,0,MATCH(AC$2,Inputs!$K$4:$AJ$4,0)))+SUMPRODUCT((Inputs!$C$5:$C$140=$B7)*Inputs!$D$5:$D$140*(((Inputs!$G$5:$G$140="moeda")+(Inputs!$G$5:$G$140="acoes"))*Inputs!$B$1+((Inputs!$G$5:$G$140&lt;&gt;"moeda")*(Inputs!$G$5:$G$140&lt;&gt;"acoes")))*INDEX(Inputs!$K$5:$AJ$140,0,MATCH(AC$2,Inputs!$K$4:$AJ$4,0)))+SUMPRODUCT((Inputs!$E$5:$E$140=$B7)*Inputs!$F$5:$F$140*(((Inputs!$G$5:$G$140="moeda")+(Inputs!$G$5:$G$140="acoes"))*Inputs!$B$1+((Inputs!$G$5:$G$140&lt;&gt;"moeda")*(Inputs!$G$5:$G$140&lt;&gt;"acoes")))*INDEX(Inputs!$K$5:$AJ$140,0,MATCH(AC$2,Inputs!$K$4:$AJ$4,0)))))</f>
        <v>-158.45</v>
      </c>
      <c r="AD7" s="6">
        <f>IF(ISNA(MATCH(AD$2,Inputs!$K$4:$AJ$4,0)),NA(),IF(SUMPRODUCT((Inputs!$A$5:$A$140=$B7)*ISNUMBER(INDEX(Inputs!$K$5:$AJ$140,0,MATCH(AD$2,Inputs!$K$4:$AJ$4,0))))+SUMPRODUCT((Inputs!$C$5:$C$140=$B7)*ISNUMBER(INDEX(Inputs!$K$5:$AJ$140,0,MATCH(AD$2,Inputs!$K$4:$AJ$4,0))))+SUMPRODUCT((Inputs!$E$5:$E$140=$B7)*ISNUMBER(INDEX(Inputs!$K$5:$AJ$140,0,MATCH(AD$2,Inputs!$K$4:$AJ$4,0))))=0,NA(),SUMPRODUCT((Inputs!$A$5:$A$140=$B7)*Inputs!$B$5:$B$140*(((Inputs!$G$5:$G$140="moeda")+(Inputs!$G$5:$G$140="acoes"))*Inputs!$B$1+((Inputs!$G$5:$G$140&lt;&gt;"moeda")*(Inputs!$G$5:$G$140&lt;&gt;"acoes")))*INDEX(Inputs!$K$5:$AJ$140,0,MATCH(AD$2,Inputs!$K$4:$AJ$4,0)))+SUMPRODUCT((Inputs!$C$5:$C$140=$B7)*Inputs!$D$5:$D$140*(((Inputs!$G$5:$G$140="moeda")+(Inputs!$G$5:$G$140="acoes"))*Inputs!$B$1+((Inputs!$G$5:$G$140&lt;&gt;"moeda")*(Inputs!$G$5:$G$140&lt;&gt;"acoes")))*INDEX(Inputs!$K$5:$AJ$140,0,MATCH(AD$2,Inputs!$K$4:$AJ$4,0)))+SUMPRODUCT((Inputs!$E$5:$E$140=$B7)*Inputs!$F$5:$F$140*(((Inputs!$G$5:$G$140="moeda")+(Inputs!$G$5:$G$140="acoes"))*Inputs!$B$1+((Inputs!$G$5:$G$140&lt;&gt;"moeda")*(Inputs!$G$5:$G$140&lt;&gt;"acoes")))*INDEX(Inputs!$K$5:$AJ$140,0,MATCH(AD$2,Inputs!$K$4:$AJ$4,0)))))</f>
        <v>-177.69</v>
      </c>
      <c r="AE7" s="6" t="e">
        <f>IF(ISNA(MATCH(AE$2,Inputs!$K$4:$AJ$4,0)),NA(),IF(SUMPRODUCT((Inputs!$A$5:$A$140=$B7)*ISNUMBER(INDEX(Inputs!$K$5:$AJ$140,0,MATCH(AE$2,Inputs!$K$4:$AJ$4,0))))+SUMPRODUCT((Inputs!$C$5:$C$140=$B7)*ISNUMBER(INDEX(Inputs!$K$5:$AJ$140,0,MATCH(AE$2,Inputs!$K$4:$AJ$4,0))))+SUMPRODUCT((Inputs!$E$5:$E$140=$B7)*ISNUMBER(INDEX(Inputs!$K$5:$AJ$140,0,MATCH(AE$2,Inputs!$K$4:$AJ$4,0))))=0,NA(),SUMPRODUCT((Inputs!$A$5:$A$140=$B7)*Inputs!$B$5:$B$140*(((Inputs!$G$5:$G$140="moeda")+(Inputs!$G$5:$G$140="acoes"))*Inputs!$B$1+((Inputs!$G$5:$G$140&lt;&gt;"moeda")*(Inputs!$G$5:$G$140&lt;&gt;"acoes")))*INDEX(Inputs!$K$5:$AJ$140,0,MATCH(AE$2,Inputs!$K$4:$AJ$4,0)))+SUMPRODUCT((Inputs!$C$5:$C$140=$B7)*Inputs!$D$5:$D$140*(((Inputs!$G$5:$G$140="moeda")+(Inputs!$G$5:$G$140="acoes"))*Inputs!$B$1+((Inputs!$G$5:$G$140&lt;&gt;"moeda")*(Inputs!$G$5:$G$140&lt;&gt;"acoes")))*INDEX(Inputs!$K$5:$AJ$140,0,MATCH(AE$2,Inputs!$K$4:$AJ$4,0)))+SUMPRODUCT((Inputs!$E$5:$E$140=$B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" s="6" t="e">
        <f>IF(ISNA(MATCH(AF$2,Inputs!$K$4:$AJ$4,0)),NA(),IF(SUMPRODUCT((Inputs!$A$5:$A$140=$B7)*ISNUMBER(INDEX(Inputs!$K$5:$AJ$140,0,MATCH(AF$2,Inputs!$K$4:$AJ$4,0))))+SUMPRODUCT((Inputs!$C$5:$C$140=$B7)*ISNUMBER(INDEX(Inputs!$K$5:$AJ$140,0,MATCH(AF$2,Inputs!$K$4:$AJ$4,0))))+SUMPRODUCT((Inputs!$E$5:$E$140=$B7)*ISNUMBER(INDEX(Inputs!$K$5:$AJ$140,0,MATCH(AF$2,Inputs!$K$4:$AJ$4,0))))=0,NA(),SUMPRODUCT((Inputs!$A$5:$A$140=$B7)*Inputs!$B$5:$B$140*(((Inputs!$G$5:$G$140="moeda")+(Inputs!$G$5:$G$140="acoes"))*Inputs!$B$1+((Inputs!$G$5:$G$140&lt;&gt;"moeda")*(Inputs!$G$5:$G$140&lt;&gt;"acoes")))*INDEX(Inputs!$K$5:$AJ$140,0,MATCH(AF$2,Inputs!$K$4:$AJ$4,0)))+SUMPRODUCT((Inputs!$C$5:$C$140=$B7)*Inputs!$D$5:$D$140*(((Inputs!$G$5:$G$140="moeda")+(Inputs!$G$5:$G$140="acoes"))*Inputs!$B$1+((Inputs!$G$5:$G$140&lt;&gt;"moeda")*(Inputs!$G$5:$G$140&lt;&gt;"acoes")))*INDEX(Inputs!$K$5:$AJ$140,0,MATCH(AF$2,Inputs!$K$4:$AJ$4,0)))+SUMPRODUCT((Inputs!$E$5:$E$140=$B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" s="3" t="e">
        <f>SUM(AC7:AF7)</f>
        <v>#N/A</v>
      </c>
      <c r="AH7" s="6">
        <f>IF(ISNA(MATCH(AH$2,Inputs!$K$4:$AJ$4,0)),NA(),IF(SUMPRODUCT((Inputs!$A$5:$A$140=$B7)*ISNUMBER(INDEX(Inputs!$K$5:$AJ$140,0,MATCH(AH$2,Inputs!$K$4:$AJ$4,0))))+SUMPRODUCT((Inputs!$C$5:$C$140=$B7)*ISNUMBER(INDEX(Inputs!$K$5:$AJ$140,0,MATCH(AH$2,Inputs!$K$4:$AJ$4,0))))+SUMPRODUCT((Inputs!$E$5:$E$140=$B7)*ISNUMBER(INDEX(Inputs!$K$5:$AJ$140,0,MATCH(AH$2,Inputs!$K$4:$AJ$4,0))))=0,NA(),SUMPRODUCT((Inputs!$A$5:$A$140=$B7)*Inputs!$B$5:$B$140*(((Inputs!$G$5:$G$140="moeda")+(Inputs!$G$5:$G$140="acoes"))*Inputs!$B$1+((Inputs!$G$5:$G$140&lt;&gt;"moeda")*(Inputs!$G$5:$G$140&lt;&gt;"acoes")))*INDEX(Inputs!$K$5:$AJ$140,0,MATCH(AH$2,Inputs!$K$4:$AJ$4,0)))+SUMPRODUCT((Inputs!$C$5:$C$140=$B7)*Inputs!$D$5:$D$140*(((Inputs!$G$5:$G$140="moeda")+(Inputs!$G$5:$G$140="acoes"))*Inputs!$B$1+((Inputs!$G$5:$G$140&lt;&gt;"moeda")*(Inputs!$G$5:$G$140&lt;&gt;"acoes")))*INDEX(Inputs!$K$5:$AJ$140,0,MATCH(AH$2,Inputs!$K$4:$AJ$4,0)))+SUMPRODUCT((Inputs!$E$5:$E$140=$B7)*Inputs!$F$5:$F$140*(((Inputs!$G$5:$G$140="moeda")+(Inputs!$G$5:$G$140="acoes"))*Inputs!$B$1+((Inputs!$G$5:$G$140&lt;&gt;"moeda")*(Inputs!$G$5:$G$140&lt;&gt;"acoes")))*INDEX(Inputs!$K$5:$AJ$140,0,MATCH(AH$2,Inputs!$K$4:$AJ$4,0)))))</f>
        <v>-39.563</v>
      </c>
      <c r="AI7" s="6">
        <f>IF(ISNA(MATCH(AI$2,Inputs!$K$4:$AJ$4,0)),NA(),IF(SUMPRODUCT((Inputs!$A$5:$A$140=$B7)*ISNUMBER(INDEX(Inputs!$K$5:$AJ$140,0,MATCH(AI$2,Inputs!$K$4:$AJ$4,0))))+SUMPRODUCT((Inputs!$C$5:$C$140=$B7)*ISNUMBER(INDEX(Inputs!$K$5:$AJ$140,0,MATCH(AI$2,Inputs!$K$4:$AJ$4,0))))+SUMPRODUCT((Inputs!$E$5:$E$140=$B7)*ISNUMBER(INDEX(Inputs!$K$5:$AJ$140,0,MATCH(AI$2,Inputs!$K$4:$AJ$4,0))))=0,NA(),SUMPRODUCT((Inputs!$A$5:$A$140=$B7)*Inputs!$B$5:$B$140*(((Inputs!$G$5:$G$140="moeda")+(Inputs!$G$5:$G$140="acoes"))*Inputs!$B$1+((Inputs!$G$5:$G$140&lt;&gt;"moeda")*(Inputs!$G$5:$G$140&lt;&gt;"acoes")))*INDEX(Inputs!$K$5:$AJ$140,0,MATCH(AI$2,Inputs!$K$4:$AJ$4,0)))+SUMPRODUCT((Inputs!$C$5:$C$140=$B7)*Inputs!$D$5:$D$140*(((Inputs!$G$5:$G$140="moeda")+(Inputs!$G$5:$G$140="acoes"))*Inputs!$B$1+((Inputs!$G$5:$G$140&lt;&gt;"moeda")*(Inputs!$G$5:$G$140&lt;&gt;"acoes")))*INDEX(Inputs!$K$5:$AJ$140,0,MATCH(AI$2,Inputs!$K$4:$AJ$4,0)))+SUMPRODUCT((Inputs!$E$5:$E$140=$B7)*Inputs!$F$5:$F$140*(((Inputs!$G$5:$G$140="moeda")+(Inputs!$G$5:$G$140="acoes"))*Inputs!$B$1+((Inputs!$G$5:$G$140&lt;&gt;"moeda")*(Inputs!$G$5:$G$140&lt;&gt;"acoes")))*INDEX(Inputs!$K$5:$AJ$140,0,MATCH(AI$2,Inputs!$K$4:$AJ$4,0)))))</f>
        <v>-53.788</v>
      </c>
      <c r="AJ7" s="6">
        <f>IF(ISNA(MATCH(AJ$2,Inputs!$K$4:$AJ$4,0)),NA(),IF(SUMPRODUCT((Inputs!$A$5:$A$140=$B7)*ISNUMBER(INDEX(Inputs!$K$5:$AJ$140,0,MATCH(AJ$2,Inputs!$K$4:$AJ$4,0))))+SUMPRODUCT((Inputs!$C$5:$C$140=$B7)*ISNUMBER(INDEX(Inputs!$K$5:$AJ$140,0,MATCH(AJ$2,Inputs!$K$4:$AJ$4,0))))+SUMPRODUCT((Inputs!$E$5:$E$140=$B7)*ISNUMBER(INDEX(Inputs!$K$5:$AJ$140,0,MATCH(AJ$2,Inputs!$K$4:$AJ$4,0))))=0,NA(),SUMPRODUCT((Inputs!$A$5:$A$140=$B7)*Inputs!$B$5:$B$140*(((Inputs!$G$5:$G$140="moeda")+(Inputs!$G$5:$G$140="acoes"))*Inputs!$B$1+((Inputs!$G$5:$G$140&lt;&gt;"moeda")*(Inputs!$G$5:$G$140&lt;&gt;"acoes")))*INDEX(Inputs!$K$5:$AJ$140,0,MATCH(AJ$2,Inputs!$K$4:$AJ$4,0)))+SUMPRODUCT((Inputs!$C$5:$C$140=$B7)*Inputs!$D$5:$D$140*(((Inputs!$G$5:$G$140="moeda")+(Inputs!$G$5:$G$140="acoes"))*Inputs!$B$1+((Inputs!$G$5:$G$140&lt;&gt;"moeda")*(Inputs!$G$5:$G$140&lt;&gt;"acoes")))*INDEX(Inputs!$K$5:$AJ$140,0,MATCH(AJ$2,Inputs!$K$4:$AJ$4,0)))+SUMPRODUCT((Inputs!$E$5:$E$140=$B7)*Inputs!$F$5:$F$140*(((Inputs!$G$5:$G$140="moeda")+(Inputs!$G$5:$G$140="acoes"))*Inputs!$B$1+((Inputs!$G$5:$G$140&lt;&gt;"moeda")*(Inputs!$G$5:$G$140&lt;&gt;"acoes")))*INDEX(Inputs!$K$5:$AJ$140,0,MATCH(AJ$2,Inputs!$K$4:$AJ$4,0)))))</f>
        <v>-42.927</v>
      </c>
      <c r="AK7" s="6">
        <f>IF(ISNA(MATCH(AK$2,Inputs!$K$4:$AJ$4,0)),NA(),IF(SUMPRODUCT((Inputs!$A$5:$A$140=$B7)*ISNUMBER(INDEX(Inputs!$K$5:$AJ$140,0,MATCH(AK$2,Inputs!$K$4:$AJ$4,0))))+SUMPRODUCT((Inputs!$C$5:$C$140=$B7)*ISNUMBER(INDEX(Inputs!$K$5:$AJ$140,0,MATCH(AK$2,Inputs!$K$4:$AJ$4,0))))+SUMPRODUCT((Inputs!$E$5:$E$140=$B7)*ISNUMBER(INDEX(Inputs!$K$5:$AJ$140,0,MATCH(AK$2,Inputs!$K$4:$AJ$4,0))))=0,NA(),SUMPRODUCT((Inputs!$A$5:$A$140=$B7)*Inputs!$B$5:$B$140*(((Inputs!$G$5:$G$140="moeda")+(Inputs!$G$5:$G$140="acoes"))*Inputs!$B$1+((Inputs!$G$5:$G$140&lt;&gt;"moeda")*(Inputs!$G$5:$G$140&lt;&gt;"acoes")))*INDEX(Inputs!$K$5:$AJ$140,0,MATCH(AK$2,Inputs!$K$4:$AJ$4,0)))+SUMPRODUCT((Inputs!$C$5:$C$140=$B7)*Inputs!$D$5:$D$140*(((Inputs!$G$5:$G$140="moeda")+(Inputs!$G$5:$G$140="acoes"))*Inputs!$B$1+((Inputs!$G$5:$G$140&lt;&gt;"moeda")*(Inputs!$G$5:$G$140&lt;&gt;"acoes")))*INDEX(Inputs!$K$5:$AJ$140,0,MATCH(AK$2,Inputs!$K$4:$AJ$4,0)))+SUMPRODUCT((Inputs!$E$5:$E$140=$B7)*Inputs!$F$5:$F$140*(((Inputs!$G$5:$G$140="moeda")+(Inputs!$G$5:$G$140="acoes"))*Inputs!$B$1+((Inputs!$G$5:$G$140&lt;&gt;"moeda")*(Inputs!$G$5:$G$140&lt;&gt;"acoes")))*INDEX(Inputs!$K$5:$AJ$140,0,MATCH(AK$2,Inputs!$K$4:$AJ$4,0)))))</f>
        <v>-43.686</v>
      </c>
      <c r="AL7" s="3">
        <f>SUM(AH7:AK7)</f>
        <v>-179.964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$140=$B8)*ISNUMBER(INDEX(Inputs!$K$5:$AJ$140,0,MATCH(D$2,Inputs!$K$4:$AJ$4,0))))+SUMPRODUCT((Inputs!$C$5:$C$140=$B8)*ISNUMBER(INDEX(Inputs!$K$5:$AJ$140,0,MATCH(D$2,Inputs!$K$4:$AJ$4,0))))+SUMPRODUCT((Inputs!$E$5:$E$140=$B8)*ISNUMBER(INDEX(Inputs!$K$5:$AJ$140,0,MATCH(D$2,Inputs!$K$4:$AJ$4,0))))=0,NA(),SUMPRODUCT((Inputs!$A$5:$A$140=$B8)*Inputs!$B$5:$B$140*(((Inputs!$G$5:$G$140="moeda")+(Inputs!$G$5:$G$140="acoes"))*Inputs!$B$1+((Inputs!$G$5:$G$140&lt;&gt;"moeda")*(Inputs!$G$5:$G$140&lt;&gt;"acoes")))*INDEX(Inputs!$K$5:$AJ$140,0,MATCH(D$2,Inputs!$K$4:$AJ$4,0)))+SUMPRODUCT((Inputs!$C$5:$C$140=$B8)*Inputs!$D$5:$D$140*(((Inputs!$G$5:$G$140="moeda")+(Inputs!$G$5:$G$140="acoes"))*Inputs!$B$1+((Inputs!$G$5:$G$140&lt;&gt;"moeda")*(Inputs!$G$5:$G$140&lt;&gt;"acoes")))*INDEX(Inputs!$K$5:$AJ$140,0,MATCH(D$2,Inputs!$K$4:$AJ$4,0)))+SUMPRODUCT((Inputs!$E$5:$E$140=$B8)*Inputs!$F$5:$F$140*(((Inputs!$G$5:$G$140="moeda")+(Inputs!$G$5:$G$140="acoes"))*Inputs!$B$1+((Inputs!$G$5:$G$140&lt;&gt;"moeda")*(Inputs!$G$5:$G$140&lt;&gt;"acoes")))*INDEX(Inputs!$K$5:$AJ$140,0,MATCH(D$2,Inputs!$K$4:$AJ$4,0)))))</f>
        <v>-50.47</v>
      </c>
      <c r="E8" s="6">
        <f>IF(ISNA(MATCH(E$2,Inputs!$K$4:$AJ$4,0)),NA(),IF(SUMPRODUCT((Inputs!$A$5:$A$140=$B8)*ISNUMBER(INDEX(Inputs!$K$5:$AJ$140,0,MATCH(E$2,Inputs!$K$4:$AJ$4,0))))+SUMPRODUCT((Inputs!$C$5:$C$140=$B8)*ISNUMBER(INDEX(Inputs!$K$5:$AJ$140,0,MATCH(E$2,Inputs!$K$4:$AJ$4,0))))+SUMPRODUCT((Inputs!$E$5:$E$140=$B8)*ISNUMBER(INDEX(Inputs!$K$5:$AJ$140,0,MATCH(E$2,Inputs!$K$4:$AJ$4,0))))=0,NA(),SUMPRODUCT((Inputs!$A$5:$A$140=$B8)*Inputs!$B$5:$B$140*(((Inputs!$G$5:$G$140="moeda")+(Inputs!$G$5:$G$140="acoes"))*Inputs!$B$1+((Inputs!$G$5:$G$140&lt;&gt;"moeda")*(Inputs!$G$5:$G$140&lt;&gt;"acoes")))*INDEX(Inputs!$K$5:$AJ$140,0,MATCH(E$2,Inputs!$K$4:$AJ$4,0)))+SUMPRODUCT((Inputs!$C$5:$C$140=$B8)*Inputs!$D$5:$D$140*(((Inputs!$G$5:$G$140="moeda")+(Inputs!$G$5:$G$140="acoes"))*Inputs!$B$1+((Inputs!$G$5:$G$140&lt;&gt;"moeda")*(Inputs!$G$5:$G$140&lt;&gt;"acoes")))*INDEX(Inputs!$K$5:$AJ$140,0,MATCH(E$2,Inputs!$K$4:$AJ$4,0)))+SUMPRODUCT((Inputs!$E$5:$E$140=$B8)*Inputs!$F$5:$F$140*(((Inputs!$G$5:$G$140="moeda")+(Inputs!$G$5:$G$140="acoes"))*Inputs!$B$1+((Inputs!$G$5:$G$140&lt;&gt;"moeda")*(Inputs!$G$5:$G$140&lt;&gt;"acoes")))*INDEX(Inputs!$K$5:$AJ$140,0,MATCH(E$2,Inputs!$K$4:$AJ$4,0)))))</f>
        <v>-56.216</v>
      </c>
      <c r="F8" s="6">
        <f>IF(ISNA(MATCH(F$2,Inputs!$K$4:$AJ$4,0)),NA(),IF(SUMPRODUCT((Inputs!$A$5:$A$140=$B8)*ISNUMBER(INDEX(Inputs!$K$5:$AJ$140,0,MATCH(F$2,Inputs!$K$4:$AJ$4,0))))+SUMPRODUCT((Inputs!$C$5:$C$140=$B8)*ISNUMBER(INDEX(Inputs!$K$5:$AJ$140,0,MATCH(F$2,Inputs!$K$4:$AJ$4,0))))+SUMPRODUCT((Inputs!$E$5:$E$140=$B8)*ISNUMBER(INDEX(Inputs!$K$5:$AJ$140,0,MATCH(F$2,Inputs!$K$4:$AJ$4,0))))=0,NA(),SUMPRODUCT((Inputs!$A$5:$A$140=$B8)*Inputs!$B$5:$B$140*(((Inputs!$G$5:$G$140="moeda")+(Inputs!$G$5:$G$140="acoes"))*Inputs!$B$1+((Inputs!$G$5:$G$140&lt;&gt;"moeda")*(Inputs!$G$5:$G$140&lt;&gt;"acoes")))*INDEX(Inputs!$K$5:$AJ$140,0,MATCH(F$2,Inputs!$K$4:$AJ$4,0)))+SUMPRODUCT((Inputs!$C$5:$C$140=$B8)*Inputs!$D$5:$D$140*(((Inputs!$G$5:$G$140="moeda")+(Inputs!$G$5:$G$140="acoes"))*Inputs!$B$1+((Inputs!$G$5:$G$140&lt;&gt;"moeda")*(Inputs!$G$5:$G$140&lt;&gt;"acoes")))*INDEX(Inputs!$K$5:$AJ$140,0,MATCH(F$2,Inputs!$K$4:$AJ$4,0)))+SUMPRODUCT((Inputs!$E$5:$E$140=$B8)*Inputs!$F$5:$F$140*(((Inputs!$G$5:$G$140="moeda")+(Inputs!$G$5:$G$140="acoes"))*Inputs!$B$1+((Inputs!$G$5:$G$140&lt;&gt;"moeda")*(Inputs!$G$5:$G$140&lt;&gt;"acoes")))*INDEX(Inputs!$K$5:$AJ$140,0,MATCH(F$2,Inputs!$K$4:$AJ$4,0)))))</f>
        <v>-91.211</v>
      </c>
      <c r="G8" s="6">
        <f>IF(ISNA(MATCH(G$2,Inputs!$K$4:$AJ$4,0)),NA(),IF(SUMPRODUCT((Inputs!$A$5:$A$140=$B8)*ISNUMBER(INDEX(Inputs!$K$5:$AJ$140,0,MATCH(G$2,Inputs!$K$4:$AJ$4,0))))+SUMPRODUCT((Inputs!$C$5:$C$140=$B8)*ISNUMBER(INDEX(Inputs!$K$5:$AJ$140,0,MATCH(G$2,Inputs!$K$4:$AJ$4,0))))+SUMPRODUCT((Inputs!$E$5:$E$140=$B8)*ISNUMBER(INDEX(Inputs!$K$5:$AJ$140,0,MATCH(G$2,Inputs!$K$4:$AJ$4,0))))=0,NA(),SUMPRODUCT((Inputs!$A$5:$A$140=$B8)*Inputs!$B$5:$B$140*(((Inputs!$G$5:$G$140="moeda")+(Inputs!$G$5:$G$140="acoes"))*Inputs!$B$1+((Inputs!$G$5:$G$140&lt;&gt;"moeda")*(Inputs!$G$5:$G$140&lt;&gt;"acoes")))*INDEX(Inputs!$K$5:$AJ$140,0,MATCH(G$2,Inputs!$K$4:$AJ$4,0)))+SUMPRODUCT((Inputs!$C$5:$C$140=$B8)*Inputs!$D$5:$D$140*(((Inputs!$G$5:$G$140="moeda")+(Inputs!$G$5:$G$140="acoes"))*Inputs!$B$1+((Inputs!$G$5:$G$140&lt;&gt;"moeda")*(Inputs!$G$5:$G$140&lt;&gt;"acoes")))*INDEX(Inputs!$K$5:$AJ$140,0,MATCH(G$2,Inputs!$K$4:$AJ$4,0)))+SUMPRODUCT((Inputs!$E$5:$E$140=$B8)*Inputs!$F$5:$F$140*(((Inputs!$G$5:$G$140="moeda")+(Inputs!$G$5:$G$140="acoes"))*Inputs!$B$1+((Inputs!$G$5:$G$140&lt;&gt;"moeda")*(Inputs!$G$5:$G$140&lt;&gt;"acoes")))*INDEX(Inputs!$K$5:$AJ$140,0,MATCH(G$2,Inputs!$K$4:$AJ$4,0)))))</f>
        <v>-71.983</v>
      </c>
      <c r="H8" s="3">
        <f>SUM(D8:G8)</f>
        <v>-269.88</v>
      </c>
      <c r="I8" s="6">
        <f>IF(ISNA(MATCH(I$2,Inputs!$K$4:$AJ$4,0)),NA(),IF(SUMPRODUCT((Inputs!$A$5:$A$140=$B8)*ISNUMBER(INDEX(Inputs!$K$5:$AJ$140,0,MATCH(I$2,Inputs!$K$4:$AJ$4,0))))+SUMPRODUCT((Inputs!$C$5:$C$140=$B8)*ISNUMBER(INDEX(Inputs!$K$5:$AJ$140,0,MATCH(I$2,Inputs!$K$4:$AJ$4,0))))+SUMPRODUCT((Inputs!$E$5:$E$140=$B8)*ISNUMBER(INDEX(Inputs!$K$5:$AJ$140,0,MATCH(I$2,Inputs!$K$4:$AJ$4,0))))=0,NA(),SUMPRODUCT((Inputs!$A$5:$A$140=$B8)*Inputs!$B$5:$B$140*(((Inputs!$G$5:$G$140="moeda")+(Inputs!$G$5:$G$140="acoes"))*Inputs!$B$1+((Inputs!$G$5:$G$140&lt;&gt;"moeda")*(Inputs!$G$5:$G$140&lt;&gt;"acoes")))*INDEX(Inputs!$K$5:$AJ$140,0,MATCH(I$2,Inputs!$K$4:$AJ$4,0)))+SUMPRODUCT((Inputs!$C$5:$C$140=$B8)*Inputs!$D$5:$D$140*(((Inputs!$G$5:$G$140="moeda")+(Inputs!$G$5:$G$140="acoes"))*Inputs!$B$1+((Inputs!$G$5:$G$140&lt;&gt;"moeda")*(Inputs!$G$5:$G$140&lt;&gt;"acoes")))*INDEX(Inputs!$K$5:$AJ$140,0,MATCH(I$2,Inputs!$K$4:$AJ$4,0)))+SUMPRODUCT((Inputs!$E$5:$E$140=$B8)*Inputs!$F$5:$F$140*(((Inputs!$G$5:$G$140="moeda")+(Inputs!$G$5:$G$140="acoes"))*Inputs!$B$1+((Inputs!$G$5:$G$140&lt;&gt;"moeda")*(Inputs!$G$5:$G$140&lt;&gt;"acoes")))*INDEX(Inputs!$K$5:$AJ$140,0,MATCH(I$2,Inputs!$K$4:$AJ$4,0)))))</f>
        <v>-73.218</v>
      </c>
      <c r="J8" s="6">
        <f>IF(ISNA(MATCH(J$2,Inputs!$K$4:$AJ$4,0)),NA(),IF(SUMPRODUCT((Inputs!$A$5:$A$140=$B8)*ISNUMBER(INDEX(Inputs!$K$5:$AJ$140,0,MATCH(J$2,Inputs!$K$4:$AJ$4,0))))+SUMPRODUCT((Inputs!$C$5:$C$140=$B8)*ISNUMBER(INDEX(Inputs!$K$5:$AJ$140,0,MATCH(J$2,Inputs!$K$4:$AJ$4,0))))+SUMPRODUCT((Inputs!$E$5:$E$140=$B8)*ISNUMBER(INDEX(Inputs!$K$5:$AJ$140,0,MATCH(J$2,Inputs!$K$4:$AJ$4,0))))=0,NA(),SUMPRODUCT((Inputs!$A$5:$A$140=$B8)*Inputs!$B$5:$B$140*(((Inputs!$G$5:$G$140="moeda")+(Inputs!$G$5:$G$140="acoes"))*Inputs!$B$1+((Inputs!$G$5:$G$140&lt;&gt;"moeda")*(Inputs!$G$5:$G$140&lt;&gt;"acoes")))*INDEX(Inputs!$K$5:$AJ$140,0,MATCH(J$2,Inputs!$K$4:$AJ$4,0)))+SUMPRODUCT((Inputs!$C$5:$C$140=$B8)*Inputs!$D$5:$D$140*(((Inputs!$G$5:$G$140="moeda")+(Inputs!$G$5:$G$140="acoes"))*Inputs!$B$1+((Inputs!$G$5:$G$140&lt;&gt;"moeda")*(Inputs!$G$5:$G$140&lt;&gt;"acoes")))*INDEX(Inputs!$K$5:$AJ$140,0,MATCH(J$2,Inputs!$K$4:$AJ$4,0)))+SUMPRODUCT((Inputs!$E$5:$E$140=$B8)*Inputs!$F$5:$F$140*(((Inputs!$G$5:$G$140="moeda")+(Inputs!$G$5:$G$140="acoes"))*Inputs!$B$1+((Inputs!$G$5:$G$140&lt;&gt;"moeda")*(Inputs!$G$5:$G$140&lt;&gt;"acoes")))*INDEX(Inputs!$K$5:$AJ$140,0,MATCH(J$2,Inputs!$K$4:$AJ$4,0)))))</f>
        <v>-94.76177903</v>
      </c>
      <c r="K8" s="6">
        <f>IF(ISNA(MATCH(K$2,Inputs!$K$4:$AJ$4,0)),NA(),IF(SUMPRODUCT((Inputs!$A$5:$A$140=$B8)*ISNUMBER(INDEX(Inputs!$K$5:$AJ$140,0,MATCH(K$2,Inputs!$K$4:$AJ$4,0))))+SUMPRODUCT((Inputs!$C$5:$C$140=$B8)*ISNUMBER(INDEX(Inputs!$K$5:$AJ$140,0,MATCH(K$2,Inputs!$K$4:$AJ$4,0))))+SUMPRODUCT((Inputs!$E$5:$E$140=$B8)*ISNUMBER(INDEX(Inputs!$K$5:$AJ$140,0,MATCH(K$2,Inputs!$K$4:$AJ$4,0))))=0,NA(),SUMPRODUCT((Inputs!$A$5:$A$140=$B8)*Inputs!$B$5:$B$140*(((Inputs!$G$5:$G$140="moeda")+(Inputs!$G$5:$G$140="acoes"))*Inputs!$B$1+((Inputs!$G$5:$G$140&lt;&gt;"moeda")*(Inputs!$G$5:$G$140&lt;&gt;"acoes")))*INDEX(Inputs!$K$5:$AJ$140,0,MATCH(K$2,Inputs!$K$4:$AJ$4,0)))+SUMPRODUCT((Inputs!$C$5:$C$140=$B8)*Inputs!$D$5:$D$140*(((Inputs!$G$5:$G$140="moeda")+(Inputs!$G$5:$G$140="acoes"))*Inputs!$B$1+((Inputs!$G$5:$G$140&lt;&gt;"moeda")*(Inputs!$G$5:$G$140&lt;&gt;"acoes")))*INDEX(Inputs!$K$5:$AJ$140,0,MATCH(K$2,Inputs!$K$4:$AJ$4,0)))+SUMPRODUCT((Inputs!$E$5:$E$140=$B8)*Inputs!$F$5:$F$140*(((Inputs!$G$5:$G$140="moeda")+(Inputs!$G$5:$G$140="acoes"))*Inputs!$B$1+((Inputs!$G$5:$G$140&lt;&gt;"moeda")*(Inputs!$G$5:$G$140&lt;&gt;"acoes")))*INDEX(Inputs!$K$5:$AJ$140,0,MATCH(K$2,Inputs!$K$4:$AJ$4,0)))))</f>
        <v>-137.924</v>
      </c>
      <c r="L8" s="6">
        <f>IF(ISNA(MATCH(L$2,Inputs!$K$4:$AJ$4,0)),NA(),IF(SUMPRODUCT((Inputs!$A$5:$A$140=$B8)*ISNUMBER(INDEX(Inputs!$K$5:$AJ$140,0,MATCH(L$2,Inputs!$K$4:$AJ$4,0))))+SUMPRODUCT((Inputs!$C$5:$C$140=$B8)*ISNUMBER(INDEX(Inputs!$K$5:$AJ$140,0,MATCH(L$2,Inputs!$K$4:$AJ$4,0))))+SUMPRODUCT((Inputs!$E$5:$E$140=$B8)*ISNUMBER(INDEX(Inputs!$K$5:$AJ$140,0,MATCH(L$2,Inputs!$K$4:$AJ$4,0))))=0,NA(),SUMPRODUCT((Inputs!$A$5:$A$140=$B8)*Inputs!$B$5:$B$140*(((Inputs!$G$5:$G$140="moeda")+(Inputs!$G$5:$G$140="acoes"))*Inputs!$B$1+((Inputs!$G$5:$G$140&lt;&gt;"moeda")*(Inputs!$G$5:$G$140&lt;&gt;"acoes")))*INDEX(Inputs!$K$5:$AJ$140,0,MATCH(L$2,Inputs!$K$4:$AJ$4,0)))+SUMPRODUCT((Inputs!$C$5:$C$140=$B8)*Inputs!$D$5:$D$140*(((Inputs!$G$5:$G$140="moeda")+(Inputs!$G$5:$G$140="acoes"))*Inputs!$B$1+((Inputs!$G$5:$G$140&lt;&gt;"moeda")*(Inputs!$G$5:$G$140&lt;&gt;"acoes")))*INDEX(Inputs!$K$5:$AJ$140,0,MATCH(L$2,Inputs!$K$4:$AJ$4,0)))+SUMPRODUCT((Inputs!$E$5:$E$140=$B8)*Inputs!$F$5:$F$140*(((Inputs!$G$5:$G$140="moeda")+(Inputs!$G$5:$G$140="acoes"))*Inputs!$B$1+((Inputs!$G$5:$G$140&lt;&gt;"moeda")*(Inputs!$G$5:$G$140&lt;&gt;"acoes")))*INDEX(Inputs!$K$5:$AJ$140,0,MATCH(L$2,Inputs!$K$4:$AJ$4,0)))))</f>
        <v>-154.73222097</v>
      </c>
      <c r="M8" s="3">
        <f>SUM(I8:L8)</f>
        <v>-460.636</v>
      </c>
      <c r="N8" s="6">
        <f>IF(ISNA(MATCH(N$2,Inputs!$K$4:$AJ$4,0)),NA(),IF(SUMPRODUCT((Inputs!$A$5:$A$140=$B8)*ISNUMBER(INDEX(Inputs!$K$5:$AJ$140,0,MATCH(N$2,Inputs!$K$4:$AJ$4,0))))+SUMPRODUCT((Inputs!$C$5:$C$140=$B8)*ISNUMBER(INDEX(Inputs!$K$5:$AJ$140,0,MATCH(N$2,Inputs!$K$4:$AJ$4,0))))+SUMPRODUCT((Inputs!$E$5:$E$140=$B8)*ISNUMBER(INDEX(Inputs!$K$5:$AJ$140,0,MATCH(N$2,Inputs!$K$4:$AJ$4,0))))=0,NA(),SUMPRODUCT((Inputs!$A$5:$A$140=$B8)*Inputs!$B$5:$B$140*(((Inputs!$G$5:$G$140="moeda")+(Inputs!$G$5:$G$140="acoes"))*Inputs!$B$1+((Inputs!$G$5:$G$140&lt;&gt;"moeda")*(Inputs!$G$5:$G$140&lt;&gt;"acoes")))*INDEX(Inputs!$K$5:$AJ$140,0,MATCH(N$2,Inputs!$K$4:$AJ$4,0)))+SUMPRODUCT((Inputs!$C$5:$C$140=$B8)*Inputs!$D$5:$D$140*(((Inputs!$G$5:$G$140="moeda")+(Inputs!$G$5:$G$140="acoes"))*Inputs!$B$1+((Inputs!$G$5:$G$140&lt;&gt;"moeda")*(Inputs!$G$5:$G$140&lt;&gt;"acoes")))*INDEX(Inputs!$K$5:$AJ$140,0,MATCH(N$2,Inputs!$K$4:$AJ$4,0)))+SUMPRODUCT((Inputs!$E$5:$E$140=$B8)*Inputs!$F$5:$F$140*(((Inputs!$G$5:$G$140="moeda")+(Inputs!$G$5:$G$140="acoes"))*Inputs!$B$1+((Inputs!$G$5:$G$140&lt;&gt;"moeda")*(Inputs!$G$5:$G$140&lt;&gt;"acoes")))*INDEX(Inputs!$K$5:$AJ$140,0,MATCH(N$2,Inputs!$K$4:$AJ$4,0)))))</f>
        <v>-135.96</v>
      </c>
      <c r="O8" s="6">
        <f>IF(ISNA(MATCH(O$2,Inputs!$K$4:$AJ$4,0)),NA(),IF(SUMPRODUCT((Inputs!$A$5:$A$140=$B8)*ISNUMBER(INDEX(Inputs!$K$5:$AJ$140,0,MATCH(O$2,Inputs!$K$4:$AJ$4,0))))+SUMPRODUCT((Inputs!$C$5:$C$140=$B8)*ISNUMBER(INDEX(Inputs!$K$5:$AJ$140,0,MATCH(O$2,Inputs!$K$4:$AJ$4,0))))+SUMPRODUCT((Inputs!$E$5:$E$140=$B8)*ISNUMBER(INDEX(Inputs!$K$5:$AJ$140,0,MATCH(O$2,Inputs!$K$4:$AJ$4,0))))=0,NA(),SUMPRODUCT((Inputs!$A$5:$A$140=$B8)*Inputs!$B$5:$B$140*(((Inputs!$G$5:$G$140="moeda")+(Inputs!$G$5:$G$140="acoes"))*Inputs!$B$1+((Inputs!$G$5:$G$140&lt;&gt;"moeda")*(Inputs!$G$5:$G$140&lt;&gt;"acoes")))*INDEX(Inputs!$K$5:$AJ$140,0,MATCH(O$2,Inputs!$K$4:$AJ$4,0)))+SUMPRODUCT((Inputs!$C$5:$C$140=$B8)*Inputs!$D$5:$D$140*(((Inputs!$G$5:$G$140="moeda")+(Inputs!$G$5:$G$140="acoes"))*Inputs!$B$1+((Inputs!$G$5:$G$140&lt;&gt;"moeda")*(Inputs!$G$5:$G$140&lt;&gt;"acoes")))*INDEX(Inputs!$K$5:$AJ$140,0,MATCH(O$2,Inputs!$K$4:$AJ$4,0)))+SUMPRODUCT((Inputs!$E$5:$E$140=$B8)*Inputs!$F$5:$F$140*(((Inputs!$G$5:$G$140="moeda")+(Inputs!$G$5:$G$140="acoes"))*Inputs!$B$1+((Inputs!$G$5:$G$140&lt;&gt;"moeda")*(Inputs!$G$5:$G$140&lt;&gt;"acoes")))*INDEX(Inputs!$K$5:$AJ$140,0,MATCH(O$2,Inputs!$K$4:$AJ$4,0)))))</f>
        <v>-166.879</v>
      </c>
      <c r="P8" s="6">
        <f>IF(ISNA(MATCH(P$2,Inputs!$K$4:$AJ$4,0)),NA(),IF(SUMPRODUCT((Inputs!$A$5:$A$140=$B8)*ISNUMBER(INDEX(Inputs!$K$5:$AJ$140,0,MATCH(P$2,Inputs!$K$4:$AJ$4,0))))+SUMPRODUCT((Inputs!$C$5:$C$140=$B8)*ISNUMBER(INDEX(Inputs!$K$5:$AJ$140,0,MATCH(P$2,Inputs!$K$4:$AJ$4,0))))+SUMPRODUCT((Inputs!$E$5:$E$140=$B8)*ISNUMBER(INDEX(Inputs!$K$5:$AJ$140,0,MATCH(P$2,Inputs!$K$4:$AJ$4,0))))=0,NA(),SUMPRODUCT((Inputs!$A$5:$A$140=$B8)*Inputs!$B$5:$B$140*(((Inputs!$G$5:$G$140="moeda")+(Inputs!$G$5:$G$140="acoes"))*Inputs!$B$1+((Inputs!$G$5:$G$140&lt;&gt;"moeda")*(Inputs!$G$5:$G$140&lt;&gt;"acoes")))*INDEX(Inputs!$K$5:$AJ$140,0,MATCH(P$2,Inputs!$K$4:$AJ$4,0)))+SUMPRODUCT((Inputs!$C$5:$C$140=$B8)*Inputs!$D$5:$D$140*(((Inputs!$G$5:$G$140="moeda")+(Inputs!$G$5:$G$140="acoes"))*Inputs!$B$1+((Inputs!$G$5:$G$140&lt;&gt;"moeda")*(Inputs!$G$5:$G$140&lt;&gt;"acoes")))*INDEX(Inputs!$K$5:$AJ$140,0,MATCH(P$2,Inputs!$K$4:$AJ$4,0)))+SUMPRODUCT((Inputs!$E$5:$E$140=$B8)*Inputs!$F$5:$F$140*(((Inputs!$G$5:$G$140="moeda")+(Inputs!$G$5:$G$140="acoes"))*Inputs!$B$1+((Inputs!$G$5:$G$140&lt;&gt;"moeda")*(Inputs!$G$5:$G$140&lt;&gt;"acoes")))*INDEX(Inputs!$K$5:$AJ$140,0,MATCH(P$2,Inputs!$K$4:$AJ$4,0)))))</f>
        <v>-163.903</v>
      </c>
      <c r="Q8" s="6">
        <f>IF(ISNA(MATCH(Q$2,Inputs!$K$4:$AJ$4,0)),NA(),IF(SUMPRODUCT((Inputs!$A$5:$A$140=$B8)*ISNUMBER(INDEX(Inputs!$K$5:$AJ$140,0,MATCH(Q$2,Inputs!$K$4:$AJ$4,0))))+SUMPRODUCT((Inputs!$C$5:$C$140=$B8)*ISNUMBER(INDEX(Inputs!$K$5:$AJ$140,0,MATCH(Q$2,Inputs!$K$4:$AJ$4,0))))+SUMPRODUCT((Inputs!$E$5:$E$140=$B8)*ISNUMBER(INDEX(Inputs!$K$5:$AJ$140,0,MATCH(Q$2,Inputs!$K$4:$AJ$4,0))))=0,NA(),SUMPRODUCT((Inputs!$A$5:$A$140=$B8)*Inputs!$B$5:$B$140*(((Inputs!$G$5:$G$140="moeda")+(Inputs!$G$5:$G$140="acoes"))*Inputs!$B$1+((Inputs!$G$5:$G$140&lt;&gt;"moeda")*(Inputs!$G$5:$G$140&lt;&gt;"acoes")))*INDEX(Inputs!$K$5:$AJ$140,0,MATCH(Q$2,Inputs!$K$4:$AJ$4,0)))+SUMPRODUCT((Inputs!$C$5:$C$140=$B8)*Inputs!$D$5:$D$140*(((Inputs!$G$5:$G$140="moeda")+(Inputs!$G$5:$G$140="acoes"))*Inputs!$B$1+((Inputs!$G$5:$G$140&lt;&gt;"moeda")*(Inputs!$G$5:$G$140&lt;&gt;"acoes")))*INDEX(Inputs!$K$5:$AJ$140,0,MATCH(Q$2,Inputs!$K$4:$AJ$4,0)))+SUMPRODUCT((Inputs!$E$5:$E$140=$B8)*Inputs!$F$5:$F$140*(((Inputs!$G$5:$G$140="moeda")+(Inputs!$G$5:$G$140="acoes"))*Inputs!$B$1+((Inputs!$G$5:$G$140&lt;&gt;"moeda")*(Inputs!$G$5:$G$140&lt;&gt;"acoes")))*INDEX(Inputs!$K$5:$AJ$140,0,MATCH(Q$2,Inputs!$K$4:$AJ$4,0)))))</f>
        <v>-180.578</v>
      </c>
      <c r="R8" s="3">
        <f>SUM(N8:Q8)</f>
        <v>-647.32</v>
      </c>
      <c r="S8" s="6">
        <f>IF(ISNA(MATCH(S$2,Inputs!$K$4:$AJ$4,0)),NA(),IF(SUMPRODUCT((Inputs!$A$5:$A$140=$B8)*ISNUMBER(INDEX(Inputs!$K$5:$AJ$140,0,MATCH(S$2,Inputs!$K$4:$AJ$4,0))))+SUMPRODUCT((Inputs!$C$5:$C$140=$B8)*ISNUMBER(INDEX(Inputs!$K$5:$AJ$140,0,MATCH(S$2,Inputs!$K$4:$AJ$4,0))))+SUMPRODUCT((Inputs!$E$5:$E$140=$B8)*ISNUMBER(INDEX(Inputs!$K$5:$AJ$140,0,MATCH(S$2,Inputs!$K$4:$AJ$4,0))))=0,NA(),SUMPRODUCT((Inputs!$A$5:$A$140=$B8)*Inputs!$B$5:$B$140*(((Inputs!$G$5:$G$140="moeda")+(Inputs!$G$5:$G$140="acoes"))*Inputs!$B$1+((Inputs!$G$5:$G$140&lt;&gt;"moeda")*(Inputs!$G$5:$G$140&lt;&gt;"acoes")))*INDEX(Inputs!$K$5:$AJ$140,0,MATCH(S$2,Inputs!$K$4:$AJ$4,0)))+SUMPRODUCT((Inputs!$C$5:$C$140=$B8)*Inputs!$D$5:$D$140*(((Inputs!$G$5:$G$140="moeda")+(Inputs!$G$5:$G$140="acoes"))*Inputs!$B$1+((Inputs!$G$5:$G$140&lt;&gt;"moeda")*(Inputs!$G$5:$G$140&lt;&gt;"acoes")))*INDEX(Inputs!$K$5:$AJ$140,0,MATCH(S$2,Inputs!$K$4:$AJ$4,0)))+SUMPRODUCT((Inputs!$E$5:$E$140=$B8)*Inputs!$F$5:$F$140*(((Inputs!$G$5:$G$140="moeda")+(Inputs!$G$5:$G$140="acoes"))*Inputs!$B$1+((Inputs!$G$5:$G$140&lt;&gt;"moeda")*(Inputs!$G$5:$G$140&lt;&gt;"acoes")))*INDEX(Inputs!$K$5:$AJ$140,0,MATCH(S$2,Inputs!$K$4:$AJ$4,0)))))</f>
        <v>-187.30166009</v>
      </c>
      <c r="T8" s="6">
        <f>IF(ISNA(MATCH(T$2,Inputs!$K$4:$AJ$4,0)),NA(),IF(SUMPRODUCT((Inputs!$A$5:$A$140=$B8)*ISNUMBER(INDEX(Inputs!$K$5:$AJ$140,0,MATCH(T$2,Inputs!$K$4:$AJ$4,0))))+SUMPRODUCT((Inputs!$C$5:$C$140=$B8)*ISNUMBER(INDEX(Inputs!$K$5:$AJ$140,0,MATCH(T$2,Inputs!$K$4:$AJ$4,0))))+SUMPRODUCT((Inputs!$E$5:$E$140=$B8)*ISNUMBER(INDEX(Inputs!$K$5:$AJ$140,0,MATCH(T$2,Inputs!$K$4:$AJ$4,0))))=0,NA(),SUMPRODUCT((Inputs!$A$5:$A$140=$B8)*Inputs!$B$5:$B$140*(((Inputs!$G$5:$G$140="moeda")+(Inputs!$G$5:$G$140="acoes"))*Inputs!$B$1+((Inputs!$G$5:$G$140&lt;&gt;"moeda")*(Inputs!$G$5:$G$140&lt;&gt;"acoes")))*INDEX(Inputs!$K$5:$AJ$140,0,MATCH(T$2,Inputs!$K$4:$AJ$4,0)))+SUMPRODUCT((Inputs!$C$5:$C$140=$B8)*Inputs!$D$5:$D$140*(((Inputs!$G$5:$G$140="moeda")+(Inputs!$G$5:$G$140="acoes"))*Inputs!$B$1+((Inputs!$G$5:$G$140&lt;&gt;"moeda")*(Inputs!$G$5:$G$140&lt;&gt;"acoes")))*INDEX(Inputs!$K$5:$AJ$140,0,MATCH(T$2,Inputs!$K$4:$AJ$4,0)))+SUMPRODUCT((Inputs!$E$5:$E$140=$B8)*Inputs!$F$5:$F$140*(((Inputs!$G$5:$G$140="moeda")+(Inputs!$G$5:$G$140="acoes"))*Inputs!$B$1+((Inputs!$G$5:$G$140&lt;&gt;"moeda")*(Inputs!$G$5:$G$140&lt;&gt;"acoes")))*INDEX(Inputs!$K$5:$AJ$140,0,MATCH(T$2,Inputs!$K$4:$AJ$4,0)))))</f>
        <v>-198.20873991</v>
      </c>
      <c r="U8" s="6">
        <f>IF(ISNA(MATCH(U$2,Inputs!$K$4:$AJ$4,0)),NA(),IF(SUMPRODUCT((Inputs!$A$5:$A$140=$B8)*ISNUMBER(INDEX(Inputs!$K$5:$AJ$140,0,MATCH(U$2,Inputs!$K$4:$AJ$4,0))))+SUMPRODUCT((Inputs!$C$5:$C$140=$B8)*ISNUMBER(INDEX(Inputs!$K$5:$AJ$140,0,MATCH(U$2,Inputs!$K$4:$AJ$4,0))))+SUMPRODUCT((Inputs!$E$5:$E$140=$B8)*ISNUMBER(INDEX(Inputs!$K$5:$AJ$140,0,MATCH(U$2,Inputs!$K$4:$AJ$4,0))))=0,NA(),SUMPRODUCT((Inputs!$A$5:$A$140=$B8)*Inputs!$B$5:$B$140*(((Inputs!$G$5:$G$140="moeda")+(Inputs!$G$5:$G$140="acoes"))*Inputs!$B$1+((Inputs!$G$5:$G$140&lt;&gt;"moeda")*(Inputs!$G$5:$G$140&lt;&gt;"acoes")))*INDEX(Inputs!$K$5:$AJ$140,0,MATCH(U$2,Inputs!$K$4:$AJ$4,0)))+SUMPRODUCT((Inputs!$C$5:$C$140=$B8)*Inputs!$D$5:$D$140*(((Inputs!$G$5:$G$140="moeda")+(Inputs!$G$5:$G$140="acoes"))*Inputs!$B$1+((Inputs!$G$5:$G$140&lt;&gt;"moeda")*(Inputs!$G$5:$G$140&lt;&gt;"acoes")))*INDEX(Inputs!$K$5:$AJ$140,0,MATCH(U$2,Inputs!$K$4:$AJ$4,0)))+SUMPRODUCT((Inputs!$E$5:$E$140=$B8)*Inputs!$F$5:$F$140*(((Inputs!$G$5:$G$140="moeda")+(Inputs!$G$5:$G$140="acoes"))*Inputs!$B$1+((Inputs!$G$5:$G$140&lt;&gt;"moeda")*(Inputs!$G$5:$G$140&lt;&gt;"acoes")))*INDEX(Inputs!$K$5:$AJ$140,0,MATCH(U$2,Inputs!$K$4:$AJ$4,0)))))</f>
        <v>-208.79</v>
      </c>
      <c r="V8" s="6">
        <f>IF(ISNA(MATCH(V$2,Inputs!$K$4:$AJ$4,0)),NA(),IF(SUMPRODUCT((Inputs!$A$5:$A$140=$B8)*ISNUMBER(INDEX(Inputs!$K$5:$AJ$140,0,MATCH(V$2,Inputs!$K$4:$AJ$4,0))))+SUMPRODUCT((Inputs!$C$5:$C$140=$B8)*ISNUMBER(INDEX(Inputs!$K$5:$AJ$140,0,MATCH(V$2,Inputs!$K$4:$AJ$4,0))))+SUMPRODUCT((Inputs!$E$5:$E$140=$B8)*ISNUMBER(INDEX(Inputs!$K$5:$AJ$140,0,MATCH(V$2,Inputs!$K$4:$AJ$4,0))))=0,NA(),SUMPRODUCT((Inputs!$A$5:$A$140=$B8)*Inputs!$B$5:$B$140*(((Inputs!$G$5:$G$140="moeda")+(Inputs!$G$5:$G$140="acoes"))*Inputs!$B$1+((Inputs!$G$5:$G$140&lt;&gt;"moeda")*(Inputs!$G$5:$G$140&lt;&gt;"acoes")))*INDEX(Inputs!$K$5:$AJ$140,0,MATCH(V$2,Inputs!$K$4:$AJ$4,0)))+SUMPRODUCT((Inputs!$C$5:$C$140=$B8)*Inputs!$D$5:$D$140*(((Inputs!$G$5:$G$140="moeda")+(Inputs!$G$5:$G$140="acoes"))*Inputs!$B$1+((Inputs!$G$5:$G$140&lt;&gt;"moeda")*(Inputs!$G$5:$G$140&lt;&gt;"acoes")))*INDEX(Inputs!$K$5:$AJ$140,0,MATCH(V$2,Inputs!$K$4:$AJ$4,0)))+SUMPRODUCT((Inputs!$E$5:$E$140=$B8)*Inputs!$F$5:$F$140*(((Inputs!$G$5:$G$140="moeda")+(Inputs!$G$5:$G$140="acoes"))*Inputs!$B$1+((Inputs!$G$5:$G$140&lt;&gt;"moeda")*(Inputs!$G$5:$G$140&lt;&gt;"acoes")))*INDEX(Inputs!$K$5:$AJ$140,0,MATCH(V$2,Inputs!$K$4:$AJ$4,0)))))</f>
        <v>-244.9556</v>
      </c>
      <c r="W8" s="3">
        <f>SUM(S8:V8)</f>
        <v>-839.256</v>
      </c>
      <c r="X8" s="6">
        <f>IF(ISNA(MATCH(X$2,Inputs!$K$4:$AJ$4,0)),NA(),IF(SUMPRODUCT((Inputs!$A$5:$A$140=$B8)*ISNUMBER(INDEX(Inputs!$K$5:$AJ$140,0,MATCH(X$2,Inputs!$K$4:$AJ$4,0))))+SUMPRODUCT((Inputs!$C$5:$C$140=$B8)*ISNUMBER(INDEX(Inputs!$K$5:$AJ$140,0,MATCH(X$2,Inputs!$K$4:$AJ$4,0))))+SUMPRODUCT((Inputs!$E$5:$E$140=$B8)*ISNUMBER(INDEX(Inputs!$K$5:$AJ$140,0,MATCH(X$2,Inputs!$K$4:$AJ$4,0))))=0,NA(),SUMPRODUCT((Inputs!$A$5:$A$140=$B8)*Inputs!$B$5:$B$140*(((Inputs!$G$5:$G$140="moeda")+(Inputs!$G$5:$G$140="acoes"))*Inputs!$B$1+((Inputs!$G$5:$G$140&lt;&gt;"moeda")*(Inputs!$G$5:$G$140&lt;&gt;"acoes")))*INDEX(Inputs!$K$5:$AJ$140,0,MATCH(X$2,Inputs!$K$4:$AJ$4,0)))+SUMPRODUCT((Inputs!$C$5:$C$140=$B8)*Inputs!$D$5:$D$140*(((Inputs!$G$5:$G$140="moeda")+(Inputs!$G$5:$G$140="acoes"))*Inputs!$B$1+((Inputs!$G$5:$G$140&lt;&gt;"moeda")*(Inputs!$G$5:$G$140&lt;&gt;"acoes")))*INDEX(Inputs!$K$5:$AJ$140,0,MATCH(X$2,Inputs!$K$4:$AJ$4,0)))+SUMPRODUCT((Inputs!$E$5:$E$140=$B8)*Inputs!$F$5:$F$140*(((Inputs!$G$5:$G$140="moeda")+(Inputs!$G$5:$G$140="acoes"))*Inputs!$B$1+((Inputs!$G$5:$G$140&lt;&gt;"moeda")*(Inputs!$G$5:$G$140&lt;&gt;"acoes")))*INDEX(Inputs!$K$5:$AJ$140,0,MATCH(X$2,Inputs!$K$4:$AJ$4,0)))))</f>
        <v>-250.609</v>
      </c>
      <c r="Y8" s="6">
        <f>IF(ISNA(MATCH(Y$2,Inputs!$K$4:$AJ$4,0)),NA(),IF(SUMPRODUCT((Inputs!$A$5:$A$140=$B8)*ISNUMBER(INDEX(Inputs!$K$5:$AJ$140,0,MATCH(Y$2,Inputs!$K$4:$AJ$4,0))))+SUMPRODUCT((Inputs!$C$5:$C$140=$B8)*ISNUMBER(INDEX(Inputs!$K$5:$AJ$140,0,MATCH(Y$2,Inputs!$K$4:$AJ$4,0))))+SUMPRODUCT((Inputs!$E$5:$E$140=$B8)*ISNUMBER(INDEX(Inputs!$K$5:$AJ$140,0,MATCH(Y$2,Inputs!$K$4:$AJ$4,0))))=0,NA(),SUMPRODUCT((Inputs!$A$5:$A$140=$B8)*Inputs!$B$5:$B$140*(((Inputs!$G$5:$G$140="moeda")+(Inputs!$G$5:$G$140="acoes"))*Inputs!$B$1+((Inputs!$G$5:$G$140&lt;&gt;"moeda")*(Inputs!$G$5:$G$140&lt;&gt;"acoes")))*INDEX(Inputs!$K$5:$AJ$140,0,MATCH(Y$2,Inputs!$K$4:$AJ$4,0)))+SUMPRODUCT((Inputs!$C$5:$C$140=$B8)*Inputs!$D$5:$D$140*(((Inputs!$G$5:$G$140="moeda")+(Inputs!$G$5:$G$140="acoes"))*Inputs!$B$1+((Inputs!$G$5:$G$140&lt;&gt;"moeda")*(Inputs!$G$5:$G$140&lt;&gt;"acoes")))*INDEX(Inputs!$K$5:$AJ$140,0,MATCH(Y$2,Inputs!$K$4:$AJ$4,0)))+SUMPRODUCT((Inputs!$E$5:$E$140=$B8)*Inputs!$F$5:$F$140*(((Inputs!$G$5:$G$140="moeda")+(Inputs!$G$5:$G$140="acoes"))*Inputs!$B$1+((Inputs!$G$5:$G$140&lt;&gt;"moeda")*(Inputs!$G$5:$G$140&lt;&gt;"acoes")))*INDEX(Inputs!$K$5:$AJ$140,0,MATCH(Y$2,Inputs!$K$4:$AJ$4,0)))))</f>
        <v>-267.809</v>
      </c>
      <c r="Z8" s="6">
        <f>IF(ISNA(MATCH(Z$2,Inputs!$K$4:$AJ$4,0)),NA(),IF(SUMPRODUCT((Inputs!$A$5:$A$140=$B8)*ISNUMBER(INDEX(Inputs!$K$5:$AJ$140,0,MATCH(Z$2,Inputs!$K$4:$AJ$4,0))))+SUMPRODUCT((Inputs!$C$5:$C$140=$B8)*ISNUMBER(INDEX(Inputs!$K$5:$AJ$140,0,MATCH(Z$2,Inputs!$K$4:$AJ$4,0))))+SUMPRODUCT((Inputs!$E$5:$E$140=$B8)*ISNUMBER(INDEX(Inputs!$K$5:$AJ$140,0,MATCH(Z$2,Inputs!$K$4:$AJ$4,0))))=0,NA(),SUMPRODUCT((Inputs!$A$5:$A$140=$B8)*Inputs!$B$5:$B$140*(((Inputs!$G$5:$G$140="moeda")+(Inputs!$G$5:$G$140="acoes"))*Inputs!$B$1+((Inputs!$G$5:$G$140&lt;&gt;"moeda")*(Inputs!$G$5:$G$140&lt;&gt;"acoes")))*INDEX(Inputs!$K$5:$AJ$140,0,MATCH(Z$2,Inputs!$K$4:$AJ$4,0)))+SUMPRODUCT((Inputs!$C$5:$C$140=$B8)*Inputs!$D$5:$D$140*(((Inputs!$G$5:$G$140="moeda")+(Inputs!$G$5:$G$140="acoes"))*Inputs!$B$1+((Inputs!$G$5:$G$140&lt;&gt;"moeda")*(Inputs!$G$5:$G$140&lt;&gt;"acoes")))*INDEX(Inputs!$K$5:$AJ$140,0,MATCH(Z$2,Inputs!$K$4:$AJ$4,0)))+SUMPRODUCT((Inputs!$E$5:$E$140=$B8)*Inputs!$F$5:$F$140*(((Inputs!$G$5:$G$140="moeda")+(Inputs!$G$5:$G$140="acoes"))*Inputs!$B$1+((Inputs!$G$5:$G$140&lt;&gt;"moeda")*(Inputs!$G$5:$G$140&lt;&gt;"acoes")))*INDEX(Inputs!$K$5:$AJ$140,0,MATCH(Z$2,Inputs!$K$4:$AJ$4,0)))))</f>
        <v>-305.637</v>
      </c>
      <c r="AA8" s="6">
        <f>IF(ISNA(MATCH(AA$2,Inputs!$K$4:$AJ$4,0)),NA(),IF(SUMPRODUCT((Inputs!$A$5:$A$140=$B8)*ISNUMBER(INDEX(Inputs!$K$5:$AJ$140,0,MATCH(AA$2,Inputs!$K$4:$AJ$4,0))))+SUMPRODUCT((Inputs!$C$5:$C$140=$B8)*ISNUMBER(INDEX(Inputs!$K$5:$AJ$140,0,MATCH(AA$2,Inputs!$K$4:$AJ$4,0))))+SUMPRODUCT((Inputs!$E$5:$E$140=$B8)*ISNUMBER(INDEX(Inputs!$K$5:$AJ$140,0,MATCH(AA$2,Inputs!$K$4:$AJ$4,0))))=0,NA(),SUMPRODUCT((Inputs!$A$5:$A$140=$B8)*Inputs!$B$5:$B$140*(((Inputs!$G$5:$G$140="moeda")+(Inputs!$G$5:$G$140="acoes"))*Inputs!$B$1+((Inputs!$G$5:$G$140&lt;&gt;"moeda")*(Inputs!$G$5:$G$140&lt;&gt;"acoes")))*INDEX(Inputs!$K$5:$AJ$140,0,MATCH(AA$2,Inputs!$K$4:$AJ$4,0)))+SUMPRODUCT((Inputs!$C$5:$C$140=$B8)*Inputs!$D$5:$D$140*(((Inputs!$G$5:$G$140="moeda")+(Inputs!$G$5:$G$140="acoes"))*Inputs!$B$1+((Inputs!$G$5:$G$140&lt;&gt;"moeda")*(Inputs!$G$5:$G$140&lt;&gt;"acoes")))*INDEX(Inputs!$K$5:$AJ$140,0,MATCH(AA$2,Inputs!$K$4:$AJ$4,0)))+SUMPRODUCT((Inputs!$E$5:$E$140=$B8)*Inputs!$F$5:$F$140*(((Inputs!$G$5:$G$140="moeda")+(Inputs!$G$5:$G$140="acoes"))*Inputs!$B$1+((Inputs!$G$5:$G$140&lt;&gt;"moeda")*(Inputs!$G$5:$G$140&lt;&gt;"acoes")))*INDEX(Inputs!$K$5:$AJ$140,0,MATCH(AA$2,Inputs!$K$4:$AJ$4,0)))))</f>
        <v>-403.524</v>
      </c>
      <c r="AB8" s="3">
        <f>SUM(X8:AA8)</f>
        <v>-1227.579</v>
      </c>
      <c r="AC8" s="6">
        <f>IF(ISNA(MATCH(AC$2,Inputs!$K$4:$AJ$4,0)),NA(),IF(SUMPRODUCT((Inputs!$A$5:$A$140=$B8)*ISNUMBER(INDEX(Inputs!$K$5:$AJ$140,0,MATCH(AC$2,Inputs!$K$4:$AJ$4,0))))+SUMPRODUCT((Inputs!$C$5:$C$140=$B8)*ISNUMBER(INDEX(Inputs!$K$5:$AJ$140,0,MATCH(AC$2,Inputs!$K$4:$AJ$4,0))))+SUMPRODUCT((Inputs!$E$5:$E$140=$B8)*ISNUMBER(INDEX(Inputs!$K$5:$AJ$140,0,MATCH(AC$2,Inputs!$K$4:$AJ$4,0))))=0,NA(),SUMPRODUCT((Inputs!$A$5:$A$140=$B8)*Inputs!$B$5:$B$140*(((Inputs!$G$5:$G$140="moeda")+(Inputs!$G$5:$G$140="acoes"))*Inputs!$B$1+((Inputs!$G$5:$G$140&lt;&gt;"moeda")*(Inputs!$G$5:$G$140&lt;&gt;"acoes")))*INDEX(Inputs!$K$5:$AJ$140,0,MATCH(AC$2,Inputs!$K$4:$AJ$4,0)))+SUMPRODUCT((Inputs!$C$5:$C$140=$B8)*Inputs!$D$5:$D$140*(((Inputs!$G$5:$G$140="moeda")+(Inputs!$G$5:$G$140="acoes"))*Inputs!$B$1+((Inputs!$G$5:$G$140&lt;&gt;"moeda")*(Inputs!$G$5:$G$140&lt;&gt;"acoes")))*INDEX(Inputs!$K$5:$AJ$140,0,MATCH(AC$2,Inputs!$K$4:$AJ$4,0)))+SUMPRODUCT((Inputs!$E$5:$E$140=$B8)*Inputs!$F$5:$F$140*(((Inputs!$G$5:$G$140="moeda")+(Inputs!$G$5:$G$140="acoes"))*Inputs!$B$1+((Inputs!$G$5:$G$140&lt;&gt;"moeda")*(Inputs!$G$5:$G$140&lt;&gt;"acoes")))*INDEX(Inputs!$K$5:$AJ$140,0,MATCH(AC$2,Inputs!$K$4:$AJ$4,0)))))</f>
        <v>-310.031</v>
      </c>
      <c r="AD8" s="6">
        <f>IF(ISNA(MATCH(AD$2,Inputs!$K$4:$AJ$4,0)),NA(),IF(SUMPRODUCT((Inputs!$A$5:$A$140=$B8)*ISNUMBER(INDEX(Inputs!$K$5:$AJ$140,0,MATCH(AD$2,Inputs!$K$4:$AJ$4,0))))+SUMPRODUCT((Inputs!$C$5:$C$140=$B8)*ISNUMBER(INDEX(Inputs!$K$5:$AJ$140,0,MATCH(AD$2,Inputs!$K$4:$AJ$4,0))))+SUMPRODUCT((Inputs!$E$5:$E$140=$B8)*ISNUMBER(INDEX(Inputs!$K$5:$AJ$140,0,MATCH(AD$2,Inputs!$K$4:$AJ$4,0))))=0,NA(),SUMPRODUCT((Inputs!$A$5:$A$140=$B8)*Inputs!$B$5:$B$140*(((Inputs!$G$5:$G$140="moeda")+(Inputs!$G$5:$G$140="acoes"))*Inputs!$B$1+((Inputs!$G$5:$G$140&lt;&gt;"moeda")*(Inputs!$G$5:$G$140&lt;&gt;"acoes")))*INDEX(Inputs!$K$5:$AJ$140,0,MATCH(AD$2,Inputs!$K$4:$AJ$4,0)))+SUMPRODUCT((Inputs!$C$5:$C$140=$B8)*Inputs!$D$5:$D$140*(((Inputs!$G$5:$G$140="moeda")+(Inputs!$G$5:$G$140="acoes"))*Inputs!$B$1+((Inputs!$G$5:$G$140&lt;&gt;"moeda")*(Inputs!$G$5:$G$140&lt;&gt;"acoes")))*INDEX(Inputs!$K$5:$AJ$140,0,MATCH(AD$2,Inputs!$K$4:$AJ$4,0)))+SUMPRODUCT((Inputs!$E$5:$E$140=$B8)*Inputs!$F$5:$F$140*(((Inputs!$G$5:$G$140="moeda")+(Inputs!$G$5:$G$140="acoes"))*Inputs!$B$1+((Inputs!$G$5:$G$140&lt;&gt;"moeda")*(Inputs!$G$5:$G$140&lt;&gt;"acoes")))*INDEX(Inputs!$K$5:$AJ$140,0,MATCH(AD$2,Inputs!$K$4:$AJ$4,0)))))</f>
        <v>-338.073</v>
      </c>
      <c r="AE8" s="6" t="e">
        <f>IF(ISNA(MATCH(AE$2,Inputs!$K$4:$AJ$4,0)),NA(),IF(SUMPRODUCT((Inputs!$A$5:$A$140=$B8)*ISNUMBER(INDEX(Inputs!$K$5:$AJ$140,0,MATCH(AE$2,Inputs!$K$4:$AJ$4,0))))+SUMPRODUCT((Inputs!$C$5:$C$140=$B8)*ISNUMBER(INDEX(Inputs!$K$5:$AJ$140,0,MATCH(AE$2,Inputs!$K$4:$AJ$4,0))))+SUMPRODUCT((Inputs!$E$5:$E$140=$B8)*ISNUMBER(INDEX(Inputs!$K$5:$AJ$140,0,MATCH(AE$2,Inputs!$K$4:$AJ$4,0))))=0,NA(),SUMPRODUCT((Inputs!$A$5:$A$140=$B8)*Inputs!$B$5:$B$140*(((Inputs!$G$5:$G$140="moeda")+(Inputs!$G$5:$G$140="acoes"))*Inputs!$B$1+((Inputs!$G$5:$G$140&lt;&gt;"moeda")*(Inputs!$G$5:$G$140&lt;&gt;"acoes")))*INDEX(Inputs!$K$5:$AJ$140,0,MATCH(AE$2,Inputs!$K$4:$AJ$4,0)))+SUMPRODUCT((Inputs!$C$5:$C$140=$B8)*Inputs!$D$5:$D$140*(((Inputs!$G$5:$G$140="moeda")+(Inputs!$G$5:$G$140="acoes"))*Inputs!$B$1+((Inputs!$G$5:$G$140&lt;&gt;"moeda")*(Inputs!$G$5:$G$140&lt;&gt;"acoes")))*INDEX(Inputs!$K$5:$AJ$140,0,MATCH(AE$2,Inputs!$K$4:$AJ$4,0)))+SUMPRODUCT((Inputs!$E$5:$E$140=$B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8" s="6" t="e">
        <f>IF(ISNA(MATCH(AF$2,Inputs!$K$4:$AJ$4,0)),NA(),IF(SUMPRODUCT((Inputs!$A$5:$A$140=$B8)*ISNUMBER(INDEX(Inputs!$K$5:$AJ$140,0,MATCH(AF$2,Inputs!$K$4:$AJ$4,0))))+SUMPRODUCT((Inputs!$C$5:$C$140=$B8)*ISNUMBER(INDEX(Inputs!$K$5:$AJ$140,0,MATCH(AF$2,Inputs!$K$4:$AJ$4,0))))+SUMPRODUCT((Inputs!$E$5:$E$140=$B8)*ISNUMBER(INDEX(Inputs!$K$5:$AJ$140,0,MATCH(AF$2,Inputs!$K$4:$AJ$4,0))))=0,NA(),SUMPRODUCT((Inputs!$A$5:$A$140=$B8)*Inputs!$B$5:$B$140*(((Inputs!$G$5:$G$140="moeda")+(Inputs!$G$5:$G$140="acoes"))*Inputs!$B$1+((Inputs!$G$5:$G$140&lt;&gt;"moeda")*(Inputs!$G$5:$G$140&lt;&gt;"acoes")))*INDEX(Inputs!$K$5:$AJ$140,0,MATCH(AF$2,Inputs!$K$4:$AJ$4,0)))+SUMPRODUCT((Inputs!$C$5:$C$140=$B8)*Inputs!$D$5:$D$140*(((Inputs!$G$5:$G$140="moeda")+(Inputs!$G$5:$G$140="acoes"))*Inputs!$B$1+((Inputs!$G$5:$G$140&lt;&gt;"moeda")*(Inputs!$G$5:$G$140&lt;&gt;"acoes")))*INDEX(Inputs!$K$5:$AJ$140,0,MATCH(AF$2,Inputs!$K$4:$AJ$4,0)))+SUMPRODUCT((Inputs!$E$5:$E$140=$B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8" s="3" t="e">
        <f>SUM(AC8:AF8)</f>
        <v>#N/A</v>
      </c>
      <c r="AH8" s="6">
        <f>IF(ISNA(MATCH(AH$2,Inputs!$K$4:$AJ$4,0)),NA(),IF(SUMPRODUCT((Inputs!$A$5:$A$140=$B8)*ISNUMBER(INDEX(Inputs!$K$5:$AJ$140,0,MATCH(AH$2,Inputs!$K$4:$AJ$4,0))))+SUMPRODUCT((Inputs!$C$5:$C$140=$B8)*ISNUMBER(INDEX(Inputs!$K$5:$AJ$140,0,MATCH(AH$2,Inputs!$K$4:$AJ$4,0))))+SUMPRODUCT((Inputs!$E$5:$E$140=$B8)*ISNUMBER(INDEX(Inputs!$K$5:$AJ$140,0,MATCH(AH$2,Inputs!$K$4:$AJ$4,0))))=0,NA(),SUMPRODUCT((Inputs!$A$5:$A$140=$B8)*Inputs!$B$5:$B$140*(((Inputs!$G$5:$G$140="moeda")+(Inputs!$G$5:$G$140="acoes"))*Inputs!$B$1+((Inputs!$G$5:$G$140&lt;&gt;"moeda")*(Inputs!$G$5:$G$140&lt;&gt;"acoes")))*INDEX(Inputs!$K$5:$AJ$140,0,MATCH(AH$2,Inputs!$K$4:$AJ$4,0)))+SUMPRODUCT((Inputs!$C$5:$C$140=$B8)*Inputs!$D$5:$D$140*(((Inputs!$G$5:$G$140="moeda")+(Inputs!$G$5:$G$140="acoes"))*Inputs!$B$1+((Inputs!$G$5:$G$140&lt;&gt;"moeda")*(Inputs!$G$5:$G$140&lt;&gt;"acoes")))*INDEX(Inputs!$K$5:$AJ$140,0,MATCH(AH$2,Inputs!$K$4:$AJ$4,0)))+SUMPRODUCT((Inputs!$E$5:$E$140=$B8)*Inputs!$F$5:$F$140*(((Inputs!$G$5:$G$140="moeda")+(Inputs!$G$5:$G$140="acoes"))*Inputs!$B$1+((Inputs!$G$5:$G$140&lt;&gt;"moeda")*(Inputs!$G$5:$G$140&lt;&gt;"acoes")))*INDEX(Inputs!$K$5:$AJ$140,0,MATCH(AH$2,Inputs!$K$4:$AJ$4,0)))))</f>
        <v>-54.16216727</v>
      </c>
      <c r="AI8" s="6">
        <f>IF(ISNA(MATCH(AI$2,Inputs!$K$4:$AJ$4,0)),NA(),IF(SUMPRODUCT((Inputs!$A$5:$A$140=$B8)*ISNUMBER(INDEX(Inputs!$K$5:$AJ$140,0,MATCH(AI$2,Inputs!$K$4:$AJ$4,0))))+SUMPRODUCT((Inputs!$C$5:$C$140=$B8)*ISNUMBER(INDEX(Inputs!$K$5:$AJ$140,0,MATCH(AI$2,Inputs!$K$4:$AJ$4,0))))+SUMPRODUCT((Inputs!$E$5:$E$140=$B8)*ISNUMBER(INDEX(Inputs!$K$5:$AJ$140,0,MATCH(AI$2,Inputs!$K$4:$AJ$4,0))))=0,NA(),SUMPRODUCT((Inputs!$A$5:$A$140=$B8)*Inputs!$B$5:$B$140*(((Inputs!$G$5:$G$140="moeda")+(Inputs!$G$5:$G$140="acoes"))*Inputs!$B$1+((Inputs!$G$5:$G$140&lt;&gt;"moeda")*(Inputs!$G$5:$G$140&lt;&gt;"acoes")))*INDEX(Inputs!$K$5:$AJ$140,0,MATCH(AI$2,Inputs!$K$4:$AJ$4,0)))+SUMPRODUCT((Inputs!$C$5:$C$140=$B8)*Inputs!$D$5:$D$140*(((Inputs!$G$5:$G$140="moeda")+(Inputs!$G$5:$G$140="acoes"))*Inputs!$B$1+((Inputs!$G$5:$G$140&lt;&gt;"moeda")*(Inputs!$G$5:$G$140&lt;&gt;"acoes")))*INDEX(Inputs!$K$5:$AJ$140,0,MATCH(AI$2,Inputs!$K$4:$AJ$4,0)))+SUMPRODUCT((Inputs!$E$5:$E$140=$B8)*Inputs!$F$5:$F$140*(((Inputs!$G$5:$G$140="moeda")+(Inputs!$G$5:$G$140="acoes"))*Inputs!$B$1+((Inputs!$G$5:$G$140&lt;&gt;"moeda")*(Inputs!$G$5:$G$140&lt;&gt;"acoes")))*INDEX(Inputs!$K$5:$AJ$140,0,MATCH(AI$2,Inputs!$K$4:$AJ$4,0)))))</f>
        <v>-63.04883273</v>
      </c>
      <c r="AJ8" s="6">
        <f>IF(ISNA(MATCH(AJ$2,Inputs!$K$4:$AJ$4,0)),NA(),IF(SUMPRODUCT((Inputs!$A$5:$A$140=$B8)*ISNUMBER(INDEX(Inputs!$K$5:$AJ$140,0,MATCH(AJ$2,Inputs!$K$4:$AJ$4,0))))+SUMPRODUCT((Inputs!$C$5:$C$140=$B8)*ISNUMBER(INDEX(Inputs!$K$5:$AJ$140,0,MATCH(AJ$2,Inputs!$K$4:$AJ$4,0))))+SUMPRODUCT((Inputs!$E$5:$E$140=$B8)*ISNUMBER(INDEX(Inputs!$K$5:$AJ$140,0,MATCH(AJ$2,Inputs!$K$4:$AJ$4,0))))=0,NA(),SUMPRODUCT((Inputs!$A$5:$A$140=$B8)*Inputs!$B$5:$B$140*(((Inputs!$G$5:$G$140="moeda")+(Inputs!$G$5:$G$140="acoes"))*Inputs!$B$1+((Inputs!$G$5:$G$140&lt;&gt;"moeda")*(Inputs!$G$5:$G$140&lt;&gt;"acoes")))*INDEX(Inputs!$K$5:$AJ$140,0,MATCH(AJ$2,Inputs!$K$4:$AJ$4,0)))+SUMPRODUCT((Inputs!$C$5:$C$140=$B8)*Inputs!$D$5:$D$140*(((Inputs!$G$5:$G$140="moeda")+(Inputs!$G$5:$G$140="acoes"))*Inputs!$B$1+((Inputs!$G$5:$G$140&lt;&gt;"moeda")*(Inputs!$G$5:$G$140&lt;&gt;"acoes")))*INDEX(Inputs!$K$5:$AJ$140,0,MATCH(AJ$2,Inputs!$K$4:$AJ$4,0)))+SUMPRODUCT((Inputs!$E$5:$E$140=$B8)*Inputs!$F$5:$F$140*(((Inputs!$G$5:$G$140="moeda")+(Inputs!$G$5:$G$140="acoes"))*Inputs!$B$1+((Inputs!$G$5:$G$140&lt;&gt;"moeda")*(Inputs!$G$5:$G$140&lt;&gt;"acoes")))*INDEX(Inputs!$K$5:$AJ$140,0,MATCH(AJ$2,Inputs!$K$4:$AJ$4,0)))))</f>
        <v>-57.591</v>
      </c>
      <c r="AK8" s="6">
        <f>IF(ISNA(MATCH(AK$2,Inputs!$K$4:$AJ$4,0)),NA(),IF(SUMPRODUCT((Inputs!$A$5:$A$140=$B8)*ISNUMBER(INDEX(Inputs!$K$5:$AJ$140,0,MATCH(AK$2,Inputs!$K$4:$AJ$4,0))))+SUMPRODUCT((Inputs!$C$5:$C$140=$B8)*ISNUMBER(INDEX(Inputs!$K$5:$AJ$140,0,MATCH(AK$2,Inputs!$K$4:$AJ$4,0))))+SUMPRODUCT((Inputs!$E$5:$E$140=$B8)*ISNUMBER(INDEX(Inputs!$K$5:$AJ$140,0,MATCH(AK$2,Inputs!$K$4:$AJ$4,0))))=0,NA(),SUMPRODUCT((Inputs!$A$5:$A$140=$B8)*Inputs!$B$5:$B$140*(((Inputs!$G$5:$G$140="moeda")+(Inputs!$G$5:$G$140="acoes"))*Inputs!$B$1+((Inputs!$G$5:$G$140&lt;&gt;"moeda")*(Inputs!$G$5:$G$140&lt;&gt;"acoes")))*INDEX(Inputs!$K$5:$AJ$140,0,MATCH(AK$2,Inputs!$K$4:$AJ$4,0)))+SUMPRODUCT((Inputs!$C$5:$C$140=$B8)*Inputs!$D$5:$D$140*(((Inputs!$G$5:$G$140="moeda")+(Inputs!$G$5:$G$140="acoes"))*Inputs!$B$1+((Inputs!$G$5:$G$140&lt;&gt;"moeda")*(Inputs!$G$5:$G$140&lt;&gt;"acoes")))*INDEX(Inputs!$K$5:$AJ$140,0,MATCH(AK$2,Inputs!$K$4:$AJ$4,0)))+SUMPRODUCT((Inputs!$E$5:$E$140=$B8)*Inputs!$F$5:$F$140*(((Inputs!$G$5:$G$140="moeda")+(Inputs!$G$5:$G$140="acoes"))*Inputs!$B$1+((Inputs!$G$5:$G$140&lt;&gt;"moeda")*(Inputs!$G$5:$G$140&lt;&gt;"acoes")))*INDEX(Inputs!$K$5:$AJ$140,0,MATCH(AK$2,Inputs!$K$4:$AJ$4,0)))))</f>
        <v>-53.821</v>
      </c>
      <c r="AL8" s="3">
        <f>SUM(AH8:AK8)</f>
        <v>-228.623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$140=$B9)*ISNUMBER(INDEX(Inputs!$K$5:$AJ$140,0,MATCH(D$2,Inputs!$K$4:$AJ$4,0))))+SUMPRODUCT((Inputs!$C$5:$C$140=$B9)*ISNUMBER(INDEX(Inputs!$K$5:$AJ$140,0,MATCH(D$2,Inputs!$K$4:$AJ$4,0))))+SUMPRODUCT((Inputs!$E$5:$E$140=$B9)*ISNUMBER(INDEX(Inputs!$K$5:$AJ$140,0,MATCH(D$2,Inputs!$K$4:$AJ$4,0))))=0,NA(),SUMPRODUCT((Inputs!$A$5:$A$140=$B9)*Inputs!$B$5:$B$140*(((Inputs!$G$5:$G$140="moeda")+(Inputs!$G$5:$G$140="acoes"))*Inputs!$B$1+((Inputs!$G$5:$G$140&lt;&gt;"moeda")*(Inputs!$G$5:$G$140&lt;&gt;"acoes")))*INDEX(Inputs!$K$5:$AJ$140,0,MATCH(D$2,Inputs!$K$4:$AJ$4,0)))+SUMPRODUCT((Inputs!$C$5:$C$140=$B9)*Inputs!$D$5:$D$140*(((Inputs!$G$5:$G$140="moeda")+(Inputs!$G$5:$G$140="acoes"))*Inputs!$B$1+((Inputs!$G$5:$G$140&lt;&gt;"moeda")*(Inputs!$G$5:$G$140&lt;&gt;"acoes")))*INDEX(Inputs!$K$5:$AJ$140,0,MATCH(D$2,Inputs!$K$4:$AJ$4,0)))+SUMPRODUCT((Inputs!$E$5:$E$140=$B9)*Inputs!$F$5:$F$140*(((Inputs!$G$5:$G$140="moeda")+(Inputs!$G$5:$G$140="acoes"))*Inputs!$B$1+((Inputs!$G$5:$G$140&lt;&gt;"moeda")*(Inputs!$G$5:$G$140&lt;&gt;"acoes")))*INDEX(Inputs!$K$5:$AJ$140,0,MATCH(D$2,Inputs!$K$4:$AJ$4,0)))))</f>
        <v>25.69076605</v>
      </c>
      <c r="E9" s="6">
        <f>IF(ISNA(MATCH(E$2,Inputs!$K$4:$AJ$4,0)),NA(),IF(SUMPRODUCT((Inputs!$A$5:$A$140=$B9)*ISNUMBER(INDEX(Inputs!$K$5:$AJ$140,0,MATCH(E$2,Inputs!$K$4:$AJ$4,0))))+SUMPRODUCT((Inputs!$C$5:$C$140=$B9)*ISNUMBER(INDEX(Inputs!$K$5:$AJ$140,0,MATCH(E$2,Inputs!$K$4:$AJ$4,0))))+SUMPRODUCT((Inputs!$E$5:$E$140=$B9)*ISNUMBER(INDEX(Inputs!$K$5:$AJ$140,0,MATCH(E$2,Inputs!$K$4:$AJ$4,0))))=0,NA(),SUMPRODUCT((Inputs!$A$5:$A$140=$B9)*Inputs!$B$5:$B$140*(((Inputs!$G$5:$G$140="moeda")+(Inputs!$G$5:$G$140="acoes"))*Inputs!$B$1+((Inputs!$G$5:$G$140&lt;&gt;"moeda")*(Inputs!$G$5:$G$140&lt;&gt;"acoes")))*INDEX(Inputs!$K$5:$AJ$140,0,MATCH(E$2,Inputs!$K$4:$AJ$4,0)))+SUMPRODUCT((Inputs!$C$5:$C$140=$B9)*Inputs!$D$5:$D$140*(((Inputs!$G$5:$G$140="moeda")+(Inputs!$G$5:$G$140="acoes"))*Inputs!$B$1+((Inputs!$G$5:$G$140&lt;&gt;"moeda")*(Inputs!$G$5:$G$140&lt;&gt;"acoes")))*INDEX(Inputs!$K$5:$AJ$140,0,MATCH(E$2,Inputs!$K$4:$AJ$4,0)))+SUMPRODUCT((Inputs!$E$5:$E$140=$B9)*Inputs!$F$5:$F$140*(((Inputs!$G$5:$G$140="moeda")+(Inputs!$G$5:$G$140="acoes"))*Inputs!$B$1+((Inputs!$G$5:$G$140&lt;&gt;"moeda")*(Inputs!$G$5:$G$140&lt;&gt;"acoes")))*INDEX(Inputs!$K$5:$AJ$140,0,MATCH(E$2,Inputs!$K$4:$AJ$4,0)))))</f>
        <v>31.7005537</v>
      </c>
      <c r="F9" s="6">
        <f>IF(ISNA(MATCH(F$2,Inputs!$K$4:$AJ$4,0)),NA(),IF(SUMPRODUCT((Inputs!$A$5:$A$140=$B9)*ISNUMBER(INDEX(Inputs!$K$5:$AJ$140,0,MATCH(F$2,Inputs!$K$4:$AJ$4,0))))+SUMPRODUCT((Inputs!$C$5:$C$140=$B9)*ISNUMBER(INDEX(Inputs!$K$5:$AJ$140,0,MATCH(F$2,Inputs!$K$4:$AJ$4,0))))+SUMPRODUCT((Inputs!$E$5:$E$140=$B9)*ISNUMBER(INDEX(Inputs!$K$5:$AJ$140,0,MATCH(F$2,Inputs!$K$4:$AJ$4,0))))=0,NA(),SUMPRODUCT((Inputs!$A$5:$A$140=$B9)*Inputs!$B$5:$B$140*(((Inputs!$G$5:$G$140="moeda")+(Inputs!$G$5:$G$140="acoes"))*Inputs!$B$1+((Inputs!$G$5:$G$140&lt;&gt;"moeda")*(Inputs!$G$5:$G$140&lt;&gt;"acoes")))*INDEX(Inputs!$K$5:$AJ$140,0,MATCH(F$2,Inputs!$K$4:$AJ$4,0)))+SUMPRODUCT((Inputs!$C$5:$C$140=$B9)*Inputs!$D$5:$D$140*(((Inputs!$G$5:$G$140="moeda")+(Inputs!$G$5:$G$140="acoes"))*Inputs!$B$1+((Inputs!$G$5:$G$140&lt;&gt;"moeda")*(Inputs!$G$5:$G$140&lt;&gt;"acoes")))*INDEX(Inputs!$K$5:$AJ$140,0,MATCH(F$2,Inputs!$K$4:$AJ$4,0)))+SUMPRODUCT((Inputs!$E$5:$E$140=$B9)*Inputs!$F$5:$F$140*(((Inputs!$G$5:$G$140="moeda")+(Inputs!$G$5:$G$140="acoes"))*Inputs!$B$1+((Inputs!$G$5:$G$140&lt;&gt;"moeda")*(Inputs!$G$5:$G$140&lt;&gt;"acoes")))*INDEX(Inputs!$K$5:$AJ$140,0,MATCH(F$2,Inputs!$K$4:$AJ$4,0)))))</f>
        <v>44.51</v>
      </c>
      <c r="G9" s="6">
        <f>IF(ISNA(MATCH(G$2,Inputs!$K$4:$AJ$4,0)),NA(),IF(SUMPRODUCT((Inputs!$A$5:$A$140=$B9)*ISNUMBER(INDEX(Inputs!$K$5:$AJ$140,0,MATCH(G$2,Inputs!$K$4:$AJ$4,0))))+SUMPRODUCT((Inputs!$C$5:$C$140=$B9)*ISNUMBER(INDEX(Inputs!$K$5:$AJ$140,0,MATCH(G$2,Inputs!$K$4:$AJ$4,0))))+SUMPRODUCT((Inputs!$E$5:$E$140=$B9)*ISNUMBER(INDEX(Inputs!$K$5:$AJ$140,0,MATCH(G$2,Inputs!$K$4:$AJ$4,0))))=0,NA(),SUMPRODUCT((Inputs!$A$5:$A$140=$B9)*Inputs!$B$5:$B$140*(((Inputs!$G$5:$G$140="moeda")+(Inputs!$G$5:$G$140="acoes"))*Inputs!$B$1+((Inputs!$G$5:$G$140&lt;&gt;"moeda")*(Inputs!$G$5:$G$140&lt;&gt;"acoes")))*INDEX(Inputs!$K$5:$AJ$140,0,MATCH(G$2,Inputs!$K$4:$AJ$4,0)))+SUMPRODUCT((Inputs!$C$5:$C$140=$B9)*Inputs!$D$5:$D$140*(((Inputs!$G$5:$G$140="moeda")+(Inputs!$G$5:$G$140="acoes"))*Inputs!$B$1+((Inputs!$G$5:$G$140&lt;&gt;"moeda")*(Inputs!$G$5:$G$140&lt;&gt;"acoes")))*INDEX(Inputs!$K$5:$AJ$140,0,MATCH(G$2,Inputs!$K$4:$AJ$4,0)))+SUMPRODUCT((Inputs!$E$5:$E$140=$B9)*Inputs!$F$5:$F$140*(((Inputs!$G$5:$G$140="moeda")+(Inputs!$G$5:$G$140="acoes"))*Inputs!$B$1+((Inputs!$G$5:$G$140&lt;&gt;"moeda")*(Inputs!$G$5:$G$140&lt;&gt;"acoes")))*INDEX(Inputs!$K$5:$AJ$140,0,MATCH(G$2,Inputs!$K$4:$AJ$4,0)))))</f>
        <v>39.361</v>
      </c>
      <c r="H9" s="3">
        <f>SUM(D9:G9)</f>
        <v>141.26231975</v>
      </c>
      <c r="I9" s="6">
        <f>IF(ISNA(MATCH(I$2,Inputs!$K$4:$AJ$4,0)),NA(),IF(SUMPRODUCT((Inputs!$A$5:$A$140=$B9)*ISNUMBER(INDEX(Inputs!$K$5:$AJ$140,0,MATCH(I$2,Inputs!$K$4:$AJ$4,0))))+SUMPRODUCT((Inputs!$C$5:$C$140=$B9)*ISNUMBER(INDEX(Inputs!$K$5:$AJ$140,0,MATCH(I$2,Inputs!$K$4:$AJ$4,0))))+SUMPRODUCT((Inputs!$E$5:$E$140=$B9)*ISNUMBER(INDEX(Inputs!$K$5:$AJ$140,0,MATCH(I$2,Inputs!$K$4:$AJ$4,0))))=0,NA(),SUMPRODUCT((Inputs!$A$5:$A$140=$B9)*Inputs!$B$5:$B$140*(((Inputs!$G$5:$G$140="moeda")+(Inputs!$G$5:$G$140="acoes"))*Inputs!$B$1+((Inputs!$G$5:$G$140&lt;&gt;"moeda")*(Inputs!$G$5:$G$140&lt;&gt;"acoes")))*INDEX(Inputs!$K$5:$AJ$140,0,MATCH(I$2,Inputs!$K$4:$AJ$4,0)))+SUMPRODUCT((Inputs!$C$5:$C$140=$B9)*Inputs!$D$5:$D$140*(((Inputs!$G$5:$G$140="moeda")+(Inputs!$G$5:$G$140="acoes"))*Inputs!$B$1+((Inputs!$G$5:$G$140&lt;&gt;"moeda")*(Inputs!$G$5:$G$140&lt;&gt;"acoes")))*INDEX(Inputs!$K$5:$AJ$140,0,MATCH(I$2,Inputs!$K$4:$AJ$4,0)))+SUMPRODUCT((Inputs!$E$5:$E$140=$B9)*Inputs!$F$5:$F$140*(((Inputs!$G$5:$G$140="moeda")+(Inputs!$G$5:$G$140="acoes"))*Inputs!$B$1+((Inputs!$G$5:$G$140&lt;&gt;"moeda")*(Inputs!$G$5:$G$140&lt;&gt;"acoes")))*INDEX(Inputs!$K$5:$AJ$140,0,MATCH(I$2,Inputs!$K$4:$AJ$4,0)))))</f>
        <v>44.14633455</v>
      </c>
      <c r="J9" s="6">
        <f>IF(ISNA(MATCH(J$2,Inputs!$K$4:$AJ$4,0)),NA(),IF(SUMPRODUCT((Inputs!$A$5:$A$140=$B9)*ISNUMBER(INDEX(Inputs!$K$5:$AJ$140,0,MATCH(J$2,Inputs!$K$4:$AJ$4,0))))+SUMPRODUCT((Inputs!$C$5:$C$140=$B9)*ISNUMBER(INDEX(Inputs!$K$5:$AJ$140,0,MATCH(J$2,Inputs!$K$4:$AJ$4,0))))+SUMPRODUCT((Inputs!$E$5:$E$140=$B9)*ISNUMBER(INDEX(Inputs!$K$5:$AJ$140,0,MATCH(J$2,Inputs!$K$4:$AJ$4,0))))=0,NA(),SUMPRODUCT((Inputs!$A$5:$A$140=$B9)*Inputs!$B$5:$B$140*(((Inputs!$G$5:$G$140="moeda")+(Inputs!$G$5:$G$140="acoes"))*Inputs!$B$1+((Inputs!$G$5:$G$140&lt;&gt;"moeda")*(Inputs!$G$5:$G$140&lt;&gt;"acoes")))*INDEX(Inputs!$K$5:$AJ$140,0,MATCH(J$2,Inputs!$K$4:$AJ$4,0)))+SUMPRODUCT((Inputs!$C$5:$C$140=$B9)*Inputs!$D$5:$D$140*(((Inputs!$G$5:$G$140="moeda")+(Inputs!$G$5:$G$140="acoes"))*Inputs!$B$1+((Inputs!$G$5:$G$140&lt;&gt;"moeda")*(Inputs!$G$5:$G$140&lt;&gt;"acoes")))*INDEX(Inputs!$K$5:$AJ$140,0,MATCH(J$2,Inputs!$K$4:$AJ$4,0)))+SUMPRODUCT((Inputs!$E$5:$E$140=$B9)*Inputs!$F$5:$F$140*(((Inputs!$G$5:$G$140="moeda")+(Inputs!$G$5:$G$140="acoes"))*Inputs!$B$1+((Inputs!$G$5:$G$140&lt;&gt;"moeda")*(Inputs!$G$5:$G$140&lt;&gt;"acoes")))*INDEX(Inputs!$K$5:$AJ$140,0,MATCH(J$2,Inputs!$K$4:$AJ$4,0)))))</f>
        <v>36.20066545</v>
      </c>
      <c r="K9" s="6">
        <f>IF(ISNA(MATCH(K$2,Inputs!$K$4:$AJ$4,0)),NA(),IF(SUMPRODUCT((Inputs!$A$5:$A$140=$B9)*ISNUMBER(INDEX(Inputs!$K$5:$AJ$140,0,MATCH(K$2,Inputs!$K$4:$AJ$4,0))))+SUMPRODUCT((Inputs!$C$5:$C$140=$B9)*ISNUMBER(INDEX(Inputs!$K$5:$AJ$140,0,MATCH(K$2,Inputs!$K$4:$AJ$4,0))))+SUMPRODUCT((Inputs!$E$5:$E$140=$B9)*ISNUMBER(INDEX(Inputs!$K$5:$AJ$140,0,MATCH(K$2,Inputs!$K$4:$AJ$4,0))))=0,NA(),SUMPRODUCT((Inputs!$A$5:$A$140=$B9)*Inputs!$B$5:$B$140*(((Inputs!$G$5:$G$140="moeda")+(Inputs!$G$5:$G$140="acoes"))*Inputs!$B$1+((Inputs!$G$5:$G$140&lt;&gt;"moeda")*(Inputs!$G$5:$G$140&lt;&gt;"acoes")))*INDEX(Inputs!$K$5:$AJ$140,0,MATCH(K$2,Inputs!$K$4:$AJ$4,0)))+SUMPRODUCT((Inputs!$C$5:$C$140=$B9)*Inputs!$D$5:$D$140*(((Inputs!$G$5:$G$140="moeda")+(Inputs!$G$5:$G$140="acoes"))*Inputs!$B$1+((Inputs!$G$5:$G$140&lt;&gt;"moeda")*(Inputs!$G$5:$G$140&lt;&gt;"acoes")))*INDEX(Inputs!$K$5:$AJ$140,0,MATCH(K$2,Inputs!$K$4:$AJ$4,0)))+SUMPRODUCT((Inputs!$E$5:$E$140=$B9)*Inputs!$F$5:$F$140*(((Inputs!$G$5:$G$140="moeda")+(Inputs!$G$5:$G$140="acoes"))*Inputs!$B$1+((Inputs!$G$5:$G$140&lt;&gt;"moeda")*(Inputs!$G$5:$G$140&lt;&gt;"acoes")))*INDEX(Inputs!$K$5:$AJ$140,0,MATCH(K$2,Inputs!$K$4:$AJ$4,0)))))</f>
        <v>47.128</v>
      </c>
      <c r="L9" s="6">
        <f>IF(ISNA(MATCH(L$2,Inputs!$K$4:$AJ$4,0)),NA(),IF(SUMPRODUCT((Inputs!$A$5:$A$140=$B9)*ISNUMBER(INDEX(Inputs!$K$5:$AJ$140,0,MATCH(L$2,Inputs!$K$4:$AJ$4,0))))+SUMPRODUCT((Inputs!$C$5:$C$140=$B9)*ISNUMBER(INDEX(Inputs!$K$5:$AJ$140,0,MATCH(L$2,Inputs!$K$4:$AJ$4,0))))+SUMPRODUCT((Inputs!$E$5:$E$140=$B9)*ISNUMBER(INDEX(Inputs!$K$5:$AJ$140,0,MATCH(L$2,Inputs!$K$4:$AJ$4,0))))=0,NA(),SUMPRODUCT((Inputs!$A$5:$A$140=$B9)*Inputs!$B$5:$B$140*(((Inputs!$G$5:$G$140="moeda")+(Inputs!$G$5:$G$140="acoes"))*Inputs!$B$1+((Inputs!$G$5:$G$140&lt;&gt;"moeda")*(Inputs!$G$5:$G$140&lt;&gt;"acoes")))*INDEX(Inputs!$K$5:$AJ$140,0,MATCH(L$2,Inputs!$K$4:$AJ$4,0)))+SUMPRODUCT((Inputs!$C$5:$C$140=$B9)*Inputs!$D$5:$D$140*(((Inputs!$G$5:$G$140="moeda")+(Inputs!$G$5:$G$140="acoes"))*Inputs!$B$1+((Inputs!$G$5:$G$140&lt;&gt;"moeda")*(Inputs!$G$5:$G$140&lt;&gt;"acoes")))*INDEX(Inputs!$K$5:$AJ$140,0,MATCH(L$2,Inputs!$K$4:$AJ$4,0)))+SUMPRODUCT((Inputs!$E$5:$E$140=$B9)*Inputs!$F$5:$F$140*(((Inputs!$G$5:$G$140="moeda")+(Inputs!$G$5:$G$140="acoes"))*Inputs!$B$1+((Inputs!$G$5:$G$140&lt;&gt;"moeda")*(Inputs!$G$5:$G$140&lt;&gt;"acoes")))*INDEX(Inputs!$K$5:$AJ$140,0,MATCH(L$2,Inputs!$K$4:$AJ$4,0)))))</f>
        <v>56.191</v>
      </c>
      <c r="M9" s="3">
        <f>SUM(I9:L9)</f>
        <v>183.666</v>
      </c>
      <c r="N9" s="6">
        <f>IF(ISNA(MATCH(N$2,Inputs!$K$4:$AJ$4,0)),NA(),IF(SUMPRODUCT((Inputs!$A$5:$A$140=$B9)*ISNUMBER(INDEX(Inputs!$K$5:$AJ$140,0,MATCH(N$2,Inputs!$K$4:$AJ$4,0))))+SUMPRODUCT((Inputs!$C$5:$C$140=$B9)*ISNUMBER(INDEX(Inputs!$K$5:$AJ$140,0,MATCH(N$2,Inputs!$K$4:$AJ$4,0))))+SUMPRODUCT((Inputs!$E$5:$E$140=$B9)*ISNUMBER(INDEX(Inputs!$K$5:$AJ$140,0,MATCH(N$2,Inputs!$K$4:$AJ$4,0))))=0,NA(),SUMPRODUCT((Inputs!$A$5:$A$140=$B9)*Inputs!$B$5:$B$140*(((Inputs!$G$5:$G$140="moeda")+(Inputs!$G$5:$G$140="acoes"))*Inputs!$B$1+((Inputs!$G$5:$G$140&lt;&gt;"moeda")*(Inputs!$G$5:$G$140&lt;&gt;"acoes")))*INDEX(Inputs!$K$5:$AJ$140,0,MATCH(N$2,Inputs!$K$4:$AJ$4,0)))+SUMPRODUCT((Inputs!$C$5:$C$140=$B9)*Inputs!$D$5:$D$140*(((Inputs!$G$5:$G$140="moeda")+(Inputs!$G$5:$G$140="acoes"))*Inputs!$B$1+((Inputs!$G$5:$G$140&lt;&gt;"moeda")*(Inputs!$G$5:$G$140&lt;&gt;"acoes")))*INDEX(Inputs!$K$5:$AJ$140,0,MATCH(N$2,Inputs!$K$4:$AJ$4,0)))+SUMPRODUCT((Inputs!$E$5:$E$140=$B9)*Inputs!$F$5:$F$140*(((Inputs!$G$5:$G$140="moeda")+(Inputs!$G$5:$G$140="acoes"))*Inputs!$B$1+((Inputs!$G$5:$G$140&lt;&gt;"moeda")*(Inputs!$G$5:$G$140&lt;&gt;"acoes")))*INDEX(Inputs!$K$5:$AJ$140,0,MATCH(N$2,Inputs!$K$4:$AJ$4,0)))))</f>
        <v>63.202</v>
      </c>
      <c r="O9" s="6">
        <f>IF(ISNA(MATCH(O$2,Inputs!$K$4:$AJ$4,0)),NA(),IF(SUMPRODUCT((Inputs!$A$5:$A$140=$B9)*ISNUMBER(INDEX(Inputs!$K$5:$AJ$140,0,MATCH(O$2,Inputs!$K$4:$AJ$4,0))))+SUMPRODUCT((Inputs!$C$5:$C$140=$B9)*ISNUMBER(INDEX(Inputs!$K$5:$AJ$140,0,MATCH(O$2,Inputs!$K$4:$AJ$4,0))))+SUMPRODUCT((Inputs!$E$5:$E$140=$B9)*ISNUMBER(INDEX(Inputs!$K$5:$AJ$140,0,MATCH(O$2,Inputs!$K$4:$AJ$4,0))))=0,NA(),SUMPRODUCT((Inputs!$A$5:$A$140=$B9)*Inputs!$B$5:$B$140*(((Inputs!$G$5:$G$140="moeda")+(Inputs!$G$5:$G$140="acoes"))*Inputs!$B$1+((Inputs!$G$5:$G$140&lt;&gt;"moeda")*(Inputs!$G$5:$G$140&lt;&gt;"acoes")))*INDEX(Inputs!$K$5:$AJ$140,0,MATCH(O$2,Inputs!$K$4:$AJ$4,0)))+SUMPRODUCT((Inputs!$C$5:$C$140=$B9)*Inputs!$D$5:$D$140*(((Inputs!$G$5:$G$140="moeda")+(Inputs!$G$5:$G$140="acoes"))*Inputs!$B$1+((Inputs!$G$5:$G$140&lt;&gt;"moeda")*(Inputs!$G$5:$G$140&lt;&gt;"acoes")))*INDEX(Inputs!$K$5:$AJ$140,0,MATCH(O$2,Inputs!$K$4:$AJ$4,0)))+SUMPRODUCT((Inputs!$E$5:$E$140=$B9)*Inputs!$F$5:$F$140*(((Inputs!$G$5:$G$140="moeda")+(Inputs!$G$5:$G$140="acoes"))*Inputs!$B$1+((Inputs!$G$5:$G$140&lt;&gt;"moeda")*(Inputs!$G$5:$G$140&lt;&gt;"acoes")))*INDEX(Inputs!$K$5:$AJ$140,0,MATCH(O$2,Inputs!$K$4:$AJ$4,0)))))</f>
        <v>62.773</v>
      </c>
      <c r="P9" s="6">
        <f>IF(ISNA(MATCH(P$2,Inputs!$K$4:$AJ$4,0)),NA(),IF(SUMPRODUCT((Inputs!$A$5:$A$140=$B9)*ISNUMBER(INDEX(Inputs!$K$5:$AJ$140,0,MATCH(P$2,Inputs!$K$4:$AJ$4,0))))+SUMPRODUCT((Inputs!$C$5:$C$140=$B9)*ISNUMBER(INDEX(Inputs!$K$5:$AJ$140,0,MATCH(P$2,Inputs!$K$4:$AJ$4,0))))+SUMPRODUCT((Inputs!$E$5:$E$140=$B9)*ISNUMBER(INDEX(Inputs!$K$5:$AJ$140,0,MATCH(P$2,Inputs!$K$4:$AJ$4,0))))=0,NA(),SUMPRODUCT((Inputs!$A$5:$A$140=$B9)*Inputs!$B$5:$B$140*(((Inputs!$G$5:$G$140="moeda")+(Inputs!$G$5:$G$140="acoes"))*Inputs!$B$1+((Inputs!$G$5:$G$140&lt;&gt;"moeda")*(Inputs!$G$5:$G$140&lt;&gt;"acoes")))*INDEX(Inputs!$K$5:$AJ$140,0,MATCH(P$2,Inputs!$K$4:$AJ$4,0)))+SUMPRODUCT((Inputs!$C$5:$C$140=$B9)*Inputs!$D$5:$D$140*(((Inputs!$G$5:$G$140="moeda")+(Inputs!$G$5:$G$140="acoes"))*Inputs!$B$1+((Inputs!$G$5:$G$140&lt;&gt;"moeda")*(Inputs!$G$5:$G$140&lt;&gt;"acoes")))*INDEX(Inputs!$K$5:$AJ$140,0,MATCH(P$2,Inputs!$K$4:$AJ$4,0)))+SUMPRODUCT((Inputs!$E$5:$E$140=$B9)*Inputs!$F$5:$F$140*(((Inputs!$G$5:$G$140="moeda")+(Inputs!$G$5:$G$140="acoes"))*Inputs!$B$1+((Inputs!$G$5:$G$140&lt;&gt;"moeda")*(Inputs!$G$5:$G$140&lt;&gt;"acoes")))*INDEX(Inputs!$K$5:$AJ$140,0,MATCH(P$2,Inputs!$K$4:$AJ$4,0)))))</f>
        <v>63.855</v>
      </c>
      <c r="Q9" s="6">
        <f>IF(ISNA(MATCH(Q$2,Inputs!$K$4:$AJ$4,0)),NA(),IF(SUMPRODUCT((Inputs!$A$5:$A$140=$B9)*ISNUMBER(INDEX(Inputs!$K$5:$AJ$140,0,MATCH(Q$2,Inputs!$K$4:$AJ$4,0))))+SUMPRODUCT((Inputs!$C$5:$C$140=$B9)*ISNUMBER(INDEX(Inputs!$K$5:$AJ$140,0,MATCH(Q$2,Inputs!$K$4:$AJ$4,0))))+SUMPRODUCT((Inputs!$E$5:$E$140=$B9)*ISNUMBER(INDEX(Inputs!$K$5:$AJ$140,0,MATCH(Q$2,Inputs!$K$4:$AJ$4,0))))=0,NA(),SUMPRODUCT((Inputs!$A$5:$A$140=$B9)*Inputs!$B$5:$B$140*(((Inputs!$G$5:$G$140="moeda")+(Inputs!$G$5:$G$140="acoes"))*Inputs!$B$1+((Inputs!$G$5:$G$140&lt;&gt;"moeda")*(Inputs!$G$5:$G$140&lt;&gt;"acoes")))*INDEX(Inputs!$K$5:$AJ$140,0,MATCH(Q$2,Inputs!$K$4:$AJ$4,0)))+SUMPRODUCT((Inputs!$C$5:$C$140=$B9)*Inputs!$D$5:$D$140*(((Inputs!$G$5:$G$140="moeda")+(Inputs!$G$5:$G$140="acoes"))*Inputs!$B$1+((Inputs!$G$5:$G$140&lt;&gt;"moeda")*(Inputs!$G$5:$G$140&lt;&gt;"acoes")))*INDEX(Inputs!$K$5:$AJ$140,0,MATCH(Q$2,Inputs!$K$4:$AJ$4,0)))+SUMPRODUCT((Inputs!$E$5:$E$140=$B9)*Inputs!$F$5:$F$140*(((Inputs!$G$5:$G$140="moeda")+(Inputs!$G$5:$G$140="acoes"))*Inputs!$B$1+((Inputs!$G$5:$G$140&lt;&gt;"moeda")*(Inputs!$G$5:$G$140&lt;&gt;"acoes")))*INDEX(Inputs!$K$5:$AJ$140,0,MATCH(Q$2,Inputs!$K$4:$AJ$4,0)))))</f>
        <v>52.167</v>
      </c>
      <c r="R9" s="3">
        <f>SUM(N9:Q9)</f>
        <v>241.997</v>
      </c>
      <c r="S9" s="6">
        <f>IF(ISNA(MATCH(S$2,Inputs!$K$4:$AJ$4,0)),NA(),IF(SUMPRODUCT((Inputs!$A$5:$A$140=$B9)*ISNUMBER(INDEX(Inputs!$K$5:$AJ$140,0,MATCH(S$2,Inputs!$K$4:$AJ$4,0))))+SUMPRODUCT((Inputs!$C$5:$C$140=$B9)*ISNUMBER(INDEX(Inputs!$K$5:$AJ$140,0,MATCH(S$2,Inputs!$K$4:$AJ$4,0))))+SUMPRODUCT((Inputs!$E$5:$E$140=$B9)*ISNUMBER(INDEX(Inputs!$K$5:$AJ$140,0,MATCH(S$2,Inputs!$K$4:$AJ$4,0))))=0,NA(),SUMPRODUCT((Inputs!$A$5:$A$140=$B9)*Inputs!$B$5:$B$140*(((Inputs!$G$5:$G$140="moeda")+(Inputs!$G$5:$G$140="acoes"))*Inputs!$B$1+((Inputs!$G$5:$G$140&lt;&gt;"moeda")*(Inputs!$G$5:$G$140&lt;&gt;"acoes")))*INDEX(Inputs!$K$5:$AJ$140,0,MATCH(S$2,Inputs!$K$4:$AJ$4,0)))+SUMPRODUCT((Inputs!$C$5:$C$140=$B9)*Inputs!$D$5:$D$140*(((Inputs!$G$5:$G$140="moeda")+(Inputs!$G$5:$G$140="acoes"))*Inputs!$B$1+((Inputs!$G$5:$G$140&lt;&gt;"moeda")*(Inputs!$G$5:$G$140&lt;&gt;"acoes")))*INDEX(Inputs!$K$5:$AJ$140,0,MATCH(S$2,Inputs!$K$4:$AJ$4,0)))+SUMPRODUCT((Inputs!$E$5:$E$140=$B9)*Inputs!$F$5:$F$140*(((Inputs!$G$5:$G$140="moeda")+(Inputs!$G$5:$G$140="acoes"))*Inputs!$B$1+((Inputs!$G$5:$G$140&lt;&gt;"moeda")*(Inputs!$G$5:$G$140&lt;&gt;"acoes")))*INDEX(Inputs!$K$5:$AJ$140,0,MATCH(S$2,Inputs!$K$4:$AJ$4,0)))))</f>
        <v>54.59566009</v>
      </c>
      <c r="T9" s="6">
        <f>IF(ISNA(MATCH(T$2,Inputs!$K$4:$AJ$4,0)),NA(),IF(SUMPRODUCT((Inputs!$A$5:$A$140=$B9)*ISNUMBER(INDEX(Inputs!$K$5:$AJ$140,0,MATCH(T$2,Inputs!$K$4:$AJ$4,0))))+SUMPRODUCT((Inputs!$C$5:$C$140=$B9)*ISNUMBER(INDEX(Inputs!$K$5:$AJ$140,0,MATCH(T$2,Inputs!$K$4:$AJ$4,0))))+SUMPRODUCT((Inputs!$E$5:$E$140=$B9)*ISNUMBER(INDEX(Inputs!$K$5:$AJ$140,0,MATCH(T$2,Inputs!$K$4:$AJ$4,0))))=0,NA(),SUMPRODUCT((Inputs!$A$5:$A$140=$B9)*Inputs!$B$5:$B$140*(((Inputs!$G$5:$G$140="moeda")+(Inputs!$G$5:$G$140="acoes"))*Inputs!$B$1+((Inputs!$G$5:$G$140&lt;&gt;"moeda")*(Inputs!$G$5:$G$140&lt;&gt;"acoes")))*INDEX(Inputs!$K$5:$AJ$140,0,MATCH(T$2,Inputs!$K$4:$AJ$4,0)))+SUMPRODUCT((Inputs!$C$5:$C$140=$B9)*Inputs!$D$5:$D$140*(((Inputs!$G$5:$G$140="moeda")+(Inputs!$G$5:$G$140="acoes"))*Inputs!$B$1+((Inputs!$G$5:$G$140&lt;&gt;"moeda")*(Inputs!$G$5:$G$140&lt;&gt;"acoes")))*INDEX(Inputs!$K$5:$AJ$140,0,MATCH(T$2,Inputs!$K$4:$AJ$4,0)))+SUMPRODUCT((Inputs!$E$5:$E$140=$B9)*Inputs!$F$5:$F$140*(((Inputs!$G$5:$G$140="moeda")+(Inputs!$G$5:$G$140="acoes"))*Inputs!$B$1+((Inputs!$G$5:$G$140&lt;&gt;"moeda")*(Inputs!$G$5:$G$140&lt;&gt;"acoes")))*INDEX(Inputs!$K$5:$AJ$140,0,MATCH(T$2,Inputs!$K$4:$AJ$4,0)))))</f>
        <v>71.54033991</v>
      </c>
      <c r="U9" s="6">
        <f>IF(ISNA(MATCH(U$2,Inputs!$K$4:$AJ$4,0)),NA(),IF(SUMPRODUCT((Inputs!$A$5:$A$140=$B9)*ISNUMBER(INDEX(Inputs!$K$5:$AJ$140,0,MATCH(U$2,Inputs!$K$4:$AJ$4,0))))+SUMPRODUCT((Inputs!$C$5:$C$140=$B9)*ISNUMBER(INDEX(Inputs!$K$5:$AJ$140,0,MATCH(U$2,Inputs!$K$4:$AJ$4,0))))+SUMPRODUCT((Inputs!$E$5:$E$140=$B9)*ISNUMBER(INDEX(Inputs!$K$5:$AJ$140,0,MATCH(U$2,Inputs!$K$4:$AJ$4,0))))=0,NA(),SUMPRODUCT((Inputs!$A$5:$A$140=$B9)*Inputs!$B$5:$B$140*(((Inputs!$G$5:$G$140="moeda")+(Inputs!$G$5:$G$140="acoes"))*Inputs!$B$1+((Inputs!$G$5:$G$140&lt;&gt;"moeda")*(Inputs!$G$5:$G$140&lt;&gt;"acoes")))*INDEX(Inputs!$K$5:$AJ$140,0,MATCH(U$2,Inputs!$K$4:$AJ$4,0)))+SUMPRODUCT((Inputs!$C$5:$C$140=$B9)*Inputs!$D$5:$D$140*(((Inputs!$G$5:$G$140="moeda")+(Inputs!$G$5:$G$140="acoes"))*Inputs!$B$1+((Inputs!$G$5:$G$140&lt;&gt;"moeda")*(Inputs!$G$5:$G$140&lt;&gt;"acoes")))*INDEX(Inputs!$K$5:$AJ$140,0,MATCH(U$2,Inputs!$K$4:$AJ$4,0)))+SUMPRODUCT((Inputs!$E$5:$E$140=$B9)*Inputs!$F$5:$F$140*(((Inputs!$G$5:$G$140="moeda")+(Inputs!$G$5:$G$140="acoes"))*Inputs!$B$1+((Inputs!$G$5:$G$140&lt;&gt;"moeda")*(Inputs!$G$5:$G$140&lt;&gt;"acoes")))*INDEX(Inputs!$K$5:$AJ$140,0,MATCH(U$2,Inputs!$K$4:$AJ$4,0)))))</f>
        <v>58.966</v>
      </c>
      <c r="V9" s="6">
        <f>IF(ISNA(MATCH(V$2,Inputs!$K$4:$AJ$4,0)),NA(),IF(SUMPRODUCT((Inputs!$A$5:$A$140=$B9)*ISNUMBER(INDEX(Inputs!$K$5:$AJ$140,0,MATCH(V$2,Inputs!$K$4:$AJ$4,0))))+SUMPRODUCT((Inputs!$C$5:$C$140=$B9)*ISNUMBER(INDEX(Inputs!$K$5:$AJ$140,0,MATCH(V$2,Inputs!$K$4:$AJ$4,0))))+SUMPRODUCT((Inputs!$E$5:$E$140=$B9)*ISNUMBER(INDEX(Inputs!$K$5:$AJ$140,0,MATCH(V$2,Inputs!$K$4:$AJ$4,0))))=0,NA(),SUMPRODUCT((Inputs!$A$5:$A$140=$B9)*Inputs!$B$5:$B$140*(((Inputs!$G$5:$G$140="moeda")+(Inputs!$G$5:$G$140="acoes"))*Inputs!$B$1+((Inputs!$G$5:$G$140&lt;&gt;"moeda")*(Inputs!$G$5:$G$140&lt;&gt;"acoes")))*INDEX(Inputs!$K$5:$AJ$140,0,MATCH(V$2,Inputs!$K$4:$AJ$4,0)))+SUMPRODUCT((Inputs!$C$5:$C$140=$B9)*Inputs!$D$5:$D$140*(((Inputs!$G$5:$G$140="moeda")+(Inputs!$G$5:$G$140="acoes"))*Inputs!$B$1+((Inputs!$G$5:$G$140&lt;&gt;"moeda")*(Inputs!$G$5:$G$140&lt;&gt;"acoes")))*INDEX(Inputs!$K$5:$AJ$140,0,MATCH(V$2,Inputs!$K$4:$AJ$4,0)))+SUMPRODUCT((Inputs!$E$5:$E$140=$B9)*Inputs!$F$5:$F$140*(((Inputs!$G$5:$G$140="moeda")+(Inputs!$G$5:$G$140="acoes"))*Inputs!$B$1+((Inputs!$G$5:$G$140&lt;&gt;"moeda")*(Inputs!$G$5:$G$140&lt;&gt;"acoes")))*INDEX(Inputs!$K$5:$AJ$140,0,MATCH(V$2,Inputs!$K$4:$AJ$4,0)))))</f>
        <v>82.206</v>
      </c>
      <c r="W9" s="3">
        <f>SUM(S9:V9)</f>
        <v>267.308</v>
      </c>
      <c r="X9" s="6">
        <f>IF(ISNA(MATCH(X$2,Inputs!$K$4:$AJ$4,0)),NA(),IF(SUMPRODUCT((Inputs!$A$5:$A$140=$B9)*ISNUMBER(INDEX(Inputs!$K$5:$AJ$140,0,MATCH(X$2,Inputs!$K$4:$AJ$4,0))))+SUMPRODUCT((Inputs!$C$5:$C$140=$B9)*ISNUMBER(INDEX(Inputs!$K$5:$AJ$140,0,MATCH(X$2,Inputs!$K$4:$AJ$4,0))))+SUMPRODUCT((Inputs!$E$5:$E$140=$B9)*ISNUMBER(INDEX(Inputs!$K$5:$AJ$140,0,MATCH(X$2,Inputs!$K$4:$AJ$4,0))))=0,NA(),SUMPRODUCT((Inputs!$A$5:$A$140=$B9)*Inputs!$B$5:$B$140*(((Inputs!$G$5:$G$140="moeda")+(Inputs!$G$5:$G$140="acoes"))*Inputs!$B$1+((Inputs!$G$5:$G$140&lt;&gt;"moeda")*(Inputs!$G$5:$G$140&lt;&gt;"acoes")))*INDEX(Inputs!$K$5:$AJ$140,0,MATCH(X$2,Inputs!$K$4:$AJ$4,0)))+SUMPRODUCT((Inputs!$C$5:$C$140=$B9)*Inputs!$D$5:$D$140*(((Inputs!$G$5:$G$140="moeda")+(Inputs!$G$5:$G$140="acoes"))*Inputs!$B$1+((Inputs!$G$5:$G$140&lt;&gt;"moeda")*(Inputs!$G$5:$G$140&lt;&gt;"acoes")))*INDEX(Inputs!$K$5:$AJ$140,0,MATCH(X$2,Inputs!$K$4:$AJ$4,0)))+SUMPRODUCT((Inputs!$E$5:$E$140=$B9)*Inputs!$F$5:$F$140*(((Inputs!$G$5:$G$140="moeda")+(Inputs!$G$5:$G$140="acoes"))*Inputs!$B$1+((Inputs!$G$5:$G$140&lt;&gt;"moeda")*(Inputs!$G$5:$G$140&lt;&gt;"acoes")))*INDEX(Inputs!$K$5:$AJ$140,0,MATCH(X$2,Inputs!$K$4:$AJ$4,0)))))</f>
        <v>69.356</v>
      </c>
      <c r="Y9" s="6">
        <f>IF(ISNA(MATCH(Y$2,Inputs!$K$4:$AJ$4,0)),NA(),IF(SUMPRODUCT((Inputs!$A$5:$A$140=$B9)*ISNUMBER(INDEX(Inputs!$K$5:$AJ$140,0,MATCH(Y$2,Inputs!$K$4:$AJ$4,0))))+SUMPRODUCT((Inputs!$C$5:$C$140=$B9)*ISNUMBER(INDEX(Inputs!$K$5:$AJ$140,0,MATCH(Y$2,Inputs!$K$4:$AJ$4,0))))+SUMPRODUCT((Inputs!$E$5:$E$140=$B9)*ISNUMBER(INDEX(Inputs!$K$5:$AJ$140,0,MATCH(Y$2,Inputs!$K$4:$AJ$4,0))))=0,NA(),SUMPRODUCT((Inputs!$A$5:$A$140=$B9)*Inputs!$B$5:$B$140*(((Inputs!$G$5:$G$140="moeda")+(Inputs!$G$5:$G$140="acoes"))*Inputs!$B$1+((Inputs!$G$5:$G$140&lt;&gt;"moeda")*(Inputs!$G$5:$G$140&lt;&gt;"acoes")))*INDEX(Inputs!$K$5:$AJ$140,0,MATCH(Y$2,Inputs!$K$4:$AJ$4,0)))+SUMPRODUCT((Inputs!$C$5:$C$140=$B9)*Inputs!$D$5:$D$140*(((Inputs!$G$5:$G$140="moeda")+(Inputs!$G$5:$G$140="acoes"))*Inputs!$B$1+((Inputs!$G$5:$G$140&lt;&gt;"moeda")*(Inputs!$G$5:$G$140&lt;&gt;"acoes")))*INDEX(Inputs!$K$5:$AJ$140,0,MATCH(Y$2,Inputs!$K$4:$AJ$4,0)))+SUMPRODUCT((Inputs!$E$5:$E$140=$B9)*Inputs!$F$5:$F$140*(((Inputs!$G$5:$G$140="moeda")+(Inputs!$G$5:$G$140="acoes"))*Inputs!$B$1+((Inputs!$G$5:$G$140&lt;&gt;"moeda")*(Inputs!$G$5:$G$140&lt;&gt;"acoes")))*INDEX(Inputs!$K$5:$AJ$140,0,MATCH(Y$2,Inputs!$K$4:$AJ$4,0)))))</f>
        <v>58.754</v>
      </c>
      <c r="Z9" s="6">
        <f>IF(ISNA(MATCH(Z$2,Inputs!$K$4:$AJ$4,0)),NA(),IF(SUMPRODUCT((Inputs!$A$5:$A$140=$B9)*ISNUMBER(INDEX(Inputs!$K$5:$AJ$140,0,MATCH(Z$2,Inputs!$K$4:$AJ$4,0))))+SUMPRODUCT((Inputs!$C$5:$C$140=$B9)*ISNUMBER(INDEX(Inputs!$K$5:$AJ$140,0,MATCH(Z$2,Inputs!$K$4:$AJ$4,0))))+SUMPRODUCT((Inputs!$E$5:$E$140=$B9)*ISNUMBER(INDEX(Inputs!$K$5:$AJ$140,0,MATCH(Z$2,Inputs!$K$4:$AJ$4,0))))=0,NA(),SUMPRODUCT((Inputs!$A$5:$A$140=$B9)*Inputs!$B$5:$B$140*(((Inputs!$G$5:$G$140="moeda")+(Inputs!$G$5:$G$140="acoes"))*Inputs!$B$1+((Inputs!$G$5:$G$140&lt;&gt;"moeda")*(Inputs!$G$5:$G$140&lt;&gt;"acoes")))*INDEX(Inputs!$K$5:$AJ$140,0,MATCH(Z$2,Inputs!$K$4:$AJ$4,0)))+SUMPRODUCT((Inputs!$C$5:$C$140=$B9)*Inputs!$D$5:$D$140*(((Inputs!$G$5:$G$140="moeda")+(Inputs!$G$5:$G$140="acoes"))*Inputs!$B$1+((Inputs!$G$5:$G$140&lt;&gt;"moeda")*(Inputs!$G$5:$G$140&lt;&gt;"acoes")))*INDEX(Inputs!$K$5:$AJ$140,0,MATCH(Z$2,Inputs!$K$4:$AJ$4,0)))+SUMPRODUCT((Inputs!$E$5:$E$140=$B9)*Inputs!$F$5:$F$140*(((Inputs!$G$5:$G$140="moeda")+(Inputs!$G$5:$G$140="acoes"))*Inputs!$B$1+((Inputs!$G$5:$G$140&lt;&gt;"moeda")*(Inputs!$G$5:$G$140&lt;&gt;"acoes")))*INDEX(Inputs!$K$5:$AJ$140,0,MATCH(Z$2,Inputs!$K$4:$AJ$4,0)))))</f>
        <v>87.088</v>
      </c>
      <c r="AA9" s="6">
        <f>IF(ISNA(MATCH(AA$2,Inputs!$K$4:$AJ$4,0)),NA(),IF(SUMPRODUCT((Inputs!$A$5:$A$140=$B9)*ISNUMBER(INDEX(Inputs!$K$5:$AJ$140,0,MATCH(AA$2,Inputs!$K$4:$AJ$4,0))))+SUMPRODUCT((Inputs!$C$5:$C$140=$B9)*ISNUMBER(INDEX(Inputs!$K$5:$AJ$140,0,MATCH(AA$2,Inputs!$K$4:$AJ$4,0))))+SUMPRODUCT((Inputs!$E$5:$E$140=$B9)*ISNUMBER(INDEX(Inputs!$K$5:$AJ$140,0,MATCH(AA$2,Inputs!$K$4:$AJ$4,0))))=0,NA(),SUMPRODUCT((Inputs!$A$5:$A$140=$B9)*Inputs!$B$5:$B$140*(((Inputs!$G$5:$G$140="moeda")+(Inputs!$G$5:$G$140="acoes"))*Inputs!$B$1+((Inputs!$G$5:$G$140&lt;&gt;"moeda")*(Inputs!$G$5:$G$140&lt;&gt;"acoes")))*INDEX(Inputs!$K$5:$AJ$140,0,MATCH(AA$2,Inputs!$K$4:$AJ$4,0)))+SUMPRODUCT((Inputs!$C$5:$C$140=$B9)*Inputs!$D$5:$D$140*(((Inputs!$G$5:$G$140="moeda")+(Inputs!$G$5:$G$140="acoes"))*Inputs!$B$1+((Inputs!$G$5:$G$140&lt;&gt;"moeda")*(Inputs!$G$5:$G$140&lt;&gt;"acoes")))*INDEX(Inputs!$K$5:$AJ$140,0,MATCH(AA$2,Inputs!$K$4:$AJ$4,0)))+SUMPRODUCT((Inputs!$E$5:$E$140=$B9)*Inputs!$F$5:$F$140*(((Inputs!$G$5:$G$140="moeda")+(Inputs!$G$5:$G$140="acoes"))*Inputs!$B$1+((Inputs!$G$5:$G$140&lt;&gt;"moeda")*(Inputs!$G$5:$G$140&lt;&gt;"acoes")))*INDEX(Inputs!$K$5:$AJ$140,0,MATCH(AA$2,Inputs!$K$4:$AJ$4,0)))))</f>
        <v>96.761</v>
      </c>
      <c r="AB9" s="3">
        <f>SUM(X9:AA9)</f>
        <v>311.959</v>
      </c>
      <c r="AC9" s="6">
        <f>IF(ISNA(MATCH(AC$2,Inputs!$K$4:$AJ$4,0)),NA(),IF(SUMPRODUCT((Inputs!$A$5:$A$140=$B9)*ISNUMBER(INDEX(Inputs!$K$5:$AJ$140,0,MATCH(AC$2,Inputs!$K$4:$AJ$4,0))))+SUMPRODUCT((Inputs!$C$5:$C$140=$B9)*ISNUMBER(INDEX(Inputs!$K$5:$AJ$140,0,MATCH(AC$2,Inputs!$K$4:$AJ$4,0))))+SUMPRODUCT((Inputs!$E$5:$E$140=$B9)*ISNUMBER(INDEX(Inputs!$K$5:$AJ$140,0,MATCH(AC$2,Inputs!$K$4:$AJ$4,0))))=0,NA(),SUMPRODUCT((Inputs!$A$5:$A$140=$B9)*Inputs!$B$5:$B$140*(((Inputs!$G$5:$G$140="moeda")+(Inputs!$G$5:$G$140="acoes"))*Inputs!$B$1+((Inputs!$G$5:$G$140&lt;&gt;"moeda")*(Inputs!$G$5:$G$140&lt;&gt;"acoes")))*INDEX(Inputs!$K$5:$AJ$140,0,MATCH(AC$2,Inputs!$K$4:$AJ$4,0)))+SUMPRODUCT((Inputs!$C$5:$C$140=$B9)*Inputs!$D$5:$D$140*(((Inputs!$G$5:$G$140="moeda")+(Inputs!$G$5:$G$140="acoes"))*Inputs!$B$1+((Inputs!$G$5:$G$140&lt;&gt;"moeda")*(Inputs!$G$5:$G$140&lt;&gt;"acoes")))*INDEX(Inputs!$K$5:$AJ$140,0,MATCH(AC$2,Inputs!$K$4:$AJ$4,0)))+SUMPRODUCT((Inputs!$E$5:$E$140=$B9)*Inputs!$F$5:$F$140*(((Inputs!$G$5:$G$140="moeda")+(Inputs!$G$5:$G$140="acoes"))*Inputs!$B$1+((Inputs!$G$5:$G$140&lt;&gt;"moeda")*(Inputs!$G$5:$G$140&lt;&gt;"acoes")))*INDEX(Inputs!$K$5:$AJ$140,0,MATCH(AC$2,Inputs!$K$4:$AJ$4,0)))))</f>
        <v>87.895</v>
      </c>
      <c r="AD9" s="6">
        <f>IF(ISNA(MATCH(AD$2,Inputs!$K$4:$AJ$4,0)),NA(),IF(SUMPRODUCT((Inputs!$A$5:$A$140=$B9)*ISNUMBER(INDEX(Inputs!$K$5:$AJ$140,0,MATCH(AD$2,Inputs!$K$4:$AJ$4,0))))+SUMPRODUCT((Inputs!$C$5:$C$140=$B9)*ISNUMBER(INDEX(Inputs!$K$5:$AJ$140,0,MATCH(AD$2,Inputs!$K$4:$AJ$4,0))))+SUMPRODUCT((Inputs!$E$5:$E$140=$B9)*ISNUMBER(INDEX(Inputs!$K$5:$AJ$140,0,MATCH(AD$2,Inputs!$K$4:$AJ$4,0))))=0,NA(),SUMPRODUCT((Inputs!$A$5:$A$140=$B9)*Inputs!$B$5:$B$140*(((Inputs!$G$5:$G$140="moeda")+(Inputs!$G$5:$G$140="acoes"))*Inputs!$B$1+((Inputs!$G$5:$G$140&lt;&gt;"moeda")*(Inputs!$G$5:$G$140&lt;&gt;"acoes")))*INDEX(Inputs!$K$5:$AJ$140,0,MATCH(AD$2,Inputs!$K$4:$AJ$4,0)))+SUMPRODUCT((Inputs!$C$5:$C$140=$B9)*Inputs!$D$5:$D$140*(((Inputs!$G$5:$G$140="moeda")+(Inputs!$G$5:$G$140="acoes"))*Inputs!$B$1+((Inputs!$G$5:$G$140&lt;&gt;"moeda")*(Inputs!$G$5:$G$140&lt;&gt;"acoes")))*INDEX(Inputs!$K$5:$AJ$140,0,MATCH(AD$2,Inputs!$K$4:$AJ$4,0)))+SUMPRODUCT((Inputs!$E$5:$E$140=$B9)*Inputs!$F$5:$F$140*(((Inputs!$G$5:$G$140="moeda")+(Inputs!$G$5:$G$140="acoes"))*Inputs!$B$1+((Inputs!$G$5:$G$140&lt;&gt;"moeda")*(Inputs!$G$5:$G$140&lt;&gt;"acoes")))*INDEX(Inputs!$K$5:$AJ$140,0,MATCH(AD$2,Inputs!$K$4:$AJ$4,0)))))</f>
        <v>90.775</v>
      </c>
      <c r="AE9" s="6" t="e">
        <f>IF(ISNA(MATCH(AE$2,Inputs!$K$4:$AJ$4,0)),NA(),IF(SUMPRODUCT((Inputs!$A$5:$A$140=$B9)*ISNUMBER(INDEX(Inputs!$K$5:$AJ$140,0,MATCH(AE$2,Inputs!$K$4:$AJ$4,0))))+SUMPRODUCT((Inputs!$C$5:$C$140=$B9)*ISNUMBER(INDEX(Inputs!$K$5:$AJ$140,0,MATCH(AE$2,Inputs!$K$4:$AJ$4,0))))+SUMPRODUCT((Inputs!$E$5:$E$140=$B9)*ISNUMBER(INDEX(Inputs!$K$5:$AJ$140,0,MATCH(AE$2,Inputs!$K$4:$AJ$4,0))))=0,NA(),SUMPRODUCT((Inputs!$A$5:$A$140=$B9)*Inputs!$B$5:$B$140*(((Inputs!$G$5:$G$140="moeda")+(Inputs!$G$5:$G$140="acoes"))*Inputs!$B$1+((Inputs!$G$5:$G$140&lt;&gt;"moeda")*(Inputs!$G$5:$G$140&lt;&gt;"acoes")))*INDEX(Inputs!$K$5:$AJ$140,0,MATCH(AE$2,Inputs!$K$4:$AJ$4,0)))+SUMPRODUCT((Inputs!$C$5:$C$140=$B9)*Inputs!$D$5:$D$140*(((Inputs!$G$5:$G$140="moeda")+(Inputs!$G$5:$G$140="acoes"))*Inputs!$B$1+((Inputs!$G$5:$G$140&lt;&gt;"moeda")*(Inputs!$G$5:$G$140&lt;&gt;"acoes")))*INDEX(Inputs!$K$5:$AJ$140,0,MATCH(AE$2,Inputs!$K$4:$AJ$4,0)))+SUMPRODUCT((Inputs!$E$5:$E$140=$B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9" s="6" t="e">
        <f>IF(ISNA(MATCH(AF$2,Inputs!$K$4:$AJ$4,0)),NA(),IF(SUMPRODUCT((Inputs!$A$5:$A$140=$B9)*ISNUMBER(INDEX(Inputs!$K$5:$AJ$140,0,MATCH(AF$2,Inputs!$K$4:$AJ$4,0))))+SUMPRODUCT((Inputs!$C$5:$C$140=$B9)*ISNUMBER(INDEX(Inputs!$K$5:$AJ$140,0,MATCH(AF$2,Inputs!$K$4:$AJ$4,0))))+SUMPRODUCT((Inputs!$E$5:$E$140=$B9)*ISNUMBER(INDEX(Inputs!$K$5:$AJ$140,0,MATCH(AF$2,Inputs!$K$4:$AJ$4,0))))=0,NA(),SUMPRODUCT((Inputs!$A$5:$A$140=$B9)*Inputs!$B$5:$B$140*(((Inputs!$G$5:$G$140="moeda")+(Inputs!$G$5:$G$140="acoes"))*Inputs!$B$1+((Inputs!$G$5:$G$140&lt;&gt;"moeda")*(Inputs!$G$5:$G$140&lt;&gt;"acoes")))*INDEX(Inputs!$K$5:$AJ$140,0,MATCH(AF$2,Inputs!$K$4:$AJ$4,0)))+SUMPRODUCT((Inputs!$C$5:$C$140=$B9)*Inputs!$D$5:$D$140*(((Inputs!$G$5:$G$140="moeda")+(Inputs!$G$5:$G$140="acoes"))*Inputs!$B$1+((Inputs!$G$5:$G$140&lt;&gt;"moeda")*(Inputs!$G$5:$G$140&lt;&gt;"acoes")))*INDEX(Inputs!$K$5:$AJ$140,0,MATCH(AF$2,Inputs!$K$4:$AJ$4,0)))+SUMPRODUCT((Inputs!$E$5:$E$140=$B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9" s="3" t="e">
        <f>SUM(AC9:AF9)</f>
        <v>#N/A</v>
      </c>
      <c r="AH9" s="6">
        <f>IF(ISNA(MATCH(AH$2,Inputs!$K$4:$AJ$4,0)),NA(),IF(SUMPRODUCT((Inputs!$A$5:$A$140=$B9)*ISNUMBER(INDEX(Inputs!$K$5:$AJ$140,0,MATCH(AH$2,Inputs!$K$4:$AJ$4,0))))+SUMPRODUCT((Inputs!$C$5:$C$140=$B9)*ISNUMBER(INDEX(Inputs!$K$5:$AJ$140,0,MATCH(AH$2,Inputs!$K$4:$AJ$4,0))))+SUMPRODUCT((Inputs!$E$5:$E$140=$B9)*ISNUMBER(INDEX(Inputs!$K$5:$AJ$140,0,MATCH(AH$2,Inputs!$K$4:$AJ$4,0))))=0,NA(),SUMPRODUCT((Inputs!$A$5:$A$140=$B9)*Inputs!$B$5:$B$140*(((Inputs!$G$5:$G$140="moeda")+(Inputs!$G$5:$G$140="acoes"))*Inputs!$B$1+((Inputs!$G$5:$G$140&lt;&gt;"moeda")*(Inputs!$G$5:$G$140&lt;&gt;"acoes")))*INDEX(Inputs!$K$5:$AJ$140,0,MATCH(AH$2,Inputs!$K$4:$AJ$4,0)))+SUMPRODUCT((Inputs!$C$5:$C$140=$B9)*Inputs!$D$5:$D$140*(((Inputs!$G$5:$G$140="moeda")+(Inputs!$G$5:$G$140="acoes"))*Inputs!$B$1+((Inputs!$G$5:$G$140&lt;&gt;"moeda")*(Inputs!$G$5:$G$140&lt;&gt;"acoes")))*INDEX(Inputs!$K$5:$AJ$140,0,MATCH(AH$2,Inputs!$K$4:$AJ$4,0)))+SUMPRODUCT((Inputs!$E$5:$E$140=$B9)*Inputs!$F$5:$F$140*(((Inputs!$G$5:$G$140="moeda")+(Inputs!$G$5:$G$140="acoes"))*Inputs!$B$1+((Inputs!$G$5:$G$140&lt;&gt;"moeda")*(Inputs!$G$5:$G$140&lt;&gt;"acoes")))*INDEX(Inputs!$K$5:$AJ$140,0,MATCH(AH$2,Inputs!$K$4:$AJ$4,0)))))</f>
        <v>16.47886336</v>
      </c>
      <c r="AI9" s="6">
        <f>IF(ISNA(MATCH(AI$2,Inputs!$K$4:$AJ$4,0)),NA(),IF(SUMPRODUCT((Inputs!$A$5:$A$140=$B9)*ISNUMBER(INDEX(Inputs!$K$5:$AJ$140,0,MATCH(AI$2,Inputs!$K$4:$AJ$4,0))))+SUMPRODUCT((Inputs!$C$5:$C$140=$B9)*ISNUMBER(INDEX(Inputs!$K$5:$AJ$140,0,MATCH(AI$2,Inputs!$K$4:$AJ$4,0))))+SUMPRODUCT((Inputs!$E$5:$E$140=$B9)*ISNUMBER(INDEX(Inputs!$K$5:$AJ$140,0,MATCH(AI$2,Inputs!$K$4:$AJ$4,0))))=0,NA(),SUMPRODUCT((Inputs!$A$5:$A$140=$B9)*Inputs!$B$5:$B$140*(((Inputs!$G$5:$G$140="moeda")+(Inputs!$G$5:$G$140="acoes"))*Inputs!$B$1+((Inputs!$G$5:$G$140&lt;&gt;"moeda")*(Inputs!$G$5:$G$140&lt;&gt;"acoes")))*INDEX(Inputs!$K$5:$AJ$140,0,MATCH(AI$2,Inputs!$K$4:$AJ$4,0)))+SUMPRODUCT((Inputs!$C$5:$C$140=$B9)*Inputs!$D$5:$D$140*(((Inputs!$G$5:$G$140="moeda")+(Inputs!$G$5:$G$140="acoes"))*Inputs!$B$1+((Inputs!$G$5:$G$140&lt;&gt;"moeda")*(Inputs!$G$5:$G$140&lt;&gt;"acoes")))*INDEX(Inputs!$K$5:$AJ$140,0,MATCH(AI$2,Inputs!$K$4:$AJ$4,0)))+SUMPRODUCT((Inputs!$E$5:$E$140=$B9)*Inputs!$F$5:$F$140*(((Inputs!$G$5:$G$140="moeda")+(Inputs!$G$5:$G$140="acoes"))*Inputs!$B$1+((Inputs!$G$5:$G$140&lt;&gt;"moeda")*(Inputs!$G$5:$G$140&lt;&gt;"acoes")))*INDEX(Inputs!$K$5:$AJ$140,0,MATCH(AI$2,Inputs!$K$4:$AJ$4,0)))))</f>
        <v>18.93113664</v>
      </c>
      <c r="AJ9" s="6">
        <f>IF(ISNA(MATCH(AJ$2,Inputs!$K$4:$AJ$4,0)),NA(),IF(SUMPRODUCT((Inputs!$A$5:$A$140=$B9)*ISNUMBER(INDEX(Inputs!$K$5:$AJ$140,0,MATCH(AJ$2,Inputs!$K$4:$AJ$4,0))))+SUMPRODUCT((Inputs!$C$5:$C$140=$B9)*ISNUMBER(INDEX(Inputs!$K$5:$AJ$140,0,MATCH(AJ$2,Inputs!$K$4:$AJ$4,0))))+SUMPRODUCT((Inputs!$E$5:$E$140=$B9)*ISNUMBER(INDEX(Inputs!$K$5:$AJ$140,0,MATCH(AJ$2,Inputs!$K$4:$AJ$4,0))))=0,NA(),SUMPRODUCT((Inputs!$A$5:$A$140=$B9)*Inputs!$B$5:$B$140*(((Inputs!$G$5:$G$140="moeda")+(Inputs!$G$5:$G$140="acoes"))*Inputs!$B$1+((Inputs!$G$5:$G$140&lt;&gt;"moeda")*(Inputs!$G$5:$G$140&lt;&gt;"acoes")))*INDEX(Inputs!$K$5:$AJ$140,0,MATCH(AJ$2,Inputs!$K$4:$AJ$4,0)))+SUMPRODUCT((Inputs!$C$5:$C$140=$B9)*Inputs!$D$5:$D$140*(((Inputs!$G$5:$G$140="moeda")+(Inputs!$G$5:$G$140="acoes"))*Inputs!$B$1+((Inputs!$G$5:$G$140&lt;&gt;"moeda")*(Inputs!$G$5:$G$140&lt;&gt;"acoes")))*INDEX(Inputs!$K$5:$AJ$140,0,MATCH(AJ$2,Inputs!$K$4:$AJ$4,0)))+SUMPRODUCT((Inputs!$E$5:$E$140=$B9)*Inputs!$F$5:$F$140*(((Inputs!$G$5:$G$140="moeda")+(Inputs!$G$5:$G$140="acoes"))*Inputs!$B$1+((Inputs!$G$5:$G$140&lt;&gt;"moeda")*(Inputs!$G$5:$G$140&lt;&gt;"acoes")))*INDEX(Inputs!$K$5:$AJ$140,0,MATCH(AJ$2,Inputs!$K$4:$AJ$4,0)))))</f>
        <v>18.504</v>
      </c>
      <c r="AK9" s="6">
        <f>IF(ISNA(MATCH(AK$2,Inputs!$K$4:$AJ$4,0)),NA(),IF(SUMPRODUCT((Inputs!$A$5:$A$140=$B9)*ISNUMBER(INDEX(Inputs!$K$5:$AJ$140,0,MATCH(AK$2,Inputs!$K$4:$AJ$4,0))))+SUMPRODUCT((Inputs!$C$5:$C$140=$B9)*ISNUMBER(INDEX(Inputs!$K$5:$AJ$140,0,MATCH(AK$2,Inputs!$K$4:$AJ$4,0))))+SUMPRODUCT((Inputs!$E$5:$E$140=$B9)*ISNUMBER(INDEX(Inputs!$K$5:$AJ$140,0,MATCH(AK$2,Inputs!$K$4:$AJ$4,0))))=0,NA(),SUMPRODUCT((Inputs!$A$5:$A$140=$B9)*Inputs!$B$5:$B$140*(((Inputs!$G$5:$G$140="moeda")+(Inputs!$G$5:$G$140="acoes"))*Inputs!$B$1+((Inputs!$G$5:$G$140&lt;&gt;"moeda")*(Inputs!$G$5:$G$140&lt;&gt;"acoes")))*INDEX(Inputs!$K$5:$AJ$140,0,MATCH(AK$2,Inputs!$K$4:$AJ$4,0)))+SUMPRODUCT((Inputs!$C$5:$C$140=$B9)*Inputs!$D$5:$D$140*(((Inputs!$G$5:$G$140="moeda")+(Inputs!$G$5:$G$140="acoes"))*Inputs!$B$1+((Inputs!$G$5:$G$140&lt;&gt;"moeda")*(Inputs!$G$5:$G$140&lt;&gt;"acoes")))*INDEX(Inputs!$K$5:$AJ$140,0,MATCH(AK$2,Inputs!$K$4:$AJ$4,0)))+SUMPRODUCT((Inputs!$E$5:$E$140=$B9)*Inputs!$F$5:$F$140*(((Inputs!$G$5:$G$140="moeda")+(Inputs!$G$5:$G$140="acoes"))*Inputs!$B$1+((Inputs!$G$5:$G$140&lt;&gt;"moeda")*(Inputs!$G$5:$G$140&lt;&gt;"acoes")))*INDEX(Inputs!$K$5:$AJ$140,0,MATCH(AK$2,Inputs!$K$4:$AJ$4,0)))))</f>
        <v>29.563</v>
      </c>
      <c r="AL9" s="3">
        <f>SUM(AH9:AK9)</f>
        <v>83.477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$140=$B10)*ISNUMBER(INDEX(Inputs!$K$5:$AJ$140,0,MATCH(D$2,Inputs!$K$4:$AJ$4,0))))+SUMPRODUCT((Inputs!$C$5:$C$140=$B10)*ISNUMBER(INDEX(Inputs!$K$5:$AJ$140,0,MATCH(D$2,Inputs!$K$4:$AJ$4,0))))+SUMPRODUCT((Inputs!$E$5:$E$140=$B10)*ISNUMBER(INDEX(Inputs!$K$5:$AJ$140,0,MATCH(D$2,Inputs!$K$4:$AJ$4,0))))=0,NA(),SUMPRODUCT((Inputs!$A$5:$A$140=$B10)*Inputs!$B$5:$B$140*(((Inputs!$G$5:$G$140="moeda")+(Inputs!$G$5:$G$140="acoes"))*Inputs!$B$1+((Inputs!$G$5:$G$140&lt;&gt;"moeda")*(Inputs!$G$5:$G$140&lt;&gt;"acoes")))*INDEX(Inputs!$K$5:$AJ$140,0,MATCH(D$2,Inputs!$K$4:$AJ$4,0)))+SUMPRODUCT((Inputs!$C$5:$C$140=$B10)*Inputs!$D$5:$D$140*(((Inputs!$G$5:$G$140="moeda")+(Inputs!$G$5:$G$140="acoes"))*Inputs!$B$1+((Inputs!$G$5:$G$140&lt;&gt;"moeda")*(Inputs!$G$5:$G$140&lt;&gt;"acoes")))*INDEX(Inputs!$K$5:$AJ$140,0,MATCH(D$2,Inputs!$K$4:$AJ$4,0)))+SUMPRODUCT((Inputs!$E$5:$E$140=$B10)*Inputs!$F$5:$F$140*(((Inputs!$G$5:$G$140="moeda")+(Inputs!$G$5:$G$140="acoes"))*Inputs!$B$1+((Inputs!$G$5:$G$140&lt;&gt;"moeda")*(Inputs!$G$5:$G$140&lt;&gt;"acoes")))*INDEX(Inputs!$K$5:$AJ$140,0,MATCH(D$2,Inputs!$K$4:$AJ$4,0)))))</f>
        <v>0</v>
      </c>
      <c r="E10" s="6">
        <f>IF(ISNA(MATCH(E$2,Inputs!$K$4:$AJ$4,0)),NA(),IF(SUMPRODUCT((Inputs!$A$5:$A$140=$B10)*ISNUMBER(INDEX(Inputs!$K$5:$AJ$140,0,MATCH(E$2,Inputs!$K$4:$AJ$4,0))))+SUMPRODUCT((Inputs!$C$5:$C$140=$B10)*ISNUMBER(INDEX(Inputs!$K$5:$AJ$140,0,MATCH(E$2,Inputs!$K$4:$AJ$4,0))))+SUMPRODUCT((Inputs!$E$5:$E$140=$B10)*ISNUMBER(INDEX(Inputs!$K$5:$AJ$140,0,MATCH(E$2,Inputs!$K$4:$AJ$4,0))))=0,NA(),SUMPRODUCT((Inputs!$A$5:$A$140=$B10)*Inputs!$B$5:$B$140*(((Inputs!$G$5:$G$140="moeda")+(Inputs!$G$5:$G$140="acoes"))*Inputs!$B$1+((Inputs!$G$5:$G$140&lt;&gt;"moeda")*(Inputs!$G$5:$G$140&lt;&gt;"acoes")))*INDEX(Inputs!$K$5:$AJ$140,0,MATCH(E$2,Inputs!$K$4:$AJ$4,0)))+SUMPRODUCT((Inputs!$C$5:$C$140=$B10)*Inputs!$D$5:$D$140*(((Inputs!$G$5:$G$140="moeda")+(Inputs!$G$5:$G$140="acoes"))*Inputs!$B$1+((Inputs!$G$5:$G$140&lt;&gt;"moeda")*(Inputs!$G$5:$G$140&lt;&gt;"acoes")))*INDEX(Inputs!$K$5:$AJ$140,0,MATCH(E$2,Inputs!$K$4:$AJ$4,0)))+SUMPRODUCT((Inputs!$E$5:$E$140=$B10)*Inputs!$F$5:$F$140*(((Inputs!$G$5:$G$140="moeda")+(Inputs!$G$5:$G$140="acoes"))*Inputs!$B$1+((Inputs!$G$5:$G$140&lt;&gt;"moeda")*(Inputs!$G$5:$G$140&lt;&gt;"acoes")))*INDEX(Inputs!$K$5:$AJ$140,0,MATCH(E$2,Inputs!$K$4:$AJ$4,0)))))</f>
        <v>0</v>
      </c>
      <c r="F10" s="6">
        <f>IF(ISNA(MATCH(F$2,Inputs!$K$4:$AJ$4,0)),NA(),IF(SUMPRODUCT((Inputs!$A$5:$A$140=$B10)*ISNUMBER(INDEX(Inputs!$K$5:$AJ$140,0,MATCH(F$2,Inputs!$K$4:$AJ$4,0))))+SUMPRODUCT((Inputs!$C$5:$C$140=$B10)*ISNUMBER(INDEX(Inputs!$K$5:$AJ$140,0,MATCH(F$2,Inputs!$K$4:$AJ$4,0))))+SUMPRODUCT((Inputs!$E$5:$E$140=$B10)*ISNUMBER(INDEX(Inputs!$K$5:$AJ$140,0,MATCH(F$2,Inputs!$K$4:$AJ$4,0))))=0,NA(),SUMPRODUCT((Inputs!$A$5:$A$140=$B10)*Inputs!$B$5:$B$140*(((Inputs!$G$5:$G$140="moeda")+(Inputs!$G$5:$G$140="acoes"))*Inputs!$B$1+((Inputs!$G$5:$G$140&lt;&gt;"moeda")*(Inputs!$G$5:$G$140&lt;&gt;"acoes")))*INDEX(Inputs!$K$5:$AJ$140,0,MATCH(F$2,Inputs!$K$4:$AJ$4,0)))+SUMPRODUCT((Inputs!$C$5:$C$140=$B10)*Inputs!$D$5:$D$140*(((Inputs!$G$5:$G$140="moeda")+(Inputs!$G$5:$G$140="acoes"))*Inputs!$B$1+((Inputs!$G$5:$G$140&lt;&gt;"moeda")*(Inputs!$G$5:$G$140&lt;&gt;"acoes")))*INDEX(Inputs!$K$5:$AJ$140,0,MATCH(F$2,Inputs!$K$4:$AJ$4,0)))+SUMPRODUCT((Inputs!$E$5:$E$140=$B10)*Inputs!$F$5:$F$140*(((Inputs!$G$5:$G$140="moeda")+(Inputs!$G$5:$G$140="acoes"))*Inputs!$B$1+((Inputs!$G$5:$G$140&lt;&gt;"moeda")*(Inputs!$G$5:$G$140&lt;&gt;"acoes")))*INDEX(Inputs!$K$5:$AJ$140,0,MATCH(F$2,Inputs!$K$4:$AJ$4,0)))))</f>
        <v>0</v>
      </c>
      <c r="G10" s="6">
        <f>IF(ISNA(MATCH(G$2,Inputs!$K$4:$AJ$4,0)),NA(),IF(SUMPRODUCT((Inputs!$A$5:$A$140=$B10)*ISNUMBER(INDEX(Inputs!$K$5:$AJ$140,0,MATCH(G$2,Inputs!$K$4:$AJ$4,0))))+SUMPRODUCT((Inputs!$C$5:$C$140=$B10)*ISNUMBER(INDEX(Inputs!$K$5:$AJ$140,0,MATCH(G$2,Inputs!$K$4:$AJ$4,0))))+SUMPRODUCT((Inputs!$E$5:$E$140=$B10)*ISNUMBER(INDEX(Inputs!$K$5:$AJ$140,0,MATCH(G$2,Inputs!$K$4:$AJ$4,0))))=0,NA(),SUMPRODUCT((Inputs!$A$5:$A$140=$B10)*Inputs!$B$5:$B$140*(((Inputs!$G$5:$G$140="moeda")+(Inputs!$G$5:$G$140="acoes"))*Inputs!$B$1+((Inputs!$G$5:$G$140&lt;&gt;"moeda")*(Inputs!$G$5:$G$140&lt;&gt;"acoes")))*INDEX(Inputs!$K$5:$AJ$140,0,MATCH(G$2,Inputs!$K$4:$AJ$4,0)))+SUMPRODUCT((Inputs!$C$5:$C$140=$B10)*Inputs!$D$5:$D$140*(((Inputs!$G$5:$G$140="moeda")+(Inputs!$G$5:$G$140="acoes"))*Inputs!$B$1+((Inputs!$G$5:$G$140&lt;&gt;"moeda")*(Inputs!$G$5:$G$140&lt;&gt;"acoes")))*INDEX(Inputs!$K$5:$AJ$140,0,MATCH(G$2,Inputs!$K$4:$AJ$4,0)))+SUMPRODUCT((Inputs!$E$5:$E$140=$B10)*Inputs!$F$5:$F$140*(((Inputs!$G$5:$G$140="moeda")+(Inputs!$G$5:$G$140="acoes"))*Inputs!$B$1+((Inputs!$G$5:$G$140&lt;&gt;"moeda")*(Inputs!$G$5:$G$140&lt;&gt;"acoes")))*INDEX(Inputs!$K$5:$AJ$140,0,MATCH(G$2,Inputs!$K$4:$AJ$4,0)))))</f>
        <v>-18.759</v>
      </c>
      <c r="H10" s="3">
        <f>SUM(D10:G10)</f>
        <v>-18.759</v>
      </c>
      <c r="I10" s="6">
        <f>IF(ISNA(MATCH(I$2,Inputs!$K$4:$AJ$4,0)),NA(),IF(SUMPRODUCT((Inputs!$A$5:$A$140=$B10)*ISNUMBER(INDEX(Inputs!$K$5:$AJ$140,0,MATCH(I$2,Inputs!$K$4:$AJ$4,0))))+SUMPRODUCT((Inputs!$C$5:$C$140=$B10)*ISNUMBER(INDEX(Inputs!$K$5:$AJ$140,0,MATCH(I$2,Inputs!$K$4:$AJ$4,0))))+SUMPRODUCT((Inputs!$E$5:$E$140=$B10)*ISNUMBER(INDEX(Inputs!$K$5:$AJ$140,0,MATCH(I$2,Inputs!$K$4:$AJ$4,0))))=0,NA(),SUMPRODUCT((Inputs!$A$5:$A$140=$B10)*Inputs!$B$5:$B$140*(((Inputs!$G$5:$G$140="moeda")+(Inputs!$G$5:$G$140="acoes"))*Inputs!$B$1+((Inputs!$G$5:$G$140&lt;&gt;"moeda")*(Inputs!$G$5:$G$140&lt;&gt;"acoes")))*INDEX(Inputs!$K$5:$AJ$140,0,MATCH(I$2,Inputs!$K$4:$AJ$4,0)))+SUMPRODUCT((Inputs!$C$5:$C$140=$B10)*Inputs!$D$5:$D$140*(((Inputs!$G$5:$G$140="moeda")+(Inputs!$G$5:$G$140="acoes"))*Inputs!$B$1+((Inputs!$G$5:$G$140&lt;&gt;"moeda")*(Inputs!$G$5:$G$140&lt;&gt;"acoes")))*INDEX(Inputs!$K$5:$AJ$140,0,MATCH(I$2,Inputs!$K$4:$AJ$4,0)))+SUMPRODUCT((Inputs!$E$5:$E$140=$B10)*Inputs!$F$5:$F$140*(((Inputs!$G$5:$G$140="moeda")+(Inputs!$G$5:$G$140="acoes"))*Inputs!$B$1+((Inputs!$G$5:$G$140&lt;&gt;"moeda")*(Inputs!$G$5:$G$140&lt;&gt;"acoes")))*INDEX(Inputs!$K$5:$AJ$140,0,MATCH(I$2,Inputs!$K$4:$AJ$4,0)))))</f>
        <v>-1.52444138</v>
      </c>
      <c r="J10" s="6">
        <f>IF(ISNA(MATCH(J$2,Inputs!$K$4:$AJ$4,0)),NA(),IF(SUMPRODUCT((Inputs!$A$5:$A$140=$B10)*ISNUMBER(INDEX(Inputs!$K$5:$AJ$140,0,MATCH(J$2,Inputs!$K$4:$AJ$4,0))))+SUMPRODUCT((Inputs!$C$5:$C$140=$B10)*ISNUMBER(INDEX(Inputs!$K$5:$AJ$140,0,MATCH(J$2,Inputs!$K$4:$AJ$4,0))))+SUMPRODUCT((Inputs!$E$5:$E$140=$B10)*ISNUMBER(INDEX(Inputs!$K$5:$AJ$140,0,MATCH(J$2,Inputs!$K$4:$AJ$4,0))))=0,NA(),SUMPRODUCT((Inputs!$A$5:$A$140=$B10)*Inputs!$B$5:$B$140*(((Inputs!$G$5:$G$140="moeda")+(Inputs!$G$5:$G$140="acoes"))*Inputs!$B$1+((Inputs!$G$5:$G$140&lt;&gt;"moeda")*(Inputs!$G$5:$G$140&lt;&gt;"acoes")))*INDEX(Inputs!$K$5:$AJ$140,0,MATCH(J$2,Inputs!$K$4:$AJ$4,0)))+SUMPRODUCT((Inputs!$C$5:$C$140=$B10)*Inputs!$D$5:$D$140*(((Inputs!$G$5:$G$140="moeda")+(Inputs!$G$5:$G$140="acoes"))*Inputs!$B$1+((Inputs!$G$5:$G$140&lt;&gt;"moeda")*(Inputs!$G$5:$G$140&lt;&gt;"acoes")))*INDEX(Inputs!$K$5:$AJ$140,0,MATCH(J$2,Inputs!$K$4:$AJ$4,0)))+SUMPRODUCT((Inputs!$E$5:$E$140=$B10)*Inputs!$F$5:$F$140*(((Inputs!$G$5:$G$140="moeda")+(Inputs!$G$5:$G$140="acoes"))*Inputs!$B$1+((Inputs!$G$5:$G$140&lt;&gt;"moeda")*(Inputs!$G$5:$G$140&lt;&gt;"acoes")))*INDEX(Inputs!$K$5:$AJ$140,0,MATCH(J$2,Inputs!$K$4:$AJ$4,0)))))</f>
        <v>-3.374</v>
      </c>
      <c r="K10" s="6">
        <f>IF(ISNA(MATCH(K$2,Inputs!$K$4:$AJ$4,0)),NA(),IF(SUMPRODUCT((Inputs!$A$5:$A$140=$B10)*ISNUMBER(INDEX(Inputs!$K$5:$AJ$140,0,MATCH(K$2,Inputs!$K$4:$AJ$4,0))))+SUMPRODUCT((Inputs!$C$5:$C$140=$B10)*ISNUMBER(INDEX(Inputs!$K$5:$AJ$140,0,MATCH(K$2,Inputs!$K$4:$AJ$4,0))))+SUMPRODUCT((Inputs!$E$5:$E$140=$B10)*ISNUMBER(INDEX(Inputs!$K$5:$AJ$140,0,MATCH(K$2,Inputs!$K$4:$AJ$4,0))))=0,NA(),SUMPRODUCT((Inputs!$A$5:$A$140=$B10)*Inputs!$B$5:$B$140*(((Inputs!$G$5:$G$140="moeda")+(Inputs!$G$5:$G$140="acoes"))*Inputs!$B$1+((Inputs!$G$5:$G$140&lt;&gt;"moeda")*(Inputs!$G$5:$G$140&lt;&gt;"acoes")))*INDEX(Inputs!$K$5:$AJ$140,0,MATCH(K$2,Inputs!$K$4:$AJ$4,0)))+SUMPRODUCT((Inputs!$C$5:$C$140=$B10)*Inputs!$D$5:$D$140*(((Inputs!$G$5:$G$140="moeda")+(Inputs!$G$5:$G$140="acoes"))*Inputs!$B$1+((Inputs!$G$5:$G$140&lt;&gt;"moeda")*(Inputs!$G$5:$G$140&lt;&gt;"acoes")))*INDEX(Inputs!$K$5:$AJ$140,0,MATCH(K$2,Inputs!$K$4:$AJ$4,0)))+SUMPRODUCT((Inputs!$E$5:$E$140=$B10)*Inputs!$F$5:$F$140*(((Inputs!$G$5:$G$140="moeda")+(Inputs!$G$5:$G$140="acoes"))*Inputs!$B$1+((Inputs!$G$5:$G$140&lt;&gt;"moeda")*(Inputs!$G$5:$G$140&lt;&gt;"acoes")))*INDEX(Inputs!$K$5:$AJ$140,0,MATCH(K$2,Inputs!$K$4:$AJ$4,0)))))</f>
        <v>-6.525</v>
      </c>
      <c r="L10" s="6">
        <f>IF(ISNA(MATCH(L$2,Inputs!$K$4:$AJ$4,0)),NA(),IF(SUMPRODUCT((Inputs!$A$5:$A$140=$B10)*ISNUMBER(INDEX(Inputs!$K$5:$AJ$140,0,MATCH(L$2,Inputs!$K$4:$AJ$4,0))))+SUMPRODUCT((Inputs!$C$5:$C$140=$B10)*ISNUMBER(INDEX(Inputs!$K$5:$AJ$140,0,MATCH(L$2,Inputs!$K$4:$AJ$4,0))))+SUMPRODUCT((Inputs!$E$5:$E$140=$B10)*ISNUMBER(INDEX(Inputs!$K$5:$AJ$140,0,MATCH(L$2,Inputs!$K$4:$AJ$4,0))))=0,NA(),SUMPRODUCT((Inputs!$A$5:$A$140=$B10)*Inputs!$B$5:$B$140*(((Inputs!$G$5:$G$140="moeda")+(Inputs!$G$5:$G$140="acoes"))*Inputs!$B$1+((Inputs!$G$5:$G$140&lt;&gt;"moeda")*(Inputs!$G$5:$G$140&lt;&gt;"acoes")))*INDEX(Inputs!$K$5:$AJ$140,0,MATCH(L$2,Inputs!$K$4:$AJ$4,0)))+SUMPRODUCT((Inputs!$C$5:$C$140=$B10)*Inputs!$D$5:$D$140*(((Inputs!$G$5:$G$140="moeda")+(Inputs!$G$5:$G$140="acoes"))*Inputs!$B$1+((Inputs!$G$5:$G$140&lt;&gt;"moeda")*(Inputs!$G$5:$G$140&lt;&gt;"acoes")))*INDEX(Inputs!$K$5:$AJ$140,0,MATCH(L$2,Inputs!$K$4:$AJ$4,0)))+SUMPRODUCT((Inputs!$E$5:$E$140=$B10)*Inputs!$F$5:$F$140*(((Inputs!$G$5:$G$140="moeda")+(Inputs!$G$5:$G$140="acoes"))*Inputs!$B$1+((Inputs!$G$5:$G$140&lt;&gt;"moeda")*(Inputs!$G$5:$G$140&lt;&gt;"acoes")))*INDEX(Inputs!$K$5:$AJ$140,0,MATCH(L$2,Inputs!$K$4:$AJ$4,0)))))</f>
        <v>-12.096</v>
      </c>
      <c r="M10" s="3">
        <f>SUM(I10:L10)</f>
        <v>-23.51944138</v>
      </c>
      <c r="N10" s="6">
        <f>IF(ISNA(MATCH(N$2,Inputs!$K$4:$AJ$4,0)),NA(),IF(SUMPRODUCT((Inputs!$A$5:$A$140=$B10)*ISNUMBER(INDEX(Inputs!$K$5:$AJ$140,0,MATCH(N$2,Inputs!$K$4:$AJ$4,0))))+SUMPRODUCT((Inputs!$C$5:$C$140=$B10)*ISNUMBER(INDEX(Inputs!$K$5:$AJ$140,0,MATCH(N$2,Inputs!$K$4:$AJ$4,0))))+SUMPRODUCT((Inputs!$E$5:$E$140=$B10)*ISNUMBER(INDEX(Inputs!$K$5:$AJ$140,0,MATCH(N$2,Inputs!$K$4:$AJ$4,0))))=0,NA(),SUMPRODUCT((Inputs!$A$5:$A$140=$B10)*Inputs!$B$5:$B$140*(((Inputs!$G$5:$G$140="moeda")+(Inputs!$G$5:$G$140="acoes"))*Inputs!$B$1+((Inputs!$G$5:$G$140&lt;&gt;"moeda")*(Inputs!$G$5:$G$140&lt;&gt;"acoes")))*INDEX(Inputs!$K$5:$AJ$140,0,MATCH(N$2,Inputs!$K$4:$AJ$4,0)))+SUMPRODUCT((Inputs!$C$5:$C$140=$B10)*Inputs!$D$5:$D$140*(((Inputs!$G$5:$G$140="moeda")+(Inputs!$G$5:$G$140="acoes"))*Inputs!$B$1+((Inputs!$G$5:$G$140&lt;&gt;"moeda")*(Inputs!$G$5:$G$140&lt;&gt;"acoes")))*INDEX(Inputs!$K$5:$AJ$140,0,MATCH(N$2,Inputs!$K$4:$AJ$4,0)))+SUMPRODUCT((Inputs!$E$5:$E$140=$B10)*Inputs!$F$5:$F$140*(((Inputs!$G$5:$G$140="moeda")+(Inputs!$G$5:$G$140="acoes"))*Inputs!$B$1+((Inputs!$G$5:$G$140&lt;&gt;"moeda")*(Inputs!$G$5:$G$140&lt;&gt;"acoes")))*INDEX(Inputs!$K$5:$AJ$140,0,MATCH(N$2,Inputs!$K$4:$AJ$4,0)))))</f>
        <v>-0.541</v>
      </c>
      <c r="O10" s="6">
        <f>IF(ISNA(MATCH(O$2,Inputs!$K$4:$AJ$4,0)),NA(),IF(SUMPRODUCT((Inputs!$A$5:$A$140=$B10)*ISNUMBER(INDEX(Inputs!$K$5:$AJ$140,0,MATCH(O$2,Inputs!$K$4:$AJ$4,0))))+SUMPRODUCT((Inputs!$C$5:$C$140=$B10)*ISNUMBER(INDEX(Inputs!$K$5:$AJ$140,0,MATCH(O$2,Inputs!$K$4:$AJ$4,0))))+SUMPRODUCT((Inputs!$E$5:$E$140=$B10)*ISNUMBER(INDEX(Inputs!$K$5:$AJ$140,0,MATCH(O$2,Inputs!$K$4:$AJ$4,0))))=0,NA(),SUMPRODUCT((Inputs!$A$5:$A$140=$B10)*Inputs!$B$5:$B$140*(((Inputs!$G$5:$G$140="moeda")+(Inputs!$G$5:$G$140="acoes"))*Inputs!$B$1+((Inputs!$G$5:$G$140&lt;&gt;"moeda")*(Inputs!$G$5:$G$140&lt;&gt;"acoes")))*INDEX(Inputs!$K$5:$AJ$140,0,MATCH(O$2,Inputs!$K$4:$AJ$4,0)))+SUMPRODUCT((Inputs!$C$5:$C$140=$B10)*Inputs!$D$5:$D$140*(((Inputs!$G$5:$G$140="moeda")+(Inputs!$G$5:$G$140="acoes"))*Inputs!$B$1+((Inputs!$G$5:$G$140&lt;&gt;"moeda")*(Inputs!$G$5:$G$140&lt;&gt;"acoes")))*INDEX(Inputs!$K$5:$AJ$140,0,MATCH(O$2,Inputs!$K$4:$AJ$4,0)))+SUMPRODUCT((Inputs!$E$5:$E$140=$B10)*Inputs!$F$5:$F$140*(((Inputs!$G$5:$G$140="moeda")+(Inputs!$G$5:$G$140="acoes"))*Inputs!$B$1+((Inputs!$G$5:$G$140&lt;&gt;"moeda")*(Inputs!$G$5:$G$140&lt;&gt;"acoes")))*INDEX(Inputs!$K$5:$AJ$140,0,MATCH(O$2,Inputs!$K$4:$AJ$4,0)))))</f>
        <v>-16.241</v>
      </c>
      <c r="P10" s="6">
        <f>IF(ISNA(MATCH(P$2,Inputs!$K$4:$AJ$4,0)),NA(),IF(SUMPRODUCT((Inputs!$A$5:$A$140=$B10)*ISNUMBER(INDEX(Inputs!$K$5:$AJ$140,0,MATCH(P$2,Inputs!$K$4:$AJ$4,0))))+SUMPRODUCT((Inputs!$C$5:$C$140=$B10)*ISNUMBER(INDEX(Inputs!$K$5:$AJ$140,0,MATCH(P$2,Inputs!$K$4:$AJ$4,0))))+SUMPRODUCT((Inputs!$E$5:$E$140=$B10)*ISNUMBER(INDEX(Inputs!$K$5:$AJ$140,0,MATCH(P$2,Inputs!$K$4:$AJ$4,0))))=0,NA(),SUMPRODUCT((Inputs!$A$5:$A$140=$B10)*Inputs!$B$5:$B$140*(((Inputs!$G$5:$G$140="moeda")+(Inputs!$G$5:$G$140="acoes"))*Inputs!$B$1+((Inputs!$G$5:$G$140&lt;&gt;"moeda")*(Inputs!$G$5:$G$140&lt;&gt;"acoes")))*INDEX(Inputs!$K$5:$AJ$140,0,MATCH(P$2,Inputs!$K$4:$AJ$4,0)))+SUMPRODUCT((Inputs!$C$5:$C$140=$B10)*Inputs!$D$5:$D$140*(((Inputs!$G$5:$G$140="moeda")+(Inputs!$G$5:$G$140="acoes"))*Inputs!$B$1+((Inputs!$G$5:$G$140&lt;&gt;"moeda")*(Inputs!$G$5:$G$140&lt;&gt;"acoes")))*INDEX(Inputs!$K$5:$AJ$140,0,MATCH(P$2,Inputs!$K$4:$AJ$4,0)))+SUMPRODUCT((Inputs!$E$5:$E$140=$B10)*Inputs!$F$5:$F$140*(((Inputs!$G$5:$G$140="moeda")+(Inputs!$G$5:$G$140="acoes"))*Inputs!$B$1+((Inputs!$G$5:$G$140&lt;&gt;"moeda")*(Inputs!$G$5:$G$140&lt;&gt;"acoes")))*INDEX(Inputs!$K$5:$AJ$140,0,MATCH(P$2,Inputs!$K$4:$AJ$4,0)))))</f>
        <v>-0.383</v>
      </c>
      <c r="Q10" s="6">
        <f>IF(ISNA(MATCH(Q$2,Inputs!$K$4:$AJ$4,0)),NA(),IF(SUMPRODUCT((Inputs!$A$5:$A$140=$B10)*ISNUMBER(INDEX(Inputs!$K$5:$AJ$140,0,MATCH(Q$2,Inputs!$K$4:$AJ$4,0))))+SUMPRODUCT((Inputs!$C$5:$C$140=$B10)*ISNUMBER(INDEX(Inputs!$K$5:$AJ$140,0,MATCH(Q$2,Inputs!$K$4:$AJ$4,0))))+SUMPRODUCT((Inputs!$E$5:$E$140=$B10)*ISNUMBER(INDEX(Inputs!$K$5:$AJ$140,0,MATCH(Q$2,Inputs!$K$4:$AJ$4,0))))=0,NA(),SUMPRODUCT((Inputs!$A$5:$A$140=$B10)*Inputs!$B$5:$B$140*(((Inputs!$G$5:$G$140="moeda")+(Inputs!$G$5:$G$140="acoes"))*Inputs!$B$1+((Inputs!$G$5:$G$140&lt;&gt;"moeda")*(Inputs!$G$5:$G$140&lt;&gt;"acoes")))*INDEX(Inputs!$K$5:$AJ$140,0,MATCH(Q$2,Inputs!$K$4:$AJ$4,0)))+SUMPRODUCT((Inputs!$C$5:$C$140=$B10)*Inputs!$D$5:$D$140*(((Inputs!$G$5:$G$140="moeda")+(Inputs!$G$5:$G$140="acoes"))*Inputs!$B$1+((Inputs!$G$5:$G$140&lt;&gt;"moeda")*(Inputs!$G$5:$G$140&lt;&gt;"acoes")))*INDEX(Inputs!$K$5:$AJ$140,0,MATCH(Q$2,Inputs!$K$4:$AJ$4,0)))+SUMPRODUCT((Inputs!$E$5:$E$140=$B10)*Inputs!$F$5:$F$140*(((Inputs!$G$5:$G$140="moeda")+(Inputs!$G$5:$G$140="acoes"))*Inputs!$B$1+((Inputs!$G$5:$G$140&lt;&gt;"moeda")*(Inputs!$G$5:$G$140&lt;&gt;"acoes")))*INDEX(Inputs!$K$5:$AJ$140,0,MATCH(Q$2,Inputs!$K$4:$AJ$4,0)))))</f>
        <v>-25.485</v>
      </c>
      <c r="R10" s="3">
        <f>SUM(N10:Q10)</f>
        <v>-42.65</v>
      </c>
      <c r="S10" s="6">
        <f>IF(ISNA(MATCH(S$2,Inputs!$K$4:$AJ$4,0)),NA(),IF(SUMPRODUCT((Inputs!$A$5:$A$140=$B10)*ISNUMBER(INDEX(Inputs!$K$5:$AJ$140,0,MATCH(S$2,Inputs!$K$4:$AJ$4,0))))+SUMPRODUCT((Inputs!$C$5:$C$140=$B10)*ISNUMBER(INDEX(Inputs!$K$5:$AJ$140,0,MATCH(S$2,Inputs!$K$4:$AJ$4,0))))+SUMPRODUCT((Inputs!$E$5:$E$140=$B10)*ISNUMBER(INDEX(Inputs!$K$5:$AJ$140,0,MATCH(S$2,Inputs!$K$4:$AJ$4,0))))=0,NA(),SUMPRODUCT((Inputs!$A$5:$A$140=$B10)*Inputs!$B$5:$B$140*(((Inputs!$G$5:$G$140="moeda")+(Inputs!$G$5:$G$140="acoes"))*Inputs!$B$1+((Inputs!$G$5:$G$140&lt;&gt;"moeda")*(Inputs!$G$5:$G$140&lt;&gt;"acoes")))*INDEX(Inputs!$K$5:$AJ$140,0,MATCH(S$2,Inputs!$K$4:$AJ$4,0)))+SUMPRODUCT((Inputs!$C$5:$C$140=$B10)*Inputs!$D$5:$D$140*(((Inputs!$G$5:$G$140="moeda")+(Inputs!$G$5:$G$140="acoes"))*Inputs!$B$1+((Inputs!$G$5:$G$140&lt;&gt;"moeda")*(Inputs!$G$5:$G$140&lt;&gt;"acoes")))*INDEX(Inputs!$K$5:$AJ$140,0,MATCH(S$2,Inputs!$K$4:$AJ$4,0)))+SUMPRODUCT((Inputs!$E$5:$E$140=$B10)*Inputs!$F$5:$F$140*(((Inputs!$G$5:$G$140="moeda")+(Inputs!$G$5:$G$140="acoes"))*Inputs!$B$1+((Inputs!$G$5:$G$140&lt;&gt;"moeda")*(Inputs!$G$5:$G$140&lt;&gt;"acoes")))*INDEX(Inputs!$K$5:$AJ$140,0,MATCH(S$2,Inputs!$K$4:$AJ$4,0)))))</f>
        <v>-32.368244987315</v>
      </c>
      <c r="T10" s="6">
        <f>IF(ISNA(MATCH(T$2,Inputs!$K$4:$AJ$4,0)),NA(),IF(SUMPRODUCT((Inputs!$A$5:$A$140=$B10)*ISNUMBER(INDEX(Inputs!$K$5:$AJ$140,0,MATCH(T$2,Inputs!$K$4:$AJ$4,0))))+SUMPRODUCT((Inputs!$C$5:$C$140=$B10)*ISNUMBER(INDEX(Inputs!$K$5:$AJ$140,0,MATCH(T$2,Inputs!$K$4:$AJ$4,0))))+SUMPRODUCT((Inputs!$E$5:$E$140=$B10)*ISNUMBER(INDEX(Inputs!$K$5:$AJ$140,0,MATCH(T$2,Inputs!$K$4:$AJ$4,0))))=0,NA(),SUMPRODUCT((Inputs!$A$5:$A$140=$B10)*Inputs!$B$5:$B$140*(((Inputs!$G$5:$G$140="moeda")+(Inputs!$G$5:$G$140="acoes"))*Inputs!$B$1+((Inputs!$G$5:$G$140&lt;&gt;"moeda")*(Inputs!$G$5:$G$140&lt;&gt;"acoes")))*INDEX(Inputs!$K$5:$AJ$140,0,MATCH(T$2,Inputs!$K$4:$AJ$4,0)))+SUMPRODUCT((Inputs!$C$5:$C$140=$B10)*Inputs!$D$5:$D$140*(((Inputs!$G$5:$G$140="moeda")+(Inputs!$G$5:$G$140="acoes"))*Inputs!$B$1+((Inputs!$G$5:$G$140&lt;&gt;"moeda")*(Inputs!$G$5:$G$140&lt;&gt;"acoes")))*INDEX(Inputs!$K$5:$AJ$140,0,MATCH(T$2,Inputs!$K$4:$AJ$4,0)))+SUMPRODUCT((Inputs!$E$5:$E$140=$B10)*Inputs!$F$5:$F$140*(((Inputs!$G$5:$G$140="moeda")+(Inputs!$G$5:$G$140="acoes"))*Inputs!$B$1+((Inputs!$G$5:$G$140&lt;&gt;"moeda")*(Inputs!$G$5:$G$140&lt;&gt;"acoes")))*INDEX(Inputs!$K$5:$AJ$140,0,MATCH(T$2,Inputs!$K$4:$AJ$4,0)))))</f>
        <v>-3.39073999999999</v>
      </c>
      <c r="U10" s="6">
        <f>IF(ISNA(MATCH(U$2,Inputs!$K$4:$AJ$4,0)),NA(),IF(SUMPRODUCT((Inputs!$A$5:$A$140=$B10)*ISNUMBER(INDEX(Inputs!$K$5:$AJ$140,0,MATCH(U$2,Inputs!$K$4:$AJ$4,0))))+SUMPRODUCT((Inputs!$C$5:$C$140=$B10)*ISNUMBER(INDEX(Inputs!$K$5:$AJ$140,0,MATCH(U$2,Inputs!$K$4:$AJ$4,0))))+SUMPRODUCT((Inputs!$E$5:$E$140=$B10)*ISNUMBER(INDEX(Inputs!$K$5:$AJ$140,0,MATCH(U$2,Inputs!$K$4:$AJ$4,0))))=0,NA(),SUMPRODUCT((Inputs!$A$5:$A$140=$B10)*Inputs!$B$5:$B$140*(((Inputs!$G$5:$G$140="moeda")+(Inputs!$G$5:$G$140="acoes"))*Inputs!$B$1+((Inputs!$G$5:$G$140&lt;&gt;"moeda")*(Inputs!$G$5:$G$140&lt;&gt;"acoes")))*INDEX(Inputs!$K$5:$AJ$140,0,MATCH(U$2,Inputs!$K$4:$AJ$4,0)))+SUMPRODUCT((Inputs!$C$5:$C$140=$B10)*Inputs!$D$5:$D$140*(((Inputs!$G$5:$G$140="moeda")+(Inputs!$G$5:$G$140="acoes"))*Inputs!$B$1+((Inputs!$G$5:$G$140&lt;&gt;"moeda")*(Inputs!$G$5:$G$140&lt;&gt;"acoes")))*INDEX(Inputs!$K$5:$AJ$140,0,MATCH(U$2,Inputs!$K$4:$AJ$4,0)))+SUMPRODUCT((Inputs!$E$5:$E$140=$B10)*Inputs!$F$5:$F$140*(((Inputs!$G$5:$G$140="moeda")+(Inputs!$G$5:$G$140="acoes"))*Inputs!$B$1+((Inputs!$G$5:$G$140&lt;&gt;"moeda")*(Inputs!$G$5:$G$140&lt;&gt;"acoes")))*INDEX(Inputs!$K$5:$AJ$140,0,MATCH(U$2,Inputs!$K$4:$AJ$4,0)))))</f>
        <v>-47.676</v>
      </c>
      <c r="V10" s="6">
        <f>IF(ISNA(MATCH(V$2,Inputs!$K$4:$AJ$4,0)),NA(),IF(SUMPRODUCT((Inputs!$A$5:$A$140=$B10)*ISNUMBER(INDEX(Inputs!$K$5:$AJ$140,0,MATCH(V$2,Inputs!$K$4:$AJ$4,0))))+SUMPRODUCT((Inputs!$C$5:$C$140=$B10)*ISNUMBER(INDEX(Inputs!$K$5:$AJ$140,0,MATCH(V$2,Inputs!$K$4:$AJ$4,0))))+SUMPRODUCT((Inputs!$E$5:$E$140=$B10)*ISNUMBER(INDEX(Inputs!$K$5:$AJ$140,0,MATCH(V$2,Inputs!$K$4:$AJ$4,0))))=0,NA(),SUMPRODUCT((Inputs!$A$5:$A$140=$B10)*Inputs!$B$5:$B$140*(((Inputs!$G$5:$G$140="moeda")+(Inputs!$G$5:$G$140="acoes"))*Inputs!$B$1+((Inputs!$G$5:$G$140&lt;&gt;"moeda")*(Inputs!$G$5:$G$140&lt;&gt;"acoes")))*INDEX(Inputs!$K$5:$AJ$140,0,MATCH(V$2,Inputs!$K$4:$AJ$4,0)))+SUMPRODUCT((Inputs!$C$5:$C$140=$B10)*Inputs!$D$5:$D$140*(((Inputs!$G$5:$G$140="moeda")+(Inputs!$G$5:$G$140="acoes"))*Inputs!$B$1+((Inputs!$G$5:$G$140&lt;&gt;"moeda")*(Inputs!$G$5:$G$140&lt;&gt;"acoes")))*INDEX(Inputs!$K$5:$AJ$140,0,MATCH(V$2,Inputs!$K$4:$AJ$4,0)))+SUMPRODUCT((Inputs!$E$5:$E$140=$B10)*Inputs!$F$5:$F$140*(((Inputs!$G$5:$G$140="moeda")+(Inputs!$G$5:$G$140="acoes"))*Inputs!$B$1+((Inputs!$G$5:$G$140&lt;&gt;"moeda")*(Inputs!$G$5:$G$140&lt;&gt;"acoes")))*INDEX(Inputs!$K$5:$AJ$140,0,MATCH(V$2,Inputs!$K$4:$AJ$4,0)))))</f>
        <v>-54.854</v>
      </c>
      <c r="W10" s="3">
        <f>SUM(S10:V10)</f>
        <v>-138.288984987315</v>
      </c>
      <c r="X10" s="6">
        <f>IF(ISNA(MATCH(X$2,Inputs!$K$4:$AJ$4,0)),NA(),IF(SUMPRODUCT((Inputs!$A$5:$A$140=$B10)*ISNUMBER(INDEX(Inputs!$K$5:$AJ$140,0,MATCH(X$2,Inputs!$K$4:$AJ$4,0))))+SUMPRODUCT((Inputs!$C$5:$C$140=$B10)*ISNUMBER(INDEX(Inputs!$K$5:$AJ$140,0,MATCH(X$2,Inputs!$K$4:$AJ$4,0))))+SUMPRODUCT((Inputs!$E$5:$E$140=$B10)*ISNUMBER(INDEX(Inputs!$K$5:$AJ$140,0,MATCH(X$2,Inputs!$K$4:$AJ$4,0))))=0,NA(),SUMPRODUCT((Inputs!$A$5:$A$140=$B10)*Inputs!$B$5:$B$140*(((Inputs!$G$5:$G$140="moeda")+(Inputs!$G$5:$G$140="acoes"))*Inputs!$B$1+((Inputs!$G$5:$G$140&lt;&gt;"moeda")*(Inputs!$G$5:$G$140&lt;&gt;"acoes")))*INDEX(Inputs!$K$5:$AJ$140,0,MATCH(X$2,Inputs!$K$4:$AJ$4,0)))+SUMPRODUCT((Inputs!$C$5:$C$140=$B10)*Inputs!$D$5:$D$140*(((Inputs!$G$5:$G$140="moeda")+(Inputs!$G$5:$G$140="acoes"))*Inputs!$B$1+((Inputs!$G$5:$G$140&lt;&gt;"moeda")*(Inputs!$G$5:$G$140&lt;&gt;"acoes")))*INDEX(Inputs!$K$5:$AJ$140,0,MATCH(X$2,Inputs!$K$4:$AJ$4,0)))+SUMPRODUCT((Inputs!$E$5:$E$140=$B10)*Inputs!$F$5:$F$140*(((Inputs!$G$5:$G$140="moeda")+(Inputs!$G$5:$G$140="acoes"))*Inputs!$B$1+((Inputs!$G$5:$G$140&lt;&gt;"moeda")*(Inputs!$G$5:$G$140&lt;&gt;"acoes")))*INDEX(Inputs!$K$5:$AJ$140,0,MATCH(X$2,Inputs!$K$4:$AJ$4,0)))))</f>
        <v>-23.065</v>
      </c>
      <c r="Y10" s="6">
        <f>IF(ISNA(MATCH(Y$2,Inputs!$K$4:$AJ$4,0)),NA(),IF(SUMPRODUCT((Inputs!$A$5:$A$140=$B10)*ISNUMBER(INDEX(Inputs!$K$5:$AJ$140,0,MATCH(Y$2,Inputs!$K$4:$AJ$4,0))))+SUMPRODUCT((Inputs!$C$5:$C$140=$B10)*ISNUMBER(INDEX(Inputs!$K$5:$AJ$140,0,MATCH(Y$2,Inputs!$K$4:$AJ$4,0))))+SUMPRODUCT((Inputs!$E$5:$E$140=$B10)*ISNUMBER(INDEX(Inputs!$K$5:$AJ$140,0,MATCH(Y$2,Inputs!$K$4:$AJ$4,0))))=0,NA(),SUMPRODUCT((Inputs!$A$5:$A$140=$B10)*Inputs!$B$5:$B$140*(((Inputs!$G$5:$G$140="moeda")+(Inputs!$G$5:$G$140="acoes"))*Inputs!$B$1+((Inputs!$G$5:$G$140&lt;&gt;"moeda")*(Inputs!$G$5:$G$140&lt;&gt;"acoes")))*INDEX(Inputs!$K$5:$AJ$140,0,MATCH(Y$2,Inputs!$K$4:$AJ$4,0)))+SUMPRODUCT((Inputs!$C$5:$C$140=$B10)*Inputs!$D$5:$D$140*(((Inputs!$G$5:$G$140="moeda")+(Inputs!$G$5:$G$140="acoes"))*Inputs!$B$1+((Inputs!$G$5:$G$140&lt;&gt;"moeda")*(Inputs!$G$5:$G$140&lt;&gt;"acoes")))*INDEX(Inputs!$K$5:$AJ$140,0,MATCH(Y$2,Inputs!$K$4:$AJ$4,0)))+SUMPRODUCT((Inputs!$E$5:$E$140=$B10)*Inputs!$F$5:$F$140*(((Inputs!$G$5:$G$140="moeda")+(Inputs!$G$5:$G$140="acoes"))*Inputs!$B$1+((Inputs!$G$5:$G$140&lt;&gt;"moeda")*(Inputs!$G$5:$G$140&lt;&gt;"acoes")))*INDEX(Inputs!$K$5:$AJ$140,0,MATCH(Y$2,Inputs!$K$4:$AJ$4,0)))))</f>
        <v>-57.566</v>
      </c>
      <c r="Z10" s="6">
        <f>IF(ISNA(MATCH(Z$2,Inputs!$K$4:$AJ$4,0)),NA(),IF(SUMPRODUCT((Inputs!$A$5:$A$140=$B10)*ISNUMBER(INDEX(Inputs!$K$5:$AJ$140,0,MATCH(Z$2,Inputs!$K$4:$AJ$4,0))))+SUMPRODUCT((Inputs!$C$5:$C$140=$B10)*ISNUMBER(INDEX(Inputs!$K$5:$AJ$140,0,MATCH(Z$2,Inputs!$K$4:$AJ$4,0))))+SUMPRODUCT((Inputs!$E$5:$E$140=$B10)*ISNUMBER(INDEX(Inputs!$K$5:$AJ$140,0,MATCH(Z$2,Inputs!$K$4:$AJ$4,0))))=0,NA(),SUMPRODUCT((Inputs!$A$5:$A$140=$B10)*Inputs!$B$5:$B$140*(((Inputs!$G$5:$G$140="moeda")+(Inputs!$G$5:$G$140="acoes"))*Inputs!$B$1+((Inputs!$G$5:$G$140&lt;&gt;"moeda")*(Inputs!$G$5:$G$140&lt;&gt;"acoes")))*INDEX(Inputs!$K$5:$AJ$140,0,MATCH(Z$2,Inputs!$K$4:$AJ$4,0)))+SUMPRODUCT((Inputs!$C$5:$C$140=$B10)*Inputs!$D$5:$D$140*(((Inputs!$G$5:$G$140="moeda")+(Inputs!$G$5:$G$140="acoes"))*Inputs!$B$1+((Inputs!$G$5:$G$140&lt;&gt;"moeda")*(Inputs!$G$5:$G$140&lt;&gt;"acoes")))*INDEX(Inputs!$K$5:$AJ$140,0,MATCH(Z$2,Inputs!$K$4:$AJ$4,0)))+SUMPRODUCT((Inputs!$E$5:$E$140=$B10)*Inputs!$F$5:$F$140*(((Inputs!$G$5:$G$140="moeda")+(Inputs!$G$5:$G$140="acoes"))*Inputs!$B$1+((Inputs!$G$5:$G$140&lt;&gt;"moeda")*(Inputs!$G$5:$G$140&lt;&gt;"acoes")))*INDEX(Inputs!$K$5:$AJ$140,0,MATCH(Z$2,Inputs!$K$4:$AJ$4,0)))))</f>
        <v>394.065</v>
      </c>
      <c r="AA10" s="6">
        <f>IF(ISNA(MATCH(AA$2,Inputs!$K$4:$AJ$4,0)),NA(),IF(SUMPRODUCT((Inputs!$A$5:$A$140=$B10)*ISNUMBER(INDEX(Inputs!$K$5:$AJ$140,0,MATCH(AA$2,Inputs!$K$4:$AJ$4,0))))+SUMPRODUCT((Inputs!$C$5:$C$140=$B10)*ISNUMBER(INDEX(Inputs!$K$5:$AJ$140,0,MATCH(AA$2,Inputs!$K$4:$AJ$4,0))))+SUMPRODUCT((Inputs!$E$5:$E$140=$B10)*ISNUMBER(INDEX(Inputs!$K$5:$AJ$140,0,MATCH(AA$2,Inputs!$K$4:$AJ$4,0))))=0,NA(),SUMPRODUCT((Inputs!$A$5:$A$140=$B10)*Inputs!$B$5:$B$140*(((Inputs!$G$5:$G$140="moeda")+(Inputs!$G$5:$G$140="acoes"))*Inputs!$B$1+((Inputs!$G$5:$G$140&lt;&gt;"moeda")*(Inputs!$G$5:$G$140&lt;&gt;"acoes")))*INDEX(Inputs!$K$5:$AJ$140,0,MATCH(AA$2,Inputs!$K$4:$AJ$4,0)))+SUMPRODUCT((Inputs!$C$5:$C$140=$B10)*Inputs!$D$5:$D$140*(((Inputs!$G$5:$G$140="moeda")+(Inputs!$G$5:$G$140="acoes"))*Inputs!$B$1+((Inputs!$G$5:$G$140&lt;&gt;"moeda")*(Inputs!$G$5:$G$140&lt;&gt;"acoes")))*INDEX(Inputs!$K$5:$AJ$140,0,MATCH(AA$2,Inputs!$K$4:$AJ$4,0)))+SUMPRODUCT((Inputs!$E$5:$E$140=$B10)*Inputs!$F$5:$F$140*(((Inputs!$G$5:$G$140="moeda")+(Inputs!$G$5:$G$140="acoes"))*Inputs!$B$1+((Inputs!$G$5:$G$140&lt;&gt;"moeda")*(Inputs!$G$5:$G$140&lt;&gt;"acoes")))*INDEX(Inputs!$K$5:$AJ$140,0,MATCH(AA$2,Inputs!$K$4:$AJ$4,0)))))</f>
        <v>196.259</v>
      </c>
      <c r="AB10" s="3">
        <f>SUM(X10:AA10)</f>
        <v>509.693</v>
      </c>
      <c r="AC10" s="6">
        <f>IF(ISNA(MATCH(AC$2,Inputs!$K$4:$AJ$4,0)),NA(),IF(SUMPRODUCT((Inputs!$A$5:$A$140=$B10)*ISNUMBER(INDEX(Inputs!$K$5:$AJ$140,0,MATCH(AC$2,Inputs!$K$4:$AJ$4,0))))+SUMPRODUCT((Inputs!$C$5:$C$140=$B10)*ISNUMBER(INDEX(Inputs!$K$5:$AJ$140,0,MATCH(AC$2,Inputs!$K$4:$AJ$4,0))))+SUMPRODUCT((Inputs!$E$5:$E$140=$B10)*ISNUMBER(INDEX(Inputs!$K$5:$AJ$140,0,MATCH(AC$2,Inputs!$K$4:$AJ$4,0))))=0,NA(),SUMPRODUCT((Inputs!$A$5:$A$140=$B10)*Inputs!$B$5:$B$140*(((Inputs!$G$5:$G$140="moeda")+(Inputs!$G$5:$G$140="acoes"))*Inputs!$B$1+((Inputs!$G$5:$G$140&lt;&gt;"moeda")*(Inputs!$G$5:$G$140&lt;&gt;"acoes")))*INDEX(Inputs!$K$5:$AJ$140,0,MATCH(AC$2,Inputs!$K$4:$AJ$4,0)))+SUMPRODUCT((Inputs!$C$5:$C$140=$B10)*Inputs!$D$5:$D$140*(((Inputs!$G$5:$G$140="moeda")+(Inputs!$G$5:$G$140="acoes"))*Inputs!$B$1+((Inputs!$G$5:$G$140&lt;&gt;"moeda")*(Inputs!$G$5:$G$140&lt;&gt;"acoes")))*INDEX(Inputs!$K$5:$AJ$140,0,MATCH(AC$2,Inputs!$K$4:$AJ$4,0)))+SUMPRODUCT((Inputs!$E$5:$E$140=$B10)*Inputs!$F$5:$F$140*(((Inputs!$G$5:$G$140="moeda")+(Inputs!$G$5:$G$140="acoes"))*Inputs!$B$1+((Inputs!$G$5:$G$140&lt;&gt;"moeda")*(Inputs!$G$5:$G$140&lt;&gt;"acoes")))*INDEX(Inputs!$K$5:$AJ$140,0,MATCH(AC$2,Inputs!$K$4:$AJ$4,0)))))</f>
        <v>28.464</v>
      </c>
      <c r="AD10" s="6">
        <f>IF(ISNA(MATCH(AD$2,Inputs!$K$4:$AJ$4,0)),NA(),IF(SUMPRODUCT((Inputs!$A$5:$A$140=$B10)*ISNUMBER(INDEX(Inputs!$K$5:$AJ$140,0,MATCH(AD$2,Inputs!$K$4:$AJ$4,0))))+SUMPRODUCT((Inputs!$C$5:$C$140=$B10)*ISNUMBER(INDEX(Inputs!$K$5:$AJ$140,0,MATCH(AD$2,Inputs!$K$4:$AJ$4,0))))+SUMPRODUCT((Inputs!$E$5:$E$140=$B10)*ISNUMBER(INDEX(Inputs!$K$5:$AJ$140,0,MATCH(AD$2,Inputs!$K$4:$AJ$4,0))))=0,NA(),SUMPRODUCT((Inputs!$A$5:$A$140=$B10)*Inputs!$B$5:$B$140*(((Inputs!$G$5:$G$140="moeda")+(Inputs!$G$5:$G$140="acoes"))*Inputs!$B$1+((Inputs!$G$5:$G$140&lt;&gt;"moeda")*(Inputs!$G$5:$G$140&lt;&gt;"acoes")))*INDEX(Inputs!$K$5:$AJ$140,0,MATCH(AD$2,Inputs!$K$4:$AJ$4,0)))+SUMPRODUCT((Inputs!$C$5:$C$140=$B10)*Inputs!$D$5:$D$140*(((Inputs!$G$5:$G$140="moeda")+(Inputs!$G$5:$G$140="acoes"))*Inputs!$B$1+((Inputs!$G$5:$G$140&lt;&gt;"moeda")*(Inputs!$G$5:$G$140&lt;&gt;"acoes")))*INDEX(Inputs!$K$5:$AJ$140,0,MATCH(AD$2,Inputs!$K$4:$AJ$4,0)))+SUMPRODUCT((Inputs!$E$5:$E$140=$B10)*Inputs!$F$5:$F$140*(((Inputs!$G$5:$G$140="moeda")+(Inputs!$G$5:$G$140="acoes"))*Inputs!$B$1+((Inputs!$G$5:$G$140&lt;&gt;"moeda")*(Inputs!$G$5:$G$140&lt;&gt;"acoes")))*INDEX(Inputs!$K$5:$AJ$140,0,MATCH(AD$2,Inputs!$K$4:$AJ$4,0)))))</f>
        <v>-14.673</v>
      </c>
      <c r="AE10" s="6" t="e">
        <f>IF(ISNA(MATCH(AE$2,Inputs!$K$4:$AJ$4,0)),NA(),IF(SUMPRODUCT((Inputs!$A$5:$A$140=$B10)*ISNUMBER(INDEX(Inputs!$K$5:$AJ$140,0,MATCH(AE$2,Inputs!$K$4:$AJ$4,0))))+SUMPRODUCT((Inputs!$C$5:$C$140=$B10)*ISNUMBER(INDEX(Inputs!$K$5:$AJ$140,0,MATCH(AE$2,Inputs!$K$4:$AJ$4,0))))+SUMPRODUCT((Inputs!$E$5:$E$140=$B10)*ISNUMBER(INDEX(Inputs!$K$5:$AJ$140,0,MATCH(AE$2,Inputs!$K$4:$AJ$4,0))))=0,NA(),SUMPRODUCT((Inputs!$A$5:$A$140=$B10)*Inputs!$B$5:$B$140*(((Inputs!$G$5:$G$140="moeda")+(Inputs!$G$5:$G$140="acoes"))*Inputs!$B$1+((Inputs!$G$5:$G$140&lt;&gt;"moeda")*(Inputs!$G$5:$G$140&lt;&gt;"acoes")))*INDEX(Inputs!$K$5:$AJ$140,0,MATCH(AE$2,Inputs!$K$4:$AJ$4,0)))+SUMPRODUCT((Inputs!$C$5:$C$140=$B10)*Inputs!$D$5:$D$140*(((Inputs!$G$5:$G$140="moeda")+(Inputs!$G$5:$G$140="acoes"))*Inputs!$B$1+((Inputs!$G$5:$G$140&lt;&gt;"moeda")*(Inputs!$G$5:$G$140&lt;&gt;"acoes")))*INDEX(Inputs!$K$5:$AJ$140,0,MATCH(AE$2,Inputs!$K$4:$AJ$4,0)))+SUMPRODUCT((Inputs!$E$5:$E$140=$B10)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0" s="6" t="e">
        <f>IF(ISNA(MATCH(AF$2,Inputs!$K$4:$AJ$4,0)),NA(),IF(SUMPRODUCT((Inputs!$A$5:$A$140=$B10)*ISNUMBER(INDEX(Inputs!$K$5:$AJ$140,0,MATCH(AF$2,Inputs!$K$4:$AJ$4,0))))+SUMPRODUCT((Inputs!$C$5:$C$140=$B10)*ISNUMBER(INDEX(Inputs!$K$5:$AJ$140,0,MATCH(AF$2,Inputs!$K$4:$AJ$4,0))))+SUMPRODUCT((Inputs!$E$5:$E$140=$B10)*ISNUMBER(INDEX(Inputs!$K$5:$AJ$140,0,MATCH(AF$2,Inputs!$K$4:$AJ$4,0))))=0,NA(),SUMPRODUCT((Inputs!$A$5:$A$140=$B10)*Inputs!$B$5:$B$140*(((Inputs!$G$5:$G$140="moeda")+(Inputs!$G$5:$G$140="acoes"))*Inputs!$B$1+((Inputs!$G$5:$G$140&lt;&gt;"moeda")*(Inputs!$G$5:$G$140&lt;&gt;"acoes")))*INDEX(Inputs!$K$5:$AJ$140,0,MATCH(AF$2,Inputs!$K$4:$AJ$4,0)))+SUMPRODUCT((Inputs!$C$5:$C$140=$B10)*Inputs!$D$5:$D$140*(((Inputs!$G$5:$G$140="moeda")+(Inputs!$G$5:$G$140="acoes"))*Inputs!$B$1+((Inputs!$G$5:$G$140&lt;&gt;"moeda")*(Inputs!$G$5:$G$140&lt;&gt;"acoes")))*INDEX(Inputs!$K$5:$AJ$140,0,MATCH(AF$2,Inputs!$K$4:$AJ$4,0)))+SUMPRODUCT((Inputs!$E$5:$E$140=$B10)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$140=$B10)*ISNUMBER(INDEX(Inputs!$K$5:$AJ$140,0,MATCH(AH$2,Inputs!$K$4:$AJ$4,0))))+SUMPRODUCT((Inputs!$C$5:$C$140=$B10)*ISNUMBER(INDEX(Inputs!$K$5:$AJ$140,0,MATCH(AH$2,Inputs!$K$4:$AJ$4,0))))+SUMPRODUCT((Inputs!$E$5:$E$140=$B10)*ISNUMBER(INDEX(Inputs!$K$5:$AJ$140,0,MATCH(AH$2,Inputs!$K$4:$AJ$4,0))))=0,NA(),SUMPRODUCT((Inputs!$A$5:$A$140=$B10)*Inputs!$B$5:$B$140*(((Inputs!$G$5:$G$140="moeda")+(Inputs!$G$5:$G$140="acoes"))*Inputs!$B$1+((Inputs!$G$5:$G$140&lt;&gt;"moeda")*(Inputs!$G$5:$G$140&lt;&gt;"acoes")))*INDEX(Inputs!$K$5:$AJ$140,0,MATCH(AH$2,Inputs!$K$4:$AJ$4,0)))+SUMPRODUCT((Inputs!$C$5:$C$140=$B10)*Inputs!$D$5:$D$140*(((Inputs!$G$5:$G$140="moeda")+(Inputs!$G$5:$G$140="acoes"))*Inputs!$B$1+((Inputs!$G$5:$G$140&lt;&gt;"moeda")*(Inputs!$G$5:$G$140&lt;&gt;"acoes")))*INDEX(Inputs!$K$5:$AJ$140,0,MATCH(AH$2,Inputs!$K$4:$AJ$4,0)))+SUMPRODUCT((Inputs!$E$5:$E$140=$B10)*Inputs!$F$5:$F$140*(((Inputs!$G$5:$G$140="moeda")+(Inputs!$G$5:$G$140="acoes"))*Inputs!$B$1+((Inputs!$G$5:$G$140&lt;&gt;"moeda")*(Inputs!$G$5:$G$140&lt;&gt;"acoes")))*INDEX(Inputs!$K$5:$AJ$140,0,MATCH(AH$2,Inputs!$K$4:$AJ$4,0)))))</f>
        <v>0</v>
      </c>
      <c r="AI10" s="6">
        <f>IF(ISNA(MATCH(AI$2,Inputs!$K$4:$AJ$4,0)),NA(),IF(SUMPRODUCT((Inputs!$A$5:$A$140=$B10)*ISNUMBER(INDEX(Inputs!$K$5:$AJ$140,0,MATCH(AI$2,Inputs!$K$4:$AJ$4,0))))+SUMPRODUCT((Inputs!$C$5:$C$140=$B10)*ISNUMBER(INDEX(Inputs!$K$5:$AJ$140,0,MATCH(AI$2,Inputs!$K$4:$AJ$4,0))))+SUMPRODUCT((Inputs!$E$5:$E$140=$B10)*ISNUMBER(INDEX(Inputs!$K$5:$AJ$140,0,MATCH(AI$2,Inputs!$K$4:$AJ$4,0))))=0,NA(),SUMPRODUCT((Inputs!$A$5:$A$140=$B10)*Inputs!$B$5:$B$140*(((Inputs!$G$5:$G$140="moeda")+(Inputs!$G$5:$G$140="acoes"))*Inputs!$B$1+((Inputs!$G$5:$G$140&lt;&gt;"moeda")*(Inputs!$G$5:$G$140&lt;&gt;"acoes")))*INDEX(Inputs!$K$5:$AJ$140,0,MATCH(AI$2,Inputs!$K$4:$AJ$4,0)))+SUMPRODUCT((Inputs!$C$5:$C$140=$B10)*Inputs!$D$5:$D$140*(((Inputs!$G$5:$G$140="moeda")+(Inputs!$G$5:$G$140="acoes"))*Inputs!$B$1+((Inputs!$G$5:$G$140&lt;&gt;"moeda")*(Inputs!$G$5:$G$140&lt;&gt;"acoes")))*INDEX(Inputs!$K$5:$AJ$140,0,MATCH(AI$2,Inputs!$K$4:$AJ$4,0)))+SUMPRODUCT((Inputs!$E$5:$E$140=$B10)*Inputs!$F$5:$F$140*(((Inputs!$G$5:$G$140="moeda")+(Inputs!$G$5:$G$140="acoes"))*Inputs!$B$1+((Inputs!$G$5:$G$140&lt;&gt;"moeda")*(Inputs!$G$5:$G$140&lt;&gt;"acoes")))*INDEX(Inputs!$K$5:$AJ$140,0,MATCH(AI$2,Inputs!$K$4:$AJ$4,0)))))</f>
        <v>0</v>
      </c>
      <c r="AJ10" s="6">
        <f>IF(ISNA(MATCH(AJ$2,Inputs!$K$4:$AJ$4,0)),NA(),IF(SUMPRODUCT((Inputs!$A$5:$A$140=$B10)*ISNUMBER(INDEX(Inputs!$K$5:$AJ$140,0,MATCH(AJ$2,Inputs!$K$4:$AJ$4,0))))+SUMPRODUCT((Inputs!$C$5:$C$140=$B10)*ISNUMBER(INDEX(Inputs!$K$5:$AJ$140,0,MATCH(AJ$2,Inputs!$K$4:$AJ$4,0))))+SUMPRODUCT((Inputs!$E$5:$E$140=$B10)*ISNUMBER(INDEX(Inputs!$K$5:$AJ$140,0,MATCH(AJ$2,Inputs!$K$4:$AJ$4,0))))=0,NA(),SUMPRODUCT((Inputs!$A$5:$A$140=$B10)*Inputs!$B$5:$B$140*(((Inputs!$G$5:$G$140="moeda")+(Inputs!$G$5:$G$140="acoes"))*Inputs!$B$1+((Inputs!$G$5:$G$140&lt;&gt;"moeda")*(Inputs!$G$5:$G$140&lt;&gt;"acoes")))*INDEX(Inputs!$K$5:$AJ$140,0,MATCH(AJ$2,Inputs!$K$4:$AJ$4,0)))+SUMPRODUCT((Inputs!$C$5:$C$140=$B10)*Inputs!$D$5:$D$140*(((Inputs!$G$5:$G$140="moeda")+(Inputs!$G$5:$G$140="acoes"))*Inputs!$B$1+((Inputs!$G$5:$G$140&lt;&gt;"moeda")*(Inputs!$G$5:$G$140&lt;&gt;"acoes")))*INDEX(Inputs!$K$5:$AJ$140,0,MATCH(AJ$2,Inputs!$K$4:$AJ$4,0)))+SUMPRODUCT((Inputs!$E$5:$E$140=$B10)*Inputs!$F$5:$F$140*(((Inputs!$G$5:$G$140="moeda")+(Inputs!$G$5:$G$140="acoes"))*Inputs!$B$1+((Inputs!$G$5:$G$140&lt;&gt;"moeda")*(Inputs!$G$5:$G$140&lt;&gt;"acoes")))*INDEX(Inputs!$K$5:$AJ$140,0,MATCH(AJ$2,Inputs!$K$4:$AJ$4,0)))))</f>
        <v>-1.244</v>
      </c>
      <c r="AK10" s="6">
        <f>IF(ISNA(MATCH(AK$2,Inputs!$K$4:$AJ$4,0)),NA(),IF(SUMPRODUCT((Inputs!$A$5:$A$140=$B10)*ISNUMBER(INDEX(Inputs!$K$5:$AJ$140,0,MATCH(AK$2,Inputs!$K$4:$AJ$4,0))))+SUMPRODUCT((Inputs!$C$5:$C$140=$B10)*ISNUMBER(INDEX(Inputs!$K$5:$AJ$140,0,MATCH(AK$2,Inputs!$K$4:$AJ$4,0))))+SUMPRODUCT((Inputs!$E$5:$E$140=$B10)*ISNUMBER(INDEX(Inputs!$K$5:$AJ$140,0,MATCH(AK$2,Inputs!$K$4:$AJ$4,0))))=0,NA(),SUMPRODUCT((Inputs!$A$5:$A$140=$B10)*Inputs!$B$5:$B$140*(((Inputs!$G$5:$G$140="moeda")+(Inputs!$G$5:$G$140="acoes"))*Inputs!$B$1+((Inputs!$G$5:$G$140&lt;&gt;"moeda")*(Inputs!$G$5:$G$140&lt;&gt;"acoes")))*INDEX(Inputs!$K$5:$AJ$140,0,MATCH(AK$2,Inputs!$K$4:$AJ$4,0)))+SUMPRODUCT((Inputs!$C$5:$C$140=$B10)*Inputs!$D$5:$D$140*(((Inputs!$G$5:$G$140="moeda")+(Inputs!$G$5:$G$140="acoes"))*Inputs!$B$1+((Inputs!$G$5:$G$140&lt;&gt;"moeda")*(Inputs!$G$5:$G$140&lt;&gt;"acoes")))*INDEX(Inputs!$K$5:$AJ$140,0,MATCH(AK$2,Inputs!$K$4:$AJ$4,0)))+SUMPRODUCT((Inputs!$E$5:$E$140=$B10)*Inputs!$F$5:$F$140*(((Inputs!$G$5:$G$140="moeda")+(Inputs!$G$5:$G$140="acoes"))*Inputs!$B$1+((Inputs!$G$5:$G$140&lt;&gt;"moeda")*(Inputs!$G$5:$G$140&lt;&gt;"acoes")))*INDEX(Inputs!$K$5:$AJ$140,0,MATCH(AK$2,Inputs!$K$4:$AJ$4,0)))))</f>
        <v>2.973</v>
      </c>
      <c r="AL10" s="3">
        <f>SUM(AH10:AK10)</f>
        <v>1.729</v>
      </c>
    </row>
    <row r="11">
      <c r="B11" s="46" t="n">
        <v>8</v>
      </c>
      <c r="C11" s="26" t="inlineStr">
        <is>
          <t>Equity in Income of Affiliates, after tax (enter as +)</t>
        </is>
      </c>
      <c r="D11" s="6" t="e">
        <f>IF(ISNA(MATCH(D$2,Inputs!$K$4:$AJ$4,0)),NA(),IF(SUMPRODUCT((Inputs!$A$5:$A$140=$B11)*ISNUMBER(INDEX(Inputs!$K$5:$AJ$140,0,MATCH(D$2,Inputs!$K$4:$AJ$4,0))))+SUMPRODUCT((Inputs!$C$5:$C$140=$B11)*ISNUMBER(INDEX(Inputs!$K$5:$AJ$140,0,MATCH(D$2,Inputs!$K$4:$AJ$4,0))))+SUMPRODUCT((Inputs!$E$5:$E$140=$B11)*ISNUMBER(INDEX(Inputs!$K$5:$AJ$140,0,MATCH(D$2,Inputs!$K$4:$AJ$4,0))))=0,NA(),SUMPRODUCT((Inputs!$A$5:$A$140=$B11)*Inputs!$B$5:$B$140*(((Inputs!$G$5:$G$140="moeda")+(Inputs!$G$5:$G$140="acoes"))*Inputs!$B$1+((Inputs!$G$5:$G$140&lt;&gt;"moeda")*(Inputs!$G$5:$G$140&lt;&gt;"acoes")))*INDEX(Inputs!$K$5:$AJ$140,0,MATCH(D$2,Inputs!$K$4:$AJ$4,0)))+SUMPRODUCT((Inputs!$C$5:$C$140=$B11)*Inputs!$D$5:$D$140*(((Inputs!$G$5:$G$140="moeda")+(Inputs!$G$5:$G$140="acoes"))*Inputs!$B$1+((Inputs!$G$5:$G$140&lt;&gt;"moeda")*(Inputs!$G$5:$G$140&lt;&gt;"acoes")))*INDEX(Inputs!$K$5:$AJ$140,0,MATCH(D$2,Inputs!$K$4:$AJ$4,0)))+SUMPRODUCT((Inputs!$E$5:$E$140=$B11)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11" s="6" t="e">
        <f>IF(ISNA(MATCH(E$2,Inputs!$K$4:$AJ$4,0)),NA(),IF(SUMPRODUCT((Inputs!$A$5:$A$140=$B11)*ISNUMBER(INDEX(Inputs!$K$5:$AJ$140,0,MATCH(E$2,Inputs!$K$4:$AJ$4,0))))+SUMPRODUCT((Inputs!$C$5:$C$140=$B11)*ISNUMBER(INDEX(Inputs!$K$5:$AJ$140,0,MATCH(E$2,Inputs!$K$4:$AJ$4,0))))+SUMPRODUCT((Inputs!$E$5:$E$140=$B11)*ISNUMBER(INDEX(Inputs!$K$5:$AJ$140,0,MATCH(E$2,Inputs!$K$4:$AJ$4,0))))=0,NA(),SUMPRODUCT((Inputs!$A$5:$A$140=$B11)*Inputs!$B$5:$B$140*(((Inputs!$G$5:$G$140="moeda")+(Inputs!$G$5:$G$140="acoes"))*Inputs!$B$1+((Inputs!$G$5:$G$140&lt;&gt;"moeda")*(Inputs!$G$5:$G$140&lt;&gt;"acoes")))*INDEX(Inputs!$K$5:$AJ$140,0,MATCH(E$2,Inputs!$K$4:$AJ$4,0)))+SUMPRODUCT((Inputs!$C$5:$C$140=$B11)*Inputs!$D$5:$D$140*(((Inputs!$G$5:$G$140="moeda")+(Inputs!$G$5:$G$140="acoes"))*Inputs!$B$1+((Inputs!$G$5:$G$140&lt;&gt;"moeda")*(Inputs!$G$5:$G$140&lt;&gt;"acoes")))*INDEX(Inputs!$K$5:$AJ$140,0,MATCH(E$2,Inputs!$K$4:$AJ$4,0)))+SUMPRODUCT((Inputs!$E$5:$E$140=$B11)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11" s="6" t="e">
        <f>IF(ISNA(MATCH(F$2,Inputs!$K$4:$AJ$4,0)),NA(),IF(SUMPRODUCT((Inputs!$A$5:$A$140=$B11)*ISNUMBER(INDEX(Inputs!$K$5:$AJ$140,0,MATCH(F$2,Inputs!$K$4:$AJ$4,0))))+SUMPRODUCT((Inputs!$C$5:$C$140=$B11)*ISNUMBER(INDEX(Inputs!$K$5:$AJ$140,0,MATCH(F$2,Inputs!$K$4:$AJ$4,0))))+SUMPRODUCT((Inputs!$E$5:$E$140=$B11)*ISNUMBER(INDEX(Inputs!$K$5:$AJ$140,0,MATCH(F$2,Inputs!$K$4:$AJ$4,0))))=0,NA(),SUMPRODUCT((Inputs!$A$5:$A$140=$B11)*Inputs!$B$5:$B$140*(((Inputs!$G$5:$G$140="moeda")+(Inputs!$G$5:$G$140="acoes"))*Inputs!$B$1+((Inputs!$G$5:$G$140&lt;&gt;"moeda")*(Inputs!$G$5:$G$140&lt;&gt;"acoes")))*INDEX(Inputs!$K$5:$AJ$140,0,MATCH(F$2,Inputs!$K$4:$AJ$4,0)))+SUMPRODUCT((Inputs!$C$5:$C$140=$B11)*Inputs!$D$5:$D$140*(((Inputs!$G$5:$G$140="moeda")+(Inputs!$G$5:$G$140="acoes"))*Inputs!$B$1+((Inputs!$G$5:$G$140&lt;&gt;"moeda")*(Inputs!$G$5:$G$140&lt;&gt;"acoes")))*INDEX(Inputs!$K$5:$AJ$140,0,MATCH(F$2,Inputs!$K$4:$AJ$4,0)))+SUMPRODUCT((Inputs!$E$5:$E$140=$B11)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11" s="6" t="e">
        <f>IF(ISNA(MATCH(G$2,Inputs!$K$4:$AJ$4,0)),NA(),IF(SUMPRODUCT((Inputs!$A$5:$A$140=$B11)*ISNUMBER(INDEX(Inputs!$K$5:$AJ$140,0,MATCH(G$2,Inputs!$K$4:$AJ$4,0))))+SUMPRODUCT((Inputs!$C$5:$C$140=$B11)*ISNUMBER(INDEX(Inputs!$K$5:$AJ$140,0,MATCH(G$2,Inputs!$K$4:$AJ$4,0))))+SUMPRODUCT((Inputs!$E$5:$E$140=$B11)*ISNUMBER(INDEX(Inputs!$K$5:$AJ$140,0,MATCH(G$2,Inputs!$K$4:$AJ$4,0))))=0,NA(),SUMPRODUCT((Inputs!$A$5:$A$140=$B11)*Inputs!$B$5:$B$140*(((Inputs!$G$5:$G$140="moeda")+(Inputs!$G$5:$G$140="acoes"))*Inputs!$B$1+((Inputs!$G$5:$G$140&lt;&gt;"moeda")*(Inputs!$G$5:$G$140&lt;&gt;"acoes")))*INDEX(Inputs!$K$5:$AJ$140,0,MATCH(G$2,Inputs!$K$4:$AJ$4,0)))+SUMPRODUCT((Inputs!$C$5:$C$140=$B11)*Inputs!$D$5:$D$140*(((Inputs!$G$5:$G$140="moeda")+(Inputs!$G$5:$G$140="acoes"))*Inputs!$B$1+((Inputs!$G$5:$G$140&lt;&gt;"moeda")*(Inputs!$G$5:$G$140&lt;&gt;"acoes")))*INDEX(Inputs!$K$5:$AJ$140,0,MATCH(G$2,Inputs!$K$4:$AJ$4,0)))+SUMPRODUCT((Inputs!$E$5:$E$140=$B11)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11" s="3" t="e">
        <f>SUM(D11:G11)</f>
        <v>#N/A</v>
      </c>
      <c r="I11" s="6" t="e">
        <f>IF(ISNA(MATCH(I$2,Inputs!$K$4:$AJ$4,0)),NA(),IF(SUMPRODUCT((Inputs!$A$5:$A$140=$B11)*ISNUMBER(INDEX(Inputs!$K$5:$AJ$140,0,MATCH(I$2,Inputs!$K$4:$AJ$4,0))))+SUMPRODUCT((Inputs!$C$5:$C$140=$B11)*ISNUMBER(INDEX(Inputs!$K$5:$AJ$140,0,MATCH(I$2,Inputs!$K$4:$AJ$4,0))))+SUMPRODUCT((Inputs!$E$5:$E$140=$B11)*ISNUMBER(INDEX(Inputs!$K$5:$AJ$140,0,MATCH(I$2,Inputs!$K$4:$AJ$4,0))))=0,NA(),SUMPRODUCT((Inputs!$A$5:$A$140=$B11)*Inputs!$B$5:$B$140*(((Inputs!$G$5:$G$140="moeda")+(Inputs!$G$5:$G$140="acoes"))*Inputs!$B$1+((Inputs!$G$5:$G$140&lt;&gt;"moeda")*(Inputs!$G$5:$G$140&lt;&gt;"acoes")))*INDEX(Inputs!$K$5:$AJ$140,0,MATCH(I$2,Inputs!$K$4:$AJ$4,0)))+SUMPRODUCT((Inputs!$C$5:$C$140=$B11)*Inputs!$D$5:$D$140*(((Inputs!$G$5:$G$140="moeda")+(Inputs!$G$5:$G$140="acoes"))*Inputs!$B$1+((Inputs!$G$5:$G$140&lt;&gt;"moeda")*(Inputs!$G$5:$G$140&lt;&gt;"acoes")))*INDEX(Inputs!$K$5:$AJ$140,0,MATCH(I$2,Inputs!$K$4:$AJ$4,0)))+SUMPRODUCT((Inputs!$E$5:$E$140=$B11)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11" s="6" t="e">
        <f>IF(ISNA(MATCH(J$2,Inputs!$K$4:$AJ$4,0)),NA(),IF(SUMPRODUCT((Inputs!$A$5:$A$140=$B11)*ISNUMBER(INDEX(Inputs!$K$5:$AJ$140,0,MATCH(J$2,Inputs!$K$4:$AJ$4,0))))+SUMPRODUCT((Inputs!$C$5:$C$140=$B11)*ISNUMBER(INDEX(Inputs!$K$5:$AJ$140,0,MATCH(J$2,Inputs!$K$4:$AJ$4,0))))+SUMPRODUCT((Inputs!$E$5:$E$140=$B11)*ISNUMBER(INDEX(Inputs!$K$5:$AJ$140,0,MATCH(J$2,Inputs!$K$4:$AJ$4,0))))=0,NA(),SUMPRODUCT((Inputs!$A$5:$A$140=$B11)*Inputs!$B$5:$B$140*(((Inputs!$G$5:$G$140="moeda")+(Inputs!$G$5:$G$140="acoes"))*Inputs!$B$1+((Inputs!$G$5:$G$140&lt;&gt;"moeda")*(Inputs!$G$5:$G$140&lt;&gt;"acoes")))*INDEX(Inputs!$K$5:$AJ$140,0,MATCH(J$2,Inputs!$K$4:$AJ$4,0)))+SUMPRODUCT((Inputs!$C$5:$C$140=$B11)*Inputs!$D$5:$D$140*(((Inputs!$G$5:$G$140="moeda")+(Inputs!$G$5:$G$140="acoes"))*Inputs!$B$1+((Inputs!$G$5:$G$140&lt;&gt;"moeda")*(Inputs!$G$5:$G$140&lt;&gt;"acoes")))*INDEX(Inputs!$K$5:$AJ$140,0,MATCH(J$2,Inputs!$K$4:$AJ$4,0)))+SUMPRODUCT((Inputs!$E$5:$E$140=$B11)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11" s="6" t="e">
        <f>IF(ISNA(MATCH(K$2,Inputs!$K$4:$AJ$4,0)),NA(),IF(SUMPRODUCT((Inputs!$A$5:$A$140=$B11)*ISNUMBER(INDEX(Inputs!$K$5:$AJ$140,0,MATCH(K$2,Inputs!$K$4:$AJ$4,0))))+SUMPRODUCT((Inputs!$C$5:$C$140=$B11)*ISNUMBER(INDEX(Inputs!$K$5:$AJ$140,0,MATCH(K$2,Inputs!$K$4:$AJ$4,0))))+SUMPRODUCT((Inputs!$E$5:$E$140=$B11)*ISNUMBER(INDEX(Inputs!$K$5:$AJ$140,0,MATCH(K$2,Inputs!$K$4:$AJ$4,0))))=0,NA(),SUMPRODUCT((Inputs!$A$5:$A$140=$B11)*Inputs!$B$5:$B$140*(((Inputs!$G$5:$G$140="moeda")+(Inputs!$G$5:$G$140="acoes"))*Inputs!$B$1+((Inputs!$G$5:$G$140&lt;&gt;"moeda")*(Inputs!$G$5:$G$140&lt;&gt;"acoes")))*INDEX(Inputs!$K$5:$AJ$140,0,MATCH(K$2,Inputs!$K$4:$AJ$4,0)))+SUMPRODUCT((Inputs!$C$5:$C$140=$B11)*Inputs!$D$5:$D$140*(((Inputs!$G$5:$G$140="moeda")+(Inputs!$G$5:$G$140="acoes"))*Inputs!$B$1+((Inputs!$G$5:$G$140&lt;&gt;"moeda")*(Inputs!$G$5:$G$140&lt;&gt;"acoes")))*INDEX(Inputs!$K$5:$AJ$140,0,MATCH(K$2,Inputs!$K$4:$AJ$4,0)))+SUMPRODUCT((Inputs!$E$5:$E$140=$B11)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11" s="6" t="e">
        <f>IF(ISNA(MATCH(L$2,Inputs!$K$4:$AJ$4,0)),NA(),IF(SUMPRODUCT((Inputs!$A$5:$A$140=$B11)*ISNUMBER(INDEX(Inputs!$K$5:$AJ$140,0,MATCH(L$2,Inputs!$K$4:$AJ$4,0))))+SUMPRODUCT((Inputs!$C$5:$C$140=$B11)*ISNUMBER(INDEX(Inputs!$K$5:$AJ$140,0,MATCH(L$2,Inputs!$K$4:$AJ$4,0))))+SUMPRODUCT((Inputs!$E$5:$E$140=$B11)*ISNUMBER(INDEX(Inputs!$K$5:$AJ$140,0,MATCH(L$2,Inputs!$K$4:$AJ$4,0))))=0,NA(),SUMPRODUCT((Inputs!$A$5:$A$140=$B11)*Inputs!$B$5:$B$140*(((Inputs!$G$5:$G$140="moeda")+(Inputs!$G$5:$G$140="acoes"))*Inputs!$B$1+((Inputs!$G$5:$G$140&lt;&gt;"moeda")*(Inputs!$G$5:$G$140&lt;&gt;"acoes")))*INDEX(Inputs!$K$5:$AJ$140,0,MATCH(L$2,Inputs!$K$4:$AJ$4,0)))+SUMPRODUCT((Inputs!$C$5:$C$140=$B11)*Inputs!$D$5:$D$140*(((Inputs!$G$5:$G$140="moeda")+(Inputs!$G$5:$G$140="acoes"))*Inputs!$B$1+((Inputs!$G$5:$G$140&lt;&gt;"moeda")*(Inputs!$G$5:$G$140&lt;&gt;"acoes")))*INDEX(Inputs!$K$5:$AJ$140,0,MATCH(L$2,Inputs!$K$4:$AJ$4,0)))+SUMPRODUCT((Inputs!$E$5:$E$140=$B11)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11" s="3" t="e">
        <f>SUM(I11:L11)</f>
        <v>#N/A</v>
      </c>
      <c r="N11" s="6" t="e">
        <f>IF(ISNA(MATCH(N$2,Inputs!$K$4:$AJ$4,0)),NA(),IF(SUMPRODUCT((Inputs!$A$5:$A$140=$B11)*ISNUMBER(INDEX(Inputs!$K$5:$AJ$140,0,MATCH(N$2,Inputs!$K$4:$AJ$4,0))))+SUMPRODUCT((Inputs!$C$5:$C$140=$B11)*ISNUMBER(INDEX(Inputs!$K$5:$AJ$140,0,MATCH(N$2,Inputs!$K$4:$AJ$4,0))))+SUMPRODUCT((Inputs!$E$5:$E$140=$B11)*ISNUMBER(INDEX(Inputs!$K$5:$AJ$140,0,MATCH(N$2,Inputs!$K$4:$AJ$4,0))))=0,NA(),SUMPRODUCT((Inputs!$A$5:$A$140=$B11)*Inputs!$B$5:$B$140*(((Inputs!$G$5:$G$140="moeda")+(Inputs!$G$5:$G$140="acoes"))*Inputs!$B$1+((Inputs!$G$5:$G$140&lt;&gt;"moeda")*(Inputs!$G$5:$G$140&lt;&gt;"acoes")))*INDEX(Inputs!$K$5:$AJ$140,0,MATCH(N$2,Inputs!$K$4:$AJ$4,0)))+SUMPRODUCT((Inputs!$C$5:$C$140=$B11)*Inputs!$D$5:$D$140*(((Inputs!$G$5:$G$140="moeda")+(Inputs!$G$5:$G$140="acoes"))*Inputs!$B$1+((Inputs!$G$5:$G$140&lt;&gt;"moeda")*(Inputs!$G$5:$G$140&lt;&gt;"acoes")))*INDEX(Inputs!$K$5:$AJ$140,0,MATCH(N$2,Inputs!$K$4:$AJ$4,0)))+SUMPRODUCT((Inputs!$E$5:$E$140=$B11)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11" s="6" t="e">
        <f>IF(ISNA(MATCH(O$2,Inputs!$K$4:$AJ$4,0)),NA(),IF(SUMPRODUCT((Inputs!$A$5:$A$140=$B11)*ISNUMBER(INDEX(Inputs!$K$5:$AJ$140,0,MATCH(O$2,Inputs!$K$4:$AJ$4,0))))+SUMPRODUCT((Inputs!$C$5:$C$140=$B11)*ISNUMBER(INDEX(Inputs!$K$5:$AJ$140,0,MATCH(O$2,Inputs!$K$4:$AJ$4,0))))+SUMPRODUCT((Inputs!$E$5:$E$140=$B11)*ISNUMBER(INDEX(Inputs!$K$5:$AJ$140,0,MATCH(O$2,Inputs!$K$4:$AJ$4,0))))=0,NA(),SUMPRODUCT((Inputs!$A$5:$A$140=$B11)*Inputs!$B$5:$B$140*(((Inputs!$G$5:$G$140="moeda")+(Inputs!$G$5:$G$140="acoes"))*Inputs!$B$1+((Inputs!$G$5:$G$140&lt;&gt;"moeda")*(Inputs!$G$5:$G$140&lt;&gt;"acoes")))*INDEX(Inputs!$K$5:$AJ$140,0,MATCH(O$2,Inputs!$K$4:$AJ$4,0)))+SUMPRODUCT((Inputs!$C$5:$C$140=$B11)*Inputs!$D$5:$D$140*(((Inputs!$G$5:$G$140="moeda")+(Inputs!$G$5:$G$140="acoes"))*Inputs!$B$1+((Inputs!$G$5:$G$140&lt;&gt;"moeda")*(Inputs!$G$5:$G$140&lt;&gt;"acoes")))*INDEX(Inputs!$K$5:$AJ$140,0,MATCH(O$2,Inputs!$K$4:$AJ$4,0)))+SUMPRODUCT((Inputs!$E$5:$E$140=$B11)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11" s="6" t="e">
        <f>IF(ISNA(MATCH(P$2,Inputs!$K$4:$AJ$4,0)),NA(),IF(SUMPRODUCT((Inputs!$A$5:$A$140=$B11)*ISNUMBER(INDEX(Inputs!$K$5:$AJ$140,0,MATCH(P$2,Inputs!$K$4:$AJ$4,0))))+SUMPRODUCT((Inputs!$C$5:$C$140=$B11)*ISNUMBER(INDEX(Inputs!$K$5:$AJ$140,0,MATCH(P$2,Inputs!$K$4:$AJ$4,0))))+SUMPRODUCT((Inputs!$E$5:$E$140=$B11)*ISNUMBER(INDEX(Inputs!$K$5:$AJ$140,0,MATCH(P$2,Inputs!$K$4:$AJ$4,0))))=0,NA(),SUMPRODUCT((Inputs!$A$5:$A$140=$B11)*Inputs!$B$5:$B$140*(((Inputs!$G$5:$G$140="moeda")+(Inputs!$G$5:$G$140="acoes"))*Inputs!$B$1+((Inputs!$G$5:$G$140&lt;&gt;"moeda")*(Inputs!$G$5:$G$140&lt;&gt;"acoes")))*INDEX(Inputs!$K$5:$AJ$140,0,MATCH(P$2,Inputs!$K$4:$AJ$4,0)))+SUMPRODUCT((Inputs!$C$5:$C$140=$B11)*Inputs!$D$5:$D$140*(((Inputs!$G$5:$G$140="moeda")+(Inputs!$G$5:$G$140="acoes"))*Inputs!$B$1+((Inputs!$G$5:$G$140&lt;&gt;"moeda")*(Inputs!$G$5:$G$140&lt;&gt;"acoes")))*INDEX(Inputs!$K$5:$AJ$140,0,MATCH(P$2,Inputs!$K$4:$AJ$4,0)))+SUMPRODUCT((Inputs!$E$5:$E$140=$B11)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11" s="6" t="e">
        <f>IF(ISNA(MATCH(Q$2,Inputs!$K$4:$AJ$4,0)),NA(),IF(SUMPRODUCT((Inputs!$A$5:$A$140=$B11)*ISNUMBER(INDEX(Inputs!$K$5:$AJ$140,0,MATCH(Q$2,Inputs!$K$4:$AJ$4,0))))+SUMPRODUCT((Inputs!$C$5:$C$140=$B11)*ISNUMBER(INDEX(Inputs!$K$5:$AJ$140,0,MATCH(Q$2,Inputs!$K$4:$AJ$4,0))))+SUMPRODUCT((Inputs!$E$5:$E$140=$B11)*ISNUMBER(INDEX(Inputs!$K$5:$AJ$140,0,MATCH(Q$2,Inputs!$K$4:$AJ$4,0))))=0,NA(),SUMPRODUCT((Inputs!$A$5:$A$140=$B11)*Inputs!$B$5:$B$140*(((Inputs!$G$5:$G$140="moeda")+(Inputs!$G$5:$G$140="acoes"))*Inputs!$B$1+((Inputs!$G$5:$G$140&lt;&gt;"moeda")*(Inputs!$G$5:$G$140&lt;&gt;"acoes")))*INDEX(Inputs!$K$5:$AJ$140,0,MATCH(Q$2,Inputs!$K$4:$AJ$4,0)))+SUMPRODUCT((Inputs!$C$5:$C$140=$B11)*Inputs!$D$5:$D$140*(((Inputs!$G$5:$G$140="moeda")+(Inputs!$G$5:$G$140="acoes"))*Inputs!$B$1+((Inputs!$G$5:$G$140&lt;&gt;"moeda")*(Inputs!$G$5:$G$140&lt;&gt;"acoes")))*INDEX(Inputs!$K$5:$AJ$140,0,MATCH(Q$2,Inputs!$K$4:$AJ$4,0)))+SUMPRODUCT((Inputs!$E$5:$E$140=$B11)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11" s="3" t="e">
        <f>SUM(N11:Q11)</f>
        <v>#N/A</v>
      </c>
      <c r="S11" s="6" t="e">
        <f>IF(ISNA(MATCH(S$2,Inputs!$K$4:$AJ$4,0)),NA(),IF(SUMPRODUCT((Inputs!$A$5:$A$140=$B11)*ISNUMBER(INDEX(Inputs!$K$5:$AJ$140,0,MATCH(S$2,Inputs!$K$4:$AJ$4,0))))+SUMPRODUCT((Inputs!$C$5:$C$140=$B11)*ISNUMBER(INDEX(Inputs!$K$5:$AJ$140,0,MATCH(S$2,Inputs!$K$4:$AJ$4,0))))+SUMPRODUCT((Inputs!$E$5:$E$140=$B11)*ISNUMBER(INDEX(Inputs!$K$5:$AJ$140,0,MATCH(S$2,Inputs!$K$4:$AJ$4,0))))=0,NA(),SUMPRODUCT((Inputs!$A$5:$A$140=$B11)*Inputs!$B$5:$B$140*(((Inputs!$G$5:$G$140="moeda")+(Inputs!$G$5:$G$140="acoes"))*Inputs!$B$1+((Inputs!$G$5:$G$140&lt;&gt;"moeda")*(Inputs!$G$5:$G$140&lt;&gt;"acoes")))*INDEX(Inputs!$K$5:$AJ$140,0,MATCH(S$2,Inputs!$K$4:$AJ$4,0)))+SUMPRODUCT((Inputs!$C$5:$C$140=$B11)*Inputs!$D$5:$D$140*(((Inputs!$G$5:$G$140="moeda")+(Inputs!$G$5:$G$140="acoes"))*Inputs!$B$1+((Inputs!$G$5:$G$140&lt;&gt;"moeda")*(Inputs!$G$5:$G$140&lt;&gt;"acoes")))*INDEX(Inputs!$K$5:$AJ$140,0,MATCH(S$2,Inputs!$K$4:$AJ$4,0)))+SUMPRODUCT((Inputs!$E$5:$E$140=$B11)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11" s="6" t="e">
        <f>IF(ISNA(MATCH(T$2,Inputs!$K$4:$AJ$4,0)),NA(),IF(SUMPRODUCT((Inputs!$A$5:$A$140=$B11)*ISNUMBER(INDEX(Inputs!$K$5:$AJ$140,0,MATCH(T$2,Inputs!$K$4:$AJ$4,0))))+SUMPRODUCT((Inputs!$C$5:$C$140=$B11)*ISNUMBER(INDEX(Inputs!$K$5:$AJ$140,0,MATCH(T$2,Inputs!$K$4:$AJ$4,0))))+SUMPRODUCT((Inputs!$E$5:$E$140=$B11)*ISNUMBER(INDEX(Inputs!$K$5:$AJ$140,0,MATCH(T$2,Inputs!$K$4:$AJ$4,0))))=0,NA(),SUMPRODUCT((Inputs!$A$5:$A$140=$B11)*Inputs!$B$5:$B$140*(((Inputs!$G$5:$G$140="moeda")+(Inputs!$G$5:$G$140="acoes"))*Inputs!$B$1+((Inputs!$G$5:$G$140&lt;&gt;"moeda")*(Inputs!$G$5:$G$140&lt;&gt;"acoes")))*INDEX(Inputs!$K$5:$AJ$140,0,MATCH(T$2,Inputs!$K$4:$AJ$4,0)))+SUMPRODUCT((Inputs!$C$5:$C$140=$B11)*Inputs!$D$5:$D$140*(((Inputs!$G$5:$G$140="moeda")+(Inputs!$G$5:$G$140="acoes"))*Inputs!$B$1+((Inputs!$G$5:$G$140&lt;&gt;"moeda")*(Inputs!$G$5:$G$140&lt;&gt;"acoes")))*INDEX(Inputs!$K$5:$AJ$140,0,MATCH(T$2,Inputs!$K$4:$AJ$4,0)))+SUMPRODUCT((Inputs!$E$5:$E$140=$B11)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11" s="6" t="e">
        <f>IF(ISNA(MATCH(U$2,Inputs!$K$4:$AJ$4,0)),NA(),IF(SUMPRODUCT((Inputs!$A$5:$A$140=$B11)*ISNUMBER(INDEX(Inputs!$K$5:$AJ$140,0,MATCH(U$2,Inputs!$K$4:$AJ$4,0))))+SUMPRODUCT((Inputs!$C$5:$C$140=$B11)*ISNUMBER(INDEX(Inputs!$K$5:$AJ$140,0,MATCH(U$2,Inputs!$K$4:$AJ$4,0))))+SUMPRODUCT((Inputs!$E$5:$E$140=$B11)*ISNUMBER(INDEX(Inputs!$K$5:$AJ$140,0,MATCH(U$2,Inputs!$K$4:$AJ$4,0))))=0,NA(),SUMPRODUCT((Inputs!$A$5:$A$140=$B11)*Inputs!$B$5:$B$140*(((Inputs!$G$5:$G$140="moeda")+(Inputs!$G$5:$G$140="acoes"))*Inputs!$B$1+((Inputs!$G$5:$G$140&lt;&gt;"moeda")*(Inputs!$G$5:$G$140&lt;&gt;"acoes")))*INDEX(Inputs!$K$5:$AJ$140,0,MATCH(U$2,Inputs!$K$4:$AJ$4,0)))+SUMPRODUCT((Inputs!$C$5:$C$140=$B11)*Inputs!$D$5:$D$140*(((Inputs!$G$5:$G$140="moeda")+(Inputs!$G$5:$G$140="acoes"))*Inputs!$B$1+((Inputs!$G$5:$G$140&lt;&gt;"moeda")*(Inputs!$G$5:$G$140&lt;&gt;"acoes")))*INDEX(Inputs!$K$5:$AJ$140,0,MATCH(U$2,Inputs!$K$4:$AJ$4,0)))+SUMPRODUCT((Inputs!$E$5:$E$140=$B11)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11" s="6" t="e">
        <f>IF(ISNA(MATCH(V$2,Inputs!$K$4:$AJ$4,0)),NA(),IF(SUMPRODUCT((Inputs!$A$5:$A$140=$B11)*ISNUMBER(INDEX(Inputs!$K$5:$AJ$140,0,MATCH(V$2,Inputs!$K$4:$AJ$4,0))))+SUMPRODUCT((Inputs!$C$5:$C$140=$B11)*ISNUMBER(INDEX(Inputs!$K$5:$AJ$140,0,MATCH(V$2,Inputs!$K$4:$AJ$4,0))))+SUMPRODUCT((Inputs!$E$5:$E$140=$B11)*ISNUMBER(INDEX(Inputs!$K$5:$AJ$140,0,MATCH(V$2,Inputs!$K$4:$AJ$4,0))))=0,NA(),SUMPRODUCT((Inputs!$A$5:$A$140=$B11)*Inputs!$B$5:$B$140*(((Inputs!$G$5:$G$140="moeda")+(Inputs!$G$5:$G$140="acoes"))*Inputs!$B$1+((Inputs!$G$5:$G$140&lt;&gt;"moeda")*(Inputs!$G$5:$G$140&lt;&gt;"acoes")))*INDEX(Inputs!$K$5:$AJ$140,0,MATCH(V$2,Inputs!$K$4:$AJ$4,0)))+SUMPRODUCT((Inputs!$C$5:$C$140=$B11)*Inputs!$D$5:$D$140*(((Inputs!$G$5:$G$140="moeda")+(Inputs!$G$5:$G$140="acoes"))*Inputs!$B$1+((Inputs!$G$5:$G$140&lt;&gt;"moeda")*(Inputs!$G$5:$G$140&lt;&gt;"acoes")))*INDEX(Inputs!$K$5:$AJ$140,0,MATCH(V$2,Inputs!$K$4:$AJ$4,0)))+SUMPRODUCT((Inputs!$E$5:$E$140=$B11)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11" s="3" t="e">
        <f>SUM(S11:V11)</f>
        <v>#N/A</v>
      </c>
      <c r="X11" s="6" t="e">
        <f>IF(ISNA(MATCH(X$2,Inputs!$K$4:$AJ$4,0)),NA(),IF(SUMPRODUCT((Inputs!$A$5:$A$140=$B11)*ISNUMBER(INDEX(Inputs!$K$5:$AJ$140,0,MATCH(X$2,Inputs!$K$4:$AJ$4,0))))+SUMPRODUCT((Inputs!$C$5:$C$140=$B11)*ISNUMBER(INDEX(Inputs!$K$5:$AJ$140,0,MATCH(X$2,Inputs!$K$4:$AJ$4,0))))+SUMPRODUCT((Inputs!$E$5:$E$140=$B11)*ISNUMBER(INDEX(Inputs!$K$5:$AJ$140,0,MATCH(X$2,Inputs!$K$4:$AJ$4,0))))=0,NA(),SUMPRODUCT((Inputs!$A$5:$A$140=$B11)*Inputs!$B$5:$B$140*(((Inputs!$G$5:$G$140="moeda")+(Inputs!$G$5:$G$140="acoes"))*Inputs!$B$1+((Inputs!$G$5:$G$140&lt;&gt;"moeda")*(Inputs!$G$5:$G$140&lt;&gt;"acoes")))*INDEX(Inputs!$K$5:$AJ$140,0,MATCH(X$2,Inputs!$K$4:$AJ$4,0)))+SUMPRODUCT((Inputs!$C$5:$C$140=$B11)*Inputs!$D$5:$D$140*(((Inputs!$G$5:$G$140="moeda")+(Inputs!$G$5:$G$140="acoes"))*Inputs!$B$1+((Inputs!$G$5:$G$140&lt;&gt;"moeda")*(Inputs!$G$5:$G$140&lt;&gt;"acoes")))*INDEX(Inputs!$K$5:$AJ$140,0,MATCH(X$2,Inputs!$K$4:$AJ$4,0)))+SUMPRODUCT((Inputs!$E$5:$E$140=$B11)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11" s="6" t="e">
        <f>IF(ISNA(MATCH(Y$2,Inputs!$K$4:$AJ$4,0)),NA(),IF(SUMPRODUCT((Inputs!$A$5:$A$140=$B11)*ISNUMBER(INDEX(Inputs!$K$5:$AJ$140,0,MATCH(Y$2,Inputs!$K$4:$AJ$4,0))))+SUMPRODUCT((Inputs!$C$5:$C$140=$B11)*ISNUMBER(INDEX(Inputs!$K$5:$AJ$140,0,MATCH(Y$2,Inputs!$K$4:$AJ$4,0))))+SUMPRODUCT((Inputs!$E$5:$E$140=$B11)*ISNUMBER(INDEX(Inputs!$K$5:$AJ$140,0,MATCH(Y$2,Inputs!$K$4:$AJ$4,0))))=0,NA(),SUMPRODUCT((Inputs!$A$5:$A$140=$B11)*Inputs!$B$5:$B$140*(((Inputs!$G$5:$G$140="moeda")+(Inputs!$G$5:$G$140="acoes"))*Inputs!$B$1+((Inputs!$G$5:$G$140&lt;&gt;"moeda")*(Inputs!$G$5:$G$140&lt;&gt;"acoes")))*INDEX(Inputs!$K$5:$AJ$140,0,MATCH(Y$2,Inputs!$K$4:$AJ$4,0)))+SUMPRODUCT((Inputs!$C$5:$C$140=$B11)*Inputs!$D$5:$D$140*(((Inputs!$G$5:$G$140="moeda")+(Inputs!$G$5:$G$140="acoes"))*Inputs!$B$1+((Inputs!$G$5:$G$140&lt;&gt;"moeda")*(Inputs!$G$5:$G$140&lt;&gt;"acoes")))*INDEX(Inputs!$K$5:$AJ$140,0,MATCH(Y$2,Inputs!$K$4:$AJ$4,0)))+SUMPRODUCT((Inputs!$E$5:$E$140=$B11)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11" s="6" t="e">
        <f>IF(ISNA(MATCH(Z$2,Inputs!$K$4:$AJ$4,0)),NA(),IF(SUMPRODUCT((Inputs!$A$5:$A$140=$B11)*ISNUMBER(INDEX(Inputs!$K$5:$AJ$140,0,MATCH(Z$2,Inputs!$K$4:$AJ$4,0))))+SUMPRODUCT((Inputs!$C$5:$C$140=$B11)*ISNUMBER(INDEX(Inputs!$K$5:$AJ$140,0,MATCH(Z$2,Inputs!$K$4:$AJ$4,0))))+SUMPRODUCT((Inputs!$E$5:$E$140=$B11)*ISNUMBER(INDEX(Inputs!$K$5:$AJ$140,0,MATCH(Z$2,Inputs!$K$4:$AJ$4,0))))=0,NA(),SUMPRODUCT((Inputs!$A$5:$A$140=$B11)*Inputs!$B$5:$B$140*(((Inputs!$G$5:$G$140="moeda")+(Inputs!$G$5:$G$140="acoes"))*Inputs!$B$1+((Inputs!$G$5:$G$140&lt;&gt;"moeda")*(Inputs!$G$5:$G$140&lt;&gt;"acoes")))*INDEX(Inputs!$K$5:$AJ$140,0,MATCH(Z$2,Inputs!$K$4:$AJ$4,0)))+SUMPRODUCT((Inputs!$C$5:$C$140=$B11)*Inputs!$D$5:$D$140*(((Inputs!$G$5:$G$140="moeda")+(Inputs!$G$5:$G$140="acoes"))*Inputs!$B$1+((Inputs!$G$5:$G$140&lt;&gt;"moeda")*(Inputs!$G$5:$G$140&lt;&gt;"acoes")))*INDEX(Inputs!$K$5:$AJ$140,0,MATCH(Z$2,Inputs!$K$4:$AJ$4,0)))+SUMPRODUCT((Inputs!$E$5:$E$140=$B11)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11" s="6" t="e">
        <f>IF(ISNA(MATCH(AA$2,Inputs!$K$4:$AJ$4,0)),NA(),IF(SUMPRODUCT((Inputs!$A$5:$A$140=$B11)*ISNUMBER(INDEX(Inputs!$K$5:$AJ$140,0,MATCH(AA$2,Inputs!$K$4:$AJ$4,0))))+SUMPRODUCT((Inputs!$C$5:$C$140=$B11)*ISNUMBER(INDEX(Inputs!$K$5:$AJ$140,0,MATCH(AA$2,Inputs!$K$4:$AJ$4,0))))+SUMPRODUCT((Inputs!$E$5:$E$140=$B11)*ISNUMBER(INDEX(Inputs!$K$5:$AJ$140,0,MATCH(AA$2,Inputs!$K$4:$AJ$4,0))))=0,NA(),SUMPRODUCT((Inputs!$A$5:$A$140=$B11)*Inputs!$B$5:$B$140*(((Inputs!$G$5:$G$140="moeda")+(Inputs!$G$5:$G$140="acoes"))*Inputs!$B$1+((Inputs!$G$5:$G$140&lt;&gt;"moeda")*(Inputs!$G$5:$G$140&lt;&gt;"acoes")))*INDEX(Inputs!$K$5:$AJ$140,0,MATCH(AA$2,Inputs!$K$4:$AJ$4,0)))+SUMPRODUCT((Inputs!$C$5:$C$140=$B11)*Inputs!$D$5:$D$140*(((Inputs!$G$5:$G$140="moeda")+(Inputs!$G$5:$G$140="acoes"))*Inputs!$B$1+((Inputs!$G$5:$G$140&lt;&gt;"moeda")*(Inputs!$G$5:$G$140&lt;&gt;"acoes")))*INDEX(Inputs!$K$5:$AJ$140,0,MATCH(AA$2,Inputs!$K$4:$AJ$4,0)))+SUMPRODUCT((Inputs!$E$5:$E$140=$B11)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11" s="3" t="e">
        <f>SUM(X11:AA11)</f>
        <v>#N/A</v>
      </c>
      <c r="AC11" s="6" t="e">
        <f>IF(ISNA(MATCH(AC$2,Inputs!$K$4:$AJ$4,0)),NA(),IF(SUMPRODUCT((Inputs!$A$5:$A$140=$B11)*ISNUMBER(INDEX(Inputs!$K$5:$AJ$140,0,MATCH(AC$2,Inputs!$K$4:$AJ$4,0))))+SUMPRODUCT((Inputs!$C$5:$C$140=$B11)*ISNUMBER(INDEX(Inputs!$K$5:$AJ$140,0,MATCH(AC$2,Inputs!$K$4:$AJ$4,0))))+SUMPRODUCT((Inputs!$E$5:$E$140=$B11)*ISNUMBER(INDEX(Inputs!$K$5:$AJ$140,0,MATCH(AC$2,Inputs!$K$4:$AJ$4,0))))=0,NA(),SUMPRODUCT((Inputs!$A$5:$A$140=$B11)*Inputs!$B$5:$B$140*(((Inputs!$G$5:$G$140="moeda")+(Inputs!$G$5:$G$140="acoes"))*Inputs!$B$1+((Inputs!$G$5:$G$140&lt;&gt;"moeda")*(Inputs!$G$5:$G$140&lt;&gt;"acoes")))*INDEX(Inputs!$K$5:$AJ$140,0,MATCH(AC$2,Inputs!$K$4:$AJ$4,0)))+SUMPRODUCT((Inputs!$C$5:$C$140=$B11)*Inputs!$D$5:$D$140*(((Inputs!$G$5:$G$140="moeda")+(Inputs!$G$5:$G$140="acoes"))*Inputs!$B$1+((Inputs!$G$5:$G$140&lt;&gt;"moeda")*(Inputs!$G$5:$G$140&lt;&gt;"acoes")))*INDEX(Inputs!$K$5:$AJ$140,0,MATCH(AC$2,Inputs!$K$4:$AJ$4,0)))+SUMPRODUCT((Inputs!$E$5:$E$140=$B11)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11" s="6" t="e">
        <f>IF(ISNA(MATCH(AD$2,Inputs!$K$4:$AJ$4,0)),NA(),IF(SUMPRODUCT((Inputs!$A$5:$A$140=$B11)*ISNUMBER(INDEX(Inputs!$K$5:$AJ$140,0,MATCH(AD$2,Inputs!$K$4:$AJ$4,0))))+SUMPRODUCT((Inputs!$C$5:$C$140=$B11)*ISNUMBER(INDEX(Inputs!$K$5:$AJ$140,0,MATCH(AD$2,Inputs!$K$4:$AJ$4,0))))+SUMPRODUCT((Inputs!$E$5:$E$140=$B11)*ISNUMBER(INDEX(Inputs!$K$5:$AJ$140,0,MATCH(AD$2,Inputs!$K$4:$AJ$4,0))))=0,NA(),SUMPRODUCT((Inputs!$A$5:$A$140=$B11)*Inputs!$B$5:$B$140*(((Inputs!$G$5:$G$140="moeda")+(Inputs!$G$5:$G$140="acoes"))*Inputs!$B$1+((Inputs!$G$5:$G$140&lt;&gt;"moeda")*(Inputs!$G$5:$G$140&lt;&gt;"acoes")))*INDEX(Inputs!$K$5:$AJ$140,0,MATCH(AD$2,Inputs!$K$4:$AJ$4,0)))+SUMPRODUCT((Inputs!$C$5:$C$140=$B11)*Inputs!$D$5:$D$140*(((Inputs!$G$5:$G$140="moeda")+(Inputs!$G$5:$G$140="acoes"))*Inputs!$B$1+((Inputs!$G$5:$G$140&lt;&gt;"moeda")*(Inputs!$G$5:$G$140&lt;&gt;"acoes")))*INDEX(Inputs!$K$5:$AJ$140,0,MATCH(AD$2,Inputs!$K$4:$AJ$4,0)))+SUMPRODUCT((Inputs!$E$5:$E$140=$B11)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11" s="6" t="e">
        <f>IF(ISNA(MATCH(AE$2,Inputs!$K$4:$AJ$4,0)),NA(),IF(SUMPRODUCT((Inputs!$A$5:$A$140=$B11)*ISNUMBER(INDEX(Inputs!$K$5:$AJ$140,0,MATCH(AE$2,Inputs!$K$4:$AJ$4,0))))+SUMPRODUCT((Inputs!$C$5:$C$140=$B11)*ISNUMBER(INDEX(Inputs!$K$5:$AJ$140,0,MATCH(AE$2,Inputs!$K$4:$AJ$4,0))))+SUMPRODUCT((Inputs!$E$5:$E$140=$B11)*ISNUMBER(INDEX(Inputs!$K$5:$AJ$140,0,MATCH(AE$2,Inputs!$K$4:$AJ$4,0))))=0,NA(),SUMPRODUCT((Inputs!$A$5:$A$140=$B11)*Inputs!$B$5:$B$140*(((Inputs!$G$5:$G$140="moeda")+(Inputs!$G$5:$G$140="acoes"))*Inputs!$B$1+((Inputs!$G$5:$G$140&lt;&gt;"moeda")*(Inputs!$G$5:$G$140&lt;&gt;"acoes")))*INDEX(Inputs!$K$5:$AJ$140,0,MATCH(AE$2,Inputs!$K$4:$AJ$4,0)))+SUMPRODUCT((Inputs!$C$5:$C$140=$B11)*Inputs!$D$5:$D$140*(((Inputs!$G$5:$G$140="moeda")+(Inputs!$G$5:$G$140="acoes"))*Inputs!$B$1+((Inputs!$G$5:$G$140&lt;&gt;"moeda")*(Inputs!$G$5:$G$140&lt;&gt;"acoes")))*INDEX(Inputs!$K$5:$AJ$140,0,MATCH(AE$2,Inputs!$K$4:$AJ$4,0)))+SUMPRODUCT((Inputs!$E$5:$E$140=$B11)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1" s="6" t="e">
        <f>IF(ISNA(MATCH(AF$2,Inputs!$K$4:$AJ$4,0)),NA(),IF(SUMPRODUCT((Inputs!$A$5:$A$140=$B11)*ISNUMBER(INDEX(Inputs!$K$5:$AJ$140,0,MATCH(AF$2,Inputs!$K$4:$AJ$4,0))))+SUMPRODUCT((Inputs!$C$5:$C$140=$B11)*ISNUMBER(INDEX(Inputs!$K$5:$AJ$140,0,MATCH(AF$2,Inputs!$K$4:$AJ$4,0))))+SUMPRODUCT((Inputs!$E$5:$E$140=$B11)*ISNUMBER(INDEX(Inputs!$K$5:$AJ$140,0,MATCH(AF$2,Inputs!$K$4:$AJ$4,0))))=0,NA(),SUMPRODUCT((Inputs!$A$5:$A$140=$B11)*Inputs!$B$5:$B$140*(((Inputs!$G$5:$G$140="moeda")+(Inputs!$G$5:$G$140="acoes"))*Inputs!$B$1+((Inputs!$G$5:$G$140&lt;&gt;"moeda")*(Inputs!$G$5:$G$140&lt;&gt;"acoes")))*INDEX(Inputs!$K$5:$AJ$140,0,MATCH(AF$2,Inputs!$K$4:$AJ$4,0)))+SUMPRODUCT((Inputs!$C$5:$C$140=$B11)*Inputs!$D$5:$D$140*(((Inputs!$G$5:$G$140="moeda")+(Inputs!$G$5:$G$140="acoes"))*Inputs!$B$1+((Inputs!$G$5:$G$140&lt;&gt;"moeda")*(Inputs!$G$5:$G$140&lt;&gt;"acoes")))*INDEX(Inputs!$K$5:$AJ$140,0,MATCH(AF$2,Inputs!$K$4:$AJ$4,0)))+SUMPRODUCT((Inputs!$E$5:$E$140=$B11)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1" s="3" t="e">
        <f>SUM(AC11:AF11)</f>
        <v>#N/A</v>
      </c>
      <c r="AH11" s="6" t="e">
        <f>IF(ISNA(MATCH(AH$2,Inputs!$K$4:$AJ$4,0)),NA(),IF(SUMPRODUCT((Inputs!$A$5:$A$140=$B11)*ISNUMBER(INDEX(Inputs!$K$5:$AJ$140,0,MATCH(AH$2,Inputs!$K$4:$AJ$4,0))))+SUMPRODUCT((Inputs!$C$5:$C$140=$B11)*ISNUMBER(INDEX(Inputs!$K$5:$AJ$140,0,MATCH(AH$2,Inputs!$K$4:$AJ$4,0))))+SUMPRODUCT((Inputs!$E$5:$E$140=$B11)*ISNUMBER(INDEX(Inputs!$K$5:$AJ$140,0,MATCH(AH$2,Inputs!$K$4:$AJ$4,0))))=0,NA(),SUMPRODUCT((Inputs!$A$5:$A$140=$B11)*Inputs!$B$5:$B$140*(((Inputs!$G$5:$G$140="moeda")+(Inputs!$G$5:$G$140="acoes"))*Inputs!$B$1+((Inputs!$G$5:$G$140&lt;&gt;"moeda")*(Inputs!$G$5:$G$140&lt;&gt;"acoes")))*INDEX(Inputs!$K$5:$AJ$140,0,MATCH(AH$2,Inputs!$K$4:$AJ$4,0)))+SUMPRODUCT((Inputs!$C$5:$C$140=$B11)*Inputs!$D$5:$D$140*(((Inputs!$G$5:$G$140="moeda")+(Inputs!$G$5:$G$140="acoes"))*Inputs!$B$1+((Inputs!$G$5:$G$140&lt;&gt;"moeda")*(Inputs!$G$5:$G$140&lt;&gt;"acoes")))*INDEX(Inputs!$K$5:$AJ$140,0,MATCH(AH$2,Inputs!$K$4:$AJ$4,0)))+SUMPRODUCT((Inputs!$E$5:$E$140=$B11)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1" s="6" t="e">
        <f>IF(ISNA(MATCH(AI$2,Inputs!$K$4:$AJ$4,0)),NA(),IF(SUMPRODUCT((Inputs!$A$5:$A$140=$B11)*ISNUMBER(INDEX(Inputs!$K$5:$AJ$140,0,MATCH(AI$2,Inputs!$K$4:$AJ$4,0))))+SUMPRODUCT((Inputs!$C$5:$C$140=$B11)*ISNUMBER(INDEX(Inputs!$K$5:$AJ$140,0,MATCH(AI$2,Inputs!$K$4:$AJ$4,0))))+SUMPRODUCT((Inputs!$E$5:$E$140=$B11)*ISNUMBER(INDEX(Inputs!$K$5:$AJ$140,0,MATCH(AI$2,Inputs!$K$4:$AJ$4,0))))=0,NA(),SUMPRODUCT((Inputs!$A$5:$A$140=$B11)*Inputs!$B$5:$B$140*(((Inputs!$G$5:$G$140="moeda")+(Inputs!$G$5:$G$140="acoes"))*Inputs!$B$1+((Inputs!$G$5:$G$140&lt;&gt;"moeda")*(Inputs!$G$5:$G$140&lt;&gt;"acoes")))*INDEX(Inputs!$K$5:$AJ$140,0,MATCH(AI$2,Inputs!$K$4:$AJ$4,0)))+SUMPRODUCT((Inputs!$C$5:$C$140=$B11)*Inputs!$D$5:$D$140*(((Inputs!$G$5:$G$140="moeda")+(Inputs!$G$5:$G$140="acoes"))*Inputs!$B$1+((Inputs!$G$5:$G$140&lt;&gt;"moeda")*(Inputs!$G$5:$G$140&lt;&gt;"acoes")))*INDEX(Inputs!$K$5:$AJ$140,0,MATCH(AI$2,Inputs!$K$4:$AJ$4,0)))+SUMPRODUCT((Inputs!$E$5:$E$140=$B11)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11" s="6" t="e">
        <f>IF(ISNA(MATCH(AJ$2,Inputs!$K$4:$AJ$4,0)),NA(),IF(SUMPRODUCT((Inputs!$A$5:$A$140=$B11)*ISNUMBER(INDEX(Inputs!$K$5:$AJ$140,0,MATCH(AJ$2,Inputs!$K$4:$AJ$4,0))))+SUMPRODUCT((Inputs!$C$5:$C$140=$B11)*ISNUMBER(INDEX(Inputs!$K$5:$AJ$140,0,MATCH(AJ$2,Inputs!$K$4:$AJ$4,0))))+SUMPRODUCT((Inputs!$E$5:$E$140=$B11)*ISNUMBER(INDEX(Inputs!$K$5:$AJ$140,0,MATCH(AJ$2,Inputs!$K$4:$AJ$4,0))))=0,NA(),SUMPRODUCT((Inputs!$A$5:$A$140=$B11)*Inputs!$B$5:$B$140*(((Inputs!$G$5:$G$140="moeda")+(Inputs!$G$5:$G$140="acoes"))*Inputs!$B$1+((Inputs!$G$5:$G$140&lt;&gt;"moeda")*(Inputs!$G$5:$G$140&lt;&gt;"acoes")))*INDEX(Inputs!$K$5:$AJ$140,0,MATCH(AJ$2,Inputs!$K$4:$AJ$4,0)))+SUMPRODUCT((Inputs!$C$5:$C$140=$B11)*Inputs!$D$5:$D$140*(((Inputs!$G$5:$G$140="moeda")+(Inputs!$G$5:$G$140="acoes"))*Inputs!$B$1+((Inputs!$G$5:$G$140&lt;&gt;"moeda")*(Inputs!$G$5:$G$140&lt;&gt;"acoes")))*INDEX(Inputs!$K$5:$AJ$140,0,MATCH(AJ$2,Inputs!$K$4:$AJ$4,0)))+SUMPRODUCT((Inputs!$E$5:$E$140=$B11)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11" s="6" t="e">
        <f>IF(ISNA(MATCH(AK$2,Inputs!$K$4:$AJ$4,0)),NA(),IF(SUMPRODUCT((Inputs!$A$5:$A$140=$B11)*ISNUMBER(INDEX(Inputs!$K$5:$AJ$140,0,MATCH(AK$2,Inputs!$K$4:$AJ$4,0))))+SUMPRODUCT((Inputs!$C$5:$C$140=$B11)*ISNUMBER(INDEX(Inputs!$K$5:$AJ$140,0,MATCH(AK$2,Inputs!$K$4:$AJ$4,0))))+SUMPRODUCT((Inputs!$E$5:$E$140=$B11)*ISNUMBER(INDEX(Inputs!$K$5:$AJ$140,0,MATCH(AK$2,Inputs!$K$4:$AJ$4,0))))=0,NA(),SUMPRODUCT((Inputs!$A$5:$A$140=$B11)*Inputs!$B$5:$B$140*(((Inputs!$G$5:$G$140="moeda")+(Inputs!$G$5:$G$140="acoes"))*Inputs!$B$1+((Inputs!$G$5:$G$140&lt;&gt;"moeda")*(Inputs!$G$5:$G$140&lt;&gt;"acoes")))*INDEX(Inputs!$K$5:$AJ$140,0,MATCH(AK$2,Inputs!$K$4:$AJ$4,0)))+SUMPRODUCT((Inputs!$C$5:$C$140=$B11)*Inputs!$D$5:$D$140*(((Inputs!$G$5:$G$140="moeda")+(Inputs!$G$5:$G$140="acoes"))*Inputs!$B$1+((Inputs!$G$5:$G$140&lt;&gt;"moeda")*(Inputs!$G$5:$G$140&lt;&gt;"acoes")))*INDEX(Inputs!$K$5:$AJ$140,0,MATCH(AK$2,Inputs!$K$4:$AJ$4,0)))+SUMPRODUCT((Inputs!$E$5:$E$140=$B11)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11" s="3" t="e">
        <f>SUM(AH11:AK11)</f>
        <v>#N/A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$140=$B12)*ISNUMBER(INDEX(Inputs!$K$5:$AJ$140,0,MATCH(D$2,Inputs!$K$4:$AJ$4,0))))+SUMPRODUCT((Inputs!$C$5:$C$140=$B12)*ISNUMBER(INDEX(Inputs!$K$5:$AJ$140,0,MATCH(D$2,Inputs!$K$4:$AJ$4,0))))+SUMPRODUCT((Inputs!$E$5:$E$140=$B12)*ISNUMBER(INDEX(Inputs!$K$5:$AJ$140,0,MATCH(D$2,Inputs!$K$4:$AJ$4,0))))=0,NA(),SUMPRODUCT((Inputs!$A$5:$A$140=$B12)*Inputs!$B$5:$B$140*(((Inputs!$G$5:$G$140="moeda")+(Inputs!$G$5:$G$140="acoes"))*Inputs!$B$1+((Inputs!$G$5:$G$140&lt;&gt;"moeda")*(Inputs!$G$5:$G$140&lt;&gt;"acoes")))*INDEX(Inputs!$K$5:$AJ$140,0,MATCH(D$2,Inputs!$K$4:$AJ$4,0)))+SUMPRODUCT((Inputs!$C$5:$C$140=$B12)*Inputs!$D$5:$D$140*(((Inputs!$G$5:$G$140="moeda")+(Inputs!$G$5:$G$140="acoes"))*Inputs!$B$1+((Inputs!$G$5:$G$140&lt;&gt;"moeda")*(Inputs!$G$5:$G$140&lt;&gt;"acoes")))*INDEX(Inputs!$K$5:$AJ$140,0,MATCH(D$2,Inputs!$K$4:$AJ$4,0)))+SUMPRODUCT((Inputs!$E$5:$E$140=$B12)*Inputs!$F$5:$F$140*(((Inputs!$G$5:$G$140="moeda")+(Inputs!$G$5:$G$140="acoes"))*Inputs!$B$1+((Inputs!$G$5:$G$140&lt;&gt;"moeda")*(Inputs!$G$5:$G$140&lt;&gt;"acoes")))*INDEX(Inputs!$K$5:$AJ$140,0,MATCH(D$2,Inputs!$K$4:$AJ$4,0)))))</f>
        <v>0</v>
      </c>
      <c r="E12" s="6">
        <f>IF(ISNA(MATCH(E$2,Inputs!$K$4:$AJ$4,0)),NA(),IF(SUMPRODUCT((Inputs!$A$5:$A$140=$B12)*ISNUMBER(INDEX(Inputs!$K$5:$AJ$140,0,MATCH(E$2,Inputs!$K$4:$AJ$4,0))))+SUMPRODUCT((Inputs!$C$5:$C$140=$B12)*ISNUMBER(INDEX(Inputs!$K$5:$AJ$140,0,MATCH(E$2,Inputs!$K$4:$AJ$4,0))))+SUMPRODUCT((Inputs!$E$5:$E$140=$B12)*ISNUMBER(INDEX(Inputs!$K$5:$AJ$140,0,MATCH(E$2,Inputs!$K$4:$AJ$4,0))))=0,NA(),SUMPRODUCT((Inputs!$A$5:$A$140=$B12)*Inputs!$B$5:$B$140*(((Inputs!$G$5:$G$140="moeda")+(Inputs!$G$5:$G$140="acoes"))*Inputs!$B$1+((Inputs!$G$5:$G$140&lt;&gt;"moeda")*(Inputs!$G$5:$G$140&lt;&gt;"acoes")))*INDEX(Inputs!$K$5:$AJ$140,0,MATCH(E$2,Inputs!$K$4:$AJ$4,0)))+SUMPRODUCT((Inputs!$C$5:$C$140=$B12)*Inputs!$D$5:$D$140*(((Inputs!$G$5:$G$140="moeda")+(Inputs!$G$5:$G$140="acoes"))*Inputs!$B$1+((Inputs!$G$5:$G$140&lt;&gt;"moeda")*(Inputs!$G$5:$G$140&lt;&gt;"acoes")))*INDEX(Inputs!$K$5:$AJ$140,0,MATCH(E$2,Inputs!$K$4:$AJ$4,0)))+SUMPRODUCT((Inputs!$E$5:$E$140=$B12)*Inputs!$F$5:$F$140*(((Inputs!$G$5:$G$140="moeda")+(Inputs!$G$5:$G$140="acoes"))*Inputs!$B$1+((Inputs!$G$5:$G$140&lt;&gt;"moeda")*(Inputs!$G$5:$G$140&lt;&gt;"acoes")))*INDEX(Inputs!$K$5:$AJ$140,0,MATCH(E$2,Inputs!$K$4:$AJ$4,0)))))</f>
        <v>0</v>
      </c>
      <c r="F12" s="6">
        <f>IF(ISNA(MATCH(F$2,Inputs!$K$4:$AJ$4,0)),NA(),IF(SUMPRODUCT((Inputs!$A$5:$A$140=$B12)*ISNUMBER(INDEX(Inputs!$K$5:$AJ$140,0,MATCH(F$2,Inputs!$K$4:$AJ$4,0))))+SUMPRODUCT((Inputs!$C$5:$C$140=$B12)*ISNUMBER(INDEX(Inputs!$K$5:$AJ$140,0,MATCH(F$2,Inputs!$K$4:$AJ$4,0))))+SUMPRODUCT((Inputs!$E$5:$E$140=$B12)*ISNUMBER(INDEX(Inputs!$K$5:$AJ$140,0,MATCH(F$2,Inputs!$K$4:$AJ$4,0))))=0,NA(),SUMPRODUCT((Inputs!$A$5:$A$140=$B12)*Inputs!$B$5:$B$140*(((Inputs!$G$5:$G$140="moeda")+(Inputs!$G$5:$G$140="acoes"))*Inputs!$B$1+((Inputs!$G$5:$G$140&lt;&gt;"moeda")*(Inputs!$G$5:$G$140&lt;&gt;"acoes")))*INDEX(Inputs!$K$5:$AJ$140,0,MATCH(F$2,Inputs!$K$4:$AJ$4,0)))+SUMPRODUCT((Inputs!$C$5:$C$140=$B12)*Inputs!$D$5:$D$140*(((Inputs!$G$5:$G$140="moeda")+(Inputs!$G$5:$G$140="acoes"))*Inputs!$B$1+((Inputs!$G$5:$G$140&lt;&gt;"moeda")*(Inputs!$G$5:$G$140&lt;&gt;"acoes")))*INDEX(Inputs!$K$5:$AJ$140,0,MATCH(F$2,Inputs!$K$4:$AJ$4,0)))+SUMPRODUCT((Inputs!$E$5:$E$140=$B12)*Inputs!$F$5:$F$140*(((Inputs!$G$5:$G$140="moeda")+(Inputs!$G$5:$G$140="acoes"))*Inputs!$B$1+((Inputs!$G$5:$G$140&lt;&gt;"moeda")*(Inputs!$G$5:$G$140&lt;&gt;"acoes")))*INDEX(Inputs!$K$5:$AJ$140,0,MATCH(F$2,Inputs!$K$4:$AJ$4,0)))))</f>
        <v>0</v>
      </c>
      <c r="G12" s="6">
        <f>IF(ISNA(MATCH(G$2,Inputs!$K$4:$AJ$4,0)),NA(),IF(SUMPRODUCT((Inputs!$A$5:$A$140=$B12)*ISNUMBER(INDEX(Inputs!$K$5:$AJ$140,0,MATCH(G$2,Inputs!$K$4:$AJ$4,0))))+SUMPRODUCT((Inputs!$C$5:$C$140=$B12)*ISNUMBER(INDEX(Inputs!$K$5:$AJ$140,0,MATCH(G$2,Inputs!$K$4:$AJ$4,0))))+SUMPRODUCT((Inputs!$E$5:$E$140=$B12)*ISNUMBER(INDEX(Inputs!$K$5:$AJ$140,0,MATCH(G$2,Inputs!$K$4:$AJ$4,0))))=0,NA(),SUMPRODUCT((Inputs!$A$5:$A$140=$B12)*Inputs!$B$5:$B$140*(((Inputs!$G$5:$G$140="moeda")+(Inputs!$G$5:$G$140="acoes"))*Inputs!$B$1+((Inputs!$G$5:$G$140&lt;&gt;"moeda")*(Inputs!$G$5:$G$140&lt;&gt;"acoes")))*INDEX(Inputs!$K$5:$AJ$140,0,MATCH(G$2,Inputs!$K$4:$AJ$4,0)))+SUMPRODUCT((Inputs!$C$5:$C$140=$B12)*Inputs!$D$5:$D$140*(((Inputs!$G$5:$G$140="moeda")+(Inputs!$G$5:$G$140="acoes"))*Inputs!$B$1+((Inputs!$G$5:$G$140&lt;&gt;"moeda")*(Inputs!$G$5:$G$140&lt;&gt;"acoes")))*INDEX(Inputs!$K$5:$AJ$140,0,MATCH(G$2,Inputs!$K$4:$AJ$4,0)))+SUMPRODUCT((Inputs!$E$5:$E$140=$B12)*Inputs!$F$5:$F$140*(((Inputs!$G$5:$G$140="moeda")+(Inputs!$G$5:$G$140="acoes"))*Inputs!$B$1+((Inputs!$G$5:$G$140&lt;&gt;"moeda")*(Inputs!$G$5:$G$140&lt;&gt;"acoes")))*INDEX(Inputs!$K$5:$AJ$140,0,MATCH(G$2,Inputs!$K$4:$AJ$4,0)))))</f>
        <v>0</v>
      </c>
      <c r="H12" s="3">
        <f>SUM(D12:G12)</f>
        <v>0</v>
      </c>
      <c r="I12" s="6">
        <f>IF(ISNA(MATCH(I$2,Inputs!$K$4:$AJ$4,0)),NA(),IF(SUMPRODUCT((Inputs!$A$5:$A$140=$B12)*ISNUMBER(INDEX(Inputs!$K$5:$AJ$140,0,MATCH(I$2,Inputs!$K$4:$AJ$4,0))))+SUMPRODUCT((Inputs!$C$5:$C$140=$B12)*ISNUMBER(INDEX(Inputs!$K$5:$AJ$140,0,MATCH(I$2,Inputs!$K$4:$AJ$4,0))))+SUMPRODUCT((Inputs!$E$5:$E$140=$B12)*ISNUMBER(INDEX(Inputs!$K$5:$AJ$140,0,MATCH(I$2,Inputs!$K$4:$AJ$4,0))))=0,NA(),SUMPRODUCT((Inputs!$A$5:$A$140=$B12)*Inputs!$B$5:$B$140*(((Inputs!$G$5:$G$140="moeda")+(Inputs!$G$5:$G$140="acoes"))*Inputs!$B$1+((Inputs!$G$5:$G$140&lt;&gt;"moeda")*(Inputs!$G$5:$G$140&lt;&gt;"acoes")))*INDEX(Inputs!$K$5:$AJ$140,0,MATCH(I$2,Inputs!$K$4:$AJ$4,0)))+SUMPRODUCT((Inputs!$C$5:$C$140=$B12)*Inputs!$D$5:$D$140*(((Inputs!$G$5:$G$140="moeda")+(Inputs!$G$5:$G$140="acoes"))*Inputs!$B$1+((Inputs!$G$5:$G$140&lt;&gt;"moeda")*(Inputs!$G$5:$G$140&lt;&gt;"acoes")))*INDEX(Inputs!$K$5:$AJ$140,0,MATCH(I$2,Inputs!$K$4:$AJ$4,0)))+SUMPRODUCT((Inputs!$E$5:$E$140=$B12)*Inputs!$F$5:$F$140*(((Inputs!$G$5:$G$140="moeda")+(Inputs!$G$5:$G$140="acoes"))*Inputs!$B$1+((Inputs!$G$5:$G$140&lt;&gt;"moeda")*(Inputs!$G$5:$G$140&lt;&gt;"acoes")))*INDEX(Inputs!$K$5:$AJ$140,0,MATCH(I$2,Inputs!$K$4:$AJ$4,0)))))</f>
        <v>0</v>
      </c>
      <c r="J12" s="6">
        <f>IF(ISNA(MATCH(J$2,Inputs!$K$4:$AJ$4,0)),NA(),IF(SUMPRODUCT((Inputs!$A$5:$A$140=$B12)*ISNUMBER(INDEX(Inputs!$K$5:$AJ$140,0,MATCH(J$2,Inputs!$K$4:$AJ$4,0))))+SUMPRODUCT((Inputs!$C$5:$C$140=$B12)*ISNUMBER(INDEX(Inputs!$K$5:$AJ$140,0,MATCH(J$2,Inputs!$K$4:$AJ$4,0))))+SUMPRODUCT((Inputs!$E$5:$E$140=$B12)*ISNUMBER(INDEX(Inputs!$K$5:$AJ$140,0,MATCH(J$2,Inputs!$K$4:$AJ$4,0))))=0,NA(),SUMPRODUCT((Inputs!$A$5:$A$140=$B12)*Inputs!$B$5:$B$140*(((Inputs!$G$5:$G$140="moeda")+(Inputs!$G$5:$G$140="acoes"))*Inputs!$B$1+((Inputs!$G$5:$G$140&lt;&gt;"moeda")*(Inputs!$G$5:$G$140&lt;&gt;"acoes")))*INDEX(Inputs!$K$5:$AJ$140,0,MATCH(J$2,Inputs!$K$4:$AJ$4,0)))+SUMPRODUCT((Inputs!$C$5:$C$140=$B12)*Inputs!$D$5:$D$140*(((Inputs!$G$5:$G$140="moeda")+(Inputs!$G$5:$G$140="acoes"))*Inputs!$B$1+((Inputs!$G$5:$G$140&lt;&gt;"moeda")*(Inputs!$G$5:$G$140&lt;&gt;"acoes")))*INDEX(Inputs!$K$5:$AJ$140,0,MATCH(J$2,Inputs!$K$4:$AJ$4,0)))+SUMPRODUCT((Inputs!$E$5:$E$140=$B12)*Inputs!$F$5:$F$140*(((Inputs!$G$5:$G$140="moeda")+(Inputs!$G$5:$G$140="acoes"))*Inputs!$B$1+((Inputs!$G$5:$G$140&lt;&gt;"moeda")*(Inputs!$G$5:$G$140&lt;&gt;"acoes")))*INDEX(Inputs!$K$5:$AJ$140,0,MATCH(J$2,Inputs!$K$4:$AJ$4,0)))))</f>
        <v>0</v>
      </c>
      <c r="K12" s="6">
        <f>IF(ISNA(MATCH(K$2,Inputs!$K$4:$AJ$4,0)),NA(),IF(SUMPRODUCT((Inputs!$A$5:$A$140=$B12)*ISNUMBER(INDEX(Inputs!$K$5:$AJ$140,0,MATCH(K$2,Inputs!$K$4:$AJ$4,0))))+SUMPRODUCT((Inputs!$C$5:$C$140=$B12)*ISNUMBER(INDEX(Inputs!$K$5:$AJ$140,0,MATCH(K$2,Inputs!$K$4:$AJ$4,0))))+SUMPRODUCT((Inputs!$E$5:$E$140=$B12)*ISNUMBER(INDEX(Inputs!$K$5:$AJ$140,0,MATCH(K$2,Inputs!$K$4:$AJ$4,0))))=0,NA(),SUMPRODUCT((Inputs!$A$5:$A$140=$B12)*Inputs!$B$5:$B$140*(((Inputs!$G$5:$G$140="moeda")+(Inputs!$G$5:$G$140="acoes"))*Inputs!$B$1+((Inputs!$G$5:$G$140&lt;&gt;"moeda")*(Inputs!$G$5:$G$140&lt;&gt;"acoes")))*INDEX(Inputs!$K$5:$AJ$140,0,MATCH(K$2,Inputs!$K$4:$AJ$4,0)))+SUMPRODUCT((Inputs!$C$5:$C$140=$B12)*Inputs!$D$5:$D$140*(((Inputs!$G$5:$G$140="moeda")+(Inputs!$G$5:$G$140="acoes"))*Inputs!$B$1+((Inputs!$G$5:$G$140&lt;&gt;"moeda")*(Inputs!$G$5:$G$140&lt;&gt;"acoes")))*INDEX(Inputs!$K$5:$AJ$140,0,MATCH(K$2,Inputs!$K$4:$AJ$4,0)))+SUMPRODUCT((Inputs!$E$5:$E$140=$B12)*Inputs!$F$5:$F$140*(((Inputs!$G$5:$G$140="moeda")+(Inputs!$G$5:$G$140="acoes"))*Inputs!$B$1+((Inputs!$G$5:$G$140&lt;&gt;"moeda")*(Inputs!$G$5:$G$140&lt;&gt;"acoes")))*INDEX(Inputs!$K$5:$AJ$140,0,MATCH(K$2,Inputs!$K$4:$AJ$4,0)))))</f>
        <v>0</v>
      </c>
      <c r="L12" s="6">
        <f>IF(ISNA(MATCH(L$2,Inputs!$K$4:$AJ$4,0)),NA(),IF(SUMPRODUCT((Inputs!$A$5:$A$140=$B12)*ISNUMBER(INDEX(Inputs!$K$5:$AJ$140,0,MATCH(L$2,Inputs!$K$4:$AJ$4,0))))+SUMPRODUCT((Inputs!$C$5:$C$140=$B12)*ISNUMBER(INDEX(Inputs!$K$5:$AJ$140,0,MATCH(L$2,Inputs!$K$4:$AJ$4,0))))+SUMPRODUCT((Inputs!$E$5:$E$140=$B12)*ISNUMBER(INDEX(Inputs!$K$5:$AJ$140,0,MATCH(L$2,Inputs!$K$4:$AJ$4,0))))=0,NA(),SUMPRODUCT((Inputs!$A$5:$A$140=$B12)*Inputs!$B$5:$B$140*(((Inputs!$G$5:$G$140="moeda")+(Inputs!$G$5:$G$140="acoes"))*Inputs!$B$1+((Inputs!$G$5:$G$140&lt;&gt;"moeda")*(Inputs!$G$5:$G$140&lt;&gt;"acoes")))*INDEX(Inputs!$K$5:$AJ$140,0,MATCH(L$2,Inputs!$K$4:$AJ$4,0)))+SUMPRODUCT((Inputs!$C$5:$C$140=$B12)*Inputs!$D$5:$D$140*(((Inputs!$G$5:$G$140="moeda")+(Inputs!$G$5:$G$140="acoes"))*Inputs!$B$1+((Inputs!$G$5:$G$140&lt;&gt;"moeda")*(Inputs!$G$5:$G$140&lt;&gt;"acoes")))*INDEX(Inputs!$K$5:$AJ$140,0,MATCH(L$2,Inputs!$K$4:$AJ$4,0)))+SUMPRODUCT((Inputs!$E$5:$E$140=$B12)*Inputs!$F$5:$F$140*(((Inputs!$G$5:$G$140="moeda")+(Inputs!$G$5:$G$140="acoes"))*Inputs!$B$1+((Inputs!$G$5:$G$140&lt;&gt;"moeda")*(Inputs!$G$5:$G$140&lt;&gt;"acoes")))*INDEX(Inputs!$K$5:$AJ$140,0,MATCH(L$2,Inputs!$K$4:$AJ$4,0)))))</f>
        <v>0</v>
      </c>
      <c r="M12" s="3">
        <f>SUM(I12:L12)</f>
        <v>0</v>
      </c>
      <c r="N12" s="6">
        <f>IF(ISNA(MATCH(N$2,Inputs!$K$4:$AJ$4,0)),NA(),IF(SUMPRODUCT((Inputs!$A$5:$A$140=$B12)*ISNUMBER(INDEX(Inputs!$K$5:$AJ$140,0,MATCH(N$2,Inputs!$K$4:$AJ$4,0))))+SUMPRODUCT((Inputs!$C$5:$C$140=$B12)*ISNUMBER(INDEX(Inputs!$K$5:$AJ$140,0,MATCH(N$2,Inputs!$K$4:$AJ$4,0))))+SUMPRODUCT((Inputs!$E$5:$E$140=$B12)*ISNUMBER(INDEX(Inputs!$K$5:$AJ$140,0,MATCH(N$2,Inputs!$K$4:$AJ$4,0))))=0,NA(),SUMPRODUCT((Inputs!$A$5:$A$140=$B12)*Inputs!$B$5:$B$140*(((Inputs!$G$5:$G$140="moeda")+(Inputs!$G$5:$G$140="acoes"))*Inputs!$B$1+((Inputs!$G$5:$G$140&lt;&gt;"moeda")*(Inputs!$G$5:$G$140&lt;&gt;"acoes")))*INDEX(Inputs!$K$5:$AJ$140,0,MATCH(N$2,Inputs!$K$4:$AJ$4,0)))+SUMPRODUCT((Inputs!$C$5:$C$140=$B12)*Inputs!$D$5:$D$140*(((Inputs!$G$5:$G$140="moeda")+(Inputs!$G$5:$G$140="acoes"))*Inputs!$B$1+((Inputs!$G$5:$G$140&lt;&gt;"moeda")*(Inputs!$G$5:$G$140&lt;&gt;"acoes")))*INDEX(Inputs!$K$5:$AJ$140,0,MATCH(N$2,Inputs!$K$4:$AJ$4,0)))+SUMPRODUCT((Inputs!$E$5:$E$140=$B12)*Inputs!$F$5:$F$140*(((Inputs!$G$5:$G$140="moeda")+(Inputs!$G$5:$G$140="acoes"))*Inputs!$B$1+((Inputs!$G$5:$G$140&lt;&gt;"moeda")*(Inputs!$G$5:$G$140&lt;&gt;"acoes")))*INDEX(Inputs!$K$5:$AJ$140,0,MATCH(N$2,Inputs!$K$4:$AJ$4,0)))))</f>
        <v>0</v>
      </c>
      <c r="O12" s="6">
        <f>IF(ISNA(MATCH(O$2,Inputs!$K$4:$AJ$4,0)),NA(),IF(SUMPRODUCT((Inputs!$A$5:$A$140=$B12)*ISNUMBER(INDEX(Inputs!$K$5:$AJ$140,0,MATCH(O$2,Inputs!$K$4:$AJ$4,0))))+SUMPRODUCT((Inputs!$C$5:$C$140=$B12)*ISNUMBER(INDEX(Inputs!$K$5:$AJ$140,0,MATCH(O$2,Inputs!$K$4:$AJ$4,0))))+SUMPRODUCT((Inputs!$E$5:$E$140=$B12)*ISNUMBER(INDEX(Inputs!$K$5:$AJ$140,0,MATCH(O$2,Inputs!$K$4:$AJ$4,0))))=0,NA(),SUMPRODUCT((Inputs!$A$5:$A$140=$B12)*Inputs!$B$5:$B$140*(((Inputs!$G$5:$G$140="moeda")+(Inputs!$G$5:$G$140="acoes"))*Inputs!$B$1+((Inputs!$G$5:$G$140&lt;&gt;"moeda")*(Inputs!$G$5:$G$140&lt;&gt;"acoes")))*INDEX(Inputs!$K$5:$AJ$140,0,MATCH(O$2,Inputs!$K$4:$AJ$4,0)))+SUMPRODUCT((Inputs!$C$5:$C$140=$B12)*Inputs!$D$5:$D$140*(((Inputs!$G$5:$G$140="moeda")+(Inputs!$G$5:$G$140="acoes"))*Inputs!$B$1+((Inputs!$G$5:$G$140&lt;&gt;"moeda")*(Inputs!$G$5:$G$140&lt;&gt;"acoes")))*INDEX(Inputs!$K$5:$AJ$140,0,MATCH(O$2,Inputs!$K$4:$AJ$4,0)))+SUMPRODUCT((Inputs!$E$5:$E$140=$B12)*Inputs!$F$5:$F$140*(((Inputs!$G$5:$G$140="moeda")+(Inputs!$G$5:$G$140="acoes"))*Inputs!$B$1+((Inputs!$G$5:$G$140&lt;&gt;"moeda")*(Inputs!$G$5:$G$140&lt;&gt;"acoes")))*INDEX(Inputs!$K$5:$AJ$140,0,MATCH(O$2,Inputs!$K$4:$AJ$4,0)))))</f>
        <v>0</v>
      </c>
      <c r="P12" s="6">
        <f>IF(ISNA(MATCH(P$2,Inputs!$K$4:$AJ$4,0)),NA(),IF(SUMPRODUCT((Inputs!$A$5:$A$140=$B12)*ISNUMBER(INDEX(Inputs!$K$5:$AJ$140,0,MATCH(P$2,Inputs!$K$4:$AJ$4,0))))+SUMPRODUCT((Inputs!$C$5:$C$140=$B12)*ISNUMBER(INDEX(Inputs!$K$5:$AJ$140,0,MATCH(P$2,Inputs!$K$4:$AJ$4,0))))+SUMPRODUCT((Inputs!$E$5:$E$140=$B12)*ISNUMBER(INDEX(Inputs!$K$5:$AJ$140,0,MATCH(P$2,Inputs!$K$4:$AJ$4,0))))=0,NA(),SUMPRODUCT((Inputs!$A$5:$A$140=$B12)*Inputs!$B$5:$B$140*(((Inputs!$G$5:$G$140="moeda")+(Inputs!$G$5:$G$140="acoes"))*Inputs!$B$1+((Inputs!$G$5:$G$140&lt;&gt;"moeda")*(Inputs!$G$5:$G$140&lt;&gt;"acoes")))*INDEX(Inputs!$K$5:$AJ$140,0,MATCH(P$2,Inputs!$K$4:$AJ$4,0)))+SUMPRODUCT((Inputs!$C$5:$C$140=$B12)*Inputs!$D$5:$D$140*(((Inputs!$G$5:$G$140="moeda")+(Inputs!$G$5:$G$140="acoes"))*Inputs!$B$1+((Inputs!$G$5:$G$140&lt;&gt;"moeda")*(Inputs!$G$5:$G$140&lt;&gt;"acoes")))*INDEX(Inputs!$K$5:$AJ$140,0,MATCH(P$2,Inputs!$K$4:$AJ$4,0)))+SUMPRODUCT((Inputs!$E$5:$E$140=$B12)*Inputs!$F$5:$F$140*(((Inputs!$G$5:$G$140="moeda")+(Inputs!$G$5:$G$140="acoes"))*Inputs!$B$1+((Inputs!$G$5:$G$140&lt;&gt;"moeda")*(Inputs!$G$5:$G$140&lt;&gt;"acoes")))*INDEX(Inputs!$K$5:$AJ$140,0,MATCH(P$2,Inputs!$K$4:$AJ$4,0)))))</f>
        <v>0</v>
      </c>
      <c r="Q12" s="6">
        <f>IF(ISNA(MATCH(Q$2,Inputs!$K$4:$AJ$4,0)),NA(),IF(SUMPRODUCT((Inputs!$A$5:$A$140=$B12)*ISNUMBER(INDEX(Inputs!$K$5:$AJ$140,0,MATCH(Q$2,Inputs!$K$4:$AJ$4,0))))+SUMPRODUCT((Inputs!$C$5:$C$140=$B12)*ISNUMBER(INDEX(Inputs!$K$5:$AJ$140,0,MATCH(Q$2,Inputs!$K$4:$AJ$4,0))))+SUMPRODUCT((Inputs!$E$5:$E$140=$B12)*ISNUMBER(INDEX(Inputs!$K$5:$AJ$140,0,MATCH(Q$2,Inputs!$K$4:$AJ$4,0))))=0,NA(),SUMPRODUCT((Inputs!$A$5:$A$140=$B12)*Inputs!$B$5:$B$140*(((Inputs!$G$5:$G$140="moeda")+(Inputs!$G$5:$G$140="acoes"))*Inputs!$B$1+((Inputs!$G$5:$G$140&lt;&gt;"moeda")*(Inputs!$G$5:$G$140&lt;&gt;"acoes")))*INDEX(Inputs!$K$5:$AJ$140,0,MATCH(Q$2,Inputs!$K$4:$AJ$4,0)))+SUMPRODUCT((Inputs!$C$5:$C$140=$B12)*Inputs!$D$5:$D$140*(((Inputs!$G$5:$G$140="moeda")+(Inputs!$G$5:$G$140="acoes"))*Inputs!$B$1+((Inputs!$G$5:$G$140&lt;&gt;"moeda")*(Inputs!$G$5:$G$140&lt;&gt;"acoes")))*INDEX(Inputs!$K$5:$AJ$140,0,MATCH(Q$2,Inputs!$K$4:$AJ$4,0)))+SUMPRODUCT((Inputs!$E$5:$E$140=$B12)*Inputs!$F$5:$F$140*(((Inputs!$G$5:$G$140="moeda")+(Inputs!$G$5:$G$140="acoes"))*Inputs!$B$1+((Inputs!$G$5:$G$140&lt;&gt;"moeda")*(Inputs!$G$5:$G$140&lt;&gt;"acoes")))*INDEX(Inputs!$K$5:$AJ$140,0,MATCH(Q$2,Inputs!$K$4:$AJ$4,0)))))</f>
        <v>0</v>
      </c>
      <c r="R12" s="3">
        <f>SUM(N12:Q12)</f>
        <v>0</v>
      </c>
      <c r="S12" s="6">
        <f>IF(ISNA(MATCH(S$2,Inputs!$K$4:$AJ$4,0)),NA(),IF(SUMPRODUCT((Inputs!$A$5:$A$140=$B12)*ISNUMBER(INDEX(Inputs!$K$5:$AJ$140,0,MATCH(S$2,Inputs!$K$4:$AJ$4,0))))+SUMPRODUCT((Inputs!$C$5:$C$140=$B12)*ISNUMBER(INDEX(Inputs!$K$5:$AJ$140,0,MATCH(S$2,Inputs!$K$4:$AJ$4,0))))+SUMPRODUCT((Inputs!$E$5:$E$140=$B12)*ISNUMBER(INDEX(Inputs!$K$5:$AJ$140,0,MATCH(S$2,Inputs!$K$4:$AJ$4,0))))=0,NA(),SUMPRODUCT((Inputs!$A$5:$A$140=$B12)*Inputs!$B$5:$B$140*(((Inputs!$G$5:$G$140="moeda")+(Inputs!$G$5:$G$140="acoes"))*Inputs!$B$1+((Inputs!$G$5:$G$140&lt;&gt;"moeda")*(Inputs!$G$5:$G$140&lt;&gt;"acoes")))*INDEX(Inputs!$K$5:$AJ$140,0,MATCH(S$2,Inputs!$K$4:$AJ$4,0)))+SUMPRODUCT((Inputs!$C$5:$C$140=$B12)*Inputs!$D$5:$D$140*(((Inputs!$G$5:$G$140="moeda")+(Inputs!$G$5:$G$140="acoes"))*Inputs!$B$1+((Inputs!$G$5:$G$140&lt;&gt;"moeda")*(Inputs!$G$5:$G$140&lt;&gt;"acoes")))*INDEX(Inputs!$K$5:$AJ$140,0,MATCH(S$2,Inputs!$K$4:$AJ$4,0)))+SUMPRODUCT((Inputs!$E$5:$E$140=$B12)*Inputs!$F$5:$F$140*(((Inputs!$G$5:$G$140="moeda")+(Inputs!$G$5:$G$140="acoes"))*Inputs!$B$1+((Inputs!$G$5:$G$140&lt;&gt;"moeda")*(Inputs!$G$5:$G$140&lt;&gt;"acoes")))*INDEX(Inputs!$K$5:$AJ$140,0,MATCH(S$2,Inputs!$K$4:$AJ$4,0)))))</f>
        <v>0</v>
      </c>
      <c r="T12" s="6">
        <f>IF(ISNA(MATCH(T$2,Inputs!$K$4:$AJ$4,0)),NA(),IF(SUMPRODUCT((Inputs!$A$5:$A$140=$B12)*ISNUMBER(INDEX(Inputs!$K$5:$AJ$140,0,MATCH(T$2,Inputs!$K$4:$AJ$4,0))))+SUMPRODUCT((Inputs!$C$5:$C$140=$B12)*ISNUMBER(INDEX(Inputs!$K$5:$AJ$140,0,MATCH(T$2,Inputs!$K$4:$AJ$4,0))))+SUMPRODUCT((Inputs!$E$5:$E$140=$B12)*ISNUMBER(INDEX(Inputs!$K$5:$AJ$140,0,MATCH(T$2,Inputs!$K$4:$AJ$4,0))))=0,NA(),SUMPRODUCT((Inputs!$A$5:$A$140=$B12)*Inputs!$B$5:$B$140*(((Inputs!$G$5:$G$140="moeda")+(Inputs!$G$5:$G$140="acoes"))*Inputs!$B$1+((Inputs!$G$5:$G$140&lt;&gt;"moeda")*(Inputs!$G$5:$G$140&lt;&gt;"acoes")))*INDEX(Inputs!$K$5:$AJ$140,0,MATCH(T$2,Inputs!$K$4:$AJ$4,0)))+SUMPRODUCT((Inputs!$C$5:$C$140=$B12)*Inputs!$D$5:$D$140*(((Inputs!$G$5:$G$140="moeda")+(Inputs!$G$5:$G$140="acoes"))*Inputs!$B$1+((Inputs!$G$5:$G$140&lt;&gt;"moeda")*(Inputs!$G$5:$G$140&lt;&gt;"acoes")))*INDEX(Inputs!$K$5:$AJ$140,0,MATCH(T$2,Inputs!$K$4:$AJ$4,0)))+SUMPRODUCT((Inputs!$E$5:$E$140=$B12)*Inputs!$F$5:$F$140*(((Inputs!$G$5:$G$140="moeda")+(Inputs!$G$5:$G$140="acoes"))*Inputs!$B$1+((Inputs!$G$5:$G$140&lt;&gt;"moeda")*(Inputs!$G$5:$G$140&lt;&gt;"acoes")))*INDEX(Inputs!$K$5:$AJ$140,0,MATCH(T$2,Inputs!$K$4:$AJ$4,0)))))</f>
        <v>0</v>
      </c>
      <c r="U12" s="6">
        <f>IF(ISNA(MATCH(U$2,Inputs!$K$4:$AJ$4,0)),NA(),IF(SUMPRODUCT((Inputs!$A$5:$A$140=$B12)*ISNUMBER(INDEX(Inputs!$K$5:$AJ$140,0,MATCH(U$2,Inputs!$K$4:$AJ$4,0))))+SUMPRODUCT((Inputs!$C$5:$C$140=$B12)*ISNUMBER(INDEX(Inputs!$K$5:$AJ$140,0,MATCH(U$2,Inputs!$K$4:$AJ$4,0))))+SUMPRODUCT((Inputs!$E$5:$E$140=$B12)*ISNUMBER(INDEX(Inputs!$K$5:$AJ$140,0,MATCH(U$2,Inputs!$K$4:$AJ$4,0))))=0,NA(),SUMPRODUCT((Inputs!$A$5:$A$140=$B12)*Inputs!$B$5:$B$140*(((Inputs!$G$5:$G$140="moeda")+(Inputs!$G$5:$G$140="acoes"))*Inputs!$B$1+((Inputs!$G$5:$G$140&lt;&gt;"moeda")*(Inputs!$G$5:$G$140&lt;&gt;"acoes")))*INDEX(Inputs!$K$5:$AJ$140,0,MATCH(U$2,Inputs!$K$4:$AJ$4,0)))+SUMPRODUCT((Inputs!$C$5:$C$140=$B12)*Inputs!$D$5:$D$140*(((Inputs!$G$5:$G$140="moeda")+(Inputs!$G$5:$G$140="acoes"))*Inputs!$B$1+((Inputs!$G$5:$G$140&lt;&gt;"moeda")*(Inputs!$G$5:$G$140&lt;&gt;"acoes")))*INDEX(Inputs!$K$5:$AJ$140,0,MATCH(U$2,Inputs!$K$4:$AJ$4,0)))+SUMPRODUCT((Inputs!$E$5:$E$140=$B12)*Inputs!$F$5:$F$140*(((Inputs!$G$5:$G$140="moeda")+(Inputs!$G$5:$G$140="acoes"))*Inputs!$B$1+((Inputs!$G$5:$G$140&lt;&gt;"moeda")*(Inputs!$G$5:$G$140&lt;&gt;"acoes")))*INDEX(Inputs!$K$5:$AJ$140,0,MATCH(U$2,Inputs!$K$4:$AJ$4,0)))))</f>
        <v>0</v>
      </c>
      <c r="V12" s="6">
        <f>IF(ISNA(MATCH(V$2,Inputs!$K$4:$AJ$4,0)),NA(),IF(SUMPRODUCT((Inputs!$A$5:$A$140=$B12)*ISNUMBER(INDEX(Inputs!$K$5:$AJ$140,0,MATCH(V$2,Inputs!$K$4:$AJ$4,0))))+SUMPRODUCT((Inputs!$C$5:$C$140=$B12)*ISNUMBER(INDEX(Inputs!$K$5:$AJ$140,0,MATCH(V$2,Inputs!$K$4:$AJ$4,0))))+SUMPRODUCT((Inputs!$E$5:$E$140=$B12)*ISNUMBER(INDEX(Inputs!$K$5:$AJ$140,0,MATCH(V$2,Inputs!$K$4:$AJ$4,0))))=0,NA(),SUMPRODUCT((Inputs!$A$5:$A$140=$B12)*Inputs!$B$5:$B$140*(((Inputs!$G$5:$G$140="moeda")+(Inputs!$G$5:$G$140="acoes"))*Inputs!$B$1+((Inputs!$G$5:$G$140&lt;&gt;"moeda")*(Inputs!$G$5:$G$140&lt;&gt;"acoes")))*INDEX(Inputs!$K$5:$AJ$140,0,MATCH(V$2,Inputs!$K$4:$AJ$4,0)))+SUMPRODUCT((Inputs!$C$5:$C$140=$B12)*Inputs!$D$5:$D$140*(((Inputs!$G$5:$G$140="moeda")+(Inputs!$G$5:$G$140="acoes"))*Inputs!$B$1+((Inputs!$G$5:$G$140&lt;&gt;"moeda")*(Inputs!$G$5:$G$140&lt;&gt;"acoes")))*INDEX(Inputs!$K$5:$AJ$140,0,MATCH(V$2,Inputs!$K$4:$AJ$4,0)))+SUMPRODUCT((Inputs!$E$5:$E$140=$B12)*Inputs!$F$5:$F$140*(((Inputs!$G$5:$G$140="moeda")+(Inputs!$G$5:$G$140="acoes"))*Inputs!$B$1+((Inputs!$G$5:$G$140&lt;&gt;"moeda")*(Inputs!$G$5:$G$140&lt;&gt;"acoes")))*INDEX(Inputs!$K$5:$AJ$140,0,MATCH(V$2,Inputs!$K$4:$AJ$4,0)))))</f>
        <v>0</v>
      </c>
      <c r="W12" s="3">
        <f>SUM(S12:V12)</f>
        <v>0</v>
      </c>
      <c r="X12" s="6">
        <f>IF(ISNA(MATCH(X$2,Inputs!$K$4:$AJ$4,0)),NA(),IF(SUMPRODUCT((Inputs!$A$5:$A$140=$B12)*ISNUMBER(INDEX(Inputs!$K$5:$AJ$140,0,MATCH(X$2,Inputs!$K$4:$AJ$4,0))))+SUMPRODUCT((Inputs!$C$5:$C$140=$B12)*ISNUMBER(INDEX(Inputs!$K$5:$AJ$140,0,MATCH(X$2,Inputs!$K$4:$AJ$4,0))))+SUMPRODUCT((Inputs!$E$5:$E$140=$B12)*ISNUMBER(INDEX(Inputs!$K$5:$AJ$140,0,MATCH(X$2,Inputs!$K$4:$AJ$4,0))))=0,NA(),SUMPRODUCT((Inputs!$A$5:$A$140=$B12)*Inputs!$B$5:$B$140*(((Inputs!$G$5:$G$140="moeda")+(Inputs!$G$5:$G$140="acoes"))*Inputs!$B$1+((Inputs!$G$5:$G$140&lt;&gt;"moeda")*(Inputs!$G$5:$G$140&lt;&gt;"acoes")))*INDEX(Inputs!$K$5:$AJ$140,0,MATCH(X$2,Inputs!$K$4:$AJ$4,0)))+SUMPRODUCT((Inputs!$C$5:$C$140=$B12)*Inputs!$D$5:$D$140*(((Inputs!$G$5:$G$140="moeda")+(Inputs!$G$5:$G$140="acoes"))*Inputs!$B$1+((Inputs!$G$5:$G$140&lt;&gt;"moeda")*(Inputs!$G$5:$G$140&lt;&gt;"acoes")))*INDEX(Inputs!$K$5:$AJ$140,0,MATCH(X$2,Inputs!$K$4:$AJ$4,0)))+SUMPRODUCT((Inputs!$E$5:$E$140=$B12)*Inputs!$F$5:$F$140*(((Inputs!$G$5:$G$140="moeda")+(Inputs!$G$5:$G$140="acoes"))*Inputs!$B$1+((Inputs!$G$5:$G$140&lt;&gt;"moeda")*(Inputs!$G$5:$G$140&lt;&gt;"acoes")))*INDEX(Inputs!$K$5:$AJ$140,0,MATCH(X$2,Inputs!$K$4:$AJ$4,0)))))</f>
        <v>0</v>
      </c>
      <c r="Y12" s="6">
        <f>IF(ISNA(MATCH(Y$2,Inputs!$K$4:$AJ$4,0)),NA(),IF(SUMPRODUCT((Inputs!$A$5:$A$140=$B12)*ISNUMBER(INDEX(Inputs!$K$5:$AJ$140,0,MATCH(Y$2,Inputs!$K$4:$AJ$4,0))))+SUMPRODUCT((Inputs!$C$5:$C$140=$B12)*ISNUMBER(INDEX(Inputs!$K$5:$AJ$140,0,MATCH(Y$2,Inputs!$K$4:$AJ$4,0))))+SUMPRODUCT((Inputs!$E$5:$E$140=$B12)*ISNUMBER(INDEX(Inputs!$K$5:$AJ$140,0,MATCH(Y$2,Inputs!$K$4:$AJ$4,0))))=0,NA(),SUMPRODUCT((Inputs!$A$5:$A$140=$B12)*Inputs!$B$5:$B$140*(((Inputs!$G$5:$G$140="moeda")+(Inputs!$G$5:$G$140="acoes"))*Inputs!$B$1+((Inputs!$G$5:$G$140&lt;&gt;"moeda")*(Inputs!$G$5:$G$140&lt;&gt;"acoes")))*INDEX(Inputs!$K$5:$AJ$140,0,MATCH(Y$2,Inputs!$K$4:$AJ$4,0)))+SUMPRODUCT((Inputs!$C$5:$C$140=$B12)*Inputs!$D$5:$D$140*(((Inputs!$G$5:$G$140="moeda")+(Inputs!$G$5:$G$140="acoes"))*Inputs!$B$1+((Inputs!$G$5:$G$140&lt;&gt;"moeda")*(Inputs!$G$5:$G$140&lt;&gt;"acoes")))*INDEX(Inputs!$K$5:$AJ$140,0,MATCH(Y$2,Inputs!$K$4:$AJ$4,0)))+SUMPRODUCT((Inputs!$E$5:$E$140=$B12)*Inputs!$F$5:$F$140*(((Inputs!$G$5:$G$140="moeda")+(Inputs!$G$5:$G$140="acoes"))*Inputs!$B$1+((Inputs!$G$5:$G$140&lt;&gt;"moeda")*(Inputs!$G$5:$G$140&lt;&gt;"acoes")))*INDEX(Inputs!$K$5:$AJ$140,0,MATCH(Y$2,Inputs!$K$4:$AJ$4,0)))))</f>
        <v>0</v>
      </c>
      <c r="Z12" s="6">
        <f>IF(ISNA(MATCH(Z$2,Inputs!$K$4:$AJ$4,0)),NA(),IF(SUMPRODUCT((Inputs!$A$5:$A$140=$B12)*ISNUMBER(INDEX(Inputs!$K$5:$AJ$140,0,MATCH(Z$2,Inputs!$K$4:$AJ$4,0))))+SUMPRODUCT((Inputs!$C$5:$C$140=$B12)*ISNUMBER(INDEX(Inputs!$K$5:$AJ$140,0,MATCH(Z$2,Inputs!$K$4:$AJ$4,0))))+SUMPRODUCT((Inputs!$E$5:$E$140=$B12)*ISNUMBER(INDEX(Inputs!$K$5:$AJ$140,0,MATCH(Z$2,Inputs!$K$4:$AJ$4,0))))=0,NA(),SUMPRODUCT((Inputs!$A$5:$A$140=$B12)*Inputs!$B$5:$B$140*(((Inputs!$G$5:$G$140="moeda")+(Inputs!$G$5:$G$140="acoes"))*Inputs!$B$1+((Inputs!$G$5:$G$140&lt;&gt;"moeda")*(Inputs!$G$5:$G$140&lt;&gt;"acoes")))*INDEX(Inputs!$K$5:$AJ$140,0,MATCH(Z$2,Inputs!$K$4:$AJ$4,0)))+SUMPRODUCT((Inputs!$C$5:$C$140=$B12)*Inputs!$D$5:$D$140*(((Inputs!$G$5:$G$140="moeda")+(Inputs!$G$5:$G$140="acoes"))*Inputs!$B$1+((Inputs!$G$5:$G$140&lt;&gt;"moeda")*(Inputs!$G$5:$G$140&lt;&gt;"acoes")))*INDEX(Inputs!$K$5:$AJ$140,0,MATCH(Z$2,Inputs!$K$4:$AJ$4,0)))+SUMPRODUCT((Inputs!$E$5:$E$140=$B12)*Inputs!$F$5:$F$140*(((Inputs!$G$5:$G$140="moeda")+(Inputs!$G$5:$G$140="acoes"))*Inputs!$B$1+((Inputs!$G$5:$G$140&lt;&gt;"moeda")*(Inputs!$G$5:$G$140&lt;&gt;"acoes")))*INDEX(Inputs!$K$5:$AJ$140,0,MATCH(Z$2,Inputs!$K$4:$AJ$4,0)))))</f>
        <v>3.973</v>
      </c>
      <c r="AA12" s="6">
        <f>IF(ISNA(MATCH(AA$2,Inputs!$K$4:$AJ$4,0)),NA(),IF(SUMPRODUCT((Inputs!$A$5:$A$140=$B12)*ISNUMBER(INDEX(Inputs!$K$5:$AJ$140,0,MATCH(AA$2,Inputs!$K$4:$AJ$4,0))))+SUMPRODUCT((Inputs!$C$5:$C$140=$B12)*ISNUMBER(INDEX(Inputs!$K$5:$AJ$140,0,MATCH(AA$2,Inputs!$K$4:$AJ$4,0))))+SUMPRODUCT((Inputs!$E$5:$E$140=$B12)*ISNUMBER(INDEX(Inputs!$K$5:$AJ$140,0,MATCH(AA$2,Inputs!$K$4:$AJ$4,0))))=0,NA(),SUMPRODUCT((Inputs!$A$5:$A$140=$B12)*Inputs!$B$5:$B$140*(((Inputs!$G$5:$G$140="moeda")+(Inputs!$G$5:$G$140="acoes"))*Inputs!$B$1+((Inputs!$G$5:$G$140&lt;&gt;"moeda")*(Inputs!$G$5:$G$140&lt;&gt;"acoes")))*INDEX(Inputs!$K$5:$AJ$140,0,MATCH(AA$2,Inputs!$K$4:$AJ$4,0)))+SUMPRODUCT((Inputs!$C$5:$C$140=$B12)*Inputs!$D$5:$D$140*(((Inputs!$G$5:$G$140="moeda")+(Inputs!$G$5:$G$140="acoes"))*Inputs!$B$1+((Inputs!$G$5:$G$140&lt;&gt;"moeda")*(Inputs!$G$5:$G$140&lt;&gt;"acoes")))*INDEX(Inputs!$K$5:$AJ$140,0,MATCH(AA$2,Inputs!$K$4:$AJ$4,0)))+SUMPRODUCT((Inputs!$E$5:$E$140=$B12)*Inputs!$F$5:$F$140*(((Inputs!$G$5:$G$140="moeda")+(Inputs!$G$5:$G$140="acoes"))*Inputs!$B$1+((Inputs!$G$5:$G$140&lt;&gt;"moeda")*(Inputs!$G$5:$G$140&lt;&gt;"acoes")))*INDEX(Inputs!$K$5:$AJ$140,0,MATCH(AA$2,Inputs!$K$4:$AJ$4,0)))))</f>
        <v>-18.687</v>
      </c>
      <c r="AB12" s="3">
        <f>SUM(X12:AA12)</f>
        <v>-14.714</v>
      </c>
      <c r="AC12" s="6">
        <f>IF(ISNA(MATCH(AC$2,Inputs!$K$4:$AJ$4,0)),NA(),IF(SUMPRODUCT((Inputs!$A$5:$A$140=$B12)*ISNUMBER(INDEX(Inputs!$K$5:$AJ$140,0,MATCH(AC$2,Inputs!$K$4:$AJ$4,0))))+SUMPRODUCT((Inputs!$C$5:$C$140=$B12)*ISNUMBER(INDEX(Inputs!$K$5:$AJ$140,0,MATCH(AC$2,Inputs!$K$4:$AJ$4,0))))+SUMPRODUCT((Inputs!$E$5:$E$140=$B12)*ISNUMBER(INDEX(Inputs!$K$5:$AJ$140,0,MATCH(AC$2,Inputs!$K$4:$AJ$4,0))))=0,NA(),SUMPRODUCT((Inputs!$A$5:$A$140=$B12)*Inputs!$B$5:$B$140*(((Inputs!$G$5:$G$140="moeda")+(Inputs!$G$5:$G$140="acoes"))*Inputs!$B$1+((Inputs!$G$5:$G$140&lt;&gt;"moeda")*(Inputs!$G$5:$G$140&lt;&gt;"acoes")))*INDEX(Inputs!$K$5:$AJ$140,0,MATCH(AC$2,Inputs!$K$4:$AJ$4,0)))+SUMPRODUCT((Inputs!$C$5:$C$140=$B12)*Inputs!$D$5:$D$140*(((Inputs!$G$5:$G$140="moeda")+(Inputs!$G$5:$G$140="acoes"))*Inputs!$B$1+((Inputs!$G$5:$G$140&lt;&gt;"moeda")*(Inputs!$G$5:$G$140&lt;&gt;"acoes")))*INDEX(Inputs!$K$5:$AJ$140,0,MATCH(AC$2,Inputs!$K$4:$AJ$4,0)))+SUMPRODUCT((Inputs!$E$5:$E$140=$B12)*Inputs!$F$5:$F$140*(((Inputs!$G$5:$G$140="moeda")+(Inputs!$G$5:$G$140="acoes"))*Inputs!$B$1+((Inputs!$G$5:$G$140&lt;&gt;"moeda")*(Inputs!$G$5:$G$140&lt;&gt;"acoes")))*INDEX(Inputs!$K$5:$AJ$140,0,MATCH(AC$2,Inputs!$K$4:$AJ$4,0)))))</f>
        <v>21.959</v>
      </c>
      <c r="AD12" s="6">
        <f>IF(ISNA(MATCH(AD$2,Inputs!$K$4:$AJ$4,0)),NA(),IF(SUMPRODUCT((Inputs!$A$5:$A$140=$B12)*ISNUMBER(INDEX(Inputs!$K$5:$AJ$140,0,MATCH(AD$2,Inputs!$K$4:$AJ$4,0))))+SUMPRODUCT((Inputs!$C$5:$C$140=$B12)*ISNUMBER(INDEX(Inputs!$K$5:$AJ$140,0,MATCH(AD$2,Inputs!$K$4:$AJ$4,0))))+SUMPRODUCT((Inputs!$E$5:$E$140=$B12)*ISNUMBER(INDEX(Inputs!$K$5:$AJ$140,0,MATCH(AD$2,Inputs!$K$4:$AJ$4,0))))=0,NA(),SUMPRODUCT((Inputs!$A$5:$A$140=$B12)*Inputs!$B$5:$B$140*(((Inputs!$G$5:$G$140="moeda")+(Inputs!$G$5:$G$140="acoes"))*Inputs!$B$1+((Inputs!$G$5:$G$140&lt;&gt;"moeda")*(Inputs!$G$5:$G$140&lt;&gt;"acoes")))*INDEX(Inputs!$K$5:$AJ$140,0,MATCH(AD$2,Inputs!$K$4:$AJ$4,0)))+SUMPRODUCT((Inputs!$C$5:$C$140=$B12)*Inputs!$D$5:$D$140*(((Inputs!$G$5:$G$140="moeda")+(Inputs!$G$5:$G$140="acoes"))*Inputs!$B$1+((Inputs!$G$5:$G$140&lt;&gt;"moeda")*(Inputs!$G$5:$G$140&lt;&gt;"acoes")))*INDEX(Inputs!$K$5:$AJ$140,0,MATCH(AD$2,Inputs!$K$4:$AJ$4,0)))+SUMPRODUCT((Inputs!$E$5:$E$140=$B12)*Inputs!$F$5:$F$140*(((Inputs!$G$5:$G$140="moeda")+(Inputs!$G$5:$G$140="acoes"))*Inputs!$B$1+((Inputs!$G$5:$G$140&lt;&gt;"moeda")*(Inputs!$G$5:$G$140&lt;&gt;"acoes")))*INDEX(Inputs!$K$5:$AJ$140,0,MATCH(AD$2,Inputs!$K$4:$AJ$4,0)))))</f>
        <v>-5.141</v>
      </c>
      <c r="AE12" s="6" t="e">
        <f>IF(ISNA(MATCH(AE$2,Inputs!$K$4:$AJ$4,0)),NA(),IF(SUMPRODUCT((Inputs!$A$5:$A$140=$B12)*ISNUMBER(INDEX(Inputs!$K$5:$AJ$140,0,MATCH(AE$2,Inputs!$K$4:$AJ$4,0))))+SUMPRODUCT((Inputs!$C$5:$C$140=$B12)*ISNUMBER(INDEX(Inputs!$K$5:$AJ$140,0,MATCH(AE$2,Inputs!$K$4:$AJ$4,0))))+SUMPRODUCT((Inputs!$E$5:$E$140=$B12)*ISNUMBER(INDEX(Inputs!$K$5:$AJ$140,0,MATCH(AE$2,Inputs!$K$4:$AJ$4,0))))=0,NA(),SUMPRODUCT((Inputs!$A$5:$A$140=$B12)*Inputs!$B$5:$B$140*(((Inputs!$G$5:$G$140="moeda")+(Inputs!$G$5:$G$140="acoes"))*Inputs!$B$1+((Inputs!$G$5:$G$140&lt;&gt;"moeda")*(Inputs!$G$5:$G$140&lt;&gt;"acoes")))*INDEX(Inputs!$K$5:$AJ$140,0,MATCH(AE$2,Inputs!$K$4:$AJ$4,0)))+SUMPRODUCT((Inputs!$C$5:$C$140=$B12)*Inputs!$D$5:$D$140*(((Inputs!$G$5:$G$140="moeda")+(Inputs!$G$5:$G$140="acoes"))*Inputs!$B$1+((Inputs!$G$5:$G$140&lt;&gt;"moeda")*(Inputs!$G$5:$G$140&lt;&gt;"acoes")))*INDEX(Inputs!$K$5:$AJ$140,0,MATCH(AE$2,Inputs!$K$4:$AJ$4,0)))+SUMPRODUCT((Inputs!$E$5:$E$140=$B12)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2" s="6" t="e">
        <f>IF(ISNA(MATCH(AF$2,Inputs!$K$4:$AJ$4,0)),NA(),IF(SUMPRODUCT((Inputs!$A$5:$A$140=$B12)*ISNUMBER(INDEX(Inputs!$K$5:$AJ$140,0,MATCH(AF$2,Inputs!$K$4:$AJ$4,0))))+SUMPRODUCT((Inputs!$C$5:$C$140=$B12)*ISNUMBER(INDEX(Inputs!$K$5:$AJ$140,0,MATCH(AF$2,Inputs!$K$4:$AJ$4,0))))+SUMPRODUCT((Inputs!$E$5:$E$140=$B12)*ISNUMBER(INDEX(Inputs!$K$5:$AJ$140,0,MATCH(AF$2,Inputs!$K$4:$AJ$4,0))))=0,NA(),SUMPRODUCT((Inputs!$A$5:$A$140=$B12)*Inputs!$B$5:$B$140*(((Inputs!$G$5:$G$140="moeda")+(Inputs!$G$5:$G$140="acoes"))*Inputs!$B$1+((Inputs!$G$5:$G$140&lt;&gt;"moeda")*(Inputs!$G$5:$G$140&lt;&gt;"acoes")))*INDEX(Inputs!$K$5:$AJ$140,0,MATCH(AF$2,Inputs!$K$4:$AJ$4,0)))+SUMPRODUCT((Inputs!$C$5:$C$140=$B12)*Inputs!$D$5:$D$140*(((Inputs!$G$5:$G$140="moeda")+(Inputs!$G$5:$G$140="acoes"))*Inputs!$B$1+((Inputs!$G$5:$G$140&lt;&gt;"moeda")*(Inputs!$G$5:$G$140&lt;&gt;"acoes")))*INDEX(Inputs!$K$5:$AJ$140,0,MATCH(AF$2,Inputs!$K$4:$AJ$4,0)))+SUMPRODUCT((Inputs!$E$5:$E$140=$B12)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$140=$B12)*ISNUMBER(INDEX(Inputs!$K$5:$AJ$140,0,MATCH(AH$2,Inputs!$K$4:$AJ$4,0))))+SUMPRODUCT((Inputs!$C$5:$C$140=$B12)*ISNUMBER(INDEX(Inputs!$K$5:$AJ$140,0,MATCH(AH$2,Inputs!$K$4:$AJ$4,0))))+SUMPRODUCT((Inputs!$E$5:$E$140=$B12)*ISNUMBER(INDEX(Inputs!$K$5:$AJ$140,0,MATCH(AH$2,Inputs!$K$4:$AJ$4,0))))=0,NA(),SUMPRODUCT((Inputs!$A$5:$A$140=$B12)*Inputs!$B$5:$B$140*(((Inputs!$G$5:$G$140="moeda")+(Inputs!$G$5:$G$140="acoes"))*Inputs!$B$1+((Inputs!$G$5:$G$140&lt;&gt;"moeda")*(Inputs!$G$5:$G$140&lt;&gt;"acoes")))*INDEX(Inputs!$K$5:$AJ$140,0,MATCH(AH$2,Inputs!$K$4:$AJ$4,0)))+SUMPRODUCT((Inputs!$C$5:$C$140=$B12)*Inputs!$D$5:$D$140*(((Inputs!$G$5:$G$140="moeda")+(Inputs!$G$5:$G$140="acoes"))*Inputs!$B$1+((Inputs!$G$5:$G$140&lt;&gt;"moeda")*(Inputs!$G$5:$G$140&lt;&gt;"acoes")))*INDEX(Inputs!$K$5:$AJ$140,0,MATCH(AH$2,Inputs!$K$4:$AJ$4,0)))+SUMPRODUCT((Inputs!$E$5:$E$140=$B12)*Inputs!$F$5:$F$140*(((Inputs!$G$5:$G$140="moeda")+(Inputs!$G$5:$G$140="acoes"))*Inputs!$B$1+((Inputs!$G$5:$G$140&lt;&gt;"moeda")*(Inputs!$G$5:$G$140&lt;&gt;"acoes")))*INDEX(Inputs!$K$5:$AJ$140,0,MATCH(AH$2,Inputs!$K$4:$AJ$4,0)))))</f>
        <v>0</v>
      </c>
      <c r="AI12" s="6">
        <f>IF(ISNA(MATCH(AI$2,Inputs!$K$4:$AJ$4,0)),NA(),IF(SUMPRODUCT((Inputs!$A$5:$A$140=$B12)*ISNUMBER(INDEX(Inputs!$K$5:$AJ$140,0,MATCH(AI$2,Inputs!$K$4:$AJ$4,0))))+SUMPRODUCT((Inputs!$C$5:$C$140=$B12)*ISNUMBER(INDEX(Inputs!$K$5:$AJ$140,0,MATCH(AI$2,Inputs!$K$4:$AJ$4,0))))+SUMPRODUCT((Inputs!$E$5:$E$140=$B12)*ISNUMBER(INDEX(Inputs!$K$5:$AJ$140,0,MATCH(AI$2,Inputs!$K$4:$AJ$4,0))))=0,NA(),SUMPRODUCT((Inputs!$A$5:$A$140=$B12)*Inputs!$B$5:$B$140*(((Inputs!$G$5:$G$140="moeda")+(Inputs!$G$5:$G$140="acoes"))*Inputs!$B$1+((Inputs!$G$5:$G$140&lt;&gt;"moeda")*(Inputs!$G$5:$G$140&lt;&gt;"acoes")))*INDEX(Inputs!$K$5:$AJ$140,0,MATCH(AI$2,Inputs!$K$4:$AJ$4,0)))+SUMPRODUCT((Inputs!$C$5:$C$140=$B12)*Inputs!$D$5:$D$140*(((Inputs!$G$5:$G$140="moeda")+(Inputs!$G$5:$G$140="acoes"))*Inputs!$B$1+((Inputs!$G$5:$G$140&lt;&gt;"moeda")*(Inputs!$G$5:$G$140&lt;&gt;"acoes")))*INDEX(Inputs!$K$5:$AJ$140,0,MATCH(AI$2,Inputs!$K$4:$AJ$4,0)))+SUMPRODUCT((Inputs!$E$5:$E$140=$B12)*Inputs!$F$5:$F$140*(((Inputs!$G$5:$G$140="moeda")+(Inputs!$G$5:$G$140="acoes"))*Inputs!$B$1+((Inputs!$G$5:$G$140&lt;&gt;"moeda")*(Inputs!$G$5:$G$140&lt;&gt;"acoes")))*INDEX(Inputs!$K$5:$AJ$140,0,MATCH(AI$2,Inputs!$K$4:$AJ$4,0)))))</f>
        <v>0</v>
      </c>
      <c r="AJ12" s="6">
        <f>IF(ISNA(MATCH(AJ$2,Inputs!$K$4:$AJ$4,0)),NA(),IF(SUMPRODUCT((Inputs!$A$5:$A$140=$B12)*ISNUMBER(INDEX(Inputs!$K$5:$AJ$140,0,MATCH(AJ$2,Inputs!$K$4:$AJ$4,0))))+SUMPRODUCT((Inputs!$C$5:$C$140=$B12)*ISNUMBER(INDEX(Inputs!$K$5:$AJ$140,0,MATCH(AJ$2,Inputs!$K$4:$AJ$4,0))))+SUMPRODUCT((Inputs!$E$5:$E$140=$B12)*ISNUMBER(INDEX(Inputs!$K$5:$AJ$140,0,MATCH(AJ$2,Inputs!$K$4:$AJ$4,0))))=0,NA(),SUMPRODUCT((Inputs!$A$5:$A$140=$B12)*Inputs!$B$5:$B$140*(((Inputs!$G$5:$G$140="moeda")+(Inputs!$G$5:$G$140="acoes"))*Inputs!$B$1+((Inputs!$G$5:$G$140&lt;&gt;"moeda")*(Inputs!$G$5:$G$140&lt;&gt;"acoes")))*INDEX(Inputs!$K$5:$AJ$140,0,MATCH(AJ$2,Inputs!$K$4:$AJ$4,0)))+SUMPRODUCT((Inputs!$C$5:$C$140=$B12)*Inputs!$D$5:$D$140*(((Inputs!$G$5:$G$140="moeda")+(Inputs!$G$5:$G$140="acoes"))*Inputs!$B$1+((Inputs!$G$5:$G$140&lt;&gt;"moeda")*(Inputs!$G$5:$G$140&lt;&gt;"acoes")))*INDEX(Inputs!$K$5:$AJ$140,0,MATCH(AJ$2,Inputs!$K$4:$AJ$4,0)))+SUMPRODUCT((Inputs!$E$5:$E$140=$B12)*Inputs!$F$5:$F$140*(((Inputs!$G$5:$G$140="moeda")+(Inputs!$G$5:$G$140="acoes"))*Inputs!$B$1+((Inputs!$G$5:$G$140&lt;&gt;"moeda")*(Inputs!$G$5:$G$140&lt;&gt;"acoes")))*INDEX(Inputs!$K$5:$AJ$140,0,MATCH(AJ$2,Inputs!$K$4:$AJ$4,0)))))</f>
        <v>0</v>
      </c>
      <c r="AK12" s="6">
        <f>IF(ISNA(MATCH(AK$2,Inputs!$K$4:$AJ$4,0)),NA(),IF(SUMPRODUCT((Inputs!$A$5:$A$140=$B12)*ISNUMBER(INDEX(Inputs!$K$5:$AJ$140,0,MATCH(AK$2,Inputs!$K$4:$AJ$4,0))))+SUMPRODUCT((Inputs!$C$5:$C$140=$B12)*ISNUMBER(INDEX(Inputs!$K$5:$AJ$140,0,MATCH(AK$2,Inputs!$K$4:$AJ$4,0))))+SUMPRODUCT((Inputs!$E$5:$E$140=$B12)*ISNUMBER(INDEX(Inputs!$K$5:$AJ$140,0,MATCH(AK$2,Inputs!$K$4:$AJ$4,0))))=0,NA(),SUMPRODUCT((Inputs!$A$5:$A$140=$B12)*Inputs!$B$5:$B$140*(((Inputs!$G$5:$G$140="moeda")+(Inputs!$G$5:$G$140="acoes"))*Inputs!$B$1+((Inputs!$G$5:$G$140&lt;&gt;"moeda")*(Inputs!$G$5:$G$140&lt;&gt;"acoes")))*INDEX(Inputs!$K$5:$AJ$140,0,MATCH(AK$2,Inputs!$K$4:$AJ$4,0)))+SUMPRODUCT((Inputs!$C$5:$C$140=$B12)*Inputs!$D$5:$D$140*(((Inputs!$G$5:$G$140="moeda")+(Inputs!$G$5:$G$140="acoes"))*Inputs!$B$1+((Inputs!$G$5:$G$140&lt;&gt;"moeda")*(Inputs!$G$5:$G$140&lt;&gt;"acoes")))*INDEX(Inputs!$K$5:$AJ$140,0,MATCH(AK$2,Inputs!$K$4:$AJ$4,0)))+SUMPRODUCT((Inputs!$E$5:$E$140=$B12)*Inputs!$F$5:$F$140*(((Inputs!$G$5:$G$140="moeda")+(Inputs!$G$5:$G$140="acoes"))*Inputs!$B$1+((Inputs!$G$5:$G$140&lt;&gt;"moeda")*(Inputs!$G$5:$G$140&lt;&gt;"acoes")))*INDEX(Inputs!$K$5:$AJ$140,0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$140=$B13)*ISNUMBER(INDEX(Inputs!$K$5:$AJ$140,0,MATCH(D$2,Inputs!$K$4:$AJ$4,0))))+SUMPRODUCT((Inputs!$C$5:$C$140=$B13)*ISNUMBER(INDEX(Inputs!$K$5:$AJ$140,0,MATCH(D$2,Inputs!$K$4:$AJ$4,0))))+SUMPRODUCT((Inputs!$E$5:$E$140=$B13)*ISNUMBER(INDEX(Inputs!$K$5:$AJ$140,0,MATCH(D$2,Inputs!$K$4:$AJ$4,0))))=0,NA(),SUMPRODUCT((Inputs!$A$5:$A$140=$B13)*Inputs!$B$5:$B$140*(((Inputs!$G$5:$G$140="moeda")+(Inputs!$G$5:$G$140="acoes"))*Inputs!$B$1+((Inputs!$G$5:$G$140&lt;&gt;"moeda")*(Inputs!$G$5:$G$140&lt;&gt;"acoes")))*INDEX(Inputs!$K$5:$AJ$140,0,MATCH(D$2,Inputs!$K$4:$AJ$4,0)))+SUMPRODUCT((Inputs!$C$5:$C$140=$B13)*Inputs!$D$5:$D$140*(((Inputs!$G$5:$G$140="moeda")+(Inputs!$G$5:$G$140="acoes"))*Inputs!$B$1+((Inputs!$G$5:$G$140&lt;&gt;"moeda")*(Inputs!$G$5:$G$140&lt;&gt;"acoes")))*INDEX(Inputs!$K$5:$AJ$140,0,MATCH(D$2,Inputs!$K$4:$AJ$4,0)))+SUMPRODUCT((Inputs!$E$5:$E$140=$B13)*Inputs!$F$5:$F$140*(((Inputs!$G$5:$G$140="moeda")+(Inputs!$G$5:$G$140="acoes"))*Inputs!$B$1+((Inputs!$G$5:$G$140&lt;&gt;"moeda")*(Inputs!$G$5:$G$140&lt;&gt;"acoes")))*INDEX(Inputs!$K$5:$AJ$140,0,MATCH(D$2,Inputs!$K$4:$AJ$4,0)))))</f>
        <v>0</v>
      </c>
      <c r="E13" s="6">
        <f>IF(ISNA(MATCH(E$2,Inputs!$K$4:$AJ$4,0)),NA(),IF(SUMPRODUCT((Inputs!$A$5:$A$140=$B13)*ISNUMBER(INDEX(Inputs!$K$5:$AJ$140,0,MATCH(E$2,Inputs!$K$4:$AJ$4,0))))+SUMPRODUCT((Inputs!$C$5:$C$140=$B13)*ISNUMBER(INDEX(Inputs!$K$5:$AJ$140,0,MATCH(E$2,Inputs!$K$4:$AJ$4,0))))+SUMPRODUCT((Inputs!$E$5:$E$140=$B13)*ISNUMBER(INDEX(Inputs!$K$5:$AJ$140,0,MATCH(E$2,Inputs!$K$4:$AJ$4,0))))=0,NA(),SUMPRODUCT((Inputs!$A$5:$A$140=$B13)*Inputs!$B$5:$B$140*(((Inputs!$G$5:$G$140="moeda")+(Inputs!$G$5:$G$140="acoes"))*Inputs!$B$1+((Inputs!$G$5:$G$140&lt;&gt;"moeda")*(Inputs!$G$5:$G$140&lt;&gt;"acoes")))*INDEX(Inputs!$K$5:$AJ$140,0,MATCH(E$2,Inputs!$K$4:$AJ$4,0)))+SUMPRODUCT((Inputs!$C$5:$C$140=$B13)*Inputs!$D$5:$D$140*(((Inputs!$G$5:$G$140="moeda")+(Inputs!$G$5:$G$140="acoes"))*Inputs!$B$1+((Inputs!$G$5:$G$140&lt;&gt;"moeda")*(Inputs!$G$5:$G$140&lt;&gt;"acoes")))*INDEX(Inputs!$K$5:$AJ$140,0,MATCH(E$2,Inputs!$K$4:$AJ$4,0)))+SUMPRODUCT((Inputs!$E$5:$E$140=$B13)*Inputs!$F$5:$F$140*(((Inputs!$G$5:$G$140="moeda")+(Inputs!$G$5:$G$140="acoes"))*Inputs!$B$1+((Inputs!$G$5:$G$140&lt;&gt;"moeda")*(Inputs!$G$5:$G$140&lt;&gt;"acoes")))*INDEX(Inputs!$K$5:$AJ$140,0,MATCH(E$2,Inputs!$K$4:$AJ$4,0)))))</f>
        <v>0</v>
      </c>
      <c r="F13" s="6">
        <f>IF(ISNA(MATCH(F$2,Inputs!$K$4:$AJ$4,0)),NA(),IF(SUMPRODUCT((Inputs!$A$5:$A$140=$B13)*ISNUMBER(INDEX(Inputs!$K$5:$AJ$140,0,MATCH(F$2,Inputs!$K$4:$AJ$4,0))))+SUMPRODUCT((Inputs!$C$5:$C$140=$B13)*ISNUMBER(INDEX(Inputs!$K$5:$AJ$140,0,MATCH(F$2,Inputs!$K$4:$AJ$4,0))))+SUMPRODUCT((Inputs!$E$5:$E$140=$B13)*ISNUMBER(INDEX(Inputs!$K$5:$AJ$140,0,MATCH(F$2,Inputs!$K$4:$AJ$4,0))))=0,NA(),SUMPRODUCT((Inputs!$A$5:$A$140=$B13)*Inputs!$B$5:$B$140*(((Inputs!$G$5:$G$140="moeda")+(Inputs!$G$5:$G$140="acoes"))*Inputs!$B$1+((Inputs!$G$5:$G$140&lt;&gt;"moeda")*(Inputs!$G$5:$G$140&lt;&gt;"acoes")))*INDEX(Inputs!$K$5:$AJ$140,0,MATCH(F$2,Inputs!$K$4:$AJ$4,0)))+SUMPRODUCT((Inputs!$C$5:$C$140=$B13)*Inputs!$D$5:$D$140*(((Inputs!$G$5:$G$140="moeda")+(Inputs!$G$5:$G$140="acoes"))*Inputs!$B$1+((Inputs!$G$5:$G$140&lt;&gt;"moeda")*(Inputs!$G$5:$G$140&lt;&gt;"acoes")))*INDEX(Inputs!$K$5:$AJ$140,0,MATCH(F$2,Inputs!$K$4:$AJ$4,0)))+SUMPRODUCT((Inputs!$E$5:$E$140=$B13)*Inputs!$F$5:$F$140*(((Inputs!$G$5:$G$140="moeda")+(Inputs!$G$5:$G$140="acoes"))*Inputs!$B$1+((Inputs!$G$5:$G$140&lt;&gt;"moeda")*(Inputs!$G$5:$G$140&lt;&gt;"acoes")))*INDEX(Inputs!$K$5:$AJ$140,0,MATCH(F$2,Inputs!$K$4:$AJ$4,0)))))</f>
        <v>0</v>
      </c>
      <c r="G13" s="6">
        <f>IF(ISNA(MATCH(G$2,Inputs!$K$4:$AJ$4,0)),NA(),IF(SUMPRODUCT((Inputs!$A$5:$A$140=$B13)*ISNUMBER(INDEX(Inputs!$K$5:$AJ$140,0,MATCH(G$2,Inputs!$K$4:$AJ$4,0))))+SUMPRODUCT((Inputs!$C$5:$C$140=$B13)*ISNUMBER(INDEX(Inputs!$K$5:$AJ$140,0,MATCH(G$2,Inputs!$K$4:$AJ$4,0))))+SUMPRODUCT((Inputs!$E$5:$E$140=$B13)*ISNUMBER(INDEX(Inputs!$K$5:$AJ$140,0,MATCH(G$2,Inputs!$K$4:$AJ$4,0))))=0,NA(),SUMPRODUCT((Inputs!$A$5:$A$140=$B13)*Inputs!$B$5:$B$140*(((Inputs!$G$5:$G$140="moeda")+(Inputs!$G$5:$G$140="acoes"))*Inputs!$B$1+((Inputs!$G$5:$G$140&lt;&gt;"moeda")*(Inputs!$G$5:$G$140&lt;&gt;"acoes")))*INDEX(Inputs!$K$5:$AJ$140,0,MATCH(G$2,Inputs!$K$4:$AJ$4,0)))+SUMPRODUCT((Inputs!$C$5:$C$140=$B13)*Inputs!$D$5:$D$140*(((Inputs!$G$5:$G$140="moeda")+(Inputs!$G$5:$G$140="acoes"))*Inputs!$B$1+((Inputs!$G$5:$G$140&lt;&gt;"moeda")*(Inputs!$G$5:$G$140&lt;&gt;"acoes")))*INDEX(Inputs!$K$5:$AJ$140,0,MATCH(G$2,Inputs!$K$4:$AJ$4,0)))+SUMPRODUCT((Inputs!$E$5:$E$140=$B13)*Inputs!$F$5:$F$140*(((Inputs!$G$5:$G$140="moeda")+(Inputs!$G$5:$G$140="acoes"))*Inputs!$B$1+((Inputs!$G$5:$G$140&lt;&gt;"moeda")*(Inputs!$G$5:$G$140&lt;&gt;"acoes")))*INDEX(Inputs!$K$5:$AJ$140,0,MATCH(G$2,Inputs!$K$4:$AJ$4,0)))))</f>
        <v>0</v>
      </c>
      <c r="H13" s="3">
        <f>SUM(D13:G13)</f>
        <v>0</v>
      </c>
      <c r="I13" s="6">
        <f>IF(ISNA(MATCH(I$2,Inputs!$K$4:$AJ$4,0)),NA(),IF(SUMPRODUCT((Inputs!$A$5:$A$140=$B13)*ISNUMBER(INDEX(Inputs!$K$5:$AJ$140,0,MATCH(I$2,Inputs!$K$4:$AJ$4,0))))+SUMPRODUCT((Inputs!$C$5:$C$140=$B13)*ISNUMBER(INDEX(Inputs!$K$5:$AJ$140,0,MATCH(I$2,Inputs!$K$4:$AJ$4,0))))+SUMPRODUCT((Inputs!$E$5:$E$140=$B13)*ISNUMBER(INDEX(Inputs!$K$5:$AJ$140,0,MATCH(I$2,Inputs!$K$4:$AJ$4,0))))=0,NA(),SUMPRODUCT((Inputs!$A$5:$A$140=$B13)*Inputs!$B$5:$B$140*(((Inputs!$G$5:$G$140="moeda")+(Inputs!$G$5:$G$140="acoes"))*Inputs!$B$1+((Inputs!$G$5:$G$140&lt;&gt;"moeda")*(Inputs!$G$5:$G$140&lt;&gt;"acoes")))*INDEX(Inputs!$K$5:$AJ$140,0,MATCH(I$2,Inputs!$K$4:$AJ$4,0)))+SUMPRODUCT((Inputs!$C$5:$C$140=$B13)*Inputs!$D$5:$D$140*(((Inputs!$G$5:$G$140="moeda")+(Inputs!$G$5:$G$140="acoes"))*Inputs!$B$1+((Inputs!$G$5:$G$140&lt;&gt;"moeda")*(Inputs!$G$5:$G$140&lt;&gt;"acoes")))*INDEX(Inputs!$K$5:$AJ$140,0,MATCH(I$2,Inputs!$K$4:$AJ$4,0)))+SUMPRODUCT((Inputs!$E$5:$E$140=$B13)*Inputs!$F$5:$F$140*(((Inputs!$G$5:$G$140="moeda")+(Inputs!$G$5:$G$140="acoes"))*Inputs!$B$1+((Inputs!$G$5:$G$140&lt;&gt;"moeda")*(Inputs!$G$5:$G$140&lt;&gt;"acoes")))*INDEX(Inputs!$K$5:$AJ$140,0,MATCH(I$2,Inputs!$K$4:$AJ$4,0)))))</f>
        <v>0</v>
      </c>
      <c r="J13" s="6">
        <f>IF(ISNA(MATCH(J$2,Inputs!$K$4:$AJ$4,0)),NA(),IF(SUMPRODUCT((Inputs!$A$5:$A$140=$B13)*ISNUMBER(INDEX(Inputs!$K$5:$AJ$140,0,MATCH(J$2,Inputs!$K$4:$AJ$4,0))))+SUMPRODUCT((Inputs!$C$5:$C$140=$B13)*ISNUMBER(INDEX(Inputs!$K$5:$AJ$140,0,MATCH(J$2,Inputs!$K$4:$AJ$4,0))))+SUMPRODUCT((Inputs!$E$5:$E$140=$B13)*ISNUMBER(INDEX(Inputs!$K$5:$AJ$140,0,MATCH(J$2,Inputs!$K$4:$AJ$4,0))))=0,NA(),SUMPRODUCT((Inputs!$A$5:$A$140=$B13)*Inputs!$B$5:$B$140*(((Inputs!$G$5:$G$140="moeda")+(Inputs!$G$5:$G$140="acoes"))*Inputs!$B$1+((Inputs!$G$5:$G$140&lt;&gt;"moeda")*(Inputs!$G$5:$G$140&lt;&gt;"acoes")))*INDEX(Inputs!$K$5:$AJ$140,0,MATCH(J$2,Inputs!$K$4:$AJ$4,0)))+SUMPRODUCT((Inputs!$C$5:$C$140=$B13)*Inputs!$D$5:$D$140*(((Inputs!$G$5:$G$140="moeda")+(Inputs!$G$5:$G$140="acoes"))*Inputs!$B$1+((Inputs!$G$5:$G$140&lt;&gt;"moeda")*(Inputs!$G$5:$G$140&lt;&gt;"acoes")))*INDEX(Inputs!$K$5:$AJ$140,0,MATCH(J$2,Inputs!$K$4:$AJ$4,0)))+SUMPRODUCT((Inputs!$E$5:$E$140=$B13)*Inputs!$F$5:$F$140*(((Inputs!$G$5:$G$140="moeda")+(Inputs!$G$5:$G$140="acoes"))*Inputs!$B$1+((Inputs!$G$5:$G$140&lt;&gt;"moeda")*(Inputs!$G$5:$G$140&lt;&gt;"acoes")))*INDEX(Inputs!$K$5:$AJ$140,0,MATCH(J$2,Inputs!$K$4:$AJ$4,0)))))</f>
        <v>0</v>
      </c>
      <c r="K13" s="6">
        <f>IF(ISNA(MATCH(K$2,Inputs!$K$4:$AJ$4,0)),NA(),IF(SUMPRODUCT((Inputs!$A$5:$A$140=$B13)*ISNUMBER(INDEX(Inputs!$K$5:$AJ$140,0,MATCH(K$2,Inputs!$K$4:$AJ$4,0))))+SUMPRODUCT((Inputs!$C$5:$C$140=$B13)*ISNUMBER(INDEX(Inputs!$K$5:$AJ$140,0,MATCH(K$2,Inputs!$K$4:$AJ$4,0))))+SUMPRODUCT((Inputs!$E$5:$E$140=$B13)*ISNUMBER(INDEX(Inputs!$K$5:$AJ$140,0,MATCH(K$2,Inputs!$K$4:$AJ$4,0))))=0,NA(),SUMPRODUCT((Inputs!$A$5:$A$140=$B13)*Inputs!$B$5:$B$140*(((Inputs!$G$5:$G$140="moeda")+(Inputs!$G$5:$G$140="acoes"))*Inputs!$B$1+((Inputs!$G$5:$G$140&lt;&gt;"moeda")*(Inputs!$G$5:$G$140&lt;&gt;"acoes")))*INDEX(Inputs!$K$5:$AJ$140,0,MATCH(K$2,Inputs!$K$4:$AJ$4,0)))+SUMPRODUCT((Inputs!$C$5:$C$140=$B13)*Inputs!$D$5:$D$140*(((Inputs!$G$5:$G$140="moeda")+(Inputs!$G$5:$G$140="acoes"))*Inputs!$B$1+((Inputs!$G$5:$G$140&lt;&gt;"moeda")*(Inputs!$G$5:$G$140&lt;&gt;"acoes")))*INDEX(Inputs!$K$5:$AJ$140,0,MATCH(K$2,Inputs!$K$4:$AJ$4,0)))+SUMPRODUCT((Inputs!$E$5:$E$140=$B13)*Inputs!$F$5:$F$140*(((Inputs!$G$5:$G$140="moeda")+(Inputs!$G$5:$G$140="acoes"))*Inputs!$B$1+((Inputs!$G$5:$G$140&lt;&gt;"moeda")*(Inputs!$G$5:$G$140&lt;&gt;"acoes")))*INDEX(Inputs!$K$5:$AJ$140,0,MATCH(K$2,Inputs!$K$4:$AJ$4,0)))))</f>
        <v>0</v>
      </c>
      <c r="L13" s="6">
        <f>IF(ISNA(MATCH(L$2,Inputs!$K$4:$AJ$4,0)),NA(),IF(SUMPRODUCT((Inputs!$A$5:$A$140=$B13)*ISNUMBER(INDEX(Inputs!$K$5:$AJ$140,0,MATCH(L$2,Inputs!$K$4:$AJ$4,0))))+SUMPRODUCT((Inputs!$C$5:$C$140=$B13)*ISNUMBER(INDEX(Inputs!$K$5:$AJ$140,0,MATCH(L$2,Inputs!$K$4:$AJ$4,0))))+SUMPRODUCT((Inputs!$E$5:$E$140=$B13)*ISNUMBER(INDEX(Inputs!$K$5:$AJ$140,0,MATCH(L$2,Inputs!$K$4:$AJ$4,0))))=0,NA(),SUMPRODUCT((Inputs!$A$5:$A$140=$B13)*Inputs!$B$5:$B$140*(((Inputs!$G$5:$G$140="moeda")+(Inputs!$G$5:$G$140="acoes"))*Inputs!$B$1+((Inputs!$G$5:$G$140&lt;&gt;"moeda")*(Inputs!$G$5:$G$140&lt;&gt;"acoes")))*INDEX(Inputs!$K$5:$AJ$140,0,MATCH(L$2,Inputs!$K$4:$AJ$4,0)))+SUMPRODUCT((Inputs!$C$5:$C$140=$B13)*Inputs!$D$5:$D$140*(((Inputs!$G$5:$G$140="moeda")+(Inputs!$G$5:$G$140="acoes"))*Inputs!$B$1+((Inputs!$G$5:$G$140&lt;&gt;"moeda")*(Inputs!$G$5:$G$140&lt;&gt;"acoes")))*INDEX(Inputs!$K$5:$AJ$140,0,MATCH(L$2,Inputs!$K$4:$AJ$4,0)))+SUMPRODUCT((Inputs!$E$5:$E$140=$B13)*Inputs!$F$5:$F$140*(((Inputs!$G$5:$G$140="moeda")+(Inputs!$G$5:$G$140="acoes"))*Inputs!$B$1+((Inputs!$G$5:$G$140&lt;&gt;"moeda")*(Inputs!$G$5:$G$140&lt;&gt;"acoes")))*INDEX(Inputs!$K$5:$AJ$140,0,MATCH(L$2,Inputs!$K$4:$AJ$4,0)))))</f>
        <v>0</v>
      </c>
      <c r="M13" s="3">
        <f>SUM(I13:L13)</f>
        <v>0</v>
      </c>
      <c r="N13" s="6">
        <f>IF(ISNA(MATCH(N$2,Inputs!$K$4:$AJ$4,0)),NA(),IF(SUMPRODUCT((Inputs!$A$5:$A$140=$B13)*ISNUMBER(INDEX(Inputs!$K$5:$AJ$140,0,MATCH(N$2,Inputs!$K$4:$AJ$4,0))))+SUMPRODUCT((Inputs!$C$5:$C$140=$B13)*ISNUMBER(INDEX(Inputs!$K$5:$AJ$140,0,MATCH(N$2,Inputs!$K$4:$AJ$4,0))))+SUMPRODUCT((Inputs!$E$5:$E$140=$B13)*ISNUMBER(INDEX(Inputs!$K$5:$AJ$140,0,MATCH(N$2,Inputs!$K$4:$AJ$4,0))))=0,NA(),SUMPRODUCT((Inputs!$A$5:$A$140=$B13)*Inputs!$B$5:$B$140*(((Inputs!$G$5:$G$140="moeda")+(Inputs!$G$5:$G$140="acoes"))*Inputs!$B$1+((Inputs!$G$5:$G$140&lt;&gt;"moeda")*(Inputs!$G$5:$G$140&lt;&gt;"acoes")))*INDEX(Inputs!$K$5:$AJ$140,0,MATCH(N$2,Inputs!$K$4:$AJ$4,0)))+SUMPRODUCT((Inputs!$C$5:$C$140=$B13)*Inputs!$D$5:$D$140*(((Inputs!$G$5:$G$140="moeda")+(Inputs!$G$5:$G$140="acoes"))*Inputs!$B$1+((Inputs!$G$5:$G$140&lt;&gt;"moeda")*(Inputs!$G$5:$G$140&lt;&gt;"acoes")))*INDEX(Inputs!$K$5:$AJ$140,0,MATCH(N$2,Inputs!$K$4:$AJ$4,0)))+SUMPRODUCT((Inputs!$E$5:$E$140=$B13)*Inputs!$F$5:$F$140*(((Inputs!$G$5:$G$140="moeda")+(Inputs!$G$5:$G$140="acoes"))*Inputs!$B$1+((Inputs!$G$5:$G$140&lt;&gt;"moeda")*(Inputs!$G$5:$G$140&lt;&gt;"acoes")))*INDEX(Inputs!$K$5:$AJ$140,0,MATCH(N$2,Inputs!$K$4:$AJ$4,0)))))</f>
        <v>0</v>
      </c>
      <c r="O13" s="6">
        <f>IF(ISNA(MATCH(O$2,Inputs!$K$4:$AJ$4,0)),NA(),IF(SUMPRODUCT((Inputs!$A$5:$A$140=$B13)*ISNUMBER(INDEX(Inputs!$K$5:$AJ$140,0,MATCH(O$2,Inputs!$K$4:$AJ$4,0))))+SUMPRODUCT((Inputs!$C$5:$C$140=$B13)*ISNUMBER(INDEX(Inputs!$K$5:$AJ$140,0,MATCH(O$2,Inputs!$K$4:$AJ$4,0))))+SUMPRODUCT((Inputs!$E$5:$E$140=$B13)*ISNUMBER(INDEX(Inputs!$K$5:$AJ$140,0,MATCH(O$2,Inputs!$K$4:$AJ$4,0))))=0,NA(),SUMPRODUCT((Inputs!$A$5:$A$140=$B13)*Inputs!$B$5:$B$140*(((Inputs!$G$5:$G$140="moeda")+(Inputs!$G$5:$G$140="acoes"))*Inputs!$B$1+((Inputs!$G$5:$G$140&lt;&gt;"moeda")*(Inputs!$G$5:$G$140&lt;&gt;"acoes")))*INDEX(Inputs!$K$5:$AJ$140,0,MATCH(O$2,Inputs!$K$4:$AJ$4,0)))+SUMPRODUCT((Inputs!$C$5:$C$140=$B13)*Inputs!$D$5:$D$140*(((Inputs!$G$5:$G$140="moeda")+(Inputs!$G$5:$G$140="acoes"))*Inputs!$B$1+((Inputs!$G$5:$G$140&lt;&gt;"moeda")*(Inputs!$G$5:$G$140&lt;&gt;"acoes")))*INDEX(Inputs!$K$5:$AJ$140,0,MATCH(O$2,Inputs!$K$4:$AJ$4,0)))+SUMPRODUCT((Inputs!$E$5:$E$140=$B13)*Inputs!$F$5:$F$140*(((Inputs!$G$5:$G$140="moeda")+(Inputs!$G$5:$G$140="acoes"))*Inputs!$B$1+((Inputs!$G$5:$G$140&lt;&gt;"moeda")*(Inputs!$G$5:$G$140&lt;&gt;"acoes")))*INDEX(Inputs!$K$5:$AJ$140,0,MATCH(O$2,Inputs!$K$4:$AJ$4,0)))))</f>
        <v>0</v>
      </c>
      <c r="P13" s="6">
        <f>IF(ISNA(MATCH(P$2,Inputs!$K$4:$AJ$4,0)),NA(),IF(SUMPRODUCT((Inputs!$A$5:$A$140=$B13)*ISNUMBER(INDEX(Inputs!$K$5:$AJ$140,0,MATCH(P$2,Inputs!$K$4:$AJ$4,0))))+SUMPRODUCT((Inputs!$C$5:$C$140=$B13)*ISNUMBER(INDEX(Inputs!$K$5:$AJ$140,0,MATCH(P$2,Inputs!$K$4:$AJ$4,0))))+SUMPRODUCT((Inputs!$E$5:$E$140=$B13)*ISNUMBER(INDEX(Inputs!$K$5:$AJ$140,0,MATCH(P$2,Inputs!$K$4:$AJ$4,0))))=0,NA(),SUMPRODUCT((Inputs!$A$5:$A$140=$B13)*Inputs!$B$5:$B$140*(((Inputs!$G$5:$G$140="moeda")+(Inputs!$G$5:$G$140="acoes"))*Inputs!$B$1+((Inputs!$G$5:$G$140&lt;&gt;"moeda")*(Inputs!$G$5:$G$140&lt;&gt;"acoes")))*INDEX(Inputs!$K$5:$AJ$140,0,MATCH(P$2,Inputs!$K$4:$AJ$4,0)))+SUMPRODUCT((Inputs!$C$5:$C$140=$B13)*Inputs!$D$5:$D$140*(((Inputs!$G$5:$G$140="moeda")+(Inputs!$G$5:$G$140="acoes"))*Inputs!$B$1+((Inputs!$G$5:$G$140&lt;&gt;"moeda")*(Inputs!$G$5:$G$140&lt;&gt;"acoes")))*INDEX(Inputs!$K$5:$AJ$140,0,MATCH(P$2,Inputs!$K$4:$AJ$4,0)))+SUMPRODUCT((Inputs!$E$5:$E$140=$B13)*Inputs!$F$5:$F$140*(((Inputs!$G$5:$G$140="moeda")+(Inputs!$G$5:$G$140="acoes"))*Inputs!$B$1+((Inputs!$G$5:$G$140&lt;&gt;"moeda")*(Inputs!$G$5:$G$140&lt;&gt;"acoes")))*INDEX(Inputs!$K$5:$AJ$140,0,MATCH(P$2,Inputs!$K$4:$AJ$4,0)))))</f>
        <v>0</v>
      </c>
      <c r="Q13" s="6">
        <f>IF(ISNA(MATCH(Q$2,Inputs!$K$4:$AJ$4,0)),NA(),IF(SUMPRODUCT((Inputs!$A$5:$A$140=$B13)*ISNUMBER(INDEX(Inputs!$K$5:$AJ$140,0,MATCH(Q$2,Inputs!$K$4:$AJ$4,0))))+SUMPRODUCT((Inputs!$C$5:$C$140=$B13)*ISNUMBER(INDEX(Inputs!$K$5:$AJ$140,0,MATCH(Q$2,Inputs!$K$4:$AJ$4,0))))+SUMPRODUCT((Inputs!$E$5:$E$140=$B13)*ISNUMBER(INDEX(Inputs!$K$5:$AJ$140,0,MATCH(Q$2,Inputs!$K$4:$AJ$4,0))))=0,NA(),SUMPRODUCT((Inputs!$A$5:$A$140=$B13)*Inputs!$B$5:$B$140*(((Inputs!$G$5:$G$140="moeda")+(Inputs!$G$5:$G$140="acoes"))*Inputs!$B$1+((Inputs!$G$5:$G$140&lt;&gt;"moeda")*(Inputs!$G$5:$G$140&lt;&gt;"acoes")))*INDEX(Inputs!$K$5:$AJ$140,0,MATCH(Q$2,Inputs!$K$4:$AJ$4,0)))+SUMPRODUCT((Inputs!$C$5:$C$140=$B13)*Inputs!$D$5:$D$140*(((Inputs!$G$5:$G$140="moeda")+(Inputs!$G$5:$G$140="acoes"))*Inputs!$B$1+((Inputs!$G$5:$G$140&lt;&gt;"moeda")*(Inputs!$G$5:$G$140&lt;&gt;"acoes")))*INDEX(Inputs!$K$5:$AJ$140,0,MATCH(Q$2,Inputs!$K$4:$AJ$4,0)))+SUMPRODUCT((Inputs!$E$5:$E$140=$B13)*Inputs!$F$5:$F$140*(((Inputs!$G$5:$G$140="moeda")+(Inputs!$G$5:$G$140="acoes"))*Inputs!$B$1+((Inputs!$G$5:$G$140&lt;&gt;"moeda")*(Inputs!$G$5:$G$140&lt;&gt;"acoes")))*INDEX(Inputs!$K$5:$AJ$140,0,MATCH(Q$2,Inputs!$K$4:$AJ$4,0)))))</f>
        <v>0</v>
      </c>
      <c r="R13" s="3">
        <f>SUM(N13:Q13)</f>
        <v>0</v>
      </c>
      <c r="S13" s="6">
        <f>IF(ISNA(MATCH(S$2,Inputs!$K$4:$AJ$4,0)),NA(),IF(SUMPRODUCT((Inputs!$A$5:$A$140=$B13)*ISNUMBER(INDEX(Inputs!$K$5:$AJ$140,0,MATCH(S$2,Inputs!$K$4:$AJ$4,0))))+SUMPRODUCT((Inputs!$C$5:$C$140=$B13)*ISNUMBER(INDEX(Inputs!$K$5:$AJ$140,0,MATCH(S$2,Inputs!$K$4:$AJ$4,0))))+SUMPRODUCT((Inputs!$E$5:$E$140=$B13)*ISNUMBER(INDEX(Inputs!$K$5:$AJ$140,0,MATCH(S$2,Inputs!$K$4:$AJ$4,0))))=0,NA(),SUMPRODUCT((Inputs!$A$5:$A$140=$B13)*Inputs!$B$5:$B$140*(((Inputs!$G$5:$G$140="moeda")+(Inputs!$G$5:$G$140="acoes"))*Inputs!$B$1+((Inputs!$G$5:$G$140&lt;&gt;"moeda")*(Inputs!$G$5:$G$140&lt;&gt;"acoes")))*INDEX(Inputs!$K$5:$AJ$140,0,MATCH(S$2,Inputs!$K$4:$AJ$4,0)))+SUMPRODUCT((Inputs!$C$5:$C$140=$B13)*Inputs!$D$5:$D$140*(((Inputs!$G$5:$G$140="moeda")+(Inputs!$G$5:$G$140="acoes"))*Inputs!$B$1+((Inputs!$G$5:$G$140&lt;&gt;"moeda")*(Inputs!$G$5:$G$140&lt;&gt;"acoes")))*INDEX(Inputs!$K$5:$AJ$140,0,MATCH(S$2,Inputs!$K$4:$AJ$4,0)))+SUMPRODUCT((Inputs!$E$5:$E$140=$B13)*Inputs!$F$5:$F$140*(((Inputs!$G$5:$G$140="moeda")+(Inputs!$G$5:$G$140="acoes"))*Inputs!$B$1+((Inputs!$G$5:$G$140&lt;&gt;"moeda")*(Inputs!$G$5:$G$140&lt;&gt;"acoes")))*INDEX(Inputs!$K$5:$AJ$140,0,MATCH(S$2,Inputs!$K$4:$AJ$4,0)))))</f>
        <v>0</v>
      </c>
      <c r="T13" s="6">
        <f>IF(ISNA(MATCH(T$2,Inputs!$K$4:$AJ$4,0)),NA(),IF(SUMPRODUCT((Inputs!$A$5:$A$140=$B13)*ISNUMBER(INDEX(Inputs!$K$5:$AJ$140,0,MATCH(T$2,Inputs!$K$4:$AJ$4,0))))+SUMPRODUCT((Inputs!$C$5:$C$140=$B13)*ISNUMBER(INDEX(Inputs!$K$5:$AJ$140,0,MATCH(T$2,Inputs!$K$4:$AJ$4,0))))+SUMPRODUCT((Inputs!$E$5:$E$140=$B13)*ISNUMBER(INDEX(Inputs!$K$5:$AJ$140,0,MATCH(T$2,Inputs!$K$4:$AJ$4,0))))=0,NA(),SUMPRODUCT((Inputs!$A$5:$A$140=$B13)*Inputs!$B$5:$B$140*(((Inputs!$G$5:$G$140="moeda")+(Inputs!$G$5:$G$140="acoes"))*Inputs!$B$1+((Inputs!$G$5:$G$140&lt;&gt;"moeda")*(Inputs!$G$5:$G$140&lt;&gt;"acoes")))*INDEX(Inputs!$K$5:$AJ$140,0,MATCH(T$2,Inputs!$K$4:$AJ$4,0)))+SUMPRODUCT((Inputs!$C$5:$C$140=$B13)*Inputs!$D$5:$D$140*(((Inputs!$G$5:$G$140="moeda")+(Inputs!$G$5:$G$140="acoes"))*Inputs!$B$1+((Inputs!$G$5:$G$140&lt;&gt;"moeda")*(Inputs!$G$5:$G$140&lt;&gt;"acoes")))*INDEX(Inputs!$K$5:$AJ$140,0,MATCH(T$2,Inputs!$K$4:$AJ$4,0)))+SUMPRODUCT((Inputs!$E$5:$E$140=$B13)*Inputs!$F$5:$F$140*(((Inputs!$G$5:$G$140="moeda")+(Inputs!$G$5:$G$140="acoes"))*Inputs!$B$1+((Inputs!$G$5:$G$140&lt;&gt;"moeda")*(Inputs!$G$5:$G$140&lt;&gt;"acoes")))*INDEX(Inputs!$K$5:$AJ$140,0,MATCH(T$2,Inputs!$K$4:$AJ$4,0)))))</f>
        <v>0</v>
      </c>
      <c r="U13" s="6">
        <f>IF(ISNA(MATCH(U$2,Inputs!$K$4:$AJ$4,0)),NA(),IF(SUMPRODUCT((Inputs!$A$5:$A$140=$B13)*ISNUMBER(INDEX(Inputs!$K$5:$AJ$140,0,MATCH(U$2,Inputs!$K$4:$AJ$4,0))))+SUMPRODUCT((Inputs!$C$5:$C$140=$B13)*ISNUMBER(INDEX(Inputs!$K$5:$AJ$140,0,MATCH(U$2,Inputs!$K$4:$AJ$4,0))))+SUMPRODUCT((Inputs!$E$5:$E$140=$B13)*ISNUMBER(INDEX(Inputs!$K$5:$AJ$140,0,MATCH(U$2,Inputs!$K$4:$AJ$4,0))))=0,NA(),SUMPRODUCT((Inputs!$A$5:$A$140=$B13)*Inputs!$B$5:$B$140*(((Inputs!$G$5:$G$140="moeda")+(Inputs!$G$5:$G$140="acoes"))*Inputs!$B$1+((Inputs!$G$5:$G$140&lt;&gt;"moeda")*(Inputs!$G$5:$G$140&lt;&gt;"acoes")))*INDEX(Inputs!$K$5:$AJ$140,0,MATCH(U$2,Inputs!$K$4:$AJ$4,0)))+SUMPRODUCT((Inputs!$C$5:$C$140=$B13)*Inputs!$D$5:$D$140*(((Inputs!$G$5:$G$140="moeda")+(Inputs!$G$5:$G$140="acoes"))*Inputs!$B$1+((Inputs!$G$5:$G$140&lt;&gt;"moeda")*(Inputs!$G$5:$G$140&lt;&gt;"acoes")))*INDEX(Inputs!$K$5:$AJ$140,0,MATCH(U$2,Inputs!$K$4:$AJ$4,0)))+SUMPRODUCT((Inputs!$E$5:$E$140=$B13)*Inputs!$F$5:$F$140*(((Inputs!$G$5:$G$140="moeda")+(Inputs!$G$5:$G$140="acoes"))*Inputs!$B$1+((Inputs!$G$5:$G$140&lt;&gt;"moeda")*(Inputs!$G$5:$G$140&lt;&gt;"acoes")))*INDEX(Inputs!$K$5:$AJ$140,0,MATCH(U$2,Inputs!$K$4:$AJ$4,0)))))</f>
        <v>0</v>
      </c>
      <c r="V13" s="6">
        <f>IF(ISNA(MATCH(V$2,Inputs!$K$4:$AJ$4,0)),NA(),IF(SUMPRODUCT((Inputs!$A$5:$A$140=$B13)*ISNUMBER(INDEX(Inputs!$K$5:$AJ$140,0,MATCH(V$2,Inputs!$K$4:$AJ$4,0))))+SUMPRODUCT((Inputs!$C$5:$C$140=$B13)*ISNUMBER(INDEX(Inputs!$K$5:$AJ$140,0,MATCH(V$2,Inputs!$K$4:$AJ$4,0))))+SUMPRODUCT((Inputs!$E$5:$E$140=$B13)*ISNUMBER(INDEX(Inputs!$K$5:$AJ$140,0,MATCH(V$2,Inputs!$K$4:$AJ$4,0))))=0,NA(),SUMPRODUCT((Inputs!$A$5:$A$140=$B13)*Inputs!$B$5:$B$140*(((Inputs!$G$5:$G$140="moeda")+(Inputs!$G$5:$G$140="acoes"))*Inputs!$B$1+((Inputs!$G$5:$G$140&lt;&gt;"moeda")*(Inputs!$G$5:$G$140&lt;&gt;"acoes")))*INDEX(Inputs!$K$5:$AJ$140,0,MATCH(V$2,Inputs!$K$4:$AJ$4,0)))+SUMPRODUCT((Inputs!$C$5:$C$140=$B13)*Inputs!$D$5:$D$140*(((Inputs!$G$5:$G$140="moeda")+(Inputs!$G$5:$G$140="acoes"))*Inputs!$B$1+((Inputs!$G$5:$G$140&lt;&gt;"moeda")*(Inputs!$G$5:$G$140&lt;&gt;"acoes")))*INDEX(Inputs!$K$5:$AJ$140,0,MATCH(V$2,Inputs!$K$4:$AJ$4,0)))+SUMPRODUCT((Inputs!$E$5:$E$140=$B13)*Inputs!$F$5:$F$140*(((Inputs!$G$5:$G$140="moeda")+(Inputs!$G$5:$G$140="acoes"))*Inputs!$B$1+((Inputs!$G$5:$G$140&lt;&gt;"moeda")*(Inputs!$G$5:$G$140&lt;&gt;"acoes")))*INDEX(Inputs!$K$5:$AJ$140,0,MATCH(V$2,Inputs!$K$4:$AJ$4,0)))))</f>
        <v>-81.047</v>
      </c>
      <c r="W13" s="3">
        <f>SUM(S13:V13)</f>
        <v>-81.047</v>
      </c>
      <c r="X13" s="6">
        <f>IF(ISNA(MATCH(X$2,Inputs!$K$4:$AJ$4,0)),NA(),IF(SUMPRODUCT((Inputs!$A$5:$A$140=$B13)*ISNUMBER(INDEX(Inputs!$K$5:$AJ$140,0,MATCH(X$2,Inputs!$K$4:$AJ$4,0))))+SUMPRODUCT((Inputs!$C$5:$C$140=$B13)*ISNUMBER(INDEX(Inputs!$K$5:$AJ$140,0,MATCH(X$2,Inputs!$K$4:$AJ$4,0))))+SUMPRODUCT((Inputs!$E$5:$E$140=$B13)*ISNUMBER(INDEX(Inputs!$K$5:$AJ$140,0,MATCH(X$2,Inputs!$K$4:$AJ$4,0))))=0,NA(),SUMPRODUCT((Inputs!$A$5:$A$140=$B13)*Inputs!$B$5:$B$140*(((Inputs!$G$5:$G$140="moeda")+(Inputs!$G$5:$G$140="acoes"))*Inputs!$B$1+((Inputs!$G$5:$G$140&lt;&gt;"moeda")*(Inputs!$G$5:$G$140&lt;&gt;"acoes")))*INDEX(Inputs!$K$5:$AJ$140,0,MATCH(X$2,Inputs!$K$4:$AJ$4,0)))+SUMPRODUCT((Inputs!$C$5:$C$140=$B13)*Inputs!$D$5:$D$140*(((Inputs!$G$5:$G$140="moeda")+(Inputs!$G$5:$G$140="acoes"))*Inputs!$B$1+((Inputs!$G$5:$G$140&lt;&gt;"moeda")*(Inputs!$G$5:$G$140&lt;&gt;"acoes")))*INDEX(Inputs!$K$5:$AJ$140,0,MATCH(X$2,Inputs!$K$4:$AJ$4,0)))+SUMPRODUCT((Inputs!$E$5:$E$140=$B13)*Inputs!$F$5:$F$140*(((Inputs!$G$5:$G$140="moeda")+(Inputs!$G$5:$G$140="acoes"))*Inputs!$B$1+((Inputs!$G$5:$G$140&lt;&gt;"moeda")*(Inputs!$G$5:$G$140&lt;&gt;"acoes")))*INDEX(Inputs!$K$5:$AJ$140,0,MATCH(X$2,Inputs!$K$4:$AJ$4,0)))))</f>
        <v>0</v>
      </c>
      <c r="Y13" s="6">
        <f>IF(ISNA(MATCH(Y$2,Inputs!$K$4:$AJ$4,0)),NA(),IF(SUMPRODUCT((Inputs!$A$5:$A$140=$B13)*ISNUMBER(INDEX(Inputs!$K$5:$AJ$140,0,MATCH(Y$2,Inputs!$K$4:$AJ$4,0))))+SUMPRODUCT((Inputs!$C$5:$C$140=$B13)*ISNUMBER(INDEX(Inputs!$K$5:$AJ$140,0,MATCH(Y$2,Inputs!$K$4:$AJ$4,0))))+SUMPRODUCT((Inputs!$E$5:$E$140=$B13)*ISNUMBER(INDEX(Inputs!$K$5:$AJ$140,0,MATCH(Y$2,Inputs!$K$4:$AJ$4,0))))=0,NA(),SUMPRODUCT((Inputs!$A$5:$A$140=$B13)*Inputs!$B$5:$B$140*(((Inputs!$G$5:$G$140="moeda")+(Inputs!$G$5:$G$140="acoes"))*Inputs!$B$1+((Inputs!$G$5:$G$140&lt;&gt;"moeda")*(Inputs!$G$5:$G$140&lt;&gt;"acoes")))*INDEX(Inputs!$K$5:$AJ$140,0,MATCH(Y$2,Inputs!$K$4:$AJ$4,0)))+SUMPRODUCT((Inputs!$C$5:$C$140=$B13)*Inputs!$D$5:$D$140*(((Inputs!$G$5:$G$140="moeda")+(Inputs!$G$5:$G$140="acoes"))*Inputs!$B$1+((Inputs!$G$5:$G$140&lt;&gt;"moeda")*(Inputs!$G$5:$G$140&lt;&gt;"acoes")))*INDEX(Inputs!$K$5:$AJ$140,0,MATCH(Y$2,Inputs!$K$4:$AJ$4,0)))+SUMPRODUCT((Inputs!$E$5:$E$140=$B13)*Inputs!$F$5:$F$140*(((Inputs!$G$5:$G$140="moeda")+(Inputs!$G$5:$G$140="acoes"))*Inputs!$B$1+((Inputs!$G$5:$G$140&lt;&gt;"moeda")*(Inputs!$G$5:$G$140&lt;&gt;"acoes")))*INDEX(Inputs!$K$5:$AJ$140,0,MATCH(Y$2,Inputs!$K$4:$AJ$4,0)))))</f>
        <v>0</v>
      </c>
      <c r="Z13" s="6">
        <f>IF(ISNA(MATCH(Z$2,Inputs!$K$4:$AJ$4,0)),NA(),IF(SUMPRODUCT((Inputs!$A$5:$A$140=$B13)*ISNUMBER(INDEX(Inputs!$K$5:$AJ$140,0,MATCH(Z$2,Inputs!$K$4:$AJ$4,0))))+SUMPRODUCT((Inputs!$C$5:$C$140=$B13)*ISNUMBER(INDEX(Inputs!$K$5:$AJ$140,0,MATCH(Z$2,Inputs!$K$4:$AJ$4,0))))+SUMPRODUCT((Inputs!$E$5:$E$140=$B13)*ISNUMBER(INDEX(Inputs!$K$5:$AJ$140,0,MATCH(Z$2,Inputs!$K$4:$AJ$4,0))))=0,NA(),SUMPRODUCT((Inputs!$A$5:$A$140=$B13)*Inputs!$B$5:$B$140*(((Inputs!$G$5:$G$140="moeda")+(Inputs!$G$5:$G$140="acoes"))*Inputs!$B$1+((Inputs!$G$5:$G$140&lt;&gt;"moeda")*(Inputs!$G$5:$G$140&lt;&gt;"acoes")))*INDEX(Inputs!$K$5:$AJ$140,0,MATCH(Z$2,Inputs!$K$4:$AJ$4,0)))+SUMPRODUCT((Inputs!$C$5:$C$140=$B13)*Inputs!$D$5:$D$140*(((Inputs!$G$5:$G$140="moeda")+(Inputs!$G$5:$G$140="acoes"))*Inputs!$B$1+((Inputs!$G$5:$G$140&lt;&gt;"moeda")*(Inputs!$G$5:$G$140&lt;&gt;"acoes")))*INDEX(Inputs!$K$5:$AJ$140,0,MATCH(Z$2,Inputs!$K$4:$AJ$4,0)))+SUMPRODUCT((Inputs!$E$5:$E$140=$B13)*Inputs!$F$5:$F$140*(((Inputs!$G$5:$G$140="moeda")+(Inputs!$G$5:$G$140="acoes"))*Inputs!$B$1+((Inputs!$G$5:$G$140&lt;&gt;"moeda")*(Inputs!$G$5:$G$140&lt;&gt;"acoes")))*INDEX(Inputs!$K$5:$AJ$140,0,MATCH(Z$2,Inputs!$K$4:$AJ$4,0)))))</f>
        <v>0</v>
      </c>
      <c r="AA13" s="6">
        <f>IF(ISNA(MATCH(AA$2,Inputs!$K$4:$AJ$4,0)),NA(),IF(SUMPRODUCT((Inputs!$A$5:$A$140=$B13)*ISNUMBER(INDEX(Inputs!$K$5:$AJ$140,0,MATCH(AA$2,Inputs!$K$4:$AJ$4,0))))+SUMPRODUCT((Inputs!$C$5:$C$140=$B13)*ISNUMBER(INDEX(Inputs!$K$5:$AJ$140,0,MATCH(AA$2,Inputs!$K$4:$AJ$4,0))))+SUMPRODUCT((Inputs!$E$5:$E$140=$B13)*ISNUMBER(INDEX(Inputs!$K$5:$AJ$140,0,MATCH(AA$2,Inputs!$K$4:$AJ$4,0))))=0,NA(),SUMPRODUCT((Inputs!$A$5:$A$140=$B13)*Inputs!$B$5:$B$140*(((Inputs!$G$5:$G$140="moeda")+(Inputs!$G$5:$G$140="acoes"))*Inputs!$B$1+((Inputs!$G$5:$G$140&lt;&gt;"moeda")*(Inputs!$G$5:$G$140&lt;&gt;"acoes")))*INDEX(Inputs!$K$5:$AJ$140,0,MATCH(AA$2,Inputs!$K$4:$AJ$4,0)))+SUMPRODUCT((Inputs!$C$5:$C$140=$B13)*Inputs!$D$5:$D$140*(((Inputs!$G$5:$G$140="moeda")+(Inputs!$G$5:$G$140="acoes"))*Inputs!$B$1+((Inputs!$G$5:$G$140&lt;&gt;"moeda")*(Inputs!$G$5:$G$140&lt;&gt;"acoes")))*INDEX(Inputs!$K$5:$AJ$140,0,MATCH(AA$2,Inputs!$K$4:$AJ$4,0)))+SUMPRODUCT((Inputs!$E$5:$E$140=$B13)*Inputs!$F$5:$F$140*(((Inputs!$G$5:$G$140="moeda")+(Inputs!$G$5:$G$140="acoes"))*Inputs!$B$1+((Inputs!$G$5:$G$140&lt;&gt;"moeda")*(Inputs!$G$5:$G$140&lt;&gt;"acoes")))*INDEX(Inputs!$K$5:$AJ$140,0,MATCH(AA$2,Inputs!$K$4:$AJ$4,0)))))</f>
        <v>-145.544</v>
      </c>
      <c r="AB13" s="3">
        <f>SUM(X13:AA13)</f>
        <v>-145.544</v>
      </c>
      <c r="AC13" s="6">
        <f>IF(ISNA(MATCH(AC$2,Inputs!$K$4:$AJ$4,0)),NA(),IF(SUMPRODUCT((Inputs!$A$5:$A$140=$B13)*ISNUMBER(INDEX(Inputs!$K$5:$AJ$140,0,MATCH(AC$2,Inputs!$K$4:$AJ$4,0))))+SUMPRODUCT((Inputs!$C$5:$C$140=$B13)*ISNUMBER(INDEX(Inputs!$K$5:$AJ$140,0,MATCH(AC$2,Inputs!$K$4:$AJ$4,0))))+SUMPRODUCT((Inputs!$E$5:$E$140=$B13)*ISNUMBER(INDEX(Inputs!$K$5:$AJ$140,0,MATCH(AC$2,Inputs!$K$4:$AJ$4,0))))=0,NA(),SUMPRODUCT((Inputs!$A$5:$A$140=$B13)*Inputs!$B$5:$B$140*(((Inputs!$G$5:$G$140="moeda")+(Inputs!$G$5:$G$140="acoes"))*Inputs!$B$1+((Inputs!$G$5:$G$140&lt;&gt;"moeda")*(Inputs!$G$5:$G$140&lt;&gt;"acoes")))*INDEX(Inputs!$K$5:$AJ$140,0,MATCH(AC$2,Inputs!$K$4:$AJ$4,0)))+SUMPRODUCT((Inputs!$C$5:$C$140=$B13)*Inputs!$D$5:$D$140*(((Inputs!$G$5:$G$140="moeda")+(Inputs!$G$5:$G$140="acoes"))*Inputs!$B$1+((Inputs!$G$5:$G$140&lt;&gt;"moeda")*(Inputs!$G$5:$G$140&lt;&gt;"acoes")))*INDEX(Inputs!$K$5:$AJ$140,0,MATCH(AC$2,Inputs!$K$4:$AJ$4,0)))+SUMPRODUCT((Inputs!$E$5:$E$140=$B13)*Inputs!$F$5:$F$140*(((Inputs!$G$5:$G$140="moeda")+(Inputs!$G$5:$G$140="acoes"))*Inputs!$B$1+((Inputs!$G$5:$G$140&lt;&gt;"moeda")*(Inputs!$G$5:$G$140&lt;&gt;"acoes")))*INDEX(Inputs!$K$5:$AJ$140,0,MATCH(AC$2,Inputs!$K$4:$AJ$4,0)))))</f>
        <v>0</v>
      </c>
      <c r="AD13" s="6">
        <f>IF(ISNA(MATCH(AD$2,Inputs!$K$4:$AJ$4,0)),NA(),IF(SUMPRODUCT((Inputs!$A$5:$A$140=$B13)*ISNUMBER(INDEX(Inputs!$K$5:$AJ$140,0,MATCH(AD$2,Inputs!$K$4:$AJ$4,0))))+SUMPRODUCT((Inputs!$C$5:$C$140=$B13)*ISNUMBER(INDEX(Inputs!$K$5:$AJ$140,0,MATCH(AD$2,Inputs!$K$4:$AJ$4,0))))+SUMPRODUCT((Inputs!$E$5:$E$140=$B13)*ISNUMBER(INDEX(Inputs!$K$5:$AJ$140,0,MATCH(AD$2,Inputs!$K$4:$AJ$4,0))))=0,NA(),SUMPRODUCT((Inputs!$A$5:$A$140=$B13)*Inputs!$B$5:$B$140*(((Inputs!$G$5:$G$140="moeda")+(Inputs!$G$5:$G$140="acoes"))*Inputs!$B$1+((Inputs!$G$5:$G$140&lt;&gt;"moeda")*(Inputs!$G$5:$G$140&lt;&gt;"acoes")))*INDEX(Inputs!$K$5:$AJ$140,0,MATCH(AD$2,Inputs!$K$4:$AJ$4,0)))+SUMPRODUCT((Inputs!$C$5:$C$140=$B13)*Inputs!$D$5:$D$140*(((Inputs!$G$5:$G$140="moeda")+(Inputs!$G$5:$G$140="acoes"))*Inputs!$B$1+((Inputs!$G$5:$G$140&lt;&gt;"moeda")*(Inputs!$G$5:$G$140&lt;&gt;"acoes")))*INDEX(Inputs!$K$5:$AJ$140,0,MATCH(AD$2,Inputs!$K$4:$AJ$4,0)))+SUMPRODUCT((Inputs!$E$5:$E$140=$B13)*Inputs!$F$5:$F$140*(((Inputs!$G$5:$G$140="moeda")+(Inputs!$G$5:$G$140="acoes"))*Inputs!$B$1+((Inputs!$G$5:$G$140&lt;&gt;"moeda")*(Inputs!$G$5:$G$140&lt;&gt;"acoes")))*INDEX(Inputs!$K$5:$AJ$140,0,MATCH(AD$2,Inputs!$K$4:$AJ$4,0)))))</f>
        <v>0</v>
      </c>
      <c r="AE13" s="6" t="e">
        <f>IF(ISNA(MATCH(AE$2,Inputs!$K$4:$AJ$4,0)),NA(),IF(SUMPRODUCT((Inputs!$A$5:$A$140=$B13)*ISNUMBER(INDEX(Inputs!$K$5:$AJ$140,0,MATCH(AE$2,Inputs!$K$4:$AJ$4,0))))+SUMPRODUCT((Inputs!$C$5:$C$140=$B13)*ISNUMBER(INDEX(Inputs!$K$5:$AJ$140,0,MATCH(AE$2,Inputs!$K$4:$AJ$4,0))))+SUMPRODUCT((Inputs!$E$5:$E$140=$B13)*ISNUMBER(INDEX(Inputs!$K$5:$AJ$140,0,MATCH(AE$2,Inputs!$K$4:$AJ$4,0))))=0,NA(),SUMPRODUCT((Inputs!$A$5:$A$140=$B13)*Inputs!$B$5:$B$140*(((Inputs!$G$5:$G$140="moeda")+(Inputs!$G$5:$G$140="acoes"))*Inputs!$B$1+((Inputs!$G$5:$G$140&lt;&gt;"moeda")*(Inputs!$G$5:$G$140&lt;&gt;"acoes")))*INDEX(Inputs!$K$5:$AJ$140,0,MATCH(AE$2,Inputs!$K$4:$AJ$4,0)))+SUMPRODUCT((Inputs!$C$5:$C$140=$B13)*Inputs!$D$5:$D$140*(((Inputs!$G$5:$G$140="moeda")+(Inputs!$G$5:$G$140="acoes"))*Inputs!$B$1+((Inputs!$G$5:$G$140&lt;&gt;"moeda")*(Inputs!$G$5:$G$140&lt;&gt;"acoes")))*INDEX(Inputs!$K$5:$AJ$140,0,MATCH(AE$2,Inputs!$K$4:$AJ$4,0)))+SUMPRODUCT((Inputs!$E$5:$E$140=$B13)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3" s="6" t="e">
        <f>IF(ISNA(MATCH(AF$2,Inputs!$K$4:$AJ$4,0)),NA(),IF(SUMPRODUCT((Inputs!$A$5:$A$140=$B13)*ISNUMBER(INDEX(Inputs!$K$5:$AJ$140,0,MATCH(AF$2,Inputs!$K$4:$AJ$4,0))))+SUMPRODUCT((Inputs!$C$5:$C$140=$B13)*ISNUMBER(INDEX(Inputs!$K$5:$AJ$140,0,MATCH(AF$2,Inputs!$K$4:$AJ$4,0))))+SUMPRODUCT((Inputs!$E$5:$E$140=$B13)*ISNUMBER(INDEX(Inputs!$K$5:$AJ$140,0,MATCH(AF$2,Inputs!$K$4:$AJ$4,0))))=0,NA(),SUMPRODUCT((Inputs!$A$5:$A$140=$B13)*Inputs!$B$5:$B$140*(((Inputs!$G$5:$G$140="moeda")+(Inputs!$G$5:$G$140="acoes"))*Inputs!$B$1+((Inputs!$G$5:$G$140&lt;&gt;"moeda")*(Inputs!$G$5:$G$140&lt;&gt;"acoes")))*INDEX(Inputs!$K$5:$AJ$140,0,MATCH(AF$2,Inputs!$K$4:$AJ$4,0)))+SUMPRODUCT((Inputs!$C$5:$C$140=$B13)*Inputs!$D$5:$D$140*(((Inputs!$G$5:$G$140="moeda")+(Inputs!$G$5:$G$140="acoes"))*Inputs!$B$1+((Inputs!$G$5:$G$140&lt;&gt;"moeda")*(Inputs!$G$5:$G$140&lt;&gt;"acoes")))*INDEX(Inputs!$K$5:$AJ$140,0,MATCH(AF$2,Inputs!$K$4:$AJ$4,0)))+SUMPRODUCT((Inputs!$E$5:$E$140=$B13)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$140=$B13)*ISNUMBER(INDEX(Inputs!$K$5:$AJ$140,0,MATCH(AH$2,Inputs!$K$4:$AJ$4,0))))+SUMPRODUCT((Inputs!$C$5:$C$140=$B13)*ISNUMBER(INDEX(Inputs!$K$5:$AJ$140,0,MATCH(AH$2,Inputs!$K$4:$AJ$4,0))))+SUMPRODUCT((Inputs!$E$5:$E$140=$B13)*ISNUMBER(INDEX(Inputs!$K$5:$AJ$140,0,MATCH(AH$2,Inputs!$K$4:$AJ$4,0))))=0,NA(),SUMPRODUCT((Inputs!$A$5:$A$140=$B13)*Inputs!$B$5:$B$140*(((Inputs!$G$5:$G$140="moeda")+(Inputs!$G$5:$G$140="acoes"))*Inputs!$B$1+((Inputs!$G$5:$G$140&lt;&gt;"moeda")*(Inputs!$G$5:$G$140&lt;&gt;"acoes")))*INDEX(Inputs!$K$5:$AJ$140,0,MATCH(AH$2,Inputs!$K$4:$AJ$4,0)))+SUMPRODUCT((Inputs!$C$5:$C$140=$B13)*Inputs!$D$5:$D$140*(((Inputs!$G$5:$G$140="moeda")+(Inputs!$G$5:$G$140="acoes"))*Inputs!$B$1+((Inputs!$G$5:$G$140&lt;&gt;"moeda")*(Inputs!$G$5:$G$140&lt;&gt;"acoes")))*INDEX(Inputs!$K$5:$AJ$140,0,MATCH(AH$2,Inputs!$K$4:$AJ$4,0)))+SUMPRODUCT((Inputs!$E$5:$E$140=$B13)*Inputs!$F$5:$F$140*(((Inputs!$G$5:$G$140="moeda")+(Inputs!$G$5:$G$140="acoes"))*Inputs!$B$1+((Inputs!$G$5:$G$140&lt;&gt;"moeda")*(Inputs!$G$5:$G$140&lt;&gt;"acoes")))*INDEX(Inputs!$K$5:$AJ$140,0,MATCH(AH$2,Inputs!$K$4:$AJ$4,0)))))</f>
        <v>0</v>
      </c>
      <c r="AI13" s="6">
        <f>IF(ISNA(MATCH(AI$2,Inputs!$K$4:$AJ$4,0)),NA(),IF(SUMPRODUCT((Inputs!$A$5:$A$140=$B13)*ISNUMBER(INDEX(Inputs!$K$5:$AJ$140,0,MATCH(AI$2,Inputs!$K$4:$AJ$4,0))))+SUMPRODUCT((Inputs!$C$5:$C$140=$B13)*ISNUMBER(INDEX(Inputs!$K$5:$AJ$140,0,MATCH(AI$2,Inputs!$K$4:$AJ$4,0))))+SUMPRODUCT((Inputs!$E$5:$E$140=$B13)*ISNUMBER(INDEX(Inputs!$K$5:$AJ$140,0,MATCH(AI$2,Inputs!$K$4:$AJ$4,0))))=0,NA(),SUMPRODUCT((Inputs!$A$5:$A$140=$B13)*Inputs!$B$5:$B$140*(((Inputs!$G$5:$G$140="moeda")+(Inputs!$G$5:$G$140="acoes"))*Inputs!$B$1+((Inputs!$G$5:$G$140&lt;&gt;"moeda")*(Inputs!$G$5:$G$140&lt;&gt;"acoes")))*INDEX(Inputs!$K$5:$AJ$140,0,MATCH(AI$2,Inputs!$K$4:$AJ$4,0)))+SUMPRODUCT((Inputs!$C$5:$C$140=$B13)*Inputs!$D$5:$D$140*(((Inputs!$G$5:$G$140="moeda")+(Inputs!$G$5:$G$140="acoes"))*Inputs!$B$1+((Inputs!$G$5:$G$140&lt;&gt;"moeda")*(Inputs!$G$5:$G$140&lt;&gt;"acoes")))*INDEX(Inputs!$K$5:$AJ$140,0,MATCH(AI$2,Inputs!$K$4:$AJ$4,0)))+SUMPRODUCT((Inputs!$E$5:$E$140=$B13)*Inputs!$F$5:$F$140*(((Inputs!$G$5:$G$140="moeda")+(Inputs!$G$5:$G$140="acoes"))*Inputs!$B$1+((Inputs!$G$5:$G$140&lt;&gt;"moeda")*(Inputs!$G$5:$G$140&lt;&gt;"acoes")))*INDEX(Inputs!$K$5:$AJ$140,0,MATCH(AI$2,Inputs!$K$4:$AJ$4,0)))))</f>
        <v>0</v>
      </c>
      <c r="AJ13" s="6">
        <f>IF(ISNA(MATCH(AJ$2,Inputs!$K$4:$AJ$4,0)),NA(),IF(SUMPRODUCT((Inputs!$A$5:$A$140=$B13)*ISNUMBER(INDEX(Inputs!$K$5:$AJ$140,0,MATCH(AJ$2,Inputs!$K$4:$AJ$4,0))))+SUMPRODUCT((Inputs!$C$5:$C$140=$B13)*ISNUMBER(INDEX(Inputs!$K$5:$AJ$140,0,MATCH(AJ$2,Inputs!$K$4:$AJ$4,0))))+SUMPRODUCT((Inputs!$E$5:$E$140=$B13)*ISNUMBER(INDEX(Inputs!$K$5:$AJ$140,0,MATCH(AJ$2,Inputs!$K$4:$AJ$4,0))))=0,NA(),SUMPRODUCT((Inputs!$A$5:$A$140=$B13)*Inputs!$B$5:$B$140*(((Inputs!$G$5:$G$140="moeda")+(Inputs!$G$5:$G$140="acoes"))*Inputs!$B$1+((Inputs!$G$5:$G$140&lt;&gt;"moeda")*(Inputs!$G$5:$G$140&lt;&gt;"acoes")))*INDEX(Inputs!$K$5:$AJ$140,0,MATCH(AJ$2,Inputs!$K$4:$AJ$4,0)))+SUMPRODUCT((Inputs!$C$5:$C$140=$B13)*Inputs!$D$5:$D$140*(((Inputs!$G$5:$G$140="moeda")+(Inputs!$G$5:$G$140="acoes"))*Inputs!$B$1+((Inputs!$G$5:$G$140&lt;&gt;"moeda")*(Inputs!$G$5:$G$140&lt;&gt;"acoes")))*INDEX(Inputs!$K$5:$AJ$140,0,MATCH(AJ$2,Inputs!$K$4:$AJ$4,0)))+SUMPRODUCT((Inputs!$E$5:$E$140=$B13)*Inputs!$F$5:$F$140*(((Inputs!$G$5:$G$140="moeda")+(Inputs!$G$5:$G$140="acoes"))*Inputs!$B$1+((Inputs!$G$5:$G$140&lt;&gt;"moeda")*(Inputs!$G$5:$G$140&lt;&gt;"acoes")))*INDEX(Inputs!$K$5:$AJ$140,0,MATCH(AJ$2,Inputs!$K$4:$AJ$4,0)))))</f>
        <v>0</v>
      </c>
      <c r="AK13" s="6">
        <f>IF(ISNA(MATCH(AK$2,Inputs!$K$4:$AJ$4,0)),NA(),IF(SUMPRODUCT((Inputs!$A$5:$A$140=$B13)*ISNUMBER(INDEX(Inputs!$K$5:$AJ$140,0,MATCH(AK$2,Inputs!$K$4:$AJ$4,0))))+SUMPRODUCT((Inputs!$C$5:$C$140=$B13)*ISNUMBER(INDEX(Inputs!$K$5:$AJ$140,0,MATCH(AK$2,Inputs!$K$4:$AJ$4,0))))+SUMPRODUCT((Inputs!$E$5:$E$140=$B13)*ISNUMBER(INDEX(Inputs!$K$5:$AJ$140,0,MATCH(AK$2,Inputs!$K$4:$AJ$4,0))))=0,NA(),SUMPRODUCT((Inputs!$A$5:$A$140=$B13)*Inputs!$B$5:$B$140*(((Inputs!$G$5:$G$140="moeda")+(Inputs!$G$5:$G$140="acoes"))*Inputs!$B$1+((Inputs!$G$5:$G$140&lt;&gt;"moeda")*(Inputs!$G$5:$G$140&lt;&gt;"acoes")))*INDEX(Inputs!$K$5:$AJ$140,0,MATCH(AK$2,Inputs!$K$4:$AJ$4,0)))+SUMPRODUCT((Inputs!$C$5:$C$140=$B13)*Inputs!$D$5:$D$140*(((Inputs!$G$5:$G$140="moeda")+(Inputs!$G$5:$G$140="acoes"))*Inputs!$B$1+((Inputs!$G$5:$G$140&lt;&gt;"moeda")*(Inputs!$G$5:$G$140&lt;&gt;"acoes")))*INDEX(Inputs!$K$5:$AJ$140,0,MATCH(AK$2,Inputs!$K$4:$AJ$4,0)))+SUMPRODUCT((Inputs!$E$5:$E$140=$B13)*Inputs!$F$5:$F$140*(((Inputs!$G$5:$G$140="moeda")+(Inputs!$G$5:$G$140="acoes"))*Inputs!$B$1+((Inputs!$G$5:$G$140&lt;&gt;"moeda")*(Inputs!$G$5:$G$140&lt;&gt;"acoes")))*INDEX(Inputs!$K$5:$AJ$140,0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$140=$B15)*ISNUMBER(INDEX(Inputs!$K$5:$AJ$140,0,MATCH(D$2,Inputs!$K$4:$AJ$4,0))))+SUMPRODUCT((Inputs!$C$5:$C$140=$B15)*ISNUMBER(INDEX(Inputs!$K$5:$AJ$140,0,MATCH(D$2,Inputs!$K$4:$AJ$4,0))))+SUMPRODUCT((Inputs!$E$5:$E$140=$B15)*ISNUMBER(INDEX(Inputs!$K$5:$AJ$140,0,MATCH(D$2,Inputs!$K$4:$AJ$4,0))))=0,NA(),SUMPRODUCT((Inputs!$A$5:$A$140=$B15)*Inputs!$B$5:$B$140*(((Inputs!$G$5:$G$140="moeda")+(Inputs!$G$5:$G$140="acoes"))*Inputs!$B$1+((Inputs!$G$5:$G$140&lt;&gt;"moeda")*(Inputs!$G$5:$G$140&lt;&gt;"acoes")))*INDEX(Inputs!$K$5:$AJ$140,0,MATCH(D$2,Inputs!$K$4:$AJ$4,0)))+SUMPRODUCT((Inputs!$C$5:$C$140=$B15)*Inputs!$D$5:$D$140*(((Inputs!$G$5:$G$140="moeda")+(Inputs!$G$5:$G$140="acoes"))*Inputs!$B$1+((Inputs!$G$5:$G$140&lt;&gt;"moeda")*(Inputs!$G$5:$G$140&lt;&gt;"acoes")))*INDEX(Inputs!$K$5:$AJ$140,0,MATCH(D$2,Inputs!$K$4:$AJ$4,0)))+SUMPRODUCT((Inputs!$E$5:$E$140=$B15)*Inputs!$F$5:$F$140*(((Inputs!$G$5:$G$140="moeda")+(Inputs!$G$5:$G$140="acoes"))*Inputs!$B$1+((Inputs!$G$5:$G$140&lt;&gt;"moeda")*(Inputs!$G$5:$G$140&lt;&gt;"acoes")))*INDEX(Inputs!$K$5:$AJ$140,0,MATCH(D$2,Inputs!$K$4:$AJ$4,0)))))</f>
        <v>1797.94673825</v>
      </c>
      <c r="E15" s="6">
        <f>IF(ISNA(MATCH(E$2,Inputs!$K$4:$AJ$4,0)),NA(),IF(SUMPRODUCT((Inputs!$A$5:$A$140=$B15)*ISNUMBER(INDEX(Inputs!$K$5:$AJ$140,0,MATCH(E$2,Inputs!$K$4:$AJ$4,0))))+SUMPRODUCT((Inputs!$C$5:$C$140=$B15)*ISNUMBER(INDEX(Inputs!$K$5:$AJ$140,0,MATCH(E$2,Inputs!$K$4:$AJ$4,0))))+SUMPRODUCT((Inputs!$E$5:$E$140=$B15)*ISNUMBER(INDEX(Inputs!$K$5:$AJ$140,0,MATCH(E$2,Inputs!$K$4:$AJ$4,0))))=0,NA(),SUMPRODUCT((Inputs!$A$5:$A$140=$B15)*Inputs!$B$5:$B$140*(((Inputs!$G$5:$G$140="moeda")+(Inputs!$G$5:$G$140="acoes"))*Inputs!$B$1+((Inputs!$G$5:$G$140&lt;&gt;"moeda")*(Inputs!$G$5:$G$140&lt;&gt;"acoes")))*INDEX(Inputs!$K$5:$AJ$140,0,MATCH(E$2,Inputs!$K$4:$AJ$4,0)))+SUMPRODUCT((Inputs!$C$5:$C$140=$B15)*Inputs!$D$5:$D$140*(((Inputs!$G$5:$G$140="moeda")+(Inputs!$G$5:$G$140="acoes"))*Inputs!$B$1+((Inputs!$G$5:$G$140&lt;&gt;"moeda")*(Inputs!$G$5:$G$140&lt;&gt;"acoes")))*INDEX(Inputs!$K$5:$AJ$140,0,MATCH(E$2,Inputs!$K$4:$AJ$4,0)))+SUMPRODUCT((Inputs!$E$5:$E$140=$B15)*Inputs!$F$5:$F$140*(((Inputs!$G$5:$G$140="moeda")+(Inputs!$G$5:$G$140="acoes"))*Inputs!$B$1+((Inputs!$G$5:$G$140&lt;&gt;"moeda")*(Inputs!$G$5:$G$140&lt;&gt;"acoes")))*INDEX(Inputs!$K$5:$AJ$140,0,MATCH(E$2,Inputs!$K$4:$AJ$4,0)))))</f>
        <v>1688.38019428</v>
      </c>
      <c r="F15" s="6">
        <f>IF(ISNA(MATCH(F$2,Inputs!$K$4:$AJ$4,0)),NA(),IF(SUMPRODUCT((Inputs!$A$5:$A$140=$B15)*ISNUMBER(INDEX(Inputs!$K$5:$AJ$140,0,MATCH(F$2,Inputs!$K$4:$AJ$4,0))))+SUMPRODUCT((Inputs!$C$5:$C$140=$B15)*ISNUMBER(INDEX(Inputs!$K$5:$AJ$140,0,MATCH(F$2,Inputs!$K$4:$AJ$4,0))))+SUMPRODUCT((Inputs!$E$5:$E$140=$B15)*ISNUMBER(INDEX(Inputs!$K$5:$AJ$140,0,MATCH(F$2,Inputs!$K$4:$AJ$4,0))))=0,NA(),SUMPRODUCT((Inputs!$A$5:$A$140=$B15)*Inputs!$B$5:$B$140*(((Inputs!$G$5:$G$140="moeda")+(Inputs!$G$5:$G$140="acoes"))*Inputs!$B$1+((Inputs!$G$5:$G$140&lt;&gt;"moeda")*(Inputs!$G$5:$G$140&lt;&gt;"acoes")))*INDEX(Inputs!$K$5:$AJ$140,0,MATCH(F$2,Inputs!$K$4:$AJ$4,0)))+SUMPRODUCT((Inputs!$C$5:$C$140=$B15)*Inputs!$D$5:$D$140*(((Inputs!$G$5:$G$140="moeda")+(Inputs!$G$5:$G$140="acoes"))*Inputs!$B$1+((Inputs!$G$5:$G$140&lt;&gt;"moeda")*(Inputs!$G$5:$G$140&lt;&gt;"acoes")))*INDEX(Inputs!$K$5:$AJ$140,0,MATCH(F$2,Inputs!$K$4:$AJ$4,0)))+SUMPRODUCT((Inputs!$E$5:$E$140=$B15)*Inputs!$F$5:$F$140*(((Inputs!$G$5:$G$140="moeda")+(Inputs!$G$5:$G$140="acoes"))*Inputs!$B$1+((Inputs!$G$5:$G$140&lt;&gt;"moeda")*(Inputs!$G$5:$G$140&lt;&gt;"acoes")))*INDEX(Inputs!$K$5:$AJ$140,0,MATCH(F$2,Inputs!$K$4:$AJ$4,0)))))</f>
        <v>960.417</v>
      </c>
      <c r="G15" s="6">
        <f>IF(ISNA(MATCH(G$2,Inputs!$K$4:$AJ$4,0)),NA(),IF(SUMPRODUCT((Inputs!$A$5:$A$140=$B15)*ISNUMBER(INDEX(Inputs!$K$5:$AJ$140,0,MATCH(G$2,Inputs!$K$4:$AJ$4,0))))+SUMPRODUCT((Inputs!$C$5:$C$140=$B15)*ISNUMBER(INDEX(Inputs!$K$5:$AJ$140,0,MATCH(G$2,Inputs!$K$4:$AJ$4,0))))+SUMPRODUCT((Inputs!$E$5:$E$140=$B15)*ISNUMBER(INDEX(Inputs!$K$5:$AJ$140,0,MATCH(G$2,Inputs!$K$4:$AJ$4,0))))=0,NA(),SUMPRODUCT((Inputs!$A$5:$A$140=$B15)*Inputs!$B$5:$B$140*(((Inputs!$G$5:$G$140="moeda")+(Inputs!$G$5:$G$140="acoes"))*Inputs!$B$1+((Inputs!$G$5:$G$140&lt;&gt;"moeda")*(Inputs!$G$5:$G$140&lt;&gt;"acoes")))*INDEX(Inputs!$K$5:$AJ$140,0,MATCH(G$2,Inputs!$K$4:$AJ$4,0)))+SUMPRODUCT((Inputs!$C$5:$C$140=$B15)*Inputs!$D$5:$D$140*(((Inputs!$G$5:$G$140="moeda")+(Inputs!$G$5:$G$140="acoes"))*Inputs!$B$1+((Inputs!$G$5:$G$140&lt;&gt;"moeda")*(Inputs!$G$5:$G$140&lt;&gt;"acoes")))*INDEX(Inputs!$K$5:$AJ$140,0,MATCH(G$2,Inputs!$K$4:$AJ$4,0)))+SUMPRODUCT((Inputs!$E$5:$E$140=$B15)*Inputs!$F$5:$F$140*(((Inputs!$G$5:$G$140="moeda")+(Inputs!$G$5:$G$140="acoes"))*Inputs!$B$1+((Inputs!$G$5:$G$140&lt;&gt;"moeda")*(Inputs!$G$5:$G$140&lt;&gt;"acoes")))*INDEX(Inputs!$K$5:$AJ$140,0,MATCH(G$2,Inputs!$K$4:$AJ$4,0)))))</f>
        <v>880.326</v>
      </c>
      <c r="H15" s="3">
        <f>G15</f>
        <v>880.326</v>
      </c>
      <c r="I15" s="6">
        <f>IF(ISNA(MATCH(I$2,Inputs!$K$4:$AJ$4,0)),NA(),IF(SUMPRODUCT((Inputs!$A$5:$A$140=$B15)*ISNUMBER(INDEX(Inputs!$K$5:$AJ$140,0,MATCH(I$2,Inputs!$K$4:$AJ$4,0))))+SUMPRODUCT((Inputs!$C$5:$C$140=$B15)*ISNUMBER(INDEX(Inputs!$K$5:$AJ$140,0,MATCH(I$2,Inputs!$K$4:$AJ$4,0))))+SUMPRODUCT((Inputs!$E$5:$E$140=$B15)*ISNUMBER(INDEX(Inputs!$K$5:$AJ$140,0,MATCH(I$2,Inputs!$K$4:$AJ$4,0))))=0,NA(),SUMPRODUCT((Inputs!$A$5:$A$140=$B15)*Inputs!$B$5:$B$140*(((Inputs!$G$5:$G$140="moeda")+(Inputs!$G$5:$G$140="acoes"))*Inputs!$B$1+((Inputs!$G$5:$G$140&lt;&gt;"moeda")*(Inputs!$G$5:$G$140&lt;&gt;"acoes")))*INDEX(Inputs!$K$5:$AJ$140,0,MATCH(I$2,Inputs!$K$4:$AJ$4,0)))+SUMPRODUCT((Inputs!$C$5:$C$140=$B15)*Inputs!$D$5:$D$140*(((Inputs!$G$5:$G$140="moeda")+(Inputs!$G$5:$G$140="acoes"))*Inputs!$B$1+((Inputs!$G$5:$G$140&lt;&gt;"moeda")*(Inputs!$G$5:$G$140&lt;&gt;"acoes")))*INDEX(Inputs!$K$5:$AJ$140,0,MATCH(I$2,Inputs!$K$4:$AJ$4,0)))+SUMPRODUCT((Inputs!$E$5:$E$140=$B15)*Inputs!$F$5:$F$140*(((Inputs!$G$5:$G$140="moeda")+(Inputs!$G$5:$G$140="acoes"))*Inputs!$B$1+((Inputs!$G$5:$G$140&lt;&gt;"moeda")*(Inputs!$G$5:$G$140&lt;&gt;"acoes")))*INDEX(Inputs!$K$5:$AJ$140,0,MATCH(I$2,Inputs!$K$4:$AJ$4,0)))))</f>
        <v>620.94</v>
      </c>
      <c r="J15" s="6">
        <f>IF(ISNA(MATCH(J$2,Inputs!$K$4:$AJ$4,0)),NA(),IF(SUMPRODUCT((Inputs!$A$5:$A$140=$B15)*ISNUMBER(INDEX(Inputs!$K$5:$AJ$140,0,MATCH(J$2,Inputs!$K$4:$AJ$4,0))))+SUMPRODUCT((Inputs!$C$5:$C$140=$B15)*ISNUMBER(INDEX(Inputs!$K$5:$AJ$140,0,MATCH(J$2,Inputs!$K$4:$AJ$4,0))))+SUMPRODUCT((Inputs!$E$5:$E$140=$B15)*ISNUMBER(INDEX(Inputs!$K$5:$AJ$140,0,MATCH(J$2,Inputs!$K$4:$AJ$4,0))))=0,NA(),SUMPRODUCT((Inputs!$A$5:$A$140=$B15)*Inputs!$B$5:$B$140*(((Inputs!$G$5:$G$140="moeda")+(Inputs!$G$5:$G$140="acoes"))*Inputs!$B$1+((Inputs!$G$5:$G$140&lt;&gt;"moeda")*(Inputs!$G$5:$G$140&lt;&gt;"acoes")))*INDEX(Inputs!$K$5:$AJ$140,0,MATCH(J$2,Inputs!$K$4:$AJ$4,0)))+SUMPRODUCT((Inputs!$C$5:$C$140=$B15)*Inputs!$D$5:$D$140*(((Inputs!$G$5:$G$140="moeda")+(Inputs!$G$5:$G$140="acoes"))*Inputs!$B$1+((Inputs!$G$5:$G$140&lt;&gt;"moeda")*(Inputs!$G$5:$G$140&lt;&gt;"acoes")))*INDEX(Inputs!$K$5:$AJ$140,0,MATCH(J$2,Inputs!$K$4:$AJ$4,0)))+SUMPRODUCT((Inputs!$E$5:$E$140=$B15)*Inputs!$F$5:$F$140*(((Inputs!$G$5:$G$140="moeda")+(Inputs!$G$5:$G$140="acoes"))*Inputs!$B$1+((Inputs!$G$5:$G$140&lt;&gt;"moeda")*(Inputs!$G$5:$G$140&lt;&gt;"acoes")))*INDEX(Inputs!$K$5:$AJ$140,0,MATCH(J$2,Inputs!$K$4:$AJ$4,0)))))</f>
        <v>891.18</v>
      </c>
      <c r="K15" s="6">
        <f>IF(ISNA(MATCH(K$2,Inputs!$K$4:$AJ$4,0)),NA(),IF(SUMPRODUCT((Inputs!$A$5:$A$140=$B15)*ISNUMBER(INDEX(Inputs!$K$5:$AJ$140,0,MATCH(K$2,Inputs!$K$4:$AJ$4,0))))+SUMPRODUCT((Inputs!$C$5:$C$140=$B15)*ISNUMBER(INDEX(Inputs!$K$5:$AJ$140,0,MATCH(K$2,Inputs!$K$4:$AJ$4,0))))+SUMPRODUCT((Inputs!$E$5:$E$140=$B15)*ISNUMBER(INDEX(Inputs!$K$5:$AJ$140,0,MATCH(K$2,Inputs!$K$4:$AJ$4,0))))=0,NA(),SUMPRODUCT((Inputs!$A$5:$A$140=$B15)*Inputs!$B$5:$B$140*(((Inputs!$G$5:$G$140="moeda")+(Inputs!$G$5:$G$140="acoes"))*Inputs!$B$1+((Inputs!$G$5:$G$140&lt;&gt;"moeda")*(Inputs!$G$5:$G$140&lt;&gt;"acoes")))*INDEX(Inputs!$K$5:$AJ$140,0,MATCH(K$2,Inputs!$K$4:$AJ$4,0)))+SUMPRODUCT((Inputs!$C$5:$C$140=$B15)*Inputs!$D$5:$D$140*(((Inputs!$G$5:$G$140="moeda")+(Inputs!$G$5:$G$140="acoes"))*Inputs!$B$1+((Inputs!$G$5:$G$140&lt;&gt;"moeda")*(Inputs!$G$5:$G$140&lt;&gt;"acoes")))*INDEX(Inputs!$K$5:$AJ$140,0,MATCH(K$2,Inputs!$K$4:$AJ$4,0)))+SUMPRODUCT((Inputs!$E$5:$E$140=$B15)*Inputs!$F$5:$F$140*(((Inputs!$G$5:$G$140="moeda")+(Inputs!$G$5:$G$140="acoes"))*Inputs!$B$1+((Inputs!$G$5:$G$140&lt;&gt;"moeda")*(Inputs!$G$5:$G$140&lt;&gt;"acoes")))*INDEX(Inputs!$K$5:$AJ$140,0,MATCH(K$2,Inputs!$K$4:$AJ$4,0)))))</f>
        <v>696.607</v>
      </c>
      <c r="L15" s="6">
        <f>IF(ISNA(MATCH(L$2,Inputs!$K$4:$AJ$4,0)),NA(),IF(SUMPRODUCT((Inputs!$A$5:$A$140=$B15)*ISNUMBER(INDEX(Inputs!$K$5:$AJ$140,0,MATCH(L$2,Inputs!$K$4:$AJ$4,0))))+SUMPRODUCT((Inputs!$C$5:$C$140=$B15)*ISNUMBER(INDEX(Inputs!$K$5:$AJ$140,0,MATCH(L$2,Inputs!$K$4:$AJ$4,0))))+SUMPRODUCT((Inputs!$E$5:$E$140=$B15)*ISNUMBER(INDEX(Inputs!$K$5:$AJ$140,0,MATCH(L$2,Inputs!$K$4:$AJ$4,0))))=0,NA(),SUMPRODUCT((Inputs!$A$5:$A$140=$B15)*Inputs!$B$5:$B$140*(((Inputs!$G$5:$G$140="moeda")+(Inputs!$G$5:$G$140="acoes"))*Inputs!$B$1+((Inputs!$G$5:$G$140&lt;&gt;"moeda")*(Inputs!$G$5:$G$140&lt;&gt;"acoes")))*INDEX(Inputs!$K$5:$AJ$140,0,MATCH(L$2,Inputs!$K$4:$AJ$4,0)))+SUMPRODUCT((Inputs!$C$5:$C$140=$B15)*Inputs!$D$5:$D$140*(((Inputs!$G$5:$G$140="moeda")+(Inputs!$G$5:$G$140="acoes"))*Inputs!$B$1+((Inputs!$G$5:$G$140&lt;&gt;"moeda")*(Inputs!$G$5:$G$140&lt;&gt;"acoes")))*INDEX(Inputs!$K$5:$AJ$140,0,MATCH(L$2,Inputs!$K$4:$AJ$4,0)))+SUMPRODUCT((Inputs!$E$5:$E$140=$B15)*Inputs!$F$5:$F$140*(((Inputs!$G$5:$G$140="moeda")+(Inputs!$G$5:$G$140="acoes"))*Inputs!$B$1+((Inputs!$G$5:$G$140&lt;&gt;"moeda")*(Inputs!$G$5:$G$140&lt;&gt;"acoes")))*INDEX(Inputs!$K$5:$AJ$140,0,MATCH(L$2,Inputs!$K$4:$AJ$4,0)))))</f>
        <v>1797.155</v>
      </c>
      <c r="M15" s="3">
        <f>L15</f>
        <v>1797.155</v>
      </c>
      <c r="N15" s="6">
        <f>IF(ISNA(MATCH(N$2,Inputs!$K$4:$AJ$4,0)),NA(),IF(SUMPRODUCT((Inputs!$A$5:$A$140=$B15)*ISNUMBER(INDEX(Inputs!$K$5:$AJ$140,0,MATCH(N$2,Inputs!$K$4:$AJ$4,0))))+SUMPRODUCT((Inputs!$C$5:$C$140=$B15)*ISNUMBER(INDEX(Inputs!$K$5:$AJ$140,0,MATCH(N$2,Inputs!$K$4:$AJ$4,0))))+SUMPRODUCT((Inputs!$E$5:$E$140=$B15)*ISNUMBER(INDEX(Inputs!$K$5:$AJ$140,0,MATCH(N$2,Inputs!$K$4:$AJ$4,0))))=0,NA(),SUMPRODUCT((Inputs!$A$5:$A$140=$B15)*Inputs!$B$5:$B$140*(((Inputs!$G$5:$G$140="moeda")+(Inputs!$G$5:$G$140="acoes"))*Inputs!$B$1+((Inputs!$G$5:$G$140&lt;&gt;"moeda")*(Inputs!$G$5:$G$140&lt;&gt;"acoes")))*INDEX(Inputs!$K$5:$AJ$140,0,MATCH(N$2,Inputs!$K$4:$AJ$4,0)))+SUMPRODUCT((Inputs!$C$5:$C$140=$B15)*Inputs!$D$5:$D$140*(((Inputs!$G$5:$G$140="moeda")+(Inputs!$G$5:$G$140="acoes"))*Inputs!$B$1+((Inputs!$G$5:$G$140&lt;&gt;"moeda")*(Inputs!$G$5:$G$140&lt;&gt;"acoes")))*INDEX(Inputs!$K$5:$AJ$140,0,MATCH(N$2,Inputs!$K$4:$AJ$4,0)))+SUMPRODUCT((Inputs!$E$5:$E$140=$B15)*Inputs!$F$5:$F$140*(((Inputs!$G$5:$G$140="moeda")+(Inputs!$G$5:$G$140="acoes"))*Inputs!$B$1+((Inputs!$G$5:$G$140&lt;&gt;"moeda")*(Inputs!$G$5:$G$140&lt;&gt;"acoes")))*INDEX(Inputs!$K$5:$AJ$140,0,MATCH(N$2,Inputs!$K$4:$AJ$4,0)))))</f>
        <v>1672.665</v>
      </c>
      <c r="O15" s="6">
        <f>IF(ISNA(MATCH(O$2,Inputs!$K$4:$AJ$4,0)),NA(),IF(SUMPRODUCT((Inputs!$A$5:$A$140=$B15)*ISNUMBER(INDEX(Inputs!$K$5:$AJ$140,0,MATCH(O$2,Inputs!$K$4:$AJ$4,0))))+SUMPRODUCT((Inputs!$C$5:$C$140=$B15)*ISNUMBER(INDEX(Inputs!$K$5:$AJ$140,0,MATCH(O$2,Inputs!$K$4:$AJ$4,0))))+SUMPRODUCT((Inputs!$E$5:$E$140=$B15)*ISNUMBER(INDEX(Inputs!$K$5:$AJ$140,0,MATCH(O$2,Inputs!$K$4:$AJ$4,0))))=0,NA(),SUMPRODUCT((Inputs!$A$5:$A$140=$B15)*Inputs!$B$5:$B$140*(((Inputs!$G$5:$G$140="moeda")+(Inputs!$G$5:$G$140="acoes"))*Inputs!$B$1+((Inputs!$G$5:$G$140&lt;&gt;"moeda")*(Inputs!$G$5:$G$140&lt;&gt;"acoes")))*INDEX(Inputs!$K$5:$AJ$140,0,MATCH(O$2,Inputs!$K$4:$AJ$4,0)))+SUMPRODUCT((Inputs!$C$5:$C$140=$B15)*Inputs!$D$5:$D$140*(((Inputs!$G$5:$G$140="moeda")+(Inputs!$G$5:$G$140="acoes"))*Inputs!$B$1+((Inputs!$G$5:$G$140&lt;&gt;"moeda")*(Inputs!$G$5:$G$140&lt;&gt;"acoes")))*INDEX(Inputs!$K$5:$AJ$140,0,MATCH(O$2,Inputs!$K$4:$AJ$4,0)))+SUMPRODUCT((Inputs!$E$5:$E$140=$B15)*Inputs!$F$5:$F$140*(((Inputs!$G$5:$G$140="moeda")+(Inputs!$G$5:$G$140="acoes"))*Inputs!$B$1+((Inputs!$G$5:$G$140&lt;&gt;"moeda")*(Inputs!$G$5:$G$140&lt;&gt;"acoes")))*INDEX(Inputs!$K$5:$AJ$140,0,MATCH(O$2,Inputs!$K$4:$AJ$4,0)))))</f>
        <v>1357.47</v>
      </c>
      <c r="P15" s="6">
        <f>IF(ISNA(MATCH(P$2,Inputs!$K$4:$AJ$4,0)),NA(),IF(SUMPRODUCT((Inputs!$A$5:$A$140=$B15)*ISNUMBER(INDEX(Inputs!$K$5:$AJ$140,0,MATCH(P$2,Inputs!$K$4:$AJ$4,0))))+SUMPRODUCT((Inputs!$C$5:$C$140=$B15)*ISNUMBER(INDEX(Inputs!$K$5:$AJ$140,0,MATCH(P$2,Inputs!$K$4:$AJ$4,0))))+SUMPRODUCT((Inputs!$E$5:$E$140=$B15)*ISNUMBER(INDEX(Inputs!$K$5:$AJ$140,0,MATCH(P$2,Inputs!$K$4:$AJ$4,0))))=0,NA(),SUMPRODUCT((Inputs!$A$5:$A$140=$B15)*Inputs!$B$5:$B$140*(((Inputs!$G$5:$G$140="moeda")+(Inputs!$G$5:$G$140="acoes"))*Inputs!$B$1+((Inputs!$G$5:$G$140&lt;&gt;"moeda")*(Inputs!$G$5:$G$140&lt;&gt;"acoes")))*INDEX(Inputs!$K$5:$AJ$140,0,MATCH(P$2,Inputs!$K$4:$AJ$4,0)))+SUMPRODUCT((Inputs!$C$5:$C$140=$B15)*Inputs!$D$5:$D$140*(((Inputs!$G$5:$G$140="moeda")+(Inputs!$G$5:$G$140="acoes"))*Inputs!$B$1+((Inputs!$G$5:$G$140&lt;&gt;"moeda")*(Inputs!$G$5:$G$140&lt;&gt;"acoes")))*INDEX(Inputs!$K$5:$AJ$140,0,MATCH(P$2,Inputs!$K$4:$AJ$4,0)))+SUMPRODUCT((Inputs!$E$5:$E$140=$B15)*Inputs!$F$5:$F$140*(((Inputs!$G$5:$G$140="moeda")+(Inputs!$G$5:$G$140="acoes"))*Inputs!$B$1+((Inputs!$G$5:$G$140&lt;&gt;"moeda")*(Inputs!$G$5:$G$140&lt;&gt;"acoes")))*INDEX(Inputs!$K$5:$AJ$140,0,MATCH(P$2,Inputs!$K$4:$AJ$4,0)))))</f>
        <v>1117.637</v>
      </c>
      <c r="Q15" s="6">
        <f>IF(ISNA(MATCH(Q$2,Inputs!$K$4:$AJ$4,0)),NA(),IF(SUMPRODUCT((Inputs!$A$5:$A$140=$B15)*ISNUMBER(INDEX(Inputs!$K$5:$AJ$140,0,MATCH(Q$2,Inputs!$K$4:$AJ$4,0))))+SUMPRODUCT((Inputs!$C$5:$C$140=$B15)*ISNUMBER(INDEX(Inputs!$K$5:$AJ$140,0,MATCH(Q$2,Inputs!$K$4:$AJ$4,0))))+SUMPRODUCT((Inputs!$E$5:$E$140=$B15)*ISNUMBER(INDEX(Inputs!$K$5:$AJ$140,0,MATCH(Q$2,Inputs!$K$4:$AJ$4,0))))=0,NA(),SUMPRODUCT((Inputs!$A$5:$A$140=$B15)*Inputs!$B$5:$B$140*(((Inputs!$G$5:$G$140="moeda")+(Inputs!$G$5:$G$140="acoes"))*Inputs!$B$1+((Inputs!$G$5:$G$140&lt;&gt;"moeda")*(Inputs!$G$5:$G$140&lt;&gt;"acoes")))*INDEX(Inputs!$K$5:$AJ$140,0,MATCH(Q$2,Inputs!$K$4:$AJ$4,0)))+SUMPRODUCT((Inputs!$C$5:$C$140=$B15)*Inputs!$D$5:$D$140*(((Inputs!$G$5:$G$140="moeda")+(Inputs!$G$5:$G$140="acoes"))*Inputs!$B$1+((Inputs!$G$5:$G$140&lt;&gt;"moeda")*(Inputs!$G$5:$G$140&lt;&gt;"acoes")))*INDEX(Inputs!$K$5:$AJ$140,0,MATCH(Q$2,Inputs!$K$4:$AJ$4,0)))+SUMPRODUCT((Inputs!$E$5:$E$140=$B15)*Inputs!$F$5:$F$140*(((Inputs!$G$5:$G$140="moeda")+(Inputs!$G$5:$G$140="acoes"))*Inputs!$B$1+((Inputs!$G$5:$G$140&lt;&gt;"moeda")*(Inputs!$G$5:$G$140&lt;&gt;"acoes")))*INDEX(Inputs!$K$5:$AJ$140,0,MATCH(Q$2,Inputs!$K$4:$AJ$4,0)))))</f>
        <v>1290.02</v>
      </c>
      <c r="R15" s="3">
        <f>Q15</f>
        <v>1290.02</v>
      </c>
      <c r="S15" s="6">
        <f>IF(ISNA(MATCH(S$2,Inputs!$K$4:$AJ$4,0)),NA(),IF(SUMPRODUCT((Inputs!$A$5:$A$140=$B15)*ISNUMBER(INDEX(Inputs!$K$5:$AJ$140,0,MATCH(S$2,Inputs!$K$4:$AJ$4,0))))+SUMPRODUCT((Inputs!$C$5:$C$140=$B15)*ISNUMBER(INDEX(Inputs!$K$5:$AJ$140,0,MATCH(S$2,Inputs!$K$4:$AJ$4,0))))+SUMPRODUCT((Inputs!$E$5:$E$140=$B15)*ISNUMBER(INDEX(Inputs!$K$5:$AJ$140,0,MATCH(S$2,Inputs!$K$4:$AJ$4,0))))=0,NA(),SUMPRODUCT((Inputs!$A$5:$A$140=$B15)*Inputs!$B$5:$B$140*(((Inputs!$G$5:$G$140="moeda")+(Inputs!$G$5:$G$140="acoes"))*Inputs!$B$1+((Inputs!$G$5:$G$140&lt;&gt;"moeda")*(Inputs!$G$5:$G$140&lt;&gt;"acoes")))*INDEX(Inputs!$K$5:$AJ$140,0,MATCH(S$2,Inputs!$K$4:$AJ$4,0)))+SUMPRODUCT((Inputs!$C$5:$C$140=$B15)*Inputs!$D$5:$D$140*(((Inputs!$G$5:$G$140="moeda")+(Inputs!$G$5:$G$140="acoes"))*Inputs!$B$1+((Inputs!$G$5:$G$140&lt;&gt;"moeda")*(Inputs!$G$5:$G$140&lt;&gt;"acoes")))*INDEX(Inputs!$K$5:$AJ$140,0,MATCH(S$2,Inputs!$K$4:$AJ$4,0)))+SUMPRODUCT((Inputs!$E$5:$E$140=$B15)*Inputs!$F$5:$F$140*(((Inputs!$G$5:$G$140="moeda")+(Inputs!$G$5:$G$140="acoes"))*Inputs!$B$1+((Inputs!$G$5:$G$140&lt;&gt;"moeda")*(Inputs!$G$5:$G$140&lt;&gt;"acoes")))*INDEX(Inputs!$K$5:$AJ$140,0,MATCH(S$2,Inputs!$K$4:$AJ$4,0)))))</f>
        <v>1341.295</v>
      </c>
      <c r="T15" s="6">
        <f>IF(ISNA(MATCH(T$2,Inputs!$K$4:$AJ$4,0)),NA(),IF(SUMPRODUCT((Inputs!$A$5:$A$140=$B15)*ISNUMBER(INDEX(Inputs!$K$5:$AJ$140,0,MATCH(T$2,Inputs!$K$4:$AJ$4,0))))+SUMPRODUCT((Inputs!$C$5:$C$140=$B15)*ISNUMBER(INDEX(Inputs!$K$5:$AJ$140,0,MATCH(T$2,Inputs!$K$4:$AJ$4,0))))+SUMPRODUCT((Inputs!$E$5:$E$140=$B15)*ISNUMBER(INDEX(Inputs!$K$5:$AJ$140,0,MATCH(T$2,Inputs!$K$4:$AJ$4,0))))=0,NA(),SUMPRODUCT((Inputs!$A$5:$A$140=$B15)*Inputs!$B$5:$B$140*(((Inputs!$G$5:$G$140="moeda")+(Inputs!$G$5:$G$140="acoes"))*Inputs!$B$1+((Inputs!$G$5:$G$140&lt;&gt;"moeda")*(Inputs!$G$5:$G$140&lt;&gt;"acoes")))*INDEX(Inputs!$K$5:$AJ$140,0,MATCH(T$2,Inputs!$K$4:$AJ$4,0)))+SUMPRODUCT((Inputs!$C$5:$C$140=$B15)*Inputs!$D$5:$D$140*(((Inputs!$G$5:$G$140="moeda")+(Inputs!$G$5:$G$140="acoes"))*Inputs!$B$1+((Inputs!$G$5:$G$140&lt;&gt;"moeda")*(Inputs!$G$5:$G$140&lt;&gt;"acoes")))*INDEX(Inputs!$K$5:$AJ$140,0,MATCH(T$2,Inputs!$K$4:$AJ$4,0)))+SUMPRODUCT((Inputs!$E$5:$E$140=$B15)*Inputs!$F$5:$F$140*(((Inputs!$G$5:$G$140="moeda")+(Inputs!$G$5:$G$140="acoes"))*Inputs!$B$1+((Inputs!$G$5:$G$140&lt;&gt;"moeda")*(Inputs!$G$5:$G$140&lt;&gt;"acoes")))*INDEX(Inputs!$K$5:$AJ$140,0,MATCH(T$2,Inputs!$K$4:$AJ$4,0)))))</f>
        <v>1240.445</v>
      </c>
      <c r="U15" s="6">
        <f>IF(ISNA(MATCH(U$2,Inputs!$K$4:$AJ$4,0)),NA(),IF(SUMPRODUCT((Inputs!$A$5:$A$140=$B15)*ISNUMBER(INDEX(Inputs!$K$5:$AJ$140,0,MATCH(U$2,Inputs!$K$4:$AJ$4,0))))+SUMPRODUCT((Inputs!$C$5:$C$140=$B15)*ISNUMBER(INDEX(Inputs!$K$5:$AJ$140,0,MATCH(U$2,Inputs!$K$4:$AJ$4,0))))+SUMPRODUCT((Inputs!$E$5:$E$140=$B15)*ISNUMBER(INDEX(Inputs!$K$5:$AJ$140,0,MATCH(U$2,Inputs!$K$4:$AJ$4,0))))=0,NA(),SUMPRODUCT((Inputs!$A$5:$A$140=$B15)*Inputs!$B$5:$B$140*(((Inputs!$G$5:$G$140="moeda")+(Inputs!$G$5:$G$140="acoes"))*Inputs!$B$1+((Inputs!$G$5:$G$140&lt;&gt;"moeda")*(Inputs!$G$5:$G$140&lt;&gt;"acoes")))*INDEX(Inputs!$K$5:$AJ$140,0,MATCH(U$2,Inputs!$K$4:$AJ$4,0)))+SUMPRODUCT((Inputs!$C$5:$C$140=$B15)*Inputs!$D$5:$D$140*(((Inputs!$G$5:$G$140="moeda")+(Inputs!$G$5:$G$140="acoes"))*Inputs!$B$1+((Inputs!$G$5:$G$140&lt;&gt;"moeda")*(Inputs!$G$5:$G$140&lt;&gt;"acoes")))*INDEX(Inputs!$K$5:$AJ$140,0,MATCH(U$2,Inputs!$K$4:$AJ$4,0)))+SUMPRODUCT((Inputs!$E$5:$E$140=$B15)*Inputs!$F$5:$F$140*(((Inputs!$G$5:$G$140="moeda")+(Inputs!$G$5:$G$140="acoes"))*Inputs!$B$1+((Inputs!$G$5:$G$140&lt;&gt;"moeda")*(Inputs!$G$5:$G$140&lt;&gt;"acoes")))*INDEX(Inputs!$K$5:$AJ$140,0,MATCH(U$2,Inputs!$K$4:$AJ$4,0)))))</f>
        <v>698.799</v>
      </c>
      <c r="V15" s="6">
        <f>IF(ISNA(MATCH(V$2,Inputs!$K$4:$AJ$4,0)),NA(),IF(SUMPRODUCT((Inputs!$A$5:$A$140=$B15)*ISNUMBER(INDEX(Inputs!$K$5:$AJ$140,0,MATCH(V$2,Inputs!$K$4:$AJ$4,0))))+SUMPRODUCT((Inputs!$C$5:$C$140=$B15)*ISNUMBER(INDEX(Inputs!$K$5:$AJ$140,0,MATCH(V$2,Inputs!$K$4:$AJ$4,0))))+SUMPRODUCT((Inputs!$E$5:$E$140=$B15)*ISNUMBER(INDEX(Inputs!$K$5:$AJ$140,0,MATCH(V$2,Inputs!$K$4:$AJ$4,0))))=0,NA(),SUMPRODUCT((Inputs!$A$5:$A$140=$B15)*Inputs!$B$5:$B$140*(((Inputs!$G$5:$G$140="moeda")+(Inputs!$G$5:$G$140="acoes"))*Inputs!$B$1+((Inputs!$G$5:$G$140&lt;&gt;"moeda")*(Inputs!$G$5:$G$140&lt;&gt;"acoes")))*INDEX(Inputs!$K$5:$AJ$140,0,MATCH(V$2,Inputs!$K$4:$AJ$4,0)))+SUMPRODUCT((Inputs!$C$5:$C$140=$B15)*Inputs!$D$5:$D$140*(((Inputs!$G$5:$G$140="moeda")+(Inputs!$G$5:$G$140="acoes"))*Inputs!$B$1+((Inputs!$G$5:$G$140&lt;&gt;"moeda")*(Inputs!$G$5:$G$140&lt;&gt;"acoes")))*INDEX(Inputs!$K$5:$AJ$140,0,MATCH(V$2,Inputs!$K$4:$AJ$4,0)))+SUMPRODUCT((Inputs!$E$5:$E$140=$B15)*Inputs!$F$5:$F$140*(((Inputs!$G$5:$G$140="moeda")+(Inputs!$G$5:$G$140="acoes"))*Inputs!$B$1+((Inputs!$G$5:$G$140&lt;&gt;"moeda")*(Inputs!$G$5:$G$140&lt;&gt;"acoes")))*INDEX(Inputs!$K$5:$AJ$140,0,MATCH(V$2,Inputs!$K$4:$AJ$4,0)))))</f>
        <v>1664.213</v>
      </c>
      <c r="W15" s="3">
        <f>V15</f>
        <v>1664.213</v>
      </c>
      <c r="X15" s="6">
        <f>IF(ISNA(MATCH(X$2,Inputs!$K$4:$AJ$4,0)),NA(),IF(SUMPRODUCT((Inputs!$A$5:$A$140=$B15)*ISNUMBER(INDEX(Inputs!$K$5:$AJ$140,0,MATCH(X$2,Inputs!$K$4:$AJ$4,0))))+SUMPRODUCT((Inputs!$C$5:$C$140=$B15)*ISNUMBER(INDEX(Inputs!$K$5:$AJ$140,0,MATCH(X$2,Inputs!$K$4:$AJ$4,0))))+SUMPRODUCT((Inputs!$E$5:$E$140=$B15)*ISNUMBER(INDEX(Inputs!$K$5:$AJ$140,0,MATCH(X$2,Inputs!$K$4:$AJ$4,0))))=0,NA(),SUMPRODUCT((Inputs!$A$5:$A$140=$B15)*Inputs!$B$5:$B$140*(((Inputs!$G$5:$G$140="moeda")+(Inputs!$G$5:$G$140="acoes"))*Inputs!$B$1+((Inputs!$G$5:$G$140&lt;&gt;"moeda")*(Inputs!$G$5:$G$140&lt;&gt;"acoes")))*INDEX(Inputs!$K$5:$AJ$140,0,MATCH(X$2,Inputs!$K$4:$AJ$4,0)))+SUMPRODUCT((Inputs!$C$5:$C$140=$B15)*Inputs!$D$5:$D$140*(((Inputs!$G$5:$G$140="moeda")+(Inputs!$G$5:$G$140="acoes"))*Inputs!$B$1+((Inputs!$G$5:$G$140&lt;&gt;"moeda")*(Inputs!$G$5:$G$140&lt;&gt;"acoes")))*INDEX(Inputs!$K$5:$AJ$140,0,MATCH(X$2,Inputs!$K$4:$AJ$4,0)))+SUMPRODUCT((Inputs!$E$5:$E$140=$B15)*Inputs!$F$5:$F$140*(((Inputs!$G$5:$G$140="moeda")+(Inputs!$G$5:$G$140="acoes"))*Inputs!$B$1+((Inputs!$G$5:$G$140&lt;&gt;"moeda")*(Inputs!$G$5:$G$140&lt;&gt;"acoes")))*INDEX(Inputs!$K$5:$AJ$140,0,MATCH(X$2,Inputs!$K$4:$AJ$4,0)))))</f>
        <v>1520.597</v>
      </c>
      <c r="Y15" s="6">
        <f>IF(ISNA(MATCH(Y$2,Inputs!$K$4:$AJ$4,0)),NA(),IF(SUMPRODUCT((Inputs!$A$5:$A$140=$B15)*ISNUMBER(INDEX(Inputs!$K$5:$AJ$140,0,MATCH(Y$2,Inputs!$K$4:$AJ$4,0))))+SUMPRODUCT((Inputs!$C$5:$C$140=$B15)*ISNUMBER(INDEX(Inputs!$K$5:$AJ$140,0,MATCH(Y$2,Inputs!$K$4:$AJ$4,0))))+SUMPRODUCT((Inputs!$E$5:$E$140=$B15)*ISNUMBER(INDEX(Inputs!$K$5:$AJ$140,0,MATCH(Y$2,Inputs!$K$4:$AJ$4,0))))=0,NA(),SUMPRODUCT((Inputs!$A$5:$A$140=$B15)*Inputs!$B$5:$B$140*(((Inputs!$G$5:$G$140="moeda")+(Inputs!$G$5:$G$140="acoes"))*Inputs!$B$1+((Inputs!$G$5:$G$140&lt;&gt;"moeda")*(Inputs!$G$5:$G$140&lt;&gt;"acoes")))*INDEX(Inputs!$K$5:$AJ$140,0,MATCH(Y$2,Inputs!$K$4:$AJ$4,0)))+SUMPRODUCT((Inputs!$C$5:$C$140=$B15)*Inputs!$D$5:$D$140*(((Inputs!$G$5:$G$140="moeda")+(Inputs!$G$5:$G$140="acoes"))*Inputs!$B$1+((Inputs!$G$5:$G$140&lt;&gt;"moeda")*(Inputs!$G$5:$G$140&lt;&gt;"acoes")))*INDEX(Inputs!$K$5:$AJ$140,0,MATCH(Y$2,Inputs!$K$4:$AJ$4,0)))+SUMPRODUCT((Inputs!$E$5:$E$140=$B15)*Inputs!$F$5:$F$140*(((Inputs!$G$5:$G$140="moeda")+(Inputs!$G$5:$G$140="acoes"))*Inputs!$B$1+((Inputs!$G$5:$G$140&lt;&gt;"moeda")*(Inputs!$G$5:$G$140&lt;&gt;"acoes")))*INDEX(Inputs!$K$5:$AJ$140,0,MATCH(Y$2,Inputs!$K$4:$AJ$4,0)))))</f>
        <v>1027.823</v>
      </c>
      <c r="Z15" s="6">
        <f>IF(ISNA(MATCH(Z$2,Inputs!$K$4:$AJ$4,0)),NA(),IF(SUMPRODUCT((Inputs!$A$5:$A$140=$B15)*ISNUMBER(INDEX(Inputs!$K$5:$AJ$140,0,MATCH(Z$2,Inputs!$K$4:$AJ$4,0))))+SUMPRODUCT((Inputs!$C$5:$C$140=$B15)*ISNUMBER(INDEX(Inputs!$K$5:$AJ$140,0,MATCH(Z$2,Inputs!$K$4:$AJ$4,0))))+SUMPRODUCT((Inputs!$E$5:$E$140=$B15)*ISNUMBER(INDEX(Inputs!$K$5:$AJ$140,0,MATCH(Z$2,Inputs!$K$4:$AJ$4,0))))=0,NA(),SUMPRODUCT((Inputs!$A$5:$A$140=$B15)*Inputs!$B$5:$B$140*(((Inputs!$G$5:$G$140="moeda")+(Inputs!$G$5:$G$140="acoes"))*Inputs!$B$1+((Inputs!$G$5:$G$140&lt;&gt;"moeda")*(Inputs!$G$5:$G$140&lt;&gt;"acoes")))*INDEX(Inputs!$K$5:$AJ$140,0,MATCH(Z$2,Inputs!$K$4:$AJ$4,0)))+SUMPRODUCT((Inputs!$C$5:$C$140=$B15)*Inputs!$D$5:$D$140*(((Inputs!$G$5:$G$140="moeda")+(Inputs!$G$5:$G$140="acoes"))*Inputs!$B$1+((Inputs!$G$5:$G$140&lt;&gt;"moeda")*(Inputs!$G$5:$G$140&lt;&gt;"acoes")))*INDEX(Inputs!$K$5:$AJ$140,0,MATCH(Z$2,Inputs!$K$4:$AJ$4,0)))+SUMPRODUCT((Inputs!$E$5:$E$140=$B15)*Inputs!$F$5:$F$140*(((Inputs!$G$5:$G$140="moeda")+(Inputs!$G$5:$G$140="acoes"))*Inputs!$B$1+((Inputs!$G$5:$G$140&lt;&gt;"moeda")*(Inputs!$G$5:$G$140&lt;&gt;"acoes")))*INDEX(Inputs!$K$5:$AJ$140,0,MATCH(Z$2,Inputs!$K$4:$AJ$4,0)))))</f>
        <v>1182.939</v>
      </c>
      <c r="AA15" s="6">
        <f>IF(ISNA(MATCH(AA$2,Inputs!$K$4:$AJ$4,0)),NA(),IF(SUMPRODUCT((Inputs!$A$5:$A$140=$B15)*ISNUMBER(INDEX(Inputs!$K$5:$AJ$140,0,MATCH(AA$2,Inputs!$K$4:$AJ$4,0))))+SUMPRODUCT((Inputs!$C$5:$C$140=$B15)*ISNUMBER(INDEX(Inputs!$K$5:$AJ$140,0,MATCH(AA$2,Inputs!$K$4:$AJ$4,0))))+SUMPRODUCT((Inputs!$E$5:$E$140=$B15)*ISNUMBER(INDEX(Inputs!$K$5:$AJ$140,0,MATCH(AA$2,Inputs!$K$4:$AJ$4,0))))=0,NA(),SUMPRODUCT((Inputs!$A$5:$A$140=$B15)*Inputs!$B$5:$B$140*(((Inputs!$G$5:$G$140="moeda")+(Inputs!$G$5:$G$140="acoes"))*Inputs!$B$1+((Inputs!$G$5:$G$140&lt;&gt;"moeda")*(Inputs!$G$5:$G$140&lt;&gt;"acoes")))*INDEX(Inputs!$K$5:$AJ$140,0,MATCH(AA$2,Inputs!$K$4:$AJ$4,0)))+SUMPRODUCT((Inputs!$C$5:$C$140=$B15)*Inputs!$D$5:$D$140*(((Inputs!$G$5:$G$140="moeda")+(Inputs!$G$5:$G$140="acoes"))*Inputs!$B$1+((Inputs!$G$5:$G$140&lt;&gt;"moeda")*(Inputs!$G$5:$G$140&lt;&gt;"acoes")))*INDEX(Inputs!$K$5:$AJ$140,0,MATCH(AA$2,Inputs!$K$4:$AJ$4,0)))+SUMPRODUCT((Inputs!$E$5:$E$140=$B15)*Inputs!$F$5:$F$140*(((Inputs!$G$5:$G$140="moeda")+(Inputs!$G$5:$G$140="acoes"))*Inputs!$B$1+((Inputs!$G$5:$G$140&lt;&gt;"moeda")*(Inputs!$G$5:$G$140&lt;&gt;"acoes")))*INDEX(Inputs!$K$5:$AJ$140,0,MATCH(AA$2,Inputs!$K$4:$AJ$4,0)))))</f>
        <v>1801.712</v>
      </c>
      <c r="AB15" s="3">
        <f>AA15</f>
        <v>1801.712</v>
      </c>
      <c r="AC15" s="6">
        <f>IF(ISNA(MATCH(AC$2,Inputs!$K$4:$AJ$4,0)),NA(),IF(SUMPRODUCT((Inputs!$A$5:$A$140=$B15)*ISNUMBER(INDEX(Inputs!$K$5:$AJ$140,0,MATCH(AC$2,Inputs!$K$4:$AJ$4,0))))+SUMPRODUCT((Inputs!$C$5:$C$140=$B15)*ISNUMBER(INDEX(Inputs!$K$5:$AJ$140,0,MATCH(AC$2,Inputs!$K$4:$AJ$4,0))))+SUMPRODUCT((Inputs!$E$5:$E$140=$B15)*ISNUMBER(INDEX(Inputs!$K$5:$AJ$140,0,MATCH(AC$2,Inputs!$K$4:$AJ$4,0))))=0,NA(),SUMPRODUCT((Inputs!$A$5:$A$140=$B15)*Inputs!$B$5:$B$140*(((Inputs!$G$5:$G$140="moeda")+(Inputs!$G$5:$G$140="acoes"))*Inputs!$B$1+((Inputs!$G$5:$G$140&lt;&gt;"moeda")*(Inputs!$G$5:$G$140&lt;&gt;"acoes")))*INDEX(Inputs!$K$5:$AJ$140,0,MATCH(AC$2,Inputs!$K$4:$AJ$4,0)))+SUMPRODUCT((Inputs!$C$5:$C$140=$B15)*Inputs!$D$5:$D$140*(((Inputs!$G$5:$G$140="moeda")+(Inputs!$G$5:$G$140="acoes"))*Inputs!$B$1+((Inputs!$G$5:$G$140&lt;&gt;"moeda")*(Inputs!$G$5:$G$140&lt;&gt;"acoes")))*INDEX(Inputs!$K$5:$AJ$140,0,MATCH(AC$2,Inputs!$K$4:$AJ$4,0)))+SUMPRODUCT((Inputs!$E$5:$E$140=$B15)*Inputs!$F$5:$F$140*(((Inputs!$G$5:$G$140="moeda")+(Inputs!$G$5:$G$140="acoes"))*Inputs!$B$1+((Inputs!$G$5:$G$140&lt;&gt;"moeda")*(Inputs!$G$5:$G$140&lt;&gt;"acoes")))*INDEX(Inputs!$K$5:$AJ$140,0,MATCH(AC$2,Inputs!$K$4:$AJ$4,0)))))</f>
        <v>1984.238</v>
      </c>
      <c r="AD15" s="6">
        <f>IF(ISNA(MATCH(AD$2,Inputs!$K$4:$AJ$4,0)),NA(),IF(SUMPRODUCT((Inputs!$A$5:$A$140=$B15)*ISNUMBER(INDEX(Inputs!$K$5:$AJ$140,0,MATCH(AD$2,Inputs!$K$4:$AJ$4,0))))+SUMPRODUCT((Inputs!$C$5:$C$140=$B15)*ISNUMBER(INDEX(Inputs!$K$5:$AJ$140,0,MATCH(AD$2,Inputs!$K$4:$AJ$4,0))))+SUMPRODUCT((Inputs!$E$5:$E$140=$B15)*ISNUMBER(INDEX(Inputs!$K$5:$AJ$140,0,MATCH(AD$2,Inputs!$K$4:$AJ$4,0))))=0,NA(),SUMPRODUCT((Inputs!$A$5:$A$140=$B15)*Inputs!$B$5:$B$140*(((Inputs!$G$5:$G$140="moeda")+(Inputs!$G$5:$G$140="acoes"))*Inputs!$B$1+((Inputs!$G$5:$G$140&lt;&gt;"moeda")*(Inputs!$G$5:$G$140&lt;&gt;"acoes")))*INDEX(Inputs!$K$5:$AJ$140,0,MATCH(AD$2,Inputs!$K$4:$AJ$4,0)))+SUMPRODUCT((Inputs!$C$5:$C$140=$B15)*Inputs!$D$5:$D$140*(((Inputs!$G$5:$G$140="moeda")+(Inputs!$G$5:$G$140="acoes"))*Inputs!$B$1+((Inputs!$G$5:$G$140&lt;&gt;"moeda")*(Inputs!$G$5:$G$140&lt;&gt;"acoes")))*INDEX(Inputs!$K$5:$AJ$140,0,MATCH(AD$2,Inputs!$K$4:$AJ$4,0)))+SUMPRODUCT((Inputs!$E$5:$E$140=$B15)*Inputs!$F$5:$F$140*(((Inputs!$G$5:$G$140="moeda")+(Inputs!$G$5:$G$140="acoes"))*Inputs!$B$1+((Inputs!$G$5:$G$140&lt;&gt;"moeda")*(Inputs!$G$5:$G$140&lt;&gt;"acoes")))*INDEX(Inputs!$K$5:$AJ$140,0,MATCH(AD$2,Inputs!$K$4:$AJ$4,0)))))</f>
        <v>1631.59</v>
      </c>
      <c r="AE15" s="6" t="e">
        <f>IF(ISNA(MATCH(AE$2,Inputs!$K$4:$AJ$4,0)),NA(),IF(SUMPRODUCT((Inputs!$A$5:$A$140=$B15)*ISNUMBER(INDEX(Inputs!$K$5:$AJ$140,0,MATCH(AE$2,Inputs!$K$4:$AJ$4,0))))+SUMPRODUCT((Inputs!$C$5:$C$140=$B15)*ISNUMBER(INDEX(Inputs!$K$5:$AJ$140,0,MATCH(AE$2,Inputs!$K$4:$AJ$4,0))))+SUMPRODUCT((Inputs!$E$5:$E$140=$B15)*ISNUMBER(INDEX(Inputs!$K$5:$AJ$140,0,MATCH(AE$2,Inputs!$K$4:$AJ$4,0))))=0,NA(),SUMPRODUCT((Inputs!$A$5:$A$140=$B15)*Inputs!$B$5:$B$140*(((Inputs!$G$5:$G$140="moeda")+(Inputs!$G$5:$G$140="acoes"))*Inputs!$B$1+((Inputs!$G$5:$G$140&lt;&gt;"moeda")*(Inputs!$G$5:$G$140&lt;&gt;"acoes")))*INDEX(Inputs!$K$5:$AJ$140,0,MATCH(AE$2,Inputs!$K$4:$AJ$4,0)))+SUMPRODUCT((Inputs!$C$5:$C$140=$B15)*Inputs!$D$5:$D$140*(((Inputs!$G$5:$G$140="moeda")+(Inputs!$G$5:$G$140="acoes"))*Inputs!$B$1+((Inputs!$G$5:$G$140&lt;&gt;"moeda")*(Inputs!$G$5:$G$140&lt;&gt;"acoes")))*INDEX(Inputs!$K$5:$AJ$140,0,MATCH(AE$2,Inputs!$K$4:$AJ$4,0)))+SUMPRODUCT((Inputs!$E$5:$E$140=$B15)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5" s="6" t="e">
        <f>IF(ISNA(MATCH(AF$2,Inputs!$K$4:$AJ$4,0)),NA(),IF(SUMPRODUCT((Inputs!$A$5:$A$140=$B15)*ISNUMBER(INDEX(Inputs!$K$5:$AJ$140,0,MATCH(AF$2,Inputs!$K$4:$AJ$4,0))))+SUMPRODUCT((Inputs!$C$5:$C$140=$B15)*ISNUMBER(INDEX(Inputs!$K$5:$AJ$140,0,MATCH(AF$2,Inputs!$K$4:$AJ$4,0))))+SUMPRODUCT((Inputs!$E$5:$E$140=$B15)*ISNUMBER(INDEX(Inputs!$K$5:$AJ$140,0,MATCH(AF$2,Inputs!$K$4:$AJ$4,0))))=0,NA(),SUMPRODUCT((Inputs!$A$5:$A$140=$B15)*Inputs!$B$5:$B$140*(((Inputs!$G$5:$G$140="moeda")+(Inputs!$G$5:$G$140="acoes"))*Inputs!$B$1+((Inputs!$G$5:$G$140&lt;&gt;"moeda")*(Inputs!$G$5:$G$140&lt;&gt;"acoes")))*INDEX(Inputs!$K$5:$AJ$140,0,MATCH(AF$2,Inputs!$K$4:$AJ$4,0)))+SUMPRODUCT((Inputs!$C$5:$C$140=$B15)*Inputs!$D$5:$D$140*(((Inputs!$G$5:$G$140="moeda")+(Inputs!$G$5:$G$140="acoes"))*Inputs!$B$1+((Inputs!$G$5:$G$140&lt;&gt;"moeda")*(Inputs!$G$5:$G$140&lt;&gt;"acoes")))*INDEX(Inputs!$K$5:$AJ$140,0,MATCH(AF$2,Inputs!$K$4:$AJ$4,0)))+SUMPRODUCT((Inputs!$E$5:$E$140=$B15)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5" s="3" t="e">
        <f>AF15</f>
        <v>#N/A</v>
      </c>
      <c r="AH15" s="6" t="e">
        <f>IF(ISNA(MATCH(AH$2,Inputs!$K$4:$AJ$4,0)),NA(),IF(SUMPRODUCT((Inputs!$A$5:$A$140=$B15)*ISNUMBER(INDEX(Inputs!$K$5:$AJ$140,0,MATCH(AH$2,Inputs!$K$4:$AJ$4,0))))+SUMPRODUCT((Inputs!$C$5:$C$140=$B15)*ISNUMBER(INDEX(Inputs!$K$5:$AJ$140,0,MATCH(AH$2,Inputs!$K$4:$AJ$4,0))))+SUMPRODUCT((Inputs!$E$5:$E$140=$B15)*ISNUMBER(INDEX(Inputs!$K$5:$AJ$140,0,MATCH(AH$2,Inputs!$K$4:$AJ$4,0))))=0,NA(),SUMPRODUCT((Inputs!$A$5:$A$140=$B15)*Inputs!$B$5:$B$140*(((Inputs!$G$5:$G$140="moeda")+(Inputs!$G$5:$G$140="acoes"))*Inputs!$B$1+((Inputs!$G$5:$G$140&lt;&gt;"moeda")*(Inputs!$G$5:$G$140&lt;&gt;"acoes")))*INDEX(Inputs!$K$5:$AJ$140,0,MATCH(AH$2,Inputs!$K$4:$AJ$4,0)))+SUMPRODUCT((Inputs!$C$5:$C$140=$B15)*Inputs!$D$5:$D$140*(((Inputs!$G$5:$G$140="moeda")+(Inputs!$G$5:$G$140="acoes"))*Inputs!$B$1+((Inputs!$G$5:$G$140&lt;&gt;"moeda")*(Inputs!$G$5:$G$140&lt;&gt;"acoes")))*INDEX(Inputs!$K$5:$AJ$140,0,MATCH(AH$2,Inputs!$K$4:$AJ$4,0)))+SUMPRODUCT((Inputs!$E$5:$E$140=$B15)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5" s="6">
        <f>IF(ISNA(MATCH(AI$2,Inputs!$K$4:$AJ$4,0)),NA(),IF(SUMPRODUCT((Inputs!$A$5:$A$140=$B15)*ISNUMBER(INDEX(Inputs!$K$5:$AJ$140,0,MATCH(AI$2,Inputs!$K$4:$AJ$4,0))))+SUMPRODUCT((Inputs!$C$5:$C$140=$B15)*ISNUMBER(INDEX(Inputs!$K$5:$AJ$140,0,MATCH(AI$2,Inputs!$K$4:$AJ$4,0))))+SUMPRODUCT((Inputs!$E$5:$E$140=$B15)*ISNUMBER(INDEX(Inputs!$K$5:$AJ$140,0,MATCH(AI$2,Inputs!$K$4:$AJ$4,0))))=0,NA(),SUMPRODUCT((Inputs!$A$5:$A$140=$B15)*Inputs!$B$5:$B$140*(((Inputs!$G$5:$G$140="moeda")+(Inputs!$G$5:$G$140="acoes"))*Inputs!$B$1+((Inputs!$G$5:$G$140&lt;&gt;"moeda")*(Inputs!$G$5:$G$140&lt;&gt;"acoes")))*INDEX(Inputs!$K$5:$AJ$140,0,MATCH(AI$2,Inputs!$K$4:$AJ$4,0)))+SUMPRODUCT((Inputs!$C$5:$C$140=$B15)*Inputs!$D$5:$D$140*(((Inputs!$G$5:$G$140="moeda")+(Inputs!$G$5:$G$140="acoes"))*Inputs!$B$1+((Inputs!$G$5:$G$140&lt;&gt;"moeda")*(Inputs!$G$5:$G$140&lt;&gt;"acoes")))*INDEX(Inputs!$K$5:$AJ$140,0,MATCH(AI$2,Inputs!$K$4:$AJ$4,0)))+SUMPRODUCT((Inputs!$E$5:$E$140=$B15)*Inputs!$F$5:$F$140*(((Inputs!$G$5:$G$140="moeda")+(Inputs!$G$5:$G$140="acoes"))*Inputs!$B$1+((Inputs!$G$5:$G$140&lt;&gt;"moeda")*(Inputs!$G$5:$G$140&lt;&gt;"acoes")))*INDEX(Inputs!$K$5:$AJ$140,0,MATCH(AI$2,Inputs!$K$4:$AJ$4,0)))))</f>
        <v>958.729</v>
      </c>
      <c r="AJ15" s="6">
        <f>IF(ISNA(MATCH(AJ$2,Inputs!$K$4:$AJ$4,0)),NA(),IF(SUMPRODUCT((Inputs!$A$5:$A$140=$B15)*ISNUMBER(INDEX(Inputs!$K$5:$AJ$140,0,MATCH(AJ$2,Inputs!$K$4:$AJ$4,0))))+SUMPRODUCT((Inputs!$C$5:$C$140=$B15)*ISNUMBER(INDEX(Inputs!$K$5:$AJ$140,0,MATCH(AJ$2,Inputs!$K$4:$AJ$4,0))))+SUMPRODUCT((Inputs!$E$5:$E$140=$B15)*ISNUMBER(INDEX(Inputs!$K$5:$AJ$140,0,MATCH(AJ$2,Inputs!$K$4:$AJ$4,0))))=0,NA(),SUMPRODUCT((Inputs!$A$5:$A$140=$B15)*Inputs!$B$5:$B$140*(((Inputs!$G$5:$G$140="moeda")+(Inputs!$G$5:$G$140="acoes"))*Inputs!$B$1+((Inputs!$G$5:$G$140&lt;&gt;"moeda")*(Inputs!$G$5:$G$140&lt;&gt;"acoes")))*INDEX(Inputs!$K$5:$AJ$140,0,MATCH(AJ$2,Inputs!$K$4:$AJ$4,0)))+SUMPRODUCT((Inputs!$C$5:$C$140=$B15)*Inputs!$D$5:$D$140*(((Inputs!$G$5:$G$140="moeda")+(Inputs!$G$5:$G$140="acoes"))*Inputs!$B$1+((Inputs!$G$5:$G$140&lt;&gt;"moeda")*(Inputs!$G$5:$G$140&lt;&gt;"acoes")))*INDEX(Inputs!$K$5:$AJ$140,0,MATCH(AJ$2,Inputs!$K$4:$AJ$4,0)))+SUMPRODUCT((Inputs!$E$5:$E$140=$B15)*Inputs!$F$5:$F$140*(((Inputs!$G$5:$G$140="moeda")+(Inputs!$G$5:$G$140="acoes"))*Inputs!$B$1+((Inputs!$G$5:$G$140&lt;&gt;"moeda")*(Inputs!$G$5:$G$140&lt;&gt;"acoes")))*INDEX(Inputs!$K$5:$AJ$140,0,MATCH(AJ$2,Inputs!$K$4:$AJ$4,0)))))</f>
        <v>816.91607241</v>
      </c>
      <c r="AK15" s="6">
        <f>IF(ISNA(MATCH(AK$2,Inputs!$K$4:$AJ$4,0)),NA(),IF(SUMPRODUCT((Inputs!$A$5:$A$140=$B15)*ISNUMBER(INDEX(Inputs!$K$5:$AJ$140,0,MATCH(AK$2,Inputs!$K$4:$AJ$4,0))))+SUMPRODUCT((Inputs!$C$5:$C$140=$B15)*ISNUMBER(INDEX(Inputs!$K$5:$AJ$140,0,MATCH(AK$2,Inputs!$K$4:$AJ$4,0))))+SUMPRODUCT((Inputs!$E$5:$E$140=$B15)*ISNUMBER(INDEX(Inputs!$K$5:$AJ$140,0,MATCH(AK$2,Inputs!$K$4:$AJ$4,0))))=0,NA(),SUMPRODUCT((Inputs!$A$5:$A$140=$B15)*Inputs!$B$5:$B$140*(((Inputs!$G$5:$G$140="moeda")+(Inputs!$G$5:$G$140="acoes"))*Inputs!$B$1+((Inputs!$G$5:$G$140&lt;&gt;"moeda")*(Inputs!$G$5:$G$140&lt;&gt;"acoes")))*INDEX(Inputs!$K$5:$AJ$140,0,MATCH(AK$2,Inputs!$K$4:$AJ$4,0)))+SUMPRODUCT((Inputs!$C$5:$C$140=$B15)*Inputs!$D$5:$D$140*(((Inputs!$G$5:$G$140="moeda")+(Inputs!$G$5:$G$140="acoes"))*Inputs!$B$1+((Inputs!$G$5:$G$140&lt;&gt;"moeda")*(Inputs!$G$5:$G$140&lt;&gt;"acoes")))*INDEX(Inputs!$K$5:$AJ$140,0,MATCH(AK$2,Inputs!$K$4:$AJ$4,0)))+SUMPRODUCT((Inputs!$E$5:$E$140=$B15)*Inputs!$F$5:$F$140*(((Inputs!$G$5:$G$140="moeda")+(Inputs!$G$5:$G$140="acoes"))*Inputs!$B$1+((Inputs!$G$5:$G$140&lt;&gt;"moeda")*(Inputs!$G$5:$G$140&lt;&gt;"acoes")))*INDEX(Inputs!$K$5:$AJ$140,0,MATCH(AK$2,Inputs!$K$4:$AJ$4,0)))))</f>
        <v>2127.35010725</v>
      </c>
      <c r="AL15" s="3">
        <f>AK15</f>
        <v>2127.35010725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$140=$B16)*ISNUMBER(INDEX(Inputs!$K$5:$AJ$140,0,MATCH(D$2,Inputs!$K$4:$AJ$4,0))))+SUMPRODUCT((Inputs!$C$5:$C$140=$B16)*ISNUMBER(INDEX(Inputs!$K$5:$AJ$140,0,MATCH(D$2,Inputs!$K$4:$AJ$4,0))))+SUMPRODUCT((Inputs!$E$5:$E$140=$B16)*ISNUMBER(INDEX(Inputs!$K$5:$AJ$140,0,MATCH(D$2,Inputs!$K$4:$AJ$4,0))))=0,NA(),SUMPRODUCT((Inputs!$A$5:$A$140=$B16)*Inputs!$B$5:$B$140*(((Inputs!$G$5:$G$140="moeda")+(Inputs!$G$5:$G$140="acoes"))*Inputs!$B$1+((Inputs!$G$5:$G$140&lt;&gt;"moeda")*(Inputs!$G$5:$G$140&lt;&gt;"acoes")))*INDEX(Inputs!$K$5:$AJ$140,0,MATCH(D$2,Inputs!$K$4:$AJ$4,0)))+SUMPRODUCT((Inputs!$C$5:$C$140=$B16)*Inputs!$D$5:$D$140*(((Inputs!$G$5:$G$140="moeda")+(Inputs!$G$5:$G$140="acoes"))*Inputs!$B$1+((Inputs!$G$5:$G$140&lt;&gt;"moeda")*(Inputs!$G$5:$G$140&lt;&gt;"acoes")))*INDEX(Inputs!$K$5:$AJ$140,0,MATCH(D$2,Inputs!$K$4:$AJ$4,0)))+SUMPRODUCT((Inputs!$E$5:$E$140=$B16)*Inputs!$F$5:$F$140*(((Inputs!$G$5:$G$140="moeda")+(Inputs!$G$5:$G$140="acoes"))*Inputs!$B$1+((Inputs!$G$5:$G$140&lt;&gt;"moeda")*(Inputs!$G$5:$G$140&lt;&gt;"acoes")))*INDEX(Inputs!$K$5:$AJ$140,0,MATCH(D$2,Inputs!$K$4:$AJ$4,0)))))</f>
        <v>1277.83393346995</v>
      </c>
      <c r="E16" s="6">
        <f>IF(ISNA(MATCH(E$2,Inputs!$K$4:$AJ$4,0)),NA(),IF(SUMPRODUCT((Inputs!$A$5:$A$140=$B16)*ISNUMBER(INDEX(Inputs!$K$5:$AJ$140,0,MATCH(E$2,Inputs!$K$4:$AJ$4,0))))+SUMPRODUCT((Inputs!$C$5:$C$140=$B16)*ISNUMBER(INDEX(Inputs!$K$5:$AJ$140,0,MATCH(E$2,Inputs!$K$4:$AJ$4,0))))+SUMPRODUCT((Inputs!$E$5:$E$140=$B16)*ISNUMBER(INDEX(Inputs!$K$5:$AJ$140,0,MATCH(E$2,Inputs!$K$4:$AJ$4,0))))=0,NA(),SUMPRODUCT((Inputs!$A$5:$A$140=$B16)*Inputs!$B$5:$B$140*(((Inputs!$G$5:$G$140="moeda")+(Inputs!$G$5:$G$140="acoes"))*Inputs!$B$1+((Inputs!$G$5:$G$140&lt;&gt;"moeda")*(Inputs!$G$5:$G$140&lt;&gt;"acoes")))*INDEX(Inputs!$K$5:$AJ$140,0,MATCH(E$2,Inputs!$K$4:$AJ$4,0)))+SUMPRODUCT((Inputs!$C$5:$C$140=$B16)*Inputs!$D$5:$D$140*(((Inputs!$G$5:$G$140="moeda")+(Inputs!$G$5:$G$140="acoes"))*Inputs!$B$1+((Inputs!$G$5:$G$140&lt;&gt;"moeda")*(Inputs!$G$5:$G$140&lt;&gt;"acoes")))*INDEX(Inputs!$K$5:$AJ$140,0,MATCH(E$2,Inputs!$K$4:$AJ$4,0)))+SUMPRODUCT((Inputs!$E$5:$E$140=$B16)*Inputs!$F$5:$F$140*(((Inputs!$G$5:$G$140="moeda")+(Inputs!$G$5:$G$140="acoes"))*Inputs!$B$1+((Inputs!$G$5:$G$140&lt;&gt;"moeda")*(Inputs!$G$5:$G$140&lt;&gt;"acoes")))*INDEX(Inputs!$K$5:$AJ$140,0,MATCH(E$2,Inputs!$K$4:$AJ$4,0)))))</f>
        <v>1462.5415939301</v>
      </c>
      <c r="F16" s="6">
        <f>IF(ISNA(MATCH(F$2,Inputs!$K$4:$AJ$4,0)),NA(),IF(SUMPRODUCT((Inputs!$A$5:$A$140=$B16)*ISNUMBER(INDEX(Inputs!$K$5:$AJ$140,0,MATCH(F$2,Inputs!$K$4:$AJ$4,0))))+SUMPRODUCT((Inputs!$C$5:$C$140=$B16)*ISNUMBER(INDEX(Inputs!$K$5:$AJ$140,0,MATCH(F$2,Inputs!$K$4:$AJ$4,0))))+SUMPRODUCT((Inputs!$E$5:$E$140=$B16)*ISNUMBER(INDEX(Inputs!$K$5:$AJ$140,0,MATCH(F$2,Inputs!$K$4:$AJ$4,0))))=0,NA(),SUMPRODUCT((Inputs!$A$5:$A$140=$B16)*Inputs!$B$5:$B$140*(((Inputs!$G$5:$G$140="moeda")+(Inputs!$G$5:$G$140="acoes"))*Inputs!$B$1+((Inputs!$G$5:$G$140&lt;&gt;"moeda")*(Inputs!$G$5:$G$140&lt;&gt;"acoes")))*INDEX(Inputs!$K$5:$AJ$140,0,MATCH(F$2,Inputs!$K$4:$AJ$4,0)))+SUMPRODUCT((Inputs!$C$5:$C$140=$B16)*Inputs!$D$5:$D$140*(((Inputs!$G$5:$G$140="moeda")+(Inputs!$G$5:$G$140="acoes"))*Inputs!$B$1+((Inputs!$G$5:$G$140&lt;&gt;"moeda")*(Inputs!$G$5:$G$140&lt;&gt;"acoes")))*INDEX(Inputs!$K$5:$AJ$140,0,MATCH(F$2,Inputs!$K$4:$AJ$4,0)))+SUMPRODUCT((Inputs!$E$5:$E$140=$B16)*Inputs!$F$5:$F$140*(((Inputs!$G$5:$G$140="moeda")+(Inputs!$G$5:$G$140="acoes"))*Inputs!$B$1+((Inputs!$G$5:$G$140&lt;&gt;"moeda")*(Inputs!$G$5:$G$140&lt;&gt;"acoes")))*INDEX(Inputs!$K$5:$AJ$140,0,MATCH(F$2,Inputs!$K$4:$AJ$4,0)))))</f>
        <v>1544.314</v>
      </c>
      <c r="G16" s="6">
        <f>IF(ISNA(MATCH(G$2,Inputs!$K$4:$AJ$4,0)),NA(),IF(SUMPRODUCT((Inputs!$A$5:$A$140=$B16)*ISNUMBER(INDEX(Inputs!$K$5:$AJ$140,0,MATCH(G$2,Inputs!$K$4:$AJ$4,0))))+SUMPRODUCT((Inputs!$C$5:$C$140=$B16)*ISNUMBER(INDEX(Inputs!$K$5:$AJ$140,0,MATCH(G$2,Inputs!$K$4:$AJ$4,0))))+SUMPRODUCT((Inputs!$E$5:$E$140=$B16)*ISNUMBER(INDEX(Inputs!$K$5:$AJ$140,0,MATCH(G$2,Inputs!$K$4:$AJ$4,0))))=0,NA(),SUMPRODUCT((Inputs!$A$5:$A$140=$B16)*Inputs!$B$5:$B$140*(((Inputs!$G$5:$G$140="moeda")+(Inputs!$G$5:$G$140="acoes"))*Inputs!$B$1+((Inputs!$G$5:$G$140&lt;&gt;"moeda")*(Inputs!$G$5:$G$140&lt;&gt;"acoes")))*INDEX(Inputs!$K$5:$AJ$140,0,MATCH(G$2,Inputs!$K$4:$AJ$4,0)))+SUMPRODUCT((Inputs!$C$5:$C$140=$B16)*Inputs!$D$5:$D$140*(((Inputs!$G$5:$G$140="moeda")+(Inputs!$G$5:$G$140="acoes"))*Inputs!$B$1+((Inputs!$G$5:$G$140&lt;&gt;"moeda")*(Inputs!$G$5:$G$140&lt;&gt;"acoes")))*INDEX(Inputs!$K$5:$AJ$140,0,MATCH(G$2,Inputs!$K$4:$AJ$4,0)))+SUMPRODUCT((Inputs!$E$5:$E$140=$B16)*Inputs!$F$5:$F$140*(((Inputs!$G$5:$G$140="moeda")+(Inputs!$G$5:$G$140="acoes"))*Inputs!$B$1+((Inputs!$G$5:$G$140&lt;&gt;"moeda")*(Inputs!$G$5:$G$140&lt;&gt;"acoes")))*INDEX(Inputs!$K$5:$AJ$140,0,MATCH(G$2,Inputs!$K$4:$AJ$4,0)))))</f>
        <v>1816.264</v>
      </c>
      <c r="H16" s="3">
        <f>G16</f>
        <v>1816.264</v>
      </c>
      <c r="I16" s="6">
        <f>IF(ISNA(MATCH(I$2,Inputs!$K$4:$AJ$4,0)),NA(),IF(SUMPRODUCT((Inputs!$A$5:$A$140=$B16)*ISNUMBER(INDEX(Inputs!$K$5:$AJ$140,0,MATCH(I$2,Inputs!$K$4:$AJ$4,0))))+SUMPRODUCT((Inputs!$C$5:$C$140=$B16)*ISNUMBER(INDEX(Inputs!$K$5:$AJ$140,0,MATCH(I$2,Inputs!$K$4:$AJ$4,0))))+SUMPRODUCT((Inputs!$E$5:$E$140=$B16)*ISNUMBER(INDEX(Inputs!$K$5:$AJ$140,0,MATCH(I$2,Inputs!$K$4:$AJ$4,0))))=0,NA(),SUMPRODUCT((Inputs!$A$5:$A$140=$B16)*Inputs!$B$5:$B$140*(((Inputs!$G$5:$G$140="moeda")+(Inputs!$G$5:$G$140="acoes"))*Inputs!$B$1+((Inputs!$G$5:$G$140&lt;&gt;"moeda")*(Inputs!$G$5:$G$140&lt;&gt;"acoes")))*INDEX(Inputs!$K$5:$AJ$140,0,MATCH(I$2,Inputs!$K$4:$AJ$4,0)))+SUMPRODUCT((Inputs!$C$5:$C$140=$B16)*Inputs!$D$5:$D$140*(((Inputs!$G$5:$G$140="moeda")+(Inputs!$G$5:$G$140="acoes"))*Inputs!$B$1+((Inputs!$G$5:$G$140&lt;&gt;"moeda")*(Inputs!$G$5:$G$140&lt;&gt;"acoes")))*INDEX(Inputs!$K$5:$AJ$140,0,MATCH(I$2,Inputs!$K$4:$AJ$4,0)))+SUMPRODUCT((Inputs!$E$5:$E$140=$B16)*Inputs!$F$5:$F$140*(((Inputs!$G$5:$G$140="moeda")+(Inputs!$G$5:$G$140="acoes"))*Inputs!$B$1+((Inputs!$G$5:$G$140&lt;&gt;"moeda")*(Inputs!$G$5:$G$140&lt;&gt;"acoes")))*INDEX(Inputs!$K$5:$AJ$140,0,MATCH(I$2,Inputs!$K$4:$AJ$4,0)))))</f>
        <v>1872.825</v>
      </c>
      <c r="J16" s="6">
        <f>IF(ISNA(MATCH(J$2,Inputs!$K$4:$AJ$4,0)),NA(),IF(SUMPRODUCT((Inputs!$A$5:$A$140=$B16)*ISNUMBER(INDEX(Inputs!$K$5:$AJ$140,0,MATCH(J$2,Inputs!$K$4:$AJ$4,0))))+SUMPRODUCT((Inputs!$C$5:$C$140=$B16)*ISNUMBER(INDEX(Inputs!$K$5:$AJ$140,0,MATCH(J$2,Inputs!$K$4:$AJ$4,0))))+SUMPRODUCT((Inputs!$E$5:$E$140=$B16)*ISNUMBER(INDEX(Inputs!$K$5:$AJ$140,0,MATCH(J$2,Inputs!$K$4:$AJ$4,0))))=0,NA(),SUMPRODUCT((Inputs!$A$5:$A$140=$B16)*Inputs!$B$5:$B$140*(((Inputs!$G$5:$G$140="moeda")+(Inputs!$G$5:$G$140="acoes"))*Inputs!$B$1+((Inputs!$G$5:$G$140&lt;&gt;"moeda")*(Inputs!$G$5:$G$140&lt;&gt;"acoes")))*INDEX(Inputs!$K$5:$AJ$140,0,MATCH(J$2,Inputs!$K$4:$AJ$4,0)))+SUMPRODUCT((Inputs!$C$5:$C$140=$B16)*Inputs!$D$5:$D$140*(((Inputs!$G$5:$G$140="moeda")+(Inputs!$G$5:$G$140="acoes"))*Inputs!$B$1+((Inputs!$G$5:$G$140&lt;&gt;"moeda")*(Inputs!$G$5:$G$140&lt;&gt;"acoes")))*INDEX(Inputs!$K$5:$AJ$140,0,MATCH(J$2,Inputs!$K$4:$AJ$4,0)))+SUMPRODUCT((Inputs!$E$5:$E$140=$B16)*Inputs!$F$5:$F$140*(((Inputs!$G$5:$G$140="moeda")+(Inputs!$G$5:$G$140="acoes"))*Inputs!$B$1+((Inputs!$G$5:$G$140&lt;&gt;"moeda")*(Inputs!$G$5:$G$140&lt;&gt;"acoes")))*INDEX(Inputs!$K$5:$AJ$140,0,MATCH(J$2,Inputs!$K$4:$AJ$4,0)))))</f>
        <v>2080.07644904</v>
      </c>
      <c r="K16" s="6">
        <f>IF(ISNA(MATCH(K$2,Inputs!$K$4:$AJ$4,0)),NA(),IF(SUMPRODUCT((Inputs!$A$5:$A$140=$B16)*ISNUMBER(INDEX(Inputs!$K$5:$AJ$140,0,MATCH(K$2,Inputs!$K$4:$AJ$4,0))))+SUMPRODUCT((Inputs!$C$5:$C$140=$B16)*ISNUMBER(INDEX(Inputs!$K$5:$AJ$140,0,MATCH(K$2,Inputs!$K$4:$AJ$4,0))))+SUMPRODUCT((Inputs!$E$5:$E$140=$B16)*ISNUMBER(INDEX(Inputs!$K$5:$AJ$140,0,MATCH(K$2,Inputs!$K$4:$AJ$4,0))))=0,NA(),SUMPRODUCT((Inputs!$A$5:$A$140=$B16)*Inputs!$B$5:$B$140*(((Inputs!$G$5:$G$140="moeda")+(Inputs!$G$5:$G$140="acoes"))*Inputs!$B$1+((Inputs!$G$5:$G$140&lt;&gt;"moeda")*(Inputs!$G$5:$G$140&lt;&gt;"acoes")))*INDEX(Inputs!$K$5:$AJ$140,0,MATCH(K$2,Inputs!$K$4:$AJ$4,0)))+SUMPRODUCT((Inputs!$C$5:$C$140=$B16)*Inputs!$D$5:$D$140*(((Inputs!$G$5:$G$140="moeda")+(Inputs!$G$5:$G$140="acoes"))*Inputs!$B$1+((Inputs!$G$5:$G$140&lt;&gt;"moeda")*(Inputs!$G$5:$G$140&lt;&gt;"acoes")))*INDEX(Inputs!$K$5:$AJ$140,0,MATCH(K$2,Inputs!$K$4:$AJ$4,0)))+SUMPRODUCT((Inputs!$E$5:$E$140=$B16)*Inputs!$F$5:$F$140*(((Inputs!$G$5:$G$140="moeda")+(Inputs!$G$5:$G$140="acoes"))*Inputs!$B$1+((Inputs!$G$5:$G$140&lt;&gt;"moeda")*(Inputs!$G$5:$G$140&lt;&gt;"acoes")))*INDEX(Inputs!$K$5:$AJ$140,0,MATCH(K$2,Inputs!$K$4:$AJ$4,0)))))</f>
        <v>2377.34825629</v>
      </c>
      <c r="L16" s="6">
        <f>IF(ISNA(MATCH(L$2,Inputs!$K$4:$AJ$4,0)),NA(),IF(SUMPRODUCT((Inputs!$A$5:$A$140=$B16)*ISNUMBER(INDEX(Inputs!$K$5:$AJ$140,0,MATCH(L$2,Inputs!$K$4:$AJ$4,0))))+SUMPRODUCT((Inputs!$C$5:$C$140=$B16)*ISNUMBER(INDEX(Inputs!$K$5:$AJ$140,0,MATCH(L$2,Inputs!$K$4:$AJ$4,0))))+SUMPRODUCT((Inputs!$E$5:$E$140=$B16)*ISNUMBER(INDEX(Inputs!$K$5:$AJ$140,0,MATCH(L$2,Inputs!$K$4:$AJ$4,0))))=0,NA(),SUMPRODUCT((Inputs!$A$5:$A$140=$B16)*Inputs!$B$5:$B$140*(((Inputs!$G$5:$G$140="moeda")+(Inputs!$G$5:$G$140="acoes"))*Inputs!$B$1+((Inputs!$G$5:$G$140&lt;&gt;"moeda")*(Inputs!$G$5:$G$140&lt;&gt;"acoes")))*INDEX(Inputs!$K$5:$AJ$140,0,MATCH(L$2,Inputs!$K$4:$AJ$4,0)))+SUMPRODUCT((Inputs!$C$5:$C$140=$B16)*Inputs!$D$5:$D$140*(((Inputs!$G$5:$G$140="moeda")+(Inputs!$G$5:$G$140="acoes"))*Inputs!$B$1+((Inputs!$G$5:$G$140&lt;&gt;"moeda")*(Inputs!$G$5:$G$140&lt;&gt;"acoes")))*INDEX(Inputs!$K$5:$AJ$140,0,MATCH(L$2,Inputs!$K$4:$AJ$4,0)))+SUMPRODUCT((Inputs!$E$5:$E$140=$B16)*Inputs!$F$5:$F$140*(((Inputs!$G$5:$G$140="moeda")+(Inputs!$G$5:$G$140="acoes"))*Inputs!$B$1+((Inputs!$G$5:$G$140&lt;&gt;"moeda")*(Inputs!$G$5:$G$140&lt;&gt;"acoes")))*INDEX(Inputs!$K$5:$AJ$140,0,MATCH(L$2,Inputs!$K$4:$AJ$4,0)))))</f>
        <v>2548.25631124</v>
      </c>
      <c r="M16" s="3">
        <f>L16</f>
        <v>2548.25631124</v>
      </c>
      <c r="N16" s="6">
        <f>IF(ISNA(MATCH(N$2,Inputs!$K$4:$AJ$4,0)),NA(),IF(SUMPRODUCT((Inputs!$A$5:$A$140=$B16)*ISNUMBER(INDEX(Inputs!$K$5:$AJ$140,0,MATCH(N$2,Inputs!$K$4:$AJ$4,0))))+SUMPRODUCT((Inputs!$C$5:$C$140=$B16)*ISNUMBER(INDEX(Inputs!$K$5:$AJ$140,0,MATCH(N$2,Inputs!$K$4:$AJ$4,0))))+SUMPRODUCT((Inputs!$E$5:$E$140=$B16)*ISNUMBER(INDEX(Inputs!$K$5:$AJ$140,0,MATCH(N$2,Inputs!$K$4:$AJ$4,0))))=0,NA(),SUMPRODUCT((Inputs!$A$5:$A$140=$B16)*Inputs!$B$5:$B$140*(((Inputs!$G$5:$G$140="moeda")+(Inputs!$G$5:$G$140="acoes"))*Inputs!$B$1+((Inputs!$G$5:$G$140&lt;&gt;"moeda")*(Inputs!$G$5:$G$140&lt;&gt;"acoes")))*INDEX(Inputs!$K$5:$AJ$140,0,MATCH(N$2,Inputs!$K$4:$AJ$4,0)))+SUMPRODUCT((Inputs!$C$5:$C$140=$B16)*Inputs!$D$5:$D$140*(((Inputs!$G$5:$G$140="moeda")+(Inputs!$G$5:$G$140="acoes"))*Inputs!$B$1+((Inputs!$G$5:$G$140&lt;&gt;"moeda")*(Inputs!$G$5:$G$140&lt;&gt;"acoes")))*INDEX(Inputs!$K$5:$AJ$140,0,MATCH(N$2,Inputs!$K$4:$AJ$4,0)))+SUMPRODUCT((Inputs!$E$5:$E$140=$B16)*Inputs!$F$5:$F$140*(((Inputs!$G$5:$G$140="moeda")+(Inputs!$G$5:$G$140="acoes"))*Inputs!$B$1+((Inputs!$G$5:$G$140&lt;&gt;"moeda")*(Inputs!$G$5:$G$140&lt;&gt;"acoes")))*INDEX(Inputs!$K$5:$AJ$140,0,MATCH(N$2,Inputs!$K$4:$AJ$4,0)))))</f>
        <v>2385.04330103</v>
      </c>
      <c r="O16" s="6">
        <f>IF(ISNA(MATCH(O$2,Inputs!$K$4:$AJ$4,0)),NA(),IF(SUMPRODUCT((Inputs!$A$5:$A$140=$B16)*ISNUMBER(INDEX(Inputs!$K$5:$AJ$140,0,MATCH(O$2,Inputs!$K$4:$AJ$4,0))))+SUMPRODUCT((Inputs!$C$5:$C$140=$B16)*ISNUMBER(INDEX(Inputs!$K$5:$AJ$140,0,MATCH(O$2,Inputs!$K$4:$AJ$4,0))))+SUMPRODUCT((Inputs!$E$5:$E$140=$B16)*ISNUMBER(INDEX(Inputs!$K$5:$AJ$140,0,MATCH(O$2,Inputs!$K$4:$AJ$4,0))))=0,NA(),SUMPRODUCT((Inputs!$A$5:$A$140=$B16)*Inputs!$B$5:$B$140*(((Inputs!$G$5:$G$140="moeda")+(Inputs!$G$5:$G$140="acoes"))*Inputs!$B$1+((Inputs!$G$5:$G$140&lt;&gt;"moeda")*(Inputs!$G$5:$G$140&lt;&gt;"acoes")))*INDEX(Inputs!$K$5:$AJ$140,0,MATCH(O$2,Inputs!$K$4:$AJ$4,0)))+SUMPRODUCT((Inputs!$C$5:$C$140=$B16)*Inputs!$D$5:$D$140*(((Inputs!$G$5:$G$140="moeda")+(Inputs!$G$5:$G$140="acoes"))*Inputs!$B$1+((Inputs!$G$5:$G$140&lt;&gt;"moeda")*(Inputs!$G$5:$G$140&lt;&gt;"acoes")))*INDEX(Inputs!$K$5:$AJ$140,0,MATCH(O$2,Inputs!$K$4:$AJ$4,0)))+SUMPRODUCT((Inputs!$E$5:$E$140=$B16)*Inputs!$F$5:$F$140*(((Inputs!$G$5:$G$140="moeda")+(Inputs!$G$5:$G$140="acoes"))*Inputs!$B$1+((Inputs!$G$5:$G$140&lt;&gt;"moeda")*(Inputs!$G$5:$G$140&lt;&gt;"acoes")))*INDEX(Inputs!$K$5:$AJ$140,0,MATCH(O$2,Inputs!$K$4:$AJ$4,0)))))</f>
        <v>2582.667</v>
      </c>
      <c r="P16" s="6">
        <f>IF(ISNA(MATCH(P$2,Inputs!$K$4:$AJ$4,0)),NA(),IF(SUMPRODUCT((Inputs!$A$5:$A$140=$B16)*ISNUMBER(INDEX(Inputs!$K$5:$AJ$140,0,MATCH(P$2,Inputs!$K$4:$AJ$4,0))))+SUMPRODUCT((Inputs!$C$5:$C$140=$B16)*ISNUMBER(INDEX(Inputs!$K$5:$AJ$140,0,MATCH(P$2,Inputs!$K$4:$AJ$4,0))))+SUMPRODUCT((Inputs!$E$5:$E$140=$B16)*ISNUMBER(INDEX(Inputs!$K$5:$AJ$140,0,MATCH(P$2,Inputs!$K$4:$AJ$4,0))))=0,NA(),SUMPRODUCT((Inputs!$A$5:$A$140=$B16)*Inputs!$B$5:$B$140*(((Inputs!$G$5:$G$140="moeda")+(Inputs!$G$5:$G$140="acoes"))*Inputs!$B$1+((Inputs!$G$5:$G$140&lt;&gt;"moeda")*(Inputs!$G$5:$G$140&lt;&gt;"acoes")))*INDEX(Inputs!$K$5:$AJ$140,0,MATCH(P$2,Inputs!$K$4:$AJ$4,0)))+SUMPRODUCT((Inputs!$C$5:$C$140=$B16)*Inputs!$D$5:$D$140*(((Inputs!$G$5:$G$140="moeda")+(Inputs!$G$5:$G$140="acoes"))*Inputs!$B$1+((Inputs!$G$5:$G$140&lt;&gt;"moeda")*(Inputs!$G$5:$G$140&lt;&gt;"acoes")))*INDEX(Inputs!$K$5:$AJ$140,0,MATCH(P$2,Inputs!$K$4:$AJ$4,0)))+SUMPRODUCT((Inputs!$E$5:$E$140=$B16)*Inputs!$F$5:$F$140*(((Inputs!$G$5:$G$140="moeda")+(Inputs!$G$5:$G$140="acoes"))*Inputs!$B$1+((Inputs!$G$5:$G$140&lt;&gt;"moeda")*(Inputs!$G$5:$G$140&lt;&gt;"acoes")))*INDEX(Inputs!$K$5:$AJ$140,0,MATCH(P$2,Inputs!$K$4:$AJ$4,0)))))</f>
        <v>2868.599</v>
      </c>
      <c r="Q16" s="6">
        <f>IF(ISNA(MATCH(Q$2,Inputs!$K$4:$AJ$4,0)),NA(),IF(SUMPRODUCT((Inputs!$A$5:$A$140=$B16)*ISNUMBER(INDEX(Inputs!$K$5:$AJ$140,0,MATCH(Q$2,Inputs!$K$4:$AJ$4,0))))+SUMPRODUCT((Inputs!$C$5:$C$140=$B16)*ISNUMBER(INDEX(Inputs!$K$5:$AJ$140,0,MATCH(Q$2,Inputs!$K$4:$AJ$4,0))))+SUMPRODUCT((Inputs!$E$5:$E$140=$B16)*ISNUMBER(INDEX(Inputs!$K$5:$AJ$140,0,MATCH(Q$2,Inputs!$K$4:$AJ$4,0))))=0,NA(),SUMPRODUCT((Inputs!$A$5:$A$140=$B16)*Inputs!$B$5:$B$140*(((Inputs!$G$5:$G$140="moeda")+(Inputs!$G$5:$G$140="acoes"))*Inputs!$B$1+((Inputs!$G$5:$G$140&lt;&gt;"moeda")*(Inputs!$G$5:$G$140&lt;&gt;"acoes")))*INDEX(Inputs!$K$5:$AJ$140,0,MATCH(Q$2,Inputs!$K$4:$AJ$4,0)))+SUMPRODUCT((Inputs!$C$5:$C$140=$B16)*Inputs!$D$5:$D$140*(((Inputs!$G$5:$G$140="moeda")+(Inputs!$G$5:$G$140="acoes"))*Inputs!$B$1+((Inputs!$G$5:$G$140&lt;&gt;"moeda")*(Inputs!$G$5:$G$140&lt;&gt;"acoes")))*INDEX(Inputs!$K$5:$AJ$140,0,MATCH(Q$2,Inputs!$K$4:$AJ$4,0)))+SUMPRODUCT((Inputs!$E$5:$E$140=$B16)*Inputs!$F$5:$F$140*(((Inputs!$G$5:$G$140="moeda")+(Inputs!$G$5:$G$140="acoes"))*Inputs!$B$1+((Inputs!$G$5:$G$140&lt;&gt;"moeda")*(Inputs!$G$5:$G$140&lt;&gt;"acoes")))*INDEX(Inputs!$K$5:$AJ$140,0,MATCH(Q$2,Inputs!$K$4:$AJ$4,0)))))</f>
        <v>3457.62798322</v>
      </c>
      <c r="R16" s="3">
        <f>Q16</f>
        <v>3457.62798322</v>
      </c>
      <c r="S16" s="6">
        <f>IF(ISNA(MATCH(S$2,Inputs!$K$4:$AJ$4,0)),NA(),IF(SUMPRODUCT((Inputs!$A$5:$A$140=$B16)*ISNUMBER(INDEX(Inputs!$K$5:$AJ$140,0,MATCH(S$2,Inputs!$K$4:$AJ$4,0))))+SUMPRODUCT((Inputs!$C$5:$C$140=$B16)*ISNUMBER(INDEX(Inputs!$K$5:$AJ$140,0,MATCH(S$2,Inputs!$K$4:$AJ$4,0))))+SUMPRODUCT((Inputs!$E$5:$E$140=$B16)*ISNUMBER(INDEX(Inputs!$K$5:$AJ$140,0,MATCH(S$2,Inputs!$K$4:$AJ$4,0))))=0,NA(),SUMPRODUCT((Inputs!$A$5:$A$140=$B16)*Inputs!$B$5:$B$140*(((Inputs!$G$5:$G$140="moeda")+(Inputs!$G$5:$G$140="acoes"))*Inputs!$B$1+((Inputs!$G$5:$G$140&lt;&gt;"moeda")*(Inputs!$G$5:$G$140&lt;&gt;"acoes")))*INDEX(Inputs!$K$5:$AJ$140,0,MATCH(S$2,Inputs!$K$4:$AJ$4,0)))+SUMPRODUCT((Inputs!$C$5:$C$140=$B16)*Inputs!$D$5:$D$140*(((Inputs!$G$5:$G$140="moeda")+(Inputs!$G$5:$G$140="acoes"))*Inputs!$B$1+((Inputs!$G$5:$G$140&lt;&gt;"moeda")*(Inputs!$G$5:$G$140&lt;&gt;"acoes")))*INDEX(Inputs!$K$5:$AJ$140,0,MATCH(S$2,Inputs!$K$4:$AJ$4,0)))+SUMPRODUCT((Inputs!$E$5:$E$140=$B16)*Inputs!$F$5:$F$140*(((Inputs!$G$5:$G$140="moeda")+(Inputs!$G$5:$G$140="acoes"))*Inputs!$B$1+((Inputs!$G$5:$G$140&lt;&gt;"moeda")*(Inputs!$G$5:$G$140&lt;&gt;"acoes")))*INDEX(Inputs!$K$5:$AJ$140,0,MATCH(S$2,Inputs!$K$4:$AJ$4,0)))))</f>
        <v>3085.517</v>
      </c>
      <c r="T16" s="6">
        <f>IF(ISNA(MATCH(T$2,Inputs!$K$4:$AJ$4,0)),NA(),IF(SUMPRODUCT((Inputs!$A$5:$A$140=$B16)*ISNUMBER(INDEX(Inputs!$K$5:$AJ$140,0,MATCH(T$2,Inputs!$K$4:$AJ$4,0))))+SUMPRODUCT((Inputs!$C$5:$C$140=$B16)*ISNUMBER(INDEX(Inputs!$K$5:$AJ$140,0,MATCH(T$2,Inputs!$K$4:$AJ$4,0))))+SUMPRODUCT((Inputs!$E$5:$E$140=$B16)*ISNUMBER(INDEX(Inputs!$K$5:$AJ$140,0,MATCH(T$2,Inputs!$K$4:$AJ$4,0))))=0,NA(),SUMPRODUCT((Inputs!$A$5:$A$140=$B16)*Inputs!$B$5:$B$140*(((Inputs!$G$5:$G$140="moeda")+(Inputs!$G$5:$G$140="acoes"))*Inputs!$B$1+((Inputs!$G$5:$G$140&lt;&gt;"moeda")*(Inputs!$G$5:$G$140&lt;&gt;"acoes")))*INDEX(Inputs!$K$5:$AJ$140,0,MATCH(T$2,Inputs!$K$4:$AJ$4,0)))+SUMPRODUCT((Inputs!$C$5:$C$140=$B16)*Inputs!$D$5:$D$140*(((Inputs!$G$5:$G$140="moeda")+(Inputs!$G$5:$G$140="acoes"))*Inputs!$B$1+((Inputs!$G$5:$G$140&lt;&gt;"moeda")*(Inputs!$G$5:$G$140&lt;&gt;"acoes")))*INDEX(Inputs!$K$5:$AJ$140,0,MATCH(T$2,Inputs!$K$4:$AJ$4,0)))+SUMPRODUCT((Inputs!$E$5:$E$140=$B16)*Inputs!$F$5:$F$140*(((Inputs!$G$5:$G$140="moeda")+(Inputs!$G$5:$G$140="acoes"))*Inputs!$B$1+((Inputs!$G$5:$G$140&lt;&gt;"moeda")*(Inputs!$G$5:$G$140&lt;&gt;"acoes")))*INDEX(Inputs!$K$5:$AJ$140,0,MATCH(T$2,Inputs!$K$4:$AJ$4,0)))))</f>
        <v>3181.45670197</v>
      </c>
      <c r="U16" s="6">
        <f>IF(ISNA(MATCH(U$2,Inputs!$K$4:$AJ$4,0)),NA(),IF(SUMPRODUCT((Inputs!$A$5:$A$140=$B16)*ISNUMBER(INDEX(Inputs!$K$5:$AJ$140,0,MATCH(U$2,Inputs!$K$4:$AJ$4,0))))+SUMPRODUCT((Inputs!$C$5:$C$140=$B16)*ISNUMBER(INDEX(Inputs!$K$5:$AJ$140,0,MATCH(U$2,Inputs!$K$4:$AJ$4,0))))+SUMPRODUCT((Inputs!$E$5:$E$140=$B16)*ISNUMBER(INDEX(Inputs!$K$5:$AJ$140,0,MATCH(U$2,Inputs!$K$4:$AJ$4,0))))=0,NA(),SUMPRODUCT((Inputs!$A$5:$A$140=$B16)*Inputs!$B$5:$B$140*(((Inputs!$G$5:$G$140="moeda")+(Inputs!$G$5:$G$140="acoes"))*Inputs!$B$1+((Inputs!$G$5:$G$140&lt;&gt;"moeda")*(Inputs!$G$5:$G$140&lt;&gt;"acoes")))*INDEX(Inputs!$K$5:$AJ$140,0,MATCH(U$2,Inputs!$K$4:$AJ$4,0)))+SUMPRODUCT((Inputs!$C$5:$C$140=$B16)*Inputs!$D$5:$D$140*(((Inputs!$G$5:$G$140="moeda")+(Inputs!$G$5:$G$140="acoes"))*Inputs!$B$1+((Inputs!$G$5:$G$140&lt;&gt;"moeda")*(Inputs!$G$5:$G$140&lt;&gt;"acoes")))*INDEX(Inputs!$K$5:$AJ$140,0,MATCH(U$2,Inputs!$K$4:$AJ$4,0)))+SUMPRODUCT((Inputs!$E$5:$E$140=$B16)*Inputs!$F$5:$F$140*(((Inputs!$G$5:$G$140="moeda")+(Inputs!$G$5:$G$140="acoes"))*Inputs!$B$1+((Inputs!$G$5:$G$140&lt;&gt;"moeda")*(Inputs!$G$5:$G$140&lt;&gt;"acoes")))*INDEX(Inputs!$K$5:$AJ$140,0,MATCH(U$2,Inputs!$K$4:$AJ$4,0)))))</f>
        <v>3509.695</v>
      </c>
      <c r="V16" s="6">
        <f>IF(ISNA(MATCH(V$2,Inputs!$K$4:$AJ$4,0)),NA(),IF(SUMPRODUCT((Inputs!$A$5:$A$140=$B16)*ISNUMBER(INDEX(Inputs!$K$5:$AJ$140,0,MATCH(V$2,Inputs!$K$4:$AJ$4,0))))+SUMPRODUCT((Inputs!$C$5:$C$140=$B16)*ISNUMBER(INDEX(Inputs!$K$5:$AJ$140,0,MATCH(V$2,Inputs!$K$4:$AJ$4,0))))+SUMPRODUCT((Inputs!$E$5:$E$140=$B16)*ISNUMBER(INDEX(Inputs!$K$5:$AJ$140,0,MATCH(V$2,Inputs!$K$4:$AJ$4,0))))=0,NA(),SUMPRODUCT((Inputs!$A$5:$A$140=$B16)*Inputs!$B$5:$B$140*(((Inputs!$G$5:$G$140="moeda")+(Inputs!$G$5:$G$140="acoes"))*Inputs!$B$1+((Inputs!$G$5:$G$140&lt;&gt;"moeda")*(Inputs!$G$5:$G$140&lt;&gt;"acoes")))*INDEX(Inputs!$K$5:$AJ$140,0,MATCH(V$2,Inputs!$K$4:$AJ$4,0)))+SUMPRODUCT((Inputs!$C$5:$C$140=$B16)*Inputs!$D$5:$D$140*(((Inputs!$G$5:$G$140="moeda")+(Inputs!$G$5:$G$140="acoes"))*Inputs!$B$1+((Inputs!$G$5:$G$140&lt;&gt;"moeda")*(Inputs!$G$5:$G$140&lt;&gt;"acoes")))*INDEX(Inputs!$K$5:$AJ$140,0,MATCH(V$2,Inputs!$K$4:$AJ$4,0)))+SUMPRODUCT((Inputs!$E$5:$E$140=$B16)*Inputs!$F$5:$F$140*(((Inputs!$G$5:$G$140="moeda")+(Inputs!$G$5:$G$140="acoes"))*Inputs!$B$1+((Inputs!$G$5:$G$140&lt;&gt;"moeda")*(Inputs!$G$5:$G$140&lt;&gt;"acoes")))*INDEX(Inputs!$K$5:$AJ$140,0,MATCH(V$2,Inputs!$K$4:$AJ$4,0)))))</f>
        <v>3399.13</v>
      </c>
      <c r="W16" s="3">
        <f>V16</f>
        <v>3399.13</v>
      </c>
      <c r="X16" s="6">
        <f>IF(ISNA(MATCH(X$2,Inputs!$K$4:$AJ$4,0)),NA(),IF(SUMPRODUCT((Inputs!$A$5:$A$140=$B16)*ISNUMBER(INDEX(Inputs!$K$5:$AJ$140,0,MATCH(X$2,Inputs!$K$4:$AJ$4,0))))+SUMPRODUCT((Inputs!$C$5:$C$140=$B16)*ISNUMBER(INDEX(Inputs!$K$5:$AJ$140,0,MATCH(X$2,Inputs!$K$4:$AJ$4,0))))+SUMPRODUCT((Inputs!$E$5:$E$140=$B16)*ISNUMBER(INDEX(Inputs!$K$5:$AJ$140,0,MATCH(X$2,Inputs!$K$4:$AJ$4,0))))=0,NA(),SUMPRODUCT((Inputs!$A$5:$A$140=$B16)*Inputs!$B$5:$B$140*(((Inputs!$G$5:$G$140="moeda")+(Inputs!$G$5:$G$140="acoes"))*Inputs!$B$1+((Inputs!$G$5:$G$140&lt;&gt;"moeda")*(Inputs!$G$5:$G$140&lt;&gt;"acoes")))*INDEX(Inputs!$K$5:$AJ$140,0,MATCH(X$2,Inputs!$K$4:$AJ$4,0)))+SUMPRODUCT((Inputs!$C$5:$C$140=$B16)*Inputs!$D$5:$D$140*(((Inputs!$G$5:$G$140="moeda")+(Inputs!$G$5:$G$140="acoes"))*Inputs!$B$1+((Inputs!$G$5:$G$140&lt;&gt;"moeda")*(Inputs!$G$5:$G$140&lt;&gt;"acoes")))*INDEX(Inputs!$K$5:$AJ$140,0,MATCH(X$2,Inputs!$K$4:$AJ$4,0)))+SUMPRODUCT((Inputs!$E$5:$E$140=$B16)*Inputs!$F$5:$F$140*(((Inputs!$G$5:$G$140="moeda")+(Inputs!$G$5:$G$140="acoes"))*Inputs!$B$1+((Inputs!$G$5:$G$140&lt;&gt;"moeda")*(Inputs!$G$5:$G$140&lt;&gt;"acoes")))*INDEX(Inputs!$K$5:$AJ$140,0,MATCH(X$2,Inputs!$K$4:$AJ$4,0)))))</f>
        <v>3650.849</v>
      </c>
      <c r="Y16" s="6">
        <f>IF(ISNA(MATCH(Y$2,Inputs!$K$4:$AJ$4,0)),NA(),IF(SUMPRODUCT((Inputs!$A$5:$A$140=$B16)*ISNUMBER(INDEX(Inputs!$K$5:$AJ$140,0,MATCH(Y$2,Inputs!$K$4:$AJ$4,0))))+SUMPRODUCT((Inputs!$C$5:$C$140=$B16)*ISNUMBER(INDEX(Inputs!$K$5:$AJ$140,0,MATCH(Y$2,Inputs!$K$4:$AJ$4,0))))+SUMPRODUCT((Inputs!$E$5:$E$140=$B16)*ISNUMBER(INDEX(Inputs!$K$5:$AJ$140,0,MATCH(Y$2,Inputs!$K$4:$AJ$4,0))))=0,NA(),SUMPRODUCT((Inputs!$A$5:$A$140=$B16)*Inputs!$B$5:$B$140*(((Inputs!$G$5:$G$140="moeda")+(Inputs!$G$5:$G$140="acoes"))*Inputs!$B$1+((Inputs!$G$5:$G$140&lt;&gt;"moeda")*(Inputs!$G$5:$G$140&lt;&gt;"acoes")))*INDEX(Inputs!$K$5:$AJ$140,0,MATCH(Y$2,Inputs!$K$4:$AJ$4,0)))+SUMPRODUCT((Inputs!$C$5:$C$140=$B16)*Inputs!$D$5:$D$140*(((Inputs!$G$5:$G$140="moeda")+(Inputs!$G$5:$G$140="acoes"))*Inputs!$B$1+((Inputs!$G$5:$G$140&lt;&gt;"moeda")*(Inputs!$G$5:$G$140&lt;&gt;"acoes")))*INDEX(Inputs!$K$5:$AJ$140,0,MATCH(Y$2,Inputs!$K$4:$AJ$4,0)))+SUMPRODUCT((Inputs!$E$5:$E$140=$B16)*Inputs!$F$5:$F$140*(((Inputs!$G$5:$G$140="moeda")+(Inputs!$G$5:$G$140="acoes"))*Inputs!$B$1+((Inputs!$G$5:$G$140&lt;&gt;"moeda")*(Inputs!$G$5:$G$140&lt;&gt;"acoes")))*INDEX(Inputs!$K$5:$AJ$140,0,MATCH(Y$2,Inputs!$K$4:$AJ$4,0)))))</f>
        <v>3621.48</v>
      </c>
      <c r="Z16" s="6">
        <f>IF(ISNA(MATCH(Z$2,Inputs!$K$4:$AJ$4,0)),NA(),IF(SUMPRODUCT((Inputs!$A$5:$A$140=$B16)*ISNUMBER(INDEX(Inputs!$K$5:$AJ$140,0,MATCH(Z$2,Inputs!$K$4:$AJ$4,0))))+SUMPRODUCT((Inputs!$C$5:$C$140=$B16)*ISNUMBER(INDEX(Inputs!$K$5:$AJ$140,0,MATCH(Z$2,Inputs!$K$4:$AJ$4,0))))+SUMPRODUCT((Inputs!$E$5:$E$140=$B16)*ISNUMBER(INDEX(Inputs!$K$5:$AJ$140,0,MATCH(Z$2,Inputs!$K$4:$AJ$4,0))))=0,NA(),SUMPRODUCT((Inputs!$A$5:$A$140=$B16)*Inputs!$B$5:$B$140*(((Inputs!$G$5:$G$140="moeda")+(Inputs!$G$5:$G$140="acoes"))*Inputs!$B$1+((Inputs!$G$5:$G$140&lt;&gt;"moeda")*(Inputs!$G$5:$G$140&lt;&gt;"acoes")))*INDEX(Inputs!$K$5:$AJ$140,0,MATCH(Z$2,Inputs!$K$4:$AJ$4,0)))+SUMPRODUCT((Inputs!$C$5:$C$140=$B16)*Inputs!$D$5:$D$140*(((Inputs!$G$5:$G$140="moeda")+(Inputs!$G$5:$G$140="acoes"))*Inputs!$B$1+((Inputs!$G$5:$G$140&lt;&gt;"moeda")*(Inputs!$G$5:$G$140&lt;&gt;"acoes")))*INDEX(Inputs!$K$5:$AJ$140,0,MATCH(Z$2,Inputs!$K$4:$AJ$4,0)))+SUMPRODUCT((Inputs!$E$5:$E$140=$B16)*Inputs!$F$5:$F$140*(((Inputs!$G$5:$G$140="moeda")+(Inputs!$G$5:$G$140="acoes"))*Inputs!$B$1+((Inputs!$G$5:$G$140&lt;&gt;"moeda")*(Inputs!$G$5:$G$140&lt;&gt;"acoes")))*INDEX(Inputs!$K$5:$AJ$140,0,MATCH(Z$2,Inputs!$K$4:$AJ$4,0)))))</f>
        <v>3964.078</v>
      </c>
      <c r="AA16" s="6">
        <f>IF(ISNA(MATCH(AA$2,Inputs!$K$4:$AJ$4,0)),NA(),IF(SUMPRODUCT((Inputs!$A$5:$A$140=$B16)*ISNUMBER(INDEX(Inputs!$K$5:$AJ$140,0,MATCH(AA$2,Inputs!$K$4:$AJ$4,0))))+SUMPRODUCT((Inputs!$C$5:$C$140=$B16)*ISNUMBER(INDEX(Inputs!$K$5:$AJ$140,0,MATCH(AA$2,Inputs!$K$4:$AJ$4,0))))+SUMPRODUCT((Inputs!$E$5:$E$140=$B16)*ISNUMBER(INDEX(Inputs!$K$5:$AJ$140,0,MATCH(AA$2,Inputs!$K$4:$AJ$4,0))))=0,NA(),SUMPRODUCT((Inputs!$A$5:$A$140=$B16)*Inputs!$B$5:$B$140*(((Inputs!$G$5:$G$140="moeda")+(Inputs!$G$5:$G$140="acoes"))*Inputs!$B$1+((Inputs!$G$5:$G$140&lt;&gt;"moeda")*(Inputs!$G$5:$G$140&lt;&gt;"acoes")))*INDEX(Inputs!$K$5:$AJ$140,0,MATCH(AA$2,Inputs!$K$4:$AJ$4,0)))+SUMPRODUCT((Inputs!$C$5:$C$140=$B16)*Inputs!$D$5:$D$140*(((Inputs!$G$5:$G$140="moeda")+(Inputs!$G$5:$G$140="acoes"))*Inputs!$B$1+((Inputs!$G$5:$G$140&lt;&gt;"moeda")*(Inputs!$G$5:$G$140&lt;&gt;"acoes")))*INDEX(Inputs!$K$5:$AJ$140,0,MATCH(AA$2,Inputs!$K$4:$AJ$4,0)))+SUMPRODUCT((Inputs!$E$5:$E$140=$B16)*Inputs!$F$5:$F$140*(((Inputs!$G$5:$G$140="moeda")+(Inputs!$G$5:$G$140="acoes"))*Inputs!$B$1+((Inputs!$G$5:$G$140&lt;&gt;"moeda")*(Inputs!$G$5:$G$140&lt;&gt;"acoes")))*INDEX(Inputs!$K$5:$AJ$140,0,MATCH(AA$2,Inputs!$K$4:$AJ$4,0)))))</f>
        <v>4080.89</v>
      </c>
      <c r="AB16" s="3">
        <f>AA16</f>
        <v>4080.89</v>
      </c>
      <c r="AC16" s="6">
        <f>IF(ISNA(MATCH(AC$2,Inputs!$K$4:$AJ$4,0)),NA(),IF(SUMPRODUCT((Inputs!$A$5:$A$140=$B16)*ISNUMBER(INDEX(Inputs!$K$5:$AJ$140,0,MATCH(AC$2,Inputs!$K$4:$AJ$4,0))))+SUMPRODUCT((Inputs!$C$5:$C$140=$B16)*ISNUMBER(INDEX(Inputs!$K$5:$AJ$140,0,MATCH(AC$2,Inputs!$K$4:$AJ$4,0))))+SUMPRODUCT((Inputs!$E$5:$E$140=$B16)*ISNUMBER(INDEX(Inputs!$K$5:$AJ$140,0,MATCH(AC$2,Inputs!$K$4:$AJ$4,0))))=0,NA(),SUMPRODUCT((Inputs!$A$5:$A$140=$B16)*Inputs!$B$5:$B$140*(((Inputs!$G$5:$G$140="moeda")+(Inputs!$G$5:$G$140="acoes"))*Inputs!$B$1+((Inputs!$G$5:$G$140&lt;&gt;"moeda")*(Inputs!$G$5:$G$140&lt;&gt;"acoes")))*INDEX(Inputs!$K$5:$AJ$140,0,MATCH(AC$2,Inputs!$K$4:$AJ$4,0)))+SUMPRODUCT((Inputs!$C$5:$C$140=$B16)*Inputs!$D$5:$D$140*(((Inputs!$G$5:$G$140="moeda")+(Inputs!$G$5:$G$140="acoes"))*Inputs!$B$1+((Inputs!$G$5:$G$140&lt;&gt;"moeda")*(Inputs!$G$5:$G$140&lt;&gt;"acoes")))*INDEX(Inputs!$K$5:$AJ$140,0,MATCH(AC$2,Inputs!$K$4:$AJ$4,0)))+SUMPRODUCT((Inputs!$E$5:$E$140=$B16)*Inputs!$F$5:$F$140*(((Inputs!$G$5:$G$140="moeda")+(Inputs!$G$5:$G$140="acoes"))*Inputs!$B$1+((Inputs!$G$5:$G$140&lt;&gt;"moeda")*(Inputs!$G$5:$G$140&lt;&gt;"acoes")))*INDEX(Inputs!$K$5:$AJ$140,0,MATCH(AC$2,Inputs!$K$4:$AJ$4,0)))))</f>
        <v>4013.107</v>
      </c>
      <c r="AD16" s="6">
        <f>IF(ISNA(MATCH(AD$2,Inputs!$K$4:$AJ$4,0)),NA(),IF(SUMPRODUCT((Inputs!$A$5:$A$140=$B16)*ISNUMBER(INDEX(Inputs!$K$5:$AJ$140,0,MATCH(AD$2,Inputs!$K$4:$AJ$4,0))))+SUMPRODUCT((Inputs!$C$5:$C$140=$B16)*ISNUMBER(INDEX(Inputs!$K$5:$AJ$140,0,MATCH(AD$2,Inputs!$K$4:$AJ$4,0))))+SUMPRODUCT((Inputs!$E$5:$E$140=$B16)*ISNUMBER(INDEX(Inputs!$K$5:$AJ$140,0,MATCH(AD$2,Inputs!$K$4:$AJ$4,0))))=0,NA(),SUMPRODUCT((Inputs!$A$5:$A$140=$B16)*Inputs!$B$5:$B$140*(((Inputs!$G$5:$G$140="moeda")+(Inputs!$G$5:$G$140="acoes"))*Inputs!$B$1+((Inputs!$G$5:$G$140&lt;&gt;"moeda")*(Inputs!$G$5:$G$140&lt;&gt;"acoes")))*INDEX(Inputs!$K$5:$AJ$140,0,MATCH(AD$2,Inputs!$K$4:$AJ$4,0)))+SUMPRODUCT((Inputs!$C$5:$C$140=$B16)*Inputs!$D$5:$D$140*(((Inputs!$G$5:$G$140="moeda")+(Inputs!$G$5:$G$140="acoes"))*Inputs!$B$1+((Inputs!$G$5:$G$140&lt;&gt;"moeda")*(Inputs!$G$5:$G$140&lt;&gt;"acoes")))*INDEX(Inputs!$K$5:$AJ$140,0,MATCH(AD$2,Inputs!$K$4:$AJ$4,0)))+SUMPRODUCT((Inputs!$E$5:$E$140=$B16)*Inputs!$F$5:$F$140*(((Inputs!$G$5:$G$140="moeda")+(Inputs!$G$5:$G$140="acoes"))*Inputs!$B$1+((Inputs!$G$5:$G$140&lt;&gt;"moeda")*(Inputs!$G$5:$G$140&lt;&gt;"acoes")))*INDEX(Inputs!$K$5:$AJ$140,0,MATCH(AD$2,Inputs!$K$4:$AJ$4,0)))))</f>
        <v>3959.317</v>
      </c>
      <c r="AE16" s="6" t="e">
        <f>IF(ISNA(MATCH(AE$2,Inputs!$K$4:$AJ$4,0)),NA(),IF(SUMPRODUCT((Inputs!$A$5:$A$140=$B16)*ISNUMBER(INDEX(Inputs!$K$5:$AJ$140,0,MATCH(AE$2,Inputs!$K$4:$AJ$4,0))))+SUMPRODUCT((Inputs!$C$5:$C$140=$B16)*ISNUMBER(INDEX(Inputs!$K$5:$AJ$140,0,MATCH(AE$2,Inputs!$K$4:$AJ$4,0))))+SUMPRODUCT((Inputs!$E$5:$E$140=$B16)*ISNUMBER(INDEX(Inputs!$K$5:$AJ$140,0,MATCH(AE$2,Inputs!$K$4:$AJ$4,0))))=0,NA(),SUMPRODUCT((Inputs!$A$5:$A$140=$B16)*Inputs!$B$5:$B$140*(((Inputs!$G$5:$G$140="moeda")+(Inputs!$G$5:$G$140="acoes"))*Inputs!$B$1+((Inputs!$G$5:$G$140&lt;&gt;"moeda")*(Inputs!$G$5:$G$140&lt;&gt;"acoes")))*INDEX(Inputs!$K$5:$AJ$140,0,MATCH(AE$2,Inputs!$K$4:$AJ$4,0)))+SUMPRODUCT((Inputs!$C$5:$C$140=$B16)*Inputs!$D$5:$D$140*(((Inputs!$G$5:$G$140="moeda")+(Inputs!$G$5:$G$140="acoes"))*Inputs!$B$1+((Inputs!$G$5:$G$140&lt;&gt;"moeda")*(Inputs!$G$5:$G$140&lt;&gt;"acoes")))*INDEX(Inputs!$K$5:$AJ$140,0,MATCH(AE$2,Inputs!$K$4:$AJ$4,0)))+SUMPRODUCT((Inputs!$E$5:$E$140=$B16)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6" s="6" t="e">
        <f>IF(ISNA(MATCH(AF$2,Inputs!$K$4:$AJ$4,0)),NA(),IF(SUMPRODUCT((Inputs!$A$5:$A$140=$B16)*ISNUMBER(INDEX(Inputs!$K$5:$AJ$140,0,MATCH(AF$2,Inputs!$K$4:$AJ$4,0))))+SUMPRODUCT((Inputs!$C$5:$C$140=$B16)*ISNUMBER(INDEX(Inputs!$K$5:$AJ$140,0,MATCH(AF$2,Inputs!$K$4:$AJ$4,0))))+SUMPRODUCT((Inputs!$E$5:$E$140=$B16)*ISNUMBER(INDEX(Inputs!$K$5:$AJ$140,0,MATCH(AF$2,Inputs!$K$4:$AJ$4,0))))=0,NA(),SUMPRODUCT((Inputs!$A$5:$A$140=$B16)*Inputs!$B$5:$B$140*(((Inputs!$G$5:$G$140="moeda")+(Inputs!$G$5:$G$140="acoes"))*Inputs!$B$1+((Inputs!$G$5:$G$140&lt;&gt;"moeda")*(Inputs!$G$5:$G$140&lt;&gt;"acoes")))*INDEX(Inputs!$K$5:$AJ$140,0,MATCH(AF$2,Inputs!$K$4:$AJ$4,0)))+SUMPRODUCT((Inputs!$C$5:$C$140=$B16)*Inputs!$D$5:$D$140*(((Inputs!$G$5:$G$140="moeda")+(Inputs!$G$5:$G$140="acoes"))*Inputs!$B$1+((Inputs!$G$5:$G$140&lt;&gt;"moeda")*(Inputs!$G$5:$G$140&lt;&gt;"acoes")))*INDEX(Inputs!$K$5:$AJ$140,0,MATCH(AF$2,Inputs!$K$4:$AJ$4,0)))+SUMPRODUCT((Inputs!$E$5:$E$140=$B16)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6" s="3" t="e">
        <f>AF16</f>
        <v>#N/A</v>
      </c>
      <c r="AH16" s="6" t="e">
        <f>IF(ISNA(MATCH(AH$2,Inputs!$K$4:$AJ$4,0)),NA(),IF(SUMPRODUCT((Inputs!$A$5:$A$140=$B16)*ISNUMBER(INDEX(Inputs!$K$5:$AJ$140,0,MATCH(AH$2,Inputs!$K$4:$AJ$4,0))))+SUMPRODUCT((Inputs!$C$5:$C$140=$B16)*ISNUMBER(INDEX(Inputs!$K$5:$AJ$140,0,MATCH(AH$2,Inputs!$K$4:$AJ$4,0))))+SUMPRODUCT((Inputs!$E$5:$E$140=$B16)*ISNUMBER(INDEX(Inputs!$K$5:$AJ$140,0,MATCH(AH$2,Inputs!$K$4:$AJ$4,0))))=0,NA(),SUMPRODUCT((Inputs!$A$5:$A$140=$B16)*Inputs!$B$5:$B$140*(((Inputs!$G$5:$G$140="moeda")+(Inputs!$G$5:$G$140="acoes"))*Inputs!$B$1+((Inputs!$G$5:$G$140&lt;&gt;"moeda")*(Inputs!$G$5:$G$140&lt;&gt;"acoes")))*INDEX(Inputs!$K$5:$AJ$140,0,MATCH(AH$2,Inputs!$K$4:$AJ$4,0)))+SUMPRODUCT((Inputs!$C$5:$C$140=$B16)*Inputs!$D$5:$D$140*(((Inputs!$G$5:$G$140="moeda")+(Inputs!$G$5:$G$140="acoes"))*Inputs!$B$1+((Inputs!$G$5:$G$140&lt;&gt;"moeda")*(Inputs!$G$5:$G$140&lt;&gt;"acoes")))*INDEX(Inputs!$K$5:$AJ$140,0,MATCH(AH$2,Inputs!$K$4:$AJ$4,0)))+SUMPRODUCT((Inputs!$E$5:$E$140=$B16)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6" s="6">
        <f>IF(ISNA(MATCH(AI$2,Inputs!$K$4:$AJ$4,0)),NA(),IF(SUMPRODUCT((Inputs!$A$5:$A$140=$B16)*ISNUMBER(INDEX(Inputs!$K$5:$AJ$140,0,MATCH(AI$2,Inputs!$K$4:$AJ$4,0))))+SUMPRODUCT((Inputs!$C$5:$C$140=$B16)*ISNUMBER(INDEX(Inputs!$K$5:$AJ$140,0,MATCH(AI$2,Inputs!$K$4:$AJ$4,0))))+SUMPRODUCT((Inputs!$E$5:$E$140=$B16)*ISNUMBER(INDEX(Inputs!$K$5:$AJ$140,0,MATCH(AI$2,Inputs!$K$4:$AJ$4,0))))=0,NA(),SUMPRODUCT((Inputs!$A$5:$A$140=$B16)*Inputs!$B$5:$B$140*(((Inputs!$G$5:$G$140="moeda")+(Inputs!$G$5:$G$140="acoes"))*Inputs!$B$1+((Inputs!$G$5:$G$140&lt;&gt;"moeda")*(Inputs!$G$5:$G$140&lt;&gt;"acoes")))*INDEX(Inputs!$K$5:$AJ$140,0,MATCH(AI$2,Inputs!$K$4:$AJ$4,0)))+SUMPRODUCT((Inputs!$C$5:$C$140=$B16)*Inputs!$D$5:$D$140*(((Inputs!$G$5:$G$140="moeda")+(Inputs!$G$5:$G$140="acoes"))*Inputs!$B$1+((Inputs!$G$5:$G$140&lt;&gt;"moeda")*(Inputs!$G$5:$G$140&lt;&gt;"acoes")))*INDEX(Inputs!$K$5:$AJ$140,0,MATCH(AI$2,Inputs!$K$4:$AJ$4,0)))+SUMPRODUCT((Inputs!$E$5:$E$140=$B16)*Inputs!$F$5:$F$140*(((Inputs!$G$5:$G$140="moeda")+(Inputs!$G$5:$G$140="acoes"))*Inputs!$B$1+((Inputs!$G$5:$G$140&lt;&gt;"moeda")*(Inputs!$G$5:$G$140&lt;&gt;"acoes")))*INDEX(Inputs!$K$5:$AJ$140,0,MATCH(AI$2,Inputs!$K$4:$AJ$4,0)))))</f>
        <v>964.031</v>
      </c>
      <c r="AJ16" s="6">
        <f>IF(ISNA(MATCH(AJ$2,Inputs!$K$4:$AJ$4,0)),NA(),IF(SUMPRODUCT((Inputs!$A$5:$A$140=$B16)*ISNUMBER(INDEX(Inputs!$K$5:$AJ$140,0,MATCH(AJ$2,Inputs!$K$4:$AJ$4,0))))+SUMPRODUCT((Inputs!$C$5:$C$140=$B16)*ISNUMBER(INDEX(Inputs!$K$5:$AJ$140,0,MATCH(AJ$2,Inputs!$K$4:$AJ$4,0))))+SUMPRODUCT((Inputs!$E$5:$E$140=$B16)*ISNUMBER(INDEX(Inputs!$K$5:$AJ$140,0,MATCH(AJ$2,Inputs!$K$4:$AJ$4,0))))=0,NA(),SUMPRODUCT((Inputs!$A$5:$A$140=$B16)*Inputs!$B$5:$B$140*(((Inputs!$G$5:$G$140="moeda")+(Inputs!$G$5:$G$140="acoes"))*Inputs!$B$1+((Inputs!$G$5:$G$140&lt;&gt;"moeda")*(Inputs!$G$5:$G$140&lt;&gt;"acoes")))*INDEX(Inputs!$K$5:$AJ$140,0,MATCH(AJ$2,Inputs!$K$4:$AJ$4,0)))+SUMPRODUCT((Inputs!$C$5:$C$140=$B16)*Inputs!$D$5:$D$140*(((Inputs!$G$5:$G$140="moeda")+(Inputs!$G$5:$G$140="acoes"))*Inputs!$B$1+((Inputs!$G$5:$G$140&lt;&gt;"moeda")*(Inputs!$G$5:$G$140&lt;&gt;"acoes")))*INDEX(Inputs!$K$5:$AJ$140,0,MATCH(AJ$2,Inputs!$K$4:$AJ$4,0)))+SUMPRODUCT((Inputs!$E$5:$E$140=$B16)*Inputs!$F$5:$F$140*(((Inputs!$G$5:$G$140="moeda")+(Inputs!$G$5:$G$140="acoes"))*Inputs!$B$1+((Inputs!$G$5:$G$140&lt;&gt;"moeda")*(Inputs!$G$5:$G$140&lt;&gt;"acoes")))*INDEX(Inputs!$K$5:$AJ$140,0,MATCH(AJ$2,Inputs!$K$4:$AJ$4,0)))))</f>
        <v>995.20322796018</v>
      </c>
      <c r="AK16" s="6">
        <f>IF(ISNA(MATCH(AK$2,Inputs!$K$4:$AJ$4,0)),NA(),IF(SUMPRODUCT((Inputs!$A$5:$A$140=$B16)*ISNUMBER(INDEX(Inputs!$K$5:$AJ$140,0,MATCH(AK$2,Inputs!$K$4:$AJ$4,0))))+SUMPRODUCT((Inputs!$C$5:$C$140=$B16)*ISNUMBER(INDEX(Inputs!$K$5:$AJ$140,0,MATCH(AK$2,Inputs!$K$4:$AJ$4,0))))+SUMPRODUCT((Inputs!$E$5:$E$140=$B16)*ISNUMBER(INDEX(Inputs!$K$5:$AJ$140,0,MATCH(AK$2,Inputs!$K$4:$AJ$4,0))))=0,NA(),SUMPRODUCT((Inputs!$A$5:$A$140=$B16)*Inputs!$B$5:$B$140*(((Inputs!$G$5:$G$140="moeda")+(Inputs!$G$5:$G$140="acoes"))*Inputs!$B$1+((Inputs!$G$5:$G$140&lt;&gt;"moeda")*(Inputs!$G$5:$G$140&lt;&gt;"acoes")))*INDEX(Inputs!$K$5:$AJ$140,0,MATCH(AK$2,Inputs!$K$4:$AJ$4,0)))+SUMPRODUCT((Inputs!$C$5:$C$140=$B16)*Inputs!$D$5:$D$140*(((Inputs!$G$5:$G$140="moeda")+(Inputs!$G$5:$G$140="acoes"))*Inputs!$B$1+((Inputs!$G$5:$G$140&lt;&gt;"moeda")*(Inputs!$G$5:$G$140&lt;&gt;"acoes")))*INDEX(Inputs!$K$5:$AJ$140,0,MATCH(AK$2,Inputs!$K$4:$AJ$4,0)))+SUMPRODUCT((Inputs!$E$5:$E$140=$B16)*Inputs!$F$5:$F$140*(((Inputs!$G$5:$G$140="moeda")+(Inputs!$G$5:$G$140="acoes"))*Inputs!$B$1+((Inputs!$G$5:$G$140&lt;&gt;"moeda")*(Inputs!$G$5:$G$140&lt;&gt;"acoes")))*INDEX(Inputs!$K$5:$AJ$140,0,MATCH(AK$2,Inputs!$K$4:$AJ$4,0)))))</f>
        <v>1305.45762749007</v>
      </c>
      <c r="AL16" s="3">
        <f>AK16</f>
        <v>1305.45762749007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$140=$B17)*ISNUMBER(INDEX(Inputs!$K$5:$AJ$140,0,MATCH(D$2,Inputs!$K$4:$AJ$4,0))))+SUMPRODUCT((Inputs!$C$5:$C$140=$B17)*ISNUMBER(INDEX(Inputs!$K$5:$AJ$140,0,MATCH(D$2,Inputs!$K$4:$AJ$4,0))))+SUMPRODUCT((Inputs!$E$5:$E$140=$B17)*ISNUMBER(INDEX(Inputs!$K$5:$AJ$140,0,MATCH(D$2,Inputs!$K$4:$AJ$4,0))))=0,NA(),SUMPRODUCT((Inputs!$A$5:$A$140=$B17)*Inputs!$B$5:$B$140*(((Inputs!$G$5:$G$140="moeda")+(Inputs!$G$5:$G$140="acoes"))*Inputs!$B$1+((Inputs!$G$5:$G$140&lt;&gt;"moeda")*(Inputs!$G$5:$G$140&lt;&gt;"acoes")))*INDEX(Inputs!$K$5:$AJ$140,0,MATCH(D$2,Inputs!$K$4:$AJ$4,0)))+SUMPRODUCT((Inputs!$C$5:$C$140=$B17)*Inputs!$D$5:$D$140*(((Inputs!$G$5:$G$140="moeda")+(Inputs!$G$5:$G$140="acoes"))*Inputs!$B$1+((Inputs!$G$5:$G$140&lt;&gt;"moeda")*(Inputs!$G$5:$G$140&lt;&gt;"acoes")))*INDEX(Inputs!$K$5:$AJ$140,0,MATCH(D$2,Inputs!$K$4:$AJ$4,0)))+SUMPRODUCT((Inputs!$E$5:$E$140=$B17)*Inputs!$F$5:$F$140*(((Inputs!$G$5:$G$140="moeda")+(Inputs!$G$5:$G$140="acoes"))*Inputs!$B$1+((Inputs!$G$5:$G$140&lt;&gt;"moeda")*(Inputs!$G$5:$G$140&lt;&gt;"acoes")))*INDEX(Inputs!$K$5:$AJ$140,0,MATCH(D$2,Inputs!$K$4:$AJ$4,0)))))</f>
        <v>2637.47443892005</v>
      </c>
      <c r="E17" s="6">
        <f>IF(ISNA(MATCH(E$2,Inputs!$K$4:$AJ$4,0)),NA(),IF(SUMPRODUCT((Inputs!$A$5:$A$140=$B17)*ISNUMBER(INDEX(Inputs!$K$5:$AJ$140,0,MATCH(E$2,Inputs!$K$4:$AJ$4,0))))+SUMPRODUCT((Inputs!$C$5:$C$140=$B17)*ISNUMBER(INDEX(Inputs!$K$5:$AJ$140,0,MATCH(E$2,Inputs!$K$4:$AJ$4,0))))+SUMPRODUCT((Inputs!$E$5:$E$140=$B17)*ISNUMBER(INDEX(Inputs!$K$5:$AJ$140,0,MATCH(E$2,Inputs!$K$4:$AJ$4,0))))=0,NA(),SUMPRODUCT((Inputs!$A$5:$A$140=$B17)*Inputs!$B$5:$B$140*(((Inputs!$G$5:$G$140="moeda")+(Inputs!$G$5:$G$140="acoes"))*Inputs!$B$1+((Inputs!$G$5:$G$140&lt;&gt;"moeda")*(Inputs!$G$5:$G$140&lt;&gt;"acoes")))*INDEX(Inputs!$K$5:$AJ$140,0,MATCH(E$2,Inputs!$K$4:$AJ$4,0)))+SUMPRODUCT((Inputs!$C$5:$C$140=$B17)*Inputs!$D$5:$D$140*(((Inputs!$G$5:$G$140="moeda")+(Inputs!$G$5:$G$140="acoes"))*Inputs!$B$1+((Inputs!$G$5:$G$140&lt;&gt;"moeda")*(Inputs!$G$5:$G$140&lt;&gt;"acoes")))*INDEX(Inputs!$K$5:$AJ$140,0,MATCH(E$2,Inputs!$K$4:$AJ$4,0)))+SUMPRODUCT((Inputs!$E$5:$E$140=$B17)*Inputs!$F$5:$F$140*(((Inputs!$G$5:$G$140="moeda")+(Inputs!$G$5:$G$140="acoes"))*Inputs!$B$1+((Inputs!$G$5:$G$140&lt;&gt;"moeda")*(Inputs!$G$5:$G$140&lt;&gt;"acoes")))*INDEX(Inputs!$K$5:$AJ$140,0,MATCH(E$2,Inputs!$K$4:$AJ$4,0)))))</f>
        <v>2826.4930335399</v>
      </c>
      <c r="F17" s="6">
        <f>IF(ISNA(MATCH(F$2,Inputs!$K$4:$AJ$4,0)),NA(),IF(SUMPRODUCT((Inputs!$A$5:$A$140=$B17)*ISNUMBER(INDEX(Inputs!$K$5:$AJ$140,0,MATCH(F$2,Inputs!$K$4:$AJ$4,0))))+SUMPRODUCT((Inputs!$C$5:$C$140=$B17)*ISNUMBER(INDEX(Inputs!$K$5:$AJ$140,0,MATCH(F$2,Inputs!$K$4:$AJ$4,0))))+SUMPRODUCT((Inputs!$E$5:$E$140=$B17)*ISNUMBER(INDEX(Inputs!$K$5:$AJ$140,0,MATCH(F$2,Inputs!$K$4:$AJ$4,0))))=0,NA(),SUMPRODUCT((Inputs!$A$5:$A$140=$B17)*Inputs!$B$5:$B$140*(((Inputs!$G$5:$G$140="moeda")+(Inputs!$G$5:$G$140="acoes"))*Inputs!$B$1+((Inputs!$G$5:$G$140&lt;&gt;"moeda")*(Inputs!$G$5:$G$140&lt;&gt;"acoes")))*INDEX(Inputs!$K$5:$AJ$140,0,MATCH(F$2,Inputs!$K$4:$AJ$4,0)))+SUMPRODUCT((Inputs!$C$5:$C$140=$B17)*Inputs!$D$5:$D$140*(((Inputs!$G$5:$G$140="moeda")+(Inputs!$G$5:$G$140="acoes"))*Inputs!$B$1+((Inputs!$G$5:$G$140&lt;&gt;"moeda")*(Inputs!$G$5:$G$140&lt;&gt;"acoes")))*INDEX(Inputs!$K$5:$AJ$140,0,MATCH(F$2,Inputs!$K$4:$AJ$4,0)))+SUMPRODUCT((Inputs!$E$5:$E$140=$B17)*Inputs!$F$5:$F$140*(((Inputs!$G$5:$G$140="moeda")+(Inputs!$G$5:$G$140="acoes"))*Inputs!$B$1+((Inputs!$G$5:$G$140&lt;&gt;"moeda")*(Inputs!$G$5:$G$140&lt;&gt;"acoes")))*INDEX(Inputs!$K$5:$AJ$140,0,MATCH(F$2,Inputs!$K$4:$AJ$4,0)))))</f>
        <v>3492.306</v>
      </c>
      <c r="G17" s="6">
        <f>IF(ISNA(MATCH(G$2,Inputs!$K$4:$AJ$4,0)),NA(),IF(SUMPRODUCT((Inputs!$A$5:$A$140=$B17)*ISNUMBER(INDEX(Inputs!$K$5:$AJ$140,0,MATCH(G$2,Inputs!$K$4:$AJ$4,0))))+SUMPRODUCT((Inputs!$C$5:$C$140=$B17)*ISNUMBER(INDEX(Inputs!$K$5:$AJ$140,0,MATCH(G$2,Inputs!$K$4:$AJ$4,0))))+SUMPRODUCT((Inputs!$E$5:$E$140=$B17)*ISNUMBER(INDEX(Inputs!$K$5:$AJ$140,0,MATCH(G$2,Inputs!$K$4:$AJ$4,0))))=0,NA(),SUMPRODUCT((Inputs!$A$5:$A$140=$B17)*Inputs!$B$5:$B$140*(((Inputs!$G$5:$G$140="moeda")+(Inputs!$G$5:$G$140="acoes"))*Inputs!$B$1+((Inputs!$G$5:$G$140&lt;&gt;"moeda")*(Inputs!$G$5:$G$140&lt;&gt;"acoes")))*INDEX(Inputs!$K$5:$AJ$140,0,MATCH(G$2,Inputs!$K$4:$AJ$4,0)))+SUMPRODUCT((Inputs!$C$5:$C$140=$B17)*Inputs!$D$5:$D$140*(((Inputs!$G$5:$G$140="moeda")+(Inputs!$G$5:$G$140="acoes"))*Inputs!$B$1+((Inputs!$G$5:$G$140&lt;&gt;"moeda")*(Inputs!$G$5:$G$140&lt;&gt;"acoes")))*INDEX(Inputs!$K$5:$AJ$140,0,MATCH(G$2,Inputs!$K$4:$AJ$4,0)))+SUMPRODUCT((Inputs!$E$5:$E$140=$B17)*Inputs!$F$5:$F$140*(((Inputs!$G$5:$G$140="moeda")+(Inputs!$G$5:$G$140="acoes"))*Inputs!$B$1+((Inputs!$G$5:$G$140&lt;&gt;"moeda")*(Inputs!$G$5:$G$140&lt;&gt;"acoes")))*INDEX(Inputs!$K$5:$AJ$140,0,MATCH(G$2,Inputs!$K$4:$AJ$4,0)))))</f>
        <v>3498.63</v>
      </c>
      <c r="H17" s="3">
        <f>G17</f>
        <v>3498.63</v>
      </c>
      <c r="I17" s="6">
        <f>IF(ISNA(MATCH(I$2,Inputs!$K$4:$AJ$4,0)),NA(),IF(SUMPRODUCT((Inputs!$A$5:$A$140=$B17)*ISNUMBER(INDEX(Inputs!$K$5:$AJ$140,0,MATCH(I$2,Inputs!$K$4:$AJ$4,0))))+SUMPRODUCT((Inputs!$C$5:$C$140=$B17)*ISNUMBER(INDEX(Inputs!$K$5:$AJ$140,0,MATCH(I$2,Inputs!$K$4:$AJ$4,0))))+SUMPRODUCT((Inputs!$E$5:$E$140=$B17)*ISNUMBER(INDEX(Inputs!$K$5:$AJ$140,0,MATCH(I$2,Inputs!$K$4:$AJ$4,0))))=0,NA(),SUMPRODUCT((Inputs!$A$5:$A$140=$B17)*Inputs!$B$5:$B$140*(((Inputs!$G$5:$G$140="moeda")+(Inputs!$G$5:$G$140="acoes"))*Inputs!$B$1+((Inputs!$G$5:$G$140&lt;&gt;"moeda")*(Inputs!$G$5:$G$140&lt;&gt;"acoes")))*INDEX(Inputs!$K$5:$AJ$140,0,MATCH(I$2,Inputs!$K$4:$AJ$4,0)))+SUMPRODUCT((Inputs!$C$5:$C$140=$B17)*Inputs!$D$5:$D$140*(((Inputs!$G$5:$G$140="moeda")+(Inputs!$G$5:$G$140="acoes"))*Inputs!$B$1+((Inputs!$G$5:$G$140&lt;&gt;"moeda")*(Inputs!$G$5:$G$140&lt;&gt;"acoes")))*INDEX(Inputs!$K$5:$AJ$140,0,MATCH(I$2,Inputs!$K$4:$AJ$4,0)))+SUMPRODUCT((Inputs!$E$5:$E$140=$B17)*Inputs!$F$5:$F$140*(((Inputs!$G$5:$G$140="moeda")+(Inputs!$G$5:$G$140="acoes"))*Inputs!$B$1+((Inputs!$G$5:$G$140&lt;&gt;"moeda")*(Inputs!$G$5:$G$140&lt;&gt;"acoes")))*INDEX(Inputs!$K$5:$AJ$140,0,MATCH(I$2,Inputs!$K$4:$AJ$4,0)))))</f>
        <v>3803.451</v>
      </c>
      <c r="J17" s="6">
        <f>IF(ISNA(MATCH(J$2,Inputs!$K$4:$AJ$4,0)),NA(),IF(SUMPRODUCT((Inputs!$A$5:$A$140=$B17)*ISNUMBER(INDEX(Inputs!$K$5:$AJ$140,0,MATCH(J$2,Inputs!$K$4:$AJ$4,0))))+SUMPRODUCT((Inputs!$C$5:$C$140=$B17)*ISNUMBER(INDEX(Inputs!$K$5:$AJ$140,0,MATCH(J$2,Inputs!$K$4:$AJ$4,0))))+SUMPRODUCT((Inputs!$E$5:$E$140=$B17)*ISNUMBER(INDEX(Inputs!$K$5:$AJ$140,0,MATCH(J$2,Inputs!$K$4:$AJ$4,0))))=0,NA(),SUMPRODUCT((Inputs!$A$5:$A$140=$B17)*Inputs!$B$5:$B$140*(((Inputs!$G$5:$G$140="moeda")+(Inputs!$G$5:$G$140="acoes"))*Inputs!$B$1+((Inputs!$G$5:$G$140&lt;&gt;"moeda")*(Inputs!$G$5:$G$140&lt;&gt;"acoes")))*INDEX(Inputs!$K$5:$AJ$140,0,MATCH(J$2,Inputs!$K$4:$AJ$4,0)))+SUMPRODUCT((Inputs!$C$5:$C$140=$B17)*Inputs!$D$5:$D$140*(((Inputs!$G$5:$G$140="moeda")+(Inputs!$G$5:$G$140="acoes"))*Inputs!$B$1+((Inputs!$G$5:$G$140&lt;&gt;"moeda")*(Inputs!$G$5:$G$140&lt;&gt;"acoes")))*INDEX(Inputs!$K$5:$AJ$140,0,MATCH(J$2,Inputs!$K$4:$AJ$4,0)))+SUMPRODUCT((Inputs!$E$5:$E$140=$B17)*Inputs!$F$5:$F$140*(((Inputs!$G$5:$G$140="moeda")+(Inputs!$G$5:$G$140="acoes"))*Inputs!$B$1+((Inputs!$G$5:$G$140&lt;&gt;"moeda")*(Inputs!$G$5:$G$140&lt;&gt;"acoes")))*INDEX(Inputs!$K$5:$AJ$140,0,MATCH(J$2,Inputs!$K$4:$AJ$4,0)))))</f>
        <v>3994.994</v>
      </c>
      <c r="K17" s="6">
        <f>IF(ISNA(MATCH(K$2,Inputs!$K$4:$AJ$4,0)),NA(),IF(SUMPRODUCT((Inputs!$A$5:$A$140=$B17)*ISNUMBER(INDEX(Inputs!$K$5:$AJ$140,0,MATCH(K$2,Inputs!$K$4:$AJ$4,0))))+SUMPRODUCT((Inputs!$C$5:$C$140=$B17)*ISNUMBER(INDEX(Inputs!$K$5:$AJ$140,0,MATCH(K$2,Inputs!$K$4:$AJ$4,0))))+SUMPRODUCT((Inputs!$E$5:$E$140=$B17)*ISNUMBER(INDEX(Inputs!$K$5:$AJ$140,0,MATCH(K$2,Inputs!$K$4:$AJ$4,0))))=0,NA(),SUMPRODUCT((Inputs!$A$5:$A$140=$B17)*Inputs!$B$5:$B$140*(((Inputs!$G$5:$G$140="moeda")+(Inputs!$G$5:$G$140="acoes"))*Inputs!$B$1+((Inputs!$G$5:$G$140&lt;&gt;"moeda")*(Inputs!$G$5:$G$140&lt;&gt;"acoes")))*INDEX(Inputs!$K$5:$AJ$140,0,MATCH(K$2,Inputs!$K$4:$AJ$4,0)))+SUMPRODUCT((Inputs!$C$5:$C$140=$B17)*Inputs!$D$5:$D$140*(((Inputs!$G$5:$G$140="moeda")+(Inputs!$G$5:$G$140="acoes"))*Inputs!$B$1+((Inputs!$G$5:$G$140&lt;&gt;"moeda")*(Inputs!$G$5:$G$140&lt;&gt;"acoes")))*INDEX(Inputs!$K$5:$AJ$140,0,MATCH(K$2,Inputs!$K$4:$AJ$4,0)))+SUMPRODUCT((Inputs!$E$5:$E$140=$B17)*Inputs!$F$5:$F$140*(((Inputs!$G$5:$G$140="moeda")+(Inputs!$G$5:$G$140="acoes"))*Inputs!$B$1+((Inputs!$G$5:$G$140&lt;&gt;"moeda")*(Inputs!$G$5:$G$140&lt;&gt;"acoes")))*INDEX(Inputs!$K$5:$AJ$140,0,MATCH(K$2,Inputs!$K$4:$AJ$4,0)))))</f>
        <v>4666.193</v>
      </c>
      <c r="L17" s="6">
        <f>IF(ISNA(MATCH(L$2,Inputs!$K$4:$AJ$4,0)),NA(),IF(SUMPRODUCT((Inputs!$A$5:$A$140=$B17)*ISNUMBER(INDEX(Inputs!$K$5:$AJ$140,0,MATCH(L$2,Inputs!$K$4:$AJ$4,0))))+SUMPRODUCT((Inputs!$C$5:$C$140=$B17)*ISNUMBER(INDEX(Inputs!$K$5:$AJ$140,0,MATCH(L$2,Inputs!$K$4:$AJ$4,0))))+SUMPRODUCT((Inputs!$E$5:$E$140=$B17)*ISNUMBER(INDEX(Inputs!$K$5:$AJ$140,0,MATCH(L$2,Inputs!$K$4:$AJ$4,0))))=0,NA(),SUMPRODUCT((Inputs!$A$5:$A$140=$B17)*Inputs!$B$5:$B$140*(((Inputs!$G$5:$G$140="moeda")+(Inputs!$G$5:$G$140="acoes"))*Inputs!$B$1+((Inputs!$G$5:$G$140&lt;&gt;"moeda")*(Inputs!$G$5:$G$140&lt;&gt;"acoes")))*INDEX(Inputs!$K$5:$AJ$140,0,MATCH(L$2,Inputs!$K$4:$AJ$4,0)))+SUMPRODUCT((Inputs!$C$5:$C$140=$B17)*Inputs!$D$5:$D$140*(((Inputs!$G$5:$G$140="moeda")+(Inputs!$G$5:$G$140="acoes"))*Inputs!$B$1+((Inputs!$G$5:$G$140&lt;&gt;"moeda")*(Inputs!$G$5:$G$140&lt;&gt;"acoes")))*INDEX(Inputs!$K$5:$AJ$140,0,MATCH(L$2,Inputs!$K$4:$AJ$4,0)))+SUMPRODUCT((Inputs!$E$5:$E$140=$B17)*Inputs!$F$5:$F$140*(((Inputs!$G$5:$G$140="moeda")+(Inputs!$G$5:$G$140="acoes"))*Inputs!$B$1+((Inputs!$G$5:$G$140&lt;&gt;"moeda")*(Inputs!$G$5:$G$140&lt;&gt;"acoes")))*INDEX(Inputs!$K$5:$AJ$140,0,MATCH(L$2,Inputs!$K$4:$AJ$4,0)))))</f>
        <v>3985.375</v>
      </c>
      <c r="M17" s="3">
        <f>L17</f>
        <v>3985.375</v>
      </c>
      <c r="N17" s="6">
        <f>IF(ISNA(MATCH(N$2,Inputs!$K$4:$AJ$4,0)),NA(),IF(SUMPRODUCT((Inputs!$A$5:$A$140=$B17)*ISNUMBER(INDEX(Inputs!$K$5:$AJ$140,0,MATCH(N$2,Inputs!$K$4:$AJ$4,0))))+SUMPRODUCT((Inputs!$C$5:$C$140=$B17)*ISNUMBER(INDEX(Inputs!$K$5:$AJ$140,0,MATCH(N$2,Inputs!$K$4:$AJ$4,0))))+SUMPRODUCT((Inputs!$E$5:$E$140=$B17)*ISNUMBER(INDEX(Inputs!$K$5:$AJ$140,0,MATCH(N$2,Inputs!$K$4:$AJ$4,0))))=0,NA(),SUMPRODUCT((Inputs!$A$5:$A$140=$B17)*Inputs!$B$5:$B$140*(((Inputs!$G$5:$G$140="moeda")+(Inputs!$G$5:$G$140="acoes"))*Inputs!$B$1+((Inputs!$G$5:$G$140&lt;&gt;"moeda")*(Inputs!$G$5:$G$140&lt;&gt;"acoes")))*INDEX(Inputs!$K$5:$AJ$140,0,MATCH(N$2,Inputs!$K$4:$AJ$4,0)))+SUMPRODUCT((Inputs!$C$5:$C$140=$B17)*Inputs!$D$5:$D$140*(((Inputs!$G$5:$G$140="moeda")+(Inputs!$G$5:$G$140="acoes"))*Inputs!$B$1+((Inputs!$G$5:$G$140&lt;&gt;"moeda")*(Inputs!$G$5:$G$140&lt;&gt;"acoes")))*INDEX(Inputs!$K$5:$AJ$140,0,MATCH(N$2,Inputs!$K$4:$AJ$4,0)))+SUMPRODUCT((Inputs!$E$5:$E$140=$B17)*Inputs!$F$5:$F$140*(((Inputs!$G$5:$G$140="moeda")+(Inputs!$G$5:$G$140="acoes"))*Inputs!$B$1+((Inputs!$G$5:$G$140&lt;&gt;"moeda")*(Inputs!$G$5:$G$140&lt;&gt;"acoes")))*INDEX(Inputs!$K$5:$AJ$140,0,MATCH(N$2,Inputs!$K$4:$AJ$4,0)))))</f>
        <v>4436.302</v>
      </c>
      <c r="O17" s="6">
        <f>IF(ISNA(MATCH(O$2,Inputs!$K$4:$AJ$4,0)),NA(),IF(SUMPRODUCT((Inputs!$A$5:$A$140=$B17)*ISNUMBER(INDEX(Inputs!$K$5:$AJ$140,0,MATCH(O$2,Inputs!$K$4:$AJ$4,0))))+SUMPRODUCT((Inputs!$C$5:$C$140=$B17)*ISNUMBER(INDEX(Inputs!$K$5:$AJ$140,0,MATCH(O$2,Inputs!$K$4:$AJ$4,0))))+SUMPRODUCT((Inputs!$E$5:$E$140=$B17)*ISNUMBER(INDEX(Inputs!$K$5:$AJ$140,0,MATCH(O$2,Inputs!$K$4:$AJ$4,0))))=0,NA(),SUMPRODUCT((Inputs!$A$5:$A$140=$B17)*Inputs!$B$5:$B$140*(((Inputs!$G$5:$G$140="moeda")+(Inputs!$G$5:$G$140="acoes"))*Inputs!$B$1+((Inputs!$G$5:$G$140&lt;&gt;"moeda")*(Inputs!$G$5:$G$140&lt;&gt;"acoes")))*INDEX(Inputs!$K$5:$AJ$140,0,MATCH(O$2,Inputs!$K$4:$AJ$4,0)))+SUMPRODUCT((Inputs!$C$5:$C$140=$B17)*Inputs!$D$5:$D$140*(((Inputs!$G$5:$G$140="moeda")+(Inputs!$G$5:$G$140="acoes"))*Inputs!$B$1+((Inputs!$G$5:$G$140&lt;&gt;"moeda")*(Inputs!$G$5:$G$140&lt;&gt;"acoes")))*INDEX(Inputs!$K$5:$AJ$140,0,MATCH(O$2,Inputs!$K$4:$AJ$4,0)))+SUMPRODUCT((Inputs!$E$5:$E$140=$B17)*Inputs!$F$5:$F$140*(((Inputs!$G$5:$G$140="moeda")+(Inputs!$G$5:$G$140="acoes"))*Inputs!$B$1+((Inputs!$G$5:$G$140&lt;&gt;"moeda")*(Inputs!$G$5:$G$140&lt;&gt;"acoes")))*INDEX(Inputs!$K$5:$AJ$140,0,MATCH(O$2,Inputs!$K$4:$AJ$4,0)))))</f>
        <v>4693.948</v>
      </c>
      <c r="P17" s="6">
        <f>IF(ISNA(MATCH(P$2,Inputs!$K$4:$AJ$4,0)),NA(),IF(SUMPRODUCT((Inputs!$A$5:$A$140=$B17)*ISNUMBER(INDEX(Inputs!$K$5:$AJ$140,0,MATCH(P$2,Inputs!$K$4:$AJ$4,0))))+SUMPRODUCT((Inputs!$C$5:$C$140=$B17)*ISNUMBER(INDEX(Inputs!$K$5:$AJ$140,0,MATCH(P$2,Inputs!$K$4:$AJ$4,0))))+SUMPRODUCT((Inputs!$E$5:$E$140=$B17)*ISNUMBER(INDEX(Inputs!$K$5:$AJ$140,0,MATCH(P$2,Inputs!$K$4:$AJ$4,0))))=0,NA(),SUMPRODUCT((Inputs!$A$5:$A$140=$B17)*Inputs!$B$5:$B$140*(((Inputs!$G$5:$G$140="moeda")+(Inputs!$G$5:$G$140="acoes"))*Inputs!$B$1+((Inputs!$G$5:$G$140&lt;&gt;"moeda")*(Inputs!$G$5:$G$140&lt;&gt;"acoes")))*INDEX(Inputs!$K$5:$AJ$140,0,MATCH(P$2,Inputs!$K$4:$AJ$4,0)))+SUMPRODUCT((Inputs!$C$5:$C$140=$B17)*Inputs!$D$5:$D$140*(((Inputs!$G$5:$G$140="moeda")+(Inputs!$G$5:$G$140="acoes"))*Inputs!$B$1+((Inputs!$G$5:$G$140&lt;&gt;"moeda")*(Inputs!$G$5:$G$140&lt;&gt;"acoes")))*INDEX(Inputs!$K$5:$AJ$140,0,MATCH(P$2,Inputs!$K$4:$AJ$4,0)))+SUMPRODUCT((Inputs!$E$5:$E$140=$B17)*Inputs!$F$5:$F$140*(((Inputs!$G$5:$G$140="moeda")+(Inputs!$G$5:$G$140="acoes"))*Inputs!$B$1+((Inputs!$G$5:$G$140&lt;&gt;"moeda")*(Inputs!$G$5:$G$140&lt;&gt;"acoes")))*INDEX(Inputs!$K$5:$AJ$140,0,MATCH(P$2,Inputs!$K$4:$AJ$4,0)))))</f>
        <v>4939.475</v>
      </c>
      <c r="Q17" s="6">
        <f>IF(ISNA(MATCH(Q$2,Inputs!$K$4:$AJ$4,0)),NA(),IF(SUMPRODUCT((Inputs!$A$5:$A$140=$B17)*ISNUMBER(INDEX(Inputs!$K$5:$AJ$140,0,MATCH(Q$2,Inputs!$K$4:$AJ$4,0))))+SUMPRODUCT((Inputs!$C$5:$C$140=$B17)*ISNUMBER(INDEX(Inputs!$K$5:$AJ$140,0,MATCH(Q$2,Inputs!$K$4:$AJ$4,0))))+SUMPRODUCT((Inputs!$E$5:$E$140=$B17)*ISNUMBER(INDEX(Inputs!$K$5:$AJ$140,0,MATCH(Q$2,Inputs!$K$4:$AJ$4,0))))=0,NA(),SUMPRODUCT((Inputs!$A$5:$A$140=$B17)*Inputs!$B$5:$B$140*(((Inputs!$G$5:$G$140="moeda")+(Inputs!$G$5:$G$140="acoes"))*Inputs!$B$1+((Inputs!$G$5:$G$140&lt;&gt;"moeda")*(Inputs!$G$5:$G$140&lt;&gt;"acoes")))*INDEX(Inputs!$K$5:$AJ$140,0,MATCH(Q$2,Inputs!$K$4:$AJ$4,0)))+SUMPRODUCT((Inputs!$C$5:$C$140=$B17)*Inputs!$D$5:$D$140*(((Inputs!$G$5:$G$140="moeda")+(Inputs!$G$5:$G$140="acoes"))*Inputs!$B$1+((Inputs!$G$5:$G$140&lt;&gt;"moeda")*(Inputs!$G$5:$G$140&lt;&gt;"acoes")))*INDEX(Inputs!$K$5:$AJ$140,0,MATCH(Q$2,Inputs!$K$4:$AJ$4,0)))+SUMPRODUCT((Inputs!$E$5:$E$140=$B17)*Inputs!$F$5:$F$140*(((Inputs!$G$5:$G$140="moeda")+(Inputs!$G$5:$G$140="acoes"))*Inputs!$B$1+((Inputs!$G$5:$G$140&lt;&gt;"moeda")*(Inputs!$G$5:$G$140&lt;&gt;"acoes")))*INDEX(Inputs!$K$5:$AJ$140,0,MATCH(Q$2,Inputs!$K$4:$AJ$4,0)))))</f>
        <v>5087.655</v>
      </c>
      <c r="R17" s="3">
        <f>Q17</f>
        <v>5087.655</v>
      </c>
      <c r="S17" s="6">
        <f>IF(ISNA(MATCH(S$2,Inputs!$K$4:$AJ$4,0)),NA(),IF(SUMPRODUCT((Inputs!$A$5:$A$140=$B17)*ISNUMBER(INDEX(Inputs!$K$5:$AJ$140,0,MATCH(S$2,Inputs!$K$4:$AJ$4,0))))+SUMPRODUCT((Inputs!$C$5:$C$140=$B17)*ISNUMBER(INDEX(Inputs!$K$5:$AJ$140,0,MATCH(S$2,Inputs!$K$4:$AJ$4,0))))+SUMPRODUCT((Inputs!$E$5:$E$140=$B17)*ISNUMBER(INDEX(Inputs!$K$5:$AJ$140,0,MATCH(S$2,Inputs!$K$4:$AJ$4,0))))=0,NA(),SUMPRODUCT((Inputs!$A$5:$A$140=$B17)*Inputs!$B$5:$B$140*(((Inputs!$G$5:$G$140="moeda")+(Inputs!$G$5:$G$140="acoes"))*Inputs!$B$1+((Inputs!$G$5:$G$140&lt;&gt;"moeda")*(Inputs!$G$5:$G$140&lt;&gt;"acoes")))*INDEX(Inputs!$K$5:$AJ$140,0,MATCH(S$2,Inputs!$K$4:$AJ$4,0)))+SUMPRODUCT((Inputs!$C$5:$C$140=$B17)*Inputs!$D$5:$D$140*(((Inputs!$G$5:$G$140="moeda")+(Inputs!$G$5:$G$140="acoes"))*Inputs!$B$1+((Inputs!$G$5:$G$140&lt;&gt;"moeda")*(Inputs!$G$5:$G$140&lt;&gt;"acoes")))*INDEX(Inputs!$K$5:$AJ$140,0,MATCH(S$2,Inputs!$K$4:$AJ$4,0)))+SUMPRODUCT((Inputs!$E$5:$E$140=$B17)*Inputs!$F$5:$F$140*(((Inputs!$G$5:$G$140="moeda")+(Inputs!$G$5:$G$140="acoes"))*Inputs!$B$1+((Inputs!$G$5:$G$140&lt;&gt;"moeda")*(Inputs!$G$5:$G$140&lt;&gt;"acoes")))*INDEX(Inputs!$K$5:$AJ$140,0,MATCH(S$2,Inputs!$K$4:$AJ$4,0)))))</f>
        <v>4957.342</v>
      </c>
      <c r="T17" s="6">
        <f>IF(ISNA(MATCH(T$2,Inputs!$K$4:$AJ$4,0)),NA(),IF(SUMPRODUCT((Inputs!$A$5:$A$140=$B17)*ISNUMBER(INDEX(Inputs!$K$5:$AJ$140,0,MATCH(T$2,Inputs!$K$4:$AJ$4,0))))+SUMPRODUCT((Inputs!$C$5:$C$140=$B17)*ISNUMBER(INDEX(Inputs!$K$5:$AJ$140,0,MATCH(T$2,Inputs!$K$4:$AJ$4,0))))+SUMPRODUCT((Inputs!$E$5:$E$140=$B17)*ISNUMBER(INDEX(Inputs!$K$5:$AJ$140,0,MATCH(T$2,Inputs!$K$4:$AJ$4,0))))=0,NA(),SUMPRODUCT((Inputs!$A$5:$A$140=$B17)*Inputs!$B$5:$B$140*(((Inputs!$G$5:$G$140="moeda")+(Inputs!$G$5:$G$140="acoes"))*Inputs!$B$1+((Inputs!$G$5:$G$140&lt;&gt;"moeda")*(Inputs!$G$5:$G$140&lt;&gt;"acoes")))*INDEX(Inputs!$K$5:$AJ$140,0,MATCH(T$2,Inputs!$K$4:$AJ$4,0)))+SUMPRODUCT((Inputs!$C$5:$C$140=$B17)*Inputs!$D$5:$D$140*(((Inputs!$G$5:$G$140="moeda")+(Inputs!$G$5:$G$140="acoes"))*Inputs!$B$1+((Inputs!$G$5:$G$140&lt;&gt;"moeda")*(Inputs!$G$5:$G$140&lt;&gt;"acoes")))*INDEX(Inputs!$K$5:$AJ$140,0,MATCH(T$2,Inputs!$K$4:$AJ$4,0)))+SUMPRODUCT((Inputs!$E$5:$E$140=$B17)*Inputs!$F$5:$F$140*(((Inputs!$G$5:$G$140="moeda")+(Inputs!$G$5:$G$140="acoes"))*Inputs!$B$1+((Inputs!$G$5:$G$140&lt;&gt;"moeda")*(Inputs!$G$5:$G$140&lt;&gt;"acoes")))*INDEX(Inputs!$K$5:$AJ$140,0,MATCH(T$2,Inputs!$K$4:$AJ$4,0)))))</f>
        <v>5294.057</v>
      </c>
      <c r="U17" s="6">
        <f>IF(ISNA(MATCH(U$2,Inputs!$K$4:$AJ$4,0)),NA(),IF(SUMPRODUCT((Inputs!$A$5:$A$140=$B17)*ISNUMBER(INDEX(Inputs!$K$5:$AJ$140,0,MATCH(U$2,Inputs!$K$4:$AJ$4,0))))+SUMPRODUCT((Inputs!$C$5:$C$140=$B17)*ISNUMBER(INDEX(Inputs!$K$5:$AJ$140,0,MATCH(U$2,Inputs!$K$4:$AJ$4,0))))+SUMPRODUCT((Inputs!$E$5:$E$140=$B17)*ISNUMBER(INDEX(Inputs!$K$5:$AJ$140,0,MATCH(U$2,Inputs!$K$4:$AJ$4,0))))=0,NA(),SUMPRODUCT((Inputs!$A$5:$A$140=$B17)*Inputs!$B$5:$B$140*(((Inputs!$G$5:$G$140="moeda")+(Inputs!$G$5:$G$140="acoes"))*Inputs!$B$1+((Inputs!$G$5:$G$140&lt;&gt;"moeda")*(Inputs!$G$5:$G$140&lt;&gt;"acoes")))*INDEX(Inputs!$K$5:$AJ$140,0,MATCH(U$2,Inputs!$K$4:$AJ$4,0)))+SUMPRODUCT((Inputs!$C$5:$C$140=$B17)*Inputs!$D$5:$D$140*(((Inputs!$G$5:$G$140="moeda")+(Inputs!$G$5:$G$140="acoes"))*Inputs!$B$1+((Inputs!$G$5:$G$140&lt;&gt;"moeda")*(Inputs!$G$5:$G$140&lt;&gt;"acoes")))*INDEX(Inputs!$K$5:$AJ$140,0,MATCH(U$2,Inputs!$K$4:$AJ$4,0)))+SUMPRODUCT((Inputs!$E$5:$E$140=$B17)*Inputs!$F$5:$F$140*(((Inputs!$G$5:$G$140="moeda")+(Inputs!$G$5:$G$140="acoes"))*Inputs!$B$1+((Inputs!$G$5:$G$140&lt;&gt;"moeda")*(Inputs!$G$5:$G$140&lt;&gt;"acoes")))*INDEX(Inputs!$K$5:$AJ$140,0,MATCH(U$2,Inputs!$K$4:$AJ$4,0)))))</f>
        <v>5963.407</v>
      </c>
      <c r="V17" s="6">
        <f>IF(ISNA(MATCH(V$2,Inputs!$K$4:$AJ$4,0)),NA(),IF(SUMPRODUCT((Inputs!$A$5:$A$140=$B17)*ISNUMBER(INDEX(Inputs!$K$5:$AJ$140,0,MATCH(V$2,Inputs!$K$4:$AJ$4,0))))+SUMPRODUCT((Inputs!$C$5:$C$140=$B17)*ISNUMBER(INDEX(Inputs!$K$5:$AJ$140,0,MATCH(V$2,Inputs!$K$4:$AJ$4,0))))+SUMPRODUCT((Inputs!$E$5:$E$140=$B17)*ISNUMBER(INDEX(Inputs!$K$5:$AJ$140,0,MATCH(V$2,Inputs!$K$4:$AJ$4,0))))=0,NA(),SUMPRODUCT((Inputs!$A$5:$A$140=$B17)*Inputs!$B$5:$B$140*(((Inputs!$G$5:$G$140="moeda")+(Inputs!$G$5:$G$140="acoes"))*Inputs!$B$1+((Inputs!$G$5:$G$140&lt;&gt;"moeda")*(Inputs!$G$5:$G$140&lt;&gt;"acoes")))*INDEX(Inputs!$K$5:$AJ$140,0,MATCH(V$2,Inputs!$K$4:$AJ$4,0)))+SUMPRODUCT((Inputs!$C$5:$C$140=$B17)*Inputs!$D$5:$D$140*(((Inputs!$G$5:$G$140="moeda")+(Inputs!$G$5:$G$140="acoes"))*Inputs!$B$1+((Inputs!$G$5:$G$140&lt;&gt;"moeda")*(Inputs!$G$5:$G$140&lt;&gt;"acoes")))*INDEX(Inputs!$K$5:$AJ$140,0,MATCH(V$2,Inputs!$K$4:$AJ$4,0)))+SUMPRODUCT((Inputs!$E$5:$E$140=$B17)*Inputs!$F$5:$F$140*(((Inputs!$G$5:$G$140="moeda")+(Inputs!$G$5:$G$140="acoes"))*Inputs!$B$1+((Inputs!$G$5:$G$140&lt;&gt;"moeda")*(Inputs!$G$5:$G$140&lt;&gt;"acoes")))*INDEX(Inputs!$K$5:$AJ$140,0,MATCH(V$2,Inputs!$K$4:$AJ$4,0)))))</f>
        <v>4939.518</v>
      </c>
      <c r="W17" s="3">
        <f>V17</f>
        <v>4939.518</v>
      </c>
      <c r="X17" s="6">
        <f>IF(ISNA(MATCH(X$2,Inputs!$K$4:$AJ$4,0)),NA(),IF(SUMPRODUCT((Inputs!$A$5:$A$140=$B17)*ISNUMBER(INDEX(Inputs!$K$5:$AJ$140,0,MATCH(X$2,Inputs!$K$4:$AJ$4,0))))+SUMPRODUCT((Inputs!$C$5:$C$140=$B17)*ISNUMBER(INDEX(Inputs!$K$5:$AJ$140,0,MATCH(X$2,Inputs!$K$4:$AJ$4,0))))+SUMPRODUCT((Inputs!$E$5:$E$140=$B17)*ISNUMBER(INDEX(Inputs!$K$5:$AJ$140,0,MATCH(X$2,Inputs!$K$4:$AJ$4,0))))=0,NA(),SUMPRODUCT((Inputs!$A$5:$A$140=$B17)*Inputs!$B$5:$B$140*(((Inputs!$G$5:$G$140="moeda")+(Inputs!$G$5:$G$140="acoes"))*Inputs!$B$1+((Inputs!$G$5:$G$140&lt;&gt;"moeda")*(Inputs!$G$5:$G$140&lt;&gt;"acoes")))*INDEX(Inputs!$K$5:$AJ$140,0,MATCH(X$2,Inputs!$K$4:$AJ$4,0)))+SUMPRODUCT((Inputs!$C$5:$C$140=$B17)*Inputs!$D$5:$D$140*(((Inputs!$G$5:$G$140="moeda")+(Inputs!$G$5:$G$140="acoes"))*Inputs!$B$1+((Inputs!$G$5:$G$140&lt;&gt;"moeda")*(Inputs!$G$5:$G$140&lt;&gt;"acoes")))*INDEX(Inputs!$K$5:$AJ$140,0,MATCH(X$2,Inputs!$K$4:$AJ$4,0)))+SUMPRODUCT((Inputs!$E$5:$E$140=$B17)*Inputs!$F$5:$F$140*(((Inputs!$G$5:$G$140="moeda")+(Inputs!$G$5:$G$140="acoes"))*Inputs!$B$1+((Inputs!$G$5:$G$140&lt;&gt;"moeda")*(Inputs!$G$5:$G$140&lt;&gt;"acoes")))*INDEX(Inputs!$K$5:$AJ$140,0,MATCH(X$2,Inputs!$K$4:$AJ$4,0)))))</f>
        <v>5242.901</v>
      </c>
      <c r="Y17" s="6">
        <f>IF(ISNA(MATCH(Y$2,Inputs!$K$4:$AJ$4,0)),NA(),IF(SUMPRODUCT((Inputs!$A$5:$A$140=$B17)*ISNUMBER(INDEX(Inputs!$K$5:$AJ$140,0,MATCH(Y$2,Inputs!$K$4:$AJ$4,0))))+SUMPRODUCT((Inputs!$C$5:$C$140=$B17)*ISNUMBER(INDEX(Inputs!$K$5:$AJ$140,0,MATCH(Y$2,Inputs!$K$4:$AJ$4,0))))+SUMPRODUCT((Inputs!$E$5:$E$140=$B17)*ISNUMBER(INDEX(Inputs!$K$5:$AJ$140,0,MATCH(Y$2,Inputs!$K$4:$AJ$4,0))))=0,NA(),SUMPRODUCT((Inputs!$A$5:$A$140=$B17)*Inputs!$B$5:$B$140*(((Inputs!$G$5:$G$140="moeda")+(Inputs!$G$5:$G$140="acoes"))*Inputs!$B$1+((Inputs!$G$5:$G$140&lt;&gt;"moeda")*(Inputs!$G$5:$G$140&lt;&gt;"acoes")))*INDEX(Inputs!$K$5:$AJ$140,0,MATCH(Y$2,Inputs!$K$4:$AJ$4,0)))+SUMPRODUCT((Inputs!$C$5:$C$140=$B17)*Inputs!$D$5:$D$140*(((Inputs!$G$5:$G$140="moeda")+(Inputs!$G$5:$G$140="acoes"))*Inputs!$B$1+((Inputs!$G$5:$G$140&lt;&gt;"moeda")*(Inputs!$G$5:$G$140&lt;&gt;"acoes")))*INDEX(Inputs!$K$5:$AJ$140,0,MATCH(Y$2,Inputs!$K$4:$AJ$4,0)))+SUMPRODUCT((Inputs!$E$5:$E$140=$B17)*Inputs!$F$5:$F$140*(((Inputs!$G$5:$G$140="moeda")+(Inputs!$G$5:$G$140="acoes"))*Inputs!$B$1+((Inputs!$G$5:$G$140&lt;&gt;"moeda")*(Inputs!$G$5:$G$140&lt;&gt;"acoes")))*INDEX(Inputs!$K$5:$AJ$140,0,MATCH(Y$2,Inputs!$K$4:$AJ$4,0)))))</f>
        <v>5020.008</v>
      </c>
      <c r="Z17" s="6">
        <f>IF(ISNA(MATCH(Z$2,Inputs!$K$4:$AJ$4,0)),NA(),IF(SUMPRODUCT((Inputs!$A$5:$A$140=$B17)*ISNUMBER(INDEX(Inputs!$K$5:$AJ$140,0,MATCH(Z$2,Inputs!$K$4:$AJ$4,0))))+SUMPRODUCT((Inputs!$C$5:$C$140=$B17)*ISNUMBER(INDEX(Inputs!$K$5:$AJ$140,0,MATCH(Z$2,Inputs!$K$4:$AJ$4,0))))+SUMPRODUCT((Inputs!$E$5:$E$140=$B17)*ISNUMBER(INDEX(Inputs!$K$5:$AJ$140,0,MATCH(Z$2,Inputs!$K$4:$AJ$4,0))))=0,NA(),SUMPRODUCT((Inputs!$A$5:$A$140=$B17)*Inputs!$B$5:$B$140*(((Inputs!$G$5:$G$140="moeda")+(Inputs!$G$5:$G$140="acoes"))*Inputs!$B$1+((Inputs!$G$5:$G$140&lt;&gt;"moeda")*(Inputs!$G$5:$G$140&lt;&gt;"acoes")))*INDEX(Inputs!$K$5:$AJ$140,0,MATCH(Z$2,Inputs!$K$4:$AJ$4,0)))+SUMPRODUCT((Inputs!$C$5:$C$140=$B17)*Inputs!$D$5:$D$140*(((Inputs!$G$5:$G$140="moeda")+(Inputs!$G$5:$G$140="acoes"))*Inputs!$B$1+((Inputs!$G$5:$G$140&lt;&gt;"moeda")*(Inputs!$G$5:$G$140&lt;&gt;"acoes")))*INDEX(Inputs!$K$5:$AJ$140,0,MATCH(Z$2,Inputs!$K$4:$AJ$4,0)))+SUMPRODUCT((Inputs!$E$5:$E$140=$B17)*Inputs!$F$5:$F$140*(((Inputs!$G$5:$G$140="moeda")+(Inputs!$G$5:$G$140="acoes"))*Inputs!$B$1+((Inputs!$G$5:$G$140&lt;&gt;"moeda")*(Inputs!$G$5:$G$140&lt;&gt;"acoes")))*INDEX(Inputs!$K$5:$AJ$140,0,MATCH(Z$2,Inputs!$K$4:$AJ$4,0)))))</f>
        <v>5730.287</v>
      </c>
      <c r="AA17" s="6">
        <f>IF(ISNA(MATCH(AA$2,Inputs!$K$4:$AJ$4,0)),NA(),IF(SUMPRODUCT((Inputs!$A$5:$A$140=$B17)*ISNUMBER(INDEX(Inputs!$K$5:$AJ$140,0,MATCH(AA$2,Inputs!$K$4:$AJ$4,0))))+SUMPRODUCT((Inputs!$C$5:$C$140=$B17)*ISNUMBER(INDEX(Inputs!$K$5:$AJ$140,0,MATCH(AA$2,Inputs!$K$4:$AJ$4,0))))+SUMPRODUCT((Inputs!$E$5:$E$140=$B17)*ISNUMBER(INDEX(Inputs!$K$5:$AJ$140,0,MATCH(AA$2,Inputs!$K$4:$AJ$4,0))))=0,NA(),SUMPRODUCT((Inputs!$A$5:$A$140=$B17)*Inputs!$B$5:$B$140*(((Inputs!$G$5:$G$140="moeda")+(Inputs!$G$5:$G$140="acoes"))*Inputs!$B$1+((Inputs!$G$5:$G$140&lt;&gt;"moeda")*(Inputs!$G$5:$G$140&lt;&gt;"acoes")))*INDEX(Inputs!$K$5:$AJ$140,0,MATCH(AA$2,Inputs!$K$4:$AJ$4,0)))+SUMPRODUCT((Inputs!$C$5:$C$140=$B17)*Inputs!$D$5:$D$140*(((Inputs!$G$5:$G$140="moeda")+(Inputs!$G$5:$G$140="acoes"))*Inputs!$B$1+((Inputs!$G$5:$G$140&lt;&gt;"moeda")*(Inputs!$G$5:$G$140&lt;&gt;"acoes")))*INDEX(Inputs!$K$5:$AJ$140,0,MATCH(AA$2,Inputs!$K$4:$AJ$4,0)))+SUMPRODUCT((Inputs!$E$5:$E$140=$B17)*Inputs!$F$5:$F$140*(((Inputs!$G$5:$G$140="moeda")+(Inputs!$G$5:$G$140="acoes"))*Inputs!$B$1+((Inputs!$G$5:$G$140&lt;&gt;"moeda")*(Inputs!$G$5:$G$140&lt;&gt;"acoes")))*INDEX(Inputs!$K$5:$AJ$140,0,MATCH(AA$2,Inputs!$K$4:$AJ$4,0)))))</f>
        <v>5170.062</v>
      </c>
      <c r="AB17" s="3">
        <f>AA17</f>
        <v>5170.062</v>
      </c>
      <c r="AC17" s="6">
        <f>IF(ISNA(MATCH(AC$2,Inputs!$K$4:$AJ$4,0)),NA(),IF(SUMPRODUCT((Inputs!$A$5:$A$140=$B17)*ISNUMBER(INDEX(Inputs!$K$5:$AJ$140,0,MATCH(AC$2,Inputs!$K$4:$AJ$4,0))))+SUMPRODUCT((Inputs!$C$5:$C$140=$B17)*ISNUMBER(INDEX(Inputs!$K$5:$AJ$140,0,MATCH(AC$2,Inputs!$K$4:$AJ$4,0))))+SUMPRODUCT((Inputs!$E$5:$E$140=$B17)*ISNUMBER(INDEX(Inputs!$K$5:$AJ$140,0,MATCH(AC$2,Inputs!$K$4:$AJ$4,0))))=0,NA(),SUMPRODUCT((Inputs!$A$5:$A$140=$B17)*Inputs!$B$5:$B$140*(((Inputs!$G$5:$G$140="moeda")+(Inputs!$G$5:$G$140="acoes"))*Inputs!$B$1+((Inputs!$G$5:$G$140&lt;&gt;"moeda")*(Inputs!$G$5:$G$140&lt;&gt;"acoes")))*INDEX(Inputs!$K$5:$AJ$140,0,MATCH(AC$2,Inputs!$K$4:$AJ$4,0)))+SUMPRODUCT((Inputs!$C$5:$C$140=$B17)*Inputs!$D$5:$D$140*(((Inputs!$G$5:$G$140="moeda")+(Inputs!$G$5:$G$140="acoes"))*Inputs!$B$1+((Inputs!$G$5:$G$140&lt;&gt;"moeda")*(Inputs!$G$5:$G$140&lt;&gt;"acoes")))*INDEX(Inputs!$K$5:$AJ$140,0,MATCH(AC$2,Inputs!$K$4:$AJ$4,0)))+SUMPRODUCT((Inputs!$E$5:$E$140=$B17)*Inputs!$F$5:$F$140*(((Inputs!$G$5:$G$140="moeda")+(Inputs!$G$5:$G$140="acoes"))*Inputs!$B$1+((Inputs!$G$5:$G$140&lt;&gt;"moeda")*(Inputs!$G$5:$G$140&lt;&gt;"acoes")))*INDEX(Inputs!$K$5:$AJ$140,0,MATCH(AC$2,Inputs!$K$4:$AJ$4,0)))))</f>
        <v>5221.233</v>
      </c>
      <c r="AD17" s="6">
        <f>IF(ISNA(MATCH(AD$2,Inputs!$K$4:$AJ$4,0)),NA(),IF(SUMPRODUCT((Inputs!$A$5:$A$140=$B17)*ISNUMBER(INDEX(Inputs!$K$5:$AJ$140,0,MATCH(AD$2,Inputs!$K$4:$AJ$4,0))))+SUMPRODUCT((Inputs!$C$5:$C$140=$B17)*ISNUMBER(INDEX(Inputs!$K$5:$AJ$140,0,MATCH(AD$2,Inputs!$K$4:$AJ$4,0))))+SUMPRODUCT((Inputs!$E$5:$E$140=$B17)*ISNUMBER(INDEX(Inputs!$K$5:$AJ$140,0,MATCH(AD$2,Inputs!$K$4:$AJ$4,0))))=0,NA(),SUMPRODUCT((Inputs!$A$5:$A$140=$B17)*Inputs!$B$5:$B$140*(((Inputs!$G$5:$G$140="moeda")+(Inputs!$G$5:$G$140="acoes"))*Inputs!$B$1+((Inputs!$G$5:$G$140&lt;&gt;"moeda")*(Inputs!$G$5:$G$140&lt;&gt;"acoes")))*INDEX(Inputs!$K$5:$AJ$140,0,MATCH(AD$2,Inputs!$K$4:$AJ$4,0)))+SUMPRODUCT((Inputs!$C$5:$C$140=$B17)*Inputs!$D$5:$D$140*(((Inputs!$G$5:$G$140="moeda")+(Inputs!$G$5:$G$140="acoes"))*Inputs!$B$1+((Inputs!$G$5:$G$140&lt;&gt;"moeda")*(Inputs!$G$5:$G$140&lt;&gt;"acoes")))*INDEX(Inputs!$K$5:$AJ$140,0,MATCH(AD$2,Inputs!$K$4:$AJ$4,0)))+SUMPRODUCT((Inputs!$E$5:$E$140=$B17)*Inputs!$F$5:$F$140*(((Inputs!$G$5:$G$140="moeda")+(Inputs!$G$5:$G$140="acoes"))*Inputs!$B$1+((Inputs!$G$5:$G$140&lt;&gt;"moeda")*(Inputs!$G$5:$G$140&lt;&gt;"acoes")))*INDEX(Inputs!$K$5:$AJ$140,0,MATCH(AD$2,Inputs!$K$4:$AJ$4,0)))))</f>
        <v>5736.02</v>
      </c>
      <c r="AE17" s="6" t="e">
        <f>IF(ISNA(MATCH(AE$2,Inputs!$K$4:$AJ$4,0)),NA(),IF(SUMPRODUCT((Inputs!$A$5:$A$140=$B17)*ISNUMBER(INDEX(Inputs!$K$5:$AJ$140,0,MATCH(AE$2,Inputs!$K$4:$AJ$4,0))))+SUMPRODUCT((Inputs!$C$5:$C$140=$B17)*ISNUMBER(INDEX(Inputs!$K$5:$AJ$140,0,MATCH(AE$2,Inputs!$K$4:$AJ$4,0))))+SUMPRODUCT((Inputs!$E$5:$E$140=$B17)*ISNUMBER(INDEX(Inputs!$K$5:$AJ$140,0,MATCH(AE$2,Inputs!$K$4:$AJ$4,0))))=0,NA(),SUMPRODUCT((Inputs!$A$5:$A$140=$B17)*Inputs!$B$5:$B$140*(((Inputs!$G$5:$G$140="moeda")+(Inputs!$G$5:$G$140="acoes"))*Inputs!$B$1+((Inputs!$G$5:$G$140&lt;&gt;"moeda")*(Inputs!$G$5:$G$140&lt;&gt;"acoes")))*INDEX(Inputs!$K$5:$AJ$140,0,MATCH(AE$2,Inputs!$K$4:$AJ$4,0)))+SUMPRODUCT((Inputs!$C$5:$C$140=$B17)*Inputs!$D$5:$D$140*(((Inputs!$G$5:$G$140="moeda")+(Inputs!$G$5:$G$140="acoes"))*Inputs!$B$1+((Inputs!$G$5:$G$140&lt;&gt;"moeda")*(Inputs!$G$5:$G$140&lt;&gt;"acoes")))*INDEX(Inputs!$K$5:$AJ$140,0,MATCH(AE$2,Inputs!$K$4:$AJ$4,0)))+SUMPRODUCT((Inputs!$E$5:$E$140=$B17)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7" s="6" t="e">
        <f>IF(ISNA(MATCH(AF$2,Inputs!$K$4:$AJ$4,0)),NA(),IF(SUMPRODUCT((Inputs!$A$5:$A$140=$B17)*ISNUMBER(INDEX(Inputs!$K$5:$AJ$140,0,MATCH(AF$2,Inputs!$K$4:$AJ$4,0))))+SUMPRODUCT((Inputs!$C$5:$C$140=$B17)*ISNUMBER(INDEX(Inputs!$K$5:$AJ$140,0,MATCH(AF$2,Inputs!$K$4:$AJ$4,0))))+SUMPRODUCT((Inputs!$E$5:$E$140=$B17)*ISNUMBER(INDEX(Inputs!$K$5:$AJ$140,0,MATCH(AF$2,Inputs!$K$4:$AJ$4,0))))=0,NA(),SUMPRODUCT((Inputs!$A$5:$A$140=$B17)*Inputs!$B$5:$B$140*(((Inputs!$G$5:$G$140="moeda")+(Inputs!$G$5:$G$140="acoes"))*Inputs!$B$1+((Inputs!$G$5:$G$140&lt;&gt;"moeda")*(Inputs!$G$5:$G$140&lt;&gt;"acoes")))*INDEX(Inputs!$K$5:$AJ$140,0,MATCH(AF$2,Inputs!$K$4:$AJ$4,0)))+SUMPRODUCT((Inputs!$C$5:$C$140=$B17)*Inputs!$D$5:$D$140*(((Inputs!$G$5:$G$140="moeda")+(Inputs!$G$5:$G$140="acoes"))*Inputs!$B$1+((Inputs!$G$5:$G$140&lt;&gt;"moeda")*(Inputs!$G$5:$G$140&lt;&gt;"acoes")))*INDEX(Inputs!$K$5:$AJ$140,0,MATCH(AF$2,Inputs!$K$4:$AJ$4,0)))+SUMPRODUCT((Inputs!$E$5:$E$140=$B17)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7" s="3" t="e">
        <f>AF17</f>
        <v>#N/A</v>
      </c>
      <c r="AH17" s="6" t="e">
        <f>IF(ISNA(MATCH(AH$2,Inputs!$K$4:$AJ$4,0)),NA(),IF(SUMPRODUCT((Inputs!$A$5:$A$140=$B17)*ISNUMBER(INDEX(Inputs!$K$5:$AJ$140,0,MATCH(AH$2,Inputs!$K$4:$AJ$4,0))))+SUMPRODUCT((Inputs!$C$5:$C$140=$B17)*ISNUMBER(INDEX(Inputs!$K$5:$AJ$140,0,MATCH(AH$2,Inputs!$K$4:$AJ$4,0))))+SUMPRODUCT((Inputs!$E$5:$E$140=$B17)*ISNUMBER(INDEX(Inputs!$K$5:$AJ$140,0,MATCH(AH$2,Inputs!$K$4:$AJ$4,0))))=0,NA(),SUMPRODUCT((Inputs!$A$5:$A$140=$B17)*Inputs!$B$5:$B$140*(((Inputs!$G$5:$G$140="moeda")+(Inputs!$G$5:$G$140="acoes"))*Inputs!$B$1+((Inputs!$G$5:$G$140&lt;&gt;"moeda")*(Inputs!$G$5:$G$140&lt;&gt;"acoes")))*INDEX(Inputs!$K$5:$AJ$140,0,MATCH(AH$2,Inputs!$K$4:$AJ$4,0)))+SUMPRODUCT((Inputs!$C$5:$C$140=$B17)*Inputs!$D$5:$D$140*(((Inputs!$G$5:$G$140="moeda")+(Inputs!$G$5:$G$140="acoes"))*Inputs!$B$1+((Inputs!$G$5:$G$140&lt;&gt;"moeda")*(Inputs!$G$5:$G$140&lt;&gt;"acoes")))*INDEX(Inputs!$K$5:$AJ$140,0,MATCH(AH$2,Inputs!$K$4:$AJ$4,0)))+SUMPRODUCT((Inputs!$E$5:$E$140=$B17)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7" s="6">
        <f>IF(ISNA(MATCH(AI$2,Inputs!$K$4:$AJ$4,0)),NA(),IF(SUMPRODUCT((Inputs!$A$5:$A$140=$B17)*ISNUMBER(INDEX(Inputs!$K$5:$AJ$140,0,MATCH(AI$2,Inputs!$K$4:$AJ$4,0))))+SUMPRODUCT((Inputs!$C$5:$C$140=$B17)*ISNUMBER(INDEX(Inputs!$K$5:$AJ$140,0,MATCH(AI$2,Inputs!$K$4:$AJ$4,0))))+SUMPRODUCT((Inputs!$E$5:$E$140=$B17)*ISNUMBER(INDEX(Inputs!$K$5:$AJ$140,0,MATCH(AI$2,Inputs!$K$4:$AJ$4,0))))=0,NA(),SUMPRODUCT((Inputs!$A$5:$A$140=$B17)*Inputs!$B$5:$B$140*(((Inputs!$G$5:$G$140="moeda")+(Inputs!$G$5:$G$140="acoes"))*Inputs!$B$1+((Inputs!$G$5:$G$140&lt;&gt;"moeda")*(Inputs!$G$5:$G$140&lt;&gt;"acoes")))*INDEX(Inputs!$K$5:$AJ$140,0,MATCH(AI$2,Inputs!$K$4:$AJ$4,0)))+SUMPRODUCT((Inputs!$C$5:$C$140=$B17)*Inputs!$D$5:$D$140*(((Inputs!$G$5:$G$140="moeda")+(Inputs!$G$5:$G$140="acoes"))*Inputs!$B$1+((Inputs!$G$5:$G$140&lt;&gt;"moeda")*(Inputs!$G$5:$G$140&lt;&gt;"acoes")))*INDEX(Inputs!$K$5:$AJ$140,0,MATCH(AI$2,Inputs!$K$4:$AJ$4,0)))+SUMPRODUCT((Inputs!$E$5:$E$140=$B17)*Inputs!$F$5:$F$140*(((Inputs!$G$5:$G$140="moeda")+(Inputs!$G$5:$G$140="acoes"))*Inputs!$B$1+((Inputs!$G$5:$G$140&lt;&gt;"moeda")*(Inputs!$G$5:$G$140&lt;&gt;"acoes")))*INDEX(Inputs!$K$5:$AJ$140,0,MATCH(AI$2,Inputs!$K$4:$AJ$4,0)))))</f>
        <v>1587.934</v>
      </c>
      <c r="AJ17" s="6">
        <f>IF(ISNA(MATCH(AJ$2,Inputs!$K$4:$AJ$4,0)),NA(),IF(SUMPRODUCT((Inputs!$A$5:$A$140=$B17)*ISNUMBER(INDEX(Inputs!$K$5:$AJ$140,0,MATCH(AJ$2,Inputs!$K$4:$AJ$4,0))))+SUMPRODUCT((Inputs!$C$5:$C$140=$B17)*ISNUMBER(INDEX(Inputs!$K$5:$AJ$140,0,MATCH(AJ$2,Inputs!$K$4:$AJ$4,0))))+SUMPRODUCT((Inputs!$E$5:$E$140=$B17)*ISNUMBER(INDEX(Inputs!$K$5:$AJ$140,0,MATCH(AJ$2,Inputs!$K$4:$AJ$4,0))))=0,NA(),SUMPRODUCT((Inputs!$A$5:$A$140=$B17)*Inputs!$B$5:$B$140*(((Inputs!$G$5:$G$140="moeda")+(Inputs!$G$5:$G$140="acoes"))*Inputs!$B$1+((Inputs!$G$5:$G$140&lt;&gt;"moeda")*(Inputs!$G$5:$G$140&lt;&gt;"acoes")))*INDEX(Inputs!$K$5:$AJ$140,0,MATCH(AJ$2,Inputs!$K$4:$AJ$4,0)))+SUMPRODUCT((Inputs!$C$5:$C$140=$B17)*Inputs!$D$5:$D$140*(((Inputs!$G$5:$G$140="moeda")+(Inputs!$G$5:$G$140="acoes"))*Inputs!$B$1+((Inputs!$G$5:$G$140&lt;&gt;"moeda")*(Inputs!$G$5:$G$140&lt;&gt;"acoes")))*INDEX(Inputs!$K$5:$AJ$140,0,MATCH(AJ$2,Inputs!$K$4:$AJ$4,0)))+SUMPRODUCT((Inputs!$E$5:$E$140=$B17)*Inputs!$F$5:$F$140*(((Inputs!$G$5:$G$140="moeda")+(Inputs!$G$5:$G$140="acoes"))*Inputs!$B$1+((Inputs!$G$5:$G$140&lt;&gt;"moeda")*(Inputs!$G$5:$G$140&lt;&gt;"acoes")))*INDEX(Inputs!$K$5:$AJ$140,0,MATCH(AJ$2,Inputs!$K$4:$AJ$4,0)))))</f>
        <v>2092.27266586999</v>
      </c>
      <c r="AK17" s="6">
        <f>IF(ISNA(MATCH(AK$2,Inputs!$K$4:$AJ$4,0)),NA(),IF(SUMPRODUCT((Inputs!$A$5:$A$140=$B17)*ISNUMBER(INDEX(Inputs!$K$5:$AJ$140,0,MATCH(AK$2,Inputs!$K$4:$AJ$4,0))))+SUMPRODUCT((Inputs!$C$5:$C$140=$B17)*ISNUMBER(INDEX(Inputs!$K$5:$AJ$140,0,MATCH(AK$2,Inputs!$K$4:$AJ$4,0))))+SUMPRODUCT((Inputs!$E$5:$E$140=$B17)*ISNUMBER(INDEX(Inputs!$K$5:$AJ$140,0,MATCH(AK$2,Inputs!$K$4:$AJ$4,0))))=0,NA(),SUMPRODUCT((Inputs!$A$5:$A$140=$B17)*Inputs!$B$5:$B$140*(((Inputs!$G$5:$G$140="moeda")+(Inputs!$G$5:$G$140="acoes"))*Inputs!$B$1+((Inputs!$G$5:$G$140&lt;&gt;"moeda")*(Inputs!$G$5:$G$140&lt;&gt;"acoes")))*INDEX(Inputs!$K$5:$AJ$140,0,MATCH(AK$2,Inputs!$K$4:$AJ$4,0)))+SUMPRODUCT((Inputs!$C$5:$C$140=$B17)*Inputs!$D$5:$D$140*(((Inputs!$G$5:$G$140="moeda")+(Inputs!$G$5:$G$140="acoes"))*Inputs!$B$1+((Inputs!$G$5:$G$140&lt;&gt;"moeda")*(Inputs!$G$5:$G$140&lt;&gt;"acoes")))*INDEX(Inputs!$K$5:$AJ$140,0,MATCH(AK$2,Inputs!$K$4:$AJ$4,0)))+SUMPRODUCT((Inputs!$E$5:$E$140=$B17)*Inputs!$F$5:$F$140*(((Inputs!$G$5:$G$140="moeda")+(Inputs!$G$5:$G$140="acoes"))*Inputs!$B$1+((Inputs!$G$5:$G$140&lt;&gt;"moeda")*(Inputs!$G$5:$G$140&lt;&gt;"acoes")))*INDEX(Inputs!$K$5:$AJ$140,0,MATCH(AK$2,Inputs!$K$4:$AJ$4,0)))))</f>
        <v>2617.533</v>
      </c>
      <c r="AL17" s="3">
        <f>AK17</f>
        <v>2617.533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$140=$B18)*ISNUMBER(INDEX(Inputs!$K$5:$AJ$140,0,MATCH(D$2,Inputs!$K$4:$AJ$4,0))))+SUMPRODUCT((Inputs!$C$5:$C$140=$B18)*ISNUMBER(INDEX(Inputs!$K$5:$AJ$140,0,MATCH(D$2,Inputs!$K$4:$AJ$4,0))))+SUMPRODUCT((Inputs!$E$5:$E$140=$B18)*ISNUMBER(INDEX(Inputs!$K$5:$AJ$140,0,MATCH(D$2,Inputs!$K$4:$AJ$4,0))))=0,NA(),SUMPRODUCT((Inputs!$A$5:$A$140=$B18)*Inputs!$B$5:$B$140*(((Inputs!$G$5:$G$140="moeda")+(Inputs!$G$5:$G$140="acoes"))*Inputs!$B$1+((Inputs!$G$5:$G$140&lt;&gt;"moeda")*(Inputs!$G$5:$G$140&lt;&gt;"acoes")))*INDEX(Inputs!$K$5:$AJ$140,0,MATCH(D$2,Inputs!$K$4:$AJ$4,0)))+SUMPRODUCT((Inputs!$C$5:$C$140=$B18)*Inputs!$D$5:$D$140*(((Inputs!$G$5:$G$140="moeda")+(Inputs!$G$5:$G$140="acoes"))*Inputs!$B$1+((Inputs!$G$5:$G$140&lt;&gt;"moeda")*(Inputs!$G$5:$G$140&lt;&gt;"acoes")))*INDEX(Inputs!$K$5:$AJ$140,0,MATCH(D$2,Inputs!$K$4:$AJ$4,0)))+SUMPRODUCT((Inputs!$E$5:$E$140=$B18)*Inputs!$F$5:$F$140*(((Inputs!$G$5:$G$140="moeda")+(Inputs!$G$5:$G$140="acoes"))*Inputs!$B$1+((Inputs!$G$5:$G$140&lt;&gt;"moeda")*(Inputs!$G$5:$G$140&lt;&gt;"acoes")))*INDEX(Inputs!$K$5:$AJ$140,0,MATCH(D$2,Inputs!$K$4:$AJ$4,0)))))</f>
        <v>0</v>
      </c>
      <c r="E18" s="6">
        <f>IF(ISNA(MATCH(E$2,Inputs!$K$4:$AJ$4,0)),NA(),IF(SUMPRODUCT((Inputs!$A$5:$A$140=$B18)*ISNUMBER(INDEX(Inputs!$K$5:$AJ$140,0,MATCH(E$2,Inputs!$K$4:$AJ$4,0))))+SUMPRODUCT((Inputs!$C$5:$C$140=$B18)*ISNUMBER(INDEX(Inputs!$K$5:$AJ$140,0,MATCH(E$2,Inputs!$K$4:$AJ$4,0))))+SUMPRODUCT((Inputs!$E$5:$E$140=$B18)*ISNUMBER(INDEX(Inputs!$K$5:$AJ$140,0,MATCH(E$2,Inputs!$K$4:$AJ$4,0))))=0,NA(),SUMPRODUCT((Inputs!$A$5:$A$140=$B18)*Inputs!$B$5:$B$140*(((Inputs!$G$5:$G$140="moeda")+(Inputs!$G$5:$G$140="acoes"))*Inputs!$B$1+((Inputs!$G$5:$G$140&lt;&gt;"moeda")*(Inputs!$G$5:$G$140&lt;&gt;"acoes")))*INDEX(Inputs!$K$5:$AJ$140,0,MATCH(E$2,Inputs!$K$4:$AJ$4,0)))+SUMPRODUCT((Inputs!$C$5:$C$140=$B18)*Inputs!$D$5:$D$140*(((Inputs!$G$5:$G$140="moeda")+(Inputs!$G$5:$G$140="acoes"))*Inputs!$B$1+((Inputs!$G$5:$G$140&lt;&gt;"moeda")*(Inputs!$G$5:$G$140&lt;&gt;"acoes")))*INDEX(Inputs!$K$5:$AJ$140,0,MATCH(E$2,Inputs!$K$4:$AJ$4,0)))+SUMPRODUCT((Inputs!$E$5:$E$140=$B18)*Inputs!$F$5:$F$140*(((Inputs!$G$5:$G$140="moeda")+(Inputs!$G$5:$G$140="acoes"))*Inputs!$B$1+((Inputs!$G$5:$G$140&lt;&gt;"moeda")*(Inputs!$G$5:$G$140&lt;&gt;"acoes")))*INDEX(Inputs!$K$5:$AJ$140,0,MATCH(E$2,Inputs!$K$4:$AJ$4,0)))))</f>
        <v>0</v>
      </c>
      <c r="F18" s="6">
        <f>IF(ISNA(MATCH(F$2,Inputs!$K$4:$AJ$4,0)),NA(),IF(SUMPRODUCT((Inputs!$A$5:$A$140=$B18)*ISNUMBER(INDEX(Inputs!$K$5:$AJ$140,0,MATCH(F$2,Inputs!$K$4:$AJ$4,0))))+SUMPRODUCT((Inputs!$C$5:$C$140=$B18)*ISNUMBER(INDEX(Inputs!$K$5:$AJ$140,0,MATCH(F$2,Inputs!$K$4:$AJ$4,0))))+SUMPRODUCT((Inputs!$E$5:$E$140=$B18)*ISNUMBER(INDEX(Inputs!$K$5:$AJ$140,0,MATCH(F$2,Inputs!$K$4:$AJ$4,0))))=0,NA(),SUMPRODUCT((Inputs!$A$5:$A$140=$B18)*Inputs!$B$5:$B$140*(((Inputs!$G$5:$G$140="moeda")+(Inputs!$G$5:$G$140="acoes"))*Inputs!$B$1+((Inputs!$G$5:$G$140&lt;&gt;"moeda")*(Inputs!$G$5:$G$140&lt;&gt;"acoes")))*INDEX(Inputs!$K$5:$AJ$140,0,MATCH(F$2,Inputs!$K$4:$AJ$4,0)))+SUMPRODUCT((Inputs!$C$5:$C$140=$B18)*Inputs!$D$5:$D$140*(((Inputs!$G$5:$G$140="moeda")+(Inputs!$G$5:$G$140="acoes"))*Inputs!$B$1+((Inputs!$G$5:$G$140&lt;&gt;"moeda")*(Inputs!$G$5:$G$140&lt;&gt;"acoes")))*INDEX(Inputs!$K$5:$AJ$140,0,MATCH(F$2,Inputs!$K$4:$AJ$4,0)))+SUMPRODUCT((Inputs!$E$5:$E$140=$B18)*Inputs!$F$5:$F$140*(((Inputs!$G$5:$G$140="moeda")+(Inputs!$G$5:$G$140="acoes"))*Inputs!$B$1+((Inputs!$G$5:$G$140&lt;&gt;"moeda")*(Inputs!$G$5:$G$140&lt;&gt;"acoes")))*INDEX(Inputs!$K$5:$AJ$140,0,MATCH(F$2,Inputs!$K$4:$AJ$4,0)))))</f>
        <v>0</v>
      </c>
      <c r="G18" s="6">
        <f>IF(ISNA(MATCH(G$2,Inputs!$K$4:$AJ$4,0)),NA(),IF(SUMPRODUCT((Inputs!$A$5:$A$140=$B18)*ISNUMBER(INDEX(Inputs!$K$5:$AJ$140,0,MATCH(G$2,Inputs!$K$4:$AJ$4,0))))+SUMPRODUCT((Inputs!$C$5:$C$140=$B18)*ISNUMBER(INDEX(Inputs!$K$5:$AJ$140,0,MATCH(G$2,Inputs!$K$4:$AJ$4,0))))+SUMPRODUCT((Inputs!$E$5:$E$140=$B18)*ISNUMBER(INDEX(Inputs!$K$5:$AJ$140,0,MATCH(G$2,Inputs!$K$4:$AJ$4,0))))=0,NA(),SUMPRODUCT((Inputs!$A$5:$A$140=$B18)*Inputs!$B$5:$B$140*(((Inputs!$G$5:$G$140="moeda")+(Inputs!$G$5:$G$140="acoes"))*Inputs!$B$1+((Inputs!$G$5:$G$140&lt;&gt;"moeda")*(Inputs!$G$5:$G$140&lt;&gt;"acoes")))*INDEX(Inputs!$K$5:$AJ$140,0,MATCH(G$2,Inputs!$K$4:$AJ$4,0)))+SUMPRODUCT((Inputs!$C$5:$C$140=$B18)*Inputs!$D$5:$D$140*(((Inputs!$G$5:$G$140="moeda")+(Inputs!$G$5:$G$140="acoes"))*Inputs!$B$1+((Inputs!$G$5:$G$140&lt;&gt;"moeda")*(Inputs!$G$5:$G$140&lt;&gt;"acoes")))*INDEX(Inputs!$K$5:$AJ$140,0,MATCH(G$2,Inputs!$K$4:$AJ$4,0)))+SUMPRODUCT((Inputs!$E$5:$E$140=$B18)*Inputs!$F$5:$F$140*(((Inputs!$G$5:$G$140="moeda")+(Inputs!$G$5:$G$140="acoes"))*Inputs!$B$1+((Inputs!$G$5:$G$140&lt;&gt;"moeda")*(Inputs!$G$5:$G$140&lt;&gt;"acoes")))*INDEX(Inputs!$K$5:$AJ$140,0,MATCH(G$2,Inputs!$K$4:$AJ$4,0)))))</f>
        <v>0</v>
      </c>
      <c r="H18" s="3">
        <f>G18</f>
        <v>0</v>
      </c>
      <c r="I18" s="6">
        <f>IF(ISNA(MATCH(I$2,Inputs!$K$4:$AJ$4,0)),NA(),IF(SUMPRODUCT((Inputs!$A$5:$A$140=$B18)*ISNUMBER(INDEX(Inputs!$K$5:$AJ$140,0,MATCH(I$2,Inputs!$K$4:$AJ$4,0))))+SUMPRODUCT((Inputs!$C$5:$C$140=$B18)*ISNUMBER(INDEX(Inputs!$K$5:$AJ$140,0,MATCH(I$2,Inputs!$K$4:$AJ$4,0))))+SUMPRODUCT((Inputs!$E$5:$E$140=$B18)*ISNUMBER(INDEX(Inputs!$K$5:$AJ$140,0,MATCH(I$2,Inputs!$K$4:$AJ$4,0))))=0,NA(),SUMPRODUCT((Inputs!$A$5:$A$140=$B18)*Inputs!$B$5:$B$140*(((Inputs!$G$5:$G$140="moeda")+(Inputs!$G$5:$G$140="acoes"))*Inputs!$B$1+((Inputs!$G$5:$G$140&lt;&gt;"moeda")*(Inputs!$G$5:$G$140&lt;&gt;"acoes")))*INDEX(Inputs!$K$5:$AJ$140,0,MATCH(I$2,Inputs!$K$4:$AJ$4,0)))+SUMPRODUCT((Inputs!$C$5:$C$140=$B18)*Inputs!$D$5:$D$140*(((Inputs!$G$5:$G$140="moeda")+(Inputs!$G$5:$G$140="acoes"))*Inputs!$B$1+((Inputs!$G$5:$G$140&lt;&gt;"moeda")*(Inputs!$G$5:$G$140&lt;&gt;"acoes")))*INDEX(Inputs!$K$5:$AJ$140,0,MATCH(I$2,Inputs!$K$4:$AJ$4,0)))+SUMPRODUCT((Inputs!$E$5:$E$140=$B18)*Inputs!$F$5:$F$140*(((Inputs!$G$5:$G$140="moeda")+(Inputs!$G$5:$G$140="acoes"))*Inputs!$B$1+((Inputs!$G$5:$G$140&lt;&gt;"moeda")*(Inputs!$G$5:$G$140&lt;&gt;"acoes")))*INDEX(Inputs!$K$5:$AJ$140,0,MATCH(I$2,Inputs!$K$4:$AJ$4,0)))))</f>
        <v>0</v>
      </c>
      <c r="J18" s="6">
        <f>IF(ISNA(MATCH(J$2,Inputs!$K$4:$AJ$4,0)),NA(),IF(SUMPRODUCT((Inputs!$A$5:$A$140=$B18)*ISNUMBER(INDEX(Inputs!$K$5:$AJ$140,0,MATCH(J$2,Inputs!$K$4:$AJ$4,0))))+SUMPRODUCT((Inputs!$C$5:$C$140=$B18)*ISNUMBER(INDEX(Inputs!$K$5:$AJ$140,0,MATCH(J$2,Inputs!$K$4:$AJ$4,0))))+SUMPRODUCT((Inputs!$E$5:$E$140=$B18)*ISNUMBER(INDEX(Inputs!$K$5:$AJ$140,0,MATCH(J$2,Inputs!$K$4:$AJ$4,0))))=0,NA(),SUMPRODUCT((Inputs!$A$5:$A$140=$B18)*Inputs!$B$5:$B$140*(((Inputs!$G$5:$G$140="moeda")+(Inputs!$G$5:$G$140="acoes"))*Inputs!$B$1+((Inputs!$G$5:$G$140&lt;&gt;"moeda")*(Inputs!$G$5:$G$140&lt;&gt;"acoes")))*INDEX(Inputs!$K$5:$AJ$140,0,MATCH(J$2,Inputs!$K$4:$AJ$4,0)))+SUMPRODUCT((Inputs!$C$5:$C$140=$B18)*Inputs!$D$5:$D$140*(((Inputs!$G$5:$G$140="moeda")+(Inputs!$G$5:$G$140="acoes"))*Inputs!$B$1+((Inputs!$G$5:$G$140&lt;&gt;"moeda")*(Inputs!$G$5:$G$140&lt;&gt;"acoes")))*INDEX(Inputs!$K$5:$AJ$140,0,MATCH(J$2,Inputs!$K$4:$AJ$4,0)))+SUMPRODUCT((Inputs!$E$5:$E$140=$B18)*Inputs!$F$5:$F$140*(((Inputs!$G$5:$G$140="moeda")+(Inputs!$G$5:$G$140="acoes"))*Inputs!$B$1+((Inputs!$G$5:$G$140&lt;&gt;"moeda")*(Inputs!$G$5:$G$140&lt;&gt;"acoes")))*INDEX(Inputs!$K$5:$AJ$140,0,MATCH(J$2,Inputs!$K$4:$AJ$4,0)))))</f>
        <v>0</v>
      </c>
      <c r="K18" s="6">
        <f>IF(ISNA(MATCH(K$2,Inputs!$K$4:$AJ$4,0)),NA(),IF(SUMPRODUCT((Inputs!$A$5:$A$140=$B18)*ISNUMBER(INDEX(Inputs!$K$5:$AJ$140,0,MATCH(K$2,Inputs!$K$4:$AJ$4,0))))+SUMPRODUCT((Inputs!$C$5:$C$140=$B18)*ISNUMBER(INDEX(Inputs!$K$5:$AJ$140,0,MATCH(K$2,Inputs!$K$4:$AJ$4,0))))+SUMPRODUCT((Inputs!$E$5:$E$140=$B18)*ISNUMBER(INDEX(Inputs!$K$5:$AJ$140,0,MATCH(K$2,Inputs!$K$4:$AJ$4,0))))=0,NA(),SUMPRODUCT((Inputs!$A$5:$A$140=$B18)*Inputs!$B$5:$B$140*(((Inputs!$G$5:$G$140="moeda")+(Inputs!$G$5:$G$140="acoes"))*Inputs!$B$1+((Inputs!$G$5:$G$140&lt;&gt;"moeda")*(Inputs!$G$5:$G$140&lt;&gt;"acoes")))*INDEX(Inputs!$K$5:$AJ$140,0,MATCH(K$2,Inputs!$K$4:$AJ$4,0)))+SUMPRODUCT((Inputs!$C$5:$C$140=$B18)*Inputs!$D$5:$D$140*(((Inputs!$G$5:$G$140="moeda")+(Inputs!$G$5:$G$140="acoes"))*Inputs!$B$1+((Inputs!$G$5:$G$140&lt;&gt;"moeda")*(Inputs!$G$5:$G$140&lt;&gt;"acoes")))*INDEX(Inputs!$K$5:$AJ$140,0,MATCH(K$2,Inputs!$K$4:$AJ$4,0)))+SUMPRODUCT((Inputs!$E$5:$E$140=$B18)*Inputs!$F$5:$F$140*(((Inputs!$G$5:$G$140="moeda")+(Inputs!$G$5:$G$140="acoes"))*Inputs!$B$1+((Inputs!$G$5:$G$140&lt;&gt;"moeda")*(Inputs!$G$5:$G$140&lt;&gt;"acoes")))*INDEX(Inputs!$K$5:$AJ$140,0,MATCH(K$2,Inputs!$K$4:$AJ$4,0)))))</f>
        <v>0</v>
      </c>
      <c r="L18" s="6">
        <f>IF(ISNA(MATCH(L$2,Inputs!$K$4:$AJ$4,0)),NA(),IF(SUMPRODUCT((Inputs!$A$5:$A$140=$B18)*ISNUMBER(INDEX(Inputs!$K$5:$AJ$140,0,MATCH(L$2,Inputs!$K$4:$AJ$4,0))))+SUMPRODUCT((Inputs!$C$5:$C$140=$B18)*ISNUMBER(INDEX(Inputs!$K$5:$AJ$140,0,MATCH(L$2,Inputs!$K$4:$AJ$4,0))))+SUMPRODUCT((Inputs!$E$5:$E$140=$B18)*ISNUMBER(INDEX(Inputs!$K$5:$AJ$140,0,MATCH(L$2,Inputs!$K$4:$AJ$4,0))))=0,NA(),SUMPRODUCT((Inputs!$A$5:$A$140=$B18)*Inputs!$B$5:$B$140*(((Inputs!$G$5:$G$140="moeda")+(Inputs!$G$5:$G$140="acoes"))*Inputs!$B$1+((Inputs!$G$5:$G$140&lt;&gt;"moeda")*(Inputs!$G$5:$G$140&lt;&gt;"acoes")))*INDEX(Inputs!$K$5:$AJ$140,0,MATCH(L$2,Inputs!$K$4:$AJ$4,0)))+SUMPRODUCT((Inputs!$C$5:$C$140=$B18)*Inputs!$D$5:$D$140*(((Inputs!$G$5:$G$140="moeda")+(Inputs!$G$5:$G$140="acoes"))*Inputs!$B$1+((Inputs!$G$5:$G$140&lt;&gt;"moeda")*(Inputs!$G$5:$G$140&lt;&gt;"acoes")))*INDEX(Inputs!$K$5:$AJ$140,0,MATCH(L$2,Inputs!$K$4:$AJ$4,0)))+SUMPRODUCT((Inputs!$E$5:$E$140=$B18)*Inputs!$F$5:$F$140*(((Inputs!$G$5:$G$140="moeda")+(Inputs!$G$5:$G$140="acoes"))*Inputs!$B$1+((Inputs!$G$5:$G$140&lt;&gt;"moeda")*(Inputs!$G$5:$G$140&lt;&gt;"acoes")))*INDEX(Inputs!$K$5:$AJ$140,0,MATCH(L$2,Inputs!$K$4:$AJ$4,0)))))</f>
        <v>0</v>
      </c>
      <c r="M18" s="3">
        <f>L18</f>
        <v>0</v>
      </c>
      <c r="N18" s="6">
        <f>IF(ISNA(MATCH(N$2,Inputs!$K$4:$AJ$4,0)),NA(),IF(SUMPRODUCT((Inputs!$A$5:$A$140=$B18)*ISNUMBER(INDEX(Inputs!$K$5:$AJ$140,0,MATCH(N$2,Inputs!$K$4:$AJ$4,0))))+SUMPRODUCT((Inputs!$C$5:$C$140=$B18)*ISNUMBER(INDEX(Inputs!$K$5:$AJ$140,0,MATCH(N$2,Inputs!$K$4:$AJ$4,0))))+SUMPRODUCT((Inputs!$E$5:$E$140=$B18)*ISNUMBER(INDEX(Inputs!$K$5:$AJ$140,0,MATCH(N$2,Inputs!$K$4:$AJ$4,0))))=0,NA(),SUMPRODUCT((Inputs!$A$5:$A$140=$B18)*Inputs!$B$5:$B$140*(((Inputs!$G$5:$G$140="moeda")+(Inputs!$G$5:$G$140="acoes"))*Inputs!$B$1+((Inputs!$G$5:$G$140&lt;&gt;"moeda")*(Inputs!$G$5:$G$140&lt;&gt;"acoes")))*INDEX(Inputs!$K$5:$AJ$140,0,MATCH(N$2,Inputs!$K$4:$AJ$4,0)))+SUMPRODUCT((Inputs!$C$5:$C$140=$B18)*Inputs!$D$5:$D$140*(((Inputs!$G$5:$G$140="moeda")+(Inputs!$G$5:$G$140="acoes"))*Inputs!$B$1+((Inputs!$G$5:$G$140&lt;&gt;"moeda")*(Inputs!$G$5:$G$140&lt;&gt;"acoes")))*INDEX(Inputs!$K$5:$AJ$140,0,MATCH(N$2,Inputs!$K$4:$AJ$4,0)))+SUMPRODUCT((Inputs!$E$5:$E$140=$B18)*Inputs!$F$5:$F$140*(((Inputs!$G$5:$G$140="moeda")+(Inputs!$G$5:$G$140="acoes"))*Inputs!$B$1+((Inputs!$G$5:$G$140&lt;&gt;"moeda")*(Inputs!$G$5:$G$140&lt;&gt;"acoes")))*INDEX(Inputs!$K$5:$AJ$140,0,MATCH(N$2,Inputs!$K$4:$AJ$4,0)))))</f>
        <v>0</v>
      </c>
      <c r="O18" s="6">
        <f>IF(ISNA(MATCH(O$2,Inputs!$K$4:$AJ$4,0)),NA(),IF(SUMPRODUCT((Inputs!$A$5:$A$140=$B18)*ISNUMBER(INDEX(Inputs!$K$5:$AJ$140,0,MATCH(O$2,Inputs!$K$4:$AJ$4,0))))+SUMPRODUCT((Inputs!$C$5:$C$140=$B18)*ISNUMBER(INDEX(Inputs!$K$5:$AJ$140,0,MATCH(O$2,Inputs!$K$4:$AJ$4,0))))+SUMPRODUCT((Inputs!$E$5:$E$140=$B18)*ISNUMBER(INDEX(Inputs!$K$5:$AJ$140,0,MATCH(O$2,Inputs!$K$4:$AJ$4,0))))=0,NA(),SUMPRODUCT((Inputs!$A$5:$A$140=$B18)*Inputs!$B$5:$B$140*(((Inputs!$G$5:$G$140="moeda")+(Inputs!$G$5:$G$140="acoes"))*Inputs!$B$1+((Inputs!$G$5:$G$140&lt;&gt;"moeda")*(Inputs!$G$5:$G$140&lt;&gt;"acoes")))*INDEX(Inputs!$K$5:$AJ$140,0,MATCH(O$2,Inputs!$K$4:$AJ$4,0)))+SUMPRODUCT((Inputs!$C$5:$C$140=$B18)*Inputs!$D$5:$D$140*(((Inputs!$G$5:$G$140="moeda")+(Inputs!$G$5:$G$140="acoes"))*Inputs!$B$1+((Inputs!$G$5:$G$140&lt;&gt;"moeda")*(Inputs!$G$5:$G$140&lt;&gt;"acoes")))*INDEX(Inputs!$K$5:$AJ$140,0,MATCH(O$2,Inputs!$K$4:$AJ$4,0)))+SUMPRODUCT((Inputs!$E$5:$E$140=$B18)*Inputs!$F$5:$F$140*(((Inputs!$G$5:$G$140="moeda")+(Inputs!$G$5:$G$140="acoes"))*Inputs!$B$1+((Inputs!$G$5:$G$140&lt;&gt;"moeda")*(Inputs!$G$5:$G$140&lt;&gt;"acoes")))*INDEX(Inputs!$K$5:$AJ$140,0,MATCH(O$2,Inputs!$K$4:$AJ$4,0)))))</f>
        <v>0</v>
      </c>
      <c r="P18" s="6">
        <f>IF(ISNA(MATCH(P$2,Inputs!$K$4:$AJ$4,0)),NA(),IF(SUMPRODUCT((Inputs!$A$5:$A$140=$B18)*ISNUMBER(INDEX(Inputs!$K$5:$AJ$140,0,MATCH(P$2,Inputs!$K$4:$AJ$4,0))))+SUMPRODUCT((Inputs!$C$5:$C$140=$B18)*ISNUMBER(INDEX(Inputs!$K$5:$AJ$140,0,MATCH(P$2,Inputs!$K$4:$AJ$4,0))))+SUMPRODUCT((Inputs!$E$5:$E$140=$B18)*ISNUMBER(INDEX(Inputs!$K$5:$AJ$140,0,MATCH(P$2,Inputs!$K$4:$AJ$4,0))))=0,NA(),SUMPRODUCT((Inputs!$A$5:$A$140=$B18)*Inputs!$B$5:$B$140*(((Inputs!$G$5:$G$140="moeda")+(Inputs!$G$5:$G$140="acoes"))*Inputs!$B$1+((Inputs!$G$5:$G$140&lt;&gt;"moeda")*(Inputs!$G$5:$G$140&lt;&gt;"acoes")))*INDEX(Inputs!$K$5:$AJ$140,0,MATCH(P$2,Inputs!$K$4:$AJ$4,0)))+SUMPRODUCT((Inputs!$C$5:$C$140=$B18)*Inputs!$D$5:$D$140*(((Inputs!$G$5:$G$140="moeda")+(Inputs!$G$5:$G$140="acoes"))*Inputs!$B$1+((Inputs!$G$5:$G$140&lt;&gt;"moeda")*(Inputs!$G$5:$G$140&lt;&gt;"acoes")))*INDEX(Inputs!$K$5:$AJ$140,0,MATCH(P$2,Inputs!$K$4:$AJ$4,0)))+SUMPRODUCT((Inputs!$E$5:$E$140=$B18)*Inputs!$F$5:$F$140*(((Inputs!$G$5:$G$140="moeda")+(Inputs!$G$5:$G$140="acoes"))*Inputs!$B$1+((Inputs!$G$5:$G$140&lt;&gt;"moeda")*(Inputs!$G$5:$G$140&lt;&gt;"acoes")))*INDEX(Inputs!$K$5:$AJ$140,0,MATCH(P$2,Inputs!$K$4:$AJ$4,0)))))</f>
        <v>0</v>
      </c>
      <c r="Q18" s="6">
        <f>IF(ISNA(MATCH(Q$2,Inputs!$K$4:$AJ$4,0)),NA(),IF(SUMPRODUCT((Inputs!$A$5:$A$140=$B18)*ISNUMBER(INDEX(Inputs!$K$5:$AJ$140,0,MATCH(Q$2,Inputs!$K$4:$AJ$4,0))))+SUMPRODUCT((Inputs!$C$5:$C$140=$B18)*ISNUMBER(INDEX(Inputs!$K$5:$AJ$140,0,MATCH(Q$2,Inputs!$K$4:$AJ$4,0))))+SUMPRODUCT((Inputs!$E$5:$E$140=$B18)*ISNUMBER(INDEX(Inputs!$K$5:$AJ$140,0,MATCH(Q$2,Inputs!$K$4:$AJ$4,0))))=0,NA(),SUMPRODUCT((Inputs!$A$5:$A$140=$B18)*Inputs!$B$5:$B$140*(((Inputs!$G$5:$G$140="moeda")+(Inputs!$G$5:$G$140="acoes"))*Inputs!$B$1+((Inputs!$G$5:$G$140&lt;&gt;"moeda")*(Inputs!$G$5:$G$140&lt;&gt;"acoes")))*INDEX(Inputs!$K$5:$AJ$140,0,MATCH(Q$2,Inputs!$K$4:$AJ$4,0)))+SUMPRODUCT((Inputs!$C$5:$C$140=$B18)*Inputs!$D$5:$D$140*(((Inputs!$G$5:$G$140="moeda")+(Inputs!$G$5:$G$140="acoes"))*Inputs!$B$1+((Inputs!$G$5:$G$140&lt;&gt;"moeda")*(Inputs!$G$5:$G$140&lt;&gt;"acoes")))*INDEX(Inputs!$K$5:$AJ$140,0,MATCH(Q$2,Inputs!$K$4:$AJ$4,0)))+SUMPRODUCT((Inputs!$E$5:$E$140=$B18)*Inputs!$F$5:$F$140*(((Inputs!$G$5:$G$140="moeda")+(Inputs!$G$5:$G$140="acoes"))*Inputs!$B$1+((Inputs!$G$5:$G$140&lt;&gt;"moeda")*(Inputs!$G$5:$G$140&lt;&gt;"acoes")))*INDEX(Inputs!$K$5:$AJ$140,0,MATCH(Q$2,Inputs!$K$4:$AJ$4,0)))))</f>
        <v>0</v>
      </c>
      <c r="R18" s="3">
        <f>Q18</f>
        <v>0</v>
      </c>
      <c r="S18" s="6">
        <f>IF(ISNA(MATCH(S$2,Inputs!$K$4:$AJ$4,0)),NA(),IF(SUMPRODUCT((Inputs!$A$5:$A$140=$B18)*ISNUMBER(INDEX(Inputs!$K$5:$AJ$140,0,MATCH(S$2,Inputs!$K$4:$AJ$4,0))))+SUMPRODUCT((Inputs!$C$5:$C$140=$B18)*ISNUMBER(INDEX(Inputs!$K$5:$AJ$140,0,MATCH(S$2,Inputs!$K$4:$AJ$4,0))))+SUMPRODUCT((Inputs!$E$5:$E$140=$B18)*ISNUMBER(INDEX(Inputs!$K$5:$AJ$140,0,MATCH(S$2,Inputs!$K$4:$AJ$4,0))))=0,NA(),SUMPRODUCT((Inputs!$A$5:$A$140=$B18)*Inputs!$B$5:$B$140*(((Inputs!$G$5:$G$140="moeda")+(Inputs!$G$5:$G$140="acoes"))*Inputs!$B$1+((Inputs!$G$5:$G$140&lt;&gt;"moeda")*(Inputs!$G$5:$G$140&lt;&gt;"acoes")))*INDEX(Inputs!$K$5:$AJ$140,0,MATCH(S$2,Inputs!$K$4:$AJ$4,0)))+SUMPRODUCT((Inputs!$C$5:$C$140=$B18)*Inputs!$D$5:$D$140*(((Inputs!$G$5:$G$140="moeda")+(Inputs!$G$5:$G$140="acoes"))*Inputs!$B$1+((Inputs!$G$5:$G$140&lt;&gt;"moeda")*(Inputs!$G$5:$G$140&lt;&gt;"acoes")))*INDEX(Inputs!$K$5:$AJ$140,0,MATCH(S$2,Inputs!$K$4:$AJ$4,0)))+SUMPRODUCT((Inputs!$E$5:$E$140=$B18)*Inputs!$F$5:$F$140*(((Inputs!$G$5:$G$140="moeda")+(Inputs!$G$5:$G$140="acoes"))*Inputs!$B$1+((Inputs!$G$5:$G$140&lt;&gt;"moeda")*(Inputs!$G$5:$G$140&lt;&gt;"acoes")))*INDEX(Inputs!$K$5:$AJ$140,0,MATCH(S$2,Inputs!$K$4:$AJ$4,0)))))</f>
        <v>42.1</v>
      </c>
      <c r="T18" s="6">
        <f>IF(ISNA(MATCH(T$2,Inputs!$K$4:$AJ$4,0)),NA(),IF(SUMPRODUCT((Inputs!$A$5:$A$140=$B18)*ISNUMBER(INDEX(Inputs!$K$5:$AJ$140,0,MATCH(T$2,Inputs!$K$4:$AJ$4,0))))+SUMPRODUCT((Inputs!$C$5:$C$140=$B18)*ISNUMBER(INDEX(Inputs!$K$5:$AJ$140,0,MATCH(T$2,Inputs!$K$4:$AJ$4,0))))+SUMPRODUCT((Inputs!$E$5:$E$140=$B18)*ISNUMBER(INDEX(Inputs!$K$5:$AJ$140,0,MATCH(T$2,Inputs!$K$4:$AJ$4,0))))=0,NA(),SUMPRODUCT((Inputs!$A$5:$A$140=$B18)*Inputs!$B$5:$B$140*(((Inputs!$G$5:$G$140="moeda")+(Inputs!$G$5:$G$140="acoes"))*Inputs!$B$1+((Inputs!$G$5:$G$140&lt;&gt;"moeda")*(Inputs!$G$5:$G$140&lt;&gt;"acoes")))*INDEX(Inputs!$K$5:$AJ$140,0,MATCH(T$2,Inputs!$K$4:$AJ$4,0)))+SUMPRODUCT((Inputs!$C$5:$C$140=$B18)*Inputs!$D$5:$D$140*(((Inputs!$G$5:$G$140="moeda")+(Inputs!$G$5:$G$140="acoes"))*Inputs!$B$1+((Inputs!$G$5:$G$140&lt;&gt;"moeda")*(Inputs!$G$5:$G$140&lt;&gt;"acoes")))*INDEX(Inputs!$K$5:$AJ$140,0,MATCH(T$2,Inputs!$K$4:$AJ$4,0)))+SUMPRODUCT((Inputs!$E$5:$E$140=$B18)*Inputs!$F$5:$F$140*(((Inputs!$G$5:$G$140="moeda")+(Inputs!$G$5:$G$140="acoes"))*Inputs!$B$1+((Inputs!$G$5:$G$140&lt;&gt;"moeda")*(Inputs!$G$5:$G$140&lt;&gt;"acoes")))*INDEX(Inputs!$K$5:$AJ$140,0,MATCH(T$2,Inputs!$K$4:$AJ$4,0)))))</f>
        <v>139.576</v>
      </c>
      <c r="U18" s="6">
        <f>IF(ISNA(MATCH(U$2,Inputs!$K$4:$AJ$4,0)),NA(),IF(SUMPRODUCT((Inputs!$A$5:$A$140=$B18)*ISNUMBER(INDEX(Inputs!$K$5:$AJ$140,0,MATCH(U$2,Inputs!$K$4:$AJ$4,0))))+SUMPRODUCT((Inputs!$C$5:$C$140=$B18)*ISNUMBER(INDEX(Inputs!$K$5:$AJ$140,0,MATCH(U$2,Inputs!$K$4:$AJ$4,0))))+SUMPRODUCT((Inputs!$E$5:$E$140=$B18)*ISNUMBER(INDEX(Inputs!$K$5:$AJ$140,0,MATCH(U$2,Inputs!$K$4:$AJ$4,0))))=0,NA(),SUMPRODUCT((Inputs!$A$5:$A$140=$B18)*Inputs!$B$5:$B$140*(((Inputs!$G$5:$G$140="moeda")+(Inputs!$G$5:$G$140="acoes"))*Inputs!$B$1+((Inputs!$G$5:$G$140&lt;&gt;"moeda")*(Inputs!$G$5:$G$140&lt;&gt;"acoes")))*INDEX(Inputs!$K$5:$AJ$140,0,MATCH(U$2,Inputs!$K$4:$AJ$4,0)))+SUMPRODUCT((Inputs!$C$5:$C$140=$B18)*Inputs!$D$5:$D$140*(((Inputs!$G$5:$G$140="moeda")+(Inputs!$G$5:$G$140="acoes"))*Inputs!$B$1+((Inputs!$G$5:$G$140&lt;&gt;"moeda")*(Inputs!$G$5:$G$140&lt;&gt;"acoes")))*INDEX(Inputs!$K$5:$AJ$140,0,MATCH(U$2,Inputs!$K$4:$AJ$4,0)))+SUMPRODUCT((Inputs!$E$5:$E$140=$B18)*Inputs!$F$5:$F$140*(((Inputs!$G$5:$G$140="moeda")+(Inputs!$G$5:$G$140="acoes"))*Inputs!$B$1+((Inputs!$G$5:$G$140&lt;&gt;"moeda")*(Inputs!$G$5:$G$140&lt;&gt;"acoes")))*INDEX(Inputs!$K$5:$AJ$140,0,MATCH(U$2,Inputs!$K$4:$AJ$4,0)))))</f>
        <v>203.29</v>
      </c>
      <c r="V18" s="6">
        <f>IF(ISNA(MATCH(V$2,Inputs!$K$4:$AJ$4,0)),NA(),IF(SUMPRODUCT((Inputs!$A$5:$A$140=$B18)*ISNUMBER(INDEX(Inputs!$K$5:$AJ$140,0,MATCH(V$2,Inputs!$K$4:$AJ$4,0))))+SUMPRODUCT((Inputs!$C$5:$C$140=$B18)*ISNUMBER(INDEX(Inputs!$K$5:$AJ$140,0,MATCH(V$2,Inputs!$K$4:$AJ$4,0))))+SUMPRODUCT((Inputs!$E$5:$E$140=$B18)*ISNUMBER(INDEX(Inputs!$K$5:$AJ$140,0,MATCH(V$2,Inputs!$K$4:$AJ$4,0))))=0,NA(),SUMPRODUCT((Inputs!$A$5:$A$140=$B18)*Inputs!$B$5:$B$140*(((Inputs!$G$5:$G$140="moeda")+(Inputs!$G$5:$G$140="acoes"))*Inputs!$B$1+((Inputs!$G$5:$G$140&lt;&gt;"moeda")*(Inputs!$G$5:$G$140&lt;&gt;"acoes")))*INDEX(Inputs!$K$5:$AJ$140,0,MATCH(V$2,Inputs!$K$4:$AJ$4,0)))+SUMPRODUCT((Inputs!$C$5:$C$140=$B18)*Inputs!$D$5:$D$140*(((Inputs!$G$5:$G$140="moeda")+(Inputs!$G$5:$G$140="acoes"))*Inputs!$B$1+((Inputs!$G$5:$G$140&lt;&gt;"moeda")*(Inputs!$G$5:$G$140&lt;&gt;"acoes")))*INDEX(Inputs!$K$5:$AJ$140,0,MATCH(V$2,Inputs!$K$4:$AJ$4,0)))+SUMPRODUCT((Inputs!$E$5:$E$140=$B18)*Inputs!$F$5:$F$140*(((Inputs!$G$5:$G$140="moeda")+(Inputs!$G$5:$G$140="acoes"))*Inputs!$B$1+((Inputs!$G$5:$G$140&lt;&gt;"moeda")*(Inputs!$G$5:$G$140&lt;&gt;"acoes")))*INDEX(Inputs!$K$5:$AJ$140,0,MATCH(V$2,Inputs!$K$4:$AJ$4,0)))))</f>
        <v>503.543</v>
      </c>
      <c r="W18" s="3">
        <f>V18</f>
        <v>503.543</v>
      </c>
      <c r="X18" s="6">
        <f>IF(ISNA(MATCH(X$2,Inputs!$K$4:$AJ$4,0)),NA(),IF(SUMPRODUCT((Inputs!$A$5:$A$140=$B18)*ISNUMBER(INDEX(Inputs!$K$5:$AJ$140,0,MATCH(X$2,Inputs!$K$4:$AJ$4,0))))+SUMPRODUCT((Inputs!$C$5:$C$140=$B18)*ISNUMBER(INDEX(Inputs!$K$5:$AJ$140,0,MATCH(X$2,Inputs!$K$4:$AJ$4,0))))+SUMPRODUCT((Inputs!$E$5:$E$140=$B18)*ISNUMBER(INDEX(Inputs!$K$5:$AJ$140,0,MATCH(X$2,Inputs!$K$4:$AJ$4,0))))=0,NA(),SUMPRODUCT((Inputs!$A$5:$A$140=$B18)*Inputs!$B$5:$B$140*(((Inputs!$G$5:$G$140="moeda")+(Inputs!$G$5:$G$140="acoes"))*Inputs!$B$1+((Inputs!$G$5:$G$140&lt;&gt;"moeda")*(Inputs!$G$5:$G$140&lt;&gt;"acoes")))*INDEX(Inputs!$K$5:$AJ$140,0,MATCH(X$2,Inputs!$K$4:$AJ$4,0)))+SUMPRODUCT((Inputs!$C$5:$C$140=$B18)*Inputs!$D$5:$D$140*(((Inputs!$G$5:$G$140="moeda")+(Inputs!$G$5:$G$140="acoes"))*Inputs!$B$1+((Inputs!$G$5:$G$140&lt;&gt;"moeda")*(Inputs!$G$5:$G$140&lt;&gt;"acoes")))*INDEX(Inputs!$K$5:$AJ$140,0,MATCH(X$2,Inputs!$K$4:$AJ$4,0)))+SUMPRODUCT((Inputs!$E$5:$E$140=$B18)*Inputs!$F$5:$F$140*(((Inputs!$G$5:$G$140="moeda")+(Inputs!$G$5:$G$140="acoes"))*Inputs!$B$1+((Inputs!$G$5:$G$140&lt;&gt;"moeda")*(Inputs!$G$5:$G$140&lt;&gt;"acoes")))*INDEX(Inputs!$K$5:$AJ$140,0,MATCH(X$2,Inputs!$K$4:$AJ$4,0)))))</f>
        <v>599.643</v>
      </c>
      <c r="Y18" s="6">
        <f>IF(ISNA(MATCH(Y$2,Inputs!$K$4:$AJ$4,0)),NA(),IF(SUMPRODUCT((Inputs!$A$5:$A$140=$B18)*ISNUMBER(INDEX(Inputs!$K$5:$AJ$140,0,MATCH(Y$2,Inputs!$K$4:$AJ$4,0))))+SUMPRODUCT((Inputs!$C$5:$C$140=$B18)*ISNUMBER(INDEX(Inputs!$K$5:$AJ$140,0,MATCH(Y$2,Inputs!$K$4:$AJ$4,0))))+SUMPRODUCT((Inputs!$E$5:$E$140=$B18)*ISNUMBER(INDEX(Inputs!$K$5:$AJ$140,0,MATCH(Y$2,Inputs!$K$4:$AJ$4,0))))=0,NA(),SUMPRODUCT((Inputs!$A$5:$A$140=$B18)*Inputs!$B$5:$B$140*(((Inputs!$G$5:$G$140="moeda")+(Inputs!$G$5:$G$140="acoes"))*Inputs!$B$1+((Inputs!$G$5:$G$140&lt;&gt;"moeda")*(Inputs!$G$5:$G$140&lt;&gt;"acoes")))*INDEX(Inputs!$K$5:$AJ$140,0,MATCH(Y$2,Inputs!$K$4:$AJ$4,0)))+SUMPRODUCT((Inputs!$C$5:$C$140=$B18)*Inputs!$D$5:$D$140*(((Inputs!$G$5:$G$140="moeda")+(Inputs!$G$5:$G$140="acoes"))*Inputs!$B$1+((Inputs!$G$5:$G$140&lt;&gt;"moeda")*(Inputs!$G$5:$G$140&lt;&gt;"acoes")))*INDEX(Inputs!$K$5:$AJ$140,0,MATCH(Y$2,Inputs!$K$4:$AJ$4,0)))+SUMPRODUCT((Inputs!$E$5:$E$140=$B18)*Inputs!$F$5:$F$140*(((Inputs!$G$5:$G$140="moeda")+(Inputs!$G$5:$G$140="acoes"))*Inputs!$B$1+((Inputs!$G$5:$G$140&lt;&gt;"moeda")*(Inputs!$G$5:$G$140&lt;&gt;"acoes")))*INDEX(Inputs!$K$5:$AJ$140,0,MATCH(Y$2,Inputs!$K$4:$AJ$4,0)))))</f>
        <v>306.893</v>
      </c>
      <c r="Z18" s="6">
        <f>IF(ISNA(MATCH(Z$2,Inputs!$K$4:$AJ$4,0)),NA(),IF(SUMPRODUCT((Inputs!$A$5:$A$140=$B18)*ISNUMBER(INDEX(Inputs!$K$5:$AJ$140,0,MATCH(Z$2,Inputs!$K$4:$AJ$4,0))))+SUMPRODUCT((Inputs!$C$5:$C$140=$B18)*ISNUMBER(INDEX(Inputs!$K$5:$AJ$140,0,MATCH(Z$2,Inputs!$K$4:$AJ$4,0))))+SUMPRODUCT((Inputs!$E$5:$E$140=$B18)*ISNUMBER(INDEX(Inputs!$K$5:$AJ$140,0,MATCH(Z$2,Inputs!$K$4:$AJ$4,0))))=0,NA(),SUMPRODUCT((Inputs!$A$5:$A$140=$B18)*Inputs!$B$5:$B$140*(((Inputs!$G$5:$G$140="moeda")+(Inputs!$G$5:$G$140="acoes"))*Inputs!$B$1+((Inputs!$G$5:$G$140&lt;&gt;"moeda")*(Inputs!$G$5:$G$140&lt;&gt;"acoes")))*INDEX(Inputs!$K$5:$AJ$140,0,MATCH(Z$2,Inputs!$K$4:$AJ$4,0)))+SUMPRODUCT((Inputs!$C$5:$C$140=$B18)*Inputs!$D$5:$D$140*(((Inputs!$G$5:$G$140="moeda")+(Inputs!$G$5:$G$140="acoes"))*Inputs!$B$1+((Inputs!$G$5:$G$140&lt;&gt;"moeda")*(Inputs!$G$5:$G$140&lt;&gt;"acoes")))*INDEX(Inputs!$K$5:$AJ$140,0,MATCH(Z$2,Inputs!$K$4:$AJ$4,0)))+SUMPRODUCT((Inputs!$E$5:$E$140=$B18)*Inputs!$F$5:$F$140*(((Inputs!$G$5:$G$140="moeda")+(Inputs!$G$5:$G$140="acoes"))*Inputs!$B$1+((Inputs!$G$5:$G$140&lt;&gt;"moeda")*(Inputs!$G$5:$G$140&lt;&gt;"acoes")))*INDEX(Inputs!$K$5:$AJ$140,0,MATCH(Z$2,Inputs!$K$4:$AJ$4,0)))))</f>
        <v>802.623</v>
      </c>
      <c r="AA18" s="6">
        <f>IF(ISNA(MATCH(AA$2,Inputs!$K$4:$AJ$4,0)),NA(),IF(SUMPRODUCT((Inputs!$A$5:$A$140=$B18)*ISNUMBER(INDEX(Inputs!$K$5:$AJ$140,0,MATCH(AA$2,Inputs!$K$4:$AJ$4,0))))+SUMPRODUCT((Inputs!$C$5:$C$140=$B18)*ISNUMBER(INDEX(Inputs!$K$5:$AJ$140,0,MATCH(AA$2,Inputs!$K$4:$AJ$4,0))))+SUMPRODUCT((Inputs!$E$5:$E$140=$B18)*ISNUMBER(INDEX(Inputs!$K$5:$AJ$140,0,MATCH(AA$2,Inputs!$K$4:$AJ$4,0))))=0,NA(),SUMPRODUCT((Inputs!$A$5:$A$140=$B18)*Inputs!$B$5:$B$140*(((Inputs!$G$5:$G$140="moeda")+(Inputs!$G$5:$G$140="acoes"))*Inputs!$B$1+((Inputs!$G$5:$G$140&lt;&gt;"moeda")*(Inputs!$G$5:$G$140&lt;&gt;"acoes")))*INDEX(Inputs!$K$5:$AJ$140,0,MATCH(AA$2,Inputs!$K$4:$AJ$4,0)))+SUMPRODUCT((Inputs!$C$5:$C$140=$B18)*Inputs!$D$5:$D$140*(((Inputs!$G$5:$G$140="moeda")+(Inputs!$G$5:$G$140="acoes"))*Inputs!$B$1+((Inputs!$G$5:$G$140&lt;&gt;"moeda")*(Inputs!$G$5:$G$140&lt;&gt;"acoes")))*INDEX(Inputs!$K$5:$AJ$140,0,MATCH(AA$2,Inputs!$K$4:$AJ$4,0)))+SUMPRODUCT((Inputs!$E$5:$E$140=$B18)*Inputs!$F$5:$F$140*(((Inputs!$G$5:$G$140="moeda")+(Inputs!$G$5:$G$140="acoes"))*Inputs!$B$1+((Inputs!$G$5:$G$140&lt;&gt;"moeda")*(Inputs!$G$5:$G$140&lt;&gt;"acoes")))*INDEX(Inputs!$K$5:$AJ$140,0,MATCH(AA$2,Inputs!$K$4:$AJ$4,0)))))</f>
        <v>866.468</v>
      </c>
      <c r="AB18" s="3">
        <f>AA18</f>
        <v>866.468</v>
      </c>
      <c r="AC18" s="6">
        <f>IF(ISNA(MATCH(AC$2,Inputs!$K$4:$AJ$4,0)),NA(),IF(SUMPRODUCT((Inputs!$A$5:$A$140=$B18)*ISNUMBER(INDEX(Inputs!$K$5:$AJ$140,0,MATCH(AC$2,Inputs!$K$4:$AJ$4,0))))+SUMPRODUCT((Inputs!$C$5:$C$140=$B18)*ISNUMBER(INDEX(Inputs!$K$5:$AJ$140,0,MATCH(AC$2,Inputs!$K$4:$AJ$4,0))))+SUMPRODUCT((Inputs!$E$5:$E$140=$B18)*ISNUMBER(INDEX(Inputs!$K$5:$AJ$140,0,MATCH(AC$2,Inputs!$K$4:$AJ$4,0))))=0,NA(),SUMPRODUCT((Inputs!$A$5:$A$140=$B18)*Inputs!$B$5:$B$140*(((Inputs!$G$5:$G$140="moeda")+(Inputs!$G$5:$G$140="acoes"))*Inputs!$B$1+((Inputs!$G$5:$G$140&lt;&gt;"moeda")*(Inputs!$G$5:$G$140&lt;&gt;"acoes")))*INDEX(Inputs!$K$5:$AJ$140,0,MATCH(AC$2,Inputs!$K$4:$AJ$4,0)))+SUMPRODUCT((Inputs!$C$5:$C$140=$B18)*Inputs!$D$5:$D$140*(((Inputs!$G$5:$G$140="moeda")+(Inputs!$G$5:$G$140="acoes"))*Inputs!$B$1+((Inputs!$G$5:$G$140&lt;&gt;"moeda")*(Inputs!$G$5:$G$140&lt;&gt;"acoes")))*INDEX(Inputs!$K$5:$AJ$140,0,MATCH(AC$2,Inputs!$K$4:$AJ$4,0)))+SUMPRODUCT((Inputs!$E$5:$E$140=$B18)*Inputs!$F$5:$F$140*(((Inputs!$G$5:$G$140="moeda")+(Inputs!$G$5:$G$140="acoes"))*Inputs!$B$1+((Inputs!$G$5:$G$140&lt;&gt;"moeda")*(Inputs!$G$5:$G$140&lt;&gt;"acoes")))*INDEX(Inputs!$K$5:$AJ$140,0,MATCH(AC$2,Inputs!$K$4:$AJ$4,0)))))</f>
        <v>908.878</v>
      </c>
      <c r="AD18" s="6">
        <f>IF(ISNA(MATCH(AD$2,Inputs!$K$4:$AJ$4,0)),NA(),IF(SUMPRODUCT((Inputs!$A$5:$A$140=$B18)*ISNUMBER(INDEX(Inputs!$K$5:$AJ$140,0,MATCH(AD$2,Inputs!$K$4:$AJ$4,0))))+SUMPRODUCT((Inputs!$C$5:$C$140=$B18)*ISNUMBER(INDEX(Inputs!$K$5:$AJ$140,0,MATCH(AD$2,Inputs!$K$4:$AJ$4,0))))+SUMPRODUCT((Inputs!$E$5:$E$140=$B18)*ISNUMBER(INDEX(Inputs!$K$5:$AJ$140,0,MATCH(AD$2,Inputs!$K$4:$AJ$4,0))))=0,NA(),SUMPRODUCT((Inputs!$A$5:$A$140=$B18)*Inputs!$B$5:$B$140*(((Inputs!$G$5:$G$140="moeda")+(Inputs!$G$5:$G$140="acoes"))*Inputs!$B$1+((Inputs!$G$5:$G$140&lt;&gt;"moeda")*(Inputs!$G$5:$G$140&lt;&gt;"acoes")))*INDEX(Inputs!$K$5:$AJ$140,0,MATCH(AD$2,Inputs!$K$4:$AJ$4,0)))+SUMPRODUCT((Inputs!$C$5:$C$140=$B18)*Inputs!$D$5:$D$140*(((Inputs!$G$5:$G$140="moeda")+(Inputs!$G$5:$G$140="acoes"))*Inputs!$B$1+((Inputs!$G$5:$G$140&lt;&gt;"moeda")*(Inputs!$G$5:$G$140&lt;&gt;"acoes")))*INDEX(Inputs!$K$5:$AJ$140,0,MATCH(AD$2,Inputs!$K$4:$AJ$4,0)))+SUMPRODUCT((Inputs!$E$5:$E$140=$B18)*Inputs!$F$5:$F$140*(((Inputs!$G$5:$G$140="moeda")+(Inputs!$G$5:$G$140="acoes"))*Inputs!$B$1+((Inputs!$G$5:$G$140&lt;&gt;"moeda")*(Inputs!$G$5:$G$140&lt;&gt;"acoes")))*INDEX(Inputs!$K$5:$AJ$140,0,MATCH(AD$2,Inputs!$K$4:$AJ$4,0)))))</f>
        <v>899.443</v>
      </c>
      <c r="AE18" s="6" t="e">
        <f>IF(ISNA(MATCH(AE$2,Inputs!$K$4:$AJ$4,0)),NA(),IF(SUMPRODUCT((Inputs!$A$5:$A$140=$B18)*ISNUMBER(INDEX(Inputs!$K$5:$AJ$140,0,MATCH(AE$2,Inputs!$K$4:$AJ$4,0))))+SUMPRODUCT((Inputs!$C$5:$C$140=$B18)*ISNUMBER(INDEX(Inputs!$K$5:$AJ$140,0,MATCH(AE$2,Inputs!$K$4:$AJ$4,0))))+SUMPRODUCT((Inputs!$E$5:$E$140=$B18)*ISNUMBER(INDEX(Inputs!$K$5:$AJ$140,0,MATCH(AE$2,Inputs!$K$4:$AJ$4,0))))=0,NA(),SUMPRODUCT((Inputs!$A$5:$A$140=$B18)*Inputs!$B$5:$B$140*(((Inputs!$G$5:$G$140="moeda")+(Inputs!$G$5:$G$140="acoes"))*Inputs!$B$1+((Inputs!$G$5:$G$140&lt;&gt;"moeda")*(Inputs!$G$5:$G$140&lt;&gt;"acoes")))*INDEX(Inputs!$K$5:$AJ$140,0,MATCH(AE$2,Inputs!$K$4:$AJ$4,0)))+SUMPRODUCT((Inputs!$C$5:$C$140=$B18)*Inputs!$D$5:$D$140*(((Inputs!$G$5:$G$140="moeda")+(Inputs!$G$5:$G$140="acoes"))*Inputs!$B$1+((Inputs!$G$5:$G$140&lt;&gt;"moeda")*(Inputs!$G$5:$G$140&lt;&gt;"acoes")))*INDEX(Inputs!$K$5:$AJ$140,0,MATCH(AE$2,Inputs!$K$4:$AJ$4,0)))+SUMPRODUCT((Inputs!$E$5:$E$140=$B18)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8" s="6" t="e">
        <f>IF(ISNA(MATCH(AF$2,Inputs!$K$4:$AJ$4,0)),NA(),IF(SUMPRODUCT((Inputs!$A$5:$A$140=$B18)*ISNUMBER(INDEX(Inputs!$K$5:$AJ$140,0,MATCH(AF$2,Inputs!$K$4:$AJ$4,0))))+SUMPRODUCT((Inputs!$C$5:$C$140=$B18)*ISNUMBER(INDEX(Inputs!$K$5:$AJ$140,0,MATCH(AF$2,Inputs!$K$4:$AJ$4,0))))+SUMPRODUCT((Inputs!$E$5:$E$140=$B18)*ISNUMBER(INDEX(Inputs!$K$5:$AJ$140,0,MATCH(AF$2,Inputs!$K$4:$AJ$4,0))))=0,NA(),SUMPRODUCT((Inputs!$A$5:$A$140=$B18)*Inputs!$B$5:$B$140*(((Inputs!$G$5:$G$140="moeda")+(Inputs!$G$5:$G$140="acoes"))*Inputs!$B$1+((Inputs!$G$5:$G$140&lt;&gt;"moeda")*(Inputs!$G$5:$G$140&lt;&gt;"acoes")))*INDEX(Inputs!$K$5:$AJ$140,0,MATCH(AF$2,Inputs!$K$4:$AJ$4,0)))+SUMPRODUCT((Inputs!$C$5:$C$140=$B18)*Inputs!$D$5:$D$140*(((Inputs!$G$5:$G$140="moeda")+(Inputs!$G$5:$G$140="acoes"))*Inputs!$B$1+((Inputs!$G$5:$G$140&lt;&gt;"moeda")*(Inputs!$G$5:$G$140&lt;&gt;"acoes")))*INDEX(Inputs!$K$5:$AJ$140,0,MATCH(AF$2,Inputs!$K$4:$AJ$4,0)))+SUMPRODUCT((Inputs!$E$5:$E$140=$B18)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8" s="3" t="e">
        <f>AF18</f>
        <v>#N/A</v>
      </c>
      <c r="AH18" s="6" t="e">
        <f>IF(ISNA(MATCH(AH$2,Inputs!$K$4:$AJ$4,0)),NA(),IF(SUMPRODUCT((Inputs!$A$5:$A$140=$B18)*ISNUMBER(INDEX(Inputs!$K$5:$AJ$140,0,MATCH(AH$2,Inputs!$K$4:$AJ$4,0))))+SUMPRODUCT((Inputs!$C$5:$C$140=$B18)*ISNUMBER(INDEX(Inputs!$K$5:$AJ$140,0,MATCH(AH$2,Inputs!$K$4:$AJ$4,0))))+SUMPRODUCT((Inputs!$E$5:$E$140=$B18)*ISNUMBER(INDEX(Inputs!$K$5:$AJ$140,0,MATCH(AH$2,Inputs!$K$4:$AJ$4,0))))=0,NA(),SUMPRODUCT((Inputs!$A$5:$A$140=$B18)*Inputs!$B$5:$B$140*(((Inputs!$G$5:$G$140="moeda")+(Inputs!$G$5:$G$140="acoes"))*Inputs!$B$1+((Inputs!$G$5:$G$140&lt;&gt;"moeda")*(Inputs!$G$5:$G$140&lt;&gt;"acoes")))*INDEX(Inputs!$K$5:$AJ$140,0,MATCH(AH$2,Inputs!$K$4:$AJ$4,0)))+SUMPRODUCT((Inputs!$C$5:$C$140=$B18)*Inputs!$D$5:$D$140*(((Inputs!$G$5:$G$140="moeda")+(Inputs!$G$5:$G$140="acoes"))*Inputs!$B$1+((Inputs!$G$5:$G$140&lt;&gt;"moeda")*(Inputs!$G$5:$G$140&lt;&gt;"acoes")))*INDEX(Inputs!$K$5:$AJ$140,0,MATCH(AH$2,Inputs!$K$4:$AJ$4,0)))+SUMPRODUCT((Inputs!$E$5:$E$140=$B18)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8" s="6">
        <f>IF(ISNA(MATCH(AI$2,Inputs!$K$4:$AJ$4,0)),NA(),IF(SUMPRODUCT((Inputs!$A$5:$A$140=$B18)*ISNUMBER(INDEX(Inputs!$K$5:$AJ$140,0,MATCH(AI$2,Inputs!$K$4:$AJ$4,0))))+SUMPRODUCT((Inputs!$C$5:$C$140=$B18)*ISNUMBER(INDEX(Inputs!$K$5:$AJ$140,0,MATCH(AI$2,Inputs!$K$4:$AJ$4,0))))+SUMPRODUCT((Inputs!$E$5:$E$140=$B18)*ISNUMBER(INDEX(Inputs!$K$5:$AJ$140,0,MATCH(AI$2,Inputs!$K$4:$AJ$4,0))))=0,NA(),SUMPRODUCT((Inputs!$A$5:$A$140=$B18)*Inputs!$B$5:$B$140*(((Inputs!$G$5:$G$140="moeda")+(Inputs!$G$5:$G$140="acoes"))*Inputs!$B$1+((Inputs!$G$5:$G$140&lt;&gt;"moeda")*(Inputs!$G$5:$G$140&lt;&gt;"acoes")))*INDEX(Inputs!$K$5:$AJ$140,0,MATCH(AI$2,Inputs!$K$4:$AJ$4,0)))+SUMPRODUCT((Inputs!$C$5:$C$140=$B18)*Inputs!$D$5:$D$140*(((Inputs!$G$5:$G$140="moeda")+(Inputs!$G$5:$G$140="acoes"))*Inputs!$B$1+((Inputs!$G$5:$G$140&lt;&gt;"moeda")*(Inputs!$G$5:$G$140&lt;&gt;"acoes")))*INDEX(Inputs!$K$5:$AJ$140,0,MATCH(AI$2,Inputs!$K$4:$AJ$4,0)))+SUMPRODUCT((Inputs!$E$5:$E$140=$B18)*Inputs!$F$5:$F$140*(((Inputs!$G$5:$G$140="moeda")+(Inputs!$G$5:$G$140="acoes"))*Inputs!$B$1+((Inputs!$G$5:$G$140&lt;&gt;"moeda")*(Inputs!$G$5:$G$140&lt;&gt;"acoes")))*INDEX(Inputs!$K$5:$AJ$140,0,MATCH(AI$2,Inputs!$K$4:$AJ$4,0)))))</f>
        <v>0</v>
      </c>
      <c r="AJ18" s="6">
        <f>IF(ISNA(MATCH(AJ$2,Inputs!$K$4:$AJ$4,0)),NA(),IF(SUMPRODUCT((Inputs!$A$5:$A$140=$B18)*ISNUMBER(INDEX(Inputs!$K$5:$AJ$140,0,MATCH(AJ$2,Inputs!$K$4:$AJ$4,0))))+SUMPRODUCT((Inputs!$C$5:$C$140=$B18)*ISNUMBER(INDEX(Inputs!$K$5:$AJ$140,0,MATCH(AJ$2,Inputs!$K$4:$AJ$4,0))))+SUMPRODUCT((Inputs!$E$5:$E$140=$B18)*ISNUMBER(INDEX(Inputs!$K$5:$AJ$140,0,MATCH(AJ$2,Inputs!$K$4:$AJ$4,0))))=0,NA(),SUMPRODUCT((Inputs!$A$5:$A$140=$B18)*Inputs!$B$5:$B$140*(((Inputs!$G$5:$G$140="moeda")+(Inputs!$G$5:$G$140="acoes"))*Inputs!$B$1+((Inputs!$G$5:$G$140&lt;&gt;"moeda")*(Inputs!$G$5:$G$140&lt;&gt;"acoes")))*INDEX(Inputs!$K$5:$AJ$140,0,MATCH(AJ$2,Inputs!$K$4:$AJ$4,0)))+SUMPRODUCT((Inputs!$C$5:$C$140=$B18)*Inputs!$D$5:$D$140*(((Inputs!$G$5:$G$140="moeda")+(Inputs!$G$5:$G$140="acoes"))*Inputs!$B$1+((Inputs!$G$5:$G$140&lt;&gt;"moeda")*(Inputs!$G$5:$G$140&lt;&gt;"acoes")))*INDEX(Inputs!$K$5:$AJ$140,0,MATCH(AJ$2,Inputs!$K$4:$AJ$4,0)))+SUMPRODUCT((Inputs!$E$5:$E$140=$B18)*Inputs!$F$5:$F$140*(((Inputs!$G$5:$G$140="moeda")+(Inputs!$G$5:$G$140="acoes"))*Inputs!$B$1+((Inputs!$G$5:$G$140&lt;&gt;"moeda")*(Inputs!$G$5:$G$140&lt;&gt;"acoes")))*INDEX(Inputs!$K$5:$AJ$140,0,MATCH(AJ$2,Inputs!$K$4:$AJ$4,0)))))</f>
        <v>0</v>
      </c>
      <c r="AK18" s="6">
        <f>IF(ISNA(MATCH(AK$2,Inputs!$K$4:$AJ$4,0)),NA(),IF(SUMPRODUCT((Inputs!$A$5:$A$140=$B18)*ISNUMBER(INDEX(Inputs!$K$5:$AJ$140,0,MATCH(AK$2,Inputs!$K$4:$AJ$4,0))))+SUMPRODUCT((Inputs!$C$5:$C$140=$B18)*ISNUMBER(INDEX(Inputs!$K$5:$AJ$140,0,MATCH(AK$2,Inputs!$K$4:$AJ$4,0))))+SUMPRODUCT((Inputs!$E$5:$E$140=$B18)*ISNUMBER(INDEX(Inputs!$K$5:$AJ$140,0,MATCH(AK$2,Inputs!$K$4:$AJ$4,0))))=0,NA(),SUMPRODUCT((Inputs!$A$5:$A$140=$B18)*Inputs!$B$5:$B$140*(((Inputs!$G$5:$G$140="moeda")+(Inputs!$G$5:$G$140="acoes"))*Inputs!$B$1+((Inputs!$G$5:$G$140&lt;&gt;"moeda")*(Inputs!$G$5:$G$140&lt;&gt;"acoes")))*INDEX(Inputs!$K$5:$AJ$140,0,MATCH(AK$2,Inputs!$K$4:$AJ$4,0)))+SUMPRODUCT((Inputs!$C$5:$C$140=$B18)*Inputs!$D$5:$D$140*(((Inputs!$G$5:$G$140="moeda")+(Inputs!$G$5:$G$140="acoes"))*Inputs!$B$1+((Inputs!$G$5:$G$140&lt;&gt;"moeda")*(Inputs!$G$5:$G$140&lt;&gt;"acoes")))*INDEX(Inputs!$K$5:$AJ$140,0,MATCH(AK$2,Inputs!$K$4:$AJ$4,0)))+SUMPRODUCT((Inputs!$E$5:$E$140=$B18)*Inputs!$F$5:$F$140*(((Inputs!$G$5:$G$140="moeda")+(Inputs!$G$5:$G$140="acoes"))*Inputs!$B$1+((Inputs!$G$5:$G$140&lt;&gt;"moeda")*(Inputs!$G$5:$G$140&lt;&gt;"acoes")))*INDEX(Inputs!$K$5:$AJ$140,0,MATCH(AK$2,Inputs!$K$4:$AJ$4,0)))))</f>
        <v>0</v>
      </c>
      <c r="AL18" s="3">
        <f>AK18</f>
        <v>0</v>
      </c>
    </row>
    <row r="19">
      <c r="B19" s="46" t="n">
        <v>15</v>
      </c>
      <c r="C19" s="26" t="inlineStr">
        <is>
          <t>Prepaid expenses</t>
        </is>
      </c>
      <c r="D19" s="6" t="e">
        <f>IF(ISNA(MATCH(D$2,Inputs!$K$4:$AJ$4,0)),NA(),IF(SUMPRODUCT((Inputs!$A$5:$A$140=$B19)*ISNUMBER(INDEX(Inputs!$K$5:$AJ$140,0,MATCH(D$2,Inputs!$K$4:$AJ$4,0))))+SUMPRODUCT((Inputs!$C$5:$C$140=$B19)*ISNUMBER(INDEX(Inputs!$K$5:$AJ$140,0,MATCH(D$2,Inputs!$K$4:$AJ$4,0))))+SUMPRODUCT((Inputs!$E$5:$E$140=$B19)*ISNUMBER(INDEX(Inputs!$K$5:$AJ$140,0,MATCH(D$2,Inputs!$K$4:$AJ$4,0))))=0,NA(),SUMPRODUCT((Inputs!$A$5:$A$140=$B19)*Inputs!$B$5:$B$140*(((Inputs!$G$5:$G$140="moeda")+(Inputs!$G$5:$G$140="acoes"))*Inputs!$B$1+((Inputs!$G$5:$G$140&lt;&gt;"moeda")*(Inputs!$G$5:$G$140&lt;&gt;"acoes")))*INDEX(Inputs!$K$5:$AJ$140,0,MATCH(D$2,Inputs!$K$4:$AJ$4,0)))+SUMPRODUCT((Inputs!$C$5:$C$140=$B19)*Inputs!$D$5:$D$140*(((Inputs!$G$5:$G$140="moeda")+(Inputs!$G$5:$G$140="acoes"))*Inputs!$B$1+((Inputs!$G$5:$G$140&lt;&gt;"moeda")*(Inputs!$G$5:$G$140&lt;&gt;"acoes")))*INDEX(Inputs!$K$5:$AJ$140,0,MATCH(D$2,Inputs!$K$4:$AJ$4,0)))+SUMPRODUCT((Inputs!$E$5:$E$140=$B19)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19" s="6" t="e">
        <f>IF(ISNA(MATCH(E$2,Inputs!$K$4:$AJ$4,0)),NA(),IF(SUMPRODUCT((Inputs!$A$5:$A$140=$B19)*ISNUMBER(INDEX(Inputs!$K$5:$AJ$140,0,MATCH(E$2,Inputs!$K$4:$AJ$4,0))))+SUMPRODUCT((Inputs!$C$5:$C$140=$B19)*ISNUMBER(INDEX(Inputs!$K$5:$AJ$140,0,MATCH(E$2,Inputs!$K$4:$AJ$4,0))))+SUMPRODUCT((Inputs!$E$5:$E$140=$B19)*ISNUMBER(INDEX(Inputs!$K$5:$AJ$140,0,MATCH(E$2,Inputs!$K$4:$AJ$4,0))))=0,NA(),SUMPRODUCT((Inputs!$A$5:$A$140=$B19)*Inputs!$B$5:$B$140*(((Inputs!$G$5:$G$140="moeda")+(Inputs!$G$5:$G$140="acoes"))*Inputs!$B$1+((Inputs!$G$5:$G$140&lt;&gt;"moeda")*(Inputs!$G$5:$G$140&lt;&gt;"acoes")))*INDEX(Inputs!$K$5:$AJ$140,0,MATCH(E$2,Inputs!$K$4:$AJ$4,0)))+SUMPRODUCT((Inputs!$C$5:$C$140=$B19)*Inputs!$D$5:$D$140*(((Inputs!$G$5:$G$140="moeda")+(Inputs!$G$5:$G$140="acoes"))*Inputs!$B$1+((Inputs!$G$5:$G$140&lt;&gt;"moeda")*(Inputs!$G$5:$G$140&lt;&gt;"acoes")))*INDEX(Inputs!$K$5:$AJ$140,0,MATCH(E$2,Inputs!$K$4:$AJ$4,0)))+SUMPRODUCT((Inputs!$E$5:$E$140=$B19)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19" s="6" t="e">
        <f>IF(ISNA(MATCH(F$2,Inputs!$K$4:$AJ$4,0)),NA(),IF(SUMPRODUCT((Inputs!$A$5:$A$140=$B19)*ISNUMBER(INDEX(Inputs!$K$5:$AJ$140,0,MATCH(F$2,Inputs!$K$4:$AJ$4,0))))+SUMPRODUCT((Inputs!$C$5:$C$140=$B19)*ISNUMBER(INDEX(Inputs!$K$5:$AJ$140,0,MATCH(F$2,Inputs!$K$4:$AJ$4,0))))+SUMPRODUCT((Inputs!$E$5:$E$140=$B19)*ISNUMBER(INDEX(Inputs!$K$5:$AJ$140,0,MATCH(F$2,Inputs!$K$4:$AJ$4,0))))=0,NA(),SUMPRODUCT((Inputs!$A$5:$A$140=$B19)*Inputs!$B$5:$B$140*(((Inputs!$G$5:$G$140="moeda")+(Inputs!$G$5:$G$140="acoes"))*Inputs!$B$1+((Inputs!$G$5:$G$140&lt;&gt;"moeda")*(Inputs!$G$5:$G$140&lt;&gt;"acoes")))*INDEX(Inputs!$K$5:$AJ$140,0,MATCH(F$2,Inputs!$K$4:$AJ$4,0)))+SUMPRODUCT((Inputs!$C$5:$C$140=$B19)*Inputs!$D$5:$D$140*(((Inputs!$G$5:$G$140="moeda")+(Inputs!$G$5:$G$140="acoes"))*Inputs!$B$1+((Inputs!$G$5:$G$140&lt;&gt;"moeda")*(Inputs!$G$5:$G$140&lt;&gt;"acoes")))*INDEX(Inputs!$K$5:$AJ$140,0,MATCH(F$2,Inputs!$K$4:$AJ$4,0)))+SUMPRODUCT((Inputs!$E$5:$E$140=$B19)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19" s="6" t="e">
        <f>IF(ISNA(MATCH(G$2,Inputs!$K$4:$AJ$4,0)),NA(),IF(SUMPRODUCT((Inputs!$A$5:$A$140=$B19)*ISNUMBER(INDEX(Inputs!$K$5:$AJ$140,0,MATCH(G$2,Inputs!$K$4:$AJ$4,0))))+SUMPRODUCT((Inputs!$C$5:$C$140=$B19)*ISNUMBER(INDEX(Inputs!$K$5:$AJ$140,0,MATCH(G$2,Inputs!$K$4:$AJ$4,0))))+SUMPRODUCT((Inputs!$E$5:$E$140=$B19)*ISNUMBER(INDEX(Inputs!$K$5:$AJ$140,0,MATCH(G$2,Inputs!$K$4:$AJ$4,0))))=0,NA(),SUMPRODUCT((Inputs!$A$5:$A$140=$B19)*Inputs!$B$5:$B$140*(((Inputs!$G$5:$G$140="moeda")+(Inputs!$G$5:$G$140="acoes"))*Inputs!$B$1+((Inputs!$G$5:$G$140&lt;&gt;"moeda")*(Inputs!$G$5:$G$140&lt;&gt;"acoes")))*INDEX(Inputs!$K$5:$AJ$140,0,MATCH(G$2,Inputs!$K$4:$AJ$4,0)))+SUMPRODUCT((Inputs!$C$5:$C$140=$B19)*Inputs!$D$5:$D$140*(((Inputs!$G$5:$G$140="moeda")+(Inputs!$G$5:$G$140="acoes"))*Inputs!$B$1+((Inputs!$G$5:$G$140&lt;&gt;"moeda")*(Inputs!$G$5:$G$140&lt;&gt;"acoes")))*INDEX(Inputs!$K$5:$AJ$140,0,MATCH(G$2,Inputs!$K$4:$AJ$4,0)))+SUMPRODUCT((Inputs!$E$5:$E$140=$B19)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19" s="3" t="e">
        <f>G19</f>
        <v>#N/A</v>
      </c>
      <c r="I19" s="6" t="e">
        <f>IF(ISNA(MATCH(I$2,Inputs!$K$4:$AJ$4,0)),NA(),IF(SUMPRODUCT((Inputs!$A$5:$A$140=$B19)*ISNUMBER(INDEX(Inputs!$K$5:$AJ$140,0,MATCH(I$2,Inputs!$K$4:$AJ$4,0))))+SUMPRODUCT((Inputs!$C$5:$C$140=$B19)*ISNUMBER(INDEX(Inputs!$K$5:$AJ$140,0,MATCH(I$2,Inputs!$K$4:$AJ$4,0))))+SUMPRODUCT((Inputs!$E$5:$E$140=$B19)*ISNUMBER(INDEX(Inputs!$K$5:$AJ$140,0,MATCH(I$2,Inputs!$K$4:$AJ$4,0))))=0,NA(),SUMPRODUCT((Inputs!$A$5:$A$140=$B19)*Inputs!$B$5:$B$140*(((Inputs!$G$5:$G$140="moeda")+(Inputs!$G$5:$G$140="acoes"))*Inputs!$B$1+((Inputs!$G$5:$G$140&lt;&gt;"moeda")*(Inputs!$G$5:$G$140&lt;&gt;"acoes")))*INDEX(Inputs!$K$5:$AJ$140,0,MATCH(I$2,Inputs!$K$4:$AJ$4,0)))+SUMPRODUCT((Inputs!$C$5:$C$140=$B19)*Inputs!$D$5:$D$140*(((Inputs!$G$5:$G$140="moeda")+(Inputs!$G$5:$G$140="acoes"))*Inputs!$B$1+((Inputs!$G$5:$G$140&lt;&gt;"moeda")*(Inputs!$G$5:$G$140&lt;&gt;"acoes")))*INDEX(Inputs!$K$5:$AJ$140,0,MATCH(I$2,Inputs!$K$4:$AJ$4,0)))+SUMPRODUCT((Inputs!$E$5:$E$140=$B19)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19" s="6" t="e">
        <f>IF(ISNA(MATCH(J$2,Inputs!$K$4:$AJ$4,0)),NA(),IF(SUMPRODUCT((Inputs!$A$5:$A$140=$B19)*ISNUMBER(INDEX(Inputs!$K$5:$AJ$140,0,MATCH(J$2,Inputs!$K$4:$AJ$4,0))))+SUMPRODUCT((Inputs!$C$5:$C$140=$B19)*ISNUMBER(INDEX(Inputs!$K$5:$AJ$140,0,MATCH(J$2,Inputs!$K$4:$AJ$4,0))))+SUMPRODUCT((Inputs!$E$5:$E$140=$B19)*ISNUMBER(INDEX(Inputs!$K$5:$AJ$140,0,MATCH(J$2,Inputs!$K$4:$AJ$4,0))))=0,NA(),SUMPRODUCT((Inputs!$A$5:$A$140=$B19)*Inputs!$B$5:$B$140*(((Inputs!$G$5:$G$140="moeda")+(Inputs!$G$5:$G$140="acoes"))*Inputs!$B$1+((Inputs!$G$5:$G$140&lt;&gt;"moeda")*(Inputs!$G$5:$G$140&lt;&gt;"acoes")))*INDEX(Inputs!$K$5:$AJ$140,0,MATCH(J$2,Inputs!$K$4:$AJ$4,0)))+SUMPRODUCT((Inputs!$C$5:$C$140=$B19)*Inputs!$D$5:$D$140*(((Inputs!$G$5:$G$140="moeda")+(Inputs!$G$5:$G$140="acoes"))*Inputs!$B$1+((Inputs!$G$5:$G$140&lt;&gt;"moeda")*(Inputs!$G$5:$G$140&lt;&gt;"acoes")))*INDEX(Inputs!$K$5:$AJ$140,0,MATCH(J$2,Inputs!$K$4:$AJ$4,0)))+SUMPRODUCT((Inputs!$E$5:$E$140=$B19)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19" s="6" t="e">
        <f>IF(ISNA(MATCH(K$2,Inputs!$K$4:$AJ$4,0)),NA(),IF(SUMPRODUCT((Inputs!$A$5:$A$140=$B19)*ISNUMBER(INDEX(Inputs!$K$5:$AJ$140,0,MATCH(K$2,Inputs!$K$4:$AJ$4,0))))+SUMPRODUCT((Inputs!$C$5:$C$140=$B19)*ISNUMBER(INDEX(Inputs!$K$5:$AJ$140,0,MATCH(K$2,Inputs!$K$4:$AJ$4,0))))+SUMPRODUCT((Inputs!$E$5:$E$140=$B19)*ISNUMBER(INDEX(Inputs!$K$5:$AJ$140,0,MATCH(K$2,Inputs!$K$4:$AJ$4,0))))=0,NA(),SUMPRODUCT((Inputs!$A$5:$A$140=$B19)*Inputs!$B$5:$B$140*(((Inputs!$G$5:$G$140="moeda")+(Inputs!$G$5:$G$140="acoes"))*Inputs!$B$1+((Inputs!$G$5:$G$140&lt;&gt;"moeda")*(Inputs!$G$5:$G$140&lt;&gt;"acoes")))*INDEX(Inputs!$K$5:$AJ$140,0,MATCH(K$2,Inputs!$K$4:$AJ$4,0)))+SUMPRODUCT((Inputs!$C$5:$C$140=$B19)*Inputs!$D$5:$D$140*(((Inputs!$G$5:$G$140="moeda")+(Inputs!$G$5:$G$140="acoes"))*Inputs!$B$1+((Inputs!$G$5:$G$140&lt;&gt;"moeda")*(Inputs!$G$5:$G$140&lt;&gt;"acoes")))*INDEX(Inputs!$K$5:$AJ$140,0,MATCH(K$2,Inputs!$K$4:$AJ$4,0)))+SUMPRODUCT((Inputs!$E$5:$E$140=$B19)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19" s="6" t="e">
        <f>IF(ISNA(MATCH(L$2,Inputs!$K$4:$AJ$4,0)),NA(),IF(SUMPRODUCT((Inputs!$A$5:$A$140=$B19)*ISNUMBER(INDEX(Inputs!$K$5:$AJ$140,0,MATCH(L$2,Inputs!$K$4:$AJ$4,0))))+SUMPRODUCT((Inputs!$C$5:$C$140=$B19)*ISNUMBER(INDEX(Inputs!$K$5:$AJ$140,0,MATCH(L$2,Inputs!$K$4:$AJ$4,0))))+SUMPRODUCT((Inputs!$E$5:$E$140=$B19)*ISNUMBER(INDEX(Inputs!$K$5:$AJ$140,0,MATCH(L$2,Inputs!$K$4:$AJ$4,0))))=0,NA(),SUMPRODUCT((Inputs!$A$5:$A$140=$B19)*Inputs!$B$5:$B$140*(((Inputs!$G$5:$G$140="moeda")+(Inputs!$G$5:$G$140="acoes"))*Inputs!$B$1+((Inputs!$G$5:$G$140&lt;&gt;"moeda")*(Inputs!$G$5:$G$140&lt;&gt;"acoes")))*INDEX(Inputs!$K$5:$AJ$140,0,MATCH(L$2,Inputs!$K$4:$AJ$4,0)))+SUMPRODUCT((Inputs!$C$5:$C$140=$B19)*Inputs!$D$5:$D$140*(((Inputs!$G$5:$G$140="moeda")+(Inputs!$G$5:$G$140="acoes"))*Inputs!$B$1+((Inputs!$G$5:$G$140&lt;&gt;"moeda")*(Inputs!$G$5:$G$140&lt;&gt;"acoes")))*INDEX(Inputs!$K$5:$AJ$140,0,MATCH(L$2,Inputs!$K$4:$AJ$4,0)))+SUMPRODUCT((Inputs!$E$5:$E$140=$B19)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19" s="3" t="e">
        <f>L19</f>
        <v>#N/A</v>
      </c>
      <c r="N19" s="6" t="e">
        <f>IF(ISNA(MATCH(N$2,Inputs!$K$4:$AJ$4,0)),NA(),IF(SUMPRODUCT((Inputs!$A$5:$A$140=$B19)*ISNUMBER(INDEX(Inputs!$K$5:$AJ$140,0,MATCH(N$2,Inputs!$K$4:$AJ$4,0))))+SUMPRODUCT((Inputs!$C$5:$C$140=$B19)*ISNUMBER(INDEX(Inputs!$K$5:$AJ$140,0,MATCH(N$2,Inputs!$K$4:$AJ$4,0))))+SUMPRODUCT((Inputs!$E$5:$E$140=$B19)*ISNUMBER(INDEX(Inputs!$K$5:$AJ$140,0,MATCH(N$2,Inputs!$K$4:$AJ$4,0))))=0,NA(),SUMPRODUCT((Inputs!$A$5:$A$140=$B19)*Inputs!$B$5:$B$140*(((Inputs!$G$5:$G$140="moeda")+(Inputs!$G$5:$G$140="acoes"))*Inputs!$B$1+((Inputs!$G$5:$G$140&lt;&gt;"moeda")*(Inputs!$G$5:$G$140&lt;&gt;"acoes")))*INDEX(Inputs!$K$5:$AJ$140,0,MATCH(N$2,Inputs!$K$4:$AJ$4,0)))+SUMPRODUCT((Inputs!$C$5:$C$140=$B19)*Inputs!$D$5:$D$140*(((Inputs!$G$5:$G$140="moeda")+(Inputs!$G$5:$G$140="acoes"))*Inputs!$B$1+((Inputs!$G$5:$G$140&lt;&gt;"moeda")*(Inputs!$G$5:$G$140&lt;&gt;"acoes")))*INDEX(Inputs!$K$5:$AJ$140,0,MATCH(N$2,Inputs!$K$4:$AJ$4,0)))+SUMPRODUCT((Inputs!$E$5:$E$140=$B19)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19" s="6" t="e">
        <f>IF(ISNA(MATCH(O$2,Inputs!$K$4:$AJ$4,0)),NA(),IF(SUMPRODUCT((Inputs!$A$5:$A$140=$B19)*ISNUMBER(INDEX(Inputs!$K$5:$AJ$140,0,MATCH(O$2,Inputs!$K$4:$AJ$4,0))))+SUMPRODUCT((Inputs!$C$5:$C$140=$B19)*ISNUMBER(INDEX(Inputs!$K$5:$AJ$140,0,MATCH(O$2,Inputs!$K$4:$AJ$4,0))))+SUMPRODUCT((Inputs!$E$5:$E$140=$B19)*ISNUMBER(INDEX(Inputs!$K$5:$AJ$140,0,MATCH(O$2,Inputs!$K$4:$AJ$4,0))))=0,NA(),SUMPRODUCT((Inputs!$A$5:$A$140=$B19)*Inputs!$B$5:$B$140*(((Inputs!$G$5:$G$140="moeda")+(Inputs!$G$5:$G$140="acoes"))*Inputs!$B$1+((Inputs!$G$5:$G$140&lt;&gt;"moeda")*(Inputs!$G$5:$G$140&lt;&gt;"acoes")))*INDEX(Inputs!$K$5:$AJ$140,0,MATCH(O$2,Inputs!$K$4:$AJ$4,0)))+SUMPRODUCT((Inputs!$C$5:$C$140=$B19)*Inputs!$D$5:$D$140*(((Inputs!$G$5:$G$140="moeda")+(Inputs!$G$5:$G$140="acoes"))*Inputs!$B$1+((Inputs!$G$5:$G$140&lt;&gt;"moeda")*(Inputs!$G$5:$G$140&lt;&gt;"acoes")))*INDEX(Inputs!$K$5:$AJ$140,0,MATCH(O$2,Inputs!$K$4:$AJ$4,0)))+SUMPRODUCT((Inputs!$E$5:$E$140=$B19)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19" s="6" t="e">
        <f>IF(ISNA(MATCH(P$2,Inputs!$K$4:$AJ$4,0)),NA(),IF(SUMPRODUCT((Inputs!$A$5:$A$140=$B19)*ISNUMBER(INDEX(Inputs!$K$5:$AJ$140,0,MATCH(P$2,Inputs!$K$4:$AJ$4,0))))+SUMPRODUCT((Inputs!$C$5:$C$140=$B19)*ISNUMBER(INDEX(Inputs!$K$5:$AJ$140,0,MATCH(P$2,Inputs!$K$4:$AJ$4,0))))+SUMPRODUCT((Inputs!$E$5:$E$140=$B19)*ISNUMBER(INDEX(Inputs!$K$5:$AJ$140,0,MATCH(P$2,Inputs!$K$4:$AJ$4,0))))=0,NA(),SUMPRODUCT((Inputs!$A$5:$A$140=$B19)*Inputs!$B$5:$B$140*(((Inputs!$G$5:$G$140="moeda")+(Inputs!$G$5:$G$140="acoes"))*Inputs!$B$1+((Inputs!$G$5:$G$140&lt;&gt;"moeda")*(Inputs!$G$5:$G$140&lt;&gt;"acoes")))*INDEX(Inputs!$K$5:$AJ$140,0,MATCH(P$2,Inputs!$K$4:$AJ$4,0)))+SUMPRODUCT((Inputs!$C$5:$C$140=$B19)*Inputs!$D$5:$D$140*(((Inputs!$G$5:$G$140="moeda")+(Inputs!$G$5:$G$140="acoes"))*Inputs!$B$1+((Inputs!$G$5:$G$140&lt;&gt;"moeda")*(Inputs!$G$5:$G$140&lt;&gt;"acoes")))*INDEX(Inputs!$K$5:$AJ$140,0,MATCH(P$2,Inputs!$K$4:$AJ$4,0)))+SUMPRODUCT((Inputs!$E$5:$E$140=$B19)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19" s="6" t="e">
        <f>IF(ISNA(MATCH(Q$2,Inputs!$K$4:$AJ$4,0)),NA(),IF(SUMPRODUCT((Inputs!$A$5:$A$140=$B19)*ISNUMBER(INDEX(Inputs!$K$5:$AJ$140,0,MATCH(Q$2,Inputs!$K$4:$AJ$4,0))))+SUMPRODUCT((Inputs!$C$5:$C$140=$B19)*ISNUMBER(INDEX(Inputs!$K$5:$AJ$140,0,MATCH(Q$2,Inputs!$K$4:$AJ$4,0))))+SUMPRODUCT((Inputs!$E$5:$E$140=$B19)*ISNUMBER(INDEX(Inputs!$K$5:$AJ$140,0,MATCH(Q$2,Inputs!$K$4:$AJ$4,0))))=0,NA(),SUMPRODUCT((Inputs!$A$5:$A$140=$B19)*Inputs!$B$5:$B$140*(((Inputs!$G$5:$G$140="moeda")+(Inputs!$G$5:$G$140="acoes"))*Inputs!$B$1+((Inputs!$G$5:$G$140&lt;&gt;"moeda")*(Inputs!$G$5:$G$140&lt;&gt;"acoes")))*INDEX(Inputs!$K$5:$AJ$140,0,MATCH(Q$2,Inputs!$K$4:$AJ$4,0)))+SUMPRODUCT((Inputs!$C$5:$C$140=$B19)*Inputs!$D$5:$D$140*(((Inputs!$G$5:$G$140="moeda")+(Inputs!$G$5:$G$140="acoes"))*Inputs!$B$1+((Inputs!$G$5:$G$140&lt;&gt;"moeda")*(Inputs!$G$5:$G$140&lt;&gt;"acoes")))*INDEX(Inputs!$K$5:$AJ$140,0,MATCH(Q$2,Inputs!$K$4:$AJ$4,0)))+SUMPRODUCT((Inputs!$E$5:$E$140=$B19)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19" s="3" t="e">
        <f>Q19</f>
        <v>#N/A</v>
      </c>
      <c r="S19" s="6" t="e">
        <f>IF(ISNA(MATCH(S$2,Inputs!$K$4:$AJ$4,0)),NA(),IF(SUMPRODUCT((Inputs!$A$5:$A$140=$B19)*ISNUMBER(INDEX(Inputs!$K$5:$AJ$140,0,MATCH(S$2,Inputs!$K$4:$AJ$4,0))))+SUMPRODUCT((Inputs!$C$5:$C$140=$B19)*ISNUMBER(INDEX(Inputs!$K$5:$AJ$140,0,MATCH(S$2,Inputs!$K$4:$AJ$4,0))))+SUMPRODUCT((Inputs!$E$5:$E$140=$B19)*ISNUMBER(INDEX(Inputs!$K$5:$AJ$140,0,MATCH(S$2,Inputs!$K$4:$AJ$4,0))))=0,NA(),SUMPRODUCT((Inputs!$A$5:$A$140=$B19)*Inputs!$B$5:$B$140*(((Inputs!$G$5:$G$140="moeda")+(Inputs!$G$5:$G$140="acoes"))*Inputs!$B$1+((Inputs!$G$5:$G$140&lt;&gt;"moeda")*(Inputs!$G$5:$G$140&lt;&gt;"acoes")))*INDEX(Inputs!$K$5:$AJ$140,0,MATCH(S$2,Inputs!$K$4:$AJ$4,0)))+SUMPRODUCT((Inputs!$C$5:$C$140=$B19)*Inputs!$D$5:$D$140*(((Inputs!$G$5:$G$140="moeda")+(Inputs!$G$5:$G$140="acoes"))*Inputs!$B$1+((Inputs!$G$5:$G$140&lt;&gt;"moeda")*(Inputs!$G$5:$G$140&lt;&gt;"acoes")))*INDEX(Inputs!$K$5:$AJ$140,0,MATCH(S$2,Inputs!$K$4:$AJ$4,0)))+SUMPRODUCT((Inputs!$E$5:$E$140=$B19)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19" s="6" t="e">
        <f>IF(ISNA(MATCH(T$2,Inputs!$K$4:$AJ$4,0)),NA(),IF(SUMPRODUCT((Inputs!$A$5:$A$140=$B19)*ISNUMBER(INDEX(Inputs!$K$5:$AJ$140,0,MATCH(T$2,Inputs!$K$4:$AJ$4,0))))+SUMPRODUCT((Inputs!$C$5:$C$140=$B19)*ISNUMBER(INDEX(Inputs!$K$5:$AJ$140,0,MATCH(T$2,Inputs!$K$4:$AJ$4,0))))+SUMPRODUCT((Inputs!$E$5:$E$140=$B19)*ISNUMBER(INDEX(Inputs!$K$5:$AJ$140,0,MATCH(T$2,Inputs!$K$4:$AJ$4,0))))=0,NA(),SUMPRODUCT((Inputs!$A$5:$A$140=$B19)*Inputs!$B$5:$B$140*(((Inputs!$G$5:$G$140="moeda")+(Inputs!$G$5:$G$140="acoes"))*Inputs!$B$1+((Inputs!$G$5:$G$140&lt;&gt;"moeda")*(Inputs!$G$5:$G$140&lt;&gt;"acoes")))*INDEX(Inputs!$K$5:$AJ$140,0,MATCH(T$2,Inputs!$K$4:$AJ$4,0)))+SUMPRODUCT((Inputs!$C$5:$C$140=$B19)*Inputs!$D$5:$D$140*(((Inputs!$G$5:$G$140="moeda")+(Inputs!$G$5:$G$140="acoes"))*Inputs!$B$1+((Inputs!$G$5:$G$140&lt;&gt;"moeda")*(Inputs!$G$5:$G$140&lt;&gt;"acoes")))*INDEX(Inputs!$K$5:$AJ$140,0,MATCH(T$2,Inputs!$K$4:$AJ$4,0)))+SUMPRODUCT((Inputs!$E$5:$E$140=$B19)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19" s="6" t="e">
        <f>IF(ISNA(MATCH(U$2,Inputs!$K$4:$AJ$4,0)),NA(),IF(SUMPRODUCT((Inputs!$A$5:$A$140=$B19)*ISNUMBER(INDEX(Inputs!$K$5:$AJ$140,0,MATCH(U$2,Inputs!$K$4:$AJ$4,0))))+SUMPRODUCT((Inputs!$C$5:$C$140=$B19)*ISNUMBER(INDEX(Inputs!$K$5:$AJ$140,0,MATCH(U$2,Inputs!$K$4:$AJ$4,0))))+SUMPRODUCT((Inputs!$E$5:$E$140=$B19)*ISNUMBER(INDEX(Inputs!$K$5:$AJ$140,0,MATCH(U$2,Inputs!$K$4:$AJ$4,0))))=0,NA(),SUMPRODUCT((Inputs!$A$5:$A$140=$B19)*Inputs!$B$5:$B$140*(((Inputs!$G$5:$G$140="moeda")+(Inputs!$G$5:$G$140="acoes"))*Inputs!$B$1+((Inputs!$G$5:$G$140&lt;&gt;"moeda")*(Inputs!$G$5:$G$140&lt;&gt;"acoes")))*INDEX(Inputs!$K$5:$AJ$140,0,MATCH(U$2,Inputs!$K$4:$AJ$4,0)))+SUMPRODUCT((Inputs!$C$5:$C$140=$B19)*Inputs!$D$5:$D$140*(((Inputs!$G$5:$G$140="moeda")+(Inputs!$G$5:$G$140="acoes"))*Inputs!$B$1+((Inputs!$G$5:$G$140&lt;&gt;"moeda")*(Inputs!$G$5:$G$140&lt;&gt;"acoes")))*INDEX(Inputs!$K$5:$AJ$140,0,MATCH(U$2,Inputs!$K$4:$AJ$4,0)))+SUMPRODUCT((Inputs!$E$5:$E$140=$B19)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19" s="6" t="e">
        <f>IF(ISNA(MATCH(V$2,Inputs!$K$4:$AJ$4,0)),NA(),IF(SUMPRODUCT((Inputs!$A$5:$A$140=$B19)*ISNUMBER(INDEX(Inputs!$K$5:$AJ$140,0,MATCH(V$2,Inputs!$K$4:$AJ$4,0))))+SUMPRODUCT((Inputs!$C$5:$C$140=$B19)*ISNUMBER(INDEX(Inputs!$K$5:$AJ$140,0,MATCH(V$2,Inputs!$K$4:$AJ$4,0))))+SUMPRODUCT((Inputs!$E$5:$E$140=$B19)*ISNUMBER(INDEX(Inputs!$K$5:$AJ$140,0,MATCH(V$2,Inputs!$K$4:$AJ$4,0))))=0,NA(),SUMPRODUCT((Inputs!$A$5:$A$140=$B19)*Inputs!$B$5:$B$140*(((Inputs!$G$5:$G$140="moeda")+(Inputs!$G$5:$G$140="acoes"))*Inputs!$B$1+((Inputs!$G$5:$G$140&lt;&gt;"moeda")*(Inputs!$G$5:$G$140&lt;&gt;"acoes")))*INDEX(Inputs!$K$5:$AJ$140,0,MATCH(V$2,Inputs!$K$4:$AJ$4,0)))+SUMPRODUCT((Inputs!$C$5:$C$140=$B19)*Inputs!$D$5:$D$140*(((Inputs!$G$5:$G$140="moeda")+(Inputs!$G$5:$G$140="acoes"))*Inputs!$B$1+((Inputs!$G$5:$G$140&lt;&gt;"moeda")*(Inputs!$G$5:$G$140&lt;&gt;"acoes")))*INDEX(Inputs!$K$5:$AJ$140,0,MATCH(V$2,Inputs!$K$4:$AJ$4,0)))+SUMPRODUCT((Inputs!$E$5:$E$140=$B19)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19" s="3" t="e">
        <f>V19</f>
        <v>#N/A</v>
      </c>
      <c r="X19" s="6" t="e">
        <f>IF(ISNA(MATCH(X$2,Inputs!$K$4:$AJ$4,0)),NA(),IF(SUMPRODUCT((Inputs!$A$5:$A$140=$B19)*ISNUMBER(INDEX(Inputs!$K$5:$AJ$140,0,MATCH(X$2,Inputs!$K$4:$AJ$4,0))))+SUMPRODUCT((Inputs!$C$5:$C$140=$B19)*ISNUMBER(INDEX(Inputs!$K$5:$AJ$140,0,MATCH(X$2,Inputs!$K$4:$AJ$4,0))))+SUMPRODUCT((Inputs!$E$5:$E$140=$B19)*ISNUMBER(INDEX(Inputs!$K$5:$AJ$140,0,MATCH(X$2,Inputs!$K$4:$AJ$4,0))))=0,NA(),SUMPRODUCT((Inputs!$A$5:$A$140=$B19)*Inputs!$B$5:$B$140*(((Inputs!$G$5:$G$140="moeda")+(Inputs!$G$5:$G$140="acoes"))*Inputs!$B$1+((Inputs!$G$5:$G$140&lt;&gt;"moeda")*(Inputs!$G$5:$G$140&lt;&gt;"acoes")))*INDEX(Inputs!$K$5:$AJ$140,0,MATCH(X$2,Inputs!$K$4:$AJ$4,0)))+SUMPRODUCT((Inputs!$C$5:$C$140=$B19)*Inputs!$D$5:$D$140*(((Inputs!$G$5:$G$140="moeda")+(Inputs!$G$5:$G$140="acoes"))*Inputs!$B$1+((Inputs!$G$5:$G$140&lt;&gt;"moeda")*(Inputs!$G$5:$G$140&lt;&gt;"acoes")))*INDEX(Inputs!$K$5:$AJ$140,0,MATCH(X$2,Inputs!$K$4:$AJ$4,0)))+SUMPRODUCT((Inputs!$E$5:$E$140=$B19)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19" s="6" t="e">
        <f>IF(ISNA(MATCH(Y$2,Inputs!$K$4:$AJ$4,0)),NA(),IF(SUMPRODUCT((Inputs!$A$5:$A$140=$B19)*ISNUMBER(INDEX(Inputs!$K$5:$AJ$140,0,MATCH(Y$2,Inputs!$K$4:$AJ$4,0))))+SUMPRODUCT((Inputs!$C$5:$C$140=$B19)*ISNUMBER(INDEX(Inputs!$K$5:$AJ$140,0,MATCH(Y$2,Inputs!$K$4:$AJ$4,0))))+SUMPRODUCT((Inputs!$E$5:$E$140=$B19)*ISNUMBER(INDEX(Inputs!$K$5:$AJ$140,0,MATCH(Y$2,Inputs!$K$4:$AJ$4,0))))=0,NA(),SUMPRODUCT((Inputs!$A$5:$A$140=$B19)*Inputs!$B$5:$B$140*(((Inputs!$G$5:$G$140="moeda")+(Inputs!$G$5:$G$140="acoes"))*Inputs!$B$1+((Inputs!$G$5:$G$140&lt;&gt;"moeda")*(Inputs!$G$5:$G$140&lt;&gt;"acoes")))*INDEX(Inputs!$K$5:$AJ$140,0,MATCH(Y$2,Inputs!$K$4:$AJ$4,0)))+SUMPRODUCT((Inputs!$C$5:$C$140=$B19)*Inputs!$D$5:$D$140*(((Inputs!$G$5:$G$140="moeda")+(Inputs!$G$5:$G$140="acoes"))*Inputs!$B$1+((Inputs!$G$5:$G$140&lt;&gt;"moeda")*(Inputs!$G$5:$G$140&lt;&gt;"acoes")))*INDEX(Inputs!$K$5:$AJ$140,0,MATCH(Y$2,Inputs!$K$4:$AJ$4,0)))+SUMPRODUCT((Inputs!$E$5:$E$140=$B19)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19" s="6" t="e">
        <f>IF(ISNA(MATCH(Z$2,Inputs!$K$4:$AJ$4,0)),NA(),IF(SUMPRODUCT((Inputs!$A$5:$A$140=$B19)*ISNUMBER(INDEX(Inputs!$K$5:$AJ$140,0,MATCH(Z$2,Inputs!$K$4:$AJ$4,0))))+SUMPRODUCT((Inputs!$C$5:$C$140=$B19)*ISNUMBER(INDEX(Inputs!$K$5:$AJ$140,0,MATCH(Z$2,Inputs!$K$4:$AJ$4,0))))+SUMPRODUCT((Inputs!$E$5:$E$140=$B19)*ISNUMBER(INDEX(Inputs!$K$5:$AJ$140,0,MATCH(Z$2,Inputs!$K$4:$AJ$4,0))))=0,NA(),SUMPRODUCT((Inputs!$A$5:$A$140=$B19)*Inputs!$B$5:$B$140*(((Inputs!$G$5:$G$140="moeda")+(Inputs!$G$5:$G$140="acoes"))*Inputs!$B$1+((Inputs!$G$5:$G$140&lt;&gt;"moeda")*(Inputs!$G$5:$G$140&lt;&gt;"acoes")))*INDEX(Inputs!$K$5:$AJ$140,0,MATCH(Z$2,Inputs!$K$4:$AJ$4,0)))+SUMPRODUCT((Inputs!$C$5:$C$140=$B19)*Inputs!$D$5:$D$140*(((Inputs!$G$5:$G$140="moeda")+(Inputs!$G$5:$G$140="acoes"))*Inputs!$B$1+((Inputs!$G$5:$G$140&lt;&gt;"moeda")*(Inputs!$G$5:$G$140&lt;&gt;"acoes")))*INDEX(Inputs!$K$5:$AJ$140,0,MATCH(Z$2,Inputs!$K$4:$AJ$4,0)))+SUMPRODUCT((Inputs!$E$5:$E$140=$B19)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19" s="6" t="e">
        <f>IF(ISNA(MATCH(AA$2,Inputs!$K$4:$AJ$4,0)),NA(),IF(SUMPRODUCT((Inputs!$A$5:$A$140=$B19)*ISNUMBER(INDEX(Inputs!$K$5:$AJ$140,0,MATCH(AA$2,Inputs!$K$4:$AJ$4,0))))+SUMPRODUCT((Inputs!$C$5:$C$140=$B19)*ISNUMBER(INDEX(Inputs!$K$5:$AJ$140,0,MATCH(AA$2,Inputs!$K$4:$AJ$4,0))))+SUMPRODUCT((Inputs!$E$5:$E$140=$B19)*ISNUMBER(INDEX(Inputs!$K$5:$AJ$140,0,MATCH(AA$2,Inputs!$K$4:$AJ$4,0))))=0,NA(),SUMPRODUCT((Inputs!$A$5:$A$140=$B19)*Inputs!$B$5:$B$140*(((Inputs!$G$5:$G$140="moeda")+(Inputs!$G$5:$G$140="acoes"))*Inputs!$B$1+((Inputs!$G$5:$G$140&lt;&gt;"moeda")*(Inputs!$G$5:$G$140&lt;&gt;"acoes")))*INDEX(Inputs!$K$5:$AJ$140,0,MATCH(AA$2,Inputs!$K$4:$AJ$4,0)))+SUMPRODUCT((Inputs!$C$5:$C$140=$B19)*Inputs!$D$5:$D$140*(((Inputs!$G$5:$G$140="moeda")+(Inputs!$G$5:$G$140="acoes"))*Inputs!$B$1+((Inputs!$G$5:$G$140&lt;&gt;"moeda")*(Inputs!$G$5:$G$140&lt;&gt;"acoes")))*INDEX(Inputs!$K$5:$AJ$140,0,MATCH(AA$2,Inputs!$K$4:$AJ$4,0)))+SUMPRODUCT((Inputs!$E$5:$E$140=$B19)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19" s="3" t="e">
        <f>AA19</f>
        <v>#N/A</v>
      </c>
      <c r="AC19" s="6" t="e">
        <f>IF(ISNA(MATCH(AC$2,Inputs!$K$4:$AJ$4,0)),NA(),IF(SUMPRODUCT((Inputs!$A$5:$A$140=$B19)*ISNUMBER(INDEX(Inputs!$K$5:$AJ$140,0,MATCH(AC$2,Inputs!$K$4:$AJ$4,0))))+SUMPRODUCT((Inputs!$C$5:$C$140=$B19)*ISNUMBER(INDEX(Inputs!$K$5:$AJ$140,0,MATCH(AC$2,Inputs!$K$4:$AJ$4,0))))+SUMPRODUCT((Inputs!$E$5:$E$140=$B19)*ISNUMBER(INDEX(Inputs!$K$5:$AJ$140,0,MATCH(AC$2,Inputs!$K$4:$AJ$4,0))))=0,NA(),SUMPRODUCT((Inputs!$A$5:$A$140=$B19)*Inputs!$B$5:$B$140*(((Inputs!$G$5:$G$140="moeda")+(Inputs!$G$5:$G$140="acoes"))*Inputs!$B$1+((Inputs!$G$5:$G$140&lt;&gt;"moeda")*(Inputs!$G$5:$G$140&lt;&gt;"acoes")))*INDEX(Inputs!$K$5:$AJ$140,0,MATCH(AC$2,Inputs!$K$4:$AJ$4,0)))+SUMPRODUCT((Inputs!$C$5:$C$140=$B19)*Inputs!$D$5:$D$140*(((Inputs!$G$5:$G$140="moeda")+(Inputs!$G$5:$G$140="acoes"))*Inputs!$B$1+((Inputs!$G$5:$G$140&lt;&gt;"moeda")*(Inputs!$G$5:$G$140&lt;&gt;"acoes")))*INDEX(Inputs!$K$5:$AJ$140,0,MATCH(AC$2,Inputs!$K$4:$AJ$4,0)))+SUMPRODUCT((Inputs!$E$5:$E$140=$B19)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19" s="6" t="e">
        <f>IF(ISNA(MATCH(AD$2,Inputs!$K$4:$AJ$4,0)),NA(),IF(SUMPRODUCT((Inputs!$A$5:$A$140=$B19)*ISNUMBER(INDEX(Inputs!$K$5:$AJ$140,0,MATCH(AD$2,Inputs!$K$4:$AJ$4,0))))+SUMPRODUCT((Inputs!$C$5:$C$140=$B19)*ISNUMBER(INDEX(Inputs!$K$5:$AJ$140,0,MATCH(AD$2,Inputs!$K$4:$AJ$4,0))))+SUMPRODUCT((Inputs!$E$5:$E$140=$B19)*ISNUMBER(INDEX(Inputs!$K$5:$AJ$140,0,MATCH(AD$2,Inputs!$K$4:$AJ$4,0))))=0,NA(),SUMPRODUCT((Inputs!$A$5:$A$140=$B19)*Inputs!$B$5:$B$140*(((Inputs!$G$5:$G$140="moeda")+(Inputs!$G$5:$G$140="acoes"))*Inputs!$B$1+((Inputs!$G$5:$G$140&lt;&gt;"moeda")*(Inputs!$G$5:$G$140&lt;&gt;"acoes")))*INDEX(Inputs!$K$5:$AJ$140,0,MATCH(AD$2,Inputs!$K$4:$AJ$4,0)))+SUMPRODUCT((Inputs!$C$5:$C$140=$B19)*Inputs!$D$5:$D$140*(((Inputs!$G$5:$G$140="moeda")+(Inputs!$G$5:$G$140="acoes"))*Inputs!$B$1+((Inputs!$G$5:$G$140&lt;&gt;"moeda")*(Inputs!$G$5:$G$140&lt;&gt;"acoes")))*INDEX(Inputs!$K$5:$AJ$140,0,MATCH(AD$2,Inputs!$K$4:$AJ$4,0)))+SUMPRODUCT((Inputs!$E$5:$E$140=$B19)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19" s="6" t="e">
        <f>IF(ISNA(MATCH(AE$2,Inputs!$K$4:$AJ$4,0)),NA(),IF(SUMPRODUCT((Inputs!$A$5:$A$140=$B19)*ISNUMBER(INDEX(Inputs!$K$5:$AJ$140,0,MATCH(AE$2,Inputs!$K$4:$AJ$4,0))))+SUMPRODUCT((Inputs!$C$5:$C$140=$B19)*ISNUMBER(INDEX(Inputs!$K$5:$AJ$140,0,MATCH(AE$2,Inputs!$K$4:$AJ$4,0))))+SUMPRODUCT((Inputs!$E$5:$E$140=$B19)*ISNUMBER(INDEX(Inputs!$K$5:$AJ$140,0,MATCH(AE$2,Inputs!$K$4:$AJ$4,0))))=0,NA(),SUMPRODUCT((Inputs!$A$5:$A$140=$B19)*Inputs!$B$5:$B$140*(((Inputs!$G$5:$G$140="moeda")+(Inputs!$G$5:$G$140="acoes"))*Inputs!$B$1+((Inputs!$G$5:$G$140&lt;&gt;"moeda")*(Inputs!$G$5:$G$140&lt;&gt;"acoes")))*INDEX(Inputs!$K$5:$AJ$140,0,MATCH(AE$2,Inputs!$K$4:$AJ$4,0)))+SUMPRODUCT((Inputs!$C$5:$C$140=$B19)*Inputs!$D$5:$D$140*(((Inputs!$G$5:$G$140="moeda")+(Inputs!$G$5:$G$140="acoes"))*Inputs!$B$1+((Inputs!$G$5:$G$140&lt;&gt;"moeda")*(Inputs!$G$5:$G$140&lt;&gt;"acoes")))*INDEX(Inputs!$K$5:$AJ$140,0,MATCH(AE$2,Inputs!$K$4:$AJ$4,0)))+SUMPRODUCT((Inputs!$E$5:$E$140=$B19)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9" s="6" t="e">
        <f>IF(ISNA(MATCH(AF$2,Inputs!$K$4:$AJ$4,0)),NA(),IF(SUMPRODUCT((Inputs!$A$5:$A$140=$B19)*ISNUMBER(INDEX(Inputs!$K$5:$AJ$140,0,MATCH(AF$2,Inputs!$K$4:$AJ$4,0))))+SUMPRODUCT((Inputs!$C$5:$C$140=$B19)*ISNUMBER(INDEX(Inputs!$K$5:$AJ$140,0,MATCH(AF$2,Inputs!$K$4:$AJ$4,0))))+SUMPRODUCT((Inputs!$E$5:$E$140=$B19)*ISNUMBER(INDEX(Inputs!$K$5:$AJ$140,0,MATCH(AF$2,Inputs!$K$4:$AJ$4,0))))=0,NA(),SUMPRODUCT((Inputs!$A$5:$A$140=$B19)*Inputs!$B$5:$B$140*(((Inputs!$G$5:$G$140="moeda")+(Inputs!$G$5:$G$140="acoes"))*Inputs!$B$1+((Inputs!$G$5:$G$140&lt;&gt;"moeda")*(Inputs!$G$5:$G$140&lt;&gt;"acoes")))*INDEX(Inputs!$K$5:$AJ$140,0,MATCH(AF$2,Inputs!$K$4:$AJ$4,0)))+SUMPRODUCT((Inputs!$C$5:$C$140=$B19)*Inputs!$D$5:$D$140*(((Inputs!$G$5:$G$140="moeda")+(Inputs!$G$5:$G$140="acoes"))*Inputs!$B$1+((Inputs!$G$5:$G$140&lt;&gt;"moeda")*(Inputs!$G$5:$G$140&lt;&gt;"acoes")))*INDEX(Inputs!$K$5:$AJ$140,0,MATCH(AF$2,Inputs!$K$4:$AJ$4,0)))+SUMPRODUCT((Inputs!$E$5:$E$140=$B19)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9" s="3" t="e">
        <f>AF19</f>
        <v>#N/A</v>
      </c>
      <c r="AH19" s="6" t="e">
        <f>IF(ISNA(MATCH(AH$2,Inputs!$K$4:$AJ$4,0)),NA(),IF(SUMPRODUCT((Inputs!$A$5:$A$140=$B19)*ISNUMBER(INDEX(Inputs!$K$5:$AJ$140,0,MATCH(AH$2,Inputs!$K$4:$AJ$4,0))))+SUMPRODUCT((Inputs!$C$5:$C$140=$B19)*ISNUMBER(INDEX(Inputs!$K$5:$AJ$140,0,MATCH(AH$2,Inputs!$K$4:$AJ$4,0))))+SUMPRODUCT((Inputs!$E$5:$E$140=$B19)*ISNUMBER(INDEX(Inputs!$K$5:$AJ$140,0,MATCH(AH$2,Inputs!$K$4:$AJ$4,0))))=0,NA(),SUMPRODUCT((Inputs!$A$5:$A$140=$B19)*Inputs!$B$5:$B$140*(((Inputs!$G$5:$G$140="moeda")+(Inputs!$G$5:$G$140="acoes"))*Inputs!$B$1+((Inputs!$G$5:$G$140&lt;&gt;"moeda")*(Inputs!$G$5:$G$140&lt;&gt;"acoes")))*INDEX(Inputs!$K$5:$AJ$140,0,MATCH(AH$2,Inputs!$K$4:$AJ$4,0)))+SUMPRODUCT((Inputs!$C$5:$C$140=$B19)*Inputs!$D$5:$D$140*(((Inputs!$G$5:$G$140="moeda")+(Inputs!$G$5:$G$140="acoes"))*Inputs!$B$1+((Inputs!$G$5:$G$140&lt;&gt;"moeda")*(Inputs!$G$5:$G$140&lt;&gt;"acoes")))*INDEX(Inputs!$K$5:$AJ$140,0,MATCH(AH$2,Inputs!$K$4:$AJ$4,0)))+SUMPRODUCT((Inputs!$E$5:$E$140=$B19)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9" s="6" t="e">
        <f>IF(ISNA(MATCH(AI$2,Inputs!$K$4:$AJ$4,0)),NA(),IF(SUMPRODUCT((Inputs!$A$5:$A$140=$B19)*ISNUMBER(INDEX(Inputs!$K$5:$AJ$140,0,MATCH(AI$2,Inputs!$K$4:$AJ$4,0))))+SUMPRODUCT((Inputs!$C$5:$C$140=$B19)*ISNUMBER(INDEX(Inputs!$K$5:$AJ$140,0,MATCH(AI$2,Inputs!$K$4:$AJ$4,0))))+SUMPRODUCT((Inputs!$E$5:$E$140=$B19)*ISNUMBER(INDEX(Inputs!$K$5:$AJ$140,0,MATCH(AI$2,Inputs!$K$4:$AJ$4,0))))=0,NA(),SUMPRODUCT((Inputs!$A$5:$A$140=$B19)*Inputs!$B$5:$B$140*(((Inputs!$G$5:$G$140="moeda")+(Inputs!$G$5:$G$140="acoes"))*Inputs!$B$1+((Inputs!$G$5:$G$140&lt;&gt;"moeda")*(Inputs!$G$5:$G$140&lt;&gt;"acoes")))*INDEX(Inputs!$K$5:$AJ$140,0,MATCH(AI$2,Inputs!$K$4:$AJ$4,0)))+SUMPRODUCT((Inputs!$C$5:$C$140=$B19)*Inputs!$D$5:$D$140*(((Inputs!$G$5:$G$140="moeda")+(Inputs!$G$5:$G$140="acoes"))*Inputs!$B$1+((Inputs!$G$5:$G$140&lt;&gt;"moeda")*(Inputs!$G$5:$G$140&lt;&gt;"acoes")))*INDEX(Inputs!$K$5:$AJ$140,0,MATCH(AI$2,Inputs!$K$4:$AJ$4,0)))+SUMPRODUCT((Inputs!$E$5:$E$140=$B19)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19" s="6" t="e">
        <f>IF(ISNA(MATCH(AJ$2,Inputs!$K$4:$AJ$4,0)),NA(),IF(SUMPRODUCT((Inputs!$A$5:$A$140=$B19)*ISNUMBER(INDEX(Inputs!$K$5:$AJ$140,0,MATCH(AJ$2,Inputs!$K$4:$AJ$4,0))))+SUMPRODUCT((Inputs!$C$5:$C$140=$B19)*ISNUMBER(INDEX(Inputs!$K$5:$AJ$140,0,MATCH(AJ$2,Inputs!$K$4:$AJ$4,0))))+SUMPRODUCT((Inputs!$E$5:$E$140=$B19)*ISNUMBER(INDEX(Inputs!$K$5:$AJ$140,0,MATCH(AJ$2,Inputs!$K$4:$AJ$4,0))))=0,NA(),SUMPRODUCT((Inputs!$A$5:$A$140=$B19)*Inputs!$B$5:$B$140*(((Inputs!$G$5:$G$140="moeda")+(Inputs!$G$5:$G$140="acoes"))*Inputs!$B$1+((Inputs!$G$5:$G$140&lt;&gt;"moeda")*(Inputs!$G$5:$G$140&lt;&gt;"acoes")))*INDEX(Inputs!$K$5:$AJ$140,0,MATCH(AJ$2,Inputs!$K$4:$AJ$4,0)))+SUMPRODUCT((Inputs!$C$5:$C$140=$B19)*Inputs!$D$5:$D$140*(((Inputs!$G$5:$G$140="moeda")+(Inputs!$G$5:$G$140="acoes"))*Inputs!$B$1+((Inputs!$G$5:$G$140&lt;&gt;"moeda")*(Inputs!$G$5:$G$140&lt;&gt;"acoes")))*INDEX(Inputs!$K$5:$AJ$140,0,MATCH(AJ$2,Inputs!$K$4:$AJ$4,0)))+SUMPRODUCT((Inputs!$E$5:$E$140=$B19)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19" s="6" t="e">
        <f>IF(ISNA(MATCH(AK$2,Inputs!$K$4:$AJ$4,0)),NA(),IF(SUMPRODUCT((Inputs!$A$5:$A$140=$B19)*ISNUMBER(INDEX(Inputs!$K$5:$AJ$140,0,MATCH(AK$2,Inputs!$K$4:$AJ$4,0))))+SUMPRODUCT((Inputs!$C$5:$C$140=$B19)*ISNUMBER(INDEX(Inputs!$K$5:$AJ$140,0,MATCH(AK$2,Inputs!$K$4:$AJ$4,0))))+SUMPRODUCT((Inputs!$E$5:$E$140=$B19)*ISNUMBER(INDEX(Inputs!$K$5:$AJ$140,0,MATCH(AK$2,Inputs!$K$4:$AJ$4,0))))=0,NA(),SUMPRODUCT((Inputs!$A$5:$A$140=$B19)*Inputs!$B$5:$B$140*(((Inputs!$G$5:$G$140="moeda")+(Inputs!$G$5:$G$140="acoes"))*Inputs!$B$1+((Inputs!$G$5:$G$140&lt;&gt;"moeda")*(Inputs!$G$5:$G$140&lt;&gt;"acoes")))*INDEX(Inputs!$K$5:$AJ$140,0,MATCH(AK$2,Inputs!$K$4:$AJ$4,0)))+SUMPRODUCT((Inputs!$C$5:$C$140=$B19)*Inputs!$D$5:$D$140*(((Inputs!$G$5:$G$140="moeda")+(Inputs!$G$5:$G$140="acoes"))*Inputs!$B$1+((Inputs!$G$5:$G$140&lt;&gt;"moeda")*(Inputs!$G$5:$G$140&lt;&gt;"acoes")))*INDEX(Inputs!$K$5:$AJ$140,0,MATCH(AK$2,Inputs!$K$4:$AJ$4,0)))+SUMPRODUCT((Inputs!$E$5:$E$140=$B19)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19" s="3" t="e">
        <f>AK19</f>
        <v>#N/A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$140=$B20)*ISNUMBER(INDEX(Inputs!$K$5:$AJ$140,0,MATCH(D$2,Inputs!$K$4:$AJ$4,0))))+SUMPRODUCT((Inputs!$C$5:$C$140=$B20)*ISNUMBER(INDEX(Inputs!$K$5:$AJ$140,0,MATCH(D$2,Inputs!$K$4:$AJ$4,0))))+SUMPRODUCT((Inputs!$E$5:$E$140=$B20)*ISNUMBER(INDEX(Inputs!$K$5:$AJ$140,0,MATCH(D$2,Inputs!$K$4:$AJ$4,0))))=0,NA(),SUMPRODUCT((Inputs!$A$5:$A$140=$B20)*Inputs!$B$5:$B$140*(((Inputs!$G$5:$G$140="moeda")+(Inputs!$G$5:$G$140="acoes"))*Inputs!$B$1+((Inputs!$G$5:$G$140&lt;&gt;"moeda")*(Inputs!$G$5:$G$140&lt;&gt;"acoes")))*INDEX(Inputs!$K$5:$AJ$140,0,MATCH(D$2,Inputs!$K$4:$AJ$4,0)))+SUMPRODUCT((Inputs!$C$5:$C$140=$B20)*Inputs!$D$5:$D$140*(((Inputs!$G$5:$G$140="moeda")+(Inputs!$G$5:$G$140="acoes"))*Inputs!$B$1+((Inputs!$G$5:$G$140&lt;&gt;"moeda")*(Inputs!$G$5:$G$140&lt;&gt;"acoes")))*INDEX(Inputs!$K$5:$AJ$140,0,MATCH(D$2,Inputs!$K$4:$AJ$4,0)))+SUMPRODUCT((Inputs!$E$5:$E$140=$B20)*Inputs!$F$5:$F$140*(((Inputs!$G$5:$G$140="moeda")+(Inputs!$G$5:$G$140="acoes"))*Inputs!$B$1+((Inputs!$G$5:$G$140&lt;&gt;"moeda")*(Inputs!$G$5:$G$140&lt;&gt;"acoes")))*INDEX(Inputs!$K$5:$AJ$140,0,MATCH(D$2,Inputs!$K$4:$AJ$4,0)))))</f>
        <v>108.25489017</v>
      </c>
      <c r="E20" s="6">
        <f>IF(ISNA(MATCH(E$2,Inputs!$K$4:$AJ$4,0)),NA(),IF(SUMPRODUCT((Inputs!$A$5:$A$140=$B20)*ISNUMBER(INDEX(Inputs!$K$5:$AJ$140,0,MATCH(E$2,Inputs!$K$4:$AJ$4,0))))+SUMPRODUCT((Inputs!$C$5:$C$140=$B20)*ISNUMBER(INDEX(Inputs!$K$5:$AJ$140,0,MATCH(E$2,Inputs!$K$4:$AJ$4,0))))+SUMPRODUCT((Inputs!$E$5:$E$140=$B20)*ISNUMBER(INDEX(Inputs!$K$5:$AJ$140,0,MATCH(E$2,Inputs!$K$4:$AJ$4,0))))=0,NA(),SUMPRODUCT((Inputs!$A$5:$A$140=$B20)*Inputs!$B$5:$B$140*(((Inputs!$G$5:$G$140="moeda")+(Inputs!$G$5:$G$140="acoes"))*Inputs!$B$1+((Inputs!$G$5:$G$140&lt;&gt;"moeda")*(Inputs!$G$5:$G$140&lt;&gt;"acoes")))*INDEX(Inputs!$K$5:$AJ$140,0,MATCH(E$2,Inputs!$K$4:$AJ$4,0)))+SUMPRODUCT((Inputs!$C$5:$C$140=$B20)*Inputs!$D$5:$D$140*(((Inputs!$G$5:$G$140="moeda")+(Inputs!$G$5:$G$140="acoes"))*Inputs!$B$1+((Inputs!$G$5:$G$140&lt;&gt;"moeda")*(Inputs!$G$5:$G$140&lt;&gt;"acoes")))*INDEX(Inputs!$K$5:$AJ$140,0,MATCH(E$2,Inputs!$K$4:$AJ$4,0)))+SUMPRODUCT((Inputs!$E$5:$E$140=$B20)*Inputs!$F$5:$F$140*(((Inputs!$G$5:$G$140="moeda")+(Inputs!$G$5:$G$140="acoes"))*Inputs!$B$1+((Inputs!$G$5:$G$140&lt;&gt;"moeda")*(Inputs!$G$5:$G$140&lt;&gt;"acoes")))*INDEX(Inputs!$K$5:$AJ$140,0,MATCH(E$2,Inputs!$K$4:$AJ$4,0)))))</f>
        <v>133.5251024</v>
      </c>
      <c r="F20" s="6">
        <f>IF(ISNA(MATCH(F$2,Inputs!$K$4:$AJ$4,0)),NA(),IF(SUMPRODUCT((Inputs!$A$5:$A$140=$B20)*ISNUMBER(INDEX(Inputs!$K$5:$AJ$140,0,MATCH(F$2,Inputs!$K$4:$AJ$4,0))))+SUMPRODUCT((Inputs!$C$5:$C$140=$B20)*ISNUMBER(INDEX(Inputs!$K$5:$AJ$140,0,MATCH(F$2,Inputs!$K$4:$AJ$4,0))))+SUMPRODUCT((Inputs!$E$5:$E$140=$B20)*ISNUMBER(INDEX(Inputs!$K$5:$AJ$140,0,MATCH(F$2,Inputs!$K$4:$AJ$4,0))))=0,NA(),SUMPRODUCT((Inputs!$A$5:$A$140=$B20)*Inputs!$B$5:$B$140*(((Inputs!$G$5:$G$140="moeda")+(Inputs!$G$5:$G$140="acoes"))*Inputs!$B$1+((Inputs!$G$5:$G$140&lt;&gt;"moeda")*(Inputs!$G$5:$G$140&lt;&gt;"acoes")))*INDEX(Inputs!$K$5:$AJ$140,0,MATCH(F$2,Inputs!$K$4:$AJ$4,0)))+SUMPRODUCT((Inputs!$C$5:$C$140=$B20)*Inputs!$D$5:$D$140*(((Inputs!$G$5:$G$140="moeda")+(Inputs!$G$5:$G$140="acoes"))*Inputs!$B$1+((Inputs!$G$5:$G$140&lt;&gt;"moeda")*(Inputs!$G$5:$G$140&lt;&gt;"acoes")))*INDEX(Inputs!$K$5:$AJ$140,0,MATCH(F$2,Inputs!$K$4:$AJ$4,0)))+SUMPRODUCT((Inputs!$E$5:$E$140=$B20)*Inputs!$F$5:$F$140*(((Inputs!$G$5:$G$140="moeda")+(Inputs!$G$5:$G$140="acoes"))*Inputs!$B$1+((Inputs!$G$5:$G$140&lt;&gt;"moeda")*(Inputs!$G$5:$G$140&lt;&gt;"acoes")))*INDEX(Inputs!$K$5:$AJ$140,0,MATCH(F$2,Inputs!$K$4:$AJ$4,0)))))</f>
        <v>210.772</v>
      </c>
      <c r="G20" s="6">
        <f>IF(ISNA(MATCH(G$2,Inputs!$K$4:$AJ$4,0)),NA(),IF(SUMPRODUCT((Inputs!$A$5:$A$140=$B20)*ISNUMBER(INDEX(Inputs!$K$5:$AJ$140,0,MATCH(G$2,Inputs!$K$4:$AJ$4,0))))+SUMPRODUCT((Inputs!$C$5:$C$140=$B20)*ISNUMBER(INDEX(Inputs!$K$5:$AJ$140,0,MATCH(G$2,Inputs!$K$4:$AJ$4,0))))+SUMPRODUCT((Inputs!$E$5:$E$140=$B20)*ISNUMBER(INDEX(Inputs!$K$5:$AJ$140,0,MATCH(G$2,Inputs!$K$4:$AJ$4,0))))=0,NA(),SUMPRODUCT((Inputs!$A$5:$A$140=$B20)*Inputs!$B$5:$B$140*(((Inputs!$G$5:$G$140="moeda")+(Inputs!$G$5:$G$140="acoes"))*Inputs!$B$1+((Inputs!$G$5:$G$140&lt;&gt;"moeda")*(Inputs!$G$5:$G$140&lt;&gt;"acoes")))*INDEX(Inputs!$K$5:$AJ$140,0,MATCH(G$2,Inputs!$K$4:$AJ$4,0)))+SUMPRODUCT((Inputs!$C$5:$C$140=$B20)*Inputs!$D$5:$D$140*(((Inputs!$G$5:$G$140="moeda")+(Inputs!$G$5:$G$140="acoes"))*Inputs!$B$1+((Inputs!$G$5:$G$140&lt;&gt;"moeda")*(Inputs!$G$5:$G$140&lt;&gt;"acoes")))*INDEX(Inputs!$K$5:$AJ$140,0,MATCH(G$2,Inputs!$K$4:$AJ$4,0)))+SUMPRODUCT((Inputs!$E$5:$E$140=$B20)*Inputs!$F$5:$F$140*(((Inputs!$G$5:$G$140="moeda")+(Inputs!$G$5:$G$140="acoes"))*Inputs!$B$1+((Inputs!$G$5:$G$140&lt;&gt;"moeda")*(Inputs!$G$5:$G$140&lt;&gt;"acoes")))*INDEX(Inputs!$K$5:$AJ$140,0,MATCH(G$2,Inputs!$K$4:$AJ$4,0)))))</f>
        <v>80.008</v>
      </c>
      <c r="H20" s="3">
        <f>G20</f>
        <v>80.008</v>
      </c>
      <c r="I20" s="6">
        <f>IF(ISNA(MATCH(I$2,Inputs!$K$4:$AJ$4,0)),NA(),IF(SUMPRODUCT((Inputs!$A$5:$A$140=$B20)*ISNUMBER(INDEX(Inputs!$K$5:$AJ$140,0,MATCH(I$2,Inputs!$K$4:$AJ$4,0))))+SUMPRODUCT((Inputs!$C$5:$C$140=$B20)*ISNUMBER(INDEX(Inputs!$K$5:$AJ$140,0,MATCH(I$2,Inputs!$K$4:$AJ$4,0))))+SUMPRODUCT((Inputs!$E$5:$E$140=$B20)*ISNUMBER(INDEX(Inputs!$K$5:$AJ$140,0,MATCH(I$2,Inputs!$K$4:$AJ$4,0))))=0,NA(),SUMPRODUCT((Inputs!$A$5:$A$140=$B20)*Inputs!$B$5:$B$140*(((Inputs!$G$5:$G$140="moeda")+(Inputs!$G$5:$G$140="acoes"))*Inputs!$B$1+((Inputs!$G$5:$G$140&lt;&gt;"moeda")*(Inputs!$G$5:$G$140&lt;&gt;"acoes")))*INDEX(Inputs!$K$5:$AJ$140,0,MATCH(I$2,Inputs!$K$4:$AJ$4,0)))+SUMPRODUCT((Inputs!$C$5:$C$140=$B20)*Inputs!$D$5:$D$140*(((Inputs!$G$5:$G$140="moeda")+(Inputs!$G$5:$G$140="acoes"))*Inputs!$B$1+((Inputs!$G$5:$G$140&lt;&gt;"moeda")*(Inputs!$G$5:$G$140&lt;&gt;"acoes")))*INDEX(Inputs!$K$5:$AJ$140,0,MATCH(I$2,Inputs!$K$4:$AJ$4,0)))+SUMPRODUCT((Inputs!$E$5:$E$140=$B20)*Inputs!$F$5:$F$140*(((Inputs!$G$5:$G$140="moeda")+(Inputs!$G$5:$G$140="acoes"))*Inputs!$B$1+((Inputs!$G$5:$G$140&lt;&gt;"moeda")*(Inputs!$G$5:$G$140&lt;&gt;"acoes")))*INDEX(Inputs!$K$5:$AJ$140,0,MATCH(I$2,Inputs!$K$4:$AJ$4,0)))))</f>
        <v>134.872</v>
      </c>
      <c r="J20" s="6">
        <f>IF(ISNA(MATCH(J$2,Inputs!$K$4:$AJ$4,0)),NA(),IF(SUMPRODUCT((Inputs!$A$5:$A$140=$B20)*ISNUMBER(INDEX(Inputs!$K$5:$AJ$140,0,MATCH(J$2,Inputs!$K$4:$AJ$4,0))))+SUMPRODUCT((Inputs!$C$5:$C$140=$B20)*ISNUMBER(INDEX(Inputs!$K$5:$AJ$140,0,MATCH(J$2,Inputs!$K$4:$AJ$4,0))))+SUMPRODUCT((Inputs!$E$5:$E$140=$B20)*ISNUMBER(INDEX(Inputs!$K$5:$AJ$140,0,MATCH(J$2,Inputs!$K$4:$AJ$4,0))))=0,NA(),SUMPRODUCT((Inputs!$A$5:$A$140=$B20)*Inputs!$B$5:$B$140*(((Inputs!$G$5:$G$140="moeda")+(Inputs!$G$5:$G$140="acoes"))*Inputs!$B$1+((Inputs!$G$5:$G$140&lt;&gt;"moeda")*(Inputs!$G$5:$G$140&lt;&gt;"acoes")))*INDEX(Inputs!$K$5:$AJ$140,0,MATCH(J$2,Inputs!$K$4:$AJ$4,0)))+SUMPRODUCT((Inputs!$C$5:$C$140=$B20)*Inputs!$D$5:$D$140*(((Inputs!$G$5:$G$140="moeda")+(Inputs!$G$5:$G$140="acoes"))*Inputs!$B$1+((Inputs!$G$5:$G$140&lt;&gt;"moeda")*(Inputs!$G$5:$G$140&lt;&gt;"acoes")))*INDEX(Inputs!$K$5:$AJ$140,0,MATCH(J$2,Inputs!$K$4:$AJ$4,0)))+SUMPRODUCT((Inputs!$E$5:$E$140=$B20)*Inputs!$F$5:$F$140*(((Inputs!$G$5:$G$140="moeda")+(Inputs!$G$5:$G$140="acoes"))*Inputs!$B$1+((Inputs!$G$5:$G$140&lt;&gt;"moeda")*(Inputs!$G$5:$G$140&lt;&gt;"acoes")))*INDEX(Inputs!$K$5:$AJ$140,0,MATCH(J$2,Inputs!$K$4:$AJ$4,0)))))</f>
        <v>118.878</v>
      </c>
      <c r="K20" s="6">
        <f>IF(ISNA(MATCH(K$2,Inputs!$K$4:$AJ$4,0)),NA(),IF(SUMPRODUCT((Inputs!$A$5:$A$140=$B20)*ISNUMBER(INDEX(Inputs!$K$5:$AJ$140,0,MATCH(K$2,Inputs!$K$4:$AJ$4,0))))+SUMPRODUCT((Inputs!$C$5:$C$140=$B20)*ISNUMBER(INDEX(Inputs!$K$5:$AJ$140,0,MATCH(K$2,Inputs!$K$4:$AJ$4,0))))+SUMPRODUCT((Inputs!$E$5:$E$140=$B20)*ISNUMBER(INDEX(Inputs!$K$5:$AJ$140,0,MATCH(K$2,Inputs!$K$4:$AJ$4,0))))=0,NA(),SUMPRODUCT((Inputs!$A$5:$A$140=$B20)*Inputs!$B$5:$B$140*(((Inputs!$G$5:$G$140="moeda")+(Inputs!$G$5:$G$140="acoes"))*Inputs!$B$1+((Inputs!$G$5:$G$140&lt;&gt;"moeda")*(Inputs!$G$5:$G$140&lt;&gt;"acoes")))*INDEX(Inputs!$K$5:$AJ$140,0,MATCH(K$2,Inputs!$K$4:$AJ$4,0)))+SUMPRODUCT((Inputs!$C$5:$C$140=$B20)*Inputs!$D$5:$D$140*(((Inputs!$G$5:$G$140="moeda")+(Inputs!$G$5:$G$140="acoes"))*Inputs!$B$1+((Inputs!$G$5:$G$140&lt;&gt;"moeda")*(Inputs!$G$5:$G$140&lt;&gt;"acoes")))*INDEX(Inputs!$K$5:$AJ$140,0,MATCH(K$2,Inputs!$K$4:$AJ$4,0)))+SUMPRODUCT((Inputs!$E$5:$E$140=$B20)*Inputs!$F$5:$F$140*(((Inputs!$G$5:$G$140="moeda")+(Inputs!$G$5:$G$140="acoes"))*Inputs!$B$1+((Inputs!$G$5:$G$140&lt;&gt;"moeda")*(Inputs!$G$5:$G$140&lt;&gt;"acoes")))*INDEX(Inputs!$K$5:$AJ$140,0,MATCH(K$2,Inputs!$K$4:$AJ$4,0)))))</f>
        <v>148.438</v>
      </c>
      <c r="L20" s="6">
        <f>IF(ISNA(MATCH(L$2,Inputs!$K$4:$AJ$4,0)),NA(),IF(SUMPRODUCT((Inputs!$A$5:$A$140=$B20)*ISNUMBER(INDEX(Inputs!$K$5:$AJ$140,0,MATCH(L$2,Inputs!$K$4:$AJ$4,0))))+SUMPRODUCT((Inputs!$C$5:$C$140=$B20)*ISNUMBER(INDEX(Inputs!$K$5:$AJ$140,0,MATCH(L$2,Inputs!$K$4:$AJ$4,0))))+SUMPRODUCT((Inputs!$E$5:$E$140=$B20)*ISNUMBER(INDEX(Inputs!$K$5:$AJ$140,0,MATCH(L$2,Inputs!$K$4:$AJ$4,0))))=0,NA(),SUMPRODUCT((Inputs!$A$5:$A$140=$B20)*Inputs!$B$5:$B$140*(((Inputs!$G$5:$G$140="moeda")+(Inputs!$G$5:$G$140="acoes"))*Inputs!$B$1+((Inputs!$G$5:$G$140&lt;&gt;"moeda")*(Inputs!$G$5:$G$140&lt;&gt;"acoes")))*INDEX(Inputs!$K$5:$AJ$140,0,MATCH(L$2,Inputs!$K$4:$AJ$4,0)))+SUMPRODUCT((Inputs!$C$5:$C$140=$B20)*Inputs!$D$5:$D$140*(((Inputs!$G$5:$G$140="moeda")+(Inputs!$G$5:$G$140="acoes"))*Inputs!$B$1+((Inputs!$G$5:$G$140&lt;&gt;"moeda")*(Inputs!$G$5:$G$140&lt;&gt;"acoes")))*INDEX(Inputs!$K$5:$AJ$140,0,MATCH(L$2,Inputs!$K$4:$AJ$4,0)))+SUMPRODUCT((Inputs!$E$5:$E$140=$B20)*Inputs!$F$5:$F$140*(((Inputs!$G$5:$G$140="moeda")+(Inputs!$G$5:$G$140="acoes"))*Inputs!$B$1+((Inputs!$G$5:$G$140&lt;&gt;"moeda")*(Inputs!$G$5:$G$140&lt;&gt;"acoes")))*INDEX(Inputs!$K$5:$AJ$140,0,MATCH(L$2,Inputs!$K$4:$AJ$4,0)))))</f>
        <v>470.989</v>
      </c>
      <c r="M20" s="3">
        <f>L20</f>
        <v>470.989</v>
      </c>
      <c r="N20" s="6">
        <f>IF(ISNA(MATCH(N$2,Inputs!$K$4:$AJ$4,0)),NA(),IF(SUMPRODUCT((Inputs!$A$5:$A$140=$B20)*ISNUMBER(INDEX(Inputs!$K$5:$AJ$140,0,MATCH(N$2,Inputs!$K$4:$AJ$4,0))))+SUMPRODUCT((Inputs!$C$5:$C$140=$B20)*ISNUMBER(INDEX(Inputs!$K$5:$AJ$140,0,MATCH(N$2,Inputs!$K$4:$AJ$4,0))))+SUMPRODUCT((Inputs!$E$5:$E$140=$B20)*ISNUMBER(INDEX(Inputs!$K$5:$AJ$140,0,MATCH(N$2,Inputs!$K$4:$AJ$4,0))))=0,NA(),SUMPRODUCT((Inputs!$A$5:$A$140=$B20)*Inputs!$B$5:$B$140*(((Inputs!$G$5:$G$140="moeda")+(Inputs!$G$5:$G$140="acoes"))*Inputs!$B$1+((Inputs!$G$5:$G$140&lt;&gt;"moeda")*(Inputs!$G$5:$G$140&lt;&gt;"acoes")))*INDEX(Inputs!$K$5:$AJ$140,0,MATCH(N$2,Inputs!$K$4:$AJ$4,0)))+SUMPRODUCT((Inputs!$C$5:$C$140=$B20)*Inputs!$D$5:$D$140*(((Inputs!$G$5:$G$140="moeda")+(Inputs!$G$5:$G$140="acoes"))*Inputs!$B$1+((Inputs!$G$5:$G$140&lt;&gt;"moeda")*(Inputs!$G$5:$G$140&lt;&gt;"acoes")))*INDEX(Inputs!$K$5:$AJ$140,0,MATCH(N$2,Inputs!$K$4:$AJ$4,0)))+SUMPRODUCT((Inputs!$E$5:$E$140=$B20)*Inputs!$F$5:$F$140*(((Inputs!$G$5:$G$140="moeda")+(Inputs!$G$5:$G$140="acoes"))*Inputs!$B$1+((Inputs!$G$5:$G$140&lt;&gt;"moeda")*(Inputs!$G$5:$G$140&lt;&gt;"acoes")))*INDEX(Inputs!$K$5:$AJ$140,0,MATCH(N$2,Inputs!$K$4:$AJ$4,0)))))</f>
        <v>528.817</v>
      </c>
      <c r="O20" s="6">
        <f>IF(ISNA(MATCH(O$2,Inputs!$K$4:$AJ$4,0)),NA(),IF(SUMPRODUCT((Inputs!$A$5:$A$140=$B20)*ISNUMBER(INDEX(Inputs!$K$5:$AJ$140,0,MATCH(O$2,Inputs!$K$4:$AJ$4,0))))+SUMPRODUCT((Inputs!$C$5:$C$140=$B20)*ISNUMBER(INDEX(Inputs!$K$5:$AJ$140,0,MATCH(O$2,Inputs!$K$4:$AJ$4,0))))+SUMPRODUCT((Inputs!$E$5:$E$140=$B20)*ISNUMBER(INDEX(Inputs!$K$5:$AJ$140,0,MATCH(O$2,Inputs!$K$4:$AJ$4,0))))=0,NA(),SUMPRODUCT((Inputs!$A$5:$A$140=$B20)*Inputs!$B$5:$B$140*(((Inputs!$G$5:$G$140="moeda")+(Inputs!$G$5:$G$140="acoes"))*Inputs!$B$1+((Inputs!$G$5:$G$140&lt;&gt;"moeda")*(Inputs!$G$5:$G$140&lt;&gt;"acoes")))*INDEX(Inputs!$K$5:$AJ$140,0,MATCH(O$2,Inputs!$K$4:$AJ$4,0)))+SUMPRODUCT((Inputs!$C$5:$C$140=$B20)*Inputs!$D$5:$D$140*(((Inputs!$G$5:$G$140="moeda")+(Inputs!$G$5:$G$140="acoes"))*Inputs!$B$1+((Inputs!$G$5:$G$140&lt;&gt;"moeda")*(Inputs!$G$5:$G$140&lt;&gt;"acoes")))*INDEX(Inputs!$K$5:$AJ$140,0,MATCH(O$2,Inputs!$K$4:$AJ$4,0)))+SUMPRODUCT((Inputs!$E$5:$E$140=$B20)*Inputs!$F$5:$F$140*(((Inputs!$G$5:$G$140="moeda")+(Inputs!$G$5:$G$140="acoes"))*Inputs!$B$1+((Inputs!$G$5:$G$140&lt;&gt;"moeda")*(Inputs!$G$5:$G$140&lt;&gt;"acoes")))*INDEX(Inputs!$K$5:$AJ$140,0,MATCH(O$2,Inputs!$K$4:$AJ$4,0)))))</f>
        <v>445.073</v>
      </c>
      <c r="P20" s="6">
        <f>IF(ISNA(MATCH(P$2,Inputs!$K$4:$AJ$4,0)),NA(),IF(SUMPRODUCT((Inputs!$A$5:$A$140=$B20)*ISNUMBER(INDEX(Inputs!$K$5:$AJ$140,0,MATCH(P$2,Inputs!$K$4:$AJ$4,0))))+SUMPRODUCT((Inputs!$C$5:$C$140=$B20)*ISNUMBER(INDEX(Inputs!$K$5:$AJ$140,0,MATCH(P$2,Inputs!$K$4:$AJ$4,0))))+SUMPRODUCT((Inputs!$E$5:$E$140=$B20)*ISNUMBER(INDEX(Inputs!$K$5:$AJ$140,0,MATCH(P$2,Inputs!$K$4:$AJ$4,0))))=0,NA(),SUMPRODUCT((Inputs!$A$5:$A$140=$B20)*Inputs!$B$5:$B$140*(((Inputs!$G$5:$G$140="moeda")+(Inputs!$G$5:$G$140="acoes"))*Inputs!$B$1+((Inputs!$G$5:$G$140&lt;&gt;"moeda")*(Inputs!$G$5:$G$140&lt;&gt;"acoes")))*INDEX(Inputs!$K$5:$AJ$140,0,MATCH(P$2,Inputs!$K$4:$AJ$4,0)))+SUMPRODUCT((Inputs!$C$5:$C$140=$B20)*Inputs!$D$5:$D$140*(((Inputs!$G$5:$G$140="moeda")+(Inputs!$G$5:$G$140="acoes"))*Inputs!$B$1+((Inputs!$G$5:$G$140&lt;&gt;"moeda")*(Inputs!$G$5:$G$140&lt;&gt;"acoes")))*INDEX(Inputs!$K$5:$AJ$140,0,MATCH(P$2,Inputs!$K$4:$AJ$4,0)))+SUMPRODUCT((Inputs!$E$5:$E$140=$B20)*Inputs!$F$5:$F$140*(((Inputs!$G$5:$G$140="moeda")+(Inputs!$G$5:$G$140="acoes"))*Inputs!$B$1+((Inputs!$G$5:$G$140&lt;&gt;"moeda")*(Inputs!$G$5:$G$140&lt;&gt;"acoes")))*INDEX(Inputs!$K$5:$AJ$140,0,MATCH(P$2,Inputs!$K$4:$AJ$4,0)))))</f>
        <v>381.748</v>
      </c>
      <c r="Q20" s="6">
        <f>IF(ISNA(MATCH(Q$2,Inputs!$K$4:$AJ$4,0)),NA(),IF(SUMPRODUCT((Inputs!$A$5:$A$140=$B20)*ISNUMBER(INDEX(Inputs!$K$5:$AJ$140,0,MATCH(Q$2,Inputs!$K$4:$AJ$4,0))))+SUMPRODUCT((Inputs!$C$5:$C$140=$B20)*ISNUMBER(INDEX(Inputs!$K$5:$AJ$140,0,MATCH(Q$2,Inputs!$K$4:$AJ$4,0))))+SUMPRODUCT((Inputs!$E$5:$E$140=$B20)*ISNUMBER(INDEX(Inputs!$K$5:$AJ$140,0,MATCH(Q$2,Inputs!$K$4:$AJ$4,0))))=0,NA(),SUMPRODUCT((Inputs!$A$5:$A$140=$B20)*Inputs!$B$5:$B$140*(((Inputs!$G$5:$G$140="moeda")+(Inputs!$G$5:$G$140="acoes"))*Inputs!$B$1+((Inputs!$G$5:$G$140&lt;&gt;"moeda")*(Inputs!$G$5:$G$140&lt;&gt;"acoes")))*INDEX(Inputs!$K$5:$AJ$140,0,MATCH(Q$2,Inputs!$K$4:$AJ$4,0)))+SUMPRODUCT((Inputs!$C$5:$C$140=$B20)*Inputs!$D$5:$D$140*(((Inputs!$G$5:$G$140="moeda")+(Inputs!$G$5:$G$140="acoes"))*Inputs!$B$1+((Inputs!$G$5:$G$140&lt;&gt;"moeda")*(Inputs!$G$5:$G$140&lt;&gt;"acoes")))*INDEX(Inputs!$K$5:$AJ$140,0,MATCH(Q$2,Inputs!$K$4:$AJ$4,0)))+SUMPRODUCT((Inputs!$E$5:$E$140=$B20)*Inputs!$F$5:$F$140*(((Inputs!$G$5:$G$140="moeda")+(Inputs!$G$5:$G$140="acoes"))*Inputs!$B$1+((Inputs!$G$5:$G$140&lt;&gt;"moeda")*(Inputs!$G$5:$G$140&lt;&gt;"acoes")))*INDEX(Inputs!$K$5:$AJ$140,0,MATCH(Q$2,Inputs!$K$4:$AJ$4,0)))))</f>
        <v>536.114</v>
      </c>
      <c r="R20" s="3">
        <f>Q20</f>
        <v>536.114</v>
      </c>
      <c r="S20" s="6">
        <f>IF(ISNA(MATCH(S$2,Inputs!$K$4:$AJ$4,0)),NA(),IF(SUMPRODUCT((Inputs!$A$5:$A$140=$B20)*ISNUMBER(INDEX(Inputs!$K$5:$AJ$140,0,MATCH(S$2,Inputs!$K$4:$AJ$4,0))))+SUMPRODUCT((Inputs!$C$5:$C$140=$B20)*ISNUMBER(INDEX(Inputs!$K$5:$AJ$140,0,MATCH(S$2,Inputs!$K$4:$AJ$4,0))))+SUMPRODUCT((Inputs!$E$5:$E$140=$B20)*ISNUMBER(INDEX(Inputs!$K$5:$AJ$140,0,MATCH(S$2,Inputs!$K$4:$AJ$4,0))))=0,NA(),SUMPRODUCT((Inputs!$A$5:$A$140=$B20)*Inputs!$B$5:$B$140*(((Inputs!$G$5:$G$140="moeda")+(Inputs!$G$5:$G$140="acoes"))*Inputs!$B$1+((Inputs!$G$5:$G$140&lt;&gt;"moeda")*(Inputs!$G$5:$G$140&lt;&gt;"acoes")))*INDEX(Inputs!$K$5:$AJ$140,0,MATCH(S$2,Inputs!$K$4:$AJ$4,0)))+SUMPRODUCT((Inputs!$C$5:$C$140=$B20)*Inputs!$D$5:$D$140*(((Inputs!$G$5:$G$140="moeda")+(Inputs!$G$5:$G$140="acoes"))*Inputs!$B$1+((Inputs!$G$5:$G$140&lt;&gt;"moeda")*(Inputs!$G$5:$G$140&lt;&gt;"acoes")))*INDEX(Inputs!$K$5:$AJ$140,0,MATCH(S$2,Inputs!$K$4:$AJ$4,0)))+SUMPRODUCT((Inputs!$E$5:$E$140=$B20)*Inputs!$F$5:$F$140*(((Inputs!$G$5:$G$140="moeda")+(Inputs!$G$5:$G$140="acoes"))*Inputs!$B$1+((Inputs!$G$5:$G$140&lt;&gt;"moeda")*(Inputs!$G$5:$G$140&lt;&gt;"acoes")))*INDEX(Inputs!$K$5:$AJ$140,0,MATCH(S$2,Inputs!$K$4:$AJ$4,0)))))</f>
        <v>620.182</v>
      </c>
      <c r="T20" s="6">
        <f>IF(ISNA(MATCH(T$2,Inputs!$K$4:$AJ$4,0)),NA(),IF(SUMPRODUCT((Inputs!$A$5:$A$140=$B20)*ISNUMBER(INDEX(Inputs!$K$5:$AJ$140,0,MATCH(T$2,Inputs!$K$4:$AJ$4,0))))+SUMPRODUCT((Inputs!$C$5:$C$140=$B20)*ISNUMBER(INDEX(Inputs!$K$5:$AJ$140,0,MATCH(T$2,Inputs!$K$4:$AJ$4,0))))+SUMPRODUCT((Inputs!$E$5:$E$140=$B20)*ISNUMBER(INDEX(Inputs!$K$5:$AJ$140,0,MATCH(T$2,Inputs!$K$4:$AJ$4,0))))=0,NA(),SUMPRODUCT((Inputs!$A$5:$A$140=$B20)*Inputs!$B$5:$B$140*(((Inputs!$G$5:$G$140="moeda")+(Inputs!$G$5:$G$140="acoes"))*Inputs!$B$1+((Inputs!$G$5:$G$140&lt;&gt;"moeda")*(Inputs!$G$5:$G$140&lt;&gt;"acoes")))*INDEX(Inputs!$K$5:$AJ$140,0,MATCH(T$2,Inputs!$K$4:$AJ$4,0)))+SUMPRODUCT((Inputs!$C$5:$C$140=$B20)*Inputs!$D$5:$D$140*(((Inputs!$G$5:$G$140="moeda")+(Inputs!$G$5:$G$140="acoes"))*Inputs!$B$1+((Inputs!$G$5:$G$140&lt;&gt;"moeda")*(Inputs!$G$5:$G$140&lt;&gt;"acoes")))*INDEX(Inputs!$K$5:$AJ$140,0,MATCH(T$2,Inputs!$K$4:$AJ$4,0)))+SUMPRODUCT((Inputs!$E$5:$E$140=$B20)*Inputs!$F$5:$F$140*(((Inputs!$G$5:$G$140="moeda")+(Inputs!$G$5:$G$140="acoes"))*Inputs!$B$1+((Inputs!$G$5:$G$140&lt;&gt;"moeda")*(Inputs!$G$5:$G$140&lt;&gt;"acoes")))*INDEX(Inputs!$K$5:$AJ$140,0,MATCH(T$2,Inputs!$K$4:$AJ$4,0)))))</f>
        <v>713.704</v>
      </c>
      <c r="U20" s="6">
        <f>IF(ISNA(MATCH(U$2,Inputs!$K$4:$AJ$4,0)),NA(),IF(SUMPRODUCT((Inputs!$A$5:$A$140=$B20)*ISNUMBER(INDEX(Inputs!$K$5:$AJ$140,0,MATCH(U$2,Inputs!$K$4:$AJ$4,0))))+SUMPRODUCT((Inputs!$C$5:$C$140=$B20)*ISNUMBER(INDEX(Inputs!$K$5:$AJ$140,0,MATCH(U$2,Inputs!$K$4:$AJ$4,0))))+SUMPRODUCT((Inputs!$E$5:$E$140=$B20)*ISNUMBER(INDEX(Inputs!$K$5:$AJ$140,0,MATCH(U$2,Inputs!$K$4:$AJ$4,0))))=0,NA(),SUMPRODUCT((Inputs!$A$5:$A$140=$B20)*Inputs!$B$5:$B$140*(((Inputs!$G$5:$G$140="moeda")+(Inputs!$G$5:$G$140="acoes"))*Inputs!$B$1+((Inputs!$G$5:$G$140&lt;&gt;"moeda")*(Inputs!$G$5:$G$140&lt;&gt;"acoes")))*INDEX(Inputs!$K$5:$AJ$140,0,MATCH(U$2,Inputs!$K$4:$AJ$4,0)))+SUMPRODUCT((Inputs!$C$5:$C$140=$B20)*Inputs!$D$5:$D$140*(((Inputs!$G$5:$G$140="moeda")+(Inputs!$G$5:$G$140="acoes"))*Inputs!$B$1+((Inputs!$G$5:$G$140&lt;&gt;"moeda")*(Inputs!$G$5:$G$140&lt;&gt;"acoes")))*INDEX(Inputs!$K$5:$AJ$140,0,MATCH(U$2,Inputs!$K$4:$AJ$4,0)))+SUMPRODUCT((Inputs!$E$5:$E$140=$B20)*Inputs!$F$5:$F$140*(((Inputs!$G$5:$G$140="moeda")+(Inputs!$G$5:$G$140="acoes"))*Inputs!$B$1+((Inputs!$G$5:$G$140&lt;&gt;"moeda")*(Inputs!$G$5:$G$140&lt;&gt;"acoes")))*INDEX(Inputs!$K$5:$AJ$140,0,MATCH(U$2,Inputs!$K$4:$AJ$4,0)))))</f>
        <v>761.47</v>
      </c>
      <c r="V20" s="6">
        <f>IF(ISNA(MATCH(V$2,Inputs!$K$4:$AJ$4,0)),NA(),IF(SUMPRODUCT((Inputs!$A$5:$A$140=$B20)*ISNUMBER(INDEX(Inputs!$K$5:$AJ$140,0,MATCH(V$2,Inputs!$K$4:$AJ$4,0))))+SUMPRODUCT((Inputs!$C$5:$C$140=$B20)*ISNUMBER(INDEX(Inputs!$K$5:$AJ$140,0,MATCH(V$2,Inputs!$K$4:$AJ$4,0))))+SUMPRODUCT((Inputs!$E$5:$E$140=$B20)*ISNUMBER(INDEX(Inputs!$K$5:$AJ$140,0,MATCH(V$2,Inputs!$K$4:$AJ$4,0))))=0,NA(),SUMPRODUCT((Inputs!$A$5:$A$140=$B20)*Inputs!$B$5:$B$140*(((Inputs!$G$5:$G$140="moeda")+(Inputs!$G$5:$G$140="acoes"))*Inputs!$B$1+((Inputs!$G$5:$G$140&lt;&gt;"moeda")*(Inputs!$G$5:$G$140&lt;&gt;"acoes")))*INDEX(Inputs!$K$5:$AJ$140,0,MATCH(V$2,Inputs!$K$4:$AJ$4,0)))+SUMPRODUCT((Inputs!$C$5:$C$140=$B20)*Inputs!$D$5:$D$140*(((Inputs!$G$5:$G$140="moeda")+(Inputs!$G$5:$G$140="acoes"))*Inputs!$B$1+((Inputs!$G$5:$G$140&lt;&gt;"moeda")*(Inputs!$G$5:$G$140&lt;&gt;"acoes")))*INDEX(Inputs!$K$5:$AJ$140,0,MATCH(V$2,Inputs!$K$4:$AJ$4,0)))+SUMPRODUCT((Inputs!$E$5:$E$140=$B20)*Inputs!$F$5:$F$140*(((Inputs!$G$5:$G$140="moeda")+(Inputs!$G$5:$G$140="acoes"))*Inputs!$B$1+((Inputs!$G$5:$G$140&lt;&gt;"moeda")*(Inputs!$G$5:$G$140&lt;&gt;"acoes")))*INDEX(Inputs!$K$5:$AJ$140,0,MATCH(V$2,Inputs!$K$4:$AJ$4,0)))))</f>
        <v>858.659</v>
      </c>
      <c r="W20" s="3">
        <f>V20</f>
        <v>858.659</v>
      </c>
      <c r="X20" s="6">
        <f>IF(ISNA(MATCH(X$2,Inputs!$K$4:$AJ$4,0)),NA(),IF(SUMPRODUCT((Inputs!$A$5:$A$140=$B20)*ISNUMBER(INDEX(Inputs!$K$5:$AJ$140,0,MATCH(X$2,Inputs!$K$4:$AJ$4,0))))+SUMPRODUCT((Inputs!$C$5:$C$140=$B20)*ISNUMBER(INDEX(Inputs!$K$5:$AJ$140,0,MATCH(X$2,Inputs!$K$4:$AJ$4,0))))+SUMPRODUCT((Inputs!$E$5:$E$140=$B20)*ISNUMBER(INDEX(Inputs!$K$5:$AJ$140,0,MATCH(X$2,Inputs!$K$4:$AJ$4,0))))=0,NA(),SUMPRODUCT((Inputs!$A$5:$A$140=$B20)*Inputs!$B$5:$B$140*(((Inputs!$G$5:$G$140="moeda")+(Inputs!$G$5:$G$140="acoes"))*Inputs!$B$1+((Inputs!$G$5:$G$140&lt;&gt;"moeda")*(Inputs!$G$5:$G$140&lt;&gt;"acoes")))*INDEX(Inputs!$K$5:$AJ$140,0,MATCH(X$2,Inputs!$K$4:$AJ$4,0)))+SUMPRODUCT((Inputs!$C$5:$C$140=$B20)*Inputs!$D$5:$D$140*(((Inputs!$G$5:$G$140="moeda")+(Inputs!$G$5:$G$140="acoes"))*Inputs!$B$1+((Inputs!$G$5:$G$140&lt;&gt;"moeda")*(Inputs!$G$5:$G$140&lt;&gt;"acoes")))*INDEX(Inputs!$K$5:$AJ$140,0,MATCH(X$2,Inputs!$K$4:$AJ$4,0)))+SUMPRODUCT((Inputs!$E$5:$E$140=$B20)*Inputs!$F$5:$F$140*(((Inputs!$G$5:$G$140="moeda")+(Inputs!$G$5:$G$140="acoes"))*Inputs!$B$1+((Inputs!$G$5:$G$140&lt;&gt;"moeda")*(Inputs!$G$5:$G$140&lt;&gt;"acoes")))*INDEX(Inputs!$K$5:$AJ$140,0,MATCH(X$2,Inputs!$K$4:$AJ$4,0)))))</f>
        <v>997.175</v>
      </c>
      <c r="Y20" s="6">
        <f>IF(ISNA(MATCH(Y$2,Inputs!$K$4:$AJ$4,0)),NA(),IF(SUMPRODUCT((Inputs!$A$5:$A$140=$B20)*ISNUMBER(INDEX(Inputs!$K$5:$AJ$140,0,MATCH(Y$2,Inputs!$K$4:$AJ$4,0))))+SUMPRODUCT((Inputs!$C$5:$C$140=$B20)*ISNUMBER(INDEX(Inputs!$K$5:$AJ$140,0,MATCH(Y$2,Inputs!$K$4:$AJ$4,0))))+SUMPRODUCT((Inputs!$E$5:$E$140=$B20)*ISNUMBER(INDEX(Inputs!$K$5:$AJ$140,0,MATCH(Y$2,Inputs!$K$4:$AJ$4,0))))=0,NA(),SUMPRODUCT((Inputs!$A$5:$A$140=$B20)*Inputs!$B$5:$B$140*(((Inputs!$G$5:$G$140="moeda")+(Inputs!$G$5:$G$140="acoes"))*Inputs!$B$1+((Inputs!$G$5:$G$140&lt;&gt;"moeda")*(Inputs!$G$5:$G$140&lt;&gt;"acoes")))*INDEX(Inputs!$K$5:$AJ$140,0,MATCH(Y$2,Inputs!$K$4:$AJ$4,0)))+SUMPRODUCT((Inputs!$C$5:$C$140=$B20)*Inputs!$D$5:$D$140*(((Inputs!$G$5:$G$140="moeda")+(Inputs!$G$5:$G$140="acoes"))*Inputs!$B$1+((Inputs!$G$5:$G$140&lt;&gt;"moeda")*(Inputs!$G$5:$G$140&lt;&gt;"acoes")))*INDEX(Inputs!$K$5:$AJ$140,0,MATCH(Y$2,Inputs!$K$4:$AJ$4,0)))+SUMPRODUCT((Inputs!$E$5:$E$140=$B20)*Inputs!$F$5:$F$140*(((Inputs!$G$5:$G$140="moeda")+(Inputs!$G$5:$G$140="acoes"))*Inputs!$B$1+((Inputs!$G$5:$G$140&lt;&gt;"moeda")*(Inputs!$G$5:$G$140&lt;&gt;"acoes")))*INDEX(Inputs!$K$5:$AJ$140,0,MATCH(Y$2,Inputs!$K$4:$AJ$4,0)))))</f>
        <v>1047.061</v>
      </c>
      <c r="Z20" s="6">
        <f>IF(ISNA(MATCH(Z$2,Inputs!$K$4:$AJ$4,0)),NA(),IF(SUMPRODUCT((Inputs!$A$5:$A$140=$B20)*ISNUMBER(INDEX(Inputs!$K$5:$AJ$140,0,MATCH(Z$2,Inputs!$K$4:$AJ$4,0))))+SUMPRODUCT((Inputs!$C$5:$C$140=$B20)*ISNUMBER(INDEX(Inputs!$K$5:$AJ$140,0,MATCH(Z$2,Inputs!$K$4:$AJ$4,0))))+SUMPRODUCT((Inputs!$E$5:$E$140=$B20)*ISNUMBER(INDEX(Inputs!$K$5:$AJ$140,0,MATCH(Z$2,Inputs!$K$4:$AJ$4,0))))=0,NA(),SUMPRODUCT((Inputs!$A$5:$A$140=$B20)*Inputs!$B$5:$B$140*(((Inputs!$G$5:$G$140="moeda")+(Inputs!$G$5:$G$140="acoes"))*Inputs!$B$1+((Inputs!$G$5:$G$140&lt;&gt;"moeda")*(Inputs!$G$5:$G$140&lt;&gt;"acoes")))*INDEX(Inputs!$K$5:$AJ$140,0,MATCH(Z$2,Inputs!$K$4:$AJ$4,0)))+SUMPRODUCT((Inputs!$C$5:$C$140=$B20)*Inputs!$D$5:$D$140*(((Inputs!$G$5:$G$140="moeda")+(Inputs!$G$5:$G$140="acoes"))*Inputs!$B$1+((Inputs!$G$5:$G$140&lt;&gt;"moeda")*(Inputs!$G$5:$G$140&lt;&gt;"acoes")))*INDEX(Inputs!$K$5:$AJ$140,0,MATCH(Z$2,Inputs!$K$4:$AJ$4,0)))+SUMPRODUCT((Inputs!$E$5:$E$140=$B20)*Inputs!$F$5:$F$140*(((Inputs!$G$5:$G$140="moeda")+(Inputs!$G$5:$G$140="acoes"))*Inputs!$B$1+((Inputs!$G$5:$G$140&lt;&gt;"moeda")*(Inputs!$G$5:$G$140&lt;&gt;"acoes")))*INDEX(Inputs!$K$5:$AJ$140,0,MATCH(Z$2,Inputs!$K$4:$AJ$4,0)))))</f>
        <v>1510.787</v>
      </c>
      <c r="AA20" s="6">
        <f>IF(ISNA(MATCH(AA$2,Inputs!$K$4:$AJ$4,0)),NA(),IF(SUMPRODUCT((Inputs!$A$5:$A$140=$B20)*ISNUMBER(INDEX(Inputs!$K$5:$AJ$140,0,MATCH(AA$2,Inputs!$K$4:$AJ$4,0))))+SUMPRODUCT((Inputs!$C$5:$C$140=$B20)*ISNUMBER(INDEX(Inputs!$K$5:$AJ$140,0,MATCH(AA$2,Inputs!$K$4:$AJ$4,0))))+SUMPRODUCT((Inputs!$E$5:$E$140=$B20)*ISNUMBER(INDEX(Inputs!$K$5:$AJ$140,0,MATCH(AA$2,Inputs!$K$4:$AJ$4,0))))=0,NA(),SUMPRODUCT((Inputs!$A$5:$A$140=$B20)*Inputs!$B$5:$B$140*(((Inputs!$G$5:$G$140="moeda")+(Inputs!$G$5:$G$140="acoes"))*Inputs!$B$1+((Inputs!$G$5:$G$140&lt;&gt;"moeda")*(Inputs!$G$5:$G$140&lt;&gt;"acoes")))*INDEX(Inputs!$K$5:$AJ$140,0,MATCH(AA$2,Inputs!$K$4:$AJ$4,0)))+SUMPRODUCT((Inputs!$C$5:$C$140=$B20)*Inputs!$D$5:$D$140*(((Inputs!$G$5:$G$140="moeda")+(Inputs!$G$5:$G$140="acoes"))*Inputs!$B$1+((Inputs!$G$5:$G$140&lt;&gt;"moeda")*(Inputs!$G$5:$G$140&lt;&gt;"acoes")))*INDEX(Inputs!$K$5:$AJ$140,0,MATCH(AA$2,Inputs!$K$4:$AJ$4,0)))+SUMPRODUCT((Inputs!$E$5:$E$140=$B20)*Inputs!$F$5:$F$140*(((Inputs!$G$5:$G$140="moeda")+(Inputs!$G$5:$G$140="acoes"))*Inputs!$B$1+((Inputs!$G$5:$G$140&lt;&gt;"moeda")*(Inputs!$G$5:$G$140&lt;&gt;"acoes")))*INDEX(Inputs!$K$5:$AJ$140,0,MATCH(AA$2,Inputs!$K$4:$AJ$4,0)))))</f>
        <v>1700.881</v>
      </c>
      <c r="AB20" s="3">
        <f>AA20</f>
        <v>1700.881</v>
      </c>
      <c r="AC20" s="6">
        <f>IF(ISNA(MATCH(AC$2,Inputs!$K$4:$AJ$4,0)),NA(),IF(SUMPRODUCT((Inputs!$A$5:$A$140=$B20)*ISNUMBER(INDEX(Inputs!$K$5:$AJ$140,0,MATCH(AC$2,Inputs!$K$4:$AJ$4,0))))+SUMPRODUCT((Inputs!$C$5:$C$140=$B20)*ISNUMBER(INDEX(Inputs!$K$5:$AJ$140,0,MATCH(AC$2,Inputs!$K$4:$AJ$4,0))))+SUMPRODUCT((Inputs!$E$5:$E$140=$B20)*ISNUMBER(INDEX(Inputs!$K$5:$AJ$140,0,MATCH(AC$2,Inputs!$K$4:$AJ$4,0))))=0,NA(),SUMPRODUCT((Inputs!$A$5:$A$140=$B20)*Inputs!$B$5:$B$140*(((Inputs!$G$5:$G$140="moeda")+(Inputs!$G$5:$G$140="acoes"))*Inputs!$B$1+((Inputs!$G$5:$G$140&lt;&gt;"moeda")*(Inputs!$G$5:$G$140&lt;&gt;"acoes")))*INDEX(Inputs!$K$5:$AJ$140,0,MATCH(AC$2,Inputs!$K$4:$AJ$4,0)))+SUMPRODUCT((Inputs!$C$5:$C$140=$B20)*Inputs!$D$5:$D$140*(((Inputs!$G$5:$G$140="moeda")+(Inputs!$G$5:$G$140="acoes"))*Inputs!$B$1+((Inputs!$G$5:$G$140&lt;&gt;"moeda")*(Inputs!$G$5:$G$140&lt;&gt;"acoes")))*INDEX(Inputs!$K$5:$AJ$140,0,MATCH(AC$2,Inputs!$K$4:$AJ$4,0)))+SUMPRODUCT((Inputs!$E$5:$E$140=$B20)*Inputs!$F$5:$F$140*(((Inputs!$G$5:$G$140="moeda")+(Inputs!$G$5:$G$140="acoes"))*Inputs!$B$1+((Inputs!$G$5:$G$140&lt;&gt;"moeda")*(Inputs!$G$5:$G$140&lt;&gt;"acoes")))*INDEX(Inputs!$K$5:$AJ$140,0,MATCH(AC$2,Inputs!$K$4:$AJ$4,0)))))</f>
        <v>1733.934</v>
      </c>
      <c r="AD20" s="6">
        <f>IF(ISNA(MATCH(AD$2,Inputs!$K$4:$AJ$4,0)),NA(),IF(SUMPRODUCT((Inputs!$A$5:$A$140=$B20)*ISNUMBER(INDEX(Inputs!$K$5:$AJ$140,0,MATCH(AD$2,Inputs!$K$4:$AJ$4,0))))+SUMPRODUCT((Inputs!$C$5:$C$140=$B20)*ISNUMBER(INDEX(Inputs!$K$5:$AJ$140,0,MATCH(AD$2,Inputs!$K$4:$AJ$4,0))))+SUMPRODUCT((Inputs!$E$5:$E$140=$B20)*ISNUMBER(INDEX(Inputs!$K$5:$AJ$140,0,MATCH(AD$2,Inputs!$K$4:$AJ$4,0))))=0,NA(),SUMPRODUCT((Inputs!$A$5:$A$140=$B20)*Inputs!$B$5:$B$140*(((Inputs!$G$5:$G$140="moeda")+(Inputs!$G$5:$G$140="acoes"))*Inputs!$B$1+((Inputs!$G$5:$G$140&lt;&gt;"moeda")*(Inputs!$G$5:$G$140&lt;&gt;"acoes")))*INDEX(Inputs!$K$5:$AJ$140,0,MATCH(AD$2,Inputs!$K$4:$AJ$4,0)))+SUMPRODUCT((Inputs!$C$5:$C$140=$B20)*Inputs!$D$5:$D$140*(((Inputs!$G$5:$G$140="moeda")+(Inputs!$G$5:$G$140="acoes"))*Inputs!$B$1+((Inputs!$G$5:$G$140&lt;&gt;"moeda")*(Inputs!$G$5:$G$140&lt;&gt;"acoes")))*INDEX(Inputs!$K$5:$AJ$140,0,MATCH(AD$2,Inputs!$K$4:$AJ$4,0)))+SUMPRODUCT((Inputs!$E$5:$E$140=$B20)*Inputs!$F$5:$F$140*(((Inputs!$G$5:$G$140="moeda")+(Inputs!$G$5:$G$140="acoes"))*Inputs!$B$1+((Inputs!$G$5:$G$140&lt;&gt;"moeda")*(Inputs!$G$5:$G$140&lt;&gt;"acoes")))*INDEX(Inputs!$K$5:$AJ$140,0,MATCH(AD$2,Inputs!$K$4:$AJ$4,0)))))</f>
        <v>1748.953</v>
      </c>
      <c r="AE20" s="6" t="e">
        <f>IF(ISNA(MATCH(AE$2,Inputs!$K$4:$AJ$4,0)),NA(),IF(SUMPRODUCT((Inputs!$A$5:$A$140=$B20)*ISNUMBER(INDEX(Inputs!$K$5:$AJ$140,0,MATCH(AE$2,Inputs!$K$4:$AJ$4,0))))+SUMPRODUCT((Inputs!$C$5:$C$140=$B20)*ISNUMBER(INDEX(Inputs!$K$5:$AJ$140,0,MATCH(AE$2,Inputs!$K$4:$AJ$4,0))))+SUMPRODUCT((Inputs!$E$5:$E$140=$B20)*ISNUMBER(INDEX(Inputs!$K$5:$AJ$140,0,MATCH(AE$2,Inputs!$K$4:$AJ$4,0))))=0,NA(),SUMPRODUCT((Inputs!$A$5:$A$140=$B20)*Inputs!$B$5:$B$140*(((Inputs!$G$5:$G$140="moeda")+(Inputs!$G$5:$G$140="acoes"))*Inputs!$B$1+((Inputs!$G$5:$G$140&lt;&gt;"moeda")*(Inputs!$G$5:$G$140&lt;&gt;"acoes")))*INDEX(Inputs!$K$5:$AJ$140,0,MATCH(AE$2,Inputs!$K$4:$AJ$4,0)))+SUMPRODUCT((Inputs!$C$5:$C$140=$B20)*Inputs!$D$5:$D$140*(((Inputs!$G$5:$G$140="moeda")+(Inputs!$G$5:$G$140="acoes"))*Inputs!$B$1+((Inputs!$G$5:$G$140&lt;&gt;"moeda")*(Inputs!$G$5:$G$140&lt;&gt;"acoes")))*INDEX(Inputs!$K$5:$AJ$140,0,MATCH(AE$2,Inputs!$K$4:$AJ$4,0)))+SUMPRODUCT((Inputs!$E$5:$E$140=$B20)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0" s="6" t="e">
        <f>IF(ISNA(MATCH(AF$2,Inputs!$K$4:$AJ$4,0)),NA(),IF(SUMPRODUCT((Inputs!$A$5:$A$140=$B20)*ISNUMBER(INDEX(Inputs!$K$5:$AJ$140,0,MATCH(AF$2,Inputs!$K$4:$AJ$4,0))))+SUMPRODUCT((Inputs!$C$5:$C$140=$B20)*ISNUMBER(INDEX(Inputs!$K$5:$AJ$140,0,MATCH(AF$2,Inputs!$K$4:$AJ$4,0))))+SUMPRODUCT((Inputs!$E$5:$E$140=$B20)*ISNUMBER(INDEX(Inputs!$K$5:$AJ$140,0,MATCH(AF$2,Inputs!$K$4:$AJ$4,0))))=0,NA(),SUMPRODUCT((Inputs!$A$5:$A$140=$B20)*Inputs!$B$5:$B$140*(((Inputs!$G$5:$G$140="moeda")+(Inputs!$G$5:$G$140="acoes"))*Inputs!$B$1+((Inputs!$G$5:$G$140&lt;&gt;"moeda")*(Inputs!$G$5:$G$140&lt;&gt;"acoes")))*INDEX(Inputs!$K$5:$AJ$140,0,MATCH(AF$2,Inputs!$K$4:$AJ$4,0)))+SUMPRODUCT((Inputs!$C$5:$C$140=$B20)*Inputs!$D$5:$D$140*(((Inputs!$G$5:$G$140="moeda")+(Inputs!$G$5:$G$140="acoes"))*Inputs!$B$1+((Inputs!$G$5:$G$140&lt;&gt;"moeda")*(Inputs!$G$5:$G$140&lt;&gt;"acoes")))*INDEX(Inputs!$K$5:$AJ$140,0,MATCH(AF$2,Inputs!$K$4:$AJ$4,0)))+SUMPRODUCT((Inputs!$E$5:$E$140=$B20)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0" s="3" t="e">
        <f>AF20</f>
        <v>#N/A</v>
      </c>
      <c r="AH20" s="6" t="e">
        <f>IF(ISNA(MATCH(AH$2,Inputs!$K$4:$AJ$4,0)),NA(),IF(SUMPRODUCT((Inputs!$A$5:$A$140=$B20)*ISNUMBER(INDEX(Inputs!$K$5:$AJ$140,0,MATCH(AH$2,Inputs!$K$4:$AJ$4,0))))+SUMPRODUCT((Inputs!$C$5:$C$140=$B20)*ISNUMBER(INDEX(Inputs!$K$5:$AJ$140,0,MATCH(AH$2,Inputs!$K$4:$AJ$4,0))))+SUMPRODUCT((Inputs!$E$5:$E$140=$B20)*ISNUMBER(INDEX(Inputs!$K$5:$AJ$140,0,MATCH(AH$2,Inputs!$K$4:$AJ$4,0))))=0,NA(),SUMPRODUCT((Inputs!$A$5:$A$140=$B20)*Inputs!$B$5:$B$140*(((Inputs!$G$5:$G$140="moeda")+(Inputs!$G$5:$G$140="acoes"))*Inputs!$B$1+((Inputs!$G$5:$G$140&lt;&gt;"moeda")*(Inputs!$G$5:$G$140&lt;&gt;"acoes")))*INDEX(Inputs!$K$5:$AJ$140,0,MATCH(AH$2,Inputs!$K$4:$AJ$4,0)))+SUMPRODUCT((Inputs!$C$5:$C$140=$B20)*Inputs!$D$5:$D$140*(((Inputs!$G$5:$G$140="moeda")+(Inputs!$G$5:$G$140="acoes"))*Inputs!$B$1+((Inputs!$G$5:$G$140&lt;&gt;"moeda")*(Inputs!$G$5:$G$140&lt;&gt;"acoes")))*INDEX(Inputs!$K$5:$AJ$140,0,MATCH(AH$2,Inputs!$K$4:$AJ$4,0)))+SUMPRODUCT((Inputs!$E$5:$E$140=$B20)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0" s="6">
        <f>IF(ISNA(MATCH(AI$2,Inputs!$K$4:$AJ$4,0)),NA(),IF(SUMPRODUCT((Inputs!$A$5:$A$140=$B20)*ISNUMBER(INDEX(Inputs!$K$5:$AJ$140,0,MATCH(AI$2,Inputs!$K$4:$AJ$4,0))))+SUMPRODUCT((Inputs!$C$5:$C$140=$B20)*ISNUMBER(INDEX(Inputs!$K$5:$AJ$140,0,MATCH(AI$2,Inputs!$K$4:$AJ$4,0))))+SUMPRODUCT((Inputs!$E$5:$E$140=$B20)*ISNUMBER(INDEX(Inputs!$K$5:$AJ$140,0,MATCH(AI$2,Inputs!$K$4:$AJ$4,0))))=0,NA(),SUMPRODUCT((Inputs!$A$5:$A$140=$B20)*Inputs!$B$5:$B$140*(((Inputs!$G$5:$G$140="moeda")+(Inputs!$G$5:$G$140="acoes"))*Inputs!$B$1+((Inputs!$G$5:$G$140&lt;&gt;"moeda")*(Inputs!$G$5:$G$140&lt;&gt;"acoes")))*INDEX(Inputs!$K$5:$AJ$140,0,MATCH(AI$2,Inputs!$K$4:$AJ$4,0)))+SUMPRODUCT((Inputs!$C$5:$C$140=$B20)*Inputs!$D$5:$D$140*(((Inputs!$G$5:$G$140="moeda")+(Inputs!$G$5:$G$140="acoes"))*Inputs!$B$1+((Inputs!$G$5:$G$140&lt;&gt;"moeda")*(Inputs!$G$5:$G$140&lt;&gt;"acoes")))*INDEX(Inputs!$K$5:$AJ$140,0,MATCH(AI$2,Inputs!$K$4:$AJ$4,0)))+SUMPRODUCT((Inputs!$E$5:$E$140=$B20)*Inputs!$F$5:$F$140*(((Inputs!$G$5:$G$140="moeda")+(Inputs!$G$5:$G$140="acoes"))*Inputs!$B$1+((Inputs!$G$5:$G$140&lt;&gt;"moeda")*(Inputs!$G$5:$G$140&lt;&gt;"acoes")))*INDEX(Inputs!$K$5:$AJ$140,0,MATCH(AI$2,Inputs!$K$4:$AJ$4,0)))))</f>
        <v>37.972</v>
      </c>
      <c r="AJ20" s="6">
        <f>IF(ISNA(MATCH(AJ$2,Inputs!$K$4:$AJ$4,0)),NA(),IF(SUMPRODUCT((Inputs!$A$5:$A$140=$B20)*ISNUMBER(INDEX(Inputs!$K$5:$AJ$140,0,MATCH(AJ$2,Inputs!$K$4:$AJ$4,0))))+SUMPRODUCT((Inputs!$C$5:$C$140=$B20)*ISNUMBER(INDEX(Inputs!$K$5:$AJ$140,0,MATCH(AJ$2,Inputs!$K$4:$AJ$4,0))))+SUMPRODUCT((Inputs!$E$5:$E$140=$B20)*ISNUMBER(INDEX(Inputs!$K$5:$AJ$140,0,MATCH(AJ$2,Inputs!$K$4:$AJ$4,0))))=0,NA(),SUMPRODUCT((Inputs!$A$5:$A$140=$B20)*Inputs!$B$5:$B$140*(((Inputs!$G$5:$G$140="moeda")+(Inputs!$G$5:$G$140="acoes"))*Inputs!$B$1+((Inputs!$G$5:$G$140&lt;&gt;"moeda")*(Inputs!$G$5:$G$140&lt;&gt;"acoes")))*INDEX(Inputs!$K$5:$AJ$140,0,MATCH(AJ$2,Inputs!$K$4:$AJ$4,0)))+SUMPRODUCT((Inputs!$C$5:$C$140=$B20)*Inputs!$D$5:$D$140*(((Inputs!$G$5:$G$140="moeda")+(Inputs!$G$5:$G$140="acoes"))*Inputs!$B$1+((Inputs!$G$5:$G$140&lt;&gt;"moeda")*(Inputs!$G$5:$G$140&lt;&gt;"acoes")))*INDEX(Inputs!$K$5:$AJ$140,0,MATCH(AJ$2,Inputs!$K$4:$AJ$4,0)))+SUMPRODUCT((Inputs!$E$5:$E$140=$B20)*Inputs!$F$5:$F$140*(((Inputs!$G$5:$G$140="moeda")+(Inputs!$G$5:$G$140="acoes"))*Inputs!$B$1+((Inputs!$G$5:$G$140&lt;&gt;"moeda")*(Inputs!$G$5:$G$140&lt;&gt;"acoes")))*INDEX(Inputs!$K$5:$AJ$140,0,MATCH(AJ$2,Inputs!$K$4:$AJ$4,0)))))</f>
        <v>98.57272673</v>
      </c>
      <c r="AK20" s="6">
        <f>IF(ISNA(MATCH(AK$2,Inputs!$K$4:$AJ$4,0)),NA(),IF(SUMPRODUCT((Inputs!$A$5:$A$140=$B20)*ISNUMBER(INDEX(Inputs!$K$5:$AJ$140,0,MATCH(AK$2,Inputs!$K$4:$AJ$4,0))))+SUMPRODUCT((Inputs!$C$5:$C$140=$B20)*ISNUMBER(INDEX(Inputs!$K$5:$AJ$140,0,MATCH(AK$2,Inputs!$K$4:$AJ$4,0))))+SUMPRODUCT((Inputs!$E$5:$E$140=$B20)*ISNUMBER(INDEX(Inputs!$K$5:$AJ$140,0,MATCH(AK$2,Inputs!$K$4:$AJ$4,0))))=0,NA(),SUMPRODUCT((Inputs!$A$5:$A$140=$B20)*Inputs!$B$5:$B$140*(((Inputs!$G$5:$G$140="moeda")+(Inputs!$G$5:$G$140="acoes"))*Inputs!$B$1+((Inputs!$G$5:$G$140&lt;&gt;"moeda")*(Inputs!$G$5:$G$140&lt;&gt;"acoes")))*INDEX(Inputs!$K$5:$AJ$140,0,MATCH(AK$2,Inputs!$K$4:$AJ$4,0)))+SUMPRODUCT((Inputs!$C$5:$C$140=$B20)*Inputs!$D$5:$D$140*(((Inputs!$G$5:$G$140="moeda")+(Inputs!$G$5:$G$140="acoes"))*Inputs!$B$1+((Inputs!$G$5:$G$140&lt;&gt;"moeda")*(Inputs!$G$5:$G$140&lt;&gt;"acoes")))*INDEX(Inputs!$K$5:$AJ$140,0,MATCH(AK$2,Inputs!$K$4:$AJ$4,0)))+SUMPRODUCT((Inputs!$E$5:$E$140=$B20)*Inputs!$F$5:$F$140*(((Inputs!$G$5:$G$140="moeda")+(Inputs!$G$5:$G$140="acoes"))*Inputs!$B$1+((Inputs!$G$5:$G$140&lt;&gt;"moeda")*(Inputs!$G$5:$G$140&lt;&gt;"acoes")))*INDEX(Inputs!$K$5:$AJ$140,0,MATCH(AK$2,Inputs!$K$4:$AJ$4,0)))))</f>
        <v>30.63960486</v>
      </c>
      <c r="AL20" s="3">
        <f>AK20</f>
        <v>30.63960486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$140=$B21)*ISNUMBER(INDEX(Inputs!$K$5:$AJ$140,0,MATCH(D$2,Inputs!$K$4:$AJ$4,0))))+SUMPRODUCT((Inputs!$C$5:$C$140=$B21)*ISNUMBER(INDEX(Inputs!$K$5:$AJ$140,0,MATCH(D$2,Inputs!$K$4:$AJ$4,0))))+SUMPRODUCT((Inputs!$E$5:$E$140=$B21)*ISNUMBER(INDEX(Inputs!$K$5:$AJ$140,0,MATCH(D$2,Inputs!$K$4:$AJ$4,0))))=0,NA(),SUMPRODUCT((Inputs!$A$5:$A$140=$B21)*Inputs!$B$5:$B$140*(((Inputs!$G$5:$G$140="moeda")+(Inputs!$G$5:$G$140="acoes"))*Inputs!$B$1+((Inputs!$G$5:$G$140&lt;&gt;"moeda")*(Inputs!$G$5:$G$140&lt;&gt;"acoes")))*INDEX(Inputs!$K$5:$AJ$140,0,MATCH(D$2,Inputs!$K$4:$AJ$4,0)))+SUMPRODUCT((Inputs!$C$5:$C$140=$B21)*Inputs!$D$5:$D$140*(((Inputs!$G$5:$G$140="moeda")+(Inputs!$G$5:$G$140="acoes"))*Inputs!$B$1+((Inputs!$G$5:$G$140&lt;&gt;"moeda")*(Inputs!$G$5:$G$140&lt;&gt;"acoes")))*INDEX(Inputs!$K$5:$AJ$140,0,MATCH(D$2,Inputs!$K$4:$AJ$4,0)))+SUMPRODUCT((Inputs!$E$5:$E$140=$B21)*Inputs!$F$5:$F$140*(((Inputs!$G$5:$G$140="moeda")+(Inputs!$G$5:$G$140="acoes"))*Inputs!$B$1+((Inputs!$G$5:$G$140&lt;&gt;"moeda")*(Inputs!$G$5:$G$140&lt;&gt;"acoes")))*INDEX(Inputs!$K$5:$AJ$140,0,MATCH(D$2,Inputs!$K$4:$AJ$4,0)))))</f>
        <v>0</v>
      </c>
      <c r="E21" s="6">
        <f>IF(ISNA(MATCH(E$2,Inputs!$K$4:$AJ$4,0)),NA(),IF(SUMPRODUCT((Inputs!$A$5:$A$140=$B21)*ISNUMBER(INDEX(Inputs!$K$5:$AJ$140,0,MATCH(E$2,Inputs!$K$4:$AJ$4,0))))+SUMPRODUCT((Inputs!$C$5:$C$140=$B21)*ISNUMBER(INDEX(Inputs!$K$5:$AJ$140,0,MATCH(E$2,Inputs!$K$4:$AJ$4,0))))+SUMPRODUCT((Inputs!$E$5:$E$140=$B21)*ISNUMBER(INDEX(Inputs!$K$5:$AJ$140,0,MATCH(E$2,Inputs!$K$4:$AJ$4,0))))=0,NA(),SUMPRODUCT((Inputs!$A$5:$A$140=$B21)*Inputs!$B$5:$B$140*(((Inputs!$G$5:$G$140="moeda")+(Inputs!$G$5:$G$140="acoes"))*Inputs!$B$1+((Inputs!$G$5:$G$140&lt;&gt;"moeda")*(Inputs!$G$5:$G$140&lt;&gt;"acoes")))*INDEX(Inputs!$K$5:$AJ$140,0,MATCH(E$2,Inputs!$K$4:$AJ$4,0)))+SUMPRODUCT((Inputs!$C$5:$C$140=$B21)*Inputs!$D$5:$D$140*(((Inputs!$G$5:$G$140="moeda")+(Inputs!$G$5:$G$140="acoes"))*Inputs!$B$1+((Inputs!$G$5:$G$140&lt;&gt;"moeda")*(Inputs!$G$5:$G$140&lt;&gt;"acoes")))*INDEX(Inputs!$K$5:$AJ$140,0,MATCH(E$2,Inputs!$K$4:$AJ$4,0)))+SUMPRODUCT((Inputs!$E$5:$E$140=$B21)*Inputs!$F$5:$F$140*(((Inputs!$G$5:$G$140="moeda")+(Inputs!$G$5:$G$140="acoes"))*Inputs!$B$1+((Inputs!$G$5:$G$140&lt;&gt;"moeda")*(Inputs!$G$5:$G$140&lt;&gt;"acoes")))*INDEX(Inputs!$K$5:$AJ$140,0,MATCH(E$2,Inputs!$K$4:$AJ$4,0)))))</f>
        <v>0</v>
      </c>
      <c r="F21" s="6">
        <f>IF(ISNA(MATCH(F$2,Inputs!$K$4:$AJ$4,0)),NA(),IF(SUMPRODUCT((Inputs!$A$5:$A$140=$B21)*ISNUMBER(INDEX(Inputs!$K$5:$AJ$140,0,MATCH(F$2,Inputs!$K$4:$AJ$4,0))))+SUMPRODUCT((Inputs!$C$5:$C$140=$B21)*ISNUMBER(INDEX(Inputs!$K$5:$AJ$140,0,MATCH(F$2,Inputs!$K$4:$AJ$4,0))))+SUMPRODUCT((Inputs!$E$5:$E$140=$B21)*ISNUMBER(INDEX(Inputs!$K$5:$AJ$140,0,MATCH(F$2,Inputs!$K$4:$AJ$4,0))))=0,NA(),SUMPRODUCT((Inputs!$A$5:$A$140=$B21)*Inputs!$B$5:$B$140*(((Inputs!$G$5:$G$140="moeda")+(Inputs!$G$5:$G$140="acoes"))*Inputs!$B$1+((Inputs!$G$5:$G$140&lt;&gt;"moeda")*(Inputs!$G$5:$G$140&lt;&gt;"acoes")))*INDEX(Inputs!$K$5:$AJ$140,0,MATCH(F$2,Inputs!$K$4:$AJ$4,0)))+SUMPRODUCT((Inputs!$C$5:$C$140=$B21)*Inputs!$D$5:$D$140*(((Inputs!$G$5:$G$140="moeda")+(Inputs!$G$5:$G$140="acoes"))*Inputs!$B$1+((Inputs!$G$5:$G$140&lt;&gt;"moeda")*(Inputs!$G$5:$G$140&lt;&gt;"acoes")))*INDEX(Inputs!$K$5:$AJ$140,0,MATCH(F$2,Inputs!$K$4:$AJ$4,0)))+SUMPRODUCT((Inputs!$E$5:$E$140=$B21)*Inputs!$F$5:$F$140*(((Inputs!$G$5:$G$140="moeda")+(Inputs!$G$5:$G$140="acoes"))*Inputs!$B$1+((Inputs!$G$5:$G$140&lt;&gt;"moeda")*(Inputs!$G$5:$G$140&lt;&gt;"acoes")))*INDEX(Inputs!$K$5:$AJ$140,0,MATCH(F$2,Inputs!$K$4:$AJ$4,0)))))</f>
        <v>0</v>
      </c>
      <c r="G21" s="6">
        <f>IF(ISNA(MATCH(G$2,Inputs!$K$4:$AJ$4,0)),NA(),IF(SUMPRODUCT((Inputs!$A$5:$A$140=$B21)*ISNUMBER(INDEX(Inputs!$K$5:$AJ$140,0,MATCH(G$2,Inputs!$K$4:$AJ$4,0))))+SUMPRODUCT((Inputs!$C$5:$C$140=$B21)*ISNUMBER(INDEX(Inputs!$K$5:$AJ$140,0,MATCH(G$2,Inputs!$K$4:$AJ$4,0))))+SUMPRODUCT((Inputs!$E$5:$E$140=$B21)*ISNUMBER(INDEX(Inputs!$K$5:$AJ$140,0,MATCH(G$2,Inputs!$K$4:$AJ$4,0))))=0,NA(),SUMPRODUCT((Inputs!$A$5:$A$140=$B21)*Inputs!$B$5:$B$140*(((Inputs!$G$5:$G$140="moeda")+(Inputs!$G$5:$G$140="acoes"))*Inputs!$B$1+((Inputs!$G$5:$G$140&lt;&gt;"moeda")*(Inputs!$G$5:$G$140&lt;&gt;"acoes")))*INDEX(Inputs!$K$5:$AJ$140,0,MATCH(G$2,Inputs!$K$4:$AJ$4,0)))+SUMPRODUCT((Inputs!$C$5:$C$140=$B21)*Inputs!$D$5:$D$140*(((Inputs!$G$5:$G$140="moeda")+(Inputs!$G$5:$G$140="acoes"))*Inputs!$B$1+((Inputs!$G$5:$G$140&lt;&gt;"moeda")*(Inputs!$G$5:$G$140&lt;&gt;"acoes")))*INDEX(Inputs!$K$5:$AJ$140,0,MATCH(G$2,Inputs!$K$4:$AJ$4,0)))+SUMPRODUCT((Inputs!$E$5:$E$140=$B21)*Inputs!$F$5:$F$140*(((Inputs!$G$5:$G$140="moeda")+(Inputs!$G$5:$G$140="acoes"))*Inputs!$B$1+((Inputs!$G$5:$G$140&lt;&gt;"moeda")*(Inputs!$G$5:$G$140&lt;&gt;"acoes")))*INDEX(Inputs!$K$5:$AJ$140,0,MATCH(G$2,Inputs!$K$4:$AJ$4,0)))))</f>
        <v>0</v>
      </c>
      <c r="H21" s="3">
        <f>G21</f>
        <v>0</v>
      </c>
      <c r="I21" s="6">
        <f>IF(ISNA(MATCH(I$2,Inputs!$K$4:$AJ$4,0)),NA(),IF(SUMPRODUCT((Inputs!$A$5:$A$140=$B21)*ISNUMBER(INDEX(Inputs!$K$5:$AJ$140,0,MATCH(I$2,Inputs!$K$4:$AJ$4,0))))+SUMPRODUCT((Inputs!$C$5:$C$140=$B21)*ISNUMBER(INDEX(Inputs!$K$5:$AJ$140,0,MATCH(I$2,Inputs!$K$4:$AJ$4,0))))+SUMPRODUCT((Inputs!$E$5:$E$140=$B21)*ISNUMBER(INDEX(Inputs!$K$5:$AJ$140,0,MATCH(I$2,Inputs!$K$4:$AJ$4,0))))=0,NA(),SUMPRODUCT((Inputs!$A$5:$A$140=$B21)*Inputs!$B$5:$B$140*(((Inputs!$G$5:$G$140="moeda")+(Inputs!$G$5:$G$140="acoes"))*Inputs!$B$1+((Inputs!$G$5:$G$140&lt;&gt;"moeda")*(Inputs!$G$5:$G$140&lt;&gt;"acoes")))*INDEX(Inputs!$K$5:$AJ$140,0,MATCH(I$2,Inputs!$K$4:$AJ$4,0)))+SUMPRODUCT((Inputs!$C$5:$C$140=$B21)*Inputs!$D$5:$D$140*(((Inputs!$G$5:$G$140="moeda")+(Inputs!$G$5:$G$140="acoes"))*Inputs!$B$1+((Inputs!$G$5:$G$140&lt;&gt;"moeda")*(Inputs!$G$5:$G$140&lt;&gt;"acoes")))*INDEX(Inputs!$K$5:$AJ$140,0,MATCH(I$2,Inputs!$K$4:$AJ$4,0)))+SUMPRODUCT((Inputs!$E$5:$E$140=$B21)*Inputs!$F$5:$F$140*(((Inputs!$G$5:$G$140="moeda")+(Inputs!$G$5:$G$140="acoes"))*Inputs!$B$1+((Inputs!$G$5:$G$140&lt;&gt;"moeda")*(Inputs!$G$5:$G$140&lt;&gt;"acoes")))*INDEX(Inputs!$K$5:$AJ$140,0,MATCH(I$2,Inputs!$K$4:$AJ$4,0)))))</f>
        <v>0</v>
      </c>
      <c r="J21" s="6">
        <f>IF(ISNA(MATCH(J$2,Inputs!$K$4:$AJ$4,0)),NA(),IF(SUMPRODUCT((Inputs!$A$5:$A$140=$B21)*ISNUMBER(INDEX(Inputs!$K$5:$AJ$140,0,MATCH(J$2,Inputs!$K$4:$AJ$4,0))))+SUMPRODUCT((Inputs!$C$5:$C$140=$B21)*ISNUMBER(INDEX(Inputs!$K$5:$AJ$140,0,MATCH(J$2,Inputs!$K$4:$AJ$4,0))))+SUMPRODUCT((Inputs!$E$5:$E$140=$B21)*ISNUMBER(INDEX(Inputs!$K$5:$AJ$140,0,MATCH(J$2,Inputs!$K$4:$AJ$4,0))))=0,NA(),SUMPRODUCT((Inputs!$A$5:$A$140=$B21)*Inputs!$B$5:$B$140*(((Inputs!$G$5:$G$140="moeda")+(Inputs!$G$5:$G$140="acoes"))*Inputs!$B$1+((Inputs!$G$5:$G$140&lt;&gt;"moeda")*(Inputs!$G$5:$G$140&lt;&gt;"acoes")))*INDEX(Inputs!$K$5:$AJ$140,0,MATCH(J$2,Inputs!$K$4:$AJ$4,0)))+SUMPRODUCT((Inputs!$C$5:$C$140=$B21)*Inputs!$D$5:$D$140*(((Inputs!$G$5:$G$140="moeda")+(Inputs!$G$5:$G$140="acoes"))*Inputs!$B$1+((Inputs!$G$5:$G$140&lt;&gt;"moeda")*(Inputs!$G$5:$G$140&lt;&gt;"acoes")))*INDEX(Inputs!$K$5:$AJ$140,0,MATCH(J$2,Inputs!$K$4:$AJ$4,0)))+SUMPRODUCT((Inputs!$E$5:$E$140=$B21)*Inputs!$F$5:$F$140*(((Inputs!$G$5:$G$140="moeda")+(Inputs!$G$5:$G$140="acoes"))*Inputs!$B$1+((Inputs!$G$5:$G$140&lt;&gt;"moeda")*(Inputs!$G$5:$G$140&lt;&gt;"acoes")))*INDEX(Inputs!$K$5:$AJ$140,0,MATCH(J$2,Inputs!$K$4:$AJ$4,0)))))</f>
        <v>0</v>
      </c>
      <c r="K21" s="6">
        <f>IF(ISNA(MATCH(K$2,Inputs!$K$4:$AJ$4,0)),NA(),IF(SUMPRODUCT((Inputs!$A$5:$A$140=$B21)*ISNUMBER(INDEX(Inputs!$K$5:$AJ$140,0,MATCH(K$2,Inputs!$K$4:$AJ$4,0))))+SUMPRODUCT((Inputs!$C$5:$C$140=$B21)*ISNUMBER(INDEX(Inputs!$K$5:$AJ$140,0,MATCH(K$2,Inputs!$K$4:$AJ$4,0))))+SUMPRODUCT((Inputs!$E$5:$E$140=$B21)*ISNUMBER(INDEX(Inputs!$K$5:$AJ$140,0,MATCH(K$2,Inputs!$K$4:$AJ$4,0))))=0,NA(),SUMPRODUCT((Inputs!$A$5:$A$140=$B21)*Inputs!$B$5:$B$140*(((Inputs!$G$5:$G$140="moeda")+(Inputs!$G$5:$G$140="acoes"))*Inputs!$B$1+((Inputs!$G$5:$G$140&lt;&gt;"moeda")*(Inputs!$G$5:$G$140&lt;&gt;"acoes")))*INDEX(Inputs!$K$5:$AJ$140,0,MATCH(K$2,Inputs!$K$4:$AJ$4,0)))+SUMPRODUCT((Inputs!$C$5:$C$140=$B21)*Inputs!$D$5:$D$140*(((Inputs!$G$5:$G$140="moeda")+(Inputs!$G$5:$G$140="acoes"))*Inputs!$B$1+((Inputs!$G$5:$G$140&lt;&gt;"moeda")*(Inputs!$G$5:$G$140&lt;&gt;"acoes")))*INDEX(Inputs!$K$5:$AJ$140,0,MATCH(K$2,Inputs!$K$4:$AJ$4,0)))+SUMPRODUCT((Inputs!$E$5:$E$140=$B21)*Inputs!$F$5:$F$140*(((Inputs!$G$5:$G$140="moeda")+(Inputs!$G$5:$G$140="acoes"))*Inputs!$B$1+((Inputs!$G$5:$G$140&lt;&gt;"moeda")*(Inputs!$G$5:$G$140&lt;&gt;"acoes")))*INDEX(Inputs!$K$5:$AJ$140,0,MATCH(K$2,Inputs!$K$4:$AJ$4,0)))))</f>
        <v>0</v>
      </c>
      <c r="L21" s="6">
        <f>IF(ISNA(MATCH(L$2,Inputs!$K$4:$AJ$4,0)),NA(),IF(SUMPRODUCT((Inputs!$A$5:$A$140=$B21)*ISNUMBER(INDEX(Inputs!$K$5:$AJ$140,0,MATCH(L$2,Inputs!$K$4:$AJ$4,0))))+SUMPRODUCT((Inputs!$C$5:$C$140=$B21)*ISNUMBER(INDEX(Inputs!$K$5:$AJ$140,0,MATCH(L$2,Inputs!$K$4:$AJ$4,0))))+SUMPRODUCT((Inputs!$E$5:$E$140=$B21)*ISNUMBER(INDEX(Inputs!$K$5:$AJ$140,0,MATCH(L$2,Inputs!$K$4:$AJ$4,0))))=0,NA(),SUMPRODUCT((Inputs!$A$5:$A$140=$B21)*Inputs!$B$5:$B$140*(((Inputs!$G$5:$G$140="moeda")+(Inputs!$G$5:$G$140="acoes"))*Inputs!$B$1+((Inputs!$G$5:$G$140&lt;&gt;"moeda")*(Inputs!$G$5:$G$140&lt;&gt;"acoes")))*INDEX(Inputs!$K$5:$AJ$140,0,MATCH(L$2,Inputs!$K$4:$AJ$4,0)))+SUMPRODUCT((Inputs!$C$5:$C$140=$B21)*Inputs!$D$5:$D$140*(((Inputs!$G$5:$G$140="moeda")+(Inputs!$G$5:$G$140="acoes"))*Inputs!$B$1+((Inputs!$G$5:$G$140&lt;&gt;"moeda")*(Inputs!$G$5:$G$140&lt;&gt;"acoes")))*INDEX(Inputs!$K$5:$AJ$140,0,MATCH(L$2,Inputs!$K$4:$AJ$4,0)))+SUMPRODUCT((Inputs!$E$5:$E$140=$B21)*Inputs!$F$5:$F$140*(((Inputs!$G$5:$G$140="moeda")+(Inputs!$G$5:$G$140="acoes"))*Inputs!$B$1+((Inputs!$G$5:$G$140&lt;&gt;"moeda")*(Inputs!$G$5:$G$140&lt;&gt;"acoes")))*INDEX(Inputs!$K$5:$AJ$140,0,MATCH(L$2,Inputs!$K$4:$AJ$4,0)))))</f>
        <v>0</v>
      </c>
      <c r="M21" s="3">
        <f>L21</f>
        <v>0</v>
      </c>
      <c r="N21" s="6">
        <f>IF(ISNA(MATCH(N$2,Inputs!$K$4:$AJ$4,0)),NA(),IF(SUMPRODUCT((Inputs!$A$5:$A$140=$B21)*ISNUMBER(INDEX(Inputs!$K$5:$AJ$140,0,MATCH(N$2,Inputs!$K$4:$AJ$4,0))))+SUMPRODUCT((Inputs!$C$5:$C$140=$B21)*ISNUMBER(INDEX(Inputs!$K$5:$AJ$140,0,MATCH(N$2,Inputs!$K$4:$AJ$4,0))))+SUMPRODUCT((Inputs!$E$5:$E$140=$B21)*ISNUMBER(INDEX(Inputs!$K$5:$AJ$140,0,MATCH(N$2,Inputs!$K$4:$AJ$4,0))))=0,NA(),SUMPRODUCT((Inputs!$A$5:$A$140=$B21)*Inputs!$B$5:$B$140*(((Inputs!$G$5:$G$140="moeda")+(Inputs!$G$5:$G$140="acoes"))*Inputs!$B$1+((Inputs!$G$5:$G$140&lt;&gt;"moeda")*(Inputs!$G$5:$G$140&lt;&gt;"acoes")))*INDEX(Inputs!$K$5:$AJ$140,0,MATCH(N$2,Inputs!$K$4:$AJ$4,0)))+SUMPRODUCT((Inputs!$C$5:$C$140=$B21)*Inputs!$D$5:$D$140*(((Inputs!$G$5:$G$140="moeda")+(Inputs!$G$5:$G$140="acoes"))*Inputs!$B$1+((Inputs!$G$5:$G$140&lt;&gt;"moeda")*(Inputs!$G$5:$G$140&lt;&gt;"acoes")))*INDEX(Inputs!$K$5:$AJ$140,0,MATCH(N$2,Inputs!$K$4:$AJ$4,0)))+SUMPRODUCT((Inputs!$E$5:$E$140=$B21)*Inputs!$F$5:$F$140*(((Inputs!$G$5:$G$140="moeda")+(Inputs!$G$5:$G$140="acoes"))*Inputs!$B$1+((Inputs!$G$5:$G$140&lt;&gt;"moeda")*(Inputs!$G$5:$G$140&lt;&gt;"acoes")))*INDEX(Inputs!$K$5:$AJ$140,0,MATCH(N$2,Inputs!$K$4:$AJ$4,0)))))</f>
        <v>0</v>
      </c>
      <c r="O21" s="6">
        <f>IF(ISNA(MATCH(O$2,Inputs!$K$4:$AJ$4,0)),NA(),IF(SUMPRODUCT((Inputs!$A$5:$A$140=$B21)*ISNUMBER(INDEX(Inputs!$K$5:$AJ$140,0,MATCH(O$2,Inputs!$K$4:$AJ$4,0))))+SUMPRODUCT((Inputs!$C$5:$C$140=$B21)*ISNUMBER(INDEX(Inputs!$K$5:$AJ$140,0,MATCH(O$2,Inputs!$K$4:$AJ$4,0))))+SUMPRODUCT((Inputs!$E$5:$E$140=$B21)*ISNUMBER(INDEX(Inputs!$K$5:$AJ$140,0,MATCH(O$2,Inputs!$K$4:$AJ$4,0))))=0,NA(),SUMPRODUCT((Inputs!$A$5:$A$140=$B21)*Inputs!$B$5:$B$140*(((Inputs!$G$5:$G$140="moeda")+(Inputs!$G$5:$G$140="acoes"))*Inputs!$B$1+((Inputs!$G$5:$G$140&lt;&gt;"moeda")*(Inputs!$G$5:$G$140&lt;&gt;"acoes")))*INDEX(Inputs!$K$5:$AJ$140,0,MATCH(O$2,Inputs!$K$4:$AJ$4,0)))+SUMPRODUCT((Inputs!$C$5:$C$140=$B21)*Inputs!$D$5:$D$140*(((Inputs!$G$5:$G$140="moeda")+(Inputs!$G$5:$G$140="acoes"))*Inputs!$B$1+((Inputs!$G$5:$G$140&lt;&gt;"moeda")*(Inputs!$G$5:$G$140&lt;&gt;"acoes")))*INDEX(Inputs!$K$5:$AJ$140,0,MATCH(O$2,Inputs!$K$4:$AJ$4,0)))+SUMPRODUCT((Inputs!$E$5:$E$140=$B21)*Inputs!$F$5:$F$140*(((Inputs!$G$5:$G$140="moeda")+(Inputs!$G$5:$G$140="acoes"))*Inputs!$B$1+((Inputs!$G$5:$G$140&lt;&gt;"moeda")*(Inputs!$G$5:$G$140&lt;&gt;"acoes")))*INDEX(Inputs!$K$5:$AJ$140,0,MATCH(O$2,Inputs!$K$4:$AJ$4,0)))))</f>
        <v>0</v>
      </c>
      <c r="P21" s="6">
        <f>IF(ISNA(MATCH(P$2,Inputs!$K$4:$AJ$4,0)),NA(),IF(SUMPRODUCT((Inputs!$A$5:$A$140=$B21)*ISNUMBER(INDEX(Inputs!$K$5:$AJ$140,0,MATCH(P$2,Inputs!$K$4:$AJ$4,0))))+SUMPRODUCT((Inputs!$C$5:$C$140=$B21)*ISNUMBER(INDEX(Inputs!$K$5:$AJ$140,0,MATCH(P$2,Inputs!$K$4:$AJ$4,0))))+SUMPRODUCT((Inputs!$E$5:$E$140=$B21)*ISNUMBER(INDEX(Inputs!$K$5:$AJ$140,0,MATCH(P$2,Inputs!$K$4:$AJ$4,0))))=0,NA(),SUMPRODUCT((Inputs!$A$5:$A$140=$B21)*Inputs!$B$5:$B$140*(((Inputs!$G$5:$G$140="moeda")+(Inputs!$G$5:$G$140="acoes"))*Inputs!$B$1+((Inputs!$G$5:$G$140&lt;&gt;"moeda")*(Inputs!$G$5:$G$140&lt;&gt;"acoes")))*INDEX(Inputs!$K$5:$AJ$140,0,MATCH(P$2,Inputs!$K$4:$AJ$4,0)))+SUMPRODUCT((Inputs!$C$5:$C$140=$B21)*Inputs!$D$5:$D$140*(((Inputs!$G$5:$G$140="moeda")+(Inputs!$G$5:$G$140="acoes"))*Inputs!$B$1+((Inputs!$G$5:$G$140&lt;&gt;"moeda")*(Inputs!$G$5:$G$140&lt;&gt;"acoes")))*INDEX(Inputs!$K$5:$AJ$140,0,MATCH(P$2,Inputs!$K$4:$AJ$4,0)))+SUMPRODUCT((Inputs!$E$5:$E$140=$B21)*Inputs!$F$5:$F$140*(((Inputs!$G$5:$G$140="moeda")+(Inputs!$G$5:$G$140="acoes"))*Inputs!$B$1+((Inputs!$G$5:$G$140&lt;&gt;"moeda")*(Inputs!$G$5:$G$140&lt;&gt;"acoes")))*INDEX(Inputs!$K$5:$AJ$140,0,MATCH(P$2,Inputs!$K$4:$AJ$4,0)))))</f>
        <v>0</v>
      </c>
      <c r="Q21" s="6">
        <f>IF(ISNA(MATCH(Q$2,Inputs!$K$4:$AJ$4,0)),NA(),IF(SUMPRODUCT((Inputs!$A$5:$A$140=$B21)*ISNUMBER(INDEX(Inputs!$K$5:$AJ$140,0,MATCH(Q$2,Inputs!$K$4:$AJ$4,0))))+SUMPRODUCT((Inputs!$C$5:$C$140=$B21)*ISNUMBER(INDEX(Inputs!$K$5:$AJ$140,0,MATCH(Q$2,Inputs!$K$4:$AJ$4,0))))+SUMPRODUCT((Inputs!$E$5:$E$140=$B21)*ISNUMBER(INDEX(Inputs!$K$5:$AJ$140,0,MATCH(Q$2,Inputs!$K$4:$AJ$4,0))))=0,NA(),SUMPRODUCT((Inputs!$A$5:$A$140=$B21)*Inputs!$B$5:$B$140*(((Inputs!$G$5:$G$140="moeda")+(Inputs!$G$5:$G$140="acoes"))*Inputs!$B$1+((Inputs!$G$5:$G$140&lt;&gt;"moeda")*(Inputs!$G$5:$G$140&lt;&gt;"acoes")))*INDEX(Inputs!$K$5:$AJ$140,0,MATCH(Q$2,Inputs!$K$4:$AJ$4,0)))+SUMPRODUCT((Inputs!$C$5:$C$140=$B21)*Inputs!$D$5:$D$140*(((Inputs!$G$5:$G$140="moeda")+(Inputs!$G$5:$G$140="acoes"))*Inputs!$B$1+((Inputs!$G$5:$G$140&lt;&gt;"moeda")*(Inputs!$G$5:$G$140&lt;&gt;"acoes")))*INDEX(Inputs!$K$5:$AJ$140,0,MATCH(Q$2,Inputs!$K$4:$AJ$4,0)))+SUMPRODUCT((Inputs!$E$5:$E$140=$B21)*Inputs!$F$5:$F$140*(((Inputs!$G$5:$G$140="moeda")+(Inputs!$G$5:$G$140="acoes"))*Inputs!$B$1+((Inputs!$G$5:$G$140&lt;&gt;"moeda")*(Inputs!$G$5:$G$140&lt;&gt;"acoes")))*INDEX(Inputs!$K$5:$AJ$140,0,MATCH(Q$2,Inputs!$K$4:$AJ$4,0)))))</f>
        <v>19.238</v>
      </c>
      <c r="R21" s="3">
        <f>Q21</f>
        <v>19.238</v>
      </c>
      <c r="S21" s="6">
        <f>IF(ISNA(MATCH(S$2,Inputs!$K$4:$AJ$4,0)),NA(),IF(SUMPRODUCT((Inputs!$A$5:$A$140=$B21)*ISNUMBER(INDEX(Inputs!$K$5:$AJ$140,0,MATCH(S$2,Inputs!$K$4:$AJ$4,0))))+SUMPRODUCT((Inputs!$C$5:$C$140=$B21)*ISNUMBER(INDEX(Inputs!$K$5:$AJ$140,0,MATCH(S$2,Inputs!$K$4:$AJ$4,0))))+SUMPRODUCT((Inputs!$E$5:$E$140=$B21)*ISNUMBER(INDEX(Inputs!$K$5:$AJ$140,0,MATCH(S$2,Inputs!$K$4:$AJ$4,0))))=0,NA(),SUMPRODUCT((Inputs!$A$5:$A$140=$B21)*Inputs!$B$5:$B$140*(((Inputs!$G$5:$G$140="moeda")+(Inputs!$G$5:$G$140="acoes"))*Inputs!$B$1+((Inputs!$G$5:$G$140&lt;&gt;"moeda")*(Inputs!$G$5:$G$140&lt;&gt;"acoes")))*INDEX(Inputs!$K$5:$AJ$140,0,MATCH(S$2,Inputs!$K$4:$AJ$4,0)))+SUMPRODUCT((Inputs!$C$5:$C$140=$B21)*Inputs!$D$5:$D$140*(((Inputs!$G$5:$G$140="moeda")+(Inputs!$G$5:$G$140="acoes"))*Inputs!$B$1+((Inputs!$G$5:$G$140&lt;&gt;"moeda")*(Inputs!$G$5:$G$140&lt;&gt;"acoes")))*INDEX(Inputs!$K$5:$AJ$140,0,MATCH(S$2,Inputs!$K$4:$AJ$4,0)))+SUMPRODUCT((Inputs!$E$5:$E$140=$B21)*Inputs!$F$5:$F$140*(((Inputs!$G$5:$G$140="moeda")+(Inputs!$G$5:$G$140="acoes"))*Inputs!$B$1+((Inputs!$G$5:$G$140&lt;&gt;"moeda")*(Inputs!$G$5:$G$140&lt;&gt;"acoes")))*INDEX(Inputs!$K$5:$AJ$140,0,MATCH(S$2,Inputs!$K$4:$AJ$4,0)))))</f>
        <v>43.168</v>
      </c>
      <c r="T21" s="6">
        <f>IF(ISNA(MATCH(T$2,Inputs!$K$4:$AJ$4,0)),NA(),IF(SUMPRODUCT((Inputs!$A$5:$A$140=$B21)*ISNUMBER(INDEX(Inputs!$K$5:$AJ$140,0,MATCH(T$2,Inputs!$K$4:$AJ$4,0))))+SUMPRODUCT((Inputs!$C$5:$C$140=$B21)*ISNUMBER(INDEX(Inputs!$K$5:$AJ$140,0,MATCH(T$2,Inputs!$K$4:$AJ$4,0))))+SUMPRODUCT((Inputs!$E$5:$E$140=$B21)*ISNUMBER(INDEX(Inputs!$K$5:$AJ$140,0,MATCH(T$2,Inputs!$K$4:$AJ$4,0))))=0,NA(),SUMPRODUCT((Inputs!$A$5:$A$140=$B21)*Inputs!$B$5:$B$140*(((Inputs!$G$5:$G$140="moeda")+(Inputs!$G$5:$G$140="acoes"))*Inputs!$B$1+((Inputs!$G$5:$G$140&lt;&gt;"moeda")*(Inputs!$G$5:$G$140&lt;&gt;"acoes")))*INDEX(Inputs!$K$5:$AJ$140,0,MATCH(T$2,Inputs!$K$4:$AJ$4,0)))+SUMPRODUCT((Inputs!$C$5:$C$140=$B21)*Inputs!$D$5:$D$140*(((Inputs!$G$5:$G$140="moeda")+(Inputs!$G$5:$G$140="acoes"))*Inputs!$B$1+((Inputs!$G$5:$G$140&lt;&gt;"moeda")*(Inputs!$G$5:$G$140&lt;&gt;"acoes")))*INDEX(Inputs!$K$5:$AJ$140,0,MATCH(T$2,Inputs!$K$4:$AJ$4,0)))+SUMPRODUCT((Inputs!$E$5:$E$140=$B21)*Inputs!$F$5:$F$140*(((Inputs!$G$5:$G$140="moeda")+(Inputs!$G$5:$G$140="acoes"))*Inputs!$B$1+((Inputs!$G$5:$G$140&lt;&gt;"moeda")*(Inputs!$G$5:$G$140&lt;&gt;"acoes")))*INDEX(Inputs!$K$5:$AJ$140,0,MATCH(T$2,Inputs!$K$4:$AJ$4,0)))))</f>
        <v>43.164</v>
      </c>
      <c r="U21" s="6">
        <f>IF(ISNA(MATCH(U$2,Inputs!$K$4:$AJ$4,0)),NA(),IF(SUMPRODUCT((Inputs!$A$5:$A$140=$B21)*ISNUMBER(INDEX(Inputs!$K$5:$AJ$140,0,MATCH(U$2,Inputs!$K$4:$AJ$4,0))))+SUMPRODUCT((Inputs!$C$5:$C$140=$B21)*ISNUMBER(INDEX(Inputs!$K$5:$AJ$140,0,MATCH(U$2,Inputs!$K$4:$AJ$4,0))))+SUMPRODUCT((Inputs!$E$5:$E$140=$B21)*ISNUMBER(INDEX(Inputs!$K$5:$AJ$140,0,MATCH(U$2,Inputs!$K$4:$AJ$4,0))))=0,NA(),SUMPRODUCT((Inputs!$A$5:$A$140=$B21)*Inputs!$B$5:$B$140*(((Inputs!$G$5:$G$140="moeda")+(Inputs!$G$5:$G$140="acoes"))*Inputs!$B$1+((Inputs!$G$5:$G$140&lt;&gt;"moeda")*(Inputs!$G$5:$G$140&lt;&gt;"acoes")))*INDEX(Inputs!$K$5:$AJ$140,0,MATCH(U$2,Inputs!$K$4:$AJ$4,0)))+SUMPRODUCT((Inputs!$C$5:$C$140=$B21)*Inputs!$D$5:$D$140*(((Inputs!$G$5:$G$140="moeda")+(Inputs!$G$5:$G$140="acoes"))*Inputs!$B$1+((Inputs!$G$5:$G$140&lt;&gt;"moeda")*(Inputs!$G$5:$G$140&lt;&gt;"acoes")))*INDEX(Inputs!$K$5:$AJ$140,0,MATCH(U$2,Inputs!$K$4:$AJ$4,0)))+SUMPRODUCT((Inputs!$E$5:$E$140=$B21)*Inputs!$F$5:$F$140*(((Inputs!$G$5:$G$140="moeda")+(Inputs!$G$5:$G$140="acoes"))*Inputs!$B$1+((Inputs!$G$5:$G$140&lt;&gt;"moeda")*(Inputs!$G$5:$G$140&lt;&gt;"acoes")))*INDEX(Inputs!$K$5:$AJ$140,0,MATCH(U$2,Inputs!$K$4:$AJ$4,0)))))</f>
        <v>43.144</v>
      </c>
      <c r="V21" s="6">
        <f>IF(ISNA(MATCH(V$2,Inputs!$K$4:$AJ$4,0)),NA(),IF(SUMPRODUCT((Inputs!$A$5:$A$140=$B21)*ISNUMBER(INDEX(Inputs!$K$5:$AJ$140,0,MATCH(V$2,Inputs!$K$4:$AJ$4,0))))+SUMPRODUCT((Inputs!$C$5:$C$140=$B21)*ISNUMBER(INDEX(Inputs!$K$5:$AJ$140,0,MATCH(V$2,Inputs!$K$4:$AJ$4,0))))+SUMPRODUCT((Inputs!$E$5:$E$140=$B21)*ISNUMBER(INDEX(Inputs!$K$5:$AJ$140,0,MATCH(V$2,Inputs!$K$4:$AJ$4,0))))=0,NA(),SUMPRODUCT((Inputs!$A$5:$A$140=$B21)*Inputs!$B$5:$B$140*(((Inputs!$G$5:$G$140="moeda")+(Inputs!$G$5:$G$140="acoes"))*Inputs!$B$1+((Inputs!$G$5:$G$140&lt;&gt;"moeda")*(Inputs!$G$5:$G$140&lt;&gt;"acoes")))*INDEX(Inputs!$K$5:$AJ$140,0,MATCH(V$2,Inputs!$K$4:$AJ$4,0)))+SUMPRODUCT((Inputs!$C$5:$C$140=$B21)*Inputs!$D$5:$D$140*(((Inputs!$G$5:$G$140="moeda")+(Inputs!$G$5:$G$140="acoes"))*Inputs!$B$1+((Inputs!$G$5:$G$140&lt;&gt;"moeda")*(Inputs!$G$5:$G$140&lt;&gt;"acoes")))*INDEX(Inputs!$K$5:$AJ$140,0,MATCH(V$2,Inputs!$K$4:$AJ$4,0)))+SUMPRODUCT((Inputs!$E$5:$E$140=$B21)*Inputs!$F$5:$F$140*(((Inputs!$G$5:$G$140="moeda")+(Inputs!$G$5:$G$140="acoes"))*Inputs!$B$1+((Inputs!$G$5:$G$140&lt;&gt;"moeda")*(Inputs!$G$5:$G$140&lt;&gt;"acoes")))*INDEX(Inputs!$K$5:$AJ$140,0,MATCH(V$2,Inputs!$K$4:$AJ$4,0)))))</f>
        <v>43.144</v>
      </c>
      <c r="W21" s="3">
        <f>V21</f>
        <v>43.144</v>
      </c>
      <c r="X21" s="6">
        <f>IF(ISNA(MATCH(X$2,Inputs!$K$4:$AJ$4,0)),NA(),IF(SUMPRODUCT((Inputs!$A$5:$A$140=$B21)*ISNUMBER(INDEX(Inputs!$K$5:$AJ$140,0,MATCH(X$2,Inputs!$K$4:$AJ$4,0))))+SUMPRODUCT((Inputs!$C$5:$C$140=$B21)*ISNUMBER(INDEX(Inputs!$K$5:$AJ$140,0,MATCH(X$2,Inputs!$K$4:$AJ$4,0))))+SUMPRODUCT((Inputs!$E$5:$E$140=$B21)*ISNUMBER(INDEX(Inputs!$K$5:$AJ$140,0,MATCH(X$2,Inputs!$K$4:$AJ$4,0))))=0,NA(),SUMPRODUCT((Inputs!$A$5:$A$140=$B21)*Inputs!$B$5:$B$140*(((Inputs!$G$5:$G$140="moeda")+(Inputs!$G$5:$G$140="acoes"))*Inputs!$B$1+((Inputs!$G$5:$G$140&lt;&gt;"moeda")*(Inputs!$G$5:$G$140&lt;&gt;"acoes")))*INDEX(Inputs!$K$5:$AJ$140,0,MATCH(X$2,Inputs!$K$4:$AJ$4,0)))+SUMPRODUCT((Inputs!$C$5:$C$140=$B21)*Inputs!$D$5:$D$140*(((Inputs!$G$5:$G$140="moeda")+(Inputs!$G$5:$G$140="acoes"))*Inputs!$B$1+((Inputs!$G$5:$G$140&lt;&gt;"moeda")*(Inputs!$G$5:$G$140&lt;&gt;"acoes")))*INDEX(Inputs!$K$5:$AJ$140,0,MATCH(X$2,Inputs!$K$4:$AJ$4,0)))+SUMPRODUCT((Inputs!$E$5:$E$140=$B21)*Inputs!$F$5:$F$140*(((Inputs!$G$5:$G$140="moeda")+(Inputs!$G$5:$G$140="acoes"))*Inputs!$B$1+((Inputs!$G$5:$G$140&lt;&gt;"moeda")*(Inputs!$G$5:$G$140&lt;&gt;"acoes")))*INDEX(Inputs!$K$5:$AJ$140,0,MATCH(X$2,Inputs!$K$4:$AJ$4,0)))))</f>
        <v>55.844</v>
      </c>
      <c r="Y21" s="6">
        <f>IF(ISNA(MATCH(Y$2,Inputs!$K$4:$AJ$4,0)),NA(),IF(SUMPRODUCT((Inputs!$A$5:$A$140=$B21)*ISNUMBER(INDEX(Inputs!$K$5:$AJ$140,0,MATCH(Y$2,Inputs!$K$4:$AJ$4,0))))+SUMPRODUCT((Inputs!$C$5:$C$140=$B21)*ISNUMBER(INDEX(Inputs!$K$5:$AJ$140,0,MATCH(Y$2,Inputs!$K$4:$AJ$4,0))))+SUMPRODUCT((Inputs!$E$5:$E$140=$B21)*ISNUMBER(INDEX(Inputs!$K$5:$AJ$140,0,MATCH(Y$2,Inputs!$K$4:$AJ$4,0))))=0,NA(),SUMPRODUCT((Inputs!$A$5:$A$140=$B21)*Inputs!$B$5:$B$140*(((Inputs!$G$5:$G$140="moeda")+(Inputs!$G$5:$G$140="acoes"))*Inputs!$B$1+((Inputs!$G$5:$G$140&lt;&gt;"moeda")*(Inputs!$G$5:$G$140&lt;&gt;"acoes")))*INDEX(Inputs!$K$5:$AJ$140,0,MATCH(Y$2,Inputs!$K$4:$AJ$4,0)))+SUMPRODUCT((Inputs!$C$5:$C$140=$B21)*Inputs!$D$5:$D$140*(((Inputs!$G$5:$G$140="moeda")+(Inputs!$G$5:$G$140="acoes"))*Inputs!$B$1+((Inputs!$G$5:$G$140&lt;&gt;"moeda")*(Inputs!$G$5:$G$140&lt;&gt;"acoes")))*INDEX(Inputs!$K$5:$AJ$140,0,MATCH(Y$2,Inputs!$K$4:$AJ$4,0)))+SUMPRODUCT((Inputs!$E$5:$E$140=$B21)*Inputs!$F$5:$F$140*(((Inputs!$G$5:$G$140="moeda")+(Inputs!$G$5:$G$140="acoes"))*Inputs!$B$1+((Inputs!$G$5:$G$140&lt;&gt;"moeda")*(Inputs!$G$5:$G$140&lt;&gt;"acoes")))*INDEX(Inputs!$K$5:$AJ$140,0,MATCH(Y$2,Inputs!$K$4:$AJ$4,0)))))</f>
        <v>428.234</v>
      </c>
      <c r="Z21" s="6">
        <f>IF(ISNA(MATCH(Z$2,Inputs!$K$4:$AJ$4,0)),NA(),IF(SUMPRODUCT((Inputs!$A$5:$A$140=$B21)*ISNUMBER(INDEX(Inputs!$K$5:$AJ$140,0,MATCH(Z$2,Inputs!$K$4:$AJ$4,0))))+SUMPRODUCT((Inputs!$C$5:$C$140=$B21)*ISNUMBER(INDEX(Inputs!$K$5:$AJ$140,0,MATCH(Z$2,Inputs!$K$4:$AJ$4,0))))+SUMPRODUCT((Inputs!$E$5:$E$140=$B21)*ISNUMBER(INDEX(Inputs!$K$5:$AJ$140,0,MATCH(Z$2,Inputs!$K$4:$AJ$4,0))))=0,NA(),SUMPRODUCT((Inputs!$A$5:$A$140=$B21)*Inputs!$B$5:$B$140*(((Inputs!$G$5:$G$140="moeda")+(Inputs!$G$5:$G$140="acoes"))*Inputs!$B$1+((Inputs!$G$5:$G$140&lt;&gt;"moeda")*(Inputs!$G$5:$G$140&lt;&gt;"acoes")))*INDEX(Inputs!$K$5:$AJ$140,0,MATCH(Z$2,Inputs!$K$4:$AJ$4,0)))+SUMPRODUCT((Inputs!$C$5:$C$140=$B21)*Inputs!$D$5:$D$140*(((Inputs!$G$5:$G$140="moeda")+(Inputs!$G$5:$G$140="acoes"))*Inputs!$B$1+((Inputs!$G$5:$G$140&lt;&gt;"moeda")*(Inputs!$G$5:$G$140&lt;&gt;"acoes")))*INDEX(Inputs!$K$5:$AJ$140,0,MATCH(Z$2,Inputs!$K$4:$AJ$4,0)))+SUMPRODUCT((Inputs!$E$5:$E$140=$B21)*Inputs!$F$5:$F$140*(((Inputs!$G$5:$G$140="moeda")+(Inputs!$G$5:$G$140="acoes"))*Inputs!$B$1+((Inputs!$G$5:$G$140&lt;&gt;"moeda")*(Inputs!$G$5:$G$140&lt;&gt;"acoes")))*INDEX(Inputs!$K$5:$AJ$140,0,MATCH(Z$2,Inputs!$K$4:$AJ$4,0)))))</f>
        <v>55.844</v>
      </c>
      <c r="AA21" s="6">
        <f>IF(ISNA(MATCH(AA$2,Inputs!$K$4:$AJ$4,0)),NA(),IF(SUMPRODUCT((Inputs!$A$5:$A$140=$B21)*ISNUMBER(INDEX(Inputs!$K$5:$AJ$140,0,MATCH(AA$2,Inputs!$K$4:$AJ$4,0))))+SUMPRODUCT((Inputs!$C$5:$C$140=$B21)*ISNUMBER(INDEX(Inputs!$K$5:$AJ$140,0,MATCH(AA$2,Inputs!$K$4:$AJ$4,0))))+SUMPRODUCT((Inputs!$E$5:$E$140=$B21)*ISNUMBER(INDEX(Inputs!$K$5:$AJ$140,0,MATCH(AA$2,Inputs!$K$4:$AJ$4,0))))=0,NA(),SUMPRODUCT((Inputs!$A$5:$A$140=$B21)*Inputs!$B$5:$B$140*(((Inputs!$G$5:$G$140="moeda")+(Inputs!$G$5:$G$140="acoes"))*Inputs!$B$1+((Inputs!$G$5:$G$140&lt;&gt;"moeda")*(Inputs!$G$5:$G$140&lt;&gt;"acoes")))*INDEX(Inputs!$K$5:$AJ$140,0,MATCH(AA$2,Inputs!$K$4:$AJ$4,0)))+SUMPRODUCT((Inputs!$C$5:$C$140=$B21)*Inputs!$D$5:$D$140*(((Inputs!$G$5:$G$140="moeda")+(Inputs!$G$5:$G$140="acoes"))*Inputs!$B$1+((Inputs!$G$5:$G$140&lt;&gt;"moeda")*(Inputs!$G$5:$G$140&lt;&gt;"acoes")))*INDEX(Inputs!$K$5:$AJ$140,0,MATCH(AA$2,Inputs!$K$4:$AJ$4,0)))+SUMPRODUCT((Inputs!$E$5:$E$140=$B21)*Inputs!$F$5:$F$140*(((Inputs!$G$5:$G$140="moeda")+(Inputs!$G$5:$G$140="acoes"))*Inputs!$B$1+((Inputs!$G$5:$G$140&lt;&gt;"moeda")*(Inputs!$G$5:$G$140&lt;&gt;"acoes")))*INDEX(Inputs!$K$5:$AJ$140,0,MATCH(AA$2,Inputs!$K$4:$AJ$4,0)))))</f>
        <v>0</v>
      </c>
      <c r="AB21" s="3">
        <f>AA21</f>
        <v>0</v>
      </c>
      <c r="AC21" s="6">
        <f>IF(ISNA(MATCH(AC$2,Inputs!$K$4:$AJ$4,0)),NA(),IF(SUMPRODUCT((Inputs!$A$5:$A$140=$B21)*ISNUMBER(INDEX(Inputs!$K$5:$AJ$140,0,MATCH(AC$2,Inputs!$K$4:$AJ$4,0))))+SUMPRODUCT((Inputs!$C$5:$C$140=$B21)*ISNUMBER(INDEX(Inputs!$K$5:$AJ$140,0,MATCH(AC$2,Inputs!$K$4:$AJ$4,0))))+SUMPRODUCT((Inputs!$E$5:$E$140=$B21)*ISNUMBER(INDEX(Inputs!$K$5:$AJ$140,0,MATCH(AC$2,Inputs!$K$4:$AJ$4,0))))=0,NA(),SUMPRODUCT((Inputs!$A$5:$A$140=$B21)*Inputs!$B$5:$B$140*(((Inputs!$G$5:$G$140="moeda")+(Inputs!$G$5:$G$140="acoes"))*Inputs!$B$1+((Inputs!$G$5:$G$140&lt;&gt;"moeda")*(Inputs!$G$5:$G$140&lt;&gt;"acoes")))*INDEX(Inputs!$K$5:$AJ$140,0,MATCH(AC$2,Inputs!$K$4:$AJ$4,0)))+SUMPRODUCT((Inputs!$C$5:$C$140=$B21)*Inputs!$D$5:$D$140*(((Inputs!$G$5:$G$140="moeda")+(Inputs!$G$5:$G$140="acoes"))*Inputs!$B$1+((Inputs!$G$5:$G$140&lt;&gt;"moeda")*(Inputs!$G$5:$G$140&lt;&gt;"acoes")))*INDEX(Inputs!$K$5:$AJ$140,0,MATCH(AC$2,Inputs!$K$4:$AJ$4,0)))+SUMPRODUCT((Inputs!$E$5:$E$140=$B21)*Inputs!$F$5:$F$140*(((Inputs!$G$5:$G$140="moeda")+(Inputs!$G$5:$G$140="acoes"))*Inputs!$B$1+((Inputs!$G$5:$G$140&lt;&gt;"moeda")*(Inputs!$G$5:$G$140&lt;&gt;"acoes")))*INDEX(Inputs!$K$5:$AJ$140,0,MATCH(AC$2,Inputs!$K$4:$AJ$4,0)))))</f>
        <v>0</v>
      </c>
      <c r="AD21" s="6">
        <f>IF(ISNA(MATCH(AD$2,Inputs!$K$4:$AJ$4,0)),NA(),IF(SUMPRODUCT((Inputs!$A$5:$A$140=$B21)*ISNUMBER(INDEX(Inputs!$K$5:$AJ$140,0,MATCH(AD$2,Inputs!$K$4:$AJ$4,0))))+SUMPRODUCT((Inputs!$C$5:$C$140=$B21)*ISNUMBER(INDEX(Inputs!$K$5:$AJ$140,0,MATCH(AD$2,Inputs!$K$4:$AJ$4,0))))+SUMPRODUCT((Inputs!$E$5:$E$140=$B21)*ISNUMBER(INDEX(Inputs!$K$5:$AJ$140,0,MATCH(AD$2,Inputs!$K$4:$AJ$4,0))))=0,NA(),SUMPRODUCT((Inputs!$A$5:$A$140=$B21)*Inputs!$B$5:$B$140*(((Inputs!$G$5:$G$140="moeda")+(Inputs!$G$5:$G$140="acoes"))*Inputs!$B$1+((Inputs!$G$5:$G$140&lt;&gt;"moeda")*(Inputs!$G$5:$G$140&lt;&gt;"acoes")))*INDEX(Inputs!$K$5:$AJ$140,0,MATCH(AD$2,Inputs!$K$4:$AJ$4,0)))+SUMPRODUCT((Inputs!$C$5:$C$140=$B21)*Inputs!$D$5:$D$140*(((Inputs!$G$5:$G$140="moeda")+(Inputs!$G$5:$G$140="acoes"))*Inputs!$B$1+((Inputs!$G$5:$G$140&lt;&gt;"moeda")*(Inputs!$G$5:$G$140&lt;&gt;"acoes")))*INDEX(Inputs!$K$5:$AJ$140,0,MATCH(AD$2,Inputs!$K$4:$AJ$4,0)))+SUMPRODUCT((Inputs!$E$5:$E$140=$B21)*Inputs!$F$5:$F$140*(((Inputs!$G$5:$G$140="moeda")+(Inputs!$G$5:$G$140="acoes"))*Inputs!$B$1+((Inputs!$G$5:$G$140&lt;&gt;"moeda")*(Inputs!$G$5:$G$140&lt;&gt;"acoes")))*INDEX(Inputs!$K$5:$AJ$140,0,MATCH(AD$2,Inputs!$K$4:$AJ$4,0)))))</f>
        <v>0</v>
      </c>
      <c r="AE21" s="6" t="e">
        <f>IF(ISNA(MATCH(AE$2,Inputs!$K$4:$AJ$4,0)),NA(),IF(SUMPRODUCT((Inputs!$A$5:$A$140=$B21)*ISNUMBER(INDEX(Inputs!$K$5:$AJ$140,0,MATCH(AE$2,Inputs!$K$4:$AJ$4,0))))+SUMPRODUCT((Inputs!$C$5:$C$140=$B21)*ISNUMBER(INDEX(Inputs!$K$5:$AJ$140,0,MATCH(AE$2,Inputs!$K$4:$AJ$4,0))))+SUMPRODUCT((Inputs!$E$5:$E$140=$B21)*ISNUMBER(INDEX(Inputs!$K$5:$AJ$140,0,MATCH(AE$2,Inputs!$K$4:$AJ$4,0))))=0,NA(),SUMPRODUCT((Inputs!$A$5:$A$140=$B21)*Inputs!$B$5:$B$140*(((Inputs!$G$5:$G$140="moeda")+(Inputs!$G$5:$G$140="acoes"))*Inputs!$B$1+((Inputs!$G$5:$G$140&lt;&gt;"moeda")*(Inputs!$G$5:$G$140&lt;&gt;"acoes")))*INDEX(Inputs!$K$5:$AJ$140,0,MATCH(AE$2,Inputs!$K$4:$AJ$4,0)))+SUMPRODUCT((Inputs!$C$5:$C$140=$B21)*Inputs!$D$5:$D$140*(((Inputs!$G$5:$G$140="moeda")+(Inputs!$G$5:$G$140="acoes"))*Inputs!$B$1+((Inputs!$G$5:$G$140&lt;&gt;"moeda")*(Inputs!$G$5:$G$140&lt;&gt;"acoes")))*INDEX(Inputs!$K$5:$AJ$140,0,MATCH(AE$2,Inputs!$K$4:$AJ$4,0)))+SUMPRODUCT((Inputs!$E$5:$E$140=$B21)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1" s="6" t="e">
        <f>IF(ISNA(MATCH(AF$2,Inputs!$K$4:$AJ$4,0)),NA(),IF(SUMPRODUCT((Inputs!$A$5:$A$140=$B21)*ISNUMBER(INDEX(Inputs!$K$5:$AJ$140,0,MATCH(AF$2,Inputs!$K$4:$AJ$4,0))))+SUMPRODUCT((Inputs!$C$5:$C$140=$B21)*ISNUMBER(INDEX(Inputs!$K$5:$AJ$140,0,MATCH(AF$2,Inputs!$K$4:$AJ$4,0))))+SUMPRODUCT((Inputs!$E$5:$E$140=$B21)*ISNUMBER(INDEX(Inputs!$K$5:$AJ$140,0,MATCH(AF$2,Inputs!$K$4:$AJ$4,0))))=0,NA(),SUMPRODUCT((Inputs!$A$5:$A$140=$B21)*Inputs!$B$5:$B$140*(((Inputs!$G$5:$G$140="moeda")+(Inputs!$G$5:$G$140="acoes"))*Inputs!$B$1+((Inputs!$G$5:$G$140&lt;&gt;"moeda")*(Inputs!$G$5:$G$140&lt;&gt;"acoes")))*INDEX(Inputs!$K$5:$AJ$140,0,MATCH(AF$2,Inputs!$K$4:$AJ$4,0)))+SUMPRODUCT((Inputs!$C$5:$C$140=$B21)*Inputs!$D$5:$D$140*(((Inputs!$G$5:$G$140="moeda")+(Inputs!$G$5:$G$140="acoes"))*Inputs!$B$1+((Inputs!$G$5:$G$140&lt;&gt;"moeda")*(Inputs!$G$5:$G$140&lt;&gt;"acoes")))*INDEX(Inputs!$K$5:$AJ$140,0,MATCH(AF$2,Inputs!$K$4:$AJ$4,0)))+SUMPRODUCT((Inputs!$E$5:$E$140=$B21)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1" s="3" t="e">
        <f>AF21</f>
        <v>#N/A</v>
      </c>
      <c r="AH21" s="6" t="e">
        <f>IF(ISNA(MATCH(AH$2,Inputs!$K$4:$AJ$4,0)),NA(),IF(SUMPRODUCT((Inputs!$A$5:$A$140=$B21)*ISNUMBER(INDEX(Inputs!$K$5:$AJ$140,0,MATCH(AH$2,Inputs!$K$4:$AJ$4,0))))+SUMPRODUCT((Inputs!$C$5:$C$140=$B21)*ISNUMBER(INDEX(Inputs!$K$5:$AJ$140,0,MATCH(AH$2,Inputs!$K$4:$AJ$4,0))))+SUMPRODUCT((Inputs!$E$5:$E$140=$B21)*ISNUMBER(INDEX(Inputs!$K$5:$AJ$140,0,MATCH(AH$2,Inputs!$K$4:$AJ$4,0))))=0,NA(),SUMPRODUCT((Inputs!$A$5:$A$140=$B21)*Inputs!$B$5:$B$140*(((Inputs!$G$5:$G$140="moeda")+(Inputs!$G$5:$G$140="acoes"))*Inputs!$B$1+((Inputs!$G$5:$G$140&lt;&gt;"moeda")*(Inputs!$G$5:$G$140&lt;&gt;"acoes")))*INDEX(Inputs!$K$5:$AJ$140,0,MATCH(AH$2,Inputs!$K$4:$AJ$4,0)))+SUMPRODUCT((Inputs!$C$5:$C$140=$B21)*Inputs!$D$5:$D$140*(((Inputs!$G$5:$G$140="moeda")+(Inputs!$G$5:$G$140="acoes"))*Inputs!$B$1+((Inputs!$G$5:$G$140&lt;&gt;"moeda")*(Inputs!$G$5:$G$140&lt;&gt;"acoes")))*INDEX(Inputs!$K$5:$AJ$140,0,MATCH(AH$2,Inputs!$K$4:$AJ$4,0)))+SUMPRODUCT((Inputs!$E$5:$E$140=$B21)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1" s="6">
        <f>IF(ISNA(MATCH(AI$2,Inputs!$K$4:$AJ$4,0)),NA(),IF(SUMPRODUCT((Inputs!$A$5:$A$140=$B21)*ISNUMBER(INDEX(Inputs!$K$5:$AJ$140,0,MATCH(AI$2,Inputs!$K$4:$AJ$4,0))))+SUMPRODUCT((Inputs!$C$5:$C$140=$B21)*ISNUMBER(INDEX(Inputs!$K$5:$AJ$140,0,MATCH(AI$2,Inputs!$K$4:$AJ$4,0))))+SUMPRODUCT((Inputs!$E$5:$E$140=$B21)*ISNUMBER(INDEX(Inputs!$K$5:$AJ$140,0,MATCH(AI$2,Inputs!$K$4:$AJ$4,0))))=0,NA(),SUMPRODUCT((Inputs!$A$5:$A$140=$B21)*Inputs!$B$5:$B$140*(((Inputs!$G$5:$G$140="moeda")+(Inputs!$G$5:$G$140="acoes"))*Inputs!$B$1+((Inputs!$G$5:$G$140&lt;&gt;"moeda")*(Inputs!$G$5:$G$140&lt;&gt;"acoes")))*INDEX(Inputs!$K$5:$AJ$140,0,MATCH(AI$2,Inputs!$K$4:$AJ$4,0)))+SUMPRODUCT((Inputs!$C$5:$C$140=$B21)*Inputs!$D$5:$D$140*(((Inputs!$G$5:$G$140="moeda")+(Inputs!$G$5:$G$140="acoes"))*Inputs!$B$1+((Inputs!$G$5:$G$140&lt;&gt;"moeda")*(Inputs!$G$5:$G$140&lt;&gt;"acoes")))*INDEX(Inputs!$K$5:$AJ$140,0,MATCH(AI$2,Inputs!$K$4:$AJ$4,0)))+SUMPRODUCT((Inputs!$E$5:$E$140=$B21)*Inputs!$F$5:$F$140*(((Inputs!$G$5:$G$140="moeda")+(Inputs!$G$5:$G$140="acoes"))*Inputs!$B$1+((Inputs!$G$5:$G$140&lt;&gt;"moeda")*(Inputs!$G$5:$G$140&lt;&gt;"acoes")))*INDEX(Inputs!$K$5:$AJ$140,0,MATCH(AI$2,Inputs!$K$4:$AJ$4,0)))))</f>
        <v>0</v>
      </c>
      <c r="AJ21" s="6">
        <f>IF(ISNA(MATCH(AJ$2,Inputs!$K$4:$AJ$4,0)),NA(),IF(SUMPRODUCT((Inputs!$A$5:$A$140=$B21)*ISNUMBER(INDEX(Inputs!$K$5:$AJ$140,0,MATCH(AJ$2,Inputs!$K$4:$AJ$4,0))))+SUMPRODUCT((Inputs!$C$5:$C$140=$B21)*ISNUMBER(INDEX(Inputs!$K$5:$AJ$140,0,MATCH(AJ$2,Inputs!$K$4:$AJ$4,0))))+SUMPRODUCT((Inputs!$E$5:$E$140=$B21)*ISNUMBER(INDEX(Inputs!$K$5:$AJ$140,0,MATCH(AJ$2,Inputs!$K$4:$AJ$4,0))))=0,NA(),SUMPRODUCT((Inputs!$A$5:$A$140=$B21)*Inputs!$B$5:$B$140*(((Inputs!$G$5:$G$140="moeda")+(Inputs!$G$5:$G$140="acoes"))*Inputs!$B$1+((Inputs!$G$5:$G$140&lt;&gt;"moeda")*(Inputs!$G$5:$G$140&lt;&gt;"acoes")))*INDEX(Inputs!$K$5:$AJ$140,0,MATCH(AJ$2,Inputs!$K$4:$AJ$4,0)))+SUMPRODUCT((Inputs!$C$5:$C$140=$B21)*Inputs!$D$5:$D$140*(((Inputs!$G$5:$G$140="moeda")+(Inputs!$G$5:$G$140="acoes"))*Inputs!$B$1+((Inputs!$G$5:$G$140&lt;&gt;"moeda")*(Inputs!$G$5:$G$140&lt;&gt;"acoes")))*INDEX(Inputs!$K$5:$AJ$140,0,MATCH(AJ$2,Inputs!$K$4:$AJ$4,0)))+SUMPRODUCT((Inputs!$E$5:$E$140=$B21)*Inputs!$F$5:$F$140*(((Inputs!$G$5:$G$140="moeda")+(Inputs!$G$5:$G$140="acoes"))*Inputs!$B$1+((Inputs!$G$5:$G$140&lt;&gt;"moeda")*(Inputs!$G$5:$G$140&lt;&gt;"acoes")))*INDEX(Inputs!$K$5:$AJ$140,0,MATCH(AJ$2,Inputs!$K$4:$AJ$4,0)))))</f>
        <v>0</v>
      </c>
      <c r="AK21" s="6">
        <f>IF(ISNA(MATCH(AK$2,Inputs!$K$4:$AJ$4,0)),NA(),IF(SUMPRODUCT((Inputs!$A$5:$A$140=$B21)*ISNUMBER(INDEX(Inputs!$K$5:$AJ$140,0,MATCH(AK$2,Inputs!$K$4:$AJ$4,0))))+SUMPRODUCT((Inputs!$C$5:$C$140=$B21)*ISNUMBER(INDEX(Inputs!$K$5:$AJ$140,0,MATCH(AK$2,Inputs!$K$4:$AJ$4,0))))+SUMPRODUCT((Inputs!$E$5:$E$140=$B21)*ISNUMBER(INDEX(Inputs!$K$5:$AJ$140,0,MATCH(AK$2,Inputs!$K$4:$AJ$4,0))))=0,NA(),SUMPRODUCT((Inputs!$A$5:$A$140=$B21)*Inputs!$B$5:$B$140*(((Inputs!$G$5:$G$140="moeda")+(Inputs!$G$5:$G$140="acoes"))*Inputs!$B$1+((Inputs!$G$5:$G$140&lt;&gt;"moeda")*(Inputs!$G$5:$G$140&lt;&gt;"acoes")))*INDEX(Inputs!$K$5:$AJ$140,0,MATCH(AK$2,Inputs!$K$4:$AJ$4,0)))+SUMPRODUCT((Inputs!$C$5:$C$140=$B21)*Inputs!$D$5:$D$140*(((Inputs!$G$5:$G$140="moeda")+(Inputs!$G$5:$G$140="acoes"))*Inputs!$B$1+((Inputs!$G$5:$G$140&lt;&gt;"moeda")*(Inputs!$G$5:$G$140&lt;&gt;"acoes")))*INDEX(Inputs!$K$5:$AJ$140,0,MATCH(AK$2,Inputs!$K$4:$AJ$4,0)))+SUMPRODUCT((Inputs!$E$5:$E$140=$B21)*Inputs!$F$5:$F$140*(((Inputs!$G$5:$G$140="moeda")+(Inputs!$G$5:$G$140="acoes"))*Inputs!$B$1+((Inputs!$G$5:$G$140&lt;&gt;"moeda")*(Inputs!$G$5:$G$140&lt;&gt;"acoes")))*INDEX(Inputs!$K$5:$AJ$140,0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$140=$B22)*ISNUMBER(INDEX(Inputs!$K$5:$AJ$140,0,MATCH(D$2,Inputs!$K$4:$AJ$4,0))))+SUMPRODUCT((Inputs!$C$5:$C$140=$B22)*ISNUMBER(INDEX(Inputs!$K$5:$AJ$140,0,MATCH(D$2,Inputs!$K$4:$AJ$4,0))))+SUMPRODUCT((Inputs!$E$5:$E$140=$B22)*ISNUMBER(INDEX(Inputs!$K$5:$AJ$140,0,MATCH(D$2,Inputs!$K$4:$AJ$4,0))))=0,NA(),SUMPRODUCT((Inputs!$A$5:$A$140=$B22)*Inputs!$B$5:$B$140*(((Inputs!$G$5:$G$140="moeda")+(Inputs!$G$5:$G$140="acoes"))*Inputs!$B$1+((Inputs!$G$5:$G$140&lt;&gt;"moeda")*(Inputs!$G$5:$G$140&lt;&gt;"acoes")))*INDEX(Inputs!$K$5:$AJ$140,0,MATCH(D$2,Inputs!$K$4:$AJ$4,0)))+SUMPRODUCT((Inputs!$C$5:$C$140=$B22)*Inputs!$D$5:$D$140*(((Inputs!$G$5:$G$140="moeda")+(Inputs!$G$5:$G$140="acoes"))*Inputs!$B$1+((Inputs!$G$5:$G$140&lt;&gt;"moeda")*(Inputs!$G$5:$G$140&lt;&gt;"acoes")))*INDEX(Inputs!$K$5:$AJ$140,0,MATCH(D$2,Inputs!$K$4:$AJ$4,0)))+SUMPRODUCT((Inputs!$E$5:$E$140=$B22)*Inputs!$F$5:$F$140*(((Inputs!$G$5:$G$140="moeda")+(Inputs!$G$5:$G$140="acoes"))*Inputs!$B$1+((Inputs!$G$5:$G$140&lt;&gt;"moeda")*(Inputs!$G$5:$G$140&lt;&gt;"acoes")))*INDEX(Inputs!$K$5:$AJ$140,0,MATCH(D$2,Inputs!$K$4:$AJ$4,0)))))</f>
        <v>1591.003531</v>
      </c>
      <c r="E22" s="6">
        <f>IF(ISNA(MATCH(E$2,Inputs!$K$4:$AJ$4,0)),NA(),IF(SUMPRODUCT((Inputs!$A$5:$A$140=$B22)*ISNUMBER(INDEX(Inputs!$K$5:$AJ$140,0,MATCH(E$2,Inputs!$K$4:$AJ$4,0))))+SUMPRODUCT((Inputs!$C$5:$C$140=$B22)*ISNUMBER(INDEX(Inputs!$K$5:$AJ$140,0,MATCH(E$2,Inputs!$K$4:$AJ$4,0))))+SUMPRODUCT((Inputs!$E$5:$E$140=$B22)*ISNUMBER(INDEX(Inputs!$K$5:$AJ$140,0,MATCH(E$2,Inputs!$K$4:$AJ$4,0))))=0,NA(),SUMPRODUCT((Inputs!$A$5:$A$140=$B22)*Inputs!$B$5:$B$140*(((Inputs!$G$5:$G$140="moeda")+(Inputs!$G$5:$G$140="acoes"))*Inputs!$B$1+((Inputs!$G$5:$G$140&lt;&gt;"moeda")*(Inputs!$G$5:$G$140&lt;&gt;"acoes")))*INDEX(Inputs!$K$5:$AJ$140,0,MATCH(E$2,Inputs!$K$4:$AJ$4,0)))+SUMPRODUCT((Inputs!$C$5:$C$140=$B22)*Inputs!$D$5:$D$140*(((Inputs!$G$5:$G$140="moeda")+(Inputs!$G$5:$G$140="acoes"))*Inputs!$B$1+((Inputs!$G$5:$G$140&lt;&gt;"moeda")*(Inputs!$G$5:$G$140&lt;&gt;"acoes")))*INDEX(Inputs!$K$5:$AJ$140,0,MATCH(E$2,Inputs!$K$4:$AJ$4,0)))+SUMPRODUCT((Inputs!$E$5:$E$140=$B22)*Inputs!$F$5:$F$140*(((Inputs!$G$5:$G$140="moeda")+(Inputs!$G$5:$G$140="acoes"))*Inputs!$B$1+((Inputs!$G$5:$G$140&lt;&gt;"moeda")*(Inputs!$G$5:$G$140&lt;&gt;"acoes")))*INDEX(Inputs!$K$5:$AJ$140,0,MATCH(E$2,Inputs!$K$4:$AJ$4,0)))))</f>
        <v>1809.85866171</v>
      </c>
      <c r="F22" s="6">
        <f>IF(ISNA(MATCH(F$2,Inputs!$K$4:$AJ$4,0)),NA(),IF(SUMPRODUCT((Inputs!$A$5:$A$140=$B22)*ISNUMBER(INDEX(Inputs!$K$5:$AJ$140,0,MATCH(F$2,Inputs!$K$4:$AJ$4,0))))+SUMPRODUCT((Inputs!$C$5:$C$140=$B22)*ISNUMBER(INDEX(Inputs!$K$5:$AJ$140,0,MATCH(F$2,Inputs!$K$4:$AJ$4,0))))+SUMPRODUCT((Inputs!$E$5:$E$140=$B22)*ISNUMBER(INDEX(Inputs!$K$5:$AJ$140,0,MATCH(F$2,Inputs!$K$4:$AJ$4,0))))=0,NA(),SUMPRODUCT((Inputs!$A$5:$A$140=$B22)*Inputs!$B$5:$B$140*(((Inputs!$G$5:$G$140="moeda")+(Inputs!$G$5:$G$140="acoes"))*Inputs!$B$1+((Inputs!$G$5:$G$140&lt;&gt;"moeda")*(Inputs!$G$5:$G$140&lt;&gt;"acoes")))*INDEX(Inputs!$K$5:$AJ$140,0,MATCH(F$2,Inputs!$K$4:$AJ$4,0)))+SUMPRODUCT((Inputs!$C$5:$C$140=$B22)*Inputs!$D$5:$D$140*(((Inputs!$G$5:$G$140="moeda")+(Inputs!$G$5:$G$140="acoes"))*Inputs!$B$1+((Inputs!$G$5:$G$140&lt;&gt;"moeda")*(Inputs!$G$5:$G$140&lt;&gt;"acoes")))*INDEX(Inputs!$K$5:$AJ$140,0,MATCH(F$2,Inputs!$K$4:$AJ$4,0)))+SUMPRODUCT((Inputs!$E$5:$E$140=$B22)*Inputs!$F$5:$F$140*(((Inputs!$G$5:$G$140="moeda")+(Inputs!$G$5:$G$140="acoes"))*Inputs!$B$1+((Inputs!$G$5:$G$140&lt;&gt;"moeda")*(Inputs!$G$5:$G$140&lt;&gt;"acoes")))*INDEX(Inputs!$K$5:$AJ$140,0,MATCH(F$2,Inputs!$K$4:$AJ$4,0)))))</f>
        <v>2007.877</v>
      </c>
      <c r="G22" s="6">
        <f>IF(ISNA(MATCH(G$2,Inputs!$K$4:$AJ$4,0)),NA(),IF(SUMPRODUCT((Inputs!$A$5:$A$140=$B22)*ISNUMBER(INDEX(Inputs!$K$5:$AJ$140,0,MATCH(G$2,Inputs!$K$4:$AJ$4,0))))+SUMPRODUCT((Inputs!$C$5:$C$140=$B22)*ISNUMBER(INDEX(Inputs!$K$5:$AJ$140,0,MATCH(G$2,Inputs!$K$4:$AJ$4,0))))+SUMPRODUCT((Inputs!$E$5:$E$140=$B22)*ISNUMBER(INDEX(Inputs!$K$5:$AJ$140,0,MATCH(G$2,Inputs!$K$4:$AJ$4,0))))=0,NA(),SUMPRODUCT((Inputs!$A$5:$A$140=$B22)*Inputs!$B$5:$B$140*(((Inputs!$G$5:$G$140="moeda")+(Inputs!$G$5:$G$140="acoes"))*Inputs!$B$1+((Inputs!$G$5:$G$140&lt;&gt;"moeda")*(Inputs!$G$5:$G$140&lt;&gt;"acoes")))*INDEX(Inputs!$K$5:$AJ$140,0,MATCH(G$2,Inputs!$K$4:$AJ$4,0)))+SUMPRODUCT((Inputs!$C$5:$C$140=$B22)*Inputs!$D$5:$D$140*(((Inputs!$G$5:$G$140="moeda")+(Inputs!$G$5:$G$140="acoes"))*Inputs!$B$1+((Inputs!$G$5:$G$140&lt;&gt;"moeda")*(Inputs!$G$5:$G$140&lt;&gt;"acoes")))*INDEX(Inputs!$K$5:$AJ$140,0,MATCH(G$2,Inputs!$K$4:$AJ$4,0)))+SUMPRODUCT((Inputs!$E$5:$E$140=$B22)*Inputs!$F$5:$F$140*(((Inputs!$G$5:$G$140="moeda")+(Inputs!$G$5:$G$140="acoes"))*Inputs!$B$1+((Inputs!$G$5:$G$140&lt;&gt;"moeda")*(Inputs!$G$5:$G$140&lt;&gt;"acoes")))*INDEX(Inputs!$K$5:$AJ$140,0,MATCH(G$2,Inputs!$K$4:$AJ$4,0)))))</f>
        <v>2581.885</v>
      </c>
      <c r="H22" s="3">
        <f>G22</f>
        <v>2581.885</v>
      </c>
      <c r="I22" s="6">
        <f>IF(ISNA(MATCH(I$2,Inputs!$K$4:$AJ$4,0)),NA(),IF(SUMPRODUCT((Inputs!$A$5:$A$140=$B22)*ISNUMBER(INDEX(Inputs!$K$5:$AJ$140,0,MATCH(I$2,Inputs!$K$4:$AJ$4,0))))+SUMPRODUCT((Inputs!$C$5:$C$140=$B22)*ISNUMBER(INDEX(Inputs!$K$5:$AJ$140,0,MATCH(I$2,Inputs!$K$4:$AJ$4,0))))+SUMPRODUCT((Inputs!$E$5:$E$140=$B22)*ISNUMBER(INDEX(Inputs!$K$5:$AJ$140,0,MATCH(I$2,Inputs!$K$4:$AJ$4,0))))=0,NA(),SUMPRODUCT((Inputs!$A$5:$A$140=$B22)*Inputs!$B$5:$B$140*(((Inputs!$G$5:$G$140="moeda")+(Inputs!$G$5:$G$140="acoes"))*Inputs!$B$1+((Inputs!$G$5:$G$140&lt;&gt;"moeda")*(Inputs!$G$5:$G$140&lt;&gt;"acoes")))*INDEX(Inputs!$K$5:$AJ$140,0,MATCH(I$2,Inputs!$K$4:$AJ$4,0)))+SUMPRODUCT((Inputs!$C$5:$C$140=$B22)*Inputs!$D$5:$D$140*(((Inputs!$G$5:$G$140="moeda")+(Inputs!$G$5:$G$140="acoes"))*Inputs!$B$1+((Inputs!$G$5:$G$140&lt;&gt;"moeda")*(Inputs!$G$5:$G$140&lt;&gt;"acoes")))*INDEX(Inputs!$K$5:$AJ$140,0,MATCH(I$2,Inputs!$K$4:$AJ$4,0)))+SUMPRODUCT((Inputs!$E$5:$E$140=$B22)*Inputs!$F$5:$F$140*(((Inputs!$G$5:$G$140="moeda")+(Inputs!$G$5:$G$140="acoes"))*Inputs!$B$1+((Inputs!$G$5:$G$140&lt;&gt;"moeda")*(Inputs!$G$5:$G$140&lt;&gt;"acoes")))*INDEX(Inputs!$K$5:$AJ$140,0,MATCH(I$2,Inputs!$K$4:$AJ$4,0)))))</f>
        <v>2857.882</v>
      </c>
      <c r="J22" s="6">
        <f>IF(ISNA(MATCH(J$2,Inputs!$K$4:$AJ$4,0)),NA(),IF(SUMPRODUCT((Inputs!$A$5:$A$140=$B22)*ISNUMBER(INDEX(Inputs!$K$5:$AJ$140,0,MATCH(J$2,Inputs!$K$4:$AJ$4,0))))+SUMPRODUCT((Inputs!$C$5:$C$140=$B22)*ISNUMBER(INDEX(Inputs!$K$5:$AJ$140,0,MATCH(J$2,Inputs!$K$4:$AJ$4,0))))+SUMPRODUCT((Inputs!$E$5:$E$140=$B22)*ISNUMBER(INDEX(Inputs!$K$5:$AJ$140,0,MATCH(J$2,Inputs!$K$4:$AJ$4,0))))=0,NA(),SUMPRODUCT((Inputs!$A$5:$A$140=$B22)*Inputs!$B$5:$B$140*(((Inputs!$G$5:$G$140="moeda")+(Inputs!$G$5:$G$140="acoes"))*Inputs!$B$1+((Inputs!$G$5:$G$140&lt;&gt;"moeda")*(Inputs!$G$5:$G$140&lt;&gt;"acoes")))*INDEX(Inputs!$K$5:$AJ$140,0,MATCH(J$2,Inputs!$K$4:$AJ$4,0)))+SUMPRODUCT((Inputs!$C$5:$C$140=$B22)*Inputs!$D$5:$D$140*(((Inputs!$G$5:$G$140="moeda")+(Inputs!$G$5:$G$140="acoes"))*Inputs!$B$1+((Inputs!$G$5:$G$140&lt;&gt;"moeda")*(Inputs!$G$5:$G$140&lt;&gt;"acoes")))*INDEX(Inputs!$K$5:$AJ$140,0,MATCH(J$2,Inputs!$K$4:$AJ$4,0)))+SUMPRODUCT((Inputs!$E$5:$E$140=$B22)*Inputs!$F$5:$F$140*(((Inputs!$G$5:$G$140="moeda")+(Inputs!$G$5:$G$140="acoes"))*Inputs!$B$1+((Inputs!$G$5:$G$140&lt;&gt;"moeda")*(Inputs!$G$5:$G$140&lt;&gt;"acoes")))*INDEX(Inputs!$K$5:$AJ$140,0,MATCH(J$2,Inputs!$K$4:$AJ$4,0)))))</f>
        <v>2953.797</v>
      </c>
      <c r="K22" s="6">
        <f>IF(ISNA(MATCH(K$2,Inputs!$K$4:$AJ$4,0)),NA(),IF(SUMPRODUCT((Inputs!$A$5:$A$140=$B22)*ISNUMBER(INDEX(Inputs!$K$5:$AJ$140,0,MATCH(K$2,Inputs!$K$4:$AJ$4,0))))+SUMPRODUCT((Inputs!$C$5:$C$140=$B22)*ISNUMBER(INDEX(Inputs!$K$5:$AJ$140,0,MATCH(K$2,Inputs!$K$4:$AJ$4,0))))+SUMPRODUCT((Inputs!$E$5:$E$140=$B22)*ISNUMBER(INDEX(Inputs!$K$5:$AJ$140,0,MATCH(K$2,Inputs!$K$4:$AJ$4,0))))=0,NA(),SUMPRODUCT((Inputs!$A$5:$A$140=$B22)*Inputs!$B$5:$B$140*(((Inputs!$G$5:$G$140="moeda")+(Inputs!$G$5:$G$140="acoes"))*Inputs!$B$1+((Inputs!$G$5:$G$140&lt;&gt;"moeda")*(Inputs!$G$5:$G$140&lt;&gt;"acoes")))*INDEX(Inputs!$K$5:$AJ$140,0,MATCH(K$2,Inputs!$K$4:$AJ$4,0)))+SUMPRODUCT((Inputs!$C$5:$C$140=$B22)*Inputs!$D$5:$D$140*(((Inputs!$G$5:$G$140="moeda")+(Inputs!$G$5:$G$140="acoes"))*Inputs!$B$1+((Inputs!$G$5:$G$140&lt;&gt;"moeda")*(Inputs!$G$5:$G$140&lt;&gt;"acoes")))*INDEX(Inputs!$K$5:$AJ$140,0,MATCH(K$2,Inputs!$K$4:$AJ$4,0)))+SUMPRODUCT((Inputs!$E$5:$E$140=$B22)*Inputs!$F$5:$F$140*(((Inputs!$G$5:$G$140="moeda")+(Inputs!$G$5:$G$140="acoes"))*Inputs!$B$1+((Inputs!$G$5:$G$140&lt;&gt;"moeda")*(Inputs!$G$5:$G$140&lt;&gt;"acoes")))*INDEX(Inputs!$K$5:$AJ$140,0,MATCH(K$2,Inputs!$K$4:$AJ$4,0)))))</f>
        <v>3018.884</v>
      </c>
      <c r="L22" s="6">
        <f>IF(ISNA(MATCH(L$2,Inputs!$K$4:$AJ$4,0)),NA(),IF(SUMPRODUCT((Inputs!$A$5:$A$140=$B22)*ISNUMBER(INDEX(Inputs!$K$5:$AJ$140,0,MATCH(L$2,Inputs!$K$4:$AJ$4,0))))+SUMPRODUCT((Inputs!$C$5:$C$140=$B22)*ISNUMBER(INDEX(Inputs!$K$5:$AJ$140,0,MATCH(L$2,Inputs!$K$4:$AJ$4,0))))+SUMPRODUCT((Inputs!$E$5:$E$140=$B22)*ISNUMBER(INDEX(Inputs!$K$5:$AJ$140,0,MATCH(L$2,Inputs!$K$4:$AJ$4,0))))=0,NA(),SUMPRODUCT((Inputs!$A$5:$A$140=$B22)*Inputs!$B$5:$B$140*(((Inputs!$G$5:$G$140="moeda")+(Inputs!$G$5:$G$140="acoes"))*Inputs!$B$1+((Inputs!$G$5:$G$140&lt;&gt;"moeda")*(Inputs!$G$5:$G$140&lt;&gt;"acoes")))*INDEX(Inputs!$K$5:$AJ$140,0,MATCH(L$2,Inputs!$K$4:$AJ$4,0)))+SUMPRODUCT((Inputs!$C$5:$C$140=$B22)*Inputs!$D$5:$D$140*(((Inputs!$G$5:$G$140="moeda")+(Inputs!$G$5:$G$140="acoes"))*Inputs!$B$1+((Inputs!$G$5:$G$140&lt;&gt;"moeda")*(Inputs!$G$5:$G$140&lt;&gt;"acoes")))*INDEX(Inputs!$K$5:$AJ$140,0,MATCH(L$2,Inputs!$K$4:$AJ$4,0)))+SUMPRODUCT((Inputs!$E$5:$E$140=$B22)*Inputs!$F$5:$F$140*(((Inputs!$G$5:$G$140="moeda")+(Inputs!$G$5:$G$140="acoes"))*Inputs!$B$1+((Inputs!$G$5:$G$140&lt;&gt;"moeda")*(Inputs!$G$5:$G$140&lt;&gt;"acoes")))*INDEX(Inputs!$K$5:$AJ$140,0,MATCH(L$2,Inputs!$K$4:$AJ$4,0)))))</f>
        <v>2960.185</v>
      </c>
      <c r="M22" s="3">
        <f>L22</f>
        <v>2960.185</v>
      </c>
      <c r="N22" s="6">
        <f>IF(ISNA(MATCH(N$2,Inputs!$K$4:$AJ$4,0)),NA(),IF(SUMPRODUCT((Inputs!$A$5:$A$140=$B22)*ISNUMBER(INDEX(Inputs!$K$5:$AJ$140,0,MATCH(N$2,Inputs!$K$4:$AJ$4,0))))+SUMPRODUCT((Inputs!$C$5:$C$140=$B22)*ISNUMBER(INDEX(Inputs!$K$5:$AJ$140,0,MATCH(N$2,Inputs!$K$4:$AJ$4,0))))+SUMPRODUCT((Inputs!$E$5:$E$140=$B22)*ISNUMBER(INDEX(Inputs!$K$5:$AJ$140,0,MATCH(N$2,Inputs!$K$4:$AJ$4,0))))=0,NA(),SUMPRODUCT((Inputs!$A$5:$A$140=$B22)*Inputs!$B$5:$B$140*(((Inputs!$G$5:$G$140="moeda")+(Inputs!$G$5:$G$140="acoes"))*Inputs!$B$1+((Inputs!$G$5:$G$140&lt;&gt;"moeda")*(Inputs!$G$5:$G$140&lt;&gt;"acoes")))*INDEX(Inputs!$K$5:$AJ$140,0,MATCH(N$2,Inputs!$K$4:$AJ$4,0)))+SUMPRODUCT((Inputs!$C$5:$C$140=$B22)*Inputs!$D$5:$D$140*(((Inputs!$G$5:$G$140="moeda")+(Inputs!$G$5:$G$140="acoes"))*Inputs!$B$1+((Inputs!$G$5:$G$140&lt;&gt;"moeda")*(Inputs!$G$5:$G$140&lt;&gt;"acoes")))*INDEX(Inputs!$K$5:$AJ$140,0,MATCH(N$2,Inputs!$K$4:$AJ$4,0)))+SUMPRODUCT((Inputs!$E$5:$E$140=$B22)*Inputs!$F$5:$F$140*(((Inputs!$G$5:$G$140="moeda")+(Inputs!$G$5:$G$140="acoes"))*Inputs!$B$1+((Inputs!$G$5:$G$140&lt;&gt;"moeda")*(Inputs!$G$5:$G$140&lt;&gt;"acoes")))*INDEX(Inputs!$K$5:$AJ$140,0,MATCH(N$2,Inputs!$K$4:$AJ$4,0)))))</f>
        <v>3105.771</v>
      </c>
      <c r="O22" s="6">
        <f>IF(ISNA(MATCH(O$2,Inputs!$K$4:$AJ$4,0)),NA(),IF(SUMPRODUCT((Inputs!$A$5:$A$140=$B22)*ISNUMBER(INDEX(Inputs!$K$5:$AJ$140,0,MATCH(O$2,Inputs!$K$4:$AJ$4,0))))+SUMPRODUCT((Inputs!$C$5:$C$140=$B22)*ISNUMBER(INDEX(Inputs!$K$5:$AJ$140,0,MATCH(O$2,Inputs!$K$4:$AJ$4,0))))+SUMPRODUCT((Inputs!$E$5:$E$140=$B22)*ISNUMBER(INDEX(Inputs!$K$5:$AJ$140,0,MATCH(O$2,Inputs!$K$4:$AJ$4,0))))=0,NA(),SUMPRODUCT((Inputs!$A$5:$A$140=$B22)*Inputs!$B$5:$B$140*(((Inputs!$G$5:$G$140="moeda")+(Inputs!$G$5:$G$140="acoes"))*Inputs!$B$1+((Inputs!$G$5:$G$140&lt;&gt;"moeda")*(Inputs!$G$5:$G$140&lt;&gt;"acoes")))*INDEX(Inputs!$K$5:$AJ$140,0,MATCH(O$2,Inputs!$K$4:$AJ$4,0)))+SUMPRODUCT((Inputs!$C$5:$C$140=$B22)*Inputs!$D$5:$D$140*(((Inputs!$G$5:$G$140="moeda")+(Inputs!$G$5:$G$140="acoes"))*Inputs!$B$1+((Inputs!$G$5:$G$140&lt;&gt;"moeda")*(Inputs!$G$5:$G$140&lt;&gt;"acoes")))*INDEX(Inputs!$K$5:$AJ$140,0,MATCH(O$2,Inputs!$K$4:$AJ$4,0)))+SUMPRODUCT((Inputs!$E$5:$E$140=$B22)*Inputs!$F$5:$F$140*(((Inputs!$G$5:$G$140="moeda")+(Inputs!$G$5:$G$140="acoes"))*Inputs!$B$1+((Inputs!$G$5:$G$140&lt;&gt;"moeda")*(Inputs!$G$5:$G$140&lt;&gt;"acoes")))*INDEX(Inputs!$K$5:$AJ$140,0,MATCH(O$2,Inputs!$K$4:$AJ$4,0)))))</f>
        <v>3276.785</v>
      </c>
      <c r="P22" s="6">
        <f>IF(ISNA(MATCH(P$2,Inputs!$K$4:$AJ$4,0)),NA(),IF(SUMPRODUCT((Inputs!$A$5:$A$140=$B22)*ISNUMBER(INDEX(Inputs!$K$5:$AJ$140,0,MATCH(P$2,Inputs!$K$4:$AJ$4,0))))+SUMPRODUCT((Inputs!$C$5:$C$140=$B22)*ISNUMBER(INDEX(Inputs!$K$5:$AJ$140,0,MATCH(P$2,Inputs!$K$4:$AJ$4,0))))+SUMPRODUCT((Inputs!$E$5:$E$140=$B22)*ISNUMBER(INDEX(Inputs!$K$5:$AJ$140,0,MATCH(P$2,Inputs!$K$4:$AJ$4,0))))=0,NA(),SUMPRODUCT((Inputs!$A$5:$A$140=$B22)*Inputs!$B$5:$B$140*(((Inputs!$G$5:$G$140="moeda")+(Inputs!$G$5:$G$140="acoes"))*Inputs!$B$1+((Inputs!$G$5:$G$140&lt;&gt;"moeda")*(Inputs!$G$5:$G$140&lt;&gt;"acoes")))*INDEX(Inputs!$K$5:$AJ$140,0,MATCH(P$2,Inputs!$K$4:$AJ$4,0)))+SUMPRODUCT((Inputs!$C$5:$C$140=$B22)*Inputs!$D$5:$D$140*(((Inputs!$G$5:$G$140="moeda")+(Inputs!$G$5:$G$140="acoes"))*Inputs!$B$1+((Inputs!$G$5:$G$140&lt;&gt;"moeda")*(Inputs!$G$5:$G$140&lt;&gt;"acoes")))*INDEX(Inputs!$K$5:$AJ$140,0,MATCH(P$2,Inputs!$K$4:$AJ$4,0)))+SUMPRODUCT((Inputs!$E$5:$E$140=$B22)*Inputs!$F$5:$F$140*(((Inputs!$G$5:$G$140="moeda")+(Inputs!$G$5:$G$140="acoes"))*Inputs!$B$1+((Inputs!$G$5:$G$140&lt;&gt;"moeda")*(Inputs!$G$5:$G$140&lt;&gt;"acoes")))*INDEX(Inputs!$K$5:$AJ$140,0,MATCH(P$2,Inputs!$K$4:$AJ$4,0)))))</f>
        <v>3504.174</v>
      </c>
      <c r="Q22" s="6">
        <f>IF(ISNA(MATCH(Q$2,Inputs!$K$4:$AJ$4,0)),NA(),IF(SUMPRODUCT((Inputs!$A$5:$A$140=$B22)*ISNUMBER(INDEX(Inputs!$K$5:$AJ$140,0,MATCH(Q$2,Inputs!$K$4:$AJ$4,0))))+SUMPRODUCT((Inputs!$C$5:$C$140=$B22)*ISNUMBER(INDEX(Inputs!$K$5:$AJ$140,0,MATCH(Q$2,Inputs!$K$4:$AJ$4,0))))+SUMPRODUCT((Inputs!$E$5:$E$140=$B22)*ISNUMBER(INDEX(Inputs!$K$5:$AJ$140,0,MATCH(Q$2,Inputs!$K$4:$AJ$4,0))))=0,NA(),SUMPRODUCT((Inputs!$A$5:$A$140=$B22)*Inputs!$B$5:$B$140*(((Inputs!$G$5:$G$140="moeda")+(Inputs!$G$5:$G$140="acoes"))*Inputs!$B$1+((Inputs!$G$5:$G$140&lt;&gt;"moeda")*(Inputs!$G$5:$G$140&lt;&gt;"acoes")))*INDEX(Inputs!$K$5:$AJ$140,0,MATCH(Q$2,Inputs!$K$4:$AJ$4,0)))+SUMPRODUCT((Inputs!$C$5:$C$140=$B22)*Inputs!$D$5:$D$140*(((Inputs!$G$5:$G$140="moeda")+(Inputs!$G$5:$G$140="acoes"))*Inputs!$B$1+((Inputs!$G$5:$G$140&lt;&gt;"moeda")*(Inputs!$G$5:$G$140&lt;&gt;"acoes")))*INDEX(Inputs!$K$5:$AJ$140,0,MATCH(Q$2,Inputs!$K$4:$AJ$4,0)))+SUMPRODUCT((Inputs!$E$5:$E$140=$B22)*Inputs!$F$5:$F$140*(((Inputs!$G$5:$G$140="moeda")+(Inputs!$G$5:$G$140="acoes"))*Inputs!$B$1+((Inputs!$G$5:$G$140&lt;&gt;"moeda")*(Inputs!$G$5:$G$140&lt;&gt;"acoes")))*INDEX(Inputs!$K$5:$AJ$140,0,MATCH(Q$2,Inputs!$K$4:$AJ$4,0)))))</f>
        <v>3730.515</v>
      </c>
      <c r="R22" s="3">
        <f>Q22</f>
        <v>3730.515</v>
      </c>
      <c r="S22" s="6">
        <f>IF(ISNA(MATCH(S$2,Inputs!$K$4:$AJ$4,0)),NA(),IF(SUMPRODUCT((Inputs!$A$5:$A$140=$B22)*ISNUMBER(INDEX(Inputs!$K$5:$AJ$140,0,MATCH(S$2,Inputs!$K$4:$AJ$4,0))))+SUMPRODUCT((Inputs!$C$5:$C$140=$B22)*ISNUMBER(INDEX(Inputs!$K$5:$AJ$140,0,MATCH(S$2,Inputs!$K$4:$AJ$4,0))))+SUMPRODUCT((Inputs!$E$5:$E$140=$B22)*ISNUMBER(INDEX(Inputs!$K$5:$AJ$140,0,MATCH(S$2,Inputs!$K$4:$AJ$4,0))))=0,NA(),SUMPRODUCT((Inputs!$A$5:$A$140=$B22)*Inputs!$B$5:$B$140*(((Inputs!$G$5:$G$140="moeda")+(Inputs!$G$5:$G$140="acoes"))*Inputs!$B$1+((Inputs!$G$5:$G$140&lt;&gt;"moeda")*(Inputs!$G$5:$G$140&lt;&gt;"acoes")))*INDEX(Inputs!$K$5:$AJ$140,0,MATCH(S$2,Inputs!$K$4:$AJ$4,0)))+SUMPRODUCT((Inputs!$C$5:$C$140=$B22)*Inputs!$D$5:$D$140*(((Inputs!$G$5:$G$140="moeda")+(Inputs!$G$5:$G$140="acoes"))*Inputs!$B$1+((Inputs!$G$5:$G$140&lt;&gt;"moeda")*(Inputs!$G$5:$G$140&lt;&gt;"acoes")))*INDEX(Inputs!$K$5:$AJ$140,0,MATCH(S$2,Inputs!$K$4:$AJ$4,0)))+SUMPRODUCT((Inputs!$E$5:$E$140=$B22)*Inputs!$F$5:$F$140*(((Inputs!$G$5:$G$140="moeda")+(Inputs!$G$5:$G$140="acoes"))*Inputs!$B$1+((Inputs!$G$5:$G$140&lt;&gt;"moeda")*(Inputs!$G$5:$G$140&lt;&gt;"acoes")))*INDEX(Inputs!$K$5:$AJ$140,0,MATCH(S$2,Inputs!$K$4:$AJ$4,0)))))</f>
        <v>3996.864</v>
      </c>
      <c r="T22" s="6">
        <f>IF(ISNA(MATCH(T$2,Inputs!$K$4:$AJ$4,0)),NA(),IF(SUMPRODUCT((Inputs!$A$5:$A$140=$B22)*ISNUMBER(INDEX(Inputs!$K$5:$AJ$140,0,MATCH(T$2,Inputs!$K$4:$AJ$4,0))))+SUMPRODUCT((Inputs!$C$5:$C$140=$B22)*ISNUMBER(INDEX(Inputs!$K$5:$AJ$140,0,MATCH(T$2,Inputs!$K$4:$AJ$4,0))))+SUMPRODUCT((Inputs!$E$5:$E$140=$B22)*ISNUMBER(INDEX(Inputs!$K$5:$AJ$140,0,MATCH(T$2,Inputs!$K$4:$AJ$4,0))))=0,NA(),SUMPRODUCT((Inputs!$A$5:$A$140=$B22)*Inputs!$B$5:$B$140*(((Inputs!$G$5:$G$140="moeda")+(Inputs!$G$5:$G$140="acoes"))*Inputs!$B$1+((Inputs!$G$5:$G$140&lt;&gt;"moeda")*(Inputs!$G$5:$G$140&lt;&gt;"acoes")))*INDEX(Inputs!$K$5:$AJ$140,0,MATCH(T$2,Inputs!$K$4:$AJ$4,0)))+SUMPRODUCT((Inputs!$C$5:$C$140=$B22)*Inputs!$D$5:$D$140*(((Inputs!$G$5:$G$140="moeda")+(Inputs!$G$5:$G$140="acoes"))*Inputs!$B$1+((Inputs!$G$5:$G$140&lt;&gt;"moeda")*(Inputs!$G$5:$G$140&lt;&gt;"acoes")))*INDEX(Inputs!$K$5:$AJ$140,0,MATCH(T$2,Inputs!$K$4:$AJ$4,0)))+SUMPRODUCT((Inputs!$E$5:$E$140=$B22)*Inputs!$F$5:$F$140*(((Inputs!$G$5:$G$140="moeda")+(Inputs!$G$5:$G$140="acoes"))*Inputs!$B$1+((Inputs!$G$5:$G$140&lt;&gt;"moeda")*(Inputs!$G$5:$G$140&lt;&gt;"acoes")))*INDEX(Inputs!$K$5:$AJ$140,0,MATCH(T$2,Inputs!$K$4:$AJ$4,0)))))</f>
        <v>4215.529</v>
      </c>
      <c r="U22" s="6">
        <f>IF(ISNA(MATCH(U$2,Inputs!$K$4:$AJ$4,0)),NA(),IF(SUMPRODUCT((Inputs!$A$5:$A$140=$B22)*ISNUMBER(INDEX(Inputs!$K$5:$AJ$140,0,MATCH(U$2,Inputs!$K$4:$AJ$4,0))))+SUMPRODUCT((Inputs!$C$5:$C$140=$B22)*ISNUMBER(INDEX(Inputs!$K$5:$AJ$140,0,MATCH(U$2,Inputs!$K$4:$AJ$4,0))))+SUMPRODUCT((Inputs!$E$5:$E$140=$B22)*ISNUMBER(INDEX(Inputs!$K$5:$AJ$140,0,MATCH(U$2,Inputs!$K$4:$AJ$4,0))))=0,NA(),SUMPRODUCT((Inputs!$A$5:$A$140=$B22)*Inputs!$B$5:$B$140*(((Inputs!$G$5:$G$140="moeda")+(Inputs!$G$5:$G$140="acoes"))*Inputs!$B$1+((Inputs!$G$5:$G$140&lt;&gt;"moeda")*(Inputs!$G$5:$G$140&lt;&gt;"acoes")))*INDEX(Inputs!$K$5:$AJ$140,0,MATCH(U$2,Inputs!$K$4:$AJ$4,0)))+SUMPRODUCT((Inputs!$C$5:$C$140=$B22)*Inputs!$D$5:$D$140*(((Inputs!$G$5:$G$140="moeda")+(Inputs!$G$5:$G$140="acoes"))*Inputs!$B$1+((Inputs!$G$5:$G$140&lt;&gt;"moeda")*(Inputs!$G$5:$G$140&lt;&gt;"acoes")))*INDEX(Inputs!$K$5:$AJ$140,0,MATCH(U$2,Inputs!$K$4:$AJ$4,0)))+SUMPRODUCT((Inputs!$E$5:$E$140=$B22)*Inputs!$F$5:$F$140*(((Inputs!$G$5:$G$140="moeda")+(Inputs!$G$5:$G$140="acoes"))*Inputs!$B$1+((Inputs!$G$5:$G$140&lt;&gt;"moeda")*(Inputs!$G$5:$G$140&lt;&gt;"acoes")))*INDEX(Inputs!$K$5:$AJ$140,0,MATCH(U$2,Inputs!$K$4:$AJ$4,0)))))</f>
        <v>4375.436</v>
      </c>
      <c r="V22" s="6">
        <f>IF(ISNA(MATCH(V$2,Inputs!$K$4:$AJ$4,0)),NA(),IF(SUMPRODUCT((Inputs!$A$5:$A$140=$B22)*ISNUMBER(INDEX(Inputs!$K$5:$AJ$140,0,MATCH(V$2,Inputs!$K$4:$AJ$4,0))))+SUMPRODUCT((Inputs!$C$5:$C$140=$B22)*ISNUMBER(INDEX(Inputs!$K$5:$AJ$140,0,MATCH(V$2,Inputs!$K$4:$AJ$4,0))))+SUMPRODUCT((Inputs!$E$5:$E$140=$B22)*ISNUMBER(INDEX(Inputs!$K$5:$AJ$140,0,MATCH(V$2,Inputs!$K$4:$AJ$4,0))))=0,NA(),SUMPRODUCT((Inputs!$A$5:$A$140=$B22)*Inputs!$B$5:$B$140*(((Inputs!$G$5:$G$140="moeda")+(Inputs!$G$5:$G$140="acoes"))*Inputs!$B$1+((Inputs!$G$5:$G$140&lt;&gt;"moeda")*(Inputs!$G$5:$G$140&lt;&gt;"acoes")))*INDEX(Inputs!$K$5:$AJ$140,0,MATCH(V$2,Inputs!$K$4:$AJ$4,0)))+SUMPRODUCT((Inputs!$C$5:$C$140=$B22)*Inputs!$D$5:$D$140*(((Inputs!$G$5:$G$140="moeda")+(Inputs!$G$5:$G$140="acoes"))*Inputs!$B$1+((Inputs!$G$5:$G$140&lt;&gt;"moeda")*(Inputs!$G$5:$G$140&lt;&gt;"acoes")))*INDEX(Inputs!$K$5:$AJ$140,0,MATCH(V$2,Inputs!$K$4:$AJ$4,0)))+SUMPRODUCT((Inputs!$E$5:$E$140=$B22)*Inputs!$F$5:$F$140*(((Inputs!$G$5:$G$140="moeda")+(Inputs!$G$5:$G$140="acoes"))*Inputs!$B$1+((Inputs!$G$5:$G$140&lt;&gt;"moeda")*(Inputs!$G$5:$G$140&lt;&gt;"acoes")))*INDEX(Inputs!$K$5:$AJ$140,0,MATCH(V$2,Inputs!$K$4:$AJ$4,0)))))</f>
        <v>4382.427</v>
      </c>
      <c r="W22" s="3">
        <f>V22</f>
        <v>4382.427</v>
      </c>
      <c r="X22" s="6">
        <f>IF(ISNA(MATCH(X$2,Inputs!$K$4:$AJ$4,0)),NA(),IF(SUMPRODUCT((Inputs!$A$5:$A$140=$B22)*ISNUMBER(INDEX(Inputs!$K$5:$AJ$140,0,MATCH(X$2,Inputs!$K$4:$AJ$4,0))))+SUMPRODUCT((Inputs!$C$5:$C$140=$B22)*ISNUMBER(INDEX(Inputs!$K$5:$AJ$140,0,MATCH(X$2,Inputs!$K$4:$AJ$4,0))))+SUMPRODUCT((Inputs!$E$5:$E$140=$B22)*ISNUMBER(INDEX(Inputs!$K$5:$AJ$140,0,MATCH(X$2,Inputs!$K$4:$AJ$4,0))))=0,NA(),SUMPRODUCT((Inputs!$A$5:$A$140=$B22)*Inputs!$B$5:$B$140*(((Inputs!$G$5:$G$140="moeda")+(Inputs!$G$5:$G$140="acoes"))*Inputs!$B$1+((Inputs!$G$5:$G$140&lt;&gt;"moeda")*(Inputs!$G$5:$G$140&lt;&gt;"acoes")))*INDEX(Inputs!$K$5:$AJ$140,0,MATCH(X$2,Inputs!$K$4:$AJ$4,0)))+SUMPRODUCT((Inputs!$C$5:$C$140=$B22)*Inputs!$D$5:$D$140*(((Inputs!$G$5:$G$140="moeda")+(Inputs!$G$5:$G$140="acoes"))*Inputs!$B$1+((Inputs!$G$5:$G$140&lt;&gt;"moeda")*(Inputs!$G$5:$G$140&lt;&gt;"acoes")))*INDEX(Inputs!$K$5:$AJ$140,0,MATCH(X$2,Inputs!$K$4:$AJ$4,0)))+SUMPRODUCT((Inputs!$E$5:$E$140=$B22)*Inputs!$F$5:$F$140*(((Inputs!$G$5:$G$140="moeda")+(Inputs!$G$5:$G$140="acoes"))*Inputs!$B$1+((Inputs!$G$5:$G$140&lt;&gt;"moeda")*(Inputs!$G$5:$G$140&lt;&gt;"acoes")))*INDEX(Inputs!$K$5:$AJ$140,0,MATCH(X$2,Inputs!$K$4:$AJ$4,0)))))</f>
        <v>4531.517</v>
      </c>
      <c r="Y22" s="6">
        <f>IF(ISNA(MATCH(Y$2,Inputs!$K$4:$AJ$4,0)),NA(),IF(SUMPRODUCT((Inputs!$A$5:$A$140=$B22)*ISNUMBER(INDEX(Inputs!$K$5:$AJ$140,0,MATCH(Y$2,Inputs!$K$4:$AJ$4,0))))+SUMPRODUCT((Inputs!$C$5:$C$140=$B22)*ISNUMBER(INDEX(Inputs!$K$5:$AJ$140,0,MATCH(Y$2,Inputs!$K$4:$AJ$4,0))))+SUMPRODUCT((Inputs!$E$5:$E$140=$B22)*ISNUMBER(INDEX(Inputs!$K$5:$AJ$140,0,MATCH(Y$2,Inputs!$K$4:$AJ$4,0))))=0,NA(),SUMPRODUCT((Inputs!$A$5:$A$140=$B22)*Inputs!$B$5:$B$140*(((Inputs!$G$5:$G$140="moeda")+(Inputs!$G$5:$G$140="acoes"))*Inputs!$B$1+((Inputs!$G$5:$G$140&lt;&gt;"moeda")*(Inputs!$G$5:$G$140&lt;&gt;"acoes")))*INDEX(Inputs!$K$5:$AJ$140,0,MATCH(Y$2,Inputs!$K$4:$AJ$4,0)))+SUMPRODUCT((Inputs!$C$5:$C$140=$B22)*Inputs!$D$5:$D$140*(((Inputs!$G$5:$G$140="moeda")+(Inputs!$G$5:$G$140="acoes"))*Inputs!$B$1+((Inputs!$G$5:$G$140&lt;&gt;"moeda")*(Inputs!$G$5:$G$140&lt;&gt;"acoes")))*INDEX(Inputs!$K$5:$AJ$140,0,MATCH(Y$2,Inputs!$K$4:$AJ$4,0)))+SUMPRODUCT((Inputs!$E$5:$E$140=$B22)*Inputs!$F$5:$F$140*(((Inputs!$G$5:$G$140="moeda")+(Inputs!$G$5:$G$140="acoes"))*Inputs!$B$1+((Inputs!$G$5:$G$140&lt;&gt;"moeda")*(Inputs!$G$5:$G$140&lt;&gt;"acoes")))*INDEX(Inputs!$K$5:$AJ$140,0,MATCH(Y$2,Inputs!$K$4:$AJ$4,0)))))</f>
        <v>4792.495</v>
      </c>
      <c r="Z22" s="6">
        <f>IF(ISNA(MATCH(Z$2,Inputs!$K$4:$AJ$4,0)),NA(),IF(SUMPRODUCT((Inputs!$A$5:$A$140=$B22)*ISNUMBER(INDEX(Inputs!$K$5:$AJ$140,0,MATCH(Z$2,Inputs!$K$4:$AJ$4,0))))+SUMPRODUCT((Inputs!$C$5:$C$140=$B22)*ISNUMBER(INDEX(Inputs!$K$5:$AJ$140,0,MATCH(Z$2,Inputs!$K$4:$AJ$4,0))))+SUMPRODUCT((Inputs!$E$5:$E$140=$B22)*ISNUMBER(INDEX(Inputs!$K$5:$AJ$140,0,MATCH(Z$2,Inputs!$K$4:$AJ$4,0))))=0,NA(),SUMPRODUCT((Inputs!$A$5:$A$140=$B22)*Inputs!$B$5:$B$140*(((Inputs!$G$5:$G$140="moeda")+(Inputs!$G$5:$G$140="acoes"))*Inputs!$B$1+((Inputs!$G$5:$G$140&lt;&gt;"moeda")*(Inputs!$G$5:$G$140&lt;&gt;"acoes")))*INDEX(Inputs!$K$5:$AJ$140,0,MATCH(Z$2,Inputs!$K$4:$AJ$4,0)))+SUMPRODUCT((Inputs!$C$5:$C$140=$B22)*Inputs!$D$5:$D$140*(((Inputs!$G$5:$G$140="moeda")+(Inputs!$G$5:$G$140="acoes"))*Inputs!$B$1+((Inputs!$G$5:$G$140&lt;&gt;"moeda")*(Inputs!$G$5:$G$140&lt;&gt;"acoes")))*INDEX(Inputs!$K$5:$AJ$140,0,MATCH(Z$2,Inputs!$K$4:$AJ$4,0)))+SUMPRODUCT((Inputs!$E$5:$E$140=$B22)*Inputs!$F$5:$F$140*(((Inputs!$G$5:$G$140="moeda")+(Inputs!$G$5:$G$140="acoes"))*Inputs!$B$1+((Inputs!$G$5:$G$140&lt;&gt;"moeda")*(Inputs!$G$5:$G$140&lt;&gt;"acoes")))*INDEX(Inputs!$K$5:$AJ$140,0,MATCH(Z$2,Inputs!$K$4:$AJ$4,0)))))</f>
        <v>5488.702</v>
      </c>
      <c r="AA22" s="6">
        <f>IF(ISNA(MATCH(AA$2,Inputs!$K$4:$AJ$4,0)),NA(),IF(SUMPRODUCT((Inputs!$A$5:$A$140=$B22)*ISNUMBER(INDEX(Inputs!$K$5:$AJ$140,0,MATCH(AA$2,Inputs!$K$4:$AJ$4,0))))+SUMPRODUCT((Inputs!$C$5:$C$140=$B22)*ISNUMBER(INDEX(Inputs!$K$5:$AJ$140,0,MATCH(AA$2,Inputs!$K$4:$AJ$4,0))))+SUMPRODUCT((Inputs!$E$5:$E$140=$B22)*ISNUMBER(INDEX(Inputs!$K$5:$AJ$140,0,MATCH(AA$2,Inputs!$K$4:$AJ$4,0))))=0,NA(),SUMPRODUCT((Inputs!$A$5:$A$140=$B22)*Inputs!$B$5:$B$140*(((Inputs!$G$5:$G$140="moeda")+(Inputs!$G$5:$G$140="acoes"))*Inputs!$B$1+((Inputs!$G$5:$G$140&lt;&gt;"moeda")*(Inputs!$G$5:$G$140&lt;&gt;"acoes")))*INDEX(Inputs!$K$5:$AJ$140,0,MATCH(AA$2,Inputs!$K$4:$AJ$4,0)))+SUMPRODUCT((Inputs!$C$5:$C$140=$B22)*Inputs!$D$5:$D$140*(((Inputs!$G$5:$G$140="moeda")+(Inputs!$G$5:$G$140="acoes"))*Inputs!$B$1+((Inputs!$G$5:$G$140&lt;&gt;"moeda")*(Inputs!$G$5:$G$140&lt;&gt;"acoes")))*INDEX(Inputs!$K$5:$AJ$140,0,MATCH(AA$2,Inputs!$K$4:$AJ$4,0)))+SUMPRODUCT((Inputs!$E$5:$E$140=$B22)*Inputs!$F$5:$F$140*(((Inputs!$G$5:$G$140="moeda")+(Inputs!$G$5:$G$140="acoes"))*Inputs!$B$1+((Inputs!$G$5:$G$140&lt;&gt;"moeda")*(Inputs!$G$5:$G$140&lt;&gt;"acoes")))*INDEX(Inputs!$K$5:$AJ$140,0,MATCH(AA$2,Inputs!$K$4:$AJ$4,0)))))</f>
        <v>5747.597</v>
      </c>
      <c r="AB22" s="3">
        <f>AA22</f>
        <v>5747.597</v>
      </c>
      <c r="AC22" s="6">
        <f>IF(ISNA(MATCH(AC$2,Inputs!$K$4:$AJ$4,0)),NA(),IF(SUMPRODUCT((Inputs!$A$5:$A$140=$B22)*ISNUMBER(INDEX(Inputs!$K$5:$AJ$140,0,MATCH(AC$2,Inputs!$K$4:$AJ$4,0))))+SUMPRODUCT((Inputs!$C$5:$C$140=$B22)*ISNUMBER(INDEX(Inputs!$K$5:$AJ$140,0,MATCH(AC$2,Inputs!$K$4:$AJ$4,0))))+SUMPRODUCT((Inputs!$E$5:$E$140=$B22)*ISNUMBER(INDEX(Inputs!$K$5:$AJ$140,0,MATCH(AC$2,Inputs!$K$4:$AJ$4,0))))=0,NA(),SUMPRODUCT((Inputs!$A$5:$A$140=$B22)*Inputs!$B$5:$B$140*(((Inputs!$G$5:$G$140="moeda")+(Inputs!$G$5:$G$140="acoes"))*Inputs!$B$1+((Inputs!$G$5:$G$140&lt;&gt;"moeda")*(Inputs!$G$5:$G$140&lt;&gt;"acoes")))*INDEX(Inputs!$K$5:$AJ$140,0,MATCH(AC$2,Inputs!$K$4:$AJ$4,0)))+SUMPRODUCT((Inputs!$C$5:$C$140=$B22)*Inputs!$D$5:$D$140*(((Inputs!$G$5:$G$140="moeda")+(Inputs!$G$5:$G$140="acoes"))*Inputs!$B$1+((Inputs!$G$5:$G$140&lt;&gt;"moeda")*(Inputs!$G$5:$G$140&lt;&gt;"acoes")))*INDEX(Inputs!$K$5:$AJ$140,0,MATCH(AC$2,Inputs!$K$4:$AJ$4,0)))+SUMPRODUCT((Inputs!$E$5:$E$140=$B22)*Inputs!$F$5:$F$140*(((Inputs!$G$5:$G$140="moeda")+(Inputs!$G$5:$G$140="acoes"))*Inputs!$B$1+((Inputs!$G$5:$G$140&lt;&gt;"moeda")*(Inputs!$G$5:$G$140&lt;&gt;"acoes")))*INDEX(Inputs!$K$5:$AJ$140,0,MATCH(AC$2,Inputs!$K$4:$AJ$4,0)))))</f>
        <v>5777.757</v>
      </c>
      <c r="AD22" s="6">
        <f>IF(ISNA(MATCH(AD$2,Inputs!$K$4:$AJ$4,0)),NA(),IF(SUMPRODUCT((Inputs!$A$5:$A$140=$B22)*ISNUMBER(INDEX(Inputs!$K$5:$AJ$140,0,MATCH(AD$2,Inputs!$K$4:$AJ$4,0))))+SUMPRODUCT((Inputs!$C$5:$C$140=$B22)*ISNUMBER(INDEX(Inputs!$K$5:$AJ$140,0,MATCH(AD$2,Inputs!$K$4:$AJ$4,0))))+SUMPRODUCT((Inputs!$E$5:$E$140=$B22)*ISNUMBER(INDEX(Inputs!$K$5:$AJ$140,0,MATCH(AD$2,Inputs!$K$4:$AJ$4,0))))=0,NA(),SUMPRODUCT((Inputs!$A$5:$A$140=$B22)*Inputs!$B$5:$B$140*(((Inputs!$G$5:$G$140="moeda")+(Inputs!$G$5:$G$140="acoes"))*Inputs!$B$1+((Inputs!$G$5:$G$140&lt;&gt;"moeda")*(Inputs!$G$5:$G$140&lt;&gt;"acoes")))*INDEX(Inputs!$K$5:$AJ$140,0,MATCH(AD$2,Inputs!$K$4:$AJ$4,0)))+SUMPRODUCT((Inputs!$C$5:$C$140=$B22)*Inputs!$D$5:$D$140*(((Inputs!$G$5:$G$140="moeda")+(Inputs!$G$5:$G$140="acoes"))*Inputs!$B$1+((Inputs!$G$5:$G$140&lt;&gt;"moeda")*(Inputs!$G$5:$G$140&lt;&gt;"acoes")))*INDEX(Inputs!$K$5:$AJ$140,0,MATCH(AD$2,Inputs!$K$4:$AJ$4,0)))+SUMPRODUCT((Inputs!$E$5:$E$140=$B22)*Inputs!$F$5:$F$140*(((Inputs!$G$5:$G$140="moeda")+(Inputs!$G$5:$G$140="acoes"))*Inputs!$B$1+((Inputs!$G$5:$G$140&lt;&gt;"moeda")*(Inputs!$G$5:$G$140&lt;&gt;"acoes")))*INDEX(Inputs!$K$5:$AJ$140,0,MATCH(AD$2,Inputs!$K$4:$AJ$4,0)))))</f>
        <v>5706.318</v>
      </c>
      <c r="AE22" s="6" t="e">
        <f>IF(ISNA(MATCH(AE$2,Inputs!$K$4:$AJ$4,0)),NA(),IF(SUMPRODUCT((Inputs!$A$5:$A$140=$B22)*ISNUMBER(INDEX(Inputs!$K$5:$AJ$140,0,MATCH(AE$2,Inputs!$K$4:$AJ$4,0))))+SUMPRODUCT((Inputs!$C$5:$C$140=$B22)*ISNUMBER(INDEX(Inputs!$K$5:$AJ$140,0,MATCH(AE$2,Inputs!$K$4:$AJ$4,0))))+SUMPRODUCT((Inputs!$E$5:$E$140=$B22)*ISNUMBER(INDEX(Inputs!$K$5:$AJ$140,0,MATCH(AE$2,Inputs!$K$4:$AJ$4,0))))=0,NA(),SUMPRODUCT((Inputs!$A$5:$A$140=$B22)*Inputs!$B$5:$B$140*(((Inputs!$G$5:$G$140="moeda")+(Inputs!$G$5:$G$140="acoes"))*Inputs!$B$1+((Inputs!$G$5:$G$140&lt;&gt;"moeda")*(Inputs!$G$5:$G$140&lt;&gt;"acoes")))*INDEX(Inputs!$K$5:$AJ$140,0,MATCH(AE$2,Inputs!$K$4:$AJ$4,0)))+SUMPRODUCT((Inputs!$C$5:$C$140=$B22)*Inputs!$D$5:$D$140*(((Inputs!$G$5:$G$140="moeda")+(Inputs!$G$5:$G$140="acoes"))*Inputs!$B$1+((Inputs!$G$5:$G$140&lt;&gt;"moeda")*(Inputs!$G$5:$G$140&lt;&gt;"acoes")))*INDEX(Inputs!$K$5:$AJ$140,0,MATCH(AE$2,Inputs!$K$4:$AJ$4,0)))+SUMPRODUCT((Inputs!$E$5:$E$140=$B22)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2" s="6" t="e">
        <f>IF(ISNA(MATCH(AF$2,Inputs!$K$4:$AJ$4,0)),NA(),IF(SUMPRODUCT((Inputs!$A$5:$A$140=$B22)*ISNUMBER(INDEX(Inputs!$K$5:$AJ$140,0,MATCH(AF$2,Inputs!$K$4:$AJ$4,0))))+SUMPRODUCT((Inputs!$C$5:$C$140=$B22)*ISNUMBER(INDEX(Inputs!$K$5:$AJ$140,0,MATCH(AF$2,Inputs!$K$4:$AJ$4,0))))+SUMPRODUCT((Inputs!$E$5:$E$140=$B22)*ISNUMBER(INDEX(Inputs!$K$5:$AJ$140,0,MATCH(AF$2,Inputs!$K$4:$AJ$4,0))))=0,NA(),SUMPRODUCT((Inputs!$A$5:$A$140=$B22)*Inputs!$B$5:$B$140*(((Inputs!$G$5:$G$140="moeda")+(Inputs!$G$5:$G$140="acoes"))*Inputs!$B$1+((Inputs!$G$5:$G$140&lt;&gt;"moeda")*(Inputs!$G$5:$G$140&lt;&gt;"acoes")))*INDEX(Inputs!$K$5:$AJ$140,0,MATCH(AF$2,Inputs!$K$4:$AJ$4,0)))+SUMPRODUCT((Inputs!$C$5:$C$140=$B22)*Inputs!$D$5:$D$140*(((Inputs!$G$5:$G$140="moeda")+(Inputs!$G$5:$G$140="acoes"))*Inputs!$B$1+((Inputs!$G$5:$G$140&lt;&gt;"moeda")*(Inputs!$G$5:$G$140&lt;&gt;"acoes")))*INDEX(Inputs!$K$5:$AJ$140,0,MATCH(AF$2,Inputs!$K$4:$AJ$4,0)))+SUMPRODUCT((Inputs!$E$5:$E$140=$B22)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2" s="3" t="e">
        <f>AF22</f>
        <v>#N/A</v>
      </c>
      <c r="AH22" s="6" t="e">
        <f>IF(ISNA(MATCH(AH$2,Inputs!$K$4:$AJ$4,0)),NA(),IF(SUMPRODUCT((Inputs!$A$5:$A$140=$B22)*ISNUMBER(INDEX(Inputs!$K$5:$AJ$140,0,MATCH(AH$2,Inputs!$K$4:$AJ$4,0))))+SUMPRODUCT((Inputs!$C$5:$C$140=$B22)*ISNUMBER(INDEX(Inputs!$K$5:$AJ$140,0,MATCH(AH$2,Inputs!$K$4:$AJ$4,0))))+SUMPRODUCT((Inputs!$E$5:$E$140=$B22)*ISNUMBER(INDEX(Inputs!$K$5:$AJ$140,0,MATCH(AH$2,Inputs!$K$4:$AJ$4,0))))=0,NA(),SUMPRODUCT((Inputs!$A$5:$A$140=$B22)*Inputs!$B$5:$B$140*(((Inputs!$G$5:$G$140="moeda")+(Inputs!$G$5:$G$140="acoes"))*Inputs!$B$1+((Inputs!$G$5:$G$140&lt;&gt;"moeda")*(Inputs!$G$5:$G$140&lt;&gt;"acoes")))*INDEX(Inputs!$K$5:$AJ$140,0,MATCH(AH$2,Inputs!$K$4:$AJ$4,0)))+SUMPRODUCT((Inputs!$C$5:$C$140=$B22)*Inputs!$D$5:$D$140*(((Inputs!$G$5:$G$140="moeda")+(Inputs!$G$5:$G$140="acoes"))*Inputs!$B$1+((Inputs!$G$5:$G$140&lt;&gt;"moeda")*(Inputs!$G$5:$G$140&lt;&gt;"acoes")))*INDEX(Inputs!$K$5:$AJ$140,0,MATCH(AH$2,Inputs!$K$4:$AJ$4,0)))+SUMPRODUCT((Inputs!$E$5:$E$140=$B22)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2" s="6">
        <f>IF(ISNA(MATCH(AI$2,Inputs!$K$4:$AJ$4,0)),NA(),IF(SUMPRODUCT((Inputs!$A$5:$A$140=$B22)*ISNUMBER(INDEX(Inputs!$K$5:$AJ$140,0,MATCH(AI$2,Inputs!$K$4:$AJ$4,0))))+SUMPRODUCT((Inputs!$C$5:$C$140=$B22)*ISNUMBER(INDEX(Inputs!$K$5:$AJ$140,0,MATCH(AI$2,Inputs!$K$4:$AJ$4,0))))+SUMPRODUCT((Inputs!$E$5:$E$140=$B22)*ISNUMBER(INDEX(Inputs!$K$5:$AJ$140,0,MATCH(AI$2,Inputs!$K$4:$AJ$4,0))))=0,NA(),SUMPRODUCT((Inputs!$A$5:$A$140=$B22)*Inputs!$B$5:$B$140*(((Inputs!$G$5:$G$140="moeda")+(Inputs!$G$5:$G$140="acoes"))*Inputs!$B$1+((Inputs!$G$5:$G$140&lt;&gt;"moeda")*(Inputs!$G$5:$G$140&lt;&gt;"acoes")))*INDEX(Inputs!$K$5:$AJ$140,0,MATCH(AI$2,Inputs!$K$4:$AJ$4,0)))+SUMPRODUCT((Inputs!$C$5:$C$140=$B22)*Inputs!$D$5:$D$140*(((Inputs!$G$5:$G$140="moeda")+(Inputs!$G$5:$G$140="acoes"))*Inputs!$B$1+((Inputs!$G$5:$G$140&lt;&gt;"moeda")*(Inputs!$G$5:$G$140&lt;&gt;"acoes")))*INDEX(Inputs!$K$5:$AJ$140,0,MATCH(AI$2,Inputs!$K$4:$AJ$4,0)))+SUMPRODUCT((Inputs!$E$5:$E$140=$B22)*Inputs!$F$5:$F$140*(((Inputs!$G$5:$G$140="moeda")+(Inputs!$G$5:$G$140="acoes"))*Inputs!$B$1+((Inputs!$G$5:$G$140&lt;&gt;"moeda")*(Inputs!$G$5:$G$140&lt;&gt;"acoes")))*INDEX(Inputs!$K$5:$AJ$140,0,MATCH(AI$2,Inputs!$K$4:$AJ$4,0)))))</f>
        <v>965.038</v>
      </c>
      <c r="AJ22" s="6">
        <f>IF(ISNA(MATCH(AJ$2,Inputs!$K$4:$AJ$4,0)),NA(),IF(SUMPRODUCT((Inputs!$A$5:$A$140=$B22)*ISNUMBER(INDEX(Inputs!$K$5:$AJ$140,0,MATCH(AJ$2,Inputs!$K$4:$AJ$4,0))))+SUMPRODUCT((Inputs!$C$5:$C$140=$B22)*ISNUMBER(INDEX(Inputs!$K$5:$AJ$140,0,MATCH(AJ$2,Inputs!$K$4:$AJ$4,0))))+SUMPRODUCT((Inputs!$E$5:$E$140=$B22)*ISNUMBER(INDEX(Inputs!$K$5:$AJ$140,0,MATCH(AJ$2,Inputs!$K$4:$AJ$4,0))))=0,NA(),SUMPRODUCT((Inputs!$A$5:$A$140=$B22)*Inputs!$B$5:$B$140*(((Inputs!$G$5:$G$140="moeda")+(Inputs!$G$5:$G$140="acoes"))*Inputs!$B$1+((Inputs!$G$5:$G$140&lt;&gt;"moeda")*(Inputs!$G$5:$G$140&lt;&gt;"acoes")))*INDEX(Inputs!$K$5:$AJ$140,0,MATCH(AJ$2,Inputs!$K$4:$AJ$4,0)))+SUMPRODUCT((Inputs!$C$5:$C$140=$B22)*Inputs!$D$5:$D$140*(((Inputs!$G$5:$G$140="moeda")+(Inputs!$G$5:$G$140="acoes"))*Inputs!$B$1+((Inputs!$G$5:$G$140&lt;&gt;"moeda")*(Inputs!$G$5:$G$140&lt;&gt;"acoes")))*INDEX(Inputs!$K$5:$AJ$140,0,MATCH(AJ$2,Inputs!$K$4:$AJ$4,0)))+SUMPRODUCT((Inputs!$E$5:$E$140=$B22)*Inputs!$F$5:$F$140*(((Inputs!$G$5:$G$140="moeda")+(Inputs!$G$5:$G$140="acoes"))*Inputs!$B$1+((Inputs!$G$5:$G$140&lt;&gt;"moeda")*(Inputs!$G$5:$G$140&lt;&gt;"acoes")))*INDEX(Inputs!$K$5:$AJ$140,0,MATCH(AJ$2,Inputs!$K$4:$AJ$4,0)))))</f>
        <v>1115.37781244</v>
      </c>
      <c r="AK22" s="6">
        <f>IF(ISNA(MATCH(AK$2,Inputs!$K$4:$AJ$4,0)),NA(),IF(SUMPRODUCT((Inputs!$A$5:$A$140=$B22)*ISNUMBER(INDEX(Inputs!$K$5:$AJ$140,0,MATCH(AK$2,Inputs!$K$4:$AJ$4,0))))+SUMPRODUCT((Inputs!$C$5:$C$140=$B22)*ISNUMBER(INDEX(Inputs!$K$5:$AJ$140,0,MATCH(AK$2,Inputs!$K$4:$AJ$4,0))))+SUMPRODUCT((Inputs!$E$5:$E$140=$B22)*ISNUMBER(INDEX(Inputs!$K$5:$AJ$140,0,MATCH(AK$2,Inputs!$K$4:$AJ$4,0))))=0,NA(),SUMPRODUCT((Inputs!$A$5:$A$140=$B22)*Inputs!$B$5:$B$140*(((Inputs!$G$5:$G$140="moeda")+(Inputs!$G$5:$G$140="acoes"))*Inputs!$B$1+((Inputs!$G$5:$G$140&lt;&gt;"moeda")*(Inputs!$G$5:$G$140&lt;&gt;"acoes")))*INDEX(Inputs!$K$5:$AJ$140,0,MATCH(AK$2,Inputs!$K$4:$AJ$4,0)))+SUMPRODUCT((Inputs!$C$5:$C$140=$B22)*Inputs!$D$5:$D$140*(((Inputs!$G$5:$G$140="moeda")+(Inputs!$G$5:$G$140="acoes"))*Inputs!$B$1+((Inputs!$G$5:$G$140&lt;&gt;"moeda")*(Inputs!$G$5:$G$140&lt;&gt;"acoes")))*INDEX(Inputs!$K$5:$AJ$140,0,MATCH(AK$2,Inputs!$K$4:$AJ$4,0)))+SUMPRODUCT((Inputs!$E$5:$E$140=$B22)*Inputs!$F$5:$F$140*(((Inputs!$G$5:$G$140="moeda")+(Inputs!$G$5:$G$140="acoes"))*Inputs!$B$1+((Inputs!$G$5:$G$140&lt;&gt;"moeda")*(Inputs!$G$5:$G$140&lt;&gt;"acoes")))*INDEX(Inputs!$K$5:$AJ$140,0,MATCH(AK$2,Inputs!$K$4:$AJ$4,0)))))</f>
        <v>1341.44687548</v>
      </c>
      <c r="AL22" s="3">
        <f>AK22</f>
        <v>1341.44687548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$140=$B23)*ISNUMBER(INDEX(Inputs!$K$5:$AJ$140,0,MATCH(D$2,Inputs!$K$4:$AJ$4,0))))+SUMPRODUCT((Inputs!$C$5:$C$140=$B23)*ISNUMBER(INDEX(Inputs!$K$5:$AJ$140,0,MATCH(D$2,Inputs!$K$4:$AJ$4,0))))+SUMPRODUCT((Inputs!$E$5:$E$140=$B23)*ISNUMBER(INDEX(Inputs!$K$5:$AJ$140,0,MATCH(D$2,Inputs!$K$4:$AJ$4,0))))=0,NA(),SUMPRODUCT((Inputs!$A$5:$A$140=$B23)*Inputs!$B$5:$B$140*(((Inputs!$G$5:$G$140="moeda")+(Inputs!$G$5:$G$140="acoes"))*Inputs!$B$1+((Inputs!$G$5:$G$140&lt;&gt;"moeda")*(Inputs!$G$5:$G$140&lt;&gt;"acoes")))*INDEX(Inputs!$K$5:$AJ$140,0,MATCH(D$2,Inputs!$K$4:$AJ$4,0)))+SUMPRODUCT((Inputs!$C$5:$C$140=$B23)*Inputs!$D$5:$D$140*(((Inputs!$G$5:$G$140="moeda")+(Inputs!$G$5:$G$140="acoes"))*Inputs!$B$1+((Inputs!$G$5:$G$140&lt;&gt;"moeda")*(Inputs!$G$5:$G$140&lt;&gt;"acoes")))*INDEX(Inputs!$K$5:$AJ$140,0,MATCH(D$2,Inputs!$K$4:$AJ$4,0)))+SUMPRODUCT((Inputs!$E$5:$E$140=$B23)*Inputs!$F$5:$F$140*(((Inputs!$G$5:$G$140="moeda")+(Inputs!$G$5:$G$140="acoes"))*Inputs!$B$1+((Inputs!$G$5:$G$140&lt;&gt;"moeda")*(Inputs!$G$5:$G$140&lt;&gt;"acoes")))*INDEX(Inputs!$K$5:$AJ$140,0,MATCH(D$2,Inputs!$K$4:$AJ$4,0)))))</f>
        <v>662.07967344</v>
      </c>
      <c r="E23" s="6">
        <f>IF(ISNA(MATCH(E$2,Inputs!$K$4:$AJ$4,0)),NA(),IF(SUMPRODUCT((Inputs!$A$5:$A$140=$B23)*ISNUMBER(INDEX(Inputs!$K$5:$AJ$140,0,MATCH(E$2,Inputs!$K$4:$AJ$4,0))))+SUMPRODUCT((Inputs!$C$5:$C$140=$B23)*ISNUMBER(INDEX(Inputs!$K$5:$AJ$140,0,MATCH(E$2,Inputs!$K$4:$AJ$4,0))))+SUMPRODUCT((Inputs!$E$5:$E$140=$B23)*ISNUMBER(INDEX(Inputs!$K$5:$AJ$140,0,MATCH(E$2,Inputs!$K$4:$AJ$4,0))))=0,NA(),SUMPRODUCT((Inputs!$A$5:$A$140=$B23)*Inputs!$B$5:$B$140*(((Inputs!$G$5:$G$140="moeda")+(Inputs!$G$5:$G$140="acoes"))*Inputs!$B$1+((Inputs!$G$5:$G$140&lt;&gt;"moeda")*(Inputs!$G$5:$G$140&lt;&gt;"acoes")))*INDEX(Inputs!$K$5:$AJ$140,0,MATCH(E$2,Inputs!$K$4:$AJ$4,0)))+SUMPRODUCT((Inputs!$C$5:$C$140=$B23)*Inputs!$D$5:$D$140*(((Inputs!$G$5:$G$140="moeda")+(Inputs!$G$5:$G$140="acoes"))*Inputs!$B$1+((Inputs!$G$5:$G$140&lt;&gt;"moeda")*(Inputs!$G$5:$G$140&lt;&gt;"acoes")))*INDEX(Inputs!$K$5:$AJ$140,0,MATCH(E$2,Inputs!$K$4:$AJ$4,0)))+SUMPRODUCT((Inputs!$E$5:$E$140=$B23)*Inputs!$F$5:$F$140*(((Inputs!$G$5:$G$140="moeda")+(Inputs!$G$5:$G$140="acoes"))*Inputs!$B$1+((Inputs!$G$5:$G$140&lt;&gt;"moeda")*(Inputs!$G$5:$G$140&lt;&gt;"acoes")))*INDEX(Inputs!$K$5:$AJ$140,0,MATCH(E$2,Inputs!$K$4:$AJ$4,0)))))</f>
        <v>703.26599247</v>
      </c>
      <c r="F23" s="6">
        <f>IF(ISNA(MATCH(F$2,Inputs!$K$4:$AJ$4,0)),NA(),IF(SUMPRODUCT((Inputs!$A$5:$A$140=$B23)*ISNUMBER(INDEX(Inputs!$K$5:$AJ$140,0,MATCH(F$2,Inputs!$K$4:$AJ$4,0))))+SUMPRODUCT((Inputs!$C$5:$C$140=$B23)*ISNUMBER(INDEX(Inputs!$K$5:$AJ$140,0,MATCH(F$2,Inputs!$K$4:$AJ$4,0))))+SUMPRODUCT((Inputs!$E$5:$E$140=$B23)*ISNUMBER(INDEX(Inputs!$K$5:$AJ$140,0,MATCH(F$2,Inputs!$K$4:$AJ$4,0))))=0,NA(),SUMPRODUCT((Inputs!$A$5:$A$140=$B23)*Inputs!$B$5:$B$140*(((Inputs!$G$5:$G$140="moeda")+(Inputs!$G$5:$G$140="acoes"))*Inputs!$B$1+((Inputs!$G$5:$G$140&lt;&gt;"moeda")*(Inputs!$G$5:$G$140&lt;&gt;"acoes")))*INDEX(Inputs!$K$5:$AJ$140,0,MATCH(F$2,Inputs!$K$4:$AJ$4,0)))+SUMPRODUCT((Inputs!$C$5:$C$140=$B23)*Inputs!$D$5:$D$140*(((Inputs!$G$5:$G$140="moeda")+(Inputs!$G$5:$G$140="acoes"))*Inputs!$B$1+((Inputs!$G$5:$G$140&lt;&gt;"moeda")*(Inputs!$G$5:$G$140&lt;&gt;"acoes")))*INDEX(Inputs!$K$5:$AJ$140,0,MATCH(F$2,Inputs!$K$4:$AJ$4,0)))+SUMPRODUCT((Inputs!$E$5:$E$140=$B23)*Inputs!$F$5:$F$140*(((Inputs!$G$5:$G$140="moeda")+(Inputs!$G$5:$G$140="acoes"))*Inputs!$B$1+((Inputs!$G$5:$G$140&lt;&gt;"moeda")*(Inputs!$G$5:$G$140&lt;&gt;"acoes")))*INDEX(Inputs!$K$5:$AJ$140,0,MATCH(F$2,Inputs!$K$4:$AJ$4,0)))))</f>
        <v>830.842</v>
      </c>
      <c r="G23" s="6">
        <f>IF(ISNA(MATCH(G$2,Inputs!$K$4:$AJ$4,0)),NA(),IF(SUMPRODUCT((Inputs!$A$5:$A$140=$B23)*ISNUMBER(INDEX(Inputs!$K$5:$AJ$140,0,MATCH(G$2,Inputs!$K$4:$AJ$4,0))))+SUMPRODUCT((Inputs!$C$5:$C$140=$B23)*ISNUMBER(INDEX(Inputs!$K$5:$AJ$140,0,MATCH(G$2,Inputs!$K$4:$AJ$4,0))))+SUMPRODUCT((Inputs!$E$5:$E$140=$B23)*ISNUMBER(INDEX(Inputs!$K$5:$AJ$140,0,MATCH(G$2,Inputs!$K$4:$AJ$4,0))))=0,NA(),SUMPRODUCT((Inputs!$A$5:$A$140=$B23)*Inputs!$B$5:$B$140*(((Inputs!$G$5:$G$140="moeda")+(Inputs!$G$5:$G$140="acoes"))*Inputs!$B$1+((Inputs!$G$5:$G$140&lt;&gt;"moeda")*(Inputs!$G$5:$G$140&lt;&gt;"acoes")))*INDEX(Inputs!$K$5:$AJ$140,0,MATCH(G$2,Inputs!$K$4:$AJ$4,0)))+SUMPRODUCT((Inputs!$C$5:$C$140=$B23)*Inputs!$D$5:$D$140*(((Inputs!$G$5:$G$140="moeda")+(Inputs!$G$5:$G$140="acoes"))*Inputs!$B$1+((Inputs!$G$5:$G$140&lt;&gt;"moeda")*(Inputs!$G$5:$G$140&lt;&gt;"acoes")))*INDEX(Inputs!$K$5:$AJ$140,0,MATCH(G$2,Inputs!$K$4:$AJ$4,0)))+SUMPRODUCT((Inputs!$E$5:$E$140=$B23)*Inputs!$F$5:$F$140*(((Inputs!$G$5:$G$140="moeda")+(Inputs!$G$5:$G$140="acoes"))*Inputs!$B$1+((Inputs!$G$5:$G$140&lt;&gt;"moeda")*(Inputs!$G$5:$G$140&lt;&gt;"acoes")))*INDEX(Inputs!$K$5:$AJ$140,0,MATCH(G$2,Inputs!$K$4:$AJ$4,0)))))</f>
        <v>907.504</v>
      </c>
      <c r="H23" s="3">
        <f>G23</f>
        <v>907.504</v>
      </c>
      <c r="I23" s="6">
        <f>IF(ISNA(MATCH(I$2,Inputs!$K$4:$AJ$4,0)),NA(),IF(SUMPRODUCT((Inputs!$A$5:$A$140=$B23)*ISNUMBER(INDEX(Inputs!$K$5:$AJ$140,0,MATCH(I$2,Inputs!$K$4:$AJ$4,0))))+SUMPRODUCT((Inputs!$C$5:$C$140=$B23)*ISNUMBER(INDEX(Inputs!$K$5:$AJ$140,0,MATCH(I$2,Inputs!$K$4:$AJ$4,0))))+SUMPRODUCT((Inputs!$E$5:$E$140=$B23)*ISNUMBER(INDEX(Inputs!$K$5:$AJ$140,0,MATCH(I$2,Inputs!$K$4:$AJ$4,0))))=0,NA(),SUMPRODUCT((Inputs!$A$5:$A$140=$B23)*Inputs!$B$5:$B$140*(((Inputs!$G$5:$G$140="moeda")+(Inputs!$G$5:$G$140="acoes"))*Inputs!$B$1+((Inputs!$G$5:$G$140&lt;&gt;"moeda")*(Inputs!$G$5:$G$140&lt;&gt;"acoes")))*INDEX(Inputs!$K$5:$AJ$140,0,MATCH(I$2,Inputs!$K$4:$AJ$4,0)))+SUMPRODUCT((Inputs!$C$5:$C$140=$B23)*Inputs!$D$5:$D$140*(((Inputs!$G$5:$G$140="moeda")+(Inputs!$G$5:$G$140="acoes"))*Inputs!$B$1+((Inputs!$G$5:$G$140&lt;&gt;"moeda")*(Inputs!$G$5:$G$140&lt;&gt;"acoes")))*INDEX(Inputs!$K$5:$AJ$140,0,MATCH(I$2,Inputs!$K$4:$AJ$4,0)))+SUMPRODUCT((Inputs!$E$5:$E$140=$B23)*Inputs!$F$5:$F$140*(((Inputs!$G$5:$G$140="moeda")+(Inputs!$G$5:$G$140="acoes"))*Inputs!$B$1+((Inputs!$G$5:$G$140&lt;&gt;"moeda")*(Inputs!$G$5:$G$140&lt;&gt;"acoes")))*INDEX(Inputs!$K$5:$AJ$140,0,MATCH(I$2,Inputs!$K$4:$AJ$4,0)))))</f>
        <v>998.229</v>
      </c>
      <c r="J23" s="6">
        <f>IF(ISNA(MATCH(J$2,Inputs!$K$4:$AJ$4,0)),NA(),IF(SUMPRODUCT((Inputs!$A$5:$A$140=$B23)*ISNUMBER(INDEX(Inputs!$K$5:$AJ$140,0,MATCH(J$2,Inputs!$K$4:$AJ$4,0))))+SUMPRODUCT((Inputs!$C$5:$C$140=$B23)*ISNUMBER(INDEX(Inputs!$K$5:$AJ$140,0,MATCH(J$2,Inputs!$K$4:$AJ$4,0))))+SUMPRODUCT((Inputs!$E$5:$E$140=$B23)*ISNUMBER(INDEX(Inputs!$K$5:$AJ$140,0,MATCH(J$2,Inputs!$K$4:$AJ$4,0))))=0,NA(),SUMPRODUCT((Inputs!$A$5:$A$140=$B23)*Inputs!$B$5:$B$140*(((Inputs!$G$5:$G$140="moeda")+(Inputs!$G$5:$G$140="acoes"))*Inputs!$B$1+((Inputs!$G$5:$G$140&lt;&gt;"moeda")*(Inputs!$G$5:$G$140&lt;&gt;"acoes")))*INDEX(Inputs!$K$5:$AJ$140,0,MATCH(J$2,Inputs!$K$4:$AJ$4,0)))+SUMPRODUCT((Inputs!$C$5:$C$140=$B23)*Inputs!$D$5:$D$140*(((Inputs!$G$5:$G$140="moeda")+(Inputs!$G$5:$G$140="acoes"))*Inputs!$B$1+((Inputs!$G$5:$G$140&lt;&gt;"moeda")*(Inputs!$G$5:$G$140&lt;&gt;"acoes")))*INDEX(Inputs!$K$5:$AJ$140,0,MATCH(J$2,Inputs!$K$4:$AJ$4,0)))+SUMPRODUCT((Inputs!$E$5:$E$140=$B23)*Inputs!$F$5:$F$140*(((Inputs!$G$5:$G$140="moeda")+(Inputs!$G$5:$G$140="acoes"))*Inputs!$B$1+((Inputs!$G$5:$G$140&lt;&gt;"moeda")*(Inputs!$G$5:$G$140&lt;&gt;"acoes")))*INDEX(Inputs!$K$5:$AJ$140,0,MATCH(J$2,Inputs!$K$4:$AJ$4,0)))))</f>
        <v>1194.76</v>
      </c>
      <c r="K23" s="6">
        <f>IF(ISNA(MATCH(K$2,Inputs!$K$4:$AJ$4,0)),NA(),IF(SUMPRODUCT((Inputs!$A$5:$A$140=$B23)*ISNUMBER(INDEX(Inputs!$K$5:$AJ$140,0,MATCH(K$2,Inputs!$K$4:$AJ$4,0))))+SUMPRODUCT((Inputs!$C$5:$C$140=$B23)*ISNUMBER(INDEX(Inputs!$K$5:$AJ$140,0,MATCH(K$2,Inputs!$K$4:$AJ$4,0))))+SUMPRODUCT((Inputs!$E$5:$E$140=$B23)*ISNUMBER(INDEX(Inputs!$K$5:$AJ$140,0,MATCH(K$2,Inputs!$K$4:$AJ$4,0))))=0,NA(),SUMPRODUCT((Inputs!$A$5:$A$140=$B23)*Inputs!$B$5:$B$140*(((Inputs!$G$5:$G$140="moeda")+(Inputs!$G$5:$G$140="acoes"))*Inputs!$B$1+((Inputs!$G$5:$G$140&lt;&gt;"moeda")*(Inputs!$G$5:$G$140&lt;&gt;"acoes")))*INDEX(Inputs!$K$5:$AJ$140,0,MATCH(K$2,Inputs!$K$4:$AJ$4,0)))+SUMPRODUCT((Inputs!$C$5:$C$140=$B23)*Inputs!$D$5:$D$140*(((Inputs!$G$5:$G$140="moeda")+(Inputs!$G$5:$G$140="acoes"))*Inputs!$B$1+((Inputs!$G$5:$G$140&lt;&gt;"moeda")*(Inputs!$G$5:$G$140&lt;&gt;"acoes")))*INDEX(Inputs!$K$5:$AJ$140,0,MATCH(K$2,Inputs!$K$4:$AJ$4,0)))+SUMPRODUCT((Inputs!$E$5:$E$140=$B23)*Inputs!$F$5:$F$140*(((Inputs!$G$5:$G$140="moeda")+(Inputs!$G$5:$G$140="acoes"))*Inputs!$B$1+((Inputs!$G$5:$G$140&lt;&gt;"moeda")*(Inputs!$G$5:$G$140&lt;&gt;"acoes")))*INDEX(Inputs!$K$5:$AJ$140,0,MATCH(K$2,Inputs!$K$4:$AJ$4,0)))))</f>
        <v>1257.424</v>
      </c>
      <c r="L23" s="6">
        <f>IF(ISNA(MATCH(L$2,Inputs!$K$4:$AJ$4,0)),NA(),IF(SUMPRODUCT((Inputs!$A$5:$A$140=$B23)*ISNUMBER(INDEX(Inputs!$K$5:$AJ$140,0,MATCH(L$2,Inputs!$K$4:$AJ$4,0))))+SUMPRODUCT((Inputs!$C$5:$C$140=$B23)*ISNUMBER(INDEX(Inputs!$K$5:$AJ$140,0,MATCH(L$2,Inputs!$K$4:$AJ$4,0))))+SUMPRODUCT((Inputs!$E$5:$E$140=$B23)*ISNUMBER(INDEX(Inputs!$K$5:$AJ$140,0,MATCH(L$2,Inputs!$K$4:$AJ$4,0))))=0,NA(),SUMPRODUCT((Inputs!$A$5:$A$140=$B23)*Inputs!$B$5:$B$140*(((Inputs!$G$5:$G$140="moeda")+(Inputs!$G$5:$G$140="acoes"))*Inputs!$B$1+((Inputs!$G$5:$G$140&lt;&gt;"moeda")*(Inputs!$G$5:$G$140&lt;&gt;"acoes")))*INDEX(Inputs!$K$5:$AJ$140,0,MATCH(L$2,Inputs!$K$4:$AJ$4,0)))+SUMPRODUCT((Inputs!$C$5:$C$140=$B23)*Inputs!$D$5:$D$140*(((Inputs!$G$5:$G$140="moeda")+(Inputs!$G$5:$G$140="acoes"))*Inputs!$B$1+((Inputs!$G$5:$G$140&lt;&gt;"moeda")*(Inputs!$G$5:$G$140&lt;&gt;"acoes")))*INDEX(Inputs!$K$5:$AJ$140,0,MATCH(L$2,Inputs!$K$4:$AJ$4,0)))+SUMPRODUCT((Inputs!$E$5:$E$140=$B23)*Inputs!$F$5:$F$140*(((Inputs!$G$5:$G$140="moeda")+(Inputs!$G$5:$G$140="acoes"))*Inputs!$B$1+((Inputs!$G$5:$G$140&lt;&gt;"moeda")*(Inputs!$G$5:$G$140&lt;&gt;"acoes")))*INDEX(Inputs!$K$5:$AJ$140,0,MATCH(L$2,Inputs!$K$4:$AJ$4,0)))))</f>
        <v>1260.815</v>
      </c>
      <c r="M23" s="3">
        <f>L23</f>
        <v>1260.815</v>
      </c>
      <c r="N23" s="6">
        <f>IF(ISNA(MATCH(N$2,Inputs!$K$4:$AJ$4,0)),NA(),IF(SUMPRODUCT((Inputs!$A$5:$A$140=$B23)*ISNUMBER(INDEX(Inputs!$K$5:$AJ$140,0,MATCH(N$2,Inputs!$K$4:$AJ$4,0))))+SUMPRODUCT((Inputs!$C$5:$C$140=$B23)*ISNUMBER(INDEX(Inputs!$K$5:$AJ$140,0,MATCH(N$2,Inputs!$K$4:$AJ$4,0))))+SUMPRODUCT((Inputs!$E$5:$E$140=$B23)*ISNUMBER(INDEX(Inputs!$K$5:$AJ$140,0,MATCH(N$2,Inputs!$K$4:$AJ$4,0))))=0,NA(),SUMPRODUCT((Inputs!$A$5:$A$140=$B23)*Inputs!$B$5:$B$140*(((Inputs!$G$5:$G$140="moeda")+(Inputs!$G$5:$G$140="acoes"))*Inputs!$B$1+((Inputs!$G$5:$G$140&lt;&gt;"moeda")*(Inputs!$G$5:$G$140&lt;&gt;"acoes")))*INDEX(Inputs!$K$5:$AJ$140,0,MATCH(N$2,Inputs!$K$4:$AJ$4,0)))+SUMPRODUCT((Inputs!$C$5:$C$140=$B23)*Inputs!$D$5:$D$140*(((Inputs!$G$5:$G$140="moeda")+(Inputs!$G$5:$G$140="acoes"))*Inputs!$B$1+((Inputs!$G$5:$G$140&lt;&gt;"moeda")*(Inputs!$G$5:$G$140&lt;&gt;"acoes")))*INDEX(Inputs!$K$5:$AJ$140,0,MATCH(N$2,Inputs!$K$4:$AJ$4,0)))+SUMPRODUCT((Inputs!$E$5:$E$140=$B23)*Inputs!$F$5:$F$140*(((Inputs!$G$5:$G$140="moeda")+(Inputs!$G$5:$G$140="acoes"))*Inputs!$B$1+((Inputs!$G$5:$G$140&lt;&gt;"moeda")*(Inputs!$G$5:$G$140&lt;&gt;"acoes")))*INDEX(Inputs!$K$5:$AJ$140,0,MATCH(N$2,Inputs!$K$4:$AJ$4,0)))))</f>
        <v>1330.053</v>
      </c>
      <c r="O23" s="6">
        <f>IF(ISNA(MATCH(O$2,Inputs!$K$4:$AJ$4,0)),NA(),IF(SUMPRODUCT((Inputs!$A$5:$A$140=$B23)*ISNUMBER(INDEX(Inputs!$K$5:$AJ$140,0,MATCH(O$2,Inputs!$K$4:$AJ$4,0))))+SUMPRODUCT((Inputs!$C$5:$C$140=$B23)*ISNUMBER(INDEX(Inputs!$K$5:$AJ$140,0,MATCH(O$2,Inputs!$K$4:$AJ$4,0))))+SUMPRODUCT((Inputs!$E$5:$E$140=$B23)*ISNUMBER(INDEX(Inputs!$K$5:$AJ$140,0,MATCH(O$2,Inputs!$K$4:$AJ$4,0))))=0,NA(),SUMPRODUCT((Inputs!$A$5:$A$140=$B23)*Inputs!$B$5:$B$140*(((Inputs!$G$5:$G$140="moeda")+(Inputs!$G$5:$G$140="acoes"))*Inputs!$B$1+((Inputs!$G$5:$G$140&lt;&gt;"moeda")*(Inputs!$G$5:$G$140&lt;&gt;"acoes")))*INDEX(Inputs!$K$5:$AJ$140,0,MATCH(O$2,Inputs!$K$4:$AJ$4,0)))+SUMPRODUCT((Inputs!$C$5:$C$140=$B23)*Inputs!$D$5:$D$140*(((Inputs!$G$5:$G$140="moeda")+(Inputs!$G$5:$G$140="acoes"))*Inputs!$B$1+((Inputs!$G$5:$G$140&lt;&gt;"moeda")*(Inputs!$G$5:$G$140&lt;&gt;"acoes")))*INDEX(Inputs!$K$5:$AJ$140,0,MATCH(O$2,Inputs!$K$4:$AJ$4,0)))+SUMPRODUCT((Inputs!$E$5:$E$140=$B23)*Inputs!$F$5:$F$140*(((Inputs!$G$5:$G$140="moeda")+(Inputs!$G$5:$G$140="acoes"))*Inputs!$B$1+((Inputs!$G$5:$G$140&lt;&gt;"moeda")*(Inputs!$G$5:$G$140&lt;&gt;"acoes")))*INDEX(Inputs!$K$5:$AJ$140,0,MATCH(O$2,Inputs!$K$4:$AJ$4,0)))))</f>
        <v>1564.699</v>
      </c>
      <c r="P23" s="6">
        <f>IF(ISNA(MATCH(P$2,Inputs!$K$4:$AJ$4,0)),NA(),IF(SUMPRODUCT((Inputs!$A$5:$A$140=$B23)*ISNUMBER(INDEX(Inputs!$K$5:$AJ$140,0,MATCH(P$2,Inputs!$K$4:$AJ$4,0))))+SUMPRODUCT((Inputs!$C$5:$C$140=$B23)*ISNUMBER(INDEX(Inputs!$K$5:$AJ$140,0,MATCH(P$2,Inputs!$K$4:$AJ$4,0))))+SUMPRODUCT((Inputs!$E$5:$E$140=$B23)*ISNUMBER(INDEX(Inputs!$K$5:$AJ$140,0,MATCH(P$2,Inputs!$K$4:$AJ$4,0))))=0,NA(),SUMPRODUCT((Inputs!$A$5:$A$140=$B23)*Inputs!$B$5:$B$140*(((Inputs!$G$5:$G$140="moeda")+(Inputs!$G$5:$G$140="acoes"))*Inputs!$B$1+((Inputs!$G$5:$G$140&lt;&gt;"moeda")*(Inputs!$G$5:$G$140&lt;&gt;"acoes")))*INDEX(Inputs!$K$5:$AJ$140,0,MATCH(P$2,Inputs!$K$4:$AJ$4,0)))+SUMPRODUCT((Inputs!$C$5:$C$140=$B23)*Inputs!$D$5:$D$140*(((Inputs!$G$5:$G$140="moeda")+(Inputs!$G$5:$G$140="acoes"))*Inputs!$B$1+((Inputs!$G$5:$G$140&lt;&gt;"moeda")*(Inputs!$G$5:$G$140&lt;&gt;"acoes")))*INDEX(Inputs!$K$5:$AJ$140,0,MATCH(P$2,Inputs!$K$4:$AJ$4,0)))+SUMPRODUCT((Inputs!$E$5:$E$140=$B23)*Inputs!$F$5:$F$140*(((Inputs!$G$5:$G$140="moeda")+(Inputs!$G$5:$G$140="acoes"))*Inputs!$B$1+((Inputs!$G$5:$G$140&lt;&gt;"moeda")*(Inputs!$G$5:$G$140&lt;&gt;"acoes")))*INDEX(Inputs!$K$5:$AJ$140,0,MATCH(P$2,Inputs!$K$4:$AJ$4,0)))))</f>
        <v>1774.395</v>
      </c>
      <c r="Q23" s="6">
        <f>IF(ISNA(MATCH(Q$2,Inputs!$K$4:$AJ$4,0)),NA(),IF(SUMPRODUCT((Inputs!$A$5:$A$140=$B23)*ISNUMBER(INDEX(Inputs!$K$5:$AJ$140,0,MATCH(Q$2,Inputs!$K$4:$AJ$4,0))))+SUMPRODUCT((Inputs!$C$5:$C$140=$B23)*ISNUMBER(INDEX(Inputs!$K$5:$AJ$140,0,MATCH(Q$2,Inputs!$K$4:$AJ$4,0))))+SUMPRODUCT((Inputs!$E$5:$E$140=$B23)*ISNUMBER(INDEX(Inputs!$K$5:$AJ$140,0,MATCH(Q$2,Inputs!$K$4:$AJ$4,0))))=0,NA(),SUMPRODUCT((Inputs!$A$5:$A$140=$B23)*Inputs!$B$5:$B$140*(((Inputs!$G$5:$G$140="moeda")+(Inputs!$G$5:$G$140="acoes"))*Inputs!$B$1+((Inputs!$G$5:$G$140&lt;&gt;"moeda")*(Inputs!$G$5:$G$140&lt;&gt;"acoes")))*INDEX(Inputs!$K$5:$AJ$140,0,MATCH(Q$2,Inputs!$K$4:$AJ$4,0)))+SUMPRODUCT((Inputs!$C$5:$C$140=$B23)*Inputs!$D$5:$D$140*(((Inputs!$G$5:$G$140="moeda")+(Inputs!$G$5:$G$140="acoes"))*Inputs!$B$1+((Inputs!$G$5:$G$140&lt;&gt;"moeda")*(Inputs!$G$5:$G$140&lt;&gt;"acoes")))*INDEX(Inputs!$K$5:$AJ$140,0,MATCH(Q$2,Inputs!$K$4:$AJ$4,0)))+SUMPRODUCT((Inputs!$E$5:$E$140=$B23)*Inputs!$F$5:$F$140*(((Inputs!$G$5:$G$140="moeda")+(Inputs!$G$5:$G$140="acoes"))*Inputs!$B$1+((Inputs!$G$5:$G$140&lt;&gt;"moeda")*(Inputs!$G$5:$G$140&lt;&gt;"acoes")))*INDEX(Inputs!$K$5:$AJ$140,0,MATCH(Q$2,Inputs!$K$4:$AJ$4,0)))))</f>
        <v>1850.811</v>
      </c>
      <c r="R23" s="3">
        <f>Q23</f>
        <v>1850.811</v>
      </c>
      <c r="S23" s="6">
        <f>IF(ISNA(MATCH(S$2,Inputs!$K$4:$AJ$4,0)),NA(),IF(SUMPRODUCT((Inputs!$A$5:$A$140=$B23)*ISNUMBER(INDEX(Inputs!$K$5:$AJ$140,0,MATCH(S$2,Inputs!$K$4:$AJ$4,0))))+SUMPRODUCT((Inputs!$C$5:$C$140=$B23)*ISNUMBER(INDEX(Inputs!$K$5:$AJ$140,0,MATCH(S$2,Inputs!$K$4:$AJ$4,0))))+SUMPRODUCT((Inputs!$E$5:$E$140=$B23)*ISNUMBER(INDEX(Inputs!$K$5:$AJ$140,0,MATCH(S$2,Inputs!$K$4:$AJ$4,0))))=0,NA(),SUMPRODUCT((Inputs!$A$5:$A$140=$B23)*Inputs!$B$5:$B$140*(((Inputs!$G$5:$G$140="moeda")+(Inputs!$G$5:$G$140="acoes"))*Inputs!$B$1+((Inputs!$G$5:$G$140&lt;&gt;"moeda")*(Inputs!$G$5:$G$140&lt;&gt;"acoes")))*INDEX(Inputs!$K$5:$AJ$140,0,MATCH(S$2,Inputs!$K$4:$AJ$4,0)))+SUMPRODUCT((Inputs!$C$5:$C$140=$B23)*Inputs!$D$5:$D$140*(((Inputs!$G$5:$G$140="moeda")+(Inputs!$G$5:$G$140="acoes"))*Inputs!$B$1+((Inputs!$G$5:$G$140&lt;&gt;"moeda")*(Inputs!$G$5:$G$140&lt;&gt;"acoes")))*INDEX(Inputs!$K$5:$AJ$140,0,MATCH(S$2,Inputs!$K$4:$AJ$4,0)))+SUMPRODUCT((Inputs!$E$5:$E$140=$B23)*Inputs!$F$5:$F$140*(((Inputs!$G$5:$G$140="moeda")+(Inputs!$G$5:$G$140="acoes"))*Inputs!$B$1+((Inputs!$G$5:$G$140&lt;&gt;"moeda")*(Inputs!$G$5:$G$140&lt;&gt;"acoes")))*INDEX(Inputs!$K$5:$AJ$140,0,MATCH(S$2,Inputs!$K$4:$AJ$4,0)))))</f>
        <v>2021.405</v>
      </c>
      <c r="T23" s="6">
        <f>IF(ISNA(MATCH(T$2,Inputs!$K$4:$AJ$4,0)),NA(),IF(SUMPRODUCT((Inputs!$A$5:$A$140=$B23)*ISNUMBER(INDEX(Inputs!$K$5:$AJ$140,0,MATCH(T$2,Inputs!$K$4:$AJ$4,0))))+SUMPRODUCT((Inputs!$C$5:$C$140=$B23)*ISNUMBER(INDEX(Inputs!$K$5:$AJ$140,0,MATCH(T$2,Inputs!$K$4:$AJ$4,0))))+SUMPRODUCT((Inputs!$E$5:$E$140=$B23)*ISNUMBER(INDEX(Inputs!$K$5:$AJ$140,0,MATCH(T$2,Inputs!$K$4:$AJ$4,0))))=0,NA(),SUMPRODUCT((Inputs!$A$5:$A$140=$B23)*Inputs!$B$5:$B$140*(((Inputs!$G$5:$G$140="moeda")+(Inputs!$G$5:$G$140="acoes"))*Inputs!$B$1+((Inputs!$G$5:$G$140&lt;&gt;"moeda")*(Inputs!$G$5:$G$140&lt;&gt;"acoes")))*INDEX(Inputs!$K$5:$AJ$140,0,MATCH(T$2,Inputs!$K$4:$AJ$4,0)))+SUMPRODUCT((Inputs!$C$5:$C$140=$B23)*Inputs!$D$5:$D$140*(((Inputs!$G$5:$G$140="moeda")+(Inputs!$G$5:$G$140="acoes"))*Inputs!$B$1+((Inputs!$G$5:$G$140&lt;&gt;"moeda")*(Inputs!$G$5:$G$140&lt;&gt;"acoes")))*INDEX(Inputs!$K$5:$AJ$140,0,MATCH(T$2,Inputs!$K$4:$AJ$4,0)))+SUMPRODUCT((Inputs!$E$5:$E$140=$B23)*Inputs!$F$5:$F$140*(((Inputs!$G$5:$G$140="moeda")+(Inputs!$G$5:$G$140="acoes"))*Inputs!$B$1+((Inputs!$G$5:$G$140&lt;&gt;"moeda")*(Inputs!$G$5:$G$140&lt;&gt;"acoes")))*INDEX(Inputs!$K$5:$AJ$140,0,MATCH(T$2,Inputs!$K$4:$AJ$4,0)))))</f>
        <v>1866.203</v>
      </c>
      <c r="U23" s="6">
        <f>IF(ISNA(MATCH(U$2,Inputs!$K$4:$AJ$4,0)),NA(),IF(SUMPRODUCT((Inputs!$A$5:$A$140=$B23)*ISNUMBER(INDEX(Inputs!$K$5:$AJ$140,0,MATCH(U$2,Inputs!$K$4:$AJ$4,0))))+SUMPRODUCT((Inputs!$C$5:$C$140=$B23)*ISNUMBER(INDEX(Inputs!$K$5:$AJ$140,0,MATCH(U$2,Inputs!$K$4:$AJ$4,0))))+SUMPRODUCT((Inputs!$E$5:$E$140=$B23)*ISNUMBER(INDEX(Inputs!$K$5:$AJ$140,0,MATCH(U$2,Inputs!$K$4:$AJ$4,0))))=0,NA(),SUMPRODUCT((Inputs!$A$5:$A$140=$B23)*Inputs!$B$5:$B$140*(((Inputs!$G$5:$G$140="moeda")+(Inputs!$G$5:$G$140="acoes"))*Inputs!$B$1+((Inputs!$G$5:$G$140&lt;&gt;"moeda")*(Inputs!$G$5:$G$140&lt;&gt;"acoes")))*INDEX(Inputs!$K$5:$AJ$140,0,MATCH(U$2,Inputs!$K$4:$AJ$4,0)))+SUMPRODUCT((Inputs!$C$5:$C$140=$B23)*Inputs!$D$5:$D$140*(((Inputs!$G$5:$G$140="moeda")+(Inputs!$G$5:$G$140="acoes"))*Inputs!$B$1+((Inputs!$G$5:$G$140&lt;&gt;"moeda")*(Inputs!$G$5:$G$140&lt;&gt;"acoes")))*INDEX(Inputs!$K$5:$AJ$140,0,MATCH(U$2,Inputs!$K$4:$AJ$4,0)))+SUMPRODUCT((Inputs!$E$5:$E$140=$B23)*Inputs!$F$5:$F$140*(((Inputs!$G$5:$G$140="moeda")+(Inputs!$G$5:$G$140="acoes"))*Inputs!$B$1+((Inputs!$G$5:$G$140&lt;&gt;"moeda")*(Inputs!$G$5:$G$140&lt;&gt;"acoes")))*INDEX(Inputs!$K$5:$AJ$140,0,MATCH(U$2,Inputs!$K$4:$AJ$4,0)))))</f>
        <v>1884.077</v>
      </c>
      <c r="V23" s="6">
        <f>IF(ISNA(MATCH(V$2,Inputs!$K$4:$AJ$4,0)),NA(),IF(SUMPRODUCT((Inputs!$A$5:$A$140=$B23)*ISNUMBER(INDEX(Inputs!$K$5:$AJ$140,0,MATCH(V$2,Inputs!$K$4:$AJ$4,0))))+SUMPRODUCT((Inputs!$C$5:$C$140=$B23)*ISNUMBER(INDEX(Inputs!$K$5:$AJ$140,0,MATCH(V$2,Inputs!$K$4:$AJ$4,0))))+SUMPRODUCT((Inputs!$E$5:$E$140=$B23)*ISNUMBER(INDEX(Inputs!$K$5:$AJ$140,0,MATCH(V$2,Inputs!$K$4:$AJ$4,0))))=0,NA(),SUMPRODUCT((Inputs!$A$5:$A$140=$B23)*Inputs!$B$5:$B$140*(((Inputs!$G$5:$G$140="moeda")+(Inputs!$G$5:$G$140="acoes"))*Inputs!$B$1+((Inputs!$G$5:$G$140&lt;&gt;"moeda")*(Inputs!$G$5:$G$140&lt;&gt;"acoes")))*INDEX(Inputs!$K$5:$AJ$140,0,MATCH(V$2,Inputs!$K$4:$AJ$4,0)))+SUMPRODUCT((Inputs!$C$5:$C$140=$B23)*Inputs!$D$5:$D$140*(((Inputs!$G$5:$G$140="moeda")+(Inputs!$G$5:$G$140="acoes"))*Inputs!$B$1+((Inputs!$G$5:$G$140&lt;&gt;"moeda")*(Inputs!$G$5:$G$140&lt;&gt;"acoes")))*INDEX(Inputs!$K$5:$AJ$140,0,MATCH(V$2,Inputs!$K$4:$AJ$4,0)))+SUMPRODUCT((Inputs!$E$5:$E$140=$B23)*Inputs!$F$5:$F$140*(((Inputs!$G$5:$G$140="moeda")+(Inputs!$G$5:$G$140="acoes"))*Inputs!$B$1+((Inputs!$G$5:$G$140&lt;&gt;"moeda")*(Inputs!$G$5:$G$140&lt;&gt;"acoes")))*INDEX(Inputs!$K$5:$AJ$140,0,MATCH(V$2,Inputs!$K$4:$AJ$4,0)))))</f>
        <v>2036.014</v>
      </c>
      <c r="W23" s="3">
        <f>V23</f>
        <v>2036.014</v>
      </c>
      <c r="X23" s="6">
        <f>IF(ISNA(MATCH(X$2,Inputs!$K$4:$AJ$4,0)),NA(),IF(SUMPRODUCT((Inputs!$A$5:$A$140=$B23)*ISNUMBER(INDEX(Inputs!$K$5:$AJ$140,0,MATCH(X$2,Inputs!$K$4:$AJ$4,0))))+SUMPRODUCT((Inputs!$C$5:$C$140=$B23)*ISNUMBER(INDEX(Inputs!$K$5:$AJ$140,0,MATCH(X$2,Inputs!$K$4:$AJ$4,0))))+SUMPRODUCT((Inputs!$E$5:$E$140=$B23)*ISNUMBER(INDEX(Inputs!$K$5:$AJ$140,0,MATCH(X$2,Inputs!$K$4:$AJ$4,0))))=0,NA(),SUMPRODUCT((Inputs!$A$5:$A$140=$B23)*Inputs!$B$5:$B$140*(((Inputs!$G$5:$G$140="moeda")+(Inputs!$G$5:$G$140="acoes"))*Inputs!$B$1+((Inputs!$G$5:$G$140&lt;&gt;"moeda")*(Inputs!$G$5:$G$140&lt;&gt;"acoes")))*INDEX(Inputs!$K$5:$AJ$140,0,MATCH(X$2,Inputs!$K$4:$AJ$4,0)))+SUMPRODUCT((Inputs!$C$5:$C$140=$B23)*Inputs!$D$5:$D$140*(((Inputs!$G$5:$G$140="moeda")+(Inputs!$G$5:$G$140="acoes"))*Inputs!$B$1+((Inputs!$G$5:$G$140&lt;&gt;"moeda")*(Inputs!$G$5:$G$140&lt;&gt;"acoes")))*INDEX(Inputs!$K$5:$AJ$140,0,MATCH(X$2,Inputs!$K$4:$AJ$4,0)))+SUMPRODUCT((Inputs!$E$5:$E$140=$B23)*Inputs!$F$5:$F$140*(((Inputs!$G$5:$G$140="moeda")+(Inputs!$G$5:$G$140="acoes"))*Inputs!$B$1+((Inputs!$G$5:$G$140&lt;&gt;"moeda")*(Inputs!$G$5:$G$140&lt;&gt;"acoes")))*INDEX(Inputs!$K$5:$AJ$140,0,MATCH(X$2,Inputs!$K$4:$AJ$4,0)))))</f>
        <v>2339.617</v>
      </c>
      <c r="Y23" s="6">
        <f>IF(ISNA(MATCH(Y$2,Inputs!$K$4:$AJ$4,0)),NA(),IF(SUMPRODUCT((Inputs!$A$5:$A$140=$B23)*ISNUMBER(INDEX(Inputs!$K$5:$AJ$140,0,MATCH(Y$2,Inputs!$K$4:$AJ$4,0))))+SUMPRODUCT((Inputs!$C$5:$C$140=$B23)*ISNUMBER(INDEX(Inputs!$K$5:$AJ$140,0,MATCH(Y$2,Inputs!$K$4:$AJ$4,0))))+SUMPRODUCT((Inputs!$E$5:$E$140=$B23)*ISNUMBER(INDEX(Inputs!$K$5:$AJ$140,0,MATCH(Y$2,Inputs!$K$4:$AJ$4,0))))=0,NA(),SUMPRODUCT((Inputs!$A$5:$A$140=$B23)*Inputs!$B$5:$B$140*(((Inputs!$G$5:$G$140="moeda")+(Inputs!$G$5:$G$140="acoes"))*Inputs!$B$1+((Inputs!$G$5:$G$140&lt;&gt;"moeda")*(Inputs!$G$5:$G$140&lt;&gt;"acoes")))*INDEX(Inputs!$K$5:$AJ$140,0,MATCH(Y$2,Inputs!$K$4:$AJ$4,0)))+SUMPRODUCT((Inputs!$C$5:$C$140=$B23)*Inputs!$D$5:$D$140*(((Inputs!$G$5:$G$140="moeda")+(Inputs!$G$5:$G$140="acoes"))*Inputs!$B$1+((Inputs!$G$5:$G$140&lt;&gt;"moeda")*(Inputs!$G$5:$G$140&lt;&gt;"acoes")))*INDEX(Inputs!$K$5:$AJ$140,0,MATCH(Y$2,Inputs!$K$4:$AJ$4,0)))+SUMPRODUCT((Inputs!$E$5:$E$140=$B23)*Inputs!$F$5:$F$140*(((Inputs!$G$5:$G$140="moeda")+(Inputs!$G$5:$G$140="acoes"))*Inputs!$B$1+((Inputs!$G$5:$G$140&lt;&gt;"moeda")*(Inputs!$G$5:$G$140&lt;&gt;"acoes")))*INDEX(Inputs!$K$5:$AJ$140,0,MATCH(Y$2,Inputs!$K$4:$AJ$4,0)))))</f>
        <v>2641.269</v>
      </c>
      <c r="Z23" s="6">
        <f>IF(ISNA(MATCH(Z$2,Inputs!$K$4:$AJ$4,0)),NA(),IF(SUMPRODUCT((Inputs!$A$5:$A$140=$B23)*ISNUMBER(INDEX(Inputs!$K$5:$AJ$140,0,MATCH(Z$2,Inputs!$K$4:$AJ$4,0))))+SUMPRODUCT((Inputs!$C$5:$C$140=$B23)*ISNUMBER(INDEX(Inputs!$K$5:$AJ$140,0,MATCH(Z$2,Inputs!$K$4:$AJ$4,0))))+SUMPRODUCT((Inputs!$E$5:$E$140=$B23)*ISNUMBER(INDEX(Inputs!$K$5:$AJ$140,0,MATCH(Z$2,Inputs!$K$4:$AJ$4,0))))=0,NA(),SUMPRODUCT((Inputs!$A$5:$A$140=$B23)*Inputs!$B$5:$B$140*(((Inputs!$G$5:$G$140="moeda")+(Inputs!$G$5:$G$140="acoes"))*Inputs!$B$1+((Inputs!$G$5:$G$140&lt;&gt;"moeda")*(Inputs!$G$5:$G$140&lt;&gt;"acoes")))*INDEX(Inputs!$K$5:$AJ$140,0,MATCH(Z$2,Inputs!$K$4:$AJ$4,0)))+SUMPRODUCT((Inputs!$C$5:$C$140=$B23)*Inputs!$D$5:$D$140*(((Inputs!$G$5:$G$140="moeda")+(Inputs!$G$5:$G$140="acoes"))*Inputs!$B$1+((Inputs!$G$5:$G$140&lt;&gt;"moeda")*(Inputs!$G$5:$G$140&lt;&gt;"acoes")))*INDEX(Inputs!$K$5:$AJ$140,0,MATCH(Z$2,Inputs!$K$4:$AJ$4,0)))+SUMPRODUCT((Inputs!$E$5:$E$140=$B23)*Inputs!$F$5:$F$140*(((Inputs!$G$5:$G$140="moeda")+(Inputs!$G$5:$G$140="acoes"))*Inputs!$B$1+((Inputs!$G$5:$G$140&lt;&gt;"moeda")*(Inputs!$G$5:$G$140&lt;&gt;"acoes")))*INDEX(Inputs!$K$5:$AJ$140,0,MATCH(Z$2,Inputs!$K$4:$AJ$4,0)))))</f>
        <v>3539.58</v>
      </c>
      <c r="AA23" s="6">
        <f>IF(ISNA(MATCH(AA$2,Inputs!$K$4:$AJ$4,0)),NA(),IF(SUMPRODUCT((Inputs!$A$5:$A$140=$B23)*ISNUMBER(INDEX(Inputs!$K$5:$AJ$140,0,MATCH(AA$2,Inputs!$K$4:$AJ$4,0))))+SUMPRODUCT((Inputs!$C$5:$C$140=$B23)*ISNUMBER(INDEX(Inputs!$K$5:$AJ$140,0,MATCH(AA$2,Inputs!$K$4:$AJ$4,0))))+SUMPRODUCT((Inputs!$E$5:$E$140=$B23)*ISNUMBER(INDEX(Inputs!$K$5:$AJ$140,0,MATCH(AA$2,Inputs!$K$4:$AJ$4,0))))=0,NA(),SUMPRODUCT((Inputs!$A$5:$A$140=$B23)*Inputs!$B$5:$B$140*(((Inputs!$G$5:$G$140="moeda")+(Inputs!$G$5:$G$140="acoes"))*Inputs!$B$1+((Inputs!$G$5:$G$140&lt;&gt;"moeda")*(Inputs!$G$5:$G$140&lt;&gt;"acoes")))*INDEX(Inputs!$K$5:$AJ$140,0,MATCH(AA$2,Inputs!$K$4:$AJ$4,0)))+SUMPRODUCT((Inputs!$C$5:$C$140=$B23)*Inputs!$D$5:$D$140*(((Inputs!$G$5:$G$140="moeda")+(Inputs!$G$5:$G$140="acoes"))*Inputs!$B$1+((Inputs!$G$5:$G$140&lt;&gt;"moeda")*(Inputs!$G$5:$G$140&lt;&gt;"acoes")))*INDEX(Inputs!$K$5:$AJ$140,0,MATCH(AA$2,Inputs!$K$4:$AJ$4,0)))+SUMPRODUCT((Inputs!$E$5:$E$140=$B23)*Inputs!$F$5:$F$140*(((Inputs!$G$5:$G$140="moeda")+(Inputs!$G$5:$G$140="acoes"))*Inputs!$B$1+((Inputs!$G$5:$G$140&lt;&gt;"moeda")*(Inputs!$G$5:$G$140&lt;&gt;"acoes")))*INDEX(Inputs!$K$5:$AJ$140,0,MATCH(AA$2,Inputs!$K$4:$AJ$4,0)))))</f>
        <v>3654.264</v>
      </c>
      <c r="AB23" s="3">
        <f>AA23</f>
        <v>3654.264</v>
      </c>
      <c r="AC23" s="6">
        <f>IF(ISNA(MATCH(AC$2,Inputs!$K$4:$AJ$4,0)),NA(),IF(SUMPRODUCT((Inputs!$A$5:$A$140=$B23)*ISNUMBER(INDEX(Inputs!$K$5:$AJ$140,0,MATCH(AC$2,Inputs!$K$4:$AJ$4,0))))+SUMPRODUCT((Inputs!$C$5:$C$140=$B23)*ISNUMBER(INDEX(Inputs!$K$5:$AJ$140,0,MATCH(AC$2,Inputs!$K$4:$AJ$4,0))))+SUMPRODUCT((Inputs!$E$5:$E$140=$B23)*ISNUMBER(INDEX(Inputs!$K$5:$AJ$140,0,MATCH(AC$2,Inputs!$K$4:$AJ$4,0))))=0,NA(),SUMPRODUCT((Inputs!$A$5:$A$140=$B23)*Inputs!$B$5:$B$140*(((Inputs!$G$5:$G$140="moeda")+(Inputs!$G$5:$G$140="acoes"))*Inputs!$B$1+((Inputs!$G$5:$G$140&lt;&gt;"moeda")*(Inputs!$G$5:$G$140&lt;&gt;"acoes")))*INDEX(Inputs!$K$5:$AJ$140,0,MATCH(AC$2,Inputs!$K$4:$AJ$4,0)))+SUMPRODUCT((Inputs!$C$5:$C$140=$B23)*Inputs!$D$5:$D$140*(((Inputs!$G$5:$G$140="moeda")+(Inputs!$G$5:$G$140="acoes"))*Inputs!$B$1+((Inputs!$G$5:$G$140&lt;&gt;"moeda")*(Inputs!$G$5:$G$140&lt;&gt;"acoes")))*INDEX(Inputs!$K$5:$AJ$140,0,MATCH(AC$2,Inputs!$K$4:$AJ$4,0)))+SUMPRODUCT((Inputs!$E$5:$E$140=$B23)*Inputs!$F$5:$F$140*(((Inputs!$G$5:$G$140="moeda")+(Inputs!$G$5:$G$140="acoes"))*Inputs!$B$1+((Inputs!$G$5:$G$140&lt;&gt;"moeda")*(Inputs!$G$5:$G$140&lt;&gt;"acoes")))*INDEX(Inputs!$K$5:$AJ$140,0,MATCH(AC$2,Inputs!$K$4:$AJ$4,0)))))</f>
        <v>3696.106</v>
      </c>
      <c r="AD23" s="6">
        <f>IF(ISNA(MATCH(AD$2,Inputs!$K$4:$AJ$4,0)),NA(),IF(SUMPRODUCT((Inputs!$A$5:$A$140=$B23)*ISNUMBER(INDEX(Inputs!$K$5:$AJ$140,0,MATCH(AD$2,Inputs!$K$4:$AJ$4,0))))+SUMPRODUCT((Inputs!$C$5:$C$140=$B23)*ISNUMBER(INDEX(Inputs!$K$5:$AJ$140,0,MATCH(AD$2,Inputs!$K$4:$AJ$4,0))))+SUMPRODUCT((Inputs!$E$5:$E$140=$B23)*ISNUMBER(INDEX(Inputs!$K$5:$AJ$140,0,MATCH(AD$2,Inputs!$K$4:$AJ$4,0))))=0,NA(),SUMPRODUCT((Inputs!$A$5:$A$140=$B23)*Inputs!$B$5:$B$140*(((Inputs!$G$5:$G$140="moeda")+(Inputs!$G$5:$G$140="acoes"))*Inputs!$B$1+((Inputs!$G$5:$G$140&lt;&gt;"moeda")*(Inputs!$G$5:$G$140&lt;&gt;"acoes")))*INDEX(Inputs!$K$5:$AJ$140,0,MATCH(AD$2,Inputs!$K$4:$AJ$4,0)))+SUMPRODUCT((Inputs!$C$5:$C$140=$B23)*Inputs!$D$5:$D$140*(((Inputs!$G$5:$G$140="moeda")+(Inputs!$G$5:$G$140="acoes"))*Inputs!$B$1+((Inputs!$G$5:$G$140&lt;&gt;"moeda")*(Inputs!$G$5:$G$140&lt;&gt;"acoes")))*INDEX(Inputs!$K$5:$AJ$140,0,MATCH(AD$2,Inputs!$K$4:$AJ$4,0)))+SUMPRODUCT((Inputs!$E$5:$E$140=$B23)*Inputs!$F$5:$F$140*(((Inputs!$G$5:$G$140="moeda")+(Inputs!$G$5:$G$140="acoes"))*Inputs!$B$1+((Inputs!$G$5:$G$140&lt;&gt;"moeda")*(Inputs!$G$5:$G$140&lt;&gt;"acoes")))*INDEX(Inputs!$K$5:$AJ$140,0,MATCH(AD$2,Inputs!$K$4:$AJ$4,0)))))</f>
        <v>3867.883</v>
      </c>
      <c r="AE23" s="6" t="e">
        <f>IF(ISNA(MATCH(AE$2,Inputs!$K$4:$AJ$4,0)),NA(),IF(SUMPRODUCT((Inputs!$A$5:$A$140=$B23)*ISNUMBER(INDEX(Inputs!$K$5:$AJ$140,0,MATCH(AE$2,Inputs!$K$4:$AJ$4,0))))+SUMPRODUCT((Inputs!$C$5:$C$140=$B23)*ISNUMBER(INDEX(Inputs!$K$5:$AJ$140,0,MATCH(AE$2,Inputs!$K$4:$AJ$4,0))))+SUMPRODUCT((Inputs!$E$5:$E$140=$B23)*ISNUMBER(INDEX(Inputs!$K$5:$AJ$140,0,MATCH(AE$2,Inputs!$K$4:$AJ$4,0))))=0,NA(),SUMPRODUCT((Inputs!$A$5:$A$140=$B23)*Inputs!$B$5:$B$140*(((Inputs!$G$5:$G$140="moeda")+(Inputs!$G$5:$G$140="acoes"))*Inputs!$B$1+((Inputs!$G$5:$G$140&lt;&gt;"moeda")*(Inputs!$G$5:$G$140&lt;&gt;"acoes")))*INDEX(Inputs!$K$5:$AJ$140,0,MATCH(AE$2,Inputs!$K$4:$AJ$4,0)))+SUMPRODUCT((Inputs!$C$5:$C$140=$B23)*Inputs!$D$5:$D$140*(((Inputs!$G$5:$G$140="moeda")+(Inputs!$G$5:$G$140="acoes"))*Inputs!$B$1+((Inputs!$G$5:$G$140&lt;&gt;"moeda")*(Inputs!$G$5:$G$140&lt;&gt;"acoes")))*INDEX(Inputs!$K$5:$AJ$140,0,MATCH(AE$2,Inputs!$K$4:$AJ$4,0)))+SUMPRODUCT((Inputs!$E$5:$E$140=$B23)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3" s="6" t="e">
        <f>IF(ISNA(MATCH(AF$2,Inputs!$K$4:$AJ$4,0)),NA(),IF(SUMPRODUCT((Inputs!$A$5:$A$140=$B23)*ISNUMBER(INDEX(Inputs!$K$5:$AJ$140,0,MATCH(AF$2,Inputs!$K$4:$AJ$4,0))))+SUMPRODUCT((Inputs!$C$5:$C$140=$B23)*ISNUMBER(INDEX(Inputs!$K$5:$AJ$140,0,MATCH(AF$2,Inputs!$K$4:$AJ$4,0))))+SUMPRODUCT((Inputs!$E$5:$E$140=$B23)*ISNUMBER(INDEX(Inputs!$K$5:$AJ$140,0,MATCH(AF$2,Inputs!$K$4:$AJ$4,0))))=0,NA(),SUMPRODUCT((Inputs!$A$5:$A$140=$B23)*Inputs!$B$5:$B$140*(((Inputs!$G$5:$G$140="moeda")+(Inputs!$G$5:$G$140="acoes"))*Inputs!$B$1+((Inputs!$G$5:$G$140&lt;&gt;"moeda")*(Inputs!$G$5:$G$140&lt;&gt;"acoes")))*INDEX(Inputs!$K$5:$AJ$140,0,MATCH(AF$2,Inputs!$K$4:$AJ$4,0)))+SUMPRODUCT((Inputs!$C$5:$C$140=$B23)*Inputs!$D$5:$D$140*(((Inputs!$G$5:$G$140="moeda")+(Inputs!$G$5:$G$140="acoes"))*Inputs!$B$1+((Inputs!$G$5:$G$140&lt;&gt;"moeda")*(Inputs!$G$5:$G$140&lt;&gt;"acoes")))*INDEX(Inputs!$K$5:$AJ$140,0,MATCH(AF$2,Inputs!$K$4:$AJ$4,0)))+SUMPRODUCT((Inputs!$E$5:$E$140=$B23)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3" s="3" t="e">
        <f>AF23</f>
        <v>#N/A</v>
      </c>
      <c r="AH23" s="6" t="e">
        <f>IF(ISNA(MATCH(AH$2,Inputs!$K$4:$AJ$4,0)),NA(),IF(SUMPRODUCT((Inputs!$A$5:$A$140=$B23)*ISNUMBER(INDEX(Inputs!$K$5:$AJ$140,0,MATCH(AH$2,Inputs!$K$4:$AJ$4,0))))+SUMPRODUCT((Inputs!$C$5:$C$140=$B23)*ISNUMBER(INDEX(Inputs!$K$5:$AJ$140,0,MATCH(AH$2,Inputs!$K$4:$AJ$4,0))))+SUMPRODUCT((Inputs!$E$5:$E$140=$B23)*ISNUMBER(INDEX(Inputs!$K$5:$AJ$140,0,MATCH(AH$2,Inputs!$K$4:$AJ$4,0))))=0,NA(),SUMPRODUCT((Inputs!$A$5:$A$140=$B23)*Inputs!$B$5:$B$140*(((Inputs!$G$5:$G$140="moeda")+(Inputs!$G$5:$G$140="acoes"))*Inputs!$B$1+((Inputs!$G$5:$G$140&lt;&gt;"moeda")*(Inputs!$G$5:$G$140&lt;&gt;"acoes")))*INDEX(Inputs!$K$5:$AJ$140,0,MATCH(AH$2,Inputs!$K$4:$AJ$4,0)))+SUMPRODUCT((Inputs!$C$5:$C$140=$B23)*Inputs!$D$5:$D$140*(((Inputs!$G$5:$G$140="moeda")+(Inputs!$G$5:$G$140="acoes"))*Inputs!$B$1+((Inputs!$G$5:$G$140&lt;&gt;"moeda")*(Inputs!$G$5:$G$140&lt;&gt;"acoes")))*INDEX(Inputs!$K$5:$AJ$140,0,MATCH(AH$2,Inputs!$K$4:$AJ$4,0)))+SUMPRODUCT((Inputs!$E$5:$E$140=$B23)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3" s="6">
        <f>IF(ISNA(MATCH(AI$2,Inputs!$K$4:$AJ$4,0)),NA(),IF(SUMPRODUCT((Inputs!$A$5:$A$140=$B23)*ISNUMBER(INDEX(Inputs!$K$5:$AJ$140,0,MATCH(AI$2,Inputs!$K$4:$AJ$4,0))))+SUMPRODUCT((Inputs!$C$5:$C$140=$B23)*ISNUMBER(INDEX(Inputs!$K$5:$AJ$140,0,MATCH(AI$2,Inputs!$K$4:$AJ$4,0))))+SUMPRODUCT((Inputs!$E$5:$E$140=$B23)*ISNUMBER(INDEX(Inputs!$K$5:$AJ$140,0,MATCH(AI$2,Inputs!$K$4:$AJ$4,0))))=0,NA(),SUMPRODUCT((Inputs!$A$5:$A$140=$B23)*Inputs!$B$5:$B$140*(((Inputs!$G$5:$G$140="moeda")+(Inputs!$G$5:$G$140="acoes"))*Inputs!$B$1+((Inputs!$G$5:$G$140&lt;&gt;"moeda")*(Inputs!$G$5:$G$140&lt;&gt;"acoes")))*INDEX(Inputs!$K$5:$AJ$140,0,MATCH(AI$2,Inputs!$K$4:$AJ$4,0)))+SUMPRODUCT((Inputs!$C$5:$C$140=$B23)*Inputs!$D$5:$D$140*(((Inputs!$G$5:$G$140="moeda")+(Inputs!$G$5:$G$140="acoes"))*Inputs!$B$1+((Inputs!$G$5:$G$140&lt;&gt;"moeda")*(Inputs!$G$5:$G$140&lt;&gt;"acoes")))*INDEX(Inputs!$K$5:$AJ$140,0,MATCH(AI$2,Inputs!$K$4:$AJ$4,0)))+SUMPRODUCT((Inputs!$E$5:$E$140=$B23)*Inputs!$F$5:$F$140*(((Inputs!$G$5:$G$140="moeda")+(Inputs!$G$5:$G$140="acoes"))*Inputs!$B$1+((Inputs!$G$5:$G$140&lt;&gt;"moeda")*(Inputs!$G$5:$G$140&lt;&gt;"acoes")))*INDEX(Inputs!$K$5:$AJ$140,0,MATCH(AI$2,Inputs!$K$4:$AJ$4,0)))))</f>
        <v>464.426</v>
      </c>
      <c r="AJ23" s="6">
        <f>IF(ISNA(MATCH(AJ$2,Inputs!$K$4:$AJ$4,0)),NA(),IF(SUMPRODUCT((Inputs!$A$5:$A$140=$B23)*ISNUMBER(INDEX(Inputs!$K$5:$AJ$140,0,MATCH(AJ$2,Inputs!$K$4:$AJ$4,0))))+SUMPRODUCT((Inputs!$C$5:$C$140=$B23)*ISNUMBER(INDEX(Inputs!$K$5:$AJ$140,0,MATCH(AJ$2,Inputs!$K$4:$AJ$4,0))))+SUMPRODUCT((Inputs!$E$5:$E$140=$B23)*ISNUMBER(INDEX(Inputs!$K$5:$AJ$140,0,MATCH(AJ$2,Inputs!$K$4:$AJ$4,0))))=0,NA(),SUMPRODUCT((Inputs!$A$5:$A$140=$B23)*Inputs!$B$5:$B$140*(((Inputs!$G$5:$G$140="moeda")+(Inputs!$G$5:$G$140="acoes"))*Inputs!$B$1+((Inputs!$G$5:$G$140&lt;&gt;"moeda")*(Inputs!$G$5:$G$140&lt;&gt;"acoes")))*INDEX(Inputs!$K$5:$AJ$140,0,MATCH(AJ$2,Inputs!$K$4:$AJ$4,0)))+SUMPRODUCT((Inputs!$C$5:$C$140=$B23)*Inputs!$D$5:$D$140*(((Inputs!$G$5:$G$140="moeda")+(Inputs!$G$5:$G$140="acoes"))*Inputs!$B$1+((Inputs!$G$5:$G$140&lt;&gt;"moeda")*(Inputs!$G$5:$G$140&lt;&gt;"acoes")))*INDEX(Inputs!$K$5:$AJ$140,0,MATCH(AJ$2,Inputs!$K$4:$AJ$4,0)))+SUMPRODUCT((Inputs!$E$5:$E$140=$B23)*Inputs!$F$5:$F$140*(((Inputs!$G$5:$G$140="moeda")+(Inputs!$G$5:$G$140="acoes"))*Inputs!$B$1+((Inputs!$G$5:$G$140&lt;&gt;"moeda")*(Inputs!$G$5:$G$140&lt;&gt;"acoes")))*INDEX(Inputs!$K$5:$AJ$140,0,MATCH(AJ$2,Inputs!$K$4:$AJ$4,0)))))</f>
        <v>539.47682052</v>
      </c>
      <c r="AK23" s="6">
        <f>IF(ISNA(MATCH(AK$2,Inputs!$K$4:$AJ$4,0)),NA(),IF(SUMPRODUCT((Inputs!$A$5:$A$140=$B23)*ISNUMBER(INDEX(Inputs!$K$5:$AJ$140,0,MATCH(AK$2,Inputs!$K$4:$AJ$4,0))))+SUMPRODUCT((Inputs!$C$5:$C$140=$B23)*ISNUMBER(INDEX(Inputs!$K$5:$AJ$140,0,MATCH(AK$2,Inputs!$K$4:$AJ$4,0))))+SUMPRODUCT((Inputs!$E$5:$E$140=$B23)*ISNUMBER(INDEX(Inputs!$K$5:$AJ$140,0,MATCH(AK$2,Inputs!$K$4:$AJ$4,0))))=0,NA(),SUMPRODUCT((Inputs!$A$5:$A$140=$B23)*Inputs!$B$5:$B$140*(((Inputs!$G$5:$G$140="moeda")+(Inputs!$G$5:$G$140="acoes"))*Inputs!$B$1+((Inputs!$G$5:$G$140&lt;&gt;"moeda")*(Inputs!$G$5:$G$140&lt;&gt;"acoes")))*INDEX(Inputs!$K$5:$AJ$140,0,MATCH(AK$2,Inputs!$K$4:$AJ$4,0)))+SUMPRODUCT((Inputs!$C$5:$C$140=$B23)*Inputs!$D$5:$D$140*(((Inputs!$G$5:$G$140="moeda")+(Inputs!$G$5:$G$140="acoes"))*Inputs!$B$1+((Inputs!$G$5:$G$140&lt;&gt;"moeda")*(Inputs!$G$5:$G$140&lt;&gt;"acoes")))*INDEX(Inputs!$K$5:$AJ$140,0,MATCH(AK$2,Inputs!$K$4:$AJ$4,0)))+SUMPRODUCT((Inputs!$E$5:$E$140=$B23)*Inputs!$F$5:$F$140*(((Inputs!$G$5:$G$140="moeda")+(Inputs!$G$5:$G$140="acoes"))*Inputs!$B$1+((Inputs!$G$5:$G$140&lt;&gt;"moeda")*(Inputs!$G$5:$G$140&lt;&gt;"acoes")))*INDEX(Inputs!$K$5:$AJ$140,0,MATCH(AK$2,Inputs!$K$4:$AJ$4,0)))))</f>
        <v>597.05135882</v>
      </c>
      <c r="AL23" s="3">
        <f>AK23</f>
        <v>597.05135882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$140=$B24)*ISNUMBER(INDEX(Inputs!$K$5:$AJ$140,0,MATCH(D$2,Inputs!$K$4:$AJ$4,0))))+SUMPRODUCT((Inputs!$C$5:$C$140=$B24)*ISNUMBER(INDEX(Inputs!$K$5:$AJ$140,0,MATCH(D$2,Inputs!$K$4:$AJ$4,0))))+SUMPRODUCT((Inputs!$E$5:$E$140=$B24)*ISNUMBER(INDEX(Inputs!$K$5:$AJ$140,0,MATCH(D$2,Inputs!$K$4:$AJ$4,0))))=0,NA(),SUMPRODUCT((Inputs!$A$5:$A$140=$B24)*Inputs!$B$5:$B$140*(((Inputs!$G$5:$G$140="moeda")+(Inputs!$G$5:$G$140="acoes"))*Inputs!$B$1+((Inputs!$G$5:$G$140&lt;&gt;"moeda")*(Inputs!$G$5:$G$140&lt;&gt;"acoes")))*INDEX(Inputs!$K$5:$AJ$140,0,MATCH(D$2,Inputs!$K$4:$AJ$4,0)))+SUMPRODUCT((Inputs!$C$5:$C$140=$B24)*Inputs!$D$5:$D$140*(((Inputs!$G$5:$G$140="moeda")+(Inputs!$G$5:$G$140="acoes"))*Inputs!$B$1+((Inputs!$G$5:$G$140&lt;&gt;"moeda")*(Inputs!$G$5:$G$140&lt;&gt;"acoes")))*INDEX(Inputs!$K$5:$AJ$140,0,MATCH(D$2,Inputs!$K$4:$AJ$4,0)))+SUMPRODUCT((Inputs!$E$5:$E$140=$B24)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24" s="6" t="e">
        <f>IF(ISNA(MATCH(E$2,Inputs!$K$4:$AJ$4,0)),NA(),IF(SUMPRODUCT((Inputs!$A$5:$A$140=$B24)*ISNUMBER(INDEX(Inputs!$K$5:$AJ$140,0,MATCH(E$2,Inputs!$K$4:$AJ$4,0))))+SUMPRODUCT((Inputs!$C$5:$C$140=$B24)*ISNUMBER(INDEX(Inputs!$K$5:$AJ$140,0,MATCH(E$2,Inputs!$K$4:$AJ$4,0))))+SUMPRODUCT((Inputs!$E$5:$E$140=$B24)*ISNUMBER(INDEX(Inputs!$K$5:$AJ$140,0,MATCH(E$2,Inputs!$K$4:$AJ$4,0))))=0,NA(),SUMPRODUCT((Inputs!$A$5:$A$140=$B24)*Inputs!$B$5:$B$140*(((Inputs!$G$5:$G$140="moeda")+(Inputs!$G$5:$G$140="acoes"))*Inputs!$B$1+((Inputs!$G$5:$G$140&lt;&gt;"moeda")*(Inputs!$G$5:$G$140&lt;&gt;"acoes")))*INDEX(Inputs!$K$5:$AJ$140,0,MATCH(E$2,Inputs!$K$4:$AJ$4,0)))+SUMPRODUCT((Inputs!$C$5:$C$140=$B24)*Inputs!$D$5:$D$140*(((Inputs!$G$5:$G$140="moeda")+(Inputs!$G$5:$G$140="acoes"))*Inputs!$B$1+((Inputs!$G$5:$G$140&lt;&gt;"moeda")*(Inputs!$G$5:$G$140&lt;&gt;"acoes")))*INDEX(Inputs!$K$5:$AJ$140,0,MATCH(E$2,Inputs!$K$4:$AJ$4,0)))+SUMPRODUCT((Inputs!$E$5:$E$140=$B24)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24" s="6" t="e">
        <f>IF(ISNA(MATCH(F$2,Inputs!$K$4:$AJ$4,0)),NA(),IF(SUMPRODUCT((Inputs!$A$5:$A$140=$B24)*ISNUMBER(INDEX(Inputs!$K$5:$AJ$140,0,MATCH(F$2,Inputs!$K$4:$AJ$4,0))))+SUMPRODUCT((Inputs!$C$5:$C$140=$B24)*ISNUMBER(INDEX(Inputs!$K$5:$AJ$140,0,MATCH(F$2,Inputs!$K$4:$AJ$4,0))))+SUMPRODUCT((Inputs!$E$5:$E$140=$B24)*ISNUMBER(INDEX(Inputs!$K$5:$AJ$140,0,MATCH(F$2,Inputs!$K$4:$AJ$4,0))))=0,NA(),SUMPRODUCT((Inputs!$A$5:$A$140=$B24)*Inputs!$B$5:$B$140*(((Inputs!$G$5:$G$140="moeda")+(Inputs!$G$5:$G$140="acoes"))*Inputs!$B$1+((Inputs!$G$5:$G$140&lt;&gt;"moeda")*(Inputs!$G$5:$G$140&lt;&gt;"acoes")))*INDEX(Inputs!$K$5:$AJ$140,0,MATCH(F$2,Inputs!$K$4:$AJ$4,0)))+SUMPRODUCT((Inputs!$C$5:$C$140=$B24)*Inputs!$D$5:$D$140*(((Inputs!$G$5:$G$140="moeda")+(Inputs!$G$5:$G$140="acoes"))*Inputs!$B$1+((Inputs!$G$5:$G$140&lt;&gt;"moeda")*(Inputs!$G$5:$G$140&lt;&gt;"acoes")))*INDEX(Inputs!$K$5:$AJ$140,0,MATCH(F$2,Inputs!$K$4:$AJ$4,0)))+SUMPRODUCT((Inputs!$E$5:$E$140=$B24)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24" s="6" t="e">
        <f>IF(ISNA(MATCH(G$2,Inputs!$K$4:$AJ$4,0)),NA(),IF(SUMPRODUCT((Inputs!$A$5:$A$140=$B24)*ISNUMBER(INDEX(Inputs!$K$5:$AJ$140,0,MATCH(G$2,Inputs!$K$4:$AJ$4,0))))+SUMPRODUCT((Inputs!$C$5:$C$140=$B24)*ISNUMBER(INDEX(Inputs!$K$5:$AJ$140,0,MATCH(G$2,Inputs!$K$4:$AJ$4,0))))+SUMPRODUCT((Inputs!$E$5:$E$140=$B24)*ISNUMBER(INDEX(Inputs!$K$5:$AJ$140,0,MATCH(G$2,Inputs!$K$4:$AJ$4,0))))=0,NA(),SUMPRODUCT((Inputs!$A$5:$A$140=$B24)*Inputs!$B$5:$B$140*(((Inputs!$G$5:$G$140="moeda")+(Inputs!$G$5:$G$140="acoes"))*Inputs!$B$1+((Inputs!$G$5:$G$140&lt;&gt;"moeda")*(Inputs!$G$5:$G$140&lt;&gt;"acoes")))*INDEX(Inputs!$K$5:$AJ$140,0,MATCH(G$2,Inputs!$K$4:$AJ$4,0)))+SUMPRODUCT((Inputs!$C$5:$C$140=$B24)*Inputs!$D$5:$D$140*(((Inputs!$G$5:$G$140="moeda")+(Inputs!$G$5:$G$140="acoes"))*Inputs!$B$1+((Inputs!$G$5:$G$140&lt;&gt;"moeda")*(Inputs!$G$5:$G$140&lt;&gt;"acoes")))*INDEX(Inputs!$K$5:$AJ$140,0,MATCH(G$2,Inputs!$K$4:$AJ$4,0)))+SUMPRODUCT((Inputs!$E$5:$E$140=$B24)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24" s="3" t="e">
        <f>G24</f>
        <v>#N/A</v>
      </c>
      <c r="I24" s="6" t="e">
        <f>IF(ISNA(MATCH(I$2,Inputs!$K$4:$AJ$4,0)),NA(),IF(SUMPRODUCT((Inputs!$A$5:$A$140=$B24)*ISNUMBER(INDEX(Inputs!$K$5:$AJ$140,0,MATCH(I$2,Inputs!$K$4:$AJ$4,0))))+SUMPRODUCT((Inputs!$C$5:$C$140=$B24)*ISNUMBER(INDEX(Inputs!$K$5:$AJ$140,0,MATCH(I$2,Inputs!$K$4:$AJ$4,0))))+SUMPRODUCT((Inputs!$E$5:$E$140=$B24)*ISNUMBER(INDEX(Inputs!$K$5:$AJ$140,0,MATCH(I$2,Inputs!$K$4:$AJ$4,0))))=0,NA(),SUMPRODUCT((Inputs!$A$5:$A$140=$B24)*Inputs!$B$5:$B$140*(((Inputs!$G$5:$G$140="moeda")+(Inputs!$G$5:$G$140="acoes"))*Inputs!$B$1+((Inputs!$G$5:$G$140&lt;&gt;"moeda")*(Inputs!$G$5:$G$140&lt;&gt;"acoes")))*INDEX(Inputs!$K$5:$AJ$140,0,MATCH(I$2,Inputs!$K$4:$AJ$4,0)))+SUMPRODUCT((Inputs!$C$5:$C$140=$B24)*Inputs!$D$5:$D$140*(((Inputs!$G$5:$G$140="moeda")+(Inputs!$G$5:$G$140="acoes"))*Inputs!$B$1+((Inputs!$G$5:$G$140&lt;&gt;"moeda")*(Inputs!$G$5:$G$140&lt;&gt;"acoes")))*INDEX(Inputs!$K$5:$AJ$140,0,MATCH(I$2,Inputs!$K$4:$AJ$4,0)))+SUMPRODUCT((Inputs!$E$5:$E$140=$B24)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24" s="6" t="e">
        <f>IF(ISNA(MATCH(J$2,Inputs!$K$4:$AJ$4,0)),NA(),IF(SUMPRODUCT((Inputs!$A$5:$A$140=$B24)*ISNUMBER(INDEX(Inputs!$K$5:$AJ$140,0,MATCH(J$2,Inputs!$K$4:$AJ$4,0))))+SUMPRODUCT((Inputs!$C$5:$C$140=$B24)*ISNUMBER(INDEX(Inputs!$K$5:$AJ$140,0,MATCH(J$2,Inputs!$K$4:$AJ$4,0))))+SUMPRODUCT((Inputs!$E$5:$E$140=$B24)*ISNUMBER(INDEX(Inputs!$K$5:$AJ$140,0,MATCH(J$2,Inputs!$K$4:$AJ$4,0))))=0,NA(),SUMPRODUCT((Inputs!$A$5:$A$140=$B24)*Inputs!$B$5:$B$140*(((Inputs!$G$5:$G$140="moeda")+(Inputs!$G$5:$G$140="acoes"))*Inputs!$B$1+((Inputs!$G$5:$G$140&lt;&gt;"moeda")*(Inputs!$G$5:$G$140&lt;&gt;"acoes")))*INDEX(Inputs!$K$5:$AJ$140,0,MATCH(J$2,Inputs!$K$4:$AJ$4,0)))+SUMPRODUCT((Inputs!$C$5:$C$140=$B24)*Inputs!$D$5:$D$140*(((Inputs!$G$5:$G$140="moeda")+(Inputs!$G$5:$G$140="acoes"))*Inputs!$B$1+((Inputs!$G$5:$G$140&lt;&gt;"moeda")*(Inputs!$G$5:$G$140&lt;&gt;"acoes")))*INDEX(Inputs!$K$5:$AJ$140,0,MATCH(J$2,Inputs!$K$4:$AJ$4,0)))+SUMPRODUCT((Inputs!$E$5:$E$140=$B24)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24" s="6" t="e">
        <f>IF(ISNA(MATCH(K$2,Inputs!$K$4:$AJ$4,0)),NA(),IF(SUMPRODUCT((Inputs!$A$5:$A$140=$B24)*ISNUMBER(INDEX(Inputs!$K$5:$AJ$140,0,MATCH(K$2,Inputs!$K$4:$AJ$4,0))))+SUMPRODUCT((Inputs!$C$5:$C$140=$B24)*ISNUMBER(INDEX(Inputs!$K$5:$AJ$140,0,MATCH(K$2,Inputs!$K$4:$AJ$4,0))))+SUMPRODUCT((Inputs!$E$5:$E$140=$B24)*ISNUMBER(INDEX(Inputs!$K$5:$AJ$140,0,MATCH(K$2,Inputs!$K$4:$AJ$4,0))))=0,NA(),SUMPRODUCT((Inputs!$A$5:$A$140=$B24)*Inputs!$B$5:$B$140*(((Inputs!$G$5:$G$140="moeda")+(Inputs!$G$5:$G$140="acoes"))*Inputs!$B$1+((Inputs!$G$5:$G$140&lt;&gt;"moeda")*(Inputs!$G$5:$G$140&lt;&gt;"acoes")))*INDEX(Inputs!$K$5:$AJ$140,0,MATCH(K$2,Inputs!$K$4:$AJ$4,0)))+SUMPRODUCT((Inputs!$C$5:$C$140=$B24)*Inputs!$D$5:$D$140*(((Inputs!$G$5:$G$140="moeda")+(Inputs!$G$5:$G$140="acoes"))*Inputs!$B$1+((Inputs!$G$5:$G$140&lt;&gt;"moeda")*(Inputs!$G$5:$G$140&lt;&gt;"acoes")))*INDEX(Inputs!$K$5:$AJ$140,0,MATCH(K$2,Inputs!$K$4:$AJ$4,0)))+SUMPRODUCT((Inputs!$E$5:$E$140=$B24)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24" s="6" t="e">
        <f>IF(ISNA(MATCH(L$2,Inputs!$K$4:$AJ$4,0)),NA(),IF(SUMPRODUCT((Inputs!$A$5:$A$140=$B24)*ISNUMBER(INDEX(Inputs!$K$5:$AJ$140,0,MATCH(L$2,Inputs!$K$4:$AJ$4,0))))+SUMPRODUCT((Inputs!$C$5:$C$140=$B24)*ISNUMBER(INDEX(Inputs!$K$5:$AJ$140,0,MATCH(L$2,Inputs!$K$4:$AJ$4,0))))+SUMPRODUCT((Inputs!$E$5:$E$140=$B24)*ISNUMBER(INDEX(Inputs!$K$5:$AJ$140,0,MATCH(L$2,Inputs!$K$4:$AJ$4,0))))=0,NA(),SUMPRODUCT((Inputs!$A$5:$A$140=$B24)*Inputs!$B$5:$B$140*(((Inputs!$G$5:$G$140="moeda")+(Inputs!$G$5:$G$140="acoes"))*Inputs!$B$1+((Inputs!$G$5:$G$140&lt;&gt;"moeda")*(Inputs!$G$5:$G$140&lt;&gt;"acoes")))*INDEX(Inputs!$K$5:$AJ$140,0,MATCH(L$2,Inputs!$K$4:$AJ$4,0)))+SUMPRODUCT((Inputs!$C$5:$C$140=$B24)*Inputs!$D$5:$D$140*(((Inputs!$G$5:$G$140="moeda")+(Inputs!$G$5:$G$140="acoes"))*Inputs!$B$1+((Inputs!$G$5:$G$140&lt;&gt;"moeda")*(Inputs!$G$5:$G$140&lt;&gt;"acoes")))*INDEX(Inputs!$K$5:$AJ$140,0,MATCH(L$2,Inputs!$K$4:$AJ$4,0)))+SUMPRODUCT((Inputs!$E$5:$E$140=$B24)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24" s="3" t="e">
        <f>L24</f>
        <v>#N/A</v>
      </c>
      <c r="N24" s="6" t="e">
        <f>IF(ISNA(MATCH(N$2,Inputs!$K$4:$AJ$4,0)),NA(),IF(SUMPRODUCT((Inputs!$A$5:$A$140=$B24)*ISNUMBER(INDEX(Inputs!$K$5:$AJ$140,0,MATCH(N$2,Inputs!$K$4:$AJ$4,0))))+SUMPRODUCT((Inputs!$C$5:$C$140=$B24)*ISNUMBER(INDEX(Inputs!$K$5:$AJ$140,0,MATCH(N$2,Inputs!$K$4:$AJ$4,0))))+SUMPRODUCT((Inputs!$E$5:$E$140=$B24)*ISNUMBER(INDEX(Inputs!$K$5:$AJ$140,0,MATCH(N$2,Inputs!$K$4:$AJ$4,0))))=0,NA(),SUMPRODUCT((Inputs!$A$5:$A$140=$B24)*Inputs!$B$5:$B$140*(((Inputs!$G$5:$G$140="moeda")+(Inputs!$G$5:$G$140="acoes"))*Inputs!$B$1+((Inputs!$G$5:$G$140&lt;&gt;"moeda")*(Inputs!$G$5:$G$140&lt;&gt;"acoes")))*INDEX(Inputs!$K$5:$AJ$140,0,MATCH(N$2,Inputs!$K$4:$AJ$4,0)))+SUMPRODUCT((Inputs!$C$5:$C$140=$B24)*Inputs!$D$5:$D$140*(((Inputs!$G$5:$G$140="moeda")+(Inputs!$G$5:$G$140="acoes"))*Inputs!$B$1+((Inputs!$G$5:$G$140&lt;&gt;"moeda")*(Inputs!$G$5:$G$140&lt;&gt;"acoes")))*INDEX(Inputs!$K$5:$AJ$140,0,MATCH(N$2,Inputs!$K$4:$AJ$4,0)))+SUMPRODUCT((Inputs!$E$5:$E$140=$B24)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24" s="6" t="e">
        <f>IF(ISNA(MATCH(O$2,Inputs!$K$4:$AJ$4,0)),NA(),IF(SUMPRODUCT((Inputs!$A$5:$A$140=$B24)*ISNUMBER(INDEX(Inputs!$K$5:$AJ$140,0,MATCH(O$2,Inputs!$K$4:$AJ$4,0))))+SUMPRODUCT((Inputs!$C$5:$C$140=$B24)*ISNUMBER(INDEX(Inputs!$K$5:$AJ$140,0,MATCH(O$2,Inputs!$K$4:$AJ$4,0))))+SUMPRODUCT((Inputs!$E$5:$E$140=$B24)*ISNUMBER(INDEX(Inputs!$K$5:$AJ$140,0,MATCH(O$2,Inputs!$K$4:$AJ$4,0))))=0,NA(),SUMPRODUCT((Inputs!$A$5:$A$140=$B24)*Inputs!$B$5:$B$140*(((Inputs!$G$5:$G$140="moeda")+(Inputs!$G$5:$G$140="acoes"))*Inputs!$B$1+((Inputs!$G$5:$G$140&lt;&gt;"moeda")*(Inputs!$G$5:$G$140&lt;&gt;"acoes")))*INDEX(Inputs!$K$5:$AJ$140,0,MATCH(O$2,Inputs!$K$4:$AJ$4,0)))+SUMPRODUCT((Inputs!$C$5:$C$140=$B24)*Inputs!$D$5:$D$140*(((Inputs!$G$5:$G$140="moeda")+(Inputs!$G$5:$G$140="acoes"))*Inputs!$B$1+((Inputs!$G$5:$G$140&lt;&gt;"moeda")*(Inputs!$G$5:$G$140&lt;&gt;"acoes")))*INDEX(Inputs!$K$5:$AJ$140,0,MATCH(O$2,Inputs!$K$4:$AJ$4,0)))+SUMPRODUCT((Inputs!$E$5:$E$140=$B24)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24" s="6" t="e">
        <f>IF(ISNA(MATCH(P$2,Inputs!$K$4:$AJ$4,0)),NA(),IF(SUMPRODUCT((Inputs!$A$5:$A$140=$B24)*ISNUMBER(INDEX(Inputs!$K$5:$AJ$140,0,MATCH(P$2,Inputs!$K$4:$AJ$4,0))))+SUMPRODUCT((Inputs!$C$5:$C$140=$B24)*ISNUMBER(INDEX(Inputs!$K$5:$AJ$140,0,MATCH(P$2,Inputs!$K$4:$AJ$4,0))))+SUMPRODUCT((Inputs!$E$5:$E$140=$B24)*ISNUMBER(INDEX(Inputs!$K$5:$AJ$140,0,MATCH(P$2,Inputs!$K$4:$AJ$4,0))))=0,NA(),SUMPRODUCT((Inputs!$A$5:$A$140=$B24)*Inputs!$B$5:$B$140*(((Inputs!$G$5:$G$140="moeda")+(Inputs!$G$5:$G$140="acoes"))*Inputs!$B$1+((Inputs!$G$5:$G$140&lt;&gt;"moeda")*(Inputs!$G$5:$G$140&lt;&gt;"acoes")))*INDEX(Inputs!$K$5:$AJ$140,0,MATCH(P$2,Inputs!$K$4:$AJ$4,0)))+SUMPRODUCT((Inputs!$C$5:$C$140=$B24)*Inputs!$D$5:$D$140*(((Inputs!$G$5:$G$140="moeda")+(Inputs!$G$5:$G$140="acoes"))*Inputs!$B$1+((Inputs!$G$5:$G$140&lt;&gt;"moeda")*(Inputs!$G$5:$G$140&lt;&gt;"acoes")))*INDEX(Inputs!$K$5:$AJ$140,0,MATCH(P$2,Inputs!$K$4:$AJ$4,0)))+SUMPRODUCT((Inputs!$E$5:$E$140=$B24)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24" s="6" t="e">
        <f>IF(ISNA(MATCH(Q$2,Inputs!$K$4:$AJ$4,0)),NA(),IF(SUMPRODUCT((Inputs!$A$5:$A$140=$B24)*ISNUMBER(INDEX(Inputs!$K$5:$AJ$140,0,MATCH(Q$2,Inputs!$K$4:$AJ$4,0))))+SUMPRODUCT((Inputs!$C$5:$C$140=$B24)*ISNUMBER(INDEX(Inputs!$K$5:$AJ$140,0,MATCH(Q$2,Inputs!$K$4:$AJ$4,0))))+SUMPRODUCT((Inputs!$E$5:$E$140=$B24)*ISNUMBER(INDEX(Inputs!$K$5:$AJ$140,0,MATCH(Q$2,Inputs!$K$4:$AJ$4,0))))=0,NA(),SUMPRODUCT((Inputs!$A$5:$A$140=$B24)*Inputs!$B$5:$B$140*(((Inputs!$G$5:$G$140="moeda")+(Inputs!$G$5:$G$140="acoes"))*Inputs!$B$1+((Inputs!$G$5:$G$140&lt;&gt;"moeda")*(Inputs!$G$5:$G$140&lt;&gt;"acoes")))*INDEX(Inputs!$K$5:$AJ$140,0,MATCH(Q$2,Inputs!$K$4:$AJ$4,0)))+SUMPRODUCT((Inputs!$C$5:$C$140=$B24)*Inputs!$D$5:$D$140*(((Inputs!$G$5:$G$140="moeda")+(Inputs!$G$5:$G$140="acoes"))*Inputs!$B$1+((Inputs!$G$5:$G$140&lt;&gt;"moeda")*(Inputs!$G$5:$G$140&lt;&gt;"acoes")))*INDEX(Inputs!$K$5:$AJ$140,0,MATCH(Q$2,Inputs!$K$4:$AJ$4,0)))+SUMPRODUCT((Inputs!$E$5:$E$140=$B24)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24" s="3" t="e">
        <f>Q24</f>
        <v>#N/A</v>
      </c>
      <c r="S24" s="6" t="e">
        <f>IF(ISNA(MATCH(S$2,Inputs!$K$4:$AJ$4,0)),NA(),IF(SUMPRODUCT((Inputs!$A$5:$A$140=$B24)*ISNUMBER(INDEX(Inputs!$K$5:$AJ$140,0,MATCH(S$2,Inputs!$K$4:$AJ$4,0))))+SUMPRODUCT((Inputs!$C$5:$C$140=$B24)*ISNUMBER(INDEX(Inputs!$K$5:$AJ$140,0,MATCH(S$2,Inputs!$K$4:$AJ$4,0))))+SUMPRODUCT((Inputs!$E$5:$E$140=$B24)*ISNUMBER(INDEX(Inputs!$K$5:$AJ$140,0,MATCH(S$2,Inputs!$K$4:$AJ$4,0))))=0,NA(),SUMPRODUCT((Inputs!$A$5:$A$140=$B24)*Inputs!$B$5:$B$140*(((Inputs!$G$5:$G$140="moeda")+(Inputs!$G$5:$G$140="acoes"))*Inputs!$B$1+((Inputs!$G$5:$G$140&lt;&gt;"moeda")*(Inputs!$G$5:$G$140&lt;&gt;"acoes")))*INDEX(Inputs!$K$5:$AJ$140,0,MATCH(S$2,Inputs!$K$4:$AJ$4,0)))+SUMPRODUCT((Inputs!$C$5:$C$140=$B24)*Inputs!$D$5:$D$140*(((Inputs!$G$5:$G$140="moeda")+(Inputs!$G$5:$G$140="acoes"))*Inputs!$B$1+((Inputs!$G$5:$G$140&lt;&gt;"moeda")*(Inputs!$G$5:$G$140&lt;&gt;"acoes")))*INDEX(Inputs!$K$5:$AJ$140,0,MATCH(S$2,Inputs!$K$4:$AJ$4,0)))+SUMPRODUCT((Inputs!$E$5:$E$140=$B24)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24" s="6" t="e">
        <f>IF(ISNA(MATCH(T$2,Inputs!$K$4:$AJ$4,0)),NA(),IF(SUMPRODUCT((Inputs!$A$5:$A$140=$B24)*ISNUMBER(INDEX(Inputs!$K$5:$AJ$140,0,MATCH(T$2,Inputs!$K$4:$AJ$4,0))))+SUMPRODUCT((Inputs!$C$5:$C$140=$B24)*ISNUMBER(INDEX(Inputs!$K$5:$AJ$140,0,MATCH(T$2,Inputs!$K$4:$AJ$4,0))))+SUMPRODUCT((Inputs!$E$5:$E$140=$B24)*ISNUMBER(INDEX(Inputs!$K$5:$AJ$140,0,MATCH(T$2,Inputs!$K$4:$AJ$4,0))))=0,NA(),SUMPRODUCT((Inputs!$A$5:$A$140=$B24)*Inputs!$B$5:$B$140*(((Inputs!$G$5:$G$140="moeda")+(Inputs!$G$5:$G$140="acoes"))*Inputs!$B$1+((Inputs!$G$5:$G$140&lt;&gt;"moeda")*(Inputs!$G$5:$G$140&lt;&gt;"acoes")))*INDEX(Inputs!$K$5:$AJ$140,0,MATCH(T$2,Inputs!$K$4:$AJ$4,0)))+SUMPRODUCT((Inputs!$C$5:$C$140=$B24)*Inputs!$D$5:$D$140*(((Inputs!$G$5:$G$140="moeda")+(Inputs!$G$5:$G$140="acoes"))*Inputs!$B$1+((Inputs!$G$5:$G$140&lt;&gt;"moeda")*(Inputs!$G$5:$G$140&lt;&gt;"acoes")))*INDEX(Inputs!$K$5:$AJ$140,0,MATCH(T$2,Inputs!$K$4:$AJ$4,0)))+SUMPRODUCT((Inputs!$E$5:$E$140=$B24)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24" s="6" t="e">
        <f>IF(ISNA(MATCH(U$2,Inputs!$K$4:$AJ$4,0)),NA(),IF(SUMPRODUCT((Inputs!$A$5:$A$140=$B24)*ISNUMBER(INDEX(Inputs!$K$5:$AJ$140,0,MATCH(U$2,Inputs!$K$4:$AJ$4,0))))+SUMPRODUCT((Inputs!$C$5:$C$140=$B24)*ISNUMBER(INDEX(Inputs!$K$5:$AJ$140,0,MATCH(U$2,Inputs!$K$4:$AJ$4,0))))+SUMPRODUCT((Inputs!$E$5:$E$140=$B24)*ISNUMBER(INDEX(Inputs!$K$5:$AJ$140,0,MATCH(U$2,Inputs!$K$4:$AJ$4,0))))=0,NA(),SUMPRODUCT((Inputs!$A$5:$A$140=$B24)*Inputs!$B$5:$B$140*(((Inputs!$G$5:$G$140="moeda")+(Inputs!$G$5:$G$140="acoes"))*Inputs!$B$1+((Inputs!$G$5:$G$140&lt;&gt;"moeda")*(Inputs!$G$5:$G$140&lt;&gt;"acoes")))*INDEX(Inputs!$K$5:$AJ$140,0,MATCH(U$2,Inputs!$K$4:$AJ$4,0)))+SUMPRODUCT((Inputs!$C$5:$C$140=$B24)*Inputs!$D$5:$D$140*(((Inputs!$G$5:$G$140="moeda")+(Inputs!$G$5:$G$140="acoes"))*Inputs!$B$1+((Inputs!$G$5:$G$140&lt;&gt;"moeda")*(Inputs!$G$5:$G$140&lt;&gt;"acoes")))*INDEX(Inputs!$K$5:$AJ$140,0,MATCH(U$2,Inputs!$K$4:$AJ$4,0)))+SUMPRODUCT((Inputs!$E$5:$E$140=$B24)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24" s="6" t="e">
        <f>IF(ISNA(MATCH(V$2,Inputs!$K$4:$AJ$4,0)),NA(),IF(SUMPRODUCT((Inputs!$A$5:$A$140=$B24)*ISNUMBER(INDEX(Inputs!$K$5:$AJ$140,0,MATCH(V$2,Inputs!$K$4:$AJ$4,0))))+SUMPRODUCT((Inputs!$C$5:$C$140=$B24)*ISNUMBER(INDEX(Inputs!$K$5:$AJ$140,0,MATCH(V$2,Inputs!$K$4:$AJ$4,0))))+SUMPRODUCT((Inputs!$E$5:$E$140=$B24)*ISNUMBER(INDEX(Inputs!$K$5:$AJ$140,0,MATCH(V$2,Inputs!$K$4:$AJ$4,0))))=0,NA(),SUMPRODUCT((Inputs!$A$5:$A$140=$B24)*Inputs!$B$5:$B$140*(((Inputs!$G$5:$G$140="moeda")+(Inputs!$G$5:$G$140="acoes"))*Inputs!$B$1+((Inputs!$G$5:$G$140&lt;&gt;"moeda")*(Inputs!$G$5:$G$140&lt;&gt;"acoes")))*INDEX(Inputs!$K$5:$AJ$140,0,MATCH(V$2,Inputs!$K$4:$AJ$4,0)))+SUMPRODUCT((Inputs!$C$5:$C$140=$B24)*Inputs!$D$5:$D$140*(((Inputs!$G$5:$G$140="moeda")+(Inputs!$G$5:$G$140="acoes"))*Inputs!$B$1+((Inputs!$G$5:$G$140&lt;&gt;"moeda")*(Inputs!$G$5:$G$140&lt;&gt;"acoes")))*INDEX(Inputs!$K$5:$AJ$140,0,MATCH(V$2,Inputs!$K$4:$AJ$4,0)))+SUMPRODUCT((Inputs!$E$5:$E$140=$B24)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24" s="3" t="e">
        <f>V24</f>
        <v>#N/A</v>
      </c>
      <c r="X24" s="6" t="e">
        <f>IF(ISNA(MATCH(X$2,Inputs!$K$4:$AJ$4,0)),NA(),IF(SUMPRODUCT((Inputs!$A$5:$A$140=$B24)*ISNUMBER(INDEX(Inputs!$K$5:$AJ$140,0,MATCH(X$2,Inputs!$K$4:$AJ$4,0))))+SUMPRODUCT((Inputs!$C$5:$C$140=$B24)*ISNUMBER(INDEX(Inputs!$K$5:$AJ$140,0,MATCH(X$2,Inputs!$K$4:$AJ$4,0))))+SUMPRODUCT((Inputs!$E$5:$E$140=$B24)*ISNUMBER(INDEX(Inputs!$K$5:$AJ$140,0,MATCH(X$2,Inputs!$K$4:$AJ$4,0))))=0,NA(),SUMPRODUCT((Inputs!$A$5:$A$140=$B24)*Inputs!$B$5:$B$140*(((Inputs!$G$5:$G$140="moeda")+(Inputs!$G$5:$G$140="acoes"))*Inputs!$B$1+((Inputs!$G$5:$G$140&lt;&gt;"moeda")*(Inputs!$G$5:$G$140&lt;&gt;"acoes")))*INDEX(Inputs!$K$5:$AJ$140,0,MATCH(X$2,Inputs!$K$4:$AJ$4,0)))+SUMPRODUCT((Inputs!$C$5:$C$140=$B24)*Inputs!$D$5:$D$140*(((Inputs!$G$5:$G$140="moeda")+(Inputs!$G$5:$G$140="acoes"))*Inputs!$B$1+((Inputs!$G$5:$G$140&lt;&gt;"moeda")*(Inputs!$G$5:$G$140&lt;&gt;"acoes")))*INDEX(Inputs!$K$5:$AJ$140,0,MATCH(X$2,Inputs!$K$4:$AJ$4,0)))+SUMPRODUCT((Inputs!$E$5:$E$140=$B24)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24" s="6" t="e">
        <f>IF(ISNA(MATCH(Y$2,Inputs!$K$4:$AJ$4,0)),NA(),IF(SUMPRODUCT((Inputs!$A$5:$A$140=$B24)*ISNUMBER(INDEX(Inputs!$K$5:$AJ$140,0,MATCH(Y$2,Inputs!$K$4:$AJ$4,0))))+SUMPRODUCT((Inputs!$C$5:$C$140=$B24)*ISNUMBER(INDEX(Inputs!$K$5:$AJ$140,0,MATCH(Y$2,Inputs!$K$4:$AJ$4,0))))+SUMPRODUCT((Inputs!$E$5:$E$140=$B24)*ISNUMBER(INDEX(Inputs!$K$5:$AJ$140,0,MATCH(Y$2,Inputs!$K$4:$AJ$4,0))))=0,NA(),SUMPRODUCT((Inputs!$A$5:$A$140=$B24)*Inputs!$B$5:$B$140*(((Inputs!$G$5:$G$140="moeda")+(Inputs!$G$5:$G$140="acoes"))*Inputs!$B$1+((Inputs!$G$5:$G$140&lt;&gt;"moeda")*(Inputs!$G$5:$G$140&lt;&gt;"acoes")))*INDEX(Inputs!$K$5:$AJ$140,0,MATCH(Y$2,Inputs!$K$4:$AJ$4,0)))+SUMPRODUCT((Inputs!$C$5:$C$140=$B24)*Inputs!$D$5:$D$140*(((Inputs!$G$5:$G$140="moeda")+(Inputs!$G$5:$G$140="acoes"))*Inputs!$B$1+((Inputs!$G$5:$G$140&lt;&gt;"moeda")*(Inputs!$G$5:$G$140&lt;&gt;"acoes")))*INDEX(Inputs!$K$5:$AJ$140,0,MATCH(Y$2,Inputs!$K$4:$AJ$4,0)))+SUMPRODUCT((Inputs!$E$5:$E$140=$B24)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24" s="6" t="e">
        <f>IF(ISNA(MATCH(Z$2,Inputs!$K$4:$AJ$4,0)),NA(),IF(SUMPRODUCT((Inputs!$A$5:$A$140=$B24)*ISNUMBER(INDEX(Inputs!$K$5:$AJ$140,0,MATCH(Z$2,Inputs!$K$4:$AJ$4,0))))+SUMPRODUCT((Inputs!$C$5:$C$140=$B24)*ISNUMBER(INDEX(Inputs!$K$5:$AJ$140,0,MATCH(Z$2,Inputs!$K$4:$AJ$4,0))))+SUMPRODUCT((Inputs!$E$5:$E$140=$B24)*ISNUMBER(INDEX(Inputs!$K$5:$AJ$140,0,MATCH(Z$2,Inputs!$K$4:$AJ$4,0))))=0,NA(),SUMPRODUCT((Inputs!$A$5:$A$140=$B24)*Inputs!$B$5:$B$140*(((Inputs!$G$5:$G$140="moeda")+(Inputs!$G$5:$G$140="acoes"))*Inputs!$B$1+((Inputs!$G$5:$G$140&lt;&gt;"moeda")*(Inputs!$G$5:$G$140&lt;&gt;"acoes")))*INDEX(Inputs!$K$5:$AJ$140,0,MATCH(Z$2,Inputs!$K$4:$AJ$4,0)))+SUMPRODUCT((Inputs!$C$5:$C$140=$B24)*Inputs!$D$5:$D$140*(((Inputs!$G$5:$G$140="moeda")+(Inputs!$G$5:$G$140="acoes"))*Inputs!$B$1+((Inputs!$G$5:$G$140&lt;&gt;"moeda")*(Inputs!$G$5:$G$140&lt;&gt;"acoes")))*INDEX(Inputs!$K$5:$AJ$140,0,MATCH(Z$2,Inputs!$K$4:$AJ$4,0)))+SUMPRODUCT((Inputs!$E$5:$E$140=$B24)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24" s="6" t="e">
        <f>IF(ISNA(MATCH(AA$2,Inputs!$K$4:$AJ$4,0)),NA(),IF(SUMPRODUCT((Inputs!$A$5:$A$140=$B24)*ISNUMBER(INDEX(Inputs!$K$5:$AJ$140,0,MATCH(AA$2,Inputs!$K$4:$AJ$4,0))))+SUMPRODUCT((Inputs!$C$5:$C$140=$B24)*ISNUMBER(INDEX(Inputs!$K$5:$AJ$140,0,MATCH(AA$2,Inputs!$K$4:$AJ$4,0))))+SUMPRODUCT((Inputs!$E$5:$E$140=$B24)*ISNUMBER(INDEX(Inputs!$K$5:$AJ$140,0,MATCH(AA$2,Inputs!$K$4:$AJ$4,0))))=0,NA(),SUMPRODUCT((Inputs!$A$5:$A$140=$B24)*Inputs!$B$5:$B$140*(((Inputs!$G$5:$G$140="moeda")+(Inputs!$G$5:$G$140="acoes"))*Inputs!$B$1+((Inputs!$G$5:$G$140&lt;&gt;"moeda")*(Inputs!$G$5:$G$140&lt;&gt;"acoes")))*INDEX(Inputs!$K$5:$AJ$140,0,MATCH(AA$2,Inputs!$K$4:$AJ$4,0)))+SUMPRODUCT((Inputs!$C$5:$C$140=$B24)*Inputs!$D$5:$D$140*(((Inputs!$G$5:$G$140="moeda")+(Inputs!$G$5:$G$140="acoes"))*Inputs!$B$1+((Inputs!$G$5:$G$140&lt;&gt;"moeda")*(Inputs!$G$5:$G$140&lt;&gt;"acoes")))*INDEX(Inputs!$K$5:$AJ$140,0,MATCH(AA$2,Inputs!$K$4:$AJ$4,0)))+SUMPRODUCT((Inputs!$E$5:$E$140=$B24)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24" s="3" t="e">
        <f>AA24</f>
        <v>#N/A</v>
      </c>
      <c r="AC24" s="6" t="e">
        <f>IF(ISNA(MATCH(AC$2,Inputs!$K$4:$AJ$4,0)),NA(),IF(SUMPRODUCT((Inputs!$A$5:$A$140=$B24)*ISNUMBER(INDEX(Inputs!$K$5:$AJ$140,0,MATCH(AC$2,Inputs!$K$4:$AJ$4,0))))+SUMPRODUCT((Inputs!$C$5:$C$140=$B24)*ISNUMBER(INDEX(Inputs!$K$5:$AJ$140,0,MATCH(AC$2,Inputs!$K$4:$AJ$4,0))))+SUMPRODUCT((Inputs!$E$5:$E$140=$B24)*ISNUMBER(INDEX(Inputs!$K$5:$AJ$140,0,MATCH(AC$2,Inputs!$K$4:$AJ$4,0))))=0,NA(),SUMPRODUCT((Inputs!$A$5:$A$140=$B24)*Inputs!$B$5:$B$140*(((Inputs!$G$5:$G$140="moeda")+(Inputs!$G$5:$G$140="acoes"))*Inputs!$B$1+((Inputs!$G$5:$G$140&lt;&gt;"moeda")*(Inputs!$G$5:$G$140&lt;&gt;"acoes")))*INDEX(Inputs!$K$5:$AJ$140,0,MATCH(AC$2,Inputs!$K$4:$AJ$4,0)))+SUMPRODUCT((Inputs!$C$5:$C$140=$B24)*Inputs!$D$5:$D$140*(((Inputs!$G$5:$G$140="moeda")+(Inputs!$G$5:$G$140="acoes"))*Inputs!$B$1+((Inputs!$G$5:$G$140&lt;&gt;"moeda")*(Inputs!$G$5:$G$140&lt;&gt;"acoes")))*INDEX(Inputs!$K$5:$AJ$140,0,MATCH(AC$2,Inputs!$K$4:$AJ$4,0)))+SUMPRODUCT((Inputs!$E$5:$E$140=$B24)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24" s="6" t="e">
        <f>IF(ISNA(MATCH(AD$2,Inputs!$K$4:$AJ$4,0)),NA(),IF(SUMPRODUCT((Inputs!$A$5:$A$140=$B24)*ISNUMBER(INDEX(Inputs!$K$5:$AJ$140,0,MATCH(AD$2,Inputs!$K$4:$AJ$4,0))))+SUMPRODUCT((Inputs!$C$5:$C$140=$B24)*ISNUMBER(INDEX(Inputs!$K$5:$AJ$140,0,MATCH(AD$2,Inputs!$K$4:$AJ$4,0))))+SUMPRODUCT((Inputs!$E$5:$E$140=$B24)*ISNUMBER(INDEX(Inputs!$K$5:$AJ$140,0,MATCH(AD$2,Inputs!$K$4:$AJ$4,0))))=0,NA(),SUMPRODUCT((Inputs!$A$5:$A$140=$B24)*Inputs!$B$5:$B$140*(((Inputs!$G$5:$G$140="moeda")+(Inputs!$G$5:$G$140="acoes"))*Inputs!$B$1+((Inputs!$G$5:$G$140&lt;&gt;"moeda")*(Inputs!$G$5:$G$140&lt;&gt;"acoes")))*INDEX(Inputs!$K$5:$AJ$140,0,MATCH(AD$2,Inputs!$K$4:$AJ$4,0)))+SUMPRODUCT((Inputs!$C$5:$C$140=$B24)*Inputs!$D$5:$D$140*(((Inputs!$G$5:$G$140="moeda")+(Inputs!$G$5:$G$140="acoes"))*Inputs!$B$1+((Inputs!$G$5:$G$140&lt;&gt;"moeda")*(Inputs!$G$5:$G$140&lt;&gt;"acoes")))*INDEX(Inputs!$K$5:$AJ$140,0,MATCH(AD$2,Inputs!$K$4:$AJ$4,0)))+SUMPRODUCT((Inputs!$E$5:$E$140=$B24)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24" s="6" t="e">
        <f>IF(ISNA(MATCH(AE$2,Inputs!$K$4:$AJ$4,0)),NA(),IF(SUMPRODUCT((Inputs!$A$5:$A$140=$B24)*ISNUMBER(INDEX(Inputs!$K$5:$AJ$140,0,MATCH(AE$2,Inputs!$K$4:$AJ$4,0))))+SUMPRODUCT((Inputs!$C$5:$C$140=$B24)*ISNUMBER(INDEX(Inputs!$K$5:$AJ$140,0,MATCH(AE$2,Inputs!$K$4:$AJ$4,0))))+SUMPRODUCT((Inputs!$E$5:$E$140=$B24)*ISNUMBER(INDEX(Inputs!$K$5:$AJ$140,0,MATCH(AE$2,Inputs!$K$4:$AJ$4,0))))=0,NA(),SUMPRODUCT((Inputs!$A$5:$A$140=$B24)*Inputs!$B$5:$B$140*(((Inputs!$G$5:$G$140="moeda")+(Inputs!$G$5:$G$140="acoes"))*Inputs!$B$1+((Inputs!$G$5:$G$140&lt;&gt;"moeda")*(Inputs!$G$5:$G$140&lt;&gt;"acoes")))*INDEX(Inputs!$K$5:$AJ$140,0,MATCH(AE$2,Inputs!$K$4:$AJ$4,0)))+SUMPRODUCT((Inputs!$C$5:$C$140=$B24)*Inputs!$D$5:$D$140*(((Inputs!$G$5:$G$140="moeda")+(Inputs!$G$5:$G$140="acoes"))*Inputs!$B$1+((Inputs!$G$5:$G$140&lt;&gt;"moeda")*(Inputs!$G$5:$G$140&lt;&gt;"acoes")))*INDEX(Inputs!$K$5:$AJ$140,0,MATCH(AE$2,Inputs!$K$4:$AJ$4,0)))+SUMPRODUCT((Inputs!$E$5:$E$140=$B24)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4" s="6" t="e">
        <f>IF(ISNA(MATCH(AF$2,Inputs!$K$4:$AJ$4,0)),NA(),IF(SUMPRODUCT((Inputs!$A$5:$A$140=$B24)*ISNUMBER(INDEX(Inputs!$K$5:$AJ$140,0,MATCH(AF$2,Inputs!$K$4:$AJ$4,0))))+SUMPRODUCT((Inputs!$C$5:$C$140=$B24)*ISNUMBER(INDEX(Inputs!$K$5:$AJ$140,0,MATCH(AF$2,Inputs!$K$4:$AJ$4,0))))+SUMPRODUCT((Inputs!$E$5:$E$140=$B24)*ISNUMBER(INDEX(Inputs!$K$5:$AJ$140,0,MATCH(AF$2,Inputs!$K$4:$AJ$4,0))))=0,NA(),SUMPRODUCT((Inputs!$A$5:$A$140=$B24)*Inputs!$B$5:$B$140*(((Inputs!$G$5:$G$140="moeda")+(Inputs!$G$5:$G$140="acoes"))*Inputs!$B$1+((Inputs!$G$5:$G$140&lt;&gt;"moeda")*(Inputs!$G$5:$G$140&lt;&gt;"acoes")))*INDEX(Inputs!$K$5:$AJ$140,0,MATCH(AF$2,Inputs!$K$4:$AJ$4,0)))+SUMPRODUCT((Inputs!$C$5:$C$140=$B24)*Inputs!$D$5:$D$140*(((Inputs!$G$5:$G$140="moeda")+(Inputs!$G$5:$G$140="acoes"))*Inputs!$B$1+((Inputs!$G$5:$G$140&lt;&gt;"moeda")*(Inputs!$G$5:$G$140&lt;&gt;"acoes")))*INDEX(Inputs!$K$5:$AJ$140,0,MATCH(AF$2,Inputs!$K$4:$AJ$4,0)))+SUMPRODUCT((Inputs!$E$5:$E$140=$B24)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4" s="3" t="e">
        <f>AF24</f>
        <v>#N/A</v>
      </c>
      <c r="AH24" s="6" t="e">
        <f>IF(ISNA(MATCH(AH$2,Inputs!$K$4:$AJ$4,0)),NA(),IF(SUMPRODUCT((Inputs!$A$5:$A$140=$B24)*ISNUMBER(INDEX(Inputs!$K$5:$AJ$140,0,MATCH(AH$2,Inputs!$K$4:$AJ$4,0))))+SUMPRODUCT((Inputs!$C$5:$C$140=$B24)*ISNUMBER(INDEX(Inputs!$K$5:$AJ$140,0,MATCH(AH$2,Inputs!$K$4:$AJ$4,0))))+SUMPRODUCT((Inputs!$E$5:$E$140=$B24)*ISNUMBER(INDEX(Inputs!$K$5:$AJ$140,0,MATCH(AH$2,Inputs!$K$4:$AJ$4,0))))=0,NA(),SUMPRODUCT((Inputs!$A$5:$A$140=$B24)*Inputs!$B$5:$B$140*(((Inputs!$G$5:$G$140="moeda")+(Inputs!$G$5:$G$140="acoes"))*Inputs!$B$1+((Inputs!$G$5:$G$140&lt;&gt;"moeda")*(Inputs!$G$5:$G$140&lt;&gt;"acoes")))*INDEX(Inputs!$K$5:$AJ$140,0,MATCH(AH$2,Inputs!$K$4:$AJ$4,0)))+SUMPRODUCT((Inputs!$C$5:$C$140=$B24)*Inputs!$D$5:$D$140*(((Inputs!$G$5:$G$140="moeda")+(Inputs!$G$5:$G$140="acoes"))*Inputs!$B$1+((Inputs!$G$5:$G$140&lt;&gt;"moeda")*(Inputs!$G$5:$G$140&lt;&gt;"acoes")))*INDEX(Inputs!$K$5:$AJ$140,0,MATCH(AH$2,Inputs!$K$4:$AJ$4,0)))+SUMPRODUCT((Inputs!$E$5:$E$140=$B24)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4" s="6" t="e">
        <f>IF(ISNA(MATCH(AI$2,Inputs!$K$4:$AJ$4,0)),NA(),IF(SUMPRODUCT((Inputs!$A$5:$A$140=$B24)*ISNUMBER(INDEX(Inputs!$K$5:$AJ$140,0,MATCH(AI$2,Inputs!$K$4:$AJ$4,0))))+SUMPRODUCT((Inputs!$C$5:$C$140=$B24)*ISNUMBER(INDEX(Inputs!$K$5:$AJ$140,0,MATCH(AI$2,Inputs!$K$4:$AJ$4,0))))+SUMPRODUCT((Inputs!$E$5:$E$140=$B24)*ISNUMBER(INDEX(Inputs!$K$5:$AJ$140,0,MATCH(AI$2,Inputs!$K$4:$AJ$4,0))))=0,NA(),SUMPRODUCT((Inputs!$A$5:$A$140=$B24)*Inputs!$B$5:$B$140*(((Inputs!$G$5:$G$140="moeda")+(Inputs!$G$5:$G$140="acoes"))*Inputs!$B$1+((Inputs!$G$5:$G$140&lt;&gt;"moeda")*(Inputs!$G$5:$G$140&lt;&gt;"acoes")))*INDEX(Inputs!$K$5:$AJ$140,0,MATCH(AI$2,Inputs!$K$4:$AJ$4,0)))+SUMPRODUCT((Inputs!$C$5:$C$140=$B24)*Inputs!$D$5:$D$140*(((Inputs!$G$5:$G$140="moeda")+(Inputs!$G$5:$G$140="acoes"))*Inputs!$B$1+((Inputs!$G$5:$G$140&lt;&gt;"moeda")*(Inputs!$G$5:$G$140&lt;&gt;"acoes")))*INDEX(Inputs!$K$5:$AJ$140,0,MATCH(AI$2,Inputs!$K$4:$AJ$4,0)))+SUMPRODUCT((Inputs!$E$5:$E$140=$B24)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24" s="6" t="e">
        <f>IF(ISNA(MATCH(AJ$2,Inputs!$K$4:$AJ$4,0)),NA(),IF(SUMPRODUCT((Inputs!$A$5:$A$140=$B24)*ISNUMBER(INDEX(Inputs!$K$5:$AJ$140,0,MATCH(AJ$2,Inputs!$K$4:$AJ$4,0))))+SUMPRODUCT((Inputs!$C$5:$C$140=$B24)*ISNUMBER(INDEX(Inputs!$K$5:$AJ$140,0,MATCH(AJ$2,Inputs!$K$4:$AJ$4,0))))+SUMPRODUCT((Inputs!$E$5:$E$140=$B24)*ISNUMBER(INDEX(Inputs!$K$5:$AJ$140,0,MATCH(AJ$2,Inputs!$K$4:$AJ$4,0))))=0,NA(),SUMPRODUCT((Inputs!$A$5:$A$140=$B24)*Inputs!$B$5:$B$140*(((Inputs!$G$5:$G$140="moeda")+(Inputs!$G$5:$G$140="acoes"))*Inputs!$B$1+((Inputs!$G$5:$G$140&lt;&gt;"moeda")*(Inputs!$G$5:$G$140&lt;&gt;"acoes")))*INDEX(Inputs!$K$5:$AJ$140,0,MATCH(AJ$2,Inputs!$K$4:$AJ$4,0)))+SUMPRODUCT((Inputs!$C$5:$C$140=$B24)*Inputs!$D$5:$D$140*(((Inputs!$G$5:$G$140="moeda")+(Inputs!$G$5:$G$140="acoes"))*Inputs!$B$1+((Inputs!$G$5:$G$140&lt;&gt;"moeda")*(Inputs!$G$5:$G$140&lt;&gt;"acoes")))*INDEX(Inputs!$K$5:$AJ$140,0,MATCH(AJ$2,Inputs!$K$4:$AJ$4,0)))+SUMPRODUCT((Inputs!$E$5:$E$140=$B24)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24" s="6" t="e">
        <f>IF(ISNA(MATCH(AK$2,Inputs!$K$4:$AJ$4,0)),NA(),IF(SUMPRODUCT((Inputs!$A$5:$A$140=$B24)*ISNUMBER(INDEX(Inputs!$K$5:$AJ$140,0,MATCH(AK$2,Inputs!$K$4:$AJ$4,0))))+SUMPRODUCT((Inputs!$C$5:$C$140=$B24)*ISNUMBER(INDEX(Inputs!$K$5:$AJ$140,0,MATCH(AK$2,Inputs!$K$4:$AJ$4,0))))+SUMPRODUCT((Inputs!$E$5:$E$140=$B24)*ISNUMBER(INDEX(Inputs!$K$5:$AJ$140,0,MATCH(AK$2,Inputs!$K$4:$AJ$4,0))))=0,NA(),SUMPRODUCT((Inputs!$A$5:$A$140=$B24)*Inputs!$B$5:$B$140*(((Inputs!$G$5:$G$140="moeda")+(Inputs!$G$5:$G$140="acoes"))*Inputs!$B$1+((Inputs!$G$5:$G$140&lt;&gt;"moeda")*(Inputs!$G$5:$G$140&lt;&gt;"acoes")))*INDEX(Inputs!$K$5:$AJ$140,0,MATCH(AK$2,Inputs!$K$4:$AJ$4,0)))+SUMPRODUCT((Inputs!$C$5:$C$140=$B24)*Inputs!$D$5:$D$140*(((Inputs!$G$5:$G$140="moeda")+(Inputs!$G$5:$G$140="acoes"))*Inputs!$B$1+((Inputs!$G$5:$G$140&lt;&gt;"moeda")*(Inputs!$G$5:$G$140&lt;&gt;"acoes")))*INDEX(Inputs!$K$5:$AJ$140,0,MATCH(AK$2,Inputs!$K$4:$AJ$4,0)))+SUMPRODUCT((Inputs!$E$5:$E$140=$B24)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$140=$B25)*ISNUMBER(INDEX(Inputs!$K$5:$AJ$140,0,MATCH(D$2,Inputs!$K$4:$AJ$4,0))))+SUMPRODUCT((Inputs!$C$5:$C$140=$B25)*ISNUMBER(INDEX(Inputs!$K$5:$AJ$140,0,MATCH(D$2,Inputs!$K$4:$AJ$4,0))))+SUMPRODUCT((Inputs!$E$5:$E$140=$B25)*ISNUMBER(INDEX(Inputs!$K$5:$AJ$140,0,MATCH(D$2,Inputs!$K$4:$AJ$4,0))))=0,NA(),SUMPRODUCT((Inputs!$A$5:$A$140=$B25)*Inputs!$B$5:$B$140*(((Inputs!$G$5:$G$140="moeda")+(Inputs!$G$5:$G$140="acoes"))*Inputs!$B$1+((Inputs!$G$5:$G$140&lt;&gt;"moeda")*(Inputs!$G$5:$G$140&lt;&gt;"acoes")))*INDEX(Inputs!$K$5:$AJ$140,0,MATCH(D$2,Inputs!$K$4:$AJ$4,0)))+SUMPRODUCT((Inputs!$C$5:$C$140=$B25)*Inputs!$D$5:$D$140*(((Inputs!$G$5:$G$140="moeda")+(Inputs!$G$5:$G$140="acoes"))*Inputs!$B$1+((Inputs!$G$5:$G$140&lt;&gt;"moeda")*(Inputs!$G$5:$G$140&lt;&gt;"acoes")))*INDEX(Inputs!$K$5:$AJ$140,0,MATCH(D$2,Inputs!$K$4:$AJ$4,0)))+SUMPRODUCT((Inputs!$E$5:$E$140=$B25)*Inputs!$F$5:$F$140*(((Inputs!$G$5:$G$140="moeda")+(Inputs!$G$5:$G$140="acoes"))*Inputs!$B$1+((Inputs!$G$5:$G$140&lt;&gt;"moeda")*(Inputs!$G$5:$G$140&lt;&gt;"acoes")))*INDEX(Inputs!$K$5:$AJ$140,0,MATCH(D$2,Inputs!$K$4:$AJ$4,0)))))</f>
        <v>3.23999999</v>
      </c>
      <c r="E25" s="6">
        <f>IF(ISNA(MATCH(E$2,Inputs!$K$4:$AJ$4,0)),NA(),IF(SUMPRODUCT((Inputs!$A$5:$A$140=$B25)*ISNUMBER(INDEX(Inputs!$K$5:$AJ$140,0,MATCH(E$2,Inputs!$K$4:$AJ$4,0))))+SUMPRODUCT((Inputs!$C$5:$C$140=$B25)*ISNUMBER(INDEX(Inputs!$K$5:$AJ$140,0,MATCH(E$2,Inputs!$K$4:$AJ$4,0))))+SUMPRODUCT((Inputs!$E$5:$E$140=$B25)*ISNUMBER(INDEX(Inputs!$K$5:$AJ$140,0,MATCH(E$2,Inputs!$K$4:$AJ$4,0))))=0,NA(),SUMPRODUCT((Inputs!$A$5:$A$140=$B25)*Inputs!$B$5:$B$140*(((Inputs!$G$5:$G$140="moeda")+(Inputs!$G$5:$G$140="acoes"))*Inputs!$B$1+((Inputs!$G$5:$G$140&lt;&gt;"moeda")*(Inputs!$G$5:$G$140&lt;&gt;"acoes")))*INDEX(Inputs!$K$5:$AJ$140,0,MATCH(E$2,Inputs!$K$4:$AJ$4,0)))+SUMPRODUCT((Inputs!$C$5:$C$140=$B25)*Inputs!$D$5:$D$140*(((Inputs!$G$5:$G$140="moeda")+(Inputs!$G$5:$G$140="acoes"))*Inputs!$B$1+((Inputs!$G$5:$G$140&lt;&gt;"moeda")*(Inputs!$G$5:$G$140&lt;&gt;"acoes")))*INDEX(Inputs!$K$5:$AJ$140,0,MATCH(E$2,Inputs!$K$4:$AJ$4,0)))+SUMPRODUCT((Inputs!$E$5:$E$140=$B25)*Inputs!$F$5:$F$140*(((Inputs!$G$5:$G$140="moeda")+(Inputs!$G$5:$G$140="acoes"))*Inputs!$B$1+((Inputs!$G$5:$G$140&lt;&gt;"moeda")*(Inputs!$G$5:$G$140&lt;&gt;"acoes")))*INDEX(Inputs!$K$5:$AJ$140,0,MATCH(E$2,Inputs!$K$4:$AJ$4,0)))))</f>
        <v>3.18999998</v>
      </c>
      <c r="F25" s="6">
        <f>IF(ISNA(MATCH(F$2,Inputs!$K$4:$AJ$4,0)),NA(),IF(SUMPRODUCT((Inputs!$A$5:$A$140=$B25)*ISNUMBER(INDEX(Inputs!$K$5:$AJ$140,0,MATCH(F$2,Inputs!$K$4:$AJ$4,0))))+SUMPRODUCT((Inputs!$C$5:$C$140=$B25)*ISNUMBER(INDEX(Inputs!$K$5:$AJ$140,0,MATCH(F$2,Inputs!$K$4:$AJ$4,0))))+SUMPRODUCT((Inputs!$E$5:$E$140=$B25)*ISNUMBER(INDEX(Inputs!$K$5:$AJ$140,0,MATCH(F$2,Inputs!$K$4:$AJ$4,0))))=0,NA(),SUMPRODUCT((Inputs!$A$5:$A$140=$B25)*Inputs!$B$5:$B$140*(((Inputs!$G$5:$G$140="moeda")+(Inputs!$G$5:$G$140="acoes"))*Inputs!$B$1+((Inputs!$G$5:$G$140&lt;&gt;"moeda")*(Inputs!$G$5:$G$140&lt;&gt;"acoes")))*INDEX(Inputs!$K$5:$AJ$140,0,MATCH(F$2,Inputs!$K$4:$AJ$4,0)))+SUMPRODUCT((Inputs!$C$5:$C$140=$B25)*Inputs!$D$5:$D$140*(((Inputs!$G$5:$G$140="moeda")+(Inputs!$G$5:$G$140="acoes"))*Inputs!$B$1+((Inputs!$G$5:$G$140&lt;&gt;"moeda")*(Inputs!$G$5:$G$140&lt;&gt;"acoes")))*INDEX(Inputs!$K$5:$AJ$140,0,MATCH(F$2,Inputs!$K$4:$AJ$4,0)))+SUMPRODUCT((Inputs!$E$5:$E$140=$B25)*Inputs!$F$5:$F$140*(((Inputs!$G$5:$G$140="moeda")+(Inputs!$G$5:$G$140="acoes"))*Inputs!$B$1+((Inputs!$G$5:$G$140&lt;&gt;"moeda")*(Inputs!$G$5:$G$140&lt;&gt;"acoes")))*INDEX(Inputs!$K$5:$AJ$140,0,MATCH(F$2,Inputs!$K$4:$AJ$4,0)))))</f>
        <v>2.606</v>
      </c>
      <c r="G25" s="6">
        <f>IF(ISNA(MATCH(G$2,Inputs!$K$4:$AJ$4,0)),NA(),IF(SUMPRODUCT((Inputs!$A$5:$A$140=$B25)*ISNUMBER(INDEX(Inputs!$K$5:$AJ$140,0,MATCH(G$2,Inputs!$K$4:$AJ$4,0))))+SUMPRODUCT((Inputs!$C$5:$C$140=$B25)*ISNUMBER(INDEX(Inputs!$K$5:$AJ$140,0,MATCH(G$2,Inputs!$K$4:$AJ$4,0))))+SUMPRODUCT((Inputs!$E$5:$E$140=$B25)*ISNUMBER(INDEX(Inputs!$K$5:$AJ$140,0,MATCH(G$2,Inputs!$K$4:$AJ$4,0))))=0,NA(),SUMPRODUCT((Inputs!$A$5:$A$140=$B25)*Inputs!$B$5:$B$140*(((Inputs!$G$5:$G$140="moeda")+(Inputs!$G$5:$G$140="acoes"))*Inputs!$B$1+((Inputs!$G$5:$G$140&lt;&gt;"moeda")*(Inputs!$G$5:$G$140&lt;&gt;"acoes")))*INDEX(Inputs!$K$5:$AJ$140,0,MATCH(G$2,Inputs!$K$4:$AJ$4,0)))+SUMPRODUCT((Inputs!$C$5:$C$140=$B25)*Inputs!$D$5:$D$140*(((Inputs!$G$5:$G$140="moeda")+(Inputs!$G$5:$G$140="acoes"))*Inputs!$B$1+((Inputs!$G$5:$G$140&lt;&gt;"moeda")*(Inputs!$G$5:$G$140&lt;&gt;"acoes")))*INDEX(Inputs!$K$5:$AJ$140,0,MATCH(G$2,Inputs!$K$4:$AJ$4,0)))+SUMPRODUCT((Inputs!$E$5:$E$140=$B25)*Inputs!$F$5:$F$140*(((Inputs!$G$5:$G$140="moeda")+(Inputs!$G$5:$G$140="acoes"))*Inputs!$B$1+((Inputs!$G$5:$G$140&lt;&gt;"moeda")*(Inputs!$G$5:$G$140&lt;&gt;"acoes")))*INDEX(Inputs!$K$5:$AJ$140,0,MATCH(G$2,Inputs!$K$4:$AJ$4,0)))))</f>
        <v>2.556</v>
      </c>
      <c r="H25" s="3">
        <f>G25</f>
        <v>2.556</v>
      </c>
      <c r="I25" s="6">
        <f>IF(ISNA(MATCH(I$2,Inputs!$K$4:$AJ$4,0)),NA(),IF(SUMPRODUCT((Inputs!$A$5:$A$140=$B25)*ISNUMBER(INDEX(Inputs!$K$5:$AJ$140,0,MATCH(I$2,Inputs!$K$4:$AJ$4,0))))+SUMPRODUCT((Inputs!$C$5:$C$140=$B25)*ISNUMBER(INDEX(Inputs!$K$5:$AJ$140,0,MATCH(I$2,Inputs!$K$4:$AJ$4,0))))+SUMPRODUCT((Inputs!$E$5:$E$140=$B25)*ISNUMBER(INDEX(Inputs!$K$5:$AJ$140,0,MATCH(I$2,Inputs!$K$4:$AJ$4,0))))=0,NA(),SUMPRODUCT((Inputs!$A$5:$A$140=$B25)*Inputs!$B$5:$B$140*(((Inputs!$G$5:$G$140="moeda")+(Inputs!$G$5:$G$140="acoes"))*Inputs!$B$1+((Inputs!$G$5:$G$140&lt;&gt;"moeda")*(Inputs!$G$5:$G$140&lt;&gt;"acoes")))*INDEX(Inputs!$K$5:$AJ$140,0,MATCH(I$2,Inputs!$K$4:$AJ$4,0)))+SUMPRODUCT((Inputs!$C$5:$C$140=$B25)*Inputs!$D$5:$D$140*(((Inputs!$G$5:$G$140="moeda")+(Inputs!$G$5:$G$140="acoes"))*Inputs!$B$1+((Inputs!$G$5:$G$140&lt;&gt;"moeda")*(Inputs!$G$5:$G$140&lt;&gt;"acoes")))*INDEX(Inputs!$K$5:$AJ$140,0,MATCH(I$2,Inputs!$K$4:$AJ$4,0)))+SUMPRODUCT((Inputs!$E$5:$E$140=$B25)*Inputs!$F$5:$F$140*(((Inputs!$G$5:$G$140="moeda")+(Inputs!$G$5:$G$140="acoes"))*Inputs!$B$1+((Inputs!$G$5:$G$140&lt;&gt;"moeda")*(Inputs!$G$5:$G$140&lt;&gt;"acoes")))*INDEX(Inputs!$K$5:$AJ$140,0,MATCH(I$2,Inputs!$K$4:$AJ$4,0)))))</f>
        <v>2.506</v>
      </c>
      <c r="J25" s="6">
        <f>IF(ISNA(MATCH(J$2,Inputs!$K$4:$AJ$4,0)),NA(),IF(SUMPRODUCT((Inputs!$A$5:$A$140=$B25)*ISNUMBER(INDEX(Inputs!$K$5:$AJ$140,0,MATCH(J$2,Inputs!$K$4:$AJ$4,0))))+SUMPRODUCT((Inputs!$C$5:$C$140=$B25)*ISNUMBER(INDEX(Inputs!$K$5:$AJ$140,0,MATCH(J$2,Inputs!$K$4:$AJ$4,0))))+SUMPRODUCT((Inputs!$E$5:$E$140=$B25)*ISNUMBER(INDEX(Inputs!$K$5:$AJ$140,0,MATCH(J$2,Inputs!$K$4:$AJ$4,0))))=0,NA(),SUMPRODUCT((Inputs!$A$5:$A$140=$B25)*Inputs!$B$5:$B$140*(((Inputs!$G$5:$G$140="moeda")+(Inputs!$G$5:$G$140="acoes"))*Inputs!$B$1+((Inputs!$G$5:$G$140&lt;&gt;"moeda")*(Inputs!$G$5:$G$140&lt;&gt;"acoes")))*INDEX(Inputs!$K$5:$AJ$140,0,MATCH(J$2,Inputs!$K$4:$AJ$4,0)))+SUMPRODUCT((Inputs!$C$5:$C$140=$B25)*Inputs!$D$5:$D$140*(((Inputs!$G$5:$G$140="moeda")+(Inputs!$G$5:$G$140="acoes"))*Inputs!$B$1+((Inputs!$G$5:$G$140&lt;&gt;"moeda")*(Inputs!$G$5:$G$140&lt;&gt;"acoes")))*INDEX(Inputs!$K$5:$AJ$140,0,MATCH(J$2,Inputs!$K$4:$AJ$4,0)))+SUMPRODUCT((Inputs!$E$5:$E$140=$B25)*Inputs!$F$5:$F$140*(((Inputs!$G$5:$G$140="moeda")+(Inputs!$G$5:$G$140="acoes"))*Inputs!$B$1+((Inputs!$G$5:$G$140&lt;&gt;"moeda")*(Inputs!$G$5:$G$140&lt;&gt;"acoes")))*INDEX(Inputs!$K$5:$AJ$140,0,MATCH(J$2,Inputs!$K$4:$AJ$4,0)))))</f>
        <v>2.456</v>
      </c>
      <c r="K25" s="6">
        <f>IF(ISNA(MATCH(K$2,Inputs!$K$4:$AJ$4,0)),NA(),IF(SUMPRODUCT((Inputs!$A$5:$A$140=$B25)*ISNUMBER(INDEX(Inputs!$K$5:$AJ$140,0,MATCH(K$2,Inputs!$K$4:$AJ$4,0))))+SUMPRODUCT((Inputs!$C$5:$C$140=$B25)*ISNUMBER(INDEX(Inputs!$K$5:$AJ$140,0,MATCH(K$2,Inputs!$K$4:$AJ$4,0))))+SUMPRODUCT((Inputs!$E$5:$E$140=$B25)*ISNUMBER(INDEX(Inputs!$K$5:$AJ$140,0,MATCH(K$2,Inputs!$K$4:$AJ$4,0))))=0,NA(),SUMPRODUCT((Inputs!$A$5:$A$140=$B25)*Inputs!$B$5:$B$140*(((Inputs!$G$5:$G$140="moeda")+(Inputs!$G$5:$G$140="acoes"))*Inputs!$B$1+((Inputs!$G$5:$G$140&lt;&gt;"moeda")*(Inputs!$G$5:$G$140&lt;&gt;"acoes")))*INDEX(Inputs!$K$5:$AJ$140,0,MATCH(K$2,Inputs!$K$4:$AJ$4,0)))+SUMPRODUCT((Inputs!$C$5:$C$140=$B25)*Inputs!$D$5:$D$140*(((Inputs!$G$5:$G$140="moeda")+(Inputs!$G$5:$G$140="acoes"))*Inputs!$B$1+((Inputs!$G$5:$G$140&lt;&gt;"moeda")*(Inputs!$G$5:$G$140&lt;&gt;"acoes")))*INDEX(Inputs!$K$5:$AJ$140,0,MATCH(K$2,Inputs!$K$4:$AJ$4,0)))+SUMPRODUCT((Inputs!$E$5:$E$140=$B25)*Inputs!$F$5:$F$140*(((Inputs!$G$5:$G$140="moeda")+(Inputs!$G$5:$G$140="acoes"))*Inputs!$B$1+((Inputs!$G$5:$G$140&lt;&gt;"moeda")*(Inputs!$G$5:$G$140&lt;&gt;"acoes")))*INDEX(Inputs!$K$5:$AJ$140,0,MATCH(K$2,Inputs!$K$4:$AJ$4,0)))))</f>
        <v>2.406</v>
      </c>
      <c r="L25" s="6">
        <f>IF(ISNA(MATCH(L$2,Inputs!$K$4:$AJ$4,0)),NA(),IF(SUMPRODUCT((Inputs!$A$5:$A$140=$B25)*ISNUMBER(INDEX(Inputs!$K$5:$AJ$140,0,MATCH(L$2,Inputs!$K$4:$AJ$4,0))))+SUMPRODUCT((Inputs!$C$5:$C$140=$B25)*ISNUMBER(INDEX(Inputs!$K$5:$AJ$140,0,MATCH(L$2,Inputs!$K$4:$AJ$4,0))))+SUMPRODUCT((Inputs!$E$5:$E$140=$B25)*ISNUMBER(INDEX(Inputs!$K$5:$AJ$140,0,MATCH(L$2,Inputs!$K$4:$AJ$4,0))))=0,NA(),SUMPRODUCT((Inputs!$A$5:$A$140=$B25)*Inputs!$B$5:$B$140*(((Inputs!$G$5:$G$140="moeda")+(Inputs!$G$5:$G$140="acoes"))*Inputs!$B$1+((Inputs!$G$5:$G$140&lt;&gt;"moeda")*(Inputs!$G$5:$G$140&lt;&gt;"acoes")))*INDEX(Inputs!$K$5:$AJ$140,0,MATCH(L$2,Inputs!$K$4:$AJ$4,0)))+SUMPRODUCT((Inputs!$C$5:$C$140=$B25)*Inputs!$D$5:$D$140*(((Inputs!$G$5:$G$140="moeda")+(Inputs!$G$5:$G$140="acoes"))*Inputs!$B$1+((Inputs!$G$5:$G$140&lt;&gt;"moeda")*(Inputs!$G$5:$G$140&lt;&gt;"acoes")))*INDEX(Inputs!$K$5:$AJ$140,0,MATCH(L$2,Inputs!$K$4:$AJ$4,0)))+SUMPRODUCT((Inputs!$E$5:$E$140=$B25)*Inputs!$F$5:$F$140*(((Inputs!$G$5:$G$140="moeda")+(Inputs!$G$5:$G$140="acoes"))*Inputs!$B$1+((Inputs!$G$5:$G$140&lt;&gt;"moeda")*(Inputs!$G$5:$G$140&lt;&gt;"acoes")))*INDEX(Inputs!$K$5:$AJ$140,0,MATCH(L$2,Inputs!$K$4:$AJ$4,0)))))</f>
        <v>4.515</v>
      </c>
      <c r="M25" s="3">
        <f>L25</f>
        <v>4.515</v>
      </c>
      <c r="N25" s="6">
        <f>IF(ISNA(MATCH(N$2,Inputs!$K$4:$AJ$4,0)),NA(),IF(SUMPRODUCT((Inputs!$A$5:$A$140=$B25)*ISNUMBER(INDEX(Inputs!$K$5:$AJ$140,0,MATCH(N$2,Inputs!$K$4:$AJ$4,0))))+SUMPRODUCT((Inputs!$C$5:$C$140=$B25)*ISNUMBER(INDEX(Inputs!$K$5:$AJ$140,0,MATCH(N$2,Inputs!$K$4:$AJ$4,0))))+SUMPRODUCT((Inputs!$E$5:$E$140=$B25)*ISNUMBER(INDEX(Inputs!$K$5:$AJ$140,0,MATCH(N$2,Inputs!$K$4:$AJ$4,0))))=0,NA(),SUMPRODUCT((Inputs!$A$5:$A$140=$B25)*Inputs!$B$5:$B$140*(((Inputs!$G$5:$G$140="moeda")+(Inputs!$G$5:$G$140="acoes"))*Inputs!$B$1+((Inputs!$G$5:$G$140&lt;&gt;"moeda")*(Inputs!$G$5:$G$140&lt;&gt;"acoes")))*INDEX(Inputs!$K$5:$AJ$140,0,MATCH(N$2,Inputs!$K$4:$AJ$4,0)))+SUMPRODUCT((Inputs!$C$5:$C$140=$B25)*Inputs!$D$5:$D$140*(((Inputs!$G$5:$G$140="moeda")+(Inputs!$G$5:$G$140="acoes"))*Inputs!$B$1+((Inputs!$G$5:$G$140&lt;&gt;"moeda")*(Inputs!$G$5:$G$140&lt;&gt;"acoes")))*INDEX(Inputs!$K$5:$AJ$140,0,MATCH(N$2,Inputs!$K$4:$AJ$4,0)))+SUMPRODUCT((Inputs!$E$5:$E$140=$B25)*Inputs!$F$5:$F$140*(((Inputs!$G$5:$G$140="moeda")+(Inputs!$G$5:$G$140="acoes"))*Inputs!$B$1+((Inputs!$G$5:$G$140&lt;&gt;"moeda")*(Inputs!$G$5:$G$140&lt;&gt;"acoes")))*INDEX(Inputs!$K$5:$AJ$140,0,MATCH(N$2,Inputs!$K$4:$AJ$4,0)))))</f>
        <v>11.951</v>
      </c>
      <c r="O25" s="6">
        <f>IF(ISNA(MATCH(O$2,Inputs!$K$4:$AJ$4,0)),NA(),IF(SUMPRODUCT((Inputs!$A$5:$A$140=$B25)*ISNUMBER(INDEX(Inputs!$K$5:$AJ$140,0,MATCH(O$2,Inputs!$K$4:$AJ$4,0))))+SUMPRODUCT((Inputs!$C$5:$C$140=$B25)*ISNUMBER(INDEX(Inputs!$K$5:$AJ$140,0,MATCH(O$2,Inputs!$K$4:$AJ$4,0))))+SUMPRODUCT((Inputs!$E$5:$E$140=$B25)*ISNUMBER(INDEX(Inputs!$K$5:$AJ$140,0,MATCH(O$2,Inputs!$K$4:$AJ$4,0))))=0,NA(),SUMPRODUCT((Inputs!$A$5:$A$140=$B25)*Inputs!$B$5:$B$140*(((Inputs!$G$5:$G$140="moeda")+(Inputs!$G$5:$G$140="acoes"))*Inputs!$B$1+((Inputs!$G$5:$G$140&lt;&gt;"moeda")*(Inputs!$G$5:$G$140&lt;&gt;"acoes")))*INDEX(Inputs!$K$5:$AJ$140,0,MATCH(O$2,Inputs!$K$4:$AJ$4,0)))+SUMPRODUCT((Inputs!$C$5:$C$140=$B25)*Inputs!$D$5:$D$140*(((Inputs!$G$5:$G$140="moeda")+(Inputs!$G$5:$G$140="acoes"))*Inputs!$B$1+((Inputs!$G$5:$G$140&lt;&gt;"moeda")*(Inputs!$G$5:$G$140&lt;&gt;"acoes")))*INDEX(Inputs!$K$5:$AJ$140,0,MATCH(O$2,Inputs!$K$4:$AJ$4,0)))+SUMPRODUCT((Inputs!$E$5:$E$140=$B25)*Inputs!$F$5:$F$140*(((Inputs!$G$5:$G$140="moeda")+(Inputs!$G$5:$G$140="acoes"))*Inputs!$B$1+((Inputs!$G$5:$G$140&lt;&gt;"moeda")*(Inputs!$G$5:$G$140&lt;&gt;"acoes")))*INDEX(Inputs!$K$5:$AJ$140,0,MATCH(O$2,Inputs!$K$4:$AJ$4,0)))))</f>
        <v>26.2</v>
      </c>
      <c r="P25" s="6">
        <f>IF(ISNA(MATCH(P$2,Inputs!$K$4:$AJ$4,0)),NA(),IF(SUMPRODUCT((Inputs!$A$5:$A$140=$B25)*ISNUMBER(INDEX(Inputs!$K$5:$AJ$140,0,MATCH(P$2,Inputs!$K$4:$AJ$4,0))))+SUMPRODUCT((Inputs!$C$5:$C$140=$B25)*ISNUMBER(INDEX(Inputs!$K$5:$AJ$140,0,MATCH(P$2,Inputs!$K$4:$AJ$4,0))))+SUMPRODUCT((Inputs!$E$5:$E$140=$B25)*ISNUMBER(INDEX(Inputs!$K$5:$AJ$140,0,MATCH(P$2,Inputs!$K$4:$AJ$4,0))))=0,NA(),SUMPRODUCT((Inputs!$A$5:$A$140=$B25)*Inputs!$B$5:$B$140*(((Inputs!$G$5:$G$140="moeda")+(Inputs!$G$5:$G$140="acoes"))*Inputs!$B$1+((Inputs!$G$5:$G$140&lt;&gt;"moeda")*(Inputs!$G$5:$G$140&lt;&gt;"acoes")))*INDEX(Inputs!$K$5:$AJ$140,0,MATCH(P$2,Inputs!$K$4:$AJ$4,0)))+SUMPRODUCT((Inputs!$C$5:$C$140=$B25)*Inputs!$D$5:$D$140*(((Inputs!$G$5:$G$140="moeda")+(Inputs!$G$5:$G$140="acoes"))*Inputs!$B$1+((Inputs!$G$5:$G$140&lt;&gt;"moeda")*(Inputs!$G$5:$G$140&lt;&gt;"acoes")))*INDEX(Inputs!$K$5:$AJ$140,0,MATCH(P$2,Inputs!$K$4:$AJ$4,0)))+SUMPRODUCT((Inputs!$E$5:$E$140=$B25)*Inputs!$F$5:$F$140*(((Inputs!$G$5:$G$140="moeda")+(Inputs!$G$5:$G$140="acoes"))*Inputs!$B$1+((Inputs!$G$5:$G$140&lt;&gt;"moeda")*(Inputs!$G$5:$G$140&lt;&gt;"acoes")))*INDEX(Inputs!$K$5:$AJ$140,0,MATCH(P$2,Inputs!$K$4:$AJ$4,0)))))</f>
        <v>30.907</v>
      </c>
      <c r="Q25" s="6">
        <f>IF(ISNA(MATCH(Q$2,Inputs!$K$4:$AJ$4,0)),NA(),IF(SUMPRODUCT((Inputs!$A$5:$A$140=$B25)*ISNUMBER(INDEX(Inputs!$K$5:$AJ$140,0,MATCH(Q$2,Inputs!$K$4:$AJ$4,0))))+SUMPRODUCT((Inputs!$C$5:$C$140=$B25)*ISNUMBER(INDEX(Inputs!$K$5:$AJ$140,0,MATCH(Q$2,Inputs!$K$4:$AJ$4,0))))+SUMPRODUCT((Inputs!$E$5:$E$140=$B25)*ISNUMBER(INDEX(Inputs!$K$5:$AJ$140,0,MATCH(Q$2,Inputs!$K$4:$AJ$4,0))))=0,NA(),SUMPRODUCT((Inputs!$A$5:$A$140=$B25)*Inputs!$B$5:$B$140*(((Inputs!$G$5:$G$140="moeda")+(Inputs!$G$5:$G$140="acoes"))*Inputs!$B$1+((Inputs!$G$5:$G$140&lt;&gt;"moeda")*(Inputs!$G$5:$G$140&lt;&gt;"acoes")))*INDEX(Inputs!$K$5:$AJ$140,0,MATCH(Q$2,Inputs!$K$4:$AJ$4,0)))+SUMPRODUCT((Inputs!$C$5:$C$140=$B25)*Inputs!$D$5:$D$140*(((Inputs!$G$5:$G$140="moeda")+(Inputs!$G$5:$G$140="acoes"))*Inputs!$B$1+((Inputs!$G$5:$G$140&lt;&gt;"moeda")*(Inputs!$G$5:$G$140&lt;&gt;"acoes")))*INDEX(Inputs!$K$5:$AJ$140,0,MATCH(Q$2,Inputs!$K$4:$AJ$4,0)))+SUMPRODUCT((Inputs!$E$5:$E$140=$B25)*Inputs!$F$5:$F$140*(((Inputs!$G$5:$G$140="moeda")+(Inputs!$G$5:$G$140="acoes"))*Inputs!$B$1+((Inputs!$G$5:$G$140&lt;&gt;"moeda")*(Inputs!$G$5:$G$140&lt;&gt;"acoes")))*INDEX(Inputs!$K$5:$AJ$140,0,MATCH(Q$2,Inputs!$K$4:$AJ$4,0)))))</f>
        <v>33.84</v>
      </c>
      <c r="R25" s="3">
        <f>Q25</f>
        <v>33.84</v>
      </c>
      <c r="S25" s="6">
        <f>IF(ISNA(MATCH(S$2,Inputs!$K$4:$AJ$4,0)),NA(),IF(SUMPRODUCT((Inputs!$A$5:$A$140=$B25)*ISNUMBER(INDEX(Inputs!$K$5:$AJ$140,0,MATCH(S$2,Inputs!$K$4:$AJ$4,0))))+SUMPRODUCT((Inputs!$C$5:$C$140=$B25)*ISNUMBER(INDEX(Inputs!$K$5:$AJ$140,0,MATCH(S$2,Inputs!$K$4:$AJ$4,0))))+SUMPRODUCT((Inputs!$E$5:$E$140=$B25)*ISNUMBER(INDEX(Inputs!$K$5:$AJ$140,0,MATCH(S$2,Inputs!$K$4:$AJ$4,0))))=0,NA(),SUMPRODUCT((Inputs!$A$5:$A$140=$B25)*Inputs!$B$5:$B$140*(((Inputs!$G$5:$G$140="moeda")+(Inputs!$G$5:$G$140="acoes"))*Inputs!$B$1+((Inputs!$G$5:$G$140&lt;&gt;"moeda")*(Inputs!$G$5:$G$140&lt;&gt;"acoes")))*INDEX(Inputs!$K$5:$AJ$140,0,MATCH(S$2,Inputs!$K$4:$AJ$4,0)))+SUMPRODUCT((Inputs!$C$5:$C$140=$B25)*Inputs!$D$5:$D$140*(((Inputs!$G$5:$G$140="moeda")+(Inputs!$G$5:$G$140="acoes"))*Inputs!$B$1+((Inputs!$G$5:$G$140&lt;&gt;"moeda")*(Inputs!$G$5:$G$140&lt;&gt;"acoes")))*INDEX(Inputs!$K$5:$AJ$140,0,MATCH(S$2,Inputs!$K$4:$AJ$4,0)))+SUMPRODUCT((Inputs!$E$5:$E$140=$B25)*Inputs!$F$5:$F$140*(((Inputs!$G$5:$G$140="moeda")+(Inputs!$G$5:$G$140="acoes"))*Inputs!$B$1+((Inputs!$G$5:$G$140&lt;&gt;"moeda")*(Inputs!$G$5:$G$140&lt;&gt;"acoes")))*INDEX(Inputs!$K$5:$AJ$140,0,MATCH(S$2,Inputs!$K$4:$AJ$4,0)))))</f>
        <v>39.202</v>
      </c>
      <c r="T25" s="6">
        <f>IF(ISNA(MATCH(T$2,Inputs!$K$4:$AJ$4,0)),NA(),IF(SUMPRODUCT((Inputs!$A$5:$A$140=$B25)*ISNUMBER(INDEX(Inputs!$K$5:$AJ$140,0,MATCH(T$2,Inputs!$K$4:$AJ$4,0))))+SUMPRODUCT((Inputs!$C$5:$C$140=$B25)*ISNUMBER(INDEX(Inputs!$K$5:$AJ$140,0,MATCH(T$2,Inputs!$K$4:$AJ$4,0))))+SUMPRODUCT((Inputs!$E$5:$E$140=$B25)*ISNUMBER(INDEX(Inputs!$K$5:$AJ$140,0,MATCH(T$2,Inputs!$K$4:$AJ$4,0))))=0,NA(),SUMPRODUCT((Inputs!$A$5:$A$140=$B25)*Inputs!$B$5:$B$140*(((Inputs!$G$5:$G$140="moeda")+(Inputs!$G$5:$G$140="acoes"))*Inputs!$B$1+((Inputs!$G$5:$G$140&lt;&gt;"moeda")*(Inputs!$G$5:$G$140&lt;&gt;"acoes")))*INDEX(Inputs!$K$5:$AJ$140,0,MATCH(T$2,Inputs!$K$4:$AJ$4,0)))+SUMPRODUCT((Inputs!$C$5:$C$140=$B25)*Inputs!$D$5:$D$140*(((Inputs!$G$5:$G$140="moeda")+(Inputs!$G$5:$G$140="acoes"))*Inputs!$B$1+((Inputs!$G$5:$G$140&lt;&gt;"moeda")*(Inputs!$G$5:$G$140&lt;&gt;"acoes")))*INDEX(Inputs!$K$5:$AJ$140,0,MATCH(T$2,Inputs!$K$4:$AJ$4,0)))+SUMPRODUCT((Inputs!$E$5:$E$140=$B25)*Inputs!$F$5:$F$140*(((Inputs!$G$5:$G$140="moeda")+(Inputs!$G$5:$G$140="acoes"))*Inputs!$B$1+((Inputs!$G$5:$G$140&lt;&gt;"moeda")*(Inputs!$G$5:$G$140&lt;&gt;"acoes")))*INDEX(Inputs!$K$5:$AJ$140,0,MATCH(T$2,Inputs!$K$4:$AJ$4,0)))))</f>
        <v>43.174</v>
      </c>
      <c r="U25" s="6">
        <f>IF(ISNA(MATCH(U$2,Inputs!$K$4:$AJ$4,0)),NA(),IF(SUMPRODUCT((Inputs!$A$5:$A$140=$B25)*ISNUMBER(INDEX(Inputs!$K$5:$AJ$140,0,MATCH(U$2,Inputs!$K$4:$AJ$4,0))))+SUMPRODUCT((Inputs!$C$5:$C$140=$B25)*ISNUMBER(INDEX(Inputs!$K$5:$AJ$140,0,MATCH(U$2,Inputs!$K$4:$AJ$4,0))))+SUMPRODUCT((Inputs!$E$5:$E$140=$B25)*ISNUMBER(INDEX(Inputs!$K$5:$AJ$140,0,MATCH(U$2,Inputs!$K$4:$AJ$4,0))))=0,NA(),SUMPRODUCT((Inputs!$A$5:$A$140=$B25)*Inputs!$B$5:$B$140*(((Inputs!$G$5:$G$140="moeda")+(Inputs!$G$5:$G$140="acoes"))*Inputs!$B$1+((Inputs!$G$5:$G$140&lt;&gt;"moeda")*(Inputs!$G$5:$G$140&lt;&gt;"acoes")))*INDEX(Inputs!$K$5:$AJ$140,0,MATCH(U$2,Inputs!$K$4:$AJ$4,0)))+SUMPRODUCT((Inputs!$C$5:$C$140=$B25)*Inputs!$D$5:$D$140*(((Inputs!$G$5:$G$140="moeda")+(Inputs!$G$5:$G$140="acoes"))*Inputs!$B$1+((Inputs!$G$5:$G$140&lt;&gt;"moeda")*(Inputs!$G$5:$G$140&lt;&gt;"acoes")))*INDEX(Inputs!$K$5:$AJ$140,0,MATCH(U$2,Inputs!$K$4:$AJ$4,0)))+SUMPRODUCT((Inputs!$E$5:$E$140=$B25)*Inputs!$F$5:$F$140*(((Inputs!$G$5:$G$140="moeda")+(Inputs!$G$5:$G$140="acoes"))*Inputs!$B$1+((Inputs!$G$5:$G$140&lt;&gt;"moeda")*(Inputs!$G$5:$G$140&lt;&gt;"acoes")))*INDEX(Inputs!$K$5:$AJ$140,0,MATCH(U$2,Inputs!$K$4:$AJ$4,0)))))</f>
        <v>46.893</v>
      </c>
      <c r="V25" s="6">
        <f>IF(ISNA(MATCH(V$2,Inputs!$K$4:$AJ$4,0)),NA(),IF(SUMPRODUCT((Inputs!$A$5:$A$140=$B25)*ISNUMBER(INDEX(Inputs!$K$5:$AJ$140,0,MATCH(V$2,Inputs!$K$4:$AJ$4,0))))+SUMPRODUCT((Inputs!$C$5:$C$140=$B25)*ISNUMBER(INDEX(Inputs!$K$5:$AJ$140,0,MATCH(V$2,Inputs!$K$4:$AJ$4,0))))+SUMPRODUCT((Inputs!$E$5:$E$140=$B25)*ISNUMBER(INDEX(Inputs!$K$5:$AJ$140,0,MATCH(V$2,Inputs!$K$4:$AJ$4,0))))=0,NA(),SUMPRODUCT((Inputs!$A$5:$A$140=$B25)*Inputs!$B$5:$B$140*(((Inputs!$G$5:$G$140="moeda")+(Inputs!$G$5:$G$140="acoes"))*Inputs!$B$1+((Inputs!$G$5:$G$140&lt;&gt;"moeda")*(Inputs!$G$5:$G$140&lt;&gt;"acoes")))*INDEX(Inputs!$K$5:$AJ$140,0,MATCH(V$2,Inputs!$K$4:$AJ$4,0)))+SUMPRODUCT((Inputs!$C$5:$C$140=$B25)*Inputs!$D$5:$D$140*(((Inputs!$G$5:$G$140="moeda")+(Inputs!$G$5:$G$140="acoes"))*Inputs!$B$1+((Inputs!$G$5:$G$140&lt;&gt;"moeda")*(Inputs!$G$5:$G$140&lt;&gt;"acoes")))*INDEX(Inputs!$K$5:$AJ$140,0,MATCH(V$2,Inputs!$K$4:$AJ$4,0)))+SUMPRODUCT((Inputs!$E$5:$E$140=$B25)*Inputs!$F$5:$F$140*(((Inputs!$G$5:$G$140="moeda")+(Inputs!$G$5:$G$140="acoes"))*Inputs!$B$1+((Inputs!$G$5:$G$140&lt;&gt;"moeda")*(Inputs!$G$5:$G$140&lt;&gt;"acoes")))*INDEX(Inputs!$K$5:$AJ$140,0,MATCH(V$2,Inputs!$K$4:$AJ$4,0)))))</f>
        <v>61.16</v>
      </c>
      <c r="W25" s="3">
        <f>V25</f>
        <v>61.16</v>
      </c>
      <c r="X25" s="6">
        <f>IF(ISNA(MATCH(X$2,Inputs!$K$4:$AJ$4,0)),NA(),IF(SUMPRODUCT((Inputs!$A$5:$A$140=$B25)*ISNUMBER(INDEX(Inputs!$K$5:$AJ$140,0,MATCH(X$2,Inputs!$K$4:$AJ$4,0))))+SUMPRODUCT((Inputs!$C$5:$C$140=$B25)*ISNUMBER(INDEX(Inputs!$K$5:$AJ$140,0,MATCH(X$2,Inputs!$K$4:$AJ$4,0))))+SUMPRODUCT((Inputs!$E$5:$E$140=$B25)*ISNUMBER(INDEX(Inputs!$K$5:$AJ$140,0,MATCH(X$2,Inputs!$K$4:$AJ$4,0))))=0,NA(),SUMPRODUCT((Inputs!$A$5:$A$140=$B25)*Inputs!$B$5:$B$140*(((Inputs!$G$5:$G$140="moeda")+(Inputs!$G$5:$G$140="acoes"))*Inputs!$B$1+((Inputs!$G$5:$G$140&lt;&gt;"moeda")*(Inputs!$G$5:$G$140&lt;&gt;"acoes")))*INDEX(Inputs!$K$5:$AJ$140,0,MATCH(X$2,Inputs!$K$4:$AJ$4,0)))+SUMPRODUCT((Inputs!$C$5:$C$140=$B25)*Inputs!$D$5:$D$140*(((Inputs!$G$5:$G$140="moeda")+(Inputs!$G$5:$G$140="acoes"))*Inputs!$B$1+((Inputs!$G$5:$G$140&lt;&gt;"moeda")*(Inputs!$G$5:$G$140&lt;&gt;"acoes")))*INDEX(Inputs!$K$5:$AJ$140,0,MATCH(X$2,Inputs!$K$4:$AJ$4,0)))+SUMPRODUCT((Inputs!$E$5:$E$140=$B25)*Inputs!$F$5:$F$140*(((Inputs!$G$5:$G$140="moeda")+(Inputs!$G$5:$G$140="acoes"))*Inputs!$B$1+((Inputs!$G$5:$G$140&lt;&gt;"moeda")*(Inputs!$G$5:$G$140&lt;&gt;"acoes")))*INDEX(Inputs!$K$5:$AJ$140,0,MATCH(X$2,Inputs!$K$4:$AJ$4,0)))))</f>
        <v>63.831</v>
      </c>
      <c r="Y25" s="6">
        <f>IF(ISNA(MATCH(Y$2,Inputs!$K$4:$AJ$4,0)),NA(),IF(SUMPRODUCT((Inputs!$A$5:$A$140=$B25)*ISNUMBER(INDEX(Inputs!$K$5:$AJ$140,0,MATCH(Y$2,Inputs!$K$4:$AJ$4,0))))+SUMPRODUCT((Inputs!$C$5:$C$140=$B25)*ISNUMBER(INDEX(Inputs!$K$5:$AJ$140,0,MATCH(Y$2,Inputs!$K$4:$AJ$4,0))))+SUMPRODUCT((Inputs!$E$5:$E$140=$B25)*ISNUMBER(INDEX(Inputs!$K$5:$AJ$140,0,MATCH(Y$2,Inputs!$K$4:$AJ$4,0))))=0,NA(),SUMPRODUCT((Inputs!$A$5:$A$140=$B25)*Inputs!$B$5:$B$140*(((Inputs!$G$5:$G$140="moeda")+(Inputs!$G$5:$G$140="acoes"))*Inputs!$B$1+((Inputs!$G$5:$G$140&lt;&gt;"moeda")*(Inputs!$G$5:$G$140&lt;&gt;"acoes")))*INDEX(Inputs!$K$5:$AJ$140,0,MATCH(Y$2,Inputs!$K$4:$AJ$4,0)))+SUMPRODUCT((Inputs!$C$5:$C$140=$B25)*Inputs!$D$5:$D$140*(((Inputs!$G$5:$G$140="moeda")+(Inputs!$G$5:$G$140="acoes"))*Inputs!$B$1+((Inputs!$G$5:$G$140&lt;&gt;"moeda")*(Inputs!$G$5:$G$140&lt;&gt;"acoes")))*INDEX(Inputs!$K$5:$AJ$140,0,MATCH(Y$2,Inputs!$K$4:$AJ$4,0)))+SUMPRODUCT((Inputs!$E$5:$E$140=$B25)*Inputs!$F$5:$F$140*(((Inputs!$G$5:$G$140="moeda")+(Inputs!$G$5:$G$140="acoes"))*Inputs!$B$1+((Inputs!$G$5:$G$140&lt;&gt;"moeda")*(Inputs!$G$5:$G$140&lt;&gt;"acoes")))*INDEX(Inputs!$K$5:$AJ$140,0,MATCH(Y$2,Inputs!$K$4:$AJ$4,0)))))</f>
        <v>69.687</v>
      </c>
      <c r="Z25" s="6">
        <f>IF(ISNA(MATCH(Z$2,Inputs!$K$4:$AJ$4,0)),NA(),IF(SUMPRODUCT((Inputs!$A$5:$A$140=$B25)*ISNUMBER(INDEX(Inputs!$K$5:$AJ$140,0,MATCH(Z$2,Inputs!$K$4:$AJ$4,0))))+SUMPRODUCT((Inputs!$C$5:$C$140=$B25)*ISNUMBER(INDEX(Inputs!$K$5:$AJ$140,0,MATCH(Z$2,Inputs!$K$4:$AJ$4,0))))+SUMPRODUCT((Inputs!$E$5:$E$140=$B25)*ISNUMBER(INDEX(Inputs!$K$5:$AJ$140,0,MATCH(Z$2,Inputs!$K$4:$AJ$4,0))))=0,NA(),SUMPRODUCT((Inputs!$A$5:$A$140=$B25)*Inputs!$B$5:$B$140*(((Inputs!$G$5:$G$140="moeda")+(Inputs!$G$5:$G$140="acoes"))*Inputs!$B$1+((Inputs!$G$5:$G$140&lt;&gt;"moeda")*(Inputs!$G$5:$G$140&lt;&gt;"acoes")))*INDEX(Inputs!$K$5:$AJ$140,0,MATCH(Z$2,Inputs!$K$4:$AJ$4,0)))+SUMPRODUCT((Inputs!$C$5:$C$140=$B25)*Inputs!$D$5:$D$140*(((Inputs!$G$5:$G$140="moeda")+(Inputs!$G$5:$G$140="acoes"))*Inputs!$B$1+((Inputs!$G$5:$G$140&lt;&gt;"moeda")*(Inputs!$G$5:$G$140&lt;&gt;"acoes")))*INDEX(Inputs!$K$5:$AJ$140,0,MATCH(Z$2,Inputs!$K$4:$AJ$4,0)))+SUMPRODUCT((Inputs!$E$5:$E$140=$B25)*Inputs!$F$5:$F$140*(((Inputs!$G$5:$G$140="moeda")+(Inputs!$G$5:$G$140="acoes"))*Inputs!$B$1+((Inputs!$G$5:$G$140&lt;&gt;"moeda")*(Inputs!$G$5:$G$140&lt;&gt;"acoes")))*INDEX(Inputs!$K$5:$AJ$140,0,MATCH(Z$2,Inputs!$K$4:$AJ$4,0)))))</f>
        <v>729.491</v>
      </c>
      <c r="AA25" s="6">
        <f>IF(ISNA(MATCH(AA$2,Inputs!$K$4:$AJ$4,0)),NA(),IF(SUMPRODUCT((Inputs!$A$5:$A$140=$B25)*ISNUMBER(INDEX(Inputs!$K$5:$AJ$140,0,MATCH(AA$2,Inputs!$K$4:$AJ$4,0))))+SUMPRODUCT((Inputs!$C$5:$C$140=$B25)*ISNUMBER(INDEX(Inputs!$K$5:$AJ$140,0,MATCH(AA$2,Inputs!$K$4:$AJ$4,0))))+SUMPRODUCT((Inputs!$E$5:$E$140=$B25)*ISNUMBER(INDEX(Inputs!$K$5:$AJ$140,0,MATCH(AA$2,Inputs!$K$4:$AJ$4,0))))=0,NA(),SUMPRODUCT((Inputs!$A$5:$A$140=$B25)*Inputs!$B$5:$B$140*(((Inputs!$G$5:$G$140="moeda")+(Inputs!$G$5:$G$140="acoes"))*Inputs!$B$1+((Inputs!$G$5:$G$140&lt;&gt;"moeda")*(Inputs!$G$5:$G$140&lt;&gt;"acoes")))*INDEX(Inputs!$K$5:$AJ$140,0,MATCH(AA$2,Inputs!$K$4:$AJ$4,0)))+SUMPRODUCT((Inputs!$C$5:$C$140=$B25)*Inputs!$D$5:$D$140*(((Inputs!$G$5:$G$140="moeda")+(Inputs!$G$5:$G$140="acoes"))*Inputs!$B$1+((Inputs!$G$5:$G$140&lt;&gt;"moeda")*(Inputs!$G$5:$G$140&lt;&gt;"acoes")))*INDEX(Inputs!$K$5:$AJ$140,0,MATCH(AA$2,Inputs!$K$4:$AJ$4,0)))+SUMPRODUCT((Inputs!$E$5:$E$140=$B25)*Inputs!$F$5:$F$140*(((Inputs!$G$5:$G$140="moeda")+(Inputs!$G$5:$G$140="acoes"))*Inputs!$B$1+((Inputs!$G$5:$G$140&lt;&gt;"moeda")*(Inputs!$G$5:$G$140&lt;&gt;"acoes")))*INDEX(Inputs!$K$5:$AJ$140,0,MATCH(AA$2,Inputs!$K$4:$AJ$4,0)))))</f>
        <v>651.724</v>
      </c>
      <c r="AB25" s="3">
        <f>AA25</f>
        <v>651.724</v>
      </c>
      <c r="AC25" s="6">
        <f>IF(ISNA(MATCH(AC$2,Inputs!$K$4:$AJ$4,0)),NA(),IF(SUMPRODUCT((Inputs!$A$5:$A$140=$B25)*ISNUMBER(INDEX(Inputs!$K$5:$AJ$140,0,MATCH(AC$2,Inputs!$K$4:$AJ$4,0))))+SUMPRODUCT((Inputs!$C$5:$C$140=$B25)*ISNUMBER(INDEX(Inputs!$K$5:$AJ$140,0,MATCH(AC$2,Inputs!$K$4:$AJ$4,0))))+SUMPRODUCT((Inputs!$E$5:$E$140=$B25)*ISNUMBER(INDEX(Inputs!$K$5:$AJ$140,0,MATCH(AC$2,Inputs!$K$4:$AJ$4,0))))=0,NA(),SUMPRODUCT((Inputs!$A$5:$A$140=$B25)*Inputs!$B$5:$B$140*(((Inputs!$G$5:$G$140="moeda")+(Inputs!$G$5:$G$140="acoes"))*Inputs!$B$1+((Inputs!$G$5:$G$140&lt;&gt;"moeda")*(Inputs!$G$5:$G$140&lt;&gt;"acoes")))*INDEX(Inputs!$K$5:$AJ$140,0,MATCH(AC$2,Inputs!$K$4:$AJ$4,0)))+SUMPRODUCT((Inputs!$C$5:$C$140=$B25)*Inputs!$D$5:$D$140*(((Inputs!$G$5:$G$140="moeda")+(Inputs!$G$5:$G$140="acoes"))*Inputs!$B$1+((Inputs!$G$5:$G$140&lt;&gt;"moeda")*(Inputs!$G$5:$G$140&lt;&gt;"acoes")))*INDEX(Inputs!$K$5:$AJ$140,0,MATCH(AC$2,Inputs!$K$4:$AJ$4,0)))+SUMPRODUCT((Inputs!$E$5:$E$140=$B25)*Inputs!$F$5:$F$140*(((Inputs!$G$5:$G$140="moeda")+(Inputs!$G$5:$G$140="acoes"))*Inputs!$B$1+((Inputs!$G$5:$G$140&lt;&gt;"moeda")*(Inputs!$G$5:$G$140&lt;&gt;"acoes")))*INDEX(Inputs!$K$5:$AJ$140,0,MATCH(AC$2,Inputs!$K$4:$AJ$4,0)))))</f>
        <v>663.084</v>
      </c>
      <c r="AD25" s="6">
        <f>IF(ISNA(MATCH(AD$2,Inputs!$K$4:$AJ$4,0)),NA(),IF(SUMPRODUCT((Inputs!$A$5:$A$140=$B25)*ISNUMBER(INDEX(Inputs!$K$5:$AJ$140,0,MATCH(AD$2,Inputs!$K$4:$AJ$4,0))))+SUMPRODUCT((Inputs!$C$5:$C$140=$B25)*ISNUMBER(INDEX(Inputs!$K$5:$AJ$140,0,MATCH(AD$2,Inputs!$K$4:$AJ$4,0))))+SUMPRODUCT((Inputs!$E$5:$E$140=$B25)*ISNUMBER(INDEX(Inputs!$K$5:$AJ$140,0,MATCH(AD$2,Inputs!$K$4:$AJ$4,0))))=0,NA(),SUMPRODUCT((Inputs!$A$5:$A$140=$B25)*Inputs!$B$5:$B$140*(((Inputs!$G$5:$G$140="moeda")+(Inputs!$G$5:$G$140="acoes"))*Inputs!$B$1+((Inputs!$G$5:$G$140&lt;&gt;"moeda")*(Inputs!$G$5:$G$140&lt;&gt;"acoes")))*INDEX(Inputs!$K$5:$AJ$140,0,MATCH(AD$2,Inputs!$K$4:$AJ$4,0)))+SUMPRODUCT((Inputs!$C$5:$C$140=$B25)*Inputs!$D$5:$D$140*(((Inputs!$G$5:$G$140="moeda")+(Inputs!$G$5:$G$140="acoes"))*Inputs!$B$1+((Inputs!$G$5:$G$140&lt;&gt;"moeda")*(Inputs!$G$5:$G$140&lt;&gt;"acoes")))*INDEX(Inputs!$K$5:$AJ$140,0,MATCH(AD$2,Inputs!$K$4:$AJ$4,0)))+SUMPRODUCT((Inputs!$E$5:$E$140=$B25)*Inputs!$F$5:$F$140*(((Inputs!$G$5:$G$140="moeda")+(Inputs!$G$5:$G$140="acoes"))*Inputs!$B$1+((Inputs!$G$5:$G$140&lt;&gt;"moeda")*(Inputs!$G$5:$G$140&lt;&gt;"acoes")))*INDEX(Inputs!$K$5:$AJ$140,0,MATCH(AD$2,Inputs!$K$4:$AJ$4,0)))))</f>
        <v>748.934</v>
      </c>
      <c r="AE25" s="6" t="e">
        <f>IF(ISNA(MATCH(AE$2,Inputs!$K$4:$AJ$4,0)),NA(),IF(SUMPRODUCT((Inputs!$A$5:$A$140=$B25)*ISNUMBER(INDEX(Inputs!$K$5:$AJ$140,0,MATCH(AE$2,Inputs!$K$4:$AJ$4,0))))+SUMPRODUCT((Inputs!$C$5:$C$140=$B25)*ISNUMBER(INDEX(Inputs!$K$5:$AJ$140,0,MATCH(AE$2,Inputs!$K$4:$AJ$4,0))))+SUMPRODUCT((Inputs!$E$5:$E$140=$B25)*ISNUMBER(INDEX(Inputs!$K$5:$AJ$140,0,MATCH(AE$2,Inputs!$K$4:$AJ$4,0))))=0,NA(),SUMPRODUCT((Inputs!$A$5:$A$140=$B25)*Inputs!$B$5:$B$140*(((Inputs!$G$5:$G$140="moeda")+(Inputs!$G$5:$G$140="acoes"))*Inputs!$B$1+((Inputs!$G$5:$G$140&lt;&gt;"moeda")*(Inputs!$G$5:$G$140&lt;&gt;"acoes")))*INDEX(Inputs!$K$5:$AJ$140,0,MATCH(AE$2,Inputs!$K$4:$AJ$4,0)))+SUMPRODUCT((Inputs!$C$5:$C$140=$B25)*Inputs!$D$5:$D$140*(((Inputs!$G$5:$G$140="moeda")+(Inputs!$G$5:$G$140="acoes"))*Inputs!$B$1+((Inputs!$G$5:$G$140&lt;&gt;"moeda")*(Inputs!$G$5:$G$140&lt;&gt;"acoes")))*INDEX(Inputs!$K$5:$AJ$140,0,MATCH(AE$2,Inputs!$K$4:$AJ$4,0)))+SUMPRODUCT((Inputs!$E$5:$E$140=$B25)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5" s="6" t="e">
        <f>IF(ISNA(MATCH(AF$2,Inputs!$K$4:$AJ$4,0)),NA(),IF(SUMPRODUCT((Inputs!$A$5:$A$140=$B25)*ISNUMBER(INDEX(Inputs!$K$5:$AJ$140,0,MATCH(AF$2,Inputs!$K$4:$AJ$4,0))))+SUMPRODUCT((Inputs!$C$5:$C$140=$B25)*ISNUMBER(INDEX(Inputs!$K$5:$AJ$140,0,MATCH(AF$2,Inputs!$K$4:$AJ$4,0))))+SUMPRODUCT((Inputs!$E$5:$E$140=$B25)*ISNUMBER(INDEX(Inputs!$K$5:$AJ$140,0,MATCH(AF$2,Inputs!$K$4:$AJ$4,0))))=0,NA(),SUMPRODUCT((Inputs!$A$5:$A$140=$B25)*Inputs!$B$5:$B$140*(((Inputs!$G$5:$G$140="moeda")+(Inputs!$G$5:$G$140="acoes"))*Inputs!$B$1+((Inputs!$G$5:$G$140&lt;&gt;"moeda")*(Inputs!$G$5:$G$140&lt;&gt;"acoes")))*INDEX(Inputs!$K$5:$AJ$140,0,MATCH(AF$2,Inputs!$K$4:$AJ$4,0)))+SUMPRODUCT((Inputs!$C$5:$C$140=$B25)*Inputs!$D$5:$D$140*(((Inputs!$G$5:$G$140="moeda")+(Inputs!$G$5:$G$140="acoes"))*Inputs!$B$1+((Inputs!$G$5:$G$140&lt;&gt;"moeda")*(Inputs!$G$5:$G$140&lt;&gt;"acoes")))*INDEX(Inputs!$K$5:$AJ$140,0,MATCH(AF$2,Inputs!$K$4:$AJ$4,0)))+SUMPRODUCT((Inputs!$E$5:$E$140=$B25)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5" s="3" t="e">
        <f>AF25</f>
        <v>#N/A</v>
      </c>
      <c r="AH25" s="6" t="e">
        <f>IF(ISNA(MATCH(AH$2,Inputs!$K$4:$AJ$4,0)),NA(),IF(SUMPRODUCT((Inputs!$A$5:$A$140=$B25)*ISNUMBER(INDEX(Inputs!$K$5:$AJ$140,0,MATCH(AH$2,Inputs!$K$4:$AJ$4,0))))+SUMPRODUCT((Inputs!$C$5:$C$140=$B25)*ISNUMBER(INDEX(Inputs!$K$5:$AJ$140,0,MATCH(AH$2,Inputs!$K$4:$AJ$4,0))))+SUMPRODUCT((Inputs!$E$5:$E$140=$B25)*ISNUMBER(INDEX(Inputs!$K$5:$AJ$140,0,MATCH(AH$2,Inputs!$K$4:$AJ$4,0))))=0,NA(),SUMPRODUCT((Inputs!$A$5:$A$140=$B25)*Inputs!$B$5:$B$140*(((Inputs!$G$5:$G$140="moeda")+(Inputs!$G$5:$G$140="acoes"))*Inputs!$B$1+((Inputs!$G$5:$G$140&lt;&gt;"moeda")*(Inputs!$G$5:$G$140&lt;&gt;"acoes")))*INDEX(Inputs!$K$5:$AJ$140,0,MATCH(AH$2,Inputs!$K$4:$AJ$4,0)))+SUMPRODUCT((Inputs!$C$5:$C$140=$B25)*Inputs!$D$5:$D$140*(((Inputs!$G$5:$G$140="moeda")+(Inputs!$G$5:$G$140="acoes"))*Inputs!$B$1+((Inputs!$G$5:$G$140&lt;&gt;"moeda")*(Inputs!$G$5:$G$140&lt;&gt;"acoes")))*INDEX(Inputs!$K$5:$AJ$140,0,MATCH(AH$2,Inputs!$K$4:$AJ$4,0)))+SUMPRODUCT((Inputs!$E$5:$E$140=$B25)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5" s="6">
        <f>IF(ISNA(MATCH(AI$2,Inputs!$K$4:$AJ$4,0)),NA(),IF(SUMPRODUCT((Inputs!$A$5:$A$140=$B25)*ISNUMBER(INDEX(Inputs!$K$5:$AJ$140,0,MATCH(AI$2,Inputs!$K$4:$AJ$4,0))))+SUMPRODUCT((Inputs!$C$5:$C$140=$B25)*ISNUMBER(INDEX(Inputs!$K$5:$AJ$140,0,MATCH(AI$2,Inputs!$K$4:$AJ$4,0))))+SUMPRODUCT((Inputs!$E$5:$E$140=$B25)*ISNUMBER(INDEX(Inputs!$K$5:$AJ$140,0,MATCH(AI$2,Inputs!$K$4:$AJ$4,0))))=0,NA(),SUMPRODUCT((Inputs!$A$5:$A$140=$B25)*Inputs!$B$5:$B$140*(((Inputs!$G$5:$G$140="moeda")+(Inputs!$G$5:$G$140="acoes"))*Inputs!$B$1+((Inputs!$G$5:$G$140&lt;&gt;"moeda")*(Inputs!$G$5:$G$140&lt;&gt;"acoes")))*INDEX(Inputs!$K$5:$AJ$140,0,MATCH(AI$2,Inputs!$K$4:$AJ$4,0)))+SUMPRODUCT((Inputs!$C$5:$C$140=$B25)*Inputs!$D$5:$D$140*(((Inputs!$G$5:$G$140="moeda")+(Inputs!$G$5:$G$140="acoes"))*Inputs!$B$1+((Inputs!$G$5:$G$140&lt;&gt;"moeda")*(Inputs!$G$5:$G$140&lt;&gt;"acoes")))*INDEX(Inputs!$K$5:$AJ$140,0,MATCH(AI$2,Inputs!$K$4:$AJ$4,0)))+SUMPRODUCT((Inputs!$E$5:$E$140=$B25)*Inputs!$F$5:$F$140*(((Inputs!$G$5:$G$140="moeda")+(Inputs!$G$5:$G$140="acoes"))*Inputs!$B$1+((Inputs!$G$5:$G$140&lt;&gt;"moeda")*(Inputs!$G$5:$G$140&lt;&gt;"acoes")))*INDEX(Inputs!$K$5:$AJ$140,0,MATCH(AI$2,Inputs!$K$4:$AJ$4,0)))))</f>
        <v>0.45</v>
      </c>
      <c r="AJ25" s="6">
        <f>IF(ISNA(MATCH(AJ$2,Inputs!$K$4:$AJ$4,0)),NA(),IF(SUMPRODUCT((Inputs!$A$5:$A$140=$B25)*ISNUMBER(INDEX(Inputs!$K$5:$AJ$140,0,MATCH(AJ$2,Inputs!$K$4:$AJ$4,0))))+SUMPRODUCT((Inputs!$C$5:$C$140=$B25)*ISNUMBER(INDEX(Inputs!$K$5:$AJ$140,0,MATCH(AJ$2,Inputs!$K$4:$AJ$4,0))))+SUMPRODUCT((Inputs!$E$5:$E$140=$B25)*ISNUMBER(INDEX(Inputs!$K$5:$AJ$140,0,MATCH(AJ$2,Inputs!$K$4:$AJ$4,0))))=0,NA(),SUMPRODUCT((Inputs!$A$5:$A$140=$B25)*Inputs!$B$5:$B$140*(((Inputs!$G$5:$G$140="moeda")+(Inputs!$G$5:$G$140="acoes"))*Inputs!$B$1+((Inputs!$G$5:$G$140&lt;&gt;"moeda")*(Inputs!$G$5:$G$140&lt;&gt;"acoes")))*INDEX(Inputs!$K$5:$AJ$140,0,MATCH(AJ$2,Inputs!$K$4:$AJ$4,0)))+SUMPRODUCT((Inputs!$C$5:$C$140=$B25)*Inputs!$D$5:$D$140*(((Inputs!$G$5:$G$140="moeda")+(Inputs!$G$5:$G$140="acoes"))*Inputs!$B$1+((Inputs!$G$5:$G$140&lt;&gt;"moeda")*(Inputs!$G$5:$G$140&lt;&gt;"acoes")))*INDEX(Inputs!$K$5:$AJ$140,0,MATCH(AJ$2,Inputs!$K$4:$AJ$4,0)))+SUMPRODUCT((Inputs!$E$5:$E$140=$B25)*Inputs!$F$5:$F$140*(((Inputs!$G$5:$G$140="moeda")+(Inputs!$G$5:$G$140="acoes"))*Inputs!$B$1+((Inputs!$G$5:$G$140&lt;&gt;"moeda")*(Inputs!$G$5:$G$140&lt;&gt;"acoes")))*INDEX(Inputs!$K$5:$AJ$140,0,MATCH(AJ$2,Inputs!$K$4:$AJ$4,0)))))</f>
        <v>0.45</v>
      </c>
      <c r="AK25" s="6">
        <f>IF(ISNA(MATCH(AK$2,Inputs!$K$4:$AJ$4,0)),NA(),IF(SUMPRODUCT((Inputs!$A$5:$A$140=$B25)*ISNUMBER(INDEX(Inputs!$K$5:$AJ$140,0,MATCH(AK$2,Inputs!$K$4:$AJ$4,0))))+SUMPRODUCT((Inputs!$C$5:$C$140=$B25)*ISNUMBER(INDEX(Inputs!$K$5:$AJ$140,0,MATCH(AK$2,Inputs!$K$4:$AJ$4,0))))+SUMPRODUCT((Inputs!$E$5:$E$140=$B25)*ISNUMBER(INDEX(Inputs!$K$5:$AJ$140,0,MATCH(AK$2,Inputs!$K$4:$AJ$4,0))))=0,NA(),SUMPRODUCT((Inputs!$A$5:$A$140=$B25)*Inputs!$B$5:$B$140*(((Inputs!$G$5:$G$140="moeda")+(Inputs!$G$5:$G$140="acoes"))*Inputs!$B$1+((Inputs!$G$5:$G$140&lt;&gt;"moeda")*(Inputs!$G$5:$G$140&lt;&gt;"acoes")))*INDEX(Inputs!$K$5:$AJ$140,0,MATCH(AK$2,Inputs!$K$4:$AJ$4,0)))+SUMPRODUCT((Inputs!$C$5:$C$140=$B25)*Inputs!$D$5:$D$140*(((Inputs!$G$5:$G$140="moeda")+(Inputs!$G$5:$G$140="acoes"))*Inputs!$B$1+((Inputs!$G$5:$G$140&lt;&gt;"moeda")*(Inputs!$G$5:$G$140&lt;&gt;"acoes")))*INDEX(Inputs!$K$5:$AJ$140,0,MATCH(AK$2,Inputs!$K$4:$AJ$4,0)))+SUMPRODUCT((Inputs!$E$5:$E$140=$B25)*Inputs!$F$5:$F$140*(((Inputs!$G$5:$G$140="moeda")+(Inputs!$G$5:$G$140="acoes"))*Inputs!$B$1+((Inputs!$G$5:$G$140&lt;&gt;"moeda")*(Inputs!$G$5:$G$140&lt;&gt;"acoes")))*INDEX(Inputs!$K$5:$AJ$140,0,MATCH(AK$2,Inputs!$K$4:$AJ$4,0)))))</f>
        <v>0.45</v>
      </c>
      <c r="AL25" s="3">
        <f>AK25</f>
        <v>0.45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$140=$B26)*ISNUMBER(INDEX(Inputs!$K$5:$AJ$140,0,MATCH(D$2,Inputs!$K$4:$AJ$4,0))))+SUMPRODUCT((Inputs!$C$5:$C$140=$B26)*ISNUMBER(INDEX(Inputs!$K$5:$AJ$140,0,MATCH(D$2,Inputs!$K$4:$AJ$4,0))))+SUMPRODUCT((Inputs!$E$5:$E$140=$B26)*ISNUMBER(INDEX(Inputs!$K$5:$AJ$140,0,MATCH(D$2,Inputs!$K$4:$AJ$4,0))))=0,NA(),SUMPRODUCT((Inputs!$A$5:$A$140=$B26)*Inputs!$B$5:$B$140*(((Inputs!$G$5:$G$140="moeda")+(Inputs!$G$5:$G$140="acoes"))*Inputs!$B$1+((Inputs!$G$5:$G$140&lt;&gt;"moeda")*(Inputs!$G$5:$G$140&lt;&gt;"acoes")))*INDEX(Inputs!$K$5:$AJ$140,0,MATCH(D$2,Inputs!$K$4:$AJ$4,0)))+SUMPRODUCT((Inputs!$C$5:$C$140=$B26)*Inputs!$D$5:$D$140*(((Inputs!$G$5:$G$140="moeda")+(Inputs!$G$5:$G$140="acoes"))*Inputs!$B$1+((Inputs!$G$5:$G$140&lt;&gt;"moeda")*(Inputs!$G$5:$G$140&lt;&gt;"acoes")))*INDEX(Inputs!$K$5:$AJ$140,0,MATCH(D$2,Inputs!$K$4:$AJ$4,0)))+SUMPRODUCT((Inputs!$E$5:$E$140=$B26)*Inputs!$F$5:$F$140*(((Inputs!$G$5:$G$140="moeda")+(Inputs!$G$5:$G$140="acoes"))*Inputs!$B$1+((Inputs!$G$5:$G$140&lt;&gt;"moeda")*(Inputs!$G$5:$G$140&lt;&gt;"acoes")))*INDEX(Inputs!$K$5:$AJ$140,0,MATCH(D$2,Inputs!$K$4:$AJ$4,0)))))</f>
        <v>103.672125</v>
      </c>
      <c r="E26" s="6">
        <f>IF(ISNA(MATCH(E$2,Inputs!$K$4:$AJ$4,0)),NA(),IF(SUMPRODUCT((Inputs!$A$5:$A$140=$B26)*ISNUMBER(INDEX(Inputs!$K$5:$AJ$140,0,MATCH(E$2,Inputs!$K$4:$AJ$4,0))))+SUMPRODUCT((Inputs!$C$5:$C$140=$B26)*ISNUMBER(INDEX(Inputs!$K$5:$AJ$140,0,MATCH(E$2,Inputs!$K$4:$AJ$4,0))))+SUMPRODUCT((Inputs!$E$5:$E$140=$B26)*ISNUMBER(INDEX(Inputs!$K$5:$AJ$140,0,MATCH(E$2,Inputs!$K$4:$AJ$4,0))))=0,NA(),SUMPRODUCT((Inputs!$A$5:$A$140=$B26)*Inputs!$B$5:$B$140*(((Inputs!$G$5:$G$140="moeda")+(Inputs!$G$5:$G$140="acoes"))*Inputs!$B$1+((Inputs!$G$5:$G$140&lt;&gt;"moeda")*(Inputs!$G$5:$G$140&lt;&gt;"acoes")))*INDEX(Inputs!$K$5:$AJ$140,0,MATCH(E$2,Inputs!$K$4:$AJ$4,0)))+SUMPRODUCT((Inputs!$C$5:$C$140=$B26)*Inputs!$D$5:$D$140*(((Inputs!$G$5:$G$140="moeda")+(Inputs!$G$5:$G$140="acoes"))*Inputs!$B$1+((Inputs!$G$5:$G$140&lt;&gt;"moeda")*(Inputs!$G$5:$G$140&lt;&gt;"acoes")))*INDEX(Inputs!$K$5:$AJ$140,0,MATCH(E$2,Inputs!$K$4:$AJ$4,0)))+SUMPRODUCT((Inputs!$E$5:$E$140=$B26)*Inputs!$F$5:$F$140*(((Inputs!$G$5:$G$140="moeda")+(Inputs!$G$5:$G$140="acoes"))*Inputs!$B$1+((Inputs!$G$5:$G$140&lt;&gt;"moeda")*(Inputs!$G$5:$G$140&lt;&gt;"acoes")))*INDEX(Inputs!$K$5:$AJ$140,0,MATCH(E$2,Inputs!$K$4:$AJ$4,0)))))</f>
        <v>131.34670442</v>
      </c>
      <c r="F26" s="6">
        <f>IF(ISNA(MATCH(F$2,Inputs!$K$4:$AJ$4,0)),NA(),IF(SUMPRODUCT((Inputs!$A$5:$A$140=$B26)*ISNUMBER(INDEX(Inputs!$K$5:$AJ$140,0,MATCH(F$2,Inputs!$K$4:$AJ$4,0))))+SUMPRODUCT((Inputs!$C$5:$C$140=$B26)*ISNUMBER(INDEX(Inputs!$K$5:$AJ$140,0,MATCH(F$2,Inputs!$K$4:$AJ$4,0))))+SUMPRODUCT((Inputs!$E$5:$E$140=$B26)*ISNUMBER(INDEX(Inputs!$K$5:$AJ$140,0,MATCH(F$2,Inputs!$K$4:$AJ$4,0))))=0,NA(),SUMPRODUCT((Inputs!$A$5:$A$140=$B26)*Inputs!$B$5:$B$140*(((Inputs!$G$5:$G$140="moeda")+(Inputs!$G$5:$G$140="acoes"))*Inputs!$B$1+((Inputs!$G$5:$G$140&lt;&gt;"moeda")*(Inputs!$G$5:$G$140&lt;&gt;"acoes")))*INDEX(Inputs!$K$5:$AJ$140,0,MATCH(F$2,Inputs!$K$4:$AJ$4,0)))+SUMPRODUCT((Inputs!$C$5:$C$140=$B26)*Inputs!$D$5:$D$140*(((Inputs!$G$5:$G$140="moeda")+(Inputs!$G$5:$G$140="acoes"))*Inputs!$B$1+((Inputs!$G$5:$G$140&lt;&gt;"moeda")*(Inputs!$G$5:$G$140&lt;&gt;"acoes")))*INDEX(Inputs!$K$5:$AJ$140,0,MATCH(F$2,Inputs!$K$4:$AJ$4,0)))+SUMPRODUCT((Inputs!$E$5:$E$140=$B26)*Inputs!$F$5:$F$140*(((Inputs!$G$5:$G$140="moeda")+(Inputs!$G$5:$G$140="acoes"))*Inputs!$B$1+((Inputs!$G$5:$G$140&lt;&gt;"moeda")*(Inputs!$G$5:$G$140&lt;&gt;"acoes")))*INDEX(Inputs!$K$5:$AJ$140,0,MATCH(F$2,Inputs!$K$4:$AJ$4,0)))))</f>
        <v>156.829</v>
      </c>
      <c r="G26" s="6">
        <f>IF(ISNA(MATCH(G$2,Inputs!$K$4:$AJ$4,0)),NA(),IF(SUMPRODUCT((Inputs!$A$5:$A$140=$B26)*ISNUMBER(INDEX(Inputs!$K$5:$AJ$140,0,MATCH(G$2,Inputs!$K$4:$AJ$4,0))))+SUMPRODUCT((Inputs!$C$5:$C$140=$B26)*ISNUMBER(INDEX(Inputs!$K$5:$AJ$140,0,MATCH(G$2,Inputs!$K$4:$AJ$4,0))))+SUMPRODUCT((Inputs!$E$5:$E$140=$B26)*ISNUMBER(INDEX(Inputs!$K$5:$AJ$140,0,MATCH(G$2,Inputs!$K$4:$AJ$4,0))))=0,NA(),SUMPRODUCT((Inputs!$A$5:$A$140=$B26)*Inputs!$B$5:$B$140*(((Inputs!$G$5:$G$140="moeda")+(Inputs!$G$5:$G$140="acoes"))*Inputs!$B$1+((Inputs!$G$5:$G$140&lt;&gt;"moeda")*(Inputs!$G$5:$G$140&lt;&gt;"acoes")))*INDEX(Inputs!$K$5:$AJ$140,0,MATCH(G$2,Inputs!$K$4:$AJ$4,0)))+SUMPRODUCT((Inputs!$C$5:$C$140=$B26)*Inputs!$D$5:$D$140*(((Inputs!$G$5:$G$140="moeda")+(Inputs!$G$5:$G$140="acoes"))*Inputs!$B$1+((Inputs!$G$5:$G$140&lt;&gt;"moeda")*(Inputs!$G$5:$G$140&lt;&gt;"acoes")))*INDEX(Inputs!$K$5:$AJ$140,0,MATCH(G$2,Inputs!$K$4:$AJ$4,0)))+SUMPRODUCT((Inputs!$E$5:$E$140=$B26)*Inputs!$F$5:$F$140*(((Inputs!$G$5:$G$140="moeda")+(Inputs!$G$5:$G$140="acoes"))*Inputs!$B$1+((Inputs!$G$5:$G$140&lt;&gt;"moeda")*(Inputs!$G$5:$G$140&lt;&gt;"acoes")))*INDEX(Inputs!$K$5:$AJ$140,0,MATCH(G$2,Inputs!$K$4:$AJ$4,0)))))</f>
        <v>187.818</v>
      </c>
      <c r="H26" s="3">
        <f>G26</f>
        <v>187.818</v>
      </c>
      <c r="I26" s="6">
        <f>IF(ISNA(MATCH(I$2,Inputs!$K$4:$AJ$4,0)),NA(),IF(SUMPRODUCT((Inputs!$A$5:$A$140=$B26)*ISNUMBER(INDEX(Inputs!$K$5:$AJ$140,0,MATCH(I$2,Inputs!$K$4:$AJ$4,0))))+SUMPRODUCT((Inputs!$C$5:$C$140=$B26)*ISNUMBER(INDEX(Inputs!$K$5:$AJ$140,0,MATCH(I$2,Inputs!$K$4:$AJ$4,0))))+SUMPRODUCT((Inputs!$E$5:$E$140=$B26)*ISNUMBER(INDEX(Inputs!$K$5:$AJ$140,0,MATCH(I$2,Inputs!$K$4:$AJ$4,0))))=0,NA(),SUMPRODUCT((Inputs!$A$5:$A$140=$B26)*Inputs!$B$5:$B$140*(((Inputs!$G$5:$G$140="moeda")+(Inputs!$G$5:$G$140="acoes"))*Inputs!$B$1+((Inputs!$G$5:$G$140&lt;&gt;"moeda")*(Inputs!$G$5:$G$140&lt;&gt;"acoes")))*INDEX(Inputs!$K$5:$AJ$140,0,MATCH(I$2,Inputs!$K$4:$AJ$4,0)))+SUMPRODUCT((Inputs!$C$5:$C$140=$B26)*Inputs!$D$5:$D$140*(((Inputs!$G$5:$G$140="moeda")+(Inputs!$G$5:$G$140="acoes"))*Inputs!$B$1+((Inputs!$G$5:$G$140&lt;&gt;"moeda")*(Inputs!$G$5:$G$140&lt;&gt;"acoes")))*INDEX(Inputs!$K$5:$AJ$140,0,MATCH(I$2,Inputs!$K$4:$AJ$4,0)))+SUMPRODUCT((Inputs!$E$5:$E$140=$B26)*Inputs!$F$5:$F$140*(((Inputs!$G$5:$G$140="moeda")+(Inputs!$G$5:$G$140="acoes"))*Inputs!$B$1+((Inputs!$G$5:$G$140&lt;&gt;"moeda")*(Inputs!$G$5:$G$140&lt;&gt;"acoes")))*INDEX(Inputs!$K$5:$AJ$140,0,MATCH(I$2,Inputs!$K$4:$AJ$4,0)))))</f>
        <v>169.365</v>
      </c>
      <c r="J26" s="6">
        <f>IF(ISNA(MATCH(J$2,Inputs!$K$4:$AJ$4,0)),NA(),IF(SUMPRODUCT((Inputs!$A$5:$A$140=$B26)*ISNUMBER(INDEX(Inputs!$K$5:$AJ$140,0,MATCH(J$2,Inputs!$K$4:$AJ$4,0))))+SUMPRODUCT((Inputs!$C$5:$C$140=$B26)*ISNUMBER(INDEX(Inputs!$K$5:$AJ$140,0,MATCH(J$2,Inputs!$K$4:$AJ$4,0))))+SUMPRODUCT((Inputs!$E$5:$E$140=$B26)*ISNUMBER(INDEX(Inputs!$K$5:$AJ$140,0,MATCH(J$2,Inputs!$K$4:$AJ$4,0))))=0,NA(),SUMPRODUCT((Inputs!$A$5:$A$140=$B26)*Inputs!$B$5:$B$140*(((Inputs!$G$5:$G$140="moeda")+(Inputs!$G$5:$G$140="acoes"))*Inputs!$B$1+((Inputs!$G$5:$G$140&lt;&gt;"moeda")*(Inputs!$G$5:$G$140&lt;&gt;"acoes")))*INDEX(Inputs!$K$5:$AJ$140,0,MATCH(J$2,Inputs!$K$4:$AJ$4,0)))+SUMPRODUCT((Inputs!$C$5:$C$140=$B26)*Inputs!$D$5:$D$140*(((Inputs!$G$5:$G$140="moeda")+(Inputs!$G$5:$G$140="acoes"))*Inputs!$B$1+((Inputs!$G$5:$G$140&lt;&gt;"moeda")*(Inputs!$G$5:$G$140&lt;&gt;"acoes")))*INDEX(Inputs!$K$5:$AJ$140,0,MATCH(J$2,Inputs!$K$4:$AJ$4,0)))+SUMPRODUCT((Inputs!$E$5:$E$140=$B26)*Inputs!$F$5:$F$140*(((Inputs!$G$5:$G$140="moeda")+(Inputs!$G$5:$G$140="acoes"))*Inputs!$B$1+((Inputs!$G$5:$G$140&lt;&gt;"moeda")*(Inputs!$G$5:$G$140&lt;&gt;"acoes")))*INDEX(Inputs!$K$5:$AJ$140,0,MATCH(J$2,Inputs!$K$4:$AJ$4,0)))))</f>
        <v>198.833</v>
      </c>
      <c r="K26" s="6">
        <f>IF(ISNA(MATCH(K$2,Inputs!$K$4:$AJ$4,0)),NA(),IF(SUMPRODUCT((Inputs!$A$5:$A$140=$B26)*ISNUMBER(INDEX(Inputs!$K$5:$AJ$140,0,MATCH(K$2,Inputs!$K$4:$AJ$4,0))))+SUMPRODUCT((Inputs!$C$5:$C$140=$B26)*ISNUMBER(INDEX(Inputs!$K$5:$AJ$140,0,MATCH(K$2,Inputs!$K$4:$AJ$4,0))))+SUMPRODUCT((Inputs!$E$5:$E$140=$B26)*ISNUMBER(INDEX(Inputs!$K$5:$AJ$140,0,MATCH(K$2,Inputs!$K$4:$AJ$4,0))))=0,NA(),SUMPRODUCT((Inputs!$A$5:$A$140=$B26)*Inputs!$B$5:$B$140*(((Inputs!$G$5:$G$140="moeda")+(Inputs!$G$5:$G$140="acoes"))*Inputs!$B$1+((Inputs!$G$5:$G$140&lt;&gt;"moeda")*(Inputs!$G$5:$G$140&lt;&gt;"acoes")))*INDEX(Inputs!$K$5:$AJ$140,0,MATCH(K$2,Inputs!$K$4:$AJ$4,0)))+SUMPRODUCT((Inputs!$C$5:$C$140=$B26)*Inputs!$D$5:$D$140*(((Inputs!$G$5:$G$140="moeda")+(Inputs!$G$5:$G$140="acoes"))*Inputs!$B$1+((Inputs!$G$5:$G$140&lt;&gt;"moeda")*(Inputs!$G$5:$G$140&lt;&gt;"acoes")))*INDEX(Inputs!$K$5:$AJ$140,0,MATCH(K$2,Inputs!$K$4:$AJ$4,0)))+SUMPRODUCT((Inputs!$E$5:$E$140=$B26)*Inputs!$F$5:$F$140*(((Inputs!$G$5:$G$140="moeda")+(Inputs!$G$5:$G$140="acoes"))*Inputs!$B$1+((Inputs!$G$5:$G$140&lt;&gt;"moeda")*(Inputs!$G$5:$G$140&lt;&gt;"acoes")))*INDEX(Inputs!$K$5:$AJ$140,0,MATCH(K$2,Inputs!$K$4:$AJ$4,0)))))</f>
        <v>220.47868171</v>
      </c>
      <c r="L26" s="6">
        <f>IF(ISNA(MATCH(L$2,Inputs!$K$4:$AJ$4,0)),NA(),IF(SUMPRODUCT((Inputs!$A$5:$A$140=$B26)*ISNUMBER(INDEX(Inputs!$K$5:$AJ$140,0,MATCH(L$2,Inputs!$K$4:$AJ$4,0))))+SUMPRODUCT((Inputs!$C$5:$C$140=$B26)*ISNUMBER(INDEX(Inputs!$K$5:$AJ$140,0,MATCH(L$2,Inputs!$K$4:$AJ$4,0))))+SUMPRODUCT((Inputs!$E$5:$E$140=$B26)*ISNUMBER(INDEX(Inputs!$K$5:$AJ$140,0,MATCH(L$2,Inputs!$K$4:$AJ$4,0))))=0,NA(),SUMPRODUCT((Inputs!$A$5:$A$140=$B26)*Inputs!$B$5:$B$140*(((Inputs!$G$5:$G$140="moeda")+(Inputs!$G$5:$G$140="acoes"))*Inputs!$B$1+((Inputs!$G$5:$G$140&lt;&gt;"moeda")*(Inputs!$G$5:$G$140&lt;&gt;"acoes")))*INDEX(Inputs!$K$5:$AJ$140,0,MATCH(L$2,Inputs!$K$4:$AJ$4,0)))+SUMPRODUCT((Inputs!$C$5:$C$140=$B26)*Inputs!$D$5:$D$140*(((Inputs!$G$5:$G$140="moeda")+(Inputs!$G$5:$G$140="acoes"))*Inputs!$B$1+((Inputs!$G$5:$G$140&lt;&gt;"moeda")*(Inputs!$G$5:$G$140&lt;&gt;"acoes")))*INDEX(Inputs!$K$5:$AJ$140,0,MATCH(L$2,Inputs!$K$4:$AJ$4,0)))+SUMPRODUCT((Inputs!$E$5:$E$140=$B26)*Inputs!$F$5:$F$140*(((Inputs!$G$5:$G$140="moeda")+(Inputs!$G$5:$G$140="acoes"))*Inputs!$B$1+((Inputs!$G$5:$G$140&lt;&gt;"moeda")*(Inputs!$G$5:$G$140&lt;&gt;"acoes")))*INDEX(Inputs!$K$5:$AJ$140,0,MATCH(L$2,Inputs!$K$4:$AJ$4,0)))))</f>
        <v>236.64763351</v>
      </c>
      <c r="M26" s="3">
        <f>L26</f>
        <v>236.64763351</v>
      </c>
      <c r="N26" s="6">
        <f>IF(ISNA(MATCH(N$2,Inputs!$K$4:$AJ$4,0)),NA(),IF(SUMPRODUCT((Inputs!$A$5:$A$140=$B26)*ISNUMBER(INDEX(Inputs!$K$5:$AJ$140,0,MATCH(N$2,Inputs!$K$4:$AJ$4,0))))+SUMPRODUCT((Inputs!$C$5:$C$140=$B26)*ISNUMBER(INDEX(Inputs!$K$5:$AJ$140,0,MATCH(N$2,Inputs!$K$4:$AJ$4,0))))+SUMPRODUCT((Inputs!$E$5:$E$140=$B26)*ISNUMBER(INDEX(Inputs!$K$5:$AJ$140,0,MATCH(N$2,Inputs!$K$4:$AJ$4,0))))=0,NA(),SUMPRODUCT((Inputs!$A$5:$A$140=$B26)*Inputs!$B$5:$B$140*(((Inputs!$G$5:$G$140="moeda")+(Inputs!$G$5:$G$140="acoes"))*Inputs!$B$1+((Inputs!$G$5:$G$140&lt;&gt;"moeda")*(Inputs!$G$5:$G$140&lt;&gt;"acoes")))*INDEX(Inputs!$K$5:$AJ$140,0,MATCH(N$2,Inputs!$K$4:$AJ$4,0)))+SUMPRODUCT((Inputs!$C$5:$C$140=$B26)*Inputs!$D$5:$D$140*(((Inputs!$G$5:$G$140="moeda")+(Inputs!$G$5:$G$140="acoes"))*Inputs!$B$1+((Inputs!$G$5:$G$140&lt;&gt;"moeda")*(Inputs!$G$5:$G$140&lt;&gt;"acoes")))*INDEX(Inputs!$K$5:$AJ$140,0,MATCH(N$2,Inputs!$K$4:$AJ$4,0)))+SUMPRODUCT((Inputs!$E$5:$E$140=$B26)*Inputs!$F$5:$F$140*(((Inputs!$G$5:$G$140="moeda")+(Inputs!$G$5:$G$140="acoes"))*Inputs!$B$1+((Inputs!$G$5:$G$140&lt;&gt;"moeda")*(Inputs!$G$5:$G$140&lt;&gt;"acoes")))*INDEX(Inputs!$K$5:$AJ$140,0,MATCH(N$2,Inputs!$K$4:$AJ$4,0)))))</f>
        <v>255.56792086</v>
      </c>
      <c r="O26" s="6">
        <f>IF(ISNA(MATCH(O$2,Inputs!$K$4:$AJ$4,0)),NA(),IF(SUMPRODUCT((Inputs!$A$5:$A$140=$B26)*ISNUMBER(INDEX(Inputs!$K$5:$AJ$140,0,MATCH(O$2,Inputs!$K$4:$AJ$4,0))))+SUMPRODUCT((Inputs!$C$5:$C$140=$B26)*ISNUMBER(INDEX(Inputs!$K$5:$AJ$140,0,MATCH(O$2,Inputs!$K$4:$AJ$4,0))))+SUMPRODUCT((Inputs!$E$5:$E$140=$B26)*ISNUMBER(INDEX(Inputs!$K$5:$AJ$140,0,MATCH(O$2,Inputs!$K$4:$AJ$4,0))))=0,NA(),SUMPRODUCT((Inputs!$A$5:$A$140=$B26)*Inputs!$B$5:$B$140*(((Inputs!$G$5:$G$140="moeda")+(Inputs!$G$5:$G$140="acoes"))*Inputs!$B$1+((Inputs!$G$5:$G$140&lt;&gt;"moeda")*(Inputs!$G$5:$G$140&lt;&gt;"acoes")))*INDEX(Inputs!$K$5:$AJ$140,0,MATCH(O$2,Inputs!$K$4:$AJ$4,0)))+SUMPRODUCT((Inputs!$C$5:$C$140=$B26)*Inputs!$D$5:$D$140*(((Inputs!$G$5:$G$140="moeda")+(Inputs!$G$5:$G$140="acoes"))*Inputs!$B$1+((Inputs!$G$5:$G$140&lt;&gt;"moeda")*(Inputs!$G$5:$G$140&lt;&gt;"acoes")))*INDEX(Inputs!$K$5:$AJ$140,0,MATCH(O$2,Inputs!$K$4:$AJ$4,0)))+SUMPRODUCT((Inputs!$E$5:$E$140=$B26)*Inputs!$F$5:$F$140*(((Inputs!$G$5:$G$140="moeda")+(Inputs!$G$5:$G$140="acoes"))*Inputs!$B$1+((Inputs!$G$5:$G$140&lt;&gt;"moeda")*(Inputs!$G$5:$G$140&lt;&gt;"acoes")))*INDEX(Inputs!$K$5:$AJ$140,0,MATCH(O$2,Inputs!$K$4:$AJ$4,0)))))</f>
        <v>431.297</v>
      </c>
      <c r="P26" s="6">
        <f>IF(ISNA(MATCH(P$2,Inputs!$K$4:$AJ$4,0)),NA(),IF(SUMPRODUCT((Inputs!$A$5:$A$140=$B26)*ISNUMBER(INDEX(Inputs!$K$5:$AJ$140,0,MATCH(P$2,Inputs!$K$4:$AJ$4,0))))+SUMPRODUCT((Inputs!$C$5:$C$140=$B26)*ISNUMBER(INDEX(Inputs!$K$5:$AJ$140,0,MATCH(P$2,Inputs!$K$4:$AJ$4,0))))+SUMPRODUCT((Inputs!$E$5:$E$140=$B26)*ISNUMBER(INDEX(Inputs!$K$5:$AJ$140,0,MATCH(P$2,Inputs!$K$4:$AJ$4,0))))=0,NA(),SUMPRODUCT((Inputs!$A$5:$A$140=$B26)*Inputs!$B$5:$B$140*(((Inputs!$G$5:$G$140="moeda")+(Inputs!$G$5:$G$140="acoes"))*Inputs!$B$1+((Inputs!$G$5:$G$140&lt;&gt;"moeda")*(Inputs!$G$5:$G$140&lt;&gt;"acoes")))*INDEX(Inputs!$K$5:$AJ$140,0,MATCH(P$2,Inputs!$K$4:$AJ$4,0)))+SUMPRODUCT((Inputs!$C$5:$C$140=$B26)*Inputs!$D$5:$D$140*(((Inputs!$G$5:$G$140="moeda")+(Inputs!$G$5:$G$140="acoes"))*Inputs!$B$1+((Inputs!$G$5:$G$140&lt;&gt;"moeda")*(Inputs!$G$5:$G$140&lt;&gt;"acoes")))*INDEX(Inputs!$K$5:$AJ$140,0,MATCH(P$2,Inputs!$K$4:$AJ$4,0)))+SUMPRODUCT((Inputs!$E$5:$E$140=$B26)*Inputs!$F$5:$F$140*(((Inputs!$G$5:$G$140="moeda")+(Inputs!$G$5:$G$140="acoes"))*Inputs!$B$1+((Inputs!$G$5:$G$140&lt;&gt;"moeda")*(Inputs!$G$5:$G$140&lt;&gt;"acoes")))*INDEX(Inputs!$K$5:$AJ$140,0,MATCH(P$2,Inputs!$K$4:$AJ$4,0)))))</f>
        <v>439.403</v>
      </c>
      <c r="Q26" s="6">
        <f>IF(ISNA(MATCH(Q$2,Inputs!$K$4:$AJ$4,0)),NA(),IF(SUMPRODUCT((Inputs!$A$5:$A$140=$B26)*ISNUMBER(INDEX(Inputs!$K$5:$AJ$140,0,MATCH(Q$2,Inputs!$K$4:$AJ$4,0))))+SUMPRODUCT((Inputs!$C$5:$C$140=$B26)*ISNUMBER(INDEX(Inputs!$K$5:$AJ$140,0,MATCH(Q$2,Inputs!$K$4:$AJ$4,0))))+SUMPRODUCT((Inputs!$E$5:$E$140=$B26)*ISNUMBER(INDEX(Inputs!$K$5:$AJ$140,0,MATCH(Q$2,Inputs!$K$4:$AJ$4,0))))=0,NA(),SUMPRODUCT((Inputs!$A$5:$A$140=$B26)*Inputs!$B$5:$B$140*(((Inputs!$G$5:$G$140="moeda")+(Inputs!$G$5:$G$140="acoes"))*Inputs!$B$1+((Inputs!$G$5:$G$140&lt;&gt;"moeda")*(Inputs!$G$5:$G$140&lt;&gt;"acoes")))*INDEX(Inputs!$K$5:$AJ$140,0,MATCH(Q$2,Inputs!$K$4:$AJ$4,0)))+SUMPRODUCT((Inputs!$C$5:$C$140=$B26)*Inputs!$D$5:$D$140*(((Inputs!$G$5:$G$140="moeda")+(Inputs!$G$5:$G$140="acoes"))*Inputs!$B$1+((Inputs!$G$5:$G$140&lt;&gt;"moeda")*(Inputs!$G$5:$G$140&lt;&gt;"acoes")))*INDEX(Inputs!$K$5:$AJ$140,0,MATCH(Q$2,Inputs!$K$4:$AJ$4,0)))+SUMPRODUCT((Inputs!$E$5:$E$140=$B26)*Inputs!$F$5:$F$140*(((Inputs!$G$5:$G$140="moeda")+(Inputs!$G$5:$G$140="acoes"))*Inputs!$B$1+((Inputs!$G$5:$G$140&lt;&gt;"moeda")*(Inputs!$G$5:$G$140&lt;&gt;"acoes")))*INDEX(Inputs!$K$5:$AJ$140,0,MATCH(Q$2,Inputs!$K$4:$AJ$4,0)))))</f>
        <v>351.47481072</v>
      </c>
      <c r="R26" s="3">
        <f>Q26</f>
        <v>351.47481072</v>
      </c>
      <c r="S26" s="6">
        <f>IF(ISNA(MATCH(S$2,Inputs!$K$4:$AJ$4,0)),NA(),IF(SUMPRODUCT((Inputs!$A$5:$A$140=$B26)*ISNUMBER(INDEX(Inputs!$K$5:$AJ$140,0,MATCH(S$2,Inputs!$K$4:$AJ$4,0))))+SUMPRODUCT((Inputs!$C$5:$C$140=$B26)*ISNUMBER(INDEX(Inputs!$K$5:$AJ$140,0,MATCH(S$2,Inputs!$K$4:$AJ$4,0))))+SUMPRODUCT((Inputs!$E$5:$E$140=$B26)*ISNUMBER(INDEX(Inputs!$K$5:$AJ$140,0,MATCH(S$2,Inputs!$K$4:$AJ$4,0))))=0,NA(),SUMPRODUCT((Inputs!$A$5:$A$140=$B26)*Inputs!$B$5:$B$140*(((Inputs!$G$5:$G$140="moeda")+(Inputs!$G$5:$G$140="acoes"))*Inputs!$B$1+((Inputs!$G$5:$G$140&lt;&gt;"moeda")*(Inputs!$G$5:$G$140&lt;&gt;"acoes")))*INDEX(Inputs!$K$5:$AJ$140,0,MATCH(S$2,Inputs!$K$4:$AJ$4,0)))+SUMPRODUCT((Inputs!$C$5:$C$140=$B26)*Inputs!$D$5:$D$140*(((Inputs!$G$5:$G$140="moeda")+(Inputs!$G$5:$G$140="acoes"))*Inputs!$B$1+((Inputs!$G$5:$G$140&lt;&gt;"moeda")*(Inputs!$G$5:$G$140&lt;&gt;"acoes")))*INDEX(Inputs!$K$5:$AJ$140,0,MATCH(S$2,Inputs!$K$4:$AJ$4,0)))+SUMPRODUCT((Inputs!$E$5:$E$140=$B26)*Inputs!$F$5:$F$140*(((Inputs!$G$5:$G$140="moeda")+(Inputs!$G$5:$G$140="acoes"))*Inputs!$B$1+((Inputs!$G$5:$G$140&lt;&gt;"moeda")*(Inputs!$G$5:$G$140&lt;&gt;"acoes")))*INDEX(Inputs!$K$5:$AJ$140,0,MATCH(S$2,Inputs!$K$4:$AJ$4,0)))))</f>
        <v>372.259</v>
      </c>
      <c r="T26" s="6">
        <f>IF(ISNA(MATCH(T$2,Inputs!$K$4:$AJ$4,0)),NA(),IF(SUMPRODUCT((Inputs!$A$5:$A$140=$B26)*ISNUMBER(INDEX(Inputs!$K$5:$AJ$140,0,MATCH(T$2,Inputs!$K$4:$AJ$4,0))))+SUMPRODUCT((Inputs!$C$5:$C$140=$B26)*ISNUMBER(INDEX(Inputs!$K$5:$AJ$140,0,MATCH(T$2,Inputs!$K$4:$AJ$4,0))))+SUMPRODUCT((Inputs!$E$5:$E$140=$B26)*ISNUMBER(INDEX(Inputs!$K$5:$AJ$140,0,MATCH(T$2,Inputs!$K$4:$AJ$4,0))))=0,NA(),SUMPRODUCT((Inputs!$A$5:$A$140=$B26)*Inputs!$B$5:$B$140*(((Inputs!$G$5:$G$140="moeda")+(Inputs!$G$5:$G$140="acoes"))*Inputs!$B$1+((Inputs!$G$5:$G$140&lt;&gt;"moeda")*(Inputs!$G$5:$G$140&lt;&gt;"acoes")))*INDEX(Inputs!$K$5:$AJ$140,0,MATCH(T$2,Inputs!$K$4:$AJ$4,0)))+SUMPRODUCT((Inputs!$C$5:$C$140=$B26)*Inputs!$D$5:$D$140*(((Inputs!$G$5:$G$140="moeda")+(Inputs!$G$5:$G$140="acoes"))*Inputs!$B$1+((Inputs!$G$5:$G$140&lt;&gt;"moeda")*(Inputs!$G$5:$G$140&lt;&gt;"acoes")))*INDEX(Inputs!$K$5:$AJ$140,0,MATCH(T$2,Inputs!$K$4:$AJ$4,0)))+SUMPRODUCT((Inputs!$E$5:$E$140=$B26)*Inputs!$F$5:$F$140*(((Inputs!$G$5:$G$140="moeda")+(Inputs!$G$5:$G$140="acoes"))*Inputs!$B$1+((Inputs!$G$5:$G$140&lt;&gt;"moeda")*(Inputs!$G$5:$G$140&lt;&gt;"acoes")))*INDEX(Inputs!$K$5:$AJ$140,0,MATCH(T$2,Inputs!$K$4:$AJ$4,0)))))</f>
        <v>393.699</v>
      </c>
      <c r="U26" s="6">
        <f>IF(ISNA(MATCH(U$2,Inputs!$K$4:$AJ$4,0)),NA(),IF(SUMPRODUCT((Inputs!$A$5:$A$140=$B26)*ISNUMBER(INDEX(Inputs!$K$5:$AJ$140,0,MATCH(U$2,Inputs!$K$4:$AJ$4,0))))+SUMPRODUCT((Inputs!$C$5:$C$140=$B26)*ISNUMBER(INDEX(Inputs!$K$5:$AJ$140,0,MATCH(U$2,Inputs!$K$4:$AJ$4,0))))+SUMPRODUCT((Inputs!$E$5:$E$140=$B26)*ISNUMBER(INDEX(Inputs!$K$5:$AJ$140,0,MATCH(U$2,Inputs!$K$4:$AJ$4,0))))=0,NA(),SUMPRODUCT((Inputs!$A$5:$A$140=$B26)*Inputs!$B$5:$B$140*(((Inputs!$G$5:$G$140="moeda")+(Inputs!$G$5:$G$140="acoes"))*Inputs!$B$1+((Inputs!$G$5:$G$140&lt;&gt;"moeda")*(Inputs!$G$5:$G$140&lt;&gt;"acoes")))*INDEX(Inputs!$K$5:$AJ$140,0,MATCH(U$2,Inputs!$K$4:$AJ$4,0)))+SUMPRODUCT((Inputs!$C$5:$C$140=$B26)*Inputs!$D$5:$D$140*(((Inputs!$G$5:$G$140="moeda")+(Inputs!$G$5:$G$140="acoes"))*Inputs!$B$1+((Inputs!$G$5:$G$140&lt;&gt;"moeda")*(Inputs!$G$5:$G$140&lt;&gt;"acoes")))*INDEX(Inputs!$K$5:$AJ$140,0,MATCH(U$2,Inputs!$K$4:$AJ$4,0)))+SUMPRODUCT((Inputs!$E$5:$E$140=$B26)*Inputs!$F$5:$F$140*(((Inputs!$G$5:$G$140="moeda")+(Inputs!$G$5:$G$140="acoes"))*Inputs!$B$1+((Inputs!$G$5:$G$140&lt;&gt;"moeda")*(Inputs!$G$5:$G$140&lt;&gt;"acoes")))*INDEX(Inputs!$K$5:$AJ$140,0,MATCH(U$2,Inputs!$K$4:$AJ$4,0)))))</f>
        <v>414.444</v>
      </c>
      <c r="V26" s="6">
        <f>IF(ISNA(MATCH(V$2,Inputs!$K$4:$AJ$4,0)),NA(),IF(SUMPRODUCT((Inputs!$A$5:$A$140=$B26)*ISNUMBER(INDEX(Inputs!$K$5:$AJ$140,0,MATCH(V$2,Inputs!$K$4:$AJ$4,0))))+SUMPRODUCT((Inputs!$C$5:$C$140=$B26)*ISNUMBER(INDEX(Inputs!$K$5:$AJ$140,0,MATCH(V$2,Inputs!$K$4:$AJ$4,0))))+SUMPRODUCT((Inputs!$E$5:$E$140=$B26)*ISNUMBER(INDEX(Inputs!$K$5:$AJ$140,0,MATCH(V$2,Inputs!$K$4:$AJ$4,0))))=0,NA(),SUMPRODUCT((Inputs!$A$5:$A$140=$B26)*Inputs!$B$5:$B$140*(((Inputs!$G$5:$G$140="moeda")+(Inputs!$G$5:$G$140="acoes"))*Inputs!$B$1+((Inputs!$G$5:$G$140&lt;&gt;"moeda")*(Inputs!$G$5:$G$140&lt;&gt;"acoes")))*INDEX(Inputs!$K$5:$AJ$140,0,MATCH(V$2,Inputs!$K$4:$AJ$4,0)))+SUMPRODUCT((Inputs!$C$5:$C$140=$B26)*Inputs!$D$5:$D$140*(((Inputs!$G$5:$G$140="moeda")+(Inputs!$G$5:$G$140="acoes"))*Inputs!$B$1+((Inputs!$G$5:$G$140&lt;&gt;"moeda")*(Inputs!$G$5:$G$140&lt;&gt;"acoes")))*INDEX(Inputs!$K$5:$AJ$140,0,MATCH(V$2,Inputs!$K$4:$AJ$4,0)))+SUMPRODUCT((Inputs!$E$5:$E$140=$B26)*Inputs!$F$5:$F$140*(((Inputs!$G$5:$G$140="moeda")+(Inputs!$G$5:$G$140="acoes"))*Inputs!$B$1+((Inputs!$G$5:$G$140&lt;&gt;"moeda")*(Inputs!$G$5:$G$140&lt;&gt;"acoes")))*INDEX(Inputs!$K$5:$AJ$140,0,MATCH(V$2,Inputs!$K$4:$AJ$4,0)))))</f>
        <v>340.359</v>
      </c>
      <c r="W26" s="3">
        <f>V26</f>
        <v>340.359</v>
      </c>
      <c r="X26" s="6">
        <f>IF(ISNA(MATCH(X$2,Inputs!$K$4:$AJ$4,0)),NA(),IF(SUMPRODUCT((Inputs!$A$5:$A$140=$B26)*ISNUMBER(INDEX(Inputs!$K$5:$AJ$140,0,MATCH(X$2,Inputs!$K$4:$AJ$4,0))))+SUMPRODUCT((Inputs!$C$5:$C$140=$B26)*ISNUMBER(INDEX(Inputs!$K$5:$AJ$140,0,MATCH(X$2,Inputs!$K$4:$AJ$4,0))))+SUMPRODUCT((Inputs!$E$5:$E$140=$B26)*ISNUMBER(INDEX(Inputs!$K$5:$AJ$140,0,MATCH(X$2,Inputs!$K$4:$AJ$4,0))))=0,NA(),SUMPRODUCT((Inputs!$A$5:$A$140=$B26)*Inputs!$B$5:$B$140*(((Inputs!$G$5:$G$140="moeda")+(Inputs!$G$5:$G$140="acoes"))*Inputs!$B$1+((Inputs!$G$5:$G$140&lt;&gt;"moeda")*(Inputs!$G$5:$G$140&lt;&gt;"acoes")))*INDEX(Inputs!$K$5:$AJ$140,0,MATCH(X$2,Inputs!$K$4:$AJ$4,0)))+SUMPRODUCT((Inputs!$C$5:$C$140=$B26)*Inputs!$D$5:$D$140*(((Inputs!$G$5:$G$140="moeda")+(Inputs!$G$5:$G$140="acoes"))*Inputs!$B$1+((Inputs!$G$5:$G$140&lt;&gt;"moeda")*(Inputs!$G$5:$G$140&lt;&gt;"acoes")))*INDEX(Inputs!$K$5:$AJ$140,0,MATCH(X$2,Inputs!$K$4:$AJ$4,0)))+SUMPRODUCT((Inputs!$E$5:$E$140=$B26)*Inputs!$F$5:$F$140*(((Inputs!$G$5:$G$140="moeda")+(Inputs!$G$5:$G$140="acoes"))*Inputs!$B$1+((Inputs!$G$5:$G$140&lt;&gt;"moeda")*(Inputs!$G$5:$G$140&lt;&gt;"acoes")))*INDEX(Inputs!$K$5:$AJ$140,0,MATCH(X$2,Inputs!$K$4:$AJ$4,0)))))</f>
        <v>340.443</v>
      </c>
      <c r="Y26" s="6">
        <f>IF(ISNA(MATCH(Y$2,Inputs!$K$4:$AJ$4,0)),NA(),IF(SUMPRODUCT((Inputs!$A$5:$A$140=$B26)*ISNUMBER(INDEX(Inputs!$K$5:$AJ$140,0,MATCH(Y$2,Inputs!$K$4:$AJ$4,0))))+SUMPRODUCT((Inputs!$C$5:$C$140=$B26)*ISNUMBER(INDEX(Inputs!$K$5:$AJ$140,0,MATCH(Y$2,Inputs!$K$4:$AJ$4,0))))+SUMPRODUCT((Inputs!$E$5:$E$140=$B26)*ISNUMBER(INDEX(Inputs!$K$5:$AJ$140,0,MATCH(Y$2,Inputs!$K$4:$AJ$4,0))))=0,NA(),SUMPRODUCT((Inputs!$A$5:$A$140=$B26)*Inputs!$B$5:$B$140*(((Inputs!$G$5:$G$140="moeda")+(Inputs!$G$5:$G$140="acoes"))*Inputs!$B$1+((Inputs!$G$5:$G$140&lt;&gt;"moeda")*(Inputs!$G$5:$G$140&lt;&gt;"acoes")))*INDEX(Inputs!$K$5:$AJ$140,0,MATCH(Y$2,Inputs!$K$4:$AJ$4,0)))+SUMPRODUCT((Inputs!$C$5:$C$140=$B26)*Inputs!$D$5:$D$140*(((Inputs!$G$5:$G$140="moeda")+(Inputs!$G$5:$G$140="acoes"))*Inputs!$B$1+((Inputs!$G$5:$G$140&lt;&gt;"moeda")*(Inputs!$G$5:$G$140&lt;&gt;"acoes")))*INDEX(Inputs!$K$5:$AJ$140,0,MATCH(Y$2,Inputs!$K$4:$AJ$4,0)))+SUMPRODUCT((Inputs!$E$5:$E$140=$B26)*Inputs!$F$5:$F$140*(((Inputs!$G$5:$G$140="moeda")+(Inputs!$G$5:$G$140="acoes"))*Inputs!$B$1+((Inputs!$G$5:$G$140&lt;&gt;"moeda")*(Inputs!$G$5:$G$140&lt;&gt;"acoes")))*INDEX(Inputs!$K$5:$AJ$140,0,MATCH(Y$2,Inputs!$K$4:$AJ$4,0)))))</f>
        <v>711.77010598</v>
      </c>
      <c r="Z26" s="6">
        <f>IF(ISNA(MATCH(Z$2,Inputs!$K$4:$AJ$4,0)),NA(),IF(SUMPRODUCT((Inputs!$A$5:$A$140=$B26)*ISNUMBER(INDEX(Inputs!$K$5:$AJ$140,0,MATCH(Z$2,Inputs!$K$4:$AJ$4,0))))+SUMPRODUCT((Inputs!$C$5:$C$140=$B26)*ISNUMBER(INDEX(Inputs!$K$5:$AJ$140,0,MATCH(Z$2,Inputs!$K$4:$AJ$4,0))))+SUMPRODUCT((Inputs!$E$5:$E$140=$B26)*ISNUMBER(INDEX(Inputs!$K$5:$AJ$140,0,MATCH(Z$2,Inputs!$K$4:$AJ$4,0))))=0,NA(),SUMPRODUCT((Inputs!$A$5:$A$140=$B26)*Inputs!$B$5:$B$140*(((Inputs!$G$5:$G$140="moeda")+(Inputs!$G$5:$G$140="acoes"))*Inputs!$B$1+((Inputs!$G$5:$G$140&lt;&gt;"moeda")*(Inputs!$G$5:$G$140&lt;&gt;"acoes")))*INDEX(Inputs!$K$5:$AJ$140,0,MATCH(Z$2,Inputs!$K$4:$AJ$4,0)))+SUMPRODUCT((Inputs!$C$5:$C$140=$B26)*Inputs!$D$5:$D$140*(((Inputs!$G$5:$G$140="moeda")+(Inputs!$G$5:$G$140="acoes"))*Inputs!$B$1+((Inputs!$G$5:$G$140&lt;&gt;"moeda")*(Inputs!$G$5:$G$140&lt;&gt;"acoes")))*INDEX(Inputs!$K$5:$AJ$140,0,MATCH(Z$2,Inputs!$K$4:$AJ$4,0)))+SUMPRODUCT((Inputs!$E$5:$E$140=$B26)*Inputs!$F$5:$F$140*(((Inputs!$G$5:$G$140="moeda")+(Inputs!$G$5:$G$140="acoes"))*Inputs!$B$1+((Inputs!$G$5:$G$140&lt;&gt;"moeda")*(Inputs!$G$5:$G$140&lt;&gt;"acoes")))*INDEX(Inputs!$K$5:$AJ$140,0,MATCH(Z$2,Inputs!$K$4:$AJ$4,0)))))</f>
        <v>691.762</v>
      </c>
      <c r="AA26" s="6">
        <f>IF(ISNA(MATCH(AA$2,Inputs!$K$4:$AJ$4,0)),NA(),IF(SUMPRODUCT((Inputs!$A$5:$A$140=$B26)*ISNUMBER(INDEX(Inputs!$K$5:$AJ$140,0,MATCH(AA$2,Inputs!$K$4:$AJ$4,0))))+SUMPRODUCT((Inputs!$C$5:$C$140=$B26)*ISNUMBER(INDEX(Inputs!$K$5:$AJ$140,0,MATCH(AA$2,Inputs!$K$4:$AJ$4,0))))+SUMPRODUCT((Inputs!$E$5:$E$140=$B26)*ISNUMBER(INDEX(Inputs!$K$5:$AJ$140,0,MATCH(AA$2,Inputs!$K$4:$AJ$4,0))))=0,NA(),SUMPRODUCT((Inputs!$A$5:$A$140=$B26)*Inputs!$B$5:$B$140*(((Inputs!$G$5:$G$140="moeda")+(Inputs!$G$5:$G$140="acoes"))*Inputs!$B$1+((Inputs!$G$5:$G$140&lt;&gt;"moeda")*(Inputs!$G$5:$G$140&lt;&gt;"acoes")))*INDEX(Inputs!$K$5:$AJ$140,0,MATCH(AA$2,Inputs!$K$4:$AJ$4,0)))+SUMPRODUCT((Inputs!$C$5:$C$140=$B26)*Inputs!$D$5:$D$140*(((Inputs!$G$5:$G$140="moeda")+(Inputs!$G$5:$G$140="acoes"))*Inputs!$B$1+((Inputs!$G$5:$G$140&lt;&gt;"moeda")*(Inputs!$G$5:$G$140&lt;&gt;"acoes")))*INDEX(Inputs!$K$5:$AJ$140,0,MATCH(AA$2,Inputs!$K$4:$AJ$4,0)))+SUMPRODUCT((Inputs!$E$5:$E$140=$B26)*Inputs!$F$5:$F$140*(((Inputs!$G$5:$G$140="moeda")+(Inputs!$G$5:$G$140="acoes"))*Inputs!$B$1+((Inputs!$G$5:$G$140&lt;&gt;"moeda")*(Inputs!$G$5:$G$140&lt;&gt;"acoes")))*INDEX(Inputs!$K$5:$AJ$140,0,MATCH(AA$2,Inputs!$K$4:$AJ$4,0)))))</f>
        <v>678.416</v>
      </c>
      <c r="AB26" s="3">
        <f>AA26</f>
        <v>678.416</v>
      </c>
      <c r="AC26" s="6">
        <f>IF(ISNA(MATCH(AC$2,Inputs!$K$4:$AJ$4,0)),NA(),IF(SUMPRODUCT((Inputs!$A$5:$A$140=$B26)*ISNUMBER(INDEX(Inputs!$K$5:$AJ$140,0,MATCH(AC$2,Inputs!$K$4:$AJ$4,0))))+SUMPRODUCT((Inputs!$C$5:$C$140=$B26)*ISNUMBER(INDEX(Inputs!$K$5:$AJ$140,0,MATCH(AC$2,Inputs!$K$4:$AJ$4,0))))+SUMPRODUCT((Inputs!$E$5:$E$140=$B26)*ISNUMBER(INDEX(Inputs!$K$5:$AJ$140,0,MATCH(AC$2,Inputs!$K$4:$AJ$4,0))))=0,NA(),SUMPRODUCT((Inputs!$A$5:$A$140=$B26)*Inputs!$B$5:$B$140*(((Inputs!$G$5:$G$140="moeda")+(Inputs!$G$5:$G$140="acoes"))*Inputs!$B$1+((Inputs!$G$5:$G$140&lt;&gt;"moeda")*(Inputs!$G$5:$G$140&lt;&gt;"acoes")))*INDEX(Inputs!$K$5:$AJ$140,0,MATCH(AC$2,Inputs!$K$4:$AJ$4,0)))+SUMPRODUCT((Inputs!$C$5:$C$140=$B26)*Inputs!$D$5:$D$140*(((Inputs!$G$5:$G$140="moeda")+(Inputs!$G$5:$G$140="acoes"))*Inputs!$B$1+((Inputs!$G$5:$G$140&lt;&gt;"moeda")*(Inputs!$G$5:$G$140&lt;&gt;"acoes")))*INDEX(Inputs!$K$5:$AJ$140,0,MATCH(AC$2,Inputs!$K$4:$AJ$4,0)))+SUMPRODUCT((Inputs!$E$5:$E$140=$B26)*Inputs!$F$5:$F$140*(((Inputs!$G$5:$G$140="moeda")+(Inputs!$G$5:$G$140="acoes"))*Inputs!$B$1+((Inputs!$G$5:$G$140&lt;&gt;"moeda")*(Inputs!$G$5:$G$140&lt;&gt;"acoes")))*INDEX(Inputs!$K$5:$AJ$140,0,MATCH(AC$2,Inputs!$K$4:$AJ$4,0)))))</f>
        <v>739.068</v>
      </c>
      <c r="AD26" s="6">
        <f>IF(ISNA(MATCH(AD$2,Inputs!$K$4:$AJ$4,0)),NA(),IF(SUMPRODUCT((Inputs!$A$5:$A$140=$B26)*ISNUMBER(INDEX(Inputs!$K$5:$AJ$140,0,MATCH(AD$2,Inputs!$K$4:$AJ$4,0))))+SUMPRODUCT((Inputs!$C$5:$C$140=$B26)*ISNUMBER(INDEX(Inputs!$K$5:$AJ$140,0,MATCH(AD$2,Inputs!$K$4:$AJ$4,0))))+SUMPRODUCT((Inputs!$E$5:$E$140=$B26)*ISNUMBER(INDEX(Inputs!$K$5:$AJ$140,0,MATCH(AD$2,Inputs!$K$4:$AJ$4,0))))=0,NA(),SUMPRODUCT((Inputs!$A$5:$A$140=$B26)*Inputs!$B$5:$B$140*(((Inputs!$G$5:$G$140="moeda")+(Inputs!$G$5:$G$140="acoes"))*Inputs!$B$1+((Inputs!$G$5:$G$140&lt;&gt;"moeda")*(Inputs!$G$5:$G$140&lt;&gt;"acoes")))*INDEX(Inputs!$K$5:$AJ$140,0,MATCH(AD$2,Inputs!$K$4:$AJ$4,0)))+SUMPRODUCT((Inputs!$C$5:$C$140=$B26)*Inputs!$D$5:$D$140*(((Inputs!$G$5:$G$140="moeda")+(Inputs!$G$5:$G$140="acoes"))*Inputs!$B$1+((Inputs!$G$5:$G$140&lt;&gt;"moeda")*(Inputs!$G$5:$G$140&lt;&gt;"acoes")))*INDEX(Inputs!$K$5:$AJ$140,0,MATCH(AD$2,Inputs!$K$4:$AJ$4,0)))+SUMPRODUCT((Inputs!$E$5:$E$140=$B26)*Inputs!$F$5:$F$140*(((Inputs!$G$5:$G$140="moeda")+(Inputs!$G$5:$G$140="acoes"))*Inputs!$B$1+((Inputs!$G$5:$G$140&lt;&gt;"moeda")*(Inputs!$G$5:$G$140&lt;&gt;"acoes")))*INDEX(Inputs!$K$5:$AJ$140,0,MATCH(AD$2,Inputs!$K$4:$AJ$4,0)))))</f>
        <v>854.664</v>
      </c>
      <c r="AE26" s="6" t="e">
        <f>IF(ISNA(MATCH(AE$2,Inputs!$K$4:$AJ$4,0)),NA(),IF(SUMPRODUCT((Inputs!$A$5:$A$140=$B26)*ISNUMBER(INDEX(Inputs!$K$5:$AJ$140,0,MATCH(AE$2,Inputs!$K$4:$AJ$4,0))))+SUMPRODUCT((Inputs!$C$5:$C$140=$B26)*ISNUMBER(INDEX(Inputs!$K$5:$AJ$140,0,MATCH(AE$2,Inputs!$K$4:$AJ$4,0))))+SUMPRODUCT((Inputs!$E$5:$E$140=$B26)*ISNUMBER(INDEX(Inputs!$K$5:$AJ$140,0,MATCH(AE$2,Inputs!$K$4:$AJ$4,0))))=0,NA(),SUMPRODUCT((Inputs!$A$5:$A$140=$B26)*Inputs!$B$5:$B$140*(((Inputs!$G$5:$G$140="moeda")+(Inputs!$G$5:$G$140="acoes"))*Inputs!$B$1+((Inputs!$G$5:$G$140&lt;&gt;"moeda")*(Inputs!$G$5:$G$140&lt;&gt;"acoes")))*INDEX(Inputs!$K$5:$AJ$140,0,MATCH(AE$2,Inputs!$K$4:$AJ$4,0)))+SUMPRODUCT((Inputs!$C$5:$C$140=$B26)*Inputs!$D$5:$D$140*(((Inputs!$G$5:$G$140="moeda")+(Inputs!$G$5:$G$140="acoes"))*Inputs!$B$1+((Inputs!$G$5:$G$140&lt;&gt;"moeda")*(Inputs!$G$5:$G$140&lt;&gt;"acoes")))*INDEX(Inputs!$K$5:$AJ$140,0,MATCH(AE$2,Inputs!$K$4:$AJ$4,0)))+SUMPRODUCT((Inputs!$E$5:$E$140=$B26)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6" s="6" t="e">
        <f>IF(ISNA(MATCH(AF$2,Inputs!$K$4:$AJ$4,0)),NA(),IF(SUMPRODUCT((Inputs!$A$5:$A$140=$B26)*ISNUMBER(INDEX(Inputs!$K$5:$AJ$140,0,MATCH(AF$2,Inputs!$K$4:$AJ$4,0))))+SUMPRODUCT((Inputs!$C$5:$C$140=$B26)*ISNUMBER(INDEX(Inputs!$K$5:$AJ$140,0,MATCH(AF$2,Inputs!$K$4:$AJ$4,0))))+SUMPRODUCT((Inputs!$E$5:$E$140=$B26)*ISNUMBER(INDEX(Inputs!$K$5:$AJ$140,0,MATCH(AF$2,Inputs!$K$4:$AJ$4,0))))=0,NA(),SUMPRODUCT((Inputs!$A$5:$A$140=$B26)*Inputs!$B$5:$B$140*(((Inputs!$G$5:$G$140="moeda")+(Inputs!$G$5:$G$140="acoes"))*Inputs!$B$1+((Inputs!$G$5:$G$140&lt;&gt;"moeda")*(Inputs!$G$5:$G$140&lt;&gt;"acoes")))*INDEX(Inputs!$K$5:$AJ$140,0,MATCH(AF$2,Inputs!$K$4:$AJ$4,0)))+SUMPRODUCT((Inputs!$C$5:$C$140=$B26)*Inputs!$D$5:$D$140*(((Inputs!$G$5:$G$140="moeda")+(Inputs!$G$5:$G$140="acoes"))*Inputs!$B$1+((Inputs!$G$5:$G$140&lt;&gt;"moeda")*(Inputs!$G$5:$G$140&lt;&gt;"acoes")))*INDEX(Inputs!$K$5:$AJ$140,0,MATCH(AF$2,Inputs!$K$4:$AJ$4,0)))+SUMPRODUCT((Inputs!$E$5:$E$140=$B26)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6" s="3" t="e">
        <f>AF26</f>
        <v>#N/A</v>
      </c>
      <c r="AH26" s="6" t="e">
        <f>IF(ISNA(MATCH(AH$2,Inputs!$K$4:$AJ$4,0)),NA(),IF(SUMPRODUCT((Inputs!$A$5:$A$140=$B26)*ISNUMBER(INDEX(Inputs!$K$5:$AJ$140,0,MATCH(AH$2,Inputs!$K$4:$AJ$4,0))))+SUMPRODUCT((Inputs!$C$5:$C$140=$B26)*ISNUMBER(INDEX(Inputs!$K$5:$AJ$140,0,MATCH(AH$2,Inputs!$K$4:$AJ$4,0))))+SUMPRODUCT((Inputs!$E$5:$E$140=$B26)*ISNUMBER(INDEX(Inputs!$K$5:$AJ$140,0,MATCH(AH$2,Inputs!$K$4:$AJ$4,0))))=0,NA(),SUMPRODUCT((Inputs!$A$5:$A$140=$B26)*Inputs!$B$5:$B$140*(((Inputs!$G$5:$G$140="moeda")+(Inputs!$G$5:$G$140="acoes"))*Inputs!$B$1+((Inputs!$G$5:$G$140&lt;&gt;"moeda")*(Inputs!$G$5:$G$140&lt;&gt;"acoes")))*INDEX(Inputs!$K$5:$AJ$140,0,MATCH(AH$2,Inputs!$K$4:$AJ$4,0)))+SUMPRODUCT((Inputs!$C$5:$C$140=$B26)*Inputs!$D$5:$D$140*(((Inputs!$G$5:$G$140="moeda")+(Inputs!$G$5:$G$140="acoes"))*Inputs!$B$1+((Inputs!$G$5:$G$140&lt;&gt;"moeda")*(Inputs!$G$5:$G$140&lt;&gt;"acoes")))*INDEX(Inputs!$K$5:$AJ$140,0,MATCH(AH$2,Inputs!$K$4:$AJ$4,0)))+SUMPRODUCT((Inputs!$E$5:$E$140=$B26)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6" s="6">
        <f>IF(ISNA(MATCH(AI$2,Inputs!$K$4:$AJ$4,0)),NA(),IF(SUMPRODUCT((Inputs!$A$5:$A$140=$B26)*ISNUMBER(INDEX(Inputs!$K$5:$AJ$140,0,MATCH(AI$2,Inputs!$K$4:$AJ$4,0))))+SUMPRODUCT((Inputs!$C$5:$C$140=$B26)*ISNUMBER(INDEX(Inputs!$K$5:$AJ$140,0,MATCH(AI$2,Inputs!$K$4:$AJ$4,0))))+SUMPRODUCT((Inputs!$E$5:$E$140=$B26)*ISNUMBER(INDEX(Inputs!$K$5:$AJ$140,0,MATCH(AI$2,Inputs!$K$4:$AJ$4,0))))=0,NA(),SUMPRODUCT((Inputs!$A$5:$A$140=$B26)*Inputs!$B$5:$B$140*(((Inputs!$G$5:$G$140="moeda")+(Inputs!$G$5:$G$140="acoes"))*Inputs!$B$1+((Inputs!$G$5:$G$140&lt;&gt;"moeda")*(Inputs!$G$5:$G$140&lt;&gt;"acoes")))*INDEX(Inputs!$K$5:$AJ$140,0,MATCH(AI$2,Inputs!$K$4:$AJ$4,0)))+SUMPRODUCT((Inputs!$C$5:$C$140=$B26)*Inputs!$D$5:$D$140*(((Inputs!$G$5:$G$140="moeda")+(Inputs!$G$5:$G$140="acoes"))*Inputs!$B$1+((Inputs!$G$5:$G$140&lt;&gt;"moeda")*(Inputs!$G$5:$G$140&lt;&gt;"acoes")))*INDEX(Inputs!$K$5:$AJ$140,0,MATCH(AI$2,Inputs!$K$4:$AJ$4,0)))+SUMPRODUCT((Inputs!$E$5:$E$140=$B26)*Inputs!$F$5:$F$140*(((Inputs!$G$5:$G$140="moeda")+(Inputs!$G$5:$G$140="acoes"))*Inputs!$B$1+((Inputs!$G$5:$G$140&lt;&gt;"moeda")*(Inputs!$G$5:$G$140&lt;&gt;"acoes")))*INDEX(Inputs!$K$5:$AJ$140,0,MATCH(AI$2,Inputs!$K$4:$AJ$4,0)))))</f>
        <v>151.764</v>
      </c>
      <c r="AJ26" s="6">
        <f>IF(ISNA(MATCH(AJ$2,Inputs!$K$4:$AJ$4,0)),NA(),IF(SUMPRODUCT((Inputs!$A$5:$A$140=$B26)*ISNUMBER(INDEX(Inputs!$K$5:$AJ$140,0,MATCH(AJ$2,Inputs!$K$4:$AJ$4,0))))+SUMPRODUCT((Inputs!$C$5:$C$140=$B26)*ISNUMBER(INDEX(Inputs!$K$5:$AJ$140,0,MATCH(AJ$2,Inputs!$K$4:$AJ$4,0))))+SUMPRODUCT((Inputs!$E$5:$E$140=$B26)*ISNUMBER(INDEX(Inputs!$K$5:$AJ$140,0,MATCH(AJ$2,Inputs!$K$4:$AJ$4,0))))=0,NA(),SUMPRODUCT((Inputs!$A$5:$A$140=$B26)*Inputs!$B$5:$B$140*(((Inputs!$G$5:$G$140="moeda")+(Inputs!$G$5:$G$140="acoes"))*Inputs!$B$1+((Inputs!$G$5:$G$140&lt;&gt;"moeda")*(Inputs!$G$5:$G$140&lt;&gt;"acoes")))*INDEX(Inputs!$K$5:$AJ$140,0,MATCH(AJ$2,Inputs!$K$4:$AJ$4,0)))+SUMPRODUCT((Inputs!$C$5:$C$140=$B26)*Inputs!$D$5:$D$140*(((Inputs!$G$5:$G$140="moeda")+(Inputs!$G$5:$G$140="acoes"))*Inputs!$B$1+((Inputs!$G$5:$G$140&lt;&gt;"moeda")*(Inputs!$G$5:$G$140&lt;&gt;"acoes")))*INDEX(Inputs!$K$5:$AJ$140,0,MATCH(AJ$2,Inputs!$K$4:$AJ$4,0)))+SUMPRODUCT((Inputs!$E$5:$E$140=$B26)*Inputs!$F$5:$F$140*(((Inputs!$G$5:$G$140="moeda")+(Inputs!$G$5:$G$140="acoes"))*Inputs!$B$1+((Inputs!$G$5:$G$140&lt;&gt;"moeda")*(Inputs!$G$5:$G$140&lt;&gt;"acoes")))*INDEX(Inputs!$K$5:$AJ$140,0,MATCH(AJ$2,Inputs!$K$4:$AJ$4,0)))))</f>
        <v>102.25086059</v>
      </c>
      <c r="AK26" s="6">
        <f>IF(ISNA(MATCH(AK$2,Inputs!$K$4:$AJ$4,0)),NA(),IF(SUMPRODUCT((Inputs!$A$5:$A$140=$B26)*ISNUMBER(INDEX(Inputs!$K$5:$AJ$140,0,MATCH(AK$2,Inputs!$K$4:$AJ$4,0))))+SUMPRODUCT((Inputs!$C$5:$C$140=$B26)*ISNUMBER(INDEX(Inputs!$K$5:$AJ$140,0,MATCH(AK$2,Inputs!$K$4:$AJ$4,0))))+SUMPRODUCT((Inputs!$E$5:$E$140=$B26)*ISNUMBER(INDEX(Inputs!$K$5:$AJ$140,0,MATCH(AK$2,Inputs!$K$4:$AJ$4,0))))=0,NA(),SUMPRODUCT((Inputs!$A$5:$A$140=$B26)*Inputs!$B$5:$B$140*(((Inputs!$G$5:$G$140="moeda")+(Inputs!$G$5:$G$140="acoes"))*Inputs!$B$1+((Inputs!$G$5:$G$140&lt;&gt;"moeda")*(Inputs!$G$5:$G$140&lt;&gt;"acoes")))*INDEX(Inputs!$K$5:$AJ$140,0,MATCH(AK$2,Inputs!$K$4:$AJ$4,0)))+SUMPRODUCT((Inputs!$C$5:$C$140=$B26)*Inputs!$D$5:$D$140*(((Inputs!$G$5:$G$140="moeda")+(Inputs!$G$5:$G$140="acoes"))*Inputs!$B$1+((Inputs!$G$5:$G$140&lt;&gt;"moeda")*(Inputs!$G$5:$G$140&lt;&gt;"acoes")))*INDEX(Inputs!$K$5:$AJ$140,0,MATCH(AK$2,Inputs!$K$4:$AJ$4,0)))+SUMPRODUCT((Inputs!$E$5:$E$140=$B26)*Inputs!$F$5:$F$140*(((Inputs!$G$5:$G$140="moeda")+(Inputs!$G$5:$G$140="acoes"))*Inputs!$B$1+((Inputs!$G$5:$G$140&lt;&gt;"moeda")*(Inputs!$G$5:$G$140&lt;&gt;"acoes")))*INDEX(Inputs!$K$5:$AJ$140,0,MATCH(AK$2,Inputs!$K$4:$AJ$4,0)))))</f>
        <v>178.7817918</v>
      </c>
      <c r="AL26" s="3">
        <f>AK26</f>
        <v>178.7817918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$140=$B28)*ISNUMBER(INDEX(Inputs!$K$5:$AJ$140,0,MATCH(D$2,Inputs!$K$4:$AJ$4,0))))+SUMPRODUCT((Inputs!$C$5:$C$140=$B28)*ISNUMBER(INDEX(Inputs!$K$5:$AJ$140,0,MATCH(D$2,Inputs!$K$4:$AJ$4,0))))+SUMPRODUCT((Inputs!$E$5:$E$140=$B28)*ISNUMBER(INDEX(Inputs!$K$5:$AJ$140,0,MATCH(D$2,Inputs!$K$4:$AJ$4,0))))=0,NA(),SUMPRODUCT((Inputs!$A$5:$A$140=$B28)*Inputs!$B$5:$B$140*(((Inputs!$G$5:$G$140="moeda")+(Inputs!$G$5:$G$140="acoes"))*Inputs!$B$1+((Inputs!$G$5:$G$140&lt;&gt;"moeda")*(Inputs!$G$5:$G$140&lt;&gt;"acoes")))*INDEX(Inputs!$K$5:$AJ$140,0,MATCH(D$2,Inputs!$K$4:$AJ$4,0)))+SUMPRODUCT((Inputs!$C$5:$C$140=$B28)*Inputs!$D$5:$D$140*(((Inputs!$G$5:$G$140="moeda")+(Inputs!$G$5:$G$140="acoes"))*Inputs!$B$1+((Inputs!$G$5:$G$140&lt;&gt;"moeda")*(Inputs!$G$5:$G$140&lt;&gt;"acoes")))*INDEX(Inputs!$K$5:$AJ$140,0,MATCH(D$2,Inputs!$K$4:$AJ$4,0)))+SUMPRODUCT((Inputs!$E$5:$E$140=$B28)*Inputs!$F$5:$F$140*(((Inputs!$G$5:$G$140="moeda")+(Inputs!$G$5:$G$140="acoes"))*Inputs!$B$1+((Inputs!$G$5:$G$140&lt;&gt;"moeda")*(Inputs!$G$5:$G$140&lt;&gt;"acoes")))*INDEX(Inputs!$K$5:$AJ$140,0,MATCH(D$2,Inputs!$K$4:$AJ$4,0)))))</f>
        <v>717.97988696</v>
      </c>
      <c r="E28" s="6">
        <f>IF(ISNA(MATCH(E$2,Inputs!$K$4:$AJ$4,0)),NA(),IF(SUMPRODUCT((Inputs!$A$5:$A$140=$B28)*ISNUMBER(INDEX(Inputs!$K$5:$AJ$140,0,MATCH(E$2,Inputs!$K$4:$AJ$4,0))))+SUMPRODUCT((Inputs!$C$5:$C$140=$B28)*ISNUMBER(INDEX(Inputs!$K$5:$AJ$140,0,MATCH(E$2,Inputs!$K$4:$AJ$4,0))))+SUMPRODUCT((Inputs!$E$5:$E$140=$B28)*ISNUMBER(INDEX(Inputs!$K$5:$AJ$140,0,MATCH(E$2,Inputs!$K$4:$AJ$4,0))))=0,NA(),SUMPRODUCT((Inputs!$A$5:$A$140=$B28)*Inputs!$B$5:$B$140*(((Inputs!$G$5:$G$140="moeda")+(Inputs!$G$5:$G$140="acoes"))*Inputs!$B$1+((Inputs!$G$5:$G$140&lt;&gt;"moeda")*(Inputs!$G$5:$G$140&lt;&gt;"acoes")))*INDEX(Inputs!$K$5:$AJ$140,0,MATCH(E$2,Inputs!$K$4:$AJ$4,0)))+SUMPRODUCT((Inputs!$C$5:$C$140=$B28)*Inputs!$D$5:$D$140*(((Inputs!$G$5:$G$140="moeda")+(Inputs!$G$5:$G$140="acoes"))*Inputs!$B$1+((Inputs!$G$5:$G$140&lt;&gt;"moeda")*(Inputs!$G$5:$G$140&lt;&gt;"acoes")))*INDEX(Inputs!$K$5:$AJ$140,0,MATCH(E$2,Inputs!$K$4:$AJ$4,0)))+SUMPRODUCT((Inputs!$E$5:$E$140=$B28)*Inputs!$F$5:$F$140*(((Inputs!$G$5:$G$140="moeda")+(Inputs!$G$5:$G$140="acoes"))*Inputs!$B$1+((Inputs!$G$5:$G$140&lt;&gt;"moeda")*(Inputs!$G$5:$G$140&lt;&gt;"acoes")))*INDEX(Inputs!$K$5:$AJ$140,0,MATCH(E$2,Inputs!$K$4:$AJ$4,0)))))</f>
        <v>1041.78991181</v>
      </c>
      <c r="F28" s="6">
        <f>IF(ISNA(MATCH(F$2,Inputs!$K$4:$AJ$4,0)),NA(),IF(SUMPRODUCT((Inputs!$A$5:$A$140=$B28)*ISNUMBER(INDEX(Inputs!$K$5:$AJ$140,0,MATCH(F$2,Inputs!$K$4:$AJ$4,0))))+SUMPRODUCT((Inputs!$C$5:$C$140=$B28)*ISNUMBER(INDEX(Inputs!$K$5:$AJ$140,0,MATCH(F$2,Inputs!$K$4:$AJ$4,0))))+SUMPRODUCT((Inputs!$E$5:$E$140=$B28)*ISNUMBER(INDEX(Inputs!$K$5:$AJ$140,0,MATCH(F$2,Inputs!$K$4:$AJ$4,0))))=0,NA(),SUMPRODUCT((Inputs!$A$5:$A$140=$B28)*Inputs!$B$5:$B$140*(((Inputs!$G$5:$G$140="moeda")+(Inputs!$G$5:$G$140="acoes"))*Inputs!$B$1+((Inputs!$G$5:$G$140&lt;&gt;"moeda")*(Inputs!$G$5:$G$140&lt;&gt;"acoes")))*INDEX(Inputs!$K$5:$AJ$140,0,MATCH(F$2,Inputs!$K$4:$AJ$4,0)))+SUMPRODUCT((Inputs!$C$5:$C$140=$B28)*Inputs!$D$5:$D$140*(((Inputs!$G$5:$G$140="moeda")+(Inputs!$G$5:$G$140="acoes"))*Inputs!$B$1+((Inputs!$G$5:$G$140&lt;&gt;"moeda")*(Inputs!$G$5:$G$140&lt;&gt;"acoes")))*INDEX(Inputs!$K$5:$AJ$140,0,MATCH(F$2,Inputs!$K$4:$AJ$4,0)))+SUMPRODUCT((Inputs!$E$5:$E$140=$B28)*Inputs!$F$5:$F$140*(((Inputs!$G$5:$G$140="moeda")+(Inputs!$G$5:$G$140="acoes"))*Inputs!$B$1+((Inputs!$G$5:$G$140&lt;&gt;"moeda")*(Inputs!$G$5:$G$140&lt;&gt;"acoes")))*INDEX(Inputs!$K$5:$AJ$140,0,MATCH(F$2,Inputs!$K$4:$AJ$4,0)))))</f>
        <v>1042.603</v>
      </c>
      <c r="G28" s="6">
        <f>IF(ISNA(MATCH(G$2,Inputs!$K$4:$AJ$4,0)),NA(),IF(SUMPRODUCT((Inputs!$A$5:$A$140=$B28)*ISNUMBER(INDEX(Inputs!$K$5:$AJ$140,0,MATCH(G$2,Inputs!$K$4:$AJ$4,0))))+SUMPRODUCT((Inputs!$C$5:$C$140=$B28)*ISNUMBER(INDEX(Inputs!$K$5:$AJ$140,0,MATCH(G$2,Inputs!$K$4:$AJ$4,0))))+SUMPRODUCT((Inputs!$E$5:$E$140=$B28)*ISNUMBER(INDEX(Inputs!$K$5:$AJ$140,0,MATCH(G$2,Inputs!$K$4:$AJ$4,0))))=0,NA(),SUMPRODUCT((Inputs!$A$5:$A$140=$B28)*Inputs!$B$5:$B$140*(((Inputs!$G$5:$G$140="moeda")+(Inputs!$G$5:$G$140="acoes"))*Inputs!$B$1+((Inputs!$G$5:$G$140&lt;&gt;"moeda")*(Inputs!$G$5:$G$140&lt;&gt;"acoes")))*INDEX(Inputs!$K$5:$AJ$140,0,MATCH(G$2,Inputs!$K$4:$AJ$4,0)))+SUMPRODUCT((Inputs!$C$5:$C$140=$B28)*Inputs!$D$5:$D$140*(((Inputs!$G$5:$G$140="moeda")+(Inputs!$G$5:$G$140="acoes"))*Inputs!$B$1+((Inputs!$G$5:$G$140&lt;&gt;"moeda")*(Inputs!$G$5:$G$140&lt;&gt;"acoes")))*INDEX(Inputs!$K$5:$AJ$140,0,MATCH(G$2,Inputs!$K$4:$AJ$4,0)))+SUMPRODUCT((Inputs!$E$5:$E$140=$B28)*Inputs!$F$5:$F$140*(((Inputs!$G$5:$G$140="moeda")+(Inputs!$G$5:$G$140="acoes"))*Inputs!$B$1+((Inputs!$G$5:$G$140&lt;&gt;"moeda")*(Inputs!$G$5:$G$140&lt;&gt;"acoes")))*INDEX(Inputs!$K$5:$AJ$140,0,MATCH(G$2,Inputs!$K$4:$AJ$4,0)))))</f>
        <v>1056.585</v>
      </c>
      <c r="H28" s="3">
        <f>G28</f>
        <v>1056.585</v>
      </c>
      <c r="I28" s="6">
        <f>IF(ISNA(MATCH(I$2,Inputs!$K$4:$AJ$4,0)),NA(),IF(SUMPRODUCT((Inputs!$A$5:$A$140=$B28)*ISNUMBER(INDEX(Inputs!$K$5:$AJ$140,0,MATCH(I$2,Inputs!$K$4:$AJ$4,0))))+SUMPRODUCT((Inputs!$C$5:$C$140=$B28)*ISNUMBER(INDEX(Inputs!$K$5:$AJ$140,0,MATCH(I$2,Inputs!$K$4:$AJ$4,0))))+SUMPRODUCT((Inputs!$E$5:$E$140=$B28)*ISNUMBER(INDEX(Inputs!$K$5:$AJ$140,0,MATCH(I$2,Inputs!$K$4:$AJ$4,0))))=0,NA(),SUMPRODUCT((Inputs!$A$5:$A$140=$B28)*Inputs!$B$5:$B$140*(((Inputs!$G$5:$G$140="moeda")+(Inputs!$G$5:$G$140="acoes"))*Inputs!$B$1+((Inputs!$G$5:$G$140&lt;&gt;"moeda")*(Inputs!$G$5:$G$140&lt;&gt;"acoes")))*INDEX(Inputs!$K$5:$AJ$140,0,MATCH(I$2,Inputs!$K$4:$AJ$4,0)))+SUMPRODUCT((Inputs!$C$5:$C$140=$B28)*Inputs!$D$5:$D$140*(((Inputs!$G$5:$G$140="moeda")+(Inputs!$G$5:$G$140="acoes"))*Inputs!$B$1+((Inputs!$G$5:$G$140&lt;&gt;"moeda")*(Inputs!$G$5:$G$140&lt;&gt;"acoes")))*INDEX(Inputs!$K$5:$AJ$140,0,MATCH(I$2,Inputs!$K$4:$AJ$4,0)))+SUMPRODUCT((Inputs!$E$5:$E$140=$B28)*Inputs!$F$5:$F$140*(((Inputs!$G$5:$G$140="moeda")+(Inputs!$G$5:$G$140="acoes"))*Inputs!$B$1+((Inputs!$G$5:$G$140&lt;&gt;"moeda")*(Inputs!$G$5:$G$140&lt;&gt;"acoes")))*INDEX(Inputs!$K$5:$AJ$140,0,MATCH(I$2,Inputs!$K$4:$AJ$4,0)))))</f>
        <v>1260.097</v>
      </c>
      <c r="J28" s="6">
        <f>IF(ISNA(MATCH(J$2,Inputs!$K$4:$AJ$4,0)),NA(),IF(SUMPRODUCT((Inputs!$A$5:$A$140=$B28)*ISNUMBER(INDEX(Inputs!$K$5:$AJ$140,0,MATCH(J$2,Inputs!$K$4:$AJ$4,0))))+SUMPRODUCT((Inputs!$C$5:$C$140=$B28)*ISNUMBER(INDEX(Inputs!$K$5:$AJ$140,0,MATCH(J$2,Inputs!$K$4:$AJ$4,0))))+SUMPRODUCT((Inputs!$E$5:$E$140=$B28)*ISNUMBER(INDEX(Inputs!$K$5:$AJ$140,0,MATCH(J$2,Inputs!$K$4:$AJ$4,0))))=0,NA(),SUMPRODUCT((Inputs!$A$5:$A$140=$B28)*Inputs!$B$5:$B$140*(((Inputs!$G$5:$G$140="moeda")+(Inputs!$G$5:$G$140="acoes"))*Inputs!$B$1+((Inputs!$G$5:$G$140&lt;&gt;"moeda")*(Inputs!$G$5:$G$140&lt;&gt;"acoes")))*INDEX(Inputs!$K$5:$AJ$140,0,MATCH(J$2,Inputs!$K$4:$AJ$4,0)))+SUMPRODUCT((Inputs!$C$5:$C$140=$B28)*Inputs!$D$5:$D$140*(((Inputs!$G$5:$G$140="moeda")+(Inputs!$G$5:$G$140="acoes"))*Inputs!$B$1+((Inputs!$G$5:$G$140&lt;&gt;"moeda")*(Inputs!$G$5:$G$140&lt;&gt;"acoes")))*INDEX(Inputs!$K$5:$AJ$140,0,MATCH(J$2,Inputs!$K$4:$AJ$4,0)))+SUMPRODUCT((Inputs!$E$5:$E$140=$B28)*Inputs!$F$5:$F$140*(((Inputs!$G$5:$G$140="moeda")+(Inputs!$G$5:$G$140="acoes"))*Inputs!$B$1+((Inputs!$G$5:$G$140&lt;&gt;"moeda")*(Inputs!$G$5:$G$140&lt;&gt;"acoes")))*INDEX(Inputs!$K$5:$AJ$140,0,MATCH(J$2,Inputs!$K$4:$AJ$4,0)))))</f>
        <v>1617.196</v>
      </c>
      <c r="K28" s="6">
        <f>IF(ISNA(MATCH(K$2,Inputs!$K$4:$AJ$4,0)),NA(),IF(SUMPRODUCT((Inputs!$A$5:$A$140=$B28)*ISNUMBER(INDEX(Inputs!$K$5:$AJ$140,0,MATCH(K$2,Inputs!$K$4:$AJ$4,0))))+SUMPRODUCT((Inputs!$C$5:$C$140=$B28)*ISNUMBER(INDEX(Inputs!$K$5:$AJ$140,0,MATCH(K$2,Inputs!$K$4:$AJ$4,0))))+SUMPRODUCT((Inputs!$E$5:$E$140=$B28)*ISNUMBER(INDEX(Inputs!$K$5:$AJ$140,0,MATCH(K$2,Inputs!$K$4:$AJ$4,0))))=0,NA(),SUMPRODUCT((Inputs!$A$5:$A$140=$B28)*Inputs!$B$5:$B$140*(((Inputs!$G$5:$G$140="moeda")+(Inputs!$G$5:$G$140="acoes"))*Inputs!$B$1+((Inputs!$G$5:$G$140&lt;&gt;"moeda")*(Inputs!$G$5:$G$140&lt;&gt;"acoes")))*INDEX(Inputs!$K$5:$AJ$140,0,MATCH(K$2,Inputs!$K$4:$AJ$4,0)))+SUMPRODUCT((Inputs!$C$5:$C$140=$B28)*Inputs!$D$5:$D$140*(((Inputs!$G$5:$G$140="moeda")+(Inputs!$G$5:$G$140="acoes"))*Inputs!$B$1+((Inputs!$G$5:$G$140&lt;&gt;"moeda")*(Inputs!$G$5:$G$140&lt;&gt;"acoes")))*INDEX(Inputs!$K$5:$AJ$140,0,MATCH(K$2,Inputs!$K$4:$AJ$4,0)))+SUMPRODUCT((Inputs!$E$5:$E$140=$B28)*Inputs!$F$5:$F$140*(((Inputs!$G$5:$G$140="moeda")+(Inputs!$G$5:$G$140="acoes"))*Inputs!$B$1+((Inputs!$G$5:$G$140&lt;&gt;"moeda")*(Inputs!$G$5:$G$140&lt;&gt;"acoes")))*INDEX(Inputs!$K$5:$AJ$140,0,MATCH(K$2,Inputs!$K$4:$AJ$4,0)))))</f>
        <v>1436.143</v>
      </c>
      <c r="L28" s="6">
        <f>IF(ISNA(MATCH(L$2,Inputs!$K$4:$AJ$4,0)),NA(),IF(SUMPRODUCT((Inputs!$A$5:$A$140=$B28)*ISNUMBER(INDEX(Inputs!$K$5:$AJ$140,0,MATCH(L$2,Inputs!$K$4:$AJ$4,0))))+SUMPRODUCT((Inputs!$C$5:$C$140=$B28)*ISNUMBER(INDEX(Inputs!$K$5:$AJ$140,0,MATCH(L$2,Inputs!$K$4:$AJ$4,0))))+SUMPRODUCT((Inputs!$E$5:$E$140=$B28)*ISNUMBER(INDEX(Inputs!$K$5:$AJ$140,0,MATCH(L$2,Inputs!$K$4:$AJ$4,0))))=0,NA(),SUMPRODUCT((Inputs!$A$5:$A$140=$B28)*Inputs!$B$5:$B$140*(((Inputs!$G$5:$G$140="moeda")+(Inputs!$G$5:$G$140="acoes"))*Inputs!$B$1+((Inputs!$G$5:$G$140&lt;&gt;"moeda")*(Inputs!$G$5:$G$140&lt;&gt;"acoes")))*INDEX(Inputs!$K$5:$AJ$140,0,MATCH(L$2,Inputs!$K$4:$AJ$4,0)))+SUMPRODUCT((Inputs!$C$5:$C$140=$B28)*Inputs!$D$5:$D$140*(((Inputs!$G$5:$G$140="moeda")+(Inputs!$G$5:$G$140="acoes"))*Inputs!$B$1+((Inputs!$G$5:$G$140&lt;&gt;"moeda")*(Inputs!$G$5:$G$140&lt;&gt;"acoes")))*INDEX(Inputs!$K$5:$AJ$140,0,MATCH(L$2,Inputs!$K$4:$AJ$4,0)))+SUMPRODUCT((Inputs!$E$5:$E$140=$B28)*Inputs!$F$5:$F$140*(((Inputs!$G$5:$G$140="moeda")+(Inputs!$G$5:$G$140="acoes"))*Inputs!$B$1+((Inputs!$G$5:$G$140&lt;&gt;"moeda")*(Inputs!$G$5:$G$140&lt;&gt;"acoes")))*INDEX(Inputs!$K$5:$AJ$140,0,MATCH(L$2,Inputs!$K$4:$AJ$4,0)))))</f>
        <v>2008.574</v>
      </c>
      <c r="M28" s="3">
        <f>L28</f>
        <v>2008.574</v>
      </c>
      <c r="N28" s="6">
        <f>IF(ISNA(MATCH(N$2,Inputs!$K$4:$AJ$4,0)),NA(),IF(SUMPRODUCT((Inputs!$A$5:$A$140=$B28)*ISNUMBER(INDEX(Inputs!$K$5:$AJ$140,0,MATCH(N$2,Inputs!$K$4:$AJ$4,0))))+SUMPRODUCT((Inputs!$C$5:$C$140=$B28)*ISNUMBER(INDEX(Inputs!$K$5:$AJ$140,0,MATCH(N$2,Inputs!$K$4:$AJ$4,0))))+SUMPRODUCT((Inputs!$E$5:$E$140=$B28)*ISNUMBER(INDEX(Inputs!$K$5:$AJ$140,0,MATCH(N$2,Inputs!$K$4:$AJ$4,0))))=0,NA(),SUMPRODUCT((Inputs!$A$5:$A$140=$B28)*Inputs!$B$5:$B$140*(((Inputs!$G$5:$G$140="moeda")+(Inputs!$G$5:$G$140="acoes"))*Inputs!$B$1+((Inputs!$G$5:$G$140&lt;&gt;"moeda")*(Inputs!$G$5:$G$140&lt;&gt;"acoes")))*INDEX(Inputs!$K$5:$AJ$140,0,MATCH(N$2,Inputs!$K$4:$AJ$4,0)))+SUMPRODUCT((Inputs!$C$5:$C$140=$B28)*Inputs!$D$5:$D$140*(((Inputs!$G$5:$G$140="moeda")+(Inputs!$G$5:$G$140="acoes"))*Inputs!$B$1+((Inputs!$G$5:$G$140&lt;&gt;"moeda")*(Inputs!$G$5:$G$140&lt;&gt;"acoes")))*INDEX(Inputs!$K$5:$AJ$140,0,MATCH(N$2,Inputs!$K$4:$AJ$4,0)))+SUMPRODUCT((Inputs!$E$5:$E$140=$B28)*Inputs!$F$5:$F$140*(((Inputs!$G$5:$G$140="moeda")+(Inputs!$G$5:$G$140="acoes"))*Inputs!$B$1+((Inputs!$G$5:$G$140&lt;&gt;"moeda")*(Inputs!$G$5:$G$140&lt;&gt;"acoes")))*INDEX(Inputs!$K$5:$AJ$140,0,MATCH(N$2,Inputs!$K$4:$AJ$4,0)))))</f>
        <v>2198.248</v>
      </c>
      <c r="O28" s="6">
        <f>IF(ISNA(MATCH(O$2,Inputs!$K$4:$AJ$4,0)),NA(),IF(SUMPRODUCT((Inputs!$A$5:$A$140=$B28)*ISNUMBER(INDEX(Inputs!$K$5:$AJ$140,0,MATCH(O$2,Inputs!$K$4:$AJ$4,0))))+SUMPRODUCT((Inputs!$C$5:$C$140=$B28)*ISNUMBER(INDEX(Inputs!$K$5:$AJ$140,0,MATCH(O$2,Inputs!$K$4:$AJ$4,0))))+SUMPRODUCT((Inputs!$E$5:$E$140=$B28)*ISNUMBER(INDEX(Inputs!$K$5:$AJ$140,0,MATCH(O$2,Inputs!$K$4:$AJ$4,0))))=0,NA(),SUMPRODUCT((Inputs!$A$5:$A$140=$B28)*Inputs!$B$5:$B$140*(((Inputs!$G$5:$G$140="moeda")+(Inputs!$G$5:$G$140="acoes"))*Inputs!$B$1+((Inputs!$G$5:$G$140&lt;&gt;"moeda")*(Inputs!$G$5:$G$140&lt;&gt;"acoes")))*INDEX(Inputs!$K$5:$AJ$140,0,MATCH(O$2,Inputs!$K$4:$AJ$4,0)))+SUMPRODUCT((Inputs!$C$5:$C$140=$B28)*Inputs!$D$5:$D$140*(((Inputs!$G$5:$G$140="moeda")+(Inputs!$G$5:$G$140="acoes"))*Inputs!$B$1+((Inputs!$G$5:$G$140&lt;&gt;"moeda")*(Inputs!$G$5:$G$140&lt;&gt;"acoes")))*INDEX(Inputs!$K$5:$AJ$140,0,MATCH(O$2,Inputs!$K$4:$AJ$4,0)))+SUMPRODUCT((Inputs!$E$5:$E$140=$B28)*Inputs!$F$5:$F$140*(((Inputs!$G$5:$G$140="moeda")+(Inputs!$G$5:$G$140="acoes"))*Inputs!$B$1+((Inputs!$G$5:$G$140&lt;&gt;"moeda")*(Inputs!$G$5:$G$140&lt;&gt;"acoes")))*INDEX(Inputs!$K$5:$AJ$140,0,MATCH(O$2,Inputs!$K$4:$AJ$4,0)))))</f>
        <v>2183.737</v>
      </c>
      <c r="P28" s="6">
        <f>IF(ISNA(MATCH(P$2,Inputs!$K$4:$AJ$4,0)),NA(),IF(SUMPRODUCT((Inputs!$A$5:$A$140=$B28)*ISNUMBER(INDEX(Inputs!$K$5:$AJ$140,0,MATCH(P$2,Inputs!$K$4:$AJ$4,0))))+SUMPRODUCT((Inputs!$C$5:$C$140=$B28)*ISNUMBER(INDEX(Inputs!$K$5:$AJ$140,0,MATCH(P$2,Inputs!$K$4:$AJ$4,0))))+SUMPRODUCT((Inputs!$E$5:$E$140=$B28)*ISNUMBER(INDEX(Inputs!$K$5:$AJ$140,0,MATCH(P$2,Inputs!$K$4:$AJ$4,0))))=0,NA(),SUMPRODUCT((Inputs!$A$5:$A$140=$B28)*Inputs!$B$5:$B$140*(((Inputs!$G$5:$G$140="moeda")+(Inputs!$G$5:$G$140="acoes"))*Inputs!$B$1+((Inputs!$G$5:$G$140&lt;&gt;"moeda")*(Inputs!$G$5:$G$140&lt;&gt;"acoes")))*INDEX(Inputs!$K$5:$AJ$140,0,MATCH(P$2,Inputs!$K$4:$AJ$4,0)))+SUMPRODUCT((Inputs!$C$5:$C$140=$B28)*Inputs!$D$5:$D$140*(((Inputs!$G$5:$G$140="moeda")+(Inputs!$G$5:$G$140="acoes"))*Inputs!$B$1+((Inputs!$G$5:$G$140&lt;&gt;"moeda")*(Inputs!$G$5:$G$140&lt;&gt;"acoes")))*INDEX(Inputs!$K$5:$AJ$140,0,MATCH(P$2,Inputs!$K$4:$AJ$4,0)))+SUMPRODUCT((Inputs!$E$5:$E$140=$B28)*Inputs!$F$5:$F$140*(((Inputs!$G$5:$G$140="moeda")+(Inputs!$G$5:$G$140="acoes"))*Inputs!$B$1+((Inputs!$G$5:$G$140&lt;&gt;"moeda")*(Inputs!$G$5:$G$140&lt;&gt;"acoes")))*INDEX(Inputs!$K$5:$AJ$140,0,MATCH(P$2,Inputs!$K$4:$AJ$4,0)))))</f>
        <v>2308.076</v>
      </c>
      <c r="Q28" s="6">
        <f>IF(ISNA(MATCH(Q$2,Inputs!$K$4:$AJ$4,0)),NA(),IF(SUMPRODUCT((Inputs!$A$5:$A$140=$B28)*ISNUMBER(INDEX(Inputs!$K$5:$AJ$140,0,MATCH(Q$2,Inputs!$K$4:$AJ$4,0))))+SUMPRODUCT((Inputs!$C$5:$C$140=$B28)*ISNUMBER(INDEX(Inputs!$K$5:$AJ$140,0,MATCH(Q$2,Inputs!$K$4:$AJ$4,0))))+SUMPRODUCT((Inputs!$E$5:$E$140=$B28)*ISNUMBER(INDEX(Inputs!$K$5:$AJ$140,0,MATCH(Q$2,Inputs!$K$4:$AJ$4,0))))=0,NA(),SUMPRODUCT((Inputs!$A$5:$A$140=$B28)*Inputs!$B$5:$B$140*(((Inputs!$G$5:$G$140="moeda")+(Inputs!$G$5:$G$140="acoes"))*Inputs!$B$1+((Inputs!$G$5:$G$140&lt;&gt;"moeda")*(Inputs!$G$5:$G$140&lt;&gt;"acoes")))*INDEX(Inputs!$K$5:$AJ$140,0,MATCH(Q$2,Inputs!$K$4:$AJ$4,0)))+SUMPRODUCT((Inputs!$C$5:$C$140=$B28)*Inputs!$D$5:$D$140*(((Inputs!$G$5:$G$140="moeda")+(Inputs!$G$5:$G$140="acoes"))*Inputs!$B$1+((Inputs!$G$5:$G$140&lt;&gt;"moeda")*(Inputs!$G$5:$G$140&lt;&gt;"acoes")))*INDEX(Inputs!$K$5:$AJ$140,0,MATCH(Q$2,Inputs!$K$4:$AJ$4,0)))+SUMPRODUCT((Inputs!$E$5:$E$140=$B28)*Inputs!$F$5:$F$140*(((Inputs!$G$5:$G$140="moeda")+(Inputs!$G$5:$G$140="acoes"))*Inputs!$B$1+((Inputs!$G$5:$G$140&lt;&gt;"moeda")*(Inputs!$G$5:$G$140&lt;&gt;"acoes")))*INDEX(Inputs!$K$5:$AJ$140,0,MATCH(Q$2,Inputs!$K$4:$AJ$4,0)))))</f>
        <v>3039.206</v>
      </c>
      <c r="R28" s="3">
        <f>Q28</f>
        <v>3039.206</v>
      </c>
      <c r="S28" s="6">
        <f>IF(ISNA(MATCH(S$2,Inputs!$K$4:$AJ$4,0)),NA(),IF(SUMPRODUCT((Inputs!$A$5:$A$140=$B28)*ISNUMBER(INDEX(Inputs!$K$5:$AJ$140,0,MATCH(S$2,Inputs!$K$4:$AJ$4,0))))+SUMPRODUCT((Inputs!$C$5:$C$140=$B28)*ISNUMBER(INDEX(Inputs!$K$5:$AJ$140,0,MATCH(S$2,Inputs!$K$4:$AJ$4,0))))+SUMPRODUCT((Inputs!$E$5:$E$140=$B28)*ISNUMBER(INDEX(Inputs!$K$5:$AJ$140,0,MATCH(S$2,Inputs!$K$4:$AJ$4,0))))=0,NA(),SUMPRODUCT((Inputs!$A$5:$A$140=$B28)*Inputs!$B$5:$B$140*(((Inputs!$G$5:$G$140="moeda")+(Inputs!$G$5:$G$140="acoes"))*Inputs!$B$1+((Inputs!$G$5:$G$140&lt;&gt;"moeda")*(Inputs!$G$5:$G$140&lt;&gt;"acoes")))*INDEX(Inputs!$K$5:$AJ$140,0,MATCH(S$2,Inputs!$K$4:$AJ$4,0)))+SUMPRODUCT((Inputs!$C$5:$C$140=$B28)*Inputs!$D$5:$D$140*(((Inputs!$G$5:$G$140="moeda")+(Inputs!$G$5:$G$140="acoes"))*Inputs!$B$1+((Inputs!$G$5:$G$140&lt;&gt;"moeda")*(Inputs!$G$5:$G$140&lt;&gt;"acoes")))*INDEX(Inputs!$K$5:$AJ$140,0,MATCH(S$2,Inputs!$K$4:$AJ$4,0)))+SUMPRODUCT((Inputs!$E$5:$E$140=$B28)*Inputs!$F$5:$F$140*(((Inputs!$G$5:$G$140="moeda")+(Inputs!$G$5:$G$140="acoes"))*Inputs!$B$1+((Inputs!$G$5:$G$140&lt;&gt;"moeda")*(Inputs!$G$5:$G$140&lt;&gt;"acoes")))*INDEX(Inputs!$K$5:$AJ$140,0,MATCH(S$2,Inputs!$K$4:$AJ$4,0)))))</f>
        <v>2623.383</v>
      </c>
      <c r="T28" s="6">
        <f>IF(ISNA(MATCH(T$2,Inputs!$K$4:$AJ$4,0)),NA(),IF(SUMPRODUCT((Inputs!$A$5:$A$140=$B28)*ISNUMBER(INDEX(Inputs!$K$5:$AJ$140,0,MATCH(T$2,Inputs!$K$4:$AJ$4,0))))+SUMPRODUCT((Inputs!$C$5:$C$140=$B28)*ISNUMBER(INDEX(Inputs!$K$5:$AJ$140,0,MATCH(T$2,Inputs!$K$4:$AJ$4,0))))+SUMPRODUCT((Inputs!$E$5:$E$140=$B28)*ISNUMBER(INDEX(Inputs!$K$5:$AJ$140,0,MATCH(T$2,Inputs!$K$4:$AJ$4,0))))=0,NA(),SUMPRODUCT((Inputs!$A$5:$A$140=$B28)*Inputs!$B$5:$B$140*(((Inputs!$G$5:$G$140="moeda")+(Inputs!$G$5:$G$140="acoes"))*Inputs!$B$1+((Inputs!$G$5:$G$140&lt;&gt;"moeda")*(Inputs!$G$5:$G$140&lt;&gt;"acoes")))*INDEX(Inputs!$K$5:$AJ$140,0,MATCH(T$2,Inputs!$K$4:$AJ$4,0)))+SUMPRODUCT((Inputs!$C$5:$C$140=$B28)*Inputs!$D$5:$D$140*(((Inputs!$G$5:$G$140="moeda")+(Inputs!$G$5:$G$140="acoes"))*Inputs!$B$1+((Inputs!$G$5:$G$140&lt;&gt;"moeda")*(Inputs!$G$5:$G$140&lt;&gt;"acoes")))*INDEX(Inputs!$K$5:$AJ$140,0,MATCH(T$2,Inputs!$K$4:$AJ$4,0)))+SUMPRODUCT((Inputs!$E$5:$E$140=$B28)*Inputs!$F$5:$F$140*(((Inputs!$G$5:$G$140="moeda")+(Inputs!$G$5:$G$140="acoes"))*Inputs!$B$1+((Inputs!$G$5:$G$140&lt;&gt;"moeda")*(Inputs!$G$5:$G$140&lt;&gt;"acoes")))*INDEX(Inputs!$K$5:$AJ$140,0,MATCH(T$2,Inputs!$K$4:$AJ$4,0)))))</f>
        <v>2787.903</v>
      </c>
      <c r="U28" s="6">
        <f>IF(ISNA(MATCH(U$2,Inputs!$K$4:$AJ$4,0)),NA(),IF(SUMPRODUCT((Inputs!$A$5:$A$140=$B28)*ISNUMBER(INDEX(Inputs!$K$5:$AJ$140,0,MATCH(U$2,Inputs!$K$4:$AJ$4,0))))+SUMPRODUCT((Inputs!$C$5:$C$140=$B28)*ISNUMBER(INDEX(Inputs!$K$5:$AJ$140,0,MATCH(U$2,Inputs!$K$4:$AJ$4,0))))+SUMPRODUCT((Inputs!$E$5:$E$140=$B28)*ISNUMBER(INDEX(Inputs!$K$5:$AJ$140,0,MATCH(U$2,Inputs!$K$4:$AJ$4,0))))=0,NA(),SUMPRODUCT((Inputs!$A$5:$A$140=$B28)*Inputs!$B$5:$B$140*(((Inputs!$G$5:$G$140="moeda")+(Inputs!$G$5:$G$140="acoes"))*Inputs!$B$1+((Inputs!$G$5:$G$140&lt;&gt;"moeda")*(Inputs!$G$5:$G$140&lt;&gt;"acoes")))*INDEX(Inputs!$K$5:$AJ$140,0,MATCH(U$2,Inputs!$K$4:$AJ$4,0)))+SUMPRODUCT((Inputs!$C$5:$C$140=$B28)*Inputs!$D$5:$D$140*(((Inputs!$G$5:$G$140="moeda")+(Inputs!$G$5:$G$140="acoes"))*Inputs!$B$1+((Inputs!$G$5:$G$140&lt;&gt;"moeda")*(Inputs!$G$5:$G$140&lt;&gt;"acoes")))*INDEX(Inputs!$K$5:$AJ$140,0,MATCH(U$2,Inputs!$K$4:$AJ$4,0)))+SUMPRODUCT((Inputs!$E$5:$E$140=$B28)*Inputs!$F$5:$F$140*(((Inputs!$G$5:$G$140="moeda")+(Inputs!$G$5:$G$140="acoes"))*Inputs!$B$1+((Inputs!$G$5:$G$140&lt;&gt;"moeda")*(Inputs!$G$5:$G$140&lt;&gt;"acoes")))*INDEX(Inputs!$K$5:$AJ$140,0,MATCH(U$2,Inputs!$K$4:$AJ$4,0)))))</f>
        <v>2958.921</v>
      </c>
      <c r="V28" s="6">
        <f>IF(ISNA(MATCH(V$2,Inputs!$K$4:$AJ$4,0)),NA(),IF(SUMPRODUCT((Inputs!$A$5:$A$140=$B28)*ISNUMBER(INDEX(Inputs!$K$5:$AJ$140,0,MATCH(V$2,Inputs!$K$4:$AJ$4,0))))+SUMPRODUCT((Inputs!$C$5:$C$140=$B28)*ISNUMBER(INDEX(Inputs!$K$5:$AJ$140,0,MATCH(V$2,Inputs!$K$4:$AJ$4,0))))+SUMPRODUCT((Inputs!$E$5:$E$140=$B28)*ISNUMBER(INDEX(Inputs!$K$5:$AJ$140,0,MATCH(V$2,Inputs!$K$4:$AJ$4,0))))=0,NA(),SUMPRODUCT((Inputs!$A$5:$A$140=$B28)*Inputs!$B$5:$B$140*(((Inputs!$G$5:$G$140="moeda")+(Inputs!$G$5:$G$140="acoes"))*Inputs!$B$1+((Inputs!$G$5:$G$140&lt;&gt;"moeda")*(Inputs!$G$5:$G$140&lt;&gt;"acoes")))*INDEX(Inputs!$K$5:$AJ$140,0,MATCH(V$2,Inputs!$K$4:$AJ$4,0)))+SUMPRODUCT((Inputs!$C$5:$C$140=$B28)*Inputs!$D$5:$D$140*(((Inputs!$G$5:$G$140="moeda")+(Inputs!$G$5:$G$140="acoes"))*Inputs!$B$1+((Inputs!$G$5:$G$140&lt;&gt;"moeda")*(Inputs!$G$5:$G$140&lt;&gt;"acoes")))*INDEX(Inputs!$K$5:$AJ$140,0,MATCH(V$2,Inputs!$K$4:$AJ$4,0)))+SUMPRODUCT((Inputs!$E$5:$E$140=$B28)*Inputs!$F$5:$F$140*(((Inputs!$G$5:$G$140="moeda")+(Inputs!$G$5:$G$140="acoes"))*Inputs!$B$1+((Inputs!$G$5:$G$140&lt;&gt;"moeda")*(Inputs!$G$5:$G$140&lt;&gt;"acoes")))*INDEX(Inputs!$K$5:$AJ$140,0,MATCH(V$2,Inputs!$K$4:$AJ$4,0)))))</f>
        <v>3078.569</v>
      </c>
      <c r="W28" s="3">
        <f>V28</f>
        <v>3078.569</v>
      </c>
      <c r="X28" s="6">
        <f>IF(ISNA(MATCH(X$2,Inputs!$K$4:$AJ$4,0)),NA(),IF(SUMPRODUCT((Inputs!$A$5:$A$140=$B28)*ISNUMBER(INDEX(Inputs!$K$5:$AJ$140,0,MATCH(X$2,Inputs!$K$4:$AJ$4,0))))+SUMPRODUCT((Inputs!$C$5:$C$140=$B28)*ISNUMBER(INDEX(Inputs!$K$5:$AJ$140,0,MATCH(X$2,Inputs!$K$4:$AJ$4,0))))+SUMPRODUCT((Inputs!$E$5:$E$140=$B28)*ISNUMBER(INDEX(Inputs!$K$5:$AJ$140,0,MATCH(X$2,Inputs!$K$4:$AJ$4,0))))=0,NA(),SUMPRODUCT((Inputs!$A$5:$A$140=$B28)*Inputs!$B$5:$B$140*(((Inputs!$G$5:$G$140="moeda")+(Inputs!$G$5:$G$140="acoes"))*Inputs!$B$1+((Inputs!$G$5:$G$140&lt;&gt;"moeda")*(Inputs!$G$5:$G$140&lt;&gt;"acoes")))*INDEX(Inputs!$K$5:$AJ$140,0,MATCH(X$2,Inputs!$K$4:$AJ$4,0)))+SUMPRODUCT((Inputs!$C$5:$C$140=$B28)*Inputs!$D$5:$D$140*(((Inputs!$G$5:$G$140="moeda")+(Inputs!$G$5:$G$140="acoes"))*Inputs!$B$1+((Inputs!$G$5:$G$140&lt;&gt;"moeda")*(Inputs!$G$5:$G$140&lt;&gt;"acoes")))*INDEX(Inputs!$K$5:$AJ$140,0,MATCH(X$2,Inputs!$K$4:$AJ$4,0)))+SUMPRODUCT((Inputs!$E$5:$E$140=$B28)*Inputs!$F$5:$F$140*(((Inputs!$G$5:$G$140="moeda")+(Inputs!$G$5:$G$140="acoes"))*Inputs!$B$1+((Inputs!$G$5:$G$140&lt;&gt;"moeda")*(Inputs!$G$5:$G$140&lt;&gt;"acoes")))*INDEX(Inputs!$K$5:$AJ$140,0,MATCH(X$2,Inputs!$K$4:$AJ$4,0)))))</f>
        <v>3755.177</v>
      </c>
      <c r="Y28" s="6">
        <f>IF(ISNA(MATCH(Y$2,Inputs!$K$4:$AJ$4,0)),NA(),IF(SUMPRODUCT((Inputs!$A$5:$A$140=$B28)*ISNUMBER(INDEX(Inputs!$K$5:$AJ$140,0,MATCH(Y$2,Inputs!$K$4:$AJ$4,0))))+SUMPRODUCT((Inputs!$C$5:$C$140=$B28)*ISNUMBER(INDEX(Inputs!$K$5:$AJ$140,0,MATCH(Y$2,Inputs!$K$4:$AJ$4,0))))+SUMPRODUCT((Inputs!$E$5:$E$140=$B28)*ISNUMBER(INDEX(Inputs!$K$5:$AJ$140,0,MATCH(Y$2,Inputs!$K$4:$AJ$4,0))))=0,NA(),SUMPRODUCT((Inputs!$A$5:$A$140=$B28)*Inputs!$B$5:$B$140*(((Inputs!$G$5:$G$140="moeda")+(Inputs!$G$5:$G$140="acoes"))*Inputs!$B$1+((Inputs!$G$5:$G$140&lt;&gt;"moeda")*(Inputs!$G$5:$G$140&lt;&gt;"acoes")))*INDEX(Inputs!$K$5:$AJ$140,0,MATCH(Y$2,Inputs!$K$4:$AJ$4,0)))+SUMPRODUCT((Inputs!$C$5:$C$140=$B28)*Inputs!$D$5:$D$140*(((Inputs!$G$5:$G$140="moeda")+(Inputs!$G$5:$G$140="acoes"))*Inputs!$B$1+((Inputs!$G$5:$G$140&lt;&gt;"moeda")*(Inputs!$G$5:$G$140&lt;&gt;"acoes")))*INDEX(Inputs!$K$5:$AJ$140,0,MATCH(Y$2,Inputs!$K$4:$AJ$4,0)))+SUMPRODUCT((Inputs!$E$5:$E$140=$B28)*Inputs!$F$5:$F$140*(((Inputs!$G$5:$G$140="moeda")+(Inputs!$G$5:$G$140="acoes"))*Inputs!$B$1+((Inputs!$G$5:$G$140&lt;&gt;"moeda")*(Inputs!$G$5:$G$140&lt;&gt;"acoes")))*INDEX(Inputs!$K$5:$AJ$140,0,MATCH(Y$2,Inputs!$K$4:$AJ$4,0)))))</f>
        <v>3357.777</v>
      </c>
      <c r="Z28" s="6">
        <f>IF(ISNA(MATCH(Z$2,Inputs!$K$4:$AJ$4,0)),NA(),IF(SUMPRODUCT((Inputs!$A$5:$A$140=$B28)*ISNUMBER(INDEX(Inputs!$K$5:$AJ$140,0,MATCH(Z$2,Inputs!$K$4:$AJ$4,0))))+SUMPRODUCT((Inputs!$C$5:$C$140=$B28)*ISNUMBER(INDEX(Inputs!$K$5:$AJ$140,0,MATCH(Z$2,Inputs!$K$4:$AJ$4,0))))+SUMPRODUCT((Inputs!$E$5:$E$140=$B28)*ISNUMBER(INDEX(Inputs!$K$5:$AJ$140,0,MATCH(Z$2,Inputs!$K$4:$AJ$4,0))))=0,NA(),SUMPRODUCT((Inputs!$A$5:$A$140=$B28)*Inputs!$B$5:$B$140*(((Inputs!$G$5:$G$140="moeda")+(Inputs!$G$5:$G$140="acoes"))*Inputs!$B$1+((Inputs!$G$5:$G$140&lt;&gt;"moeda")*(Inputs!$G$5:$G$140&lt;&gt;"acoes")))*INDEX(Inputs!$K$5:$AJ$140,0,MATCH(Z$2,Inputs!$K$4:$AJ$4,0)))+SUMPRODUCT((Inputs!$C$5:$C$140=$B28)*Inputs!$D$5:$D$140*(((Inputs!$G$5:$G$140="moeda")+(Inputs!$G$5:$G$140="acoes"))*Inputs!$B$1+((Inputs!$G$5:$G$140&lt;&gt;"moeda")*(Inputs!$G$5:$G$140&lt;&gt;"acoes")))*INDEX(Inputs!$K$5:$AJ$140,0,MATCH(Z$2,Inputs!$K$4:$AJ$4,0)))+SUMPRODUCT((Inputs!$E$5:$E$140=$B28)*Inputs!$F$5:$F$140*(((Inputs!$G$5:$G$140="moeda")+(Inputs!$G$5:$G$140="acoes"))*Inputs!$B$1+((Inputs!$G$5:$G$140&lt;&gt;"moeda")*(Inputs!$G$5:$G$140&lt;&gt;"acoes")))*INDEX(Inputs!$K$5:$AJ$140,0,MATCH(Z$2,Inputs!$K$4:$AJ$4,0)))))</f>
        <v>4133.147</v>
      </c>
      <c r="AA28" s="6">
        <f>IF(ISNA(MATCH(AA$2,Inputs!$K$4:$AJ$4,0)),NA(),IF(SUMPRODUCT((Inputs!$A$5:$A$140=$B28)*ISNUMBER(INDEX(Inputs!$K$5:$AJ$140,0,MATCH(AA$2,Inputs!$K$4:$AJ$4,0))))+SUMPRODUCT((Inputs!$C$5:$C$140=$B28)*ISNUMBER(INDEX(Inputs!$K$5:$AJ$140,0,MATCH(AA$2,Inputs!$K$4:$AJ$4,0))))+SUMPRODUCT((Inputs!$E$5:$E$140=$B28)*ISNUMBER(INDEX(Inputs!$K$5:$AJ$140,0,MATCH(AA$2,Inputs!$K$4:$AJ$4,0))))=0,NA(),SUMPRODUCT((Inputs!$A$5:$A$140=$B28)*Inputs!$B$5:$B$140*(((Inputs!$G$5:$G$140="moeda")+(Inputs!$G$5:$G$140="acoes"))*Inputs!$B$1+((Inputs!$G$5:$G$140&lt;&gt;"moeda")*(Inputs!$G$5:$G$140&lt;&gt;"acoes")))*INDEX(Inputs!$K$5:$AJ$140,0,MATCH(AA$2,Inputs!$K$4:$AJ$4,0)))+SUMPRODUCT((Inputs!$C$5:$C$140=$B28)*Inputs!$D$5:$D$140*(((Inputs!$G$5:$G$140="moeda")+(Inputs!$G$5:$G$140="acoes"))*Inputs!$B$1+((Inputs!$G$5:$G$140&lt;&gt;"moeda")*(Inputs!$G$5:$G$140&lt;&gt;"acoes")))*INDEX(Inputs!$K$5:$AJ$140,0,MATCH(AA$2,Inputs!$K$4:$AJ$4,0)))+SUMPRODUCT((Inputs!$E$5:$E$140=$B28)*Inputs!$F$5:$F$140*(((Inputs!$G$5:$G$140="moeda")+(Inputs!$G$5:$G$140="acoes"))*Inputs!$B$1+((Inputs!$G$5:$G$140&lt;&gt;"moeda")*(Inputs!$G$5:$G$140&lt;&gt;"acoes")))*INDEX(Inputs!$K$5:$AJ$140,0,MATCH(AA$2,Inputs!$K$4:$AJ$4,0)))))</f>
        <v>4469.873</v>
      </c>
      <c r="AB28" s="3">
        <f>AA28</f>
        <v>4469.873</v>
      </c>
      <c r="AC28" s="6">
        <f>IF(ISNA(MATCH(AC$2,Inputs!$K$4:$AJ$4,0)),NA(),IF(SUMPRODUCT((Inputs!$A$5:$A$140=$B28)*ISNUMBER(INDEX(Inputs!$K$5:$AJ$140,0,MATCH(AC$2,Inputs!$K$4:$AJ$4,0))))+SUMPRODUCT((Inputs!$C$5:$C$140=$B28)*ISNUMBER(INDEX(Inputs!$K$5:$AJ$140,0,MATCH(AC$2,Inputs!$K$4:$AJ$4,0))))+SUMPRODUCT((Inputs!$E$5:$E$140=$B28)*ISNUMBER(INDEX(Inputs!$K$5:$AJ$140,0,MATCH(AC$2,Inputs!$K$4:$AJ$4,0))))=0,NA(),SUMPRODUCT((Inputs!$A$5:$A$140=$B28)*Inputs!$B$5:$B$140*(((Inputs!$G$5:$G$140="moeda")+(Inputs!$G$5:$G$140="acoes"))*Inputs!$B$1+((Inputs!$G$5:$G$140&lt;&gt;"moeda")*(Inputs!$G$5:$G$140&lt;&gt;"acoes")))*INDEX(Inputs!$K$5:$AJ$140,0,MATCH(AC$2,Inputs!$K$4:$AJ$4,0)))+SUMPRODUCT((Inputs!$C$5:$C$140=$B28)*Inputs!$D$5:$D$140*(((Inputs!$G$5:$G$140="moeda")+(Inputs!$G$5:$G$140="acoes"))*Inputs!$B$1+((Inputs!$G$5:$G$140&lt;&gt;"moeda")*(Inputs!$G$5:$G$140&lt;&gt;"acoes")))*INDEX(Inputs!$K$5:$AJ$140,0,MATCH(AC$2,Inputs!$K$4:$AJ$4,0)))+SUMPRODUCT((Inputs!$E$5:$E$140=$B28)*Inputs!$F$5:$F$140*(((Inputs!$G$5:$G$140="moeda")+(Inputs!$G$5:$G$140="acoes"))*Inputs!$B$1+((Inputs!$G$5:$G$140&lt;&gt;"moeda")*(Inputs!$G$5:$G$140&lt;&gt;"acoes")))*INDEX(Inputs!$K$5:$AJ$140,0,MATCH(AC$2,Inputs!$K$4:$AJ$4,0)))))</f>
        <v>4634.788</v>
      </c>
      <c r="AD28" s="6">
        <f>IF(ISNA(MATCH(AD$2,Inputs!$K$4:$AJ$4,0)),NA(),IF(SUMPRODUCT((Inputs!$A$5:$A$140=$B28)*ISNUMBER(INDEX(Inputs!$K$5:$AJ$140,0,MATCH(AD$2,Inputs!$K$4:$AJ$4,0))))+SUMPRODUCT((Inputs!$C$5:$C$140=$B28)*ISNUMBER(INDEX(Inputs!$K$5:$AJ$140,0,MATCH(AD$2,Inputs!$K$4:$AJ$4,0))))+SUMPRODUCT((Inputs!$E$5:$E$140=$B28)*ISNUMBER(INDEX(Inputs!$K$5:$AJ$140,0,MATCH(AD$2,Inputs!$K$4:$AJ$4,0))))=0,NA(),SUMPRODUCT((Inputs!$A$5:$A$140=$B28)*Inputs!$B$5:$B$140*(((Inputs!$G$5:$G$140="moeda")+(Inputs!$G$5:$G$140="acoes"))*Inputs!$B$1+((Inputs!$G$5:$G$140&lt;&gt;"moeda")*(Inputs!$G$5:$G$140&lt;&gt;"acoes")))*INDEX(Inputs!$K$5:$AJ$140,0,MATCH(AD$2,Inputs!$K$4:$AJ$4,0)))+SUMPRODUCT((Inputs!$C$5:$C$140=$B28)*Inputs!$D$5:$D$140*(((Inputs!$G$5:$G$140="moeda")+(Inputs!$G$5:$G$140="acoes"))*Inputs!$B$1+((Inputs!$G$5:$G$140&lt;&gt;"moeda")*(Inputs!$G$5:$G$140&lt;&gt;"acoes")))*INDEX(Inputs!$K$5:$AJ$140,0,MATCH(AD$2,Inputs!$K$4:$AJ$4,0)))+SUMPRODUCT((Inputs!$E$5:$E$140=$B28)*Inputs!$F$5:$F$140*(((Inputs!$G$5:$G$140="moeda")+(Inputs!$G$5:$G$140="acoes"))*Inputs!$B$1+((Inputs!$G$5:$G$140&lt;&gt;"moeda")*(Inputs!$G$5:$G$140&lt;&gt;"acoes")))*INDEX(Inputs!$K$5:$AJ$140,0,MATCH(AD$2,Inputs!$K$4:$AJ$4,0)))))</f>
        <v>4790.556</v>
      </c>
      <c r="AE28" s="6" t="e">
        <f>IF(ISNA(MATCH(AE$2,Inputs!$K$4:$AJ$4,0)),NA(),IF(SUMPRODUCT((Inputs!$A$5:$A$140=$B28)*ISNUMBER(INDEX(Inputs!$K$5:$AJ$140,0,MATCH(AE$2,Inputs!$K$4:$AJ$4,0))))+SUMPRODUCT((Inputs!$C$5:$C$140=$B28)*ISNUMBER(INDEX(Inputs!$K$5:$AJ$140,0,MATCH(AE$2,Inputs!$K$4:$AJ$4,0))))+SUMPRODUCT((Inputs!$E$5:$E$140=$B28)*ISNUMBER(INDEX(Inputs!$K$5:$AJ$140,0,MATCH(AE$2,Inputs!$K$4:$AJ$4,0))))=0,NA(),SUMPRODUCT((Inputs!$A$5:$A$140=$B28)*Inputs!$B$5:$B$140*(((Inputs!$G$5:$G$140="moeda")+(Inputs!$G$5:$G$140="acoes"))*Inputs!$B$1+((Inputs!$G$5:$G$140&lt;&gt;"moeda")*(Inputs!$G$5:$G$140&lt;&gt;"acoes")))*INDEX(Inputs!$K$5:$AJ$140,0,MATCH(AE$2,Inputs!$K$4:$AJ$4,0)))+SUMPRODUCT((Inputs!$C$5:$C$140=$B28)*Inputs!$D$5:$D$140*(((Inputs!$G$5:$G$140="moeda")+(Inputs!$G$5:$G$140="acoes"))*Inputs!$B$1+((Inputs!$G$5:$G$140&lt;&gt;"moeda")*(Inputs!$G$5:$G$140&lt;&gt;"acoes")))*INDEX(Inputs!$K$5:$AJ$140,0,MATCH(AE$2,Inputs!$K$4:$AJ$4,0)))+SUMPRODUCT((Inputs!$E$5:$E$140=$B28)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8" s="6" t="e">
        <f>IF(ISNA(MATCH(AF$2,Inputs!$K$4:$AJ$4,0)),NA(),IF(SUMPRODUCT((Inputs!$A$5:$A$140=$B28)*ISNUMBER(INDEX(Inputs!$K$5:$AJ$140,0,MATCH(AF$2,Inputs!$K$4:$AJ$4,0))))+SUMPRODUCT((Inputs!$C$5:$C$140=$B28)*ISNUMBER(INDEX(Inputs!$K$5:$AJ$140,0,MATCH(AF$2,Inputs!$K$4:$AJ$4,0))))+SUMPRODUCT((Inputs!$E$5:$E$140=$B28)*ISNUMBER(INDEX(Inputs!$K$5:$AJ$140,0,MATCH(AF$2,Inputs!$K$4:$AJ$4,0))))=0,NA(),SUMPRODUCT((Inputs!$A$5:$A$140=$B28)*Inputs!$B$5:$B$140*(((Inputs!$G$5:$G$140="moeda")+(Inputs!$G$5:$G$140="acoes"))*Inputs!$B$1+((Inputs!$G$5:$G$140&lt;&gt;"moeda")*(Inputs!$G$5:$G$140&lt;&gt;"acoes")))*INDEX(Inputs!$K$5:$AJ$140,0,MATCH(AF$2,Inputs!$K$4:$AJ$4,0)))+SUMPRODUCT((Inputs!$C$5:$C$140=$B28)*Inputs!$D$5:$D$140*(((Inputs!$G$5:$G$140="moeda")+(Inputs!$G$5:$G$140="acoes"))*Inputs!$B$1+((Inputs!$G$5:$G$140&lt;&gt;"moeda")*(Inputs!$G$5:$G$140&lt;&gt;"acoes")))*INDEX(Inputs!$K$5:$AJ$140,0,MATCH(AF$2,Inputs!$K$4:$AJ$4,0)))+SUMPRODUCT((Inputs!$E$5:$E$140=$B28)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8" s="3" t="e">
        <f>AF28</f>
        <v>#N/A</v>
      </c>
      <c r="AH28" s="6" t="e">
        <f>IF(ISNA(MATCH(AH$2,Inputs!$K$4:$AJ$4,0)),NA(),IF(SUMPRODUCT((Inputs!$A$5:$A$140=$B28)*ISNUMBER(INDEX(Inputs!$K$5:$AJ$140,0,MATCH(AH$2,Inputs!$K$4:$AJ$4,0))))+SUMPRODUCT((Inputs!$C$5:$C$140=$B28)*ISNUMBER(INDEX(Inputs!$K$5:$AJ$140,0,MATCH(AH$2,Inputs!$K$4:$AJ$4,0))))+SUMPRODUCT((Inputs!$E$5:$E$140=$B28)*ISNUMBER(INDEX(Inputs!$K$5:$AJ$140,0,MATCH(AH$2,Inputs!$K$4:$AJ$4,0))))=0,NA(),SUMPRODUCT((Inputs!$A$5:$A$140=$B28)*Inputs!$B$5:$B$140*(((Inputs!$G$5:$G$140="moeda")+(Inputs!$G$5:$G$140="acoes"))*Inputs!$B$1+((Inputs!$G$5:$G$140&lt;&gt;"moeda")*(Inputs!$G$5:$G$140&lt;&gt;"acoes")))*INDEX(Inputs!$K$5:$AJ$140,0,MATCH(AH$2,Inputs!$K$4:$AJ$4,0)))+SUMPRODUCT((Inputs!$C$5:$C$140=$B28)*Inputs!$D$5:$D$140*(((Inputs!$G$5:$G$140="moeda")+(Inputs!$G$5:$G$140="acoes"))*Inputs!$B$1+((Inputs!$G$5:$G$140&lt;&gt;"moeda")*(Inputs!$G$5:$G$140&lt;&gt;"acoes")))*INDEX(Inputs!$K$5:$AJ$140,0,MATCH(AH$2,Inputs!$K$4:$AJ$4,0)))+SUMPRODUCT((Inputs!$E$5:$E$140=$B28)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8" s="6">
        <f>IF(ISNA(MATCH(AI$2,Inputs!$K$4:$AJ$4,0)),NA(),IF(SUMPRODUCT((Inputs!$A$5:$A$140=$B28)*ISNUMBER(INDEX(Inputs!$K$5:$AJ$140,0,MATCH(AI$2,Inputs!$K$4:$AJ$4,0))))+SUMPRODUCT((Inputs!$C$5:$C$140=$B28)*ISNUMBER(INDEX(Inputs!$K$5:$AJ$140,0,MATCH(AI$2,Inputs!$K$4:$AJ$4,0))))+SUMPRODUCT((Inputs!$E$5:$E$140=$B28)*ISNUMBER(INDEX(Inputs!$K$5:$AJ$140,0,MATCH(AI$2,Inputs!$K$4:$AJ$4,0))))=0,NA(),SUMPRODUCT((Inputs!$A$5:$A$140=$B28)*Inputs!$B$5:$B$140*(((Inputs!$G$5:$G$140="moeda")+(Inputs!$G$5:$G$140="acoes"))*Inputs!$B$1+((Inputs!$G$5:$G$140&lt;&gt;"moeda")*(Inputs!$G$5:$G$140&lt;&gt;"acoes")))*INDEX(Inputs!$K$5:$AJ$140,0,MATCH(AI$2,Inputs!$K$4:$AJ$4,0)))+SUMPRODUCT((Inputs!$C$5:$C$140=$B28)*Inputs!$D$5:$D$140*(((Inputs!$G$5:$G$140="moeda")+(Inputs!$G$5:$G$140="acoes"))*Inputs!$B$1+((Inputs!$G$5:$G$140&lt;&gt;"moeda")*(Inputs!$G$5:$G$140&lt;&gt;"acoes")))*INDEX(Inputs!$K$5:$AJ$140,0,MATCH(AI$2,Inputs!$K$4:$AJ$4,0)))+SUMPRODUCT((Inputs!$E$5:$E$140=$B28)*Inputs!$F$5:$F$140*(((Inputs!$G$5:$G$140="moeda")+(Inputs!$G$5:$G$140="acoes"))*Inputs!$B$1+((Inputs!$G$5:$G$140&lt;&gt;"moeda")*(Inputs!$G$5:$G$140&lt;&gt;"acoes")))*INDEX(Inputs!$K$5:$AJ$140,0,MATCH(AI$2,Inputs!$K$4:$AJ$4,0)))))</f>
        <v>694.082</v>
      </c>
      <c r="AJ28" s="6">
        <f>IF(ISNA(MATCH(AJ$2,Inputs!$K$4:$AJ$4,0)),NA(),IF(SUMPRODUCT((Inputs!$A$5:$A$140=$B28)*ISNUMBER(INDEX(Inputs!$K$5:$AJ$140,0,MATCH(AJ$2,Inputs!$K$4:$AJ$4,0))))+SUMPRODUCT((Inputs!$C$5:$C$140=$B28)*ISNUMBER(INDEX(Inputs!$K$5:$AJ$140,0,MATCH(AJ$2,Inputs!$K$4:$AJ$4,0))))+SUMPRODUCT((Inputs!$E$5:$E$140=$B28)*ISNUMBER(INDEX(Inputs!$K$5:$AJ$140,0,MATCH(AJ$2,Inputs!$K$4:$AJ$4,0))))=0,NA(),SUMPRODUCT((Inputs!$A$5:$A$140=$B28)*Inputs!$B$5:$B$140*(((Inputs!$G$5:$G$140="moeda")+(Inputs!$G$5:$G$140="acoes"))*Inputs!$B$1+((Inputs!$G$5:$G$140&lt;&gt;"moeda")*(Inputs!$G$5:$G$140&lt;&gt;"acoes")))*INDEX(Inputs!$K$5:$AJ$140,0,MATCH(AJ$2,Inputs!$K$4:$AJ$4,0)))+SUMPRODUCT((Inputs!$C$5:$C$140=$B28)*Inputs!$D$5:$D$140*(((Inputs!$G$5:$G$140="moeda")+(Inputs!$G$5:$G$140="acoes"))*Inputs!$B$1+((Inputs!$G$5:$G$140&lt;&gt;"moeda")*(Inputs!$G$5:$G$140&lt;&gt;"acoes")))*INDEX(Inputs!$K$5:$AJ$140,0,MATCH(AJ$2,Inputs!$K$4:$AJ$4,0)))+SUMPRODUCT((Inputs!$E$5:$E$140=$B28)*Inputs!$F$5:$F$140*(((Inputs!$G$5:$G$140="moeda")+(Inputs!$G$5:$G$140="acoes"))*Inputs!$B$1+((Inputs!$G$5:$G$140&lt;&gt;"moeda")*(Inputs!$G$5:$G$140&lt;&gt;"acoes")))*INDEX(Inputs!$K$5:$AJ$140,0,MATCH(AJ$2,Inputs!$K$4:$AJ$4,0)))))</f>
        <v>947.40558199</v>
      </c>
      <c r="AK28" s="6">
        <f>IF(ISNA(MATCH(AK$2,Inputs!$K$4:$AJ$4,0)),NA(),IF(SUMPRODUCT((Inputs!$A$5:$A$140=$B28)*ISNUMBER(INDEX(Inputs!$K$5:$AJ$140,0,MATCH(AK$2,Inputs!$K$4:$AJ$4,0))))+SUMPRODUCT((Inputs!$C$5:$C$140=$B28)*ISNUMBER(INDEX(Inputs!$K$5:$AJ$140,0,MATCH(AK$2,Inputs!$K$4:$AJ$4,0))))+SUMPRODUCT((Inputs!$E$5:$E$140=$B28)*ISNUMBER(INDEX(Inputs!$K$5:$AJ$140,0,MATCH(AK$2,Inputs!$K$4:$AJ$4,0))))=0,NA(),SUMPRODUCT((Inputs!$A$5:$A$140=$B28)*Inputs!$B$5:$B$140*(((Inputs!$G$5:$G$140="moeda")+(Inputs!$G$5:$G$140="acoes"))*Inputs!$B$1+((Inputs!$G$5:$G$140&lt;&gt;"moeda")*(Inputs!$G$5:$G$140&lt;&gt;"acoes")))*INDEX(Inputs!$K$5:$AJ$140,0,MATCH(AK$2,Inputs!$K$4:$AJ$4,0)))+SUMPRODUCT((Inputs!$C$5:$C$140=$B28)*Inputs!$D$5:$D$140*(((Inputs!$G$5:$G$140="moeda")+(Inputs!$G$5:$G$140="acoes"))*Inputs!$B$1+((Inputs!$G$5:$G$140&lt;&gt;"moeda")*(Inputs!$G$5:$G$140&lt;&gt;"acoes")))*INDEX(Inputs!$K$5:$AJ$140,0,MATCH(AK$2,Inputs!$K$4:$AJ$4,0)))+SUMPRODUCT((Inputs!$E$5:$E$140=$B28)*Inputs!$F$5:$F$140*(((Inputs!$G$5:$G$140="moeda")+(Inputs!$G$5:$G$140="acoes"))*Inputs!$B$1+((Inputs!$G$5:$G$140&lt;&gt;"moeda")*(Inputs!$G$5:$G$140&lt;&gt;"acoes")))*INDEX(Inputs!$K$5:$AJ$140,0,MATCH(AK$2,Inputs!$K$4:$AJ$4,0)))))</f>
        <v>944.6046996</v>
      </c>
      <c r="AL28" s="3">
        <f>AK28</f>
        <v>944.6046996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$140=$B29)*ISNUMBER(INDEX(Inputs!$K$5:$AJ$140,0,MATCH(D$2,Inputs!$K$4:$AJ$4,0))))+SUMPRODUCT((Inputs!$C$5:$C$140=$B29)*ISNUMBER(INDEX(Inputs!$K$5:$AJ$140,0,MATCH(D$2,Inputs!$K$4:$AJ$4,0))))+SUMPRODUCT((Inputs!$E$5:$E$140=$B29)*ISNUMBER(INDEX(Inputs!$K$5:$AJ$140,0,MATCH(D$2,Inputs!$K$4:$AJ$4,0))))=0,NA(),SUMPRODUCT((Inputs!$A$5:$A$140=$B29)*Inputs!$B$5:$B$140*(((Inputs!$G$5:$G$140="moeda")+(Inputs!$G$5:$G$140="acoes"))*Inputs!$B$1+((Inputs!$G$5:$G$140&lt;&gt;"moeda")*(Inputs!$G$5:$G$140&lt;&gt;"acoes")))*INDEX(Inputs!$K$5:$AJ$140,0,MATCH(D$2,Inputs!$K$4:$AJ$4,0)))+SUMPRODUCT((Inputs!$C$5:$C$140=$B29)*Inputs!$D$5:$D$140*(((Inputs!$G$5:$G$140="moeda")+(Inputs!$G$5:$G$140="acoes"))*Inputs!$B$1+((Inputs!$G$5:$G$140&lt;&gt;"moeda")*(Inputs!$G$5:$G$140&lt;&gt;"acoes")))*INDEX(Inputs!$K$5:$AJ$140,0,MATCH(D$2,Inputs!$K$4:$AJ$4,0)))+SUMPRODUCT((Inputs!$E$5:$E$140=$B29)*Inputs!$F$5:$F$140*(((Inputs!$G$5:$G$140="moeda")+(Inputs!$G$5:$G$140="acoes"))*Inputs!$B$1+((Inputs!$G$5:$G$140&lt;&gt;"moeda")*(Inputs!$G$5:$G$140&lt;&gt;"acoes")))*INDEX(Inputs!$K$5:$AJ$140,0,MATCH(D$2,Inputs!$K$4:$AJ$4,0)))))</f>
        <v>199.7580463</v>
      </c>
      <c r="E29" s="6">
        <f>IF(ISNA(MATCH(E$2,Inputs!$K$4:$AJ$4,0)),NA(),IF(SUMPRODUCT((Inputs!$A$5:$A$140=$B29)*ISNUMBER(INDEX(Inputs!$K$5:$AJ$140,0,MATCH(E$2,Inputs!$K$4:$AJ$4,0))))+SUMPRODUCT((Inputs!$C$5:$C$140=$B29)*ISNUMBER(INDEX(Inputs!$K$5:$AJ$140,0,MATCH(E$2,Inputs!$K$4:$AJ$4,0))))+SUMPRODUCT((Inputs!$E$5:$E$140=$B29)*ISNUMBER(INDEX(Inputs!$K$5:$AJ$140,0,MATCH(E$2,Inputs!$K$4:$AJ$4,0))))=0,NA(),SUMPRODUCT((Inputs!$A$5:$A$140=$B29)*Inputs!$B$5:$B$140*(((Inputs!$G$5:$G$140="moeda")+(Inputs!$G$5:$G$140="acoes"))*Inputs!$B$1+((Inputs!$G$5:$G$140&lt;&gt;"moeda")*(Inputs!$G$5:$G$140&lt;&gt;"acoes")))*INDEX(Inputs!$K$5:$AJ$140,0,MATCH(E$2,Inputs!$K$4:$AJ$4,0)))+SUMPRODUCT((Inputs!$C$5:$C$140=$B29)*Inputs!$D$5:$D$140*(((Inputs!$G$5:$G$140="moeda")+(Inputs!$G$5:$G$140="acoes"))*Inputs!$B$1+((Inputs!$G$5:$G$140&lt;&gt;"moeda")*(Inputs!$G$5:$G$140&lt;&gt;"acoes")))*INDEX(Inputs!$K$5:$AJ$140,0,MATCH(E$2,Inputs!$K$4:$AJ$4,0)))+SUMPRODUCT((Inputs!$E$5:$E$140=$B29)*Inputs!$F$5:$F$140*(((Inputs!$G$5:$G$140="moeda")+(Inputs!$G$5:$G$140="acoes"))*Inputs!$B$1+((Inputs!$G$5:$G$140&lt;&gt;"moeda")*(Inputs!$G$5:$G$140&lt;&gt;"acoes")))*INDEX(Inputs!$K$5:$AJ$140,0,MATCH(E$2,Inputs!$K$4:$AJ$4,0)))))</f>
        <v>237.62315962</v>
      </c>
      <c r="F29" s="6">
        <f>IF(ISNA(MATCH(F$2,Inputs!$K$4:$AJ$4,0)),NA(),IF(SUMPRODUCT((Inputs!$A$5:$A$140=$B29)*ISNUMBER(INDEX(Inputs!$K$5:$AJ$140,0,MATCH(F$2,Inputs!$K$4:$AJ$4,0))))+SUMPRODUCT((Inputs!$C$5:$C$140=$B29)*ISNUMBER(INDEX(Inputs!$K$5:$AJ$140,0,MATCH(F$2,Inputs!$K$4:$AJ$4,0))))+SUMPRODUCT((Inputs!$E$5:$E$140=$B29)*ISNUMBER(INDEX(Inputs!$K$5:$AJ$140,0,MATCH(F$2,Inputs!$K$4:$AJ$4,0))))=0,NA(),SUMPRODUCT((Inputs!$A$5:$A$140=$B29)*Inputs!$B$5:$B$140*(((Inputs!$G$5:$G$140="moeda")+(Inputs!$G$5:$G$140="acoes"))*Inputs!$B$1+((Inputs!$G$5:$G$140&lt;&gt;"moeda")*(Inputs!$G$5:$G$140&lt;&gt;"acoes")))*INDEX(Inputs!$K$5:$AJ$140,0,MATCH(F$2,Inputs!$K$4:$AJ$4,0)))+SUMPRODUCT((Inputs!$C$5:$C$140=$B29)*Inputs!$D$5:$D$140*(((Inputs!$G$5:$G$140="moeda")+(Inputs!$G$5:$G$140="acoes"))*Inputs!$B$1+((Inputs!$G$5:$G$140&lt;&gt;"moeda")*(Inputs!$G$5:$G$140&lt;&gt;"acoes")))*INDEX(Inputs!$K$5:$AJ$140,0,MATCH(F$2,Inputs!$K$4:$AJ$4,0)))+SUMPRODUCT((Inputs!$E$5:$E$140=$B29)*Inputs!$F$5:$F$140*(((Inputs!$G$5:$G$140="moeda")+(Inputs!$G$5:$G$140="acoes"))*Inputs!$B$1+((Inputs!$G$5:$G$140&lt;&gt;"moeda")*(Inputs!$G$5:$G$140&lt;&gt;"acoes")))*INDEX(Inputs!$K$5:$AJ$140,0,MATCH(F$2,Inputs!$K$4:$AJ$4,0)))))</f>
        <v>271.913</v>
      </c>
      <c r="G29" s="6">
        <f>IF(ISNA(MATCH(G$2,Inputs!$K$4:$AJ$4,0)),NA(),IF(SUMPRODUCT((Inputs!$A$5:$A$140=$B29)*ISNUMBER(INDEX(Inputs!$K$5:$AJ$140,0,MATCH(G$2,Inputs!$K$4:$AJ$4,0))))+SUMPRODUCT((Inputs!$C$5:$C$140=$B29)*ISNUMBER(INDEX(Inputs!$K$5:$AJ$140,0,MATCH(G$2,Inputs!$K$4:$AJ$4,0))))+SUMPRODUCT((Inputs!$E$5:$E$140=$B29)*ISNUMBER(INDEX(Inputs!$K$5:$AJ$140,0,MATCH(G$2,Inputs!$K$4:$AJ$4,0))))=0,NA(),SUMPRODUCT((Inputs!$A$5:$A$140=$B29)*Inputs!$B$5:$B$140*(((Inputs!$G$5:$G$140="moeda")+(Inputs!$G$5:$G$140="acoes"))*Inputs!$B$1+((Inputs!$G$5:$G$140&lt;&gt;"moeda")*(Inputs!$G$5:$G$140&lt;&gt;"acoes")))*INDEX(Inputs!$K$5:$AJ$140,0,MATCH(G$2,Inputs!$K$4:$AJ$4,0)))+SUMPRODUCT((Inputs!$C$5:$C$140=$B29)*Inputs!$D$5:$D$140*(((Inputs!$G$5:$G$140="moeda")+(Inputs!$G$5:$G$140="acoes"))*Inputs!$B$1+((Inputs!$G$5:$G$140&lt;&gt;"moeda")*(Inputs!$G$5:$G$140&lt;&gt;"acoes")))*INDEX(Inputs!$K$5:$AJ$140,0,MATCH(G$2,Inputs!$K$4:$AJ$4,0)))+SUMPRODUCT((Inputs!$E$5:$E$140=$B29)*Inputs!$F$5:$F$140*(((Inputs!$G$5:$G$140="moeda")+(Inputs!$G$5:$G$140="acoes"))*Inputs!$B$1+((Inputs!$G$5:$G$140&lt;&gt;"moeda")*(Inputs!$G$5:$G$140&lt;&gt;"acoes")))*INDEX(Inputs!$K$5:$AJ$140,0,MATCH(G$2,Inputs!$K$4:$AJ$4,0)))))</f>
        <v>224.68</v>
      </c>
      <c r="H29" s="3">
        <f>G29</f>
        <v>224.68</v>
      </c>
      <c r="I29" s="6">
        <f>IF(ISNA(MATCH(I$2,Inputs!$K$4:$AJ$4,0)),NA(),IF(SUMPRODUCT((Inputs!$A$5:$A$140=$B29)*ISNUMBER(INDEX(Inputs!$K$5:$AJ$140,0,MATCH(I$2,Inputs!$K$4:$AJ$4,0))))+SUMPRODUCT((Inputs!$C$5:$C$140=$B29)*ISNUMBER(INDEX(Inputs!$K$5:$AJ$140,0,MATCH(I$2,Inputs!$K$4:$AJ$4,0))))+SUMPRODUCT((Inputs!$E$5:$E$140=$B29)*ISNUMBER(INDEX(Inputs!$K$5:$AJ$140,0,MATCH(I$2,Inputs!$K$4:$AJ$4,0))))=0,NA(),SUMPRODUCT((Inputs!$A$5:$A$140=$B29)*Inputs!$B$5:$B$140*(((Inputs!$G$5:$G$140="moeda")+(Inputs!$G$5:$G$140="acoes"))*Inputs!$B$1+((Inputs!$G$5:$G$140&lt;&gt;"moeda")*(Inputs!$G$5:$G$140&lt;&gt;"acoes")))*INDEX(Inputs!$K$5:$AJ$140,0,MATCH(I$2,Inputs!$K$4:$AJ$4,0)))+SUMPRODUCT((Inputs!$C$5:$C$140=$B29)*Inputs!$D$5:$D$140*(((Inputs!$G$5:$G$140="moeda")+(Inputs!$G$5:$G$140="acoes"))*Inputs!$B$1+((Inputs!$G$5:$G$140&lt;&gt;"moeda")*(Inputs!$G$5:$G$140&lt;&gt;"acoes")))*INDEX(Inputs!$K$5:$AJ$140,0,MATCH(I$2,Inputs!$K$4:$AJ$4,0)))+SUMPRODUCT((Inputs!$E$5:$E$140=$B29)*Inputs!$F$5:$F$140*(((Inputs!$G$5:$G$140="moeda")+(Inputs!$G$5:$G$140="acoes"))*Inputs!$B$1+((Inputs!$G$5:$G$140&lt;&gt;"moeda")*(Inputs!$G$5:$G$140&lt;&gt;"acoes")))*INDEX(Inputs!$K$5:$AJ$140,0,MATCH(I$2,Inputs!$K$4:$AJ$4,0)))))</f>
        <v>237.809</v>
      </c>
      <c r="J29" s="6">
        <f>IF(ISNA(MATCH(J$2,Inputs!$K$4:$AJ$4,0)),NA(),IF(SUMPRODUCT((Inputs!$A$5:$A$140=$B29)*ISNUMBER(INDEX(Inputs!$K$5:$AJ$140,0,MATCH(J$2,Inputs!$K$4:$AJ$4,0))))+SUMPRODUCT((Inputs!$C$5:$C$140=$B29)*ISNUMBER(INDEX(Inputs!$K$5:$AJ$140,0,MATCH(J$2,Inputs!$K$4:$AJ$4,0))))+SUMPRODUCT((Inputs!$E$5:$E$140=$B29)*ISNUMBER(INDEX(Inputs!$K$5:$AJ$140,0,MATCH(J$2,Inputs!$K$4:$AJ$4,0))))=0,NA(),SUMPRODUCT((Inputs!$A$5:$A$140=$B29)*Inputs!$B$5:$B$140*(((Inputs!$G$5:$G$140="moeda")+(Inputs!$G$5:$G$140="acoes"))*Inputs!$B$1+((Inputs!$G$5:$G$140&lt;&gt;"moeda")*(Inputs!$G$5:$G$140&lt;&gt;"acoes")))*INDEX(Inputs!$K$5:$AJ$140,0,MATCH(J$2,Inputs!$K$4:$AJ$4,0)))+SUMPRODUCT((Inputs!$C$5:$C$140=$B29)*Inputs!$D$5:$D$140*(((Inputs!$G$5:$G$140="moeda")+(Inputs!$G$5:$G$140="acoes"))*Inputs!$B$1+((Inputs!$G$5:$G$140&lt;&gt;"moeda")*(Inputs!$G$5:$G$140&lt;&gt;"acoes")))*INDEX(Inputs!$K$5:$AJ$140,0,MATCH(J$2,Inputs!$K$4:$AJ$4,0)))+SUMPRODUCT((Inputs!$E$5:$E$140=$B29)*Inputs!$F$5:$F$140*(((Inputs!$G$5:$G$140="moeda")+(Inputs!$G$5:$G$140="acoes"))*Inputs!$B$1+((Inputs!$G$5:$G$140&lt;&gt;"moeda")*(Inputs!$G$5:$G$140&lt;&gt;"acoes")))*INDEX(Inputs!$K$5:$AJ$140,0,MATCH(J$2,Inputs!$K$4:$AJ$4,0)))))</f>
        <v>267.69</v>
      </c>
      <c r="K29" s="6">
        <f>IF(ISNA(MATCH(K$2,Inputs!$K$4:$AJ$4,0)),NA(),IF(SUMPRODUCT((Inputs!$A$5:$A$140=$B29)*ISNUMBER(INDEX(Inputs!$K$5:$AJ$140,0,MATCH(K$2,Inputs!$K$4:$AJ$4,0))))+SUMPRODUCT((Inputs!$C$5:$C$140=$B29)*ISNUMBER(INDEX(Inputs!$K$5:$AJ$140,0,MATCH(K$2,Inputs!$K$4:$AJ$4,0))))+SUMPRODUCT((Inputs!$E$5:$E$140=$B29)*ISNUMBER(INDEX(Inputs!$K$5:$AJ$140,0,MATCH(K$2,Inputs!$K$4:$AJ$4,0))))=0,NA(),SUMPRODUCT((Inputs!$A$5:$A$140=$B29)*Inputs!$B$5:$B$140*(((Inputs!$G$5:$G$140="moeda")+(Inputs!$G$5:$G$140="acoes"))*Inputs!$B$1+((Inputs!$G$5:$G$140&lt;&gt;"moeda")*(Inputs!$G$5:$G$140&lt;&gt;"acoes")))*INDEX(Inputs!$K$5:$AJ$140,0,MATCH(K$2,Inputs!$K$4:$AJ$4,0)))+SUMPRODUCT((Inputs!$C$5:$C$140=$B29)*Inputs!$D$5:$D$140*(((Inputs!$G$5:$G$140="moeda")+(Inputs!$G$5:$G$140="acoes"))*Inputs!$B$1+((Inputs!$G$5:$G$140&lt;&gt;"moeda")*(Inputs!$G$5:$G$140&lt;&gt;"acoes")))*INDEX(Inputs!$K$5:$AJ$140,0,MATCH(K$2,Inputs!$K$4:$AJ$4,0)))+SUMPRODUCT((Inputs!$E$5:$E$140=$B29)*Inputs!$F$5:$F$140*(((Inputs!$G$5:$G$140="moeda")+(Inputs!$G$5:$G$140="acoes"))*Inputs!$B$1+((Inputs!$G$5:$G$140&lt;&gt;"moeda")*(Inputs!$G$5:$G$140&lt;&gt;"acoes")))*INDEX(Inputs!$K$5:$AJ$140,0,MATCH(K$2,Inputs!$K$4:$AJ$4,0)))))</f>
        <v>328.581</v>
      </c>
      <c r="L29" s="6">
        <f>IF(ISNA(MATCH(L$2,Inputs!$K$4:$AJ$4,0)),NA(),IF(SUMPRODUCT((Inputs!$A$5:$A$140=$B29)*ISNUMBER(INDEX(Inputs!$K$5:$AJ$140,0,MATCH(L$2,Inputs!$K$4:$AJ$4,0))))+SUMPRODUCT((Inputs!$C$5:$C$140=$B29)*ISNUMBER(INDEX(Inputs!$K$5:$AJ$140,0,MATCH(L$2,Inputs!$K$4:$AJ$4,0))))+SUMPRODUCT((Inputs!$E$5:$E$140=$B29)*ISNUMBER(INDEX(Inputs!$K$5:$AJ$140,0,MATCH(L$2,Inputs!$K$4:$AJ$4,0))))=0,NA(),SUMPRODUCT((Inputs!$A$5:$A$140=$B29)*Inputs!$B$5:$B$140*(((Inputs!$G$5:$G$140="moeda")+(Inputs!$G$5:$G$140="acoes"))*Inputs!$B$1+((Inputs!$G$5:$G$140&lt;&gt;"moeda")*(Inputs!$G$5:$G$140&lt;&gt;"acoes")))*INDEX(Inputs!$K$5:$AJ$140,0,MATCH(L$2,Inputs!$K$4:$AJ$4,0)))+SUMPRODUCT((Inputs!$C$5:$C$140=$B29)*Inputs!$D$5:$D$140*(((Inputs!$G$5:$G$140="moeda")+(Inputs!$G$5:$G$140="acoes"))*Inputs!$B$1+((Inputs!$G$5:$G$140&lt;&gt;"moeda")*(Inputs!$G$5:$G$140&lt;&gt;"acoes")))*INDEX(Inputs!$K$5:$AJ$140,0,MATCH(L$2,Inputs!$K$4:$AJ$4,0)))+SUMPRODUCT((Inputs!$E$5:$E$140=$B29)*Inputs!$F$5:$F$140*(((Inputs!$G$5:$G$140="moeda")+(Inputs!$G$5:$G$140="acoes"))*Inputs!$B$1+((Inputs!$G$5:$G$140&lt;&gt;"moeda")*(Inputs!$G$5:$G$140&lt;&gt;"acoes")))*INDEX(Inputs!$K$5:$AJ$140,0,MATCH(L$2,Inputs!$K$4:$AJ$4,0)))))</f>
        <v>301.307</v>
      </c>
      <c r="M29" s="3">
        <f>L29</f>
        <v>301.307</v>
      </c>
      <c r="N29" s="6">
        <f>IF(ISNA(MATCH(N$2,Inputs!$K$4:$AJ$4,0)),NA(),IF(SUMPRODUCT((Inputs!$A$5:$A$140=$B29)*ISNUMBER(INDEX(Inputs!$K$5:$AJ$140,0,MATCH(N$2,Inputs!$K$4:$AJ$4,0))))+SUMPRODUCT((Inputs!$C$5:$C$140=$B29)*ISNUMBER(INDEX(Inputs!$K$5:$AJ$140,0,MATCH(N$2,Inputs!$K$4:$AJ$4,0))))+SUMPRODUCT((Inputs!$E$5:$E$140=$B29)*ISNUMBER(INDEX(Inputs!$K$5:$AJ$140,0,MATCH(N$2,Inputs!$K$4:$AJ$4,0))))=0,NA(),SUMPRODUCT((Inputs!$A$5:$A$140=$B29)*Inputs!$B$5:$B$140*(((Inputs!$G$5:$G$140="moeda")+(Inputs!$G$5:$G$140="acoes"))*Inputs!$B$1+((Inputs!$G$5:$G$140&lt;&gt;"moeda")*(Inputs!$G$5:$G$140&lt;&gt;"acoes")))*INDEX(Inputs!$K$5:$AJ$140,0,MATCH(N$2,Inputs!$K$4:$AJ$4,0)))+SUMPRODUCT((Inputs!$C$5:$C$140=$B29)*Inputs!$D$5:$D$140*(((Inputs!$G$5:$G$140="moeda")+(Inputs!$G$5:$G$140="acoes"))*Inputs!$B$1+((Inputs!$G$5:$G$140&lt;&gt;"moeda")*(Inputs!$G$5:$G$140&lt;&gt;"acoes")))*INDEX(Inputs!$K$5:$AJ$140,0,MATCH(N$2,Inputs!$K$4:$AJ$4,0)))+SUMPRODUCT((Inputs!$E$5:$E$140=$B29)*Inputs!$F$5:$F$140*(((Inputs!$G$5:$G$140="moeda")+(Inputs!$G$5:$G$140="acoes"))*Inputs!$B$1+((Inputs!$G$5:$G$140&lt;&gt;"moeda")*(Inputs!$G$5:$G$140&lt;&gt;"acoes")))*INDEX(Inputs!$K$5:$AJ$140,0,MATCH(N$2,Inputs!$K$4:$AJ$4,0)))))</f>
        <v>309.092</v>
      </c>
      <c r="O29" s="6">
        <f>IF(ISNA(MATCH(O$2,Inputs!$K$4:$AJ$4,0)),NA(),IF(SUMPRODUCT((Inputs!$A$5:$A$140=$B29)*ISNUMBER(INDEX(Inputs!$K$5:$AJ$140,0,MATCH(O$2,Inputs!$K$4:$AJ$4,0))))+SUMPRODUCT((Inputs!$C$5:$C$140=$B29)*ISNUMBER(INDEX(Inputs!$K$5:$AJ$140,0,MATCH(O$2,Inputs!$K$4:$AJ$4,0))))+SUMPRODUCT((Inputs!$E$5:$E$140=$B29)*ISNUMBER(INDEX(Inputs!$K$5:$AJ$140,0,MATCH(O$2,Inputs!$K$4:$AJ$4,0))))=0,NA(),SUMPRODUCT((Inputs!$A$5:$A$140=$B29)*Inputs!$B$5:$B$140*(((Inputs!$G$5:$G$140="moeda")+(Inputs!$G$5:$G$140="acoes"))*Inputs!$B$1+((Inputs!$G$5:$G$140&lt;&gt;"moeda")*(Inputs!$G$5:$G$140&lt;&gt;"acoes")))*INDEX(Inputs!$K$5:$AJ$140,0,MATCH(O$2,Inputs!$K$4:$AJ$4,0)))+SUMPRODUCT((Inputs!$C$5:$C$140=$B29)*Inputs!$D$5:$D$140*(((Inputs!$G$5:$G$140="moeda")+(Inputs!$G$5:$G$140="acoes"))*Inputs!$B$1+((Inputs!$G$5:$G$140&lt;&gt;"moeda")*(Inputs!$G$5:$G$140&lt;&gt;"acoes")))*INDEX(Inputs!$K$5:$AJ$140,0,MATCH(O$2,Inputs!$K$4:$AJ$4,0)))+SUMPRODUCT((Inputs!$E$5:$E$140=$B29)*Inputs!$F$5:$F$140*(((Inputs!$G$5:$G$140="moeda")+(Inputs!$G$5:$G$140="acoes"))*Inputs!$B$1+((Inputs!$G$5:$G$140&lt;&gt;"moeda")*(Inputs!$G$5:$G$140&lt;&gt;"acoes")))*INDEX(Inputs!$K$5:$AJ$140,0,MATCH(O$2,Inputs!$K$4:$AJ$4,0)))))</f>
        <v>357.078</v>
      </c>
      <c r="P29" s="6">
        <f>IF(ISNA(MATCH(P$2,Inputs!$K$4:$AJ$4,0)),NA(),IF(SUMPRODUCT((Inputs!$A$5:$A$140=$B29)*ISNUMBER(INDEX(Inputs!$K$5:$AJ$140,0,MATCH(P$2,Inputs!$K$4:$AJ$4,0))))+SUMPRODUCT((Inputs!$C$5:$C$140=$B29)*ISNUMBER(INDEX(Inputs!$K$5:$AJ$140,0,MATCH(P$2,Inputs!$K$4:$AJ$4,0))))+SUMPRODUCT((Inputs!$E$5:$E$140=$B29)*ISNUMBER(INDEX(Inputs!$K$5:$AJ$140,0,MATCH(P$2,Inputs!$K$4:$AJ$4,0))))=0,NA(),SUMPRODUCT((Inputs!$A$5:$A$140=$B29)*Inputs!$B$5:$B$140*(((Inputs!$G$5:$G$140="moeda")+(Inputs!$G$5:$G$140="acoes"))*Inputs!$B$1+((Inputs!$G$5:$G$140&lt;&gt;"moeda")*(Inputs!$G$5:$G$140&lt;&gt;"acoes")))*INDEX(Inputs!$K$5:$AJ$140,0,MATCH(P$2,Inputs!$K$4:$AJ$4,0)))+SUMPRODUCT((Inputs!$C$5:$C$140=$B29)*Inputs!$D$5:$D$140*(((Inputs!$G$5:$G$140="moeda")+(Inputs!$G$5:$G$140="acoes"))*Inputs!$B$1+((Inputs!$G$5:$G$140&lt;&gt;"moeda")*(Inputs!$G$5:$G$140&lt;&gt;"acoes")))*INDEX(Inputs!$K$5:$AJ$140,0,MATCH(P$2,Inputs!$K$4:$AJ$4,0)))+SUMPRODUCT((Inputs!$E$5:$E$140=$B29)*Inputs!$F$5:$F$140*(((Inputs!$G$5:$G$140="moeda")+(Inputs!$G$5:$G$140="acoes"))*Inputs!$B$1+((Inputs!$G$5:$G$140&lt;&gt;"moeda")*(Inputs!$G$5:$G$140&lt;&gt;"acoes")))*INDEX(Inputs!$K$5:$AJ$140,0,MATCH(P$2,Inputs!$K$4:$AJ$4,0)))))</f>
        <v>410.755</v>
      </c>
      <c r="Q29" s="6">
        <f>IF(ISNA(MATCH(Q$2,Inputs!$K$4:$AJ$4,0)),NA(),IF(SUMPRODUCT((Inputs!$A$5:$A$140=$B29)*ISNUMBER(INDEX(Inputs!$K$5:$AJ$140,0,MATCH(Q$2,Inputs!$K$4:$AJ$4,0))))+SUMPRODUCT((Inputs!$C$5:$C$140=$B29)*ISNUMBER(INDEX(Inputs!$K$5:$AJ$140,0,MATCH(Q$2,Inputs!$K$4:$AJ$4,0))))+SUMPRODUCT((Inputs!$E$5:$E$140=$B29)*ISNUMBER(INDEX(Inputs!$K$5:$AJ$140,0,MATCH(Q$2,Inputs!$K$4:$AJ$4,0))))=0,NA(),SUMPRODUCT((Inputs!$A$5:$A$140=$B29)*Inputs!$B$5:$B$140*(((Inputs!$G$5:$G$140="moeda")+(Inputs!$G$5:$G$140="acoes"))*Inputs!$B$1+((Inputs!$G$5:$G$140&lt;&gt;"moeda")*(Inputs!$G$5:$G$140&lt;&gt;"acoes")))*INDEX(Inputs!$K$5:$AJ$140,0,MATCH(Q$2,Inputs!$K$4:$AJ$4,0)))+SUMPRODUCT((Inputs!$C$5:$C$140=$B29)*Inputs!$D$5:$D$140*(((Inputs!$G$5:$G$140="moeda")+(Inputs!$G$5:$G$140="acoes"))*Inputs!$B$1+((Inputs!$G$5:$G$140&lt;&gt;"moeda")*(Inputs!$G$5:$G$140&lt;&gt;"acoes")))*INDEX(Inputs!$K$5:$AJ$140,0,MATCH(Q$2,Inputs!$K$4:$AJ$4,0)))+SUMPRODUCT((Inputs!$E$5:$E$140=$B29)*Inputs!$F$5:$F$140*(((Inputs!$G$5:$G$140="moeda")+(Inputs!$G$5:$G$140="acoes"))*Inputs!$B$1+((Inputs!$G$5:$G$140&lt;&gt;"moeda")*(Inputs!$G$5:$G$140&lt;&gt;"acoes")))*INDEX(Inputs!$K$5:$AJ$140,0,MATCH(Q$2,Inputs!$K$4:$AJ$4,0)))))</f>
        <v>394.255</v>
      </c>
      <c r="R29" s="3">
        <f>Q29</f>
        <v>394.255</v>
      </c>
      <c r="S29" s="6">
        <f>IF(ISNA(MATCH(S$2,Inputs!$K$4:$AJ$4,0)),NA(),IF(SUMPRODUCT((Inputs!$A$5:$A$140=$B29)*ISNUMBER(INDEX(Inputs!$K$5:$AJ$140,0,MATCH(S$2,Inputs!$K$4:$AJ$4,0))))+SUMPRODUCT((Inputs!$C$5:$C$140=$B29)*ISNUMBER(INDEX(Inputs!$K$5:$AJ$140,0,MATCH(S$2,Inputs!$K$4:$AJ$4,0))))+SUMPRODUCT((Inputs!$E$5:$E$140=$B29)*ISNUMBER(INDEX(Inputs!$K$5:$AJ$140,0,MATCH(S$2,Inputs!$K$4:$AJ$4,0))))=0,NA(),SUMPRODUCT((Inputs!$A$5:$A$140=$B29)*Inputs!$B$5:$B$140*(((Inputs!$G$5:$G$140="moeda")+(Inputs!$G$5:$G$140="acoes"))*Inputs!$B$1+((Inputs!$G$5:$G$140&lt;&gt;"moeda")*(Inputs!$G$5:$G$140&lt;&gt;"acoes")))*INDEX(Inputs!$K$5:$AJ$140,0,MATCH(S$2,Inputs!$K$4:$AJ$4,0)))+SUMPRODUCT((Inputs!$C$5:$C$140=$B29)*Inputs!$D$5:$D$140*(((Inputs!$G$5:$G$140="moeda")+(Inputs!$G$5:$G$140="acoes"))*Inputs!$B$1+((Inputs!$G$5:$G$140&lt;&gt;"moeda")*(Inputs!$G$5:$G$140&lt;&gt;"acoes")))*INDEX(Inputs!$K$5:$AJ$140,0,MATCH(S$2,Inputs!$K$4:$AJ$4,0)))+SUMPRODUCT((Inputs!$E$5:$E$140=$B29)*Inputs!$F$5:$F$140*(((Inputs!$G$5:$G$140="moeda")+(Inputs!$G$5:$G$140="acoes"))*Inputs!$B$1+((Inputs!$G$5:$G$140&lt;&gt;"moeda")*(Inputs!$G$5:$G$140&lt;&gt;"acoes")))*INDEX(Inputs!$K$5:$AJ$140,0,MATCH(S$2,Inputs!$K$4:$AJ$4,0)))))</f>
        <v>429.905</v>
      </c>
      <c r="T29" s="6">
        <f>IF(ISNA(MATCH(T$2,Inputs!$K$4:$AJ$4,0)),NA(),IF(SUMPRODUCT((Inputs!$A$5:$A$140=$B29)*ISNUMBER(INDEX(Inputs!$K$5:$AJ$140,0,MATCH(T$2,Inputs!$K$4:$AJ$4,0))))+SUMPRODUCT((Inputs!$C$5:$C$140=$B29)*ISNUMBER(INDEX(Inputs!$K$5:$AJ$140,0,MATCH(T$2,Inputs!$K$4:$AJ$4,0))))+SUMPRODUCT((Inputs!$E$5:$E$140=$B29)*ISNUMBER(INDEX(Inputs!$K$5:$AJ$140,0,MATCH(T$2,Inputs!$K$4:$AJ$4,0))))=0,NA(),SUMPRODUCT((Inputs!$A$5:$A$140=$B29)*Inputs!$B$5:$B$140*(((Inputs!$G$5:$G$140="moeda")+(Inputs!$G$5:$G$140="acoes"))*Inputs!$B$1+((Inputs!$G$5:$G$140&lt;&gt;"moeda")*(Inputs!$G$5:$G$140&lt;&gt;"acoes")))*INDEX(Inputs!$K$5:$AJ$140,0,MATCH(T$2,Inputs!$K$4:$AJ$4,0)))+SUMPRODUCT((Inputs!$C$5:$C$140=$B29)*Inputs!$D$5:$D$140*(((Inputs!$G$5:$G$140="moeda")+(Inputs!$G$5:$G$140="acoes"))*Inputs!$B$1+((Inputs!$G$5:$G$140&lt;&gt;"moeda")*(Inputs!$G$5:$G$140&lt;&gt;"acoes")))*INDEX(Inputs!$K$5:$AJ$140,0,MATCH(T$2,Inputs!$K$4:$AJ$4,0)))+SUMPRODUCT((Inputs!$E$5:$E$140=$B29)*Inputs!$F$5:$F$140*(((Inputs!$G$5:$G$140="moeda")+(Inputs!$G$5:$G$140="acoes"))*Inputs!$B$1+((Inputs!$G$5:$G$140&lt;&gt;"moeda")*(Inputs!$G$5:$G$140&lt;&gt;"acoes")))*INDEX(Inputs!$K$5:$AJ$140,0,MATCH(T$2,Inputs!$K$4:$AJ$4,0)))))</f>
        <v>454.609</v>
      </c>
      <c r="U29" s="6">
        <f>IF(ISNA(MATCH(U$2,Inputs!$K$4:$AJ$4,0)),NA(),IF(SUMPRODUCT((Inputs!$A$5:$A$140=$B29)*ISNUMBER(INDEX(Inputs!$K$5:$AJ$140,0,MATCH(U$2,Inputs!$K$4:$AJ$4,0))))+SUMPRODUCT((Inputs!$C$5:$C$140=$B29)*ISNUMBER(INDEX(Inputs!$K$5:$AJ$140,0,MATCH(U$2,Inputs!$K$4:$AJ$4,0))))+SUMPRODUCT((Inputs!$E$5:$E$140=$B29)*ISNUMBER(INDEX(Inputs!$K$5:$AJ$140,0,MATCH(U$2,Inputs!$K$4:$AJ$4,0))))=0,NA(),SUMPRODUCT((Inputs!$A$5:$A$140=$B29)*Inputs!$B$5:$B$140*(((Inputs!$G$5:$G$140="moeda")+(Inputs!$G$5:$G$140="acoes"))*Inputs!$B$1+((Inputs!$G$5:$G$140&lt;&gt;"moeda")*(Inputs!$G$5:$G$140&lt;&gt;"acoes")))*INDEX(Inputs!$K$5:$AJ$140,0,MATCH(U$2,Inputs!$K$4:$AJ$4,0)))+SUMPRODUCT((Inputs!$C$5:$C$140=$B29)*Inputs!$D$5:$D$140*(((Inputs!$G$5:$G$140="moeda")+(Inputs!$G$5:$G$140="acoes"))*Inputs!$B$1+((Inputs!$G$5:$G$140&lt;&gt;"moeda")*(Inputs!$G$5:$G$140&lt;&gt;"acoes")))*INDEX(Inputs!$K$5:$AJ$140,0,MATCH(U$2,Inputs!$K$4:$AJ$4,0)))+SUMPRODUCT((Inputs!$E$5:$E$140=$B29)*Inputs!$F$5:$F$140*(((Inputs!$G$5:$G$140="moeda")+(Inputs!$G$5:$G$140="acoes"))*Inputs!$B$1+((Inputs!$G$5:$G$140&lt;&gt;"moeda")*(Inputs!$G$5:$G$140&lt;&gt;"acoes")))*INDEX(Inputs!$K$5:$AJ$140,0,MATCH(U$2,Inputs!$K$4:$AJ$4,0)))))</f>
        <v>494.728</v>
      </c>
      <c r="V29" s="6">
        <f>IF(ISNA(MATCH(V$2,Inputs!$K$4:$AJ$4,0)),NA(),IF(SUMPRODUCT((Inputs!$A$5:$A$140=$B29)*ISNUMBER(INDEX(Inputs!$K$5:$AJ$140,0,MATCH(V$2,Inputs!$K$4:$AJ$4,0))))+SUMPRODUCT((Inputs!$C$5:$C$140=$B29)*ISNUMBER(INDEX(Inputs!$K$5:$AJ$140,0,MATCH(V$2,Inputs!$K$4:$AJ$4,0))))+SUMPRODUCT((Inputs!$E$5:$E$140=$B29)*ISNUMBER(INDEX(Inputs!$K$5:$AJ$140,0,MATCH(V$2,Inputs!$K$4:$AJ$4,0))))=0,NA(),SUMPRODUCT((Inputs!$A$5:$A$140=$B29)*Inputs!$B$5:$B$140*(((Inputs!$G$5:$G$140="moeda")+(Inputs!$G$5:$G$140="acoes"))*Inputs!$B$1+((Inputs!$G$5:$G$140&lt;&gt;"moeda")*(Inputs!$G$5:$G$140&lt;&gt;"acoes")))*INDEX(Inputs!$K$5:$AJ$140,0,MATCH(V$2,Inputs!$K$4:$AJ$4,0)))+SUMPRODUCT((Inputs!$C$5:$C$140=$B29)*Inputs!$D$5:$D$140*(((Inputs!$G$5:$G$140="moeda")+(Inputs!$G$5:$G$140="acoes"))*Inputs!$B$1+((Inputs!$G$5:$G$140&lt;&gt;"moeda")*(Inputs!$G$5:$G$140&lt;&gt;"acoes")))*INDEX(Inputs!$K$5:$AJ$140,0,MATCH(V$2,Inputs!$K$4:$AJ$4,0)))+SUMPRODUCT((Inputs!$E$5:$E$140=$B29)*Inputs!$F$5:$F$140*(((Inputs!$G$5:$G$140="moeda")+(Inputs!$G$5:$G$140="acoes"))*Inputs!$B$1+((Inputs!$G$5:$G$140&lt;&gt;"moeda")*(Inputs!$G$5:$G$140&lt;&gt;"acoes")))*INDEX(Inputs!$K$5:$AJ$140,0,MATCH(V$2,Inputs!$K$4:$AJ$4,0)))))</f>
        <v>445.071</v>
      </c>
      <c r="W29" s="3">
        <f>V29</f>
        <v>445.071</v>
      </c>
      <c r="X29" s="6">
        <f>IF(ISNA(MATCH(X$2,Inputs!$K$4:$AJ$4,0)),NA(),IF(SUMPRODUCT((Inputs!$A$5:$A$140=$B29)*ISNUMBER(INDEX(Inputs!$K$5:$AJ$140,0,MATCH(X$2,Inputs!$K$4:$AJ$4,0))))+SUMPRODUCT((Inputs!$C$5:$C$140=$B29)*ISNUMBER(INDEX(Inputs!$K$5:$AJ$140,0,MATCH(X$2,Inputs!$K$4:$AJ$4,0))))+SUMPRODUCT((Inputs!$E$5:$E$140=$B29)*ISNUMBER(INDEX(Inputs!$K$5:$AJ$140,0,MATCH(X$2,Inputs!$K$4:$AJ$4,0))))=0,NA(),SUMPRODUCT((Inputs!$A$5:$A$140=$B29)*Inputs!$B$5:$B$140*(((Inputs!$G$5:$G$140="moeda")+(Inputs!$G$5:$G$140="acoes"))*Inputs!$B$1+((Inputs!$G$5:$G$140&lt;&gt;"moeda")*(Inputs!$G$5:$G$140&lt;&gt;"acoes")))*INDEX(Inputs!$K$5:$AJ$140,0,MATCH(X$2,Inputs!$K$4:$AJ$4,0)))+SUMPRODUCT((Inputs!$C$5:$C$140=$B29)*Inputs!$D$5:$D$140*(((Inputs!$G$5:$G$140="moeda")+(Inputs!$G$5:$G$140="acoes"))*Inputs!$B$1+((Inputs!$G$5:$G$140&lt;&gt;"moeda")*(Inputs!$G$5:$G$140&lt;&gt;"acoes")))*INDEX(Inputs!$K$5:$AJ$140,0,MATCH(X$2,Inputs!$K$4:$AJ$4,0)))+SUMPRODUCT((Inputs!$E$5:$E$140=$B29)*Inputs!$F$5:$F$140*(((Inputs!$G$5:$G$140="moeda")+(Inputs!$G$5:$G$140="acoes"))*Inputs!$B$1+((Inputs!$G$5:$G$140&lt;&gt;"moeda")*(Inputs!$G$5:$G$140&lt;&gt;"acoes")))*INDEX(Inputs!$K$5:$AJ$140,0,MATCH(X$2,Inputs!$K$4:$AJ$4,0)))))</f>
        <v>482.103</v>
      </c>
      <c r="Y29" s="6">
        <f>IF(ISNA(MATCH(Y$2,Inputs!$K$4:$AJ$4,0)),NA(),IF(SUMPRODUCT((Inputs!$A$5:$A$140=$B29)*ISNUMBER(INDEX(Inputs!$K$5:$AJ$140,0,MATCH(Y$2,Inputs!$K$4:$AJ$4,0))))+SUMPRODUCT((Inputs!$C$5:$C$140=$B29)*ISNUMBER(INDEX(Inputs!$K$5:$AJ$140,0,MATCH(Y$2,Inputs!$K$4:$AJ$4,0))))+SUMPRODUCT((Inputs!$E$5:$E$140=$B29)*ISNUMBER(INDEX(Inputs!$K$5:$AJ$140,0,MATCH(Y$2,Inputs!$K$4:$AJ$4,0))))=0,NA(),SUMPRODUCT((Inputs!$A$5:$A$140=$B29)*Inputs!$B$5:$B$140*(((Inputs!$G$5:$G$140="moeda")+(Inputs!$G$5:$G$140="acoes"))*Inputs!$B$1+((Inputs!$G$5:$G$140&lt;&gt;"moeda")*(Inputs!$G$5:$G$140&lt;&gt;"acoes")))*INDEX(Inputs!$K$5:$AJ$140,0,MATCH(Y$2,Inputs!$K$4:$AJ$4,0)))+SUMPRODUCT((Inputs!$C$5:$C$140=$B29)*Inputs!$D$5:$D$140*(((Inputs!$G$5:$G$140="moeda")+(Inputs!$G$5:$G$140="acoes"))*Inputs!$B$1+((Inputs!$G$5:$G$140&lt;&gt;"moeda")*(Inputs!$G$5:$G$140&lt;&gt;"acoes")))*INDEX(Inputs!$K$5:$AJ$140,0,MATCH(Y$2,Inputs!$K$4:$AJ$4,0)))+SUMPRODUCT((Inputs!$E$5:$E$140=$B29)*Inputs!$F$5:$F$140*(((Inputs!$G$5:$G$140="moeda")+(Inputs!$G$5:$G$140="acoes"))*Inputs!$B$1+((Inputs!$G$5:$G$140&lt;&gt;"moeda")*(Inputs!$G$5:$G$140&lt;&gt;"acoes")))*INDEX(Inputs!$K$5:$AJ$140,0,MATCH(Y$2,Inputs!$K$4:$AJ$4,0)))))</f>
        <v>472.507</v>
      </c>
      <c r="Z29" s="6">
        <f>IF(ISNA(MATCH(Z$2,Inputs!$K$4:$AJ$4,0)),NA(),IF(SUMPRODUCT((Inputs!$A$5:$A$140=$B29)*ISNUMBER(INDEX(Inputs!$K$5:$AJ$140,0,MATCH(Z$2,Inputs!$K$4:$AJ$4,0))))+SUMPRODUCT((Inputs!$C$5:$C$140=$B29)*ISNUMBER(INDEX(Inputs!$K$5:$AJ$140,0,MATCH(Z$2,Inputs!$K$4:$AJ$4,0))))+SUMPRODUCT((Inputs!$E$5:$E$140=$B29)*ISNUMBER(INDEX(Inputs!$K$5:$AJ$140,0,MATCH(Z$2,Inputs!$K$4:$AJ$4,0))))=0,NA(),SUMPRODUCT((Inputs!$A$5:$A$140=$B29)*Inputs!$B$5:$B$140*(((Inputs!$G$5:$G$140="moeda")+(Inputs!$G$5:$G$140="acoes"))*Inputs!$B$1+((Inputs!$G$5:$G$140&lt;&gt;"moeda")*(Inputs!$G$5:$G$140&lt;&gt;"acoes")))*INDEX(Inputs!$K$5:$AJ$140,0,MATCH(Z$2,Inputs!$K$4:$AJ$4,0)))+SUMPRODUCT((Inputs!$C$5:$C$140=$B29)*Inputs!$D$5:$D$140*(((Inputs!$G$5:$G$140="moeda")+(Inputs!$G$5:$G$140="acoes"))*Inputs!$B$1+((Inputs!$G$5:$G$140&lt;&gt;"moeda")*(Inputs!$G$5:$G$140&lt;&gt;"acoes")))*INDEX(Inputs!$K$5:$AJ$140,0,MATCH(Z$2,Inputs!$K$4:$AJ$4,0)))+SUMPRODUCT((Inputs!$E$5:$E$140=$B29)*Inputs!$F$5:$F$140*(((Inputs!$G$5:$G$140="moeda")+(Inputs!$G$5:$G$140="acoes"))*Inputs!$B$1+((Inputs!$G$5:$G$140&lt;&gt;"moeda")*(Inputs!$G$5:$G$140&lt;&gt;"acoes")))*INDEX(Inputs!$K$5:$AJ$140,0,MATCH(Z$2,Inputs!$K$4:$AJ$4,0)))))</f>
        <v>596.021</v>
      </c>
      <c r="AA29" s="6">
        <f>IF(ISNA(MATCH(AA$2,Inputs!$K$4:$AJ$4,0)),NA(),IF(SUMPRODUCT((Inputs!$A$5:$A$140=$B29)*ISNUMBER(INDEX(Inputs!$K$5:$AJ$140,0,MATCH(AA$2,Inputs!$K$4:$AJ$4,0))))+SUMPRODUCT((Inputs!$C$5:$C$140=$B29)*ISNUMBER(INDEX(Inputs!$K$5:$AJ$140,0,MATCH(AA$2,Inputs!$K$4:$AJ$4,0))))+SUMPRODUCT((Inputs!$E$5:$E$140=$B29)*ISNUMBER(INDEX(Inputs!$K$5:$AJ$140,0,MATCH(AA$2,Inputs!$K$4:$AJ$4,0))))=0,NA(),SUMPRODUCT((Inputs!$A$5:$A$140=$B29)*Inputs!$B$5:$B$140*(((Inputs!$G$5:$G$140="moeda")+(Inputs!$G$5:$G$140="acoes"))*Inputs!$B$1+((Inputs!$G$5:$G$140&lt;&gt;"moeda")*(Inputs!$G$5:$G$140&lt;&gt;"acoes")))*INDEX(Inputs!$K$5:$AJ$140,0,MATCH(AA$2,Inputs!$K$4:$AJ$4,0)))+SUMPRODUCT((Inputs!$C$5:$C$140=$B29)*Inputs!$D$5:$D$140*(((Inputs!$G$5:$G$140="moeda")+(Inputs!$G$5:$G$140="acoes"))*Inputs!$B$1+((Inputs!$G$5:$G$140&lt;&gt;"moeda")*(Inputs!$G$5:$G$140&lt;&gt;"acoes")))*INDEX(Inputs!$K$5:$AJ$140,0,MATCH(AA$2,Inputs!$K$4:$AJ$4,0)))+SUMPRODUCT((Inputs!$E$5:$E$140=$B29)*Inputs!$F$5:$F$140*(((Inputs!$G$5:$G$140="moeda")+(Inputs!$G$5:$G$140="acoes"))*Inputs!$B$1+((Inputs!$G$5:$G$140&lt;&gt;"moeda")*(Inputs!$G$5:$G$140&lt;&gt;"acoes")))*INDEX(Inputs!$K$5:$AJ$140,0,MATCH(AA$2,Inputs!$K$4:$AJ$4,0)))))</f>
        <v>526.602</v>
      </c>
      <c r="AB29" s="3">
        <f>AA29</f>
        <v>526.602</v>
      </c>
      <c r="AC29" s="6">
        <f>IF(ISNA(MATCH(AC$2,Inputs!$K$4:$AJ$4,0)),NA(),IF(SUMPRODUCT((Inputs!$A$5:$A$140=$B29)*ISNUMBER(INDEX(Inputs!$K$5:$AJ$140,0,MATCH(AC$2,Inputs!$K$4:$AJ$4,0))))+SUMPRODUCT((Inputs!$C$5:$C$140=$B29)*ISNUMBER(INDEX(Inputs!$K$5:$AJ$140,0,MATCH(AC$2,Inputs!$K$4:$AJ$4,0))))+SUMPRODUCT((Inputs!$E$5:$E$140=$B29)*ISNUMBER(INDEX(Inputs!$K$5:$AJ$140,0,MATCH(AC$2,Inputs!$K$4:$AJ$4,0))))=0,NA(),SUMPRODUCT((Inputs!$A$5:$A$140=$B29)*Inputs!$B$5:$B$140*(((Inputs!$G$5:$G$140="moeda")+(Inputs!$G$5:$G$140="acoes"))*Inputs!$B$1+((Inputs!$G$5:$G$140&lt;&gt;"moeda")*(Inputs!$G$5:$G$140&lt;&gt;"acoes")))*INDEX(Inputs!$K$5:$AJ$140,0,MATCH(AC$2,Inputs!$K$4:$AJ$4,0)))+SUMPRODUCT((Inputs!$C$5:$C$140=$B29)*Inputs!$D$5:$D$140*(((Inputs!$G$5:$G$140="moeda")+(Inputs!$G$5:$G$140="acoes"))*Inputs!$B$1+((Inputs!$G$5:$G$140&lt;&gt;"moeda")*(Inputs!$G$5:$G$140&lt;&gt;"acoes")))*INDEX(Inputs!$K$5:$AJ$140,0,MATCH(AC$2,Inputs!$K$4:$AJ$4,0)))+SUMPRODUCT((Inputs!$E$5:$E$140=$B29)*Inputs!$F$5:$F$140*(((Inputs!$G$5:$G$140="moeda")+(Inputs!$G$5:$G$140="acoes"))*Inputs!$B$1+((Inputs!$G$5:$G$140&lt;&gt;"moeda")*(Inputs!$G$5:$G$140&lt;&gt;"acoes")))*INDEX(Inputs!$K$5:$AJ$140,0,MATCH(AC$2,Inputs!$K$4:$AJ$4,0)))))</f>
        <v>545.443</v>
      </c>
      <c r="AD29" s="6">
        <f>IF(ISNA(MATCH(AD$2,Inputs!$K$4:$AJ$4,0)),NA(),IF(SUMPRODUCT((Inputs!$A$5:$A$140=$B29)*ISNUMBER(INDEX(Inputs!$K$5:$AJ$140,0,MATCH(AD$2,Inputs!$K$4:$AJ$4,0))))+SUMPRODUCT((Inputs!$C$5:$C$140=$B29)*ISNUMBER(INDEX(Inputs!$K$5:$AJ$140,0,MATCH(AD$2,Inputs!$K$4:$AJ$4,0))))+SUMPRODUCT((Inputs!$E$5:$E$140=$B29)*ISNUMBER(INDEX(Inputs!$K$5:$AJ$140,0,MATCH(AD$2,Inputs!$K$4:$AJ$4,0))))=0,NA(),SUMPRODUCT((Inputs!$A$5:$A$140=$B29)*Inputs!$B$5:$B$140*(((Inputs!$G$5:$G$140="moeda")+(Inputs!$G$5:$G$140="acoes"))*Inputs!$B$1+((Inputs!$G$5:$G$140&lt;&gt;"moeda")*(Inputs!$G$5:$G$140&lt;&gt;"acoes")))*INDEX(Inputs!$K$5:$AJ$140,0,MATCH(AD$2,Inputs!$K$4:$AJ$4,0)))+SUMPRODUCT((Inputs!$C$5:$C$140=$B29)*Inputs!$D$5:$D$140*(((Inputs!$G$5:$G$140="moeda")+(Inputs!$G$5:$G$140="acoes"))*Inputs!$B$1+((Inputs!$G$5:$G$140&lt;&gt;"moeda")*(Inputs!$G$5:$G$140&lt;&gt;"acoes")))*INDEX(Inputs!$K$5:$AJ$140,0,MATCH(AD$2,Inputs!$K$4:$AJ$4,0)))+SUMPRODUCT((Inputs!$E$5:$E$140=$B29)*Inputs!$F$5:$F$140*(((Inputs!$G$5:$G$140="moeda")+(Inputs!$G$5:$G$140="acoes"))*Inputs!$B$1+((Inputs!$G$5:$G$140&lt;&gt;"moeda")*(Inputs!$G$5:$G$140&lt;&gt;"acoes")))*INDEX(Inputs!$K$5:$AJ$140,0,MATCH(AD$2,Inputs!$K$4:$AJ$4,0)))))</f>
        <v>563.536</v>
      </c>
      <c r="AE29" s="6" t="e">
        <f>IF(ISNA(MATCH(AE$2,Inputs!$K$4:$AJ$4,0)),NA(),IF(SUMPRODUCT((Inputs!$A$5:$A$140=$B29)*ISNUMBER(INDEX(Inputs!$K$5:$AJ$140,0,MATCH(AE$2,Inputs!$K$4:$AJ$4,0))))+SUMPRODUCT((Inputs!$C$5:$C$140=$B29)*ISNUMBER(INDEX(Inputs!$K$5:$AJ$140,0,MATCH(AE$2,Inputs!$K$4:$AJ$4,0))))+SUMPRODUCT((Inputs!$E$5:$E$140=$B29)*ISNUMBER(INDEX(Inputs!$K$5:$AJ$140,0,MATCH(AE$2,Inputs!$K$4:$AJ$4,0))))=0,NA(),SUMPRODUCT((Inputs!$A$5:$A$140=$B29)*Inputs!$B$5:$B$140*(((Inputs!$G$5:$G$140="moeda")+(Inputs!$G$5:$G$140="acoes"))*Inputs!$B$1+((Inputs!$G$5:$G$140&lt;&gt;"moeda")*(Inputs!$G$5:$G$140&lt;&gt;"acoes")))*INDEX(Inputs!$K$5:$AJ$140,0,MATCH(AE$2,Inputs!$K$4:$AJ$4,0)))+SUMPRODUCT((Inputs!$C$5:$C$140=$B29)*Inputs!$D$5:$D$140*(((Inputs!$G$5:$G$140="moeda")+(Inputs!$G$5:$G$140="acoes"))*Inputs!$B$1+((Inputs!$G$5:$G$140&lt;&gt;"moeda")*(Inputs!$G$5:$G$140&lt;&gt;"acoes")))*INDEX(Inputs!$K$5:$AJ$140,0,MATCH(AE$2,Inputs!$K$4:$AJ$4,0)))+SUMPRODUCT((Inputs!$E$5:$E$140=$B29)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9" s="6" t="e">
        <f>IF(ISNA(MATCH(AF$2,Inputs!$K$4:$AJ$4,0)),NA(),IF(SUMPRODUCT((Inputs!$A$5:$A$140=$B29)*ISNUMBER(INDEX(Inputs!$K$5:$AJ$140,0,MATCH(AF$2,Inputs!$K$4:$AJ$4,0))))+SUMPRODUCT((Inputs!$C$5:$C$140=$B29)*ISNUMBER(INDEX(Inputs!$K$5:$AJ$140,0,MATCH(AF$2,Inputs!$K$4:$AJ$4,0))))+SUMPRODUCT((Inputs!$E$5:$E$140=$B29)*ISNUMBER(INDEX(Inputs!$K$5:$AJ$140,0,MATCH(AF$2,Inputs!$K$4:$AJ$4,0))))=0,NA(),SUMPRODUCT((Inputs!$A$5:$A$140=$B29)*Inputs!$B$5:$B$140*(((Inputs!$G$5:$G$140="moeda")+(Inputs!$G$5:$G$140="acoes"))*Inputs!$B$1+((Inputs!$G$5:$G$140&lt;&gt;"moeda")*(Inputs!$G$5:$G$140&lt;&gt;"acoes")))*INDEX(Inputs!$K$5:$AJ$140,0,MATCH(AF$2,Inputs!$K$4:$AJ$4,0)))+SUMPRODUCT((Inputs!$C$5:$C$140=$B29)*Inputs!$D$5:$D$140*(((Inputs!$G$5:$G$140="moeda")+(Inputs!$G$5:$G$140="acoes"))*Inputs!$B$1+((Inputs!$G$5:$G$140&lt;&gt;"moeda")*(Inputs!$G$5:$G$140&lt;&gt;"acoes")))*INDEX(Inputs!$K$5:$AJ$140,0,MATCH(AF$2,Inputs!$K$4:$AJ$4,0)))+SUMPRODUCT((Inputs!$E$5:$E$140=$B29)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9" s="3" t="e">
        <f>AF29</f>
        <v>#N/A</v>
      </c>
      <c r="AH29" s="6" t="e">
        <f>IF(ISNA(MATCH(AH$2,Inputs!$K$4:$AJ$4,0)),NA(),IF(SUMPRODUCT((Inputs!$A$5:$A$140=$B29)*ISNUMBER(INDEX(Inputs!$K$5:$AJ$140,0,MATCH(AH$2,Inputs!$K$4:$AJ$4,0))))+SUMPRODUCT((Inputs!$C$5:$C$140=$B29)*ISNUMBER(INDEX(Inputs!$K$5:$AJ$140,0,MATCH(AH$2,Inputs!$K$4:$AJ$4,0))))+SUMPRODUCT((Inputs!$E$5:$E$140=$B29)*ISNUMBER(INDEX(Inputs!$K$5:$AJ$140,0,MATCH(AH$2,Inputs!$K$4:$AJ$4,0))))=0,NA(),SUMPRODUCT((Inputs!$A$5:$A$140=$B29)*Inputs!$B$5:$B$140*(((Inputs!$G$5:$G$140="moeda")+(Inputs!$G$5:$G$140="acoes"))*Inputs!$B$1+((Inputs!$G$5:$G$140&lt;&gt;"moeda")*(Inputs!$G$5:$G$140&lt;&gt;"acoes")))*INDEX(Inputs!$K$5:$AJ$140,0,MATCH(AH$2,Inputs!$K$4:$AJ$4,0)))+SUMPRODUCT((Inputs!$C$5:$C$140=$B29)*Inputs!$D$5:$D$140*(((Inputs!$G$5:$G$140="moeda")+(Inputs!$G$5:$G$140="acoes"))*Inputs!$B$1+((Inputs!$G$5:$G$140&lt;&gt;"moeda")*(Inputs!$G$5:$G$140&lt;&gt;"acoes")))*INDEX(Inputs!$K$5:$AJ$140,0,MATCH(AH$2,Inputs!$K$4:$AJ$4,0)))+SUMPRODUCT((Inputs!$E$5:$E$140=$B29)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9" s="6">
        <f>IF(ISNA(MATCH(AI$2,Inputs!$K$4:$AJ$4,0)),NA(),IF(SUMPRODUCT((Inputs!$A$5:$A$140=$B29)*ISNUMBER(INDEX(Inputs!$K$5:$AJ$140,0,MATCH(AI$2,Inputs!$K$4:$AJ$4,0))))+SUMPRODUCT((Inputs!$C$5:$C$140=$B29)*ISNUMBER(INDEX(Inputs!$K$5:$AJ$140,0,MATCH(AI$2,Inputs!$K$4:$AJ$4,0))))+SUMPRODUCT((Inputs!$E$5:$E$140=$B29)*ISNUMBER(INDEX(Inputs!$K$5:$AJ$140,0,MATCH(AI$2,Inputs!$K$4:$AJ$4,0))))=0,NA(),SUMPRODUCT((Inputs!$A$5:$A$140=$B29)*Inputs!$B$5:$B$140*(((Inputs!$G$5:$G$140="moeda")+(Inputs!$G$5:$G$140="acoes"))*Inputs!$B$1+((Inputs!$G$5:$G$140&lt;&gt;"moeda")*(Inputs!$G$5:$G$140&lt;&gt;"acoes")))*INDEX(Inputs!$K$5:$AJ$140,0,MATCH(AI$2,Inputs!$K$4:$AJ$4,0)))+SUMPRODUCT((Inputs!$C$5:$C$140=$B29)*Inputs!$D$5:$D$140*(((Inputs!$G$5:$G$140="moeda")+(Inputs!$G$5:$G$140="acoes"))*Inputs!$B$1+((Inputs!$G$5:$G$140&lt;&gt;"moeda")*(Inputs!$G$5:$G$140&lt;&gt;"acoes")))*INDEX(Inputs!$K$5:$AJ$140,0,MATCH(AI$2,Inputs!$K$4:$AJ$4,0)))+SUMPRODUCT((Inputs!$E$5:$E$140=$B29)*Inputs!$F$5:$F$140*(((Inputs!$G$5:$G$140="moeda")+(Inputs!$G$5:$G$140="acoes"))*Inputs!$B$1+((Inputs!$G$5:$G$140&lt;&gt;"moeda")*(Inputs!$G$5:$G$140&lt;&gt;"acoes")))*INDEX(Inputs!$K$5:$AJ$140,0,MATCH(AI$2,Inputs!$K$4:$AJ$4,0)))))</f>
        <v>200.715</v>
      </c>
      <c r="AJ29" s="6">
        <f>IF(ISNA(MATCH(AJ$2,Inputs!$K$4:$AJ$4,0)),NA(),IF(SUMPRODUCT((Inputs!$A$5:$A$140=$B29)*ISNUMBER(INDEX(Inputs!$K$5:$AJ$140,0,MATCH(AJ$2,Inputs!$K$4:$AJ$4,0))))+SUMPRODUCT((Inputs!$C$5:$C$140=$B29)*ISNUMBER(INDEX(Inputs!$K$5:$AJ$140,0,MATCH(AJ$2,Inputs!$K$4:$AJ$4,0))))+SUMPRODUCT((Inputs!$E$5:$E$140=$B29)*ISNUMBER(INDEX(Inputs!$K$5:$AJ$140,0,MATCH(AJ$2,Inputs!$K$4:$AJ$4,0))))=0,NA(),SUMPRODUCT((Inputs!$A$5:$A$140=$B29)*Inputs!$B$5:$B$140*(((Inputs!$G$5:$G$140="moeda")+(Inputs!$G$5:$G$140="acoes"))*Inputs!$B$1+((Inputs!$G$5:$G$140&lt;&gt;"moeda")*(Inputs!$G$5:$G$140&lt;&gt;"acoes")))*INDEX(Inputs!$K$5:$AJ$140,0,MATCH(AJ$2,Inputs!$K$4:$AJ$4,0)))+SUMPRODUCT((Inputs!$C$5:$C$140=$B29)*Inputs!$D$5:$D$140*(((Inputs!$G$5:$G$140="moeda")+(Inputs!$G$5:$G$140="acoes"))*Inputs!$B$1+((Inputs!$G$5:$G$140&lt;&gt;"moeda")*(Inputs!$G$5:$G$140&lt;&gt;"acoes")))*INDEX(Inputs!$K$5:$AJ$140,0,MATCH(AJ$2,Inputs!$K$4:$AJ$4,0)))+SUMPRODUCT((Inputs!$E$5:$E$140=$B29)*Inputs!$F$5:$F$140*(((Inputs!$G$5:$G$140="moeda")+(Inputs!$G$5:$G$140="acoes"))*Inputs!$B$1+((Inputs!$G$5:$G$140&lt;&gt;"moeda")*(Inputs!$G$5:$G$140&lt;&gt;"acoes")))*INDEX(Inputs!$K$5:$AJ$140,0,MATCH(AJ$2,Inputs!$K$4:$AJ$4,0)))))</f>
        <v>218.95438567</v>
      </c>
      <c r="AK29" s="6">
        <f>IF(ISNA(MATCH(AK$2,Inputs!$K$4:$AJ$4,0)),NA(),IF(SUMPRODUCT((Inputs!$A$5:$A$140=$B29)*ISNUMBER(INDEX(Inputs!$K$5:$AJ$140,0,MATCH(AK$2,Inputs!$K$4:$AJ$4,0))))+SUMPRODUCT((Inputs!$C$5:$C$140=$B29)*ISNUMBER(INDEX(Inputs!$K$5:$AJ$140,0,MATCH(AK$2,Inputs!$K$4:$AJ$4,0))))+SUMPRODUCT((Inputs!$E$5:$E$140=$B29)*ISNUMBER(INDEX(Inputs!$K$5:$AJ$140,0,MATCH(AK$2,Inputs!$K$4:$AJ$4,0))))=0,NA(),SUMPRODUCT((Inputs!$A$5:$A$140=$B29)*Inputs!$B$5:$B$140*(((Inputs!$G$5:$G$140="moeda")+(Inputs!$G$5:$G$140="acoes"))*Inputs!$B$1+((Inputs!$G$5:$G$140&lt;&gt;"moeda")*(Inputs!$G$5:$G$140&lt;&gt;"acoes")))*INDEX(Inputs!$K$5:$AJ$140,0,MATCH(AK$2,Inputs!$K$4:$AJ$4,0)))+SUMPRODUCT((Inputs!$C$5:$C$140=$B29)*Inputs!$D$5:$D$140*(((Inputs!$G$5:$G$140="moeda")+(Inputs!$G$5:$G$140="acoes"))*Inputs!$B$1+((Inputs!$G$5:$G$140&lt;&gt;"moeda")*(Inputs!$G$5:$G$140&lt;&gt;"acoes")))*INDEX(Inputs!$K$5:$AJ$140,0,MATCH(AK$2,Inputs!$K$4:$AJ$4,0)))+SUMPRODUCT((Inputs!$E$5:$E$140=$B29)*Inputs!$F$5:$F$140*(((Inputs!$G$5:$G$140="moeda")+(Inputs!$G$5:$G$140="acoes"))*Inputs!$B$1+((Inputs!$G$5:$G$140&lt;&gt;"moeda")*(Inputs!$G$5:$G$140&lt;&gt;"acoes")))*INDEX(Inputs!$K$5:$AJ$140,0,MATCH(AK$2,Inputs!$K$4:$AJ$4,0)))))</f>
        <v>178.80246017</v>
      </c>
      <c r="AL29" s="3">
        <f>AK29</f>
        <v>178.80246017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$140=$B30)*ISNUMBER(INDEX(Inputs!$K$5:$AJ$140,0,MATCH(D$2,Inputs!$K$4:$AJ$4,0))))+SUMPRODUCT((Inputs!$C$5:$C$140=$B30)*ISNUMBER(INDEX(Inputs!$K$5:$AJ$140,0,MATCH(D$2,Inputs!$K$4:$AJ$4,0))))+SUMPRODUCT((Inputs!$E$5:$E$140=$B30)*ISNUMBER(INDEX(Inputs!$K$5:$AJ$140,0,MATCH(D$2,Inputs!$K$4:$AJ$4,0))))=0,NA(),SUMPRODUCT((Inputs!$A$5:$A$140=$B30)*Inputs!$B$5:$B$140*(((Inputs!$G$5:$G$140="moeda")+(Inputs!$G$5:$G$140="acoes"))*Inputs!$B$1+((Inputs!$G$5:$G$140&lt;&gt;"moeda")*(Inputs!$G$5:$G$140&lt;&gt;"acoes")))*INDEX(Inputs!$K$5:$AJ$140,0,MATCH(D$2,Inputs!$K$4:$AJ$4,0)))+SUMPRODUCT((Inputs!$C$5:$C$140=$B30)*Inputs!$D$5:$D$140*(((Inputs!$G$5:$G$140="moeda")+(Inputs!$G$5:$G$140="acoes"))*Inputs!$B$1+((Inputs!$G$5:$G$140&lt;&gt;"moeda")*(Inputs!$G$5:$G$140&lt;&gt;"acoes")))*INDEX(Inputs!$K$5:$AJ$140,0,MATCH(D$2,Inputs!$K$4:$AJ$4,0)))+SUMPRODUCT((Inputs!$E$5:$E$140=$B30)*Inputs!$F$5:$F$140*(((Inputs!$G$5:$G$140="moeda")+(Inputs!$G$5:$G$140="acoes"))*Inputs!$B$1+((Inputs!$G$5:$G$140&lt;&gt;"moeda")*(Inputs!$G$5:$G$140&lt;&gt;"acoes")))*INDEX(Inputs!$K$5:$AJ$140,0,MATCH(D$2,Inputs!$K$4:$AJ$4,0)))))</f>
        <v>82.18213189</v>
      </c>
      <c r="E30" s="6">
        <f>IF(ISNA(MATCH(E$2,Inputs!$K$4:$AJ$4,0)),NA(),IF(SUMPRODUCT((Inputs!$A$5:$A$140=$B30)*ISNUMBER(INDEX(Inputs!$K$5:$AJ$140,0,MATCH(E$2,Inputs!$K$4:$AJ$4,0))))+SUMPRODUCT((Inputs!$C$5:$C$140=$B30)*ISNUMBER(INDEX(Inputs!$K$5:$AJ$140,0,MATCH(E$2,Inputs!$K$4:$AJ$4,0))))+SUMPRODUCT((Inputs!$E$5:$E$140=$B30)*ISNUMBER(INDEX(Inputs!$K$5:$AJ$140,0,MATCH(E$2,Inputs!$K$4:$AJ$4,0))))=0,NA(),SUMPRODUCT((Inputs!$A$5:$A$140=$B30)*Inputs!$B$5:$B$140*(((Inputs!$G$5:$G$140="moeda")+(Inputs!$G$5:$G$140="acoes"))*Inputs!$B$1+((Inputs!$G$5:$G$140&lt;&gt;"moeda")*(Inputs!$G$5:$G$140&lt;&gt;"acoes")))*INDEX(Inputs!$K$5:$AJ$140,0,MATCH(E$2,Inputs!$K$4:$AJ$4,0)))+SUMPRODUCT((Inputs!$C$5:$C$140=$B30)*Inputs!$D$5:$D$140*(((Inputs!$G$5:$G$140="moeda")+(Inputs!$G$5:$G$140="acoes"))*Inputs!$B$1+((Inputs!$G$5:$G$140&lt;&gt;"moeda")*(Inputs!$G$5:$G$140&lt;&gt;"acoes")))*INDEX(Inputs!$K$5:$AJ$140,0,MATCH(E$2,Inputs!$K$4:$AJ$4,0)))+SUMPRODUCT((Inputs!$E$5:$E$140=$B30)*Inputs!$F$5:$F$140*(((Inputs!$G$5:$G$140="moeda")+(Inputs!$G$5:$G$140="acoes"))*Inputs!$B$1+((Inputs!$G$5:$G$140&lt;&gt;"moeda")*(Inputs!$G$5:$G$140&lt;&gt;"acoes")))*INDEX(Inputs!$K$5:$AJ$140,0,MATCH(E$2,Inputs!$K$4:$AJ$4,0)))))</f>
        <v>84.23464572</v>
      </c>
      <c r="F30" s="6">
        <f>IF(ISNA(MATCH(F$2,Inputs!$K$4:$AJ$4,0)),NA(),IF(SUMPRODUCT((Inputs!$A$5:$A$140=$B30)*ISNUMBER(INDEX(Inputs!$K$5:$AJ$140,0,MATCH(F$2,Inputs!$K$4:$AJ$4,0))))+SUMPRODUCT((Inputs!$C$5:$C$140=$B30)*ISNUMBER(INDEX(Inputs!$K$5:$AJ$140,0,MATCH(F$2,Inputs!$K$4:$AJ$4,0))))+SUMPRODUCT((Inputs!$E$5:$E$140=$B30)*ISNUMBER(INDEX(Inputs!$K$5:$AJ$140,0,MATCH(F$2,Inputs!$K$4:$AJ$4,0))))=0,NA(),SUMPRODUCT((Inputs!$A$5:$A$140=$B30)*Inputs!$B$5:$B$140*(((Inputs!$G$5:$G$140="moeda")+(Inputs!$G$5:$G$140="acoes"))*Inputs!$B$1+((Inputs!$G$5:$G$140&lt;&gt;"moeda")*(Inputs!$G$5:$G$140&lt;&gt;"acoes")))*INDEX(Inputs!$K$5:$AJ$140,0,MATCH(F$2,Inputs!$K$4:$AJ$4,0)))+SUMPRODUCT((Inputs!$C$5:$C$140=$B30)*Inputs!$D$5:$D$140*(((Inputs!$G$5:$G$140="moeda")+(Inputs!$G$5:$G$140="acoes"))*Inputs!$B$1+((Inputs!$G$5:$G$140&lt;&gt;"moeda")*(Inputs!$G$5:$G$140&lt;&gt;"acoes")))*INDEX(Inputs!$K$5:$AJ$140,0,MATCH(F$2,Inputs!$K$4:$AJ$4,0)))+SUMPRODUCT((Inputs!$E$5:$E$140=$B30)*Inputs!$F$5:$F$140*(((Inputs!$G$5:$G$140="moeda")+(Inputs!$G$5:$G$140="acoes"))*Inputs!$B$1+((Inputs!$G$5:$G$140&lt;&gt;"moeda")*(Inputs!$G$5:$G$140&lt;&gt;"acoes")))*INDEX(Inputs!$K$5:$AJ$140,0,MATCH(F$2,Inputs!$K$4:$AJ$4,0)))))</f>
        <v>102.009</v>
      </c>
      <c r="G30" s="6">
        <f>IF(ISNA(MATCH(G$2,Inputs!$K$4:$AJ$4,0)),NA(),IF(SUMPRODUCT((Inputs!$A$5:$A$140=$B30)*ISNUMBER(INDEX(Inputs!$K$5:$AJ$140,0,MATCH(G$2,Inputs!$K$4:$AJ$4,0))))+SUMPRODUCT((Inputs!$C$5:$C$140=$B30)*ISNUMBER(INDEX(Inputs!$K$5:$AJ$140,0,MATCH(G$2,Inputs!$K$4:$AJ$4,0))))+SUMPRODUCT((Inputs!$E$5:$E$140=$B30)*ISNUMBER(INDEX(Inputs!$K$5:$AJ$140,0,MATCH(G$2,Inputs!$K$4:$AJ$4,0))))=0,NA(),SUMPRODUCT((Inputs!$A$5:$A$140=$B30)*Inputs!$B$5:$B$140*(((Inputs!$G$5:$G$140="moeda")+(Inputs!$G$5:$G$140="acoes"))*Inputs!$B$1+((Inputs!$G$5:$G$140&lt;&gt;"moeda")*(Inputs!$G$5:$G$140&lt;&gt;"acoes")))*INDEX(Inputs!$K$5:$AJ$140,0,MATCH(G$2,Inputs!$K$4:$AJ$4,0)))+SUMPRODUCT((Inputs!$C$5:$C$140=$B30)*Inputs!$D$5:$D$140*(((Inputs!$G$5:$G$140="moeda")+(Inputs!$G$5:$G$140="acoes"))*Inputs!$B$1+((Inputs!$G$5:$G$140&lt;&gt;"moeda")*(Inputs!$G$5:$G$140&lt;&gt;"acoes")))*INDEX(Inputs!$K$5:$AJ$140,0,MATCH(G$2,Inputs!$K$4:$AJ$4,0)))+SUMPRODUCT((Inputs!$E$5:$E$140=$B30)*Inputs!$F$5:$F$140*(((Inputs!$G$5:$G$140="moeda")+(Inputs!$G$5:$G$140="acoes"))*Inputs!$B$1+((Inputs!$G$5:$G$140&lt;&gt;"moeda")*(Inputs!$G$5:$G$140&lt;&gt;"acoes")))*INDEX(Inputs!$K$5:$AJ$140,0,MATCH(G$2,Inputs!$K$4:$AJ$4,0)))))</f>
        <v>128.618</v>
      </c>
      <c r="H30" s="3">
        <f>G30</f>
        <v>128.618</v>
      </c>
      <c r="I30" s="6">
        <f>IF(ISNA(MATCH(I$2,Inputs!$K$4:$AJ$4,0)),NA(),IF(SUMPRODUCT((Inputs!$A$5:$A$140=$B30)*ISNUMBER(INDEX(Inputs!$K$5:$AJ$140,0,MATCH(I$2,Inputs!$K$4:$AJ$4,0))))+SUMPRODUCT((Inputs!$C$5:$C$140=$B30)*ISNUMBER(INDEX(Inputs!$K$5:$AJ$140,0,MATCH(I$2,Inputs!$K$4:$AJ$4,0))))+SUMPRODUCT((Inputs!$E$5:$E$140=$B30)*ISNUMBER(INDEX(Inputs!$K$5:$AJ$140,0,MATCH(I$2,Inputs!$K$4:$AJ$4,0))))=0,NA(),SUMPRODUCT((Inputs!$A$5:$A$140=$B30)*Inputs!$B$5:$B$140*(((Inputs!$G$5:$G$140="moeda")+(Inputs!$G$5:$G$140="acoes"))*Inputs!$B$1+((Inputs!$G$5:$G$140&lt;&gt;"moeda")*(Inputs!$G$5:$G$140&lt;&gt;"acoes")))*INDEX(Inputs!$K$5:$AJ$140,0,MATCH(I$2,Inputs!$K$4:$AJ$4,0)))+SUMPRODUCT((Inputs!$C$5:$C$140=$B30)*Inputs!$D$5:$D$140*(((Inputs!$G$5:$G$140="moeda")+(Inputs!$G$5:$G$140="acoes"))*Inputs!$B$1+((Inputs!$G$5:$G$140&lt;&gt;"moeda")*(Inputs!$G$5:$G$140&lt;&gt;"acoes")))*INDEX(Inputs!$K$5:$AJ$140,0,MATCH(I$2,Inputs!$K$4:$AJ$4,0)))+SUMPRODUCT((Inputs!$E$5:$E$140=$B30)*Inputs!$F$5:$F$140*(((Inputs!$G$5:$G$140="moeda")+(Inputs!$G$5:$G$140="acoes"))*Inputs!$B$1+((Inputs!$G$5:$G$140&lt;&gt;"moeda")*(Inputs!$G$5:$G$140&lt;&gt;"acoes")))*INDEX(Inputs!$K$5:$AJ$140,0,MATCH(I$2,Inputs!$K$4:$AJ$4,0)))))</f>
        <v>115.444</v>
      </c>
      <c r="J30" s="6">
        <f>IF(ISNA(MATCH(J$2,Inputs!$K$4:$AJ$4,0)),NA(),IF(SUMPRODUCT((Inputs!$A$5:$A$140=$B30)*ISNUMBER(INDEX(Inputs!$K$5:$AJ$140,0,MATCH(J$2,Inputs!$K$4:$AJ$4,0))))+SUMPRODUCT((Inputs!$C$5:$C$140=$B30)*ISNUMBER(INDEX(Inputs!$K$5:$AJ$140,0,MATCH(J$2,Inputs!$K$4:$AJ$4,0))))+SUMPRODUCT((Inputs!$E$5:$E$140=$B30)*ISNUMBER(INDEX(Inputs!$K$5:$AJ$140,0,MATCH(J$2,Inputs!$K$4:$AJ$4,0))))=0,NA(),SUMPRODUCT((Inputs!$A$5:$A$140=$B30)*Inputs!$B$5:$B$140*(((Inputs!$G$5:$G$140="moeda")+(Inputs!$G$5:$G$140="acoes"))*Inputs!$B$1+((Inputs!$G$5:$G$140&lt;&gt;"moeda")*(Inputs!$G$5:$G$140&lt;&gt;"acoes")))*INDEX(Inputs!$K$5:$AJ$140,0,MATCH(J$2,Inputs!$K$4:$AJ$4,0)))+SUMPRODUCT((Inputs!$C$5:$C$140=$B30)*Inputs!$D$5:$D$140*(((Inputs!$G$5:$G$140="moeda")+(Inputs!$G$5:$G$140="acoes"))*Inputs!$B$1+((Inputs!$G$5:$G$140&lt;&gt;"moeda")*(Inputs!$G$5:$G$140&lt;&gt;"acoes")))*INDEX(Inputs!$K$5:$AJ$140,0,MATCH(J$2,Inputs!$K$4:$AJ$4,0)))+SUMPRODUCT((Inputs!$E$5:$E$140=$B30)*Inputs!$F$5:$F$140*(((Inputs!$G$5:$G$140="moeda")+(Inputs!$G$5:$G$140="acoes"))*Inputs!$B$1+((Inputs!$G$5:$G$140&lt;&gt;"moeda")*(Inputs!$G$5:$G$140&lt;&gt;"acoes")))*INDEX(Inputs!$K$5:$AJ$140,0,MATCH(J$2,Inputs!$K$4:$AJ$4,0)))))</f>
        <v>119.305</v>
      </c>
      <c r="K30" s="6">
        <f>IF(ISNA(MATCH(K$2,Inputs!$K$4:$AJ$4,0)),NA(),IF(SUMPRODUCT((Inputs!$A$5:$A$140=$B30)*ISNUMBER(INDEX(Inputs!$K$5:$AJ$140,0,MATCH(K$2,Inputs!$K$4:$AJ$4,0))))+SUMPRODUCT((Inputs!$C$5:$C$140=$B30)*ISNUMBER(INDEX(Inputs!$K$5:$AJ$140,0,MATCH(K$2,Inputs!$K$4:$AJ$4,0))))+SUMPRODUCT((Inputs!$E$5:$E$140=$B30)*ISNUMBER(INDEX(Inputs!$K$5:$AJ$140,0,MATCH(K$2,Inputs!$K$4:$AJ$4,0))))=0,NA(),SUMPRODUCT((Inputs!$A$5:$A$140=$B30)*Inputs!$B$5:$B$140*(((Inputs!$G$5:$G$140="moeda")+(Inputs!$G$5:$G$140="acoes"))*Inputs!$B$1+((Inputs!$G$5:$G$140&lt;&gt;"moeda")*(Inputs!$G$5:$G$140&lt;&gt;"acoes")))*INDEX(Inputs!$K$5:$AJ$140,0,MATCH(K$2,Inputs!$K$4:$AJ$4,0)))+SUMPRODUCT((Inputs!$C$5:$C$140=$B30)*Inputs!$D$5:$D$140*(((Inputs!$G$5:$G$140="moeda")+(Inputs!$G$5:$G$140="acoes"))*Inputs!$B$1+((Inputs!$G$5:$G$140&lt;&gt;"moeda")*(Inputs!$G$5:$G$140&lt;&gt;"acoes")))*INDEX(Inputs!$K$5:$AJ$140,0,MATCH(K$2,Inputs!$K$4:$AJ$4,0)))+SUMPRODUCT((Inputs!$E$5:$E$140=$B30)*Inputs!$F$5:$F$140*(((Inputs!$G$5:$G$140="moeda")+(Inputs!$G$5:$G$140="acoes"))*Inputs!$B$1+((Inputs!$G$5:$G$140&lt;&gt;"moeda")*(Inputs!$G$5:$G$140&lt;&gt;"acoes")))*INDEX(Inputs!$K$5:$AJ$140,0,MATCH(K$2,Inputs!$K$4:$AJ$4,0)))))</f>
        <v>118.858</v>
      </c>
      <c r="L30" s="6">
        <f>IF(ISNA(MATCH(L$2,Inputs!$K$4:$AJ$4,0)),NA(),IF(SUMPRODUCT((Inputs!$A$5:$A$140=$B30)*ISNUMBER(INDEX(Inputs!$K$5:$AJ$140,0,MATCH(L$2,Inputs!$K$4:$AJ$4,0))))+SUMPRODUCT((Inputs!$C$5:$C$140=$B30)*ISNUMBER(INDEX(Inputs!$K$5:$AJ$140,0,MATCH(L$2,Inputs!$K$4:$AJ$4,0))))+SUMPRODUCT((Inputs!$E$5:$E$140=$B30)*ISNUMBER(INDEX(Inputs!$K$5:$AJ$140,0,MATCH(L$2,Inputs!$K$4:$AJ$4,0))))=0,NA(),SUMPRODUCT((Inputs!$A$5:$A$140=$B30)*Inputs!$B$5:$B$140*(((Inputs!$G$5:$G$140="moeda")+(Inputs!$G$5:$G$140="acoes"))*Inputs!$B$1+((Inputs!$G$5:$G$140&lt;&gt;"moeda")*(Inputs!$G$5:$G$140&lt;&gt;"acoes")))*INDEX(Inputs!$K$5:$AJ$140,0,MATCH(L$2,Inputs!$K$4:$AJ$4,0)))+SUMPRODUCT((Inputs!$C$5:$C$140=$B30)*Inputs!$D$5:$D$140*(((Inputs!$G$5:$G$140="moeda")+(Inputs!$G$5:$G$140="acoes"))*Inputs!$B$1+((Inputs!$G$5:$G$140&lt;&gt;"moeda")*(Inputs!$G$5:$G$140&lt;&gt;"acoes")))*INDEX(Inputs!$K$5:$AJ$140,0,MATCH(L$2,Inputs!$K$4:$AJ$4,0)))+SUMPRODUCT((Inputs!$E$5:$E$140=$B30)*Inputs!$F$5:$F$140*(((Inputs!$G$5:$G$140="moeda")+(Inputs!$G$5:$G$140="acoes"))*Inputs!$B$1+((Inputs!$G$5:$G$140&lt;&gt;"moeda")*(Inputs!$G$5:$G$140&lt;&gt;"acoes")))*INDEX(Inputs!$K$5:$AJ$140,0,MATCH(L$2,Inputs!$K$4:$AJ$4,0)))))</f>
        <v>142.566</v>
      </c>
      <c r="M30" s="3">
        <f>L30</f>
        <v>142.566</v>
      </c>
      <c r="N30" s="6">
        <f>IF(ISNA(MATCH(N$2,Inputs!$K$4:$AJ$4,0)),NA(),IF(SUMPRODUCT((Inputs!$A$5:$A$140=$B30)*ISNUMBER(INDEX(Inputs!$K$5:$AJ$140,0,MATCH(N$2,Inputs!$K$4:$AJ$4,0))))+SUMPRODUCT((Inputs!$C$5:$C$140=$B30)*ISNUMBER(INDEX(Inputs!$K$5:$AJ$140,0,MATCH(N$2,Inputs!$K$4:$AJ$4,0))))+SUMPRODUCT((Inputs!$E$5:$E$140=$B30)*ISNUMBER(INDEX(Inputs!$K$5:$AJ$140,0,MATCH(N$2,Inputs!$K$4:$AJ$4,0))))=0,NA(),SUMPRODUCT((Inputs!$A$5:$A$140=$B30)*Inputs!$B$5:$B$140*(((Inputs!$G$5:$G$140="moeda")+(Inputs!$G$5:$G$140="acoes"))*Inputs!$B$1+((Inputs!$G$5:$G$140&lt;&gt;"moeda")*(Inputs!$G$5:$G$140&lt;&gt;"acoes")))*INDEX(Inputs!$K$5:$AJ$140,0,MATCH(N$2,Inputs!$K$4:$AJ$4,0)))+SUMPRODUCT((Inputs!$C$5:$C$140=$B30)*Inputs!$D$5:$D$140*(((Inputs!$G$5:$G$140="moeda")+(Inputs!$G$5:$G$140="acoes"))*Inputs!$B$1+((Inputs!$G$5:$G$140&lt;&gt;"moeda")*(Inputs!$G$5:$G$140&lt;&gt;"acoes")))*INDEX(Inputs!$K$5:$AJ$140,0,MATCH(N$2,Inputs!$K$4:$AJ$4,0)))+SUMPRODUCT((Inputs!$E$5:$E$140=$B30)*Inputs!$F$5:$F$140*(((Inputs!$G$5:$G$140="moeda")+(Inputs!$G$5:$G$140="acoes"))*Inputs!$B$1+((Inputs!$G$5:$G$140&lt;&gt;"moeda")*(Inputs!$G$5:$G$140&lt;&gt;"acoes")))*INDEX(Inputs!$K$5:$AJ$140,0,MATCH(N$2,Inputs!$K$4:$AJ$4,0)))))</f>
        <v>125.945</v>
      </c>
      <c r="O30" s="6">
        <f>IF(ISNA(MATCH(O$2,Inputs!$K$4:$AJ$4,0)),NA(),IF(SUMPRODUCT((Inputs!$A$5:$A$140=$B30)*ISNUMBER(INDEX(Inputs!$K$5:$AJ$140,0,MATCH(O$2,Inputs!$K$4:$AJ$4,0))))+SUMPRODUCT((Inputs!$C$5:$C$140=$B30)*ISNUMBER(INDEX(Inputs!$K$5:$AJ$140,0,MATCH(O$2,Inputs!$K$4:$AJ$4,0))))+SUMPRODUCT((Inputs!$E$5:$E$140=$B30)*ISNUMBER(INDEX(Inputs!$K$5:$AJ$140,0,MATCH(O$2,Inputs!$K$4:$AJ$4,0))))=0,NA(),SUMPRODUCT((Inputs!$A$5:$A$140=$B30)*Inputs!$B$5:$B$140*(((Inputs!$G$5:$G$140="moeda")+(Inputs!$G$5:$G$140="acoes"))*Inputs!$B$1+((Inputs!$G$5:$G$140&lt;&gt;"moeda")*(Inputs!$G$5:$G$140&lt;&gt;"acoes")))*INDEX(Inputs!$K$5:$AJ$140,0,MATCH(O$2,Inputs!$K$4:$AJ$4,0)))+SUMPRODUCT((Inputs!$C$5:$C$140=$B30)*Inputs!$D$5:$D$140*(((Inputs!$G$5:$G$140="moeda")+(Inputs!$G$5:$G$140="acoes"))*Inputs!$B$1+((Inputs!$G$5:$G$140&lt;&gt;"moeda")*(Inputs!$G$5:$G$140&lt;&gt;"acoes")))*INDEX(Inputs!$K$5:$AJ$140,0,MATCH(O$2,Inputs!$K$4:$AJ$4,0)))+SUMPRODUCT((Inputs!$E$5:$E$140=$B30)*Inputs!$F$5:$F$140*(((Inputs!$G$5:$G$140="moeda")+(Inputs!$G$5:$G$140="acoes"))*Inputs!$B$1+((Inputs!$G$5:$G$140&lt;&gt;"moeda")*(Inputs!$G$5:$G$140&lt;&gt;"acoes")))*INDEX(Inputs!$K$5:$AJ$140,0,MATCH(O$2,Inputs!$K$4:$AJ$4,0)))))</f>
        <v>175.951</v>
      </c>
      <c r="P30" s="6">
        <f>IF(ISNA(MATCH(P$2,Inputs!$K$4:$AJ$4,0)),NA(),IF(SUMPRODUCT((Inputs!$A$5:$A$140=$B30)*ISNUMBER(INDEX(Inputs!$K$5:$AJ$140,0,MATCH(P$2,Inputs!$K$4:$AJ$4,0))))+SUMPRODUCT((Inputs!$C$5:$C$140=$B30)*ISNUMBER(INDEX(Inputs!$K$5:$AJ$140,0,MATCH(P$2,Inputs!$K$4:$AJ$4,0))))+SUMPRODUCT((Inputs!$E$5:$E$140=$B30)*ISNUMBER(INDEX(Inputs!$K$5:$AJ$140,0,MATCH(P$2,Inputs!$K$4:$AJ$4,0))))=0,NA(),SUMPRODUCT((Inputs!$A$5:$A$140=$B30)*Inputs!$B$5:$B$140*(((Inputs!$G$5:$G$140="moeda")+(Inputs!$G$5:$G$140="acoes"))*Inputs!$B$1+((Inputs!$G$5:$G$140&lt;&gt;"moeda")*(Inputs!$G$5:$G$140&lt;&gt;"acoes")))*INDEX(Inputs!$K$5:$AJ$140,0,MATCH(P$2,Inputs!$K$4:$AJ$4,0)))+SUMPRODUCT((Inputs!$C$5:$C$140=$B30)*Inputs!$D$5:$D$140*(((Inputs!$G$5:$G$140="moeda")+(Inputs!$G$5:$G$140="acoes"))*Inputs!$B$1+((Inputs!$G$5:$G$140&lt;&gt;"moeda")*(Inputs!$G$5:$G$140&lt;&gt;"acoes")))*INDEX(Inputs!$K$5:$AJ$140,0,MATCH(P$2,Inputs!$K$4:$AJ$4,0)))+SUMPRODUCT((Inputs!$E$5:$E$140=$B30)*Inputs!$F$5:$F$140*(((Inputs!$G$5:$G$140="moeda")+(Inputs!$G$5:$G$140="acoes"))*Inputs!$B$1+((Inputs!$G$5:$G$140&lt;&gt;"moeda")*(Inputs!$G$5:$G$140&lt;&gt;"acoes")))*INDEX(Inputs!$K$5:$AJ$140,0,MATCH(P$2,Inputs!$K$4:$AJ$4,0)))))</f>
        <v>156.525</v>
      </c>
      <c r="Q30" s="6">
        <f>IF(ISNA(MATCH(Q$2,Inputs!$K$4:$AJ$4,0)),NA(),IF(SUMPRODUCT((Inputs!$A$5:$A$140=$B30)*ISNUMBER(INDEX(Inputs!$K$5:$AJ$140,0,MATCH(Q$2,Inputs!$K$4:$AJ$4,0))))+SUMPRODUCT((Inputs!$C$5:$C$140=$B30)*ISNUMBER(INDEX(Inputs!$K$5:$AJ$140,0,MATCH(Q$2,Inputs!$K$4:$AJ$4,0))))+SUMPRODUCT((Inputs!$E$5:$E$140=$B30)*ISNUMBER(INDEX(Inputs!$K$5:$AJ$140,0,MATCH(Q$2,Inputs!$K$4:$AJ$4,0))))=0,NA(),SUMPRODUCT((Inputs!$A$5:$A$140=$B30)*Inputs!$B$5:$B$140*(((Inputs!$G$5:$G$140="moeda")+(Inputs!$G$5:$G$140="acoes"))*Inputs!$B$1+((Inputs!$G$5:$G$140&lt;&gt;"moeda")*(Inputs!$G$5:$G$140&lt;&gt;"acoes")))*INDEX(Inputs!$K$5:$AJ$140,0,MATCH(Q$2,Inputs!$K$4:$AJ$4,0)))+SUMPRODUCT((Inputs!$C$5:$C$140=$B30)*Inputs!$D$5:$D$140*(((Inputs!$G$5:$G$140="moeda")+(Inputs!$G$5:$G$140="acoes"))*Inputs!$B$1+((Inputs!$G$5:$G$140&lt;&gt;"moeda")*(Inputs!$G$5:$G$140&lt;&gt;"acoes")))*INDEX(Inputs!$K$5:$AJ$140,0,MATCH(Q$2,Inputs!$K$4:$AJ$4,0)))+SUMPRODUCT((Inputs!$E$5:$E$140=$B30)*Inputs!$F$5:$F$140*(((Inputs!$G$5:$G$140="moeda")+(Inputs!$G$5:$G$140="acoes"))*Inputs!$B$1+((Inputs!$G$5:$G$140&lt;&gt;"moeda")*(Inputs!$G$5:$G$140&lt;&gt;"acoes")))*INDEX(Inputs!$K$5:$AJ$140,0,MATCH(Q$2,Inputs!$K$4:$AJ$4,0)))))</f>
        <v>224.887</v>
      </c>
      <c r="R30" s="3">
        <f>Q30</f>
        <v>224.887</v>
      </c>
      <c r="S30" s="6">
        <f>IF(ISNA(MATCH(S$2,Inputs!$K$4:$AJ$4,0)),NA(),IF(SUMPRODUCT((Inputs!$A$5:$A$140=$B30)*ISNUMBER(INDEX(Inputs!$K$5:$AJ$140,0,MATCH(S$2,Inputs!$K$4:$AJ$4,0))))+SUMPRODUCT((Inputs!$C$5:$C$140=$B30)*ISNUMBER(INDEX(Inputs!$K$5:$AJ$140,0,MATCH(S$2,Inputs!$K$4:$AJ$4,0))))+SUMPRODUCT((Inputs!$E$5:$E$140=$B30)*ISNUMBER(INDEX(Inputs!$K$5:$AJ$140,0,MATCH(S$2,Inputs!$K$4:$AJ$4,0))))=0,NA(),SUMPRODUCT((Inputs!$A$5:$A$140=$B30)*Inputs!$B$5:$B$140*(((Inputs!$G$5:$G$140="moeda")+(Inputs!$G$5:$G$140="acoes"))*Inputs!$B$1+((Inputs!$G$5:$G$140&lt;&gt;"moeda")*(Inputs!$G$5:$G$140&lt;&gt;"acoes")))*INDEX(Inputs!$K$5:$AJ$140,0,MATCH(S$2,Inputs!$K$4:$AJ$4,0)))+SUMPRODUCT((Inputs!$C$5:$C$140=$B30)*Inputs!$D$5:$D$140*(((Inputs!$G$5:$G$140="moeda")+(Inputs!$G$5:$G$140="acoes"))*Inputs!$B$1+((Inputs!$G$5:$G$140&lt;&gt;"moeda")*(Inputs!$G$5:$G$140&lt;&gt;"acoes")))*INDEX(Inputs!$K$5:$AJ$140,0,MATCH(S$2,Inputs!$K$4:$AJ$4,0)))+SUMPRODUCT((Inputs!$E$5:$E$140=$B30)*Inputs!$F$5:$F$140*(((Inputs!$G$5:$G$140="moeda")+(Inputs!$G$5:$G$140="acoes"))*Inputs!$B$1+((Inputs!$G$5:$G$140&lt;&gt;"moeda")*(Inputs!$G$5:$G$140&lt;&gt;"acoes")))*INDEX(Inputs!$K$5:$AJ$140,0,MATCH(S$2,Inputs!$K$4:$AJ$4,0)))))</f>
        <v>300.564</v>
      </c>
      <c r="T30" s="6">
        <f>IF(ISNA(MATCH(T$2,Inputs!$K$4:$AJ$4,0)),NA(),IF(SUMPRODUCT((Inputs!$A$5:$A$140=$B30)*ISNUMBER(INDEX(Inputs!$K$5:$AJ$140,0,MATCH(T$2,Inputs!$K$4:$AJ$4,0))))+SUMPRODUCT((Inputs!$C$5:$C$140=$B30)*ISNUMBER(INDEX(Inputs!$K$5:$AJ$140,0,MATCH(T$2,Inputs!$K$4:$AJ$4,0))))+SUMPRODUCT((Inputs!$E$5:$E$140=$B30)*ISNUMBER(INDEX(Inputs!$K$5:$AJ$140,0,MATCH(T$2,Inputs!$K$4:$AJ$4,0))))=0,NA(),SUMPRODUCT((Inputs!$A$5:$A$140=$B30)*Inputs!$B$5:$B$140*(((Inputs!$G$5:$G$140="moeda")+(Inputs!$G$5:$G$140="acoes"))*Inputs!$B$1+((Inputs!$G$5:$G$140&lt;&gt;"moeda")*(Inputs!$G$5:$G$140&lt;&gt;"acoes")))*INDEX(Inputs!$K$5:$AJ$140,0,MATCH(T$2,Inputs!$K$4:$AJ$4,0)))+SUMPRODUCT((Inputs!$C$5:$C$140=$B30)*Inputs!$D$5:$D$140*(((Inputs!$G$5:$G$140="moeda")+(Inputs!$G$5:$G$140="acoes"))*Inputs!$B$1+((Inputs!$G$5:$G$140&lt;&gt;"moeda")*(Inputs!$G$5:$G$140&lt;&gt;"acoes")))*INDEX(Inputs!$K$5:$AJ$140,0,MATCH(T$2,Inputs!$K$4:$AJ$4,0)))+SUMPRODUCT((Inputs!$E$5:$E$140=$B30)*Inputs!$F$5:$F$140*(((Inputs!$G$5:$G$140="moeda")+(Inputs!$G$5:$G$140="acoes"))*Inputs!$B$1+((Inputs!$G$5:$G$140&lt;&gt;"moeda")*(Inputs!$G$5:$G$140&lt;&gt;"acoes")))*INDEX(Inputs!$K$5:$AJ$140,0,MATCH(T$2,Inputs!$K$4:$AJ$4,0)))))</f>
        <v>524.916</v>
      </c>
      <c r="U30" s="6">
        <f>IF(ISNA(MATCH(U$2,Inputs!$K$4:$AJ$4,0)),NA(),IF(SUMPRODUCT((Inputs!$A$5:$A$140=$B30)*ISNUMBER(INDEX(Inputs!$K$5:$AJ$140,0,MATCH(U$2,Inputs!$K$4:$AJ$4,0))))+SUMPRODUCT((Inputs!$C$5:$C$140=$B30)*ISNUMBER(INDEX(Inputs!$K$5:$AJ$140,0,MATCH(U$2,Inputs!$K$4:$AJ$4,0))))+SUMPRODUCT((Inputs!$E$5:$E$140=$B30)*ISNUMBER(INDEX(Inputs!$K$5:$AJ$140,0,MATCH(U$2,Inputs!$K$4:$AJ$4,0))))=0,NA(),SUMPRODUCT((Inputs!$A$5:$A$140=$B30)*Inputs!$B$5:$B$140*(((Inputs!$G$5:$G$140="moeda")+(Inputs!$G$5:$G$140="acoes"))*Inputs!$B$1+((Inputs!$G$5:$G$140&lt;&gt;"moeda")*(Inputs!$G$5:$G$140&lt;&gt;"acoes")))*INDEX(Inputs!$K$5:$AJ$140,0,MATCH(U$2,Inputs!$K$4:$AJ$4,0)))+SUMPRODUCT((Inputs!$C$5:$C$140=$B30)*Inputs!$D$5:$D$140*(((Inputs!$G$5:$G$140="moeda")+(Inputs!$G$5:$G$140="acoes"))*Inputs!$B$1+((Inputs!$G$5:$G$140&lt;&gt;"moeda")*(Inputs!$G$5:$G$140&lt;&gt;"acoes")))*INDEX(Inputs!$K$5:$AJ$140,0,MATCH(U$2,Inputs!$K$4:$AJ$4,0)))+SUMPRODUCT((Inputs!$E$5:$E$140=$B30)*Inputs!$F$5:$F$140*(((Inputs!$G$5:$G$140="moeda")+(Inputs!$G$5:$G$140="acoes"))*Inputs!$B$1+((Inputs!$G$5:$G$140&lt;&gt;"moeda")*(Inputs!$G$5:$G$140&lt;&gt;"acoes")))*INDEX(Inputs!$K$5:$AJ$140,0,MATCH(U$2,Inputs!$K$4:$AJ$4,0)))))</f>
        <v>657.468</v>
      </c>
      <c r="V30" s="6">
        <f>IF(ISNA(MATCH(V$2,Inputs!$K$4:$AJ$4,0)),NA(),IF(SUMPRODUCT((Inputs!$A$5:$A$140=$B30)*ISNUMBER(INDEX(Inputs!$K$5:$AJ$140,0,MATCH(V$2,Inputs!$K$4:$AJ$4,0))))+SUMPRODUCT((Inputs!$C$5:$C$140=$B30)*ISNUMBER(INDEX(Inputs!$K$5:$AJ$140,0,MATCH(V$2,Inputs!$K$4:$AJ$4,0))))+SUMPRODUCT((Inputs!$E$5:$E$140=$B30)*ISNUMBER(INDEX(Inputs!$K$5:$AJ$140,0,MATCH(V$2,Inputs!$K$4:$AJ$4,0))))=0,NA(),SUMPRODUCT((Inputs!$A$5:$A$140=$B30)*Inputs!$B$5:$B$140*(((Inputs!$G$5:$G$140="moeda")+(Inputs!$G$5:$G$140="acoes"))*Inputs!$B$1+((Inputs!$G$5:$G$140&lt;&gt;"moeda")*(Inputs!$G$5:$G$140&lt;&gt;"acoes")))*INDEX(Inputs!$K$5:$AJ$140,0,MATCH(V$2,Inputs!$K$4:$AJ$4,0)))+SUMPRODUCT((Inputs!$C$5:$C$140=$B30)*Inputs!$D$5:$D$140*(((Inputs!$G$5:$G$140="moeda")+(Inputs!$G$5:$G$140="acoes"))*Inputs!$B$1+((Inputs!$G$5:$G$140&lt;&gt;"moeda")*(Inputs!$G$5:$G$140&lt;&gt;"acoes")))*INDEX(Inputs!$K$5:$AJ$140,0,MATCH(V$2,Inputs!$K$4:$AJ$4,0)))+SUMPRODUCT((Inputs!$E$5:$E$140=$B30)*Inputs!$F$5:$F$140*(((Inputs!$G$5:$G$140="moeda")+(Inputs!$G$5:$G$140="acoes"))*Inputs!$B$1+((Inputs!$G$5:$G$140&lt;&gt;"moeda")*(Inputs!$G$5:$G$140&lt;&gt;"acoes")))*INDEX(Inputs!$K$5:$AJ$140,0,MATCH(V$2,Inputs!$K$4:$AJ$4,0)))))</f>
        <v>434.563</v>
      </c>
      <c r="W30" s="3">
        <f>V30</f>
        <v>434.563</v>
      </c>
      <c r="X30" s="6">
        <f>IF(ISNA(MATCH(X$2,Inputs!$K$4:$AJ$4,0)),NA(),IF(SUMPRODUCT((Inputs!$A$5:$A$140=$B30)*ISNUMBER(INDEX(Inputs!$K$5:$AJ$140,0,MATCH(X$2,Inputs!$K$4:$AJ$4,0))))+SUMPRODUCT((Inputs!$C$5:$C$140=$B30)*ISNUMBER(INDEX(Inputs!$K$5:$AJ$140,0,MATCH(X$2,Inputs!$K$4:$AJ$4,0))))+SUMPRODUCT((Inputs!$E$5:$E$140=$B30)*ISNUMBER(INDEX(Inputs!$K$5:$AJ$140,0,MATCH(X$2,Inputs!$K$4:$AJ$4,0))))=0,NA(),SUMPRODUCT((Inputs!$A$5:$A$140=$B30)*Inputs!$B$5:$B$140*(((Inputs!$G$5:$G$140="moeda")+(Inputs!$G$5:$G$140="acoes"))*Inputs!$B$1+((Inputs!$G$5:$G$140&lt;&gt;"moeda")*(Inputs!$G$5:$G$140&lt;&gt;"acoes")))*INDEX(Inputs!$K$5:$AJ$140,0,MATCH(X$2,Inputs!$K$4:$AJ$4,0)))+SUMPRODUCT((Inputs!$C$5:$C$140=$B30)*Inputs!$D$5:$D$140*(((Inputs!$G$5:$G$140="moeda")+(Inputs!$G$5:$G$140="acoes"))*Inputs!$B$1+((Inputs!$G$5:$G$140&lt;&gt;"moeda")*(Inputs!$G$5:$G$140&lt;&gt;"acoes")))*INDEX(Inputs!$K$5:$AJ$140,0,MATCH(X$2,Inputs!$K$4:$AJ$4,0)))+SUMPRODUCT((Inputs!$E$5:$E$140=$B30)*Inputs!$F$5:$F$140*(((Inputs!$G$5:$G$140="moeda")+(Inputs!$G$5:$G$140="acoes"))*Inputs!$B$1+((Inputs!$G$5:$G$140&lt;&gt;"moeda")*(Inputs!$G$5:$G$140&lt;&gt;"acoes")))*INDEX(Inputs!$K$5:$AJ$140,0,MATCH(X$2,Inputs!$K$4:$AJ$4,0)))))</f>
        <v>401.21</v>
      </c>
      <c r="Y30" s="6">
        <f>IF(ISNA(MATCH(Y$2,Inputs!$K$4:$AJ$4,0)),NA(),IF(SUMPRODUCT((Inputs!$A$5:$A$140=$B30)*ISNUMBER(INDEX(Inputs!$K$5:$AJ$140,0,MATCH(Y$2,Inputs!$K$4:$AJ$4,0))))+SUMPRODUCT((Inputs!$C$5:$C$140=$B30)*ISNUMBER(INDEX(Inputs!$K$5:$AJ$140,0,MATCH(Y$2,Inputs!$K$4:$AJ$4,0))))+SUMPRODUCT((Inputs!$E$5:$E$140=$B30)*ISNUMBER(INDEX(Inputs!$K$5:$AJ$140,0,MATCH(Y$2,Inputs!$K$4:$AJ$4,0))))=0,NA(),SUMPRODUCT((Inputs!$A$5:$A$140=$B30)*Inputs!$B$5:$B$140*(((Inputs!$G$5:$G$140="moeda")+(Inputs!$G$5:$G$140="acoes"))*Inputs!$B$1+((Inputs!$G$5:$G$140&lt;&gt;"moeda")*(Inputs!$G$5:$G$140&lt;&gt;"acoes")))*INDEX(Inputs!$K$5:$AJ$140,0,MATCH(Y$2,Inputs!$K$4:$AJ$4,0)))+SUMPRODUCT((Inputs!$C$5:$C$140=$B30)*Inputs!$D$5:$D$140*(((Inputs!$G$5:$G$140="moeda")+(Inputs!$G$5:$G$140="acoes"))*Inputs!$B$1+((Inputs!$G$5:$G$140&lt;&gt;"moeda")*(Inputs!$G$5:$G$140&lt;&gt;"acoes")))*INDEX(Inputs!$K$5:$AJ$140,0,MATCH(Y$2,Inputs!$K$4:$AJ$4,0)))+SUMPRODUCT((Inputs!$E$5:$E$140=$B30)*Inputs!$F$5:$F$140*(((Inputs!$G$5:$G$140="moeda")+(Inputs!$G$5:$G$140="acoes"))*Inputs!$B$1+((Inputs!$G$5:$G$140&lt;&gt;"moeda")*(Inputs!$G$5:$G$140&lt;&gt;"acoes")))*INDEX(Inputs!$K$5:$AJ$140,0,MATCH(Y$2,Inputs!$K$4:$AJ$4,0)))))</f>
        <v>352.988</v>
      </c>
      <c r="Z30" s="6">
        <f>IF(ISNA(MATCH(Z$2,Inputs!$K$4:$AJ$4,0)),NA(),IF(SUMPRODUCT((Inputs!$A$5:$A$140=$B30)*ISNUMBER(INDEX(Inputs!$K$5:$AJ$140,0,MATCH(Z$2,Inputs!$K$4:$AJ$4,0))))+SUMPRODUCT((Inputs!$C$5:$C$140=$B30)*ISNUMBER(INDEX(Inputs!$K$5:$AJ$140,0,MATCH(Z$2,Inputs!$K$4:$AJ$4,0))))+SUMPRODUCT((Inputs!$E$5:$E$140=$B30)*ISNUMBER(INDEX(Inputs!$K$5:$AJ$140,0,MATCH(Z$2,Inputs!$K$4:$AJ$4,0))))=0,NA(),SUMPRODUCT((Inputs!$A$5:$A$140=$B30)*Inputs!$B$5:$B$140*(((Inputs!$G$5:$G$140="moeda")+(Inputs!$G$5:$G$140="acoes"))*Inputs!$B$1+((Inputs!$G$5:$G$140&lt;&gt;"moeda")*(Inputs!$G$5:$G$140&lt;&gt;"acoes")))*INDEX(Inputs!$K$5:$AJ$140,0,MATCH(Z$2,Inputs!$K$4:$AJ$4,0)))+SUMPRODUCT((Inputs!$C$5:$C$140=$B30)*Inputs!$D$5:$D$140*(((Inputs!$G$5:$G$140="moeda")+(Inputs!$G$5:$G$140="acoes"))*Inputs!$B$1+((Inputs!$G$5:$G$140&lt;&gt;"moeda")*(Inputs!$G$5:$G$140&lt;&gt;"acoes")))*INDEX(Inputs!$K$5:$AJ$140,0,MATCH(Z$2,Inputs!$K$4:$AJ$4,0)))+SUMPRODUCT((Inputs!$E$5:$E$140=$B30)*Inputs!$F$5:$F$140*(((Inputs!$G$5:$G$140="moeda")+(Inputs!$G$5:$G$140="acoes"))*Inputs!$B$1+((Inputs!$G$5:$G$140&lt;&gt;"moeda")*(Inputs!$G$5:$G$140&lt;&gt;"acoes")))*INDEX(Inputs!$K$5:$AJ$140,0,MATCH(Z$2,Inputs!$K$4:$AJ$4,0)))))</f>
        <v>368.763</v>
      </c>
      <c r="AA30" s="6">
        <f>IF(ISNA(MATCH(AA$2,Inputs!$K$4:$AJ$4,0)),NA(),IF(SUMPRODUCT((Inputs!$A$5:$A$140=$B30)*ISNUMBER(INDEX(Inputs!$K$5:$AJ$140,0,MATCH(AA$2,Inputs!$K$4:$AJ$4,0))))+SUMPRODUCT((Inputs!$C$5:$C$140=$B30)*ISNUMBER(INDEX(Inputs!$K$5:$AJ$140,0,MATCH(AA$2,Inputs!$K$4:$AJ$4,0))))+SUMPRODUCT((Inputs!$E$5:$E$140=$B30)*ISNUMBER(INDEX(Inputs!$K$5:$AJ$140,0,MATCH(AA$2,Inputs!$K$4:$AJ$4,0))))=0,NA(),SUMPRODUCT((Inputs!$A$5:$A$140=$B30)*Inputs!$B$5:$B$140*(((Inputs!$G$5:$G$140="moeda")+(Inputs!$G$5:$G$140="acoes"))*Inputs!$B$1+((Inputs!$G$5:$G$140&lt;&gt;"moeda")*(Inputs!$G$5:$G$140&lt;&gt;"acoes")))*INDEX(Inputs!$K$5:$AJ$140,0,MATCH(AA$2,Inputs!$K$4:$AJ$4,0)))+SUMPRODUCT((Inputs!$C$5:$C$140=$B30)*Inputs!$D$5:$D$140*(((Inputs!$G$5:$G$140="moeda")+(Inputs!$G$5:$G$140="acoes"))*Inputs!$B$1+((Inputs!$G$5:$G$140&lt;&gt;"moeda")*(Inputs!$G$5:$G$140&lt;&gt;"acoes")))*INDEX(Inputs!$K$5:$AJ$140,0,MATCH(AA$2,Inputs!$K$4:$AJ$4,0)))+SUMPRODUCT((Inputs!$E$5:$E$140=$B30)*Inputs!$F$5:$F$140*(((Inputs!$G$5:$G$140="moeda")+(Inputs!$G$5:$G$140="acoes"))*Inputs!$B$1+((Inputs!$G$5:$G$140&lt;&gt;"moeda")*(Inputs!$G$5:$G$140&lt;&gt;"acoes")))*INDEX(Inputs!$K$5:$AJ$140,0,MATCH(AA$2,Inputs!$K$4:$AJ$4,0)))))</f>
        <v>371.5</v>
      </c>
      <c r="AB30" s="3">
        <f>AA30</f>
        <v>371.5</v>
      </c>
      <c r="AC30" s="6">
        <f>IF(ISNA(MATCH(AC$2,Inputs!$K$4:$AJ$4,0)),NA(),IF(SUMPRODUCT((Inputs!$A$5:$A$140=$B30)*ISNUMBER(INDEX(Inputs!$K$5:$AJ$140,0,MATCH(AC$2,Inputs!$K$4:$AJ$4,0))))+SUMPRODUCT((Inputs!$C$5:$C$140=$B30)*ISNUMBER(INDEX(Inputs!$K$5:$AJ$140,0,MATCH(AC$2,Inputs!$K$4:$AJ$4,0))))+SUMPRODUCT((Inputs!$E$5:$E$140=$B30)*ISNUMBER(INDEX(Inputs!$K$5:$AJ$140,0,MATCH(AC$2,Inputs!$K$4:$AJ$4,0))))=0,NA(),SUMPRODUCT((Inputs!$A$5:$A$140=$B30)*Inputs!$B$5:$B$140*(((Inputs!$G$5:$G$140="moeda")+(Inputs!$G$5:$G$140="acoes"))*Inputs!$B$1+((Inputs!$G$5:$G$140&lt;&gt;"moeda")*(Inputs!$G$5:$G$140&lt;&gt;"acoes")))*INDEX(Inputs!$K$5:$AJ$140,0,MATCH(AC$2,Inputs!$K$4:$AJ$4,0)))+SUMPRODUCT((Inputs!$C$5:$C$140=$B30)*Inputs!$D$5:$D$140*(((Inputs!$G$5:$G$140="moeda")+(Inputs!$G$5:$G$140="acoes"))*Inputs!$B$1+((Inputs!$G$5:$G$140&lt;&gt;"moeda")*(Inputs!$G$5:$G$140&lt;&gt;"acoes")))*INDEX(Inputs!$K$5:$AJ$140,0,MATCH(AC$2,Inputs!$K$4:$AJ$4,0)))+SUMPRODUCT((Inputs!$E$5:$E$140=$B30)*Inputs!$F$5:$F$140*(((Inputs!$G$5:$G$140="moeda")+(Inputs!$G$5:$G$140="acoes"))*Inputs!$B$1+((Inputs!$G$5:$G$140&lt;&gt;"moeda")*(Inputs!$G$5:$G$140&lt;&gt;"acoes")))*INDEX(Inputs!$K$5:$AJ$140,0,MATCH(AC$2,Inputs!$K$4:$AJ$4,0)))))</f>
        <v>274.497</v>
      </c>
      <c r="AD30" s="6">
        <f>IF(ISNA(MATCH(AD$2,Inputs!$K$4:$AJ$4,0)),NA(),IF(SUMPRODUCT((Inputs!$A$5:$A$140=$B30)*ISNUMBER(INDEX(Inputs!$K$5:$AJ$140,0,MATCH(AD$2,Inputs!$K$4:$AJ$4,0))))+SUMPRODUCT((Inputs!$C$5:$C$140=$B30)*ISNUMBER(INDEX(Inputs!$K$5:$AJ$140,0,MATCH(AD$2,Inputs!$K$4:$AJ$4,0))))+SUMPRODUCT((Inputs!$E$5:$E$140=$B30)*ISNUMBER(INDEX(Inputs!$K$5:$AJ$140,0,MATCH(AD$2,Inputs!$K$4:$AJ$4,0))))=0,NA(),SUMPRODUCT((Inputs!$A$5:$A$140=$B30)*Inputs!$B$5:$B$140*(((Inputs!$G$5:$G$140="moeda")+(Inputs!$G$5:$G$140="acoes"))*Inputs!$B$1+((Inputs!$G$5:$G$140&lt;&gt;"moeda")*(Inputs!$G$5:$G$140&lt;&gt;"acoes")))*INDEX(Inputs!$K$5:$AJ$140,0,MATCH(AD$2,Inputs!$K$4:$AJ$4,0)))+SUMPRODUCT((Inputs!$C$5:$C$140=$B30)*Inputs!$D$5:$D$140*(((Inputs!$G$5:$G$140="moeda")+(Inputs!$G$5:$G$140="acoes"))*Inputs!$B$1+((Inputs!$G$5:$G$140&lt;&gt;"moeda")*(Inputs!$G$5:$G$140&lt;&gt;"acoes")))*INDEX(Inputs!$K$5:$AJ$140,0,MATCH(AD$2,Inputs!$K$4:$AJ$4,0)))+SUMPRODUCT((Inputs!$E$5:$E$140=$B30)*Inputs!$F$5:$F$140*(((Inputs!$G$5:$G$140="moeda")+(Inputs!$G$5:$G$140="acoes"))*Inputs!$B$1+((Inputs!$G$5:$G$140&lt;&gt;"moeda")*(Inputs!$G$5:$G$140&lt;&gt;"acoes")))*INDEX(Inputs!$K$5:$AJ$140,0,MATCH(AD$2,Inputs!$K$4:$AJ$4,0)))))</f>
        <v>218.708</v>
      </c>
      <c r="AE30" s="6" t="e">
        <f>IF(ISNA(MATCH(AE$2,Inputs!$K$4:$AJ$4,0)),NA(),IF(SUMPRODUCT((Inputs!$A$5:$A$140=$B30)*ISNUMBER(INDEX(Inputs!$K$5:$AJ$140,0,MATCH(AE$2,Inputs!$K$4:$AJ$4,0))))+SUMPRODUCT((Inputs!$C$5:$C$140=$B30)*ISNUMBER(INDEX(Inputs!$K$5:$AJ$140,0,MATCH(AE$2,Inputs!$K$4:$AJ$4,0))))+SUMPRODUCT((Inputs!$E$5:$E$140=$B30)*ISNUMBER(INDEX(Inputs!$K$5:$AJ$140,0,MATCH(AE$2,Inputs!$K$4:$AJ$4,0))))=0,NA(),SUMPRODUCT((Inputs!$A$5:$A$140=$B30)*Inputs!$B$5:$B$140*(((Inputs!$G$5:$G$140="moeda")+(Inputs!$G$5:$G$140="acoes"))*Inputs!$B$1+((Inputs!$G$5:$G$140&lt;&gt;"moeda")*(Inputs!$G$5:$G$140&lt;&gt;"acoes")))*INDEX(Inputs!$K$5:$AJ$140,0,MATCH(AE$2,Inputs!$K$4:$AJ$4,0)))+SUMPRODUCT((Inputs!$C$5:$C$140=$B30)*Inputs!$D$5:$D$140*(((Inputs!$G$5:$G$140="moeda")+(Inputs!$G$5:$G$140="acoes"))*Inputs!$B$1+((Inputs!$G$5:$G$140&lt;&gt;"moeda")*(Inputs!$G$5:$G$140&lt;&gt;"acoes")))*INDEX(Inputs!$K$5:$AJ$140,0,MATCH(AE$2,Inputs!$K$4:$AJ$4,0)))+SUMPRODUCT((Inputs!$E$5:$E$140=$B30)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0" s="6" t="e">
        <f>IF(ISNA(MATCH(AF$2,Inputs!$K$4:$AJ$4,0)),NA(),IF(SUMPRODUCT((Inputs!$A$5:$A$140=$B30)*ISNUMBER(INDEX(Inputs!$K$5:$AJ$140,0,MATCH(AF$2,Inputs!$K$4:$AJ$4,0))))+SUMPRODUCT((Inputs!$C$5:$C$140=$B30)*ISNUMBER(INDEX(Inputs!$K$5:$AJ$140,0,MATCH(AF$2,Inputs!$K$4:$AJ$4,0))))+SUMPRODUCT((Inputs!$E$5:$E$140=$B30)*ISNUMBER(INDEX(Inputs!$K$5:$AJ$140,0,MATCH(AF$2,Inputs!$K$4:$AJ$4,0))))=0,NA(),SUMPRODUCT((Inputs!$A$5:$A$140=$B30)*Inputs!$B$5:$B$140*(((Inputs!$G$5:$G$140="moeda")+(Inputs!$G$5:$G$140="acoes"))*Inputs!$B$1+((Inputs!$G$5:$G$140&lt;&gt;"moeda")*(Inputs!$G$5:$G$140&lt;&gt;"acoes")))*INDEX(Inputs!$K$5:$AJ$140,0,MATCH(AF$2,Inputs!$K$4:$AJ$4,0)))+SUMPRODUCT((Inputs!$C$5:$C$140=$B30)*Inputs!$D$5:$D$140*(((Inputs!$G$5:$G$140="moeda")+(Inputs!$G$5:$G$140="acoes"))*Inputs!$B$1+((Inputs!$G$5:$G$140&lt;&gt;"moeda")*(Inputs!$G$5:$G$140&lt;&gt;"acoes")))*INDEX(Inputs!$K$5:$AJ$140,0,MATCH(AF$2,Inputs!$K$4:$AJ$4,0)))+SUMPRODUCT((Inputs!$E$5:$E$140=$B30)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0" s="3" t="e">
        <f>AF30</f>
        <v>#N/A</v>
      </c>
      <c r="AH30" s="6" t="e">
        <f>IF(ISNA(MATCH(AH$2,Inputs!$K$4:$AJ$4,0)),NA(),IF(SUMPRODUCT((Inputs!$A$5:$A$140=$B30)*ISNUMBER(INDEX(Inputs!$K$5:$AJ$140,0,MATCH(AH$2,Inputs!$K$4:$AJ$4,0))))+SUMPRODUCT((Inputs!$C$5:$C$140=$B30)*ISNUMBER(INDEX(Inputs!$K$5:$AJ$140,0,MATCH(AH$2,Inputs!$K$4:$AJ$4,0))))+SUMPRODUCT((Inputs!$E$5:$E$140=$B30)*ISNUMBER(INDEX(Inputs!$K$5:$AJ$140,0,MATCH(AH$2,Inputs!$K$4:$AJ$4,0))))=0,NA(),SUMPRODUCT((Inputs!$A$5:$A$140=$B30)*Inputs!$B$5:$B$140*(((Inputs!$G$5:$G$140="moeda")+(Inputs!$G$5:$G$140="acoes"))*Inputs!$B$1+((Inputs!$G$5:$G$140&lt;&gt;"moeda")*(Inputs!$G$5:$G$140&lt;&gt;"acoes")))*INDEX(Inputs!$K$5:$AJ$140,0,MATCH(AH$2,Inputs!$K$4:$AJ$4,0)))+SUMPRODUCT((Inputs!$C$5:$C$140=$B30)*Inputs!$D$5:$D$140*(((Inputs!$G$5:$G$140="moeda")+(Inputs!$G$5:$G$140="acoes"))*Inputs!$B$1+((Inputs!$G$5:$G$140&lt;&gt;"moeda")*(Inputs!$G$5:$G$140&lt;&gt;"acoes")))*INDEX(Inputs!$K$5:$AJ$140,0,MATCH(AH$2,Inputs!$K$4:$AJ$4,0)))+SUMPRODUCT((Inputs!$E$5:$E$140=$B30)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0" s="6">
        <f>IF(ISNA(MATCH(AI$2,Inputs!$K$4:$AJ$4,0)),NA(),IF(SUMPRODUCT((Inputs!$A$5:$A$140=$B30)*ISNUMBER(INDEX(Inputs!$K$5:$AJ$140,0,MATCH(AI$2,Inputs!$K$4:$AJ$4,0))))+SUMPRODUCT((Inputs!$C$5:$C$140=$B30)*ISNUMBER(INDEX(Inputs!$K$5:$AJ$140,0,MATCH(AI$2,Inputs!$K$4:$AJ$4,0))))+SUMPRODUCT((Inputs!$E$5:$E$140=$B30)*ISNUMBER(INDEX(Inputs!$K$5:$AJ$140,0,MATCH(AI$2,Inputs!$K$4:$AJ$4,0))))=0,NA(),SUMPRODUCT((Inputs!$A$5:$A$140=$B30)*Inputs!$B$5:$B$140*(((Inputs!$G$5:$G$140="moeda")+(Inputs!$G$5:$G$140="acoes"))*Inputs!$B$1+((Inputs!$G$5:$G$140&lt;&gt;"moeda")*(Inputs!$G$5:$G$140&lt;&gt;"acoes")))*INDEX(Inputs!$K$5:$AJ$140,0,MATCH(AI$2,Inputs!$K$4:$AJ$4,0)))+SUMPRODUCT((Inputs!$C$5:$C$140=$B30)*Inputs!$D$5:$D$140*(((Inputs!$G$5:$G$140="moeda")+(Inputs!$G$5:$G$140="acoes"))*Inputs!$B$1+((Inputs!$G$5:$G$140&lt;&gt;"moeda")*(Inputs!$G$5:$G$140&lt;&gt;"acoes")))*INDEX(Inputs!$K$5:$AJ$140,0,MATCH(AI$2,Inputs!$K$4:$AJ$4,0)))+SUMPRODUCT((Inputs!$E$5:$E$140=$B30)*Inputs!$F$5:$F$140*(((Inputs!$G$5:$G$140="moeda")+(Inputs!$G$5:$G$140="acoes"))*Inputs!$B$1+((Inputs!$G$5:$G$140&lt;&gt;"moeda")*(Inputs!$G$5:$G$140&lt;&gt;"acoes")))*INDEX(Inputs!$K$5:$AJ$140,0,MATCH(AI$2,Inputs!$K$4:$AJ$4,0)))))</f>
        <v>96.113</v>
      </c>
      <c r="AJ30" s="6">
        <f>IF(ISNA(MATCH(AJ$2,Inputs!$K$4:$AJ$4,0)),NA(),IF(SUMPRODUCT((Inputs!$A$5:$A$140=$B30)*ISNUMBER(INDEX(Inputs!$K$5:$AJ$140,0,MATCH(AJ$2,Inputs!$K$4:$AJ$4,0))))+SUMPRODUCT((Inputs!$C$5:$C$140=$B30)*ISNUMBER(INDEX(Inputs!$K$5:$AJ$140,0,MATCH(AJ$2,Inputs!$K$4:$AJ$4,0))))+SUMPRODUCT((Inputs!$E$5:$E$140=$B30)*ISNUMBER(INDEX(Inputs!$K$5:$AJ$140,0,MATCH(AJ$2,Inputs!$K$4:$AJ$4,0))))=0,NA(),SUMPRODUCT((Inputs!$A$5:$A$140=$B30)*Inputs!$B$5:$B$140*(((Inputs!$G$5:$G$140="moeda")+(Inputs!$G$5:$G$140="acoes"))*Inputs!$B$1+((Inputs!$G$5:$G$140&lt;&gt;"moeda")*(Inputs!$G$5:$G$140&lt;&gt;"acoes")))*INDEX(Inputs!$K$5:$AJ$140,0,MATCH(AJ$2,Inputs!$K$4:$AJ$4,0)))+SUMPRODUCT((Inputs!$C$5:$C$140=$B30)*Inputs!$D$5:$D$140*(((Inputs!$G$5:$G$140="moeda")+(Inputs!$G$5:$G$140="acoes"))*Inputs!$B$1+((Inputs!$G$5:$G$140&lt;&gt;"moeda")*(Inputs!$G$5:$G$140&lt;&gt;"acoes")))*INDEX(Inputs!$K$5:$AJ$140,0,MATCH(AJ$2,Inputs!$K$4:$AJ$4,0)))+SUMPRODUCT((Inputs!$E$5:$E$140=$B30)*Inputs!$F$5:$F$140*(((Inputs!$G$5:$G$140="moeda")+(Inputs!$G$5:$G$140="acoes"))*Inputs!$B$1+((Inputs!$G$5:$G$140&lt;&gt;"moeda")*(Inputs!$G$5:$G$140&lt;&gt;"acoes")))*INDEX(Inputs!$K$5:$AJ$140,0,MATCH(AJ$2,Inputs!$K$4:$AJ$4,0)))))</f>
        <v>110.95815819</v>
      </c>
      <c r="AK30" s="6">
        <f>IF(ISNA(MATCH(AK$2,Inputs!$K$4:$AJ$4,0)),NA(),IF(SUMPRODUCT((Inputs!$A$5:$A$140=$B30)*ISNUMBER(INDEX(Inputs!$K$5:$AJ$140,0,MATCH(AK$2,Inputs!$K$4:$AJ$4,0))))+SUMPRODUCT((Inputs!$C$5:$C$140=$B30)*ISNUMBER(INDEX(Inputs!$K$5:$AJ$140,0,MATCH(AK$2,Inputs!$K$4:$AJ$4,0))))+SUMPRODUCT((Inputs!$E$5:$E$140=$B30)*ISNUMBER(INDEX(Inputs!$K$5:$AJ$140,0,MATCH(AK$2,Inputs!$K$4:$AJ$4,0))))=0,NA(),SUMPRODUCT((Inputs!$A$5:$A$140=$B30)*Inputs!$B$5:$B$140*(((Inputs!$G$5:$G$140="moeda")+(Inputs!$G$5:$G$140="acoes"))*Inputs!$B$1+((Inputs!$G$5:$G$140&lt;&gt;"moeda")*(Inputs!$G$5:$G$140&lt;&gt;"acoes")))*INDEX(Inputs!$K$5:$AJ$140,0,MATCH(AK$2,Inputs!$K$4:$AJ$4,0)))+SUMPRODUCT((Inputs!$C$5:$C$140=$B30)*Inputs!$D$5:$D$140*(((Inputs!$G$5:$G$140="moeda")+(Inputs!$G$5:$G$140="acoes"))*Inputs!$B$1+((Inputs!$G$5:$G$140&lt;&gt;"moeda")*(Inputs!$G$5:$G$140&lt;&gt;"acoes")))*INDEX(Inputs!$K$5:$AJ$140,0,MATCH(AK$2,Inputs!$K$4:$AJ$4,0)))+SUMPRODUCT((Inputs!$E$5:$E$140=$B30)*Inputs!$F$5:$F$140*(((Inputs!$G$5:$G$140="moeda")+(Inputs!$G$5:$G$140="acoes"))*Inputs!$B$1+((Inputs!$G$5:$G$140&lt;&gt;"moeda")*(Inputs!$G$5:$G$140&lt;&gt;"acoes")))*INDEX(Inputs!$K$5:$AJ$140,0,MATCH(AK$2,Inputs!$K$4:$AJ$4,0)))))</f>
        <v>102.78363724</v>
      </c>
      <c r="AL30" s="3">
        <f>AK30</f>
        <v>102.78363724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$140=$B31)*ISNUMBER(INDEX(Inputs!$K$5:$AJ$140,0,MATCH(D$2,Inputs!$K$4:$AJ$4,0))))+SUMPRODUCT((Inputs!$C$5:$C$140=$B31)*ISNUMBER(INDEX(Inputs!$K$5:$AJ$140,0,MATCH(D$2,Inputs!$K$4:$AJ$4,0))))+SUMPRODUCT((Inputs!$E$5:$E$140=$B31)*ISNUMBER(INDEX(Inputs!$K$5:$AJ$140,0,MATCH(D$2,Inputs!$K$4:$AJ$4,0))))=0,NA(),SUMPRODUCT((Inputs!$A$5:$A$140=$B31)*Inputs!$B$5:$B$140*(((Inputs!$G$5:$G$140="moeda")+(Inputs!$G$5:$G$140="acoes"))*Inputs!$B$1+((Inputs!$G$5:$G$140&lt;&gt;"moeda")*(Inputs!$G$5:$G$140&lt;&gt;"acoes")))*INDEX(Inputs!$K$5:$AJ$140,0,MATCH(D$2,Inputs!$K$4:$AJ$4,0)))+SUMPRODUCT((Inputs!$C$5:$C$140=$B31)*Inputs!$D$5:$D$140*(((Inputs!$G$5:$G$140="moeda")+(Inputs!$G$5:$G$140="acoes"))*Inputs!$B$1+((Inputs!$G$5:$G$140&lt;&gt;"moeda")*(Inputs!$G$5:$G$140&lt;&gt;"acoes")))*INDEX(Inputs!$K$5:$AJ$140,0,MATCH(D$2,Inputs!$K$4:$AJ$4,0)))+SUMPRODUCT((Inputs!$E$5:$E$140=$B31)*Inputs!$F$5:$F$140*(((Inputs!$G$5:$G$140="moeda")+(Inputs!$G$5:$G$140="acoes"))*Inputs!$B$1+((Inputs!$G$5:$G$140&lt;&gt;"moeda")*(Inputs!$G$5:$G$140&lt;&gt;"acoes")))*INDEX(Inputs!$K$5:$AJ$140,0,MATCH(D$2,Inputs!$K$4:$AJ$4,0)))))</f>
        <v>11.90376382</v>
      </c>
      <c r="E31" s="6">
        <f>IF(ISNA(MATCH(E$2,Inputs!$K$4:$AJ$4,0)),NA(),IF(SUMPRODUCT((Inputs!$A$5:$A$140=$B31)*ISNUMBER(INDEX(Inputs!$K$5:$AJ$140,0,MATCH(E$2,Inputs!$K$4:$AJ$4,0))))+SUMPRODUCT((Inputs!$C$5:$C$140=$B31)*ISNUMBER(INDEX(Inputs!$K$5:$AJ$140,0,MATCH(E$2,Inputs!$K$4:$AJ$4,0))))+SUMPRODUCT((Inputs!$E$5:$E$140=$B31)*ISNUMBER(INDEX(Inputs!$K$5:$AJ$140,0,MATCH(E$2,Inputs!$K$4:$AJ$4,0))))=0,NA(),SUMPRODUCT((Inputs!$A$5:$A$140=$B31)*Inputs!$B$5:$B$140*(((Inputs!$G$5:$G$140="moeda")+(Inputs!$G$5:$G$140="acoes"))*Inputs!$B$1+((Inputs!$G$5:$G$140&lt;&gt;"moeda")*(Inputs!$G$5:$G$140&lt;&gt;"acoes")))*INDEX(Inputs!$K$5:$AJ$140,0,MATCH(E$2,Inputs!$K$4:$AJ$4,0)))+SUMPRODUCT((Inputs!$C$5:$C$140=$B31)*Inputs!$D$5:$D$140*(((Inputs!$G$5:$G$140="moeda")+(Inputs!$G$5:$G$140="acoes"))*Inputs!$B$1+((Inputs!$G$5:$G$140&lt;&gt;"moeda")*(Inputs!$G$5:$G$140&lt;&gt;"acoes")))*INDEX(Inputs!$K$5:$AJ$140,0,MATCH(E$2,Inputs!$K$4:$AJ$4,0)))+SUMPRODUCT((Inputs!$E$5:$E$140=$B31)*Inputs!$F$5:$F$140*(((Inputs!$G$5:$G$140="moeda")+(Inputs!$G$5:$G$140="acoes"))*Inputs!$B$1+((Inputs!$G$5:$G$140&lt;&gt;"moeda")*(Inputs!$G$5:$G$140&lt;&gt;"acoes")))*INDEX(Inputs!$K$5:$AJ$140,0,MATCH(E$2,Inputs!$K$4:$AJ$4,0)))))</f>
        <v>11.02509488</v>
      </c>
      <c r="F31" s="6">
        <f>IF(ISNA(MATCH(F$2,Inputs!$K$4:$AJ$4,0)),NA(),IF(SUMPRODUCT((Inputs!$A$5:$A$140=$B31)*ISNUMBER(INDEX(Inputs!$K$5:$AJ$140,0,MATCH(F$2,Inputs!$K$4:$AJ$4,0))))+SUMPRODUCT((Inputs!$C$5:$C$140=$B31)*ISNUMBER(INDEX(Inputs!$K$5:$AJ$140,0,MATCH(F$2,Inputs!$K$4:$AJ$4,0))))+SUMPRODUCT((Inputs!$E$5:$E$140=$B31)*ISNUMBER(INDEX(Inputs!$K$5:$AJ$140,0,MATCH(F$2,Inputs!$K$4:$AJ$4,0))))=0,NA(),SUMPRODUCT((Inputs!$A$5:$A$140=$B31)*Inputs!$B$5:$B$140*(((Inputs!$G$5:$G$140="moeda")+(Inputs!$G$5:$G$140="acoes"))*Inputs!$B$1+((Inputs!$G$5:$G$140&lt;&gt;"moeda")*(Inputs!$G$5:$G$140&lt;&gt;"acoes")))*INDEX(Inputs!$K$5:$AJ$140,0,MATCH(F$2,Inputs!$K$4:$AJ$4,0)))+SUMPRODUCT((Inputs!$C$5:$C$140=$B31)*Inputs!$D$5:$D$140*(((Inputs!$G$5:$G$140="moeda")+(Inputs!$G$5:$G$140="acoes"))*Inputs!$B$1+((Inputs!$G$5:$G$140&lt;&gt;"moeda")*(Inputs!$G$5:$G$140&lt;&gt;"acoes")))*INDEX(Inputs!$K$5:$AJ$140,0,MATCH(F$2,Inputs!$K$4:$AJ$4,0)))+SUMPRODUCT((Inputs!$E$5:$E$140=$B31)*Inputs!$F$5:$F$140*(((Inputs!$G$5:$G$140="moeda")+(Inputs!$G$5:$G$140="acoes"))*Inputs!$B$1+((Inputs!$G$5:$G$140&lt;&gt;"moeda")*(Inputs!$G$5:$G$140&lt;&gt;"acoes")))*INDEX(Inputs!$K$5:$AJ$140,0,MATCH(F$2,Inputs!$K$4:$AJ$4,0)))))</f>
        <v>10.107</v>
      </c>
      <c r="G31" s="6">
        <f>IF(ISNA(MATCH(G$2,Inputs!$K$4:$AJ$4,0)),NA(),IF(SUMPRODUCT((Inputs!$A$5:$A$140=$B31)*ISNUMBER(INDEX(Inputs!$K$5:$AJ$140,0,MATCH(G$2,Inputs!$K$4:$AJ$4,0))))+SUMPRODUCT((Inputs!$C$5:$C$140=$B31)*ISNUMBER(INDEX(Inputs!$K$5:$AJ$140,0,MATCH(G$2,Inputs!$K$4:$AJ$4,0))))+SUMPRODUCT((Inputs!$E$5:$E$140=$B31)*ISNUMBER(INDEX(Inputs!$K$5:$AJ$140,0,MATCH(G$2,Inputs!$K$4:$AJ$4,0))))=0,NA(),SUMPRODUCT((Inputs!$A$5:$A$140=$B31)*Inputs!$B$5:$B$140*(((Inputs!$G$5:$G$140="moeda")+(Inputs!$G$5:$G$140="acoes"))*Inputs!$B$1+((Inputs!$G$5:$G$140&lt;&gt;"moeda")*(Inputs!$G$5:$G$140&lt;&gt;"acoes")))*INDEX(Inputs!$K$5:$AJ$140,0,MATCH(G$2,Inputs!$K$4:$AJ$4,0)))+SUMPRODUCT((Inputs!$C$5:$C$140=$B31)*Inputs!$D$5:$D$140*(((Inputs!$G$5:$G$140="moeda")+(Inputs!$G$5:$G$140="acoes"))*Inputs!$B$1+((Inputs!$G$5:$G$140&lt;&gt;"moeda")*(Inputs!$G$5:$G$140&lt;&gt;"acoes")))*INDEX(Inputs!$K$5:$AJ$140,0,MATCH(G$2,Inputs!$K$4:$AJ$4,0)))+SUMPRODUCT((Inputs!$E$5:$E$140=$B31)*Inputs!$F$5:$F$140*(((Inputs!$G$5:$G$140="moeda")+(Inputs!$G$5:$G$140="acoes"))*Inputs!$B$1+((Inputs!$G$5:$G$140&lt;&gt;"moeda")*(Inputs!$G$5:$G$140&lt;&gt;"acoes")))*INDEX(Inputs!$K$5:$AJ$140,0,MATCH(G$2,Inputs!$K$4:$AJ$4,0)))))</f>
        <v>6.485</v>
      </c>
      <c r="H31" s="3">
        <f>G31</f>
        <v>6.485</v>
      </c>
      <c r="I31" s="6">
        <f>IF(ISNA(MATCH(I$2,Inputs!$K$4:$AJ$4,0)),NA(),IF(SUMPRODUCT((Inputs!$A$5:$A$140=$B31)*ISNUMBER(INDEX(Inputs!$K$5:$AJ$140,0,MATCH(I$2,Inputs!$K$4:$AJ$4,0))))+SUMPRODUCT((Inputs!$C$5:$C$140=$B31)*ISNUMBER(INDEX(Inputs!$K$5:$AJ$140,0,MATCH(I$2,Inputs!$K$4:$AJ$4,0))))+SUMPRODUCT((Inputs!$E$5:$E$140=$B31)*ISNUMBER(INDEX(Inputs!$K$5:$AJ$140,0,MATCH(I$2,Inputs!$K$4:$AJ$4,0))))=0,NA(),SUMPRODUCT((Inputs!$A$5:$A$140=$B31)*Inputs!$B$5:$B$140*(((Inputs!$G$5:$G$140="moeda")+(Inputs!$G$5:$G$140="acoes"))*Inputs!$B$1+((Inputs!$G$5:$G$140&lt;&gt;"moeda")*(Inputs!$G$5:$G$140&lt;&gt;"acoes")))*INDEX(Inputs!$K$5:$AJ$140,0,MATCH(I$2,Inputs!$K$4:$AJ$4,0)))+SUMPRODUCT((Inputs!$C$5:$C$140=$B31)*Inputs!$D$5:$D$140*(((Inputs!$G$5:$G$140="moeda")+(Inputs!$G$5:$G$140="acoes"))*Inputs!$B$1+((Inputs!$G$5:$G$140&lt;&gt;"moeda")*(Inputs!$G$5:$G$140&lt;&gt;"acoes")))*INDEX(Inputs!$K$5:$AJ$140,0,MATCH(I$2,Inputs!$K$4:$AJ$4,0)))+SUMPRODUCT((Inputs!$E$5:$E$140=$B31)*Inputs!$F$5:$F$140*(((Inputs!$G$5:$G$140="moeda")+(Inputs!$G$5:$G$140="acoes"))*Inputs!$B$1+((Inputs!$G$5:$G$140&lt;&gt;"moeda")*(Inputs!$G$5:$G$140&lt;&gt;"acoes")))*INDEX(Inputs!$K$5:$AJ$140,0,MATCH(I$2,Inputs!$K$4:$AJ$4,0)))))</f>
        <v>10.036</v>
      </c>
      <c r="J31" s="6">
        <f>IF(ISNA(MATCH(J$2,Inputs!$K$4:$AJ$4,0)),NA(),IF(SUMPRODUCT((Inputs!$A$5:$A$140=$B31)*ISNUMBER(INDEX(Inputs!$K$5:$AJ$140,0,MATCH(J$2,Inputs!$K$4:$AJ$4,0))))+SUMPRODUCT((Inputs!$C$5:$C$140=$B31)*ISNUMBER(INDEX(Inputs!$K$5:$AJ$140,0,MATCH(J$2,Inputs!$K$4:$AJ$4,0))))+SUMPRODUCT((Inputs!$E$5:$E$140=$B31)*ISNUMBER(INDEX(Inputs!$K$5:$AJ$140,0,MATCH(J$2,Inputs!$K$4:$AJ$4,0))))=0,NA(),SUMPRODUCT((Inputs!$A$5:$A$140=$B31)*Inputs!$B$5:$B$140*(((Inputs!$G$5:$G$140="moeda")+(Inputs!$G$5:$G$140="acoes"))*Inputs!$B$1+((Inputs!$G$5:$G$140&lt;&gt;"moeda")*(Inputs!$G$5:$G$140&lt;&gt;"acoes")))*INDEX(Inputs!$K$5:$AJ$140,0,MATCH(J$2,Inputs!$K$4:$AJ$4,0)))+SUMPRODUCT((Inputs!$C$5:$C$140=$B31)*Inputs!$D$5:$D$140*(((Inputs!$G$5:$G$140="moeda")+(Inputs!$G$5:$G$140="acoes"))*Inputs!$B$1+((Inputs!$G$5:$G$140&lt;&gt;"moeda")*(Inputs!$G$5:$G$140&lt;&gt;"acoes")))*INDEX(Inputs!$K$5:$AJ$140,0,MATCH(J$2,Inputs!$K$4:$AJ$4,0)))+SUMPRODUCT((Inputs!$E$5:$E$140=$B31)*Inputs!$F$5:$F$140*(((Inputs!$G$5:$G$140="moeda")+(Inputs!$G$5:$G$140="acoes"))*Inputs!$B$1+((Inputs!$G$5:$G$140&lt;&gt;"moeda")*(Inputs!$G$5:$G$140&lt;&gt;"acoes")))*INDEX(Inputs!$K$5:$AJ$140,0,MATCH(J$2,Inputs!$K$4:$AJ$4,0)))))</f>
        <v>104.094</v>
      </c>
      <c r="K31" s="6">
        <f>IF(ISNA(MATCH(K$2,Inputs!$K$4:$AJ$4,0)),NA(),IF(SUMPRODUCT((Inputs!$A$5:$A$140=$B31)*ISNUMBER(INDEX(Inputs!$K$5:$AJ$140,0,MATCH(K$2,Inputs!$K$4:$AJ$4,0))))+SUMPRODUCT((Inputs!$C$5:$C$140=$B31)*ISNUMBER(INDEX(Inputs!$K$5:$AJ$140,0,MATCH(K$2,Inputs!$K$4:$AJ$4,0))))+SUMPRODUCT((Inputs!$E$5:$E$140=$B31)*ISNUMBER(INDEX(Inputs!$K$5:$AJ$140,0,MATCH(K$2,Inputs!$K$4:$AJ$4,0))))=0,NA(),SUMPRODUCT((Inputs!$A$5:$A$140=$B31)*Inputs!$B$5:$B$140*(((Inputs!$G$5:$G$140="moeda")+(Inputs!$G$5:$G$140="acoes"))*Inputs!$B$1+((Inputs!$G$5:$G$140&lt;&gt;"moeda")*(Inputs!$G$5:$G$140&lt;&gt;"acoes")))*INDEX(Inputs!$K$5:$AJ$140,0,MATCH(K$2,Inputs!$K$4:$AJ$4,0)))+SUMPRODUCT((Inputs!$C$5:$C$140=$B31)*Inputs!$D$5:$D$140*(((Inputs!$G$5:$G$140="moeda")+(Inputs!$G$5:$G$140="acoes"))*Inputs!$B$1+((Inputs!$G$5:$G$140&lt;&gt;"moeda")*(Inputs!$G$5:$G$140&lt;&gt;"acoes")))*INDEX(Inputs!$K$5:$AJ$140,0,MATCH(K$2,Inputs!$K$4:$AJ$4,0)))+SUMPRODUCT((Inputs!$E$5:$E$140=$B31)*Inputs!$F$5:$F$140*(((Inputs!$G$5:$G$140="moeda")+(Inputs!$G$5:$G$140="acoes"))*Inputs!$B$1+((Inputs!$G$5:$G$140&lt;&gt;"moeda")*(Inputs!$G$5:$G$140&lt;&gt;"acoes")))*INDEX(Inputs!$K$5:$AJ$140,0,MATCH(K$2,Inputs!$K$4:$AJ$4,0)))))</f>
        <v>56.304</v>
      </c>
      <c r="L31" s="6">
        <f>IF(ISNA(MATCH(L$2,Inputs!$K$4:$AJ$4,0)),NA(),IF(SUMPRODUCT((Inputs!$A$5:$A$140=$B31)*ISNUMBER(INDEX(Inputs!$K$5:$AJ$140,0,MATCH(L$2,Inputs!$K$4:$AJ$4,0))))+SUMPRODUCT((Inputs!$C$5:$C$140=$B31)*ISNUMBER(INDEX(Inputs!$K$5:$AJ$140,0,MATCH(L$2,Inputs!$K$4:$AJ$4,0))))+SUMPRODUCT((Inputs!$E$5:$E$140=$B31)*ISNUMBER(INDEX(Inputs!$K$5:$AJ$140,0,MATCH(L$2,Inputs!$K$4:$AJ$4,0))))=0,NA(),SUMPRODUCT((Inputs!$A$5:$A$140=$B31)*Inputs!$B$5:$B$140*(((Inputs!$G$5:$G$140="moeda")+(Inputs!$G$5:$G$140="acoes"))*Inputs!$B$1+((Inputs!$G$5:$G$140&lt;&gt;"moeda")*(Inputs!$G$5:$G$140&lt;&gt;"acoes")))*INDEX(Inputs!$K$5:$AJ$140,0,MATCH(L$2,Inputs!$K$4:$AJ$4,0)))+SUMPRODUCT((Inputs!$C$5:$C$140=$B31)*Inputs!$D$5:$D$140*(((Inputs!$G$5:$G$140="moeda")+(Inputs!$G$5:$G$140="acoes"))*Inputs!$B$1+((Inputs!$G$5:$G$140&lt;&gt;"moeda")*(Inputs!$G$5:$G$140&lt;&gt;"acoes")))*INDEX(Inputs!$K$5:$AJ$140,0,MATCH(L$2,Inputs!$K$4:$AJ$4,0)))+SUMPRODUCT((Inputs!$E$5:$E$140=$B31)*Inputs!$F$5:$F$140*(((Inputs!$G$5:$G$140="moeda")+(Inputs!$G$5:$G$140="acoes"))*Inputs!$B$1+((Inputs!$G$5:$G$140&lt;&gt;"moeda")*(Inputs!$G$5:$G$140&lt;&gt;"acoes")))*INDEX(Inputs!$K$5:$AJ$140,0,MATCH(L$2,Inputs!$K$4:$AJ$4,0)))))</f>
        <v>27.794</v>
      </c>
      <c r="M31" s="3">
        <f>L31</f>
        <v>27.794</v>
      </c>
      <c r="N31" s="6">
        <f>IF(ISNA(MATCH(N$2,Inputs!$K$4:$AJ$4,0)),NA(),IF(SUMPRODUCT((Inputs!$A$5:$A$140=$B31)*ISNUMBER(INDEX(Inputs!$K$5:$AJ$140,0,MATCH(N$2,Inputs!$K$4:$AJ$4,0))))+SUMPRODUCT((Inputs!$C$5:$C$140=$B31)*ISNUMBER(INDEX(Inputs!$K$5:$AJ$140,0,MATCH(N$2,Inputs!$K$4:$AJ$4,0))))+SUMPRODUCT((Inputs!$E$5:$E$140=$B31)*ISNUMBER(INDEX(Inputs!$K$5:$AJ$140,0,MATCH(N$2,Inputs!$K$4:$AJ$4,0))))=0,NA(),SUMPRODUCT((Inputs!$A$5:$A$140=$B31)*Inputs!$B$5:$B$140*(((Inputs!$G$5:$G$140="moeda")+(Inputs!$G$5:$G$140="acoes"))*Inputs!$B$1+((Inputs!$G$5:$G$140&lt;&gt;"moeda")*(Inputs!$G$5:$G$140&lt;&gt;"acoes")))*INDEX(Inputs!$K$5:$AJ$140,0,MATCH(N$2,Inputs!$K$4:$AJ$4,0)))+SUMPRODUCT((Inputs!$C$5:$C$140=$B31)*Inputs!$D$5:$D$140*(((Inputs!$G$5:$G$140="moeda")+(Inputs!$G$5:$G$140="acoes"))*Inputs!$B$1+((Inputs!$G$5:$G$140&lt;&gt;"moeda")*(Inputs!$G$5:$G$140&lt;&gt;"acoes")))*INDEX(Inputs!$K$5:$AJ$140,0,MATCH(N$2,Inputs!$K$4:$AJ$4,0)))+SUMPRODUCT((Inputs!$E$5:$E$140=$B31)*Inputs!$F$5:$F$140*(((Inputs!$G$5:$G$140="moeda")+(Inputs!$G$5:$G$140="acoes"))*Inputs!$B$1+((Inputs!$G$5:$G$140&lt;&gt;"moeda")*(Inputs!$G$5:$G$140&lt;&gt;"acoes")))*INDEX(Inputs!$K$5:$AJ$140,0,MATCH(N$2,Inputs!$K$4:$AJ$4,0)))))</f>
        <v>23.079</v>
      </c>
      <c r="O31" s="6">
        <f>IF(ISNA(MATCH(O$2,Inputs!$K$4:$AJ$4,0)),NA(),IF(SUMPRODUCT((Inputs!$A$5:$A$140=$B31)*ISNUMBER(INDEX(Inputs!$K$5:$AJ$140,0,MATCH(O$2,Inputs!$K$4:$AJ$4,0))))+SUMPRODUCT((Inputs!$C$5:$C$140=$B31)*ISNUMBER(INDEX(Inputs!$K$5:$AJ$140,0,MATCH(O$2,Inputs!$K$4:$AJ$4,0))))+SUMPRODUCT((Inputs!$E$5:$E$140=$B31)*ISNUMBER(INDEX(Inputs!$K$5:$AJ$140,0,MATCH(O$2,Inputs!$K$4:$AJ$4,0))))=0,NA(),SUMPRODUCT((Inputs!$A$5:$A$140=$B31)*Inputs!$B$5:$B$140*(((Inputs!$G$5:$G$140="moeda")+(Inputs!$G$5:$G$140="acoes"))*Inputs!$B$1+((Inputs!$G$5:$G$140&lt;&gt;"moeda")*(Inputs!$G$5:$G$140&lt;&gt;"acoes")))*INDEX(Inputs!$K$5:$AJ$140,0,MATCH(O$2,Inputs!$K$4:$AJ$4,0)))+SUMPRODUCT((Inputs!$C$5:$C$140=$B31)*Inputs!$D$5:$D$140*(((Inputs!$G$5:$G$140="moeda")+(Inputs!$G$5:$G$140="acoes"))*Inputs!$B$1+((Inputs!$G$5:$G$140&lt;&gt;"moeda")*(Inputs!$G$5:$G$140&lt;&gt;"acoes")))*INDEX(Inputs!$K$5:$AJ$140,0,MATCH(O$2,Inputs!$K$4:$AJ$4,0)))+SUMPRODUCT((Inputs!$E$5:$E$140=$B31)*Inputs!$F$5:$F$140*(((Inputs!$G$5:$G$140="moeda")+(Inputs!$G$5:$G$140="acoes"))*Inputs!$B$1+((Inputs!$G$5:$G$140&lt;&gt;"moeda")*(Inputs!$G$5:$G$140&lt;&gt;"acoes")))*INDEX(Inputs!$K$5:$AJ$140,0,MATCH(O$2,Inputs!$K$4:$AJ$4,0)))))</f>
        <v>56.905</v>
      </c>
      <c r="P31" s="6">
        <f>IF(ISNA(MATCH(P$2,Inputs!$K$4:$AJ$4,0)),NA(),IF(SUMPRODUCT((Inputs!$A$5:$A$140=$B31)*ISNUMBER(INDEX(Inputs!$K$5:$AJ$140,0,MATCH(P$2,Inputs!$K$4:$AJ$4,0))))+SUMPRODUCT((Inputs!$C$5:$C$140=$B31)*ISNUMBER(INDEX(Inputs!$K$5:$AJ$140,0,MATCH(P$2,Inputs!$K$4:$AJ$4,0))))+SUMPRODUCT((Inputs!$E$5:$E$140=$B31)*ISNUMBER(INDEX(Inputs!$K$5:$AJ$140,0,MATCH(P$2,Inputs!$K$4:$AJ$4,0))))=0,NA(),SUMPRODUCT((Inputs!$A$5:$A$140=$B31)*Inputs!$B$5:$B$140*(((Inputs!$G$5:$G$140="moeda")+(Inputs!$G$5:$G$140="acoes"))*Inputs!$B$1+((Inputs!$G$5:$G$140&lt;&gt;"moeda")*(Inputs!$G$5:$G$140&lt;&gt;"acoes")))*INDEX(Inputs!$K$5:$AJ$140,0,MATCH(P$2,Inputs!$K$4:$AJ$4,0)))+SUMPRODUCT((Inputs!$C$5:$C$140=$B31)*Inputs!$D$5:$D$140*(((Inputs!$G$5:$G$140="moeda")+(Inputs!$G$5:$G$140="acoes"))*Inputs!$B$1+((Inputs!$G$5:$G$140&lt;&gt;"moeda")*(Inputs!$G$5:$G$140&lt;&gt;"acoes")))*INDEX(Inputs!$K$5:$AJ$140,0,MATCH(P$2,Inputs!$K$4:$AJ$4,0)))+SUMPRODUCT((Inputs!$E$5:$E$140=$B31)*Inputs!$F$5:$F$140*(((Inputs!$G$5:$G$140="moeda")+(Inputs!$G$5:$G$140="acoes"))*Inputs!$B$1+((Inputs!$G$5:$G$140&lt;&gt;"moeda")*(Inputs!$G$5:$G$140&lt;&gt;"acoes")))*INDEX(Inputs!$K$5:$AJ$140,0,MATCH(P$2,Inputs!$K$4:$AJ$4,0)))))</f>
        <v>67.267</v>
      </c>
      <c r="Q31" s="6">
        <f>IF(ISNA(MATCH(Q$2,Inputs!$K$4:$AJ$4,0)),NA(),IF(SUMPRODUCT((Inputs!$A$5:$A$140=$B31)*ISNUMBER(INDEX(Inputs!$K$5:$AJ$140,0,MATCH(Q$2,Inputs!$K$4:$AJ$4,0))))+SUMPRODUCT((Inputs!$C$5:$C$140=$B31)*ISNUMBER(INDEX(Inputs!$K$5:$AJ$140,0,MATCH(Q$2,Inputs!$K$4:$AJ$4,0))))+SUMPRODUCT((Inputs!$E$5:$E$140=$B31)*ISNUMBER(INDEX(Inputs!$K$5:$AJ$140,0,MATCH(Q$2,Inputs!$K$4:$AJ$4,0))))=0,NA(),SUMPRODUCT((Inputs!$A$5:$A$140=$B31)*Inputs!$B$5:$B$140*(((Inputs!$G$5:$G$140="moeda")+(Inputs!$G$5:$G$140="acoes"))*Inputs!$B$1+((Inputs!$G$5:$G$140&lt;&gt;"moeda")*(Inputs!$G$5:$G$140&lt;&gt;"acoes")))*INDEX(Inputs!$K$5:$AJ$140,0,MATCH(Q$2,Inputs!$K$4:$AJ$4,0)))+SUMPRODUCT((Inputs!$C$5:$C$140=$B31)*Inputs!$D$5:$D$140*(((Inputs!$G$5:$G$140="moeda")+(Inputs!$G$5:$G$140="acoes"))*Inputs!$B$1+((Inputs!$G$5:$G$140&lt;&gt;"moeda")*(Inputs!$G$5:$G$140&lt;&gt;"acoes")))*INDEX(Inputs!$K$5:$AJ$140,0,MATCH(Q$2,Inputs!$K$4:$AJ$4,0)))+SUMPRODUCT((Inputs!$E$5:$E$140=$B31)*Inputs!$F$5:$F$140*(((Inputs!$G$5:$G$140="moeda")+(Inputs!$G$5:$G$140="acoes"))*Inputs!$B$1+((Inputs!$G$5:$G$140&lt;&gt;"moeda")*(Inputs!$G$5:$G$140&lt;&gt;"acoes")))*INDEX(Inputs!$K$5:$AJ$140,0,MATCH(Q$2,Inputs!$K$4:$AJ$4,0)))))</f>
        <v>76.354</v>
      </c>
      <c r="R31" s="3">
        <f>Q31</f>
        <v>76.354</v>
      </c>
      <c r="S31" s="6">
        <f>IF(ISNA(MATCH(S$2,Inputs!$K$4:$AJ$4,0)),NA(),IF(SUMPRODUCT((Inputs!$A$5:$A$140=$B31)*ISNUMBER(INDEX(Inputs!$K$5:$AJ$140,0,MATCH(S$2,Inputs!$K$4:$AJ$4,0))))+SUMPRODUCT((Inputs!$C$5:$C$140=$B31)*ISNUMBER(INDEX(Inputs!$K$5:$AJ$140,0,MATCH(S$2,Inputs!$K$4:$AJ$4,0))))+SUMPRODUCT((Inputs!$E$5:$E$140=$B31)*ISNUMBER(INDEX(Inputs!$K$5:$AJ$140,0,MATCH(S$2,Inputs!$K$4:$AJ$4,0))))=0,NA(),SUMPRODUCT((Inputs!$A$5:$A$140=$B31)*Inputs!$B$5:$B$140*(((Inputs!$G$5:$G$140="moeda")+(Inputs!$G$5:$G$140="acoes"))*Inputs!$B$1+((Inputs!$G$5:$G$140&lt;&gt;"moeda")*(Inputs!$G$5:$G$140&lt;&gt;"acoes")))*INDEX(Inputs!$K$5:$AJ$140,0,MATCH(S$2,Inputs!$K$4:$AJ$4,0)))+SUMPRODUCT((Inputs!$C$5:$C$140=$B31)*Inputs!$D$5:$D$140*(((Inputs!$G$5:$G$140="moeda")+(Inputs!$G$5:$G$140="acoes"))*Inputs!$B$1+((Inputs!$G$5:$G$140&lt;&gt;"moeda")*(Inputs!$G$5:$G$140&lt;&gt;"acoes")))*INDEX(Inputs!$K$5:$AJ$140,0,MATCH(S$2,Inputs!$K$4:$AJ$4,0)))+SUMPRODUCT((Inputs!$E$5:$E$140=$B31)*Inputs!$F$5:$F$140*(((Inputs!$G$5:$G$140="moeda")+(Inputs!$G$5:$G$140="acoes"))*Inputs!$B$1+((Inputs!$G$5:$G$140&lt;&gt;"moeda")*(Inputs!$G$5:$G$140&lt;&gt;"acoes")))*INDEX(Inputs!$K$5:$AJ$140,0,MATCH(S$2,Inputs!$K$4:$AJ$4,0)))))</f>
        <v>178.543</v>
      </c>
      <c r="T31" s="6">
        <f>IF(ISNA(MATCH(T$2,Inputs!$K$4:$AJ$4,0)),NA(),IF(SUMPRODUCT((Inputs!$A$5:$A$140=$B31)*ISNUMBER(INDEX(Inputs!$K$5:$AJ$140,0,MATCH(T$2,Inputs!$K$4:$AJ$4,0))))+SUMPRODUCT((Inputs!$C$5:$C$140=$B31)*ISNUMBER(INDEX(Inputs!$K$5:$AJ$140,0,MATCH(T$2,Inputs!$K$4:$AJ$4,0))))+SUMPRODUCT((Inputs!$E$5:$E$140=$B31)*ISNUMBER(INDEX(Inputs!$K$5:$AJ$140,0,MATCH(T$2,Inputs!$K$4:$AJ$4,0))))=0,NA(),SUMPRODUCT((Inputs!$A$5:$A$140=$B31)*Inputs!$B$5:$B$140*(((Inputs!$G$5:$G$140="moeda")+(Inputs!$G$5:$G$140="acoes"))*Inputs!$B$1+((Inputs!$G$5:$G$140&lt;&gt;"moeda")*(Inputs!$G$5:$G$140&lt;&gt;"acoes")))*INDEX(Inputs!$K$5:$AJ$140,0,MATCH(T$2,Inputs!$K$4:$AJ$4,0)))+SUMPRODUCT((Inputs!$C$5:$C$140=$B31)*Inputs!$D$5:$D$140*(((Inputs!$G$5:$G$140="moeda")+(Inputs!$G$5:$G$140="acoes"))*Inputs!$B$1+((Inputs!$G$5:$G$140&lt;&gt;"moeda")*(Inputs!$G$5:$G$140&lt;&gt;"acoes")))*INDEX(Inputs!$K$5:$AJ$140,0,MATCH(T$2,Inputs!$K$4:$AJ$4,0)))+SUMPRODUCT((Inputs!$E$5:$E$140=$B31)*Inputs!$F$5:$F$140*(((Inputs!$G$5:$G$140="moeda")+(Inputs!$G$5:$G$140="acoes"))*Inputs!$B$1+((Inputs!$G$5:$G$140&lt;&gt;"moeda")*(Inputs!$G$5:$G$140&lt;&gt;"acoes")))*INDEX(Inputs!$K$5:$AJ$140,0,MATCH(T$2,Inputs!$K$4:$AJ$4,0)))))</f>
        <v>338.727</v>
      </c>
      <c r="U31" s="6">
        <f>IF(ISNA(MATCH(U$2,Inputs!$K$4:$AJ$4,0)),NA(),IF(SUMPRODUCT((Inputs!$A$5:$A$140=$B31)*ISNUMBER(INDEX(Inputs!$K$5:$AJ$140,0,MATCH(U$2,Inputs!$K$4:$AJ$4,0))))+SUMPRODUCT((Inputs!$C$5:$C$140=$B31)*ISNUMBER(INDEX(Inputs!$K$5:$AJ$140,0,MATCH(U$2,Inputs!$K$4:$AJ$4,0))))+SUMPRODUCT((Inputs!$E$5:$E$140=$B31)*ISNUMBER(INDEX(Inputs!$K$5:$AJ$140,0,MATCH(U$2,Inputs!$K$4:$AJ$4,0))))=0,NA(),SUMPRODUCT((Inputs!$A$5:$A$140=$B31)*Inputs!$B$5:$B$140*(((Inputs!$G$5:$G$140="moeda")+(Inputs!$G$5:$G$140="acoes"))*Inputs!$B$1+((Inputs!$G$5:$G$140&lt;&gt;"moeda")*(Inputs!$G$5:$G$140&lt;&gt;"acoes")))*INDEX(Inputs!$K$5:$AJ$140,0,MATCH(U$2,Inputs!$K$4:$AJ$4,0)))+SUMPRODUCT((Inputs!$C$5:$C$140=$B31)*Inputs!$D$5:$D$140*(((Inputs!$G$5:$G$140="moeda")+(Inputs!$G$5:$G$140="acoes"))*Inputs!$B$1+((Inputs!$G$5:$G$140&lt;&gt;"moeda")*(Inputs!$G$5:$G$140&lt;&gt;"acoes")))*INDEX(Inputs!$K$5:$AJ$140,0,MATCH(U$2,Inputs!$K$4:$AJ$4,0)))+SUMPRODUCT((Inputs!$E$5:$E$140=$B31)*Inputs!$F$5:$F$140*(((Inputs!$G$5:$G$140="moeda")+(Inputs!$G$5:$G$140="acoes"))*Inputs!$B$1+((Inputs!$G$5:$G$140&lt;&gt;"moeda")*(Inputs!$G$5:$G$140&lt;&gt;"acoes")))*INDEX(Inputs!$K$5:$AJ$140,0,MATCH(U$2,Inputs!$K$4:$AJ$4,0)))))</f>
        <v>458.935</v>
      </c>
      <c r="V31" s="6">
        <f>IF(ISNA(MATCH(V$2,Inputs!$K$4:$AJ$4,0)),NA(),IF(SUMPRODUCT((Inputs!$A$5:$A$140=$B31)*ISNUMBER(INDEX(Inputs!$K$5:$AJ$140,0,MATCH(V$2,Inputs!$K$4:$AJ$4,0))))+SUMPRODUCT((Inputs!$C$5:$C$140=$B31)*ISNUMBER(INDEX(Inputs!$K$5:$AJ$140,0,MATCH(V$2,Inputs!$K$4:$AJ$4,0))))+SUMPRODUCT((Inputs!$E$5:$E$140=$B31)*ISNUMBER(INDEX(Inputs!$K$5:$AJ$140,0,MATCH(V$2,Inputs!$K$4:$AJ$4,0))))=0,NA(),SUMPRODUCT((Inputs!$A$5:$A$140=$B31)*Inputs!$B$5:$B$140*(((Inputs!$G$5:$G$140="moeda")+(Inputs!$G$5:$G$140="acoes"))*Inputs!$B$1+((Inputs!$G$5:$G$140&lt;&gt;"moeda")*(Inputs!$G$5:$G$140&lt;&gt;"acoes")))*INDEX(Inputs!$K$5:$AJ$140,0,MATCH(V$2,Inputs!$K$4:$AJ$4,0)))+SUMPRODUCT((Inputs!$C$5:$C$140=$B31)*Inputs!$D$5:$D$140*(((Inputs!$G$5:$G$140="moeda")+(Inputs!$G$5:$G$140="acoes"))*Inputs!$B$1+((Inputs!$G$5:$G$140&lt;&gt;"moeda")*(Inputs!$G$5:$G$140&lt;&gt;"acoes")))*INDEX(Inputs!$K$5:$AJ$140,0,MATCH(V$2,Inputs!$K$4:$AJ$4,0)))+SUMPRODUCT((Inputs!$E$5:$E$140=$B31)*Inputs!$F$5:$F$140*(((Inputs!$G$5:$G$140="moeda")+(Inputs!$G$5:$G$140="acoes"))*Inputs!$B$1+((Inputs!$G$5:$G$140&lt;&gt;"moeda")*(Inputs!$G$5:$G$140&lt;&gt;"acoes")))*INDEX(Inputs!$K$5:$AJ$140,0,MATCH(V$2,Inputs!$K$4:$AJ$4,0)))))</f>
        <v>214.597</v>
      </c>
      <c r="W31" s="3">
        <f>V31</f>
        <v>214.597</v>
      </c>
      <c r="X31" s="6">
        <f>IF(ISNA(MATCH(X$2,Inputs!$K$4:$AJ$4,0)),NA(),IF(SUMPRODUCT((Inputs!$A$5:$A$140=$B31)*ISNUMBER(INDEX(Inputs!$K$5:$AJ$140,0,MATCH(X$2,Inputs!$K$4:$AJ$4,0))))+SUMPRODUCT((Inputs!$C$5:$C$140=$B31)*ISNUMBER(INDEX(Inputs!$K$5:$AJ$140,0,MATCH(X$2,Inputs!$K$4:$AJ$4,0))))+SUMPRODUCT((Inputs!$E$5:$E$140=$B31)*ISNUMBER(INDEX(Inputs!$K$5:$AJ$140,0,MATCH(X$2,Inputs!$K$4:$AJ$4,0))))=0,NA(),SUMPRODUCT((Inputs!$A$5:$A$140=$B31)*Inputs!$B$5:$B$140*(((Inputs!$G$5:$G$140="moeda")+(Inputs!$G$5:$G$140="acoes"))*Inputs!$B$1+((Inputs!$G$5:$G$140&lt;&gt;"moeda")*(Inputs!$G$5:$G$140&lt;&gt;"acoes")))*INDEX(Inputs!$K$5:$AJ$140,0,MATCH(X$2,Inputs!$K$4:$AJ$4,0)))+SUMPRODUCT((Inputs!$C$5:$C$140=$B31)*Inputs!$D$5:$D$140*(((Inputs!$G$5:$G$140="moeda")+(Inputs!$G$5:$G$140="acoes"))*Inputs!$B$1+((Inputs!$G$5:$G$140&lt;&gt;"moeda")*(Inputs!$G$5:$G$140&lt;&gt;"acoes")))*INDEX(Inputs!$K$5:$AJ$140,0,MATCH(X$2,Inputs!$K$4:$AJ$4,0)))+SUMPRODUCT((Inputs!$E$5:$E$140=$B31)*Inputs!$F$5:$F$140*(((Inputs!$G$5:$G$140="moeda")+(Inputs!$G$5:$G$140="acoes"))*Inputs!$B$1+((Inputs!$G$5:$G$140&lt;&gt;"moeda")*(Inputs!$G$5:$G$140&lt;&gt;"acoes")))*INDEX(Inputs!$K$5:$AJ$140,0,MATCH(X$2,Inputs!$K$4:$AJ$4,0)))))</f>
        <v>231.191</v>
      </c>
      <c r="Y31" s="6">
        <f>IF(ISNA(MATCH(Y$2,Inputs!$K$4:$AJ$4,0)),NA(),IF(SUMPRODUCT((Inputs!$A$5:$A$140=$B31)*ISNUMBER(INDEX(Inputs!$K$5:$AJ$140,0,MATCH(Y$2,Inputs!$K$4:$AJ$4,0))))+SUMPRODUCT((Inputs!$C$5:$C$140=$B31)*ISNUMBER(INDEX(Inputs!$K$5:$AJ$140,0,MATCH(Y$2,Inputs!$K$4:$AJ$4,0))))+SUMPRODUCT((Inputs!$E$5:$E$140=$B31)*ISNUMBER(INDEX(Inputs!$K$5:$AJ$140,0,MATCH(Y$2,Inputs!$K$4:$AJ$4,0))))=0,NA(),SUMPRODUCT((Inputs!$A$5:$A$140=$B31)*Inputs!$B$5:$B$140*(((Inputs!$G$5:$G$140="moeda")+(Inputs!$G$5:$G$140="acoes"))*Inputs!$B$1+((Inputs!$G$5:$G$140&lt;&gt;"moeda")*(Inputs!$G$5:$G$140&lt;&gt;"acoes")))*INDEX(Inputs!$K$5:$AJ$140,0,MATCH(Y$2,Inputs!$K$4:$AJ$4,0)))+SUMPRODUCT((Inputs!$C$5:$C$140=$B31)*Inputs!$D$5:$D$140*(((Inputs!$G$5:$G$140="moeda")+(Inputs!$G$5:$G$140="acoes"))*Inputs!$B$1+((Inputs!$G$5:$G$140&lt;&gt;"moeda")*(Inputs!$G$5:$G$140&lt;&gt;"acoes")))*INDEX(Inputs!$K$5:$AJ$140,0,MATCH(Y$2,Inputs!$K$4:$AJ$4,0)))+SUMPRODUCT((Inputs!$E$5:$E$140=$B31)*Inputs!$F$5:$F$140*(((Inputs!$G$5:$G$140="moeda")+(Inputs!$G$5:$G$140="acoes"))*Inputs!$B$1+((Inputs!$G$5:$G$140&lt;&gt;"moeda")*(Inputs!$G$5:$G$140&lt;&gt;"acoes")))*INDEX(Inputs!$K$5:$AJ$140,0,MATCH(Y$2,Inputs!$K$4:$AJ$4,0)))))</f>
        <v>390.144</v>
      </c>
      <c r="Z31" s="6">
        <f>IF(ISNA(MATCH(Z$2,Inputs!$K$4:$AJ$4,0)),NA(),IF(SUMPRODUCT((Inputs!$A$5:$A$140=$B31)*ISNUMBER(INDEX(Inputs!$K$5:$AJ$140,0,MATCH(Z$2,Inputs!$K$4:$AJ$4,0))))+SUMPRODUCT((Inputs!$C$5:$C$140=$B31)*ISNUMBER(INDEX(Inputs!$K$5:$AJ$140,0,MATCH(Z$2,Inputs!$K$4:$AJ$4,0))))+SUMPRODUCT((Inputs!$E$5:$E$140=$B31)*ISNUMBER(INDEX(Inputs!$K$5:$AJ$140,0,MATCH(Z$2,Inputs!$K$4:$AJ$4,0))))=0,NA(),SUMPRODUCT((Inputs!$A$5:$A$140=$B31)*Inputs!$B$5:$B$140*(((Inputs!$G$5:$G$140="moeda")+(Inputs!$G$5:$G$140="acoes"))*Inputs!$B$1+((Inputs!$G$5:$G$140&lt;&gt;"moeda")*(Inputs!$G$5:$G$140&lt;&gt;"acoes")))*INDEX(Inputs!$K$5:$AJ$140,0,MATCH(Z$2,Inputs!$K$4:$AJ$4,0)))+SUMPRODUCT((Inputs!$C$5:$C$140=$B31)*Inputs!$D$5:$D$140*(((Inputs!$G$5:$G$140="moeda")+(Inputs!$G$5:$G$140="acoes"))*Inputs!$B$1+((Inputs!$G$5:$G$140&lt;&gt;"moeda")*(Inputs!$G$5:$G$140&lt;&gt;"acoes")))*INDEX(Inputs!$K$5:$AJ$140,0,MATCH(Z$2,Inputs!$K$4:$AJ$4,0)))+SUMPRODUCT((Inputs!$E$5:$E$140=$B31)*Inputs!$F$5:$F$140*(((Inputs!$G$5:$G$140="moeda")+(Inputs!$G$5:$G$140="acoes"))*Inputs!$B$1+((Inputs!$G$5:$G$140&lt;&gt;"moeda")*(Inputs!$G$5:$G$140&lt;&gt;"acoes")))*INDEX(Inputs!$K$5:$AJ$140,0,MATCH(Z$2,Inputs!$K$4:$AJ$4,0)))))</f>
        <v>507.504</v>
      </c>
      <c r="AA31" s="6">
        <f>IF(ISNA(MATCH(AA$2,Inputs!$K$4:$AJ$4,0)),NA(),IF(SUMPRODUCT((Inputs!$A$5:$A$140=$B31)*ISNUMBER(INDEX(Inputs!$K$5:$AJ$140,0,MATCH(AA$2,Inputs!$K$4:$AJ$4,0))))+SUMPRODUCT((Inputs!$C$5:$C$140=$B31)*ISNUMBER(INDEX(Inputs!$K$5:$AJ$140,0,MATCH(AA$2,Inputs!$K$4:$AJ$4,0))))+SUMPRODUCT((Inputs!$E$5:$E$140=$B31)*ISNUMBER(INDEX(Inputs!$K$5:$AJ$140,0,MATCH(AA$2,Inputs!$K$4:$AJ$4,0))))=0,NA(),SUMPRODUCT((Inputs!$A$5:$A$140=$B31)*Inputs!$B$5:$B$140*(((Inputs!$G$5:$G$140="moeda")+(Inputs!$G$5:$G$140="acoes"))*Inputs!$B$1+((Inputs!$G$5:$G$140&lt;&gt;"moeda")*(Inputs!$G$5:$G$140&lt;&gt;"acoes")))*INDEX(Inputs!$K$5:$AJ$140,0,MATCH(AA$2,Inputs!$K$4:$AJ$4,0)))+SUMPRODUCT((Inputs!$C$5:$C$140=$B31)*Inputs!$D$5:$D$140*(((Inputs!$G$5:$G$140="moeda")+(Inputs!$G$5:$G$140="acoes"))*Inputs!$B$1+((Inputs!$G$5:$G$140&lt;&gt;"moeda")*(Inputs!$G$5:$G$140&lt;&gt;"acoes")))*INDEX(Inputs!$K$5:$AJ$140,0,MATCH(AA$2,Inputs!$K$4:$AJ$4,0)))+SUMPRODUCT((Inputs!$E$5:$E$140=$B31)*Inputs!$F$5:$F$140*(((Inputs!$G$5:$G$140="moeda")+(Inputs!$G$5:$G$140="acoes"))*Inputs!$B$1+((Inputs!$G$5:$G$140&lt;&gt;"moeda")*(Inputs!$G$5:$G$140&lt;&gt;"acoes")))*INDEX(Inputs!$K$5:$AJ$140,0,MATCH(AA$2,Inputs!$K$4:$AJ$4,0)))))</f>
        <v>502.183</v>
      </c>
      <c r="AB31" s="3">
        <f>AA31</f>
        <v>502.183</v>
      </c>
      <c r="AC31" s="6">
        <f>IF(ISNA(MATCH(AC$2,Inputs!$K$4:$AJ$4,0)),NA(),IF(SUMPRODUCT((Inputs!$A$5:$A$140=$B31)*ISNUMBER(INDEX(Inputs!$K$5:$AJ$140,0,MATCH(AC$2,Inputs!$K$4:$AJ$4,0))))+SUMPRODUCT((Inputs!$C$5:$C$140=$B31)*ISNUMBER(INDEX(Inputs!$K$5:$AJ$140,0,MATCH(AC$2,Inputs!$K$4:$AJ$4,0))))+SUMPRODUCT((Inputs!$E$5:$E$140=$B31)*ISNUMBER(INDEX(Inputs!$K$5:$AJ$140,0,MATCH(AC$2,Inputs!$K$4:$AJ$4,0))))=0,NA(),SUMPRODUCT((Inputs!$A$5:$A$140=$B31)*Inputs!$B$5:$B$140*(((Inputs!$G$5:$G$140="moeda")+(Inputs!$G$5:$G$140="acoes"))*Inputs!$B$1+((Inputs!$G$5:$G$140&lt;&gt;"moeda")*(Inputs!$G$5:$G$140&lt;&gt;"acoes")))*INDEX(Inputs!$K$5:$AJ$140,0,MATCH(AC$2,Inputs!$K$4:$AJ$4,0)))+SUMPRODUCT((Inputs!$C$5:$C$140=$B31)*Inputs!$D$5:$D$140*(((Inputs!$G$5:$G$140="moeda")+(Inputs!$G$5:$G$140="acoes"))*Inputs!$B$1+((Inputs!$G$5:$G$140&lt;&gt;"moeda")*(Inputs!$G$5:$G$140&lt;&gt;"acoes")))*INDEX(Inputs!$K$5:$AJ$140,0,MATCH(AC$2,Inputs!$K$4:$AJ$4,0)))+SUMPRODUCT((Inputs!$E$5:$E$140=$B31)*Inputs!$F$5:$F$140*(((Inputs!$G$5:$G$140="moeda")+(Inputs!$G$5:$G$140="acoes"))*Inputs!$B$1+((Inputs!$G$5:$G$140&lt;&gt;"moeda")*(Inputs!$G$5:$G$140&lt;&gt;"acoes")))*INDEX(Inputs!$K$5:$AJ$140,0,MATCH(AC$2,Inputs!$K$4:$AJ$4,0)))))</f>
        <v>312.021</v>
      </c>
      <c r="AD31" s="6">
        <f>IF(ISNA(MATCH(AD$2,Inputs!$K$4:$AJ$4,0)),NA(),IF(SUMPRODUCT((Inputs!$A$5:$A$140=$B31)*ISNUMBER(INDEX(Inputs!$K$5:$AJ$140,0,MATCH(AD$2,Inputs!$K$4:$AJ$4,0))))+SUMPRODUCT((Inputs!$C$5:$C$140=$B31)*ISNUMBER(INDEX(Inputs!$K$5:$AJ$140,0,MATCH(AD$2,Inputs!$K$4:$AJ$4,0))))+SUMPRODUCT((Inputs!$E$5:$E$140=$B31)*ISNUMBER(INDEX(Inputs!$K$5:$AJ$140,0,MATCH(AD$2,Inputs!$K$4:$AJ$4,0))))=0,NA(),SUMPRODUCT((Inputs!$A$5:$A$140=$B31)*Inputs!$B$5:$B$140*(((Inputs!$G$5:$G$140="moeda")+(Inputs!$G$5:$G$140="acoes"))*Inputs!$B$1+((Inputs!$G$5:$G$140&lt;&gt;"moeda")*(Inputs!$G$5:$G$140&lt;&gt;"acoes")))*INDEX(Inputs!$K$5:$AJ$140,0,MATCH(AD$2,Inputs!$K$4:$AJ$4,0)))+SUMPRODUCT((Inputs!$C$5:$C$140=$B31)*Inputs!$D$5:$D$140*(((Inputs!$G$5:$G$140="moeda")+(Inputs!$G$5:$G$140="acoes"))*Inputs!$B$1+((Inputs!$G$5:$G$140&lt;&gt;"moeda")*(Inputs!$G$5:$G$140&lt;&gt;"acoes")))*INDEX(Inputs!$K$5:$AJ$140,0,MATCH(AD$2,Inputs!$K$4:$AJ$4,0)))+SUMPRODUCT((Inputs!$E$5:$E$140=$B31)*Inputs!$F$5:$F$140*(((Inputs!$G$5:$G$140="moeda")+(Inputs!$G$5:$G$140="acoes"))*Inputs!$B$1+((Inputs!$G$5:$G$140&lt;&gt;"moeda")*(Inputs!$G$5:$G$140&lt;&gt;"acoes")))*INDEX(Inputs!$K$5:$AJ$140,0,MATCH(AD$2,Inputs!$K$4:$AJ$4,0)))))</f>
        <v>161.023</v>
      </c>
      <c r="AE31" s="6" t="e">
        <f>IF(ISNA(MATCH(AE$2,Inputs!$K$4:$AJ$4,0)),NA(),IF(SUMPRODUCT((Inputs!$A$5:$A$140=$B31)*ISNUMBER(INDEX(Inputs!$K$5:$AJ$140,0,MATCH(AE$2,Inputs!$K$4:$AJ$4,0))))+SUMPRODUCT((Inputs!$C$5:$C$140=$B31)*ISNUMBER(INDEX(Inputs!$K$5:$AJ$140,0,MATCH(AE$2,Inputs!$K$4:$AJ$4,0))))+SUMPRODUCT((Inputs!$E$5:$E$140=$B31)*ISNUMBER(INDEX(Inputs!$K$5:$AJ$140,0,MATCH(AE$2,Inputs!$K$4:$AJ$4,0))))=0,NA(),SUMPRODUCT((Inputs!$A$5:$A$140=$B31)*Inputs!$B$5:$B$140*(((Inputs!$G$5:$G$140="moeda")+(Inputs!$G$5:$G$140="acoes"))*Inputs!$B$1+((Inputs!$G$5:$G$140&lt;&gt;"moeda")*(Inputs!$G$5:$G$140&lt;&gt;"acoes")))*INDEX(Inputs!$K$5:$AJ$140,0,MATCH(AE$2,Inputs!$K$4:$AJ$4,0)))+SUMPRODUCT((Inputs!$C$5:$C$140=$B31)*Inputs!$D$5:$D$140*(((Inputs!$G$5:$G$140="moeda")+(Inputs!$G$5:$G$140="acoes"))*Inputs!$B$1+((Inputs!$G$5:$G$140&lt;&gt;"moeda")*(Inputs!$G$5:$G$140&lt;&gt;"acoes")))*INDEX(Inputs!$K$5:$AJ$140,0,MATCH(AE$2,Inputs!$K$4:$AJ$4,0)))+SUMPRODUCT((Inputs!$E$5:$E$140=$B31)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1" s="6" t="e">
        <f>IF(ISNA(MATCH(AF$2,Inputs!$K$4:$AJ$4,0)),NA(),IF(SUMPRODUCT((Inputs!$A$5:$A$140=$B31)*ISNUMBER(INDEX(Inputs!$K$5:$AJ$140,0,MATCH(AF$2,Inputs!$K$4:$AJ$4,0))))+SUMPRODUCT((Inputs!$C$5:$C$140=$B31)*ISNUMBER(INDEX(Inputs!$K$5:$AJ$140,0,MATCH(AF$2,Inputs!$K$4:$AJ$4,0))))+SUMPRODUCT((Inputs!$E$5:$E$140=$B31)*ISNUMBER(INDEX(Inputs!$K$5:$AJ$140,0,MATCH(AF$2,Inputs!$K$4:$AJ$4,0))))=0,NA(),SUMPRODUCT((Inputs!$A$5:$A$140=$B31)*Inputs!$B$5:$B$140*(((Inputs!$G$5:$G$140="moeda")+(Inputs!$G$5:$G$140="acoes"))*Inputs!$B$1+((Inputs!$G$5:$G$140&lt;&gt;"moeda")*(Inputs!$G$5:$G$140&lt;&gt;"acoes")))*INDEX(Inputs!$K$5:$AJ$140,0,MATCH(AF$2,Inputs!$K$4:$AJ$4,0)))+SUMPRODUCT((Inputs!$C$5:$C$140=$B31)*Inputs!$D$5:$D$140*(((Inputs!$G$5:$G$140="moeda")+(Inputs!$G$5:$G$140="acoes"))*Inputs!$B$1+((Inputs!$G$5:$G$140&lt;&gt;"moeda")*(Inputs!$G$5:$G$140&lt;&gt;"acoes")))*INDEX(Inputs!$K$5:$AJ$140,0,MATCH(AF$2,Inputs!$K$4:$AJ$4,0)))+SUMPRODUCT((Inputs!$E$5:$E$140=$B31)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1" s="3" t="e">
        <f>AF31</f>
        <v>#N/A</v>
      </c>
      <c r="AH31" s="6" t="e">
        <f>IF(ISNA(MATCH(AH$2,Inputs!$K$4:$AJ$4,0)),NA(),IF(SUMPRODUCT((Inputs!$A$5:$A$140=$B31)*ISNUMBER(INDEX(Inputs!$K$5:$AJ$140,0,MATCH(AH$2,Inputs!$K$4:$AJ$4,0))))+SUMPRODUCT((Inputs!$C$5:$C$140=$B31)*ISNUMBER(INDEX(Inputs!$K$5:$AJ$140,0,MATCH(AH$2,Inputs!$K$4:$AJ$4,0))))+SUMPRODUCT((Inputs!$E$5:$E$140=$B31)*ISNUMBER(INDEX(Inputs!$K$5:$AJ$140,0,MATCH(AH$2,Inputs!$K$4:$AJ$4,0))))=0,NA(),SUMPRODUCT((Inputs!$A$5:$A$140=$B31)*Inputs!$B$5:$B$140*(((Inputs!$G$5:$G$140="moeda")+(Inputs!$G$5:$G$140="acoes"))*Inputs!$B$1+((Inputs!$G$5:$G$140&lt;&gt;"moeda")*(Inputs!$G$5:$G$140&lt;&gt;"acoes")))*INDEX(Inputs!$K$5:$AJ$140,0,MATCH(AH$2,Inputs!$K$4:$AJ$4,0)))+SUMPRODUCT((Inputs!$C$5:$C$140=$B31)*Inputs!$D$5:$D$140*(((Inputs!$G$5:$G$140="moeda")+(Inputs!$G$5:$G$140="acoes"))*Inputs!$B$1+((Inputs!$G$5:$G$140&lt;&gt;"moeda")*(Inputs!$G$5:$G$140&lt;&gt;"acoes")))*INDEX(Inputs!$K$5:$AJ$140,0,MATCH(AH$2,Inputs!$K$4:$AJ$4,0)))+SUMPRODUCT((Inputs!$E$5:$E$140=$B31)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1" s="6">
        <f>IF(ISNA(MATCH(AI$2,Inputs!$K$4:$AJ$4,0)),NA(),IF(SUMPRODUCT((Inputs!$A$5:$A$140=$B31)*ISNUMBER(INDEX(Inputs!$K$5:$AJ$140,0,MATCH(AI$2,Inputs!$K$4:$AJ$4,0))))+SUMPRODUCT((Inputs!$C$5:$C$140=$B31)*ISNUMBER(INDEX(Inputs!$K$5:$AJ$140,0,MATCH(AI$2,Inputs!$K$4:$AJ$4,0))))+SUMPRODUCT((Inputs!$E$5:$E$140=$B31)*ISNUMBER(INDEX(Inputs!$K$5:$AJ$140,0,MATCH(AI$2,Inputs!$K$4:$AJ$4,0))))=0,NA(),SUMPRODUCT((Inputs!$A$5:$A$140=$B31)*Inputs!$B$5:$B$140*(((Inputs!$G$5:$G$140="moeda")+(Inputs!$G$5:$G$140="acoes"))*Inputs!$B$1+((Inputs!$G$5:$G$140&lt;&gt;"moeda")*(Inputs!$G$5:$G$140&lt;&gt;"acoes")))*INDEX(Inputs!$K$5:$AJ$140,0,MATCH(AI$2,Inputs!$K$4:$AJ$4,0)))+SUMPRODUCT((Inputs!$C$5:$C$140=$B31)*Inputs!$D$5:$D$140*(((Inputs!$G$5:$G$140="moeda")+(Inputs!$G$5:$G$140="acoes"))*Inputs!$B$1+((Inputs!$G$5:$G$140&lt;&gt;"moeda")*(Inputs!$G$5:$G$140&lt;&gt;"acoes")))*INDEX(Inputs!$K$5:$AJ$140,0,MATCH(AI$2,Inputs!$K$4:$AJ$4,0)))+SUMPRODUCT((Inputs!$E$5:$E$140=$B31)*Inputs!$F$5:$F$140*(((Inputs!$G$5:$G$140="moeda")+(Inputs!$G$5:$G$140="acoes"))*Inputs!$B$1+((Inputs!$G$5:$G$140&lt;&gt;"moeda")*(Inputs!$G$5:$G$140&lt;&gt;"acoes")))*INDEX(Inputs!$K$5:$AJ$140,0,MATCH(AI$2,Inputs!$K$4:$AJ$4,0)))))</f>
        <v>54.547</v>
      </c>
      <c r="AJ31" s="6">
        <f>IF(ISNA(MATCH(AJ$2,Inputs!$K$4:$AJ$4,0)),NA(),IF(SUMPRODUCT((Inputs!$A$5:$A$140=$B31)*ISNUMBER(INDEX(Inputs!$K$5:$AJ$140,0,MATCH(AJ$2,Inputs!$K$4:$AJ$4,0))))+SUMPRODUCT((Inputs!$C$5:$C$140=$B31)*ISNUMBER(INDEX(Inputs!$K$5:$AJ$140,0,MATCH(AJ$2,Inputs!$K$4:$AJ$4,0))))+SUMPRODUCT((Inputs!$E$5:$E$140=$B31)*ISNUMBER(INDEX(Inputs!$K$5:$AJ$140,0,MATCH(AJ$2,Inputs!$K$4:$AJ$4,0))))=0,NA(),SUMPRODUCT((Inputs!$A$5:$A$140=$B31)*Inputs!$B$5:$B$140*(((Inputs!$G$5:$G$140="moeda")+(Inputs!$G$5:$G$140="acoes"))*Inputs!$B$1+((Inputs!$G$5:$G$140&lt;&gt;"moeda")*(Inputs!$G$5:$G$140&lt;&gt;"acoes")))*INDEX(Inputs!$K$5:$AJ$140,0,MATCH(AJ$2,Inputs!$K$4:$AJ$4,0)))+SUMPRODUCT((Inputs!$C$5:$C$140=$B31)*Inputs!$D$5:$D$140*(((Inputs!$G$5:$G$140="moeda")+(Inputs!$G$5:$G$140="acoes"))*Inputs!$B$1+((Inputs!$G$5:$G$140&lt;&gt;"moeda")*(Inputs!$G$5:$G$140&lt;&gt;"acoes")))*INDEX(Inputs!$K$5:$AJ$140,0,MATCH(AJ$2,Inputs!$K$4:$AJ$4,0)))+SUMPRODUCT((Inputs!$E$5:$E$140=$B31)*Inputs!$F$5:$F$140*(((Inputs!$G$5:$G$140="moeda")+(Inputs!$G$5:$G$140="acoes"))*Inputs!$B$1+((Inputs!$G$5:$G$140&lt;&gt;"moeda")*(Inputs!$G$5:$G$140&lt;&gt;"acoes")))*INDEX(Inputs!$K$5:$AJ$140,0,MATCH(AJ$2,Inputs!$K$4:$AJ$4,0)))))</f>
        <v>2.90834062</v>
      </c>
      <c r="AK31" s="6">
        <f>IF(ISNA(MATCH(AK$2,Inputs!$K$4:$AJ$4,0)),NA(),IF(SUMPRODUCT((Inputs!$A$5:$A$140=$B31)*ISNUMBER(INDEX(Inputs!$K$5:$AJ$140,0,MATCH(AK$2,Inputs!$K$4:$AJ$4,0))))+SUMPRODUCT((Inputs!$C$5:$C$140=$B31)*ISNUMBER(INDEX(Inputs!$K$5:$AJ$140,0,MATCH(AK$2,Inputs!$K$4:$AJ$4,0))))+SUMPRODUCT((Inputs!$E$5:$E$140=$B31)*ISNUMBER(INDEX(Inputs!$K$5:$AJ$140,0,MATCH(AK$2,Inputs!$K$4:$AJ$4,0))))=0,NA(),SUMPRODUCT((Inputs!$A$5:$A$140=$B31)*Inputs!$B$5:$B$140*(((Inputs!$G$5:$G$140="moeda")+(Inputs!$G$5:$G$140="acoes"))*Inputs!$B$1+((Inputs!$G$5:$G$140&lt;&gt;"moeda")*(Inputs!$G$5:$G$140&lt;&gt;"acoes")))*INDEX(Inputs!$K$5:$AJ$140,0,MATCH(AK$2,Inputs!$K$4:$AJ$4,0)))+SUMPRODUCT((Inputs!$C$5:$C$140=$B31)*Inputs!$D$5:$D$140*(((Inputs!$G$5:$G$140="moeda")+(Inputs!$G$5:$G$140="acoes"))*Inputs!$B$1+((Inputs!$G$5:$G$140&lt;&gt;"moeda")*(Inputs!$G$5:$G$140&lt;&gt;"acoes")))*INDEX(Inputs!$K$5:$AJ$140,0,MATCH(AK$2,Inputs!$K$4:$AJ$4,0)))+SUMPRODUCT((Inputs!$E$5:$E$140=$B31)*Inputs!$F$5:$F$140*(((Inputs!$G$5:$G$140="moeda")+(Inputs!$G$5:$G$140="acoes"))*Inputs!$B$1+((Inputs!$G$5:$G$140&lt;&gt;"moeda")*(Inputs!$G$5:$G$140&lt;&gt;"acoes")))*INDEX(Inputs!$K$5:$AJ$140,0,MATCH(AK$2,Inputs!$K$4:$AJ$4,0)))))</f>
        <v>6.7870716</v>
      </c>
      <c r="AL31" s="3">
        <f>AK31</f>
        <v>6.7870716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$140=$B32)*ISNUMBER(INDEX(Inputs!$K$5:$AJ$140,0,MATCH(D$2,Inputs!$K$4:$AJ$4,0))))+SUMPRODUCT((Inputs!$C$5:$C$140=$B32)*ISNUMBER(INDEX(Inputs!$K$5:$AJ$140,0,MATCH(D$2,Inputs!$K$4:$AJ$4,0))))+SUMPRODUCT((Inputs!$E$5:$E$140=$B32)*ISNUMBER(INDEX(Inputs!$K$5:$AJ$140,0,MATCH(D$2,Inputs!$K$4:$AJ$4,0))))=0,NA(),SUMPRODUCT((Inputs!$A$5:$A$140=$B32)*Inputs!$B$5:$B$140*(((Inputs!$G$5:$G$140="moeda")+(Inputs!$G$5:$G$140="acoes"))*Inputs!$B$1+((Inputs!$G$5:$G$140&lt;&gt;"moeda")*(Inputs!$G$5:$G$140&lt;&gt;"acoes")))*INDEX(Inputs!$K$5:$AJ$140,0,MATCH(D$2,Inputs!$K$4:$AJ$4,0)))+SUMPRODUCT((Inputs!$C$5:$C$140=$B32)*Inputs!$D$5:$D$140*(((Inputs!$G$5:$G$140="moeda")+(Inputs!$G$5:$G$140="acoes"))*Inputs!$B$1+((Inputs!$G$5:$G$140&lt;&gt;"moeda")*(Inputs!$G$5:$G$140&lt;&gt;"acoes")))*INDEX(Inputs!$K$5:$AJ$140,0,MATCH(D$2,Inputs!$K$4:$AJ$4,0)))+SUMPRODUCT((Inputs!$E$5:$E$140=$B32)*Inputs!$F$5:$F$140*(((Inputs!$G$5:$G$140="moeda")+(Inputs!$G$5:$G$140="acoes"))*Inputs!$B$1+((Inputs!$G$5:$G$140&lt;&gt;"moeda")*(Inputs!$G$5:$G$140&lt;&gt;"acoes")))*INDEX(Inputs!$K$5:$AJ$140,0,MATCH(D$2,Inputs!$K$4:$AJ$4,0)))))</f>
        <v>89.70997532</v>
      </c>
      <c r="E32" s="6">
        <f>IF(ISNA(MATCH(E$2,Inputs!$K$4:$AJ$4,0)),NA(),IF(SUMPRODUCT((Inputs!$A$5:$A$140=$B32)*ISNUMBER(INDEX(Inputs!$K$5:$AJ$140,0,MATCH(E$2,Inputs!$K$4:$AJ$4,0))))+SUMPRODUCT((Inputs!$C$5:$C$140=$B32)*ISNUMBER(INDEX(Inputs!$K$5:$AJ$140,0,MATCH(E$2,Inputs!$K$4:$AJ$4,0))))+SUMPRODUCT((Inputs!$E$5:$E$140=$B32)*ISNUMBER(INDEX(Inputs!$K$5:$AJ$140,0,MATCH(E$2,Inputs!$K$4:$AJ$4,0))))=0,NA(),SUMPRODUCT((Inputs!$A$5:$A$140=$B32)*Inputs!$B$5:$B$140*(((Inputs!$G$5:$G$140="moeda")+(Inputs!$G$5:$G$140="acoes"))*Inputs!$B$1+((Inputs!$G$5:$G$140&lt;&gt;"moeda")*(Inputs!$G$5:$G$140&lt;&gt;"acoes")))*INDEX(Inputs!$K$5:$AJ$140,0,MATCH(E$2,Inputs!$K$4:$AJ$4,0)))+SUMPRODUCT((Inputs!$C$5:$C$140=$B32)*Inputs!$D$5:$D$140*(((Inputs!$G$5:$G$140="moeda")+(Inputs!$G$5:$G$140="acoes"))*Inputs!$B$1+((Inputs!$G$5:$G$140&lt;&gt;"moeda")*(Inputs!$G$5:$G$140&lt;&gt;"acoes")))*INDEX(Inputs!$K$5:$AJ$140,0,MATCH(E$2,Inputs!$K$4:$AJ$4,0)))+SUMPRODUCT((Inputs!$E$5:$E$140=$B32)*Inputs!$F$5:$F$140*(((Inputs!$G$5:$G$140="moeda")+(Inputs!$G$5:$G$140="acoes"))*Inputs!$B$1+((Inputs!$G$5:$G$140&lt;&gt;"moeda")*(Inputs!$G$5:$G$140&lt;&gt;"acoes")))*INDEX(Inputs!$K$5:$AJ$140,0,MATCH(E$2,Inputs!$K$4:$AJ$4,0)))))</f>
        <v>88.93405342</v>
      </c>
      <c r="F32" s="6">
        <f>IF(ISNA(MATCH(F$2,Inputs!$K$4:$AJ$4,0)),NA(),IF(SUMPRODUCT((Inputs!$A$5:$A$140=$B32)*ISNUMBER(INDEX(Inputs!$K$5:$AJ$140,0,MATCH(F$2,Inputs!$K$4:$AJ$4,0))))+SUMPRODUCT((Inputs!$C$5:$C$140=$B32)*ISNUMBER(INDEX(Inputs!$K$5:$AJ$140,0,MATCH(F$2,Inputs!$K$4:$AJ$4,0))))+SUMPRODUCT((Inputs!$E$5:$E$140=$B32)*ISNUMBER(INDEX(Inputs!$K$5:$AJ$140,0,MATCH(F$2,Inputs!$K$4:$AJ$4,0))))=0,NA(),SUMPRODUCT((Inputs!$A$5:$A$140=$B32)*Inputs!$B$5:$B$140*(((Inputs!$G$5:$G$140="moeda")+(Inputs!$G$5:$G$140="acoes"))*Inputs!$B$1+((Inputs!$G$5:$G$140&lt;&gt;"moeda")*(Inputs!$G$5:$G$140&lt;&gt;"acoes")))*INDEX(Inputs!$K$5:$AJ$140,0,MATCH(F$2,Inputs!$K$4:$AJ$4,0)))+SUMPRODUCT((Inputs!$C$5:$C$140=$B32)*Inputs!$D$5:$D$140*(((Inputs!$G$5:$G$140="moeda")+(Inputs!$G$5:$G$140="acoes"))*Inputs!$B$1+((Inputs!$G$5:$G$140&lt;&gt;"moeda")*(Inputs!$G$5:$G$140&lt;&gt;"acoes")))*INDEX(Inputs!$K$5:$AJ$140,0,MATCH(F$2,Inputs!$K$4:$AJ$4,0)))+SUMPRODUCT((Inputs!$E$5:$E$140=$B32)*Inputs!$F$5:$F$140*(((Inputs!$G$5:$G$140="moeda")+(Inputs!$G$5:$G$140="acoes"))*Inputs!$B$1+((Inputs!$G$5:$G$140&lt;&gt;"moeda")*(Inputs!$G$5:$G$140&lt;&gt;"acoes")))*INDEX(Inputs!$K$5:$AJ$140,0,MATCH(F$2,Inputs!$K$4:$AJ$4,0)))))</f>
        <v>86.364</v>
      </c>
      <c r="G32" s="6">
        <f>IF(ISNA(MATCH(G$2,Inputs!$K$4:$AJ$4,0)),NA(),IF(SUMPRODUCT((Inputs!$A$5:$A$140=$B32)*ISNUMBER(INDEX(Inputs!$K$5:$AJ$140,0,MATCH(G$2,Inputs!$K$4:$AJ$4,0))))+SUMPRODUCT((Inputs!$C$5:$C$140=$B32)*ISNUMBER(INDEX(Inputs!$K$5:$AJ$140,0,MATCH(G$2,Inputs!$K$4:$AJ$4,0))))+SUMPRODUCT((Inputs!$E$5:$E$140=$B32)*ISNUMBER(INDEX(Inputs!$K$5:$AJ$140,0,MATCH(G$2,Inputs!$K$4:$AJ$4,0))))=0,NA(),SUMPRODUCT((Inputs!$A$5:$A$140=$B32)*Inputs!$B$5:$B$140*(((Inputs!$G$5:$G$140="moeda")+(Inputs!$G$5:$G$140="acoes"))*Inputs!$B$1+((Inputs!$G$5:$G$140&lt;&gt;"moeda")*(Inputs!$G$5:$G$140&lt;&gt;"acoes")))*INDEX(Inputs!$K$5:$AJ$140,0,MATCH(G$2,Inputs!$K$4:$AJ$4,0)))+SUMPRODUCT((Inputs!$C$5:$C$140=$B32)*Inputs!$D$5:$D$140*(((Inputs!$G$5:$G$140="moeda")+(Inputs!$G$5:$G$140="acoes"))*Inputs!$B$1+((Inputs!$G$5:$G$140&lt;&gt;"moeda")*(Inputs!$G$5:$G$140&lt;&gt;"acoes")))*INDEX(Inputs!$K$5:$AJ$140,0,MATCH(G$2,Inputs!$K$4:$AJ$4,0)))+SUMPRODUCT((Inputs!$E$5:$E$140=$B32)*Inputs!$F$5:$F$140*(((Inputs!$G$5:$G$140="moeda")+(Inputs!$G$5:$G$140="acoes"))*Inputs!$B$1+((Inputs!$G$5:$G$140&lt;&gt;"moeda")*(Inputs!$G$5:$G$140&lt;&gt;"acoes")))*INDEX(Inputs!$K$5:$AJ$140,0,MATCH(G$2,Inputs!$K$4:$AJ$4,0)))))</f>
        <v>172.832</v>
      </c>
      <c r="H32" s="3">
        <f>G32</f>
        <v>172.832</v>
      </c>
      <c r="I32" s="6">
        <f>IF(ISNA(MATCH(I$2,Inputs!$K$4:$AJ$4,0)),NA(),IF(SUMPRODUCT((Inputs!$A$5:$A$140=$B32)*ISNUMBER(INDEX(Inputs!$K$5:$AJ$140,0,MATCH(I$2,Inputs!$K$4:$AJ$4,0))))+SUMPRODUCT((Inputs!$C$5:$C$140=$B32)*ISNUMBER(INDEX(Inputs!$K$5:$AJ$140,0,MATCH(I$2,Inputs!$K$4:$AJ$4,0))))+SUMPRODUCT((Inputs!$E$5:$E$140=$B32)*ISNUMBER(INDEX(Inputs!$K$5:$AJ$140,0,MATCH(I$2,Inputs!$K$4:$AJ$4,0))))=0,NA(),SUMPRODUCT((Inputs!$A$5:$A$140=$B32)*Inputs!$B$5:$B$140*(((Inputs!$G$5:$G$140="moeda")+(Inputs!$G$5:$G$140="acoes"))*Inputs!$B$1+((Inputs!$G$5:$G$140&lt;&gt;"moeda")*(Inputs!$G$5:$G$140&lt;&gt;"acoes")))*INDEX(Inputs!$K$5:$AJ$140,0,MATCH(I$2,Inputs!$K$4:$AJ$4,0)))+SUMPRODUCT((Inputs!$C$5:$C$140=$B32)*Inputs!$D$5:$D$140*(((Inputs!$G$5:$G$140="moeda")+(Inputs!$G$5:$G$140="acoes"))*Inputs!$B$1+((Inputs!$G$5:$G$140&lt;&gt;"moeda")*(Inputs!$G$5:$G$140&lt;&gt;"acoes")))*INDEX(Inputs!$K$5:$AJ$140,0,MATCH(I$2,Inputs!$K$4:$AJ$4,0)))+SUMPRODUCT((Inputs!$E$5:$E$140=$B32)*Inputs!$F$5:$F$140*(((Inputs!$G$5:$G$140="moeda")+(Inputs!$G$5:$G$140="acoes"))*Inputs!$B$1+((Inputs!$G$5:$G$140&lt;&gt;"moeda")*(Inputs!$G$5:$G$140&lt;&gt;"acoes")))*INDEX(Inputs!$K$5:$AJ$140,0,MATCH(I$2,Inputs!$K$4:$AJ$4,0)))))</f>
        <v>174.013</v>
      </c>
      <c r="J32" s="6">
        <f>IF(ISNA(MATCH(J$2,Inputs!$K$4:$AJ$4,0)),NA(),IF(SUMPRODUCT((Inputs!$A$5:$A$140=$B32)*ISNUMBER(INDEX(Inputs!$K$5:$AJ$140,0,MATCH(J$2,Inputs!$K$4:$AJ$4,0))))+SUMPRODUCT((Inputs!$C$5:$C$140=$B32)*ISNUMBER(INDEX(Inputs!$K$5:$AJ$140,0,MATCH(J$2,Inputs!$K$4:$AJ$4,0))))+SUMPRODUCT((Inputs!$E$5:$E$140=$B32)*ISNUMBER(INDEX(Inputs!$K$5:$AJ$140,0,MATCH(J$2,Inputs!$K$4:$AJ$4,0))))=0,NA(),SUMPRODUCT((Inputs!$A$5:$A$140=$B32)*Inputs!$B$5:$B$140*(((Inputs!$G$5:$G$140="moeda")+(Inputs!$G$5:$G$140="acoes"))*Inputs!$B$1+((Inputs!$G$5:$G$140&lt;&gt;"moeda")*(Inputs!$G$5:$G$140&lt;&gt;"acoes")))*INDEX(Inputs!$K$5:$AJ$140,0,MATCH(J$2,Inputs!$K$4:$AJ$4,0)))+SUMPRODUCT((Inputs!$C$5:$C$140=$B32)*Inputs!$D$5:$D$140*(((Inputs!$G$5:$G$140="moeda")+(Inputs!$G$5:$G$140="acoes"))*Inputs!$B$1+((Inputs!$G$5:$G$140&lt;&gt;"moeda")*(Inputs!$G$5:$G$140&lt;&gt;"acoes")))*INDEX(Inputs!$K$5:$AJ$140,0,MATCH(J$2,Inputs!$K$4:$AJ$4,0)))+SUMPRODUCT((Inputs!$E$5:$E$140=$B32)*Inputs!$F$5:$F$140*(((Inputs!$G$5:$G$140="moeda")+(Inputs!$G$5:$G$140="acoes"))*Inputs!$B$1+((Inputs!$G$5:$G$140&lt;&gt;"moeda")*(Inputs!$G$5:$G$140&lt;&gt;"acoes")))*INDEX(Inputs!$K$5:$AJ$140,0,MATCH(J$2,Inputs!$K$4:$AJ$4,0)))))</f>
        <v>187.278</v>
      </c>
      <c r="K32" s="6">
        <f>IF(ISNA(MATCH(K$2,Inputs!$K$4:$AJ$4,0)),NA(),IF(SUMPRODUCT((Inputs!$A$5:$A$140=$B32)*ISNUMBER(INDEX(Inputs!$K$5:$AJ$140,0,MATCH(K$2,Inputs!$K$4:$AJ$4,0))))+SUMPRODUCT((Inputs!$C$5:$C$140=$B32)*ISNUMBER(INDEX(Inputs!$K$5:$AJ$140,0,MATCH(K$2,Inputs!$K$4:$AJ$4,0))))+SUMPRODUCT((Inputs!$E$5:$E$140=$B32)*ISNUMBER(INDEX(Inputs!$K$5:$AJ$140,0,MATCH(K$2,Inputs!$K$4:$AJ$4,0))))=0,NA(),SUMPRODUCT((Inputs!$A$5:$A$140=$B32)*Inputs!$B$5:$B$140*(((Inputs!$G$5:$G$140="moeda")+(Inputs!$G$5:$G$140="acoes"))*Inputs!$B$1+((Inputs!$G$5:$G$140&lt;&gt;"moeda")*(Inputs!$G$5:$G$140&lt;&gt;"acoes")))*INDEX(Inputs!$K$5:$AJ$140,0,MATCH(K$2,Inputs!$K$4:$AJ$4,0)))+SUMPRODUCT((Inputs!$C$5:$C$140=$B32)*Inputs!$D$5:$D$140*(((Inputs!$G$5:$G$140="moeda")+(Inputs!$G$5:$G$140="acoes"))*Inputs!$B$1+((Inputs!$G$5:$G$140&lt;&gt;"moeda")*(Inputs!$G$5:$G$140&lt;&gt;"acoes")))*INDEX(Inputs!$K$5:$AJ$140,0,MATCH(K$2,Inputs!$K$4:$AJ$4,0)))+SUMPRODUCT((Inputs!$E$5:$E$140=$B32)*Inputs!$F$5:$F$140*(((Inputs!$G$5:$G$140="moeda")+(Inputs!$G$5:$G$140="acoes"))*Inputs!$B$1+((Inputs!$G$5:$G$140&lt;&gt;"moeda")*(Inputs!$G$5:$G$140&lt;&gt;"acoes")))*INDEX(Inputs!$K$5:$AJ$140,0,MATCH(K$2,Inputs!$K$4:$AJ$4,0)))))</f>
        <v>191.156</v>
      </c>
      <c r="L32" s="6">
        <f>IF(ISNA(MATCH(L$2,Inputs!$K$4:$AJ$4,0)),NA(),IF(SUMPRODUCT((Inputs!$A$5:$A$140=$B32)*ISNUMBER(INDEX(Inputs!$K$5:$AJ$140,0,MATCH(L$2,Inputs!$K$4:$AJ$4,0))))+SUMPRODUCT((Inputs!$C$5:$C$140=$B32)*ISNUMBER(INDEX(Inputs!$K$5:$AJ$140,0,MATCH(L$2,Inputs!$K$4:$AJ$4,0))))+SUMPRODUCT((Inputs!$E$5:$E$140=$B32)*ISNUMBER(INDEX(Inputs!$K$5:$AJ$140,0,MATCH(L$2,Inputs!$K$4:$AJ$4,0))))=0,NA(),SUMPRODUCT((Inputs!$A$5:$A$140=$B32)*Inputs!$B$5:$B$140*(((Inputs!$G$5:$G$140="moeda")+(Inputs!$G$5:$G$140="acoes"))*Inputs!$B$1+((Inputs!$G$5:$G$140&lt;&gt;"moeda")*(Inputs!$G$5:$G$140&lt;&gt;"acoes")))*INDEX(Inputs!$K$5:$AJ$140,0,MATCH(L$2,Inputs!$K$4:$AJ$4,0)))+SUMPRODUCT((Inputs!$C$5:$C$140=$B32)*Inputs!$D$5:$D$140*(((Inputs!$G$5:$G$140="moeda")+(Inputs!$G$5:$G$140="acoes"))*Inputs!$B$1+((Inputs!$G$5:$G$140&lt;&gt;"moeda")*(Inputs!$G$5:$G$140&lt;&gt;"acoes")))*INDEX(Inputs!$K$5:$AJ$140,0,MATCH(L$2,Inputs!$K$4:$AJ$4,0)))+SUMPRODUCT((Inputs!$E$5:$E$140=$B32)*Inputs!$F$5:$F$140*(((Inputs!$G$5:$G$140="moeda")+(Inputs!$G$5:$G$140="acoes"))*Inputs!$B$1+((Inputs!$G$5:$G$140&lt;&gt;"moeda")*(Inputs!$G$5:$G$140&lt;&gt;"acoes")))*INDEX(Inputs!$K$5:$AJ$140,0,MATCH(L$2,Inputs!$K$4:$AJ$4,0)))))</f>
        <v>192.831</v>
      </c>
      <c r="M32" s="3">
        <f>L32</f>
        <v>192.831</v>
      </c>
      <c r="N32" s="6">
        <f>IF(ISNA(MATCH(N$2,Inputs!$K$4:$AJ$4,0)),NA(),IF(SUMPRODUCT((Inputs!$A$5:$A$140=$B32)*ISNUMBER(INDEX(Inputs!$K$5:$AJ$140,0,MATCH(N$2,Inputs!$K$4:$AJ$4,0))))+SUMPRODUCT((Inputs!$C$5:$C$140=$B32)*ISNUMBER(INDEX(Inputs!$K$5:$AJ$140,0,MATCH(N$2,Inputs!$K$4:$AJ$4,0))))+SUMPRODUCT((Inputs!$E$5:$E$140=$B32)*ISNUMBER(INDEX(Inputs!$K$5:$AJ$140,0,MATCH(N$2,Inputs!$K$4:$AJ$4,0))))=0,NA(),SUMPRODUCT((Inputs!$A$5:$A$140=$B32)*Inputs!$B$5:$B$140*(((Inputs!$G$5:$G$140="moeda")+(Inputs!$G$5:$G$140="acoes"))*Inputs!$B$1+((Inputs!$G$5:$G$140&lt;&gt;"moeda")*(Inputs!$G$5:$G$140&lt;&gt;"acoes")))*INDEX(Inputs!$K$5:$AJ$140,0,MATCH(N$2,Inputs!$K$4:$AJ$4,0)))+SUMPRODUCT((Inputs!$C$5:$C$140=$B32)*Inputs!$D$5:$D$140*(((Inputs!$G$5:$G$140="moeda")+(Inputs!$G$5:$G$140="acoes"))*Inputs!$B$1+((Inputs!$G$5:$G$140&lt;&gt;"moeda")*(Inputs!$G$5:$G$140&lt;&gt;"acoes")))*INDEX(Inputs!$K$5:$AJ$140,0,MATCH(N$2,Inputs!$K$4:$AJ$4,0)))+SUMPRODUCT((Inputs!$E$5:$E$140=$B32)*Inputs!$F$5:$F$140*(((Inputs!$G$5:$G$140="moeda")+(Inputs!$G$5:$G$140="acoes"))*Inputs!$B$1+((Inputs!$G$5:$G$140&lt;&gt;"moeda")*(Inputs!$G$5:$G$140&lt;&gt;"acoes")))*INDEX(Inputs!$K$5:$AJ$140,0,MATCH(N$2,Inputs!$K$4:$AJ$4,0)))))</f>
        <v>192.11</v>
      </c>
      <c r="O32" s="6">
        <f>IF(ISNA(MATCH(O$2,Inputs!$K$4:$AJ$4,0)),NA(),IF(SUMPRODUCT((Inputs!$A$5:$A$140=$B32)*ISNUMBER(INDEX(Inputs!$K$5:$AJ$140,0,MATCH(O$2,Inputs!$K$4:$AJ$4,0))))+SUMPRODUCT((Inputs!$C$5:$C$140=$B32)*ISNUMBER(INDEX(Inputs!$K$5:$AJ$140,0,MATCH(O$2,Inputs!$K$4:$AJ$4,0))))+SUMPRODUCT((Inputs!$E$5:$E$140=$B32)*ISNUMBER(INDEX(Inputs!$K$5:$AJ$140,0,MATCH(O$2,Inputs!$K$4:$AJ$4,0))))=0,NA(),SUMPRODUCT((Inputs!$A$5:$A$140=$B32)*Inputs!$B$5:$B$140*(((Inputs!$G$5:$G$140="moeda")+(Inputs!$G$5:$G$140="acoes"))*Inputs!$B$1+((Inputs!$G$5:$G$140&lt;&gt;"moeda")*(Inputs!$G$5:$G$140&lt;&gt;"acoes")))*INDEX(Inputs!$K$5:$AJ$140,0,MATCH(O$2,Inputs!$K$4:$AJ$4,0)))+SUMPRODUCT((Inputs!$C$5:$C$140=$B32)*Inputs!$D$5:$D$140*(((Inputs!$G$5:$G$140="moeda")+(Inputs!$G$5:$G$140="acoes"))*Inputs!$B$1+((Inputs!$G$5:$G$140&lt;&gt;"moeda")*(Inputs!$G$5:$G$140&lt;&gt;"acoes")))*INDEX(Inputs!$K$5:$AJ$140,0,MATCH(O$2,Inputs!$K$4:$AJ$4,0)))+SUMPRODUCT((Inputs!$E$5:$E$140=$B32)*Inputs!$F$5:$F$140*(((Inputs!$G$5:$G$140="moeda")+(Inputs!$G$5:$G$140="acoes"))*Inputs!$B$1+((Inputs!$G$5:$G$140&lt;&gt;"moeda")*(Inputs!$G$5:$G$140&lt;&gt;"acoes")))*INDEX(Inputs!$K$5:$AJ$140,0,MATCH(O$2,Inputs!$K$4:$AJ$4,0)))))</f>
        <v>216.191</v>
      </c>
      <c r="P32" s="6">
        <f>IF(ISNA(MATCH(P$2,Inputs!$K$4:$AJ$4,0)),NA(),IF(SUMPRODUCT((Inputs!$A$5:$A$140=$B32)*ISNUMBER(INDEX(Inputs!$K$5:$AJ$140,0,MATCH(P$2,Inputs!$K$4:$AJ$4,0))))+SUMPRODUCT((Inputs!$C$5:$C$140=$B32)*ISNUMBER(INDEX(Inputs!$K$5:$AJ$140,0,MATCH(P$2,Inputs!$K$4:$AJ$4,0))))+SUMPRODUCT((Inputs!$E$5:$E$140=$B32)*ISNUMBER(INDEX(Inputs!$K$5:$AJ$140,0,MATCH(P$2,Inputs!$K$4:$AJ$4,0))))=0,NA(),SUMPRODUCT((Inputs!$A$5:$A$140=$B32)*Inputs!$B$5:$B$140*(((Inputs!$G$5:$G$140="moeda")+(Inputs!$G$5:$G$140="acoes"))*Inputs!$B$1+((Inputs!$G$5:$G$140&lt;&gt;"moeda")*(Inputs!$G$5:$G$140&lt;&gt;"acoes")))*INDEX(Inputs!$K$5:$AJ$140,0,MATCH(P$2,Inputs!$K$4:$AJ$4,0)))+SUMPRODUCT((Inputs!$C$5:$C$140=$B32)*Inputs!$D$5:$D$140*(((Inputs!$G$5:$G$140="moeda")+(Inputs!$G$5:$G$140="acoes"))*Inputs!$B$1+((Inputs!$G$5:$G$140&lt;&gt;"moeda")*(Inputs!$G$5:$G$140&lt;&gt;"acoes")))*INDEX(Inputs!$K$5:$AJ$140,0,MATCH(P$2,Inputs!$K$4:$AJ$4,0)))+SUMPRODUCT((Inputs!$E$5:$E$140=$B32)*Inputs!$F$5:$F$140*(((Inputs!$G$5:$G$140="moeda")+(Inputs!$G$5:$G$140="acoes"))*Inputs!$B$1+((Inputs!$G$5:$G$140&lt;&gt;"moeda")*(Inputs!$G$5:$G$140&lt;&gt;"acoes")))*INDEX(Inputs!$K$5:$AJ$140,0,MATCH(P$2,Inputs!$K$4:$AJ$4,0)))))</f>
        <v>231.929</v>
      </c>
      <c r="Q32" s="6">
        <f>IF(ISNA(MATCH(Q$2,Inputs!$K$4:$AJ$4,0)),NA(),IF(SUMPRODUCT((Inputs!$A$5:$A$140=$B32)*ISNUMBER(INDEX(Inputs!$K$5:$AJ$140,0,MATCH(Q$2,Inputs!$K$4:$AJ$4,0))))+SUMPRODUCT((Inputs!$C$5:$C$140=$B32)*ISNUMBER(INDEX(Inputs!$K$5:$AJ$140,0,MATCH(Q$2,Inputs!$K$4:$AJ$4,0))))+SUMPRODUCT((Inputs!$E$5:$E$140=$B32)*ISNUMBER(INDEX(Inputs!$K$5:$AJ$140,0,MATCH(Q$2,Inputs!$K$4:$AJ$4,0))))=0,NA(),SUMPRODUCT((Inputs!$A$5:$A$140=$B32)*Inputs!$B$5:$B$140*(((Inputs!$G$5:$G$140="moeda")+(Inputs!$G$5:$G$140="acoes"))*Inputs!$B$1+((Inputs!$G$5:$G$140&lt;&gt;"moeda")*(Inputs!$G$5:$G$140&lt;&gt;"acoes")))*INDEX(Inputs!$K$5:$AJ$140,0,MATCH(Q$2,Inputs!$K$4:$AJ$4,0)))+SUMPRODUCT((Inputs!$C$5:$C$140=$B32)*Inputs!$D$5:$D$140*(((Inputs!$G$5:$G$140="moeda")+(Inputs!$G$5:$G$140="acoes"))*Inputs!$B$1+((Inputs!$G$5:$G$140&lt;&gt;"moeda")*(Inputs!$G$5:$G$140&lt;&gt;"acoes")))*INDEX(Inputs!$K$5:$AJ$140,0,MATCH(Q$2,Inputs!$K$4:$AJ$4,0)))+SUMPRODUCT((Inputs!$E$5:$E$140=$B32)*Inputs!$F$5:$F$140*(((Inputs!$G$5:$G$140="moeda")+(Inputs!$G$5:$G$140="acoes"))*Inputs!$B$1+((Inputs!$G$5:$G$140&lt;&gt;"moeda")*(Inputs!$G$5:$G$140&lt;&gt;"acoes")))*INDEX(Inputs!$K$5:$AJ$140,0,MATCH(Q$2,Inputs!$K$4:$AJ$4,0)))))</f>
        <v>465.402</v>
      </c>
      <c r="R32" s="3">
        <f>Q32</f>
        <v>465.402</v>
      </c>
      <c r="S32" s="6">
        <f>IF(ISNA(MATCH(S$2,Inputs!$K$4:$AJ$4,0)),NA(),IF(SUMPRODUCT((Inputs!$A$5:$A$140=$B32)*ISNUMBER(INDEX(Inputs!$K$5:$AJ$140,0,MATCH(S$2,Inputs!$K$4:$AJ$4,0))))+SUMPRODUCT((Inputs!$C$5:$C$140=$B32)*ISNUMBER(INDEX(Inputs!$K$5:$AJ$140,0,MATCH(S$2,Inputs!$K$4:$AJ$4,0))))+SUMPRODUCT((Inputs!$E$5:$E$140=$B32)*ISNUMBER(INDEX(Inputs!$K$5:$AJ$140,0,MATCH(S$2,Inputs!$K$4:$AJ$4,0))))=0,NA(),SUMPRODUCT((Inputs!$A$5:$A$140=$B32)*Inputs!$B$5:$B$140*(((Inputs!$G$5:$G$140="moeda")+(Inputs!$G$5:$G$140="acoes"))*Inputs!$B$1+((Inputs!$G$5:$G$140&lt;&gt;"moeda")*(Inputs!$G$5:$G$140&lt;&gt;"acoes")))*INDEX(Inputs!$K$5:$AJ$140,0,MATCH(S$2,Inputs!$K$4:$AJ$4,0)))+SUMPRODUCT((Inputs!$C$5:$C$140=$B32)*Inputs!$D$5:$D$140*(((Inputs!$G$5:$G$140="moeda")+(Inputs!$G$5:$G$140="acoes"))*Inputs!$B$1+((Inputs!$G$5:$G$140&lt;&gt;"moeda")*(Inputs!$G$5:$G$140&lt;&gt;"acoes")))*INDEX(Inputs!$K$5:$AJ$140,0,MATCH(S$2,Inputs!$K$4:$AJ$4,0)))+SUMPRODUCT((Inputs!$E$5:$E$140=$B32)*Inputs!$F$5:$F$140*(((Inputs!$G$5:$G$140="moeda")+(Inputs!$G$5:$G$140="acoes"))*Inputs!$B$1+((Inputs!$G$5:$G$140&lt;&gt;"moeda")*(Inputs!$G$5:$G$140&lt;&gt;"acoes")))*INDEX(Inputs!$K$5:$AJ$140,0,MATCH(S$2,Inputs!$K$4:$AJ$4,0)))))</f>
        <v>508.391</v>
      </c>
      <c r="T32" s="6">
        <f>IF(ISNA(MATCH(T$2,Inputs!$K$4:$AJ$4,0)),NA(),IF(SUMPRODUCT((Inputs!$A$5:$A$140=$B32)*ISNUMBER(INDEX(Inputs!$K$5:$AJ$140,0,MATCH(T$2,Inputs!$K$4:$AJ$4,0))))+SUMPRODUCT((Inputs!$C$5:$C$140=$B32)*ISNUMBER(INDEX(Inputs!$K$5:$AJ$140,0,MATCH(T$2,Inputs!$K$4:$AJ$4,0))))+SUMPRODUCT((Inputs!$E$5:$E$140=$B32)*ISNUMBER(INDEX(Inputs!$K$5:$AJ$140,0,MATCH(T$2,Inputs!$K$4:$AJ$4,0))))=0,NA(),SUMPRODUCT((Inputs!$A$5:$A$140=$B32)*Inputs!$B$5:$B$140*(((Inputs!$G$5:$G$140="moeda")+(Inputs!$G$5:$G$140="acoes"))*Inputs!$B$1+((Inputs!$G$5:$G$140&lt;&gt;"moeda")*(Inputs!$G$5:$G$140&lt;&gt;"acoes")))*INDEX(Inputs!$K$5:$AJ$140,0,MATCH(T$2,Inputs!$K$4:$AJ$4,0)))+SUMPRODUCT((Inputs!$C$5:$C$140=$B32)*Inputs!$D$5:$D$140*(((Inputs!$G$5:$G$140="moeda")+(Inputs!$G$5:$G$140="acoes"))*Inputs!$B$1+((Inputs!$G$5:$G$140&lt;&gt;"moeda")*(Inputs!$G$5:$G$140&lt;&gt;"acoes")))*INDEX(Inputs!$K$5:$AJ$140,0,MATCH(T$2,Inputs!$K$4:$AJ$4,0)))+SUMPRODUCT((Inputs!$E$5:$E$140=$B32)*Inputs!$F$5:$F$140*(((Inputs!$G$5:$G$140="moeda")+(Inputs!$G$5:$G$140="acoes"))*Inputs!$B$1+((Inputs!$G$5:$G$140&lt;&gt;"moeda")*(Inputs!$G$5:$G$140&lt;&gt;"acoes")))*INDEX(Inputs!$K$5:$AJ$140,0,MATCH(T$2,Inputs!$K$4:$AJ$4,0)))))</f>
        <v>537.107</v>
      </c>
      <c r="U32" s="6">
        <f>IF(ISNA(MATCH(U$2,Inputs!$K$4:$AJ$4,0)),NA(),IF(SUMPRODUCT((Inputs!$A$5:$A$140=$B32)*ISNUMBER(INDEX(Inputs!$K$5:$AJ$140,0,MATCH(U$2,Inputs!$K$4:$AJ$4,0))))+SUMPRODUCT((Inputs!$C$5:$C$140=$B32)*ISNUMBER(INDEX(Inputs!$K$5:$AJ$140,0,MATCH(U$2,Inputs!$K$4:$AJ$4,0))))+SUMPRODUCT((Inputs!$E$5:$E$140=$B32)*ISNUMBER(INDEX(Inputs!$K$5:$AJ$140,0,MATCH(U$2,Inputs!$K$4:$AJ$4,0))))=0,NA(),SUMPRODUCT((Inputs!$A$5:$A$140=$B32)*Inputs!$B$5:$B$140*(((Inputs!$G$5:$G$140="moeda")+(Inputs!$G$5:$G$140="acoes"))*Inputs!$B$1+((Inputs!$G$5:$G$140&lt;&gt;"moeda")*(Inputs!$G$5:$G$140&lt;&gt;"acoes")))*INDEX(Inputs!$K$5:$AJ$140,0,MATCH(U$2,Inputs!$K$4:$AJ$4,0)))+SUMPRODUCT((Inputs!$C$5:$C$140=$B32)*Inputs!$D$5:$D$140*(((Inputs!$G$5:$G$140="moeda")+(Inputs!$G$5:$G$140="acoes"))*Inputs!$B$1+((Inputs!$G$5:$G$140&lt;&gt;"moeda")*(Inputs!$G$5:$G$140&lt;&gt;"acoes")))*INDEX(Inputs!$K$5:$AJ$140,0,MATCH(U$2,Inputs!$K$4:$AJ$4,0)))+SUMPRODUCT((Inputs!$E$5:$E$140=$B32)*Inputs!$F$5:$F$140*(((Inputs!$G$5:$G$140="moeda")+(Inputs!$G$5:$G$140="acoes"))*Inputs!$B$1+((Inputs!$G$5:$G$140&lt;&gt;"moeda")*(Inputs!$G$5:$G$140&lt;&gt;"acoes")))*INDEX(Inputs!$K$5:$AJ$140,0,MATCH(U$2,Inputs!$K$4:$AJ$4,0)))))</f>
        <v>548.585</v>
      </c>
      <c r="V32" s="6">
        <f>IF(ISNA(MATCH(V$2,Inputs!$K$4:$AJ$4,0)),NA(),IF(SUMPRODUCT((Inputs!$A$5:$A$140=$B32)*ISNUMBER(INDEX(Inputs!$K$5:$AJ$140,0,MATCH(V$2,Inputs!$K$4:$AJ$4,0))))+SUMPRODUCT((Inputs!$C$5:$C$140=$B32)*ISNUMBER(INDEX(Inputs!$K$5:$AJ$140,0,MATCH(V$2,Inputs!$K$4:$AJ$4,0))))+SUMPRODUCT((Inputs!$E$5:$E$140=$B32)*ISNUMBER(INDEX(Inputs!$K$5:$AJ$140,0,MATCH(V$2,Inputs!$K$4:$AJ$4,0))))=0,NA(),SUMPRODUCT((Inputs!$A$5:$A$140=$B32)*Inputs!$B$5:$B$140*(((Inputs!$G$5:$G$140="moeda")+(Inputs!$G$5:$G$140="acoes"))*Inputs!$B$1+((Inputs!$G$5:$G$140&lt;&gt;"moeda")*(Inputs!$G$5:$G$140&lt;&gt;"acoes")))*INDEX(Inputs!$K$5:$AJ$140,0,MATCH(V$2,Inputs!$K$4:$AJ$4,0)))+SUMPRODUCT((Inputs!$C$5:$C$140=$B32)*Inputs!$D$5:$D$140*(((Inputs!$G$5:$G$140="moeda")+(Inputs!$G$5:$G$140="acoes"))*Inputs!$B$1+((Inputs!$G$5:$G$140&lt;&gt;"moeda")*(Inputs!$G$5:$G$140&lt;&gt;"acoes")))*INDEX(Inputs!$K$5:$AJ$140,0,MATCH(V$2,Inputs!$K$4:$AJ$4,0)))+SUMPRODUCT((Inputs!$E$5:$E$140=$B32)*Inputs!$F$5:$F$140*(((Inputs!$G$5:$G$140="moeda")+(Inputs!$G$5:$G$140="acoes"))*Inputs!$B$1+((Inputs!$G$5:$G$140&lt;&gt;"moeda")*(Inputs!$G$5:$G$140&lt;&gt;"acoes")))*INDEX(Inputs!$K$5:$AJ$140,0,MATCH(V$2,Inputs!$K$4:$AJ$4,0)))))</f>
        <v>420.986</v>
      </c>
      <c r="W32" s="3">
        <f>V32</f>
        <v>420.986</v>
      </c>
      <c r="X32" s="6">
        <f>IF(ISNA(MATCH(X$2,Inputs!$K$4:$AJ$4,0)),NA(),IF(SUMPRODUCT((Inputs!$A$5:$A$140=$B32)*ISNUMBER(INDEX(Inputs!$K$5:$AJ$140,0,MATCH(X$2,Inputs!$K$4:$AJ$4,0))))+SUMPRODUCT((Inputs!$C$5:$C$140=$B32)*ISNUMBER(INDEX(Inputs!$K$5:$AJ$140,0,MATCH(X$2,Inputs!$K$4:$AJ$4,0))))+SUMPRODUCT((Inputs!$E$5:$E$140=$B32)*ISNUMBER(INDEX(Inputs!$K$5:$AJ$140,0,MATCH(X$2,Inputs!$K$4:$AJ$4,0))))=0,NA(),SUMPRODUCT((Inputs!$A$5:$A$140=$B32)*Inputs!$B$5:$B$140*(((Inputs!$G$5:$G$140="moeda")+(Inputs!$G$5:$G$140="acoes"))*Inputs!$B$1+((Inputs!$G$5:$G$140&lt;&gt;"moeda")*(Inputs!$G$5:$G$140&lt;&gt;"acoes")))*INDEX(Inputs!$K$5:$AJ$140,0,MATCH(X$2,Inputs!$K$4:$AJ$4,0)))+SUMPRODUCT((Inputs!$C$5:$C$140=$B32)*Inputs!$D$5:$D$140*(((Inputs!$G$5:$G$140="moeda")+(Inputs!$G$5:$G$140="acoes"))*Inputs!$B$1+((Inputs!$G$5:$G$140&lt;&gt;"moeda")*(Inputs!$G$5:$G$140&lt;&gt;"acoes")))*INDEX(Inputs!$K$5:$AJ$140,0,MATCH(X$2,Inputs!$K$4:$AJ$4,0)))+SUMPRODUCT((Inputs!$E$5:$E$140=$B32)*Inputs!$F$5:$F$140*(((Inputs!$G$5:$G$140="moeda")+(Inputs!$G$5:$G$140="acoes"))*Inputs!$B$1+((Inputs!$G$5:$G$140&lt;&gt;"moeda")*(Inputs!$G$5:$G$140&lt;&gt;"acoes")))*INDEX(Inputs!$K$5:$AJ$140,0,MATCH(X$2,Inputs!$K$4:$AJ$4,0)))))</f>
        <v>249.077</v>
      </c>
      <c r="Y32" s="6">
        <f>IF(ISNA(MATCH(Y$2,Inputs!$K$4:$AJ$4,0)),NA(),IF(SUMPRODUCT((Inputs!$A$5:$A$140=$B32)*ISNUMBER(INDEX(Inputs!$K$5:$AJ$140,0,MATCH(Y$2,Inputs!$K$4:$AJ$4,0))))+SUMPRODUCT((Inputs!$C$5:$C$140=$B32)*ISNUMBER(INDEX(Inputs!$K$5:$AJ$140,0,MATCH(Y$2,Inputs!$K$4:$AJ$4,0))))+SUMPRODUCT((Inputs!$E$5:$E$140=$B32)*ISNUMBER(INDEX(Inputs!$K$5:$AJ$140,0,MATCH(Y$2,Inputs!$K$4:$AJ$4,0))))=0,NA(),SUMPRODUCT((Inputs!$A$5:$A$140=$B32)*Inputs!$B$5:$B$140*(((Inputs!$G$5:$G$140="moeda")+(Inputs!$G$5:$G$140="acoes"))*Inputs!$B$1+((Inputs!$G$5:$G$140&lt;&gt;"moeda")*(Inputs!$G$5:$G$140&lt;&gt;"acoes")))*INDEX(Inputs!$K$5:$AJ$140,0,MATCH(Y$2,Inputs!$K$4:$AJ$4,0)))+SUMPRODUCT((Inputs!$C$5:$C$140=$B32)*Inputs!$D$5:$D$140*(((Inputs!$G$5:$G$140="moeda")+(Inputs!$G$5:$G$140="acoes"))*Inputs!$B$1+((Inputs!$G$5:$G$140&lt;&gt;"moeda")*(Inputs!$G$5:$G$140&lt;&gt;"acoes")))*INDEX(Inputs!$K$5:$AJ$140,0,MATCH(Y$2,Inputs!$K$4:$AJ$4,0)))+SUMPRODUCT((Inputs!$E$5:$E$140=$B32)*Inputs!$F$5:$F$140*(((Inputs!$G$5:$G$140="moeda")+(Inputs!$G$5:$G$140="acoes"))*Inputs!$B$1+((Inputs!$G$5:$G$140&lt;&gt;"moeda")*(Inputs!$G$5:$G$140&lt;&gt;"acoes")))*INDEX(Inputs!$K$5:$AJ$140,0,MATCH(Y$2,Inputs!$K$4:$AJ$4,0)))))</f>
        <v>248.593</v>
      </c>
      <c r="Z32" s="6">
        <f>IF(ISNA(MATCH(Z$2,Inputs!$K$4:$AJ$4,0)),NA(),IF(SUMPRODUCT((Inputs!$A$5:$A$140=$B32)*ISNUMBER(INDEX(Inputs!$K$5:$AJ$140,0,MATCH(Z$2,Inputs!$K$4:$AJ$4,0))))+SUMPRODUCT((Inputs!$C$5:$C$140=$B32)*ISNUMBER(INDEX(Inputs!$K$5:$AJ$140,0,MATCH(Z$2,Inputs!$K$4:$AJ$4,0))))+SUMPRODUCT((Inputs!$E$5:$E$140=$B32)*ISNUMBER(INDEX(Inputs!$K$5:$AJ$140,0,MATCH(Z$2,Inputs!$K$4:$AJ$4,0))))=0,NA(),SUMPRODUCT((Inputs!$A$5:$A$140=$B32)*Inputs!$B$5:$B$140*(((Inputs!$G$5:$G$140="moeda")+(Inputs!$G$5:$G$140="acoes"))*Inputs!$B$1+((Inputs!$G$5:$G$140&lt;&gt;"moeda")*(Inputs!$G$5:$G$140&lt;&gt;"acoes")))*INDEX(Inputs!$K$5:$AJ$140,0,MATCH(Z$2,Inputs!$K$4:$AJ$4,0)))+SUMPRODUCT((Inputs!$C$5:$C$140=$B32)*Inputs!$D$5:$D$140*(((Inputs!$G$5:$G$140="moeda")+(Inputs!$G$5:$G$140="acoes"))*Inputs!$B$1+((Inputs!$G$5:$G$140&lt;&gt;"moeda")*(Inputs!$G$5:$G$140&lt;&gt;"acoes")))*INDEX(Inputs!$K$5:$AJ$140,0,MATCH(Z$2,Inputs!$K$4:$AJ$4,0)))+SUMPRODUCT((Inputs!$E$5:$E$140=$B32)*Inputs!$F$5:$F$140*(((Inputs!$G$5:$G$140="moeda")+(Inputs!$G$5:$G$140="acoes"))*Inputs!$B$1+((Inputs!$G$5:$G$140&lt;&gt;"moeda")*(Inputs!$G$5:$G$140&lt;&gt;"acoes")))*INDEX(Inputs!$K$5:$AJ$140,0,MATCH(Z$2,Inputs!$K$4:$AJ$4,0)))))</f>
        <v>535.225</v>
      </c>
      <c r="AA32" s="6">
        <f>IF(ISNA(MATCH(AA$2,Inputs!$K$4:$AJ$4,0)),NA(),IF(SUMPRODUCT((Inputs!$A$5:$A$140=$B32)*ISNUMBER(INDEX(Inputs!$K$5:$AJ$140,0,MATCH(AA$2,Inputs!$K$4:$AJ$4,0))))+SUMPRODUCT((Inputs!$C$5:$C$140=$B32)*ISNUMBER(INDEX(Inputs!$K$5:$AJ$140,0,MATCH(AA$2,Inputs!$K$4:$AJ$4,0))))+SUMPRODUCT((Inputs!$E$5:$E$140=$B32)*ISNUMBER(INDEX(Inputs!$K$5:$AJ$140,0,MATCH(AA$2,Inputs!$K$4:$AJ$4,0))))=0,NA(),SUMPRODUCT((Inputs!$A$5:$A$140=$B32)*Inputs!$B$5:$B$140*(((Inputs!$G$5:$G$140="moeda")+(Inputs!$G$5:$G$140="acoes"))*Inputs!$B$1+((Inputs!$G$5:$G$140&lt;&gt;"moeda")*(Inputs!$G$5:$G$140&lt;&gt;"acoes")))*INDEX(Inputs!$K$5:$AJ$140,0,MATCH(AA$2,Inputs!$K$4:$AJ$4,0)))+SUMPRODUCT((Inputs!$C$5:$C$140=$B32)*Inputs!$D$5:$D$140*(((Inputs!$G$5:$G$140="moeda")+(Inputs!$G$5:$G$140="acoes"))*Inputs!$B$1+((Inputs!$G$5:$G$140&lt;&gt;"moeda")*(Inputs!$G$5:$G$140&lt;&gt;"acoes")))*INDEX(Inputs!$K$5:$AJ$140,0,MATCH(AA$2,Inputs!$K$4:$AJ$4,0)))+SUMPRODUCT((Inputs!$E$5:$E$140=$B32)*Inputs!$F$5:$F$140*(((Inputs!$G$5:$G$140="moeda")+(Inputs!$G$5:$G$140="acoes"))*Inputs!$B$1+((Inputs!$G$5:$G$140&lt;&gt;"moeda")*(Inputs!$G$5:$G$140&lt;&gt;"acoes")))*INDEX(Inputs!$K$5:$AJ$140,0,MATCH(AA$2,Inputs!$K$4:$AJ$4,0)))))</f>
        <v>1204.737</v>
      </c>
      <c r="AB32" s="3">
        <f>AA32</f>
        <v>1204.737</v>
      </c>
      <c r="AC32" s="6">
        <f>IF(ISNA(MATCH(AC$2,Inputs!$K$4:$AJ$4,0)),NA(),IF(SUMPRODUCT((Inputs!$A$5:$A$140=$B32)*ISNUMBER(INDEX(Inputs!$K$5:$AJ$140,0,MATCH(AC$2,Inputs!$K$4:$AJ$4,0))))+SUMPRODUCT((Inputs!$C$5:$C$140=$B32)*ISNUMBER(INDEX(Inputs!$K$5:$AJ$140,0,MATCH(AC$2,Inputs!$K$4:$AJ$4,0))))+SUMPRODUCT((Inputs!$E$5:$E$140=$B32)*ISNUMBER(INDEX(Inputs!$K$5:$AJ$140,0,MATCH(AC$2,Inputs!$K$4:$AJ$4,0))))=0,NA(),SUMPRODUCT((Inputs!$A$5:$A$140=$B32)*Inputs!$B$5:$B$140*(((Inputs!$G$5:$G$140="moeda")+(Inputs!$G$5:$G$140="acoes"))*Inputs!$B$1+((Inputs!$G$5:$G$140&lt;&gt;"moeda")*(Inputs!$G$5:$G$140&lt;&gt;"acoes")))*INDEX(Inputs!$K$5:$AJ$140,0,MATCH(AC$2,Inputs!$K$4:$AJ$4,0)))+SUMPRODUCT((Inputs!$C$5:$C$140=$B32)*Inputs!$D$5:$D$140*(((Inputs!$G$5:$G$140="moeda")+(Inputs!$G$5:$G$140="acoes"))*Inputs!$B$1+((Inputs!$G$5:$G$140&lt;&gt;"moeda")*(Inputs!$G$5:$G$140&lt;&gt;"acoes")))*INDEX(Inputs!$K$5:$AJ$140,0,MATCH(AC$2,Inputs!$K$4:$AJ$4,0)))+SUMPRODUCT((Inputs!$E$5:$E$140=$B32)*Inputs!$F$5:$F$140*(((Inputs!$G$5:$G$140="moeda")+(Inputs!$G$5:$G$140="acoes"))*Inputs!$B$1+((Inputs!$G$5:$G$140&lt;&gt;"moeda")*(Inputs!$G$5:$G$140&lt;&gt;"acoes")))*INDEX(Inputs!$K$5:$AJ$140,0,MATCH(AC$2,Inputs!$K$4:$AJ$4,0)))))</f>
        <v>1537.253</v>
      </c>
      <c r="AD32" s="6">
        <f>IF(ISNA(MATCH(AD$2,Inputs!$K$4:$AJ$4,0)),NA(),IF(SUMPRODUCT((Inputs!$A$5:$A$140=$B32)*ISNUMBER(INDEX(Inputs!$K$5:$AJ$140,0,MATCH(AD$2,Inputs!$K$4:$AJ$4,0))))+SUMPRODUCT((Inputs!$C$5:$C$140=$B32)*ISNUMBER(INDEX(Inputs!$K$5:$AJ$140,0,MATCH(AD$2,Inputs!$K$4:$AJ$4,0))))+SUMPRODUCT((Inputs!$E$5:$E$140=$B32)*ISNUMBER(INDEX(Inputs!$K$5:$AJ$140,0,MATCH(AD$2,Inputs!$K$4:$AJ$4,0))))=0,NA(),SUMPRODUCT((Inputs!$A$5:$A$140=$B32)*Inputs!$B$5:$B$140*(((Inputs!$G$5:$G$140="moeda")+(Inputs!$G$5:$G$140="acoes"))*Inputs!$B$1+((Inputs!$G$5:$G$140&lt;&gt;"moeda")*(Inputs!$G$5:$G$140&lt;&gt;"acoes")))*INDEX(Inputs!$K$5:$AJ$140,0,MATCH(AD$2,Inputs!$K$4:$AJ$4,0)))+SUMPRODUCT((Inputs!$C$5:$C$140=$B32)*Inputs!$D$5:$D$140*(((Inputs!$G$5:$G$140="moeda")+(Inputs!$G$5:$G$140="acoes"))*Inputs!$B$1+((Inputs!$G$5:$G$140&lt;&gt;"moeda")*(Inputs!$G$5:$G$140&lt;&gt;"acoes")))*INDEX(Inputs!$K$5:$AJ$140,0,MATCH(AD$2,Inputs!$K$4:$AJ$4,0)))+SUMPRODUCT((Inputs!$E$5:$E$140=$B32)*Inputs!$F$5:$F$140*(((Inputs!$G$5:$G$140="moeda")+(Inputs!$G$5:$G$140="acoes"))*Inputs!$B$1+((Inputs!$G$5:$G$140&lt;&gt;"moeda")*(Inputs!$G$5:$G$140&lt;&gt;"acoes")))*INDEX(Inputs!$K$5:$AJ$140,0,MATCH(AD$2,Inputs!$K$4:$AJ$4,0)))))</f>
        <v>1529.728</v>
      </c>
      <c r="AE32" s="6" t="e">
        <f>IF(ISNA(MATCH(AE$2,Inputs!$K$4:$AJ$4,0)),NA(),IF(SUMPRODUCT((Inputs!$A$5:$A$140=$B32)*ISNUMBER(INDEX(Inputs!$K$5:$AJ$140,0,MATCH(AE$2,Inputs!$K$4:$AJ$4,0))))+SUMPRODUCT((Inputs!$C$5:$C$140=$B32)*ISNUMBER(INDEX(Inputs!$K$5:$AJ$140,0,MATCH(AE$2,Inputs!$K$4:$AJ$4,0))))+SUMPRODUCT((Inputs!$E$5:$E$140=$B32)*ISNUMBER(INDEX(Inputs!$K$5:$AJ$140,0,MATCH(AE$2,Inputs!$K$4:$AJ$4,0))))=0,NA(),SUMPRODUCT((Inputs!$A$5:$A$140=$B32)*Inputs!$B$5:$B$140*(((Inputs!$G$5:$G$140="moeda")+(Inputs!$G$5:$G$140="acoes"))*Inputs!$B$1+((Inputs!$G$5:$G$140&lt;&gt;"moeda")*(Inputs!$G$5:$G$140&lt;&gt;"acoes")))*INDEX(Inputs!$K$5:$AJ$140,0,MATCH(AE$2,Inputs!$K$4:$AJ$4,0)))+SUMPRODUCT((Inputs!$C$5:$C$140=$B32)*Inputs!$D$5:$D$140*(((Inputs!$G$5:$G$140="moeda")+(Inputs!$G$5:$G$140="acoes"))*Inputs!$B$1+((Inputs!$G$5:$G$140&lt;&gt;"moeda")*(Inputs!$G$5:$G$140&lt;&gt;"acoes")))*INDEX(Inputs!$K$5:$AJ$140,0,MATCH(AE$2,Inputs!$K$4:$AJ$4,0)))+SUMPRODUCT((Inputs!$E$5:$E$140=$B32)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2" s="6" t="e">
        <f>IF(ISNA(MATCH(AF$2,Inputs!$K$4:$AJ$4,0)),NA(),IF(SUMPRODUCT((Inputs!$A$5:$A$140=$B32)*ISNUMBER(INDEX(Inputs!$K$5:$AJ$140,0,MATCH(AF$2,Inputs!$K$4:$AJ$4,0))))+SUMPRODUCT((Inputs!$C$5:$C$140=$B32)*ISNUMBER(INDEX(Inputs!$K$5:$AJ$140,0,MATCH(AF$2,Inputs!$K$4:$AJ$4,0))))+SUMPRODUCT((Inputs!$E$5:$E$140=$B32)*ISNUMBER(INDEX(Inputs!$K$5:$AJ$140,0,MATCH(AF$2,Inputs!$K$4:$AJ$4,0))))=0,NA(),SUMPRODUCT((Inputs!$A$5:$A$140=$B32)*Inputs!$B$5:$B$140*(((Inputs!$G$5:$G$140="moeda")+(Inputs!$G$5:$G$140="acoes"))*Inputs!$B$1+((Inputs!$G$5:$G$140&lt;&gt;"moeda")*(Inputs!$G$5:$G$140&lt;&gt;"acoes")))*INDEX(Inputs!$K$5:$AJ$140,0,MATCH(AF$2,Inputs!$K$4:$AJ$4,0)))+SUMPRODUCT((Inputs!$C$5:$C$140=$B32)*Inputs!$D$5:$D$140*(((Inputs!$G$5:$G$140="moeda")+(Inputs!$G$5:$G$140="acoes"))*Inputs!$B$1+((Inputs!$G$5:$G$140&lt;&gt;"moeda")*(Inputs!$G$5:$G$140&lt;&gt;"acoes")))*INDEX(Inputs!$K$5:$AJ$140,0,MATCH(AF$2,Inputs!$K$4:$AJ$4,0)))+SUMPRODUCT((Inputs!$E$5:$E$140=$B32)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2" s="3" t="e">
        <f>AF32</f>
        <v>#N/A</v>
      </c>
      <c r="AH32" s="6" t="e">
        <f>IF(ISNA(MATCH(AH$2,Inputs!$K$4:$AJ$4,0)),NA(),IF(SUMPRODUCT((Inputs!$A$5:$A$140=$B32)*ISNUMBER(INDEX(Inputs!$K$5:$AJ$140,0,MATCH(AH$2,Inputs!$K$4:$AJ$4,0))))+SUMPRODUCT((Inputs!$C$5:$C$140=$B32)*ISNUMBER(INDEX(Inputs!$K$5:$AJ$140,0,MATCH(AH$2,Inputs!$K$4:$AJ$4,0))))+SUMPRODUCT((Inputs!$E$5:$E$140=$B32)*ISNUMBER(INDEX(Inputs!$K$5:$AJ$140,0,MATCH(AH$2,Inputs!$K$4:$AJ$4,0))))=0,NA(),SUMPRODUCT((Inputs!$A$5:$A$140=$B32)*Inputs!$B$5:$B$140*(((Inputs!$G$5:$G$140="moeda")+(Inputs!$G$5:$G$140="acoes"))*Inputs!$B$1+((Inputs!$G$5:$G$140&lt;&gt;"moeda")*(Inputs!$G$5:$G$140&lt;&gt;"acoes")))*INDEX(Inputs!$K$5:$AJ$140,0,MATCH(AH$2,Inputs!$K$4:$AJ$4,0)))+SUMPRODUCT((Inputs!$C$5:$C$140=$B32)*Inputs!$D$5:$D$140*(((Inputs!$G$5:$G$140="moeda")+(Inputs!$G$5:$G$140="acoes"))*Inputs!$B$1+((Inputs!$G$5:$G$140&lt;&gt;"moeda")*(Inputs!$G$5:$G$140&lt;&gt;"acoes")))*INDEX(Inputs!$K$5:$AJ$140,0,MATCH(AH$2,Inputs!$K$4:$AJ$4,0)))+SUMPRODUCT((Inputs!$E$5:$E$140=$B32)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2" s="6">
        <f>IF(ISNA(MATCH(AI$2,Inputs!$K$4:$AJ$4,0)),NA(),IF(SUMPRODUCT((Inputs!$A$5:$A$140=$B32)*ISNUMBER(INDEX(Inputs!$K$5:$AJ$140,0,MATCH(AI$2,Inputs!$K$4:$AJ$4,0))))+SUMPRODUCT((Inputs!$C$5:$C$140=$B32)*ISNUMBER(INDEX(Inputs!$K$5:$AJ$140,0,MATCH(AI$2,Inputs!$K$4:$AJ$4,0))))+SUMPRODUCT((Inputs!$E$5:$E$140=$B32)*ISNUMBER(INDEX(Inputs!$K$5:$AJ$140,0,MATCH(AI$2,Inputs!$K$4:$AJ$4,0))))=0,NA(),SUMPRODUCT((Inputs!$A$5:$A$140=$B32)*Inputs!$B$5:$B$140*(((Inputs!$G$5:$G$140="moeda")+(Inputs!$G$5:$G$140="acoes"))*Inputs!$B$1+((Inputs!$G$5:$G$140&lt;&gt;"moeda")*(Inputs!$G$5:$G$140&lt;&gt;"acoes")))*INDEX(Inputs!$K$5:$AJ$140,0,MATCH(AI$2,Inputs!$K$4:$AJ$4,0)))+SUMPRODUCT((Inputs!$C$5:$C$140=$B32)*Inputs!$D$5:$D$140*(((Inputs!$G$5:$G$140="moeda")+(Inputs!$G$5:$G$140="acoes"))*Inputs!$B$1+((Inputs!$G$5:$G$140&lt;&gt;"moeda")*(Inputs!$G$5:$G$140&lt;&gt;"acoes")))*INDEX(Inputs!$K$5:$AJ$140,0,MATCH(AI$2,Inputs!$K$4:$AJ$4,0)))+SUMPRODUCT((Inputs!$E$5:$E$140=$B32)*Inputs!$F$5:$F$140*(((Inputs!$G$5:$G$140="moeda")+(Inputs!$G$5:$G$140="acoes"))*Inputs!$B$1+((Inputs!$G$5:$G$140&lt;&gt;"moeda")*(Inputs!$G$5:$G$140&lt;&gt;"acoes")))*INDEX(Inputs!$K$5:$AJ$140,0,MATCH(AI$2,Inputs!$K$4:$AJ$4,0)))))</f>
        <v>226.009</v>
      </c>
      <c r="AJ32" s="6">
        <f>IF(ISNA(MATCH(AJ$2,Inputs!$K$4:$AJ$4,0)),NA(),IF(SUMPRODUCT((Inputs!$A$5:$A$140=$B32)*ISNUMBER(INDEX(Inputs!$K$5:$AJ$140,0,MATCH(AJ$2,Inputs!$K$4:$AJ$4,0))))+SUMPRODUCT((Inputs!$C$5:$C$140=$B32)*ISNUMBER(INDEX(Inputs!$K$5:$AJ$140,0,MATCH(AJ$2,Inputs!$K$4:$AJ$4,0))))+SUMPRODUCT((Inputs!$E$5:$E$140=$B32)*ISNUMBER(INDEX(Inputs!$K$5:$AJ$140,0,MATCH(AJ$2,Inputs!$K$4:$AJ$4,0))))=0,NA(),SUMPRODUCT((Inputs!$A$5:$A$140=$B32)*Inputs!$B$5:$B$140*(((Inputs!$G$5:$G$140="moeda")+(Inputs!$G$5:$G$140="acoes"))*Inputs!$B$1+((Inputs!$G$5:$G$140&lt;&gt;"moeda")*(Inputs!$G$5:$G$140&lt;&gt;"acoes")))*INDEX(Inputs!$K$5:$AJ$140,0,MATCH(AJ$2,Inputs!$K$4:$AJ$4,0)))+SUMPRODUCT((Inputs!$C$5:$C$140=$B32)*Inputs!$D$5:$D$140*(((Inputs!$G$5:$G$140="moeda")+(Inputs!$G$5:$G$140="acoes"))*Inputs!$B$1+((Inputs!$G$5:$G$140&lt;&gt;"moeda")*(Inputs!$G$5:$G$140&lt;&gt;"acoes")))*INDEX(Inputs!$K$5:$AJ$140,0,MATCH(AJ$2,Inputs!$K$4:$AJ$4,0)))+SUMPRODUCT((Inputs!$E$5:$E$140=$B32)*Inputs!$F$5:$F$140*(((Inputs!$G$5:$G$140="moeda")+(Inputs!$G$5:$G$140="acoes"))*Inputs!$B$1+((Inputs!$G$5:$G$140&lt;&gt;"moeda")*(Inputs!$G$5:$G$140&lt;&gt;"acoes")))*INDEX(Inputs!$K$5:$AJ$140,0,MATCH(AJ$2,Inputs!$K$4:$AJ$4,0)))))</f>
        <v>246.76086836</v>
      </c>
      <c r="AK32" s="6">
        <f>IF(ISNA(MATCH(AK$2,Inputs!$K$4:$AJ$4,0)),NA(),IF(SUMPRODUCT((Inputs!$A$5:$A$140=$B32)*ISNUMBER(INDEX(Inputs!$K$5:$AJ$140,0,MATCH(AK$2,Inputs!$K$4:$AJ$4,0))))+SUMPRODUCT((Inputs!$C$5:$C$140=$B32)*ISNUMBER(INDEX(Inputs!$K$5:$AJ$140,0,MATCH(AK$2,Inputs!$K$4:$AJ$4,0))))+SUMPRODUCT((Inputs!$E$5:$E$140=$B32)*ISNUMBER(INDEX(Inputs!$K$5:$AJ$140,0,MATCH(AK$2,Inputs!$K$4:$AJ$4,0))))=0,NA(),SUMPRODUCT((Inputs!$A$5:$A$140=$B32)*Inputs!$B$5:$B$140*(((Inputs!$G$5:$G$140="moeda")+(Inputs!$G$5:$G$140="acoes"))*Inputs!$B$1+((Inputs!$G$5:$G$140&lt;&gt;"moeda")*(Inputs!$G$5:$G$140&lt;&gt;"acoes")))*INDEX(Inputs!$K$5:$AJ$140,0,MATCH(AK$2,Inputs!$K$4:$AJ$4,0)))+SUMPRODUCT((Inputs!$C$5:$C$140=$B32)*Inputs!$D$5:$D$140*(((Inputs!$G$5:$G$140="moeda")+(Inputs!$G$5:$G$140="acoes"))*Inputs!$B$1+((Inputs!$G$5:$G$140&lt;&gt;"moeda")*(Inputs!$G$5:$G$140&lt;&gt;"acoes")))*INDEX(Inputs!$K$5:$AJ$140,0,MATCH(AK$2,Inputs!$K$4:$AJ$4,0)))+SUMPRODUCT((Inputs!$E$5:$E$140=$B32)*Inputs!$F$5:$F$140*(((Inputs!$G$5:$G$140="moeda")+(Inputs!$G$5:$G$140="acoes"))*Inputs!$B$1+((Inputs!$G$5:$G$140&lt;&gt;"moeda")*(Inputs!$G$5:$G$140&lt;&gt;"acoes")))*INDEX(Inputs!$K$5:$AJ$140,0,MATCH(AK$2,Inputs!$K$4:$AJ$4,0)))))</f>
        <v>61.16826825</v>
      </c>
      <c r="AL32" s="3">
        <f>AK32</f>
        <v>61.16826825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$140=$B33)*ISNUMBER(INDEX(Inputs!$K$5:$AJ$140,0,MATCH(D$2,Inputs!$K$4:$AJ$4,0))))+SUMPRODUCT((Inputs!$C$5:$C$140=$B33)*ISNUMBER(INDEX(Inputs!$K$5:$AJ$140,0,MATCH(D$2,Inputs!$K$4:$AJ$4,0))))+SUMPRODUCT((Inputs!$E$5:$E$140=$B33)*ISNUMBER(INDEX(Inputs!$K$5:$AJ$140,0,MATCH(D$2,Inputs!$K$4:$AJ$4,0))))=0,NA(),SUMPRODUCT((Inputs!$A$5:$A$140=$B33)*Inputs!$B$5:$B$140*(((Inputs!$G$5:$G$140="moeda")+(Inputs!$G$5:$G$140="acoes"))*Inputs!$B$1+((Inputs!$G$5:$G$140&lt;&gt;"moeda")*(Inputs!$G$5:$G$140&lt;&gt;"acoes")))*INDEX(Inputs!$K$5:$AJ$140,0,MATCH(D$2,Inputs!$K$4:$AJ$4,0)))+SUMPRODUCT((Inputs!$C$5:$C$140=$B33)*Inputs!$D$5:$D$140*(((Inputs!$G$5:$G$140="moeda")+(Inputs!$G$5:$G$140="acoes"))*Inputs!$B$1+((Inputs!$G$5:$G$140&lt;&gt;"moeda")*(Inputs!$G$5:$G$140&lt;&gt;"acoes")))*INDEX(Inputs!$K$5:$AJ$140,0,MATCH(D$2,Inputs!$K$4:$AJ$4,0)))+SUMPRODUCT((Inputs!$E$5:$E$140=$B33)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3" s="6" t="e">
        <f>IF(ISNA(MATCH(E$2,Inputs!$K$4:$AJ$4,0)),NA(),IF(SUMPRODUCT((Inputs!$A$5:$A$140=$B33)*ISNUMBER(INDEX(Inputs!$K$5:$AJ$140,0,MATCH(E$2,Inputs!$K$4:$AJ$4,0))))+SUMPRODUCT((Inputs!$C$5:$C$140=$B33)*ISNUMBER(INDEX(Inputs!$K$5:$AJ$140,0,MATCH(E$2,Inputs!$K$4:$AJ$4,0))))+SUMPRODUCT((Inputs!$E$5:$E$140=$B33)*ISNUMBER(INDEX(Inputs!$K$5:$AJ$140,0,MATCH(E$2,Inputs!$K$4:$AJ$4,0))))=0,NA(),SUMPRODUCT((Inputs!$A$5:$A$140=$B33)*Inputs!$B$5:$B$140*(((Inputs!$G$5:$G$140="moeda")+(Inputs!$G$5:$G$140="acoes"))*Inputs!$B$1+((Inputs!$G$5:$G$140&lt;&gt;"moeda")*(Inputs!$G$5:$G$140&lt;&gt;"acoes")))*INDEX(Inputs!$K$5:$AJ$140,0,MATCH(E$2,Inputs!$K$4:$AJ$4,0)))+SUMPRODUCT((Inputs!$C$5:$C$140=$B33)*Inputs!$D$5:$D$140*(((Inputs!$G$5:$G$140="moeda")+(Inputs!$G$5:$G$140="acoes"))*Inputs!$B$1+((Inputs!$G$5:$G$140&lt;&gt;"moeda")*(Inputs!$G$5:$G$140&lt;&gt;"acoes")))*INDEX(Inputs!$K$5:$AJ$140,0,MATCH(E$2,Inputs!$K$4:$AJ$4,0)))+SUMPRODUCT((Inputs!$E$5:$E$140=$B33)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3" s="6" t="e">
        <f>IF(ISNA(MATCH(F$2,Inputs!$K$4:$AJ$4,0)),NA(),IF(SUMPRODUCT((Inputs!$A$5:$A$140=$B33)*ISNUMBER(INDEX(Inputs!$K$5:$AJ$140,0,MATCH(F$2,Inputs!$K$4:$AJ$4,0))))+SUMPRODUCT((Inputs!$C$5:$C$140=$B33)*ISNUMBER(INDEX(Inputs!$K$5:$AJ$140,0,MATCH(F$2,Inputs!$K$4:$AJ$4,0))))+SUMPRODUCT((Inputs!$E$5:$E$140=$B33)*ISNUMBER(INDEX(Inputs!$K$5:$AJ$140,0,MATCH(F$2,Inputs!$K$4:$AJ$4,0))))=0,NA(),SUMPRODUCT((Inputs!$A$5:$A$140=$B33)*Inputs!$B$5:$B$140*(((Inputs!$G$5:$G$140="moeda")+(Inputs!$G$5:$G$140="acoes"))*Inputs!$B$1+((Inputs!$G$5:$G$140&lt;&gt;"moeda")*(Inputs!$G$5:$G$140&lt;&gt;"acoes")))*INDEX(Inputs!$K$5:$AJ$140,0,MATCH(F$2,Inputs!$K$4:$AJ$4,0)))+SUMPRODUCT((Inputs!$C$5:$C$140=$B33)*Inputs!$D$5:$D$140*(((Inputs!$G$5:$G$140="moeda")+(Inputs!$G$5:$G$140="acoes"))*Inputs!$B$1+((Inputs!$G$5:$G$140&lt;&gt;"moeda")*(Inputs!$G$5:$G$140&lt;&gt;"acoes")))*INDEX(Inputs!$K$5:$AJ$140,0,MATCH(F$2,Inputs!$K$4:$AJ$4,0)))+SUMPRODUCT((Inputs!$E$5:$E$140=$B33)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3" s="6" t="e">
        <f>IF(ISNA(MATCH(G$2,Inputs!$K$4:$AJ$4,0)),NA(),IF(SUMPRODUCT((Inputs!$A$5:$A$140=$B33)*ISNUMBER(INDEX(Inputs!$K$5:$AJ$140,0,MATCH(G$2,Inputs!$K$4:$AJ$4,0))))+SUMPRODUCT((Inputs!$C$5:$C$140=$B33)*ISNUMBER(INDEX(Inputs!$K$5:$AJ$140,0,MATCH(G$2,Inputs!$K$4:$AJ$4,0))))+SUMPRODUCT((Inputs!$E$5:$E$140=$B33)*ISNUMBER(INDEX(Inputs!$K$5:$AJ$140,0,MATCH(G$2,Inputs!$K$4:$AJ$4,0))))=0,NA(),SUMPRODUCT((Inputs!$A$5:$A$140=$B33)*Inputs!$B$5:$B$140*(((Inputs!$G$5:$G$140="moeda")+(Inputs!$G$5:$G$140="acoes"))*Inputs!$B$1+((Inputs!$G$5:$G$140&lt;&gt;"moeda")*(Inputs!$G$5:$G$140&lt;&gt;"acoes")))*INDEX(Inputs!$K$5:$AJ$140,0,MATCH(G$2,Inputs!$K$4:$AJ$4,0)))+SUMPRODUCT((Inputs!$C$5:$C$140=$B33)*Inputs!$D$5:$D$140*(((Inputs!$G$5:$G$140="moeda")+(Inputs!$G$5:$G$140="acoes"))*Inputs!$B$1+((Inputs!$G$5:$G$140&lt;&gt;"moeda")*(Inputs!$G$5:$G$140&lt;&gt;"acoes")))*INDEX(Inputs!$K$5:$AJ$140,0,MATCH(G$2,Inputs!$K$4:$AJ$4,0)))+SUMPRODUCT((Inputs!$E$5:$E$140=$B33)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3" s="3" t="e">
        <f>G33</f>
        <v>#N/A</v>
      </c>
      <c r="I33" s="6" t="e">
        <f>IF(ISNA(MATCH(I$2,Inputs!$K$4:$AJ$4,0)),NA(),IF(SUMPRODUCT((Inputs!$A$5:$A$140=$B33)*ISNUMBER(INDEX(Inputs!$K$5:$AJ$140,0,MATCH(I$2,Inputs!$K$4:$AJ$4,0))))+SUMPRODUCT((Inputs!$C$5:$C$140=$B33)*ISNUMBER(INDEX(Inputs!$K$5:$AJ$140,0,MATCH(I$2,Inputs!$K$4:$AJ$4,0))))+SUMPRODUCT((Inputs!$E$5:$E$140=$B33)*ISNUMBER(INDEX(Inputs!$K$5:$AJ$140,0,MATCH(I$2,Inputs!$K$4:$AJ$4,0))))=0,NA(),SUMPRODUCT((Inputs!$A$5:$A$140=$B33)*Inputs!$B$5:$B$140*(((Inputs!$G$5:$G$140="moeda")+(Inputs!$G$5:$G$140="acoes"))*Inputs!$B$1+((Inputs!$G$5:$G$140&lt;&gt;"moeda")*(Inputs!$G$5:$G$140&lt;&gt;"acoes")))*INDEX(Inputs!$K$5:$AJ$140,0,MATCH(I$2,Inputs!$K$4:$AJ$4,0)))+SUMPRODUCT((Inputs!$C$5:$C$140=$B33)*Inputs!$D$5:$D$140*(((Inputs!$G$5:$G$140="moeda")+(Inputs!$G$5:$G$140="acoes"))*Inputs!$B$1+((Inputs!$G$5:$G$140&lt;&gt;"moeda")*(Inputs!$G$5:$G$140&lt;&gt;"acoes")))*INDEX(Inputs!$K$5:$AJ$140,0,MATCH(I$2,Inputs!$K$4:$AJ$4,0)))+SUMPRODUCT((Inputs!$E$5:$E$140=$B33)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3" s="6" t="e">
        <f>IF(ISNA(MATCH(J$2,Inputs!$K$4:$AJ$4,0)),NA(),IF(SUMPRODUCT((Inputs!$A$5:$A$140=$B33)*ISNUMBER(INDEX(Inputs!$K$5:$AJ$140,0,MATCH(J$2,Inputs!$K$4:$AJ$4,0))))+SUMPRODUCT((Inputs!$C$5:$C$140=$B33)*ISNUMBER(INDEX(Inputs!$K$5:$AJ$140,0,MATCH(J$2,Inputs!$K$4:$AJ$4,0))))+SUMPRODUCT((Inputs!$E$5:$E$140=$B33)*ISNUMBER(INDEX(Inputs!$K$5:$AJ$140,0,MATCH(J$2,Inputs!$K$4:$AJ$4,0))))=0,NA(),SUMPRODUCT((Inputs!$A$5:$A$140=$B33)*Inputs!$B$5:$B$140*(((Inputs!$G$5:$G$140="moeda")+(Inputs!$G$5:$G$140="acoes"))*Inputs!$B$1+((Inputs!$G$5:$G$140&lt;&gt;"moeda")*(Inputs!$G$5:$G$140&lt;&gt;"acoes")))*INDEX(Inputs!$K$5:$AJ$140,0,MATCH(J$2,Inputs!$K$4:$AJ$4,0)))+SUMPRODUCT((Inputs!$C$5:$C$140=$B33)*Inputs!$D$5:$D$140*(((Inputs!$G$5:$G$140="moeda")+(Inputs!$G$5:$G$140="acoes"))*Inputs!$B$1+((Inputs!$G$5:$G$140&lt;&gt;"moeda")*(Inputs!$G$5:$G$140&lt;&gt;"acoes")))*INDEX(Inputs!$K$5:$AJ$140,0,MATCH(J$2,Inputs!$K$4:$AJ$4,0)))+SUMPRODUCT((Inputs!$E$5:$E$140=$B33)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3" s="6" t="e">
        <f>IF(ISNA(MATCH(K$2,Inputs!$K$4:$AJ$4,0)),NA(),IF(SUMPRODUCT((Inputs!$A$5:$A$140=$B33)*ISNUMBER(INDEX(Inputs!$K$5:$AJ$140,0,MATCH(K$2,Inputs!$K$4:$AJ$4,0))))+SUMPRODUCT((Inputs!$C$5:$C$140=$B33)*ISNUMBER(INDEX(Inputs!$K$5:$AJ$140,0,MATCH(K$2,Inputs!$K$4:$AJ$4,0))))+SUMPRODUCT((Inputs!$E$5:$E$140=$B33)*ISNUMBER(INDEX(Inputs!$K$5:$AJ$140,0,MATCH(K$2,Inputs!$K$4:$AJ$4,0))))=0,NA(),SUMPRODUCT((Inputs!$A$5:$A$140=$B33)*Inputs!$B$5:$B$140*(((Inputs!$G$5:$G$140="moeda")+(Inputs!$G$5:$G$140="acoes"))*Inputs!$B$1+((Inputs!$G$5:$G$140&lt;&gt;"moeda")*(Inputs!$G$5:$G$140&lt;&gt;"acoes")))*INDEX(Inputs!$K$5:$AJ$140,0,MATCH(K$2,Inputs!$K$4:$AJ$4,0)))+SUMPRODUCT((Inputs!$C$5:$C$140=$B33)*Inputs!$D$5:$D$140*(((Inputs!$G$5:$G$140="moeda")+(Inputs!$G$5:$G$140="acoes"))*Inputs!$B$1+((Inputs!$G$5:$G$140&lt;&gt;"moeda")*(Inputs!$G$5:$G$140&lt;&gt;"acoes")))*INDEX(Inputs!$K$5:$AJ$140,0,MATCH(K$2,Inputs!$K$4:$AJ$4,0)))+SUMPRODUCT((Inputs!$E$5:$E$140=$B33)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3" s="6" t="e">
        <f>IF(ISNA(MATCH(L$2,Inputs!$K$4:$AJ$4,0)),NA(),IF(SUMPRODUCT((Inputs!$A$5:$A$140=$B33)*ISNUMBER(INDEX(Inputs!$K$5:$AJ$140,0,MATCH(L$2,Inputs!$K$4:$AJ$4,0))))+SUMPRODUCT((Inputs!$C$5:$C$140=$B33)*ISNUMBER(INDEX(Inputs!$K$5:$AJ$140,0,MATCH(L$2,Inputs!$K$4:$AJ$4,0))))+SUMPRODUCT((Inputs!$E$5:$E$140=$B33)*ISNUMBER(INDEX(Inputs!$K$5:$AJ$140,0,MATCH(L$2,Inputs!$K$4:$AJ$4,0))))=0,NA(),SUMPRODUCT((Inputs!$A$5:$A$140=$B33)*Inputs!$B$5:$B$140*(((Inputs!$G$5:$G$140="moeda")+(Inputs!$G$5:$G$140="acoes"))*Inputs!$B$1+((Inputs!$G$5:$G$140&lt;&gt;"moeda")*(Inputs!$G$5:$G$140&lt;&gt;"acoes")))*INDEX(Inputs!$K$5:$AJ$140,0,MATCH(L$2,Inputs!$K$4:$AJ$4,0)))+SUMPRODUCT((Inputs!$C$5:$C$140=$B33)*Inputs!$D$5:$D$140*(((Inputs!$G$5:$G$140="moeda")+(Inputs!$G$5:$G$140="acoes"))*Inputs!$B$1+((Inputs!$G$5:$G$140&lt;&gt;"moeda")*(Inputs!$G$5:$G$140&lt;&gt;"acoes")))*INDEX(Inputs!$K$5:$AJ$140,0,MATCH(L$2,Inputs!$K$4:$AJ$4,0)))+SUMPRODUCT((Inputs!$E$5:$E$140=$B33)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3" s="3" t="e">
        <f>L33</f>
        <v>#N/A</v>
      </c>
      <c r="N33" s="6" t="e">
        <f>IF(ISNA(MATCH(N$2,Inputs!$K$4:$AJ$4,0)),NA(),IF(SUMPRODUCT((Inputs!$A$5:$A$140=$B33)*ISNUMBER(INDEX(Inputs!$K$5:$AJ$140,0,MATCH(N$2,Inputs!$K$4:$AJ$4,0))))+SUMPRODUCT((Inputs!$C$5:$C$140=$B33)*ISNUMBER(INDEX(Inputs!$K$5:$AJ$140,0,MATCH(N$2,Inputs!$K$4:$AJ$4,0))))+SUMPRODUCT((Inputs!$E$5:$E$140=$B33)*ISNUMBER(INDEX(Inputs!$K$5:$AJ$140,0,MATCH(N$2,Inputs!$K$4:$AJ$4,0))))=0,NA(),SUMPRODUCT((Inputs!$A$5:$A$140=$B33)*Inputs!$B$5:$B$140*(((Inputs!$G$5:$G$140="moeda")+(Inputs!$G$5:$G$140="acoes"))*Inputs!$B$1+((Inputs!$G$5:$G$140&lt;&gt;"moeda")*(Inputs!$G$5:$G$140&lt;&gt;"acoes")))*INDEX(Inputs!$K$5:$AJ$140,0,MATCH(N$2,Inputs!$K$4:$AJ$4,0)))+SUMPRODUCT((Inputs!$C$5:$C$140=$B33)*Inputs!$D$5:$D$140*(((Inputs!$G$5:$G$140="moeda")+(Inputs!$G$5:$G$140="acoes"))*Inputs!$B$1+((Inputs!$G$5:$G$140&lt;&gt;"moeda")*(Inputs!$G$5:$G$140&lt;&gt;"acoes")))*INDEX(Inputs!$K$5:$AJ$140,0,MATCH(N$2,Inputs!$K$4:$AJ$4,0)))+SUMPRODUCT((Inputs!$E$5:$E$140=$B33)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3" s="6" t="e">
        <f>IF(ISNA(MATCH(O$2,Inputs!$K$4:$AJ$4,0)),NA(),IF(SUMPRODUCT((Inputs!$A$5:$A$140=$B33)*ISNUMBER(INDEX(Inputs!$K$5:$AJ$140,0,MATCH(O$2,Inputs!$K$4:$AJ$4,0))))+SUMPRODUCT((Inputs!$C$5:$C$140=$B33)*ISNUMBER(INDEX(Inputs!$K$5:$AJ$140,0,MATCH(O$2,Inputs!$K$4:$AJ$4,0))))+SUMPRODUCT((Inputs!$E$5:$E$140=$B33)*ISNUMBER(INDEX(Inputs!$K$5:$AJ$140,0,MATCH(O$2,Inputs!$K$4:$AJ$4,0))))=0,NA(),SUMPRODUCT((Inputs!$A$5:$A$140=$B33)*Inputs!$B$5:$B$140*(((Inputs!$G$5:$G$140="moeda")+(Inputs!$G$5:$G$140="acoes"))*Inputs!$B$1+((Inputs!$G$5:$G$140&lt;&gt;"moeda")*(Inputs!$G$5:$G$140&lt;&gt;"acoes")))*INDEX(Inputs!$K$5:$AJ$140,0,MATCH(O$2,Inputs!$K$4:$AJ$4,0)))+SUMPRODUCT((Inputs!$C$5:$C$140=$B33)*Inputs!$D$5:$D$140*(((Inputs!$G$5:$G$140="moeda")+(Inputs!$G$5:$G$140="acoes"))*Inputs!$B$1+((Inputs!$G$5:$G$140&lt;&gt;"moeda")*(Inputs!$G$5:$G$140&lt;&gt;"acoes")))*INDEX(Inputs!$K$5:$AJ$140,0,MATCH(O$2,Inputs!$K$4:$AJ$4,0)))+SUMPRODUCT((Inputs!$E$5:$E$140=$B33)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3" s="6" t="e">
        <f>IF(ISNA(MATCH(P$2,Inputs!$K$4:$AJ$4,0)),NA(),IF(SUMPRODUCT((Inputs!$A$5:$A$140=$B33)*ISNUMBER(INDEX(Inputs!$K$5:$AJ$140,0,MATCH(P$2,Inputs!$K$4:$AJ$4,0))))+SUMPRODUCT((Inputs!$C$5:$C$140=$B33)*ISNUMBER(INDEX(Inputs!$K$5:$AJ$140,0,MATCH(P$2,Inputs!$K$4:$AJ$4,0))))+SUMPRODUCT((Inputs!$E$5:$E$140=$B33)*ISNUMBER(INDEX(Inputs!$K$5:$AJ$140,0,MATCH(P$2,Inputs!$K$4:$AJ$4,0))))=0,NA(),SUMPRODUCT((Inputs!$A$5:$A$140=$B33)*Inputs!$B$5:$B$140*(((Inputs!$G$5:$G$140="moeda")+(Inputs!$G$5:$G$140="acoes"))*Inputs!$B$1+((Inputs!$G$5:$G$140&lt;&gt;"moeda")*(Inputs!$G$5:$G$140&lt;&gt;"acoes")))*INDEX(Inputs!$K$5:$AJ$140,0,MATCH(P$2,Inputs!$K$4:$AJ$4,0)))+SUMPRODUCT((Inputs!$C$5:$C$140=$B33)*Inputs!$D$5:$D$140*(((Inputs!$G$5:$G$140="moeda")+(Inputs!$G$5:$G$140="acoes"))*Inputs!$B$1+((Inputs!$G$5:$G$140&lt;&gt;"moeda")*(Inputs!$G$5:$G$140&lt;&gt;"acoes")))*INDEX(Inputs!$K$5:$AJ$140,0,MATCH(P$2,Inputs!$K$4:$AJ$4,0)))+SUMPRODUCT((Inputs!$E$5:$E$140=$B33)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3" s="6" t="e">
        <f>IF(ISNA(MATCH(Q$2,Inputs!$K$4:$AJ$4,0)),NA(),IF(SUMPRODUCT((Inputs!$A$5:$A$140=$B33)*ISNUMBER(INDEX(Inputs!$K$5:$AJ$140,0,MATCH(Q$2,Inputs!$K$4:$AJ$4,0))))+SUMPRODUCT((Inputs!$C$5:$C$140=$B33)*ISNUMBER(INDEX(Inputs!$K$5:$AJ$140,0,MATCH(Q$2,Inputs!$K$4:$AJ$4,0))))+SUMPRODUCT((Inputs!$E$5:$E$140=$B33)*ISNUMBER(INDEX(Inputs!$K$5:$AJ$140,0,MATCH(Q$2,Inputs!$K$4:$AJ$4,0))))=0,NA(),SUMPRODUCT((Inputs!$A$5:$A$140=$B33)*Inputs!$B$5:$B$140*(((Inputs!$G$5:$G$140="moeda")+(Inputs!$G$5:$G$140="acoes"))*Inputs!$B$1+((Inputs!$G$5:$G$140&lt;&gt;"moeda")*(Inputs!$G$5:$G$140&lt;&gt;"acoes")))*INDEX(Inputs!$K$5:$AJ$140,0,MATCH(Q$2,Inputs!$K$4:$AJ$4,0)))+SUMPRODUCT((Inputs!$C$5:$C$140=$B33)*Inputs!$D$5:$D$140*(((Inputs!$G$5:$G$140="moeda")+(Inputs!$G$5:$G$140="acoes"))*Inputs!$B$1+((Inputs!$G$5:$G$140&lt;&gt;"moeda")*(Inputs!$G$5:$G$140&lt;&gt;"acoes")))*INDEX(Inputs!$K$5:$AJ$140,0,MATCH(Q$2,Inputs!$K$4:$AJ$4,0)))+SUMPRODUCT((Inputs!$E$5:$E$140=$B33)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3" s="3" t="e">
        <f>Q33</f>
        <v>#N/A</v>
      </c>
      <c r="S33" s="6" t="e">
        <f>IF(ISNA(MATCH(S$2,Inputs!$K$4:$AJ$4,0)),NA(),IF(SUMPRODUCT((Inputs!$A$5:$A$140=$B33)*ISNUMBER(INDEX(Inputs!$K$5:$AJ$140,0,MATCH(S$2,Inputs!$K$4:$AJ$4,0))))+SUMPRODUCT((Inputs!$C$5:$C$140=$B33)*ISNUMBER(INDEX(Inputs!$K$5:$AJ$140,0,MATCH(S$2,Inputs!$K$4:$AJ$4,0))))+SUMPRODUCT((Inputs!$E$5:$E$140=$B33)*ISNUMBER(INDEX(Inputs!$K$5:$AJ$140,0,MATCH(S$2,Inputs!$K$4:$AJ$4,0))))=0,NA(),SUMPRODUCT((Inputs!$A$5:$A$140=$B33)*Inputs!$B$5:$B$140*(((Inputs!$G$5:$G$140="moeda")+(Inputs!$G$5:$G$140="acoes"))*Inputs!$B$1+((Inputs!$G$5:$G$140&lt;&gt;"moeda")*(Inputs!$G$5:$G$140&lt;&gt;"acoes")))*INDEX(Inputs!$K$5:$AJ$140,0,MATCH(S$2,Inputs!$K$4:$AJ$4,0)))+SUMPRODUCT((Inputs!$C$5:$C$140=$B33)*Inputs!$D$5:$D$140*(((Inputs!$G$5:$G$140="moeda")+(Inputs!$G$5:$G$140="acoes"))*Inputs!$B$1+((Inputs!$G$5:$G$140&lt;&gt;"moeda")*(Inputs!$G$5:$G$140&lt;&gt;"acoes")))*INDEX(Inputs!$K$5:$AJ$140,0,MATCH(S$2,Inputs!$K$4:$AJ$4,0)))+SUMPRODUCT((Inputs!$E$5:$E$140=$B33)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3" s="6" t="e">
        <f>IF(ISNA(MATCH(T$2,Inputs!$K$4:$AJ$4,0)),NA(),IF(SUMPRODUCT((Inputs!$A$5:$A$140=$B33)*ISNUMBER(INDEX(Inputs!$K$5:$AJ$140,0,MATCH(T$2,Inputs!$K$4:$AJ$4,0))))+SUMPRODUCT((Inputs!$C$5:$C$140=$B33)*ISNUMBER(INDEX(Inputs!$K$5:$AJ$140,0,MATCH(T$2,Inputs!$K$4:$AJ$4,0))))+SUMPRODUCT((Inputs!$E$5:$E$140=$B33)*ISNUMBER(INDEX(Inputs!$K$5:$AJ$140,0,MATCH(T$2,Inputs!$K$4:$AJ$4,0))))=0,NA(),SUMPRODUCT((Inputs!$A$5:$A$140=$B33)*Inputs!$B$5:$B$140*(((Inputs!$G$5:$G$140="moeda")+(Inputs!$G$5:$G$140="acoes"))*Inputs!$B$1+((Inputs!$G$5:$G$140&lt;&gt;"moeda")*(Inputs!$G$5:$G$140&lt;&gt;"acoes")))*INDEX(Inputs!$K$5:$AJ$140,0,MATCH(T$2,Inputs!$K$4:$AJ$4,0)))+SUMPRODUCT((Inputs!$C$5:$C$140=$B33)*Inputs!$D$5:$D$140*(((Inputs!$G$5:$G$140="moeda")+(Inputs!$G$5:$G$140="acoes"))*Inputs!$B$1+((Inputs!$G$5:$G$140&lt;&gt;"moeda")*(Inputs!$G$5:$G$140&lt;&gt;"acoes")))*INDEX(Inputs!$K$5:$AJ$140,0,MATCH(T$2,Inputs!$K$4:$AJ$4,0)))+SUMPRODUCT((Inputs!$E$5:$E$140=$B33)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3" s="6" t="e">
        <f>IF(ISNA(MATCH(U$2,Inputs!$K$4:$AJ$4,0)),NA(),IF(SUMPRODUCT((Inputs!$A$5:$A$140=$B33)*ISNUMBER(INDEX(Inputs!$K$5:$AJ$140,0,MATCH(U$2,Inputs!$K$4:$AJ$4,0))))+SUMPRODUCT((Inputs!$C$5:$C$140=$B33)*ISNUMBER(INDEX(Inputs!$K$5:$AJ$140,0,MATCH(U$2,Inputs!$K$4:$AJ$4,0))))+SUMPRODUCT((Inputs!$E$5:$E$140=$B33)*ISNUMBER(INDEX(Inputs!$K$5:$AJ$140,0,MATCH(U$2,Inputs!$K$4:$AJ$4,0))))=0,NA(),SUMPRODUCT((Inputs!$A$5:$A$140=$B33)*Inputs!$B$5:$B$140*(((Inputs!$G$5:$G$140="moeda")+(Inputs!$G$5:$G$140="acoes"))*Inputs!$B$1+((Inputs!$G$5:$G$140&lt;&gt;"moeda")*(Inputs!$G$5:$G$140&lt;&gt;"acoes")))*INDEX(Inputs!$K$5:$AJ$140,0,MATCH(U$2,Inputs!$K$4:$AJ$4,0)))+SUMPRODUCT((Inputs!$C$5:$C$140=$B33)*Inputs!$D$5:$D$140*(((Inputs!$G$5:$G$140="moeda")+(Inputs!$G$5:$G$140="acoes"))*Inputs!$B$1+((Inputs!$G$5:$G$140&lt;&gt;"moeda")*(Inputs!$G$5:$G$140&lt;&gt;"acoes")))*INDEX(Inputs!$K$5:$AJ$140,0,MATCH(U$2,Inputs!$K$4:$AJ$4,0)))+SUMPRODUCT((Inputs!$E$5:$E$140=$B33)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3" s="6" t="e">
        <f>IF(ISNA(MATCH(V$2,Inputs!$K$4:$AJ$4,0)),NA(),IF(SUMPRODUCT((Inputs!$A$5:$A$140=$B33)*ISNUMBER(INDEX(Inputs!$K$5:$AJ$140,0,MATCH(V$2,Inputs!$K$4:$AJ$4,0))))+SUMPRODUCT((Inputs!$C$5:$C$140=$B33)*ISNUMBER(INDEX(Inputs!$K$5:$AJ$140,0,MATCH(V$2,Inputs!$K$4:$AJ$4,0))))+SUMPRODUCT((Inputs!$E$5:$E$140=$B33)*ISNUMBER(INDEX(Inputs!$K$5:$AJ$140,0,MATCH(V$2,Inputs!$K$4:$AJ$4,0))))=0,NA(),SUMPRODUCT((Inputs!$A$5:$A$140=$B33)*Inputs!$B$5:$B$140*(((Inputs!$G$5:$G$140="moeda")+(Inputs!$G$5:$G$140="acoes"))*Inputs!$B$1+((Inputs!$G$5:$G$140&lt;&gt;"moeda")*(Inputs!$G$5:$G$140&lt;&gt;"acoes")))*INDEX(Inputs!$K$5:$AJ$140,0,MATCH(V$2,Inputs!$K$4:$AJ$4,0)))+SUMPRODUCT((Inputs!$C$5:$C$140=$B33)*Inputs!$D$5:$D$140*(((Inputs!$G$5:$G$140="moeda")+(Inputs!$G$5:$G$140="acoes"))*Inputs!$B$1+((Inputs!$G$5:$G$140&lt;&gt;"moeda")*(Inputs!$G$5:$G$140&lt;&gt;"acoes")))*INDEX(Inputs!$K$5:$AJ$140,0,MATCH(V$2,Inputs!$K$4:$AJ$4,0)))+SUMPRODUCT((Inputs!$E$5:$E$140=$B33)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3" s="3" t="e">
        <f>V33</f>
        <v>#N/A</v>
      </c>
      <c r="X33" s="6" t="e">
        <f>IF(ISNA(MATCH(X$2,Inputs!$K$4:$AJ$4,0)),NA(),IF(SUMPRODUCT((Inputs!$A$5:$A$140=$B33)*ISNUMBER(INDEX(Inputs!$K$5:$AJ$140,0,MATCH(X$2,Inputs!$K$4:$AJ$4,0))))+SUMPRODUCT((Inputs!$C$5:$C$140=$B33)*ISNUMBER(INDEX(Inputs!$K$5:$AJ$140,0,MATCH(X$2,Inputs!$K$4:$AJ$4,0))))+SUMPRODUCT((Inputs!$E$5:$E$140=$B33)*ISNUMBER(INDEX(Inputs!$K$5:$AJ$140,0,MATCH(X$2,Inputs!$K$4:$AJ$4,0))))=0,NA(),SUMPRODUCT((Inputs!$A$5:$A$140=$B33)*Inputs!$B$5:$B$140*(((Inputs!$G$5:$G$140="moeda")+(Inputs!$G$5:$G$140="acoes"))*Inputs!$B$1+((Inputs!$G$5:$G$140&lt;&gt;"moeda")*(Inputs!$G$5:$G$140&lt;&gt;"acoes")))*INDEX(Inputs!$K$5:$AJ$140,0,MATCH(X$2,Inputs!$K$4:$AJ$4,0)))+SUMPRODUCT((Inputs!$C$5:$C$140=$B33)*Inputs!$D$5:$D$140*(((Inputs!$G$5:$G$140="moeda")+(Inputs!$G$5:$G$140="acoes"))*Inputs!$B$1+((Inputs!$G$5:$G$140&lt;&gt;"moeda")*(Inputs!$G$5:$G$140&lt;&gt;"acoes")))*INDEX(Inputs!$K$5:$AJ$140,0,MATCH(X$2,Inputs!$K$4:$AJ$4,0)))+SUMPRODUCT((Inputs!$E$5:$E$140=$B33)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3" s="6" t="e">
        <f>IF(ISNA(MATCH(Y$2,Inputs!$K$4:$AJ$4,0)),NA(),IF(SUMPRODUCT((Inputs!$A$5:$A$140=$B33)*ISNUMBER(INDEX(Inputs!$K$5:$AJ$140,0,MATCH(Y$2,Inputs!$K$4:$AJ$4,0))))+SUMPRODUCT((Inputs!$C$5:$C$140=$B33)*ISNUMBER(INDEX(Inputs!$K$5:$AJ$140,0,MATCH(Y$2,Inputs!$K$4:$AJ$4,0))))+SUMPRODUCT((Inputs!$E$5:$E$140=$B33)*ISNUMBER(INDEX(Inputs!$K$5:$AJ$140,0,MATCH(Y$2,Inputs!$K$4:$AJ$4,0))))=0,NA(),SUMPRODUCT((Inputs!$A$5:$A$140=$B33)*Inputs!$B$5:$B$140*(((Inputs!$G$5:$G$140="moeda")+(Inputs!$G$5:$G$140="acoes"))*Inputs!$B$1+((Inputs!$G$5:$G$140&lt;&gt;"moeda")*(Inputs!$G$5:$G$140&lt;&gt;"acoes")))*INDEX(Inputs!$K$5:$AJ$140,0,MATCH(Y$2,Inputs!$K$4:$AJ$4,0)))+SUMPRODUCT((Inputs!$C$5:$C$140=$B33)*Inputs!$D$5:$D$140*(((Inputs!$G$5:$G$140="moeda")+(Inputs!$G$5:$G$140="acoes"))*Inputs!$B$1+((Inputs!$G$5:$G$140&lt;&gt;"moeda")*(Inputs!$G$5:$G$140&lt;&gt;"acoes")))*INDEX(Inputs!$K$5:$AJ$140,0,MATCH(Y$2,Inputs!$K$4:$AJ$4,0)))+SUMPRODUCT((Inputs!$E$5:$E$140=$B33)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3" s="6" t="e">
        <f>IF(ISNA(MATCH(Z$2,Inputs!$K$4:$AJ$4,0)),NA(),IF(SUMPRODUCT((Inputs!$A$5:$A$140=$B33)*ISNUMBER(INDEX(Inputs!$K$5:$AJ$140,0,MATCH(Z$2,Inputs!$K$4:$AJ$4,0))))+SUMPRODUCT((Inputs!$C$5:$C$140=$B33)*ISNUMBER(INDEX(Inputs!$K$5:$AJ$140,0,MATCH(Z$2,Inputs!$K$4:$AJ$4,0))))+SUMPRODUCT((Inputs!$E$5:$E$140=$B33)*ISNUMBER(INDEX(Inputs!$K$5:$AJ$140,0,MATCH(Z$2,Inputs!$K$4:$AJ$4,0))))=0,NA(),SUMPRODUCT((Inputs!$A$5:$A$140=$B33)*Inputs!$B$5:$B$140*(((Inputs!$G$5:$G$140="moeda")+(Inputs!$G$5:$G$140="acoes"))*Inputs!$B$1+((Inputs!$G$5:$G$140&lt;&gt;"moeda")*(Inputs!$G$5:$G$140&lt;&gt;"acoes")))*INDEX(Inputs!$K$5:$AJ$140,0,MATCH(Z$2,Inputs!$K$4:$AJ$4,0)))+SUMPRODUCT((Inputs!$C$5:$C$140=$B33)*Inputs!$D$5:$D$140*(((Inputs!$G$5:$G$140="moeda")+(Inputs!$G$5:$G$140="acoes"))*Inputs!$B$1+((Inputs!$G$5:$G$140&lt;&gt;"moeda")*(Inputs!$G$5:$G$140&lt;&gt;"acoes")))*INDEX(Inputs!$K$5:$AJ$140,0,MATCH(Z$2,Inputs!$K$4:$AJ$4,0)))+SUMPRODUCT((Inputs!$E$5:$E$140=$B33)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3" s="6" t="e">
        <f>IF(ISNA(MATCH(AA$2,Inputs!$K$4:$AJ$4,0)),NA(),IF(SUMPRODUCT((Inputs!$A$5:$A$140=$B33)*ISNUMBER(INDEX(Inputs!$K$5:$AJ$140,0,MATCH(AA$2,Inputs!$K$4:$AJ$4,0))))+SUMPRODUCT((Inputs!$C$5:$C$140=$B33)*ISNUMBER(INDEX(Inputs!$K$5:$AJ$140,0,MATCH(AA$2,Inputs!$K$4:$AJ$4,0))))+SUMPRODUCT((Inputs!$E$5:$E$140=$B33)*ISNUMBER(INDEX(Inputs!$K$5:$AJ$140,0,MATCH(AA$2,Inputs!$K$4:$AJ$4,0))))=0,NA(),SUMPRODUCT((Inputs!$A$5:$A$140=$B33)*Inputs!$B$5:$B$140*(((Inputs!$G$5:$G$140="moeda")+(Inputs!$G$5:$G$140="acoes"))*Inputs!$B$1+((Inputs!$G$5:$G$140&lt;&gt;"moeda")*(Inputs!$G$5:$G$140&lt;&gt;"acoes")))*INDEX(Inputs!$K$5:$AJ$140,0,MATCH(AA$2,Inputs!$K$4:$AJ$4,0)))+SUMPRODUCT((Inputs!$C$5:$C$140=$B33)*Inputs!$D$5:$D$140*(((Inputs!$G$5:$G$140="moeda")+(Inputs!$G$5:$G$140="acoes"))*Inputs!$B$1+((Inputs!$G$5:$G$140&lt;&gt;"moeda")*(Inputs!$G$5:$G$140&lt;&gt;"acoes")))*INDEX(Inputs!$K$5:$AJ$140,0,MATCH(AA$2,Inputs!$K$4:$AJ$4,0)))+SUMPRODUCT((Inputs!$E$5:$E$140=$B33)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3" s="3" t="e">
        <f>AA33</f>
        <v>#N/A</v>
      </c>
      <c r="AC33" s="6" t="e">
        <f>IF(ISNA(MATCH(AC$2,Inputs!$K$4:$AJ$4,0)),NA(),IF(SUMPRODUCT((Inputs!$A$5:$A$140=$B33)*ISNUMBER(INDEX(Inputs!$K$5:$AJ$140,0,MATCH(AC$2,Inputs!$K$4:$AJ$4,0))))+SUMPRODUCT((Inputs!$C$5:$C$140=$B33)*ISNUMBER(INDEX(Inputs!$K$5:$AJ$140,0,MATCH(AC$2,Inputs!$K$4:$AJ$4,0))))+SUMPRODUCT((Inputs!$E$5:$E$140=$B33)*ISNUMBER(INDEX(Inputs!$K$5:$AJ$140,0,MATCH(AC$2,Inputs!$K$4:$AJ$4,0))))=0,NA(),SUMPRODUCT((Inputs!$A$5:$A$140=$B33)*Inputs!$B$5:$B$140*(((Inputs!$G$5:$G$140="moeda")+(Inputs!$G$5:$G$140="acoes"))*Inputs!$B$1+((Inputs!$G$5:$G$140&lt;&gt;"moeda")*(Inputs!$G$5:$G$140&lt;&gt;"acoes")))*INDEX(Inputs!$K$5:$AJ$140,0,MATCH(AC$2,Inputs!$K$4:$AJ$4,0)))+SUMPRODUCT((Inputs!$C$5:$C$140=$B33)*Inputs!$D$5:$D$140*(((Inputs!$G$5:$G$140="moeda")+(Inputs!$G$5:$G$140="acoes"))*Inputs!$B$1+((Inputs!$G$5:$G$140&lt;&gt;"moeda")*(Inputs!$G$5:$G$140&lt;&gt;"acoes")))*INDEX(Inputs!$K$5:$AJ$140,0,MATCH(AC$2,Inputs!$K$4:$AJ$4,0)))+SUMPRODUCT((Inputs!$E$5:$E$140=$B33)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3" s="6" t="e">
        <f>IF(ISNA(MATCH(AD$2,Inputs!$K$4:$AJ$4,0)),NA(),IF(SUMPRODUCT((Inputs!$A$5:$A$140=$B33)*ISNUMBER(INDEX(Inputs!$K$5:$AJ$140,0,MATCH(AD$2,Inputs!$K$4:$AJ$4,0))))+SUMPRODUCT((Inputs!$C$5:$C$140=$B33)*ISNUMBER(INDEX(Inputs!$K$5:$AJ$140,0,MATCH(AD$2,Inputs!$K$4:$AJ$4,0))))+SUMPRODUCT((Inputs!$E$5:$E$140=$B33)*ISNUMBER(INDEX(Inputs!$K$5:$AJ$140,0,MATCH(AD$2,Inputs!$K$4:$AJ$4,0))))=0,NA(),SUMPRODUCT((Inputs!$A$5:$A$140=$B33)*Inputs!$B$5:$B$140*(((Inputs!$G$5:$G$140="moeda")+(Inputs!$G$5:$G$140="acoes"))*Inputs!$B$1+((Inputs!$G$5:$G$140&lt;&gt;"moeda")*(Inputs!$G$5:$G$140&lt;&gt;"acoes")))*INDEX(Inputs!$K$5:$AJ$140,0,MATCH(AD$2,Inputs!$K$4:$AJ$4,0)))+SUMPRODUCT((Inputs!$C$5:$C$140=$B33)*Inputs!$D$5:$D$140*(((Inputs!$G$5:$G$140="moeda")+(Inputs!$G$5:$G$140="acoes"))*Inputs!$B$1+((Inputs!$G$5:$G$140&lt;&gt;"moeda")*(Inputs!$G$5:$G$140&lt;&gt;"acoes")))*INDEX(Inputs!$K$5:$AJ$140,0,MATCH(AD$2,Inputs!$K$4:$AJ$4,0)))+SUMPRODUCT((Inputs!$E$5:$E$140=$B33)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3" s="6" t="e">
        <f>IF(ISNA(MATCH(AE$2,Inputs!$K$4:$AJ$4,0)),NA(),IF(SUMPRODUCT((Inputs!$A$5:$A$140=$B33)*ISNUMBER(INDEX(Inputs!$K$5:$AJ$140,0,MATCH(AE$2,Inputs!$K$4:$AJ$4,0))))+SUMPRODUCT((Inputs!$C$5:$C$140=$B33)*ISNUMBER(INDEX(Inputs!$K$5:$AJ$140,0,MATCH(AE$2,Inputs!$K$4:$AJ$4,0))))+SUMPRODUCT((Inputs!$E$5:$E$140=$B33)*ISNUMBER(INDEX(Inputs!$K$5:$AJ$140,0,MATCH(AE$2,Inputs!$K$4:$AJ$4,0))))=0,NA(),SUMPRODUCT((Inputs!$A$5:$A$140=$B33)*Inputs!$B$5:$B$140*(((Inputs!$G$5:$G$140="moeda")+(Inputs!$G$5:$G$140="acoes"))*Inputs!$B$1+((Inputs!$G$5:$G$140&lt;&gt;"moeda")*(Inputs!$G$5:$G$140&lt;&gt;"acoes")))*INDEX(Inputs!$K$5:$AJ$140,0,MATCH(AE$2,Inputs!$K$4:$AJ$4,0)))+SUMPRODUCT((Inputs!$C$5:$C$140=$B33)*Inputs!$D$5:$D$140*(((Inputs!$G$5:$G$140="moeda")+(Inputs!$G$5:$G$140="acoes"))*Inputs!$B$1+((Inputs!$G$5:$G$140&lt;&gt;"moeda")*(Inputs!$G$5:$G$140&lt;&gt;"acoes")))*INDEX(Inputs!$K$5:$AJ$140,0,MATCH(AE$2,Inputs!$K$4:$AJ$4,0)))+SUMPRODUCT((Inputs!$E$5:$E$140=$B33)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3" s="6" t="e">
        <f>IF(ISNA(MATCH(AF$2,Inputs!$K$4:$AJ$4,0)),NA(),IF(SUMPRODUCT((Inputs!$A$5:$A$140=$B33)*ISNUMBER(INDEX(Inputs!$K$5:$AJ$140,0,MATCH(AF$2,Inputs!$K$4:$AJ$4,0))))+SUMPRODUCT((Inputs!$C$5:$C$140=$B33)*ISNUMBER(INDEX(Inputs!$K$5:$AJ$140,0,MATCH(AF$2,Inputs!$K$4:$AJ$4,0))))+SUMPRODUCT((Inputs!$E$5:$E$140=$B33)*ISNUMBER(INDEX(Inputs!$K$5:$AJ$140,0,MATCH(AF$2,Inputs!$K$4:$AJ$4,0))))=0,NA(),SUMPRODUCT((Inputs!$A$5:$A$140=$B33)*Inputs!$B$5:$B$140*(((Inputs!$G$5:$G$140="moeda")+(Inputs!$G$5:$G$140="acoes"))*Inputs!$B$1+((Inputs!$G$5:$G$140&lt;&gt;"moeda")*(Inputs!$G$5:$G$140&lt;&gt;"acoes")))*INDEX(Inputs!$K$5:$AJ$140,0,MATCH(AF$2,Inputs!$K$4:$AJ$4,0)))+SUMPRODUCT((Inputs!$C$5:$C$140=$B33)*Inputs!$D$5:$D$140*(((Inputs!$G$5:$G$140="moeda")+(Inputs!$G$5:$G$140="acoes"))*Inputs!$B$1+((Inputs!$G$5:$G$140&lt;&gt;"moeda")*(Inputs!$G$5:$G$140&lt;&gt;"acoes")))*INDEX(Inputs!$K$5:$AJ$140,0,MATCH(AF$2,Inputs!$K$4:$AJ$4,0)))+SUMPRODUCT((Inputs!$E$5:$E$140=$B33)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3" s="3" t="e">
        <f>AF33</f>
        <v>#N/A</v>
      </c>
      <c r="AH33" s="6" t="e">
        <f>IF(ISNA(MATCH(AH$2,Inputs!$K$4:$AJ$4,0)),NA(),IF(SUMPRODUCT((Inputs!$A$5:$A$140=$B33)*ISNUMBER(INDEX(Inputs!$K$5:$AJ$140,0,MATCH(AH$2,Inputs!$K$4:$AJ$4,0))))+SUMPRODUCT((Inputs!$C$5:$C$140=$B33)*ISNUMBER(INDEX(Inputs!$K$5:$AJ$140,0,MATCH(AH$2,Inputs!$K$4:$AJ$4,0))))+SUMPRODUCT((Inputs!$E$5:$E$140=$B33)*ISNUMBER(INDEX(Inputs!$K$5:$AJ$140,0,MATCH(AH$2,Inputs!$K$4:$AJ$4,0))))=0,NA(),SUMPRODUCT((Inputs!$A$5:$A$140=$B33)*Inputs!$B$5:$B$140*(((Inputs!$G$5:$G$140="moeda")+(Inputs!$G$5:$G$140="acoes"))*Inputs!$B$1+((Inputs!$G$5:$G$140&lt;&gt;"moeda")*(Inputs!$G$5:$G$140&lt;&gt;"acoes")))*INDEX(Inputs!$K$5:$AJ$140,0,MATCH(AH$2,Inputs!$K$4:$AJ$4,0)))+SUMPRODUCT((Inputs!$C$5:$C$140=$B33)*Inputs!$D$5:$D$140*(((Inputs!$G$5:$G$140="moeda")+(Inputs!$G$5:$G$140="acoes"))*Inputs!$B$1+((Inputs!$G$5:$G$140&lt;&gt;"moeda")*(Inputs!$G$5:$G$140&lt;&gt;"acoes")))*INDEX(Inputs!$K$5:$AJ$140,0,MATCH(AH$2,Inputs!$K$4:$AJ$4,0)))+SUMPRODUCT((Inputs!$E$5:$E$140=$B33)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3" s="6" t="e">
        <f>IF(ISNA(MATCH(AI$2,Inputs!$K$4:$AJ$4,0)),NA(),IF(SUMPRODUCT((Inputs!$A$5:$A$140=$B33)*ISNUMBER(INDEX(Inputs!$K$5:$AJ$140,0,MATCH(AI$2,Inputs!$K$4:$AJ$4,0))))+SUMPRODUCT((Inputs!$C$5:$C$140=$B33)*ISNUMBER(INDEX(Inputs!$K$5:$AJ$140,0,MATCH(AI$2,Inputs!$K$4:$AJ$4,0))))+SUMPRODUCT((Inputs!$E$5:$E$140=$B33)*ISNUMBER(INDEX(Inputs!$K$5:$AJ$140,0,MATCH(AI$2,Inputs!$K$4:$AJ$4,0))))=0,NA(),SUMPRODUCT((Inputs!$A$5:$A$140=$B33)*Inputs!$B$5:$B$140*(((Inputs!$G$5:$G$140="moeda")+(Inputs!$G$5:$G$140="acoes"))*Inputs!$B$1+((Inputs!$G$5:$G$140&lt;&gt;"moeda")*(Inputs!$G$5:$G$140&lt;&gt;"acoes")))*INDEX(Inputs!$K$5:$AJ$140,0,MATCH(AI$2,Inputs!$K$4:$AJ$4,0)))+SUMPRODUCT((Inputs!$C$5:$C$140=$B33)*Inputs!$D$5:$D$140*(((Inputs!$G$5:$G$140="moeda")+(Inputs!$G$5:$G$140="acoes"))*Inputs!$B$1+((Inputs!$G$5:$G$140&lt;&gt;"moeda")*(Inputs!$G$5:$G$140&lt;&gt;"acoes")))*INDEX(Inputs!$K$5:$AJ$140,0,MATCH(AI$2,Inputs!$K$4:$AJ$4,0)))+SUMPRODUCT((Inputs!$E$5:$E$140=$B33)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3" s="6" t="e">
        <f>IF(ISNA(MATCH(AJ$2,Inputs!$K$4:$AJ$4,0)),NA(),IF(SUMPRODUCT((Inputs!$A$5:$A$140=$B33)*ISNUMBER(INDEX(Inputs!$K$5:$AJ$140,0,MATCH(AJ$2,Inputs!$K$4:$AJ$4,0))))+SUMPRODUCT((Inputs!$C$5:$C$140=$B33)*ISNUMBER(INDEX(Inputs!$K$5:$AJ$140,0,MATCH(AJ$2,Inputs!$K$4:$AJ$4,0))))+SUMPRODUCT((Inputs!$E$5:$E$140=$B33)*ISNUMBER(INDEX(Inputs!$K$5:$AJ$140,0,MATCH(AJ$2,Inputs!$K$4:$AJ$4,0))))=0,NA(),SUMPRODUCT((Inputs!$A$5:$A$140=$B33)*Inputs!$B$5:$B$140*(((Inputs!$G$5:$G$140="moeda")+(Inputs!$G$5:$G$140="acoes"))*Inputs!$B$1+((Inputs!$G$5:$G$140&lt;&gt;"moeda")*(Inputs!$G$5:$G$140&lt;&gt;"acoes")))*INDEX(Inputs!$K$5:$AJ$140,0,MATCH(AJ$2,Inputs!$K$4:$AJ$4,0)))+SUMPRODUCT((Inputs!$C$5:$C$140=$B33)*Inputs!$D$5:$D$140*(((Inputs!$G$5:$G$140="moeda")+(Inputs!$G$5:$G$140="acoes"))*Inputs!$B$1+((Inputs!$G$5:$G$140&lt;&gt;"moeda")*(Inputs!$G$5:$G$140&lt;&gt;"acoes")))*INDEX(Inputs!$K$5:$AJ$140,0,MATCH(AJ$2,Inputs!$K$4:$AJ$4,0)))+SUMPRODUCT((Inputs!$E$5:$E$140=$B33)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3" s="6" t="e">
        <f>IF(ISNA(MATCH(AK$2,Inputs!$K$4:$AJ$4,0)),NA(),IF(SUMPRODUCT((Inputs!$A$5:$A$140=$B33)*ISNUMBER(INDEX(Inputs!$K$5:$AJ$140,0,MATCH(AK$2,Inputs!$K$4:$AJ$4,0))))+SUMPRODUCT((Inputs!$C$5:$C$140=$B33)*ISNUMBER(INDEX(Inputs!$K$5:$AJ$140,0,MATCH(AK$2,Inputs!$K$4:$AJ$4,0))))+SUMPRODUCT((Inputs!$E$5:$E$140=$B33)*ISNUMBER(INDEX(Inputs!$K$5:$AJ$140,0,MATCH(AK$2,Inputs!$K$4:$AJ$4,0))))=0,NA(),SUMPRODUCT((Inputs!$A$5:$A$140=$B33)*Inputs!$B$5:$B$140*(((Inputs!$G$5:$G$140="moeda")+(Inputs!$G$5:$G$140="acoes"))*Inputs!$B$1+((Inputs!$G$5:$G$140&lt;&gt;"moeda")*(Inputs!$G$5:$G$140&lt;&gt;"acoes")))*INDEX(Inputs!$K$5:$AJ$140,0,MATCH(AK$2,Inputs!$K$4:$AJ$4,0)))+SUMPRODUCT((Inputs!$C$5:$C$140=$B33)*Inputs!$D$5:$D$140*(((Inputs!$G$5:$G$140="moeda")+(Inputs!$G$5:$G$140="acoes"))*Inputs!$B$1+((Inputs!$G$5:$G$140&lt;&gt;"moeda")*(Inputs!$G$5:$G$140&lt;&gt;"acoes")))*INDEX(Inputs!$K$5:$AJ$140,0,MATCH(AK$2,Inputs!$K$4:$AJ$4,0)))+SUMPRODUCT((Inputs!$E$5:$E$140=$B33)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$140=$B34)*ISNUMBER(INDEX(Inputs!$K$5:$AJ$140,0,MATCH(D$2,Inputs!$K$4:$AJ$4,0))))+SUMPRODUCT((Inputs!$C$5:$C$140=$B34)*ISNUMBER(INDEX(Inputs!$K$5:$AJ$140,0,MATCH(D$2,Inputs!$K$4:$AJ$4,0))))+SUMPRODUCT((Inputs!$E$5:$E$140=$B34)*ISNUMBER(INDEX(Inputs!$K$5:$AJ$140,0,MATCH(D$2,Inputs!$K$4:$AJ$4,0))))=0,NA(),SUMPRODUCT((Inputs!$A$5:$A$140=$B34)*Inputs!$B$5:$B$140*(((Inputs!$G$5:$G$140="moeda")+(Inputs!$G$5:$G$140="acoes"))*Inputs!$B$1+((Inputs!$G$5:$G$140&lt;&gt;"moeda")*(Inputs!$G$5:$G$140&lt;&gt;"acoes")))*INDEX(Inputs!$K$5:$AJ$140,0,MATCH(D$2,Inputs!$K$4:$AJ$4,0)))+SUMPRODUCT((Inputs!$C$5:$C$140=$B34)*Inputs!$D$5:$D$140*(((Inputs!$G$5:$G$140="moeda")+(Inputs!$G$5:$G$140="acoes"))*Inputs!$B$1+((Inputs!$G$5:$G$140&lt;&gt;"moeda")*(Inputs!$G$5:$G$140&lt;&gt;"acoes")))*INDEX(Inputs!$K$5:$AJ$140,0,MATCH(D$2,Inputs!$K$4:$AJ$4,0)))+SUMPRODUCT((Inputs!$E$5:$E$140=$B34)*Inputs!$F$5:$F$140*(((Inputs!$G$5:$G$140="moeda")+(Inputs!$G$5:$G$140="acoes"))*Inputs!$B$1+((Inputs!$G$5:$G$140&lt;&gt;"moeda")*(Inputs!$G$5:$G$140&lt;&gt;"acoes")))*INDEX(Inputs!$K$5:$AJ$140,0,MATCH(D$2,Inputs!$K$4:$AJ$4,0)))))</f>
        <v>71.36550853</v>
      </c>
      <c r="E34" s="6">
        <f>IF(ISNA(MATCH(E$2,Inputs!$K$4:$AJ$4,0)),NA(),IF(SUMPRODUCT((Inputs!$A$5:$A$140=$B34)*ISNUMBER(INDEX(Inputs!$K$5:$AJ$140,0,MATCH(E$2,Inputs!$K$4:$AJ$4,0))))+SUMPRODUCT((Inputs!$C$5:$C$140=$B34)*ISNUMBER(INDEX(Inputs!$K$5:$AJ$140,0,MATCH(E$2,Inputs!$K$4:$AJ$4,0))))+SUMPRODUCT((Inputs!$E$5:$E$140=$B34)*ISNUMBER(INDEX(Inputs!$K$5:$AJ$140,0,MATCH(E$2,Inputs!$K$4:$AJ$4,0))))=0,NA(),SUMPRODUCT((Inputs!$A$5:$A$140=$B34)*Inputs!$B$5:$B$140*(((Inputs!$G$5:$G$140="moeda")+(Inputs!$G$5:$G$140="acoes"))*Inputs!$B$1+((Inputs!$G$5:$G$140&lt;&gt;"moeda")*(Inputs!$G$5:$G$140&lt;&gt;"acoes")))*INDEX(Inputs!$K$5:$AJ$140,0,MATCH(E$2,Inputs!$K$4:$AJ$4,0)))+SUMPRODUCT((Inputs!$C$5:$C$140=$B34)*Inputs!$D$5:$D$140*(((Inputs!$G$5:$G$140="moeda")+(Inputs!$G$5:$G$140="acoes"))*Inputs!$B$1+((Inputs!$G$5:$G$140&lt;&gt;"moeda")*(Inputs!$G$5:$G$140&lt;&gt;"acoes")))*INDEX(Inputs!$K$5:$AJ$140,0,MATCH(E$2,Inputs!$K$4:$AJ$4,0)))+SUMPRODUCT((Inputs!$E$5:$E$140=$B34)*Inputs!$F$5:$F$140*(((Inputs!$G$5:$G$140="moeda")+(Inputs!$G$5:$G$140="acoes"))*Inputs!$B$1+((Inputs!$G$5:$G$140&lt;&gt;"moeda")*(Inputs!$G$5:$G$140&lt;&gt;"acoes")))*INDEX(Inputs!$K$5:$AJ$140,0,MATCH(E$2,Inputs!$K$4:$AJ$4,0)))))</f>
        <v>68.69276446</v>
      </c>
      <c r="F34" s="6">
        <f>IF(ISNA(MATCH(F$2,Inputs!$K$4:$AJ$4,0)),NA(),IF(SUMPRODUCT((Inputs!$A$5:$A$140=$B34)*ISNUMBER(INDEX(Inputs!$K$5:$AJ$140,0,MATCH(F$2,Inputs!$K$4:$AJ$4,0))))+SUMPRODUCT((Inputs!$C$5:$C$140=$B34)*ISNUMBER(INDEX(Inputs!$K$5:$AJ$140,0,MATCH(F$2,Inputs!$K$4:$AJ$4,0))))+SUMPRODUCT((Inputs!$E$5:$E$140=$B34)*ISNUMBER(INDEX(Inputs!$K$5:$AJ$140,0,MATCH(F$2,Inputs!$K$4:$AJ$4,0))))=0,NA(),SUMPRODUCT((Inputs!$A$5:$A$140=$B34)*Inputs!$B$5:$B$140*(((Inputs!$G$5:$G$140="moeda")+(Inputs!$G$5:$G$140="acoes"))*Inputs!$B$1+((Inputs!$G$5:$G$140&lt;&gt;"moeda")*(Inputs!$G$5:$G$140&lt;&gt;"acoes")))*INDEX(Inputs!$K$5:$AJ$140,0,MATCH(F$2,Inputs!$K$4:$AJ$4,0)))+SUMPRODUCT((Inputs!$C$5:$C$140=$B34)*Inputs!$D$5:$D$140*(((Inputs!$G$5:$G$140="moeda")+(Inputs!$G$5:$G$140="acoes"))*Inputs!$B$1+((Inputs!$G$5:$G$140&lt;&gt;"moeda")*(Inputs!$G$5:$G$140&lt;&gt;"acoes")))*INDEX(Inputs!$K$5:$AJ$140,0,MATCH(F$2,Inputs!$K$4:$AJ$4,0)))+SUMPRODUCT((Inputs!$E$5:$E$140=$B34)*Inputs!$F$5:$F$140*(((Inputs!$G$5:$G$140="moeda")+(Inputs!$G$5:$G$140="acoes"))*Inputs!$B$1+((Inputs!$G$5:$G$140&lt;&gt;"moeda")*(Inputs!$G$5:$G$140&lt;&gt;"acoes")))*INDEX(Inputs!$K$5:$AJ$140,0,MATCH(F$2,Inputs!$K$4:$AJ$4,0)))))</f>
        <v>54.577</v>
      </c>
      <c r="G34" s="6">
        <f>IF(ISNA(MATCH(G$2,Inputs!$K$4:$AJ$4,0)),NA(),IF(SUMPRODUCT((Inputs!$A$5:$A$140=$B34)*ISNUMBER(INDEX(Inputs!$K$5:$AJ$140,0,MATCH(G$2,Inputs!$K$4:$AJ$4,0))))+SUMPRODUCT((Inputs!$C$5:$C$140=$B34)*ISNUMBER(INDEX(Inputs!$K$5:$AJ$140,0,MATCH(G$2,Inputs!$K$4:$AJ$4,0))))+SUMPRODUCT((Inputs!$E$5:$E$140=$B34)*ISNUMBER(INDEX(Inputs!$K$5:$AJ$140,0,MATCH(G$2,Inputs!$K$4:$AJ$4,0))))=0,NA(),SUMPRODUCT((Inputs!$A$5:$A$140=$B34)*Inputs!$B$5:$B$140*(((Inputs!$G$5:$G$140="moeda")+(Inputs!$G$5:$G$140="acoes"))*Inputs!$B$1+((Inputs!$G$5:$G$140&lt;&gt;"moeda")*(Inputs!$G$5:$G$140&lt;&gt;"acoes")))*INDEX(Inputs!$K$5:$AJ$140,0,MATCH(G$2,Inputs!$K$4:$AJ$4,0)))+SUMPRODUCT((Inputs!$C$5:$C$140=$B34)*Inputs!$D$5:$D$140*(((Inputs!$G$5:$G$140="moeda")+(Inputs!$G$5:$G$140="acoes"))*Inputs!$B$1+((Inputs!$G$5:$G$140&lt;&gt;"moeda")*(Inputs!$G$5:$G$140&lt;&gt;"acoes")))*INDEX(Inputs!$K$5:$AJ$140,0,MATCH(G$2,Inputs!$K$4:$AJ$4,0)))+SUMPRODUCT((Inputs!$E$5:$E$140=$B34)*Inputs!$F$5:$F$140*(((Inputs!$G$5:$G$140="moeda")+(Inputs!$G$5:$G$140="acoes"))*Inputs!$B$1+((Inputs!$G$5:$G$140&lt;&gt;"moeda")*(Inputs!$G$5:$G$140&lt;&gt;"acoes")))*INDEX(Inputs!$K$5:$AJ$140,0,MATCH(G$2,Inputs!$K$4:$AJ$4,0)))))</f>
        <v>61.137</v>
      </c>
      <c r="H34" s="3">
        <f>G34</f>
        <v>61.137</v>
      </c>
      <c r="I34" s="6">
        <f>IF(ISNA(MATCH(I$2,Inputs!$K$4:$AJ$4,0)),NA(),IF(SUMPRODUCT((Inputs!$A$5:$A$140=$B34)*ISNUMBER(INDEX(Inputs!$K$5:$AJ$140,0,MATCH(I$2,Inputs!$K$4:$AJ$4,0))))+SUMPRODUCT((Inputs!$C$5:$C$140=$B34)*ISNUMBER(INDEX(Inputs!$K$5:$AJ$140,0,MATCH(I$2,Inputs!$K$4:$AJ$4,0))))+SUMPRODUCT((Inputs!$E$5:$E$140=$B34)*ISNUMBER(INDEX(Inputs!$K$5:$AJ$140,0,MATCH(I$2,Inputs!$K$4:$AJ$4,0))))=0,NA(),SUMPRODUCT((Inputs!$A$5:$A$140=$B34)*Inputs!$B$5:$B$140*(((Inputs!$G$5:$G$140="moeda")+(Inputs!$G$5:$G$140="acoes"))*Inputs!$B$1+((Inputs!$G$5:$G$140&lt;&gt;"moeda")*(Inputs!$G$5:$G$140&lt;&gt;"acoes")))*INDEX(Inputs!$K$5:$AJ$140,0,MATCH(I$2,Inputs!$K$4:$AJ$4,0)))+SUMPRODUCT((Inputs!$C$5:$C$140=$B34)*Inputs!$D$5:$D$140*(((Inputs!$G$5:$G$140="moeda")+(Inputs!$G$5:$G$140="acoes"))*Inputs!$B$1+((Inputs!$G$5:$G$140&lt;&gt;"moeda")*(Inputs!$G$5:$G$140&lt;&gt;"acoes")))*INDEX(Inputs!$K$5:$AJ$140,0,MATCH(I$2,Inputs!$K$4:$AJ$4,0)))+SUMPRODUCT((Inputs!$E$5:$E$140=$B34)*Inputs!$F$5:$F$140*(((Inputs!$G$5:$G$140="moeda")+(Inputs!$G$5:$G$140="acoes"))*Inputs!$B$1+((Inputs!$G$5:$G$140&lt;&gt;"moeda")*(Inputs!$G$5:$G$140&lt;&gt;"acoes")))*INDEX(Inputs!$K$5:$AJ$140,0,MATCH(I$2,Inputs!$K$4:$AJ$4,0)))))</f>
        <v>70.026</v>
      </c>
      <c r="J34" s="6">
        <f>IF(ISNA(MATCH(J$2,Inputs!$K$4:$AJ$4,0)),NA(),IF(SUMPRODUCT((Inputs!$A$5:$A$140=$B34)*ISNUMBER(INDEX(Inputs!$K$5:$AJ$140,0,MATCH(J$2,Inputs!$K$4:$AJ$4,0))))+SUMPRODUCT((Inputs!$C$5:$C$140=$B34)*ISNUMBER(INDEX(Inputs!$K$5:$AJ$140,0,MATCH(J$2,Inputs!$K$4:$AJ$4,0))))+SUMPRODUCT((Inputs!$E$5:$E$140=$B34)*ISNUMBER(INDEX(Inputs!$K$5:$AJ$140,0,MATCH(J$2,Inputs!$K$4:$AJ$4,0))))=0,NA(),SUMPRODUCT((Inputs!$A$5:$A$140=$B34)*Inputs!$B$5:$B$140*(((Inputs!$G$5:$G$140="moeda")+(Inputs!$G$5:$G$140="acoes"))*Inputs!$B$1+((Inputs!$G$5:$G$140&lt;&gt;"moeda")*(Inputs!$G$5:$G$140&lt;&gt;"acoes")))*INDEX(Inputs!$K$5:$AJ$140,0,MATCH(J$2,Inputs!$K$4:$AJ$4,0)))+SUMPRODUCT((Inputs!$C$5:$C$140=$B34)*Inputs!$D$5:$D$140*(((Inputs!$G$5:$G$140="moeda")+(Inputs!$G$5:$G$140="acoes"))*Inputs!$B$1+((Inputs!$G$5:$G$140&lt;&gt;"moeda")*(Inputs!$G$5:$G$140&lt;&gt;"acoes")))*INDEX(Inputs!$K$5:$AJ$140,0,MATCH(J$2,Inputs!$K$4:$AJ$4,0)))+SUMPRODUCT((Inputs!$E$5:$E$140=$B34)*Inputs!$F$5:$F$140*(((Inputs!$G$5:$G$140="moeda")+(Inputs!$G$5:$G$140="acoes"))*Inputs!$B$1+((Inputs!$G$5:$G$140&lt;&gt;"moeda")*(Inputs!$G$5:$G$140&lt;&gt;"acoes")))*INDEX(Inputs!$K$5:$AJ$140,0,MATCH(J$2,Inputs!$K$4:$AJ$4,0)))))</f>
        <v>78.059</v>
      </c>
      <c r="K34" s="6">
        <f>IF(ISNA(MATCH(K$2,Inputs!$K$4:$AJ$4,0)),NA(),IF(SUMPRODUCT((Inputs!$A$5:$A$140=$B34)*ISNUMBER(INDEX(Inputs!$K$5:$AJ$140,0,MATCH(K$2,Inputs!$K$4:$AJ$4,0))))+SUMPRODUCT((Inputs!$C$5:$C$140=$B34)*ISNUMBER(INDEX(Inputs!$K$5:$AJ$140,0,MATCH(K$2,Inputs!$K$4:$AJ$4,0))))+SUMPRODUCT((Inputs!$E$5:$E$140=$B34)*ISNUMBER(INDEX(Inputs!$K$5:$AJ$140,0,MATCH(K$2,Inputs!$K$4:$AJ$4,0))))=0,NA(),SUMPRODUCT((Inputs!$A$5:$A$140=$B34)*Inputs!$B$5:$B$140*(((Inputs!$G$5:$G$140="moeda")+(Inputs!$G$5:$G$140="acoes"))*Inputs!$B$1+((Inputs!$G$5:$G$140&lt;&gt;"moeda")*(Inputs!$G$5:$G$140&lt;&gt;"acoes")))*INDEX(Inputs!$K$5:$AJ$140,0,MATCH(K$2,Inputs!$K$4:$AJ$4,0)))+SUMPRODUCT((Inputs!$C$5:$C$140=$B34)*Inputs!$D$5:$D$140*(((Inputs!$G$5:$G$140="moeda")+(Inputs!$G$5:$G$140="acoes"))*Inputs!$B$1+((Inputs!$G$5:$G$140&lt;&gt;"moeda")*(Inputs!$G$5:$G$140&lt;&gt;"acoes")))*INDEX(Inputs!$K$5:$AJ$140,0,MATCH(K$2,Inputs!$K$4:$AJ$4,0)))+SUMPRODUCT((Inputs!$E$5:$E$140=$B34)*Inputs!$F$5:$F$140*(((Inputs!$G$5:$G$140="moeda")+(Inputs!$G$5:$G$140="acoes"))*Inputs!$B$1+((Inputs!$G$5:$G$140&lt;&gt;"moeda")*(Inputs!$G$5:$G$140&lt;&gt;"acoes")))*INDEX(Inputs!$K$5:$AJ$140,0,MATCH(K$2,Inputs!$K$4:$AJ$4,0)))))</f>
        <v>77.645</v>
      </c>
      <c r="L34" s="6">
        <f>IF(ISNA(MATCH(L$2,Inputs!$K$4:$AJ$4,0)),NA(),IF(SUMPRODUCT((Inputs!$A$5:$A$140=$B34)*ISNUMBER(INDEX(Inputs!$K$5:$AJ$140,0,MATCH(L$2,Inputs!$K$4:$AJ$4,0))))+SUMPRODUCT((Inputs!$C$5:$C$140=$B34)*ISNUMBER(INDEX(Inputs!$K$5:$AJ$140,0,MATCH(L$2,Inputs!$K$4:$AJ$4,0))))+SUMPRODUCT((Inputs!$E$5:$E$140=$B34)*ISNUMBER(INDEX(Inputs!$K$5:$AJ$140,0,MATCH(L$2,Inputs!$K$4:$AJ$4,0))))=0,NA(),SUMPRODUCT((Inputs!$A$5:$A$140=$B34)*Inputs!$B$5:$B$140*(((Inputs!$G$5:$G$140="moeda")+(Inputs!$G$5:$G$140="acoes"))*Inputs!$B$1+((Inputs!$G$5:$G$140&lt;&gt;"moeda")*(Inputs!$G$5:$G$140&lt;&gt;"acoes")))*INDEX(Inputs!$K$5:$AJ$140,0,MATCH(L$2,Inputs!$K$4:$AJ$4,0)))+SUMPRODUCT((Inputs!$C$5:$C$140=$B34)*Inputs!$D$5:$D$140*(((Inputs!$G$5:$G$140="moeda")+(Inputs!$G$5:$G$140="acoes"))*Inputs!$B$1+((Inputs!$G$5:$G$140&lt;&gt;"moeda")*(Inputs!$G$5:$G$140&lt;&gt;"acoes")))*INDEX(Inputs!$K$5:$AJ$140,0,MATCH(L$2,Inputs!$K$4:$AJ$4,0)))+SUMPRODUCT((Inputs!$E$5:$E$140=$B34)*Inputs!$F$5:$F$140*(((Inputs!$G$5:$G$140="moeda")+(Inputs!$G$5:$G$140="acoes"))*Inputs!$B$1+((Inputs!$G$5:$G$140&lt;&gt;"moeda")*(Inputs!$G$5:$G$140&lt;&gt;"acoes")))*INDEX(Inputs!$K$5:$AJ$140,0,MATCH(L$2,Inputs!$K$4:$AJ$4,0)))))</f>
        <v>80.274</v>
      </c>
      <c r="M34" s="3">
        <f>L34</f>
        <v>80.274</v>
      </c>
      <c r="N34" s="6">
        <f>IF(ISNA(MATCH(N$2,Inputs!$K$4:$AJ$4,0)),NA(),IF(SUMPRODUCT((Inputs!$A$5:$A$140=$B34)*ISNUMBER(INDEX(Inputs!$K$5:$AJ$140,0,MATCH(N$2,Inputs!$K$4:$AJ$4,0))))+SUMPRODUCT((Inputs!$C$5:$C$140=$B34)*ISNUMBER(INDEX(Inputs!$K$5:$AJ$140,0,MATCH(N$2,Inputs!$K$4:$AJ$4,0))))+SUMPRODUCT((Inputs!$E$5:$E$140=$B34)*ISNUMBER(INDEX(Inputs!$K$5:$AJ$140,0,MATCH(N$2,Inputs!$K$4:$AJ$4,0))))=0,NA(),SUMPRODUCT((Inputs!$A$5:$A$140=$B34)*Inputs!$B$5:$B$140*(((Inputs!$G$5:$G$140="moeda")+(Inputs!$G$5:$G$140="acoes"))*Inputs!$B$1+((Inputs!$G$5:$G$140&lt;&gt;"moeda")*(Inputs!$G$5:$G$140&lt;&gt;"acoes")))*INDEX(Inputs!$K$5:$AJ$140,0,MATCH(N$2,Inputs!$K$4:$AJ$4,0)))+SUMPRODUCT((Inputs!$C$5:$C$140=$B34)*Inputs!$D$5:$D$140*(((Inputs!$G$5:$G$140="moeda")+(Inputs!$G$5:$G$140="acoes"))*Inputs!$B$1+((Inputs!$G$5:$G$140&lt;&gt;"moeda")*(Inputs!$G$5:$G$140&lt;&gt;"acoes")))*INDEX(Inputs!$K$5:$AJ$140,0,MATCH(N$2,Inputs!$K$4:$AJ$4,0)))+SUMPRODUCT((Inputs!$E$5:$E$140=$B34)*Inputs!$F$5:$F$140*(((Inputs!$G$5:$G$140="moeda")+(Inputs!$G$5:$G$140="acoes"))*Inputs!$B$1+((Inputs!$G$5:$G$140&lt;&gt;"moeda")*(Inputs!$G$5:$G$140&lt;&gt;"acoes")))*INDEX(Inputs!$K$5:$AJ$140,0,MATCH(N$2,Inputs!$K$4:$AJ$4,0)))))</f>
        <v>81.877</v>
      </c>
      <c r="O34" s="6">
        <f>IF(ISNA(MATCH(O$2,Inputs!$K$4:$AJ$4,0)),NA(),IF(SUMPRODUCT((Inputs!$A$5:$A$140=$B34)*ISNUMBER(INDEX(Inputs!$K$5:$AJ$140,0,MATCH(O$2,Inputs!$K$4:$AJ$4,0))))+SUMPRODUCT((Inputs!$C$5:$C$140=$B34)*ISNUMBER(INDEX(Inputs!$K$5:$AJ$140,0,MATCH(O$2,Inputs!$K$4:$AJ$4,0))))+SUMPRODUCT((Inputs!$E$5:$E$140=$B34)*ISNUMBER(INDEX(Inputs!$K$5:$AJ$140,0,MATCH(O$2,Inputs!$K$4:$AJ$4,0))))=0,NA(),SUMPRODUCT((Inputs!$A$5:$A$140=$B34)*Inputs!$B$5:$B$140*(((Inputs!$G$5:$G$140="moeda")+(Inputs!$G$5:$G$140="acoes"))*Inputs!$B$1+((Inputs!$G$5:$G$140&lt;&gt;"moeda")*(Inputs!$G$5:$G$140&lt;&gt;"acoes")))*INDEX(Inputs!$K$5:$AJ$140,0,MATCH(O$2,Inputs!$K$4:$AJ$4,0)))+SUMPRODUCT((Inputs!$C$5:$C$140=$B34)*Inputs!$D$5:$D$140*(((Inputs!$G$5:$G$140="moeda")+(Inputs!$G$5:$G$140="acoes"))*Inputs!$B$1+((Inputs!$G$5:$G$140&lt;&gt;"moeda")*(Inputs!$G$5:$G$140&lt;&gt;"acoes")))*INDEX(Inputs!$K$5:$AJ$140,0,MATCH(O$2,Inputs!$K$4:$AJ$4,0)))+SUMPRODUCT((Inputs!$E$5:$E$140=$B34)*Inputs!$F$5:$F$140*(((Inputs!$G$5:$G$140="moeda")+(Inputs!$G$5:$G$140="acoes"))*Inputs!$B$1+((Inputs!$G$5:$G$140&lt;&gt;"moeda")*(Inputs!$G$5:$G$140&lt;&gt;"acoes")))*INDEX(Inputs!$K$5:$AJ$140,0,MATCH(O$2,Inputs!$K$4:$AJ$4,0)))))</f>
        <v>53.549</v>
      </c>
      <c r="P34" s="6">
        <f>IF(ISNA(MATCH(P$2,Inputs!$K$4:$AJ$4,0)),NA(),IF(SUMPRODUCT((Inputs!$A$5:$A$140=$B34)*ISNUMBER(INDEX(Inputs!$K$5:$AJ$140,0,MATCH(P$2,Inputs!$K$4:$AJ$4,0))))+SUMPRODUCT((Inputs!$C$5:$C$140=$B34)*ISNUMBER(INDEX(Inputs!$K$5:$AJ$140,0,MATCH(P$2,Inputs!$K$4:$AJ$4,0))))+SUMPRODUCT((Inputs!$E$5:$E$140=$B34)*ISNUMBER(INDEX(Inputs!$K$5:$AJ$140,0,MATCH(P$2,Inputs!$K$4:$AJ$4,0))))=0,NA(),SUMPRODUCT((Inputs!$A$5:$A$140=$B34)*Inputs!$B$5:$B$140*(((Inputs!$G$5:$G$140="moeda")+(Inputs!$G$5:$G$140="acoes"))*Inputs!$B$1+((Inputs!$G$5:$G$140&lt;&gt;"moeda")*(Inputs!$G$5:$G$140&lt;&gt;"acoes")))*INDEX(Inputs!$K$5:$AJ$140,0,MATCH(P$2,Inputs!$K$4:$AJ$4,0)))+SUMPRODUCT((Inputs!$C$5:$C$140=$B34)*Inputs!$D$5:$D$140*(((Inputs!$G$5:$G$140="moeda")+(Inputs!$G$5:$G$140="acoes"))*Inputs!$B$1+((Inputs!$G$5:$G$140&lt;&gt;"moeda")*(Inputs!$G$5:$G$140&lt;&gt;"acoes")))*INDEX(Inputs!$K$5:$AJ$140,0,MATCH(P$2,Inputs!$K$4:$AJ$4,0)))+SUMPRODUCT((Inputs!$E$5:$E$140=$B34)*Inputs!$F$5:$F$140*(((Inputs!$G$5:$G$140="moeda")+(Inputs!$G$5:$G$140="acoes"))*Inputs!$B$1+((Inputs!$G$5:$G$140&lt;&gt;"moeda")*(Inputs!$G$5:$G$140&lt;&gt;"acoes")))*INDEX(Inputs!$K$5:$AJ$140,0,MATCH(P$2,Inputs!$K$4:$AJ$4,0)))))</f>
        <v>35.351</v>
      </c>
      <c r="Q34" s="6">
        <f>IF(ISNA(MATCH(Q$2,Inputs!$K$4:$AJ$4,0)),NA(),IF(SUMPRODUCT((Inputs!$A$5:$A$140=$B34)*ISNUMBER(INDEX(Inputs!$K$5:$AJ$140,0,MATCH(Q$2,Inputs!$K$4:$AJ$4,0))))+SUMPRODUCT((Inputs!$C$5:$C$140=$B34)*ISNUMBER(INDEX(Inputs!$K$5:$AJ$140,0,MATCH(Q$2,Inputs!$K$4:$AJ$4,0))))+SUMPRODUCT((Inputs!$E$5:$E$140=$B34)*ISNUMBER(INDEX(Inputs!$K$5:$AJ$140,0,MATCH(Q$2,Inputs!$K$4:$AJ$4,0))))=0,NA(),SUMPRODUCT((Inputs!$A$5:$A$140=$B34)*Inputs!$B$5:$B$140*(((Inputs!$G$5:$G$140="moeda")+(Inputs!$G$5:$G$140="acoes"))*Inputs!$B$1+((Inputs!$G$5:$G$140&lt;&gt;"moeda")*(Inputs!$G$5:$G$140&lt;&gt;"acoes")))*INDEX(Inputs!$K$5:$AJ$140,0,MATCH(Q$2,Inputs!$K$4:$AJ$4,0)))+SUMPRODUCT((Inputs!$C$5:$C$140=$B34)*Inputs!$D$5:$D$140*(((Inputs!$G$5:$G$140="moeda")+(Inputs!$G$5:$G$140="acoes"))*Inputs!$B$1+((Inputs!$G$5:$G$140&lt;&gt;"moeda")*(Inputs!$G$5:$G$140&lt;&gt;"acoes")))*INDEX(Inputs!$K$5:$AJ$140,0,MATCH(Q$2,Inputs!$K$4:$AJ$4,0)))+SUMPRODUCT((Inputs!$E$5:$E$140=$B34)*Inputs!$F$5:$F$140*(((Inputs!$G$5:$G$140="moeda")+(Inputs!$G$5:$G$140="acoes"))*Inputs!$B$1+((Inputs!$G$5:$G$140&lt;&gt;"moeda")*(Inputs!$G$5:$G$140&lt;&gt;"acoes")))*INDEX(Inputs!$K$5:$AJ$140,0,MATCH(Q$2,Inputs!$K$4:$AJ$4,0)))))</f>
        <v>35.626</v>
      </c>
      <c r="R34" s="3">
        <f>Q34</f>
        <v>35.626</v>
      </c>
      <c r="S34" s="6">
        <f>IF(ISNA(MATCH(S$2,Inputs!$K$4:$AJ$4,0)),NA(),IF(SUMPRODUCT((Inputs!$A$5:$A$140=$B34)*ISNUMBER(INDEX(Inputs!$K$5:$AJ$140,0,MATCH(S$2,Inputs!$K$4:$AJ$4,0))))+SUMPRODUCT((Inputs!$C$5:$C$140=$B34)*ISNUMBER(INDEX(Inputs!$K$5:$AJ$140,0,MATCH(S$2,Inputs!$K$4:$AJ$4,0))))+SUMPRODUCT((Inputs!$E$5:$E$140=$B34)*ISNUMBER(INDEX(Inputs!$K$5:$AJ$140,0,MATCH(S$2,Inputs!$K$4:$AJ$4,0))))=0,NA(),SUMPRODUCT((Inputs!$A$5:$A$140=$B34)*Inputs!$B$5:$B$140*(((Inputs!$G$5:$G$140="moeda")+(Inputs!$G$5:$G$140="acoes"))*Inputs!$B$1+((Inputs!$G$5:$G$140&lt;&gt;"moeda")*(Inputs!$G$5:$G$140&lt;&gt;"acoes")))*INDEX(Inputs!$K$5:$AJ$140,0,MATCH(S$2,Inputs!$K$4:$AJ$4,0)))+SUMPRODUCT((Inputs!$C$5:$C$140=$B34)*Inputs!$D$5:$D$140*(((Inputs!$G$5:$G$140="moeda")+(Inputs!$G$5:$G$140="acoes"))*Inputs!$B$1+((Inputs!$G$5:$G$140&lt;&gt;"moeda")*(Inputs!$G$5:$G$140&lt;&gt;"acoes")))*INDEX(Inputs!$K$5:$AJ$140,0,MATCH(S$2,Inputs!$K$4:$AJ$4,0)))+SUMPRODUCT((Inputs!$E$5:$E$140=$B34)*Inputs!$F$5:$F$140*(((Inputs!$G$5:$G$140="moeda")+(Inputs!$G$5:$G$140="acoes"))*Inputs!$B$1+((Inputs!$G$5:$G$140&lt;&gt;"moeda")*(Inputs!$G$5:$G$140&lt;&gt;"acoes")))*INDEX(Inputs!$K$5:$AJ$140,0,MATCH(S$2,Inputs!$K$4:$AJ$4,0)))))</f>
        <v>111.74</v>
      </c>
      <c r="T34" s="6">
        <f>IF(ISNA(MATCH(T$2,Inputs!$K$4:$AJ$4,0)),NA(),IF(SUMPRODUCT((Inputs!$A$5:$A$140=$B34)*ISNUMBER(INDEX(Inputs!$K$5:$AJ$140,0,MATCH(T$2,Inputs!$K$4:$AJ$4,0))))+SUMPRODUCT((Inputs!$C$5:$C$140=$B34)*ISNUMBER(INDEX(Inputs!$K$5:$AJ$140,0,MATCH(T$2,Inputs!$K$4:$AJ$4,0))))+SUMPRODUCT((Inputs!$E$5:$E$140=$B34)*ISNUMBER(INDEX(Inputs!$K$5:$AJ$140,0,MATCH(T$2,Inputs!$K$4:$AJ$4,0))))=0,NA(),SUMPRODUCT((Inputs!$A$5:$A$140=$B34)*Inputs!$B$5:$B$140*(((Inputs!$G$5:$G$140="moeda")+(Inputs!$G$5:$G$140="acoes"))*Inputs!$B$1+((Inputs!$G$5:$G$140&lt;&gt;"moeda")*(Inputs!$G$5:$G$140&lt;&gt;"acoes")))*INDEX(Inputs!$K$5:$AJ$140,0,MATCH(T$2,Inputs!$K$4:$AJ$4,0)))+SUMPRODUCT((Inputs!$C$5:$C$140=$B34)*Inputs!$D$5:$D$140*(((Inputs!$G$5:$G$140="moeda")+(Inputs!$G$5:$G$140="acoes"))*Inputs!$B$1+((Inputs!$G$5:$G$140&lt;&gt;"moeda")*(Inputs!$G$5:$G$140&lt;&gt;"acoes")))*INDEX(Inputs!$K$5:$AJ$140,0,MATCH(T$2,Inputs!$K$4:$AJ$4,0)))+SUMPRODUCT((Inputs!$E$5:$E$140=$B34)*Inputs!$F$5:$F$140*(((Inputs!$G$5:$G$140="moeda")+(Inputs!$G$5:$G$140="acoes"))*Inputs!$B$1+((Inputs!$G$5:$G$140&lt;&gt;"moeda")*(Inputs!$G$5:$G$140&lt;&gt;"acoes")))*INDEX(Inputs!$K$5:$AJ$140,0,MATCH(T$2,Inputs!$K$4:$AJ$4,0)))))</f>
        <v>102.545</v>
      </c>
      <c r="U34" s="6">
        <f>IF(ISNA(MATCH(U$2,Inputs!$K$4:$AJ$4,0)),NA(),IF(SUMPRODUCT((Inputs!$A$5:$A$140=$B34)*ISNUMBER(INDEX(Inputs!$K$5:$AJ$140,0,MATCH(U$2,Inputs!$K$4:$AJ$4,0))))+SUMPRODUCT((Inputs!$C$5:$C$140=$B34)*ISNUMBER(INDEX(Inputs!$K$5:$AJ$140,0,MATCH(U$2,Inputs!$K$4:$AJ$4,0))))+SUMPRODUCT((Inputs!$E$5:$E$140=$B34)*ISNUMBER(INDEX(Inputs!$K$5:$AJ$140,0,MATCH(U$2,Inputs!$K$4:$AJ$4,0))))=0,NA(),SUMPRODUCT((Inputs!$A$5:$A$140=$B34)*Inputs!$B$5:$B$140*(((Inputs!$G$5:$G$140="moeda")+(Inputs!$G$5:$G$140="acoes"))*Inputs!$B$1+((Inputs!$G$5:$G$140&lt;&gt;"moeda")*(Inputs!$G$5:$G$140&lt;&gt;"acoes")))*INDEX(Inputs!$K$5:$AJ$140,0,MATCH(U$2,Inputs!$K$4:$AJ$4,0)))+SUMPRODUCT((Inputs!$C$5:$C$140=$B34)*Inputs!$D$5:$D$140*(((Inputs!$G$5:$G$140="moeda")+(Inputs!$G$5:$G$140="acoes"))*Inputs!$B$1+((Inputs!$G$5:$G$140&lt;&gt;"moeda")*(Inputs!$G$5:$G$140&lt;&gt;"acoes")))*INDEX(Inputs!$K$5:$AJ$140,0,MATCH(U$2,Inputs!$K$4:$AJ$4,0)))+SUMPRODUCT((Inputs!$E$5:$E$140=$B34)*Inputs!$F$5:$F$140*(((Inputs!$G$5:$G$140="moeda")+(Inputs!$G$5:$G$140="acoes"))*Inputs!$B$1+((Inputs!$G$5:$G$140&lt;&gt;"moeda")*(Inputs!$G$5:$G$140&lt;&gt;"acoes")))*INDEX(Inputs!$K$5:$AJ$140,0,MATCH(U$2,Inputs!$K$4:$AJ$4,0)))))</f>
        <v>100.131</v>
      </c>
      <c r="V34" s="6">
        <f>IF(ISNA(MATCH(V$2,Inputs!$K$4:$AJ$4,0)),NA(),IF(SUMPRODUCT((Inputs!$A$5:$A$140=$B34)*ISNUMBER(INDEX(Inputs!$K$5:$AJ$140,0,MATCH(V$2,Inputs!$K$4:$AJ$4,0))))+SUMPRODUCT((Inputs!$C$5:$C$140=$B34)*ISNUMBER(INDEX(Inputs!$K$5:$AJ$140,0,MATCH(V$2,Inputs!$K$4:$AJ$4,0))))+SUMPRODUCT((Inputs!$E$5:$E$140=$B34)*ISNUMBER(INDEX(Inputs!$K$5:$AJ$140,0,MATCH(V$2,Inputs!$K$4:$AJ$4,0))))=0,NA(),SUMPRODUCT((Inputs!$A$5:$A$140=$B34)*Inputs!$B$5:$B$140*(((Inputs!$G$5:$G$140="moeda")+(Inputs!$G$5:$G$140="acoes"))*Inputs!$B$1+((Inputs!$G$5:$G$140&lt;&gt;"moeda")*(Inputs!$G$5:$G$140&lt;&gt;"acoes")))*INDEX(Inputs!$K$5:$AJ$140,0,MATCH(V$2,Inputs!$K$4:$AJ$4,0)))+SUMPRODUCT((Inputs!$C$5:$C$140=$B34)*Inputs!$D$5:$D$140*(((Inputs!$G$5:$G$140="moeda")+(Inputs!$G$5:$G$140="acoes"))*Inputs!$B$1+((Inputs!$G$5:$G$140&lt;&gt;"moeda")*(Inputs!$G$5:$G$140&lt;&gt;"acoes")))*INDEX(Inputs!$K$5:$AJ$140,0,MATCH(V$2,Inputs!$K$4:$AJ$4,0)))+SUMPRODUCT((Inputs!$E$5:$E$140=$B34)*Inputs!$F$5:$F$140*(((Inputs!$G$5:$G$140="moeda")+(Inputs!$G$5:$G$140="acoes"))*Inputs!$B$1+((Inputs!$G$5:$G$140&lt;&gt;"moeda")*(Inputs!$G$5:$G$140&lt;&gt;"acoes")))*INDEX(Inputs!$K$5:$AJ$140,0,MATCH(V$2,Inputs!$K$4:$AJ$4,0)))))</f>
        <v>79.464</v>
      </c>
      <c r="W34" s="3">
        <f>V34</f>
        <v>79.464</v>
      </c>
      <c r="X34" s="6">
        <f>IF(ISNA(MATCH(X$2,Inputs!$K$4:$AJ$4,0)),NA(),IF(SUMPRODUCT((Inputs!$A$5:$A$140=$B34)*ISNUMBER(INDEX(Inputs!$K$5:$AJ$140,0,MATCH(X$2,Inputs!$K$4:$AJ$4,0))))+SUMPRODUCT((Inputs!$C$5:$C$140=$B34)*ISNUMBER(INDEX(Inputs!$K$5:$AJ$140,0,MATCH(X$2,Inputs!$K$4:$AJ$4,0))))+SUMPRODUCT((Inputs!$E$5:$E$140=$B34)*ISNUMBER(INDEX(Inputs!$K$5:$AJ$140,0,MATCH(X$2,Inputs!$K$4:$AJ$4,0))))=0,NA(),SUMPRODUCT((Inputs!$A$5:$A$140=$B34)*Inputs!$B$5:$B$140*(((Inputs!$G$5:$G$140="moeda")+(Inputs!$G$5:$G$140="acoes"))*Inputs!$B$1+((Inputs!$G$5:$G$140&lt;&gt;"moeda")*(Inputs!$G$5:$G$140&lt;&gt;"acoes")))*INDEX(Inputs!$K$5:$AJ$140,0,MATCH(X$2,Inputs!$K$4:$AJ$4,0)))+SUMPRODUCT((Inputs!$C$5:$C$140=$B34)*Inputs!$D$5:$D$140*(((Inputs!$G$5:$G$140="moeda")+(Inputs!$G$5:$G$140="acoes"))*Inputs!$B$1+((Inputs!$G$5:$G$140&lt;&gt;"moeda")*(Inputs!$G$5:$G$140&lt;&gt;"acoes")))*INDEX(Inputs!$K$5:$AJ$140,0,MATCH(X$2,Inputs!$K$4:$AJ$4,0)))+SUMPRODUCT((Inputs!$E$5:$E$140=$B34)*Inputs!$F$5:$F$140*(((Inputs!$G$5:$G$140="moeda")+(Inputs!$G$5:$G$140="acoes"))*Inputs!$B$1+((Inputs!$G$5:$G$140&lt;&gt;"moeda")*(Inputs!$G$5:$G$140&lt;&gt;"acoes")))*INDEX(Inputs!$K$5:$AJ$140,0,MATCH(X$2,Inputs!$K$4:$AJ$4,0)))))</f>
        <v>113.741</v>
      </c>
      <c r="Y34" s="6">
        <f>IF(ISNA(MATCH(Y$2,Inputs!$K$4:$AJ$4,0)),NA(),IF(SUMPRODUCT((Inputs!$A$5:$A$140=$B34)*ISNUMBER(INDEX(Inputs!$K$5:$AJ$140,0,MATCH(Y$2,Inputs!$K$4:$AJ$4,0))))+SUMPRODUCT((Inputs!$C$5:$C$140=$B34)*ISNUMBER(INDEX(Inputs!$K$5:$AJ$140,0,MATCH(Y$2,Inputs!$K$4:$AJ$4,0))))+SUMPRODUCT((Inputs!$E$5:$E$140=$B34)*ISNUMBER(INDEX(Inputs!$K$5:$AJ$140,0,MATCH(Y$2,Inputs!$K$4:$AJ$4,0))))=0,NA(),SUMPRODUCT((Inputs!$A$5:$A$140=$B34)*Inputs!$B$5:$B$140*(((Inputs!$G$5:$G$140="moeda")+(Inputs!$G$5:$G$140="acoes"))*Inputs!$B$1+((Inputs!$G$5:$G$140&lt;&gt;"moeda")*(Inputs!$G$5:$G$140&lt;&gt;"acoes")))*INDEX(Inputs!$K$5:$AJ$140,0,MATCH(Y$2,Inputs!$K$4:$AJ$4,0)))+SUMPRODUCT((Inputs!$C$5:$C$140=$B34)*Inputs!$D$5:$D$140*(((Inputs!$G$5:$G$140="moeda")+(Inputs!$G$5:$G$140="acoes"))*Inputs!$B$1+((Inputs!$G$5:$G$140&lt;&gt;"moeda")*(Inputs!$G$5:$G$140&lt;&gt;"acoes")))*INDEX(Inputs!$K$5:$AJ$140,0,MATCH(Y$2,Inputs!$K$4:$AJ$4,0)))+SUMPRODUCT((Inputs!$E$5:$E$140=$B34)*Inputs!$F$5:$F$140*(((Inputs!$G$5:$G$140="moeda")+(Inputs!$G$5:$G$140="acoes"))*Inputs!$B$1+((Inputs!$G$5:$G$140&lt;&gt;"moeda")*(Inputs!$G$5:$G$140&lt;&gt;"acoes")))*INDEX(Inputs!$K$5:$AJ$140,0,MATCH(Y$2,Inputs!$K$4:$AJ$4,0)))))</f>
        <v>227.857</v>
      </c>
      <c r="Z34" s="6">
        <f>IF(ISNA(MATCH(Z$2,Inputs!$K$4:$AJ$4,0)),NA(),IF(SUMPRODUCT((Inputs!$A$5:$A$140=$B34)*ISNUMBER(INDEX(Inputs!$K$5:$AJ$140,0,MATCH(Z$2,Inputs!$K$4:$AJ$4,0))))+SUMPRODUCT((Inputs!$C$5:$C$140=$B34)*ISNUMBER(INDEX(Inputs!$K$5:$AJ$140,0,MATCH(Z$2,Inputs!$K$4:$AJ$4,0))))+SUMPRODUCT((Inputs!$E$5:$E$140=$B34)*ISNUMBER(INDEX(Inputs!$K$5:$AJ$140,0,MATCH(Z$2,Inputs!$K$4:$AJ$4,0))))=0,NA(),SUMPRODUCT((Inputs!$A$5:$A$140=$B34)*Inputs!$B$5:$B$140*(((Inputs!$G$5:$G$140="moeda")+(Inputs!$G$5:$G$140="acoes"))*Inputs!$B$1+((Inputs!$G$5:$G$140&lt;&gt;"moeda")*(Inputs!$G$5:$G$140&lt;&gt;"acoes")))*INDEX(Inputs!$K$5:$AJ$140,0,MATCH(Z$2,Inputs!$K$4:$AJ$4,0)))+SUMPRODUCT((Inputs!$C$5:$C$140=$B34)*Inputs!$D$5:$D$140*(((Inputs!$G$5:$G$140="moeda")+(Inputs!$G$5:$G$140="acoes"))*Inputs!$B$1+((Inputs!$G$5:$G$140&lt;&gt;"moeda")*(Inputs!$G$5:$G$140&lt;&gt;"acoes")))*INDEX(Inputs!$K$5:$AJ$140,0,MATCH(Z$2,Inputs!$K$4:$AJ$4,0)))+SUMPRODUCT((Inputs!$E$5:$E$140=$B34)*Inputs!$F$5:$F$140*(((Inputs!$G$5:$G$140="moeda")+(Inputs!$G$5:$G$140="acoes"))*Inputs!$B$1+((Inputs!$G$5:$G$140&lt;&gt;"moeda")*(Inputs!$G$5:$G$140&lt;&gt;"acoes")))*INDEX(Inputs!$K$5:$AJ$140,0,MATCH(Z$2,Inputs!$K$4:$AJ$4,0)))))</f>
        <v>274.631</v>
      </c>
      <c r="AA34" s="6">
        <f>IF(ISNA(MATCH(AA$2,Inputs!$K$4:$AJ$4,0)),NA(),IF(SUMPRODUCT((Inputs!$A$5:$A$140=$B34)*ISNUMBER(INDEX(Inputs!$K$5:$AJ$140,0,MATCH(AA$2,Inputs!$K$4:$AJ$4,0))))+SUMPRODUCT((Inputs!$C$5:$C$140=$B34)*ISNUMBER(INDEX(Inputs!$K$5:$AJ$140,0,MATCH(AA$2,Inputs!$K$4:$AJ$4,0))))+SUMPRODUCT((Inputs!$E$5:$E$140=$B34)*ISNUMBER(INDEX(Inputs!$K$5:$AJ$140,0,MATCH(AA$2,Inputs!$K$4:$AJ$4,0))))=0,NA(),SUMPRODUCT((Inputs!$A$5:$A$140=$B34)*Inputs!$B$5:$B$140*(((Inputs!$G$5:$G$140="moeda")+(Inputs!$G$5:$G$140="acoes"))*Inputs!$B$1+((Inputs!$G$5:$G$140&lt;&gt;"moeda")*(Inputs!$G$5:$G$140&lt;&gt;"acoes")))*INDEX(Inputs!$K$5:$AJ$140,0,MATCH(AA$2,Inputs!$K$4:$AJ$4,0)))+SUMPRODUCT((Inputs!$C$5:$C$140=$B34)*Inputs!$D$5:$D$140*(((Inputs!$G$5:$G$140="moeda")+(Inputs!$G$5:$G$140="acoes"))*Inputs!$B$1+((Inputs!$G$5:$G$140&lt;&gt;"moeda")*(Inputs!$G$5:$G$140&lt;&gt;"acoes")))*INDEX(Inputs!$K$5:$AJ$140,0,MATCH(AA$2,Inputs!$K$4:$AJ$4,0)))+SUMPRODUCT((Inputs!$E$5:$E$140=$B34)*Inputs!$F$5:$F$140*(((Inputs!$G$5:$G$140="moeda")+(Inputs!$G$5:$G$140="acoes"))*Inputs!$B$1+((Inputs!$G$5:$G$140&lt;&gt;"moeda")*(Inputs!$G$5:$G$140&lt;&gt;"acoes")))*INDEX(Inputs!$K$5:$AJ$140,0,MATCH(AA$2,Inputs!$K$4:$AJ$4,0)))))</f>
        <v>262.15</v>
      </c>
      <c r="AB34" s="3">
        <f>AA34</f>
        <v>262.15</v>
      </c>
      <c r="AC34" s="6">
        <f>IF(ISNA(MATCH(AC$2,Inputs!$K$4:$AJ$4,0)),NA(),IF(SUMPRODUCT((Inputs!$A$5:$A$140=$B34)*ISNUMBER(INDEX(Inputs!$K$5:$AJ$140,0,MATCH(AC$2,Inputs!$K$4:$AJ$4,0))))+SUMPRODUCT((Inputs!$C$5:$C$140=$B34)*ISNUMBER(INDEX(Inputs!$K$5:$AJ$140,0,MATCH(AC$2,Inputs!$K$4:$AJ$4,0))))+SUMPRODUCT((Inputs!$E$5:$E$140=$B34)*ISNUMBER(INDEX(Inputs!$K$5:$AJ$140,0,MATCH(AC$2,Inputs!$K$4:$AJ$4,0))))=0,NA(),SUMPRODUCT((Inputs!$A$5:$A$140=$B34)*Inputs!$B$5:$B$140*(((Inputs!$G$5:$G$140="moeda")+(Inputs!$G$5:$G$140="acoes"))*Inputs!$B$1+((Inputs!$G$5:$G$140&lt;&gt;"moeda")*(Inputs!$G$5:$G$140&lt;&gt;"acoes")))*INDEX(Inputs!$K$5:$AJ$140,0,MATCH(AC$2,Inputs!$K$4:$AJ$4,0)))+SUMPRODUCT((Inputs!$C$5:$C$140=$B34)*Inputs!$D$5:$D$140*(((Inputs!$G$5:$G$140="moeda")+(Inputs!$G$5:$G$140="acoes"))*Inputs!$B$1+((Inputs!$G$5:$G$140&lt;&gt;"moeda")*(Inputs!$G$5:$G$140&lt;&gt;"acoes")))*INDEX(Inputs!$K$5:$AJ$140,0,MATCH(AC$2,Inputs!$K$4:$AJ$4,0)))+SUMPRODUCT((Inputs!$E$5:$E$140=$B34)*Inputs!$F$5:$F$140*(((Inputs!$G$5:$G$140="moeda")+(Inputs!$G$5:$G$140="acoes"))*Inputs!$B$1+((Inputs!$G$5:$G$140&lt;&gt;"moeda")*(Inputs!$G$5:$G$140&lt;&gt;"acoes")))*INDEX(Inputs!$K$5:$AJ$140,0,MATCH(AC$2,Inputs!$K$4:$AJ$4,0)))))</f>
        <v>262.498</v>
      </c>
      <c r="AD34" s="6">
        <f>IF(ISNA(MATCH(AD$2,Inputs!$K$4:$AJ$4,0)),NA(),IF(SUMPRODUCT((Inputs!$A$5:$A$140=$B34)*ISNUMBER(INDEX(Inputs!$K$5:$AJ$140,0,MATCH(AD$2,Inputs!$K$4:$AJ$4,0))))+SUMPRODUCT((Inputs!$C$5:$C$140=$B34)*ISNUMBER(INDEX(Inputs!$K$5:$AJ$140,0,MATCH(AD$2,Inputs!$K$4:$AJ$4,0))))+SUMPRODUCT((Inputs!$E$5:$E$140=$B34)*ISNUMBER(INDEX(Inputs!$K$5:$AJ$140,0,MATCH(AD$2,Inputs!$K$4:$AJ$4,0))))=0,NA(),SUMPRODUCT((Inputs!$A$5:$A$140=$B34)*Inputs!$B$5:$B$140*(((Inputs!$G$5:$G$140="moeda")+(Inputs!$G$5:$G$140="acoes"))*Inputs!$B$1+((Inputs!$G$5:$G$140&lt;&gt;"moeda")*(Inputs!$G$5:$G$140&lt;&gt;"acoes")))*INDEX(Inputs!$K$5:$AJ$140,0,MATCH(AD$2,Inputs!$K$4:$AJ$4,0)))+SUMPRODUCT((Inputs!$C$5:$C$140=$B34)*Inputs!$D$5:$D$140*(((Inputs!$G$5:$G$140="moeda")+(Inputs!$G$5:$G$140="acoes"))*Inputs!$B$1+((Inputs!$G$5:$G$140&lt;&gt;"moeda")*(Inputs!$G$5:$G$140&lt;&gt;"acoes")))*INDEX(Inputs!$K$5:$AJ$140,0,MATCH(AD$2,Inputs!$K$4:$AJ$4,0)))+SUMPRODUCT((Inputs!$E$5:$E$140=$B34)*Inputs!$F$5:$F$140*(((Inputs!$G$5:$G$140="moeda")+(Inputs!$G$5:$G$140="acoes"))*Inputs!$B$1+((Inputs!$G$5:$G$140&lt;&gt;"moeda")*(Inputs!$G$5:$G$140&lt;&gt;"acoes")))*INDEX(Inputs!$K$5:$AJ$140,0,MATCH(AD$2,Inputs!$K$4:$AJ$4,0)))))</f>
        <v>250.873</v>
      </c>
      <c r="AE34" s="6" t="e">
        <f>IF(ISNA(MATCH(AE$2,Inputs!$K$4:$AJ$4,0)),NA(),IF(SUMPRODUCT((Inputs!$A$5:$A$140=$B34)*ISNUMBER(INDEX(Inputs!$K$5:$AJ$140,0,MATCH(AE$2,Inputs!$K$4:$AJ$4,0))))+SUMPRODUCT((Inputs!$C$5:$C$140=$B34)*ISNUMBER(INDEX(Inputs!$K$5:$AJ$140,0,MATCH(AE$2,Inputs!$K$4:$AJ$4,0))))+SUMPRODUCT((Inputs!$E$5:$E$140=$B34)*ISNUMBER(INDEX(Inputs!$K$5:$AJ$140,0,MATCH(AE$2,Inputs!$K$4:$AJ$4,0))))=0,NA(),SUMPRODUCT((Inputs!$A$5:$A$140=$B34)*Inputs!$B$5:$B$140*(((Inputs!$G$5:$G$140="moeda")+(Inputs!$G$5:$G$140="acoes"))*Inputs!$B$1+((Inputs!$G$5:$G$140&lt;&gt;"moeda")*(Inputs!$G$5:$G$140&lt;&gt;"acoes")))*INDEX(Inputs!$K$5:$AJ$140,0,MATCH(AE$2,Inputs!$K$4:$AJ$4,0)))+SUMPRODUCT((Inputs!$C$5:$C$140=$B34)*Inputs!$D$5:$D$140*(((Inputs!$G$5:$G$140="moeda")+(Inputs!$G$5:$G$140="acoes"))*Inputs!$B$1+((Inputs!$G$5:$G$140&lt;&gt;"moeda")*(Inputs!$G$5:$G$140&lt;&gt;"acoes")))*INDEX(Inputs!$K$5:$AJ$140,0,MATCH(AE$2,Inputs!$K$4:$AJ$4,0)))+SUMPRODUCT((Inputs!$E$5:$E$140=$B34)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4" s="6" t="e">
        <f>IF(ISNA(MATCH(AF$2,Inputs!$K$4:$AJ$4,0)),NA(),IF(SUMPRODUCT((Inputs!$A$5:$A$140=$B34)*ISNUMBER(INDEX(Inputs!$K$5:$AJ$140,0,MATCH(AF$2,Inputs!$K$4:$AJ$4,0))))+SUMPRODUCT((Inputs!$C$5:$C$140=$B34)*ISNUMBER(INDEX(Inputs!$K$5:$AJ$140,0,MATCH(AF$2,Inputs!$K$4:$AJ$4,0))))+SUMPRODUCT((Inputs!$E$5:$E$140=$B34)*ISNUMBER(INDEX(Inputs!$K$5:$AJ$140,0,MATCH(AF$2,Inputs!$K$4:$AJ$4,0))))=0,NA(),SUMPRODUCT((Inputs!$A$5:$A$140=$B34)*Inputs!$B$5:$B$140*(((Inputs!$G$5:$G$140="moeda")+(Inputs!$G$5:$G$140="acoes"))*Inputs!$B$1+((Inputs!$G$5:$G$140&lt;&gt;"moeda")*(Inputs!$G$5:$G$140&lt;&gt;"acoes")))*INDEX(Inputs!$K$5:$AJ$140,0,MATCH(AF$2,Inputs!$K$4:$AJ$4,0)))+SUMPRODUCT((Inputs!$C$5:$C$140=$B34)*Inputs!$D$5:$D$140*(((Inputs!$G$5:$G$140="moeda")+(Inputs!$G$5:$G$140="acoes"))*Inputs!$B$1+((Inputs!$G$5:$G$140&lt;&gt;"moeda")*(Inputs!$G$5:$G$140&lt;&gt;"acoes")))*INDEX(Inputs!$K$5:$AJ$140,0,MATCH(AF$2,Inputs!$K$4:$AJ$4,0)))+SUMPRODUCT((Inputs!$E$5:$E$140=$B34)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4" s="3" t="e">
        <f>AF34</f>
        <v>#N/A</v>
      </c>
      <c r="AH34" s="6" t="e">
        <f>IF(ISNA(MATCH(AH$2,Inputs!$K$4:$AJ$4,0)),NA(),IF(SUMPRODUCT((Inputs!$A$5:$A$140=$B34)*ISNUMBER(INDEX(Inputs!$K$5:$AJ$140,0,MATCH(AH$2,Inputs!$K$4:$AJ$4,0))))+SUMPRODUCT((Inputs!$C$5:$C$140=$B34)*ISNUMBER(INDEX(Inputs!$K$5:$AJ$140,0,MATCH(AH$2,Inputs!$K$4:$AJ$4,0))))+SUMPRODUCT((Inputs!$E$5:$E$140=$B34)*ISNUMBER(INDEX(Inputs!$K$5:$AJ$140,0,MATCH(AH$2,Inputs!$K$4:$AJ$4,0))))=0,NA(),SUMPRODUCT((Inputs!$A$5:$A$140=$B34)*Inputs!$B$5:$B$140*(((Inputs!$G$5:$G$140="moeda")+(Inputs!$G$5:$G$140="acoes"))*Inputs!$B$1+((Inputs!$G$5:$G$140&lt;&gt;"moeda")*(Inputs!$G$5:$G$140&lt;&gt;"acoes")))*INDEX(Inputs!$K$5:$AJ$140,0,MATCH(AH$2,Inputs!$K$4:$AJ$4,0)))+SUMPRODUCT((Inputs!$C$5:$C$140=$B34)*Inputs!$D$5:$D$140*(((Inputs!$G$5:$G$140="moeda")+(Inputs!$G$5:$G$140="acoes"))*Inputs!$B$1+((Inputs!$G$5:$G$140&lt;&gt;"moeda")*(Inputs!$G$5:$G$140&lt;&gt;"acoes")))*INDEX(Inputs!$K$5:$AJ$140,0,MATCH(AH$2,Inputs!$K$4:$AJ$4,0)))+SUMPRODUCT((Inputs!$E$5:$E$140=$B34)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4" s="6">
        <f>IF(ISNA(MATCH(AI$2,Inputs!$K$4:$AJ$4,0)),NA(),IF(SUMPRODUCT((Inputs!$A$5:$A$140=$B34)*ISNUMBER(INDEX(Inputs!$K$5:$AJ$140,0,MATCH(AI$2,Inputs!$K$4:$AJ$4,0))))+SUMPRODUCT((Inputs!$C$5:$C$140=$B34)*ISNUMBER(INDEX(Inputs!$K$5:$AJ$140,0,MATCH(AI$2,Inputs!$K$4:$AJ$4,0))))+SUMPRODUCT((Inputs!$E$5:$E$140=$B34)*ISNUMBER(INDEX(Inputs!$K$5:$AJ$140,0,MATCH(AI$2,Inputs!$K$4:$AJ$4,0))))=0,NA(),SUMPRODUCT((Inputs!$A$5:$A$140=$B34)*Inputs!$B$5:$B$140*(((Inputs!$G$5:$G$140="moeda")+(Inputs!$G$5:$G$140="acoes"))*Inputs!$B$1+((Inputs!$G$5:$G$140&lt;&gt;"moeda")*(Inputs!$G$5:$G$140&lt;&gt;"acoes")))*INDEX(Inputs!$K$5:$AJ$140,0,MATCH(AI$2,Inputs!$K$4:$AJ$4,0)))+SUMPRODUCT((Inputs!$C$5:$C$140=$B34)*Inputs!$D$5:$D$140*(((Inputs!$G$5:$G$140="moeda")+(Inputs!$G$5:$G$140="acoes"))*Inputs!$B$1+((Inputs!$G$5:$G$140&lt;&gt;"moeda")*(Inputs!$G$5:$G$140&lt;&gt;"acoes")))*INDEX(Inputs!$K$5:$AJ$140,0,MATCH(AI$2,Inputs!$K$4:$AJ$4,0)))+SUMPRODUCT((Inputs!$E$5:$E$140=$B34)*Inputs!$F$5:$F$140*(((Inputs!$G$5:$G$140="moeda")+(Inputs!$G$5:$G$140="acoes"))*Inputs!$B$1+((Inputs!$G$5:$G$140&lt;&gt;"moeda")*(Inputs!$G$5:$G$140&lt;&gt;"acoes")))*INDEX(Inputs!$K$5:$AJ$140,0,MATCH(AI$2,Inputs!$K$4:$AJ$4,0)))))</f>
        <v>78.374</v>
      </c>
      <c r="AJ34" s="6">
        <f>IF(ISNA(MATCH(AJ$2,Inputs!$K$4:$AJ$4,0)),NA(),IF(SUMPRODUCT((Inputs!$A$5:$A$140=$B34)*ISNUMBER(INDEX(Inputs!$K$5:$AJ$140,0,MATCH(AJ$2,Inputs!$K$4:$AJ$4,0))))+SUMPRODUCT((Inputs!$C$5:$C$140=$B34)*ISNUMBER(INDEX(Inputs!$K$5:$AJ$140,0,MATCH(AJ$2,Inputs!$K$4:$AJ$4,0))))+SUMPRODUCT((Inputs!$E$5:$E$140=$B34)*ISNUMBER(INDEX(Inputs!$K$5:$AJ$140,0,MATCH(AJ$2,Inputs!$K$4:$AJ$4,0))))=0,NA(),SUMPRODUCT((Inputs!$A$5:$A$140=$B34)*Inputs!$B$5:$B$140*(((Inputs!$G$5:$G$140="moeda")+(Inputs!$G$5:$G$140="acoes"))*Inputs!$B$1+((Inputs!$G$5:$G$140&lt;&gt;"moeda")*(Inputs!$G$5:$G$140&lt;&gt;"acoes")))*INDEX(Inputs!$K$5:$AJ$140,0,MATCH(AJ$2,Inputs!$K$4:$AJ$4,0)))+SUMPRODUCT((Inputs!$C$5:$C$140=$B34)*Inputs!$D$5:$D$140*(((Inputs!$G$5:$G$140="moeda")+(Inputs!$G$5:$G$140="acoes"))*Inputs!$B$1+((Inputs!$G$5:$G$140&lt;&gt;"moeda")*(Inputs!$G$5:$G$140&lt;&gt;"acoes")))*INDEX(Inputs!$K$5:$AJ$140,0,MATCH(AJ$2,Inputs!$K$4:$AJ$4,0)))+SUMPRODUCT((Inputs!$E$5:$E$140=$B34)*Inputs!$F$5:$F$140*(((Inputs!$G$5:$G$140="moeda")+(Inputs!$G$5:$G$140="acoes"))*Inputs!$B$1+((Inputs!$G$5:$G$140&lt;&gt;"moeda")*(Inputs!$G$5:$G$140&lt;&gt;"acoes")))*INDEX(Inputs!$K$5:$AJ$140,0,MATCH(AJ$2,Inputs!$K$4:$AJ$4,0)))))</f>
        <v>66.41731273</v>
      </c>
      <c r="AK34" s="6">
        <f>IF(ISNA(MATCH(AK$2,Inputs!$K$4:$AJ$4,0)),NA(),IF(SUMPRODUCT((Inputs!$A$5:$A$140=$B34)*ISNUMBER(INDEX(Inputs!$K$5:$AJ$140,0,MATCH(AK$2,Inputs!$K$4:$AJ$4,0))))+SUMPRODUCT((Inputs!$C$5:$C$140=$B34)*ISNUMBER(INDEX(Inputs!$K$5:$AJ$140,0,MATCH(AK$2,Inputs!$K$4:$AJ$4,0))))+SUMPRODUCT((Inputs!$E$5:$E$140=$B34)*ISNUMBER(INDEX(Inputs!$K$5:$AJ$140,0,MATCH(AK$2,Inputs!$K$4:$AJ$4,0))))=0,NA(),SUMPRODUCT((Inputs!$A$5:$A$140=$B34)*Inputs!$B$5:$B$140*(((Inputs!$G$5:$G$140="moeda")+(Inputs!$G$5:$G$140="acoes"))*Inputs!$B$1+((Inputs!$G$5:$G$140&lt;&gt;"moeda")*(Inputs!$G$5:$G$140&lt;&gt;"acoes")))*INDEX(Inputs!$K$5:$AJ$140,0,MATCH(AK$2,Inputs!$K$4:$AJ$4,0)))+SUMPRODUCT((Inputs!$C$5:$C$140=$B34)*Inputs!$D$5:$D$140*(((Inputs!$G$5:$G$140="moeda")+(Inputs!$G$5:$G$140="acoes"))*Inputs!$B$1+((Inputs!$G$5:$G$140&lt;&gt;"moeda")*(Inputs!$G$5:$G$140&lt;&gt;"acoes")))*INDEX(Inputs!$K$5:$AJ$140,0,MATCH(AK$2,Inputs!$K$4:$AJ$4,0)))+SUMPRODUCT((Inputs!$E$5:$E$140=$B34)*Inputs!$F$5:$F$140*(((Inputs!$G$5:$G$140="moeda")+(Inputs!$G$5:$G$140="acoes"))*Inputs!$B$1+((Inputs!$G$5:$G$140&lt;&gt;"moeda")*(Inputs!$G$5:$G$140&lt;&gt;"acoes")))*INDEX(Inputs!$K$5:$AJ$140,0,MATCH(AK$2,Inputs!$K$4:$AJ$4,0)))))</f>
        <v>67.18408374</v>
      </c>
      <c r="AL34" s="3">
        <f>AK34</f>
        <v>67.18408374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$140=$B35)*ISNUMBER(INDEX(Inputs!$K$5:$AJ$140,0,MATCH(D$2,Inputs!$K$4:$AJ$4,0))))+SUMPRODUCT((Inputs!$C$5:$C$140=$B35)*ISNUMBER(INDEX(Inputs!$K$5:$AJ$140,0,MATCH(D$2,Inputs!$K$4:$AJ$4,0))))+SUMPRODUCT((Inputs!$E$5:$E$140=$B35)*ISNUMBER(INDEX(Inputs!$K$5:$AJ$140,0,MATCH(D$2,Inputs!$K$4:$AJ$4,0))))=0,NA(),SUMPRODUCT((Inputs!$A$5:$A$140=$B35)*Inputs!$B$5:$B$140*(((Inputs!$G$5:$G$140="moeda")+(Inputs!$G$5:$G$140="acoes"))*Inputs!$B$1+((Inputs!$G$5:$G$140&lt;&gt;"moeda")*(Inputs!$G$5:$G$140&lt;&gt;"acoes")))*INDEX(Inputs!$K$5:$AJ$140,0,MATCH(D$2,Inputs!$K$4:$AJ$4,0)))+SUMPRODUCT((Inputs!$C$5:$C$140=$B35)*Inputs!$D$5:$D$140*(((Inputs!$G$5:$G$140="moeda")+(Inputs!$G$5:$G$140="acoes"))*Inputs!$B$1+((Inputs!$G$5:$G$140&lt;&gt;"moeda")*(Inputs!$G$5:$G$140&lt;&gt;"acoes")))*INDEX(Inputs!$K$5:$AJ$140,0,MATCH(D$2,Inputs!$K$4:$AJ$4,0)))+SUMPRODUCT((Inputs!$E$5:$E$140=$B35)*Inputs!$F$5:$F$140*(((Inputs!$G$5:$G$140="moeda")+(Inputs!$G$5:$G$140="acoes"))*Inputs!$B$1+((Inputs!$G$5:$G$140&lt;&gt;"moeda")*(Inputs!$G$5:$G$140&lt;&gt;"acoes")))*INDEX(Inputs!$K$5:$AJ$140,0,MATCH(D$2,Inputs!$K$4:$AJ$4,0)))))</f>
        <v>482.81073958</v>
      </c>
      <c r="E35" s="6">
        <f>IF(ISNA(MATCH(E$2,Inputs!$K$4:$AJ$4,0)),NA(),IF(SUMPRODUCT((Inputs!$A$5:$A$140=$B35)*ISNUMBER(INDEX(Inputs!$K$5:$AJ$140,0,MATCH(E$2,Inputs!$K$4:$AJ$4,0))))+SUMPRODUCT((Inputs!$C$5:$C$140=$B35)*ISNUMBER(INDEX(Inputs!$K$5:$AJ$140,0,MATCH(E$2,Inputs!$K$4:$AJ$4,0))))+SUMPRODUCT((Inputs!$E$5:$E$140=$B35)*ISNUMBER(INDEX(Inputs!$K$5:$AJ$140,0,MATCH(E$2,Inputs!$K$4:$AJ$4,0))))=0,NA(),SUMPRODUCT((Inputs!$A$5:$A$140=$B35)*Inputs!$B$5:$B$140*(((Inputs!$G$5:$G$140="moeda")+(Inputs!$G$5:$G$140="acoes"))*Inputs!$B$1+((Inputs!$G$5:$G$140&lt;&gt;"moeda")*(Inputs!$G$5:$G$140&lt;&gt;"acoes")))*INDEX(Inputs!$K$5:$AJ$140,0,MATCH(E$2,Inputs!$K$4:$AJ$4,0)))+SUMPRODUCT((Inputs!$C$5:$C$140=$B35)*Inputs!$D$5:$D$140*(((Inputs!$G$5:$G$140="moeda")+(Inputs!$G$5:$G$140="acoes"))*Inputs!$B$1+((Inputs!$G$5:$G$140&lt;&gt;"moeda")*(Inputs!$G$5:$G$140&lt;&gt;"acoes")))*INDEX(Inputs!$K$5:$AJ$140,0,MATCH(E$2,Inputs!$K$4:$AJ$4,0)))+SUMPRODUCT((Inputs!$E$5:$E$140=$B35)*Inputs!$F$5:$F$140*(((Inputs!$G$5:$G$140="moeda")+(Inputs!$G$5:$G$140="acoes"))*Inputs!$B$1+((Inputs!$G$5:$G$140&lt;&gt;"moeda")*(Inputs!$G$5:$G$140&lt;&gt;"acoes")))*INDEX(Inputs!$K$5:$AJ$140,0,MATCH(E$2,Inputs!$K$4:$AJ$4,0)))))</f>
        <v>463.17617923</v>
      </c>
      <c r="F35" s="6">
        <f>IF(ISNA(MATCH(F$2,Inputs!$K$4:$AJ$4,0)),NA(),IF(SUMPRODUCT((Inputs!$A$5:$A$140=$B35)*ISNUMBER(INDEX(Inputs!$K$5:$AJ$140,0,MATCH(F$2,Inputs!$K$4:$AJ$4,0))))+SUMPRODUCT((Inputs!$C$5:$C$140=$B35)*ISNUMBER(INDEX(Inputs!$K$5:$AJ$140,0,MATCH(F$2,Inputs!$K$4:$AJ$4,0))))+SUMPRODUCT((Inputs!$E$5:$E$140=$B35)*ISNUMBER(INDEX(Inputs!$K$5:$AJ$140,0,MATCH(F$2,Inputs!$K$4:$AJ$4,0))))=0,NA(),SUMPRODUCT((Inputs!$A$5:$A$140=$B35)*Inputs!$B$5:$B$140*(((Inputs!$G$5:$G$140="moeda")+(Inputs!$G$5:$G$140="acoes"))*Inputs!$B$1+((Inputs!$G$5:$G$140&lt;&gt;"moeda")*(Inputs!$G$5:$G$140&lt;&gt;"acoes")))*INDEX(Inputs!$K$5:$AJ$140,0,MATCH(F$2,Inputs!$K$4:$AJ$4,0)))+SUMPRODUCT((Inputs!$C$5:$C$140=$B35)*Inputs!$D$5:$D$140*(((Inputs!$G$5:$G$140="moeda")+(Inputs!$G$5:$G$140="acoes"))*Inputs!$B$1+((Inputs!$G$5:$G$140&lt;&gt;"moeda")*(Inputs!$G$5:$G$140&lt;&gt;"acoes")))*INDEX(Inputs!$K$5:$AJ$140,0,MATCH(F$2,Inputs!$K$4:$AJ$4,0)))+SUMPRODUCT((Inputs!$E$5:$E$140=$B35)*Inputs!$F$5:$F$140*(((Inputs!$G$5:$G$140="moeda")+(Inputs!$G$5:$G$140="acoes"))*Inputs!$B$1+((Inputs!$G$5:$G$140&lt;&gt;"moeda")*(Inputs!$G$5:$G$140&lt;&gt;"acoes")))*INDEX(Inputs!$K$5:$AJ$140,0,MATCH(F$2,Inputs!$K$4:$AJ$4,0)))))</f>
        <v>445.125</v>
      </c>
      <c r="G35" s="6">
        <f>IF(ISNA(MATCH(G$2,Inputs!$K$4:$AJ$4,0)),NA(),IF(SUMPRODUCT((Inputs!$A$5:$A$140=$B35)*ISNUMBER(INDEX(Inputs!$K$5:$AJ$140,0,MATCH(G$2,Inputs!$K$4:$AJ$4,0))))+SUMPRODUCT((Inputs!$C$5:$C$140=$B35)*ISNUMBER(INDEX(Inputs!$K$5:$AJ$140,0,MATCH(G$2,Inputs!$K$4:$AJ$4,0))))+SUMPRODUCT((Inputs!$E$5:$E$140=$B35)*ISNUMBER(INDEX(Inputs!$K$5:$AJ$140,0,MATCH(G$2,Inputs!$K$4:$AJ$4,0))))=0,NA(),SUMPRODUCT((Inputs!$A$5:$A$140=$B35)*Inputs!$B$5:$B$140*(((Inputs!$G$5:$G$140="moeda")+(Inputs!$G$5:$G$140="acoes"))*Inputs!$B$1+((Inputs!$G$5:$G$140&lt;&gt;"moeda")*(Inputs!$G$5:$G$140&lt;&gt;"acoes")))*INDEX(Inputs!$K$5:$AJ$140,0,MATCH(G$2,Inputs!$K$4:$AJ$4,0)))+SUMPRODUCT((Inputs!$C$5:$C$140=$B35)*Inputs!$D$5:$D$140*(((Inputs!$G$5:$G$140="moeda")+(Inputs!$G$5:$G$140="acoes"))*Inputs!$B$1+((Inputs!$G$5:$G$140&lt;&gt;"moeda")*(Inputs!$G$5:$G$140&lt;&gt;"acoes")))*INDEX(Inputs!$K$5:$AJ$140,0,MATCH(G$2,Inputs!$K$4:$AJ$4,0)))+SUMPRODUCT((Inputs!$E$5:$E$140=$B35)*Inputs!$F$5:$F$140*(((Inputs!$G$5:$G$140="moeda")+(Inputs!$G$5:$G$140="acoes"))*Inputs!$B$1+((Inputs!$G$5:$G$140&lt;&gt;"moeda")*(Inputs!$G$5:$G$140&lt;&gt;"acoes")))*INDEX(Inputs!$K$5:$AJ$140,0,MATCH(G$2,Inputs!$K$4:$AJ$4,0)))))</f>
        <v>869.537</v>
      </c>
      <c r="H35" s="3">
        <f>G35</f>
        <v>869.537</v>
      </c>
      <c r="I35" s="6">
        <f>IF(ISNA(MATCH(I$2,Inputs!$K$4:$AJ$4,0)),NA(),IF(SUMPRODUCT((Inputs!$A$5:$A$140=$B35)*ISNUMBER(INDEX(Inputs!$K$5:$AJ$140,0,MATCH(I$2,Inputs!$K$4:$AJ$4,0))))+SUMPRODUCT((Inputs!$C$5:$C$140=$B35)*ISNUMBER(INDEX(Inputs!$K$5:$AJ$140,0,MATCH(I$2,Inputs!$K$4:$AJ$4,0))))+SUMPRODUCT((Inputs!$E$5:$E$140=$B35)*ISNUMBER(INDEX(Inputs!$K$5:$AJ$140,0,MATCH(I$2,Inputs!$K$4:$AJ$4,0))))=0,NA(),SUMPRODUCT((Inputs!$A$5:$A$140=$B35)*Inputs!$B$5:$B$140*(((Inputs!$G$5:$G$140="moeda")+(Inputs!$G$5:$G$140="acoes"))*Inputs!$B$1+((Inputs!$G$5:$G$140&lt;&gt;"moeda")*(Inputs!$G$5:$G$140&lt;&gt;"acoes")))*INDEX(Inputs!$K$5:$AJ$140,0,MATCH(I$2,Inputs!$K$4:$AJ$4,0)))+SUMPRODUCT((Inputs!$C$5:$C$140=$B35)*Inputs!$D$5:$D$140*(((Inputs!$G$5:$G$140="moeda")+(Inputs!$G$5:$G$140="acoes"))*Inputs!$B$1+((Inputs!$G$5:$G$140&lt;&gt;"moeda")*(Inputs!$G$5:$G$140&lt;&gt;"acoes")))*INDEX(Inputs!$K$5:$AJ$140,0,MATCH(I$2,Inputs!$K$4:$AJ$4,0)))+SUMPRODUCT((Inputs!$E$5:$E$140=$B35)*Inputs!$F$5:$F$140*(((Inputs!$G$5:$G$140="moeda")+(Inputs!$G$5:$G$140="acoes"))*Inputs!$B$1+((Inputs!$G$5:$G$140&lt;&gt;"moeda")*(Inputs!$G$5:$G$140&lt;&gt;"acoes")))*INDEX(Inputs!$K$5:$AJ$140,0,MATCH(I$2,Inputs!$K$4:$AJ$4,0)))))</f>
        <v>872.031</v>
      </c>
      <c r="J35" s="6">
        <f>IF(ISNA(MATCH(J$2,Inputs!$K$4:$AJ$4,0)),NA(),IF(SUMPRODUCT((Inputs!$A$5:$A$140=$B35)*ISNUMBER(INDEX(Inputs!$K$5:$AJ$140,0,MATCH(J$2,Inputs!$K$4:$AJ$4,0))))+SUMPRODUCT((Inputs!$C$5:$C$140=$B35)*ISNUMBER(INDEX(Inputs!$K$5:$AJ$140,0,MATCH(J$2,Inputs!$K$4:$AJ$4,0))))+SUMPRODUCT((Inputs!$E$5:$E$140=$B35)*ISNUMBER(INDEX(Inputs!$K$5:$AJ$140,0,MATCH(J$2,Inputs!$K$4:$AJ$4,0))))=0,NA(),SUMPRODUCT((Inputs!$A$5:$A$140=$B35)*Inputs!$B$5:$B$140*(((Inputs!$G$5:$G$140="moeda")+(Inputs!$G$5:$G$140="acoes"))*Inputs!$B$1+((Inputs!$G$5:$G$140&lt;&gt;"moeda")*(Inputs!$G$5:$G$140&lt;&gt;"acoes")))*INDEX(Inputs!$K$5:$AJ$140,0,MATCH(J$2,Inputs!$K$4:$AJ$4,0)))+SUMPRODUCT((Inputs!$C$5:$C$140=$B35)*Inputs!$D$5:$D$140*(((Inputs!$G$5:$G$140="moeda")+(Inputs!$G$5:$G$140="acoes"))*Inputs!$B$1+((Inputs!$G$5:$G$140&lt;&gt;"moeda")*(Inputs!$G$5:$G$140&lt;&gt;"acoes")))*INDEX(Inputs!$K$5:$AJ$140,0,MATCH(J$2,Inputs!$K$4:$AJ$4,0)))+SUMPRODUCT((Inputs!$E$5:$E$140=$B35)*Inputs!$F$5:$F$140*(((Inputs!$G$5:$G$140="moeda")+(Inputs!$G$5:$G$140="acoes"))*Inputs!$B$1+((Inputs!$G$5:$G$140&lt;&gt;"moeda")*(Inputs!$G$5:$G$140&lt;&gt;"acoes")))*INDEX(Inputs!$K$5:$AJ$140,0,MATCH(J$2,Inputs!$K$4:$AJ$4,0)))))</f>
        <v>876.531</v>
      </c>
      <c r="K35" s="6">
        <f>IF(ISNA(MATCH(K$2,Inputs!$K$4:$AJ$4,0)),NA(),IF(SUMPRODUCT((Inputs!$A$5:$A$140=$B35)*ISNUMBER(INDEX(Inputs!$K$5:$AJ$140,0,MATCH(K$2,Inputs!$K$4:$AJ$4,0))))+SUMPRODUCT((Inputs!$C$5:$C$140=$B35)*ISNUMBER(INDEX(Inputs!$K$5:$AJ$140,0,MATCH(K$2,Inputs!$K$4:$AJ$4,0))))+SUMPRODUCT((Inputs!$E$5:$E$140=$B35)*ISNUMBER(INDEX(Inputs!$K$5:$AJ$140,0,MATCH(K$2,Inputs!$K$4:$AJ$4,0))))=0,NA(),SUMPRODUCT((Inputs!$A$5:$A$140=$B35)*Inputs!$B$5:$B$140*(((Inputs!$G$5:$G$140="moeda")+(Inputs!$G$5:$G$140="acoes"))*Inputs!$B$1+((Inputs!$G$5:$G$140&lt;&gt;"moeda")*(Inputs!$G$5:$G$140&lt;&gt;"acoes")))*INDEX(Inputs!$K$5:$AJ$140,0,MATCH(K$2,Inputs!$K$4:$AJ$4,0)))+SUMPRODUCT((Inputs!$C$5:$C$140=$B35)*Inputs!$D$5:$D$140*(((Inputs!$G$5:$G$140="moeda")+(Inputs!$G$5:$G$140="acoes"))*Inputs!$B$1+((Inputs!$G$5:$G$140&lt;&gt;"moeda")*(Inputs!$G$5:$G$140&lt;&gt;"acoes")))*INDEX(Inputs!$K$5:$AJ$140,0,MATCH(K$2,Inputs!$K$4:$AJ$4,0)))+SUMPRODUCT((Inputs!$E$5:$E$140=$B35)*Inputs!$F$5:$F$140*(((Inputs!$G$5:$G$140="moeda")+(Inputs!$G$5:$G$140="acoes"))*Inputs!$B$1+((Inputs!$G$5:$G$140&lt;&gt;"moeda")*(Inputs!$G$5:$G$140&lt;&gt;"acoes")))*INDEX(Inputs!$K$5:$AJ$140,0,MATCH(K$2,Inputs!$K$4:$AJ$4,0)))))</f>
        <v>1641.207</v>
      </c>
      <c r="L35" s="6">
        <f>IF(ISNA(MATCH(L$2,Inputs!$K$4:$AJ$4,0)),NA(),IF(SUMPRODUCT((Inputs!$A$5:$A$140=$B35)*ISNUMBER(INDEX(Inputs!$K$5:$AJ$140,0,MATCH(L$2,Inputs!$K$4:$AJ$4,0))))+SUMPRODUCT((Inputs!$C$5:$C$140=$B35)*ISNUMBER(INDEX(Inputs!$K$5:$AJ$140,0,MATCH(L$2,Inputs!$K$4:$AJ$4,0))))+SUMPRODUCT((Inputs!$E$5:$E$140=$B35)*ISNUMBER(INDEX(Inputs!$K$5:$AJ$140,0,MATCH(L$2,Inputs!$K$4:$AJ$4,0))))=0,NA(),SUMPRODUCT((Inputs!$A$5:$A$140=$B35)*Inputs!$B$5:$B$140*(((Inputs!$G$5:$G$140="moeda")+(Inputs!$G$5:$G$140="acoes"))*Inputs!$B$1+((Inputs!$G$5:$G$140&lt;&gt;"moeda")*(Inputs!$G$5:$G$140&lt;&gt;"acoes")))*INDEX(Inputs!$K$5:$AJ$140,0,MATCH(L$2,Inputs!$K$4:$AJ$4,0)))+SUMPRODUCT((Inputs!$C$5:$C$140=$B35)*Inputs!$D$5:$D$140*(((Inputs!$G$5:$G$140="moeda")+(Inputs!$G$5:$G$140="acoes"))*Inputs!$B$1+((Inputs!$G$5:$G$140&lt;&gt;"moeda")*(Inputs!$G$5:$G$140&lt;&gt;"acoes")))*INDEX(Inputs!$K$5:$AJ$140,0,MATCH(L$2,Inputs!$K$4:$AJ$4,0)))+SUMPRODUCT((Inputs!$E$5:$E$140=$B35)*Inputs!$F$5:$F$140*(((Inputs!$G$5:$G$140="moeda")+(Inputs!$G$5:$G$140="acoes"))*Inputs!$B$1+((Inputs!$G$5:$G$140&lt;&gt;"moeda")*(Inputs!$G$5:$G$140&lt;&gt;"acoes")))*INDEX(Inputs!$K$5:$AJ$140,0,MATCH(L$2,Inputs!$K$4:$AJ$4,0)))))</f>
        <v>1638.222</v>
      </c>
      <c r="M35" s="3">
        <f>L35</f>
        <v>1638.222</v>
      </c>
      <c r="N35" s="6">
        <f>IF(ISNA(MATCH(N$2,Inputs!$K$4:$AJ$4,0)),NA(),IF(SUMPRODUCT((Inputs!$A$5:$A$140=$B35)*ISNUMBER(INDEX(Inputs!$K$5:$AJ$140,0,MATCH(N$2,Inputs!$K$4:$AJ$4,0))))+SUMPRODUCT((Inputs!$C$5:$C$140=$B35)*ISNUMBER(INDEX(Inputs!$K$5:$AJ$140,0,MATCH(N$2,Inputs!$K$4:$AJ$4,0))))+SUMPRODUCT((Inputs!$E$5:$E$140=$B35)*ISNUMBER(INDEX(Inputs!$K$5:$AJ$140,0,MATCH(N$2,Inputs!$K$4:$AJ$4,0))))=0,NA(),SUMPRODUCT((Inputs!$A$5:$A$140=$B35)*Inputs!$B$5:$B$140*(((Inputs!$G$5:$G$140="moeda")+(Inputs!$G$5:$G$140="acoes"))*Inputs!$B$1+((Inputs!$G$5:$G$140&lt;&gt;"moeda")*(Inputs!$G$5:$G$140&lt;&gt;"acoes")))*INDEX(Inputs!$K$5:$AJ$140,0,MATCH(N$2,Inputs!$K$4:$AJ$4,0)))+SUMPRODUCT((Inputs!$C$5:$C$140=$B35)*Inputs!$D$5:$D$140*(((Inputs!$G$5:$G$140="moeda")+(Inputs!$G$5:$G$140="acoes"))*Inputs!$B$1+((Inputs!$G$5:$G$140&lt;&gt;"moeda")*(Inputs!$G$5:$G$140&lt;&gt;"acoes")))*INDEX(Inputs!$K$5:$AJ$140,0,MATCH(N$2,Inputs!$K$4:$AJ$4,0)))+SUMPRODUCT((Inputs!$E$5:$E$140=$B35)*Inputs!$F$5:$F$140*(((Inputs!$G$5:$G$140="moeda")+(Inputs!$G$5:$G$140="acoes"))*Inputs!$B$1+((Inputs!$G$5:$G$140&lt;&gt;"moeda")*(Inputs!$G$5:$G$140&lt;&gt;"acoes")))*INDEX(Inputs!$K$5:$AJ$140,0,MATCH(N$2,Inputs!$K$4:$AJ$4,0)))))</f>
        <v>1616.264</v>
      </c>
      <c r="O35" s="6">
        <f>IF(ISNA(MATCH(O$2,Inputs!$K$4:$AJ$4,0)),NA(),IF(SUMPRODUCT((Inputs!$A$5:$A$140=$B35)*ISNUMBER(INDEX(Inputs!$K$5:$AJ$140,0,MATCH(O$2,Inputs!$K$4:$AJ$4,0))))+SUMPRODUCT((Inputs!$C$5:$C$140=$B35)*ISNUMBER(INDEX(Inputs!$K$5:$AJ$140,0,MATCH(O$2,Inputs!$K$4:$AJ$4,0))))+SUMPRODUCT((Inputs!$E$5:$E$140=$B35)*ISNUMBER(INDEX(Inputs!$K$5:$AJ$140,0,MATCH(O$2,Inputs!$K$4:$AJ$4,0))))=0,NA(),SUMPRODUCT((Inputs!$A$5:$A$140=$B35)*Inputs!$B$5:$B$140*(((Inputs!$G$5:$G$140="moeda")+(Inputs!$G$5:$G$140="acoes"))*Inputs!$B$1+((Inputs!$G$5:$G$140&lt;&gt;"moeda")*(Inputs!$G$5:$G$140&lt;&gt;"acoes")))*INDEX(Inputs!$K$5:$AJ$140,0,MATCH(O$2,Inputs!$K$4:$AJ$4,0)))+SUMPRODUCT((Inputs!$C$5:$C$140=$B35)*Inputs!$D$5:$D$140*(((Inputs!$G$5:$G$140="moeda")+(Inputs!$G$5:$G$140="acoes"))*Inputs!$B$1+((Inputs!$G$5:$G$140&lt;&gt;"moeda")*(Inputs!$G$5:$G$140&lt;&gt;"acoes")))*INDEX(Inputs!$K$5:$AJ$140,0,MATCH(O$2,Inputs!$K$4:$AJ$4,0)))+SUMPRODUCT((Inputs!$E$5:$E$140=$B35)*Inputs!$F$5:$F$140*(((Inputs!$G$5:$G$140="moeda")+(Inputs!$G$5:$G$140="acoes"))*Inputs!$B$1+((Inputs!$G$5:$G$140&lt;&gt;"moeda")*(Inputs!$G$5:$G$140&lt;&gt;"acoes")))*INDEX(Inputs!$K$5:$AJ$140,0,MATCH(O$2,Inputs!$K$4:$AJ$4,0)))))</f>
        <v>1582.105</v>
      </c>
      <c r="P35" s="6">
        <f>IF(ISNA(MATCH(P$2,Inputs!$K$4:$AJ$4,0)),NA(),IF(SUMPRODUCT((Inputs!$A$5:$A$140=$B35)*ISNUMBER(INDEX(Inputs!$K$5:$AJ$140,0,MATCH(P$2,Inputs!$K$4:$AJ$4,0))))+SUMPRODUCT((Inputs!$C$5:$C$140=$B35)*ISNUMBER(INDEX(Inputs!$K$5:$AJ$140,0,MATCH(P$2,Inputs!$K$4:$AJ$4,0))))+SUMPRODUCT((Inputs!$E$5:$E$140=$B35)*ISNUMBER(INDEX(Inputs!$K$5:$AJ$140,0,MATCH(P$2,Inputs!$K$4:$AJ$4,0))))=0,NA(),SUMPRODUCT((Inputs!$A$5:$A$140=$B35)*Inputs!$B$5:$B$140*(((Inputs!$G$5:$G$140="moeda")+(Inputs!$G$5:$G$140="acoes"))*Inputs!$B$1+((Inputs!$G$5:$G$140&lt;&gt;"moeda")*(Inputs!$G$5:$G$140&lt;&gt;"acoes")))*INDEX(Inputs!$K$5:$AJ$140,0,MATCH(P$2,Inputs!$K$4:$AJ$4,0)))+SUMPRODUCT((Inputs!$C$5:$C$140=$B35)*Inputs!$D$5:$D$140*(((Inputs!$G$5:$G$140="moeda")+(Inputs!$G$5:$G$140="acoes"))*Inputs!$B$1+((Inputs!$G$5:$G$140&lt;&gt;"moeda")*(Inputs!$G$5:$G$140&lt;&gt;"acoes")))*INDEX(Inputs!$K$5:$AJ$140,0,MATCH(P$2,Inputs!$K$4:$AJ$4,0)))+SUMPRODUCT((Inputs!$E$5:$E$140=$B35)*Inputs!$F$5:$F$140*(((Inputs!$G$5:$G$140="moeda")+(Inputs!$G$5:$G$140="acoes"))*Inputs!$B$1+((Inputs!$G$5:$G$140&lt;&gt;"moeda")*(Inputs!$G$5:$G$140&lt;&gt;"acoes")))*INDEX(Inputs!$K$5:$AJ$140,0,MATCH(P$2,Inputs!$K$4:$AJ$4,0)))))</f>
        <v>1546.724</v>
      </c>
      <c r="Q35" s="6">
        <f>IF(ISNA(MATCH(Q$2,Inputs!$K$4:$AJ$4,0)),NA(),IF(SUMPRODUCT((Inputs!$A$5:$A$140=$B35)*ISNUMBER(INDEX(Inputs!$K$5:$AJ$140,0,MATCH(Q$2,Inputs!$K$4:$AJ$4,0))))+SUMPRODUCT((Inputs!$C$5:$C$140=$B35)*ISNUMBER(INDEX(Inputs!$K$5:$AJ$140,0,MATCH(Q$2,Inputs!$K$4:$AJ$4,0))))+SUMPRODUCT((Inputs!$E$5:$E$140=$B35)*ISNUMBER(INDEX(Inputs!$K$5:$AJ$140,0,MATCH(Q$2,Inputs!$K$4:$AJ$4,0))))=0,NA(),SUMPRODUCT((Inputs!$A$5:$A$140=$B35)*Inputs!$B$5:$B$140*(((Inputs!$G$5:$G$140="moeda")+(Inputs!$G$5:$G$140="acoes"))*Inputs!$B$1+((Inputs!$G$5:$G$140&lt;&gt;"moeda")*(Inputs!$G$5:$G$140&lt;&gt;"acoes")))*INDEX(Inputs!$K$5:$AJ$140,0,MATCH(Q$2,Inputs!$K$4:$AJ$4,0)))+SUMPRODUCT((Inputs!$C$5:$C$140=$B35)*Inputs!$D$5:$D$140*(((Inputs!$G$5:$G$140="moeda")+(Inputs!$G$5:$G$140="acoes"))*Inputs!$B$1+((Inputs!$G$5:$G$140&lt;&gt;"moeda")*(Inputs!$G$5:$G$140&lt;&gt;"acoes")))*INDEX(Inputs!$K$5:$AJ$140,0,MATCH(Q$2,Inputs!$K$4:$AJ$4,0)))+SUMPRODUCT((Inputs!$E$5:$E$140=$B35)*Inputs!$F$5:$F$140*(((Inputs!$G$5:$G$140="moeda")+(Inputs!$G$5:$G$140="acoes"))*Inputs!$B$1+((Inputs!$G$5:$G$140&lt;&gt;"moeda")*(Inputs!$G$5:$G$140&lt;&gt;"acoes")))*INDEX(Inputs!$K$5:$AJ$140,0,MATCH(Q$2,Inputs!$K$4:$AJ$4,0)))))</f>
        <v>1313.982</v>
      </c>
      <c r="R35" s="3">
        <f>Q35</f>
        <v>1313.982</v>
      </c>
      <c r="S35" s="6">
        <f>IF(ISNA(MATCH(S$2,Inputs!$K$4:$AJ$4,0)),NA(),IF(SUMPRODUCT((Inputs!$A$5:$A$140=$B35)*ISNUMBER(INDEX(Inputs!$K$5:$AJ$140,0,MATCH(S$2,Inputs!$K$4:$AJ$4,0))))+SUMPRODUCT((Inputs!$C$5:$C$140=$B35)*ISNUMBER(INDEX(Inputs!$K$5:$AJ$140,0,MATCH(S$2,Inputs!$K$4:$AJ$4,0))))+SUMPRODUCT((Inputs!$E$5:$E$140=$B35)*ISNUMBER(INDEX(Inputs!$K$5:$AJ$140,0,MATCH(S$2,Inputs!$K$4:$AJ$4,0))))=0,NA(),SUMPRODUCT((Inputs!$A$5:$A$140=$B35)*Inputs!$B$5:$B$140*(((Inputs!$G$5:$G$140="moeda")+(Inputs!$G$5:$G$140="acoes"))*Inputs!$B$1+((Inputs!$G$5:$G$140&lt;&gt;"moeda")*(Inputs!$G$5:$G$140&lt;&gt;"acoes")))*INDEX(Inputs!$K$5:$AJ$140,0,MATCH(S$2,Inputs!$K$4:$AJ$4,0)))+SUMPRODUCT((Inputs!$C$5:$C$140=$B35)*Inputs!$D$5:$D$140*(((Inputs!$G$5:$G$140="moeda")+(Inputs!$G$5:$G$140="acoes"))*Inputs!$B$1+((Inputs!$G$5:$G$140&lt;&gt;"moeda")*(Inputs!$G$5:$G$140&lt;&gt;"acoes")))*INDEX(Inputs!$K$5:$AJ$140,0,MATCH(S$2,Inputs!$K$4:$AJ$4,0)))+SUMPRODUCT((Inputs!$E$5:$E$140=$B35)*Inputs!$F$5:$F$140*(((Inputs!$G$5:$G$140="moeda")+(Inputs!$G$5:$G$140="acoes"))*Inputs!$B$1+((Inputs!$G$5:$G$140&lt;&gt;"moeda")*(Inputs!$G$5:$G$140&lt;&gt;"acoes")))*INDEX(Inputs!$K$5:$AJ$140,0,MATCH(S$2,Inputs!$K$4:$AJ$4,0)))))</f>
        <v>1305.794</v>
      </c>
      <c r="T35" s="6">
        <f>IF(ISNA(MATCH(T$2,Inputs!$K$4:$AJ$4,0)),NA(),IF(SUMPRODUCT((Inputs!$A$5:$A$140=$B35)*ISNUMBER(INDEX(Inputs!$K$5:$AJ$140,0,MATCH(T$2,Inputs!$K$4:$AJ$4,0))))+SUMPRODUCT((Inputs!$C$5:$C$140=$B35)*ISNUMBER(INDEX(Inputs!$K$5:$AJ$140,0,MATCH(T$2,Inputs!$K$4:$AJ$4,0))))+SUMPRODUCT((Inputs!$E$5:$E$140=$B35)*ISNUMBER(INDEX(Inputs!$K$5:$AJ$140,0,MATCH(T$2,Inputs!$K$4:$AJ$4,0))))=0,NA(),SUMPRODUCT((Inputs!$A$5:$A$140=$B35)*Inputs!$B$5:$B$140*(((Inputs!$G$5:$G$140="moeda")+(Inputs!$G$5:$G$140="acoes"))*Inputs!$B$1+((Inputs!$G$5:$G$140&lt;&gt;"moeda")*(Inputs!$G$5:$G$140&lt;&gt;"acoes")))*INDEX(Inputs!$K$5:$AJ$140,0,MATCH(T$2,Inputs!$K$4:$AJ$4,0)))+SUMPRODUCT((Inputs!$C$5:$C$140=$B35)*Inputs!$D$5:$D$140*(((Inputs!$G$5:$G$140="moeda")+(Inputs!$G$5:$G$140="acoes"))*Inputs!$B$1+((Inputs!$G$5:$G$140&lt;&gt;"moeda")*(Inputs!$G$5:$G$140&lt;&gt;"acoes")))*INDEX(Inputs!$K$5:$AJ$140,0,MATCH(T$2,Inputs!$K$4:$AJ$4,0)))+SUMPRODUCT((Inputs!$E$5:$E$140=$B35)*Inputs!$F$5:$F$140*(((Inputs!$G$5:$G$140="moeda")+(Inputs!$G$5:$G$140="acoes"))*Inputs!$B$1+((Inputs!$G$5:$G$140&lt;&gt;"moeda")*(Inputs!$G$5:$G$140&lt;&gt;"acoes")))*INDEX(Inputs!$K$5:$AJ$140,0,MATCH(T$2,Inputs!$K$4:$AJ$4,0)))))</f>
        <v>1287.123</v>
      </c>
      <c r="U35" s="6">
        <f>IF(ISNA(MATCH(U$2,Inputs!$K$4:$AJ$4,0)),NA(),IF(SUMPRODUCT((Inputs!$A$5:$A$140=$B35)*ISNUMBER(INDEX(Inputs!$K$5:$AJ$140,0,MATCH(U$2,Inputs!$K$4:$AJ$4,0))))+SUMPRODUCT((Inputs!$C$5:$C$140=$B35)*ISNUMBER(INDEX(Inputs!$K$5:$AJ$140,0,MATCH(U$2,Inputs!$K$4:$AJ$4,0))))+SUMPRODUCT((Inputs!$E$5:$E$140=$B35)*ISNUMBER(INDEX(Inputs!$K$5:$AJ$140,0,MATCH(U$2,Inputs!$K$4:$AJ$4,0))))=0,NA(),SUMPRODUCT((Inputs!$A$5:$A$140=$B35)*Inputs!$B$5:$B$140*(((Inputs!$G$5:$G$140="moeda")+(Inputs!$G$5:$G$140="acoes"))*Inputs!$B$1+((Inputs!$G$5:$G$140&lt;&gt;"moeda")*(Inputs!$G$5:$G$140&lt;&gt;"acoes")))*INDEX(Inputs!$K$5:$AJ$140,0,MATCH(U$2,Inputs!$K$4:$AJ$4,0)))+SUMPRODUCT((Inputs!$C$5:$C$140=$B35)*Inputs!$D$5:$D$140*(((Inputs!$G$5:$G$140="moeda")+(Inputs!$G$5:$G$140="acoes"))*Inputs!$B$1+((Inputs!$G$5:$G$140&lt;&gt;"moeda")*(Inputs!$G$5:$G$140&lt;&gt;"acoes")))*INDEX(Inputs!$K$5:$AJ$140,0,MATCH(U$2,Inputs!$K$4:$AJ$4,0)))+SUMPRODUCT((Inputs!$E$5:$E$140=$B35)*Inputs!$F$5:$F$140*(((Inputs!$G$5:$G$140="moeda")+(Inputs!$G$5:$G$140="acoes"))*Inputs!$B$1+((Inputs!$G$5:$G$140&lt;&gt;"moeda")*(Inputs!$G$5:$G$140&lt;&gt;"acoes")))*INDEX(Inputs!$K$5:$AJ$140,0,MATCH(U$2,Inputs!$K$4:$AJ$4,0)))))</f>
        <v>1259.718</v>
      </c>
      <c r="V35" s="6">
        <f>IF(ISNA(MATCH(V$2,Inputs!$K$4:$AJ$4,0)),NA(),IF(SUMPRODUCT((Inputs!$A$5:$A$140=$B35)*ISNUMBER(INDEX(Inputs!$K$5:$AJ$140,0,MATCH(V$2,Inputs!$K$4:$AJ$4,0))))+SUMPRODUCT((Inputs!$C$5:$C$140=$B35)*ISNUMBER(INDEX(Inputs!$K$5:$AJ$140,0,MATCH(V$2,Inputs!$K$4:$AJ$4,0))))+SUMPRODUCT((Inputs!$E$5:$E$140=$B35)*ISNUMBER(INDEX(Inputs!$K$5:$AJ$140,0,MATCH(V$2,Inputs!$K$4:$AJ$4,0))))=0,NA(),SUMPRODUCT((Inputs!$A$5:$A$140=$B35)*Inputs!$B$5:$B$140*(((Inputs!$G$5:$G$140="moeda")+(Inputs!$G$5:$G$140="acoes"))*Inputs!$B$1+((Inputs!$G$5:$G$140&lt;&gt;"moeda")*(Inputs!$G$5:$G$140&lt;&gt;"acoes")))*INDEX(Inputs!$K$5:$AJ$140,0,MATCH(V$2,Inputs!$K$4:$AJ$4,0)))+SUMPRODUCT((Inputs!$C$5:$C$140=$B35)*Inputs!$D$5:$D$140*(((Inputs!$G$5:$G$140="moeda")+(Inputs!$G$5:$G$140="acoes"))*Inputs!$B$1+((Inputs!$G$5:$G$140&lt;&gt;"moeda")*(Inputs!$G$5:$G$140&lt;&gt;"acoes")))*INDEX(Inputs!$K$5:$AJ$140,0,MATCH(V$2,Inputs!$K$4:$AJ$4,0)))+SUMPRODUCT((Inputs!$E$5:$E$140=$B35)*Inputs!$F$5:$F$140*(((Inputs!$G$5:$G$140="moeda")+(Inputs!$G$5:$G$140="acoes"))*Inputs!$B$1+((Inputs!$G$5:$G$140&lt;&gt;"moeda")*(Inputs!$G$5:$G$140&lt;&gt;"acoes")))*INDEX(Inputs!$K$5:$AJ$140,0,MATCH(V$2,Inputs!$K$4:$AJ$4,0)))))</f>
        <v>1852.872</v>
      </c>
      <c r="W35" s="3">
        <f>V35</f>
        <v>1852.872</v>
      </c>
      <c r="X35" s="6">
        <f>IF(ISNA(MATCH(X$2,Inputs!$K$4:$AJ$4,0)),NA(),IF(SUMPRODUCT((Inputs!$A$5:$A$140=$B35)*ISNUMBER(INDEX(Inputs!$K$5:$AJ$140,0,MATCH(X$2,Inputs!$K$4:$AJ$4,0))))+SUMPRODUCT((Inputs!$C$5:$C$140=$B35)*ISNUMBER(INDEX(Inputs!$K$5:$AJ$140,0,MATCH(X$2,Inputs!$K$4:$AJ$4,0))))+SUMPRODUCT((Inputs!$E$5:$E$140=$B35)*ISNUMBER(INDEX(Inputs!$K$5:$AJ$140,0,MATCH(X$2,Inputs!$K$4:$AJ$4,0))))=0,NA(),SUMPRODUCT((Inputs!$A$5:$A$140=$B35)*Inputs!$B$5:$B$140*(((Inputs!$G$5:$G$140="moeda")+(Inputs!$G$5:$G$140="acoes"))*Inputs!$B$1+((Inputs!$G$5:$G$140&lt;&gt;"moeda")*(Inputs!$G$5:$G$140&lt;&gt;"acoes")))*INDEX(Inputs!$K$5:$AJ$140,0,MATCH(X$2,Inputs!$K$4:$AJ$4,0)))+SUMPRODUCT((Inputs!$C$5:$C$140=$B35)*Inputs!$D$5:$D$140*(((Inputs!$G$5:$G$140="moeda")+(Inputs!$G$5:$G$140="acoes"))*Inputs!$B$1+((Inputs!$G$5:$G$140&lt;&gt;"moeda")*(Inputs!$G$5:$G$140&lt;&gt;"acoes")))*INDEX(Inputs!$K$5:$AJ$140,0,MATCH(X$2,Inputs!$K$4:$AJ$4,0)))+SUMPRODUCT((Inputs!$E$5:$E$140=$B35)*Inputs!$F$5:$F$140*(((Inputs!$G$5:$G$140="moeda")+(Inputs!$G$5:$G$140="acoes"))*Inputs!$B$1+((Inputs!$G$5:$G$140&lt;&gt;"moeda")*(Inputs!$G$5:$G$140&lt;&gt;"acoes")))*INDEX(Inputs!$K$5:$AJ$140,0,MATCH(X$2,Inputs!$K$4:$AJ$4,0)))))</f>
        <v>1885.998</v>
      </c>
      <c r="Y35" s="6">
        <f>IF(ISNA(MATCH(Y$2,Inputs!$K$4:$AJ$4,0)),NA(),IF(SUMPRODUCT((Inputs!$A$5:$A$140=$B35)*ISNUMBER(INDEX(Inputs!$K$5:$AJ$140,0,MATCH(Y$2,Inputs!$K$4:$AJ$4,0))))+SUMPRODUCT((Inputs!$C$5:$C$140=$B35)*ISNUMBER(INDEX(Inputs!$K$5:$AJ$140,0,MATCH(Y$2,Inputs!$K$4:$AJ$4,0))))+SUMPRODUCT((Inputs!$E$5:$E$140=$B35)*ISNUMBER(INDEX(Inputs!$K$5:$AJ$140,0,MATCH(Y$2,Inputs!$K$4:$AJ$4,0))))=0,NA(),SUMPRODUCT((Inputs!$A$5:$A$140=$B35)*Inputs!$B$5:$B$140*(((Inputs!$G$5:$G$140="moeda")+(Inputs!$G$5:$G$140="acoes"))*Inputs!$B$1+((Inputs!$G$5:$G$140&lt;&gt;"moeda")*(Inputs!$G$5:$G$140&lt;&gt;"acoes")))*INDEX(Inputs!$K$5:$AJ$140,0,MATCH(Y$2,Inputs!$K$4:$AJ$4,0)))+SUMPRODUCT((Inputs!$C$5:$C$140=$B35)*Inputs!$D$5:$D$140*(((Inputs!$G$5:$G$140="moeda")+(Inputs!$G$5:$G$140="acoes"))*Inputs!$B$1+((Inputs!$G$5:$G$140&lt;&gt;"moeda")*(Inputs!$G$5:$G$140&lt;&gt;"acoes")))*INDEX(Inputs!$K$5:$AJ$140,0,MATCH(Y$2,Inputs!$K$4:$AJ$4,0)))+SUMPRODUCT((Inputs!$E$5:$E$140=$B35)*Inputs!$F$5:$F$140*(((Inputs!$G$5:$G$140="moeda")+(Inputs!$G$5:$G$140="acoes"))*Inputs!$B$1+((Inputs!$G$5:$G$140&lt;&gt;"moeda")*(Inputs!$G$5:$G$140&lt;&gt;"acoes")))*INDEX(Inputs!$K$5:$AJ$140,0,MATCH(Y$2,Inputs!$K$4:$AJ$4,0)))))</f>
        <v>1866.925</v>
      </c>
      <c r="Z35" s="6">
        <f>IF(ISNA(MATCH(Z$2,Inputs!$K$4:$AJ$4,0)),NA(),IF(SUMPRODUCT((Inputs!$A$5:$A$140=$B35)*ISNUMBER(INDEX(Inputs!$K$5:$AJ$140,0,MATCH(Z$2,Inputs!$K$4:$AJ$4,0))))+SUMPRODUCT((Inputs!$C$5:$C$140=$B35)*ISNUMBER(INDEX(Inputs!$K$5:$AJ$140,0,MATCH(Z$2,Inputs!$K$4:$AJ$4,0))))+SUMPRODUCT((Inputs!$E$5:$E$140=$B35)*ISNUMBER(INDEX(Inputs!$K$5:$AJ$140,0,MATCH(Z$2,Inputs!$K$4:$AJ$4,0))))=0,NA(),SUMPRODUCT((Inputs!$A$5:$A$140=$B35)*Inputs!$B$5:$B$140*(((Inputs!$G$5:$G$140="moeda")+(Inputs!$G$5:$G$140="acoes"))*Inputs!$B$1+((Inputs!$G$5:$G$140&lt;&gt;"moeda")*(Inputs!$G$5:$G$140&lt;&gt;"acoes")))*INDEX(Inputs!$K$5:$AJ$140,0,MATCH(Z$2,Inputs!$K$4:$AJ$4,0)))+SUMPRODUCT((Inputs!$C$5:$C$140=$B35)*Inputs!$D$5:$D$140*(((Inputs!$G$5:$G$140="moeda")+(Inputs!$G$5:$G$140="acoes"))*Inputs!$B$1+((Inputs!$G$5:$G$140&lt;&gt;"moeda")*(Inputs!$G$5:$G$140&lt;&gt;"acoes")))*INDEX(Inputs!$K$5:$AJ$140,0,MATCH(Z$2,Inputs!$K$4:$AJ$4,0)))+SUMPRODUCT((Inputs!$E$5:$E$140=$B35)*Inputs!$F$5:$F$140*(((Inputs!$G$5:$G$140="moeda")+(Inputs!$G$5:$G$140="acoes"))*Inputs!$B$1+((Inputs!$G$5:$G$140&lt;&gt;"moeda")*(Inputs!$G$5:$G$140&lt;&gt;"acoes")))*INDEX(Inputs!$K$5:$AJ$140,0,MATCH(Z$2,Inputs!$K$4:$AJ$4,0)))))</f>
        <v>2086.176</v>
      </c>
      <c r="AA35" s="6">
        <f>IF(ISNA(MATCH(AA$2,Inputs!$K$4:$AJ$4,0)),NA(),IF(SUMPRODUCT((Inputs!$A$5:$A$140=$B35)*ISNUMBER(INDEX(Inputs!$K$5:$AJ$140,0,MATCH(AA$2,Inputs!$K$4:$AJ$4,0))))+SUMPRODUCT((Inputs!$C$5:$C$140=$B35)*ISNUMBER(INDEX(Inputs!$K$5:$AJ$140,0,MATCH(AA$2,Inputs!$K$4:$AJ$4,0))))+SUMPRODUCT((Inputs!$E$5:$E$140=$B35)*ISNUMBER(INDEX(Inputs!$K$5:$AJ$140,0,MATCH(AA$2,Inputs!$K$4:$AJ$4,0))))=0,NA(),SUMPRODUCT((Inputs!$A$5:$A$140=$B35)*Inputs!$B$5:$B$140*(((Inputs!$G$5:$G$140="moeda")+(Inputs!$G$5:$G$140="acoes"))*Inputs!$B$1+((Inputs!$G$5:$G$140&lt;&gt;"moeda")*(Inputs!$G$5:$G$140&lt;&gt;"acoes")))*INDEX(Inputs!$K$5:$AJ$140,0,MATCH(AA$2,Inputs!$K$4:$AJ$4,0)))+SUMPRODUCT((Inputs!$C$5:$C$140=$B35)*Inputs!$D$5:$D$140*(((Inputs!$G$5:$G$140="moeda")+(Inputs!$G$5:$G$140="acoes"))*Inputs!$B$1+((Inputs!$G$5:$G$140&lt;&gt;"moeda")*(Inputs!$G$5:$G$140&lt;&gt;"acoes")))*INDEX(Inputs!$K$5:$AJ$140,0,MATCH(AA$2,Inputs!$K$4:$AJ$4,0)))+SUMPRODUCT((Inputs!$E$5:$E$140=$B35)*Inputs!$F$5:$F$140*(((Inputs!$G$5:$G$140="moeda")+(Inputs!$G$5:$G$140="acoes"))*Inputs!$B$1+((Inputs!$G$5:$G$140&lt;&gt;"moeda")*(Inputs!$G$5:$G$140&lt;&gt;"acoes")))*INDEX(Inputs!$K$5:$AJ$140,0,MATCH(AA$2,Inputs!$K$4:$AJ$4,0)))))</f>
        <v>1656.368</v>
      </c>
      <c r="AB35" s="3">
        <f>AA35</f>
        <v>1656.368</v>
      </c>
      <c r="AC35" s="6">
        <f>IF(ISNA(MATCH(AC$2,Inputs!$K$4:$AJ$4,0)),NA(),IF(SUMPRODUCT((Inputs!$A$5:$A$140=$B35)*ISNUMBER(INDEX(Inputs!$K$5:$AJ$140,0,MATCH(AC$2,Inputs!$K$4:$AJ$4,0))))+SUMPRODUCT((Inputs!$C$5:$C$140=$B35)*ISNUMBER(INDEX(Inputs!$K$5:$AJ$140,0,MATCH(AC$2,Inputs!$K$4:$AJ$4,0))))+SUMPRODUCT((Inputs!$E$5:$E$140=$B35)*ISNUMBER(INDEX(Inputs!$K$5:$AJ$140,0,MATCH(AC$2,Inputs!$K$4:$AJ$4,0))))=0,NA(),SUMPRODUCT((Inputs!$A$5:$A$140=$B35)*Inputs!$B$5:$B$140*(((Inputs!$G$5:$G$140="moeda")+(Inputs!$G$5:$G$140="acoes"))*Inputs!$B$1+((Inputs!$G$5:$G$140&lt;&gt;"moeda")*(Inputs!$G$5:$G$140&lt;&gt;"acoes")))*INDEX(Inputs!$K$5:$AJ$140,0,MATCH(AC$2,Inputs!$K$4:$AJ$4,0)))+SUMPRODUCT((Inputs!$C$5:$C$140=$B35)*Inputs!$D$5:$D$140*(((Inputs!$G$5:$G$140="moeda")+(Inputs!$G$5:$G$140="acoes"))*Inputs!$B$1+((Inputs!$G$5:$G$140&lt;&gt;"moeda")*(Inputs!$G$5:$G$140&lt;&gt;"acoes")))*INDEX(Inputs!$K$5:$AJ$140,0,MATCH(AC$2,Inputs!$K$4:$AJ$4,0)))+SUMPRODUCT((Inputs!$E$5:$E$140=$B35)*Inputs!$F$5:$F$140*(((Inputs!$G$5:$G$140="moeda")+(Inputs!$G$5:$G$140="acoes"))*Inputs!$B$1+((Inputs!$G$5:$G$140&lt;&gt;"moeda")*(Inputs!$G$5:$G$140&lt;&gt;"acoes")))*INDEX(Inputs!$K$5:$AJ$140,0,MATCH(AC$2,Inputs!$K$4:$AJ$4,0)))))</f>
        <v>1182.868</v>
      </c>
      <c r="AD35" s="6">
        <f>IF(ISNA(MATCH(AD$2,Inputs!$K$4:$AJ$4,0)),NA(),IF(SUMPRODUCT((Inputs!$A$5:$A$140=$B35)*ISNUMBER(INDEX(Inputs!$K$5:$AJ$140,0,MATCH(AD$2,Inputs!$K$4:$AJ$4,0))))+SUMPRODUCT((Inputs!$C$5:$C$140=$B35)*ISNUMBER(INDEX(Inputs!$K$5:$AJ$140,0,MATCH(AD$2,Inputs!$K$4:$AJ$4,0))))+SUMPRODUCT((Inputs!$E$5:$E$140=$B35)*ISNUMBER(INDEX(Inputs!$K$5:$AJ$140,0,MATCH(AD$2,Inputs!$K$4:$AJ$4,0))))=0,NA(),SUMPRODUCT((Inputs!$A$5:$A$140=$B35)*Inputs!$B$5:$B$140*(((Inputs!$G$5:$G$140="moeda")+(Inputs!$G$5:$G$140="acoes"))*Inputs!$B$1+((Inputs!$G$5:$G$140&lt;&gt;"moeda")*(Inputs!$G$5:$G$140&lt;&gt;"acoes")))*INDEX(Inputs!$K$5:$AJ$140,0,MATCH(AD$2,Inputs!$K$4:$AJ$4,0)))+SUMPRODUCT((Inputs!$C$5:$C$140=$B35)*Inputs!$D$5:$D$140*(((Inputs!$G$5:$G$140="moeda")+(Inputs!$G$5:$G$140="acoes"))*Inputs!$B$1+((Inputs!$G$5:$G$140&lt;&gt;"moeda")*(Inputs!$G$5:$G$140&lt;&gt;"acoes")))*INDEX(Inputs!$K$5:$AJ$140,0,MATCH(AD$2,Inputs!$K$4:$AJ$4,0)))+SUMPRODUCT((Inputs!$E$5:$E$140=$B35)*Inputs!$F$5:$F$140*(((Inputs!$G$5:$G$140="moeda")+(Inputs!$G$5:$G$140="acoes"))*Inputs!$B$1+((Inputs!$G$5:$G$140&lt;&gt;"moeda")*(Inputs!$G$5:$G$140&lt;&gt;"acoes")))*INDEX(Inputs!$K$5:$AJ$140,0,MATCH(AD$2,Inputs!$K$4:$AJ$4,0)))))</f>
        <v>1194.648</v>
      </c>
      <c r="AE35" s="6" t="e">
        <f>IF(ISNA(MATCH(AE$2,Inputs!$K$4:$AJ$4,0)),NA(),IF(SUMPRODUCT((Inputs!$A$5:$A$140=$B35)*ISNUMBER(INDEX(Inputs!$K$5:$AJ$140,0,MATCH(AE$2,Inputs!$K$4:$AJ$4,0))))+SUMPRODUCT((Inputs!$C$5:$C$140=$B35)*ISNUMBER(INDEX(Inputs!$K$5:$AJ$140,0,MATCH(AE$2,Inputs!$K$4:$AJ$4,0))))+SUMPRODUCT((Inputs!$E$5:$E$140=$B35)*ISNUMBER(INDEX(Inputs!$K$5:$AJ$140,0,MATCH(AE$2,Inputs!$K$4:$AJ$4,0))))=0,NA(),SUMPRODUCT((Inputs!$A$5:$A$140=$B35)*Inputs!$B$5:$B$140*(((Inputs!$G$5:$G$140="moeda")+(Inputs!$G$5:$G$140="acoes"))*Inputs!$B$1+((Inputs!$G$5:$G$140&lt;&gt;"moeda")*(Inputs!$G$5:$G$140&lt;&gt;"acoes")))*INDEX(Inputs!$K$5:$AJ$140,0,MATCH(AE$2,Inputs!$K$4:$AJ$4,0)))+SUMPRODUCT((Inputs!$C$5:$C$140=$B35)*Inputs!$D$5:$D$140*(((Inputs!$G$5:$G$140="moeda")+(Inputs!$G$5:$G$140="acoes"))*Inputs!$B$1+((Inputs!$G$5:$G$140&lt;&gt;"moeda")*(Inputs!$G$5:$G$140&lt;&gt;"acoes")))*INDEX(Inputs!$K$5:$AJ$140,0,MATCH(AE$2,Inputs!$K$4:$AJ$4,0)))+SUMPRODUCT((Inputs!$E$5:$E$140=$B35)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5" s="6" t="e">
        <f>IF(ISNA(MATCH(AF$2,Inputs!$K$4:$AJ$4,0)),NA(),IF(SUMPRODUCT((Inputs!$A$5:$A$140=$B35)*ISNUMBER(INDEX(Inputs!$K$5:$AJ$140,0,MATCH(AF$2,Inputs!$K$4:$AJ$4,0))))+SUMPRODUCT((Inputs!$C$5:$C$140=$B35)*ISNUMBER(INDEX(Inputs!$K$5:$AJ$140,0,MATCH(AF$2,Inputs!$K$4:$AJ$4,0))))+SUMPRODUCT((Inputs!$E$5:$E$140=$B35)*ISNUMBER(INDEX(Inputs!$K$5:$AJ$140,0,MATCH(AF$2,Inputs!$K$4:$AJ$4,0))))=0,NA(),SUMPRODUCT((Inputs!$A$5:$A$140=$B35)*Inputs!$B$5:$B$140*(((Inputs!$G$5:$G$140="moeda")+(Inputs!$G$5:$G$140="acoes"))*Inputs!$B$1+((Inputs!$G$5:$G$140&lt;&gt;"moeda")*(Inputs!$G$5:$G$140&lt;&gt;"acoes")))*INDEX(Inputs!$K$5:$AJ$140,0,MATCH(AF$2,Inputs!$K$4:$AJ$4,0)))+SUMPRODUCT((Inputs!$C$5:$C$140=$B35)*Inputs!$D$5:$D$140*(((Inputs!$G$5:$G$140="moeda")+(Inputs!$G$5:$G$140="acoes"))*Inputs!$B$1+((Inputs!$G$5:$G$140&lt;&gt;"moeda")*(Inputs!$G$5:$G$140&lt;&gt;"acoes")))*INDEX(Inputs!$K$5:$AJ$140,0,MATCH(AF$2,Inputs!$K$4:$AJ$4,0)))+SUMPRODUCT((Inputs!$E$5:$E$140=$B35)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5" s="3" t="e">
        <f>AF35</f>
        <v>#N/A</v>
      </c>
      <c r="AH35" s="6" t="e">
        <f>IF(ISNA(MATCH(AH$2,Inputs!$K$4:$AJ$4,0)),NA(),IF(SUMPRODUCT((Inputs!$A$5:$A$140=$B35)*ISNUMBER(INDEX(Inputs!$K$5:$AJ$140,0,MATCH(AH$2,Inputs!$K$4:$AJ$4,0))))+SUMPRODUCT((Inputs!$C$5:$C$140=$B35)*ISNUMBER(INDEX(Inputs!$K$5:$AJ$140,0,MATCH(AH$2,Inputs!$K$4:$AJ$4,0))))+SUMPRODUCT((Inputs!$E$5:$E$140=$B35)*ISNUMBER(INDEX(Inputs!$K$5:$AJ$140,0,MATCH(AH$2,Inputs!$K$4:$AJ$4,0))))=0,NA(),SUMPRODUCT((Inputs!$A$5:$A$140=$B35)*Inputs!$B$5:$B$140*(((Inputs!$G$5:$G$140="moeda")+(Inputs!$G$5:$G$140="acoes"))*Inputs!$B$1+((Inputs!$G$5:$G$140&lt;&gt;"moeda")*(Inputs!$G$5:$G$140&lt;&gt;"acoes")))*INDEX(Inputs!$K$5:$AJ$140,0,MATCH(AH$2,Inputs!$K$4:$AJ$4,0)))+SUMPRODUCT((Inputs!$C$5:$C$140=$B35)*Inputs!$D$5:$D$140*(((Inputs!$G$5:$G$140="moeda")+(Inputs!$G$5:$G$140="acoes"))*Inputs!$B$1+((Inputs!$G$5:$G$140&lt;&gt;"moeda")*(Inputs!$G$5:$G$140&lt;&gt;"acoes")))*INDEX(Inputs!$K$5:$AJ$140,0,MATCH(AH$2,Inputs!$K$4:$AJ$4,0)))+SUMPRODUCT((Inputs!$E$5:$E$140=$B35)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5" s="6">
        <f>IF(ISNA(MATCH(AI$2,Inputs!$K$4:$AJ$4,0)),NA(),IF(SUMPRODUCT((Inputs!$A$5:$A$140=$B35)*ISNUMBER(INDEX(Inputs!$K$5:$AJ$140,0,MATCH(AI$2,Inputs!$K$4:$AJ$4,0))))+SUMPRODUCT((Inputs!$C$5:$C$140=$B35)*ISNUMBER(INDEX(Inputs!$K$5:$AJ$140,0,MATCH(AI$2,Inputs!$K$4:$AJ$4,0))))+SUMPRODUCT((Inputs!$E$5:$E$140=$B35)*ISNUMBER(INDEX(Inputs!$K$5:$AJ$140,0,MATCH(AI$2,Inputs!$K$4:$AJ$4,0))))=0,NA(),SUMPRODUCT((Inputs!$A$5:$A$140=$B35)*Inputs!$B$5:$B$140*(((Inputs!$G$5:$G$140="moeda")+(Inputs!$G$5:$G$140="acoes"))*Inputs!$B$1+((Inputs!$G$5:$G$140&lt;&gt;"moeda")*(Inputs!$G$5:$G$140&lt;&gt;"acoes")))*INDEX(Inputs!$K$5:$AJ$140,0,MATCH(AI$2,Inputs!$K$4:$AJ$4,0)))+SUMPRODUCT((Inputs!$C$5:$C$140=$B35)*Inputs!$D$5:$D$140*(((Inputs!$G$5:$G$140="moeda")+(Inputs!$G$5:$G$140="acoes"))*Inputs!$B$1+((Inputs!$G$5:$G$140&lt;&gt;"moeda")*(Inputs!$G$5:$G$140&lt;&gt;"acoes")))*INDEX(Inputs!$K$5:$AJ$140,0,MATCH(AI$2,Inputs!$K$4:$AJ$4,0)))+SUMPRODUCT((Inputs!$E$5:$E$140=$B35)*Inputs!$F$5:$F$140*(((Inputs!$G$5:$G$140="moeda")+(Inputs!$G$5:$G$140="acoes"))*Inputs!$B$1+((Inputs!$G$5:$G$140&lt;&gt;"moeda")*(Inputs!$G$5:$G$140&lt;&gt;"acoes")))*INDEX(Inputs!$K$5:$AJ$140,0,MATCH(AI$2,Inputs!$K$4:$AJ$4,0)))))</f>
        <v>975.544</v>
      </c>
      <c r="AJ35" s="6">
        <f>IF(ISNA(MATCH(AJ$2,Inputs!$K$4:$AJ$4,0)),NA(),IF(SUMPRODUCT((Inputs!$A$5:$A$140=$B35)*ISNUMBER(INDEX(Inputs!$K$5:$AJ$140,0,MATCH(AJ$2,Inputs!$K$4:$AJ$4,0))))+SUMPRODUCT((Inputs!$C$5:$C$140=$B35)*ISNUMBER(INDEX(Inputs!$K$5:$AJ$140,0,MATCH(AJ$2,Inputs!$K$4:$AJ$4,0))))+SUMPRODUCT((Inputs!$E$5:$E$140=$B35)*ISNUMBER(INDEX(Inputs!$K$5:$AJ$140,0,MATCH(AJ$2,Inputs!$K$4:$AJ$4,0))))=0,NA(),SUMPRODUCT((Inputs!$A$5:$A$140=$B35)*Inputs!$B$5:$B$140*(((Inputs!$G$5:$G$140="moeda")+(Inputs!$G$5:$G$140="acoes"))*Inputs!$B$1+((Inputs!$G$5:$G$140&lt;&gt;"moeda")*(Inputs!$G$5:$G$140&lt;&gt;"acoes")))*INDEX(Inputs!$K$5:$AJ$140,0,MATCH(AJ$2,Inputs!$K$4:$AJ$4,0)))+SUMPRODUCT((Inputs!$C$5:$C$140=$B35)*Inputs!$D$5:$D$140*(((Inputs!$G$5:$G$140="moeda")+(Inputs!$G$5:$G$140="acoes"))*Inputs!$B$1+((Inputs!$G$5:$G$140&lt;&gt;"moeda")*(Inputs!$G$5:$G$140&lt;&gt;"acoes")))*INDEX(Inputs!$K$5:$AJ$140,0,MATCH(AJ$2,Inputs!$K$4:$AJ$4,0)))+SUMPRODUCT((Inputs!$E$5:$E$140=$B35)*Inputs!$F$5:$F$140*(((Inputs!$G$5:$G$140="moeda")+(Inputs!$G$5:$G$140="acoes"))*Inputs!$B$1+((Inputs!$G$5:$G$140&lt;&gt;"moeda")*(Inputs!$G$5:$G$140&lt;&gt;"acoes")))*INDEX(Inputs!$K$5:$AJ$140,0,MATCH(AJ$2,Inputs!$K$4:$AJ$4,0)))))</f>
        <v>1059.13874924</v>
      </c>
      <c r="AK35" s="6">
        <f>IF(ISNA(MATCH(AK$2,Inputs!$K$4:$AJ$4,0)),NA(),IF(SUMPRODUCT((Inputs!$A$5:$A$140=$B35)*ISNUMBER(INDEX(Inputs!$K$5:$AJ$140,0,MATCH(AK$2,Inputs!$K$4:$AJ$4,0))))+SUMPRODUCT((Inputs!$C$5:$C$140=$B35)*ISNUMBER(INDEX(Inputs!$K$5:$AJ$140,0,MATCH(AK$2,Inputs!$K$4:$AJ$4,0))))+SUMPRODUCT((Inputs!$E$5:$E$140=$B35)*ISNUMBER(INDEX(Inputs!$K$5:$AJ$140,0,MATCH(AK$2,Inputs!$K$4:$AJ$4,0))))=0,NA(),SUMPRODUCT((Inputs!$A$5:$A$140=$B35)*Inputs!$B$5:$B$140*(((Inputs!$G$5:$G$140="moeda")+(Inputs!$G$5:$G$140="acoes"))*Inputs!$B$1+((Inputs!$G$5:$G$140&lt;&gt;"moeda")*(Inputs!$G$5:$G$140&lt;&gt;"acoes")))*INDEX(Inputs!$K$5:$AJ$140,0,MATCH(AK$2,Inputs!$K$4:$AJ$4,0)))+SUMPRODUCT((Inputs!$C$5:$C$140=$B35)*Inputs!$D$5:$D$140*(((Inputs!$G$5:$G$140="moeda")+(Inputs!$G$5:$G$140="acoes"))*Inputs!$B$1+((Inputs!$G$5:$G$140&lt;&gt;"moeda")*(Inputs!$G$5:$G$140&lt;&gt;"acoes")))*INDEX(Inputs!$K$5:$AJ$140,0,MATCH(AK$2,Inputs!$K$4:$AJ$4,0)))+SUMPRODUCT((Inputs!$E$5:$E$140=$B35)*Inputs!$F$5:$F$140*(((Inputs!$G$5:$G$140="moeda")+(Inputs!$G$5:$G$140="acoes"))*Inputs!$B$1+((Inputs!$G$5:$G$140&lt;&gt;"moeda")*(Inputs!$G$5:$G$140&lt;&gt;"acoes")))*INDEX(Inputs!$K$5:$AJ$140,0,MATCH(AK$2,Inputs!$K$4:$AJ$4,0)))))</f>
        <v>531.32645287</v>
      </c>
      <c r="AL35" s="3">
        <f>AK35</f>
        <v>531.32645287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$140=$B36)*ISNUMBER(INDEX(Inputs!$K$5:$AJ$140,0,MATCH(D$2,Inputs!$K$4:$AJ$4,0))))+SUMPRODUCT((Inputs!$C$5:$C$140=$B36)*ISNUMBER(INDEX(Inputs!$K$5:$AJ$140,0,MATCH(D$2,Inputs!$K$4:$AJ$4,0))))+SUMPRODUCT((Inputs!$E$5:$E$140=$B36)*ISNUMBER(INDEX(Inputs!$K$5:$AJ$140,0,MATCH(D$2,Inputs!$K$4:$AJ$4,0))))=0,NA(),SUMPRODUCT((Inputs!$A$5:$A$140=$B36)*Inputs!$B$5:$B$140*(((Inputs!$G$5:$G$140="moeda")+(Inputs!$G$5:$G$140="acoes"))*Inputs!$B$1+((Inputs!$G$5:$G$140&lt;&gt;"moeda")*(Inputs!$G$5:$G$140&lt;&gt;"acoes")))*INDEX(Inputs!$K$5:$AJ$140,0,MATCH(D$2,Inputs!$K$4:$AJ$4,0)))+SUMPRODUCT((Inputs!$C$5:$C$140=$B36)*Inputs!$D$5:$D$140*(((Inputs!$G$5:$G$140="moeda")+(Inputs!$G$5:$G$140="acoes"))*Inputs!$B$1+((Inputs!$G$5:$G$140&lt;&gt;"moeda")*(Inputs!$G$5:$G$140&lt;&gt;"acoes")))*INDEX(Inputs!$K$5:$AJ$140,0,MATCH(D$2,Inputs!$K$4:$AJ$4,0)))+SUMPRODUCT((Inputs!$E$5:$E$140=$B36)*Inputs!$F$5:$F$140*(((Inputs!$G$5:$G$140="moeda")+(Inputs!$G$5:$G$140="acoes"))*Inputs!$B$1+((Inputs!$G$5:$G$140&lt;&gt;"moeda")*(Inputs!$G$5:$G$140&lt;&gt;"acoes")))*INDEX(Inputs!$K$5:$AJ$140,0,MATCH(D$2,Inputs!$K$4:$AJ$4,0)))))</f>
        <v>590.83199564</v>
      </c>
      <c r="E36" s="6">
        <f>IF(ISNA(MATCH(E$2,Inputs!$K$4:$AJ$4,0)),NA(),IF(SUMPRODUCT((Inputs!$A$5:$A$140=$B36)*ISNUMBER(INDEX(Inputs!$K$5:$AJ$140,0,MATCH(E$2,Inputs!$K$4:$AJ$4,0))))+SUMPRODUCT((Inputs!$C$5:$C$140=$B36)*ISNUMBER(INDEX(Inputs!$K$5:$AJ$140,0,MATCH(E$2,Inputs!$K$4:$AJ$4,0))))+SUMPRODUCT((Inputs!$E$5:$E$140=$B36)*ISNUMBER(INDEX(Inputs!$K$5:$AJ$140,0,MATCH(E$2,Inputs!$K$4:$AJ$4,0))))=0,NA(),SUMPRODUCT((Inputs!$A$5:$A$140=$B36)*Inputs!$B$5:$B$140*(((Inputs!$G$5:$G$140="moeda")+(Inputs!$G$5:$G$140="acoes"))*Inputs!$B$1+((Inputs!$G$5:$G$140&lt;&gt;"moeda")*(Inputs!$G$5:$G$140&lt;&gt;"acoes")))*INDEX(Inputs!$K$5:$AJ$140,0,MATCH(E$2,Inputs!$K$4:$AJ$4,0)))+SUMPRODUCT((Inputs!$C$5:$C$140=$B36)*Inputs!$D$5:$D$140*(((Inputs!$G$5:$G$140="moeda")+(Inputs!$G$5:$G$140="acoes"))*Inputs!$B$1+((Inputs!$G$5:$G$140&lt;&gt;"moeda")*(Inputs!$G$5:$G$140&lt;&gt;"acoes")))*INDEX(Inputs!$K$5:$AJ$140,0,MATCH(E$2,Inputs!$K$4:$AJ$4,0)))+SUMPRODUCT((Inputs!$E$5:$E$140=$B36)*Inputs!$F$5:$F$140*(((Inputs!$G$5:$G$140="moeda")+(Inputs!$G$5:$G$140="acoes"))*Inputs!$B$1+((Inputs!$G$5:$G$140&lt;&gt;"moeda")*(Inputs!$G$5:$G$140&lt;&gt;"acoes")))*INDEX(Inputs!$K$5:$AJ$140,0,MATCH(E$2,Inputs!$K$4:$AJ$4,0)))))</f>
        <v>634.57322806</v>
      </c>
      <c r="F36" s="6">
        <f>IF(ISNA(MATCH(F$2,Inputs!$K$4:$AJ$4,0)),NA(),IF(SUMPRODUCT((Inputs!$A$5:$A$140=$B36)*ISNUMBER(INDEX(Inputs!$K$5:$AJ$140,0,MATCH(F$2,Inputs!$K$4:$AJ$4,0))))+SUMPRODUCT((Inputs!$C$5:$C$140=$B36)*ISNUMBER(INDEX(Inputs!$K$5:$AJ$140,0,MATCH(F$2,Inputs!$K$4:$AJ$4,0))))+SUMPRODUCT((Inputs!$E$5:$E$140=$B36)*ISNUMBER(INDEX(Inputs!$K$5:$AJ$140,0,MATCH(F$2,Inputs!$K$4:$AJ$4,0))))=0,NA(),SUMPRODUCT((Inputs!$A$5:$A$140=$B36)*Inputs!$B$5:$B$140*(((Inputs!$G$5:$G$140="moeda")+(Inputs!$G$5:$G$140="acoes"))*Inputs!$B$1+((Inputs!$G$5:$G$140&lt;&gt;"moeda")*(Inputs!$G$5:$G$140&lt;&gt;"acoes")))*INDEX(Inputs!$K$5:$AJ$140,0,MATCH(F$2,Inputs!$K$4:$AJ$4,0)))+SUMPRODUCT((Inputs!$C$5:$C$140=$B36)*Inputs!$D$5:$D$140*(((Inputs!$G$5:$G$140="moeda")+(Inputs!$G$5:$G$140="acoes"))*Inputs!$B$1+((Inputs!$G$5:$G$140&lt;&gt;"moeda")*(Inputs!$G$5:$G$140&lt;&gt;"acoes")))*INDEX(Inputs!$K$5:$AJ$140,0,MATCH(F$2,Inputs!$K$4:$AJ$4,0)))+SUMPRODUCT((Inputs!$E$5:$E$140=$B36)*Inputs!$F$5:$F$140*(((Inputs!$G$5:$G$140="moeda")+(Inputs!$G$5:$G$140="acoes"))*Inputs!$B$1+((Inputs!$G$5:$G$140&lt;&gt;"moeda")*(Inputs!$G$5:$G$140&lt;&gt;"acoes")))*INDEX(Inputs!$K$5:$AJ$140,0,MATCH(F$2,Inputs!$K$4:$AJ$4,0)))))</f>
        <v>813.529</v>
      </c>
      <c r="G36" s="6">
        <f>IF(ISNA(MATCH(G$2,Inputs!$K$4:$AJ$4,0)),NA(),IF(SUMPRODUCT((Inputs!$A$5:$A$140=$B36)*ISNUMBER(INDEX(Inputs!$K$5:$AJ$140,0,MATCH(G$2,Inputs!$K$4:$AJ$4,0))))+SUMPRODUCT((Inputs!$C$5:$C$140=$B36)*ISNUMBER(INDEX(Inputs!$K$5:$AJ$140,0,MATCH(G$2,Inputs!$K$4:$AJ$4,0))))+SUMPRODUCT((Inputs!$E$5:$E$140=$B36)*ISNUMBER(INDEX(Inputs!$K$5:$AJ$140,0,MATCH(G$2,Inputs!$K$4:$AJ$4,0))))=0,NA(),SUMPRODUCT((Inputs!$A$5:$A$140=$B36)*Inputs!$B$5:$B$140*(((Inputs!$G$5:$G$140="moeda")+(Inputs!$G$5:$G$140="acoes"))*Inputs!$B$1+((Inputs!$G$5:$G$140&lt;&gt;"moeda")*(Inputs!$G$5:$G$140&lt;&gt;"acoes")))*INDEX(Inputs!$K$5:$AJ$140,0,MATCH(G$2,Inputs!$K$4:$AJ$4,0)))+SUMPRODUCT((Inputs!$C$5:$C$140=$B36)*Inputs!$D$5:$D$140*(((Inputs!$G$5:$G$140="moeda")+(Inputs!$G$5:$G$140="acoes"))*Inputs!$B$1+((Inputs!$G$5:$G$140&lt;&gt;"moeda")*(Inputs!$G$5:$G$140&lt;&gt;"acoes")))*INDEX(Inputs!$K$5:$AJ$140,0,MATCH(G$2,Inputs!$K$4:$AJ$4,0)))+SUMPRODUCT((Inputs!$E$5:$E$140=$B36)*Inputs!$F$5:$F$140*(((Inputs!$G$5:$G$140="moeda")+(Inputs!$G$5:$G$140="acoes"))*Inputs!$B$1+((Inputs!$G$5:$G$140&lt;&gt;"moeda")*(Inputs!$G$5:$G$140&lt;&gt;"acoes")))*INDEX(Inputs!$K$5:$AJ$140,0,MATCH(G$2,Inputs!$K$4:$AJ$4,0)))))</f>
        <v>890.536</v>
      </c>
      <c r="H36" s="3">
        <f>G36</f>
        <v>890.536</v>
      </c>
      <c r="I36" s="6">
        <f>IF(ISNA(MATCH(I$2,Inputs!$K$4:$AJ$4,0)),NA(),IF(SUMPRODUCT((Inputs!$A$5:$A$140=$B36)*ISNUMBER(INDEX(Inputs!$K$5:$AJ$140,0,MATCH(I$2,Inputs!$K$4:$AJ$4,0))))+SUMPRODUCT((Inputs!$C$5:$C$140=$B36)*ISNUMBER(INDEX(Inputs!$K$5:$AJ$140,0,MATCH(I$2,Inputs!$K$4:$AJ$4,0))))+SUMPRODUCT((Inputs!$E$5:$E$140=$B36)*ISNUMBER(INDEX(Inputs!$K$5:$AJ$140,0,MATCH(I$2,Inputs!$K$4:$AJ$4,0))))=0,NA(),SUMPRODUCT((Inputs!$A$5:$A$140=$B36)*Inputs!$B$5:$B$140*(((Inputs!$G$5:$G$140="moeda")+(Inputs!$G$5:$G$140="acoes"))*Inputs!$B$1+((Inputs!$G$5:$G$140&lt;&gt;"moeda")*(Inputs!$G$5:$G$140&lt;&gt;"acoes")))*INDEX(Inputs!$K$5:$AJ$140,0,MATCH(I$2,Inputs!$K$4:$AJ$4,0)))+SUMPRODUCT((Inputs!$C$5:$C$140=$B36)*Inputs!$D$5:$D$140*(((Inputs!$G$5:$G$140="moeda")+(Inputs!$G$5:$G$140="acoes"))*Inputs!$B$1+((Inputs!$G$5:$G$140&lt;&gt;"moeda")*(Inputs!$G$5:$G$140&lt;&gt;"acoes")))*INDEX(Inputs!$K$5:$AJ$140,0,MATCH(I$2,Inputs!$K$4:$AJ$4,0)))+SUMPRODUCT((Inputs!$E$5:$E$140=$B36)*Inputs!$F$5:$F$140*(((Inputs!$G$5:$G$140="moeda")+(Inputs!$G$5:$G$140="acoes"))*Inputs!$B$1+((Inputs!$G$5:$G$140&lt;&gt;"moeda")*(Inputs!$G$5:$G$140&lt;&gt;"acoes")))*INDEX(Inputs!$K$5:$AJ$140,0,MATCH(I$2,Inputs!$K$4:$AJ$4,0)))))</f>
        <v>979.426</v>
      </c>
      <c r="J36" s="6">
        <f>IF(ISNA(MATCH(J$2,Inputs!$K$4:$AJ$4,0)),NA(),IF(SUMPRODUCT((Inputs!$A$5:$A$140=$B36)*ISNUMBER(INDEX(Inputs!$K$5:$AJ$140,0,MATCH(J$2,Inputs!$K$4:$AJ$4,0))))+SUMPRODUCT((Inputs!$C$5:$C$140=$B36)*ISNUMBER(INDEX(Inputs!$K$5:$AJ$140,0,MATCH(J$2,Inputs!$K$4:$AJ$4,0))))+SUMPRODUCT((Inputs!$E$5:$E$140=$B36)*ISNUMBER(INDEX(Inputs!$K$5:$AJ$140,0,MATCH(J$2,Inputs!$K$4:$AJ$4,0))))=0,NA(),SUMPRODUCT((Inputs!$A$5:$A$140=$B36)*Inputs!$B$5:$B$140*(((Inputs!$G$5:$G$140="moeda")+(Inputs!$G$5:$G$140="acoes"))*Inputs!$B$1+((Inputs!$G$5:$G$140&lt;&gt;"moeda")*(Inputs!$G$5:$G$140&lt;&gt;"acoes")))*INDEX(Inputs!$K$5:$AJ$140,0,MATCH(J$2,Inputs!$K$4:$AJ$4,0)))+SUMPRODUCT((Inputs!$C$5:$C$140=$B36)*Inputs!$D$5:$D$140*(((Inputs!$G$5:$G$140="moeda")+(Inputs!$G$5:$G$140="acoes"))*Inputs!$B$1+((Inputs!$G$5:$G$140&lt;&gt;"moeda")*(Inputs!$G$5:$G$140&lt;&gt;"acoes")))*INDEX(Inputs!$K$5:$AJ$140,0,MATCH(J$2,Inputs!$K$4:$AJ$4,0)))+SUMPRODUCT((Inputs!$E$5:$E$140=$B36)*Inputs!$F$5:$F$140*(((Inputs!$G$5:$G$140="moeda")+(Inputs!$G$5:$G$140="acoes"))*Inputs!$B$1+((Inputs!$G$5:$G$140&lt;&gt;"moeda")*(Inputs!$G$5:$G$140&lt;&gt;"acoes")))*INDEX(Inputs!$K$5:$AJ$140,0,MATCH(J$2,Inputs!$K$4:$AJ$4,0)))))</f>
        <v>1175.417</v>
      </c>
      <c r="K36" s="6">
        <f>IF(ISNA(MATCH(K$2,Inputs!$K$4:$AJ$4,0)),NA(),IF(SUMPRODUCT((Inputs!$A$5:$A$140=$B36)*ISNUMBER(INDEX(Inputs!$K$5:$AJ$140,0,MATCH(K$2,Inputs!$K$4:$AJ$4,0))))+SUMPRODUCT((Inputs!$C$5:$C$140=$B36)*ISNUMBER(INDEX(Inputs!$K$5:$AJ$140,0,MATCH(K$2,Inputs!$K$4:$AJ$4,0))))+SUMPRODUCT((Inputs!$E$5:$E$140=$B36)*ISNUMBER(INDEX(Inputs!$K$5:$AJ$140,0,MATCH(K$2,Inputs!$K$4:$AJ$4,0))))=0,NA(),SUMPRODUCT((Inputs!$A$5:$A$140=$B36)*Inputs!$B$5:$B$140*(((Inputs!$G$5:$G$140="moeda")+(Inputs!$G$5:$G$140="acoes"))*Inputs!$B$1+((Inputs!$G$5:$G$140&lt;&gt;"moeda")*(Inputs!$G$5:$G$140&lt;&gt;"acoes")))*INDEX(Inputs!$K$5:$AJ$140,0,MATCH(K$2,Inputs!$K$4:$AJ$4,0)))+SUMPRODUCT((Inputs!$C$5:$C$140=$B36)*Inputs!$D$5:$D$140*(((Inputs!$G$5:$G$140="moeda")+(Inputs!$G$5:$G$140="acoes"))*Inputs!$B$1+((Inputs!$G$5:$G$140&lt;&gt;"moeda")*(Inputs!$G$5:$G$140&lt;&gt;"acoes")))*INDEX(Inputs!$K$5:$AJ$140,0,MATCH(K$2,Inputs!$K$4:$AJ$4,0)))+SUMPRODUCT((Inputs!$E$5:$E$140=$B36)*Inputs!$F$5:$F$140*(((Inputs!$G$5:$G$140="moeda")+(Inputs!$G$5:$G$140="acoes"))*Inputs!$B$1+((Inputs!$G$5:$G$140&lt;&gt;"moeda")*(Inputs!$G$5:$G$140&lt;&gt;"acoes")))*INDEX(Inputs!$K$5:$AJ$140,0,MATCH(K$2,Inputs!$K$4:$AJ$4,0)))))</f>
        <v>1248.706</v>
      </c>
      <c r="L36" s="6">
        <f>IF(ISNA(MATCH(L$2,Inputs!$K$4:$AJ$4,0)),NA(),IF(SUMPRODUCT((Inputs!$A$5:$A$140=$B36)*ISNUMBER(INDEX(Inputs!$K$5:$AJ$140,0,MATCH(L$2,Inputs!$K$4:$AJ$4,0))))+SUMPRODUCT((Inputs!$C$5:$C$140=$B36)*ISNUMBER(INDEX(Inputs!$K$5:$AJ$140,0,MATCH(L$2,Inputs!$K$4:$AJ$4,0))))+SUMPRODUCT((Inputs!$E$5:$E$140=$B36)*ISNUMBER(INDEX(Inputs!$K$5:$AJ$140,0,MATCH(L$2,Inputs!$K$4:$AJ$4,0))))=0,NA(),SUMPRODUCT((Inputs!$A$5:$A$140=$B36)*Inputs!$B$5:$B$140*(((Inputs!$G$5:$G$140="moeda")+(Inputs!$G$5:$G$140="acoes"))*Inputs!$B$1+((Inputs!$G$5:$G$140&lt;&gt;"moeda")*(Inputs!$G$5:$G$140&lt;&gt;"acoes")))*INDEX(Inputs!$K$5:$AJ$140,0,MATCH(L$2,Inputs!$K$4:$AJ$4,0)))+SUMPRODUCT((Inputs!$C$5:$C$140=$B36)*Inputs!$D$5:$D$140*(((Inputs!$G$5:$G$140="moeda")+(Inputs!$G$5:$G$140="acoes"))*Inputs!$B$1+((Inputs!$G$5:$G$140&lt;&gt;"moeda")*(Inputs!$G$5:$G$140&lt;&gt;"acoes")))*INDEX(Inputs!$K$5:$AJ$140,0,MATCH(L$2,Inputs!$K$4:$AJ$4,0)))+SUMPRODUCT((Inputs!$E$5:$E$140=$B36)*Inputs!$F$5:$F$140*(((Inputs!$G$5:$G$140="moeda")+(Inputs!$G$5:$G$140="acoes"))*Inputs!$B$1+((Inputs!$G$5:$G$140&lt;&gt;"moeda")*(Inputs!$G$5:$G$140&lt;&gt;"acoes")))*INDEX(Inputs!$K$5:$AJ$140,0,MATCH(L$2,Inputs!$K$4:$AJ$4,0)))))</f>
        <v>1257.061</v>
      </c>
      <c r="M36" s="3">
        <f>L36</f>
        <v>1257.061</v>
      </c>
      <c r="N36" s="6">
        <f>IF(ISNA(MATCH(N$2,Inputs!$K$4:$AJ$4,0)),NA(),IF(SUMPRODUCT((Inputs!$A$5:$A$140=$B36)*ISNUMBER(INDEX(Inputs!$K$5:$AJ$140,0,MATCH(N$2,Inputs!$K$4:$AJ$4,0))))+SUMPRODUCT((Inputs!$C$5:$C$140=$B36)*ISNUMBER(INDEX(Inputs!$K$5:$AJ$140,0,MATCH(N$2,Inputs!$K$4:$AJ$4,0))))+SUMPRODUCT((Inputs!$E$5:$E$140=$B36)*ISNUMBER(INDEX(Inputs!$K$5:$AJ$140,0,MATCH(N$2,Inputs!$K$4:$AJ$4,0))))=0,NA(),SUMPRODUCT((Inputs!$A$5:$A$140=$B36)*Inputs!$B$5:$B$140*(((Inputs!$G$5:$G$140="moeda")+(Inputs!$G$5:$G$140="acoes"))*Inputs!$B$1+((Inputs!$G$5:$G$140&lt;&gt;"moeda")*(Inputs!$G$5:$G$140&lt;&gt;"acoes")))*INDEX(Inputs!$K$5:$AJ$140,0,MATCH(N$2,Inputs!$K$4:$AJ$4,0)))+SUMPRODUCT((Inputs!$C$5:$C$140=$B36)*Inputs!$D$5:$D$140*(((Inputs!$G$5:$G$140="moeda")+(Inputs!$G$5:$G$140="acoes"))*Inputs!$B$1+((Inputs!$G$5:$G$140&lt;&gt;"moeda")*(Inputs!$G$5:$G$140&lt;&gt;"acoes")))*INDEX(Inputs!$K$5:$AJ$140,0,MATCH(N$2,Inputs!$K$4:$AJ$4,0)))+SUMPRODUCT((Inputs!$E$5:$E$140=$B36)*Inputs!$F$5:$F$140*(((Inputs!$G$5:$G$140="moeda")+(Inputs!$G$5:$G$140="acoes"))*Inputs!$B$1+((Inputs!$G$5:$G$140&lt;&gt;"moeda")*(Inputs!$G$5:$G$140&lt;&gt;"acoes")))*INDEX(Inputs!$K$5:$AJ$140,0,MATCH(N$2,Inputs!$K$4:$AJ$4,0)))))</f>
        <v>1332.143</v>
      </c>
      <c r="O36" s="6">
        <f>IF(ISNA(MATCH(O$2,Inputs!$K$4:$AJ$4,0)),NA(),IF(SUMPRODUCT((Inputs!$A$5:$A$140=$B36)*ISNUMBER(INDEX(Inputs!$K$5:$AJ$140,0,MATCH(O$2,Inputs!$K$4:$AJ$4,0))))+SUMPRODUCT((Inputs!$C$5:$C$140=$B36)*ISNUMBER(INDEX(Inputs!$K$5:$AJ$140,0,MATCH(O$2,Inputs!$K$4:$AJ$4,0))))+SUMPRODUCT((Inputs!$E$5:$E$140=$B36)*ISNUMBER(INDEX(Inputs!$K$5:$AJ$140,0,MATCH(O$2,Inputs!$K$4:$AJ$4,0))))=0,NA(),SUMPRODUCT((Inputs!$A$5:$A$140=$B36)*Inputs!$B$5:$B$140*(((Inputs!$G$5:$G$140="moeda")+(Inputs!$G$5:$G$140="acoes"))*Inputs!$B$1+((Inputs!$G$5:$G$140&lt;&gt;"moeda")*(Inputs!$G$5:$G$140&lt;&gt;"acoes")))*INDEX(Inputs!$K$5:$AJ$140,0,MATCH(O$2,Inputs!$K$4:$AJ$4,0)))+SUMPRODUCT((Inputs!$C$5:$C$140=$B36)*Inputs!$D$5:$D$140*(((Inputs!$G$5:$G$140="moeda")+(Inputs!$G$5:$G$140="acoes"))*Inputs!$B$1+((Inputs!$G$5:$G$140&lt;&gt;"moeda")*(Inputs!$G$5:$G$140&lt;&gt;"acoes")))*INDEX(Inputs!$K$5:$AJ$140,0,MATCH(O$2,Inputs!$K$4:$AJ$4,0)))+SUMPRODUCT((Inputs!$E$5:$E$140=$B36)*Inputs!$F$5:$F$140*(((Inputs!$G$5:$G$140="moeda")+(Inputs!$G$5:$G$140="acoes"))*Inputs!$B$1+((Inputs!$G$5:$G$140&lt;&gt;"moeda")*(Inputs!$G$5:$G$140&lt;&gt;"acoes")))*INDEX(Inputs!$K$5:$AJ$140,0,MATCH(O$2,Inputs!$K$4:$AJ$4,0)))))</f>
        <v>1603.235</v>
      </c>
      <c r="P36" s="6">
        <f>IF(ISNA(MATCH(P$2,Inputs!$K$4:$AJ$4,0)),NA(),IF(SUMPRODUCT((Inputs!$A$5:$A$140=$B36)*ISNUMBER(INDEX(Inputs!$K$5:$AJ$140,0,MATCH(P$2,Inputs!$K$4:$AJ$4,0))))+SUMPRODUCT((Inputs!$C$5:$C$140=$B36)*ISNUMBER(INDEX(Inputs!$K$5:$AJ$140,0,MATCH(P$2,Inputs!$K$4:$AJ$4,0))))+SUMPRODUCT((Inputs!$E$5:$E$140=$B36)*ISNUMBER(INDEX(Inputs!$K$5:$AJ$140,0,MATCH(P$2,Inputs!$K$4:$AJ$4,0))))=0,NA(),SUMPRODUCT((Inputs!$A$5:$A$140=$B36)*Inputs!$B$5:$B$140*(((Inputs!$G$5:$G$140="moeda")+(Inputs!$G$5:$G$140="acoes"))*Inputs!$B$1+((Inputs!$G$5:$G$140&lt;&gt;"moeda")*(Inputs!$G$5:$G$140&lt;&gt;"acoes")))*INDEX(Inputs!$K$5:$AJ$140,0,MATCH(P$2,Inputs!$K$4:$AJ$4,0)))+SUMPRODUCT((Inputs!$C$5:$C$140=$B36)*Inputs!$D$5:$D$140*(((Inputs!$G$5:$G$140="moeda")+(Inputs!$G$5:$G$140="acoes"))*Inputs!$B$1+((Inputs!$G$5:$G$140&lt;&gt;"moeda")*(Inputs!$G$5:$G$140&lt;&gt;"acoes")))*INDEX(Inputs!$K$5:$AJ$140,0,MATCH(P$2,Inputs!$K$4:$AJ$4,0)))+SUMPRODUCT((Inputs!$E$5:$E$140=$B36)*Inputs!$F$5:$F$140*(((Inputs!$G$5:$G$140="moeda")+(Inputs!$G$5:$G$140="acoes"))*Inputs!$B$1+((Inputs!$G$5:$G$140&lt;&gt;"moeda")*(Inputs!$G$5:$G$140&lt;&gt;"acoes")))*INDEX(Inputs!$K$5:$AJ$140,0,MATCH(P$2,Inputs!$K$4:$AJ$4,0)))))</f>
        <v>1839.131</v>
      </c>
      <c r="Q36" s="6">
        <f>IF(ISNA(MATCH(Q$2,Inputs!$K$4:$AJ$4,0)),NA(),IF(SUMPRODUCT((Inputs!$A$5:$A$140=$B36)*ISNUMBER(INDEX(Inputs!$K$5:$AJ$140,0,MATCH(Q$2,Inputs!$K$4:$AJ$4,0))))+SUMPRODUCT((Inputs!$C$5:$C$140=$B36)*ISNUMBER(INDEX(Inputs!$K$5:$AJ$140,0,MATCH(Q$2,Inputs!$K$4:$AJ$4,0))))+SUMPRODUCT((Inputs!$E$5:$E$140=$B36)*ISNUMBER(INDEX(Inputs!$K$5:$AJ$140,0,MATCH(Q$2,Inputs!$K$4:$AJ$4,0))))=0,NA(),SUMPRODUCT((Inputs!$A$5:$A$140=$B36)*Inputs!$B$5:$B$140*(((Inputs!$G$5:$G$140="moeda")+(Inputs!$G$5:$G$140="acoes"))*Inputs!$B$1+((Inputs!$G$5:$G$140&lt;&gt;"moeda")*(Inputs!$G$5:$G$140&lt;&gt;"acoes")))*INDEX(Inputs!$K$5:$AJ$140,0,MATCH(Q$2,Inputs!$K$4:$AJ$4,0)))+SUMPRODUCT((Inputs!$C$5:$C$140=$B36)*Inputs!$D$5:$D$140*(((Inputs!$G$5:$G$140="moeda")+(Inputs!$G$5:$G$140="acoes"))*Inputs!$B$1+((Inputs!$G$5:$G$140&lt;&gt;"moeda")*(Inputs!$G$5:$G$140&lt;&gt;"acoes")))*INDEX(Inputs!$K$5:$AJ$140,0,MATCH(Q$2,Inputs!$K$4:$AJ$4,0)))+SUMPRODUCT((Inputs!$E$5:$E$140=$B36)*Inputs!$F$5:$F$140*(((Inputs!$G$5:$G$140="moeda")+(Inputs!$G$5:$G$140="acoes"))*Inputs!$B$1+((Inputs!$G$5:$G$140&lt;&gt;"moeda")*(Inputs!$G$5:$G$140&lt;&gt;"acoes")))*INDEX(Inputs!$K$5:$AJ$140,0,MATCH(Q$2,Inputs!$K$4:$AJ$4,0)))))</f>
        <v>1927.542</v>
      </c>
      <c r="R36" s="3">
        <f>Q36</f>
        <v>1927.542</v>
      </c>
      <c r="S36" s="6">
        <f>IF(ISNA(MATCH(S$2,Inputs!$K$4:$AJ$4,0)),NA(),IF(SUMPRODUCT((Inputs!$A$5:$A$140=$B36)*ISNUMBER(INDEX(Inputs!$K$5:$AJ$140,0,MATCH(S$2,Inputs!$K$4:$AJ$4,0))))+SUMPRODUCT((Inputs!$C$5:$C$140=$B36)*ISNUMBER(INDEX(Inputs!$K$5:$AJ$140,0,MATCH(S$2,Inputs!$K$4:$AJ$4,0))))+SUMPRODUCT((Inputs!$E$5:$E$140=$B36)*ISNUMBER(INDEX(Inputs!$K$5:$AJ$140,0,MATCH(S$2,Inputs!$K$4:$AJ$4,0))))=0,NA(),SUMPRODUCT((Inputs!$A$5:$A$140=$B36)*Inputs!$B$5:$B$140*(((Inputs!$G$5:$G$140="moeda")+(Inputs!$G$5:$G$140="acoes"))*Inputs!$B$1+((Inputs!$G$5:$G$140&lt;&gt;"moeda")*(Inputs!$G$5:$G$140&lt;&gt;"acoes")))*INDEX(Inputs!$K$5:$AJ$140,0,MATCH(S$2,Inputs!$K$4:$AJ$4,0)))+SUMPRODUCT((Inputs!$C$5:$C$140=$B36)*Inputs!$D$5:$D$140*(((Inputs!$G$5:$G$140="moeda")+(Inputs!$G$5:$G$140="acoes"))*Inputs!$B$1+((Inputs!$G$5:$G$140&lt;&gt;"moeda")*(Inputs!$G$5:$G$140&lt;&gt;"acoes")))*INDEX(Inputs!$K$5:$AJ$140,0,MATCH(S$2,Inputs!$K$4:$AJ$4,0)))+SUMPRODUCT((Inputs!$E$5:$E$140=$B36)*Inputs!$F$5:$F$140*(((Inputs!$G$5:$G$140="moeda")+(Inputs!$G$5:$G$140="acoes"))*Inputs!$B$1+((Inputs!$G$5:$G$140&lt;&gt;"moeda")*(Inputs!$G$5:$G$140&lt;&gt;"acoes")))*INDEX(Inputs!$K$5:$AJ$140,0,MATCH(S$2,Inputs!$K$4:$AJ$4,0)))))</f>
        <v>2030.806</v>
      </c>
      <c r="T36" s="6">
        <f>IF(ISNA(MATCH(T$2,Inputs!$K$4:$AJ$4,0)),NA(),IF(SUMPRODUCT((Inputs!$A$5:$A$140=$B36)*ISNUMBER(INDEX(Inputs!$K$5:$AJ$140,0,MATCH(T$2,Inputs!$K$4:$AJ$4,0))))+SUMPRODUCT((Inputs!$C$5:$C$140=$B36)*ISNUMBER(INDEX(Inputs!$K$5:$AJ$140,0,MATCH(T$2,Inputs!$K$4:$AJ$4,0))))+SUMPRODUCT((Inputs!$E$5:$E$140=$B36)*ISNUMBER(INDEX(Inputs!$K$5:$AJ$140,0,MATCH(T$2,Inputs!$K$4:$AJ$4,0))))=0,NA(),SUMPRODUCT((Inputs!$A$5:$A$140=$B36)*Inputs!$B$5:$B$140*(((Inputs!$G$5:$G$140="moeda")+(Inputs!$G$5:$G$140="acoes"))*Inputs!$B$1+((Inputs!$G$5:$G$140&lt;&gt;"moeda")*(Inputs!$G$5:$G$140&lt;&gt;"acoes")))*INDEX(Inputs!$K$5:$AJ$140,0,MATCH(T$2,Inputs!$K$4:$AJ$4,0)))+SUMPRODUCT((Inputs!$C$5:$C$140=$B36)*Inputs!$D$5:$D$140*(((Inputs!$G$5:$G$140="moeda")+(Inputs!$G$5:$G$140="acoes"))*Inputs!$B$1+((Inputs!$G$5:$G$140&lt;&gt;"moeda")*(Inputs!$G$5:$G$140&lt;&gt;"acoes")))*INDEX(Inputs!$K$5:$AJ$140,0,MATCH(T$2,Inputs!$K$4:$AJ$4,0)))+SUMPRODUCT((Inputs!$E$5:$E$140=$B36)*Inputs!$F$5:$F$140*(((Inputs!$G$5:$G$140="moeda")+(Inputs!$G$5:$G$140="acoes"))*Inputs!$B$1+((Inputs!$G$5:$G$140&lt;&gt;"moeda")*(Inputs!$G$5:$G$140&lt;&gt;"acoes")))*INDEX(Inputs!$K$5:$AJ$140,0,MATCH(T$2,Inputs!$K$4:$AJ$4,0)))))</f>
        <v>1891.562</v>
      </c>
      <c r="U36" s="6">
        <f>IF(ISNA(MATCH(U$2,Inputs!$K$4:$AJ$4,0)),NA(),IF(SUMPRODUCT((Inputs!$A$5:$A$140=$B36)*ISNUMBER(INDEX(Inputs!$K$5:$AJ$140,0,MATCH(U$2,Inputs!$K$4:$AJ$4,0))))+SUMPRODUCT((Inputs!$C$5:$C$140=$B36)*ISNUMBER(INDEX(Inputs!$K$5:$AJ$140,0,MATCH(U$2,Inputs!$K$4:$AJ$4,0))))+SUMPRODUCT((Inputs!$E$5:$E$140=$B36)*ISNUMBER(INDEX(Inputs!$K$5:$AJ$140,0,MATCH(U$2,Inputs!$K$4:$AJ$4,0))))=0,NA(),SUMPRODUCT((Inputs!$A$5:$A$140=$B36)*Inputs!$B$5:$B$140*(((Inputs!$G$5:$G$140="moeda")+(Inputs!$G$5:$G$140="acoes"))*Inputs!$B$1+((Inputs!$G$5:$G$140&lt;&gt;"moeda")*(Inputs!$G$5:$G$140&lt;&gt;"acoes")))*INDEX(Inputs!$K$5:$AJ$140,0,MATCH(U$2,Inputs!$K$4:$AJ$4,0)))+SUMPRODUCT((Inputs!$C$5:$C$140=$B36)*Inputs!$D$5:$D$140*(((Inputs!$G$5:$G$140="moeda")+(Inputs!$G$5:$G$140="acoes"))*Inputs!$B$1+((Inputs!$G$5:$G$140&lt;&gt;"moeda")*(Inputs!$G$5:$G$140&lt;&gt;"acoes")))*INDEX(Inputs!$K$5:$AJ$140,0,MATCH(U$2,Inputs!$K$4:$AJ$4,0)))+SUMPRODUCT((Inputs!$E$5:$E$140=$B36)*Inputs!$F$5:$F$140*(((Inputs!$G$5:$G$140="moeda")+(Inputs!$G$5:$G$140="acoes"))*Inputs!$B$1+((Inputs!$G$5:$G$140&lt;&gt;"moeda")*(Inputs!$G$5:$G$140&lt;&gt;"acoes")))*INDEX(Inputs!$K$5:$AJ$140,0,MATCH(U$2,Inputs!$K$4:$AJ$4,0)))))</f>
        <v>1926.101</v>
      </c>
      <c r="V36" s="6">
        <f>IF(ISNA(MATCH(V$2,Inputs!$K$4:$AJ$4,0)),NA(),IF(SUMPRODUCT((Inputs!$A$5:$A$140=$B36)*ISNUMBER(INDEX(Inputs!$K$5:$AJ$140,0,MATCH(V$2,Inputs!$K$4:$AJ$4,0))))+SUMPRODUCT((Inputs!$C$5:$C$140=$B36)*ISNUMBER(INDEX(Inputs!$K$5:$AJ$140,0,MATCH(V$2,Inputs!$K$4:$AJ$4,0))))+SUMPRODUCT((Inputs!$E$5:$E$140=$B36)*ISNUMBER(INDEX(Inputs!$K$5:$AJ$140,0,MATCH(V$2,Inputs!$K$4:$AJ$4,0))))=0,NA(),SUMPRODUCT((Inputs!$A$5:$A$140=$B36)*Inputs!$B$5:$B$140*(((Inputs!$G$5:$G$140="moeda")+(Inputs!$G$5:$G$140="acoes"))*Inputs!$B$1+((Inputs!$G$5:$G$140&lt;&gt;"moeda")*(Inputs!$G$5:$G$140&lt;&gt;"acoes")))*INDEX(Inputs!$K$5:$AJ$140,0,MATCH(V$2,Inputs!$K$4:$AJ$4,0)))+SUMPRODUCT((Inputs!$C$5:$C$140=$B36)*Inputs!$D$5:$D$140*(((Inputs!$G$5:$G$140="moeda")+(Inputs!$G$5:$G$140="acoes"))*Inputs!$B$1+((Inputs!$G$5:$G$140&lt;&gt;"moeda")*(Inputs!$G$5:$G$140&lt;&gt;"acoes")))*INDEX(Inputs!$K$5:$AJ$140,0,MATCH(V$2,Inputs!$K$4:$AJ$4,0)))+SUMPRODUCT((Inputs!$E$5:$E$140=$B36)*Inputs!$F$5:$F$140*(((Inputs!$G$5:$G$140="moeda")+(Inputs!$G$5:$G$140="acoes"))*Inputs!$B$1+((Inputs!$G$5:$G$140&lt;&gt;"moeda")*(Inputs!$G$5:$G$140&lt;&gt;"acoes")))*INDEX(Inputs!$K$5:$AJ$140,0,MATCH(V$2,Inputs!$K$4:$AJ$4,0)))))</f>
        <v>2089.299</v>
      </c>
      <c r="W36" s="3">
        <f>V36</f>
        <v>2089.299</v>
      </c>
      <c r="X36" s="6">
        <f>IF(ISNA(MATCH(X$2,Inputs!$K$4:$AJ$4,0)),NA(),IF(SUMPRODUCT((Inputs!$A$5:$A$140=$B36)*ISNUMBER(INDEX(Inputs!$K$5:$AJ$140,0,MATCH(X$2,Inputs!$K$4:$AJ$4,0))))+SUMPRODUCT((Inputs!$C$5:$C$140=$B36)*ISNUMBER(INDEX(Inputs!$K$5:$AJ$140,0,MATCH(X$2,Inputs!$K$4:$AJ$4,0))))+SUMPRODUCT((Inputs!$E$5:$E$140=$B36)*ISNUMBER(INDEX(Inputs!$K$5:$AJ$140,0,MATCH(X$2,Inputs!$K$4:$AJ$4,0))))=0,NA(),SUMPRODUCT((Inputs!$A$5:$A$140=$B36)*Inputs!$B$5:$B$140*(((Inputs!$G$5:$G$140="moeda")+(Inputs!$G$5:$G$140="acoes"))*Inputs!$B$1+((Inputs!$G$5:$G$140&lt;&gt;"moeda")*(Inputs!$G$5:$G$140&lt;&gt;"acoes")))*INDEX(Inputs!$K$5:$AJ$140,0,MATCH(X$2,Inputs!$K$4:$AJ$4,0)))+SUMPRODUCT((Inputs!$C$5:$C$140=$B36)*Inputs!$D$5:$D$140*(((Inputs!$G$5:$G$140="moeda")+(Inputs!$G$5:$G$140="acoes"))*Inputs!$B$1+((Inputs!$G$5:$G$140&lt;&gt;"moeda")*(Inputs!$G$5:$G$140&lt;&gt;"acoes")))*INDEX(Inputs!$K$5:$AJ$140,0,MATCH(X$2,Inputs!$K$4:$AJ$4,0)))+SUMPRODUCT((Inputs!$E$5:$E$140=$B36)*Inputs!$F$5:$F$140*(((Inputs!$G$5:$G$140="moeda")+(Inputs!$G$5:$G$140="acoes"))*Inputs!$B$1+((Inputs!$G$5:$G$140&lt;&gt;"moeda")*(Inputs!$G$5:$G$140&lt;&gt;"acoes")))*INDEX(Inputs!$K$5:$AJ$140,0,MATCH(X$2,Inputs!$K$4:$AJ$4,0)))))</f>
        <v>2393.571</v>
      </c>
      <c r="Y36" s="6">
        <f>IF(ISNA(MATCH(Y$2,Inputs!$K$4:$AJ$4,0)),NA(),IF(SUMPRODUCT((Inputs!$A$5:$A$140=$B36)*ISNUMBER(INDEX(Inputs!$K$5:$AJ$140,0,MATCH(Y$2,Inputs!$K$4:$AJ$4,0))))+SUMPRODUCT((Inputs!$C$5:$C$140=$B36)*ISNUMBER(INDEX(Inputs!$K$5:$AJ$140,0,MATCH(Y$2,Inputs!$K$4:$AJ$4,0))))+SUMPRODUCT((Inputs!$E$5:$E$140=$B36)*ISNUMBER(INDEX(Inputs!$K$5:$AJ$140,0,MATCH(Y$2,Inputs!$K$4:$AJ$4,0))))=0,NA(),SUMPRODUCT((Inputs!$A$5:$A$140=$B36)*Inputs!$B$5:$B$140*(((Inputs!$G$5:$G$140="moeda")+(Inputs!$G$5:$G$140="acoes"))*Inputs!$B$1+((Inputs!$G$5:$G$140&lt;&gt;"moeda")*(Inputs!$G$5:$G$140&lt;&gt;"acoes")))*INDEX(Inputs!$K$5:$AJ$140,0,MATCH(Y$2,Inputs!$K$4:$AJ$4,0)))+SUMPRODUCT((Inputs!$C$5:$C$140=$B36)*Inputs!$D$5:$D$140*(((Inputs!$G$5:$G$140="moeda")+(Inputs!$G$5:$G$140="acoes"))*Inputs!$B$1+((Inputs!$G$5:$G$140&lt;&gt;"moeda")*(Inputs!$G$5:$G$140&lt;&gt;"acoes")))*INDEX(Inputs!$K$5:$AJ$140,0,MATCH(Y$2,Inputs!$K$4:$AJ$4,0)))+SUMPRODUCT((Inputs!$E$5:$E$140=$B36)*Inputs!$F$5:$F$140*(((Inputs!$G$5:$G$140="moeda")+(Inputs!$G$5:$G$140="acoes"))*Inputs!$B$1+((Inputs!$G$5:$G$140&lt;&gt;"moeda")*(Inputs!$G$5:$G$140&lt;&gt;"acoes")))*INDEX(Inputs!$K$5:$AJ$140,0,MATCH(Y$2,Inputs!$K$4:$AJ$4,0)))))</f>
        <v>2597.466</v>
      </c>
      <c r="Z36" s="6">
        <f>IF(ISNA(MATCH(Z$2,Inputs!$K$4:$AJ$4,0)),NA(),IF(SUMPRODUCT((Inputs!$A$5:$A$140=$B36)*ISNUMBER(INDEX(Inputs!$K$5:$AJ$140,0,MATCH(Z$2,Inputs!$K$4:$AJ$4,0))))+SUMPRODUCT((Inputs!$C$5:$C$140=$B36)*ISNUMBER(INDEX(Inputs!$K$5:$AJ$140,0,MATCH(Z$2,Inputs!$K$4:$AJ$4,0))))+SUMPRODUCT((Inputs!$E$5:$E$140=$B36)*ISNUMBER(INDEX(Inputs!$K$5:$AJ$140,0,MATCH(Z$2,Inputs!$K$4:$AJ$4,0))))=0,NA(),SUMPRODUCT((Inputs!$A$5:$A$140=$B36)*Inputs!$B$5:$B$140*(((Inputs!$G$5:$G$140="moeda")+(Inputs!$G$5:$G$140="acoes"))*Inputs!$B$1+((Inputs!$G$5:$G$140&lt;&gt;"moeda")*(Inputs!$G$5:$G$140&lt;&gt;"acoes")))*INDEX(Inputs!$K$5:$AJ$140,0,MATCH(Z$2,Inputs!$K$4:$AJ$4,0)))+SUMPRODUCT((Inputs!$C$5:$C$140=$B36)*Inputs!$D$5:$D$140*(((Inputs!$G$5:$G$140="moeda")+(Inputs!$G$5:$G$140="acoes"))*Inputs!$B$1+((Inputs!$G$5:$G$140&lt;&gt;"moeda")*(Inputs!$G$5:$G$140&lt;&gt;"acoes")))*INDEX(Inputs!$K$5:$AJ$140,0,MATCH(Z$2,Inputs!$K$4:$AJ$4,0)))+SUMPRODUCT((Inputs!$E$5:$E$140=$B36)*Inputs!$F$5:$F$140*(((Inputs!$G$5:$G$140="moeda")+(Inputs!$G$5:$G$140="acoes"))*Inputs!$B$1+((Inputs!$G$5:$G$140&lt;&gt;"moeda")*(Inputs!$G$5:$G$140&lt;&gt;"acoes")))*INDEX(Inputs!$K$5:$AJ$140,0,MATCH(Z$2,Inputs!$K$4:$AJ$4,0)))))</f>
        <v>3513.56</v>
      </c>
      <c r="AA36" s="6">
        <f>IF(ISNA(MATCH(AA$2,Inputs!$K$4:$AJ$4,0)),NA(),IF(SUMPRODUCT((Inputs!$A$5:$A$140=$B36)*ISNUMBER(INDEX(Inputs!$K$5:$AJ$140,0,MATCH(AA$2,Inputs!$K$4:$AJ$4,0))))+SUMPRODUCT((Inputs!$C$5:$C$140=$B36)*ISNUMBER(INDEX(Inputs!$K$5:$AJ$140,0,MATCH(AA$2,Inputs!$K$4:$AJ$4,0))))+SUMPRODUCT((Inputs!$E$5:$E$140=$B36)*ISNUMBER(INDEX(Inputs!$K$5:$AJ$140,0,MATCH(AA$2,Inputs!$K$4:$AJ$4,0))))=0,NA(),SUMPRODUCT((Inputs!$A$5:$A$140=$B36)*Inputs!$B$5:$B$140*(((Inputs!$G$5:$G$140="moeda")+(Inputs!$G$5:$G$140="acoes"))*Inputs!$B$1+((Inputs!$G$5:$G$140&lt;&gt;"moeda")*(Inputs!$G$5:$G$140&lt;&gt;"acoes")))*INDEX(Inputs!$K$5:$AJ$140,0,MATCH(AA$2,Inputs!$K$4:$AJ$4,0)))+SUMPRODUCT((Inputs!$C$5:$C$140=$B36)*Inputs!$D$5:$D$140*(((Inputs!$G$5:$G$140="moeda")+(Inputs!$G$5:$G$140="acoes"))*Inputs!$B$1+((Inputs!$G$5:$G$140&lt;&gt;"moeda")*(Inputs!$G$5:$G$140&lt;&gt;"acoes")))*INDEX(Inputs!$K$5:$AJ$140,0,MATCH(AA$2,Inputs!$K$4:$AJ$4,0)))+SUMPRODUCT((Inputs!$E$5:$E$140=$B36)*Inputs!$F$5:$F$140*(((Inputs!$G$5:$G$140="moeda")+(Inputs!$G$5:$G$140="acoes"))*Inputs!$B$1+((Inputs!$G$5:$G$140&lt;&gt;"moeda")*(Inputs!$G$5:$G$140&lt;&gt;"acoes")))*INDEX(Inputs!$K$5:$AJ$140,0,MATCH(AA$2,Inputs!$K$4:$AJ$4,0)))))</f>
        <v>3657.119</v>
      </c>
      <c r="AB36" s="3">
        <f>AA36</f>
        <v>3657.119</v>
      </c>
      <c r="AC36" s="6">
        <f>IF(ISNA(MATCH(AC$2,Inputs!$K$4:$AJ$4,0)),NA(),IF(SUMPRODUCT((Inputs!$A$5:$A$140=$B36)*ISNUMBER(INDEX(Inputs!$K$5:$AJ$140,0,MATCH(AC$2,Inputs!$K$4:$AJ$4,0))))+SUMPRODUCT((Inputs!$C$5:$C$140=$B36)*ISNUMBER(INDEX(Inputs!$K$5:$AJ$140,0,MATCH(AC$2,Inputs!$K$4:$AJ$4,0))))+SUMPRODUCT((Inputs!$E$5:$E$140=$B36)*ISNUMBER(INDEX(Inputs!$K$5:$AJ$140,0,MATCH(AC$2,Inputs!$K$4:$AJ$4,0))))=0,NA(),SUMPRODUCT((Inputs!$A$5:$A$140=$B36)*Inputs!$B$5:$B$140*(((Inputs!$G$5:$G$140="moeda")+(Inputs!$G$5:$G$140="acoes"))*Inputs!$B$1+((Inputs!$G$5:$G$140&lt;&gt;"moeda")*(Inputs!$G$5:$G$140&lt;&gt;"acoes")))*INDEX(Inputs!$K$5:$AJ$140,0,MATCH(AC$2,Inputs!$K$4:$AJ$4,0)))+SUMPRODUCT((Inputs!$C$5:$C$140=$B36)*Inputs!$D$5:$D$140*(((Inputs!$G$5:$G$140="moeda")+(Inputs!$G$5:$G$140="acoes"))*Inputs!$B$1+((Inputs!$G$5:$G$140&lt;&gt;"moeda")*(Inputs!$G$5:$G$140&lt;&gt;"acoes")))*INDEX(Inputs!$K$5:$AJ$140,0,MATCH(AC$2,Inputs!$K$4:$AJ$4,0)))+SUMPRODUCT((Inputs!$E$5:$E$140=$B36)*Inputs!$F$5:$F$140*(((Inputs!$G$5:$G$140="moeda")+(Inputs!$G$5:$G$140="acoes"))*Inputs!$B$1+((Inputs!$G$5:$G$140&lt;&gt;"moeda")*(Inputs!$G$5:$G$140&lt;&gt;"acoes")))*INDEX(Inputs!$K$5:$AJ$140,0,MATCH(AC$2,Inputs!$K$4:$AJ$4,0)))))</f>
        <v>3709.792</v>
      </c>
      <c r="AD36" s="6">
        <f>IF(ISNA(MATCH(AD$2,Inputs!$K$4:$AJ$4,0)),NA(),IF(SUMPRODUCT((Inputs!$A$5:$A$140=$B36)*ISNUMBER(INDEX(Inputs!$K$5:$AJ$140,0,MATCH(AD$2,Inputs!$K$4:$AJ$4,0))))+SUMPRODUCT((Inputs!$C$5:$C$140=$B36)*ISNUMBER(INDEX(Inputs!$K$5:$AJ$140,0,MATCH(AD$2,Inputs!$K$4:$AJ$4,0))))+SUMPRODUCT((Inputs!$E$5:$E$140=$B36)*ISNUMBER(INDEX(Inputs!$K$5:$AJ$140,0,MATCH(AD$2,Inputs!$K$4:$AJ$4,0))))=0,NA(),SUMPRODUCT((Inputs!$A$5:$A$140=$B36)*Inputs!$B$5:$B$140*(((Inputs!$G$5:$G$140="moeda")+(Inputs!$G$5:$G$140="acoes"))*Inputs!$B$1+((Inputs!$G$5:$G$140&lt;&gt;"moeda")*(Inputs!$G$5:$G$140&lt;&gt;"acoes")))*INDEX(Inputs!$K$5:$AJ$140,0,MATCH(AD$2,Inputs!$K$4:$AJ$4,0)))+SUMPRODUCT((Inputs!$C$5:$C$140=$B36)*Inputs!$D$5:$D$140*(((Inputs!$G$5:$G$140="moeda")+(Inputs!$G$5:$G$140="acoes"))*Inputs!$B$1+((Inputs!$G$5:$G$140&lt;&gt;"moeda")*(Inputs!$G$5:$G$140&lt;&gt;"acoes")))*INDEX(Inputs!$K$5:$AJ$140,0,MATCH(AD$2,Inputs!$K$4:$AJ$4,0)))+SUMPRODUCT((Inputs!$E$5:$E$140=$B36)*Inputs!$F$5:$F$140*(((Inputs!$G$5:$G$140="moeda")+(Inputs!$G$5:$G$140="acoes"))*Inputs!$B$1+((Inputs!$G$5:$G$140&lt;&gt;"moeda")*(Inputs!$G$5:$G$140&lt;&gt;"acoes")))*INDEX(Inputs!$K$5:$AJ$140,0,MATCH(AD$2,Inputs!$K$4:$AJ$4,0)))))</f>
        <v>3908.547</v>
      </c>
      <c r="AE36" s="6" t="e">
        <f>IF(ISNA(MATCH(AE$2,Inputs!$K$4:$AJ$4,0)),NA(),IF(SUMPRODUCT((Inputs!$A$5:$A$140=$B36)*ISNUMBER(INDEX(Inputs!$K$5:$AJ$140,0,MATCH(AE$2,Inputs!$K$4:$AJ$4,0))))+SUMPRODUCT((Inputs!$C$5:$C$140=$B36)*ISNUMBER(INDEX(Inputs!$K$5:$AJ$140,0,MATCH(AE$2,Inputs!$K$4:$AJ$4,0))))+SUMPRODUCT((Inputs!$E$5:$E$140=$B36)*ISNUMBER(INDEX(Inputs!$K$5:$AJ$140,0,MATCH(AE$2,Inputs!$K$4:$AJ$4,0))))=0,NA(),SUMPRODUCT((Inputs!$A$5:$A$140=$B36)*Inputs!$B$5:$B$140*(((Inputs!$G$5:$G$140="moeda")+(Inputs!$G$5:$G$140="acoes"))*Inputs!$B$1+((Inputs!$G$5:$G$140&lt;&gt;"moeda")*(Inputs!$G$5:$G$140&lt;&gt;"acoes")))*INDEX(Inputs!$K$5:$AJ$140,0,MATCH(AE$2,Inputs!$K$4:$AJ$4,0)))+SUMPRODUCT((Inputs!$C$5:$C$140=$B36)*Inputs!$D$5:$D$140*(((Inputs!$G$5:$G$140="moeda")+(Inputs!$G$5:$G$140="acoes"))*Inputs!$B$1+((Inputs!$G$5:$G$140&lt;&gt;"moeda")*(Inputs!$G$5:$G$140&lt;&gt;"acoes")))*INDEX(Inputs!$K$5:$AJ$140,0,MATCH(AE$2,Inputs!$K$4:$AJ$4,0)))+SUMPRODUCT((Inputs!$E$5:$E$140=$B36)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6" s="6" t="e">
        <f>IF(ISNA(MATCH(AF$2,Inputs!$K$4:$AJ$4,0)),NA(),IF(SUMPRODUCT((Inputs!$A$5:$A$140=$B36)*ISNUMBER(INDEX(Inputs!$K$5:$AJ$140,0,MATCH(AF$2,Inputs!$K$4:$AJ$4,0))))+SUMPRODUCT((Inputs!$C$5:$C$140=$B36)*ISNUMBER(INDEX(Inputs!$K$5:$AJ$140,0,MATCH(AF$2,Inputs!$K$4:$AJ$4,0))))+SUMPRODUCT((Inputs!$E$5:$E$140=$B36)*ISNUMBER(INDEX(Inputs!$K$5:$AJ$140,0,MATCH(AF$2,Inputs!$K$4:$AJ$4,0))))=0,NA(),SUMPRODUCT((Inputs!$A$5:$A$140=$B36)*Inputs!$B$5:$B$140*(((Inputs!$G$5:$G$140="moeda")+(Inputs!$G$5:$G$140="acoes"))*Inputs!$B$1+((Inputs!$G$5:$G$140&lt;&gt;"moeda")*(Inputs!$G$5:$G$140&lt;&gt;"acoes")))*INDEX(Inputs!$K$5:$AJ$140,0,MATCH(AF$2,Inputs!$K$4:$AJ$4,0)))+SUMPRODUCT((Inputs!$C$5:$C$140=$B36)*Inputs!$D$5:$D$140*(((Inputs!$G$5:$G$140="moeda")+(Inputs!$G$5:$G$140="acoes"))*Inputs!$B$1+((Inputs!$G$5:$G$140&lt;&gt;"moeda")*(Inputs!$G$5:$G$140&lt;&gt;"acoes")))*INDEX(Inputs!$K$5:$AJ$140,0,MATCH(AF$2,Inputs!$K$4:$AJ$4,0)))+SUMPRODUCT((Inputs!$E$5:$E$140=$B36)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6" s="3" t="e">
        <f>AF36</f>
        <v>#N/A</v>
      </c>
      <c r="AH36" s="6" t="e">
        <f>IF(ISNA(MATCH(AH$2,Inputs!$K$4:$AJ$4,0)),NA(),IF(SUMPRODUCT((Inputs!$A$5:$A$140=$B36)*ISNUMBER(INDEX(Inputs!$K$5:$AJ$140,0,MATCH(AH$2,Inputs!$K$4:$AJ$4,0))))+SUMPRODUCT((Inputs!$C$5:$C$140=$B36)*ISNUMBER(INDEX(Inputs!$K$5:$AJ$140,0,MATCH(AH$2,Inputs!$K$4:$AJ$4,0))))+SUMPRODUCT((Inputs!$E$5:$E$140=$B36)*ISNUMBER(INDEX(Inputs!$K$5:$AJ$140,0,MATCH(AH$2,Inputs!$K$4:$AJ$4,0))))=0,NA(),SUMPRODUCT((Inputs!$A$5:$A$140=$B36)*Inputs!$B$5:$B$140*(((Inputs!$G$5:$G$140="moeda")+(Inputs!$G$5:$G$140="acoes"))*Inputs!$B$1+((Inputs!$G$5:$G$140&lt;&gt;"moeda")*(Inputs!$G$5:$G$140&lt;&gt;"acoes")))*INDEX(Inputs!$K$5:$AJ$140,0,MATCH(AH$2,Inputs!$K$4:$AJ$4,0)))+SUMPRODUCT((Inputs!$C$5:$C$140=$B36)*Inputs!$D$5:$D$140*(((Inputs!$G$5:$G$140="moeda")+(Inputs!$G$5:$G$140="acoes"))*Inputs!$B$1+((Inputs!$G$5:$G$140&lt;&gt;"moeda")*(Inputs!$G$5:$G$140&lt;&gt;"acoes")))*INDEX(Inputs!$K$5:$AJ$140,0,MATCH(AH$2,Inputs!$K$4:$AJ$4,0)))+SUMPRODUCT((Inputs!$E$5:$E$140=$B36)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6" s="6">
        <f>IF(ISNA(MATCH(AI$2,Inputs!$K$4:$AJ$4,0)),NA(),IF(SUMPRODUCT((Inputs!$A$5:$A$140=$B36)*ISNUMBER(INDEX(Inputs!$K$5:$AJ$140,0,MATCH(AI$2,Inputs!$K$4:$AJ$4,0))))+SUMPRODUCT((Inputs!$C$5:$C$140=$B36)*ISNUMBER(INDEX(Inputs!$K$5:$AJ$140,0,MATCH(AI$2,Inputs!$K$4:$AJ$4,0))))+SUMPRODUCT((Inputs!$E$5:$E$140=$B36)*ISNUMBER(INDEX(Inputs!$K$5:$AJ$140,0,MATCH(AI$2,Inputs!$K$4:$AJ$4,0))))=0,NA(),SUMPRODUCT((Inputs!$A$5:$A$140=$B36)*Inputs!$B$5:$B$140*(((Inputs!$G$5:$G$140="moeda")+(Inputs!$G$5:$G$140="acoes"))*Inputs!$B$1+((Inputs!$G$5:$G$140&lt;&gt;"moeda")*(Inputs!$G$5:$G$140&lt;&gt;"acoes")))*INDEX(Inputs!$K$5:$AJ$140,0,MATCH(AI$2,Inputs!$K$4:$AJ$4,0)))+SUMPRODUCT((Inputs!$C$5:$C$140=$B36)*Inputs!$D$5:$D$140*(((Inputs!$G$5:$G$140="moeda")+(Inputs!$G$5:$G$140="acoes"))*Inputs!$B$1+((Inputs!$G$5:$G$140&lt;&gt;"moeda")*(Inputs!$G$5:$G$140&lt;&gt;"acoes")))*INDEX(Inputs!$K$5:$AJ$140,0,MATCH(AI$2,Inputs!$K$4:$AJ$4,0)))+SUMPRODUCT((Inputs!$E$5:$E$140=$B36)*Inputs!$F$5:$F$140*(((Inputs!$G$5:$G$140="moeda")+(Inputs!$G$5:$G$140="acoes"))*Inputs!$B$1+((Inputs!$G$5:$G$140&lt;&gt;"moeda")*(Inputs!$G$5:$G$140&lt;&gt;"acoes")))*INDEX(Inputs!$K$5:$AJ$140,0,MATCH(AI$2,Inputs!$K$4:$AJ$4,0)))))</f>
        <v>382.65</v>
      </c>
      <c r="AJ36" s="6">
        <f>IF(ISNA(MATCH(AJ$2,Inputs!$K$4:$AJ$4,0)),NA(),IF(SUMPRODUCT((Inputs!$A$5:$A$140=$B36)*ISNUMBER(INDEX(Inputs!$K$5:$AJ$140,0,MATCH(AJ$2,Inputs!$K$4:$AJ$4,0))))+SUMPRODUCT((Inputs!$C$5:$C$140=$B36)*ISNUMBER(INDEX(Inputs!$K$5:$AJ$140,0,MATCH(AJ$2,Inputs!$K$4:$AJ$4,0))))+SUMPRODUCT((Inputs!$E$5:$E$140=$B36)*ISNUMBER(INDEX(Inputs!$K$5:$AJ$140,0,MATCH(AJ$2,Inputs!$K$4:$AJ$4,0))))=0,NA(),SUMPRODUCT((Inputs!$A$5:$A$140=$B36)*Inputs!$B$5:$B$140*(((Inputs!$G$5:$G$140="moeda")+(Inputs!$G$5:$G$140="acoes"))*Inputs!$B$1+((Inputs!$G$5:$G$140&lt;&gt;"moeda")*(Inputs!$G$5:$G$140&lt;&gt;"acoes")))*INDEX(Inputs!$K$5:$AJ$140,0,MATCH(AJ$2,Inputs!$K$4:$AJ$4,0)))+SUMPRODUCT((Inputs!$C$5:$C$140=$B36)*Inputs!$D$5:$D$140*(((Inputs!$G$5:$G$140="moeda")+(Inputs!$G$5:$G$140="acoes"))*Inputs!$B$1+((Inputs!$G$5:$G$140&lt;&gt;"moeda")*(Inputs!$G$5:$G$140&lt;&gt;"acoes")))*INDEX(Inputs!$K$5:$AJ$140,0,MATCH(AJ$2,Inputs!$K$4:$AJ$4,0)))+SUMPRODUCT((Inputs!$E$5:$E$140=$B36)*Inputs!$F$5:$F$140*(((Inputs!$G$5:$G$140="moeda")+(Inputs!$G$5:$G$140="acoes"))*Inputs!$B$1+((Inputs!$G$5:$G$140&lt;&gt;"moeda")*(Inputs!$G$5:$G$140&lt;&gt;"acoes")))*INDEX(Inputs!$K$5:$AJ$140,0,MATCH(AJ$2,Inputs!$K$4:$AJ$4,0)))))</f>
        <v>468.67365356</v>
      </c>
      <c r="AK36" s="6">
        <f>IF(ISNA(MATCH(AK$2,Inputs!$K$4:$AJ$4,0)),NA(),IF(SUMPRODUCT((Inputs!$A$5:$A$140=$B36)*ISNUMBER(INDEX(Inputs!$K$5:$AJ$140,0,MATCH(AK$2,Inputs!$K$4:$AJ$4,0))))+SUMPRODUCT((Inputs!$C$5:$C$140=$B36)*ISNUMBER(INDEX(Inputs!$K$5:$AJ$140,0,MATCH(AK$2,Inputs!$K$4:$AJ$4,0))))+SUMPRODUCT((Inputs!$E$5:$E$140=$B36)*ISNUMBER(INDEX(Inputs!$K$5:$AJ$140,0,MATCH(AK$2,Inputs!$K$4:$AJ$4,0))))=0,NA(),SUMPRODUCT((Inputs!$A$5:$A$140=$B36)*Inputs!$B$5:$B$140*(((Inputs!$G$5:$G$140="moeda")+(Inputs!$G$5:$G$140="acoes"))*Inputs!$B$1+((Inputs!$G$5:$G$140&lt;&gt;"moeda")*(Inputs!$G$5:$G$140&lt;&gt;"acoes")))*INDEX(Inputs!$K$5:$AJ$140,0,MATCH(AK$2,Inputs!$K$4:$AJ$4,0)))+SUMPRODUCT((Inputs!$C$5:$C$140=$B36)*Inputs!$D$5:$D$140*(((Inputs!$G$5:$G$140="moeda")+(Inputs!$G$5:$G$140="acoes"))*Inputs!$B$1+((Inputs!$G$5:$G$140&lt;&gt;"moeda")*(Inputs!$G$5:$G$140&lt;&gt;"acoes")))*INDEX(Inputs!$K$5:$AJ$140,0,MATCH(AK$2,Inputs!$K$4:$AJ$4,0)))+SUMPRODUCT((Inputs!$E$5:$E$140=$B36)*Inputs!$F$5:$F$140*(((Inputs!$G$5:$G$140="moeda")+(Inputs!$G$5:$G$140="acoes"))*Inputs!$B$1+((Inputs!$G$5:$G$140&lt;&gt;"moeda")*(Inputs!$G$5:$G$140&lt;&gt;"acoes")))*INDEX(Inputs!$K$5:$AJ$140,0,MATCH(AK$2,Inputs!$K$4:$AJ$4,0)))))</f>
        <v>523.2881195</v>
      </c>
      <c r="AL36" s="3">
        <f>AK36</f>
        <v>523.2881195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$140=$B37)*ISNUMBER(INDEX(Inputs!$K$5:$AJ$140,0,MATCH(D$2,Inputs!$K$4:$AJ$4,0))))+SUMPRODUCT((Inputs!$C$5:$C$140=$B37)*ISNUMBER(INDEX(Inputs!$K$5:$AJ$140,0,MATCH(D$2,Inputs!$K$4:$AJ$4,0))))+SUMPRODUCT((Inputs!$E$5:$E$140=$B37)*ISNUMBER(INDEX(Inputs!$K$5:$AJ$140,0,MATCH(D$2,Inputs!$K$4:$AJ$4,0))))=0,NA(),SUMPRODUCT((Inputs!$A$5:$A$140=$B37)*Inputs!$B$5:$B$140*(((Inputs!$G$5:$G$140="moeda")+(Inputs!$G$5:$G$140="acoes"))*Inputs!$B$1+((Inputs!$G$5:$G$140&lt;&gt;"moeda")*(Inputs!$G$5:$G$140&lt;&gt;"acoes")))*INDEX(Inputs!$K$5:$AJ$140,0,MATCH(D$2,Inputs!$K$4:$AJ$4,0)))+SUMPRODUCT((Inputs!$C$5:$C$140=$B37)*Inputs!$D$5:$D$140*(((Inputs!$G$5:$G$140="moeda")+(Inputs!$G$5:$G$140="acoes"))*Inputs!$B$1+((Inputs!$G$5:$G$140&lt;&gt;"moeda")*(Inputs!$G$5:$G$140&lt;&gt;"acoes")))*INDEX(Inputs!$K$5:$AJ$140,0,MATCH(D$2,Inputs!$K$4:$AJ$4,0)))+SUMPRODUCT((Inputs!$E$5:$E$140=$B37)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7" s="6" t="e">
        <f>IF(ISNA(MATCH(E$2,Inputs!$K$4:$AJ$4,0)),NA(),IF(SUMPRODUCT((Inputs!$A$5:$A$140=$B37)*ISNUMBER(INDEX(Inputs!$K$5:$AJ$140,0,MATCH(E$2,Inputs!$K$4:$AJ$4,0))))+SUMPRODUCT((Inputs!$C$5:$C$140=$B37)*ISNUMBER(INDEX(Inputs!$K$5:$AJ$140,0,MATCH(E$2,Inputs!$K$4:$AJ$4,0))))+SUMPRODUCT((Inputs!$E$5:$E$140=$B37)*ISNUMBER(INDEX(Inputs!$K$5:$AJ$140,0,MATCH(E$2,Inputs!$K$4:$AJ$4,0))))=0,NA(),SUMPRODUCT((Inputs!$A$5:$A$140=$B37)*Inputs!$B$5:$B$140*(((Inputs!$G$5:$G$140="moeda")+(Inputs!$G$5:$G$140="acoes"))*Inputs!$B$1+((Inputs!$G$5:$G$140&lt;&gt;"moeda")*(Inputs!$G$5:$G$140&lt;&gt;"acoes")))*INDEX(Inputs!$K$5:$AJ$140,0,MATCH(E$2,Inputs!$K$4:$AJ$4,0)))+SUMPRODUCT((Inputs!$C$5:$C$140=$B37)*Inputs!$D$5:$D$140*(((Inputs!$G$5:$G$140="moeda")+(Inputs!$G$5:$G$140="acoes"))*Inputs!$B$1+((Inputs!$G$5:$G$140&lt;&gt;"moeda")*(Inputs!$G$5:$G$140&lt;&gt;"acoes")))*INDEX(Inputs!$K$5:$AJ$140,0,MATCH(E$2,Inputs!$K$4:$AJ$4,0)))+SUMPRODUCT((Inputs!$E$5:$E$140=$B37)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7" s="6" t="e">
        <f>IF(ISNA(MATCH(F$2,Inputs!$K$4:$AJ$4,0)),NA(),IF(SUMPRODUCT((Inputs!$A$5:$A$140=$B37)*ISNUMBER(INDEX(Inputs!$K$5:$AJ$140,0,MATCH(F$2,Inputs!$K$4:$AJ$4,0))))+SUMPRODUCT((Inputs!$C$5:$C$140=$B37)*ISNUMBER(INDEX(Inputs!$K$5:$AJ$140,0,MATCH(F$2,Inputs!$K$4:$AJ$4,0))))+SUMPRODUCT((Inputs!$E$5:$E$140=$B37)*ISNUMBER(INDEX(Inputs!$K$5:$AJ$140,0,MATCH(F$2,Inputs!$K$4:$AJ$4,0))))=0,NA(),SUMPRODUCT((Inputs!$A$5:$A$140=$B37)*Inputs!$B$5:$B$140*(((Inputs!$G$5:$G$140="moeda")+(Inputs!$G$5:$G$140="acoes"))*Inputs!$B$1+((Inputs!$G$5:$G$140&lt;&gt;"moeda")*(Inputs!$G$5:$G$140&lt;&gt;"acoes")))*INDEX(Inputs!$K$5:$AJ$140,0,MATCH(F$2,Inputs!$K$4:$AJ$4,0)))+SUMPRODUCT((Inputs!$C$5:$C$140=$B37)*Inputs!$D$5:$D$140*(((Inputs!$G$5:$G$140="moeda")+(Inputs!$G$5:$G$140="acoes"))*Inputs!$B$1+((Inputs!$G$5:$G$140&lt;&gt;"moeda")*(Inputs!$G$5:$G$140&lt;&gt;"acoes")))*INDEX(Inputs!$K$5:$AJ$140,0,MATCH(F$2,Inputs!$K$4:$AJ$4,0)))+SUMPRODUCT((Inputs!$E$5:$E$140=$B37)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7" s="6" t="e">
        <f>IF(ISNA(MATCH(G$2,Inputs!$K$4:$AJ$4,0)),NA(),IF(SUMPRODUCT((Inputs!$A$5:$A$140=$B37)*ISNUMBER(INDEX(Inputs!$K$5:$AJ$140,0,MATCH(G$2,Inputs!$K$4:$AJ$4,0))))+SUMPRODUCT((Inputs!$C$5:$C$140=$B37)*ISNUMBER(INDEX(Inputs!$K$5:$AJ$140,0,MATCH(G$2,Inputs!$K$4:$AJ$4,0))))+SUMPRODUCT((Inputs!$E$5:$E$140=$B37)*ISNUMBER(INDEX(Inputs!$K$5:$AJ$140,0,MATCH(G$2,Inputs!$K$4:$AJ$4,0))))=0,NA(),SUMPRODUCT((Inputs!$A$5:$A$140=$B37)*Inputs!$B$5:$B$140*(((Inputs!$G$5:$G$140="moeda")+(Inputs!$G$5:$G$140="acoes"))*Inputs!$B$1+((Inputs!$G$5:$G$140&lt;&gt;"moeda")*(Inputs!$G$5:$G$140&lt;&gt;"acoes")))*INDEX(Inputs!$K$5:$AJ$140,0,MATCH(G$2,Inputs!$K$4:$AJ$4,0)))+SUMPRODUCT((Inputs!$C$5:$C$140=$B37)*Inputs!$D$5:$D$140*(((Inputs!$G$5:$G$140="moeda")+(Inputs!$G$5:$G$140="acoes"))*Inputs!$B$1+((Inputs!$G$5:$G$140&lt;&gt;"moeda")*(Inputs!$G$5:$G$140&lt;&gt;"acoes")))*INDEX(Inputs!$K$5:$AJ$140,0,MATCH(G$2,Inputs!$K$4:$AJ$4,0)))+SUMPRODUCT((Inputs!$E$5:$E$140=$B37)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7" s="3" t="e">
        <f>G37</f>
        <v>#N/A</v>
      </c>
      <c r="I37" s="6" t="e">
        <f>IF(ISNA(MATCH(I$2,Inputs!$K$4:$AJ$4,0)),NA(),IF(SUMPRODUCT((Inputs!$A$5:$A$140=$B37)*ISNUMBER(INDEX(Inputs!$K$5:$AJ$140,0,MATCH(I$2,Inputs!$K$4:$AJ$4,0))))+SUMPRODUCT((Inputs!$C$5:$C$140=$B37)*ISNUMBER(INDEX(Inputs!$K$5:$AJ$140,0,MATCH(I$2,Inputs!$K$4:$AJ$4,0))))+SUMPRODUCT((Inputs!$E$5:$E$140=$B37)*ISNUMBER(INDEX(Inputs!$K$5:$AJ$140,0,MATCH(I$2,Inputs!$K$4:$AJ$4,0))))=0,NA(),SUMPRODUCT((Inputs!$A$5:$A$140=$B37)*Inputs!$B$5:$B$140*(((Inputs!$G$5:$G$140="moeda")+(Inputs!$G$5:$G$140="acoes"))*Inputs!$B$1+((Inputs!$G$5:$G$140&lt;&gt;"moeda")*(Inputs!$G$5:$G$140&lt;&gt;"acoes")))*INDEX(Inputs!$K$5:$AJ$140,0,MATCH(I$2,Inputs!$K$4:$AJ$4,0)))+SUMPRODUCT((Inputs!$C$5:$C$140=$B37)*Inputs!$D$5:$D$140*(((Inputs!$G$5:$G$140="moeda")+(Inputs!$G$5:$G$140="acoes"))*Inputs!$B$1+((Inputs!$G$5:$G$140&lt;&gt;"moeda")*(Inputs!$G$5:$G$140&lt;&gt;"acoes")))*INDEX(Inputs!$K$5:$AJ$140,0,MATCH(I$2,Inputs!$K$4:$AJ$4,0)))+SUMPRODUCT((Inputs!$E$5:$E$140=$B37)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7" s="6" t="e">
        <f>IF(ISNA(MATCH(J$2,Inputs!$K$4:$AJ$4,0)),NA(),IF(SUMPRODUCT((Inputs!$A$5:$A$140=$B37)*ISNUMBER(INDEX(Inputs!$K$5:$AJ$140,0,MATCH(J$2,Inputs!$K$4:$AJ$4,0))))+SUMPRODUCT((Inputs!$C$5:$C$140=$B37)*ISNUMBER(INDEX(Inputs!$K$5:$AJ$140,0,MATCH(J$2,Inputs!$K$4:$AJ$4,0))))+SUMPRODUCT((Inputs!$E$5:$E$140=$B37)*ISNUMBER(INDEX(Inputs!$K$5:$AJ$140,0,MATCH(J$2,Inputs!$K$4:$AJ$4,0))))=0,NA(),SUMPRODUCT((Inputs!$A$5:$A$140=$B37)*Inputs!$B$5:$B$140*(((Inputs!$G$5:$G$140="moeda")+(Inputs!$G$5:$G$140="acoes"))*Inputs!$B$1+((Inputs!$G$5:$G$140&lt;&gt;"moeda")*(Inputs!$G$5:$G$140&lt;&gt;"acoes")))*INDEX(Inputs!$K$5:$AJ$140,0,MATCH(J$2,Inputs!$K$4:$AJ$4,0)))+SUMPRODUCT((Inputs!$C$5:$C$140=$B37)*Inputs!$D$5:$D$140*(((Inputs!$G$5:$G$140="moeda")+(Inputs!$G$5:$G$140="acoes"))*Inputs!$B$1+((Inputs!$G$5:$G$140&lt;&gt;"moeda")*(Inputs!$G$5:$G$140&lt;&gt;"acoes")))*INDEX(Inputs!$K$5:$AJ$140,0,MATCH(J$2,Inputs!$K$4:$AJ$4,0)))+SUMPRODUCT((Inputs!$E$5:$E$140=$B37)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7" s="6" t="e">
        <f>IF(ISNA(MATCH(K$2,Inputs!$K$4:$AJ$4,0)),NA(),IF(SUMPRODUCT((Inputs!$A$5:$A$140=$B37)*ISNUMBER(INDEX(Inputs!$K$5:$AJ$140,0,MATCH(K$2,Inputs!$K$4:$AJ$4,0))))+SUMPRODUCT((Inputs!$C$5:$C$140=$B37)*ISNUMBER(INDEX(Inputs!$K$5:$AJ$140,0,MATCH(K$2,Inputs!$K$4:$AJ$4,0))))+SUMPRODUCT((Inputs!$E$5:$E$140=$B37)*ISNUMBER(INDEX(Inputs!$K$5:$AJ$140,0,MATCH(K$2,Inputs!$K$4:$AJ$4,0))))=0,NA(),SUMPRODUCT((Inputs!$A$5:$A$140=$B37)*Inputs!$B$5:$B$140*(((Inputs!$G$5:$G$140="moeda")+(Inputs!$G$5:$G$140="acoes"))*Inputs!$B$1+((Inputs!$G$5:$G$140&lt;&gt;"moeda")*(Inputs!$G$5:$G$140&lt;&gt;"acoes")))*INDEX(Inputs!$K$5:$AJ$140,0,MATCH(K$2,Inputs!$K$4:$AJ$4,0)))+SUMPRODUCT((Inputs!$C$5:$C$140=$B37)*Inputs!$D$5:$D$140*(((Inputs!$G$5:$G$140="moeda")+(Inputs!$G$5:$G$140="acoes"))*Inputs!$B$1+((Inputs!$G$5:$G$140&lt;&gt;"moeda")*(Inputs!$G$5:$G$140&lt;&gt;"acoes")))*INDEX(Inputs!$K$5:$AJ$140,0,MATCH(K$2,Inputs!$K$4:$AJ$4,0)))+SUMPRODUCT((Inputs!$E$5:$E$140=$B37)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7" s="6" t="e">
        <f>IF(ISNA(MATCH(L$2,Inputs!$K$4:$AJ$4,0)),NA(),IF(SUMPRODUCT((Inputs!$A$5:$A$140=$B37)*ISNUMBER(INDEX(Inputs!$K$5:$AJ$140,0,MATCH(L$2,Inputs!$K$4:$AJ$4,0))))+SUMPRODUCT((Inputs!$C$5:$C$140=$B37)*ISNUMBER(INDEX(Inputs!$K$5:$AJ$140,0,MATCH(L$2,Inputs!$K$4:$AJ$4,0))))+SUMPRODUCT((Inputs!$E$5:$E$140=$B37)*ISNUMBER(INDEX(Inputs!$K$5:$AJ$140,0,MATCH(L$2,Inputs!$K$4:$AJ$4,0))))=0,NA(),SUMPRODUCT((Inputs!$A$5:$A$140=$B37)*Inputs!$B$5:$B$140*(((Inputs!$G$5:$G$140="moeda")+(Inputs!$G$5:$G$140="acoes"))*Inputs!$B$1+((Inputs!$G$5:$G$140&lt;&gt;"moeda")*(Inputs!$G$5:$G$140&lt;&gt;"acoes")))*INDEX(Inputs!$K$5:$AJ$140,0,MATCH(L$2,Inputs!$K$4:$AJ$4,0)))+SUMPRODUCT((Inputs!$C$5:$C$140=$B37)*Inputs!$D$5:$D$140*(((Inputs!$G$5:$G$140="moeda")+(Inputs!$G$5:$G$140="acoes"))*Inputs!$B$1+((Inputs!$G$5:$G$140&lt;&gt;"moeda")*(Inputs!$G$5:$G$140&lt;&gt;"acoes")))*INDEX(Inputs!$K$5:$AJ$140,0,MATCH(L$2,Inputs!$K$4:$AJ$4,0)))+SUMPRODUCT((Inputs!$E$5:$E$140=$B37)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7" s="3" t="e">
        <f>L37</f>
        <v>#N/A</v>
      </c>
      <c r="N37" s="6" t="e">
        <f>IF(ISNA(MATCH(N$2,Inputs!$K$4:$AJ$4,0)),NA(),IF(SUMPRODUCT((Inputs!$A$5:$A$140=$B37)*ISNUMBER(INDEX(Inputs!$K$5:$AJ$140,0,MATCH(N$2,Inputs!$K$4:$AJ$4,0))))+SUMPRODUCT((Inputs!$C$5:$C$140=$B37)*ISNUMBER(INDEX(Inputs!$K$5:$AJ$140,0,MATCH(N$2,Inputs!$K$4:$AJ$4,0))))+SUMPRODUCT((Inputs!$E$5:$E$140=$B37)*ISNUMBER(INDEX(Inputs!$K$5:$AJ$140,0,MATCH(N$2,Inputs!$K$4:$AJ$4,0))))=0,NA(),SUMPRODUCT((Inputs!$A$5:$A$140=$B37)*Inputs!$B$5:$B$140*(((Inputs!$G$5:$G$140="moeda")+(Inputs!$G$5:$G$140="acoes"))*Inputs!$B$1+((Inputs!$G$5:$G$140&lt;&gt;"moeda")*(Inputs!$G$5:$G$140&lt;&gt;"acoes")))*INDEX(Inputs!$K$5:$AJ$140,0,MATCH(N$2,Inputs!$K$4:$AJ$4,0)))+SUMPRODUCT((Inputs!$C$5:$C$140=$B37)*Inputs!$D$5:$D$140*(((Inputs!$G$5:$G$140="moeda")+(Inputs!$G$5:$G$140="acoes"))*Inputs!$B$1+((Inputs!$G$5:$G$140&lt;&gt;"moeda")*(Inputs!$G$5:$G$140&lt;&gt;"acoes")))*INDEX(Inputs!$K$5:$AJ$140,0,MATCH(N$2,Inputs!$K$4:$AJ$4,0)))+SUMPRODUCT((Inputs!$E$5:$E$140=$B37)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7" s="6" t="e">
        <f>IF(ISNA(MATCH(O$2,Inputs!$K$4:$AJ$4,0)),NA(),IF(SUMPRODUCT((Inputs!$A$5:$A$140=$B37)*ISNUMBER(INDEX(Inputs!$K$5:$AJ$140,0,MATCH(O$2,Inputs!$K$4:$AJ$4,0))))+SUMPRODUCT((Inputs!$C$5:$C$140=$B37)*ISNUMBER(INDEX(Inputs!$K$5:$AJ$140,0,MATCH(O$2,Inputs!$K$4:$AJ$4,0))))+SUMPRODUCT((Inputs!$E$5:$E$140=$B37)*ISNUMBER(INDEX(Inputs!$K$5:$AJ$140,0,MATCH(O$2,Inputs!$K$4:$AJ$4,0))))=0,NA(),SUMPRODUCT((Inputs!$A$5:$A$140=$B37)*Inputs!$B$5:$B$140*(((Inputs!$G$5:$G$140="moeda")+(Inputs!$G$5:$G$140="acoes"))*Inputs!$B$1+((Inputs!$G$5:$G$140&lt;&gt;"moeda")*(Inputs!$G$5:$G$140&lt;&gt;"acoes")))*INDEX(Inputs!$K$5:$AJ$140,0,MATCH(O$2,Inputs!$K$4:$AJ$4,0)))+SUMPRODUCT((Inputs!$C$5:$C$140=$B37)*Inputs!$D$5:$D$140*(((Inputs!$G$5:$G$140="moeda")+(Inputs!$G$5:$G$140="acoes"))*Inputs!$B$1+((Inputs!$G$5:$G$140&lt;&gt;"moeda")*(Inputs!$G$5:$G$140&lt;&gt;"acoes")))*INDEX(Inputs!$K$5:$AJ$140,0,MATCH(O$2,Inputs!$K$4:$AJ$4,0)))+SUMPRODUCT((Inputs!$E$5:$E$140=$B37)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7" s="6" t="e">
        <f>IF(ISNA(MATCH(P$2,Inputs!$K$4:$AJ$4,0)),NA(),IF(SUMPRODUCT((Inputs!$A$5:$A$140=$B37)*ISNUMBER(INDEX(Inputs!$K$5:$AJ$140,0,MATCH(P$2,Inputs!$K$4:$AJ$4,0))))+SUMPRODUCT((Inputs!$C$5:$C$140=$B37)*ISNUMBER(INDEX(Inputs!$K$5:$AJ$140,0,MATCH(P$2,Inputs!$K$4:$AJ$4,0))))+SUMPRODUCT((Inputs!$E$5:$E$140=$B37)*ISNUMBER(INDEX(Inputs!$K$5:$AJ$140,0,MATCH(P$2,Inputs!$K$4:$AJ$4,0))))=0,NA(),SUMPRODUCT((Inputs!$A$5:$A$140=$B37)*Inputs!$B$5:$B$140*(((Inputs!$G$5:$G$140="moeda")+(Inputs!$G$5:$G$140="acoes"))*Inputs!$B$1+((Inputs!$G$5:$G$140&lt;&gt;"moeda")*(Inputs!$G$5:$G$140&lt;&gt;"acoes")))*INDEX(Inputs!$K$5:$AJ$140,0,MATCH(P$2,Inputs!$K$4:$AJ$4,0)))+SUMPRODUCT((Inputs!$C$5:$C$140=$B37)*Inputs!$D$5:$D$140*(((Inputs!$G$5:$G$140="moeda")+(Inputs!$G$5:$G$140="acoes"))*Inputs!$B$1+((Inputs!$G$5:$G$140&lt;&gt;"moeda")*(Inputs!$G$5:$G$140&lt;&gt;"acoes")))*INDEX(Inputs!$K$5:$AJ$140,0,MATCH(P$2,Inputs!$K$4:$AJ$4,0)))+SUMPRODUCT((Inputs!$E$5:$E$140=$B37)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7" s="6" t="e">
        <f>IF(ISNA(MATCH(Q$2,Inputs!$K$4:$AJ$4,0)),NA(),IF(SUMPRODUCT((Inputs!$A$5:$A$140=$B37)*ISNUMBER(INDEX(Inputs!$K$5:$AJ$140,0,MATCH(Q$2,Inputs!$K$4:$AJ$4,0))))+SUMPRODUCT((Inputs!$C$5:$C$140=$B37)*ISNUMBER(INDEX(Inputs!$K$5:$AJ$140,0,MATCH(Q$2,Inputs!$K$4:$AJ$4,0))))+SUMPRODUCT((Inputs!$E$5:$E$140=$B37)*ISNUMBER(INDEX(Inputs!$K$5:$AJ$140,0,MATCH(Q$2,Inputs!$K$4:$AJ$4,0))))=0,NA(),SUMPRODUCT((Inputs!$A$5:$A$140=$B37)*Inputs!$B$5:$B$140*(((Inputs!$G$5:$G$140="moeda")+(Inputs!$G$5:$G$140="acoes"))*Inputs!$B$1+((Inputs!$G$5:$G$140&lt;&gt;"moeda")*(Inputs!$G$5:$G$140&lt;&gt;"acoes")))*INDEX(Inputs!$K$5:$AJ$140,0,MATCH(Q$2,Inputs!$K$4:$AJ$4,0)))+SUMPRODUCT((Inputs!$C$5:$C$140=$B37)*Inputs!$D$5:$D$140*(((Inputs!$G$5:$G$140="moeda")+(Inputs!$G$5:$G$140="acoes"))*Inputs!$B$1+((Inputs!$G$5:$G$140&lt;&gt;"moeda")*(Inputs!$G$5:$G$140&lt;&gt;"acoes")))*INDEX(Inputs!$K$5:$AJ$140,0,MATCH(Q$2,Inputs!$K$4:$AJ$4,0)))+SUMPRODUCT((Inputs!$E$5:$E$140=$B37)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7" s="3" t="e">
        <f>Q37</f>
        <v>#N/A</v>
      </c>
      <c r="S37" s="6" t="e">
        <f>IF(ISNA(MATCH(S$2,Inputs!$K$4:$AJ$4,0)),NA(),IF(SUMPRODUCT((Inputs!$A$5:$A$140=$B37)*ISNUMBER(INDEX(Inputs!$K$5:$AJ$140,0,MATCH(S$2,Inputs!$K$4:$AJ$4,0))))+SUMPRODUCT((Inputs!$C$5:$C$140=$B37)*ISNUMBER(INDEX(Inputs!$K$5:$AJ$140,0,MATCH(S$2,Inputs!$K$4:$AJ$4,0))))+SUMPRODUCT((Inputs!$E$5:$E$140=$B37)*ISNUMBER(INDEX(Inputs!$K$5:$AJ$140,0,MATCH(S$2,Inputs!$K$4:$AJ$4,0))))=0,NA(),SUMPRODUCT((Inputs!$A$5:$A$140=$B37)*Inputs!$B$5:$B$140*(((Inputs!$G$5:$G$140="moeda")+(Inputs!$G$5:$G$140="acoes"))*Inputs!$B$1+((Inputs!$G$5:$G$140&lt;&gt;"moeda")*(Inputs!$G$5:$G$140&lt;&gt;"acoes")))*INDEX(Inputs!$K$5:$AJ$140,0,MATCH(S$2,Inputs!$K$4:$AJ$4,0)))+SUMPRODUCT((Inputs!$C$5:$C$140=$B37)*Inputs!$D$5:$D$140*(((Inputs!$G$5:$G$140="moeda")+(Inputs!$G$5:$G$140="acoes"))*Inputs!$B$1+((Inputs!$G$5:$G$140&lt;&gt;"moeda")*(Inputs!$G$5:$G$140&lt;&gt;"acoes")))*INDEX(Inputs!$K$5:$AJ$140,0,MATCH(S$2,Inputs!$K$4:$AJ$4,0)))+SUMPRODUCT((Inputs!$E$5:$E$140=$B37)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7" s="6" t="e">
        <f>IF(ISNA(MATCH(T$2,Inputs!$K$4:$AJ$4,0)),NA(),IF(SUMPRODUCT((Inputs!$A$5:$A$140=$B37)*ISNUMBER(INDEX(Inputs!$K$5:$AJ$140,0,MATCH(T$2,Inputs!$K$4:$AJ$4,0))))+SUMPRODUCT((Inputs!$C$5:$C$140=$B37)*ISNUMBER(INDEX(Inputs!$K$5:$AJ$140,0,MATCH(T$2,Inputs!$K$4:$AJ$4,0))))+SUMPRODUCT((Inputs!$E$5:$E$140=$B37)*ISNUMBER(INDEX(Inputs!$K$5:$AJ$140,0,MATCH(T$2,Inputs!$K$4:$AJ$4,0))))=0,NA(),SUMPRODUCT((Inputs!$A$5:$A$140=$B37)*Inputs!$B$5:$B$140*(((Inputs!$G$5:$G$140="moeda")+(Inputs!$G$5:$G$140="acoes"))*Inputs!$B$1+((Inputs!$G$5:$G$140&lt;&gt;"moeda")*(Inputs!$G$5:$G$140&lt;&gt;"acoes")))*INDEX(Inputs!$K$5:$AJ$140,0,MATCH(T$2,Inputs!$K$4:$AJ$4,0)))+SUMPRODUCT((Inputs!$C$5:$C$140=$B37)*Inputs!$D$5:$D$140*(((Inputs!$G$5:$G$140="moeda")+(Inputs!$G$5:$G$140="acoes"))*Inputs!$B$1+((Inputs!$G$5:$G$140&lt;&gt;"moeda")*(Inputs!$G$5:$G$140&lt;&gt;"acoes")))*INDEX(Inputs!$K$5:$AJ$140,0,MATCH(T$2,Inputs!$K$4:$AJ$4,0)))+SUMPRODUCT((Inputs!$E$5:$E$140=$B37)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7" s="6" t="e">
        <f>IF(ISNA(MATCH(U$2,Inputs!$K$4:$AJ$4,0)),NA(),IF(SUMPRODUCT((Inputs!$A$5:$A$140=$B37)*ISNUMBER(INDEX(Inputs!$K$5:$AJ$140,0,MATCH(U$2,Inputs!$K$4:$AJ$4,0))))+SUMPRODUCT((Inputs!$C$5:$C$140=$B37)*ISNUMBER(INDEX(Inputs!$K$5:$AJ$140,0,MATCH(U$2,Inputs!$K$4:$AJ$4,0))))+SUMPRODUCT((Inputs!$E$5:$E$140=$B37)*ISNUMBER(INDEX(Inputs!$K$5:$AJ$140,0,MATCH(U$2,Inputs!$K$4:$AJ$4,0))))=0,NA(),SUMPRODUCT((Inputs!$A$5:$A$140=$B37)*Inputs!$B$5:$B$140*(((Inputs!$G$5:$G$140="moeda")+(Inputs!$G$5:$G$140="acoes"))*Inputs!$B$1+((Inputs!$G$5:$G$140&lt;&gt;"moeda")*(Inputs!$G$5:$G$140&lt;&gt;"acoes")))*INDEX(Inputs!$K$5:$AJ$140,0,MATCH(U$2,Inputs!$K$4:$AJ$4,0)))+SUMPRODUCT((Inputs!$C$5:$C$140=$B37)*Inputs!$D$5:$D$140*(((Inputs!$G$5:$G$140="moeda")+(Inputs!$G$5:$G$140="acoes"))*Inputs!$B$1+((Inputs!$G$5:$G$140&lt;&gt;"moeda")*(Inputs!$G$5:$G$140&lt;&gt;"acoes")))*INDEX(Inputs!$K$5:$AJ$140,0,MATCH(U$2,Inputs!$K$4:$AJ$4,0)))+SUMPRODUCT((Inputs!$E$5:$E$140=$B37)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7" s="6" t="e">
        <f>IF(ISNA(MATCH(V$2,Inputs!$K$4:$AJ$4,0)),NA(),IF(SUMPRODUCT((Inputs!$A$5:$A$140=$B37)*ISNUMBER(INDEX(Inputs!$K$5:$AJ$140,0,MATCH(V$2,Inputs!$K$4:$AJ$4,0))))+SUMPRODUCT((Inputs!$C$5:$C$140=$B37)*ISNUMBER(INDEX(Inputs!$K$5:$AJ$140,0,MATCH(V$2,Inputs!$K$4:$AJ$4,0))))+SUMPRODUCT((Inputs!$E$5:$E$140=$B37)*ISNUMBER(INDEX(Inputs!$K$5:$AJ$140,0,MATCH(V$2,Inputs!$K$4:$AJ$4,0))))=0,NA(),SUMPRODUCT((Inputs!$A$5:$A$140=$B37)*Inputs!$B$5:$B$140*(((Inputs!$G$5:$G$140="moeda")+(Inputs!$G$5:$G$140="acoes"))*Inputs!$B$1+((Inputs!$G$5:$G$140&lt;&gt;"moeda")*(Inputs!$G$5:$G$140&lt;&gt;"acoes")))*INDEX(Inputs!$K$5:$AJ$140,0,MATCH(V$2,Inputs!$K$4:$AJ$4,0)))+SUMPRODUCT((Inputs!$C$5:$C$140=$B37)*Inputs!$D$5:$D$140*(((Inputs!$G$5:$G$140="moeda")+(Inputs!$G$5:$G$140="acoes"))*Inputs!$B$1+((Inputs!$G$5:$G$140&lt;&gt;"moeda")*(Inputs!$G$5:$G$140&lt;&gt;"acoes")))*INDEX(Inputs!$K$5:$AJ$140,0,MATCH(V$2,Inputs!$K$4:$AJ$4,0)))+SUMPRODUCT((Inputs!$E$5:$E$140=$B37)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7" s="3" t="e">
        <f>V37</f>
        <v>#N/A</v>
      </c>
      <c r="X37" s="6" t="e">
        <f>IF(ISNA(MATCH(X$2,Inputs!$K$4:$AJ$4,0)),NA(),IF(SUMPRODUCT((Inputs!$A$5:$A$140=$B37)*ISNUMBER(INDEX(Inputs!$K$5:$AJ$140,0,MATCH(X$2,Inputs!$K$4:$AJ$4,0))))+SUMPRODUCT((Inputs!$C$5:$C$140=$B37)*ISNUMBER(INDEX(Inputs!$K$5:$AJ$140,0,MATCH(X$2,Inputs!$K$4:$AJ$4,0))))+SUMPRODUCT((Inputs!$E$5:$E$140=$B37)*ISNUMBER(INDEX(Inputs!$K$5:$AJ$140,0,MATCH(X$2,Inputs!$K$4:$AJ$4,0))))=0,NA(),SUMPRODUCT((Inputs!$A$5:$A$140=$B37)*Inputs!$B$5:$B$140*(((Inputs!$G$5:$G$140="moeda")+(Inputs!$G$5:$G$140="acoes"))*Inputs!$B$1+((Inputs!$G$5:$G$140&lt;&gt;"moeda")*(Inputs!$G$5:$G$140&lt;&gt;"acoes")))*INDEX(Inputs!$K$5:$AJ$140,0,MATCH(X$2,Inputs!$K$4:$AJ$4,0)))+SUMPRODUCT((Inputs!$C$5:$C$140=$B37)*Inputs!$D$5:$D$140*(((Inputs!$G$5:$G$140="moeda")+(Inputs!$G$5:$G$140="acoes"))*Inputs!$B$1+((Inputs!$G$5:$G$140&lt;&gt;"moeda")*(Inputs!$G$5:$G$140&lt;&gt;"acoes")))*INDEX(Inputs!$K$5:$AJ$140,0,MATCH(X$2,Inputs!$K$4:$AJ$4,0)))+SUMPRODUCT((Inputs!$E$5:$E$140=$B37)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7" s="6" t="e">
        <f>IF(ISNA(MATCH(Y$2,Inputs!$K$4:$AJ$4,0)),NA(),IF(SUMPRODUCT((Inputs!$A$5:$A$140=$B37)*ISNUMBER(INDEX(Inputs!$K$5:$AJ$140,0,MATCH(Y$2,Inputs!$K$4:$AJ$4,0))))+SUMPRODUCT((Inputs!$C$5:$C$140=$B37)*ISNUMBER(INDEX(Inputs!$K$5:$AJ$140,0,MATCH(Y$2,Inputs!$K$4:$AJ$4,0))))+SUMPRODUCT((Inputs!$E$5:$E$140=$B37)*ISNUMBER(INDEX(Inputs!$K$5:$AJ$140,0,MATCH(Y$2,Inputs!$K$4:$AJ$4,0))))=0,NA(),SUMPRODUCT((Inputs!$A$5:$A$140=$B37)*Inputs!$B$5:$B$140*(((Inputs!$G$5:$G$140="moeda")+(Inputs!$G$5:$G$140="acoes"))*Inputs!$B$1+((Inputs!$G$5:$G$140&lt;&gt;"moeda")*(Inputs!$G$5:$G$140&lt;&gt;"acoes")))*INDEX(Inputs!$K$5:$AJ$140,0,MATCH(Y$2,Inputs!$K$4:$AJ$4,0)))+SUMPRODUCT((Inputs!$C$5:$C$140=$B37)*Inputs!$D$5:$D$140*(((Inputs!$G$5:$G$140="moeda")+(Inputs!$G$5:$G$140="acoes"))*Inputs!$B$1+((Inputs!$G$5:$G$140&lt;&gt;"moeda")*(Inputs!$G$5:$G$140&lt;&gt;"acoes")))*INDEX(Inputs!$K$5:$AJ$140,0,MATCH(Y$2,Inputs!$K$4:$AJ$4,0)))+SUMPRODUCT((Inputs!$E$5:$E$140=$B37)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7" s="6" t="e">
        <f>IF(ISNA(MATCH(Z$2,Inputs!$K$4:$AJ$4,0)),NA(),IF(SUMPRODUCT((Inputs!$A$5:$A$140=$B37)*ISNUMBER(INDEX(Inputs!$K$5:$AJ$140,0,MATCH(Z$2,Inputs!$K$4:$AJ$4,0))))+SUMPRODUCT((Inputs!$C$5:$C$140=$B37)*ISNUMBER(INDEX(Inputs!$K$5:$AJ$140,0,MATCH(Z$2,Inputs!$K$4:$AJ$4,0))))+SUMPRODUCT((Inputs!$E$5:$E$140=$B37)*ISNUMBER(INDEX(Inputs!$K$5:$AJ$140,0,MATCH(Z$2,Inputs!$K$4:$AJ$4,0))))=0,NA(),SUMPRODUCT((Inputs!$A$5:$A$140=$B37)*Inputs!$B$5:$B$140*(((Inputs!$G$5:$G$140="moeda")+(Inputs!$G$5:$G$140="acoes"))*Inputs!$B$1+((Inputs!$G$5:$G$140&lt;&gt;"moeda")*(Inputs!$G$5:$G$140&lt;&gt;"acoes")))*INDEX(Inputs!$K$5:$AJ$140,0,MATCH(Z$2,Inputs!$K$4:$AJ$4,0)))+SUMPRODUCT((Inputs!$C$5:$C$140=$B37)*Inputs!$D$5:$D$140*(((Inputs!$G$5:$G$140="moeda")+(Inputs!$G$5:$G$140="acoes"))*Inputs!$B$1+((Inputs!$G$5:$G$140&lt;&gt;"moeda")*(Inputs!$G$5:$G$140&lt;&gt;"acoes")))*INDEX(Inputs!$K$5:$AJ$140,0,MATCH(Z$2,Inputs!$K$4:$AJ$4,0)))+SUMPRODUCT((Inputs!$E$5:$E$140=$B37)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7" s="6" t="e">
        <f>IF(ISNA(MATCH(AA$2,Inputs!$K$4:$AJ$4,0)),NA(),IF(SUMPRODUCT((Inputs!$A$5:$A$140=$B37)*ISNUMBER(INDEX(Inputs!$K$5:$AJ$140,0,MATCH(AA$2,Inputs!$K$4:$AJ$4,0))))+SUMPRODUCT((Inputs!$C$5:$C$140=$B37)*ISNUMBER(INDEX(Inputs!$K$5:$AJ$140,0,MATCH(AA$2,Inputs!$K$4:$AJ$4,0))))+SUMPRODUCT((Inputs!$E$5:$E$140=$B37)*ISNUMBER(INDEX(Inputs!$K$5:$AJ$140,0,MATCH(AA$2,Inputs!$K$4:$AJ$4,0))))=0,NA(),SUMPRODUCT((Inputs!$A$5:$A$140=$B37)*Inputs!$B$5:$B$140*(((Inputs!$G$5:$G$140="moeda")+(Inputs!$G$5:$G$140="acoes"))*Inputs!$B$1+((Inputs!$G$5:$G$140&lt;&gt;"moeda")*(Inputs!$G$5:$G$140&lt;&gt;"acoes")))*INDEX(Inputs!$K$5:$AJ$140,0,MATCH(AA$2,Inputs!$K$4:$AJ$4,0)))+SUMPRODUCT((Inputs!$C$5:$C$140=$B37)*Inputs!$D$5:$D$140*(((Inputs!$G$5:$G$140="moeda")+(Inputs!$G$5:$G$140="acoes"))*Inputs!$B$1+((Inputs!$G$5:$G$140&lt;&gt;"moeda")*(Inputs!$G$5:$G$140&lt;&gt;"acoes")))*INDEX(Inputs!$K$5:$AJ$140,0,MATCH(AA$2,Inputs!$K$4:$AJ$4,0)))+SUMPRODUCT((Inputs!$E$5:$E$140=$B37)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7" s="3" t="e">
        <f>AA37</f>
        <v>#N/A</v>
      </c>
      <c r="AC37" s="6" t="e">
        <f>IF(ISNA(MATCH(AC$2,Inputs!$K$4:$AJ$4,0)),NA(),IF(SUMPRODUCT((Inputs!$A$5:$A$140=$B37)*ISNUMBER(INDEX(Inputs!$K$5:$AJ$140,0,MATCH(AC$2,Inputs!$K$4:$AJ$4,0))))+SUMPRODUCT((Inputs!$C$5:$C$140=$B37)*ISNUMBER(INDEX(Inputs!$K$5:$AJ$140,0,MATCH(AC$2,Inputs!$K$4:$AJ$4,0))))+SUMPRODUCT((Inputs!$E$5:$E$140=$B37)*ISNUMBER(INDEX(Inputs!$K$5:$AJ$140,0,MATCH(AC$2,Inputs!$K$4:$AJ$4,0))))=0,NA(),SUMPRODUCT((Inputs!$A$5:$A$140=$B37)*Inputs!$B$5:$B$140*(((Inputs!$G$5:$G$140="moeda")+(Inputs!$G$5:$G$140="acoes"))*Inputs!$B$1+((Inputs!$G$5:$G$140&lt;&gt;"moeda")*(Inputs!$G$5:$G$140&lt;&gt;"acoes")))*INDEX(Inputs!$K$5:$AJ$140,0,MATCH(AC$2,Inputs!$K$4:$AJ$4,0)))+SUMPRODUCT((Inputs!$C$5:$C$140=$B37)*Inputs!$D$5:$D$140*(((Inputs!$G$5:$G$140="moeda")+(Inputs!$G$5:$G$140="acoes"))*Inputs!$B$1+((Inputs!$G$5:$G$140&lt;&gt;"moeda")*(Inputs!$G$5:$G$140&lt;&gt;"acoes")))*INDEX(Inputs!$K$5:$AJ$140,0,MATCH(AC$2,Inputs!$K$4:$AJ$4,0)))+SUMPRODUCT((Inputs!$E$5:$E$140=$B37)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7" s="6" t="e">
        <f>IF(ISNA(MATCH(AD$2,Inputs!$K$4:$AJ$4,0)),NA(),IF(SUMPRODUCT((Inputs!$A$5:$A$140=$B37)*ISNUMBER(INDEX(Inputs!$K$5:$AJ$140,0,MATCH(AD$2,Inputs!$K$4:$AJ$4,0))))+SUMPRODUCT((Inputs!$C$5:$C$140=$B37)*ISNUMBER(INDEX(Inputs!$K$5:$AJ$140,0,MATCH(AD$2,Inputs!$K$4:$AJ$4,0))))+SUMPRODUCT((Inputs!$E$5:$E$140=$B37)*ISNUMBER(INDEX(Inputs!$K$5:$AJ$140,0,MATCH(AD$2,Inputs!$K$4:$AJ$4,0))))=0,NA(),SUMPRODUCT((Inputs!$A$5:$A$140=$B37)*Inputs!$B$5:$B$140*(((Inputs!$G$5:$G$140="moeda")+(Inputs!$G$5:$G$140="acoes"))*Inputs!$B$1+((Inputs!$G$5:$G$140&lt;&gt;"moeda")*(Inputs!$G$5:$G$140&lt;&gt;"acoes")))*INDEX(Inputs!$K$5:$AJ$140,0,MATCH(AD$2,Inputs!$K$4:$AJ$4,0)))+SUMPRODUCT((Inputs!$C$5:$C$140=$B37)*Inputs!$D$5:$D$140*(((Inputs!$G$5:$G$140="moeda")+(Inputs!$G$5:$G$140="acoes"))*Inputs!$B$1+((Inputs!$G$5:$G$140&lt;&gt;"moeda")*(Inputs!$G$5:$G$140&lt;&gt;"acoes")))*INDEX(Inputs!$K$5:$AJ$140,0,MATCH(AD$2,Inputs!$K$4:$AJ$4,0)))+SUMPRODUCT((Inputs!$E$5:$E$140=$B37)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7" s="6" t="e">
        <f>IF(ISNA(MATCH(AE$2,Inputs!$K$4:$AJ$4,0)),NA(),IF(SUMPRODUCT((Inputs!$A$5:$A$140=$B37)*ISNUMBER(INDEX(Inputs!$K$5:$AJ$140,0,MATCH(AE$2,Inputs!$K$4:$AJ$4,0))))+SUMPRODUCT((Inputs!$C$5:$C$140=$B37)*ISNUMBER(INDEX(Inputs!$K$5:$AJ$140,0,MATCH(AE$2,Inputs!$K$4:$AJ$4,0))))+SUMPRODUCT((Inputs!$E$5:$E$140=$B37)*ISNUMBER(INDEX(Inputs!$K$5:$AJ$140,0,MATCH(AE$2,Inputs!$K$4:$AJ$4,0))))=0,NA(),SUMPRODUCT((Inputs!$A$5:$A$140=$B37)*Inputs!$B$5:$B$140*(((Inputs!$G$5:$G$140="moeda")+(Inputs!$G$5:$G$140="acoes"))*Inputs!$B$1+((Inputs!$G$5:$G$140&lt;&gt;"moeda")*(Inputs!$G$5:$G$140&lt;&gt;"acoes")))*INDEX(Inputs!$K$5:$AJ$140,0,MATCH(AE$2,Inputs!$K$4:$AJ$4,0)))+SUMPRODUCT((Inputs!$C$5:$C$140=$B37)*Inputs!$D$5:$D$140*(((Inputs!$G$5:$G$140="moeda")+(Inputs!$G$5:$G$140="acoes"))*Inputs!$B$1+((Inputs!$G$5:$G$140&lt;&gt;"moeda")*(Inputs!$G$5:$G$140&lt;&gt;"acoes")))*INDEX(Inputs!$K$5:$AJ$140,0,MATCH(AE$2,Inputs!$K$4:$AJ$4,0)))+SUMPRODUCT((Inputs!$E$5:$E$140=$B37)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7" s="6" t="e">
        <f>IF(ISNA(MATCH(AF$2,Inputs!$K$4:$AJ$4,0)),NA(),IF(SUMPRODUCT((Inputs!$A$5:$A$140=$B37)*ISNUMBER(INDEX(Inputs!$K$5:$AJ$140,0,MATCH(AF$2,Inputs!$K$4:$AJ$4,0))))+SUMPRODUCT((Inputs!$C$5:$C$140=$B37)*ISNUMBER(INDEX(Inputs!$K$5:$AJ$140,0,MATCH(AF$2,Inputs!$K$4:$AJ$4,0))))+SUMPRODUCT((Inputs!$E$5:$E$140=$B37)*ISNUMBER(INDEX(Inputs!$K$5:$AJ$140,0,MATCH(AF$2,Inputs!$K$4:$AJ$4,0))))=0,NA(),SUMPRODUCT((Inputs!$A$5:$A$140=$B37)*Inputs!$B$5:$B$140*(((Inputs!$G$5:$G$140="moeda")+(Inputs!$G$5:$G$140="acoes"))*Inputs!$B$1+((Inputs!$G$5:$G$140&lt;&gt;"moeda")*(Inputs!$G$5:$G$140&lt;&gt;"acoes")))*INDEX(Inputs!$K$5:$AJ$140,0,MATCH(AF$2,Inputs!$K$4:$AJ$4,0)))+SUMPRODUCT((Inputs!$C$5:$C$140=$B37)*Inputs!$D$5:$D$140*(((Inputs!$G$5:$G$140="moeda")+(Inputs!$G$5:$G$140="acoes"))*Inputs!$B$1+((Inputs!$G$5:$G$140&lt;&gt;"moeda")*(Inputs!$G$5:$G$140&lt;&gt;"acoes")))*INDEX(Inputs!$K$5:$AJ$140,0,MATCH(AF$2,Inputs!$K$4:$AJ$4,0)))+SUMPRODUCT((Inputs!$E$5:$E$140=$B37)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7" s="3" t="e">
        <f>AF37</f>
        <v>#N/A</v>
      </c>
      <c r="AH37" s="6" t="e">
        <f>IF(ISNA(MATCH(AH$2,Inputs!$K$4:$AJ$4,0)),NA(),IF(SUMPRODUCT((Inputs!$A$5:$A$140=$B37)*ISNUMBER(INDEX(Inputs!$K$5:$AJ$140,0,MATCH(AH$2,Inputs!$K$4:$AJ$4,0))))+SUMPRODUCT((Inputs!$C$5:$C$140=$B37)*ISNUMBER(INDEX(Inputs!$K$5:$AJ$140,0,MATCH(AH$2,Inputs!$K$4:$AJ$4,0))))+SUMPRODUCT((Inputs!$E$5:$E$140=$B37)*ISNUMBER(INDEX(Inputs!$K$5:$AJ$140,0,MATCH(AH$2,Inputs!$K$4:$AJ$4,0))))=0,NA(),SUMPRODUCT((Inputs!$A$5:$A$140=$B37)*Inputs!$B$5:$B$140*(((Inputs!$G$5:$G$140="moeda")+(Inputs!$G$5:$G$140="acoes"))*Inputs!$B$1+((Inputs!$G$5:$G$140&lt;&gt;"moeda")*(Inputs!$G$5:$G$140&lt;&gt;"acoes")))*INDEX(Inputs!$K$5:$AJ$140,0,MATCH(AH$2,Inputs!$K$4:$AJ$4,0)))+SUMPRODUCT((Inputs!$C$5:$C$140=$B37)*Inputs!$D$5:$D$140*(((Inputs!$G$5:$G$140="moeda")+(Inputs!$G$5:$G$140="acoes"))*Inputs!$B$1+((Inputs!$G$5:$G$140&lt;&gt;"moeda")*(Inputs!$G$5:$G$140&lt;&gt;"acoes")))*INDEX(Inputs!$K$5:$AJ$140,0,MATCH(AH$2,Inputs!$K$4:$AJ$4,0)))+SUMPRODUCT((Inputs!$E$5:$E$140=$B37)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7" s="6" t="e">
        <f>IF(ISNA(MATCH(AI$2,Inputs!$K$4:$AJ$4,0)),NA(),IF(SUMPRODUCT((Inputs!$A$5:$A$140=$B37)*ISNUMBER(INDEX(Inputs!$K$5:$AJ$140,0,MATCH(AI$2,Inputs!$K$4:$AJ$4,0))))+SUMPRODUCT((Inputs!$C$5:$C$140=$B37)*ISNUMBER(INDEX(Inputs!$K$5:$AJ$140,0,MATCH(AI$2,Inputs!$K$4:$AJ$4,0))))+SUMPRODUCT((Inputs!$E$5:$E$140=$B37)*ISNUMBER(INDEX(Inputs!$K$5:$AJ$140,0,MATCH(AI$2,Inputs!$K$4:$AJ$4,0))))=0,NA(),SUMPRODUCT((Inputs!$A$5:$A$140=$B37)*Inputs!$B$5:$B$140*(((Inputs!$G$5:$G$140="moeda")+(Inputs!$G$5:$G$140="acoes"))*Inputs!$B$1+((Inputs!$G$5:$G$140&lt;&gt;"moeda")*(Inputs!$G$5:$G$140&lt;&gt;"acoes")))*INDEX(Inputs!$K$5:$AJ$140,0,MATCH(AI$2,Inputs!$K$4:$AJ$4,0)))+SUMPRODUCT((Inputs!$C$5:$C$140=$B37)*Inputs!$D$5:$D$140*(((Inputs!$G$5:$G$140="moeda")+(Inputs!$G$5:$G$140="acoes"))*Inputs!$B$1+((Inputs!$G$5:$G$140&lt;&gt;"moeda")*(Inputs!$G$5:$G$140&lt;&gt;"acoes")))*INDEX(Inputs!$K$5:$AJ$140,0,MATCH(AI$2,Inputs!$K$4:$AJ$4,0)))+SUMPRODUCT((Inputs!$E$5:$E$140=$B37)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7" s="6" t="e">
        <f>IF(ISNA(MATCH(AJ$2,Inputs!$K$4:$AJ$4,0)),NA(),IF(SUMPRODUCT((Inputs!$A$5:$A$140=$B37)*ISNUMBER(INDEX(Inputs!$K$5:$AJ$140,0,MATCH(AJ$2,Inputs!$K$4:$AJ$4,0))))+SUMPRODUCT((Inputs!$C$5:$C$140=$B37)*ISNUMBER(INDEX(Inputs!$K$5:$AJ$140,0,MATCH(AJ$2,Inputs!$K$4:$AJ$4,0))))+SUMPRODUCT((Inputs!$E$5:$E$140=$B37)*ISNUMBER(INDEX(Inputs!$K$5:$AJ$140,0,MATCH(AJ$2,Inputs!$K$4:$AJ$4,0))))=0,NA(),SUMPRODUCT((Inputs!$A$5:$A$140=$B37)*Inputs!$B$5:$B$140*(((Inputs!$G$5:$G$140="moeda")+(Inputs!$G$5:$G$140="acoes"))*Inputs!$B$1+((Inputs!$G$5:$G$140&lt;&gt;"moeda")*(Inputs!$G$5:$G$140&lt;&gt;"acoes")))*INDEX(Inputs!$K$5:$AJ$140,0,MATCH(AJ$2,Inputs!$K$4:$AJ$4,0)))+SUMPRODUCT((Inputs!$C$5:$C$140=$B37)*Inputs!$D$5:$D$140*(((Inputs!$G$5:$G$140="moeda")+(Inputs!$G$5:$G$140="acoes"))*Inputs!$B$1+((Inputs!$G$5:$G$140&lt;&gt;"moeda")*(Inputs!$G$5:$G$140&lt;&gt;"acoes")))*INDEX(Inputs!$K$5:$AJ$140,0,MATCH(AJ$2,Inputs!$K$4:$AJ$4,0)))+SUMPRODUCT((Inputs!$E$5:$E$140=$B37)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7" s="6" t="e">
        <f>IF(ISNA(MATCH(AK$2,Inputs!$K$4:$AJ$4,0)),NA(),IF(SUMPRODUCT((Inputs!$A$5:$A$140=$B37)*ISNUMBER(INDEX(Inputs!$K$5:$AJ$140,0,MATCH(AK$2,Inputs!$K$4:$AJ$4,0))))+SUMPRODUCT((Inputs!$C$5:$C$140=$B37)*ISNUMBER(INDEX(Inputs!$K$5:$AJ$140,0,MATCH(AK$2,Inputs!$K$4:$AJ$4,0))))+SUMPRODUCT((Inputs!$E$5:$E$140=$B37)*ISNUMBER(INDEX(Inputs!$K$5:$AJ$140,0,MATCH(AK$2,Inputs!$K$4:$AJ$4,0))))=0,NA(),SUMPRODUCT((Inputs!$A$5:$A$140=$B37)*Inputs!$B$5:$B$140*(((Inputs!$G$5:$G$140="moeda")+(Inputs!$G$5:$G$140="acoes"))*Inputs!$B$1+((Inputs!$G$5:$G$140&lt;&gt;"moeda")*(Inputs!$G$5:$G$140&lt;&gt;"acoes")))*INDEX(Inputs!$K$5:$AJ$140,0,MATCH(AK$2,Inputs!$K$4:$AJ$4,0)))+SUMPRODUCT((Inputs!$C$5:$C$140=$B37)*Inputs!$D$5:$D$140*(((Inputs!$G$5:$G$140="moeda")+(Inputs!$G$5:$G$140="acoes"))*Inputs!$B$1+((Inputs!$G$5:$G$140&lt;&gt;"moeda")*(Inputs!$G$5:$G$140&lt;&gt;"acoes")))*INDEX(Inputs!$K$5:$AJ$140,0,MATCH(AK$2,Inputs!$K$4:$AJ$4,0)))+SUMPRODUCT((Inputs!$E$5:$E$140=$B37)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$140=$B38)*ISNUMBER(INDEX(Inputs!$K$5:$AJ$140,0,MATCH(D$2,Inputs!$K$4:$AJ$4,0))))+SUMPRODUCT((Inputs!$C$5:$C$140=$B38)*ISNUMBER(INDEX(Inputs!$K$5:$AJ$140,0,MATCH(D$2,Inputs!$K$4:$AJ$4,0))))+SUMPRODUCT((Inputs!$E$5:$E$140=$B38)*ISNUMBER(INDEX(Inputs!$K$5:$AJ$140,0,MATCH(D$2,Inputs!$K$4:$AJ$4,0))))=0,NA(),SUMPRODUCT((Inputs!$A$5:$A$140=$B38)*Inputs!$B$5:$B$140*(((Inputs!$G$5:$G$140="moeda")+(Inputs!$G$5:$G$140="acoes"))*Inputs!$B$1+((Inputs!$G$5:$G$140&lt;&gt;"moeda")*(Inputs!$G$5:$G$140&lt;&gt;"acoes")))*INDEX(Inputs!$K$5:$AJ$140,0,MATCH(D$2,Inputs!$K$4:$AJ$4,0)))+SUMPRODUCT((Inputs!$C$5:$C$140=$B38)*Inputs!$D$5:$D$140*(((Inputs!$G$5:$G$140="moeda")+(Inputs!$G$5:$G$140="acoes"))*Inputs!$B$1+((Inputs!$G$5:$G$140&lt;&gt;"moeda")*(Inputs!$G$5:$G$140&lt;&gt;"acoes")))*INDEX(Inputs!$K$5:$AJ$140,0,MATCH(D$2,Inputs!$K$4:$AJ$4,0)))+SUMPRODUCT((Inputs!$E$5:$E$140=$B38)*Inputs!$F$5:$F$140*(((Inputs!$G$5:$G$140="moeda")+(Inputs!$G$5:$G$140="acoes"))*Inputs!$B$1+((Inputs!$G$5:$G$140&lt;&gt;"moeda")*(Inputs!$G$5:$G$140&lt;&gt;"acoes")))*INDEX(Inputs!$K$5:$AJ$140,0,MATCH(D$2,Inputs!$K$4:$AJ$4,0)))))</f>
        <v>0</v>
      </c>
      <c r="E38" s="6">
        <f>IF(ISNA(MATCH(E$2,Inputs!$K$4:$AJ$4,0)),NA(),IF(SUMPRODUCT((Inputs!$A$5:$A$140=$B38)*ISNUMBER(INDEX(Inputs!$K$5:$AJ$140,0,MATCH(E$2,Inputs!$K$4:$AJ$4,0))))+SUMPRODUCT((Inputs!$C$5:$C$140=$B38)*ISNUMBER(INDEX(Inputs!$K$5:$AJ$140,0,MATCH(E$2,Inputs!$K$4:$AJ$4,0))))+SUMPRODUCT((Inputs!$E$5:$E$140=$B38)*ISNUMBER(INDEX(Inputs!$K$5:$AJ$140,0,MATCH(E$2,Inputs!$K$4:$AJ$4,0))))=0,NA(),SUMPRODUCT((Inputs!$A$5:$A$140=$B38)*Inputs!$B$5:$B$140*(((Inputs!$G$5:$G$140="moeda")+(Inputs!$G$5:$G$140="acoes"))*Inputs!$B$1+((Inputs!$G$5:$G$140&lt;&gt;"moeda")*(Inputs!$G$5:$G$140&lt;&gt;"acoes")))*INDEX(Inputs!$K$5:$AJ$140,0,MATCH(E$2,Inputs!$K$4:$AJ$4,0)))+SUMPRODUCT((Inputs!$C$5:$C$140=$B38)*Inputs!$D$5:$D$140*(((Inputs!$G$5:$G$140="moeda")+(Inputs!$G$5:$G$140="acoes"))*Inputs!$B$1+((Inputs!$G$5:$G$140&lt;&gt;"moeda")*(Inputs!$G$5:$G$140&lt;&gt;"acoes")))*INDEX(Inputs!$K$5:$AJ$140,0,MATCH(E$2,Inputs!$K$4:$AJ$4,0)))+SUMPRODUCT((Inputs!$E$5:$E$140=$B38)*Inputs!$F$5:$F$140*(((Inputs!$G$5:$G$140="moeda")+(Inputs!$G$5:$G$140="acoes"))*Inputs!$B$1+((Inputs!$G$5:$G$140&lt;&gt;"moeda")*(Inputs!$G$5:$G$140&lt;&gt;"acoes")))*INDEX(Inputs!$K$5:$AJ$140,0,MATCH(E$2,Inputs!$K$4:$AJ$4,0)))))</f>
        <v>0</v>
      </c>
      <c r="F38" s="6">
        <f>IF(ISNA(MATCH(F$2,Inputs!$K$4:$AJ$4,0)),NA(),IF(SUMPRODUCT((Inputs!$A$5:$A$140=$B38)*ISNUMBER(INDEX(Inputs!$K$5:$AJ$140,0,MATCH(F$2,Inputs!$K$4:$AJ$4,0))))+SUMPRODUCT((Inputs!$C$5:$C$140=$B38)*ISNUMBER(INDEX(Inputs!$K$5:$AJ$140,0,MATCH(F$2,Inputs!$K$4:$AJ$4,0))))+SUMPRODUCT((Inputs!$E$5:$E$140=$B38)*ISNUMBER(INDEX(Inputs!$K$5:$AJ$140,0,MATCH(F$2,Inputs!$K$4:$AJ$4,0))))=0,NA(),SUMPRODUCT((Inputs!$A$5:$A$140=$B38)*Inputs!$B$5:$B$140*(((Inputs!$G$5:$G$140="moeda")+(Inputs!$G$5:$G$140="acoes"))*Inputs!$B$1+((Inputs!$G$5:$G$140&lt;&gt;"moeda")*(Inputs!$G$5:$G$140&lt;&gt;"acoes")))*INDEX(Inputs!$K$5:$AJ$140,0,MATCH(F$2,Inputs!$K$4:$AJ$4,0)))+SUMPRODUCT((Inputs!$C$5:$C$140=$B38)*Inputs!$D$5:$D$140*(((Inputs!$G$5:$G$140="moeda")+(Inputs!$G$5:$G$140="acoes"))*Inputs!$B$1+((Inputs!$G$5:$G$140&lt;&gt;"moeda")*(Inputs!$G$5:$G$140&lt;&gt;"acoes")))*INDEX(Inputs!$K$5:$AJ$140,0,MATCH(F$2,Inputs!$K$4:$AJ$4,0)))+SUMPRODUCT((Inputs!$E$5:$E$140=$B38)*Inputs!$F$5:$F$140*(((Inputs!$G$5:$G$140="moeda")+(Inputs!$G$5:$G$140="acoes"))*Inputs!$B$1+((Inputs!$G$5:$G$140&lt;&gt;"moeda")*(Inputs!$G$5:$G$140&lt;&gt;"acoes")))*INDEX(Inputs!$K$5:$AJ$140,0,MATCH(F$2,Inputs!$K$4:$AJ$4,0)))))</f>
        <v>0</v>
      </c>
      <c r="G38" s="6">
        <f>IF(ISNA(MATCH(G$2,Inputs!$K$4:$AJ$4,0)),NA(),IF(SUMPRODUCT((Inputs!$A$5:$A$140=$B38)*ISNUMBER(INDEX(Inputs!$K$5:$AJ$140,0,MATCH(G$2,Inputs!$K$4:$AJ$4,0))))+SUMPRODUCT((Inputs!$C$5:$C$140=$B38)*ISNUMBER(INDEX(Inputs!$K$5:$AJ$140,0,MATCH(G$2,Inputs!$K$4:$AJ$4,0))))+SUMPRODUCT((Inputs!$E$5:$E$140=$B38)*ISNUMBER(INDEX(Inputs!$K$5:$AJ$140,0,MATCH(G$2,Inputs!$K$4:$AJ$4,0))))=0,NA(),SUMPRODUCT((Inputs!$A$5:$A$140=$B38)*Inputs!$B$5:$B$140*(((Inputs!$G$5:$G$140="moeda")+(Inputs!$G$5:$G$140="acoes"))*Inputs!$B$1+((Inputs!$G$5:$G$140&lt;&gt;"moeda")*(Inputs!$G$5:$G$140&lt;&gt;"acoes")))*INDEX(Inputs!$K$5:$AJ$140,0,MATCH(G$2,Inputs!$K$4:$AJ$4,0)))+SUMPRODUCT((Inputs!$C$5:$C$140=$B38)*Inputs!$D$5:$D$140*(((Inputs!$G$5:$G$140="moeda")+(Inputs!$G$5:$G$140="acoes"))*Inputs!$B$1+((Inputs!$G$5:$G$140&lt;&gt;"moeda")*(Inputs!$G$5:$G$140&lt;&gt;"acoes")))*INDEX(Inputs!$K$5:$AJ$140,0,MATCH(G$2,Inputs!$K$4:$AJ$4,0)))+SUMPRODUCT((Inputs!$E$5:$E$140=$B38)*Inputs!$F$5:$F$140*(((Inputs!$G$5:$G$140="moeda")+(Inputs!$G$5:$G$140="acoes"))*Inputs!$B$1+((Inputs!$G$5:$G$140&lt;&gt;"moeda")*(Inputs!$G$5:$G$140&lt;&gt;"acoes")))*INDEX(Inputs!$K$5:$AJ$140,0,MATCH(G$2,Inputs!$K$4:$AJ$4,0)))))</f>
        <v>0</v>
      </c>
      <c r="H38" s="3">
        <f>G38</f>
        <v>0</v>
      </c>
      <c r="I38" s="6">
        <f>IF(ISNA(MATCH(I$2,Inputs!$K$4:$AJ$4,0)),NA(),IF(SUMPRODUCT((Inputs!$A$5:$A$140=$B38)*ISNUMBER(INDEX(Inputs!$K$5:$AJ$140,0,MATCH(I$2,Inputs!$K$4:$AJ$4,0))))+SUMPRODUCT((Inputs!$C$5:$C$140=$B38)*ISNUMBER(INDEX(Inputs!$K$5:$AJ$140,0,MATCH(I$2,Inputs!$K$4:$AJ$4,0))))+SUMPRODUCT((Inputs!$E$5:$E$140=$B38)*ISNUMBER(INDEX(Inputs!$K$5:$AJ$140,0,MATCH(I$2,Inputs!$K$4:$AJ$4,0))))=0,NA(),SUMPRODUCT((Inputs!$A$5:$A$140=$B38)*Inputs!$B$5:$B$140*(((Inputs!$G$5:$G$140="moeda")+(Inputs!$G$5:$G$140="acoes"))*Inputs!$B$1+((Inputs!$G$5:$G$140&lt;&gt;"moeda")*(Inputs!$G$5:$G$140&lt;&gt;"acoes")))*INDEX(Inputs!$K$5:$AJ$140,0,MATCH(I$2,Inputs!$K$4:$AJ$4,0)))+SUMPRODUCT((Inputs!$C$5:$C$140=$B38)*Inputs!$D$5:$D$140*(((Inputs!$G$5:$G$140="moeda")+(Inputs!$G$5:$G$140="acoes"))*Inputs!$B$1+((Inputs!$G$5:$G$140&lt;&gt;"moeda")*(Inputs!$G$5:$G$140&lt;&gt;"acoes")))*INDEX(Inputs!$K$5:$AJ$140,0,MATCH(I$2,Inputs!$K$4:$AJ$4,0)))+SUMPRODUCT((Inputs!$E$5:$E$140=$B38)*Inputs!$F$5:$F$140*(((Inputs!$G$5:$G$140="moeda")+(Inputs!$G$5:$G$140="acoes"))*Inputs!$B$1+((Inputs!$G$5:$G$140&lt;&gt;"moeda")*(Inputs!$G$5:$G$140&lt;&gt;"acoes")))*INDEX(Inputs!$K$5:$AJ$140,0,MATCH(I$2,Inputs!$K$4:$AJ$4,0)))))</f>
        <v>0</v>
      </c>
      <c r="J38" s="6">
        <f>IF(ISNA(MATCH(J$2,Inputs!$K$4:$AJ$4,0)),NA(),IF(SUMPRODUCT((Inputs!$A$5:$A$140=$B38)*ISNUMBER(INDEX(Inputs!$K$5:$AJ$140,0,MATCH(J$2,Inputs!$K$4:$AJ$4,0))))+SUMPRODUCT((Inputs!$C$5:$C$140=$B38)*ISNUMBER(INDEX(Inputs!$K$5:$AJ$140,0,MATCH(J$2,Inputs!$K$4:$AJ$4,0))))+SUMPRODUCT((Inputs!$E$5:$E$140=$B38)*ISNUMBER(INDEX(Inputs!$K$5:$AJ$140,0,MATCH(J$2,Inputs!$K$4:$AJ$4,0))))=0,NA(),SUMPRODUCT((Inputs!$A$5:$A$140=$B38)*Inputs!$B$5:$B$140*(((Inputs!$G$5:$G$140="moeda")+(Inputs!$G$5:$G$140="acoes"))*Inputs!$B$1+((Inputs!$G$5:$G$140&lt;&gt;"moeda")*(Inputs!$G$5:$G$140&lt;&gt;"acoes")))*INDEX(Inputs!$K$5:$AJ$140,0,MATCH(J$2,Inputs!$K$4:$AJ$4,0)))+SUMPRODUCT((Inputs!$C$5:$C$140=$B38)*Inputs!$D$5:$D$140*(((Inputs!$G$5:$G$140="moeda")+(Inputs!$G$5:$G$140="acoes"))*Inputs!$B$1+((Inputs!$G$5:$G$140&lt;&gt;"moeda")*(Inputs!$G$5:$G$140&lt;&gt;"acoes")))*INDEX(Inputs!$K$5:$AJ$140,0,MATCH(J$2,Inputs!$K$4:$AJ$4,0)))+SUMPRODUCT((Inputs!$E$5:$E$140=$B38)*Inputs!$F$5:$F$140*(((Inputs!$G$5:$G$140="moeda")+(Inputs!$G$5:$G$140="acoes"))*Inputs!$B$1+((Inputs!$G$5:$G$140&lt;&gt;"moeda")*(Inputs!$G$5:$G$140&lt;&gt;"acoes")))*INDEX(Inputs!$K$5:$AJ$140,0,MATCH(J$2,Inputs!$K$4:$AJ$4,0)))))</f>
        <v>0</v>
      </c>
      <c r="K38" s="6">
        <f>IF(ISNA(MATCH(K$2,Inputs!$K$4:$AJ$4,0)),NA(),IF(SUMPRODUCT((Inputs!$A$5:$A$140=$B38)*ISNUMBER(INDEX(Inputs!$K$5:$AJ$140,0,MATCH(K$2,Inputs!$K$4:$AJ$4,0))))+SUMPRODUCT((Inputs!$C$5:$C$140=$B38)*ISNUMBER(INDEX(Inputs!$K$5:$AJ$140,0,MATCH(K$2,Inputs!$K$4:$AJ$4,0))))+SUMPRODUCT((Inputs!$E$5:$E$140=$B38)*ISNUMBER(INDEX(Inputs!$K$5:$AJ$140,0,MATCH(K$2,Inputs!$K$4:$AJ$4,0))))=0,NA(),SUMPRODUCT((Inputs!$A$5:$A$140=$B38)*Inputs!$B$5:$B$140*(((Inputs!$G$5:$G$140="moeda")+(Inputs!$G$5:$G$140="acoes"))*Inputs!$B$1+((Inputs!$G$5:$G$140&lt;&gt;"moeda")*(Inputs!$G$5:$G$140&lt;&gt;"acoes")))*INDEX(Inputs!$K$5:$AJ$140,0,MATCH(K$2,Inputs!$K$4:$AJ$4,0)))+SUMPRODUCT((Inputs!$C$5:$C$140=$B38)*Inputs!$D$5:$D$140*(((Inputs!$G$5:$G$140="moeda")+(Inputs!$G$5:$G$140="acoes"))*Inputs!$B$1+((Inputs!$G$5:$G$140&lt;&gt;"moeda")*(Inputs!$G$5:$G$140&lt;&gt;"acoes")))*INDEX(Inputs!$K$5:$AJ$140,0,MATCH(K$2,Inputs!$K$4:$AJ$4,0)))+SUMPRODUCT((Inputs!$E$5:$E$140=$B38)*Inputs!$F$5:$F$140*(((Inputs!$G$5:$G$140="moeda")+(Inputs!$G$5:$G$140="acoes"))*Inputs!$B$1+((Inputs!$G$5:$G$140&lt;&gt;"moeda")*(Inputs!$G$5:$G$140&lt;&gt;"acoes")))*INDEX(Inputs!$K$5:$AJ$140,0,MATCH(K$2,Inputs!$K$4:$AJ$4,0)))))</f>
        <v>0</v>
      </c>
      <c r="L38" s="6">
        <f>IF(ISNA(MATCH(L$2,Inputs!$K$4:$AJ$4,0)),NA(),IF(SUMPRODUCT((Inputs!$A$5:$A$140=$B38)*ISNUMBER(INDEX(Inputs!$K$5:$AJ$140,0,MATCH(L$2,Inputs!$K$4:$AJ$4,0))))+SUMPRODUCT((Inputs!$C$5:$C$140=$B38)*ISNUMBER(INDEX(Inputs!$K$5:$AJ$140,0,MATCH(L$2,Inputs!$K$4:$AJ$4,0))))+SUMPRODUCT((Inputs!$E$5:$E$140=$B38)*ISNUMBER(INDEX(Inputs!$K$5:$AJ$140,0,MATCH(L$2,Inputs!$K$4:$AJ$4,0))))=0,NA(),SUMPRODUCT((Inputs!$A$5:$A$140=$B38)*Inputs!$B$5:$B$140*(((Inputs!$G$5:$G$140="moeda")+(Inputs!$G$5:$G$140="acoes"))*Inputs!$B$1+((Inputs!$G$5:$G$140&lt;&gt;"moeda")*(Inputs!$G$5:$G$140&lt;&gt;"acoes")))*INDEX(Inputs!$K$5:$AJ$140,0,MATCH(L$2,Inputs!$K$4:$AJ$4,0)))+SUMPRODUCT((Inputs!$C$5:$C$140=$B38)*Inputs!$D$5:$D$140*(((Inputs!$G$5:$G$140="moeda")+(Inputs!$G$5:$G$140="acoes"))*Inputs!$B$1+((Inputs!$G$5:$G$140&lt;&gt;"moeda")*(Inputs!$G$5:$G$140&lt;&gt;"acoes")))*INDEX(Inputs!$K$5:$AJ$140,0,MATCH(L$2,Inputs!$K$4:$AJ$4,0)))+SUMPRODUCT((Inputs!$E$5:$E$140=$B38)*Inputs!$F$5:$F$140*(((Inputs!$G$5:$G$140="moeda")+(Inputs!$G$5:$G$140="acoes"))*Inputs!$B$1+((Inputs!$G$5:$G$140&lt;&gt;"moeda")*(Inputs!$G$5:$G$140&lt;&gt;"acoes")))*INDEX(Inputs!$K$5:$AJ$140,0,MATCH(L$2,Inputs!$K$4:$AJ$4,0)))))</f>
        <v>0</v>
      </c>
      <c r="M38" s="3">
        <f>L38</f>
        <v>0</v>
      </c>
      <c r="N38" s="6">
        <f>IF(ISNA(MATCH(N$2,Inputs!$K$4:$AJ$4,0)),NA(),IF(SUMPRODUCT((Inputs!$A$5:$A$140=$B38)*ISNUMBER(INDEX(Inputs!$K$5:$AJ$140,0,MATCH(N$2,Inputs!$K$4:$AJ$4,0))))+SUMPRODUCT((Inputs!$C$5:$C$140=$B38)*ISNUMBER(INDEX(Inputs!$K$5:$AJ$140,0,MATCH(N$2,Inputs!$K$4:$AJ$4,0))))+SUMPRODUCT((Inputs!$E$5:$E$140=$B38)*ISNUMBER(INDEX(Inputs!$K$5:$AJ$140,0,MATCH(N$2,Inputs!$K$4:$AJ$4,0))))=0,NA(),SUMPRODUCT((Inputs!$A$5:$A$140=$B38)*Inputs!$B$5:$B$140*(((Inputs!$G$5:$G$140="moeda")+(Inputs!$G$5:$G$140="acoes"))*Inputs!$B$1+((Inputs!$G$5:$G$140&lt;&gt;"moeda")*(Inputs!$G$5:$G$140&lt;&gt;"acoes")))*INDEX(Inputs!$K$5:$AJ$140,0,MATCH(N$2,Inputs!$K$4:$AJ$4,0)))+SUMPRODUCT((Inputs!$C$5:$C$140=$B38)*Inputs!$D$5:$D$140*(((Inputs!$G$5:$G$140="moeda")+(Inputs!$G$5:$G$140="acoes"))*Inputs!$B$1+((Inputs!$G$5:$G$140&lt;&gt;"moeda")*(Inputs!$G$5:$G$140&lt;&gt;"acoes")))*INDEX(Inputs!$K$5:$AJ$140,0,MATCH(N$2,Inputs!$K$4:$AJ$4,0)))+SUMPRODUCT((Inputs!$E$5:$E$140=$B38)*Inputs!$F$5:$F$140*(((Inputs!$G$5:$G$140="moeda")+(Inputs!$G$5:$G$140="acoes"))*Inputs!$B$1+((Inputs!$G$5:$G$140&lt;&gt;"moeda")*(Inputs!$G$5:$G$140&lt;&gt;"acoes")))*INDEX(Inputs!$K$5:$AJ$140,0,MATCH(N$2,Inputs!$K$4:$AJ$4,0)))))</f>
        <v>0</v>
      </c>
      <c r="O38" s="6">
        <f>IF(ISNA(MATCH(O$2,Inputs!$K$4:$AJ$4,0)),NA(),IF(SUMPRODUCT((Inputs!$A$5:$A$140=$B38)*ISNUMBER(INDEX(Inputs!$K$5:$AJ$140,0,MATCH(O$2,Inputs!$K$4:$AJ$4,0))))+SUMPRODUCT((Inputs!$C$5:$C$140=$B38)*ISNUMBER(INDEX(Inputs!$K$5:$AJ$140,0,MATCH(O$2,Inputs!$K$4:$AJ$4,0))))+SUMPRODUCT((Inputs!$E$5:$E$140=$B38)*ISNUMBER(INDEX(Inputs!$K$5:$AJ$140,0,MATCH(O$2,Inputs!$K$4:$AJ$4,0))))=0,NA(),SUMPRODUCT((Inputs!$A$5:$A$140=$B38)*Inputs!$B$5:$B$140*(((Inputs!$G$5:$G$140="moeda")+(Inputs!$G$5:$G$140="acoes"))*Inputs!$B$1+((Inputs!$G$5:$G$140&lt;&gt;"moeda")*(Inputs!$G$5:$G$140&lt;&gt;"acoes")))*INDEX(Inputs!$K$5:$AJ$140,0,MATCH(O$2,Inputs!$K$4:$AJ$4,0)))+SUMPRODUCT((Inputs!$C$5:$C$140=$B38)*Inputs!$D$5:$D$140*(((Inputs!$G$5:$G$140="moeda")+(Inputs!$G$5:$G$140="acoes"))*Inputs!$B$1+((Inputs!$G$5:$G$140&lt;&gt;"moeda")*(Inputs!$G$5:$G$140&lt;&gt;"acoes")))*INDEX(Inputs!$K$5:$AJ$140,0,MATCH(O$2,Inputs!$K$4:$AJ$4,0)))+SUMPRODUCT((Inputs!$E$5:$E$140=$B38)*Inputs!$F$5:$F$140*(((Inputs!$G$5:$G$140="moeda")+(Inputs!$G$5:$G$140="acoes"))*Inputs!$B$1+((Inputs!$G$5:$G$140&lt;&gt;"moeda")*(Inputs!$G$5:$G$140&lt;&gt;"acoes")))*INDEX(Inputs!$K$5:$AJ$140,0,MATCH(O$2,Inputs!$K$4:$AJ$4,0)))))</f>
        <v>0</v>
      </c>
      <c r="P38" s="6">
        <f>IF(ISNA(MATCH(P$2,Inputs!$K$4:$AJ$4,0)),NA(),IF(SUMPRODUCT((Inputs!$A$5:$A$140=$B38)*ISNUMBER(INDEX(Inputs!$K$5:$AJ$140,0,MATCH(P$2,Inputs!$K$4:$AJ$4,0))))+SUMPRODUCT((Inputs!$C$5:$C$140=$B38)*ISNUMBER(INDEX(Inputs!$K$5:$AJ$140,0,MATCH(P$2,Inputs!$K$4:$AJ$4,0))))+SUMPRODUCT((Inputs!$E$5:$E$140=$B38)*ISNUMBER(INDEX(Inputs!$K$5:$AJ$140,0,MATCH(P$2,Inputs!$K$4:$AJ$4,0))))=0,NA(),SUMPRODUCT((Inputs!$A$5:$A$140=$B38)*Inputs!$B$5:$B$140*(((Inputs!$G$5:$G$140="moeda")+(Inputs!$G$5:$G$140="acoes"))*Inputs!$B$1+((Inputs!$G$5:$G$140&lt;&gt;"moeda")*(Inputs!$G$5:$G$140&lt;&gt;"acoes")))*INDEX(Inputs!$K$5:$AJ$140,0,MATCH(P$2,Inputs!$K$4:$AJ$4,0)))+SUMPRODUCT((Inputs!$C$5:$C$140=$B38)*Inputs!$D$5:$D$140*(((Inputs!$G$5:$G$140="moeda")+(Inputs!$G$5:$G$140="acoes"))*Inputs!$B$1+((Inputs!$G$5:$G$140&lt;&gt;"moeda")*(Inputs!$G$5:$G$140&lt;&gt;"acoes")))*INDEX(Inputs!$K$5:$AJ$140,0,MATCH(P$2,Inputs!$K$4:$AJ$4,0)))+SUMPRODUCT((Inputs!$E$5:$E$140=$B38)*Inputs!$F$5:$F$140*(((Inputs!$G$5:$G$140="moeda")+(Inputs!$G$5:$G$140="acoes"))*Inputs!$B$1+((Inputs!$G$5:$G$140&lt;&gt;"moeda")*(Inputs!$G$5:$G$140&lt;&gt;"acoes")))*INDEX(Inputs!$K$5:$AJ$140,0,MATCH(P$2,Inputs!$K$4:$AJ$4,0)))))</f>
        <v>0</v>
      </c>
      <c r="Q38" s="6">
        <f>IF(ISNA(MATCH(Q$2,Inputs!$K$4:$AJ$4,0)),NA(),IF(SUMPRODUCT((Inputs!$A$5:$A$140=$B38)*ISNUMBER(INDEX(Inputs!$K$5:$AJ$140,0,MATCH(Q$2,Inputs!$K$4:$AJ$4,0))))+SUMPRODUCT((Inputs!$C$5:$C$140=$B38)*ISNUMBER(INDEX(Inputs!$K$5:$AJ$140,0,MATCH(Q$2,Inputs!$K$4:$AJ$4,0))))+SUMPRODUCT((Inputs!$E$5:$E$140=$B38)*ISNUMBER(INDEX(Inputs!$K$5:$AJ$140,0,MATCH(Q$2,Inputs!$K$4:$AJ$4,0))))=0,NA(),SUMPRODUCT((Inputs!$A$5:$A$140=$B38)*Inputs!$B$5:$B$140*(((Inputs!$G$5:$G$140="moeda")+(Inputs!$G$5:$G$140="acoes"))*Inputs!$B$1+((Inputs!$G$5:$G$140&lt;&gt;"moeda")*(Inputs!$G$5:$G$140&lt;&gt;"acoes")))*INDEX(Inputs!$K$5:$AJ$140,0,MATCH(Q$2,Inputs!$K$4:$AJ$4,0)))+SUMPRODUCT((Inputs!$C$5:$C$140=$B38)*Inputs!$D$5:$D$140*(((Inputs!$G$5:$G$140="moeda")+(Inputs!$G$5:$G$140="acoes"))*Inputs!$B$1+((Inputs!$G$5:$G$140&lt;&gt;"moeda")*(Inputs!$G$5:$G$140&lt;&gt;"acoes")))*INDEX(Inputs!$K$5:$AJ$140,0,MATCH(Q$2,Inputs!$K$4:$AJ$4,0)))+SUMPRODUCT((Inputs!$E$5:$E$140=$B38)*Inputs!$F$5:$F$140*(((Inputs!$G$5:$G$140="moeda")+(Inputs!$G$5:$G$140="acoes"))*Inputs!$B$1+((Inputs!$G$5:$G$140&lt;&gt;"moeda")*(Inputs!$G$5:$G$140&lt;&gt;"acoes")))*INDEX(Inputs!$K$5:$AJ$140,0,MATCH(Q$2,Inputs!$K$4:$AJ$4,0)))))</f>
        <v>0</v>
      </c>
      <c r="R38" s="3">
        <f>Q38</f>
        <v>0</v>
      </c>
      <c r="S38" s="6">
        <f>IF(ISNA(MATCH(S$2,Inputs!$K$4:$AJ$4,0)),NA(),IF(SUMPRODUCT((Inputs!$A$5:$A$140=$B38)*ISNUMBER(INDEX(Inputs!$K$5:$AJ$140,0,MATCH(S$2,Inputs!$K$4:$AJ$4,0))))+SUMPRODUCT((Inputs!$C$5:$C$140=$B38)*ISNUMBER(INDEX(Inputs!$K$5:$AJ$140,0,MATCH(S$2,Inputs!$K$4:$AJ$4,0))))+SUMPRODUCT((Inputs!$E$5:$E$140=$B38)*ISNUMBER(INDEX(Inputs!$K$5:$AJ$140,0,MATCH(S$2,Inputs!$K$4:$AJ$4,0))))=0,NA(),SUMPRODUCT((Inputs!$A$5:$A$140=$B38)*Inputs!$B$5:$B$140*(((Inputs!$G$5:$G$140="moeda")+(Inputs!$G$5:$G$140="acoes"))*Inputs!$B$1+((Inputs!$G$5:$G$140&lt;&gt;"moeda")*(Inputs!$G$5:$G$140&lt;&gt;"acoes")))*INDEX(Inputs!$K$5:$AJ$140,0,MATCH(S$2,Inputs!$K$4:$AJ$4,0)))+SUMPRODUCT((Inputs!$C$5:$C$140=$B38)*Inputs!$D$5:$D$140*(((Inputs!$G$5:$G$140="moeda")+(Inputs!$G$5:$G$140="acoes"))*Inputs!$B$1+((Inputs!$G$5:$G$140&lt;&gt;"moeda")*(Inputs!$G$5:$G$140&lt;&gt;"acoes")))*INDEX(Inputs!$K$5:$AJ$140,0,MATCH(S$2,Inputs!$K$4:$AJ$4,0)))+SUMPRODUCT((Inputs!$E$5:$E$140=$B38)*Inputs!$F$5:$F$140*(((Inputs!$G$5:$G$140="moeda")+(Inputs!$G$5:$G$140="acoes"))*Inputs!$B$1+((Inputs!$G$5:$G$140&lt;&gt;"moeda")*(Inputs!$G$5:$G$140&lt;&gt;"acoes")))*INDEX(Inputs!$K$5:$AJ$140,0,MATCH(S$2,Inputs!$K$4:$AJ$4,0)))))</f>
        <v>0</v>
      </c>
      <c r="T38" s="6">
        <f>IF(ISNA(MATCH(T$2,Inputs!$K$4:$AJ$4,0)),NA(),IF(SUMPRODUCT((Inputs!$A$5:$A$140=$B38)*ISNUMBER(INDEX(Inputs!$K$5:$AJ$140,0,MATCH(T$2,Inputs!$K$4:$AJ$4,0))))+SUMPRODUCT((Inputs!$C$5:$C$140=$B38)*ISNUMBER(INDEX(Inputs!$K$5:$AJ$140,0,MATCH(T$2,Inputs!$K$4:$AJ$4,0))))+SUMPRODUCT((Inputs!$E$5:$E$140=$B38)*ISNUMBER(INDEX(Inputs!$K$5:$AJ$140,0,MATCH(T$2,Inputs!$K$4:$AJ$4,0))))=0,NA(),SUMPRODUCT((Inputs!$A$5:$A$140=$B38)*Inputs!$B$5:$B$140*(((Inputs!$G$5:$G$140="moeda")+(Inputs!$G$5:$G$140="acoes"))*Inputs!$B$1+((Inputs!$G$5:$G$140&lt;&gt;"moeda")*(Inputs!$G$5:$G$140&lt;&gt;"acoes")))*INDEX(Inputs!$K$5:$AJ$140,0,MATCH(T$2,Inputs!$K$4:$AJ$4,0)))+SUMPRODUCT((Inputs!$C$5:$C$140=$B38)*Inputs!$D$5:$D$140*(((Inputs!$G$5:$G$140="moeda")+(Inputs!$G$5:$G$140="acoes"))*Inputs!$B$1+((Inputs!$G$5:$G$140&lt;&gt;"moeda")*(Inputs!$G$5:$G$140&lt;&gt;"acoes")))*INDEX(Inputs!$K$5:$AJ$140,0,MATCH(T$2,Inputs!$K$4:$AJ$4,0)))+SUMPRODUCT((Inputs!$E$5:$E$140=$B38)*Inputs!$F$5:$F$140*(((Inputs!$G$5:$G$140="moeda")+(Inputs!$G$5:$G$140="acoes"))*Inputs!$B$1+((Inputs!$G$5:$G$140&lt;&gt;"moeda")*(Inputs!$G$5:$G$140&lt;&gt;"acoes")))*INDEX(Inputs!$K$5:$AJ$140,0,MATCH(T$2,Inputs!$K$4:$AJ$4,0)))))</f>
        <v>0</v>
      </c>
      <c r="U38" s="6">
        <f>IF(ISNA(MATCH(U$2,Inputs!$K$4:$AJ$4,0)),NA(),IF(SUMPRODUCT((Inputs!$A$5:$A$140=$B38)*ISNUMBER(INDEX(Inputs!$K$5:$AJ$140,0,MATCH(U$2,Inputs!$K$4:$AJ$4,0))))+SUMPRODUCT((Inputs!$C$5:$C$140=$B38)*ISNUMBER(INDEX(Inputs!$K$5:$AJ$140,0,MATCH(U$2,Inputs!$K$4:$AJ$4,0))))+SUMPRODUCT((Inputs!$E$5:$E$140=$B38)*ISNUMBER(INDEX(Inputs!$K$5:$AJ$140,0,MATCH(U$2,Inputs!$K$4:$AJ$4,0))))=0,NA(),SUMPRODUCT((Inputs!$A$5:$A$140=$B38)*Inputs!$B$5:$B$140*(((Inputs!$G$5:$G$140="moeda")+(Inputs!$G$5:$G$140="acoes"))*Inputs!$B$1+((Inputs!$G$5:$G$140&lt;&gt;"moeda")*(Inputs!$G$5:$G$140&lt;&gt;"acoes")))*INDEX(Inputs!$K$5:$AJ$140,0,MATCH(U$2,Inputs!$K$4:$AJ$4,0)))+SUMPRODUCT((Inputs!$C$5:$C$140=$B38)*Inputs!$D$5:$D$140*(((Inputs!$G$5:$G$140="moeda")+(Inputs!$G$5:$G$140="acoes"))*Inputs!$B$1+((Inputs!$G$5:$G$140&lt;&gt;"moeda")*(Inputs!$G$5:$G$140&lt;&gt;"acoes")))*INDEX(Inputs!$K$5:$AJ$140,0,MATCH(U$2,Inputs!$K$4:$AJ$4,0)))+SUMPRODUCT((Inputs!$E$5:$E$140=$B38)*Inputs!$F$5:$F$140*(((Inputs!$G$5:$G$140="moeda")+(Inputs!$G$5:$G$140="acoes"))*Inputs!$B$1+((Inputs!$G$5:$G$140&lt;&gt;"moeda")*(Inputs!$G$5:$G$140&lt;&gt;"acoes")))*INDEX(Inputs!$K$5:$AJ$140,0,MATCH(U$2,Inputs!$K$4:$AJ$4,0)))))</f>
        <v>0</v>
      </c>
      <c r="V38" s="6">
        <f>IF(ISNA(MATCH(V$2,Inputs!$K$4:$AJ$4,0)),NA(),IF(SUMPRODUCT((Inputs!$A$5:$A$140=$B38)*ISNUMBER(INDEX(Inputs!$K$5:$AJ$140,0,MATCH(V$2,Inputs!$K$4:$AJ$4,0))))+SUMPRODUCT((Inputs!$C$5:$C$140=$B38)*ISNUMBER(INDEX(Inputs!$K$5:$AJ$140,0,MATCH(V$2,Inputs!$K$4:$AJ$4,0))))+SUMPRODUCT((Inputs!$E$5:$E$140=$B38)*ISNUMBER(INDEX(Inputs!$K$5:$AJ$140,0,MATCH(V$2,Inputs!$K$4:$AJ$4,0))))=0,NA(),SUMPRODUCT((Inputs!$A$5:$A$140=$B38)*Inputs!$B$5:$B$140*(((Inputs!$G$5:$G$140="moeda")+(Inputs!$G$5:$G$140="acoes"))*Inputs!$B$1+((Inputs!$G$5:$G$140&lt;&gt;"moeda")*(Inputs!$G$5:$G$140&lt;&gt;"acoes")))*INDEX(Inputs!$K$5:$AJ$140,0,MATCH(V$2,Inputs!$K$4:$AJ$4,0)))+SUMPRODUCT((Inputs!$C$5:$C$140=$B38)*Inputs!$D$5:$D$140*(((Inputs!$G$5:$G$140="moeda")+(Inputs!$G$5:$G$140="acoes"))*Inputs!$B$1+((Inputs!$G$5:$G$140&lt;&gt;"moeda")*(Inputs!$G$5:$G$140&lt;&gt;"acoes")))*INDEX(Inputs!$K$5:$AJ$140,0,MATCH(V$2,Inputs!$K$4:$AJ$4,0)))+SUMPRODUCT((Inputs!$E$5:$E$140=$B38)*Inputs!$F$5:$F$140*(((Inputs!$G$5:$G$140="moeda")+(Inputs!$G$5:$G$140="acoes"))*Inputs!$B$1+((Inputs!$G$5:$G$140&lt;&gt;"moeda")*(Inputs!$G$5:$G$140&lt;&gt;"acoes")))*INDEX(Inputs!$K$5:$AJ$140,0,MATCH(V$2,Inputs!$K$4:$AJ$4,0)))))</f>
        <v>0</v>
      </c>
      <c r="W38" s="3">
        <f>V38</f>
        <v>0</v>
      </c>
      <c r="X38" s="6">
        <f>IF(ISNA(MATCH(X$2,Inputs!$K$4:$AJ$4,0)),NA(),IF(SUMPRODUCT((Inputs!$A$5:$A$140=$B38)*ISNUMBER(INDEX(Inputs!$K$5:$AJ$140,0,MATCH(X$2,Inputs!$K$4:$AJ$4,0))))+SUMPRODUCT((Inputs!$C$5:$C$140=$B38)*ISNUMBER(INDEX(Inputs!$K$5:$AJ$140,0,MATCH(X$2,Inputs!$K$4:$AJ$4,0))))+SUMPRODUCT((Inputs!$E$5:$E$140=$B38)*ISNUMBER(INDEX(Inputs!$K$5:$AJ$140,0,MATCH(X$2,Inputs!$K$4:$AJ$4,0))))=0,NA(),SUMPRODUCT((Inputs!$A$5:$A$140=$B38)*Inputs!$B$5:$B$140*(((Inputs!$G$5:$G$140="moeda")+(Inputs!$G$5:$G$140="acoes"))*Inputs!$B$1+((Inputs!$G$5:$G$140&lt;&gt;"moeda")*(Inputs!$G$5:$G$140&lt;&gt;"acoes")))*INDEX(Inputs!$K$5:$AJ$140,0,MATCH(X$2,Inputs!$K$4:$AJ$4,0)))+SUMPRODUCT((Inputs!$C$5:$C$140=$B38)*Inputs!$D$5:$D$140*(((Inputs!$G$5:$G$140="moeda")+(Inputs!$G$5:$G$140="acoes"))*Inputs!$B$1+((Inputs!$G$5:$G$140&lt;&gt;"moeda")*(Inputs!$G$5:$G$140&lt;&gt;"acoes")))*INDEX(Inputs!$K$5:$AJ$140,0,MATCH(X$2,Inputs!$K$4:$AJ$4,0)))+SUMPRODUCT((Inputs!$E$5:$E$140=$B38)*Inputs!$F$5:$F$140*(((Inputs!$G$5:$G$140="moeda")+(Inputs!$G$5:$G$140="acoes"))*Inputs!$B$1+((Inputs!$G$5:$G$140&lt;&gt;"moeda")*(Inputs!$G$5:$G$140&lt;&gt;"acoes")))*INDEX(Inputs!$K$5:$AJ$140,0,MATCH(X$2,Inputs!$K$4:$AJ$4,0)))))</f>
        <v>0</v>
      </c>
      <c r="Y38" s="6">
        <f>IF(ISNA(MATCH(Y$2,Inputs!$K$4:$AJ$4,0)),NA(),IF(SUMPRODUCT((Inputs!$A$5:$A$140=$B38)*ISNUMBER(INDEX(Inputs!$K$5:$AJ$140,0,MATCH(Y$2,Inputs!$K$4:$AJ$4,0))))+SUMPRODUCT((Inputs!$C$5:$C$140=$B38)*ISNUMBER(INDEX(Inputs!$K$5:$AJ$140,0,MATCH(Y$2,Inputs!$K$4:$AJ$4,0))))+SUMPRODUCT((Inputs!$E$5:$E$140=$B38)*ISNUMBER(INDEX(Inputs!$K$5:$AJ$140,0,MATCH(Y$2,Inputs!$K$4:$AJ$4,0))))=0,NA(),SUMPRODUCT((Inputs!$A$5:$A$140=$B38)*Inputs!$B$5:$B$140*(((Inputs!$G$5:$G$140="moeda")+(Inputs!$G$5:$G$140="acoes"))*Inputs!$B$1+((Inputs!$G$5:$G$140&lt;&gt;"moeda")*(Inputs!$G$5:$G$140&lt;&gt;"acoes")))*INDEX(Inputs!$K$5:$AJ$140,0,MATCH(Y$2,Inputs!$K$4:$AJ$4,0)))+SUMPRODUCT((Inputs!$C$5:$C$140=$B38)*Inputs!$D$5:$D$140*(((Inputs!$G$5:$G$140="moeda")+(Inputs!$G$5:$G$140="acoes"))*Inputs!$B$1+((Inputs!$G$5:$G$140&lt;&gt;"moeda")*(Inputs!$G$5:$G$140&lt;&gt;"acoes")))*INDEX(Inputs!$K$5:$AJ$140,0,MATCH(Y$2,Inputs!$K$4:$AJ$4,0)))+SUMPRODUCT((Inputs!$E$5:$E$140=$B38)*Inputs!$F$5:$F$140*(((Inputs!$G$5:$G$140="moeda")+(Inputs!$G$5:$G$140="acoes"))*Inputs!$B$1+((Inputs!$G$5:$G$140&lt;&gt;"moeda")*(Inputs!$G$5:$G$140&lt;&gt;"acoes")))*INDEX(Inputs!$K$5:$AJ$140,0,MATCH(Y$2,Inputs!$K$4:$AJ$4,0)))))</f>
        <v>0</v>
      </c>
      <c r="Z38" s="6">
        <f>IF(ISNA(MATCH(Z$2,Inputs!$K$4:$AJ$4,0)),NA(),IF(SUMPRODUCT((Inputs!$A$5:$A$140=$B38)*ISNUMBER(INDEX(Inputs!$K$5:$AJ$140,0,MATCH(Z$2,Inputs!$K$4:$AJ$4,0))))+SUMPRODUCT((Inputs!$C$5:$C$140=$B38)*ISNUMBER(INDEX(Inputs!$K$5:$AJ$140,0,MATCH(Z$2,Inputs!$K$4:$AJ$4,0))))+SUMPRODUCT((Inputs!$E$5:$E$140=$B38)*ISNUMBER(INDEX(Inputs!$K$5:$AJ$140,0,MATCH(Z$2,Inputs!$K$4:$AJ$4,0))))=0,NA(),SUMPRODUCT((Inputs!$A$5:$A$140=$B38)*Inputs!$B$5:$B$140*(((Inputs!$G$5:$G$140="moeda")+(Inputs!$G$5:$G$140="acoes"))*Inputs!$B$1+((Inputs!$G$5:$G$140&lt;&gt;"moeda")*(Inputs!$G$5:$G$140&lt;&gt;"acoes")))*INDEX(Inputs!$K$5:$AJ$140,0,MATCH(Z$2,Inputs!$K$4:$AJ$4,0)))+SUMPRODUCT((Inputs!$C$5:$C$140=$B38)*Inputs!$D$5:$D$140*(((Inputs!$G$5:$G$140="moeda")+(Inputs!$G$5:$G$140="acoes"))*Inputs!$B$1+((Inputs!$G$5:$G$140&lt;&gt;"moeda")*(Inputs!$G$5:$G$140&lt;&gt;"acoes")))*INDEX(Inputs!$K$5:$AJ$140,0,MATCH(Z$2,Inputs!$K$4:$AJ$4,0)))+SUMPRODUCT((Inputs!$E$5:$E$140=$B38)*Inputs!$F$5:$F$140*(((Inputs!$G$5:$G$140="moeda")+(Inputs!$G$5:$G$140="acoes"))*Inputs!$B$1+((Inputs!$G$5:$G$140&lt;&gt;"moeda")*(Inputs!$G$5:$G$140&lt;&gt;"acoes")))*INDEX(Inputs!$K$5:$AJ$140,0,MATCH(Z$2,Inputs!$K$4:$AJ$4,0)))))</f>
        <v>26.377</v>
      </c>
      <c r="AA38" s="6">
        <f>IF(ISNA(MATCH(AA$2,Inputs!$K$4:$AJ$4,0)),NA(),IF(SUMPRODUCT((Inputs!$A$5:$A$140=$B38)*ISNUMBER(INDEX(Inputs!$K$5:$AJ$140,0,MATCH(AA$2,Inputs!$K$4:$AJ$4,0))))+SUMPRODUCT((Inputs!$C$5:$C$140=$B38)*ISNUMBER(INDEX(Inputs!$K$5:$AJ$140,0,MATCH(AA$2,Inputs!$K$4:$AJ$4,0))))+SUMPRODUCT((Inputs!$E$5:$E$140=$B38)*ISNUMBER(INDEX(Inputs!$K$5:$AJ$140,0,MATCH(AA$2,Inputs!$K$4:$AJ$4,0))))=0,NA(),SUMPRODUCT((Inputs!$A$5:$A$140=$B38)*Inputs!$B$5:$B$140*(((Inputs!$G$5:$G$140="moeda")+(Inputs!$G$5:$G$140="acoes"))*Inputs!$B$1+((Inputs!$G$5:$G$140&lt;&gt;"moeda")*(Inputs!$G$5:$G$140&lt;&gt;"acoes")))*INDEX(Inputs!$K$5:$AJ$140,0,MATCH(AA$2,Inputs!$K$4:$AJ$4,0)))+SUMPRODUCT((Inputs!$C$5:$C$140=$B38)*Inputs!$D$5:$D$140*(((Inputs!$G$5:$G$140="moeda")+(Inputs!$G$5:$G$140="acoes"))*Inputs!$B$1+((Inputs!$G$5:$G$140&lt;&gt;"moeda")*(Inputs!$G$5:$G$140&lt;&gt;"acoes")))*INDEX(Inputs!$K$5:$AJ$140,0,MATCH(AA$2,Inputs!$K$4:$AJ$4,0)))+SUMPRODUCT((Inputs!$E$5:$E$140=$B38)*Inputs!$F$5:$F$140*(((Inputs!$G$5:$G$140="moeda")+(Inputs!$G$5:$G$140="acoes"))*Inputs!$B$1+((Inputs!$G$5:$G$140&lt;&gt;"moeda")*(Inputs!$G$5:$G$140&lt;&gt;"acoes")))*INDEX(Inputs!$K$5:$AJ$140,0,MATCH(AA$2,Inputs!$K$4:$AJ$4,0)))))</f>
        <v>0</v>
      </c>
      <c r="AB38" s="3">
        <f>AA38</f>
        <v>0</v>
      </c>
      <c r="AC38" s="6">
        <f>IF(ISNA(MATCH(AC$2,Inputs!$K$4:$AJ$4,0)),NA(),IF(SUMPRODUCT((Inputs!$A$5:$A$140=$B38)*ISNUMBER(INDEX(Inputs!$K$5:$AJ$140,0,MATCH(AC$2,Inputs!$K$4:$AJ$4,0))))+SUMPRODUCT((Inputs!$C$5:$C$140=$B38)*ISNUMBER(INDEX(Inputs!$K$5:$AJ$140,0,MATCH(AC$2,Inputs!$K$4:$AJ$4,0))))+SUMPRODUCT((Inputs!$E$5:$E$140=$B38)*ISNUMBER(INDEX(Inputs!$K$5:$AJ$140,0,MATCH(AC$2,Inputs!$K$4:$AJ$4,0))))=0,NA(),SUMPRODUCT((Inputs!$A$5:$A$140=$B38)*Inputs!$B$5:$B$140*(((Inputs!$G$5:$G$140="moeda")+(Inputs!$G$5:$G$140="acoes"))*Inputs!$B$1+((Inputs!$G$5:$G$140&lt;&gt;"moeda")*(Inputs!$G$5:$G$140&lt;&gt;"acoes")))*INDEX(Inputs!$K$5:$AJ$140,0,MATCH(AC$2,Inputs!$K$4:$AJ$4,0)))+SUMPRODUCT((Inputs!$C$5:$C$140=$B38)*Inputs!$D$5:$D$140*(((Inputs!$G$5:$G$140="moeda")+(Inputs!$G$5:$G$140="acoes"))*Inputs!$B$1+((Inputs!$G$5:$G$140&lt;&gt;"moeda")*(Inputs!$G$5:$G$140&lt;&gt;"acoes")))*INDEX(Inputs!$K$5:$AJ$140,0,MATCH(AC$2,Inputs!$K$4:$AJ$4,0)))+SUMPRODUCT((Inputs!$E$5:$E$140=$B38)*Inputs!$F$5:$F$140*(((Inputs!$G$5:$G$140="moeda")+(Inputs!$G$5:$G$140="acoes"))*Inputs!$B$1+((Inputs!$G$5:$G$140&lt;&gt;"moeda")*(Inputs!$G$5:$G$140&lt;&gt;"acoes")))*INDEX(Inputs!$K$5:$AJ$140,0,MATCH(AC$2,Inputs!$K$4:$AJ$4,0)))))</f>
        <v>0</v>
      </c>
      <c r="AD38" s="6">
        <f>IF(ISNA(MATCH(AD$2,Inputs!$K$4:$AJ$4,0)),NA(),IF(SUMPRODUCT((Inputs!$A$5:$A$140=$B38)*ISNUMBER(INDEX(Inputs!$K$5:$AJ$140,0,MATCH(AD$2,Inputs!$K$4:$AJ$4,0))))+SUMPRODUCT((Inputs!$C$5:$C$140=$B38)*ISNUMBER(INDEX(Inputs!$K$5:$AJ$140,0,MATCH(AD$2,Inputs!$K$4:$AJ$4,0))))+SUMPRODUCT((Inputs!$E$5:$E$140=$B38)*ISNUMBER(INDEX(Inputs!$K$5:$AJ$140,0,MATCH(AD$2,Inputs!$K$4:$AJ$4,0))))=0,NA(),SUMPRODUCT((Inputs!$A$5:$A$140=$B38)*Inputs!$B$5:$B$140*(((Inputs!$G$5:$G$140="moeda")+(Inputs!$G$5:$G$140="acoes"))*Inputs!$B$1+((Inputs!$G$5:$G$140&lt;&gt;"moeda")*(Inputs!$G$5:$G$140&lt;&gt;"acoes")))*INDEX(Inputs!$K$5:$AJ$140,0,MATCH(AD$2,Inputs!$K$4:$AJ$4,0)))+SUMPRODUCT((Inputs!$C$5:$C$140=$B38)*Inputs!$D$5:$D$140*(((Inputs!$G$5:$G$140="moeda")+(Inputs!$G$5:$G$140="acoes"))*Inputs!$B$1+((Inputs!$G$5:$G$140&lt;&gt;"moeda")*(Inputs!$G$5:$G$140&lt;&gt;"acoes")))*INDEX(Inputs!$K$5:$AJ$140,0,MATCH(AD$2,Inputs!$K$4:$AJ$4,0)))+SUMPRODUCT((Inputs!$E$5:$E$140=$B38)*Inputs!$F$5:$F$140*(((Inputs!$G$5:$G$140="moeda")+(Inputs!$G$5:$G$140="acoes"))*Inputs!$B$1+((Inputs!$G$5:$G$140&lt;&gt;"moeda")*(Inputs!$G$5:$G$140&lt;&gt;"acoes")))*INDEX(Inputs!$K$5:$AJ$140,0,MATCH(AD$2,Inputs!$K$4:$AJ$4,0)))))</f>
        <v>0</v>
      </c>
      <c r="AE38" s="6" t="e">
        <f>IF(ISNA(MATCH(AE$2,Inputs!$K$4:$AJ$4,0)),NA(),IF(SUMPRODUCT((Inputs!$A$5:$A$140=$B38)*ISNUMBER(INDEX(Inputs!$K$5:$AJ$140,0,MATCH(AE$2,Inputs!$K$4:$AJ$4,0))))+SUMPRODUCT((Inputs!$C$5:$C$140=$B38)*ISNUMBER(INDEX(Inputs!$K$5:$AJ$140,0,MATCH(AE$2,Inputs!$K$4:$AJ$4,0))))+SUMPRODUCT((Inputs!$E$5:$E$140=$B38)*ISNUMBER(INDEX(Inputs!$K$5:$AJ$140,0,MATCH(AE$2,Inputs!$K$4:$AJ$4,0))))=0,NA(),SUMPRODUCT((Inputs!$A$5:$A$140=$B38)*Inputs!$B$5:$B$140*(((Inputs!$G$5:$G$140="moeda")+(Inputs!$G$5:$G$140="acoes"))*Inputs!$B$1+((Inputs!$G$5:$G$140&lt;&gt;"moeda")*(Inputs!$G$5:$G$140&lt;&gt;"acoes")))*INDEX(Inputs!$K$5:$AJ$140,0,MATCH(AE$2,Inputs!$K$4:$AJ$4,0)))+SUMPRODUCT((Inputs!$C$5:$C$140=$B38)*Inputs!$D$5:$D$140*(((Inputs!$G$5:$G$140="moeda")+(Inputs!$G$5:$G$140="acoes"))*Inputs!$B$1+((Inputs!$G$5:$G$140&lt;&gt;"moeda")*(Inputs!$G$5:$G$140&lt;&gt;"acoes")))*INDEX(Inputs!$K$5:$AJ$140,0,MATCH(AE$2,Inputs!$K$4:$AJ$4,0)))+SUMPRODUCT((Inputs!$E$5:$E$140=$B38)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8" s="6" t="e">
        <f>IF(ISNA(MATCH(AF$2,Inputs!$K$4:$AJ$4,0)),NA(),IF(SUMPRODUCT((Inputs!$A$5:$A$140=$B38)*ISNUMBER(INDEX(Inputs!$K$5:$AJ$140,0,MATCH(AF$2,Inputs!$K$4:$AJ$4,0))))+SUMPRODUCT((Inputs!$C$5:$C$140=$B38)*ISNUMBER(INDEX(Inputs!$K$5:$AJ$140,0,MATCH(AF$2,Inputs!$K$4:$AJ$4,0))))+SUMPRODUCT((Inputs!$E$5:$E$140=$B38)*ISNUMBER(INDEX(Inputs!$K$5:$AJ$140,0,MATCH(AF$2,Inputs!$K$4:$AJ$4,0))))=0,NA(),SUMPRODUCT((Inputs!$A$5:$A$140=$B38)*Inputs!$B$5:$B$140*(((Inputs!$G$5:$G$140="moeda")+(Inputs!$G$5:$G$140="acoes"))*Inputs!$B$1+((Inputs!$G$5:$G$140&lt;&gt;"moeda")*(Inputs!$G$5:$G$140&lt;&gt;"acoes")))*INDEX(Inputs!$K$5:$AJ$140,0,MATCH(AF$2,Inputs!$K$4:$AJ$4,0)))+SUMPRODUCT((Inputs!$C$5:$C$140=$B38)*Inputs!$D$5:$D$140*(((Inputs!$G$5:$G$140="moeda")+(Inputs!$G$5:$G$140="acoes"))*Inputs!$B$1+((Inputs!$G$5:$G$140&lt;&gt;"moeda")*(Inputs!$G$5:$G$140&lt;&gt;"acoes")))*INDEX(Inputs!$K$5:$AJ$140,0,MATCH(AF$2,Inputs!$K$4:$AJ$4,0)))+SUMPRODUCT((Inputs!$E$5:$E$140=$B38)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8" s="3" t="e">
        <f>AF38</f>
        <v>#N/A</v>
      </c>
      <c r="AH38" s="6" t="e">
        <f>IF(ISNA(MATCH(AH$2,Inputs!$K$4:$AJ$4,0)),NA(),IF(SUMPRODUCT((Inputs!$A$5:$A$140=$B38)*ISNUMBER(INDEX(Inputs!$K$5:$AJ$140,0,MATCH(AH$2,Inputs!$K$4:$AJ$4,0))))+SUMPRODUCT((Inputs!$C$5:$C$140=$B38)*ISNUMBER(INDEX(Inputs!$K$5:$AJ$140,0,MATCH(AH$2,Inputs!$K$4:$AJ$4,0))))+SUMPRODUCT((Inputs!$E$5:$E$140=$B38)*ISNUMBER(INDEX(Inputs!$K$5:$AJ$140,0,MATCH(AH$2,Inputs!$K$4:$AJ$4,0))))=0,NA(),SUMPRODUCT((Inputs!$A$5:$A$140=$B38)*Inputs!$B$5:$B$140*(((Inputs!$G$5:$G$140="moeda")+(Inputs!$G$5:$G$140="acoes"))*Inputs!$B$1+((Inputs!$G$5:$G$140&lt;&gt;"moeda")*(Inputs!$G$5:$G$140&lt;&gt;"acoes")))*INDEX(Inputs!$K$5:$AJ$140,0,MATCH(AH$2,Inputs!$K$4:$AJ$4,0)))+SUMPRODUCT((Inputs!$C$5:$C$140=$B38)*Inputs!$D$5:$D$140*(((Inputs!$G$5:$G$140="moeda")+(Inputs!$G$5:$G$140="acoes"))*Inputs!$B$1+((Inputs!$G$5:$G$140&lt;&gt;"moeda")*(Inputs!$G$5:$G$140&lt;&gt;"acoes")))*INDEX(Inputs!$K$5:$AJ$140,0,MATCH(AH$2,Inputs!$K$4:$AJ$4,0)))+SUMPRODUCT((Inputs!$E$5:$E$140=$B38)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8" s="6">
        <f>IF(ISNA(MATCH(AI$2,Inputs!$K$4:$AJ$4,0)),NA(),IF(SUMPRODUCT((Inputs!$A$5:$A$140=$B38)*ISNUMBER(INDEX(Inputs!$K$5:$AJ$140,0,MATCH(AI$2,Inputs!$K$4:$AJ$4,0))))+SUMPRODUCT((Inputs!$C$5:$C$140=$B38)*ISNUMBER(INDEX(Inputs!$K$5:$AJ$140,0,MATCH(AI$2,Inputs!$K$4:$AJ$4,0))))+SUMPRODUCT((Inputs!$E$5:$E$140=$B38)*ISNUMBER(INDEX(Inputs!$K$5:$AJ$140,0,MATCH(AI$2,Inputs!$K$4:$AJ$4,0))))=0,NA(),SUMPRODUCT((Inputs!$A$5:$A$140=$B38)*Inputs!$B$5:$B$140*(((Inputs!$G$5:$G$140="moeda")+(Inputs!$G$5:$G$140="acoes"))*Inputs!$B$1+((Inputs!$G$5:$G$140&lt;&gt;"moeda")*(Inputs!$G$5:$G$140&lt;&gt;"acoes")))*INDEX(Inputs!$K$5:$AJ$140,0,MATCH(AI$2,Inputs!$K$4:$AJ$4,0)))+SUMPRODUCT((Inputs!$C$5:$C$140=$B38)*Inputs!$D$5:$D$140*(((Inputs!$G$5:$G$140="moeda")+(Inputs!$G$5:$G$140="acoes"))*Inputs!$B$1+((Inputs!$G$5:$G$140&lt;&gt;"moeda")*(Inputs!$G$5:$G$140&lt;&gt;"acoes")))*INDEX(Inputs!$K$5:$AJ$140,0,MATCH(AI$2,Inputs!$K$4:$AJ$4,0)))+SUMPRODUCT((Inputs!$E$5:$E$140=$B38)*Inputs!$F$5:$F$140*(((Inputs!$G$5:$G$140="moeda")+(Inputs!$G$5:$G$140="acoes"))*Inputs!$B$1+((Inputs!$G$5:$G$140&lt;&gt;"moeda")*(Inputs!$G$5:$G$140&lt;&gt;"acoes")))*INDEX(Inputs!$K$5:$AJ$140,0,MATCH(AI$2,Inputs!$K$4:$AJ$4,0)))))</f>
        <v>0</v>
      </c>
      <c r="AJ38" s="6">
        <f>IF(ISNA(MATCH(AJ$2,Inputs!$K$4:$AJ$4,0)),NA(),IF(SUMPRODUCT((Inputs!$A$5:$A$140=$B38)*ISNUMBER(INDEX(Inputs!$K$5:$AJ$140,0,MATCH(AJ$2,Inputs!$K$4:$AJ$4,0))))+SUMPRODUCT((Inputs!$C$5:$C$140=$B38)*ISNUMBER(INDEX(Inputs!$K$5:$AJ$140,0,MATCH(AJ$2,Inputs!$K$4:$AJ$4,0))))+SUMPRODUCT((Inputs!$E$5:$E$140=$B38)*ISNUMBER(INDEX(Inputs!$K$5:$AJ$140,0,MATCH(AJ$2,Inputs!$K$4:$AJ$4,0))))=0,NA(),SUMPRODUCT((Inputs!$A$5:$A$140=$B38)*Inputs!$B$5:$B$140*(((Inputs!$G$5:$G$140="moeda")+(Inputs!$G$5:$G$140="acoes"))*Inputs!$B$1+((Inputs!$G$5:$G$140&lt;&gt;"moeda")*(Inputs!$G$5:$G$140&lt;&gt;"acoes")))*INDEX(Inputs!$K$5:$AJ$140,0,MATCH(AJ$2,Inputs!$K$4:$AJ$4,0)))+SUMPRODUCT((Inputs!$C$5:$C$140=$B38)*Inputs!$D$5:$D$140*(((Inputs!$G$5:$G$140="moeda")+(Inputs!$G$5:$G$140="acoes"))*Inputs!$B$1+((Inputs!$G$5:$G$140&lt;&gt;"moeda")*(Inputs!$G$5:$G$140&lt;&gt;"acoes")))*INDEX(Inputs!$K$5:$AJ$140,0,MATCH(AJ$2,Inputs!$K$4:$AJ$4,0)))+SUMPRODUCT((Inputs!$E$5:$E$140=$B38)*Inputs!$F$5:$F$140*(((Inputs!$G$5:$G$140="moeda")+(Inputs!$G$5:$G$140="acoes"))*Inputs!$B$1+((Inputs!$G$5:$G$140&lt;&gt;"moeda")*(Inputs!$G$5:$G$140&lt;&gt;"acoes")))*INDEX(Inputs!$K$5:$AJ$140,0,MATCH(AJ$2,Inputs!$K$4:$AJ$4,0)))))</f>
        <v>0</v>
      </c>
      <c r="AK38" s="6">
        <f>IF(ISNA(MATCH(AK$2,Inputs!$K$4:$AJ$4,0)),NA(),IF(SUMPRODUCT((Inputs!$A$5:$A$140=$B38)*ISNUMBER(INDEX(Inputs!$K$5:$AJ$140,0,MATCH(AK$2,Inputs!$K$4:$AJ$4,0))))+SUMPRODUCT((Inputs!$C$5:$C$140=$B38)*ISNUMBER(INDEX(Inputs!$K$5:$AJ$140,0,MATCH(AK$2,Inputs!$K$4:$AJ$4,0))))+SUMPRODUCT((Inputs!$E$5:$E$140=$B38)*ISNUMBER(INDEX(Inputs!$K$5:$AJ$140,0,MATCH(AK$2,Inputs!$K$4:$AJ$4,0))))=0,NA(),SUMPRODUCT((Inputs!$A$5:$A$140=$B38)*Inputs!$B$5:$B$140*(((Inputs!$G$5:$G$140="moeda")+(Inputs!$G$5:$G$140="acoes"))*Inputs!$B$1+((Inputs!$G$5:$G$140&lt;&gt;"moeda")*(Inputs!$G$5:$G$140&lt;&gt;"acoes")))*INDEX(Inputs!$K$5:$AJ$140,0,MATCH(AK$2,Inputs!$K$4:$AJ$4,0)))+SUMPRODUCT((Inputs!$C$5:$C$140=$B38)*Inputs!$D$5:$D$140*(((Inputs!$G$5:$G$140="moeda")+(Inputs!$G$5:$G$140="acoes"))*Inputs!$B$1+((Inputs!$G$5:$G$140&lt;&gt;"moeda")*(Inputs!$G$5:$G$140&lt;&gt;"acoes")))*INDEX(Inputs!$K$5:$AJ$140,0,MATCH(AK$2,Inputs!$K$4:$AJ$4,0)))+SUMPRODUCT((Inputs!$E$5:$E$140=$B38)*Inputs!$F$5:$F$140*(((Inputs!$G$5:$G$140="moeda")+(Inputs!$G$5:$G$140="acoes"))*Inputs!$B$1+((Inputs!$G$5:$G$140&lt;&gt;"moeda")*(Inputs!$G$5:$G$140&lt;&gt;"acoes")))*INDEX(Inputs!$K$5:$AJ$140,0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$140=$B39)*ISNUMBER(INDEX(Inputs!$K$5:$AJ$140,0,MATCH(D$2,Inputs!$K$4:$AJ$4,0))))+SUMPRODUCT((Inputs!$C$5:$C$140=$B39)*ISNUMBER(INDEX(Inputs!$K$5:$AJ$140,0,MATCH(D$2,Inputs!$K$4:$AJ$4,0))))+SUMPRODUCT((Inputs!$E$5:$E$140=$B39)*ISNUMBER(INDEX(Inputs!$K$5:$AJ$140,0,MATCH(D$2,Inputs!$K$4:$AJ$4,0))))=0,NA(),SUMPRODUCT((Inputs!$A$5:$A$140=$B39)*Inputs!$B$5:$B$140*(((Inputs!$G$5:$G$140="moeda")+(Inputs!$G$5:$G$140="acoes"))*Inputs!$B$1+((Inputs!$G$5:$G$140&lt;&gt;"moeda")*(Inputs!$G$5:$G$140&lt;&gt;"acoes")))*INDEX(Inputs!$K$5:$AJ$140,0,MATCH(D$2,Inputs!$K$4:$AJ$4,0)))+SUMPRODUCT((Inputs!$C$5:$C$140=$B39)*Inputs!$D$5:$D$140*(((Inputs!$G$5:$G$140="moeda")+(Inputs!$G$5:$G$140="acoes"))*Inputs!$B$1+((Inputs!$G$5:$G$140&lt;&gt;"moeda")*(Inputs!$G$5:$G$140&lt;&gt;"acoes")))*INDEX(Inputs!$K$5:$AJ$140,0,MATCH(D$2,Inputs!$K$4:$AJ$4,0)))+SUMPRODUCT((Inputs!$E$5:$E$140=$B39)*Inputs!$F$5:$F$140*(((Inputs!$G$5:$G$140="moeda")+(Inputs!$G$5:$G$140="acoes"))*Inputs!$B$1+((Inputs!$G$5:$G$140&lt;&gt;"moeda")*(Inputs!$G$5:$G$140&lt;&gt;"acoes")))*INDEX(Inputs!$K$5:$AJ$140,0,MATCH(D$2,Inputs!$K$4:$AJ$4,0)))))</f>
        <v>70.7027912799997</v>
      </c>
      <c r="E39" s="6">
        <f>IF(ISNA(MATCH(E$2,Inputs!$K$4:$AJ$4,0)),NA(),IF(SUMPRODUCT((Inputs!$A$5:$A$140=$B39)*ISNUMBER(INDEX(Inputs!$K$5:$AJ$140,0,MATCH(E$2,Inputs!$K$4:$AJ$4,0))))+SUMPRODUCT((Inputs!$C$5:$C$140=$B39)*ISNUMBER(INDEX(Inputs!$K$5:$AJ$140,0,MATCH(E$2,Inputs!$K$4:$AJ$4,0))))+SUMPRODUCT((Inputs!$E$5:$E$140=$B39)*ISNUMBER(INDEX(Inputs!$K$5:$AJ$140,0,MATCH(E$2,Inputs!$K$4:$AJ$4,0))))=0,NA(),SUMPRODUCT((Inputs!$A$5:$A$140=$B39)*Inputs!$B$5:$B$140*(((Inputs!$G$5:$G$140="moeda")+(Inputs!$G$5:$G$140="acoes"))*Inputs!$B$1+((Inputs!$G$5:$G$140&lt;&gt;"moeda")*(Inputs!$G$5:$G$140&lt;&gt;"acoes")))*INDEX(Inputs!$K$5:$AJ$140,0,MATCH(E$2,Inputs!$K$4:$AJ$4,0)))+SUMPRODUCT((Inputs!$C$5:$C$140=$B39)*Inputs!$D$5:$D$140*(((Inputs!$G$5:$G$140="moeda")+(Inputs!$G$5:$G$140="acoes"))*Inputs!$B$1+((Inputs!$G$5:$G$140&lt;&gt;"moeda")*(Inputs!$G$5:$G$140&lt;&gt;"acoes")))*INDEX(Inputs!$K$5:$AJ$140,0,MATCH(E$2,Inputs!$K$4:$AJ$4,0)))+SUMPRODUCT((Inputs!$E$5:$E$140=$B39)*Inputs!$F$5:$F$140*(((Inputs!$G$5:$G$140="moeda")+(Inputs!$G$5:$G$140="acoes"))*Inputs!$B$1+((Inputs!$G$5:$G$140&lt;&gt;"moeda")*(Inputs!$G$5:$G$140&lt;&gt;"acoes")))*INDEX(Inputs!$K$5:$AJ$140,0,MATCH(E$2,Inputs!$K$4:$AJ$4,0)))))</f>
        <v>73.72736926</v>
      </c>
      <c r="F39" s="6">
        <f>IF(ISNA(MATCH(F$2,Inputs!$K$4:$AJ$4,0)),NA(),IF(SUMPRODUCT((Inputs!$A$5:$A$140=$B39)*ISNUMBER(INDEX(Inputs!$K$5:$AJ$140,0,MATCH(F$2,Inputs!$K$4:$AJ$4,0))))+SUMPRODUCT((Inputs!$C$5:$C$140=$B39)*ISNUMBER(INDEX(Inputs!$K$5:$AJ$140,0,MATCH(F$2,Inputs!$K$4:$AJ$4,0))))+SUMPRODUCT((Inputs!$E$5:$E$140=$B39)*ISNUMBER(INDEX(Inputs!$K$5:$AJ$140,0,MATCH(F$2,Inputs!$K$4:$AJ$4,0))))=0,NA(),SUMPRODUCT((Inputs!$A$5:$A$140=$B39)*Inputs!$B$5:$B$140*(((Inputs!$G$5:$G$140="moeda")+(Inputs!$G$5:$G$140="acoes"))*Inputs!$B$1+((Inputs!$G$5:$G$140&lt;&gt;"moeda")*(Inputs!$G$5:$G$140&lt;&gt;"acoes")))*INDEX(Inputs!$K$5:$AJ$140,0,MATCH(F$2,Inputs!$K$4:$AJ$4,0)))+SUMPRODUCT((Inputs!$C$5:$C$140=$B39)*Inputs!$D$5:$D$140*(((Inputs!$G$5:$G$140="moeda")+(Inputs!$G$5:$G$140="acoes"))*Inputs!$B$1+((Inputs!$G$5:$G$140&lt;&gt;"moeda")*(Inputs!$G$5:$G$140&lt;&gt;"acoes")))*INDEX(Inputs!$K$5:$AJ$140,0,MATCH(F$2,Inputs!$K$4:$AJ$4,0)))+SUMPRODUCT((Inputs!$E$5:$E$140=$B39)*Inputs!$F$5:$F$140*(((Inputs!$G$5:$G$140="moeda")+(Inputs!$G$5:$G$140="acoes"))*Inputs!$B$1+((Inputs!$G$5:$G$140&lt;&gt;"moeda")*(Inputs!$G$5:$G$140&lt;&gt;"acoes")))*INDEX(Inputs!$K$5:$AJ$140,0,MATCH(F$2,Inputs!$K$4:$AJ$4,0)))))</f>
        <v>111.487</v>
      </c>
      <c r="G39" s="6">
        <f>IF(ISNA(MATCH(G$2,Inputs!$K$4:$AJ$4,0)),NA(),IF(SUMPRODUCT((Inputs!$A$5:$A$140=$B39)*ISNUMBER(INDEX(Inputs!$K$5:$AJ$140,0,MATCH(G$2,Inputs!$K$4:$AJ$4,0))))+SUMPRODUCT((Inputs!$C$5:$C$140=$B39)*ISNUMBER(INDEX(Inputs!$K$5:$AJ$140,0,MATCH(G$2,Inputs!$K$4:$AJ$4,0))))+SUMPRODUCT((Inputs!$E$5:$E$140=$B39)*ISNUMBER(INDEX(Inputs!$K$5:$AJ$140,0,MATCH(G$2,Inputs!$K$4:$AJ$4,0))))=0,NA(),SUMPRODUCT((Inputs!$A$5:$A$140=$B39)*Inputs!$B$5:$B$140*(((Inputs!$G$5:$G$140="moeda")+(Inputs!$G$5:$G$140="acoes"))*Inputs!$B$1+((Inputs!$G$5:$G$140&lt;&gt;"moeda")*(Inputs!$G$5:$G$140&lt;&gt;"acoes")))*INDEX(Inputs!$K$5:$AJ$140,0,MATCH(G$2,Inputs!$K$4:$AJ$4,0)))+SUMPRODUCT((Inputs!$C$5:$C$140=$B39)*Inputs!$D$5:$D$140*(((Inputs!$G$5:$G$140="moeda")+(Inputs!$G$5:$G$140="acoes"))*Inputs!$B$1+((Inputs!$G$5:$G$140&lt;&gt;"moeda")*(Inputs!$G$5:$G$140&lt;&gt;"acoes")))*INDEX(Inputs!$K$5:$AJ$140,0,MATCH(G$2,Inputs!$K$4:$AJ$4,0)))+SUMPRODUCT((Inputs!$E$5:$E$140=$B39)*Inputs!$F$5:$F$140*(((Inputs!$G$5:$G$140="moeda")+(Inputs!$G$5:$G$140="acoes"))*Inputs!$B$1+((Inputs!$G$5:$G$140&lt;&gt;"moeda")*(Inputs!$G$5:$G$140&lt;&gt;"acoes")))*INDEX(Inputs!$K$5:$AJ$140,0,MATCH(G$2,Inputs!$K$4:$AJ$4,0)))))</f>
        <v>68</v>
      </c>
      <c r="H39" s="3">
        <f>G39</f>
        <v>68</v>
      </c>
      <c r="I39" s="6">
        <f>IF(ISNA(MATCH(I$2,Inputs!$K$4:$AJ$4,0)),NA(),IF(SUMPRODUCT((Inputs!$A$5:$A$140=$B39)*ISNUMBER(INDEX(Inputs!$K$5:$AJ$140,0,MATCH(I$2,Inputs!$K$4:$AJ$4,0))))+SUMPRODUCT((Inputs!$C$5:$C$140=$B39)*ISNUMBER(INDEX(Inputs!$K$5:$AJ$140,0,MATCH(I$2,Inputs!$K$4:$AJ$4,0))))+SUMPRODUCT((Inputs!$E$5:$E$140=$B39)*ISNUMBER(INDEX(Inputs!$K$5:$AJ$140,0,MATCH(I$2,Inputs!$K$4:$AJ$4,0))))=0,NA(),SUMPRODUCT((Inputs!$A$5:$A$140=$B39)*Inputs!$B$5:$B$140*(((Inputs!$G$5:$G$140="moeda")+(Inputs!$G$5:$G$140="acoes"))*Inputs!$B$1+((Inputs!$G$5:$G$140&lt;&gt;"moeda")*(Inputs!$G$5:$G$140&lt;&gt;"acoes")))*INDEX(Inputs!$K$5:$AJ$140,0,MATCH(I$2,Inputs!$K$4:$AJ$4,0)))+SUMPRODUCT((Inputs!$C$5:$C$140=$B39)*Inputs!$D$5:$D$140*(((Inputs!$G$5:$G$140="moeda")+(Inputs!$G$5:$G$140="acoes"))*Inputs!$B$1+((Inputs!$G$5:$G$140&lt;&gt;"moeda")*(Inputs!$G$5:$G$140&lt;&gt;"acoes")))*INDEX(Inputs!$K$5:$AJ$140,0,MATCH(I$2,Inputs!$K$4:$AJ$4,0)))+SUMPRODUCT((Inputs!$E$5:$E$140=$B39)*Inputs!$F$5:$F$140*(((Inputs!$G$5:$G$140="moeda")+(Inputs!$G$5:$G$140="acoes"))*Inputs!$B$1+((Inputs!$G$5:$G$140&lt;&gt;"moeda")*(Inputs!$G$5:$G$140&lt;&gt;"acoes")))*INDEX(Inputs!$K$5:$AJ$140,0,MATCH(I$2,Inputs!$K$4:$AJ$4,0)))))</f>
        <v>65.393</v>
      </c>
      <c r="J39" s="6">
        <f>IF(ISNA(MATCH(J$2,Inputs!$K$4:$AJ$4,0)),NA(),IF(SUMPRODUCT((Inputs!$A$5:$A$140=$B39)*ISNUMBER(INDEX(Inputs!$K$5:$AJ$140,0,MATCH(J$2,Inputs!$K$4:$AJ$4,0))))+SUMPRODUCT((Inputs!$C$5:$C$140=$B39)*ISNUMBER(INDEX(Inputs!$K$5:$AJ$140,0,MATCH(J$2,Inputs!$K$4:$AJ$4,0))))+SUMPRODUCT((Inputs!$E$5:$E$140=$B39)*ISNUMBER(INDEX(Inputs!$K$5:$AJ$140,0,MATCH(J$2,Inputs!$K$4:$AJ$4,0))))=0,NA(),SUMPRODUCT((Inputs!$A$5:$A$140=$B39)*Inputs!$B$5:$B$140*(((Inputs!$G$5:$G$140="moeda")+(Inputs!$G$5:$G$140="acoes"))*Inputs!$B$1+((Inputs!$G$5:$G$140&lt;&gt;"moeda")*(Inputs!$G$5:$G$140&lt;&gt;"acoes")))*INDEX(Inputs!$K$5:$AJ$140,0,MATCH(J$2,Inputs!$K$4:$AJ$4,0)))+SUMPRODUCT((Inputs!$C$5:$C$140=$B39)*Inputs!$D$5:$D$140*(((Inputs!$G$5:$G$140="moeda")+(Inputs!$G$5:$G$140="acoes"))*Inputs!$B$1+((Inputs!$G$5:$G$140&lt;&gt;"moeda")*(Inputs!$G$5:$G$140&lt;&gt;"acoes")))*INDEX(Inputs!$K$5:$AJ$140,0,MATCH(J$2,Inputs!$K$4:$AJ$4,0)))+SUMPRODUCT((Inputs!$E$5:$E$140=$B39)*Inputs!$F$5:$F$140*(((Inputs!$G$5:$G$140="moeda")+(Inputs!$G$5:$G$140="acoes"))*Inputs!$B$1+((Inputs!$G$5:$G$140&lt;&gt;"moeda")*(Inputs!$G$5:$G$140&lt;&gt;"acoes")))*INDEX(Inputs!$K$5:$AJ$140,0,MATCH(J$2,Inputs!$K$4:$AJ$4,0)))))</f>
        <v>69.0574490400003</v>
      </c>
      <c r="K39" s="6">
        <f>IF(ISNA(MATCH(K$2,Inputs!$K$4:$AJ$4,0)),NA(),IF(SUMPRODUCT((Inputs!$A$5:$A$140=$B39)*ISNUMBER(INDEX(Inputs!$K$5:$AJ$140,0,MATCH(K$2,Inputs!$K$4:$AJ$4,0))))+SUMPRODUCT((Inputs!$C$5:$C$140=$B39)*ISNUMBER(INDEX(Inputs!$K$5:$AJ$140,0,MATCH(K$2,Inputs!$K$4:$AJ$4,0))))+SUMPRODUCT((Inputs!$E$5:$E$140=$B39)*ISNUMBER(INDEX(Inputs!$K$5:$AJ$140,0,MATCH(K$2,Inputs!$K$4:$AJ$4,0))))=0,NA(),SUMPRODUCT((Inputs!$A$5:$A$140=$B39)*Inputs!$B$5:$B$140*(((Inputs!$G$5:$G$140="moeda")+(Inputs!$G$5:$G$140="acoes"))*Inputs!$B$1+((Inputs!$G$5:$G$140&lt;&gt;"moeda")*(Inputs!$G$5:$G$140&lt;&gt;"acoes")))*INDEX(Inputs!$K$5:$AJ$140,0,MATCH(K$2,Inputs!$K$4:$AJ$4,0)))+SUMPRODUCT((Inputs!$C$5:$C$140=$B39)*Inputs!$D$5:$D$140*(((Inputs!$G$5:$G$140="moeda")+(Inputs!$G$5:$G$140="acoes"))*Inputs!$B$1+((Inputs!$G$5:$G$140&lt;&gt;"moeda")*(Inputs!$G$5:$G$140&lt;&gt;"acoes")))*INDEX(Inputs!$K$5:$AJ$140,0,MATCH(K$2,Inputs!$K$4:$AJ$4,0)))+SUMPRODUCT((Inputs!$E$5:$E$140=$B39)*Inputs!$F$5:$F$140*(((Inputs!$G$5:$G$140="moeda")+(Inputs!$G$5:$G$140="acoes"))*Inputs!$B$1+((Inputs!$G$5:$G$140&lt;&gt;"moeda")*(Inputs!$G$5:$G$140&lt;&gt;"acoes")))*INDEX(Inputs!$K$5:$AJ$140,0,MATCH(K$2,Inputs!$K$4:$AJ$4,0)))))</f>
        <v>57.9089380000006</v>
      </c>
      <c r="L39" s="6">
        <f>IF(ISNA(MATCH(L$2,Inputs!$K$4:$AJ$4,0)),NA(),IF(SUMPRODUCT((Inputs!$A$5:$A$140=$B39)*ISNUMBER(INDEX(Inputs!$K$5:$AJ$140,0,MATCH(L$2,Inputs!$K$4:$AJ$4,0))))+SUMPRODUCT((Inputs!$C$5:$C$140=$B39)*ISNUMBER(INDEX(Inputs!$K$5:$AJ$140,0,MATCH(L$2,Inputs!$K$4:$AJ$4,0))))+SUMPRODUCT((Inputs!$E$5:$E$140=$B39)*ISNUMBER(INDEX(Inputs!$K$5:$AJ$140,0,MATCH(L$2,Inputs!$K$4:$AJ$4,0))))=0,NA(),SUMPRODUCT((Inputs!$A$5:$A$140=$B39)*Inputs!$B$5:$B$140*(((Inputs!$G$5:$G$140="moeda")+(Inputs!$G$5:$G$140="acoes"))*Inputs!$B$1+((Inputs!$G$5:$G$140&lt;&gt;"moeda")*(Inputs!$G$5:$G$140&lt;&gt;"acoes")))*INDEX(Inputs!$K$5:$AJ$140,0,MATCH(L$2,Inputs!$K$4:$AJ$4,0)))+SUMPRODUCT((Inputs!$C$5:$C$140=$B39)*Inputs!$D$5:$D$140*(((Inputs!$G$5:$G$140="moeda")+(Inputs!$G$5:$G$140="acoes"))*Inputs!$B$1+((Inputs!$G$5:$G$140&lt;&gt;"moeda")*(Inputs!$G$5:$G$140&lt;&gt;"acoes")))*INDEX(Inputs!$K$5:$AJ$140,0,MATCH(L$2,Inputs!$K$4:$AJ$4,0)))+SUMPRODUCT((Inputs!$E$5:$E$140=$B39)*Inputs!$F$5:$F$140*(((Inputs!$G$5:$G$140="moeda")+(Inputs!$G$5:$G$140="acoes"))*Inputs!$B$1+((Inputs!$G$5:$G$140&lt;&gt;"moeda")*(Inputs!$G$5:$G$140&lt;&gt;"acoes")))*INDEX(Inputs!$K$5:$AJ$140,0,MATCH(L$2,Inputs!$K$4:$AJ$4,0)))))</f>
        <v>73.3239447499998</v>
      </c>
      <c r="M39" s="3">
        <f>L39</f>
        <v>73.3239447499998</v>
      </c>
      <c r="N39" s="6">
        <f>IF(ISNA(MATCH(N$2,Inputs!$K$4:$AJ$4,0)),NA(),IF(SUMPRODUCT((Inputs!$A$5:$A$140=$B39)*ISNUMBER(INDEX(Inputs!$K$5:$AJ$140,0,MATCH(N$2,Inputs!$K$4:$AJ$4,0))))+SUMPRODUCT((Inputs!$C$5:$C$140=$B39)*ISNUMBER(INDEX(Inputs!$K$5:$AJ$140,0,MATCH(N$2,Inputs!$K$4:$AJ$4,0))))+SUMPRODUCT((Inputs!$E$5:$E$140=$B39)*ISNUMBER(INDEX(Inputs!$K$5:$AJ$140,0,MATCH(N$2,Inputs!$K$4:$AJ$4,0))))=0,NA(),SUMPRODUCT((Inputs!$A$5:$A$140=$B39)*Inputs!$B$5:$B$140*(((Inputs!$G$5:$G$140="moeda")+(Inputs!$G$5:$G$140="acoes"))*Inputs!$B$1+((Inputs!$G$5:$G$140&lt;&gt;"moeda")*(Inputs!$G$5:$G$140&lt;&gt;"acoes")))*INDEX(Inputs!$K$5:$AJ$140,0,MATCH(N$2,Inputs!$K$4:$AJ$4,0)))+SUMPRODUCT((Inputs!$C$5:$C$140=$B39)*Inputs!$D$5:$D$140*(((Inputs!$G$5:$G$140="moeda")+(Inputs!$G$5:$G$140="acoes"))*Inputs!$B$1+((Inputs!$G$5:$G$140&lt;&gt;"moeda")*(Inputs!$G$5:$G$140&lt;&gt;"acoes")))*INDEX(Inputs!$K$5:$AJ$140,0,MATCH(N$2,Inputs!$K$4:$AJ$4,0)))+SUMPRODUCT((Inputs!$E$5:$E$140=$B39)*Inputs!$F$5:$F$140*(((Inputs!$G$5:$G$140="moeda")+(Inputs!$G$5:$G$140="acoes"))*Inputs!$B$1+((Inputs!$G$5:$G$140&lt;&gt;"moeda")*(Inputs!$G$5:$G$140&lt;&gt;"acoes")))*INDEX(Inputs!$K$5:$AJ$140,0,MATCH(N$2,Inputs!$K$4:$AJ$4,0)))))</f>
        <v>65.8152218900006</v>
      </c>
      <c r="O39" s="6">
        <f>IF(ISNA(MATCH(O$2,Inputs!$K$4:$AJ$4,0)),NA(),IF(SUMPRODUCT((Inputs!$A$5:$A$140=$B39)*ISNUMBER(INDEX(Inputs!$K$5:$AJ$140,0,MATCH(O$2,Inputs!$K$4:$AJ$4,0))))+SUMPRODUCT((Inputs!$C$5:$C$140=$B39)*ISNUMBER(INDEX(Inputs!$K$5:$AJ$140,0,MATCH(O$2,Inputs!$K$4:$AJ$4,0))))+SUMPRODUCT((Inputs!$E$5:$E$140=$B39)*ISNUMBER(INDEX(Inputs!$K$5:$AJ$140,0,MATCH(O$2,Inputs!$K$4:$AJ$4,0))))=0,NA(),SUMPRODUCT((Inputs!$A$5:$A$140=$B39)*Inputs!$B$5:$B$140*(((Inputs!$G$5:$G$140="moeda")+(Inputs!$G$5:$G$140="acoes"))*Inputs!$B$1+((Inputs!$G$5:$G$140&lt;&gt;"moeda")*(Inputs!$G$5:$G$140&lt;&gt;"acoes")))*INDEX(Inputs!$K$5:$AJ$140,0,MATCH(O$2,Inputs!$K$4:$AJ$4,0)))+SUMPRODUCT((Inputs!$C$5:$C$140=$B39)*Inputs!$D$5:$D$140*(((Inputs!$G$5:$G$140="moeda")+(Inputs!$G$5:$G$140="acoes"))*Inputs!$B$1+((Inputs!$G$5:$G$140&lt;&gt;"moeda")*(Inputs!$G$5:$G$140&lt;&gt;"acoes")))*INDEX(Inputs!$K$5:$AJ$140,0,MATCH(O$2,Inputs!$K$4:$AJ$4,0)))+SUMPRODUCT((Inputs!$E$5:$E$140=$B39)*Inputs!$F$5:$F$140*(((Inputs!$G$5:$G$140="moeda")+(Inputs!$G$5:$G$140="acoes"))*Inputs!$B$1+((Inputs!$G$5:$G$140&lt;&gt;"moeda")*(Inputs!$G$5:$G$140&lt;&gt;"acoes")))*INDEX(Inputs!$K$5:$AJ$140,0,MATCH(O$2,Inputs!$K$4:$AJ$4,0)))))</f>
        <v>73.384</v>
      </c>
      <c r="P39" s="6">
        <f>IF(ISNA(MATCH(P$2,Inputs!$K$4:$AJ$4,0)),NA(),IF(SUMPRODUCT((Inputs!$A$5:$A$140=$B39)*ISNUMBER(INDEX(Inputs!$K$5:$AJ$140,0,MATCH(P$2,Inputs!$K$4:$AJ$4,0))))+SUMPRODUCT((Inputs!$C$5:$C$140=$B39)*ISNUMBER(INDEX(Inputs!$K$5:$AJ$140,0,MATCH(P$2,Inputs!$K$4:$AJ$4,0))))+SUMPRODUCT((Inputs!$E$5:$E$140=$B39)*ISNUMBER(INDEX(Inputs!$K$5:$AJ$140,0,MATCH(P$2,Inputs!$K$4:$AJ$4,0))))=0,NA(),SUMPRODUCT((Inputs!$A$5:$A$140=$B39)*Inputs!$B$5:$B$140*(((Inputs!$G$5:$G$140="moeda")+(Inputs!$G$5:$G$140="acoes"))*Inputs!$B$1+((Inputs!$G$5:$G$140&lt;&gt;"moeda")*(Inputs!$G$5:$G$140&lt;&gt;"acoes")))*INDEX(Inputs!$K$5:$AJ$140,0,MATCH(P$2,Inputs!$K$4:$AJ$4,0)))+SUMPRODUCT((Inputs!$C$5:$C$140=$B39)*Inputs!$D$5:$D$140*(((Inputs!$G$5:$G$140="moeda")+(Inputs!$G$5:$G$140="acoes"))*Inputs!$B$1+((Inputs!$G$5:$G$140&lt;&gt;"moeda")*(Inputs!$G$5:$G$140&lt;&gt;"acoes")))*INDEX(Inputs!$K$5:$AJ$140,0,MATCH(P$2,Inputs!$K$4:$AJ$4,0)))+SUMPRODUCT((Inputs!$E$5:$E$140=$B39)*Inputs!$F$5:$F$140*(((Inputs!$G$5:$G$140="moeda")+(Inputs!$G$5:$G$140="acoes"))*Inputs!$B$1+((Inputs!$G$5:$G$140&lt;&gt;"moeda")*(Inputs!$G$5:$G$140&lt;&gt;"acoes")))*INDEX(Inputs!$K$5:$AJ$140,0,MATCH(P$2,Inputs!$K$4:$AJ$4,0)))))</f>
        <v>75.169</v>
      </c>
      <c r="Q39" s="6">
        <f>IF(ISNA(MATCH(Q$2,Inputs!$K$4:$AJ$4,0)),NA(),IF(SUMPRODUCT((Inputs!$A$5:$A$140=$B39)*ISNUMBER(INDEX(Inputs!$K$5:$AJ$140,0,MATCH(Q$2,Inputs!$K$4:$AJ$4,0))))+SUMPRODUCT((Inputs!$C$5:$C$140=$B39)*ISNUMBER(INDEX(Inputs!$K$5:$AJ$140,0,MATCH(Q$2,Inputs!$K$4:$AJ$4,0))))+SUMPRODUCT((Inputs!$E$5:$E$140=$B39)*ISNUMBER(INDEX(Inputs!$K$5:$AJ$140,0,MATCH(Q$2,Inputs!$K$4:$AJ$4,0))))=0,NA(),SUMPRODUCT((Inputs!$A$5:$A$140=$B39)*Inputs!$B$5:$B$140*(((Inputs!$G$5:$G$140="moeda")+(Inputs!$G$5:$G$140="acoes"))*Inputs!$B$1+((Inputs!$G$5:$G$140&lt;&gt;"moeda")*(Inputs!$G$5:$G$140&lt;&gt;"acoes")))*INDEX(Inputs!$K$5:$AJ$140,0,MATCH(Q$2,Inputs!$K$4:$AJ$4,0)))+SUMPRODUCT((Inputs!$C$5:$C$140=$B39)*Inputs!$D$5:$D$140*(((Inputs!$G$5:$G$140="moeda")+(Inputs!$G$5:$G$140="acoes"))*Inputs!$B$1+((Inputs!$G$5:$G$140&lt;&gt;"moeda")*(Inputs!$G$5:$G$140&lt;&gt;"acoes")))*INDEX(Inputs!$K$5:$AJ$140,0,MATCH(Q$2,Inputs!$K$4:$AJ$4,0)))+SUMPRODUCT((Inputs!$E$5:$E$140=$B39)*Inputs!$F$5:$F$140*(((Inputs!$G$5:$G$140="moeda")+(Inputs!$G$5:$G$140="acoes"))*Inputs!$B$1+((Inputs!$G$5:$G$140&lt;&gt;"moeda")*(Inputs!$G$5:$G$140&lt;&gt;"acoes")))*INDEX(Inputs!$K$5:$AJ$140,0,MATCH(Q$2,Inputs!$K$4:$AJ$4,0)))))</f>
        <v>106.52879394</v>
      </c>
      <c r="R39" s="3">
        <f>Q39</f>
        <v>106.52879394</v>
      </c>
      <c r="S39" s="6">
        <f>IF(ISNA(MATCH(S$2,Inputs!$K$4:$AJ$4,0)),NA(),IF(SUMPRODUCT((Inputs!$A$5:$A$140=$B39)*ISNUMBER(INDEX(Inputs!$K$5:$AJ$140,0,MATCH(S$2,Inputs!$K$4:$AJ$4,0))))+SUMPRODUCT((Inputs!$C$5:$C$140=$B39)*ISNUMBER(INDEX(Inputs!$K$5:$AJ$140,0,MATCH(S$2,Inputs!$K$4:$AJ$4,0))))+SUMPRODUCT((Inputs!$E$5:$E$140=$B39)*ISNUMBER(INDEX(Inputs!$K$5:$AJ$140,0,MATCH(S$2,Inputs!$K$4:$AJ$4,0))))=0,NA(),SUMPRODUCT((Inputs!$A$5:$A$140=$B39)*Inputs!$B$5:$B$140*(((Inputs!$G$5:$G$140="moeda")+(Inputs!$G$5:$G$140="acoes"))*Inputs!$B$1+((Inputs!$G$5:$G$140&lt;&gt;"moeda")*(Inputs!$G$5:$G$140&lt;&gt;"acoes")))*INDEX(Inputs!$K$5:$AJ$140,0,MATCH(S$2,Inputs!$K$4:$AJ$4,0)))+SUMPRODUCT((Inputs!$C$5:$C$140=$B39)*Inputs!$D$5:$D$140*(((Inputs!$G$5:$G$140="moeda")+(Inputs!$G$5:$G$140="acoes"))*Inputs!$B$1+((Inputs!$G$5:$G$140&lt;&gt;"moeda")*(Inputs!$G$5:$G$140&lt;&gt;"acoes")))*INDEX(Inputs!$K$5:$AJ$140,0,MATCH(S$2,Inputs!$K$4:$AJ$4,0)))+SUMPRODUCT((Inputs!$E$5:$E$140=$B39)*Inputs!$F$5:$F$140*(((Inputs!$G$5:$G$140="moeda")+(Inputs!$G$5:$G$140="acoes"))*Inputs!$B$1+((Inputs!$G$5:$G$140&lt;&gt;"moeda")*(Inputs!$G$5:$G$140&lt;&gt;"acoes")))*INDEX(Inputs!$K$5:$AJ$140,0,MATCH(S$2,Inputs!$K$4:$AJ$4,0)))))</f>
        <v>112.604</v>
      </c>
      <c r="T39" s="6">
        <f>IF(ISNA(MATCH(T$2,Inputs!$K$4:$AJ$4,0)),NA(),IF(SUMPRODUCT((Inputs!$A$5:$A$140=$B39)*ISNUMBER(INDEX(Inputs!$K$5:$AJ$140,0,MATCH(T$2,Inputs!$K$4:$AJ$4,0))))+SUMPRODUCT((Inputs!$C$5:$C$140=$B39)*ISNUMBER(INDEX(Inputs!$K$5:$AJ$140,0,MATCH(T$2,Inputs!$K$4:$AJ$4,0))))+SUMPRODUCT((Inputs!$E$5:$E$140=$B39)*ISNUMBER(INDEX(Inputs!$K$5:$AJ$140,0,MATCH(T$2,Inputs!$K$4:$AJ$4,0))))=0,NA(),SUMPRODUCT((Inputs!$A$5:$A$140=$B39)*Inputs!$B$5:$B$140*(((Inputs!$G$5:$G$140="moeda")+(Inputs!$G$5:$G$140="acoes"))*Inputs!$B$1+((Inputs!$G$5:$G$140&lt;&gt;"moeda")*(Inputs!$G$5:$G$140&lt;&gt;"acoes")))*INDEX(Inputs!$K$5:$AJ$140,0,MATCH(T$2,Inputs!$K$4:$AJ$4,0)))+SUMPRODUCT((Inputs!$C$5:$C$140=$B39)*Inputs!$D$5:$D$140*(((Inputs!$G$5:$G$140="moeda")+(Inputs!$G$5:$G$140="acoes"))*Inputs!$B$1+((Inputs!$G$5:$G$140&lt;&gt;"moeda")*(Inputs!$G$5:$G$140&lt;&gt;"acoes")))*INDEX(Inputs!$K$5:$AJ$140,0,MATCH(T$2,Inputs!$K$4:$AJ$4,0)))+SUMPRODUCT((Inputs!$E$5:$E$140=$B39)*Inputs!$F$5:$F$140*(((Inputs!$G$5:$G$140="moeda")+(Inputs!$G$5:$G$140="acoes"))*Inputs!$B$1+((Inputs!$G$5:$G$140&lt;&gt;"moeda")*(Inputs!$G$5:$G$140&lt;&gt;"acoes")))*INDEX(Inputs!$K$5:$AJ$140,0,MATCH(T$2,Inputs!$K$4:$AJ$4,0)))))</f>
        <v>105.682</v>
      </c>
      <c r="U39" s="6">
        <f>IF(ISNA(MATCH(U$2,Inputs!$K$4:$AJ$4,0)),NA(),IF(SUMPRODUCT((Inputs!$A$5:$A$140=$B39)*ISNUMBER(INDEX(Inputs!$K$5:$AJ$140,0,MATCH(U$2,Inputs!$K$4:$AJ$4,0))))+SUMPRODUCT((Inputs!$C$5:$C$140=$B39)*ISNUMBER(INDEX(Inputs!$K$5:$AJ$140,0,MATCH(U$2,Inputs!$K$4:$AJ$4,0))))+SUMPRODUCT((Inputs!$E$5:$E$140=$B39)*ISNUMBER(INDEX(Inputs!$K$5:$AJ$140,0,MATCH(U$2,Inputs!$K$4:$AJ$4,0))))=0,NA(),SUMPRODUCT((Inputs!$A$5:$A$140=$B39)*Inputs!$B$5:$B$140*(((Inputs!$G$5:$G$140="moeda")+(Inputs!$G$5:$G$140="acoes"))*Inputs!$B$1+((Inputs!$G$5:$G$140&lt;&gt;"moeda")*(Inputs!$G$5:$G$140&lt;&gt;"acoes")))*INDEX(Inputs!$K$5:$AJ$140,0,MATCH(U$2,Inputs!$K$4:$AJ$4,0)))+SUMPRODUCT((Inputs!$C$5:$C$140=$B39)*Inputs!$D$5:$D$140*(((Inputs!$G$5:$G$140="moeda")+(Inputs!$G$5:$G$140="acoes"))*Inputs!$B$1+((Inputs!$G$5:$G$140&lt;&gt;"moeda")*(Inputs!$G$5:$G$140&lt;&gt;"acoes")))*INDEX(Inputs!$K$5:$AJ$140,0,MATCH(U$2,Inputs!$K$4:$AJ$4,0)))+SUMPRODUCT((Inputs!$E$5:$E$140=$B39)*Inputs!$F$5:$F$140*(((Inputs!$G$5:$G$140="moeda")+(Inputs!$G$5:$G$140="acoes"))*Inputs!$B$1+((Inputs!$G$5:$G$140&lt;&gt;"moeda")*(Inputs!$G$5:$G$140&lt;&gt;"acoes")))*INDEX(Inputs!$K$5:$AJ$140,0,MATCH(U$2,Inputs!$K$4:$AJ$4,0)))))</f>
        <v>99.352</v>
      </c>
      <c r="V39" s="6">
        <f>IF(ISNA(MATCH(V$2,Inputs!$K$4:$AJ$4,0)),NA(),IF(SUMPRODUCT((Inputs!$A$5:$A$140=$B39)*ISNUMBER(INDEX(Inputs!$K$5:$AJ$140,0,MATCH(V$2,Inputs!$K$4:$AJ$4,0))))+SUMPRODUCT((Inputs!$C$5:$C$140=$B39)*ISNUMBER(INDEX(Inputs!$K$5:$AJ$140,0,MATCH(V$2,Inputs!$K$4:$AJ$4,0))))+SUMPRODUCT((Inputs!$E$5:$E$140=$B39)*ISNUMBER(INDEX(Inputs!$K$5:$AJ$140,0,MATCH(V$2,Inputs!$K$4:$AJ$4,0))))=0,NA(),SUMPRODUCT((Inputs!$A$5:$A$140=$B39)*Inputs!$B$5:$B$140*(((Inputs!$G$5:$G$140="moeda")+(Inputs!$G$5:$G$140="acoes"))*Inputs!$B$1+((Inputs!$G$5:$G$140&lt;&gt;"moeda")*(Inputs!$G$5:$G$140&lt;&gt;"acoes")))*INDEX(Inputs!$K$5:$AJ$140,0,MATCH(V$2,Inputs!$K$4:$AJ$4,0)))+SUMPRODUCT((Inputs!$C$5:$C$140=$B39)*Inputs!$D$5:$D$140*(((Inputs!$G$5:$G$140="moeda")+(Inputs!$G$5:$G$140="acoes"))*Inputs!$B$1+((Inputs!$G$5:$G$140&lt;&gt;"moeda")*(Inputs!$G$5:$G$140&lt;&gt;"acoes")))*INDEX(Inputs!$K$5:$AJ$140,0,MATCH(V$2,Inputs!$K$4:$AJ$4,0)))+SUMPRODUCT((Inputs!$E$5:$E$140=$B39)*Inputs!$F$5:$F$140*(((Inputs!$G$5:$G$140="moeda")+(Inputs!$G$5:$G$140="acoes"))*Inputs!$B$1+((Inputs!$G$5:$G$140&lt;&gt;"moeda")*(Inputs!$G$5:$G$140&lt;&gt;"acoes")))*INDEX(Inputs!$K$5:$AJ$140,0,MATCH(V$2,Inputs!$K$4:$AJ$4,0)))))</f>
        <v>380.453</v>
      </c>
      <c r="W39" s="3">
        <f>V39</f>
        <v>380.453</v>
      </c>
      <c r="X39" s="6">
        <f>IF(ISNA(MATCH(X$2,Inputs!$K$4:$AJ$4,0)),NA(),IF(SUMPRODUCT((Inputs!$A$5:$A$140=$B39)*ISNUMBER(INDEX(Inputs!$K$5:$AJ$140,0,MATCH(X$2,Inputs!$K$4:$AJ$4,0))))+SUMPRODUCT((Inputs!$C$5:$C$140=$B39)*ISNUMBER(INDEX(Inputs!$K$5:$AJ$140,0,MATCH(X$2,Inputs!$K$4:$AJ$4,0))))+SUMPRODUCT((Inputs!$E$5:$E$140=$B39)*ISNUMBER(INDEX(Inputs!$K$5:$AJ$140,0,MATCH(X$2,Inputs!$K$4:$AJ$4,0))))=0,NA(),SUMPRODUCT((Inputs!$A$5:$A$140=$B39)*Inputs!$B$5:$B$140*(((Inputs!$G$5:$G$140="moeda")+(Inputs!$G$5:$G$140="acoes"))*Inputs!$B$1+((Inputs!$G$5:$G$140&lt;&gt;"moeda")*(Inputs!$G$5:$G$140&lt;&gt;"acoes")))*INDEX(Inputs!$K$5:$AJ$140,0,MATCH(X$2,Inputs!$K$4:$AJ$4,0)))+SUMPRODUCT((Inputs!$C$5:$C$140=$B39)*Inputs!$D$5:$D$140*(((Inputs!$G$5:$G$140="moeda")+(Inputs!$G$5:$G$140="acoes"))*Inputs!$B$1+((Inputs!$G$5:$G$140&lt;&gt;"moeda")*(Inputs!$G$5:$G$140&lt;&gt;"acoes")))*INDEX(Inputs!$K$5:$AJ$140,0,MATCH(X$2,Inputs!$K$4:$AJ$4,0)))+SUMPRODUCT((Inputs!$E$5:$E$140=$B39)*Inputs!$F$5:$F$140*(((Inputs!$G$5:$G$140="moeda")+(Inputs!$G$5:$G$140="acoes"))*Inputs!$B$1+((Inputs!$G$5:$G$140&lt;&gt;"moeda")*(Inputs!$G$5:$G$140&lt;&gt;"acoes")))*INDEX(Inputs!$K$5:$AJ$140,0,MATCH(X$2,Inputs!$K$4:$AJ$4,0)))))</f>
        <v>474.012</v>
      </c>
      <c r="Y39" s="6">
        <f>IF(ISNA(MATCH(Y$2,Inputs!$K$4:$AJ$4,0)),NA(),IF(SUMPRODUCT((Inputs!$A$5:$A$140=$B39)*ISNUMBER(INDEX(Inputs!$K$5:$AJ$140,0,MATCH(Y$2,Inputs!$K$4:$AJ$4,0))))+SUMPRODUCT((Inputs!$C$5:$C$140=$B39)*ISNUMBER(INDEX(Inputs!$K$5:$AJ$140,0,MATCH(Y$2,Inputs!$K$4:$AJ$4,0))))+SUMPRODUCT((Inputs!$E$5:$E$140=$B39)*ISNUMBER(INDEX(Inputs!$K$5:$AJ$140,0,MATCH(Y$2,Inputs!$K$4:$AJ$4,0))))=0,NA(),SUMPRODUCT((Inputs!$A$5:$A$140=$B39)*Inputs!$B$5:$B$140*(((Inputs!$G$5:$G$140="moeda")+(Inputs!$G$5:$G$140="acoes"))*Inputs!$B$1+((Inputs!$G$5:$G$140&lt;&gt;"moeda")*(Inputs!$G$5:$G$140&lt;&gt;"acoes")))*INDEX(Inputs!$K$5:$AJ$140,0,MATCH(Y$2,Inputs!$K$4:$AJ$4,0)))+SUMPRODUCT((Inputs!$C$5:$C$140=$B39)*Inputs!$D$5:$D$140*(((Inputs!$G$5:$G$140="moeda")+(Inputs!$G$5:$G$140="acoes"))*Inputs!$B$1+((Inputs!$G$5:$G$140&lt;&gt;"moeda")*(Inputs!$G$5:$G$140&lt;&gt;"acoes")))*INDEX(Inputs!$K$5:$AJ$140,0,MATCH(Y$2,Inputs!$K$4:$AJ$4,0)))+SUMPRODUCT((Inputs!$E$5:$E$140=$B39)*Inputs!$F$5:$F$140*(((Inputs!$G$5:$G$140="moeda")+(Inputs!$G$5:$G$140="acoes"))*Inputs!$B$1+((Inputs!$G$5:$G$140&lt;&gt;"moeda")*(Inputs!$G$5:$G$140&lt;&gt;"acoes")))*INDEX(Inputs!$K$5:$AJ$140,0,MATCH(Y$2,Inputs!$K$4:$AJ$4,0)))))</f>
        <v>540.041</v>
      </c>
      <c r="Z39" s="6">
        <f>IF(ISNA(MATCH(Z$2,Inputs!$K$4:$AJ$4,0)),NA(),IF(SUMPRODUCT((Inputs!$A$5:$A$140=$B39)*ISNUMBER(INDEX(Inputs!$K$5:$AJ$140,0,MATCH(Z$2,Inputs!$K$4:$AJ$4,0))))+SUMPRODUCT((Inputs!$C$5:$C$140=$B39)*ISNUMBER(INDEX(Inputs!$K$5:$AJ$140,0,MATCH(Z$2,Inputs!$K$4:$AJ$4,0))))+SUMPRODUCT((Inputs!$E$5:$E$140=$B39)*ISNUMBER(INDEX(Inputs!$K$5:$AJ$140,0,MATCH(Z$2,Inputs!$K$4:$AJ$4,0))))=0,NA(),SUMPRODUCT((Inputs!$A$5:$A$140=$B39)*Inputs!$B$5:$B$140*(((Inputs!$G$5:$G$140="moeda")+(Inputs!$G$5:$G$140="acoes"))*Inputs!$B$1+((Inputs!$G$5:$G$140&lt;&gt;"moeda")*(Inputs!$G$5:$G$140&lt;&gt;"acoes")))*INDEX(Inputs!$K$5:$AJ$140,0,MATCH(Z$2,Inputs!$K$4:$AJ$4,0)))+SUMPRODUCT((Inputs!$C$5:$C$140=$B39)*Inputs!$D$5:$D$140*(((Inputs!$G$5:$G$140="moeda")+(Inputs!$G$5:$G$140="acoes"))*Inputs!$B$1+((Inputs!$G$5:$G$140&lt;&gt;"moeda")*(Inputs!$G$5:$G$140&lt;&gt;"acoes")))*INDEX(Inputs!$K$5:$AJ$140,0,MATCH(Z$2,Inputs!$K$4:$AJ$4,0)))+SUMPRODUCT((Inputs!$E$5:$E$140=$B39)*Inputs!$F$5:$F$140*(((Inputs!$G$5:$G$140="moeda")+(Inputs!$G$5:$G$140="acoes"))*Inputs!$B$1+((Inputs!$G$5:$G$140&lt;&gt;"moeda")*(Inputs!$G$5:$G$140&lt;&gt;"acoes")))*INDEX(Inputs!$K$5:$AJ$140,0,MATCH(Z$2,Inputs!$K$4:$AJ$4,0)))))</f>
        <v>403.291</v>
      </c>
      <c r="AA39" s="6">
        <f>IF(ISNA(MATCH(AA$2,Inputs!$K$4:$AJ$4,0)),NA(),IF(SUMPRODUCT((Inputs!$A$5:$A$140=$B39)*ISNUMBER(INDEX(Inputs!$K$5:$AJ$140,0,MATCH(AA$2,Inputs!$K$4:$AJ$4,0))))+SUMPRODUCT((Inputs!$C$5:$C$140=$B39)*ISNUMBER(INDEX(Inputs!$K$5:$AJ$140,0,MATCH(AA$2,Inputs!$K$4:$AJ$4,0))))+SUMPRODUCT((Inputs!$E$5:$E$140=$B39)*ISNUMBER(INDEX(Inputs!$K$5:$AJ$140,0,MATCH(AA$2,Inputs!$K$4:$AJ$4,0))))=0,NA(),SUMPRODUCT((Inputs!$A$5:$A$140=$B39)*Inputs!$B$5:$B$140*(((Inputs!$G$5:$G$140="moeda")+(Inputs!$G$5:$G$140="acoes"))*Inputs!$B$1+((Inputs!$G$5:$G$140&lt;&gt;"moeda")*(Inputs!$G$5:$G$140&lt;&gt;"acoes")))*INDEX(Inputs!$K$5:$AJ$140,0,MATCH(AA$2,Inputs!$K$4:$AJ$4,0)))+SUMPRODUCT((Inputs!$C$5:$C$140=$B39)*Inputs!$D$5:$D$140*(((Inputs!$G$5:$G$140="moeda")+(Inputs!$G$5:$G$140="acoes"))*Inputs!$B$1+((Inputs!$G$5:$G$140&lt;&gt;"moeda")*(Inputs!$G$5:$G$140&lt;&gt;"acoes")))*INDEX(Inputs!$K$5:$AJ$140,0,MATCH(AA$2,Inputs!$K$4:$AJ$4,0)))+SUMPRODUCT((Inputs!$E$5:$E$140=$B39)*Inputs!$F$5:$F$140*(((Inputs!$G$5:$G$140="moeda")+(Inputs!$G$5:$G$140="acoes"))*Inputs!$B$1+((Inputs!$G$5:$G$140&lt;&gt;"moeda")*(Inputs!$G$5:$G$140&lt;&gt;"acoes")))*INDEX(Inputs!$K$5:$AJ$140,0,MATCH(AA$2,Inputs!$K$4:$AJ$4,0)))))</f>
        <v>233.666</v>
      </c>
      <c r="AB39" s="3">
        <f>AA39</f>
        <v>233.666</v>
      </c>
      <c r="AC39" s="6">
        <f>IF(ISNA(MATCH(AC$2,Inputs!$K$4:$AJ$4,0)),NA(),IF(SUMPRODUCT((Inputs!$A$5:$A$140=$B39)*ISNUMBER(INDEX(Inputs!$K$5:$AJ$140,0,MATCH(AC$2,Inputs!$K$4:$AJ$4,0))))+SUMPRODUCT((Inputs!$C$5:$C$140=$B39)*ISNUMBER(INDEX(Inputs!$K$5:$AJ$140,0,MATCH(AC$2,Inputs!$K$4:$AJ$4,0))))+SUMPRODUCT((Inputs!$E$5:$E$140=$B39)*ISNUMBER(INDEX(Inputs!$K$5:$AJ$140,0,MATCH(AC$2,Inputs!$K$4:$AJ$4,0))))=0,NA(),SUMPRODUCT((Inputs!$A$5:$A$140=$B39)*Inputs!$B$5:$B$140*(((Inputs!$G$5:$G$140="moeda")+(Inputs!$G$5:$G$140="acoes"))*Inputs!$B$1+((Inputs!$G$5:$G$140&lt;&gt;"moeda")*(Inputs!$G$5:$G$140&lt;&gt;"acoes")))*INDEX(Inputs!$K$5:$AJ$140,0,MATCH(AC$2,Inputs!$K$4:$AJ$4,0)))+SUMPRODUCT((Inputs!$C$5:$C$140=$B39)*Inputs!$D$5:$D$140*(((Inputs!$G$5:$G$140="moeda")+(Inputs!$G$5:$G$140="acoes"))*Inputs!$B$1+((Inputs!$G$5:$G$140&lt;&gt;"moeda")*(Inputs!$G$5:$G$140&lt;&gt;"acoes")))*INDEX(Inputs!$K$5:$AJ$140,0,MATCH(AC$2,Inputs!$K$4:$AJ$4,0)))+SUMPRODUCT((Inputs!$E$5:$E$140=$B39)*Inputs!$F$5:$F$140*(((Inputs!$G$5:$G$140="moeda")+(Inputs!$G$5:$G$140="acoes"))*Inputs!$B$1+((Inputs!$G$5:$G$140&lt;&gt;"moeda")*(Inputs!$G$5:$G$140&lt;&gt;"acoes")))*INDEX(Inputs!$K$5:$AJ$140,0,MATCH(AC$2,Inputs!$K$4:$AJ$4,0)))))</f>
        <v>280.673</v>
      </c>
      <c r="AD39" s="6">
        <f>IF(ISNA(MATCH(AD$2,Inputs!$K$4:$AJ$4,0)),NA(),IF(SUMPRODUCT((Inputs!$A$5:$A$140=$B39)*ISNUMBER(INDEX(Inputs!$K$5:$AJ$140,0,MATCH(AD$2,Inputs!$K$4:$AJ$4,0))))+SUMPRODUCT((Inputs!$C$5:$C$140=$B39)*ISNUMBER(INDEX(Inputs!$K$5:$AJ$140,0,MATCH(AD$2,Inputs!$K$4:$AJ$4,0))))+SUMPRODUCT((Inputs!$E$5:$E$140=$B39)*ISNUMBER(INDEX(Inputs!$K$5:$AJ$140,0,MATCH(AD$2,Inputs!$K$4:$AJ$4,0))))=0,NA(),SUMPRODUCT((Inputs!$A$5:$A$140=$B39)*Inputs!$B$5:$B$140*(((Inputs!$G$5:$G$140="moeda")+(Inputs!$G$5:$G$140="acoes"))*Inputs!$B$1+((Inputs!$G$5:$G$140&lt;&gt;"moeda")*(Inputs!$G$5:$G$140&lt;&gt;"acoes")))*INDEX(Inputs!$K$5:$AJ$140,0,MATCH(AD$2,Inputs!$K$4:$AJ$4,0)))+SUMPRODUCT((Inputs!$C$5:$C$140=$B39)*Inputs!$D$5:$D$140*(((Inputs!$G$5:$G$140="moeda")+(Inputs!$G$5:$G$140="acoes"))*Inputs!$B$1+((Inputs!$G$5:$G$140&lt;&gt;"moeda")*(Inputs!$G$5:$G$140&lt;&gt;"acoes")))*INDEX(Inputs!$K$5:$AJ$140,0,MATCH(AD$2,Inputs!$K$4:$AJ$4,0)))+SUMPRODUCT((Inputs!$E$5:$E$140=$B39)*Inputs!$F$5:$F$140*(((Inputs!$G$5:$G$140="moeda")+(Inputs!$G$5:$G$140="acoes"))*Inputs!$B$1+((Inputs!$G$5:$G$140&lt;&gt;"moeda")*(Inputs!$G$5:$G$140&lt;&gt;"acoes")))*INDEX(Inputs!$K$5:$AJ$140,0,MATCH(AD$2,Inputs!$K$4:$AJ$4,0)))))</f>
        <v>190.262</v>
      </c>
      <c r="AE39" s="6" t="e">
        <f>IF(ISNA(MATCH(AE$2,Inputs!$K$4:$AJ$4,0)),NA(),IF(SUMPRODUCT((Inputs!$A$5:$A$140=$B39)*ISNUMBER(INDEX(Inputs!$K$5:$AJ$140,0,MATCH(AE$2,Inputs!$K$4:$AJ$4,0))))+SUMPRODUCT((Inputs!$C$5:$C$140=$B39)*ISNUMBER(INDEX(Inputs!$K$5:$AJ$140,0,MATCH(AE$2,Inputs!$K$4:$AJ$4,0))))+SUMPRODUCT((Inputs!$E$5:$E$140=$B39)*ISNUMBER(INDEX(Inputs!$K$5:$AJ$140,0,MATCH(AE$2,Inputs!$K$4:$AJ$4,0))))=0,NA(),SUMPRODUCT((Inputs!$A$5:$A$140=$B39)*Inputs!$B$5:$B$140*(((Inputs!$G$5:$G$140="moeda")+(Inputs!$G$5:$G$140="acoes"))*Inputs!$B$1+((Inputs!$G$5:$G$140&lt;&gt;"moeda")*(Inputs!$G$5:$G$140&lt;&gt;"acoes")))*INDEX(Inputs!$K$5:$AJ$140,0,MATCH(AE$2,Inputs!$K$4:$AJ$4,0)))+SUMPRODUCT((Inputs!$C$5:$C$140=$B39)*Inputs!$D$5:$D$140*(((Inputs!$G$5:$G$140="moeda")+(Inputs!$G$5:$G$140="acoes"))*Inputs!$B$1+((Inputs!$G$5:$G$140&lt;&gt;"moeda")*(Inputs!$G$5:$G$140&lt;&gt;"acoes")))*INDEX(Inputs!$K$5:$AJ$140,0,MATCH(AE$2,Inputs!$K$4:$AJ$4,0)))+SUMPRODUCT((Inputs!$E$5:$E$140=$B39)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9" s="6" t="e">
        <f>IF(ISNA(MATCH(AF$2,Inputs!$K$4:$AJ$4,0)),NA(),IF(SUMPRODUCT((Inputs!$A$5:$A$140=$B39)*ISNUMBER(INDEX(Inputs!$K$5:$AJ$140,0,MATCH(AF$2,Inputs!$K$4:$AJ$4,0))))+SUMPRODUCT((Inputs!$C$5:$C$140=$B39)*ISNUMBER(INDEX(Inputs!$K$5:$AJ$140,0,MATCH(AF$2,Inputs!$K$4:$AJ$4,0))))+SUMPRODUCT((Inputs!$E$5:$E$140=$B39)*ISNUMBER(INDEX(Inputs!$K$5:$AJ$140,0,MATCH(AF$2,Inputs!$K$4:$AJ$4,0))))=0,NA(),SUMPRODUCT((Inputs!$A$5:$A$140=$B39)*Inputs!$B$5:$B$140*(((Inputs!$G$5:$G$140="moeda")+(Inputs!$G$5:$G$140="acoes"))*Inputs!$B$1+((Inputs!$G$5:$G$140&lt;&gt;"moeda")*(Inputs!$G$5:$G$140&lt;&gt;"acoes")))*INDEX(Inputs!$K$5:$AJ$140,0,MATCH(AF$2,Inputs!$K$4:$AJ$4,0)))+SUMPRODUCT((Inputs!$C$5:$C$140=$B39)*Inputs!$D$5:$D$140*(((Inputs!$G$5:$G$140="moeda")+(Inputs!$G$5:$G$140="acoes"))*Inputs!$B$1+((Inputs!$G$5:$G$140&lt;&gt;"moeda")*(Inputs!$G$5:$G$140&lt;&gt;"acoes")))*INDEX(Inputs!$K$5:$AJ$140,0,MATCH(AF$2,Inputs!$K$4:$AJ$4,0)))+SUMPRODUCT((Inputs!$E$5:$E$140=$B39)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9" s="3" t="e">
        <f>AF39</f>
        <v>#N/A</v>
      </c>
      <c r="AH39" s="6" t="e">
        <f>IF(ISNA(MATCH(AH$2,Inputs!$K$4:$AJ$4,0)),NA(),IF(SUMPRODUCT((Inputs!$A$5:$A$140=$B39)*ISNUMBER(INDEX(Inputs!$K$5:$AJ$140,0,MATCH(AH$2,Inputs!$K$4:$AJ$4,0))))+SUMPRODUCT((Inputs!$C$5:$C$140=$B39)*ISNUMBER(INDEX(Inputs!$K$5:$AJ$140,0,MATCH(AH$2,Inputs!$K$4:$AJ$4,0))))+SUMPRODUCT((Inputs!$E$5:$E$140=$B39)*ISNUMBER(INDEX(Inputs!$K$5:$AJ$140,0,MATCH(AH$2,Inputs!$K$4:$AJ$4,0))))=0,NA(),SUMPRODUCT((Inputs!$A$5:$A$140=$B39)*Inputs!$B$5:$B$140*(((Inputs!$G$5:$G$140="moeda")+(Inputs!$G$5:$G$140="acoes"))*Inputs!$B$1+((Inputs!$G$5:$G$140&lt;&gt;"moeda")*(Inputs!$G$5:$G$140&lt;&gt;"acoes")))*INDEX(Inputs!$K$5:$AJ$140,0,MATCH(AH$2,Inputs!$K$4:$AJ$4,0)))+SUMPRODUCT((Inputs!$C$5:$C$140=$B39)*Inputs!$D$5:$D$140*(((Inputs!$G$5:$G$140="moeda")+(Inputs!$G$5:$G$140="acoes"))*Inputs!$B$1+((Inputs!$G$5:$G$140&lt;&gt;"moeda")*(Inputs!$G$5:$G$140&lt;&gt;"acoes")))*INDEX(Inputs!$K$5:$AJ$140,0,MATCH(AH$2,Inputs!$K$4:$AJ$4,0)))+SUMPRODUCT((Inputs!$E$5:$E$140=$B39)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9" s="6">
        <f>IF(ISNA(MATCH(AI$2,Inputs!$K$4:$AJ$4,0)),NA(),IF(SUMPRODUCT((Inputs!$A$5:$A$140=$B39)*ISNUMBER(INDEX(Inputs!$K$5:$AJ$140,0,MATCH(AI$2,Inputs!$K$4:$AJ$4,0))))+SUMPRODUCT((Inputs!$C$5:$C$140=$B39)*ISNUMBER(INDEX(Inputs!$K$5:$AJ$140,0,MATCH(AI$2,Inputs!$K$4:$AJ$4,0))))+SUMPRODUCT((Inputs!$E$5:$E$140=$B39)*ISNUMBER(INDEX(Inputs!$K$5:$AJ$140,0,MATCH(AI$2,Inputs!$K$4:$AJ$4,0))))=0,NA(),SUMPRODUCT((Inputs!$A$5:$A$140=$B39)*Inputs!$B$5:$B$140*(((Inputs!$G$5:$G$140="moeda")+(Inputs!$G$5:$G$140="acoes"))*Inputs!$B$1+((Inputs!$G$5:$G$140&lt;&gt;"moeda")*(Inputs!$G$5:$G$140&lt;&gt;"acoes")))*INDEX(Inputs!$K$5:$AJ$140,0,MATCH(AI$2,Inputs!$K$4:$AJ$4,0)))+SUMPRODUCT((Inputs!$C$5:$C$140=$B39)*Inputs!$D$5:$D$140*(((Inputs!$G$5:$G$140="moeda")+(Inputs!$G$5:$G$140="acoes"))*Inputs!$B$1+((Inputs!$G$5:$G$140&lt;&gt;"moeda")*(Inputs!$G$5:$G$140&lt;&gt;"acoes")))*INDEX(Inputs!$K$5:$AJ$140,0,MATCH(AI$2,Inputs!$K$4:$AJ$4,0)))+SUMPRODUCT((Inputs!$E$5:$E$140=$B39)*Inputs!$F$5:$F$140*(((Inputs!$G$5:$G$140="moeda")+(Inputs!$G$5:$G$140="acoes"))*Inputs!$B$1+((Inputs!$G$5:$G$140&lt;&gt;"moeda")*(Inputs!$G$5:$G$140&lt;&gt;"acoes")))*INDEX(Inputs!$K$5:$AJ$140,0,MATCH(AI$2,Inputs!$K$4:$AJ$4,0)))))</f>
        <v>106.151</v>
      </c>
      <c r="AJ39" s="6">
        <f>IF(ISNA(MATCH(AJ$2,Inputs!$K$4:$AJ$4,0)),NA(),IF(SUMPRODUCT((Inputs!$A$5:$A$140=$B39)*ISNUMBER(INDEX(Inputs!$K$5:$AJ$140,0,MATCH(AJ$2,Inputs!$K$4:$AJ$4,0))))+SUMPRODUCT((Inputs!$C$5:$C$140=$B39)*ISNUMBER(INDEX(Inputs!$K$5:$AJ$140,0,MATCH(AJ$2,Inputs!$K$4:$AJ$4,0))))+SUMPRODUCT((Inputs!$E$5:$E$140=$B39)*ISNUMBER(INDEX(Inputs!$K$5:$AJ$140,0,MATCH(AJ$2,Inputs!$K$4:$AJ$4,0))))=0,NA(),SUMPRODUCT((Inputs!$A$5:$A$140=$B39)*Inputs!$B$5:$B$140*(((Inputs!$G$5:$G$140="moeda")+(Inputs!$G$5:$G$140="acoes"))*Inputs!$B$1+((Inputs!$G$5:$G$140&lt;&gt;"moeda")*(Inputs!$G$5:$G$140&lt;&gt;"acoes")))*INDEX(Inputs!$K$5:$AJ$140,0,MATCH(AJ$2,Inputs!$K$4:$AJ$4,0)))+SUMPRODUCT((Inputs!$C$5:$C$140=$B39)*Inputs!$D$5:$D$140*(((Inputs!$G$5:$G$140="moeda")+(Inputs!$G$5:$G$140="acoes"))*Inputs!$B$1+((Inputs!$G$5:$G$140&lt;&gt;"moeda")*(Inputs!$G$5:$G$140&lt;&gt;"acoes")))*INDEX(Inputs!$K$5:$AJ$140,0,MATCH(AJ$2,Inputs!$K$4:$AJ$4,0)))+SUMPRODUCT((Inputs!$E$5:$E$140=$B39)*Inputs!$F$5:$F$140*(((Inputs!$G$5:$G$140="moeda")+(Inputs!$G$5:$G$140="acoes"))*Inputs!$B$1+((Inputs!$G$5:$G$140&lt;&gt;"moeda")*(Inputs!$G$5:$G$140&lt;&gt;"acoes")))*INDEX(Inputs!$K$5:$AJ$140,0,MATCH(AJ$2,Inputs!$K$4:$AJ$4,0)))))</f>
        <v>87.4980184400003</v>
      </c>
      <c r="AK39" s="6">
        <f>IF(ISNA(MATCH(AK$2,Inputs!$K$4:$AJ$4,0)),NA(),IF(SUMPRODUCT((Inputs!$A$5:$A$140=$B39)*ISNUMBER(INDEX(Inputs!$K$5:$AJ$140,0,MATCH(AK$2,Inputs!$K$4:$AJ$4,0))))+SUMPRODUCT((Inputs!$C$5:$C$140=$B39)*ISNUMBER(INDEX(Inputs!$K$5:$AJ$140,0,MATCH(AK$2,Inputs!$K$4:$AJ$4,0))))+SUMPRODUCT((Inputs!$E$5:$E$140=$B39)*ISNUMBER(INDEX(Inputs!$K$5:$AJ$140,0,MATCH(AK$2,Inputs!$K$4:$AJ$4,0))))=0,NA(),SUMPRODUCT((Inputs!$A$5:$A$140=$B39)*Inputs!$B$5:$B$140*(((Inputs!$G$5:$G$140="moeda")+(Inputs!$G$5:$G$140="acoes"))*Inputs!$B$1+((Inputs!$G$5:$G$140&lt;&gt;"moeda")*(Inputs!$G$5:$G$140&lt;&gt;"acoes")))*INDEX(Inputs!$K$5:$AJ$140,0,MATCH(AK$2,Inputs!$K$4:$AJ$4,0)))+SUMPRODUCT((Inputs!$C$5:$C$140=$B39)*Inputs!$D$5:$D$140*(((Inputs!$G$5:$G$140="moeda")+(Inputs!$G$5:$G$140="acoes"))*Inputs!$B$1+((Inputs!$G$5:$G$140&lt;&gt;"moeda")*(Inputs!$G$5:$G$140&lt;&gt;"acoes")))*INDEX(Inputs!$K$5:$AJ$140,0,MATCH(AK$2,Inputs!$K$4:$AJ$4,0)))+SUMPRODUCT((Inputs!$E$5:$E$140=$B39)*Inputs!$F$5:$F$140*(((Inputs!$G$5:$G$140="moeda")+(Inputs!$G$5:$G$140="acoes"))*Inputs!$B$1+((Inputs!$G$5:$G$140&lt;&gt;"moeda")*(Inputs!$G$5:$G$140&lt;&gt;"acoes")))*INDEX(Inputs!$K$5:$AJ$140,0,MATCH(AK$2,Inputs!$K$4:$AJ$4,0)))))</f>
        <v>75.22660822</v>
      </c>
      <c r="AL39" s="3">
        <f>AK39</f>
        <v>75.22660822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$140=$B41)*ISNUMBER(INDEX(Inputs!$K$5:$AJ$140,0,MATCH(D$2,Inputs!$K$4:$AJ$4,0))))+SUMPRODUCT((Inputs!$C$5:$C$140=$B41)*ISNUMBER(INDEX(Inputs!$K$5:$AJ$140,0,MATCH(D$2,Inputs!$K$4:$AJ$4,0))))+SUMPRODUCT((Inputs!$E$5:$E$140=$B41)*ISNUMBER(INDEX(Inputs!$K$5:$AJ$140,0,MATCH(D$2,Inputs!$K$4:$AJ$4,0))))=0,NA(),SUMPRODUCT((Inputs!$A$5:$A$140=$B41)*Inputs!$B$5:$B$140*(((Inputs!$G$5:$G$140="moeda")+(Inputs!$G$5:$G$140="acoes"))*Inputs!$B$1+((Inputs!$G$5:$G$140&lt;&gt;"moeda")*(Inputs!$G$5:$G$140&lt;&gt;"acoes")))*INDEX(Inputs!$K$5:$AJ$140,0,MATCH(D$2,Inputs!$K$4:$AJ$4,0)))+SUMPRODUCT((Inputs!$C$5:$C$140=$B41)*Inputs!$D$5:$D$140*(((Inputs!$G$5:$G$140="moeda")+(Inputs!$G$5:$G$140="acoes"))*Inputs!$B$1+((Inputs!$G$5:$G$140&lt;&gt;"moeda")*(Inputs!$G$5:$G$140&lt;&gt;"acoes")))*INDEX(Inputs!$K$5:$AJ$140,0,MATCH(D$2,Inputs!$K$4:$AJ$4,0)))+SUMPRODUCT((Inputs!$E$5:$E$140=$B41)*Inputs!$F$5:$F$140*(((Inputs!$G$5:$G$140="moeda")+(Inputs!$G$5:$G$140="acoes"))*Inputs!$B$1+((Inputs!$G$5:$G$140&lt;&gt;"moeda")*(Inputs!$G$5:$G$140&lt;&gt;"acoes")))*INDEX(Inputs!$K$5:$AJ$140,0,MATCH(D$2,Inputs!$K$4:$AJ$4,0)))))</f>
        <v>64.457</v>
      </c>
      <c r="E41" s="6">
        <f>IF(ISNA(MATCH(E$2,Inputs!$K$4:$AJ$4,0)),NA(),IF(SUMPRODUCT((Inputs!$A$5:$A$140=$B41)*ISNUMBER(INDEX(Inputs!$K$5:$AJ$140,0,MATCH(E$2,Inputs!$K$4:$AJ$4,0))))+SUMPRODUCT((Inputs!$C$5:$C$140=$B41)*ISNUMBER(INDEX(Inputs!$K$5:$AJ$140,0,MATCH(E$2,Inputs!$K$4:$AJ$4,0))))+SUMPRODUCT((Inputs!$E$5:$E$140=$B41)*ISNUMBER(INDEX(Inputs!$K$5:$AJ$140,0,MATCH(E$2,Inputs!$K$4:$AJ$4,0))))=0,NA(),SUMPRODUCT((Inputs!$A$5:$A$140=$B41)*Inputs!$B$5:$B$140*(((Inputs!$G$5:$G$140="moeda")+(Inputs!$G$5:$G$140="acoes"))*Inputs!$B$1+((Inputs!$G$5:$G$140&lt;&gt;"moeda")*(Inputs!$G$5:$G$140&lt;&gt;"acoes")))*INDEX(Inputs!$K$5:$AJ$140,0,MATCH(E$2,Inputs!$K$4:$AJ$4,0)))+SUMPRODUCT((Inputs!$C$5:$C$140=$B41)*Inputs!$D$5:$D$140*(((Inputs!$G$5:$G$140="moeda")+(Inputs!$G$5:$G$140="acoes"))*Inputs!$B$1+((Inputs!$G$5:$G$140&lt;&gt;"moeda")*(Inputs!$G$5:$G$140&lt;&gt;"acoes")))*INDEX(Inputs!$K$5:$AJ$140,0,MATCH(E$2,Inputs!$K$4:$AJ$4,0)))+SUMPRODUCT((Inputs!$E$5:$E$140=$B41)*Inputs!$F$5:$F$140*(((Inputs!$G$5:$G$140="moeda")+(Inputs!$G$5:$G$140="acoes"))*Inputs!$B$1+((Inputs!$G$5:$G$140&lt;&gt;"moeda")*(Inputs!$G$5:$G$140&lt;&gt;"acoes")))*INDEX(Inputs!$K$5:$AJ$140,0,MATCH(E$2,Inputs!$K$4:$AJ$4,0)))))</f>
        <v>67.415</v>
      </c>
      <c r="F41" s="6">
        <f>IF(ISNA(MATCH(F$2,Inputs!$K$4:$AJ$4,0)),NA(),IF(SUMPRODUCT((Inputs!$A$5:$A$140=$B41)*ISNUMBER(INDEX(Inputs!$K$5:$AJ$140,0,MATCH(F$2,Inputs!$K$4:$AJ$4,0))))+SUMPRODUCT((Inputs!$C$5:$C$140=$B41)*ISNUMBER(INDEX(Inputs!$K$5:$AJ$140,0,MATCH(F$2,Inputs!$K$4:$AJ$4,0))))+SUMPRODUCT((Inputs!$E$5:$E$140=$B41)*ISNUMBER(INDEX(Inputs!$K$5:$AJ$140,0,MATCH(F$2,Inputs!$K$4:$AJ$4,0))))=0,NA(),SUMPRODUCT((Inputs!$A$5:$A$140=$B41)*Inputs!$B$5:$B$140*(((Inputs!$G$5:$G$140="moeda")+(Inputs!$G$5:$G$140="acoes"))*Inputs!$B$1+((Inputs!$G$5:$G$140&lt;&gt;"moeda")*(Inputs!$G$5:$G$140&lt;&gt;"acoes")))*INDEX(Inputs!$K$5:$AJ$140,0,MATCH(F$2,Inputs!$K$4:$AJ$4,0)))+SUMPRODUCT((Inputs!$C$5:$C$140=$B41)*Inputs!$D$5:$D$140*(((Inputs!$G$5:$G$140="moeda")+(Inputs!$G$5:$G$140="acoes"))*Inputs!$B$1+((Inputs!$G$5:$G$140&lt;&gt;"moeda")*(Inputs!$G$5:$G$140&lt;&gt;"acoes")))*INDEX(Inputs!$K$5:$AJ$140,0,MATCH(F$2,Inputs!$K$4:$AJ$4,0)))+SUMPRODUCT((Inputs!$E$5:$E$140=$B41)*Inputs!$F$5:$F$140*(((Inputs!$G$5:$G$140="moeda")+(Inputs!$G$5:$G$140="acoes"))*Inputs!$B$1+((Inputs!$G$5:$G$140&lt;&gt;"moeda")*(Inputs!$G$5:$G$140&lt;&gt;"acoes")))*INDEX(Inputs!$K$5:$AJ$140,0,MATCH(F$2,Inputs!$K$4:$AJ$4,0)))))</f>
        <v>70.928</v>
      </c>
      <c r="G41" s="6">
        <f>IF(ISNA(MATCH(G$2,Inputs!$K$4:$AJ$4,0)),NA(),IF(SUMPRODUCT((Inputs!$A$5:$A$140=$B41)*ISNUMBER(INDEX(Inputs!$K$5:$AJ$140,0,MATCH(G$2,Inputs!$K$4:$AJ$4,0))))+SUMPRODUCT((Inputs!$C$5:$C$140=$B41)*ISNUMBER(INDEX(Inputs!$K$5:$AJ$140,0,MATCH(G$2,Inputs!$K$4:$AJ$4,0))))+SUMPRODUCT((Inputs!$E$5:$E$140=$B41)*ISNUMBER(INDEX(Inputs!$K$5:$AJ$140,0,MATCH(G$2,Inputs!$K$4:$AJ$4,0))))=0,NA(),SUMPRODUCT((Inputs!$A$5:$A$140=$B41)*Inputs!$B$5:$B$140*(((Inputs!$G$5:$G$140="moeda")+(Inputs!$G$5:$G$140="acoes"))*Inputs!$B$1+((Inputs!$G$5:$G$140&lt;&gt;"moeda")*(Inputs!$G$5:$G$140&lt;&gt;"acoes")))*INDEX(Inputs!$K$5:$AJ$140,0,MATCH(G$2,Inputs!$K$4:$AJ$4,0)))+SUMPRODUCT((Inputs!$C$5:$C$140=$B41)*Inputs!$D$5:$D$140*(((Inputs!$G$5:$G$140="moeda")+(Inputs!$G$5:$G$140="acoes"))*Inputs!$B$1+((Inputs!$G$5:$G$140&lt;&gt;"moeda")*(Inputs!$G$5:$G$140&lt;&gt;"acoes")))*INDEX(Inputs!$K$5:$AJ$140,0,MATCH(G$2,Inputs!$K$4:$AJ$4,0)))+SUMPRODUCT((Inputs!$E$5:$E$140=$B41)*Inputs!$F$5:$F$140*(((Inputs!$G$5:$G$140="moeda")+(Inputs!$G$5:$G$140="acoes"))*Inputs!$B$1+((Inputs!$G$5:$G$140&lt;&gt;"moeda")*(Inputs!$G$5:$G$140&lt;&gt;"acoes")))*INDEX(Inputs!$K$5:$AJ$140,0,MATCH(G$2,Inputs!$K$4:$AJ$4,0)))))</f>
        <v>73.394</v>
      </c>
      <c r="H41" s="3">
        <f>G41</f>
        <v>73.394</v>
      </c>
      <c r="I41" s="6">
        <f>IF(ISNA(MATCH(I$2,Inputs!$K$4:$AJ$4,0)),NA(),IF(SUMPRODUCT((Inputs!$A$5:$A$140=$B41)*ISNUMBER(INDEX(Inputs!$K$5:$AJ$140,0,MATCH(I$2,Inputs!$K$4:$AJ$4,0))))+SUMPRODUCT((Inputs!$C$5:$C$140=$B41)*ISNUMBER(INDEX(Inputs!$K$5:$AJ$140,0,MATCH(I$2,Inputs!$K$4:$AJ$4,0))))+SUMPRODUCT((Inputs!$E$5:$E$140=$B41)*ISNUMBER(INDEX(Inputs!$K$5:$AJ$140,0,MATCH(I$2,Inputs!$K$4:$AJ$4,0))))=0,NA(),SUMPRODUCT((Inputs!$A$5:$A$140=$B41)*Inputs!$B$5:$B$140*(((Inputs!$G$5:$G$140="moeda")+(Inputs!$G$5:$G$140="acoes"))*Inputs!$B$1+((Inputs!$G$5:$G$140&lt;&gt;"moeda")*(Inputs!$G$5:$G$140&lt;&gt;"acoes")))*INDEX(Inputs!$K$5:$AJ$140,0,MATCH(I$2,Inputs!$K$4:$AJ$4,0)))+SUMPRODUCT((Inputs!$C$5:$C$140=$B41)*Inputs!$D$5:$D$140*(((Inputs!$G$5:$G$140="moeda")+(Inputs!$G$5:$G$140="acoes"))*Inputs!$B$1+((Inputs!$G$5:$G$140&lt;&gt;"moeda")*(Inputs!$G$5:$G$140&lt;&gt;"acoes")))*INDEX(Inputs!$K$5:$AJ$140,0,MATCH(I$2,Inputs!$K$4:$AJ$4,0)))+SUMPRODUCT((Inputs!$E$5:$E$140=$B41)*Inputs!$F$5:$F$140*(((Inputs!$G$5:$G$140="moeda")+(Inputs!$G$5:$G$140="acoes"))*Inputs!$B$1+((Inputs!$G$5:$G$140&lt;&gt;"moeda")*(Inputs!$G$5:$G$140&lt;&gt;"acoes")))*INDEX(Inputs!$K$5:$AJ$140,0,MATCH(I$2,Inputs!$K$4:$AJ$4,0)))))</f>
        <v>75.89</v>
      </c>
      <c r="J41" s="6">
        <f>IF(ISNA(MATCH(J$2,Inputs!$K$4:$AJ$4,0)),NA(),IF(SUMPRODUCT((Inputs!$A$5:$A$140=$B41)*ISNUMBER(INDEX(Inputs!$K$5:$AJ$140,0,MATCH(J$2,Inputs!$K$4:$AJ$4,0))))+SUMPRODUCT((Inputs!$C$5:$C$140=$B41)*ISNUMBER(INDEX(Inputs!$K$5:$AJ$140,0,MATCH(J$2,Inputs!$K$4:$AJ$4,0))))+SUMPRODUCT((Inputs!$E$5:$E$140=$B41)*ISNUMBER(INDEX(Inputs!$K$5:$AJ$140,0,MATCH(J$2,Inputs!$K$4:$AJ$4,0))))=0,NA(),SUMPRODUCT((Inputs!$A$5:$A$140=$B41)*Inputs!$B$5:$B$140*(((Inputs!$G$5:$G$140="moeda")+(Inputs!$G$5:$G$140="acoes"))*Inputs!$B$1+((Inputs!$G$5:$G$140&lt;&gt;"moeda")*(Inputs!$G$5:$G$140&lt;&gt;"acoes")))*INDEX(Inputs!$K$5:$AJ$140,0,MATCH(J$2,Inputs!$K$4:$AJ$4,0)))+SUMPRODUCT((Inputs!$C$5:$C$140=$B41)*Inputs!$D$5:$D$140*(((Inputs!$G$5:$G$140="moeda")+(Inputs!$G$5:$G$140="acoes"))*Inputs!$B$1+((Inputs!$G$5:$G$140&lt;&gt;"moeda")*(Inputs!$G$5:$G$140&lt;&gt;"acoes")))*INDEX(Inputs!$K$5:$AJ$140,0,MATCH(J$2,Inputs!$K$4:$AJ$4,0)))+SUMPRODUCT((Inputs!$E$5:$E$140=$B41)*Inputs!$F$5:$F$140*(((Inputs!$G$5:$G$140="moeda")+(Inputs!$G$5:$G$140="acoes"))*Inputs!$B$1+((Inputs!$G$5:$G$140&lt;&gt;"moeda")*(Inputs!$G$5:$G$140&lt;&gt;"acoes")))*INDEX(Inputs!$K$5:$AJ$140,0,MATCH(J$2,Inputs!$K$4:$AJ$4,0)))))</f>
        <v>79.272</v>
      </c>
      <c r="K41" s="6">
        <f>IF(ISNA(MATCH(K$2,Inputs!$K$4:$AJ$4,0)),NA(),IF(SUMPRODUCT((Inputs!$A$5:$A$140=$B41)*ISNUMBER(INDEX(Inputs!$K$5:$AJ$140,0,MATCH(K$2,Inputs!$K$4:$AJ$4,0))))+SUMPRODUCT((Inputs!$C$5:$C$140=$B41)*ISNUMBER(INDEX(Inputs!$K$5:$AJ$140,0,MATCH(K$2,Inputs!$K$4:$AJ$4,0))))+SUMPRODUCT((Inputs!$E$5:$E$140=$B41)*ISNUMBER(INDEX(Inputs!$K$5:$AJ$140,0,MATCH(K$2,Inputs!$K$4:$AJ$4,0))))=0,NA(),SUMPRODUCT((Inputs!$A$5:$A$140=$B41)*Inputs!$B$5:$B$140*(((Inputs!$G$5:$G$140="moeda")+(Inputs!$G$5:$G$140="acoes"))*Inputs!$B$1+((Inputs!$G$5:$G$140&lt;&gt;"moeda")*(Inputs!$G$5:$G$140&lt;&gt;"acoes")))*INDEX(Inputs!$K$5:$AJ$140,0,MATCH(K$2,Inputs!$K$4:$AJ$4,0)))+SUMPRODUCT((Inputs!$C$5:$C$140=$B41)*Inputs!$D$5:$D$140*(((Inputs!$G$5:$G$140="moeda")+(Inputs!$G$5:$G$140="acoes"))*Inputs!$B$1+((Inputs!$G$5:$G$140&lt;&gt;"moeda")*(Inputs!$G$5:$G$140&lt;&gt;"acoes")))*INDEX(Inputs!$K$5:$AJ$140,0,MATCH(K$2,Inputs!$K$4:$AJ$4,0)))+SUMPRODUCT((Inputs!$E$5:$E$140=$B41)*Inputs!$F$5:$F$140*(((Inputs!$G$5:$G$140="moeda")+(Inputs!$G$5:$G$140="acoes"))*Inputs!$B$1+((Inputs!$G$5:$G$140&lt;&gt;"moeda")*(Inputs!$G$5:$G$140&lt;&gt;"acoes")))*INDEX(Inputs!$K$5:$AJ$140,0,MATCH(K$2,Inputs!$K$4:$AJ$4,0)))))</f>
        <v>82.943</v>
      </c>
      <c r="L41" s="6">
        <f>IF(ISNA(MATCH(L$2,Inputs!$K$4:$AJ$4,0)),NA(),IF(SUMPRODUCT((Inputs!$A$5:$A$140=$B41)*ISNUMBER(INDEX(Inputs!$K$5:$AJ$140,0,MATCH(L$2,Inputs!$K$4:$AJ$4,0))))+SUMPRODUCT((Inputs!$C$5:$C$140=$B41)*ISNUMBER(INDEX(Inputs!$K$5:$AJ$140,0,MATCH(L$2,Inputs!$K$4:$AJ$4,0))))+SUMPRODUCT((Inputs!$E$5:$E$140=$B41)*ISNUMBER(INDEX(Inputs!$K$5:$AJ$140,0,MATCH(L$2,Inputs!$K$4:$AJ$4,0))))=0,NA(),SUMPRODUCT((Inputs!$A$5:$A$140=$B41)*Inputs!$B$5:$B$140*(((Inputs!$G$5:$G$140="moeda")+(Inputs!$G$5:$G$140="acoes"))*Inputs!$B$1+((Inputs!$G$5:$G$140&lt;&gt;"moeda")*(Inputs!$G$5:$G$140&lt;&gt;"acoes")))*INDEX(Inputs!$K$5:$AJ$140,0,MATCH(L$2,Inputs!$K$4:$AJ$4,0)))+SUMPRODUCT((Inputs!$C$5:$C$140=$B41)*Inputs!$D$5:$D$140*(((Inputs!$G$5:$G$140="moeda")+(Inputs!$G$5:$G$140="acoes"))*Inputs!$B$1+((Inputs!$G$5:$G$140&lt;&gt;"moeda")*(Inputs!$G$5:$G$140&lt;&gt;"acoes")))*INDEX(Inputs!$K$5:$AJ$140,0,MATCH(L$2,Inputs!$K$4:$AJ$4,0)))+SUMPRODUCT((Inputs!$E$5:$E$140=$B41)*Inputs!$F$5:$F$140*(((Inputs!$G$5:$G$140="moeda")+(Inputs!$G$5:$G$140="acoes"))*Inputs!$B$1+((Inputs!$G$5:$G$140&lt;&gt;"moeda")*(Inputs!$G$5:$G$140&lt;&gt;"acoes")))*INDEX(Inputs!$K$5:$AJ$140,0,MATCH(L$2,Inputs!$K$4:$AJ$4,0)))))</f>
        <v>86.379</v>
      </c>
      <c r="M41" s="3">
        <f>L41</f>
        <v>86.379</v>
      </c>
      <c r="N41" s="6">
        <f>IF(ISNA(MATCH(N$2,Inputs!$K$4:$AJ$4,0)),NA(),IF(SUMPRODUCT((Inputs!$A$5:$A$140=$B41)*ISNUMBER(INDEX(Inputs!$K$5:$AJ$140,0,MATCH(N$2,Inputs!$K$4:$AJ$4,0))))+SUMPRODUCT((Inputs!$C$5:$C$140=$B41)*ISNUMBER(INDEX(Inputs!$K$5:$AJ$140,0,MATCH(N$2,Inputs!$K$4:$AJ$4,0))))+SUMPRODUCT((Inputs!$E$5:$E$140=$B41)*ISNUMBER(INDEX(Inputs!$K$5:$AJ$140,0,MATCH(N$2,Inputs!$K$4:$AJ$4,0))))=0,NA(),SUMPRODUCT((Inputs!$A$5:$A$140=$B41)*Inputs!$B$5:$B$140*(((Inputs!$G$5:$G$140="moeda")+(Inputs!$G$5:$G$140="acoes"))*Inputs!$B$1+((Inputs!$G$5:$G$140&lt;&gt;"moeda")*(Inputs!$G$5:$G$140&lt;&gt;"acoes")))*INDEX(Inputs!$K$5:$AJ$140,0,MATCH(N$2,Inputs!$K$4:$AJ$4,0)))+SUMPRODUCT((Inputs!$C$5:$C$140=$B41)*Inputs!$D$5:$D$140*(((Inputs!$G$5:$G$140="moeda")+(Inputs!$G$5:$G$140="acoes"))*Inputs!$B$1+((Inputs!$G$5:$G$140&lt;&gt;"moeda")*(Inputs!$G$5:$G$140&lt;&gt;"acoes")))*INDEX(Inputs!$K$5:$AJ$140,0,MATCH(N$2,Inputs!$K$4:$AJ$4,0)))+SUMPRODUCT((Inputs!$E$5:$E$140=$B41)*Inputs!$F$5:$F$140*(((Inputs!$G$5:$G$140="moeda")+(Inputs!$G$5:$G$140="acoes"))*Inputs!$B$1+((Inputs!$G$5:$G$140&lt;&gt;"moeda")*(Inputs!$G$5:$G$140&lt;&gt;"acoes")))*INDEX(Inputs!$K$5:$AJ$140,0,MATCH(N$2,Inputs!$K$4:$AJ$4,0)))))</f>
        <v>89.2724</v>
      </c>
      <c r="O41" s="6">
        <f>IF(ISNA(MATCH(O$2,Inputs!$K$4:$AJ$4,0)),NA(),IF(SUMPRODUCT((Inputs!$A$5:$A$140=$B41)*ISNUMBER(INDEX(Inputs!$K$5:$AJ$140,0,MATCH(O$2,Inputs!$K$4:$AJ$4,0))))+SUMPRODUCT((Inputs!$C$5:$C$140=$B41)*ISNUMBER(INDEX(Inputs!$K$5:$AJ$140,0,MATCH(O$2,Inputs!$K$4:$AJ$4,0))))+SUMPRODUCT((Inputs!$E$5:$E$140=$B41)*ISNUMBER(INDEX(Inputs!$K$5:$AJ$140,0,MATCH(O$2,Inputs!$K$4:$AJ$4,0))))=0,NA(),SUMPRODUCT((Inputs!$A$5:$A$140=$B41)*Inputs!$B$5:$B$140*(((Inputs!$G$5:$G$140="moeda")+(Inputs!$G$5:$G$140="acoes"))*Inputs!$B$1+((Inputs!$G$5:$G$140&lt;&gt;"moeda")*(Inputs!$G$5:$G$140&lt;&gt;"acoes")))*INDEX(Inputs!$K$5:$AJ$140,0,MATCH(O$2,Inputs!$K$4:$AJ$4,0)))+SUMPRODUCT((Inputs!$C$5:$C$140=$B41)*Inputs!$D$5:$D$140*(((Inputs!$G$5:$G$140="moeda")+(Inputs!$G$5:$G$140="acoes"))*Inputs!$B$1+((Inputs!$G$5:$G$140&lt;&gt;"moeda")*(Inputs!$G$5:$G$140&lt;&gt;"acoes")))*INDEX(Inputs!$K$5:$AJ$140,0,MATCH(O$2,Inputs!$K$4:$AJ$4,0)))+SUMPRODUCT((Inputs!$E$5:$E$140=$B41)*Inputs!$F$5:$F$140*(((Inputs!$G$5:$G$140="moeda")+(Inputs!$G$5:$G$140="acoes"))*Inputs!$B$1+((Inputs!$G$5:$G$140&lt;&gt;"moeda")*(Inputs!$G$5:$G$140&lt;&gt;"acoes")))*INDEX(Inputs!$K$5:$AJ$140,0,MATCH(O$2,Inputs!$K$4:$AJ$4,0)))))</f>
        <v>93.836</v>
      </c>
      <c r="P41" s="6">
        <f>IF(ISNA(MATCH(P$2,Inputs!$K$4:$AJ$4,0)),NA(),IF(SUMPRODUCT((Inputs!$A$5:$A$140=$B41)*ISNUMBER(INDEX(Inputs!$K$5:$AJ$140,0,MATCH(P$2,Inputs!$K$4:$AJ$4,0))))+SUMPRODUCT((Inputs!$C$5:$C$140=$B41)*ISNUMBER(INDEX(Inputs!$K$5:$AJ$140,0,MATCH(P$2,Inputs!$K$4:$AJ$4,0))))+SUMPRODUCT((Inputs!$E$5:$E$140=$B41)*ISNUMBER(INDEX(Inputs!$K$5:$AJ$140,0,MATCH(P$2,Inputs!$K$4:$AJ$4,0))))=0,NA(),SUMPRODUCT((Inputs!$A$5:$A$140=$B41)*Inputs!$B$5:$B$140*(((Inputs!$G$5:$G$140="moeda")+(Inputs!$G$5:$G$140="acoes"))*Inputs!$B$1+((Inputs!$G$5:$G$140&lt;&gt;"moeda")*(Inputs!$G$5:$G$140&lt;&gt;"acoes")))*INDEX(Inputs!$K$5:$AJ$140,0,MATCH(P$2,Inputs!$K$4:$AJ$4,0)))+SUMPRODUCT((Inputs!$C$5:$C$140=$B41)*Inputs!$D$5:$D$140*(((Inputs!$G$5:$G$140="moeda")+(Inputs!$G$5:$G$140="acoes"))*Inputs!$B$1+((Inputs!$G$5:$G$140&lt;&gt;"moeda")*(Inputs!$G$5:$G$140&lt;&gt;"acoes")))*INDEX(Inputs!$K$5:$AJ$140,0,MATCH(P$2,Inputs!$K$4:$AJ$4,0)))+SUMPRODUCT((Inputs!$E$5:$E$140=$B41)*Inputs!$F$5:$F$140*(((Inputs!$G$5:$G$140="moeda")+(Inputs!$G$5:$G$140="acoes"))*Inputs!$B$1+((Inputs!$G$5:$G$140&lt;&gt;"moeda")*(Inputs!$G$5:$G$140&lt;&gt;"acoes")))*INDEX(Inputs!$K$5:$AJ$140,0,MATCH(P$2,Inputs!$K$4:$AJ$4,0)))))</f>
        <v>98.03</v>
      </c>
      <c r="Q41" s="6">
        <f>IF(ISNA(MATCH(Q$2,Inputs!$K$4:$AJ$4,0)),NA(),IF(SUMPRODUCT((Inputs!$A$5:$A$140=$B41)*ISNUMBER(INDEX(Inputs!$K$5:$AJ$140,0,MATCH(Q$2,Inputs!$K$4:$AJ$4,0))))+SUMPRODUCT((Inputs!$C$5:$C$140=$B41)*ISNUMBER(INDEX(Inputs!$K$5:$AJ$140,0,MATCH(Q$2,Inputs!$K$4:$AJ$4,0))))+SUMPRODUCT((Inputs!$E$5:$E$140=$B41)*ISNUMBER(INDEX(Inputs!$K$5:$AJ$140,0,MATCH(Q$2,Inputs!$K$4:$AJ$4,0))))=0,NA(),SUMPRODUCT((Inputs!$A$5:$A$140=$B41)*Inputs!$B$5:$B$140*(((Inputs!$G$5:$G$140="moeda")+(Inputs!$G$5:$G$140="acoes"))*Inputs!$B$1+((Inputs!$G$5:$G$140&lt;&gt;"moeda")*(Inputs!$G$5:$G$140&lt;&gt;"acoes")))*INDEX(Inputs!$K$5:$AJ$140,0,MATCH(Q$2,Inputs!$K$4:$AJ$4,0)))+SUMPRODUCT((Inputs!$C$5:$C$140=$B41)*Inputs!$D$5:$D$140*(((Inputs!$G$5:$G$140="moeda")+(Inputs!$G$5:$G$140="acoes"))*Inputs!$B$1+((Inputs!$G$5:$G$140&lt;&gt;"moeda")*(Inputs!$G$5:$G$140&lt;&gt;"acoes")))*INDEX(Inputs!$K$5:$AJ$140,0,MATCH(Q$2,Inputs!$K$4:$AJ$4,0)))+SUMPRODUCT((Inputs!$E$5:$E$140=$B41)*Inputs!$F$5:$F$140*(((Inputs!$G$5:$G$140="moeda")+(Inputs!$G$5:$G$140="acoes"))*Inputs!$B$1+((Inputs!$G$5:$G$140&lt;&gt;"moeda")*(Inputs!$G$5:$G$140&lt;&gt;"acoes")))*INDEX(Inputs!$K$5:$AJ$140,0,MATCH(Q$2,Inputs!$K$4:$AJ$4,0)))))</f>
        <v>101.241</v>
      </c>
      <c r="R41" s="3">
        <f>Q41</f>
        <v>101.241</v>
      </c>
      <c r="S41" s="6">
        <f>IF(ISNA(MATCH(S$2,Inputs!$K$4:$AJ$4,0)),NA(),IF(SUMPRODUCT((Inputs!$A$5:$A$140=$B41)*ISNUMBER(INDEX(Inputs!$K$5:$AJ$140,0,MATCH(S$2,Inputs!$K$4:$AJ$4,0))))+SUMPRODUCT((Inputs!$C$5:$C$140=$B41)*ISNUMBER(INDEX(Inputs!$K$5:$AJ$140,0,MATCH(S$2,Inputs!$K$4:$AJ$4,0))))+SUMPRODUCT((Inputs!$E$5:$E$140=$B41)*ISNUMBER(INDEX(Inputs!$K$5:$AJ$140,0,MATCH(S$2,Inputs!$K$4:$AJ$4,0))))=0,NA(),SUMPRODUCT((Inputs!$A$5:$A$140=$B41)*Inputs!$B$5:$B$140*(((Inputs!$G$5:$G$140="moeda")+(Inputs!$G$5:$G$140="acoes"))*Inputs!$B$1+((Inputs!$G$5:$G$140&lt;&gt;"moeda")*(Inputs!$G$5:$G$140&lt;&gt;"acoes")))*INDEX(Inputs!$K$5:$AJ$140,0,MATCH(S$2,Inputs!$K$4:$AJ$4,0)))+SUMPRODUCT((Inputs!$C$5:$C$140=$B41)*Inputs!$D$5:$D$140*(((Inputs!$G$5:$G$140="moeda")+(Inputs!$G$5:$G$140="acoes"))*Inputs!$B$1+((Inputs!$G$5:$G$140&lt;&gt;"moeda")*(Inputs!$G$5:$G$140&lt;&gt;"acoes")))*INDEX(Inputs!$K$5:$AJ$140,0,MATCH(S$2,Inputs!$K$4:$AJ$4,0)))+SUMPRODUCT((Inputs!$E$5:$E$140=$B41)*Inputs!$F$5:$F$140*(((Inputs!$G$5:$G$140="moeda")+(Inputs!$G$5:$G$140="acoes"))*Inputs!$B$1+((Inputs!$G$5:$G$140&lt;&gt;"moeda")*(Inputs!$G$5:$G$140&lt;&gt;"acoes")))*INDEX(Inputs!$K$5:$AJ$140,0,MATCH(S$2,Inputs!$K$4:$AJ$4,0)))))</f>
        <v>103.804</v>
      </c>
      <c r="T41" s="6">
        <f>IF(ISNA(MATCH(T$2,Inputs!$K$4:$AJ$4,0)),NA(),IF(SUMPRODUCT((Inputs!$A$5:$A$140=$B41)*ISNUMBER(INDEX(Inputs!$K$5:$AJ$140,0,MATCH(T$2,Inputs!$K$4:$AJ$4,0))))+SUMPRODUCT((Inputs!$C$5:$C$140=$B41)*ISNUMBER(INDEX(Inputs!$K$5:$AJ$140,0,MATCH(T$2,Inputs!$K$4:$AJ$4,0))))+SUMPRODUCT((Inputs!$E$5:$E$140=$B41)*ISNUMBER(INDEX(Inputs!$K$5:$AJ$140,0,MATCH(T$2,Inputs!$K$4:$AJ$4,0))))=0,NA(),SUMPRODUCT((Inputs!$A$5:$A$140=$B41)*Inputs!$B$5:$B$140*(((Inputs!$G$5:$G$140="moeda")+(Inputs!$G$5:$G$140="acoes"))*Inputs!$B$1+((Inputs!$G$5:$G$140&lt;&gt;"moeda")*(Inputs!$G$5:$G$140&lt;&gt;"acoes")))*INDEX(Inputs!$K$5:$AJ$140,0,MATCH(T$2,Inputs!$K$4:$AJ$4,0)))+SUMPRODUCT((Inputs!$C$5:$C$140=$B41)*Inputs!$D$5:$D$140*(((Inputs!$G$5:$G$140="moeda")+(Inputs!$G$5:$G$140="acoes"))*Inputs!$B$1+((Inputs!$G$5:$G$140&lt;&gt;"moeda")*(Inputs!$G$5:$G$140&lt;&gt;"acoes")))*INDEX(Inputs!$K$5:$AJ$140,0,MATCH(T$2,Inputs!$K$4:$AJ$4,0)))+SUMPRODUCT((Inputs!$E$5:$E$140=$B41)*Inputs!$F$5:$F$140*(((Inputs!$G$5:$G$140="moeda")+(Inputs!$G$5:$G$140="acoes"))*Inputs!$B$1+((Inputs!$G$5:$G$140&lt;&gt;"moeda")*(Inputs!$G$5:$G$140&lt;&gt;"acoes")))*INDEX(Inputs!$K$5:$AJ$140,0,MATCH(T$2,Inputs!$K$4:$AJ$4,0)))))</f>
        <v>108.517</v>
      </c>
      <c r="U41" s="6">
        <f>IF(ISNA(MATCH(U$2,Inputs!$K$4:$AJ$4,0)),NA(),IF(SUMPRODUCT((Inputs!$A$5:$A$140=$B41)*ISNUMBER(INDEX(Inputs!$K$5:$AJ$140,0,MATCH(U$2,Inputs!$K$4:$AJ$4,0))))+SUMPRODUCT((Inputs!$C$5:$C$140=$B41)*ISNUMBER(INDEX(Inputs!$K$5:$AJ$140,0,MATCH(U$2,Inputs!$K$4:$AJ$4,0))))+SUMPRODUCT((Inputs!$E$5:$E$140=$B41)*ISNUMBER(INDEX(Inputs!$K$5:$AJ$140,0,MATCH(U$2,Inputs!$K$4:$AJ$4,0))))=0,NA(),SUMPRODUCT((Inputs!$A$5:$A$140=$B41)*Inputs!$B$5:$B$140*(((Inputs!$G$5:$G$140="moeda")+(Inputs!$G$5:$G$140="acoes"))*Inputs!$B$1+((Inputs!$G$5:$G$140&lt;&gt;"moeda")*(Inputs!$G$5:$G$140&lt;&gt;"acoes")))*INDEX(Inputs!$K$5:$AJ$140,0,MATCH(U$2,Inputs!$K$4:$AJ$4,0)))+SUMPRODUCT((Inputs!$C$5:$C$140=$B41)*Inputs!$D$5:$D$140*(((Inputs!$G$5:$G$140="moeda")+(Inputs!$G$5:$G$140="acoes"))*Inputs!$B$1+((Inputs!$G$5:$G$140&lt;&gt;"moeda")*(Inputs!$G$5:$G$140&lt;&gt;"acoes")))*INDEX(Inputs!$K$5:$AJ$140,0,MATCH(U$2,Inputs!$K$4:$AJ$4,0)))+SUMPRODUCT((Inputs!$E$5:$E$140=$B41)*Inputs!$F$5:$F$140*(((Inputs!$G$5:$G$140="moeda")+(Inputs!$G$5:$G$140="acoes"))*Inputs!$B$1+((Inputs!$G$5:$G$140&lt;&gt;"moeda")*(Inputs!$G$5:$G$140&lt;&gt;"acoes")))*INDEX(Inputs!$K$5:$AJ$140,0,MATCH(U$2,Inputs!$K$4:$AJ$4,0)))))</f>
        <v>121.956</v>
      </c>
      <c r="V41" s="6">
        <f>IF(ISNA(MATCH(V$2,Inputs!$K$4:$AJ$4,0)),NA(),IF(SUMPRODUCT((Inputs!$A$5:$A$140=$B41)*ISNUMBER(INDEX(Inputs!$K$5:$AJ$140,0,MATCH(V$2,Inputs!$K$4:$AJ$4,0))))+SUMPRODUCT((Inputs!$C$5:$C$140=$B41)*ISNUMBER(INDEX(Inputs!$K$5:$AJ$140,0,MATCH(V$2,Inputs!$K$4:$AJ$4,0))))+SUMPRODUCT((Inputs!$E$5:$E$140=$B41)*ISNUMBER(INDEX(Inputs!$K$5:$AJ$140,0,MATCH(V$2,Inputs!$K$4:$AJ$4,0))))=0,NA(),SUMPRODUCT((Inputs!$A$5:$A$140=$B41)*Inputs!$B$5:$B$140*(((Inputs!$G$5:$G$140="moeda")+(Inputs!$G$5:$G$140="acoes"))*Inputs!$B$1+((Inputs!$G$5:$G$140&lt;&gt;"moeda")*(Inputs!$G$5:$G$140&lt;&gt;"acoes")))*INDEX(Inputs!$K$5:$AJ$140,0,MATCH(V$2,Inputs!$K$4:$AJ$4,0)))+SUMPRODUCT((Inputs!$C$5:$C$140=$B41)*Inputs!$D$5:$D$140*(((Inputs!$G$5:$G$140="moeda")+(Inputs!$G$5:$G$140="acoes"))*Inputs!$B$1+((Inputs!$G$5:$G$140&lt;&gt;"moeda")*(Inputs!$G$5:$G$140&lt;&gt;"acoes")))*INDEX(Inputs!$K$5:$AJ$140,0,MATCH(V$2,Inputs!$K$4:$AJ$4,0)))+SUMPRODUCT((Inputs!$E$5:$E$140=$B41)*Inputs!$F$5:$F$140*(((Inputs!$G$5:$G$140="moeda")+(Inputs!$G$5:$G$140="acoes"))*Inputs!$B$1+((Inputs!$G$5:$G$140&lt;&gt;"moeda")*(Inputs!$G$5:$G$140&lt;&gt;"acoes")))*INDEX(Inputs!$K$5:$AJ$140,0,MATCH(V$2,Inputs!$K$4:$AJ$4,0)))))</f>
        <v>76.683</v>
      </c>
      <c r="W41" s="3">
        <f>V41</f>
        <v>76.683</v>
      </c>
      <c r="X41" s="6">
        <f>IF(ISNA(MATCH(X$2,Inputs!$K$4:$AJ$4,0)),NA(),IF(SUMPRODUCT((Inputs!$A$5:$A$140=$B41)*ISNUMBER(INDEX(Inputs!$K$5:$AJ$140,0,MATCH(X$2,Inputs!$K$4:$AJ$4,0))))+SUMPRODUCT((Inputs!$C$5:$C$140=$B41)*ISNUMBER(INDEX(Inputs!$K$5:$AJ$140,0,MATCH(X$2,Inputs!$K$4:$AJ$4,0))))+SUMPRODUCT((Inputs!$E$5:$E$140=$B41)*ISNUMBER(INDEX(Inputs!$K$5:$AJ$140,0,MATCH(X$2,Inputs!$K$4:$AJ$4,0))))=0,NA(),SUMPRODUCT((Inputs!$A$5:$A$140=$B41)*Inputs!$B$5:$B$140*(((Inputs!$G$5:$G$140="moeda")+(Inputs!$G$5:$G$140="acoes"))*Inputs!$B$1+((Inputs!$G$5:$G$140&lt;&gt;"moeda")*(Inputs!$G$5:$G$140&lt;&gt;"acoes")))*INDEX(Inputs!$K$5:$AJ$140,0,MATCH(X$2,Inputs!$K$4:$AJ$4,0)))+SUMPRODUCT((Inputs!$C$5:$C$140=$B41)*Inputs!$D$5:$D$140*(((Inputs!$G$5:$G$140="moeda")+(Inputs!$G$5:$G$140="acoes"))*Inputs!$B$1+((Inputs!$G$5:$G$140&lt;&gt;"moeda")*(Inputs!$G$5:$G$140&lt;&gt;"acoes")))*INDEX(Inputs!$K$5:$AJ$140,0,MATCH(X$2,Inputs!$K$4:$AJ$4,0)))+SUMPRODUCT((Inputs!$E$5:$E$140=$B41)*Inputs!$F$5:$F$140*(((Inputs!$G$5:$G$140="moeda")+(Inputs!$G$5:$G$140="acoes"))*Inputs!$B$1+((Inputs!$G$5:$G$140&lt;&gt;"moeda")*(Inputs!$G$5:$G$140&lt;&gt;"acoes")))*INDEX(Inputs!$K$5:$AJ$140,0,MATCH(X$2,Inputs!$K$4:$AJ$4,0)))))</f>
        <v>79.696</v>
      </c>
      <c r="Y41" s="6">
        <f>IF(ISNA(MATCH(Y$2,Inputs!$K$4:$AJ$4,0)),NA(),IF(SUMPRODUCT((Inputs!$A$5:$A$140=$B41)*ISNUMBER(INDEX(Inputs!$K$5:$AJ$140,0,MATCH(Y$2,Inputs!$K$4:$AJ$4,0))))+SUMPRODUCT((Inputs!$C$5:$C$140=$B41)*ISNUMBER(INDEX(Inputs!$K$5:$AJ$140,0,MATCH(Y$2,Inputs!$K$4:$AJ$4,0))))+SUMPRODUCT((Inputs!$E$5:$E$140=$B41)*ISNUMBER(INDEX(Inputs!$K$5:$AJ$140,0,MATCH(Y$2,Inputs!$K$4:$AJ$4,0))))=0,NA(),SUMPRODUCT((Inputs!$A$5:$A$140=$B41)*Inputs!$B$5:$B$140*(((Inputs!$G$5:$G$140="moeda")+(Inputs!$G$5:$G$140="acoes"))*Inputs!$B$1+((Inputs!$G$5:$G$140&lt;&gt;"moeda")*(Inputs!$G$5:$G$140&lt;&gt;"acoes")))*INDEX(Inputs!$K$5:$AJ$140,0,MATCH(Y$2,Inputs!$K$4:$AJ$4,0)))+SUMPRODUCT((Inputs!$C$5:$C$140=$B41)*Inputs!$D$5:$D$140*(((Inputs!$G$5:$G$140="moeda")+(Inputs!$G$5:$G$140="acoes"))*Inputs!$B$1+((Inputs!$G$5:$G$140&lt;&gt;"moeda")*(Inputs!$G$5:$G$140&lt;&gt;"acoes")))*INDEX(Inputs!$K$5:$AJ$140,0,MATCH(Y$2,Inputs!$K$4:$AJ$4,0)))+SUMPRODUCT((Inputs!$E$5:$E$140=$B41)*Inputs!$F$5:$F$140*(((Inputs!$G$5:$G$140="moeda")+(Inputs!$G$5:$G$140="acoes"))*Inputs!$B$1+((Inputs!$G$5:$G$140&lt;&gt;"moeda")*(Inputs!$G$5:$G$140&lt;&gt;"acoes")))*INDEX(Inputs!$K$5:$AJ$140,0,MATCH(Y$2,Inputs!$K$4:$AJ$4,0)))))</f>
        <v>85.385</v>
      </c>
      <c r="Z41" s="6">
        <f>IF(ISNA(MATCH(Z$2,Inputs!$K$4:$AJ$4,0)),NA(),IF(SUMPRODUCT((Inputs!$A$5:$A$140=$B41)*ISNUMBER(INDEX(Inputs!$K$5:$AJ$140,0,MATCH(Z$2,Inputs!$K$4:$AJ$4,0))))+SUMPRODUCT((Inputs!$C$5:$C$140=$B41)*ISNUMBER(INDEX(Inputs!$K$5:$AJ$140,0,MATCH(Z$2,Inputs!$K$4:$AJ$4,0))))+SUMPRODUCT((Inputs!$E$5:$E$140=$B41)*ISNUMBER(INDEX(Inputs!$K$5:$AJ$140,0,MATCH(Z$2,Inputs!$K$4:$AJ$4,0))))=0,NA(),SUMPRODUCT((Inputs!$A$5:$A$140=$B41)*Inputs!$B$5:$B$140*(((Inputs!$G$5:$G$140="moeda")+(Inputs!$G$5:$G$140="acoes"))*Inputs!$B$1+((Inputs!$G$5:$G$140&lt;&gt;"moeda")*(Inputs!$G$5:$G$140&lt;&gt;"acoes")))*INDEX(Inputs!$K$5:$AJ$140,0,MATCH(Z$2,Inputs!$K$4:$AJ$4,0)))+SUMPRODUCT((Inputs!$C$5:$C$140=$B41)*Inputs!$D$5:$D$140*(((Inputs!$G$5:$G$140="moeda")+(Inputs!$G$5:$G$140="acoes"))*Inputs!$B$1+((Inputs!$G$5:$G$140&lt;&gt;"moeda")*(Inputs!$G$5:$G$140&lt;&gt;"acoes")))*INDEX(Inputs!$K$5:$AJ$140,0,MATCH(Z$2,Inputs!$K$4:$AJ$4,0)))+SUMPRODUCT((Inputs!$E$5:$E$140=$B41)*Inputs!$F$5:$F$140*(((Inputs!$G$5:$G$140="moeda")+(Inputs!$G$5:$G$140="acoes"))*Inputs!$B$1+((Inputs!$G$5:$G$140&lt;&gt;"moeda")*(Inputs!$G$5:$G$140&lt;&gt;"acoes")))*INDEX(Inputs!$K$5:$AJ$140,0,MATCH(Z$2,Inputs!$K$4:$AJ$4,0)))))</f>
        <v>1058.071</v>
      </c>
      <c r="AA41" s="6">
        <f>IF(ISNA(MATCH(AA$2,Inputs!$K$4:$AJ$4,0)),NA(),IF(SUMPRODUCT((Inputs!$A$5:$A$140=$B41)*ISNUMBER(INDEX(Inputs!$K$5:$AJ$140,0,MATCH(AA$2,Inputs!$K$4:$AJ$4,0))))+SUMPRODUCT((Inputs!$C$5:$C$140=$B41)*ISNUMBER(INDEX(Inputs!$K$5:$AJ$140,0,MATCH(AA$2,Inputs!$K$4:$AJ$4,0))))+SUMPRODUCT((Inputs!$E$5:$E$140=$B41)*ISNUMBER(INDEX(Inputs!$K$5:$AJ$140,0,MATCH(AA$2,Inputs!$K$4:$AJ$4,0))))=0,NA(),SUMPRODUCT((Inputs!$A$5:$A$140=$B41)*Inputs!$B$5:$B$140*(((Inputs!$G$5:$G$140="moeda")+(Inputs!$G$5:$G$140="acoes"))*Inputs!$B$1+((Inputs!$G$5:$G$140&lt;&gt;"moeda")*(Inputs!$G$5:$G$140&lt;&gt;"acoes")))*INDEX(Inputs!$K$5:$AJ$140,0,MATCH(AA$2,Inputs!$K$4:$AJ$4,0)))+SUMPRODUCT((Inputs!$C$5:$C$140=$B41)*Inputs!$D$5:$D$140*(((Inputs!$G$5:$G$140="moeda")+(Inputs!$G$5:$G$140="acoes"))*Inputs!$B$1+((Inputs!$G$5:$G$140&lt;&gt;"moeda")*(Inputs!$G$5:$G$140&lt;&gt;"acoes")))*INDEX(Inputs!$K$5:$AJ$140,0,MATCH(AA$2,Inputs!$K$4:$AJ$4,0)))+SUMPRODUCT((Inputs!$E$5:$E$140=$B41)*Inputs!$F$5:$F$140*(((Inputs!$G$5:$G$140="moeda")+(Inputs!$G$5:$G$140="acoes"))*Inputs!$B$1+((Inputs!$G$5:$G$140&lt;&gt;"moeda")*(Inputs!$G$5:$G$140&lt;&gt;"acoes")))*INDEX(Inputs!$K$5:$AJ$140,0,MATCH(AA$2,Inputs!$K$4:$AJ$4,0)))))</f>
        <v>1083.859</v>
      </c>
      <c r="AB41" s="3">
        <f>AA41</f>
        <v>1083.859</v>
      </c>
      <c r="AC41" s="6">
        <f>IF(ISNA(MATCH(AC$2,Inputs!$K$4:$AJ$4,0)),NA(),IF(SUMPRODUCT((Inputs!$A$5:$A$140=$B41)*ISNUMBER(INDEX(Inputs!$K$5:$AJ$140,0,MATCH(AC$2,Inputs!$K$4:$AJ$4,0))))+SUMPRODUCT((Inputs!$C$5:$C$140=$B41)*ISNUMBER(INDEX(Inputs!$K$5:$AJ$140,0,MATCH(AC$2,Inputs!$K$4:$AJ$4,0))))+SUMPRODUCT((Inputs!$E$5:$E$140=$B41)*ISNUMBER(INDEX(Inputs!$K$5:$AJ$140,0,MATCH(AC$2,Inputs!$K$4:$AJ$4,0))))=0,NA(),SUMPRODUCT((Inputs!$A$5:$A$140=$B41)*Inputs!$B$5:$B$140*(((Inputs!$G$5:$G$140="moeda")+(Inputs!$G$5:$G$140="acoes"))*Inputs!$B$1+((Inputs!$G$5:$G$140&lt;&gt;"moeda")*(Inputs!$G$5:$G$140&lt;&gt;"acoes")))*INDEX(Inputs!$K$5:$AJ$140,0,MATCH(AC$2,Inputs!$K$4:$AJ$4,0)))+SUMPRODUCT((Inputs!$C$5:$C$140=$B41)*Inputs!$D$5:$D$140*(((Inputs!$G$5:$G$140="moeda")+(Inputs!$G$5:$G$140="acoes"))*Inputs!$B$1+((Inputs!$G$5:$G$140&lt;&gt;"moeda")*(Inputs!$G$5:$G$140&lt;&gt;"acoes")))*INDEX(Inputs!$K$5:$AJ$140,0,MATCH(AC$2,Inputs!$K$4:$AJ$4,0)))+SUMPRODUCT((Inputs!$E$5:$E$140=$B41)*Inputs!$F$5:$F$140*(((Inputs!$G$5:$G$140="moeda")+(Inputs!$G$5:$G$140="acoes"))*Inputs!$B$1+((Inputs!$G$5:$G$140&lt;&gt;"moeda")*(Inputs!$G$5:$G$140&lt;&gt;"acoes")))*INDEX(Inputs!$K$5:$AJ$140,0,MATCH(AC$2,Inputs!$K$4:$AJ$4,0)))))</f>
        <v>1061.9</v>
      </c>
      <c r="AD41" s="6">
        <f>IF(ISNA(MATCH(AD$2,Inputs!$K$4:$AJ$4,0)),NA(),IF(SUMPRODUCT((Inputs!$A$5:$A$140=$B41)*ISNUMBER(INDEX(Inputs!$K$5:$AJ$140,0,MATCH(AD$2,Inputs!$K$4:$AJ$4,0))))+SUMPRODUCT((Inputs!$C$5:$C$140=$B41)*ISNUMBER(INDEX(Inputs!$K$5:$AJ$140,0,MATCH(AD$2,Inputs!$K$4:$AJ$4,0))))+SUMPRODUCT((Inputs!$E$5:$E$140=$B41)*ISNUMBER(INDEX(Inputs!$K$5:$AJ$140,0,MATCH(AD$2,Inputs!$K$4:$AJ$4,0))))=0,NA(),SUMPRODUCT((Inputs!$A$5:$A$140=$B41)*Inputs!$B$5:$B$140*(((Inputs!$G$5:$G$140="moeda")+(Inputs!$G$5:$G$140="acoes"))*Inputs!$B$1+((Inputs!$G$5:$G$140&lt;&gt;"moeda")*(Inputs!$G$5:$G$140&lt;&gt;"acoes")))*INDEX(Inputs!$K$5:$AJ$140,0,MATCH(AD$2,Inputs!$K$4:$AJ$4,0)))+SUMPRODUCT((Inputs!$C$5:$C$140=$B41)*Inputs!$D$5:$D$140*(((Inputs!$G$5:$G$140="moeda")+(Inputs!$G$5:$G$140="acoes"))*Inputs!$B$1+((Inputs!$G$5:$G$140&lt;&gt;"moeda")*(Inputs!$G$5:$G$140&lt;&gt;"acoes")))*INDEX(Inputs!$K$5:$AJ$140,0,MATCH(AD$2,Inputs!$K$4:$AJ$4,0)))+SUMPRODUCT((Inputs!$E$5:$E$140=$B41)*Inputs!$F$5:$F$140*(((Inputs!$G$5:$G$140="moeda")+(Inputs!$G$5:$G$140="acoes"))*Inputs!$B$1+((Inputs!$G$5:$G$140&lt;&gt;"moeda")*(Inputs!$G$5:$G$140&lt;&gt;"acoes")))*INDEX(Inputs!$K$5:$AJ$140,0,MATCH(AD$2,Inputs!$K$4:$AJ$4,0)))))</f>
        <v>1160.623</v>
      </c>
      <c r="AE41" s="6" t="e">
        <f>IF(ISNA(MATCH(AE$2,Inputs!$K$4:$AJ$4,0)),NA(),IF(SUMPRODUCT((Inputs!$A$5:$A$140=$B41)*ISNUMBER(INDEX(Inputs!$K$5:$AJ$140,0,MATCH(AE$2,Inputs!$K$4:$AJ$4,0))))+SUMPRODUCT((Inputs!$C$5:$C$140=$B41)*ISNUMBER(INDEX(Inputs!$K$5:$AJ$140,0,MATCH(AE$2,Inputs!$K$4:$AJ$4,0))))+SUMPRODUCT((Inputs!$E$5:$E$140=$B41)*ISNUMBER(INDEX(Inputs!$K$5:$AJ$140,0,MATCH(AE$2,Inputs!$K$4:$AJ$4,0))))=0,NA(),SUMPRODUCT((Inputs!$A$5:$A$140=$B41)*Inputs!$B$5:$B$140*(((Inputs!$G$5:$G$140="moeda")+(Inputs!$G$5:$G$140="acoes"))*Inputs!$B$1+((Inputs!$G$5:$G$140&lt;&gt;"moeda")*(Inputs!$G$5:$G$140&lt;&gt;"acoes")))*INDEX(Inputs!$K$5:$AJ$140,0,MATCH(AE$2,Inputs!$K$4:$AJ$4,0)))+SUMPRODUCT((Inputs!$C$5:$C$140=$B41)*Inputs!$D$5:$D$140*(((Inputs!$G$5:$G$140="moeda")+(Inputs!$G$5:$G$140="acoes"))*Inputs!$B$1+((Inputs!$G$5:$G$140&lt;&gt;"moeda")*(Inputs!$G$5:$G$140&lt;&gt;"acoes")))*INDEX(Inputs!$K$5:$AJ$140,0,MATCH(AE$2,Inputs!$K$4:$AJ$4,0)))+SUMPRODUCT((Inputs!$E$5:$E$140=$B41)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1" s="6" t="e">
        <f>IF(ISNA(MATCH(AF$2,Inputs!$K$4:$AJ$4,0)),NA(),IF(SUMPRODUCT((Inputs!$A$5:$A$140=$B41)*ISNUMBER(INDEX(Inputs!$K$5:$AJ$140,0,MATCH(AF$2,Inputs!$K$4:$AJ$4,0))))+SUMPRODUCT((Inputs!$C$5:$C$140=$B41)*ISNUMBER(INDEX(Inputs!$K$5:$AJ$140,0,MATCH(AF$2,Inputs!$K$4:$AJ$4,0))))+SUMPRODUCT((Inputs!$E$5:$E$140=$B41)*ISNUMBER(INDEX(Inputs!$K$5:$AJ$140,0,MATCH(AF$2,Inputs!$K$4:$AJ$4,0))))=0,NA(),SUMPRODUCT((Inputs!$A$5:$A$140=$B41)*Inputs!$B$5:$B$140*(((Inputs!$G$5:$G$140="moeda")+(Inputs!$G$5:$G$140="acoes"))*Inputs!$B$1+((Inputs!$G$5:$G$140&lt;&gt;"moeda")*(Inputs!$G$5:$G$140&lt;&gt;"acoes")))*INDEX(Inputs!$K$5:$AJ$140,0,MATCH(AF$2,Inputs!$K$4:$AJ$4,0)))+SUMPRODUCT((Inputs!$C$5:$C$140=$B41)*Inputs!$D$5:$D$140*(((Inputs!$G$5:$G$140="moeda")+(Inputs!$G$5:$G$140="acoes"))*Inputs!$B$1+((Inputs!$G$5:$G$140&lt;&gt;"moeda")*(Inputs!$G$5:$G$140&lt;&gt;"acoes")))*INDEX(Inputs!$K$5:$AJ$140,0,MATCH(AF$2,Inputs!$K$4:$AJ$4,0)))+SUMPRODUCT((Inputs!$E$5:$E$140=$B41)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1" s="3" t="e">
        <f>AF41</f>
        <v>#N/A</v>
      </c>
      <c r="AH41" s="6" t="e">
        <f>IF(ISNA(MATCH(AH$2,Inputs!$K$4:$AJ$4,0)),NA(),IF(SUMPRODUCT((Inputs!$A$5:$A$140=$B41)*ISNUMBER(INDEX(Inputs!$K$5:$AJ$140,0,MATCH(AH$2,Inputs!$K$4:$AJ$4,0))))+SUMPRODUCT((Inputs!$C$5:$C$140=$B41)*ISNUMBER(INDEX(Inputs!$K$5:$AJ$140,0,MATCH(AH$2,Inputs!$K$4:$AJ$4,0))))+SUMPRODUCT((Inputs!$E$5:$E$140=$B41)*ISNUMBER(INDEX(Inputs!$K$5:$AJ$140,0,MATCH(AH$2,Inputs!$K$4:$AJ$4,0))))=0,NA(),SUMPRODUCT((Inputs!$A$5:$A$140=$B41)*Inputs!$B$5:$B$140*(((Inputs!$G$5:$G$140="moeda")+(Inputs!$G$5:$G$140="acoes"))*Inputs!$B$1+((Inputs!$G$5:$G$140&lt;&gt;"moeda")*(Inputs!$G$5:$G$140&lt;&gt;"acoes")))*INDEX(Inputs!$K$5:$AJ$140,0,MATCH(AH$2,Inputs!$K$4:$AJ$4,0)))+SUMPRODUCT((Inputs!$C$5:$C$140=$B41)*Inputs!$D$5:$D$140*(((Inputs!$G$5:$G$140="moeda")+(Inputs!$G$5:$G$140="acoes"))*Inputs!$B$1+((Inputs!$G$5:$G$140&lt;&gt;"moeda")*(Inputs!$G$5:$G$140&lt;&gt;"acoes")))*INDEX(Inputs!$K$5:$AJ$140,0,MATCH(AH$2,Inputs!$K$4:$AJ$4,0)))+SUMPRODUCT((Inputs!$E$5:$E$140=$B41)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1" s="6">
        <f>IF(ISNA(MATCH(AI$2,Inputs!$K$4:$AJ$4,0)),NA(),IF(SUMPRODUCT((Inputs!$A$5:$A$140=$B41)*ISNUMBER(INDEX(Inputs!$K$5:$AJ$140,0,MATCH(AI$2,Inputs!$K$4:$AJ$4,0))))+SUMPRODUCT((Inputs!$C$5:$C$140=$B41)*ISNUMBER(INDEX(Inputs!$K$5:$AJ$140,0,MATCH(AI$2,Inputs!$K$4:$AJ$4,0))))+SUMPRODUCT((Inputs!$E$5:$E$140=$B41)*ISNUMBER(INDEX(Inputs!$K$5:$AJ$140,0,MATCH(AI$2,Inputs!$K$4:$AJ$4,0))))=0,NA(),SUMPRODUCT((Inputs!$A$5:$A$140=$B41)*Inputs!$B$5:$B$140*(((Inputs!$G$5:$G$140="moeda")+(Inputs!$G$5:$G$140="acoes"))*Inputs!$B$1+((Inputs!$G$5:$G$140&lt;&gt;"moeda")*(Inputs!$G$5:$G$140&lt;&gt;"acoes")))*INDEX(Inputs!$K$5:$AJ$140,0,MATCH(AI$2,Inputs!$K$4:$AJ$4,0)))+SUMPRODUCT((Inputs!$C$5:$C$140=$B41)*Inputs!$D$5:$D$140*(((Inputs!$G$5:$G$140="moeda")+(Inputs!$G$5:$G$140="acoes"))*Inputs!$B$1+((Inputs!$G$5:$G$140&lt;&gt;"moeda")*(Inputs!$G$5:$G$140&lt;&gt;"acoes")))*INDEX(Inputs!$K$5:$AJ$140,0,MATCH(AI$2,Inputs!$K$4:$AJ$4,0)))+SUMPRODUCT((Inputs!$E$5:$E$140=$B41)*Inputs!$F$5:$F$140*(((Inputs!$G$5:$G$140="moeda")+(Inputs!$G$5:$G$140="acoes"))*Inputs!$B$1+((Inputs!$G$5:$G$140&lt;&gt;"moeda")*(Inputs!$G$5:$G$140&lt;&gt;"acoes")))*INDEX(Inputs!$K$5:$AJ$140,0,MATCH(AI$2,Inputs!$K$4:$AJ$4,0)))))</f>
        <v>63.302648</v>
      </c>
      <c r="AJ41" s="6">
        <f>IF(ISNA(MATCH(AJ$2,Inputs!$K$4:$AJ$4,0)),NA(),IF(SUMPRODUCT((Inputs!$A$5:$A$140=$B41)*ISNUMBER(INDEX(Inputs!$K$5:$AJ$140,0,MATCH(AJ$2,Inputs!$K$4:$AJ$4,0))))+SUMPRODUCT((Inputs!$C$5:$C$140=$B41)*ISNUMBER(INDEX(Inputs!$K$5:$AJ$140,0,MATCH(AJ$2,Inputs!$K$4:$AJ$4,0))))+SUMPRODUCT((Inputs!$E$5:$E$140=$B41)*ISNUMBER(INDEX(Inputs!$K$5:$AJ$140,0,MATCH(AJ$2,Inputs!$K$4:$AJ$4,0))))=0,NA(),SUMPRODUCT((Inputs!$A$5:$A$140=$B41)*Inputs!$B$5:$B$140*(((Inputs!$G$5:$G$140="moeda")+(Inputs!$G$5:$G$140="acoes"))*Inputs!$B$1+((Inputs!$G$5:$G$140&lt;&gt;"moeda")*(Inputs!$G$5:$G$140&lt;&gt;"acoes")))*INDEX(Inputs!$K$5:$AJ$140,0,MATCH(AJ$2,Inputs!$K$4:$AJ$4,0)))+SUMPRODUCT((Inputs!$C$5:$C$140=$B41)*Inputs!$D$5:$D$140*(((Inputs!$G$5:$G$140="moeda")+(Inputs!$G$5:$G$140="acoes"))*Inputs!$B$1+((Inputs!$G$5:$G$140&lt;&gt;"moeda")*(Inputs!$G$5:$G$140&lt;&gt;"acoes")))*INDEX(Inputs!$K$5:$AJ$140,0,MATCH(AJ$2,Inputs!$K$4:$AJ$4,0)))+SUMPRODUCT((Inputs!$E$5:$E$140=$B41)*Inputs!$F$5:$F$140*(((Inputs!$G$5:$G$140="moeda")+(Inputs!$G$5:$G$140="acoes"))*Inputs!$B$1+((Inputs!$G$5:$G$140&lt;&gt;"moeda")*(Inputs!$G$5:$G$140&lt;&gt;"acoes")))*INDEX(Inputs!$K$5:$AJ$140,0,MATCH(AJ$2,Inputs!$K$4:$AJ$4,0)))))</f>
        <v>63.553</v>
      </c>
      <c r="AK41" s="6">
        <f>IF(ISNA(MATCH(AK$2,Inputs!$K$4:$AJ$4,0)),NA(),IF(SUMPRODUCT((Inputs!$A$5:$A$140=$B41)*ISNUMBER(INDEX(Inputs!$K$5:$AJ$140,0,MATCH(AK$2,Inputs!$K$4:$AJ$4,0))))+SUMPRODUCT((Inputs!$C$5:$C$140=$B41)*ISNUMBER(INDEX(Inputs!$K$5:$AJ$140,0,MATCH(AK$2,Inputs!$K$4:$AJ$4,0))))+SUMPRODUCT((Inputs!$E$5:$E$140=$B41)*ISNUMBER(INDEX(Inputs!$K$5:$AJ$140,0,MATCH(AK$2,Inputs!$K$4:$AJ$4,0))))=0,NA(),SUMPRODUCT((Inputs!$A$5:$A$140=$B41)*Inputs!$B$5:$B$140*(((Inputs!$G$5:$G$140="moeda")+(Inputs!$G$5:$G$140="acoes"))*Inputs!$B$1+((Inputs!$G$5:$G$140&lt;&gt;"moeda")*(Inputs!$G$5:$G$140&lt;&gt;"acoes")))*INDEX(Inputs!$K$5:$AJ$140,0,MATCH(AK$2,Inputs!$K$4:$AJ$4,0)))+SUMPRODUCT((Inputs!$C$5:$C$140=$B41)*Inputs!$D$5:$D$140*(((Inputs!$G$5:$G$140="moeda")+(Inputs!$G$5:$G$140="acoes"))*Inputs!$B$1+((Inputs!$G$5:$G$140&lt;&gt;"moeda")*(Inputs!$G$5:$G$140&lt;&gt;"acoes")))*INDEX(Inputs!$K$5:$AJ$140,0,MATCH(AK$2,Inputs!$K$4:$AJ$4,0)))+SUMPRODUCT((Inputs!$E$5:$E$140=$B41)*Inputs!$F$5:$F$140*(((Inputs!$G$5:$G$140="moeda")+(Inputs!$G$5:$G$140="acoes"))*Inputs!$B$1+((Inputs!$G$5:$G$140&lt;&gt;"moeda")*(Inputs!$G$5:$G$140&lt;&gt;"acoes")))*INDEX(Inputs!$K$5:$AJ$140,0,MATCH(AK$2,Inputs!$K$4:$AJ$4,0)))))</f>
        <v>63.284</v>
      </c>
      <c r="AL41" s="3">
        <f>AK41</f>
        <v>63.284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$140=$B42)*ISNUMBER(INDEX(Inputs!$K$5:$AJ$140,0,MATCH(D$2,Inputs!$K$4:$AJ$4,0))))+SUMPRODUCT((Inputs!$C$5:$C$140=$B42)*ISNUMBER(INDEX(Inputs!$K$5:$AJ$140,0,MATCH(D$2,Inputs!$K$4:$AJ$4,0))))+SUMPRODUCT((Inputs!$E$5:$E$140=$B42)*ISNUMBER(INDEX(Inputs!$K$5:$AJ$140,0,MATCH(D$2,Inputs!$K$4:$AJ$4,0))))=0,NA(),SUMPRODUCT((Inputs!$A$5:$A$140=$B42)*Inputs!$B$5:$B$140*(((Inputs!$G$5:$G$140="moeda")+(Inputs!$G$5:$G$140="acoes"))*Inputs!$B$1+((Inputs!$G$5:$G$140&lt;&gt;"moeda")*(Inputs!$G$5:$G$140&lt;&gt;"acoes")))*INDEX(Inputs!$K$5:$AJ$140,0,MATCH(D$2,Inputs!$K$4:$AJ$4,0)))+SUMPRODUCT((Inputs!$C$5:$C$140=$B42)*Inputs!$D$5:$D$140*(((Inputs!$G$5:$G$140="moeda")+(Inputs!$G$5:$G$140="acoes"))*Inputs!$B$1+((Inputs!$G$5:$G$140&lt;&gt;"moeda")*(Inputs!$G$5:$G$140&lt;&gt;"acoes")))*INDEX(Inputs!$K$5:$AJ$140,0,MATCH(D$2,Inputs!$K$4:$AJ$4,0)))+SUMPRODUCT((Inputs!$E$5:$E$140=$B42)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2" s="6" t="e">
        <f>IF(ISNA(MATCH(E$2,Inputs!$K$4:$AJ$4,0)),NA(),IF(SUMPRODUCT((Inputs!$A$5:$A$140=$B42)*ISNUMBER(INDEX(Inputs!$K$5:$AJ$140,0,MATCH(E$2,Inputs!$K$4:$AJ$4,0))))+SUMPRODUCT((Inputs!$C$5:$C$140=$B42)*ISNUMBER(INDEX(Inputs!$K$5:$AJ$140,0,MATCH(E$2,Inputs!$K$4:$AJ$4,0))))+SUMPRODUCT((Inputs!$E$5:$E$140=$B42)*ISNUMBER(INDEX(Inputs!$K$5:$AJ$140,0,MATCH(E$2,Inputs!$K$4:$AJ$4,0))))=0,NA(),SUMPRODUCT((Inputs!$A$5:$A$140=$B42)*Inputs!$B$5:$B$140*(((Inputs!$G$5:$G$140="moeda")+(Inputs!$G$5:$G$140="acoes"))*Inputs!$B$1+((Inputs!$G$5:$G$140&lt;&gt;"moeda")*(Inputs!$G$5:$G$140&lt;&gt;"acoes")))*INDEX(Inputs!$K$5:$AJ$140,0,MATCH(E$2,Inputs!$K$4:$AJ$4,0)))+SUMPRODUCT((Inputs!$C$5:$C$140=$B42)*Inputs!$D$5:$D$140*(((Inputs!$G$5:$G$140="moeda")+(Inputs!$G$5:$G$140="acoes"))*Inputs!$B$1+((Inputs!$G$5:$G$140&lt;&gt;"moeda")*(Inputs!$G$5:$G$140&lt;&gt;"acoes")))*INDEX(Inputs!$K$5:$AJ$140,0,MATCH(E$2,Inputs!$K$4:$AJ$4,0)))+SUMPRODUCT((Inputs!$E$5:$E$140=$B42)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2" s="6" t="e">
        <f>IF(ISNA(MATCH(F$2,Inputs!$K$4:$AJ$4,0)),NA(),IF(SUMPRODUCT((Inputs!$A$5:$A$140=$B42)*ISNUMBER(INDEX(Inputs!$K$5:$AJ$140,0,MATCH(F$2,Inputs!$K$4:$AJ$4,0))))+SUMPRODUCT((Inputs!$C$5:$C$140=$B42)*ISNUMBER(INDEX(Inputs!$K$5:$AJ$140,0,MATCH(F$2,Inputs!$K$4:$AJ$4,0))))+SUMPRODUCT((Inputs!$E$5:$E$140=$B42)*ISNUMBER(INDEX(Inputs!$K$5:$AJ$140,0,MATCH(F$2,Inputs!$K$4:$AJ$4,0))))=0,NA(),SUMPRODUCT((Inputs!$A$5:$A$140=$B42)*Inputs!$B$5:$B$140*(((Inputs!$G$5:$G$140="moeda")+(Inputs!$G$5:$G$140="acoes"))*Inputs!$B$1+((Inputs!$G$5:$G$140&lt;&gt;"moeda")*(Inputs!$G$5:$G$140&lt;&gt;"acoes")))*INDEX(Inputs!$K$5:$AJ$140,0,MATCH(F$2,Inputs!$K$4:$AJ$4,0)))+SUMPRODUCT((Inputs!$C$5:$C$140=$B42)*Inputs!$D$5:$D$140*(((Inputs!$G$5:$G$140="moeda")+(Inputs!$G$5:$G$140="acoes"))*Inputs!$B$1+((Inputs!$G$5:$G$140&lt;&gt;"moeda")*(Inputs!$G$5:$G$140&lt;&gt;"acoes")))*INDEX(Inputs!$K$5:$AJ$140,0,MATCH(F$2,Inputs!$K$4:$AJ$4,0)))+SUMPRODUCT((Inputs!$E$5:$E$140=$B42)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2" s="6" t="e">
        <f>IF(ISNA(MATCH(G$2,Inputs!$K$4:$AJ$4,0)),NA(),IF(SUMPRODUCT((Inputs!$A$5:$A$140=$B42)*ISNUMBER(INDEX(Inputs!$K$5:$AJ$140,0,MATCH(G$2,Inputs!$K$4:$AJ$4,0))))+SUMPRODUCT((Inputs!$C$5:$C$140=$B42)*ISNUMBER(INDEX(Inputs!$K$5:$AJ$140,0,MATCH(G$2,Inputs!$K$4:$AJ$4,0))))+SUMPRODUCT((Inputs!$E$5:$E$140=$B42)*ISNUMBER(INDEX(Inputs!$K$5:$AJ$140,0,MATCH(G$2,Inputs!$K$4:$AJ$4,0))))=0,NA(),SUMPRODUCT((Inputs!$A$5:$A$140=$B42)*Inputs!$B$5:$B$140*(((Inputs!$G$5:$G$140="moeda")+(Inputs!$G$5:$G$140="acoes"))*Inputs!$B$1+((Inputs!$G$5:$G$140&lt;&gt;"moeda")*(Inputs!$G$5:$G$140&lt;&gt;"acoes")))*INDEX(Inputs!$K$5:$AJ$140,0,MATCH(G$2,Inputs!$K$4:$AJ$4,0)))+SUMPRODUCT((Inputs!$C$5:$C$140=$B42)*Inputs!$D$5:$D$140*(((Inputs!$G$5:$G$140="moeda")+(Inputs!$G$5:$G$140="acoes"))*Inputs!$B$1+((Inputs!$G$5:$G$140&lt;&gt;"moeda")*(Inputs!$G$5:$G$140&lt;&gt;"acoes")))*INDEX(Inputs!$K$5:$AJ$140,0,MATCH(G$2,Inputs!$K$4:$AJ$4,0)))+SUMPRODUCT((Inputs!$E$5:$E$140=$B42)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2" s="3" t="e">
        <f>G42</f>
        <v>#N/A</v>
      </c>
      <c r="I42" s="6" t="e">
        <f>IF(ISNA(MATCH(I$2,Inputs!$K$4:$AJ$4,0)),NA(),IF(SUMPRODUCT((Inputs!$A$5:$A$140=$B42)*ISNUMBER(INDEX(Inputs!$K$5:$AJ$140,0,MATCH(I$2,Inputs!$K$4:$AJ$4,0))))+SUMPRODUCT((Inputs!$C$5:$C$140=$B42)*ISNUMBER(INDEX(Inputs!$K$5:$AJ$140,0,MATCH(I$2,Inputs!$K$4:$AJ$4,0))))+SUMPRODUCT((Inputs!$E$5:$E$140=$B42)*ISNUMBER(INDEX(Inputs!$K$5:$AJ$140,0,MATCH(I$2,Inputs!$K$4:$AJ$4,0))))=0,NA(),SUMPRODUCT((Inputs!$A$5:$A$140=$B42)*Inputs!$B$5:$B$140*(((Inputs!$G$5:$G$140="moeda")+(Inputs!$G$5:$G$140="acoes"))*Inputs!$B$1+((Inputs!$G$5:$G$140&lt;&gt;"moeda")*(Inputs!$G$5:$G$140&lt;&gt;"acoes")))*INDEX(Inputs!$K$5:$AJ$140,0,MATCH(I$2,Inputs!$K$4:$AJ$4,0)))+SUMPRODUCT((Inputs!$C$5:$C$140=$B42)*Inputs!$D$5:$D$140*(((Inputs!$G$5:$G$140="moeda")+(Inputs!$G$5:$G$140="acoes"))*Inputs!$B$1+((Inputs!$G$5:$G$140&lt;&gt;"moeda")*(Inputs!$G$5:$G$140&lt;&gt;"acoes")))*INDEX(Inputs!$K$5:$AJ$140,0,MATCH(I$2,Inputs!$K$4:$AJ$4,0)))+SUMPRODUCT((Inputs!$E$5:$E$140=$B42)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2" s="6" t="e">
        <f>IF(ISNA(MATCH(J$2,Inputs!$K$4:$AJ$4,0)),NA(),IF(SUMPRODUCT((Inputs!$A$5:$A$140=$B42)*ISNUMBER(INDEX(Inputs!$K$5:$AJ$140,0,MATCH(J$2,Inputs!$K$4:$AJ$4,0))))+SUMPRODUCT((Inputs!$C$5:$C$140=$B42)*ISNUMBER(INDEX(Inputs!$K$5:$AJ$140,0,MATCH(J$2,Inputs!$K$4:$AJ$4,0))))+SUMPRODUCT((Inputs!$E$5:$E$140=$B42)*ISNUMBER(INDEX(Inputs!$K$5:$AJ$140,0,MATCH(J$2,Inputs!$K$4:$AJ$4,0))))=0,NA(),SUMPRODUCT((Inputs!$A$5:$A$140=$B42)*Inputs!$B$5:$B$140*(((Inputs!$G$5:$G$140="moeda")+(Inputs!$G$5:$G$140="acoes"))*Inputs!$B$1+((Inputs!$G$5:$G$140&lt;&gt;"moeda")*(Inputs!$G$5:$G$140&lt;&gt;"acoes")))*INDEX(Inputs!$K$5:$AJ$140,0,MATCH(J$2,Inputs!$K$4:$AJ$4,0)))+SUMPRODUCT((Inputs!$C$5:$C$140=$B42)*Inputs!$D$5:$D$140*(((Inputs!$G$5:$G$140="moeda")+(Inputs!$G$5:$G$140="acoes"))*Inputs!$B$1+((Inputs!$G$5:$G$140&lt;&gt;"moeda")*(Inputs!$G$5:$G$140&lt;&gt;"acoes")))*INDEX(Inputs!$K$5:$AJ$140,0,MATCH(J$2,Inputs!$K$4:$AJ$4,0)))+SUMPRODUCT((Inputs!$E$5:$E$140=$B42)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2" s="6" t="e">
        <f>IF(ISNA(MATCH(K$2,Inputs!$K$4:$AJ$4,0)),NA(),IF(SUMPRODUCT((Inputs!$A$5:$A$140=$B42)*ISNUMBER(INDEX(Inputs!$K$5:$AJ$140,0,MATCH(K$2,Inputs!$K$4:$AJ$4,0))))+SUMPRODUCT((Inputs!$C$5:$C$140=$B42)*ISNUMBER(INDEX(Inputs!$K$5:$AJ$140,0,MATCH(K$2,Inputs!$K$4:$AJ$4,0))))+SUMPRODUCT((Inputs!$E$5:$E$140=$B42)*ISNUMBER(INDEX(Inputs!$K$5:$AJ$140,0,MATCH(K$2,Inputs!$K$4:$AJ$4,0))))=0,NA(),SUMPRODUCT((Inputs!$A$5:$A$140=$B42)*Inputs!$B$5:$B$140*(((Inputs!$G$5:$G$140="moeda")+(Inputs!$G$5:$G$140="acoes"))*Inputs!$B$1+((Inputs!$G$5:$G$140&lt;&gt;"moeda")*(Inputs!$G$5:$G$140&lt;&gt;"acoes")))*INDEX(Inputs!$K$5:$AJ$140,0,MATCH(K$2,Inputs!$K$4:$AJ$4,0)))+SUMPRODUCT((Inputs!$C$5:$C$140=$B42)*Inputs!$D$5:$D$140*(((Inputs!$G$5:$G$140="moeda")+(Inputs!$G$5:$G$140="acoes"))*Inputs!$B$1+((Inputs!$G$5:$G$140&lt;&gt;"moeda")*(Inputs!$G$5:$G$140&lt;&gt;"acoes")))*INDEX(Inputs!$K$5:$AJ$140,0,MATCH(K$2,Inputs!$K$4:$AJ$4,0)))+SUMPRODUCT((Inputs!$E$5:$E$140=$B42)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2" s="6" t="e">
        <f>IF(ISNA(MATCH(L$2,Inputs!$K$4:$AJ$4,0)),NA(),IF(SUMPRODUCT((Inputs!$A$5:$A$140=$B42)*ISNUMBER(INDEX(Inputs!$K$5:$AJ$140,0,MATCH(L$2,Inputs!$K$4:$AJ$4,0))))+SUMPRODUCT((Inputs!$C$5:$C$140=$B42)*ISNUMBER(INDEX(Inputs!$K$5:$AJ$140,0,MATCH(L$2,Inputs!$K$4:$AJ$4,0))))+SUMPRODUCT((Inputs!$E$5:$E$140=$B42)*ISNUMBER(INDEX(Inputs!$K$5:$AJ$140,0,MATCH(L$2,Inputs!$K$4:$AJ$4,0))))=0,NA(),SUMPRODUCT((Inputs!$A$5:$A$140=$B42)*Inputs!$B$5:$B$140*(((Inputs!$G$5:$G$140="moeda")+(Inputs!$G$5:$G$140="acoes"))*Inputs!$B$1+((Inputs!$G$5:$G$140&lt;&gt;"moeda")*(Inputs!$G$5:$G$140&lt;&gt;"acoes")))*INDEX(Inputs!$K$5:$AJ$140,0,MATCH(L$2,Inputs!$K$4:$AJ$4,0)))+SUMPRODUCT((Inputs!$C$5:$C$140=$B42)*Inputs!$D$5:$D$140*(((Inputs!$G$5:$G$140="moeda")+(Inputs!$G$5:$G$140="acoes"))*Inputs!$B$1+((Inputs!$G$5:$G$140&lt;&gt;"moeda")*(Inputs!$G$5:$G$140&lt;&gt;"acoes")))*INDEX(Inputs!$K$5:$AJ$140,0,MATCH(L$2,Inputs!$K$4:$AJ$4,0)))+SUMPRODUCT((Inputs!$E$5:$E$140=$B42)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2" s="3" t="e">
        <f>L42</f>
        <v>#N/A</v>
      </c>
      <c r="N42" s="6" t="e">
        <f>IF(ISNA(MATCH(N$2,Inputs!$K$4:$AJ$4,0)),NA(),IF(SUMPRODUCT((Inputs!$A$5:$A$140=$B42)*ISNUMBER(INDEX(Inputs!$K$5:$AJ$140,0,MATCH(N$2,Inputs!$K$4:$AJ$4,0))))+SUMPRODUCT((Inputs!$C$5:$C$140=$B42)*ISNUMBER(INDEX(Inputs!$K$5:$AJ$140,0,MATCH(N$2,Inputs!$K$4:$AJ$4,0))))+SUMPRODUCT((Inputs!$E$5:$E$140=$B42)*ISNUMBER(INDEX(Inputs!$K$5:$AJ$140,0,MATCH(N$2,Inputs!$K$4:$AJ$4,0))))=0,NA(),SUMPRODUCT((Inputs!$A$5:$A$140=$B42)*Inputs!$B$5:$B$140*(((Inputs!$G$5:$G$140="moeda")+(Inputs!$G$5:$G$140="acoes"))*Inputs!$B$1+((Inputs!$G$5:$G$140&lt;&gt;"moeda")*(Inputs!$G$5:$G$140&lt;&gt;"acoes")))*INDEX(Inputs!$K$5:$AJ$140,0,MATCH(N$2,Inputs!$K$4:$AJ$4,0)))+SUMPRODUCT((Inputs!$C$5:$C$140=$B42)*Inputs!$D$5:$D$140*(((Inputs!$G$5:$G$140="moeda")+(Inputs!$G$5:$G$140="acoes"))*Inputs!$B$1+((Inputs!$G$5:$G$140&lt;&gt;"moeda")*(Inputs!$G$5:$G$140&lt;&gt;"acoes")))*INDEX(Inputs!$K$5:$AJ$140,0,MATCH(N$2,Inputs!$K$4:$AJ$4,0)))+SUMPRODUCT((Inputs!$E$5:$E$140=$B42)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2" s="6" t="e">
        <f>IF(ISNA(MATCH(O$2,Inputs!$K$4:$AJ$4,0)),NA(),IF(SUMPRODUCT((Inputs!$A$5:$A$140=$B42)*ISNUMBER(INDEX(Inputs!$K$5:$AJ$140,0,MATCH(O$2,Inputs!$K$4:$AJ$4,0))))+SUMPRODUCT((Inputs!$C$5:$C$140=$B42)*ISNUMBER(INDEX(Inputs!$K$5:$AJ$140,0,MATCH(O$2,Inputs!$K$4:$AJ$4,0))))+SUMPRODUCT((Inputs!$E$5:$E$140=$B42)*ISNUMBER(INDEX(Inputs!$K$5:$AJ$140,0,MATCH(O$2,Inputs!$K$4:$AJ$4,0))))=0,NA(),SUMPRODUCT((Inputs!$A$5:$A$140=$B42)*Inputs!$B$5:$B$140*(((Inputs!$G$5:$G$140="moeda")+(Inputs!$G$5:$G$140="acoes"))*Inputs!$B$1+((Inputs!$G$5:$G$140&lt;&gt;"moeda")*(Inputs!$G$5:$G$140&lt;&gt;"acoes")))*INDEX(Inputs!$K$5:$AJ$140,0,MATCH(O$2,Inputs!$K$4:$AJ$4,0)))+SUMPRODUCT((Inputs!$C$5:$C$140=$B42)*Inputs!$D$5:$D$140*(((Inputs!$G$5:$G$140="moeda")+(Inputs!$G$5:$G$140="acoes"))*Inputs!$B$1+((Inputs!$G$5:$G$140&lt;&gt;"moeda")*(Inputs!$G$5:$G$140&lt;&gt;"acoes")))*INDEX(Inputs!$K$5:$AJ$140,0,MATCH(O$2,Inputs!$K$4:$AJ$4,0)))+SUMPRODUCT((Inputs!$E$5:$E$140=$B42)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2" s="6" t="e">
        <f>IF(ISNA(MATCH(P$2,Inputs!$K$4:$AJ$4,0)),NA(),IF(SUMPRODUCT((Inputs!$A$5:$A$140=$B42)*ISNUMBER(INDEX(Inputs!$K$5:$AJ$140,0,MATCH(P$2,Inputs!$K$4:$AJ$4,0))))+SUMPRODUCT((Inputs!$C$5:$C$140=$B42)*ISNUMBER(INDEX(Inputs!$K$5:$AJ$140,0,MATCH(P$2,Inputs!$K$4:$AJ$4,0))))+SUMPRODUCT((Inputs!$E$5:$E$140=$B42)*ISNUMBER(INDEX(Inputs!$K$5:$AJ$140,0,MATCH(P$2,Inputs!$K$4:$AJ$4,0))))=0,NA(),SUMPRODUCT((Inputs!$A$5:$A$140=$B42)*Inputs!$B$5:$B$140*(((Inputs!$G$5:$G$140="moeda")+(Inputs!$G$5:$G$140="acoes"))*Inputs!$B$1+((Inputs!$G$5:$G$140&lt;&gt;"moeda")*(Inputs!$G$5:$G$140&lt;&gt;"acoes")))*INDEX(Inputs!$K$5:$AJ$140,0,MATCH(P$2,Inputs!$K$4:$AJ$4,0)))+SUMPRODUCT((Inputs!$C$5:$C$140=$B42)*Inputs!$D$5:$D$140*(((Inputs!$G$5:$G$140="moeda")+(Inputs!$G$5:$G$140="acoes"))*Inputs!$B$1+((Inputs!$G$5:$G$140&lt;&gt;"moeda")*(Inputs!$G$5:$G$140&lt;&gt;"acoes")))*INDEX(Inputs!$K$5:$AJ$140,0,MATCH(P$2,Inputs!$K$4:$AJ$4,0)))+SUMPRODUCT((Inputs!$E$5:$E$140=$B42)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2" s="6" t="e">
        <f>IF(ISNA(MATCH(Q$2,Inputs!$K$4:$AJ$4,0)),NA(),IF(SUMPRODUCT((Inputs!$A$5:$A$140=$B42)*ISNUMBER(INDEX(Inputs!$K$5:$AJ$140,0,MATCH(Q$2,Inputs!$K$4:$AJ$4,0))))+SUMPRODUCT((Inputs!$C$5:$C$140=$B42)*ISNUMBER(INDEX(Inputs!$K$5:$AJ$140,0,MATCH(Q$2,Inputs!$K$4:$AJ$4,0))))+SUMPRODUCT((Inputs!$E$5:$E$140=$B42)*ISNUMBER(INDEX(Inputs!$K$5:$AJ$140,0,MATCH(Q$2,Inputs!$K$4:$AJ$4,0))))=0,NA(),SUMPRODUCT((Inputs!$A$5:$A$140=$B42)*Inputs!$B$5:$B$140*(((Inputs!$G$5:$G$140="moeda")+(Inputs!$G$5:$G$140="acoes"))*Inputs!$B$1+((Inputs!$G$5:$G$140&lt;&gt;"moeda")*(Inputs!$G$5:$G$140&lt;&gt;"acoes")))*INDEX(Inputs!$K$5:$AJ$140,0,MATCH(Q$2,Inputs!$K$4:$AJ$4,0)))+SUMPRODUCT((Inputs!$C$5:$C$140=$B42)*Inputs!$D$5:$D$140*(((Inputs!$G$5:$G$140="moeda")+(Inputs!$G$5:$G$140="acoes"))*Inputs!$B$1+((Inputs!$G$5:$G$140&lt;&gt;"moeda")*(Inputs!$G$5:$G$140&lt;&gt;"acoes")))*INDEX(Inputs!$K$5:$AJ$140,0,MATCH(Q$2,Inputs!$K$4:$AJ$4,0)))+SUMPRODUCT((Inputs!$E$5:$E$140=$B42)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2" s="3" t="e">
        <f>Q42</f>
        <v>#N/A</v>
      </c>
      <c r="S42" s="6" t="e">
        <f>IF(ISNA(MATCH(S$2,Inputs!$K$4:$AJ$4,0)),NA(),IF(SUMPRODUCT((Inputs!$A$5:$A$140=$B42)*ISNUMBER(INDEX(Inputs!$K$5:$AJ$140,0,MATCH(S$2,Inputs!$K$4:$AJ$4,0))))+SUMPRODUCT((Inputs!$C$5:$C$140=$B42)*ISNUMBER(INDEX(Inputs!$K$5:$AJ$140,0,MATCH(S$2,Inputs!$K$4:$AJ$4,0))))+SUMPRODUCT((Inputs!$E$5:$E$140=$B42)*ISNUMBER(INDEX(Inputs!$K$5:$AJ$140,0,MATCH(S$2,Inputs!$K$4:$AJ$4,0))))=0,NA(),SUMPRODUCT((Inputs!$A$5:$A$140=$B42)*Inputs!$B$5:$B$140*(((Inputs!$G$5:$G$140="moeda")+(Inputs!$G$5:$G$140="acoes"))*Inputs!$B$1+((Inputs!$G$5:$G$140&lt;&gt;"moeda")*(Inputs!$G$5:$G$140&lt;&gt;"acoes")))*INDEX(Inputs!$K$5:$AJ$140,0,MATCH(S$2,Inputs!$K$4:$AJ$4,0)))+SUMPRODUCT((Inputs!$C$5:$C$140=$B42)*Inputs!$D$5:$D$140*(((Inputs!$G$5:$G$140="moeda")+(Inputs!$G$5:$G$140="acoes"))*Inputs!$B$1+((Inputs!$G$5:$G$140&lt;&gt;"moeda")*(Inputs!$G$5:$G$140&lt;&gt;"acoes")))*INDEX(Inputs!$K$5:$AJ$140,0,MATCH(S$2,Inputs!$K$4:$AJ$4,0)))+SUMPRODUCT((Inputs!$E$5:$E$140=$B42)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2" s="6" t="e">
        <f>IF(ISNA(MATCH(T$2,Inputs!$K$4:$AJ$4,0)),NA(),IF(SUMPRODUCT((Inputs!$A$5:$A$140=$B42)*ISNUMBER(INDEX(Inputs!$K$5:$AJ$140,0,MATCH(T$2,Inputs!$K$4:$AJ$4,0))))+SUMPRODUCT((Inputs!$C$5:$C$140=$B42)*ISNUMBER(INDEX(Inputs!$K$5:$AJ$140,0,MATCH(T$2,Inputs!$K$4:$AJ$4,0))))+SUMPRODUCT((Inputs!$E$5:$E$140=$B42)*ISNUMBER(INDEX(Inputs!$K$5:$AJ$140,0,MATCH(T$2,Inputs!$K$4:$AJ$4,0))))=0,NA(),SUMPRODUCT((Inputs!$A$5:$A$140=$B42)*Inputs!$B$5:$B$140*(((Inputs!$G$5:$G$140="moeda")+(Inputs!$G$5:$G$140="acoes"))*Inputs!$B$1+((Inputs!$G$5:$G$140&lt;&gt;"moeda")*(Inputs!$G$5:$G$140&lt;&gt;"acoes")))*INDEX(Inputs!$K$5:$AJ$140,0,MATCH(T$2,Inputs!$K$4:$AJ$4,0)))+SUMPRODUCT((Inputs!$C$5:$C$140=$B42)*Inputs!$D$5:$D$140*(((Inputs!$G$5:$G$140="moeda")+(Inputs!$G$5:$G$140="acoes"))*Inputs!$B$1+((Inputs!$G$5:$G$140&lt;&gt;"moeda")*(Inputs!$G$5:$G$140&lt;&gt;"acoes")))*INDEX(Inputs!$K$5:$AJ$140,0,MATCH(T$2,Inputs!$K$4:$AJ$4,0)))+SUMPRODUCT((Inputs!$E$5:$E$140=$B42)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2" s="6" t="e">
        <f>IF(ISNA(MATCH(U$2,Inputs!$K$4:$AJ$4,0)),NA(),IF(SUMPRODUCT((Inputs!$A$5:$A$140=$B42)*ISNUMBER(INDEX(Inputs!$K$5:$AJ$140,0,MATCH(U$2,Inputs!$K$4:$AJ$4,0))))+SUMPRODUCT((Inputs!$C$5:$C$140=$B42)*ISNUMBER(INDEX(Inputs!$K$5:$AJ$140,0,MATCH(U$2,Inputs!$K$4:$AJ$4,0))))+SUMPRODUCT((Inputs!$E$5:$E$140=$B42)*ISNUMBER(INDEX(Inputs!$K$5:$AJ$140,0,MATCH(U$2,Inputs!$K$4:$AJ$4,0))))=0,NA(),SUMPRODUCT((Inputs!$A$5:$A$140=$B42)*Inputs!$B$5:$B$140*(((Inputs!$G$5:$G$140="moeda")+(Inputs!$G$5:$G$140="acoes"))*Inputs!$B$1+((Inputs!$G$5:$G$140&lt;&gt;"moeda")*(Inputs!$G$5:$G$140&lt;&gt;"acoes")))*INDEX(Inputs!$K$5:$AJ$140,0,MATCH(U$2,Inputs!$K$4:$AJ$4,0)))+SUMPRODUCT((Inputs!$C$5:$C$140=$B42)*Inputs!$D$5:$D$140*(((Inputs!$G$5:$G$140="moeda")+(Inputs!$G$5:$G$140="acoes"))*Inputs!$B$1+((Inputs!$G$5:$G$140&lt;&gt;"moeda")*(Inputs!$G$5:$G$140&lt;&gt;"acoes")))*INDEX(Inputs!$K$5:$AJ$140,0,MATCH(U$2,Inputs!$K$4:$AJ$4,0)))+SUMPRODUCT((Inputs!$E$5:$E$140=$B42)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2" s="6" t="e">
        <f>IF(ISNA(MATCH(V$2,Inputs!$K$4:$AJ$4,0)),NA(),IF(SUMPRODUCT((Inputs!$A$5:$A$140=$B42)*ISNUMBER(INDEX(Inputs!$K$5:$AJ$140,0,MATCH(V$2,Inputs!$K$4:$AJ$4,0))))+SUMPRODUCT((Inputs!$C$5:$C$140=$B42)*ISNUMBER(INDEX(Inputs!$K$5:$AJ$140,0,MATCH(V$2,Inputs!$K$4:$AJ$4,0))))+SUMPRODUCT((Inputs!$E$5:$E$140=$B42)*ISNUMBER(INDEX(Inputs!$K$5:$AJ$140,0,MATCH(V$2,Inputs!$K$4:$AJ$4,0))))=0,NA(),SUMPRODUCT((Inputs!$A$5:$A$140=$B42)*Inputs!$B$5:$B$140*(((Inputs!$G$5:$G$140="moeda")+(Inputs!$G$5:$G$140="acoes"))*Inputs!$B$1+((Inputs!$G$5:$G$140&lt;&gt;"moeda")*(Inputs!$G$5:$G$140&lt;&gt;"acoes")))*INDEX(Inputs!$K$5:$AJ$140,0,MATCH(V$2,Inputs!$K$4:$AJ$4,0)))+SUMPRODUCT((Inputs!$C$5:$C$140=$B42)*Inputs!$D$5:$D$140*(((Inputs!$G$5:$G$140="moeda")+(Inputs!$G$5:$G$140="acoes"))*Inputs!$B$1+((Inputs!$G$5:$G$140&lt;&gt;"moeda")*(Inputs!$G$5:$G$140&lt;&gt;"acoes")))*INDEX(Inputs!$K$5:$AJ$140,0,MATCH(V$2,Inputs!$K$4:$AJ$4,0)))+SUMPRODUCT((Inputs!$E$5:$E$140=$B42)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2" s="3" t="e">
        <f>V42</f>
        <v>#N/A</v>
      </c>
      <c r="X42" s="6" t="e">
        <f>IF(ISNA(MATCH(X$2,Inputs!$K$4:$AJ$4,0)),NA(),IF(SUMPRODUCT((Inputs!$A$5:$A$140=$B42)*ISNUMBER(INDEX(Inputs!$K$5:$AJ$140,0,MATCH(X$2,Inputs!$K$4:$AJ$4,0))))+SUMPRODUCT((Inputs!$C$5:$C$140=$B42)*ISNUMBER(INDEX(Inputs!$K$5:$AJ$140,0,MATCH(X$2,Inputs!$K$4:$AJ$4,0))))+SUMPRODUCT((Inputs!$E$5:$E$140=$B42)*ISNUMBER(INDEX(Inputs!$K$5:$AJ$140,0,MATCH(X$2,Inputs!$K$4:$AJ$4,0))))=0,NA(),SUMPRODUCT((Inputs!$A$5:$A$140=$B42)*Inputs!$B$5:$B$140*(((Inputs!$G$5:$G$140="moeda")+(Inputs!$G$5:$G$140="acoes"))*Inputs!$B$1+((Inputs!$G$5:$G$140&lt;&gt;"moeda")*(Inputs!$G$5:$G$140&lt;&gt;"acoes")))*INDEX(Inputs!$K$5:$AJ$140,0,MATCH(X$2,Inputs!$K$4:$AJ$4,0)))+SUMPRODUCT((Inputs!$C$5:$C$140=$B42)*Inputs!$D$5:$D$140*(((Inputs!$G$5:$G$140="moeda")+(Inputs!$G$5:$G$140="acoes"))*Inputs!$B$1+((Inputs!$G$5:$G$140&lt;&gt;"moeda")*(Inputs!$G$5:$G$140&lt;&gt;"acoes")))*INDEX(Inputs!$K$5:$AJ$140,0,MATCH(X$2,Inputs!$K$4:$AJ$4,0)))+SUMPRODUCT((Inputs!$E$5:$E$140=$B42)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2" s="6" t="e">
        <f>IF(ISNA(MATCH(Y$2,Inputs!$K$4:$AJ$4,0)),NA(),IF(SUMPRODUCT((Inputs!$A$5:$A$140=$B42)*ISNUMBER(INDEX(Inputs!$K$5:$AJ$140,0,MATCH(Y$2,Inputs!$K$4:$AJ$4,0))))+SUMPRODUCT((Inputs!$C$5:$C$140=$B42)*ISNUMBER(INDEX(Inputs!$K$5:$AJ$140,0,MATCH(Y$2,Inputs!$K$4:$AJ$4,0))))+SUMPRODUCT((Inputs!$E$5:$E$140=$B42)*ISNUMBER(INDEX(Inputs!$K$5:$AJ$140,0,MATCH(Y$2,Inputs!$K$4:$AJ$4,0))))=0,NA(),SUMPRODUCT((Inputs!$A$5:$A$140=$B42)*Inputs!$B$5:$B$140*(((Inputs!$G$5:$G$140="moeda")+(Inputs!$G$5:$G$140="acoes"))*Inputs!$B$1+((Inputs!$G$5:$G$140&lt;&gt;"moeda")*(Inputs!$G$5:$G$140&lt;&gt;"acoes")))*INDEX(Inputs!$K$5:$AJ$140,0,MATCH(Y$2,Inputs!$K$4:$AJ$4,0)))+SUMPRODUCT((Inputs!$C$5:$C$140=$B42)*Inputs!$D$5:$D$140*(((Inputs!$G$5:$G$140="moeda")+(Inputs!$G$5:$G$140="acoes"))*Inputs!$B$1+((Inputs!$G$5:$G$140&lt;&gt;"moeda")*(Inputs!$G$5:$G$140&lt;&gt;"acoes")))*INDEX(Inputs!$K$5:$AJ$140,0,MATCH(Y$2,Inputs!$K$4:$AJ$4,0)))+SUMPRODUCT((Inputs!$E$5:$E$140=$B42)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2" s="6" t="e">
        <f>IF(ISNA(MATCH(Z$2,Inputs!$K$4:$AJ$4,0)),NA(),IF(SUMPRODUCT((Inputs!$A$5:$A$140=$B42)*ISNUMBER(INDEX(Inputs!$K$5:$AJ$140,0,MATCH(Z$2,Inputs!$K$4:$AJ$4,0))))+SUMPRODUCT((Inputs!$C$5:$C$140=$B42)*ISNUMBER(INDEX(Inputs!$K$5:$AJ$140,0,MATCH(Z$2,Inputs!$K$4:$AJ$4,0))))+SUMPRODUCT((Inputs!$E$5:$E$140=$B42)*ISNUMBER(INDEX(Inputs!$K$5:$AJ$140,0,MATCH(Z$2,Inputs!$K$4:$AJ$4,0))))=0,NA(),SUMPRODUCT((Inputs!$A$5:$A$140=$B42)*Inputs!$B$5:$B$140*(((Inputs!$G$5:$G$140="moeda")+(Inputs!$G$5:$G$140="acoes"))*Inputs!$B$1+((Inputs!$G$5:$G$140&lt;&gt;"moeda")*(Inputs!$G$5:$G$140&lt;&gt;"acoes")))*INDEX(Inputs!$K$5:$AJ$140,0,MATCH(Z$2,Inputs!$K$4:$AJ$4,0)))+SUMPRODUCT((Inputs!$C$5:$C$140=$B42)*Inputs!$D$5:$D$140*(((Inputs!$G$5:$G$140="moeda")+(Inputs!$G$5:$G$140="acoes"))*Inputs!$B$1+((Inputs!$G$5:$G$140&lt;&gt;"moeda")*(Inputs!$G$5:$G$140&lt;&gt;"acoes")))*INDEX(Inputs!$K$5:$AJ$140,0,MATCH(Z$2,Inputs!$K$4:$AJ$4,0)))+SUMPRODUCT((Inputs!$E$5:$E$140=$B42)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2" s="6" t="e">
        <f>IF(ISNA(MATCH(AA$2,Inputs!$K$4:$AJ$4,0)),NA(),IF(SUMPRODUCT((Inputs!$A$5:$A$140=$B42)*ISNUMBER(INDEX(Inputs!$K$5:$AJ$140,0,MATCH(AA$2,Inputs!$K$4:$AJ$4,0))))+SUMPRODUCT((Inputs!$C$5:$C$140=$B42)*ISNUMBER(INDEX(Inputs!$K$5:$AJ$140,0,MATCH(AA$2,Inputs!$K$4:$AJ$4,0))))+SUMPRODUCT((Inputs!$E$5:$E$140=$B42)*ISNUMBER(INDEX(Inputs!$K$5:$AJ$140,0,MATCH(AA$2,Inputs!$K$4:$AJ$4,0))))=0,NA(),SUMPRODUCT((Inputs!$A$5:$A$140=$B42)*Inputs!$B$5:$B$140*(((Inputs!$G$5:$G$140="moeda")+(Inputs!$G$5:$G$140="acoes"))*Inputs!$B$1+((Inputs!$G$5:$G$140&lt;&gt;"moeda")*(Inputs!$G$5:$G$140&lt;&gt;"acoes")))*INDEX(Inputs!$K$5:$AJ$140,0,MATCH(AA$2,Inputs!$K$4:$AJ$4,0)))+SUMPRODUCT((Inputs!$C$5:$C$140=$B42)*Inputs!$D$5:$D$140*(((Inputs!$G$5:$G$140="moeda")+(Inputs!$G$5:$G$140="acoes"))*Inputs!$B$1+((Inputs!$G$5:$G$140&lt;&gt;"moeda")*(Inputs!$G$5:$G$140&lt;&gt;"acoes")))*INDEX(Inputs!$K$5:$AJ$140,0,MATCH(AA$2,Inputs!$K$4:$AJ$4,0)))+SUMPRODUCT((Inputs!$E$5:$E$140=$B42)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2" s="3" t="e">
        <f>AA42</f>
        <v>#N/A</v>
      </c>
      <c r="AC42" s="6" t="e">
        <f>IF(ISNA(MATCH(AC$2,Inputs!$K$4:$AJ$4,0)),NA(),IF(SUMPRODUCT((Inputs!$A$5:$A$140=$B42)*ISNUMBER(INDEX(Inputs!$K$5:$AJ$140,0,MATCH(AC$2,Inputs!$K$4:$AJ$4,0))))+SUMPRODUCT((Inputs!$C$5:$C$140=$B42)*ISNUMBER(INDEX(Inputs!$K$5:$AJ$140,0,MATCH(AC$2,Inputs!$K$4:$AJ$4,0))))+SUMPRODUCT((Inputs!$E$5:$E$140=$B42)*ISNUMBER(INDEX(Inputs!$K$5:$AJ$140,0,MATCH(AC$2,Inputs!$K$4:$AJ$4,0))))=0,NA(),SUMPRODUCT((Inputs!$A$5:$A$140=$B42)*Inputs!$B$5:$B$140*(((Inputs!$G$5:$G$140="moeda")+(Inputs!$G$5:$G$140="acoes"))*Inputs!$B$1+((Inputs!$G$5:$G$140&lt;&gt;"moeda")*(Inputs!$G$5:$G$140&lt;&gt;"acoes")))*INDEX(Inputs!$K$5:$AJ$140,0,MATCH(AC$2,Inputs!$K$4:$AJ$4,0)))+SUMPRODUCT((Inputs!$C$5:$C$140=$B42)*Inputs!$D$5:$D$140*(((Inputs!$G$5:$G$140="moeda")+(Inputs!$G$5:$G$140="acoes"))*Inputs!$B$1+((Inputs!$G$5:$G$140&lt;&gt;"moeda")*(Inputs!$G$5:$G$140&lt;&gt;"acoes")))*INDEX(Inputs!$K$5:$AJ$140,0,MATCH(AC$2,Inputs!$K$4:$AJ$4,0)))+SUMPRODUCT((Inputs!$E$5:$E$140=$B42)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2" s="6" t="e">
        <f>IF(ISNA(MATCH(AD$2,Inputs!$K$4:$AJ$4,0)),NA(),IF(SUMPRODUCT((Inputs!$A$5:$A$140=$B42)*ISNUMBER(INDEX(Inputs!$K$5:$AJ$140,0,MATCH(AD$2,Inputs!$K$4:$AJ$4,0))))+SUMPRODUCT((Inputs!$C$5:$C$140=$B42)*ISNUMBER(INDEX(Inputs!$K$5:$AJ$140,0,MATCH(AD$2,Inputs!$K$4:$AJ$4,0))))+SUMPRODUCT((Inputs!$E$5:$E$140=$B42)*ISNUMBER(INDEX(Inputs!$K$5:$AJ$140,0,MATCH(AD$2,Inputs!$K$4:$AJ$4,0))))=0,NA(),SUMPRODUCT((Inputs!$A$5:$A$140=$B42)*Inputs!$B$5:$B$140*(((Inputs!$G$5:$G$140="moeda")+(Inputs!$G$5:$G$140="acoes"))*Inputs!$B$1+((Inputs!$G$5:$G$140&lt;&gt;"moeda")*(Inputs!$G$5:$G$140&lt;&gt;"acoes")))*INDEX(Inputs!$K$5:$AJ$140,0,MATCH(AD$2,Inputs!$K$4:$AJ$4,0)))+SUMPRODUCT((Inputs!$C$5:$C$140=$B42)*Inputs!$D$5:$D$140*(((Inputs!$G$5:$G$140="moeda")+(Inputs!$G$5:$G$140="acoes"))*Inputs!$B$1+((Inputs!$G$5:$G$140&lt;&gt;"moeda")*(Inputs!$G$5:$G$140&lt;&gt;"acoes")))*INDEX(Inputs!$K$5:$AJ$140,0,MATCH(AD$2,Inputs!$K$4:$AJ$4,0)))+SUMPRODUCT((Inputs!$E$5:$E$140=$B42)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2" s="6" t="e">
        <f>IF(ISNA(MATCH(AE$2,Inputs!$K$4:$AJ$4,0)),NA(),IF(SUMPRODUCT((Inputs!$A$5:$A$140=$B42)*ISNUMBER(INDEX(Inputs!$K$5:$AJ$140,0,MATCH(AE$2,Inputs!$K$4:$AJ$4,0))))+SUMPRODUCT((Inputs!$C$5:$C$140=$B42)*ISNUMBER(INDEX(Inputs!$K$5:$AJ$140,0,MATCH(AE$2,Inputs!$K$4:$AJ$4,0))))+SUMPRODUCT((Inputs!$E$5:$E$140=$B42)*ISNUMBER(INDEX(Inputs!$K$5:$AJ$140,0,MATCH(AE$2,Inputs!$K$4:$AJ$4,0))))=0,NA(),SUMPRODUCT((Inputs!$A$5:$A$140=$B42)*Inputs!$B$5:$B$140*(((Inputs!$G$5:$G$140="moeda")+(Inputs!$G$5:$G$140="acoes"))*Inputs!$B$1+((Inputs!$G$5:$G$140&lt;&gt;"moeda")*(Inputs!$G$5:$G$140&lt;&gt;"acoes")))*INDEX(Inputs!$K$5:$AJ$140,0,MATCH(AE$2,Inputs!$K$4:$AJ$4,0)))+SUMPRODUCT((Inputs!$C$5:$C$140=$B42)*Inputs!$D$5:$D$140*(((Inputs!$G$5:$G$140="moeda")+(Inputs!$G$5:$G$140="acoes"))*Inputs!$B$1+((Inputs!$G$5:$G$140&lt;&gt;"moeda")*(Inputs!$G$5:$G$140&lt;&gt;"acoes")))*INDEX(Inputs!$K$5:$AJ$140,0,MATCH(AE$2,Inputs!$K$4:$AJ$4,0)))+SUMPRODUCT((Inputs!$E$5:$E$140=$B42)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2" s="6" t="e">
        <f>IF(ISNA(MATCH(AF$2,Inputs!$K$4:$AJ$4,0)),NA(),IF(SUMPRODUCT((Inputs!$A$5:$A$140=$B42)*ISNUMBER(INDEX(Inputs!$K$5:$AJ$140,0,MATCH(AF$2,Inputs!$K$4:$AJ$4,0))))+SUMPRODUCT((Inputs!$C$5:$C$140=$B42)*ISNUMBER(INDEX(Inputs!$K$5:$AJ$140,0,MATCH(AF$2,Inputs!$K$4:$AJ$4,0))))+SUMPRODUCT((Inputs!$E$5:$E$140=$B42)*ISNUMBER(INDEX(Inputs!$K$5:$AJ$140,0,MATCH(AF$2,Inputs!$K$4:$AJ$4,0))))=0,NA(),SUMPRODUCT((Inputs!$A$5:$A$140=$B42)*Inputs!$B$5:$B$140*(((Inputs!$G$5:$G$140="moeda")+(Inputs!$G$5:$G$140="acoes"))*Inputs!$B$1+((Inputs!$G$5:$G$140&lt;&gt;"moeda")*(Inputs!$G$5:$G$140&lt;&gt;"acoes")))*INDEX(Inputs!$K$5:$AJ$140,0,MATCH(AF$2,Inputs!$K$4:$AJ$4,0)))+SUMPRODUCT((Inputs!$C$5:$C$140=$B42)*Inputs!$D$5:$D$140*(((Inputs!$G$5:$G$140="moeda")+(Inputs!$G$5:$G$140="acoes"))*Inputs!$B$1+((Inputs!$G$5:$G$140&lt;&gt;"moeda")*(Inputs!$G$5:$G$140&lt;&gt;"acoes")))*INDEX(Inputs!$K$5:$AJ$140,0,MATCH(AF$2,Inputs!$K$4:$AJ$4,0)))+SUMPRODUCT((Inputs!$E$5:$E$140=$B42)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2" s="3" t="e">
        <f>AF42</f>
        <v>#N/A</v>
      </c>
      <c r="AH42" s="6" t="e">
        <f>IF(ISNA(MATCH(AH$2,Inputs!$K$4:$AJ$4,0)),NA(),IF(SUMPRODUCT((Inputs!$A$5:$A$140=$B42)*ISNUMBER(INDEX(Inputs!$K$5:$AJ$140,0,MATCH(AH$2,Inputs!$K$4:$AJ$4,0))))+SUMPRODUCT((Inputs!$C$5:$C$140=$B42)*ISNUMBER(INDEX(Inputs!$K$5:$AJ$140,0,MATCH(AH$2,Inputs!$K$4:$AJ$4,0))))+SUMPRODUCT((Inputs!$E$5:$E$140=$B42)*ISNUMBER(INDEX(Inputs!$K$5:$AJ$140,0,MATCH(AH$2,Inputs!$K$4:$AJ$4,0))))=0,NA(),SUMPRODUCT((Inputs!$A$5:$A$140=$B42)*Inputs!$B$5:$B$140*(((Inputs!$G$5:$G$140="moeda")+(Inputs!$G$5:$G$140="acoes"))*Inputs!$B$1+((Inputs!$G$5:$G$140&lt;&gt;"moeda")*(Inputs!$G$5:$G$140&lt;&gt;"acoes")))*INDEX(Inputs!$K$5:$AJ$140,0,MATCH(AH$2,Inputs!$K$4:$AJ$4,0)))+SUMPRODUCT((Inputs!$C$5:$C$140=$B42)*Inputs!$D$5:$D$140*(((Inputs!$G$5:$G$140="moeda")+(Inputs!$G$5:$G$140="acoes"))*Inputs!$B$1+((Inputs!$G$5:$G$140&lt;&gt;"moeda")*(Inputs!$G$5:$G$140&lt;&gt;"acoes")))*INDEX(Inputs!$K$5:$AJ$140,0,MATCH(AH$2,Inputs!$K$4:$AJ$4,0)))+SUMPRODUCT((Inputs!$E$5:$E$140=$B42)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2" s="6" t="e">
        <f>IF(ISNA(MATCH(AI$2,Inputs!$K$4:$AJ$4,0)),NA(),IF(SUMPRODUCT((Inputs!$A$5:$A$140=$B42)*ISNUMBER(INDEX(Inputs!$K$5:$AJ$140,0,MATCH(AI$2,Inputs!$K$4:$AJ$4,0))))+SUMPRODUCT((Inputs!$C$5:$C$140=$B42)*ISNUMBER(INDEX(Inputs!$K$5:$AJ$140,0,MATCH(AI$2,Inputs!$K$4:$AJ$4,0))))+SUMPRODUCT((Inputs!$E$5:$E$140=$B42)*ISNUMBER(INDEX(Inputs!$K$5:$AJ$140,0,MATCH(AI$2,Inputs!$K$4:$AJ$4,0))))=0,NA(),SUMPRODUCT((Inputs!$A$5:$A$140=$B42)*Inputs!$B$5:$B$140*(((Inputs!$G$5:$G$140="moeda")+(Inputs!$G$5:$G$140="acoes"))*Inputs!$B$1+((Inputs!$G$5:$G$140&lt;&gt;"moeda")*(Inputs!$G$5:$G$140&lt;&gt;"acoes")))*INDEX(Inputs!$K$5:$AJ$140,0,MATCH(AI$2,Inputs!$K$4:$AJ$4,0)))+SUMPRODUCT((Inputs!$C$5:$C$140=$B42)*Inputs!$D$5:$D$140*(((Inputs!$G$5:$G$140="moeda")+(Inputs!$G$5:$G$140="acoes"))*Inputs!$B$1+((Inputs!$G$5:$G$140&lt;&gt;"moeda")*(Inputs!$G$5:$G$140&lt;&gt;"acoes")))*INDEX(Inputs!$K$5:$AJ$140,0,MATCH(AI$2,Inputs!$K$4:$AJ$4,0)))+SUMPRODUCT((Inputs!$E$5:$E$140=$B42)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2" s="6" t="e">
        <f>IF(ISNA(MATCH(AJ$2,Inputs!$K$4:$AJ$4,0)),NA(),IF(SUMPRODUCT((Inputs!$A$5:$A$140=$B42)*ISNUMBER(INDEX(Inputs!$K$5:$AJ$140,0,MATCH(AJ$2,Inputs!$K$4:$AJ$4,0))))+SUMPRODUCT((Inputs!$C$5:$C$140=$B42)*ISNUMBER(INDEX(Inputs!$K$5:$AJ$140,0,MATCH(AJ$2,Inputs!$K$4:$AJ$4,0))))+SUMPRODUCT((Inputs!$E$5:$E$140=$B42)*ISNUMBER(INDEX(Inputs!$K$5:$AJ$140,0,MATCH(AJ$2,Inputs!$K$4:$AJ$4,0))))=0,NA(),SUMPRODUCT((Inputs!$A$5:$A$140=$B42)*Inputs!$B$5:$B$140*(((Inputs!$G$5:$G$140="moeda")+(Inputs!$G$5:$G$140="acoes"))*Inputs!$B$1+((Inputs!$G$5:$G$140&lt;&gt;"moeda")*(Inputs!$G$5:$G$140&lt;&gt;"acoes")))*INDEX(Inputs!$K$5:$AJ$140,0,MATCH(AJ$2,Inputs!$K$4:$AJ$4,0)))+SUMPRODUCT((Inputs!$C$5:$C$140=$B42)*Inputs!$D$5:$D$140*(((Inputs!$G$5:$G$140="moeda")+(Inputs!$G$5:$G$140="acoes"))*Inputs!$B$1+((Inputs!$G$5:$G$140&lt;&gt;"moeda")*(Inputs!$G$5:$G$140&lt;&gt;"acoes")))*INDEX(Inputs!$K$5:$AJ$140,0,MATCH(AJ$2,Inputs!$K$4:$AJ$4,0)))+SUMPRODUCT((Inputs!$E$5:$E$140=$B42)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2" s="6" t="e">
        <f>IF(ISNA(MATCH(AK$2,Inputs!$K$4:$AJ$4,0)),NA(),IF(SUMPRODUCT((Inputs!$A$5:$A$140=$B42)*ISNUMBER(INDEX(Inputs!$K$5:$AJ$140,0,MATCH(AK$2,Inputs!$K$4:$AJ$4,0))))+SUMPRODUCT((Inputs!$C$5:$C$140=$B42)*ISNUMBER(INDEX(Inputs!$K$5:$AJ$140,0,MATCH(AK$2,Inputs!$K$4:$AJ$4,0))))+SUMPRODUCT((Inputs!$E$5:$E$140=$B42)*ISNUMBER(INDEX(Inputs!$K$5:$AJ$140,0,MATCH(AK$2,Inputs!$K$4:$AJ$4,0))))=0,NA(),SUMPRODUCT((Inputs!$A$5:$A$140=$B42)*Inputs!$B$5:$B$140*(((Inputs!$G$5:$G$140="moeda")+(Inputs!$G$5:$G$140="acoes"))*Inputs!$B$1+((Inputs!$G$5:$G$140&lt;&gt;"moeda")*(Inputs!$G$5:$G$140&lt;&gt;"acoes")))*INDEX(Inputs!$K$5:$AJ$140,0,MATCH(AK$2,Inputs!$K$4:$AJ$4,0)))+SUMPRODUCT((Inputs!$C$5:$C$140=$B42)*Inputs!$D$5:$D$140*(((Inputs!$G$5:$G$140="moeda")+(Inputs!$G$5:$G$140="acoes"))*Inputs!$B$1+((Inputs!$G$5:$G$140&lt;&gt;"moeda")*(Inputs!$G$5:$G$140&lt;&gt;"acoes")))*INDEX(Inputs!$K$5:$AJ$140,0,MATCH(AK$2,Inputs!$K$4:$AJ$4,0)))+SUMPRODUCT((Inputs!$E$5:$E$140=$B42)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$140=$B43)*ISNUMBER(INDEX(Inputs!$K$5:$AJ$140,0,MATCH(D$2,Inputs!$K$4:$AJ$4,0))))+SUMPRODUCT((Inputs!$C$5:$C$140=$B43)*ISNUMBER(INDEX(Inputs!$K$5:$AJ$140,0,MATCH(D$2,Inputs!$K$4:$AJ$4,0))))+SUMPRODUCT((Inputs!$E$5:$E$140=$B43)*ISNUMBER(INDEX(Inputs!$K$5:$AJ$140,0,MATCH(D$2,Inputs!$K$4:$AJ$4,0))))=0,NA(),SUMPRODUCT((Inputs!$A$5:$A$140=$B43)*Inputs!$B$5:$B$140*(((Inputs!$G$5:$G$140="moeda")+(Inputs!$G$5:$G$140="acoes"))*Inputs!$B$1+((Inputs!$G$5:$G$140&lt;&gt;"moeda")*(Inputs!$G$5:$G$140&lt;&gt;"acoes")))*INDEX(Inputs!$K$5:$AJ$140,0,MATCH(D$2,Inputs!$K$4:$AJ$4,0)))+SUMPRODUCT((Inputs!$C$5:$C$140=$B43)*Inputs!$D$5:$D$140*(((Inputs!$G$5:$G$140="moeda")+(Inputs!$G$5:$G$140="acoes"))*Inputs!$B$1+((Inputs!$G$5:$G$140&lt;&gt;"moeda")*(Inputs!$G$5:$G$140&lt;&gt;"acoes")))*INDEX(Inputs!$K$5:$AJ$140,0,MATCH(D$2,Inputs!$K$4:$AJ$4,0)))+SUMPRODUCT((Inputs!$E$5:$E$140=$B43)*Inputs!$F$5:$F$140*(((Inputs!$G$5:$G$140="moeda")+(Inputs!$G$5:$G$140="acoes"))*Inputs!$B$1+((Inputs!$G$5:$G$140&lt;&gt;"moeda")*(Inputs!$G$5:$G$140&lt;&gt;"acoes")))*INDEX(Inputs!$K$5:$AJ$140,0,MATCH(D$2,Inputs!$K$4:$AJ$4,0)))))</f>
        <v>4825.14645592</v>
      </c>
      <c r="E43" s="6">
        <f>IF(ISNA(MATCH(E$2,Inputs!$K$4:$AJ$4,0)),NA(),IF(SUMPRODUCT((Inputs!$A$5:$A$140=$B43)*ISNUMBER(INDEX(Inputs!$K$5:$AJ$140,0,MATCH(E$2,Inputs!$K$4:$AJ$4,0))))+SUMPRODUCT((Inputs!$C$5:$C$140=$B43)*ISNUMBER(INDEX(Inputs!$K$5:$AJ$140,0,MATCH(E$2,Inputs!$K$4:$AJ$4,0))))+SUMPRODUCT((Inputs!$E$5:$E$140=$B43)*ISNUMBER(INDEX(Inputs!$K$5:$AJ$140,0,MATCH(E$2,Inputs!$K$4:$AJ$4,0))))=0,NA(),SUMPRODUCT((Inputs!$A$5:$A$140=$B43)*Inputs!$B$5:$B$140*(((Inputs!$G$5:$G$140="moeda")+(Inputs!$G$5:$G$140="acoes"))*Inputs!$B$1+((Inputs!$G$5:$G$140&lt;&gt;"moeda")*(Inputs!$G$5:$G$140&lt;&gt;"acoes")))*INDEX(Inputs!$K$5:$AJ$140,0,MATCH(E$2,Inputs!$K$4:$AJ$4,0)))+SUMPRODUCT((Inputs!$C$5:$C$140=$B43)*Inputs!$D$5:$D$140*(((Inputs!$G$5:$G$140="moeda")+(Inputs!$G$5:$G$140="acoes"))*Inputs!$B$1+((Inputs!$G$5:$G$140&lt;&gt;"moeda")*(Inputs!$G$5:$G$140&lt;&gt;"acoes")))*INDEX(Inputs!$K$5:$AJ$140,0,MATCH(E$2,Inputs!$K$4:$AJ$4,0)))+SUMPRODUCT((Inputs!$E$5:$E$140=$B43)*Inputs!$F$5:$F$140*(((Inputs!$G$5:$G$140="moeda")+(Inputs!$G$5:$G$140="acoes"))*Inputs!$B$1+((Inputs!$G$5:$G$140&lt;&gt;"moeda")*(Inputs!$G$5:$G$140&lt;&gt;"acoes")))*INDEX(Inputs!$K$5:$AJ$140,0,MATCH(E$2,Inputs!$K$4:$AJ$4,0)))))</f>
        <v>4825.14615592</v>
      </c>
      <c r="F43" s="6">
        <f>IF(ISNA(MATCH(F$2,Inputs!$K$4:$AJ$4,0)),NA(),IF(SUMPRODUCT((Inputs!$A$5:$A$140=$B43)*ISNUMBER(INDEX(Inputs!$K$5:$AJ$140,0,MATCH(F$2,Inputs!$K$4:$AJ$4,0))))+SUMPRODUCT((Inputs!$C$5:$C$140=$B43)*ISNUMBER(INDEX(Inputs!$K$5:$AJ$140,0,MATCH(F$2,Inputs!$K$4:$AJ$4,0))))+SUMPRODUCT((Inputs!$E$5:$E$140=$B43)*ISNUMBER(INDEX(Inputs!$K$5:$AJ$140,0,MATCH(F$2,Inputs!$K$4:$AJ$4,0))))=0,NA(),SUMPRODUCT((Inputs!$A$5:$A$140=$B43)*Inputs!$B$5:$B$140*(((Inputs!$G$5:$G$140="moeda")+(Inputs!$G$5:$G$140="acoes"))*Inputs!$B$1+((Inputs!$G$5:$G$140&lt;&gt;"moeda")*(Inputs!$G$5:$G$140&lt;&gt;"acoes")))*INDEX(Inputs!$K$5:$AJ$140,0,MATCH(F$2,Inputs!$K$4:$AJ$4,0)))+SUMPRODUCT((Inputs!$C$5:$C$140=$B43)*Inputs!$D$5:$D$140*(((Inputs!$G$5:$G$140="moeda")+(Inputs!$G$5:$G$140="acoes"))*Inputs!$B$1+((Inputs!$G$5:$G$140&lt;&gt;"moeda")*(Inputs!$G$5:$G$140&lt;&gt;"acoes")))*INDEX(Inputs!$K$5:$AJ$140,0,MATCH(F$2,Inputs!$K$4:$AJ$4,0)))+SUMPRODUCT((Inputs!$E$5:$E$140=$B43)*Inputs!$F$5:$F$140*(((Inputs!$G$5:$G$140="moeda")+(Inputs!$G$5:$G$140="acoes"))*Inputs!$B$1+((Inputs!$G$5:$G$140&lt;&gt;"moeda")*(Inputs!$G$5:$G$140&lt;&gt;"acoes")))*INDEX(Inputs!$K$5:$AJ$140,0,MATCH(F$2,Inputs!$K$4:$AJ$4,0)))))</f>
        <v>4825.146</v>
      </c>
      <c r="G43" s="6">
        <f>IF(ISNA(MATCH(G$2,Inputs!$K$4:$AJ$4,0)),NA(),IF(SUMPRODUCT((Inputs!$A$5:$A$140=$B43)*ISNUMBER(INDEX(Inputs!$K$5:$AJ$140,0,MATCH(G$2,Inputs!$K$4:$AJ$4,0))))+SUMPRODUCT((Inputs!$C$5:$C$140=$B43)*ISNUMBER(INDEX(Inputs!$K$5:$AJ$140,0,MATCH(G$2,Inputs!$K$4:$AJ$4,0))))+SUMPRODUCT((Inputs!$E$5:$E$140=$B43)*ISNUMBER(INDEX(Inputs!$K$5:$AJ$140,0,MATCH(G$2,Inputs!$K$4:$AJ$4,0))))=0,NA(),SUMPRODUCT((Inputs!$A$5:$A$140=$B43)*Inputs!$B$5:$B$140*(((Inputs!$G$5:$G$140="moeda")+(Inputs!$G$5:$G$140="acoes"))*Inputs!$B$1+((Inputs!$G$5:$G$140&lt;&gt;"moeda")*(Inputs!$G$5:$G$140&lt;&gt;"acoes")))*INDEX(Inputs!$K$5:$AJ$140,0,MATCH(G$2,Inputs!$K$4:$AJ$4,0)))+SUMPRODUCT((Inputs!$C$5:$C$140=$B43)*Inputs!$D$5:$D$140*(((Inputs!$G$5:$G$140="moeda")+(Inputs!$G$5:$G$140="acoes"))*Inputs!$B$1+((Inputs!$G$5:$G$140&lt;&gt;"moeda")*(Inputs!$G$5:$G$140&lt;&gt;"acoes")))*INDEX(Inputs!$K$5:$AJ$140,0,MATCH(G$2,Inputs!$K$4:$AJ$4,0)))+SUMPRODUCT((Inputs!$E$5:$E$140=$B43)*Inputs!$F$5:$F$140*(((Inputs!$G$5:$G$140="moeda")+(Inputs!$G$5:$G$140="acoes"))*Inputs!$B$1+((Inputs!$G$5:$G$140&lt;&gt;"moeda")*(Inputs!$G$5:$G$140&lt;&gt;"acoes")))*INDEX(Inputs!$K$5:$AJ$140,0,MATCH(G$2,Inputs!$K$4:$AJ$4,0)))))</f>
        <v>4825.146</v>
      </c>
      <c r="H43" s="3">
        <f>G43</f>
        <v>4825.146</v>
      </c>
      <c r="I43" s="6">
        <f>IF(ISNA(MATCH(I$2,Inputs!$K$4:$AJ$4,0)),NA(),IF(SUMPRODUCT((Inputs!$A$5:$A$140=$B43)*ISNUMBER(INDEX(Inputs!$K$5:$AJ$140,0,MATCH(I$2,Inputs!$K$4:$AJ$4,0))))+SUMPRODUCT((Inputs!$C$5:$C$140=$B43)*ISNUMBER(INDEX(Inputs!$K$5:$AJ$140,0,MATCH(I$2,Inputs!$K$4:$AJ$4,0))))+SUMPRODUCT((Inputs!$E$5:$E$140=$B43)*ISNUMBER(INDEX(Inputs!$K$5:$AJ$140,0,MATCH(I$2,Inputs!$K$4:$AJ$4,0))))=0,NA(),SUMPRODUCT((Inputs!$A$5:$A$140=$B43)*Inputs!$B$5:$B$140*(((Inputs!$G$5:$G$140="moeda")+(Inputs!$G$5:$G$140="acoes"))*Inputs!$B$1+((Inputs!$G$5:$G$140&lt;&gt;"moeda")*(Inputs!$G$5:$G$140&lt;&gt;"acoes")))*INDEX(Inputs!$K$5:$AJ$140,0,MATCH(I$2,Inputs!$K$4:$AJ$4,0)))+SUMPRODUCT((Inputs!$C$5:$C$140=$B43)*Inputs!$D$5:$D$140*(((Inputs!$G$5:$G$140="moeda")+(Inputs!$G$5:$G$140="acoes"))*Inputs!$B$1+((Inputs!$G$5:$G$140&lt;&gt;"moeda")*(Inputs!$G$5:$G$140&lt;&gt;"acoes")))*INDEX(Inputs!$K$5:$AJ$140,0,MATCH(I$2,Inputs!$K$4:$AJ$4,0)))+SUMPRODUCT((Inputs!$E$5:$E$140=$B43)*Inputs!$F$5:$F$140*(((Inputs!$G$5:$G$140="moeda")+(Inputs!$G$5:$G$140="acoes"))*Inputs!$B$1+((Inputs!$G$5:$G$140&lt;&gt;"moeda")*(Inputs!$G$5:$G$140&lt;&gt;"acoes")))*INDEX(Inputs!$K$5:$AJ$140,0,MATCH(I$2,Inputs!$K$4:$AJ$4,0)))))</f>
        <v>4825.146</v>
      </c>
      <c r="J43" s="6">
        <f>IF(ISNA(MATCH(J$2,Inputs!$K$4:$AJ$4,0)),NA(),IF(SUMPRODUCT((Inputs!$A$5:$A$140=$B43)*ISNUMBER(INDEX(Inputs!$K$5:$AJ$140,0,MATCH(J$2,Inputs!$K$4:$AJ$4,0))))+SUMPRODUCT((Inputs!$C$5:$C$140=$B43)*ISNUMBER(INDEX(Inputs!$K$5:$AJ$140,0,MATCH(J$2,Inputs!$K$4:$AJ$4,0))))+SUMPRODUCT((Inputs!$E$5:$E$140=$B43)*ISNUMBER(INDEX(Inputs!$K$5:$AJ$140,0,MATCH(J$2,Inputs!$K$4:$AJ$4,0))))=0,NA(),SUMPRODUCT((Inputs!$A$5:$A$140=$B43)*Inputs!$B$5:$B$140*(((Inputs!$G$5:$G$140="moeda")+(Inputs!$G$5:$G$140="acoes"))*Inputs!$B$1+((Inputs!$G$5:$G$140&lt;&gt;"moeda")*(Inputs!$G$5:$G$140&lt;&gt;"acoes")))*INDEX(Inputs!$K$5:$AJ$140,0,MATCH(J$2,Inputs!$K$4:$AJ$4,0)))+SUMPRODUCT((Inputs!$C$5:$C$140=$B43)*Inputs!$D$5:$D$140*(((Inputs!$G$5:$G$140="moeda")+(Inputs!$G$5:$G$140="acoes"))*Inputs!$B$1+((Inputs!$G$5:$G$140&lt;&gt;"moeda")*(Inputs!$G$5:$G$140&lt;&gt;"acoes")))*INDEX(Inputs!$K$5:$AJ$140,0,MATCH(J$2,Inputs!$K$4:$AJ$4,0)))+SUMPRODUCT((Inputs!$E$5:$E$140=$B43)*Inputs!$F$5:$F$140*(((Inputs!$G$5:$G$140="moeda")+(Inputs!$G$5:$G$140="acoes"))*Inputs!$B$1+((Inputs!$G$5:$G$140&lt;&gt;"moeda")*(Inputs!$G$5:$G$140&lt;&gt;"acoes")))*INDEX(Inputs!$K$5:$AJ$140,0,MATCH(J$2,Inputs!$K$4:$AJ$4,0)))))</f>
        <v>4825.146</v>
      </c>
      <c r="K43" s="6">
        <f>IF(ISNA(MATCH(K$2,Inputs!$K$4:$AJ$4,0)),NA(),IF(SUMPRODUCT((Inputs!$A$5:$A$140=$B43)*ISNUMBER(INDEX(Inputs!$K$5:$AJ$140,0,MATCH(K$2,Inputs!$K$4:$AJ$4,0))))+SUMPRODUCT((Inputs!$C$5:$C$140=$B43)*ISNUMBER(INDEX(Inputs!$K$5:$AJ$140,0,MATCH(K$2,Inputs!$K$4:$AJ$4,0))))+SUMPRODUCT((Inputs!$E$5:$E$140=$B43)*ISNUMBER(INDEX(Inputs!$K$5:$AJ$140,0,MATCH(K$2,Inputs!$K$4:$AJ$4,0))))=0,NA(),SUMPRODUCT((Inputs!$A$5:$A$140=$B43)*Inputs!$B$5:$B$140*(((Inputs!$G$5:$G$140="moeda")+(Inputs!$G$5:$G$140="acoes"))*Inputs!$B$1+((Inputs!$G$5:$G$140&lt;&gt;"moeda")*(Inputs!$G$5:$G$140&lt;&gt;"acoes")))*INDEX(Inputs!$K$5:$AJ$140,0,MATCH(K$2,Inputs!$K$4:$AJ$4,0)))+SUMPRODUCT((Inputs!$C$5:$C$140=$B43)*Inputs!$D$5:$D$140*(((Inputs!$G$5:$G$140="moeda")+(Inputs!$G$5:$G$140="acoes"))*Inputs!$B$1+((Inputs!$G$5:$G$140&lt;&gt;"moeda")*(Inputs!$G$5:$G$140&lt;&gt;"acoes")))*INDEX(Inputs!$K$5:$AJ$140,0,MATCH(K$2,Inputs!$K$4:$AJ$4,0)))+SUMPRODUCT((Inputs!$E$5:$E$140=$B43)*Inputs!$F$5:$F$140*(((Inputs!$G$5:$G$140="moeda")+(Inputs!$G$5:$G$140="acoes"))*Inputs!$B$1+((Inputs!$G$5:$G$140&lt;&gt;"moeda")*(Inputs!$G$5:$G$140&lt;&gt;"acoes")))*INDEX(Inputs!$K$5:$AJ$140,0,MATCH(K$2,Inputs!$K$4:$AJ$4,0)))))</f>
        <v>4825.146</v>
      </c>
      <c r="L43" s="6">
        <f>IF(ISNA(MATCH(L$2,Inputs!$K$4:$AJ$4,0)),NA(),IF(SUMPRODUCT((Inputs!$A$5:$A$140=$B43)*ISNUMBER(INDEX(Inputs!$K$5:$AJ$140,0,MATCH(L$2,Inputs!$K$4:$AJ$4,0))))+SUMPRODUCT((Inputs!$C$5:$C$140=$B43)*ISNUMBER(INDEX(Inputs!$K$5:$AJ$140,0,MATCH(L$2,Inputs!$K$4:$AJ$4,0))))+SUMPRODUCT((Inputs!$E$5:$E$140=$B43)*ISNUMBER(INDEX(Inputs!$K$5:$AJ$140,0,MATCH(L$2,Inputs!$K$4:$AJ$4,0))))=0,NA(),SUMPRODUCT((Inputs!$A$5:$A$140=$B43)*Inputs!$B$5:$B$140*(((Inputs!$G$5:$G$140="moeda")+(Inputs!$G$5:$G$140="acoes"))*Inputs!$B$1+((Inputs!$G$5:$G$140&lt;&gt;"moeda")*(Inputs!$G$5:$G$140&lt;&gt;"acoes")))*INDEX(Inputs!$K$5:$AJ$140,0,MATCH(L$2,Inputs!$K$4:$AJ$4,0)))+SUMPRODUCT((Inputs!$C$5:$C$140=$B43)*Inputs!$D$5:$D$140*(((Inputs!$G$5:$G$140="moeda")+(Inputs!$G$5:$G$140="acoes"))*Inputs!$B$1+((Inputs!$G$5:$G$140&lt;&gt;"moeda")*(Inputs!$G$5:$G$140&lt;&gt;"acoes")))*INDEX(Inputs!$K$5:$AJ$140,0,MATCH(L$2,Inputs!$K$4:$AJ$4,0)))+SUMPRODUCT((Inputs!$E$5:$E$140=$B43)*Inputs!$F$5:$F$140*(((Inputs!$G$5:$G$140="moeda")+(Inputs!$G$5:$G$140="acoes"))*Inputs!$B$1+((Inputs!$G$5:$G$140&lt;&gt;"moeda")*(Inputs!$G$5:$G$140&lt;&gt;"acoes")))*INDEX(Inputs!$K$5:$AJ$140,0,MATCH(L$2,Inputs!$K$4:$AJ$4,0)))))</f>
        <v>4825.146</v>
      </c>
      <c r="M43" s="3">
        <f>L43</f>
        <v>4825.146</v>
      </c>
      <c r="N43" s="6">
        <f>IF(ISNA(MATCH(N$2,Inputs!$K$4:$AJ$4,0)),NA(),IF(SUMPRODUCT((Inputs!$A$5:$A$140=$B43)*ISNUMBER(INDEX(Inputs!$K$5:$AJ$140,0,MATCH(N$2,Inputs!$K$4:$AJ$4,0))))+SUMPRODUCT((Inputs!$C$5:$C$140=$B43)*ISNUMBER(INDEX(Inputs!$K$5:$AJ$140,0,MATCH(N$2,Inputs!$K$4:$AJ$4,0))))+SUMPRODUCT((Inputs!$E$5:$E$140=$B43)*ISNUMBER(INDEX(Inputs!$K$5:$AJ$140,0,MATCH(N$2,Inputs!$K$4:$AJ$4,0))))=0,NA(),SUMPRODUCT((Inputs!$A$5:$A$140=$B43)*Inputs!$B$5:$B$140*(((Inputs!$G$5:$G$140="moeda")+(Inputs!$G$5:$G$140="acoes"))*Inputs!$B$1+((Inputs!$G$5:$G$140&lt;&gt;"moeda")*(Inputs!$G$5:$G$140&lt;&gt;"acoes")))*INDEX(Inputs!$K$5:$AJ$140,0,MATCH(N$2,Inputs!$K$4:$AJ$4,0)))+SUMPRODUCT((Inputs!$C$5:$C$140=$B43)*Inputs!$D$5:$D$140*(((Inputs!$G$5:$G$140="moeda")+(Inputs!$G$5:$G$140="acoes"))*Inputs!$B$1+((Inputs!$G$5:$G$140&lt;&gt;"moeda")*(Inputs!$G$5:$G$140&lt;&gt;"acoes")))*INDEX(Inputs!$K$5:$AJ$140,0,MATCH(N$2,Inputs!$K$4:$AJ$4,0)))+SUMPRODUCT((Inputs!$E$5:$E$140=$B43)*Inputs!$F$5:$F$140*(((Inputs!$G$5:$G$140="moeda")+(Inputs!$G$5:$G$140="acoes"))*Inputs!$B$1+((Inputs!$G$5:$G$140&lt;&gt;"moeda")*(Inputs!$G$5:$G$140&lt;&gt;"acoes")))*INDEX(Inputs!$K$5:$AJ$140,0,MATCH(N$2,Inputs!$K$4:$AJ$4,0)))))</f>
        <v>4825.146</v>
      </c>
      <c r="O43" s="6">
        <f>IF(ISNA(MATCH(O$2,Inputs!$K$4:$AJ$4,0)),NA(),IF(SUMPRODUCT((Inputs!$A$5:$A$140=$B43)*ISNUMBER(INDEX(Inputs!$K$5:$AJ$140,0,MATCH(O$2,Inputs!$K$4:$AJ$4,0))))+SUMPRODUCT((Inputs!$C$5:$C$140=$B43)*ISNUMBER(INDEX(Inputs!$K$5:$AJ$140,0,MATCH(O$2,Inputs!$K$4:$AJ$4,0))))+SUMPRODUCT((Inputs!$E$5:$E$140=$B43)*ISNUMBER(INDEX(Inputs!$K$5:$AJ$140,0,MATCH(O$2,Inputs!$K$4:$AJ$4,0))))=0,NA(),SUMPRODUCT((Inputs!$A$5:$A$140=$B43)*Inputs!$B$5:$B$140*(((Inputs!$G$5:$G$140="moeda")+(Inputs!$G$5:$G$140="acoes"))*Inputs!$B$1+((Inputs!$G$5:$G$140&lt;&gt;"moeda")*(Inputs!$G$5:$G$140&lt;&gt;"acoes")))*INDEX(Inputs!$K$5:$AJ$140,0,MATCH(O$2,Inputs!$K$4:$AJ$4,0)))+SUMPRODUCT((Inputs!$C$5:$C$140=$B43)*Inputs!$D$5:$D$140*(((Inputs!$G$5:$G$140="moeda")+(Inputs!$G$5:$G$140="acoes"))*Inputs!$B$1+((Inputs!$G$5:$G$140&lt;&gt;"moeda")*(Inputs!$G$5:$G$140&lt;&gt;"acoes")))*INDEX(Inputs!$K$5:$AJ$140,0,MATCH(O$2,Inputs!$K$4:$AJ$4,0)))+SUMPRODUCT((Inputs!$E$5:$E$140=$B43)*Inputs!$F$5:$F$140*(((Inputs!$G$5:$G$140="moeda")+(Inputs!$G$5:$G$140="acoes"))*Inputs!$B$1+((Inputs!$G$5:$G$140&lt;&gt;"moeda")*(Inputs!$G$5:$G$140&lt;&gt;"acoes")))*INDEX(Inputs!$K$5:$AJ$140,0,MATCH(O$2,Inputs!$K$4:$AJ$4,0)))))</f>
        <v>4825.146</v>
      </c>
      <c r="P43" s="6">
        <f>IF(ISNA(MATCH(P$2,Inputs!$K$4:$AJ$4,0)),NA(),IF(SUMPRODUCT((Inputs!$A$5:$A$140=$B43)*ISNUMBER(INDEX(Inputs!$K$5:$AJ$140,0,MATCH(P$2,Inputs!$K$4:$AJ$4,0))))+SUMPRODUCT((Inputs!$C$5:$C$140=$B43)*ISNUMBER(INDEX(Inputs!$K$5:$AJ$140,0,MATCH(P$2,Inputs!$K$4:$AJ$4,0))))+SUMPRODUCT((Inputs!$E$5:$E$140=$B43)*ISNUMBER(INDEX(Inputs!$K$5:$AJ$140,0,MATCH(P$2,Inputs!$K$4:$AJ$4,0))))=0,NA(),SUMPRODUCT((Inputs!$A$5:$A$140=$B43)*Inputs!$B$5:$B$140*(((Inputs!$G$5:$G$140="moeda")+(Inputs!$G$5:$G$140="acoes"))*Inputs!$B$1+((Inputs!$G$5:$G$140&lt;&gt;"moeda")*(Inputs!$G$5:$G$140&lt;&gt;"acoes")))*INDEX(Inputs!$K$5:$AJ$140,0,MATCH(P$2,Inputs!$K$4:$AJ$4,0)))+SUMPRODUCT((Inputs!$C$5:$C$140=$B43)*Inputs!$D$5:$D$140*(((Inputs!$G$5:$G$140="moeda")+(Inputs!$G$5:$G$140="acoes"))*Inputs!$B$1+((Inputs!$G$5:$G$140&lt;&gt;"moeda")*(Inputs!$G$5:$G$140&lt;&gt;"acoes")))*INDEX(Inputs!$K$5:$AJ$140,0,MATCH(P$2,Inputs!$K$4:$AJ$4,0)))+SUMPRODUCT((Inputs!$E$5:$E$140=$B43)*Inputs!$F$5:$F$140*(((Inputs!$G$5:$G$140="moeda")+(Inputs!$G$5:$G$140="acoes"))*Inputs!$B$1+((Inputs!$G$5:$G$140&lt;&gt;"moeda")*(Inputs!$G$5:$G$140&lt;&gt;"acoes")))*INDEX(Inputs!$K$5:$AJ$140,0,MATCH(P$2,Inputs!$K$4:$AJ$4,0)))))</f>
        <v>4822.166</v>
      </c>
      <c r="Q43" s="6">
        <f>IF(ISNA(MATCH(Q$2,Inputs!$K$4:$AJ$4,0)),NA(),IF(SUMPRODUCT((Inputs!$A$5:$A$140=$B43)*ISNUMBER(INDEX(Inputs!$K$5:$AJ$140,0,MATCH(Q$2,Inputs!$K$4:$AJ$4,0))))+SUMPRODUCT((Inputs!$C$5:$C$140=$B43)*ISNUMBER(INDEX(Inputs!$K$5:$AJ$140,0,MATCH(Q$2,Inputs!$K$4:$AJ$4,0))))+SUMPRODUCT((Inputs!$E$5:$E$140=$B43)*ISNUMBER(INDEX(Inputs!$K$5:$AJ$140,0,MATCH(Q$2,Inputs!$K$4:$AJ$4,0))))=0,NA(),SUMPRODUCT((Inputs!$A$5:$A$140=$B43)*Inputs!$B$5:$B$140*(((Inputs!$G$5:$G$140="moeda")+(Inputs!$G$5:$G$140="acoes"))*Inputs!$B$1+((Inputs!$G$5:$G$140&lt;&gt;"moeda")*(Inputs!$G$5:$G$140&lt;&gt;"acoes")))*INDEX(Inputs!$K$5:$AJ$140,0,MATCH(Q$2,Inputs!$K$4:$AJ$4,0)))+SUMPRODUCT((Inputs!$C$5:$C$140=$B43)*Inputs!$D$5:$D$140*(((Inputs!$G$5:$G$140="moeda")+(Inputs!$G$5:$G$140="acoes"))*Inputs!$B$1+((Inputs!$G$5:$G$140&lt;&gt;"moeda")*(Inputs!$G$5:$G$140&lt;&gt;"acoes")))*INDEX(Inputs!$K$5:$AJ$140,0,MATCH(Q$2,Inputs!$K$4:$AJ$4,0)))+SUMPRODUCT((Inputs!$E$5:$E$140=$B43)*Inputs!$F$5:$F$140*(((Inputs!$G$5:$G$140="moeda")+(Inputs!$G$5:$G$140="acoes"))*Inputs!$B$1+((Inputs!$G$5:$G$140&lt;&gt;"moeda")*(Inputs!$G$5:$G$140&lt;&gt;"acoes")))*INDEX(Inputs!$K$5:$AJ$140,0,MATCH(Q$2,Inputs!$K$4:$AJ$4,0)))))</f>
        <v>8057.731</v>
      </c>
      <c r="R43" s="3">
        <f>Q43</f>
        <v>8057.731</v>
      </c>
      <c r="S43" s="6">
        <f>IF(ISNA(MATCH(S$2,Inputs!$K$4:$AJ$4,0)),NA(),IF(SUMPRODUCT((Inputs!$A$5:$A$140=$B43)*ISNUMBER(INDEX(Inputs!$K$5:$AJ$140,0,MATCH(S$2,Inputs!$K$4:$AJ$4,0))))+SUMPRODUCT((Inputs!$C$5:$C$140=$B43)*ISNUMBER(INDEX(Inputs!$K$5:$AJ$140,0,MATCH(S$2,Inputs!$K$4:$AJ$4,0))))+SUMPRODUCT((Inputs!$E$5:$E$140=$B43)*ISNUMBER(INDEX(Inputs!$K$5:$AJ$140,0,MATCH(S$2,Inputs!$K$4:$AJ$4,0))))=0,NA(),SUMPRODUCT((Inputs!$A$5:$A$140=$B43)*Inputs!$B$5:$B$140*(((Inputs!$G$5:$G$140="moeda")+(Inputs!$G$5:$G$140="acoes"))*Inputs!$B$1+((Inputs!$G$5:$G$140&lt;&gt;"moeda")*(Inputs!$G$5:$G$140&lt;&gt;"acoes")))*INDEX(Inputs!$K$5:$AJ$140,0,MATCH(S$2,Inputs!$K$4:$AJ$4,0)))+SUMPRODUCT((Inputs!$C$5:$C$140=$B43)*Inputs!$D$5:$D$140*(((Inputs!$G$5:$G$140="moeda")+(Inputs!$G$5:$G$140="acoes"))*Inputs!$B$1+((Inputs!$G$5:$G$140&lt;&gt;"moeda")*(Inputs!$G$5:$G$140&lt;&gt;"acoes")))*INDEX(Inputs!$K$5:$AJ$140,0,MATCH(S$2,Inputs!$K$4:$AJ$4,0)))+SUMPRODUCT((Inputs!$E$5:$E$140=$B43)*Inputs!$F$5:$F$140*(((Inputs!$G$5:$G$140="moeda")+(Inputs!$G$5:$G$140="acoes"))*Inputs!$B$1+((Inputs!$G$5:$G$140&lt;&gt;"moeda")*(Inputs!$G$5:$G$140&lt;&gt;"acoes")))*INDEX(Inputs!$K$5:$AJ$140,0,MATCH(S$2,Inputs!$K$4:$AJ$4,0)))))</f>
        <v>8057.731</v>
      </c>
      <c r="T43" s="6">
        <f>IF(ISNA(MATCH(T$2,Inputs!$K$4:$AJ$4,0)),NA(),IF(SUMPRODUCT((Inputs!$A$5:$A$140=$B43)*ISNUMBER(INDEX(Inputs!$K$5:$AJ$140,0,MATCH(T$2,Inputs!$K$4:$AJ$4,0))))+SUMPRODUCT((Inputs!$C$5:$C$140=$B43)*ISNUMBER(INDEX(Inputs!$K$5:$AJ$140,0,MATCH(T$2,Inputs!$K$4:$AJ$4,0))))+SUMPRODUCT((Inputs!$E$5:$E$140=$B43)*ISNUMBER(INDEX(Inputs!$K$5:$AJ$140,0,MATCH(T$2,Inputs!$K$4:$AJ$4,0))))=0,NA(),SUMPRODUCT((Inputs!$A$5:$A$140=$B43)*Inputs!$B$5:$B$140*(((Inputs!$G$5:$G$140="moeda")+(Inputs!$G$5:$G$140="acoes"))*Inputs!$B$1+((Inputs!$G$5:$G$140&lt;&gt;"moeda")*(Inputs!$G$5:$G$140&lt;&gt;"acoes")))*INDEX(Inputs!$K$5:$AJ$140,0,MATCH(T$2,Inputs!$K$4:$AJ$4,0)))+SUMPRODUCT((Inputs!$C$5:$C$140=$B43)*Inputs!$D$5:$D$140*(((Inputs!$G$5:$G$140="moeda")+(Inputs!$G$5:$G$140="acoes"))*Inputs!$B$1+((Inputs!$G$5:$G$140&lt;&gt;"moeda")*(Inputs!$G$5:$G$140&lt;&gt;"acoes")))*INDEX(Inputs!$K$5:$AJ$140,0,MATCH(T$2,Inputs!$K$4:$AJ$4,0)))+SUMPRODUCT((Inputs!$E$5:$E$140=$B43)*Inputs!$F$5:$F$140*(((Inputs!$G$5:$G$140="moeda")+(Inputs!$G$5:$G$140="acoes"))*Inputs!$B$1+((Inputs!$G$5:$G$140&lt;&gt;"moeda")*(Inputs!$G$5:$G$140&lt;&gt;"acoes")))*INDEX(Inputs!$K$5:$AJ$140,0,MATCH(T$2,Inputs!$K$4:$AJ$4,0)))))</f>
        <v>8057.731</v>
      </c>
      <c r="U43" s="6">
        <f>IF(ISNA(MATCH(U$2,Inputs!$K$4:$AJ$4,0)),NA(),IF(SUMPRODUCT((Inputs!$A$5:$A$140=$B43)*ISNUMBER(INDEX(Inputs!$K$5:$AJ$140,0,MATCH(U$2,Inputs!$K$4:$AJ$4,0))))+SUMPRODUCT((Inputs!$C$5:$C$140=$B43)*ISNUMBER(INDEX(Inputs!$K$5:$AJ$140,0,MATCH(U$2,Inputs!$K$4:$AJ$4,0))))+SUMPRODUCT((Inputs!$E$5:$E$140=$B43)*ISNUMBER(INDEX(Inputs!$K$5:$AJ$140,0,MATCH(U$2,Inputs!$K$4:$AJ$4,0))))=0,NA(),SUMPRODUCT((Inputs!$A$5:$A$140=$B43)*Inputs!$B$5:$B$140*(((Inputs!$G$5:$G$140="moeda")+(Inputs!$G$5:$G$140="acoes"))*Inputs!$B$1+((Inputs!$G$5:$G$140&lt;&gt;"moeda")*(Inputs!$G$5:$G$140&lt;&gt;"acoes")))*INDEX(Inputs!$K$5:$AJ$140,0,MATCH(U$2,Inputs!$K$4:$AJ$4,0)))+SUMPRODUCT((Inputs!$C$5:$C$140=$B43)*Inputs!$D$5:$D$140*(((Inputs!$G$5:$G$140="moeda")+(Inputs!$G$5:$G$140="acoes"))*Inputs!$B$1+((Inputs!$G$5:$G$140&lt;&gt;"moeda")*(Inputs!$G$5:$G$140&lt;&gt;"acoes")))*INDEX(Inputs!$K$5:$AJ$140,0,MATCH(U$2,Inputs!$K$4:$AJ$4,0)))+SUMPRODUCT((Inputs!$E$5:$E$140=$B43)*Inputs!$F$5:$F$140*(((Inputs!$G$5:$G$140="moeda")+(Inputs!$G$5:$G$140="acoes"))*Inputs!$B$1+((Inputs!$G$5:$G$140&lt;&gt;"moeda")*(Inputs!$G$5:$G$140&lt;&gt;"acoes")))*INDEX(Inputs!$K$5:$AJ$140,0,MATCH(U$2,Inputs!$K$4:$AJ$4,0)))))</f>
        <v>8057.731</v>
      </c>
      <c r="V43" s="6">
        <f>IF(ISNA(MATCH(V$2,Inputs!$K$4:$AJ$4,0)),NA(),IF(SUMPRODUCT((Inputs!$A$5:$A$140=$B43)*ISNUMBER(INDEX(Inputs!$K$5:$AJ$140,0,MATCH(V$2,Inputs!$K$4:$AJ$4,0))))+SUMPRODUCT((Inputs!$C$5:$C$140=$B43)*ISNUMBER(INDEX(Inputs!$K$5:$AJ$140,0,MATCH(V$2,Inputs!$K$4:$AJ$4,0))))+SUMPRODUCT((Inputs!$E$5:$E$140=$B43)*ISNUMBER(INDEX(Inputs!$K$5:$AJ$140,0,MATCH(V$2,Inputs!$K$4:$AJ$4,0))))=0,NA(),SUMPRODUCT((Inputs!$A$5:$A$140=$B43)*Inputs!$B$5:$B$140*(((Inputs!$G$5:$G$140="moeda")+(Inputs!$G$5:$G$140="acoes"))*Inputs!$B$1+((Inputs!$G$5:$G$140&lt;&gt;"moeda")*(Inputs!$G$5:$G$140&lt;&gt;"acoes")))*INDEX(Inputs!$K$5:$AJ$140,0,MATCH(V$2,Inputs!$K$4:$AJ$4,0)))+SUMPRODUCT((Inputs!$C$5:$C$140=$B43)*Inputs!$D$5:$D$140*(((Inputs!$G$5:$G$140="moeda")+(Inputs!$G$5:$G$140="acoes"))*Inputs!$B$1+((Inputs!$G$5:$G$140&lt;&gt;"moeda")*(Inputs!$G$5:$G$140&lt;&gt;"acoes")))*INDEX(Inputs!$K$5:$AJ$140,0,MATCH(V$2,Inputs!$K$4:$AJ$4,0)))+SUMPRODUCT((Inputs!$E$5:$E$140=$B43)*Inputs!$F$5:$F$140*(((Inputs!$G$5:$G$140="moeda")+(Inputs!$G$5:$G$140="acoes"))*Inputs!$B$1+((Inputs!$G$5:$G$140&lt;&gt;"moeda")*(Inputs!$G$5:$G$140&lt;&gt;"acoes")))*INDEX(Inputs!$K$5:$AJ$140,0,MATCH(V$2,Inputs!$K$4:$AJ$4,0)))))</f>
        <v>8346.465</v>
      </c>
      <c r="W43" s="3">
        <f>V43</f>
        <v>8346.465</v>
      </c>
      <c r="X43" s="6">
        <f>IF(ISNA(MATCH(X$2,Inputs!$K$4:$AJ$4,0)),NA(),IF(SUMPRODUCT((Inputs!$A$5:$A$140=$B43)*ISNUMBER(INDEX(Inputs!$K$5:$AJ$140,0,MATCH(X$2,Inputs!$K$4:$AJ$4,0))))+SUMPRODUCT((Inputs!$C$5:$C$140=$B43)*ISNUMBER(INDEX(Inputs!$K$5:$AJ$140,0,MATCH(X$2,Inputs!$K$4:$AJ$4,0))))+SUMPRODUCT((Inputs!$E$5:$E$140=$B43)*ISNUMBER(INDEX(Inputs!$K$5:$AJ$140,0,MATCH(X$2,Inputs!$K$4:$AJ$4,0))))=0,NA(),SUMPRODUCT((Inputs!$A$5:$A$140=$B43)*Inputs!$B$5:$B$140*(((Inputs!$G$5:$G$140="moeda")+(Inputs!$G$5:$G$140="acoes"))*Inputs!$B$1+((Inputs!$G$5:$G$140&lt;&gt;"moeda")*(Inputs!$G$5:$G$140&lt;&gt;"acoes")))*INDEX(Inputs!$K$5:$AJ$140,0,MATCH(X$2,Inputs!$K$4:$AJ$4,0)))+SUMPRODUCT((Inputs!$C$5:$C$140=$B43)*Inputs!$D$5:$D$140*(((Inputs!$G$5:$G$140="moeda")+(Inputs!$G$5:$G$140="acoes"))*Inputs!$B$1+((Inputs!$G$5:$G$140&lt;&gt;"moeda")*(Inputs!$G$5:$G$140&lt;&gt;"acoes")))*INDEX(Inputs!$K$5:$AJ$140,0,MATCH(X$2,Inputs!$K$4:$AJ$4,0)))+SUMPRODUCT((Inputs!$E$5:$E$140=$B43)*Inputs!$F$5:$F$140*(((Inputs!$G$5:$G$140="moeda")+(Inputs!$G$5:$G$140="acoes"))*Inputs!$B$1+((Inputs!$G$5:$G$140&lt;&gt;"moeda")*(Inputs!$G$5:$G$140&lt;&gt;"acoes")))*INDEX(Inputs!$K$5:$AJ$140,0,MATCH(X$2,Inputs!$K$4:$AJ$4,0)))))</f>
        <v>8346.465</v>
      </c>
      <c r="Y43" s="6">
        <f>IF(ISNA(MATCH(Y$2,Inputs!$K$4:$AJ$4,0)),NA(),IF(SUMPRODUCT((Inputs!$A$5:$A$140=$B43)*ISNUMBER(INDEX(Inputs!$K$5:$AJ$140,0,MATCH(Y$2,Inputs!$K$4:$AJ$4,0))))+SUMPRODUCT((Inputs!$C$5:$C$140=$B43)*ISNUMBER(INDEX(Inputs!$K$5:$AJ$140,0,MATCH(Y$2,Inputs!$K$4:$AJ$4,0))))+SUMPRODUCT((Inputs!$E$5:$E$140=$B43)*ISNUMBER(INDEX(Inputs!$K$5:$AJ$140,0,MATCH(Y$2,Inputs!$K$4:$AJ$4,0))))=0,NA(),SUMPRODUCT((Inputs!$A$5:$A$140=$B43)*Inputs!$B$5:$B$140*(((Inputs!$G$5:$G$140="moeda")+(Inputs!$G$5:$G$140="acoes"))*Inputs!$B$1+((Inputs!$G$5:$G$140&lt;&gt;"moeda")*(Inputs!$G$5:$G$140&lt;&gt;"acoes")))*INDEX(Inputs!$K$5:$AJ$140,0,MATCH(Y$2,Inputs!$K$4:$AJ$4,0)))+SUMPRODUCT((Inputs!$C$5:$C$140=$B43)*Inputs!$D$5:$D$140*(((Inputs!$G$5:$G$140="moeda")+(Inputs!$G$5:$G$140="acoes"))*Inputs!$B$1+((Inputs!$G$5:$G$140&lt;&gt;"moeda")*(Inputs!$G$5:$G$140&lt;&gt;"acoes")))*INDEX(Inputs!$K$5:$AJ$140,0,MATCH(Y$2,Inputs!$K$4:$AJ$4,0)))+SUMPRODUCT((Inputs!$E$5:$E$140=$B43)*Inputs!$F$5:$F$140*(((Inputs!$G$5:$G$140="moeda")+(Inputs!$G$5:$G$140="acoes"))*Inputs!$B$1+((Inputs!$G$5:$G$140&lt;&gt;"moeda")*(Inputs!$G$5:$G$140&lt;&gt;"acoes")))*INDEX(Inputs!$K$5:$AJ$140,0,MATCH(Y$2,Inputs!$K$4:$AJ$4,0)))))</f>
        <v>8346.465</v>
      </c>
      <c r="Z43" s="6">
        <f>IF(ISNA(MATCH(Z$2,Inputs!$K$4:$AJ$4,0)),NA(),IF(SUMPRODUCT((Inputs!$A$5:$A$140=$B43)*ISNUMBER(INDEX(Inputs!$K$5:$AJ$140,0,MATCH(Z$2,Inputs!$K$4:$AJ$4,0))))+SUMPRODUCT((Inputs!$C$5:$C$140=$B43)*ISNUMBER(INDEX(Inputs!$K$5:$AJ$140,0,MATCH(Z$2,Inputs!$K$4:$AJ$4,0))))+SUMPRODUCT((Inputs!$E$5:$E$140=$B43)*ISNUMBER(INDEX(Inputs!$K$5:$AJ$140,0,MATCH(Z$2,Inputs!$K$4:$AJ$4,0))))=0,NA(),SUMPRODUCT((Inputs!$A$5:$A$140=$B43)*Inputs!$B$5:$B$140*(((Inputs!$G$5:$G$140="moeda")+(Inputs!$G$5:$G$140="acoes"))*Inputs!$B$1+((Inputs!$G$5:$G$140&lt;&gt;"moeda")*(Inputs!$G$5:$G$140&lt;&gt;"acoes")))*INDEX(Inputs!$K$5:$AJ$140,0,MATCH(Z$2,Inputs!$K$4:$AJ$4,0)))+SUMPRODUCT((Inputs!$C$5:$C$140=$B43)*Inputs!$D$5:$D$140*(((Inputs!$G$5:$G$140="moeda")+(Inputs!$G$5:$G$140="acoes"))*Inputs!$B$1+((Inputs!$G$5:$G$140&lt;&gt;"moeda")*(Inputs!$G$5:$G$140&lt;&gt;"acoes")))*INDEX(Inputs!$K$5:$AJ$140,0,MATCH(Z$2,Inputs!$K$4:$AJ$4,0)))+SUMPRODUCT((Inputs!$E$5:$E$140=$B43)*Inputs!$F$5:$F$140*(((Inputs!$G$5:$G$140="moeda")+(Inputs!$G$5:$G$140="acoes"))*Inputs!$B$1+((Inputs!$G$5:$G$140&lt;&gt;"moeda")*(Inputs!$G$5:$G$140&lt;&gt;"acoes")))*INDEX(Inputs!$K$5:$AJ$140,0,MATCH(Z$2,Inputs!$K$4:$AJ$4,0)))))</f>
        <v>8346.465</v>
      </c>
      <c r="AA43" s="6">
        <f>IF(ISNA(MATCH(AA$2,Inputs!$K$4:$AJ$4,0)),NA(),IF(SUMPRODUCT((Inputs!$A$5:$A$140=$B43)*ISNUMBER(INDEX(Inputs!$K$5:$AJ$140,0,MATCH(AA$2,Inputs!$K$4:$AJ$4,0))))+SUMPRODUCT((Inputs!$C$5:$C$140=$B43)*ISNUMBER(INDEX(Inputs!$K$5:$AJ$140,0,MATCH(AA$2,Inputs!$K$4:$AJ$4,0))))+SUMPRODUCT((Inputs!$E$5:$E$140=$B43)*ISNUMBER(INDEX(Inputs!$K$5:$AJ$140,0,MATCH(AA$2,Inputs!$K$4:$AJ$4,0))))=0,NA(),SUMPRODUCT((Inputs!$A$5:$A$140=$B43)*Inputs!$B$5:$B$140*(((Inputs!$G$5:$G$140="moeda")+(Inputs!$G$5:$G$140="acoes"))*Inputs!$B$1+((Inputs!$G$5:$G$140&lt;&gt;"moeda")*(Inputs!$G$5:$G$140&lt;&gt;"acoes")))*INDEX(Inputs!$K$5:$AJ$140,0,MATCH(AA$2,Inputs!$K$4:$AJ$4,0)))+SUMPRODUCT((Inputs!$C$5:$C$140=$B43)*Inputs!$D$5:$D$140*(((Inputs!$G$5:$G$140="moeda")+(Inputs!$G$5:$G$140="acoes"))*Inputs!$B$1+((Inputs!$G$5:$G$140&lt;&gt;"moeda")*(Inputs!$G$5:$G$140&lt;&gt;"acoes")))*INDEX(Inputs!$K$5:$AJ$140,0,MATCH(AA$2,Inputs!$K$4:$AJ$4,0)))+SUMPRODUCT((Inputs!$E$5:$E$140=$B43)*Inputs!$F$5:$F$140*(((Inputs!$G$5:$G$140="moeda")+(Inputs!$G$5:$G$140="acoes"))*Inputs!$B$1+((Inputs!$G$5:$G$140&lt;&gt;"moeda")*(Inputs!$G$5:$G$140&lt;&gt;"acoes")))*INDEX(Inputs!$K$5:$AJ$140,0,MATCH(AA$2,Inputs!$K$4:$AJ$4,0)))))</f>
        <v>8359.399</v>
      </c>
      <c r="AB43" s="3">
        <f>AA43</f>
        <v>8359.399</v>
      </c>
      <c r="AC43" s="6">
        <f>IF(ISNA(MATCH(AC$2,Inputs!$K$4:$AJ$4,0)),NA(),IF(SUMPRODUCT((Inputs!$A$5:$A$140=$B43)*ISNUMBER(INDEX(Inputs!$K$5:$AJ$140,0,MATCH(AC$2,Inputs!$K$4:$AJ$4,0))))+SUMPRODUCT((Inputs!$C$5:$C$140=$B43)*ISNUMBER(INDEX(Inputs!$K$5:$AJ$140,0,MATCH(AC$2,Inputs!$K$4:$AJ$4,0))))+SUMPRODUCT((Inputs!$E$5:$E$140=$B43)*ISNUMBER(INDEX(Inputs!$K$5:$AJ$140,0,MATCH(AC$2,Inputs!$K$4:$AJ$4,0))))=0,NA(),SUMPRODUCT((Inputs!$A$5:$A$140=$B43)*Inputs!$B$5:$B$140*(((Inputs!$G$5:$G$140="moeda")+(Inputs!$G$5:$G$140="acoes"))*Inputs!$B$1+((Inputs!$G$5:$G$140&lt;&gt;"moeda")*(Inputs!$G$5:$G$140&lt;&gt;"acoes")))*INDEX(Inputs!$K$5:$AJ$140,0,MATCH(AC$2,Inputs!$K$4:$AJ$4,0)))+SUMPRODUCT((Inputs!$C$5:$C$140=$B43)*Inputs!$D$5:$D$140*(((Inputs!$G$5:$G$140="moeda")+(Inputs!$G$5:$G$140="acoes"))*Inputs!$B$1+((Inputs!$G$5:$G$140&lt;&gt;"moeda")*(Inputs!$G$5:$G$140&lt;&gt;"acoes")))*INDEX(Inputs!$K$5:$AJ$140,0,MATCH(AC$2,Inputs!$K$4:$AJ$4,0)))+SUMPRODUCT((Inputs!$E$5:$E$140=$B43)*Inputs!$F$5:$F$140*(((Inputs!$G$5:$G$140="moeda")+(Inputs!$G$5:$G$140="acoes"))*Inputs!$B$1+((Inputs!$G$5:$G$140&lt;&gt;"moeda")*(Inputs!$G$5:$G$140&lt;&gt;"acoes")))*INDEX(Inputs!$K$5:$AJ$140,0,MATCH(AC$2,Inputs!$K$4:$AJ$4,0)))))</f>
        <v>8698.233</v>
      </c>
      <c r="AD43" s="6">
        <f>IF(ISNA(MATCH(AD$2,Inputs!$K$4:$AJ$4,0)),NA(),IF(SUMPRODUCT((Inputs!$A$5:$A$140=$B43)*ISNUMBER(INDEX(Inputs!$K$5:$AJ$140,0,MATCH(AD$2,Inputs!$K$4:$AJ$4,0))))+SUMPRODUCT((Inputs!$C$5:$C$140=$B43)*ISNUMBER(INDEX(Inputs!$K$5:$AJ$140,0,MATCH(AD$2,Inputs!$K$4:$AJ$4,0))))+SUMPRODUCT((Inputs!$E$5:$E$140=$B43)*ISNUMBER(INDEX(Inputs!$K$5:$AJ$140,0,MATCH(AD$2,Inputs!$K$4:$AJ$4,0))))=0,NA(),SUMPRODUCT((Inputs!$A$5:$A$140=$B43)*Inputs!$B$5:$B$140*(((Inputs!$G$5:$G$140="moeda")+(Inputs!$G$5:$G$140="acoes"))*Inputs!$B$1+((Inputs!$G$5:$G$140&lt;&gt;"moeda")*(Inputs!$G$5:$G$140&lt;&gt;"acoes")))*INDEX(Inputs!$K$5:$AJ$140,0,MATCH(AD$2,Inputs!$K$4:$AJ$4,0)))+SUMPRODUCT((Inputs!$C$5:$C$140=$B43)*Inputs!$D$5:$D$140*(((Inputs!$G$5:$G$140="moeda")+(Inputs!$G$5:$G$140="acoes"))*Inputs!$B$1+((Inputs!$G$5:$G$140&lt;&gt;"moeda")*(Inputs!$G$5:$G$140&lt;&gt;"acoes")))*INDEX(Inputs!$K$5:$AJ$140,0,MATCH(AD$2,Inputs!$K$4:$AJ$4,0)))+SUMPRODUCT((Inputs!$E$5:$E$140=$B43)*Inputs!$F$5:$F$140*(((Inputs!$G$5:$G$140="moeda")+(Inputs!$G$5:$G$140="acoes"))*Inputs!$B$1+((Inputs!$G$5:$G$140&lt;&gt;"moeda")*(Inputs!$G$5:$G$140&lt;&gt;"acoes")))*INDEX(Inputs!$K$5:$AJ$140,0,MATCH(AD$2,Inputs!$K$4:$AJ$4,0)))))</f>
        <v>8698.233</v>
      </c>
      <c r="AE43" s="6" t="e">
        <f>IF(ISNA(MATCH(AE$2,Inputs!$K$4:$AJ$4,0)),NA(),IF(SUMPRODUCT((Inputs!$A$5:$A$140=$B43)*ISNUMBER(INDEX(Inputs!$K$5:$AJ$140,0,MATCH(AE$2,Inputs!$K$4:$AJ$4,0))))+SUMPRODUCT((Inputs!$C$5:$C$140=$B43)*ISNUMBER(INDEX(Inputs!$K$5:$AJ$140,0,MATCH(AE$2,Inputs!$K$4:$AJ$4,0))))+SUMPRODUCT((Inputs!$E$5:$E$140=$B43)*ISNUMBER(INDEX(Inputs!$K$5:$AJ$140,0,MATCH(AE$2,Inputs!$K$4:$AJ$4,0))))=0,NA(),SUMPRODUCT((Inputs!$A$5:$A$140=$B43)*Inputs!$B$5:$B$140*(((Inputs!$G$5:$G$140="moeda")+(Inputs!$G$5:$G$140="acoes"))*Inputs!$B$1+((Inputs!$G$5:$G$140&lt;&gt;"moeda")*(Inputs!$G$5:$G$140&lt;&gt;"acoes")))*INDEX(Inputs!$K$5:$AJ$140,0,MATCH(AE$2,Inputs!$K$4:$AJ$4,0)))+SUMPRODUCT((Inputs!$C$5:$C$140=$B43)*Inputs!$D$5:$D$140*(((Inputs!$G$5:$G$140="moeda")+(Inputs!$G$5:$G$140="acoes"))*Inputs!$B$1+((Inputs!$G$5:$G$140&lt;&gt;"moeda")*(Inputs!$G$5:$G$140&lt;&gt;"acoes")))*INDEX(Inputs!$K$5:$AJ$140,0,MATCH(AE$2,Inputs!$K$4:$AJ$4,0)))+SUMPRODUCT((Inputs!$E$5:$E$140=$B43)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3" s="6" t="e">
        <f>IF(ISNA(MATCH(AF$2,Inputs!$K$4:$AJ$4,0)),NA(),IF(SUMPRODUCT((Inputs!$A$5:$A$140=$B43)*ISNUMBER(INDEX(Inputs!$K$5:$AJ$140,0,MATCH(AF$2,Inputs!$K$4:$AJ$4,0))))+SUMPRODUCT((Inputs!$C$5:$C$140=$B43)*ISNUMBER(INDEX(Inputs!$K$5:$AJ$140,0,MATCH(AF$2,Inputs!$K$4:$AJ$4,0))))+SUMPRODUCT((Inputs!$E$5:$E$140=$B43)*ISNUMBER(INDEX(Inputs!$K$5:$AJ$140,0,MATCH(AF$2,Inputs!$K$4:$AJ$4,0))))=0,NA(),SUMPRODUCT((Inputs!$A$5:$A$140=$B43)*Inputs!$B$5:$B$140*(((Inputs!$G$5:$G$140="moeda")+(Inputs!$G$5:$G$140="acoes"))*Inputs!$B$1+((Inputs!$G$5:$G$140&lt;&gt;"moeda")*(Inputs!$G$5:$G$140&lt;&gt;"acoes")))*INDEX(Inputs!$K$5:$AJ$140,0,MATCH(AF$2,Inputs!$K$4:$AJ$4,0)))+SUMPRODUCT((Inputs!$C$5:$C$140=$B43)*Inputs!$D$5:$D$140*(((Inputs!$G$5:$G$140="moeda")+(Inputs!$G$5:$G$140="acoes"))*Inputs!$B$1+((Inputs!$G$5:$G$140&lt;&gt;"moeda")*(Inputs!$G$5:$G$140&lt;&gt;"acoes")))*INDEX(Inputs!$K$5:$AJ$140,0,MATCH(AF$2,Inputs!$K$4:$AJ$4,0)))+SUMPRODUCT((Inputs!$E$5:$E$140=$B43)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3" s="3" t="e">
        <f>AF43</f>
        <v>#N/A</v>
      </c>
      <c r="AH43" s="6" t="e">
        <f>IF(ISNA(MATCH(AH$2,Inputs!$K$4:$AJ$4,0)),NA(),IF(SUMPRODUCT((Inputs!$A$5:$A$140=$B43)*ISNUMBER(INDEX(Inputs!$K$5:$AJ$140,0,MATCH(AH$2,Inputs!$K$4:$AJ$4,0))))+SUMPRODUCT((Inputs!$C$5:$C$140=$B43)*ISNUMBER(INDEX(Inputs!$K$5:$AJ$140,0,MATCH(AH$2,Inputs!$K$4:$AJ$4,0))))+SUMPRODUCT((Inputs!$E$5:$E$140=$B43)*ISNUMBER(INDEX(Inputs!$K$5:$AJ$140,0,MATCH(AH$2,Inputs!$K$4:$AJ$4,0))))=0,NA(),SUMPRODUCT((Inputs!$A$5:$A$140=$B43)*Inputs!$B$5:$B$140*(((Inputs!$G$5:$G$140="moeda")+(Inputs!$G$5:$G$140="acoes"))*Inputs!$B$1+((Inputs!$G$5:$G$140&lt;&gt;"moeda")*(Inputs!$G$5:$G$140&lt;&gt;"acoes")))*INDEX(Inputs!$K$5:$AJ$140,0,MATCH(AH$2,Inputs!$K$4:$AJ$4,0)))+SUMPRODUCT((Inputs!$C$5:$C$140=$B43)*Inputs!$D$5:$D$140*(((Inputs!$G$5:$G$140="moeda")+(Inputs!$G$5:$G$140="acoes"))*Inputs!$B$1+((Inputs!$G$5:$G$140&lt;&gt;"moeda")*(Inputs!$G$5:$G$140&lt;&gt;"acoes")))*INDEX(Inputs!$K$5:$AJ$140,0,MATCH(AH$2,Inputs!$K$4:$AJ$4,0)))+SUMPRODUCT((Inputs!$E$5:$E$140=$B43)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3" s="6">
        <f>IF(ISNA(MATCH(AI$2,Inputs!$K$4:$AJ$4,0)),NA(),IF(SUMPRODUCT((Inputs!$A$5:$A$140=$B43)*ISNUMBER(INDEX(Inputs!$K$5:$AJ$140,0,MATCH(AI$2,Inputs!$K$4:$AJ$4,0))))+SUMPRODUCT((Inputs!$C$5:$C$140=$B43)*ISNUMBER(INDEX(Inputs!$K$5:$AJ$140,0,MATCH(AI$2,Inputs!$K$4:$AJ$4,0))))+SUMPRODUCT((Inputs!$E$5:$E$140=$B43)*ISNUMBER(INDEX(Inputs!$K$5:$AJ$140,0,MATCH(AI$2,Inputs!$K$4:$AJ$4,0))))=0,NA(),SUMPRODUCT((Inputs!$A$5:$A$140=$B43)*Inputs!$B$5:$B$140*(((Inputs!$G$5:$G$140="moeda")+(Inputs!$G$5:$G$140="acoes"))*Inputs!$B$1+((Inputs!$G$5:$G$140&lt;&gt;"moeda")*(Inputs!$G$5:$G$140&lt;&gt;"acoes")))*INDEX(Inputs!$K$5:$AJ$140,0,MATCH(AI$2,Inputs!$K$4:$AJ$4,0)))+SUMPRODUCT((Inputs!$C$5:$C$140=$B43)*Inputs!$D$5:$D$140*(((Inputs!$G$5:$G$140="moeda")+(Inputs!$G$5:$G$140="acoes"))*Inputs!$B$1+((Inputs!$G$5:$G$140&lt;&gt;"moeda")*(Inputs!$G$5:$G$140&lt;&gt;"acoes")))*INDEX(Inputs!$K$5:$AJ$140,0,MATCH(AI$2,Inputs!$K$4:$AJ$4,0)))+SUMPRODUCT((Inputs!$E$5:$E$140=$B43)*Inputs!$F$5:$F$140*(((Inputs!$G$5:$G$140="moeda")+(Inputs!$G$5:$G$140="acoes"))*Inputs!$B$1+((Inputs!$G$5:$G$140&lt;&gt;"moeda")*(Inputs!$G$5:$G$140&lt;&gt;"acoes")))*INDEX(Inputs!$K$5:$AJ$140,0,MATCH(AI$2,Inputs!$K$4:$AJ$4,0)))))</f>
        <v>1908.046</v>
      </c>
      <c r="AJ43" s="6">
        <f>IF(ISNA(MATCH(AJ$2,Inputs!$K$4:$AJ$4,0)),NA(),IF(SUMPRODUCT((Inputs!$A$5:$A$140=$B43)*ISNUMBER(INDEX(Inputs!$K$5:$AJ$140,0,MATCH(AJ$2,Inputs!$K$4:$AJ$4,0))))+SUMPRODUCT((Inputs!$C$5:$C$140=$B43)*ISNUMBER(INDEX(Inputs!$K$5:$AJ$140,0,MATCH(AJ$2,Inputs!$K$4:$AJ$4,0))))+SUMPRODUCT((Inputs!$E$5:$E$140=$B43)*ISNUMBER(INDEX(Inputs!$K$5:$AJ$140,0,MATCH(AJ$2,Inputs!$K$4:$AJ$4,0))))=0,NA(),SUMPRODUCT((Inputs!$A$5:$A$140=$B43)*Inputs!$B$5:$B$140*(((Inputs!$G$5:$G$140="moeda")+(Inputs!$G$5:$G$140="acoes"))*Inputs!$B$1+((Inputs!$G$5:$G$140&lt;&gt;"moeda")*(Inputs!$G$5:$G$140&lt;&gt;"acoes")))*INDEX(Inputs!$K$5:$AJ$140,0,MATCH(AJ$2,Inputs!$K$4:$AJ$4,0)))+SUMPRODUCT((Inputs!$C$5:$C$140=$B43)*Inputs!$D$5:$D$140*(((Inputs!$G$5:$G$140="moeda")+(Inputs!$G$5:$G$140="acoes"))*Inputs!$B$1+((Inputs!$G$5:$G$140&lt;&gt;"moeda")*(Inputs!$G$5:$G$140&lt;&gt;"acoes")))*INDEX(Inputs!$K$5:$AJ$140,0,MATCH(AJ$2,Inputs!$K$4:$AJ$4,0)))+SUMPRODUCT((Inputs!$E$5:$E$140=$B43)*Inputs!$F$5:$F$140*(((Inputs!$G$5:$G$140="moeda")+(Inputs!$G$5:$G$140="acoes"))*Inputs!$B$1+((Inputs!$G$5:$G$140&lt;&gt;"moeda")*(Inputs!$G$5:$G$140&lt;&gt;"acoes")))*INDEX(Inputs!$K$5:$AJ$140,0,MATCH(AJ$2,Inputs!$K$4:$AJ$4,0)))))</f>
        <v>1908.04609978</v>
      </c>
      <c r="AK43" s="6">
        <f>IF(ISNA(MATCH(AK$2,Inputs!$K$4:$AJ$4,0)),NA(),IF(SUMPRODUCT((Inputs!$A$5:$A$140=$B43)*ISNUMBER(INDEX(Inputs!$K$5:$AJ$140,0,MATCH(AK$2,Inputs!$K$4:$AJ$4,0))))+SUMPRODUCT((Inputs!$C$5:$C$140=$B43)*ISNUMBER(INDEX(Inputs!$K$5:$AJ$140,0,MATCH(AK$2,Inputs!$K$4:$AJ$4,0))))+SUMPRODUCT((Inputs!$E$5:$E$140=$B43)*ISNUMBER(INDEX(Inputs!$K$5:$AJ$140,0,MATCH(AK$2,Inputs!$K$4:$AJ$4,0))))=0,NA(),SUMPRODUCT((Inputs!$A$5:$A$140=$B43)*Inputs!$B$5:$B$140*(((Inputs!$G$5:$G$140="moeda")+(Inputs!$G$5:$G$140="acoes"))*Inputs!$B$1+((Inputs!$G$5:$G$140&lt;&gt;"moeda")*(Inputs!$G$5:$G$140&lt;&gt;"acoes")))*INDEX(Inputs!$K$5:$AJ$140,0,MATCH(AK$2,Inputs!$K$4:$AJ$4,0)))+SUMPRODUCT((Inputs!$C$5:$C$140=$B43)*Inputs!$D$5:$D$140*(((Inputs!$G$5:$G$140="moeda")+(Inputs!$G$5:$G$140="acoes"))*Inputs!$B$1+((Inputs!$G$5:$G$140&lt;&gt;"moeda")*(Inputs!$G$5:$G$140&lt;&gt;"acoes")))*INDEX(Inputs!$K$5:$AJ$140,0,MATCH(AK$2,Inputs!$K$4:$AJ$4,0)))+SUMPRODUCT((Inputs!$E$5:$E$140=$B43)*Inputs!$F$5:$F$140*(((Inputs!$G$5:$G$140="moeda")+(Inputs!$G$5:$G$140="acoes"))*Inputs!$B$1+((Inputs!$G$5:$G$140&lt;&gt;"moeda")*(Inputs!$G$5:$G$140&lt;&gt;"acoes")))*INDEX(Inputs!$K$5:$AJ$140,0,MATCH(AK$2,Inputs!$K$4:$AJ$4,0)))))</f>
        <v>4825.14645592</v>
      </c>
      <c r="AL43" s="3">
        <f>AK43</f>
        <v>4825.14645592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$140=$B44)*ISNUMBER(INDEX(Inputs!$K$5:$AJ$140,0,MATCH(D$2,Inputs!$K$4:$AJ$4,0))))+SUMPRODUCT((Inputs!$C$5:$C$140=$B44)*ISNUMBER(INDEX(Inputs!$K$5:$AJ$140,0,MATCH(D$2,Inputs!$K$4:$AJ$4,0))))+SUMPRODUCT((Inputs!$E$5:$E$140=$B44)*ISNUMBER(INDEX(Inputs!$K$5:$AJ$140,0,MATCH(D$2,Inputs!$K$4:$AJ$4,0))))=0,NA(),SUMPRODUCT((Inputs!$A$5:$A$140=$B44)*Inputs!$B$5:$B$140*(((Inputs!$G$5:$G$140="moeda")+(Inputs!$G$5:$G$140="acoes"))*Inputs!$B$1+((Inputs!$G$5:$G$140&lt;&gt;"moeda")*(Inputs!$G$5:$G$140&lt;&gt;"acoes")))*INDEX(Inputs!$K$5:$AJ$140,0,MATCH(D$2,Inputs!$K$4:$AJ$4,0)))+SUMPRODUCT((Inputs!$C$5:$C$140=$B44)*Inputs!$D$5:$D$140*(((Inputs!$G$5:$G$140="moeda")+(Inputs!$G$5:$G$140="acoes"))*Inputs!$B$1+((Inputs!$G$5:$G$140&lt;&gt;"moeda")*(Inputs!$G$5:$G$140&lt;&gt;"acoes")))*INDEX(Inputs!$K$5:$AJ$140,0,MATCH(D$2,Inputs!$K$4:$AJ$4,0)))+SUMPRODUCT((Inputs!$E$5:$E$140=$B44)*Inputs!$F$5:$F$140*(((Inputs!$G$5:$G$140="moeda")+(Inputs!$G$5:$G$140="acoes"))*Inputs!$B$1+((Inputs!$G$5:$G$140&lt;&gt;"moeda")*(Inputs!$G$5:$G$140&lt;&gt;"acoes")))*INDEX(Inputs!$K$5:$AJ$140,0,MATCH(D$2,Inputs!$K$4:$AJ$4,0)))))</f>
        <v>0</v>
      </c>
      <c r="E44" s="6">
        <f>IF(ISNA(MATCH(E$2,Inputs!$K$4:$AJ$4,0)),NA(),IF(SUMPRODUCT((Inputs!$A$5:$A$140=$B44)*ISNUMBER(INDEX(Inputs!$K$5:$AJ$140,0,MATCH(E$2,Inputs!$K$4:$AJ$4,0))))+SUMPRODUCT((Inputs!$C$5:$C$140=$B44)*ISNUMBER(INDEX(Inputs!$K$5:$AJ$140,0,MATCH(E$2,Inputs!$K$4:$AJ$4,0))))+SUMPRODUCT((Inputs!$E$5:$E$140=$B44)*ISNUMBER(INDEX(Inputs!$K$5:$AJ$140,0,MATCH(E$2,Inputs!$K$4:$AJ$4,0))))=0,NA(),SUMPRODUCT((Inputs!$A$5:$A$140=$B44)*Inputs!$B$5:$B$140*(((Inputs!$G$5:$G$140="moeda")+(Inputs!$G$5:$G$140="acoes"))*Inputs!$B$1+((Inputs!$G$5:$G$140&lt;&gt;"moeda")*(Inputs!$G$5:$G$140&lt;&gt;"acoes")))*INDEX(Inputs!$K$5:$AJ$140,0,MATCH(E$2,Inputs!$K$4:$AJ$4,0)))+SUMPRODUCT((Inputs!$C$5:$C$140=$B44)*Inputs!$D$5:$D$140*(((Inputs!$G$5:$G$140="moeda")+(Inputs!$G$5:$G$140="acoes"))*Inputs!$B$1+((Inputs!$G$5:$G$140&lt;&gt;"moeda")*(Inputs!$G$5:$G$140&lt;&gt;"acoes")))*INDEX(Inputs!$K$5:$AJ$140,0,MATCH(E$2,Inputs!$K$4:$AJ$4,0)))+SUMPRODUCT((Inputs!$E$5:$E$140=$B44)*Inputs!$F$5:$F$140*(((Inputs!$G$5:$G$140="moeda")+(Inputs!$G$5:$G$140="acoes"))*Inputs!$B$1+((Inputs!$G$5:$G$140&lt;&gt;"moeda")*(Inputs!$G$5:$G$140&lt;&gt;"acoes")))*INDEX(Inputs!$K$5:$AJ$140,0,MATCH(E$2,Inputs!$K$4:$AJ$4,0)))))</f>
        <v>0</v>
      </c>
      <c r="F44" s="6">
        <f>IF(ISNA(MATCH(F$2,Inputs!$K$4:$AJ$4,0)),NA(),IF(SUMPRODUCT((Inputs!$A$5:$A$140=$B44)*ISNUMBER(INDEX(Inputs!$K$5:$AJ$140,0,MATCH(F$2,Inputs!$K$4:$AJ$4,0))))+SUMPRODUCT((Inputs!$C$5:$C$140=$B44)*ISNUMBER(INDEX(Inputs!$K$5:$AJ$140,0,MATCH(F$2,Inputs!$K$4:$AJ$4,0))))+SUMPRODUCT((Inputs!$E$5:$E$140=$B44)*ISNUMBER(INDEX(Inputs!$K$5:$AJ$140,0,MATCH(F$2,Inputs!$K$4:$AJ$4,0))))=0,NA(),SUMPRODUCT((Inputs!$A$5:$A$140=$B44)*Inputs!$B$5:$B$140*(((Inputs!$G$5:$G$140="moeda")+(Inputs!$G$5:$G$140="acoes"))*Inputs!$B$1+((Inputs!$G$5:$G$140&lt;&gt;"moeda")*(Inputs!$G$5:$G$140&lt;&gt;"acoes")))*INDEX(Inputs!$K$5:$AJ$140,0,MATCH(F$2,Inputs!$K$4:$AJ$4,0)))+SUMPRODUCT((Inputs!$C$5:$C$140=$B44)*Inputs!$D$5:$D$140*(((Inputs!$G$5:$G$140="moeda")+(Inputs!$G$5:$G$140="acoes"))*Inputs!$B$1+((Inputs!$G$5:$G$140&lt;&gt;"moeda")*(Inputs!$G$5:$G$140&lt;&gt;"acoes")))*INDEX(Inputs!$K$5:$AJ$140,0,MATCH(F$2,Inputs!$K$4:$AJ$4,0)))+SUMPRODUCT((Inputs!$E$5:$E$140=$B44)*Inputs!$F$5:$F$140*(((Inputs!$G$5:$G$140="moeda")+(Inputs!$G$5:$G$140="acoes"))*Inputs!$B$1+((Inputs!$G$5:$G$140&lt;&gt;"moeda")*(Inputs!$G$5:$G$140&lt;&gt;"acoes")))*INDEX(Inputs!$K$5:$AJ$140,0,MATCH(F$2,Inputs!$K$4:$AJ$4,0)))))</f>
        <v>0</v>
      </c>
      <c r="G44" s="6">
        <f>IF(ISNA(MATCH(G$2,Inputs!$K$4:$AJ$4,0)),NA(),IF(SUMPRODUCT((Inputs!$A$5:$A$140=$B44)*ISNUMBER(INDEX(Inputs!$K$5:$AJ$140,0,MATCH(G$2,Inputs!$K$4:$AJ$4,0))))+SUMPRODUCT((Inputs!$C$5:$C$140=$B44)*ISNUMBER(INDEX(Inputs!$K$5:$AJ$140,0,MATCH(G$2,Inputs!$K$4:$AJ$4,0))))+SUMPRODUCT((Inputs!$E$5:$E$140=$B44)*ISNUMBER(INDEX(Inputs!$K$5:$AJ$140,0,MATCH(G$2,Inputs!$K$4:$AJ$4,0))))=0,NA(),SUMPRODUCT((Inputs!$A$5:$A$140=$B44)*Inputs!$B$5:$B$140*(((Inputs!$G$5:$G$140="moeda")+(Inputs!$G$5:$G$140="acoes"))*Inputs!$B$1+((Inputs!$G$5:$G$140&lt;&gt;"moeda")*(Inputs!$G$5:$G$140&lt;&gt;"acoes")))*INDEX(Inputs!$K$5:$AJ$140,0,MATCH(G$2,Inputs!$K$4:$AJ$4,0)))+SUMPRODUCT((Inputs!$C$5:$C$140=$B44)*Inputs!$D$5:$D$140*(((Inputs!$G$5:$G$140="moeda")+(Inputs!$G$5:$G$140="acoes"))*Inputs!$B$1+((Inputs!$G$5:$G$140&lt;&gt;"moeda")*(Inputs!$G$5:$G$140&lt;&gt;"acoes")))*INDEX(Inputs!$K$5:$AJ$140,0,MATCH(G$2,Inputs!$K$4:$AJ$4,0)))+SUMPRODUCT((Inputs!$E$5:$E$140=$B44)*Inputs!$F$5:$F$140*(((Inputs!$G$5:$G$140="moeda")+(Inputs!$G$5:$G$140="acoes"))*Inputs!$B$1+((Inputs!$G$5:$G$140&lt;&gt;"moeda")*(Inputs!$G$5:$G$140&lt;&gt;"acoes")))*INDEX(Inputs!$K$5:$AJ$140,0,MATCH(G$2,Inputs!$K$4:$AJ$4,0)))))</f>
        <v>0</v>
      </c>
      <c r="H44" s="3">
        <f>G44</f>
        <v>0</v>
      </c>
      <c r="I44" s="6">
        <f>IF(ISNA(MATCH(I$2,Inputs!$K$4:$AJ$4,0)),NA(),IF(SUMPRODUCT((Inputs!$A$5:$A$140=$B44)*ISNUMBER(INDEX(Inputs!$K$5:$AJ$140,0,MATCH(I$2,Inputs!$K$4:$AJ$4,0))))+SUMPRODUCT((Inputs!$C$5:$C$140=$B44)*ISNUMBER(INDEX(Inputs!$K$5:$AJ$140,0,MATCH(I$2,Inputs!$K$4:$AJ$4,0))))+SUMPRODUCT((Inputs!$E$5:$E$140=$B44)*ISNUMBER(INDEX(Inputs!$K$5:$AJ$140,0,MATCH(I$2,Inputs!$K$4:$AJ$4,0))))=0,NA(),SUMPRODUCT((Inputs!$A$5:$A$140=$B44)*Inputs!$B$5:$B$140*(((Inputs!$G$5:$G$140="moeda")+(Inputs!$G$5:$G$140="acoes"))*Inputs!$B$1+((Inputs!$G$5:$G$140&lt;&gt;"moeda")*(Inputs!$G$5:$G$140&lt;&gt;"acoes")))*INDEX(Inputs!$K$5:$AJ$140,0,MATCH(I$2,Inputs!$K$4:$AJ$4,0)))+SUMPRODUCT((Inputs!$C$5:$C$140=$B44)*Inputs!$D$5:$D$140*(((Inputs!$G$5:$G$140="moeda")+(Inputs!$G$5:$G$140="acoes"))*Inputs!$B$1+((Inputs!$G$5:$G$140&lt;&gt;"moeda")*(Inputs!$G$5:$G$140&lt;&gt;"acoes")))*INDEX(Inputs!$K$5:$AJ$140,0,MATCH(I$2,Inputs!$K$4:$AJ$4,0)))+SUMPRODUCT((Inputs!$E$5:$E$140=$B44)*Inputs!$F$5:$F$140*(((Inputs!$G$5:$G$140="moeda")+(Inputs!$G$5:$G$140="acoes"))*Inputs!$B$1+((Inputs!$G$5:$G$140&lt;&gt;"moeda")*(Inputs!$G$5:$G$140&lt;&gt;"acoes")))*INDEX(Inputs!$K$5:$AJ$140,0,MATCH(I$2,Inputs!$K$4:$AJ$4,0)))))</f>
        <v>0</v>
      </c>
      <c r="J44" s="6">
        <f>IF(ISNA(MATCH(J$2,Inputs!$K$4:$AJ$4,0)),NA(),IF(SUMPRODUCT((Inputs!$A$5:$A$140=$B44)*ISNUMBER(INDEX(Inputs!$K$5:$AJ$140,0,MATCH(J$2,Inputs!$K$4:$AJ$4,0))))+SUMPRODUCT((Inputs!$C$5:$C$140=$B44)*ISNUMBER(INDEX(Inputs!$K$5:$AJ$140,0,MATCH(J$2,Inputs!$K$4:$AJ$4,0))))+SUMPRODUCT((Inputs!$E$5:$E$140=$B44)*ISNUMBER(INDEX(Inputs!$K$5:$AJ$140,0,MATCH(J$2,Inputs!$K$4:$AJ$4,0))))=0,NA(),SUMPRODUCT((Inputs!$A$5:$A$140=$B44)*Inputs!$B$5:$B$140*(((Inputs!$G$5:$G$140="moeda")+(Inputs!$G$5:$G$140="acoes"))*Inputs!$B$1+((Inputs!$G$5:$G$140&lt;&gt;"moeda")*(Inputs!$G$5:$G$140&lt;&gt;"acoes")))*INDEX(Inputs!$K$5:$AJ$140,0,MATCH(J$2,Inputs!$K$4:$AJ$4,0)))+SUMPRODUCT((Inputs!$C$5:$C$140=$B44)*Inputs!$D$5:$D$140*(((Inputs!$G$5:$G$140="moeda")+(Inputs!$G$5:$G$140="acoes"))*Inputs!$B$1+((Inputs!$G$5:$G$140&lt;&gt;"moeda")*(Inputs!$G$5:$G$140&lt;&gt;"acoes")))*INDEX(Inputs!$K$5:$AJ$140,0,MATCH(J$2,Inputs!$K$4:$AJ$4,0)))+SUMPRODUCT((Inputs!$E$5:$E$140=$B44)*Inputs!$F$5:$F$140*(((Inputs!$G$5:$G$140="moeda")+(Inputs!$G$5:$G$140="acoes"))*Inputs!$B$1+((Inputs!$G$5:$G$140&lt;&gt;"moeda")*(Inputs!$G$5:$G$140&lt;&gt;"acoes")))*INDEX(Inputs!$K$5:$AJ$140,0,MATCH(J$2,Inputs!$K$4:$AJ$4,0)))))</f>
        <v>0</v>
      </c>
      <c r="K44" s="6">
        <f>IF(ISNA(MATCH(K$2,Inputs!$K$4:$AJ$4,0)),NA(),IF(SUMPRODUCT((Inputs!$A$5:$A$140=$B44)*ISNUMBER(INDEX(Inputs!$K$5:$AJ$140,0,MATCH(K$2,Inputs!$K$4:$AJ$4,0))))+SUMPRODUCT((Inputs!$C$5:$C$140=$B44)*ISNUMBER(INDEX(Inputs!$K$5:$AJ$140,0,MATCH(K$2,Inputs!$K$4:$AJ$4,0))))+SUMPRODUCT((Inputs!$E$5:$E$140=$B44)*ISNUMBER(INDEX(Inputs!$K$5:$AJ$140,0,MATCH(K$2,Inputs!$K$4:$AJ$4,0))))=0,NA(),SUMPRODUCT((Inputs!$A$5:$A$140=$B44)*Inputs!$B$5:$B$140*(((Inputs!$G$5:$G$140="moeda")+(Inputs!$G$5:$G$140="acoes"))*Inputs!$B$1+((Inputs!$G$5:$G$140&lt;&gt;"moeda")*(Inputs!$G$5:$G$140&lt;&gt;"acoes")))*INDEX(Inputs!$K$5:$AJ$140,0,MATCH(K$2,Inputs!$K$4:$AJ$4,0)))+SUMPRODUCT((Inputs!$C$5:$C$140=$B44)*Inputs!$D$5:$D$140*(((Inputs!$G$5:$G$140="moeda")+(Inputs!$G$5:$G$140="acoes"))*Inputs!$B$1+((Inputs!$G$5:$G$140&lt;&gt;"moeda")*(Inputs!$G$5:$G$140&lt;&gt;"acoes")))*INDEX(Inputs!$K$5:$AJ$140,0,MATCH(K$2,Inputs!$K$4:$AJ$4,0)))+SUMPRODUCT((Inputs!$E$5:$E$140=$B44)*Inputs!$F$5:$F$140*(((Inputs!$G$5:$G$140="moeda")+(Inputs!$G$5:$G$140="acoes"))*Inputs!$B$1+((Inputs!$G$5:$G$140&lt;&gt;"moeda")*(Inputs!$G$5:$G$140&lt;&gt;"acoes")))*INDEX(Inputs!$K$5:$AJ$140,0,MATCH(K$2,Inputs!$K$4:$AJ$4,0)))))</f>
        <v>0</v>
      </c>
      <c r="L44" s="6">
        <f>IF(ISNA(MATCH(L$2,Inputs!$K$4:$AJ$4,0)),NA(),IF(SUMPRODUCT((Inputs!$A$5:$A$140=$B44)*ISNUMBER(INDEX(Inputs!$K$5:$AJ$140,0,MATCH(L$2,Inputs!$K$4:$AJ$4,0))))+SUMPRODUCT((Inputs!$C$5:$C$140=$B44)*ISNUMBER(INDEX(Inputs!$K$5:$AJ$140,0,MATCH(L$2,Inputs!$K$4:$AJ$4,0))))+SUMPRODUCT((Inputs!$E$5:$E$140=$B44)*ISNUMBER(INDEX(Inputs!$K$5:$AJ$140,0,MATCH(L$2,Inputs!$K$4:$AJ$4,0))))=0,NA(),SUMPRODUCT((Inputs!$A$5:$A$140=$B44)*Inputs!$B$5:$B$140*(((Inputs!$G$5:$G$140="moeda")+(Inputs!$G$5:$G$140="acoes"))*Inputs!$B$1+((Inputs!$G$5:$G$140&lt;&gt;"moeda")*(Inputs!$G$5:$G$140&lt;&gt;"acoes")))*INDEX(Inputs!$K$5:$AJ$140,0,MATCH(L$2,Inputs!$K$4:$AJ$4,0)))+SUMPRODUCT((Inputs!$C$5:$C$140=$B44)*Inputs!$D$5:$D$140*(((Inputs!$G$5:$G$140="moeda")+(Inputs!$G$5:$G$140="acoes"))*Inputs!$B$1+((Inputs!$G$5:$G$140&lt;&gt;"moeda")*(Inputs!$G$5:$G$140&lt;&gt;"acoes")))*INDEX(Inputs!$K$5:$AJ$140,0,MATCH(L$2,Inputs!$K$4:$AJ$4,0)))+SUMPRODUCT((Inputs!$E$5:$E$140=$B44)*Inputs!$F$5:$F$140*(((Inputs!$G$5:$G$140="moeda")+(Inputs!$G$5:$G$140="acoes"))*Inputs!$B$1+((Inputs!$G$5:$G$140&lt;&gt;"moeda")*(Inputs!$G$5:$G$140&lt;&gt;"acoes")))*INDEX(Inputs!$K$5:$AJ$140,0,MATCH(L$2,Inputs!$K$4:$AJ$4,0)))))</f>
        <v>0</v>
      </c>
      <c r="M44" s="3">
        <f>L44</f>
        <v>0</v>
      </c>
      <c r="N44" s="6">
        <f>IF(ISNA(MATCH(N$2,Inputs!$K$4:$AJ$4,0)),NA(),IF(SUMPRODUCT((Inputs!$A$5:$A$140=$B44)*ISNUMBER(INDEX(Inputs!$K$5:$AJ$140,0,MATCH(N$2,Inputs!$K$4:$AJ$4,0))))+SUMPRODUCT((Inputs!$C$5:$C$140=$B44)*ISNUMBER(INDEX(Inputs!$K$5:$AJ$140,0,MATCH(N$2,Inputs!$K$4:$AJ$4,0))))+SUMPRODUCT((Inputs!$E$5:$E$140=$B44)*ISNUMBER(INDEX(Inputs!$K$5:$AJ$140,0,MATCH(N$2,Inputs!$K$4:$AJ$4,0))))=0,NA(),SUMPRODUCT((Inputs!$A$5:$A$140=$B44)*Inputs!$B$5:$B$140*(((Inputs!$G$5:$G$140="moeda")+(Inputs!$G$5:$G$140="acoes"))*Inputs!$B$1+((Inputs!$G$5:$G$140&lt;&gt;"moeda")*(Inputs!$G$5:$G$140&lt;&gt;"acoes")))*INDEX(Inputs!$K$5:$AJ$140,0,MATCH(N$2,Inputs!$K$4:$AJ$4,0)))+SUMPRODUCT((Inputs!$C$5:$C$140=$B44)*Inputs!$D$5:$D$140*(((Inputs!$G$5:$G$140="moeda")+(Inputs!$G$5:$G$140="acoes"))*Inputs!$B$1+((Inputs!$G$5:$G$140&lt;&gt;"moeda")*(Inputs!$G$5:$G$140&lt;&gt;"acoes")))*INDEX(Inputs!$K$5:$AJ$140,0,MATCH(N$2,Inputs!$K$4:$AJ$4,0)))+SUMPRODUCT((Inputs!$E$5:$E$140=$B44)*Inputs!$F$5:$F$140*(((Inputs!$G$5:$G$140="moeda")+(Inputs!$G$5:$G$140="acoes"))*Inputs!$B$1+((Inputs!$G$5:$G$140&lt;&gt;"moeda")*(Inputs!$G$5:$G$140&lt;&gt;"acoes")))*INDEX(Inputs!$K$5:$AJ$140,0,MATCH(N$2,Inputs!$K$4:$AJ$4,0)))))</f>
        <v>0</v>
      </c>
      <c r="O44" s="6">
        <f>IF(ISNA(MATCH(O$2,Inputs!$K$4:$AJ$4,0)),NA(),IF(SUMPRODUCT((Inputs!$A$5:$A$140=$B44)*ISNUMBER(INDEX(Inputs!$K$5:$AJ$140,0,MATCH(O$2,Inputs!$K$4:$AJ$4,0))))+SUMPRODUCT((Inputs!$C$5:$C$140=$B44)*ISNUMBER(INDEX(Inputs!$K$5:$AJ$140,0,MATCH(O$2,Inputs!$K$4:$AJ$4,0))))+SUMPRODUCT((Inputs!$E$5:$E$140=$B44)*ISNUMBER(INDEX(Inputs!$K$5:$AJ$140,0,MATCH(O$2,Inputs!$K$4:$AJ$4,0))))=0,NA(),SUMPRODUCT((Inputs!$A$5:$A$140=$B44)*Inputs!$B$5:$B$140*(((Inputs!$G$5:$G$140="moeda")+(Inputs!$G$5:$G$140="acoes"))*Inputs!$B$1+((Inputs!$G$5:$G$140&lt;&gt;"moeda")*(Inputs!$G$5:$G$140&lt;&gt;"acoes")))*INDEX(Inputs!$K$5:$AJ$140,0,MATCH(O$2,Inputs!$K$4:$AJ$4,0)))+SUMPRODUCT((Inputs!$C$5:$C$140=$B44)*Inputs!$D$5:$D$140*(((Inputs!$G$5:$G$140="moeda")+(Inputs!$G$5:$G$140="acoes"))*Inputs!$B$1+((Inputs!$G$5:$G$140&lt;&gt;"moeda")*(Inputs!$G$5:$G$140&lt;&gt;"acoes")))*INDEX(Inputs!$K$5:$AJ$140,0,MATCH(O$2,Inputs!$K$4:$AJ$4,0)))+SUMPRODUCT((Inputs!$E$5:$E$140=$B44)*Inputs!$F$5:$F$140*(((Inputs!$G$5:$G$140="moeda")+(Inputs!$G$5:$G$140="acoes"))*Inputs!$B$1+((Inputs!$G$5:$G$140&lt;&gt;"moeda")*(Inputs!$G$5:$G$140&lt;&gt;"acoes")))*INDEX(Inputs!$K$5:$AJ$140,0,MATCH(O$2,Inputs!$K$4:$AJ$4,0)))))</f>
        <v>0</v>
      </c>
      <c r="P44" s="6">
        <f>IF(ISNA(MATCH(P$2,Inputs!$K$4:$AJ$4,0)),NA(),IF(SUMPRODUCT((Inputs!$A$5:$A$140=$B44)*ISNUMBER(INDEX(Inputs!$K$5:$AJ$140,0,MATCH(P$2,Inputs!$K$4:$AJ$4,0))))+SUMPRODUCT((Inputs!$C$5:$C$140=$B44)*ISNUMBER(INDEX(Inputs!$K$5:$AJ$140,0,MATCH(P$2,Inputs!$K$4:$AJ$4,0))))+SUMPRODUCT((Inputs!$E$5:$E$140=$B44)*ISNUMBER(INDEX(Inputs!$K$5:$AJ$140,0,MATCH(P$2,Inputs!$K$4:$AJ$4,0))))=0,NA(),SUMPRODUCT((Inputs!$A$5:$A$140=$B44)*Inputs!$B$5:$B$140*(((Inputs!$G$5:$G$140="moeda")+(Inputs!$G$5:$G$140="acoes"))*Inputs!$B$1+((Inputs!$G$5:$G$140&lt;&gt;"moeda")*(Inputs!$G$5:$G$140&lt;&gt;"acoes")))*INDEX(Inputs!$K$5:$AJ$140,0,MATCH(P$2,Inputs!$K$4:$AJ$4,0)))+SUMPRODUCT((Inputs!$C$5:$C$140=$B44)*Inputs!$D$5:$D$140*(((Inputs!$G$5:$G$140="moeda")+(Inputs!$G$5:$G$140="acoes"))*Inputs!$B$1+((Inputs!$G$5:$G$140&lt;&gt;"moeda")*(Inputs!$G$5:$G$140&lt;&gt;"acoes")))*INDEX(Inputs!$K$5:$AJ$140,0,MATCH(P$2,Inputs!$K$4:$AJ$4,0)))+SUMPRODUCT((Inputs!$E$5:$E$140=$B44)*Inputs!$F$5:$F$140*(((Inputs!$G$5:$G$140="moeda")+(Inputs!$G$5:$G$140="acoes"))*Inputs!$B$1+((Inputs!$G$5:$G$140&lt;&gt;"moeda")*(Inputs!$G$5:$G$140&lt;&gt;"acoes")))*INDEX(Inputs!$K$5:$AJ$140,0,MATCH(P$2,Inputs!$K$4:$AJ$4,0)))))</f>
        <v>0</v>
      </c>
      <c r="Q44" s="6">
        <f>IF(ISNA(MATCH(Q$2,Inputs!$K$4:$AJ$4,0)),NA(),IF(SUMPRODUCT((Inputs!$A$5:$A$140=$B44)*ISNUMBER(INDEX(Inputs!$K$5:$AJ$140,0,MATCH(Q$2,Inputs!$K$4:$AJ$4,0))))+SUMPRODUCT((Inputs!$C$5:$C$140=$B44)*ISNUMBER(INDEX(Inputs!$K$5:$AJ$140,0,MATCH(Q$2,Inputs!$K$4:$AJ$4,0))))+SUMPRODUCT((Inputs!$E$5:$E$140=$B44)*ISNUMBER(INDEX(Inputs!$K$5:$AJ$140,0,MATCH(Q$2,Inputs!$K$4:$AJ$4,0))))=0,NA(),SUMPRODUCT((Inputs!$A$5:$A$140=$B44)*Inputs!$B$5:$B$140*(((Inputs!$G$5:$G$140="moeda")+(Inputs!$G$5:$G$140="acoes"))*Inputs!$B$1+((Inputs!$G$5:$G$140&lt;&gt;"moeda")*(Inputs!$G$5:$G$140&lt;&gt;"acoes")))*INDEX(Inputs!$K$5:$AJ$140,0,MATCH(Q$2,Inputs!$K$4:$AJ$4,0)))+SUMPRODUCT((Inputs!$C$5:$C$140=$B44)*Inputs!$D$5:$D$140*(((Inputs!$G$5:$G$140="moeda")+(Inputs!$G$5:$G$140="acoes"))*Inputs!$B$1+((Inputs!$G$5:$G$140&lt;&gt;"moeda")*(Inputs!$G$5:$G$140&lt;&gt;"acoes")))*INDEX(Inputs!$K$5:$AJ$140,0,MATCH(Q$2,Inputs!$K$4:$AJ$4,0)))+SUMPRODUCT((Inputs!$E$5:$E$140=$B44)*Inputs!$F$5:$F$140*(((Inputs!$G$5:$G$140="moeda")+(Inputs!$G$5:$G$140="acoes"))*Inputs!$B$1+((Inputs!$G$5:$G$140&lt;&gt;"moeda")*(Inputs!$G$5:$G$140&lt;&gt;"acoes")))*INDEX(Inputs!$K$5:$AJ$140,0,MATCH(Q$2,Inputs!$K$4:$AJ$4,0)))))</f>
        <v>-2.98</v>
      </c>
      <c r="R44" s="3">
        <f>Q44</f>
        <v>-2.98</v>
      </c>
      <c r="S44" s="6">
        <f>IF(ISNA(MATCH(S$2,Inputs!$K$4:$AJ$4,0)),NA(),IF(SUMPRODUCT((Inputs!$A$5:$A$140=$B44)*ISNUMBER(INDEX(Inputs!$K$5:$AJ$140,0,MATCH(S$2,Inputs!$K$4:$AJ$4,0))))+SUMPRODUCT((Inputs!$C$5:$C$140=$B44)*ISNUMBER(INDEX(Inputs!$K$5:$AJ$140,0,MATCH(S$2,Inputs!$K$4:$AJ$4,0))))+SUMPRODUCT((Inputs!$E$5:$E$140=$B44)*ISNUMBER(INDEX(Inputs!$K$5:$AJ$140,0,MATCH(S$2,Inputs!$K$4:$AJ$4,0))))=0,NA(),SUMPRODUCT((Inputs!$A$5:$A$140=$B44)*Inputs!$B$5:$B$140*(((Inputs!$G$5:$G$140="moeda")+(Inputs!$G$5:$G$140="acoes"))*Inputs!$B$1+((Inputs!$G$5:$G$140&lt;&gt;"moeda")*(Inputs!$G$5:$G$140&lt;&gt;"acoes")))*INDEX(Inputs!$K$5:$AJ$140,0,MATCH(S$2,Inputs!$K$4:$AJ$4,0)))+SUMPRODUCT((Inputs!$C$5:$C$140=$B44)*Inputs!$D$5:$D$140*(((Inputs!$G$5:$G$140="moeda")+(Inputs!$G$5:$G$140="acoes"))*Inputs!$B$1+((Inputs!$G$5:$G$140&lt;&gt;"moeda")*(Inputs!$G$5:$G$140&lt;&gt;"acoes")))*INDEX(Inputs!$K$5:$AJ$140,0,MATCH(S$2,Inputs!$K$4:$AJ$4,0)))+SUMPRODUCT((Inputs!$E$5:$E$140=$B44)*Inputs!$F$5:$F$140*(((Inputs!$G$5:$G$140="moeda")+(Inputs!$G$5:$G$140="acoes"))*Inputs!$B$1+((Inputs!$G$5:$G$140&lt;&gt;"moeda")*(Inputs!$G$5:$G$140&lt;&gt;"acoes")))*INDEX(Inputs!$K$5:$AJ$140,0,MATCH(S$2,Inputs!$K$4:$AJ$4,0)))))</f>
        <v>-2.98</v>
      </c>
      <c r="T44" s="6">
        <f>IF(ISNA(MATCH(T$2,Inputs!$K$4:$AJ$4,0)),NA(),IF(SUMPRODUCT((Inputs!$A$5:$A$140=$B44)*ISNUMBER(INDEX(Inputs!$K$5:$AJ$140,0,MATCH(T$2,Inputs!$K$4:$AJ$4,0))))+SUMPRODUCT((Inputs!$C$5:$C$140=$B44)*ISNUMBER(INDEX(Inputs!$K$5:$AJ$140,0,MATCH(T$2,Inputs!$K$4:$AJ$4,0))))+SUMPRODUCT((Inputs!$E$5:$E$140=$B44)*ISNUMBER(INDEX(Inputs!$K$5:$AJ$140,0,MATCH(T$2,Inputs!$K$4:$AJ$4,0))))=0,NA(),SUMPRODUCT((Inputs!$A$5:$A$140=$B44)*Inputs!$B$5:$B$140*(((Inputs!$G$5:$G$140="moeda")+(Inputs!$G$5:$G$140="acoes"))*Inputs!$B$1+((Inputs!$G$5:$G$140&lt;&gt;"moeda")*(Inputs!$G$5:$G$140&lt;&gt;"acoes")))*INDEX(Inputs!$K$5:$AJ$140,0,MATCH(T$2,Inputs!$K$4:$AJ$4,0)))+SUMPRODUCT((Inputs!$C$5:$C$140=$B44)*Inputs!$D$5:$D$140*(((Inputs!$G$5:$G$140="moeda")+(Inputs!$G$5:$G$140="acoes"))*Inputs!$B$1+((Inputs!$G$5:$G$140&lt;&gt;"moeda")*(Inputs!$G$5:$G$140&lt;&gt;"acoes")))*INDEX(Inputs!$K$5:$AJ$140,0,MATCH(T$2,Inputs!$K$4:$AJ$4,0)))+SUMPRODUCT((Inputs!$E$5:$E$140=$B44)*Inputs!$F$5:$F$140*(((Inputs!$G$5:$G$140="moeda")+(Inputs!$G$5:$G$140="acoes"))*Inputs!$B$1+((Inputs!$G$5:$G$140&lt;&gt;"moeda")*(Inputs!$G$5:$G$140&lt;&gt;"acoes")))*INDEX(Inputs!$K$5:$AJ$140,0,MATCH(T$2,Inputs!$K$4:$AJ$4,0)))))</f>
        <v>-13.798</v>
      </c>
      <c r="U44" s="6">
        <f>IF(ISNA(MATCH(U$2,Inputs!$K$4:$AJ$4,0)),NA(),IF(SUMPRODUCT((Inputs!$A$5:$A$140=$B44)*ISNUMBER(INDEX(Inputs!$K$5:$AJ$140,0,MATCH(U$2,Inputs!$K$4:$AJ$4,0))))+SUMPRODUCT((Inputs!$C$5:$C$140=$B44)*ISNUMBER(INDEX(Inputs!$K$5:$AJ$140,0,MATCH(U$2,Inputs!$K$4:$AJ$4,0))))+SUMPRODUCT((Inputs!$E$5:$E$140=$B44)*ISNUMBER(INDEX(Inputs!$K$5:$AJ$140,0,MATCH(U$2,Inputs!$K$4:$AJ$4,0))))=0,NA(),SUMPRODUCT((Inputs!$A$5:$A$140=$B44)*Inputs!$B$5:$B$140*(((Inputs!$G$5:$G$140="moeda")+(Inputs!$G$5:$G$140="acoes"))*Inputs!$B$1+((Inputs!$G$5:$G$140&lt;&gt;"moeda")*(Inputs!$G$5:$G$140&lt;&gt;"acoes")))*INDEX(Inputs!$K$5:$AJ$140,0,MATCH(U$2,Inputs!$K$4:$AJ$4,0)))+SUMPRODUCT((Inputs!$C$5:$C$140=$B44)*Inputs!$D$5:$D$140*(((Inputs!$G$5:$G$140="moeda")+(Inputs!$G$5:$G$140="acoes"))*Inputs!$B$1+((Inputs!$G$5:$G$140&lt;&gt;"moeda")*(Inputs!$G$5:$G$140&lt;&gt;"acoes")))*INDEX(Inputs!$K$5:$AJ$140,0,MATCH(U$2,Inputs!$K$4:$AJ$4,0)))+SUMPRODUCT((Inputs!$E$5:$E$140=$B44)*Inputs!$F$5:$F$140*(((Inputs!$G$5:$G$140="moeda")+(Inputs!$G$5:$G$140="acoes"))*Inputs!$B$1+((Inputs!$G$5:$G$140&lt;&gt;"moeda")*(Inputs!$G$5:$G$140&lt;&gt;"acoes")))*INDEX(Inputs!$K$5:$AJ$140,0,MATCH(U$2,Inputs!$K$4:$AJ$4,0)))))</f>
        <v>-4.095</v>
      </c>
      <c r="V44" s="6">
        <f>IF(ISNA(MATCH(V$2,Inputs!$K$4:$AJ$4,0)),NA(),IF(SUMPRODUCT((Inputs!$A$5:$A$140=$B44)*ISNUMBER(INDEX(Inputs!$K$5:$AJ$140,0,MATCH(V$2,Inputs!$K$4:$AJ$4,0))))+SUMPRODUCT((Inputs!$C$5:$C$140=$B44)*ISNUMBER(INDEX(Inputs!$K$5:$AJ$140,0,MATCH(V$2,Inputs!$K$4:$AJ$4,0))))+SUMPRODUCT((Inputs!$E$5:$E$140=$B44)*ISNUMBER(INDEX(Inputs!$K$5:$AJ$140,0,MATCH(V$2,Inputs!$K$4:$AJ$4,0))))=0,NA(),SUMPRODUCT((Inputs!$A$5:$A$140=$B44)*Inputs!$B$5:$B$140*(((Inputs!$G$5:$G$140="moeda")+(Inputs!$G$5:$G$140="acoes"))*Inputs!$B$1+((Inputs!$G$5:$G$140&lt;&gt;"moeda")*(Inputs!$G$5:$G$140&lt;&gt;"acoes")))*INDEX(Inputs!$K$5:$AJ$140,0,MATCH(V$2,Inputs!$K$4:$AJ$4,0)))+SUMPRODUCT((Inputs!$C$5:$C$140=$B44)*Inputs!$D$5:$D$140*(((Inputs!$G$5:$G$140="moeda")+(Inputs!$G$5:$G$140="acoes"))*Inputs!$B$1+((Inputs!$G$5:$G$140&lt;&gt;"moeda")*(Inputs!$G$5:$G$140&lt;&gt;"acoes")))*INDEX(Inputs!$K$5:$AJ$140,0,MATCH(V$2,Inputs!$K$4:$AJ$4,0)))+SUMPRODUCT((Inputs!$E$5:$E$140=$B44)*Inputs!$F$5:$F$140*(((Inputs!$G$5:$G$140="moeda")+(Inputs!$G$5:$G$140="acoes"))*Inputs!$B$1+((Inputs!$G$5:$G$140&lt;&gt;"moeda")*(Inputs!$G$5:$G$140&lt;&gt;"acoes")))*INDEX(Inputs!$K$5:$AJ$140,0,MATCH(V$2,Inputs!$K$4:$AJ$4,0)))))</f>
        <v>-4.095</v>
      </c>
      <c r="W44" s="3">
        <f>V44</f>
        <v>-4.095</v>
      </c>
      <c r="X44" s="6">
        <f>IF(ISNA(MATCH(X$2,Inputs!$K$4:$AJ$4,0)),NA(),IF(SUMPRODUCT((Inputs!$A$5:$A$140=$B44)*ISNUMBER(INDEX(Inputs!$K$5:$AJ$140,0,MATCH(X$2,Inputs!$K$4:$AJ$4,0))))+SUMPRODUCT((Inputs!$C$5:$C$140=$B44)*ISNUMBER(INDEX(Inputs!$K$5:$AJ$140,0,MATCH(X$2,Inputs!$K$4:$AJ$4,0))))+SUMPRODUCT((Inputs!$E$5:$E$140=$B44)*ISNUMBER(INDEX(Inputs!$K$5:$AJ$140,0,MATCH(X$2,Inputs!$K$4:$AJ$4,0))))=0,NA(),SUMPRODUCT((Inputs!$A$5:$A$140=$B44)*Inputs!$B$5:$B$140*(((Inputs!$G$5:$G$140="moeda")+(Inputs!$G$5:$G$140="acoes"))*Inputs!$B$1+((Inputs!$G$5:$G$140&lt;&gt;"moeda")*(Inputs!$G$5:$G$140&lt;&gt;"acoes")))*INDEX(Inputs!$K$5:$AJ$140,0,MATCH(X$2,Inputs!$K$4:$AJ$4,0)))+SUMPRODUCT((Inputs!$C$5:$C$140=$B44)*Inputs!$D$5:$D$140*(((Inputs!$G$5:$G$140="moeda")+(Inputs!$G$5:$G$140="acoes"))*Inputs!$B$1+((Inputs!$G$5:$G$140&lt;&gt;"moeda")*(Inputs!$G$5:$G$140&lt;&gt;"acoes")))*INDEX(Inputs!$K$5:$AJ$140,0,MATCH(X$2,Inputs!$K$4:$AJ$4,0)))+SUMPRODUCT((Inputs!$E$5:$E$140=$B44)*Inputs!$F$5:$F$140*(((Inputs!$G$5:$G$140="moeda")+(Inputs!$G$5:$G$140="acoes"))*Inputs!$B$1+((Inputs!$G$5:$G$140&lt;&gt;"moeda")*(Inputs!$G$5:$G$140&lt;&gt;"acoes")))*INDEX(Inputs!$K$5:$AJ$140,0,MATCH(X$2,Inputs!$K$4:$AJ$4,0)))))</f>
        <v>-20.299</v>
      </c>
      <c r="Y44" s="6">
        <f>IF(ISNA(MATCH(Y$2,Inputs!$K$4:$AJ$4,0)),NA(),IF(SUMPRODUCT((Inputs!$A$5:$A$140=$B44)*ISNUMBER(INDEX(Inputs!$K$5:$AJ$140,0,MATCH(Y$2,Inputs!$K$4:$AJ$4,0))))+SUMPRODUCT((Inputs!$C$5:$C$140=$B44)*ISNUMBER(INDEX(Inputs!$K$5:$AJ$140,0,MATCH(Y$2,Inputs!$K$4:$AJ$4,0))))+SUMPRODUCT((Inputs!$E$5:$E$140=$B44)*ISNUMBER(INDEX(Inputs!$K$5:$AJ$140,0,MATCH(Y$2,Inputs!$K$4:$AJ$4,0))))=0,NA(),SUMPRODUCT((Inputs!$A$5:$A$140=$B44)*Inputs!$B$5:$B$140*(((Inputs!$G$5:$G$140="moeda")+(Inputs!$G$5:$G$140="acoes"))*Inputs!$B$1+((Inputs!$G$5:$G$140&lt;&gt;"moeda")*(Inputs!$G$5:$G$140&lt;&gt;"acoes")))*INDEX(Inputs!$K$5:$AJ$140,0,MATCH(Y$2,Inputs!$K$4:$AJ$4,0)))+SUMPRODUCT((Inputs!$C$5:$C$140=$B44)*Inputs!$D$5:$D$140*(((Inputs!$G$5:$G$140="moeda")+(Inputs!$G$5:$G$140="acoes"))*Inputs!$B$1+((Inputs!$G$5:$G$140&lt;&gt;"moeda")*(Inputs!$G$5:$G$140&lt;&gt;"acoes")))*INDEX(Inputs!$K$5:$AJ$140,0,MATCH(Y$2,Inputs!$K$4:$AJ$4,0)))+SUMPRODUCT((Inputs!$E$5:$E$140=$B44)*Inputs!$F$5:$F$140*(((Inputs!$G$5:$G$140="moeda")+(Inputs!$G$5:$G$140="acoes"))*Inputs!$B$1+((Inputs!$G$5:$G$140&lt;&gt;"moeda")*(Inputs!$G$5:$G$140&lt;&gt;"acoes")))*INDEX(Inputs!$K$5:$AJ$140,0,MATCH(Y$2,Inputs!$K$4:$AJ$4,0)))))</f>
        <v>-9.419</v>
      </c>
      <c r="Z44" s="6">
        <f>IF(ISNA(MATCH(Z$2,Inputs!$K$4:$AJ$4,0)),NA(),IF(SUMPRODUCT((Inputs!$A$5:$A$140=$B44)*ISNUMBER(INDEX(Inputs!$K$5:$AJ$140,0,MATCH(Z$2,Inputs!$K$4:$AJ$4,0))))+SUMPRODUCT((Inputs!$C$5:$C$140=$B44)*ISNUMBER(INDEX(Inputs!$K$5:$AJ$140,0,MATCH(Z$2,Inputs!$K$4:$AJ$4,0))))+SUMPRODUCT((Inputs!$E$5:$E$140=$B44)*ISNUMBER(INDEX(Inputs!$K$5:$AJ$140,0,MATCH(Z$2,Inputs!$K$4:$AJ$4,0))))=0,NA(),SUMPRODUCT((Inputs!$A$5:$A$140=$B44)*Inputs!$B$5:$B$140*(((Inputs!$G$5:$G$140="moeda")+(Inputs!$G$5:$G$140="acoes"))*Inputs!$B$1+((Inputs!$G$5:$G$140&lt;&gt;"moeda")*(Inputs!$G$5:$G$140&lt;&gt;"acoes")))*INDEX(Inputs!$K$5:$AJ$140,0,MATCH(Z$2,Inputs!$K$4:$AJ$4,0)))+SUMPRODUCT((Inputs!$C$5:$C$140=$B44)*Inputs!$D$5:$D$140*(((Inputs!$G$5:$G$140="moeda")+(Inputs!$G$5:$G$140="acoes"))*Inputs!$B$1+((Inputs!$G$5:$G$140&lt;&gt;"moeda")*(Inputs!$G$5:$G$140&lt;&gt;"acoes")))*INDEX(Inputs!$K$5:$AJ$140,0,MATCH(Z$2,Inputs!$K$4:$AJ$4,0)))+SUMPRODUCT((Inputs!$E$5:$E$140=$B44)*Inputs!$F$5:$F$140*(((Inputs!$G$5:$G$140="moeda")+(Inputs!$G$5:$G$140="acoes"))*Inputs!$B$1+((Inputs!$G$5:$G$140&lt;&gt;"moeda")*(Inputs!$G$5:$G$140&lt;&gt;"acoes")))*INDEX(Inputs!$K$5:$AJ$140,0,MATCH(Z$2,Inputs!$K$4:$AJ$4,0)))))</f>
        <v>-26.425</v>
      </c>
      <c r="AA44" s="6">
        <f>IF(ISNA(MATCH(AA$2,Inputs!$K$4:$AJ$4,0)),NA(),IF(SUMPRODUCT((Inputs!$A$5:$A$140=$B44)*ISNUMBER(INDEX(Inputs!$K$5:$AJ$140,0,MATCH(AA$2,Inputs!$K$4:$AJ$4,0))))+SUMPRODUCT((Inputs!$C$5:$C$140=$B44)*ISNUMBER(INDEX(Inputs!$K$5:$AJ$140,0,MATCH(AA$2,Inputs!$K$4:$AJ$4,0))))+SUMPRODUCT((Inputs!$E$5:$E$140=$B44)*ISNUMBER(INDEX(Inputs!$K$5:$AJ$140,0,MATCH(AA$2,Inputs!$K$4:$AJ$4,0))))=0,NA(),SUMPRODUCT((Inputs!$A$5:$A$140=$B44)*Inputs!$B$5:$B$140*(((Inputs!$G$5:$G$140="moeda")+(Inputs!$G$5:$G$140="acoes"))*Inputs!$B$1+((Inputs!$G$5:$G$140&lt;&gt;"moeda")*(Inputs!$G$5:$G$140&lt;&gt;"acoes")))*INDEX(Inputs!$K$5:$AJ$140,0,MATCH(AA$2,Inputs!$K$4:$AJ$4,0)))+SUMPRODUCT((Inputs!$C$5:$C$140=$B44)*Inputs!$D$5:$D$140*(((Inputs!$G$5:$G$140="moeda")+(Inputs!$G$5:$G$140="acoes"))*Inputs!$B$1+((Inputs!$G$5:$G$140&lt;&gt;"moeda")*(Inputs!$G$5:$G$140&lt;&gt;"acoes")))*INDEX(Inputs!$K$5:$AJ$140,0,MATCH(AA$2,Inputs!$K$4:$AJ$4,0)))+SUMPRODUCT((Inputs!$E$5:$E$140=$B44)*Inputs!$F$5:$F$140*(((Inputs!$G$5:$G$140="moeda")+(Inputs!$G$5:$G$140="acoes"))*Inputs!$B$1+((Inputs!$G$5:$G$140&lt;&gt;"moeda")*(Inputs!$G$5:$G$140&lt;&gt;"acoes")))*INDEX(Inputs!$K$5:$AJ$140,0,MATCH(AA$2,Inputs!$K$4:$AJ$4,0)))))</f>
        <v>-26.425</v>
      </c>
      <c r="AB44" s="3">
        <f>AA44</f>
        <v>-26.425</v>
      </c>
      <c r="AC44" s="6">
        <f>IF(ISNA(MATCH(AC$2,Inputs!$K$4:$AJ$4,0)),NA(),IF(SUMPRODUCT((Inputs!$A$5:$A$140=$B44)*ISNUMBER(INDEX(Inputs!$K$5:$AJ$140,0,MATCH(AC$2,Inputs!$K$4:$AJ$4,0))))+SUMPRODUCT((Inputs!$C$5:$C$140=$B44)*ISNUMBER(INDEX(Inputs!$K$5:$AJ$140,0,MATCH(AC$2,Inputs!$K$4:$AJ$4,0))))+SUMPRODUCT((Inputs!$E$5:$E$140=$B44)*ISNUMBER(INDEX(Inputs!$K$5:$AJ$140,0,MATCH(AC$2,Inputs!$K$4:$AJ$4,0))))=0,NA(),SUMPRODUCT((Inputs!$A$5:$A$140=$B44)*Inputs!$B$5:$B$140*(((Inputs!$G$5:$G$140="moeda")+(Inputs!$G$5:$G$140="acoes"))*Inputs!$B$1+((Inputs!$G$5:$G$140&lt;&gt;"moeda")*(Inputs!$G$5:$G$140&lt;&gt;"acoes")))*INDEX(Inputs!$K$5:$AJ$140,0,MATCH(AC$2,Inputs!$K$4:$AJ$4,0)))+SUMPRODUCT((Inputs!$C$5:$C$140=$B44)*Inputs!$D$5:$D$140*(((Inputs!$G$5:$G$140="moeda")+(Inputs!$G$5:$G$140="acoes"))*Inputs!$B$1+((Inputs!$G$5:$G$140&lt;&gt;"moeda")*(Inputs!$G$5:$G$140&lt;&gt;"acoes")))*INDEX(Inputs!$K$5:$AJ$140,0,MATCH(AC$2,Inputs!$K$4:$AJ$4,0)))+SUMPRODUCT((Inputs!$E$5:$E$140=$B44)*Inputs!$F$5:$F$140*(((Inputs!$G$5:$G$140="moeda")+(Inputs!$G$5:$G$140="acoes"))*Inputs!$B$1+((Inputs!$G$5:$G$140&lt;&gt;"moeda")*(Inputs!$G$5:$G$140&lt;&gt;"acoes")))*INDEX(Inputs!$K$5:$AJ$140,0,MATCH(AC$2,Inputs!$K$4:$AJ$4,0)))))</f>
        <v>-26.425</v>
      </c>
      <c r="AD44" s="6">
        <f>IF(ISNA(MATCH(AD$2,Inputs!$K$4:$AJ$4,0)),NA(),IF(SUMPRODUCT((Inputs!$A$5:$A$140=$B44)*ISNUMBER(INDEX(Inputs!$K$5:$AJ$140,0,MATCH(AD$2,Inputs!$K$4:$AJ$4,0))))+SUMPRODUCT((Inputs!$C$5:$C$140=$B44)*ISNUMBER(INDEX(Inputs!$K$5:$AJ$140,0,MATCH(AD$2,Inputs!$K$4:$AJ$4,0))))+SUMPRODUCT((Inputs!$E$5:$E$140=$B44)*ISNUMBER(INDEX(Inputs!$K$5:$AJ$140,0,MATCH(AD$2,Inputs!$K$4:$AJ$4,0))))=0,NA(),SUMPRODUCT((Inputs!$A$5:$A$140=$B44)*Inputs!$B$5:$B$140*(((Inputs!$G$5:$G$140="moeda")+(Inputs!$G$5:$G$140="acoes"))*Inputs!$B$1+((Inputs!$G$5:$G$140&lt;&gt;"moeda")*(Inputs!$G$5:$G$140&lt;&gt;"acoes")))*INDEX(Inputs!$K$5:$AJ$140,0,MATCH(AD$2,Inputs!$K$4:$AJ$4,0)))+SUMPRODUCT((Inputs!$C$5:$C$140=$B44)*Inputs!$D$5:$D$140*(((Inputs!$G$5:$G$140="moeda")+(Inputs!$G$5:$G$140="acoes"))*Inputs!$B$1+((Inputs!$G$5:$G$140&lt;&gt;"moeda")*(Inputs!$G$5:$G$140&lt;&gt;"acoes")))*INDEX(Inputs!$K$5:$AJ$140,0,MATCH(AD$2,Inputs!$K$4:$AJ$4,0)))+SUMPRODUCT((Inputs!$E$5:$E$140=$B44)*Inputs!$F$5:$F$140*(((Inputs!$G$5:$G$140="moeda")+(Inputs!$G$5:$G$140="acoes"))*Inputs!$B$1+((Inputs!$G$5:$G$140&lt;&gt;"moeda")*(Inputs!$G$5:$G$140&lt;&gt;"acoes")))*INDEX(Inputs!$K$5:$AJ$140,0,MATCH(AD$2,Inputs!$K$4:$AJ$4,0)))))</f>
        <v>-14.284</v>
      </c>
      <c r="AE44" s="6" t="e">
        <f>IF(ISNA(MATCH(AE$2,Inputs!$K$4:$AJ$4,0)),NA(),IF(SUMPRODUCT((Inputs!$A$5:$A$140=$B44)*ISNUMBER(INDEX(Inputs!$K$5:$AJ$140,0,MATCH(AE$2,Inputs!$K$4:$AJ$4,0))))+SUMPRODUCT((Inputs!$C$5:$C$140=$B44)*ISNUMBER(INDEX(Inputs!$K$5:$AJ$140,0,MATCH(AE$2,Inputs!$K$4:$AJ$4,0))))+SUMPRODUCT((Inputs!$E$5:$E$140=$B44)*ISNUMBER(INDEX(Inputs!$K$5:$AJ$140,0,MATCH(AE$2,Inputs!$K$4:$AJ$4,0))))=0,NA(),SUMPRODUCT((Inputs!$A$5:$A$140=$B44)*Inputs!$B$5:$B$140*(((Inputs!$G$5:$G$140="moeda")+(Inputs!$G$5:$G$140="acoes"))*Inputs!$B$1+((Inputs!$G$5:$G$140&lt;&gt;"moeda")*(Inputs!$G$5:$G$140&lt;&gt;"acoes")))*INDEX(Inputs!$K$5:$AJ$140,0,MATCH(AE$2,Inputs!$K$4:$AJ$4,0)))+SUMPRODUCT((Inputs!$C$5:$C$140=$B44)*Inputs!$D$5:$D$140*(((Inputs!$G$5:$G$140="moeda")+(Inputs!$G$5:$G$140="acoes"))*Inputs!$B$1+((Inputs!$G$5:$G$140&lt;&gt;"moeda")*(Inputs!$G$5:$G$140&lt;&gt;"acoes")))*INDEX(Inputs!$K$5:$AJ$140,0,MATCH(AE$2,Inputs!$K$4:$AJ$4,0)))+SUMPRODUCT((Inputs!$E$5:$E$140=$B44)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4" s="6" t="e">
        <f>IF(ISNA(MATCH(AF$2,Inputs!$K$4:$AJ$4,0)),NA(),IF(SUMPRODUCT((Inputs!$A$5:$A$140=$B44)*ISNUMBER(INDEX(Inputs!$K$5:$AJ$140,0,MATCH(AF$2,Inputs!$K$4:$AJ$4,0))))+SUMPRODUCT((Inputs!$C$5:$C$140=$B44)*ISNUMBER(INDEX(Inputs!$K$5:$AJ$140,0,MATCH(AF$2,Inputs!$K$4:$AJ$4,0))))+SUMPRODUCT((Inputs!$E$5:$E$140=$B44)*ISNUMBER(INDEX(Inputs!$K$5:$AJ$140,0,MATCH(AF$2,Inputs!$K$4:$AJ$4,0))))=0,NA(),SUMPRODUCT((Inputs!$A$5:$A$140=$B44)*Inputs!$B$5:$B$140*(((Inputs!$G$5:$G$140="moeda")+(Inputs!$G$5:$G$140="acoes"))*Inputs!$B$1+((Inputs!$G$5:$G$140&lt;&gt;"moeda")*(Inputs!$G$5:$G$140&lt;&gt;"acoes")))*INDEX(Inputs!$K$5:$AJ$140,0,MATCH(AF$2,Inputs!$K$4:$AJ$4,0)))+SUMPRODUCT((Inputs!$C$5:$C$140=$B44)*Inputs!$D$5:$D$140*(((Inputs!$G$5:$G$140="moeda")+(Inputs!$G$5:$G$140="acoes"))*Inputs!$B$1+((Inputs!$G$5:$G$140&lt;&gt;"moeda")*(Inputs!$G$5:$G$140&lt;&gt;"acoes")))*INDEX(Inputs!$K$5:$AJ$140,0,MATCH(AF$2,Inputs!$K$4:$AJ$4,0)))+SUMPRODUCT((Inputs!$E$5:$E$140=$B44)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4" s="3" t="e">
        <f>AF44</f>
        <v>#N/A</v>
      </c>
      <c r="AH44" s="6" t="e">
        <f>IF(ISNA(MATCH(AH$2,Inputs!$K$4:$AJ$4,0)),NA(),IF(SUMPRODUCT((Inputs!$A$5:$A$140=$B44)*ISNUMBER(INDEX(Inputs!$K$5:$AJ$140,0,MATCH(AH$2,Inputs!$K$4:$AJ$4,0))))+SUMPRODUCT((Inputs!$C$5:$C$140=$B44)*ISNUMBER(INDEX(Inputs!$K$5:$AJ$140,0,MATCH(AH$2,Inputs!$K$4:$AJ$4,0))))+SUMPRODUCT((Inputs!$E$5:$E$140=$B44)*ISNUMBER(INDEX(Inputs!$K$5:$AJ$140,0,MATCH(AH$2,Inputs!$K$4:$AJ$4,0))))=0,NA(),SUMPRODUCT((Inputs!$A$5:$A$140=$B44)*Inputs!$B$5:$B$140*(((Inputs!$G$5:$G$140="moeda")+(Inputs!$G$5:$G$140="acoes"))*Inputs!$B$1+((Inputs!$G$5:$G$140&lt;&gt;"moeda")*(Inputs!$G$5:$G$140&lt;&gt;"acoes")))*INDEX(Inputs!$K$5:$AJ$140,0,MATCH(AH$2,Inputs!$K$4:$AJ$4,0)))+SUMPRODUCT((Inputs!$C$5:$C$140=$B44)*Inputs!$D$5:$D$140*(((Inputs!$G$5:$G$140="moeda")+(Inputs!$G$5:$G$140="acoes"))*Inputs!$B$1+((Inputs!$G$5:$G$140&lt;&gt;"moeda")*(Inputs!$G$5:$G$140&lt;&gt;"acoes")))*INDEX(Inputs!$K$5:$AJ$140,0,MATCH(AH$2,Inputs!$K$4:$AJ$4,0)))+SUMPRODUCT((Inputs!$E$5:$E$140=$B44)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4" s="6">
        <f>IF(ISNA(MATCH(AI$2,Inputs!$K$4:$AJ$4,0)),NA(),IF(SUMPRODUCT((Inputs!$A$5:$A$140=$B44)*ISNUMBER(INDEX(Inputs!$K$5:$AJ$140,0,MATCH(AI$2,Inputs!$K$4:$AJ$4,0))))+SUMPRODUCT((Inputs!$C$5:$C$140=$B44)*ISNUMBER(INDEX(Inputs!$K$5:$AJ$140,0,MATCH(AI$2,Inputs!$K$4:$AJ$4,0))))+SUMPRODUCT((Inputs!$E$5:$E$140=$B44)*ISNUMBER(INDEX(Inputs!$K$5:$AJ$140,0,MATCH(AI$2,Inputs!$K$4:$AJ$4,0))))=0,NA(),SUMPRODUCT((Inputs!$A$5:$A$140=$B44)*Inputs!$B$5:$B$140*(((Inputs!$G$5:$G$140="moeda")+(Inputs!$G$5:$G$140="acoes"))*Inputs!$B$1+((Inputs!$G$5:$G$140&lt;&gt;"moeda")*(Inputs!$G$5:$G$140&lt;&gt;"acoes")))*INDEX(Inputs!$K$5:$AJ$140,0,MATCH(AI$2,Inputs!$K$4:$AJ$4,0)))+SUMPRODUCT((Inputs!$C$5:$C$140=$B44)*Inputs!$D$5:$D$140*(((Inputs!$G$5:$G$140="moeda")+(Inputs!$G$5:$G$140="acoes"))*Inputs!$B$1+((Inputs!$G$5:$G$140&lt;&gt;"moeda")*(Inputs!$G$5:$G$140&lt;&gt;"acoes")))*INDEX(Inputs!$K$5:$AJ$140,0,MATCH(AI$2,Inputs!$K$4:$AJ$4,0)))+SUMPRODUCT((Inputs!$E$5:$E$140=$B44)*Inputs!$F$5:$F$140*(((Inputs!$G$5:$G$140="moeda")+(Inputs!$G$5:$G$140="acoes"))*Inputs!$B$1+((Inputs!$G$5:$G$140&lt;&gt;"moeda")*(Inputs!$G$5:$G$140&lt;&gt;"acoes")))*INDEX(Inputs!$K$5:$AJ$140,0,MATCH(AI$2,Inputs!$K$4:$AJ$4,0)))))</f>
        <v>0</v>
      </c>
      <c r="AJ44" s="6">
        <f>IF(ISNA(MATCH(AJ$2,Inputs!$K$4:$AJ$4,0)),NA(),IF(SUMPRODUCT((Inputs!$A$5:$A$140=$B44)*ISNUMBER(INDEX(Inputs!$K$5:$AJ$140,0,MATCH(AJ$2,Inputs!$K$4:$AJ$4,0))))+SUMPRODUCT((Inputs!$C$5:$C$140=$B44)*ISNUMBER(INDEX(Inputs!$K$5:$AJ$140,0,MATCH(AJ$2,Inputs!$K$4:$AJ$4,0))))+SUMPRODUCT((Inputs!$E$5:$E$140=$B44)*ISNUMBER(INDEX(Inputs!$K$5:$AJ$140,0,MATCH(AJ$2,Inputs!$K$4:$AJ$4,0))))=0,NA(),SUMPRODUCT((Inputs!$A$5:$A$140=$B44)*Inputs!$B$5:$B$140*(((Inputs!$G$5:$G$140="moeda")+(Inputs!$G$5:$G$140="acoes"))*Inputs!$B$1+((Inputs!$G$5:$G$140&lt;&gt;"moeda")*(Inputs!$G$5:$G$140&lt;&gt;"acoes")))*INDEX(Inputs!$K$5:$AJ$140,0,MATCH(AJ$2,Inputs!$K$4:$AJ$4,0)))+SUMPRODUCT((Inputs!$C$5:$C$140=$B44)*Inputs!$D$5:$D$140*(((Inputs!$G$5:$G$140="moeda")+(Inputs!$G$5:$G$140="acoes"))*Inputs!$B$1+((Inputs!$G$5:$G$140&lt;&gt;"moeda")*(Inputs!$G$5:$G$140&lt;&gt;"acoes")))*INDEX(Inputs!$K$5:$AJ$140,0,MATCH(AJ$2,Inputs!$K$4:$AJ$4,0)))+SUMPRODUCT((Inputs!$E$5:$E$140=$B44)*Inputs!$F$5:$F$140*(((Inputs!$G$5:$G$140="moeda")+(Inputs!$G$5:$G$140="acoes"))*Inputs!$B$1+((Inputs!$G$5:$G$140&lt;&gt;"moeda")*(Inputs!$G$5:$G$140&lt;&gt;"acoes")))*INDEX(Inputs!$K$5:$AJ$140,0,MATCH(AJ$2,Inputs!$K$4:$AJ$4,0)))))</f>
        <v>0</v>
      </c>
      <c r="AK44" s="6">
        <f>IF(ISNA(MATCH(AK$2,Inputs!$K$4:$AJ$4,0)),NA(),IF(SUMPRODUCT((Inputs!$A$5:$A$140=$B44)*ISNUMBER(INDEX(Inputs!$K$5:$AJ$140,0,MATCH(AK$2,Inputs!$K$4:$AJ$4,0))))+SUMPRODUCT((Inputs!$C$5:$C$140=$B44)*ISNUMBER(INDEX(Inputs!$K$5:$AJ$140,0,MATCH(AK$2,Inputs!$K$4:$AJ$4,0))))+SUMPRODUCT((Inputs!$E$5:$E$140=$B44)*ISNUMBER(INDEX(Inputs!$K$5:$AJ$140,0,MATCH(AK$2,Inputs!$K$4:$AJ$4,0))))=0,NA(),SUMPRODUCT((Inputs!$A$5:$A$140=$B44)*Inputs!$B$5:$B$140*(((Inputs!$G$5:$G$140="moeda")+(Inputs!$G$5:$G$140="acoes"))*Inputs!$B$1+((Inputs!$G$5:$G$140&lt;&gt;"moeda")*(Inputs!$G$5:$G$140&lt;&gt;"acoes")))*INDEX(Inputs!$K$5:$AJ$140,0,MATCH(AK$2,Inputs!$K$4:$AJ$4,0)))+SUMPRODUCT((Inputs!$C$5:$C$140=$B44)*Inputs!$D$5:$D$140*(((Inputs!$G$5:$G$140="moeda")+(Inputs!$G$5:$G$140="acoes"))*Inputs!$B$1+((Inputs!$G$5:$G$140&lt;&gt;"moeda")*(Inputs!$G$5:$G$140&lt;&gt;"acoes")))*INDEX(Inputs!$K$5:$AJ$140,0,MATCH(AK$2,Inputs!$K$4:$AJ$4,0)))+SUMPRODUCT((Inputs!$E$5:$E$140=$B44)*Inputs!$F$5:$F$140*(((Inputs!$G$5:$G$140="moeda")+(Inputs!$G$5:$G$140="acoes"))*Inputs!$B$1+((Inputs!$G$5:$G$140&lt;&gt;"moeda")*(Inputs!$G$5:$G$140&lt;&gt;"acoes")))*INDEX(Inputs!$K$5:$AJ$140,0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 t="e">
        <f>IF(ISNA(MATCH(D$2,Inputs!$K$4:$AJ$4,0)),NA(),IF(SUMPRODUCT((Inputs!$A$5:$A$140=$B45)*ISNUMBER(INDEX(Inputs!$K$5:$AJ$140,0,MATCH(D$2,Inputs!$K$4:$AJ$4,0))))+SUMPRODUCT((Inputs!$C$5:$C$140=$B45)*ISNUMBER(INDEX(Inputs!$K$5:$AJ$140,0,MATCH(D$2,Inputs!$K$4:$AJ$4,0))))+SUMPRODUCT((Inputs!$E$5:$E$140=$B45)*ISNUMBER(INDEX(Inputs!$K$5:$AJ$140,0,MATCH(D$2,Inputs!$K$4:$AJ$4,0))))=0,NA(),SUMPRODUCT((Inputs!$A$5:$A$140=$B45)*Inputs!$B$5:$B$140*(((Inputs!$G$5:$G$140="moeda")+(Inputs!$G$5:$G$140="acoes"))*Inputs!$B$1+((Inputs!$G$5:$G$140&lt;&gt;"moeda")*(Inputs!$G$5:$G$140&lt;&gt;"acoes")))*INDEX(Inputs!$K$5:$AJ$140,0,MATCH(D$2,Inputs!$K$4:$AJ$4,0)))+SUMPRODUCT((Inputs!$C$5:$C$140=$B45)*Inputs!$D$5:$D$140*(((Inputs!$G$5:$G$140="moeda")+(Inputs!$G$5:$G$140="acoes"))*Inputs!$B$1+((Inputs!$G$5:$G$140&lt;&gt;"moeda")*(Inputs!$G$5:$G$140&lt;&gt;"acoes")))*INDEX(Inputs!$K$5:$AJ$140,0,MATCH(D$2,Inputs!$K$4:$AJ$4,0)))+SUMPRODUCT((Inputs!$E$5:$E$140=$B45)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5" s="6" t="e">
        <f>IF(ISNA(MATCH(E$2,Inputs!$K$4:$AJ$4,0)),NA(),IF(SUMPRODUCT((Inputs!$A$5:$A$140=$B45)*ISNUMBER(INDEX(Inputs!$K$5:$AJ$140,0,MATCH(E$2,Inputs!$K$4:$AJ$4,0))))+SUMPRODUCT((Inputs!$C$5:$C$140=$B45)*ISNUMBER(INDEX(Inputs!$K$5:$AJ$140,0,MATCH(E$2,Inputs!$K$4:$AJ$4,0))))+SUMPRODUCT((Inputs!$E$5:$E$140=$B45)*ISNUMBER(INDEX(Inputs!$K$5:$AJ$140,0,MATCH(E$2,Inputs!$K$4:$AJ$4,0))))=0,NA(),SUMPRODUCT((Inputs!$A$5:$A$140=$B45)*Inputs!$B$5:$B$140*(((Inputs!$G$5:$G$140="moeda")+(Inputs!$G$5:$G$140="acoes"))*Inputs!$B$1+((Inputs!$G$5:$G$140&lt;&gt;"moeda")*(Inputs!$G$5:$G$140&lt;&gt;"acoes")))*INDEX(Inputs!$K$5:$AJ$140,0,MATCH(E$2,Inputs!$K$4:$AJ$4,0)))+SUMPRODUCT((Inputs!$C$5:$C$140=$B45)*Inputs!$D$5:$D$140*(((Inputs!$G$5:$G$140="moeda")+(Inputs!$G$5:$G$140="acoes"))*Inputs!$B$1+((Inputs!$G$5:$G$140&lt;&gt;"moeda")*(Inputs!$G$5:$G$140&lt;&gt;"acoes")))*INDEX(Inputs!$K$5:$AJ$140,0,MATCH(E$2,Inputs!$K$4:$AJ$4,0)))+SUMPRODUCT((Inputs!$E$5:$E$140=$B45)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5" s="6" t="e">
        <f>IF(ISNA(MATCH(F$2,Inputs!$K$4:$AJ$4,0)),NA(),IF(SUMPRODUCT((Inputs!$A$5:$A$140=$B45)*ISNUMBER(INDEX(Inputs!$K$5:$AJ$140,0,MATCH(F$2,Inputs!$K$4:$AJ$4,0))))+SUMPRODUCT((Inputs!$C$5:$C$140=$B45)*ISNUMBER(INDEX(Inputs!$K$5:$AJ$140,0,MATCH(F$2,Inputs!$K$4:$AJ$4,0))))+SUMPRODUCT((Inputs!$E$5:$E$140=$B45)*ISNUMBER(INDEX(Inputs!$K$5:$AJ$140,0,MATCH(F$2,Inputs!$K$4:$AJ$4,0))))=0,NA(),SUMPRODUCT((Inputs!$A$5:$A$140=$B45)*Inputs!$B$5:$B$140*(((Inputs!$G$5:$G$140="moeda")+(Inputs!$G$5:$G$140="acoes"))*Inputs!$B$1+((Inputs!$G$5:$G$140&lt;&gt;"moeda")*(Inputs!$G$5:$G$140&lt;&gt;"acoes")))*INDEX(Inputs!$K$5:$AJ$140,0,MATCH(F$2,Inputs!$K$4:$AJ$4,0)))+SUMPRODUCT((Inputs!$C$5:$C$140=$B45)*Inputs!$D$5:$D$140*(((Inputs!$G$5:$G$140="moeda")+(Inputs!$G$5:$G$140="acoes"))*Inputs!$B$1+((Inputs!$G$5:$G$140&lt;&gt;"moeda")*(Inputs!$G$5:$G$140&lt;&gt;"acoes")))*INDEX(Inputs!$K$5:$AJ$140,0,MATCH(F$2,Inputs!$K$4:$AJ$4,0)))+SUMPRODUCT((Inputs!$E$5:$E$140=$B45)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5" s="6" t="e">
        <f>IF(ISNA(MATCH(G$2,Inputs!$K$4:$AJ$4,0)),NA(),IF(SUMPRODUCT((Inputs!$A$5:$A$140=$B45)*ISNUMBER(INDEX(Inputs!$K$5:$AJ$140,0,MATCH(G$2,Inputs!$K$4:$AJ$4,0))))+SUMPRODUCT((Inputs!$C$5:$C$140=$B45)*ISNUMBER(INDEX(Inputs!$K$5:$AJ$140,0,MATCH(G$2,Inputs!$K$4:$AJ$4,0))))+SUMPRODUCT((Inputs!$E$5:$E$140=$B45)*ISNUMBER(INDEX(Inputs!$K$5:$AJ$140,0,MATCH(G$2,Inputs!$K$4:$AJ$4,0))))=0,NA(),SUMPRODUCT((Inputs!$A$5:$A$140=$B45)*Inputs!$B$5:$B$140*(((Inputs!$G$5:$G$140="moeda")+(Inputs!$G$5:$G$140="acoes"))*Inputs!$B$1+((Inputs!$G$5:$G$140&lt;&gt;"moeda")*(Inputs!$G$5:$G$140&lt;&gt;"acoes")))*INDEX(Inputs!$K$5:$AJ$140,0,MATCH(G$2,Inputs!$K$4:$AJ$4,0)))+SUMPRODUCT((Inputs!$C$5:$C$140=$B45)*Inputs!$D$5:$D$140*(((Inputs!$G$5:$G$140="moeda")+(Inputs!$G$5:$G$140="acoes"))*Inputs!$B$1+((Inputs!$G$5:$G$140&lt;&gt;"moeda")*(Inputs!$G$5:$G$140&lt;&gt;"acoes")))*INDEX(Inputs!$K$5:$AJ$140,0,MATCH(G$2,Inputs!$K$4:$AJ$4,0)))+SUMPRODUCT((Inputs!$E$5:$E$140=$B45)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5" s="3" t="e">
        <f>G45</f>
        <v>#N/A</v>
      </c>
      <c r="I45" s="6" t="e">
        <f>IF(ISNA(MATCH(I$2,Inputs!$K$4:$AJ$4,0)),NA(),IF(SUMPRODUCT((Inputs!$A$5:$A$140=$B45)*ISNUMBER(INDEX(Inputs!$K$5:$AJ$140,0,MATCH(I$2,Inputs!$K$4:$AJ$4,0))))+SUMPRODUCT((Inputs!$C$5:$C$140=$B45)*ISNUMBER(INDEX(Inputs!$K$5:$AJ$140,0,MATCH(I$2,Inputs!$K$4:$AJ$4,0))))+SUMPRODUCT((Inputs!$E$5:$E$140=$B45)*ISNUMBER(INDEX(Inputs!$K$5:$AJ$140,0,MATCH(I$2,Inputs!$K$4:$AJ$4,0))))=0,NA(),SUMPRODUCT((Inputs!$A$5:$A$140=$B45)*Inputs!$B$5:$B$140*(((Inputs!$G$5:$G$140="moeda")+(Inputs!$G$5:$G$140="acoes"))*Inputs!$B$1+((Inputs!$G$5:$G$140&lt;&gt;"moeda")*(Inputs!$G$5:$G$140&lt;&gt;"acoes")))*INDEX(Inputs!$K$5:$AJ$140,0,MATCH(I$2,Inputs!$K$4:$AJ$4,0)))+SUMPRODUCT((Inputs!$C$5:$C$140=$B45)*Inputs!$D$5:$D$140*(((Inputs!$G$5:$G$140="moeda")+(Inputs!$G$5:$G$140="acoes"))*Inputs!$B$1+((Inputs!$G$5:$G$140&lt;&gt;"moeda")*(Inputs!$G$5:$G$140&lt;&gt;"acoes")))*INDEX(Inputs!$K$5:$AJ$140,0,MATCH(I$2,Inputs!$K$4:$AJ$4,0)))+SUMPRODUCT((Inputs!$E$5:$E$140=$B45)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5" s="6" t="e">
        <f>IF(ISNA(MATCH(J$2,Inputs!$K$4:$AJ$4,0)),NA(),IF(SUMPRODUCT((Inputs!$A$5:$A$140=$B45)*ISNUMBER(INDEX(Inputs!$K$5:$AJ$140,0,MATCH(J$2,Inputs!$K$4:$AJ$4,0))))+SUMPRODUCT((Inputs!$C$5:$C$140=$B45)*ISNUMBER(INDEX(Inputs!$K$5:$AJ$140,0,MATCH(J$2,Inputs!$K$4:$AJ$4,0))))+SUMPRODUCT((Inputs!$E$5:$E$140=$B45)*ISNUMBER(INDEX(Inputs!$K$5:$AJ$140,0,MATCH(J$2,Inputs!$K$4:$AJ$4,0))))=0,NA(),SUMPRODUCT((Inputs!$A$5:$A$140=$B45)*Inputs!$B$5:$B$140*(((Inputs!$G$5:$G$140="moeda")+(Inputs!$G$5:$G$140="acoes"))*Inputs!$B$1+((Inputs!$G$5:$G$140&lt;&gt;"moeda")*(Inputs!$G$5:$G$140&lt;&gt;"acoes")))*INDEX(Inputs!$K$5:$AJ$140,0,MATCH(J$2,Inputs!$K$4:$AJ$4,0)))+SUMPRODUCT((Inputs!$C$5:$C$140=$B45)*Inputs!$D$5:$D$140*(((Inputs!$G$5:$G$140="moeda")+(Inputs!$G$5:$G$140="acoes"))*Inputs!$B$1+((Inputs!$G$5:$G$140&lt;&gt;"moeda")*(Inputs!$G$5:$G$140&lt;&gt;"acoes")))*INDEX(Inputs!$K$5:$AJ$140,0,MATCH(J$2,Inputs!$K$4:$AJ$4,0)))+SUMPRODUCT((Inputs!$E$5:$E$140=$B45)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5" s="6" t="e">
        <f>IF(ISNA(MATCH(K$2,Inputs!$K$4:$AJ$4,0)),NA(),IF(SUMPRODUCT((Inputs!$A$5:$A$140=$B45)*ISNUMBER(INDEX(Inputs!$K$5:$AJ$140,0,MATCH(K$2,Inputs!$K$4:$AJ$4,0))))+SUMPRODUCT((Inputs!$C$5:$C$140=$B45)*ISNUMBER(INDEX(Inputs!$K$5:$AJ$140,0,MATCH(K$2,Inputs!$K$4:$AJ$4,0))))+SUMPRODUCT((Inputs!$E$5:$E$140=$B45)*ISNUMBER(INDEX(Inputs!$K$5:$AJ$140,0,MATCH(K$2,Inputs!$K$4:$AJ$4,0))))=0,NA(),SUMPRODUCT((Inputs!$A$5:$A$140=$B45)*Inputs!$B$5:$B$140*(((Inputs!$G$5:$G$140="moeda")+(Inputs!$G$5:$G$140="acoes"))*Inputs!$B$1+((Inputs!$G$5:$G$140&lt;&gt;"moeda")*(Inputs!$G$5:$G$140&lt;&gt;"acoes")))*INDEX(Inputs!$K$5:$AJ$140,0,MATCH(K$2,Inputs!$K$4:$AJ$4,0)))+SUMPRODUCT((Inputs!$C$5:$C$140=$B45)*Inputs!$D$5:$D$140*(((Inputs!$G$5:$G$140="moeda")+(Inputs!$G$5:$G$140="acoes"))*Inputs!$B$1+((Inputs!$G$5:$G$140&lt;&gt;"moeda")*(Inputs!$G$5:$G$140&lt;&gt;"acoes")))*INDEX(Inputs!$K$5:$AJ$140,0,MATCH(K$2,Inputs!$K$4:$AJ$4,0)))+SUMPRODUCT((Inputs!$E$5:$E$140=$B45)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5" s="6" t="e">
        <f>IF(ISNA(MATCH(L$2,Inputs!$K$4:$AJ$4,0)),NA(),IF(SUMPRODUCT((Inputs!$A$5:$A$140=$B45)*ISNUMBER(INDEX(Inputs!$K$5:$AJ$140,0,MATCH(L$2,Inputs!$K$4:$AJ$4,0))))+SUMPRODUCT((Inputs!$C$5:$C$140=$B45)*ISNUMBER(INDEX(Inputs!$K$5:$AJ$140,0,MATCH(L$2,Inputs!$K$4:$AJ$4,0))))+SUMPRODUCT((Inputs!$E$5:$E$140=$B45)*ISNUMBER(INDEX(Inputs!$K$5:$AJ$140,0,MATCH(L$2,Inputs!$K$4:$AJ$4,0))))=0,NA(),SUMPRODUCT((Inputs!$A$5:$A$140=$B45)*Inputs!$B$5:$B$140*(((Inputs!$G$5:$G$140="moeda")+(Inputs!$G$5:$G$140="acoes"))*Inputs!$B$1+((Inputs!$G$5:$G$140&lt;&gt;"moeda")*(Inputs!$G$5:$G$140&lt;&gt;"acoes")))*INDEX(Inputs!$K$5:$AJ$140,0,MATCH(L$2,Inputs!$K$4:$AJ$4,0)))+SUMPRODUCT((Inputs!$C$5:$C$140=$B45)*Inputs!$D$5:$D$140*(((Inputs!$G$5:$G$140="moeda")+(Inputs!$G$5:$G$140="acoes"))*Inputs!$B$1+((Inputs!$G$5:$G$140&lt;&gt;"moeda")*(Inputs!$G$5:$G$140&lt;&gt;"acoes")))*INDEX(Inputs!$K$5:$AJ$140,0,MATCH(L$2,Inputs!$K$4:$AJ$4,0)))+SUMPRODUCT((Inputs!$E$5:$E$140=$B45)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5" s="3" t="e">
        <f>L45</f>
        <v>#N/A</v>
      </c>
      <c r="N45" s="6" t="e">
        <f>IF(ISNA(MATCH(N$2,Inputs!$K$4:$AJ$4,0)),NA(),IF(SUMPRODUCT((Inputs!$A$5:$A$140=$B45)*ISNUMBER(INDEX(Inputs!$K$5:$AJ$140,0,MATCH(N$2,Inputs!$K$4:$AJ$4,0))))+SUMPRODUCT((Inputs!$C$5:$C$140=$B45)*ISNUMBER(INDEX(Inputs!$K$5:$AJ$140,0,MATCH(N$2,Inputs!$K$4:$AJ$4,0))))+SUMPRODUCT((Inputs!$E$5:$E$140=$B45)*ISNUMBER(INDEX(Inputs!$K$5:$AJ$140,0,MATCH(N$2,Inputs!$K$4:$AJ$4,0))))=0,NA(),SUMPRODUCT((Inputs!$A$5:$A$140=$B45)*Inputs!$B$5:$B$140*(((Inputs!$G$5:$G$140="moeda")+(Inputs!$G$5:$G$140="acoes"))*Inputs!$B$1+((Inputs!$G$5:$G$140&lt;&gt;"moeda")*(Inputs!$G$5:$G$140&lt;&gt;"acoes")))*INDEX(Inputs!$K$5:$AJ$140,0,MATCH(N$2,Inputs!$K$4:$AJ$4,0)))+SUMPRODUCT((Inputs!$C$5:$C$140=$B45)*Inputs!$D$5:$D$140*(((Inputs!$G$5:$G$140="moeda")+(Inputs!$G$5:$G$140="acoes"))*Inputs!$B$1+((Inputs!$G$5:$G$140&lt;&gt;"moeda")*(Inputs!$G$5:$G$140&lt;&gt;"acoes")))*INDEX(Inputs!$K$5:$AJ$140,0,MATCH(N$2,Inputs!$K$4:$AJ$4,0)))+SUMPRODUCT((Inputs!$E$5:$E$140=$B45)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5" s="6" t="e">
        <f>IF(ISNA(MATCH(O$2,Inputs!$K$4:$AJ$4,0)),NA(),IF(SUMPRODUCT((Inputs!$A$5:$A$140=$B45)*ISNUMBER(INDEX(Inputs!$K$5:$AJ$140,0,MATCH(O$2,Inputs!$K$4:$AJ$4,0))))+SUMPRODUCT((Inputs!$C$5:$C$140=$B45)*ISNUMBER(INDEX(Inputs!$K$5:$AJ$140,0,MATCH(O$2,Inputs!$K$4:$AJ$4,0))))+SUMPRODUCT((Inputs!$E$5:$E$140=$B45)*ISNUMBER(INDEX(Inputs!$K$5:$AJ$140,0,MATCH(O$2,Inputs!$K$4:$AJ$4,0))))=0,NA(),SUMPRODUCT((Inputs!$A$5:$A$140=$B45)*Inputs!$B$5:$B$140*(((Inputs!$G$5:$G$140="moeda")+(Inputs!$G$5:$G$140="acoes"))*Inputs!$B$1+((Inputs!$G$5:$G$140&lt;&gt;"moeda")*(Inputs!$G$5:$G$140&lt;&gt;"acoes")))*INDEX(Inputs!$K$5:$AJ$140,0,MATCH(O$2,Inputs!$K$4:$AJ$4,0)))+SUMPRODUCT((Inputs!$C$5:$C$140=$B45)*Inputs!$D$5:$D$140*(((Inputs!$G$5:$G$140="moeda")+(Inputs!$G$5:$G$140="acoes"))*Inputs!$B$1+((Inputs!$G$5:$G$140&lt;&gt;"moeda")*(Inputs!$G$5:$G$140&lt;&gt;"acoes")))*INDEX(Inputs!$K$5:$AJ$140,0,MATCH(O$2,Inputs!$K$4:$AJ$4,0)))+SUMPRODUCT((Inputs!$E$5:$E$140=$B45)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5" s="6" t="e">
        <f>IF(ISNA(MATCH(P$2,Inputs!$K$4:$AJ$4,0)),NA(),IF(SUMPRODUCT((Inputs!$A$5:$A$140=$B45)*ISNUMBER(INDEX(Inputs!$K$5:$AJ$140,0,MATCH(P$2,Inputs!$K$4:$AJ$4,0))))+SUMPRODUCT((Inputs!$C$5:$C$140=$B45)*ISNUMBER(INDEX(Inputs!$K$5:$AJ$140,0,MATCH(P$2,Inputs!$K$4:$AJ$4,0))))+SUMPRODUCT((Inputs!$E$5:$E$140=$B45)*ISNUMBER(INDEX(Inputs!$K$5:$AJ$140,0,MATCH(P$2,Inputs!$K$4:$AJ$4,0))))=0,NA(),SUMPRODUCT((Inputs!$A$5:$A$140=$B45)*Inputs!$B$5:$B$140*(((Inputs!$G$5:$G$140="moeda")+(Inputs!$G$5:$G$140="acoes"))*Inputs!$B$1+((Inputs!$G$5:$G$140&lt;&gt;"moeda")*(Inputs!$G$5:$G$140&lt;&gt;"acoes")))*INDEX(Inputs!$K$5:$AJ$140,0,MATCH(P$2,Inputs!$K$4:$AJ$4,0)))+SUMPRODUCT((Inputs!$C$5:$C$140=$B45)*Inputs!$D$5:$D$140*(((Inputs!$G$5:$G$140="moeda")+(Inputs!$G$5:$G$140="acoes"))*Inputs!$B$1+((Inputs!$G$5:$G$140&lt;&gt;"moeda")*(Inputs!$G$5:$G$140&lt;&gt;"acoes")))*INDEX(Inputs!$K$5:$AJ$140,0,MATCH(P$2,Inputs!$K$4:$AJ$4,0)))+SUMPRODUCT((Inputs!$E$5:$E$140=$B45)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5" s="6" t="e">
        <f>IF(ISNA(MATCH(Q$2,Inputs!$K$4:$AJ$4,0)),NA(),IF(SUMPRODUCT((Inputs!$A$5:$A$140=$B45)*ISNUMBER(INDEX(Inputs!$K$5:$AJ$140,0,MATCH(Q$2,Inputs!$K$4:$AJ$4,0))))+SUMPRODUCT((Inputs!$C$5:$C$140=$B45)*ISNUMBER(INDEX(Inputs!$K$5:$AJ$140,0,MATCH(Q$2,Inputs!$K$4:$AJ$4,0))))+SUMPRODUCT((Inputs!$E$5:$E$140=$B45)*ISNUMBER(INDEX(Inputs!$K$5:$AJ$140,0,MATCH(Q$2,Inputs!$K$4:$AJ$4,0))))=0,NA(),SUMPRODUCT((Inputs!$A$5:$A$140=$B45)*Inputs!$B$5:$B$140*(((Inputs!$G$5:$G$140="moeda")+(Inputs!$G$5:$G$140="acoes"))*Inputs!$B$1+((Inputs!$G$5:$G$140&lt;&gt;"moeda")*(Inputs!$G$5:$G$140&lt;&gt;"acoes")))*INDEX(Inputs!$K$5:$AJ$140,0,MATCH(Q$2,Inputs!$K$4:$AJ$4,0)))+SUMPRODUCT((Inputs!$C$5:$C$140=$B45)*Inputs!$D$5:$D$140*(((Inputs!$G$5:$G$140="moeda")+(Inputs!$G$5:$G$140="acoes"))*Inputs!$B$1+((Inputs!$G$5:$G$140&lt;&gt;"moeda")*(Inputs!$G$5:$G$140&lt;&gt;"acoes")))*INDEX(Inputs!$K$5:$AJ$140,0,MATCH(Q$2,Inputs!$K$4:$AJ$4,0)))+SUMPRODUCT((Inputs!$E$5:$E$140=$B45)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5" s="3" t="e">
        <f>Q45</f>
        <v>#N/A</v>
      </c>
      <c r="S45" s="6" t="e">
        <f>IF(ISNA(MATCH(S$2,Inputs!$K$4:$AJ$4,0)),NA(),IF(SUMPRODUCT((Inputs!$A$5:$A$140=$B45)*ISNUMBER(INDEX(Inputs!$K$5:$AJ$140,0,MATCH(S$2,Inputs!$K$4:$AJ$4,0))))+SUMPRODUCT((Inputs!$C$5:$C$140=$B45)*ISNUMBER(INDEX(Inputs!$K$5:$AJ$140,0,MATCH(S$2,Inputs!$K$4:$AJ$4,0))))+SUMPRODUCT((Inputs!$E$5:$E$140=$B45)*ISNUMBER(INDEX(Inputs!$K$5:$AJ$140,0,MATCH(S$2,Inputs!$K$4:$AJ$4,0))))=0,NA(),SUMPRODUCT((Inputs!$A$5:$A$140=$B45)*Inputs!$B$5:$B$140*(((Inputs!$G$5:$G$140="moeda")+(Inputs!$G$5:$G$140="acoes"))*Inputs!$B$1+((Inputs!$G$5:$G$140&lt;&gt;"moeda")*(Inputs!$G$5:$G$140&lt;&gt;"acoes")))*INDEX(Inputs!$K$5:$AJ$140,0,MATCH(S$2,Inputs!$K$4:$AJ$4,0)))+SUMPRODUCT((Inputs!$C$5:$C$140=$B45)*Inputs!$D$5:$D$140*(((Inputs!$G$5:$G$140="moeda")+(Inputs!$G$5:$G$140="acoes"))*Inputs!$B$1+((Inputs!$G$5:$G$140&lt;&gt;"moeda")*(Inputs!$G$5:$G$140&lt;&gt;"acoes")))*INDEX(Inputs!$K$5:$AJ$140,0,MATCH(S$2,Inputs!$K$4:$AJ$4,0)))+SUMPRODUCT((Inputs!$E$5:$E$140=$B45)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5" s="6" t="e">
        <f>IF(ISNA(MATCH(T$2,Inputs!$K$4:$AJ$4,0)),NA(),IF(SUMPRODUCT((Inputs!$A$5:$A$140=$B45)*ISNUMBER(INDEX(Inputs!$K$5:$AJ$140,0,MATCH(T$2,Inputs!$K$4:$AJ$4,0))))+SUMPRODUCT((Inputs!$C$5:$C$140=$B45)*ISNUMBER(INDEX(Inputs!$K$5:$AJ$140,0,MATCH(T$2,Inputs!$K$4:$AJ$4,0))))+SUMPRODUCT((Inputs!$E$5:$E$140=$B45)*ISNUMBER(INDEX(Inputs!$K$5:$AJ$140,0,MATCH(T$2,Inputs!$K$4:$AJ$4,0))))=0,NA(),SUMPRODUCT((Inputs!$A$5:$A$140=$B45)*Inputs!$B$5:$B$140*(((Inputs!$G$5:$G$140="moeda")+(Inputs!$G$5:$G$140="acoes"))*Inputs!$B$1+((Inputs!$G$5:$G$140&lt;&gt;"moeda")*(Inputs!$G$5:$G$140&lt;&gt;"acoes")))*INDEX(Inputs!$K$5:$AJ$140,0,MATCH(T$2,Inputs!$K$4:$AJ$4,0)))+SUMPRODUCT((Inputs!$C$5:$C$140=$B45)*Inputs!$D$5:$D$140*(((Inputs!$G$5:$G$140="moeda")+(Inputs!$G$5:$G$140="acoes"))*Inputs!$B$1+((Inputs!$G$5:$G$140&lt;&gt;"moeda")*(Inputs!$G$5:$G$140&lt;&gt;"acoes")))*INDEX(Inputs!$K$5:$AJ$140,0,MATCH(T$2,Inputs!$K$4:$AJ$4,0)))+SUMPRODUCT((Inputs!$E$5:$E$140=$B45)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5" s="6" t="e">
        <f>IF(ISNA(MATCH(U$2,Inputs!$K$4:$AJ$4,0)),NA(),IF(SUMPRODUCT((Inputs!$A$5:$A$140=$B45)*ISNUMBER(INDEX(Inputs!$K$5:$AJ$140,0,MATCH(U$2,Inputs!$K$4:$AJ$4,0))))+SUMPRODUCT((Inputs!$C$5:$C$140=$B45)*ISNUMBER(INDEX(Inputs!$K$5:$AJ$140,0,MATCH(U$2,Inputs!$K$4:$AJ$4,0))))+SUMPRODUCT((Inputs!$E$5:$E$140=$B45)*ISNUMBER(INDEX(Inputs!$K$5:$AJ$140,0,MATCH(U$2,Inputs!$K$4:$AJ$4,0))))=0,NA(),SUMPRODUCT((Inputs!$A$5:$A$140=$B45)*Inputs!$B$5:$B$140*(((Inputs!$G$5:$G$140="moeda")+(Inputs!$G$5:$G$140="acoes"))*Inputs!$B$1+((Inputs!$G$5:$G$140&lt;&gt;"moeda")*(Inputs!$G$5:$G$140&lt;&gt;"acoes")))*INDEX(Inputs!$K$5:$AJ$140,0,MATCH(U$2,Inputs!$K$4:$AJ$4,0)))+SUMPRODUCT((Inputs!$C$5:$C$140=$B45)*Inputs!$D$5:$D$140*(((Inputs!$G$5:$G$140="moeda")+(Inputs!$G$5:$G$140="acoes"))*Inputs!$B$1+((Inputs!$G$5:$G$140&lt;&gt;"moeda")*(Inputs!$G$5:$G$140&lt;&gt;"acoes")))*INDEX(Inputs!$K$5:$AJ$140,0,MATCH(U$2,Inputs!$K$4:$AJ$4,0)))+SUMPRODUCT((Inputs!$E$5:$E$140=$B45)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5" s="6" t="e">
        <f>IF(ISNA(MATCH(V$2,Inputs!$K$4:$AJ$4,0)),NA(),IF(SUMPRODUCT((Inputs!$A$5:$A$140=$B45)*ISNUMBER(INDEX(Inputs!$K$5:$AJ$140,0,MATCH(V$2,Inputs!$K$4:$AJ$4,0))))+SUMPRODUCT((Inputs!$C$5:$C$140=$B45)*ISNUMBER(INDEX(Inputs!$K$5:$AJ$140,0,MATCH(V$2,Inputs!$K$4:$AJ$4,0))))+SUMPRODUCT((Inputs!$E$5:$E$140=$B45)*ISNUMBER(INDEX(Inputs!$K$5:$AJ$140,0,MATCH(V$2,Inputs!$K$4:$AJ$4,0))))=0,NA(),SUMPRODUCT((Inputs!$A$5:$A$140=$B45)*Inputs!$B$5:$B$140*(((Inputs!$G$5:$G$140="moeda")+(Inputs!$G$5:$G$140="acoes"))*Inputs!$B$1+((Inputs!$G$5:$G$140&lt;&gt;"moeda")*(Inputs!$G$5:$G$140&lt;&gt;"acoes")))*INDEX(Inputs!$K$5:$AJ$140,0,MATCH(V$2,Inputs!$K$4:$AJ$4,0)))+SUMPRODUCT((Inputs!$C$5:$C$140=$B45)*Inputs!$D$5:$D$140*(((Inputs!$G$5:$G$140="moeda")+(Inputs!$G$5:$G$140="acoes"))*Inputs!$B$1+((Inputs!$G$5:$G$140&lt;&gt;"moeda")*(Inputs!$G$5:$G$140&lt;&gt;"acoes")))*INDEX(Inputs!$K$5:$AJ$140,0,MATCH(V$2,Inputs!$K$4:$AJ$4,0)))+SUMPRODUCT((Inputs!$E$5:$E$140=$B45)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5" s="3" t="e">
        <f>V45</f>
        <v>#N/A</v>
      </c>
      <c r="X45" s="6" t="e">
        <f>IF(ISNA(MATCH(X$2,Inputs!$K$4:$AJ$4,0)),NA(),IF(SUMPRODUCT((Inputs!$A$5:$A$140=$B45)*ISNUMBER(INDEX(Inputs!$K$5:$AJ$140,0,MATCH(X$2,Inputs!$K$4:$AJ$4,0))))+SUMPRODUCT((Inputs!$C$5:$C$140=$B45)*ISNUMBER(INDEX(Inputs!$K$5:$AJ$140,0,MATCH(X$2,Inputs!$K$4:$AJ$4,0))))+SUMPRODUCT((Inputs!$E$5:$E$140=$B45)*ISNUMBER(INDEX(Inputs!$K$5:$AJ$140,0,MATCH(X$2,Inputs!$K$4:$AJ$4,0))))=0,NA(),SUMPRODUCT((Inputs!$A$5:$A$140=$B45)*Inputs!$B$5:$B$140*(((Inputs!$G$5:$G$140="moeda")+(Inputs!$G$5:$G$140="acoes"))*Inputs!$B$1+((Inputs!$G$5:$G$140&lt;&gt;"moeda")*(Inputs!$G$5:$G$140&lt;&gt;"acoes")))*INDEX(Inputs!$K$5:$AJ$140,0,MATCH(X$2,Inputs!$K$4:$AJ$4,0)))+SUMPRODUCT((Inputs!$C$5:$C$140=$B45)*Inputs!$D$5:$D$140*(((Inputs!$G$5:$G$140="moeda")+(Inputs!$G$5:$G$140="acoes"))*Inputs!$B$1+((Inputs!$G$5:$G$140&lt;&gt;"moeda")*(Inputs!$G$5:$G$140&lt;&gt;"acoes")))*INDEX(Inputs!$K$5:$AJ$140,0,MATCH(X$2,Inputs!$K$4:$AJ$4,0)))+SUMPRODUCT((Inputs!$E$5:$E$140=$B45)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5" s="6" t="e">
        <f>IF(ISNA(MATCH(Y$2,Inputs!$K$4:$AJ$4,0)),NA(),IF(SUMPRODUCT((Inputs!$A$5:$A$140=$B45)*ISNUMBER(INDEX(Inputs!$K$5:$AJ$140,0,MATCH(Y$2,Inputs!$K$4:$AJ$4,0))))+SUMPRODUCT((Inputs!$C$5:$C$140=$B45)*ISNUMBER(INDEX(Inputs!$K$5:$AJ$140,0,MATCH(Y$2,Inputs!$K$4:$AJ$4,0))))+SUMPRODUCT((Inputs!$E$5:$E$140=$B45)*ISNUMBER(INDEX(Inputs!$K$5:$AJ$140,0,MATCH(Y$2,Inputs!$K$4:$AJ$4,0))))=0,NA(),SUMPRODUCT((Inputs!$A$5:$A$140=$B45)*Inputs!$B$5:$B$140*(((Inputs!$G$5:$G$140="moeda")+(Inputs!$G$5:$G$140="acoes"))*Inputs!$B$1+((Inputs!$G$5:$G$140&lt;&gt;"moeda")*(Inputs!$G$5:$G$140&lt;&gt;"acoes")))*INDEX(Inputs!$K$5:$AJ$140,0,MATCH(Y$2,Inputs!$K$4:$AJ$4,0)))+SUMPRODUCT((Inputs!$C$5:$C$140=$B45)*Inputs!$D$5:$D$140*(((Inputs!$G$5:$G$140="moeda")+(Inputs!$G$5:$G$140="acoes"))*Inputs!$B$1+((Inputs!$G$5:$G$140&lt;&gt;"moeda")*(Inputs!$G$5:$G$140&lt;&gt;"acoes")))*INDEX(Inputs!$K$5:$AJ$140,0,MATCH(Y$2,Inputs!$K$4:$AJ$4,0)))+SUMPRODUCT((Inputs!$E$5:$E$140=$B45)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5" s="6" t="e">
        <f>IF(ISNA(MATCH(Z$2,Inputs!$K$4:$AJ$4,0)),NA(),IF(SUMPRODUCT((Inputs!$A$5:$A$140=$B45)*ISNUMBER(INDEX(Inputs!$K$5:$AJ$140,0,MATCH(Z$2,Inputs!$K$4:$AJ$4,0))))+SUMPRODUCT((Inputs!$C$5:$C$140=$B45)*ISNUMBER(INDEX(Inputs!$K$5:$AJ$140,0,MATCH(Z$2,Inputs!$K$4:$AJ$4,0))))+SUMPRODUCT((Inputs!$E$5:$E$140=$B45)*ISNUMBER(INDEX(Inputs!$K$5:$AJ$140,0,MATCH(Z$2,Inputs!$K$4:$AJ$4,0))))=0,NA(),SUMPRODUCT((Inputs!$A$5:$A$140=$B45)*Inputs!$B$5:$B$140*(((Inputs!$G$5:$G$140="moeda")+(Inputs!$G$5:$G$140="acoes"))*Inputs!$B$1+((Inputs!$G$5:$G$140&lt;&gt;"moeda")*(Inputs!$G$5:$G$140&lt;&gt;"acoes")))*INDEX(Inputs!$K$5:$AJ$140,0,MATCH(Z$2,Inputs!$K$4:$AJ$4,0)))+SUMPRODUCT((Inputs!$C$5:$C$140=$B45)*Inputs!$D$5:$D$140*(((Inputs!$G$5:$G$140="moeda")+(Inputs!$G$5:$G$140="acoes"))*Inputs!$B$1+((Inputs!$G$5:$G$140&lt;&gt;"moeda")*(Inputs!$G$5:$G$140&lt;&gt;"acoes")))*INDEX(Inputs!$K$5:$AJ$140,0,MATCH(Z$2,Inputs!$K$4:$AJ$4,0)))+SUMPRODUCT((Inputs!$E$5:$E$140=$B45)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5" s="6" t="e">
        <f>IF(ISNA(MATCH(AA$2,Inputs!$K$4:$AJ$4,0)),NA(),IF(SUMPRODUCT((Inputs!$A$5:$A$140=$B45)*ISNUMBER(INDEX(Inputs!$K$5:$AJ$140,0,MATCH(AA$2,Inputs!$K$4:$AJ$4,0))))+SUMPRODUCT((Inputs!$C$5:$C$140=$B45)*ISNUMBER(INDEX(Inputs!$K$5:$AJ$140,0,MATCH(AA$2,Inputs!$K$4:$AJ$4,0))))+SUMPRODUCT((Inputs!$E$5:$E$140=$B45)*ISNUMBER(INDEX(Inputs!$K$5:$AJ$140,0,MATCH(AA$2,Inputs!$K$4:$AJ$4,0))))=0,NA(),SUMPRODUCT((Inputs!$A$5:$A$140=$B45)*Inputs!$B$5:$B$140*(((Inputs!$G$5:$G$140="moeda")+(Inputs!$G$5:$G$140="acoes"))*Inputs!$B$1+((Inputs!$G$5:$G$140&lt;&gt;"moeda")*(Inputs!$G$5:$G$140&lt;&gt;"acoes")))*INDEX(Inputs!$K$5:$AJ$140,0,MATCH(AA$2,Inputs!$K$4:$AJ$4,0)))+SUMPRODUCT((Inputs!$C$5:$C$140=$B45)*Inputs!$D$5:$D$140*(((Inputs!$G$5:$G$140="moeda")+(Inputs!$G$5:$G$140="acoes"))*Inputs!$B$1+((Inputs!$G$5:$G$140&lt;&gt;"moeda")*(Inputs!$G$5:$G$140&lt;&gt;"acoes")))*INDEX(Inputs!$K$5:$AJ$140,0,MATCH(AA$2,Inputs!$K$4:$AJ$4,0)))+SUMPRODUCT((Inputs!$E$5:$E$140=$B45)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5" s="3" t="e">
        <f>AA45</f>
        <v>#N/A</v>
      </c>
      <c r="AC45" s="6" t="e">
        <f>IF(ISNA(MATCH(AC$2,Inputs!$K$4:$AJ$4,0)),NA(),IF(SUMPRODUCT((Inputs!$A$5:$A$140=$B45)*ISNUMBER(INDEX(Inputs!$K$5:$AJ$140,0,MATCH(AC$2,Inputs!$K$4:$AJ$4,0))))+SUMPRODUCT((Inputs!$C$5:$C$140=$B45)*ISNUMBER(INDEX(Inputs!$K$5:$AJ$140,0,MATCH(AC$2,Inputs!$K$4:$AJ$4,0))))+SUMPRODUCT((Inputs!$E$5:$E$140=$B45)*ISNUMBER(INDEX(Inputs!$K$5:$AJ$140,0,MATCH(AC$2,Inputs!$K$4:$AJ$4,0))))=0,NA(),SUMPRODUCT((Inputs!$A$5:$A$140=$B45)*Inputs!$B$5:$B$140*(((Inputs!$G$5:$G$140="moeda")+(Inputs!$G$5:$G$140="acoes"))*Inputs!$B$1+((Inputs!$G$5:$G$140&lt;&gt;"moeda")*(Inputs!$G$5:$G$140&lt;&gt;"acoes")))*INDEX(Inputs!$K$5:$AJ$140,0,MATCH(AC$2,Inputs!$K$4:$AJ$4,0)))+SUMPRODUCT((Inputs!$C$5:$C$140=$B45)*Inputs!$D$5:$D$140*(((Inputs!$G$5:$G$140="moeda")+(Inputs!$G$5:$G$140="acoes"))*Inputs!$B$1+((Inputs!$G$5:$G$140&lt;&gt;"moeda")*(Inputs!$G$5:$G$140&lt;&gt;"acoes")))*INDEX(Inputs!$K$5:$AJ$140,0,MATCH(AC$2,Inputs!$K$4:$AJ$4,0)))+SUMPRODUCT((Inputs!$E$5:$E$140=$B45)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5" s="6" t="e">
        <f>IF(ISNA(MATCH(AD$2,Inputs!$K$4:$AJ$4,0)),NA(),IF(SUMPRODUCT((Inputs!$A$5:$A$140=$B45)*ISNUMBER(INDEX(Inputs!$K$5:$AJ$140,0,MATCH(AD$2,Inputs!$K$4:$AJ$4,0))))+SUMPRODUCT((Inputs!$C$5:$C$140=$B45)*ISNUMBER(INDEX(Inputs!$K$5:$AJ$140,0,MATCH(AD$2,Inputs!$K$4:$AJ$4,0))))+SUMPRODUCT((Inputs!$E$5:$E$140=$B45)*ISNUMBER(INDEX(Inputs!$K$5:$AJ$140,0,MATCH(AD$2,Inputs!$K$4:$AJ$4,0))))=0,NA(),SUMPRODUCT((Inputs!$A$5:$A$140=$B45)*Inputs!$B$5:$B$140*(((Inputs!$G$5:$G$140="moeda")+(Inputs!$G$5:$G$140="acoes"))*Inputs!$B$1+((Inputs!$G$5:$G$140&lt;&gt;"moeda")*(Inputs!$G$5:$G$140&lt;&gt;"acoes")))*INDEX(Inputs!$K$5:$AJ$140,0,MATCH(AD$2,Inputs!$K$4:$AJ$4,0)))+SUMPRODUCT((Inputs!$C$5:$C$140=$B45)*Inputs!$D$5:$D$140*(((Inputs!$G$5:$G$140="moeda")+(Inputs!$G$5:$G$140="acoes"))*Inputs!$B$1+((Inputs!$G$5:$G$140&lt;&gt;"moeda")*(Inputs!$G$5:$G$140&lt;&gt;"acoes")))*INDEX(Inputs!$K$5:$AJ$140,0,MATCH(AD$2,Inputs!$K$4:$AJ$4,0)))+SUMPRODUCT((Inputs!$E$5:$E$140=$B45)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5" s="6" t="e">
        <f>IF(ISNA(MATCH(AE$2,Inputs!$K$4:$AJ$4,0)),NA(),IF(SUMPRODUCT((Inputs!$A$5:$A$140=$B45)*ISNUMBER(INDEX(Inputs!$K$5:$AJ$140,0,MATCH(AE$2,Inputs!$K$4:$AJ$4,0))))+SUMPRODUCT((Inputs!$C$5:$C$140=$B45)*ISNUMBER(INDEX(Inputs!$K$5:$AJ$140,0,MATCH(AE$2,Inputs!$K$4:$AJ$4,0))))+SUMPRODUCT((Inputs!$E$5:$E$140=$B45)*ISNUMBER(INDEX(Inputs!$K$5:$AJ$140,0,MATCH(AE$2,Inputs!$K$4:$AJ$4,0))))=0,NA(),SUMPRODUCT((Inputs!$A$5:$A$140=$B45)*Inputs!$B$5:$B$140*(((Inputs!$G$5:$G$140="moeda")+(Inputs!$G$5:$G$140="acoes"))*Inputs!$B$1+((Inputs!$G$5:$G$140&lt;&gt;"moeda")*(Inputs!$G$5:$G$140&lt;&gt;"acoes")))*INDEX(Inputs!$K$5:$AJ$140,0,MATCH(AE$2,Inputs!$K$4:$AJ$4,0)))+SUMPRODUCT((Inputs!$C$5:$C$140=$B45)*Inputs!$D$5:$D$140*(((Inputs!$G$5:$G$140="moeda")+(Inputs!$G$5:$G$140="acoes"))*Inputs!$B$1+((Inputs!$G$5:$G$140&lt;&gt;"moeda")*(Inputs!$G$5:$G$140&lt;&gt;"acoes")))*INDEX(Inputs!$K$5:$AJ$140,0,MATCH(AE$2,Inputs!$K$4:$AJ$4,0)))+SUMPRODUCT((Inputs!$E$5:$E$140=$B45)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5" s="6" t="e">
        <f>IF(ISNA(MATCH(AF$2,Inputs!$K$4:$AJ$4,0)),NA(),IF(SUMPRODUCT((Inputs!$A$5:$A$140=$B45)*ISNUMBER(INDEX(Inputs!$K$5:$AJ$140,0,MATCH(AF$2,Inputs!$K$4:$AJ$4,0))))+SUMPRODUCT((Inputs!$C$5:$C$140=$B45)*ISNUMBER(INDEX(Inputs!$K$5:$AJ$140,0,MATCH(AF$2,Inputs!$K$4:$AJ$4,0))))+SUMPRODUCT((Inputs!$E$5:$E$140=$B45)*ISNUMBER(INDEX(Inputs!$K$5:$AJ$140,0,MATCH(AF$2,Inputs!$K$4:$AJ$4,0))))=0,NA(),SUMPRODUCT((Inputs!$A$5:$A$140=$B45)*Inputs!$B$5:$B$140*(((Inputs!$G$5:$G$140="moeda")+(Inputs!$G$5:$G$140="acoes"))*Inputs!$B$1+((Inputs!$G$5:$G$140&lt;&gt;"moeda")*(Inputs!$G$5:$G$140&lt;&gt;"acoes")))*INDEX(Inputs!$K$5:$AJ$140,0,MATCH(AF$2,Inputs!$K$4:$AJ$4,0)))+SUMPRODUCT((Inputs!$C$5:$C$140=$B45)*Inputs!$D$5:$D$140*(((Inputs!$G$5:$G$140="moeda")+(Inputs!$G$5:$G$140="acoes"))*Inputs!$B$1+((Inputs!$G$5:$G$140&lt;&gt;"moeda")*(Inputs!$G$5:$G$140&lt;&gt;"acoes")))*INDEX(Inputs!$K$5:$AJ$140,0,MATCH(AF$2,Inputs!$K$4:$AJ$4,0)))+SUMPRODUCT((Inputs!$E$5:$E$140=$B45)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5" s="3" t="e">
        <f>AF45</f>
        <v>#N/A</v>
      </c>
      <c r="AH45" s="6" t="e">
        <f>IF(ISNA(MATCH(AH$2,Inputs!$K$4:$AJ$4,0)),NA(),IF(SUMPRODUCT((Inputs!$A$5:$A$140=$B45)*ISNUMBER(INDEX(Inputs!$K$5:$AJ$140,0,MATCH(AH$2,Inputs!$K$4:$AJ$4,0))))+SUMPRODUCT((Inputs!$C$5:$C$140=$B45)*ISNUMBER(INDEX(Inputs!$K$5:$AJ$140,0,MATCH(AH$2,Inputs!$K$4:$AJ$4,0))))+SUMPRODUCT((Inputs!$E$5:$E$140=$B45)*ISNUMBER(INDEX(Inputs!$K$5:$AJ$140,0,MATCH(AH$2,Inputs!$K$4:$AJ$4,0))))=0,NA(),SUMPRODUCT((Inputs!$A$5:$A$140=$B45)*Inputs!$B$5:$B$140*(((Inputs!$G$5:$G$140="moeda")+(Inputs!$G$5:$G$140="acoes"))*Inputs!$B$1+((Inputs!$G$5:$G$140&lt;&gt;"moeda")*(Inputs!$G$5:$G$140&lt;&gt;"acoes")))*INDEX(Inputs!$K$5:$AJ$140,0,MATCH(AH$2,Inputs!$K$4:$AJ$4,0)))+SUMPRODUCT((Inputs!$C$5:$C$140=$B45)*Inputs!$D$5:$D$140*(((Inputs!$G$5:$G$140="moeda")+(Inputs!$G$5:$G$140="acoes"))*Inputs!$B$1+((Inputs!$G$5:$G$140&lt;&gt;"moeda")*(Inputs!$G$5:$G$140&lt;&gt;"acoes")))*INDEX(Inputs!$K$5:$AJ$140,0,MATCH(AH$2,Inputs!$K$4:$AJ$4,0)))+SUMPRODUCT((Inputs!$E$5:$E$140=$B45)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5" s="6" t="e">
        <f>IF(ISNA(MATCH(AI$2,Inputs!$K$4:$AJ$4,0)),NA(),IF(SUMPRODUCT((Inputs!$A$5:$A$140=$B45)*ISNUMBER(INDEX(Inputs!$K$5:$AJ$140,0,MATCH(AI$2,Inputs!$K$4:$AJ$4,0))))+SUMPRODUCT((Inputs!$C$5:$C$140=$B45)*ISNUMBER(INDEX(Inputs!$K$5:$AJ$140,0,MATCH(AI$2,Inputs!$K$4:$AJ$4,0))))+SUMPRODUCT((Inputs!$E$5:$E$140=$B45)*ISNUMBER(INDEX(Inputs!$K$5:$AJ$140,0,MATCH(AI$2,Inputs!$K$4:$AJ$4,0))))=0,NA(),SUMPRODUCT((Inputs!$A$5:$A$140=$B45)*Inputs!$B$5:$B$140*(((Inputs!$G$5:$G$140="moeda")+(Inputs!$G$5:$G$140="acoes"))*Inputs!$B$1+((Inputs!$G$5:$G$140&lt;&gt;"moeda")*(Inputs!$G$5:$G$140&lt;&gt;"acoes")))*INDEX(Inputs!$K$5:$AJ$140,0,MATCH(AI$2,Inputs!$K$4:$AJ$4,0)))+SUMPRODUCT((Inputs!$C$5:$C$140=$B45)*Inputs!$D$5:$D$140*(((Inputs!$G$5:$G$140="moeda")+(Inputs!$G$5:$G$140="acoes"))*Inputs!$B$1+((Inputs!$G$5:$G$140&lt;&gt;"moeda")*(Inputs!$G$5:$G$140&lt;&gt;"acoes")))*INDEX(Inputs!$K$5:$AJ$140,0,MATCH(AI$2,Inputs!$K$4:$AJ$4,0)))+SUMPRODUCT((Inputs!$E$5:$E$140=$B45)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5" s="6" t="e">
        <f>IF(ISNA(MATCH(AJ$2,Inputs!$K$4:$AJ$4,0)),NA(),IF(SUMPRODUCT((Inputs!$A$5:$A$140=$B45)*ISNUMBER(INDEX(Inputs!$K$5:$AJ$140,0,MATCH(AJ$2,Inputs!$K$4:$AJ$4,0))))+SUMPRODUCT((Inputs!$C$5:$C$140=$B45)*ISNUMBER(INDEX(Inputs!$K$5:$AJ$140,0,MATCH(AJ$2,Inputs!$K$4:$AJ$4,0))))+SUMPRODUCT((Inputs!$E$5:$E$140=$B45)*ISNUMBER(INDEX(Inputs!$K$5:$AJ$140,0,MATCH(AJ$2,Inputs!$K$4:$AJ$4,0))))=0,NA(),SUMPRODUCT((Inputs!$A$5:$A$140=$B45)*Inputs!$B$5:$B$140*(((Inputs!$G$5:$G$140="moeda")+(Inputs!$G$5:$G$140="acoes"))*Inputs!$B$1+((Inputs!$G$5:$G$140&lt;&gt;"moeda")*(Inputs!$G$5:$G$140&lt;&gt;"acoes")))*INDEX(Inputs!$K$5:$AJ$140,0,MATCH(AJ$2,Inputs!$K$4:$AJ$4,0)))+SUMPRODUCT((Inputs!$C$5:$C$140=$B45)*Inputs!$D$5:$D$140*(((Inputs!$G$5:$G$140="moeda")+(Inputs!$G$5:$G$140="acoes"))*Inputs!$B$1+((Inputs!$G$5:$G$140&lt;&gt;"moeda")*(Inputs!$G$5:$G$140&lt;&gt;"acoes")))*INDEX(Inputs!$K$5:$AJ$140,0,MATCH(AJ$2,Inputs!$K$4:$AJ$4,0)))+SUMPRODUCT((Inputs!$E$5:$E$140=$B45)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5" s="6" t="e">
        <f>IF(ISNA(MATCH(AK$2,Inputs!$K$4:$AJ$4,0)),NA(),IF(SUMPRODUCT((Inputs!$A$5:$A$140=$B45)*ISNUMBER(INDEX(Inputs!$K$5:$AJ$140,0,MATCH(AK$2,Inputs!$K$4:$AJ$4,0))))+SUMPRODUCT((Inputs!$C$5:$C$140=$B45)*ISNUMBER(INDEX(Inputs!$K$5:$AJ$140,0,MATCH(AK$2,Inputs!$K$4:$AJ$4,0))))+SUMPRODUCT((Inputs!$E$5:$E$140=$B45)*ISNUMBER(INDEX(Inputs!$K$5:$AJ$140,0,MATCH(AK$2,Inputs!$K$4:$AJ$4,0))))=0,NA(),SUMPRODUCT((Inputs!$A$5:$A$140=$B45)*Inputs!$B$5:$B$140*(((Inputs!$G$5:$G$140="moeda")+(Inputs!$G$5:$G$140="acoes"))*Inputs!$B$1+((Inputs!$G$5:$G$140&lt;&gt;"moeda")*(Inputs!$G$5:$G$140&lt;&gt;"acoes")))*INDEX(Inputs!$K$5:$AJ$140,0,MATCH(AK$2,Inputs!$K$4:$AJ$4,0)))+SUMPRODUCT((Inputs!$C$5:$C$140=$B45)*Inputs!$D$5:$D$140*(((Inputs!$G$5:$G$140="moeda")+(Inputs!$G$5:$G$140="acoes"))*Inputs!$B$1+((Inputs!$G$5:$G$140&lt;&gt;"moeda")*(Inputs!$G$5:$G$140&lt;&gt;"acoes")))*INDEX(Inputs!$K$5:$AJ$140,0,MATCH(AK$2,Inputs!$K$4:$AJ$4,0)))+SUMPRODUCT((Inputs!$E$5:$E$140=$B45)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5" s="3" t="e">
        <f>AK45</f>
        <v>#N/A</v>
      </c>
    </row>
    <row r="46">
      <c r="B46" s="46" t="n">
        <v>40</v>
      </c>
      <c r="C46" s="26" t="inlineStr">
        <is>
          <t>Other equity account</t>
        </is>
      </c>
      <c r="D46" s="6" t="e">
        <f>IF(ISNA(MATCH(D$2,Inputs!$K$4:$AJ$4,0)),NA(),IF(SUMPRODUCT((Inputs!$A$5:$A$140=$B46)*ISNUMBER(INDEX(Inputs!$K$5:$AJ$140,0,MATCH(D$2,Inputs!$K$4:$AJ$4,0))))+SUMPRODUCT((Inputs!$C$5:$C$140=$B46)*ISNUMBER(INDEX(Inputs!$K$5:$AJ$140,0,MATCH(D$2,Inputs!$K$4:$AJ$4,0))))+SUMPRODUCT((Inputs!$E$5:$E$140=$B46)*ISNUMBER(INDEX(Inputs!$K$5:$AJ$140,0,MATCH(D$2,Inputs!$K$4:$AJ$4,0))))=0,NA(),SUMPRODUCT((Inputs!$A$5:$A$140=$B46)*Inputs!$B$5:$B$140*(((Inputs!$G$5:$G$140="moeda")+(Inputs!$G$5:$G$140="acoes"))*Inputs!$B$1+((Inputs!$G$5:$G$140&lt;&gt;"moeda")*(Inputs!$G$5:$G$140&lt;&gt;"acoes")))*INDEX(Inputs!$K$5:$AJ$140,0,MATCH(D$2,Inputs!$K$4:$AJ$4,0)))+SUMPRODUCT((Inputs!$C$5:$C$140=$B46)*Inputs!$D$5:$D$140*(((Inputs!$G$5:$G$140="moeda")+(Inputs!$G$5:$G$140="acoes"))*Inputs!$B$1+((Inputs!$G$5:$G$140&lt;&gt;"moeda")*(Inputs!$G$5:$G$140&lt;&gt;"acoes")))*INDEX(Inputs!$K$5:$AJ$140,0,MATCH(D$2,Inputs!$K$4:$AJ$4,0)))+SUMPRODUCT((Inputs!$E$5:$E$140=$B46)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6" s="6" t="e">
        <f>IF(ISNA(MATCH(E$2,Inputs!$K$4:$AJ$4,0)),NA(),IF(SUMPRODUCT((Inputs!$A$5:$A$140=$B46)*ISNUMBER(INDEX(Inputs!$K$5:$AJ$140,0,MATCH(E$2,Inputs!$K$4:$AJ$4,0))))+SUMPRODUCT((Inputs!$C$5:$C$140=$B46)*ISNUMBER(INDEX(Inputs!$K$5:$AJ$140,0,MATCH(E$2,Inputs!$K$4:$AJ$4,0))))+SUMPRODUCT((Inputs!$E$5:$E$140=$B46)*ISNUMBER(INDEX(Inputs!$K$5:$AJ$140,0,MATCH(E$2,Inputs!$K$4:$AJ$4,0))))=0,NA(),SUMPRODUCT((Inputs!$A$5:$A$140=$B46)*Inputs!$B$5:$B$140*(((Inputs!$G$5:$G$140="moeda")+(Inputs!$G$5:$G$140="acoes"))*Inputs!$B$1+((Inputs!$G$5:$G$140&lt;&gt;"moeda")*(Inputs!$G$5:$G$140&lt;&gt;"acoes")))*INDEX(Inputs!$K$5:$AJ$140,0,MATCH(E$2,Inputs!$K$4:$AJ$4,0)))+SUMPRODUCT((Inputs!$C$5:$C$140=$B46)*Inputs!$D$5:$D$140*(((Inputs!$G$5:$G$140="moeda")+(Inputs!$G$5:$G$140="acoes"))*Inputs!$B$1+((Inputs!$G$5:$G$140&lt;&gt;"moeda")*(Inputs!$G$5:$G$140&lt;&gt;"acoes")))*INDEX(Inputs!$K$5:$AJ$140,0,MATCH(E$2,Inputs!$K$4:$AJ$4,0)))+SUMPRODUCT((Inputs!$E$5:$E$140=$B46)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6" s="6" t="e">
        <f>IF(ISNA(MATCH(F$2,Inputs!$K$4:$AJ$4,0)),NA(),IF(SUMPRODUCT((Inputs!$A$5:$A$140=$B46)*ISNUMBER(INDEX(Inputs!$K$5:$AJ$140,0,MATCH(F$2,Inputs!$K$4:$AJ$4,0))))+SUMPRODUCT((Inputs!$C$5:$C$140=$B46)*ISNUMBER(INDEX(Inputs!$K$5:$AJ$140,0,MATCH(F$2,Inputs!$K$4:$AJ$4,0))))+SUMPRODUCT((Inputs!$E$5:$E$140=$B46)*ISNUMBER(INDEX(Inputs!$K$5:$AJ$140,0,MATCH(F$2,Inputs!$K$4:$AJ$4,0))))=0,NA(),SUMPRODUCT((Inputs!$A$5:$A$140=$B46)*Inputs!$B$5:$B$140*(((Inputs!$G$5:$G$140="moeda")+(Inputs!$G$5:$G$140="acoes"))*Inputs!$B$1+((Inputs!$G$5:$G$140&lt;&gt;"moeda")*(Inputs!$G$5:$G$140&lt;&gt;"acoes")))*INDEX(Inputs!$K$5:$AJ$140,0,MATCH(F$2,Inputs!$K$4:$AJ$4,0)))+SUMPRODUCT((Inputs!$C$5:$C$140=$B46)*Inputs!$D$5:$D$140*(((Inputs!$G$5:$G$140="moeda")+(Inputs!$G$5:$G$140="acoes"))*Inputs!$B$1+((Inputs!$G$5:$G$140&lt;&gt;"moeda")*(Inputs!$G$5:$G$140&lt;&gt;"acoes")))*INDEX(Inputs!$K$5:$AJ$140,0,MATCH(F$2,Inputs!$K$4:$AJ$4,0)))+SUMPRODUCT((Inputs!$E$5:$E$140=$B46)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6" s="6" t="e">
        <f>IF(ISNA(MATCH(G$2,Inputs!$K$4:$AJ$4,0)),NA(),IF(SUMPRODUCT((Inputs!$A$5:$A$140=$B46)*ISNUMBER(INDEX(Inputs!$K$5:$AJ$140,0,MATCH(G$2,Inputs!$K$4:$AJ$4,0))))+SUMPRODUCT((Inputs!$C$5:$C$140=$B46)*ISNUMBER(INDEX(Inputs!$K$5:$AJ$140,0,MATCH(G$2,Inputs!$K$4:$AJ$4,0))))+SUMPRODUCT((Inputs!$E$5:$E$140=$B46)*ISNUMBER(INDEX(Inputs!$K$5:$AJ$140,0,MATCH(G$2,Inputs!$K$4:$AJ$4,0))))=0,NA(),SUMPRODUCT((Inputs!$A$5:$A$140=$B46)*Inputs!$B$5:$B$140*(((Inputs!$G$5:$G$140="moeda")+(Inputs!$G$5:$G$140="acoes"))*Inputs!$B$1+((Inputs!$G$5:$G$140&lt;&gt;"moeda")*(Inputs!$G$5:$G$140&lt;&gt;"acoes")))*INDEX(Inputs!$K$5:$AJ$140,0,MATCH(G$2,Inputs!$K$4:$AJ$4,0)))+SUMPRODUCT((Inputs!$C$5:$C$140=$B46)*Inputs!$D$5:$D$140*(((Inputs!$G$5:$G$140="moeda")+(Inputs!$G$5:$G$140="acoes"))*Inputs!$B$1+((Inputs!$G$5:$G$140&lt;&gt;"moeda")*(Inputs!$G$5:$G$140&lt;&gt;"acoes")))*INDEX(Inputs!$K$5:$AJ$140,0,MATCH(G$2,Inputs!$K$4:$AJ$4,0)))+SUMPRODUCT((Inputs!$E$5:$E$140=$B46)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6" s="3" t="e">
        <f>G46</f>
        <v>#N/A</v>
      </c>
      <c r="I46" s="6" t="e">
        <f>IF(ISNA(MATCH(I$2,Inputs!$K$4:$AJ$4,0)),NA(),IF(SUMPRODUCT((Inputs!$A$5:$A$140=$B46)*ISNUMBER(INDEX(Inputs!$K$5:$AJ$140,0,MATCH(I$2,Inputs!$K$4:$AJ$4,0))))+SUMPRODUCT((Inputs!$C$5:$C$140=$B46)*ISNUMBER(INDEX(Inputs!$K$5:$AJ$140,0,MATCH(I$2,Inputs!$K$4:$AJ$4,0))))+SUMPRODUCT((Inputs!$E$5:$E$140=$B46)*ISNUMBER(INDEX(Inputs!$K$5:$AJ$140,0,MATCH(I$2,Inputs!$K$4:$AJ$4,0))))=0,NA(),SUMPRODUCT((Inputs!$A$5:$A$140=$B46)*Inputs!$B$5:$B$140*(((Inputs!$G$5:$G$140="moeda")+(Inputs!$G$5:$G$140="acoes"))*Inputs!$B$1+((Inputs!$G$5:$G$140&lt;&gt;"moeda")*(Inputs!$G$5:$G$140&lt;&gt;"acoes")))*INDEX(Inputs!$K$5:$AJ$140,0,MATCH(I$2,Inputs!$K$4:$AJ$4,0)))+SUMPRODUCT((Inputs!$C$5:$C$140=$B46)*Inputs!$D$5:$D$140*(((Inputs!$G$5:$G$140="moeda")+(Inputs!$G$5:$G$140="acoes"))*Inputs!$B$1+((Inputs!$G$5:$G$140&lt;&gt;"moeda")*(Inputs!$G$5:$G$140&lt;&gt;"acoes")))*INDEX(Inputs!$K$5:$AJ$140,0,MATCH(I$2,Inputs!$K$4:$AJ$4,0)))+SUMPRODUCT((Inputs!$E$5:$E$140=$B46)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6" s="6" t="e">
        <f>IF(ISNA(MATCH(J$2,Inputs!$K$4:$AJ$4,0)),NA(),IF(SUMPRODUCT((Inputs!$A$5:$A$140=$B46)*ISNUMBER(INDEX(Inputs!$K$5:$AJ$140,0,MATCH(J$2,Inputs!$K$4:$AJ$4,0))))+SUMPRODUCT((Inputs!$C$5:$C$140=$B46)*ISNUMBER(INDEX(Inputs!$K$5:$AJ$140,0,MATCH(J$2,Inputs!$K$4:$AJ$4,0))))+SUMPRODUCT((Inputs!$E$5:$E$140=$B46)*ISNUMBER(INDEX(Inputs!$K$5:$AJ$140,0,MATCH(J$2,Inputs!$K$4:$AJ$4,0))))=0,NA(),SUMPRODUCT((Inputs!$A$5:$A$140=$B46)*Inputs!$B$5:$B$140*(((Inputs!$G$5:$G$140="moeda")+(Inputs!$G$5:$G$140="acoes"))*Inputs!$B$1+((Inputs!$G$5:$G$140&lt;&gt;"moeda")*(Inputs!$G$5:$G$140&lt;&gt;"acoes")))*INDEX(Inputs!$K$5:$AJ$140,0,MATCH(J$2,Inputs!$K$4:$AJ$4,0)))+SUMPRODUCT((Inputs!$C$5:$C$140=$B46)*Inputs!$D$5:$D$140*(((Inputs!$G$5:$G$140="moeda")+(Inputs!$G$5:$G$140="acoes"))*Inputs!$B$1+((Inputs!$G$5:$G$140&lt;&gt;"moeda")*(Inputs!$G$5:$G$140&lt;&gt;"acoes")))*INDEX(Inputs!$K$5:$AJ$140,0,MATCH(J$2,Inputs!$K$4:$AJ$4,0)))+SUMPRODUCT((Inputs!$E$5:$E$140=$B46)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6" s="6" t="e">
        <f>IF(ISNA(MATCH(K$2,Inputs!$K$4:$AJ$4,0)),NA(),IF(SUMPRODUCT((Inputs!$A$5:$A$140=$B46)*ISNUMBER(INDEX(Inputs!$K$5:$AJ$140,0,MATCH(K$2,Inputs!$K$4:$AJ$4,0))))+SUMPRODUCT((Inputs!$C$5:$C$140=$B46)*ISNUMBER(INDEX(Inputs!$K$5:$AJ$140,0,MATCH(K$2,Inputs!$K$4:$AJ$4,0))))+SUMPRODUCT((Inputs!$E$5:$E$140=$B46)*ISNUMBER(INDEX(Inputs!$K$5:$AJ$140,0,MATCH(K$2,Inputs!$K$4:$AJ$4,0))))=0,NA(),SUMPRODUCT((Inputs!$A$5:$A$140=$B46)*Inputs!$B$5:$B$140*(((Inputs!$G$5:$G$140="moeda")+(Inputs!$G$5:$G$140="acoes"))*Inputs!$B$1+((Inputs!$G$5:$G$140&lt;&gt;"moeda")*(Inputs!$G$5:$G$140&lt;&gt;"acoes")))*INDEX(Inputs!$K$5:$AJ$140,0,MATCH(K$2,Inputs!$K$4:$AJ$4,0)))+SUMPRODUCT((Inputs!$C$5:$C$140=$B46)*Inputs!$D$5:$D$140*(((Inputs!$G$5:$G$140="moeda")+(Inputs!$G$5:$G$140="acoes"))*Inputs!$B$1+((Inputs!$G$5:$G$140&lt;&gt;"moeda")*(Inputs!$G$5:$G$140&lt;&gt;"acoes")))*INDEX(Inputs!$K$5:$AJ$140,0,MATCH(K$2,Inputs!$K$4:$AJ$4,0)))+SUMPRODUCT((Inputs!$E$5:$E$140=$B46)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6" s="6" t="e">
        <f>IF(ISNA(MATCH(L$2,Inputs!$K$4:$AJ$4,0)),NA(),IF(SUMPRODUCT((Inputs!$A$5:$A$140=$B46)*ISNUMBER(INDEX(Inputs!$K$5:$AJ$140,0,MATCH(L$2,Inputs!$K$4:$AJ$4,0))))+SUMPRODUCT((Inputs!$C$5:$C$140=$B46)*ISNUMBER(INDEX(Inputs!$K$5:$AJ$140,0,MATCH(L$2,Inputs!$K$4:$AJ$4,0))))+SUMPRODUCT((Inputs!$E$5:$E$140=$B46)*ISNUMBER(INDEX(Inputs!$K$5:$AJ$140,0,MATCH(L$2,Inputs!$K$4:$AJ$4,0))))=0,NA(),SUMPRODUCT((Inputs!$A$5:$A$140=$B46)*Inputs!$B$5:$B$140*(((Inputs!$G$5:$G$140="moeda")+(Inputs!$G$5:$G$140="acoes"))*Inputs!$B$1+((Inputs!$G$5:$G$140&lt;&gt;"moeda")*(Inputs!$G$5:$G$140&lt;&gt;"acoes")))*INDEX(Inputs!$K$5:$AJ$140,0,MATCH(L$2,Inputs!$K$4:$AJ$4,0)))+SUMPRODUCT((Inputs!$C$5:$C$140=$B46)*Inputs!$D$5:$D$140*(((Inputs!$G$5:$G$140="moeda")+(Inputs!$G$5:$G$140="acoes"))*Inputs!$B$1+((Inputs!$G$5:$G$140&lt;&gt;"moeda")*(Inputs!$G$5:$G$140&lt;&gt;"acoes")))*INDEX(Inputs!$K$5:$AJ$140,0,MATCH(L$2,Inputs!$K$4:$AJ$4,0)))+SUMPRODUCT((Inputs!$E$5:$E$140=$B46)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6" s="3" t="e">
        <f>L46</f>
        <v>#N/A</v>
      </c>
      <c r="N46" s="6" t="e">
        <f>IF(ISNA(MATCH(N$2,Inputs!$K$4:$AJ$4,0)),NA(),IF(SUMPRODUCT((Inputs!$A$5:$A$140=$B46)*ISNUMBER(INDEX(Inputs!$K$5:$AJ$140,0,MATCH(N$2,Inputs!$K$4:$AJ$4,0))))+SUMPRODUCT((Inputs!$C$5:$C$140=$B46)*ISNUMBER(INDEX(Inputs!$K$5:$AJ$140,0,MATCH(N$2,Inputs!$K$4:$AJ$4,0))))+SUMPRODUCT((Inputs!$E$5:$E$140=$B46)*ISNUMBER(INDEX(Inputs!$K$5:$AJ$140,0,MATCH(N$2,Inputs!$K$4:$AJ$4,0))))=0,NA(),SUMPRODUCT((Inputs!$A$5:$A$140=$B46)*Inputs!$B$5:$B$140*(((Inputs!$G$5:$G$140="moeda")+(Inputs!$G$5:$G$140="acoes"))*Inputs!$B$1+((Inputs!$G$5:$G$140&lt;&gt;"moeda")*(Inputs!$G$5:$G$140&lt;&gt;"acoes")))*INDEX(Inputs!$K$5:$AJ$140,0,MATCH(N$2,Inputs!$K$4:$AJ$4,0)))+SUMPRODUCT((Inputs!$C$5:$C$140=$B46)*Inputs!$D$5:$D$140*(((Inputs!$G$5:$G$140="moeda")+(Inputs!$G$5:$G$140="acoes"))*Inputs!$B$1+((Inputs!$G$5:$G$140&lt;&gt;"moeda")*(Inputs!$G$5:$G$140&lt;&gt;"acoes")))*INDEX(Inputs!$K$5:$AJ$140,0,MATCH(N$2,Inputs!$K$4:$AJ$4,0)))+SUMPRODUCT((Inputs!$E$5:$E$140=$B46)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6" s="6" t="e">
        <f>IF(ISNA(MATCH(O$2,Inputs!$K$4:$AJ$4,0)),NA(),IF(SUMPRODUCT((Inputs!$A$5:$A$140=$B46)*ISNUMBER(INDEX(Inputs!$K$5:$AJ$140,0,MATCH(O$2,Inputs!$K$4:$AJ$4,0))))+SUMPRODUCT((Inputs!$C$5:$C$140=$B46)*ISNUMBER(INDEX(Inputs!$K$5:$AJ$140,0,MATCH(O$2,Inputs!$K$4:$AJ$4,0))))+SUMPRODUCT((Inputs!$E$5:$E$140=$B46)*ISNUMBER(INDEX(Inputs!$K$5:$AJ$140,0,MATCH(O$2,Inputs!$K$4:$AJ$4,0))))=0,NA(),SUMPRODUCT((Inputs!$A$5:$A$140=$B46)*Inputs!$B$5:$B$140*(((Inputs!$G$5:$G$140="moeda")+(Inputs!$G$5:$G$140="acoes"))*Inputs!$B$1+((Inputs!$G$5:$G$140&lt;&gt;"moeda")*(Inputs!$G$5:$G$140&lt;&gt;"acoes")))*INDEX(Inputs!$K$5:$AJ$140,0,MATCH(O$2,Inputs!$K$4:$AJ$4,0)))+SUMPRODUCT((Inputs!$C$5:$C$140=$B46)*Inputs!$D$5:$D$140*(((Inputs!$G$5:$G$140="moeda")+(Inputs!$G$5:$G$140="acoes"))*Inputs!$B$1+((Inputs!$G$5:$G$140&lt;&gt;"moeda")*(Inputs!$G$5:$G$140&lt;&gt;"acoes")))*INDEX(Inputs!$K$5:$AJ$140,0,MATCH(O$2,Inputs!$K$4:$AJ$4,0)))+SUMPRODUCT((Inputs!$E$5:$E$140=$B46)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6" s="6" t="e">
        <f>IF(ISNA(MATCH(P$2,Inputs!$K$4:$AJ$4,0)),NA(),IF(SUMPRODUCT((Inputs!$A$5:$A$140=$B46)*ISNUMBER(INDEX(Inputs!$K$5:$AJ$140,0,MATCH(P$2,Inputs!$K$4:$AJ$4,0))))+SUMPRODUCT((Inputs!$C$5:$C$140=$B46)*ISNUMBER(INDEX(Inputs!$K$5:$AJ$140,0,MATCH(P$2,Inputs!$K$4:$AJ$4,0))))+SUMPRODUCT((Inputs!$E$5:$E$140=$B46)*ISNUMBER(INDEX(Inputs!$K$5:$AJ$140,0,MATCH(P$2,Inputs!$K$4:$AJ$4,0))))=0,NA(),SUMPRODUCT((Inputs!$A$5:$A$140=$B46)*Inputs!$B$5:$B$140*(((Inputs!$G$5:$G$140="moeda")+(Inputs!$G$5:$G$140="acoes"))*Inputs!$B$1+((Inputs!$G$5:$G$140&lt;&gt;"moeda")*(Inputs!$G$5:$G$140&lt;&gt;"acoes")))*INDEX(Inputs!$K$5:$AJ$140,0,MATCH(P$2,Inputs!$K$4:$AJ$4,0)))+SUMPRODUCT((Inputs!$C$5:$C$140=$B46)*Inputs!$D$5:$D$140*(((Inputs!$G$5:$G$140="moeda")+(Inputs!$G$5:$G$140="acoes"))*Inputs!$B$1+((Inputs!$G$5:$G$140&lt;&gt;"moeda")*(Inputs!$G$5:$G$140&lt;&gt;"acoes")))*INDEX(Inputs!$K$5:$AJ$140,0,MATCH(P$2,Inputs!$K$4:$AJ$4,0)))+SUMPRODUCT((Inputs!$E$5:$E$140=$B46)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6" s="6" t="e">
        <f>IF(ISNA(MATCH(Q$2,Inputs!$K$4:$AJ$4,0)),NA(),IF(SUMPRODUCT((Inputs!$A$5:$A$140=$B46)*ISNUMBER(INDEX(Inputs!$K$5:$AJ$140,0,MATCH(Q$2,Inputs!$K$4:$AJ$4,0))))+SUMPRODUCT((Inputs!$C$5:$C$140=$B46)*ISNUMBER(INDEX(Inputs!$K$5:$AJ$140,0,MATCH(Q$2,Inputs!$K$4:$AJ$4,0))))+SUMPRODUCT((Inputs!$E$5:$E$140=$B46)*ISNUMBER(INDEX(Inputs!$K$5:$AJ$140,0,MATCH(Q$2,Inputs!$K$4:$AJ$4,0))))=0,NA(),SUMPRODUCT((Inputs!$A$5:$A$140=$B46)*Inputs!$B$5:$B$140*(((Inputs!$G$5:$G$140="moeda")+(Inputs!$G$5:$G$140="acoes"))*Inputs!$B$1+((Inputs!$G$5:$G$140&lt;&gt;"moeda")*(Inputs!$G$5:$G$140&lt;&gt;"acoes")))*INDEX(Inputs!$K$5:$AJ$140,0,MATCH(Q$2,Inputs!$K$4:$AJ$4,0)))+SUMPRODUCT((Inputs!$C$5:$C$140=$B46)*Inputs!$D$5:$D$140*(((Inputs!$G$5:$G$140="moeda")+(Inputs!$G$5:$G$140="acoes"))*Inputs!$B$1+((Inputs!$G$5:$G$140&lt;&gt;"moeda")*(Inputs!$G$5:$G$140&lt;&gt;"acoes")))*INDEX(Inputs!$K$5:$AJ$140,0,MATCH(Q$2,Inputs!$K$4:$AJ$4,0)))+SUMPRODUCT((Inputs!$E$5:$E$140=$B46)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6" s="3" t="e">
        <f>Q46</f>
        <v>#N/A</v>
      </c>
      <c r="S46" s="6" t="e">
        <f>IF(ISNA(MATCH(S$2,Inputs!$K$4:$AJ$4,0)),NA(),IF(SUMPRODUCT((Inputs!$A$5:$A$140=$B46)*ISNUMBER(INDEX(Inputs!$K$5:$AJ$140,0,MATCH(S$2,Inputs!$K$4:$AJ$4,0))))+SUMPRODUCT((Inputs!$C$5:$C$140=$B46)*ISNUMBER(INDEX(Inputs!$K$5:$AJ$140,0,MATCH(S$2,Inputs!$K$4:$AJ$4,0))))+SUMPRODUCT((Inputs!$E$5:$E$140=$B46)*ISNUMBER(INDEX(Inputs!$K$5:$AJ$140,0,MATCH(S$2,Inputs!$K$4:$AJ$4,0))))=0,NA(),SUMPRODUCT((Inputs!$A$5:$A$140=$B46)*Inputs!$B$5:$B$140*(((Inputs!$G$5:$G$140="moeda")+(Inputs!$G$5:$G$140="acoes"))*Inputs!$B$1+((Inputs!$G$5:$G$140&lt;&gt;"moeda")*(Inputs!$G$5:$G$140&lt;&gt;"acoes")))*INDEX(Inputs!$K$5:$AJ$140,0,MATCH(S$2,Inputs!$K$4:$AJ$4,0)))+SUMPRODUCT((Inputs!$C$5:$C$140=$B46)*Inputs!$D$5:$D$140*(((Inputs!$G$5:$G$140="moeda")+(Inputs!$G$5:$G$140="acoes"))*Inputs!$B$1+((Inputs!$G$5:$G$140&lt;&gt;"moeda")*(Inputs!$G$5:$G$140&lt;&gt;"acoes")))*INDEX(Inputs!$K$5:$AJ$140,0,MATCH(S$2,Inputs!$K$4:$AJ$4,0)))+SUMPRODUCT((Inputs!$E$5:$E$140=$B46)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6" s="6" t="e">
        <f>IF(ISNA(MATCH(T$2,Inputs!$K$4:$AJ$4,0)),NA(),IF(SUMPRODUCT((Inputs!$A$5:$A$140=$B46)*ISNUMBER(INDEX(Inputs!$K$5:$AJ$140,0,MATCH(T$2,Inputs!$K$4:$AJ$4,0))))+SUMPRODUCT((Inputs!$C$5:$C$140=$B46)*ISNUMBER(INDEX(Inputs!$K$5:$AJ$140,0,MATCH(T$2,Inputs!$K$4:$AJ$4,0))))+SUMPRODUCT((Inputs!$E$5:$E$140=$B46)*ISNUMBER(INDEX(Inputs!$K$5:$AJ$140,0,MATCH(T$2,Inputs!$K$4:$AJ$4,0))))=0,NA(),SUMPRODUCT((Inputs!$A$5:$A$140=$B46)*Inputs!$B$5:$B$140*(((Inputs!$G$5:$G$140="moeda")+(Inputs!$G$5:$G$140="acoes"))*Inputs!$B$1+((Inputs!$G$5:$G$140&lt;&gt;"moeda")*(Inputs!$G$5:$G$140&lt;&gt;"acoes")))*INDEX(Inputs!$K$5:$AJ$140,0,MATCH(T$2,Inputs!$K$4:$AJ$4,0)))+SUMPRODUCT((Inputs!$C$5:$C$140=$B46)*Inputs!$D$5:$D$140*(((Inputs!$G$5:$G$140="moeda")+(Inputs!$G$5:$G$140="acoes"))*Inputs!$B$1+((Inputs!$G$5:$G$140&lt;&gt;"moeda")*(Inputs!$G$5:$G$140&lt;&gt;"acoes")))*INDEX(Inputs!$K$5:$AJ$140,0,MATCH(T$2,Inputs!$K$4:$AJ$4,0)))+SUMPRODUCT((Inputs!$E$5:$E$140=$B46)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6" s="6" t="e">
        <f>IF(ISNA(MATCH(U$2,Inputs!$K$4:$AJ$4,0)),NA(),IF(SUMPRODUCT((Inputs!$A$5:$A$140=$B46)*ISNUMBER(INDEX(Inputs!$K$5:$AJ$140,0,MATCH(U$2,Inputs!$K$4:$AJ$4,0))))+SUMPRODUCT((Inputs!$C$5:$C$140=$B46)*ISNUMBER(INDEX(Inputs!$K$5:$AJ$140,0,MATCH(U$2,Inputs!$K$4:$AJ$4,0))))+SUMPRODUCT((Inputs!$E$5:$E$140=$B46)*ISNUMBER(INDEX(Inputs!$K$5:$AJ$140,0,MATCH(U$2,Inputs!$K$4:$AJ$4,0))))=0,NA(),SUMPRODUCT((Inputs!$A$5:$A$140=$B46)*Inputs!$B$5:$B$140*(((Inputs!$G$5:$G$140="moeda")+(Inputs!$G$5:$G$140="acoes"))*Inputs!$B$1+((Inputs!$G$5:$G$140&lt;&gt;"moeda")*(Inputs!$G$5:$G$140&lt;&gt;"acoes")))*INDEX(Inputs!$K$5:$AJ$140,0,MATCH(U$2,Inputs!$K$4:$AJ$4,0)))+SUMPRODUCT((Inputs!$C$5:$C$140=$B46)*Inputs!$D$5:$D$140*(((Inputs!$G$5:$G$140="moeda")+(Inputs!$G$5:$G$140="acoes"))*Inputs!$B$1+((Inputs!$G$5:$G$140&lt;&gt;"moeda")*(Inputs!$G$5:$G$140&lt;&gt;"acoes")))*INDEX(Inputs!$K$5:$AJ$140,0,MATCH(U$2,Inputs!$K$4:$AJ$4,0)))+SUMPRODUCT((Inputs!$E$5:$E$140=$B46)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6" s="6" t="e">
        <f>IF(ISNA(MATCH(V$2,Inputs!$K$4:$AJ$4,0)),NA(),IF(SUMPRODUCT((Inputs!$A$5:$A$140=$B46)*ISNUMBER(INDEX(Inputs!$K$5:$AJ$140,0,MATCH(V$2,Inputs!$K$4:$AJ$4,0))))+SUMPRODUCT((Inputs!$C$5:$C$140=$B46)*ISNUMBER(INDEX(Inputs!$K$5:$AJ$140,0,MATCH(V$2,Inputs!$K$4:$AJ$4,0))))+SUMPRODUCT((Inputs!$E$5:$E$140=$B46)*ISNUMBER(INDEX(Inputs!$K$5:$AJ$140,0,MATCH(V$2,Inputs!$K$4:$AJ$4,0))))=0,NA(),SUMPRODUCT((Inputs!$A$5:$A$140=$B46)*Inputs!$B$5:$B$140*(((Inputs!$G$5:$G$140="moeda")+(Inputs!$G$5:$G$140="acoes"))*Inputs!$B$1+((Inputs!$G$5:$G$140&lt;&gt;"moeda")*(Inputs!$G$5:$G$140&lt;&gt;"acoes")))*INDEX(Inputs!$K$5:$AJ$140,0,MATCH(V$2,Inputs!$K$4:$AJ$4,0)))+SUMPRODUCT((Inputs!$C$5:$C$140=$B46)*Inputs!$D$5:$D$140*(((Inputs!$G$5:$G$140="moeda")+(Inputs!$G$5:$G$140="acoes"))*Inputs!$B$1+((Inputs!$G$5:$G$140&lt;&gt;"moeda")*(Inputs!$G$5:$G$140&lt;&gt;"acoes")))*INDEX(Inputs!$K$5:$AJ$140,0,MATCH(V$2,Inputs!$K$4:$AJ$4,0)))+SUMPRODUCT((Inputs!$E$5:$E$140=$B46)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6" s="3" t="e">
        <f>V46</f>
        <v>#N/A</v>
      </c>
      <c r="X46" s="6" t="e">
        <f>IF(ISNA(MATCH(X$2,Inputs!$K$4:$AJ$4,0)),NA(),IF(SUMPRODUCT((Inputs!$A$5:$A$140=$B46)*ISNUMBER(INDEX(Inputs!$K$5:$AJ$140,0,MATCH(X$2,Inputs!$K$4:$AJ$4,0))))+SUMPRODUCT((Inputs!$C$5:$C$140=$B46)*ISNUMBER(INDEX(Inputs!$K$5:$AJ$140,0,MATCH(X$2,Inputs!$K$4:$AJ$4,0))))+SUMPRODUCT((Inputs!$E$5:$E$140=$B46)*ISNUMBER(INDEX(Inputs!$K$5:$AJ$140,0,MATCH(X$2,Inputs!$K$4:$AJ$4,0))))=0,NA(),SUMPRODUCT((Inputs!$A$5:$A$140=$B46)*Inputs!$B$5:$B$140*(((Inputs!$G$5:$G$140="moeda")+(Inputs!$G$5:$G$140="acoes"))*Inputs!$B$1+((Inputs!$G$5:$G$140&lt;&gt;"moeda")*(Inputs!$G$5:$G$140&lt;&gt;"acoes")))*INDEX(Inputs!$K$5:$AJ$140,0,MATCH(X$2,Inputs!$K$4:$AJ$4,0)))+SUMPRODUCT((Inputs!$C$5:$C$140=$B46)*Inputs!$D$5:$D$140*(((Inputs!$G$5:$G$140="moeda")+(Inputs!$G$5:$G$140="acoes"))*Inputs!$B$1+((Inputs!$G$5:$G$140&lt;&gt;"moeda")*(Inputs!$G$5:$G$140&lt;&gt;"acoes")))*INDEX(Inputs!$K$5:$AJ$140,0,MATCH(X$2,Inputs!$K$4:$AJ$4,0)))+SUMPRODUCT((Inputs!$E$5:$E$140=$B46)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6" s="6" t="e">
        <f>IF(ISNA(MATCH(Y$2,Inputs!$K$4:$AJ$4,0)),NA(),IF(SUMPRODUCT((Inputs!$A$5:$A$140=$B46)*ISNUMBER(INDEX(Inputs!$K$5:$AJ$140,0,MATCH(Y$2,Inputs!$K$4:$AJ$4,0))))+SUMPRODUCT((Inputs!$C$5:$C$140=$B46)*ISNUMBER(INDEX(Inputs!$K$5:$AJ$140,0,MATCH(Y$2,Inputs!$K$4:$AJ$4,0))))+SUMPRODUCT((Inputs!$E$5:$E$140=$B46)*ISNUMBER(INDEX(Inputs!$K$5:$AJ$140,0,MATCH(Y$2,Inputs!$K$4:$AJ$4,0))))=0,NA(),SUMPRODUCT((Inputs!$A$5:$A$140=$B46)*Inputs!$B$5:$B$140*(((Inputs!$G$5:$G$140="moeda")+(Inputs!$G$5:$G$140="acoes"))*Inputs!$B$1+((Inputs!$G$5:$G$140&lt;&gt;"moeda")*(Inputs!$G$5:$G$140&lt;&gt;"acoes")))*INDEX(Inputs!$K$5:$AJ$140,0,MATCH(Y$2,Inputs!$K$4:$AJ$4,0)))+SUMPRODUCT((Inputs!$C$5:$C$140=$B46)*Inputs!$D$5:$D$140*(((Inputs!$G$5:$G$140="moeda")+(Inputs!$G$5:$G$140="acoes"))*Inputs!$B$1+((Inputs!$G$5:$G$140&lt;&gt;"moeda")*(Inputs!$G$5:$G$140&lt;&gt;"acoes")))*INDEX(Inputs!$K$5:$AJ$140,0,MATCH(Y$2,Inputs!$K$4:$AJ$4,0)))+SUMPRODUCT((Inputs!$E$5:$E$140=$B46)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6" s="6" t="e">
        <f>IF(ISNA(MATCH(Z$2,Inputs!$K$4:$AJ$4,0)),NA(),IF(SUMPRODUCT((Inputs!$A$5:$A$140=$B46)*ISNUMBER(INDEX(Inputs!$K$5:$AJ$140,0,MATCH(Z$2,Inputs!$K$4:$AJ$4,0))))+SUMPRODUCT((Inputs!$C$5:$C$140=$B46)*ISNUMBER(INDEX(Inputs!$K$5:$AJ$140,0,MATCH(Z$2,Inputs!$K$4:$AJ$4,0))))+SUMPRODUCT((Inputs!$E$5:$E$140=$B46)*ISNUMBER(INDEX(Inputs!$K$5:$AJ$140,0,MATCH(Z$2,Inputs!$K$4:$AJ$4,0))))=0,NA(),SUMPRODUCT((Inputs!$A$5:$A$140=$B46)*Inputs!$B$5:$B$140*(((Inputs!$G$5:$G$140="moeda")+(Inputs!$G$5:$G$140="acoes"))*Inputs!$B$1+((Inputs!$G$5:$G$140&lt;&gt;"moeda")*(Inputs!$G$5:$G$140&lt;&gt;"acoes")))*INDEX(Inputs!$K$5:$AJ$140,0,MATCH(Z$2,Inputs!$K$4:$AJ$4,0)))+SUMPRODUCT((Inputs!$C$5:$C$140=$B46)*Inputs!$D$5:$D$140*(((Inputs!$G$5:$G$140="moeda")+(Inputs!$G$5:$G$140="acoes"))*Inputs!$B$1+((Inputs!$G$5:$G$140&lt;&gt;"moeda")*(Inputs!$G$5:$G$140&lt;&gt;"acoes")))*INDEX(Inputs!$K$5:$AJ$140,0,MATCH(Z$2,Inputs!$K$4:$AJ$4,0)))+SUMPRODUCT((Inputs!$E$5:$E$140=$B46)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6" s="6" t="e">
        <f>IF(ISNA(MATCH(AA$2,Inputs!$K$4:$AJ$4,0)),NA(),IF(SUMPRODUCT((Inputs!$A$5:$A$140=$B46)*ISNUMBER(INDEX(Inputs!$K$5:$AJ$140,0,MATCH(AA$2,Inputs!$K$4:$AJ$4,0))))+SUMPRODUCT((Inputs!$C$5:$C$140=$B46)*ISNUMBER(INDEX(Inputs!$K$5:$AJ$140,0,MATCH(AA$2,Inputs!$K$4:$AJ$4,0))))+SUMPRODUCT((Inputs!$E$5:$E$140=$B46)*ISNUMBER(INDEX(Inputs!$K$5:$AJ$140,0,MATCH(AA$2,Inputs!$K$4:$AJ$4,0))))=0,NA(),SUMPRODUCT((Inputs!$A$5:$A$140=$B46)*Inputs!$B$5:$B$140*(((Inputs!$G$5:$G$140="moeda")+(Inputs!$G$5:$G$140="acoes"))*Inputs!$B$1+((Inputs!$G$5:$G$140&lt;&gt;"moeda")*(Inputs!$G$5:$G$140&lt;&gt;"acoes")))*INDEX(Inputs!$K$5:$AJ$140,0,MATCH(AA$2,Inputs!$K$4:$AJ$4,0)))+SUMPRODUCT((Inputs!$C$5:$C$140=$B46)*Inputs!$D$5:$D$140*(((Inputs!$G$5:$G$140="moeda")+(Inputs!$G$5:$G$140="acoes"))*Inputs!$B$1+((Inputs!$G$5:$G$140&lt;&gt;"moeda")*(Inputs!$G$5:$G$140&lt;&gt;"acoes")))*INDEX(Inputs!$K$5:$AJ$140,0,MATCH(AA$2,Inputs!$K$4:$AJ$4,0)))+SUMPRODUCT((Inputs!$E$5:$E$140=$B46)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6" s="3" t="e">
        <f>AA46</f>
        <v>#N/A</v>
      </c>
      <c r="AC46" s="6" t="e">
        <f>IF(ISNA(MATCH(AC$2,Inputs!$K$4:$AJ$4,0)),NA(),IF(SUMPRODUCT((Inputs!$A$5:$A$140=$B46)*ISNUMBER(INDEX(Inputs!$K$5:$AJ$140,0,MATCH(AC$2,Inputs!$K$4:$AJ$4,0))))+SUMPRODUCT((Inputs!$C$5:$C$140=$B46)*ISNUMBER(INDEX(Inputs!$K$5:$AJ$140,0,MATCH(AC$2,Inputs!$K$4:$AJ$4,0))))+SUMPRODUCT((Inputs!$E$5:$E$140=$B46)*ISNUMBER(INDEX(Inputs!$K$5:$AJ$140,0,MATCH(AC$2,Inputs!$K$4:$AJ$4,0))))=0,NA(),SUMPRODUCT((Inputs!$A$5:$A$140=$B46)*Inputs!$B$5:$B$140*(((Inputs!$G$5:$G$140="moeda")+(Inputs!$G$5:$G$140="acoes"))*Inputs!$B$1+((Inputs!$G$5:$G$140&lt;&gt;"moeda")*(Inputs!$G$5:$G$140&lt;&gt;"acoes")))*INDEX(Inputs!$K$5:$AJ$140,0,MATCH(AC$2,Inputs!$K$4:$AJ$4,0)))+SUMPRODUCT((Inputs!$C$5:$C$140=$B46)*Inputs!$D$5:$D$140*(((Inputs!$G$5:$G$140="moeda")+(Inputs!$G$5:$G$140="acoes"))*Inputs!$B$1+((Inputs!$G$5:$G$140&lt;&gt;"moeda")*(Inputs!$G$5:$G$140&lt;&gt;"acoes")))*INDEX(Inputs!$K$5:$AJ$140,0,MATCH(AC$2,Inputs!$K$4:$AJ$4,0)))+SUMPRODUCT((Inputs!$E$5:$E$140=$B46)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6" s="6" t="e">
        <f>IF(ISNA(MATCH(AD$2,Inputs!$K$4:$AJ$4,0)),NA(),IF(SUMPRODUCT((Inputs!$A$5:$A$140=$B46)*ISNUMBER(INDEX(Inputs!$K$5:$AJ$140,0,MATCH(AD$2,Inputs!$K$4:$AJ$4,0))))+SUMPRODUCT((Inputs!$C$5:$C$140=$B46)*ISNUMBER(INDEX(Inputs!$K$5:$AJ$140,0,MATCH(AD$2,Inputs!$K$4:$AJ$4,0))))+SUMPRODUCT((Inputs!$E$5:$E$140=$B46)*ISNUMBER(INDEX(Inputs!$K$5:$AJ$140,0,MATCH(AD$2,Inputs!$K$4:$AJ$4,0))))=0,NA(),SUMPRODUCT((Inputs!$A$5:$A$140=$B46)*Inputs!$B$5:$B$140*(((Inputs!$G$5:$G$140="moeda")+(Inputs!$G$5:$G$140="acoes"))*Inputs!$B$1+((Inputs!$G$5:$G$140&lt;&gt;"moeda")*(Inputs!$G$5:$G$140&lt;&gt;"acoes")))*INDEX(Inputs!$K$5:$AJ$140,0,MATCH(AD$2,Inputs!$K$4:$AJ$4,0)))+SUMPRODUCT((Inputs!$C$5:$C$140=$B46)*Inputs!$D$5:$D$140*(((Inputs!$G$5:$G$140="moeda")+(Inputs!$G$5:$G$140="acoes"))*Inputs!$B$1+((Inputs!$G$5:$G$140&lt;&gt;"moeda")*(Inputs!$G$5:$G$140&lt;&gt;"acoes")))*INDEX(Inputs!$K$5:$AJ$140,0,MATCH(AD$2,Inputs!$K$4:$AJ$4,0)))+SUMPRODUCT((Inputs!$E$5:$E$140=$B46)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6" s="6" t="e">
        <f>IF(ISNA(MATCH(AE$2,Inputs!$K$4:$AJ$4,0)),NA(),IF(SUMPRODUCT((Inputs!$A$5:$A$140=$B46)*ISNUMBER(INDEX(Inputs!$K$5:$AJ$140,0,MATCH(AE$2,Inputs!$K$4:$AJ$4,0))))+SUMPRODUCT((Inputs!$C$5:$C$140=$B46)*ISNUMBER(INDEX(Inputs!$K$5:$AJ$140,0,MATCH(AE$2,Inputs!$K$4:$AJ$4,0))))+SUMPRODUCT((Inputs!$E$5:$E$140=$B46)*ISNUMBER(INDEX(Inputs!$K$5:$AJ$140,0,MATCH(AE$2,Inputs!$K$4:$AJ$4,0))))=0,NA(),SUMPRODUCT((Inputs!$A$5:$A$140=$B46)*Inputs!$B$5:$B$140*(((Inputs!$G$5:$G$140="moeda")+(Inputs!$G$5:$G$140="acoes"))*Inputs!$B$1+((Inputs!$G$5:$G$140&lt;&gt;"moeda")*(Inputs!$G$5:$G$140&lt;&gt;"acoes")))*INDEX(Inputs!$K$5:$AJ$140,0,MATCH(AE$2,Inputs!$K$4:$AJ$4,0)))+SUMPRODUCT((Inputs!$C$5:$C$140=$B46)*Inputs!$D$5:$D$140*(((Inputs!$G$5:$G$140="moeda")+(Inputs!$G$5:$G$140="acoes"))*Inputs!$B$1+((Inputs!$G$5:$G$140&lt;&gt;"moeda")*(Inputs!$G$5:$G$140&lt;&gt;"acoes")))*INDEX(Inputs!$K$5:$AJ$140,0,MATCH(AE$2,Inputs!$K$4:$AJ$4,0)))+SUMPRODUCT((Inputs!$E$5:$E$140=$B46)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6" s="6" t="e">
        <f>IF(ISNA(MATCH(AF$2,Inputs!$K$4:$AJ$4,0)),NA(),IF(SUMPRODUCT((Inputs!$A$5:$A$140=$B46)*ISNUMBER(INDEX(Inputs!$K$5:$AJ$140,0,MATCH(AF$2,Inputs!$K$4:$AJ$4,0))))+SUMPRODUCT((Inputs!$C$5:$C$140=$B46)*ISNUMBER(INDEX(Inputs!$K$5:$AJ$140,0,MATCH(AF$2,Inputs!$K$4:$AJ$4,0))))+SUMPRODUCT((Inputs!$E$5:$E$140=$B46)*ISNUMBER(INDEX(Inputs!$K$5:$AJ$140,0,MATCH(AF$2,Inputs!$K$4:$AJ$4,0))))=0,NA(),SUMPRODUCT((Inputs!$A$5:$A$140=$B46)*Inputs!$B$5:$B$140*(((Inputs!$G$5:$G$140="moeda")+(Inputs!$G$5:$G$140="acoes"))*Inputs!$B$1+((Inputs!$G$5:$G$140&lt;&gt;"moeda")*(Inputs!$G$5:$G$140&lt;&gt;"acoes")))*INDEX(Inputs!$K$5:$AJ$140,0,MATCH(AF$2,Inputs!$K$4:$AJ$4,0)))+SUMPRODUCT((Inputs!$C$5:$C$140=$B46)*Inputs!$D$5:$D$140*(((Inputs!$G$5:$G$140="moeda")+(Inputs!$G$5:$G$140="acoes"))*Inputs!$B$1+((Inputs!$G$5:$G$140&lt;&gt;"moeda")*(Inputs!$G$5:$G$140&lt;&gt;"acoes")))*INDEX(Inputs!$K$5:$AJ$140,0,MATCH(AF$2,Inputs!$K$4:$AJ$4,0)))+SUMPRODUCT((Inputs!$E$5:$E$140=$B46)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6" s="3" t="e">
        <f>AF46</f>
        <v>#N/A</v>
      </c>
      <c r="AH46" s="6" t="e">
        <f>IF(ISNA(MATCH(AH$2,Inputs!$K$4:$AJ$4,0)),NA(),IF(SUMPRODUCT((Inputs!$A$5:$A$140=$B46)*ISNUMBER(INDEX(Inputs!$K$5:$AJ$140,0,MATCH(AH$2,Inputs!$K$4:$AJ$4,0))))+SUMPRODUCT((Inputs!$C$5:$C$140=$B46)*ISNUMBER(INDEX(Inputs!$K$5:$AJ$140,0,MATCH(AH$2,Inputs!$K$4:$AJ$4,0))))+SUMPRODUCT((Inputs!$E$5:$E$140=$B46)*ISNUMBER(INDEX(Inputs!$K$5:$AJ$140,0,MATCH(AH$2,Inputs!$K$4:$AJ$4,0))))=0,NA(),SUMPRODUCT((Inputs!$A$5:$A$140=$B46)*Inputs!$B$5:$B$140*(((Inputs!$G$5:$G$140="moeda")+(Inputs!$G$5:$G$140="acoes"))*Inputs!$B$1+((Inputs!$G$5:$G$140&lt;&gt;"moeda")*(Inputs!$G$5:$G$140&lt;&gt;"acoes")))*INDEX(Inputs!$K$5:$AJ$140,0,MATCH(AH$2,Inputs!$K$4:$AJ$4,0)))+SUMPRODUCT((Inputs!$C$5:$C$140=$B46)*Inputs!$D$5:$D$140*(((Inputs!$G$5:$G$140="moeda")+(Inputs!$G$5:$G$140="acoes"))*Inputs!$B$1+((Inputs!$G$5:$G$140&lt;&gt;"moeda")*(Inputs!$G$5:$G$140&lt;&gt;"acoes")))*INDEX(Inputs!$K$5:$AJ$140,0,MATCH(AH$2,Inputs!$K$4:$AJ$4,0)))+SUMPRODUCT((Inputs!$E$5:$E$140=$B46)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6" s="6" t="e">
        <f>IF(ISNA(MATCH(AI$2,Inputs!$K$4:$AJ$4,0)),NA(),IF(SUMPRODUCT((Inputs!$A$5:$A$140=$B46)*ISNUMBER(INDEX(Inputs!$K$5:$AJ$140,0,MATCH(AI$2,Inputs!$K$4:$AJ$4,0))))+SUMPRODUCT((Inputs!$C$5:$C$140=$B46)*ISNUMBER(INDEX(Inputs!$K$5:$AJ$140,0,MATCH(AI$2,Inputs!$K$4:$AJ$4,0))))+SUMPRODUCT((Inputs!$E$5:$E$140=$B46)*ISNUMBER(INDEX(Inputs!$K$5:$AJ$140,0,MATCH(AI$2,Inputs!$K$4:$AJ$4,0))))=0,NA(),SUMPRODUCT((Inputs!$A$5:$A$140=$B46)*Inputs!$B$5:$B$140*(((Inputs!$G$5:$G$140="moeda")+(Inputs!$G$5:$G$140="acoes"))*Inputs!$B$1+((Inputs!$G$5:$G$140&lt;&gt;"moeda")*(Inputs!$G$5:$G$140&lt;&gt;"acoes")))*INDEX(Inputs!$K$5:$AJ$140,0,MATCH(AI$2,Inputs!$K$4:$AJ$4,0)))+SUMPRODUCT((Inputs!$C$5:$C$140=$B46)*Inputs!$D$5:$D$140*(((Inputs!$G$5:$G$140="moeda")+(Inputs!$G$5:$G$140="acoes"))*Inputs!$B$1+((Inputs!$G$5:$G$140&lt;&gt;"moeda")*(Inputs!$G$5:$G$140&lt;&gt;"acoes")))*INDEX(Inputs!$K$5:$AJ$140,0,MATCH(AI$2,Inputs!$K$4:$AJ$4,0)))+SUMPRODUCT((Inputs!$E$5:$E$140=$B46)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6" s="6" t="e">
        <f>IF(ISNA(MATCH(AJ$2,Inputs!$K$4:$AJ$4,0)),NA(),IF(SUMPRODUCT((Inputs!$A$5:$A$140=$B46)*ISNUMBER(INDEX(Inputs!$K$5:$AJ$140,0,MATCH(AJ$2,Inputs!$K$4:$AJ$4,0))))+SUMPRODUCT((Inputs!$C$5:$C$140=$B46)*ISNUMBER(INDEX(Inputs!$K$5:$AJ$140,0,MATCH(AJ$2,Inputs!$K$4:$AJ$4,0))))+SUMPRODUCT((Inputs!$E$5:$E$140=$B46)*ISNUMBER(INDEX(Inputs!$K$5:$AJ$140,0,MATCH(AJ$2,Inputs!$K$4:$AJ$4,0))))=0,NA(),SUMPRODUCT((Inputs!$A$5:$A$140=$B46)*Inputs!$B$5:$B$140*(((Inputs!$G$5:$G$140="moeda")+(Inputs!$G$5:$G$140="acoes"))*Inputs!$B$1+((Inputs!$G$5:$G$140&lt;&gt;"moeda")*(Inputs!$G$5:$G$140&lt;&gt;"acoes")))*INDEX(Inputs!$K$5:$AJ$140,0,MATCH(AJ$2,Inputs!$K$4:$AJ$4,0)))+SUMPRODUCT((Inputs!$C$5:$C$140=$B46)*Inputs!$D$5:$D$140*(((Inputs!$G$5:$G$140="moeda")+(Inputs!$G$5:$G$140="acoes"))*Inputs!$B$1+((Inputs!$G$5:$G$140&lt;&gt;"moeda")*(Inputs!$G$5:$G$140&lt;&gt;"acoes")))*INDEX(Inputs!$K$5:$AJ$140,0,MATCH(AJ$2,Inputs!$K$4:$AJ$4,0)))+SUMPRODUCT((Inputs!$E$5:$E$140=$B46)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6" s="6" t="e">
        <f>IF(ISNA(MATCH(AK$2,Inputs!$K$4:$AJ$4,0)),NA(),IF(SUMPRODUCT((Inputs!$A$5:$A$140=$B46)*ISNUMBER(INDEX(Inputs!$K$5:$AJ$140,0,MATCH(AK$2,Inputs!$K$4:$AJ$4,0))))+SUMPRODUCT((Inputs!$C$5:$C$140=$B46)*ISNUMBER(INDEX(Inputs!$K$5:$AJ$140,0,MATCH(AK$2,Inputs!$K$4:$AJ$4,0))))+SUMPRODUCT((Inputs!$E$5:$E$140=$B46)*ISNUMBER(INDEX(Inputs!$K$5:$AJ$140,0,MATCH(AK$2,Inputs!$K$4:$AJ$4,0))))=0,NA(),SUMPRODUCT((Inputs!$A$5:$A$140=$B46)*Inputs!$B$5:$B$140*(((Inputs!$G$5:$G$140="moeda")+(Inputs!$G$5:$G$140="acoes"))*Inputs!$B$1+((Inputs!$G$5:$G$140&lt;&gt;"moeda")*(Inputs!$G$5:$G$140&lt;&gt;"acoes")))*INDEX(Inputs!$K$5:$AJ$140,0,MATCH(AK$2,Inputs!$K$4:$AJ$4,0)))+SUMPRODUCT((Inputs!$C$5:$C$140=$B46)*Inputs!$D$5:$D$140*(((Inputs!$G$5:$G$140="moeda")+(Inputs!$G$5:$G$140="acoes"))*Inputs!$B$1+((Inputs!$G$5:$G$140&lt;&gt;"moeda")*(Inputs!$G$5:$G$140&lt;&gt;"acoes")))*INDEX(Inputs!$K$5:$AJ$140,0,MATCH(AK$2,Inputs!$K$4:$AJ$4,0)))+SUMPRODUCT((Inputs!$E$5:$E$140=$B46)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6" s="3" t="e">
        <f>AK46</f>
        <v>#N/A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$140=$B47)*ISNUMBER(INDEX(Inputs!$K$5:$AJ$140,0,MATCH(D$2,Inputs!$K$4:$AJ$4,0))))+SUMPRODUCT((Inputs!$C$5:$C$140=$B47)*ISNUMBER(INDEX(Inputs!$K$5:$AJ$140,0,MATCH(D$2,Inputs!$K$4:$AJ$4,0))))+SUMPRODUCT((Inputs!$E$5:$E$140=$B47)*ISNUMBER(INDEX(Inputs!$K$5:$AJ$140,0,MATCH(D$2,Inputs!$K$4:$AJ$4,0))))=0,NA(),SUMPRODUCT((Inputs!$A$5:$A$140=$B47)*Inputs!$B$5:$B$140*(((Inputs!$G$5:$G$140="moeda")+(Inputs!$G$5:$G$140="acoes"))*Inputs!$B$1+((Inputs!$G$5:$G$140&lt;&gt;"moeda")*(Inputs!$G$5:$G$140&lt;&gt;"acoes")))*INDEX(Inputs!$K$5:$AJ$140,0,MATCH(D$2,Inputs!$K$4:$AJ$4,0)))+SUMPRODUCT((Inputs!$C$5:$C$140=$B47)*Inputs!$D$5:$D$140*(((Inputs!$G$5:$G$140="moeda")+(Inputs!$G$5:$G$140="acoes"))*Inputs!$B$1+((Inputs!$G$5:$G$140&lt;&gt;"moeda")*(Inputs!$G$5:$G$140&lt;&gt;"acoes")))*INDEX(Inputs!$K$5:$AJ$140,0,MATCH(D$2,Inputs!$K$4:$AJ$4,0)))+SUMPRODUCT((Inputs!$E$5:$E$140=$B47)*Inputs!$F$5:$F$140*(((Inputs!$G$5:$G$140="moeda")+(Inputs!$G$5:$G$140="acoes"))*Inputs!$B$1+((Inputs!$G$5:$G$140&lt;&gt;"moeda")*(Inputs!$G$5:$G$140&lt;&gt;"acoes")))*INDEX(Inputs!$K$5:$AJ$140,0,MATCH(D$2,Inputs!$K$4:$AJ$4,0)))))</f>
        <v>974.657</v>
      </c>
      <c r="E47" s="6">
        <f>IF(ISNA(MATCH(E$2,Inputs!$K$4:$AJ$4,0)),NA(),IF(SUMPRODUCT((Inputs!$A$5:$A$140=$B47)*ISNUMBER(INDEX(Inputs!$K$5:$AJ$140,0,MATCH(E$2,Inputs!$K$4:$AJ$4,0))))+SUMPRODUCT((Inputs!$C$5:$C$140=$B47)*ISNUMBER(INDEX(Inputs!$K$5:$AJ$140,0,MATCH(E$2,Inputs!$K$4:$AJ$4,0))))+SUMPRODUCT((Inputs!$E$5:$E$140=$B47)*ISNUMBER(INDEX(Inputs!$K$5:$AJ$140,0,MATCH(E$2,Inputs!$K$4:$AJ$4,0))))=0,NA(),SUMPRODUCT((Inputs!$A$5:$A$140=$B47)*Inputs!$B$5:$B$140*(((Inputs!$G$5:$G$140="moeda")+(Inputs!$G$5:$G$140="acoes"))*Inputs!$B$1+((Inputs!$G$5:$G$140&lt;&gt;"moeda")*(Inputs!$G$5:$G$140&lt;&gt;"acoes")))*INDEX(Inputs!$K$5:$AJ$140,0,MATCH(E$2,Inputs!$K$4:$AJ$4,0)))+SUMPRODUCT((Inputs!$C$5:$C$140=$B47)*Inputs!$D$5:$D$140*(((Inputs!$G$5:$G$140="moeda")+(Inputs!$G$5:$G$140="acoes"))*Inputs!$B$1+((Inputs!$G$5:$G$140&lt;&gt;"moeda")*(Inputs!$G$5:$G$140&lt;&gt;"acoes")))*INDEX(Inputs!$K$5:$AJ$140,0,MATCH(E$2,Inputs!$K$4:$AJ$4,0)))+SUMPRODUCT((Inputs!$E$5:$E$140=$B47)*Inputs!$F$5:$F$140*(((Inputs!$G$5:$G$140="moeda")+(Inputs!$G$5:$G$140="acoes"))*Inputs!$B$1+((Inputs!$G$5:$G$140&lt;&gt;"moeda")*(Inputs!$G$5:$G$140&lt;&gt;"acoes")))*INDEX(Inputs!$K$5:$AJ$140,0,MATCH(E$2,Inputs!$K$4:$AJ$4,0)))))</f>
        <v>1162.264</v>
      </c>
      <c r="F47" s="6">
        <f>IF(ISNA(MATCH(F$2,Inputs!$K$4:$AJ$4,0)),NA(),IF(SUMPRODUCT((Inputs!$A$5:$A$140=$B47)*ISNUMBER(INDEX(Inputs!$K$5:$AJ$140,0,MATCH(F$2,Inputs!$K$4:$AJ$4,0))))+SUMPRODUCT((Inputs!$C$5:$C$140=$B47)*ISNUMBER(INDEX(Inputs!$K$5:$AJ$140,0,MATCH(F$2,Inputs!$K$4:$AJ$4,0))))+SUMPRODUCT((Inputs!$E$5:$E$140=$B47)*ISNUMBER(INDEX(Inputs!$K$5:$AJ$140,0,MATCH(F$2,Inputs!$K$4:$AJ$4,0))))=0,NA(),SUMPRODUCT((Inputs!$A$5:$A$140=$B47)*Inputs!$B$5:$B$140*(((Inputs!$G$5:$G$140="moeda")+(Inputs!$G$5:$G$140="acoes"))*Inputs!$B$1+((Inputs!$G$5:$G$140&lt;&gt;"moeda")*(Inputs!$G$5:$G$140&lt;&gt;"acoes")))*INDEX(Inputs!$K$5:$AJ$140,0,MATCH(F$2,Inputs!$K$4:$AJ$4,0)))+SUMPRODUCT((Inputs!$C$5:$C$140=$B47)*Inputs!$D$5:$D$140*(((Inputs!$G$5:$G$140="moeda")+(Inputs!$G$5:$G$140="acoes"))*Inputs!$B$1+((Inputs!$G$5:$G$140&lt;&gt;"moeda")*(Inputs!$G$5:$G$140&lt;&gt;"acoes")))*INDEX(Inputs!$K$5:$AJ$140,0,MATCH(F$2,Inputs!$K$4:$AJ$4,0)))+SUMPRODUCT((Inputs!$E$5:$E$140=$B47)*Inputs!$F$5:$F$140*(((Inputs!$G$5:$G$140="moeda")+(Inputs!$G$5:$G$140="acoes"))*Inputs!$B$1+((Inputs!$G$5:$G$140&lt;&gt;"moeda")*(Inputs!$G$5:$G$140&lt;&gt;"acoes")))*INDEX(Inputs!$K$5:$AJ$140,0,MATCH(F$2,Inputs!$K$4:$AJ$4,0)))))</f>
        <v>1372.175</v>
      </c>
      <c r="G47" s="6">
        <f>IF(ISNA(MATCH(G$2,Inputs!$K$4:$AJ$4,0)),NA(),IF(SUMPRODUCT((Inputs!$A$5:$A$140=$B47)*ISNUMBER(INDEX(Inputs!$K$5:$AJ$140,0,MATCH(G$2,Inputs!$K$4:$AJ$4,0))))+SUMPRODUCT((Inputs!$C$5:$C$140=$B47)*ISNUMBER(INDEX(Inputs!$K$5:$AJ$140,0,MATCH(G$2,Inputs!$K$4:$AJ$4,0))))+SUMPRODUCT((Inputs!$E$5:$E$140=$B47)*ISNUMBER(INDEX(Inputs!$K$5:$AJ$140,0,MATCH(G$2,Inputs!$K$4:$AJ$4,0))))=0,NA(),SUMPRODUCT((Inputs!$A$5:$A$140=$B47)*Inputs!$B$5:$B$140*(((Inputs!$G$5:$G$140="moeda")+(Inputs!$G$5:$G$140="acoes"))*Inputs!$B$1+((Inputs!$G$5:$G$140&lt;&gt;"moeda")*(Inputs!$G$5:$G$140&lt;&gt;"acoes")))*INDEX(Inputs!$K$5:$AJ$140,0,MATCH(G$2,Inputs!$K$4:$AJ$4,0)))+SUMPRODUCT((Inputs!$C$5:$C$140=$B47)*Inputs!$D$5:$D$140*(((Inputs!$G$5:$G$140="moeda")+(Inputs!$G$5:$G$140="acoes"))*Inputs!$B$1+((Inputs!$G$5:$G$140&lt;&gt;"moeda")*(Inputs!$G$5:$G$140&lt;&gt;"acoes")))*INDEX(Inputs!$K$5:$AJ$140,0,MATCH(G$2,Inputs!$K$4:$AJ$4,0)))+SUMPRODUCT((Inputs!$E$5:$E$140=$B47)*Inputs!$F$5:$F$140*(((Inputs!$G$5:$G$140="moeda")+(Inputs!$G$5:$G$140="acoes"))*Inputs!$B$1+((Inputs!$G$5:$G$140&lt;&gt;"moeda")*(Inputs!$G$5:$G$140&lt;&gt;"acoes")))*INDEX(Inputs!$K$5:$AJ$140,0,MATCH(G$2,Inputs!$K$4:$AJ$4,0)))))</f>
        <v>1578.041</v>
      </c>
      <c r="H47" s="3">
        <f>G47</f>
        <v>1578.041</v>
      </c>
      <c r="I47" s="6">
        <f>IF(ISNA(MATCH(I$2,Inputs!$K$4:$AJ$4,0)),NA(),IF(SUMPRODUCT((Inputs!$A$5:$A$140=$B47)*ISNUMBER(INDEX(Inputs!$K$5:$AJ$140,0,MATCH(I$2,Inputs!$K$4:$AJ$4,0))))+SUMPRODUCT((Inputs!$C$5:$C$140=$B47)*ISNUMBER(INDEX(Inputs!$K$5:$AJ$140,0,MATCH(I$2,Inputs!$K$4:$AJ$4,0))))+SUMPRODUCT((Inputs!$E$5:$E$140=$B47)*ISNUMBER(INDEX(Inputs!$K$5:$AJ$140,0,MATCH(I$2,Inputs!$K$4:$AJ$4,0))))=0,NA(),SUMPRODUCT((Inputs!$A$5:$A$140=$B47)*Inputs!$B$5:$B$140*(((Inputs!$G$5:$G$140="moeda")+(Inputs!$G$5:$G$140="acoes"))*Inputs!$B$1+((Inputs!$G$5:$G$140&lt;&gt;"moeda")*(Inputs!$G$5:$G$140&lt;&gt;"acoes")))*INDEX(Inputs!$K$5:$AJ$140,0,MATCH(I$2,Inputs!$K$4:$AJ$4,0)))+SUMPRODUCT((Inputs!$C$5:$C$140=$B47)*Inputs!$D$5:$D$140*(((Inputs!$G$5:$G$140="moeda")+(Inputs!$G$5:$G$140="acoes"))*Inputs!$B$1+((Inputs!$G$5:$G$140&lt;&gt;"moeda")*(Inputs!$G$5:$G$140&lt;&gt;"acoes")))*INDEX(Inputs!$K$5:$AJ$140,0,MATCH(I$2,Inputs!$K$4:$AJ$4,0)))+SUMPRODUCT((Inputs!$E$5:$E$140=$B47)*Inputs!$F$5:$F$140*(((Inputs!$G$5:$G$140="moeda")+(Inputs!$G$5:$G$140="acoes"))*Inputs!$B$1+((Inputs!$G$5:$G$140&lt;&gt;"moeda")*(Inputs!$G$5:$G$140&lt;&gt;"acoes")))*INDEX(Inputs!$K$5:$AJ$140,0,MATCH(I$2,Inputs!$K$4:$AJ$4,0)))))</f>
        <v>1774.759</v>
      </c>
      <c r="J47" s="6">
        <f>IF(ISNA(MATCH(J$2,Inputs!$K$4:$AJ$4,0)),NA(),IF(SUMPRODUCT((Inputs!$A$5:$A$140=$B47)*ISNUMBER(INDEX(Inputs!$K$5:$AJ$140,0,MATCH(J$2,Inputs!$K$4:$AJ$4,0))))+SUMPRODUCT((Inputs!$C$5:$C$140=$B47)*ISNUMBER(INDEX(Inputs!$K$5:$AJ$140,0,MATCH(J$2,Inputs!$K$4:$AJ$4,0))))+SUMPRODUCT((Inputs!$E$5:$E$140=$B47)*ISNUMBER(INDEX(Inputs!$K$5:$AJ$140,0,MATCH(J$2,Inputs!$K$4:$AJ$4,0))))=0,NA(),SUMPRODUCT((Inputs!$A$5:$A$140=$B47)*Inputs!$B$5:$B$140*(((Inputs!$G$5:$G$140="moeda")+(Inputs!$G$5:$G$140="acoes"))*Inputs!$B$1+((Inputs!$G$5:$G$140&lt;&gt;"moeda")*(Inputs!$G$5:$G$140&lt;&gt;"acoes")))*INDEX(Inputs!$K$5:$AJ$140,0,MATCH(J$2,Inputs!$K$4:$AJ$4,0)))+SUMPRODUCT((Inputs!$C$5:$C$140=$B47)*Inputs!$D$5:$D$140*(((Inputs!$G$5:$G$140="moeda")+(Inputs!$G$5:$G$140="acoes"))*Inputs!$B$1+((Inputs!$G$5:$G$140&lt;&gt;"moeda")*(Inputs!$G$5:$G$140&lt;&gt;"acoes")))*INDEX(Inputs!$K$5:$AJ$140,0,MATCH(J$2,Inputs!$K$4:$AJ$4,0)))+SUMPRODUCT((Inputs!$E$5:$E$140=$B47)*Inputs!$F$5:$F$140*(((Inputs!$G$5:$G$140="moeda")+(Inputs!$G$5:$G$140="acoes"))*Inputs!$B$1+((Inputs!$G$5:$G$140&lt;&gt;"moeda")*(Inputs!$G$5:$G$140&lt;&gt;"acoes")))*INDEX(Inputs!$K$5:$AJ$140,0,MATCH(J$2,Inputs!$K$4:$AJ$4,0)))))</f>
        <v>2035.929</v>
      </c>
      <c r="K47" s="6">
        <f>IF(ISNA(MATCH(K$2,Inputs!$K$4:$AJ$4,0)),NA(),IF(SUMPRODUCT((Inputs!$A$5:$A$140=$B47)*ISNUMBER(INDEX(Inputs!$K$5:$AJ$140,0,MATCH(K$2,Inputs!$K$4:$AJ$4,0))))+SUMPRODUCT((Inputs!$C$5:$C$140=$B47)*ISNUMBER(INDEX(Inputs!$K$5:$AJ$140,0,MATCH(K$2,Inputs!$K$4:$AJ$4,0))))+SUMPRODUCT((Inputs!$E$5:$E$140=$B47)*ISNUMBER(INDEX(Inputs!$K$5:$AJ$140,0,MATCH(K$2,Inputs!$K$4:$AJ$4,0))))=0,NA(),SUMPRODUCT((Inputs!$A$5:$A$140=$B47)*Inputs!$B$5:$B$140*(((Inputs!$G$5:$G$140="moeda")+(Inputs!$G$5:$G$140="acoes"))*Inputs!$B$1+((Inputs!$G$5:$G$140&lt;&gt;"moeda")*(Inputs!$G$5:$G$140&lt;&gt;"acoes")))*INDEX(Inputs!$K$5:$AJ$140,0,MATCH(K$2,Inputs!$K$4:$AJ$4,0)))+SUMPRODUCT((Inputs!$C$5:$C$140=$B47)*Inputs!$D$5:$D$140*(((Inputs!$G$5:$G$140="moeda")+(Inputs!$G$5:$G$140="acoes"))*Inputs!$B$1+((Inputs!$G$5:$G$140&lt;&gt;"moeda")*(Inputs!$G$5:$G$140&lt;&gt;"acoes")))*INDEX(Inputs!$K$5:$AJ$140,0,MATCH(K$2,Inputs!$K$4:$AJ$4,0)))+SUMPRODUCT((Inputs!$E$5:$E$140=$B47)*Inputs!$F$5:$F$140*(((Inputs!$G$5:$G$140="moeda")+(Inputs!$G$5:$G$140="acoes"))*Inputs!$B$1+((Inputs!$G$5:$G$140&lt;&gt;"moeda")*(Inputs!$G$5:$G$140&lt;&gt;"acoes")))*INDEX(Inputs!$K$5:$AJ$140,0,MATCH(K$2,Inputs!$K$4:$AJ$4,0)))))</f>
        <v>2323.181</v>
      </c>
      <c r="L47" s="6">
        <f>IF(ISNA(MATCH(L$2,Inputs!$K$4:$AJ$4,0)),NA(),IF(SUMPRODUCT((Inputs!$A$5:$A$140=$B47)*ISNUMBER(INDEX(Inputs!$K$5:$AJ$140,0,MATCH(L$2,Inputs!$K$4:$AJ$4,0))))+SUMPRODUCT((Inputs!$C$5:$C$140=$B47)*ISNUMBER(INDEX(Inputs!$K$5:$AJ$140,0,MATCH(L$2,Inputs!$K$4:$AJ$4,0))))+SUMPRODUCT((Inputs!$E$5:$E$140=$B47)*ISNUMBER(INDEX(Inputs!$K$5:$AJ$140,0,MATCH(L$2,Inputs!$K$4:$AJ$4,0))))=0,NA(),SUMPRODUCT((Inputs!$A$5:$A$140=$B47)*Inputs!$B$5:$B$140*(((Inputs!$G$5:$G$140="moeda")+(Inputs!$G$5:$G$140="acoes"))*Inputs!$B$1+((Inputs!$G$5:$G$140&lt;&gt;"moeda")*(Inputs!$G$5:$G$140&lt;&gt;"acoes")))*INDEX(Inputs!$K$5:$AJ$140,0,MATCH(L$2,Inputs!$K$4:$AJ$4,0)))+SUMPRODUCT((Inputs!$C$5:$C$140=$B47)*Inputs!$D$5:$D$140*(((Inputs!$G$5:$G$140="moeda")+(Inputs!$G$5:$G$140="acoes"))*Inputs!$B$1+((Inputs!$G$5:$G$140&lt;&gt;"moeda")*(Inputs!$G$5:$G$140&lt;&gt;"acoes")))*INDEX(Inputs!$K$5:$AJ$140,0,MATCH(L$2,Inputs!$K$4:$AJ$4,0)))+SUMPRODUCT((Inputs!$E$5:$E$140=$B47)*Inputs!$F$5:$F$140*(((Inputs!$G$5:$G$140="moeda")+(Inputs!$G$5:$G$140="acoes"))*Inputs!$B$1+((Inputs!$G$5:$G$140&lt;&gt;"moeda")*(Inputs!$G$5:$G$140&lt;&gt;"acoes")))*INDEX(Inputs!$K$5:$AJ$140,0,MATCH(L$2,Inputs!$K$4:$AJ$4,0)))))</f>
        <v>2630.46</v>
      </c>
      <c r="M47" s="3">
        <f>L47</f>
        <v>2630.46</v>
      </c>
      <c r="N47" s="6">
        <f>IF(ISNA(MATCH(N$2,Inputs!$K$4:$AJ$4,0)),NA(),IF(SUMPRODUCT((Inputs!$A$5:$A$140=$B47)*ISNUMBER(INDEX(Inputs!$K$5:$AJ$140,0,MATCH(N$2,Inputs!$K$4:$AJ$4,0))))+SUMPRODUCT((Inputs!$C$5:$C$140=$B47)*ISNUMBER(INDEX(Inputs!$K$5:$AJ$140,0,MATCH(N$2,Inputs!$K$4:$AJ$4,0))))+SUMPRODUCT((Inputs!$E$5:$E$140=$B47)*ISNUMBER(INDEX(Inputs!$K$5:$AJ$140,0,MATCH(N$2,Inputs!$K$4:$AJ$4,0))))=0,NA(),SUMPRODUCT((Inputs!$A$5:$A$140=$B47)*Inputs!$B$5:$B$140*(((Inputs!$G$5:$G$140="moeda")+(Inputs!$G$5:$G$140="acoes"))*Inputs!$B$1+((Inputs!$G$5:$G$140&lt;&gt;"moeda")*(Inputs!$G$5:$G$140&lt;&gt;"acoes")))*INDEX(Inputs!$K$5:$AJ$140,0,MATCH(N$2,Inputs!$K$4:$AJ$4,0)))+SUMPRODUCT((Inputs!$C$5:$C$140=$B47)*Inputs!$D$5:$D$140*(((Inputs!$G$5:$G$140="moeda")+(Inputs!$G$5:$G$140="acoes"))*Inputs!$B$1+((Inputs!$G$5:$G$140&lt;&gt;"moeda")*(Inputs!$G$5:$G$140&lt;&gt;"acoes")))*INDEX(Inputs!$K$5:$AJ$140,0,MATCH(N$2,Inputs!$K$4:$AJ$4,0)))+SUMPRODUCT((Inputs!$E$5:$E$140=$B47)*Inputs!$F$5:$F$140*(((Inputs!$G$5:$G$140="moeda")+(Inputs!$G$5:$G$140="acoes"))*Inputs!$B$1+((Inputs!$G$5:$G$140&lt;&gt;"moeda")*(Inputs!$G$5:$G$140&lt;&gt;"acoes")))*INDEX(Inputs!$K$5:$AJ$140,0,MATCH(N$2,Inputs!$K$4:$AJ$4,0)))))</f>
        <v>2867.178</v>
      </c>
      <c r="O47" s="6">
        <f>IF(ISNA(MATCH(O$2,Inputs!$K$4:$AJ$4,0)),NA(),IF(SUMPRODUCT((Inputs!$A$5:$A$140=$B47)*ISNUMBER(INDEX(Inputs!$K$5:$AJ$140,0,MATCH(O$2,Inputs!$K$4:$AJ$4,0))))+SUMPRODUCT((Inputs!$C$5:$C$140=$B47)*ISNUMBER(INDEX(Inputs!$K$5:$AJ$140,0,MATCH(O$2,Inputs!$K$4:$AJ$4,0))))+SUMPRODUCT((Inputs!$E$5:$E$140=$B47)*ISNUMBER(INDEX(Inputs!$K$5:$AJ$140,0,MATCH(O$2,Inputs!$K$4:$AJ$4,0))))=0,NA(),SUMPRODUCT((Inputs!$A$5:$A$140=$B47)*Inputs!$B$5:$B$140*(((Inputs!$G$5:$G$140="moeda")+(Inputs!$G$5:$G$140="acoes"))*Inputs!$B$1+((Inputs!$G$5:$G$140&lt;&gt;"moeda")*(Inputs!$G$5:$G$140&lt;&gt;"acoes")))*INDEX(Inputs!$K$5:$AJ$140,0,MATCH(O$2,Inputs!$K$4:$AJ$4,0)))+SUMPRODUCT((Inputs!$C$5:$C$140=$B47)*Inputs!$D$5:$D$140*(((Inputs!$G$5:$G$140="moeda")+(Inputs!$G$5:$G$140="acoes"))*Inputs!$B$1+((Inputs!$G$5:$G$140&lt;&gt;"moeda")*(Inputs!$G$5:$G$140&lt;&gt;"acoes")))*INDEX(Inputs!$K$5:$AJ$140,0,MATCH(O$2,Inputs!$K$4:$AJ$4,0)))+SUMPRODUCT((Inputs!$E$5:$E$140=$B47)*Inputs!$F$5:$F$140*(((Inputs!$G$5:$G$140="moeda")+(Inputs!$G$5:$G$140="acoes"))*Inputs!$B$1+((Inputs!$G$5:$G$140&lt;&gt;"moeda")*(Inputs!$G$5:$G$140&lt;&gt;"acoes")))*INDEX(Inputs!$K$5:$AJ$140,0,MATCH(O$2,Inputs!$K$4:$AJ$4,0)))))</f>
        <v>3157.022</v>
      </c>
      <c r="P47" s="6">
        <f>IF(ISNA(MATCH(P$2,Inputs!$K$4:$AJ$4,0)),NA(),IF(SUMPRODUCT((Inputs!$A$5:$A$140=$B47)*ISNUMBER(INDEX(Inputs!$K$5:$AJ$140,0,MATCH(P$2,Inputs!$K$4:$AJ$4,0))))+SUMPRODUCT((Inputs!$C$5:$C$140=$B47)*ISNUMBER(INDEX(Inputs!$K$5:$AJ$140,0,MATCH(P$2,Inputs!$K$4:$AJ$4,0))))+SUMPRODUCT((Inputs!$E$5:$E$140=$B47)*ISNUMBER(INDEX(Inputs!$K$5:$AJ$140,0,MATCH(P$2,Inputs!$K$4:$AJ$4,0))))=0,NA(),SUMPRODUCT((Inputs!$A$5:$A$140=$B47)*Inputs!$B$5:$B$140*(((Inputs!$G$5:$G$140="moeda")+(Inputs!$G$5:$G$140="acoes"))*Inputs!$B$1+((Inputs!$G$5:$G$140&lt;&gt;"moeda")*(Inputs!$G$5:$G$140&lt;&gt;"acoes")))*INDEX(Inputs!$K$5:$AJ$140,0,MATCH(P$2,Inputs!$K$4:$AJ$4,0)))+SUMPRODUCT((Inputs!$C$5:$C$140=$B47)*Inputs!$D$5:$D$140*(((Inputs!$G$5:$G$140="moeda")+(Inputs!$G$5:$G$140="acoes"))*Inputs!$B$1+((Inputs!$G$5:$G$140&lt;&gt;"moeda")*(Inputs!$G$5:$G$140&lt;&gt;"acoes")))*INDEX(Inputs!$K$5:$AJ$140,0,MATCH(P$2,Inputs!$K$4:$AJ$4,0)))+SUMPRODUCT((Inputs!$E$5:$E$140=$B47)*Inputs!$F$5:$F$140*(((Inputs!$G$5:$G$140="moeda")+(Inputs!$G$5:$G$140="acoes"))*Inputs!$B$1+((Inputs!$G$5:$G$140&lt;&gt;"moeda")*(Inputs!$G$5:$G$140&lt;&gt;"acoes")))*INDEX(Inputs!$K$5:$AJ$140,0,MATCH(P$2,Inputs!$K$4:$AJ$4,0)))))</f>
        <v>3465.215</v>
      </c>
      <c r="Q47" s="6">
        <f>IF(ISNA(MATCH(Q$2,Inputs!$K$4:$AJ$4,0)),NA(),IF(SUMPRODUCT((Inputs!$A$5:$A$140=$B47)*ISNUMBER(INDEX(Inputs!$K$5:$AJ$140,0,MATCH(Q$2,Inputs!$K$4:$AJ$4,0))))+SUMPRODUCT((Inputs!$C$5:$C$140=$B47)*ISNUMBER(INDEX(Inputs!$K$5:$AJ$140,0,MATCH(Q$2,Inputs!$K$4:$AJ$4,0))))+SUMPRODUCT((Inputs!$E$5:$E$140=$B47)*ISNUMBER(INDEX(Inputs!$K$5:$AJ$140,0,MATCH(Q$2,Inputs!$K$4:$AJ$4,0))))=0,NA(),SUMPRODUCT((Inputs!$A$5:$A$140=$B47)*Inputs!$B$5:$B$140*(((Inputs!$G$5:$G$140="moeda")+(Inputs!$G$5:$G$140="acoes"))*Inputs!$B$1+((Inputs!$G$5:$G$140&lt;&gt;"moeda")*(Inputs!$G$5:$G$140&lt;&gt;"acoes")))*INDEX(Inputs!$K$5:$AJ$140,0,MATCH(Q$2,Inputs!$K$4:$AJ$4,0)))+SUMPRODUCT((Inputs!$C$5:$C$140=$B47)*Inputs!$D$5:$D$140*(((Inputs!$G$5:$G$140="moeda")+(Inputs!$G$5:$G$140="acoes"))*Inputs!$B$1+((Inputs!$G$5:$G$140&lt;&gt;"moeda")*(Inputs!$G$5:$G$140&lt;&gt;"acoes")))*INDEX(Inputs!$K$5:$AJ$140,0,MATCH(Q$2,Inputs!$K$4:$AJ$4,0)))+SUMPRODUCT((Inputs!$E$5:$E$140=$B47)*Inputs!$F$5:$F$140*(((Inputs!$G$5:$G$140="moeda")+(Inputs!$G$5:$G$140="acoes"))*Inputs!$B$1+((Inputs!$G$5:$G$140&lt;&gt;"moeda")*(Inputs!$G$5:$G$140&lt;&gt;"acoes")))*INDEX(Inputs!$K$5:$AJ$140,0,MATCH(Q$2,Inputs!$K$4:$AJ$4,0)))))</f>
        <v>617.521</v>
      </c>
      <c r="R47" s="3">
        <f>Q47</f>
        <v>617.521</v>
      </c>
      <c r="S47" s="6">
        <f>IF(ISNA(MATCH(S$2,Inputs!$K$4:$AJ$4,0)),NA(),IF(SUMPRODUCT((Inputs!$A$5:$A$140=$B47)*ISNUMBER(INDEX(Inputs!$K$5:$AJ$140,0,MATCH(S$2,Inputs!$K$4:$AJ$4,0))))+SUMPRODUCT((Inputs!$C$5:$C$140=$B47)*ISNUMBER(INDEX(Inputs!$K$5:$AJ$140,0,MATCH(S$2,Inputs!$K$4:$AJ$4,0))))+SUMPRODUCT((Inputs!$E$5:$E$140=$B47)*ISNUMBER(INDEX(Inputs!$K$5:$AJ$140,0,MATCH(S$2,Inputs!$K$4:$AJ$4,0))))=0,NA(),SUMPRODUCT((Inputs!$A$5:$A$140=$B47)*Inputs!$B$5:$B$140*(((Inputs!$G$5:$G$140="moeda")+(Inputs!$G$5:$G$140="acoes"))*Inputs!$B$1+((Inputs!$G$5:$G$140&lt;&gt;"moeda")*(Inputs!$G$5:$G$140&lt;&gt;"acoes")))*INDEX(Inputs!$K$5:$AJ$140,0,MATCH(S$2,Inputs!$K$4:$AJ$4,0)))+SUMPRODUCT((Inputs!$C$5:$C$140=$B47)*Inputs!$D$5:$D$140*(((Inputs!$G$5:$G$140="moeda")+(Inputs!$G$5:$G$140="acoes"))*Inputs!$B$1+((Inputs!$G$5:$G$140&lt;&gt;"moeda")*(Inputs!$G$5:$G$140&lt;&gt;"acoes")))*INDEX(Inputs!$K$5:$AJ$140,0,MATCH(S$2,Inputs!$K$4:$AJ$4,0)))+SUMPRODUCT((Inputs!$E$5:$E$140=$B47)*Inputs!$F$5:$F$140*(((Inputs!$G$5:$G$140="moeda")+(Inputs!$G$5:$G$140="acoes"))*Inputs!$B$1+((Inputs!$G$5:$G$140&lt;&gt;"moeda")*(Inputs!$G$5:$G$140&lt;&gt;"acoes")))*INDEX(Inputs!$K$5:$AJ$140,0,MATCH(S$2,Inputs!$K$4:$AJ$4,0)))))</f>
        <v>759.049</v>
      </c>
      <c r="T47" s="6">
        <f>IF(ISNA(MATCH(T$2,Inputs!$K$4:$AJ$4,0)),NA(),IF(SUMPRODUCT((Inputs!$A$5:$A$140=$B47)*ISNUMBER(INDEX(Inputs!$K$5:$AJ$140,0,MATCH(T$2,Inputs!$K$4:$AJ$4,0))))+SUMPRODUCT((Inputs!$C$5:$C$140=$B47)*ISNUMBER(INDEX(Inputs!$K$5:$AJ$140,0,MATCH(T$2,Inputs!$K$4:$AJ$4,0))))+SUMPRODUCT((Inputs!$E$5:$E$140=$B47)*ISNUMBER(INDEX(Inputs!$K$5:$AJ$140,0,MATCH(T$2,Inputs!$K$4:$AJ$4,0))))=0,NA(),SUMPRODUCT((Inputs!$A$5:$A$140=$B47)*Inputs!$B$5:$B$140*(((Inputs!$G$5:$G$140="moeda")+(Inputs!$G$5:$G$140="acoes"))*Inputs!$B$1+((Inputs!$G$5:$G$140&lt;&gt;"moeda")*(Inputs!$G$5:$G$140&lt;&gt;"acoes")))*INDEX(Inputs!$K$5:$AJ$140,0,MATCH(T$2,Inputs!$K$4:$AJ$4,0)))+SUMPRODUCT((Inputs!$C$5:$C$140=$B47)*Inputs!$D$5:$D$140*(((Inputs!$G$5:$G$140="moeda")+(Inputs!$G$5:$G$140="acoes"))*Inputs!$B$1+((Inputs!$G$5:$G$140&lt;&gt;"moeda")*(Inputs!$G$5:$G$140&lt;&gt;"acoes")))*INDEX(Inputs!$K$5:$AJ$140,0,MATCH(T$2,Inputs!$K$4:$AJ$4,0)))+SUMPRODUCT((Inputs!$E$5:$E$140=$B47)*Inputs!$F$5:$F$140*(((Inputs!$G$5:$G$140="moeda")+(Inputs!$G$5:$G$140="acoes"))*Inputs!$B$1+((Inputs!$G$5:$G$140&lt;&gt;"moeda")*(Inputs!$G$5:$G$140&lt;&gt;"acoes")))*INDEX(Inputs!$K$5:$AJ$140,0,MATCH(T$2,Inputs!$K$4:$AJ$4,0)))))</f>
        <v>948.384</v>
      </c>
      <c r="U47" s="6">
        <f>IF(ISNA(MATCH(U$2,Inputs!$K$4:$AJ$4,0)),NA(),IF(SUMPRODUCT((Inputs!$A$5:$A$140=$B47)*ISNUMBER(INDEX(Inputs!$K$5:$AJ$140,0,MATCH(U$2,Inputs!$K$4:$AJ$4,0))))+SUMPRODUCT((Inputs!$C$5:$C$140=$B47)*ISNUMBER(INDEX(Inputs!$K$5:$AJ$140,0,MATCH(U$2,Inputs!$K$4:$AJ$4,0))))+SUMPRODUCT((Inputs!$E$5:$E$140=$B47)*ISNUMBER(INDEX(Inputs!$K$5:$AJ$140,0,MATCH(U$2,Inputs!$K$4:$AJ$4,0))))=0,NA(),SUMPRODUCT((Inputs!$A$5:$A$140=$B47)*Inputs!$B$5:$B$140*(((Inputs!$G$5:$G$140="moeda")+(Inputs!$G$5:$G$140="acoes"))*Inputs!$B$1+((Inputs!$G$5:$G$140&lt;&gt;"moeda")*(Inputs!$G$5:$G$140&lt;&gt;"acoes")))*INDEX(Inputs!$K$5:$AJ$140,0,MATCH(U$2,Inputs!$K$4:$AJ$4,0)))+SUMPRODUCT((Inputs!$C$5:$C$140=$B47)*Inputs!$D$5:$D$140*(((Inputs!$G$5:$G$140="moeda")+(Inputs!$G$5:$G$140="acoes"))*Inputs!$B$1+((Inputs!$G$5:$G$140&lt;&gt;"moeda")*(Inputs!$G$5:$G$140&lt;&gt;"acoes")))*INDEX(Inputs!$K$5:$AJ$140,0,MATCH(U$2,Inputs!$K$4:$AJ$4,0)))+SUMPRODUCT((Inputs!$E$5:$E$140=$B47)*Inputs!$F$5:$F$140*(((Inputs!$G$5:$G$140="moeda")+(Inputs!$G$5:$G$140="acoes"))*Inputs!$B$1+((Inputs!$G$5:$G$140&lt;&gt;"moeda")*(Inputs!$G$5:$G$140&lt;&gt;"acoes")))*INDEX(Inputs!$K$5:$AJ$140,0,MATCH(U$2,Inputs!$K$4:$AJ$4,0)))))</f>
        <v>1221.124</v>
      </c>
      <c r="V47" s="6">
        <f>IF(ISNA(MATCH(V$2,Inputs!$K$4:$AJ$4,0)),NA(),IF(SUMPRODUCT((Inputs!$A$5:$A$140=$B47)*ISNUMBER(INDEX(Inputs!$K$5:$AJ$140,0,MATCH(V$2,Inputs!$K$4:$AJ$4,0))))+SUMPRODUCT((Inputs!$C$5:$C$140=$B47)*ISNUMBER(INDEX(Inputs!$K$5:$AJ$140,0,MATCH(V$2,Inputs!$K$4:$AJ$4,0))))+SUMPRODUCT((Inputs!$E$5:$E$140=$B47)*ISNUMBER(INDEX(Inputs!$K$5:$AJ$140,0,MATCH(V$2,Inputs!$K$4:$AJ$4,0))))=0,NA(),SUMPRODUCT((Inputs!$A$5:$A$140=$B47)*Inputs!$B$5:$B$140*(((Inputs!$G$5:$G$140="moeda")+(Inputs!$G$5:$G$140="acoes"))*Inputs!$B$1+((Inputs!$G$5:$G$140&lt;&gt;"moeda")*(Inputs!$G$5:$G$140&lt;&gt;"acoes")))*INDEX(Inputs!$K$5:$AJ$140,0,MATCH(V$2,Inputs!$K$4:$AJ$4,0)))+SUMPRODUCT((Inputs!$C$5:$C$140=$B47)*Inputs!$D$5:$D$140*(((Inputs!$G$5:$G$140="moeda")+(Inputs!$G$5:$G$140="acoes"))*Inputs!$B$1+((Inputs!$G$5:$G$140&lt;&gt;"moeda")*(Inputs!$G$5:$G$140&lt;&gt;"acoes")))*INDEX(Inputs!$K$5:$AJ$140,0,MATCH(V$2,Inputs!$K$4:$AJ$4,0)))+SUMPRODUCT((Inputs!$E$5:$E$140=$B47)*Inputs!$F$5:$F$140*(((Inputs!$G$5:$G$140="moeda")+(Inputs!$G$5:$G$140="acoes"))*Inputs!$B$1+((Inputs!$G$5:$G$140&lt;&gt;"moeda")*(Inputs!$G$5:$G$140&lt;&gt;"acoes")))*INDEX(Inputs!$K$5:$AJ$140,0,MATCH(V$2,Inputs!$K$4:$AJ$4,0)))))</f>
        <v>813.24</v>
      </c>
      <c r="W47" s="3">
        <f>V47</f>
        <v>813.24</v>
      </c>
      <c r="X47" s="6">
        <f>IF(ISNA(MATCH(X$2,Inputs!$K$4:$AJ$4,0)),NA(),IF(SUMPRODUCT((Inputs!$A$5:$A$140=$B47)*ISNUMBER(INDEX(Inputs!$K$5:$AJ$140,0,MATCH(X$2,Inputs!$K$4:$AJ$4,0))))+SUMPRODUCT((Inputs!$C$5:$C$140=$B47)*ISNUMBER(INDEX(Inputs!$K$5:$AJ$140,0,MATCH(X$2,Inputs!$K$4:$AJ$4,0))))+SUMPRODUCT((Inputs!$E$5:$E$140=$B47)*ISNUMBER(INDEX(Inputs!$K$5:$AJ$140,0,MATCH(X$2,Inputs!$K$4:$AJ$4,0))))=0,NA(),SUMPRODUCT((Inputs!$A$5:$A$140=$B47)*Inputs!$B$5:$B$140*(((Inputs!$G$5:$G$140="moeda")+(Inputs!$G$5:$G$140="acoes"))*Inputs!$B$1+((Inputs!$G$5:$G$140&lt;&gt;"moeda")*(Inputs!$G$5:$G$140&lt;&gt;"acoes")))*INDEX(Inputs!$K$5:$AJ$140,0,MATCH(X$2,Inputs!$K$4:$AJ$4,0)))+SUMPRODUCT((Inputs!$C$5:$C$140=$B47)*Inputs!$D$5:$D$140*(((Inputs!$G$5:$G$140="moeda")+(Inputs!$G$5:$G$140="acoes"))*Inputs!$B$1+((Inputs!$G$5:$G$140&lt;&gt;"moeda")*(Inputs!$G$5:$G$140&lt;&gt;"acoes")))*INDEX(Inputs!$K$5:$AJ$140,0,MATCH(X$2,Inputs!$K$4:$AJ$4,0)))+SUMPRODUCT((Inputs!$E$5:$E$140=$B47)*Inputs!$F$5:$F$140*(((Inputs!$G$5:$G$140="moeda")+(Inputs!$G$5:$G$140="acoes"))*Inputs!$B$1+((Inputs!$G$5:$G$140&lt;&gt;"moeda")*(Inputs!$G$5:$G$140&lt;&gt;"acoes")))*INDEX(Inputs!$K$5:$AJ$140,0,MATCH(X$2,Inputs!$K$4:$AJ$4,0)))))</f>
        <v>950.475</v>
      </c>
      <c r="Y47" s="6">
        <f>IF(ISNA(MATCH(Y$2,Inputs!$K$4:$AJ$4,0)),NA(),IF(SUMPRODUCT((Inputs!$A$5:$A$140=$B47)*ISNUMBER(INDEX(Inputs!$K$5:$AJ$140,0,MATCH(Y$2,Inputs!$K$4:$AJ$4,0))))+SUMPRODUCT((Inputs!$C$5:$C$140=$B47)*ISNUMBER(INDEX(Inputs!$K$5:$AJ$140,0,MATCH(Y$2,Inputs!$K$4:$AJ$4,0))))+SUMPRODUCT((Inputs!$E$5:$E$140=$B47)*ISNUMBER(INDEX(Inputs!$K$5:$AJ$140,0,MATCH(Y$2,Inputs!$K$4:$AJ$4,0))))=0,NA(),SUMPRODUCT((Inputs!$A$5:$A$140=$B47)*Inputs!$B$5:$B$140*(((Inputs!$G$5:$G$140="moeda")+(Inputs!$G$5:$G$140="acoes"))*Inputs!$B$1+((Inputs!$G$5:$G$140&lt;&gt;"moeda")*(Inputs!$G$5:$G$140&lt;&gt;"acoes")))*INDEX(Inputs!$K$5:$AJ$140,0,MATCH(Y$2,Inputs!$K$4:$AJ$4,0)))+SUMPRODUCT((Inputs!$C$5:$C$140=$B47)*Inputs!$D$5:$D$140*(((Inputs!$G$5:$G$140="moeda")+(Inputs!$G$5:$G$140="acoes"))*Inputs!$B$1+((Inputs!$G$5:$G$140&lt;&gt;"moeda")*(Inputs!$G$5:$G$140&lt;&gt;"acoes")))*INDEX(Inputs!$K$5:$AJ$140,0,MATCH(Y$2,Inputs!$K$4:$AJ$4,0)))+SUMPRODUCT((Inputs!$E$5:$E$140=$B47)*Inputs!$F$5:$F$140*(((Inputs!$G$5:$G$140="moeda")+(Inputs!$G$5:$G$140="acoes"))*Inputs!$B$1+((Inputs!$G$5:$G$140&lt;&gt;"moeda")*(Inputs!$G$5:$G$140&lt;&gt;"acoes")))*INDEX(Inputs!$K$5:$AJ$140,0,MATCH(Y$2,Inputs!$K$4:$AJ$4,0)))))</f>
        <v>1189.991</v>
      </c>
      <c r="Z47" s="6">
        <f>IF(ISNA(MATCH(Z$2,Inputs!$K$4:$AJ$4,0)),NA(),IF(SUMPRODUCT((Inputs!$A$5:$A$140=$B47)*ISNUMBER(INDEX(Inputs!$K$5:$AJ$140,0,MATCH(Z$2,Inputs!$K$4:$AJ$4,0))))+SUMPRODUCT((Inputs!$C$5:$C$140=$B47)*ISNUMBER(INDEX(Inputs!$K$5:$AJ$140,0,MATCH(Z$2,Inputs!$K$4:$AJ$4,0))))+SUMPRODUCT((Inputs!$E$5:$E$140=$B47)*ISNUMBER(INDEX(Inputs!$K$5:$AJ$140,0,MATCH(Z$2,Inputs!$K$4:$AJ$4,0))))=0,NA(),SUMPRODUCT((Inputs!$A$5:$A$140=$B47)*Inputs!$B$5:$B$140*(((Inputs!$G$5:$G$140="moeda")+(Inputs!$G$5:$G$140="acoes"))*Inputs!$B$1+((Inputs!$G$5:$G$140&lt;&gt;"moeda")*(Inputs!$G$5:$G$140&lt;&gt;"acoes")))*INDEX(Inputs!$K$5:$AJ$140,0,MATCH(Z$2,Inputs!$K$4:$AJ$4,0)))+SUMPRODUCT((Inputs!$C$5:$C$140=$B47)*Inputs!$D$5:$D$140*(((Inputs!$G$5:$G$140="moeda")+(Inputs!$G$5:$G$140="acoes"))*Inputs!$B$1+((Inputs!$G$5:$G$140&lt;&gt;"moeda")*(Inputs!$G$5:$G$140&lt;&gt;"acoes")))*INDEX(Inputs!$K$5:$AJ$140,0,MATCH(Z$2,Inputs!$K$4:$AJ$4,0)))+SUMPRODUCT((Inputs!$E$5:$E$140=$B47)*Inputs!$F$5:$F$140*(((Inputs!$G$5:$G$140="moeda")+(Inputs!$G$5:$G$140="acoes"))*Inputs!$B$1+((Inputs!$G$5:$G$140&lt;&gt;"moeda")*(Inputs!$G$5:$G$140&lt;&gt;"acoes")))*INDEX(Inputs!$K$5:$AJ$140,0,MATCH(Z$2,Inputs!$K$4:$AJ$4,0)))))</f>
        <v>1873.287</v>
      </c>
      <c r="AA47" s="6">
        <f>IF(ISNA(MATCH(AA$2,Inputs!$K$4:$AJ$4,0)),NA(),IF(SUMPRODUCT((Inputs!$A$5:$A$140=$B47)*ISNUMBER(INDEX(Inputs!$K$5:$AJ$140,0,MATCH(AA$2,Inputs!$K$4:$AJ$4,0))))+SUMPRODUCT((Inputs!$C$5:$C$140=$B47)*ISNUMBER(INDEX(Inputs!$K$5:$AJ$140,0,MATCH(AA$2,Inputs!$K$4:$AJ$4,0))))+SUMPRODUCT((Inputs!$E$5:$E$140=$B47)*ISNUMBER(INDEX(Inputs!$K$5:$AJ$140,0,MATCH(AA$2,Inputs!$K$4:$AJ$4,0))))=0,NA(),SUMPRODUCT((Inputs!$A$5:$A$140=$B47)*Inputs!$B$5:$B$140*(((Inputs!$G$5:$G$140="moeda")+(Inputs!$G$5:$G$140="acoes"))*Inputs!$B$1+((Inputs!$G$5:$G$140&lt;&gt;"moeda")*(Inputs!$G$5:$G$140&lt;&gt;"acoes")))*INDEX(Inputs!$K$5:$AJ$140,0,MATCH(AA$2,Inputs!$K$4:$AJ$4,0)))+SUMPRODUCT((Inputs!$C$5:$C$140=$B47)*Inputs!$D$5:$D$140*(((Inputs!$G$5:$G$140="moeda")+(Inputs!$G$5:$G$140="acoes"))*Inputs!$B$1+((Inputs!$G$5:$G$140&lt;&gt;"moeda")*(Inputs!$G$5:$G$140&lt;&gt;"acoes")))*INDEX(Inputs!$K$5:$AJ$140,0,MATCH(AA$2,Inputs!$K$4:$AJ$4,0)))+SUMPRODUCT((Inputs!$E$5:$E$140=$B47)*Inputs!$F$5:$F$140*(((Inputs!$G$5:$G$140="moeda")+(Inputs!$G$5:$G$140="acoes"))*Inputs!$B$1+((Inputs!$G$5:$G$140&lt;&gt;"moeda")*(Inputs!$G$5:$G$140&lt;&gt;"acoes")))*INDEX(Inputs!$K$5:$AJ$140,0,MATCH(AA$2,Inputs!$K$4:$AJ$4,0)))))</f>
        <v>2050.983</v>
      </c>
      <c r="AB47" s="3">
        <f>AA47</f>
        <v>2050.983</v>
      </c>
      <c r="AC47" s="6">
        <f>IF(ISNA(MATCH(AC$2,Inputs!$K$4:$AJ$4,0)),NA(),IF(SUMPRODUCT((Inputs!$A$5:$A$140=$B47)*ISNUMBER(INDEX(Inputs!$K$5:$AJ$140,0,MATCH(AC$2,Inputs!$K$4:$AJ$4,0))))+SUMPRODUCT((Inputs!$C$5:$C$140=$B47)*ISNUMBER(INDEX(Inputs!$K$5:$AJ$140,0,MATCH(AC$2,Inputs!$K$4:$AJ$4,0))))+SUMPRODUCT((Inputs!$E$5:$E$140=$B47)*ISNUMBER(INDEX(Inputs!$K$5:$AJ$140,0,MATCH(AC$2,Inputs!$K$4:$AJ$4,0))))=0,NA(),SUMPRODUCT((Inputs!$A$5:$A$140=$B47)*Inputs!$B$5:$B$140*(((Inputs!$G$5:$G$140="moeda")+(Inputs!$G$5:$G$140="acoes"))*Inputs!$B$1+((Inputs!$G$5:$G$140&lt;&gt;"moeda")*(Inputs!$G$5:$G$140&lt;&gt;"acoes")))*INDEX(Inputs!$K$5:$AJ$140,0,MATCH(AC$2,Inputs!$K$4:$AJ$4,0)))+SUMPRODUCT((Inputs!$C$5:$C$140=$B47)*Inputs!$D$5:$D$140*(((Inputs!$G$5:$G$140="moeda")+(Inputs!$G$5:$G$140="acoes"))*Inputs!$B$1+((Inputs!$G$5:$G$140&lt;&gt;"moeda")*(Inputs!$G$5:$G$140&lt;&gt;"acoes")))*INDEX(Inputs!$K$5:$AJ$140,0,MATCH(AC$2,Inputs!$K$4:$AJ$4,0)))+SUMPRODUCT((Inputs!$E$5:$E$140=$B47)*Inputs!$F$5:$F$140*(((Inputs!$G$5:$G$140="moeda")+(Inputs!$G$5:$G$140="acoes"))*Inputs!$B$1+((Inputs!$G$5:$G$140&lt;&gt;"moeda")*(Inputs!$G$5:$G$140&lt;&gt;"acoes")))*INDEX(Inputs!$K$5:$AJ$140,0,MATCH(AC$2,Inputs!$K$4:$AJ$4,0)))))</f>
        <v>2263.864</v>
      </c>
      <c r="AD47" s="6">
        <f>IF(ISNA(MATCH(AD$2,Inputs!$K$4:$AJ$4,0)),NA(),IF(SUMPRODUCT((Inputs!$A$5:$A$140=$B47)*ISNUMBER(INDEX(Inputs!$K$5:$AJ$140,0,MATCH(AD$2,Inputs!$K$4:$AJ$4,0))))+SUMPRODUCT((Inputs!$C$5:$C$140=$B47)*ISNUMBER(INDEX(Inputs!$K$5:$AJ$140,0,MATCH(AD$2,Inputs!$K$4:$AJ$4,0))))+SUMPRODUCT((Inputs!$E$5:$E$140=$B47)*ISNUMBER(INDEX(Inputs!$K$5:$AJ$140,0,MATCH(AD$2,Inputs!$K$4:$AJ$4,0))))=0,NA(),SUMPRODUCT((Inputs!$A$5:$A$140=$B47)*Inputs!$B$5:$B$140*(((Inputs!$G$5:$G$140="moeda")+(Inputs!$G$5:$G$140="acoes"))*Inputs!$B$1+((Inputs!$G$5:$G$140&lt;&gt;"moeda")*(Inputs!$G$5:$G$140&lt;&gt;"acoes")))*INDEX(Inputs!$K$5:$AJ$140,0,MATCH(AD$2,Inputs!$K$4:$AJ$4,0)))+SUMPRODUCT((Inputs!$C$5:$C$140=$B47)*Inputs!$D$5:$D$140*(((Inputs!$G$5:$G$140="moeda")+(Inputs!$G$5:$G$140="acoes"))*Inputs!$B$1+((Inputs!$G$5:$G$140&lt;&gt;"moeda")*(Inputs!$G$5:$G$140&lt;&gt;"acoes")))*INDEX(Inputs!$K$5:$AJ$140,0,MATCH(AD$2,Inputs!$K$4:$AJ$4,0)))+SUMPRODUCT((Inputs!$E$5:$E$140=$B47)*Inputs!$F$5:$F$140*(((Inputs!$G$5:$G$140="moeda")+(Inputs!$G$5:$G$140="acoes"))*Inputs!$B$1+((Inputs!$G$5:$G$140&lt;&gt;"moeda")*(Inputs!$G$5:$G$140&lt;&gt;"acoes")))*INDEX(Inputs!$K$5:$AJ$140,0,MATCH(AD$2,Inputs!$K$4:$AJ$4,0)))))</f>
        <v>2500.669</v>
      </c>
      <c r="AE47" s="6" t="e">
        <f>IF(ISNA(MATCH(AE$2,Inputs!$K$4:$AJ$4,0)),NA(),IF(SUMPRODUCT((Inputs!$A$5:$A$140=$B47)*ISNUMBER(INDEX(Inputs!$K$5:$AJ$140,0,MATCH(AE$2,Inputs!$K$4:$AJ$4,0))))+SUMPRODUCT((Inputs!$C$5:$C$140=$B47)*ISNUMBER(INDEX(Inputs!$K$5:$AJ$140,0,MATCH(AE$2,Inputs!$K$4:$AJ$4,0))))+SUMPRODUCT((Inputs!$E$5:$E$140=$B47)*ISNUMBER(INDEX(Inputs!$K$5:$AJ$140,0,MATCH(AE$2,Inputs!$K$4:$AJ$4,0))))=0,NA(),SUMPRODUCT((Inputs!$A$5:$A$140=$B47)*Inputs!$B$5:$B$140*(((Inputs!$G$5:$G$140="moeda")+(Inputs!$G$5:$G$140="acoes"))*Inputs!$B$1+((Inputs!$G$5:$G$140&lt;&gt;"moeda")*(Inputs!$G$5:$G$140&lt;&gt;"acoes")))*INDEX(Inputs!$K$5:$AJ$140,0,MATCH(AE$2,Inputs!$K$4:$AJ$4,0)))+SUMPRODUCT((Inputs!$C$5:$C$140=$B47)*Inputs!$D$5:$D$140*(((Inputs!$G$5:$G$140="moeda")+(Inputs!$G$5:$G$140="acoes"))*Inputs!$B$1+((Inputs!$G$5:$G$140&lt;&gt;"moeda")*(Inputs!$G$5:$G$140&lt;&gt;"acoes")))*INDEX(Inputs!$K$5:$AJ$140,0,MATCH(AE$2,Inputs!$K$4:$AJ$4,0)))+SUMPRODUCT((Inputs!$E$5:$E$140=$B47)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7" s="6" t="e">
        <f>IF(ISNA(MATCH(AF$2,Inputs!$K$4:$AJ$4,0)),NA(),IF(SUMPRODUCT((Inputs!$A$5:$A$140=$B47)*ISNUMBER(INDEX(Inputs!$K$5:$AJ$140,0,MATCH(AF$2,Inputs!$K$4:$AJ$4,0))))+SUMPRODUCT((Inputs!$C$5:$C$140=$B47)*ISNUMBER(INDEX(Inputs!$K$5:$AJ$140,0,MATCH(AF$2,Inputs!$K$4:$AJ$4,0))))+SUMPRODUCT((Inputs!$E$5:$E$140=$B47)*ISNUMBER(INDEX(Inputs!$K$5:$AJ$140,0,MATCH(AF$2,Inputs!$K$4:$AJ$4,0))))=0,NA(),SUMPRODUCT((Inputs!$A$5:$A$140=$B47)*Inputs!$B$5:$B$140*(((Inputs!$G$5:$G$140="moeda")+(Inputs!$G$5:$G$140="acoes"))*Inputs!$B$1+((Inputs!$G$5:$G$140&lt;&gt;"moeda")*(Inputs!$G$5:$G$140&lt;&gt;"acoes")))*INDEX(Inputs!$K$5:$AJ$140,0,MATCH(AF$2,Inputs!$K$4:$AJ$4,0)))+SUMPRODUCT((Inputs!$C$5:$C$140=$B47)*Inputs!$D$5:$D$140*(((Inputs!$G$5:$G$140="moeda")+(Inputs!$G$5:$G$140="acoes"))*Inputs!$B$1+((Inputs!$G$5:$G$140&lt;&gt;"moeda")*(Inputs!$G$5:$G$140&lt;&gt;"acoes")))*INDEX(Inputs!$K$5:$AJ$140,0,MATCH(AF$2,Inputs!$K$4:$AJ$4,0)))+SUMPRODUCT((Inputs!$E$5:$E$140=$B47)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7" s="3" t="e">
        <f>AF47</f>
        <v>#N/A</v>
      </c>
      <c r="AH47" s="6" t="e">
        <f>IF(ISNA(MATCH(AH$2,Inputs!$K$4:$AJ$4,0)),NA(),IF(SUMPRODUCT((Inputs!$A$5:$A$140=$B47)*ISNUMBER(INDEX(Inputs!$K$5:$AJ$140,0,MATCH(AH$2,Inputs!$K$4:$AJ$4,0))))+SUMPRODUCT((Inputs!$C$5:$C$140=$B47)*ISNUMBER(INDEX(Inputs!$K$5:$AJ$140,0,MATCH(AH$2,Inputs!$K$4:$AJ$4,0))))+SUMPRODUCT((Inputs!$E$5:$E$140=$B47)*ISNUMBER(INDEX(Inputs!$K$5:$AJ$140,0,MATCH(AH$2,Inputs!$K$4:$AJ$4,0))))=0,NA(),SUMPRODUCT((Inputs!$A$5:$A$140=$B47)*Inputs!$B$5:$B$140*(((Inputs!$G$5:$G$140="moeda")+(Inputs!$G$5:$G$140="acoes"))*Inputs!$B$1+((Inputs!$G$5:$G$140&lt;&gt;"moeda")*(Inputs!$G$5:$G$140&lt;&gt;"acoes")))*INDEX(Inputs!$K$5:$AJ$140,0,MATCH(AH$2,Inputs!$K$4:$AJ$4,0)))+SUMPRODUCT((Inputs!$C$5:$C$140=$B47)*Inputs!$D$5:$D$140*(((Inputs!$G$5:$G$140="moeda")+(Inputs!$G$5:$G$140="acoes"))*Inputs!$B$1+((Inputs!$G$5:$G$140&lt;&gt;"moeda")*(Inputs!$G$5:$G$140&lt;&gt;"acoes")))*INDEX(Inputs!$K$5:$AJ$140,0,MATCH(AH$2,Inputs!$K$4:$AJ$4,0)))+SUMPRODUCT((Inputs!$E$5:$E$140=$B47)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7" s="6">
        <f>IF(ISNA(MATCH(AI$2,Inputs!$K$4:$AJ$4,0)),NA(),IF(SUMPRODUCT((Inputs!$A$5:$A$140=$B47)*ISNUMBER(INDEX(Inputs!$K$5:$AJ$140,0,MATCH(AI$2,Inputs!$K$4:$AJ$4,0))))+SUMPRODUCT((Inputs!$C$5:$C$140=$B47)*ISNUMBER(INDEX(Inputs!$K$5:$AJ$140,0,MATCH(AI$2,Inputs!$K$4:$AJ$4,0))))+SUMPRODUCT((Inputs!$E$5:$E$140=$B47)*ISNUMBER(INDEX(Inputs!$K$5:$AJ$140,0,MATCH(AI$2,Inputs!$K$4:$AJ$4,0))))=0,NA(),SUMPRODUCT((Inputs!$A$5:$A$140=$B47)*Inputs!$B$5:$B$140*(((Inputs!$G$5:$G$140="moeda")+(Inputs!$G$5:$G$140="acoes"))*Inputs!$B$1+((Inputs!$G$5:$G$140&lt;&gt;"moeda")*(Inputs!$G$5:$G$140&lt;&gt;"acoes")))*INDEX(Inputs!$K$5:$AJ$140,0,MATCH(AI$2,Inputs!$K$4:$AJ$4,0)))+SUMPRODUCT((Inputs!$C$5:$C$140=$B47)*Inputs!$D$5:$D$140*(((Inputs!$G$5:$G$140="moeda")+(Inputs!$G$5:$G$140="acoes"))*Inputs!$B$1+((Inputs!$G$5:$G$140&lt;&gt;"moeda")*(Inputs!$G$5:$G$140&lt;&gt;"acoes")))*INDEX(Inputs!$K$5:$AJ$140,0,MATCH(AI$2,Inputs!$K$4:$AJ$4,0)))+SUMPRODUCT((Inputs!$E$5:$E$140=$B47)*Inputs!$F$5:$F$140*(((Inputs!$G$5:$G$140="moeda")+(Inputs!$G$5:$G$140="acoes"))*Inputs!$B$1+((Inputs!$G$5:$G$140&lt;&gt;"moeda")*(Inputs!$G$5:$G$140&lt;&gt;"acoes")))*INDEX(Inputs!$K$5:$AJ$140,0,MATCH(AI$2,Inputs!$K$4:$AJ$4,0)))))</f>
        <v>344.81</v>
      </c>
      <c r="AJ47" s="6">
        <f>IF(ISNA(MATCH(AJ$2,Inputs!$K$4:$AJ$4,0)),NA(),IF(SUMPRODUCT((Inputs!$A$5:$A$140=$B47)*ISNUMBER(INDEX(Inputs!$K$5:$AJ$140,0,MATCH(AJ$2,Inputs!$K$4:$AJ$4,0))))+SUMPRODUCT((Inputs!$C$5:$C$140=$B47)*ISNUMBER(INDEX(Inputs!$K$5:$AJ$140,0,MATCH(AJ$2,Inputs!$K$4:$AJ$4,0))))+SUMPRODUCT((Inputs!$E$5:$E$140=$B47)*ISNUMBER(INDEX(Inputs!$K$5:$AJ$140,0,MATCH(AJ$2,Inputs!$K$4:$AJ$4,0))))=0,NA(),SUMPRODUCT((Inputs!$A$5:$A$140=$B47)*Inputs!$B$5:$B$140*(((Inputs!$G$5:$G$140="moeda")+(Inputs!$G$5:$G$140="acoes"))*Inputs!$B$1+((Inputs!$G$5:$G$140&lt;&gt;"moeda")*(Inputs!$G$5:$G$140&lt;&gt;"acoes")))*INDEX(Inputs!$K$5:$AJ$140,0,MATCH(AJ$2,Inputs!$K$4:$AJ$4,0)))+SUMPRODUCT((Inputs!$C$5:$C$140=$B47)*Inputs!$D$5:$D$140*(((Inputs!$G$5:$G$140="moeda")+(Inputs!$G$5:$G$140="acoes"))*Inputs!$B$1+((Inputs!$G$5:$G$140&lt;&gt;"moeda")*(Inputs!$G$5:$G$140&lt;&gt;"acoes")))*INDEX(Inputs!$K$5:$AJ$140,0,MATCH(AJ$2,Inputs!$K$4:$AJ$4,0)))+SUMPRODUCT((Inputs!$E$5:$E$140=$B47)*Inputs!$F$5:$F$140*(((Inputs!$G$5:$G$140="moeda")+(Inputs!$G$5:$G$140="acoes"))*Inputs!$B$1+((Inputs!$G$5:$G$140&lt;&gt;"moeda")*(Inputs!$G$5:$G$140&lt;&gt;"acoes")))*INDEX(Inputs!$K$5:$AJ$140,0,MATCH(AJ$2,Inputs!$K$4:$AJ$4,0)))))</f>
        <v>580.206</v>
      </c>
      <c r="AK47" s="6">
        <f>IF(ISNA(MATCH(AK$2,Inputs!$K$4:$AJ$4,0)),NA(),IF(SUMPRODUCT((Inputs!$A$5:$A$140=$B47)*ISNUMBER(INDEX(Inputs!$K$5:$AJ$140,0,MATCH(AK$2,Inputs!$K$4:$AJ$4,0))))+SUMPRODUCT((Inputs!$C$5:$C$140=$B47)*ISNUMBER(INDEX(Inputs!$K$5:$AJ$140,0,MATCH(AK$2,Inputs!$K$4:$AJ$4,0))))+SUMPRODUCT((Inputs!$E$5:$E$140=$B47)*ISNUMBER(INDEX(Inputs!$K$5:$AJ$140,0,MATCH(AK$2,Inputs!$K$4:$AJ$4,0))))=0,NA(),SUMPRODUCT((Inputs!$A$5:$A$140=$B47)*Inputs!$B$5:$B$140*(((Inputs!$G$5:$G$140="moeda")+(Inputs!$G$5:$G$140="acoes"))*Inputs!$B$1+((Inputs!$G$5:$G$140&lt;&gt;"moeda")*(Inputs!$G$5:$G$140&lt;&gt;"acoes")))*INDEX(Inputs!$K$5:$AJ$140,0,MATCH(AK$2,Inputs!$K$4:$AJ$4,0)))+SUMPRODUCT((Inputs!$C$5:$C$140=$B47)*Inputs!$D$5:$D$140*(((Inputs!$G$5:$G$140="moeda")+(Inputs!$G$5:$G$140="acoes"))*Inputs!$B$1+((Inputs!$G$5:$G$140&lt;&gt;"moeda")*(Inputs!$G$5:$G$140&lt;&gt;"acoes")))*INDEX(Inputs!$K$5:$AJ$140,0,MATCH(AK$2,Inputs!$K$4:$AJ$4,0)))+SUMPRODUCT((Inputs!$E$5:$E$140=$B47)*Inputs!$F$5:$F$140*(((Inputs!$G$5:$G$140="moeda")+(Inputs!$G$5:$G$140="acoes"))*Inputs!$B$1+((Inputs!$G$5:$G$140&lt;&gt;"moeda")*(Inputs!$G$5:$G$140&lt;&gt;"acoes")))*INDEX(Inputs!$K$5:$AJ$140,0,MATCH(AK$2,Inputs!$K$4:$AJ$4,0)))))</f>
        <v>819.11</v>
      </c>
      <c r="AL47" s="3">
        <f>AK47</f>
        <v>819.11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$140=$B50)*ISNUMBER(INDEX(Inputs!$K$5:$AJ$140,0,MATCH(D$2,Inputs!$K$4:$AJ$4,0))))+SUMPRODUCT((Inputs!$C$5:$C$140=$B50)*ISNUMBER(INDEX(Inputs!$K$5:$AJ$140,0,MATCH(D$2,Inputs!$K$4:$AJ$4,0))))+SUMPRODUCT((Inputs!$E$5:$E$140=$B50)*ISNUMBER(INDEX(Inputs!$K$5:$AJ$140,0,MATCH(D$2,Inputs!$K$4:$AJ$4,0))))=0,NA(),SUMPRODUCT((Inputs!$A$5:$A$140=$B50)*Inputs!$B$5:$B$140*(((Inputs!$G$5:$G$140="moeda")+(Inputs!$G$5:$G$140="acoes"))*Inputs!$B$1+((Inputs!$G$5:$G$140&lt;&gt;"moeda")*(Inputs!$G$5:$G$140&lt;&gt;"acoes")))*INDEX(Inputs!$K$5:$AJ$140,0,MATCH(D$2,Inputs!$K$4:$AJ$4,0)))+SUMPRODUCT((Inputs!$C$5:$C$140=$B50)*Inputs!$D$5:$D$140*(((Inputs!$G$5:$G$140="moeda")+(Inputs!$G$5:$G$140="acoes"))*Inputs!$B$1+((Inputs!$G$5:$G$140&lt;&gt;"moeda")*(Inputs!$G$5:$G$140&lt;&gt;"acoes")))*INDEX(Inputs!$K$5:$AJ$140,0,MATCH(D$2,Inputs!$K$4:$AJ$4,0)))+SUMPRODUCT((Inputs!$E$5:$E$140=$B50)*Inputs!$F$5:$F$140*(((Inputs!$G$5:$G$140="moeda")+(Inputs!$G$5:$G$140="acoes"))*Inputs!$B$1+((Inputs!$G$5:$G$140&lt;&gt;"moeda")*(Inputs!$G$5:$G$140&lt;&gt;"acoes")))*INDEX(Inputs!$K$5:$AJ$140,0,MATCH(D$2,Inputs!$K$4:$AJ$4,0)))))</f>
        <v>156.721154309999</v>
      </c>
      <c r="E50" s="6">
        <f>IF(ISNA(MATCH(E$2,Inputs!$K$4:$AJ$4,0)),NA(),IF(SUMPRODUCT((Inputs!$A$5:$A$140=$B50)*ISNUMBER(INDEX(Inputs!$K$5:$AJ$140,0,MATCH(E$2,Inputs!$K$4:$AJ$4,0))))+SUMPRODUCT((Inputs!$C$5:$C$140=$B50)*ISNUMBER(INDEX(Inputs!$K$5:$AJ$140,0,MATCH(E$2,Inputs!$K$4:$AJ$4,0))))+SUMPRODUCT((Inputs!$E$5:$E$140=$B50)*ISNUMBER(INDEX(Inputs!$K$5:$AJ$140,0,MATCH(E$2,Inputs!$K$4:$AJ$4,0))))=0,NA(),SUMPRODUCT((Inputs!$A$5:$A$140=$B50)*Inputs!$B$5:$B$140*(((Inputs!$G$5:$G$140="moeda")+(Inputs!$G$5:$G$140="acoes"))*Inputs!$B$1+((Inputs!$G$5:$G$140&lt;&gt;"moeda")*(Inputs!$G$5:$G$140&lt;&gt;"acoes")))*INDEX(Inputs!$K$5:$AJ$140,0,MATCH(E$2,Inputs!$K$4:$AJ$4,0)))+SUMPRODUCT((Inputs!$C$5:$C$140=$B50)*Inputs!$D$5:$D$140*(((Inputs!$G$5:$G$140="moeda")+(Inputs!$G$5:$G$140="acoes"))*Inputs!$B$1+((Inputs!$G$5:$G$140&lt;&gt;"moeda")*(Inputs!$G$5:$G$140&lt;&gt;"acoes")))*INDEX(Inputs!$K$5:$AJ$140,0,MATCH(E$2,Inputs!$K$4:$AJ$4,0)))+SUMPRODUCT((Inputs!$E$5:$E$140=$B50)*Inputs!$F$5:$F$140*(((Inputs!$G$5:$G$140="moeda")+(Inputs!$G$5:$G$140="acoes"))*Inputs!$B$1+((Inputs!$G$5:$G$140&lt;&gt;"moeda")*(Inputs!$G$5:$G$140&lt;&gt;"acoes")))*INDEX(Inputs!$K$5:$AJ$140,0,MATCH(E$2,Inputs!$K$4:$AJ$4,0)))))</f>
        <v>190.563345490001</v>
      </c>
      <c r="F50" s="6">
        <f>IF(ISNA(MATCH(F$2,Inputs!$K$4:$AJ$4,0)),NA(),IF(SUMPRODUCT((Inputs!$A$5:$A$140=$B50)*ISNUMBER(INDEX(Inputs!$K$5:$AJ$140,0,MATCH(F$2,Inputs!$K$4:$AJ$4,0))))+SUMPRODUCT((Inputs!$C$5:$C$140=$B50)*ISNUMBER(INDEX(Inputs!$K$5:$AJ$140,0,MATCH(F$2,Inputs!$K$4:$AJ$4,0))))+SUMPRODUCT((Inputs!$E$5:$E$140=$B50)*ISNUMBER(INDEX(Inputs!$K$5:$AJ$140,0,MATCH(F$2,Inputs!$K$4:$AJ$4,0))))=0,NA(),SUMPRODUCT((Inputs!$A$5:$A$140=$B50)*Inputs!$B$5:$B$140*(((Inputs!$G$5:$G$140="moeda")+(Inputs!$G$5:$G$140="acoes"))*Inputs!$B$1+((Inputs!$G$5:$G$140&lt;&gt;"moeda")*(Inputs!$G$5:$G$140&lt;&gt;"acoes")))*INDEX(Inputs!$K$5:$AJ$140,0,MATCH(F$2,Inputs!$K$4:$AJ$4,0)))+SUMPRODUCT((Inputs!$C$5:$C$140=$B50)*Inputs!$D$5:$D$140*(((Inputs!$G$5:$G$140="moeda")+(Inputs!$G$5:$G$140="acoes"))*Inputs!$B$1+((Inputs!$G$5:$G$140&lt;&gt;"moeda")*(Inputs!$G$5:$G$140&lt;&gt;"acoes")))*INDEX(Inputs!$K$5:$AJ$140,0,MATCH(F$2,Inputs!$K$4:$AJ$4,0)))+SUMPRODUCT((Inputs!$E$5:$E$140=$B50)*Inputs!$F$5:$F$140*(((Inputs!$G$5:$G$140="moeda")+(Inputs!$G$5:$G$140="acoes"))*Inputs!$B$1+((Inputs!$G$5:$G$140&lt;&gt;"moeda")*(Inputs!$G$5:$G$140&lt;&gt;"acoes")))*INDEX(Inputs!$K$5:$AJ$140,0,MATCH(F$2,Inputs!$K$4:$AJ$4,0)))))</f>
        <v>213.424</v>
      </c>
      <c r="G50" s="6">
        <f>IF(ISNA(MATCH(G$2,Inputs!$K$4:$AJ$4,0)),NA(),IF(SUMPRODUCT((Inputs!$A$5:$A$140=$B50)*ISNUMBER(INDEX(Inputs!$K$5:$AJ$140,0,MATCH(G$2,Inputs!$K$4:$AJ$4,0))))+SUMPRODUCT((Inputs!$C$5:$C$140=$B50)*ISNUMBER(INDEX(Inputs!$K$5:$AJ$140,0,MATCH(G$2,Inputs!$K$4:$AJ$4,0))))+SUMPRODUCT((Inputs!$E$5:$E$140=$B50)*ISNUMBER(INDEX(Inputs!$K$5:$AJ$140,0,MATCH(G$2,Inputs!$K$4:$AJ$4,0))))=0,NA(),SUMPRODUCT((Inputs!$A$5:$A$140=$B50)*Inputs!$B$5:$B$140*(((Inputs!$G$5:$G$140="moeda")+(Inputs!$G$5:$G$140="acoes"))*Inputs!$B$1+((Inputs!$G$5:$G$140&lt;&gt;"moeda")*(Inputs!$G$5:$G$140&lt;&gt;"acoes")))*INDEX(Inputs!$K$5:$AJ$140,0,MATCH(G$2,Inputs!$K$4:$AJ$4,0)))+SUMPRODUCT((Inputs!$C$5:$C$140=$B50)*Inputs!$D$5:$D$140*(((Inputs!$G$5:$G$140="moeda")+(Inputs!$G$5:$G$140="acoes"))*Inputs!$B$1+((Inputs!$G$5:$G$140&lt;&gt;"moeda")*(Inputs!$G$5:$G$140&lt;&gt;"acoes")))*INDEX(Inputs!$K$5:$AJ$140,0,MATCH(G$2,Inputs!$K$4:$AJ$4,0)))+SUMPRODUCT((Inputs!$E$5:$E$140=$B50)*Inputs!$F$5:$F$140*(((Inputs!$G$5:$G$140="moeda")+(Inputs!$G$5:$G$140="acoes"))*Inputs!$B$1+((Inputs!$G$5:$G$140&lt;&gt;"moeda")*(Inputs!$G$5:$G$140&lt;&gt;"acoes")))*INDEX(Inputs!$K$5:$AJ$140,0,MATCH(G$2,Inputs!$K$4:$AJ$4,0)))))</f>
        <v>208.08263300999</v>
      </c>
      <c r="H50" s="3">
        <f>SUM(D50:G50)</f>
        <v>768.79113280999</v>
      </c>
      <c r="I50" s="6">
        <f>IF(ISNA(MATCH(I$2,Inputs!$K$4:$AJ$4,0)),NA(),IF(SUMPRODUCT((Inputs!$A$5:$A$140=$B50)*ISNUMBER(INDEX(Inputs!$K$5:$AJ$140,0,MATCH(I$2,Inputs!$K$4:$AJ$4,0))))+SUMPRODUCT((Inputs!$C$5:$C$140=$B50)*ISNUMBER(INDEX(Inputs!$K$5:$AJ$140,0,MATCH(I$2,Inputs!$K$4:$AJ$4,0))))+SUMPRODUCT((Inputs!$E$5:$E$140=$B50)*ISNUMBER(INDEX(Inputs!$K$5:$AJ$140,0,MATCH(I$2,Inputs!$K$4:$AJ$4,0))))=0,NA(),SUMPRODUCT((Inputs!$A$5:$A$140=$B50)*Inputs!$B$5:$B$140*(((Inputs!$G$5:$G$140="moeda")+(Inputs!$G$5:$G$140="acoes"))*Inputs!$B$1+((Inputs!$G$5:$G$140&lt;&gt;"moeda")*(Inputs!$G$5:$G$140&lt;&gt;"acoes")))*INDEX(Inputs!$K$5:$AJ$140,0,MATCH(I$2,Inputs!$K$4:$AJ$4,0)))+SUMPRODUCT((Inputs!$C$5:$C$140=$B50)*Inputs!$D$5:$D$140*(((Inputs!$G$5:$G$140="moeda")+(Inputs!$G$5:$G$140="acoes"))*Inputs!$B$1+((Inputs!$G$5:$G$140&lt;&gt;"moeda")*(Inputs!$G$5:$G$140&lt;&gt;"acoes")))*INDEX(Inputs!$K$5:$AJ$140,0,MATCH(I$2,Inputs!$K$4:$AJ$4,0)))+SUMPRODUCT((Inputs!$E$5:$E$140=$B50)*Inputs!$F$5:$F$140*(((Inputs!$G$5:$G$140="moeda")+(Inputs!$G$5:$G$140="acoes"))*Inputs!$B$1+((Inputs!$G$5:$G$140&lt;&gt;"moeda")*(Inputs!$G$5:$G$140&lt;&gt;"acoes")))*INDEX(Inputs!$K$5:$AJ$140,0,MATCH(I$2,Inputs!$K$4:$AJ$4,0)))))</f>
        <v>199.21184191</v>
      </c>
      <c r="J50" s="6">
        <f>IF(ISNA(MATCH(J$2,Inputs!$K$4:$AJ$4,0)),NA(),IF(SUMPRODUCT((Inputs!$A$5:$A$140=$B50)*ISNUMBER(INDEX(Inputs!$K$5:$AJ$140,0,MATCH(J$2,Inputs!$K$4:$AJ$4,0))))+SUMPRODUCT((Inputs!$C$5:$C$140=$B50)*ISNUMBER(INDEX(Inputs!$K$5:$AJ$140,0,MATCH(J$2,Inputs!$K$4:$AJ$4,0))))+SUMPRODUCT((Inputs!$E$5:$E$140=$B50)*ISNUMBER(INDEX(Inputs!$K$5:$AJ$140,0,MATCH(J$2,Inputs!$K$4:$AJ$4,0))))=0,NA(),SUMPRODUCT((Inputs!$A$5:$A$140=$B50)*Inputs!$B$5:$B$140*(((Inputs!$G$5:$G$140="moeda")+(Inputs!$G$5:$G$140="acoes"))*Inputs!$B$1+((Inputs!$G$5:$G$140&lt;&gt;"moeda")*(Inputs!$G$5:$G$140&lt;&gt;"acoes")))*INDEX(Inputs!$K$5:$AJ$140,0,MATCH(J$2,Inputs!$K$4:$AJ$4,0)))+SUMPRODUCT((Inputs!$C$5:$C$140=$B50)*Inputs!$D$5:$D$140*(((Inputs!$G$5:$G$140="moeda")+(Inputs!$G$5:$G$140="acoes"))*Inputs!$B$1+((Inputs!$G$5:$G$140&lt;&gt;"moeda")*(Inputs!$G$5:$G$140&lt;&gt;"acoes")))*INDEX(Inputs!$K$5:$AJ$140,0,MATCH(J$2,Inputs!$K$4:$AJ$4,0)))+SUMPRODUCT((Inputs!$E$5:$E$140=$B50)*Inputs!$F$5:$F$140*(((Inputs!$G$5:$G$140="moeda")+(Inputs!$G$5:$G$140="acoes"))*Inputs!$B$1+((Inputs!$G$5:$G$140&lt;&gt;"moeda")*(Inputs!$G$5:$G$140&lt;&gt;"acoes")))*INDEX(Inputs!$K$5:$AJ$140,0,MATCH(J$2,Inputs!$K$4:$AJ$4,0)))))</f>
        <v>264.12308316</v>
      </c>
      <c r="K50" s="6">
        <f>IF(ISNA(MATCH(K$2,Inputs!$K$4:$AJ$4,0)),NA(),IF(SUMPRODUCT((Inputs!$A$5:$A$140=$B50)*ISNUMBER(INDEX(Inputs!$K$5:$AJ$140,0,MATCH(K$2,Inputs!$K$4:$AJ$4,0))))+SUMPRODUCT((Inputs!$C$5:$C$140=$B50)*ISNUMBER(INDEX(Inputs!$K$5:$AJ$140,0,MATCH(K$2,Inputs!$K$4:$AJ$4,0))))+SUMPRODUCT((Inputs!$E$5:$E$140=$B50)*ISNUMBER(INDEX(Inputs!$K$5:$AJ$140,0,MATCH(K$2,Inputs!$K$4:$AJ$4,0))))=0,NA(),SUMPRODUCT((Inputs!$A$5:$A$140=$B50)*Inputs!$B$5:$B$140*(((Inputs!$G$5:$G$140="moeda")+(Inputs!$G$5:$G$140="acoes"))*Inputs!$B$1+((Inputs!$G$5:$G$140&lt;&gt;"moeda")*(Inputs!$G$5:$G$140&lt;&gt;"acoes")))*INDEX(Inputs!$K$5:$AJ$140,0,MATCH(K$2,Inputs!$K$4:$AJ$4,0)))+SUMPRODUCT((Inputs!$C$5:$C$140=$B50)*Inputs!$D$5:$D$140*(((Inputs!$G$5:$G$140="moeda")+(Inputs!$G$5:$G$140="acoes"))*Inputs!$B$1+((Inputs!$G$5:$G$140&lt;&gt;"moeda")*(Inputs!$G$5:$G$140&lt;&gt;"acoes")))*INDEX(Inputs!$K$5:$AJ$140,0,MATCH(K$2,Inputs!$K$4:$AJ$4,0)))+SUMPRODUCT((Inputs!$E$5:$E$140=$B50)*Inputs!$F$5:$F$140*(((Inputs!$G$5:$G$140="moeda")+(Inputs!$G$5:$G$140="acoes"))*Inputs!$B$1+((Inputs!$G$5:$G$140&lt;&gt;"moeda")*(Inputs!$G$5:$G$140&lt;&gt;"acoes")))*INDEX(Inputs!$K$5:$AJ$140,0,MATCH(K$2,Inputs!$K$4:$AJ$4,0)))))</f>
        <v>290.871</v>
      </c>
      <c r="L50" s="6">
        <f>IF(ISNA(MATCH(L$2,Inputs!$K$4:$AJ$4,0)),NA(),IF(SUMPRODUCT((Inputs!$A$5:$A$140=$B50)*ISNUMBER(INDEX(Inputs!$K$5:$AJ$140,0,MATCH(L$2,Inputs!$K$4:$AJ$4,0))))+SUMPRODUCT((Inputs!$C$5:$C$140=$B50)*ISNUMBER(INDEX(Inputs!$K$5:$AJ$140,0,MATCH(L$2,Inputs!$K$4:$AJ$4,0))))+SUMPRODUCT((Inputs!$E$5:$E$140=$B50)*ISNUMBER(INDEX(Inputs!$K$5:$AJ$140,0,MATCH(L$2,Inputs!$K$4:$AJ$4,0))))=0,NA(),SUMPRODUCT((Inputs!$A$5:$A$140=$B50)*Inputs!$B$5:$B$140*(((Inputs!$G$5:$G$140="moeda")+(Inputs!$G$5:$G$140="acoes"))*Inputs!$B$1+((Inputs!$G$5:$G$140&lt;&gt;"moeda")*(Inputs!$G$5:$G$140&lt;&gt;"acoes")))*INDEX(Inputs!$K$5:$AJ$140,0,MATCH(L$2,Inputs!$K$4:$AJ$4,0)))+SUMPRODUCT((Inputs!$C$5:$C$140=$B50)*Inputs!$D$5:$D$140*(((Inputs!$G$5:$G$140="moeda")+(Inputs!$G$5:$G$140="acoes"))*Inputs!$B$1+((Inputs!$G$5:$G$140&lt;&gt;"moeda")*(Inputs!$G$5:$G$140&lt;&gt;"acoes")))*INDEX(Inputs!$K$5:$AJ$140,0,MATCH(L$2,Inputs!$K$4:$AJ$4,0)))+SUMPRODUCT((Inputs!$E$5:$E$140=$B50)*Inputs!$F$5:$F$140*(((Inputs!$G$5:$G$140="moeda")+(Inputs!$G$5:$G$140="acoes"))*Inputs!$B$1+((Inputs!$G$5:$G$140&lt;&gt;"moeda")*(Inputs!$G$5:$G$140&lt;&gt;"acoes")))*INDEX(Inputs!$K$5:$AJ$140,0,MATCH(L$2,Inputs!$K$4:$AJ$4,0)))))</f>
        <v>310.58877903</v>
      </c>
      <c r="M50" s="3">
        <f>SUM(I50:L50)</f>
        <v>1064.7947041</v>
      </c>
      <c r="N50" s="6">
        <f>IF(ISNA(MATCH(N$2,Inputs!$K$4:$AJ$4,0)),NA(),IF(SUMPRODUCT((Inputs!$A$5:$A$140=$B50)*ISNUMBER(INDEX(Inputs!$K$5:$AJ$140,0,MATCH(N$2,Inputs!$K$4:$AJ$4,0))))+SUMPRODUCT((Inputs!$C$5:$C$140=$B50)*ISNUMBER(INDEX(Inputs!$K$5:$AJ$140,0,MATCH(N$2,Inputs!$K$4:$AJ$4,0))))+SUMPRODUCT((Inputs!$E$5:$E$140=$B50)*ISNUMBER(INDEX(Inputs!$K$5:$AJ$140,0,MATCH(N$2,Inputs!$K$4:$AJ$4,0))))=0,NA(),SUMPRODUCT((Inputs!$A$5:$A$140=$B50)*Inputs!$B$5:$B$140*(((Inputs!$G$5:$G$140="moeda")+(Inputs!$G$5:$G$140="acoes"))*Inputs!$B$1+((Inputs!$G$5:$G$140&lt;&gt;"moeda")*(Inputs!$G$5:$G$140&lt;&gt;"acoes")))*INDEX(Inputs!$K$5:$AJ$140,0,MATCH(N$2,Inputs!$K$4:$AJ$4,0)))+SUMPRODUCT((Inputs!$C$5:$C$140=$B50)*Inputs!$D$5:$D$140*(((Inputs!$G$5:$G$140="moeda")+(Inputs!$G$5:$G$140="acoes"))*Inputs!$B$1+((Inputs!$G$5:$G$140&lt;&gt;"moeda")*(Inputs!$G$5:$G$140&lt;&gt;"acoes")))*INDEX(Inputs!$K$5:$AJ$140,0,MATCH(N$2,Inputs!$K$4:$AJ$4,0)))+SUMPRODUCT((Inputs!$E$5:$E$140=$B50)*Inputs!$F$5:$F$140*(((Inputs!$G$5:$G$140="moeda")+(Inputs!$G$5:$G$140="acoes"))*Inputs!$B$1+((Inputs!$G$5:$G$140&lt;&gt;"moeda")*(Inputs!$G$5:$G$140&lt;&gt;"acoes")))*INDEX(Inputs!$K$5:$AJ$140,0,MATCH(N$2,Inputs!$K$4:$AJ$4,0)))))</f>
        <v>239.69166758</v>
      </c>
      <c r="O50" s="6">
        <f>IF(ISNA(MATCH(O$2,Inputs!$K$4:$AJ$4,0)),NA(),IF(SUMPRODUCT((Inputs!$A$5:$A$140=$B50)*ISNUMBER(INDEX(Inputs!$K$5:$AJ$140,0,MATCH(O$2,Inputs!$K$4:$AJ$4,0))))+SUMPRODUCT((Inputs!$C$5:$C$140=$B50)*ISNUMBER(INDEX(Inputs!$K$5:$AJ$140,0,MATCH(O$2,Inputs!$K$4:$AJ$4,0))))+SUMPRODUCT((Inputs!$E$5:$E$140=$B50)*ISNUMBER(INDEX(Inputs!$K$5:$AJ$140,0,MATCH(O$2,Inputs!$K$4:$AJ$4,0))))=0,NA(),SUMPRODUCT((Inputs!$A$5:$A$140=$B50)*Inputs!$B$5:$B$140*(((Inputs!$G$5:$G$140="moeda")+(Inputs!$G$5:$G$140="acoes"))*Inputs!$B$1+((Inputs!$G$5:$G$140&lt;&gt;"moeda")*(Inputs!$G$5:$G$140&lt;&gt;"acoes")))*INDEX(Inputs!$K$5:$AJ$140,0,MATCH(O$2,Inputs!$K$4:$AJ$4,0)))+SUMPRODUCT((Inputs!$C$5:$C$140=$B50)*Inputs!$D$5:$D$140*(((Inputs!$G$5:$G$140="moeda")+(Inputs!$G$5:$G$140="acoes"))*Inputs!$B$1+((Inputs!$G$5:$G$140&lt;&gt;"moeda")*(Inputs!$G$5:$G$140&lt;&gt;"acoes")))*INDEX(Inputs!$K$5:$AJ$140,0,MATCH(O$2,Inputs!$K$4:$AJ$4,0)))+SUMPRODUCT((Inputs!$E$5:$E$140=$B50)*Inputs!$F$5:$F$140*(((Inputs!$G$5:$G$140="moeda")+(Inputs!$G$5:$G$140="acoes"))*Inputs!$B$1+((Inputs!$G$5:$G$140&lt;&gt;"moeda")*(Inputs!$G$5:$G$140&lt;&gt;"acoes")))*INDEX(Inputs!$K$5:$AJ$140,0,MATCH(O$2,Inputs!$K$4:$AJ$4,0)))))</f>
        <v>293.233</v>
      </c>
      <c r="P50" s="6">
        <f>IF(ISNA(MATCH(P$2,Inputs!$K$4:$AJ$4,0)),NA(),IF(SUMPRODUCT((Inputs!$A$5:$A$140=$B50)*ISNUMBER(INDEX(Inputs!$K$5:$AJ$140,0,MATCH(P$2,Inputs!$K$4:$AJ$4,0))))+SUMPRODUCT((Inputs!$C$5:$C$140=$B50)*ISNUMBER(INDEX(Inputs!$K$5:$AJ$140,0,MATCH(P$2,Inputs!$K$4:$AJ$4,0))))+SUMPRODUCT((Inputs!$E$5:$E$140=$B50)*ISNUMBER(INDEX(Inputs!$K$5:$AJ$140,0,MATCH(P$2,Inputs!$K$4:$AJ$4,0))))=0,NA(),SUMPRODUCT((Inputs!$A$5:$A$140=$B50)*Inputs!$B$5:$B$140*(((Inputs!$G$5:$G$140="moeda")+(Inputs!$G$5:$G$140="acoes"))*Inputs!$B$1+((Inputs!$G$5:$G$140&lt;&gt;"moeda")*(Inputs!$G$5:$G$140&lt;&gt;"acoes")))*INDEX(Inputs!$K$5:$AJ$140,0,MATCH(P$2,Inputs!$K$4:$AJ$4,0)))+SUMPRODUCT((Inputs!$C$5:$C$140=$B50)*Inputs!$D$5:$D$140*(((Inputs!$G$5:$G$140="moeda")+(Inputs!$G$5:$G$140="acoes"))*Inputs!$B$1+((Inputs!$G$5:$G$140&lt;&gt;"moeda")*(Inputs!$G$5:$G$140&lt;&gt;"acoes")))*INDEX(Inputs!$K$5:$AJ$140,0,MATCH(P$2,Inputs!$K$4:$AJ$4,0)))+SUMPRODUCT((Inputs!$E$5:$E$140=$B50)*Inputs!$F$5:$F$140*(((Inputs!$G$5:$G$140="moeda")+(Inputs!$G$5:$G$140="acoes"))*Inputs!$B$1+((Inputs!$G$5:$G$140&lt;&gt;"moeda")*(Inputs!$G$5:$G$140&lt;&gt;"acoes")))*INDEX(Inputs!$K$5:$AJ$140,0,MATCH(P$2,Inputs!$K$4:$AJ$4,0)))))</f>
        <v>313.597</v>
      </c>
      <c r="Q50" s="6">
        <f>IF(ISNA(MATCH(Q$2,Inputs!$K$4:$AJ$4,0)),NA(),IF(SUMPRODUCT((Inputs!$A$5:$A$140=$B50)*ISNUMBER(INDEX(Inputs!$K$5:$AJ$140,0,MATCH(Q$2,Inputs!$K$4:$AJ$4,0))))+SUMPRODUCT((Inputs!$C$5:$C$140=$B50)*ISNUMBER(INDEX(Inputs!$K$5:$AJ$140,0,MATCH(Q$2,Inputs!$K$4:$AJ$4,0))))+SUMPRODUCT((Inputs!$E$5:$E$140=$B50)*ISNUMBER(INDEX(Inputs!$K$5:$AJ$140,0,MATCH(Q$2,Inputs!$K$4:$AJ$4,0))))=0,NA(),SUMPRODUCT((Inputs!$A$5:$A$140=$B50)*Inputs!$B$5:$B$140*(((Inputs!$G$5:$G$140="moeda")+(Inputs!$G$5:$G$140="acoes"))*Inputs!$B$1+((Inputs!$G$5:$G$140&lt;&gt;"moeda")*(Inputs!$G$5:$G$140&lt;&gt;"acoes")))*INDEX(Inputs!$K$5:$AJ$140,0,MATCH(Q$2,Inputs!$K$4:$AJ$4,0)))+SUMPRODUCT((Inputs!$C$5:$C$140=$B50)*Inputs!$D$5:$D$140*(((Inputs!$G$5:$G$140="moeda")+(Inputs!$G$5:$G$140="acoes"))*Inputs!$B$1+((Inputs!$G$5:$G$140&lt;&gt;"moeda")*(Inputs!$G$5:$G$140&lt;&gt;"acoes")))*INDEX(Inputs!$K$5:$AJ$140,0,MATCH(Q$2,Inputs!$K$4:$AJ$4,0)))+SUMPRODUCT((Inputs!$E$5:$E$140=$B50)*Inputs!$F$5:$F$140*(((Inputs!$G$5:$G$140="moeda")+(Inputs!$G$5:$G$140="acoes"))*Inputs!$B$1+((Inputs!$G$5:$G$140&lt;&gt;"moeda")*(Inputs!$G$5:$G$140&lt;&gt;"acoes")))*INDEX(Inputs!$K$5:$AJ$140,0,MATCH(Q$2,Inputs!$K$4:$AJ$4,0)))))</f>
        <v>388.117449900001</v>
      </c>
      <c r="R50" s="3">
        <f>SUM(N50:Q50)</f>
        <v>1234.63911748</v>
      </c>
      <c r="S50" s="6">
        <f>IF(ISNA(MATCH(S$2,Inputs!$K$4:$AJ$4,0)),NA(),IF(SUMPRODUCT((Inputs!$A$5:$A$140=$B50)*ISNUMBER(INDEX(Inputs!$K$5:$AJ$140,0,MATCH(S$2,Inputs!$K$4:$AJ$4,0))))+SUMPRODUCT((Inputs!$C$5:$C$140=$B50)*ISNUMBER(INDEX(Inputs!$K$5:$AJ$140,0,MATCH(S$2,Inputs!$K$4:$AJ$4,0))))+SUMPRODUCT((Inputs!$E$5:$E$140=$B50)*ISNUMBER(INDEX(Inputs!$K$5:$AJ$140,0,MATCH(S$2,Inputs!$K$4:$AJ$4,0))))=0,NA(),SUMPRODUCT((Inputs!$A$5:$A$140=$B50)*Inputs!$B$5:$B$140*(((Inputs!$G$5:$G$140="moeda")+(Inputs!$G$5:$G$140="acoes"))*Inputs!$B$1+((Inputs!$G$5:$G$140&lt;&gt;"moeda")*(Inputs!$G$5:$G$140&lt;&gt;"acoes")))*INDEX(Inputs!$K$5:$AJ$140,0,MATCH(S$2,Inputs!$K$4:$AJ$4,0)))+SUMPRODUCT((Inputs!$C$5:$C$140=$B50)*Inputs!$D$5:$D$140*(((Inputs!$G$5:$G$140="moeda")+(Inputs!$G$5:$G$140="acoes"))*Inputs!$B$1+((Inputs!$G$5:$G$140&lt;&gt;"moeda")*(Inputs!$G$5:$G$140&lt;&gt;"acoes")))*INDEX(Inputs!$K$5:$AJ$140,0,MATCH(S$2,Inputs!$K$4:$AJ$4,0)))+SUMPRODUCT((Inputs!$E$5:$E$140=$B50)*Inputs!$F$5:$F$140*(((Inputs!$G$5:$G$140="moeda")+(Inputs!$G$5:$G$140="acoes"))*Inputs!$B$1+((Inputs!$G$5:$G$140&lt;&gt;"moeda")*(Inputs!$G$5:$G$140&lt;&gt;"acoes")))*INDEX(Inputs!$K$5:$AJ$140,0,MATCH(S$2,Inputs!$K$4:$AJ$4,0)))))</f>
        <v>240.377781311575</v>
      </c>
      <c r="T50" s="6">
        <f>IF(ISNA(MATCH(T$2,Inputs!$K$4:$AJ$4,0)),NA(),IF(SUMPRODUCT((Inputs!$A$5:$A$140=$B50)*ISNUMBER(INDEX(Inputs!$K$5:$AJ$140,0,MATCH(T$2,Inputs!$K$4:$AJ$4,0))))+SUMPRODUCT((Inputs!$C$5:$C$140=$B50)*ISNUMBER(INDEX(Inputs!$K$5:$AJ$140,0,MATCH(T$2,Inputs!$K$4:$AJ$4,0))))+SUMPRODUCT((Inputs!$E$5:$E$140=$B50)*ISNUMBER(INDEX(Inputs!$K$5:$AJ$140,0,MATCH(T$2,Inputs!$K$4:$AJ$4,0))))=0,NA(),SUMPRODUCT((Inputs!$A$5:$A$140=$B50)*Inputs!$B$5:$B$140*(((Inputs!$G$5:$G$140="moeda")+(Inputs!$G$5:$G$140="acoes"))*Inputs!$B$1+((Inputs!$G$5:$G$140&lt;&gt;"moeda")*(Inputs!$G$5:$G$140&lt;&gt;"acoes")))*INDEX(Inputs!$K$5:$AJ$140,0,MATCH(T$2,Inputs!$K$4:$AJ$4,0)))+SUMPRODUCT((Inputs!$C$5:$C$140=$B50)*Inputs!$D$5:$D$140*(((Inputs!$G$5:$G$140="moeda")+(Inputs!$G$5:$G$140="acoes"))*Inputs!$B$1+((Inputs!$G$5:$G$140&lt;&gt;"moeda")*(Inputs!$G$5:$G$140&lt;&gt;"acoes")))*INDEX(Inputs!$K$5:$AJ$140,0,MATCH(T$2,Inputs!$K$4:$AJ$4,0)))+SUMPRODUCT((Inputs!$E$5:$E$140=$B50)*Inputs!$F$5:$F$140*(((Inputs!$G$5:$G$140="moeda")+(Inputs!$G$5:$G$140="acoes"))*Inputs!$B$1+((Inputs!$G$5:$G$140&lt;&gt;"moeda")*(Inputs!$G$5:$G$140&lt;&gt;"acoes")))*INDEX(Inputs!$K$5:$AJ$140,0,MATCH(T$2,Inputs!$K$4:$AJ$4,0)))))</f>
        <v>327.34421227111</v>
      </c>
      <c r="U50" s="6">
        <f>IF(ISNA(MATCH(U$2,Inputs!$K$4:$AJ$4,0)),NA(),IF(SUMPRODUCT((Inputs!$A$5:$A$140=$B50)*ISNUMBER(INDEX(Inputs!$K$5:$AJ$140,0,MATCH(U$2,Inputs!$K$4:$AJ$4,0))))+SUMPRODUCT((Inputs!$C$5:$C$140=$B50)*ISNUMBER(INDEX(Inputs!$K$5:$AJ$140,0,MATCH(U$2,Inputs!$K$4:$AJ$4,0))))+SUMPRODUCT((Inputs!$E$5:$E$140=$B50)*ISNUMBER(INDEX(Inputs!$K$5:$AJ$140,0,MATCH(U$2,Inputs!$K$4:$AJ$4,0))))=0,NA(),SUMPRODUCT((Inputs!$A$5:$A$140=$B50)*Inputs!$B$5:$B$140*(((Inputs!$G$5:$G$140="moeda")+(Inputs!$G$5:$G$140="acoes"))*Inputs!$B$1+((Inputs!$G$5:$G$140&lt;&gt;"moeda")*(Inputs!$G$5:$G$140&lt;&gt;"acoes")))*INDEX(Inputs!$K$5:$AJ$140,0,MATCH(U$2,Inputs!$K$4:$AJ$4,0)))+SUMPRODUCT((Inputs!$C$5:$C$140=$B50)*Inputs!$D$5:$D$140*(((Inputs!$G$5:$G$140="moeda")+(Inputs!$G$5:$G$140="acoes"))*Inputs!$B$1+((Inputs!$G$5:$G$140&lt;&gt;"moeda")*(Inputs!$G$5:$G$140&lt;&gt;"acoes")))*INDEX(Inputs!$K$5:$AJ$140,0,MATCH(U$2,Inputs!$K$4:$AJ$4,0)))+SUMPRODUCT((Inputs!$E$5:$E$140=$B50)*Inputs!$F$5:$F$140*(((Inputs!$G$5:$G$140="moeda")+(Inputs!$G$5:$G$140="acoes"))*Inputs!$B$1+((Inputs!$G$5:$G$140&lt;&gt;"moeda")*(Inputs!$G$5:$G$140&lt;&gt;"acoes")))*INDEX(Inputs!$K$5:$AJ$140,0,MATCH(U$2,Inputs!$K$4:$AJ$4,0)))))</f>
        <v>355.261</v>
      </c>
      <c r="V50" s="6">
        <f>IF(ISNA(MATCH(V$2,Inputs!$K$4:$AJ$4,0)),NA(),IF(SUMPRODUCT((Inputs!$A$5:$A$140=$B50)*ISNUMBER(INDEX(Inputs!$K$5:$AJ$140,0,MATCH(V$2,Inputs!$K$4:$AJ$4,0))))+SUMPRODUCT((Inputs!$C$5:$C$140=$B50)*ISNUMBER(INDEX(Inputs!$K$5:$AJ$140,0,MATCH(V$2,Inputs!$K$4:$AJ$4,0))))+SUMPRODUCT((Inputs!$E$5:$E$140=$B50)*ISNUMBER(INDEX(Inputs!$K$5:$AJ$140,0,MATCH(V$2,Inputs!$K$4:$AJ$4,0))))=0,NA(),SUMPRODUCT((Inputs!$A$5:$A$140=$B50)*Inputs!$B$5:$B$140*(((Inputs!$G$5:$G$140="moeda")+(Inputs!$G$5:$G$140="acoes"))*Inputs!$B$1+((Inputs!$G$5:$G$140&lt;&gt;"moeda")*(Inputs!$G$5:$G$140&lt;&gt;"acoes")))*INDEX(Inputs!$K$5:$AJ$140,0,MATCH(V$2,Inputs!$K$4:$AJ$4,0)))+SUMPRODUCT((Inputs!$C$5:$C$140=$B50)*Inputs!$D$5:$D$140*(((Inputs!$G$5:$G$140="moeda")+(Inputs!$G$5:$G$140="acoes"))*Inputs!$B$1+((Inputs!$G$5:$G$140&lt;&gt;"moeda")*(Inputs!$G$5:$G$140&lt;&gt;"acoes")))*INDEX(Inputs!$K$5:$AJ$140,0,MATCH(V$2,Inputs!$K$4:$AJ$4,0)))+SUMPRODUCT((Inputs!$E$5:$E$140=$B50)*Inputs!$F$5:$F$140*(((Inputs!$G$5:$G$140="moeda")+(Inputs!$G$5:$G$140="acoes"))*Inputs!$B$1+((Inputs!$G$5:$G$140&lt;&gt;"moeda")*(Inputs!$G$5:$G$140&lt;&gt;"acoes")))*INDEX(Inputs!$K$5:$AJ$140,0,MATCH(V$2,Inputs!$K$4:$AJ$4,0)))))</f>
        <v>323.2319</v>
      </c>
      <c r="W50" s="3">
        <f>SUM(S50:V50)</f>
        <v>1246.21489358269</v>
      </c>
      <c r="X50" s="6">
        <f>IF(ISNA(MATCH(X$2,Inputs!$K$4:$AJ$4,0)),NA(),IF(SUMPRODUCT((Inputs!$A$5:$A$140=$B50)*ISNUMBER(INDEX(Inputs!$K$5:$AJ$140,0,MATCH(X$2,Inputs!$K$4:$AJ$4,0))))+SUMPRODUCT((Inputs!$C$5:$C$140=$B50)*ISNUMBER(INDEX(Inputs!$K$5:$AJ$140,0,MATCH(X$2,Inputs!$K$4:$AJ$4,0))))+SUMPRODUCT((Inputs!$E$5:$E$140=$B50)*ISNUMBER(INDEX(Inputs!$K$5:$AJ$140,0,MATCH(X$2,Inputs!$K$4:$AJ$4,0))))=0,NA(),SUMPRODUCT((Inputs!$A$5:$A$140=$B50)*Inputs!$B$5:$B$140*(((Inputs!$G$5:$G$140="moeda")+(Inputs!$G$5:$G$140="acoes"))*Inputs!$B$1+((Inputs!$G$5:$G$140&lt;&gt;"moeda")*(Inputs!$G$5:$G$140&lt;&gt;"acoes")))*INDEX(Inputs!$K$5:$AJ$140,0,MATCH(X$2,Inputs!$K$4:$AJ$4,0)))+SUMPRODUCT((Inputs!$C$5:$C$140=$B50)*Inputs!$D$5:$D$140*(((Inputs!$G$5:$G$140="moeda")+(Inputs!$G$5:$G$140="acoes"))*Inputs!$B$1+((Inputs!$G$5:$G$140&lt;&gt;"moeda")*(Inputs!$G$5:$G$140&lt;&gt;"acoes")))*INDEX(Inputs!$K$5:$AJ$140,0,MATCH(X$2,Inputs!$K$4:$AJ$4,0)))+SUMPRODUCT((Inputs!$E$5:$E$140=$B50)*Inputs!$F$5:$F$140*(((Inputs!$G$5:$G$140="moeda")+(Inputs!$G$5:$G$140="acoes"))*Inputs!$B$1+((Inputs!$G$5:$G$140&lt;&gt;"moeda")*(Inputs!$G$5:$G$140&lt;&gt;"acoes")))*INDEX(Inputs!$K$5:$AJ$140,0,MATCH(X$2,Inputs!$K$4:$AJ$4,0)))))</f>
        <v>276.32</v>
      </c>
      <c r="Y50" s="6">
        <f>IF(ISNA(MATCH(Y$2,Inputs!$K$4:$AJ$4,0)),NA(),IF(SUMPRODUCT((Inputs!$A$5:$A$140=$B50)*ISNUMBER(INDEX(Inputs!$K$5:$AJ$140,0,MATCH(Y$2,Inputs!$K$4:$AJ$4,0))))+SUMPRODUCT((Inputs!$C$5:$C$140=$B50)*ISNUMBER(INDEX(Inputs!$K$5:$AJ$140,0,MATCH(Y$2,Inputs!$K$4:$AJ$4,0))))+SUMPRODUCT((Inputs!$E$5:$E$140=$B50)*ISNUMBER(INDEX(Inputs!$K$5:$AJ$140,0,MATCH(Y$2,Inputs!$K$4:$AJ$4,0))))=0,NA(),SUMPRODUCT((Inputs!$A$5:$A$140=$B50)*Inputs!$B$5:$B$140*(((Inputs!$G$5:$G$140="moeda")+(Inputs!$G$5:$G$140="acoes"))*Inputs!$B$1+((Inputs!$G$5:$G$140&lt;&gt;"moeda")*(Inputs!$G$5:$G$140&lt;&gt;"acoes")))*INDEX(Inputs!$K$5:$AJ$140,0,MATCH(Y$2,Inputs!$K$4:$AJ$4,0)))+SUMPRODUCT((Inputs!$C$5:$C$140=$B50)*Inputs!$D$5:$D$140*(((Inputs!$G$5:$G$140="moeda")+(Inputs!$G$5:$G$140="acoes"))*Inputs!$B$1+((Inputs!$G$5:$G$140&lt;&gt;"moeda")*(Inputs!$G$5:$G$140&lt;&gt;"acoes")))*INDEX(Inputs!$K$5:$AJ$140,0,MATCH(Y$2,Inputs!$K$4:$AJ$4,0)))+SUMPRODUCT((Inputs!$E$5:$E$140=$B50)*Inputs!$F$5:$F$140*(((Inputs!$G$5:$G$140="moeda")+(Inputs!$G$5:$G$140="acoes"))*Inputs!$B$1+((Inputs!$G$5:$G$140&lt;&gt;"moeda")*(Inputs!$G$5:$G$140&lt;&gt;"acoes")))*INDEX(Inputs!$K$5:$AJ$140,0,MATCH(Y$2,Inputs!$K$4:$AJ$4,0)))))</f>
        <v>395.777</v>
      </c>
      <c r="Z50" s="6">
        <f>IF(ISNA(MATCH(Z$2,Inputs!$K$4:$AJ$4,0)),NA(),IF(SUMPRODUCT((Inputs!$A$5:$A$140=$B50)*ISNUMBER(INDEX(Inputs!$K$5:$AJ$140,0,MATCH(Z$2,Inputs!$K$4:$AJ$4,0))))+SUMPRODUCT((Inputs!$C$5:$C$140=$B50)*ISNUMBER(INDEX(Inputs!$K$5:$AJ$140,0,MATCH(Z$2,Inputs!$K$4:$AJ$4,0))))+SUMPRODUCT((Inputs!$E$5:$E$140=$B50)*ISNUMBER(INDEX(Inputs!$K$5:$AJ$140,0,MATCH(Z$2,Inputs!$K$4:$AJ$4,0))))=0,NA(),SUMPRODUCT((Inputs!$A$5:$A$140=$B50)*Inputs!$B$5:$B$140*(((Inputs!$G$5:$G$140="moeda")+(Inputs!$G$5:$G$140="acoes"))*Inputs!$B$1+((Inputs!$G$5:$G$140&lt;&gt;"moeda")*(Inputs!$G$5:$G$140&lt;&gt;"acoes")))*INDEX(Inputs!$K$5:$AJ$140,0,MATCH(Z$2,Inputs!$K$4:$AJ$4,0)))+SUMPRODUCT((Inputs!$C$5:$C$140=$B50)*Inputs!$D$5:$D$140*(((Inputs!$G$5:$G$140="moeda")+(Inputs!$G$5:$G$140="acoes"))*Inputs!$B$1+((Inputs!$G$5:$G$140&lt;&gt;"moeda")*(Inputs!$G$5:$G$140&lt;&gt;"acoes")))*INDEX(Inputs!$K$5:$AJ$140,0,MATCH(Z$2,Inputs!$K$4:$AJ$4,0)))+SUMPRODUCT((Inputs!$E$5:$E$140=$B50)*Inputs!$F$5:$F$140*(((Inputs!$G$5:$G$140="moeda")+(Inputs!$G$5:$G$140="acoes"))*Inputs!$B$1+((Inputs!$G$5:$G$140&lt;&gt;"moeda")*(Inputs!$G$5:$G$140&lt;&gt;"acoes")))*INDEX(Inputs!$K$5:$AJ$140,0,MATCH(Z$2,Inputs!$K$4:$AJ$4,0)))))</f>
        <v>850.546</v>
      </c>
      <c r="AA50" s="6">
        <f>IF(ISNA(MATCH(AA$2,Inputs!$K$4:$AJ$4,0)),NA(),IF(SUMPRODUCT((Inputs!$A$5:$A$140=$B50)*ISNUMBER(INDEX(Inputs!$K$5:$AJ$140,0,MATCH(AA$2,Inputs!$K$4:$AJ$4,0))))+SUMPRODUCT((Inputs!$C$5:$C$140=$B50)*ISNUMBER(INDEX(Inputs!$K$5:$AJ$140,0,MATCH(AA$2,Inputs!$K$4:$AJ$4,0))))+SUMPRODUCT((Inputs!$E$5:$E$140=$B50)*ISNUMBER(INDEX(Inputs!$K$5:$AJ$140,0,MATCH(AA$2,Inputs!$K$4:$AJ$4,0))))=0,NA(),SUMPRODUCT((Inputs!$A$5:$A$140=$B50)*Inputs!$B$5:$B$140*(((Inputs!$G$5:$G$140="moeda")+(Inputs!$G$5:$G$140="acoes"))*Inputs!$B$1+((Inputs!$G$5:$G$140&lt;&gt;"moeda")*(Inputs!$G$5:$G$140&lt;&gt;"acoes")))*INDEX(Inputs!$K$5:$AJ$140,0,MATCH(AA$2,Inputs!$K$4:$AJ$4,0)))+SUMPRODUCT((Inputs!$C$5:$C$140=$B50)*Inputs!$D$5:$D$140*(((Inputs!$G$5:$G$140="moeda")+(Inputs!$G$5:$G$140="acoes"))*Inputs!$B$1+((Inputs!$G$5:$G$140&lt;&gt;"moeda")*(Inputs!$G$5:$G$140&lt;&gt;"acoes")))*INDEX(Inputs!$K$5:$AJ$140,0,MATCH(AA$2,Inputs!$K$4:$AJ$4,0)))+SUMPRODUCT((Inputs!$E$5:$E$140=$B50)*Inputs!$F$5:$F$140*(((Inputs!$G$5:$G$140="moeda")+(Inputs!$G$5:$G$140="acoes"))*Inputs!$B$1+((Inputs!$G$5:$G$140&lt;&gt;"moeda")*(Inputs!$G$5:$G$140&lt;&gt;"acoes")))*INDEX(Inputs!$K$5:$AJ$140,0,MATCH(AA$2,Inputs!$K$4:$AJ$4,0)))))</f>
        <v>324.264000000031</v>
      </c>
      <c r="AB50" s="3">
        <f>SUM(X50:AA50)</f>
        <v>1846.90700000003</v>
      </c>
      <c r="AC50" s="6">
        <f>IF(ISNA(MATCH(AC$2,Inputs!$K$4:$AJ$4,0)),NA(),IF(SUMPRODUCT((Inputs!$A$5:$A$140=$B50)*ISNUMBER(INDEX(Inputs!$K$5:$AJ$140,0,MATCH(AC$2,Inputs!$K$4:$AJ$4,0))))+SUMPRODUCT((Inputs!$C$5:$C$140=$B50)*ISNUMBER(INDEX(Inputs!$K$5:$AJ$140,0,MATCH(AC$2,Inputs!$K$4:$AJ$4,0))))+SUMPRODUCT((Inputs!$E$5:$E$140=$B50)*ISNUMBER(INDEX(Inputs!$K$5:$AJ$140,0,MATCH(AC$2,Inputs!$K$4:$AJ$4,0))))=0,NA(),SUMPRODUCT((Inputs!$A$5:$A$140=$B50)*Inputs!$B$5:$B$140*(((Inputs!$G$5:$G$140="moeda")+(Inputs!$G$5:$G$140="acoes"))*Inputs!$B$1+((Inputs!$G$5:$G$140&lt;&gt;"moeda")*(Inputs!$G$5:$G$140&lt;&gt;"acoes")))*INDEX(Inputs!$K$5:$AJ$140,0,MATCH(AC$2,Inputs!$K$4:$AJ$4,0)))+SUMPRODUCT((Inputs!$C$5:$C$140=$B50)*Inputs!$D$5:$D$140*(((Inputs!$G$5:$G$140="moeda")+(Inputs!$G$5:$G$140="acoes"))*Inputs!$B$1+((Inputs!$G$5:$G$140&lt;&gt;"moeda")*(Inputs!$G$5:$G$140&lt;&gt;"acoes")))*INDEX(Inputs!$K$5:$AJ$140,0,MATCH(AC$2,Inputs!$K$4:$AJ$4,0)))+SUMPRODUCT((Inputs!$E$5:$E$140=$B50)*Inputs!$F$5:$F$140*(((Inputs!$G$5:$G$140="moeda")+(Inputs!$G$5:$G$140="acoes"))*Inputs!$B$1+((Inputs!$G$5:$G$140&lt;&gt;"moeda")*(Inputs!$G$5:$G$140&lt;&gt;"acoes")))*INDEX(Inputs!$K$5:$AJ$140,0,MATCH(AC$2,Inputs!$K$4:$AJ$4,0)))))</f>
        <v>212.881</v>
      </c>
      <c r="AD50" s="6">
        <f>IF(ISNA(MATCH(AD$2,Inputs!$K$4:$AJ$4,0)),NA(),IF(SUMPRODUCT((Inputs!$A$5:$A$140=$B50)*ISNUMBER(INDEX(Inputs!$K$5:$AJ$140,0,MATCH(AD$2,Inputs!$K$4:$AJ$4,0))))+SUMPRODUCT((Inputs!$C$5:$C$140=$B50)*ISNUMBER(INDEX(Inputs!$K$5:$AJ$140,0,MATCH(AD$2,Inputs!$K$4:$AJ$4,0))))+SUMPRODUCT((Inputs!$E$5:$E$140=$B50)*ISNUMBER(INDEX(Inputs!$K$5:$AJ$140,0,MATCH(AD$2,Inputs!$K$4:$AJ$4,0))))=0,NA(),SUMPRODUCT((Inputs!$A$5:$A$140=$B50)*Inputs!$B$5:$B$140*(((Inputs!$G$5:$G$140="moeda")+(Inputs!$G$5:$G$140="acoes"))*Inputs!$B$1+((Inputs!$G$5:$G$140&lt;&gt;"moeda")*(Inputs!$G$5:$G$140&lt;&gt;"acoes")))*INDEX(Inputs!$K$5:$AJ$140,0,MATCH(AD$2,Inputs!$K$4:$AJ$4,0)))+SUMPRODUCT((Inputs!$C$5:$C$140=$B50)*Inputs!$D$5:$D$140*(((Inputs!$G$5:$G$140="moeda")+(Inputs!$G$5:$G$140="acoes"))*Inputs!$B$1+((Inputs!$G$5:$G$140&lt;&gt;"moeda")*(Inputs!$G$5:$G$140&lt;&gt;"acoes")))*INDEX(Inputs!$K$5:$AJ$140,0,MATCH(AD$2,Inputs!$K$4:$AJ$4,0)))+SUMPRODUCT((Inputs!$E$5:$E$140=$B50)*Inputs!$F$5:$F$140*(((Inputs!$G$5:$G$140="moeda")+(Inputs!$G$5:$G$140="acoes"))*Inputs!$B$1+((Inputs!$G$5:$G$140&lt;&gt;"moeda")*(Inputs!$G$5:$G$140&lt;&gt;"acoes")))*INDEX(Inputs!$K$5:$AJ$140,0,MATCH(AD$2,Inputs!$K$4:$AJ$4,0)))))</f>
        <v>236.805</v>
      </c>
      <c r="AE50" s="6" t="e">
        <f>IF(ISNA(MATCH(AE$2,Inputs!$K$4:$AJ$4,0)),NA(),IF(SUMPRODUCT((Inputs!$A$5:$A$140=$B50)*ISNUMBER(INDEX(Inputs!$K$5:$AJ$140,0,MATCH(AE$2,Inputs!$K$4:$AJ$4,0))))+SUMPRODUCT((Inputs!$C$5:$C$140=$B50)*ISNUMBER(INDEX(Inputs!$K$5:$AJ$140,0,MATCH(AE$2,Inputs!$K$4:$AJ$4,0))))+SUMPRODUCT((Inputs!$E$5:$E$140=$B50)*ISNUMBER(INDEX(Inputs!$K$5:$AJ$140,0,MATCH(AE$2,Inputs!$K$4:$AJ$4,0))))=0,NA(),SUMPRODUCT((Inputs!$A$5:$A$140=$B50)*Inputs!$B$5:$B$140*(((Inputs!$G$5:$G$140="moeda")+(Inputs!$G$5:$G$140="acoes"))*Inputs!$B$1+((Inputs!$G$5:$G$140&lt;&gt;"moeda")*(Inputs!$G$5:$G$140&lt;&gt;"acoes")))*INDEX(Inputs!$K$5:$AJ$140,0,MATCH(AE$2,Inputs!$K$4:$AJ$4,0)))+SUMPRODUCT((Inputs!$C$5:$C$140=$B50)*Inputs!$D$5:$D$140*(((Inputs!$G$5:$G$140="moeda")+(Inputs!$G$5:$G$140="acoes"))*Inputs!$B$1+((Inputs!$G$5:$G$140&lt;&gt;"moeda")*(Inputs!$G$5:$G$140&lt;&gt;"acoes")))*INDEX(Inputs!$K$5:$AJ$140,0,MATCH(AE$2,Inputs!$K$4:$AJ$4,0)))+SUMPRODUCT((Inputs!$E$5:$E$140=$B50)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0" s="6" t="e">
        <f>IF(ISNA(MATCH(AF$2,Inputs!$K$4:$AJ$4,0)),NA(),IF(SUMPRODUCT((Inputs!$A$5:$A$140=$B50)*ISNUMBER(INDEX(Inputs!$K$5:$AJ$140,0,MATCH(AF$2,Inputs!$K$4:$AJ$4,0))))+SUMPRODUCT((Inputs!$C$5:$C$140=$B50)*ISNUMBER(INDEX(Inputs!$K$5:$AJ$140,0,MATCH(AF$2,Inputs!$K$4:$AJ$4,0))))+SUMPRODUCT((Inputs!$E$5:$E$140=$B50)*ISNUMBER(INDEX(Inputs!$K$5:$AJ$140,0,MATCH(AF$2,Inputs!$K$4:$AJ$4,0))))=0,NA(),SUMPRODUCT((Inputs!$A$5:$A$140=$B50)*Inputs!$B$5:$B$140*(((Inputs!$G$5:$G$140="moeda")+(Inputs!$G$5:$G$140="acoes"))*Inputs!$B$1+((Inputs!$G$5:$G$140&lt;&gt;"moeda")*(Inputs!$G$5:$G$140&lt;&gt;"acoes")))*INDEX(Inputs!$K$5:$AJ$140,0,MATCH(AF$2,Inputs!$K$4:$AJ$4,0)))+SUMPRODUCT((Inputs!$C$5:$C$140=$B50)*Inputs!$D$5:$D$140*(((Inputs!$G$5:$G$140="moeda")+(Inputs!$G$5:$G$140="acoes"))*Inputs!$B$1+((Inputs!$G$5:$G$140&lt;&gt;"moeda")*(Inputs!$G$5:$G$140&lt;&gt;"acoes")))*INDEX(Inputs!$K$5:$AJ$140,0,MATCH(AF$2,Inputs!$K$4:$AJ$4,0)))+SUMPRODUCT((Inputs!$E$5:$E$140=$B50)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0" s="3" t="e">
        <f>SUM(AC50:AF50)</f>
        <v>#N/A</v>
      </c>
      <c r="AH50">
        <f>IF(ISNA(MATCH(AH$2,Inputs!$K$4:$AJ$4,0)),NA(),IF(SUMPRODUCT((Inputs!$A$5:$A$140=$B50)*ISNUMBER(INDEX(Inputs!$K$5:$AJ$140,0,MATCH(AH$2,Inputs!$K$4:$AJ$4,0))))+SUMPRODUCT((Inputs!$C$5:$C$140=$B50)*ISNUMBER(INDEX(Inputs!$K$5:$AJ$140,0,MATCH(AH$2,Inputs!$K$4:$AJ$4,0))))+SUMPRODUCT((Inputs!$E$5:$E$140=$B50)*ISNUMBER(INDEX(Inputs!$K$5:$AJ$140,0,MATCH(AH$2,Inputs!$K$4:$AJ$4,0))))=0,NA(),SUMPRODUCT((Inputs!$A$5:$A$140=$B50)*Inputs!$B$5:$B$140*(((Inputs!$G$5:$G$140="moeda")+(Inputs!$G$5:$G$140="acoes"))*Inputs!$B$1+((Inputs!$G$5:$G$140&lt;&gt;"moeda")*(Inputs!$G$5:$G$140&lt;&gt;"acoes")))*INDEX(Inputs!$K$5:$AJ$140,0,MATCH(AH$2,Inputs!$K$4:$AJ$4,0)))+SUMPRODUCT((Inputs!$C$5:$C$140=$B50)*Inputs!$D$5:$D$140*(((Inputs!$G$5:$G$140="moeda")+(Inputs!$G$5:$G$140="acoes"))*Inputs!$B$1+((Inputs!$G$5:$G$140&lt;&gt;"moeda")*(Inputs!$G$5:$G$140&lt;&gt;"acoes")))*INDEX(Inputs!$K$5:$AJ$140,0,MATCH(AH$2,Inputs!$K$4:$AJ$4,0)))+SUMPRODUCT((Inputs!$E$5:$E$140=$B50)*Inputs!$F$5:$F$140*(((Inputs!$G$5:$G$140="moeda")+(Inputs!$G$5:$G$140="acoes"))*Inputs!$B$1+((Inputs!$G$5:$G$140&lt;&gt;"moeda")*(Inputs!$G$5:$G$140&lt;&gt;"acoes")))*INDEX(Inputs!$K$5:$AJ$140,0,MATCH(AH$2,Inputs!$K$4:$AJ$4,0)))))</f>
        <v>101.82396952</v>
      </c>
      <c r="AI50">
        <f>IF(ISNA(MATCH(AI$2,Inputs!$K$4:$AJ$4,0)),NA(),IF(SUMPRODUCT((Inputs!$A$5:$A$140=$B50)*ISNUMBER(INDEX(Inputs!$K$5:$AJ$140,0,MATCH(AI$2,Inputs!$K$4:$AJ$4,0))))+SUMPRODUCT((Inputs!$C$5:$C$140=$B50)*ISNUMBER(INDEX(Inputs!$K$5:$AJ$140,0,MATCH(AI$2,Inputs!$K$4:$AJ$4,0))))+SUMPRODUCT((Inputs!$E$5:$E$140=$B50)*ISNUMBER(INDEX(Inputs!$K$5:$AJ$140,0,MATCH(AI$2,Inputs!$K$4:$AJ$4,0))))=0,NA(),SUMPRODUCT((Inputs!$A$5:$A$140=$B50)*Inputs!$B$5:$B$140*(((Inputs!$G$5:$G$140="moeda")+(Inputs!$G$5:$G$140="acoes"))*Inputs!$B$1+((Inputs!$G$5:$G$140&lt;&gt;"moeda")*(Inputs!$G$5:$G$140&lt;&gt;"acoes")))*INDEX(Inputs!$K$5:$AJ$140,0,MATCH(AI$2,Inputs!$K$4:$AJ$4,0)))+SUMPRODUCT((Inputs!$C$5:$C$140=$B50)*Inputs!$D$5:$D$140*(((Inputs!$G$5:$G$140="moeda")+(Inputs!$G$5:$G$140="acoes"))*Inputs!$B$1+((Inputs!$G$5:$G$140&lt;&gt;"moeda")*(Inputs!$G$5:$G$140&lt;&gt;"acoes")))*INDEX(Inputs!$K$5:$AJ$140,0,MATCH(AI$2,Inputs!$K$4:$AJ$4,0)))+SUMPRODUCT((Inputs!$E$5:$E$140=$B50)*Inputs!$F$5:$F$140*(((Inputs!$G$5:$G$140="moeda")+(Inputs!$G$5:$G$140="acoes"))*Inputs!$B$1+((Inputs!$G$5:$G$140&lt;&gt;"moeda")*(Inputs!$G$5:$G$140&lt;&gt;"acoes")))*INDEX(Inputs!$K$5:$AJ$140,0,MATCH(AI$2,Inputs!$K$4:$AJ$4,0)))))</f>
        <v>195.35180348</v>
      </c>
      <c r="AJ50">
        <f>IF(ISNA(MATCH(AJ$2,Inputs!$K$4:$AJ$4,0)),NA(),IF(SUMPRODUCT((Inputs!$A$5:$A$140=$B50)*ISNUMBER(INDEX(Inputs!$K$5:$AJ$140,0,MATCH(AJ$2,Inputs!$K$4:$AJ$4,0))))+SUMPRODUCT((Inputs!$C$5:$C$140=$B50)*ISNUMBER(INDEX(Inputs!$K$5:$AJ$140,0,MATCH(AJ$2,Inputs!$K$4:$AJ$4,0))))+SUMPRODUCT((Inputs!$E$5:$E$140=$B50)*ISNUMBER(INDEX(Inputs!$K$5:$AJ$140,0,MATCH(AJ$2,Inputs!$K$4:$AJ$4,0))))=0,NA(),SUMPRODUCT((Inputs!$A$5:$A$140=$B50)*Inputs!$B$5:$B$140*(((Inputs!$G$5:$G$140="moeda")+(Inputs!$G$5:$G$140="acoes"))*Inputs!$B$1+((Inputs!$G$5:$G$140&lt;&gt;"moeda")*(Inputs!$G$5:$G$140&lt;&gt;"acoes")))*INDEX(Inputs!$K$5:$AJ$140,0,MATCH(AJ$2,Inputs!$K$4:$AJ$4,0)))+SUMPRODUCT((Inputs!$C$5:$C$140=$B50)*Inputs!$D$5:$D$140*(((Inputs!$G$5:$G$140="moeda")+(Inputs!$G$5:$G$140="acoes"))*Inputs!$B$1+((Inputs!$G$5:$G$140&lt;&gt;"moeda")*(Inputs!$G$5:$G$140&lt;&gt;"acoes")))*INDEX(Inputs!$K$5:$AJ$140,0,MATCH(AJ$2,Inputs!$K$4:$AJ$4,0)))+SUMPRODUCT((Inputs!$E$5:$E$140=$B50)*Inputs!$F$5:$F$140*(((Inputs!$G$5:$G$140="moeda")+(Inputs!$G$5:$G$140="acoes"))*Inputs!$B$1+((Inputs!$G$5:$G$140&lt;&gt;"moeda")*(Inputs!$G$5:$G$140&lt;&gt;"acoes")))*INDEX(Inputs!$K$5:$AJ$140,0,MATCH(AJ$2,Inputs!$K$4:$AJ$4,0)))))</f>
        <v>235.668227</v>
      </c>
      <c r="AK50">
        <f>IF(ISNA(MATCH(AK$2,Inputs!$K$4:$AJ$4,0)),NA(),IF(SUMPRODUCT((Inputs!$A$5:$A$140=$B50)*ISNUMBER(INDEX(Inputs!$K$5:$AJ$140,0,MATCH(AK$2,Inputs!$K$4:$AJ$4,0))))+SUMPRODUCT((Inputs!$C$5:$C$140=$B50)*ISNUMBER(INDEX(Inputs!$K$5:$AJ$140,0,MATCH(AK$2,Inputs!$K$4:$AJ$4,0))))+SUMPRODUCT((Inputs!$E$5:$E$140=$B50)*ISNUMBER(INDEX(Inputs!$K$5:$AJ$140,0,MATCH(AK$2,Inputs!$K$4:$AJ$4,0))))=0,NA(),SUMPRODUCT((Inputs!$A$5:$A$140=$B50)*Inputs!$B$5:$B$140*(((Inputs!$G$5:$G$140="moeda")+(Inputs!$G$5:$G$140="acoes"))*Inputs!$B$1+((Inputs!$G$5:$G$140&lt;&gt;"moeda")*(Inputs!$G$5:$G$140&lt;&gt;"acoes")))*INDEX(Inputs!$K$5:$AJ$140,0,MATCH(AK$2,Inputs!$K$4:$AJ$4,0)))+SUMPRODUCT((Inputs!$C$5:$C$140=$B50)*Inputs!$D$5:$D$140*(((Inputs!$G$5:$G$140="moeda")+(Inputs!$G$5:$G$140="acoes"))*Inputs!$B$1+((Inputs!$G$5:$G$140&lt;&gt;"moeda")*(Inputs!$G$5:$G$140&lt;&gt;"acoes")))*INDEX(Inputs!$K$5:$AJ$140,0,MATCH(AK$2,Inputs!$K$4:$AJ$4,0)))+SUMPRODUCT((Inputs!$E$5:$E$140=$B50)*Inputs!$F$5:$F$140*(((Inputs!$G$5:$G$140="moeda")+(Inputs!$G$5:$G$140="acoes"))*Inputs!$B$1+((Inputs!$G$5:$G$140&lt;&gt;"moeda")*(Inputs!$G$5:$G$140&lt;&gt;"acoes")))*INDEX(Inputs!$K$5:$AJ$140,0,MATCH(AK$2,Inputs!$K$4:$AJ$4,0)))))</f>
        <v>193.42400276</v>
      </c>
      <c r="AL50">
        <f>SUM(AH50:AK50)</f>
        <v>726.26800276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bruta de mercadorias - Atacarejo (Mix Mateus; inclui Novo Atacarejo a partir do 3T25) (R$ milhoes)</t>
        </is>
      </c>
      <c r="D53" s="262">
        <f>IF(ISNA(MATCH(D$2,Inputs!$K$4:$AJ$4,0)),NA(),IF(SUMPRODUCT((Inputs!$A$5:$A$140=$B53)*ISNUMBER(INDEX(Inputs!$K$5:$AJ$140,0,MATCH(D$2,Inputs!$K$4:$AJ$4,0))))+SUMPRODUCT((Inputs!$C$5:$C$140=$B53)*ISNUMBER(INDEX(Inputs!$K$5:$AJ$140,0,MATCH(D$2,Inputs!$K$4:$AJ$4,0))))+SUMPRODUCT((Inputs!$E$5:$E$140=$B53)*ISNUMBER(INDEX(Inputs!$K$5:$AJ$140,0,MATCH(D$2,Inputs!$K$4:$AJ$4,0))))=0,NA(),SUMPRODUCT((Inputs!$A$5:$A$140=$B53)*Inputs!$B$5:$B$140*(((Inputs!$G$5:$G$140="moeda")+(Inputs!$G$5:$G$140="acoes"))*Inputs!$B$1+((Inputs!$G$5:$G$140&lt;&gt;"moeda")*(Inputs!$G$5:$G$140&lt;&gt;"acoes")))*INDEX(Inputs!$K$5:$AJ$140,0,MATCH(D$2,Inputs!$K$4:$AJ$4,0)))+SUMPRODUCT((Inputs!$C$5:$C$140=$B53)*Inputs!$D$5:$D$140*(((Inputs!$G$5:$G$140="moeda")+(Inputs!$G$5:$G$140="acoes"))*Inputs!$B$1+((Inputs!$G$5:$G$140&lt;&gt;"moeda")*(Inputs!$G$5:$G$140&lt;&gt;"acoes")))*INDEX(Inputs!$K$5:$AJ$140,0,MATCH(D$2,Inputs!$K$4:$AJ$4,0)))+SUMPRODUCT((Inputs!$E$5:$E$140=$B53)*Inputs!$F$5:$F$140*(((Inputs!$G$5:$G$140="moeda")+(Inputs!$G$5:$G$140="acoes"))*Inputs!$B$1+((Inputs!$G$5:$G$140&lt;&gt;"moeda")*(Inputs!$G$5:$G$140&lt;&gt;"acoes")))*INDEX(Inputs!$K$5:$AJ$140,0,MATCH(D$2,Inputs!$K$4:$AJ$4,0)))))</f>
        <v>1827</v>
      </c>
      <c r="E53" s="262">
        <f>IF(ISNA(MATCH(E$2,Inputs!$K$4:$AJ$4,0)),NA(),IF(SUMPRODUCT((Inputs!$A$5:$A$140=$B53)*ISNUMBER(INDEX(Inputs!$K$5:$AJ$140,0,MATCH(E$2,Inputs!$K$4:$AJ$4,0))))+SUMPRODUCT((Inputs!$C$5:$C$140=$B53)*ISNUMBER(INDEX(Inputs!$K$5:$AJ$140,0,MATCH(E$2,Inputs!$K$4:$AJ$4,0))))+SUMPRODUCT((Inputs!$E$5:$E$140=$B53)*ISNUMBER(INDEX(Inputs!$K$5:$AJ$140,0,MATCH(E$2,Inputs!$K$4:$AJ$4,0))))=0,NA(),SUMPRODUCT((Inputs!$A$5:$A$140=$B53)*Inputs!$B$5:$B$140*(((Inputs!$G$5:$G$140="moeda")+(Inputs!$G$5:$G$140="acoes"))*Inputs!$B$1+((Inputs!$G$5:$G$140&lt;&gt;"moeda")*(Inputs!$G$5:$G$140&lt;&gt;"acoes")))*INDEX(Inputs!$K$5:$AJ$140,0,MATCH(E$2,Inputs!$K$4:$AJ$4,0)))+SUMPRODUCT((Inputs!$C$5:$C$140=$B53)*Inputs!$D$5:$D$140*(((Inputs!$G$5:$G$140="moeda")+(Inputs!$G$5:$G$140="acoes"))*Inputs!$B$1+((Inputs!$G$5:$G$140&lt;&gt;"moeda")*(Inputs!$G$5:$G$140&lt;&gt;"acoes")))*INDEX(Inputs!$K$5:$AJ$140,0,MATCH(E$2,Inputs!$K$4:$AJ$4,0)))+SUMPRODUCT((Inputs!$E$5:$E$140=$B53)*Inputs!$F$5:$F$140*(((Inputs!$G$5:$G$140="moeda")+(Inputs!$G$5:$G$140="acoes"))*Inputs!$B$1+((Inputs!$G$5:$G$140&lt;&gt;"moeda")*(Inputs!$G$5:$G$140&lt;&gt;"acoes")))*INDEX(Inputs!$K$5:$AJ$140,0,MATCH(E$2,Inputs!$K$4:$AJ$4,0)))))</f>
        <v>2003</v>
      </c>
      <c r="F53" s="262">
        <f>IF(ISNA(MATCH(F$2,Inputs!$K$4:$AJ$4,0)),NA(),IF(SUMPRODUCT((Inputs!$A$5:$A$140=$B53)*ISNUMBER(INDEX(Inputs!$K$5:$AJ$140,0,MATCH(F$2,Inputs!$K$4:$AJ$4,0))))+SUMPRODUCT((Inputs!$C$5:$C$140=$B53)*ISNUMBER(INDEX(Inputs!$K$5:$AJ$140,0,MATCH(F$2,Inputs!$K$4:$AJ$4,0))))+SUMPRODUCT((Inputs!$E$5:$E$140=$B53)*ISNUMBER(INDEX(Inputs!$K$5:$AJ$140,0,MATCH(F$2,Inputs!$K$4:$AJ$4,0))))=0,NA(),SUMPRODUCT((Inputs!$A$5:$A$140=$B53)*Inputs!$B$5:$B$140*(((Inputs!$G$5:$G$140="moeda")+(Inputs!$G$5:$G$140="acoes"))*Inputs!$B$1+((Inputs!$G$5:$G$140&lt;&gt;"moeda")*(Inputs!$G$5:$G$140&lt;&gt;"acoes")))*INDEX(Inputs!$K$5:$AJ$140,0,MATCH(F$2,Inputs!$K$4:$AJ$4,0)))+SUMPRODUCT((Inputs!$C$5:$C$140=$B53)*Inputs!$D$5:$D$140*(((Inputs!$G$5:$G$140="moeda")+(Inputs!$G$5:$G$140="acoes"))*Inputs!$B$1+((Inputs!$G$5:$G$140&lt;&gt;"moeda")*(Inputs!$G$5:$G$140&lt;&gt;"acoes")))*INDEX(Inputs!$K$5:$AJ$140,0,MATCH(F$2,Inputs!$K$4:$AJ$4,0)))+SUMPRODUCT((Inputs!$E$5:$E$140=$B53)*Inputs!$F$5:$F$140*(((Inputs!$G$5:$G$140="moeda")+(Inputs!$G$5:$G$140="acoes"))*Inputs!$B$1+((Inputs!$G$5:$G$140&lt;&gt;"moeda")*(Inputs!$G$5:$G$140&lt;&gt;"acoes")))*INDEX(Inputs!$K$5:$AJ$140,0,MATCH(F$2,Inputs!$K$4:$AJ$4,0)))))</f>
        <v>2381</v>
      </c>
      <c r="G53" s="262">
        <f>IF(ISNA(MATCH(G$2,Inputs!$K$4:$AJ$4,0)),NA(),IF(SUMPRODUCT((Inputs!$A$5:$A$140=$B53)*ISNUMBER(INDEX(Inputs!$K$5:$AJ$140,0,MATCH(G$2,Inputs!$K$4:$AJ$4,0))))+SUMPRODUCT((Inputs!$C$5:$C$140=$B53)*ISNUMBER(INDEX(Inputs!$K$5:$AJ$140,0,MATCH(G$2,Inputs!$K$4:$AJ$4,0))))+SUMPRODUCT((Inputs!$E$5:$E$140=$B53)*ISNUMBER(INDEX(Inputs!$K$5:$AJ$140,0,MATCH(G$2,Inputs!$K$4:$AJ$4,0))))=0,NA(),SUMPRODUCT((Inputs!$A$5:$A$140=$B53)*Inputs!$B$5:$B$140*(((Inputs!$G$5:$G$140="moeda")+(Inputs!$G$5:$G$140="acoes"))*Inputs!$B$1+((Inputs!$G$5:$G$140&lt;&gt;"moeda")*(Inputs!$G$5:$G$140&lt;&gt;"acoes")))*INDEX(Inputs!$K$5:$AJ$140,0,MATCH(G$2,Inputs!$K$4:$AJ$4,0)))+SUMPRODUCT((Inputs!$C$5:$C$140=$B53)*Inputs!$D$5:$D$140*(((Inputs!$G$5:$G$140="moeda")+(Inputs!$G$5:$G$140="acoes"))*Inputs!$B$1+((Inputs!$G$5:$G$140&lt;&gt;"moeda")*(Inputs!$G$5:$G$140&lt;&gt;"acoes")))*INDEX(Inputs!$K$5:$AJ$140,0,MATCH(G$2,Inputs!$K$4:$AJ$4,0)))+SUMPRODUCT((Inputs!$E$5:$E$140=$B53)*Inputs!$F$5:$F$140*(((Inputs!$G$5:$G$140="moeda")+(Inputs!$G$5:$G$140="acoes"))*Inputs!$B$1+((Inputs!$G$5:$G$140&lt;&gt;"moeda")*(Inputs!$G$5:$G$140&lt;&gt;"acoes")))*INDEX(Inputs!$K$5:$AJ$140,0,MATCH(G$2,Inputs!$K$4:$AJ$4,0)))))</f>
        <v>2485</v>
      </c>
      <c r="H53" s="263">
        <f>SUM(D53:G53)</f>
        <v>8696</v>
      </c>
      <c r="I53" s="262">
        <f>IF(ISNA(MATCH(I$2,Inputs!$K$4:$AJ$4,0)),NA(),IF(SUMPRODUCT((Inputs!$A$5:$A$140=$B53)*ISNUMBER(INDEX(Inputs!$K$5:$AJ$140,0,MATCH(I$2,Inputs!$K$4:$AJ$4,0))))+SUMPRODUCT((Inputs!$C$5:$C$140=$B53)*ISNUMBER(INDEX(Inputs!$K$5:$AJ$140,0,MATCH(I$2,Inputs!$K$4:$AJ$4,0))))+SUMPRODUCT((Inputs!$E$5:$E$140=$B53)*ISNUMBER(INDEX(Inputs!$K$5:$AJ$140,0,MATCH(I$2,Inputs!$K$4:$AJ$4,0))))=0,NA(),SUMPRODUCT((Inputs!$A$5:$A$140=$B53)*Inputs!$B$5:$B$140*(((Inputs!$G$5:$G$140="moeda")+(Inputs!$G$5:$G$140="acoes"))*Inputs!$B$1+((Inputs!$G$5:$G$140&lt;&gt;"moeda")*(Inputs!$G$5:$G$140&lt;&gt;"acoes")))*INDEX(Inputs!$K$5:$AJ$140,0,MATCH(I$2,Inputs!$K$4:$AJ$4,0)))+SUMPRODUCT((Inputs!$C$5:$C$140=$B53)*Inputs!$D$5:$D$140*(((Inputs!$G$5:$G$140="moeda")+(Inputs!$G$5:$G$140="acoes"))*Inputs!$B$1+((Inputs!$G$5:$G$140&lt;&gt;"moeda")*(Inputs!$G$5:$G$140&lt;&gt;"acoes")))*INDEX(Inputs!$K$5:$AJ$140,0,MATCH(I$2,Inputs!$K$4:$AJ$4,0)))+SUMPRODUCT((Inputs!$E$5:$E$140=$B53)*Inputs!$F$5:$F$140*(((Inputs!$G$5:$G$140="moeda")+(Inputs!$G$5:$G$140="acoes"))*Inputs!$B$1+((Inputs!$G$5:$G$140&lt;&gt;"moeda")*(Inputs!$G$5:$G$140&lt;&gt;"acoes")))*INDEX(Inputs!$K$5:$AJ$140,0,MATCH(I$2,Inputs!$K$4:$AJ$4,0)))))</f>
        <v>2514</v>
      </c>
      <c r="J53" s="262">
        <f>IF(ISNA(MATCH(J$2,Inputs!$K$4:$AJ$4,0)),NA(),IF(SUMPRODUCT((Inputs!$A$5:$A$140=$B53)*ISNUMBER(INDEX(Inputs!$K$5:$AJ$140,0,MATCH(J$2,Inputs!$K$4:$AJ$4,0))))+SUMPRODUCT((Inputs!$C$5:$C$140=$B53)*ISNUMBER(INDEX(Inputs!$K$5:$AJ$140,0,MATCH(J$2,Inputs!$K$4:$AJ$4,0))))+SUMPRODUCT((Inputs!$E$5:$E$140=$B53)*ISNUMBER(INDEX(Inputs!$K$5:$AJ$140,0,MATCH(J$2,Inputs!$K$4:$AJ$4,0))))=0,NA(),SUMPRODUCT((Inputs!$A$5:$A$140=$B53)*Inputs!$B$5:$B$140*(((Inputs!$G$5:$G$140="moeda")+(Inputs!$G$5:$G$140="acoes"))*Inputs!$B$1+((Inputs!$G$5:$G$140&lt;&gt;"moeda")*(Inputs!$G$5:$G$140&lt;&gt;"acoes")))*INDEX(Inputs!$K$5:$AJ$140,0,MATCH(J$2,Inputs!$K$4:$AJ$4,0)))+SUMPRODUCT((Inputs!$C$5:$C$140=$B53)*Inputs!$D$5:$D$140*(((Inputs!$G$5:$G$140="moeda")+(Inputs!$G$5:$G$140="acoes"))*Inputs!$B$1+((Inputs!$G$5:$G$140&lt;&gt;"moeda")*(Inputs!$G$5:$G$140&lt;&gt;"acoes")))*INDEX(Inputs!$K$5:$AJ$140,0,MATCH(J$2,Inputs!$K$4:$AJ$4,0)))+SUMPRODUCT((Inputs!$E$5:$E$140=$B53)*Inputs!$F$5:$F$140*(((Inputs!$G$5:$G$140="moeda")+(Inputs!$G$5:$G$140="acoes"))*Inputs!$B$1+((Inputs!$G$5:$G$140&lt;&gt;"moeda")*(Inputs!$G$5:$G$140&lt;&gt;"acoes")))*INDEX(Inputs!$K$5:$AJ$140,0,MATCH(J$2,Inputs!$K$4:$AJ$4,0)))))</f>
        <v>2956</v>
      </c>
      <c r="K53" s="262">
        <f>IF(ISNA(MATCH(K$2,Inputs!$K$4:$AJ$4,0)),NA(),IF(SUMPRODUCT((Inputs!$A$5:$A$140=$B53)*ISNUMBER(INDEX(Inputs!$K$5:$AJ$140,0,MATCH(K$2,Inputs!$K$4:$AJ$4,0))))+SUMPRODUCT((Inputs!$C$5:$C$140=$B53)*ISNUMBER(INDEX(Inputs!$K$5:$AJ$140,0,MATCH(K$2,Inputs!$K$4:$AJ$4,0))))+SUMPRODUCT((Inputs!$E$5:$E$140=$B53)*ISNUMBER(INDEX(Inputs!$K$5:$AJ$140,0,MATCH(K$2,Inputs!$K$4:$AJ$4,0))))=0,NA(),SUMPRODUCT((Inputs!$A$5:$A$140=$B53)*Inputs!$B$5:$B$140*(((Inputs!$G$5:$G$140="moeda")+(Inputs!$G$5:$G$140="acoes"))*Inputs!$B$1+((Inputs!$G$5:$G$140&lt;&gt;"moeda")*(Inputs!$G$5:$G$140&lt;&gt;"acoes")))*INDEX(Inputs!$K$5:$AJ$140,0,MATCH(K$2,Inputs!$K$4:$AJ$4,0)))+SUMPRODUCT((Inputs!$C$5:$C$140=$B53)*Inputs!$D$5:$D$140*(((Inputs!$G$5:$G$140="moeda")+(Inputs!$G$5:$G$140="acoes"))*Inputs!$B$1+((Inputs!$G$5:$G$140&lt;&gt;"moeda")*(Inputs!$G$5:$G$140&lt;&gt;"acoes")))*INDEX(Inputs!$K$5:$AJ$140,0,MATCH(K$2,Inputs!$K$4:$AJ$4,0)))+SUMPRODUCT((Inputs!$E$5:$E$140=$B53)*Inputs!$F$5:$F$140*(((Inputs!$G$5:$G$140="moeda")+(Inputs!$G$5:$G$140="acoes"))*Inputs!$B$1+((Inputs!$G$5:$G$140&lt;&gt;"moeda")*(Inputs!$G$5:$G$140&lt;&gt;"acoes")))*INDEX(Inputs!$K$5:$AJ$140,0,MATCH(K$2,Inputs!$K$4:$AJ$4,0)))))</f>
        <v>3478</v>
      </c>
      <c r="L53" s="262">
        <f>IF(ISNA(MATCH(L$2,Inputs!$K$4:$AJ$4,0)),NA(),IF(SUMPRODUCT((Inputs!$A$5:$A$140=$B53)*ISNUMBER(INDEX(Inputs!$K$5:$AJ$140,0,MATCH(L$2,Inputs!$K$4:$AJ$4,0))))+SUMPRODUCT((Inputs!$C$5:$C$140=$B53)*ISNUMBER(INDEX(Inputs!$K$5:$AJ$140,0,MATCH(L$2,Inputs!$K$4:$AJ$4,0))))+SUMPRODUCT((Inputs!$E$5:$E$140=$B53)*ISNUMBER(INDEX(Inputs!$K$5:$AJ$140,0,MATCH(L$2,Inputs!$K$4:$AJ$4,0))))=0,NA(),SUMPRODUCT((Inputs!$A$5:$A$140=$B53)*Inputs!$B$5:$B$140*(((Inputs!$G$5:$G$140="moeda")+(Inputs!$G$5:$G$140="acoes"))*Inputs!$B$1+((Inputs!$G$5:$G$140&lt;&gt;"moeda")*(Inputs!$G$5:$G$140&lt;&gt;"acoes")))*INDEX(Inputs!$K$5:$AJ$140,0,MATCH(L$2,Inputs!$K$4:$AJ$4,0)))+SUMPRODUCT((Inputs!$C$5:$C$140=$B53)*Inputs!$D$5:$D$140*(((Inputs!$G$5:$G$140="moeda")+(Inputs!$G$5:$G$140="acoes"))*Inputs!$B$1+((Inputs!$G$5:$G$140&lt;&gt;"moeda")*(Inputs!$G$5:$G$140&lt;&gt;"acoes")))*INDEX(Inputs!$K$5:$AJ$140,0,MATCH(L$2,Inputs!$K$4:$AJ$4,0)))+SUMPRODUCT((Inputs!$E$5:$E$140=$B53)*Inputs!$F$5:$F$140*(((Inputs!$G$5:$G$140="moeda")+(Inputs!$G$5:$G$140="acoes"))*Inputs!$B$1+((Inputs!$G$5:$G$140&lt;&gt;"moeda")*(Inputs!$G$5:$G$140&lt;&gt;"acoes")))*INDEX(Inputs!$K$5:$AJ$140,0,MATCH(L$2,Inputs!$K$4:$AJ$4,0)))))</f>
        <v>3584</v>
      </c>
      <c r="M53" s="263">
        <f>SUM(I53:L53)</f>
        <v>12532</v>
      </c>
      <c r="N53" s="262">
        <f>IF(ISNA(MATCH(N$2,Inputs!$K$4:$AJ$4,0)),NA(),IF(SUMPRODUCT((Inputs!$A$5:$A$140=$B53)*ISNUMBER(INDEX(Inputs!$K$5:$AJ$140,0,MATCH(N$2,Inputs!$K$4:$AJ$4,0))))+SUMPRODUCT((Inputs!$C$5:$C$140=$B53)*ISNUMBER(INDEX(Inputs!$K$5:$AJ$140,0,MATCH(N$2,Inputs!$K$4:$AJ$4,0))))+SUMPRODUCT((Inputs!$E$5:$E$140=$B53)*ISNUMBER(INDEX(Inputs!$K$5:$AJ$140,0,MATCH(N$2,Inputs!$K$4:$AJ$4,0))))=0,NA(),SUMPRODUCT((Inputs!$A$5:$A$140=$B53)*Inputs!$B$5:$B$140*(((Inputs!$G$5:$G$140="moeda")+(Inputs!$G$5:$G$140="acoes"))*Inputs!$B$1+((Inputs!$G$5:$G$140&lt;&gt;"moeda")*(Inputs!$G$5:$G$140&lt;&gt;"acoes")))*INDEX(Inputs!$K$5:$AJ$140,0,MATCH(N$2,Inputs!$K$4:$AJ$4,0)))+SUMPRODUCT((Inputs!$C$5:$C$140=$B53)*Inputs!$D$5:$D$140*(((Inputs!$G$5:$G$140="moeda")+(Inputs!$G$5:$G$140="acoes"))*Inputs!$B$1+((Inputs!$G$5:$G$140&lt;&gt;"moeda")*(Inputs!$G$5:$G$140&lt;&gt;"acoes")))*INDEX(Inputs!$K$5:$AJ$140,0,MATCH(N$2,Inputs!$K$4:$AJ$4,0)))+SUMPRODUCT((Inputs!$E$5:$E$140=$B53)*Inputs!$F$5:$F$140*(((Inputs!$G$5:$G$140="moeda")+(Inputs!$G$5:$G$140="acoes"))*Inputs!$B$1+((Inputs!$G$5:$G$140&lt;&gt;"moeda")*(Inputs!$G$5:$G$140&lt;&gt;"acoes")))*INDEX(Inputs!$K$5:$AJ$140,0,MATCH(N$2,Inputs!$K$4:$AJ$4,0)))))</f>
        <v>3523</v>
      </c>
      <c r="O53" s="262">
        <f>IF(ISNA(MATCH(O$2,Inputs!$K$4:$AJ$4,0)),NA(),IF(SUMPRODUCT((Inputs!$A$5:$A$140=$B53)*ISNUMBER(INDEX(Inputs!$K$5:$AJ$140,0,MATCH(O$2,Inputs!$K$4:$AJ$4,0))))+SUMPRODUCT((Inputs!$C$5:$C$140=$B53)*ISNUMBER(INDEX(Inputs!$K$5:$AJ$140,0,MATCH(O$2,Inputs!$K$4:$AJ$4,0))))+SUMPRODUCT((Inputs!$E$5:$E$140=$B53)*ISNUMBER(INDEX(Inputs!$K$5:$AJ$140,0,MATCH(O$2,Inputs!$K$4:$AJ$4,0))))=0,NA(),SUMPRODUCT((Inputs!$A$5:$A$140=$B53)*Inputs!$B$5:$B$140*(((Inputs!$G$5:$G$140="moeda")+(Inputs!$G$5:$G$140="acoes"))*Inputs!$B$1+((Inputs!$G$5:$G$140&lt;&gt;"moeda")*(Inputs!$G$5:$G$140&lt;&gt;"acoes")))*INDEX(Inputs!$K$5:$AJ$140,0,MATCH(O$2,Inputs!$K$4:$AJ$4,0)))+SUMPRODUCT((Inputs!$C$5:$C$140=$B53)*Inputs!$D$5:$D$140*(((Inputs!$G$5:$G$140="moeda")+(Inputs!$G$5:$G$140="acoes"))*Inputs!$B$1+((Inputs!$G$5:$G$140&lt;&gt;"moeda")*(Inputs!$G$5:$G$140&lt;&gt;"acoes")))*INDEX(Inputs!$K$5:$AJ$140,0,MATCH(O$2,Inputs!$K$4:$AJ$4,0)))+SUMPRODUCT((Inputs!$E$5:$E$140=$B53)*Inputs!$F$5:$F$140*(((Inputs!$G$5:$G$140="moeda")+(Inputs!$G$5:$G$140="acoes"))*Inputs!$B$1+((Inputs!$G$5:$G$140&lt;&gt;"moeda")*(Inputs!$G$5:$G$140&lt;&gt;"acoes")))*INDEX(Inputs!$K$5:$AJ$140,0,MATCH(O$2,Inputs!$K$4:$AJ$4,0)))))</f>
        <v>3899</v>
      </c>
      <c r="P53" s="262">
        <f>IF(ISNA(MATCH(P$2,Inputs!$K$4:$AJ$4,0)),NA(),IF(SUMPRODUCT((Inputs!$A$5:$A$140=$B53)*ISNUMBER(INDEX(Inputs!$K$5:$AJ$140,0,MATCH(P$2,Inputs!$K$4:$AJ$4,0))))+SUMPRODUCT((Inputs!$C$5:$C$140=$B53)*ISNUMBER(INDEX(Inputs!$K$5:$AJ$140,0,MATCH(P$2,Inputs!$K$4:$AJ$4,0))))+SUMPRODUCT((Inputs!$E$5:$E$140=$B53)*ISNUMBER(INDEX(Inputs!$K$5:$AJ$140,0,MATCH(P$2,Inputs!$K$4:$AJ$4,0))))=0,NA(),SUMPRODUCT((Inputs!$A$5:$A$140=$B53)*Inputs!$B$5:$B$140*(((Inputs!$G$5:$G$140="moeda")+(Inputs!$G$5:$G$140="acoes"))*Inputs!$B$1+((Inputs!$G$5:$G$140&lt;&gt;"moeda")*(Inputs!$G$5:$G$140&lt;&gt;"acoes")))*INDEX(Inputs!$K$5:$AJ$140,0,MATCH(P$2,Inputs!$K$4:$AJ$4,0)))+SUMPRODUCT((Inputs!$C$5:$C$140=$B53)*Inputs!$D$5:$D$140*(((Inputs!$G$5:$G$140="moeda")+(Inputs!$G$5:$G$140="acoes"))*Inputs!$B$1+((Inputs!$G$5:$G$140&lt;&gt;"moeda")*(Inputs!$G$5:$G$140&lt;&gt;"acoes")))*INDEX(Inputs!$K$5:$AJ$140,0,MATCH(P$2,Inputs!$K$4:$AJ$4,0)))+SUMPRODUCT((Inputs!$E$5:$E$140=$B53)*Inputs!$F$5:$F$140*(((Inputs!$G$5:$G$140="moeda")+(Inputs!$G$5:$G$140="acoes"))*Inputs!$B$1+((Inputs!$G$5:$G$140&lt;&gt;"moeda")*(Inputs!$G$5:$G$140&lt;&gt;"acoes")))*INDEX(Inputs!$K$5:$AJ$140,0,MATCH(P$2,Inputs!$K$4:$AJ$4,0)))))</f>
        <v>4209</v>
      </c>
      <c r="Q53" s="262">
        <f>IF(ISNA(MATCH(Q$2,Inputs!$K$4:$AJ$4,0)),NA(),IF(SUMPRODUCT((Inputs!$A$5:$A$140=$B53)*ISNUMBER(INDEX(Inputs!$K$5:$AJ$140,0,MATCH(Q$2,Inputs!$K$4:$AJ$4,0))))+SUMPRODUCT((Inputs!$C$5:$C$140=$B53)*ISNUMBER(INDEX(Inputs!$K$5:$AJ$140,0,MATCH(Q$2,Inputs!$K$4:$AJ$4,0))))+SUMPRODUCT((Inputs!$E$5:$E$140=$B53)*ISNUMBER(INDEX(Inputs!$K$5:$AJ$140,0,MATCH(Q$2,Inputs!$K$4:$AJ$4,0))))=0,NA(),SUMPRODUCT((Inputs!$A$5:$A$140=$B53)*Inputs!$B$5:$B$140*(((Inputs!$G$5:$G$140="moeda")+(Inputs!$G$5:$G$140="acoes"))*Inputs!$B$1+((Inputs!$G$5:$G$140&lt;&gt;"moeda")*(Inputs!$G$5:$G$140&lt;&gt;"acoes")))*INDEX(Inputs!$K$5:$AJ$140,0,MATCH(Q$2,Inputs!$K$4:$AJ$4,0)))+SUMPRODUCT((Inputs!$C$5:$C$140=$B53)*Inputs!$D$5:$D$140*(((Inputs!$G$5:$G$140="moeda")+(Inputs!$G$5:$G$140="acoes"))*Inputs!$B$1+((Inputs!$G$5:$G$140&lt;&gt;"moeda")*(Inputs!$G$5:$G$140&lt;&gt;"acoes")))*INDEX(Inputs!$K$5:$AJ$140,0,MATCH(Q$2,Inputs!$K$4:$AJ$4,0)))+SUMPRODUCT((Inputs!$E$5:$E$140=$B53)*Inputs!$F$5:$F$140*(((Inputs!$G$5:$G$140="moeda")+(Inputs!$G$5:$G$140="acoes"))*Inputs!$B$1+((Inputs!$G$5:$G$140&lt;&gt;"moeda")*(Inputs!$G$5:$G$140&lt;&gt;"acoes")))*INDEX(Inputs!$K$5:$AJ$140,0,MATCH(Q$2,Inputs!$K$4:$AJ$4,0)))))</f>
        <v>4753</v>
      </c>
      <c r="R53" s="263">
        <f>SUM(N53:Q53)</f>
        <v>16384</v>
      </c>
      <c r="S53" s="262">
        <f>IF(ISNA(MATCH(S$2,Inputs!$K$4:$AJ$4,0)),NA(),IF(SUMPRODUCT((Inputs!$A$5:$A$140=$B53)*ISNUMBER(INDEX(Inputs!$K$5:$AJ$140,0,MATCH(S$2,Inputs!$K$4:$AJ$4,0))))+SUMPRODUCT((Inputs!$C$5:$C$140=$B53)*ISNUMBER(INDEX(Inputs!$K$5:$AJ$140,0,MATCH(S$2,Inputs!$K$4:$AJ$4,0))))+SUMPRODUCT((Inputs!$E$5:$E$140=$B53)*ISNUMBER(INDEX(Inputs!$K$5:$AJ$140,0,MATCH(S$2,Inputs!$K$4:$AJ$4,0))))=0,NA(),SUMPRODUCT((Inputs!$A$5:$A$140=$B53)*Inputs!$B$5:$B$140*(((Inputs!$G$5:$G$140="moeda")+(Inputs!$G$5:$G$140="acoes"))*Inputs!$B$1+((Inputs!$G$5:$G$140&lt;&gt;"moeda")*(Inputs!$G$5:$G$140&lt;&gt;"acoes")))*INDEX(Inputs!$K$5:$AJ$140,0,MATCH(S$2,Inputs!$K$4:$AJ$4,0)))+SUMPRODUCT((Inputs!$C$5:$C$140=$B53)*Inputs!$D$5:$D$140*(((Inputs!$G$5:$G$140="moeda")+(Inputs!$G$5:$G$140="acoes"))*Inputs!$B$1+((Inputs!$G$5:$G$140&lt;&gt;"moeda")*(Inputs!$G$5:$G$140&lt;&gt;"acoes")))*INDEX(Inputs!$K$5:$AJ$140,0,MATCH(S$2,Inputs!$K$4:$AJ$4,0)))+SUMPRODUCT((Inputs!$E$5:$E$140=$B53)*Inputs!$F$5:$F$140*(((Inputs!$G$5:$G$140="moeda")+(Inputs!$G$5:$G$140="acoes"))*Inputs!$B$1+((Inputs!$G$5:$G$140&lt;&gt;"moeda")*(Inputs!$G$5:$G$140&lt;&gt;"acoes")))*INDEX(Inputs!$K$5:$AJ$140,0,MATCH(S$2,Inputs!$K$4:$AJ$4,0)))))</f>
        <v>4683</v>
      </c>
      <c r="T53" s="262">
        <f>IF(ISNA(MATCH(T$2,Inputs!$K$4:$AJ$4,0)),NA(),IF(SUMPRODUCT((Inputs!$A$5:$A$140=$B53)*ISNUMBER(INDEX(Inputs!$K$5:$AJ$140,0,MATCH(T$2,Inputs!$K$4:$AJ$4,0))))+SUMPRODUCT((Inputs!$C$5:$C$140=$B53)*ISNUMBER(INDEX(Inputs!$K$5:$AJ$140,0,MATCH(T$2,Inputs!$K$4:$AJ$4,0))))+SUMPRODUCT((Inputs!$E$5:$E$140=$B53)*ISNUMBER(INDEX(Inputs!$K$5:$AJ$140,0,MATCH(T$2,Inputs!$K$4:$AJ$4,0))))=0,NA(),SUMPRODUCT((Inputs!$A$5:$A$140=$B53)*Inputs!$B$5:$B$140*(((Inputs!$G$5:$G$140="moeda")+(Inputs!$G$5:$G$140="acoes"))*Inputs!$B$1+((Inputs!$G$5:$G$140&lt;&gt;"moeda")*(Inputs!$G$5:$G$140&lt;&gt;"acoes")))*INDEX(Inputs!$K$5:$AJ$140,0,MATCH(T$2,Inputs!$K$4:$AJ$4,0)))+SUMPRODUCT((Inputs!$C$5:$C$140=$B53)*Inputs!$D$5:$D$140*(((Inputs!$G$5:$G$140="moeda")+(Inputs!$G$5:$G$140="acoes"))*Inputs!$B$1+((Inputs!$G$5:$G$140&lt;&gt;"moeda")*(Inputs!$G$5:$G$140&lt;&gt;"acoes")))*INDEX(Inputs!$K$5:$AJ$140,0,MATCH(T$2,Inputs!$K$4:$AJ$4,0)))+SUMPRODUCT((Inputs!$E$5:$E$140=$B53)*Inputs!$F$5:$F$140*(((Inputs!$G$5:$G$140="moeda")+(Inputs!$G$5:$G$140="acoes"))*Inputs!$B$1+((Inputs!$G$5:$G$140&lt;&gt;"moeda")*(Inputs!$G$5:$G$140&lt;&gt;"acoes")))*INDEX(Inputs!$K$5:$AJ$140,0,MATCH(T$2,Inputs!$K$4:$AJ$4,0)))))</f>
        <v>4765</v>
      </c>
      <c r="U53" s="262">
        <f>IF(ISNA(MATCH(U$2,Inputs!$K$4:$AJ$4,0)),NA(),IF(SUMPRODUCT((Inputs!$A$5:$A$140=$B53)*ISNUMBER(INDEX(Inputs!$K$5:$AJ$140,0,MATCH(U$2,Inputs!$K$4:$AJ$4,0))))+SUMPRODUCT((Inputs!$C$5:$C$140=$B53)*ISNUMBER(INDEX(Inputs!$K$5:$AJ$140,0,MATCH(U$2,Inputs!$K$4:$AJ$4,0))))+SUMPRODUCT((Inputs!$E$5:$E$140=$B53)*ISNUMBER(INDEX(Inputs!$K$5:$AJ$140,0,MATCH(U$2,Inputs!$K$4:$AJ$4,0))))=0,NA(),SUMPRODUCT((Inputs!$A$5:$A$140=$B53)*Inputs!$B$5:$B$140*(((Inputs!$G$5:$G$140="moeda")+(Inputs!$G$5:$G$140="acoes"))*Inputs!$B$1+((Inputs!$G$5:$G$140&lt;&gt;"moeda")*(Inputs!$G$5:$G$140&lt;&gt;"acoes")))*INDEX(Inputs!$K$5:$AJ$140,0,MATCH(U$2,Inputs!$K$4:$AJ$4,0)))+SUMPRODUCT((Inputs!$C$5:$C$140=$B53)*Inputs!$D$5:$D$140*(((Inputs!$G$5:$G$140="moeda")+(Inputs!$G$5:$G$140="acoes"))*Inputs!$B$1+((Inputs!$G$5:$G$140&lt;&gt;"moeda")*(Inputs!$G$5:$G$140&lt;&gt;"acoes")))*INDEX(Inputs!$K$5:$AJ$140,0,MATCH(U$2,Inputs!$K$4:$AJ$4,0)))+SUMPRODUCT((Inputs!$E$5:$E$140=$B53)*Inputs!$F$5:$F$140*(((Inputs!$G$5:$G$140="moeda")+(Inputs!$G$5:$G$140="acoes"))*Inputs!$B$1+((Inputs!$G$5:$G$140&lt;&gt;"moeda")*(Inputs!$G$5:$G$140&lt;&gt;"acoes")))*INDEX(Inputs!$K$5:$AJ$140,0,MATCH(U$2,Inputs!$K$4:$AJ$4,0)))))</f>
        <v>5304</v>
      </c>
      <c r="V53" s="262">
        <f>IF(ISNA(MATCH(V$2,Inputs!$K$4:$AJ$4,0)),NA(),IF(SUMPRODUCT((Inputs!$A$5:$A$140=$B53)*ISNUMBER(INDEX(Inputs!$K$5:$AJ$140,0,MATCH(V$2,Inputs!$K$4:$AJ$4,0))))+SUMPRODUCT((Inputs!$C$5:$C$140=$B53)*ISNUMBER(INDEX(Inputs!$K$5:$AJ$140,0,MATCH(V$2,Inputs!$K$4:$AJ$4,0))))+SUMPRODUCT((Inputs!$E$5:$E$140=$B53)*ISNUMBER(INDEX(Inputs!$K$5:$AJ$140,0,MATCH(V$2,Inputs!$K$4:$AJ$4,0))))=0,NA(),SUMPRODUCT((Inputs!$A$5:$A$140=$B53)*Inputs!$B$5:$B$140*(((Inputs!$G$5:$G$140="moeda")+(Inputs!$G$5:$G$140="acoes"))*Inputs!$B$1+((Inputs!$G$5:$G$140&lt;&gt;"moeda")*(Inputs!$G$5:$G$140&lt;&gt;"acoes")))*INDEX(Inputs!$K$5:$AJ$140,0,MATCH(V$2,Inputs!$K$4:$AJ$4,0)))+SUMPRODUCT((Inputs!$C$5:$C$140=$B53)*Inputs!$D$5:$D$140*(((Inputs!$G$5:$G$140="moeda")+(Inputs!$G$5:$G$140="acoes"))*Inputs!$B$1+((Inputs!$G$5:$G$140&lt;&gt;"moeda")*(Inputs!$G$5:$G$140&lt;&gt;"acoes")))*INDEX(Inputs!$K$5:$AJ$140,0,MATCH(V$2,Inputs!$K$4:$AJ$4,0)))+SUMPRODUCT((Inputs!$E$5:$E$140=$B53)*Inputs!$F$5:$F$140*(((Inputs!$G$5:$G$140="moeda")+(Inputs!$G$5:$G$140="acoes"))*Inputs!$B$1+((Inputs!$G$5:$G$140&lt;&gt;"moeda")*(Inputs!$G$5:$G$140&lt;&gt;"acoes")))*INDEX(Inputs!$K$5:$AJ$140,0,MATCH(V$2,Inputs!$K$4:$AJ$4,0)))))</f>
        <v>5620</v>
      </c>
      <c r="W53" s="263">
        <f>SUM(S53:V53)</f>
        <v>20372</v>
      </c>
      <c r="X53" s="262">
        <f>IF(ISNA(MATCH(X$2,Inputs!$K$4:$AJ$4,0)),NA(),IF(SUMPRODUCT((Inputs!$A$5:$A$140=$B53)*ISNUMBER(INDEX(Inputs!$K$5:$AJ$140,0,MATCH(X$2,Inputs!$K$4:$AJ$4,0))))+SUMPRODUCT((Inputs!$C$5:$C$140=$B53)*ISNUMBER(INDEX(Inputs!$K$5:$AJ$140,0,MATCH(X$2,Inputs!$K$4:$AJ$4,0))))+SUMPRODUCT((Inputs!$E$5:$E$140=$B53)*ISNUMBER(INDEX(Inputs!$K$5:$AJ$140,0,MATCH(X$2,Inputs!$K$4:$AJ$4,0))))=0,NA(),SUMPRODUCT((Inputs!$A$5:$A$140=$B53)*Inputs!$B$5:$B$140*(((Inputs!$G$5:$G$140="moeda")+(Inputs!$G$5:$G$140="acoes"))*Inputs!$B$1+((Inputs!$G$5:$G$140&lt;&gt;"moeda")*(Inputs!$G$5:$G$140&lt;&gt;"acoes")))*INDEX(Inputs!$K$5:$AJ$140,0,MATCH(X$2,Inputs!$K$4:$AJ$4,0)))+SUMPRODUCT((Inputs!$C$5:$C$140=$B53)*Inputs!$D$5:$D$140*(((Inputs!$G$5:$G$140="moeda")+(Inputs!$G$5:$G$140="acoes"))*Inputs!$B$1+((Inputs!$G$5:$G$140&lt;&gt;"moeda")*(Inputs!$G$5:$G$140&lt;&gt;"acoes")))*INDEX(Inputs!$K$5:$AJ$140,0,MATCH(X$2,Inputs!$K$4:$AJ$4,0)))+SUMPRODUCT((Inputs!$E$5:$E$140=$B53)*Inputs!$F$5:$F$140*(((Inputs!$G$5:$G$140="moeda")+(Inputs!$G$5:$G$140="acoes"))*Inputs!$B$1+((Inputs!$G$5:$G$140&lt;&gt;"moeda")*(Inputs!$G$5:$G$140&lt;&gt;"acoes")))*INDEX(Inputs!$K$5:$AJ$140,0,MATCH(X$2,Inputs!$K$4:$AJ$4,0)))))</f>
        <v>5252</v>
      </c>
      <c r="Y53" s="262">
        <f>IF(ISNA(MATCH(Y$2,Inputs!$K$4:$AJ$4,0)),NA(),IF(SUMPRODUCT((Inputs!$A$5:$A$140=$B53)*ISNUMBER(INDEX(Inputs!$K$5:$AJ$140,0,MATCH(Y$2,Inputs!$K$4:$AJ$4,0))))+SUMPRODUCT((Inputs!$C$5:$C$140=$B53)*ISNUMBER(INDEX(Inputs!$K$5:$AJ$140,0,MATCH(Y$2,Inputs!$K$4:$AJ$4,0))))+SUMPRODUCT((Inputs!$E$5:$E$140=$B53)*ISNUMBER(INDEX(Inputs!$K$5:$AJ$140,0,MATCH(Y$2,Inputs!$K$4:$AJ$4,0))))=0,NA(),SUMPRODUCT((Inputs!$A$5:$A$140=$B53)*Inputs!$B$5:$B$140*(((Inputs!$G$5:$G$140="moeda")+(Inputs!$G$5:$G$140="acoes"))*Inputs!$B$1+((Inputs!$G$5:$G$140&lt;&gt;"moeda")*(Inputs!$G$5:$G$140&lt;&gt;"acoes")))*INDEX(Inputs!$K$5:$AJ$140,0,MATCH(Y$2,Inputs!$K$4:$AJ$4,0)))+SUMPRODUCT((Inputs!$C$5:$C$140=$B53)*Inputs!$D$5:$D$140*(((Inputs!$G$5:$G$140="moeda")+(Inputs!$G$5:$G$140="acoes"))*Inputs!$B$1+((Inputs!$G$5:$G$140&lt;&gt;"moeda")*(Inputs!$G$5:$G$140&lt;&gt;"acoes")))*INDEX(Inputs!$K$5:$AJ$140,0,MATCH(Y$2,Inputs!$K$4:$AJ$4,0)))+SUMPRODUCT((Inputs!$E$5:$E$140=$B53)*Inputs!$F$5:$F$140*(((Inputs!$G$5:$G$140="moeda")+(Inputs!$G$5:$G$140="acoes"))*Inputs!$B$1+((Inputs!$G$5:$G$140&lt;&gt;"moeda")*(Inputs!$G$5:$G$140&lt;&gt;"acoes")))*INDEX(Inputs!$K$5:$AJ$140,0,MATCH(Y$2,Inputs!$K$4:$AJ$4,0)))))</f>
        <v>5541</v>
      </c>
      <c r="Z53" s="262">
        <f>IF(ISNA(MATCH(Z$2,Inputs!$K$4:$AJ$4,0)),NA(),IF(SUMPRODUCT((Inputs!$A$5:$A$140=$B53)*ISNUMBER(INDEX(Inputs!$K$5:$AJ$140,0,MATCH(Z$2,Inputs!$K$4:$AJ$4,0))))+SUMPRODUCT((Inputs!$C$5:$C$140=$B53)*ISNUMBER(INDEX(Inputs!$K$5:$AJ$140,0,MATCH(Z$2,Inputs!$K$4:$AJ$4,0))))+SUMPRODUCT((Inputs!$E$5:$E$140=$B53)*ISNUMBER(INDEX(Inputs!$K$5:$AJ$140,0,MATCH(Z$2,Inputs!$K$4:$AJ$4,0))))=0,NA(),SUMPRODUCT((Inputs!$A$5:$A$140=$B53)*Inputs!$B$5:$B$140*(((Inputs!$G$5:$G$140="moeda")+(Inputs!$G$5:$G$140="acoes"))*Inputs!$B$1+((Inputs!$G$5:$G$140&lt;&gt;"moeda")*(Inputs!$G$5:$G$140&lt;&gt;"acoes")))*INDEX(Inputs!$K$5:$AJ$140,0,MATCH(Z$2,Inputs!$K$4:$AJ$4,0)))+SUMPRODUCT((Inputs!$C$5:$C$140=$B53)*Inputs!$D$5:$D$140*(((Inputs!$G$5:$G$140="moeda")+(Inputs!$G$5:$G$140="acoes"))*Inputs!$B$1+((Inputs!$G$5:$G$140&lt;&gt;"moeda")*(Inputs!$G$5:$G$140&lt;&gt;"acoes")))*INDEX(Inputs!$K$5:$AJ$140,0,MATCH(Z$2,Inputs!$K$4:$AJ$4,0)))+SUMPRODUCT((Inputs!$E$5:$E$140=$B53)*Inputs!$F$5:$F$140*(((Inputs!$G$5:$G$140="moeda")+(Inputs!$G$5:$G$140="acoes"))*Inputs!$B$1+((Inputs!$G$5:$G$140&lt;&gt;"moeda")*(Inputs!$G$5:$G$140&lt;&gt;"acoes")))*INDEX(Inputs!$K$5:$AJ$140,0,MATCH(Z$2,Inputs!$K$4:$AJ$4,0)))))</f>
        <v>7530</v>
      </c>
      <c r="AA53" s="262">
        <f>IF(ISNA(MATCH(AA$2,Inputs!$K$4:$AJ$4,0)),NA(),IF(SUMPRODUCT((Inputs!$A$5:$A$140=$B53)*ISNUMBER(INDEX(Inputs!$K$5:$AJ$140,0,MATCH(AA$2,Inputs!$K$4:$AJ$4,0))))+SUMPRODUCT((Inputs!$C$5:$C$140=$B53)*ISNUMBER(INDEX(Inputs!$K$5:$AJ$140,0,MATCH(AA$2,Inputs!$K$4:$AJ$4,0))))+SUMPRODUCT((Inputs!$E$5:$E$140=$B53)*ISNUMBER(INDEX(Inputs!$K$5:$AJ$140,0,MATCH(AA$2,Inputs!$K$4:$AJ$4,0))))=0,NA(),SUMPRODUCT((Inputs!$A$5:$A$140=$B53)*Inputs!$B$5:$B$140*(((Inputs!$G$5:$G$140="moeda")+(Inputs!$G$5:$G$140="acoes"))*Inputs!$B$1+((Inputs!$G$5:$G$140&lt;&gt;"moeda")*(Inputs!$G$5:$G$140&lt;&gt;"acoes")))*INDEX(Inputs!$K$5:$AJ$140,0,MATCH(AA$2,Inputs!$K$4:$AJ$4,0)))+SUMPRODUCT((Inputs!$C$5:$C$140=$B53)*Inputs!$D$5:$D$140*(((Inputs!$G$5:$G$140="moeda")+(Inputs!$G$5:$G$140="acoes"))*Inputs!$B$1+((Inputs!$G$5:$G$140&lt;&gt;"moeda")*(Inputs!$G$5:$G$140&lt;&gt;"acoes")))*INDEX(Inputs!$K$5:$AJ$140,0,MATCH(AA$2,Inputs!$K$4:$AJ$4,0)))+SUMPRODUCT((Inputs!$E$5:$E$140=$B53)*Inputs!$F$5:$F$140*(((Inputs!$G$5:$G$140="moeda")+(Inputs!$G$5:$G$140="acoes"))*Inputs!$B$1+((Inputs!$G$5:$G$140&lt;&gt;"moeda")*(Inputs!$G$5:$G$140&lt;&gt;"acoes")))*INDEX(Inputs!$K$5:$AJ$140,0,MATCH(AA$2,Inputs!$K$4:$AJ$4,0)))))</f>
        <v>7354</v>
      </c>
      <c r="AB53" s="263">
        <f>SUM(X53:AA53)</f>
        <v>25677</v>
      </c>
      <c r="AC53" s="262" t="e">
        <f>IF(ISNA(MATCH(AC$2,Inputs!$K$4:$AJ$4,0)),NA(),IF(SUMPRODUCT((Inputs!$A$5:$A$140=$B53)*ISNUMBER(INDEX(Inputs!$K$5:$AJ$140,0,MATCH(AC$2,Inputs!$K$4:$AJ$4,0))))+SUMPRODUCT((Inputs!$C$5:$C$140=$B53)*ISNUMBER(INDEX(Inputs!$K$5:$AJ$140,0,MATCH(AC$2,Inputs!$K$4:$AJ$4,0))))+SUMPRODUCT((Inputs!$E$5:$E$140=$B53)*ISNUMBER(INDEX(Inputs!$K$5:$AJ$140,0,MATCH(AC$2,Inputs!$K$4:$AJ$4,0))))=0,NA(),SUMPRODUCT((Inputs!$A$5:$A$140=$B53)*Inputs!$B$5:$B$140*(((Inputs!$G$5:$G$140="moeda")+(Inputs!$G$5:$G$140="acoes"))*Inputs!$B$1+((Inputs!$G$5:$G$140&lt;&gt;"moeda")*(Inputs!$G$5:$G$140&lt;&gt;"acoes")))*INDEX(Inputs!$K$5:$AJ$140,0,MATCH(AC$2,Inputs!$K$4:$AJ$4,0)))+SUMPRODUCT((Inputs!$C$5:$C$140=$B53)*Inputs!$D$5:$D$140*(((Inputs!$G$5:$G$140="moeda")+(Inputs!$G$5:$G$140="acoes"))*Inputs!$B$1+((Inputs!$G$5:$G$140&lt;&gt;"moeda")*(Inputs!$G$5:$G$140&lt;&gt;"acoes")))*INDEX(Inputs!$K$5:$AJ$140,0,MATCH(AC$2,Inputs!$K$4:$AJ$4,0)))+SUMPRODUCT((Inputs!$E$5:$E$140=$B53)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3" s="262" t="e">
        <f>IF(ISNA(MATCH(AD$2,Inputs!$K$4:$AJ$4,0)),NA(),IF(SUMPRODUCT((Inputs!$A$5:$A$140=$B53)*ISNUMBER(INDEX(Inputs!$K$5:$AJ$140,0,MATCH(AD$2,Inputs!$K$4:$AJ$4,0))))+SUMPRODUCT((Inputs!$C$5:$C$140=$B53)*ISNUMBER(INDEX(Inputs!$K$5:$AJ$140,0,MATCH(AD$2,Inputs!$K$4:$AJ$4,0))))+SUMPRODUCT((Inputs!$E$5:$E$140=$B53)*ISNUMBER(INDEX(Inputs!$K$5:$AJ$140,0,MATCH(AD$2,Inputs!$K$4:$AJ$4,0))))=0,NA(),SUMPRODUCT((Inputs!$A$5:$A$140=$B53)*Inputs!$B$5:$B$140*(((Inputs!$G$5:$G$140="moeda")+(Inputs!$G$5:$G$140="acoes"))*Inputs!$B$1+((Inputs!$G$5:$G$140&lt;&gt;"moeda")*(Inputs!$G$5:$G$140&lt;&gt;"acoes")))*INDEX(Inputs!$K$5:$AJ$140,0,MATCH(AD$2,Inputs!$K$4:$AJ$4,0)))+SUMPRODUCT((Inputs!$C$5:$C$140=$B53)*Inputs!$D$5:$D$140*(((Inputs!$G$5:$G$140="moeda")+(Inputs!$G$5:$G$140="acoes"))*Inputs!$B$1+((Inputs!$G$5:$G$140&lt;&gt;"moeda")*(Inputs!$G$5:$G$140&lt;&gt;"acoes")))*INDEX(Inputs!$K$5:$AJ$140,0,MATCH(AD$2,Inputs!$K$4:$AJ$4,0)))+SUMPRODUCT((Inputs!$E$5:$E$140=$B53)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3" s="262" t="e">
        <f>IF(ISNA(MATCH(AE$2,Inputs!$K$4:$AJ$4,0)),NA(),IF(SUMPRODUCT((Inputs!$A$5:$A$140=$B53)*ISNUMBER(INDEX(Inputs!$K$5:$AJ$140,0,MATCH(AE$2,Inputs!$K$4:$AJ$4,0))))+SUMPRODUCT((Inputs!$C$5:$C$140=$B53)*ISNUMBER(INDEX(Inputs!$K$5:$AJ$140,0,MATCH(AE$2,Inputs!$K$4:$AJ$4,0))))+SUMPRODUCT((Inputs!$E$5:$E$140=$B53)*ISNUMBER(INDEX(Inputs!$K$5:$AJ$140,0,MATCH(AE$2,Inputs!$K$4:$AJ$4,0))))=0,NA(),SUMPRODUCT((Inputs!$A$5:$A$140=$B53)*Inputs!$B$5:$B$140*(((Inputs!$G$5:$G$140="moeda")+(Inputs!$G$5:$G$140="acoes"))*Inputs!$B$1+((Inputs!$G$5:$G$140&lt;&gt;"moeda")*(Inputs!$G$5:$G$140&lt;&gt;"acoes")))*INDEX(Inputs!$K$5:$AJ$140,0,MATCH(AE$2,Inputs!$K$4:$AJ$4,0)))+SUMPRODUCT((Inputs!$C$5:$C$140=$B53)*Inputs!$D$5:$D$140*(((Inputs!$G$5:$G$140="moeda")+(Inputs!$G$5:$G$140="acoes"))*Inputs!$B$1+((Inputs!$G$5:$G$140&lt;&gt;"moeda")*(Inputs!$G$5:$G$140&lt;&gt;"acoes")))*INDEX(Inputs!$K$5:$AJ$140,0,MATCH(AE$2,Inputs!$K$4:$AJ$4,0)))+SUMPRODUCT((Inputs!$E$5:$E$140=$B53)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3" s="262" t="e">
        <f>IF(ISNA(MATCH(AF$2,Inputs!$K$4:$AJ$4,0)),NA(),IF(SUMPRODUCT((Inputs!$A$5:$A$140=$B53)*ISNUMBER(INDEX(Inputs!$K$5:$AJ$140,0,MATCH(AF$2,Inputs!$K$4:$AJ$4,0))))+SUMPRODUCT((Inputs!$C$5:$C$140=$B53)*ISNUMBER(INDEX(Inputs!$K$5:$AJ$140,0,MATCH(AF$2,Inputs!$K$4:$AJ$4,0))))+SUMPRODUCT((Inputs!$E$5:$E$140=$B53)*ISNUMBER(INDEX(Inputs!$K$5:$AJ$140,0,MATCH(AF$2,Inputs!$K$4:$AJ$4,0))))=0,NA(),SUMPRODUCT((Inputs!$A$5:$A$140=$B53)*Inputs!$B$5:$B$140*(((Inputs!$G$5:$G$140="moeda")+(Inputs!$G$5:$G$140="acoes"))*Inputs!$B$1+((Inputs!$G$5:$G$140&lt;&gt;"moeda")*(Inputs!$G$5:$G$140&lt;&gt;"acoes")))*INDEX(Inputs!$K$5:$AJ$140,0,MATCH(AF$2,Inputs!$K$4:$AJ$4,0)))+SUMPRODUCT((Inputs!$C$5:$C$140=$B53)*Inputs!$D$5:$D$140*(((Inputs!$G$5:$G$140="moeda")+(Inputs!$G$5:$G$140="acoes"))*Inputs!$B$1+((Inputs!$G$5:$G$140&lt;&gt;"moeda")*(Inputs!$G$5:$G$140&lt;&gt;"acoes")))*INDEX(Inputs!$K$5:$AJ$140,0,MATCH(AF$2,Inputs!$K$4:$AJ$4,0)))+SUMPRODUCT((Inputs!$E$5:$E$140=$B53)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3" s="263" t="e">
        <f>SUM(AC53:AF53)</f>
        <v>#N/A</v>
      </c>
      <c r="AH53" s="262">
        <f>IF(ISNA(MATCH(AH$2,Inputs!$K$4:$AJ$4,0)),NA(),IF(SUMPRODUCT((Inputs!$A$5:$A$140=$B53)*ISNUMBER(INDEX(Inputs!$K$5:$AJ$140,0,MATCH(AH$2,Inputs!$K$4:$AJ$4,0))))+SUMPRODUCT((Inputs!$C$5:$C$140=$B53)*ISNUMBER(INDEX(Inputs!$K$5:$AJ$140,0,MATCH(AH$2,Inputs!$K$4:$AJ$4,0))))+SUMPRODUCT((Inputs!$E$5:$E$140=$B53)*ISNUMBER(INDEX(Inputs!$K$5:$AJ$140,0,MATCH(AH$2,Inputs!$K$4:$AJ$4,0))))=0,NA(),SUMPRODUCT((Inputs!$A$5:$A$140=$B53)*Inputs!$B$5:$B$140*(((Inputs!$G$5:$G$140="moeda")+(Inputs!$G$5:$G$140="acoes"))*Inputs!$B$1+((Inputs!$G$5:$G$140&lt;&gt;"moeda")*(Inputs!$G$5:$G$140&lt;&gt;"acoes")))*INDEX(Inputs!$K$5:$AJ$140,0,MATCH(AH$2,Inputs!$K$4:$AJ$4,0)))+SUMPRODUCT((Inputs!$C$5:$C$140=$B53)*Inputs!$D$5:$D$140*(((Inputs!$G$5:$G$140="moeda")+(Inputs!$G$5:$G$140="acoes"))*Inputs!$B$1+((Inputs!$G$5:$G$140&lt;&gt;"moeda")*(Inputs!$G$5:$G$140&lt;&gt;"acoes")))*INDEX(Inputs!$K$5:$AJ$140,0,MATCH(AH$2,Inputs!$K$4:$AJ$4,0)))+SUMPRODUCT((Inputs!$E$5:$E$140=$B53)*Inputs!$F$5:$F$140*(((Inputs!$G$5:$G$140="moeda")+(Inputs!$G$5:$G$140="acoes"))*Inputs!$B$1+((Inputs!$G$5:$G$140&lt;&gt;"moeda")*(Inputs!$G$5:$G$140&lt;&gt;"acoes")))*INDEX(Inputs!$K$5:$AJ$140,0,MATCH(AH$2,Inputs!$K$4:$AJ$4,0)))))</f>
        <v>1251</v>
      </c>
      <c r="AI53" s="262">
        <f>IF(ISNA(MATCH(AI$2,Inputs!$K$4:$AJ$4,0)),NA(),IF(SUMPRODUCT((Inputs!$A$5:$A$140=$B53)*ISNUMBER(INDEX(Inputs!$K$5:$AJ$140,0,MATCH(AI$2,Inputs!$K$4:$AJ$4,0))))+SUMPRODUCT((Inputs!$C$5:$C$140=$B53)*ISNUMBER(INDEX(Inputs!$K$5:$AJ$140,0,MATCH(AI$2,Inputs!$K$4:$AJ$4,0))))+SUMPRODUCT((Inputs!$E$5:$E$140=$B53)*ISNUMBER(INDEX(Inputs!$K$5:$AJ$140,0,MATCH(AI$2,Inputs!$K$4:$AJ$4,0))))=0,NA(),SUMPRODUCT((Inputs!$A$5:$A$140=$B53)*Inputs!$B$5:$B$140*(((Inputs!$G$5:$G$140="moeda")+(Inputs!$G$5:$G$140="acoes"))*Inputs!$B$1+((Inputs!$G$5:$G$140&lt;&gt;"moeda")*(Inputs!$G$5:$G$140&lt;&gt;"acoes")))*INDEX(Inputs!$K$5:$AJ$140,0,MATCH(AI$2,Inputs!$K$4:$AJ$4,0)))+SUMPRODUCT((Inputs!$C$5:$C$140=$B53)*Inputs!$D$5:$D$140*(((Inputs!$G$5:$G$140="moeda")+(Inputs!$G$5:$G$140="acoes"))*Inputs!$B$1+((Inputs!$G$5:$G$140&lt;&gt;"moeda")*(Inputs!$G$5:$G$140&lt;&gt;"acoes")))*INDEX(Inputs!$K$5:$AJ$140,0,MATCH(AI$2,Inputs!$K$4:$AJ$4,0)))+SUMPRODUCT((Inputs!$E$5:$E$140=$B53)*Inputs!$F$5:$F$140*(((Inputs!$G$5:$G$140="moeda")+(Inputs!$G$5:$G$140="acoes"))*Inputs!$B$1+((Inputs!$G$5:$G$140&lt;&gt;"moeda")*(Inputs!$G$5:$G$140&lt;&gt;"acoes")))*INDEX(Inputs!$K$5:$AJ$140,0,MATCH(AI$2,Inputs!$K$4:$AJ$4,0)))))</f>
        <v>1552</v>
      </c>
      <c r="AJ53" s="262">
        <f>IF(ISNA(MATCH(AJ$2,Inputs!$K$4:$AJ$4,0)),NA(),IF(SUMPRODUCT((Inputs!$A$5:$A$140=$B53)*ISNUMBER(INDEX(Inputs!$K$5:$AJ$140,0,MATCH(AJ$2,Inputs!$K$4:$AJ$4,0))))+SUMPRODUCT((Inputs!$C$5:$C$140=$B53)*ISNUMBER(INDEX(Inputs!$K$5:$AJ$140,0,MATCH(AJ$2,Inputs!$K$4:$AJ$4,0))))+SUMPRODUCT((Inputs!$E$5:$E$140=$B53)*ISNUMBER(INDEX(Inputs!$K$5:$AJ$140,0,MATCH(AJ$2,Inputs!$K$4:$AJ$4,0))))=0,NA(),SUMPRODUCT((Inputs!$A$5:$A$140=$B53)*Inputs!$B$5:$B$140*(((Inputs!$G$5:$G$140="moeda")+(Inputs!$G$5:$G$140="acoes"))*Inputs!$B$1+((Inputs!$G$5:$G$140&lt;&gt;"moeda")*(Inputs!$G$5:$G$140&lt;&gt;"acoes")))*INDEX(Inputs!$K$5:$AJ$140,0,MATCH(AJ$2,Inputs!$K$4:$AJ$4,0)))+SUMPRODUCT((Inputs!$C$5:$C$140=$B53)*Inputs!$D$5:$D$140*(((Inputs!$G$5:$G$140="moeda")+(Inputs!$G$5:$G$140="acoes"))*Inputs!$B$1+((Inputs!$G$5:$G$140&lt;&gt;"moeda")*(Inputs!$G$5:$G$140&lt;&gt;"acoes")))*INDEX(Inputs!$K$5:$AJ$140,0,MATCH(AJ$2,Inputs!$K$4:$AJ$4,0)))+SUMPRODUCT((Inputs!$E$5:$E$140=$B53)*Inputs!$F$5:$F$140*(((Inputs!$G$5:$G$140="moeda")+(Inputs!$G$5:$G$140="acoes"))*Inputs!$B$1+((Inputs!$G$5:$G$140&lt;&gt;"moeda")*(Inputs!$G$5:$G$140&lt;&gt;"acoes")))*INDEX(Inputs!$K$5:$AJ$140,0,MATCH(AJ$2,Inputs!$K$4:$AJ$4,0)))))</f>
        <v>1933</v>
      </c>
      <c r="AK53" s="262">
        <f>IF(ISNA(MATCH(AK$2,Inputs!$K$4:$AJ$4,0)),NA(),IF(SUMPRODUCT((Inputs!$A$5:$A$140=$B53)*ISNUMBER(INDEX(Inputs!$K$5:$AJ$140,0,MATCH(AK$2,Inputs!$K$4:$AJ$4,0))))+SUMPRODUCT((Inputs!$C$5:$C$140=$B53)*ISNUMBER(INDEX(Inputs!$K$5:$AJ$140,0,MATCH(AK$2,Inputs!$K$4:$AJ$4,0))))+SUMPRODUCT((Inputs!$E$5:$E$140=$B53)*ISNUMBER(INDEX(Inputs!$K$5:$AJ$140,0,MATCH(AK$2,Inputs!$K$4:$AJ$4,0))))=0,NA(),SUMPRODUCT((Inputs!$A$5:$A$140=$B53)*Inputs!$B$5:$B$140*(((Inputs!$G$5:$G$140="moeda")+(Inputs!$G$5:$G$140="acoes"))*Inputs!$B$1+((Inputs!$G$5:$G$140&lt;&gt;"moeda")*(Inputs!$G$5:$G$140&lt;&gt;"acoes")))*INDEX(Inputs!$K$5:$AJ$140,0,MATCH(AK$2,Inputs!$K$4:$AJ$4,0)))+SUMPRODUCT((Inputs!$C$5:$C$140=$B53)*Inputs!$D$5:$D$140*(((Inputs!$G$5:$G$140="moeda")+(Inputs!$G$5:$G$140="acoes"))*Inputs!$B$1+((Inputs!$G$5:$G$140&lt;&gt;"moeda")*(Inputs!$G$5:$G$140&lt;&gt;"acoes")))*INDEX(Inputs!$K$5:$AJ$140,0,MATCH(AK$2,Inputs!$K$4:$AJ$4,0)))+SUMPRODUCT((Inputs!$E$5:$E$140=$B53)*Inputs!$F$5:$F$140*(((Inputs!$G$5:$G$140="moeda")+(Inputs!$G$5:$G$140="acoes"))*Inputs!$B$1+((Inputs!$G$5:$G$140&lt;&gt;"moeda")*(Inputs!$G$5:$G$140&lt;&gt;"acoes")))*INDEX(Inputs!$K$5:$AJ$140,0,MATCH(AK$2,Inputs!$K$4:$AJ$4,0)))))</f>
        <v>2076</v>
      </c>
      <c r="AL53" s="263">
        <f>SUM(AH53:AK53)</f>
        <v>6812</v>
      </c>
    </row>
    <row r="54">
      <c r="B54" s="46" t="n">
        <v>46</v>
      </c>
      <c r="C54" s="29" t="inlineStr">
        <is>
          <t>Receita bruta de mercadorias - Varejo (Super/Hiper, Camino) (R$ milhoes)</t>
        </is>
      </c>
      <c r="D54" s="262">
        <f>IF(ISNA(MATCH(D$2,Inputs!$K$4:$AJ$4,0)),NA(),IF(SUMPRODUCT((Inputs!$A$5:$A$140=$B54)*ISNUMBER(INDEX(Inputs!$K$5:$AJ$140,0,MATCH(D$2,Inputs!$K$4:$AJ$4,0))))+SUMPRODUCT((Inputs!$C$5:$C$140=$B54)*ISNUMBER(INDEX(Inputs!$K$5:$AJ$140,0,MATCH(D$2,Inputs!$K$4:$AJ$4,0))))+SUMPRODUCT((Inputs!$E$5:$E$140=$B54)*ISNUMBER(INDEX(Inputs!$K$5:$AJ$140,0,MATCH(D$2,Inputs!$K$4:$AJ$4,0))))=0,NA(),SUMPRODUCT((Inputs!$A$5:$A$140=$B54)*Inputs!$B$5:$B$140*(((Inputs!$G$5:$G$140="moeda")+(Inputs!$G$5:$G$140="acoes"))*Inputs!$B$1+((Inputs!$G$5:$G$140&lt;&gt;"moeda")*(Inputs!$G$5:$G$140&lt;&gt;"acoes")))*INDEX(Inputs!$K$5:$AJ$140,0,MATCH(D$2,Inputs!$K$4:$AJ$4,0)))+SUMPRODUCT((Inputs!$C$5:$C$140=$B54)*Inputs!$D$5:$D$140*(((Inputs!$G$5:$G$140="moeda")+(Inputs!$G$5:$G$140="acoes"))*Inputs!$B$1+((Inputs!$G$5:$G$140&lt;&gt;"moeda")*(Inputs!$G$5:$G$140&lt;&gt;"acoes")))*INDEX(Inputs!$K$5:$AJ$140,0,MATCH(D$2,Inputs!$K$4:$AJ$4,0)))+SUMPRODUCT((Inputs!$E$5:$E$140=$B54)*Inputs!$F$5:$F$140*(((Inputs!$G$5:$G$140="moeda")+(Inputs!$G$5:$G$140="acoes"))*Inputs!$B$1+((Inputs!$G$5:$G$140&lt;&gt;"moeda")*(Inputs!$G$5:$G$140&lt;&gt;"acoes")))*INDEX(Inputs!$K$5:$AJ$140,0,MATCH(D$2,Inputs!$K$4:$AJ$4,0)))))</f>
        <v>1114</v>
      </c>
      <c r="E54" s="262">
        <f>IF(ISNA(MATCH(E$2,Inputs!$K$4:$AJ$4,0)),NA(),IF(SUMPRODUCT((Inputs!$A$5:$A$140=$B54)*ISNUMBER(INDEX(Inputs!$K$5:$AJ$140,0,MATCH(E$2,Inputs!$K$4:$AJ$4,0))))+SUMPRODUCT((Inputs!$C$5:$C$140=$B54)*ISNUMBER(INDEX(Inputs!$K$5:$AJ$140,0,MATCH(E$2,Inputs!$K$4:$AJ$4,0))))+SUMPRODUCT((Inputs!$E$5:$E$140=$B54)*ISNUMBER(INDEX(Inputs!$K$5:$AJ$140,0,MATCH(E$2,Inputs!$K$4:$AJ$4,0))))=0,NA(),SUMPRODUCT((Inputs!$A$5:$A$140=$B54)*Inputs!$B$5:$B$140*(((Inputs!$G$5:$G$140="moeda")+(Inputs!$G$5:$G$140="acoes"))*Inputs!$B$1+((Inputs!$G$5:$G$140&lt;&gt;"moeda")*(Inputs!$G$5:$G$140&lt;&gt;"acoes")))*INDEX(Inputs!$K$5:$AJ$140,0,MATCH(E$2,Inputs!$K$4:$AJ$4,0)))+SUMPRODUCT((Inputs!$C$5:$C$140=$B54)*Inputs!$D$5:$D$140*(((Inputs!$G$5:$G$140="moeda")+(Inputs!$G$5:$G$140="acoes"))*Inputs!$B$1+((Inputs!$G$5:$G$140&lt;&gt;"moeda")*(Inputs!$G$5:$G$140&lt;&gt;"acoes")))*INDEX(Inputs!$K$5:$AJ$140,0,MATCH(E$2,Inputs!$K$4:$AJ$4,0)))+SUMPRODUCT((Inputs!$E$5:$E$140=$B54)*Inputs!$F$5:$F$140*(((Inputs!$G$5:$G$140="moeda")+(Inputs!$G$5:$G$140="acoes"))*Inputs!$B$1+((Inputs!$G$5:$G$140&lt;&gt;"moeda")*(Inputs!$G$5:$G$140&lt;&gt;"acoes")))*INDEX(Inputs!$K$5:$AJ$140,0,MATCH(E$2,Inputs!$K$4:$AJ$4,0)))))</f>
        <v>1215</v>
      </c>
      <c r="F54" s="262">
        <f>IF(ISNA(MATCH(F$2,Inputs!$K$4:$AJ$4,0)),NA(),IF(SUMPRODUCT((Inputs!$A$5:$A$140=$B54)*ISNUMBER(INDEX(Inputs!$K$5:$AJ$140,0,MATCH(F$2,Inputs!$K$4:$AJ$4,0))))+SUMPRODUCT((Inputs!$C$5:$C$140=$B54)*ISNUMBER(INDEX(Inputs!$K$5:$AJ$140,0,MATCH(F$2,Inputs!$K$4:$AJ$4,0))))+SUMPRODUCT((Inputs!$E$5:$E$140=$B54)*ISNUMBER(INDEX(Inputs!$K$5:$AJ$140,0,MATCH(F$2,Inputs!$K$4:$AJ$4,0))))=0,NA(),SUMPRODUCT((Inputs!$A$5:$A$140=$B54)*Inputs!$B$5:$B$140*(((Inputs!$G$5:$G$140="moeda")+(Inputs!$G$5:$G$140="acoes"))*Inputs!$B$1+((Inputs!$G$5:$G$140&lt;&gt;"moeda")*(Inputs!$G$5:$G$140&lt;&gt;"acoes")))*INDEX(Inputs!$K$5:$AJ$140,0,MATCH(F$2,Inputs!$K$4:$AJ$4,0)))+SUMPRODUCT((Inputs!$C$5:$C$140=$B54)*Inputs!$D$5:$D$140*(((Inputs!$G$5:$G$140="moeda")+(Inputs!$G$5:$G$140="acoes"))*Inputs!$B$1+((Inputs!$G$5:$G$140&lt;&gt;"moeda")*(Inputs!$G$5:$G$140&lt;&gt;"acoes")))*INDEX(Inputs!$K$5:$AJ$140,0,MATCH(F$2,Inputs!$K$4:$AJ$4,0)))+SUMPRODUCT((Inputs!$E$5:$E$140=$B54)*Inputs!$F$5:$F$140*(((Inputs!$G$5:$G$140="moeda")+(Inputs!$G$5:$G$140="acoes"))*Inputs!$B$1+((Inputs!$G$5:$G$140&lt;&gt;"moeda")*(Inputs!$G$5:$G$140&lt;&gt;"acoes")))*INDEX(Inputs!$K$5:$AJ$140,0,MATCH(F$2,Inputs!$K$4:$AJ$4,0)))))</f>
        <v>1435</v>
      </c>
      <c r="G54" s="262">
        <f>IF(ISNA(MATCH(G$2,Inputs!$K$4:$AJ$4,0)),NA(),IF(SUMPRODUCT((Inputs!$A$5:$A$140=$B54)*ISNUMBER(INDEX(Inputs!$K$5:$AJ$140,0,MATCH(G$2,Inputs!$K$4:$AJ$4,0))))+SUMPRODUCT((Inputs!$C$5:$C$140=$B54)*ISNUMBER(INDEX(Inputs!$K$5:$AJ$140,0,MATCH(G$2,Inputs!$K$4:$AJ$4,0))))+SUMPRODUCT((Inputs!$E$5:$E$140=$B54)*ISNUMBER(INDEX(Inputs!$K$5:$AJ$140,0,MATCH(G$2,Inputs!$K$4:$AJ$4,0))))=0,NA(),SUMPRODUCT((Inputs!$A$5:$A$140=$B54)*Inputs!$B$5:$B$140*(((Inputs!$G$5:$G$140="moeda")+(Inputs!$G$5:$G$140="acoes"))*Inputs!$B$1+((Inputs!$G$5:$G$140&lt;&gt;"moeda")*(Inputs!$G$5:$G$140&lt;&gt;"acoes")))*INDEX(Inputs!$K$5:$AJ$140,0,MATCH(G$2,Inputs!$K$4:$AJ$4,0)))+SUMPRODUCT((Inputs!$C$5:$C$140=$B54)*Inputs!$D$5:$D$140*(((Inputs!$G$5:$G$140="moeda")+(Inputs!$G$5:$G$140="acoes"))*Inputs!$B$1+((Inputs!$G$5:$G$140&lt;&gt;"moeda")*(Inputs!$G$5:$G$140&lt;&gt;"acoes")))*INDEX(Inputs!$K$5:$AJ$140,0,MATCH(G$2,Inputs!$K$4:$AJ$4,0)))+SUMPRODUCT((Inputs!$E$5:$E$140=$B54)*Inputs!$F$5:$F$140*(((Inputs!$G$5:$G$140="moeda")+(Inputs!$G$5:$G$140="acoes"))*Inputs!$B$1+((Inputs!$G$5:$G$140&lt;&gt;"moeda")*(Inputs!$G$5:$G$140&lt;&gt;"acoes")))*INDEX(Inputs!$K$5:$AJ$140,0,MATCH(G$2,Inputs!$K$4:$AJ$4,0)))))</f>
        <v>1465</v>
      </c>
      <c r="H54" s="263">
        <f>SUM(D54:G54)</f>
        <v>5229</v>
      </c>
      <c r="I54" s="262">
        <f>IF(ISNA(MATCH(I$2,Inputs!$K$4:$AJ$4,0)),NA(),IF(SUMPRODUCT((Inputs!$A$5:$A$140=$B54)*ISNUMBER(INDEX(Inputs!$K$5:$AJ$140,0,MATCH(I$2,Inputs!$K$4:$AJ$4,0))))+SUMPRODUCT((Inputs!$C$5:$C$140=$B54)*ISNUMBER(INDEX(Inputs!$K$5:$AJ$140,0,MATCH(I$2,Inputs!$K$4:$AJ$4,0))))+SUMPRODUCT((Inputs!$E$5:$E$140=$B54)*ISNUMBER(INDEX(Inputs!$K$5:$AJ$140,0,MATCH(I$2,Inputs!$K$4:$AJ$4,0))))=0,NA(),SUMPRODUCT((Inputs!$A$5:$A$140=$B54)*Inputs!$B$5:$B$140*(((Inputs!$G$5:$G$140="moeda")+(Inputs!$G$5:$G$140="acoes"))*Inputs!$B$1+((Inputs!$G$5:$G$140&lt;&gt;"moeda")*(Inputs!$G$5:$G$140&lt;&gt;"acoes")))*INDEX(Inputs!$K$5:$AJ$140,0,MATCH(I$2,Inputs!$K$4:$AJ$4,0)))+SUMPRODUCT((Inputs!$C$5:$C$140=$B54)*Inputs!$D$5:$D$140*(((Inputs!$G$5:$G$140="moeda")+(Inputs!$G$5:$G$140="acoes"))*Inputs!$B$1+((Inputs!$G$5:$G$140&lt;&gt;"moeda")*(Inputs!$G$5:$G$140&lt;&gt;"acoes")))*INDEX(Inputs!$K$5:$AJ$140,0,MATCH(I$2,Inputs!$K$4:$AJ$4,0)))+SUMPRODUCT((Inputs!$E$5:$E$140=$B54)*Inputs!$F$5:$F$140*(((Inputs!$G$5:$G$140="moeda")+(Inputs!$G$5:$G$140="acoes"))*Inputs!$B$1+((Inputs!$G$5:$G$140&lt;&gt;"moeda")*(Inputs!$G$5:$G$140&lt;&gt;"acoes")))*INDEX(Inputs!$K$5:$AJ$140,0,MATCH(I$2,Inputs!$K$4:$AJ$4,0)))))</f>
        <v>1474</v>
      </c>
      <c r="J54" s="262">
        <f>IF(ISNA(MATCH(J$2,Inputs!$K$4:$AJ$4,0)),NA(),IF(SUMPRODUCT((Inputs!$A$5:$A$140=$B54)*ISNUMBER(INDEX(Inputs!$K$5:$AJ$140,0,MATCH(J$2,Inputs!$K$4:$AJ$4,0))))+SUMPRODUCT((Inputs!$C$5:$C$140=$B54)*ISNUMBER(INDEX(Inputs!$K$5:$AJ$140,0,MATCH(J$2,Inputs!$K$4:$AJ$4,0))))+SUMPRODUCT((Inputs!$E$5:$E$140=$B54)*ISNUMBER(INDEX(Inputs!$K$5:$AJ$140,0,MATCH(J$2,Inputs!$K$4:$AJ$4,0))))=0,NA(),SUMPRODUCT((Inputs!$A$5:$A$140=$B54)*Inputs!$B$5:$B$140*(((Inputs!$G$5:$G$140="moeda")+(Inputs!$G$5:$G$140="acoes"))*Inputs!$B$1+((Inputs!$G$5:$G$140&lt;&gt;"moeda")*(Inputs!$G$5:$G$140&lt;&gt;"acoes")))*INDEX(Inputs!$K$5:$AJ$140,0,MATCH(J$2,Inputs!$K$4:$AJ$4,0)))+SUMPRODUCT((Inputs!$C$5:$C$140=$B54)*Inputs!$D$5:$D$140*(((Inputs!$G$5:$G$140="moeda")+(Inputs!$G$5:$G$140="acoes"))*Inputs!$B$1+((Inputs!$G$5:$G$140&lt;&gt;"moeda")*(Inputs!$G$5:$G$140&lt;&gt;"acoes")))*INDEX(Inputs!$K$5:$AJ$140,0,MATCH(J$2,Inputs!$K$4:$AJ$4,0)))+SUMPRODUCT((Inputs!$E$5:$E$140=$B54)*Inputs!$F$5:$F$140*(((Inputs!$G$5:$G$140="moeda")+(Inputs!$G$5:$G$140="acoes"))*Inputs!$B$1+((Inputs!$G$5:$G$140&lt;&gt;"moeda")*(Inputs!$G$5:$G$140&lt;&gt;"acoes")))*INDEX(Inputs!$K$5:$AJ$140,0,MATCH(J$2,Inputs!$K$4:$AJ$4,0)))))</f>
        <v>1622</v>
      </c>
      <c r="K54" s="262">
        <f>IF(ISNA(MATCH(K$2,Inputs!$K$4:$AJ$4,0)),NA(),IF(SUMPRODUCT((Inputs!$A$5:$A$140=$B54)*ISNUMBER(INDEX(Inputs!$K$5:$AJ$140,0,MATCH(K$2,Inputs!$K$4:$AJ$4,0))))+SUMPRODUCT((Inputs!$C$5:$C$140=$B54)*ISNUMBER(INDEX(Inputs!$K$5:$AJ$140,0,MATCH(K$2,Inputs!$K$4:$AJ$4,0))))+SUMPRODUCT((Inputs!$E$5:$E$140=$B54)*ISNUMBER(INDEX(Inputs!$K$5:$AJ$140,0,MATCH(K$2,Inputs!$K$4:$AJ$4,0))))=0,NA(),SUMPRODUCT((Inputs!$A$5:$A$140=$B54)*Inputs!$B$5:$B$140*(((Inputs!$G$5:$G$140="moeda")+(Inputs!$G$5:$G$140="acoes"))*Inputs!$B$1+((Inputs!$G$5:$G$140&lt;&gt;"moeda")*(Inputs!$G$5:$G$140&lt;&gt;"acoes")))*INDEX(Inputs!$K$5:$AJ$140,0,MATCH(K$2,Inputs!$K$4:$AJ$4,0)))+SUMPRODUCT((Inputs!$C$5:$C$140=$B54)*Inputs!$D$5:$D$140*(((Inputs!$G$5:$G$140="moeda")+(Inputs!$G$5:$G$140="acoes"))*Inputs!$B$1+((Inputs!$G$5:$G$140&lt;&gt;"moeda")*(Inputs!$G$5:$G$140&lt;&gt;"acoes")))*INDEX(Inputs!$K$5:$AJ$140,0,MATCH(K$2,Inputs!$K$4:$AJ$4,0)))+SUMPRODUCT((Inputs!$E$5:$E$140=$B54)*Inputs!$F$5:$F$140*(((Inputs!$G$5:$G$140="moeda")+(Inputs!$G$5:$G$140="acoes"))*Inputs!$B$1+((Inputs!$G$5:$G$140&lt;&gt;"moeda")*(Inputs!$G$5:$G$140&lt;&gt;"acoes")))*INDEX(Inputs!$K$5:$AJ$140,0,MATCH(K$2,Inputs!$K$4:$AJ$4,0)))))</f>
        <v>1829</v>
      </c>
      <c r="L54" s="262">
        <f>IF(ISNA(MATCH(L$2,Inputs!$K$4:$AJ$4,0)),NA(),IF(SUMPRODUCT((Inputs!$A$5:$A$140=$B54)*ISNUMBER(INDEX(Inputs!$K$5:$AJ$140,0,MATCH(L$2,Inputs!$K$4:$AJ$4,0))))+SUMPRODUCT((Inputs!$C$5:$C$140=$B54)*ISNUMBER(INDEX(Inputs!$K$5:$AJ$140,0,MATCH(L$2,Inputs!$K$4:$AJ$4,0))))+SUMPRODUCT((Inputs!$E$5:$E$140=$B54)*ISNUMBER(INDEX(Inputs!$K$5:$AJ$140,0,MATCH(L$2,Inputs!$K$4:$AJ$4,0))))=0,NA(),SUMPRODUCT((Inputs!$A$5:$A$140=$B54)*Inputs!$B$5:$B$140*(((Inputs!$G$5:$G$140="moeda")+(Inputs!$G$5:$G$140="acoes"))*Inputs!$B$1+((Inputs!$G$5:$G$140&lt;&gt;"moeda")*(Inputs!$G$5:$G$140&lt;&gt;"acoes")))*INDEX(Inputs!$K$5:$AJ$140,0,MATCH(L$2,Inputs!$K$4:$AJ$4,0)))+SUMPRODUCT((Inputs!$C$5:$C$140=$B54)*Inputs!$D$5:$D$140*(((Inputs!$G$5:$G$140="moeda")+(Inputs!$G$5:$G$140="acoes"))*Inputs!$B$1+((Inputs!$G$5:$G$140&lt;&gt;"moeda")*(Inputs!$G$5:$G$140&lt;&gt;"acoes")))*INDEX(Inputs!$K$5:$AJ$140,0,MATCH(L$2,Inputs!$K$4:$AJ$4,0)))+SUMPRODUCT((Inputs!$E$5:$E$140=$B54)*Inputs!$F$5:$F$140*(((Inputs!$G$5:$G$140="moeda")+(Inputs!$G$5:$G$140="acoes"))*Inputs!$B$1+((Inputs!$G$5:$G$140&lt;&gt;"moeda")*(Inputs!$G$5:$G$140&lt;&gt;"acoes")))*INDEX(Inputs!$K$5:$AJ$140,0,MATCH(L$2,Inputs!$K$4:$AJ$4,0)))))</f>
        <v>1883</v>
      </c>
      <c r="M54" s="263">
        <f>SUM(I54:L54)</f>
        <v>6808</v>
      </c>
      <c r="N54" s="262">
        <f>IF(ISNA(MATCH(N$2,Inputs!$K$4:$AJ$4,0)),NA(),IF(SUMPRODUCT((Inputs!$A$5:$A$140=$B54)*ISNUMBER(INDEX(Inputs!$K$5:$AJ$140,0,MATCH(N$2,Inputs!$K$4:$AJ$4,0))))+SUMPRODUCT((Inputs!$C$5:$C$140=$B54)*ISNUMBER(INDEX(Inputs!$K$5:$AJ$140,0,MATCH(N$2,Inputs!$K$4:$AJ$4,0))))+SUMPRODUCT((Inputs!$E$5:$E$140=$B54)*ISNUMBER(INDEX(Inputs!$K$5:$AJ$140,0,MATCH(N$2,Inputs!$K$4:$AJ$4,0))))=0,NA(),SUMPRODUCT((Inputs!$A$5:$A$140=$B54)*Inputs!$B$5:$B$140*(((Inputs!$G$5:$G$140="moeda")+(Inputs!$G$5:$G$140="acoes"))*Inputs!$B$1+((Inputs!$G$5:$G$140&lt;&gt;"moeda")*(Inputs!$G$5:$G$140&lt;&gt;"acoes")))*INDEX(Inputs!$K$5:$AJ$140,0,MATCH(N$2,Inputs!$K$4:$AJ$4,0)))+SUMPRODUCT((Inputs!$C$5:$C$140=$B54)*Inputs!$D$5:$D$140*(((Inputs!$G$5:$G$140="moeda")+(Inputs!$G$5:$G$140="acoes"))*Inputs!$B$1+((Inputs!$G$5:$G$140&lt;&gt;"moeda")*(Inputs!$G$5:$G$140&lt;&gt;"acoes")))*INDEX(Inputs!$K$5:$AJ$140,0,MATCH(N$2,Inputs!$K$4:$AJ$4,0)))+SUMPRODUCT((Inputs!$E$5:$E$140=$B54)*Inputs!$F$5:$F$140*(((Inputs!$G$5:$G$140="moeda")+(Inputs!$G$5:$G$140="acoes"))*Inputs!$B$1+((Inputs!$G$5:$G$140&lt;&gt;"moeda")*(Inputs!$G$5:$G$140&lt;&gt;"acoes")))*INDEX(Inputs!$K$5:$AJ$140,0,MATCH(N$2,Inputs!$K$4:$AJ$4,0)))))</f>
        <v>1757</v>
      </c>
      <c r="O54" s="262">
        <f>IF(ISNA(MATCH(O$2,Inputs!$K$4:$AJ$4,0)),NA(),IF(SUMPRODUCT((Inputs!$A$5:$A$140=$B54)*ISNUMBER(INDEX(Inputs!$K$5:$AJ$140,0,MATCH(O$2,Inputs!$K$4:$AJ$4,0))))+SUMPRODUCT((Inputs!$C$5:$C$140=$B54)*ISNUMBER(INDEX(Inputs!$K$5:$AJ$140,0,MATCH(O$2,Inputs!$K$4:$AJ$4,0))))+SUMPRODUCT((Inputs!$E$5:$E$140=$B54)*ISNUMBER(INDEX(Inputs!$K$5:$AJ$140,0,MATCH(O$2,Inputs!$K$4:$AJ$4,0))))=0,NA(),SUMPRODUCT((Inputs!$A$5:$A$140=$B54)*Inputs!$B$5:$B$140*(((Inputs!$G$5:$G$140="moeda")+(Inputs!$G$5:$G$140="acoes"))*Inputs!$B$1+((Inputs!$G$5:$G$140&lt;&gt;"moeda")*(Inputs!$G$5:$G$140&lt;&gt;"acoes")))*INDEX(Inputs!$K$5:$AJ$140,0,MATCH(O$2,Inputs!$K$4:$AJ$4,0)))+SUMPRODUCT((Inputs!$C$5:$C$140=$B54)*Inputs!$D$5:$D$140*(((Inputs!$G$5:$G$140="moeda")+(Inputs!$G$5:$G$140="acoes"))*Inputs!$B$1+((Inputs!$G$5:$G$140&lt;&gt;"moeda")*(Inputs!$G$5:$G$140&lt;&gt;"acoes")))*INDEX(Inputs!$K$5:$AJ$140,0,MATCH(O$2,Inputs!$K$4:$AJ$4,0)))+SUMPRODUCT((Inputs!$E$5:$E$140=$B54)*Inputs!$F$5:$F$140*(((Inputs!$G$5:$G$140="moeda")+(Inputs!$G$5:$G$140="acoes"))*Inputs!$B$1+((Inputs!$G$5:$G$140&lt;&gt;"moeda")*(Inputs!$G$5:$G$140&lt;&gt;"acoes")))*INDEX(Inputs!$K$5:$AJ$140,0,MATCH(O$2,Inputs!$K$4:$AJ$4,0)))))</f>
        <v>1877</v>
      </c>
      <c r="P54" s="262">
        <f>IF(ISNA(MATCH(P$2,Inputs!$K$4:$AJ$4,0)),NA(),IF(SUMPRODUCT((Inputs!$A$5:$A$140=$B54)*ISNUMBER(INDEX(Inputs!$K$5:$AJ$140,0,MATCH(P$2,Inputs!$K$4:$AJ$4,0))))+SUMPRODUCT((Inputs!$C$5:$C$140=$B54)*ISNUMBER(INDEX(Inputs!$K$5:$AJ$140,0,MATCH(P$2,Inputs!$K$4:$AJ$4,0))))+SUMPRODUCT((Inputs!$E$5:$E$140=$B54)*ISNUMBER(INDEX(Inputs!$K$5:$AJ$140,0,MATCH(P$2,Inputs!$K$4:$AJ$4,0))))=0,NA(),SUMPRODUCT((Inputs!$A$5:$A$140=$B54)*Inputs!$B$5:$B$140*(((Inputs!$G$5:$G$140="moeda")+(Inputs!$G$5:$G$140="acoes"))*Inputs!$B$1+((Inputs!$G$5:$G$140&lt;&gt;"moeda")*(Inputs!$G$5:$G$140&lt;&gt;"acoes")))*INDEX(Inputs!$K$5:$AJ$140,0,MATCH(P$2,Inputs!$K$4:$AJ$4,0)))+SUMPRODUCT((Inputs!$C$5:$C$140=$B54)*Inputs!$D$5:$D$140*(((Inputs!$G$5:$G$140="moeda")+(Inputs!$G$5:$G$140="acoes"))*Inputs!$B$1+((Inputs!$G$5:$G$140&lt;&gt;"moeda")*(Inputs!$G$5:$G$140&lt;&gt;"acoes")))*INDEX(Inputs!$K$5:$AJ$140,0,MATCH(P$2,Inputs!$K$4:$AJ$4,0)))+SUMPRODUCT((Inputs!$E$5:$E$140=$B54)*Inputs!$F$5:$F$140*(((Inputs!$G$5:$G$140="moeda")+(Inputs!$G$5:$G$140="acoes"))*Inputs!$B$1+((Inputs!$G$5:$G$140&lt;&gt;"moeda")*(Inputs!$G$5:$G$140&lt;&gt;"acoes")))*INDEX(Inputs!$K$5:$AJ$140,0,MATCH(P$2,Inputs!$K$4:$AJ$4,0)))))</f>
        <v>2047</v>
      </c>
      <c r="Q54" s="262">
        <f>IF(ISNA(MATCH(Q$2,Inputs!$K$4:$AJ$4,0)),NA(),IF(SUMPRODUCT((Inputs!$A$5:$A$140=$B54)*ISNUMBER(INDEX(Inputs!$K$5:$AJ$140,0,MATCH(Q$2,Inputs!$K$4:$AJ$4,0))))+SUMPRODUCT((Inputs!$C$5:$C$140=$B54)*ISNUMBER(INDEX(Inputs!$K$5:$AJ$140,0,MATCH(Q$2,Inputs!$K$4:$AJ$4,0))))+SUMPRODUCT((Inputs!$E$5:$E$140=$B54)*ISNUMBER(INDEX(Inputs!$K$5:$AJ$140,0,MATCH(Q$2,Inputs!$K$4:$AJ$4,0))))=0,NA(),SUMPRODUCT((Inputs!$A$5:$A$140=$B54)*Inputs!$B$5:$B$140*(((Inputs!$G$5:$G$140="moeda")+(Inputs!$G$5:$G$140="acoes"))*Inputs!$B$1+((Inputs!$G$5:$G$140&lt;&gt;"moeda")*(Inputs!$G$5:$G$140&lt;&gt;"acoes")))*INDEX(Inputs!$K$5:$AJ$140,0,MATCH(Q$2,Inputs!$K$4:$AJ$4,0)))+SUMPRODUCT((Inputs!$C$5:$C$140=$B54)*Inputs!$D$5:$D$140*(((Inputs!$G$5:$G$140="moeda")+(Inputs!$G$5:$G$140="acoes"))*Inputs!$B$1+((Inputs!$G$5:$G$140&lt;&gt;"moeda")*(Inputs!$G$5:$G$140&lt;&gt;"acoes")))*INDEX(Inputs!$K$5:$AJ$140,0,MATCH(Q$2,Inputs!$K$4:$AJ$4,0)))+SUMPRODUCT((Inputs!$E$5:$E$140=$B54)*Inputs!$F$5:$F$140*(((Inputs!$G$5:$G$140="moeda")+(Inputs!$G$5:$G$140="acoes"))*Inputs!$B$1+((Inputs!$G$5:$G$140&lt;&gt;"moeda")*(Inputs!$G$5:$G$140&lt;&gt;"acoes")))*INDEX(Inputs!$K$5:$AJ$140,0,MATCH(Q$2,Inputs!$K$4:$AJ$4,0)))))</f>
        <v>2096</v>
      </c>
      <c r="R54" s="263">
        <f>SUM(N54:Q54)</f>
        <v>7777</v>
      </c>
      <c r="S54" s="262">
        <f>IF(ISNA(MATCH(S$2,Inputs!$K$4:$AJ$4,0)),NA(),IF(SUMPRODUCT((Inputs!$A$5:$A$140=$B54)*ISNUMBER(INDEX(Inputs!$K$5:$AJ$140,0,MATCH(S$2,Inputs!$K$4:$AJ$4,0))))+SUMPRODUCT((Inputs!$C$5:$C$140=$B54)*ISNUMBER(INDEX(Inputs!$K$5:$AJ$140,0,MATCH(S$2,Inputs!$K$4:$AJ$4,0))))+SUMPRODUCT((Inputs!$E$5:$E$140=$B54)*ISNUMBER(INDEX(Inputs!$K$5:$AJ$140,0,MATCH(S$2,Inputs!$K$4:$AJ$4,0))))=0,NA(),SUMPRODUCT((Inputs!$A$5:$A$140=$B54)*Inputs!$B$5:$B$140*(((Inputs!$G$5:$G$140="moeda")+(Inputs!$G$5:$G$140="acoes"))*Inputs!$B$1+((Inputs!$G$5:$G$140&lt;&gt;"moeda")*(Inputs!$G$5:$G$140&lt;&gt;"acoes")))*INDEX(Inputs!$K$5:$AJ$140,0,MATCH(S$2,Inputs!$K$4:$AJ$4,0)))+SUMPRODUCT((Inputs!$C$5:$C$140=$B54)*Inputs!$D$5:$D$140*(((Inputs!$G$5:$G$140="moeda")+(Inputs!$G$5:$G$140="acoes"))*Inputs!$B$1+((Inputs!$G$5:$G$140&lt;&gt;"moeda")*(Inputs!$G$5:$G$140&lt;&gt;"acoes")))*INDEX(Inputs!$K$5:$AJ$140,0,MATCH(S$2,Inputs!$K$4:$AJ$4,0)))+SUMPRODUCT((Inputs!$E$5:$E$140=$B54)*Inputs!$F$5:$F$140*(((Inputs!$G$5:$G$140="moeda")+(Inputs!$G$5:$G$140="acoes"))*Inputs!$B$1+((Inputs!$G$5:$G$140&lt;&gt;"moeda")*(Inputs!$G$5:$G$140&lt;&gt;"acoes")))*INDEX(Inputs!$K$5:$AJ$140,0,MATCH(S$2,Inputs!$K$4:$AJ$4,0)))))</f>
        <v>2036</v>
      </c>
      <c r="T54" s="262">
        <f>IF(ISNA(MATCH(T$2,Inputs!$K$4:$AJ$4,0)),NA(),IF(SUMPRODUCT((Inputs!$A$5:$A$140=$B54)*ISNUMBER(INDEX(Inputs!$K$5:$AJ$140,0,MATCH(T$2,Inputs!$K$4:$AJ$4,0))))+SUMPRODUCT((Inputs!$C$5:$C$140=$B54)*ISNUMBER(INDEX(Inputs!$K$5:$AJ$140,0,MATCH(T$2,Inputs!$K$4:$AJ$4,0))))+SUMPRODUCT((Inputs!$E$5:$E$140=$B54)*ISNUMBER(INDEX(Inputs!$K$5:$AJ$140,0,MATCH(T$2,Inputs!$K$4:$AJ$4,0))))=0,NA(),SUMPRODUCT((Inputs!$A$5:$A$140=$B54)*Inputs!$B$5:$B$140*(((Inputs!$G$5:$G$140="moeda")+(Inputs!$G$5:$G$140="acoes"))*Inputs!$B$1+((Inputs!$G$5:$G$140&lt;&gt;"moeda")*(Inputs!$G$5:$G$140&lt;&gt;"acoes")))*INDEX(Inputs!$K$5:$AJ$140,0,MATCH(T$2,Inputs!$K$4:$AJ$4,0)))+SUMPRODUCT((Inputs!$C$5:$C$140=$B54)*Inputs!$D$5:$D$140*(((Inputs!$G$5:$G$140="moeda")+(Inputs!$G$5:$G$140="acoes"))*Inputs!$B$1+((Inputs!$G$5:$G$140&lt;&gt;"moeda")*(Inputs!$G$5:$G$140&lt;&gt;"acoes")))*INDEX(Inputs!$K$5:$AJ$140,0,MATCH(T$2,Inputs!$K$4:$AJ$4,0)))+SUMPRODUCT((Inputs!$E$5:$E$140=$B54)*Inputs!$F$5:$F$140*(((Inputs!$G$5:$G$140="moeda")+(Inputs!$G$5:$G$140="acoes"))*Inputs!$B$1+((Inputs!$G$5:$G$140&lt;&gt;"moeda")*(Inputs!$G$5:$G$140&lt;&gt;"acoes")))*INDEX(Inputs!$K$5:$AJ$140,0,MATCH(T$2,Inputs!$K$4:$AJ$4,0)))))</f>
        <v>2055</v>
      </c>
      <c r="U54" s="262">
        <f>IF(ISNA(MATCH(U$2,Inputs!$K$4:$AJ$4,0)),NA(),IF(SUMPRODUCT((Inputs!$A$5:$A$140=$B54)*ISNUMBER(INDEX(Inputs!$K$5:$AJ$140,0,MATCH(U$2,Inputs!$K$4:$AJ$4,0))))+SUMPRODUCT((Inputs!$C$5:$C$140=$B54)*ISNUMBER(INDEX(Inputs!$K$5:$AJ$140,0,MATCH(U$2,Inputs!$K$4:$AJ$4,0))))+SUMPRODUCT((Inputs!$E$5:$E$140=$B54)*ISNUMBER(INDEX(Inputs!$K$5:$AJ$140,0,MATCH(U$2,Inputs!$K$4:$AJ$4,0))))=0,NA(),SUMPRODUCT((Inputs!$A$5:$A$140=$B54)*Inputs!$B$5:$B$140*(((Inputs!$G$5:$G$140="moeda")+(Inputs!$G$5:$G$140="acoes"))*Inputs!$B$1+((Inputs!$G$5:$G$140&lt;&gt;"moeda")*(Inputs!$G$5:$G$140&lt;&gt;"acoes")))*INDEX(Inputs!$K$5:$AJ$140,0,MATCH(U$2,Inputs!$K$4:$AJ$4,0)))+SUMPRODUCT((Inputs!$C$5:$C$140=$B54)*Inputs!$D$5:$D$140*(((Inputs!$G$5:$G$140="moeda")+(Inputs!$G$5:$G$140="acoes"))*Inputs!$B$1+((Inputs!$G$5:$G$140&lt;&gt;"moeda")*(Inputs!$G$5:$G$140&lt;&gt;"acoes")))*INDEX(Inputs!$K$5:$AJ$140,0,MATCH(U$2,Inputs!$K$4:$AJ$4,0)))+SUMPRODUCT((Inputs!$E$5:$E$140=$B54)*Inputs!$F$5:$F$140*(((Inputs!$G$5:$G$140="moeda")+(Inputs!$G$5:$G$140="acoes"))*Inputs!$B$1+((Inputs!$G$5:$G$140&lt;&gt;"moeda")*(Inputs!$G$5:$G$140&lt;&gt;"acoes")))*INDEX(Inputs!$K$5:$AJ$140,0,MATCH(U$2,Inputs!$K$4:$AJ$4,0)))))</f>
        <v>2164</v>
      </c>
      <c r="V54" s="262">
        <f>IF(ISNA(MATCH(V$2,Inputs!$K$4:$AJ$4,0)),NA(),IF(SUMPRODUCT((Inputs!$A$5:$A$140=$B54)*ISNUMBER(INDEX(Inputs!$K$5:$AJ$140,0,MATCH(V$2,Inputs!$K$4:$AJ$4,0))))+SUMPRODUCT((Inputs!$C$5:$C$140=$B54)*ISNUMBER(INDEX(Inputs!$K$5:$AJ$140,0,MATCH(V$2,Inputs!$K$4:$AJ$4,0))))+SUMPRODUCT((Inputs!$E$5:$E$140=$B54)*ISNUMBER(INDEX(Inputs!$K$5:$AJ$140,0,MATCH(V$2,Inputs!$K$4:$AJ$4,0))))=0,NA(),SUMPRODUCT((Inputs!$A$5:$A$140=$B54)*Inputs!$B$5:$B$140*(((Inputs!$G$5:$G$140="moeda")+(Inputs!$G$5:$G$140="acoes"))*Inputs!$B$1+((Inputs!$G$5:$G$140&lt;&gt;"moeda")*(Inputs!$G$5:$G$140&lt;&gt;"acoes")))*INDEX(Inputs!$K$5:$AJ$140,0,MATCH(V$2,Inputs!$K$4:$AJ$4,0)))+SUMPRODUCT((Inputs!$C$5:$C$140=$B54)*Inputs!$D$5:$D$140*(((Inputs!$G$5:$G$140="moeda")+(Inputs!$G$5:$G$140="acoes"))*Inputs!$B$1+((Inputs!$G$5:$G$140&lt;&gt;"moeda")*(Inputs!$G$5:$G$140&lt;&gt;"acoes")))*INDEX(Inputs!$K$5:$AJ$140,0,MATCH(V$2,Inputs!$K$4:$AJ$4,0)))+SUMPRODUCT((Inputs!$E$5:$E$140=$B54)*Inputs!$F$5:$F$140*(((Inputs!$G$5:$G$140="moeda")+(Inputs!$G$5:$G$140="acoes"))*Inputs!$B$1+((Inputs!$G$5:$G$140&lt;&gt;"moeda")*(Inputs!$G$5:$G$140&lt;&gt;"acoes")))*INDEX(Inputs!$K$5:$AJ$140,0,MATCH(V$2,Inputs!$K$4:$AJ$4,0)))))</f>
        <v>2244</v>
      </c>
      <c r="W54" s="263">
        <f>SUM(S54:V54)</f>
        <v>8499</v>
      </c>
      <c r="X54" s="262">
        <f>IF(ISNA(MATCH(X$2,Inputs!$K$4:$AJ$4,0)),NA(),IF(SUMPRODUCT((Inputs!$A$5:$A$140=$B54)*ISNUMBER(INDEX(Inputs!$K$5:$AJ$140,0,MATCH(X$2,Inputs!$K$4:$AJ$4,0))))+SUMPRODUCT((Inputs!$C$5:$C$140=$B54)*ISNUMBER(INDEX(Inputs!$K$5:$AJ$140,0,MATCH(X$2,Inputs!$K$4:$AJ$4,0))))+SUMPRODUCT((Inputs!$E$5:$E$140=$B54)*ISNUMBER(INDEX(Inputs!$K$5:$AJ$140,0,MATCH(X$2,Inputs!$K$4:$AJ$4,0))))=0,NA(),SUMPRODUCT((Inputs!$A$5:$A$140=$B54)*Inputs!$B$5:$B$140*(((Inputs!$G$5:$G$140="moeda")+(Inputs!$G$5:$G$140="acoes"))*Inputs!$B$1+((Inputs!$G$5:$G$140&lt;&gt;"moeda")*(Inputs!$G$5:$G$140&lt;&gt;"acoes")))*INDEX(Inputs!$K$5:$AJ$140,0,MATCH(X$2,Inputs!$K$4:$AJ$4,0)))+SUMPRODUCT((Inputs!$C$5:$C$140=$B54)*Inputs!$D$5:$D$140*(((Inputs!$G$5:$G$140="moeda")+(Inputs!$G$5:$G$140="acoes"))*Inputs!$B$1+((Inputs!$G$5:$G$140&lt;&gt;"moeda")*(Inputs!$G$5:$G$140&lt;&gt;"acoes")))*INDEX(Inputs!$K$5:$AJ$140,0,MATCH(X$2,Inputs!$K$4:$AJ$4,0)))+SUMPRODUCT((Inputs!$E$5:$E$140=$B54)*Inputs!$F$5:$F$140*(((Inputs!$G$5:$G$140="moeda")+(Inputs!$G$5:$G$140="acoes"))*Inputs!$B$1+((Inputs!$G$5:$G$140&lt;&gt;"moeda")*(Inputs!$G$5:$G$140&lt;&gt;"acoes")))*INDEX(Inputs!$K$5:$AJ$140,0,MATCH(X$2,Inputs!$K$4:$AJ$4,0)))))</f>
        <v>2110</v>
      </c>
      <c r="Y54" s="262">
        <f>IF(ISNA(MATCH(Y$2,Inputs!$K$4:$AJ$4,0)),NA(),IF(SUMPRODUCT((Inputs!$A$5:$A$140=$B54)*ISNUMBER(INDEX(Inputs!$K$5:$AJ$140,0,MATCH(Y$2,Inputs!$K$4:$AJ$4,0))))+SUMPRODUCT((Inputs!$C$5:$C$140=$B54)*ISNUMBER(INDEX(Inputs!$K$5:$AJ$140,0,MATCH(Y$2,Inputs!$K$4:$AJ$4,0))))+SUMPRODUCT((Inputs!$E$5:$E$140=$B54)*ISNUMBER(INDEX(Inputs!$K$5:$AJ$140,0,MATCH(Y$2,Inputs!$K$4:$AJ$4,0))))=0,NA(),SUMPRODUCT((Inputs!$A$5:$A$140=$B54)*Inputs!$B$5:$B$140*(((Inputs!$G$5:$G$140="moeda")+(Inputs!$G$5:$G$140="acoes"))*Inputs!$B$1+((Inputs!$G$5:$G$140&lt;&gt;"moeda")*(Inputs!$G$5:$G$140&lt;&gt;"acoes")))*INDEX(Inputs!$K$5:$AJ$140,0,MATCH(Y$2,Inputs!$K$4:$AJ$4,0)))+SUMPRODUCT((Inputs!$C$5:$C$140=$B54)*Inputs!$D$5:$D$140*(((Inputs!$G$5:$G$140="moeda")+(Inputs!$G$5:$G$140="acoes"))*Inputs!$B$1+((Inputs!$G$5:$G$140&lt;&gt;"moeda")*(Inputs!$G$5:$G$140&lt;&gt;"acoes")))*INDEX(Inputs!$K$5:$AJ$140,0,MATCH(Y$2,Inputs!$K$4:$AJ$4,0)))+SUMPRODUCT((Inputs!$E$5:$E$140=$B54)*Inputs!$F$5:$F$140*(((Inputs!$G$5:$G$140="moeda")+(Inputs!$G$5:$G$140="acoes"))*Inputs!$B$1+((Inputs!$G$5:$G$140&lt;&gt;"moeda")*(Inputs!$G$5:$G$140&lt;&gt;"acoes")))*INDEX(Inputs!$K$5:$AJ$140,0,MATCH(Y$2,Inputs!$K$4:$AJ$4,0)))))</f>
        <v>2143</v>
      </c>
      <c r="Z54" s="262">
        <f>IF(ISNA(MATCH(Z$2,Inputs!$K$4:$AJ$4,0)),NA(),IF(SUMPRODUCT((Inputs!$A$5:$A$140=$B54)*ISNUMBER(INDEX(Inputs!$K$5:$AJ$140,0,MATCH(Z$2,Inputs!$K$4:$AJ$4,0))))+SUMPRODUCT((Inputs!$C$5:$C$140=$B54)*ISNUMBER(INDEX(Inputs!$K$5:$AJ$140,0,MATCH(Z$2,Inputs!$K$4:$AJ$4,0))))+SUMPRODUCT((Inputs!$E$5:$E$140=$B54)*ISNUMBER(INDEX(Inputs!$K$5:$AJ$140,0,MATCH(Z$2,Inputs!$K$4:$AJ$4,0))))=0,NA(),SUMPRODUCT((Inputs!$A$5:$A$140=$B54)*Inputs!$B$5:$B$140*(((Inputs!$G$5:$G$140="moeda")+(Inputs!$G$5:$G$140="acoes"))*Inputs!$B$1+((Inputs!$G$5:$G$140&lt;&gt;"moeda")*(Inputs!$G$5:$G$140&lt;&gt;"acoes")))*INDEX(Inputs!$K$5:$AJ$140,0,MATCH(Z$2,Inputs!$K$4:$AJ$4,0)))+SUMPRODUCT((Inputs!$C$5:$C$140=$B54)*Inputs!$D$5:$D$140*(((Inputs!$G$5:$G$140="moeda")+(Inputs!$G$5:$G$140="acoes"))*Inputs!$B$1+((Inputs!$G$5:$G$140&lt;&gt;"moeda")*(Inputs!$G$5:$G$140&lt;&gt;"acoes")))*INDEX(Inputs!$K$5:$AJ$140,0,MATCH(Z$2,Inputs!$K$4:$AJ$4,0)))+SUMPRODUCT((Inputs!$E$5:$E$140=$B54)*Inputs!$F$5:$F$140*(((Inputs!$G$5:$G$140="moeda")+(Inputs!$G$5:$G$140="acoes"))*Inputs!$B$1+((Inputs!$G$5:$G$140&lt;&gt;"moeda")*(Inputs!$G$5:$G$140&lt;&gt;"acoes")))*INDEX(Inputs!$K$5:$AJ$140,0,MATCH(Z$2,Inputs!$K$4:$AJ$4,0)))))</f>
        <v>2228</v>
      </c>
      <c r="AA54" s="262">
        <f>IF(ISNA(MATCH(AA$2,Inputs!$K$4:$AJ$4,0)),NA(),IF(SUMPRODUCT((Inputs!$A$5:$A$140=$B54)*ISNUMBER(INDEX(Inputs!$K$5:$AJ$140,0,MATCH(AA$2,Inputs!$K$4:$AJ$4,0))))+SUMPRODUCT((Inputs!$C$5:$C$140=$B54)*ISNUMBER(INDEX(Inputs!$K$5:$AJ$140,0,MATCH(AA$2,Inputs!$K$4:$AJ$4,0))))+SUMPRODUCT((Inputs!$E$5:$E$140=$B54)*ISNUMBER(INDEX(Inputs!$K$5:$AJ$140,0,MATCH(AA$2,Inputs!$K$4:$AJ$4,0))))=0,NA(),SUMPRODUCT((Inputs!$A$5:$A$140=$B54)*Inputs!$B$5:$B$140*(((Inputs!$G$5:$G$140="moeda")+(Inputs!$G$5:$G$140="acoes"))*Inputs!$B$1+((Inputs!$G$5:$G$140&lt;&gt;"moeda")*(Inputs!$G$5:$G$140&lt;&gt;"acoes")))*INDEX(Inputs!$K$5:$AJ$140,0,MATCH(AA$2,Inputs!$K$4:$AJ$4,0)))+SUMPRODUCT((Inputs!$C$5:$C$140=$B54)*Inputs!$D$5:$D$140*(((Inputs!$G$5:$G$140="moeda")+(Inputs!$G$5:$G$140="acoes"))*Inputs!$B$1+((Inputs!$G$5:$G$140&lt;&gt;"moeda")*(Inputs!$G$5:$G$140&lt;&gt;"acoes")))*INDEX(Inputs!$K$5:$AJ$140,0,MATCH(AA$2,Inputs!$K$4:$AJ$4,0)))+SUMPRODUCT((Inputs!$E$5:$E$140=$B54)*Inputs!$F$5:$F$140*(((Inputs!$G$5:$G$140="moeda")+(Inputs!$G$5:$G$140="acoes"))*Inputs!$B$1+((Inputs!$G$5:$G$140&lt;&gt;"moeda")*(Inputs!$G$5:$G$140&lt;&gt;"acoes")))*INDEX(Inputs!$K$5:$AJ$140,0,MATCH(AA$2,Inputs!$K$4:$AJ$4,0)))))</f>
        <v>2326</v>
      </c>
      <c r="AB54" s="263">
        <f>SUM(X54:AA54)</f>
        <v>8807</v>
      </c>
      <c r="AC54" s="262" t="e">
        <f>IF(ISNA(MATCH(AC$2,Inputs!$K$4:$AJ$4,0)),NA(),IF(SUMPRODUCT((Inputs!$A$5:$A$140=$B54)*ISNUMBER(INDEX(Inputs!$K$5:$AJ$140,0,MATCH(AC$2,Inputs!$K$4:$AJ$4,0))))+SUMPRODUCT((Inputs!$C$5:$C$140=$B54)*ISNUMBER(INDEX(Inputs!$K$5:$AJ$140,0,MATCH(AC$2,Inputs!$K$4:$AJ$4,0))))+SUMPRODUCT((Inputs!$E$5:$E$140=$B54)*ISNUMBER(INDEX(Inputs!$K$5:$AJ$140,0,MATCH(AC$2,Inputs!$K$4:$AJ$4,0))))=0,NA(),SUMPRODUCT((Inputs!$A$5:$A$140=$B54)*Inputs!$B$5:$B$140*(((Inputs!$G$5:$G$140="moeda")+(Inputs!$G$5:$G$140="acoes"))*Inputs!$B$1+((Inputs!$G$5:$G$140&lt;&gt;"moeda")*(Inputs!$G$5:$G$140&lt;&gt;"acoes")))*INDEX(Inputs!$K$5:$AJ$140,0,MATCH(AC$2,Inputs!$K$4:$AJ$4,0)))+SUMPRODUCT((Inputs!$C$5:$C$140=$B54)*Inputs!$D$5:$D$140*(((Inputs!$G$5:$G$140="moeda")+(Inputs!$G$5:$G$140="acoes"))*Inputs!$B$1+((Inputs!$G$5:$G$140&lt;&gt;"moeda")*(Inputs!$G$5:$G$140&lt;&gt;"acoes")))*INDEX(Inputs!$K$5:$AJ$140,0,MATCH(AC$2,Inputs!$K$4:$AJ$4,0)))+SUMPRODUCT((Inputs!$E$5:$E$140=$B54)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4" s="262" t="e">
        <f>IF(ISNA(MATCH(AD$2,Inputs!$K$4:$AJ$4,0)),NA(),IF(SUMPRODUCT((Inputs!$A$5:$A$140=$B54)*ISNUMBER(INDEX(Inputs!$K$5:$AJ$140,0,MATCH(AD$2,Inputs!$K$4:$AJ$4,0))))+SUMPRODUCT((Inputs!$C$5:$C$140=$B54)*ISNUMBER(INDEX(Inputs!$K$5:$AJ$140,0,MATCH(AD$2,Inputs!$K$4:$AJ$4,0))))+SUMPRODUCT((Inputs!$E$5:$E$140=$B54)*ISNUMBER(INDEX(Inputs!$K$5:$AJ$140,0,MATCH(AD$2,Inputs!$K$4:$AJ$4,0))))=0,NA(),SUMPRODUCT((Inputs!$A$5:$A$140=$B54)*Inputs!$B$5:$B$140*(((Inputs!$G$5:$G$140="moeda")+(Inputs!$G$5:$G$140="acoes"))*Inputs!$B$1+((Inputs!$G$5:$G$140&lt;&gt;"moeda")*(Inputs!$G$5:$G$140&lt;&gt;"acoes")))*INDEX(Inputs!$K$5:$AJ$140,0,MATCH(AD$2,Inputs!$K$4:$AJ$4,0)))+SUMPRODUCT((Inputs!$C$5:$C$140=$B54)*Inputs!$D$5:$D$140*(((Inputs!$G$5:$G$140="moeda")+(Inputs!$G$5:$G$140="acoes"))*Inputs!$B$1+((Inputs!$G$5:$G$140&lt;&gt;"moeda")*(Inputs!$G$5:$G$140&lt;&gt;"acoes")))*INDEX(Inputs!$K$5:$AJ$140,0,MATCH(AD$2,Inputs!$K$4:$AJ$4,0)))+SUMPRODUCT((Inputs!$E$5:$E$140=$B54)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4" s="262" t="e">
        <f>IF(ISNA(MATCH(AE$2,Inputs!$K$4:$AJ$4,0)),NA(),IF(SUMPRODUCT((Inputs!$A$5:$A$140=$B54)*ISNUMBER(INDEX(Inputs!$K$5:$AJ$140,0,MATCH(AE$2,Inputs!$K$4:$AJ$4,0))))+SUMPRODUCT((Inputs!$C$5:$C$140=$B54)*ISNUMBER(INDEX(Inputs!$K$5:$AJ$140,0,MATCH(AE$2,Inputs!$K$4:$AJ$4,0))))+SUMPRODUCT((Inputs!$E$5:$E$140=$B54)*ISNUMBER(INDEX(Inputs!$K$5:$AJ$140,0,MATCH(AE$2,Inputs!$K$4:$AJ$4,0))))=0,NA(),SUMPRODUCT((Inputs!$A$5:$A$140=$B54)*Inputs!$B$5:$B$140*(((Inputs!$G$5:$G$140="moeda")+(Inputs!$G$5:$G$140="acoes"))*Inputs!$B$1+((Inputs!$G$5:$G$140&lt;&gt;"moeda")*(Inputs!$G$5:$G$140&lt;&gt;"acoes")))*INDEX(Inputs!$K$5:$AJ$140,0,MATCH(AE$2,Inputs!$K$4:$AJ$4,0)))+SUMPRODUCT((Inputs!$C$5:$C$140=$B54)*Inputs!$D$5:$D$140*(((Inputs!$G$5:$G$140="moeda")+(Inputs!$G$5:$G$140="acoes"))*Inputs!$B$1+((Inputs!$G$5:$G$140&lt;&gt;"moeda")*(Inputs!$G$5:$G$140&lt;&gt;"acoes")))*INDEX(Inputs!$K$5:$AJ$140,0,MATCH(AE$2,Inputs!$K$4:$AJ$4,0)))+SUMPRODUCT((Inputs!$E$5:$E$140=$B54)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4" s="262" t="e">
        <f>IF(ISNA(MATCH(AF$2,Inputs!$K$4:$AJ$4,0)),NA(),IF(SUMPRODUCT((Inputs!$A$5:$A$140=$B54)*ISNUMBER(INDEX(Inputs!$K$5:$AJ$140,0,MATCH(AF$2,Inputs!$K$4:$AJ$4,0))))+SUMPRODUCT((Inputs!$C$5:$C$140=$B54)*ISNUMBER(INDEX(Inputs!$K$5:$AJ$140,0,MATCH(AF$2,Inputs!$K$4:$AJ$4,0))))+SUMPRODUCT((Inputs!$E$5:$E$140=$B54)*ISNUMBER(INDEX(Inputs!$K$5:$AJ$140,0,MATCH(AF$2,Inputs!$K$4:$AJ$4,0))))=0,NA(),SUMPRODUCT((Inputs!$A$5:$A$140=$B54)*Inputs!$B$5:$B$140*(((Inputs!$G$5:$G$140="moeda")+(Inputs!$G$5:$G$140="acoes"))*Inputs!$B$1+((Inputs!$G$5:$G$140&lt;&gt;"moeda")*(Inputs!$G$5:$G$140&lt;&gt;"acoes")))*INDEX(Inputs!$K$5:$AJ$140,0,MATCH(AF$2,Inputs!$K$4:$AJ$4,0)))+SUMPRODUCT((Inputs!$C$5:$C$140=$B54)*Inputs!$D$5:$D$140*(((Inputs!$G$5:$G$140="moeda")+(Inputs!$G$5:$G$140="acoes"))*Inputs!$B$1+((Inputs!$G$5:$G$140&lt;&gt;"moeda")*(Inputs!$G$5:$G$140&lt;&gt;"acoes")))*INDEX(Inputs!$K$5:$AJ$140,0,MATCH(AF$2,Inputs!$K$4:$AJ$4,0)))+SUMPRODUCT((Inputs!$E$5:$E$140=$B54)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4" s="263" t="e">
        <f>SUM(AC54:AF54)</f>
        <v>#N/A</v>
      </c>
      <c r="AH54" s="262">
        <f>IF(ISNA(MATCH(AH$2,Inputs!$K$4:$AJ$4,0)),NA(),IF(SUMPRODUCT((Inputs!$A$5:$A$140=$B54)*ISNUMBER(INDEX(Inputs!$K$5:$AJ$140,0,MATCH(AH$2,Inputs!$K$4:$AJ$4,0))))+SUMPRODUCT((Inputs!$C$5:$C$140=$B54)*ISNUMBER(INDEX(Inputs!$K$5:$AJ$140,0,MATCH(AH$2,Inputs!$K$4:$AJ$4,0))))+SUMPRODUCT((Inputs!$E$5:$E$140=$B54)*ISNUMBER(INDEX(Inputs!$K$5:$AJ$140,0,MATCH(AH$2,Inputs!$K$4:$AJ$4,0))))=0,NA(),SUMPRODUCT((Inputs!$A$5:$A$140=$B54)*Inputs!$B$5:$B$140*(((Inputs!$G$5:$G$140="moeda")+(Inputs!$G$5:$G$140="acoes"))*Inputs!$B$1+((Inputs!$G$5:$G$140&lt;&gt;"moeda")*(Inputs!$G$5:$G$140&lt;&gt;"acoes")))*INDEX(Inputs!$K$5:$AJ$140,0,MATCH(AH$2,Inputs!$K$4:$AJ$4,0)))+SUMPRODUCT((Inputs!$C$5:$C$140=$B54)*Inputs!$D$5:$D$140*(((Inputs!$G$5:$G$140="moeda")+(Inputs!$G$5:$G$140="acoes"))*Inputs!$B$1+((Inputs!$G$5:$G$140&lt;&gt;"moeda")*(Inputs!$G$5:$G$140&lt;&gt;"acoes")))*INDEX(Inputs!$K$5:$AJ$140,0,MATCH(AH$2,Inputs!$K$4:$AJ$4,0)))+SUMPRODUCT((Inputs!$E$5:$E$140=$B54)*Inputs!$F$5:$F$140*(((Inputs!$G$5:$G$140="moeda")+(Inputs!$G$5:$G$140="acoes"))*Inputs!$B$1+((Inputs!$G$5:$G$140&lt;&gt;"moeda")*(Inputs!$G$5:$G$140&lt;&gt;"acoes")))*INDEX(Inputs!$K$5:$AJ$140,0,MATCH(AH$2,Inputs!$K$4:$AJ$4,0)))))</f>
        <v>806</v>
      </c>
      <c r="AI54" s="262">
        <f>IF(ISNA(MATCH(AI$2,Inputs!$K$4:$AJ$4,0)),NA(),IF(SUMPRODUCT((Inputs!$A$5:$A$140=$B54)*ISNUMBER(INDEX(Inputs!$K$5:$AJ$140,0,MATCH(AI$2,Inputs!$K$4:$AJ$4,0))))+SUMPRODUCT((Inputs!$C$5:$C$140=$B54)*ISNUMBER(INDEX(Inputs!$K$5:$AJ$140,0,MATCH(AI$2,Inputs!$K$4:$AJ$4,0))))+SUMPRODUCT((Inputs!$E$5:$E$140=$B54)*ISNUMBER(INDEX(Inputs!$K$5:$AJ$140,0,MATCH(AI$2,Inputs!$K$4:$AJ$4,0))))=0,NA(),SUMPRODUCT((Inputs!$A$5:$A$140=$B54)*Inputs!$B$5:$B$140*(((Inputs!$G$5:$G$140="moeda")+(Inputs!$G$5:$G$140="acoes"))*Inputs!$B$1+((Inputs!$G$5:$G$140&lt;&gt;"moeda")*(Inputs!$G$5:$G$140&lt;&gt;"acoes")))*INDEX(Inputs!$K$5:$AJ$140,0,MATCH(AI$2,Inputs!$K$4:$AJ$4,0)))+SUMPRODUCT((Inputs!$C$5:$C$140=$B54)*Inputs!$D$5:$D$140*(((Inputs!$G$5:$G$140="moeda")+(Inputs!$G$5:$G$140="acoes"))*Inputs!$B$1+((Inputs!$G$5:$G$140&lt;&gt;"moeda")*(Inputs!$G$5:$G$140&lt;&gt;"acoes")))*INDEX(Inputs!$K$5:$AJ$140,0,MATCH(AI$2,Inputs!$K$4:$AJ$4,0)))+SUMPRODUCT((Inputs!$E$5:$E$140=$B54)*Inputs!$F$5:$F$140*(((Inputs!$G$5:$G$140="moeda")+(Inputs!$G$5:$G$140="acoes"))*Inputs!$B$1+((Inputs!$G$5:$G$140&lt;&gt;"moeda")*(Inputs!$G$5:$G$140&lt;&gt;"acoes")))*INDEX(Inputs!$K$5:$AJ$140,0,MATCH(AI$2,Inputs!$K$4:$AJ$4,0)))))</f>
        <v>869</v>
      </c>
      <c r="AJ54" s="262">
        <f>IF(ISNA(MATCH(AJ$2,Inputs!$K$4:$AJ$4,0)),NA(),IF(SUMPRODUCT((Inputs!$A$5:$A$140=$B54)*ISNUMBER(INDEX(Inputs!$K$5:$AJ$140,0,MATCH(AJ$2,Inputs!$K$4:$AJ$4,0))))+SUMPRODUCT((Inputs!$C$5:$C$140=$B54)*ISNUMBER(INDEX(Inputs!$K$5:$AJ$140,0,MATCH(AJ$2,Inputs!$K$4:$AJ$4,0))))+SUMPRODUCT((Inputs!$E$5:$E$140=$B54)*ISNUMBER(INDEX(Inputs!$K$5:$AJ$140,0,MATCH(AJ$2,Inputs!$K$4:$AJ$4,0))))=0,NA(),SUMPRODUCT((Inputs!$A$5:$A$140=$B54)*Inputs!$B$5:$B$140*(((Inputs!$G$5:$G$140="moeda")+(Inputs!$G$5:$G$140="acoes"))*Inputs!$B$1+((Inputs!$G$5:$G$140&lt;&gt;"moeda")*(Inputs!$G$5:$G$140&lt;&gt;"acoes")))*INDEX(Inputs!$K$5:$AJ$140,0,MATCH(AJ$2,Inputs!$K$4:$AJ$4,0)))+SUMPRODUCT((Inputs!$C$5:$C$140=$B54)*Inputs!$D$5:$D$140*(((Inputs!$G$5:$G$140="moeda")+(Inputs!$G$5:$G$140="acoes"))*Inputs!$B$1+((Inputs!$G$5:$G$140&lt;&gt;"moeda")*(Inputs!$G$5:$G$140&lt;&gt;"acoes")))*INDEX(Inputs!$K$5:$AJ$140,0,MATCH(AJ$2,Inputs!$K$4:$AJ$4,0)))+SUMPRODUCT((Inputs!$E$5:$E$140=$B54)*Inputs!$F$5:$F$140*(((Inputs!$G$5:$G$140="moeda")+(Inputs!$G$5:$G$140="acoes"))*Inputs!$B$1+((Inputs!$G$5:$G$140&lt;&gt;"moeda")*(Inputs!$G$5:$G$140&lt;&gt;"acoes")))*INDEX(Inputs!$K$5:$AJ$140,0,MATCH(AJ$2,Inputs!$K$4:$AJ$4,0)))))</f>
        <v>1021</v>
      </c>
      <c r="AK54" s="262">
        <f>IF(ISNA(MATCH(AK$2,Inputs!$K$4:$AJ$4,0)),NA(),IF(SUMPRODUCT((Inputs!$A$5:$A$140=$B54)*ISNUMBER(INDEX(Inputs!$K$5:$AJ$140,0,MATCH(AK$2,Inputs!$K$4:$AJ$4,0))))+SUMPRODUCT((Inputs!$C$5:$C$140=$B54)*ISNUMBER(INDEX(Inputs!$K$5:$AJ$140,0,MATCH(AK$2,Inputs!$K$4:$AJ$4,0))))+SUMPRODUCT((Inputs!$E$5:$E$140=$B54)*ISNUMBER(INDEX(Inputs!$K$5:$AJ$140,0,MATCH(AK$2,Inputs!$K$4:$AJ$4,0))))=0,NA(),SUMPRODUCT((Inputs!$A$5:$A$140=$B54)*Inputs!$B$5:$B$140*(((Inputs!$G$5:$G$140="moeda")+(Inputs!$G$5:$G$140="acoes"))*Inputs!$B$1+((Inputs!$G$5:$G$140&lt;&gt;"moeda")*(Inputs!$G$5:$G$140&lt;&gt;"acoes")))*INDEX(Inputs!$K$5:$AJ$140,0,MATCH(AK$2,Inputs!$K$4:$AJ$4,0)))+SUMPRODUCT((Inputs!$C$5:$C$140=$B54)*Inputs!$D$5:$D$140*(((Inputs!$G$5:$G$140="moeda")+(Inputs!$G$5:$G$140="acoes"))*Inputs!$B$1+((Inputs!$G$5:$G$140&lt;&gt;"moeda")*(Inputs!$G$5:$G$140&lt;&gt;"acoes")))*INDEX(Inputs!$K$5:$AJ$140,0,MATCH(AK$2,Inputs!$K$4:$AJ$4,0)))+SUMPRODUCT((Inputs!$E$5:$E$140=$B54)*Inputs!$F$5:$F$140*(((Inputs!$G$5:$G$140="moeda")+(Inputs!$G$5:$G$140="acoes"))*Inputs!$B$1+((Inputs!$G$5:$G$140&lt;&gt;"moeda")*(Inputs!$G$5:$G$140&lt;&gt;"acoes")))*INDEX(Inputs!$K$5:$AJ$140,0,MATCH(AK$2,Inputs!$K$4:$AJ$4,0)))))</f>
        <v>1183</v>
      </c>
      <c r="AL54" s="263">
        <f>SUM(AH54:AK54)</f>
        <v>3879</v>
      </c>
    </row>
    <row r="55">
      <c r="B55" s="46" t="n">
        <v>47</v>
      </c>
      <c r="C55" s="29" t="inlineStr">
        <is>
          <t>Receita bruta de mercadorias - Eletro (R$ milhoes)</t>
        </is>
      </c>
      <c r="D55" s="262">
        <f>IF(ISNA(MATCH(D$2,Inputs!$K$4:$AJ$4,0)),NA(),IF(SUMPRODUCT((Inputs!$A$5:$A$140=$B55)*ISNUMBER(INDEX(Inputs!$K$5:$AJ$140,0,MATCH(D$2,Inputs!$K$4:$AJ$4,0))))+SUMPRODUCT((Inputs!$C$5:$C$140=$B55)*ISNUMBER(INDEX(Inputs!$K$5:$AJ$140,0,MATCH(D$2,Inputs!$K$4:$AJ$4,0))))+SUMPRODUCT((Inputs!$E$5:$E$140=$B55)*ISNUMBER(INDEX(Inputs!$K$5:$AJ$140,0,MATCH(D$2,Inputs!$K$4:$AJ$4,0))))=0,NA(),SUMPRODUCT((Inputs!$A$5:$A$140=$B55)*Inputs!$B$5:$B$140*(((Inputs!$G$5:$G$140="moeda")+(Inputs!$G$5:$G$140="acoes"))*Inputs!$B$1+((Inputs!$G$5:$G$140&lt;&gt;"moeda")*(Inputs!$G$5:$G$140&lt;&gt;"acoes")))*INDEX(Inputs!$K$5:$AJ$140,0,MATCH(D$2,Inputs!$K$4:$AJ$4,0)))+SUMPRODUCT((Inputs!$C$5:$C$140=$B55)*Inputs!$D$5:$D$140*(((Inputs!$G$5:$G$140="moeda")+(Inputs!$G$5:$G$140="acoes"))*Inputs!$B$1+((Inputs!$G$5:$G$140&lt;&gt;"moeda")*(Inputs!$G$5:$G$140&lt;&gt;"acoes")))*INDEX(Inputs!$K$5:$AJ$140,0,MATCH(D$2,Inputs!$K$4:$AJ$4,0)))+SUMPRODUCT((Inputs!$E$5:$E$140=$B55)*Inputs!$F$5:$F$140*(((Inputs!$G$5:$G$140="moeda")+(Inputs!$G$5:$G$140="acoes"))*Inputs!$B$1+((Inputs!$G$5:$G$140&lt;&gt;"moeda")*(Inputs!$G$5:$G$140&lt;&gt;"acoes")))*INDEX(Inputs!$K$5:$AJ$140,0,MATCH(D$2,Inputs!$K$4:$AJ$4,0)))))</f>
        <v>196</v>
      </c>
      <c r="E55" s="262">
        <f>IF(ISNA(MATCH(E$2,Inputs!$K$4:$AJ$4,0)),NA(),IF(SUMPRODUCT((Inputs!$A$5:$A$140=$B55)*ISNUMBER(INDEX(Inputs!$K$5:$AJ$140,0,MATCH(E$2,Inputs!$K$4:$AJ$4,0))))+SUMPRODUCT((Inputs!$C$5:$C$140=$B55)*ISNUMBER(INDEX(Inputs!$K$5:$AJ$140,0,MATCH(E$2,Inputs!$K$4:$AJ$4,0))))+SUMPRODUCT((Inputs!$E$5:$E$140=$B55)*ISNUMBER(INDEX(Inputs!$K$5:$AJ$140,0,MATCH(E$2,Inputs!$K$4:$AJ$4,0))))=0,NA(),SUMPRODUCT((Inputs!$A$5:$A$140=$B55)*Inputs!$B$5:$B$140*(((Inputs!$G$5:$G$140="moeda")+(Inputs!$G$5:$G$140="acoes"))*Inputs!$B$1+((Inputs!$G$5:$G$140&lt;&gt;"moeda")*(Inputs!$G$5:$G$140&lt;&gt;"acoes")))*INDEX(Inputs!$K$5:$AJ$140,0,MATCH(E$2,Inputs!$K$4:$AJ$4,0)))+SUMPRODUCT((Inputs!$C$5:$C$140=$B55)*Inputs!$D$5:$D$140*(((Inputs!$G$5:$G$140="moeda")+(Inputs!$G$5:$G$140="acoes"))*Inputs!$B$1+((Inputs!$G$5:$G$140&lt;&gt;"moeda")*(Inputs!$G$5:$G$140&lt;&gt;"acoes")))*INDEX(Inputs!$K$5:$AJ$140,0,MATCH(E$2,Inputs!$K$4:$AJ$4,0)))+SUMPRODUCT((Inputs!$E$5:$E$140=$B55)*Inputs!$F$5:$F$140*(((Inputs!$G$5:$G$140="moeda")+(Inputs!$G$5:$G$140="acoes"))*Inputs!$B$1+((Inputs!$G$5:$G$140&lt;&gt;"moeda")*(Inputs!$G$5:$G$140&lt;&gt;"acoes")))*INDEX(Inputs!$K$5:$AJ$140,0,MATCH(E$2,Inputs!$K$4:$AJ$4,0)))))</f>
        <v>243</v>
      </c>
      <c r="F55" s="262">
        <f>IF(ISNA(MATCH(F$2,Inputs!$K$4:$AJ$4,0)),NA(),IF(SUMPRODUCT((Inputs!$A$5:$A$140=$B55)*ISNUMBER(INDEX(Inputs!$K$5:$AJ$140,0,MATCH(F$2,Inputs!$K$4:$AJ$4,0))))+SUMPRODUCT((Inputs!$C$5:$C$140=$B55)*ISNUMBER(INDEX(Inputs!$K$5:$AJ$140,0,MATCH(F$2,Inputs!$K$4:$AJ$4,0))))+SUMPRODUCT((Inputs!$E$5:$E$140=$B55)*ISNUMBER(INDEX(Inputs!$K$5:$AJ$140,0,MATCH(F$2,Inputs!$K$4:$AJ$4,0))))=0,NA(),SUMPRODUCT((Inputs!$A$5:$A$140=$B55)*Inputs!$B$5:$B$140*(((Inputs!$G$5:$G$140="moeda")+(Inputs!$G$5:$G$140="acoes"))*Inputs!$B$1+((Inputs!$G$5:$G$140&lt;&gt;"moeda")*(Inputs!$G$5:$G$140&lt;&gt;"acoes")))*INDEX(Inputs!$K$5:$AJ$140,0,MATCH(F$2,Inputs!$K$4:$AJ$4,0)))+SUMPRODUCT((Inputs!$C$5:$C$140=$B55)*Inputs!$D$5:$D$140*(((Inputs!$G$5:$G$140="moeda")+(Inputs!$G$5:$G$140="acoes"))*Inputs!$B$1+((Inputs!$G$5:$G$140&lt;&gt;"moeda")*(Inputs!$G$5:$G$140&lt;&gt;"acoes")))*INDEX(Inputs!$K$5:$AJ$140,0,MATCH(F$2,Inputs!$K$4:$AJ$4,0)))+SUMPRODUCT((Inputs!$E$5:$E$140=$B55)*Inputs!$F$5:$F$140*(((Inputs!$G$5:$G$140="moeda")+(Inputs!$G$5:$G$140="acoes"))*Inputs!$B$1+((Inputs!$G$5:$G$140&lt;&gt;"moeda")*(Inputs!$G$5:$G$140&lt;&gt;"acoes")))*INDEX(Inputs!$K$5:$AJ$140,0,MATCH(F$2,Inputs!$K$4:$AJ$4,0)))))</f>
        <v>264</v>
      </c>
      <c r="G55" s="262">
        <f>IF(ISNA(MATCH(G$2,Inputs!$K$4:$AJ$4,0)),NA(),IF(SUMPRODUCT((Inputs!$A$5:$A$140=$B55)*ISNUMBER(INDEX(Inputs!$K$5:$AJ$140,0,MATCH(G$2,Inputs!$K$4:$AJ$4,0))))+SUMPRODUCT((Inputs!$C$5:$C$140=$B55)*ISNUMBER(INDEX(Inputs!$K$5:$AJ$140,0,MATCH(G$2,Inputs!$K$4:$AJ$4,0))))+SUMPRODUCT((Inputs!$E$5:$E$140=$B55)*ISNUMBER(INDEX(Inputs!$K$5:$AJ$140,0,MATCH(G$2,Inputs!$K$4:$AJ$4,0))))=0,NA(),SUMPRODUCT((Inputs!$A$5:$A$140=$B55)*Inputs!$B$5:$B$140*(((Inputs!$G$5:$G$140="moeda")+(Inputs!$G$5:$G$140="acoes"))*Inputs!$B$1+((Inputs!$G$5:$G$140&lt;&gt;"moeda")*(Inputs!$G$5:$G$140&lt;&gt;"acoes")))*INDEX(Inputs!$K$5:$AJ$140,0,MATCH(G$2,Inputs!$K$4:$AJ$4,0)))+SUMPRODUCT((Inputs!$C$5:$C$140=$B55)*Inputs!$D$5:$D$140*(((Inputs!$G$5:$G$140="moeda")+(Inputs!$G$5:$G$140="acoes"))*Inputs!$B$1+((Inputs!$G$5:$G$140&lt;&gt;"moeda")*(Inputs!$G$5:$G$140&lt;&gt;"acoes")))*INDEX(Inputs!$K$5:$AJ$140,0,MATCH(G$2,Inputs!$K$4:$AJ$4,0)))+SUMPRODUCT((Inputs!$E$5:$E$140=$B55)*Inputs!$F$5:$F$140*(((Inputs!$G$5:$G$140="moeda")+(Inputs!$G$5:$G$140="acoes"))*Inputs!$B$1+((Inputs!$G$5:$G$140&lt;&gt;"moeda")*(Inputs!$G$5:$G$140&lt;&gt;"acoes")))*INDEX(Inputs!$K$5:$AJ$140,0,MATCH(G$2,Inputs!$K$4:$AJ$4,0)))))</f>
        <v>292</v>
      </c>
      <c r="H55" s="263">
        <f>SUM(D55:G55)</f>
        <v>995</v>
      </c>
      <c r="I55" s="262">
        <f>IF(ISNA(MATCH(I$2,Inputs!$K$4:$AJ$4,0)),NA(),IF(SUMPRODUCT((Inputs!$A$5:$A$140=$B55)*ISNUMBER(INDEX(Inputs!$K$5:$AJ$140,0,MATCH(I$2,Inputs!$K$4:$AJ$4,0))))+SUMPRODUCT((Inputs!$C$5:$C$140=$B55)*ISNUMBER(INDEX(Inputs!$K$5:$AJ$140,0,MATCH(I$2,Inputs!$K$4:$AJ$4,0))))+SUMPRODUCT((Inputs!$E$5:$E$140=$B55)*ISNUMBER(INDEX(Inputs!$K$5:$AJ$140,0,MATCH(I$2,Inputs!$K$4:$AJ$4,0))))=0,NA(),SUMPRODUCT((Inputs!$A$5:$A$140=$B55)*Inputs!$B$5:$B$140*(((Inputs!$G$5:$G$140="moeda")+(Inputs!$G$5:$G$140="acoes"))*Inputs!$B$1+((Inputs!$G$5:$G$140&lt;&gt;"moeda")*(Inputs!$G$5:$G$140&lt;&gt;"acoes")))*INDEX(Inputs!$K$5:$AJ$140,0,MATCH(I$2,Inputs!$K$4:$AJ$4,0)))+SUMPRODUCT((Inputs!$C$5:$C$140=$B55)*Inputs!$D$5:$D$140*(((Inputs!$G$5:$G$140="moeda")+(Inputs!$G$5:$G$140="acoes"))*Inputs!$B$1+((Inputs!$G$5:$G$140&lt;&gt;"moeda")*(Inputs!$G$5:$G$140&lt;&gt;"acoes")))*INDEX(Inputs!$K$5:$AJ$140,0,MATCH(I$2,Inputs!$K$4:$AJ$4,0)))+SUMPRODUCT((Inputs!$E$5:$E$140=$B55)*Inputs!$F$5:$F$140*(((Inputs!$G$5:$G$140="moeda")+(Inputs!$G$5:$G$140="acoes"))*Inputs!$B$1+((Inputs!$G$5:$G$140&lt;&gt;"moeda")*(Inputs!$G$5:$G$140&lt;&gt;"acoes")))*INDEX(Inputs!$K$5:$AJ$140,0,MATCH(I$2,Inputs!$K$4:$AJ$4,0)))))</f>
        <v>256</v>
      </c>
      <c r="J55" s="262">
        <f>IF(ISNA(MATCH(J$2,Inputs!$K$4:$AJ$4,0)),NA(),IF(SUMPRODUCT((Inputs!$A$5:$A$140=$B55)*ISNUMBER(INDEX(Inputs!$K$5:$AJ$140,0,MATCH(J$2,Inputs!$K$4:$AJ$4,0))))+SUMPRODUCT((Inputs!$C$5:$C$140=$B55)*ISNUMBER(INDEX(Inputs!$K$5:$AJ$140,0,MATCH(J$2,Inputs!$K$4:$AJ$4,0))))+SUMPRODUCT((Inputs!$E$5:$E$140=$B55)*ISNUMBER(INDEX(Inputs!$K$5:$AJ$140,0,MATCH(J$2,Inputs!$K$4:$AJ$4,0))))=0,NA(),SUMPRODUCT((Inputs!$A$5:$A$140=$B55)*Inputs!$B$5:$B$140*(((Inputs!$G$5:$G$140="moeda")+(Inputs!$G$5:$G$140="acoes"))*Inputs!$B$1+((Inputs!$G$5:$G$140&lt;&gt;"moeda")*(Inputs!$G$5:$G$140&lt;&gt;"acoes")))*INDEX(Inputs!$K$5:$AJ$140,0,MATCH(J$2,Inputs!$K$4:$AJ$4,0)))+SUMPRODUCT((Inputs!$C$5:$C$140=$B55)*Inputs!$D$5:$D$140*(((Inputs!$G$5:$G$140="moeda")+(Inputs!$G$5:$G$140="acoes"))*Inputs!$B$1+((Inputs!$G$5:$G$140&lt;&gt;"moeda")*(Inputs!$G$5:$G$140&lt;&gt;"acoes")))*INDEX(Inputs!$K$5:$AJ$140,0,MATCH(J$2,Inputs!$K$4:$AJ$4,0)))+SUMPRODUCT((Inputs!$E$5:$E$140=$B55)*Inputs!$F$5:$F$140*(((Inputs!$G$5:$G$140="moeda")+(Inputs!$G$5:$G$140="acoes"))*Inputs!$B$1+((Inputs!$G$5:$G$140&lt;&gt;"moeda")*(Inputs!$G$5:$G$140&lt;&gt;"acoes")))*INDEX(Inputs!$K$5:$AJ$140,0,MATCH(J$2,Inputs!$K$4:$AJ$4,0)))))</f>
        <v>281</v>
      </c>
      <c r="K55" s="262">
        <f>IF(ISNA(MATCH(K$2,Inputs!$K$4:$AJ$4,0)),NA(),IF(SUMPRODUCT((Inputs!$A$5:$A$140=$B55)*ISNUMBER(INDEX(Inputs!$K$5:$AJ$140,0,MATCH(K$2,Inputs!$K$4:$AJ$4,0))))+SUMPRODUCT((Inputs!$C$5:$C$140=$B55)*ISNUMBER(INDEX(Inputs!$K$5:$AJ$140,0,MATCH(K$2,Inputs!$K$4:$AJ$4,0))))+SUMPRODUCT((Inputs!$E$5:$E$140=$B55)*ISNUMBER(INDEX(Inputs!$K$5:$AJ$140,0,MATCH(K$2,Inputs!$K$4:$AJ$4,0))))=0,NA(),SUMPRODUCT((Inputs!$A$5:$A$140=$B55)*Inputs!$B$5:$B$140*(((Inputs!$G$5:$G$140="moeda")+(Inputs!$G$5:$G$140="acoes"))*Inputs!$B$1+((Inputs!$G$5:$G$140&lt;&gt;"moeda")*(Inputs!$G$5:$G$140&lt;&gt;"acoes")))*INDEX(Inputs!$K$5:$AJ$140,0,MATCH(K$2,Inputs!$K$4:$AJ$4,0)))+SUMPRODUCT((Inputs!$C$5:$C$140=$B55)*Inputs!$D$5:$D$140*(((Inputs!$G$5:$G$140="moeda")+(Inputs!$G$5:$G$140="acoes"))*Inputs!$B$1+((Inputs!$G$5:$G$140&lt;&gt;"moeda")*(Inputs!$G$5:$G$140&lt;&gt;"acoes")))*INDEX(Inputs!$K$5:$AJ$140,0,MATCH(K$2,Inputs!$K$4:$AJ$4,0)))+SUMPRODUCT((Inputs!$E$5:$E$140=$B55)*Inputs!$F$5:$F$140*(((Inputs!$G$5:$G$140="moeda")+(Inputs!$G$5:$G$140="acoes"))*Inputs!$B$1+((Inputs!$G$5:$G$140&lt;&gt;"moeda")*(Inputs!$G$5:$G$140&lt;&gt;"acoes")))*INDEX(Inputs!$K$5:$AJ$140,0,MATCH(K$2,Inputs!$K$4:$AJ$4,0)))))</f>
        <v>288</v>
      </c>
      <c r="L55" s="262">
        <f>IF(ISNA(MATCH(L$2,Inputs!$K$4:$AJ$4,0)),NA(),IF(SUMPRODUCT((Inputs!$A$5:$A$140=$B55)*ISNUMBER(INDEX(Inputs!$K$5:$AJ$140,0,MATCH(L$2,Inputs!$K$4:$AJ$4,0))))+SUMPRODUCT((Inputs!$C$5:$C$140=$B55)*ISNUMBER(INDEX(Inputs!$K$5:$AJ$140,0,MATCH(L$2,Inputs!$K$4:$AJ$4,0))))+SUMPRODUCT((Inputs!$E$5:$E$140=$B55)*ISNUMBER(INDEX(Inputs!$K$5:$AJ$140,0,MATCH(L$2,Inputs!$K$4:$AJ$4,0))))=0,NA(),SUMPRODUCT((Inputs!$A$5:$A$140=$B55)*Inputs!$B$5:$B$140*(((Inputs!$G$5:$G$140="moeda")+(Inputs!$G$5:$G$140="acoes"))*Inputs!$B$1+((Inputs!$G$5:$G$140&lt;&gt;"moeda")*(Inputs!$G$5:$G$140&lt;&gt;"acoes")))*INDEX(Inputs!$K$5:$AJ$140,0,MATCH(L$2,Inputs!$K$4:$AJ$4,0)))+SUMPRODUCT((Inputs!$C$5:$C$140=$B55)*Inputs!$D$5:$D$140*(((Inputs!$G$5:$G$140="moeda")+(Inputs!$G$5:$G$140="acoes"))*Inputs!$B$1+((Inputs!$G$5:$G$140&lt;&gt;"moeda")*(Inputs!$G$5:$G$140&lt;&gt;"acoes")))*INDEX(Inputs!$K$5:$AJ$140,0,MATCH(L$2,Inputs!$K$4:$AJ$4,0)))+SUMPRODUCT((Inputs!$E$5:$E$140=$B55)*Inputs!$F$5:$F$140*(((Inputs!$G$5:$G$140="moeda")+(Inputs!$G$5:$G$140="acoes"))*Inputs!$B$1+((Inputs!$G$5:$G$140&lt;&gt;"moeda")*(Inputs!$G$5:$G$140&lt;&gt;"acoes")))*INDEX(Inputs!$K$5:$AJ$140,0,MATCH(L$2,Inputs!$K$4:$AJ$4,0)))))</f>
        <v>292</v>
      </c>
      <c r="M55" s="263">
        <f>SUM(I55:L55)</f>
        <v>1117</v>
      </c>
      <c r="N55" s="262">
        <f>IF(ISNA(MATCH(N$2,Inputs!$K$4:$AJ$4,0)),NA(),IF(SUMPRODUCT((Inputs!$A$5:$A$140=$B55)*ISNUMBER(INDEX(Inputs!$K$5:$AJ$140,0,MATCH(N$2,Inputs!$K$4:$AJ$4,0))))+SUMPRODUCT((Inputs!$C$5:$C$140=$B55)*ISNUMBER(INDEX(Inputs!$K$5:$AJ$140,0,MATCH(N$2,Inputs!$K$4:$AJ$4,0))))+SUMPRODUCT((Inputs!$E$5:$E$140=$B55)*ISNUMBER(INDEX(Inputs!$K$5:$AJ$140,0,MATCH(N$2,Inputs!$K$4:$AJ$4,0))))=0,NA(),SUMPRODUCT((Inputs!$A$5:$A$140=$B55)*Inputs!$B$5:$B$140*(((Inputs!$G$5:$G$140="moeda")+(Inputs!$G$5:$G$140="acoes"))*Inputs!$B$1+((Inputs!$G$5:$G$140&lt;&gt;"moeda")*(Inputs!$G$5:$G$140&lt;&gt;"acoes")))*INDEX(Inputs!$K$5:$AJ$140,0,MATCH(N$2,Inputs!$K$4:$AJ$4,0)))+SUMPRODUCT((Inputs!$C$5:$C$140=$B55)*Inputs!$D$5:$D$140*(((Inputs!$G$5:$G$140="moeda")+(Inputs!$G$5:$G$140="acoes"))*Inputs!$B$1+((Inputs!$G$5:$G$140&lt;&gt;"moeda")*(Inputs!$G$5:$G$140&lt;&gt;"acoes")))*INDEX(Inputs!$K$5:$AJ$140,0,MATCH(N$2,Inputs!$K$4:$AJ$4,0)))+SUMPRODUCT((Inputs!$E$5:$E$140=$B55)*Inputs!$F$5:$F$140*(((Inputs!$G$5:$G$140="moeda")+(Inputs!$G$5:$G$140="acoes"))*Inputs!$B$1+((Inputs!$G$5:$G$140&lt;&gt;"moeda")*(Inputs!$G$5:$G$140&lt;&gt;"acoes")))*INDEX(Inputs!$K$5:$AJ$140,0,MATCH(N$2,Inputs!$K$4:$AJ$4,0)))))</f>
        <v>234</v>
      </c>
      <c r="O55" s="262">
        <f>IF(ISNA(MATCH(O$2,Inputs!$K$4:$AJ$4,0)),NA(),IF(SUMPRODUCT((Inputs!$A$5:$A$140=$B55)*ISNUMBER(INDEX(Inputs!$K$5:$AJ$140,0,MATCH(O$2,Inputs!$K$4:$AJ$4,0))))+SUMPRODUCT((Inputs!$C$5:$C$140=$B55)*ISNUMBER(INDEX(Inputs!$K$5:$AJ$140,0,MATCH(O$2,Inputs!$K$4:$AJ$4,0))))+SUMPRODUCT((Inputs!$E$5:$E$140=$B55)*ISNUMBER(INDEX(Inputs!$K$5:$AJ$140,0,MATCH(O$2,Inputs!$K$4:$AJ$4,0))))=0,NA(),SUMPRODUCT((Inputs!$A$5:$A$140=$B55)*Inputs!$B$5:$B$140*(((Inputs!$G$5:$G$140="moeda")+(Inputs!$G$5:$G$140="acoes"))*Inputs!$B$1+((Inputs!$G$5:$G$140&lt;&gt;"moeda")*(Inputs!$G$5:$G$140&lt;&gt;"acoes")))*INDEX(Inputs!$K$5:$AJ$140,0,MATCH(O$2,Inputs!$K$4:$AJ$4,0)))+SUMPRODUCT((Inputs!$C$5:$C$140=$B55)*Inputs!$D$5:$D$140*(((Inputs!$G$5:$G$140="moeda")+(Inputs!$G$5:$G$140="acoes"))*Inputs!$B$1+((Inputs!$G$5:$G$140&lt;&gt;"moeda")*(Inputs!$G$5:$G$140&lt;&gt;"acoes")))*INDEX(Inputs!$K$5:$AJ$140,0,MATCH(O$2,Inputs!$K$4:$AJ$4,0)))+SUMPRODUCT((Inputs!$E$5:$E$140=$B55)*Inputs!$F$5:$F$140*(((Inputs!$G$5:$G$140="moeda")+(Inputs!$G$5:$G$140="acoes"))*Inputs!$B$1+((Inputs!$G$5:$G$140&lt;&gt;"moeda")*(Inputs!$G$5:$G$140&lt;&gt;"acoes")))*INDEX(Inputs!$K$5:$AJ$140,0,MATCH(O$2,Inputs!$K$4:$AJ$4,0)))))</f>
        <v>294</v>
      </c>
      <c r="P55" s="262">
        <f>IF(ISNA(MATCH(P$2,Inputs!$K$4:$AJ$4,0)),NA(),IF(SUMPRODUCT((Inputs!$A$5:$A$140=$B55)*ISNUMBER(INDEX(Inputs!$K$5:$AJ$140,0,MATCH(P$2,Inputs!$K$4:$AJ$4,0))))+SUMPRODUCT((Inputs!$C$5:$C$140=$B55)*ISNUMBER(INDEX(Inputs!$K$5:$AJ$140,0,MATCH(P$2,Inputs!$K$4:$AJ$4,0))))+SUMPRODUCT((Inputs!$E$5:$E$140=$B55)*ISNUMBER(INDEX(Inputs!$K$5:$AJ$140,0,MATCH(P$2,Inputs!$K$4:$AJ$4,0))))=0,NA(),SUMPRODUCT((Inputs!$A$5:$A$140=$B55)*Inputs!$B$5:$B$140*(((Inputs!$G$5:$G$140="moeda")+(Inputs!$G$5:$G$140="acoes"))*Inputs!$B$1+((Inputs!$G$5:$G$140&lt;&gt;"moeda")*(Inputs!$G$5:$G$140&lt;&gt;"acoes")))*INDEX(Inputs!$K$5:$AJ$140,0,MATCH(P$2,Inputs!$K$4:$AJ$4,0)))+SUMPRODUCT((Inputs!$C$5:$C$140=$B55)*Inputs!$D$5:$D$140*(((Inputs!$G$5:$G$140="moeda")+(Inputs!$G$5:$G$140="acoes"))*Inputs!$B$1+((Inputs!$G$5:$G$140&lt;&gt;"moeda")*(Inputs!$G$5:$G$140&lt;&gt;"acoes")))*INDEX(Inputs!$K$5:$AJ$140,0,MATCH(P$2,Inputs!$K$4:$AJ$4,0)))+SUMPRODUCT((Inputs!$E$5:$E$140=$B55)*Inputs!$F$5:$F$140*(((Inputs!$G$5:$G$140="moeda")+(Inputs!$G$5:$G$140="acoes"))*Inputs!$B$1+((Inputs!$G$5:$G$140&lt;&gt;"moeda")*(Inputs!$G$5:$G$140&lt;&gt;"acoes")))*INDEX(Inputs!$K$5:$AJ$140,0,MATCH(P$2,Inputs!$K$4:$AJ$4,0)))))</f>
        <v>316</v>
      </c>
      <c r="Q55" s="262">
        <f>IF(ISNA(MATCH(Q$2,Inputs!$K$4:$AJ$4,0)),NA(),IF(SUMPRODUCT((Inputs!$A$5:$A$140=$B55)*ISNUMBER(INDEX(Inputs!$K$5:$AJ$140,0,MATCH(Q$2,Inputs!$K$4:$AJ$4,0))))+SUMPRODUCT((Inputs!$C$5:$C$140=$B55)*ISNUMBER(INDEX(Inputs!$K$5:$AJ$140,0,MATCH(Q$2,Inputs!$K$4:$AJ$4,0))))+SUMPRODUCT((Inputs!$E$5:$E$140=$B55)*ISNUMBER(INDEX(Inputs!$K$5:$AJ$140,0,MATCH(Q$2,Inputs!$K$4:$AJ$4,0))))=0,NA(),SUMPRODUCT((Inputs!$A$5:$A$140=$B55)*Inputs!$B$5:$B$140*(((Inputs!$G$5:$G$140="moeda")+(Inputs!$G$5:$G$140="acoes"))*Inputs!$B$1+((Inputs!$G$5:$G$140&lt;&gt;"moeda")*(Inputs!$G$5:$G$140&lt;&gt;"acoes")))*INDEX(Inputs!$K$5:$AJ$140,0,MATCH(Q$2,Inputs!$K$4:$AJ$4,0)))+SUMPRODUCT((Inputs!$C$5:$C$140=$B55)*Inputs!$D$5:$D$140*(((Inputs!$G$5:$G$140="moeda")+(Inputs!$G$5:$G$140="acoes"))*Inputs!$B$1+((Inputs!$G$5:$G$140&lt;&gt;"moeda")*(Inputs!$G$5:$G$140&lt;&gt;"acoes")))*INDEX(Inputs!$K$5:$AJ$140,0,MATCH(Q$2,Inputs!$K$4:$AJ$4,0)))+SUMPRODUCT((Inputs!$E$5:$E$140=$B55)*Inputs!$F$5:$F$140*(((Inputs!$G$5:$G$140="moeda")+(Inputs!$G$5:$G$140="acoes"))*Inputs!$B$1+((Inputs!$G$5:$G$140&lt;&gt;"moeda")*(Inputs!$G$5:$G$140&lt;&gt;"acoes")))*INDEX(Inputs!$K$5:$AJ$140,0,MATCH(Q$2,Inputs!$K$4:$AJ$4,0)))))</f>
        <v>339</v>
      </c>
      <c r="R55" s="263">
        <f>SUM(N55:Q55)</f>
        <v>1183</v>
      </c>
      <c r="S55" s="262">
        <f>IF(ISNA(MATCH(S$2,Inputs!$K$4:$AJ$4,0)),NA(),IF(SUMPRODUCT((Inputs!$A$5:$A$140=$B55)*ISNUMBER(INDEX(Inputs!$K$5:$AJ$140,0,MATCH(S$2,Inputs!$K$4:$AJ$4,0))))+SUMPRODUCT((Inputs!$C$5:$C$140=$B55)*ISNUMBER(INDEX(Inputs!$K$5:$AJ$140,0,MATCH(S$2,Inputs!$K$4:$AJ$4,0))))+SUMPRODUCT((Inputs!$E$5:$E$140=$B55)*ISNUMBER(INDEX(Inputs!$K$5:$AJ$140,0,MATCH(S$2,Inputs!$K$4:$AJ$4,0))))=0,NA(),SUMPRODUCT((Inputs!$A$5:$A$140=$B55)*Inputs!$B$5:$B$140*(((Inputs!$G$5:$G$140="moeda")+(Inputs!$G$5:$G$140="acoes"))*Inputs!$B$1+((Inputs!$G$5:$G$140&lt;&gt;"moeda")*(Inputs!$G$5:$G$140&lt;&gt;"acoes")))*INDEX(Inputs!$K$5:$AJ$140,0,MATCH(S$2,Inputs!$K$4:$AJ$4,0)))+SUMPRODUCT((Inputs!$C$5:$C$140=$B55)*Inputs!$D$5:$D$140*(((Inputs!$G$5:$G$140="moeda")+(Inputs!$G$5:$G$140="acoes"))*Inputs!$B$1+((Inputs!$G$5:$G$140&lt;&gt;"moeda")*(Inputs!$G$5:$G$140&lt;&gt;"acoes")))*INDEX(Inputs!$K$5:$AJ$140,0,MATCH(S$2,Inputs!$K$4:$AJ$4,0)))+SUMPRODUCT((Inputs!$E$5:$E$140=$B55)*Inputs!$F$5:$F$140*(((Inputs!$G$5:$G$140="moeda")+(Inputs!$G$5:$G$140="acoes"))*Inputs!$B$1+((Inputs!$G$5:$G$140&lt;&gt;"moeda")*(Inputs!$G$5:$G$140&lt;&gt;"acoes")))*INDEX(Inputs!$K$5:$AJ$140,0,MATCH(S$2,Inputs!$K$4:$AJ$4,0)))))</f>
        <v>261</v>
      </c>
      <c r="T55" s="262">
        <f>IF(ISNA(MATCH(T$2,Inputs!$K$4:$AJ$4,0)),NA(),IF(SUMPRODUCT((Inputs!$A$5:$A$140=$B55)*ISNUMBER(INDEX(Inputs!$K$5:$AJ$140,0,MATCH(T$2,Inputs!$K$4:$AJ$4,0))))+SUMPRODUCT((Inputs!$C$5:$C$140=$B55)*ISNUMBER(INDEX(Inputs!$K$5:$AJ$140,0,MATCH(T$2,Inputs!$K$4:$AJ$4,0))))+SUMPRODUCT((Inputs!$E$5:$E$140=$B55)*ISNUMBER(INDEX(Inputs!$K$5:$AJ$140,0,MATCH(T$2,Inputs!$K$4:$AJ$4,0))))=0,NA(),SUMPRODUCT((Inputs!$A$5:$A$140=$B55)*Inputs!$B$5:$B$140*(((Inputs!$G$5:$G$140="moeda")+(Inputs!$G$5:$G$140="acoes"))*Inputs!$B$1+((Inputs!$G$5:$G$140&lt;&gt;"moeda")*(Inputs!$G$5:$G$140&lt;&gt;"acoes")))*INDEX(Inputs!$K$5:$AJ$140,0,MATCH(T$2,Inputs!$K$4:$AJ$4,0)))+SUMPRODUCT((Inputs!$C$5:$C$140=$B55)*Inputs!$D$5:$D$140*(((Inputs!$G$5:$G$140="moeda")+(Inputs!$G$5:$G$140="acoes"))*Inputs!$B$1+((Inputs!$G$5:$G$140&lt;&gt;"moeda")*(Inputs!$G$5:$G$140&lt;&gt;"acoes")))*INDEX(Inputs!$K$5:$AJ$140,0,MATCH(T$2,Inputs!$K$4:$AJ$4,0)))+SUMPRODUCT((Inputs!$E$5:$E$140=$B55)*Inputs!$F$5:$F$140*(((Inputs!$G$5:$G$140="moeda")+(Inputs!$G$5:$G$140="acoes"))*Inputs!$B$1+((Inputs!$G$5:$G$140&lt;&gt;"moeda")*(Inputs!$G$5:$G$140&lt;&gt;"acoes")))*INDEX(Inputs!$K$5:$AJ$140,0,MATCH(T$2,Inputs!$K$4:$AJ$4,0)))))</f>
        <v>315</v>
      </c>
      <c r="U55" s="262">
        <f>IF(ISNA(MATCH(U$2,Inputs!$K$4:$AJ$4,0)),NA(),IF(SUMPRODUCT((Inputs!$A$5:$A$140=$B55)*ISNUMBER(INDEX(Inputs!$K$5:$AJ$140,0,MATCH(U$2,Inputs!$K$4:$AJ$4,0))))+SUMPRODUCT((Inputs!$C$5:$C$140=$B55)*ISNUMBER(INDEX(Inputs!$K$5:$AJ$140,0,MATCH(U$2,Inputs!$K$4:$AJ$4,0))))+SUMPRODUCT((Inputs!$E$5:$E$140=$B55)*ISNUMBER(INDEX(Inputs!$K$5:$AJ$140,0,MATCH(U$2,Inputs!$K$4:$AJ$4,0))))=0,NA(),SUMPRODUCT((Inputs!$A$5:$A$140=$B55)*Inputs!$B$5:$B$140*(((Inputs!$G$5:$G$140="moeda")+(Inputs!$G$5:$G$140="acoes"))*Inputs!$B$1+((Inputs!$G$5:$G$140&lt;&gt;"moeda")*(Inputs!$G$5:$G$140&lt;&gt;"acoes")))*INDEX(Inputs!$K$5:$AJ$140,0,MATCH(U$2,Inputs!$K$4:$AJ$4,0)))+SUMPRODUCT((Inputs!$C$5:$C$140=$B55)*Inputs!$D$5:$D$140*(((Inputs!$G$5:$G$140="moeda")+(Inputs!$G$5:$G$140="acoes"))*Inputs!$B$1+((Inputs!$G$5:$G$140&lt;&gt;"moeda")*(Inputs!$G$5:$G$140&lt;&gt;"acoes")))*INDEX(Inputs!$K$5:$AJ$140,0,MATCH(U$2,Inputs!$K$4:$AJ$4,0)))+SUMPRODUCT((Inputs!$E$5:$E$140=$B55)*Inputs!$F$5:$F$140*(((Inputs!$G$5:$G$140="moeda")+(Inputs!$G$5:$G$140="acoes"))*Inputs!$B$1+((Inputs!$G$5:$G$140&lt;&gt;"moeda")*(Inputs!$G$5:$G$140&lt;&gt;"acoes")))*INDEX(Inputs!$K$5:$AJ$140,0,MATCH(U$2,Inputs!$K$4:$AJ$4,0)))))</f>
        <v>337</v>
      </c>
      <c r="V55" s="262">
        <f>IF(ISNA(MATCH(V$2,Inputs!$K$4:$AJ$4,0)),NA(),IF(SUMPRODUCT((Inputs!$A$5:$A$140=$B55)*ISNUMBER(INDEX(Inputs!$K$5:$AJ$140,0,MATCH(V$2,Inputs!$K$4:$AJ$4,0))))+SUMPRODUCT((Inputs!$C$5:$C$140=$B55)*ISNUMBER(INDEX(Inputs!$K$5:$AJ$140,0,MATCH(V$2,Inputs!$K$4:$AJ$4,0))))+SUMPRODUCT((Inputs!$E$5:$E$140=$B55)*ISNUMBER(INDEX(Inputs!$K$5:$AJ$140,0,MATCH(V$2,Inputs!$K$4:$AJ$4,0))))=0,NA(),SUMPRODUCT((Inputs!$A$5:$A$140=$B55)*Inputs!$B$5:$B$140*(((Inputs!$G$5:$G$140="moeda")+(Inputs!$G$5:$G$140="acoes"))*Inputs!$B$1+((Inputs!$G$5:$G$140&lt;&gt;"moeda")*(Inputs!$G$5:$G$140&lt;&gt;"acoes")))*INDEX(Inputs!$K$5:$AJ$140,0,MATCH(V$2,Inputs!$K$4:$AJ$4,0)))+SUMPRODUCT((Inputs!$C$5:$C$140=$B55)*Inputs!$D$5:$D$140*(((Inputs!$G$5:$G$140="moeda")+(Inputs!$G$5:$G$140="acoes"))*Inputs!$B$1+((Inputs!$G$5:$G$140&lt;&gt;"moeda")*(Inputs!$G$5:$G$140&lt;&gt;"acoes")))*INDEX(Inputs!$K$5:$AJ$140,0,MATCH(V$2,Inputs!$K$4:$AJ$4,0)))+SUMPRODUCT((Inputs!$E$5:$E$140=$B55)*Inputs!$F$5:$F$140*(((Inputs!$G$5:$G$140="moeda")+(Inputs!$G$5:$G$140="acoes"))*Inputs!$B$1+((Inputs!$G$5:$G$140&lt;&gt;"moeda")*(Inputs!$G$5:$G$140&lt;&gt;"acoes")))*INDEX(Inputs!$K$5:$AJ$140,0,MATCH(V$2,Inputs!$K$4:$AJ$4,0)))))</f>
        <v>354</v>
      </c>
      <c r="W55" s="263">
        <f>SUM(S55:V55)</f>
        <v>1267</v>
      </c>
      <c r="X55" s="262">
        <f>IF(ISNA(MATCH(X$2,Inputs!$K$4:$AJ$4,0)),NA(),IF(SUMPRODUCT((Inputs!$A$5:$A$140=$B55)*ISNUMBER(INDEX(Inputs!$K$5:$AJ$140,0,MATCH(X$2,Inputs!$K$4:$AJ$4,0))))+SUMPRODUCT((Inputs!$C$5:$C$140=$B55)*ISNUMBER(INDEX(Inputs!$K$5:$AJ$140,0,MATCH(X$2,Inputs!$K$4:$AJ$4,0))))+SUMPRODUCT((Inputs!$E$5:$E$140=$B55)*ISNUMBER(INDEX(Inputs!$K$5:$AJ$140,0,MATCH(X$2,Inputs!$K$4:$AJ$4,0))))=0,NA(),SUMPRODUCT((Inputs!$A$5:$A$140=$B55)*Inputs!$B$5:$B$140*(((Inputs!$G$5:$G$140="moeda")+(Inputs!$G$5:$G$140="acoes"))*Inputs!$B$1+((Inputs!$G$5:$G$140&lt;&gt;"moeda")*(Inputs!$G$5:$G$140&lt;&gt;"acoes")))*INDEX(Inputs!$K$5:$AJ$140,0,MATCH(X$2,Inputs!$K$4:$AJ$4,0)))+SUMPRODUCT((Inputs!$C$5:$C$140=$B55)*Inputs!$D$5:$D$140*(((Inputs!$G$5:$G$140="moeda")+(Inputs!$G$5:$G$140="acoes"))*Inputs!$B$1+((Inputs!$G$5:$G$140&lt;&gt;"moeda")*(Inputs!$G$5:$G$140&lt;&gt;"acoes")))*INDEX(Inputs!$K$5:$AJ$140,0,MATCH(X$2,Inputs!$K$4:$AJ$4,0)))+SUMPRODUCT((Inputs!$E$5:$E$140=$B55)*Inputs!$F$5:$F$140*(((Inputs!$G$5:$G$140="moeda")+(Inputs!$G$5:$G$140="acoes"))*Inputs!$B$1+((Inputs!$G$5:$G$140&lt;&gt;"moeda")*(Inputs!$G$5:$G$140&lt;&gt;"acoes")))*INDEX(Inputs!$K$5:$AJ$140,0,MATCH(X$2,Inputs!$K$4:$AJ$4,0)))))</f>
        <v>254</v>
      </c>
      <c r="Y55" s="262">
        <f>IF(ISNA(MATCH(Y$2,Inputs!$K$4:$AJ$4,0)),NA(),IF(SUMPRODUCT((Inputs!$A$5:$A$140=$B55)*ISNUMBER(INDEX(Inputs!$K$5:$AJ$140,0,MATCH(Y$2,Inputs!$K$4:$AJ$4,0))))+SUMPRODUCT((Inputs!$C$5:$C$140=$B55)*ISNUMBER(INDEX(Inputs!$K$5:$AJ$140,0,MATCH(Y$2,Inputs!$K$4:$AJ$4,0))))+SUMPRODUCT((Inputs!$E$5:$E$140=$B55)*ISNUMBER(INDEX(Inputs!$K$5:$AJ$140,0,MATCH(Y$2,Inputs!$K$4:$AJ$4,0))))=0,NA(),SUMPRODUCT((Inputs!$A$5:$A$140=$B55)*Inputs!$B$5:$B$140*(((Inputs!$G$5:$G$140="moeda")+(Inputs!$G$5:$G$140="acoes"))*Inputs!$B$1+((Inputs!$G$5:$G$140&lt;&gt;"moeda")*(Inputs!$G$5:$G$140&lt;&gt;"acoes")))*INDEX(Inputs!$K$5:$AJ$140,0,MATCH(Y$2,Inputs!$K$4:$AJ$4,0)))+SUMPRODUCT((Inputs!$C$5:$C$140=$B55)*Inputs!$D$5:$D$140*(((Inputs!$G$5:$G$140="moeda")+(Inputs!$G$5:$G$140="acoes"))*Inputs!$B$1+((Inputs!$G$5:$G$140&lt;&gt;"moeda")*(Inputs!$G$5:$G$140&lt;&gt;"acoes")))*INDEX(Inputs!$K$5:$AJ$140,0,MATCH(Y$2,Inputs!$K$4:$AJ$4,0)))+SUMPRODUCT((Inputs!$E$5:$E$140=$B55)*Inputs!$F$5:$F$140*(((Inputs!$G$5:$G$140="moeda")+(Inputs!$G$5:$G$140="acoes"))*Inputs!$B$1+((Inputs!$G$5:$G$140&lt;&gt;"moeda")*(Inputs!$G$5:$G$140&lt;&gt;"acoes")))*INDEX(Inputs!$K$5:$AJ$140,0,MATCH(Y$2,Inputs!$K$4:$AJ$4,0)))))</f>
        <v>277</v>
      </c>
      <c r="Z55" s="262">
        <f>IF(ISNA(MATCH(Z$2,Inputs!$K$4:$AJ$4,0)),NA(),IF(SUMPRODUCT((Inputs!$A$5:$A$140=$B55)*ISNUMBER(INDEX(Inputs!$K$5:$AJ$140,0,MATCH(Z$2,Inputs!$K$4:$AJ$4,0))))+SUMPRODUCT((Inputs!$C$5:$C$140=$B55)*ISNUMBER(INDEX(Inputs!$K$5:$AJ$140,0,MATCH(Z$2,Inputs!$K$4:$AJ$4,0))))+SUMPRODUCT((Inputs!$E$5:$E$140=$B55)*ISNUMBER(INDEX(Inputs!$K$5:$AJ$140,0,MATCH(Z$2,Inputs!$K$4:$AJ$4,0))))=0,NA(),SUMPRODUCT((Inputs!$A$5:$A$140=$B55)*Inputs!$B$5:$B$140*(((Inputs!$G$5:$G$140="moeda")+(Inputs!$G$5:$G$140="acoes"))*Inputs!$B$1+((Inputs!$G$5:$G$140&lt;&gt;"moeda")*(Inputs!$G$5:$G$140&lt;&gt;"acoes")))*INDEX(Inputs!$K$5:$AJ$140,0,MATCH(Z$2,Inputs!$K$4:$AJ$4,0)))+SUMPRODUCT((Inputs!$C$5:$C$140=$B55)*Inputs!$D$5:$D$140*(((Inputs!$G$5:$G$140="moeda")+(Inputs!$G$5:$G$140="acoes"))*Inputs!$B$1+((Inputs!$G$5:$G$140&lt;&gt;"moeda")*(Inputs!$G$5:$G$140&lt;&gt;"acoes")))*INDEX(Inputs!$K$5:$AJ$140,0,MATCH(Z$2,Inputs!$K$4:$AJ$4,0)))+SUMPRODUCT((Inputs!$E$5:$E$140=$B55)*Inputs!$F$5:$F$140*(((Inputs!$G$5:$G$140="moeda")+(Inputs!$G$5:$G$140="acoes"))*Inputs!$B$1+((Inputs!$G$5:$G$140&lt;&gt;"moeda")*(Inputs!$G$5:$G$140&lt;&gt;"acoes")))*INDEX(Inputs!$K$5:$AJ$140,0,MATCH(Z$2,Inputs!$K$4:$AJ$4,0)))))</f>
        <v>283</v>
      </c>
      <c r="AA55" s="262">
        <f>IF(ISNA(MATCH(AA$2,Inputs!$K$4:$AJ$4,0)),NA(),IF(SUMPRODUCT((Inputs!$A$5:$A$140=$B55)*ISNUMBER(INDEX(Inputs!$K$5:$AJ$140,0,MATCH(AA$2,Inputs!$K$4:$AJ$4,0))))+SUMPRODUCT((Inputs!$C$5:$C$140=$B55)*ISNUMBER(INDEX(Inputs!$K$5:$AJ$140,0,MATCH(AA$2,Inputs!$K$4:$AJ$4,0))))+SUMPRODUCT((Inputs!$E$5:$E$140=$B55)*ISNUMBER(INDEX(Inputs!$K$5:$AJ$140,0,MATCH(AA$2,Inputs!$K$4:$AJ$4,0))))=0,NA(),SUMPRODUCT((Inputs!$A$5:$A$140=$B55)*Inputs!$B$5:$B$140*(((Inputs!$G$5:$G$140="moeda")+(Inputs!$G$5:$G$140="acoes"))*Inputs!$B$1+((Inputs!$G$5:$G$140&lt;&gt;"moeda")*(Inputs!$G$5:$G$140&lt;&gt;"acoes")))*INDEX(Inputs!$K$5:$AJ$140,0,MATCH(AA$2,Inputs!$K$4:$AJ$4,0)))+SUMPRODUCT((Inputs!$C$5:$C$140=$B55)*Inputs!$D$5:$D$140*(((Inputs!$G$5:$G$140="moeda")+(Inputs!$G$5:$G$140="acoes"))*Inputs!$B$1+((Inputs!$G$5:$G$140&lt;&gt;"moeda")*(Inputs!$G$5:$G$140&lt;&gt;"acoes")))*INDEX(Inputs!$K$5:$AJ$140,0,MATCH(AA$2,Inputs!$K$4:$AJ$4,0)))+SUMPRODUCT((Inputs!$E$5:$E$140=$B55)*Inputs!$F$5:$F$140*(((Inputs!$G$5:$G$140="moeda")+(Inputs!$G$5:$G$140="acoes"))*Inputs!$B$1+((Inputs!$G$5:$G$140&lt;&gt;"moeda")*(Inputs!$G$5:$G$140&lt;&gt;"acoes")))*INDEX(Inputs!$K$5:$AJ$140,0,MATCH(AA$2,Inputs!$K$4:$AJ$4,0)))))</f>
        <v>339</v>
      </c>
      <c r="AB55" s="263">
        <f>SUM(X55:AA55)</f>
        <v>1153</v>
      </c>
      <c r="AC55" s="262" t="e">
        <f>IF(ISNA(MATCH(AC$2,Inputs!$K$4:$AJ$4,0)),NA(),IF(SUMPRODUCT((Inputs!$A$5:$A$140=$B55)*ISNUMBER(INDEX(Inputs!$K$5:$AJ$140,0,MATCH(AC$2,Inputs!$K$4:$AJ$4,0))))+SUMPRODUCT((Inputs!$C$5:$C$140=$B55)*ISNUMBER(INDEX(Inputs!$K$5:$AJ$140,0,MATCH(AC$2,Inputs!$K$4:$AJ$4,0))))+SUMPRODUCT((Inputs!$E$5:$E$140=$B55)*ISNUMBER(INDEX(Inputs!$K$5:$AJ$140,0,MATCH(AC$2,Inputs!$K$4:$AJ$4,0))))=0,NA(),SUMPRODUCT((Inputs!$A$5:$A$140=$B55)*Inputs!$B$5:$B$140*(((Inputs!$G$5:$G$140="moeda")+(Inputs!$G$5:$G$140="acoes"))*Inputs!$B$1+((Inputs!$G$5:$G$140&lt;&gt;"moeda")*(Inputs!$G$5:$G$140&lt;&gt;"acoes")))*INDEX(Inputs!$K$5:$AJ$140,0,MATCH(AC$2,Inputs!$K$4:$AJ$4,0)))+SUMPRODUCT((Inputs!$C$5:$C$140=$B55)*Inputs!$D$5:$D$140*(((Inputs!$G$5:$G$140="moeda")+(Inputs!$G$5:$G$140="acoes"))*Inputs!$B$1+((Inputs!$G$5:$G$140&lt;&gt;"moeda")*(Inputs!$G$5:$G$140&lt;&gt;"acoes")))*INDEX(Inputs!$K$5:$AJ$140,0,MATCH(AC$2,Inputs!$K$4:$AJ$4,0)))+SUMPRODUCT((Inputs!$E$5:$E$140=$B55)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5" s="262" t="e">
        <f>IF(ISNA(MATCH(AD$2,Inputs!$K$4:$AJ$4,0)),NA(),IF(SUMPRODUCT((Inputs!$A$5:$A$140=$B55)*ISNUMBER(INDEX(Inputs!$K$5:$AJ$140,0,MATCH(AD$2,Inputs!$K$4:$AJ$4,0))))+SUMPRODUCT((Inputs!$C$5:$C$140=$B55)*ISNUMBER(INDEX(Inputs!$K$5:$AJ$140,0,MATCH(AD$2,Inputs!$K$4:$AJ$4,0))))+SUMPRODUCT((Inputs!$E$5:$E$140=$B55)*ISNUMBER(INDEX(Inputs!$K$5:$AJ$140,0,MATCH(AD$2,Inputs!$K$4:$AJ$4,0))))=0,NA(),SUMPRODUCT((Inputs!$A$5:$A$140=$B55)*Inputs!$B$5:$B$140*(((Inputs!$G$5:$G$140="moeda")+(Inputs!$G$5:$G$140="acoes"))*Inputs!$B$1+((Inputs!$G$5:$G$140&lt;&gt;"moeda")*(Inputs!$G$5:$G$140&lt;&gt;"acoes")))*INDEX(Inputs!$K$5:$AJ$140,0,MATCH(AD$2,Inputs!$K$4:$AJ$4,0)))+SUMPRODUCT((Inputs!$C$5:$C$140=$B55)*Inputs!$D$5:$D$140*(((Inputs!$G$5:$G$140="moeda")+(Inputs!$G$5:$G$140="acoes"))*Inputs!$B$1+((Inputs!$G$5:$G$140&lt;&gt;"moeda")*(Inputs!$G$5:$G$140&lt;&gt;"acoes")))*INDEX(Inputs!$K$5:$AJ$140,0,MATCH(AD$2,Inputs!$K$4:$AJ$4,0)))+SUMPRODUCT((Inputs!$E$5:$E$140=$B55)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5" s="262" t="e">
        <f>IF(ISNA(MATCH(AE$2,Inputs!$K$4:$AJ$4,0)),NA(),IF(SUMPRODUCT((Inputs!$A$5:$A$140=$B55)*ISNUMBER(INDEX(Inputs!$K$5:$AJ$140,0,MATCH(AE$2,Inputs!$K$4:$AJ$4,0))))+SUMPRODUCT((Inputs!$C$5:$C$140=$B55)*ISNUMBER(INDEX(Inputs!$K$5:$AJ$140,0,MATCH(AE$2,Inputs!$K$4:$AJ$4,0))))+SUMPRODUCT((Inputs!$E$5:$E$140=$B55)*ISNUMBER(INDEX(Inputs!$K$5:$AJ$140,0,MATCH(AE$2,Inputs!$K$4:$AJ$4,0))))=0,NA(),SUMPRODUCT((Inputs!$A$5:$A$140=$B55)*Inputs!$B$5:$B$140*(((Inputs!$G$5:$G$140="moeda")+(Inputs!$G$5:$G$140="acoes"))*Inputs!$B$1+((Inputs!$G$5:$G$140&lt;&gt;"moeda")*(Inputs!$G$5:$G$140&lt;&gt;"acoes")))*INDEX(Inputs!$K$5:$AJ$140,0,MATCH(AE$2,Inputs!$K$4:$AJ$4,0)))+SUMPRODUCT((Inputs!$C$5:$C$140=$B55)*Inputs!$D$5:$D$140*(((Inputs!$G$5:$G$140="moeda")+(Inputs!$G$5:$G$140="acoes"))*Inputs!$B$1+((Inputs!$G$5:$G$140&lt;&gt;"moeda")*(Inputs!$G$5:$G$140&lt;&gt;"acoes")))*INDEX(Inputs!$K$5:$AJ$140,0,MATCH(AE$2,Inputs!$K$4:$AJ$4,0)))+SUMPRODUCT((Inputs!$E$5:$E$140=$B55)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5" s="262" t="e">
        <f>IF(ISNA(MATCH(AF$2,Inputs!$K$4:$AJ$4,0)),NA(),IF(SUMPRODUCT((Inputs!$A$5:$A$140=$B55)*ISNUMBER(INDEX(Inputs!$K$5:$AJ$140,0,MATCH(AF$2,Inputs!$K$4:$AJ$4,0))))+SUMPRODUCT((Inputs!$C$5:$C$140=$B55)*ISNUMBER(INDEX(Inputs!$K$5:$AJ$140,0,MATCH(AF$2,Inputs!$K$4:$AJ$4,0))))+SUMPRODUCT((Inputs!$E$5:$E$140=$B55)*ISNUMBER(INDEX(Inputs!$K$5:$AJ$140,0,MATCH(AF$2,Inputs!$K$4:$AJ$4,0))))=0,NA(),SUMPRODUCT((Inputs!$A$5:$A$140=$B55)*Inputs!$B$5:$B$140*(((Inputs!$G$5:$G$140="moeda")+(Inputs!$G$5:$G$140="acoes"))*Inputs!$B$1+((Inputs!$G$5:$G$140&lt;&gt;"moeda")*(Inputs!$G$5:$G$140&lt;&gt;"acoes")))*INDEX(Inputs!$K$5:$AJ$140,0,MATCH(AF$2,Inputs!$K$4:$AJ$4,0)))+SUMPRODUCT((Inputs!$C$5:$C$140=$B55)*Inputs!$D$5:$D$140*(((Inputs!$G$5:$G$140="moeda")+(Inputs!$G$5:$G$140="acoes"))*Inputs!$B$1+((Inputs!$G$5:$G$140&lt;&gt;"moeda")*(Inputs!$G$5:$G$140&lt;&gt;"acoes")))*INDEX(Inputs!$K$5:$AJ$140,0,MATCH(AF$2,Inputs!$K$4:$AJ$4,0)))+SUMPRODUCT((Inputs!$E$5:$E$140=$B55)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5" s="263" t="e">
        <f>SUM(AC55:AF55)</f>
        <v>#N/A</v>
      </c>
      <c r="AH55" s="262">
        <f>IF(ISNA(MATCH(AH$2,Inputs!$K$4:$AJ$4,0)),NA(),IF(SUMPRODUCT((Inputs!$A$5:$A$140=$B55)*ISNUMBER(INDEX(Inputs!$K$5:$AJ$140,0,MATCH(AH$2,Inputs!$K$4:$AJ$4,0))))+SUMPRODUCT((Inputs!$C$5:$C$140=$B55)*ISNUMBER(INDEX(Inputs!$K$5:$AJ$140,0,MATCH(AH$2,Inputs!$K$4:$AJ$4,0))))+SUMPRODUCT((Inputs!$E$5:$E$140=$B55)*ISNUMBER(INDEX(Inputs!$K$5:$AJ$140,0,MATCH(AH$2,Inputs!$K$4:$AJ$4,0))))=0,NA(),SUMPRODUCT((Inputs!$A$5:$A$140=$B55)*Inputs!$B$5:$B$140*(((Inputs!$G$5:$G$140="moeda")+(Inputs!$G$5:$G$140="acoes"))*Inputs!$B$1+((Inputs!$G$5:$G$140&lt;&gt;"moeda")*(Inputs!$G$5:$G$140&lt;&gt;"acoes")))*INDEX(Inputs!$K$5:$AJ$140,0,MATCH(AH$2,Inputs!$K$4:$AJ$4,0)))+SUMPRODUCT((Inputs!$C$5:$C$140=$B55)*Inputs!$D$5:$D$140*(((Inputs!$G$5:$G$140="moeda")+(Inputs!$G$5:$G$140="acoes"))*Inputs!$B$1+((Inputs!$G$5:$G$140&lt;&gt;"moeda")*(Inputs!$G$5:$G$140&lt;&gt;"acoes")))*INDEX(Inputs!$K$5:$AJ$140,0,MATCH(AH$2,Inputs!$K$4:$AJ$4,0)))+SUMPRODUCT((Inputs!$E$5:$E$140=$B55)*Inputs!$F$5:$F$140*(((Inputs!$G$5:$G$140="moeda")+(Inputs!$G$5:$G$140="acoes"))*Inputs!$B$1+((Inputs!$G$5:$G$140&lt;&gt;"moeda")*(Inputs!$G$5:$G$140&lt;&gt;"acoes")))*INDEX(Inputs!$K$5:$AJ$140,0,MATCH(AH$2,Inputs!$K$4:$AJ$4,0)))))</f>
        <v>120</v>
      </c>
      <c r="AI55" s="262">
        <f>IF(ISNA(MATCH(AI$2,Inputs!$K$4:$AJ$4,0)),NA(),IF(SUMPRODUCT((Inputs!$A$5:$A$140=$B55)*ISNUMBER(INDEX(Inputs!$K$5:$AJ$140,0,MATCH(AI$2,Inputs!$K$4:$AJ$4,0))))+SUMPRODUCT((Inputs!$C$5:$C$140=$B55)*ISNUMBER(INDEX(Inputs!$K$5:$AJ$140,0,MATCH(AI$2,Inputs!$K$4:$AJ$4,0))))+SUMPRODUCT((Inputs!$E$5:$E$140=$B55)*ISNUMBER(INDEX(Inputs!$K$5:$AJ$140,0,MATCH(AI$2,Inputs!$K$4:$AJ$4,0))))=0,NA(),SUMPRODUCT((Inputs!$A$5:$A$140=$B55)*Inputs!$B$5:$B$140*(((Inputs!$G$5:$G$140="moeda")+(Inputs!$G$5:$G$140="acoes"))*Inputs!$B$1+((Inputs!$G$5:$G$140&lt;&gt;"moeda")*(Inputs!$G$5:$G$140&lt;&gt;"acoes")))*INDEX(Inputs!$K$5:$AJ$140,0,MATCH(AI$2,Inputs!$K$4:$AJ$4,0)))+SUMPRODUCT((Inputs!$C$5:$C$140=$B55)*Inputs!$D$5:$D$140*(((Inputs!$G$5:$G$140="moeda")+(Inputs!$G$5:$G$140="acoes"))*Inputs!$B$1+((Inputs!$G$5:$G$140&lt;&gt;"moeda")*(Inputs!$G$5:$G$140&lt;&gt;"acoes")))*INDEX(Inputs!$K$5:$AJ$140,0,MATCH(AI$2,Inputs!$K$4:$AJ$4,0)))+SUMPRODUCT((Inputs!$E$5:$E$140=$B55)*Inputs!$F$5:$F$140*(((Inputs!$G$5:$G$140="moeda")+(Inputs!$G$5:$G$140="acoes"))*Inputs!$B$1+((Inputs!$G$5:$G$140&lt;&gt;"moeda")*(Inputs!$G$5:$G$140&lt;&gt;"acoes")))*INDEX(Inputs!$K$5:$AJ$140,0,MATCH(AI$2,Inputs!$K$4:$AJ$4,0)))))</f>
        <v>155</v>
      </c>
      <c r="AJ55" s="262">
        <f>IF(ISNA(MATCH(AJ$2,Inputs!$K$4:$AJ$4,0)),NA(),IF(SUMPRODUCT((Inputs!$A$5:$A$140=$B55)*ISNUMBER(INDEX(Inputs!$K$5:$AJ$140,0,MATCH(AJ$2,Inputs!$K$4:$AJ$4,0))))+SUMPRODUCT((Inputs!$C$5:$C$140=$B55)*ISNUMBER(INDEX(Inputs!$K$5:$AJ$140,0,MATCH(AJ$2,Inputs!$K$4:$AJ$4,0))))+SUMPRODUCT((Inputs!$E$5:$E$140=$B55)*ISNUMBER(INDEX(Inputs!$K$5:$AJ$140,0,MATCH(AJ$2,Inputs!$K$4:$AJ$4,0))))=0,NA(),SUMPRODUCT((Inputs!$A$5:$A$140=$B55)*Inputs!$B$5:$B$140*(((Inputs!$G$5:$G$140="moeda")+(Inputs!$G$5:$G$140="acoes"))*Inputs!$B$1+((Inputs!$G$5:$G$140&lt;&gt;"moeda")*(Inputs!$G$5:$G$140&lt;&gt;"acoes")))*INDEX(Inputs!$K$5:$AJ$140,0,MATCH(AJ$2,Inputs!$K$4:$AJ$4,0)))+SUMPRODUCT((Inputs!$C$5:$C$140=$B55)*Inputs!$D$5:$D$140*(((Inputs!$G$5:$G$140="moeda")+(Inputs!$G$5:$G$140="acoes"))*Inputs!$B$1+((Inputs!$G$5:$G$140&lt;&gt;"moeda")*(Inputs!$G$5:$G$140&lt;&gt;"acoes")))*INDEX(Inputs!$K$5:$AJ$140,0,MATCH(AJ$2,Inputs!$K$4:$AJ$4,0)))+SUMPRODUCT((Inputs!$E$5:$E$140=$B55)*Inputs!$F$5:$F$140*(((Inputs!$G$5:$G$140="moeda")+(Inputs!$G$5:$G$140="acoes"))*Inputs!$B$1+((Inputs!$G$5:$G$140&lt;&gt;"moeda")*(Inputs!$G$5:$G$140&lt;&gt;"acoes")))*INDEX(Inputs!$K$5:$AJ$140,0,MATCH(AJ$2,Inputs!$K$4:$AJ$4,0)))))</f>
        <v>252</v>
      </c>
      <c r="AK55" s="262">
        <f>IF(ISNA(MATCH(AK$2,Inputs!$K$4:$AJ$4,0)),NA(),IF(SUMPRODUCT((Inputs!$A$5:$A$140=$B55)*ISNUMBER(INDEX(Inputs!$K$5:$AJ$140,0,MATCH(AK$2,Inputs!$K$4:$AJ$4,0))))+SUMPRODUCT((Inputs!$C$5:$C$140=$B55)*ISNUMBER(INDEX(Inputs!$K$5:$AJ$140,0,MATCH(AK$2,Inputs!$K$4:$AJ$4,0))))+SUMPRODUCT((Inputs!$E$5:$E$140=$B55)*ISNUMBER(INDEX(Inputs!$K$5:$AJ$140,0,MATCH(AK$2,Inputs!$K$4:$AJ$4,0))))=0,NA(),SUMPRODUCT((Inputs!$A$5:$A$140=$B55)*Inputs!$B$5:$B$140*(((Inputs!$G$5:$G$140="moeda")+(Inputs!$G$5:$G$140="acoes"))*Inputs!$B$1+((Inputs!$G$5:$G$140&lt;&gt;"moeda")*(Inputs!$G$5:$G$140&lt;&gt;"acoes")))*INDEX(Inputs!$K$5:$AJ$140,0,MATCH(AK$2,Inputs!$K$4:$AJ$4,0)))+SUMPRODUCT((Inputs!$C$5:$C$140=$B55)*Inputs!$D$5:$D$140*(((Inputs!$G$5:$G$140="moeda")+(Inputs!$G$5:$G$140="acoes"))*Inputs!$B$1+((Inputs!$G$5:$G$140&lt;&gt;"moeda")*(Inputs!$G$5:$G$140&lt;&gt;"acoes")))*INDEX(Inputs!$K$5:$AJ$140,0,MATCH(AK$2,Inputs!$K$4:$AJ$4,0)))+SUMPRODUCT((Inputs!$E$5:$E$140=$B55)*Inputs!$F$5:$F$140*(((Inputs!$G$5:$G$140="moeda")+(Inputs!$G$5:$G$140="acoes"))*Inputs!$B$1+((Inputs!$G$5:$G$140&lt;&gt;"moeda")*(Inputs!$G$5:$G$140&lt;&gt;"acoes")))*INDEX(Inputs!$K$5:$AJ$140,0,MATCH(AK$2,Inputs!$K$4:$AJ$4,0)))))</f>
        <v>269</v>
      </c>
      <c r="AL55" s="263">
        <f>SUM(AH55:AK55)</f>
        <v>796</v>
      </c>
    </row>
    <row r="56">
      <c r="B56" s="46" t="n">
        <v>48</v>
      </c>
      <c r="C56" s="29" t="inlineStr">
        <is>
          <t>Receita bruta de mercadorias - Atacado B2B (R$ milhoes)</t>
        </is>
      </c>
      <c r="D56" s="262">
        <f>IF(ISNA(MATCH(D$2,Inputs!$K$4:$AJ$4,0)),NA(),IF(SUMPRODUCT((Inputs!$A$5:$A$140=$B56)*ISNUMBER(INDEX(Inputs!$K$5:$AJ$140,0,MATCH(D$2,Inputs!$K$4:$AJ$4,0))))+SUMPRODUCT((Inputs!$C$5:$C$140=$B56)*ISNUMBER(INDEX(Inputs!$K$5:$AJ$140,0,MATCH(D$2,Inputs!$K$4:$AJ$4,0))))+SUMPRODUCT((Inputs!$E$5:$E$140=$B56)*ISNUMBER(INDEX(Inputs!$K$5:$AJ$140,0,MATCH(D$2,Inputs!$K$4:$AJ$4,0))))=0,NA(),SUMPRODUCT((Inputs!$A$5:$A$140=$B56)*Inputs!$B$5:$B$140*(((Inputs!$G$5:$G$140="moeda")+(Inputs!$G$5:$G$140="acoes"))*Inputs!$B$1+((Inputs!$G$5:$G$140&lt;&gt;"moeda")*(Inputs!$G$5:$G$140&lt;&gt;"acoes")))*INDEX(Inputs!$K$5:$AJ$140,0,MATCH(D$2,Inputs!$K$4:$AJ$4,0)))+SUMPRODUCT((Inputs!$C$5:$C$140=$B56)*Inputs!$D$5:$D$140*(((Inputs!$G$5:$G$140="moeda")+(Inputs!$G$5:$G$140="acoes"))*Inputs!$B$1+((Inputs!$G$5:$G$140&lt;&gt;"moeda")*(Inputs!$G$5:$G$140&lt;&gt;"acoes")))*INDEX(Inputs!$K$5:$AJ$140,0,MATCH(D$2,Inputs!$K$4:$AJ$4,0)))+SUMPRODUCT((Inputs!$E$5:$E$140=$B56)*Inputs!$F$5:$F$140*(((Inputs!$G$5:$G$140="moeda")+(Inputs!$G$5:$G$140="acoes"))*Inputs!$B$1+((Inputs!$G$5:$G$140&lt;&gt;"moeda")*(Inputs!$G$5:$G$140&lt;&gt;"acoes")))*INDEX(Inputs!$K$5:$AJ$140,0,MATCH(D$2,Inputs!$K$4:$AJ$4,0)))))</f>
        <v>662</v>
      </c>
      <c r="E56" s="262">
        <f>IF(ISNA(MATCH(E$2,Inputs!$K$4:$AJ$4,0)),NA(),IF(SUMPRODUCT((Inputs!$A$5:$A$140=$B56)*ISNUMBER(INDEX(Inputs!$K$5:$AJ$140,0,MATCH(E$2,Inputs!$K$4:$AJ$4,0))))+SUMPRODUCT((Inputs!$C$5:$C$140=$B56)*ISNUMBER(INDEX(Inputs!$K$5:$AJ$140,0,MATCH(E$2,Inputs!$K$4:$AJ$4,0))))+SUMPRODUCT((Inputs!$E$5:$E$140=$B56)*ISNUMBER(INDEX(Inputs!$K$5:$AJ$140,0,MATCH(E$2,Inputs!$K$4:$AJ$4,0))))=0,NA(),SUMPRODUCT((Inputs!$A$5:$A$140=$B56)*Inputs!$B$5:$B$140*(((Inputs!$G$5:$G$140="moeda")+(Inputs!$G$5:$G$140="acoes"))*Inputs!$B$1+((Inputs!$G$5:$G$140&lt;&gt;"moeda")*(Inputs!$G$5:$G$140&lt;&gt;"acoes")))*INDEX(Inputs!$K$5:$AJ$140,0,MATCH(E$2,Inputs!$K$4:$AJ$4,0)))+SUMPRODUCT((Inputs!$C$5:$C$140=$B56)*Inputs!$D$5:$D$140*(((Inputs!$G$5:$G$140="moeda")+(Inputs!$G$5:$G$140="acoes"))*Inputs!$B$1+((Inputs!$G$5:$G$140&lt;&gt;"moeda")*(Inputs!$G$5:$G$140&lt;&gt;"acoes")))*INDEX(Inputs!$K$5:$AJ$140,0,MATCH(E$2,Inputs!$K$4:$AJ$4,0)))+SUMPRODUCT((Inputs!$E$5:$E$140=$B56)*Inputs!$F$5:$F$140*(((Inputs!$G$5:$G$140="moeda")+(Inputs!$G$5:$G$140="acoes"))*Inputs!$B$1+((Inputs!$G$5:$G$140&lt;&gt;"moeda")*(Inputs!$G$5:$G$140&lt;&gt;"acoes")))*INDEX(Inputs!$K$5:$AJ$140,0,MATCH(E$2,Inputs!$K$4:$AJ$4,0)))))</f>
        <v>741</v>
      </c>
      <c r="F56" s="262">
        <f>IF(ISNA(MATCH(F$2,Inputs!$K$4:$AJ$4,0)),NA(),IF(SUMPRODUCT((Inputs!$A$5:$A$140=$B56)*ISNUMBER(INDEX(Inputs!$K$5:$AJ$140,0,MATCH(F$2,Inputs!$K$4:$AJ$4,0))))+SUMPRODUCT((Inputs!$C$5:$C$140=$B56)*ISNUMBER(INDEX(Inputs!$K$5:$AJ$140,0,MATCH(F$2,Inputs!$K$4:$AJ$4,0))))+SUMPRODUCT((Inputs!$E$5:$E$140=$B56)*ISNUMBER(INDEX(Inputs!$K$5:$AJ$140,0,MATCH(F$2,Inputs!$K$4:$AJ$4,0))))=0,NA(),SUMPRODUCT((Inputs!$A$5:$A$140=$B56)*Inputs!$B$5:$B$140*(((Inputs!$G$5:$G$140="moeda")+(Inputs!$G$5:$G$140="acoes"))*Inputs!$B$1+((Inputs!$G$5:$G$140&lt;&gt;"moeda")*(Inputs!$G$5:$G$140&lt;&gt;"acoes")))*INDEX(Inputs!$K$5:$AJ$140,0,MATCH(F$2,Inputs!$K$4:$AJ$4,0)))+SUMPRODUCT((Inputs!$C$5:$C$140=$B56)*Inputs!$D$5:$D$140*(((Inputs!$G$5:$G$140="moeda")+(Inputs!$G$5:$G$140="acoes"))*Inputs!$B$1+((Inputs!$G$5:$G$140&lt;&gt;"moeda")*(Inputs!$G$5:$G$140&lt;&gt;"acoes")))*INDEX(Inputs!$K$5:$AJ$140,0,MATCH(F$2,Inputs!$K$4:$AJ$4,0)))+SUMPRODUCT((Inputs!$E$5:$E$140=$B56)*Inputs!$F$5:$F$140*(((Inputs!$G$5:$G$140="moeda")+(Inputs!$G$5:$G$140="acoes"))*Inputs!$B$1+((Inputs!$G$5:$G$140&lt;&gt;"moeda")*(Inputs!$G$5:$G$140&lt;&gt;"acoes")))*INDEX(Inputs!$K$5:$AJ$140,0,MATCH(F$2,Inputs!$K$4:$AJ$4,0)))))</f>
        <v>804</v>
      </c>
      <c r="G56" s="262">
        <f>IF(ISNA(MATCH(G$2,Inputs!$K$4:$AJ$4,0)),NA(),IF(SUMPRODUCT((Inputs!$A$5:$A$140=$B56)*ISNUMBER(INDEX(Inputs!$K$5:$AJ$140,0,MATCH(G$2,Inputs!$K$4:$AJ$4,0))))+SUMPRODUCT((Inputs!$C$5:$C$140=$B56)*ISNUMBER(INDEX(Inputs!$K$5:$AJ$140,0,MATCH(G$2,Inputs!$K$4:$AJ$4,0))))+SUMPRODUCT((Inputs!$E$5:$E$140=$B56)*ISNUMBER(INDEX(Inputs!$K$5:$AJ$140,0,MATCH(G$2,Inputs!$K$4:$AJ$4,0))))=0,NA(),SUMPRODUCT((Inputs!$A$5:$A$140=$B56)*Inputs!$B$5:$B$140*(((Inputs!$G$5:$G$140="moeda")+(Inputs!$G$5:$G$140="acoes"))*Inputs!$B$1+((Inputs!$G$5:$G$140&lt;&gt;"moeda")*(Inputs!$G$5:$G$140&lt;&gt;"acoes")))*INDEX(Inputs!$K$5:$AJ$140,0,MATCH(G$2,Inputs!$K$4:$AJ$4,0)))+SUMPRODUCT((Inputs!$C$5:$C$140=$B56)*Inputs!$D$5:$D$140*(((Inputs!$G$5:$G$140="moeda")+(Inputs!$G$5:$G$140="acoes"))*Inputs!$B$1+((Inputs!$G$5:$G$140&lt;&gt;"moeda")*(Inputs!$G$5:$G$140&lt;&gt;"acoes")))*INDEX(Inputs!$K$5:$AJ$140,0,MATCH(G$2,Inputs!$K$4:$AJ$4,0)))+SUMPRODUCT((Inputs!$E$5:$E$140=$B56)*Inputs!$F$5:$F$140*(((Inputs!$G$5:$G$140="moeda")+(Inputs!$G$5:$G$140="acoes"))*Inputs!$B$1+((Inputs!$G$5:$G$140&lt;&gt;"moeda")*(Inputs!$G$5:$G$140&lt;&gt;"acoes")))*INDEX(Inputs!$K$5:$AJ$140,0,MATCH(G$2,Inputs!$K$4:$AJ$4,0)))))</f>
        <v>813</v>
      </c>
      <c r="H56" s="263">
        <f>SUM(D56:G56)</f>
        <v>3020</v>
      </c>
      <c r="I56" s="262">
        <f>IF(ISNA(MATCH(I$2,Inputs!$K$4:$AJ$4,0)),NA(),IF(SUMPRODUCT((Inputs!$A$5:$A$140=$B56)*ISNUMBER(INDEX(Inputs!$K$5:$AJ$140,0,MATCH(I$2,Inputs!$K$4:$AJ$4,0))))+SUMPRODUCT((Inputs!$C$5:$C$140=$B56)*ISNUMBER(INDEX(Inputs!$K$5:$AJ$140,0,MATCH(I$2,Inputs!$K$4:$AJ$4,0))))+SUMPRODUCT((Inputs!$E$5:$E$140=$B56)*ISNUMBER(INDEX(Inputs!$K$5:$AJ$140,0,MATCH(I$2,Inputs!$K$4:$AJ$4,0))))=0,NA(),SUMPRODUCT((Inputs!$A$5:$A$140=$B56)*Inputs!$B$5:$B$140*(((Inputs!$G$5:$G$140="moeda")+(Inputs!$G$5:$G$140="acoes"))*Inputs!$B$1+((Inputs!$G$5:$G$140&lt;&gt;"moeda")*(Inputs!$G$5:$G$140&lt;&gt;"acoes")))*INDEX(Inputs!$K$5:$AJ$140,0,MATCH(I$2,Inputs!$K$4:$AJ$4,0)))+SUMPRODUCT((Inputs!$C$5:$C$140=$B56)*Inputs!$D$5:$D$140*(((Inputs!$G$5:$G$140="moeda")+(Inputs!$G$5:$G$140="acoes"))*Inputs!$B$1+((Inputs!$G$5:$G$140&lt;&gt;"moeda")*(Inputs!$G$5:$G$140&lt;&gt;"acoes")))*INDEX(Inputs!$K$5:$AJ$140,0,MATCH(I$2,Inputs!$K$4:$AJ$4,0)))+SUMPRODUCT((Inputs!$E$5:$E$140=$B56)*Inputs!$F$5:$F$140*(((Inputs!$G$5:$G$140="moeda")+(Inputs!$G$5:$G$140="acoes"))*Inputs!$B$1+((Inputs!$G$5:$G$140&lt;&gt;"moeda")*(Inputs!$G$5:$G$140&lt;&gt;"acoes")))*INDEX(Inputs!$K$5:$AJ$140,0,MATCH(I$2,Inputs!$K$4:$AJ$4,0)))))</f>
        <v>928</v>
      </c>
      <c r="J56" s="262">
        <f>IF(ISNA(MATCH(J$2,Inputs!$K$4:$AJ$4,0)),NA(),IF(SUMPRODUCT((Inputs!$A$5:$A$140=$B56)*ISNUMBER(INDEX(Inputs!$K$5:$AJ$140,0,MATCH(J$2,Inputs!$K$4:$AJ$4,0))))+SUMPRODUCT((Inputs!$C$5:$C$140=$B56)*ISNUMBER(INDEX(Inputs!$K$5:$AJ$140,0,MATCH(J$2,Inputs!$K$4:$AJ$4,0))))+SUMPRODUCT((Inputs!$E$5:$E$140=$B56)*ISNUMBER(INDEX(Inputs!$K$5:$AJ$140,0,MATCH(J$2,Inputs!$K$4:$AJ$4,0))))=0,NA(),SUMPRODUCT((Inputs!$A$5:$A$140=$B56)*Inputs!$B$5:$B$140*(((Inputs!$G$5:$G$140="moeda")+(Inputs!$G$5:$G$140="acoes"))*Inputs!$B$1+((Inputs!$G$5:$G$140&lt;&gt;"moeda")*(Inputs!$G$5:$G$140&lt;&gt;"acoes")))*INDEX(Inputs!$K$5:$AJ$140,0,MATCH(J$2,Inputs!$K$4:$AJ$4,0)))+SUMPRODUCT((Inputs!$C$5:$C$140=$B56)*Inputs!$D$5:$D$140*(((Inputs!$G$5:$G$140="moeda")+(Inputs!$G$5:$G$140="acoes"))*Inputs!$B$1+((Inputs!$G$5:$G$140&lt;&gt;"moeda")*(Inputs!$G$5:$G$140&lt;&gt;"acoes")))*INDEX(Inputs!$K$5:$AJ$140,0,MATCH(J$2,Inputs!$K$4:$AJ$4,0)))+SUMPRODUCT((Inputs!$E$5:$E$140=$B56)*Inputs!$F$5:$F$140*(((Inputs!$G$5:$G$140="moeda")+(Inputs!$G$5:$G$140="acoes"))*Inputs!$B$1+((Inputs!$G$5:$G$140&lt;&gt;"moeda")*(Inputs!$G$5:$G$140&lt;&gt;"acoes")))*INDEX(Inputs!$K$5:$AJ$140,0,MATCH(J$2,Inputs!$K$4:$AJ$4,0)))))</f>
        <v>997</v>
      </c>
      <c r="K56" s="262">
        <f>IF(ISNA(MATCH(K$2,Inputs!$K$4:$AJ$4,0)),NA(),IF(SUMPRODUCT((Inputs!$A$5:$A$140=$B56)*ISNUMBER(INDEX(Inputs!$K$5:$AJ$140,0,MATCH(K$2,Inputs!$K$4:$AJ$4,0))))+SUMPRODUCT((Inputs!$C$5:$C$140=$B56)*ISNUMBER(INDEX(Inputs!$K$5:$AJ$140,0,MATCH(K$2,Inputs!$K$4:$AJ$4,0))))+SUMPRODUCT((Inputs!$E$5:$E$140=$B56)*ISNUMBER(INDEX(Inputs!$K$5:$AJ$140,0,MATCH(K$2,Inputs!$K$4:$AJ$4,0))))=0,NA(),SUMPRODUCT((Inputs!$A$5:$A$140=$B56)*Inputs!$B$5:$B$140*(((Inputs!$G$5:$G$140="moeda")+(Inputs!$G$5:$G$140="acoes"))*Inputs!$B$1+((Inputs!$G$5:$G$140&lt;&gt;"moeda")*(Inputs!$G$5:$G$140&lt;&gt;"acoes")))*INDEX(Inputs!$K$5:$AJ$140,0,MATCH(K$2,Inputs!$K$4:$AJ$4,0)))+SUMPRODUCT((Inputs!$C$5:$C$140=$B56)*Inputs!$D$5:$D$140*(((Inputs!$G$5:$G$140="moeda")+(Inputs!$G$5:$G$140="acoes"))*Inputs!$B$1+((Inputs!$G$5:$G$140&lt;&gt;"moeda")*(Inputs!$G$5:$G$140&lt;&gt;"acoes")))*INDEX(Inputs!$K$5:$AJ$140,0,MATCH(K$2,Inputs!$K$4:$AJ$4,0)))+SUMPRODUCT((Inputs!$E$5:$E$140=$B56)*Inputs!$F$5:$F$140*(((Inputs!$G$5:$G$140="moeda")+(Inputs!$G$5:$G$140="acoes"))*Inputs!$B$1+((Inputs!$G$5:$G$140&lt;&gt;"moeda")*(Inputs!$G$5:$G$140&lt;&gt;"acoes")))*INDEX(Inputs!$K$5:$AJ$140,0,MATCH(K$2,Inputs!$K$4:$AJ$4,0)))))</f>
        <v>1069</v>
      </c>
      <c r="L56" s="262">
        <f>IF(ISNA(MATCH(L$2,Inputs!$K$4:$AJ$4,0)),NA(),IF(SUMPRODUCT((Inputs!$A$5:$A$140=$B56)*ISNUMBER(INDEX(Inputs!$K$5:$AJ$140,0,MATCH(L$2,Inputs!$K$4:$AJ$4,0))))+SUMPRODUCT((Inputs!$C$5:$C$140=$B56)*ISNUMBER(INDEX(Inputs!$K$5:$AJ$140,0,MATCH(L$2,Inputs!$K$4:$AJ$4,0))))+SUMPRODUCT((Inputs!$E$5:$E$140=$B56)*ISNUMBER(INDEX(Inputs!$K$5:$AJ$140,0,MATCH(L$2,Inputs!$K$4:$AJ$4,0))))=0,NA(),SUMPRODUCT((Inputs!$A$5:$A$140=$B56)*Inputs!$B$5:$B$140*(((Inputs!$G$5:$G$140="moeda")+(Inputs!$G$5:$G$140="acoes"))*Inputs!$B$1+((Inputs!$G$5:$G$140&lt;&gt;"moeda")*(Inputs!$G$5:$G$140&lt;&gt;"acoes")))*INDEX(Inputs!$K$5:$AJ$140,0,MATCH(L$2,Inputs!$K$4:$AJ$4,0)))+SUMPRODUCT((Inputs!$C$5:$C$140=$B56)*Inputs!$D$5:$D$140*(((Inputs!$G$5:$G$140="moeda")+(Inputs!$G$5:$G$140="acoes"))*Inputs!$B$1+((Inputs!$G$5:$G$140&lt;&gt;"moeda")*(Inputs!$G$5:$G$140&lt;&gt;"acoes")))*INDEX(Inputs!$K$5:$AJ$140,0,MATCH(L$2,Inputs!$K$4:$AJ$4,0)))+SUMPRODUCT((Inputs!$E$5:$E$140=$B56)*Inputs!$F$5:$F$140*(((Inputs!$G$5:$G$140="moeda")+(Inputs!$G$5:$G$140="acoes"))*Inputs!$B$1+((Inputs!$G$5:$G$140&lt;&gt;"moeda")*(Inputs!$G$5:$G$140&lt;&gt;"acoes")))*INDEX(Inputs!$K$5:$AJ$140,0,MATCH(L$2,Inputs!$K$4:$AJ$4,0)))))</f>
        <v>1079</v>
      </c>
      <c r="M56" s="263">
        <f>SUM(I56:L56)</f>
        <v>4073</v>
      </c>
      <c r="N56" s="262">
        <f>IF(ISNA(MATCH(N$2,Inputs!$K$4:$AJ$4,0)),NA(),IF(SUMPRODUCT((Inputs!$A$5:$A$140=$B56)*ISNUMBER(INDEX(Inputs!$K$5:$AJ$140,0,MATCH(N$2,Inputs!$K$4:$AJ$4,0))))+SUMPRODUCT((Inputs!$C$5:$C$140=$B56)*ISNUMBER(INDEX(Inputs!$K$5:$AJ$140,0,MATCH(N$2,Inputs!$K$4:$AJ$4,0))))+SUMPRODUCT((Inputs!$E$5:$E$140=$B56)*ISNUMBER(INDEX(Inputs!$K$5:$AJ$140,0,MATCH(N$2,Inputs!$K$4:$AJ$4,0))))=0,NA(),SUMPRODUCT((Inputs!$A$5:$A$140=$B56)*Inputs!$B$5:$B$140*(((Inputs!$G$5:$G$140="moeda")+(Inputs!$G$5:$G$140="acoes"))*Inputs!$B$1+((Inputs!$G$5:$G$140&lt;&gt;"moeda")*(Inputs!$G$5:$G$140&lt;&gt;"acoes")))*INDEX(Inputs!$K$5:$AJ$140,0,MATCH(N$2,Inputs!$K$4:$AJ$4,0)))+SUMPRODUCT((Inputs!$C$5:$C$140=$B56)*Inputs!$D$5:$D$140*(((Inputs!$G$5:$G$140="moeda")+(Inputs!$G$5:$G$140="acoes"))*Inputs!$B$1+((Inputs!$G$5:$G$140&lt;&gt;"moeda")*(Inputs!$G$5:$G$140&lt;&gt;"acoes")))*INDEX(Inputs!$K$5:$AJ$140,0,MATCH(N$2,Inputs!$K$4:$AJ$4,0)))+SUMPRODUCT((Inputs!$E$5:$E$140=$B56)*Inputs!$F$5:$F$140*(((Inputs!$G$5:$G$140="moeda")+(Inputs!$G$5:$G$140="acoes"))*Inputs!$B$1+((Inputs!$G$5:$G$140&lt;&gt;"moeda")*(Inputs!$G$5:$G$140&lt;&gt;"acoes")))*INDEX(Inputs!$K$5:$AJ$140,0,MATCH(N$2,Inputs!$K$4:$AJ$4,0)))))</f>
        <v>1078</v>
      </c>
      <c r="O56" s="262">
        <f>IF(ISNA(MATCH(O$2,Inputs!$K$4:$AJ$4,0)),NA(),IF(SUMPRODUCT((Inputs!$A$5:$A$140=$B56)*ISNUMBER(INDEX(Inputs!$K$5:$AJ$140,0,MATCH(O$2,Inputs!$K$4:$AJ$4,0))))+SUMPRODUCT((Inputs!$C$5:$C$140=$B56)*ISNUMBER(INDEX(Inputs!$K$5:$AJ$140,0,MATCH(O$2,Inputs!$K$4:$AJ$4,0))))+SUMPRODUCT((Inputs!$E$5:$E$140=$B56)*ISNUMBER(INDEX(Inputs!$K$5:$AJ$140,0,MATCH(O$2,Inputs!$K$4:$AJ$4,0))))=0,NA(),SUMPRODUCT((Inputs!$A$5:$A$140=$B56)*Inputs!$B$5:$B$140*(((Inputs!$G$5:$G$140="moeda")+(Inputs!$G$5:$G$140="acoes"))*Inputs!$B$1+((Inputs!$G$5:$G$140&lt;&gt;"moeda")*(Inputs!$G$5:$G$140&lt;&gt;"acoes")))*INDEX(Inputs!$K$5:$AJ$140,0,MATCH(O$2,Inputs!$K$4:$AJ$4,0)))+SUMPRODUCT((Inputs!$C$5:$C$140=$B56)*Inputs!$D$5:$D$140*(((Inputs!$G$5:$G$140="moeda")+(Inputs!$G$5:$G$140="acoes"))*Inputs!$B$1+((Inputs!$G$5:$G$140&lt;&gt;"moeda")*(Inputs!$G$5:$G$140&lt;&gt;"acoes")))*INDEX(Inputs!$K$5:$AJ$140,0,MATCH(O$2,Inputs!$K$4:$AJ$4,0)))+SUMPRODUCT((Inputs!$E$5:$E$140=$B56)*Inputs!$F$5:$F$140*(((Inputs!$G$5:$G$140="moeda")+(Inputs!$G$5:$G$140="acoes"))*Inputs!$B$1+((Inputs!$G$5:$G$140&lt;&gt;"moeda")*(Inputs!$G$5:$G$140&lt;&gt;"acoes")))*INDEX(Inputs!$K$5:$AJ$140,0,MATCH(O$2,Inputs!$K$4:$AJ$4,0)))))</f>
        <v>1187</v>
      </c>
      <c r="P56" s="262">
        <f>IF(ISNA(MATCH(P$2,Inputs!$K$4:$AJ$4,0)),NA(),IF(SUMPRODUCT((Inputs!$A$5:$A$140=$B56)*ISNUMBER(INDEX(Inputs!$K$5:$AJ$140,0,MATCH(P$2,Inputs!$K$4:$AJ$4,0))))+SUMPRODUCT((Inputs!$C$5:$C$140=$B56)*ISNUMBER(INDEX(Inputs!$K$5:$AJ$140,0,MATCH(P$2,Inputs!$K$4:$AJ$4,0))))+SUMPRODUCT((Inputs!$E$5:$E$140=$B56)*ISNUMBER(INDEX(Inputs!$K$5:$AJ$140,0,MATCH(P$2,Inputs!$K$4:$AJ$4,0))))=0,NA(),SUMPRODUCT((Inputs!$A$5:$A$140=$B56)*Inputs!$B$5:$B$140*(((Inputs!$G$5:$G$140="moeda")+(Inputs!$G$5:$G$140="acoes"))*Inputs!$B$1+((Inputs!$G$5:$G$140&lt;&gt;"moeda")*(Inputs!$G$5:$G$140&lt;&gt;"acoes")))*INDEX(Inputs!$K$5:$AJ$140,0,MATCH(P$2,Inputs!$K$4:$AJ$4,0)))+SUMPRODUCT((Inputs!$C$5:$C$140=$B56)*Inputs!$D$5:$D$140*(((Inputs!$G$5:$G$140="moeda")+(Inputs!$G$5:$G$140="acoes"))*Inputs!$B$1+((Inputs!$G$5:$G$140&lt;&gt;"moeda")*(Inputs!$G$5:$G$140&lt;&gt;"acoes")))*INDEX(Inputs!$K$5:$AJ$140,0,MATCH(P$2,Inputs!$K$4:$AJ$4,0)))+SUMPRODUCT((Inputs!$E$5:$E$140=$B56)*Inputs!$F$5:$F$140*(((Inputs!$G$5:$G$140="moeda")+(Inputs!$G$5:$G$140="acoes"))*Inputs!$B$1+((Inputs!$G$5:$G$140&lt;&gt;"moeda")*(Inputs!$G$5:$G$140&lt;&gt;"acoes")))*INDEX(Inputs!$K$5:$AJ$140,0,MATCH(P$2,Inputs!$K$4:$AJ$4,0)))))</f>
        <v>1236</v>
      </c>
      <c r="Q56" s="262">
        <f>IF(ISNA(MATCH(Q$2,Inputs!$K$4:$AJ$4,0)),NA(),IF(SUMPRODUCT((Inputs!$A$5:$A$140=$B56)*ISNUMBER(INDEX(Inputs!$K$5:$AJ$140,0,MATCH(Q$2,Inputs!$K$4:$AJ$4,0))))+SUMPRODUCT((Inputs!$C$5:$C$140=$B56)*ISNUMBER(INDEX(Inputs!$K$5:$AJ$140,0,MATCH(Q$2,Inputs!$K$4:$AJ$4,0))))+SUMPRODUCT((Inputs!$E$5:$E$140=$B56)*ISNUMBER(INDEX(Inputs!$K$5:$AJ$140,0,MATCH(Q$2,Inputs!$K$4:$AJ$4,0))))=0,NA(),SUMPRODUCT((Inputs!$A$5:$A$140=$B56)*Inputs!$B$5:$B$140*(((Inputs!$G$5:$G$140="moeda")+(Inputs!$G$5:$G$140="acoes"))*Inputs!$B$1+((Inputs!$G$5:$G$140&lt;&gt;"moeda")*(Inputs!$G$5:$G$140&lt;&gt;"acoes")))*INDEX(Inputs!$K$5:$AJ$140,0,MATCH(Q$2,Inputs!$K$4:$AJ$4,0)))+SUMPRODUCT((Inputs!$C$5:$C$140=$B56)*Inputs!$D$5:$D$140*(((Inputs!$G$5:$G$140="moeda")+(Inputs!$G$5:$G$140="acoes"))*Inputs!$B$1+((Inputs!$G$5:$G$140&lt;&gt;"moeda")*(Inputs!$G$5:$G$140&lt;&gt;"acoes")))*INDEX(Inputs!$K$5:$AJ$140,0,MATCH(Q$2,Inputs!$K$4:$AJ$4,0)))+SUMPRODUCT((Inputs!$E$5:$E$140=$B56)*Inputs!$F$5:$F$140*(((Inputs!$G$5:$G$140="moeda")+(Inputs!$G$5:$G$140="acoes"))*Inputs!$B$1+((Inputs!$G$5:$G$140&lt;&gt;"moeda")*(Inputs!$G$5:$G$140&lt;&gt;"acoes")))*INDEX(Inputs!$K$5:$AJ$140,0,MATCH(Q$2,Inputs!$K$4:$AJ$4,0)))))</f>
        <v>1400</v>
      </c>
      <c r="R56" s="263">
        <f>SUM(N56:Q56)</f>
        <v>4901</v>
      </c>
      <c r="S56" s="262">
        <f>IF(ISNA(MATCH(S$2,Inputs!$K$4:$AJ$4,0)),NA(),IF(SUMPRODUCT((Inputs!$A$5:$A$140=$B56)*ISNUMBER(INDEX(Inputs!$K$5:$AJ$140,0,MATCH(S$2,Inputs!$K$4:$AJ$4,0))))+SUMPRODUCT((Inputs!$C$5:$C$140=$B56)*ISNUMBER(INDEX(Inputs!$K$5:$AJ$140,0,MATCH(S$2,Inputs!$K$4:$AJ$4,0))))+SUMPRODUCT((Inputs!$E$5:$E$140=$B56)*ISNUMBER(INDEX(Inputs!$K$5:$AJ$140,0,MATCH(S$2,Inputs!$K$4:$AJ$4,0))))=0,NA(),SUMPRODUCT((Inputs!$A$5:$A$140=$B56)*Inputs!$B$5:$B$140*(((Inputs!$G$5:$G$140="moeda")+(Inputs!$G$5:$G$140="acoes"))*Inputs!$B$1+((Inputs!$G$5:$G$140&lt;&gt;"moeda")*(Inputs!$G$5:$G$140&lt;&gt;"acoes")))*INDEX(Inputs!$K$5:$AJ$140,0,MATCH(S$2,Inputs!$K$4:$AJ$4,0)))+SUMPRODUCT((Inputs!$C$5:$C$140=$B56)*Inputs!$D$5:$D$140*(((Inputs!$G$5:$G$140="moeda")+(Inputs!$G$5:$G$140="acoes"))*Inputs!$B$1+((Inputs!$G$5:$G$140&lt;&gt;"moeda")*(Inputs!$G$5:$G$140&lt;&gt;"acoes")))*INDEX(Inputs!$K$5:$AJ$140,0,MATCH(S$2,Inputs!$K$4:$AJ$4,0)))+SUMPRODUCT((Inputs!$E$5:$E$140=$B56)*Inputs!$F$5:$F$140*(((Inputs!$G$5:$G$140="moeda")+(Inputs!$G$5:$G$140="acoes"))*Inputs!$B$1+((Inputs!$G$5:$G$140&lt;&gt;"moeda")*(Inputs!$G$5:$G$140&lt;&gt;"acoes")))*INDEX(Inputs!$K$5:$AJ$140,0,MATCH(S$2,Inputs!$K$4:$AJ$4,0)))))</f>
        <v>1400</v>
      </c>
      <c r="T56" s="262">
        <f>IF(ISNA(MATCH(T$2,Inputs!$K$4:$AJ$4,0)),NA(),IF(SUMPRODUCT((Inputs!$A$5:$A$140=$B56)*ISNUMBER(INDEX(Inputs!$K$5:$AJ$140,0,MATCH(T$2,Inputs!$K$4:$AJ$4,0))))+SUMPRODUCT((Inputs!$C$5:$C$140=$B56)*ISNUMBER(INDEX(Inputs!$K$5:$AJ$140,0,MATCH(T$2,Inputs!$K$4:$AJ$4,0))))+SUMPRODUCT((Inputs!$E$5:$E$140=$B56)*ISNUMBER(INDEX(Inputs!$K$5:$AJ$140,0,MATCH(T$2,Inputs!$K$4:$AJ$4,0))))=0,NA(),SUMPRODUCT((Inputs!$A$5:$A$140=$B56)*Inputs!$B$5:$B$140*(((Inputs!$G$5:$G$140="moeda")+(Inputs!$G$5:$G$140="acoes"))*Inputs!$B$1+((Inputs!$G$5:$G$140&lt;&gt;"moeda")*(Inputs!$G$5:$G$140&lt;&gt;"acoes")))*INDEX(Inputs!$K$5:$AJ$140,0,MATCH(T$2,Inputs!$K$4:$AJ$4,0)))+SUMPRODUCT((Inputs!$C$5:$C$140=$B56)*Inputs!$D$5:$D$140*(((Inputs!$G$5:$G$140="moeda")+(Inputs!$G$5:$G$140="acoes"))*Inputs!$B$1+((Inputs!$G$5:$G$140&lt;&gt;"moeda")*(Inputs!$G$5:$G$140&lt;&gt;"acoes")))*INDEX(Inputs!$K$5:$AJ$140,0,MATCH(T$2,Inputs!$K$4:$AJ$4,0)))+SUMPRODUCT((Inputs!$E$5:$E$140=$B56)*Inputs!$F$5:$F$140*(((Inputs!$G$5:$G$140="moeda")+(Inputs!$G$5:$G$140="acoes"))*Inputs!$B$1+((Inputs!$G$5:$G$140&lt;&gt;"moeda")*(Inputs!$G$5:$G$140&lt;&gt;"acoes")))*INDEX(Inputs!$K$5:$AJ$140,0,MATCH(T$2,Inputs!$K$4:$AJ$4,0)))))</f>
        <v>1534</v>
      </c>
      <c r="U56" s="262">
        <f>IF(ISNA(MATCH(U$2,Inputs!$K$4:$AJ$4,0)),NA(),IF(SUMPRODUCT((Inputs!$A$5:$A$140=$B56)*ISNUMBER(INDEX(Inputs!$K$5:$AJ$140,0,MATCH(U$2,Inputs!$K$4:$AJ$4,0))))+SUMPRODUCT((Inputs!$C$5:$C$140=$B56)*ISNUMBER(INDEX(Inputs!$K$5:$AJ$140,0,MATCH(U$2,Inputs!$K$4:$AJ$4,0))))+SUMPRODUCT((Inputs!$E$5:$E$140=$B56)*ISNUMBER(INDEX(Inputs!$K$5:$AJ$140,0,MATCH(U$2,Inputs!$K$4:$AJ$4,0))))=0,NA(),SUMPRODUCT((Inputs!$A$5:$A$140=$B56)*Inputs!$B$5:$B$140*(((Inputs!$G$5:$G$140="moeda")+(Inputs!$G$5:$G$140="acoes"))*Inputs!$B$1+((Inputs!$G$5:$G$140&lt;&gt;"moeda")*(Inputs!$G$5:$G$140&lt;&gt;"acoes")))*INDEX(Inputs!$K$5:$AJ$140,0,MATCH(U$2,Inputs!$K$4:$AJ$4,0)))+SUMPRODUCT((Inputs!$C$5:$C$140=$B56)*Inputs!$D$5:$D$140*(((Inputs!$G$5:$G$140="moeda")+(Inputs!$G$5:$G$140="acoes"))*Inputs!$B$1+((Inputs!$G$5:$G$140&lt;&gt;"moeda")*(Inputs!$G$5:$G$140&lt;&gt;"acoes")))*INDEX(Inputs!$K$5:$AJ$140,0,MATCH(U$2,Inputs!$K$4:$AJ$4,0)))+SUMPRODUCT((Inputs!$E$5:$E$140=$B56)*Inputs!$F$5:$F$140*(((Inputs!$G$5:$G$140="moeda")+(Inputs!$G$5:$G$140="acoes"))*Inputs!$B$1+((Inputs!$G$5:$G$140&lt;&gt;"moeda")*(Inputs!$G$5:$G$140&lt;&gt;"acoes")))*INDEX(Inputs!$K$5:$AJ$140,0,MATCH(U$2,Inputs!$K$4:$AJ$4,0)))))</f>
        <v>1625</v>
      </c>
      <c r="V56" s="262">
        <f>IF(ISNA(MATCH(V$2,Inputs!$K$4:$AJ$4,0)),NA(),IF(SUMPRODUCT((Inputs!$A$5:$A$140=$B56)*ISNUMBER(INDEX(Inputs!$K$5:$AJ$140,0,MATCH(V$2,Inputs!$K$4:$AJ$4,0))))+SUMPRODUCT((Inputs!$C$5:$C$140=$B56)*ISNUMBER(INDEX(Inputs!$K$5:$AJ$140,0,MATCH(V$2,Inputs!$K$4:$AJ$4,0))))+SUMPRODUCT((Inputs!$E$5:$E$140=$B56)*ISNUMBER(INDEX(Inputs!$K$5:$AJ$140,0,MATCH(V$2,Inputs!$K$4:$AJ$4,0))))=0,NA(),SUMPRODUCT((Inputs!$A$5:$A$140=$B56)*Inputs!$B$5:$B$140*(((Inputs!$G$5:$G$140="moeda")+(Inputs!$G$5:$G$140="acoes"))*Inputs!$B$1+((Inputs!$G$5:$G$140&lt;&gt;"moeda")*(Inputs!$G$5:$G$140&lt;&gt;"acoes")))*INDEX(Inputs!$K$5:$AJ$140,0,MATCH(V$2,Inputs!$K$4:$AJ$4,0)))+SUMPRODUCT((Inputs!$C$5:$C$140=$B56)*Inputs!$D$5:$D$140*(((Inputs!$G$5:$G$140="moeda")+(Inputs!$G$5:$G$140="acoes"))*Inputs!$B$1+((Inputs!$G$5:$G$140&lt;&gt;"moeda")*(Inputs!$G$5:$G$140&lt;&gt;"acoes")))*INDEX(Inputs!$K$5:$AJ$140,0,MATCH(V$2,Inputs!$K$4:$AJ$4,0)))+SUMPRODUCT((Inputs!$E$5:$E$140=$B56)*Inputs!$F$5:$F$140*(((Inputs!$G$5:$G$140="moeda")+(Inputs!$G$5:$G$140="acoes"))*Inputs!$B$1+((Inputs!$G$5:$G$140&lt;&gt;"moeda")*(Inputs!$G$5:$G$140&lt;&gt;"acoes")))*INDEX(Inputs!$K$5:$AJ$140,0,MATCH(V$2,Inputs!$K$4:$AJ$4,0)))))</f>
        <v>1690</v>
      </c>
      <c r="W56" s="263">
        <f>SUM(S56:V56)</f>
        <v>6249</v>
      </c>
      <c r="X56" s="262">
        <f>IF(ISNA(MATCH(X$2,Inputs!$K$4:$AJ$4,0)),NA(),IF(SUMPRODUCT((Inputs!$A$5:$A$140=$B56)*ISNUMBER(INDEX(Inputs!$K$5:$AJ$140,0,MATCH(X$2,Inputs!$K$4:$AJ$4,0))))+SUMPRODUCT((Inputs!$C$5:$C$140=$B56)*ISNUMBER(INDEX(Inputs!$K$5:$AJ$140,0,MATCH(X$2,Inputs!$K$4:$AJ$4,0))))+SUMPRODUCT((Inputs!$E$5:$E$140=$B56)*ISNUMBER(INDEX(Inputs!$K$5:$AJ$140,0,MATCH(X$2,Inputs!$K$4:$AJ$4,0))))=0,NA(),SUMPRODUCT((Inputs!$A$5:$A$140=$B56)*Inputs!$B$5:$B$140*(((Inputs!$G$5:$G$140="moeda")+(Inputs!$G$5:$G$140="acoes"))*Inputs!$B$1+((Inputs!$G$5:$G$140&lt;&gt;"moeda")*(Inputs!$G$5:$G$140&lt;&gt;"acoes")))*INDEX(Inputs!$K$5:$AJ$140,0,MATCH(X$2,Inputs!$K$4:$AJ$4,0)))+SUMPRODUCT((Inputs!$C$5:$C$140=$B56)*Inputs!$D$5:$D$140*(((Inputs!$G$5:$G$140="moeda")+(Inputs!$G$5:$G$140="acoes"))*Inputs!$B$1+((Inputs!$G$5:$G$140&lt;&gt;"moeda")*(Inputs!$G$5:$G$140&lt;&gt;"acoes")))*INDEX(Inputs!$K$5:$AJ$140,0,MATCH(X$2,Inputs!$K$4:$AJ$4,0)))+SUMPRODUCT((Inputs!$E$5:$E$140=$B56)*Inputs!$F$5:$F$140*(((Inputs!$G$5:$G$140="moeda")+(Inputs!$G$5:$G$140="acoes"))*Inputs!$B$1+((Inputs!$G$5:$G$140&lt;&gt;"moeda")*(Inputs!$G$5:$G$140&lt;&gt;"acoes")))*INDEX(Inputs!$K$5:$AJ$140,0,MATCH(X$2,Inputs!$K$4:$AJ$4,0)))))</f>
        <v>1816</v>
      </c>
      <c r="Y56" s="262">
        <f>IF(ISNA(MATCH(Y$2,Inputs!$K$4:$AJ$4,0)),NA(),IF(SUMPRODUCT((Inputs!$A$5:$A$140=$B56)*ISNUMBER(INDEX(Inputs!$K$5:$AJ$140,0,MATCH(Y$2,Inputs!$K$4:$AJ$4,0))))+SUMPRODUCT((Inputs!$C$5:$C$140=$B56)*ISNUMBER(INDEX(Inputs!$K$5:$AJ$140,0,MATCH(Y$2,Inputs!$K$4:$AJ$4,0))))+SUMPRODUCT((Inputs!$E$5:$E$140=$B56)*ISNUMBER(INDEX(Inputs!$K$5:$AJ$140,0,MATCH(Y$2,Inputs!$K$4:$AJ$4,0))))=0,NA(),SUMPRODUCT((Inputs!$A$5:$A$140=$B56)*Inputs!$B$5:$B$140*(((Inputs!$G$5:$G$140="moeda")+(Inputs!$G$5:$G$140="acoes"))*Inputs!$B$1+((Inputs!$G$5:$G$140&lt;&gt;"moeda")*(Inputs!$G$5:$G$140&lt;&gt;"acoes")))*INDEX(Inputs!$K$5:$AJ$140,0,MATCH(Y$2,Inputs!$K$4:$AJ$4,0)))+SUMPRODUCT((Inputs!$C$5:$C$140=$B56)*Inputs!$D$5:$D$140*(((Inputs!$G$5:$G$140="moeda")+(Inputs!$G$5:$G$140="acoes"))*Inputs!$B$1+((Inputs!$G$5:$G$140&lt;&gt;"moeda")*(Inputs!$G$5:$G$140&lt;&gt;"acoes")))*INDEX(Inputs!$K$5:$AJ$140,0,MATCH(Y$2,Inputs!$K$4:$AJ$4,0)))+SUMPRODUCT((Inputs!$E$5:$E$140=$B56)*Inputs!$F$5:$F$140*(((Inputs!$G$5:$G$140="moeda")+(Inputs!$G$5:$G$140="acoes"))*Inputs!$B$1+((Inputs!$G$5:$G$140&lt;&gt;"moeda")*(Inputs!$G$5:$G$140&lt;&gt;"acoes")))*INDEX(Inputs!$K$5:$AJ$140,0,MATCH(Y$2,Inputs!$K$4:$AJ$4,0)))))</f>
        <v>1986</v>
      </c>
      <c r="Z56" s="262">
        <f>IF(ISNA(MATCH(Z$2,Inputs!$K$4:$AJ$4,0)),NA(),IF(SUMPRODUCT((Inputs!$A$5:$A$140=$B56)*ISNUMBER(INDEX(Inputs!$K$5:$AJ$140,0,MATCH(Z$2,Inputs!$K$4:$AJ$4,0))))+SUMPRODUCT((Inputs!$C$5:$C$140=$B56)*ISNUMBER(INDEX(Inputs!$K$5:$AJ$140,0,MATCH(Z$2,Inputs!$K$4:$AJ$4,0))))+SUMPRODUCT((Inputs!$E$5:$E$140=$B56)*ISNUMBER(INDEX(Inputs!$K$5:$AJ$140,0,MATCH(Z$2,Inputs!$K$4:$AJ$4,0))))=0,NA(),SUMPRODUCT((Inputs!$A$5:$A$140=$B56)*Inputs!$B$5:$B$140*(((Inputs!$G$5:$G$140="moeda")+(Inputs!$G$5:$G$140="acoes"))*Inputs!$B$1+((Inputs!$G$5:$G$140&lt;&gt;"moeda")*(Inputs!$G$5:$G$140&lt;&gt;"acoes")))*INDEX(Inputs!$K$5:$AJ$140,0,MATCH(Z$2,Inputs!$K$4:$AJ$4,0)))+SUMPRODUCT((Inputs!$C$5:$C$140=$B56)*Inputs!$D$5:$D$140*(((Inputs!$G$5:$G$140="moeda")+(Inputs!$G$5:$G$140="acoes"))*Inputs!$B$1+((Inputs!$G$5:$G$140&lt;&gt;"moeda")*(Inputs!$G$5:$G$140&lt;&gt;"acoes")))*INDEX(Inputs!$K$5:$AJ$140,0,MATCH(Z$2,Inputs!$K$4:$AJ$4,0)))+SUMPRODUCT((Inputs!$E$5:$E$140=$B56)*Inputs!$F$5:$F$140*(((Inputs!$G$5:$G$140="moeda")+(Inputs!$G$5:$G$140="acoes"))*Inputs!$B$1+((Inputs!$G$5:$G$140&lt;&gt;"moeda")*(Inputs!$G$5:$G$140&lt;&gt;"acoes")))*INDEX(Inputs!$K$5:$AJ$140,0,MATCH(Z$2,Inputs!$K$4:$AJ$4,0)))))</f>
        <v>2060</v>
      </c>
      <c r="AA56" s="262">
        <f>IF(ISNA(MATCH(AA$2,Inputs!$K$4:$AJ$4,0)),NA(),IF(SUMPRODUCT((Inputs!$A$5:$A$140=$B56)*ISNUMBER(INDEX(Inputs!$K$5:$AJ$140,0,MATCH(AA$2,Inputs!$K$4:$AJ$4,0))))+SUMPRODUCT((Inputs!$C$5:$C$140=$B56)*ISNUMBER(INDEX(Inputs!$K$5:$AJ$140,0,MATCH(AA$2,Inputs!$K$4:$AJ$4,0))))+SUMPRODUCT((Inputs!$E$5:$E$140=$B56)*ISNUMBER(INDEX(Inputs!$K$5:$AJ$140,0,MATCH(AA$2,Inputs!$K$4:$AJ$4,0))))=0,NA(),SUMPRODUCT((Inputs!$A$5:$A$140=$B56)*Inputs!$B$5:$B$140*(((Inputs!$G$5:$G$140="moeda")+(Inputs!$G$5:$G$140="acoes"))*Inputs!$B$1+((Inputs!$G$5:$G$140&lt;&gt;"moeda")*(Inputs!$G$5:$G$140&lt;&gt;"acoes")))*INDEX(Inputs!$K$5:$AJ$140,0,MATCH(AA$2,Inputs!$K$4:$AJ$4,0)))+SUMPRODUCT((Inputs!$C$5:$C$140=$B56)*Inputs!$D$5:$D$140*(((Inputs!$G$5:$G$140="moeda")+(Inputs!$G$5:$G$140="acoes"))*Inputs!$B$1+((Inputs!$G$5:$G$140&lt;&gt;"moeda")*(Inputs!$G$5:$G$140&lt;&gt;"acoes")))*INDEX(Inputs!$K$5:$AJ$140,0,MATCH(AA$2,Inputs!$K$4:$AJ$4,0)))+SUMPRODUCT((Inputs!$E$5:$E$140=$B56)*Inputs!$F$5:$F$140*(((Inputs!$G$5:$G$140="moeda")+(Inputs!$G$5:$G$140="acoes"))*Inputs!$B$1+((Inputs!$G$5:$G$140&lt;&gt;"moeda")*(Inputs!$G$5:$G$140&lt;&gt;"acoes")))*INDEX(Inputs!$K$5:$AJ$140,0,MATCH(AA$2,Inputs!$K$4:$AJ$4,0)))))</f>
        <v>2052</v>
      </c>
      <c r="AB56" s="263">
        <f>SUM(X56:AA56)</f>
        <v>7914</v>
      </c>
      <c r="AC56" s="262" t="e">
        <f>IF(ISNA(MATCH(AC$2,Inputs!$K$4:$AJ$4,0)),NA(),IF(SUMPRODUCT((Inputs!$A$5:$A$140=$B56)*ISNUMBER(INDEX(Inputs!$K$5:$AJ$140,0,MATCH(AC$2,Inputs!$K$4:$AJ$4,0))))+SUMPRODUCT((Inputs!$C$5:$C$140=$B56)*ISNUMBER(INDEX(Inputs!$K$5:$AJ$140,0,MATCH(AC$2,Inputs!$K$4:$AJ$4,0))))+SUMPRODUCT((Inputs!$E$5:$E$140=$B56)*ISNUMBER(INDEX(Inputs!$K$5:$AJ$140,0,MATCH(AC$2,Inputs!$K$4:$AJ$4,0))))=0,NA(),SUMPRODUCT((Inputs!$A$5:$A$140=$B56)*Inputs!$B$5:$B$140*(((Inputs!$G$5:$G$140="moeda")+(Inputs!$G$5:$G$140="acoes"))*Inputs!$B$1+((Inputs!$G$5:$G$140&lt;&gt;"moeda")*(Inputs!$G$5:$G$140&lt;&gt;"acoes")))*INDEX(Inputs!$K$5:$AJ$140,0,MATCH(AC$2,Inputs!$K$4:$AJ$4,0)))+SUMPRODUCT((Inputs!$C$5:$C$140=$B56)*Inputs!$D$5:$D$140*(((Inputs!$G$5:$G$140="moeda")+(Inputs!$G$5:$G$140="acoes"))*Inputs!$B$1+((Inputs!$G$5:$G$140&lt;&gt;"moeda")*(Inputs!$G$5:$G$140&lt;&gt;"acoes")))*INDEX(Inputs!$K$5:$AJ$140,0,MATCH(AC$2,Inputs!$K$4:$AJ$4,0)))+SUMPRODUCT((Inputs!$E$5:$E$140=$B56)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56" s="262" t="e">
        <f>IF(ISNA(MATCH(AD$2,Inputs!$K$4:$AJ$4,0)),NA(),IF(SUMPRODUCT((Inputs!$A$5:$A$140=$B56)*ISNUMBER(INDEX(Inputs!$K$5:$AJ$140,0,MATCH(AD$2,Inputs!$K$4:$AJ$4,0))))+SUMPRODUCT((Inputs!$C$5:$C$140=$B56)*ISNUMBER(INDEX(Inputs!$K$5:$AJ$140,0,MATCH(AD$2,Inputs!$K$4:$AJ$4,0))))+SUMPRODUCT((Inputs!$E$5:$E$140=$B56)*ISNUMBER(INDEX(Inputs!$K$5:$AJ$140,0,MATCH(AD$2,Inputs!$K$4:$AJ$4,0))))=0,NA(),SUMPRODUCT((Inputs!$A$5:$A$140=$B56)*Inputs!$B$5:$B$140*(((Inputs!$G$5:$G$140="moeda")+(Inputs!$G$5:$G$140="acoes"))*Inputs!$B$1+((Inputs!$G$5:$G$140&lt;&gt;"moeda")*(Inputs!$G$5:$G$140&lt;&gt;"acoes")))*INDEX(Inputs!$K$5:$AJ$140,0,MATCH(AD$2,Inputs!$K$4:$AJ$4,0)))+SUMPRODUCT((Inputs!$C$5:$C$140=$B56)*Inputs!$D$5:$D$140*(((Inputs!$G$5:$G$140="moeda")+(Inputs!$G$5:$G$140="acoes"))*Inputs!$B$1+((Inputs!$G$5:$G$140&lt;&gt;"moeda")*(Inputs!$G$5:$G$140&lt;&gt;"acoes")))*INDEX(Inputs!$K$5:$AJ$140,0,MATCH(AD$2,Inputs!$K$4:$AJ$4,0)))+SUMPRODUCT((Inputs!$E$5:$E$140=$B56)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56" s="262" t="e">
        <f>IF(ISNA(MATCH(AE$2,Inputs!$K$4:$AJ$4,0)),NA(),IF(SUMPRODUCT((Inputs!$A$5:$A$140=$B56)*ISNUMBER(INDEX(Inputs!$K$5:$AJ$140,0,MATCH(AE$2,Inputs!$K$4:$AJ$4,0))))+SUMPRODUCT((Inputs!$C$5:$C$140=$B56)*ISNUMBER(INDEX(Inputs!$K$5:$AJ$140,0,MATCH(AE$2,Inputs!$K$4:$AJ$4,0))))+SUMPRODUCT((Inputs!$E$5:$E$140=$B56)*ISNUMBER(INDEX(Inputs!$K$5:$AJ$140,0,MATCH(AE$2,Inputs!$K$4:$AJ$4,0))))=0,NA(),SUMPRODUCT((Inputs!$A$5:$A$140=$B56)*Inputs!$B$5:$B$140*(((Inputs!$G$5:$G$140="moeda")+(Inputs!$G$5:$G$140="acoes"))*Inputs!$B$1+((Inputs!$G$5:$G$140&lt;&gt;"moeda")*(Inputs!$G$5:$G$140&lt;&gt;"acoes")))*INDEX(Inputs!$K$5:$AJ$140,0,MATCH(AE$2,Inputs!$K$4:$AJ$4,0)))+SUMPRODUCT((Inputs!$C$5:$C$140=$B56)*Inputs!$D$5:$D$140*(((Inputs!$G$5:$G$140="moeda")+(Inputs!$G$5:$G$140="acoes"))*Inputs!$B$1+((Inputs!$G$5:$G$140&lt;&gt;"moeda")*(Inputs!$G$5:$G$140&lt;&gt;"acoes")))*INDEX(Inputs!$K$5:$AJ$140,0,MATCH(AE$2,Inputs!$K$4:$AJ$4,0)))+SUMPRODUCT((Inputs!$E$5:$E$140=$B56)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6" s="262" t="e">
        <f>IF(ISNA(MATCH(AF$2,Inputs!$K$4:$AJ$4,0)),NA(),IF(SUMPRODUCT((Inputs!$A$5:$A$140=$B56)*ISNUMBER(INDEX(Inputs!$K$5:$AJ$140,0,MATCH(AF$2,Inputs!$K$4:$AJ$4,0))))+SUMPRODUCT((Inputs!$C$5:$C$140=$B56)*ISNUMBER(INDEX(Inputs!$K$5:$AJ$140,0,MATCH(AF$2,Inputs!$K$4:$AJ$4,0))))+SUMPRODUCT((Inputs!$E$5:$E$140=$B56)*ISNUMBER(INDEX(Inputs!$K$5:$AJ$140,0,MATCH(AF$2,Inputs!$K$4:$AJ$4,0))))=0,NA(),SUMPRODUCT((Inputs!$A$5:$A$140=$B56)*Inputs!$B$5:$B$140*(((Inputs!$G$5:$G$140="moeda")+(Inputs!$G$5:$G$140="acoes"))*Inputs!$B$1+((Inputs!$G$5:$G$140&lt;&gt;"moeda")*(Inputs!$G$5:$G$140&lt;&gt;"acoes")))*INDEX(Inputs!$K$5:$AJ$140,0,MATCH(AF$2,Inputs!$K$4:$AJ$4,0)))+SUMPRODUCT((Inputs!$C$5:$C$140=$B56)*Inputs!$D$5:$D$140*(((Inputs!$G$5:$G$140="moeda")+(Inputs!$G$5:$G$140="acoes"))*Inputs!$B$1+((Inputs!$G$5:$G$140&lt;&gt;"moeda")*(Inputs!$G$5:$G$140&lt;&gt;"acoes")))*INDEX(Inputs!$K$5:$AJ$140,0,MATCH(AF$2,Inputs!$K$4:$AJ$4,0)))+SUMPRODUCT((Inputs!$E$5:$E$140=$B56)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6" s="263" t="e">
        <f>SUM(AC56:AF56)</f>
        <v>#N/A</v>
      </c>
      <c r="AH56" s="262">
        <f>IF(ISNA(MATCH(AH$2,Inputs!$K$4:$AJ$4,0)),NA(),IF(SUMPRODUCT((Inputs!$A$5:$A$140=$B56)*ISNUMBER(INDEX(Inputs!$K$5:$AJ$140,0,MATCH(AH$2,Inputs!$K$4:$AJ$4,0))))+SUMPRODUCT((Inputs!$C$5:$C$140=$B56)*ISNUMBER(INDEX(Inputs!$K$5:$AJ$140,0,MATCH(AH$2,Inputs!$K$4:$AJ$4,0))))+SUMPRODUCT((Inputs!$E$5:$E$140=$B56)*ISNUMBER(INDEX(Inputs!$K$5:$AJ$140,0,MATCH(AH$2,Inputs!$K$4:$AJ$4,0))))=0,NA(),SUMPRODUCT((Inputs!$A$5:$A$140=$B56)*Inputs!$B$5:$B$140*(((Inputs!$G$5:$G$140="moeda")+(Inputs!$G$5:$G$140="acoes"))*Inputs!$B$1+((Inputs!$G$5:$G$140&lt;&gt;"moeda")*(Inputs!$G$5:$G$140&lt;&gt;"acoes")))*INDEX(Inputs!$K$5:$AJ$140,0,MATCH(AH$2,Inputs!$K$4:$AJ$4,0)))+SUMPRODUCT((Inputs!$C$5:$C$140=$B56)*Inputs!$D$5:$D$140*(((Inputs!$G$5:$G$140="moeda")+(Inputs!$G$5:$G$140="acoes"))*Inputs!$B$1+((Inputs!$G$5:$G$140&lt;&gt;"moeda")*(Inputs!$G$5:$G$140&lt;&gt;"acoes")))*INDEX(Inputs!$K$5:$AJ$140,0,MATCH(AH$2,Inputs!$K$4:$AJ$4,0)))+SUMPRODUCT((Inputs!$E$5:$E$140=$B56)*Inputs!$F$5:$F$140*(((Inputs!$G$5:$G$140="moeda")+(Inputs!$G$5:$G$140="acoes"))*Inputs!$B$1+((Inputs!$G$5:$G$140&lt;&gt;"moeda")*(Inputs!$G$5:$G$140&lt;&gt;"acoes")))*INDEX(Inputs!$K$5:$AJ$140,0,MATCH(AH$2,Inputs!$K$4:$AJ$4,0)))))</f>
        <v>613</v>
      </c>
      <c r="AI56" s="262">
        <f>IF(ISNA(MATCH(AI$2,Inputs!$K$4:$AJ$4,0)),NA(),IF(SUMPRODUCT((Inputs!$A$5:$A$140=$B56)*ISNUMBER(INDEX(Inputs!$K$5:$AJ$140,0,MATCH(AI$2,Inputs!$K$4:$AJ$4,0))))+SUMPRODUCT((Inputs!$C$5:$C$140=$B56)*ISNUMBER(INDEX(Inputs!$K$5:$AJ$140,0,MATCH(AI$2,Inputs!$K$4:$AJ$4,0))))+SUMPRODUCT((Inputs!$E$5:$E$140=$B56)*ISNUMBER(INDEX(Inputs!$K$5:$AJ$140,0,MATCH(AI$2,Inputs!$K$4:$AJ$4,0))))=0,NA(),SUMPRODUCT((Inputs!$A$5:$A$140=$B56)*Inputs!$B$5:$B$140*(((Inputs!$G$5:$G$140="moeda")+(Inputs!$G$5:$G$140="acoes"))*Inputs!$B$1+((Inputs!$G$5:$G$140&lt;&gt;"moeda")*(Inputs!$G$5:$G$140&lt;&gt;"acoes")))*INDEX(Inputs!$K$5:$AJ$140,0,MATCH(AI$2,Inputs!$K$4:$AJ$4,0)))+SUMPRODUCT((Inputs!$C$5:$C$140=$B56)*Inputs!$D$5:$D$140*(((Inputs!$G$5:$G$140="moeda")+(Inputs!$G$5:$G$140="acoes"))*Inputs!$B$1+((Inputs!$G$5:$G$140&lt;&gt;"moeda")*(Inputs!$G$5:$G$140&lt;&gt;"acoes")))*INDEX(Inputs!$K$5:$AJ$140,0,MATCH(AI$2,Inputs!$K$4:$AJ$4,0)))+SUMPRODUCT((Inputs!$E$5:$E$140=$B56)*Inputs!$F$5:$F$140*(((Inputs!$G$5:$G$140="moeda")+(Inputs!$G$5:$G$140="acoes"))*Inputs!$B$1+((Inputs!$G$5:$G$140&lt;&gt;"moeda")*(Inputs!$G$5:$G$140&lt;&gt;"acoes")))*INDEX(Inputs!$K$5:$AJ$140,0,MATCH(AI$2,Inputs!$K$4:$AJ$4,0)))))</f>
        <v>788</v>
      </c>
      <c r="AJ56" s="262">
        <f>IF(ISNA(MATCH(AJ$2,Inputs!$K$4:$AJ$4,0)),NA(),IF(SUMPRODUCT((Inputs!$A$5:$A$140=$B56)*ISNUMBER(INDEX(Inputs!$K$5:$AJ$140,0,MATCH(AJ$2,Inputs!$K$4:$AJ$4,0))))+SUMPRODUCT((Inputs!$C$5:$C$140=$B56)*ISNUMBER(INDEX(Inputs!$K$5:$AJ$140,0,MATCH(AJ$2,Inputs!$K$4:$AJ$4,0))))+SUMPRODUCT((Inputs!$E$5:$E$140=$B56)*ISNUMBER(INDEX(Inputs!$K$5:$AJ$140,0,MATCH(AJ$2,Inputs!$K$4:$AJ$4,0))))=0,NA(),SUMPRODUCT((Inputs!$A$5:$A$140=$B56)*Inputs!$B$5:$B$140*(((Inputs!$G$5:$G$140="moeda")+(Inputs!$G$5:$G$140="acoes"))*Inputs!$B$1+((Inputs!$G$5:$G$140&lt;&gt;"moeda")*(Inputs!$G$5:$G$140&lt;&gt;"acoes")))*INDEX(Inputs!$K$5:$AJ$140,0,MATCH(AJ$2,Inputs!$K$4:$AJ$4,0)))+SUMPRODUCT((Inputs!$C$5:$C$140=$B56)*Inputs!$D$5:$D$140*(((Inputs!$G$5:$G$140="moeda")+(Inputs!$G$5:$G$140="acoes"))*Inputs!$B$1+((Inputs!$G$5:$G$140&lt;&gt;"moeda")*(Inputs!$G$5:$G$140&lt;&gt;"acoes")))*INDEX(Inputs!$K$5:$AJ$140,0,MATCH(AJ$2,Inputs!$K$4:$AJ$4,0)))+SUMPRODUCT((Inputs!$E$5:$E$140=$B56)*Inputs!$F$5:$F$140*(((Inputs!$G$5:$G$140="moeda")+(Inputs!$G$5:$G$140="acoes"))*Inputs!$B$1+((Inputs!$G$5:$G$140&lt;&gt;"moeda")*(Inputs!$G$5:$G$140&lt;&gt;"acoes")))*INDEX(Inputs!$K$5:$AJ$140,0,MATCH(AJ$2,Inputs!$K$4:$AJ$4,0)))))</f>
        <v>731</v>
      </c>
      <c r="AK56" s="262">
        <f>IF(ISNA(MATCH(AK$2,Inputs!$K$4:$AJ$4,0)),NA(),IF(SUMPRODUCT((Inputs!$A$5:$A$140=$B56)*ISNUMBER(INDEX(Inputs!$K$5:$AJ$140,0,MATCH(AK$2,Inputs!$K$4:$AJ$4,0))))+SUMPRODUCT((Inputs!$C$5:$C$140=$B56)*ISNUMBER(INDEX(Inputs!$K$5:$AJ$140,0,MATCH(AK$2,Inputs!$K$4:$AJ$4,0))))+SUMPRODUCT((Inputs!$E$5:$E$140=$B56)*ISNUMBER(INDEX(Inputs!$K$5:$AJ$140,0,MATCH(AK$2,Inputs!$K$4:$AJ$4,0))))=0,NA(),SUMPRODUCT((Inputs!$A$5:$A$140=$B56)*Inputs!$B$5:$B$140*(((Inputs!$G$5:$G$140="moeda")+(Inputs!$G$5:$G$140="acoes"))*Inputs!$B$1+((Inputs!$G$5:$G$140&lt;&gt;"moeda")*(Inputs!$G$5:$G$140&lt;&gt;"acoes")))*INDEX(Inputs!$K$5:$AJ$140,0,MATCH(AK$2,Inputs!$K$4:$AJ$4,0)))+SUMPRODUCT((Inputs!$C$5:$C$140=$B56)*Inputs!$D$5:$D$140*(((Inputs!$G$5:$G$140="moeda")+(Inputs!$G$5:$G$140="acoes"))*Inputs!$B$1+((Inputs!$G$5:$G$140&lt;&gt;"moeda")*(Inputs!$G$5:$G$140&lt;&gt;"acoes")))*INDEX(Inputs!$K$5:$AJ$140,0,MATCH(AK$2,Inputs!$K$4:$AJ$4,0)))+SUMPRODUCT((Inputs!$E$5:$E$140=$B56)*Inputs!$F$5:$F$140*(((Inputs!$G$5:$G$140="moeda")+(Inputs!$G$5:$G$140="acoes"))*Inputs!$B$1+((Inputs!$G$5:$G$140&lt;&gt;"moeda")*(Inputs!$G$5:$G$140&lt;&gt;"acoes")))*INDEX(Inputs!$K$5:$AJ$140,0,MATCH(AK$2,Inputs!$K$4:$AJ$4,0)))))</f>
        <v>732</v>
      </c>
      <c r="AL56" s="263">
        <f>SUM(AH56:AK56)</f>
        <v>2864</v>
      </c>
    </row>
    <row r="57">
      <c r="B57" s="46" t="n">
        <v>49</v>
      </c>
      <c r="C57" s="29" t="inlineStr">
        <is>
          <t>Receita liquida - Grupo Mateus MA, PA, PI, CE, SE e BA (R$ milhoes; desde 3T25)</t>
        </is>
      </c>
      <c r="D57" s="262" t="e">
        <f>IF(ISNA(MATCH(D$2,Inputs!$K$4:$AJ$4,0)),NA(),IF(SUMPRODUCT((Inputs!$A$5:$A$140=$B57)*ISNUMBER(INDEX(Inputs!$K$5:$AJ$140,0,MATCH(D$2,Inputs!$K$4:$AJ$4,0))))+SUMPRODUCT((Inputs!$C$5:$C$140=$B57)*ISNUMBER(INDEX(Inputs!$K$5:$AJ$140,0,MATCH(D$2,Inputs!$K$4:$AJ$4,0))))+SUMPRODUCT((Inputs!$E$5:$E$140=$B57)*ISNUMBER(INDEX(Inputs!$K$5:$AJ$140,0,MATCH(D$2,Inputs!$K$4:$AJ$4,0))))=0,NA(),SUMPRODUCT((Inputs!$A$5:$A$140=$B57)*Inputs!$B$5:$B$140*(((Inputs!$G$5:$G$140="moeda")+(Inputs!$G$5:$G$140="acoes"))*Inputs!$B$1+((Inputs!$G$5:$G$140&lt;&gt;"moeda")*(Inputs!$G$5:$G$140&lt;&gt;"acoes")))*INDEX(Inputs!$K$5:$AJ$140,0,MATCH(D$2,Inputs!$K$4:$AJ$4,0)))+SUMPRODUCT((Inputs!$C$5:$C$140=$B57)*Inputs!$D$5:$D$140*(((Inputs!$G$5:$G$140="moeda")+(Inputs!$G$5:$G$140="acoes"))*Inputs!$B$1+((Inputs!$G$5:$G$140&lt;&gt;"moeda")*(Inputs!$G$5:$G$140&lt;&gt;"acoes")))*INDEX(Inputs!$K$5:$AJ$140,0,MATCH(D$2,Inputs!$K$4:$AJ$4,0)))+SUMPRODUCT((Inputs!$E$5:$E$140=$B57)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57" s="262" t="e">
        <f>IF(ISNA(MATCH(E$2,Inputs!$K$4:$AJ$4,0)),NA(),IF(SUMPRODUCT((Inputs!$A$5:$A$140=$B57)*ISNUMBER(INDEX(Inputs!$K$5:$AJ$140,0,MATCH(E$2,Inputs!$K$4:$AJ$4,0))))+SUMPRODUCT((Inputs!$C$5:$C$140=$B57)*ISNUMBER(INDEX(Inputs!$K$5:$AJ$140,0,MATCH(E$2,Inputs!$K$4:$AJ$4,0))))+SUMPRODUCT((Inputs!$E$5:$E$140=$B57)*ISNUMBER(INDEX(Inputs!$K$5:$AJ$140,0,MATCH(E$2,Inputs!$K$4:$AJ$4,0))))=0,NA(),SUMPRODUCT((Inputs!$A$5:$A$140=$B57)*Inputs!$B$5:$B$140*(((Inputs!$G$5:$G$140="moeda")+(Inputs!$G$5:$G$140="acoes"))*Inputs!$B$1+((Inputs!$G$5:$G$140&lt;&gt;"moeda")*(Inputs!$G$5:$G$140&lt;&gt;"acoes")))*INDEX(Inputs!$K$5:$AJ$140,0,MATCH(E$2,Inputs!$K$4:$AJ$4,0)))+SUMPRODUCT((Inputs!$C$5:$C$140=$B57)*Inputs!$D$5:$D$140*(((Inputs!$G$5:$G$140="moeda")+(Inputs!$G$5:$G$140="acoes"))*Inputs!$B$1+((Inputs!$G$5:$G$140&lt;&gt;"moeda")*(Inputs!$G$5:$G$140&lt;&gt;"acoes")))*INDEX(Inputs!$K$5:$AJ$140,0,MATCH(E$2,Inputs!$K$4:$AJ$4,0)))+SUMPRODUCT((Inputs!$E$5:$E$140=$B57)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57" s="262" t="e">
        <f>IF(ISNA(MATCH(F$2,Inputs!$K$4:$AJ$4,0)),NA(),IF(SUMPRODUCT((Inputs!$A$5:$A$140=$B57)*ISNUMBER(INDEX(Inputs!$K$5:$AJ$140,0,MATCH(F$2,Inputs!$K$4:$AJ$4,0))))+SUMPRODUCT((Inputs!$C$5:$C$140=$B57)*ISNUMBER(INDEX(Inputs!$K$5:$AJ$140,0,MATCH(F$2,Inputs!$K$4:$AJ$4,0))))+SUMPRODUCT((Inputs!$E$5:$E$140=$B57)*ISNUMBER(INDEX(Inputs!$K$5:$AJ$140,0,MATCH(F$2,Inputs!$K$4:$AJ$4,0))))=0,NA(),SUMPRODUCT((Inputs!$A$5:$A$140=$B57)*Inputs!$B$5:$B$140*(((Inputs!$G$5:$G$140="moeda")+(Inputs!$G$5:$G$140="acoes"))*Inputs!$B$1+((Inputs!$G$5:$G$140&lt;&gt;"moeda")*(Inputs!$G$5:$G$140&lt;&gt;"acoes")))*INDEX(Inputs!$K$5:$AJ$140,0,MATCH(F$2,Inputs!$K$4:$AJ$4,0)))+SUMPRODUCT((Inputs!$C$5:$C$140=$B57)*Inputs!$D$5:$D$140*(((Inputs!$G$5:$G$140="moeda")+(Inputs!$G$5:$G$140="acoes"))*Inputs!$B$1+((Inputs!$G$5:$G$140&lt;&gt;"moeda")*(Inputs!$G$5:$G$140&lt;&gt;"acoes")))*INDEX(Inputs!$K$5:$AJ$140,0,MATCH(F$2,Inputs!$K$4:$AJ$4,0)))+SUMPRODUCT((Inputs!$E$5:$E$140=$B57)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57" s="262" t="e">
        <f>IF(ISNA(MATCH(G$2,Inputs!$K$4:$AJ$4,0)),NA(),IF(SUMPRODUCT((Inputs!$A$5:$A$140=$B57)*ISNUMBER(INDEX(Inputs!$K$5:$AJ$140,0,MATCH(G$2,Inputs!$K$4:$AJ$4,0))))+SUMPRODUCT((Inputs!$C$5:$C$140=$B57)*ISNUMBER(INDEX(Inputs!$K$5:$AJ$140,0,MATCH(G$2,Inputs!$K$4:$AJ$4,0))))+SUMPRODUCT((Inputs!$E$5:$E$140=$B57)*ISNUMBER(INDEX(Inputs!$K$5:$AJ$140,0,MATCH(G$2,Inputs!$K$4:$AJ$4,0))))=0,NA(),SUMPRODUCT((Inputs!$A$5:$A$140=$B57)*Inputs!$B$5:$B$140*(((Inputs!$G$5:$G$140="moeda")+(Inputs!$G$5:$G$140="acoes"))*Inputs!$B$1+((Inputs!$G$5:$G$140&lt;&gt;"moeda")*(Inputs!$G$5:$G$140&lt;&gt;"acoes")))*INDEX(Inputs!$K$5:$AJ$140,0,MATCH(G$2,Inputs!$K$4:$AJ$4,0)))+SUMPRODUCT((Inputs!$C$5:$C$140=$B57)*Inputs!$D$5:$D$140*(((Inputs!$G$5:$G$140="moeda")+(Inputs!$G$5:$G$140="acoes"))*Inputs!$B$1+((Inputs!$G$5:$G$140&lt;&gt;"moeda")*(Inputs!$G$5:$G$140&lt;&gt;"acoes")))*INDEX(Inputs!$K$5:$AJ$140,0,MATCH(G$2,Inputs!$K$4:$AJ$4,0)))+SUMPRODUCT((Inputs!$E$5:$E$140=$B57)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57" s="263" t="e">
        <f>SUM(D57:G57)</f>
        <v>#N/A</v>
      </c>
      <c r="I57" s="262" t="e">
        <f>IF(ISNA(MATCH(I$2,Inputs!$K$4:$AJ$4,0)),NA(),IF(SUMPRODUCT((Inputs!$A$5:$A$140=$B57)*ISNUMBER(INDEX(Inputs!$K$5:$AJ$140,0,MATCH(I$2,Inputs!$K$4:$AJ$4,0))))+SUMPRODUCT((Inputs!$C$5:$C$140=$B57)*ISNUMBER(INDEX(Inputs!$K$5:$AJ$140,0,MATCH(I$2,Inputs!$K$4:$AJ$4,0))))+SUMPRODUCT((Inputs!$E$5:$E$140=$B57)*ISNUMBER(INDEX(Inputs!$K$5:$AJ$140,0,MATCH(I$2,Inputs!$K$4:$AJ$4,0))))=0,NA(),SUMPRODUCT((Inputs!$A$5:$A$140=$B57)*Inputs!$B$5:$B$140*(((Inputs!$G$5:$G$140="moeda")+(Inputs!$G$5:$G$140="acoes"))*Inputs!$B$1+((Inputs!$G$5:$G$140&lt;&gt;"moeda")*(Inputs!$G$5:$G$140&lt;&gt;"acoes")))*INDEX(Inputs!$K$5:$AJ$140,0,MATCH(I$2,Inputs!$K$4:$AJ$4,0)))+SUMPRODUCT((Inputs!$C$5:$C$140=$B57)*Inputs!$D$5:$D$140*(((Inputs!$G$5:$G$140="moeda")+(Inputs!$G$5:$G$140="acoes"))*Inputs!$B$1+((Inputs!$G$5:$G$140&lt;&gt;"moeda")*(Inputs!$G$5:$G$140&lt;&gt;"acoes")))*INDEX(Inputs!$K$5:$AJ$140,0,MATCH(I$2,Inputs!$K$4:$AJ$4,0)))+SUMPRODUCT((Inputs!$E$5:$E$140=$B57)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57" s="262" t="e">
        <f>IF(ISNA(MATCH(J$2,Inputs!$K$4:$AJ$4,0)),NA(),IF(SUMPRODUCT((Inputs!$A$5:$A$140=$B57)*ISNUMBER(INDEX(Inputs!$K$5:$AJ$140,0,MATCH(J$2,Inputs!$K$4:$AJ$4,0))))+SUMPRODUCT((Inputs!$C$5:$C$140=$B57)*ISNUMBER(INDEX(Inputs!$K$5:$AJ$140,0,MATCH(J$2,Inputs!$K$4:$AJ$4,0))))+SUMPRODUCT((Inputs!$E$5:$E$140=$B57)*ISNUMBER(INDEX(Inputs!$K$5:$AJ$140,0,MATCH(J$2,Inputs!$K$4:$AJ$4,0))))=0,NA(),SUMPRODUCT((Inputs!$A$5:$A$140=$B57)*Inputs!$B$5:$B$140*(((Inputs!$G$5:$G$140="moeda")+(Inputs!$G$5:$G$140="acoes"))*Inputs!$B$1+((Inputs!$G$5:$G$140&lt;&gt;"moeda")*(Inputs!$G$5:$G$140&lt;&gt;"acoes")))*INDEX(Inputs!$K$5:$AJ$140,0,MATCH(J$2,Inputs!$K$4:$AJ$4,0)))+SUMPRODUCT((Inputs!$C$5:$C$140=$B57)*Inputs!$D$5:$D$140*(((Inputs!$G$5:$G$140="moeda")+(Inputs!$G$5:$G$140="acoes"))*Inputs!$B$1+((Inputs!$G$5:$G$140&lt;&gt;"moeda")*(Inputs!$G$5:$G$140&lt;&gt;"acoes")))*INDEX(Inputs!$K$5:$AJ$140,0,MATCH(J$2,Inputs!$K$4:$AJ$4,0)))+SUMPRODUCT((Inputs!$E$5:$E$140=$B57)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57" s="262" t="e">
        <f>IF(ISNA(MATCH(K$2,Inputs!$K$4:$AJ$4,0)),NA(),IF(SUMPRODUCT((Inputs!$A$5:$A$140=$B57)*ISNUMBER(INDEX(Inputs!$K$5:$AJ$140,0,MATCH(K$2,Inputs!$K$4:$AJ$4,0))))+SUMPRODUCT((Inputs!$C$5:$C$140=$B57)*ISNUMBER(INDEX(Inputs!$K$5:$AJ$140,0,MATCH(K$2,Inputs!$K$4:$AJ$4,0))))+SUMPRODUCT((Inputs!$E$5:$E$140=$B57)*ISNUMBER(INDEX(Inputs!$K$5:$AJ$140,0,MATCH(K$2,Inputs!$K$4:$AJ$4,0))))=0,NA(),SUMPRODUCT((Inputs!$A$5:$A$140=$B57)*Inputs!$B$5:$B$140*(((Inputs!$G$5:$G$140="moeda")+(Inputs!$G$5:$G$140="acoes"))*Inputs!$B$1+((Inputs!$G$5:$G$140&lt;&gt;"moeda")*(Inputs!$G$5:$G$140&lt;&gt;"acoes")))*INDEX(Inputs!$K$5:$AJ$140,0,MATCH(K$2,Inputs!$K$4:$AJ$4,0)))+SUMPRODUCT((Inputs!$C$5:$C$140=$B57)*Inputs!$D$5:$D$140*(((Inputs!$G$5:$G$140="moeda")+(Inputs!$G$5:$G$140="acoes"))*Inputs!$B$1+((Inputs!$G$5:$G$140&lt;&gt;"moeda")*(Inputs!$G$5:$G$140&lt;&gt;"acoes")))*INDEX(Inputs!$K$5:$AJ$140,0,MATCH(K$2,Inputs!$K$4:$AJ$4,0)))+SUMPRODUCT((Inputs!$E$5:$E$140=$B57)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57" s="262" t="e">
        <f>IF(ISNA(MATCH(L$2,Inputs!$K$4:$AJ$4,0)),NA(),IF(SUMPRODUCT((Inputs!$A$5:$A$140=$B57)*ISNUMBER(INDEX(Inputs!$K$5:$AJ$140,0,MATCH(L$2,Inputs!$K$4:$AJ$4,0))))+SUMPRODUCT((Inputs!$C$5:$C$140=$B57)*ISNUMBER(INDEX(Inputs!$K$5:$AJ$140,0,MATCH(L$2,Inputs!$K$4:$AJ$4,0))))+SUMPRODUCT((Inputs!$E$5:$E$140=$B57)*ISNUMBER(INDEX(Inputs!$K$5:$AJ$140,0,MATCH(L$2,Inputs!$K$4:$AJ$4,0))))=0,NA(),SUMPRODUCT((Inputs!$A$5:$A$140=$B57)*Inputs!$B$5:$B$140*(((Inputs!$G$5:$G$140="moeda")+(Inputs!$G$5:$G$140="acoes"))*Inputs!$B$1+((Inputs!$G$5:$G$140&lt;&gt;"moeda")*(Inputs!$G$5:$G$140&lt;&gt;"acoes")))*INDEX(Inputs!$K$5:$AJ$140,0,MATCH(L$2,Inputs!$K$4:$AJ$4,0)))+SUMPRODUCT((Inputs!$C$5:$C$140=$B57)*Inputs!$D$5:$D$140*(((Inputs!$G$5:$G$140="moeda")+(Inputs!$G$5:$G$140="acoes"))*Inputs!$B$1+((Inputs!$G$5:$G$140&lt;&gt;"moeda")*(Inputs!$G$5:$G$140&lt;&gt;"acoes")))*INDEX(Inputs!$K$5:$AJ$140,0,MATCH(L$2,Inputs!$K$4:$AJ$4,0)))+SUMPRODUCT((Inputs!$E$5:$E$140=$B57)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57" s="263" t="e">
        <f>SUM(I57:L57)</f>
        <v>#N/A</v>
      </c>
      <c r="N57" s="262" t="e">
        <f>IF(ISNA(MATCH(N$2,Inputs!$K$4:$AJ$4,0)),NA(),IF(SUMPRODUCT((Inputs!$A$5:$A$140=$B57)*ISNUMBER(INDEX(Inputs!$K$5:$AJ$140,0,MATCH(N$2,Inputs!$K$4:$AJ$4,0))))+SUMPRODUCT((Inputs!$C$5:$C$140=$B57)*ISNUMBER(INDEX(Inputs!$K$5:$AJ$140,0,MATCH(N$2,Inputs!$K$4:$AJ$4,0))))+SUMPRODUCT((Inputs!$E$5:$E$140=$B57)*ISNUMBER(INDEX(Inputs!$K$5:$AJ$140,0,MATCH(N$2,Inputs!$K$4:$AJ$4,0))))=0,NA(),SUMPRODUCT((Inputs!$A$5:$A$140=$B57)*Inputs!$B$5:$B$140*(((Inputs!$G$5:$G$140="moeda")+(Inputs!$G$5:$G$140="acoes"))*Inputs!$B$1+((Inputs!$G$5:$G$140&lt;&gt;"moeda")*(Inputs!$G$5:$G$140&lt;&gt;"acoes")))*INDEX(Inputs!$K$5:$AJ$140,0,MATCH(N$2,Inputs!$K$4:$AJ$4,0)))+SUMPRODUCT((Inputs!$C$5:$C$140=$B57)*Inputs!$D$5:$D$140*(((Inputs!$G$5:$G$140="moeda")+(Inputs!$G$5:$G$140="acoes"))*Inputs!$B$1+((Inputs!$G$5:$G$140&lt;&gt;"moeda")*(Inputs!$G$5:$G$140&lt;&gt;"acoes")))*INDEX(Inputs!$K$5:$AJ$140,0,MATCH(N$2,Inputs!$K$4:$AJ$4,0)))+SUMPRODUCT((Inputs!$E$5:$E$140=$B57)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57" s="262" t="e">
        <f>IF(ISNA(MATCH(O$2,Inputs!$K$4:$AJ$4,0)),NA(),IF(SUMPRODUCT((Inputs!$A$5:$A$140=$B57)*ISNUMBER(INDEX(Inputs!$K$5:$AJ$140,0,MATCH(O$2,Inputs!$K$4:$AJ$4,0))))+SUMPRODUCT((Inputs!$C$5:$C$140=$B57)*ISNUMBER(INDEX(Inputs!$K$5:$AJ$140,0,MATCH(O$2,Inputs!$K$4:$AJ$4,0))))+SUMPRODUCT((Inputs!$E$5:$E$140=$B57)*ISNUMBER(INDEX(Inputs!$K$5:$AJ$140,0,MATCH(O$2,Inputs!$K$4:$AJ$4,0))))=0,NA(),SUMPRODUCT((Inputs!$A$5:$A$140=$B57)*Inputs!$B$5:$B$140*(((Inputs!$G$5:$G$140="moeda")+(Inputs!$G$5:$G$140="acoes"))*Inputs!$B$1+((Inputs!$G$5:$G$140&lt;&gt;"moeda")*(Inputs!$G$5:$G$140&lt;&gt;"acoes")))*INDEX(Inputs!$K$5:$AJ$140,0,MATCH(O$2,Inputs!$K$4:$AJ$4,0)))+SUMPRODUCT((Inputs!$C$5:$C$140=$B57)*Inputs!$D$5:$D$140*(((Inputs!$G$5:$G$140="moeda")+(Inputs!$G$5:$G$140="acoes"))*Inputs!$B$1+((Inputs!$G$5:$G$140&lt;&gt;"moeda")*(Inputs!$G$5:$G$140&lt;&gt;"acoes")))*INDEX(Inputs!$K$5:$AJ$140,0,MATCH(O$2,Inputs!$K$4:$AJ$4,0)))+SUMPRODUCT((Inputs!$E$5:$E$140=$B57)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57" s="262" t="e">
        <f>IF(ISNA(MATCH(P$2,Inputs!$K$4:$AJ$4,0)),NA(),IF(SUMPRODUCT((Inputs!$A$5:$A$140=$B57)*ISNUMBER(INDEX(Inputs!$K$5:$AJ$140,0,MATCH(P$2,Inputs!$K$4:$AJ$4,0))))+SUMPRODUCT((Inputs!$C$5:$C$140=$B57)*ISNUMBER(INDEX(Inputs!$K$5:$AJ$140,0,MATCH(P$2,Inputs!$K$4:$AJ$4,0))))+SUMPRODUCT((Inputs!$E$5:$E$140=$B57)*ISNUMBER(INDEX(Inputs!$K$5:$AJ$140,0,MATCH(P$2,Inputs!$K$4:$AJ$4,0))))=0,NA(),SUMPRODUCT((Inputs!$A$5:$A$140=$B57)*Inputs!$B$5:$B$140*(((Inputs!$G$5:$G$140="moeda")+(Inputs!$G$5:$G$140="acoes"))*Inputs!$B$1+((Inputs!$G$5:$G$140&lt;&gt;"moeda")*(Inputs!$G$5:$G$140&lt;&gt;"acoes")))*INDEX(Inputs!$K$5:$AJ$140,0,MATCH(P$2,Inputs!$K$4:$AJ$4,0)))+SUMPRODUCT((Inputs!$C$5:$C$140=$B57)*Inputs!$D$5:$D$140*(((Inputs!$G$5:$G$140="moeda")+(Inputs!$G$5:$G$140="acoes"))*Inputs!$B$1+((Inputs!$G$5:$G$140&lt;&gt;"moeda")*(Inputs!$G$5:$G$140&lt;&gt;"acoes")))*INDEX(Inputs!$K$5:$AJ$140,0,MATCH(P$2,Inputs!$K$4:$AJ$4,0)))+SUMPRODUCT((Inputs!$E$5:$E$140=$B57)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57" s="262" t="e">
        <f>IF(ISNA(MATCH(Q$2,Inputs!$K$4:$AJ$4,0)),NA(),IF(SUMPRODUCT((Inputs!$A$5:$A$140=$B57)*ISNUMBER(INDEX(Inputs!$K$5:$AJ$140,0,MATCH(Q$2,Inputs!$K$4:$AJ$4,0))))+SUMPRODUCT((Inputs!$C$5:$C$140=$B57)*ISNUMBER(INDEX(Inputs!$K$5:$AJ$140,0,MATCH(Q$2,Inputs!$K$4:$AJ$4,0))))+SUMPRODUCT((Inputs!$E$5:$E$140=$B57)*ISNUMBER(INDEX(Inputs!$K$5:$AJ$140,0,MATCH(Q$2,Inputs!$K$4:$AJ$4,0))))=0,NA(),SUMPRODUCT((Inputs!$A$5:$A$140=$B57)*Inputs!$B$5:$B$140*(((Inputs!$G$5:$G$140="moeda")+(Inputs!$G$5:$G$140="acoes"))*Inputs!$B$1+((Inputs!$G$5:$G$140&lt;&gt;"moeda")*(Inputs!$G$5:$G$140&lt;&gt;"acoes")))*INDEX(Inputs!$K$5:$AJ$140,0,MATCH(Q$2,Inputs!$K$4:$AJ$4,0)))+SUMPRODUCT((Inputs!$C$5:$C$140=$B57)*Inputs!$D$5:$D$140*(((Inputs!$G$5:$G$140="moeda")+(Inputs!$G$5:$G$140="acoes"))*Inputs!$B$1+((Inputs!$G$5:$G$140&lt;&gt;"moeda")*(Inputs!$G$5:$G$140&lt;&gt;"acoes")))*INDEX(Inputs!$K$5:$AJ$140,0,MATCH(Q$2,Inputs!$K$4:$AJ$4,0)))+SUMPRODUCT((Inputs!$E$5:$E$140=$B57)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57" s="263" t="e">
        <f>SUM(N57:Q57)</f>
        <v>#N/A</v>
      </c>
      <c r="S57" s="262" t="e">
        <f>IF(ISNA(MATCH(S$2,Inputs!$K$4:$AJ$4,0)),NA(),IF(SUMPRODUCT((Inputs!$A$5:$A$140=$B57)*ISNUMBER(INDEX(Inputs!$K$5:$AJ$140,0,MATCH(S$2,Inputs!$K$4:$AJ$4,0))))+SUMPRODUCT((Inputs!$C$5:$C$140=$B57)*ISNUMBER(INDEX(Inputs!$K$5:$AJ$140,0,MATCH(S$2,Inputs!$K$4:$AJ$4,0))))+SUMPRODUCT((Inputs!$E$5:$E$140=$B57)*ISNUMBER(INDEX(Inputs!$K$5:$AJ$140,0,MATCH(S$2,Inputs!$K$4:$AJ$4,0))))=0,NA(),SUMPRODUCT((Inputs!$A$5:$A$140=$B57)*Inputs!$B$5:$B$140*(((Inputs!$G$5:$G$140="moeda")+(Inputs!$G$5:$G$140="acoes"))*Inputs!$B$1+((Inputs!$G$5:$G$140&lt;&gt;"moeda")*(Inputs!$G$5:$G$140&lt;&gt;"acoes")))*INDEX(Inputs!$K$5:$AJ$140,0,MATCH(S$2,Inputs!$K$4:$AJ$4,0)))+SUMPRODUCT((Inputs!$C$5:$C$140=$B57)*Inputs!$D$5:$D$140*(((Inputs!$G$5:$G$140="moeda")+(Inputs!$G$5:$G$140="acoes"))*Inputs!$B$1+((Inputs!$G$5:$G$140&lt;&gt;"moeda")*(Inputs!$G$5:$G$140&lt;&gt;"acoes")))*INDEX(Inputs!$K$5:$AJ$140,0,MATCH(S$2,Inputs!$K$4:$AJ$4,0)))+SUMPRODUCT((Inputs!$E$5:$E$140=$B57)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57" s="262" t="e">
        <f>IF(ISNA(MATCH(T$2,Inputs!$K$4:$AJ$4,0)),NA(),IF(SUMPRODUCT((Inputs!$A$5:$A$140=$B57)*ISNUMBER(INDEX(Inputs!$K$5:$AJ$140,0,MATCH(T$2,Inputs!$K$4:$AJ$4,0))))+SUMPRODUCT((Inputs!$C$5:$C$140=$B57)*ISNUMBER(INDEX(Inputs!$K$5:$AJ$140,0,MATCH(T$2,Inputs!$K$4:$AJ$4,0))))+SUMPRODUCT((Inputs!$E$5:$E$140=$B57)*ISNUMBER(INDEX(Inputs!$K$5:$AJ$140,0,MATCH(T$2,Inputs!$K$4:$AJ$4,0))))=0,NA(),SUMPRODUCT((Inputs!$A$5:$A$140=$B57)*Inputs!$B$5:$B$140*(((Inputs!$G$5:$G$140="moeda")+(Inputs!$G$5:$G$140="acoes"))*Inputs!$B$1+((Inputs!$G$5:$G$140&lt;&gt;"moeda")*(Inputs!$G$5:$G$140&lt;&gt;"acoes")))*INDEX(Inputs!$K$5:$AJ$140,0,MATCH(T$2,Inputs!$K$4:$AJ$4,0)))+SUMPRODUCT((Inputs!$C$5:$C$140=$B57)*Inputs!$D$5:$D$140*(((Inputs!$G$5:$G$140="moeda")+(Inputs!$G$5:$G$140="acoes"))*Inputs!$B$1+((Inputs!$G$5:$G$140&lt;&gt;"moeda")*(Inputs!$G$5:$G$140&lt;&gt;"acoes")))*INDEX(Inputs!$K$5:$AJ$140,0,MATCH(T$2,Inputs!$K$4:$AJ$4,0)))+SUMPRODUCT((Inputs!$E$5:$E$140=$B57)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57" s="262" t="e">
        <f>IF(ISNA(MATCH(U$2,Inputs!$K$4:$AJ$4,0)),NA(),IF(SUMPRODUCT((Inputs!$A$5:$A$140=$B57)*ISNUMBER(INDEX(Inputs!$K$5:$AJ$140,0,MATCH(U$2,Inputs!$K$4:$AJ$4,0))))+SUMPRODUCT((Inputs!$C$5:$C$140=$B57)*ISNUMBER(INDEX(Inputs!$K$5:$AJ$140,0,MATCH(U$2,Inputs!$K$4:$AJ$4,0))))+SUMPRODUCT((Inputs!$E$5:$E$140=$B57)*ISNUMBER(INDEX(Inputs!$K$5:$AJ$140,0,MATCH(U$2,Inputs!$K$4:$AJ$4,0))))=0,NA(),SUMPRODUCT((Inputs!$A$5:$A$140=$B57)*Inputs!$B$5:$B$140*(((Inputs!$G$5:$G$140="moeda")+(Inputs!$G$5:$G$140="acoes"))*Inputs!$B$1+((Inputs!$G$5:$G$140&lt;&gt;"moeda")*(Inputs!$G$5:$G$140&lt;&gt;"acoes")))*INDEX(Inputs!$K$5:$AJ$140,0,MATCH(U$2,Inputs!$K$4:$AJ$4,0)))+SUMPRODUCT((Inputs!$C$5:$C$140=$B57)*Inputs!$D$5:$D$140*(((Inputs!$G$5:$G$140="moeda")+(Inputs!$G$5:$G$140="acoes"))*Inputs!$B$1+((Inputs!$G$5:$G$140&lt;&gt;"moeda")*(Inputs!$G$5:$G$140&lt;&gt;"acoes")))*INDEX(Inputs!$K$5:$AJ$140,0,MATCH(U$2,Inputs!$K$4:$AJ$4,0)))+SUMPRODUCT((Inputs!$E$5:$E$140=$B57)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57" s="262" t="e">
        <f>IF(ISNA(MATCH(V$2,Inputs!$K$4:$AJ$4,0)),NA(),IF(SUMPRODUCT((Inputs!$A$5:$A$140=$B57)*ISNUMBER(INDEX(Inputs!$K$5:$AJ$140,0,MATCH(V$2,Inputs!$K$4:$AJ$4,0))))+SUMPRODUCT((Inputs!$C$5:$C$140=$B57)*ISNUMBER(INDEX(Inputs!$K$5:$AJ$140,0,MATCH(V$2,Inputs!$K$4:$AJ$4,0))))+SUMPRODUCT((Inputs!$E$5:$E$140=$B57)*ISNUMBER(INDEX(Inputs!$K$5:$AJ$140,0,MATCH(V$2,Inputs!$K$4:$AJ$4,0))))=0,NA(),SUMPRODUCT((Inputs!$A$5:$A$140=$B57)*Inputs!$B$5:$B$140*(((Inputs!$G$5:$G$140="moeda")+(Inputs!$G$5:$G$140="acoes"))*Inputs!$B$1+((Inputs!$G$5:$G$140&lt;&gt;"moeda")*(Inputs!$G$5:$G$140&lt;&gt;"acoes")))*INDEX(Inputs!$K$5:$AJ$140,0,MATCH(V$2,Inputs!$K$4:$AJ$4,0)))+SUMPRODUCT((Inputs!$C$5:$C$140=$B57)*Inputs!$D$5:$D$140*(((Inputs!$G$5:$G$140="moeda")+(Inputs!$G$5:$G$140="acoes"))*Inputs!$B$1+((Inputs!$G$5:$G$140&lt;&gt;"moeda")*(Inputs!$G$5:$G$140&lt;&gt;"acoes")))*INDEX(Inputs!$K$5:$AJ$140,0,MATCH(V$2,Inputs!$K$4:$AJ$4,0)))+SUMPRODUCT((Inputs!$E$5:$E$140=$B57)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57" s="263" t="e">
        <f>SUM(S57:V57)</f>
        <v>#N/A</v>
      </c>
      <c r="X57" s="262" t="e">
        <f>IF(ISNA(MATCH(X$2,Inputs!$K$4:$AJ$4,0)),NA(),IF(SUMPRODUCT((Inputs!$A$5:$A$140=$B57)*ISNUMBER(INDEX(Inputs!$K$5:$AJ$140,0,MATCH(X$2,Inputs!$K$4:$AJ$4,0))))+SUMPRODUCT((Inputs!$C$5:$C$140=$B57)*ISNUMBER(INDEX(Inputs!$K$5:$AJ$140,0,MATCH(X$2,Inputs!$K$4:$AJ$4,0))))+SUMPRODUCT((Inputs!$E$5:$E$140=$B57)*ISNUMBER(INDEX(Inputs!$K$5:$AJ$140,0,MATCH(X$2,Inputs!$K$4:$AJ$4,0))))=0,NA(),SUMPRODUCT((Inputs!$A$5:$A$140=$B57)*Inputs!$B$5:$B$140*(((Inputs!$G$5:$G$140="moeda")+(Inputs!$G$5:$G$140="acoes"))*Inputs!$B$1+((Inputs!$G$5:$G$140&lt;&gt;"moeda")*(Inputs!$G$5:$G$140&lt;&gt;"acoes")))*INDEX(Inputs!$K$5:$AJ$140,0,MATCH(X$2,Inputs!$K$4:$AJ$4,0)))+SUMPRODUCT((Inputs!$C$5:$C$140=$B57)*Inputs!$D$5:$D$140*(((Inputs!$G$5:$G$140="moeda")+(Inputs!$G$5:$G$140="acoes"))*Inputs!$B$1+((Inputs!$G$5:$G$140&lt;&gt;"moeda")*(Inputs!$G$5:$G$140&lt;&gt;"acoes")))*INDEX(Inputs!$K$5:$AJ$140,0,MATCH(X$2,Inputs!$K$4:$AJ$4,0)))+SUMPRODUCT((Inputs!$E$5:$E$140=$B57)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57" s="262" t="e">
        <f>IF(ISNA(MATCH(Y$2,Inputs!$K$4:$AJ$4,0)),NA(),IF(SUMPRODUCT((Inputs!$A$5:$A$140=$B57)*ISNUMBER(INDEX(Inputs!$K$5:$AJ$140,0,MATCH(Y$2,Inputs!$K$4:$AJ$4,0))))+SUMPRODUCT((Inputs!$C$5:$C$140=$B57)*ISNUMBER(INDEX(Inputs!$K$5:$AJ$140,0,MATCH(Y$2,Inputs!$K$4:$AJ$4,0))))+SUMPRODUCT((Inputs!$E$5:$E$140=$B57)*ISNUMBER(INDEX(Inputs!$K$5:$AJ$140,0,MATCH(Y$2,Inputs!$K$4:$AJ$4,0))))=0,NA(),SUMPRODUCT((Inputs!$A$5:$A$140=$B57)*Inputs!$B$5:$B$140*(((Inputs!$G$5:$G$140="moeda")+(Inputs!$G$5:$G$140="acoes"))*Inputs!$B$1+((Inputs!$G$5:$G$140&lt;&gt;"moeda")*(Inputs!$G$5:$G$140&lt;&gt;"acoes")))*INDEX(Inputs!$K$5:$AJ$140,0,MATCH(Y$2,Inputs!$K$4:$AJ$4,0)))+SUMPRODUCT((Inputs!$C$5:$C$140=$B57)*Inputs!$D$5:$D$140*(((Inputs!$G$5:$G$140="moeda")+(Inputs!$G$5:$G$140="acoes"))*Inputs!$B$1+((Inputs!$G$5:$G$140&lt;&gt;"moeda")*(Inputs!$G$5:$G$140&lt;&gt;"acoes")))*INDEX(Inputs!$K$5:$AJ$140,0,MATCH(Y$2,Inputs!$K$4:$AJ$4,0)))+SUMPRODUCT((Inputs!$E$5:$E$140=$B57)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57" s="262">
        <f>IF(ISNA(MATCH(Z$2,Inputs!$K$4:$AJ$4,0)),NA(),IF(SUMPRODUCT((Inputs!$A$5:$A$140=$B57)*ISNUMBER(INDEX(Inputs!$K$5:$AJ$140,0,MATCH(Z$2,Inputs!$K$4:$AJ$4,0))))+SUMPRODUCT((Inputs!$C$5:$C$140=$B57)*ISNUMBER(INDEX(Inputs!$K$5:$AJ$140,0,MATCH(Z$2,Inputs!$K$4:$AJ$4,0))))+SUMPRODUCT((Inputs!$E$5:$E$140=$B57)*ISNUMBER(INDEX(Inputs!$K$5:$AJ$140,0,MATCH(Z$2,Inputs!$K$4:$AJ$4,0))))=0,NA(),SUMPRODUCT((Inputs!$A$5:$A$140=$B57)*Inputs!$B$5:$B$140*(((Inputs!$G$5:$G$140="moeda")+(Inputs!$G$5:$G$140="acoes"))*Inputs!$B$1+((Inputs!$G$5:$G$140&lt;&gt;"moeda")*(Inputs!$G$5:$G$140&lt;&gt;"acoes")))*INDEX(Inputs!$K$5:$AJ$140,0,MATCH(Z$2,Inputs!$K$4:$AJ$4,0)))+SUMPRODUCT((Inputs!$C$5:$C$140=$B57)*Inputs!$D$5:$D$140*(((Inputs!$G$5:$G$140="moeda")+(Inputs!$G$5:$G$140="acoes"))*Inputs!$B$1+((Inputs!$G$5:$G$140&lt;&gt;"moeda")*(Inputs!$G$5:$G$140&lt;&gt;"acoes")))*INDEX(Inputs!$K$5:$AJ$140,0,MATCH(Z$2,Inputs!$K$4:$AJ$4,0)))+SUMPRODUCT((Inputs!$E$5:$E$140=$B57)*Inputs!$F$5:$F$140*(((Inputs!$G$5:$G$140="moeda")+(Inputs!$G$5:$G$140="acoes"))*Inputs!$B$1+((Inputs!$G$5:$G$140&lt;&gt;"moeda")*(Inputs!$G$5:$G$140&lt;&gt;"acoes")))*INDEX(Inputs!$K$5:$AJ$140,0,MATCH(Z$2,Inputs!$K$4:$AJ$4,0)))))</f>
        <v>7869</v>
      </c>
      <c r="AA57" s="262">
        <f>IF(ISNA(MATCH(AA$2,Inputs!$K$4:$AJ$4,0)),NA(),IF(SUMPRODUCT((Inputs!$A$5:$A$140=$B57)*ISNUMBER(INDEX(Inputs!$K$5:$AJ$140,0,MATCH(AA$2,Inputs!$K$4:$AJ$4,0))))+SUMPRODUCT((Inputs!$C$5:$C$140=$B57)*ISNUMBER(INDEX(Inputs!$K$5:$AJ$140,0,MATCH(AA$2,Inputs!$K$4:$AJ$4,0))))+SUMPRODUCT((Inputs!$E$5:$E$140=$B57)*ISNUMBER(INDEX(Inputs!$K$5:$AJ$140,0,MATCH(AA$2,Inputs!$K$4:$AJ$4,0))))=0,NA(),SUMPRODUCT((Inputs!$A$5:$A$140=$B57)*Inputs!$B$5:$B$140*(((Inputs!$G$5:$G$140="moeda")+(Inputs!$G$5:$G$140="acoes"))*Inputs!$B$1+((Inputs!$G$5:$G$140&lt;&gt;"moeda")*(Inputs!$G$5:$G$140&lt;&gt;"acoes")))*INDEX(Inputs!$K$5:$AJ$140,0,MATCH(AA$2,Inputs!$K$4:$AJ$4,0)))+SUMPRODUCT((Inputs!$C$5:$C$140=$B57)*Inputs!$D$5:$D$140*(((Inputs!$G$5:$G$140="moeda")+(Inputs!$G$5:$G$140="acoes"))*Inputs!$B$1+((Inputs!$G$5:$G$140&lt;&gt;"moeda")*(Inputs!$G$5:$G$140&lt;&gt;"acoes")))*INDEX(Inputs!$K$5:$AJ$140,0,MATCH(AA$2,Inputs!$K$4:$AJ$4,0)))+SUMPRODUCT((Inputs!$E$5:$E$140=$B57)*Inputs!$F$5:$F$140*(((Inputs!$G$5:$G$140="moeda")+(Inputs!$G$5:$G$140="acoes"))*Inputs!$B$1+((Inputs!$G$5:$G$140&lt;&gt;"moeda")*(Inputs!$G$5:$G$140&lt;&gt;"acoes")))*INDEX(Inputs!$K$5:$AJ$140,0,MATCH(AA$2,Inputs!$K$4:$AJ$4,0)))))</f>
        <v>7723</v>
      </c>
      <c r="AB57" s="263" t="e">
        <f>SUM(X57:AA57)</f>
        <v>#N/A</v>
      </c>
      <c r="AC57" s="262">
        <f>IF(ISNA(MATCH(AC$2,Inputs!$K$4:$AJ$4,0)),NA(),IF(SUMPRODUCT((Inputs!$A$5:$A$140=$B57)*ISNUMBER(INDEX(Inputs!$K$5:$AJ$140,0,MATCH(AC$2,Inputs!$K$4:$AJ$4,0))))+SUMPRODUCT((Inputs!$C$5:$C$140=$B57)*ISNUMBER(INDEX(Inputs!$K$5:$AJ$140,0,MATCH(AC$2,Inputs!$K$4:$AJ$4,0))))+SUMPRODUCT((Inputs!$E$5:$E$140=$B57)*ISNUMBER(INDEX(Inputs!$K$5:$AJ$140,0,MATCH(AC$2,Inputs!$K$4:$AJ$4,0))))=0,NA(),SUMPRODUCT((Inputs!$A$5:$A$140=$B57)*Inputs!$B$5:$B$140*(((Inputs!$G$5:$G$140="moeda")+(Inputs!$G$5:$G$140="acoes"))*Inputs!$B$1+((Inputs!$G$5:$G$140&lt;&gt;"moeda")*(Inputs!$G$5:$G$140&lt;&gt;"acoes")))*INDEX(Inputs!$K$5:$AJ$140,0,MATCH(AC$2,Inputs!$K$4:$AJ$4,0)))+SUMPRODUCT((Inputs!$C$5:$C$140=$B57)*Inputs!$D$5:$D$140*(((Inputs!$G$5:$G$140="moeda")+(Inputs!$G$5:$G$140="acoes"))*Inputs!$B$1+((Inputs!$G$5:$G$140&lt;&gt;"moeda")*(Inputs!$G$5:$G$140&lt;&gt;"acoes")))*INDEX(Inputs!$K$5:$AJ$140,0,MATCH(AC$2,Inputs!$K$4:$AJ$4,0)))+SUMPRODUCT((Inputs!$E$5:$E$140=$B57)*Inputs!$F$5:$F$140*(((Inputs!$G$5:$G$140="moeda")+(Inputs!$G$5:$G$140="acoes"))*Inputs!$B$1+((Inputs!$G$5:$G$140&lt;&gt;"moeda")*(Inputs!$G$5:$G$140&lt;&gt;"acoes")))*INDEX(Inputs!$K$5:$AJ$140,0,MATCH(AC$2,Inputs!$K$4:$AJ$4,0)))))</f>
        <v>7012</v>
      </c>
      <c r="AD57" s="262">
        <f>IF(ISNA(MATCH(AD$2,Inputs!$K$4:$AJ$4,0)),NA(),IF(SUMPRODUCT((Inputs!$A$5:$A$140=$B57)*ISNUMBER(INDEX(Inputs!$K$5:$AJ$140,0,MATCH(AD$2,Inputs!$K$4:$AJ$4,0))))+SUMPRODUCT((Inputs!$C$5:$C$140=$B57)*ISNUMBER(INDEX(Inputs!$K$5:$AJ$140,0,MATCH(AD$2,Inputs!$K$4:$AJ$4,0))))+SUMPRODUCT((Inputs!$E$5:$E$140=$B57)*ISNUMBER(INDEX(Inputs!$K$5:$AJ$140,0,MATCH(AD$2,Inputs!$K$4:$AJ$4,0))))=0,NA(),SUMPRODUCT((Inputs!$A$5:$A$140=$B57)*Inputs!$B$5:$B$140*(((Inputs!$G$5:$G$140="moeda")+(Inputs!$G$5:$G$140="acoes"))*Inputs!$B$1+((Inputs!$G$5:$G$140&lt;&gt;"moeda")*(Inputs!$G$5:$G$140&lt;&gt;"acoes")))*INDEX(Inputs!$K$5:$AJ$140,0,MATCH(AD$2,Inputs!$K$4:$AJ$4,0)))+SUMPRODUCT((Inputs!$C$5:$C$140=$B57)*Inputs!$D$5:$D$140*(((Inputs!$G$5:$G$140="moeda")+(Inputs!$G$5:$G$140="acoes"))*Inputs!$B$1+((Inputs!$G$5:$G$140&lt;&gt;"moeda")*(Inputs!$G$5:$G$140&lt;&gt;"acoes")))*INDEX(Inputs!$K$5:$AJ$140,0,MATCH(AD$2,Inputs!$K$4:$AJ$4,0)))+SUMPRODUCT((Inputs!$E$5:$E$140=$B57)*Inputs!$F$5:$F$140*(((Inputs!$G$5:$G$140="moeda")+(Inputs!$G$5:$G$140="acoes"))*Inputs!$B$1+((Inputs!$G$5:$G$140&lt;&gt;"moeda")*(Inputs!$G$5:$G$140&lt;&gt;"acoes")))*INDEX(Inputs!$K$5:$AJ$140,0,MATCH(AD$2,Inputs!$K$4:$AJ$4,0)))))</f>
        <v>7387</v>
      </c>
      <c r="AE57" s="262" t="e">
        <f>IF(ISNA(MATCH(AE$2,Inputs!$K$4:$AJ$4,0)),NA(),IF(SUMPRODUCT((Inputs!$A$5:$A$140=$B57)*ISNUMBER(INDEX(Inputs!$K$5:$AJ$140,0,MATCH(AE$2,Inputs!$K$4:$AJ$4,0))))+SUMPRODUCT((Inputs!$C$5:$C$140=$B57)*ISNUMBER(INDEX(Inputs!$K$5:$AJ$140,0,MATCH(AE$2,Inputs!$K$4:$AJ$4,0))))+SUMPRODUCT((Inputs!$E$5:$E$140=$B57)*ISNUMBER(INDEX(Inputs!$K$5:$AJ$140,0,MATCH(AE$2,Inputs!$K$4:$AJ$4,0))))=0,NA(),SUMPRODUCT((Inputs!$A$5:$A$140=$B57)*Inputs!$B$5:$B$140*(((Inputs!$G$5:$G$140="moeda")+(Inputs!$G$5:$G$140="acoes"))*Inputs!$B$1+((Inputs!$G$5:$G$140&lt;&gt;"moeda")*(Inputs!$G$5:$G$140&lt;&gt;"acoes")))*INDEX(Inputs!$K$5:$AJ$140,0,MATCH(AE$2,Inputs!$K$4:$AJ$4,0)))+SUMPRODUCT((Inputs!$C$5:$C$140=$B57)*Inputs!$D$5:$D$140*(((Inputs!$G$5:$G$140="moeda")+(Inputs!$G$5:$G$140="acoes"))*Inputs!$B$1+((Inputs!$G$5:$G$140&lt;&gt;"moeda")*(Inputs!$G$5:$G$140&lt;&gt;"acoes")))*INDEX(Inputs!$K$5:$AJ$140,0,MATCH(AE$2,Inputs!$K$4:$AJ$4,0)))+SUMPRODUCT((Inputs!$E$5:$E$140=$B57)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7" s="262" t="e">
        <f>IF(ISNA(MATCH(AF$2,Inputs!$K$4:$AJ$4,0)),NA(),IF(SUMPRODUCT((Inputs!$A$5:$A$140=$B57)*ISNUMBER(INDEX(Inputs!$K$5:$AJ$140,0,MATCH(AF$2,Inputs!$K$4:$AJ$4,0))))+SUMPRODUCT((Inputs!$C$5:$C$140=$B57)*ISNUMBER(INDEX(Inputs!$K$5:$AJ$140,0,MATCH(AF$2,Inputs!$K$4:$AJ$4,0))))+SUMPRODUCT((Inputs!$E$5:$E$140=$B57)*ISNUMBER(INDEX(Inputs!$K$5:$AJ$140,0,MATCH(AF$2,Inputs!$K$4:$AJ$4,0))))=0,NA(),SUMPRODUCT((Inputs!$A$5:$A$140=$B57)*Inputs!$B$5:$B$140*(((Inputs!$G$5:$G$140="moeda")+(Inputs!$G$5:$G$140="acoes"))*Inputs!$B$1+((Inputs!$G$5:$G$140&lt;&gt;"moeda")*(Inputs!$G$5:$G$140&lt;&gt;"acoes")))*INDEX(Inputs!$K$5:$AJ$140,0,MATCH(AF$2,Inputs!$K$4:$AJ$4,0)))+SUMPRODUCT((Inputs!$C$5:$C$140=$B57)*Inputs!$D$5:$D$140*(((Inputs!$G$5:$G$140="moeda")+(Inputs!$G$5:$G$140="acoes"))*Inputs!$B$1+((Inputs!$G$5:$G$140&lt;&gt;"moeda")*(Inputs!$G$5:$G$140&lt;&gt;"acoes")))*INDEX(Inputs!$K$5:$AJ$140,0,MATCH(AF$2,Inputs!$K$4:$AJ$4,0)))+SUMPRODUCT((Inputs!$E$5:$E$140=$B57)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7" s="263" t="e">
        <f>SUM(AC57:AF57)</f>
        <v>#N/A</v>
      </c>
      <c r="AH57" s="262" t="e">
        <f>IF(ISNA(MATCH(AH$2,Inputs!$K$4:$AJ$4,0)),NA(),IF(SUMPRODUCT((Inputs!$A$5:$A$140=$B57)*ISNUMBER(INDEX(Inputs!$K$5:$AJ$140,0,MATCH(AH$2,Inputs!$K$4:$AJ$4,0))))+SUMPRODUCT((Inputs!$C$5:$C$140=$B57)*ISNUMBER(INDEX(Inputs!$K$5:$AJ$140,0,MATCH(AH$2,Inputs!$K$4:$AJ$4,0))))+SUMPRODUCT((Inputs!$E$5:$E$140=$B57)*ISNUMBER(INDEX(Inputs!$K$5:$AJ$140,0,MATCH(AH$2,Inputs!$K$4:$AJ$4,0))))=0,NA(),SUMPRODUCT((Inputs!$A$5:$A$140=$B57)*Inputs!$B$5:$B$140*(((Inputs!$G$5:$G$140="moeda")+(Inputs!$G$5:$G$140="acoes"))*Inputs!$B$1+((Inputs!$G$5:$G$140&lt;&gt;"moeda")*(Inputs!$G$5:$G$140&lt;&gt;"acoes")))*INDEX(Inputs!$K$5:$AJ$140,0,MATCH(AH$2,Inputs!$K$4:$AJ$4,0)))+SUMPRODUCT((Inputs!$C$5:$C$140=$B57)*Inputs!$D$5:$D$140*(((Inputs!$G$5:$G$140="moeda")+(Inputs!$G$5:$G$140="acoes"))*Inputs!$B$1+((Inputs!$G$5:$G$140&lt;&gt;"moeda")*(Inputs!$G$5:$G$140&lt;&gt;"acoes")))*INDEX(Inputs!$K$5:$AJ$140,0,MATCH(AH$2,Inputs!$K$4:$AJ$4,0)))+SUMPRODUCT((Inputs!$E$5:$E$140=$B57)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57" s="262" t="e">
        <f>IF(ISNA(MATCH(AI$2,Inputs!$K$4:$AJ$4,0)),NA(),IF(SUMPRODUCT((Inputs!$A$5:$A$140=$B57)*ISNUMBER(INDEX(Inputs!$K$5:$AJ$140,0,MATCH(AI$2,Inputs!$K$4:$AJ$4,0))))+SUMPRODUCT((Inputs!$C$5:$C$140=$B57)*ISNUMBER(INDEX(Inputs!$K$5:$AJ$140,0,MATCH(AI$2,Inputs!$K$4:$AJ$4,0))))+SUMPRODUCT((Inputs!$E$5:$E$140=$B57)*ISNUMBER(INDEX(Inputs!$K$5:$AJ$140,0,MATCH(AI$2,Inputs!$K$4:$AJ$4,0))))=0,NA(),SUMPRODUCT((Inputs!$A$5:$A$140=$B57)*Inputs!$B$5:$B$140*(((Inputs!$G$5:$G$140="moeda")+(Inputs!$G$5:$G$140="acoes"))*Inputs!$B$1+((Inputs!$G$5:$G$140&lt;&gt;"moeda")*(Inputs!$G$5:$G$140&lt;&gt;"acoes")))*INDEX(Inputs!$K$5:$AJ$140,0,MATCH(AI$2,Inputs!$K$4:$AJ$4,0)))+SUMPRODUCT((Inputs!$C$5:$C$140=$B57)*Inputs!$D$5:$D$140*(((Inputs!$G$5:$G$140="moeda")+(Inputs!$G$5:$G$140="acoes"))*Inputs!$B$1+((Inputs!$G$5:$G$140&lt;&gt;"moeda")*(Inputs!$G$5:$G$140&lt;&gt;"acoes")))*INDEX(Inputs!$K$5:$AJ$140,0,MATCH(AI$2,Inputs!$K$4:$AJ$4,0)))+SUMPRODUCT((Inputs!$E$5:$E$140=$B57)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57" s="262" t="e">
        <f>IF(ISNA(MATCH(AJ$2,Inputs!$K$4:$AJ$4,0)),NA(),IF(SUMPRODUCT((Inputs!$A$5:$A$140=$B57)*ISNUMBER(INDEX(Inputs!$K$5:$AJ$140,0,MATCH(AJ$2,Inputs!$K$4:$AJ$4,0))))+SUMPRODUCT((Inputs!$C$5:$C$140=$B57)*ISNUMBER(INDEX(Inputs!$K$5:$AJ$140,0,MATCH(AJ$2,Inputs!$K$4:$AJ$4,0))))+SUMPRODUCT((Inputs!$E$5:$E$140=$B57)*ISNUMBER(INDEX(Inputs!$K$5:$AJ$140,0,MATCH(AJ$2,Inputs!$K$4:$AJ$4,0))))=0,NA(),SUMPRODUCT((Inputs!$A$5:$A$140=$B57)*Inputs!$B$5:$B$140*(((Inputs!$G$5:$G$140="moeda")+(Inputs!$G$5:$G$140="acoes"))*Inputs!$B$1+((Inputs!$G$5:$G$140&lt;&gt;"moeda")*(Inputs!$G$5:$G$140&lt;&gt;"acoes")))*INDEX(Inputs!$K$5:$AJ$140,0,MATCH(AJ$2,Inputs!$K$4:$AJ$4,0)))+SUMPRODUCT((Inputs!$C$5:$C$140=$B57)*Inputs!$D$5:$D$140*(((Inputs!$G$5:$G$140="moeda")+(Inputs!$G$5:$G$140="acoes"))*Inputs!$B$1+((Inputs!$G$5:$G$140&lt;&gt;"moeda")*(Inputs!$G$5:$G$140&lt;&gt;"acoes")))*INDEX(Inputs!$K$5:$AJ$140,0,MATCH(AJ$2,Inputs!$K$4:$AJ$4,0)))+SUMPRODUCT((Inputs!$E$5:$E$140=$B57)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57" s="262" t="e">
        <f>IF(ISNA(MATCH(AK$2,Inputs!$K$4:$AJ$4,0)),NA(),IF(SUMPRODUCT((Inputs!$A$5:$A$140=$B57)*ISNUMBER(INDEX(Inputs!$K$5:$AJ$140,0,MATCH(AK$2,Inputs!$K$4:$AJ$4,0))))+SUMPRODUCT((Inputs!$C$5:$C$140=$B57)*ISNUMBER(INDEX(Inputs!$K$5:$AJ$140,0,MATCH(AK$2,Inputs!$K$4:$AJ$4,0))))+SUMPRODUCT((Inputs!$E$5:$E$140=$B57)*ISNUMBER(INDEX(Inputs!$K$5:$AJ$140,0,MATCH(AK$2,Inputs!$K$4:$AJ$4,0))))=0,NA(),SUMPRODUCT((Inputs!$A$5:$A$140=$B57)*Inputs!$B$5:$B$140*(((Inputs!$G$5:$G$140="moeda")+(Inputs!$G$5:$G$140="acoes"))*Inputs!$B$1+((Inputs!$G$5:$G$140&lt;&gt;"moeda")*(Inputs!$G$5:$G$140&lt;&gt;"acoes")))*INDEX(Inputs!$K$5:$AJ$140,0,MATCH(AK$2,Inputs!$K$4:$AJ$4,0)))+SUMPRODUCT((Inputs!$C$5:$C$140=$B57)*Inputs!$D$5:$D$140*(((Inputs!$G$5:$G$140="moeda")+(Inputs!$G$5:$G$140="acoes"))*Inputs!$B$1+((Inputs!$G$5:$G$140&lt;&gt;"moeda")*(Inputs!$G$5:$G$140&lt;&gt;"acoes")))*INDEX(Inputs!$K$5:$AJ$140,0,MATCH(AK$2,Inputs!$K$4:$AJ$4,0)))+SUMPRODUCT((Inputs!$E$5:$E$140=$B57)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57" s="263" t="e">
        <f>SUM(AH57:AK57)</f>
        <v>#N/A</v>
      </c>
    </row>
    <row r="58">
      <c r="B58" s="46" t="n">
        <v>50</v>
      </c>
      <c r="C58" s="29" t="inlineStr">
        <is>
          <t>Receita liquida - combinacao Grupo Mateus + Novo Atacarejo PE, PB e AL (R$ milhoes; 3T25 = Mateus PE/PB/AL 1.431 + Novo Atacarejo 1.464)</t>
        </is>
      </c>
      <c r="D58" s="262" t="e">
        <f>IF(ISNA(MATCH(D$2,Inputs!$K$4:$AJ$4,0)),NA(),IF(SUMPRODUCT((Inputs!$A$5:$A$140=$B58)*ISNUMBER(INDEX(Inputs!$K$5:$AJ$140,0,MATCH(D$2,Inputs!$K$4:$AJ$4,0))))+SUMPRODUCT((Inputs!$C$5:$C$140=$B58)*ISNUMBER(INDEX(Inputs!$K$5:$AJ$140,0,MATCH(D$2,Inputs!$K$4:$AJ$4,0))))+SUMPRODUCT((Inputs!$E$5:$E$140=$B58)*ISNUMBER(INDEX(Inputs!$K$5:$AJ$140,0,MATCH(D$2,Inputs!$K$4:$AJ$4,0))))=0,NA(),SUMPRODUCT((Inputs!$A$5:$A$140=$B58)*Inputs!$B$5:$B$140*(((Inputs!$G$5:$G$140="moeda")+(Inputs!$G$5:$G$140="acoes"))*Inputs!$B$1+((Inputs!$G$5:$G$140&lt;&gt;"moeda")*(Inputs!$G$5:$G$140&lt;&gt;"acoes")))*INDEX(Inputs!$K$5:$AJ$140,0,MATCH(D$2,Inputs!$K$4:$AJ$4,0)))+SUMPRODUCT((Inputs!$C$5:$C$140=$B58)*Inputs!$D$5:$D$140*(((Inputs!$G$5:$G$140="moeda")+(Inputs!$G$5:$G$140="acoes"))*Inputs!$B$1+((Inputs!$G$5:$G$140&lt;&gt;"moeda")*(Inputs!$G$5:$G$140&lt;&gt;"acoes")))*INDEX(Inputs!$K$5:$AJ$140,0,MATCH(D$2,Inputs!$K$4:$AJ$4,0)))+SUMPRODUCT((Inputs!$E$5:$E$140=$B58)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58" s="262" t="e">
        <f>IF(ISNA(MATCH(E$2,Inputs!$K$4:$AJ$4,0)),NA(),IF(SUMPRODUCT((Inputs!$A$5:$A$140=$B58)*ISNUMBER(INDEX(Inputs!$K$5:$AJ$140,0,MATCH(E$2,Inputs!$K$4:$AJ$4,0))))+SUMPRODUCT((Inputs!$C$5:$C$140=$B58)*ISNUMBER(INDEX(Inputs!$K$5:$AJ$140,0,MATCH(E$2,Inputs!$K$4:$AJ$4,0))))+SUMPRODUCT((Inputs!$E$5:$E$140=$B58)*ISNUMBER(INDEX(Inputs!$K$5:$AJ$140,0,MATCH(E$2,Inputs!$K$4:$AJ$4,0))))=0,NA(),SUMPRODUCT((Inputs!$A$5:$A$140=$B58)*Inputs!$B$5:$B$140*(((Inputs!$G$5:$G$140="moeda")+(Inputs!$G$5:$G$140="acoes"))*Inputs!$B$1+((Inputs!$G$5:$G$140&lt;&gt;"moeda")*(Inputs!$G$5:$G$140&lt;&gt;"acoes")))*INDEX(Inputs!$K$5:$AJ$140,0,MATCH(E$2,Inputs!$K$4:$AJ$4,0)))+SUMPRODUCT((Inputs!$C$5:$C$140=$B58)*Inputs!$D$5:$D$140*(((Inputs!$G$5:$G$140="moeda")+(Inputs!$G$5:$G$140="acoes"))*Inputs!$B$1+((Inputs!$G$5:$G$140&lt;&gt;"moeda")*(Inputs!$G$5:$G$140&lt;&gt;"acoes")))*INDEX(Inputs!$K$5:$AJ$140,0,MATCH(E$2,Inputs!$K$4:$AJ$4,0)))+SUMPRODUCT((Inputs!$E$5:$E$140=$B58)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58" s="262" t="e">
        <f>IF(ISNA(MATCH(F$2,Inputs!$K$4:$AJ$4,0)),NA(),IF(SUMPRODUCT((Inputs!$A$5:$A$140=$B58)*ISNUMBER(INDEX(Inputs!$K$5:$AJ$140,0,MATCH(F$2,Inputs!$K$4:$AJ$4,0))))+SUMPRODUCT((Inputs!$C$5:$C$140=$B58)*ISNUMBER(INDEX(Inputs!$K$5:$AJ$140,0,MATCH(F$2,Inputs!$K$4:$AJ$4,0))))+SUMPRODUCT((Inputs!$E$5:$E$140=$B58)*ISNUMBER(INDEX(Inputs!$K$5:$AJ$140,0,MATCH(F$2,Inputs!$K$4:$AJ$4,0))))=0,NA(),SUMPRODUCT((Inputs!$A$5:$A$140=$B58)*Inputs!$B$5:$B$140*(((Inputs!$G$5:$G$140="moeda")+(Inputs!$G$5:$G$140="acoes"))*Inputs!$B$1+((Inputs!$G$5:$G$140&lt;&gt;"moeda")*(Inputs!$G$5:$G$140&lt;&gt;"acoes")))*INDEX(Inputs!$K$5:$AJ$140,0,MATCH(F$2,Inputs!$K$4:$AJ$4,0)))+SUMPRODUCT((Inputs!$C$5:$C$140=$B58)*Inputs!$D$5:$D$140*(((Inputs!$G$5:$G$140="moeda")+(Inputs!$G$5:$G$140="acoes"))*Inputs!$B$1+((Inputs!$G$5:$G$140&lt;&gt;"moeda")*(Inputs!$G$5:$G$140&lt;&gt;"acoes")))*INDEX(Inputs!$K$5:$AJ$140,0,MATCH(F$2,Inputs!$K$4:$AJ$4,0)))+SUMPRODUCT((Inputs!$E$5:$E$140=$B58)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58" s="262" t="e">
        <f>IF(ISNA(MATCH(G$2,Inputs!$K$4:$AJ$4,0)),NA(),IF(SUMPRODUCT((Inputs!$A$5:$A$140=$B58)*ISNUMBER(INDEX(Inputs!$K$5:$AJ$140,0,MATCH(G$2,Inputs!$K$4:$AJ$4,0))))+SUMPRODUCT((Inputs!$C$5:$C$140=$B58)*ISNUMBER(INDEX(Inputs!$K$5:$AJ$140,0,MATCH(G$2,Inputs!$K$4:$AJ$4,0))))+SUMPRODUCT((Inputs!$E$5:$E$140=$B58)*ISNUMBER(INDEX(Inputs!$K$5:$AJ$140,0,MATCH(G$2,Inputs!$K$4:$AJ$4,0))))=0,NA(),SUMPRODUCT((Inputs!$A$5:$A$140=$B58)*Inputs!$B$5:$B$140*(((Inputs!$G$5:$G$140="moeda")+(Inputs!$G$5:$G$140="acoes"))*Inputs!$B$1+((Inputs!$G$5:$G$140&lt;&gt;"moeda")*(Inputs!$G$5:$G$140&lt;&gt;"acoes")))*INDEX(Inputs!$K$5:$AJ$140,0,MATCH(G$2,Inputs!$K$4:$AJ$4,0)))+SUMPRODUCT((Inputs!$C$5:$C$140=$B58)*Inputs!$D$5:$D$140*(((Inputs!$G$5:$G$140="moeda")+(Inputs!$G$5:$G$140="acoes"))*Inputs!$B$1+((Inputs!$G$5:$G$140&lt;&gt;"moeda")*(Inputs!$G$5:$G$140&lt;&gt;"acoes")))*INDEX(Inputs!$K$5:$AJ$140,0,MATCH(G$2,Inputs!$K$4:$AJ$4,0)))+SUMPRODUCT((Inputs!$E$5:$E$140=$B58)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58" s="263" t="e">
        <f>SUM(D58:G58)</f>
        <v>#N/A</v>
      </c>
      <c r="I58" s="262" t="e">
        <f>IF(ISNA(MATCH(I$2,Inputs!$K$4:$AJ$4,0)),NA(),IF(SUMPRODUCT((Inputs!$A$5:$A$140=$B58)*ISNUMBER(INDEX(Inputs!$K$5:$AJ$140,0,MATCH(I$2,Inputs!$K$4:$AJ$4,0))))+SUMPRODUCT((Inputs!$C$5:$C$140=$B58)*ISNUMBER(INDEX(Inputs!$K$5:$AJ$140,0,MATCH(I$2,Inputs!$K$4:$AJ$4,0))))+SUMPRODUCT((Inputs!$E$5:$E$140=$B58)*ISNUMBER(INDEX(Inputs!$K$5:$AJ$140,0,MATCH(I$2,Inputs!$K$4:$AJ$4,0))))=0,NA(),SUMPRODUCT((Inputs!$A$5:$A$140=$B58)*Inputs!$B$5:$B$140*(((Inputs!$G$5:$G$140="moeda")+(Inputs!$G$5:$G$140="acoes"))*Inputs!$B$1+((Inputs!$G$5:$G$140&lt;&gt;"moeda")*(Inputs!$G$5:$G$140&lt;&gt;"acoes")))*INDEX(Inputs!$K$5:$AJ$140,0,MATCH(I$2,Inputs!$K$4:$AJ$4,0)))+SUMPRODUCT((Inputs!$C$5:$C$140=$B58)*Inputs!$D$5:$D$140*(((Inputs!$G$5:$G$140="moeda")+(Inputs!$G$5:$G$140="acoes"))*Inputs!$B$1+((Inputs!$G$5:$G$140&lt;&gt;"moeda")*(Inputs!$G$5:$G$140&lt;&gt;"acoes")))*INDEX(Inputs!$K$5:$AJ$140,0,MATCH(I$2,Inputs!$K$4:$AJ$4,0)))+SUMPRODUCT((Inputs!$E$5:$E$140=$B58)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58" s="262" t="e">
        <f>IF(ISNA(MATCH(J$2,Inputs!$K$4:$AJ$4,0)),NA(),IF(SUMPRODUCT((Inputs!$A$5:$A$140=$B58)*ISNUMBER(INDEX(Inputs!$K$5:$AJ$140,0,MATCH(J$2,Inputs!$K$4:$AJ$4,0))))+SUMPRODUCT((Inputs!$C$5:$C$140=$B58)*ISNUMBER(INDEX(Inputs!$K$5:$AJ$140,0,MATCH(J$2,Inputs!$K$4:$AJ$4,0))))+SUMPRODUCT((Inputs!$E$5:$E$140=$B58)*ISNUMBER(INDEX(Inputs!$K$5:$AJ$140,0,MATCH(J$2,Inputs!$K$4:$AJ$4,0))))=0,NA(),SUMPRODUCT((Inputs!$A$5:$A$140=$B58)*Inputs!$B$5:$B$140*(((Inputs!$G$5:$G$140="moeda")+(Inputs!$G$5:$G$140="acoes"))*Inputs!$B$1+((Inputs!$G$5:$G$140&lt;&gt;"moeda")*(Inputs!$G$5:$G$140&lt;&gt;"acoes")))*INDEX(Inputs!$K$5:$AJ$140,0,MATCH(J$2,Inputs!$K$4:$AJ$4,0)))+SUMPRODUCT((Inputs!$C$5:$C$140=$B58)*Inputs!$D$5:$D$140*(((Inputs!$G$5:$G$140="moeda")+(Inputs!$G$5:$G$140="acoes"))*Inputs!$B$1+((Inputs!$G$5:$G$140&lt;&gt;"moeda")*(Inputs!$G$5:$G$140&lt;&gt;"acoes")))*INDEX(Inputs!$K$5:$AJ$140,0,MATCH(J$2,Inputs!$K$4:$AJ$4,0)))+SUMPRODUCT((Inputs!$E$5:$E$140=$B58)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58" s="262" t="e">
        <f>IF(ISNA(MATCH(K$2,Inputs!$K$4:$AJ$4,0)),NA(),IF(SUMPRODUCT((Inputs!$A$5:$A$140=$B58)*ISNUMBER(INDEX(Inputs!$K$5:$AJ$140,0,MATCH(K$2,Inputs!$K$4:$AJ$4,0))))+SUMPRODUCT((Inputs!$C$5:$C$140=$B58)*ISNUMBER(INDEX(Inputs!$K$5:$AJ$140,0,MATCH(K$2,Inputs!$K$4:$AJ$4,0))))+SUMPRODUCT((Inputs!$E$5:$E$140=$B58)*ISNUMBER(INDEX(Inputs!$K$5:$AJ$140,0,MATCH(K$2,Inputs!$K$4:$AJ$4,0))))=0,NA(),SUMPRODUCT((Inputs!$A$5:$A$140=$B58)*Inputs!$B$5:$B$140*(((Inputs!$G$5:$G$140="moeda")+(Inputs!$G$5:$G$140="acoes"))*Inputs!$B$1+((Inputs!$G$5:$G$140&lt;&gt;"moeda")*(Inputs!$G$5:$G$140&lt;&gt;"acoes")))*INDEX(Inputs!$K$5:$AJ$140,0,MATCH(K$2,Inputs!$K$4:$AJ$4,0)))+SUMPRODUCT((Inputs!$C$5:$C$140=$B58)*Inputs!$D$5:$D$140*(((Inputs!$G$5:$G$140="moeda")+(Inputs!$G$5:$G$140="acoes"))*Inputs!$B$1+((Inputs!$G$5:$G$140&lt;&gt;"moeda")*(Inputs!$G$5:$G$140&lt;&gt;"acoes")))*INDEX(Inputs!$K$5:$AJ$140,0,MATCH(K$2,Inputs!$K$4:$AJ$4,0)))+SUMPRODUCT((Inputs!$E$5:$E$140=$B58)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58" s="262" t="e">
        <f>IF(ISNA(MATCH(L$2,Inputs!$K$4:$AJ$4,0)),NA(),IF(SUMPRODUCT((Inputs!$A$5:$A$140=$B58)*ISNUMBER(INDEX(Inputs!$K$5:$AJ$140,0,MATCH(L$2,Inputs!$K$4:$AJ$4,0))))+SUMPRODUCT((Inputs!$C$5:$C$140=$B58)*ISNUMBER(INDEX(Inputs!$K$5:$AJ$140,0,MATCH(L$2,Inputs!$K$4:$AJ$4,0))))+SUMPRODUCT((Inputs!$E$5:$E$140=$B58)*ISNUMBER(INDEX(Inputs!$K$5:$AJ$140,0,MATCH(L$2,Inputs!$K$4:$AJ$4,0))))=0,NA(),SUMPRODUCT((Inputs!$A$5:$A$140=$B58)*Inputs!$B$5:$B$140*(((Inputs!$G$5:$G$140="moeda")+(Inputs!$G$5:$G$140="acoes"))*Inputs!$B$1+((Inputs!$G$5:$G$140&lt;&gt;"moeda")*(Inputs!$G$5:$G$140&lt;&gt;"acoes")))*INDEX(Inputs!$K$5:$AJ$140,0,MATCH(L$2,Inputs!$K$4:$AJ$4,0)))+SUMPRODUCT((Inputs!$C$5:$C$140=$B58)*Inputs!$D$5:$D$140*(((Inputs!$G$5:$G$140="moeda")+(Inputs!$G$5:$G$140="acoes"))*Inputs!$B$1+((Inputs!$G$5:$G$140&lt;&gt;"moeda")*(Inputs!$G$5:$G$140&lt;&gt;"acoes")))*INDEX(Inputs!$K$5:$AJ$140,0,MATCH(L$2,Inputs!$K$4:$AJ$4,0)))+SUMPRODUCT((Inputs!$E$5:$E$140=$B58)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58" s="263" t="e">
        <f>SUM(I58:L58)</f>
        <v>#N/A</v>
      </c>
      <c r="N58" s="262" t="e">
        <f>IF(ISNA(MATCH(N$2,Inputs!$K$4:$AJ$4,0)),NA(),IF(SUMPRODUCT((Inputs!$A$5:$A$140=$B58)*ISNUMBER(INDEX(Inputs!$K$5:$AJ$140,0,MATCH(N$2,Inputs!$K$4:$AJ$4,0))))+SUMPRODUCT((Inputs!$C$5:$C$140=$B58)*ISNUMBER(INDEX(Inputs!$K$5:$AJ$140,0,MATCH(N$2,Inputs!$K$4:$AJ$4,0))))+SUMPRODUCT((Inputs!$E$5:$E$140=$B58)*ISNUMBER(INDEX(Inputs!$K$5:$AJ$140,0,MATCH(N$2,Inputs!$K$4:$AJ$4,0))))=0,NA(),SUMPRODUCT((Inputs!$A$5:$A$140=$B58)*Inputs!$B$5:$B$140*(((Inputs!$G$5:$G$140="moeda")+(Inputs!$G$5:$G$140="acoes"))*Inputs!$B$1+((Inputs!$G$5:$G$140&lt;&gt;"moeda")*(Inputs!$G$5:$G$140&lt;&gt;"acoes")))*INDEX(Inputs!$K$5:$AJ$140,0,MATCH(N$2,Inputs!$K$4:$AJ$4,0)))+SUMPRODUCT((Inputs!$C$5:$C$140=$B58)*Inputs!$D$5:$D$140*(((Inputs!$G$5:$G$140="moeda")+(Inputs!$G$5:$G$140="acoes"))*Inputs!$B$1+((Inputs!$G$5:$G$140&lt;&gt;"moeda")*(Inputs!$G$5:$G$140&lt;&gt;"acoes")))*INDEX(Inputs!$K$5:$AJ$140,0,MATCH(N$2,Inputs!$K$4:$AJ$4,0)))+SUMPRODUCT((Inputs!$E$5:$E$140=$B58)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58" s="262" t="e">
        <f>IF(ISNA(MATCH(O$2,Inputs!$K$4:$AJ$4,0)),NA(),IF(SUMPRODUCT((Inputs!$A$5:$A$140=$B58)*ISNUMBER(INDEX(Inputs!$K$5:$AJ$140,0,MATCH(O$2,Inputs!$K$4:$AJ$4,0))))+SUMPRODUCT((Inputs!$C$5:$C$140=$B58)*ISNUMBER(INDEX(Inputs!$K$5:$AJ$140,0,MATCH(O$2,Inputs!$K$4:$AJ$4,0))))+SUMPRODUCT((Inputs!$E$5:$E$140=$B58)*ISNUMBER(INDEX(Inputs!$K$5:$AJ$140,0,MATCH(O$2,Inputs!$K$4:$AJ$4,0))))=0,NA(),SUMPRODUCT((Inputs!$A$5:$A$140=$B58)*Inputs!$B$5:$B$140*(((Inputs!$G$5:$G$140="moeda")+(Inputs!$G$5:$G$140="acoes"))*Inputs!$B$1+((Inputs!$G$5:$G$140&lt;&gt;"moeda")*(Inputs!$G$5:$G$140&lt;&gt;"acoes")))*INDEX(Inputs!$K$5:$AJ$140,0,MATCH(O$2,Inputs!$K$4:$AJ$4,0)))+SUMPRODUCT((Inputs!$C$5:$C$140=$B58)*Inputs!$D$5:$D$140*(((Inputs!$G$5:$G$140="moeda")+(Inputs!$G$5:$G$140="acoes"))*Inputs!$B$1+((Inputs!$G$5:$G$140&lt;&gt;"moeda")*(Inputs!$G$5:$G$140&lt;&gt;"acoes")))*INDEX(Inputs!$K$5:$AJ$140,0,MATCH(O$2,Inputs!$K$4:$AJ$4,0)))+SUMPRODUCT((Inputs!$E$5:$E$140=$B58)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58" s="262" t="e">
        <f>IF(ISNA(MATCH(P$2,Inputs!$K$4:$AJ$4,0)),NA(),IF(SUMPRODUCT((Inputs!$A$5:$A$140=$B58)*ISNUMBER(INDEX(Inputs!$K$5:$AJ$140,0,MATCH(P$2,Inputs!$K$4:$AJ$4,0))))+SUMPRODUCT((Inputs!$C$5:$C$140=$B58)*ISNUMBER(INDEX(Inputs!$K$5:$AJ$140,0,MATCH(P$2,Inputs!$K$4:$AJ$4,0))))+SUMPRODUCT((Inputs!$E$5:$E$140=$B58)*ISNUMBER(INDEX(Inputs!$K$5:$AJ$140,0,MATCH(P$2,Inputs!$K$4:$AJ$4,0))))=0,NA(),SUMPRODUCT((Inputs!$A$5:$A$140=$B58)*Inputs!$B$5:$B$140*(((Inputs!$G$5:$G$140="moeda")+(Inputs!$G$5:$G$140="acoes"))*Inputs!$B$1+((Inputs!$G$5:$G$140&lt;&gt;"moeda")*(Inputs!$G$5:$G$140&lt;&gt;"acoes")))*INDEX(Inputs!$K$5:$AJ$140,0,MATCH(P$2,Inputs!$K$4:$AJ$4,0)))+SUMPRODUCT((Inputs!$C$5:$C$140=$B58)*Inputs!$D$5:$D$140*(((Inputs!$G$5:$G$140="moeda")+(Inputs!$G$5:$G$140="acoes"))*Inputs!$B$1+((Inputs!$G$5:$G$140&lt;&gt;"moeda")*(Inputs!$G$5:$G$140&lt;&gt;"acoes")))*INDEX(Inputs!$K$5:$AJ$140,0,MATCH(P$2,Inputs!$K$4:$AJ$4,0)))+SUMPRODUCT((Inputs!$E$5:$E$140=$B58)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58" s="262" t="e">
        <f>IF(ISNA(MATCH(Q$2,Inputs!$K$4:$AJ$4,0)),NA(),IF(SUMPRODUCT((Inputs!$A$5:$A$140=$B58)*ISNUMBER(INDEX(Inputs!$K$5:$AJ$140,0,MATCH(Q$2,Inputs!$K$4:$AJ$4,0))))+SUMPRODUCT((Inputs!$C$5:$C$140=$B58)*ISNUMBER(INDEX(Inputs!$K$5:$AJ$140,0,MATCH(Q$2,Inputs!$K$4:$AJ$4,0))))+SUMPRODUCT((Inputs!$E$5:$E$140=$B58)*ISNUMBER(INDEX(Inputs!$K$5:$AJ$140,0,MATCH(Q$2,Inputs!$K$4:$AJ$4,0))))=0,NA(),SUMPRODUCT((Inputs!$A$5:$A$140=$B58)*Inputs!$B$5:$B$140*(((Inputs!$G$5:$G$140="moeda")+(Inputs!$G$5:$G$140="acoes"))*Inputs!$B$1+((Inputs!$G$5:$G$140&lt;&gt;"moeda")*(Inputs!$G$5:$G$140&lt;&gt;"acoes")))*INDEX(Inputs!$K$5:$AJ$140,0,MATCH(Q$2,Inputs!$K$4:$AJ$4,0)))+SUMPRODUCT((Inputs!$C$5:$C$140=$B58)*Inputs!$D$5:$D$140*(((Inputs!$G$5:$G$140="moeda")+(Inputs!$G$5:$G$140="acoes"))*Inputs!$B$1+((Inputs!$G$5:$G$140&lt;&gt;"moeda")*(Inputs!$G$5:$G$140&lt;&gt;"acoes")))*INDEX(Inputs!$K$5:$AJ$140,0,MATCH(Q$2,Inputs!$K$4:$AJ$4,0)))+SUMPRODUCT((Inputs!$E$5:$E$140=$B58)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58" s="263" t="e">
        <f>SUM(N58:Q58)</f>
        <v>#N/A</v>
      </c>
      <c r="S58" s="262" t="e">
        <f>IF(ISNA(MATCH(S$2,Inputs!$K$4:$AJ$4,0)),NA(),IF(SUMPRODUCT((Inputs!$A$5:$A$140=$B58)*ISNUMBER(INDEX(Inputs!$K$5:$AJ$140,0,MATCH(S$2,Inputs!$K$4:$AJ$4,0))))+SUMPRODUCT((Inputs!$C$5:$C$140=$B58)*ISNUMBER(INDEX(Inputs!$K$5:$AJ$140,0,MATCH(S$2,Inputs!$K$4:$AJ$4,0))))+SUMPRODUCT((Inputs!$E$5:$E$140=$B58)*ISNUMBER(INDEX(Inputs!$K$5:$AJ$140,0,MATCH(S$2,Inputs!$K$4:$AJ$4,0))))=0,NA(),SUMPRODUCT((Inputs!$A$5:$A$140=$B58)*Inputs!$B$5:$B$140*(((Inputs!$G$5:$G$140="moeda")+(Inputs!$G$5:$G$140="acoes"))*Inputs!$B$1+((Inputs!$G$5:$G$140&lt;&gt;"moeda")*(Inputs!$G$5:$G$140&lt;&gt;"acoes")))*INDEX(Inputs!$K$5:$AJ$140,0,MATCH(S$2,Inputs!$K$4:$AJ$4,0)))+SUMPRODUCT((Inputs!$C$5:$C$140=$B58)*Inputs!$D$5:$D$140*(((Inputs!$G$5:$G$140="moeda")+(Inputs!$G$5:$G$140="acoes"))*Inputs!$B$1+((Inputs!$G$5:$G$140&lt;&gt;"moeda")*(Inputs!$G$5:$G$140&lt;&gt;"acoes")))*INDEX(Inputs!$K$5:$AJ$140,0,MATCH(S$2,Inputs!$K$4:$AJ$4,0)))+SUMPRODUCT((Inputs!$E$5:$E$140=$B58)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58" s="262" t="e">
        <f>IF(ISNA(MATCH(T$2,Inputs!$K$4:$AJ$4,0)),NA(),IF(SUMPRODUCT((Inputs!$A$5:$A$140=$B58)*ISNUMBER(INDEX(Inputs!$K$5:$AJ$140,0,MATCH(T$2,Inputs!$K$4:$AJ$4,0))))+SUMPRODUCT((Inputs!$C$5:$C$140=$B58)*ISNUMBER(INDEX(Inputs!$K$5:$AJ$140,0,MATCH(T$2,Inputs!$K$4:$AJ$4,0))))+SUMPRODUCT((Inputs!$E$5:$E$140=$B58)*ISNUMBER(INDEX(Inputs!$K$5:$AJ$140,0,MATCH(T$2,Inputs!$K$4:$AJ$4,0))))=0,NA(),SUMPRODUCT((Inputs!$A$5:$A$140=$B58)*Inputs!$B$5:$B$140*(((Inputs!$G$5:$G$140="moeda")+(Inputs!$G$5:$G$140="acoes"))*Inputs!$B$1+((Inputs!$G$5:$G$140&lt;&gt;"moeda")*(Inputs!$G$5:$G$140&lt;&gt;"acoes")))*INDEX(Inputs!$K$5:$AJ$140,0,MATCH(T$2,Inputs!$K$4:$AJ$4,0)))+SUMPRODUCT((Inputs!$C$5:$C$140=$B58)*Inputs!$D$5:$D$140*(((Inputs!$G$5:$G$140="moeda")+(Inputs!$G$5:$G$140="acoes"))*Inputs!$B$1+((Inputs!$G$5:$G$140&lt;&gt;"moeda")*(Inputs!$G$5:$G$140&lt;&gt;"acoes")))*INDEX(Inputs!$K$5:$AJ$140,0,MATCH(T$2,Inputs!$K$4:$AJ$4,0)))+SUMPRODUCT((Inputs!$E$5:$E$140=$B58)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58" s="262" t="e">
        <f>IF(ISNA(MATCH(U$2,Inputs!$K$4:$AJ$4,0)),NA(),IF(SUMPRODUCT((Inputs!$A$5:$A$140=$B58)*ISNUMBER(INDEX(Inputs!$K$5:$AJ$140,0,MATCH(U$2,Inputs!$K$4:$AJ$4,0))))+SUMPRODUCT((Inputs!$C$5:$C$140=$B58)*ISNUMBER(INDEX(Inputs!$K$5:$AJ$140,0,MATCH(U$2,Inputs!$K$4:$AJ$4,0))))+SUMPRODUCT((Inputs!$E$5:$E$140=$B58)*ISNUMBER(INDEX(Inputs!$K$5:$AJ$140,0,MATCH(U$2,Inputs!$K$4:$AJ$4,0))))=0,NA(),SUMPRODUCT((Inputs!$A$5:$A$140=$B58)*Inputs!$B$5:$B$140*(((Inputs!$G$5:$G$140="moeda")+(Inputs!$G$5:$G$140="acoes"))*Inputs!$B$1+((Inputs!$G$5:$G$140&lt;&gt;"moeda")*(Inputs!$G$5:$G$140&lt;&gt;"acoes")))*INDEX(Inputs!$K$5:$AJ$140,0,MATCH(U$2,Inputs!$K$4:$AJ$4,0)))+SUMPRODUCT((Inputs!$C$5:$C$140=$B58)*Inputs!$D$5:$D$140*(((Inputs!$G$5:$G$140="moeda")+(Inputs!$G$5:$G$140="acoes"))*Inputs!$B$1+((Inputs!$G$5:$G$140&lt;&gt;"moeda")*(Inputs!$G$5:$G$140&lt;&gt;"acoes")))*INDEX(Inputs!$K$5:$AJ$140,0,MATCH(U$2,Inputs!$K$4:$AJ$4,0)))+SUMPRODUCT((Inputs!$E$5:$E$140=$B58)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58" s="262" t="e">
        <f>IF(ISNA(MATCH(V$2,Inputs!$K$4:$AJ$4,0)),NA(),IF(SUMPRODUCT((Inputs!$A$5:$A$140=$B58)*ISNUMBER(INDEX(Inputs!$K$5:$AJ$140,0,MATCH(V$2,Inputs!$K$4:$AJ$4,0))))+SUMPRODUCT((Inputs!$C$5:$C$140=$B58)*ISNUMBER(INDEX(Inputs!$K$5:$AJ$140,0,MATCH(V$2,Inputs!$K$4:$AJ$4,0))))+SUMPRODUCT((Inputs!$E$5:$E$140=$B58)*ISNUMBER(INDEX(Inputs!$K$5:$AJ$140,0,MATCH(V$2,Inputs!$K$4:$AJ$4,0))))=0,NA(),SUMPRODUCT((Inputs!$A$5:$A$140=$B58)*Inputs!$B$5:$B$140*(((Inputs!$G$5:$G$140="moeda")+(Inputs!$G$5:$G$140="acoes"))*Inputs!$B$1+((Inputs!$G$5:$G$140&lt;&gt;"moeda")*(Inputs!$G$5:$G$140&lt;&gt;"acoes")))*INDEX(Inputs!$K$5:$AJ$140,0,MATCH(V$2,Inputs!$K$4:$AJ$4,0)))+SUMPRODUCT((Inputs!$C$5:$C$140=$B58)*Inputs!$D$5:$D$140*(((Inputs!$G$5:$G$140="moeda")+(Inputs!$G$5:$G$140="acoes"))*Inputs!$B$1+((Inputs!$G$5:$G$140&lt;&gt;"moeda")*(Inputs!$G$5:$G$140&lt;&gt;"acoes")))*INDEX(Inputs!$K$5:$AJ$140,0,MATCH(V$2,Inputs!$K$4:$AJ$4,0)))+SUMPRODUCT((Inputs!$E$5:$E$140=$B58)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58" s="263" t="e">
        <f>SUM(S58:V58)</f>
        <v>#N/A</v>
      </c>
      <c r="X58" s="262" t="e">
        <f>IF(ISNA(MATCH(X$2,Inputs!$K$4:$AJ$4,0)),NA(),IF(SUMPRODUCT((Inputs!$A$5:$A$140=$B58)*ISNUMBER(INDEX(Inputs!$K$5:$AJ$140,0,MATCH(X$2,Inputs!$K$4:$AJ$4,0))))+SUMPRODUCT((Inputs!$C$5:$C$140=$B58)*ISNUMBER(INDEX(Inputs!$K$5:$AJ$140,0,MATCH(X$2,Inputs!$K$4:$AJ$4,0))))+SUMPRODUCT((Inputs!$E$5:$E$140=$B58)*ISNUMBER(INDEX(Inputs!$K$5:$AJ$140,0,MATCH(X$2,Inputs!$K$4:$AJ$4,0))))=0,NA(),SUMPRODUCT((Inputs!$A$5:$A$140=$B58)*Inputs!$B$5:$B$140*(((Inputs!$G$5:$G$140="moeda")+(Inputs!$G$5:$G$140="acoes"))*Inputs!$B$1+((Inputs!$G$5:$G$140&lt;&gt;"moeda")*(Inputs!$G$5:$G$140&lt;&gt;"acoes")))*INDEX(Inputs!$K$5:$AJ$140,0,MATCH(X$2,Inputs!$K$4:$AJ$4,0)))+SUMPRODUCT((Inputs!$C$5:$C$140=$B58)*Inputs!$D$5:$D$140*(((Inputs!$G$5:$G$140="moeda")+(Inputs!$G$5:$G$140="acoes"))*Inputs!$B$1+((Inputs!$G$5:$G$140&lt;&gt;"moeda")*(Inputs!$G$5:$G$140&lt;&gt;"acoes")))*INDEX(Inputs!$K$5:$AJ$140,0,MATCH(X$2,Inputs!$K$4:$AJ$4,0)))+SUMPRODUCT((Inputs!$E$5:$E$140=$B58)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58" s="262" t="e">
        <f>IF(ISNA(MATCH(Y$2,Inputs!$K$4:$AJ$4,0)),NA(),IF(SUMPRODUCT((Inputs!$A$5:$A$140=$B58)*ISNUMBER(INDEX(Inputs!$K$5:$AJ$140,0,MATCH(Y$2,Inputs!$K$4:$AJ$4,0))))+SUMPRODUCT((Inputs!$C$5:$C$140=$B58)*ISNUMBER(INDEX(Inputs!$K$5:$AJ$140,0,MATCH(Y$2,Inputs!$K$4:$AJ$4,0))))+SUMPRODUCT((Inputs!$E$5:$E$140=$B58)*ISNUMBER(INDEX(Inputs!$K$5:$AJ$140,0,MATCH(Y$2,Inputs!$K$4:$AJ$4,0))))=0,NA(),SUMPRODUCT((Inputs!$A$5:$A$140=$B58)*Inputs!$B$5:$B$140*(((Inputs!$G$5:$G$140="moeda")+(Inputs!$G$5:$G$140="acoes"))*Inputs!$B$1+((Inputs!$G$5:$G$140&lt;&gt;"moeda")*(Inputs!$G$5:$G$140&lt;&gt;"acoes")))*INDEX(Inputs!$K$5:$AJ$140,0,MATCH(Y$2,Inputs!$K$4:$AJ$4,0)))+SUMPRODUCT((Inputs!$C$5:$C$140=$B58)*Inputs!$D$5:$D$140*(((Inputs!$G$5:$G$140="moeda")+(Inputs!$G$5:$G$140="acoes"))*Inputs!$B$1+((Inputs!$G$5:$G$140&lt;&gt;"moeda")*(Inputs!$G$5:$G$140&lt;&gt;"acoes")))*INDEX(Inputs!$K$5:$AJ$140,0,MATCH(Y$2,Inputs!$K$4:$AJ$4,0)))+SUMPRODUCT((Inputs!$E$5:$E$140=$B58)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58" s="262">
        <f>IF(ISNA(MATCH(Z$2,Inputs!$K$4:$AJ$4,0)),NA(),IF(SUMPRODUCT((Inputs!$A$5:$A$140=$B58)*ISNUMBER(INDEX(Inputs!$K$5:$AJ$140,0,MATCH(Z$2,Inputs!$K$4:$AJ$4,0))))+SUMPRODUCT((Inputs!$C$5:$C$140=$B58)*ISNUMBER(INDEX(Inputs!$K$5:$AJ$140,0,MATCH(Z$2,Inputs!$K$4:$AJ$4,0))))+SUMPRODUCT((Inputs!$E$5:$E$140=$B58)*ISNUMBER(INDEX(Inputs!$K$5:$AJ$140,0,MATCH(Z$2,Inputs!$K$4:$AJ$4,0))))=0,NA(),SUMPRODUCT((Inputs!$A$5:$A$140=$B58)*Inputs!$B$5:$B$140*(((Inputs!$G$5:$G$140="moeda")+(Inputs!$G$5:$G$140="acoes"))*Inputs!$B$1+((Inputs!$G$5:$G$140&lt;&gt;"moeda")*(Inputs!$G$5:$G$140&lt;&gt;"acoes")))*INDEX(Inputs!$K$5:$AJ$140,0,MATCH(Z$2,Inputs!$K$4:$AJ$4,0)))+SUMPRODUCT((Inputs!$C$5:$C$140=$B58)*Inputs!$D$5:$D$140*(((Inputs!$G$5:$G$140="moeda")+(Inputs!$G$5:$G$140="acoes"))*Inputs!$B$1+((Inputs!$G$5:$G$140&lt;&gt;"moeda")*(Inputs!$G$5:$G$140&lt;&gt;"acoes")))*INDEX(Inputs!$K$5:$AJ$140,0,MATCH(Z$2,Inputs!$K$4:$AJ$4,0)))+SUMPRODUCT((Inputs!$E$5:$E$140=$B58)*Inputs!$F$5:$F$140*(((Inputs!$G$5:$G$140="moeda")+(Inputs!$G$5:$G$140="acoes"))*Inputs!$B$1+((Inputs!$G$5:$G$140&lt;&gt;"moeda")*(Inputs!$G$5:$G$140&lt;&gt;"acoes")))*INDEX(Inputs!$K$5:$AJ$140,0,MATCH(Z$2,Inputs!$K$4:$AJ$4,0)))))</f>
        <v>2895</v>
      </c>
      <c r="AA58" s="262">
        <f>IF(ISNA(MATCH(AA$2,Inputs!$K$4:$AJ$4,0)),NA(),IF(SUMPRODUCT((Inputs!$A$5:$A$140=$B58)*ISNUMBER(INDEX(Inputs!$K$5:$AJ$140,0,MATCH(AA$2,Inputs!$K$4:$AJ$4,0))))+SUMPRODUCT((Inputs!$C$5:$C$140=$B58)*ISNUMBER(INDEX(Inputs!$K$5:$AJ$140,0,MATCH(AA$2,Inputs!$K$4:$AJ$4,0))))+SUMPRODUCT((Inputs!$E$5:$E$140=$B58)*ISNUMBER(INDEX(Inputs!$K$5:$AJ$140,0,MATCH(AA$2,Inputs!$K$4:$AJ$4,0))))=0,NA(),SUMPRODUCT((Inputs!$A$5:$A$140=$B58)*Inputs!$B$5:$B$140*(((Inputs!$G$5:$G$140="moeda")+(Inputs!$G$5:$G$140="acoes"))*Inputs!$B$1+((Inputs!$G$5:$G$140&lt;&gt;"moeda")*(Inputs!$G$5:$G$140&lt;&gt;"acoes")))*INDEX(Inputs!$K$5:$AJ$140,0,MATCH(AA$2,Inputs!$K$4:$AJ$4,0)))+SUMPRODUCT((Inputs!$C$5:$C$140=$B58)*Inputs!$D$5:$D$140*(((Inputs!$G$5:$G$140="moeda")+(Inputs!$G$5:$G$140="acoes"))*Inputs!$B$1+((Inputs!$G$5:$G$140&lt;&gt;"moeda")*(Inputs!$G$5:$G$140&lt;&gt;"acoes")))*INDEX(Inputs!$K$5:$AJ$140,0,MATCH(AA$2,Inputs!$K$4:$AJ$4,0)))+SUMPRODUCT((Inputs!$E$5:$E$140=$B58)*Inputs!$F$5:$F$140*(((Inputs!$G$5:$G$140="moeda")+(Inputs!$G$5:$G$140="acoes"))*Inputs!$B$1+((Inputs!$G$5:$G$140&lt;&gt;"moeda")*(Inputs!$G$5:$G$140&lt;&gt;"acoes")))*INDEX(Inputs!$K$5:$AJ$140,0,MATCH(AA$2,Inputs!$K$4:$AJ$4,0)))))</f>
        <v>2827</v>
      </c>
      <c r="AB58" s="263" t="e">
        <f>SUM(X58:AA58)</f>
        <v>#N/A</v>
      </c>
      <c r="AC58" s="262">
        <f>IF(ISNA(MATCH(AC$2,Inputs!$K$4:$AJ$4,0)),NA(),IF(SUMPRODUCT((Inputs!$A$5:$A$140=$B58)*ISNUMBER(INDEX(Inputs!$K$5:$AJ$140,0,MATCH(AC$2,Inputs!$K$4:$AJ$4,0))))+SUMPRODUCT((Inputs!$C$5:$C$140=$B58)*ISNUMBER(INDEX(Inputs!$K$5:$AJ$140,0,MATCH(AC$2,Inputs!$K$4:$AJ$4,0))))+SUMPRODUCT((Inputs!$E$5:$E$140=$B58)*ISNUMBER(INDEX(Inputs!$K$5:$AJ$140,0,MATCH(AC$2,Inputs!$K$4:$AJ$4,0))))=0,NA(),SUMPRODUCT((Inputs!$A$5:$A$140=$B58)*Inputs!$B$5:$B$140*(((Inputs!$G$5:$G$140="moeda")+(Inputs!$G$5:$G$140="acoes"))*Inputs!$B$1+((Inputs!$G$5:$G$140&lt;&gt;"moeda")*(Inputs!$G$5:$G$140&lt;&gt;"acoes")))*INDEX(Inputs!$K$5:$AJ$140,0,MATCH(AC$2,Inputs!$K$4:$AJ$4,0)))+SUMPRODUCT((Inputs!$C$5:$C$140=$B58)*Inputs!$D$5:$D$140*(((Inputs!$G$5:$G$140="moeda")+(Inputs!$G$5:$G$140="acoes"))*Inputs!$B$1+((Inputs!$G$5:$G$140&lt;&gt;"moeda")*(Inputs!$G$5:$G$140&lt;&gt;"acoes")))*INDEX(Inputs!$K$5:$AJ$140,0,MATCH(AC$2,Inputs!$K$4:$AJ$4,0)))+SUMPRODUCT((Inputs!$E$5:$E$140=$B58)*Inputs!$F$5:$F$140*(((Inputs!$G$5:$G$140="moeda")+(Inputs!$G$5:$G$140="acoes"))*Inputs!$B$1+((Inputs!$G$5:$G$140&lt;&gt;"moeda")*(Inputs!$G$5:$G$140&lt;&gt;"acoes")))*INDEX(Inputs!$K$5:$AJ$140,0,MATCH(AC$2,Inputs!$K$4:$AJ$4,0)))))</f>
        <v>2390</v>
      </c>
      <c r="AD58" s="262">
        <f>IF(ISNA(MATCH(AD$2,Inputs!$K$4:$AJ$4,0)),NA(),IF(SUMPRODUCT((Inputs!$A$5:$A$140=$B58)*ISNUMBER(INDEX(Inputs!$K$5:$AJ$140,0,MATCH(AD$2,Inputs!$K$4:$AJ$4,0))))+SUMPRODUCT((Inputs!$C$5:$C$140=$B58)*ISNUMBER(INDEX(Inputs!$K$5:$AJ$140,0,MATCH(AD$2,Inputs!$K$4:$AJ$4,0))))+SUMPRODUCT((Inputs!$E$5:$E$140=$B58)*ISNUMBER(INDEX(Inputs!$K$5:$AJ$140,0,MATCH(AD$2,Inputs!$K$4:$AJ$4,0))))=0,NA(),SUMPRODUCT((Inputs!$A$5:$A$140=$B58)*Inputs!$B$5:$B$140*(((Inputs!$G$5:$G$140="moeda")+(Inputs!$G$5:$G$140="acoes"))*Inputs!$B$1+((Inputs!$G$5:$G$140&lt;&gt;"moeda")*(Inputs!$G$5:$G$140&lt;&gt;"acoes")))*INDEX(Inputs!$K$5:$AJ$140,0,MATCH(AD$2,Inputs!$K$4:$AJ$4,0)))+SUMPRODUCT((Inputs!$C$5:$C$140=$B58)*Inputs!$D$5:$D$140*(((Inputs!$G$5:$G$140="moeda")+(Inputs!$G$5:$G$140="acoes"))*Inputs!$B$1+((Inputs!$G$5:$G$140&lt;&gt;"moeda")*(Inputs!$G$5:$G$140&lt;&gt;"acoes")))*INDEX(Inputs!$K$5:$AJ$140,0,MATCH(AD$2,Inputs!$K$4:$AJ$4,0)))+SUMPRODUCT((Inputs!$E$5:$E$140=$B58)*Inputs!$F$5:$F$140*(((Inputs!$G$5:$G$140="moeda")+(Inputs!$G$5:$G$140="acoes"))*Inputs!$B$1+((Inputs!$G$5:$G$140&lt;&gt;"moeda")*(Inputs!$G$5:$G$140&lt;&gt;"acoes")))*INDEX(Inputs!$K$5:$AJ$140,0,MATCH(AD$2,Inputs!$K$4:$AJ$4,0)))))</f>
        <v>2466</v>
      </c>
      <c r="AE58" s="262" t="e">
        <f>IF(ISNA(MATCH(AE$2,Inputs!$K$4:$AJ$4,0)),NA(),IF(SUMPRODUCT((Inputs!$A$5:$A$140=$B58)*ISNUMBER(INDEX(Inputs!$K$5:$AJ$140,0,MATCH(AE$2,Inputs!$K$4:$AJ$4,0))))+SUMPRODUCT((Inputs!$C$5:$C$140=$B58)*ISNUMBER(INDEX(Inputs!$K$5:$AJ$140,0,MATCH(AE$2,Inputs!$K$4:$AJ$4,0))))+SUMPRODUCT((Inputs!$E$5:$E$140=$B58)*ISNUMBER(INDEX(Inputs!$K$5:$AJ$140,0,MATCH(AE$2,Inputs!$K$4:$AJ$4,0))))=0,NA(),SUMPRODUCT((Inputs!$A$5:$A$140=$B58)*Inputs!$B$5:$B$140*(((Inputs!$G$5:$G$140="moeda")+(Inputs!$G$5:$G$140="acoes"))*Inputs!$B$1+((Inputs!$G$5:$G$140&lt;&gt;"moeda")*(Inputs!$G$5:$G$140&lt;&gt;"acoes")))*INDEX(Inputs!$K$5:$AJ$140,0,MATCH(AE$2,Inputs!$K$4:$AJ$4,0)))+SUMPRODUCT((Inputs!$C$5:$C$140=$B58)*Inputs!$D$5:$D$140*(((Inputs!$G$5:$G$140="moeda")+(Inputs!$G$5:$G$140="acoes"))*Inputs!$B$1+((Inputs!$G$5:$G$140&lt;&gt;"moeda")*(Inputs!$G$5:$G$140&lt;&gt;"acoes")))*INDEX(Inputs!$K$5:$AJ$140,0,MATCH(AE$2,Inputs!$K$4:$AJ$4,0)))+SUMPRODUCT((Inputs!$E$5:$E$140=$B58)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8" s="262" t="e">
        <f>IF(ISNA(MATCH(AF$2,Inputs!$K$4:$AJ$4,0)),NA(),IF(SUMPRODUCT((Inputs!$A$5:$A$140=$B58)*ISNUMBER(INDEX(Inputs!$K$5:$AJ$140,0,MATCH(AF$2,Inputs!$K$4:$AJ$4,0))))+SUMPRODUCT((Inputs!$C$5:$C$140=$B58)*ISNUMBER(INDEX(Inputs!$K$5:$AJ$140,0,MATCH(AF$2,Inputs!$K$4:$AJ$4,0))))+SUMPRODUCT((Inputs!$E$5:$E$140=$B58)*ISNUMBER(INDEX(Inputs!$K$5:$AJ$140,0,MATCH(AF$2,Inputs!$K$4:$AJ$4,0))))=0,NA(),SUMPRODUCT((Inputs!$A$5:$A$140=$B58)*Inputs!$B$5:$B$140*(((Inputs!$G$5:$G$140="moeda")+(Inputs!$G$5:$G$140="acoes"))*Inputs!$B$1+((Inputs!$G$5:$G$140&lt;&gt;"moeda")*(Inputs!$G$5:$G$140&lt;&gt;"acoes")))*INDEX(Inputs!$K$5:$AJ$140,0,MATCH(AF$2,Inputs!$K$4:$AJ$4,0)))+SUMPRODUCT((Inputs!$C$5:$C$140=$B58)*Inputs!$D$5:$D$140*(((Inputs!$G$5:$G$140="moeda")+(Inputs!$G$5:$G$140="acoes"))*Inputs!$B$1+((Inputs!$G$5:$G$140&lt;&gt;"moeda")*(Inputs!$G$5:$G$140&lt;&gt;"acoes")))*INDEX(Inputs!$K$5:$AJ$140,0,MATCH(AF$2,Inputs!$K$4:$AJ$4,0)))+SUMPRODUCT((Inputs!$E$5:$E$140=$B58)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8" s="263" t="e">
        <f>SUM(AC58:AF58)</f>
        <v>#N/A</v>
      </c>
      <c r="AH58" s="262" t="e">
        <f>IF(ISNA(MATCH(AH$2,Inputs!$K$4:$AJ$4,0)),NA(),IF(SUMPRODUCT((Inputs!$A$5:$A$140=$B58)*ISNUMBER(INDEX(Inputs!$K$5:$AJ$140,0,MATCH(AH$2,Inputs!$K$4:$AJ$4,0))))+SUMPRODUCT((Inputs!$C$5:$C$140=$B58)*ISNUMBER(INDEX(Inputs!$K$5:$AJ$140,0,MATCH(AH$2,Inputs!$K$4:$AJ$4,0))))+SUMPRODUCT((Inputs!$E$5:$E$140=$B58)*ISNUMBER(INDEX(Inputs!$K$5:$AJ$140,0,MATCH(AH$2,Inputs!$K$4:$AJ$4,0))))=0,NA(),SUMPRODUCT((Inputs!$A$5:$A$140=$B58)*Inputs!$B$5:$B$140*(((Inputs!$G$5:$G$140="moeda")+(Inputs!$G$5:$G$140="acoes"))*Inputs!$B$1+((Inputs!$G$5:$G$140&lt;&gt;"moeda")*(Inputs!$G$5:$G$140&lt;&gt;"acoes")))*INDEX(Inputs!$K$5:$AJ$140,0,MATCH(AH$2,Inputs!$K$4:$AJ$4,0)))+SUMPRODUCT((Inputs!$C$5:$C$140=$B58)*Inputs!$D$5:$D$140*(((Inputs!$G$5:$G$140="moeda")+(Inputs!$G$5:$G$140="acoes"))*Inputs!$B$1+((Inputs!$G$5:$G$140&lt;&gt;"moeda")*(Inputs!$G$5:$G$140&lt;&gt;"acoes")))*INDEX(Inputs!$K$5:$AJ$140,0,MATCH(AH$2,Inputs!$K$4:$AJ$4,0)))+SUMPRODUCT((Inputs!$E$5:$E$140=$B58)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58" s="262" t="e">
        <f>IF(ISNA(MATCH(AI$2,Inputs!$K$4:$AJ$4,0)),NA(),IF(SUMPRODUCT((Inputs!$A$5:$A$140=$B58)*ISNUMBER(INDEX(Inputs!$K$5:$AJ$140,0,MATCH(AI$2,Inputs!$K$4:$AJ$4,0))))+SUMPRODUCT((Inputs!$C$5:$C$140=$B58)*ISNUMBER(INDEX(Inputs!$K$5:$AJ$140,0,MATCH(AI$2,Inputs!$K$4:$AJ$4,0))))+SUMPRODUCT((Inputs!$E$5:$E$140=$B58)*ISNUMBER(INDEX(Inputs!$K$5:$AJ$140,0,MATCH(AI$2,Inputs!$K$4:$AJ$4,0))))=0,NA(),SUMPRODUCT((Inputs!$A$5:$A$140=$B58)*Inputs!$B$5:$B$140*(((Inputs!$G$5:$G$140="moeda")+(Inputs!$G$5:$G$140="acoes"))*Inputs!$B$1+((Inputs!$G$5:$G$140&lt;&gt;"moeda")*(Inputs!$G$5:$G$140&lt;&gt;"acoes")))*INDEX(Inputs!$K$5:$AJ$140,0,MATCH(AI$2,Inputs!$K$4:$AJ$4,0)))+SUMPRODUCT((Inputs!$C$5:$C$140=$B58)*Inputs!$D$5:$D$140*(((Inputs!$G$5:$G$140="moeda")+(Inputs!$G$5:$G$140="acoes"))*Inputs!$B$1+((Inputs!$G$5:$G$140&lt;&gt;"moeda")*(Inputs!$G$5:$G$140&lt;&gt;"acoes")))*INDEX(Inputs!$K$5:$AJ$140,0,MATCH(AI$2,Inputs!$K$4:$AJ$4,0)))+SUMPRODUCT((Inputs!$E$5:$E$140=$B58)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58" s="262" t="e">
        <f>IF(ISNA(MATCH(AJ$2,Inputs!$K$4:$AJ$4,0)),NA(),IF(SUMPRODUCT((Inputs!$A$5:$A$140=$B58)*ISNUMBER(INDEX(Inputs!$K$5:$AJ$140,0,MATCH(AJ$2,Inputs!$K$4:$AJ$4,0))))+SUMPRODUCT((Inputs!$C$5:$C$140=$B58)*ISNUMBER(INDEX(Inputs!$K$5:$AJ$140,0,MATCH(AJ$2,Inputs!$K$4:$AJ$4,0))))+SUMPRODUCT((Inputs!$E$5:$E$140=$B58)*ISNUMBER(INDEX(Inputs!$K$5:$AJ$140,0,MATCH(AJ$2,Inputs!$K$4:$AJ$4,0))))=0,NA(),SUMPRODUCT((Inputs!$A$5:$A$140=$B58)*Inputs!$B$5:$B$140*(((Inputs!$G$5:$G$140="moeda")+(Inputs!$G$5:$G$140="acoes"))*Inputs!$B$1+((Inputs!$G$5:$G$140&lt;&gt;"moeda")*(Inputs!$G$5:$G$140&lt;&gt;"acoes")))*INDEX(Inputs!$K$5:$AJ$140,0,MATCH(AJ$2,Inputs!$K$4:$AJ$4,0)))+SUMPRODUCT((Inputs!$C$5:$C$140=$B58)*Inputs!$D$5:$D$140*(((Inputs!$G$5:$G$140="moeda")+(Inputs!$G$5:$G$140="acoes"))*Inputs!$B$1+((Inputs!$G$5:$G$140&lt;&gt;"moeda")*(Inputs!$G$5:$G$140&lt;&gt;"acoes")))*INDEX(Inputs!$K$5:$AJ$140,0,MATCH(AJ$2,Inputs!$K$4:$AJ$4,0)))+SUMPRODUCT((Inputs!$E$5:$E$140=$B58)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58" s="262" t="e">
        <f>IF(ISNA(MATCH(AK$2,Inputs!$K$4:$AJ$4,0)),NA(),IF(SUMPRODUCT((Inputs!$A$5:$A$140=$B58)*ISNUMBER(INDEX(Inputs!$K$5:$AJ$140,0,MATCH(AK$2,Inputs!$K$4:$AJ$4,0))))+SUMPRODUCT((Inputs!$C$5:$C$140=$B58)*ISNUMBER(INDEX(Inputs!$K$5:$AJ$140,0,MATCH(AK$2,Inputs!$K$4:$AJ$4,0))))+SUMPRODUCT((Inputs!$E$5:$E$140=$B58)*ISNUMBER(INDEX(Inputs!$K$5:$AJ$140,0,MATCH(AK$2,Inputs!$K$4:$AJ$4,0))))=0,NA(),SUMPRODUCT((Inputs!$A$5:$A$140=$B58)*Inputs!$B$5:$B$140*(((Inputs!$G$5:$G$140="moeda")+(Inputs!$G$5:$G$140="acoes"))*Inputs!$B$1+((Inputs!$G$5:$G$140&lt;&gt;"moeda")*(Inputs!$G$5:$G$140&lt;&gt;"acoes")))*INDEX(Inputs!$K$5:$AJ$140,0,MATCH(AK$2,Inputs!$K$4:$AJ$4,0)))+SUMPRODUCT((Inputs!$C$5:$C$140=$B58)*Inputs!$D$5:$D$140*(((Inputs!$G$5:$G$140="moeda")+(Inputs!$G$5:$G$140="acoes"))*Inputs!$B$1+((Inputs!$G$5:$G$140&lt;&gt;"moeda")*(Inputs!$G$5:$G$140&lt;&gt;"acoes")))*INDEX(Inputs!$K$5:$AJ$140,0,MATCH(AK$2,Inputs!$K$4:$AJ$4,0)))+SUMPRODUCT((Inputs!$E$5:$E$140=$B58)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58" s="263" t="e">
        <f>SUM(AH58:AK58)</f>
        <v>#N/A</v>
      </c>
    </row>
    <row r="59">
      <c r="B59" s="46" t="n">
        <v>51</v>
      </c>
      <c r="C59" s="29" t="inlineStr">
        <is>
          <t>Lojas - Atacarejo e Food Service (Mix Mateus) (fim do periodo)</t>
        </is>
      </c>
      <c r="D59" s="262">
        <f>IF(ISNA(MATCH(D$2,Inputs!$K$4:$AJ$4,0)),NA(),IF(SUMPRODUCT((Inputs!$A$5:$A$140=$B59)*ISNUMBER(INDEX(Inputs!$K$5:$AJ$140,0,MATCH(D$2,Inputs!$K$4:$AJ$4,0))))+SUMPRODUCT((Inputs!$C$5:$C$140=$B59)*ISNUMBER(INDEX(Inputs!$K$5:$AJ$140,0,MATCH(D$2,Inputs!$K$4:$AJ$4,0))))+SUMPRODUCT((Inputs!$E$5:$E$140=$B59)*ISNUMBER(INDEX(Inputs!$K$5:$AJ$140,0,MATCH(D$2,Inputs!$K$4:$AJ$4,0))))=0,NA(),SUMPRODUCT((Inputs!$A$5:$A$140=$B59)*Inputs!$B$5:$B$140*(((Inputs!$G$5:$G$140="moeda")+(Inputs!$G$5:$G$140="acoes"))*Inputs!$B$1+((Inputs!$G$5:$G$140&lt;&gt;"moeda")*(Inputs!$G$5:$G$140&lt;&gt;"acoes")))*INDEX(Inputs!$K$5:$AJ$140,0,MATCH(D$2,Inputs!$K$4:$AJ$4,0)))+SUMPRODUCT((Inputs!$C$5:$C$140=$B59)*Inputs!$D$5:$D$140*(((Inputs!$G$5:$G$140="moeda")+(Inputs!$G$5:$G$140="acoes"))*Inputs!$B$1+((Inputs!$G$5:$G$140&lt;&gt;"moeda")*(Inputs!$G$5:$G$140&lt;&gt;"acoes")))*INDEX(Inputs!$K$5:$AJ$140,0,MATCH(D$2,Inputs!$K$4:$AJ$4,0)))+SUMPRODUCT((Inputs!$E$5:$E$140=$B59)*Inputs!$F$5:$F$140*(((Inputs!$G$5:$G$140="moeda")+(Inputs!$G$5:$G$140="acoes"))*Inputs!$B$1+((Inputs!$G$5:$G$140&lt;&gt;"moeda")*(Inputs!$G$5:$G$140&lt;&gt;"acoes")))*INDEX(Inputs!$K$5:$AJ$140,0,MATCH(D$2,Inputs!$K$4:$AJ$4,0)))))</f>
        <v>35</v>
      </c>
      <c r="E59" s="262">
        <f>IF(ISNA(MATCH(E$2,Inputs!$K$4:$AJ$4,0)),NA(),IF(SUMPRODUCT((Inputs!$A$5:$A$140=$B59)*ISNUMBER(INDEX(Inputs!$K$5:$AJ$140,0,MATCH(E$2,Inputs!$K$4:$AJ$4,0))))+SUMPRODUCT((Inputs!$C$5:$C$140=$B59)*ISNUMBER(INDEX(Inputs!$K$5:$AJ$140,0,MATCH(E$2,Inputs!$K$4:$AJ$4,0))))+SUMPRODUCT((Inputs!$E$5:$E$140=$B59)*ISNUMBER(INDEX(Inputs!$K$5:$AJ$140,0,MATCH(E$2,Inputs!$K$4:$AJ$4,0))))=0,NA(),SUMPRODUCT((Inputs!$A$5:$A$140=$B59)*Inputs!$B$5:$B$140*(((Inputs!$G$5:$G$140="moeda")+(Inputs!$G$5:$G$140="acoes"))*Inputs!$B$1+((Inputs!$G$5:$G$140&lt;&gt;"moeda")*(Inputs!$G$5:$G$140&lt;&gt;"acoes")))*INDEX(Inputs!$K$5:$AJ$140,0,MATCH(E$2,Inputs!$K$4:$AJ$4,0)))+SUMPRODUCT((Inputs!$C$5:$C$140=$B59)*Inputs!$D$5:$D$140*(((Inputs!$G$5:$G$140="moeda")+(Inputs!$G$5:$G$140="acoes"))*Inputs!$B$1+((Inputs!$G$5:$G$140&lt;&gt;"moeda")*(Inputs!$G$5:$G$140&lt;&gt;"acoes")))*INDEX(Inputs!$K$5:$AJ$140,0,MATCH(E$2,Inputs!$K$4:$AJ$4,0)))+SUMPRODUCT((Inputs!$E$5:$E$140=$B59)*Inputs!$F$5:$F$140*(((Inputs!$G$5:$G$140="moeda")+(Inputs!$G$5:$G$140="acoes"))*Inputs!$B$1+((Inputs!$G$5:$G$140&lt;&gt;"moeda")*(Inputs!$G$5:$G$140&lt;&gt;"acoes")))*INDEX(Inputs!$K$5:$AJ$140,0,MATCH(E$2,Inputs!$K$4:$AJ$4,0)))))</f>
        <v>38</v>
      </c>
      <c r="F59" s="262">
        <f>IF(ISNA(MATCH(F$2,Inputs!$K$4:$AJ$4,0)),NA(),IF(SUMPRODUCT((Inputs!$A$5:$A$140=$B59)*ISNUMBER(INDEX(Inputs!$K$5:$AJ$140,0,MATCH(F$2,Inputs!$K$4:$AJ$4,0))))+SUMPRODUCT((Inputs!$C$5:$C$140=$B59)*ISNUMBER(INDEX(Inputs!$K$5:$AJ$140,0,MATCH(F$2,Inputs!$K$4:$AJ$4,0))))+SUMPRODUCT((Inputs!$E$5:$E$140=$B59)*ISNUMBER(INDEX(Inputs!$K$5:$AJ$140,0,MATCH(F$2,Inputs!$K$4:$AJ$4,0))))=0,NA(),SUMPRODUCT((Inputs!$A$5:$A$140=$B59)*Inputs!$B$5:$B$140*(((Inputs!$G$5:$G$140="moeda")+(Inputs!$G$5:$G$140="acoes"))*Inputs!$B$1+((Inputs!$G$5:$G$140&lt;&gt;"moeda")*(Inputs!$G$5:$G$140&lt;&gt;"acoes")))*INDEX(Inputs!$K$5:$AJ$140,0,MATCH(F$2,Inputs!$K$4:$AJ$4,0)))+SUMPRODUCT((Inputs!$C$5:$C$140=$B59)*Inputs!$D$5:$D$140*(((Inputs!$G$5:$G$140="moeda")+(Inputs!$G$5:$G$140="acoes"))*Inputs!$B$1+((Inputs!$G$5:$G$140&lt;&gt;"moeda")*(Inputs!$G$5:$G$140&lt;&gt;"acoes")))*INDEX(Inputs!$K$5:$AJ$140,0,MATCH(F$2,Inputs!$K$4:$AJ$4,0)))+SUMPRODUCT((Inputs!$E$5:$E$140=$B59)*Inputs!$F$5:$F$140*(((Inputs!$G$5:$G$140="moeda")+(Inputs!$G$5:$G$140="acoes"))*Inputs!$B$1+((Inputs!$G$5:$G$140&lt;&gt;"moeda")*(Inputs!$G$5:$G$140&lt;&gt;"acoes")))*INDEX(Inputs!$K$5:$AJ$140,0,MATCH(F$2,Inputs!$K$4:$AJ$4,0)))))</f>
        <v>40</v>
      </c>
      <c r="G59" s="262">
        <f>IF(ISNA(MATCH(G$2,Inputs!$K$4:$AJ$4,0)),NA(),IF(SUMPRODUCT((Inputs!$A$5:$A$140=$B59)*ISNUMBER(INDEX(Inputs!$K$5:$AJ$140,0,MATCH(G$2,Inputs!$K$4:$AJ$4,0))))+SUMPRODUCT((Inputs!$C$5:$C$140=$B59)*ISNUMBER(INDEX(Inputs!$K$5:$AJ$140,0,MATCH(G$2,Inputs!$K$4:$AJ$4,0))))+SUMPRODUCT((Inputs!$E$5:$E$140=$B59)*ISNUMBER(INDEX(Inputs!$K$5:$AJ$140,0,MATCH(G$2,Inputs!$K$4:$AJ$4,0))))=0,NA(),SUMPRODUCT((Inputs!$A$5:$A$140=$B59)*Inputs!$B$5:$B$140*(((Inputs!$G$5:$G$140="moeda")+(Inputs!$G$5:$G$140="acoes"))*Inputs!$B$1+((Inputs!$G$5:$G$140&lt;&gt;"moeda")*(Inputs!$G$5:$G$140&lt;&gt;"acoes")))*INDEX(Inputs!$K$5:$AJ$140,0,MATCH(G$2,Inputs!$K$4:$AJ$4,0)))+SUMPRODUCT((Inputs!$C$5:$C$140=$B59)*Inputs!$D$5:$D$140*(((Inputs!$G$5:$G$140="moeda")+(Inputs!$G$5:$G$140="acoes"))*Inputs!$B$1+((Inputs!$G$5:$G$140&lt;&gt;"moeda")*(Inputs!$G$5:$G$140&lt;&gt;"acoes")))*INDEX(Inputs!$K$5:$AJ$140,0,MATCH(G$2,Inputs!$K$4:$AJ$4,0)))+SUMPRODUCT((Inputs!$E$5:$E$140=$B59)*Inputs!$F$5:$F$140*(((Inputs!$G$5:$G$140="moeda")+(Inputs!$G$5:$G$140="acoes"))*Inputs!$B$1+((Inputs!$G$5:$G$140&lt;&gt;"moeda")*(Inputs!$G$5:$G$140&lt;&gt;"acoes")))*INDEX(Inputs!$K$5:$AJ$140,0,MATCH(G$2,Inputs!$K$4:$AJ$4,0)))))</f>
        <v>42</v>
      </c>
      <c r="H59" s="263">
        <f>G59</f>
        <v>42</v>
      </c>
      <c r="I59" s="262">
        <f>IF(ISNA(MATCH(I$2,Inputs!$K$4:$AJ$4,0)),NA(),IF(SUMPRODUCT((Inputs!$A$5:$A$140=$B59)*ISNUMBER(INDEX(Inputs!$K$5:$AJ$140,0,MATCH(I$2,Inputs!$K$4:$AJ$4,0))))+SUMPRODUCT((Inputs!$C$5:$C$140=$B59)*ISNUMBER(INDEX(Inputs!$K$5:$AJ$140,0,MATCH(I$2,Inputs!$K$4:$AJ$4,0))))+SUMPRODUCT((Inputs!$E$5:$E$140=$B59)*ISNUMBER(INDEX(Inputs!$K$5:$AJ$140,0,MATCH(I$2,Inputs!$K$4:$AJ$4,0))))=0,NA(),SUMPRODUCT((Inputs!$A$5:$A$140=$B59)*Inputs!$B$5:$B$140*(((Inputs!$G$5:$G$140="moeda")+(Inputs!$G$5:$G$140="acoes"))*Inputs!$B$1+((Inputs!$G$5:$G$140&lt;&gt;"moeda")*(Inputs!$G$5:$G$140&lt;&gt;"acoes")))*INDEX(Inputs!$K$5:$AJ$140,0,MATCH(I$2,Inputs!$K$4:$AJ$4,0)))+SUMPRODUCT((Inputs!$C$5:$C$140=$B59)*Inputs!$D$5:$D$140*(((Inputs!$G$5:$G$140="moeda")+(Inputs!$G$5:$G$140="acoes"))*Inputs!$B$1+((Inputs!$G$5:$G$140&lt;&gt;"moeda")*(Inputs!$G$5:$G$140&lt;&gt;"acoes")))*INDEX(Inputs!$K$5:$AJ$140,0,MATCH(I$2,Inputs!$K$4:$AJ$4,0)))+SUMPRODUCT((Inputs!$E$5:$E$140=$B59)*Inputs!$F$5:$F$140*(((Inputs!$G$5:$G$140="moeda")+(Inputs!$G$5:$G$140="acoes"))*Inputs!$B$1+((Inputs!$G$5:$G$140&lt;&gt;"moeda")*(Inputs!$G$5:$G$140&lt;&gt;"acoes")))*INDEX(Inputs!$K$5:$AJ$140,0,MATCH(I$2,Inputs!$K$4:$AJ$4,0)))))</f>
        <v>48</v>
      </c>
      <c r="J59" s="262">
        <f>IF(ISNA(MATCH(J$2,Inputs!$K$4:$AJ$4,0)),NA(),IF(SUMPRODUCT((Inputs!$A$5:$A$140=$B59)*ISNUMBER(INDEX(Inputs!$K$5:$AJ$140,0,MATCH(J$2,Inputs!$K$4:$AJ$4,0))))+SUMPRODUCT((Inputs!$C$5:$C$140=$B59)*ISNUMBER(INDEX(Inputs!$K$5:$AJ$140,0,MATCH(J$2,Inputs!$K$4:$AJ$4,0))))+SUMPRODUCT((Inputs!$E$5:$E$140=$B59)*ISNUMBER(INDEX(Inputs!$K$5:$AJ$140,0,MATCH(J$2,Inputs!$K$4:$AJ$4,0))))=0,NA(),SUMPRODUCT((Inputs!$A$5:$A$140=$B59)*Inputs!$B$5:$B$140*(((Inputs!$G$5:$G$140="moeda")+(Inputs!$G$5:$G$140="acoes"))*Inputs!$B$1+((Inputs!$G$5:$G$140&lt;&gt;"moeda")*(Inputs!$G$5:$G$140&lt;&gt;"acoes")))*INDEX(Inputs!$K$5:$AJ$140,0,MATCH(J$2,Inputs!$K$4:$AJ$4,0)))+SUMPRODUCT((Inputs!$C$5:$C$140=$B59)*Inputs!$D$5:$D$140*(((Inputs!$G$5:$G$140="moeda")+(Inputs!$G$5:$G$140="acoes"))*Inputs!$B$1+((Inputs!$G$5:$G$140&lt;&gt;"moeda")*(Inputs!$G$5:$G$140&lt;&gt;"acoes")))*INDEX(Inputs!$K$5:$AJ$140,0,MATCH(J$2,Inputs!$K$4:$AJ$4,0)))+SUMPRODUCT((Inputs!$E$5:$E$140=$B59)*Inputs!$F$5:$F$140*(((Inputs!$G$5:$G$140="moeda")+(Inputs!$G$5:$G$140="acoes"))*Inputs!$B$1+((Inputs!$G$5:$G$140&lt;&gt;"moeda")*(Inputs!$G$5:$G$140&lt;&gt;"acoes")))*INDEX(Inputs!$K$5:$AJ$140,0,MATCH(J$2,Inputs!$K$4:$AJ$4,0)))))</f>
        <v>50</v>
      </c>
      <c r="K59" s="262">
        <f>IF(ISNA(MATCH(K$2,Inputs!$K$4:$AJ$4,0)),NA(),IF(SUMPRODUCT((Inputs!$A$5:$A$140=$B59)*ISNUMBER(INDEX(Inputs!$K$5:$AJ$140,0,MATCH(K$2,Inputs!$K$4:$AJ$4,0))))+SUMPRODUCT((Inputs!$C$5:$C$140=$B59)*ISNUMBER(INDEX(Inputs!$K$5:$AJ$140,0,MATCH(K$2,Inputs!$K$4:$AJ$4,0))))+SUMPRODUCT((Inputs!$E$5:$E$140=$B59)*ISNUMBER(INDEX(Inputs!$K$5:$AJ$140,0,MATCH(K$2,Inputs!$K$4:$AJ$4,0))))=0,NA(),SUMPRODUCT((Inputs!$A$5:$A$140=$B59)*Inputs!$B$5:$B$140*(((Inputs!$G$5:$G$140="moeda")+(Inputs!$G$5:$G$140="acoes"))*Inputs!$B$1+((Inputs!$G$5:$G$140&lt;&gt;"moeda")*(Inputs!$G$5:$G$140&lt;&gt;"acoes")))*INDEX(Inputs!$K$5:$AJ$140,0,MATCH(K$2,Inputs!$K$4:$AJ$4,0)))+SUMPRODUCT((Inputs!$C$5:$C$140=$B59)*Inputs!$D$5:$D$140*(((Inputs!$G$5:$G$140="moeda")+(Inputs!$G$5:$G$140="acoes"))*Inputs!$B$1+((Inputs!$G$5:$G$140&lt;&gt;"moeda")*(Inputs!$G$5:$G$140&lt;&gt;"acoes")))*INDEX(Inputs!$K$5:$AJ$140,0,MATCH(K$2,Inputs!$K$4:$AJ$4,0)))+SUMPRODUCT((Inputs!$E$5:$E$140=$B59)*Inputs!$F$5:$F$140*(((Inputs!$G$5:$G$140="moeda")+(Inputs!$G$5:$G$140="acoes"))*Inputs!$B$1+((Inputs!$G$5:$G$140&lt;&gt;"moeda")*(Inputs!$G$5:$G$140&lt;&gt;"acoes")))*INDEX(Inputs!$K$5:$AJ$140,0,MATCH(K$2,Inputs!$K$4:$AJ$4,0)))))</f>
        <v>53</v>
      </c>
      <c r="L59" s="262">
        <f>IF(ISNA(MATCH(L$2,Inputs!$K$4:$AJ$4,0)),NA(),IF(SUMPRODUCT((Inputs!$A$5:$A$140=$B59)*ISNUMBER(INDEX(Inputs!$K$5:$AJ$140,0,MATCH(L$2,Inputs!$K$4:$AJ$4,0))))+SUMPRODUCT((Inputs!$C$5:$C$140=$B59)*ISNUMBER(INDEX(Inputs!$K$5:$AJ$140,0,MATCH(L$2,Inputs!$K$4:$AJ$4,0))))+SUMPRODUCT((Inputs!$E$5:$E$140=$B59)*ISNUMBER(INDEX(Inputs!$K$5:$AJ$140,0,MATCH(L$2,Inputs!$K$4:$AJ$4,0))))=0,NA(),SUMPRODUCT((Inputs!$A$5:$A$140=$B59)*Inputs!$B$5:$B$140*(((Inputs!$G$5:$G$140="moeda")+(Inputs!$G$5:$G$140="acoes"))*Inputs!$B$1+((Inputs!$G$5:$G$140&lt;&gt;"moeda")*(Inputs!$G$5:$G$140&lt;&gt;"acoes")))*INDEX(Inputs!$K$5:$AJ$140,0,MATCH(L$2,Inputs!$K$4:$AJ$4,0)))+SUMPRODUCT((Inputs!$C$5:$C$140=$B59)*Inputs!$D$5:$D$140*(((Inputs!$G$5:$G$140="moeda")+(Inputs!$G$5:$G$140="acoes"))*Inputs!$B$1+((Inputs!$G$5:$G$140&lt;&gt;"moeda")*(Inputs!$G$5:$G$140&lt;&gt;"acoes")))*INDEX(Inputs!$K$5:$AJ$140,0,MATCH(L$2,Inputs!$K$4:$AJ$4,0)))+SUMPRODUCT((Inputs!$E$5:$E$140=$B59)*Inputs!$F$5:$F$140*(((Inputs!$G$5:$G$140="moeda")+(Inputs!$G$5:$G$140="acoes"))*Inputs!$B$1+((Inputs!$G$5:$G$140&lt;&gt;"moeda")*(Inputs!$G$5:$G$140&lt;&gt;"acoes")))*INDEX(Inputs!$K$5:$AJ$140,0,MATCH(L$2,Inputs!$K$4:$AJ$4,0)))))</f>
        <v>58</v>
      </c>
      <c r="M59" s="263">
        <f>L59</f>
        <v>58</v>
      </c>
      <c r="N59" s="262">
        <f>IF(ISNA(MATCH(N$2,Inputs!$K$4:$AJ$4,0)),NA(),IF(SUMPRODUCT((Inputs!$A$5:$A$140=$B59)*ISNUMBER(INDEX(Inputs!$K$5:$AJ$140,0,MATCH(N$2,Inputs!$K$4:$AJ$4,0))))+SUMPRODUCT((Inputs!$C$5:$C$140=$B59)*ISNUMBER(INDEX(Inputs!$K$5:$AJ$140,0,MATCH(N$2,Inputs!$K$4:$AJ$4,0))))+SUMPRODUCT((Inputs!$E$5:$E$140=$B59)*ISNUMBER(INDEX(Inputs!$K$5:$AJ$140,0,MATCH(N$2,Inputs!$K$4:$AJ$4,0))))=0,NA(),SUMPRODUCT((Inputs!$A$5:$A$140=$B59)*Inputs!$B$5:$B$140*(((Inputs!$G$5:$G$140="moeda")+(Inputs!$G$5:$G$140="acoes"))*Inputs!$B$1+((Inputs!$G$5:$G$140&lt;&gt;"moeda")*(Inputs!$G$5:$G$140&lt;&gt;"acoes")))*INDEX(Inputs!$K$5:$AJ$140,0,MATCH(N$2,Inputs!$K$4:$AJ$4,0)))+SUMPRODUCT((Inputs!$C$5:$C$140=$B59)*Inputs!$D$5:$D$140*(((Inputs!$G$5:$G$140="moeda")+(Inputs!$G$5:$G$140="acoes"))*Inputs!$B$1+((Inputs!$G$5:$G$140&lt;&gt;"moeda")*(Inputs!$G$5:$G$140&lt;&gt;"acoes")))*INDEX(Inputs!$K$5:$AJ$140,0,MATCH(N$2,Inputs!$K$4:$AJ$4,0)))+SUMPRODUCT((Inputs!$E$5:$E$140=$B59)*Inputs!$F$5:$F$140*(((Inputs!$G$5:$G$140="moeda")+(Inputs!$G$5:$G$140="acoes"))*Inputs!$B$1+((Inputs!$G$5:$G$140&lt;&gt;"moeda")*(Inputs!$G$5:$G$140&lt;&gt;"acoes")))*INDEX(Inputs!$K$5:$AJ$140,0,MATCH(N$2,Inputs!$K$4:$AJ$4,0)))))</f>
        <v>62</v>
      </c>
      <c r="O59" s="262">
        <f>IF(ISNA(MATCH(O$2,Inputs!$K$4:$AJ$4,0)),NA(),IF(SUMPRODUCT((Inputs!$A$5:$A$140=$B59)*ISNUMBER(INDEX(Inputs!$K$5:$AJ$140,0,MATCH(O$2,Inputs!$K$4:$AJ$4,0))))+SUMPRODUCT((Inputs!$C$5:$C$140=$B59)*ISNUMBER(INDEX(Inputs!$K$5:$AJ$140,0,MATCH(O$2,Inputs!$K$4:$AJ$4,0))))+SUMPRODUCT((Inputs!$E$5:$E$140=$B59)*ISNUMBER(INDEX(Inputs!$K$5:$AJ$140,0,MATCH(O$2,Inputs!$K$4:$AJ$4,0))))=0,NA(),SUMPRODUCT((Inputs!$A$5:$A$140=$B59)*Inputs!$B$5:$B$140*(((Inputs!$G$5:$G$140="moeda")+(Inputs!$G$5:$G$140="acoes"))*Inputs!$B$1+((Inputs!$G$5:$G$140&lt;&gt;"moeda")*(Inputs!$G$5:$G$140&lt;&gt;"acoes")))*INDEX(Inputs!$K$5:$AJ$140,0,MATCH(O$2,Inputs!$K$4:$AJ$4,0)))+SUMPRODUCT((Inputs!$C$5:$C$140=$B59)*Inputs!$D$5:$D$140*(((Inputs!$G$5:$G$140="moeda")+(Inputs!$G$5:$G$140="acoes"))*Inputs!$B$1+((Inputs!$G$5:$G$140&lt;&gt;"moeda")*(Inputs!$G$5:$G$140&lt;&gt;"acoes")))*INDEX(Inputs!$K$5:$AJ$140,0,MATCH(O$2,Inputs!$K$4:$AJ$4,0)))+SUMPRODUCT((Inputs!$E$5:$E$140=$B59)*Inputs!$F$5:$F$140*(((Inputs!$G$5:$G$140="moeda")+(Inputs!$G$5:$G$140="acoes"))*Inputs!$B$1+((Inputs!$G$5:$G$140&lt;&gt;"moeda")*(Inputs!$G$5:$G$140&lt;&gt;"acoes")))*INDEX(Inputs!$K$5:$AJ$140,0,MATCH(O$2,Inputs!$K$4:$AJ$4,0)))))</f>
        <v>64</v>
      </c>
      <c r="P59" s="262">
        <f>IF(ISNA(MATCH(P$2,Inputs!$K$4:$AJ$4,0)),NA(),IF(SUMPRODUCT((Inputs!$A$5:$A$140=$B59)*ISNUMBER(INDEX(Inputs!$K$5:$AJ$140,0,MATCH(P$2,Inputs!$K$4:$AJ$4,0))))+SUMPRODUCT((Inputs!$C$5:$C$140=$B59)*ISNUMBER(INDEX(Inputs!$K$5:$AJ$140,0,MATCH(P$2,Inputs!$K$4:$AJ$4,0))))+SUMPRODUCT((Inputs!$E$5:$E$140=$B59)*ISNUMBER(INDEX(Inputs!$K$5:$AJ$140,0,MATCH(P$2,Inputs!$K$4:$AJ$4,0))))=0,NA(),SUMPRODUCT((Inputs!$A$5:$A$140=$B59)*Inputs!$B$5:$B$140*(((Inputs!$G$5:$G$140="moeda")+(Inputs!$G$5:$G$140="acoes"))*Inputs!$B$1+((Inputs!$G$5:$G$140&lt;&gt;"moeda")*(Inputs!$G$5:$G$140&lt;&gt;"acoes")))*INDEX(Inputs!$K$5:$AJ$140,0,MATCH(P$2,Inputs!$K$4:$AJ$4,0)))+SUMPRODUCT((Inputs!$C$5:$C$140=$B59)*Inputs!$D$5:$D$140*(((Inputs!$G$5:$G$140="moeda")+(Inputs!$G$5:$G$140="acoes"))*Inputs!$B$1+((Inputs!$G$5:$G$140&lt;&gt;"moeda")*(Inputs!$G$5:$G$140&lt;&gt;"acoes")))*INDEX(Inputs!$K$5:$AJ$140,0,MATCH(P$2,Inputs!$K$4:$AJ$4,0)))+SUMPRODUCT((Inputs!$E$5:$E$140=$B59)*Inputs!$F$5:$F$140*(((Inputs!$G$5:$G$140="moeda")+(Inputs!$G$5:$G$140="acoes"))*Inputs!$B$1+((Inputs!$G$5:$G$140&lt;&gt;"moeda")*(Inputs!$G$5:$G$140&lt;&gt;"acoes")))*INDEX(Inputs!$K$5:$AJ$140,0,MATCH(P$2,Inputs!$K$4:$AJ$4,0)))))</f>
        <v>69</v>
      </c>
      <c r="Q59" s="262">
        <f>IF(ISNA(MATCH(Q$2,Inputs!$K$4:$AJ$4,0)),NA(),IF(SUMPRODUCT((Inputs!$A$5:$A$140=$B59)*ISNUMBER(INDEX(Inputs!$K$5:$AJ$140,0,MATCH(Q$2,Inputs!$K$4:$AJ$4,0))))+SUMPRODUCT((Inputs!$C$5:$C$140=$B59)*ISNUMBER(INDEX(Inputs!$K$5:$AJ$140,0,MATCH(Q$2,Inputs!$K$4:$AJ$4,0))))+SUMPRODUCT((Inputs!$E$5:$E$140=$B59)*ISNUMBER(INDEX(Inputs!$K$5:$AJ$140,0,MATCH(Q$2,Inputs!$K$4:$AJ$4,0))))=0,NA(),SUMPRODUCT((Inputs!$A$5:$A$140=$B59)*Inputs!$B$5:$B$140*(((Inputs!$G$5:$G$140="moeda")+(Inputs!$G$5:$G$140="acoes"))*Inputs!$B$1+((Inputs!$G$5:$G$140&lt;&gt;"moeda")*(Inputs!$G$5:$G$140&lt;&gt;"acoes")))*INDEX(Inputs!$K$5:$AJ$140,0,MATCH(Q$2,Inputs!$K$4:$AJ$4,0)))+SUMPRODUCT((Inputs!$C$5:$C$140=$B59)*Inputs!$D$5:$D$140*(((Inputs!$G$5:$G$140="moeda")+(Inputs!$G$5:$G$140="acoes"))*Inputs!$B$1+((Inputs!$G$5:$G$140&lt;&gt;"moeda")*(Inputs!$G$5:$G$140&lt;&gt;"acoes")))*INDEX(Inputs!$K$5:$AJ$140,0,MATCH(Q$2,Inputs!$K$4:$AJ$4,0)))+SUMPRODUCT((Inputs!$E$5:$E$140=$B59)*Inputs!$F$5:$F$140*(((Inputs!$G$5:$G$140="moeda")+(Inputs!$G$5:$G$140="acoes"))*Inputs!$B$1+((Inputs!$G$5:$G$140&lt;&gt;"moeda")*(Inputs!$G$5:$G$140&lt;&gt;"acoes")))*INDEX(Inputs!$K$5:$AJ$140,0,MATCH(Q$2,Inputs!$K$4:$AJ$4,0)))))</f>
        <v>80</v>
      </c>
      <c r="R59" s="263">
        <f>Q59</f>
        <v>80</v>
      </c>
      <c r="S59" s="262">
        <f>IF(ISNA(MATCH(S$2,Inputs!$K$4:$AJ$4,0)),NA(),IF(SUMPRODUCT((Inputs!$A$5:$A$140=$B59)*ISNUMBER(INDEX(Inputs!$K$5:$AJ$140,0,MATCH(S$2,Inputs!$K$4:$AJ$4,0))))+SUMPRODUCT((Inputs!$C$5:$C$140=$B59)*ISNUMBER(INDEX(Inputs!$K$5:$AJ$140,0,MATCH(S$2,Inputs!$K$4:$AJ$4,0))))+SUMPRODUCT((Inputs!$E$5:$E$140=$B59)*ISNUMBER(INDEX(Inputs!$K$5:$AJ$140,0,MATCH(S$2,Inputs!$K$4:$AJ$4,0))))=0,NA(),SUMPRODUCT((Inputs!$A$5:$A$140=$B59)*Inputs!$B$5:$B$140*(((Inputs!$G$5:$G$140="moeda")+(Inputs!$G$5:$G$140="acoes"))*Inputs!$B$1+((Inputs!$G$5:$G$140&lt;&gt;"moeda")*(Inputs!$G$5:$G$140&lt;&gt;"acoes")))*INDEX(Inputs!$K$5:$AJ$140,0,MATCH(S$2,Inputs!$K$4:$AJ$4,0)))+SUMPRODUCT((Inputs!$C$5:$C$140=$B59)*Inputs!$D$5:$D$140*(((Inputs!$G$5:$G$140="moeda")+(Inputs!$G$5:$G$140="acoes"))*Inputs!$B$1+((Inputs!$G$5:$G$140&lt;&gt;"moeda")*(Inputs!$G$5:$G$140&lt;&gt;"acoes")))*INDEX(Inputs!$K$5:$AJ$140,0,MATCH(S$2,Inputs!$K$4:$AJ$4,0)))+SUMPRODUCT((Inputs!$E$5:$E$140=$B59)*Inputs!$F$5:$F$140*(((Inputs!$G$5:$G$140="moeda")+(Inputs!$G$5:$G$140="acoes"))*Inputs!$B$1+((Inputs!$G$5:$G$140&lt;&gt;"moeda")*(Inputs!$G$5:$G$140&lt;&gt;"acoes")))*INDEX(Inputs!$K$5:$AJ$140,0,MATCH(S$2,Inputs!$K$4:$AJ$4,0)))))</f>
        <v>82</v>
      </c>
      <c r="T59" s="262">
        <f>IF(ISNA(MATCH(T$2,Inputs!$K$4:$AJ$4,0)),NA(),IF(SUMPRODUCT((Inputs!$A$5:$A$140=$B59)*ISNUMBER(INDEX(Inputs!$K$5:$AJ$140,0,MATCH(T$2,Inputs!$K$4:$AJ$4,0))))+SUMPRODUCT((Inputs!$C$5:$C$140=$B59)*ISNUMBER(INDEX(Inputs!$K$5:$AJ$140,0,MATCH(T$2,Inputs!$K$4:$AJ$4,0))))+SUMPRODUCT((Inputs!$E$5:$E$140=$B59)*ISNUMBER(INDEX(Inputs!$K$5:$AJ$140,0,MATCH(T$2,Inputs!$K$4:$AJ$4,0))))=0,NA(),SUMPRODUCT((Inputs!$A$5:$A$140=$B59)*Inputs!$B$5:$B$140*(((Inputs!$G$5:$G$140="moeda")+(Inputs!$G$5:$G$140="acoes"))*Inputs!$B$1+((Inputs!$G$5:$G$140&lt;&gt;"moeda")*(Inputs!$G$5:$G$140&lt;&gt;"acoes")))*INDEX(Inputs!$K$5:$AJ$140,0,MATCH(T$2,Inputs!$K$4:$AJ$4,0)))+SUMPRODUCT((Inputs!$C$5:$C$140=$B59)*Inputs!$D$5:$D$140*(((Inputs!$G$5:$G$140="moeda")+(Inputs!$G$5:$G$140="acoes"))*Inputs!$B$1+((Inputs!$G$5:$G$140&lt;&gt;"moeda")*(Inputs!$G$5:$G$140&lt;&gt;"acoes")))*INDEX(Inputs!$K$5:$AJ$140,0,MATCH(T$2,Inputs!$K$4:$AJ$4,0)))+SUMPRODUCT((Inputs!$E$5:$E$140=$B59)*Inputs!$F$5:$F$140*(((Inputs!$G$5:$G$140="moeda")+(Inputs!$G$5:$G$140="acoes"))*Inputs!$B$1+((Inputs!$G$5:$G$140&lt;&gt;"moeda")*(Inputs!$G$5:$G$140&lt;&gt;"acoes")))*INDEX(Inputs!$K$5:$AJ$140,0,MATCH(T$2,Inputs!$K$4:$AJ$4,0)))))</f>
        <v>84</v>
      </c>
      <c r="U59" s="262">
        <f>IF(ISNA(MATCH(U$2,Inputs!$K$4:$AJ$4,0)),NA(),IF(SUMPRODUCT((Inputs!$A$5:$A$140=$B59)*ISNUMBER(INDEX(Inputs!$K$5:$AJ$140,0,MATCH(U$2,Inputs!$K$4:$AJ$4,0))))+SUMPRODUCT((Inputs!$C$5:$C$140=$B59)*ISNUMBER(INDEX(Inputs!$K$5:$AJ$140,0,MATCH(U$2,Inputs!$K$4:$AJ$4,0))))+SUMPRODUCT((Inputs!$E$5:$E$140=$B59)*ISNUMBER(INDEX(Inputs!$K$5:$AJ$140,0,MATCH(U$2,Inputs!$K$4:$AJ$4,0))))=0,NA(),SUMPRODUCT((Inputs!$A$5:$A$140=$B59)*Inputs!$B$5:$B$140*(((Inputs!$G$5:$G$140="moeda")+(Inputs!$G$5:$G$140="acoes"))*Inputs!$B$1+((Inputs!$G$5:$G$140&lt;&gt;"moeda")*(Inputs!$G$5:$G$140&lt;&gt;"acoes")))*INDEX(Inputs!$K$5:$AJ$140,0,MATCH(U$2,Inputs!$K$4:$AJ$4,0)))+SUMPRODUCT((Inputs!$C$5:$C$140=$B59)*Inputs!$D$5:$D$140*(((Inputs!$G$5:$G$140="moeda")+(Inputs!$G$5:$G$140="acoes"))*Inputs!$B$1+((Inputs!$G$5:$G$140&lt;&gt;"moeda")*(Inputs!$G$5:$G$140&lt;&gt;"acoes")))*INDEX(Inputs!$K$5:$AJ$140,0,MATCH(U$2,Inputs!$K$4:$AJ$4,0)))+SUMPRODUCT((Inputs!$E$5:$E$140=$B59)*Inputs!$F$5:$F$140*(((Inputs!$G$5:$G$140="moeda")+(Inputs!$G$5:$G$140="acoes"))*Inputs!$B$1+((Inputs!$G$5:$G$140&lt;&gt;"moeda")*(Inputs!$G$5:$G$140&lt;&gt;"acoes")))*INDEX(Inputs!$K$5:$AJ$140,0,MATCH(U$2,Inputs!$K$4:$AJ$4,0)))))</f>
        <v>88</v>
      </c>
      <c r="V59" s="262">
        <f>IF(ISNA(MATCH(V$2,Inputs!$K$4:$AJ$4,0)),NA(),IF(SUMPRODUCT((Inputs!$A$5:$A$140=$B59)*ISNUMBER(INDEX(Inputs!$K$5:$AJ$140,0,MATCH(V$2,Inputs!$K$4:$AJ$4,0))))+SUMPRODUCT((Inputs!$C$5:$C$140=$B59)*ISNUMBER(INDEX(Inputs!$K$5:$AJ$140,0,MATCH(V$2,Inputs!$K$4:$AJ$4,0))))+SUMPRODUCT((Inputs!$E$5:$E$140=$B59)*ISNUMBER(INDEX(Inputs!$K$5:$AJ$140,0,MATCH(V$2,Inputs!$K$4:$AJ$4,0))))=0,NA(),SUMPRODUCT((Inputs!$A$5:$A$140=$B59)*Inputs!$B$5:$B$140*(((Inputs!$G$5:$G$140="moeda")+(Inputs!$G$5:$G$140="acoes"))*Inputs!$B$1+((Inputs!$G$5:$G$140&lt;&gt;"moeda")*(Inputs!$G$5:$G$140&lt;&gt;"acoes")))*INDEX(Inputs!$K$5:$AJ$140,0,MATCH(V$2,Inputs!$K$4:$AJ$4,0)))+SUMPRODUCT((Inputs!$C$5:$C$140=$B59)*Inputs!$D$5:$D$140*(((Inputs!$G$5:$G$140="moeda")+(Inputs!$G$5:$G$140="acoes"))*Inputs!$B$1+((Inputs!$G$5:$G$140&lt;&gt;"moeda")*(Inputs!$G$5:$G$140&lt;&gt;"acoes")))*INDEX(Inputs!$K$5:$AJ$140,0,MATCH(V$2,Inputs!$K$4:$AJ$4,0)))+SUMPRODUCT((Inputs!$E$5:$E$140=$B59)*Inputs!$F$5:$F$140*(((Inputs!$G$5:$G$140="moeda")+(Inputs!$G$5:$G$140="acoes"))*Inputs!$B$1+((Inputs!$G$5:$G$140&lt;&gt;"moeda")*(Inputs!$G$5:$G$140&lt;&gt;"acoes")))*INDEX(Inputs!$K$5:$AJ$140,0,MATCH(V$2,Inputs!$K$4:$AJ$4,0)))))</f>
        <v>90</v>
      </c>
      <c r="W59" s="263">
        <f>V59</f>
        <v>90</v>
      </c>
      <c r="X59" s="262">
        <f>IF(ISNA(MATCH(X$2,Inputs!$K$4:$AJ$4,0)),NA(),IF(SUMPRODUCT((Inputs!$A$5:$A$140=$B59)*ISNUMBER(INDEX(Inputs!$K$5:$AJ$140,0,MATCH(X$2,Inputs!$K$4:$AJ$4,0))))+SUMPRODUCT((Inputs!$C$5:$C$140=$B59)*ISNUMBER(INDEX(Inputs!$K$5:$AJ$140,0,MATCH(X$2,Inputs!$K$4:$AJ$4,0))))+SUMPRODUCT((Inputs!$E$5:$E$140=$B59)*ISNUMBER(INDEX(Inputs!$K$5:$AJ$140,0,MATCH(X$2,Inputs!$K$4:$AJ$4,0))))=0,NA(),SUMPRODUCT((Inputs!$A$5:$A$140=$B59)*Inputs!$B$5:$B$140*(((Inputs!$G$5:$G$140="moeda")+(Inputs!$G$5:$G$140="acoes"))*Inputs!$B$1+((Inputs!$G$5:$G$140&lt;&gt;"moeda")*(Inputs!$G$5:$G$140&lt;&gt;"acoes")))*INDEX(Inputs!$K$5:$AJ$140,0,MATCH(X$2,Inputs!$K$4:$AJ$4,0)))+SUMPRODUCT((Inputs!$C$5:$C$140=$B59)*Inputs!$D$5:$D$140*(((Inputs!$G$5:$G$140="moeda")+(Inputs!$G$5:$G$140="acoes"))*Inputs!$B$1+((Inputs!$G$5:$G$140&lt;&gt;"moeda")*(Inputs!$G$5:$G$140&lt;&gt;"acoes")))*INDEX(Inputs!$K$5:$AJ$140,0,MATCH(X$2,Inputs!$K$4:$AJ$4,0)))+SUMPRODUCT((Inputs!$E$5:$E$140=$B59)*Inputs!$F$5:$F$140*(((Inputs!$G$5:$G$140="moeda")+(Inputs!$G$5:$G$140="acoes"))*Inputs!$B$1+((Inputs!$G$5:$G$140&lt;&gt;"moeda")*(Inputs!$G$5:$G$140&lt;&gt;"acoes")))*INDEX(Inputs!$K$5:$AJ$140,0,MATCH(X$2,Inputs!$K$4:$AJ$4,0)))))</f>
        <v>92</v>
      </c>
      <c r="Y59" s="262">
        <f>IF(ISNA(MATCH(Y$2,Inputs!$K$4:$AJ$4,0)),NA(),IF(SUMPRODUCT((Inputs!$A$5:$A$140=$B59)*ISNUMBER(INDEX(Inputs!$K$5:$AJ$140,0,MATCH(Y$2,Inputs!$K$4:$AJ$4,0))))+SUMPRODUCT((Inputs!$C$5:$C$140=$B59)*ISNUMBER(INDEX(Inputs!$K$5:$AJ$140,0,MATCH(Y$2,Inputs!$K$4:$AJ$4,0))))+SUMPRODUCT((Inputs!$E$5:$E$140=$B59)*ISNUMBER(INDEX(Inputs!$K$5:$AJ$140,0,MATCH(Y$2,Inputs!$K$4:$AJ$4,0))))=0,NA(),SUMPRODUCT((Inputs!$A$5:$A$140=$B59)*Inputs!$B$5:$B$140*(((Inputs!$G$5:$G$140="moeda")+(Inputs!$G$5:$G$140="acoes"))*Inputs!$B$1+((Inputs!$G$5:$G$140&lt;&gt;"moeda")*(Inputs!$G$5:$G$140&lt;&gt;"acoes")))*INDEX(Inputs!$K$5:$AJ$140,0,MATCH(Y$2,Inputs!$K$4:$AJ$4,0)))+SUMPRODUCT((Inputs!$C$5:$C$140=$B59)*Inputs!$D$5:$D$140*(((Inputs!$G$5:$G$140="moeda")+(Inputs!$G$5:$G$140="acoes"))*Inputs!$B$1+((Inputs!$G$5:$G$140&lt;&gt;"moeda")*(Inputs!$G$5:$G$140&lt;&gt;"acoes")))*INDEX(Inputs!$K$5:$AJ$140,0,MATCH(Y$2,Inputs!$K$4:$AJ$4,0)))+SUMPRODUCT((Inputs!$E$5:$E$140=$B59)*Inputs!$F$5:$F$140*(((Inputs!$G$5:$G$140="moeda")+(Inputs!$G$5:$G$140="acoes"))*Inputs!$B$1+((Inputs!$G$5:$G$140&lt;&gt;"moeda")*(Inputs!$G$5:$G$140&lt;&gt;"acoes")))*INDEX(Inputs!$K$5:$AJ$140,0,MATCH(Y$2,Inputs!$K$4:$AJ$4,0)))))</f>
        <v>96</v>
      </c>
      <c r="Z59" s="262">
        <f>IF(ISNA(MATCH(Z$2,Inputs!$K$4:$AJ$4,0)),NA(),IF(SUMPRODUCT((Inputs!$A$5:$A$140=$B59)*ISNUMBER(INDEX(Inputs!$K$5:$AJ$140,0,MATCH(Z$2,Inputs!$K$4:$AJ$4,0))))+SUMPRODUCT((Inputs!$C$5:$C$140=$B59)*ISNUMBER(INDEX(Inputs!$K$5:$AJ$140,0,MATCH(Z$2,Inputs!$K$4:$AJ$4,0))))+SUMPRODUCT((Inputs!$E$5:$E$140=$B59)*ISNUMBER(INDEX(Inputs!$K$5:$AJ$140,0,MATCH(Z$2,Inputs!$K$4:$AJ$4,0))))=0,NA(),SUMPRODUCT((Inputs!$A$5:$A$140=$B59)*Inputs!$B$5:$B$140*(((Inputs!$G$5:$G$140="moeda")+(Inputs!$G$5:$G$140="acoes"))*Inputs!$B$1+((Inputs!$G$5:$G$140&lt;&gt;"moeda")*(Inputs!$G$5:$G$140&lt;&gt;"acoes")))*INDEX(Inputs!$K$5:$AJ$140,0,MATCH(Z$2,Inputs!$K$4:$AJ$4,0)))+SUMPRODUCT((Inputs!$C$5:$C$140=$B59)*Inputs!$D$5:$D$140*(((Inputs!$G$5:$G$140="moeda")+(Inputs!$G$5:$G$140="acoes"))*Inputs!$B$1+((Inputs!$G$5:$G$140&lt;&gt;"moeda")*(Inputs!$G$5:$G$140&lt;&gt;"acoes")))*INDEX(Inputs!$K$5:$AJ$140,0,MATCH(Z$2,Inputs!$K$4:$AJ$4,0)))+SUMPRODUCT((Inputs!$E$5:$E$140=$B59)*Inputs!$F$5:$F$140*(((Inputs!$G$5:$G$140="moeda")+(Inputs!$G$5:$G$140="acoes"))*Inputs!$B$1+((Inputs!$G$5:$G$140&lt;&gt;"moeda")*(Inputs!$G$5:$G$140&lt;&gt;"acoes")))*INDEX(Inputs!$K$5:$AJ$140,0,MATCH(Z$2,Inputs!$K$4:$AJ$4,0)))))</f>
        <v>98</v>
      </c>
      <c r="AA59" s="262">
        <f>IF(ISNA(MATCH(AA$2,Inputs!$K$4:$AJ$4,0)),NA(),IF(SUMPRODUCT((Inputs!$A$5:$A$140=$B59)*ISNUMBER(INDEX(Inputs!$K$5:$AJ$140,0,MATCH(AA$2,Inputs!$K$4:$AJ$4,0))))+SUMPRODUCT((Inputs!$C$5:$C$140=$B59)*ISNUMBER(INDEX(Inputs!$K$5:$AJ$140,0,MATCH(AA$2,Inputs!$K$4:$AJ$4,0))))+SUMPRODUCT((Inputs!$E$5:$E$140=$B59)*ISNUMBER(INDEX(Inputs!$K$5:$AJ$140,0,MATCH(AA$2,Inputs!$K$4:$AJ$4,0))))=0,NA(),SUMPRODUCT((Inputs!$A$5:$A$140=$B59)*Inputs!$B$5:$B$140*(((Inputs!$G$5:$G$140="moeda")+(Inputs!$G$5:$G$140="acoes"))*Inputs!$B$1+((Inputs!$G$5:$G$140&lt;&gt;"moeda")*(Inputs!$G$5:$G$140&lt;&gt;"acoes")))*INDEX(Inputs!$K$5:$AJ$140,0,MATCH(AA$2,Inputs!$K$4:$AJ$4,0)))+SUMPRODUCT((Inputs!$C$5:$C$140=$B59)*Inputs!$D$5:$D$140*(((Inputs!$G$5:$G$140="moeda")+(Inputs!$G$5:$G$140="acoes"))*Inputs!$B$1+((Inputs!$G$5:$G$140&lt;&gt;"moeda")*(Inputs!$G$5:$G$140&lt;&gt;"acoes")))*INDEX(Inputs!$K$5:$AJ$140,0,MATCH(AA$2,Inputs!$K$4:$AJ$4,0)))+SUMPRODUCT((Inputs!$E$5:$E$140=$B59)*Inputs!$F$5:$F$140*(((Inputs!$G$5:$G$140="moeda")+(Inputs!$G$5:$G$140="acoes"))*Inputs!$B$1+((Inputs!$G$5:$G$140&lt;&gt;"moeda")*(Inputs!$G$5:$G$140&lt;&gt;"acoes")))*INDEX(Inputs!$K$5:$AJ$140,0,MATCH(AA$2,Inputs!$K$4:$AJ$4,0)))))</f>
        <v>102</v>
      </c>
      <c r="AB59" s="263">
        <f>AA59</f>
        <v>102</v>
      </c>
      <c r="AC59" s="262">
        <f>IF(ISNA(MATCH(AC$2,Inputs!$K$4:$AJ$4,0)),NA(),IF(SUMPRODUCT((Inputs!$A$5:$A$140=$B59)*ISNUMBER(INDEX(Inputs!$K$5:$AJ$140,0,MATCH(AC$2,Inputs!$K$4:$AJ$4,0))))+SUMPRODUCT((Inputs!$C$5:$C$140=$B59)*ISNUMBER(INDEX(Inputs!$K$5:$AJ$140,0,MATCH(AC$2,Inputs!$K$4:$AJ$4,0))))+SUMPRODUCT((Inputs!$E$5:$E$140=$B59)*ISNUMBER(INDEX(Inputs!$K$5:$AJ$140,0,MATCH(AC$2,Inputs!$K$4:$AJ$4,0))))=0,NA(),SUMPRODUCT((Inputs!$A$5:$A$140=$B59)*Inputs!$B$5:$B$140*(((Inputs!$G$5:$G$140="moeda")+(Inputs!$G$5:$G$140="acoes"))*Inputs!$B$1+((Inputs!$G$5:$G$140&lt;&gt;"moeda")*(Inputs!$G$5:$G$140&lt;&gt;"acoes")))*INDEX(Inputs!$K$5:$AJ$140,0,MATCH(AC$2,Inputs!$K$4:$AJ$4,0)))+SUMPRODUCT((Inputs!$C$5:$C$140=$B59)*Inputs!$D$5:$D$140*(((Inputs!$G$5:$G$140="moeda")+(Inputs!$G$5:$G$140="acoes"))*Inputs!$B$1+((Inputs!$G$5:$G$140&lt;&gt;"moeda")*(Inputs!$G$5:$G$140&lt;&gt;"acoes")))*INDEX(Inputs!$K$5:$AJ$140,0,MATCH(AC$2,Inputs!$K$4:$AJ$4,0)))+SUMPRODUCT((Inputs!$E$5:$E$140=$B59)*Inputs!$F$5:$F$140*(((Inputs!$G$5:$G$140="moeda")+(Inputs!$G$5:$G$140="acoes"))*Inputs!$B$1+((Inputs!$G$5:$G$140&lt;&gt;"moeda")*(Inputs!$G$5:$G$140&lt;&gt;"acoes")))*INDEX(Inputs!$K$5:$AJ$140,0,MATCH(AC$2,Inputs!$K$4:$AJ$4,0)))))</f>
        <v>105</v>
      </c>
      <c r="AD59" s="262">
        <f>IF(ISNA(MATCH(AD$2,Inputs!$K$4:$AJ$4,0)),NA(),IF(SUMPRODUCT((Inputs!$A$5:$A$140=$B59)*ISNUMBER(INDEX(Inputs!$K$5:$AJ$140,0,MATCH(AD$2,Inputs!$K$4:$AJ$4,0))))+SUMPRODUCT((Inputs!$C$5:$C$140=$B59)*ISNUMBER(INDEX(Inputs!$K$5:$AJ$140,0,MATCH(AD$2,Inputs!$K$4:$AJ$4,0))))+SUMPRODUCT((Inputs!$E$5:$E$140=$B59)*ISNUMBER(INDEX(Inputs!$K$5:$AJ$140,0,MATCH(AD$2,Inputs!$K$4:$AJ$4,0))))=0,NA(),SUMPRODUCT((Inputs!$A$5:$A$140=$B59)*Inputs!$B$5:$B$140*(((Inputs!$G$5:$G$140="moeda")+(Inputs!$G$5:$G$140="acoes"))*Inputs!$B$1+((Inputs!$G$5:$G$140&lt;&gt;"moeda")*(Inputs!$G$5:$G$140&lt;&gt;"acoes")))*INDEX(Inputs!$K$5:$AJ$140,0,MATCH(AD$2,Inputs!$K$4:$AJ$4,0)))+SUMPRODUCT((Inputs!$C$5:$C$140=$B59)*Inputs!$D$5:$D$140*(((Inputs!$G$5:$G$140="moeda")+(Inputs!$G$5:$G$140="acoes"))*Inputs!$B$1+((Inputs!$G$5:$G$140&lt;&gt;"moeda")*(Inputs!$G$5:$G$140&lt;&gt;"acoes")))*INDEX(Inputs!$K$5:$AJ$140,0,MATCH(AD$2,Inputs!$K$4:$AJ$4,0)))+SUMPRODUCT((Inputs!$E$5:$E$140=$B59)*Inputs!$F$5:$F$140*(((Inputs!$G$5:$G$140="moeda")+(Inputs!$G$5:$G$140="acoes"))*Inputs!$B$1+((Inputs!$G$5:$G$140&lt;&gt;"moeda")*(Inputs!$G$5:$G$140&lt;&gt;"acoes")))*INDEX(Inputs!$K$5:$AJ$140,0,MATCH(AD$2,Inputs!$K$4:$AJ$4,0)))))</f>
        <v>77</v>
      </c>
      <c r="AE59" s="262" t="e">
        <f>IF(ISNA(MATCH(AE$2,Inputs!$K$4:$AJ$4,0)),NA(),IF(SUMPRODUCT((Inputs!$A$5:$A$140=$B59)*ISNUMBER(INDEX(Inputs!$K$5:$AJ$140,0,MATCH(AE$2,Inputs!$K$4:$AJ$4,0))))+SUMPRODUCT((Inputs!$C$5:$C$140=$B59)*ISNUMBER(INDEX(Inputs!$K$5:$AJ$140,0,MATCH(AE$2,Inputs!$K$4:$AJ$4,0))))+SUMPRODUCT((Inputs!$E$5:$E$140=$B59)*ISNUMBER(INDEX(Inputs!$K$5:$AJ$140,0,MATCH(AE$2,Inputs!$K$4:$AJ$4,0))))=0,NA(),SUMPRODUCT((Inputs!$A$5:$A$140=$B59)*Inputs!$B$5:$B$140*(((Inputs!$G$5:$G$140="moeda")+(Inputs!$G$5:$G$140="acoes"))*Inputs!$B$1+((Inputs!$G$5:$G$140&lt;&gt;"moeda")*(Inputs!$G$5:$G$140&lt;&gt;"acoes")))*INDEX(Inputs!$K$5:$AJ$140,0,MATCH(AE$2,Inputs!$K$4:$AJ$4,0)))+SUMPRODUCT((Inputs!$C$5:$C$140=$B59)*Inputs!$D$5:$D$140*(((Inputs!$G$5:$G$140="moeda")+(Inputs!$G$5:$G$140="acoes"))*Inputs!$B$1+((Inputs!$G$5:$G$140&lt;&gt;"moeda")*(Inputs!$G$5:$G$140&lt;&gt;"acoes")))*INDEX(Inputs!$K$5:$AJ$140,0,MATCH(AE$2,Inputs!$K$4:$AJ$4,0)))+SUMPRODUCT((Inputs!$E$5:$E$140=$B59)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9" s="262" t="e">
        <f>IF(ISNA(MATCH(AF$2,Inputs!$K$4:$AJ$4,0)),NA(),IF(SUMPRODUCT((Inputs!$A$5:$A$140=$B59)*ISNUMBER(INDEX(Inputs!$K$5:$AJ$140,0,MATCH(AF$2,Inputs!$K$4:$AJ$4,0))))+SUMPRODUCT((Inputs!$C$5:$C$140=$B59)*ISNUMBER(INDEX(Inputs!$K$5:$AJ$140,0,MATCH(AF$2,Inputs!$K$4:$AJ$4,0))))+SUMPRODUCT((Inputs!$E$5:$E$140=$B59)*ISNUMBER(INDEX(Inputs!$K$5:$AJ$140,0,MATCH(AF$2,Inputs!$K$4:$AJ$4,0))))=0,NA(),SUMPRODUCT((Inputs!$A$5:$A$140=$B59)*Inputs!$B$5:$B$140*(((Inputs!$G$5:$G$140="moeda")+(Inputs!$G$5:$G$140="acoes"))*Inputs!$B$1+((Inputs!$G$5:$G$140&lt;&gt;"moeda")*(Inputs!$G$5:$G$140&lt;&gt;"acoes")))*INDEX(Inputs!$K$5:$AJ$140,0,MATCH(AF$2,Inputs!$K$4:$AJ$4,0)))+SUMPRODUCT((Inputs!$C$5:$C$140=$B59)*Inputs!$D$5:$D$140*(((Inputs!$G$5:$G$140="moeda")+(Inputs!$G$5:$G$140="acoes"))*Inputs!$B$1+((Inputs!$G$5:$G$140&lt;&gt;"moeda")*(Inputs!$G$5:$G$140&lt;&gt;"acoes")))*INDEX(Inputs!$K$5:$AJ$140,0,MATCH(AF$2,Inputs!$K$4:$AJ$4,0)))+SUMPRODUCT((Inputs!$E$5:$E$140=$B59)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9" s="263" t="e">
        <f>AF59</f>
        <v>#N/A</v>
      </c>
      <c r="AH59" s="262">
        <f>IF(ISNA(MATCH(AH$2,Inputs!$K$4:$AJ$4,0)),NA(),IF(SUMPRODUCT((Inputs!$A$5:$A$140=$B59)*ISNUMBER(INDEX(Inputs!$K$5:$AJ$140,0,MATCH(AH$2,Inputs!$K$4:$AJ$4,0))))+SUMPRODUCT((Inputs!$C$5:$C$140=$B59)*ISNUMBER(INDEX(Inputs!$K$5:$AJ$140,0,MATCH(AH$2,Inputs!$K$4:$AJ$4,0))))+SUMPRODUCT((Inputs!$E$5:$E$140=$B59)*ISNUMBER(INDEX(Inputs!$K$5:$AJ$140,0,MATCH(AH$2,Inputs!$K$4:$AJ$4,0))))=0,NA(),SUMPRODUCT((Inputs!$A$5:$A$140=$B59)*Inputs!$B$5:$B$140*(((Inputs!$G$5:$G$140="moeda")+(Inputs!$G$5:$G$140="acoes"))*Inputs!$B$1+((Inputs!$G$5:$G$140&lt;&gt;"moeda")*(Inputs!$G$5:$G$140&lt;&gt;"acoes")))*INDEX(Inputs!$K$5:$AJ$140,0,MATCH(AH$2,Inputs!$K$4:$AJ$4,0)))+SUMPRODUCT((Inputs!$C$5:$C$140=$B59)*Inputs!$D$5:$D$140*(((Inputs!$G$5:$G$140="moeda")+(Inputs!$G$5:$G$140="acoes"))*Inputs!$B$1+((Inputs!$G$5:$G$140&lt;&gt;"moeda")*(Inputs!$G$5:$G$140&lt;&gt;"acoes")))*INDEX(Inputs!$K$5:$AJ$140,0,MATCH(AH$2,Inputs!$K$4:$AJ$4,0)))+SUMPRODUCT((Inputs!$E$5:$E$140=$B59)*Inputs!$F$5:$F$140*(((Inputs!$G$5:$G$140="moeda")+(Inputs!$G$5:$G$140="acoes"))*Inputs!$B$1+((Inputs!$G$5:$G$140&lt;&gt;"moeda")*(Inputs!$G$5:$G$140&lt;&gt;"acoes")))*INDEX(Inputs!$K$5:$AJ$140,0,MATCH(AH$2,Inputs!$K$4:$AJ$4,0)))))</f>
        <v>26</v>
      </c>
      <c r="AI59" s="262">
        <f>IF(ISNA(MATCH(AI$2,Inputs!$K$4:$AJ$4,0)),NA(),IF(SUMPRODUCT((Inputs!$A$5:$A$140=$B59)*ISNUMBER(INDEX(Inputs!$K$5:$AJ$140,0,MATCH(AI$2,Inputs!$K$4:$AJ$4,0))))+SUMPRODUCT((Inputs!$C$5:$C$140=$B59)*ISNUMBER(INDEX(Inputs!$K$5:$AJ$140,0,MATCH(AI$2,Inputs!$K$4:$AJ$4,0))))+SUMPRODUCT((Inputs!$E$5:$E$140=$B59)*ISNUMBER(INDEX(Inputs!$K$5:$AJ$140,0,MATCH(AI$2,Inputs!$K$4:$AJ$4,0))))=0,NA(),SUMPRODUCT((Inputs!$A$5:$A$140=$B59)*Inputs!$B$5:$B$140*(((Inputs!$G$5:$G$140="moeda")+(Inputs!$G$5:$G$140="acoes"))*Inputs!$B$1+((Inputs!$G$5:$G$140&lt;&gt;"moeda")*(Inputs!$G$5:$G$140&lt;&gt;"acoes")))*INDEX(Inputs!$K$5:$AJ$140,0,MATCH(AI$2,Inputs!$K$4:$AJ$4,0)))+SUMPRODUCT((Inputs!$C$5:$C$140=$B59)*Inputs!$D$5:$D$140*(((Inputs!$G$5:$G$140="moeda")+(Inputs!$G$5:$G$140="acoes"))*Inputs!$B$1+((Inputs!$G$5:$G$140&lt;&gt;"moeda")*(Inputs!$G$5:$G$140&lt;&gt;"acoes")))*INDEX(Inputs!$K$5:$AJ$140,0,MATCH(AI$2,Inputs!$K$4:$AJ$4,0)))+SUMPRODUCT((Inputs!$E$5:$E$140=$B59)*Inputs!$F$5:$F$140*(((Inputs!$G$5:$G$140="moeda")+(Inputs!$G$5:$G$140="acoes"))*Inputs!$B$1+((Inputs!$G$5:$G$140&lt;&gt;"moeda")*(Inputs!$G$5:$G$140&lt;&gt;"acoes")))*INDEX(Inputs!$K$5:$AJ$140,0,MATCH(AI$2,Inputs!$K$4:$AJ$4,0)))))</f>
        <v>29</v>
      </c>
      <c r="AJ59" s="262">
        <f>IF(ISNA(MATCH(AJ$2,Inputs!$K$4:$AJ$4,0)),NA(),IF(SUMPRODUCT((Inputs!$A$5:$A$140=$B59)*ISNUMBER(INDEX(Inputs!$K$5:$AJ$140,0,MATCH(AJ$2,Inputs!$K$4:$AJ$4,0))))+SUMPRODUCT((Inputs!$C$5:$C$140=$B59)*ISNUMBER(INDEX(Inputs!$K$5:$AJ$140,0,MATCH(AJ$2,Inputs!$K$4:$AJ$4,0))))+SUMPRODUCT((Inputs!$E$5:$E$140=$B59)*ISNUMBER(INDEX(Inputs!$K$5:$AJ$140,0,MATCH(AJ$2,Inputs!$K$4:$AJ$4,0))))=0,NA(),SUMPRODUCT((Inputs!$A$5:$A$140=$B59)*Inputs!$B$5:$B$140*(((Inputs!$G$5:$G$140="moeda")+(Inputs!$G$5:$G$140="acoes"))*Inputs!$B$1+((Inputs!$G$5:$G$140&lt;&gt;"moeda")*(Inputs!$G$5:$G$140&lt;&gt;"acoes")))*INDEX(Inputs!$K$5:$AJ$140,0,MATCH(AJ$2,Inputs!$K$4:$AJ$4,0)))+SUMPRODUCT((Inputs!$C$5:$C$140=$B59)*Inputs!$D$5:$D$140*(((Inputs!$G$5:$G$140="moeda")+(Inputs!$G$5:$G$140="acoes"))*Inputs!$B$1+((Inputs!$G$5:$G$140&lt;&gt;"moeda")*(Inputs!$G$5:$G$140&lt;&gt;"acoes")))*INDEX(Inputs!$K$5:$AJ$140,0,MATCH(AJ$2,Inputs!$K$4:$AJ$4,0)))+SUMPRODUCT((Inputs!$E$5:$E$140=$B59)*Inputs!$F$5:$F$140*(((Inputs!$G$5:$G$140="moeda")+(Inputs!$G$5:$G$140="acoes"))*Inputs!$B$1+((Inputs!$G$5:$G$140&lt;&gt;"moeda")*(Inputs!$G$5:$G$140&lt;&gt;"acoes")))*INDEX(Inputs!$K$5:$AJ$140,0,MATCH(AJ$2,Inputs!$K$4:$AJ$4,0)))))</f>
        <v>30</v>
      </c>
      <c r="AK59" s="262">
        <f>IF(ISNA(MATCH(AK$2,Inputs!$K$4:$AJ$4,0)),NA(),IF(SUMPRODUCT((Inputs!$A$5:$A$140=$B59)*ISNUMBER(INDEX(Inputs!$K$5:$AJ$140,0,MATCH(AK$2,Inputs!$K$4:$AJ$4,0))))+SUMPRODUCT((Inputs!$C$5:$C$140=$B59)*ISNUMBER(INDEX(Inputs!$K$5:$AJ$140,0,MATCH(AK$2,Inputs!$K$4:$AJ$4,0))))+SUMPRODUCT((Inputs!$E$5:$E$140=$B59)*ISNUMBER(INDEX(Inputs!$K$5:$AJ$140,0,MATCH(AK$2,Inputs!$K$4:$AJ$4,0))))=0,NA(),SUMPRODUCT((Inputs!$A$5:$A$140=$B59)*Inputs!$B$5:$B$140*(((Inputs!$G$5:$G$140="moeda")+(Inputs!$G$5:$G$140="acoes"))*Inputs!$B$1+((Inputs!$G$5:$G$140&lt;&gt;"moeda")*(Inputs!$G$5:$G$140&lt;&gt;"acoes")))*INDEX(Inputs!$K$5:$AJ$140,0,MATCH(AK$2,Inputs!$K$4:$AJ$4,0)))+SUMPRODUCT((Inputs!$C$5:$C$140=$B59)*Inputs!$D$5:$D$140*(((Inputs!$G$5:$G$140="moeda")+(Inputs!$G$5:$G$140="acoes"))*Inputs!$B$1+((Inputs!$G$5:$G$140&lt;&gt;"moeda")*(Inputs!$G$5:$G$140&lt;&gt;"acoes")))*INDEX(Inputs!$K$5:$AJ$140,0,MATCH(AK$2,Inputs!$K$4:$AJ$4,0)))+SUMPRODUCT((Inputs!$E$5:$E$140=$B59)*Inputs!$F$5:$F$140*(((Inputs!$G$5:$G$140="moeda")+(Inputs!$G$5:$G$140="acoes"))*Inputs!$B$1+((Inputs!$G$5:$G$140&lt;&gt;"moeda")*(Inputs!$G$5:$G$140&lt;&gt;"acoes")))*INDEX(Inputs!$K$5:$AJ$140,0,MATCH(AK$2,Inputs!$K$4:$AJ$4,0)))))</f>
        <v>33</v>
      </c>
      <c r="AL59" s="263">
        <f>AK59</f>
        <v>33</v>
      </c>
    </row>
    <row r="60">
      <c r="B60" s="46" t="n">
        <v>52</v>
      </c>
      <c r="C60" s="29" t="inlineStr">
        <is>
          <t>Lojas - Novo Atacarejo (fim do periodo)</t>
        </is>
      </c>
      <c r="D60" s="262">
        <f>IF(ISNA(MATCH(D$2,Inputs!$K$4:$AJ$4,0)),NA(),IF(SUMPRODUCT((Inputs!$A$5:$A$140=$B60)*ISNUMBER(INDEX(Inputs!$K$5:$AJ$140,0,MATCH(D$2,Inputs!$K$4:$AJ$4,0))))+SUMPRODUCT((Inputs!$C$5:$C$140=$B60)*ISNUMBER(INDEX(Inputs!$K$5:$AJ$140,0,MATCH(D$2,Inputs!$K$4:$AJ$4,0))))+SUMPRODUCT((Inputs!$E$5:$E$140=$B60)*ISNUMBER(INDEX(Inputs!$K$5:$AJ$140,0,MATCH(D$2,Inputs!$K$4:$AJ$4,0))))=0,NA(),SUMPRODUCT((Inputs!$A$5:$A$140=$B60)*Inputs!$B$5:$B$140*(((Inputs!$G$5:$G$140="moeda")+(Inputs!$G$5:$G$140="acoes"))*Inputs!$B$1+((Inputs!$G$5:$G$140&lt;&gt;"moeda")*(Inputs!$G$5:$G$140&lt;&gt;"acoes")))*INDEX(Inputs!$K$5:$AJ$140,0,MATCH(D$2,Inputs!$K$4:$AJ$4,0)))+SUMPRODUCT((Inputs!$C$5:$C$140=$B60)*Inputs!$D$5:$D$140*(((Inputs!$G$5:$G$140="moeda")+(Inputs!$G$5:$G$140="acoes"))*Inputs!$B$1+((Inputs!$G$5:$G$140&lt;&gt;"moeda")*(Inputs!$G$5:$G$140&lt;&gt;"acoes")))*INDEX(Inputs!$K$5:$AJ$140,0,MATCH(D$2,Inputs!$K$4:$AJ$4,0)))+SUMPRODUCT((Inputs!$E$5:$E$140=$B60)*Inputs!$F$5:$F$140*(((Inputs!$G$5:$G$140="moeda")+(Inputs!$G$5:$G$140="acoes"))*Inputs!$B$1+((Inputs!$G$5:$G$140&lt;&gt;"moeda")*(Inputs!$G$5:$G$140&lt;&gt;"acoes")))*INDEX(Inputs!$K$5:$AJ$140,0,MATCH(D$2,Inputs!$K$4:$AJ$4,0)))))</f>
        <v>0</v>
      </c>
      <c r="E60" s="262">
        <f>IF(ISNA(MATCH(E$2,Inputs!$K$4:$AJ$4,0)),NA(),IF(SUMPRODUCT((Inputs!$A$5:$A$140=$B60)*ISNUMBER(INDEX(Inputs!$K$5:$AJ$140,0,MATCH(E$2,Inputs!$K$4:$AJ$4,0))))+SUMPRODUCT((Inputs!$C$5:$C$140=$B60)*ISNUMBER(INDEX(Inputs!$K$5:$AJ$140,0,MATCH(E$2,Inputs!$K$4:$AJ$4,0))))+SUMPRODUCT((Inputs!$E$5:$E$140=$B60)*ISNUMBER(INDEX(Inputs!$K$5:$AJ$140,0,MATCH(E$2,Inputs!$K$4:$AJ$4,0))))=0,NA(),SUMPRODUCT((Inputs!$A$5:$A$140=$B60)*Inputs!$B$5:$B$140*(((Inputs!$G$5:$G$140="moeda")+(Inputs!$G$5:$G$140="acoes"))*Inputs!$B$1+((Inputs!$G$5:$G$140&lt;&gt;"moeda")*(Inputs!$G$5:$G$140&lt;&gt;"acoes")))*INDEX(Inputs!$K$5:$AJ$140,0,MATCH(E$2,Inputs!$K$4:$AJ$4,0)))+SUMPRODUCT((Inputs!$C$5:$C$140=$B60)*Inputs!$D$5:$D$140*(((Inputs!$G$5:$G$140="moeda")+(Inputs!$G$5:$G$140="acoes"))*Inputs!$B$1+((Inputs!$G$5:$G$140&lt;&gt;"moeda")*(Inputs!$G$5:$G$140&lt;&gt;"acoes")))*INDEX(Inputs!$K$5:$AJ$140,0,MATCH(E$2,Inputs!$K$4:$AJ$4,0)))+SUMPRODUCT((Inputs!$E$5:$E$140=$B60)*Inputs!$F$5:$F$140*(((Inputs!$G$5:$G$140="moeda")+(Inputs!$G$5:$G$140="acoes"))*Inputs!$B$1+((Inputs!$G$5:$G$140&lt;&gt;"moeda")*(Inputs!$G$5:$G$140&lt;&gt;"acoes")))*INDEX(Inputs!$K$5:$AJ$140,0,MATCH(E$2,Inputs!$K$4:$AJ$4,0)))))</f>
        <v>0</v>
      </c>
      <c r="F60" s="262">
        <f>IF(ISNA(MATCH(F$2,Inputs!$K$4:$AJ$4,0)),NA(),IF(SUMPRODUCT((Inputs!$A$5:$A$140=$B60)*ISNUMBER(INDEX(Inputs!$K$5:$AJ$140,0,MATCH(F$2,Inputs!$K$4:$AJ$4,0))))+SUMPRODUCT((Inputs!$C$5:$C$140=$B60)*ISNUMBER(INDEX(Inputs!$K$5:$AJ$140,0,MATCH(F$2,Inputs!$K$4:$AJ$4,0))))+SUMPRODUCT((Inputs!$E$5:$E$140=$B60)*ISNUMBER(INDEX(Inputs!$K$5:$AJ$140,0,MATCH(F$2,Inputs!$K$4:$AJ$4,0))))=0,NA(),SUMPRODUCT((Inputs!$A$5:$A$140=$B60)*Inputs!$B$5:$B$140*(((Inputs!$G$5:$G$140="moeda")+(Inputs!$G$5:$G$140="acoes"))*Inputs!$B$1+((Inputs!$G$5:$G$140&lt;&gt;"moeda")*(Inputs!$G$5:$G$140&lt;&gt;"acoes")))*INDEX(Inputs!$K$5:$AJ$140,0,MATCH(F$2,Inputs!$K$4:$AJ$4,0)))+SUMPRODUCT((Inputs!$C$5:$C$140=$B60)*Inputs!$D$5:$D$140*(((Inputs!$G$5:$G$140="moeda")+(Inputs!$G$5:$G$140="acoes"))*Inputs!$B$1+((Inputs!$G$5:$G$140&lt;&gt;"moeda")*(Inputs!$G$5:$G$140&lt;&gt;"acoes")))*INDEX(Inputs!$K$5:$AJ$140,0,MATCH(F$2,Inputs!$K$4:$AJ$4,0)))+SUMPRODUCT((Inputs!$E$5:$E$140=$B60)*Inputs!$F$5:$F$140*(((Inputs!$G$5:$G$140="moeda")+(Inputs!$G$5:$G$140="acoes"))*Inputs!$B$1+((Inputs!$G$5:$G$140&lt;&gt;"moeda")*(Inputs!$G$5:$G$140&lt;&gt;"acoes")))*INDEX(Inputs!$K$5:$AJ$140,0,MATCH(F$2,Inputs!$K$4:$AJ$4,0)))))</f>
        <v>0</v>
      </c>
      <c r="G60" s="262">
        <f>IF(ISNA(MATCH(G$2,Inputs!$K$4:$AJ$4,0)),NA(),IF(SUMPRODUCT((Inputs!$A$5:$A$140=$B60)*ISNUMBER(INDEX(Inputs!$K$5:$AJ$140,0,MATCH(G$2,Inputs!$K$4:$AJ$4,0))))+SUMPRODUCT((Inputs!$C$5:$C$140=$B60)*ISNUMBER(INDEX(Inputs!$K$5:$AJ$140,0,MATCH(G$2,Inputs!$K$4:$AJ$4,0))))+SUMPRODUCT((Inputs!$E$5:$E$140=$B60)*ISNUMBER(INDEX(Inputs!$K$5:$AJ$140,0,MATCH(G$2,Inputs!$K$4:$AJ$4,0))))=0,NA(),SUMPRODUCT((Inputs!$A$5:$A$140=$B60)*Inputs!$B$5:$B$140*(((Inputs!$G$5:$G$140="moeda")+(Inputs!$G$5:$G$140="acoes"))*Inputs!$B$1+((Inputs!$G$5:$G$140&lt;&gt;"moeda")*(Inputs!$G$5:$G$140&lt;&gt;"acoes")))*INDEX(Inputs!$K$5:$AJ$140,0,MATCH(G$2,Inputs!$K$4:$AJ$4,0)))+SUMPRODUCT((Inputs!$C$5:$C$140=$B60)*Inputs!$D$5:$D$140*(((Inputs!$G$5:$G$140="moeda")+(Inputs!$G$5:$G$140="acoes"))*Inputs!$B$1+((Inputs!$G$5:$G$140&lt;&gt;"moeda")*(Inputs!$G$5:$G$140&lt;&gt;"acoes")))*INDEX(Inputs!$K$5:$AJ$140,0,MATCH(G$2,Inputs!$K$4:$AJ$4,0)))+SUMPRODUCT((Inputs!$E$5:$E$140=$B60)*Inputs!$F$5:$F$140*(((Inputs!$G$5:$G$140="moeda")+(Inputs!$G$5:$G$140="acoes"))*Inputs!$B$1+((Inputs!$G$5:$G$140&lt;&gt;"moeda")*(Inputs!$G$5:$G$140&lt;&gt;"acoes")))*INDEX(Inputs!$K$5:$AJ$140,0,MATCH(G$2,Inputs!$K$4:$AJ$4,0)))))</f>
        <v>0</v>
      </c>
      <c r="H60" s="263">
        <f>G60</f>
        <v>0</v>
      </c>
      <c r="I60" s="262">
        <f>IF(ISNA(MATCH(I$2,Inputs!$K$4:$AJ$4,0)),NA(),IF(SUMPRODUCT((Inputs!$A$5:$A$140=$B60)*ISNUMBER(INDEX(Inputs!$K$5:$AJ$140,0,MATCH(I$2,Inputs!$K$4:$AJ$4,0))))+SUMPRODUCT((Inputs!$C$5:$C$140=$B60)*ISNUMBER(INDEX(Inputs!$K$5:$AJ$140,0,MATCH(I$2,Inputs!$K$4:$AJ$4,0))))+SUMPRODUCT((Inputs!$E$5:$E$140=$B60)*ISNUMBER(INDEX(Inputs!$K$5:$AJ$140,0,MATCH(I$2,Inputs!$K$4:$AJ$4,0))))=0,NA(),SUMPRODUCT((Inputs!$A$5:$A$140=$B60)*Inputs!$B$5:$B$140*(((Inputs!$G$5:$G$140="moeda")+(Inputs!$G$5:$G$140="acoes"))*Inputs!$B$1+((Inputs!$G$5:$G$140&lt;&gt;"moeda")*(Inputs!$G$5:$G$140&lt;&gt;"acoes")))*INDEX(Inputs!$K$5:$AJ$140,0,MATCH(I$2,Inputs!$K$4:$AJ$4,0)))+SUMPRODUCT((Inputs!$C$5:$C$140=$B60)*Inputs!$D$5:$D$140*(((Inputs!$G$5:$G$140="moeda")+(Inputs!$G$5:$G$140="acoes"))*Inputs!$B$1+((Inputs!$G$5:$G$140&lt;&gt;"moeda")*(Inputs!$G$5:$G$140&lt;&gt;"acoes")))*INDEX(Inputs!$K$5:$AJ$140,0,MATCH(I$2,Inputs!$K$4:$AJ$4,0)))+SUMPRODUCT((Inputs!$E$5:$E$140=$B60)*Inputs!$F$5:$F$140*(((Inputs!$G$5:$G$140="moeda")+(Inputs!$G$5:$G$140="acoes"))*Inputs!$B$1+((Inputs!$G$5:$G$140&lt;&gt;"moeda")*(Inputs!$G$5:$G$140&lt;&gt;"acoes")))*INDEX(Inputs!$K$5:$AJ$140,0,MATCH(I$2,Inputs!$K$4:$AJ$4,0)))))</f>
        <v>0</v>
      </c>
      <c r="J60" s="262">
        <f>IF(ISNA(MATCH(J$2,Inputs!$K$4:$AJ$4,0)),NA(),IF(SUMPRODUCT((Inputs!$A$5:$A$140=$B60)*ISNUMBER(INDEX(Inputs!$K$5:$AJ$140,0,MATCH(J$2,Inputs!$K$4:$AJ$4,0))))+SUMPRODUCT((Inputs!$C$5:$C$140=$B60)*ISNUMBER(INDEX(Inputs!$K$5:$AJ$140,0,MATCH(J$2,Inputs!$K$4:$AJ$4,0))))+SUMPRODUCT((Inputs!$E$5:$E$140=$B60)*ISNUMBER(INDEX(Inputs!$K$5:$AJ$140,0,MATCH(J$2,Inputs!$K$4:$AJ$4,0))))=0,NA(),SUMPRODUCT((Inputs!$A$5:$A$140=$B60)*Inputs!$B$5:$B$140*(((Inputs!$G$5:$G$140="moeda")+(Inputs!$G$5:$G$140="acoes"))*Inputs!$B$1+((Inputs!$G$5:$G$140&lt;&gt;"moeda")*(Inputs!$G$5:$G$140&lt;&gt;"acoes")))*INDEX(Inputs!$K$5:$AJ$140,0,MATCH(J$2,Inputs!$K$4:$AJ$4,0)))+SUMPRODUCT((Inputs!$C$5:$C$140=$B60)*Inputs!$D$5:$D$140*(((Inputs!$G$5:$G$140="moeda")+(Inputs!$G$5:$G$140="acoes"))*Inputs!$B$1+((Inputs!$G$5:$G$140&lt;&gt;"moeda")*(Inputs!$G$5:$G$140&lt;&gt;"acoes")))*INDEX(Inputs!$K$5:$AJ$140,0,MATCH(J$2,Inputs!$K$4:$AJ$4,0)))+SUMPRODUCT((Inputs!$E$5:$E$140=$B60)*Inputs!$F$5:$F$140*(((Inputs!$G$5:$G$140="moeda")+(Inputs!$G$5:$G$140="acoes"))*Inputs!$B$1+((Inputs!$G$5:$G$140&lt;&gt;"moeda")*(Inputs!$G$5:$G$140&lt;&gt;"acoes")))*INDEX(Inputs!$K$5:$AJ$140,0,MATCH(J$2,Inputs!$K$4:$AJ$4,0)))))</f>
        <v>0</v>
      </c>
      <c r="K60" s="262">
        <f>IF(ISNA(MATCH(K$2,Inputs!$K$4:$AJ$4,0)),NA(),IF(SUMPRODUCT((Inputs!$A$5:$A$140=$B60)*ISNUMBER(INDEX(Inputs!$K$5:$AJ$140,0,MATCH(K$2,Inputs!$K$4:$AJ$4,0))))+SUMPRODUCT((Inputs!$C$5:$C$140=$B60)*ISNUMBER(INDEX(Inputs!$K$5:$AJ$140,0,MATCH(K$2,Inputs!$K$4:$AJ$4,0))))+SUMPRODUCT((Inputs!$E$5:$E$140=$B60)*ISNUMBER(INDEX(Inputs!$K$5:$AJ$140,0,MATCH(K$2,Inputs!$K$4:$AJ$4,0))))=0,NA(),SUMPRODUCT((Inputs!$A$5:$A$140=$B60)*Inputs!$B$5:$B$140*(((Inputs!$G$5:$G$140="moeda")+(Inputs!$G$5:$G$140="acoes"))*Inputs!$B$1+((Inputs!$G$5:$G$140&lt;&gt;"moeda")*(Inputs!$G$5:$G$140&lt;&gt;"acoes")))*INDEX(Inputs!$K$5:$AJ$140,0,MATCH(K$2,Inputs!$K$4:$AJ$4,0)))+SUMPRODUCT((Inputs!$C$5:$C$140=$B60)*Inputs!$D$5:$D$140*(((Inputs!$G$5:$G$140="moeda")+(Inputs!$G$5:$G$140="acoes"))*Inputs!$B$1+((Inputs!$G$5:$G$140&lt;&gt;"moeda")*(Inputs!$G$5:$G$140&lt;&gt;"acoes")))*INDEX(Inputs!$K$5:$AJ$140,0,MATCH(K$2,Inputs!$K$4:$AJ$4,0)))+SUMPRODUCT((Inputs!$E$5:$E$140=$B60)*Inputs!$F$5:$F$140*(((Inputs!$G$5:$G$140="moeda")+(Inputs!$G$5:$G$140="acoes"))*Inputs!$B$1+((Inputs!$G$5:$G$140&lt;&gt;"moeda")*(Inputs!$G$5:$G$140&lt;&gt;"acoes")))*INDEX(Inputs!$K$5:$AJ$140,0,MATCH(K$2,Inputs!$K$4:$AJ$4,0)))))</f>
        <v>0</v>
      </c>
      <c r="L60" s="262">
        <f>IF(ISNA(MATCH(L$2,Inputs!$K$4:$AJ$4,0)),NA(),IF(SUMPRODUCT((Inputs!$A$5:$A$140=$B60)*ISNUMBER(INDEX(Inputs!$K$5:$AJ$140,0,MATCH(L$2,Inputs!$K$4:$AJ$4,0))))+SUMPRODUCT((Inputs!$C$5:$C$140=$B60)*ISNUMBER(INDEX(Inputs!$K$5:$AJ$140,0,MATCH(L$2,Inputs!$K$4:$AJ$4,0))))+SUMPRODUCT((Inputs!$E$5:$E$140=$B60)*ISNUMBER(INDEX(Inputs!$K$5:$AJ$140,0,MATCH(L$2,Inputs!$K$4:$AJ$4,0))))=0,NA(),SUMPRODUCT((Inputs!$A$5:$A$140=$B60)*Inputs!$B$5:$B$140*(((Inputs!$G$5:$G$140="moeda")+(Inputs!$G$5:$G$140="acoes"))*Inputs!$B$1+((Inputs!$G$5:$G$140&lt;&gt;"moeda")*(Inputs!$G$5:$G$140&lt;&gt;"acoes")))*INDEX(Inputs!$K$5:$AJ$140,0,MATCH(L$2,Inputs!$K$4:$AJ$4,0)))+SUMPRODUCT((Inputs!$C$5:$C$140=$B60)*Inputs!$D$5:$D$140*(((Inputs!$G$5:$G$140="moeda")+(Inputs!$G$5:$G$140="acoes"))*Inputs!$B$1+((Inputs!$G$5:$G$140&lt;&gt;"moeda")*(Inputs!$G$5:$G$140&lt;&gt;"acoes")))*INDEX(Inputs!$K$5:$AJ$140,0,MATCH(L$2,Inputs!$K$4:$AJ$4,0)))+SUMPRODUCT((Inputs!$E$5:$E$140=$B60)*Inputs!$F$5:$F$140*(((Inputs!$G$5:$G$140="moeda")+(Inputs!$G$5:$G$140="acoes"))*Inputs!$B$1+((Inputs!$G$5:$G$140&lt;&gt;"moeda")*(Inputs!$G$5:$G$140&lt;&gt;"acoes")))*INDEX(Inputs!$K$5:$AJ$140,0,MATCH(L$2,Inputs!$K$4:$AJ$4,0)))))</f>
        <v>0</v>
      </c>
      <c r="M60" s="263">
        <f>L60</f>
        <v>0</v>
      </c>
      <c r="N60" s="262">
        <f>IF(ISNA(MATCH(N$2,Inputs!$K$4:$AJ$4,0)),NA(),IF(SUMPRODUCT((Inputs!$A$5:$A$140=$B60)*ISNUMBER(INDEX(Inputs!$K$5:$AJ$140,0,MATCH(N$2,Inputs!$K$4:$AJ$4,0))))+SUMPRODUCT((Inputs!$C$5:$C$140=$B60)*ISNUMBER(INDEX(Inputs!$K$5:$AJ$140,0,MATCH(N$2,Inputs!$K$4:$AJ$4,0))))+SUMPRODUCT((Inputs!$E$5:$E$140=$B60)*ISNUMBER(INDEX(Inputs!$K$5:$AJ$140,0,MATCH(N$2,Inputs!$K$4:$AJ$4,0))))=0,NA(),SUMPRODUCT((Inputs!$A$5:$A$140=$B60)*Inputs!$B$5:$B$140*(((Inputs!$G$5:$G$140="moeda")+(Inputs!$G$5:$G$140="acoes"))*Inputs!$B$1+((Inputs!$G$5:$G$140&lt;&gt;"moeda")*(Inputs!$G$5:$G$140&lt;&gt;"acoes")))*INDEX(Inputs!$K$5:$AJ$140,0,MATCH(N$2,Inputs!$K$4:$AJ$4,0)))+SUMPRODUCT((Inputs!$C$5:$C$140=$B60)*Inputs!$D$5:$D$140*(((Inputs!$G$5:$G$140="moeda")+(Inputs!$G$5:$G$140="acoes"))*Inputs!$B$1+((Inputs!$G$5:$G$140&lt;&gt;"moeda")*(Inputs!$G$5:$G$140&lt;&gt;"acoes")))*INDEX(Inputs!$K$5:$AJ$140,0,MATCH(N$2,Inputs!$K$4:$AJ$4,0)))+SUMPRODUCT((Inputs!$E$5:$E$140=$B60)*Inputs!$F$5:$F$140*(((Inputs!$G$5:$G$140="moeda")+(Inputs!$G$5:$G$140="acoes"))*Inputs!$B$1+((Inputs!$G$5:$G$140&lt;&gt;"moeda")*(Inputs!$G$5:$G$140&lt;&gt;"acoes")))*INDEX(Inputs!$K$5:$AJ$140,0,MATCH(N$2,Inputs!$K$4:$AJ$4,0)))))</f>
        <v>0</v>
      </c>
      <c r="O60" s="262">
        <f>IF(ISNA(MATCH(O$2,Inputs!$K$4:$AJ$4,0)),NA(),IF(SUMPRODUCT((Inputs!$A$5:$A$140=$B60)*ISNUMBER(INDEX(Inputs!$K$5:$AJ$140,0,MATCH(O$2,Inputs!$K$4:$AJ$4,0))))+SUMPRODUCT((Inputs!$C$5:$C$140=$B60)*ISNUMBER(INDEX(Inputs!$K$5:$AJ$140,0,MATCH(O$2,Inputs!$K$4:$AJ$4,0))))+SUMPRODUCT((Inputs!$E$5:$E$140=$B60)*ISNUMBER(INDEX(Inputs!$K$5:$AJ$140,0,MATCH(O$2,Inputs!$K$4:$AJ$4,0))))=0,NA(),SUMPRODUCT((Inputs!$A$5:$A$140=$B60)*Inputs!$B$5:$B$140*(((Inputs!$G$5:$G$140="moeda")+(Inputs!$G$5:$G$140="acoes"))*Inputs!$B$1+((Inputs!$G$5:$G$140&lt;&gt;"moeda")*(Inputs!$G$5:$G$140&lt;&gt;"acoes")))*INDEX(Inputs!$K$5:$AJ$140,0,MATCH(O$2,Inputs!$K$4:$AJ$4,0)))+SUMPRODUCT((Inputs!$C$5:$C$140=$B60)*Inputs!$D$5:$D$140*(((Inputs!$G$5:$G$140="moeda")+(Inputs!$G$5:$G$140="acoes"))*Inputs!$B$1+((Inputs!$G$5:$G$140&lt;&gt;"moeda")*(Inputs!$G$5:$G$140&lt;&gt;"acoes")))*INDEX(Inputs!$K$5:$AJ$140,0,MATCH(O$2,Inputs!$K$4:$AJ$4,0)))+SUMPRODUCT((Inputs!$E$5:$E$140=$B60)*Inputs!$F$5:$F$140*(((Inputs!$G$5:$G$140="moeda")+(Inputs!$G$5:$G$140="acoes"))*Inputs!$B$1+((Inputs!$G$5:$G$140&lt;&gt;"moeda")*(Inputs!$G$5:$G$140&lt;&gt;"acoes")))*INDEX(Inputs!$K$5:$AJ$140,0,MATCH(O$2,Inputs!$K$4:$AJ$4,0)))))</f>
        <v>0</v>
      </c>
      <c r="P60" s="262">
        <f>IF(ISNA(MATCH(P$2,Inputs!$K$4:$AJ$4,0)),NA(),IF(SUMPRODUCT((Inputs!$A$5:$A$140=$B60)*ISNUMBER(INDEX(Inputs!$K$5:$AJ$140,0,MATCH(P$2,Inputs!$K$4:$AJ$4,0))))+SUMPRODUCT((Inputs!$C$5:$C$140=$B60)*ISNUMBER(INDEX(Inputs!$K$5:$AJ$140,0,MATCH(P$2,Inputs!$K$4:$AJ$4,0))))+SUMPRODUCT((Inputs!$E$5:$E$140=$B60)*ISNUMBER(INDEX(Inputs!$K$5:$AJ$140,0,MATCH(P$2,Inputs!$K$4:$AJ$4,0))))=0,NA(),SUMPRODUCT((Inputs!$A$5:$A$140=$B60)*Inputs!$B$5:$B$140*(((Inputs!$G$5:$G$140="moeda")+(Inputs!$G$5:$G$140="acoes"))*Inputs!$B$1+((Inputs!$G$5:$G$140&lt;&gt;"moeda")*(Inputs!$G$5:$G$140&lt;&gt;"acoes")))*INDEX(Inputs!$K$5:$AJ$140,0,MATCH(P$2,Inputs!$K$4:$AJ$4,0)))+SUMPRODUCT((Inputs!$C$5:$C$140=$B60)*Inputs!$D$5:$D$140*(((Inputs!$G$5:$G$140="moeda")+(Inputs!$G$5:$G$140="acoes"))*Inputs!$B$1+((Inputs!$G$5:$G$140&lt;&gt;"moeda")*(Inputs!$G$5:$G$140&lt;&gt;"acoes")))*INDEX(Inputs!$K$5:$AJ$140,0,MATCH(P$2,Inputs!$K$4:$AJ$4,0)))+SUMPRODUCT((Inputs!$E$5:$E$140=$B60)*Inputs!$F$5:$F$140*(((Inputs!$G$5:$G$140="moeda")+(Inputs!$G$5:$G$140="acoes"))*Inputs!$B$1+((Inputs!$G$5:$G$140&lt;&gt;"moeda")*(Inputs!$G$5:$G$140&lt;&gt;"acoes")))*INDEX(Inputs!$K$5:$AJ$140,0,MATCH(P$2,Inputs!$K$4:$AJ$4,0)))))</f>
        <v>0</v>
      </c>
      <c r="Q60" s="262">
        <f>IF(ISNA(MATCH(Q$2,Inputs!$K$4:$AJ$4,0)),NA(),IF(SUMPRODUCT((Inputs!$A$5:$A$140=$B60)*ISNUMBER(INDEX(Inputs!$K$5:$AJ$140,0,MATCH(Q$2,Inputs!$K$4:$AJ$4,0))))+SUMPRODUCT((Inputs!$C$5:$C$140=$B60)*ISNUMBER(INDEX(Inputs!$K$5:$AJ$140,0,MATCH(Q$2,Inputs!$K$4:$AJ$4,0))))+SUMPRODUCT((Inputs!$E$5:$E$140=$B60)*ISNUMBER(INDEX(Inputs!$K$5:$AJ$140,0,MATCH(Q$2,Inputs!$K$4:$AJ$4,0))))=0,NA(),SUMPRODUCT((Inputs!$A$5:$A$140=$B60)*Inputs!$B$5:$B$140*(((Inputs!$G$5:$G$140="moeda")+(Inputs!$G$5:$G$140="acoes"))*Inputs!$B$1+((Inputs!$G$5:$G$140&lt;&gt;"moeda")*(Inputs!$G$5:$G$140&lt;&gt;"acoes")))*INDEX(Inputs!$K$5:$AJ$140,0,MATCH(Q$2,Inputs!$K$4:$AJ$4,0)))+SUMPRODUCT((Inputs!$C$5:$C$140=$B60)*Inputs!$D$5:$D$140*(((Inputs!$G$5:$G$140="moeda")+(Inputs!$G$5:$G$140="acoes"))*Inputs!$B$1+((Inputs!$G$5:$G$140&lt;&gt;"moeda")*(Inputs!$G$5:$G$140&lt;&gt;"acoes")))*INDEX(Inputs!$K$5:$AJ$140,0,MATCH(Q$2,Inputs!$K$4:$AJ$4,0)))+SUMPRODUCT((Inputs!$E$5:$E$140=$B60)*Inputs!$F$5:$F$140*(((Inputs!$G$5:$G$140="moeda")+(Inputs!$G$5:$G$140="acoes"))*Inputs!$B$1+((Inputs!$G$5:$G$140&lt;&gt;"moeda")*(Inputs!$G$5:$G$140&lt;&gt;"acoes")))*INDEX(Inputs!$K$5:$AJ$140,0,MATCH(Q$2,Inputs!$K$4:$AJ$4,0)))))</f>
        <v>0</v>
      </c>
      <c r="R60" s="263">
        <f>Q60</f>
        <v>0</v>
      </c>
      <c r="S60" s="262">
        <f>IF(ISNA(MATCH(S$2,Inputs!$K$4:$AJ$4,0)),NA(),IF(SUMPRODUCT((Inputs!$A$5:$A$140=$B60)*ISNUMBER(INDEX(Inputs!$K$5:$AJ$140,0,MATCH(S$2,Inputs!$K$4:$AJ$4,0))))+SUMPRODUCT((Inputs!$C$5:$C$140=$B60)*ISNUMBER(INDEX(Inputs!$K$5:$AJ$140,0,MATCH(S$2,Inputs!$K$4:$AJ$4,0))))+SUMPRODUCT((Inputs!$E$5:$E$140=$B60)*ISNUMBER(INDEX(Inputs!$K$5:$AJ$140,0,MATCH(S$2,Inputs!$K$4:$AJ$4,0))))=0,NA(),SUMPRODUCT((Inputs!$A$5:$A$140=$B60)*Inputs!$B$5:$B$140*(((Inputs!$G$5:$G$140="moeda")+(Inputs!$G$5:$G$140="acoes"))*Inputs!$B$1+((Inputs!$G$5:$G$140&lt;&gt;"moeda")*(Inputs!$G$5:$G$140&lt;&gt;"acoes")))*INDEX(Inputs!$K$5:$AJ$140,0,MATCH(S$2,Inputs!$K$4:$AJ$4,0)))+SUMPRODUCT((Inputs!$C$5:$C$140=$B60)*Inputs!$D$5:$D$140*(((Inputs!$G$5:$G$140="moeda")+(Inputs!$G$5:$G$140="acoes"))*Inputs!$B$1+((Inputs!$G$5:$G$140&lt;&gt;"moeda")*(Inputs!$G$5:$G$140&lt;&gt;"acoes")))*INDEX(Inputs!$K$5:$AJ$140,0,MATCH(S$2,Inputs!$K$4:$AJ$4,0)))+SUMPRODUCT((Inputs!$E$5:$E$140=$B60)*Inputs!$F$5:$F$140*(((Inputs!$G$5:$G$140="moeda")+(Inputs!$G$5:$G$140="acoes"))*Inputs!$B$1+((Inputs!$G$5:$G$140&lt;&gt;"moeda")*(Inputs!$G$5:$G$140&lt;&gt;"acoes")))*INDEX(Inputs!$K$5:$AJ$140,0,MATCH(S$2,Inputs!$K$4:$AJ$4,0)))))</f>
        <v>0</v>
      </c>
      <c r="T60" s="262">
        <f>IF(ISNA(MATCH(T$2,Inputs!$K$4:$AJ$4,0)),NA(),IF(SUMPRODUCT((Inputs!$A$5:$A$140=$B60)*ISNUMBER(INDEX(Inputs!$K$5:$AJ$140,0,MATCH(T$2,Inputs!$K$4:$AJ$4,0))))+SUMPRODUCT((Inputs!$C$5:$C$140=$B60)*ISNUMBER(INDEX(Inputs!$K$5:$AJ$140,0,MATCH(T$2,Inputs!$K$4:$AJ$4,0))))+SUMPRODUCT((Inputs!$E$5:$E$140=$B60)*ISNUMBER(INDEX(Inputs!$K$5:$AJ$140,0,MATCH(T$2,Inputs!$K$4:$AJ$4,0))))=0,NA(),SUMPRODUCT((Inputs!$A$5:$A$140=$B60)*Inputs!$B$5:$B$140*(((Inputs!$G$5:$G$140="moeda")+(Inputs!$G$5:$G$140="acoes"))*Inputs!$B$1+((Inputs!$G$5:$G$140&lt;&gt;"moeda")*(Inputs!$G$5:$G$140&lt;&gt;"acoes")))*INDEX(Inputs!$K$5:$AJ$140,0,MATCH(T$2,Inputs!$K$4:$AJ$4,0)))+SUMPRODUCT((Inputs!$C$5:$C$140=$B60)*Inputs!$D$5:$D$140*(((Inputs!$G$5:$G$140="moeda")+(Inputs!$G$5:$G$140="acoes"))*Inputs!$B$1+((Inputs!$G$5:$G$140&lt;&gt;"moeda")*(Inputs!$G$5:$G$140&lt;&gt;"acoes")))*INDEX(Inputs!$K$5:$AJ$140,0,MATCH(T$2,Inputs!$K$4:$AJ$4,0)))+SUMPRODUCT((Inputs!$E$5:$E$140=$B60)*Inputs!$F$5:$F$140*(((Inputs!$G$5:$G$140="moeda")+(Inputs!$G$5:$G$140="acoes"))*Inputs!$B$1+((Inputs!$G$5:$G$140&lt;&gt;"moeda")*(Inputs!$G$5:$G$140&lt;&gt;"acoes")))*INDEX(Inputs!$K$5:$AJ$140,0,MATCH(T$2,Inputs!$K$4:$AJ$4,0)))))</f>
        <v>0</v>
      </c>
      <c r="U60" s="262">
        <f>IF(ISNA(MATCH(U$2,Inputs!$K$4:$AJ$4,0)),NA(),IF(SUMPRODUCT((Inputs!$A$5:$A$140=$B60)*ISNUMBER(INDEX(Inputs!$K$5:$AJ$140,0,MATCH(U$2,Inputs!$K$4:$AJ$4,0))))+SUMPRODUCT((Inputs!$C$5:$C$140=$B60)*ISNUMBER(INDEX(Inputs!$K$5:$AJ$140,0,MATCH(U$2,Inputs!$K$4:$AJ$4,0))))+SUMPRODUCT((Inputs!$E$5:$E$140=$B60)*ISNUMBER(INDEX(Inputs!$K$5:$AJ$140,0,MATCH(U$2,Inputs!$K$4:$AJ$4,0))))=0,NA(),SUMPRODUCT((Inputs!$A$5:$A$140=$B60)*Inputs!$B$5:$B$140*(((Inputs!$G$5:$G$140="moeda")+(Inputs!$G$5:$G$140="acoes"))*Inputs!$B$1+((Inputs!$G$5:$G$140&lt;&gt;"moeda")*(Inputs!$G$5:$G$140&lt;&gt;"acoes")))*INDEX(Inputs!$K$5:$AJ$140,0,MATCH(U$2,Inputs!$K$4:$AJ$4,0)))+SUMPRODUCT((Inputs!$C$5:$C$140=$B60)*Inputs!$D$5:$D$140*(((Inputs!$G$5:$G$140="moeda")+(Inputs!$G$5:$G$140="acoes"))*Inputs!$B$1+((Inputs!$G$5:$G$140&lt;&gt;"moeda")*(Inputs!$G$5:$G$140&lt;&gt;"acoes")))*INDEX(Inputs!$K$5:$AJ$140,0,MATCH(U$2,Inputs!$K$4:$AJ$4,0)))+SUMPRODUCT((Inputs!$E$5:$E$140=$B60)*Inputs!$F$5:$F$140*(((Inputs!$G$5:$G$140="moeda")+(Inputs!$G$5:$G$140="acoes"))*Inputs!$B$1+((Inputs!$G$5:$G$140&lt;&gt;"moeda")*(Inputs!$G$5:$G$140&lt;&gt;"acoes")))*INDEX(Inputs!$K$5:$AJ$140,0,MATCH(U$2,Inputs!$K$4:$AJ$4,0)))))</f>
        <v>0</v>
      </c>
      <c r="V60" s="262">
        <f>IF(ISNA(MATCH(V$2,Inputs!$K$4:$AJ$4,0)),NA(),IF(SUMPRODUCT((Inputs!$A$5:$A$140=$B60)*ISNUMBER(INDEX(Inputs!$K$5:$AJ$140,0,MATCH(V$2,Inputs!$K$4:$AJ$4,0))))+SUMPRODUCT((Inputs!$C$5:$C$140=$B60)*ISNUMBER(INDEX(Inputs!$K$5:$AJ$140,0,MATCH(V$2,Inputs!$K$4:$AJ$4,0))))+SUMPRODUCT((Inputs!$E$5:$E$140=$B60)*ISNUMBER(INDEX(Inputs!$K$5:$AJ$140,0,MATCH(V$2,Inputs!$K$4:$AJ$4,0))))=0,NA(),SUMPRODUCT((Inputs!$A$5:$A$140=$B60)*Inputs!$B$5:$B$140*(((Inputs!$G$5:$G$140="moeda")+(Inputs!$G$5:$G$140="acoes"))*Inputs!$B$1+((Inputs!$G$5:$G$140&lt;&gt;"moeda")*(Inputs!$G$5:$G$140&lt;&gt;"acoes")))*INDEX(Inputs!$K$5:$AJ$140,0,MATCH(V$2,Inputs!$K$4:$AJ$4,0)))+SUMPRODUCT((Inputs!$C$5:$C$140=$B60)*Inputs!$D$5:$D$140*(((Inputs!$G$5:$G$140="moeda")+(Inputs!$G$5:$G$140="acoes"))*Inputs!$B$1+((Inputs!$G$5:$G$140&lt;&gt;"moeda")*(Inputs!$G$5:$G$140&lt;&gt;"acoes")))*INDEX(Inputs!$K$5:$AJ$140,0,MATCH(V$2,Inputs!$K$4:$AJ$4,0)))+SUMPRODUCT((Inputs!$E$5:$E$140=$B60)*Inputs!$F$5:$F$140*(((Inputs!$G$5:$G$140="moeda")+(Inputs!$G$5:$G$140="acoes"))*Inputs!$B$1+((Inputs!$G$5:$G$140&lt;&gt;"moeda")*(Inputs!$G$5:$G$140&lt;&gt;"acoes")))*INDEX(Inputs!$K$5:$AJ$140,0,MATCH(V$2,Inputs!$K$4:$AJ$4,0)))))</f>
        <v>0</v>
      </c>
      <c r="W60" s="263">
        <f>V60</f>
        <v>0</v>
      </c>
      <c r="X60" s="262">
        <f>IF(ISNA(MATCH(X$2,Inputs!$K$4:$AJ$4,0)),NA(),IF(SUMPRODUCT((Inputs!$A$5:$A$140=$B60)*ISNUMBER(INDEX(Inputs!$K$5:$AJ$140,0,MATCH(X$2,Inputs!$K$4:$AJ$4,0))))+SUMPRODUCT((Inputs!$C$5:$C$140=$B60)*ISNUMBER(INDEX(Inputs!$K$5:$AJ$140,0,MATCH(X$2,Inputs!$K$4:$AJ$4,0))))+SUMPRODUCT((Inputs!$E$5:$E$140=$B60)*ISNUMBER(INDEX(Inputs!$K$5:$AJ$140,0,MATCH(X$2,Inputs!$K$4:$AJ$4,0))))=0,NA(),SUMPRODUCT((Inputs!$A$5:$A$140=$B60)*Inputs!$B$5:$B$140*(((Inputs!$G$5:$G$140="moeda")+(Inputs!$G$5:$G$140="acoes"))*Inputs!$B$1+((Inputs!$G$5:$G$140&lt;&gt;"moeda")*(Inputs!$G$5:$G$140&lt;&gt;"acoes")))*INDEX(Inputs!$K$5:$AJ$140,0,MATCH(X$2,Inputs!$K$4:$AJ$4,0)))+SUMPRODUCT((Inputs!$C$5:$C$140=$B60)*Inputs!$D$5:$D$140*(((Inputs!$G$5:$G$140="moeda")+(Inputs!$G$5:$G$140="acoes"))*Inputs!$B$1+((Inputs!$G$5:$G$140&lt;&gt;"moeda")*(Inputs!$G$5:$G$140&lt;&gt;"acoes")))*INDEX(Inputs!$K$5:$AJ$140,0,MATCH(X$2,Inputs!$K$4:$AJ$4,0)))+SUMPRODUCT((Inputs!$E$5:$E$140=$B60)*Inputs!$F$5:$F$140*(((Inputs!$G$5:$G$140="moeda")+(Inputs!$G$5:$G$140="acoes"))*Inputs!$B$1+((Inputs!$G$5:$G$140&lt;&gt;"moeda")*(Inputs!$G$5:$G$140&lt;&gt;"acoes")))*INDEX(Inputs!$K$5:$AJ$140,0,MATCH(X$2,Inputs!$K$4:$AJ$4,0)))))</f>
        <v>0</v>
      </c>
      <c r="Y60" s="262">
        <f>IF(ISNA(MATCH(Y$2,Inputs!$K$4:$AJ$4,0)),NA(),IF(SUMPRODUCT((Inputs!$A$5:$A$140=$B60)*ISNUMBER(INDEX(Inputs!$K$5:$AJ$140,0,MATCH(Y$2,Inputs!$K$4:$AJ$4,0))))+SUMPRODUCT((Inputs!$C$5:$C$140=$B60)*ISNUMBER(INDEX(Inputs!$K$5:$AJ$140,0,MATCH(Y$2,Inputs!$K$4:$AJ$4,0))))+SUMPRODUCT((Inputs!$E$5:$E$140=$B60)*ISNUMBER(INDEX(Inputs!$K$5:$AJ$140,0,MATCH(Y$2,Inputs!$K$4:$AJ$4,0))))=0,NA(),SUMPRODUCT((Inputs!$A$5:$A$140=$B60)*Inputs!$B$5:$B$140*(((Inputs!$G$5:$G$140="moeda")+(Inputs!$G$5:$G$140="acoes"))*Inputs!$B$1+((Inputs!$G$5:$G$140&lt;&gt;"moeda")*(Inputs!$G$5:$G$140&lt;&gt;"acoes")))*INDEX(Inputs!$K$5:$AJ$140,0,MATCH(Y$2,Inputs!$K$4:$AJ$4,0)))+SUMPRODUCT((Inputs!$C$5:$C$140=$B60)*Inputs!$D$5:$D$140*(((Inputs!$G$5:$G$140="moeda")+(Inputs!$G$5:$G$140="acoes"))*Inputs!$B$1+((Inputs!$G$5:$G$140&lt;&gt;"moeda")*(Inputs!$G$5:$G$140&lt;&gt;"acoes")))*INDEX(Inputs!$K$5:$AJ$140,0,MATCH(Y$2,Inputs!$K$4:$AJ$4,0)))+SUMPRODUCT((Inputs!$E$5:$E$140=$B60)*Inputs!$F$5:$F$140*(((Inputs!$G$5:$G$140="moeda")+(Inputs!$G$5:$G$140="acoes"))*Inputs!$B$1+((Inputs!$G$5:$G$140&lt;&gt;"moeda")*(Inputs!$G$5:$G$140&lt;&gt;"acoes")))*INDEX(Inputs!$K$5:$AJ$140,0,MATCH(Y$2,Inputs!$K$4:$AJ$4,0)))))</f>
        <v>0</v>
      </c>
      <c r="Z60" s="262">
        <f>IF(ISNA(MATCH(Z$2,Inputs!$K$4:$AJ$4,0)),NA(),IF(SUMPRODUCT((Inputs!$A$5:$A$140=$B60)*ISNUMBER(INDEX(Inputs!$K$5:$AJ$140,0,MATCH(Z$2,Inputs!$K$4:$AJ$4,0))))+SUMPRODUCT((Inputs!$C$5:$C$140=$B60)*ISNUMBER(INDEX(Inputs!$K$5:$AJ$140,0,MATCH(Z$2,Inputs!$K$4:$AJ$4,0))))+SUMPRODUCT((Inputs!$E$5:$E$140=$B60)*ISNUMBER(INDEX(Inputs!$K$5:$AJ$140,0,MATCH(Z$2,Inputs!$K$4:$AJ$4,0))))=0,NA(),SUMPRODUCT((Inputs!$A$5:$A$140=$B60)*Inputs!$B$5:$B$140*(((Inputs!$G$5:$G$140="moeda")+(Inputs!$G$5:$G$140="acoes"))*Inputs!$B$1+((Inputs!$G$5:$G$140&lt;&gt;"moeda")*(Inputs!$G$5:$G$140&lt;&gt;"acoes")))*INDEX(Inputs!$K$5:$AJ$140,0,MATCH(Z$2,Inputs!$K$4:$AJ$4,0)))+SUMPRODUCT((Inputs!$C$5:$C$140=$B60)*Inputs!$D$5:$D$140*(((Inputs!$G$5:$G$140="moeda")+(Inputs!$G$5:$G$140="acoes"))*Inputs!$B$1+((Inputs!$G$5:$G$140&lt;&gt;"moeda")*(Inputs!$G$5:$G$140&lt;&gt;"acoes")))*INDEX(Inputs!$K$5:$AJ$140,0,MATCH(Z$2,Inputs!$K$4:$AJ$4,0)))+SUMPRODUCT((Inputs!$E$5:$E$140=$B60)*Inputs!$F$5:$F$140*(((Inputs!$G$5:$G$140="moeda")+(Inputs!$G$5:$G$140="acoes"))*Inputs!$B$1+((Inputs!$G$5:$G$140&lt;&gt;"moeda")*(Inputs!$G$5:$G$140&lt;&gt;"acoes")))*INDEX(Inputs!$K$5:$AJ$140,0,MATCH(Z$2,Inputs!$K$4:$AJ$4,0)))))</f>
        <v>36</v>
      </c>
      <c r="AA60" s="262">
        <f>IF(ISNA(MATCH(AA$2,Inputs!$K$4:$AJ$4,0)),NA(),IF(SUMPRODUCT((Inputs!$A$5:$A$140=$B60)*ISNUMBER(INDEX(Inputs!$K$5:$AJ$140,0,MATCH(AA$2,Inputs!$K$4:$AJ$4,0))))+SUMPRODUCT((Inputs!$C$5:$C$140=$B60)*ISNUMBER(INDEX(Inputs!$K$5:$AJ$140,0,MATCH(AA$2,Inputs!$K$4:$AJ$4,0))))+SUMPRODUCT((Inputs!$E$5:$E$140=$B60)*ISNUMBER(INDEX(Inputs!$K$5:$AJ$140,0,MATCH(AA$2,Inputs!$K$4:$AJ$4,0))))=0,NA(),SUMPRODUCT((Inputs!$A$5:$A$140=$B60)*Inputs!$B$5:$B$140*(((Inputs!$G$5:$G$140="moeda")+(Inputs!$G$5:$G$140="acoes"))*Inputs!$B$1+((Inputs!$G$5:$G$140&lt;&gt;"moeda")*(Inputs!$G$5:$G$140&lt;&gt;"acoes")))*INDEX(Inputs!$K$5:$AJ$140,0,MATCH(AA$2,Inputs!$K$4:$AJ$4,0)))+SUMPRODUCT((Inputs!$C$5:$C$140=$B60)*Inputs!$D$5:$D$140*(((Inputs!$G$5:$G$140="moeda")+(Inputs!$G$5:$G$140="acoes"))*Inputs!$B$1+((Inputs!$G$5:$G$140&lt;&gt;"moeda")*(Inputs!$G$5:$G$140&lt;&gt;"acoes")))*INDEX(Inputs!$K$5:$AJ$140,0,MATCH(AA$2,Inputs!$K$4:$AJ$4,0)))+SUMPRODUCT((Inputs!$E$5:$E$140=$B60)*Inputs!$F$5:$F$140*(((Inputs!$G$5:$G$140="moeda")+(Inputs!$G$5:$G$140="acoes"))*Inputs!$B$1+((Inputs!$G$5:$G$140&lt;&gt;"moeda")*(Inputs!$G$5:$G$140&lt;&gt;"acoes")))*INDEX(Inputs!$K$5:$AJ$140,0,MATCH(AA$2,Inputs!$K$4:$AJ$4,0)))))</f>
        <v>37</v>
      </c>
      <c r="AB60" s="263">
        <f>AA60</f>
        <v>37</v>
      </c>
      <c r="AC60" s="262">
        <f>IF(ISNA(MATCH(AC$2,Inputs!$K$4:$AJ$4,0)),NA(),IF(SUMPRODUCT((Inputs!$A$5:$A$140=$B60)*ISNUMBER(INDEX(Inputs!$K$5:$AJ$140,0,MATCH(AC$2,Inputs!$K$4:$AJ$4,0))))+SUMPRODUCT((Inputs!$C$5:$C$140=$B60)*ISNUMBER(INDEX(Inputs!$K$5:$AJ$140,0,MATCH(AC$2,Inputs!$K$4:$AJ$4,0))))+SUMPRODUCT((Inputs!$E$5:$E$140=$B60)*ISNUMBER(INDEX(Inputs!$K$5:$AJ$140,0,MATCH(AC$2,Inputs!$K$4:$AJ$4,0))))=0,NA(),SUMPRODUCT((Inputs!$A$5:$A$140=$B60)*Inputs!$B$5:$B$140*(((Inputs!$G$5:$G$140="moeda")+(Inputs!$G$5:$G$140="acoes"))*Inputs!$B$1+((Inputs!$G$5:$G$140&lt;&gt;"moeda")*(Inputs!$G$5:$G$140&lt;&gt;"acoes")))*INDEX(Inputs!$K$5:$AJ$140,0,MATCH(AC$2,Inputs!$K$4:$AJ$4,0)))+SUMPRODUCT((Inputs!$C$5:$C$140=$B60)*Inputs!$D$5:$D$140*(((Inputs!$G$5:$G$140="moeda")+(Inputs!$G$5:$G$140="acoes"))*Inputs!$B$1+((Inputs!$G$5:$G$140&lt;&gt;"moeda")*(Inputs!$G$5:$G$140&lt;&gt;"acoes")))*INDEX(Inputs!$K$5:$AJ$140,0,MATCH(AC$2,Inputs!$K$4:$AJ$4,0)))+SUMPRODUCT((Inputs!$E$5:$E$140=$B60)*Inputs!$F$5:$F$140*(((Inputs!$G$5:$G$140="moeda")+(Inputs!$G$5:$G$140="acoes"))*Inputs!$B$1+((Inputs!$G$5:$G$140&lt;&gt;"moeda")*(Inputs!$G$5:$G$140&lt;&gt;"acoes")))*INDEX(Inputs!$K$5:$AJ$140,0,MATCH(AC$2,Inputs!$K$4:$AJ$4,0)))))</f>
        <v>37</v>
      </c>
      <c r="AD60" s="262">
        <f>IF(ISNA(MATCH(AD$2,Inputs!$K$4:$AJ$4,0)),NA(),IF(SUMPRODUCT((Inputs!$A$5:$A$140=$B60)*ISNUMBER(INDEX(Inputs!$K$5:$AJ$140,0,MATCH(AD$2,Inputs!$K$4:$AJ$4,0))))+SUMPRODUCT((Inputs!$C$5:$C$140=$B60)*ISNUMBER(INDEX(Inputs!$K$5:$AJ$140,0,MATCH(AD$2,Inputs!$K$4:$AJ$4,0))))+SUMPRODUCT((Inputs!$E$5:$E$140=$B60)*ISNUMBER(INDEX(Inputs!$K$5:$AJ$140,0,MATCH(AD$2,Inputs!$K$4:$AJ$4,0))))=0,NA(),SUMPRODUCT((Inputs!$A$5:$A$140=$B60)*Inputs!$B$5:$B$140*(((Inputs!$G$5:$G$140="moeda")+(Inputs!$G$5:$G$140="acoes"))*Inputs!$B$1+((Inputs!$G$5:$G$140&lt;&gt;"moeda")*(Inputs!$G$5:$G$140&lt;&gt;"acoes")))*INDEX(Inputs!$K$5:$AJ$140,0,MATCH(AD$2,Inputs!$K$4:$AJ$4,0)))+SUMPRODUCT((Inputs!$C$5:$C$140=$B60)*Inputs!$D$5:$D$140*(((Inputs!$G$5:$G$140="moeda")+(Inputs!$G$5:$G$140="acoes"))*Inputs!$B$1+((Inputs!$G$5:$G$140&lt;&gt;"moeda")*(Inputs!$G$5:$G$140&lt;&gt;"acoes")))*INDEX(Inputs!$K$5:$AJ$140,0,MATCH(AD$2,Inputs!$K$4:$AJ$4,0)))+SUMPRODUCT((Inputs!$E$5:$E$140=$B60)*Inputs!$F$5:$F$140*(((Inputs!$G$5:$G$140="moeda")+(Inputs!$G$5:$G$140="acoes"))*Inputs!$B$1+((Inputs!$G$5:$G$140&lt;&gt;"moeda")*(Inputs!$G$5:$G$140&lt;&gt;"acoes")))*INDEX(Inputs!$K$5:$AJ$140,0,MATCH(AD$2,Inputs!$K$4:$AJ$4,0)))))</f>
        <v>67</v>
      </c>
      <c r="AE60" s="262" t="e">
        <f>IF(ISNA(MATCH(AE$2,Inputs!$K$4:$AJ$4,0)),NA(),IF(SUMPRODUCT((Inputs!$A$5:$A$140=$B60)*ISNUMBER(INDEX(Inputs!$K$5:$AJ$140,0,MATCH(AE$2,Inputs!$K$4:$AJ$4,0))))+SUMPRODUCT((Inputs!$C$5:$C$140=$B60)*ISNUMBER(INDEX(Inputs!$K$5:$AJ$140,0,MATCH(AE$2,Inputs!$K$4:$AJ$4,0))))+SUMPRODUCT((Inputs!$E$5:$E$140=$B60)*ISNUMBER(INDEX(Inputs!$K$5:$AJ$140,0,MATCH(AE$2,Inputs!$K$4:$AJ$4,0))))=0,NA(),SUMPRODUCT((Inputs!$A$5:$A$140=$B60)*Inputs!$B$5:$B$140*(((Inputs!$G$5:$G$140="moeda")+(Inputs!$G$5:$G$140="acoes"))*Inputs!$B$1+((Inputs!$G$5:$G$140&lt;&gt;"moeda")*(Inputs!$G$5:$G$140&lt;&gt;"acoes")))*INDEX(Inputs!$K$5:$AJ$140,0,MATCH(AE$2,Inputs!$K$4:$AJ$4,0)))+SUMPRODUCT((Inputs!$C$5:$C$140=$B60)*Inputs!$D$5:$D$140*(((Inputs!$G$5:$G$140="moeda")+(Inputs!$G$5:$G$140="acoes"))*Inputs!$B$1+((Inputs!$G$5:$G$140&lt;&gt;"moeda")*(Inputs!$G$5:$G$140&lt;&gt;"acoes")))*INDEX(Inputs!$K$5:$AJ$140,0,MATCH(AE$2,Inputs!$K$4:$AJ$4,0)))+SUMPRODUCT((Inputs!$E$5:$E$140=$B60)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0" s="262" t="e">
        <f>IF(ISNA(MATCH(AF$2,Inputs!$K$4:$AJ$4,0)),NA(),IF(SUMPRODUCT((Inputs!$A$5:$A$140=$B60)*ISNUMBER(INDEX(Inputs!$K$5:$AJ$140,0,MATCH(AF$2,Inputs!$K$4:$AJ$4,0))))+SUMPRODUCT((Inputs!$C$5:$C$140=$B60)*ISNUMBER(INDEX(Inputs!$K$5:$AJ$140,0,MATCH(AF$2,Inputs!$K$4:$AJ$4,0))))+SUMPRODUCT((Inputs!$E$5:$E$140=$B60)*ISNUMBER(INDEX(Inputs!$K$5:$AJ$140,0,MATCH(AF$2,Inputs!$K$4:$AJ$4,0))))=0,NA(),SUMPRODUCT((Inputs!$A$5:$A$140=$B60)*Inputs!$B$5:$B$140*(((Inputs!$G$5:$G$140="moeda")+(Inputs!$G$5:$G$140="acoes"))*Inputs!$B$1+((Inputs!$G$5:$G$140&lt;&gt;"moeda")*(Inputs!$G$5:$G$140&lt;&gt;"acoes")))*INDEX(Inputs!$K$5:$AJ$140,0,MATCH(AF$2,Inputs!$K$4:$AJ$4,0)))+SUMPRODUCT((Inputs!$C$5:$C$140=$B60)*Inputs!$D$5:$D$140*(((Inputs!$G$5:$G$140="moeda")+(Inputs!$G$5:$G$140="acoes"))*Inputs!$B$1+((Inputs!$G$5:$G$140&lt;&gt;"moeda")*(Inputs!$G$5:$G$140&lt;&gt;"acoes")))*INDEX(Inputs!$K$5:$AJ$140,0,MATCH(AF$2,Inputs!$K$4:$AJ$4,0)))+SUMPRODUCT((Inputs!$E$5:$E$140=$B60)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0" s="263" t="e">
        <f>AF60</f>
        <v>#N/A</v>
      </c>
      <c r="AH60" s="262">
        <f>IF(ISNA(MATCH(AH$2,Inputs!$K$4:$AJ$4,0)),NA(),IF(SUMPRODUCT((Inputs!$A$5:$A$140=$B60)*ISNUMBER(INDEX(Inputs!$K$5:$AJ$140,0,MATCH(AH$2,Inputs!$K$4:$AJ$4,0))))+SUMPRODUCT((Inputs!$C$5:$C$140=$B60)*ISNUMBER(INDEX(Inputs!$K$5:$AJ$140,0,MATCH(AH$2,Inputs!$K$4:$AJ$4,0))))+SUMPRODUCT((Inputs!$E$5:$E$140=$B60)*ISNUMBER(INDEX(Inputs!$K$5:$AJ$140,0,MATCH(AH$2,Inputs!$K$4:$AJ$4,0))))=0,NA(),SUMPRODUCT((Inputs!$A$5:$A$140=$B60)*Inputs!$B$5:$B$140*(((Inputs!$G$5:$G$140="moeda")+(Inputs!$G$5:$G$140="acoes"))*Inputs!$B$1+((Inputs!$G$5:$G$140&lt;&gt;"moeda")*(Inputs!$G$5:$G$140&lt;&gt;"acoes")))*INDEX(Inputs!$K$5:$AJ$140,0,MATCH(AH$2,Inputs!$K$4:$AJ$4,0)))+SUMPRODUCT((Inputs!$C$5:$C$140=$B60)*Inputs!$D$5:$D$140*(((Inputs!$G$5:$G$140="moeda")+(Inputs!$G$5:$G$140="acoes"))*Inputs!$B$1+((Inputs!$G$5:$G$140&lt;&gt;"moeda")*(Inputs!$G$5:$G$140&lt;&gt;"acoes")))*INDEX(Inputs!$K$5:$AJ$140,0,MATCH(AH$2,Inputs!$K$4:$AJ$4,0)))+SUMPRODUCT((Inputs!$E$5:$E$140=$B60)*Inputs!$F$5:$F$140*(((Inputs!$G$5:$G$140="moeda")+(Inputs!$G$5:$G$140="acoes"))*Inputs!$B$1+((Inputs!$G$5:$G$140&lt;&gt;"moeda")*(Inputs!$G$5:$G$140&lt;&gt;"acoes")))*INDEX(Inputs!$K$5:$AJ$140,0,MATCH(AH$2,Inputs!$K$4:$AJ$4,0)))))</f>
        <v>0</v>
      </c>
      <c r="AI60" s="262">
        <f>IF(ISNA(MATCH(AI$2,Inputs!$K$4:$AJ$4,0)),NA(),IF(SUMPRODUCT((Inputs!$A$5:$A$140=$B60)*ISNUMBER(INDEX(Inputs!$K$5:$AJ$140,0,MATCH(AI$2,Inputs!$K$4:$AJ$4,0))))+SUMPRODUCT((Inputs!$C$5:$C$140=$B60)*ISNUMBER(INDEX(Inputs!$K$5:$AJ$140,0,MATCH(AI$2,Inputs!$K$4:$AJ$4,0))))+SUMPRODUCT((Inputs!$E$5:$E$140=$B60)*ISNUMBER(INDEX(Inputs!$K$5:$AJ$140,0,MATCH(AI$2,Inputs!$K$4:$AJ$4,0))))=0,NA(),SUMPRODUCT((Inputs!$A$5:$A$140=$B60)*Inputs!$B$5:$B$140*(((Inputs!$G$5:$G$140="moeda")+(Inputs!$G$5:$G$140="acoes"))*Inputs!$B$1+((Inputs!$G$5:$G$140&lt;&gt;"moeda")*(Inputs!$G$5:$G$140&lt;&gt;"acoes")))*INDEX(Inputs!$K$5:$AJ$140,0,MATCH(AI$2,Inputs!$K$4:$AJ$4,0)))+SUMPRODUCT((Inputs!$C$5:$C$140=$B60)*Inputs!$D$5:$D$140*(((Inputs!$G$5:$G$140="moeda")+(Inputs!$G$5:$G$140="acoes"))*Inputs!$B$1+((Inputs!$G$5:$G$140&lt;&gt;"moeda")*(Inputs!$G$5:$G$140&lt;&gt;"acoes")))*INDEX(Inputs!$K$5:$AJ$140,0,MATCH(AI$2,Inputs!$K$4:$AJ$4,0)))+SUMPRODUCT((Inputs!$E$5:$E$140=$B60)*Inputs!$F$5:$F$140*(((Inputs!$G$5:$G$140="moeda")+(Inputs!$G$5:$G$140="acoes"))*Inputs!$B$1+((Inputs!$G$5:$G$140&lt;&gt;"moeda")*(Inputs!$G$5:$G$140&lt;&gt;"acoes")))*INDEX(Inputs!$K$5:$AJ$140,0,MATCH(AI$2,Inputs!$K$4:$AJ$4,0)))))</f>
        <v>0</v>
      </c>
      <c r="AJ60" s="262">
        <f>IF(ISNA(MATCH(AJ$2,Inputs!$K$4:$AJ$4,0)),NA(),IF(SUMPRODUCT((Inputs!$A$5:$A$140=$B60)*ISNUMBER(INDEX(Inputs!$K$5:$AJ$140,0,MATCH(AJ$2,Inputs!$K$4:$AJ$4,0))))+SUMPRODUCT((Inputs!$C$5:$C$140=$B60)*ISNUMBER(INDEX(Inputs!$K$5:$AJ$140,0,MATCH(AJ$2,Inputs!$K$4:$AJ$4,0))))+SUMPRODUCT((Inputs!$E$5:$E$140=$B60)*ISNUMBER(INDEX(Inputs!$K$5:$AJ$140,0,MATCH(AJ$2,Inputs!$K$4:$AJ$4,0))))=0,NA(),SUMPRODUCT((Inputs!$A$5:$A$140=$B60)*Inputs!$B$5:$B$140*(((Inputs!$G$5:$G$140="moeda")+(Inputs!$G$5:$G$140="acoes"))*Inputs!$B$1+((Inputs!$G$5:$G$140&lt;&gt;"moeda")*(Inputs!$G$5:$G$140&lt;&gt;"acoes")))*INDEX(Inputs!$K$5:$AJ$140,0,MATCH(AJ$2,Inputs!$K$4:$AJ$4,0)))+SUMPRODUCT((Inputs!$C$5:$C$140=$B60)*Inputs!$D$5:$D$140*(((Inputs!$G$5:$G$140="moeda")+(Inputs!$G$5:$G$140="acoes"))*Inputs!$B$1+((Inputs!$G$5:$G$140&lt;&gt;"moeda")*(Inputs!$G$5:$G$140&lt;&gt;"acoes")))*INDEX(Inputs!$K$5:$AJ$140,0,MATCH(AJ$2,Inputs!$K$4:$AJ$4,0)))+SUMPRODUCT((Inputs!$E$5:$E$140=$B60)*Inputs!$F$5:$F$140*(((Inputs!$G$5:$G$140="moeda")+(Inputs!$G$5:$G$140="acoes"))*Inputs!$B$1+((Inputs!$G$5:$G$140&lt;&gt;"moeda")*(Inputs!$G$5:$G$140&lt;&gt;"acoes")))*INDEX(Inputs!$K$5:$AJ$140,0,MATCH(AJ$2,Inputs!$K$4:$AJ$4,0)))))</f>
        <v>0</v>
      </c>
      <c r="AK60" s="262">
        <f>IF(ISNA(MATCH(AK$2,Inputs!$K$4:$AJ$4,0)),NA(),IF(SUMPRODUCT((Inputs!$A$5:$A$140=$B60)*ISNUMBER(INDEX(Inputs!$K$5:$AJ$140,0,MATCH(AK$2,Inputs!$K$4:$AJ$4,0))))+SUMPRODUCT((Inputs!$C$5:$C$140=$B60)*ISNUMBER(INDEX(Inputs!$K$5:$AJ$140,0,MATCH(AK$2,Inputs!$K$4:$AJ$4,0))))+SUMPRODUCT((Inputs!$E$5:$E$140=$B60)*ISNUMBER(INDEX(Inputs!$K$5:$AJ$140,0,MATCH(AK$2,Inputs!$K$4:$AJ$4,0))))=0,NA(),SUMPRODUCT((Inputs!$A$5:$A$140=$B60)*Inputs!$B$5:$B$140*(((Inputs!$G$5:$G$140="moeda")+(Inputs!$G$5:$G$140="acoes"))*Inputs!$B$1+((Inputs!$G$5:$G$140&lt;&gt;"moeda")*(Inputs!$G$5:$G$140&lt;&gt;"acoes")))*INDEX(Inputs!$K$5:$AJ$140,0,MATCH(AK$2,Inputs!$K$4:$AJ$4,0)))+SUMPRODUCT((Inputs!$C$5:$C$140=$B60)*Inputs!$D$5:$D$140*(((Inputs!$G$5:$G$140="moeda")+(Inputs!$G$5:$G$140="acoes"))*Inputs!$B$1+((Inputs!$G$5:$G$140&lt;&gt;"moeda")*(Inputs!$G$5:$G$140&lt;&gt;"acoes")))*INDEX(Inputs!$K$5:$AJ$140,0,MATCH(AK$2,Inputs!$K$4:$AJ$4,0)))+SUMPRODUCT((Inputs!$E$5:$E$140=$B60)*Inputs!$F$5:$F$140*(((Inputs!$G$5:$G$140="moeda")+(Inputs!$G$5:$G$140="acoes"))*Inputs!$B$1+((Inputs!$G$5:$G$140&lt;&gt;"moeda")*(Inputs!$G$5:$G$140&lt;&gt;"acoes")))*INDEX(Inputs!$K$5:$AJ$140,0,MATCH(AK$2,Inputs!$K$4:$AJ$4,0)))))</f>
        <v>0</v>
      </c>
      <c r="AL60" s="263">
        <f>AK60</f>
        <v>0</v>
      </c>
    </row>
    <row r="61">
      <c r="B61" s="46" t="n">
        <v>53</v>
      </c>
      <c r="C61" s="29" t="inlineStr">
        <is>
          <t>Lojas - Varejo (Super/Hiper + Camino) (fim do periodo)</t>
        </is>
      </c>
      <c r="D61" s="262">
        <f>IF(ISNA(MATCH(D$2,Inputs!$K$4:$AJ$4,0)),NA(),IF(SUMPRODUCT((Inputs!$A$5:$A$140=$B61)*ISNUMBER(INDEX(Inputs!$K$5:$AJ$140,0,MATCH(D$2,Inputs!$K$4:$AJ$4,0))))+SUMPRODUCT((Inputs!$C$5:$C$140=$B61)*ISNUMBER(INDEX(Inputs!$K$5:$AJ$140,0,MATCH(D$2,Inputs!$K$4:$AJ$4,0))))+SUMPRODUCT((Inputs!$E$5:$E$140=$B61)*ISNUMBER(INDEX(Inputs!$K$5:$AJ$140,0,MATCH(D$2,Inputs!$K$4:$AJ$4,0))))=0,NA(),SUMPRODUCT((Inputs!$A$5:$A$140=$B61)*Inputs!$B$5:$B$140*(((Inputs!$G$5:$G$140="moeda")+(Inputs!$G$5:$G$140="acoes"))*Inputs!$B$1+((Inputs!$G$5:$G$140&lt;&gt;"moeda")*(Inputs!$G$5:$G$140&lt;&gt;"acoes")))*INDEX(Inputs!$K$5:$AJ$140,0,MATCH(D$2,Inputs!$K$4:$AJ$4,0)))+SUMPRODUCT((Inputs!$C$5:$C$140=$B61)*Inputs!$D$5:$D$140*(((Inputs!$G$5:$G$140="moeda")+(Inputs!$G$5:$G$140="acoes"))*Inputs!$B$1+((Inputs!$G$5:$G$140&lt;&gt;"moeda")*(Inputs!$G$5:$G$140&lt;&gt;"acoes")))*INDEX(Inputs!$K$5:$AJ$140,0,MATCH(D$2,Inputs!$K$4:$AJ$4,0)))+SUMPRODUCT((Inputs!$E$5:$E$140=$B61)*Inputs!$F$5:$F$140*(((Inputs!$G$5:$G$140="moeda")+(Inputs!$G$5:$G$140="acoes"))*Inputs!$B$1+((Inputs!$G$5:$G$140&lt;&gt;"moeda")*(Inputs!$G$5:$G$140&lt;&gt;"acoes")))*INDEX(Inputs!$K$5:$AJ$140,0,MATCH(D$2,Inputs!$K$4:$AJ$4,0)))))</f>
        <v>55</v>
      </c>
      <c r="E61" s="262">
        <f>IF(ISNA(MATCH(E$2,Inputs!$K$4:$AJ$4,0)),NA(),IF(SUMPRODUCT((Inputs!$A$5:$A$140=$B61)*ISNUMBER(INDEX(Inputs!$K$5:$AJ$140,0,MATCH(E$2,Inputs!$K$4:$AJ$4,0))))+SUMPRODUCT((Inputs!$C$5:$C$140=$B61)*ISNUMBER(INDEX(Inputs!$K$5:$AJ$140,0,MATCH(E$2,Inputs!$K$4:$AJ$4,0))))+SUMPRODUCT((Inputs!$E$5:$E$140=$B61)*ISNUMBER(INDEX(Inputs!$K$5:$AJ$140,0,MATCH(E$2,Inputs!$K$4:$AJ$4,0))))=0,NA(),SUMPRODUCT((Inputs!$A$5:$A$140=$B61)*Inputs!$B$5:$B$140*(((Inputs!$G$5:$G$140="moeda")+(Inputs!$G$5:$G$140="acoes"))*Inputs!$B$1+((Inputs!$G$5:$G$140&lt;&gt;"moeda")*(Inputs!$G$5:$G$140&lt;&gt;"acoes")))*INDEX(Inputs!$K$5:$AJ$140,0,MATCH(E$2,Inputs!$K$4:$AJ$4,0)))+SUMPRODUCT((Inputs!$C$5:$C$140=$B61)*Inputs!$D$5:$D$140*(((Inputs!$G$5:$G$140="moeda")+(Inputs!$G$5:$G$140="acoes"))*Inputs!$B$1+((Inputs!$G$5:$G$140&lt;&gt;"moeda")*(Inputs!$G$5:$G$140&lt;&gt;"acoes")))*INDEX(Inputs!$K$5:$AJ$140,0,MATCH(E$2,Inputs!$K$4:$AJ$4,0)))+SUMPRODUCT((Inputs!$E$5:$E$140=$B61)*Inputs!$F$5:$F$140*(((Inputs!$G$5:$G$140="moeda")+(Inputs!$G$5:$G$140="acoes"))*Inputs!$B$1+((Inputs!$G$5:$G$140&lt;&gt;"moeda")*(Inputs!$G$5:$G$140&lt;&gt;"acoes")))*INDEX(Inputs!$K$5:$AJ$140,0,MATCH(E$2,Inputs!$K$4:$AJ$4,0)))))</f>
        <v>56</v>
      </c>
      <c r="F61" s="262">
        <f>IF(ISNA(MATCH(F$2,Inputs!$K$4:$AJ$4,0)),NA(),IF(SUMPRODUCT((Inputs!$A$5:$A$140=$B61)*ISNUMBER(INDEX(Inputs!$K$5:$AJ$140,0,MATCH(F$2,Inputs!$K$4:$AJ$4,0))))+SUMPRODUCT((Inputs!$C$5:$C$140=$B61)*ISNUMBER(INDEX(Inputs!$K$5:$AJ$140,0,MATCH(F$2,Inputs!$K$4:$AJ$4,0))))+SUMPRODUCT((Inputs!$E$5:$E$140=$B61)*ISNUMBER(INDEX(Inputs!$K$5:$AJ$140,0,MATCH(F$2,Inputs!$K$4:$AJ$4,0))))=0,NA(),SUMPRODUCT((Inputs!$A$5:$A$140=$B61)*Inputs!$B$5:$B$140*(((Inputs!$G$5:$G$140="moeda")+(Inputs!$G$5:$G$140="acoes"))*Inputs!$B$1+((Inputs!$G$5:$G$140&lt;&gt;"moeda")*(Inputs!$G$5:$G$140&lt;&gt;"acoes")))*INDEX(Inputs!$K$5:$AJ$140,0,MATCH(F$2,Inputs!$K$4:$AJ$4,0)))+SUMPRODUCT((Inputs!$C$5:$C$140=$B61)*Inputs!$D$5:$D$140*(((Inputs!$G$5:$G$140="moeda")+(Inputs!$G$5:$G$140="acoes"))*Inputs!$B$1+((Inputs!$G$5:$G$140&lt;&gt;"moeda")*(Inputs!$G$5:$G$140&lt;&gt;"acoes")))*INDEX(Inputs!$K$5:$AJ$140,0,MATCH(F$2,Inputs!$K$4:$AJ$4,0)))+SUMPRODUCT((Inputs!$E$5:$E$140=$B61)*Inputs!$F$5:$F$140*(((Inputs!$G$5:$G$140="moeda")+(Inputs!$G$5:$G$140="acoes"))*Inputs!$B$1+((Inputs!$G$5:$G$140&lt;&gt;"moeda")*(Inputs!$G$5:$G$140&lt;&gt;"acoes")))*INDEX(Inputs!$K$5:$AJ$140,0,MATCH(F$2,Inputs!$K$4:$AJ$4,0)))))</f>
        <v>57</v>
      </c>
      <c r="G61" s="262">
        <f>IF(ISNA(MATCH(G$2,Inputs!$K$4:$AJ$4,0)),NA(),IF(SUMPRODUCT((Inputs!$A$5:$A$140=$B61)*ISNUMBER(INDEX(Inputs!$K$5:$AJ$140,0,MATCH(G$2,Inputs!$K$4:$AJ$4,0))))+SUMPRODUCT((Inputs!$C$5:$C$140=$B61)*ISNUMBER(INDEX(Inputs!$K$5:$AJ$140,0,MATCH(G$2,Inputs!$K$4:$AJ$4,0))))+SUMPRODUCT((Inputs!$E$5:$E$140=$B61)*ISNUMBER(INDEX(Inputs!$K$5:$AJ$140,0,MATCH(G$2,Inputs!$K$4:$AJ$4,0))))=0,NA(),SUMPRODUCT((Inputs!$A$5:$A$140=$B61)*Inputs!$B$5:$B$140*(((Inputs!$G$5:$G$140="moeda")+(Inputs!$G$5:$G$140="acoes"))*Inputs!$B$1+((Inputs!$G$5:$G$140&lt;&gt;"moeda")*(Inputs!$G$5:$G$140&lt;&gt;"acoes")))*INDEX(Inputs!$K$5:$AJ$140,0,MATCH(G$2,Inputs!$K$4:$AJ$4,0)))+SUMPRODUCT((Inputs!$C$5:$C$140=$B61)*Inputs!$D$5:$D$140*(((Inputs!$G$5:$G$140="moeda")+(Inputs!$G$5:$G$140="acoes"))*Inputs!$B$1+((Inputs!$G$5:$G$140&lt;&gt;"moeda")*(Inputs!$G$5:$G$140&lt;&gt;"acoes")))*INDEX(Inputs!$K$5:$AJ$140,0,MATCH(G$2,Inputs!$K$4:$AJ$4,0)))+SUMPRODUCT((Inputs!$E$5:$E$140=$B61)*Inputs!$F$5:$F$140*(((Inputs!$G$5:$G$140="moeda")+(Inputs!$G$5:$G$140="acoes"))*Inputs!$B$1+((Inputs!$G$5:$G$140&lt;&gt;"moeda")*(Inputs!$G$5:$G$140&lt;&gt;"acoes")))*INDEX(Inputs!$K$5:$AJ$140,0,MATCH(G$2,Inputs!$K$4:$AJ$4,0)))))</f>
        <v>61</v>
      </c>
      <c r="H61" s="263">
        <f>G61</f>
        <v>61</v>
      </c>
      <c r="I61" s="262">
        <f>IF(ISNA(MATCH(I$2,Inputs!$K$4:$AJ$4,0)),NA(),IF(SUMPRODUCT((Inputs!$A$5:$A$140=$B61)*ISNUMBER(INDEX(Inputs!$K$5:$AJ$140,0,MATCH(I$2,Inputs!$K$4:$AJ$4,0))))+SUMPRODUCT((Inputs!$C$5:$C$140=$B61)*ISNUMBER(INDEX(Inputs!$K$5:$AJ$140,0,MATCH(I$2,Inputs!$K$4:$AJ$4,0))))+SUMPRODUCT((Inputs!$E$5:$E$140=$B61)*ISNUMBER(INDEX(Inputs!$K$5:$AJ$140,0,MATCH(I$2,Inputs!$K$4:$AJ$4,0))))=0,NA(),SUMPRODUCT((Inputs!$A$5:$A$140=$B61)*Inputs!$B$5:$B$140*(((Inputs!$G$5:$G$140="moeda")+(Inputs!$G$5:$G$140="acoes"))*Inputs!$B$1+((Inputs!$G$5:$G$140&lt;&gt;"moeda")*(Inputs!$G$5:$G$140&lt;&gt;"acoes")))*INDEX(Inputs!$K$5:$AJ$140,0,MATCH(I$2,Inputs!$K$4:$AJ$4,0)))+SUMPRODUCT((Inputs!$C$5:$C$140=$B61)*Inputs!$D$5:$D$140*(((Inputs!$G$5:$G$140="moeda")+(Inputs!$G$5:$G$140="acoes"))*Inputs!$B$1+((Inputs!$G$5:$G$140&lt;&gt;"moeda")*(Inputs!$G$5:$G$140&lt;&gt;"acoes")))*INDEX(Inputs!$K$5:$AJ$140,0,MATCH(I$2,Inputs!$K$4:$AJ$4,0)))+SUMPRODUCT((Inputs!$E$5:$E$140=$B61)*Inputs!$F$5:$F$140*(((Inputs!$G$5:$G$140="moeda")+(Inputs!$G$5:$G$140="acoes"))*Inputs!$B$1+((Inputs!$G$5:$G$140&lt;&gt;"moeda")*(Inputs!$G$5:$G$140&lt;&gt;"acoes")))*INDEX(Inputs!$K$5:$AJ$140,0,MATCH(I$2,Inputs!$K$4:$AJ$4,0)))))</f>
        <v>68</v>
      </c>
      <c r="J61" s="262">
        <f>IF(ISNA(MATCH(J$2,Inputs!$K$4:$AJ$4,0)),NA(),IF(SUMPRODUCT((Inputs!$A$5:$A$140=$B61)*ISNUMBER(INDEX(Inputs!$K$5:$AJ$140,0,MATCH(J$2,Inputs!$K$4:$AJ$4,0))))+SUMPRODUCT((Inputs!$C$5:$C$140=$B61)*ISNUMBER(INDEX(Inputs!$K$5:$AJ$140,0,MATCH(J$2,Inputs!$K$4:$AJ$4,0))))+SUMPRODUCT((Inputs!$E$5:$E$140=$B61)*ISNUMBER(INDEX(Inputs!$K$5:$AJ$140,0,MATCH(J$2,Inputs!$K$4:$AJ$4,0))))=0,NA(),SUMPRODUCT((Inputs!$A$5:$A$140=$B61)*Inputs!$B$5:$B$140*(((Inputs!$G$5:$G$140="moeda")+(Inputs!$G$5:$G$140="acoes"))*Inputs!$B$1+((Inputs!$G$5:$G$140&lt;&gt;"moeda")*(Inputs!$G$5:$G$140&lt;&gt;"acoes")))*INDEX(Inputs!$K$5:$AJ$140,0,MATCH(J$2,Inputs!$K$4:$AJ$4,0)))+SUMPRODUCT((Inputs!$C$5:$C$140=$B61)*Inputs!$D$5:$D$140*(((Inputs!$G$5:$G$140="moeda")+(Inputs!$G$5:$G$140="acoes"))*Inputs!$B$1+((Inputs!$G$5:$G$140&lt;&gt;"moeda")*(Inputs!$G$5:$G$140&lt;&gt;"acoes")))*INDEX(Inputs!$K$5:$AJ$140,0,MATCH(J$2,Inputs!$K$4:$AJ$4,0)))+SUMPRODUCT((Inputs!$E$5:$E$140=$B61)*Inputs!$F$5:$F$140*(((Inputs!$G$5:$G$140="moeda")+(Inputs!$G$5:$G$140="acoes"))*Inputs!$B$1+((Inputs!$G$5:$G$140&lt;&gt;"moeda")*(Inputs!$G$5:$G$140&lt;&gt;"acoes")))*INDEX(Inputs!$K$5:$AJ$140,0,MATCH(J$2,Inputs!$K$4:$AJ$4,0)))))</f>
        <v>69</v>
      </c>
      <c r="K61" s="262">
        <f>IF(ISNA(MATCH(K$2,Inputs!$K$4:$AJ$4,0)),NA(),IF(SUMPRODUCT((Inputs!$A$5:$A$140=$B61)*ISNUMBER(INDEX(Inputs!$K$5:$AJ$140,0,MATCH(K$2,Inputs!$K$4:$AJ$4,0))))+SUMPRODUCT((Inputs!$C$5:$C$140=$B61)*ISNUMBER(INDEX(Inputs!$K$5:$AJ$140,0,MATCH(K$2,Inputs!$K$4:$AJ$4,0))))+SUMPRODUCT((Inputs!$E$5:$E$140=$B61)*ISNUMBER(INDEX(Inputs!$K$5:$AJ$140,0,MATCH(K$2,Inputs!$K$4:$AJ$4,0))))=0,NA(),SUMPRODUCT((Inputs!$A$5:$A$140=$B61)*Inputs!$B$5:$B$140*(((Inputs!$G$5:$G$140="moeda")+(Inputs!$G$5:$G$140="acoes"))*Inputs!$B$1+((Inputs!$G$5:$G$140&lt;&gt;"moeda")*(Inputs!$G$5:$G$140&lt;&gt;"acoes")))*INDEX(Inputs!$K$5:$AJ$140,0,MATCH(K$2,Inputs!$K$4:$AJ$4,0)))+SUMPRODUCT((Inputs!$C$5:$C$140=$B61)*Inputs!$D$5:$D$140*(((Inputs!$G$5:$G$140="moeda")+(Inputs!$G$5:$G$140="acoes"))*Inputs!$B$1+((Inputs!$G$5:$G$140&lt;&gt;"moeda")*(Inputs!$G$5:$G$140&lt;&gt;"acoes")))*INDEX(Inputs!$K$5:$AJ$140,0,MATCH(K$2,Inputs!$K$4:$AJ$4,0)))+SUMPRODUCT((Inputs!$E$5:$E$140=$B61)*Inputs!$F$5:$F$140*(((Inputs!$G$5:$G$140="moeda")+(Inputs!$G$5:$G$140="acoes"))*Inputs!$B$1+((Inputs!$G$5:$G$140&lt;&gt;"moeda")*(Inputs!$G$5:$G$140&lt;&gt;"acoes")))*INDEX(Inputs!$K$5:$AJ$140,0,MATCH(K$2,Inputs!$K$4:$AJ$4,0)))))</f>
        <v>70</v>
      </c>
      <c r="L61" s="262">
        <f>IF(ISNA(MATCH(L$2,Inputs!$K$4:$AJ$4,0)),NA(),IF(SUMPRODUCT((Inputs!$A$5:$A$140=$B61)*ISNUMBER(INDEX(Inputs!$K$5:$AJ$140,0,MATCH(L$2,Inputs!$K$4:$AJ$4,0))))+SUMPRODUCT((Inputs!$C$5:$C$140=$B61)*ISNUMBER(INDEX(Inputs!$K$5:$AJ$140,0,MATCH(L$2,Inputs!$K$4:$AJ$4,0))))+SUMPRODUCT((Inputs!$E$5:$E$140=$B61)*ISNUMBER(INDEX(Inputs!$K$5:$AJ$140,0,MATCH(L$2,Inputs!$K$4:$AJ$4,0))))=0,NA(),SUMPRODUCT((Inputs!$A$5:$A$140=$B61)*Inputs!$B$5:$B$140*(((Inputs!$G$5:$G$140="moeda")+(Inputs!$G$5:$G$140="acoes"))*Inputs!$B$1+((Inputs!$G$5:$G$140&lt;&gt;"moeda")*(Inputs!$G$5:$G$140&lt;&gt;"acoes")))*INDEX(Inputs!$K$5:$AJ$140,0,MATCH(L$2,Inputs!$K$4:$AJ$4,0)))+SUMPRODUCT((Inputs!$C$5:$C$140=$B61)*Inputs!$D$5:$D$140*(((Inputs!$G$5:$G$140="moeda")+(Inputs!$G$5:$G$140="acoes"))*Inputs!$B$1+((Inputs!$G$5:$G$140&lt;&gt;"moeda")*(Inputs!$G$5:$G$140&lt;&gt;"acoes")))*INDEX(Inputs!$K$5:$AJ$140,0,MATCH(L$2,Inputs!$K$4:$AJ$4,0)))+SUMPRODUCT((Inputs!$E$5:$E$140=$B61)*Inputs!$F$5:$F$140*(((Inputs!$G$5:$G$140="moeda")+(Inputs!$G$5:$G$140="acoes"))*Inputs!$B$1+((Inputs!$G$5:$G$140&lt;&gt;"moeda")*(Inputs!$G$5:$G$140&lt;&gt;"acoes")))*INDEX(Inputs!$K$5:$AJ$140,0,MATCH(L$2,Inputs!$K$4:$AJ$4,0)))))</f>
        <v>70</v>
      </c>
      <c r="M61" s="263">
        <f>L61</f>
        <v>70</v>
      </c>
      <c r="N61" s="262">
        <f>IF(ISNA(MATCH(N$2,Inputs!$K$4:$AJ$4,0)),NA(),IF(SUMPRODUCT((Inputs!$A$5:$A$140=$B61)*ISNUMBER(INDEX(Inputs!$K$5:$AJ$140,0,MATCH(N$2,Inputs!$K$4:$AJ$4,0))))+SUMPRODUCT((Inputs!$C$5:$C$140=$B61)*ISNUMBER(INDEX(Inputs!$K$5:$AJ$140,0,MATCH(N$2,Inputs!$K$4:$AJ$4,0))))+SUMPRODUCT((Inputs!$E$5:$E$140=$B61)*ISNUMBER(INDEX(Inputs!$K$5:$AJ$140,0,MATCH(N$2,Inputs!$K$4:$AJ$4,0))))=0,NA(),SUMPRODUCT((Inputs!$A$5:$A$140=$B61)*Inputs!$B$5:$B$140*(((Inputs!$G$5:$G$140="moeda")+(Inputs!$G$5:$G$140="acoes"))*Inputs!$B$1+((Inputs!$G$5:$G$140&lt;&gt;"moeda")*(Inputs!$G$5:$G$140&lt;&gt;"acoes")))*INDEX(Inputs!$K$5:$AJ$140,0,MATCH(N$2,Inputs!$K$4:$AJ$4,0)))+SUMPRODUCT((Inputs!$C$5:$C$140=$B61)*Inputs!$D$5:$D$140*(((Inputs!$G$5:$G$140="moeda")+(Inputs!$G$5:$G$140="acoes"))*Inputs!$B$1+((Inputs!$G$5:$G$140&lt;&gt;"moeda")*(Inputs!$G$5:$G$140&lt;&gt;"acoes")))*INDEX(Inputs!$K$5:$AJ$140,0,MATCH(N$2,Inputs!$K$4:$AJ$4,0)))+SUMPRODUCT((Inputs!$E$5:$E$140=$B61)*Inputs!$F$5:$F$140*(((Inputs!$G$5:$G$140="moeda")+(Inputs!$G$5:$G$140="acoes"))*Inputs!$B$1+((Inputs!$G$5:$G$140&lt;&gt;"moeda")*(Inputs!$G$5:$G$140&lt;&gt;"acoes")))*INDEX(Inputs!$K$5:$AJ$140,0,MATCH(N$2,Inputs!$K$4:$AJ$4,0)))))</f>
        <v>70</v>
      </c>
      <c r="O61" s="262">
        <f>IF(ISNA(MATCH(O$2,Inputs!$K$4:$AJ$4,0)),NA(),IF(SUMPRODUCT((Inputs!$A$5:$A$140=$B61)*ISNUMBER(INDEX(Inputs!$K$5:$AJ$140,0,MATCH(O$2,Inputs!$K$4:$AJ$4,0))))+SUMPRODUCT((Inputs!$C$5:$C$140=$B61)*ISNUMBER(INDEX(Inputs!$K$5:$AJ$140,0,MATCH(O$2,Inputs!$K$4:$AJ$4,0))))+SUMPRODUCT((Inputs!$E$5:$E$140=$B61)*ISNUMBER(INDEX(Inputs!$K$5:$AJ$140,0,MATCH(O$2,Inputs!$K$4:$AJ$4,0))))=0,NA(),SUMPRODUCT((Inputs!$A$5:$A$140=$B61)*Inputs!$B$5:$B$140*(((Inputs!$G$5:$G$140="moeda")+(Inputs!$G$5:$G$140="acoes"))*Inputs!$B$1+((Inputs!$G$5:$G$140&lt;&gt;"moeda")*(Inputs!$G$5:$G$140&lt;&gt;"acoes")))*INDEX(Inputs!$K$5:$AJ$140,0,MATCH(O$2,Inputs!$K$4:$AJ$4,0)))+SUMPRODUCT((Inputs!$C$5:$C$140=$B61)*Inputs!$D$5:$D$140*(((Inputs!$G$5:$G$140="moeda")+(Inputs!$G$5:$G$140="acoes"))*Inputs!$B$1+((Inputs!$G$5:$G$140&lt;&gt;"moeda")*(Inputs!$G$5:$G$140&lt;&gt;"acoes")))*INDEX(Inputs!$K$5:$AJ$140,0,MATCH(O$2,Inputs!$K$4:$AJ$4,0)))+SUMPRODUCT((Inputs!$E$5:$E$140=$B61)*Inputs!$F$5:$F$140*(((Inputs!$G$5:$G$140="moeda")+(Inputs!$G$5:$G$140="acoes"))*Inputs!$B$1+((Inputs!$G$5:$G$140&lt;&gt;"moeda")*(Inputs!$G$5:$G$140&lt;&gt;"acoes")))*INDEX(Inputs!$K$5:$AJ$140,0,MATCH(O$2,Inputs!$K$4:$AJ$4,0)))))</f>
        <v>71</v>
      </c>
      <c r="P61" s="262">
        <f>IF(ISNA(MATCH(P$2,Inputs!$K$4:$AJ$4,0)),NA(),IF(SUMPRODUCT((Inputs!$A$5:$A$140=$B61)*ISNUMBER(INDEX(Inputs!$K$5:$AJ$140,0,MATCH(P$2,Inputs!$K$4:$AJ$4,0))))+SUMPRODUCT((Inputs!$C$5:$C$140=$B61)*ISNUMBER(INDEX(Inputs!$K$5:$AJ$140,0,MATCH(P$2,Inputs!$K$4:$AJ$4,0))))+SUMPRODUCT((Inputs!$E$5:$E$140=$B61)*ISNUMBER(INDEX(Inputs!$K$5:$AJ$140,0,MATCH(P$2,Inputs!$K$4:$AJ$4,0))))=0,NA(),SUMPRODUCT((Inputs!$A$5:$A$140=$B61)*Inputs!$B$5:$B$140*(((Inputs!$G$5:$G$140="moeda")+(Inputs!$G$5:$G$140="acoes"))*Inputs!$B$1+((Inputs!$G$5:$G$140&lt;&gt;"moeda")*(Inputs!$G$5:$G$140&lt;&gt;"acoes")))*INDEX(Inputs!$K$5:$AJ$140,0,MATCH(P$2,Inputs!$K$4:$AJ$4,0)))+SUMPRODUCT((Inputs!$C$5:$C$140=$B61)*Inputs!$D$5:$D$140*(((Inputs!$G$5:$G$140="moeda")+(Inputs!$G$5:$G$140="acoes"))*Inputs!$B$1+((Inputs!$G$5:$G$140&lt;&gt;"moeda")*(Inputs!$G$5:$G$140&lt;&gt;"acoes")))*INDEX(Inputs!$K$5:$AJ$140,0,MATCH(P$2,Inputs!$K$4:$AJ$4,0)))+SUMPRODUCT((Inputs!$E$5:$E$140=$B61)*Inputs!$F$5:$F$140*(((Inputs!$G$5:$G$140="moeda")+(Inputs!$G$5:$G$140="acoes"))*Inputs!$B$1+((Inputs!$G$5:$G$140&lt;&gt;"moeda")*(Inputs!$G$5:$G$140&lt;&gt;"acoes")))*INDEX(Inputs!$K$5:$AJ$140,0,MATCH(P$2,Inputs!$K$4:$AJ$4,0)))))</f>
        <v>72</v>
      </c>
      <c r="Q61" s="262">
        <f>IF(ISNA(MATCH(Q$2,Inputs!$K$4:$AJ$4,0)),NA(),IF(SUMPRODUCT((Inputs!$A$5:$A$140=$B61)*ISNUMBER(INDEX(Inputs!$K$5:$AJ$140,0,MATCH(Q$2,Inputs!$K$4:$AJ$4,0))))+SUMPRODUCT((Inputs!$C$5:$C$140=$B61)*ISNUMBER(INDEX(Inputs!$K$5:$AJ$140,0,MATCH(Q$2,Inputs!$K$4:$AJ$4,0))))+SUMPRODUCT((Inputs!$E$5:$E$140=$B61)*ISNUMBER(INDEX(Inputs!$K$5:$AJ$140,0,MATCH(Q$2,Inputs!$K$4:$AJ$4,0))))=0,NA(),SUMPRODUCT((Inputs!$A$5:$A$140=$B61)*Inputs!$B$5:$B$140*(((Inputs!$G$5:$G$140="moeda")+(Inputs!$G$5:$G$140="acoes"))*Inputs!$B$1+((Inputs!$G$5:$G$140&lt;&gt;"moeda")*(Inputs!$G$5:$G$140&lt;&gt;"acoes")))*INDEX(Inputs!$K$5:$AJ$140,0,MATCH(Q$2,Inputs!$K$4:$AJ$4,0)))+SUMPRODUCT((Inputs!$C$5:$C$140=$B61)*Inputs!$D$5:$D$140*(((Inputs!$G$5:$G$140="moeda")+(Inputs!$G$5:$G$140="acoes"))*Inputs!$B$1+((Inputs!$G$5:$G$140&lt;&gt;"moeda")*(Inputs!$G$5:$G$140&lt;&gt;"acoes")))*INDEX(Inputs!$K$5:$AJ$140,0,MATCH(Q$2,Inputs!$K$4:$AJ$4,0)))+SUMPRODUCT((Inputs!$E$5:$E$140=$B61)*Inputs!$F$5:$F$140*(((Inputs!$G$5:$G$140="moeda")+(Inputs!$G$5:$G$140="acoes"))*Inputs!$B$1+((Inputs!$G$5:$G$140&lt;&gt;"moeda")*(Inputs!$G$5:$G$140&lt;&gt;"acoes")))*INDEX(Inputs!$K$5:$AJ$140,0,MATCH(Q$2,Inputs!$K$4:$AJ$4,0)))))</f>
        <v>73</v>
      </c>
      <c r="R61" s="263">
        <f>Q61</f>
        <v>73</v>
      </c>
      <c r="S61" s="262">
        <f>IF(ISNA(MATCH(S$2,Inputs!$K$4:$AJ$4,0)),NA(),IF(SUMPRODUCT((Inputs!$A$5:$A$140=$B61)*ISNUMBER(INDEX(Inputs!$K$5:$AJ$140,0,MATCH(S$2,Inputs!$K$4:$AJ$4,0))))+SUMPRODUCT((Inputs!$C$5:$C$140=$B61)*ISNUMBER(INDEX(Inputs!$K$5:$AJ$140,0,MATCH(S$2,Inputs!$K$4:$AJ$4,0))))+SUMPRODUCT((Inputs!$E$5:$E$140=$B61)*ISNUMBER(INDEX(Inputs!$K$5:$AJ$140,0,MATCH(S$2,Inputs!$K$4:$AJ$4,0))))=0,NA(),SUMPRODUCT((Inputs!$A$5:$A$140=$B61)*Inputs!$B$5:$B$140*(((Inputs!$G$5:$G$140="moeda")+(Inputs!$G$5:$G$140="acoes"))*Inputs!$B$1+((Inputs!$G$5:$G$140&lt;&gt;"moeda")*(Inputs!$G$5:$G$140&lt;&gt;"acoes")))*INDEX(Inputs!$K$5:$AJ$140,0,MATCH(S$2,Inputs!$K$4:$AJ$4,0)))+SUMPRODUCT((Inputs!$C$5:$C$140=$B61)*Inputs!$D$5:$D$140*(((Inputs!$G$5:$G$140="moeda")+(Inputs!$G$5:$G$140="acoes"))*Inputs!$B$1+((Inputs!$G$5:$G$140&lt;&gt;"moeda")*(Inputs!$G$5:$G$140&lt;&gt;"acoes")))*INDEX(Inputs!$K$5:$AJ$140,0,MATCH(S$2,Inputs!$K$4:$AJ$4,0)))+SUMPRODUCT((Inputs!$E$5:$E$140=$B61)*Inputs!$F$5:$F$140*(((Inputs!$G$5:$G$140="moeda")+(Inputs!$G$5:$G$140="acoes"))*Inputs!$B$1+((Inputs!$G$5:$G$140&lt;&gt;"moeda")*(Inputs!$G$5:$G$140&lt;&gt;"acoes")))*INDEX(Inputs!$K$5:$AJ$140,0,MATCH(S$2,Inputs!$K$4:$AJ$4,0)))))</f>
        <v>73</v>
      </c>
      <c r="T61" s="262">
        <f>IF(ISNA(MATCH(T$2,Inputs!$K$4:$AJ$4,0)),NA(),IF(SUMPRODUCT((Inputs!$A$5:$A$140=$B61)*ISNUMBER(INDEX(Inputs!$K$5:$AJ$140,0,MATCH(T$2,Inputs!$K$4:$AJ$4,0))))+SUMPRODUCT((Inputs!$C$5:$C$140=$B61)*ISNUMBER(INDEX(Inputs!$K$5:$AJ$140,0,MATCH(T$2,Inputs!$K$4:$AJ$4,0))))+SUMPRODUCT((Inputs!$E$5:$E$140=$B61)*ISNUMBER(INDEX(Inputs!$K$5:$AJ$140,0,MATCH(T$2,Inputs!$K$4:$AJ$4,0))))=0,NA(),SUMPRODUCT((Inputs!$A$5:$A$140=$B61)*Inputs!$B$5:$B$140*(((Inputs!$G$5:$G$140="moeda")+(Inputs!$G$5:$G$140="acoes"))*Inputs!$B$1+((Inputs!$G$5:$G$140&lt;&gt;"moeda")*(Inputs!$G$5:$G$140&lt;&gt;"acoes")))*INDEX(Inputs!$K$5:$AJ$140,0,MATCH(T$2,Inputs!$K$4:$AJ$4,0)))+SUMPRODUCT((Inputs!$C$5:$C$140=$B61)*Inputs!$D$5:$D$140*(((Inputs!$G$5:$G$140="moeda")+(Inputs!$G$5:$G$140="acoes"))*Inputs!$B$1+((Inputs!$G$5:$G$140&lt;&gt;"moeda")*(Inputs!$G$5:$G$140&lt;&gt;"acoes")))*INDEX(Inputs!$K$5:$AJ$140,0,MATCH(T$2,Inputs!$K$4:$AJ$4,0)))+SUMPRODUCT((Inputs!$E$5:$E$140=$B61)*Inputs!$F$5:$F$140*(((Inputs!$G$5:$G$140="moeda")+(Inputs!$G$5:$G$140="acoes"))*Inputs!$B$1+((Inputs!$G$5:$G$140&lt;&gt;"moeda")*(Inputs!$G$5:$G$140&lt;&gt;"acoes")))*INDEX(Inputs!$K$5:$AJ$140,0,MATCH(T$2,Inputs!$K$4:$AJ$4,0)))))</f>
        <v>76</v>
      </c>
      <c r="U61" s="262">
        <f>IF(ISNA(MATCH(U$2,Inputs!$K$4:$AJ$4,0)),NA(),IF(SUMPRODUCT((Inputs!$A$5:$A$140=$B61)*ISNUMBER(INDEX(Inputs!$K$5:$AJ$140,0,MATCH(U$2,Inputs!$K$4:$AJ$4,0))))+SUMPRODUCT((Inputs!$C$5:$C$140=$B61)*ISNUMBER(INDEX(Inputs!$K$5:$AJ$140,0,MATCH(U$2,Inputs!$K$4:$AJ$4,0))))+SUMPRODUCT((Inputs!$E$5:$E$140=$B61)*ISNUMBER(INDEX(Inputs!$K$5:$AJ$140,0,MATCH(U$2,Inputs!$K$4:$AJ$4,0))))=0,NA(),SUMPRODUCT((Inputs!$A$5:$A$140=$B61)*Inputs!$B$5:$B$140*(((Inputs!$G$5:$G$140="moeda")+(Inputs!$G$5:$G$140="acoes"))*Inputs!$B$1+((Inputs!$G$5:$G$140&lt;&gt;"moeda")*(Inputs!$G$5:$G$140&lt;&gt;"acoes")))*INDEX(Inputs!$K$5:$AJ$140,0,MATCH(U$2,Inputs!$K$4:$AJ$4,0)))+SUMPRODUCT((Inputs!$C$5:$C$140=$B61)*Inputs!$D$5:$D$140*(((Inputs!$G$5:$G$140="moeda")+(Inputs!$G$5:$G$140="acoes"))*Inputs!$B$1+((Inputs!$G$5:$G$140&lt;&gt;"moeda")*(Inputs!$G$5:$G$140&lt;&gt;"acoes")))*INDEX(Inputs!$K$5:$AJ$140,0,MATCH(U$2,Inputs!$K$4:$AJ$4,0)))+SUMPRODUCT((Inputs!$E$5:$E$140=$B61)*Inputs!$F$5:$F$140*(((Inputs!$G$5:$G$140="moeda")+(Inputs!$G$5:$G$140="acoes"))*Inputs!$B$1+((Inputs!$G$5:$G$140&lt;&gt;"moeda")*(Inputs!$G$5:$G$140&lt;&gt;"acoes")))*INDEX(Inputs!$K$5:$AJ$140,0,MATCH(U$2,Inputs!$K$4:$AJ$4,0)))))</f>
        <v>76</v>
      </c>
      <c r="V61" s="262">
        <f>IF(ISNA(MATCH(V$2,Inputs!$K$4:$AJ$4,0)),NA(),IF(SUMPRODUCT((Inputs!$A$5:$A$140=$B61)*ISNUMBER(INDEX(Inputs!$K$5:$AJ$140,0,MATCH(V$2,Inputs!$K$4:$AJ$4,0))))+SUMPRODUCT((Inputs!$C$5:$C$140=$B61)*ISNUMBER(INDEX(Inputs!$K$5:$AJ$140,0,MATCH(V$2,Inputs!$K$4:$AJ$4,0))))+SUMPRODUCT((Inputs!$E$5:$E$140=$B61)*ISNUMBER(INDEX(Inputs!$K$5:$AJ$140,0,MATCH(V$2,Inputs!$K$4:$AJ$4,0))))=0,NA(),SUMPRODUCT((Inputs!$A$5:$A$140=$B61)*Inputs!$B$5:$B$140*(((Inputs!$G$5:$G$140="moeda")+(Inputs!$G$5:$G$140="acoes"))*Inputs!$B$1+((Inputs!$G$5:$G$140&lt;&gt;"moeda")*(Inputs!$G$5:$G$140&lt;&gt;"acoes")))*INDEX(Inputs!$K$5:$AJ$140,0,MATCH(V$2,Inputs!$K$4:$AJ$4,0)))+SUMPRODUCT((Inputs!$C$5:$C$140=$B61)*Inputs!$D$5:$D$140*(((Inputs!$G$5:$G$140="moeda")+(Inputs!$G$5:$G$140="acoes"))*Inputs!$B$1+((Inputs!$G$5:$G$140&lt;&gt;"moeda")*(Inputs!$G$5:$G$140&lt;&gt;"acoes")))*INDEX(Inputs!$K$5:$AJ$140,0,MATCH(V$2,Inputs!$K$4:$AJ$4,0)))+SUMPRODUCT((Inputs!$E$5:$E$140=$B61)*Inputs!$F$5:$F$140*(((Inputs!$G$5:$G$140="moeda")+(Inputs!$G$5:$G$140="acoes"))*Inputs!$B$1+((Inputs!$G$5:$G$140&lt;&gt;"moeda")*(Inputs!$G$5:$G$140&lt;&gt;"acoes")))*INDEX(Inputs!$K$5:$AJ$140,0,MATCH(V$2,Inputs!$K$4:$AJ$4,0)))))</f>
        <v>78</v>
      </c>
      <c r="W61" s="263">
        <f>V61</f>
        <v>78</v>
      </c>
      <c r="X61" s="262">
        <f>IF(ISNA(MATCH(X$2,Inputs!$K$4:$AJ$4,0)),NA(),IF(SUMPRODUCT((Inputs!$A$5:$A$140=$B61)*ISNUMBER(INDEX(Inputs!$K$5:$AJ$140,0,MATCH(X$2,Inputs!$K$4:$AJ$4,0))))+SUMPRODUCT((Inputs!$C$5:$C$140=$B61)*ISNUMBER(INDEX(Inputs!$K$5:$AJ$140,0,MATCH(X$2,Inputs!$K$4:$AJ$4,0))))+SUMPRODUCT((Inputs!$E$5:$E$140=$B61)*ISNUMBER(INDEX(Inputs!$K$5:$AJ$140,0,MATCH(X$2,Inputs!$K$4:$AJ$4,0))))=0,NA(),SUMPRODUCT((Inputs!$A$5:$A$140=$B61)*Inputs!$B$5:$B$140*(((Inputs!$G$5:$G$140="moeda")+(Inputs!$G$5:$G$140="acoes"))*Inputs!$B$1+((Inputs!$G$5:$G$140&lt;&gt;"moeda")*(Inputs!$G$5:$G$140&lt;&gt;"acoes")))*INDEX(Inputs!$K$5:$AJ$140,0,MATCH(X$2,Inputs!$K$4:$AJ$4,0)))+SUMPRODUCT((Inputs!$C$5:$C$140=$B61)*Inputs!$D$5:$D$140*(((Inputs!$G$5:$G$140="moeda")+(Inputs!$G$5:$G$140="acoes"))*Inputs!$B$1+((Inputs!$G$5:$G$140&lt;&gt;"moeda")*(Inputs!$G$5:$G$140&lt;&gt;"acoes")))*INDEX(Inputs!$K$5:$AJ$140,0,MATCH(X$2,Inputs!$K$4:$AJ$4,0)))+SUMPRODUCT((Inputs!$E$5:$E$140=$B61)*Inputs!$F$5:$F$140*(((Inputs!$G$5:$G$140="moeda")+(Inputs!$G$5:$G$140="acoes"))*Inputs!$B$1+((Inputs!$G$5:$G$140&lt;&gt;"moeda")*(Inputs!$G$5:$G$140&lt;&gt;"acoes")))*INDEX(Inputs!$K$5:$AJ$140,0,MATCH(X$2,Inputs!$K$4:$AJ$4,0)))))</f>
        <v>80</v>
      </c>
      <c r="Y61" s="262">
        <f>IF(ISNA(MATCH(Y$2,Inputs!$K$4:$AJ$4,0)),NA(),IF(SUMPRODUCT((Inputs!$A$5:$A$140=$B61)*ISNUMBER(INDEX(Inputs!$K$5:$AJ$140,0,MATCH(Y$2,Inputs!$K$4:$AJ$4,0))))+SUMPRODUCT((Inputs!$C$5:$C$140=$B61)*ISNUMBER(INDEX(Inputs!$K$5:$AJ$140,0,MATCH(Y$2,Inputs!$K$4:$AJ$4,0))))+SUMPRODUCT((Inputs!$E$5:$E$140=$B61)*ISNUMBER(INDEX(Inputs!$K$5:$AJ$140,0,MATCH(Y$2,Inputs!$K$4:$AJ$4,0))))=0,NA(),SUMPRODUCT((Inputs!$A$5:$A$140=$B61)*Inputs!$B$5:$B$140*(((Inputs!$G$5:$G$140="moeda")+(Inputs!$G$5:$G$140="acoes"))*Inputs!$B$1+((Inputs!$G$5:$G$140&lt;&gt;"moeda")*(Inputs!$G$5:$G$140&lt;&gt;"acoes")))*INDEX(Inputs!$K$5:$AJ$140,0,MATCH(Y$2,Inputs!$K$4:$AJ$4,0)))+SUMPRODUCT((Inputs!$C$5:$C$140=$B61)*Inputs!$D$5:$D$140*(((Inputs!$G$5:$G$140="moeda")+(Inputs!$G$5:$G$140="acoes"))*Inputs!$B$1+((Inputs!$G$5:$G$140&lt;&gt;"moeda")*(Inputs!$G$5:$G$140&lt;&gt;"acoes")))*INDEX(Inputs!$K$5:$AJ$140,0,MATCH(Y$2,Inputs!$K$4:$AJ$4,0)))+SUMPRODUCT((Inputs!$E$5:$E$140=$B61)*Inputs!$F$5:$F$140*(((Inputs!$G$5:$G$140="moeda")+(Inputs!$G$5:$G$140="acoes"))*Inputs!$B$1+((Inputs!$G$5:$G$140&lt;&gt;"moeda")*(Inputs!$G$5:$G$140&lt;&gt;"acoes")))*INDEX(Inputs!$K$5:$AJ$140,0,MATCH(Y$2,Inputs!$K$4:$AJ$4,0)))))</f>
        <v>80</v>
      </c>
      <c r="Z61" s="262">
        <f>IF(ISNA(MATCH(Z$2,Inputs!$K$4:$AJ$4,0)),NA(),IF(SUMPRODUCT((Inputs!$A$5:$A$140=$B61)*ISNUMBER(INDEX(Inputs!$K$5:$AJ$140,0,MATCH(Z$2,Inputs!$K$4:$AJ$4,0))))+SUMPRODUCT((Inputs!$C$5:$C$140=$B61)*ISNUMBER(INDEX(Inputs!$K$5:$AJ$140,0,MATCH(Z$2,Inputs!$K$4:$AJ$4,0))))+SUMPRODUCT((Inputs!$E$5:$E$140=$B61)*ISNUMBER(INDEX(Inputs!$K$5:$AJ$140,0,MATCH(Z$2,Inputs!$K$4:$AJ$4,0))))=0,NA(),SUMPRODUCT((Inputs!$A$5:$A$140=$B61)*Inputs!$B$5:$B$140*(((Inputs!$G$5:$G$140="moeda")+(Inputs!$G$5:$G$140="acoes"))*Inputs!$B$1+((Inputs!$G$5:$G$140&lt;&gt;"moeda")*(Inputs!$G$5:$G$140&lt;&gt;"acoes")))*INDEX(Inputs!$K$5:$AJ$140,0,MATCH(Z$2,Inputs!$K$4:$AJ$4,0)))+SUMPRODUCT((Inputs!$C$5:$C$140=$B61)*Inputs!$D$5:$D$140*(((Inputs!$G$5:$G$140="moeda")+(Inputs!$G$5:$G$140="acoes"))*Inputs!$B$1+((Inputs!$G$5:$G$140&lt;&gt;"moeda")*(Inputs!$G$5:$G$140&lt;&gt;"acoes")))*INDEX(Inputs!$K$5:$AJ$140,0,MATCH(Z$2,Inputs!$K$4:$AJ$4,0)))+SUMPRODUCT((Inputs!$E$5:$E$140=$B61)*Inputs!$F$5:$F$140*(((Inputs!$G$5:$G$140="moeda")+(Inputs!$G$5:$G$140="acoes"))*Inputs!$B$1+((Inputs!$G$5:$G$140&lt;&gt;"moeda")*(Inputs!$G$5:$G$140&lt;&gt;"acoes")))*INDEX(Inputs!$K$5:$AJ$140,0,MATCH(Z$2,Inputs!$K$4:$AJ$4,0)))))</f>
        <v>81</v>
      </c>
      <c r="AA61" s="262">
        <f>IF(ISNA(MATCH(AA$2,Inputs!$K$4:$AJ$4,0)),NA(),IF(SUMPRODUCT((Inputs!$A$5:$A$140=$B61)*ISNUMBER(INDEX(Inputs!$K$5:$AJ$140,0,MATCH(AA$2,Inputs!$K$4:$AJ$4,0))))+SUMPRODUCT((Inputs!$C$5:$C$140=$B61)*ISNUMBER(INDEX(Inputs!$K$5:$AJ$140,0,MATCH(AA$2,Inputs!$K$4:$AJ$4,0))))+SUMPRODUCT((Inputs!$E$5:$E$140=$B61)*ISNUMBER(INDEX(Inputs!$K$5:$AJ$140,0,MATCH(AA$2,Inputs!$K$4:$AJ$4,0))))=0,NA(),SUMPRODUCT((Inputs!$A$5:$A$140=$B61)*Inputs!$B$5:$B$140*(((Inputs!$G$5:$G$140="moeda")+(Inputs!$G$5:$G$140="acoes"))*Inputs!$B$1+((Inputs!$G$5:$G$140&lt;&gt;"moeda")*(Inputs!$G$5:$G$140&lt;&gt;"acoes")))*INDEX(Inputs!$K$5:$AJ$140,0,MATCH(AA$2,Inputs!$K$4:$AJ$4,0)))+SUMPRODUCT((Inputs!$C$5:$C$140=$B61)*Inputs!$D$5:$D$140*(((Inputs!$G$5:$G$140="moeda")+(Inputs!$G$5:$G$140="acoes"))*Inputs!$B$1+((Inputs!$G$5:$G$140&lt;&gt;"moeda")*(Inputs!$G$5:$G$140&lt;&gt;"acoes")))*INDEX(Inputs!$K$5:$AJ$140,0,MATCH(AA$2,Inputs!$K$4:$AJ$4,0)))+SUMPRODUCT((Inputs!$E$5:$E$140=$B61)*Inputs!$F$5:$F$140*(((Inputs!$G$5:$G$140="moeda")+(Inputs!$G$5:$G$140="acoes"))*Inputs!$B$1+((Inputs!$G$5:$G$140&lt;&gt;"moeda")*(Inputs!$G$5:$G$140&lt;&gt;"acoes")))*INDEX(Inputs!$K$5:$AJ$140,0,MATCH(AA$2,Inputs!$K$4:$AJ$4,0)))))</f>
        <v>85</v>
      </c>
      <c r="AB61" s="263">
        <f>AA61</f>
        <v>85</v>
      </c>
      <c r="AC61" s="262">
        <f>IF(ISNA(MATCH(AC$2,Inputs!$K$4:$AJ$4,0)),NA(),IF(SUMPRODUCT((Inputs!$A$5:$A$140=$B61)*ISNUMBER(INDEX(Inputs!$K$5:$AJ$140,0,MATCH(AC$2,Inputs!$K$4:$AJ$4,0))))+SUMPRODUCT((Inputs!$C$5:$C$140=$B61)*ISNUMBER(INDEX(Inputs!$K$5:$AJ$140,0,MATCH(AC$2,Inputs!$K$4:$AJ$4,0))))+SUMPRODUCT((Inputs!$E$5:$E$140=$B61)*ISNUMBER(INDEX(Inputs!$K$5:$AJ$140,0,MATCH(AC$2,Inputs!$K$4:$AJ$4,0))))=0,NA(),SUMPRODUCT((Inputs!$A$5:$A$140=$B61)*Inputs!$B$5:$B$140*(((Inputs!$G$5:$G$140="moeda")+(Inputs!$G$5:$G$140="acoes"))*Inputs!$B$1+((Inputs!$G$5:$G$140&lt;&gt;"moeda")*(Inputs!$G$5:$G$140&lt;&gt;"acoes")))*INDEX(Inputs!$K$5:$AJ$140,0,MATCH(AC$2,Inputs!$K$4:$AJ$4,0)))+SUMPRODUCT((Inputs!$C$5:$C$140=$B61)*Inputs!$D$5:$D$140*(((Inputs!$G$5:$G$140="moeda")+(Inputs!$G$5:$G$140="acoes"))*Inputs!$B$1+((Inputs!$G$5:$G$140&lt;&gt;"moeda")*(Inputs!$G$5:$G$140&lt;&gt;"acoes")))*INDEX(Inputs!$K$5:$AJ$140,0,MATCH(AC$2,Inputs!$K$4:$AJ$4,0)))+SUMPRODUCT((Inputs!$E$5:$E$140=$B61)*Inputs!$F$5:$F$140*(((Inputs!$G$5:$G$140="moeda")+(Inputs!$G$5:$G$140="acoes"))*Inputs!$B$1+((Inputs!$G$5:$G$140&lt;&gt;"moeda")*(Inputs!$G$5:$G$140&lt;&gt;"acoes")))*INDEX(Inputs!$K$5:$AJ$140,0,MATCH(AC$2,Inputs!$K$4:$AJ$4,0)))))</f>
        <v>86</v>
      </c>
      <c r="AD61" s="262">
        <f>IF(ISNA(MATCH(AD$2,Inputs!$K$4:$AJ$4,0)),NA(),IF(SUMPRODUCT((Inputs!$A$5:$A$140=$B61)*ISNUMBER(INDEX(Inputs!$K$5:$AJ$140,0,MATCH(AD$2,Inputs!$K$4:$AJ$4,0))))+SUMPRODUCT((Inputs!$C$5:$C$140=$B61)*ISNUMBER(INDEX(Inputs!$K$5:$AJ$140,0,MATCH(AD$2,Inputs!$K$4:$AJ$4,0))))+SUMPRODUCT((Inputs!$E$5:$E$140=$B61)*ISNUMBER(INDEX(Inputs!$K$5:$AJ$140,0,MATCH(AD$2,Inputs!$K$4:$AJ$4,0))))=0,NA(),SUMPRODUCT((Inputs!$A$5:$A$140=$B61)*Inputs!$B$5:$B$140*(((Inputs!$G$5:$G$140="moeda")+(Inputs!$G$5:$G$140="acoes"))*Inputs!$B$1+((Inputs!$G$5:$G$140&lt;&gt;"moeda")*(Inputs!$G$5:$G$140&lt;&gt;"acoes")))*INDEX(Inputs!$K$5:$AJ$140,0,MATCH(AD$2,Inputs!$K$4:$AJ$4,0)))+SUMPRODUCT((Inputs!$C$5:$C$140=$B61)*Inputs!$D$5:$D$140*(((Inputs!$G$5:$G$140="moeda")+(Inputs!$G$5:$G$140="acoes"))*Inputs!$B$1+((Inputs!$G$5:$G$140&lt;&gt;"moeda")*(Inputs!$G$5:$G$140&lt;&gt;"acoes")))*INDEX(Inputs!$K$5:$AJ$140,0,MATCH(AD$2,Inputs!$K$4:$AJ$4,0)))+SUMPRODUCT((Inputs!$E$5:$E$140=$B61)*Inputs!$F$5:$F$140*(((Inputs!$G$5:$G$140="moeda")+(Inputs!$G$5:$G$140="acoes"))*Inputs!$B$1+((Inputs!$G$5:$G$140&lt;&gt;"moeda")*(Inputs!$G$5:$G$140&lt;&gt;"acoes")))*INDEX(Inputs!$K$5:$AJ$140,0,MATCH(AD$2,Inputs!$K$4:$AJ$4,0)))))</f>
        <v>90</v>
      </c>
      <c r="AE61" s="262" t="e">
        <f>IF(ISNA(MATCH(AE$2,Inputs!$K$4:$AJ$4,0)),NA(),IF(SUMPRODUCT((Inputs!$A$5:$A$140=$B61)*ISNUMBER(INDEX(Inputs!$K$5:$AJ$140,0,MATCH(AE$2,Inputs!$K$4:$AJ$4,0))))+SUMPRODUCT((Inputs!$C$5:$C$140=$B61)*ISNUMBER(INDEX(Inputs!$K$5:$AJ$140,0,MATCH(AE$2,Inputs!$K$4:$AJ$4,0))))+SUMPRODUCT((Inputs!$E$5:$E$140=$B61)*ISNUMBER(INDEX(Inputs!$K$5:$AJ$140,0,MATCH(AE$2,Inputs!$K$4:$AJ$4,0))))=0,NA(),SUMPRODUCT((Inputs!$A$5:$A$140=$B61)*Inputs!$B$5:$B$140*(((Inputs!$G$5:$G$140="moeda")+(Inputs!$G$5:$G$140="acoes"))*Inputs!$B$1+((Inputs!$G$5:$G$140&lt;&gt;"moeda")*(Inputs!$G$5:$G$140&lt;&gt;"acoes")))*INDEX(Inputs!$K$5:$AJ$140,0,MATCH(AE$2,Inputs!$K$4:$AJ$4,0)))+SUMPRODUCT((Inputs!$C$5:$C$140=$B61)*Inputs!$D$5:$D$140*(((Inputs!$G$5:$G$140="moeda")+(Inputs!$G$5:$G$140="acoes"))*Inputs!$B$1+((Inputs!$G$5:$G$140&lt;&gt;"moeda")*(Inputs!$G$5:$G$140&lt;&gt;"acoes")))*INDEX(Inputs!$K$5:$AJ$140,0,MATCH(AE$2,Inputs!$K$4:$AJ$4,0)))+SUMPRODUCT((Inputs!$E$5:$E$140=$B61)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1" s="262" t="e">
        <f>IF(ISNA(MATCH(AF$2,Inputs!$K$4:$AJ$4,0)),NA(),IF(SUMPRODUCT((Inputs!$A$5:$A$140=$B61)*ISNUMBER(INDEX(Inputs!$K$5:$AJ$140,0,MATCH(AF$2,Inputs!$K$4:$AJ$4,0))))+SUMPRODUCT((Inputs!$C$5:$C$140=$B61)*ISNUMBER(INDEX(Inputs!$K$5:$AJ$140,0,MATCH(AF$2,Inputs!$K$4:$AJ$4,0))))+SUMPRODUCT((Inputs!$E$5:$E$140=$B61)*ISNUMBER(INDEX(Inputs!$K$5:$AJ$140,0,MATCH(AF$2,Inputs!$K$4:$AJ$4,0))))=0,NA(),SUMPRODUCT((Inputs!$A$5:$A$140=$B61)*Inputs!$B$5:$B$140*(((Inputs!$G$5:$G$140="moeda")+(Inputs!$G$5:$G$140="acoes"))*Inputs!$B$1+((Inputs!$G$5:$G$140&lt;&gt;"moeda")*(Inputs!$G$5:$G$140&lt;&gt;"acoes")))*INDEX(Inputs!$K$5:$AJ$140,0,MATCH(AF$2,Inputs!$K$4:$AJ$4,0)))+SUMPRODUCT((Inputs!$C$5:$C$140=$B61)*Inputs!$D$5:$D$140*(((Inputs!$G$5:$G$140="moeda")+(Inputs!$G$5:$G$140="acoes"))*Inputs!$B$1+((Inputs!$G$5:$G$140&lt;&gt;"moeda")*(Inputs!$G$5:$G$140&lt;&gt;"acoes")))*INDEX(Inputs!$K$5:$AJ$140,0,MATCH(AF$2,Inputs!$K$4:$AJ$4,0)))+SUMPRODUCT((Inputs!$E$5:$E$140=$B61)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1" s="263" t="e">
        <f>AF61</f>
        <v>#N/A</v>
      </c>
      <c r="AH61" s="262">
        <f>IF(ISNA(MATCH(AH$2,Inputs!$K$4:$AJ$4,0)),NA(),IF(SUMPRODUCT((Inputs!$A$5:$A$140=$B61)*ISNUMBER(INDEX(Inputs!$K$5:$AJ$140,0,MATCH(AH$2,Inputs!$K$4:$AJ$4,0))))+SUMPRODUCT((Inputs!$C$5:$C$140=$B61)*ISNUMBER(INDEX(Inputs!$K$5:$AJ$140,0,MATCH(AH$2,Inputs!$K$4:$AJ$4,0))))+SUMPRODUCT((Inputs!$E$5:$E$140=$B61)*ISNUMBER(INDEX(Inputs!$K$5:$AJ$140,0,MATCH(AH$2,Inputs!$K$4:$AJ$4,0))))=0,NA(),SUMPRODUCT((Inputs!$A$5:$A$140=$B61)*Inputs!$B$5:$B$140*(((Inputs!$G$5:$G$140="moeda")+(Inputs!$G$5:$G$140="acoes"))*Inputs!$B$1+((Inputs!$G$5:$G$140&lt;&gt;"moeda")*(Inputs!$G$5:$G$140&lt;&gt;"acoes")))*INDEX(Inputs!$K$5:$AJ$140,0,MATCH(AH$2,Inputs!$K$4:$AJ$4,0)))+SUMPRODUCT((Inputs!$C$5:$C$140=$B61)*Inputs!$D$5:$D$140*(((Inputs!$G$5:$G$140="moeda")+(Inputs!$G$5:$G$140="acoes"))*Inputs!$B$1+((Inputs!$G$5:$G$140&lt;&gt;"moeda")*(Inputs!$G$5:$G$140&lt;&gt;"acoes")))*INDEX(Inputs!$K$5:$AJ$140,0,MATCH(AH$2,Inputs!$K$4:$AJ$4,0)))+SUMPRODUCT((Inputs!$E$5:$E$140=$B61)*Inputs!$F$5:$F$140*(((Inputs!$G$5:$G$140="moeda")+(Inputs!$G$5:$G$140="acoes"))*Inputs!$B$1+((Inputs!$G$5:$G$140&lt;&gt;"moeda")*(Inputs!$G$5:$G$140&lt;&gt;"acoes")))*INDEX(Inputs!$K$5:$AJ$140,0,MATCH(AH$2,Inputs!$K$4:$AJ$4,0)))))</f>
        <v>40</v>
      </c>
      <c r="AI61" s="262">
        <f>IF(ISNA(MATCH(AI$2,Inputs!$K$4:$AJ$4,0)),NA(),IF(SUMPRODUCT((Inputs!$A$5:$A$140=$B61)*ISNUMBER(INDEX(Inputs!$K$5:$AJ$140,0,MATCH(AI$2,Inputs!$K$4:$AJ$4,0))))+SUMPRODUCT((Inputs!$C$5:$C$140=$B61)*ISNUMBER(INDEX(Inputs!$K$5:$AJ$140,0,MATCH(AI$2,Inputs!$K$4:$AJ$4,0))))+SUMPRODUCT((Inputs!$E$5:$E$140=$B61)*ISNUMBER(INDEX(Inputs!$K$5:$AJ$140,0,MATCH(AI$2,Inputs!$K$4:$AJ$4,0))))=0,NA(),SUMPRODUCT((Inputs!$A$5:$A$140=$B61)*Inputs!$B$5:$B$140*(((Inputs!$G$5:$G$140="moeda")+(Inputs!$G$5:$G$140="acoes"))*Inputs!$B$1+((Inputs!$G$5:$G$140&lt;&gt;"moeda")*(Inputs!$G$5:$G$140&lt;&gt;"acoes")))*INDEX(Inputs!$K$5:$AJ$140,0,MATCH(AI$2,Inputs!$K$4:$AJ$4,0)))+SUMPRODUCT((Inputs!$C$5:$C$140=$B61)*Inputs!$D$5:$D$140*(((Inputs!$G$5:$G$140="moeda")+(Inputs!$G$5:$G$140="acoes"))*Inputs!$B$1+((Inputs!$G$5:$G$140&lt;&gt;"moeda")*(Inputs!$G$5:$G$140&lt;&gt;"acoes")))*INDEX(Inputs!$K$5:$AJ$140,0,MATCH(AI$2,Inputs!$K$4:$AJ$4,0)))+SUMPRODUCT((Inputs!$E$5:$E$140=$B61)*Inputs!$F$5:$F$140*(((Inputs!$G$5:$G$140="moeda")+(Inputs!$G$5:$G$140="acoes"))*Inputs!$B$1+((Inputs!$G$5:$G$140&lt;&gt;"moeda")*(Inputs!$G$5:$G$140&lt;&gt;"acoes")))*INDEX(Inputs!$K$5:$AJ$140,0,MATCH(AI$2,Inputs!$K$4:$AJ$4,0)))))</f>
        <v>41</v>
      </c>
      <c r="AJ61" s="262">
        <f>IF(ISNA(MATCH(AJ$2,Inputs!$K$4:$AJ$4,0)),NA(),IF(SUMPRODUCT((Inputs!$A$5:$A$140=$B61)*ISNUMBER(INDEX(Inputs!$K$5:$AJ$140,0,MATCH(AJ$2,Inputs!$K$4:$AJ$4,0))))+SUMPRODUCT((Inputs!$C$5:$C$140=$B61)*ISNUMBER(INDEX(Inputs!$K$5:$AJ$140,0,MATCH(AJ$2,Inputs!$K$4:$AJ$4,0))))+SUMPRODUCT((Inputs!$E$5:$E$140=$B61)*ISNUMBER(INDEX(Inputs!$K$5:$AJ$140,0,MATCH(AJ$2,Inputs!$K$4:$AJ$4,0))))=0,NA(),SUMPRODUCT((Inputs!$A$5:$A$140=$B61)*Inputs!$B$5:$B$140*(((Inputs!$G$5:$G$140="moeda")+(Inputs!$G$5:$G$140="acoes"))*Inputs!$B$1+((Inputs!$G$5:$G$140&lt;&gt;"moeda")*(Inputs!$G$5:$G$140&lt;&gt;"acoes")))*INDEX(Inputs!$K$5:$AJ$140,0,MATCH(AJ$2,Inputs!$K$4:$AJ$4,0)))+SUMPRODUCT((Inputs!$C$5:$C$140=$B61)*Inputs!$D$5:$D$140*(((Inputs!$G$5:$G$140="moeda")+(Inputs!$G$5:$G$140="acoes"))*Inputs!$B$1+((Inputs!$G$5:$G$140&lt;&gt;"moeda")*(Inputs!$G$5:$G$140&lt;&gt;"acoes")))*INDEX(Inputs!$K$5:$AJ$140,0,MATCH(AJ$2,Inputs!$K$4:$AJ$4,0)))+SUMPRODUCT((Inputs!$E$5:$E$140=$B61)*Inputs!$F$5:$F$140*(((Inputs!$G$5:$G$140="moeda")+(Inputs!$G$5:$G$140="acoes"))*Inputs!$B$1+((Inputs!$G$5:$G$140&lt;&gt;"moeda")*(Inputs!$G$5:$G$140&lt;&gt;"acoes")))*INDEX(Inputs!$K$5:$AJ$140,0,MATCH(AJ$2,Inputs!$K$4:$AJ$4,0)))))</f>
        <v>44</v>
      </c>
      <c r="AK61" s="262">
        <f>IF(ISNA(MATCH(AK$2,Inputs!$K$4:$AJ$4,0)),NA(),IF(SUMPRODUCT((Inputs!$A$5:$A$140=$B61)*ISNUMBER(INDEX(Inputs!$K$5:$AJ$140,0,MATCH(AK$2,Inputs!$K$4:$AJ$4,0))))+SUMPRODUCT((Inputs!$C$5:$C$140=$B61)*ISNUMBER(INDEX(Inputs!$K$5:$AJ$140,0,MATCH(AK$2,Inputs!$K$4:$AJ$4,0))))+SUMPRODUCT((Inputs!$E$5:$E$140=$B61)*ISNUMBER(INDEX(Inputs!$K$5:$AJ$140,0,MATCH(AK$2,Inputs!$K$4:$AJ$4,0))))=0,NA(),SUMPRODUCT((Inputs!$A$5:$A$140=$B61)*Inputs!$B$5:$B$140*(((Inputs!$G$5:$G$140="moeda")+(Inputs!$G$5:$G$140="acoes"))*Inputs!$B$1+((Inputs!$G$5:$G$140&lt;&gt;"moeda")*(Inputs!$G$5:$G$140&lt;&gt;"acoes")))*INDEX(Inputs!$K$5:$AJ$140,0,MATCH(AK$2,Inputs!$K$4:$AJ$4,0)))+SUMPRODUCT((Inputs!$C$5:$C$140=$B61)*Inputs!$D$5:$D$140*(((Inputs!$G$5:$G$140="moeda")+(Inputs!$G$5:$G$140="acoes"))*Inputs!$B$1+((Inputs!$G$5:$G$140&lt;&gt;"moeda")*(Inputs!$G$5:$G$140&lt;&gt;"acoes")))*INDEX(Inputs!$K$5:$AJ$140,0,MATCH(AK$2,Inputs!$K$4:$AJ$4,0)))+SUMPRODUCT((Inputs!$E$5:$E$140=$B61)*Inputs!$F$5:$F$140*(((Inputs!$G$5:$G$140="moeda")+(Inputs!$G$5:$G$140="acoes"))*Inputs!$B$1+((Inputs!$G$5:$G$140&lt;&gt;"moeda")*(Inputs!$G$5:$G$140&lt;&gt;"acoes")))*INDEX(Inputs!$K$5:$AJ$140,0,MATCH(AK$2,Inputs!$K$4:$AJ$4,0)))))</f>
        <v>49</v>
      </c>
      <c r="AL61" s="263">
        <f>AK61</f>
        <v>49</v>
      </c>
    </row>
    <row r="62">
      <c r="B62" s="46" t="n">
        <v>54</v>
      </c>
      <c r="C62" s="29" t="inlineStr">
        <is>
          <t>Lojas - Eletro (fim do periodo)</t>
        </is>
      </c>
      <c r="D62" s="262">
        <f>IF(ISNA(MATCH(D$2,Inputs!$K$4:$AJ$4,0)),NA(),IF(SUMPRODUCT((Inputs!$A$5:$A$140=$B62)*ISNUMBER(INDEX(Inputs!$K$5:$AJ$140,0,MATCH(D$2,Inputs!$K$4:$AJ$4,0))))+SUMPRODUCT((Inputs!$C$5:$C$140=$B62)*ISNUMBER(INDEX(Inputs!$K$5:$AJ$140,0,MATCH(D$2,Inputs!$K$4:$AJ$4,0))))+SUMPRODUCT((Inputs!$E$5:$E$140=$B62)*ISNUMBER(INDEX(Inputs!$K$5:$AJ$140,0,MATCH(D$2,Inputs!$K$4:$AJ$4,0))))=0,NA(),SUMPRODUCT((Inputs!$A$5:$A$140=$B62)*Inputs!$B$5:$B$140*(((Inputs!$G$5:$G$140="moeda")+(Inputs!$G$5:$G$140="acoes"))*Inputs!$B$1+((Inputs!$G$5:$G$140&lt;&gt;"moeda")*(Inputs!$G$5:$G$140&lt;&gt;"acoes")))*INDEX(Inputs!$K$5:$AJ$140,0,MATCH(D$2,Inputs!$K$4:$AJ$4,0)))+SUMPRODUCT((Inputs!$C$5:$C$140=$B62)*Inputs!$D$5:$D$140*(((Inputs!$G$5:$G$140="moeda")+(Inputs!$G$5:$G$140="acoes"))*Inputs!$B$1+((Inputs!$G$5:$G$140&lt;&gt;"moeda")*(Inputs!$G$5:$G$140&lt;&gt;"acoes")))*INDEX(Inputs!$K$5:$AJ$140,0,MATCH(D$2,Inputs!$K$4:$AJ$4,0)))+SUMPRODUCT((Inputs!$E$5:$E$140=$B62)*Inputs!$F$5:$F$140*(((Inputs!$G$5:$G$140="moeda")+(Inputs!$G$5:$G$140="acoes"))*Inputs!$B$1+((Inputs!$G$5:$G$140&lt;&gt;"moeda")*(Inputs!$G$5:$G$140&lt;&gt;"acoes")))*INDEX(Inputs!$K$5:$AJ$140,0,MATCH(D$2,Inputs!$K$4:$AJ$4,0)))))</f>
        <v>80</v>
      </c>
      <c r="E62" s="262">
        <f>IF(ISNA(MATCH(E$2,Inputs!$K$4:$AJ$4,0)),NA(),IF(SUMPRODUCT((Inputs!$A$5:$A$140=$B62)*ISNUMBER(INDEX(Inputs!$K$5:$AJ$140,0,MATCH(E$2,Inputs!$K$4:$AJ$4,0))))+SUMPRODUCT((Inputs!$C$5:$C$140=$B62)*ISNUMBER(INDEX(Inputs!$K$5:$AJ$140,0,MATCH(E$2,Inputs!$K$4:$AJ$4,0))))+SUMPRODUCT((Inputs!$E$5:$E$140=$B62)*ISNUMBER(INDEX(Inputs!$K$5:$AJ$140,0,MATCH(E$2,Inputs!$K$4:$AJ$4,0))))=0,NA(),SUMPRODUCT((Inputs!$A$5:$A$140=$B62)*Inputs!$B$5:$B$140*(((Inputs!$G$5:$G$140="moeda")+(Inputs!$G$5:$G$140="acoes"))*Inputs!$B$1+((Inputs!$G$5:$G$140&lt;&gt;"moeda")*(Inputs!$G$5:$G$140&lt;&gt;"acoes")))*INDEX(Inputs!$K$5:$AJ$140,0,MATCH(E$2,Inputs!$K$4:$AJ$4,0)))+SUMPRODUCT((Inputs!$C$5:$C$140=$B62)*Inputs!$D$5:$D$140*(((Inputs!$G$5:$G$140="moeda")+(Inputs!$G$5:$G$140="acoes"))*Inputs!$B$1+((Inputs!$G$5:$G$140&lt;&gt;"moeda")*(Inputs!$G$5:$G$140&lt;&gt;"acoes")))*INDEX(Inputs!$K$5:$AJ$140,0,MATCH(E$2,Inputs!$K$4:$AJ$4,0)))+SUMPRODUCT((Inputs!$E$5:$E$140=$B62)*Inputs!$F$5:$F$140*(((Inputs!$G$5:$G$140="moeda")+(Inputs!$G$5:$G$140="acoes"))*Inputs!$B$1+((Inputs!$G$5:$G$140&lt;&gt;"moeda")*(Inputs!$G$5:$G$140&lt;&gt;"acoes")))*INDEX(Inputs!$K$5:$AJ$140,0,MATCH(E$2,Inputs!$K$4:$AJ$4,0)))))</f>
        <v>88</v>
      </c>
      <c r="F62" s="262">
        <f>IF(ISNA(MATCH(F$2,Inputs!$K$4:$AJ$4,0)),NA(),IF(SUMPRODUCT((Inputs!$A$5:$A$140=$B62)*ISNUMBER(INDEX(Inputs!$K$5:$AJ$140,0,MATCH(F$2,Inputs!$K$4:$AJ$4,0))))+SUMPRODUCT((Inputs!$C$5:$C$140=$B62)*ISNUMBER(INDEX(Inputs!$K$5:$AJ$140,0,MATCH(F$2,Inputs!$K$4:$AJ$4,0))))+SUMPRODUCT((Inputs!$E$5:$E$140=$B62)*ISNUMBER(INDEX(Inputs!$K$5:$AJ$140,0,MATCH(F$2,Inputs!$K$4:$AJ$4,0))))=0,NA(),SUMPRODUCT((Inputs!$A$5:$A$140=$B62)*Inputs!$B$5:$B$140*(((Inputs!$G$5:$G$140="moeda")+(Inputs!$G$5:$G$140="acoes"))*Inputs!$B$1+((Inputs!$G$5:$G$140&lt;&gt;"moeda")*(Inputs!$G$5:$G$140&lt;&gt;"acoes")))*INDEX(Inputs!$K$5:$AJ$140,0,MATCH(F$2,Inputs!$K$4:$AJ$4,0)))+SUMPRODUCT((Inputs!$C$5:$C$140=$B62)*Inputs!$D$5:$D$140*(((Inputs!$G$5:$G$140="moeda")+(Inputs!$G$5:$G$140="acoes"))*Inputs!$B$1+((Inputs!$G$5:$G$140&lt;&gt;"moeda")*(Inputs!$G$5:$G$140&lt;&gt;"acoes")))*INDEX(Inputs!$K$5:$AJ$140,0,MATCH(F$2,Inputs!$K$4:$AJ$4,0)))+SUMPRODUCT((Inputs!$E$5:$E$140=$B62)*Inputs!$F$5:$F$140*(((Inputs!$G$5:$G$140="moeda")+(Inputs!$G$5:$G$140="acoes"))*Inputs!$B$1+((Inputs!$G$5:$G$140&lt;&gt;"moeda")*(Inputs!$G$5:$G$140&lt;&gt;"acoes")))*INDEX(Inputs!$K$5:$AJ$140,0,MATCH(F$2,Inputs!$K$4:$AJ$4,0)))))</f>
        <v>92</v>
      </c>
      <c r="G62" s="262">
        <f>IF(ISNA(MATCH(G$2,Inputs!$K$4:$AJ$4,0)),NA(),IF(SUMPRODUCT((Inputs!$A$5:$A$140=$B62)*ISNUMBER(INDEX(Inputs!$K$5:$AJ$140,0,MATCH(G$2,Inputs!$K$4:$AJ$4,0))))+SUMPRODUCT((Inputs!$C$5:$C$140=$B62)*ISNUMBER(INDEX(Inputs!$K$5:$AJ$140,0,MATCH(G$2,Inputs!$K$4:$AJ$4,0))))+SUMPRODUCT((Inputs!$E$5:$E$140=$B62)*ISNUMBER(INDEX(Inputs!$K$5:$AJ$140,0,MATCH(G$2,Inputs!$K$4:$AJ$4,0))))=0,NA(),SUMPRODUCT((Inputs!$A$5:$A$140=$B62)*Inputs!$B$5:$B$140*(((Inputs!$G$5:$G$140="moeda")+(Inputs!$G$5:$G$140="acoes"))*Inputs!$B$1+((Inputs!$G$5:$G$140&lt;&gt;"moeda")*(Inputs!$G$5:$G$140&lt;&gt;"acoes")))*INDEX(Inputs!$K$5:$AJ$140,0,MATCH(G$2,Inputs!$K$4:$AJ$4,0)))+SUMPRODUCT((Inputs!$C$5:$C$140=$B62)*Inputs!$D$5:$D$140*(((Inputs!$G$5:$G$140="moeda")+(Inputs!$G$5:$G$140="acoes"))*Inputs!$B$1+((Inputs!$G$5:$G$140&lt;&gt;"moeda")*(Inputs!$G$5:$G$140&lt;&gt;"acoes")))*INDEX(Inputs!$K$5:$AJ$140,0,MATCH(G$2,Inputs!$K$4:$AJ$4,0)))+SUMPRODUCT((Inputs!$E$5:$E$140=$B62)*Inputs!$F$5:$F$140*(((Inputs!$G$5:$G$140="moeda")+(Inputs!$G$5:$G$140="acoes"))*Inputs!$B$1+((Inputs!$G$5:$G$140&lt;&gt;"moeda")*(Inputs!$G$5:$G$140&lt;&gt;"acoes")))*INDEX(Inputs!$K$5:$AJ$140,0,MATCH(G$2,Inputs!$K$4:$AJ$4,0)))))</f>
        <v>99</v>
      </c>
      <c r="H62" s="263">
        <f>G62</f>
        <v>99</v>
      </c>
      <c r="I62" s="262">
        <f>IF(ISNA(MATCH(I$2,Inputs!$K$4:$AJ$4,0)),NA(),IF(SUMPRODUCT((Inputs!$A$5:$A$140=$B62)*ISNUMBER(INDEX(Inputs!$K$5:$AJ$140,0,MATCH(I$2,Inputs!$K$4:$AJ$4,0))))+SUMPRODUCT((Inputs!$C$5:$C$140=$B62)*ISNUMBER(INDEX(Inputs!$K$5:$AJ$140,0,MATCH(I$2,Inputs!$K$4:$AJ$4,0))))+SUMPRODUCT((Inputs!$E$5:$E$140=$B62)*ISNUMBER(INDEX(Inputs!$K$5:$AJ$140,0,MATCH(I$2,Inputs!$K$4:$AJ$4,0))))=0,NA(),SUMPRODUCT((Inputs!$A$5:$A$140=$B62)*Inputs!$B$5:$B$140*(((Inputs!$G$5:$G$140="moeda")+(Inputs!$G$5:$G$140="acoes"))*Inputs!$B$1+((Inputs!$G$5:$G$140&lt;&gt;"moeda")*(Inputs!$G$5:$G$140&lt;&gt;"acoes")))*INDEX(Inputs!$K$5:$AJ$140,0,MATCH(I$2,Inputs!$K$4:$AJ$4,0)))+SUMPRODUCT((Inputs!$C$5:$C$140=$B62)*Inputs!$D$5:$D$140*(((Inputs!$G$5:$G$140="moeda")+(Inputs!$G$5:$G$140="acoes"))*Inputs!$B$1+((Inputs!$G$5:$G$140&lt;&gt;"moeda")*(Inputs!$G$5:$G$140&lt;&gt;"acoes")))*INDEX(Inputs!$K$5:$AJ$140,0,MATCH(I$2,Inputs!$K$4:$AJ$4,0)))+SUMPRODUCT((Inputs!$E$5:$E$140=$B62)*Inputs!$F$5:$F$140*(((Inputs!$G$5:$G$140="moeda")+(Inputs!$G$5:$G$140="acoes"))*Inputs!$B$1+((Inputs!$G$5:$G$140&lt;&gt;"moeda")*(Inputs!$G$5:$G$140&lt;&gt;"acoes")))*INDEX(Inputs!$K$5:$AJ$140,0,MATCH(I$2,Inputs!$K$4:$AJ$4,0)))))</f>
        <v>102</v>
      </c>
      <c r="J62" s="262">
        <f>IF(ISNA(MATCH(J$2,Inputs!$K$4:$AJ$4,0)),NA(),IF(SUMPRODUCT((Inputs!$A$5:$A$140=$B62)*ISNUMBER(INDEX(Inputs!$K$5:$AJ$140,0,MATCH(J$2,Inputs!$K$4:$AJ$4,0))))+SUMPRODUCT((Inputs!$C$5:$C$140=$B62)*ISNUMBER(INDEX(Inputs!$K$5:$AJ$140,0,MATCH(J$2,Inputs!$K$4:$AJ$4,0))))+SUMPRODUCT((Inputs!$E$5:$E$140=$B62)*ISNUMBER(INDEX(Inputs!$K$5:$AJ$140,0,MATCH(J$2,Inputs!$K$4:$AJ$4,0))))=0,NA(),SUMPRODUCT((Inputs!$A$5:$A$140=$B62)*Inputs!$B$5:$B$140*(((Inputs!$G$5:$G$140="moeda")+(Inputs!$G$5:$G$140="acoes"))*Inputs!$B$1+((Inputs!$G$5:$G$140&lt;&gt;"moeda")*(Inputs!$G$5:$G$140&lt;&gt;"acoes")))*INDEX(Inputs!$K$5:$AJ$140,0,MATCH(J$2,Inputs!$K$4:$AJ$4,0)))+SUMPRODUCT((Inputs!$C$5:$C$140=$B62)*Inputs!$D$5:$D$140*(((Inputs!$G$5:$G$140="moeda")+(Inputs!$G$5:$G$140="acoes"))*Inputs!$B$1+((Inputs!$G$5:$G$140&lt;&gt;"moeda")*(Inputs!$G$5:$G$140&lt;&gt;"acoes")))*INDEX(Inputs!$K$5:$AJ$140,0,MATCH(J$2,Inputs!$K$4:$AJ$4,0)))+SUMPRODUCT((Inputs!$E$5:$E$140=$B62)*Inputs!$F$5:$F$140*(((Inputs!$G$5:$G$140="moeda")+(Inputs!$G$5:$G$140="acoes"))*Inputs!$B$1+((Inputs!$G$5:$G$140&lt;&gt;"moeda")*(Inputs!$G$5:$G$140&lt;&gt;"acoes")))*INDEX(Inputs!$K$5:$AJ$140,0,MATCH(J$2,Inputs!$K$4:$AJ$4,0)))))</f>
        <v>103</v>
      </c>
      <c r="K62" s="262">
        <f>IF(ISNA(MATCH(K$2,Inputs!$K$4:$AJ$4,0)),NA(),IF(SUMPRODUCT((Inputs!$A$5:$A$140=$B62)*ISNUMBER(INDEX(Inputs!$K$5:$AJ$140,0,MATCH(K$2,Inputs!$K$4:$AJ$4,0))))+SUMPRODUCT((Inputs!$C$5:$C$140=$B62)*ISNUMBER(INDEX(Inputs!$K$5:$AJ$140,0,MATCH(K$2,Inputs!$K$4:$AJ$4,0))))+SUMPRODUCT((Inputs!$E$5:$E$140=$B62)*ISNUMBER(INDEX(Inputs!$K$5:$AJ$140,0,MATCH(K$2,Inputs!$K$4:$AJ$4,0))))=0,NA(),SUMPRODUCT((Inputs!$A$5:$A$140=$B62)*Inputs!$B$5:$B$140*(((Inputs!$G$5:$G$140="moeda")+(Inputs!$G$5:$G$140="acoes"))*Inputs!$B$1+((Inputs!$G$5:$G$140&lt;&gt;"moeda")*(Inputs!$G$5:$G$140&lt;&gt;"acoes")))*INDEX(Inputs!$K$5:$AJ$140,0,MATCH(K$2,Inputs!$K$4:$AJ$4,0)))+SUMPRODUCT((Inputs!$C$5:$C$140=$B62)*Inputs!$D$5:$D$140*(((Inputs!$G$5:$G$140="moeda")+(Inputs!$G$5:$G$140="acoes"))*Inputs!$B$1+((Inputs!$G$5:$G$140&lt;&gt;"moeda")*(Inputs!$G$5:$G$140&lt;&gt;"acoes")))*INDEX(Inputs!$K$5:$AJ$140,0,MATCH(K$2,Inputs!$K$4:$AJ$4,0)))+SUMPRODUCT((Inputs!$E$5:$E$140=$B62)*Inputs!$F$5:$F$140*(((Inputs!$G$5:$G$140="moeda")+(Inputs!$G$5:$G$140="acoes"))*Inputs!$B$1+((Inputs!$G$5:$G$140&lt;&gt;"moeda")*(Inputs!$G$5:$G$140&lt;&gt;"acoes")))*INDEX(Inputs!$K$5:$AJ$140,0,MATCH(K$2,Inputs!$K$4:$AJ$4,0)))))</f>
        <v>103</v>
      </c>
      <c r="L62" s="262">
        <f>IF(ISNA(MATCH(L$2,Inputs!$K$4:$AJ$4,0)),NA(),IF(SUMPRODUCT((Inputs!$A$5:$A$140=$B62)*ISNUMBER(INDEX(Inputs!$K$5:$AJ$140,0,MATCH(L$2,Inputs!$K$4:$AJ$4,0))))+SUMPRODUCT((Inputs!$C$5:$C$140=$B62)*ISNUMBER(INDEX(Inputs!$K$5:$AJ$140,0,MATCH(L$2,Inputs!$K$4:$AJ$4,0))))+SUMPRODUCT((Inputs!$E$5:$E$140=$B62)*ISNUMBER(INDEX(Inputs!$K$5:$AJ$140,0,MATCH(L$2,Inputs!$K$4:$AJ$4,0))))=0,NA(),SUMPRODUCT((Inputs!$A$5:$A$140=$B62)*Inputs!$B$5:$B$140*(((Inputs!$G$5:$G$140="moeda")+(Inputs!$G$5:$G$140="acoes"))*Inputs!$B$1+((Inputs!$G$5:$G$140&lt;&gt;"moeda")*(Inputs!$G$5:$G$140&lt;&gt;"acoes")))*INDEX(Inputs!$K$5:$AJ$140,0,MATCH(L$2,Inputs!$K$4:$AJ$4,0)))+SUMPRODUCT((Inputs!$C$5:$C$140=$B62)*Inputs!$D$5:$D$140*(((Inputs!$G$5:$G$140="moeda")+(Inputs!$G$5:$G$140="acoes"))*Inputs!$B$1+((Inputs!$G$5:$G$140&lt;&gt;"moeda")*(Inputs!$G$5:$G$140&lt;&gt;"acoes")))*INDEX(Inputs!$K$5:$AJ$140,0,MATCH(L$2,Inputs!$K$4:$AJ$4,0)))+SUMPRODUCT((Inputs!$E$5:$E$140=$B62)*Inputs!$F$5:$F$140*(((Inputs!$G$5:$G$140="moeda")+(Inputs!$G$5:$G$140="acoes"))*Inputs!$B$1+((Inputs!$G$5:$G$140&lt;&gt;"moeda")*(Inputs!$G$5:$G$140&lt;&gt;"acoes")))*INDEX(Inputs!$K$5:$AJ$140,0,MATCH(L$2,Inputs!$K$4:$AJ$4,0)))))</f>
        <v>104</v>
      </c>
      <c r="M62" s="263">
        <f>L62</f>
        <v>104</v>
      </c>
      <c r="N62" s="262">
        <f>IF(ISNA(MATCH(N$2,Inputs!$K$4:$AJ$4,0)),NA(),IF(SUMPRODUCT((Inputs!$A$5:$A$140=$B62)*ISNUMBER(INDEX(Inputs!$K$5:$AJ$140,0,MATCH(N$2,Inputs!$K$4:$AJ$4,0))))+SUMPRODUCT((Inputs!$C$5:$C$140=$B62)*ISNUMBER(INDEX(Inputs!$K$5:$AJ$140,0,MATCH(N$2,Inputs!$K$4:$AJ$4,0))))+SUMPRODUCT((Inputs!$E$5:$E$140=$B62)*ISNUMBER(INDEX(Inputs!$K$5:$AJ$140,0,MATCH(N$2,Inputs!$K$4:$AJ$4,0))))=0,NA(),SUMPRODUCT((Inputs!$A$5:$A$140=$B62)*Inputs!$B$5:$B$140*(((Inputs!$G$5:$G$140="moeda")+(Inputs!$G$5:$G$140="acoes"))*Inputs!$B$1+((Inputs!$G$5:$G$140&lt;&gt;"moeda")*(Inputs!$G$5:$G$140&lt;&gt;"acoes")))*INDEX(Inputs!$K$5:$AJ$140,0,MATCH(N$2,Inputs!$K$4:$AJ$4,0)))+SUMPRODUCT((Inputs!$C$5:$C$140=$B62)*Inputs!$D$5:$D$140*(((Inputs!$G$5:$G$140="moeda")+(Inputs!$G$5:$G$140="acoes"))*Inputs!$B$1+((Inputs!$G$5:$G$140&lt;&gt;"moeda")*(Inputs!$G$5:$G$140&lt;&gt;"acoes")))*INDEX(Inputs!$K$5:$AJ$140,0,MATCH(N$2,Inputs!$K$4:$AJ$4,0)))+SUMPRODUCT((Inputs!$E$5:$E$140=$B62)*Inputs!$F$5:$F$140*(((Inputs!$G$5:$G$140="moeda")+(Inputs!$G$5:$G$140="acoes"))*Inputs!$B$1+((Inputs!$G$5:$G$140&lt;&gt;"moeda")*(Inputs!$G$5:$G$140&lt;&gt;"acoes")))*INDEX(Inputs!$K$5:$AJ$140,0,MATCH(N$2,Inputs!$K$4:$AJ$4,0)))))</f>
        <v>106</v>
      </c>
      <c r="O62" s="262">
        <f>IF(ISNA(MATCH(O$2,Inputs!$K$4:$AJ$4,0)),NA(),IF(SUMPRODUCT((Inputs!$A$5:$A$140=$B62)*ISNUMBER(INDEX(Inputs!$K$5:$AJ$140,0,MATCH(O$2,Inputs!$K$4:$AJ$4,0))))+SUMPRODUCT((Inputs!$C$5:$C$140=$B62)*ISNUMBER(INDEX(Inputs!$K$5:$AJ$140,0,MATCH(O$2,Inputs!$K$4:$AJ$4,0))))+SUMPRODUCT((Inputs!$E$5:$E$140=$B62)*ISNUMBER(INDEX(Inputs!$K$5:$AJ$140,0,MATCH(O$2,Inputs!$K$4:$AJ$4,0))))=0,NA(),SUMPRODUCT((Inputs!$A$5:$A$140=$B62)*Inputs!$B$5:$B$140*(((Inputs!$G$5:$G$140="moeda")+(Inputs!$G$5:$G$140="acoes"))*Inputs!$B$1+((Inputs!$G$5:$G$140&lt;&gt;"moeda")*(Inputs!$G$5:$G$140&lt;&gt;"acoes")))*INDEX(Inputs!$K$5:$AJ$140,0,MATCH(O$2,Inputs!$K$4:$AJ$4,0)))+SUMPRODUCT((Inputs!$C$5:$C$140=$B62)*Inputs!$D$5:$D$140*(((Inputs!$G$5:$G$140="moeda")+(Inputs!$G$5:$G$140="acoes"))*Inputs!$B$1+((Inputs!$G$5:$G$140&lt;&gt;"moeda")*(Inputs!$G$5:$G$140&lt;&gt;"acoes")))*INDEX(Inputs!$K$5:$AJ$140,0,MATCH(O$2,Inputs!$K$4:$AJ$4,0)))+SUMPRODUCT((Inputs!$E$5:$E$140=$B62)*Inputs!$F$5:$F$140*(((Inputs!$G$5:$G$140="moeda")+(Inputs!$G$5:$G$140="acoes"))*Inputs!$B$1+((Inputs!$G$5:$G$140&lt;&gt;"moeda")*(Inputs!$G$5:$G$140&lt;&gt;"acoes")))*INDEX(Inputs!$K$5:$AJ$140,0,MATCH(O$2,Inputs!$K$4:$AJ$4,0)))))</f>
        <v>104</v>
      </c>
      <c r="P62" s="262">
        <f>IF(ISNA(MATCH(P$2,Inputs!$K$4:$AJ$4,0)),NA(),IF(SUMPRODUCT((Inputs!$A$5:$A$140=$B62)*ISNUMBER(INDEX(Inputs!$K$5:$AJ$140,0,MATCH(P$2,Inputs!$K$4:$AJ$4,0))))+SUMPRODUCT((Inputs!$C$5:$C$140=$B62)*ISNUMBER(INDEX(Inputs!$K$5:$AJ$140,0,MATCH(P$2,Inputs!$K$4:$AJ$4,0))))+SUMPRODUCT((Inputs!$E$5:$E$140=$B62)*ISNUMBER(INDEX(Inputs!$K$5:$AJ$140,0,MATCH(P$2,Inputs!$K$4:$AJ$4,0))))=0,NA(),SUMPRODUCT((Inputs!$A$5:$A$140=$B62)*Inputs!$B$5:$B$140*(((Inputs!$G$5:$G$140="moeda")+(Inputs!$G$5:$G$140="acoes"))*Inputs!$B$1+((Inputs!$G$5:$G$140&lt;&gt;"moeda")*(Inputs!$G$5:$G$140&lt;&gt;"acoes")))*INDEX(Inputs!$K$5:$AJ$140,0,MATCH(P$2,Inputs!$K$4:$AJ$4,0)))+SUMPRODUCT((Inputs!$C$5:$C$140=$B62)*Inputs!$D$5:$D$140*(((Inputs!$G$5:$G$140="moeda")+(Inputs!$G$5:$G$140="acoes"))*Inputs!$B$1+((Inputs!$G$5:$G$140&lt;&gt;"moeda")*(Inputs!$G$5:$G$140&lt;&gt;"acoes")))*INDEX(Inputs!$K$5:$AJ$140,0,MATCH(P$2,Inputs!$K$4:$AJ$4,0)))+SUMPRODUCT((Inputs!$E$5:$E$140=$B62)*Inputs!$F$5:$F$140*(((Inputs!$G$5:$G$140="moeda")+(Inputs!$G$5:$G$140="acoes"))*Inputs!$B$1+((Inputs!$G$5:$G$140&lt;&gt;"moeda")*(Inputs!$G$5:$G$140&lt;&gt;"acoes")))*INDEX(Inputs!$K$5:$AJ$140,0,MATCH(P$2,Inputs!$K$4:$AJ$4,0)))))</f>
        <v>105</v>
      </c>
      <c r="Q62" s="262">
        <f>IF(ISNA(MATCH(Q$2,Inputs!$K$4:$AJ$4,0)),NA(),IF(SUMPRODUCT((Inputs!$A$5:$A$140=$B62)*ISNUMBER(INDEX(Inputs!$K$5:$AJ$140,0,MATCH(Q$2,Inputs!$K$4:$AJ$4,0))))+SUMPRODUCT((Inputs!$C$5:$C$140=$B62)*ISNUMBER(INDEX(Inputs!$K$5:$AJ$140,0,MATCH(Q$2,Inputs!$K$4:$AJ$4,0))))+SUMPRODUCT((Inputs!$E$5:$E$140=$B62)*ISNUMBER(INDEX(Inputs!$K$5:$AJ$140,0,MATCH(Q$2,Inputs!$K$4:$AJ$4,0))))=0,NA(),SUMPRODUCT((Inputs!$A$5:$A$140=$B62)*Inputs!$B$5:$B$140*(((Inputs!$G$5:$G$140="moeda")+(Inputs!$G$5:$G$140="acoes"))*Inputs!$B$1+((Inputs!$G$5:$G$140&lt;&gt;"moeda")*(Inputs!$G$5:$G$140&lt;&gt;"acoes")))*INDEX(Inputs!$K$5:$AJ$140,0,MATCH(Q$2,Inputs!$K$4:$AJ$4,0)))+SUMPRODUCT((Inputs!$C$5:$C$140=$B62)*Inputs!$D$5:$D$140*(((Inputs!$G$5:$G$140="moeda")+(Inputs!$G$5:$G$140="acoes"))*Inputs!$B$1+((Inputs!$G$5:$G$140&lt;&gt;"moeda")*(Inputs!$G$5:$G$140&lt;&gt;"acoes")))*INDEX(Inputs!$K$5:$AJ$140,0,MATCH(Q$2,Inputs!$K$4:$AJ$4,0)))+SUMPRODUCT((Inputs!$E$5:$E$140=$B62)*Inputs!$F$5:$F$140*(((Inputs!$G$5:$G$140="moeda")+(Inputs!$G$5:$G$140="acoes"))*Inputs!$B$1+((Inputs!$G$5:$G$140&lt;&gt;"moeda")*(Inputs!$G$5:$G$140&lt;&gt;"acoes")))*INDEX(Inputs!$K$5:$AJ$140,0,MATCH(Q$2,Inputs!$K$4:$AJ$4,0)))))</f>
        <v>105</v>
      </c>
      <c r="R62" s="263">
        <f>Q62</f>
        <v>105</v>
      </c>
      <c r="S62" s="262">
        <f>IF(ISNA(MATCH(S$2,Inputs!$K$4:$AJ$4,0)),NA(),IF(SUMPRODUCT((Inputs!$A$5:$A$140=$B62)*ISNUMBER(INDEX(Inputs!$K$5:$AJ$140,0,MATCH(S$2,Inputs!$K$4:$AJ$4,0))))+SUMPRODUCT((Inputs!$C$5:$C$140=$B62)*ISNUMBER(INDEX(Inputs!$K$5:$AJ$140,0,MATCH(S$2,Inputs!$K$4:$AJ$4,0))))+SUMPRODUCT((Inputs!$E$5:$E$140=$B62)*ISNUMBER(INDEX(Inputs!$K$5:$AJ$140,0,MATCH(S$2,Inputs!$K$4:$AJ$4,0))))=0,NA(),SUMPRODUCT((Inputs!$A$5:$A$140=$B62)*Inputs!$B$5:$B$140*(((Inputs!$G$5:$G$140="moeda")+(Inputs!$G$5:$G$140="acoes"))*Inputs!$B$1+((Inputs!$G$5:$G$140&lt;&gt;"moeda")*(Inputs!$G$5:$G$140&lt;&gt;"acoes")))*INDEX(Inputs!$K$5:$AJ$140,0,MATCH(S$2,Inputs!$K$4:$AJ$4,0)))+SUMPRODUCT((Inputs!$C$5:$C$140=$B62)*Inputs!$D$5:$D$140*(((Inputs!$G$5:$G$140="moeda")+(Inputs!$G$5:$G$140="acoes"))*Inputs!$B$1+((Inputs!$G$5:$G$140&lt;&gt;"moeda")*(Inputs!$G$5:$G$140&lt;&gt;"acoes")))*INDEX(Inputs!$K$5:$AJ$140,0,MATCH(S$2,Inputs!$K$4:$AJ$4,0)))+SUMPRODUCT((Inputs!$E$5:$E$140=$B62)*Inputs!$F$5:$F$140*(((Inputs!$G$5:$G$140="moeda")+(Inputs!$G$5:$G$140="acoes"))*Inputs!$B$1+((Inputs!$G$5:$G$140&lt;&gt;"moeda")*(Inputs!$G$5:$G$140&lt;&gt;"acoes")))*INDEX(Inputs!$K$5:$AJ$140,0,MATCH(S$2,Inputs!$K$4:$AJ$4,0)))))</f>
        <v>104</v>
      </c>
      <c r="T62" s="262">
        <f>IF(ISNA(MATCH(T$2,Inputs!$K$4:$AJ$4,0)),NA(),IF(SUMPRODUCT((Inputs!$A$5:$A$140=$B62)*ISNUMBER(INDEX(Inputs!$K$5:$AJ$140,0,MATCH(T$2,Inputs!$K$4:$AJ$4,0))))+SUMPRODUCT((Inputs!$C$5:$C$140=$B62)*ISNUMBER(INDEX(Inputs!$K$5:$AJ$140,0,MATCH(T$2,Inputs!$K$4:$AJ$4,0))))+SUMPRODUCT((Inputs!$E$5:$E$140=$B62)*ISNUMBER(INDEX(Inputs!$K$5:$AJ$140,0,MATCH(T$2,Inputs!$K$4:$AJ$4,0))))=0,NA(),SUMPRODUCT((Inputs!$A$5:$A$140=$B62)*Inputs!$B$5:$B$140*(((Inputs!$G$5:$G$140="moeda")+(Inputs!$G$5:$G$140="acoes"))*Inputs!$B$1+((Inputs!$G$5:$G$140&lt;&gt;"moeda")*(Inputs!$G$5:$G$140&lt;&gt;"acoes")))*INDEX(Inputs!$K$5:$AJ$140,0,MATCH(T$2,Inputs!$K$4:$AJ$4,0)))+SUMPRODUCT((Inputs!$C$5:$C$140=$B62)*Inputs!$D$5:$D$140*(((Inputs!$G$5:$G$140="moeda")+(Inputs!$G$5:$G$140="acoes"))*Inputs!$B$1+((Inputs!$G$5:$G$140&lt;&gt;"moeda")*(Inputs!$G$5:$G$140&lt;&gt;"acoes")))*INDEX(Inputs!$K$5:$AJ$140,0,MATCH(T$2,Inputs!$K$4:$AJ$4,0)))+SUMPRODUCT((Inputs!$E$5:$E$140=$B62)*Inputs!$F$5:$F$140*(((Inputs!$G$5:$G$140="moeda")+(Inputs!$G$5:$G$140="acoes"))*Inputs!$B$1+((Inputs!$G$5:$G$140&lt;&gt;"moeda")*(Inputs!$G$5:$G$140&lt;&gt;"acoes")))*INDEX(Inputs!$K$5:$AJ$140,0,MATCH(T$2,Inputs!$K$4:$AJ$4,0)))))</f>
        <v>104</v>
      </c>
      <c r="U62" s="262">
        <f>IF(ISNA(MATCH(U$2,Inputs!$K$4:$AJ$4,0)),NA(),IF(SUMPRODUCT((Inputs!$A$5:$A$140=$B62)*ISNUMBER(INDEX(Inputs!$K$5:$AJ$140,0,MATCH(U$2,Inputs!$K$4:$AJ$4,0))))+SUMPRODUCT((Inputs!$C$5:$C$140=$B62)*ISNUMBER(INDEX(Inputs!$K$5:$AJ$140,0,MATCH(U$2,Inputs!$K$4:$AJ$4,0))))+SUMPRODUCT((Inputs!$E$5:$E$140=$B62)*ISNUMBER(INDEX(Inputs!$K$5:$AJ$140,0,MATCH(U$2,Inputs!$K$4:$AJ$4,0))))=0,NA(),SUMPRODUCT((Inputs!$A$5:$A$140=$B62)*Inputs!$B$5:$B$140*(((Inputs!$G$5:$G$140="moeda")+(Inputs!$G$5:$G$140="acoes"))*Inputs!$B$1+((Inputs!$G$5:$G$140&lt;&gt;"moeda")*(Inputs!$G$5:$G$140&lt;&gt;"acoes")))*INDEX(Inputs!$K$5:$AJ$140,0,MATCH(U$2,Inputs!$K$4:$AJ$4,0)))+SUMPRODUCT((Inputs!$C$5:$C$140=$B62)*Inputs!$D$5:$D$140*(((Inputs!$G$5:$G$140="moeda")+(Inputs!$G$5:$G$140="acoes"))*Inputs!$B$1+((Inputs!$G$5:$G$140&lt;&gt;"moeda")*(Inputs!$G$5:$G$140&lt;&gt;"acoes")))*INDEX(Inputs!$K$5:$AJ$140,0,MATCH(U$2,Inputs!$K$4:$AJ$4,0)))+SUMPRODUCT((Inputs!$E$5:$E$140=$B62)*Inputs!$F$5:$F$140*(((Inputs!$G$5:$G$140="moeda")+(Inputs!$G$5:$G$140="acoes"))*Inputs!$B$1+((Inputs!$G$5:$G$140&lt;&gt;"moeda")*(Inputs!$G$5:$G$140&lt;&gt;"acoes")))*INDEX(Inputs!$K$5:$AJ$140,0,MATCH(U$2,Inputs!$K$4:$AJ$4,0)))))</f>
        <v>104</v>
      </c>
      <c r="V62" s="262">
        <f>IF(ISNA(MATCH(V$2,Inputs!$K$4:$AJ$4,0)),NA(),IF(SUMPRODUCT((Inputs!$A$5:$A$140=$B62)*ISNUMBER(INDEX(Inputs!$K$5:$AJ$140,0,MATCH(V$2,Inputs!$K$4:$AJ$4,0))))+SUMPRODUCT((Inputs!$C$5:$C$140=$B62)*ISNUMBER(INDEX(Inputs!$K$5:$AJ$140,0,MATCH(V$2,Inputs!$K$4:$AJ$4,0))))+SUMPRODUCT((Inputs!$E$5:$E$140=$B62)*ISNUMBER(INDEX(Inputs!$K$5:$AJ$140,0,MATCH(V$2,Inputs!$K$4:$AJ$4,0))))=0,NA(),SUMPRODUCT((Inputs!$A$5:$A$140=$B62)*Inputs!$B$5:$B$140*(((Inputs!$G$5:$G$140="moeda")+(Inputs!$G$5:$G$140="acoes"))*Inputs!$B$1+((Inputs!$G$5:$G$140&lt;&gt;"moeda")*(Inputs!$G$5:$G$140&lt;&gt;"acoes")))*INDEX(Inputs!$K$5:$AJ$140,0,MATCH(V$2,Inputs!$K$4:$AJ$4,0)))+SUMPRODUCT((Inputs!$C$5:$C$140=$B62)*Inputs!$D$5:$D$140*(((Inputs!$G$5:$G$140="moeda")+(Inputs!$G$5:$G$140="acoes"))*Inputs!$B$1+((Inputs!$G$5:$G$140&lt;&gt;"moeda")*(Inputs!$G$5:$G$140&lt;&gt;"acoes")))*INDEX(Inputs!$K$5:$AJ$140,0,MATCH(V$2,Inputs!$K$4:$AJ$4,0)))+SUMPRODUCT((Inputs!$E$5:$E$140=$B62)*Inputs!$F$5:$F$140*(((Inputs!$G$5:$G$140="moeda")+(Inputs!$G$5:$G$140="acoes"))*Inputs!$B$1+((Inputs!$G$5:$G$140&lt;&gt;"moeda")*(Inputs!$G$5:$G$140&lt;&gt;"acoes")))*INDEX(Inputs!$K$5:$AJ$140,0,MATCH(V$2,Inputs!$K$4:$AJ$4,0)))))</f>
        <v>104</v>
      </c>
      <c r="W62" s="263">
        <f>V62</f>
        <v>104</v>
      </c>
      <c r="X62" s="262">
        <f>IF(ISNA(MATCH(X$2,Inputs!$K$4:$AJ$4,0)),NA(),IF(SUMPRODUCT((Inputs!$A$5:$A$140=$B62)*ISNUMBER(INDEX(Inputs!$K$5:$AJ$140,0,MATCH(X$2,Inputs!$K$4:$AJ$4,0))))+SUMPRODUCT((Inputs!$C$5:$C$140=$B62)*ISNUMBER(INDEX(Inputs!$K$5:$AJ$140,0,MATCH(X$2,Inputs!$K$4:$AJ$4,0))))+SUMPRODUCT((Inputs!$E$5:$E$140=$B62)*ISNUMBER(INDEX(Inputs!$K$5:$AJ$140,0,MATCH(X$2,Inputs!$K$4:$AJ$4,0))))=0,NA(),SUMPRODUCT((Inputs!$A$5:$A$140=$B62)*Inputs!$B$5:$B$140*(((Inputs!$G$5:$G$140="moeda")+(Inputs!$G$5:$G$140="acoes"))*Inputs!$B$1+((Inputs!$G$5:$G$140&lt;&gt;"moeda")*(Inputs!$G$5:$G$140&lt;&gt;"acoes")))*INDEX(Inputs!$K$5:$AJ$140,0,MATCH(X$2,Inputs!$K$4:$AJ$4,0)))+SUMPRODUCT((Inputs!$C$5:$C$140=$B62)*Inputs!$D$5:$D$140*(((Inputs!$G$5:$G$140="moeda")+(Inputs!$G$5:$G$140="acoes"))*Inputs!$B$1+((Inputs!$G$5:$G$140&lt;&gt;"moeda")*(Inputs!$G$5:$G$140&lt;&gt;"acoes")))*INDEX(Inputs!$K$5:$AJ$140,0,MATCH(X$2,Inputs!$K$4:$AJ$4,0)))+SUMPRODUCT((Inputs!$E$5:$E$140=$B62)*Inputs!$F$5:$F$140*(((Inputs!$G$5:$G$140="moeda")+(Inputs!$G$5:$G$140="acoes"))*Inputs!$B$1+((Inputs!$G$5:$G$140&lt;&gt;"moeda")*(Inputs!$G$5:$G$140&lt;&gt;"acoes")))*INDEX(Inputs!$K$5:$AJ$140,0,MATCH(X$2,Inputs!$K$4:$AJ$4,0)))))</f>
        <v>104</v>
      </c>
      <c r="Y62" s="262">
        <f>IF(ISNA(MATCH(Y$2,Inputs!$K$4:$AJ$4,0)),NA(),IF(SUMPRODUCT((Inputs!$A$5:$A$140=$B62)*ISNUMBER(INDEX(Inputs!$K$5:$AJ$140,0,MATCH(Y$2,Inputs!$K$4:$AJ$4,0))))+SUMPRODUCT((Inputs!$C$5:$C$140=$B62)*ISNUMBER(INDEX(Inputs!$K$5:$AJ$140,0,MATCH(Y$2,Inputs!$K$4:$AJ$4,0))))+SUMPRODUCT((Inputs!$E$5:$E$140=$B62)*ISNUMBER(INDEX(Inputs!$K$5:$AJ$140,0,MATCH(Y$2,Inputs!$K$4:$AJ$4,0))))=0,NA(),SUMPRODUCT((Inputs!$A$5:$A$140=$B62)*Inputs!$B$5:$B$140*(((Inputs!$G$5:$G$140="moeda")+(Inputs!$G$5:$G$140="acoes"))*Inputs!$B$1+((Inputs!$G$5:$G$140&lt;&gt;"moeda")*(Inputs!$G$5:$G$140&lt;&gt;"acoes")))*INDEX(Inputs!$K$5:$AJ$140,0,MATCH(Y$2,Inputs!$K$4:$AJ$4,0)))+SUMPRODUCT((Inputs!$C$5:$C$140=$B62)*Inputs!$D$5:$D$140*(((Inputs!$G$5:$G$140="moeda")+(Inputs!$G$5:$G$140="acoes"))*Inputs!$B$1+((Inputs!$G$5:$G$140&lt;&gt;"moeda")*(Inputs!$G$5:$G$140&lt;&gt;"acoes")))*INDEX(Inputs!$K$5:$AJ$140,0,MATCH(Y$2,Inputs!$K$4:$AJ$4,0)))+SUMPRODUCT((Inputs!$E$5:$E$140=$B62)*Inputs!$F$5:$F$140*(((Inputs!$G$5:$G$140="moeda")+(Inputs!$G$5:$G$140="acoes"))*Inputs!$B$1+((Inputs!$G$5:$G$140&lt;&gt;"moeda")*(Inputs!$G$5:$G$140&lt;&gt;"acoes")))*INDEX(Inputs!$K$5:$AJ$140,0,MATCH(Y$2,Inputs!$K$4:$AJ$4,0)))))</f>
        <v>95</v>
      </c>
      <c r="Z62" s="262">
        <f>IF(ISNA(MATCH(Z$2,Inputs!$K$4:$AJ$4,0)),NA(),IF(SUMPRODUCT((Inputs!$A$5:$A$140=$B62)*ISNUMBER(INDEX(Inputs!$K$5:$AJ$140,0,MATCH(Z$2,Inputs!$K$4:$AJ$4,0))))+SUMPRODUCT((Inputs!$C$5:$C$140=$B62)*ISNUMBER(INDEX(Inputs!$K$5:$AJ$140,0,MATCH(Z$2,Inputs!$K$4:$AJ$4,0))))+SUMPRODUCT((Inputs!$E$5:$E$140=$B62)*ISNUMBER(INDEX(Inputs!$K$5:$AJ$140,0,MATCH(Z$2,Inputs!$K$4:$AJ$4,0))))=0,NA(),SUMPRODUCT((Inputs!$A$5:$A$140=$B62)*Inputs!$B$5:$B$140*(((Inputs!$G$5:$G$140="moeda")+(Inputs!$G$5:$G$140="acoes"))*Inputs!$B$1+((Inputs!$G$5:$G$140&lt;&gt;"moeda")*(Inputs!$G$5:$G$140&lt;&gt;"acoes")))*INDEX(Inputs!$K$5:$AJ$140,0,MATCH(Z$2,Inputs!$K$4:$AJ$4,0)))+SUMPRODUCT((Inputs!$C$5:$C$140=$B62)*Inputs!$D$5:$D$140*(((Inputs!$G$5:$G$140="moeda")+(Inputs!$G$5:$G$140="acoes"))*Inputs!$B$1+((Inputs!$G$5:$G$140&lt;&gt;"moeda")*(Inputs!$G$5:$G$140&lt;&gt;"acoes")))*INDEX(Inputs!$K$5:$AJ$140,0,MATCH(Z$2,Inputs!$K$4:$AJ$4,0)))+SUMPRODUCT((Inputs!$E$5:$E$140=$B62)*Inputs!$F$5:$F$140*(((Inputs!$G$5:$G$140="moeda")+(Inputs!$G$5:$G$140="acoes"))*Inputs!$B$1+((Inputs!$G$5:$G$140&lt;&gt;"moeda")*(Inputs!$G$5:$G$140&lt;&gt;"acoes")))*INDEX(Inputs!$K$5:$AJ$140,0,MATCH(Z$2,Inputs!$K$4:$AJ$4,0)))))</f>
        <v>91</v>
      </c>
      <c r="AA62" s="262">
        <f>IF(ISNA(MATCH(AA$2,Inputs!$K$4:$AJ$4,0)),NA(),IF(SUMPRODUCT((Inputs!$A$5:$A$140=$B62)*ISNUMBER(INDEX(Inputs!$K$5:$AJ$140,0,MATCH(AA$2,Inputs!$K$4:$AJ$4,0))))+SUMPRODUCT((Inputs!$C$5:$C$140=$B62)*ISNUMBER(INDEX(Inputs!$K$5:$AJ$140,0,MATCH(AA$2,Inputs!$K$4:$AJ$4,0))))+SUMPRODUCT((Inputs!$E$5:$E$140=$B62)*ISNUMBER(INDEX(Inputs!$K$5:$AJ$140,0,MATCH(AA$2,Inputs!$K$4:$AJ$4,0))))=0,NA(),SUMPRODUCT((Inputs!$A$5:$A$140=$B62)*Inputs!$B$5:$B$140*(((Inputs!$G$5:$G$140="moeda")+(Inputs!$G$5:$G$140="acoes"))*Inputs!$B$1+((Inputs!$G$5:$G$140&lt;&gt;"moeda")*(Inputs!$G$5:$G$140&lt;&gt;"acoes")))*INDEX(Inputs!$K$5:$AJ$140,0,MATCH(AA$2,Inputs!$K$4:$AJ$4,0)))+SUMPRODUCT((Inputs!$C$5:$C$140=$B62)*Inputs!$D$5:$D$140*(((Inputs!$G$5:$G$140="moeda")+(Inputs!$G$5:$G$140="acoes"))*Inputs!$B$1+((Inputs!$G$5:$G$140&lt;&gt;"moeda")*(Inputs!$G$5:$G$140&lt;&gt;"acoes")))*INDEX(Inputs!$K$5:$AJ$140,0,MATCH(AA$2,Inputs!$K$4:$AJ$4,0)))+SUMPRODUCT((Inputs!$E$5:$E$140=$B62)*Inputs!$F$5:$F$140*(((Inputs!$G$5:$G$140="moeda")+(Inputs!$G$5:$G$140="acoes"))*Inputs!$B$1+((Inputs!$G$5:$G$140&lt;&gt;"moeda")*(Inputs!$G$5:$G$140&lt;&gt;"acoes")))*INDEX(Inputs!$K$5:$AJ$140,0,MATCH(AA$2,Inputs!$K$4:$AJ$4,0)))))</f>
        <v>78</v>
      </c>
      <c r="AB62" s="263">
        <f>AA62</f>
        <v>78</v>
      </c>
      <c r="AC62" s="262">
        <f>IF(ISNA(MATCH(AC$2,Inputs!$K$4:$AJ$4,0)),NA(),IF(SUMPRODUCT((Inputs!$A$5:$A$140=$B62)*ISNUMBER(INDEX(Inputs!$K$5:$AJ$140,0,MATCH(AC$2,Inputs!$K$4:$AJ$4,0))))+SUMPRODUCT((Inputs!$C$5:$C$140=$B62)*ISNUMBER(INDEX(Inputs!$K$5:$AJ$140,0,MATCH(AC$2,Inputs!$K$4:$AJ$4,0))))+SUMPRODUCT((Inputs!$E$5:$E$140=$B62)*ISNUMBER(INDEX(Inputs!$K$5:$AJ$140,0,MATCH(AC$2,Inputs!$K$4:$AJ$4,0))))=0,NA(),SUMPRODUCT((Inputs!$A$5:$A$140=$B62)*Inputs!$B$5:$B$140*(((Inputs!$G$5:$G$140="moeda")+(Inputs!$G$5:$G$140="acoes"))*Inputs!$B$1+((Inputs!$G$5:$G$140&lt;&gt;"moeda")*(Inputs!$G$5:$G$140&lt;&gt;"acoes")))*INDEX(Inputs!$K$5:$AJ$140,0,MATCH(AC$2,Inputs!$K$4:$AJ$4,0)))+SUMPRODUCT((Inputs!$C$5:$C$140=$B62)*Inputs!$D$5:$D$140*(((Inputs!$G$5:$G$140="moeda")+(Inputs!$G$5:$G$140="acoes"))*Inputs!$B$1+((Inputs!$G$5:$G$140&lt;&gt;"moeda")*(Inputs!$G$5:$G$140&lt;&gt;"acoes")))*INDEX(Inputs!$K$5:$AJ$140,0,MATCH(AC$2,Inputs!$K$4:$AJ$4,0)))+SUMPRODUCT((Inputs!$E$5:$E$140=$B62)*Inputs!$F$5:$F$140*(((Inputs!$G$5:$G$140="moeda")+(Inputs!$G$5:$G$140="acoes"))*Inputs!$B$1+((Inputs!$G$5:$G$140&lt;&gt;"moeda")*(Inputs!$G$5:$G$140&lt;&gt;"acoes")))*INDEX(Inputs!$K$5:$AJ$140,0,MATCH(AC$2,Inputs!$K$4:$AJ$4,0)))))</f>
        <v>78</v>
      </c>
      <c r="AD62" s="262">
        <f>IF(ISNA(MATCH(AD$2,Inputs!$K$4:$AJ$4,0)),NA(),IF(SUMPRODUCT((Inputs!$A$5:$A$140=$B62)*ISNUMBER(INDEX(Inputs!$K$5:$AJ$140,0,MATCH(AD$2,Inputs!$K$4:$AJ$4,0))))+SUMPRODUCT((Inputs!$C$5:$C$140=$B62)*ISNUMBER(INDEX(Inputs!$K$5:$AJ$140,0,MATCH(AD$2,Inputs!$K$4:$AJ$4,0))))+SUMPRODUCT((Inputs!$E$5:$E$140=$B62)*ISNUMBER(INDEX(Inputs!$K$5:$AJ$140,0,MATCH(AD$2,Inputs!$K$4:$AJ$4,0))))=0,NA(),SUMPRODUCT((Inputs!$A$5:$A$140=$B62)*Inputs!$B$5:$B$140*(((Inputs!$G$5:$G$140="moeda")+(Inputs!$G$5:$G$140="acoes"))*Inputs!$B$1+((Inputs!$G$5:$G$140&lt;&gt;"moeda")*(Inputs!$G$5:$G$140&lt;&gt;"acoes")))*INDEX(Inputs!$K$5:$AJ$140,0,MATCH(AD$2,Inputs!$K$4:$AJ$4,0)))+SUMPRODUCT((Inputs!$C$5:$C$140=$B62)*Inputs!$D$5:$D$140*(((Inputs!$G$5:$G$140="moeda")+(Inputs!$G$5:$G$140="acoes"))*Inputs!$B$1+((Inputs!$G$5:$G$140&lt;&gt;"moeda")*(Inputs!$G$5:$G$140&lt;&gt;"acoes")))*INDEX(Inputs!$K$5:$AJ$140,0,MATCH(AD$2,Inputs!$K$4:$AJ$4,0)))+SUMPRODUCT((Inputs!$E$5:$E$140=$B62)*Inputs!$F$5:$F$140*(((Inputs!$G$5:$G$140="moeda")+(Inputs!$G$5:$G$140="acoes"))*Inputs!$B$1+((Inputs!$G$5:$G$140&lt;&gt;"moeda")*(Inputs!$G$5:$G$140&lt;&gt;"acoes")))*INDEX(Inputs!$K$5:$AJ$140,0,MATCH(AD$2,Inputs!$K$4:$AJ$4,0)))))</f>
        <v>78</v>
      </c>
      <c r="AE62" s="262" t="e">
        <f>IF(ISNA(MATCH(AE$2,Inputs!$K$4:$AJ$4,0)),NA(),IF(SUMPRODUCT((Inputs!$A$5:$A$140=$B62)*ISNUMBER(INDEX(Inputs!$K$5:$AJ$140,0,MATCH(AE$2,Inputs!$K$4:$AJ$4,0))))+SUMPRODUCT((Inputs!$C$5:$C$140=$B62)*ISNUMBER(INDEX(Inputs!$K$5:$AJ$140,0,MATCH(AE$2,Inputs!$K$4:$AJ$4,0))))+SUMPRODUCT((Inputs!$E$5:$E$140=$B62)*ISNUMBER(INDEX(Inputs!$K$5:$AJ$140,0,MATCH(AE$2,Inputs!$K$4:$AJ$4,0))))=0,NA(),SUMPRODUCT((Inputs!$A$5:$A$140=$B62)*Inputs!$B$5:$B$140*(((Inputs!$G$5:$G$140="moeda")+(Inputs!$G$5:$G$140="acoes"))*Inputs!$B$1+((Inputs!$G$5:$G$140&lt;&gt;"moeda")*(Inputs!$G$5:$G$140&lt;&gt;"acoes")))*INDEX(Inputs!$K$5:$AJ$140,0,MATCH(AE$2,Inputs!$K$4:$AJ$4,0)))+SUMPRODUCT((Inputs!$C$5:$C$140=$B62)*Inputs!$D$5:$D$140*(((Inputs!$G$5:$G$140="moeda")+(Inputs!$G$5:$G$140="acoes"))*Inputs!$B$1+((Inputs!$G$5:$G$140&lt;&gt;"moeda")*(Inputs!$G$5:$G$140&lt;&gt;"acoes")))*INDEX(Inputs!$K$5:$AJ$140,0,MATCH(AE$2,Inputs!$K$4:$AJ$4,0)))+SUMPRODUCT((Inputs!$E$5:$E$140=$B62)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2" s="262" t="e">
        <f>IF(ISNA(MATCH(AF$2,Inputs!$K$4:$AJ$4,0)),NA(),IF(SUMPRODUCT((Inputs!$A$5:$A$140=$B62)*ISNUMBER(INDEX(Inputs!$K$5:$AJ$140,0,MATCH(AF$2,Inputs!$K$4:$AJ$4,0))))+SUMPRODUCT((Inputs!$C$5:$C$140=$B62)*ISNUMBER(INDEX(Inputs!$K$5:$AJ$140,0,MATCH(AF$2,Inputs!$K$4:$AJ$4,0))))+SUMPRODUCT((Inputs!$E$5:$E$140=$B62)*ISNUMBER(INDEX(Inputs!$K$5:$AJ$140,0,MATCH(AF$2,Inputs!$K$4:$AJ$4,0))))=0,NA(),SUMPRODUCT((Inputs!$A$5:$A$140=$B62)*Inputs!$B$5:$B$140*(((Inputs!$G$5:$G$140="moeda")+(Inputs!$G$5:$G$140="acoes"))*Inputs!$B$1+((Inputs!$G$5:$G$140&lt;&gt;"moeda")*(Inputs!$G$5:$G$140&lt;&gt;"acoes")))*INDEX(Inputs!$K$5:$AJ$140,0,MATCH(AF$2,Inputs!$K$4:$AJ$4,0)))+SUMPRODUCT((Inputs!$C$5:$C$140=$B62)*Inputs!$D$5:$D$140*(((Inputs!$G$5:$G$140="moeda")+(Inputs!$G$5:$G$140="acoes"))*Inputs!$B$1+((Inputs!$G$5:$G$140&lt;&gt;"moeda")*(Inputs!$G$5:$G$140&lt;&gt;"acoes")))*INDEX(Inputs!$K$5:$AJ$140,0,MATCH(AF$2,Inputs!$K$4:$AJ$4,0)))+SUMPRODUCT((Inputs!$E$5:$E$140=$B62)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2" s="263" t="e">
        <f>AF62</f>
        <v>#N/A</v>
      </c>
      <c r="AH62" s="262">
        <f>IF(ISNA(MATCH(AH$2,Inputs!$K$4:$AJ$4,0)),NA(),IF(SUMPRODUCT((Inputs!$A$5:$A$140=$B62)*ISNUMBER(INDEX(Inputs!$K$5:$AJ$140,0,MATCH(AH$2,Inputs!$K$4:$AJ$4,0))))+SUMPRODUCT((Inputs!$C$5:$C$140=$B62)*ISNUMBER(INDEX(Inputs!$K$5:$AJ$140,0,MATCH(AH$2,Inputs!$K$4:$AJ$4,0))))+SUMPRODUCT((Inputs!$E$5:$E$140=$B62)*ISNUMBER(INDEX(Inputs!$K$5:$AJ$140,0,MATCH(AH$2,Inputs!$K$4:$AJ$4,0))))=0,NA(),SUMPRODUCT((Inputs!$A$5:$A$140=$B62)*Inputs!$B$5:$B$140*(((Inputs!$G$5:$G$140="moeda")+(Inputs!$G$5:$G$140="acoes"))*Inputs!$B$1+((Inputs!$G$5:$G$140&lt;&gt;"moeda")*(Inputs!$G$5:$G$140&lt;&gt;"acoes")))*INDEX(Inputs!$K$5:$AJ$140,0,MATCH(AH$2,Inputs!$K$4:$AJ$4,0)))+SUMPRODUCT((Inputs!$C$5:$C$140=$B62)*Inputs!$D$5:$D$140*(((Inputs!$G$5:$G$140="moeda")+(Inputs!$G$5:$G$140="acoes"))*Inputs!$B$1+((Inputs!$G$5:$G$140&lt;&gt;"moeda")*(Inputs!$G$5:$G$140&lt;&gt;"acoes")))*INDEX(Inputs!$K$5:$AJ$140,0,MATCH(AH$2,Inputs!$K$4:$AJ$4,0)))+SUMPRODUCT((Inputs!$E$5:$E$140=$B62)*Inputs!$F$5:$F$140*(((Inputs!$G$5:$G$140="moeda")+(Inputs!$G$5:$G$140="acoes"))*Inputs!$B$1+((Inputs!$G$5:$G$140&lt;&gt;"moeda")*(Inputs!$G$5:$G$140&lt;&gt;"acoes")))*INDEX(Inputs!$K$5:$AJ$140,0,MATCH(AH$2,Inputs!$K$4:$AJ$4,0)))))</f>
        <v>61</v>
      </c>
      <c r="AI62" s="262">
        <f>IF(ISNA(MATCH(AI$2,Inputs!$K$4:$AJ$4,0)),NA(),IF(SUMPRODUCT((Inputs!$A$5:$A$140=$B62)*ISNUMBER(INDEX(Inputs!$K$5:$AJ$140,0,MATCH(AI$2,Inputs!$K$4:$AJ$4,0))))+SUMPRODUCT((Inputs!$C$5:$C$140=$B62)*ISNUMBER(INDEX(Inputs!$K$5:$AJ$140,0,MATCH(AI$2,Inputs!$K$4:$AJ$4,0))))+SUMPRODUCT((Inputs!$E$5:$E$140=$B62)*ISNUMBER(INDEX(Inputs!$K$5:$AJ$140,0,MATCH(AI$2,Inputs!$K$4:$AJ$4,0))))=0,NA(),SUMPRODUCT((Inputs!$A$5:$A$140=$B62)*Inputs!$B$5:$B$140*(((Inputs!$G$5:$G$140="moeda")+(Inputs!$G$5:$G$140="acoes"))*Inputs!$B$1+((Inputs!$G$5:$G$140&lt;&gt;"moeda")*(Inputs!$G$5:$G$140&lt;&gt;"acoes")))*INDEX(Inputs!$K$5:$AJ$140,0,MATCH(AI$2,Inputs!$K$4:$AJ$4,0)))+SUMPRODUCT((Inputs!$C$5:$C$140=$B62)*Inputs!$D$5:$D$140*(((Inputs!$G$5:$G$140="moeda")+(Inputs!$G$5:$G$140="acoes"))*Inputs!$B$1+((Inputs!$G$5:$G$140&lt;&gt;"moeda")*(Inputs!$G$5:$G$140&lt;&gt;"acoes")))*INDEX(Inputs!$K$5:$AJ$140,0,MATCH(AI$2,Inputs!$K$4:$AJ$4,0)))+SUMPRODUCT((Inputs!$E$5:$E$140=$B62)*Inputs!$F$5:$F$140*(((Inputs!$G$5:$G$140="moeda")+(Inputs!$G$5:$G$140="acoes"))*Inputs!$B$1+((Inputs!$G$5:$G$140&lt;&gt;"moeda")*(Inputs!$G$5:$G$140&lt;&gt;"acoes")))*INDEX(Inputs!$K$5:$AJ$140,0,MATCH(AI$2,Inputs!$K$4:$AJ$4,0)))))</f>
        <v>67</v>
      </c>
      <c r="AJ62" s="262">
        <f>IF(ISNA(MATCH(AJ$2,Inputs!$K$4:$AJ$4,0)),NA(),IF(SUMPRODUCT((Inputs!$A$5:$A$140=$B62)*ISNUMBER(INDEX(Inputs!$K$5:$AJ$140,0,MATCH(AJ$2,Inputs!$K$4:$AJ$4,0))))+SUMPRODUCT((Inputs!$C$5:$C$140=$B62)*ISNUMBER(INDEX(Inputs!$K$5:$AJ$140,0,MATCH(AJ$2,Inputs!$K$4:$AJ$4,0))))+SUMPRODUCT((Inputs!$E$5:$E$140=$B62)*ISNUMBER(INDEX(Inputs!$K$5:$AJ$140,0,MATCH(AJ$2,Inputs!$K$4:$AJ$4,0))))=0,NA(),SUMPRODUCT((Inputs!$A$5:$A$140=$B62)*Inputs!$B$5:$B$140*(((Inputs!$G$5:$G$140="moeda")+(Inputs!$G$5:$G$140="acoes"))*Inputs!$B$1+((Inputs!$G$5:$G$140&lt;&gt;"moeda")*(Inputs!$G$5:$G$140&lt;&gt;"acoes")))*INDEX(Inputs!$K$5:$AJ$140,0,MATCH(AJ$2,Inputs!$K$4:$AJ$4,0)))+SUMPRODUCT((Inputs!$C$5:$C$140=$B62)*Inputs!$D$5:$D$140*(((Inputs!$G$5:$G$140="moeda")+(Inputs!$G$5:$G$140="acoes"))*Inputs!$B$1+((Inputs!$G$5:$G$140&lt;&gt;"moeda")*(Inputs!$G$5:$G$140&lt;&gt;"acoes")))*INDEX(Inputs!$K$5:$AJ$140,0,MATCH(AJ$2,Inputs!$K$4:$AJ$4,0)))+SUMPRODUCT((Inputs!$E$5:$E$140=$B62)*Inputs!$F$5:$F$140*(((Inputs!$G$5:$G$140="moeda")+(Inputs!$G$5:$G$140="acoes"))*Inputs!$B$1+((Inputs!$G$5:$G$140&lt;&gt;"moeda")*(Inputs!$G$5:$G$140&lt;&gt;"acoes")))*INDEX(Inputs!$K$5:$AJ$140,0,MATCH(AJ$2,Inputs!$K$4:$AJ$4,0)))))</f>
        <v>71</v>
      </c>
      <c r="AK62" s="262">
        <f>IF(ISNA(MATCH(AK$2,Inputs!$K$4:$AJ$4,0)),NA(),IF(SUMPRODUCT((Inputs!$A$5:$A$140=$B62)*ISNUMBER(INDEX(Inputs!$K$5:$AJ$140,0,MATCH(AK$2,Inputs!$K$4:$AJ$4,0))))+SUMPRODUCT((Inputs!$C$5:$C$140=$B62)*ISNUMBER(INDEX(Inputs!$K$5:$AJ$140,0,MATCH(AK$2,Inputs!$K$4:$AJ$4,0))))+SUMPRODUCT((Inputs!$E$5:$E$140=$B62)*ISNUMBER(INDEX(Inputs!$K$5:$AJ$140,0,MATCH(AK$2,Inputs!$K$4:$AJ$4,0))))=0,NA(),SUMPRODUCT((Inputs!$A$5:$A$140=$B62)*Inputs!$B$5:$B$140*(((Inputs!$G$5:$G$140="moeda")+(Inputs!$G$5:$G$140="acoes"))*Inputs!$B$1+((Inputs!$G$5:$G$140&lt;&gt;"moeda")*(Inputs!$G$5:$G$140&lt;&gt;"acoes")))*INDEX(Inputs!$K$5:$AJ$140,0,MATCH(AK$2,Inputs!$K$4:$AJ$4,0)))+SUMPRODUCT((Inputs!$C$5:$C$140=$B62)*Inputs!$D$5:$D$140*(((Inputs!$G$5:$G$140="moeda")+(Inputs!$G$5:$G$140="acoes"))*Inputs!$B$1+((Inputs!$G$5:$G$140&lt;&gt;"moeda")*(Inputs!$G$5:$G$140&lt;&gt;"acoes")))*INDEX(Inputs!$K$5:$AJ$140,0,MATCH(AK$2,Inputs!$K$4:$AJ$4,0)))+SUMPRODUCT((Inputs!$E$5:$E$140=$B62)*Inputs!$F$5:$F$140*(((Inputs!$G$5:$G$140="moeda")+(Inputs!$G$5:$G$140="acoes"))*Inputs!$B$1+((Inputs!$G$5:$G$140&lt;&gt;"moeda")*(Inputs!$G$5:$G$140&lt;&gt;"acoes")))*INDEX(Inputs!$K$5:$AJ$140,0,MATCH(AK$2,Inputs!$K$4:$AJ$4,0)))))</f>
        <v>77</v>
      </c>
      <c r="AL62" s="263">
        <f>AK62</f>
        <v>77</v>
      </c>
    </row>
    <row r="63">
      <c r="B63" s="46" t="n">
        <v>55</v>
      </c>
      <c r="C63" s="29" t="inlineStr">
        <is>
          <t>Lojas - Farmacia (fim do periodo)</t>
        </is>
      </c>
      <c r="D63" s="262">
        <f>IF(ISNA(MATCH(D$2,Inputs!$K$4:$AJ$4,0)),NA(),IF(SUMPRODUCT((Inputs!$A$5:$A$140=$B63)*ISNUMBER(INDEX(Inputs!$K$5:$AJ$140,0,MATCH(D$2,Inputs!$K$4:$AJ$4,0))))+SUMPRODUCT((Inputs!$C$5:$C$140=$B63)*ISNUMBER(INDEX(Inputs!$K$5:$AJ$140,0,MATCH(D$2,Inputs!$K$4:$AJ$4,0))))+SUMPRODUCT((Inputs!$E$5:$E$140=$B63)*ISNUMBER(INDEX(Inputs!$K$5:$AJ$140,0,MATCH(D$2,Inputs!$K$4:$AJ$4,0))))=0,NA(),SUMPRODUCT((Inputs!$A$5:$A$140=$B63)*Inputs!$B$5:$B$140*(((Inputs!$G$5:$G$140="moeda")+(Inputs!$G$5:$G$140="acoes"))*Inputs!$B$1+((Inputs!$G$5:$G$140&lt;&gt;"moeda")*(Inputs!$G$5:$G$140&lt;&gt;"acoes")))*INDEX(Inputs!$K$5:$AJ$140,0,MATCH(D$2,Inputs!$K$4:$AJ$4,0)))+SUMPRODUCT((Inputs!$C$5:$C$140=$B63)*Inputs!$D$5:$D$140*(((Inputs!$G$5:$G$140="moeda")+(Inputs!$G$5:$G$140="acoes"))*Inputs!$B$1+((Inputs!$G$5:$G$140&lt;&gt;"moeda")*(Inputs!$G$5:$G$140&lt;&gt;"acoes")))*INDEX(Inputs!$K$5:$AJ$140,0,MATCH(D$2,Inputs!$K$4:$AJ$4,0)))+SUMPRODUCT((Inputs!$E$5:$E$140=$B63)*Inputs!$F$5:$F$140*(((Inputs!$G$5:$G$140="moeda")+(Inputs!$G$5:$G$140="acoes"))*Inputs!$B$1+((Inputs!$G$5:$G$140&lt;&gt;"moeda")*(Inputs!$G$5:$G$140&lt;&gt;"acoes")))*INDEX(Inputs!$K$5:$AJ$140,0,MATCH(D$2,Inputs!$K$4:$AJ$4,0)))))</f>
        <v>0</v>
      </c>
      <c r="E63" s="262">
        <f>IF(ISNA(MATCH(E$2,Inputs!$K$4:$AJ$4,0)),NA(),IF(SUMPRODUCT((Inputs!$A$5:$A$140=$B63)*ISNUMBER(INDEX(Inputs!$K$5:$AJ$140,0,MATCH(E$2,Inputs!$K$4:$AJ$4,0))))+SUMPRODUCT((Inputs!$C$5:$C$140=$B63)*ISNUMBER(INDEX(Inputs!$K$5:$AJ$140,0,MATCH(E$2,Inputs!$K$4:$AJ$4,0))))+SUMPRODUCT((Inputs!$E$5:$E$140=$B63)*ISNUMBER(INDEX(Inputs!$K$5:$AJ$140,0,MATCH(E$2,Inputs!$K$4:$AJ$4,0))))=0,NA(),SUMPRODUCT((Inputs!$A$5:$A$140=$B63)*Inputs!$B$5:$B$140*(((Inputs!$G$5:$G$140="moeda")+(Inputs!$G$5:$G$140="acoes"))*Inputs!$B$1+((Inputs!$G$5:$G$140&lt;&gt;"moeda")*(Inputs!$G$5:$G$140&lt;&gt;"acoes")))*INDEX(Inputs!$K$5:$AJ$140,0,MATCH(E$2,Inputs!$K$4:$AJ$4,0)))+SUMPRODUCT((Inputs!$C$5:$C$140=$B63)*Inputs!$D$5:$D$140*(((Inputs!$G$5:$G$140="moeda")+(Inputs!$G$5:$G$140="acoes"))*Inputs!$B$1+((Inputs!$G$5:$G$140&lt;&gt;"moeda")*(Inputs!$G$5:$G$140&lt;&gt;"acoes")))*INDEX(Inputs!$K$5:$AJ$140,0,MATCH(E$2,Inputs!$K$4:$AJ$4,0)))+SUMPRODUCT((Inputs!$E$5:$E$140=$B63)*Inputs!$F$5:$F$140*(((Inputs!$G$5:$G$140="moeda")+(Inputs!$G$5:$G$140="acoes"))*Inputs!$B$1+((Inputs!$G$5:$G$140&lt;&gt;"moeda")*(Inputs!$G$5:$G$140&lt;&gt;"acoes")))*INDEX(Inputs!$K$5:$AJ$140,0,MATCH(E$2,Inputs!$K$4:$AJ$4,0)))))</f>
        <v>0</v>
      </c>
      <c r="F63" s="262">
        <f>IF(ISNA(MATCH(F$2,Inputs!$K$4:$AJ$4,0)),NA(),IF(SUMPRODUCT((Inputs!$A$5:$A$140=$B63)*ISNUMBER(INDEX(Inputs!$K$5:$AJ$140,0,MATCH(F$2,Inputs!$K$4:$AJ$4,0))))+SUMPRODUCT((Inputs!$C$5:$C$140=$B63)*ISNUMBER(INDEX(Inputs!$K$5:$AJ$140,0,MATCH(F$2,Inputs!$K$4:$AJ$4,0))))+SUMPRODUCT((Inputs!$E$5:$E$140=$B63)*ISNUMBER(INDEX(Inputs!$K$5:$AJ$140,0,MATCH(F$2,Inputs!$K$4:$AJ$4,0))))=0,NA(),SUMPRODUCT((Inputs!$A$5:$A$140=$B63)*Inputs!$B$5:$B$140*(((Inputs!$G$5:$G$140="moeda")+(Inputs!$G$5:$G$140="acoes"))*Inputs!$B$1+((Inputs!$G$5:$G$140&lt;&gt;"moeda")*(Inputs!$G$5:$G$140&lt;&gt;"acoes")))*INDEX(Inputs!$K$5:$AJ$140,0,MATCH(F$2,Inputs!$K$4:$AJ$4,0)))+SUMPRODUCT((Inputs!$C$5:$C$140=$B63)*Inputs!$D$5:$D$140*(((Inputs!$G$5:$G$140="moeda")+(Inputs!$G$5:$G$140="acoes"))*Inputs!$B$1+((Inputs!$G$5:$G$140&lt;&gt;"moeda")*(Inputs!$G$5:$G$140&lt;&gt;"acoes")))*INDEX(Inputs!$K$5:$AJ$140,0,MATCH(F$2,Inputs!$K$4:$AJ$4,0)))+SUMPRODUCT((Inputs!$E$5:$E$140=$B63)*Inputs!$F$5:$F$140*(((Inputs!$G$5:$G$140="moeda")+(Inputs!$G$5:$G$140="acoes"))*Inputs!$B$1+((Inputs!$G$5:$G$140&lt;&gt;"moeda")*(Inputs!$G$5:$G$140&lt;&gt;"acoes")))*INDEX(Inputs!$K$5:$AJ$140,0,MATCH(F$2,Inputs!$K$4:$AJ$4,0)))))</f>
        <v>0</v>
      </c>
      <c r="G63" s="262">
        <f>IF(ISNA(MATCH(G$2,Inputs!$K$4:$AJ$4,0)),NA(),IF(SUMPRODUCT((Inputs!$A$5:$A$140=$B63)*ISNUMBER(INDEX(Inputs!$K$5:$AJ$140,0,MATCH(G$2,Inputs!$K$4:$AJ$4,0))))+SUMPRODUCT((Inputs!$C$5:$C$140=$B63)*ISNUMBER(INDEX(Inputs!$K$5:$AJ$140,0,MATCH(G$2,Inputs!$K$4:$AJ$4,0))))+SUMPRODUCT((Inputs!$E$5:$E$140=$B63)*ISNUMBER(INDEX(Inputs!$K$5:$AJ$140,0,MATCH(G$2,Inputs!$K$4:$AJ$4,0))))=0,NA(),SUMPRODUCT((Inputs!$A$5:$A$140=$B63)*Inputs!$B$5:$B$140*(((Inputs!$G$5:$G$140="moeda")+(Inputs!$G$5:$G$140="acoes"))*Inputs!$B$1+((Inputs!$G$5:$G$140&lt;&gt;"moeda")*(Inputs!$G$5:$G$140&lt;&gt;"acoes")))*INDEX(Inputs!$K$5:$AJ$140,0,MATCH(G$2,Inputs!$K$4:$AJ$4,0)))+SUMPRODUCT((Inputs!$C$5:$C$140=$B63)*Inputs!$D$5:$D$140*(((Inputs!$G$5:$G$140="moeda")+(Inputs!$G$5:$G$140="acoes"))*Inputs!$B$1+((Inputs!$G$5:$G$140&lt;&gt;"moeda")*(Inputs!$G$5:$G$140&lt;&gt;"acoes")))*INDEX(Inputs!$K$5:$AJ$140,0,MATCH(G$2,Inputs!$K$4:$AJ$4,0)))+SUMPRODUCT((Inputs!$E$5:$E$140=$B63)*Inputs!$F$5:$F$140*(((Inputs!$G$5:$G$140="moeda")+(Inputs!$G$5:$G$140="acoes"))*Inputs!$B$1+((Inputs!$G$5:$G$140&lt;&gt;"moeda")*(Inputs!$G$5:$G$140&lt;&gt;"acoes")))*INDEX(Inputs!$K$5:$AJ$140,0,MATCH(G$2,Inputs!$K$4:$AJ$4,0)))))</f>
        <v>0</v>
      </c>
      <c r="H63" s="263">
        <f>G63</f>
        <v>0</v>
      </c>
      <c r="I63" s="262">
        <f>IF(ISNA(MATCH(I$2,Inputs!$K$4:$AJ$4,0)),NA(),IF(SUMPRODUCT((Inputs!$A$5:$A$140=$B63)*ISNUMBER(INDEX(Inputs!$K$5:$AJ$140,0,MATCH(I$2,Inputs!$K$4:$AJ$4,0))))+SUMPRODUCT((Inputs!$C$5:$C$140=$B63)*ISNUMBER(INDEX(Inputs!$K$5:$AJ$140,0,MATCH(I$2,Inputs!$K$4:$AJ$4,0))))+SUMPRODUCT((Inputs!$E$5:$E$140=$B63)*ISNUMBER(INDEX(Inputs!$K$5:$AJ$140,0,MATCH(I$2,Inputs!$K$4:$AJ$4,0))))=0,NA(),SUMPRODUCT((Inputs!$A$5:$A$140=$B63)*Inputs!$B$5:$B$140*(((Inputs!$G$5:$G$140="moeda")+(Inputs!$G$5:$G$140="acoes"))*Inputs!$B$1+((Inputs!$G$5:$G$140&lt;&gt;"moeda")*(Inputs!$G$5:$G$140&lt;&gt;"acoes")))*INDEX(Inputs!$K$5:$AJ$140,0,MATCH(I$2,Inputs!$K$4:$AJ$4,0)))+SUMPRODUCT((Inputs!$C$5:$C$140=$B63)*Inputs!$D$5:$D$140*(((Inputs!$G$5:$G$140="moeda")+(Inputs!$G$5:$G$140="acoes"))*Inputs!$B$1+((Inputs!$G$5:$G$140&lt;&gt;"moeda")*(Inputs!$G$5:$G$140&lt;&gt;"acoes")))*INDEX(Inputs!$K$5:$AJ$140,0,MATCH(I$2,Inputs!$K$4:$AJ$4,0)))+SUMPRODUCT((Inputs!$E$5:$E$140=$B63)*Inputs!$F$5:$F$140*(((Inputs!$G$5:$G$140="moeda")+(Inputs!$G$5:$G$140="acoes"))*Inputs!$B$1+((Inputs!$G$5:$G$140&lt;&gt;"moeda")*(Inputs!$G$5:$G$140&lt;&gt;"acoes")))*INDEX(Inputs!$K$5:$AJ$140,0,MATCH(I$2,Inputs!$K$4:$AJ$4,0)))))</f>
        <v>0</v>
      </c>
      <c r="J63" s="262">
        <f>IF(ISNA(MATCH(J$2,Inputs!$K$4:$AJ$4,0)),NA(),IF(SUMPRODUCT((Inputs!$A$5:$A$140=$B63)*ISNUMBER(INDEX(Inputs!$K$5:$AJ$140,0,MATCH(J$2,Inputs!$K$4:$AJ$4,0))))+SUMPRODUCT((Inputs!$C$5:$C$140=$B63)*ISNUMBER(INDEX(Inputs!$K$5:$AJ$140,0,MATCH(J$2,Inputs!$K$4:$AJ$4,0))))+SUMPRODUCT((Inputs!$E$5:$E$140=$B63)*ISNUMBER(INDEX(Inputs!$K$5:$AJ$140,0,MATCH(J$2,Inputs!$K$4:$AJ$4,0))))=0,NA(),SUMPRODUCT((Inputs!$A$5:$A$140=$B63)*Inputs!$B$5:$B$140*(((Inputs!$G$5:$G$140="moeda")+(Inputs!$G$5:$G$140="acoes"))*Inputs!$B$1+((Inputs!$G$5:$G$140&lt;&gt;"moeda")*(Inputs!$G$5:$G$140&lt;&gt;"acoes")))*INDEX(Inputs!$K$5:$AJ$140,0,MATCH(J$2,Inputs!$K$4:$AJ$4,0)))+SUMPRODUCT((Inputs!$C$5:$C$140=$B63)*Inputs!$D$5:$D$140*(((Inputs!$G$5:$G$140="moeda")+(Inputs!$G$5:$G$140="acoes"))*Inputs!$B$1+((Inputs!$G$5:$G$140&lt;&gt;"moeda")*(Inputs!$G$5:$G$140&lt;&gt;"acoes")))*INDEX(Inputs!$K$5:$AJ$140,0,MATCH(J$2,Inputs!$K$4:$AJ$4,0)))+SUMPRODUCT((Inputs!$E$5:$E$140=$B63)*Inputs!$F$5:$F$140*(((Inputs!$G$5:$G$140="moeda")+(Inputs!$G$5:$G$140="acoes"))*Inputs!$B$1+((Inputs!$G$5:$G$140&lt;&gt;"moeda")*(Inputs!$G$5:$G$140&lt;&gt;"acoes")))*INDEX(Inputs!$K$5:$AJ$140,0,MATCH(J$2,Inputs!$K$4:$AJ$4,0)))))</f>
        <v>0</v>
      </c>
      <c r="K63" s="262">
        <f>IF(ISNA(MATCH(K$2,Inputs!$K$4:$AJ$4,0)),NA(),IF(SUMPRODUCT((Inputs!$A$5:$A$140=$B63)*ISNUMBER(INDEX(Inputs!$K$5:$AJ$140,0,MATCH(K$2,Inputs!$K$4:$AJ$4,0))))+SUMPRODUCT((Inputs!$C$5:$C$140=$B63)*ISNUMBER(INDEX(Inputs!$K$5:$AJ$140,0,MATCH(K$2,Inputs!$K$4:$AJ$4,0))))+SUMPRODUCT((Inputs!$E$5:$E$140=$B63)*ISNUMBER(INDEX(Inputs!$K$5:$AJ$140,0,MATCH(K$2,Inputs!$K$4:$AJ$4,0))))=0,NA(),SUMPRODUCT((Inputs!$A$5:$A$140=$B63)*Inputs!$B$5:$B$140*(((Inputs!$G$5:$G$140="moeda")+(Inputs!$G$5:$G$140="acoes"))*Inputs!$B$1+((Inputs!$G$5:$G$140&lt;&gt;"moeda")*(Inputs!$G$5:$G$140&lt;&gt;"acoes")))*INDEX(Inputs!$K$5:$AJ$140,0,MATCH(K$2,Inputs!$K$4:$AJ$4,0)))+SUMPRODUCT((Inputs!$C$5:$C$140=$B63)*Inputs!$D$5:$D$140*(((Inputs!$G$5:$G$140="moeda")+(Inputs!$G$5:$G$140="acoes"))*Inputs!$B$1+((Inputs!$G$5:$G$140&lt;&gt;"moeda")*(Inputs!$G$5:$G$140&lt;&gt;"acoes")))*INDEX(Inputs!$K$5:$AJ$140,0,MATCH(K$2,Inputs!$K$4:$AJ$4,0)))+SUMPRODUCT((Inputs!$E$5:$E$140=$B63)*Inputs!$F$5:$F$140*(((Inputs!$G$5:$G$140="moeda")+(Inputs!$G$5:$G$140="acoes"))*Inputs!$B$1+((Inputs!$G$5:$G$140&lt;&gt;"moeda")*(Inputs!$G$5:$G$140&lt;&gt;"acoes")))*INDEX(Inputs!$K$5:$AJ$140,0,MATCH(K$2,Inputs!$K$4:$AJ$4,0)))))</f>
        <v>0</v>
      </c>
      <c r="L63" s="262">
        <f>IF(ISNA(MATCH(L$2,Inputs!$K$4:$AJ$4,0)),NA(),IF(SUMPRODUCT((Inputs!$A$5:$A$140=$B63)*ISNUMBER(INDEX(Inputs!$K$5:$AJ$140,0,MATCH(L$2,Inputs!$K$4:$AJ$4,0))))+SUMPRODUCT((Inputs!$C$5:$C$140=$B63)*ISNUMBER(INDEX(Inputs!$K$5:$AJ$140,0,MATCH(L$2,Inputs!$K$4:$AJ$4,0))))+SUMPRODUCT((Inputs!$E$5:$E$140=$B63)*ISNUMBER(INDEX(Inputs!$K$5:$AJ$140,0,MATCH(L$2,Inputs!$K$4:$AJ$4,0))))=0,NA(),SUMPRODUCT((Inputs!$A$5:$A$140=$B63)*Inputs!$B$5:$B$140*(((Inputs!$G$5:$G$140="moeda")+(Inputs!$G$5:$G$140="acoes"))*Inputs!$B$1+((Inputs!$G$5:$G$140&lt;&gt;"moeda")*(Inputs!$G$5:$G$140&lt;&gt;"acoes")))*INDEX(Inputs!$K$5:$AJ$140,0,MATCH(L$2,Inputs!$K$4:$AJ$4,0)))+SUMPRODUCT((Inputs!$C$5:$C$140=$B63)*Inputs!$D$5:$D$140*(((Inputs!$G$5:$G$140="moeda")+(Inputs!$G$5:$G$140="acoes"))*Inputs!$B$1+((Inputs!$G$5:$G$140&lt;&gt;"moeda")*(Inputs!$G$5:$G$140&lt;&gt;"acoes")))*INDEX(Inputs!$K$5:$AJ$140,0,MATCH(L$2,Inputs!$K$4:$AJ$4,0)))+SUMPRODUCT((Inputs!$E$5:$E$140=$B63)*Inputs!$F$5:$F$140*(((Inputs!$G$5:$G$140="moeda")+(Inputs!$G$5:$G$140="acoes"))*Inputs!$B$1+((Inputs!$G$5:$G$140&lt;&gt;"moeda")*(Inputs!$G$5:$G$140&lt;&gt;"acoes")))*INDEX(Inputs!$K$5:$AJ$140,0,MATCH(L$2,Inputs!$K$4:$AJ$4,0)))))</f>
        <v>0</v>
      </c>
      <c r="M63" s="263">
        <f>L63</f>
        <v>0</v>
      </c>
      <c r="N63" s="262">
        <f>IF(ISNA(MATCH(N$2,Inputs!$K$4:$AJ$4,0)),NA(),IF(SUMPRODUCT((Inputs!$A$5:$A$140=$B63)*ISNUMBER(INDEX(Inputs!$K$5:$AJ$140,0,MATCH(N$2,Inputs!$K$4:$AJ$4,0))))+SUMPRODUCT((Inputs!$C$5:$C$140=$B63)*ISNUMBER(INDEX(Inputs!$K$5:$AJ$140,0,MATCH(N$2,Inputs!$K$4:$AJ$4,0))))+SUMPRODUCT((Inputs!$E$5:$E$140=$B63)*ISNUMBER(INDEX(Inputs!$K$5:$AJ$140,0,MATCH(N$2,Inputs!$K$4:$AJ$4,0))))=0,NA(),SUMPRODUCT((Inputs!$A$5:$A$140=$B63)*Inputs!$B$5:$B$140*(((Inputs!$G$5:$G$140="moeda")+(Inputs!$G$5:$G$140="acoes"))*Inputs!$B$1+((Inputs!$G$5:$G$140&lt;&gt;"moeda")*(Inputs!$G$5:$G$140&lt;&gt;"acoes")))*INDEX(Inputs!$K$5:$AJ$140,0,MATCH(N$2,Inputs!$K$4:$AJ$4,0)))+SUMPRODUCT((Inputs!$C$5:$C$140=$B63)*Inputs!$D$5:$D$140*(((Inputs!$G$5:$G$140="moeda")+(Inputs!$G$5:$G$140="acoes"))*Inputs!$B$1+((Inputs!$G$5:$G$140&lt;&gt;"moeda")*(Inputs!$G$5:$G$140&lt;&gt;"acoes")))*INDEX(Inputs!$K$5:$AJ$140,0,MATCH(N$2,Inputs!$K$4:$AJ$4,0)))+SUMPRODUCT((Inputs!$E$5:$E$140=$B63)*Inputs!$F$5:$F$140*(((Inputs!$G$5:$G$140="moeda")+(Inputs!$G$5:$G$140="acoes"))*Inputs!$B$1+((Inputs!$G$5:$G$140&lt;&gt;"moeda")*(Inputs!$G$5:$G$140&lt;&gt;"acoes")))*INDEX(Inputs!$K$5:$AJ$140,0,MATCH(N$2,Inputs!$K$4:$AJ$4,0)))))</f>
        <v>0</v>
      </c>
      <c r="O63" s="262">
        <f>IF(ISNA(MATCH(O$2,Inputs!$K$4:$AJ$4,0)),NA(),IF(SUMPRODUCT((Inputs!$A$5:$A$140=$B63)*ISNUMBER(INDEX(Inputs!$K$5:$AJ$140,0,MATCH(O$2,Inputs!$K$4:$AJ$4,0))))+SUMPRODUCT((Inputs!$C$5:$C$140=$B63)*ISNUMBER(INDEX(Inputs!$K$5:$AJ$140,0,MATCH(O$2,Inputs!$K$4:$AJ$4,0))))+SUMPRODUCT((Inputs!$E$5:$E$140=$B63)*ISNUMBER(INDEX(Inputs!$K$5:$AJ$140,0,MATCH(O$2,Inputs!$K$4:$AJ$4,0))))=0,NA(),SUMPRODUCT((Inputs!$A$5:$A$140=$B63)*Inputs!$B$5:$B$140*(((Inputs!$G$5:$G$140="moeda")+(Inputs!$G$5:$G$140="acoes"))*Inputs!$B$1+((Inputs!$G$5:$G$140&lt;&gt;"moeda")*(Inputs!$G$5:$G$140&lt;&gt;"acoes")))*INDEX(Inputs!$K$5:$AJ$140,0,MATCH(O$2,Inputs!$K$4:$AJ$4,0)))+SUMPRODUCT((Inputs!$C$5:$C$140=$B63)*Inputs!$D$5:$D$140*(((Inputs!$G$5:$G$140="moeda")+(Inputs!$G$5:$G$140="acoes"))*Inputs!$B$1+((Inputs!$G$5:$G$140&lt;&gt;"moeda")*(Inputs!$G$5:$G$140&lt;&gt;"acoes")))*INDEX(Inputs!$K$5:$AJ$140,0,MATCH(O$2,Inputs!$K$4:$AJ$4,0)))+SUMPRODUCT((Inputs!$E$5:$E$140=$B63)*Inputs!$F$5:$F$140*(((Inputs!$G$5:$G$140="moeda")+(Inputs!$G$5:$G$140="acoes"))*Inputs!$B$1+((Inputs!$G$5:$G$140&lt;&gt;"moeda")*(Inputs!$G$5:$G$140&lt;&gt;"acoes")))*INDEX(Inputs!$K$5:$AJ$140,0,MATCH(O$2,Inputs!$K$4:$AJ$4,0)))))</f>
        <v>0</v>
      </c>
      <c r="P63" s="262">
        <f>IF(ISNA(MATCH(P$2,Inputs!$K$4:$AJ$4,0)),NA(),IF(SUMPRODUCT((Inputs!$A$5:$A$140=$B63)*ISNUMBER(INDEX(Inputs!$K$5:$AJ$140,0,MATCH(P$2,Inputs!$K$4:$AJ$4,0))))+SUMPRODUCT((Inputs!$C$5:$C$140=$B63)*ISNUMBER(INDEX(Inputs!$K$5:$AJ$140,0,MATCH(P$2,Inputs!$K$4:$AJ$4,0))))+SUMPRODUCT((Inputs!$E$5:$E$140=$B63)*ISNUMBER(INDEX(Inputs!$K$5:$AJ$140,0,MATCH(P$2,Inputs!$K$4:$AJ$4,0))))=0,NA(),SUMPRODUCT((Inputs!$A$5:$A$140=$B63)*Inputs!$B$5:$B$140*(((Inputs!$G$5:$G$140="moeda")+(Inputs!$G$5:$G$140="acoes"))*Inputs!$B$1+((Inputs!$G$5:$G$140&lt;&gt;"moeda")*(Inputs!$G$5:$G$140&lt;&gt;"acoes")))*INDEX(Inputs!$K$5:$AJ$140,0,MATCH(P$2,Inputs!$K$4:$AJ$4,0)))+SUMPRODUCT((Inputs!$C$5:$C$140=$B63)*Inputs!$D$5:$D$140*(((Inputs!$G$5:$G$140="moeda")+(Inputs!$G$5:$G$140="acoes"))*Inputs!$B$1+((Inputs!$G$5:$G$140&lt;&gt;"moeda")*(Inputs!$G$5:$G$140&lt;&gt;"acoes")))*INDEX(Inputs!$K$5:$AJ$140,0,MATCH(P$2,Inputs!$K$4:$AJ$4,0)))+SUMPRODUCT((Inputs!$E$5:$E$140=$B63)*Inputs!$F$5:$F$140*(((Inputs!$G$5:$G$140="moeda")+(Inputs!$G$5:$G$140="acoes"))*Inputs!$B$1+((Inputs!$G$5:$G$140&lt;&gt;"moeda")*(Inputs!$G$5:$G$140&lt;&gt;"acoes")))*INDEX(Inputs!$K$5:$AJ$140,0,MATCH(P$2,Inputs!$K$4:$AJ$4,0)))))</f>
        <v>0</v>
      </c>
      <c r="Q63" s="262">
        <f>IF(ISNA(MATCH(Q$2,Inputs!$K$4:$AJ$4,0)),NA(),IF(SUMPRODUCT((Inputs!$A$5:$A$140=$B63)*ISNUMBER(INDEX(Inputs!$K$5:$AJ$140,0,MATCH(Q$2,Inputs!$K$4:$AJ$4,0))))+SUMPRODUCT((Inputs!$C$5:$C$140=$B63)*ISNUMBER(INDEX(Inputs!$K$5:$AJ$140,0,MATCH(Q$2,Inputs!$K$4:$AJ$4,0))))+SUMPRODUCT((Inputs!$E$5:$E$140=$B63)*ISNUMBER(INDEX(Inputs!$K$5:$AJ$140,0,MATCH(Q$2,Inputs!$K$4:$AJ$4,0))))=0,NA(),SUMPRODUCT((Inputs!$A$5:$A$140=$B63)*Inputs!$B$5:$B$140*(((Inputs!$G$5:$G$140="moeda")+(Inputs!$G$5:$G$140="acoes"))*Inputs!$B$1+((Inputs!$G$5:$G$140&lt;&gt;"moeda")*(Inputs!$G$5:$G$140&lt;&gt;"acoes")))*INDEX(Inputs!$K$5:$AJ$140,0,MATCH(Q$2,Inputs!$K$4:$AJ$4,0)))+SUMPRODUCT((Inputs!$C$5:$C$140=$B63)*Inputs!$D$5:$D$140*(((Inputs!$G$5:$G$140="moeda")+(Inputs!$G$5:$G$140="acoes"))*Inputs!$B$1+((Inputs!$G$5:$G$140&lt;&gt;"moeda")*(Inputs!$G$5:$G$140&lt;&gt;"acoes")))*INDEX(Inputs!$K$5:$AJ$140,0,MATCH(Q$2,Inputs!$K$4:$AJ$4,0)))+SUMPRODUCT((Inputs!$E$5:$E$140=$B63)*Inputs!$F$5:$F$140*(((Inputs!$G$5:$G$140="moeda")+(Inputs!$G$5:$G$140="acoes"))*Inputs!$B$1+((Inputs!$G$5:$G$140&lt;&gt;"moeda")*(Inputs!$G$5:$G$140&lt;&gt;"acoes")))*INDEX(Inputs!$K$5:$AJ$140,0,MATCH(Q$2,Inputs!$K$4:$AJ$4,0)))))</f>
        <v>0</v>
      </c>
      <c r="R63" s="263">
        <f>Q63</f>
        <v>0</v>
      </c>
      <c r="S63" s="262">
        <f>IF(ISNA(MATCH(S$2,Inputs!$K$4:$AJ$4,0)),NA(),IF(SUMPRODUCT((Inputs!$A$5:$A$140=$B63)*ISNUMBER(INDEX(Inputs!$K$5:$AJ$140,0,MATCH(S$2,Inputs!$K$4:$AJ$4,0))))+SUMPRODUCT((Inputs!$C$5:$C$140=$B63)*ISNUMBER(INDEX(Inputs!$K$5:$AJ$140,0,MATCH(S$2,Inputs!$K$4:$AJ$4,0))))+SUMPRODUCT((Inputs!$E$5:$E$140=$B63)*ISNUMBER(INDEX(Inputs!$K$5:$AJ$140,0,MATCH(S$2,Inputs!$K$4:$AJ$4,0))))=0,NA(),SUMPRODUCT((Inputs!$A$5:$A$140=$B63)*Inputs!$B$5:$B$140*(((Inputs!$G$5:$G$140="moeda")+(Inputs!$G$5:$G$140="acoes"))*Inputs!$B$1+((Inputs!$G$5:$G$140&lt;&gt;"moeda")*(Inputs!$G$5:$G$140&lt;&gt;"acoes")))*INDEX(Inputs!$K$5:$AJ$140,0,MATCH(S$2,Inputs!$K$4:$AJ$4,0)))+SUMPRODUCT((Inputs!$C$5:$C$140=$B63)*Inputs!$D$5:$D$140*(((Inputs!$G$5:$G$140="moeda")+(Inputs!$G$5:$G$140="acoes"))*Inputs!$B$1+((Inputs!$G$5:$G$140&lt;&gt;"moeda")*(Inputs!$G$5:$G$140&lt;&gt;"acoes")))*INDEX(Inputs!$K$5:$AJ$140,0,MATCH(S$2,Inputs!$K$4:$AJ$4,0)))+SUMPRODUCT((Inputs!$E$5:$E$140=$B63)*Inputs!$F$5:$F$140*(((Inputs!$G$5:$G$140="moeda")+(Inputs!$G$5:$G$140="acoes"))*Inputs!$B$1+((Inputs!$G$5:$G$140&lt;&gt;"moeda")*(Inputs!$G$5:$G$140&lt;&gt;"acoes")))*INDEX(Inputs!$K$5:$AJ$140,0,MATCH(S$2,Inputs!$K$4:$AJ$4,0)))))</f>
        <v>0</v>
      </c>
      <c r="T63" s="262">
        <f>IF(ISNA(MATCH(T$2,Inputs!$K$4:$AJ$4,0)),NA(),IF(SUMPRODUCT((Inputs!$A$5:$A$140=$B63)*ISNUMBER(INDEX(Inputs!$K$5:$AJ$140,0,MATCH(T$2,Inputs!$K$4:$AJ$4,0))))+SUMPRODUCT((Inputs!$C$5:$C$140=$B63)*ISNUMBER(INDEX(Inputs!$K$5:$AJ$140,0,MATCH(T$2,Inputs!$K$4:$AJ$4,0))))+SUMPRODUCT((Inputs!$E$5:$E$140=$B63)*ISNUMBER(INDEX(Inputs!$K$5:$AJ$140,0,MATCH(T$2,Inputs!$K$4:$AJ$4,0))))=0,NA(),SUMPRODUCT((Inputs!$A$5:$A$140=$B63)*Inputs!$B$5:$B$140*(((Inputs!$G$5:$G$140="moeda")+(Inputs!$G$5:$G$140="acoes"))*Inputs!$B$1+((Inputs!$G$5:$G$140&lt;&gt;"moeda")*(Inputs!$G$5:$G$140&lt;&gt;"acoes")))*INDEX(Inputs!$K$5:$AJ$140,0,MATCH(T$2,Inputs!$K$4:$AJ$4,0)))+SUMPRODUCT((Inputs!$C$5:$C$140=$B63)*Inputs!$D$5:$D$140*(((Inputs!$G$5:$G$140="moeda")+(Inputs!$G$5:$G$140="acoes"))*Inputs!$B$1+((Inputs!$G$5:$G$140&lt;&gt;"moeda")*(Inputs!$G$5:$G$140&lt;&gt;"acoes")))*INDEX(Inputs!$K$5:$AJ$140,0,MATCH(T$2,Inputs!$K$4:$AJ$4,0)))+SUMPRODUCT((Inputs!$E$5:$E$140=$B63)*Inputs!$F$5:$F$140*(((Inputs!$G$5:$G$140="moeda")+(Inputs!$G$5:$G$140="acoes"))*Inputs!$B$1+((Inputs!$G$5:$G$140&lt;&gt;"moeda")*(Inputs!$G$5:$G$140&lt;&gt;"acoes")))*INDEX(Inputs!$K$5:$AJ$140,0,MATCH(T$2,Inputs!$K$4:$AJ$4,0)))))</f>
        <v>0</v>
      </c>
      <c r="U63" s="262">
        <f>IF(ISNA(MATCH(U$2,Inputs!$K$4:$AJ$4,0)),NA(),IF(SUMPRODUCT((Inputs!$A$5:$A$140=$B63)*ISNUMBER(INDEX(Inputs!$K$5:$AJ$140,0,MATCH(U$2,Inputs!$K$4:$AJ$4,0))))+SUMPRODUCT((Inputs!$C$5:$C$140=$B63)*ISNUMBER(INDEX(Inputs!$K$5:$AJ$140,0,MATCH(U$2,Inputs!$K$4:$AJ$4,0))))+SUMPRODUCT((Inputs!$E$5:$E$140=$B63)*ISNUMBER(INDEX(Inputs!$K$5:$AJ$140,0,MATCH(U$2,Inputs!$K$4:$AJ$4,0))))=0,NA(),SUMPRODUCT((Inputs!$A$5:$A$140=$B63)*Inputs!$B$5:$B$140*(((Inputs!$G$5:$G$140="moeda")+(Inputs!$G$5:$G$140="acoes"))*Inputs!$B$1+((Inputs!$G$5:$G$140&lt;&gt;"moeda")*(Inputs!$G$5:$G$140&lt;&gt;"acoes")))*INDEX(Inputs!$K$5:$AJ$140,0,MATCH(U$2,Inputs!$K$4:$AJ$4,0)))+SUMPRODUCT((Inputs!$C$5:$C$140=$B63)*Inputs!$D$5:$D$140*(((Inputs!$G$5:$G$140="moeda")+(Inputs!$G$5:$G$140="acoes"))*Inputs!$B$1+((Inputs!$G$5:$G$140&lt;&gt;"moeda")*(Inputs!$G$5:$G$140&lt;&gt;"acoes")))*INDEX(Inputs!$K$5:$AJ$140,0,MATCH(U$2,Inputs!$K$4:$AJ$4,0)))+SUMPRODUCT((Inputs!$E$5:$E$140=$B63)*Inputs!$F$5:$F$140*(((Inputs!$G$5:$G$140="moeda")+(Inputs!$G$5:$G$140="acoes"))*Inputs!$B$1+((Inputs!$G$5:$G$140&lt;&gt;"moeda")*(Inputs!$G$5:$G$140&lt;&gt;"acoes")))*INDEX(Inputs!$K$5:$AJ$140,0,MATCH(U$2,Inputs!$K$4:$AJ$4,0)))))</f>
        <v>0</v>
      </c>
      <c r="V63" s="262">
        <f>IF(ISNA(MATCH(V$2,Inputs!$K$4:$AJ$4,0)),NA(),IF(SUMPRODUCT((Inputs!$A$5:$A$140=$B63)*ISNUMBER(INDEX(Inputs!$K$5:$AJ$140,0,MATCH(V$2,Inputs!$K$4:$AJ$4,0))))+SUMPRODUCT((Inputs!$C$5:$C$140=$B63)*ISNUMBER(INDEX(Inputs!$K$5:$AJ$140,0,MATCH(V$2,Inputs!$K$4:$AJ$4,0))))+SUMPRODUCT((Inputs!$E$5:$E$140=$B63)*ISNUMBER(INDEX(Inputs!$K$5:$AJ$140,0,MATCH(V$2,Inputs!$K$4:$AJ$4,0))))=0,NA(),SUMPRODUCT((Inputs!$A$5:$A$140=$B63)*Inputs!$B$5:$B$140*(((Inputs!$G$5:$G$140="moeda")+(Inputs!$G$5:$G$140="acoes"))*Inputs!$B$1+((Inputs!$G$5:$G$140&lt;&gt;"moeda")*(Inputs!$G$5:$G$140&lt;&gt;"acoes")))*INDEX(Inputs!$K$5:$AJ$140,0,MATCH(V$2,Inputs!$K$4:$AJ$4,0)))+SUMPRODUCT((Inputs!$C$5:$C$140=$B63)*Inputs!$D$5:$D$140*(((Inputs!$G$5:$G$140="moeda")+(Inputs!$G$5:$G$140="acoes"))*Inputs!$B$1+((Inputs!$G$5:$G$140&lt;&gt;"moeda")*(Inputs!$G$5:$G$140&lt;&gt;"acoes")))*INDEX(Inputs!$K$5:$AJ$140,0,MATCH(V$2,Inputs!$K$4:$AJ$4,0)))+SUMPRODUCT((Inputs!$E$5:$E$140=$B63)*Inputs!$F$5:$F$140*(((Inputs!$G$5:$G$140="moeda")+(Inputs!$G$5:$G$140="acoes"))*Inputs!$B$1+((Inputs!$G$5:$G$140&lt;&gt;"moeda")*(Inputs!$G$5:$G$140&lt;&gt;"acoes")))*INDEX(Inputs!$K$5:$AJ$140,0,MATCH(V$2,Inputs!$K$4:$AJ$4,0)))))</f>
        <v>0</v>
      </c>
      <c r="W63" s="263">
        <f>V63</f>
        <v>0</v>
      </c>
      <c r="X63" s="262">
        <f>IF(ISNA(MATCH(X$2,Inputs!$K$4:$AJ$4,0)),NA(),IF(SUMPRODUCT((Inputs!$A$5:$A$140=$B63)*ISNUMBER(INDEX(Inputs!$K$5:$AJ$140,0,MATCH(X$2,Inputs!$K$4:$AJ$4,0))))+SUMPRODUCT((Inputs!$C$5:$C$140=$B63)*ISNUMBER(INDEX(Inputs!$K$5:$AJ$140,0,MATCH(X$2,Inputs!$K$4:$AJ$4,0))))+SUMPRODUCT((Inputs!$E$5:$E$140=$B63)*ISNUMBER(INDEX(Inputs!$K$5:$AJ$140,0,MATCH(X$2,Inputs!$K$4:$AJ$4,0))))=0,NA(),SUMPRODUCT((Inputs!$A$5:$A$140=$B63)*Inputs!$B$5:$B$140*(((Inputs!$G$5:$G$140="moeda")+(Inputs!$G$5:$G$140="acoes"))*Inputs!$B$1+((Inputs!$G$5:$G$140&lt;&gt;"moeda")*(Inputs!$G$5:$G$140&lt;&gt;"acoes")))*INDEX(Inputs!$K$5:$AJ$140,0,MATCH(X$2,Inputs!$K$4:$AJ$4,0)))+SUMPRODUCT((Inputs!$C$5:$C$140=$B63)*Inputs!$D$5:$D$140*(((Inputs!$G$5:$G$140="moeda")+(Inputs!$G$5:$G$140="acoes"))*Inputs!$B$1+((Inputs!$G$5:$G$140&lt;&gt;"moeda")*(Inputs!$G$5:$G$140&lt;&gt;"acoes")))*INDEX(Inputs!$K$5:$AJ$140,0,MATCH(X$2,Inputs!$K$4:$AJ$4,0)))+SUMPRODUCT((Inputs!$E$5:$E$140=$B63)*Inputs!$F$5:$F$140*(((Inputs!$G$5:$G$140="moeda")+(Inputs!$G$5:$G$140="acoes"))*Inputs!$B$1+((Inputs!$G$5:$G$140&lt;&gt;"moeda")*(Inputs!$G$5:$G$140&lt;&gt;"acoes")))*INDEX(Inputs!$K$5:$AJ$140,0,MATCH(X$2,Inputs!$K$4:$AJ$4,0)))))</f>
        <v>0</v>
      </c>
      <c r="Y63" s="262">
        <f>IF(ISNA(MATCH(Y$2,Inputs!$K$4:$AJ$4,0)),NA(),IF(SUMPRODUCT((Inputs!$A$5:$A$140=$B63)*ISNUMBER(INDEX(Inputs!$K$5:$AJ$140,0,MATCH(Y$2,Inputs!$K$4:$AJ$4,0))))+SUMPRODUCT((Inputs!$C$5:$C$140=$B63)*ISNUMBER(INDEX(Inputs!$K$5:$AJ$140,0,MATCH(Y$2,Inputs!$K$4:$AJ$4,0))))+SUMPRODUCT((Inputs!$E$5:$E$140=$B63)*ISNUMBER(INDEX(Inputs!$K$5:$AJ$140,0,MATCH(Y$2,Inputs!$K$4:$AJ$4,0))))=0,NA(),SUMPRODUCT((Inputs!$A$5:$A$140=$B63)*Inputs!$B$5:$B$140*(((Inputs!$G$5:$G$140="moeda")+(Inputs!$G$5:$G$140="acoes"))*Inputs!$B$1+((Inputs!$G$5:$G$140&lt;&gt;"moeda")*(Inputs!$G$5:$G$140&lt;&gt;"acoes")))*INDEX(Inputs!$K$5:$AJ$140,0,MATCH(Y$2,Inputs!$K$4:$AJ$4,0)))+SUMPRODUCT((Inputs!$C$5:$C$140=$B63)*Inputs!$D$5:$D$140*(((Inputs!$G$5:$G$140="moeda")+(Inputs!$G$5:$G$140="acoes"))*Inputs!$B$1+((Inputs!$G$5:$G$140&lt;&gt;"moeda")*(Inputs!$G$5:$G$140&lt;&gt;"acoes")))*INDEX(Inputs!$K$5:$AJ$140,0,MATCH(Y$2,Inputs!$K$4:$AJ$4,0)))+SUMPRODUCT((Inputs!$E$5:$E$140=$B63)*Inputs!$F$5:$F$140*(((Inputs!$G$5:$G$140="moeda")+(Inputs!$G$5:$G$140="acoes"))*Inputs!$B$1+((Inputs!$G$5:$G$140&lt;&gt;"moeda")*(Inputs!$G$5:$G$140&lt;&gt;"acoes")))*INDEX(Inputs!$K$5:$AJ$140,0,MATCH(Y$2,Inputs!$K$4:$AJ$4,0)))))</f>
        <v>0</v>
      </c>
      <c r="Z63" s="262">
        <f>IF(ISNA(MATCH(Z$2,Inputs!$K$4:$AJ$4,0)),NA(),IF(SUMPRODUCT((Inputs!$A$5:$A$140=$B63)*ISNUMBER(INDEX(Inputs!$K$5:$AJ$140,0,MATCH(Z$2,Inputs!$K$4:$AJ$4,0))))+SUMPRODUCT((Inputs!$C$5:$C$140=$B63)*ISNUMBER(INDEX(Inputs!$K$5:$AJ$140,0,MATCH(Z$2,Inputs!$K$4:$AJ$4,0))))+SUMPRODUCT((Inputs!$E$5:$E$140=$B63)*ISNUMBER(INDEX(Inputs!$K$5:$AJ$140,0,MATCH(Z$2,Inputs!$K$4:$AJ$4,0))))=0,NA(),SUMPRODUCT((Inputs!$A$5:$A$140=$B63)*Inputs!$B$5:$B$140*(((Inputs!$G$5:$G$140="moeda")+(Inputs!$G$5:$G$140="acoes"))*Inputs!$B$1+((Inputs!$G$5:$G$140&lt;&gt;"moeda")*(Inputs!$G$5:$G$140&lt;&gt;"acoes")))*INDEX(Inputs!$K$5:$AJ$140,0,MATCH(Z$2,Inputs!$K$4:$AJ$4,0)))+SUMPRODUCT((Inputs!$C$5:$C$140=$B63)*Inputs!$D$5:$D$140*(((Inputs!$G$5:$G$140="moeda")+(Inputs!$G$5:$G$140="acoes"))*Inputs!$B$1+((Inputs!$G$5:$G$140&lt;&gt;"moeda")*(Inputs!$G$5:$G$140&lt;&gt;"acoes")))*INDEX(Inputs!$K$5:$AJ$140,0,MATCH(Z$2,Inputs!$K$4:$AJ$4,0)))+SUMPRODUCT((Inputs!$E$5:$E$140=$B63)*Inputs!$F$5:$F$140*(((Inputs!$G$5:$G$140="moeda")+(Inputs!$G$5:$G$140="acoes"))*Inputs!$B$1+((Inputs!$G$5:$G$140&lt;&gt;"moeda")*(Inputs!$G$5:$G$140&lt;&gt;"acoes")))*INDEX(Inputs!$K$5:$AJ$140,0,MATCH(Z$2,Inputs!$K$4:$AJ$4,0)))))</f>
        <v>0</v>
      </c>
      <c r="AA63" s="262">
        <f>IF(ISNA(MATCH(AA$2,Inputs!$K$4:$AJ$4,0)),NA(),IF(SUMPRODUCT((Inputs!$A$5:$A$140=$B63)*ISNUMBER(INDEX(Inputs!$K$5:$AJ$140,0,MATCH(AA$2,Inputs!$K$4:$AJ$4,0))))+SUMPRODUCT((Inputs!$C$5:$C$140=$B63)*ISNUMBER(INDEX(Inputs!$K$5:$AJ$140,0,MATCH(AA$2,Inputs!$K$4:$AJ$4,0))))+SUMPRODUCT((Inputs!$E$5:$E$140=$B63)*ISNUMBER(INDEX(Inputs!$K$5:$AJ$140,0,MATCH(AA$2,Inputs!$K$4:$AJ$4,0))))=0,NA(),SUMPRODUCT((Inputs!$A$5:$A$140=$B63)*Inputs!$B$5:$B$140*(((Inputs!$G$5:$G$140="moeda")+(Inputs!$G$5:$G$140="acoes"))*Inputs!$B$1+((Inputs!$G$5:$G$140&lt;&gt;"moeda")*(Inputs!$G$5:$G$140&lt;&gt;"acoes")))*INDEX(Inputs!$K$5:$AJ$140,0,MATCH(AA$2,Inputs!$K$4:$AJ$4,0)))+SUMPRODUCT((Inputs!$C$5:$C$140=$B63)*Inputs!$D$5:$D$140*(((Inputs!$G$5:$G$140="moeda")+(Inputs!$G$5:$G$140="acoes"))*Inputs!$B$1+((Inputs!$G$5:$G$140&lt;&gt;"moeda")*(Inputs!$G$5:$G$140&lt;&gt;"acoes")))*INDEX(Inputs!$K$5:$AJ$140,0,MATCH(AA$2,Inputs!$K$4:$AJ$4,0)))+SUMPRODUCT((Inputs!$E$5:$E$140=$B63)*Inputs!$F$5:$F$140*(((Inputs!$G$5:$G$140="moeda")+(Inputs!$G$5:$G$140="acoes"))*Inputs!$B$1+((Inputs!$G$5:$G$140&lt;&gt;"moeda")*(Inputs!$G$5:$G$140&lt;&gt;"acoes")))*INDEX(Inputs!$K$5:$AJ$140,0,MATCH(AA$2,Inputs!$K$4:$AJ$4,0)))))</f>
        <v>0</v>
      </c>
      <c r="AB63" s="263">
        <f>AA63</f>
        <v>0</v>
      </c>
      <c r="AC63" s="262">
        <f>IF(ISNA(MATCH(AC$2,Inputs!$K$4:$AJ$4,0)),NA(),IF(SUMPRODUCT((Inputs!$A$5:$A$140=$B63)*ISNUMBER(INDEX(Inputs!$K$5:$AJ$140,0,MATCH(AC$2,Inputs!$K$4:$AJ$4,0))))+SUMPRODUCT((Inputs!$C$5:$C$140=$B63)*ISNUMBER(INDEX(Inputs!$K$5:$AJ$140,0,MATCH(AC$2,Inputs!$K$4:$AJ$4,0))))+SUMPRODUCT((Inputs!$E$5:$E$140=$B63)*ISNUMBER(INDEX(Inputs!$K$5:$AJ$140,0,MATCH(AC$2,Inputs!$K$4:$AJ$4,0))))=0,NA(),SUMPRODUCT((Inputs!$A$5:$A$140=$B63)*Inputs!$B$5:$B$140*(((Inputs!$G$5:$G$140="moeda")+(Inputs!$G$5:$G$140="acoes"))*Inputs!$B$1+((Inputs!$G$5:$G$140&lt;&gt;"moeda")*(Inputs!$G$5:$G$140&lt;&gt;"acoes")))*INDEX(Inputs!$K$5:$AJ$140,0,MATCH(AC$2,Inputs!$K$4:$AJ$4,0)))+SUMPRODUCT((Inputs!$C$5:$C$140=$B63)*Inputs!$D$5:$D$140*(((Inputs!$G$5:$G$140="moeda")+(Inputs!$G$5:$G$140="acoes"))*Inputs!$B$1+((Inputs!$G$5:$G$140&lt;&gt;"moeda")*(Inputs!$G$5:$G$140&lt;&gt;"acoes")))*INDEX(Inputs!$K$5:$AJ$140,0,MATCH(AC$2,Inputs!$K$4:$AJ$4,0)))+SUMPRODUCT((Inputs!$E$5:$E$140=$B63)*Inputs!$F$5:$F$140*(((Inputs!$G$5:$G$140="moeda")+(Inputs!$G$5:$G$140="acoes"))*Inputs!$B$1+((Inputs!$G$5:$G$140&lt;&gt;"moeda")*(Inputs!$G$5:$G$140&lt;&gt;"acoes")))*INDEX(Inputs!$K$5:$AJ$140,0,MATCH(AC$2,Inputs!$K$4:$AJ$4,0)))))</f>
        <v>0</v>
      </c>
      <c r="AD63" s="262">
        <f>IF(ISNA(MATCH(AD$2,Inputs!$K$4:$AJ$4,0)),NA(),IF(SUMPRODUCT((Inputs!$A$5:$A$140=$B63)*ISNUMBER(INDEX(Inputs!$K$5:$AJ$140,0,MATCH(AD$2,Inputs!$K$4:$AJ$4,0))))+SUMPRODUCT((Inputs!$C$5:$C$140=$B63)*ISNUMBER(INDEX(Inputs!$K$5:$AJ$140,0,MATCH(AD$2,Inputs!$K$4:$AJ$4,0))))+SUMPRODUCT((Inputs!$E$5:$E$140=$B63)*ISNUMBER(INDEX(Inputs!$K$5:$AJ$140,0,MATCH(AD$2,Inputs!$K$4:$AJ$4,0))))=0,NA(),SUMPRODUCT((Inputs!$A$5:$A$140=$B63)*Inputs!$B$5:$B$140*(((Inputs!$G$5:$G$140="moeda")+(Inputs!$G$5:$G$140="acoes"))*Inputs!$B$1+((Inputs!$G$5:$G$140&lt;&gt;"moeda")*(Inputs!$G$5:$G$140&lt;&gt;"acoes")))*INDEX(Inputs!$K$5:$AJ$140,0,MATCH(AD$2,Inputs!$K$4:$AJ$4,0)))+SUMPRODUCT((Inputs!$C$5:$C$140=$B63)*Inputs!$D$5:$D$140*(((Inputs!$G$5:$G$140="moeda")+(Inputs!$G$5:$G$140="acoes"))*Inputs!$B$1+((Inputs!$G$5:$G$140&lt;&gt;"moeda")*(Inputs!$G$5:$G$140&lt;&gt;"acoes")))*INDEX(Inputs!$K$5:$AJ$140,0,MATCH(AD$2,Inputs!$K$4:$AJ$4,0)))+SUMPRODUCT((Inputs!$E$5:$E$140=$B63)*Inputs!$F$5:$F$140*(((Inputs!$G$5:$G$140="moeda")+(Inputs!$G$5:$G$140="acoes"))*Inputs!$B$1+((Inputs!$G$5:$G$140&lt;&gt;"moeda")*(Inputs!$G$5:$G$140&lt;&gt;"acoes")))*INDEX(Inputs!$K$5:$AJ$140,0,MATCH(AD$2,Inputs!$K$4:$AJ$4,0)))))</f>
        <v>1</v>
      </c>
      <c r="AE63" s="262" t="e">
        <f>IF(ISNA(MATCH(AE$2,Inputs!$K$4:$AJ$4,0)),NA(),IF(SUMPRODUCT((Inputs!$A$5:$A$140=$B63)*ISNUMBER(INDEX(Inputs!$K$5:$AJ$140,0,MATCH(AE$2,Inputs!$K$4:$AJ$4,0))))+SUMPRODUCT((Inputs!$C$5:$C$140=$B63)*ISNUMBER(INDEX(Inputs!$K$5:$AJ$140,0,MATCH(AE$2,Inputs!$K$4:$AJ$4,0))))+SUMPRODUCT((Inputs!$E$5:$E$140=$B63)*ISNUMBER(INDEX(Inputs!$K$5:$AJ$140,0,MATCH(AE$2,Inputs!$K$4:$AJ$4,0))))=0,NA(),SUMPRODUCT((Inputs!$A$5:$A$140=$B63)*Inputs!$B$5:$B$140*(((Inputs!$G$5:$G$140="moeda")+(Inputs!$G$5:$G$140="acoes"))*Inputs!$B$1+((Inputs!$G$5:$G$140&lt;&gt;"moeda")*(Inputs!$G$5:$G$140&lt;&gt;"acoes")))*INDEX(Inputs!$K$5:$AJ$140,0,MATCH(AE$2,Inputs!$K$4:$AJ$4,0)))+SUMPRODUCT((Inputs!$C$5:$C$140=$B63)*Inputs!$D$5:$D$140*(((Inputs!$G$5:$G$140="moeda")+(Inputs!$G$5:$G$140="acoes"))*Inputs!$B$1+((Inputs!$G$5:$G$140&lt;&gt;"moeda")*(Inputs!$G$5:$G$140&lt;&gt;"acoes")))*INDEX(Inputs!$K$5:$AJ$140,0,MATCH(AE$2,Inputs!$K$4:$AJ$4,0)))+SUMPRODUCT((Inputs!$E$5:$E$140=$B63)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3" s="262" t="e">
        <f>IF(ISNA(MATCH(AF$2,Inputs!$K$4:$AJ$4,0)),NA(),IF(SUMPRODUCT((Inputs!$A$5:$A$140=$B63)*ISNUMBER(INDEX(Inputs!$K$5:$AJ$140,0,MATCH(AF$2,Inputs!$K$4:$AJ$4,0))))+SUMPRODUCT((Inputs!$C$5:$C$140=$B63)*ISNUMBER(INDEX(Inputs!$K$5:$AJ$140,0,MATCH(AF$2,Inputs!$K$4:$AJ$4,0))))+SUMPRODUCT((Inputs!$E$5:$E$140=$B63)*ISNUMBER(INDEX(Inputs!$K$5:$AJ$140,0,MATCH(AF$2,Inputs!$K$4:$AJ$4,0))))=0,NA(),SUMPRODUCT((Inputs!$A$5:$A$140=$B63)*Inputs!$B$5:$B$140*(((Inputs!$G$5:$G$140="moeda")+(Inputs!$G$5:$G$140="acoes"))*Inputs!$B$1+((Inputs!$G$5:$G$140&lt;&gt;"moeda")*(Inputs!$G$5:$G$140&lt;&gt;"acoes")))*INDEX(Inputs!$K$5:$AJ$140,0,MATCH(AF$2,Inputs!$K$4:$AJ$4,0)))+SUMPRODUCT((Inputs!$C$5:$C$140=$B63)*Inputs!$D$5:$D$140*(((Inputs!$G$5:$G$140="moeda")+(Inputs!$G$5:$G$140="acoes"))*Inputs!$B$1+((Inputs!$G$5:$G$140&lt;&gt;"moeda")*(Inputs!$G$5:$G$140&lt;&gt;"acoes")))*INDEX(Inputs!$K$5:$AJ$140,0,MATCH(AF$2,Inputs!$K$4:$AJ$4,0)))+SUMPRODUCT((Inputs!$E$5:$E$140=$B63)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3" s="263" t="e">
        <f>AF63</f>
        <v>#N/A</v>
      </c>
      <c r="AH63" s="262">
        <f>IF(ISNA(MATCH(AH$2,Inputs!$K$4:$AJ$4,0)),NA(),IF(SUMPRODUCT((Inputs!$A$5:$A$140=$B63)*ISNUMBER(INDEX(Inputs!$K$5:$AJ$140,0,MATCH(AH$2,Inputs!$K$4:$AJ$4,0))))+SUMPRODUCT((Inputs!$C$5:$C$140=$B63)*ISNUMBER(INDEX(Inputs!$K$5:$AJ$140,0,MATCH(AH$2,Inputs!$K$4:$AJ$4,0))))+SUMPRODUCT((Inputs!$E$5:$E$140=$B63)*ISNUMBER(INDEX(Inputs!$K$5:$AJ$140,0,MATCH(AH$2,Inputs!$K$4:$AJ$4,0))))=0,NA(),SUMPRODUCT((Inputs!$A$5:$A$140=$B63)*Inputs!$B$5:$B$140*(((Inputs!$G$5:$G$140="moeda")+(Inputs!$G$5:$G$140="acoes"))*Inputs!$B$1+((Inputs!$G$5:$G$140&lt;&gt;"moeda")*(Inputs!$G$5:$G$140&lt;&gt;"acoes")))*INDEX(Inputs!$K$5:$AJ$140,0,MATCH(AH$2,Inputs!$K$4:$AJ$4,0)))+SUMPRODUCT((Inputs!$C$5:$C$140=$B63)*Inputs!$D$5:$D$140*(((Inputs!$G$5:$G$140="moeda")+(Inputs!$G$5:$G$140="acoes"))*Inputs!$B$1+((Inputs!$G$5:$G$140&lt;&gt;"moeda")*(Inputs!$G$5:$G$140&lt;&gt;"acoes")))*INDEX(Inputs!$K$5:$AJ$140,0,MATCH(AH$2,Inputs!$K$4:$AJ$4,0)))+SUMPRODUCT((Inputs!$E$5:$E$140=$B63)*Inputs!$F$5:$F$140*(((Inputs!$G$5:$G$140="moeda")+(Inputs!$G$5:$G$140="acoes"))*Inputs!$B$1+((Inputs!$G$5:$G$140&lt;&gt;"moeda")*(Inputs!$G$5:$G$140&lt;&gt;"acoes")))*INDEX(Inputs!$K$5:$AJ$140,0,MATCH(AH$2,Inputs!$K$4:$AJ$4,0)))))</f>
        <v>0</v>
      </c>
      <c r="AI63" s="262">
        <f>IF(ISNA(MATCH(AI$2,Inputs!$K$4:$AJ$4,0)),NA(),IF(SUMPRODUCT((Inputs!$A$5:$A$140=$B63)*ISNUMBER(INDEX(Inputs!$K$5:$AJ$140,0,MATCH(AI$2,Inputs!$K$4:$AJ$4,0))))+SUMPRODUCT((Inputs!$C$5:$C$140=$B63)*ISNUMBER(INDEX(Inputs!$K$5:$AJ$140,0,MATCH(AI$2,Inputs!$K$4:$AJ$4,0))))+SUMPRODUCT((Inputs!$E$5:$E$140=$B63)*ISNUMBER(INDEX(Inputs!$K$5:$AJ$140,0,MATCH(AI$2,Inputs!$K$4:$AJ$4,0))))=0,NA(),SUMPRODUCT((Inputs!$A$5:$A$140=$B63)*Inputs!$B$5:$B$140*(((Inputs!$G$5:$G$140="moeda")+(Inputs!$G$5:$G$140="acoes"))*Inputs!$B$1+((Inputs!$G$5:$G$140&lt;&gt;"moeda")*(Inputs!$G$5:$G$140&lt;&gt;"acoes")))*INDEX(Inputs!$K$5:$AJ$140,0,MATCH(AI$2,Inputs!$K$4:$AJ$4,0)))+SUMPRODUCT((Inputs!$C$5:$C$140=$B63)*Inputs!$D$5:$D$140*(((Inputs!$G$5:$G$140="moeda")+(Inputs!$G$5:$G$140="acoes"))*Inputs!$B$1+((Inputs!$G$5:$G$140&lt;&gt;"moeda")*(Inputs!$G$5:$G$140&lt;&gt;"acoes")))*INDEX(Inputs!$K$5:$AJ$140,0,MATCH(AI$2,Inputs!$K$4:$AJ$4,0)))+SUMPRODUCT((Inputs!$E$5:$E$140=$B63)*Inputs!$F$5:$F$140*(((Inputs!$G$5:$G$140="moeda")+(Inputs!$G$5:$G$140="acoes"))*Inputs!$B$1+((Inputs!$G$5:$G$140&lt;&gt;"moeda")*(Inputs!$G$5:$G$140&lt;&gt;"acoes")))*INDEX(Inputs!$K$5:$AJ$140,0,MATCH(AI$2,Inputs!$K$4:$AJ$4,0)))))</f>
        <v>0</v>
      </c>
      <c r="AJ63" s="262">
        <f>IF(ISNA(MATCH(AJ$2,Inputs!$K$4:$AJ$4,0)),NA(),IF(SUMPRODUCT((Inputs!$A$5:$A$140=$B63)*ISNUMBER(INDEX(Inputs!$K$5:$AJ$140,0,MATCH(AJ$2,Inputs!$K$4:$AJ$4,0))))+SUMPRODUCT((Inputs!$C$5:$C$140=$B63)*ISNUMBER(INDEX(Inputs!$K$5:$AJ$140,0,MATCH(AJ$2,Inputs!$K$4:$AJ$4,0))))+SUMPRODUCT((Inputs!$E$5:$E$140=$B63)*ISNUMBER(INDEX(Inputs!$K$5:$AJ$140,0,MATCH(AJ$2,Inputs!$K$4:$AJ$4,0))))=0,NA(),SUMPRODUCT((Inputs!$A$5:$A$140=$B63)*Inputs!$B$5:$B$140*(((Inputs!$G$5:$G$140="moeda")+(Inputs!$G$5:$G$140="acoes"))*Inputs!$B$1+((Inputs!$G$5:$G$140&lt;&gt;"moeda")*(Inputs!$G$5:$G$140&lt;&gt;"acoes")))*INDEX(Inputs!$K$5:$AJ$140,0,MATCH(AJ$2,Inputs!$K$4:$AJ$4,0)))+SUMPRODUCT((Inputs!$C$5:$C$140=$B63)*Inputs!$D$5:$D$140*(((Inputs!$G$5:$G$140="moeda")+(Inputs!$G$5:$G$140="acoes"))*Inputs!$B$1+((Inputs!$G$5:$G$140&lt;&gt;"moeda")*(Inputs!$G$5:$G$140&lt;&gt;"acoes")))*INDEX(Inputs!$K$5:$AJ$140,0,MATCH(AJ$2,Inputs!$K$4:$AJ$4,0)))+SUMPRODUCT((Inputs!$E$5:$E$140=$B63)*Inputs!$F$5:$F$140*(((Inputs!$G$5:$G$140="moeda")+(Inputs!$G$5:$G$140="acoes"))*Inputs!$B$1+((Inputs!$G$5:$G$140&lt;&gt;"moeda")*(Inputs!$G$5:$G$140&lt;&gt;"acoes")))*INDEX(Inputs!$K$5:$AJ$140,0,MATCH(AJ$2,Inputs!$K$4:$AJ$4,0)))))</f>
        <v>0</v>
      </c>
      <c r="AK63" s="262">
        <f>IF(ISNA(MATCH(AK$2,Inputs!$K$4:$AJ$4,0)),NA(),IF(SUMPRODUCT((Inputs!$A$5:$A$140=$B63)*ISNUMBER(INDEX(Inputs!$K$5:$AJ$140,0,MATCH(AK$2,Inputs!$K$4:$AJ$4,0))))+SUMPRODUCT((Inputs!$C$5:$C$140=$B63)*ISNUMBER(INDEX(Inputs!$K$5:$AJ$140,0,MATCH(AK$2,Inputs!$K$4:$AJ$4,0))))+SUMPRODUCT((Inputs!$E$5:$E$140=$B63)*ISNUMBER(INDEX(Inputs!$K$5:$AJ$140,0,MATCH(AK$2,Inputs!$K$4:$AJ$4,0))))=0,NA(),SUMPRODUCT((Inputs!$A$5:$A$140=$B63)*Inputs!$B$5:$B$140*(((Inputs!$G$5:$G$140="moeda")+(Inputs!$G$5:$G$140="acoes"))*Inputs!$B$1+((Inputs!$G$5:$G$140&lt;&gt;"moeda")*(Inputs!$G$5:$G$140&lt;&gt;"acoes")))*INDEX(Inputs!$K$5:$AJ$140,0,MATCH(AK$2,Inputs!$K$4:$AJ$4,0)))+SUMPRODUCT((Inputs!$C$5:$C$140=$B63)*Inputs!$D$5:$D$140*(((Inputs!$G$5:$G$140="moeda")+(Inputs!$G$5:$G$140="acoes"))*Inputs!$B$1+((Inputs!$G$5:$G$140&lt;&gt;"moeda")*(Inputs!$G$5:$G$140&lt;&gt;"acoes")))*INDEX(Inputs!$K$5:$AJ$140,0,MATCH(AK$2,Inputs!$K$4:$AJ$4,0)))+SUMPRODUCT((Inputs!$E$5:$E$140=$B63)*Inputs!$F$5:$F$140*(((Inputs!$G$5:$G$140="moeda")+(Inputs!$G$5:$G$140="acoes"))*Inputs!$B$1+((Inputs!$G$5:$G$140&lt;&gt;"moeda")*(Inputs!$G$5:$G$140&lt;&gt;"acoes")))*INDEX(Inputs!$K$5:$AJ$140,0,MATCH(AK$2,Inputs!$K$4:$AJ$4,0)))))</f>
        <v>0</v>
      </c>
      <c r="AL63" s="263">
        <f>AK63</f>
        <v>0</v>
      </c>
    </row>
    <row r="64">
      <c r="B64" s="46" t="n">
        <v>56</v>
      </c>
      <c r="C64" s="29" t="inlineStr">
        <is>
          <t>Area de vendas - Atacarejo (m2; a aba diz "mil m2" mas os valores estao em m2)</t>
        </is>
      </c>
      <c r="D64" s="262">
        <f>IF(ISNA(MATCH(D$2,Inputs!$K$4:$AJ$4,0)),NA(),IF(SUMPRODUCT((Inputs!$A$5:$A$140=$B64)*ISNUMBER(INDEX(Inputs!$K$5:$AJ$140,0,MATCH(D$2,Inputs!$K$4:$AJ$4,0))))+SUMPRODUCT((Inputs!$C$5:$C$140=$B64)*ISNUMBER(INDEX(Inputs!$K$5:$AJ$140,0,MATCH(D$2,Inputs!$K$4:$AJ$4,0))))+SUMPRODUCT((Inputs!$E$5:$E$140=$B64)*ISNUMBER(INDEX(Inputs!$K$5:$AJ$140,0,MATCH(D$2,Inputs!$K$4:$AJ$4,0))))=0,NA(),SUMPRODUCT((Inputs!$A$5:$A$140=$B64)*Inputs!$B$5:$B$140*(((Inputs!$G$5:$G$140="moeda")+(Inputs!$G$5:$G$140="acoes"))*Inputs!$B$1+((Inputs!$G$5:$G$140&lt;&gt;"moeda")*(Inputs!$G$5:$G$140&lt;&gt;"acoes")))*INDEX(Inputs!$K$5:$AJ$140,0,MATCH(D$2,Inputs!$K$4:$AJ$4,0)))+SUMPRODUCT((Inputs!$C$5:$C$140=$B64)*Inputs!$D$5:$D$140*(((Inputs!$G$5:$G$140="moeda")+(Inputs!$G$5:$G$140="acoes"))*Inputs!$B$1+((Inputs!$G$5:$G$140&lt;&gt;"moeda")*(Inputs!$G$5:$G$140&lt;&gt;"acoes")))*INDEX(Inputs!$K$5:$AJ$140,0,MATCH(D$2,Inputs!$K$4:$AJ$4,0)))+SUMPRODUCT((Inputs!$E$5:$E$140=$B64)*Inputs!$F$5:$F$140*(((Inputs!$G$5:$G$140="moeda")+(Inputs!$G$5:$G$140="acoes"))*Inputs!$B$1+((Inputs!$G$5:$G$140&lt;&gt;"moeda")*(Inputs!$G$5:$G$140&lt;&gt;"acoes")))*INDEX(Inputs!$K$5:$AJ$140,0,MATCH(D$2,Inputs!$K$4:$AJ$4,0)))))</f>
        <v>172313.3707</v>
      </c>
      <c r="E64" s="262">
        <f>IF(ISNA(MATCH(E$2,Inputs!$K$4:$AJ$4,0)),NA(),IF(SUMPRODUCT((Inputs!$A$5:$A$140=$B64)*ISNUMBER(INDEX(Inputs!$K$5:$AJ$140,0,MATCH(E$2,Inputs!$K$4:$AJ$4,0))))+SUMPRODUCT((Inputs!$C$5:$C$140=$B64)*ISNUMBER(INDEX(Inputs!$K$5:$AJ$140,0,MATCH(E$2,Inputs!$K$4:$AJ$4,0))))+SUMPRODUCT((Inputs!$E$5:$E$140=$B64)*ISNUMBER(INDEX(Inputs!$K$5:$AJ$140,0,MATCH(E$2,Inputs!$K$4:$AJ$4,0))))=0,NA(),SUMPRODUCT((Inputs!$A$5:$A$140=$B64)*Inputs!$B$5:$B$140*(((Inputs!$G$5:$G$140="moeda")+(Inputs!$G$5:$G$140="acoes"))*Inputs!$B$1+((Inputs!$G$5:$G$140&lt;&gt;"moeda")*(Inputs!$G$5:$G$140&lt;&gt;"acoes")))*INDEX(Inputs!$K$5:$AJ$140,0,MATCH(E$2,Inputs!$K$4:$AJ$4,0)))+SUMPRODUCT((Inputs!$C$5:$C$140=$B64)*Inputs!$D$5:$D$140*(((Inputs!$G$5:$G$140="moeda")+(Inputs!$G$5:$G$140="acoes"))*Inputs!$B$1+((Inputs!$G$5:$G$140&lt;&gt;"moeda")*(Inputs!$G$5:$G$140&lt;&gt;"acoes")))*INDEX(Inputs!$K$5:$AJ$140,0,MATCH(E$2,Inputs!$K$4:$AJ$4,0)))+SUMPRODUCT((Inputs!$E$5:$E$140=$B64)*Inputs!$F$5:$F$140*(((Inputs!$G$5:$G$140="moeda")+(Inputs!$G$5:$G$140="acoes"))*Inputs!$B$1+((Inputs!$G$5:$G$140&lt;&gt;"moeda")*(Inputs!$G$5:$G$140&lt;&gt;"acoes")))*INDEX(Inputs!$K$5:$AJ$140,0,MATCH(E$2,Inputs!$K$4:$AJ$4,0)))))</f>
        <v>186618.8407</v>
      </c>
      <c r="F64" s="262">
        <f>IF(ISNA(MATCH(F$2,Inputs!$K$4:$AJ$4,0)),NA(),IF(SUMPRODUCT((Inputs!$A$5:$A$140=$B64)*ISNUMBER(INDEX(Inputs!$K$5:$AJ$140,0,MATCH(F$2,Inputs!$K$4:$AJ$4,0))))+SUMPRODUCT((Inputs!$C$5:$C$140=$B64)*ISNUMBER(INDEX(Inputs!$K$5:$AJ$140,0,MATCH(F$2,Inputs!$K$4:$AJ$4,0))))+SUMPRODUCT((Inputs!$E$5:$E$140=$B64)*ISNUMBER(INDEX(Inputs!$K$5:$AJ$140,0,MATCH(F$2,Inputs!$K$4:$AJ$4,0))))=0,NA(),SUMPRODUCT((Inputs!$A$5:$A$140=$B64)*Inputs!$B$5:$B$140*(((Inputs!$G$5:$G$140="moeda")+(Inputs!$G$5:$G$140="acoes"))*Inputs!$B$1+((Inputs!$G$5:$G$140&lt;&gt;"moeda")*(Inputs!$G$5:$G$140&lt;&gt;"acoes")))*INDEX(Inputs!$K$5:$AJ$140,0,MATCH(F$2,Inputs!$K$4:$AJ$4,0)))+SUMPRODUCT((Inputs!$C$5:$C$140=$B64)*Inputs!$D$5:$D$140*(((Inputs!$G$5:$G$140="moeda")+(Inputs!$G$5:$G$140="acoes"))*Inputs!$B$1+((Inputs!$G$5:$G$140&lt;&gt;"moeda")*(Inputs!$G$5:$G$140&lt;&gt;"acoes")))*INDEX(Inputs!$K$5:$AJ$140,0,MATCH(F$2,Inputs!$K$4:$AJ$4,0)))+SUMPRODUCT((Inputs!$E$5:$E$140=$B64)*Inputs!$F$5:$F$140*(((Inputs!$G$5:$G$140="moeda")+(Inputs!$G$5:$G$140="acoes"))*Inputs!$B$1+((Inputs!$G$5:$G$140&lt;&gt;"moeda")*(Inputs!$G$5:$G$140&lt;&gt;"acoes")))*INDEX(Inputs!$K$5:$AJ$140,0,MATCH(F$2,Inputs!$K$4:$AJ$4,0)))))</f>
        <v>195258</v>
      </c>
      <c r="G64" s="262">
        <f>IF(ISNA(MATCH(G$2,Inputs!$K$4:$AJ$4,0)),NA(),IF(SUMPRODUCT((Inputs!$A$5:$A$140=$B64)*ISNUMBER(INDEX(Inputs!$K$5:$AJ$140,0,MATCH(G$2,Inputs!$K$4:$AJ$4,0))))+SUMPRODUCT((Inputs!$C$5:$C$140=$B64)*ISNUMBER(INDEX(Inputs!$K$5:$AJ$140,0,MATCH(G$2,Inputs!$K$4:$AJ$4,0))))+SUMPRODUCT((Inputs!$E$5:$E$140=$B64)*ISNUMBER(INDEX(Inputs!$K$5:$AJ$140,0,MATCH(G$2,Inputs!$K$4:$AJ$4,0))))=0,NA(),SUMPRODUCT((Inputs!$A$5:$A$140=$B64)*Inputs!$B$5:$B$140*(((Inputs!$G$5:$G$140="moeda")+(Inputs!$G$5:$G$140="acoes"))*Inputs!$B$1+((Inputs!$G$5:$G$140&lt;&gt;"moeda")*(Inputs!$G$5:$G$140&lt;&gt;"acoes")))*INDEX(Inputs!$K$5:$AJ$140,0,MATCH(G$2,Inputs!$K$4:$AJ$4,0)))+SUMPRODUCT((Inputs!$C$5:$C$140=$B64)*Inputs!$D$5:$D$140*(((Inputs!$G$5:$G$140="moeda")+(Inputs!$G$5:$G$140="acoes"))*Inputs!$B$1+((Inputs!$G$5:$G$140&lt;&gt;"moeda")*(Inputs!$G$5:$G$140&lt;&gt;"acoes")))*INDEX(Inputs!$K$5:$AJ$140,0,MATCH(G$2,Inputs!$K$4:$AJ$4,0)))+SUMPRODUCT((Inputs!$E$5:$E$140=$B64)*Inputs!$F$5:$F$140*(((Inputs!$G$5:$G$140="moeda")+(Inputs!$G$5:$G$140="acoes"))*Inputs!$B$1+((Inputs!$G$5:$G$140&lt;&gt;"moeda")*(Inputs!$G$5:$G$140&lt;&gt;"acoes")))*INDEX(Inputs!$K$5:$AJ$140,0,MATCH(G$2,Inputs!$K$4:$AJ$4,0)))))</f>
        <v>204422</v>
      </c>
      <c r="H64" s="263">
        <f>G64</f>
        <v>204422</v>
      </c>
      <c r="I64" s="262">
        <f>IF(ISNA(MATCH(I$2,Inputs!$K$4:$AJ$4,0)),NA(),IF(SUMPRODUCT((Inputs!$A$5:$A$140=$B64)*ISNUMBER(INDEX(Inputs!$K$5:$AJ$140,0,MATCH(I$2,Inputs!$K$4:$AJ$4,0))))+SUMPRODUCT((Inputs!$C$5:$C$140=$B64)*ISNUMBER(INDEX(Inputs!$K$5:$AJ$140,0,MATCH(I$2,Inputs!$K$4:$AJ$4,0))))+SUMPRODUCT((Inputs!$E$5:$E$140=$B64)*ISNUMBER(INDEX(Inputs!$K$5:$AJ$140,0,MATCH(I$2,Inputs!$K$4:$AJ$4,0))))=0,NA(),SUMPRODUCT((Inputs!$A$5:$A$140=$B64)*Inputs!$B$5:$B$140*(((Inputs!$G$5:$G$140="moeda")+(Inputs!$G$5:$G$140="acoes"))*Inputs!$B$1+((Inputs!$G$5:$G$140&lt;&gt;"moeda")*(Inputs!$G$5:$G$140&lt;&gt;"acoes")))*INDEX(Inputs!$K$5:$AJ$140,0,MATCH(I$2,Inputs!$K$4:$AJ$4,0)))+SUMPRODUCT((Inputs!$C$5:$C$140=$B64)*Inputs!$D$5:$D$140*(((Inputs!$G$5:$G$140="moeda")+(Inputs!$G$5:$G$140="acoes"))*Inputs!$B$1+((Inputs!$G$5:$G$140&lt;&gt;"moeda")*(Inputs!$G$5:$G$140&lt;&gt;"acoes")))*INDEX(Inputs!$K$5:$AJ$140,0,MATCH(I$2,Inputs!$K$4:$AJ$4,0)))+SUMPRODUCT((Inputs!$E$5:$E$140=$B64)*Inputs!$F$5:$F$140*(((Inputs!$G$5:$G$140="moeda")+(Inputs!$G$5:$G$140="acoes"))*Inputs!$B$1+((Inputs!$G$5:$G$140&lt;&gt;"moeda")*(Inputs!$G$5:$G$140&lt;&gt;"acoes")))*INDEX(Inputs!$K$5:$AJ$140,0,MATCH(I$2,Inputs!$K$4:$AJ$4,0)))))</f>
        <v>236290</v>
      </c>
      <c r="J64" s="262">
        <f>IF(ISNA(MATCH(J$2,Inputs!$K$4:$AJ$4,0)),NA(),IF(SUMPRODUCT((Inputs!$A$5:$A$140=$B64)*ISNUMBER(INDEX(Inputs!$K$5:$AJ$140,0,MATCH(J$2,Inputs!$K$4:$AJ$4,0))))+SUMPRODUCT((Inputs!$C$5:$C$140=$B64)*ISNUMBER(INDEX(Inputs!$K$5:$AJ$140,0,MATCH(J$2,Inputs!$K$4:$AJ$4,0))))+SUMPRODUCT((Inputs!$E$5:$E$140=$B64)*ISNUMBER(INDEX(Inputs!$K$5:$AJ$140,0,MATCH(J$2,Inputs!$K$4:$AJ$4,0))))=0,NA(),SUMPRODUCT((Inputs!$A$5:$A$140=$B64)*Inputs!$B$5:$B$140*(((Inputs!$G$5:$G$140="moeda")+(Inputs!$G$5:$G$140="acoes"))*Inputs!$B$1+((Inputs!$G$5:$G$140&lt;&gt;"moeda")*(Inputs!$G$5:$G$140&lt;&gt;"acoes")))*INDEX(Inputs!$K$5:$AJ$140,0,MATCH(J$2,Inputs!$K$4:$AJ$4,0)))+SUMPRODUCT((Inputs!$C$5:$C$140=$B64)*Inputs!$D$5:$D$140*(((Inputs!$G$5:$G$140="moeda")+(Inputs!$G$5:$G$140="acoes"))*Inputs!$B$1+((Inputs!$G$5:$G$140&lt;&gt;"moeda")*(Inputs!$G$5:$G$140&lt;&gt;"acoes")))*INDEX(Inputs!$K$5:$AJ$140,0,MATCH(J$2,Inputs!$K$4:$AJ$4,0)))+SUMPRODUCT((Inputs!$E$5:$E$140=$B64)*Inputs!$F$5:$F$140*(((Inputs!$G$5:$G$140="moeda")+(Inputs!$G$5:$G$140="acoes"))*Inputs!$B$1+((Inputs!$G$5:$G$140&lt;&gt;"moeda")*(Inputs!$G$5:$G$140&lt;&gt;"acoes")))*INDEX(Inputs!$K$5:$AJ$140,0,MATCH(J$2,Inputs!$K$4:$AJ$4,0)))))</f>
        <v>247402</v>
      </c>
      <c r="K64" s="262">
        <f>IF(ISNA(MATCH(K$2,Inputs!$K$4:$AJ$4,0)),NA(),IF(SUMPRODUCT((Inputs!$A$5:$A$140=$B64)*ISNUMBER(INDEX(Inputs!$K$5:$AJ$140,0,MATCH(K$2,Inputs!$K$4:$AJ$4,0))))+SUMPRODUCT((Inputs!$C$5:$C$140=$B64)*ISNUMBER(INDEX(Inputs!$K$5:$AJ$140,0,MATCH(K$2,Inputs!$K$4:$AJ$4,0))))+SUMPRODUCT((Inputs!$E$5:$E$140=$B64)*ISNUMBER(INDEX(Inputs!$K$5:$AJ$140,0,MATCH(K$2,Inputs!$K$4:$AJ$4,0))))=0,NA(),SUMPRODUCT((Inputs!$A$5:$A$140=$B64)*Inputs!$B$5:$B$140*(((Inputs!$G$5:$G$140="moeda")+(Inputs!$G$5:$G$140="acoes"))*Inputs!$B$1+((Inputs!$G$5:$G$140&lt;&gt;"moeda")*(Inputs!$G$5:$G$140&lt;&gt;"acoes")))*INDEX(Inputs!$K$5:$AJ$140,0,MATCH(K$2,Inputs!$K$4:$AJ$4,0)))+SUMPRODUCT((Inputs!$C$5:$C$140=$B64)*Inputs!$D$5:$D$140*(((Inputs!$G$5:$G$140="moeda")+(Inputs!$G$5:$G$140="acoes"))*Inputs!$B$1+((Inputs!$G$5:$G$140&lt;&gt;"moeda")*(Inputs!$G$5:$G$140&lt;&gt;"acoes")))*INDEX(Inputs!$K$5:$AJ$140,0,MATCH(K$2,Inputs!$K$4:$AJ$4,0)))+SUMPRODUCT((Inputs!$E$5:$E$140=$B64)*Inputs!$F$5:$F$140*(((Inputs!$G$5:$G$140="moeda")+(Inputs!$G$5:$G$140="acoes"))*Inputs!$B$1+((Inputs!$G$5:$G$140&lt;&gt;"moeda")*(Inputs!$G$5:$G$140&lt;&gt;"acoes")))*INDEX(Inputs!$K$5:$AJ$140,0,MATCH(K$2,Inputs!$K$4:$AJ$4,0)))))</f>
        <v>258719</v>
      </c>
      <c r="L64" s="262">
        <f>IF(ISNA(MATCH(L$2,Inputs!$K$4:$AJ$4,0)),NA(),IF(SUMPRODUCT((Inputs!$A$5:$A$140=$B64)*ISNUMBER(INDEX(Inputs!$K$5:$AJ$140,0,MATCH(L$2,Inputs!$K$4:$AJ$4,0))))+SUMPRODUCT((Inputs!$C$5:$C$140=$B64)*ISNUMBER(INDEX(Inputs!$K$5:$AJ$140,0,MATCH(L$2,Inputs!$K$4:$AJ$4,0))))+SUMPRODUCT((Inputs!$E$5:$E$140=$B64)*ISNUMBER(INDEX(Inputs!$K$5:$AJ$140,0,MATCH(L$2,Inputs!$K$4:$AJ$4,0))))=0,NA(),SUMPRODUCT((Inputs!$A$5:$A$140=$B64)*Inputs!$B$5:$B$140*(((Inputs!$G$5:$G$140="moeda")+(Inputs!$G$5:$G$140="acoes"))*Inputs!$B$1+((Inputs!$G$5:$G$140&lt;&gt;"moeda")*(Inputs!$G$5:$G$140&lt;&gt;"acoes")))*INDEX(Inputs!$K$5:$AJ$140,0,MATCH(L$2,Inputs!$K$4:$AJ$4,0)))+SUMPRODUCT((Inputs!$C$5:$C$140=$B64)*Inputs!$D$5:$D$140*(((Inputs!$G$5:$G$140="moeda")+(Inputs!$G$5:$G$140="acoes"))*Inputs!$B$1+((Inputs!$G$5:$G$140&lt;&gt;"moeda")*(Inputs!$G$5:$G$140&lt;&gt;"acoes")))*INDEX(Inputs!$K$5:$AJ$140,0,MATCH(L$2,Inputs!$K$4:$AJ$4,0)))+SUMPRODUCT((Inputs!$E$5:$E$140=$B64)*Inputs!$F$5:$F$140*(((Inputs!$G$5:$G$140="moeda")+(Inputs!$G$5:$G$140="acoes"))*Inputs!$B$1+((Inputs!$G$5:$G$140&lt;&gt;"moeda")*(Inputs!$G$5:$G$140&lt;&gt;"acoes")))*INDEX(Inputs!$K$5:$AJ$140,0,MATCH(L$2,Inputs!$K$4:$AJ$4,0)))))</f>
        <v>281028</v>
      </c>
      <c r="M64" s="263">
        <f>L64</f>
        <v>281028</v>
      </c>
      <c r="N64" s="262">
        <f>IF(ISNA(MATCH(N$2,Inputs!$K$4:$AJ$4,0)),NA(),IF(SUMPRODUCT((Inputs!$A$5:$A$140=$B64)*ISNUMBER(INDEX(Inputs!$K$5:$AJ$140,0,MATCH(N$2,Inputs!$K$4:$AJ$4,0))))+SUMPRODUCT((Inputs!$C$5:$C$140=$B64)*ISNUMBER(INDEX(Inputs!$K$5:$AJ$140,0,MATCH(N$2,Inputs!$K$4:$AJ$4,0))))+SUMPRODUCT((Inputs!$E$5:$E$140=$B64)*ISNUMBER(INDEX(Inputs!$K$5:$AJ$140,0,MATCH(N$2,Inputs!$K$4:$AJ$4,0))))=0,NA(),SUMPRODUCT((Inputs!$A$5:$A$140=$B64)*Inputs!$B$5:$B$140*(((Inputs!$G$5:$G$140="moeda")+(Inputs!$G$5:$G$140="acoes"))*Inputs!$B$1+((Inputs!$G$5:$G$140&lt;&gt;"moeda")*(Inputs!$G$5:$G$140&lt;&gt;"acoes")))*INDEX(Inputs!$K$5:$AJ$140,0,MATCH(N$2,Inputs!$K$4:$AJ$4,0)))+SUMPRODUCT((Inputs!$C$5:$C$140=$B64)*Inputs!$D$5:$D$140*(((Inputs!$G$5:$G$140="moeda")+(Inputs!$G$5:$G$140="acoes"))*Inputs!$B$1+((Inputs!$G$5:$G$140&lt;&gt;"moeda")*(Inputs!$G$5:$G$140&lt;&gt;"acoes")))*INDEX(Inputs!$K$5:$AJ$140,0,MATCH(N$2,Inputs!$K$4:$AJ$4,0)))+SUMPRODUCT((Inputs!$E$5:$E$140=$B64)*Inputs!$F$5:$F$140*(((Inputs!$G$5:$G$140="moeda")+(Inputs!$G$5:$G$140="acoes"))*Inputs!$B$1+((Inputs!$G$5:$G$140&lt;&gt;"moeda")*(Inputs!$G$5:$G$140&lt;&gt;"acoes")))*INDEX(Inputs!$K$5:$AJ$140,0,MATCH(N$2,Inputs!$K$4:$AJ$4,0)))))</f>
        <v>297424.3507</v>
      </c>
      <c r="O64" s="262">
        <f>IF(ISNA(MATCH(O$2,Inputs!$K$4:$AJ$4,0)),NA(),IF(SUMPRODUCT((Inputs!$A$5:$A$140=$B64)*ISNUMBER(INDEX(Inputs!$K$5:$AJ$140,0,MATCH(O$2,Inputs!$K$4:$AJ$4,0))))+SUMPRODUCT((Inputs!$C$5:$C$140=$B64)*ISNUMBER(INDEX(Inputs!$K$5:$AJ$140,0,MATCH(O$2,Inputs!$K$4:$AJ$4,0))))+SUMPRODUCT((Inputs!$E$5:$E$140=$B64)*ISNUMBER(INDEX(Inputs!$K$5:$AJ$140,0,MATCH(O$2,Inputs!$K$4:$AJ$4,0))))=0,NA(),SUMPRODUCT((Inputs!$A$5:$A$140=$B64)*Inputs!$B$5:$B$140*(((Inputs!$G$5:$G$140="moeda")+(Inputs!$G$5:$G$140="acoes"))*Inputs!$B$1+((Inputs!$G$5:$G$140&lt;&gt;"moeda")*(Inputs!$G$5:$G$140&lt;&gt;"acoes")))*INDEX(Inputs!$K$5:$AJ$140,0,MATCH(O$2,Inputs!$K$4:$AJ$4,0)))+SUMPRODUCT((Inputs!$C$5:$C$140=$B64)*Inputs!$D$5:$D$140*(((Inputs!$G$5:$G$140="moeda")+(Inputs!$G$5:$G$140="acoes"))*Inputs!$B$1+((Inputs!$G$5:$G$140&lt;&gt;"moeda")*(Inputs!$G$5:$G$140&lt;&gt;"acoes")))*INDEX(Inputs!$K$5:$AJ$140,0,MATCH(O$2,Inputs!$K$4:$AJ$4,0)))+SUMPRODUCT((Inputs!$E$5:$E$140=$B64)*Inputs!$F$5:$F$140*(((Inputs!$G$5:$G$140="moeda")+(Inputs!$G$5:$G$140="acoes"))*Inputs!$B$1+((Inputs!$G$5:$G$140&lt;&gt;"moeda")*(Inputs!$G$5:$G$140&lt;&gt;"acoes")))*INDEX(Inputs!$K$5:$AJ$140,0,MATCH(O$2,Inputs!$K$4:$AJ$4,0)))))</f>
        <v>304425</v>
      </c>
      <c r="P64" s="262">
        <f>IF(ISNA(MATCH(P$2,Inputs!$K$4:$AJ$4,0)),NA(),IF(SUMPRODUCT((Inputs!$A$5:$A$140=$B64)*ISNUMBER(INDEX(Inputs!$K$5:$AJ$140,0,MATCH(P$2,Inputs!$K$4:$AJ$4,0))))+SUMPRODUCT((Inputs!$C$5:$C$140=$B64)*ISNUMBER(INDEX(Inputs!$K$5:$AJ$140,0,MATCH(P$2,Inputs!$K$4:$AJ$4,0))))+SUMPRODUCT((Inputs!$E$5:$E$140=$B64)*ISNUMBER(INDEX(Inputs!$K$5:$AJ$140,0,MATCH(P$2,Inputs!$K$4:$AJ$4,0))))=0,NA(),SUMPRODUCT((Inputs!$A$5:$A$140=$B64)*Inputs!$B$5:$B$140*(((Inputs!$G$5:$G$140="moeda")+(Inputs!$G$5:$G$140="acoes"))*Inputs!$B$1+((Inputs!$G$5:$G$140&lt;&gt;"moeda")*(Inputs!$G$5:$G$140&lt;&gt;"acoes")))*INDEX(Inputs!$K$5:$AJ$140,0,MATCH(P$2,Inputs!$K$4:$AJ$4,0)))+SUMPRODUCT((Inputs!$C$5:$C$140=$B64)*Inputs!$D$5:$D$140*(((Inputs!$G$5:$G$140="moeda")+(Inputs!$G$5:$G$140="acoes"))*Inputs!$B$1+((Inputs!$G$5:$G$140&lt;&gt;"moeda")*(Inputs!$G$5:$G$140&lt;&gt;"acoes")))*INDEX(Inputs!$K$5:$AJ$140,0,MATCH(P$2,Inputs!$K$4:$AJ$4,0)))+SUMPRODUCT((Inputs!$E$5:$E$140=$B64)*Inputs!$F$5:$F$140*(((Inputs!$G$5:$G$140="moeda")+(Inputs!$G$5:$G$140="acoes"))*Inputs!$B$1+((Inputs!$G$5:$G$140&lt;&gt;"moeda")*(Inputs!$G$5:$G$140&lt;&gt;"acoes")))*INDEX(Inputs!$K$5:$AJ$140,0,MATCH(P$2,Inputs!$K$4:$AJ$4,0)))))</f>
        <v>321276.3507</v>
      </c>
      <c r="Q64" s="262">
        <f>IF(ISNA(MATCH(Q$2,Inputs!$K$4:$AJ$4,0)),NA(),IF(SUMPRODUCT((Inputs!$A$5:$A$140=$B64)*ISNUMBER(INDEX(Inputs!$K$5:$AJ$140,0,MATCH(Q$2,Inputs!$K$4:$AJ$4,0))))+SUMPRODUCT((Inputs!$C$5:$C$140=$B64)*ISNUMBER(INDEX(Inputs!$K$5:$AJ$140,0,MATCH(Q$2,Inputs!$K$4:$AJ$4,0))))+SUMPRODUCT((Inputs!$E$5:$E$140=$B64)*ISNUMBER(INDEX(Inputs!$K$5:$AJ$140,0,MATCH(Q$2,Inputs!$K$4:$AJ$4,0))))=0,NA(),SUMPRODUCT((Inputs!$A$5:$A$140=$B64)*Inputs!$B$5:$B$140*(((Inputs!$G$5:$G$140="moeda")+(Inputs!$G$5:$G$140="acoes"))*Inputs!$B$1+((Inputs!$G$5:$G$140&lt;&gt;"moeda")*(Inputs!$G$5:$G$140&lt;&gt;"acoes")))*INDEX(Inputs!$K$5:$AJ$140,0,MATCH(Q$2,Inputs!$K$4:$AJ$4,0)))+SUMPRODUCT((Inputs!$C$5:$C$140=$B64)*Inputs!$D$5:$D$140*(((Inputs!$G$5:$G$140="moeda")+(Inputs!$G$5:$G$140="acoes"))*Inputs!$B$1+((Inputs!$G$5:$G$140&lt;&gt;"moeda")*(Inputs!$G$5:$G$140&lt;&gt;"acoes")))*INDEX(Inputs!$K$5:$AJ$140,0,MATCH(Q$2,Inputs!$K$4:$AJ$4,0)))+SUMPRODUCT((Inputs!$E$5:$E$140=$B64)*Inputs!$F$5:$F$140*(((Inputs!$G$5:$G$140="moeda")+(Inputs!$G$5:$G$140="acoes"))*Inputs!$B$1+((Inputs!$G$5:$G$140&lt;&gt;"moeda")*(Inputs!$G$5:$G$140&lt;&gt;"acoes")))*INDEX(Inputs!$K$5:$AJ$140,0,MATCH(Q$2,Inputs!$K$4:$AJ$4,0)))))</f>
        <v>362853.9707</v>
      </c>
      <c r="R64" s="263">
        <f>Q64</f>
        <v>362853.9707</v>
      </c>
      <c r="S64" s="262">
        <f>IF(ISNA(MATCH(S$2,Inputs!$K$4:$AJ$4,0)),NA(),IF(SUMPRODUCT((Inputs!$A$5:$A$140=$B64)*ISNUMBER(INDEX(Inputs!$K$5:$AJ$140,0,MATCH(S$2,Inputs!$K$4:$AJ$4,0))))+SUMPRODUCT((Inputs!$C$5:$C$140=$B64)*ISNUMBER(INDEX(Inputs!$K$5:$AJ$140,0,MATCH(S$2,Inputs!$K$4:$AJ$4,0))))+SUMPRODUCT((Inputs!$E$5:$E$140=$B64)*ISNUMBER(INDEX(Inputs!$K$5:$AJ$140,0,MATCH(S$2,Inputs!$K$4:$AJ$4,0))))=0,NA(),SUMPRODUCT((Inputs!$A$5:$A$140=$B64)*Inputs!$B$5:$B$140*(((Inputs!$G$5:$G$140="moeda")+(Inputs!$G$5:$G$140="acoes"))*Inputs!$B$1+((Inputs!$G$5:$G$140&lt;&gt;"moeda")*(Inputs!$G$5:$G$140&lt;&gt;"acoes")))*INDEX(Inputs!$K$5:$AJ$140,0,MATCH(S$2,Inputs!$K$4:$AJ$4,0)))+SUMPRODUCT((Inputs!$C$5:$C$140=$B64)*Inputs!$D$5:$D$140*(((Inputs!$G$5:$G$140="moeda")+(Inputs!$G$5:$G$140="acoes"))*Inputs!$B$1+((Inputs!$G$5:$G$140&lt;&gt;"moeda")*(Inputs!$G$5:$G$140&lt;&gt;"acoes")))*INDEX(Inputs!$K$5:$AJ$140,0,MATCH(S$2,Inputs!$K$4:$AJ$4,0)))+SUMPRODUCT((Inputs!$E$5:$E$140=$B64)*Inputs!$F$5:$F$140*(((Inputs!$G$5:$G$140="moeda")+(Inputs!$G$5:$G$140="acoes"))*Inputs!$B$1+((Inputs!$G$5:$G$140&lt;&gt;"moeda")*(Inputs!$G$5:$G$140&lt;&gt;"acoes")))*INDEX(Inputs!$K$5:$AJ$140,0,MATCH(S$2,Inputs!$K$4:$AJ$4,0)))))</f>
        <v>370218.7007</v>
      </c>
      <c r="T64" s="262">
        <f>IF(ISNA(MATCH(T$2,Inputs!$K$4:$AJ$4,0)),NA(),IF(SUMPRODUCT((Inputs!$A$5:$A$140=$B64)*ISNUMBER(INDEX(Inputs!$K$5:$AJ$140,0,MATCH(T$2,Inputs!$K$4:$AJ$4,0))))+SUMPRODUCT((Inputs!$C$5:$C$140=$B64)*ISNUMBER(INDEX(Inputs!$K$5:$AJ$140,0,MATCH(T$2,Inputs!$K$4:$AJ$4,0))))+SUMPRODUCT((Inputs!$E$5:$E$140=$B64)*ISNUMBER(INDEX(Inputs!$K$5:$AJ$140,0,MATCH(T$2,Inputs!$K$4:$AJ$4,0))))=0,NA(),SUMPRODUCT((Inputs!$A$5:$A$140=$B64)*Inputs!$B$5:$B$140*(((Inputs!$G$5:$G$140="moeda")+(Inputs!$G$5:$G$140="acoes"))*Inputs!$B$1+((Inputs!$G$5:$G$140&lt;&gt;"moeda")*(Inputs!$G$5:$G$140&lt;&gt;"acoes")))*INDEX(Inputs!$K$5:$AJ$140,0,MATCH(T$2,Inputs!$K$4:$AJ$4,0)))+SUMPRODUCT((Inputs!$C$5:$C$140=$B64)*Inputs!$D$5:$D$140*(((Inputs!$G$5:$G$140="moeda")+(Inputs!$G$5:$G$140="acoes"))*Inputs!$B$1+((Inputs!$G$5:$G$140&lt;&gt;"moeda")*(Inputs!$G$5:$G$140&lt;&gt;"acoes")))*INDEX(Inputs!$K$5:$AJ$140,0,MATCH(T$2,Inputs!$K$4:$AJ$4,0)))+SUMPRODUCT((Inputs!$E$5:$E$140=$B64)*Inputs!$F$5:$F$140*(((Inputs!$G$5:$G$140="moeda")+(Inputs!$G$5:$G$140="acoes"))*Inputs!$B$1+((Inputs!$G$5:$G$140&lt;&gt;"moeda")*(Inputs!$G$5:$G$140&lt;&gt;"acoes")))*INDEX(Inputs!$K$5:$AJ$140,0,MATCH(T$2,Inputs!$K$4:$AJ$4,0)))))</f>
        <v>376739.5907</v>
      </c>
      <c r="U64" s="262">
        <f>IF(ISNA(MATCH(U$2,Inputs!$K$4:$AJ$4,0)),NA(),IF(SUMPRODUCT((Inputs!$A$5:$A$140=$B64)*ISNUMBER(INDEX(Inputs!$K$5:$AJ$140,0,MATCH(U$2,Inputs!$K$4:$AJ$4,0))))+SUMPRODUCT((Inputs!$C$5:$C$140=$B64)*ISNUMBER(INDEX(Inputs!$K$5:$AJ$140,0,MATCH(U$2,Inputs!$K$4:$AJ$4,0))))+SUMPRODUCT((Inputs!$E$5:$E$140=$B64)*ISNUMBER(INDEX(Inputs!$K$5:$AJ$140,0,MATCH(U$2,Inputs!$K$4:$AJ$4,0))))=0,NA(),SUMPRODUCT((Inputs!$A$5:$A$140=$B64)*Inputs!$B$5:$B$140*(((Inputs!$G$5:$G$140="moeda")+(Inputs!$G$5:$G$140="acoes"))*Inputs!$B$1+((Inputs!$G$5:$G$140&lt;&gt;"moeda")*(Inputs!$G$5:$G$140&lt;&gt;"acoes")))*INDEX(Inputs!$K$5:$AJ$140,0,MATCH(U$2,Inputs!$K$4:$AJ$4,0)))+SUMPRODUCT((Inputs!$C$5:$C$140=$B64)*Inputs!$D$5:$D$140*(((Inputs!$G$5:$G$140="moeda")+(Inputs!$G$5:$G$140="acoes"))*Inputs!$B$1+((Inputs!$G$5:$G$140&lt;&gt;"moeda")*(Inputs!$G$5:$G$140&lt;&gt;"acoes")))*INDEX(Inputs!$K$5:$AJ$140,0,MATCH(U$2,Inputs!$K$4:$AJ$4,0)))+SUMPRODUCT((Inputs!$E$5:$E$140=$B64)*Inputs!$F$5:$F$140*(((Inputs!$G$5:$G$140="moeda")+(Inputs!$G$5:$G$140="acoes"))*Inputs!$B$1+((Inputs!$G$5:$G$140&lt;&gt;"moeda")*(Inputs!$G$5:$G$140&lt;&gt;"acoes")))*INDEX(Inputs!$K$5:$AJ$140,0,MATCH(U$2,Inputs!$K$4:$AJ$4,0)))))</f>
        <v>391853.7907</v>
      </c>
      <c r="V64" s="262">
        <f>IF(ISNA(MATCH(V$2,Inputs!$K$4:$AJ$4,0)),NA(),IF(SUMPRODUCT((Inputs!$A$5:$A$140=$B64)*ISNUMBER(INDEX(Inputs!$K$5:$AJ$140,0,MATCH(V$2,Inputs!$K$4:$AJ$4,0))))+SUMPRODUCT((Inputs!$C$5:$C$140=$B64)*ISNUMBER(INDEX(Inputs!$K$5:$AJ$140,0,MATCH(V$2,Inputs!$K$4:$AJ$4,0))))+SUMPRODUCT((Inputs!$E$5:$E$140=$B64)*ISNUMBER(INDEX(Inputs!$K$5:$AJ$140,0,MATCH(V$2,Inputs!$K$4:$AJ$4,0))))=0,NA(),SUMPRODUCT((Inputs!$A$5:$A$140=$B64)*Inputs!$B$5:$B$140*(((Inputs!$G$5:$G$140="moeda")+(Inputs!$G$5:$G$140="acoes"))*Inputs!$B$1+((Inputs!$G$5:$G$140&lt;&gt;"moeda")*(Inputs!$G$5:$G$140&lt;&gt;"acoes")))*INDEX(Inputs!$K$5:$AJ$140,0,MATCH(V$2,Inputs!$K$4:$AJ$4,0)))+SUMPRODUCT((Inputs!$C$5:$C$140=$B64)*Inputs!$D$5:$D$140*(((Inputs!$G$5:$G$140="moeda")+(Inputs!$G$5:$G$140="acoes"))*Inputs!$B$1+((Inputs!$G$5:$G$140&lt;&gt;"moeda")*(Inputs!$G$5:$G$140&lt;&gt;"acoes")))*INDEX(Inputs!$K$5:$AJ$140,0,MATCH(V$2,Inputs!$K$4:$AJ$4,0)))+SUMPRODUCT((Inputs!$E$5:$E$140=$B64)*Inputs!$F$5:$F$140*(((Inputs!$G$5:$G$140="moeda")+(Inputs!$G$5:$G$140="acoes"))*Inputs!$B$1+((Inputs!$G$5:$G$140&lt;&gt;"moeda")*(Inputs!$G$5:$G$140&lt;&gt;"acoes")))*INDEX(Inputs!$K$5:$AJ$140,0,MATCH(V$2,Inputs!$K$4:$AJ$4,0)))))</f>
        <v>401125.4007</v>
      </c>
      <c r="W64" s="263">
        <f>V64</f>
        <v>401125.4007</v>
      </c>
      <c r="X64" s="262">
        <f>IF(ISNA(MATCH(X$2,Inputs!$K$4:$AJ$4,0)),NA(),IF(SUMPRODUCT((Inputs!$A$5:$A$140=$B64)*ISNUMBER(INDEX(Inputs!$K$5:$AJ$140,0,MATCH(X$2,Inputs!$K$4:$AJ$4,0))))+SUMPRODUCT((Inputs!$C$5:$C$140=$B64)*ISNUMBER(INDEX(Inputs!$K$5:$AJ$140,0,MATCH(X$2,Inputs!$K$4:$AJ$4,0))))+SUMPRODUCT((Inputs!$E$5:$E$140=$B64)*ISNUMBER(INDEX(Inputs!$K$5:$AJ$140,0,MATCH(X$2,Inputs!$K$4:$AJ$4,0))))=0,NA(),SUMPRODUCT((Inputs!$A$5:$A$140=$B64)*Inputs!$B$5:$B$140*(((Inputs!$G$5:$G$140="moeda")+(Inputs!$G$5:$G$140="acoes"))*Inputs!$B$1+((Inputs!$G$5:$G$140&lt;&gt;"moeda")*(Inputs!$G$5:$G$140&lt;&gt;"acoes")))*INDEX(Inputs!$K$5:$AJ$140,0,MATCH(X$2,Inputs!$K$4:$AJ$4,0)))+SUMPRODUCT((Inputs!$C$5:$C$140=$B64)*Inputs!$D$5:$D$140*(((Inputs!$G$5:$G$140="moeda")+(Inputs!$G$5:$G$140="acoes"))*Inputs!$B$1+((Inputs!$G$5:$G$140&lt;&gt;"moeda")*(Inputs!$G$5:$G$140&lt;&gt;"acoes")))*INDEX(Inputs!$K$5:$AJ$140,0,MATCH(X$2,Inputs!$K$4:$AJ$4,0)))+SUMPRODUCT((Inputs!$E$5:$E$140=$B64)*Inputs!$F$5:$F$140*(((Inputs!$G$5:$G$140="moeda")+(Inputs!$G$5:$G$140="acoes"))*Inputs!$B$1+((Inputs!$G$5:$G$140&lt;&gt;"moeda")*(Inputs!$G$5:$G$140&lt;&gt;"acoes")))*INDEX(Inputs!$K$5:$AJ$140,0,MATCH(X$2,Inputs!$K$4:$AJ$4,0)))))</f>
        <v>408033.4007</v>
      </c>
      <c r="Y64" s="262">
        <f>IF(ISNA(MATCH(Y$2,Inputs!$K$4:$AJ$4,0)),NA(),IF(SUMPRODUCT((Inputs!$A$5:$A$140=$B64)*ISNUMBER(INDEX(Inputs!$K$5:$AJ$140,0,MATCH(Y$2,Inputs!$K$4:$AJ$4,0))))+SUMPRODUCT((Inputs!$C$5:$C$140=$B64)*ISNUMBER(INDEX(Inputs!$K$5:$AJ$140,0,MATCH(Y$2,Inputs!$K$4:$AJ$4,0))))+SUMPRODUCT((Inputs!$E$5:$E$140=$B64)*ISNUMBER(INDEX(Inputs!$K$5:$AJ$140,0,MATCH(Y$2,Inputs!$K$4:$AJ$4,0))))=0,NA(),SUMPRODUCT((Inputs!$A$5:$A$140=$B64)*Inputs!$B$5:$B$140*(((Inputs!$G$5:$G$140="moeda")+(Inputs!$G$5:$G$140="acoes"))*Inputs!$B$1+((Inputs!$G$5:$G$140&lt;&gt;"moeda")*(Inputs!$G$5:$G$140&lt;&gt;"acoes")))*INDEX(Inputs!$K$5:$AJ$140,0,MATCH(Y$2,Inputs!$K$4:$AJ$4,0)))+SUMPRODUCT((Inputs!$C$5:$C$140=$B64)*Inputs!$D$5:$D$140*(((Inputs!$G$5:$G$140="moeda")+(Inputs!$G$5:$G$140="acoes"))*Inputs!$B$1+((Inputs!$G$5:$G$140&lt;&gt;"moeda")*(Inputs!$G$5:$G$140&lt;&gt;"acoes")))*INDEX(Inputs!$K$5:$AJ$140,0,MATCH(Y$2,Inputs!$K$4:$AJ$4,0)))+SUMPRODUCT((Inputs!$E$5:$E$140=$B64)*Inputs!$F$5:$F$140*(((Inputs!$G$5:$G$140="moeda")+(Inputs!$G$5:$G$140="acoes"))*Inputs!$B$1+((Inputs!$G$5:$G$140&lt;&gt;"moeda")*(Inputs!$G$5:$G$140&lt;&gt;"acoes")))*INDEX(Inputs!$K$5:$AJ$140,0,MATCH(Y$2,Inputs!$K$4:$AJ$4,0)))))</f>
        <v>425229.9607</v>
      </c>
      <c r="Z64" s="262">
        <f>IF(ISNA(MATCH(Z$2,Inputs!$K$4:$AJ$4,0)),NA(),IF(SUMPRODUCT((Inputs!$A$5:$A$140=$B64)*ISNUMBER(INDEX(Inputs!$K$5:$AJ$140,0,MATCH(Z$2,Inputs!$K$4:$AJ$4,0))))+SUMPRODUCT((Inputs!$C$5:$C$140=$B64)*ISNUMBER(INDEX(Inputs!$K$5:$AJ$140,0,MATCH(Z$2,Inputs!$K$4:$AJ$4,0))))+SUMPRODUCT((Inputs!$E$5:$E$140=$B64)*ISNUMBER(INDEX(Inputs!$K$5:$AJ$140,0,MATCH(Z$2,Inputs!$K$4:$AJ$4,0))))=0,NA(),SUMPRODUCT((Inputs!$A$5:$A$140=$B64)*Inputs!$B$5:$B$140*(((Inputs!$G$5:$G$140="moeda")+(Inputs!$G$5:$G$140="acoes"))*Inputs!$B$1+((Inputs!$G$5:$G$140&lt;&gt;"moeda")*(Inputs!$G$5:$G$140&lt;&gt;"acoes")))*INDEX(Inputs!$K$5:$AJ$140,0,MATCH(Z$2,Inputs!$K$4:$AJ$4,0)))+SUMPRODUCT((Inputs!$C$5:$C$140=$B64)*Inputs!$D$5:$D$140*(((Inputs!$G$5:$G$140="moeda")+(Inputs!$G$5:$G$140="acoes"))*Inputs!$B$1+((Inputs!$G$5:$G$140&lt;&gt;"moeda")*(Inputs!$G$5:$G$140&lt;&gt;"acoes")))*INDEX(Inputs!$K$5:$AJ$140,0,MATCH(Z$2,Inputs!$K$4:$AJ$4,0)))+SUMPRODUCT((Inputs!$E$5:$E$140=$B64)*Inputs!$F$5:$F$140*(((Inputs!$G$5:$G$140="moeda")+(Inputs!$G$5:$G$140="acoes"))*Inputs!$B$1+((Inputs!$G$5:$G$140&lt;&gt;"moeda")*(Inputs!$G$5:$G$140&lt;&gt;"acoes")))*INDEX(Inputs!$K$5:$AJ$140,0,MATCH(Z$2,Inputs!$K$4:$AJ$4,0)))))</f>
        <v>433065.9607</v>
      </c>
      <c r="AA64" s="262">
        <f>IF(ISNA(MATCH(AA$2,Inputs!$K$4:$AJ$4,0)),NA(),IF(SUMPRODUCT((Inputs!$A$5:$A$140=$B64)*ISNUMBER(INDEX(Inputs!$K$5:$AJ$140,0,MATCH(AA$2,Inputs!$K$4:$AJ$4,0))))+SUMPRODUCT((Inputs!$C$5:$C$140=$B64)*ISNUMBER(INDEX(Inputs!$K$5:$AJ$140,0,MATCH(AA$2,Inputs!$K$4:$AJ$4,0))))+SUMPRODUCT((Inputs!$E$5:$E$140=$B64)*ISNUMBER(INDEX(Inputs!$K$5:$AJ$140,0,MATCH(AA$2,Inputs!$K$4:$AJ$4,0))))=0,NA(),SUMPRODUCT((Inputs!$A$5:$A$140=$B64)*Inputs!$B$5:$B$140*(((Inputs!$G$5:$G$140="moeda")+(Inputs!$G$5:$G$140="acoes"))*Inputs!$B$1+((Inputs!$G$5:$G$140&lt;&gt;"moeda")*(Inputs!$G$5:$G$140&lt;&gt;"acoes")))*INDEX(Inputs!$K$5:$AJ$140,0,MATCH(AA$2,Inputs!$K$4:$AJ$4,0)))+SUMPRODUCT((Inputs!$C$5:$C$140=$B64)*Inputs!$D$5:$D$140*(((Inputs!$G$5:$G$140="moeda")+(Inputs!$G$5:$G$140="acoes"))*Inputs!$B$1+((Inputs!$G$5:$G$140&lt;&gt;"moeda")*(Inputs!$G$5:$G$140&lt;&gt;"acoes")))*INDEX(Inputs!$K$5:$AJ$140,0,MATCH(AA$2,Inputs!$K$4:$AJ$4,0)))+SUMPRODUCT((Inputs!$E$5:$E$140=$B64)*Inputs!$F$5:$F$140*(((Inputs!$G$5:$G$140="moeda")+(Inputs!$G$5:$G$140="acoes"))*Inputs!$B$1+((Inputs!$G$5:$G$140&lt;&gt;"moeda")*(Inputs!$G$5:$G$140&lt;&gt;"acoes")))*INDEX(Inputs!$K$5:$AJ$140,0,MATCH(AA$2,Inputs!$K$4:$AJ$4,0)))))</f>
        <v>445430.3807</v>
      </c>
      <c r="AB64" s="263">
        <f>AA64</f>
        <v>445430.3807</v>
      </c>
      <c r="AC64" s="262">
        <f>IF(ISNA(MATCH(AC$2,Inputs!$K$4:$AJ$4,0)),NA(),IF(SUMPRODUCT((Inputs!$A$5:$A$140=$B64)*ISNUMBER(INDEX(Inputs!$K$5:$AJ$140,0,MATCH(AC$2,Inputs!$K$4:$AJ$4,0))))+SUMPRODUCT((Inputs!$C$5:$C$140=$B64)*ISNUMBER(INDEX(Inputs!$K$5:$AJ$140,0,MATCH(AC$2,Inputs!$K$4:$AJ$4,0))))+SUMPRODUCT((Inputs!$E$5:$E$140=$B64)*ISNUMBER(INDEX(Inputs!$K$5:$AJ$140,0,MATCH(AC$2,Inputs!$K$4:$AJ$4,0))))=0,NA(),SUMPRODUCT((Inputs!$A$5:$A$140=$B64)*Inputs!$B$5:$B$140*(((Inputs!$G$5:$G$140="moeda")+(Inputs!$G$5:$G$140="acoes"))*Inputs!$B$1+((Inputs!$G$5:$G$140&lt;&gt;"moeda")*(Inputs!$G$5:$G$140&lt;&gt;"acoes")))*INDEX(Inputs!$K$5:$AJ$140,0,MATCH(AC$2,Inputs!$K$4:$AJ$4,0)))+SUMPRODUCT((Inputs!$C$5:$C$140=$B64)*Inputs!$D$5:$D$140*(((Inputs!$G$5:$G$140="moeda")+(Inputs!$G$5:$G$140="acoes"))*Inputs!$B$1+((Inputs!$G$5:$G$140&lt;&gt;"moeda")*(Inputs!$G$5:$G$140&lt;&gt;"acoes")))*INDEX(Inputs!$K$5:$AJ$140,0,MATCH(AC$2,Inputs!$K$4:$AJ$4,0)))+SUMPRODUCT((Inputs!$E$5:$E$140=$B64)*Inputs!$F$5:$F$140*(((Inputs!$G$5:$G$140="moeda")+(Inputs!$G$5:$G$140="acoes"))*Inputs!$B$1+((Inputs!$G$5:$G$140&lt;&gt;"moeda")*(Inputs!$G$5:$G$140&lt;&gt;"acoes")))*INDEX(Inputs!$K$5:$AJ$140,0,MATCH(AC$2,Inputs!$K$4:$AJ$4,0)))))</f>
        <v>455002</v>
      </c>
      <c r="AD64" s="262">
        <f>IF(ISNA(MATCH(AD$2,Inputs!$K$4:$AJ$4,0)),NA(),IF(SUMPRODUCT((Inputs!$A$5:$A$140=$B64)*ISNUMBER(INDEX(Inputs!$K$5:$AJ$140,0,MATCH(AD$2,Inputs!$K$4:$AJ$4,0))))+SUMPRODUCT((Inputs!$C$5:$C$140=$B64)*ISNUMBER(INDEX(Inputs!$K$5:$AJ$140,0,MATCH(AD$2,Inputs!$K$4:$AJ$4,0))))+SUMPRODUCT((Inputs!$E$5:$E$140=$B64)*ISNUMBER(INDEX(Inputs!$K$5:$AJ$140,0,MATCH(AD$2,Inputs!$K$4:$AJ$4,0))))=0,NA(),SUMPRODUCT((Inputs!$A$5:$A$140=$B64)*Inputs!$B$5:$B$140*(((Inputs!$G$5:$G$140="moeda")+(Inputs!$G$5:$G$140="acoes"))*Inputs!$B$1+((Inputs!$G$5:$G$140&lt;&gt;"moeda")*(Inputs!$G$5:$G$140&lt;&gt;"acoes")))*INDEX(Inputs!$K$5:$AJ$140,0,MATCH(AD$2,Inputs!$K$4:$AJ$4,0)))+SUMPRODUCT((Inputs!$C$5:$C$140=$B64)*Inputs!$D$5:$D$140*(((Inputs!$G$5:$G$140="moeda")+(Inputs!$G$5:$G$140="acoes"))*Inputs!$B$1+((Inputs!$G$5:$G$140&lt;&gt;"moeda")*(Inputs!$G$5:$G$140&lt;&gt;"acoes")))*INDEX(Inputs!$K$5:$AJ$140,0,MATCH(AD$2,Inputs!$K$4:$AJ$4,0)))+SUMPRODUCT((Inputs!$E$5:$E$140=$B64)*Inputs!$F$5:$F$140*(((Inputs!$G$5:$G$140="moeda")+(Inputs!$G$5:$G$140="acoes"))*Inputs!$B$1+((Inputs!$G$5:$G$140&lt;&gt;"moeda")*(Inputs!$G$5:$G$140&lt;&gt;"acoes")))*INDEX(Inputs!$K$5:$AJ$140,0,MATCH(AD$2,Inputs!$K$4:$AJ$4,0)))))</f>
        <v>346191.3807</v>
      </c>
      <c r="AE64" s="262" t="e">
        <f>IF(ISNA(MATCH(AE$2,Inputs!$K$4:$AJ$4,0)),NA(),IF(SUMPRODUCT((Inputs!$A$5:$A$140=$B64)*ISNUMBER(INDEX(Inputs!$K$5:$AJ$140,0,MATCH(AE$2,Inputs!$K$4:$AJ$4,0))))+SUMPRODUCT((Inputs!$C$5:$C$140=$B64)*ISNUMBER(INDEX(Inputs!$K$5:$AJ$140,0,MATCH(AE$2,Inputs!$K$4:$AJ$4,0))))+SUMPRODUCT((Inputs!$E$5:$E$140=$B64)*ISNUMBER(INDEX(Inputs!$K$5:$AJ$140,0,MATCH(AE$2,Inputs!$K$4:$AJ$4,0))))=0,NA(),SUMPRODUCT((Inputs!$A$5:$A$140=$B64)*Inputs!$B$5:$B$140*(((Inputs!$G$5:$G$140="moeda")+(Inputs!$G$5:$G$140="acoes"))*Inputs!$B$1+((Inputs!$G$5:$G$140&lt;&gt;"moeda")*(Inputs!$G$5:$G$140&lt;&gt;"acoes")))*INDEX(Inputs!$K$5:$AJ$140,0,MATCH(AE$2,Inputs!$K$4:$AJ$4,0)))+SUMPRODUCT((Inputs!$C$5:$C$140=$B64)*Inputs!$D$5:$D$140*(((Inputs!$G$5:$G$140="moeda")+(Inputs!$G$5:$G$140="acoes"))*Inputs!$B$1+((Inputs!$G$5:$G$140&lt;&gt;"moeda")*(Inputs!$G$5:$G$140&lt;&gt;"acoes")))*INDEX(Inputs!$K$5:$AJ$140,0,MATCH(AE$2,Inputs!$K$4:$AJ$4,0)))+SUMPRODUCT((Inputs!$E$5:$E$140=$B64)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4" s="262" t="e">
        <f>IF(ISNA(MATCH(AF$2,Inputs!$K$4:$AJ$4,0)),NA(),IF(SUMPRODUCT((Inputs!$A$5:$A$140=$B64)*ISNUMBER(INDEX(Inputs!$K$5:$AJ$140,0,MATCH(AF$2,Inputs!$K$4:$AJ$4,0))))+SUMPRODUCT((Inputs!$C$5:$C$140=$B64)*ISNUMBER(INDEX(Inputs!$K$5:$AJ$140,0,MATCH(AF$2,Inputs!$K$4:$AJ$4,0))))+SUMPRODUCT((Inputs!$E$5:$E$140=$B64)*ISNUMBER(INDEX(Inputs!$K$5:$AJ$140,0,MATCH(AF$2,Inputs!$K$4:$AJ$4,0))))=0,NA(),SUMPRODUCT((Inputs!$A$5:$A$140=$B64)*Inputs!$B$5:$B$140*(((Inputs!$G$5:$G$140="moeda")+(Inputs!$G$5:$G$140="acoes"))*Inputs!$B$1+((Inputs!$G$5:$G$140&lt;&gt;"moeda")*(Inputs!$G$5:$G$140&lt;&gt;"acoes")))*INDEX(Inputs!$K$5:$AJ$140,0,MATCH(AF$2,Inputs!$K$4:$AJ$4,0)))+SUMPRODUCT((Inputs!$C$5:$C$140=$B64)*Inputs!$D$5:$D$140*(((Inputs!$G$5:$G$140="moeda")+(Inputs!$G$5:$G$140="acoes"))*Inputs!$B$1+((Inputs!$G$5:$G$140&lt;&gt;"moeda")*(Inputs!$G$5:$G$140&lt;&gt;"acoes")))*INDEX(Inputs!$K$5:$AJ$140,0,MATCH(AF$2,Inputs!$K$4:$AJ$4,0)))+SUMPRODUCT((Inputs!$E$5:$E$140=$B64)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4" s="263" t="e">
        <f>AF64</f>
        <v>#N/A</v>
      </c>
      <c r="AH64" s="262">
        <f>IF(ISNA(MATCH(AH$2,Inputs!$K$4:$AJ$4,0)),NA(),IF(SUMPRODUCT((Inputs!$A$5:$A$140=$B64)*ISNUMBER(INDEX(Inputs!$K$5:$AJ$140,0,MATCH(AH$2,Inputs!$K$4:$AJ$4,0))))+SUMPRODUCT((Inputs!$C$5:$C$140=$B64)*ISNUMBER(INDEX(Inputs!$K$5:$AJ$140,0,MATCH(AH$2,Inputs!$K$4:$AJ$4,0))))+SUMPRODUCT((Inputs!$E$5:$E$140=$B64)*ISNUMBER(INDEX(Inputs!$K$5:$AJ$140,0,MATCH(AH$2,Inputs!$K$4:$AJ$4,0))))=0,NA(),SUMPRODUCT((Inputs!$A$5:$A$140=$B64)*Inputs!$B$5:$B$140*(((Inputs!$G$5:$G$140="moeda")+(Inputs!$G$5:$G$140="acoes"))*Inputs!$B$1+((Inputs!$G$5:$G$140&lt;&gt;"moeda")*(Inputs!$G$5:$G$140&lt;&gt;"acoes")))*INDEX(Inputs!$K$5:$AJ$140,0,MATCH(AH$2,Inputs!$K$4:$AJ$4,0)))+SUMPRODUCT((Inputs!$C$5:$C$140=$B64)*Inputs!$D$5:$D$140*(((Inputs!$G$5:$G$140="moeda")+(Inputs!$G$5:$G$140="acoes"))*Inputs!$B$1+((Inputs!$G$5:$G$140&lt;&gt;"moeda")*(Inputs!$G$5:$G$140&lt;&gt;"acoes")))*INDEX(Inputs!$K$5:$AJ$140,0,MATCH(AH$2,Inputs!$K$4:$AJ$4,0)))+SUMPRODUCT((Inputs!$E$5:$E$140=$B64)*Inputs!$F$5:$F$140*(((Inputs!$G$5:$G$140="moeda")+(Inputs!$G$5:$G$140="acoes"))*Inputs!$B$1+((Inputs!$G$5:$G$140&lt;&gt;"moeda")*(Inputs!$G$5:$G$140&lt;&gt;"acoes")))*INDEX(Inputs!$K$5:$AJ$140,0,MATCH(AH$2,Inputs!$K$4:$AJ$4,0)))))</f>
        <v>130570.4807</v>
      </c>
      <c r="AI64" s="262">
        <f>IF(ISNA(MATCH(AI$2,Inputs!$K$4:$AJ$4,0)),NA(),IF(SUMPRODUCT((Inputs!$A$5:$A$140=$B64)*ISNUMBER(INDEX(Inputs!$K$5:$AJ$140,0,MATCH(AI$2,Inputs!$K$4:$AJ$4,0))))+SUMPRODUCT((Inputs!$C$5:$C$140=$B64)*ISNUMBER(INDEX(Inputs!$K$5:$AJ$140,0,MATCH(AI$2,Inputs!$K$4:$AJ$4,0))))+SUMPRODUCT((Inputs!$E$5:$E$140=$B64)*ISNUMBER(INDEX(Inputs!$K$5:$AJ$140,0,MATCH(AI$2,Inputs!$K$4:$AJ$4,0))))=0,NA(),SUMPRODUCT((Inputs!$A$5:$A$140=$B64)*Inputs!$B$5:$B$140*(((Inputs!$G$5:$G$140="moeda")+(Inputs!$G$5:$G$140="acoes"))*Inputs!$B$1+((Inputs!$G$5:$G$140&lt;&gt;"moeda")*(Inputs!$G$5:$G$140&lt;&gt;"acoes")))*INDEX(Inputs!$K$5:$AJ$140,0,MATCH(AI$2,Inputs!$K$4:$AJ$4,0)))+SUMPRODUCT((Inputs!$C$5:$C$140=$B64)*Inputs!$D$5:$D$140*(((Inputs!$G$5:$G$140="moeda")+(Inputs!$G$5:$G$140="acoes"))*Inputs!$B$1+((Inputs!$G$5:$G$140&lt;&gt;"moeda")*(Inputs!$G$5:$G$140&lt;&gt;"acoes")))*INDEX(Inputs!$K$5:$AJ$140,0,MATCH(AI$2,Inputs!$K$4:$AJ$4,0)))+SUMPRODUCT((Inputs!$E$5:$E$140=$B64)*Inputs!$F$5:$F$140*(((Inputs!$G$5:$G$140="moeda")+(Inputs!$G$5:$G$140="acoes"))*Inputs!$B$1+((Inputs!$G$5:$G$140&lt;&gt;"moeda")*(Inputs!$G$5:$G$140&lt;&gt;"acoes")))*INDEX(Inputs!$K$5:$AJ$140,0,MATCH(AI$2,Inputs!$K$4:$AJ$4,0)))))</f>
        <v>144829.2607</v>
      </c>
      <c r="AJ64" s="262">
        <f>IF(ISNA(MATCH(AJ$2,Inputs!$K$4:$AJ$4,0)),NA(),IF(SUMPRODUCT((Inputs!$A$5:$A$140=$B64)*ISNUMBER(INDEX(Inputs!$K$5:$AJ$140,0,MATCH(AJ$2,Inputs!$K$4:$AJ$4,0))))+SUMPRODUCT((Inputs!$C$5:$C$140=$B64)*ISNUMBER(INDEX(Inputs!$K$5:$AJ$140,0,MATCH(AJ$2,Inputs!$K$4:$AJ$4,0))))+SUMPRODUCT((Inputs!$E$5:$E$140=$B64)*ISNUMBER(INDEX(Inputs!$K$5:$AJ$140,0,MATCH(AJ$2,Inputs!$K$4:$AJ$4,0))))=0,NA(),SUMPRODUCT((Inputs!$A$5:$A$140=$B64)*Inputs!$B$5:$B$140*(((Inputs!$G$5:$G$140="moeda")+(Inputs!$G$5:$G$140="acoes"))*Inputs!$B$1+((Inputs!$G$5:$G$140&lt;&gt;"moeda")*(Inputs!$G$5:$G$140&lt;&gt;"acoes")))*INDEX(Inputs!$K$5:$AJ$140,0,MATCH(AJ$2,Inputs!$K$4:$AJ$4,0)))+SUMPRODUCT((Inputs!$C$5:$C$140=$B64)*Inputs!$D$5:$D$140*(((Inputs!$G$5:$G$140="moeda")+(Inputs!$G$5:$G$140="acoes"))*Inputs!$B$1+((Inputs!$G$5:$G$140&lt;&gt;"moeda")*(Inputs!$G$5:$G$140&lt;&gt;"acoes")))*INDEX(Inputs!$K$5:$AJ$140,0,MATCH(AJ$2,Inputs!$K$4:$AJ$4,0)))+SUMPRODUCT((Inputs!$E$5:$E$140=$B64)*Inputs!$F$5:$F$140*(((Inputs!$G$5:$G$140="moeda")+(Inputs!$G$5:$G$140="acoes"))*Inputs!$B$1+((Inputs!$G$5:$G$140&lt;&gt;"moeda")*(Inputs!$G$5:$G$140&lt;&gt;"acoes")))*INDEX(Inputs!$K$5:$AJ$140,0,MATCH(AJ$2,Inputs!$K$4:$AJ$4,0)))))</f>
        <v>149591.2607</v>
      </c>
      <c r="AK64" s="262">
        <f>IF(ISNA(MATCH(AK$2,Inputs!$K$4:$AJ$4,0)),NA(),IF(SUMPRODUCT((Inputs!$A$5:$A$140=$B64)*ISNUMBER(INDEX(Inputs!$K$5:$AJ$140,0,MATCH(AK$2,Inputs!$K$4:$AJ$4,0))))+SUMPRODUCT((Inputs!$C$5:$C$140=$B64)*ISNUMBER(INDEX(Inputs!$K$5:$AJ$140,0,MATCH(AK$2,Inputs!$K$4:$AJ$4,0))))+SUMPRODUCT((Inputs!$E$5:$E$140=$B64)*ISNUMBER(INDEX(Inputs!$K$5:$AJ$140,0,MATCH(AK$2,Inputs!$K$4:$AJ$4,0))))=0,NA(),SUMPRODUCT((Inputs!$A$5:$A$140=$B64)*Inputs!$B$5:$B$140*(((Inputs!$G$5:$G$140="moeda")+(Inputs!$G$5:$G$140="acoes"))*Inputs!$B$1+((Inputs!$G$5:$G$140&lt;&gt;"moeda")*(Inputs!$G$5:$G$140&lt;&gt;"acoes")))*INDEX(Inputs!$K$5:$AJ$140,0,MATCH(AK$2,Inputs!$K$4:$AJ$4,0)))+SUMPRODUCT((Inputs!$C$5:$C$140=$B64)*Inputs!$D$5:$D$140*(((Inputs!$G$5:$G$140="moeda")+(Inputs!$G$5:$G$140="acoes"))*Inputs!$B$1+((Inputs!$G$5:$G$140&lt;&gt;"moeda")*(Inputs!$G$5:$G$140&lt;&gt;"acoes")))*INDEX(Inputs!$K$5:$AJ$140,0,MATCH(AK$2,Inputs!$K$4:$AJ$4,0)))+SUMPRODUCT((Inputs!$E$5:$E$140=$B64)*Inputs!$F$5:$F$140*(((Inputs!$G$5:$G$140="moeda")+(Inputs!$G$5:$G$140="acoes"))*Inputs!$B$1+((Inputs!$G$5:$G$140&lt;&gt;"moeda")*(Inputs!$G$5:$G$140&lt;&gt;"acoes")))*INDEX(Inputs!$K$5:$AJ$140,0,MATCH(AK$2,Inputs!$K$4:$AJ$4,0)))))</f>
        <v>162362.5607</v>
      </c>
      <c r="AL64" s="263">
        <f>AK64</f>
        <v>162362.5607</v>
      </c>
    </row>
    <row r="65">
      <c r="B65" s="46" t="n">
        <v>57</v>
      </c>
      <c r="C65" s="29" t="inlineStr">
        <is>
          <t>Area de vendas - Novo Atacarejo (m2)</t>
        </is>
      </c>
      <c r="D65" s="262">
        <f>IF(ISNA(MATCH(D$2,Inputs!$K$4:$AJ$4,0)),NA(),IF(SUMPRODUCT((Inputs!$A$5:$A$140=$B65)*ISNUMBER(INDEX(Inputs!$K$5:$AJ$140,0,MATCH(D$2,Inputs!$K$4:$AJ$4,0))))+SUMPRODUCT((Inputs!$C$5:$C$140=$B65)*ISNUMBER(INDEX(Inputs!$K$5:$AJ$140,0,MATCH(D$2,Inputs!$K$4:$AJ$4,0))))+SUMPRODUCT((Inputs!$E$5:$E$140=$B65)*ISNUMBER(INDEX(Inputs!$K$5:$AJ$140,0,MATCH(D$2,Inputs!$K$4:$AJ$4,0))))=0,NA(),SUMPRODUCT((Inputs!$A$5:$A$140=$B65)*Inputs!$B$5:$B$140*(((Inputs!$G$5:$G$140="moeda")+(Inputs!$G$5:$G$140="acoes"))*Inputs!$B$1+((Inputs!$G$5:$G$140&lt;&gt;"moeda")*(Inputs!$G$5:$G$140&lt;&gt;"acoes")))*INDEX(Inputs!$K$5:$AJ$140,0,MATCH(D$2,Inputs!$K$4:$AJ$4,0)))+SUMPRODUCT((Inputs!$C$5:$C$140=$B65)*Inputs!$D$5:$D$140*(((Inputs!$G$5:$G$140="moeda")+(Inputs!$G$5:$G$140="acoes"))*Inputs!$B$1+((Inputs!$G$5:$G$140&lt;&gt;"moeda")*(Inputs!$G$5:$G$140&lt;&gt;"acoes")))*INDEX(Inputs!$K$5:$AJ$140,0,MATCH(D$2,Inputs!$K$4:$AJ$4,0)))+SUMPRODUCT((Inputs!$E$5:$E$140=$B65)*Inputs!$F$5:$F$140*(((Inputs!$G$5:$G$140="moeda")+(Inputs!$G$5:$G$140="acoes"))*Inputs!$B$1+((Inputs!$G$5:$G$140&lt;&gt;"moeda")*(Inputs!$G$5:$G$140&lt;&gt;"acoes")))*INDEX(Inputs!$K$5:$AJ$140,0,MATCH(D$2,Inputs!$K$4:$AJ$4,0)))))</f>
        <v>0</v>
      </c>
      <c r="E65" s="262">
        <f>IF(ISNA(MATCH(E$2,Inputs!$K$4:$AJ$4,0)),NA(),IF(SUMPRODUCT((Inputs!$A$5:$A$140=$B65)*ISNUMBER(INDEX(Inputs!$K$5:$AJ$140,0,MATCH(E$2,Inputs!$K$4:$AJ$4,0))))+SUMPRODUCT((Inputs!$C$5:$C$140=$B65)*ISNUMBER(INDEX(Inputs!$K$5:$AJ$140,0,MATCH(E$2,Inputs!$K$4:$AJ$4,0))))+SUMPRODUCT((Inputs!$E$5:$E$140=$B65)*ISNUMBER(INDEX(Inputs!$K$5:$AJ$140,0,MATCH(E$2,Inputs!$K$4:$AJ$4,0))))=0,NA(),SUMPRODUCT((Inputs!$A$5:$A$140=$B65)*Inputs!$B$5:$B$140*(((Inputs!$G$5:$G$140="moeda")+(Inputs!$G$5:$G$140="acoes"))*Inputs!$B$1+((Inputs!$G$5:$G$140&lt;&gt;"moeda")*(Inputs!$G$5:$G$140&lt;&gt;"acoes")))*INDEX(Inputs!$K$5:$AJ$140,0,MATCH(E$2,Inputs!$K$4:$AJ$4,0)))+SUMPRODUCT((Inputs!$C$5:$C$140=$B65)*Inputs!$D$5:$D$140*(((Inputs!$G$5:$G$140="moeda")+(Inputs!$G$5:$G$140="acoes"))*Inputs!$B$1+((Inputs!$G$5:$G$140&lt;&gt;"moeda")*(Inputs!$G$5:$G$140&lt;&gt;"acoes")))*INDEX(Inputs!$K$5:$AJ$140,0,MATCH(E$2,Inputs!$K$4:$AJ$4,0)))+SUMPRODUCT((Inputs!$E$5:$E$140=$B65)*Inputs!$F$5:$F$140*(((Inputs!$G$5:$G$140="moeda")+(Inputs!$G$5:$G$140="acoes"))*Inputs!$B$1+((Inputs!$G$5:$G$140&lt;&gt;"moeda")*(Inputs!$G$5:$G$140&lt;&gt;"acoes")))*INDEX(Inputs!$K$5:$AJ$140,0,MATCH(E$2,Inputs!$K$4:$AJ$4,0)))))</f>
        <v>0</v>
      </c>
      <c r="F65" s="262">
        <f>IF(ISNA(MATCH(F$2,Inputs!$K$4:$AJ$4,0)),NA(),IF(SUMPRODUCT((Inputs!$A$5:$A$140=$B65)*ISNUMBER(INDEX(Inputs!$K$5:$AJ$140,0,MATCH(F$2,Inputs!$K$4:$AJ$4,0))))+SUMPRODUCT((Inputs!$C$5:$C$140=$B65)*ISNUMBER(INDEX(Inputs!$K$5:$AJ$140,0,MATCH(F$2,Inputs!$K$4:$AJ$4,0))))+SUMPRODUCT((Inputs!$E$5:$E$140=$B65)*ISNUMBER(INDEX(Inputs!$K$5:$AJ$140,0,MATCH(F$2,Inputs!$K$4:$AJ$4,0))))=0,NA(),SUMPRODUCT((Inputs!$A$5:$A$140=$B65)*Inputs!$B$5:$B$140*(((Inputs!$G$5:$G$140="moeda")+(Inputs!$G$5:$G$140="acoes"))*Inputs!$B$1+((Inputs!$G$5:$G$140&lt;&gt;"moeda")*(Inputs!$G$5:$G$140&lt;&gt;"acoes")))*INDEX(Inputs!$K$5:$AJ$140,0,MATCH(F$2,Inputs!$K$4:$AJ$4,0)))+SUMPRODUCT((Inputs!$C$5:$C$140=$B65)*Inputs!$D$5:$D$140*(((Inputs!$G$5:$G$140="moeda")+(Inputs!$G$5:$G$140="acoes"))*Inputs!$B$1+((Inputs!$G$5:$G$140&lt;&gt;"moeda")*(Inputs!$G$5:$G$140&lt;&gt;"acoes")))*INDEX(Inputs!$K$5:$AJ$140,0,MATCH(F$2,Inputs!$K$4:$AJ$4,0)))+SUMPRODUCT((Inputs!$E$5:$E$140=$B65)*Inputs!$F$5:$F$140*(((Inputs!$G$5:$G$140="moeda")+(Inputs!$G$5:$G$140="acoes"))*Inputs!$B$1+((Inputs!$G$5:$G$140&lt;&gt;"moeda")*(Inputs!$G$5:$G$140&lt;&gt;"acoes")))*INDEX(Inputs!$K$5:$AJ$140,0,MATCH(F$2,Inputs!$K$4:$AJ$4,0)))))</f>
        <v>0</v>
      </c>
      <c r="G65" s="262">
        <f>IF(ISNA(MATCH(G$2,Inputs!$K$4:$AJ$4,0)),NA(),IF(SUMPRODUCT((Inputs!$A$5:$A$140=$B65)*ISNUMBER(INDEX(Inputs!$K$5:$AJ$140,0,MATCH(G$2,Inputs!$K$4:$AJ$4,0))))+SUMPRODUCT((Inputs!$C$5:$C$140=$B65)*ISNUMBER(INDEX(Inputs!$K$5:$AJ$140,0,MATCH(G$2,Inputs!$K$4:$AJ$4,0))))+SUMPRODUCT((Inputs!$E$5:$E$140=$B65)*ISNUMBER(INDEX(Inputs!$K$5:$AJ$140,0,MATCH(G$2,Inputs!$K$4:$AJ$4,0))))=0,NA(),SUMPRODUCT((Inputs!$A$5:$A$140=$B65)*Inputs!$B$5:$B$140*(((Inputs!$G$5:$G$140="moeda")+(Inputs!$G$5:$G$140="acoes"))*Inputs!$B$1+((Inputs!$G$5:$G$140&lt;&gt;"moeda")*(Inputs!$G$5:$G$140&lt;&gt;"acoes")))*INDEX(Inputs!$K$5:$AJ$140,0,MATCH(G$2,Inputs!$K$4:$AJ$4,0)))+SUMPRODUCT((Inputs!$C$5:$C$140=$B65)*Inputs!$D$5:$D$140*(((Inputs!$G$5:$G$140="moeda")+(Inputs!$G$5:$G$140="acoes"))*Inputs!$B$1+((Inputs!$G$5:$G$140&lt;&gt;"moeda")*(Inputs!$G$5:$G$140&lt;&gt;"acoes")))*INDEX(Inputs!$K$5:$AJ$140,0,MATCH(G$2,Inputs!$K$4:$AJ$4,0)))+SUMPRODUCT((Inputs!$E$5:$E$140=$B65)*Inputs!$F$5:$F$140*(((Inputs!$G$5:$G$140="moeda")+(Inputs!$G$5:$G$140="acoes"))*Inputs!$B$1+((Inputs!$G$5:$G$140&lt;&gt;"moeda")*(Inputs!$G$5:$G$140&lt;&gt;"acoes")))*INDEX(Inputs!$K$5:$AJ$140,0,MATCH(G$2,Inputs!$K$4:$AJ$4,0)))))</f>
        <v>0</v>
      </c>
      <c r="H65" s="263">
        <f>G65</f>
        <v>0</v>
      </c>
      <c r="I65" s="262">
        <f>IF(ISNA(MATCH(I$2,Inputs!$K$4:$AJ$4,0)),NA(),IF(SUMPRODUCT((Inputs!$A$5:$A$140=$B65)*ISNUMBER(INDEX(Inputs!$K$5:$AJ$140,0,MATCH(I$2,Inputs!$K$4:$AJ$4,0))))+SUMPRODUCT((Inputs!$C$5:$C$140=$B65)*ISNUMBER(INDEX(Inputs!$K$5:$AJ$140,0,MATCH(I$2,Inputs!$K$4:$AJ$4,0))))+SUMPRODUCT((Inputs!$E$5:$E$140=$B65)*ISNUMBER(INDEX(Inputs!$K$5:$AJ$140,0,MATCH(I$2,Inputs!$K$4:$AJ$4,0))))=0,NA(),SUMPRODUCT((Inputs!$A$5:$A$140=$B65)*Inputs!$B$5:$B$140*(((Inputs!$G$5:$G$140="moeda")+(Inputs!$G$5:$G$140="acoes"))*Inputs!$B$1+((Inputs!$G$5:$G$140&lt;&gt;"moeda")*(Inputs!$G$5:$G$140&lt;&gt;"acoes")))*INDEX(Inputs!$K$5:$AJ$140,0,MATCH(I$2,Inputs!$K$4:$AJ$4,0)))+SUMPRODUCT((Inputs!$C$5:$C$140=$B65)*Inputs!$D$5:$D$140*(((Inputs!$G$5:$G$140="moeda")+(Inputs!$G$5:$G$140="acoes"))*Inputs!$B$1+((Inputs!$G$5:$G$140&lt;&gt;"moeda")*(Inputs!$G$5:$G$140&lt;&gt;"acoes")))*INDEX(Inputs!$K$5:$AJ$140,0,MATCH(I$2,Inputs!$K$4:$AJ$4,0)))+SUMPRODUCT((Inputs!$E$5:$E$140=$B65)*Inputs!$F$5:$F$140*(((Inputs!$G$5:$G$140="moeda")+(Inputs!$G$5:$G$140="acoes"))*Inputs!$B$1+((Inputs!$G$5:$G$140&lt;&gt;"moeda")*(Inputs!$G$5:$G$140&lt;&gt;"acoes")))*INDEX(Inputs!$K$5:$AJ$140,0,MATCH(I$2,Inputs!$K$4:$AJ$4,0)))))</f>
        <v>0</v>
      </c>
      <c r="J65" s="262">
        <f>IF(ISNA(MATCH(J$2,Inputs!$K$4:$AJ$4,0)),NA(),IF(SUMPRODUCT((Inputs!$A$5:$A$140=$B65)*ISNUMBER(INDEX(Inputs!$K$5:$AJ$140,0,MATCH(J$2,Inputs!$K$4:$AJ$4,0))))+SUMPRODUCT((Inputs!$C$5:$C$140=$B65)*ISNUMBER(INDEX(Inputs!$K$5:$AJ$140,0,MATCH(J$2,Inputs!$K$4:$AJ$4,0))))+SUMPRODUCT((Inputs!$E$5:$E$140=$B65)*ISNUMBER(INDEX(Inputs!$K$5:$AJ$140,0,MATCH(J$2,Inputs!$K$4:$AJ$4,0))))=0,NA(),SUMPRODUCT((Inputs!$A$5:$A$140=$B65)*Inputs!$B$5:$B$140*(((Inputs!$G$5:$G$140="moeda")+(Inputs!$G$5:$G$140="acoes"))*Inputs!$B$1+((Inputs!$G$5:$G$140&lt;&gt;"moeda")*(Inputs!$G$5:$G$140&lt;&gt;"acoes")))*INDEX(Inputs!$K$5:$AJ$140,0,MATCH(J$2,Inputs!$K$4:$AJ$4,0)))+SUMPRODUCT((Inputs!$C$5:$C$140=$B65)*Inputs!$D$5:$D$140*(((Inputs!$G$5:$G$140="moeda")+(Inputs!$G$5:$G$140="acoes"))*Inputs!$B$1+((Inputs!$G$5:$G$140&lt;&gt;"moeda")*(Inputs!$G$5:$G$140&lt;&gt;"acoes")))*INDEX(Inputs!$K$5:$AJ$140,0,MATCH(J$2,Inputs!$K$4:$AJ$4,0)))+SUMPRODUCT((Inputs!$E$5:$E$140=$B65)*Inputs!$F$5:$F$140*(((Inputs!$G$5:$G$140="moeda")+(Inputs!$G$5:$G$140="acoes"))*Inputs!$B$1+((Inputs!$G$5:$G$140&lt;&gt;"moeda")*(Inputs!$G$5:$G$140&lt;&gt;"acoes")))*INDEX(Inputs!$K$5:$AJ$140,0,MATCH(J$2,Inputs!$K$4:$AJ$4,0)))))</f>
        <v>0</v>
      </c>
      <c r="K65" s="262">
        <f>IF(ISNA(MATCH(K$2,Inputs!$K$4:$AJ$4,0)),NA(),IF(SUMPRODUCT((Inputs!$A$5:$A$140=$B65)*ISNUMBER(INDEX(Inputs!$K$5:$AJ$140,0,MATCH(K$2,Inputs!$K$4:$AJ$4,0))))+SUMPRODUCT((Inputs!$C$5:$C$140=$B65)*ISNUMBER(INDEX(Inputs!$K$5:$AJ$140,0,MATCH(K$2,Inputs!$K$4:$AJ$4,0))))+SUMPRODUCT((Inputs!$E$5:$E$140=$B65)*ISNUMBER(INDEX(Inputs!$K$5:$AJ$140,0,MATCH(K$2,Inputs!$K$4:$AJ$4,0))))=0,NA(),SUMPRODUCT((Inputs!$A$5:$A$140=$B65)*Inputs!$B$5:$B$140*(((Inputs!$G$5:$G$140="moeda")+(Inputs!$G$5:$G$140="acoes"))*Inputs!$B$1+((Inputs!$G$5:$G$140&lt;&gt;"moeda")*(Inputs!$G$5:$G$140&lt;&gt;"acoes")))*INDEX(Inputs!$K$5:$AJ$140,0,MATCH(K$2,Inputs!$K$4:$AJ$4,0)))+SUMPRODUCT((Inputs!$C$5:$C$140=$B65)*Inputs!$D$5:$D$140*(((Inputs!$G$5:$G$140="moeda")+(Inputs!$G$5:$G$140="acoes"))*Inputs!$B$1+((Inputs!$G$5:$G$140&lt;&gt;"moeda")*(Inputs!$G$5:$G$140&lt;&gt;"acoes")))*INDEX(Inputs!$K$5:$AJ$140,0,MATCH(K$2,Inputs!$K$4:$AJ$4,0)))+SUMPRODUCT((Inputs!$E$5:$E$140=$B65)*Inputs!$F$5:$F$140*(((Inputs!$G$5:$G$140="moeda")+(Inputs!$G$5:$G$140="acoes"))*Inputs!$B$1+((Inputs!$G$5:$G$140&lt;&gt;"moeda")*(Inputs!$G$5:$G$140&lt;&gt;"acoes")))*INDEX(Inputs!$K$5:$AJ$140,0,MATCH(K$2,Inputs!$K$4:$AJ$4,0)))))</f>
        <v>0</v>
      </c>
      <c r="L65" s="262">
        <f>IF(ISNA(MATCH(L$2,Inputs!$K$4:$AJ$4,0)),NA(),IF(SUMPRODUCT((Inputs!$A$5:$A$140=$B65)*ISNUMBER(INDEX(Inputs!$K$5:$AJ$140,0,MATCH(L$2,Inputs!$K$4:$AJ$4,0))))+SUMPRODUCT((Inputs!$C$5:$C$140=$B65)*ISNUMBER(INDEX(Inputs!$K$5:$AJ$140,0,MATCH(L$2,Inputs!$K$4:$AJ$4,0))))+SUMPRODUCT((Inputs!$E$5:$E$140=$B65)*ISNUMBER(INDEX(Inputs!$K$5:$AJ$140,0,MATCH(L$2,Inputs!$K$4:$AJ$4,0))))=0,NA(),SUMPRODUCT((Inputs!$A$5:$A$140=$B65)*Inputs!$B$5:$B$140*(((Inputs!$G$5:$G$140="moeda")+(Inputs!$G$5:$G$140="acoes"))*Inputs!$B$1+((Inputs!$G$5:$G$140&lt;&gt;"moeda")*(Inputs!$G$5:$G$140&lt;&gt;"acoes")))*INDEX(Inputs!$K$5:$AJ$140,0,MATCH(L$2,Inputs!$K$4:$AJ$4,0)))+SUMPRODUCT((Inputs!$C$5:$C$140=$B65)*Inputs!$D$5:$D$140*(((Inputs!$G$5:$G$140="moeda")+(Inputs!$G$5:$G$140="acoes"))*Inputs!$B$1+((Inputs!$G$5:$G$140&lt;&gt;"moeda")*(Inputs!$G$5:$G$140&lt;&gt;"acoes")))*INDEX(Inputs!$K$5:$AJ$140,0,MATCH(L$2,Inputs!$K$4:$AJ$4,0)))+SUMPRODUCT((Inputs!$E$5:$E$140=$B65)*Inputs!$F$5:$F$140*(((Inputs!$G$5:$G$140="moeda")+(Inputs!$G$5:$G$140="acoes"))*Inputs!$B$1+((Inputs!$G$5:$G$140&lt;&gt;"moeda")*(Inputs!$G$5:$G$140&lt;&gt;"acoes")))*INDEX(Inputs!$K$5:$AJ$140,0,MATCH(L$2,Inputs!$K$4:$AJ$4,0)))))</f>
        <v>0</v>
      </c>
      <c r="M65" s="263">
        <f>L65</f>
        <v>0</v>
      </c>
      <c r="N65" s="262">
        <f>IF(ISNA(MATCH(N$2,Inputs!$K$4:$AJ$4,0)),NA(),IF(SUMPRODUCT((Inputs!$A$5:$A$140=$B65)*ISNUMBER(INDEX(Inputs!$K$5:$AJ$140,0,MATCH(N$2,Inputs!$K$4:$AJ$4,0))))+SUMPRODUCT((Inputs!$C$5:$C$140=$B65)*ISNUMBER(INDEX(Inputs!$K$5:$AJ$140,0,MATCH(N$2,Inputs!$K$4:$AJ$4,0))))+SUMPRODUCT((Inputs!$E$5:$E$140=$B65)*ISNUMBER(INDEX(Inputs!$K$5:$AJ$140,0,MATCH(N$2,Inputs!$K$4:$AJ$4,0))))=0,NA(),SUMPRODUCT((Inputs!$A$5:$A$140=$B65)*Inputs!$B$5:$B$140*(((Inputs!$G$5:$G$140="moeda")+(Inputs!$G$5:$G$140="acoes"))*Inputs!$B$1+((Inputs!$G$5:$G$140&lt;&gt;"moeda")*(Inputs!$G$5:$G$140&lt;&gt;"acoes")))*INDEX(Inputs!$K$5:$AJ$140,0,MATCH(N$2,Inputs!$K$4:$AJ$4,0)))+SUMPRODUCT((Inputs!$C$5:$C$140=$B65)*Inputs!$D$5:$D$140*(((Inputs!$G$5:$G$140="moeda")+(Inputs!$G$5:$G$140="acoes"))*Inputs!$B$1+((Inputs!$G$5:$G$140&lt;&gt;"moeda")*(Inputs!$G$5:$G$140&lt;&gt;"acoes")))*INDEX(Inputs!$K$5:$AJ$140,0,MATCH(N$2,Inputs!$K$4:$AJ$4,0)))+SUMPRODUCT((Inputs!$E$5:$E$140=$B65)*Inputs!$F$5:$F$140*(((Inputs!$G$5:$G$140="moeda")+(Inputs!$G$5:$G$140="acoes"))*Inputs!$B$1+((Inputs!$G$5:$G$140&lt;&gt;"moeda")*(Inputs!$G$5:$G$140&lt;&gt;"acoes")))*INDEX(Inputs!$K$5:$AJ$140,0,MATCH(N$2,Inputs!$K$4:$AJ$4,0)))))</f>
        <v>0</v>
      </c>
      <c r="O65" s="262">
        <f>IF(ISNA(MATCH(O$2,Inputs!$K$4:$AJ$4,0)),NA(),IF(SUMPRODUCT((Inputs!$A$5:$A$140=$B65)*ISNUMBER(INDEX(Inputs!$K$5:$AJ$140,0,MATCH(O$2,Inputs!$K$4:$AJ$4,0))))+SUMPRODUCT((Inputs!$C$5:$C$140=$B65)*ISNUMBER(INDEX(Inputs!$K$5:$AJ$140,0,MATCH(O$2,Inputs!$K$4:$AJ$4,0))))+SUMPRODUCT((Inputs!$E$5:$E$140=$B65)*ISNUMBER(INDEX(Inputs!$K$5:$AJ$140,0,MATCH(O$2,Inputs!$K$4:$AJ$4,0))))=0,NA(),SUMPRODUCT((Inputs!$A$5:$A$140=$B65)*Inputs!$B$5:$B$140*(((Inputs!$G$5:$G$140="moeda")+(Inputs!$G$5:$G$140="acoes"))*Inputs!$B$1+((Inputs!$G$5:$G$140&lt;&gt;"moeda")*(Inputs!$G$5:$G$140&lt;&gt;"acoes")))*INDEX(Inputs!$K$5:$AJ$140,0,MATCH(O$2,Inputs!$K$4:$AJ$4,0)))+SUMPRODUCT((Inputs!$C$5:$C$140=$B65)*Inputs!$D$5:$D$140*(((Inputs!$G$5:$G$140="moeda")+(Inputs!$G$5:$G$140="acoes"))*Inputs!$B$1+((Inputs!$G$5:$G$140&lt;&gt;"moeda")*(Inputs!$G$5:$G$140&lt;&gt;"acoes")))*INDEX(Inputs!$K$5:$AJ$140,0,MATCH(O$2,Inputs!$K$4:$AJ$4,0)))+SUMPRODUCT((Inputs!$E$5:$E$140=$B65)*Inputs!$F$5:$F$140*(((Inputs!$G$5:$G$140="moeda")+(Inputs!$G$5:$G$140="acoes"))*Inputs!$B$1+((Inputs!$G$5:$G$140&lt;&gt;"moeda")*(Inputs!$G$5:$G$140&lt;&gt;"acoes")))*INDEX(Inputs!$K$5:$AJ$140,0,MATCH(O$2,Inputs!$K$4:$AJ$4,0)))))</f>
        <v>0</v>
      </c>
      <c r="P65" s="262">
        <f>IF(ISNA(MATCH(P$2,Inputs!$K$4:$AJ$4,0)),NA(),IF(SUMPRODUCT((Inputs!$A$5:$A$140=$B65)*ISNUMBER(INDEX(Inputs!$K$5:$AJ$140,0,MATCH(P$2,Inputs!$K$4:$AJ$4,0))))+SUMPRODUCT((Inputs!$C$5:$C$140=$B65)*ISNUMBER(INDEX(Inputs!$K$5:$AJ$140,0,MATCH(P$2,Inputs!$K$4:$AJ$4,0))))+SUMPRODUCT((Inputs!$E$5:$E$140=$B65)*ISNUMBER(INDEX(Inputs!$K$5:$AJ$140,0,MATCH(P$2,Inputs!$K$4:$AJ$4,0))))=0,NA(),SUMPRODUCT((Inputs!$A$5:$A$140=$B65)*Inputs!$B$5:$B$140*(((Inputs!$G$5:$G$140="moeda")+(Inputs!$G$5:$G$140="acoes"))*Inputs!$B$1+((Inputs!$G$5:$G$140&lt;&gt;"moeda")*(Inputs!$G$5:$G$140&lt;&gt;"acoes")))*INDEX(Inputs!$K$5:$AJ$140,0,MATCH(P$2,Inputs!$K$4:$AJ$4,0)))+SUMPRODUCT((Inputs!$C$5:$C$140=$B65)*Inputs!$D$5:$D$140*(((Inputs!$G$5:$G$140="moeda")+(Inputs!$G$5:$G$140="acoes"))*Inputs!$B$1+((Inputs!$G$5:$G$140&lt;&gt;"moeda")*(Inputs!$G$5:$G$140&lt;&gt;"acoes")))*INDEX(Inputs!$K$5:$AJ$140,0,MATCH(P$2,Inputs!$K$4:$AJ$4,0)))+SUMPRODUCT((Inputs!$E$5:$E$140=$B65)*Inputs!$F$5:$F$140*(((Inputs!$G$5:$G$140="moeda")+(Inputs!$G$5:$G$140="acoes"))*Inputs!$B$1+((Inputs!$G$5:$G$140&lt;&gt;"moeda")*(Inputs!$G$5:$G$140&lt;&gt;"acoes")))*INDEX(Inputs!$K$5:$AJ$140,0,MATCH(P$2,Inputs!$K$4:$AJ$4,0)))))</f>
        <v>0</v>
      </c>
      <c r="Q65" s="262">
        <f>IF(ISNA(MATCH(Q$2,Inputs!$K$4:$AJ$4,0)),NA(),IF(SUMPRODUCT((Inputs!$A$5:$A$140=$B65)*ISNUMBER(INDEX(Inputs!$K$5:$AJ$140,0,MATCH(Q$2,Inputs!$K$4:$AJ$4,0))))+SUMPRODUCT((Inputs!$C$5:$C$140=$B65)*ISNUMBER(INDEX(Inputs!$K$5:$AJ$140,0,MATCH(Q$2,Inputs!$K$4:$AJ$4,0))))+SUMPRODUCT((Inputs!$E$5:$E$140=$B65)*ISNUMBER(INDEX(Inputs!$K$5:$AJ$140,0,MATCH(Q$2,Inputs!$K$4:$AJ$4,0))))=0,NA(),SUMPRODUCT((Inputs!$A$5:$A$140=$B65)*Inputs!$B$5:$B$140*(((Inputs!$G$5:$G$140="moeda")+(Inputs!$G$5:$G$140="acoes"))*Inputs!$B$1+((Inputs!$G$5:$G$140&lt;&gt;"moeda")*(Inputs!$G$5:$G$140&lt;&gt;"acoes")))*INDEX(Inputs!$K$5:$AJ$140,0,MATCH(Q$2,Inputs!$K$4:$AJ$4,0)))+SUMPRODUCT((Inputs!$C$5:$C$140=$B65)*Inputs!$D$5:$D$140*(((Inputs!$G$5:$G$140="moeda")+(Inputs!$G$5:$G$140="acoes"))*Inputs!$B$1+((Inputs!$G$5:$G$140&lt;&gt;"moeda")*(Inputs!$G$5:$G$140&lt;&gt;"acoes")))*INDEX(Inputs!$K$5:$AJ$140,0,MATCH(Q$2,Inputs!$K$4:$AJ$4,0)))+SUMPRODUCT((Inputs!$E$5:$E$140=$B65)*Inputs!$F$5:$F$140*(((Inputs!$G$5:$G$140="moeda")+(Inputs!$G$5:$G$140="acoes"))*Inputs!$B$1+((Inputs!$G$5:$G$140&lt;&gt;"moeda")*(Inputs!$G$5:$G$140&lt;&gt;"acoes")))*INDEX(Inputs!$K$5:$AJ$140,0,MATCH(Q$2,Inputs!$K$4:$AJ$4,0)))))</f>
        <v>0</v>
      </c>
      <c r="R65" s="263">
        <f>Q65</f>
        <v>0</v>
      </c>
      <c r="S65" s="262">
        <f>IF(ISNA(MATCH(S$2,Inputs!$K$4:$AJ$4,0)),NA(),IF(SUMPRODUCT((Inputs!$A$5:$A$140=$B65)*ISNUMBER(INDEX(Inputs!$K$5:$AJ$140,0,MATCH(S$2,Inputs!$K$4:$AJ$4,0))))+SUMPRODUCT((Inputs!$C$5:$C$140=$B65)*ISNUMBER(INDEX(Inputs!$K$5:$AJ$140,0,MATCH(S$2,Inputs!$K$4:$AJ$4,0))))+SUMPRODUCT((Inputs!$E$5:$E$140=$B65)*ISNUMBER(INDEX(Inputs!$K$5:$AJ$140,0,MATCH(S$2,Inputs!$K$4:$AJ$4,0))))=0,NA(),SUMPRODUCT((Inputs!$A$5:$A$140=$B65)*Inputs!$B$5:$B$140*(((Inputs!$G$5:$G$140="moeda")+(Inputs!$G$5:$G$140="acoes"))*Inputs!$B$1+((Inputs!$G$5:$G$140&lt;&gt;"moeda")*(Inputs!$G$5:$G$140&lt;&gt;"acoes")))*INDEX(Inputs!$K$5:$AJ$140,0,MATCH(S$2,Inputs!$K$4:$AJ$4,0)))+SUMPRODUCT((Inputs!$C$5:$C$140=$B65)*Inputs!$D$5:$D$140*(((Inputs!$G$5:$G$140="moeda")+(Inputs!$G$5:$G$140="acoes"))*Inputs!$B$1+((Inputs!$G$5:$G$140&lt;&gt;"moeda")*(Inputs!$G$5:$G$140&lt;&gt;"acoes")))*INDEX(Inputs!$K$5:$AJ$140,0,MATCH(S$2,Inputs!$K$4:$AJ$4,0)))+SUMPRODUCT((Inputs!$E$5:$E$140=$B65)*Inputs!$F$5:$F$140*(((Inputs!$G$5:$G$140="moeda")+(Inputs!$G$5:$G$140="acoes"))*Inputs!$B$1+((Inputs!$G$5:$G$140&lt;&gt;"moeda")*(Inputs!$G$5:$G$140&lt;&gt;"acoes")))*INDEX(Inputs!$K$5:$AJ$140,0,MATCH(S$2,Inputs!$K$4:$AJ$4,0)))))</f>
        <v>0</v>
      </c>
      <c r="T65" s="262">
        <f>IF(ISNA(MATCH(T$2,Inputs!$K$4:$AJ$4,0)),NA(),IF(SUMPRODUCT((Inputs!$A$5:$A$140=$B65)*ISNUMBER(INDEX(Inputs!$K$5:$AJ$140,0,MATCH(T$2,Inputs!$K$4:$AJ$4,0))))+SUMPRODUCT((Inputs!$C$5:$C$140=$B65)*ISNUMBER(INDEX(Inputs!$K$5:$AJ$140,0,MATCH(T$2,Inputs!$K$4:$AJ$4,0))))+SUMPRODUCT((Inputs!$E$5:$E$140=$B65)*ISNUMBER(INDEX(Inputs!$K$5:$AJ$140,0,MATCH(T$2,Inputs!$K$4:$AJ$4,0))))=0,NA(),SUMPRODUCT((Inputs!$A$5:$A$140=$B65)*Inputs!$B$5:$B$140*(((Inputs!$G$5:$G$140="moeda")+(Inputs!$G$5:$G$140="acoes"))*Inputs!$B$1+((Inputs!$G$5:$G$140&lt;&gt;"moeda")*(Inputs!$G$5:$G$140&lt;&gt;"acoes")))*INDEX(Inputs!$K$5:$AJ$140,0,MATCH(T$2,Inputs!$K$4:$AJ$4,0)))+SUMPRODUCT((Inputs!$C$5:$C$140=$B65)*Inputs!$D$5:$D$140*(((Inputs!$G$5:$G$140="moeda")+(Inputs!$G$5:$G$140="acoes"))*Inputs!$B$1+((Inputs!$G$5:$G$140&lt;&gt;"moeda")*(Inputs!$G$5:$G$140&lt;&gt;"acoes")))*INDEX(Inputs!$K$5:$AJ$140,0,MATCH(T$2,Inputs!$K$4:$AJ$4,0)))+SUMPRODUCT((Inputs!$E$5:$E$140=$B65)*Inputs!$F$5:$F$140*(((Inputs!$G$5:$G$140="moeda")+(Inputs!$G$5:$G$140="acoes"))*Inputs!$B$1+((Inputs!$G$5:$G$140&lt;&gt;"moeda")*(Inputs!$G$5:$G$140&lt;&gt;"acoes")))*INDEX(Inputs!$K$5:$AJ$140,0,MATCH(T$2,Inputs!$K$4:$AJ$4,0)))))</f>
        <v>0</v>
      </c>
      <c r="U65" s="262">
        <f>IF(ISNA(MATCH(U$2,Inputs!$K$4:$AJ$4,0)),NA(),IF(SUMPRODUCT((Inputs!$A$5:$A$140=$B65)*ISNUMBER(INDEX(Inputs!$K$5:$AJ$140,0,MATCH(U$2,Inputs!$K$4:$AJ$4,0))))+SUMPRODUCT((Inputs!$C$5:$C$140=$B65)*ISNUMBER(INDEX(Inputs!$K$5:$AJ$140,0,MATCH(U$2,Inputs!$K$4:$AJ$4,0))))+SUMPRODUCT((Inputs!$E$5:$E$140=$B65)*ISNUMBER(INDEX(Inputs!$K$5:$AJ$140,0,MATCH(U$2,Inputs!$K$4:$AJ$4,0))))=0,NA(),SUMPRODUCT((Inputs!$A$5:$A$140=$B65)*Inputs!$B$5:$B$140*(((Inputs!$G$5:$G$140="moeda")+(Inputs!$G$5:$G$140="acoes"))*Inputs!$B$1+((Inputs!$G$5:$G$140&lt;&gt;"moeda")*(Inputs!$G$5:$G$140&lt;&gt;"acoes")))*INDEX(Inputs!$K$5:$AJ$140,0,MATCH(U$2,Inputs!$K$4:$AJ$4,0)))+SUMPRODUCT((Inputs!$C$5:$C$140=$B65)*Inputs!$D$5:$D$140*(((Inputs!$G$5:$G$140="moeda")+(Inputs!$G$5:$G$140="acoes"))*Inputs!$B$1+((Inputs!$G$5:$G$140&lt;&gt;"moeda")*(Inputs!$G$5:$G$140&lt;&gt;"acoes")))*INDEX(Inputs!$K$5:$AJ$140,0,MATCH(U$2,Inputs!$K$4:$AJ$4,0)))+SUMPRODUCT((Inputs!$E$5:$E$140=$B65)*Inputs!$F$5:$F$140*(((Inputs!$G$5:$G$140="moeda")+(Inputs!$G$5:$G$140="acoes"))*Inputs!$B$1+((Inputs!$G$5:$G$140&lt;&gt;"moeda")*(Inputs!$G$5:$G$140&lt;&gt;"acoes")))*INDEX(Inputs!$K$5:$AJ$140,0,MATCH(U$2,Inputs!$K$4:$AJ$4,0)))))</f>
        <v>0</v>
      </c>
      <c r="V65" s="262">
        <f>IF(ISNA(MATCH(V$2,Inputs!$K$4:$AJ$4,0)),NA(),IF(SUMPRODUCT((Inputs!$A$5:$A$140=$B65)*ISNUMBER(INDEX(Inputs!$K$5:$AJ$140,0,MATCH(V$2,Inputs!$K$4:$AJ$4,0))))+SUMPRODUCT((Inputs!$C$5:$C$140=$B65)*ISNUMBER(INDEX(Inputs!$K$5:$AJ$140,0,MATCH(V$2,Inputs!$K$4:$AJ$4,0))))+SUMPRODUCT((Inputs!$E$5:$E$140=$B65)*ISNUMBER(INDEX(Inputs!$K$5:$AJ$140,0,MATCH(V$2,Inputs!$K$4:$AJ$4,0))))=0,NA(),SUMPRODUCT((Inputs!$A$5:$A$140=$B65)*Inputs!$B$5:$B$140*(((Inputs!$G$5:$G$140="moeda")+(Inputs!$G$5:$G$140="acoes"))*Inputs!$B$1+((Inputs!$G$5:$G$140&lt;&gt;"moeda")*(Inputs!$G$5:$G$140&lt;&gt;"acoes")))*INDEX(Inputs!$K$5:$AJ$140,0,MATCH(V$2,Inputs!$K$4:$AJ$4,0)))+SUMPRODUCT((Inputs!$C$5:$C$140=$B65)*Inputs!$D$5:$D$140*(((Inputs!$G$5:$G$140="moeda")+(Inputs!$G$5:$G$140="acoes"))*Inputs!$B$1+((Inputs!$G$5:$G$140&lt;&gt;"moeda")*(Inputs!$G$5:$G$140&lt;&gt;"acoes")))*INDEX(Inputs!$K$5:$AJ$140,0,MATCH(V$2,Inputs!$K$4:$AJ$4,0)))+SUMPRODUCT((Inputs!$E$5:$E$140=$B65)*Inputs!$F$5:$F$140*(((Inputs!$G$5:$G$140="moeda")+(Inputs!$G$5:$G$140="acoes"))*Inputs!$B$1+((Inputs!$G$5:$G$140&lt;&gt;"moeda")*(Inputs!$G$5:$G$140&lt;&gt;"acoes")))*INDEX(Inputs!$K$5:$AJ$140,0,MATCH(V$2,Inputs!$K$4:$AJ$4,0)))))</f>
        <v>0</v>
      </c>
      <c r="W65" s="263">
        <f>V65</f>
        <v>0</v>
      </c>
      <c r="X65" s="262">
        <f>IF(ISNA(MATCH(X$2,Inputs!$K$4:$AJ$4,0)),NA(),IF(SUMPRODUCT((Inputs!$A$5:$A$140=$B65)*ISNUMBER(INDEX(Inputs!$K$5:$AJ$140,0,MATCH(X$2,Inputs!$K$4:$AJ$4,0))))+SUMPRODUCT((Inputs!$C$5:$C$140=$B65)*ISNUMBER(INDEX(Inputs!$K$5:$AJ$140,0,MATCH(X$2,Inputs!$K$4:$AJ$4,0))))+SUMPRODUCT((Inputs!$E$5:$E$140=$B65)*ISNUMBER(INDEX(Inputs!$K$5:$AJ$140,0,MATCH(X$2,Inputs!$K$4:$AJ$4,0))))=0,NA(),SUMPRODUCT((Inputs!$A$5:$A$140=$B65)*Inputs!$B$5:$B$140*(((Inputs!$G$5:$G$140="moeda")+(Inputs!$G$5:$G$140="acoes"))*Inputs!$B$1+((Inputs!$G$5:$G$140&lt;&gt;"moeda")*(Inputs!$G$5:$G$140&lt;&gt;"acoes")))*INDEX(Inputs!$K$5:$AJ$140,0,MATCH(X$2,Inputs!$K$4:$AJ$4,0)))+SUMPRODUCT((Inputs!$C$5:$C$140=$B65)*Inputs!$D$5:$D$140*(((Inputs!$G$5:$G$140="moeda")+(Inputs!$G$5:$G$140="acoes"))*Inputs!$B$1+((Inputs!$G$5:$G$140&lt;&gt;"moeda")*(Inputs!$G$5:$G$140&lt;&gt;"acoes")))*INDEX(Inputs!$K$5:$AJ$140,0,MATCH(X$2,Inputs!$K$4:$AJ$4,0)))+SUMPRODUCT((Inputs!$E$5:$E$140=$B65)*Inputs!$F$5:$F$140*(((Inputs!$G$5:$G$140="moeda")+(Inputs!$G$5:$G$140="acoes"))*Inputs!$B$1+((Inputs!$G$5:$G$140&lt;&gt;"moeda")*(Inputs!$G$5:$G$140&lt;&gt;"acoes")))*INDEX(Inputs!$K$5:$AJ$140,0,MATCH(X$2,Inputs!$K$4:$AJ$4,0)))))</f>
        <v>0</v>
      </c>
      <c r="Y65" s="262">
        <f>IF(ISNA(MATCH(Y$2,Inputs!$K$4:$AJ$4,0)),NA(),IF(SUMPRODUCT((Inputs!$A$5:$A$140=$B65)*ISNUMBER(INDEX(Inputs!$K$5:$AJ$140,0,MATCH(Y$2,Inputs!$K$4:$AJ$4,0))))+SUMPRODUCT((Inputs!$C$5:$C$140=$B65)*ISNUMBER(INDEX(Inputs!$K$5:$AJ$140,0,MATCH(Y$2,Inputs!$K$4:$AJ$4,0))))+SUMPRODUCT((Inputs!$E$5:$E$140=$B65)*ISNUMBER(INDEX(Inputs!$K$5:$AJ$140,0,MATCH(Y$2,Inputs!$K$4:$AJ$4,0))))=0,NA(),SUMPRODUCT((Inputs!$A$5:$A$140=$B65)*Inputs!$B$5:$B$140*(((Inputs!$G$5:$G$140="moeda")+(Inputs!$G$5:$G$140="acoes"))*Inputs!$B$1+((Inputs!$G$5:$G$140&lt;&gt;"moeda")*(Inputs!$G$5:$G$140&lt;&gt;"acoes")))*INDEX(Inputs!$K$5:$AJ$140,0,MATCH(Y$2,Inputs!$K$4:$AJ$4,0)))+SUMPRODUCT((Inputs!$C$5:$C$140=$B65)*Inputs!$D$5:$D$140*(((Inputs!$G$5:$G$140="moeda")+(Inputs!$G$5:$G$140="acoes"))*Inputs!$B$1+((Inputs!$G$5:$G$140&lt;&gt;"moeda")*(Inputs!$G$5:$G$140&lt;&gt;"acoes")))*INDEX(Inputs!$K$5:$AJ$140,0,MATCH(Y$2,Inputs!$K$4:$AJ$4,0)))+SUMPRODUCT((Inputs!$E$5:$E$140=$B65)*Inputs!$F$5:$F$140*(((Inputs!$G$5:$G$140="moeda")+(Inputs!$G$5:$G$140="acoes"))*Inputs!$B$1+((Inputs!$G$5:$G$140&lt;&gt;"moeda")*(Inputs!$G$5:$G$140&lt;&gt;"acoes")))*INDEX(Inputs!$K$5:$AJ$140,0,MATCH(Y$2,Inputs!$K$4:$AJ$4,0)))))</f>
        <v>0</v>
      </c>
      <c r="Z65" s="262">
        <f>IF(ISNA(MATCH(Z$2,Inputs!$K$4:$AJ$4,0)),NA(),IF(SUMPRODUCT((Inputs!$A$5:$A$140=$B65)*ISNUMBER(INDEX(Inputs!$K$5:$AJ$140,0,MATCH(Z$2,Inputs!$K$4:$AJ$4,0))))+SUMPRODUCT((Inputs!$C$5:$C$140=$B65)*ISNUMBER(INDEX(Inputs!$K$5:$AJ$140,0,MATCH(Z$2,Inputs!$K$4:$AJ$4,0))))+SUMPRODUCT((Inputs!$E$5:$E$140=$B65)*ISNUMBER(INDEX(Inputs!$K$5:$AJ$140,0,MATCH(Z$2,Inputs!$K$4:$AJ$4,0))))=0,NA(),SUMPRODUCT((Inputs!$A$5:$A$140=$B65)*Inputs!$B$5:$B$140*(((Inputs!$G$5:$G$140="moeda")+(Inputs!$G$5:$G$140="acoes"))*Inputs!$B$1+((Inputs!$G$5:$G$140&lt;&gt;"moeda")*(Inputs!$G$5:$G$140&lt;&gt;"acoes")))*INDEX(Inputs!$K$5:$AJ$140,0,MATCH(Z$2,Inputs!$K$4:$AJ$4,0)))+SUMPRODUCT((Inputs!$C$5:$C$140=$B65)*Inputs!$D$5:$D$140*(((Inputs!$G$5:$G$140="moeda")+(Inputs!$G$5:$G$140="acoes"))*Inputs!$B$1+((Inputs!$G$5:$G$140&lt;&gt;"moeda")*(Inputs!$G$5:$G$140&lt;&gt;"acoes")))*INDEX(Inputs!$K$5:$AJ$140,0,MATCH(Z$2,Inputs!$K$4:$AJ$4,0)))+SUMPRODUCT((Inputs!$E$5:$E$140=$B65)*Inputs!$F$5:$F$140*(((Inputs!$G$5:$G$140="moeda")+(Inputs!$G$5:$G$140="acoes"))*Inputs!$B$1+((Inputs!$G$5:$G$140&lt;&gt;"moeda")*(Inputs!$G$5:$G$140&lt;&gt;"acoes")))*INDEX(Inputs!$K$5:$AJ$140,0,MATCH(Z$2,Inputs!$K$4:$AJ$4,0)))))</f>
        <v>137197</v>
      </c>
      <c r="AA65" s="262">
        <f>IF(ISNA(MATCH(AA$2,Inputs!$K$4:$AJ$4,0)),NA(),IF(SUMPRODUCT((Inputs!$A$5:$A$140=$B65)*ISNUMBER(INDEX(Inputs!$K$5:$AJ$140,0,MATCH(AA$2,Inputs!$K$4:$AJ$4,0))))+SUMPRODUCT((Inputs!$C$5:$C$140=$B65)*ISNUMBER(INDEX(Inputs!$K$5:$AJ$140,0,MATCH(AA$2,Inputs!$K$4:$AJ$4,0))))+SUMPRODUCT((Inputs!$E$5:$E$140=$B65)*ISNUMBER(INDEX(Inputs!$K$5:$AJ$140,0,MATCH(AA$2,Inputs!$K$4:$AJ$4,0))))=0,NA(),SUMPRODUCT((Inputs!$A$5:$A$140=$B65)*Inputs!$B$5:$B$140*(((Inputs!$G$5:$G$140="moeda")+(Inputs!$G$5:$G$140="acoes"))*Inputs!$B$1+((Inputs!$G$5:$G$140&lt;&gt;"moeda")*(Inputs!$G$5:$G$140&lt;&gt;"acoes")))*INDEX(Inputs!$K$5:$AJ$140,0,MATCH(AA$2,Inputs!$K$4:$AJ$4,0)))+SUMPRODUCT((Inputs!$C$5:$C$140=$B65)*Inputs!$D$5:$D$140*(((Inputs!$G$5:$G$140="moeda")+(Inputs!$G$5:$G$140="acoes"))*Inputs!$B$1+((Inputs!$G$5:$G$140&lt;&gt;"moeda")*(Inputs!$G$5:$G$140&lt;&gt;"acoes")))*INDEX(Inputs!$K$5:$AJ$140,0,MATCH(AA$2,Inputs!$K$4:$AJ$4,0)))+SUMPRODUCT((Inputs!$E$5:$E$140=$B65)*Inputs!$F$5:$F$140*(((Inputs!$G$5:$G$140="moeda")+(Inputs!$G$5:$G$140="acoes"))*Inputs!$B$1+((Inputs!$G$5:$G$140&lt;&gt;"moeda")*(Inputs!$G$5:$G$140&lt;&gt;"acoes")))*INDEX(Inputs!$K$5:$AJ$140,0,MATCH(AA$2,Inputs!$K$4:$AJ$4,0)))))</f>
        <v>140920.05</v>
      </c>
      <c r="AB65" s="263">
        <f>AA65</f>
        <v>140920.05</v>
      </c>
      <c r="AC65" s="262">
        <f>IF(ISNA(MATCH(AC$2,Inputs!$K$4:$AJ$4,0)),NA(),IF(SUMPRODUCT((Inputs!$A$5:$A$140=$B65)*ISNUMBER(INDEX(Inputs!$K$5:$AJ$140,0,MATCH(AC$2,Inputs!$K$4:$AJ$4,0))))+SUMPRODUCT((Inputs!$C$5:$C$140=$B65)*ISNUMBER(INDEX(Inputs!$K$5:$AJ$140,0,MATCH(AC$2,Inputs!$K$4:$AJ$4,0))))+SUMPRODUCT((Inputs!$E$5:$E$140=$B65)*ISNUMBER(INDEX(Inputs!$K$5:$AJ$140,0,MATCH(AC$2,Inputs!$K$4:$AJ$4,0))))=0,NA(),SUMPRODUCT((Inputs!$A$5:$A$140=$B65)*Inputs!$B$5:$B$140*(((Inputs!$G$5:$G$140="moeda")+(Inputs!$G$5:$G$140="acoes"))*Inputs!$B$1+((Inputs!$G$5:$G$140&lt;&gt;"moeda")*(Inputs!$G$5:$G$140&lt;&gt;"acoes")))*INDEX(Inputs!$K$5:$AJ$140,0,MATCH(AC$2,Inputs!$K$4:$AJ$4,0)))+SUMPRODUCT((Inputs!$C$5:$C$140=$B65)*Inputs!$D$5:$D$140*(((Inputs!$G$5:$G$140="moeda")+(Inputs!$G$5:$G$140="acoes"))*Inputs!$B$1+((Inputs!$G$5:$G$140&lt;&gt;"moeda")*(Inputs!$G$5:$G$140&lt;&gt;"acoes")))*INDEX(Inputs!$K$5:$AJ$140,0,MATCH(AC$2,Inputs!$K$4:$AJ$4,0)))+SUMPRODUCT((Inputs!$E$5:$E$140=$B65)*Inputs!$F$5:$F$140*(((Inputs!$G$5:$G$140="moeda")+(Inputs!$G$5:$G$140="acoes"))*Inputs!$B$1+((Inputs!$G$5:$G$140&lt;&gt;"moeda")*(Inputs!$G$5:$G$140&lt;&gt;"acoes")))*INDEX(Inputs!$K$5:$AJ$140,0,MATCH(AC$2,Inputs!$K$4:$AJ$4,0)))))</f>
        <v>140920</v>
      </c>
      <c r="AD65" s="262">
        <f>IF(ISNA(MATCH(AD$2,Inputs!$K$4:$AJ$4,0)),NA(),IF(SUMPRODUCT((Inputs!$A$5:$A$140=$B65)*ISNUMBER(INDEX(Inputs!$K$5:$AJ$140,0,MATCH(AD$2,Inputs!$K$4:$AJ$4,0))))+SUMPRODUCT((Inputs!$C$5:$C$140=$B65)*ISNUMBER(INDEX(Inputs!$K$5:$AJ$140,0,MATCH(AD$2,Inputs!$K$4:$AJ$4,0))))+SUMPRODUCT((Inputs!$E$5:$E$140=$B65)*ISNUMBER(INDEX(Inputs!$K$5:$AJ$140,0,MATCH(AD$2,Inputs!$K$4:$AJ$4,0))))=0,NA(),SUMPRODUCT((Inputs!$A$5:$A$140=$B65)*Inputs!$B$5:$B$140*(((Inputs!$G$5:$G$140="moeda")+(Inputs!$G$5:$G$140="acoes"))*Inputs!$B$1+((Inputs!$G$5:$G$140&lt;&gt;"moeda")*(Inputs!$G$5:$G$140&lt;&gt;"acoes")))*INDEX(Inputs!$K$5:$AJ$140,0,MATCH(AD$2,Inputs!$K$4:$AJ$4,0)))+SUMPRODUCT((Inputs!$C$5:$C$140=$B65)*Inputs!$D$5:$D$140*(((Inputs!$G$5:$G$140="moeda")+(Inputs!$G$5:$G$140="acoes"))*Inputs!$B$1+((Inputs!$G$5:$G$140&lt;&gt;"moeda")*(Inputs!$G$5:$G$140&lt;&gt;"acoes")))*INDEX(Inputs!$K$5:$AJ$140,0,MATCH(AD$2,Inputs!$K$4:$AJ$4,0)))+SUMPRODUCT((Inputs!$E$5:$E$140=$B65)*Inputs!$F$5:$F$140*(((Inputs!$G$5:$G$140="moeda")+(Inputs!$G$5:$G$140="acoes"))*Inputs!$B$1+((Inputs!$G$5:$G$140&lt;&gt;"moeda")*(Inputs!$G$5:$G$140&lt;&gt;"acoes")))*INDEX(Inputs!$K$5:$AJ$140,0,MATCH(AD$2,Inputs!$K$4:$AJ$4,0)))))</f>
        <v>257161.53</v>
      </c>
      <c r="AE65" s="262" t="e">
        <f>IF(ISNA(MATCH(AE$2,Inputs!$K$4:$AJ$4,0)),NA(),IF(SUMPRODUCT((Inputs!$A$5:$A$140=$B65)*ISNUMBER(INDEX(Inputs!$K$5:$AJ$140,0,MATCH(AE$2,Inputs!$K$4:$AJ$4,0))))+SUMPRODUCT((Inputs!$C$5:$C$140=$B65)*ISNUMBER(INDEX(Inputs!$K$5:$AJ$140,0,MATCH(AE$2,Inputs!$K$4:$AJ$4,0))))+SUMPRODUCT((Inputs!$E$5:$E$140=$B65)*ISNUMBER(INDEX(Inputs!$K$5:$AJ$140,0,MATCH(AE$2,Inputs!$K$4:$AJ$4,0))))=0,NA(),SUMPRODUCT((Inputs!$A$5:$A$140=$B65)*Inputs!$B$5:$B$140*(((Inputs!$G$5:$G$140="moeda")+(Inputs!$G$5:$G$140="acoes"))*Inputs!$B$1+((Inputs!$G$5:$G$140&lt;&gt;"moeda")*(Inputs!$G$5:$G$140&lt;&gt;"acoes")))*INDEX(Inputs!$K$5:$AJ$140,0,MATCH(AE$2,Inputs!$K$4:$AJ$4,0)))+SUMPRODUCT((Inputs!$C$5:$C$140=$B65)*Inputs!$D$5:$D$140*(((Inputs!$G$5:$G$140="moeda")+(Inputs!$G$5:$G$140="acoes"))*Inputs!$B$1+((Inputs!$G$5:$G$140&lt;&gt;"moeda")*(Inputs!$G$5:$G$140&lt;&gt;"acoes")))*INDEX(Inputs!$K$5:$AJ$140,0,MATCH(AE$2,Inputs!$K$4:$AJ$4,0)))+SUMPRODUCT((Inputs!$E$5:$E$140=$B65)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5" s="262" t="e">
        <f>IF(ISNA(MATCH(AF$2,Inputs!$K$4:$AJ$4,0)),NA(),IF(SUMPRODUCT((Inputs!$A$5:$A$140=$B65)*ISNUMBER(INDEX(Inputs!$K$5:$AJ$140,0,MATCH(AF$2,Inputs!$K$4:$AJ$4,0))))+SUMPRODUCT((Inputs!$C$5:$C$140=$B65)*ISNUMBER(INDEX(Inputs!$K$5:$AJ$140,0,MATCH(AF$2,Inputs!$K$4:$AJ$4,0))))+SUMPRODUCT((Inputs!$E$5:$E$140=$B65)*ISNUMBER(INDEX(Inputs!$K$5:$AJ$140,0,MATCH(AF$2,Inputs!$K$4:$AJ$4,0))))=0,NA(),SUMPRODUCT((Inputs!$A$5:$A$140=$B65)*Inputs!$B$5:$B$140*(((Inputs!$G$5:$G$140="moeda")+(Inputs!$G$5:$G$140="acoes"))*Inputs!$B$1+((Inputs!$G$5:$G$140&lt;&gt;"moeda")*(Inputs!$G$5:$G$140&lt;&gt;"acoes")))*INDEX(Inputs!$K$5:$AJ$140,0,MATCH(AF$2,Inputs!$K$4:$AJ$4,0)))+SUMPRODUCT((Inputs!$C$5:$C$140=$B65)*Inputs!$D$5:$D$140*(((Inputs!$G$5:$G$140="moeda")+(Inputs!$G$5:$G$140="acoes"))*Inputs!$B$1+((Inputs!$G$5:$G$140&lt;&gt;"moeda")*(Inputs!$G$5:$G$140&lt;&gt;"acoes")))*INDEX(Inputs!$K$5:$AJ$140,0,MATCH(AF$2,Inputs!$K$4:$AJ$4,0)))+SUMPRODUCT((Inputs!$E$5:$E$140=$B65)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5" s="263" t="e">
        <f>AF65</f>
        <v>#N/A</v>
      </c>
      <c r="AH65" s="262">
        <f>IF(ISNA(MATCH(AH$2,Inputs!$K$4:$AJ$4,0)),NA(),IF(SUMPRODUCT((Inputs!$A$5:$A$140=$B65)*ISNUMBER(INDEX(Inputs!$K$5:$AJ$140,0,MATCH(AH$2,Inputs!$K$4:$AJ$4,0))))+SUMPRODUCT((Inputs!$C$5:$C$140=$B65)*ISNUMBER(INDEX(Inputs!$K$5:$AJ$140,0,MATCH(AH$2,Inputs!$K$4:$AJ$4,0))))+SUMPRODUCT((Inputs!$E$5:$E$140=$B65)*ISNUMBER(INDEX(Inputs!$K$5:$AJ$140,0,MATCH(AH$2,Inputs!$K$4:$AJ$4,0))))=0,NA(),SUMPRODUCT((Inputs!$A$5:$A$140=$B65)*Inputs!$B$5:$B$140*(((Inputs!$G$5:$G$140="moeda")+(Inputs!$G$5:$G$140="acoes"))*Inputs!$B$1+((Inputs!$G$5:$G$140&lt;&gt;"moeda")*(Inputs!$G$5:$G$140&lt;&gt;"acoes")))*INDEX(Inputs!$K$5:$AJ$140,0,MATCH(AH$2,Inputs!$K$4:$AJ$4,0)))+SUMPRODUCT((Inputs!$C$5:$C$140=$B65)*Inputs!$D$5:$D$140*(((Inputs!$G$5:$G$140="moeda")+(Inputs!$G$5:$G$140="acoes"))*Inputs!$B$1+((Inputs!$G$5:$G$140&lt;&gt;"moeda")*(Inputs!$G$5:$G$140&lt;&gt;"acoes")))*INDEX(Inputs!$K$5:$AJ$140,0,MATCH(AH$2,Inputs!$K$4:$AJ$4,0)))+SUMPRODUCT((Inputs!$E$5:$E$140=$B65)*Inputs!$F$5:$F$140*(((Inputs!$G$5:$G$140="moeda")+(Inputs!$G$5:$G$140="acoes"))*Inputs!$B$1+((Inputs!$G$5:$G$140&lt;&gt;"moeda")*(Inputs!$G$5:$G$140&lt;&gt;"acoes")))*INDEX(Inputs!$K$5:$AJ$140,0,MATCH(AH$2,Inputs!$K$4:$AJ$4,0)))))</f>
        <v>0</v>
      </c>
      <c r="AI65" s="262">
        <f>IF(ISNA(MATCH(AI$2,Inputs!$K$4:$AJ$4,0)),NA(),IF(SUMPRODUCT((Inputs!$A$5:$A$140=$B65)*ISNUMBER(INDEX(Inputs!$K$5:$AJ$140,0,MATCH(AI$2,Inputs!$K$4:$AJ$4,0))))+SUMPRODUCT((Inputs!$C$5:$C$140=$B65)*ISNUMBER(INDEX(Inputs!$K$5:$AJ$140,0,MATCH(AI$2,Inputs!$K$4:$AJ$4,0))))+SUMPRODUCT((Inputs!$E$5:$E$140=$B65)*ISNUMBER(INDEX(Inputs!$K$5:$AJ$140,0,MATCH(AI$2,Inputs!$K$4:$AJ$4,0))))=0,NA(),SUMPRODUCT((Inputs!$A$5:$A$140=$B65)*Inputs!$B$5:$B$140*(((Inputs!$G$5:$G$140="moeda")+(Inputs!$G$5:$G$140="acoes"))*Inputs!$B$1+((Inputs!$G$5:$G$140&lt;&gt;"moeda")*(Inputs!$G$5:$G$140&lt;&gt;"acoes")))*INDEX(Inputs!$K$5:$AJ$140,0,MATCH(AI$2,Inputs!$K$4:$AJ$4,0)))+SUMPRODUCT((Inputs!$C$5:$C$140=$B65)*Inputs!$D$5:$D$140*(((Inputs!$G$5:$G$140="moeda")+(Inputs!$G$5:$G$140="acoes"))*Inputs!$B$1+((Inputs!$G$5:$G$140&lt;&gt;"moeda")*(Inputs!$G$5:$G$140&lt;&gt;"acoes")))*INDEX(Inputs!$K$5:$AJ$140,0,MATCH(AI$2,Inputs!$K$4:$AJ$4,0)))+SUMPRODUCT((Inputs!$E$5:$E$140=$B65)*Inputs!$F$5:$F$140*(((Inputs!$G$5:$G$140="moeda")+(Inputs!$G$5:$G$140="acoes"))*Inputs!$B$1+((Inputs!$G$5:$G$140&lt;&gt;"moeda")*(Inputs!$G$5:$G$140&lt;&gt;"acoes")))*INDEX(Inputs!$K$5:$AJ$140,0,MATCH(AI$2,Inputs!$K$4:$AJ$4,0)))))</f>
        <v>0</v>
      </c>
      <c r="AJ65" s="262">
        <f>IF(ISNA(MATCH(AJ$2,Inputs!$K$4:$AJ$4,0)),NA(),IF(SUMPRODUCT((Inputs!$A$5:$A$140=$B65)*ISNUMBER(INDEX(Inputs!$K$5:$AJ$140,0,MATCH(AJ$2,Inputs!$K$4:$AJ$4,0))))+SUMPRODUCT((Inputs!$C$5:$C$140=$B65)*ISNUMBER(INDEX(Inputs!$K$5:$AJ$140,0,MATCH(AJ$2,Inputs!$K$4:$AJ$4,0))))+SUMPRODUCT((Inputs!$E$5:$E$140=$B65)*ISNUMBER(INDEX(Inputs!$K$5:$AJ$140,0,MATCH(AJ$2,Inputs!$K$4:$AJ$4,0))))=0,NA(),SUMPRODUCT((Inputs!$A$5:$A$140=$B65)*Inputs!$B$5:$B$140*(((Inputs!$G$5:$G$140="moeda")+(Inputs!$G$5:$G$140="acoes"))*Inputs!$B$1+((Inputs!$G$5:$G$140&lt;&gt;"moeda")*(Inputs!$G$5:$G$140&lt;&gt;"acoes")))*INDEX(Inputs!$K$5:$AJ$140,0,MATCH(AJ$2,Inputs!$K$4:$AJ$4,0)))+SUMPRODUCT((Inputs!$C$5:$C$140=$B65)*Inputs!$D$5:$D$140*(((Inputs!$G$5:$G$140="moeda")+(Inputs!$G$5:$G$140="acoes"))*Inputs!$B$1+((Inputs!$G$5:$G$140&lt;&gt;"moeda")*(Inputs!$G$5:$G$140&lt;&gt;"acoes")))*INDEX(Inputs!$K$5:$AJ$140,0,MATCH(AJ$2,Inputs!$K$4:$AJ$4,0)))+SUMPRODUCT((Inputs!$E$5:$E$140=$B65)*Inputs!$F$5:$F$140*(((Inputs!$G$5:$G$140="moeda")+(Inputs!$G$5:$G$140="acoes"))*Inputs!$B$1+((Inputs!$G$5:$G$140&lt;&gt;"moeda")*(Inputs!$G$5:$G$140&lt;&gt;"acoes")))*INDEX(Inputs!$K$5:$AJ$140,0,MATCH(AJ$2,Inputs!$K$4:$AJ$4,0)))))</f>
        <v>0</v>
      </c>
      <c r="AK65" s="262">
        <f>IF(ISNA(MATCH(AK$2,Inputs!$K$4:$AJ$4,0)),NA(),IF(SUMPRODUCT((Inputs!$A$5:$A$140=$B65)*ISNUMBER(INDEX(Inputs!$K$5:$AJ$140,0,MATCH(AK$2,Inputs!$K$4:$AJ$4,0))))+SUMPRODUCT((Inputs!$C$5:$C$140=$B65)*ISNUMBER(INDEX(Inputs!$K$5:$AJ$140,0,MATCH(AK$2,Inputs!$K$4:$AJ$4,0))))+SUMPRODUCT((Inputs!$E$5:$E$140=$B65)*ISNUMBER(INDEX(Inputs!$K$5:$AJ$140,0,MATCH(AK$2,Inputs!$K$4:$AJ$4,0))))=0,NA(),SUMPRODUCT((Inputs!$A$5:$A$140=$B65)*Inputs!$B$5:$B$140*(((Inputs!$G$5:$G$140="moeda")+(Inputs!$G$5:$G$140="acoes"))*Inputs!$B$1+((Inputs!$G$5:$G$140&lt;&gt;"moeda")*(Inputs!$G$5:$G$140&lt;&gt;"acoes")))*INDEX(Inputs!$K$5:$AJ$140,0,MATCH(AK$2,Inputs!$K$4:$AJ$4,0)))+SUMPRODUCT((Inputs!$C$5:$C$140=$B65)*Inputs!$D$5:$D$140*(((Inputs!$G$5:$G$140="moeda")+(Inputs!$G$5:$G$140="acoes"))*Inputs!$B$1+((Inputs!$G$5:$G$140&lt;&gt;"moeda")*(Inputs!$G$5:$G$140&lt;&gt;"acoes")))*INDEX(Inputs!$K$5:$AJ$140,0,MATCH(AK$2,Inputs!$K$4:$AJ$4,0)))+SUMPRODUCT((Inputs!$E$5:$E$140=$B65)*Inputs!$F$5:$F$140*(((Inputs!$G$5:$G$140="moeda")+(Inputs!$G$5:$G$140="acoes"))*Inputs!$B$1+((Inputs!$G$5:$G$140&lt;&gt;"moeda")*(Inputs!$G$5:$G$140&lt;&gt;"acoes")))*INDEX(Inputs!$K$5:$AJ$140,0,MATCH(AK$2,Inputs!$K$4:$AJ$4,0)))))</f>
        <v>0</v>
      </c>
      <c r="AL65" s="263">
        <f>AK65</f>
        <v>0</v>
      </c>
    </row>
    <row r="66">
      <c r="B66" s="46" t="n">
        <v>58</v>
      </c>
      <c r="C66" s="29" t="inlineStr">
        <is>
          <t>Area de vendas - Varejo (m2)</t>
        </is>
      </c>
      <c r="D66" s="262">
        <f>IF(ISNA(MATCH(D$2,Inputs!$K$4:$AJ$4,0)),NA(),IF(SUMPRODUCT((Inputs!$A$5:$A$140=$B66)*ISNUMBER(INDEX(Inputs!$K$5:$AJ$140,0,MATCH(D$2,Inputs!$K$4:$AJ$4,0))))+SUMPRODUCT((Inputs!$C$5:$C$140=$B66)*ISNUMBER(INDEX(Inputs!$K$5:$AJ$140,0,MATCH(D$2,Inputs!$K$4:$AJ$4,0))))+SUMPRODUCT((Inputs!$E$5:$E$140=$B66)*ISNUMBER(INDEX(Inputs!$K$5:$AJ$140,0,MATCH(D$2,Inputs!$K$4:$AJ$4,0))))=0,NA(),SUMPRODUCT((Inputs!$A$5:$A$140=$B66)*Inputs!$B$5:$B$140*(((Inputs!$G$5:$G$140="moeda")+(Inputs!$G$5:$G$140="acoes"))*Inputs!$B$1+((Inputs!$G$5:$G$140&lt;&gt;"moeda")*(Inputs!$G$5:$G$140&lt;&gt;"acoes")))*INDEX(Inputs!$K$5:$AJ$140,0,MATCH(D$2,Inputs!$K$4:$AJ$4,0)))+SUMPRODUCT((Inputs!$C$5:$C$140=$B66)*Inputs!$D$5:$D$140*(((Inputs!$G$5:$G$140="moeda")+(Inputs!$G$5:$G$140="acoes"))*Inputs!$B$1+((Inputs!$G$5:$G$140&lt;&gt;"moeda")*(Inputs!$G$5:$G$140&lt;&gt;"acoes")))*INDEX(Inputs!$K$5:$AJ$140,0,MATCH(D$2,Inputs!$K$4:$AJ$4,0)))+SUMPRODUCT((Inputs!$E$5:$E$140=$B66)*Inputs!$F$5:$F$140*(((Inputs!$G$5:$G$140="moeda")+(Inputs!$G$5:$G$140="acoes"))*Inputs!$B$1+((Inputs!$G$5:$G$140&lt;&gt;"moeda")*(Inputs!$G$5:$G$140&lt;&gt;"acoes")))*INDEX(Inputs!$K$5:$AJ$140,0,MATCH(D$2,Inputs!$K$4:$AJ$4,0)))))</f>
        <v>93923.2327</v>
      </c>
      <c r="E66" s="262">
        <f>IF(ISNA(MATCH(E$2,Inputs!$K$4:$AJ$4,0)),NA(),IF(SUMPRODUCT((Inputs!$A$5:$A$140=$B66)*ISNUMBER(INDEX(Inputs!$K$5:$AJ$140,0,MATCH(E$2,Inputs!$K$4:$AJ$4,0))))+SUMPRODUCT((Inputs!$C$5:$C$140=$B66)*ISNUMBER(INDEX(Inputs!$K$5:$AJ$140,0,MATCH(E$2,Inputs!$K$4:$AJ$4,0))))+SUMPRODUCT((Inputs!$E$5:$E$140=$B66)*ISNUMBER(INDEX(Inputs!$K$5:$AJ$140,0,MATCH(E$2,Inputs!$K$4:$AJ$4,0))))=0,NA(),SUMPRODUCT((Inputs!$A$5:$A$140=$B66)*Inputs!$B$5:$B$140*(((Inputs!$G$5:$G$140="moeda")+(Inputs!$G$5:$G$140="acoes"))*Inputs!$B$1+((Inputs!$G$5:$G$140&lt;&gt;"moeda")*(Inputs!$G$5:$G$140&lt;&gt;"acoes")))*INDEX(Inputs!$K$5:$AJ$140,0,MATCH(E$2,Inputs!$K$4:$AJ$4,0)))+SUMPRODUCT((Inputs!$C$5:$C$140=$B66)*Inputs!$D$5:$D$140*(((Inputs!$G$5:$G$140="moeda")+(Inputs!$G$5:$G$140="acoes"))*Inputs!$B$1+((Inputs!$G$5:$G$140&lt;&gt;"moeda")*(Inputs!$G$5:$G$140&lt;&gt;"acoes")))*INDEX(Inputs!$K$5:$AJ$140,0,MATCH(E$2,Inputs!$K$4:$AJ$4,0)))+SUMPRODUCT((Inputs!$E$5:$E$140=$B66)*Inputs!$F$5:$F$140*(((Inputs!$G$5:$G$140="moeda")+(Inputs!$G$5:$G$140="acoes"))*Inputs!$B$1+((Inputs!$G$5:$G$140&lt;&gt;"moeda")*(Inputs!$G$5:$G$140&lt;&gt;"acoes")))*INDEX(Inputs!$K$5:$AJ$140,0,MATCH(E$2,Inputs!$K$4:$AJ$4,0)))))</f>
        <v>95641.2827</v>
      </c>
      <c r="F66" s="262">
        <f>IF(ISNA(MATCH(F$2,Inputs!$K$4:$AJ$4,0)),NA(),IF(SUMPRODUCT((Inputs!$A$5:$A$140=$B66)*ISNUMBER(INDEX(Inputs!$K$5:$AJ$140,0,MATCH(F$2,Inputs!$K$4:$AJ$4,0))))+SUMPRODUCT((Inputs!$C$5:$C$140=$B66)*ISNUMBER(INDEX(Inputs!$K$5:$AJ$140,0,MATCH(F$2,Inputs!$K$4:$AJ$4,0))))+SUMPRODUCT((Inputs!$E$5:$E$140=$B66)*ISNUMBER(INDEX(Inputs!$K$5:$AJ$140,0,MATCH(F$2,Inputs!$K$4:$AJ$4,0))))=0,NA(),SUMPRODUCT((Inputs!$A$5:$A$140=$B66)*Inputs!$B$5:$B$140*(((Inputs!$G$5:$G$140="moeda")+(Inputs!$G$5:$G$140="acoes"))*Inputs!$B$1+((Inputs!$G$5:$G$140&lt;&gt;"moeda")*(Inputs!$G$5:$G$140&lt;&gt;"acoes")))*INDEX(Inputs!$K$5:$AJ$140,0,MATCH(F$2,Inputs!$K$4:$AJ$4,0)))+SUMPRODUCT((Inputs!$C$5:$C$140=$B66)*Inputs!$D$5:$D$140*(((Inputs!$G$5:$G$140="moeda")+(Inputs!$G$5:$G$140="acoes"))*Inputs!$B$1+((Inputs!$G$5:$G$140&lt;&gt;"moeda")*(Inputs!$G$5:$G$140&lt;&gt;"acoes")))*INDEX(Inputs!$K$5:$AJ$140,0,MATCH(F$2,Inputs!$K$4:$AJ$4,0)))+SUMPRODUCT((Inputs!$E$5:$E$140=$B66)*Inputs!$F$5:$F$140*(((Inputs!$G$5:$G$140="moeda")+(Inputs!$G$5:$G$140="acoes"))*Inputs!$B$1+((Inputs!$G$5:$G$140&lt;&gt;"moeda")*(Inputs!$G$5:$G$140&lt;&gt;"acoes")))*INDEX(Inputs!$K$5:$AJ$140,0,MATCH(F$2,Inputs!$K$4:$AJ$4,0)))))</f>
        <v>97277</v>
      </c>
      <c r="G66" s="262">
        <f>IF(ISNA(MATCH(G$2,Inputs!$K$4:$AJ$4,0)),NA(),IF(SUMPRODUCT((Inputs!$A$5:$A$140=$B66)*ISNUMBER(INDEX(Inputs!$K$5:$AJ$140,0,MATCH(G$2,Inputs!$K$4:$AJ$4,0))))+SUMPRODUCT((Inputs!$C$5:$C$140=$B66)*ISNUMBER(INDEX(Inputs!$K$5:$AJ$140,0,MATCH(G$2,Inputs!$K$4:$AJ$4,0))))+SUMPRODUCT((Inputs!$E$5:$E$140=$B66)*ISNUMBER(INDEX(Inputs!$K$5:$AJ$140,0,MATCH(G$2,Inputs!$K$4:$AJ$4,0))))=0,NA(),SUMPRODUCT((Inputs!$A$5:$A$140=$B66)*Inputs!$B$5:$B$140*(((Inputs!$G$5:$G$140="moeda")+(Inputs!$G$5:$G$140="acoes"))*Inputs!$B$1+((Inputs!$G$5:$G$140&lt;&gt;"moeda")*(Inputs!$G$5:$G$140&lt;&gt;"acoes")))*INDEX(Inputs!$K$5:$AJ$140,0,MATCH(G$2,Inputs!$K$4:$AJ$4,0)))+SUMPRODUCT((Inputs!$C$5:$C$140=$B66)*Inputs!$D$5:$D$140*(((Inputs!$G$5:$G$140="moeda")+(Inputs!$G$5:$G$140="acoes"))*Inputs!$B$1+((Inputs!$G$5:$G$140&lt;&gt;"moeda")*(Inputs!$G$5:$G$140&lt;&gt;"acoes")))*INDEX(Inputs!$K$5:$AJ$140,0,MATCH(G$2,Inputs!$K$4:$AJ$4,0)))+SUMPRODUCT((Inputs!$E$5:$E$140=$B66)*Inputs!$F$5:$F$140*(((Inputs!$G$5:$G$140="moeda")+(Inputs!$G$5:$G$140="acoes"))*Inputs!$B$1+((Inputs!$G$5:$G$140&lt;&gt;"moeda")*(Inputs!$G$5:$G$140&lt;&gt;"acoes")))*INDEX(Inputs!$K$5:$AJ$140,0,MATCH(G$2,Inputs!$K$4:$AJ$4,0)))))</f>
        <v>105812</v>
      </c>
      <c r="H66" s="263">
        <f>G66</f>
        <v>105812</v>
      </c>
      <c r="I66" s="262">
        <f>IF(ISNA(MATCH(I$2,Inputs!$K$4:$AJ$4,0)),NA(),IF(SUMPRODUCT((Inputs!$A$5:$A$140=$B66)*ISNUMBER(INDEX(Inputs!$K$5:$AJ$140,0,MATCH(I$2,Inputs!$K$4:$AJ$4,0))))+SUMPRODUCT((Inputs!$C$5:$C$140=$B66)*ISNUMBER(INDEX(Inputs!$K$5:$AJ$140,0,MATCH(I$2,Inputs!$K$4:$AJ$4,0))))+SUMPRODUCT((Inputs!$E$5:$E$140=$B66)*ISNUMBER(INDEX(Inputs!$K$5:$AJ$140,0,MATCH(I$2,Inputs!$K$4:$AJ$4,0))))=0,NA(),SUMPRODUCT((Inputs!$A$5:$A$140=$B66)*Inputs!$B$5:$B$140*(((Inputs!$G$5:$G$140="moeda")+(Inputs!$G$5:$G$140="acoes"))*Inputs!$B$1+((Inputs!$G$5:$G$140&lt;&gt;"moeda")*(Inputs!$G$5:$G$140&lt;&gt;"acoes")))*INDEX(Inputs!$K$5:$AJ$140,0,MATCH(I$2,Inputs!$K$4:$AJ$4,0)))+SUMPRODUCT((Inputs!$C$5:$C$140=$B66)*Inputs!$D$5:$D$140*(((Inputs!$G$5:$G$140="moeda")+(Inputs!$G$5:$G$140="acoes"))*Inputs!$B$1+((Inputs!$G$5:$G$140&lt;&gt;"moeda")*(Inputs!$G$5:$G$140&lt;&gt;"acoes")))*INDEX(Inputs!$K$5:$AJ$140,0,MATCH(I$2,Inputs!$K$4:$AJ$4,0)))+SUMPRODUCT((Inputs!$E$5:$E$140=$B66)*Inputs!$F$5:$F$140*(((Inputs!$G$5:$G$140="moeda")+(Inputs!$G$5:$G$140="acoes"))*Inputs!$B$1+((Inputs!$G$5:$G$140&lt;&gt;"moeda")*(Inputs!$G$5:$G$140&lt;&gt;"acoes")))*INDEX(Inputs!$K$5:$AJ$140,0,MATCH(I$2,Inputs!$K$4:$AJ$4,0)))))</f>
        <v>116745</v>
      </c>
      <c r="J66" s="262">
        <f>IF(ISNA(MATCH(J$2,Inputs!$K$4:$AJ$4,0)),NA(),IF(SUMPRODUCT((Inputs!$A$5:$A$140=$B66)*ISNUMBER(INDEX(Inputs!$K$5:$AJ$140,0,MATCH(J$2,Inputs!$K$4:$AJ$4,0))))+SUMPRODUCT((Inputs!$C$5:$C$140=$B66)*ISNUMBER(INDEX(Inputs!$K$5:$AJ$140,0,MATCH(J$2,Inputs!$K$4:$AJ$4,0))))+SUMPRODUCT((Inputs!$E$5:$E$140=$B66)*ISNUMBER(INDEX(Inputs!$K$5:$AJ$140,0,MATCH(J$2,Inputs!$K$4:$AJ$4,0))))=0,NA(),SUMPRODUCT((Inputs!$A$5:$A$140=$B66)*Inputs!$B$5:$B$140*(((Inputs!$G$5:$G$140="moeda")+(Inputs!$G$5:$G$140="acoes"))*Inputs!$B$1+((Inputs!$G$5:$G$140&lt;&gt;"moeda")*(Inputs!$G$5:$G$140&lt;&gt;"acoes")))*INDEX(Inputs!$K$5:$AJ$140,0,MATCH(J$2,Inputs!$K$4:$AJ$4,0)))+SUMPRODUCT((Inputs!$C$5:$C$140=$B66)*Inputs!$D$5:$D$140*(((Inputs!$G$5:$G$140="moeda")+(Inputs!$G$5:$G$140="acoes"))*Inputs!$B$1+((Inputs!$G$5:$G$140&lt;&gt;"moeda")*(Inputs!$G$5:$G$140&lt;&gt;"acoes")))*INDEX(Inputs!$K$5:$AJ$140,0,MATCH(J$2,Inputs!$K$4:$AJ$4,0)))+SUMPRODUCT((Inputs!$E$5:$E$140=$B66)*Inputs!$F$5:$F$140*(((Inputs!$G$5:$G$140="moeda")+(Inputs!$G$5:$G$140="acoes"))*Inputs!$B$1+((Inputs!$G$5:$G$140&lt;&gt;"moeda")*(Inputs!$G$5:$G$140&lt;&gt;"acoes")))*INDEX(Inputs!$K$5:$AJ$140,0,MATCH(J$2,Inputs!$K$4:$AJ$4,0)))))</f>
        <v>118729</v>
      </c>
      <c r="K66" s="262">
        <f>IF(ISNA(MATCH(K$2,Inputs!$K$4:$AJ$4,0)),NA(),IF(SUMPRODUCT((Inputs!$A$5:$A$140=$B66)*ISNUMBER(INDEX(Inputs!$K$5:$AJ$140,0,MATCH(K$2,Inputs!$K$4:$AJ$4,0))))+SUMPRODUCT((Inputs!$C$5:$C$140=$B66)*ISNUMBER(INDEX(Inputs!$K$5:$AJ$140,0,MATCH(K$2,Inputs!$K$4:$AJ$4,0))))+SUMPRODUCT((Inputs!$E$5:$E$140=$B66)*ISNUMBER(INDEX(Inputs!$K$5:$AJ$140,0,MATCH(K$2,Inputs!$K$4:$AJ$4,0))))=0,NA(),SUMPRODUCT((Inputs!$A$5:$A$140=$B66)*Inputs!$B$5:$B$140*(((Inputs!$G$5:$G$140="moeda")+(Inputs!$G$5:$G$140="acoes"))*Inputs!$B$1+((Inputs!$G$5:$G$140&lt;&gt;"moeda")*(Inputs!$G$5:$G$140&lt;&gt;"acoes")))*INDEX(Inputs!$K$5:$AJ$140,0,MATCH(K$2,Inputs!$K$4:$AJ$4,0)))+SUMPRODUCT((Inputs!$C$5:$C$140=$B66)*Inputs!$D$5:$D$140*(((Inputs!$G$5:$G$140="moeda")+(Inputs!$G$5:$G$140="acoes"))*Inputs!$B$1+((Inputs!$G$5:$G$140&lt;&gt;"moeda")*(Inputs!$G$5:$G$140&lt;&gt;"acoes")))*INDEX(Inputs!$K$5:$AJ$140,0,MATCH(K$2,Inputs!$K$4:$AJ$4,0)))+SUMPRODUCT((Inputs!$E$5:$E$140=$B66)*Inputs!$F$5:$F$140*(((Inputs!$G$5:$G$140="moeda")+(Inputs!$G$5:$G$140="acoes"))*Inputs!$B$1+((Inputs!$G$5:$G$140&lt;&gt;"moeda")*(Inputs!$G$5:$G$140&lt;&gt;"acoes")))*INDEX(Inputs!$K$5:$AJ$140,0,MATCH(K$2,Inputs!$K$4:$AJ$4,0)))))</f>
        <v>120216</v>
      </c>
      <c r="L66" s="262">
        <f>IF(ISNA(MATCH(L$2,Inputs!$K$4:$AJ$4,0)),NA(),IF(SUMPRODUCT((Inputs!$A$5:$A$140=$B66)*ISNUMBER(INDEX(Inputs!$K$5:$AJ$140,0,MATCH(L$2,Inputs!$K$4:$AJ$4,0))))+SUMPRODUCT((Inputs!$C$5:$C$140=$B66)*ISNUMBER(INDEX(Inputs!$K$5:$AJ$140,0,MATCH(L$2,Inputs!$K$4:$AJ$4,0))))+SUMPRODUCT((Inputs!$E$5:$E$140=$B66)*ISNUMBER(INDEX(Inputs!$K$5:$AJ$140,0,MATCH(L$2,Inputs!$K$4:$AJ$4,0))))=0,NA(),SUMPRODUCT((Inputs!$A$5:$A$140=$B66)*Inputs!$B$5:$B$140*(((Inputs!$G$5:$G$140="moeda")+(Inputs!$G$5:$G$140="acoes"))*Inputs!$B$1+((Inputs!$G$5:$G$140&lt;&gt;"moeda")*(Inputs!$G$5:$G$140&lt;&gt;"acoes")))*INDEX(Inputs!$K$5:$AJ$140,0,MATCH(L$2,Inputs!$K$4:$AJ$4,0)))+SUMPRODUCT((Inputs!$C$5:$C$140=$B66)*Inputs!$D$5:$D$140*(((Inputs!$G$5:$G$140="moeda")+(Inputs!$G$5:$G$140="acoes"))*Inputs!$B$1+((Inputs!$G$5:$G$140&lt;&gt;"moeda")*(Inputs!$G$5:$G$140&lt;&gt;"acoes")))*INDEX(Inputs!$K$5:$AJ$140,0,MATCH(L$2,Inputs!$K$4:$AJ$4,0)))+SUMPRODUCT((Inputs!$E$5:$E$140=$B66)*Inputs!$F$5:$F$140*(((Inputs!$G$5:$G$140="moeda")+(Inputs!$G$5:$G$140="acoes"))*Inputs!$B$1+((Inputs!$G$5:$G$140&lt;&gt;"moeda")*(Inputs!$G$5:$G$140&lt;&gt;"acoes")))*INDEX(Inputs!$K$5:$AJ$140,0,MATCH(L$2,Inputs!$K$4:$AJ$4,0)))))</f>
        <v>120216</v>
      </c>
      <c r="M66" s="263">
        <f>L66</f>
        <v>120216</v>
      </c>
      <c r="N66" s="262">
        <f>IF(ISNA(MATCH(N$2,Inputs!$K$4:$AJ$4,0)),NA(),IF(SUMPRODUCT((Inputs!$A$5:$A$140=$B66)*ISNUMBER(INDEX(Inputs!$K$5:$AJ$140,0,MATCH(N$2,Inputs!$K$4:$AJ$4,0))))+SUMPRODUCT((Inputs!$C$5:$C$140=$B66)*ISNUMBER(INDEX(Inputs!$K$5:$AJ$140,0,MATCH(N$2,Inputs!$K$4:$AJ$4,0))))+SUMPRODUCT((Inputs!$E$5:$E$140=$B66)*ISNUMBER(INDEX(Inputs!$K$5:$AJ$140,0,MATCH(N$2,Inputs!$K$4:$AJ$4,0))))=0,NA(),SUMPRODUCT((Inputs!$A$5:$A$140=$B66)*Inputs!$B$5:$B$140*(((Inputs!$G$5:$G$140="moeda")+(Inputs!$G$5:$G$140="acoes"))*Inputs!$B$1+((Inputs!$G$5:$G$140&lt;&gt;"moeda")*(Inputs!$G$5:$G$140&lt;&gt;"acoes")))*INDEX(Inputs!$K$5:$AJ$140,0,MATCH(N$2,Inputs!$K$4:$AJ$4,0)))+SUMPRODUCT((Inputs!$C$5:$C$140=$B66)*Inputs!$D$5:$D$140*(((Inputs!$G$5:$G$140="moeda")+(Inputs!$G$5:$G$140="acoes"))*Inputs!$B$1+((Inputs!$G$5:$G$140&lt;&gt;"moeda")*(Inputs!$G$5:$G$140&lt;&gt;"acoes")))*INDEX(Inputs!$K$5:$AJ$140,0,MATCH(N$2,Inputs!$K$4:$AJ$4,0)))+SUMPRODUCT((Inputs!$E$5:$E$140=$B66)*Inputs!$F$5:$F$140*(((Inputs!$G$5:$G$140="moeda")+(Inputs!$G$5:$G$140="acoes"))*Inputs!$B$1+((Inputs!$G$5:$G$140&lt;&gt;"moeda")*(Inputs!$G$5:$G$140&lt;&gt;"acoes")))*INDEX(Inputs!$K$5:$AJ$140,0,MATCH(N$2,Inputs!$K$4:$AJ$4,0)))))</f>
        <v>120216</v>
      </c>
      <c r="O66" s="262">
        <f>IF(ISNA(MATCH(O$2,Inputs!$K$4:$AJ$4,0)),NA(),IF(SUMPRODUCT((Inputs!$A$5:$A$140=$B66)*ISNUMBER(INDEX(Inputs!$K$5:$AJ$140,0,MATCH(O$2,Inputs!$K$4:$AJ$4,0))))+SUMPRODUCT((Inputs!$C$5:$C$140=$B66)*ISNUMBER(INDEX(Inputs!$K$5:$AJ$140,0,MATCH(O$2,Inputs!$K$4:$AJ$4,0))))+SUMPRODUCT((Inputs!$E$5:$E$140=$B66)*ISNUMBER(INDEX(Inputs!$K$5:$AJ$140,0,MATCH(O$2,Inputs!$K$4:$AJ$4,0))))=0,NA(),SUMPRODUCT((Inputs!$A$5:$A$140=$B66)*Inputs!$B$5:$B$140*(((Inputs!$G$5:$G$140="moeda")+(Inputs!$G$5:$G$140="acoes"))*Inputs!$B$1+((Inputs!$G$5:$G$140&lt;&gt;"moeda")*(Inputs!$G$5:$G$140&lt;&gt;"acoes")))*INDEX(Inputs!$K$5:$AJ$140,0,MATCH(O$2,Inputs!$K$4:$AJ$4,0)))+SUMPRODUCT((Inputs!$C$5:$C$140=$B66)*Inputs!$D$5:$D$140*(((Inputs!$G$5:$G$140="moeda")+(Inputs!$G$5:$G$140="acoes"))*Inputs!$B$1+((Inputs!$G$5:$G$140&lt;&gt;"moeda")*(Inputs!$G$5:$G$140&lt;&gt;"acoes")))*INDEX(Inputs!$K$5:$AJ$140,0,MATCH(O$2,Inputs!$K$4:$AJ$4,0)))+SUMPRODUCT((Inputs!$E$5:$E$140=$B66)*Inputs!$F$5:$F$140*(((Inputs!$G$5:$G$140="moeda")+(Inputs!$G$5:$G$140="acoes"))*Inputs!$B$1+((Inputs!$G$5:$G$140&lt;&gt;"moeda")*(Inputs!$G$5:$G$140&lt;&gt;"acoes")))*INDEX(Inputs!$K$5:$AJ$140,0,MATCH(O$2,Inputs!$K$4:$AJ$4,0)))))</f>
        <v>121271</v>
      </c>
      <c r="P66" s="262">
        <f>IF(ISNA(MATCH(P$2,Inputs!$K$4:$AJ$4,0)),NA(),IF(SUMPRODUCT((Inputs!$A$5:$A$140=$B66)*ISNUMBER(INDEX(Inputs!$K$5:$AJ$140,0,MATCH(P$2,Inputs!$K$4:$AJ$4,0))))+SUMPRODUCT((Inputs!$C$5:$C$140=$B66)*ISNUMBER(INDEX(Inputs!$K$5:$AJ$140,0,MATCH(P$2,Inputs!$K$4:$AJ$4,0))))+SUMPRODUCT((Inputs!$E$5:$E$140=$B66)*ISNUMBER(INDEX(Inputs!$K$5:$AJ$140,0,MATCH(P$2,Inputs!$K$4:$AJ$4,0))))=0,NA(),SUMPRODUCT((Inputs!$A$5:$A$140=$B66)*Inputs!$B$5:$B$140*(((Inputs!$G$5:$G$140="moeda")+(Inputs!$G$5:$G$140="acoes"))*Inputs!$B$1+((Inputs!$G$5:$G$140&lt;&gt;"moeda")*(Inputs!$G$5:$G$140&lt;&gt;"acoes")))*INDEX(Inputs!$K$5:$AJ$140,0,MATCH(P$2,Inputs!$K$4:$AJ$4,0)))+SUMPRODUCT((Inputs!$C$5:$C$140=$B66)*Inputs!$D$5:$D$140*(((Inputs!$G$5:$G$140="moeda")+(Inputs!$G$5:$G$140="acoes"))*Inputs!$B$1+((Inputs!$G$5:$G$140&lt;&gt;"moeda")*(Inputs!$G$5:$G$140&lt;&gt;"acoes")))*INDEX(Inputs!$K$5:$AJ$140,0,MATCH(P$2,Inputs!$K$4:$AJ$4,0)))+SUMPRODUCT((Inputs!$E$5:$E$140=$B66)*Inputs!$F$5:$F$140*(((Inputs!$G$5:$G$140="moeda")+(Inputs!$G$5:$G$140="acoes"))*Inputs!$B$1+((Inputs!$G$5:$G$140&lt;&gt;"moeda")*(Inputs!$G$5:$G$140&lt;&gt;"acoes")))*INDEX(Inputs!$K$5:$AJ$140,0,MATCH(P$2,Inputs!$K$4:$AJ$4,0)))))</f>
        <v>123571</v>
      </c>
      <c r="Q66" s="262">
        <f>IF(ISNA(MATCH(Q$2,Inputs!$K$4:$AJ$4,0)),NA(),IF(SUMPRODUCT((Inputs!$A$5:$A$140=$B66)*ISNUMBER(INDEX(Inputs!$K$5:$AJ$140,0,MATCH(Q$2,Inputs!$K$4:$AJ$4,0))))+SUMPRODUCT((Inputs!$C$5:$C$140=$B66)*ISNUMBER(INDEX(Inputs!$K$5:$AJ$140,0,MATCH(Q$2,Inputs!$K$4:$AJ$4,0))))+SUMPRODUCT((Inputs!$E$5:$E$140=$B66)*ISNUMBER(INDEX(Inputs!$K$5:$AJ$140,0,MATCH(Q$2,Inputs!$K$4:$AJ$4,0))))=0,NA(),SUMPRODUCT((Inputs!$A$5:$A$140=$B66)*Inputs!$B$5:$B$140*(((Inputs!$G$5:$G$140="moeda")+(Inputs!$G$5:$G$140="acoes"))*Inputs!$B$1+((Inputs!$G$5:$G$140&lt;&gt;"moeda")*(Inputs!$G$5:$G$140&lt;&gt;"acoes")))*INDEX(Inputs!$K$5:$AJ$140,0,MATCH(Q$2,Inputs!$K$4:$AJ$4,0)))+SUMPRODUCT((Inputs!$C$5:$C$140=$B66)*Inputs!$D$5:$D$140*(((Inputs!$G$5:$G$140="moeda")+(Inputs!$G$5:$G$140="acoes"))*Inputs!$B$1+((Inputs!$G$5:$G$140&lt;&gt;"moeda")*(Inputs!$G$5:$G$140&lt;&gt;"acoes")))*INDEX(Inputs!$K$5:$AJ$140,0,MATCH(Q$2,Inputs!$K$4:$AJ$4,0)))+SUMPRODUCT((Inputs!$E$5:$E$140=$B66)*Inputs!$F$5:$F$140*(((Inputs!$G$5:$G$140="moeda")+(Inputs!$G$5:$G$140="acoes"))*Inputs!$B$1+((Inputs!$G$5:$G$140&lt;&gt;"moeda")*(Inputs!$G$5:$G$140&lt;&gt;"acoes")))*INDEX(Inputs!$K$5:$AJ$140,0,MATCH(Q$2,Inputs!$K$4:$AJ$4,0)))))</f>
        <v>124372</v>
      </c>
      <c r="R66" s="263">
        <f>Q66</f>
        <v>124372</v>
      </c>
      <c r="S66" s="262">
        <f>IF(ISNA(MATCH(S$2,Inputs!$K$4:$AJ$4,0)),NA(),IF(SUMPRODUCT((Inputs!$A$5:$A$140=$B66)*ISNUMBER(INDEX(Inputs!$K$5:$AJ$140,0,MATCH(S$2,Inputs!$K$4:$AJ$4,0))))+SUMPRODUCT((Inputs!$C$5:$C$140=$B66)*ISNUMBER(INDEX(Inputs!$K$5:$AJ$140,0,MATCH(S$2,Inputs!$K$4:$AJ$4,0))))+SUMPRODUCT((Inputs!$E$5:$E$140=$B66)*ISNUMBER(INDEX(Inputs!$K$5:$AJ$140,0,MATCH(S$2,Inputs!$K$4:$AJ$4,0))))=0,NA(),SUMPRODUCT((Inputs!$A$5:$A$140=$B66)*Inputs!$B$5:$B$140*(((Inputs!$G$5:$G$140="moeda")+(Inputs!$G$5:$G$140="acoes"))*Inputs!$B$1+((Inputs!$G$5:$G$140&lt;&gt;"moeda")*(Inputs!$G$5:$G$140&lt;&gt;"acoes")))*INDEX(Inputs!$K$5:$AJ$140,0,MATCH(S$2,Inputs!$K$4:$AJ$4,0)))+SUMPRODUCT((Inputs!$C$5:$C$140=$B66)*Inputs!$D$5:$D$140*(((Inputs!$G$5:$G$140="moeda")+(Inputs!$G$5:$G$140="acoes"))*Inputs!$B$1+((Inputs!$G$5:$G$140&lt;&gt;"moeda")*(Inputs!$G$5:$G$140&lt;&gt;"acoes")))*INDEX(Inputs!$K$5:$AJ$140,0,MATCH(S$2,Inputs!$K$4:$AJ$4,0)))+SUMPRODUCT((Inputs!$E$5:$E$140=$B66)*Inputs!$F$5:$F$140*(((Inputs!$G$5:$G$140="moeda")+(Inputs!$G$5:$G$140="acoes"))*Inputs!$B$1+((Inputs!$G$5:$G$140&lt;&gt;"moeda")*(Inputs!$G$5:$G$140&lt;&gt;"acoes")))*INDEX(Inputs!$K$5:$AJ$140,0,MATCH(S$2,Inputs!$K$4:$AJ$4,0)))))</f>
        <v>124372</v>
      </c>
      <c r="T66" s="262">
        <f>IF(ISNA(MATCH(T$2,Inputs!$K$4:$AJ$4,0)),NA(),IF(SUMPRODUCT((Inputs!$A$5:$A$140=$B66)*ISNUMBER(INDEX(Inputs!$K$5:$AJ$140,0,MATCH(T$2,Inputs!$K$4:$AJ$4,0))))+SUMPRODUCT((Inputs!$C$5:$C$140=$B66)*ISNUMBER(INDEX(Inputs!$K$5:$AJ$140,0,MATCH(T$2,Inputs!$K$4:$AJ$4,0))))+SUMPRODUCT((Inputs!$E$5:$E$140=$B66)*ISNUMBER(INDEX(Inputs!$K$5:$AJ$140,0,MATCH(T$2,Inputs!$K$4:$AJ$4,0))))=0,NA(),SUMPRODUCT((Inputs!$A$5:$A$140=$B66)*Inputs!$B$5:$B$140*(((Inputs!$G$5:$G$140="moeda")+(Inputs!$G$5:$G$140="acoes"))*Inputs!$B$1+((Inputs!$G$5:$G$140&lt;&gt;"moeda")*(Inputs!$G$5:$G$140&lt;&gt;"acoes")))*INDEX(Inputs!$K$5:$AJ$140,0,MATCH(T$2,Inputs!$K$4:$AJ$4,0)))+SUMPRODUCT((Inputs!$C$5:$C$140=$B66)*Inputs!$D$5:$D$140*(((Inputs!$G$5:$G$140="moeda")+(Inputs!$G$5:$G$140="acoes"))*Inputs!$B$1+((Inputs!$G$5:$G$140&lt;&gt;"moeda")*(Inputs!$G$5:$G$140&lt;&gt;"acoes")))*INDEX(Inputs!$K$5:$AJ$140,0,MATCH(T$2,Inputs!$K$4:$AJ$4,0)))+SUMPRODUCT((Inputs!$E$5:$E$140=$B66)*Inputs!$F$5:$F$140*(((Inputs!$G$5:$G$140="moeda")+(Inputs!$G$5:$G$140="acoes"))*Inputs!$B$1+((Inputs!$G$5:$G$140&lt;&gt;"moeda")*(Inputs!$G$5:$G$140&lt;&gt;"acoes")))*INDEX(Inputs!$K$5:$AJ$140,0,MATCH(T$2,Inputs!$K$4:$AJ$4,0)))))</f>
        <v>127274.2927</v>
      </c>
      <c r="U66" s="262">
        <f>IF(ISNA(MATCH(U$2,Inputs!$K$4:$AJ$4,0)),NA(),IF(SUMPRODUCT((Inputs!$A$5:$A$140=$B66)*ISNUMBER(INDEX(Inputs!$K$5:$AJ$140,0,MATCH(U$2,Inputs!$K$4:$AJ$4,0))))+SUMPRODUCT((Inputs!$C$5:$C$140=$B66)*ISNUMBER(INDEX(Inputs!$K$5:$AJ$140,0,MATCH(U$2,Inputs!$K$4:$AJ$4,0))))+SUMPRODUCT((Inputs!$E$5:$E$140=$B66)*ISNUMBER(INDEX(Inputs!$K$5:$AJ$140,0,MATCH(U$2,Inputs!$K$4:$AJ$4,0))))=0,NA(),SUMPRODUCT((Inputs!$A$5:$A$140=$B66)*Inputs!$B$5:$B$140*(((Inputs!$G$5:$G$140="moeda")+(Inputs!$G$5:$G$140="acoes"))*Inputs!$B$1+((Inputs!$G$5:$G$140&lt;&gt;"moeda")*(Inputs!$G$5:$G$140&lt;&gt;"acoes")))*INDEX(Inputs!$K$5:$AJ$140,0,MATCH(U$2,Inputs!$K$4:$AJ$4,0)))+SUMPRODUCT((Inputs!$C$5:$C$140=$B66)*Inputs!$D$5:$D$140*(((Inputs!$G$5:$G$140="moeda")+(Inputs!$G$5:$G$140="acoes"))*Inputs!$B$1+((Inputs!$G$5:$G$140&lt;&gt;"moeda")*(Inputs!$G$5:$G$140&lt;&gt;"acoes")))*INDEX(Inputs!$K$5:$AJ$140,0,MATCH(U$2,Inputs!$K$4:$AJ$4,0)))+SUMPRODUCT((Inputs!$E$5:$E$140=$B66)*Inputs!$F$5:$F$140*(((Inputs!$G$5:$G$140="moeda")+(Inputs!$G$5:$G$140="acoes"))*Inputs!$B$1+((Inputs!$G$5:$G$140&lt;&gt;"moeda")*(Inputs!$G$5:$G$140&lt;&gt;"acoes")))*INDEX(Inputs!$K$5:$AJ$140,0,MATCH(U$2,Inputs!$K$4:$AJ$4,0)))))</f>
        <v>127274.2927</v>
      </c>
      <c r="V66" s="262">
        <f>IF(ISNA(MATCH(V$2,Inputs!$K$4:$AJ$4,0)),NA(),IF(SUMPRODUCT((Inputs!$A$5:$A$140=$B66)*ISNUMBER(INDEX(Inputs!$K$5:$AJ$140,0,MATCH(V$2,Inputs!$K$4:$AJ$4,0))))+SUMPRODUCT((Inputs!$C$5:$C$140=$B66)*ISNUMBER(INDEX(Inputs!$K$5:$AJ$140,0,MATCH(V$2,Inputs!$K$4:$AJ$4,0))))+SUMPRODUCT((Inputs!$E$5:$E$140=$B66)*ISNUMBER(INDEX(Inputs!$K$5:$AJ$140,0,MATCH(V$2,Inputs!$K$4:$AJ$4,0))))=0,NA(),SUMPRODUCT((Inputs!$A$5:$A$140=$B66)*Inputs!$B$5:$B$140*(((Inputs!$G$5:$G$140="moeda")+(Inputs!$G$5:$G$140="acoes"))*Inputs!$B$1+((Inputs!$G$5:$G$140&lt;&gt;"moeda")*(Inputs!$G$5:$G$140&lt;&gt;"acoes")))*INDEX(Inputs!$K$5:$AJ$140,0,MATCH(V$2,Inputs!$K$4:$AJ$4,0)))+SUMPRODUCT((Inputs!$C$5:$C$140=$B66)*Inputs!$D$5:$D$140*(((Inputs!$G$5:$G$140="moeda")+(Inputs!$G$5:$G$140="acoes"))*Inputs!$B$1+((Inputs!$G$5:$G$140&lt;&gt;"moeda")*(Inputs!$G$5:$G$140&lt;&gt;"acoes")))*INDEX(Inputs!$K$5:$AJ$140,0,MATCH(V$2,Inputs!$K$4:$AJ$4,0)))+SUMPRODUCT((Inputs!$E$5:$E$140=$B66)*Inputs!$F$5:$F$140*(((Inputs!$G$5:$G$140="moeda")+(Inputs!$G$5:$G$140="acoes"))*Inputs!$B$1+((Inputs!$G$5:$G$140&lt;&gt;"moeda")*(Inputs!$G$5:$G$140&lt;&gt;"acoes")))*INDEX(Inputs!$K$5:$AJ$140,0,MATCH(V$2,Inputs!$K$4:$AJ$4,0)))))</f>
        <v>132684.2927</v>
      </c>
      <c r="W66" s="263">
        <f>V66</f>
        <v>132684.2927</v>
      </c>
      <c r="X66" s="262">
        <f>IF(ISNA(MATCH(X$2,Inputs!$K$4:$AJ$4,0)),NA(),IF(SUMPRODUCT((Inputs!$A$5:$A$140=$B66)*ISNUMBER(INDEX(Inputs!$K$5:$AJ$140,0,MATCH(X$2,Inputs!$K$4:$AJ$4,0))))+SUMPRODUCT((Inputs!$C$5:$C$140=$B66)*ISNUMBER(INDEX(Inputs!$K$5:$AJ$140,0,MATCH(X$2,Inputs!$K$4:$AJ$4,0))))+SUMPRODUCT((Inputs!$E$5:$E$140=$B66)*ISNUMBER(INDEX(Inputs!$K$5:$AJ$140,0,MATCH(X$2,Inputs!$K$4:$AJ$4,0))))=0,NA(),SUMPRODUCT((Inputs!$A$5:$A$140=$B66)*Inputs!$B$5:$B$140*(((Inputs!$G$5:$G$140="moeda")+(Inputs!$G$5:$G$140="acoes"))*Inputs!$B$1+((Inputs!$G$5:$G$140&lt;&gt;"moeda")*(Inputs!$G$5:$G$140&lt;&gt;"acoes")))*INDEX(Inputs!$K$5:$AJ$140,0,MATCH(X$2,Inputs!$K$4:$AJ$4,0)))+SUMPRODUCT((Inputs!$C$5:$C$140=$B66)*Inputs!$D$5:$D$140*(((Inputs!$G$5:$G$140="moeda")+(Inputs!$G$5:$G$140="acoes"))*Inputs!$B$1+((Inputs!$G$5:$G$140&lt;&gt;"moeda")*(Inputs!$G$5:$G$140&lt;&gt;"acoes")))*INDEX(Inputs!$K$5:$AJ$140,0,MATCH(X$2,Inputs!$K$4:$AJ$4,0)))+SUMPRODUCT((Inputs!$E$5:$E$140=$B66)*Inputs!$F$5:$F$140*(((Inputs!$G$5:$G$140="moeda")+(Inputs!$G$5:$G$140="acoes"))*Inputs!$B$1+((Inputs!$G$5:$G$140&lt;&gt;"moeda")*(Inputs!$G$5:$G$140&lt;&gt;"acoes")))*INDEX(Inputs!$K$5:$AJ$140,0,MATCH(X$2,Inputs!$K$4:$AJ$4,0)))))</f>
        <v>134494.2927</v>
      </c>
      <c r="Y66" s="262">
        <f>IF(ISNA(MATCH(Y$2,Inputs!$K$4:$AJ$4,0)),NA(),IF(SUMPRODUCT((Inputs!$A$5:$A$140=$B66)*ISNUMBER(INDEX(Inputs!$K$5:$AJ$140,0,MATCH(Y$2,Inputs!$K$4:$AJ$4,0))))+SUMPRODUCT((Inputs!$C$5:$C$140=$B66)*ISNUMBER(INDEX(Inputs!$K$5:$AJ$140,0,MATCH(Y$2,Inputs!$K$4:$AJ$4,0))))+SUMPRODUCT((Inputs!$E$5:$E$140=$B66)*ISNUMBER(INDEX(Inputs!$K$5:$AJ$140,0,MATCH(Y$2,Inputs!$K$4:$AJ$4,0))))=0,NA(),SUMPRODUCT((Inputs!$A$5:$A$140=$B66)*Inputs!$B$5:$B$140*(((Inputs!$G$5:$G$140="moeda")+(Inputs!$G$5:$G$140="acoes"))*Inputs!$B$1+((Inputs!$G$5:$G$140&lt;&gt;"moeda")*(Inputs!$G$5:$G$140&lt;&gt;"acoes")))*INDEX(Inputs!$K$5:$AJ$140,0,MATCH(Y$2,Inputs!$K$4:$AJ$4,0)))+SUMPRODUCT((Inputs!$C$5:$C$140=$B66)*Inputs!$D$5:$D$140*(((Inputs!$G$5:$G$140="moeda")+(Inputs!$G$5:$G$140="acoes"))*Inputs!$B$1+((Inputs!$G$5:$G$140&lt;&gt;"moeda")*(Inputs!$G$5:$G$140&lt;&gt;"acoes")))*INDEX(Inputs!$K$5:$AJ$140,0,MATCH(Y$2,Inputs!$K$4:$AJ$4,0)))+SUMPRODUCT((Inputs!$E$5:$E$140=$B66)*Inputs!$F$5:$F$140*(((Inputs!$G$5:$G$140="moeda")+(Inputs!$G$5:$G$140="acoes"))*Inputs!$B$1+((Inputs!$G$5:$G$140&lt;&gt;"moeda")*(Inputs!$G$5:$G$140&lt;&gt;"acoes")))*INDEX(Inputs!$K$5:$AJ$140,0,MATCH(Y$2,Inputs!$K$4:$AJ$4,0)))))</f>
        <v>135281.9427</v>
      </c>
      <c r="Z66" s="262">
        <f>IF(ISNA(MATCH(Z$2,Inputs!$K$4:$AJ$4,0)),NA(),IF(SUMPRODUCT((Inputs!$A$5:$A$140=$B66)*ISNUMBER(INDEX(Inputs!$K$5:$AJ$140,0,MATCH(Z$2,Inputs!$K$4:$AJ$4,0))))+SUMPRODUCT((Inputs!$C$5:$C$140=$B66)*ISNUMBER(INDEX(Inputs!$K$5:$AJ$140,0,MATCH(Z$2,Inputs!$K$4:$AJ$4,0))))+SUMPRODUCT((Inputs!$E$5:$E$140=$B66)*ISNUMBER(INDEX(Inputs!$K$5:$AJ$140,0,MATCH(Z$2,Inputs!$K$4:$AJ$4,0))))=0,NA(),SUMPRODUCT((Inputs!$A$5:$A$140=$B66)*Inputs!$B$5:$B$140*(((Inputs!$G$5:$G$140="moeda")+(Inputs!$G$5:$G$140="acoes"))*Inputs!$B$1+((Inputs!$G$5:$G$140&lt;&gt;"moeda")*(Inputs!$G$5:$G$140&lt;&gt;"acoes")))*INDEX(Inputs!$K$5:$AJ$140,0,MATCH(Z$2,Inputs!$K$4:$AJ$4,0)))+SUMPRODUCT((Inputs!$C$5:$C$140=$B66)*Inputs!$D$5:$D$140*(((Inputs!$G$5:$G$140="moeda")+(Inputs!$G$5:$G$140="acoes"))*Inputs!$B$1+((Inputs!$G$5:$G$140&lt;&gt;"moeda")*(Inputs!$G$5:$G$140&lt;&gt;"acoes")))*INDEX(Inputs!$K$5:$AJ$140,0,MATCH(Z$2,Inputs!$K$4:$AJ$4,0)))+SUMPRODUCT((Inputs!$E$5:$E$140=$B66)*Inputs!$F$5:$F$140*(((Inputs!$G$5:$G$140="moeda")+(Inputs!$G$5:$G$140="acoes"))*Inputs!$B$1+((Inputs!$G$5:$G$140&lt;&gt;"moeda")*(Inputs!$G$5:$G$140&lt;&gt;"acoes")))*INDEX(Inputs!$K$5:$AJ$140,0,MATCH(Z$2,Inputs!$K$4:$AJ$4,0)))))</f>
        <v>135690.9427</v>
      </c>
      <c r="AA66" s="262">
        <f>IF(ISNA(MATCH(AA$2,Inputs!$K$4:$AJ$4,0)),NA(),IF(SUMPRODUCT((Inputs!$A$5:$A$140=$B66)*ISNUMBER(INDEX(Inputs!$K$5:$AJ$140,0,MATCH(AA$2,Inputs!$K$4:$AJ$4,0))))+SUMPRODUCT((Inputs!$C$5:$C$140=$B66)*ISNUMBER(INDEX(Inputs!$K$5:$AJ$140,0,MATCH(AA$2,Inputs!$K$4:$AJ$4,0))))+SUMPRODUCT((Inputs!$E$5:$E$140=$B66)*ISNUMBER(INDEX(Inputs!$K$5:$AJ$140,0,MATCH(AA$2,Inputs!$K$4:$AJ$4,0))))=0,NA(),SUMPRODUCT((Inputs!$A$5:$A$140=$B66)*Inputs!$B$5:$B$140*(((Inputs!$G$5:$G$140="moeda")+(Inputs!$G$5:$G$140="acoes"))*Inputs!$B$1+((Inputs!$G$5:$G$140&lt;&gt;"moeda")*(Inputs!$G$5:$G$140&lt;&gt;"acoes")))*INDEX(Inputs!$K$5:$AJ$140,0,MATCH(AA$2,Inputs!$K$4:$AJ$4,0)))+SUMPRODUCT((Inputs!$C$5:$C$140=$B66)*Inputs!$D$5:$D$140*(((Inputs!$G$5:$G$140="moeda")+(Inputs!$G$5:$G$140="acoes"))*Inputs!$B$1+((Inputs!$G$5:$G$140&lt;&gt;"moeda")*(Inputs!$G$5:$G$140&lt;&gt;"acoes")))*INDEX(Inputs!$K$5:$AJ$140,0,MATCH(AA$2,Inputs!$K$4:$AJ$4,0)))+SUMPRODUCT((Inputs!$E$5:$E$140=$B66)*Inputs!$F$5:$F$140*(((Inputs!$G$5:$G$140="moeda")+(Inputs!$G$5:$G$140="acoes"))*Inputs!$B$1+((Inputs!$G$5:$G$140&lt;&gt;"moeda")*(Inputs!$G$5:$G$140&lt;&gt;"acoes")))*INDEX(Inputs!$K$5:$AJ$140,0,MATCH(AA$2,Inputs!$K$4:$AJ$4,0)))))</f>
        <v>142699.4827</v>
      </c>
      <c r="AB66" s="263">
        <f>AA66</f>
        <v>142699.4827</v>
      </c>
      <c r="AC66" s="262">
        <f>IF(ISNA(MATCH(AC$2,Inputs!$K$4:$AJ$4,0)),NA(),IF(SUMPRODUCT((Inputs!$A$5:$A$140=$B66)*ISNUMBER(INDEX(Inputs!$K$5:$AJ$140,0,MATCH(AC$2,Inputs!$K$4:$AJ$4,0))))+SUMPRODUCT((Inputs!$C$5:$C$140=$B66)*ISNUMBER(INDEX(Inputs!$K$5:$AJ$140,0,MATCH(AC$2,Inputs!$K$4:$AJ$4,0))))+SUMPRODUCT((Inputs!$E$5:$E$140=$B66)*ISNUMBER(INDEX(Inputs!$K$5:$AJ$140,0,MATCH(AC$2,Inputs!$K$4:$AJ$4,0))))=0,NA(),SUMPRODUCT((Inputs!$A$5:$A$140=$B66)*Inputs!$B$5:$B$140*(((Inputs!$G$5:$G$140="moeda")+(Inputs!$G$5:$G$140="acoes"))*Inputs!$B$1+((Inputs!$G$5:$G$140&lt;&gt;"moeda")*(Inputs!$G$5:$G$140&lt;&gt;"acoes")))*INDEX(Inputs!$K$5:$AJ$140,0,MATCH(AC$2,Inputs!$K$4:$AJ$4,0)))+SUMPRODUCT((Inputs!$C$5:$C$140=$B66)*Inputs!$D$5:$D$140*(((Inputs!$G$5:$G$140="moeda")+(Inputs!$G$5:$G$140="acoes"))*Inputs!$B$1+((Inputs!$G$5:$G$140&lt;&gt;"moeda")*(Inputs!$G$5:$G$140&lt;&gt;"acoes")))*INDEX(Inputs!$K$5:$AJ$140,0,MATCH(AC$2,Inputs!$K$4:$AJ$4,0)))+SUMPRODUCT((Inputs!$E$5:$E$140=$B66)*Inputs!$F$5:$F$140*(((Inputs!$G$5:$G$140="moeda")+(Inputs!$G$5:$G$140="acoes"))*Inputs!$B$1+((Inputs!$G$5:$G$140&lt;&gt;"moeda")*(Inputs!$G$5:$G$140&lt;&gt;"acoes")))*INDEX(Inputs!$K$5:$AJ$140,0,MATCH(AC$2,Inputs!$K$4:$AJ$4,0)))))</f>
        <v>144400</v>
      </c>
      <c r="AD66" s="262">
        <f>IF(ISNA(MATCH(AD$2,Inputs!$K$4:$AJ$4,0)),NA(),IF(SUMPRODUCT((Inputs!$A$5:$A$140=$B66)*ISNUMBER(INDEX(Inputs!$K$5:$AJ$140,0,MATCH(AD$2,Inputs!$K$4:$AJ$4,0))))+SUMPRODUCT((Inputs!$C$5:$C$140=$B66)*ISNUMBER(INDEX(Inputs!$K$5:$AJ$140,0,MATCH(AD$2,Inputs!$K$4:$AJ$4,0))))+SUMPRODUCT((Inputs!$E$5:$E$140=$B66)*ISNUMBER(INDEX(Inputs!$K$5:$AJ$140,0,MATCH(AD$2,Inputs!$K$4:$AJ$4,0))))=0,NA(),SUMPRODUCT((Inputs!$A$5:$A$140=$B66)*Inputs!$B$5:$B$140*(((Inputs!$G$5:$G$140="moeda")+(Inputs!$G$5:$G$140="acoes"))*Inputs!$B$1+((Inputs!$G$5:$G$140&lt;&gt;"moeda")*(Inputs!$G$5:$G$140&lt;&gt;"acoes")))*INDEX(Inputs!$K$5:$AJ$140,0,MATCH(AD$2,Inputs!$K$4:$AJ$4,0)))+SUMPRODUCT((Inputs!$C$5:$C$140=$B66)*Inputs!$D$5:$D$140*(((Inputs!$G$5:$G$140="moeda")+(Inputs!$G$5:$G$140="acoes"))*Inputs!$B$1+((Inputs!$G$5:$G$140&lt;&gt;"moeda")*(Inputs!$G$5:$G$140&lt;&gt;"acoes")))*INDEX(Inputs!$K$5:$AJ$140,0,MATCH(AD$2,Inputs!$K$4:$AJ$4,0)))+SUMPRODUCT((Inputs!$E$5:$E$140=$B66)*Inputs!$F$5:$F$140*(((Inputs!$G$5:$G$140="moeda")+(Inputs!$G$5:$G$140="acoes"))*Inputs!$B$1+((Inputs!$G$5:$G$140&lt;&gt;"moeda")*(Inputs!$G$5:$G$140&lt;&gt;"acoes")))*INDEX(Inputs!$K$5:$AJ$140,0,MATCH(AD$2,Inputs!$K$4:$AJ$4,0)))))</f>
        <v>149842.1927</v>
      </c>
      <c r="AE66" s="262" t="e">
        <f>IF(ISNA(MATCH(AE$2,Inputs!$K$4:$AJ$4,0)),NA(),IF(SUMPRODUCT((Inputs!$A$5:$A$140=$B66)*ISNUMBER(INDEX(Inputs!$K$5:$AJ$140,0,MATCH(AE$2,Inputs!$K$4:$AJ$4,0))))+SUMPRODUCT((Inputs!$C$5:$C$140=$B66)*ISNUMBER(INDEX(Inputs!$K$5:$AJ$140,0,MATCH(AE$2,Inputs!$K$4:$AJ$4,0))))+SUMPRODUCT((Inputs!$E$5:$E$140=$B66)*ISNUMBER(INDEX(Inputs!$K$5:$AJ$140,0,MATCH(AE$2,Inputs!$K$4:$AJ$4,0))))=0,NA(),SUMPRODUCT((Inputs!$A$5:$A$140=$B66)*Inputs!$B$5:$B$140*(((Inputs!$G$5:$G$140="moeda")+(Inputs!$G$5:$G$140="acoes"))*Inputs!$B$1+((Inputs!$G$5:$G$140&lt;&gt;"moeda")*(Inputs!$G$5:$G$140&lt;&gt;"acoes")))*INDEX(Inputs!$K$5:$AJ$140,0,MATCH(AE$2,Inputs!$K$4:$AJ$4,0)))+SUMPRODUCT((Inputs!$C$5:$C$140=$B66)*Inputs!$D$5:$D$140*(((Inputs!$G$5:$G$140="moeda")+(Inputs!$G$5:$G$140="acoes"))*Inputs!$B$1+((Inputs!$G$5:$G$140&lt;&gt;"moeda")*(Inputs!$G$5:$G$140&lt;&gt;"acoes")))*INDEX(Inputs!$K$5:$AJ$140,0,MATCH(AE$2,Inputs!$K$4:$AJ$4,0)))+SUMPRODUCT((Inputs!$E$5:$E$140=$B66)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6" s="262" t="e">
        <f>IF(ISNA(MATCH(AF$2,Inputs!$K$4:$AJ$4,0)),NA(),IF(SUMPRODUCT((Inputs!$A$5:$A$140=$B66)*ISNUMBER(INDEX(Inputs!$K$5:$AJ$140,0,MATCH(AF$2,Inputs!$K$4:$AJ$4,0))))+SUMPRODUCT((Inputs!$C$5:$C$140=$B66)*ISNUMBER(INDEX(Inputs!$K$5:$AJ$140,0,MATCH(AF$2,Inputs!$K$4:$AJ$4,0))))+SUMPRODUCT((Inputs!$E$5:$E$140=$B66)*ISNUMBER(INDEX(Inputs!$K$5:$AJ$140,0,MATCH(AF$2,Inputs!$K$4:$AJ$4,0))))=0,NA(),SUMPRODUCT((Inputs!$A$5:$A$140=$B66)*Inputs!$B$5:$B$140*(((Inputs!$G$5:$G$140="moeda")+(Inputs!$G$5:$G$140="acoes"))*Inputs!$B$1+((Inputs!$G$5:$G$140&lt;&gt;"moeda")*(Inputs!$G$5:$G$140&lt;&gt;"acoes")))*INDEX(Inputs!$K$5:$AJ$140,0,MATCH(AF$2,Inputs!$K$4:$AJ$4,0)))+SUMPRODUCT((Inputs!$C$5:$C$140=$B66)*Inputs!$D$5:$D$140*(((Inputs!$G$5:$G$140="moeda")+(Inputs!$G$5:$G$140="acoes"))*Inputs!$B$1+((Inputs!$G$5:$G$140&lt;&gt;"moeda")*(Inputs!$G$5:$G$140&lt;&gt;"acoes")))*INDEX(Inputs!$K$5:$AJ$140,0,MATCH(AF$2,Inputs!$K$4:$AJ$4,0)))+SUMPRODUCT((Inputs!$E$5:$E$140=$B66)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6" s="263" t="e">
        <f>AF66</f>
        <v>#N/A</v>
      </c>
      <c r="AH66" s="262">
        <f>IF(ISNA(MATCH(AH$2,Inputs!$K$4:$AJ$4,0)),NA(),IF(SUMPRODUCT((Inputs!$A$5:$A$140=$B66)*ISNUMBER(INDEX(Inputs!$K$5:$AJ$140,0,MATCH(AH$2,Inputs!$K$4:$AJ$4,0))))+SUMPRODUCT((Inputs!$C$5:$C$140=$B66)*ISNUMBER(INDEX(Inputs!$K$5:$AJ$140,0,MATCH(AH$2,Inputs!$K$4:$AJ$4,0))))+SUMPRODUCT((Inputs!$E$5:$E$140=$B66)*ISNUMBER(INDEX(Inputs!$K$5:$AJ$140,0,MATCH(AH$2,Inputs!$K$4:$AJ$4,0))))=0,NA(),SUMPRODUCT((Inputs!$A$5:$A$140=$B66)*Inputs!$B$5:$B$140*(((Inputs!$G$5:$G$140="moeda")+(Inputs!$G$5:$G$140="acoes"))*Inputs!$B$1+((Inputs!$G$5:$G$140&lt;&gt;"moeda")*(Inputs!$G$5:$G$140&lt;&gt;"acoes")))*INDEX(Inputs!$K$5:$AJ$140,0,MATCH(AH$2,Inputs!$K$4:$AJ$4,0)))+SUMPRODUCT((Inputs!$C$5:$C$140=$B66)*Inputs!$D$5:$D$140*(((Inputs!$G$5:$G$140="moeda")+(Inputs!$G$5:$G$140="acoes"))*Inputs!$B$1+((Inputs!$G$5:$G$140&lt;&gt;"moeda")*(Inputs!$G$5:$G$140&lt;&gt;"acoes")))*INDEX(Inputs!$K$5:$AJ$140,0,MATCH(AH$2,Inputs!$K$4:$AJ$4,0)))+SUMPRODUCT((Inputs!$E$5:$E$140=$B66)*Inputs!$F$5:$F$140*(((Inputs!$G$5:$G$140="moeda")+(Inputs!$G$5:$G$140="acoes"))*Inputs!$B$1+((Inputs!$G$5:$G$140&lt;&gt;"moeda")*(Inputs!$G$5:$G$140&lt;&gt;"acoes")))*INDEX(Inputs!$K$5:$AJ$140,0,MATCH(AH$2,Inputs!$K$4:$AJ$4,0)))))</f>
        <v>71735.1227</v>
      </c>
      <c r="AI66" s="262">
        <f>IF(ISNA(MATCH(AI$2,Inputs!$K$4:$AJ$4,0)),NA(),IF(SUMPRODUCT((Inputs!$A$5:$A$140=$B66)*ISNUMBER(INDEX(Inputs!$K$5:$AJ$140,0,MATCH(AI$2,Inputs!$K$4:$AJ$4,0))))+SUMPRODUCT((Inputs!$C$5:$C$140=$B66)*ISNUMBER(INDEX(Inputs!$K$5:$AJ$140,0,MATCH(AI$2,Inputs!$K$4:$AJ$4,0))))+SUMPRODUCT((Inputs!$E$5:$E$140=$B66)*ISNUMBER(INDEX(Inputs!$K$5:$AJ$140,0,MATCH(AI$2,Inputs!$K$4:$AJ$4,0))))=0,NA(),SUMPRODUCT((Inputs!$A$5:$A$140=$B66)*Inputs!$B$5:$B$140*(((Inputs!$G$5:$G$140="moeda")+(Inputs!$G$5:$G$140="acoes"))*Inputs!$B$1+((Inputs!$G$5:$G$140&lt;&gt;"moeda")*(Inputs!$G$5:$G$140&lt;&gt;"acoes")))*INDEX(Inputs!$K$5:$AJ$140,0,MATCH(AI$2,Inputs!$K$4:$AJ$4,0)))+SUMPRODUCT((Inputs!$C$5:$C$140=$B66)*Inputs!$D$5:$D$140*(((Inputs!$G$5:$G$140="moeda")+(Inputs!$G$5:$G$140="acoes"))*Inputs!$B$1+((Inputs!$G$5:$G$140&lt;&gt;"moeda")*(Inputs!$G$5:$G$140&lt;&gt;"acoes")))*INDEX(Inputs!$K$5:$AJ$140,0,MATCH(AI$2,Inputs!$K$4:$AJ$4,0)))+SUMPRODUCT((Inputs!$E$5:$E$140=$B66)*Inputs!$F$5:$F$140*(((Inputs!$G$5:$G$140="moeda")+(Inputs!$G$5:$G$140="acoes"))*Inputs!$B$1+((Inputs!$G$5:$G$140&lt;&gt;"moeda")*(Inputs!$G$5:$G$140&lt;&gt;"acoes")))*INDEX(Inputs!$K$5:$AJ$140,0,MATCH(AI$2,Inputs!$K$4:$AJ$4,0)))))</f>
        <v>72492.0627</v>
      </c>
      <c r="AJ66" s="262">
        <f>IF(ISNA(MATCH(AJ$2,Inputs!$K$4:$AJ$4,0)),NA(),IF(SUMPRODUCT((Inputs!$A$5:$A$140=$B66)*ISNUMBER(INDEX(Inputs!$K$5:$AJ$140,0,MATCH(AJ$2,Inputs!$K$4:$AJ$4,0))))+SUMPRODUCT((Inputs!$C$5:$C$140=$B66)*ISNUMBER(INDEX(Inputs!$K$5:$AJ$140,0,MATCH(AJ$2,Inputs!$K$4:$AJ$4,0))))+SUMPRODUCT((Inputs!$E$5:$E$140=$B66)*ISNUMBER(INDEX(Inputs!$K$5:$AJ$140,0,MATCH(AJ$2,Inputs!$K$4:$AJ$4,0))))=0,NA(),SUMPRODUCT((Inputs!$A$5:$A$140=$B66)*Inputs!$B$5:$B$140*(((Inputs!$G$5:$G$140="moeda")+(Inputs!$G$5:$G$140="acoes"))*Inputs!$B$1+((Inputs!$G$5:$G$140&lt;&gt;"moeda")*(Inputs!$G$5:$G$140&lt;&gt;"acoes")))*INDEX(Inputs!$K$5:$AJ$140,0,MATCH(AJ$2,Inputs!$K$4:$AJ$4,0)))+SUMPRODUCT((Inputs!$C$5:$C$140=$B66)*Inputs!$D$5:$D$140*(((Inputs!$G$5:$G$140="moeda")+(Inputs!$G$5:$G$140="acoes"))*Inputs!$B$1+((Inputs!$G$5:$G$140&lt;&gt;"moeda")*(Inputs!$G$5:$G$140&lt;&gt;"acoes")))*INDEX(Inputs!$K$5:$AJ$140,0,MATCH(AJ$2,Inputs!$K$4:$AJ$4,0)))+SUMPRODUCT((Inputs!$E$5:$E$140=$B66)*Inputs!$F$5:$F$140*(((Inputs!$G$5:$G$140="moeda")+(Inputs!$G$5:$G$140="acoes"))*Inputs!$B$1+((Inputs!$G$5:$G$140&lt;&gt;"moeda")*(Inputs!$G$5:$G$140&lt;&gt;"acoes")))*INDEX(Inputs!$K$5:$AJ$140,0,MATCH(AJ$2,Inputs!$K$4:$AJ$4,0)))))</f>
        <v>76358.8127</v>
      </c>
      <c r="AK66" s="262">
        <f>IF(ISNA(MATCH(AK$2,Inputs!$K$4:$AJ$4,0)),NA(),IF(SUMPRODUCT((Inputs!$A$5:$A$140=$B66)*ISNUMBER(INDEX(Inputs!$K$5:$AJ$140,0,MATCH(AK$2,Inputs!$K$4:$AJ$4,0))))+SUMPRODUCT((Inputs!$C$5:$C$140=$B66)*ISNUMBER(INDEX(Inputs!$K$5:$AJ$140,0,MATCH(AK$2,Inputs!$K$4:$AJ$4,0))))+SUMPRODUCT((Inputs!$E$5:$E$140=$B66)*ISNUMBER(INDEX(Inputs!$K$5:$AJ$140,0,MATCH(AK$2,Inputs!$K$4:$AJ$4,0))))=0,NA(),SUMPRODUCT((Inputs!$A$5:$A$140=$B66)*Inputs!$B$5:$B$140*(((Inputs!$G$5:$G$140="moeda")+(Inputs!$G$5:$G$140="acoes"))*Inputs!$B$1+((Inputs!$G$5:$G$140&lt;&gt;"moeda")*(Inputs!$G$5:$G$140&lt;&gt;"acoes")))*INDEX(Inputs!$K$5:$AJ$140,0,MATCH(AK$2,Inputs!$K$4:$AJ$4,0)))+SUMPRODUCT((Inputs!$C$5:$C$140=$B66)*Inputs!$D$5:$D$140*(((Inputs!$G$5:$G$140="moeda")+(Inputs!$G$5:$G$140="acoes"))*Inputs!$B$1+((Inputs!$G$5:$G$140&lt;&gt;"moeda")*(Inputs!$G$5:$G$140&lt;&gt;"acoes")))*INDEX(Inputs!$K$5:$AJ$140,0,MATCH(AK$2,Inputs!$K$4:$AJ$4,0)))+SUMPRODUCT((Inputs!$E$5:$E$140=$B66)*Inputs!$F$5:$F$140*(((Inputs!$G$5:$G$140="moeda")+(Inputs!$G$5:$G$140="acoes"))*Inputs!$B$1+((Inputs!$G$5:$G$140&lt;&gt;"moeda")*(Inputs!$G$5:$G$140&lt;&gt;"acoes")))*INDEX(Inputs!$K$5:$AJ$140,0,MATCH(AK$2,Inputs!$K$4:$AJ$4,0)))))</f>
        <v>85579.8727</v>
      </c>
      <c r="AL66" s="263">
        <f>AK66</f>
        <v>85579.8727</v>
      </c>
    </row>
    <row r="67">
      <c r="B67" s="46" t="n">
        <v>59</v>
      </c>
      <c r="C67" s="29" t="inlineStr">
        <is>
          <t>Area de vendas - Eletro (m2)</t>
        </is>
      </c>
      <c r="D67" s="262">
        <f>IF(ISNA(MATCH(D$2,Inputs!$K$4:$AJ$4,0)),NA(),IF(SUMPRODUCT((Inputs!$A$5:$A$140=$B67)*ISNUMBER(INDEX(Inputs!$K$5:$AJ$140,0,MATCH(D$2,Inputs!$K$4:$AJ$4,0))))+SUMPRODUCT((Inputs!$C$5:$C$140=$B67)*ISNUMBER(INDEX(Inputs!$K$5:$AJ$140,0,MATCH(D$2,Inputs!$K$4:$AJ$4,0))))+SUMPRODUCT((Inputs!$E$5:$E$140=$B67)*ISNUMBER(INDEX(Inputs!$K$5:$AJ$140,0,MATCH(D$2,Inputs!$K$4:$AJ$4,0))))=0,NA(),SUMPRODUCT((Inputs!$A$5:$A$140=$B67)*Inputs!$B$5:$B$140*(((Inputs!$G$5:$G$140="moeda")+(Inputs!$G$5:$G$140="acoes"))*Inputs!$B$1+((Inputs!$G$5:$G$140&lt;&gt;"moeda")*(Inputs!$G$5:$G$140&lt;&gt;"acoes")))*INDEX(Inputs!$K$5:$AJ$140,0,MATCH(D$2,Inputs!$K$4:$AJ$4,0)))+SUMPRODUCT((Inputs!$C$5:$C$140=$B67)*Inputs!$D$5:$D$140*(((Inputs!$G$5:$G$140="moeda")+(Inputs!$G$5:$G$140="acoes"))*Inputs!$B$1+((Inputs!$G$5:$G$140&lt;&gt;"moeda")*(Inputs!$G$5:$G$140&lt;&gt;"acoes")))*INDEX(Inputs!$K$5:$AJ$140,0,MATCH(D$2,Inputs!$K$4:$AJ$4,0)))+SUMPRODUCT((Inputs!$E$5:$E$140=$B67)*Inputs!$F$5:$F$140*(((Inputs!$G$5:$G$140="moeda")+(Inputs!$G$5:$G$140="acoes"))*Inputs!$B$1+((Inputs!$G$5:$G$140&lt;&gt;"moeda")*(Inputs!$G$5:$G$140&lt;&gt;"acoes")))*INDEX(Inputs!$K$5:$AJ$140,0,MATCH(D$2,Inputs!$K$4:$AJ$4,0)))))</f>
        <v>83575.38</v>
      </c>
      <c r="E67" s="262">
        <f>IF(ISNA(MATCH(E$2,Inputs!$K$4:$AJ$4,0)),NA(),IF(SUMPRODUCT((Inputs!$A$5:$A$140=$B67)*ISNUMBER(INDEX(Inputs!$K$5:$AJ$140,0,MATCH(E$2,Inputs!$K$4:$AJ$4,0))))+SUMPRODUCT((Inputs!$C$5:$C$140=$B67)*ISNUMBER(INDEX(Inputs!$K$5:$AJ$140,0,MATCH(E$2,Inputs!$K$4:$AJ$4,0))))+SUMPRODUCT((Inputs!$E$5:$E$140=$B67)*ISNUMBER(INDEX(Inputs!$K$5:$AJ$140,0,MATCH(E$2,Inputs!$K$4:$AJ$4,0))))=0,NA(),SUMPRODUCT((Inputs!$A$5:$A$140=$B67)*Inputs!$B$5:$B$140*(((Inputs!$G$5:$G$140="moeda")+(Inputs!$G$5:$G$140="acoes"))*Inputs!$B$1+((Inputs!$G$5:$G$140&lt;&gt;"moeda")*(Inputs!$G$5:$G$140&lt;&gt;"acoes")))*INDEX(Inputs!$K$5:$AJ$140,0,MATCH(E$2,Inputs!$K$4:$AJ$4,0)))+SUMPRODUCT((Inputs!$C$5:$C$140=$B67)*Inputs!$D$5:$D$140*(((Inputs!$G$5:$G$140="moeda")+(Inputs!$G$5:$G$140="acoes"))*Inputs!$B$1+((Inputs!$G$5:$G$140&lt;&gt;"moeda")*(Inputs!$G$5:$G$140&lt;&gt;"acoes")))*INDEX(Inputs!$K$5:$AJ$140,0,MATCH(E$2,Inputs!$K$4:$AJ$4,0)))+SUMPRODUCT((Inputs!$E$5:$E$140=$B67)*Inputs!$F$5:$F$140*(((Inputs!$G$5:$G$140="moeda")+(Inputs!$G$5:$G$140="acoes"))*Inputs!$B$1+((Inputs!$G$5:$G$140&lt;&gt;"moeda")*(Inputs!$G$5:$G$140&lt;&gt;"acoes")))*INDEX(Inputs!$K$5:$AJ$140,0,MATCH(E$2,Inputs!$K$4:$AJ$4,0)))))</f>
        <v>89891.6</v>
      </c>
      <c r="F67" s="262">
        <f>IF(ISNA(MATCH(F$2,Inputs!$K$4:$AJ$4,0)),NA(),IF(SUMPRODUCT((Inputs!$A$5:$A$140=$B67)*ISNUMBER(INDEX(Inputs!$K$5:$AJ$140,0,MATCH(F$2,Inputs!$K$4:$AJ$4,0))))+SUMPRODUCT((Inputs!$C$5:$C$140=$B67)*ISNUMBER(INDEX(Inputs!$K$5:$AJ$140,0,MATCH(F$2,Inputs!$K$4:$AJ$4,0))))+SUMPRODUCT((Inputs!$E$5:$E$140=$B67)*ISNUMBER(INDEX(Inputs!$K$5:$AJ$140,0,MATCH(F$2,Inputs!$K$4:$AJ$4,0))))=0,NA(),SUMPRODUCT((Inputs!$A$5:$A$140=$B67)*Inputs!$B$5:$B$140*(((Inputs!$G$5:$G$140="moeda")+(Inputs!$G$5:$G$140="acoes"))*Inputs!$B$1+((Inputs!$G$5:$G$140&lt;&gt;"moeda")*(Inputs!$G$5:$G$140&lt;&gt;"acoes")))*INDEX(Inputs!$K$5:$AJ$140,0,MATCH(F$2,Inputs!$K$4:$AJ$4,0)))+SUMPRODUCT((Inputs!$C$5:$C$140=$B67)*Inputs!$D$5:$D$140*(((Inputs!$G$5:$G$140="moeda")+(Inputs!$G$5:$G$140="acoes"))*Inputs!$B$1+((Inputs!$G$5:$G$140&lt;&gt;"moeda")*(Inputs!$G$5:$G$140&lt;&gt;"acoes")))*INDEX(Inputs!$K$5:$AJ$140,0,MATCH(F$2,Inputs!$K$4:$AJ$4,0)))+SUMPRODUCT((Inputs!$E$5:$E$140=$B67)*Inputs!$F$5:$F$140*(((Inputs!$G$5:$G$140="moeda")+(Inputs!$G$5:$G$140="acoes"))*Inputs!$B$1+((Inputs!$G$5:$G$140&lt;&gt;"moeda")*(Inputs!$G$5:$G$140&lt;&gt;"acoes")))*INDEX(Inputs!$K$5:$AJ$140,0,MATCH(F$2,Inputs!$K$4:$AJ$4,0)))))</f>
        <v>93233</v>
      </c>
      <c r="G67" s="262">
        <f>IF(ISNA(MATCH(G$2,Inputs!$K$4:$AJ$4,0)),NA(),IF(SUMPRODUCT((Inputs!$A$5:$A$140=$B67)*ISNUMBER(INDEX(Inputs!$K$5:$AJ$140,0,MATCH(G$2,Inputs!$K$4:$AJ$4,0))))+SUMPRODUCT((Inputs!$C$5:$C$140=$B67)*ISNUMBER(INDEX(Inputs!$K$5:$AJ$140,0,MATCH(G$2,Inputs!$K$4:$AJ$4,0))))+SUMPRODUCT((Inputs!$E$5:$E$140=$B67)*ISNUMBER(INDEX(Inputs!$K$5:$AJ$140,0,MATCH(G$2,Inputs!$K$4:$AJ$4,0))))=0,NA(),SUMPRODUCT((Inputs!$A$5:$A$140=$B67)*Inputs!$B$5:$B$140*(((Inputs!$G$5:$G$140="moeda")+(Inputs!$G$5:$G$140="acoes"))*Inputs!$B$1+((Inputs!$G$5:$G$140&lt;&gt;"moeda")*(Inputs!$G$5:$G$140&lt;&gt;"acoes")))*INDEX(Inputs!$K$5:$AJ$140,0,MATCH(G$2,Inputs!$K$4:$AJ$4,0)))+SUMPRODUCT((Inputs!$C$5:$C$140=$B67)*Inputs!$D$5:$D$140*(((Inputs!$G$5:$G$140="moeda")+(Inputs!$G$5:$G$140="acoes"))*Inputs!$B$1+((Inputs!$G$5:$G$140&lt;&gt;"moeda")*(Inputs!$G$5:$G$140&lt;&gt;"acoes")))*INDEX(Inputs!$K$5:$AJ$140,0,MATCH(G$2,Inputs!$K$4:$AJ$4,0)))+SUMPRODUCT((Inputs!$E$5:$E$140=$B67)*Inputs!$F$5:$F$140*(((Inputs!$G$5:$G$140="moeda")+(Inputs!$G$5:$G$140="acoes"))*Inputs!$B$1+((Inputs!$G$5:$G$140&lt;&gt;"moeda")*(Inputs!$G$5:$G$140&lt;&gt;"acoes")))*INDEX(Inputs!$K$5:$AJ$140,0,MATCH(G$2,Inputs!$K$4:$AJ$4,0)))))</f>
        <v>97593</v>
      </c>
      <c r="H67" s="263">
        <f>G67</f>
        <v>97593</v>
      </c>
      <c r="I67" s="262">
        <f>IF(ISNA(MATCH(I$2,Inputs!$K$4:$AJ$4,0)),NA(),IF(SUMPRODUCT((Inputs!$A$5:$A$140=$B67)*ISNUMBER(INDEX(Inputs!$K$5:$AJ$140,0,MATCH(I$2,Inputs!$K$4:$AJ$4,0))))+SUMPRODUCT((Inputs!$C$5:$C$140=$B67)*ISNUMBER(INDEX(Inputs!$K$5:$AJ$140,0,MATCH(I$2,Inputs!$K$4:$AJ$4,0))))+SUMPRODUCT((Inputs!$E$5:$E$140=$B67)*ISNUMBER(INDEX(Inputs!$K$5:$AJ$140,0,MATCH(I$2,Inputs!$K$4:$AJ$4,0))))=0,NA(),SUMPRODUCT((Inputs!$A$5:$A$140=$B67)*Inputs!$B$5:$B$140*(((Inputs!$G$5:$G$140="moeda")+(Inputs!$G$5:$G$140="acoes"))*Inputs!$B$1+((Inputs!$G$5:$G$140&lt;&gt;"moeda")*(Inputs!$G$5:$G$140&lt;&gt;"acoes")))*INDEX(Inputs!$K$5:$AJ$140,0,MATCH(I$2,Inputs!$K$4:$AJ$4,0)))+SUMPRODUCT((Inputs!$C$5:$C$140=$B67)*Inputs!$D$5:$D$140*(((Inputs!$G$5:$G$140="moeda")+(Inputs!$G$5:$G$140="acoes"))*Inputs!$B$1+((Inputs!$G$5:$G$140&lt;&gt;"moeda")*(Inputs!$G$5:$G$140&lt;&gt;"acoes")))*INDEX(Inputs!$K$5:$AJ$140,0,MATCH(I$2,Inputs!$K$4:$AJ$4,0)))+SUMPRODUCT((Inputs!$E$5:$E$140=$B67)*Inputs!$F$5:$F$140*(((Inputs!$G$5:$G$140="moeda")+(Inputs!$G$5:$G$140="acoes"))*Inputs!$B$1+((Inputs!$G$5:$G$140&lt;&gt;"moeda")*(Inputs!$G$5:$G$140&lt;&gt;"acoes")))*INDEX(Inputs!$K$5:$AJ$140,0,MATCH(I$2,Inputs!$K$4:$AJ$4,0)))))</f>
        <v>99641</v>
      </c>
      <c r="J67" s="262">
        <f>IF(ISNA(MATCH(J$2,Inputs!$K$4:$AJ$4,0)),NA(),IF(SUMPRODUCT((Inputs!$A$5:$A$140=$B67)*ISNUMBER(INDEX(Inputs!$K$5:$AJ$140,0,MATCH(J$2,Inputs!$K$4:$AJ$4,0))))+SUMPRODUCT((Inputs!$C$5:$C$140=$B67)*ISNUMBER(INDEX(Inputs!$K$5:$AJ$140,0,MATCH(J$2,Inputs!$K$4:$AJ$4,0))))+SUMPRODUCT((Inputs!$E$5:$E$140=$B67)*ISNUMBER(INDEX(Inputs!$K$5:$AJ$140,0,MATCH(J$2,Inputs!$K$4:$AJ$4,0))))=0,NA(),SUMPRODUCT((Inputs!$A$5:$A$140=$B67)*Inputs!$B$5:$B$140*(((Inputs!$G$5:$G$140="moeda")+(Inputs!$G$5:$G$140="acoes"))*Inputs!$B$1+((Inputs!$G$5:$G$140&lt;&gt;"moeda")*(Inputs!$G$5:$G$140&lt;&gt;"acoes")))*INDEX(Inputs!$K$5:$AJ$140,0,MATCH(J$2,Inputs!$K$4:$AJ$4,0)))+SUMPRODUCT((Inputs!$C$5:$C$140=$B67)*Inputs!$D$5:$D$140*(((Inputs!$G$5:$G$140="moeda")+(Inputs!$G$5:$G$140="acoes"))*Inputs!$B$1+((Inputs!$G$5:$G$140&lt;&gt;"moeda")*(Inputs!$G$5:$G$140&lt;&gt;"acoes")))*INDEX(Inputs!$K$5:$AJ$140,0,MATCH(J$2,Inputs!$K$4:$AJ$4,0)))+SUMPRODUCT((Inputs!$E$5:$E$140=$B67)*Inputs!$F$5:$F$140*(((Inputs!$G$5:$G$140="moeda")+(Inputs!$G$5:$G$140="acoes"))*Inputs!$B$1+((Inputs!$G$5:$G$140&lt;&gt;"moeda")*(Inputs!$G$5:$G$140&lt;&gt;"acoes")))*INDEX(Inputs!$K$5:$AJ$140,0,MATCH(J$2,Inputs!$K$4:$AJ$4,0)))))</f>
        <v>100220</v>
      </c>
      <c r="K67" s="262">
        <f>IF(ISNA(MATCH(K$2,Inputs!$K$4:$AJ$4,0)),NA(),IF(SUMPRODUCT((Inputs!$A$5:$A$140=$B67)*ISNUMBER(INDEX(Inputs!$K$5:$AJ$140,0,MATCH(K$2,Inputs!$K$4:$AJ$4,0))))+SUMPRODUCT((Inputs!$C$5:$C$140=$B67)*ISNUMBER(INDEX(Inputs!$K$5:$AJ$140,0,MATCH(K$2,Inputs!$K$4:$AJ$4,0))))+SUMPRODUCT((Inputs!$E$5:$E$140=$B67)*ISNUMBER(INDEX(Inputs!$K$5:$AJ$140,0,MATCH(K$2,Inputs!$K$4:$AJ$4,0))))=0,NA(),SUMPRODUCT((Inputs!$A$5:$A$140=$B67)*Inputs!$B$5:$B$140*(((Inputs!$G$5:$G$140="moeda")+(Inputs!$G$5:$G$140="acoes"))*Inputs!$B$1+((Inputs!$G$5:$G$140&lt;&gt;"moeda")*(Inputs!$G$5:$G$140&lt;&gt;"acoes")))*INDEX(Inputs!$K$5:$AJ$140,0,MATCH(K$2,Inputs!$K$4:$AJ$4,0)))+SUMPRODUCT((Inputs!$C$5:$C$140=$B67)*Inputs!$D$5:$D$140*(((Inputs!$G$5:$G$140="moeda")+(Inputs!$G$5:$G$140="acoes"))*Inputs!$B$1+((Inputs!$G$5:$G$140&lt;&gt;"moeda")*(Inputs!$G$5:$G$140&lt;&gt;"acoes")))*INDEX(Inputs!$K$5:$AJ$140,0,MATCH(K$2,Inputs!$K$4:$AJ$4,0)))+SUMPRODUCT((Inputs!$E$5:$E$140=$B67)*Inputs!$F$5:$F$140*(((Inputs!$G$5:$G$140="moeda")+(Inputs!$G$5:$G$140="acoes"))*Inputs!$B$1+((Inputs!$G$5:$G$140&lt;&gt;"moeda")*(Inputs!$G$5:$G$140&lt;&gt;"acoes")))*INDEX(Inputs!$K$5:$AJ$140,0,MATCH(K$2,Inputs!$K$4:$AJ$4,0)))))</f>
        <v>98723</v>
      </c>
      <c r="L67" s="262">
        <f>IF(ISNA(MATCH(L$2,Inputs!$K$4:$AJ$4,0)),NA(),IF(SUMPRODUCT((Inputs!$A$5:$A$140=$B67)*ISNUMBER(INDEX(Inputs!$K$5:$AJ$140,0,MATCH(L$2,Inputs!$K$4:$AJ$4,0))))+SUMPRODUCT((Inputs!$C$5:$C$140=$B67)*ISNUMBER(INDEX(Inputs!$K$5:$AJ$140,0,MATCH(L$2,Inputs!$K$4:$AJ$4,0))))+SUMPRODUCT((Inputs!$E$5:$E$140=$B67)*ISNUMBER(INDEX(Inputs!$K$5:$AJ$140,0,MATCH(L$2,Inputs!$K$4:$AJ$4,0))))=0,NA(),SUMPRODUCT((Inputs!$A$5:$A$140=$B67)*Inputs!$B$5:$B$140*(((Inputs!$G$5:$G$140="moeda")+(Inputs!$G$5:$G$140="acoes"))*Inputs!$B$1+((Inputs!$G$5:$G$140&lt;&gt;"moeda")*(Inputs!$G$5:$G$140&lt;&gt;"acoes")))*INDEX(Inputs!$K$5:$AJ$140,0,MATCH(L$2,Inputs!$K$4:$AJ$4,0)))+SUMPRODUCT((Inputs!$C$5:$C$140=$B67)*Inputs!$D$5:$D$140*(((Inputs!$G$5:$G$140="moeda")+(Inputs!$G$5:$G$140="acoes"))*Inputs!$B$1+((Inputs!$G$5:$G$140&lt;&gt;"moeda")*(Inputs!$G$5:$G$140&lt;&gt;"acoes")))*INDEX(Inputs!$K$5:$AJ$140,0,MATCH(L$2,Inputs!$K$4:$AJ$4,0)))+SUMPRODUCT((Inputs!$E$5:$E$140=$B67)*Inputs!$F$5:$F$140*(((Inputs!$G$5:$G$140="moeda")+(Inputs!$G$5:$G$140="acoes"))*Inputs!$B$1+((Inputs!$G$5:$G$140&lt;&gt;"moeda")*(Inputs!$G$5:$G$140&lt;&gt;"acoes")))*INDEX(Inputs!$K$5:$AJ$140,0,MATCH(L$2,Inputs!$K$4:$AJ$4,0)))))</f>
        <v>99247</v>
      </c>
      <c r="M67" s="263">
        <f>L67</f>
        <v>99247</v>
      </c>
      <c r="N67" s="262">
        <f>IF(ISNA(MATCH(N$2,Inputs!$K$4:$AJ$4,0)),NA(),IF(SUMPRODUCT((Inputs!$A$5:$A$140=$B67)*ISNUMBER(INDEX(Inputs!$K$5:$AJ$140,0,MATCH(N$2,Inputs!$K$4:$AJ$4,0))))+SUMPRODUCT((Inputs!$C$5:$C$140=$B67)*ISNUMBER(INDEX(Inputs!$K$5:$AJ$140,0,MATCH(N$2,Inputs!$K$4:$AJ$4,0))))+SUMPRODUCT((Inputs!$E$5:$E$140=$B67)*ISNUMBER(INDEX(Inputs!$K$5:$AJ$140,0,MATCH(N$2,Inputs!$K$4:$AJ$4,0))))=0,NA(),SUMPRODUCT((Inputs!$A$5:$A$140=$B67)*Inputs!$B$5:$B$140*(((Inputs!$G$5:$G$140="moeda")+(Inputs!$G$5:$G$140="acoes"))*Inputs!$B$1+((Inputs!$G$5:$G$140&lt;&gt;"moeda")*(Inputs!$G$5:$G$140&lt;&gt;"acoes")))*INDEX(Inputs!$K$5:$AJ$140,0,MATCH(N$2,Inputs!$K$4:$AJ$4,0)))+SUMPRODUCT((Inputs!$C$5:$C$140=$B67)*Inputs!$D$5:$D$140*(((Inputs!$G$5:$G$140="moeda")+(Inputs!$G$5:$G$140="acoes"))*Inputs!$B$1+((Inputs!$G$5:$G$140&lt;&gt;"moeda")*(Inputs!$G$5:$G$140&lt;&gt;"acoes")))*INDEX(Inputs!$K$5:$AJ$140,0,MATCH(N$2,Inputs!$K$4:$AJ$4,0)))+SUMPRODUCT((Inputs!$E$5:$E$140=$B67)*Inputs!$F$5:$F$140*(((Inputs!$G$5:$G$140="moeda")+(Inputs!$G$5:$G$140="acoes"))*Inputs!$B$1+((Inputs!$G$5:$G$140&lt;&gt;"moeda")*(Inputs!$G$5:$G$140&lt;&gt;"acoes")))*INDEX(Inputs!$K$5:$AJ$140,0,MATCH(N$2,Inputs!$K$4:$AJ$4,0)))))</f>
        <v>100463.39</v>
      </c>
      <c r="O67" s="262">
        <f>IF(ISNA(MATCH(O$2,Inputs!$K$4:$AJ$4,0)),NA(),IF(SUMPRODUCT((Inputs!$A$5:$A$140=$B67)*ISNUMBER(INDEX(Inputs!$K$5:$AJ$140,0,MATCH(O$2,Inputs!$K$4:$AJ$4,0))))+SUMPRODUCT((Inputs!$C$5:$C$140=$B67)*ISNUMBER(INDEX(Inputs!$K$5:$AJ$140,0,MATCH(O$2,Inputs!$K$4:$AJ$4,0))))+SUMPRODUCT((Inputs!$E$5:$E$140=$B67)*ISNUMBER(INDEX(Inputs!$K$5:$AJ$140,0,MATCH(O$2,Inputs!$K$4:$AJ$4,0))))=0,NA(),SUMPRODUCT((Inputs!$A$5:$A$140=$B67)*Inputs!$B$5:$B$140*(((Inputs!$G$5:$G$140="moeda")+(Inputs!$G$5:$G$140="acoes"))*Inputs!$B$1+((Inputs!$G$5:$G$140&lt;&gt;"moeda")*(Inputs!$G$5:$G$140&lt;&gt;"acoes")))*INDEX(Inputs!$K$5:$AJ$140,0,MATCH(O$2,Inputs!$K$4:$AJ$4,0)))+SUMPRODUCT((Inputs!$C$5:$C$140=$B67)*Inputs!$D$5:$D$140*(((Inputs!$G$5:$G$140="moeda")+(Inputs!$G$5:$G$140="acoes"))*Inputs!$B$1+((Inputs!$G$5:$G$140&lt;&gt;"moeda")*(Inputs!$G$5:$G$140&lt;&gt;"acoes")))*INDEX(Inputs!$K$5:$AJ$140,0,MATCH(O$2,Inputs!$K$4:$AJ$4,0)))+SUMPRODUCT((Inputs!$E$5:$E$140=$B67)*Inputs!$F$5:$F$140*(((Inputs!$G$5:$G$140="moeda")+(Inputs!$G$5:$G$140="acoes"))*Inputs!$B$1+((Inputs!$G$5:$G$140&lt;&gt;"moeda")*(Inputs!$G$5:$G$140&lt;&gt;"acoes")))*INDEX(Inputs!$K$5:$AJ$140,0,MATCH(O$2,Inputs!$K$4:$AJ$4,0)))))</f>
        <v>99299</v>
      </c>
      <c r="P67" s="262">
        <f>IF(ISNA(MATCH(P$2,Inputs!$K$4:$AJ$4,0)),NA(),IF(SUMPRODUCT((Inputs!$A$5:$A$140=$B67)*ISNUMBER(INDEX(Inputs!$K$5:$AJ$140,0,MATCH(P$2,Inputs!$K$4:$AJ$4,0))))+SUMPRODUCT((Inputs!$C$5:$C$140=$B67)*ISNUMBER(INDEX(Inputs!$K$5:$AJ$140,0,MATCH(P$2,Inputs!$K$4:$AJ$4,0))))+SUMPRODUCT((Inputs!$E$5:$E$140=$B67)*ISNUMBER(INDEX(Inputs!$K$5:$AJ$140,0,MATCH(P$2,Inputs!$K$4:$AJ$4,0))))=0,NA(),SUMPRODUCT((Inputs!$A$5:$A$140=$B67)*Inputs!$B$5:$B$140*(((Inputs!$G$5:$G$140="moeda")+(Inputs!$G$5:$G$140="acoes"))*Inputs!$B$1+((Inputs!$G$5:$G$140&lt;&gt;"moeda")*(Inputs!$G$5:$G$140&lt;&gt;"acoes")))*INDEX(Inputs!$K$5:$AJ$140,0,MATCH(P$2,Inputs!$K$4:$AJ$4,0)))+SUMPRODUCT((Inputs!$C$5:$C$140=$B67)*Inputs!$D$5:$D$140*(((Inputs!$G$5:$G$140="moeda")+(Inputs!$G$5:$G$140="acoes"))*Inputs!$B$1+((Inputs!$G$5:$G$140&lt;&gt;"moeda")*(Inputs!$G$5:$G$140&lt;&gt;"acoes")))*INDEX(Inputs!$K$5:$AJ$140,0,MATCH(P$2,Inputs!$K$4:$AJ$4,0)))+SUMPRODUCT((Inputs!$E$5:$E$140=$B67)*Inputs!$F$5:$F$140*(((Inputs!$G$5:$G$140="moeda")+(Inputs!$G$5:$G$140="acoes"))*Inputs!$B$1+((Inputs!$G$5:$G$140&lt;&gt;"moeda")*(Inputs!$G$5:$G$140&lt;&gt;"acoes")))*INDEX(Inputs!$K$5:$AJ$140,0,MATCH(P$2,Inputs!$K$4:$AJ$4,0)))))</f>
        <v>99578.32</v>
      </c>
      <c r="Q67" s="262">
        <f>IF(ISNA(MATCH(Q$2,Inputs!$K$4:$AJ$4,0)),NA(),IF(SUMPRODUCT((Inputs!$A$5:$A$140=$B67)*ISNUMBER(INDEX(Inputs!$K$5:$AJ$140,0,MATCH(Q$2,Inputs!$K$4:$AJ$4,0))))+SUMPRODUCT((Inputs!$C$5:$C$140=$B67)*ISNUMBER(INDEX(Inputs!$K$5:$AJ$140,0,MATCH(Q$2,Inputs!$K$4:$AJ$4,0))))+SUMPRODUCT((Inputs!$E$5:$E$140=$B67)*ISNUMBER(INDEX(Inputs!$K$5:$AJ$140,0,MATCH(Q$2,Inputs!$K$4:$AJ$4,0))))=0,NA(),SUMPRODUCT((Inputs!$A$5:$A$140=$B67)*Inputs!$B$5:$B$140*(((Inputs!$G$5:$G$140="moeda")+(Inputs!$G$5:$G$140="acoes"))*Inputs!$B$1+((Inputs!$G$5:$G$140&lt;&gt;"moeda")*(Inputs!$G$5:$G$140&lt;&gt;"acoes")))*INDEX(Inputs!$K$5:$AJ$140,0,MATCH(Q$2,Inputs!$K$4:$AJ$4,0)))+SUMPRODUCT((Inputs!$C$5:$C$140=$B67)*Inputs!$D$5:$D$140*(((Inputs!$G$5:$G$140="moeda")+(Inputs!$G$5:$G$140="acoes"))*Inputs!$B$1+((Inputs!$G$5:$G$140&lt;&gt;"moeda")*(Inputs!$G$5:$G$140&lt;&gt;"acoes")))*INDEX(Inputs!$K$5:$AJ$140,0,MATCH(Q$2,Inputs!$K$4:$AJ$4,0)))+SUMPRODUCT((Inputs!$E$5:$E$140=$B67)*Inputs!$F$5:$F$140*(((Inputs!$G$5:$G$140="moeda")+(Inputs!$G$5:$G$140="acoes"))*Inputs!$B$1+((Inputs!$G$5:$G$140&lt;&gt;"moeda")*(Inputs!$G$5:$G$140&lt;&gt;"acoes")))*INDEX(Inputs!$K$5:$AJ$140,0,MATCH(Q$2,Inputs!$K$4:$AJ$4,0)))))</f>
        <v>99578.32</v>
      </c>
      <c r="R67" s="263">
        <f>Q67</f>
        <v>99578.32</v>
      </c>
      <c r="S67" s="262">
        <f>IF(ISNA(MATCH(S$2,Inputs!$K$4:$AJ$4,0)),NA(),IF(SUMPRODUCT((Inputs!$A$5:$A$140=$B67)*ISNUMBER(INDEX(Inputs!$K$5:$AJ$140,0,MATCH(S$2,Inputs!$K$4:$AJ$4,0))))+SUMPRODUCT((Inputs!$C$5:$C$140=$B67)*ISNUMBER(INDEX(Inputs!$K$5:$AJ$140,0,MATCH(S$2,Inputs!$K$4:$AJ$4,0))))+SUMPRODUCT((Inputs!$E$5:$E$140=$B67)*ISNUMBER(INDEX(Inputs!$K$5:$AJ$140,0,MATCH(S$2,Inputs!$K$4:$AJ$4,0))))=0,NA(),SUMPRODUCT((Inputs!$A$5:$A$140=$B67)*Inputs!$B$5:$B$140*(((Inputs!$G$5:$G$140="moeda")+(Inputs!$G$5:$G$140="acoes"))*Inputs!$B$1+((Inputs!$G$5:$G$140&lt;&gt;"moeda")*(Inputs!$G$5:$G$140&lt;&gt;"acoes")))*INDEX(Inputs!$K$5:$AJ$140,0,MATCH(S$2,Inputs!$K$4:$AJ$4,0)))+SUMPRODUCT((Inputs!$C$5:$C$140=$B67)*Inputs!$D$5:$D$140*(((Inputs!$G$5:$G$140="moeda")+(Inputs!$G$5:$G$140="acoes"))*Inputs!$B$1+((Inputs!$G$5:$G$140&lt;&gt;"moeda")*(Inputs!$G$5:$G$140&lt;&gt;"acoes")))*INDEX(Inputs!$K$5:$AJ$140,0,MATCH(S$2,Inputs!$K$4:$AJ$4,0)))+SUMPRODUCT((Inputs!$E$5:$E$140=$B67)*Inputs!$F$5:$F$140*(((Inputs!$G$5:$G$140="moeda")+(Inputs!$G$5:$G$140="acoes"))*Inputs!$B$1+((Inputs!$G$5:$G$140&lt;&gt;"moeda")*(Inputs!$G$5:$G$140&lt;&gt;"acoes")))*INDEX(Inputs!$K$5:$AJ$140,0,MATCH(S$2,Inputs!$K$4:$AJ$4,0)))))</f>
        <v>98939</v>
      </c>
      <c r="T67" s="262">
        <f>IF(ISNA(MATCH(T$2,Inputs!$K$4:$AJ$4,0)),NA(),IF(SUMPRODUCT((Inputs!$A$5:$A$140=$B67)*ISNUMBER(INDEX(Inputs!$K$5:$AJ$140,0,MATCH(T$2,Inputs!$K$4:$AJ$4,0))))+SUMPRODUCT((Inputs!$C$5:$C$140=$B67)*ISNUMBER(INDEX(Inputs!$K$5:$AJ$140,0,MATCH(T$2,Inputs!$K$4:$AJ$4,0))))+SUMPRODUCT((Inputs!$E$5:$E$140=$B67)*ISNUMBER(INDEX(Inputs!$K$5:$AJ$140,0,MATCH(T$2,Inputs!$K$4:$AJ$4,0))))=0,NA(),SUMPRODUCT((Inputs!$A$5:$A$140=$B67)*Inputs!$B$5:$B$140*(((Inputs!$G$5:$G$140="moeda")+(Inputs!$G$5:$G$140="acoes"))*Inputs!$B$1+((Inputs!$G$5:$G$140&lt;&gt;"moeda")*(Inputs!$G$5:$G$140&lt;&gt;"acoes")))*INDEX(Inputs!$K$5:$AJ$140,0,MATCH(T$2,Inputs!$K$4:$AJ$4,0)))+SUMPRODUCT((Inputs!$C$5:$C$140=$B67)*Inputs!$D$5:$D$140*(((Inputs!$G$5:$G$140="moeda")+(Inputs!$G$5:$G$140="acoes"))*Inputs!$B$1+((Inputs!$G$5:$G$140&lt;&gt;"moeda")*(Inputs!$G$5:$G$140&lt;&gt;"acoes")))*INDEX(Inputs!$K$5:$AJ$140,0,MATCH(T$2,Inputs!$K$4:$AJ$4,0)))+SUMPRODUCT((Inputs!$E$5:$E$140=$B67)*Inputs!$F$5:$F$140*(((Inputs!$G$5:$G$140="moeda")+(Inputs!$G$5:$G$140="acoes"))*Inputs!$B$1+((Inputs!$G$5:$G$140&lt;&gt;"moeda")*(Inputs!$G$5:$G$140&lt;&gt;"acoes")))*INDEX(Inputs!$K$5:$AJ$140,0,MATCH(T$2,Inputs!$K$4:$AJ$4,0)))))</f>
        <v>99459.56</v>
      </c>
      <c r="U67" s="262">
        <f>IF(ISNA(MATCH(U$2,Inputs!$K$4:$AJ$4,0)),NA(),IF(SUMPRODUCT((Inputs!$A$5:$A$140=$B67)*ISNUMBER(INDEX(Inputs!$K$5:$AJ$140,0,MATCH(U$2,Inputs!$K$4:$AJ$4,0))))+SUMPRODUCT((Inputs!$C$5:$C$140=$B67)*ISNUMBER(INDEX(Inputs!$K$5:$AJ$140,0,MATCH(U$2,Inputs!$K$4:$AJ$4,0))))+SUMPRODUCT((Inputs!$E$5:$E$140=$B67)*ISNUMBER(INDEX(Inputs!$K$5:$AJ$140,0,MATCH(U$2,Inputs!$K$4:$AJ$4,0))))=0,NA(),SUMPRODUCT((Inputs!$A$5:$A$140=$B67)*Inputs!$B$5:$B$140*(((Inputs!$G$5:$G$140="moeda")+(Inputs!$G$5:$G$140="acoes"))*Inputs!$B$1+((Inputs!$G$5:$G$140&lt;&gt;"moeda")*(Inputs!$G$5:$G$140&lt;&gt;"acoes")))*INDEX(Inputs!$K$5:$AJ$140,0,MATCH(U$2,Inputs!$K$4:$AJ$4,0)))+SUMPRODUCT((Inputs!$C$5:$C$140=$B67)*Inputs!$D$5:$D$140*(((Inputs!$G$5:$G$140="moeda")+(Inputs!$G$5:$G$140="acoes"))*Inputs!$B$1+((Inputs!$G$5:$G$140&lt;&gt;"moeda")*(Inputs!$G$5:$G$140&lt;&gt;"acoes")))*INDEX(Inputs!$K$5:$AJ$140,0,MATCH(U$2,Inputs!$K$4:$AJ$4,0)))+SUMPRODUCT((Inputs!$E$5:$E$140=$B67)*Inputs!$F$5:$F$140*(((Inputs!$G$5:$G$140="moeda")+(Inputs!$G$5:$G$140="acoes"))*Inputs!$B$1+((Inputs!$G$5:$G$140&lt;&gt;"moeda")*(Inputs!$G$5:$G$140&lt;&gt;"acoes")))*INDEX(Inputs!$K$5:$AJ$140,0,MATCH(U$2,Inputs!$K$4:$AJ$4,0)))))</f>
        <v>98696.41</v>
      </c>
      <c r="V67" s="262">
        <f>IF(ISNA(MATCH(V$2,Inputs!$K$4:$AJ$4,0)),NA(),IF(SUMPRODUCT((Inputs!$A$5:$A$140=$B67)*ISNUMBER(INDEX(Inputs!$K$5:$AJ$140,0,MATCH(V$2,Inputs!$K$4:$AJ$4,0))))+SUMPRODUCT((Inputs!$C$5:$C$140=$B67)*ISNUMBER(INDEX(Inputs!$K$5:$AJ$140,0,MATCH(V$2,Inputs!$K$4:$AJ$4,0))))+SUMPRODUCT((Inputs!$E$5:$E$140=$B67)*ISNUMBER(INDEX(Inputs!$K$5:$AJ$140,0,MATCH(V$2,Inputs!$K$4:$AJ$4,0))))=0,NA(),SUMPRODUCT((Inputs!$A$5:$A$140=$B67)*Inputs!$B$5:$B$140*(((Inputs!$G$5:$G$140="moeda")+(Inputs!$G$5:$G$140="acoes"))*Inputs!$B$1+((Inputs!$G$5:$G$140&lt;&gt;"moeda")*(Inputs!$G$5:$G$140&lt;&gt;"acoes")))*INDEX(Inputs!$K$5:$AJ$140,0,MATCH(V$2,Inputs!$K$4:$AJ$4,0)))+SUMPRODUCT((Inputs!$C$5:$C$140=$B67)*Inputs!$D$5:$D$140*(((Inputs!$G$5:$G$140="moeda")+(Inputs!$G$5:$G$140="acoes"))*Inputs!$B$1+((Inputs!$G$5:$G$140&lt;&gt;"moeda")*(Inputs!$G$5:$G$140&lt;&gt;"acoes")))*INDEX(Inputs!$K$5:$AJ$140,0,MATCH(V$2,Inputs!$K$4:$AJ$4,0)))+SUMPRODUCT((Inputs!$E$5:$E$140=$B67)*Inputs!$F$5:$F$140*(((Inputs!$G$5:$G$140="moeda")+(Inputs!$G$5:$G$140="acoes"))*Inputs!$B$1+((Inputs!$G$5:$G$140&lt;&gt;"moeda")*(Inputs!$G$5:$G$140&lt;&gt;"acoes")))*INDEX(Inputs!$K$5:$AJ$140,0,MATCH(V$2,Inputs!$K$4:$AJ$4,0)))))</f>
        <v>98696.41</v>
      </c>
      <c r="W67" s="263">
        <f>V67</f>
        <v>98696.41</v>
      </c>
      <c r="X67" s="262">
        <f>IF(ISNA(MATCH(X$2,Inputs!$K$4:$AJ$4,0)),NA(),IF(SUMPRODUCT((Inputs!$A$5:$A$140=$B67)*ISNUMBER(INDEX(Inputs!$K$5:$AJ$140,0,MATCH(X$2,Inputs!$K$4:$AJ$4,0))))+SUMPRODUCT((Inputs!$C$5:$C$140=$B67)*ISNUMBER(INDEX(Inputs!$K$5:$AJ$140,0,MATCH(X$2,Inputs!$K$4:$AJ$4,0))))+SUMPRODUCT((Inputs!$E$5:$E$140=$B67)*ISNUMBER(INDEX(Inputs!$K$5:$AJ$140,0,MATCH(X$2,Inputs!$K$4:$AJ$4,0))))=0,NA(),SUMPRODUCT((Inputs!$A$5:$A$140=$B67)*Inputs!$B$5:$B$140*(((Inputs!$G$5:$G$140="moeda")+(Inputs!$G$5:$G$140="acoes"))*Inputs!$B$1+((Inputs!$G$5:$G$140&lt;&gt;"moeda")*(Inputs!$G$5:$G$140&lt;&gt;"acoes")))*INDEX(Inputs!$K$5:$AJ$140,0,MATCH(X$2,Inputs!$K$4:$AJ$4,0)))+SUMPRODUCT((Inputs!$C$5:$C$140=$B67)*Inputs!$D$5:$D$140*(((Inputs!$G$5:$G$140="moeda")+(Inputs!$G$5:$G$140="acoes"))*Inputs!$B$1+((Inputs!$G$5:$G$140&lt;&gt;"moeda")*(Inputs!$G$5:$G$140&lt;&gt;"acoes")))*INDEX(Inputs!$K$5:$AJ$140,0,MATCH(X$2,Inputs!$K$4:$AJ$4,0)))+SUMPRODUCT((Inputs!$E$5:$E$140=$B67)*Inputs!$F$5:$F$140*(((Inputs!$G$5:$G$140="moeda")+(Inputs!$G$5:$G$140="acoes"))*Inputs!$B$1+((Inputs!$G$5:$G$140&lt;&gt;"moeda")*(Inputs!$G$5:$G$140&lt;&gt;"acoes")))*INDEX(Inputs!$K$5:$AJ$140,0,MATCH(X$2,Inputs!$K$4:$AJ$4,0)))))</f>
        <v>98588.5</v>
      </c>
      <c r="Y67" s="262">
        <f>IF(ISNA(MATCH(Y$2,Inputs!$K$4:$AJ$4,0)),NA(),IF(SUMPRODUCT((Inputs!$A$5:$A$140=$B67)*ISNUMBER(INDEX(Inputs!$K$5:$AJ$140,0,MATCH(Y$2,Inputs!$K$4:$AJ$4,0))))+SUMPRODUCT((Inputs!$C$5:$C$140=$B67)*ISNUMBER(INDEX(Inputs!$K$5:$AJ$140,0,MATCH(Y$2,Inputs!$K$4:$AJ$4,0))))+SUMPRODUCT((Inputs!$E$5:$E$140=$B67)*ISNUMBER(INDEX(Inputs!$K$5:$AJ$140,0,MATCH(Y$2,Inputs!$K$4:$AJ$4,0))))=0,NA(),SUMPRODUCT((Inputs!$A$5:$A$140=$B67)*Inputs!$B$5:$B$140*(((Inputs!$G$5:$G$140="moeda")+(Inputs!$G$5:$G$140="acoes"))*Inputs!$B$1+((Inputs!$G$5:$G$140&lt;&gt;"moeda")*(Inputs!$G$5:$G$140&lt;&gt;"acoes")))*INDEX(Inputs!$K$5:$AJ$140,0,MATCH(Y$2,Inputs!$K$4:$AJ$4,0)))+SUMPRODUCT((Inputs!$C$5:$C$140=$B67)*Inputs!$D$5:$D$140*(((Inputs!$G$5:$G$140="moeda")+(Inputs!$G$5:$G$140="acoes"))*Inputs!$B$1+((Inputs!$G$5:$G$140&lt;&gt;"moeda")*(Inputs!$G$5:$G$140&lt;&gt;"acoes")))*INDEX(Inputs!$K$5:$AJ$140,0,MATCH(Y$2,Inputs!$K$4:$AJ$4,0)))+SUMPRODUCT((Inputs!$E$5:$E$140=$B67)*Inputs!$F$5:$F$140*(((Inputs!$G$5:$G$140="moeda")+(Inputs!$G$5:$G$140="acoes"))*Inputs!$B$1+((Inputs!$G$5:$G$140&lt;&gt;"moeda")*(Inputs!$G$5:$G$140&lt;&gt;"acoes")))*INDEX(Inputs!$K$5:$AJ$140,0,MATCH(Y$2,Inputs!$K$4:$AJ$4,0)))))</f>
        <v>91357.36</v>
      </c>
      <c r="Z67" s="262">
        <f>IF(ISNA(MATCH(Z$2,Inputs!$K$4:$AJ$4,0)),NA(),IF(SUMPRODUCT((Inputs!$A$5:$A$140=$B67)*ISNUMBER(INDEX(Inputs!$K$5:$AJ$140,0,MATCH(Z$2,Inputs!$K$4:$AJ$4,0))))+SUMPRODUCT((Inputs!$C$5:$C$140=$B67)*ISNUMBER(INDEX(Inputs!$K$5:$AJ$140,0,MATCH(Z$2,Inputs!$K$4:$AJ$4,0))))+SUMPRODUCT((Inputs!$E$5:$E$140=$B67)*ISNUMBER(INDEX(Inputs!$K$5:$AJ$140,0,MATCH(Z$2,Inputs!$K$4:$AJ$4,0))))=0,NA(),SUMPRODUCT((Inputs!$A$5:$A$140=$B67)*Inputs!$B$5:$B$140*(((Inputs!$G$5:$G$140="moeda")+(Inputs!$G$5:$G$140="acoes"))*Inputs!$B$1+((Inputs!$G$5:$G$140&lt;&gt;"moeda")*(Inputs!$G$5:$G$140&lt;&gt;"acoes")))*INDEX(Inputs!$K$5:$AJ$140,0,MATCH(Z$2,Inputs!$K$4:$AJ$4,0)))+SUMPRODUCT((Inputs!$C$5:$C$140=$B67)*Inputs!$D$5:$D$140*(((Inputs!$G$5:$G$140="moeda")+(Inputs!$G$5:$G$140="acoes"))*Inputs!$B$1+((Inputs!$G$5:$G$140&lt;&gt;"moeda")*(Inputs!$G$5:$G$140&lt;&gt;"acoes")))*INDEX(Inputs!$K$5:$AJ$140,0,MATCH(Z$2,Inputs!$K$4:$AJ$4,0)))+SUMPRODUCT((Inputs!$E$5:$E$140=$B67)*Inputs!$F$5:$F$140*(((Inputs!$G$5:$G$140="moeda")+(Inputs!$G$5:$G$140="acoes"))*Inputs!$B$1+((Inputs!$G$5:$G$140&lt;&gt;"moeda")*(Inputs!$G$5:$G$140&lt;&gt;"acoes")))*INDEX(Inputs!$K$5:$AJ$140,0,MATCH(Z$2,Inputs!$K$4:$AJ$4,0)))))</f>
        <v>87184</v>
      </c>
      <c r="AA67" s="262">
        <f>IF(ISNA(MATCH(AA$2,Inputs!$K$4:$AJ$4,0)),NA(),IF(SUMPRODUCT((Inputs!$A$5:$A$140=$B67)*ISNUMBER(INDEX(Inputs!$K$5:$AJ$140,0,MATCH(AA$2,Inputs!$K$4:$AJ$4,0))))+SUMPRODUCT((Inputs!$C$5:$C$140=$B67)*ISNUMBER(INDEX(Inputs!$K$5:$AJ$140,0,MATCH(AA$2,Inputs!$K$4:$AJ$4,0))))+SUMPRODUCT((Inputs!$E$5:$E$140=$B67)*ISNUMBER(INDEX(Inputs!$K$5:$AJ$140,0,MATCH(AA$2,Inputs!$K$4:$AJ$4,0))))=0,NA(),SUMPRODUCT((Inputs!$A$5:$A$140=$B67)*Inputs!$B$5:$B$140*(((Inputs!$G$5:$G$140="moeda")+(Inputs!$G$5:$G$140="acoes"))*Inputs!$B$1+((Inputs!$G$5:$G$140&lt;&gt;"moeda")*(Inputs!$G$5:$G$140&lt;&gt;"acoes")))*INDEX(Inputs!$K$5:$AJ$140,0,MATCH(AA$2,Inputs!$K$4:$AJ$4,0)))+SUMPRODUCT((Inputs!$C$5:$C$140=$B67)*Inputs!$D$5:$D$140*(((Inputs!$G$5:$G$140="moeda")+(Inputs!$G$5:$G$140="acoes"))*Inputs!$B$1+((Inputs!$G$5:$G$140&lt;&gt;"moeda")*(Inputs!$G$5:$G$140&lt;&gt;"acoes")))*INDEX(Inputs!$K$5:$AJ$140,0,MATCH(AA$2,Inputs!$K$4:$AJ$4,0)))+SUMPRODUCT((Inputs!$E$5:$E$140=$B67)*Inputs!$F$5:$F$140*(((Inputs!$G$5:$G$140="moeda")+(Inputs!$G$5:$G$140="acoes"))*Inputs!$B$1+((Inputs!$G$5:$G$140&lt;&gt;"moeda")*(Inputs!$G$5:$G$140&lt;&gt;"acoes")))*INDEX(Inputs!$K$5:$AJ$140,0,MATCH(AA$2,Inputs!$K$4:$AJ$4,0)))))</f>
        <v>72402.32</v>
      </c>
      <c r="AB67" s="263">
        <f>AA67</f>
        <v>72402.32</v>
      </c>
      <c r="AC67" s="262">
        <f>IF(ISNA(MATCH(AC$2,Inputs!$K$4:$AJ$4,0)),NA(),IF(SUMPRODUCT((Inputs!$A$5:$A$140=$B67)*ISNUMBER(INDEX(Inputs!$K$5:$AJ$140,0,MATCH(AC$2,Inputs!$K$4:$AJ$4,0))))+SUMPRODUCT((Inputs!$C$5:$C$140=$B67)*ISNUMBER(INDEX(Inputs!$K$5:$AJ$140,0,MATCH(AC$2,Inputs!$K$4:$AJ$4,0))))+SUMPRODUCT((Inputs!$E$5:$E$140=$B67)*ISNUMBER(INDEX(Inputs!$K$5:$AJ$140,0,MATCH(AC$2,Inputs!$K$4:$AJ$4,0))))=0,NA(),SUMPRODUCT((Inputs!$A$5:$A$140=$B67)*Inputs!$B$5:$B$140*(((Inputs!$G$5:$G$140="moeda")+(Inputs!$G$5:$G$140="acoes"))*Inputs!$B$1+((Inputs!$G$5:$G$140&lt;&gt;"moeda")*(Inputs!$G$5:$G$140&lt;&gt;"acoes")))*INDEX(Inputs!$K$5:$AJ$140,0,MATCH(AC$2,Inputs!$K$4:$AJ$4,0)))+SUMPRODUCT((Inputs!$C$5:$C$140=$B67)*Inputs!$D$5:$D$140*(((Inputs!$G$5:$G$140="moeda")+(Inputs!$G$5:$G$140="acoes"))*Inputs!$B$1+((Inputs!$G$5:$G$140&lt;&gt;"moeda")*(Inputs!$G$5:$G$140&lt;&gt;"acoes")))*INDEX(Inputs!$K$5:$AJ$140,0,MATCH(AC$2,Inputs!$K$4:$AJ$4,0)))+SUMPRODUCT((Inputs!$E$5:$E$140=$B67)*Inputs!$F$5:$F$140*(((Inputs!$G$5:$G$140="moeda")+(Inputs!$G$5:$G$140="acoes"))*Inputs!$B$1+((Inputs!$G$5:$G$140&lt;&gt;"moeda")*(Inputs!$G$5:$G$140&lt;&gt;"acoes")))*INDEX(Inputs!$K$5:$AJ$140,0,MATCH(AC$2,Inputs!$K$4:$AJ$4,0)))))</f>
        <v>72402</v>
      </c>
      <c r="AD67" s="262">
        <f>IF(ISNA(MATCH(AD$2,Inputs!$K$4:$AJ$4,0)),NA(),IF(SUMPRODUCT((Inputs!$A$5:$A$140=$B67)*ISNUMBER(INDEX(Inputs!$K$5:$AJ$140,0,MATCH(AD$2,Inputs!$K$4:$AJ$4,0))))+SUMPRODUCT((Inputs!$C$5:$C$140=$B67)*ISNUMBER(INDEX(Inputs!$K$5:$AJ$140,0,MATCH(AD$2,Inputs!$K$4:$AJ$4,0))))+SUMPRODUCT((Inputs!$E$5:$E$140=$B67)*ISNUMBER(INDEX(Inputs!$K$5:$AJ$140,0,MATCH(AD$2,Inputs!$K$4:$AJ$4,0))))=0,NA(),SUMPRODUCT((Inputs!$A$5:$A$140=$B67)*Inputs!$B$5:$B$140*(((Inputs!$G$5:$G$140="moeda")+(Inputs!$G$5:$G$140="acoes"))*Inputs!$B$1+((Inputs!$G$5:$G$140&lt;&gt;"moeda")*(Inputs!$G$5:$G$140&lt;&gt;"acoes")))*INDEX(Inputs!$K$5:$AJ$140,0,MATCH(AD$2,Inputs!$K$4:$AJ$4,0)))+SUMPRODUCT((Inputs!$C$5:$C$140=$B67)*Inputs!$D$5:$D$140*(((Inputs!$G$5:$G$140="moeda")+(Inputs!$G$5:$G$140="acoes"))*Inputs!$B$1+((Inputs!$G$5:$G$140&lt;&gt;"moeda")*(Inputs!$G$5:$G$140&lt;&gt;"acoes")))*INDEX(Inputs!$K$5:$AJ$140,0,MATCH(AD$2,Inputs!$K$4:$AJ$4,0)))+SUMPRODUCT((Inputs!$E$5:$E$140=$B67)*Inputs!$F$5:$F$140*(((Inputs!$G$5:$G$140="moeda")+(Inputs!$G$5:$G$140="acoes"))*Inputs!$B$1+((Inputs!$G$5:$G$140&lt;&gt;"moeda")*(Inputs!$G$5:$G$140&lt;&gt;"acoes")))*INDEX(Inputs!$K$5:$AJ$140,0,MATCH(AD$2,Inputs!$K$4:$AJ$4,0)))))</f>
        <v>72402</v>
      </c>
      <c r="AE67" s="262" t="e">
        <f>IF(ISNA(MATCH(AE$2,Inputs!$K$4:$AJ$4,0)),NA(),IF(SUMPRODUCT((Inputs!$A$5:$A$140=$B67)*ISNUMBER(INDEX(Inputs!$K$5:$AJ$140,0,MATCH(AE$2,Inputs!$K$4:$AJ$4,0))))+SUMPRODUCT((Inputs!$C$5:$C$140=$B67)*ISNUMBER(INDEX(Inputs!$K$5:$AJ$140,0,MATCH(AE$2,Inputs!$K$4:$AJ$4,0))))+SUMPRODUCT((Inputs!$E$5:$E$140=$B67)*ISNUMBER(INDEX(Inputs!$K$5:$AJ$140,0,MATCH(AE$2,Inputs!$K$4:$AJ$4,0))))=0,NA(),SUMPRODUCT((Inputs!$A$5:$A$140=$B67)*Inputs!$B$5:$B$140*(((Inputs!$G$5:$G$140="moeda")+(Inputs!$G$5:$G$140="acoes"))*Inputs!$B$1+((Inputs!$G$5:$G$140&lt;&gt;"moeda")*(Inputs!$G$5:$G$140&lt;&gt;"acoes")))*INDEX(Inputs!$K$5:$AJ$140,0,MATCH(AE$2,Inputs!$K$4:$AJ$4,0)))+SUMPRODUCT((Inputs!$C$5:$C$140=$B67)*Inputs!$D$5:$D$140*(((Inputs!$G$5:$G$140="moeda")+(Inputs!$G$5:$G$140="acoes"))*Inputs!$B$1+((Inputs!$G$5:$G$140&lt;&gt;"moeda")*(Inputs!$G$5:$G$140&lt;&gt;"acoes")))*INDEX(Inputs!$K$5:$AJ$140,0,MATCH(AE$2,Inputs!$K$4:$AJ$4,0)))+SUMPRODUCT((Inputs!$E$5:$E$140=$B67)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7" s="262" t="e">
        <f>IF(ISNA(MATCH(AF$2,Inputs!$K$4:$AJ$4,0)),NA(),IF(SUMPRODUCT((Inputs!$A$5:$A$140=$B67)*ISNUMBER(INDEX(Inputs!$K$5:$AJ$140,0,MATCH(AF$2,Inputs!$K$4:$AJ$4,0))))+SUMPRODUCT((Inputs!$C$5:$C$140=$B67)*ISNUMBER(INDEX(Inputs!$K$5:$AJ$140,0,MATCH(AF$2,Inputs!$K$4:$AJ$4,0))))+SUMPRODUCT((Inputs!$E$5:$E$140=$B67)*ISNUMBER(INDEX(Inputs!$K$5:$AJ$140,0,MATCH(AF$2,Inputs!$K$4:$AJ$4,0))))=0,NA(),SUMPRODUCT((Inputs!$A$5:$A$140=$B67)*Inputs!$B$5:$B$140*(((Inputs!$G$5:$G$140="moeda")+(Inputs!$G$5:$G$140="acoes"))*Inputs!$B$1+((Inputs!$G$5:$G$140&lt;&gt;"moeda")*(Inputs!$G$5:$G$140&lt;&gt;"acoes")))*INDEX(Inputs!$K$5:$AJ$140,0,MATCH(AF$2,Inputs!$K$4:$AJ$4,0)))+SUMPRODUCT((Inputs!$C$5:$C$140=$B67)*Inputs!$D$5:$D$140*(((Inputs!$G$5:$G$140="moeda")+(Inputs!$G$5:$G$140="acoes"))*Inputs!$B$1+((Inputs!$G$5:$G$140&lt;&gt;"moeda")*(Inputs!$G$5:$G$140&lt;&gt;"acoes")))*INDEX(Inputs!$K$5:$AJ$140,0,MATCH(AF$2,Inputs!$K$4:$AJ$4,0)))+SUMPRODUCT((Inputs!$E$5:$E$140=$B67)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7" s="263" t="e">
        <f>AF67</f>
        <v>#N/A</v>
      </c>
      <c r="AH67" s="262">
        <f>IF(ISNA(MATCH(AH$2,Inputs!$K$4:$AJ$4,0)),NA(),IF(SUMPRODUCT((Inputs!$A$5:$A$140=$B67)*ISNUMBER(INDEX(Inputs!$K$5:$AJ$140,0,MATCH(AH$2,Inputs!$K$4:$AJ$4,0))))+SUMPRODUCT((Inputs!$C$5:$C$140=$B67)*ISNUMBER(INDEX(Inputs!$K$5:$AJ$140,0,MATCH(AH$2,Inputs!$K$4:$AJ$4,0))))+SUMPRODUCT((Inputs!$E$5:$E$140=$B67)*ISNUMBER(INDEX(Inputs!$K$5:$AJ$140,0,MATCH(AH$2,Inputs!$K$4:$AJ$4,0))))=0,NA(),SUMPRODUCT((Inputs!$A$5:$A$140=$B67)*Inputs!$B$5:$B$140*(((Inputs!$G$5:$G$140="moeda")+(Inputs!$G$5:$G$140="acoes"))*Inputs!$B$1+((Inputs!$G$5:$G$140&lt;&gt;"moeda")*(Inputs!$G$5:$G$140&lt;&gt;"acoes")))*INDEX(Inputs!$K$5:$AJ$140,0,MATCH(AH$2,Inputs!$K$4:$AJ$4,0)))+SUMPRODUCT((Inputs!$C$5:$C$140=$B67)*Inputs!$D$5:$D$140*(((Inputs!$G$5:$G$140="moeda")+(Inputs!$G$5:$G$140="acoes"))*Inputs!$B$1+((Inputs!$G$5:$G$140&lt;&gt;"moeda")*(Inputs!$G$5:$G$140&lt;&gt;"acoes")))*INDEX(Inputs!$K$5:$AJ$140,0,MATCH(AH$2,Inputs!$K$4:$AJ$4,0)))+SUMPRODUCT((Inputs!$E$5:$E$140=$B67)*Inputs!$F$5:$F$140*(((Inputs!$G$5:$G$140="moeda")+(Inputs!$G$5:$G$140="acoes"))*Inputs!$B$1+((Inputs!$G$5:$G$140&lt;&gt;"moeda")*(Inputs!$G$5:$G$140&lt;&gt;"acoes")))*INDEX(Inputs!$K$5:$AJ$140,0,MATCH(AH$2,Inputs!$K$4:$AJ$4,0)))))</f>
        <v>68149.51</v>
      </c>
      <c r="AI67" s="262">
        <f>IF(ISNA(MATCH(AI$2,Inputs!$K$4:$AJ$4,0)),NA(),IF(SUMPRODUCT((Inputs!$A$5:$A$140=$B67)*ISNUMBER(INDEX(Inputs!$K$5:$AJ$140,0,MATCH(AI$2,Inputs!$K$4:$AJ$4,0))))+SUMPRODUCT((Inputs!$C$5:$C$140=$B67)*ISNUMBER(INDEX(Inputs!$K$5:$AJ$140,0,MATCH(AI$2,Inputs!$K$4:$AJ$4,0))))+SUMPRODUCT((Inputs!$E$5:$E$140=$B67)*ISNUMBER(INDEX(Inputs!$K$5:$AJ$140,0,MATCH(AI$2,Inputs!$K$4:$AJ$4,0))))=0,NA(),SUMPRODUCT((Inputs!$A$5:$A$140=$B67)*Inputs!$B$5:$B$140*(((Inputs!$G$5:$G$140="moeda")+(Inputs!$G$5:$G$140="acoes"))*Inputs!$B$1+((Inputs!$G$5:$G$140&lt;&gt;"moeda")*(Inputs!$G$5:$G$140&lt;&gt;"acoes")))*INDEX(Inputs!$K$5:$AJ$140,0,MATCH(AI$2,Inputs!$K$4:$AJ$4,0)))+SUMPRODUCT((Inputs!$C$5:$C$140=$B67)*Inputs!$D$5:$D$140*(((Inputs!$G$5:$G$140="moeda")+(Inputs!$G$5:$G$140="acoes"))*Inputs!$B$1+((Inputs!$G$5:$G$140&lt;&gt;"moeda")*(Inputs!$G$5:$G$140&lt;&gt;"acoes")))*INDEX(Inputs!$K$5:$AJ$140,0,MATCH(AI$2,Inputs!$K$4:$AJ$4,0)))+SUMPRODUCT((Inputs!$E$5:$E$140=$B67)*Inputs!$F$5:$F$140*(((Inputs!$G$5:$G$140="moeda")+(Inputs!$G$5:$G$140="acoes"))*Inputs!$B$1+((Inputs!$G$5:$G$140&lt;&gt;"moeda")*(Inputs!$G$5:$G$140&lt;&gt;"acoes")))*INDEX(Inputs!$K$5:$AJ$140,0,MATCH(AI$2,Inputs!$K$4:$AJ$4,0)))))</f>
        <v>72341.67</v>
      </c>
      <c r="AJ67" s="262">
        <f>IF(ISNA(MATCH(AJ$2,Inputs!$K$4:$AJ$4,0)),NA(),IF(SUMPRODUCT((Inputs!$A$5:$A$140=$B67)*ISNUMBER(INDEX(Inputs!$K$5:$AJ$140,0,MATCH(AJ$2,Inputs!$K$4:$AJ$4,0))))+SUMPRODUCT((Inputs!$C$5:$C$140=$B67)*ISNUMBER(INDEX(Inputs!$K$5:$AJ$140,0,MATCH(AJ$2,Inputs!$K$4:$AJ$4,0))))+SUMPRODUCT((Inputs!$E$5:$E$140=$B67)*ISNUMBER(INDEX(Inputs!$K$5:$AJ$140,0,MATCH(AJ$2,Inputs!$K$4:$AJ$4,0))))=0,NA(),SUMPRODUCT((Inputs!$A$5:$A$140=$B67)*Inputs!$B$5:$B$140*(((Inputs!$G$5:$G$140="moeda")+(Inputs!$G$5:$G$140="acoes"))*Inputs!$B$1+((Inputs!$G$5:$G$140&lt;&gt;"moeda")*(Inputs!$G$5:$G$140&lt;&gt;"acoes")))*INDEX(Inputs!$K$5:$AJ$140,0,MATCH(AJ$2,Inputs!$K$4:$AJ$4,0)))+SUMPRODUCT((Inputs!$C$5:$C$140=$B67)*Inputs!$D$5:$D$140*(((Inputs!$G$5:$G$140="moeda")+(Inputs!$G$5:$G$140="acoes"))*Inputs!$B$1+((Inputs!$G$5:$G$140&lt;&gt;"moeda")*(Inputs!$G$5:$G$140&lt;&gt;"acoes")))*INDEX(Inputs!$K$5:$AJ$140,0,MATCH(AJ$2,Inputs!$K$4:$AJ$4,0)))+SUMPRODUCT((Inputs!$E$5:$E$140=$B67)*Inputs!$F$5:$F$140*(((Inputs!$G$5:$G$140="moeda")+(Inputs!$G$5:$G$140="acoes"))*Inputs!$B$1+((Inputs!$G$5:$G$140&lt;&gt;"moeda")*(Inputs!$G$5:$G$140&lt;&gt;"acoes")))*INDEX(Inputs!$K$5:$AJ$140,0,MATCH(AJ$2,Inputs!$K$4:$AJ$4,0)))))</f>
        <v>75060.34</v>
      </c>
      <c r="AK67" s="262">
        <f>IF(ISNA(MATCH(AK$2,Inputs!$K$4:$AJ$4,0)),NA(),IF(SUMPRODUCT((Inputs!$A$5:$A$140=$B67)*ISNUMBER(INDEX(Inputs!$K$5:$AJ$140,0,MATCH(AK$2,Inputs!$K$4:$AJ$4,0))))+SUMPRODUCT((Inputs!$C$5:$C$140=$B67)*ISNUMBER(INDEX(Inputs!$K$5:$AJ$140,0,MATCH(AK$2,Inputs!$K$4:$AJ$4,0))))+SUMPRODUCT((Inputs!$E$5:$E$140=$B67)*ISNUMBER(INDEX(Inputs!$K$5:$AJ$140,0,MATCH(AK$2,Inputs!$K$4:$AJ$4,0))))=0,NA(),SUMPRODUCT((Inputs!$A$5:$A$140=$B67)*Inputs!$B$5:$B$140*(((Inputs!$G$5:$G$140="moeda")+(Inputs!$G$5:$G$140="acoes"))*Inputs!$B$1+((Inputs!$G$5:$G$140&lt;&gt;"moeda")*(Inputs!$G$5:$G$140&lt;&gt;"acoes")))*INDEX(Inputs!$K$5:$AJ$140,0,MATCH(AK$2,Inputs!$K$4:$AJ$4,0)))+SUMPRODUCT((Inputs!$C$5:$C$140=$B67)*Inputs!$D$5:$D$140*(((Inputs!$G$5:$G$140="moeda")+(Inputs!$G$5:$G$140="acoes"))*Inputs!$B$1+((Inputs!$G$5:$G$140&lt;&gt;"moeda")*(Inputs!$G$5:$G$140&lt;&gt;"acoes")))*INDEX(Inputs!$K$5:$AJ$140,0,MATCH(AK$2,Inputs!$K$4:$AJ$4,0)))+SUMPRODUCT((Inputs!$E$5:$E$140=$B67)*Inputs!$F$5:$F$140*(((Inputs!$G$5:$G$140="moeda")+(Inputs!$G$5:$G$140="acoes"))*Inputs!$B$1+((Inputs!$G$5:$G$140&lt;&gt;"moeda")*(Inputs!$G$5:$G$140&lt;&gt;"acoes")))*INDEX(Inputs!$K$5:$AJ$140,0,MATCH(AK$2,Inputs!$K$4:$AJ$4,0)))))</f>
        <v>80834.32</v>
      </c>
      <c r="AL67" s="263">
        <f>AK67</f>
        <v>80834.32</v>
      </c>
    </row>
    <row r="68">
      <c r="B68" s="46" t="n">
        <v>60</v>
      </c>
      <c r="C68" s="29" t="inlineStr">
        <is>
          <t>Area de vendas - Farmacia (m2)</t>
        </is>
      </c>
      <c r="D68" s="262">
        <f>IF(ISNA(MATCH(D$2,Inputs!$K$4:$AJ$4,0)),NA(),IF(SUMPRODUCT((Inputs!$A$5:$A$140=$B68)*ISNUMBER(INDEX(Inputs!$K$5:$AJ$140,0,MATCH(D$2,Inputs!$K$4:$AJ$4,0))))+SUMPRODUCT((Inputs!$C$5:$C$140=$B68)*ISNUMBER(INDEX(Inputs!$K$5:$AJ$140,0,MATCH(D$2,Inputs!$K$4:$AJ$4,0))))+SUMPRODUCT((Inputs!$E$5:$E$140=$B68)*ISNUMBER(INDEX(Inputs!$K$5:$AJ$140,0,MATCH(D$2,Inputs!$K$4:$AJ$4,0))))=0,NA(),SUMPRODUCT((Inputs!$A$5:$A$140=$B68)*Inputs!$B$5:$B$140*(((Inputs!$G$5:$G$140="moeda")+(Inputs!$G$5:$G$140="acoes"))*Inputs!$B$1+((Inputs!$G$5:$G$140&lt;&gt;"moeda")*(Inputs!$G$5:$G$140&lt;&gt;"acoes")))*INDEX(Inputs!$K$5:$AJ$140,0,MATCH(D$2,Inputs!$K$4:$AJ$4,0)))+SUMPRODUCT((Inputs!$C$5:$C$140=$B68)*Inputs!$D$5:$D$140*(((Inputs!$G$5:$G$140="moeda")+(Inputs!$G$5:$G$140="acoes"))*Inputs!$B$1+((Inputs!$G$5:$G$140&lt;&gt;"moeda")*(Inputs!$G$5:$G$140&lt;&gt;"acoes")))*INDEX(Inputs!$K$5:$AJ$140,0,MATCH(D$2,Inputs!$K$4:$AJ$4,0)))+SUMPRODUCT((Inputs!$E$5:$E$140=$B68)*Inputs!$F$5:$F$140*(((Inputs!$G$5:$G$140="moeda")+(Inputs!$G$5:$G$140="acoes"))*Inputs!$B$1+((Inputs!$G$5:$G$140&lt;&gt;"moeda")*(Inputs!$G$5:$G$140&lt;&gt;"acoes")))*INDEX(Inputs!$K$5:$AJ$140,0,MATCH(D$2,Inputs!$K$4:$AJ$4,0)))))</f>
        <v>0</v>
      </c>
      <c r="E68" s="262">
        <f>IF(ISNA(MATCH(E$2,Inputs!$K$4:$AJ$4,0)),NA(),IF(SUMPRODUCT((Inputs!$A$5:$A$140=$B68)*ISNUMBER(INDEX(Inputs!$K$5:$AJ$140,0,MATCH(E$2,Inputs!$K$4:$AJ$4,0))))+SUMPRODUCT((Inputs!$C$5:$C$140=$B68)*ISNUMBER(INDEX(Inputs!$K$5:$AJ$140,0,MATCH(E$2,Inputs!$K$4:$AJ$4,0))))+SUMPRODUCT((Inputs!$E$5:$E$140=$B68)*ISNUMBER(INDEX(Inputs!$K$5:$AJ$140,0,MATCH(E$2,Inputs!$K$4:$AJ$4,0))))=0,NA(),SUMPRODUCT((Inputs!$A$5:$A$140=$B68)*Inputs!$B$5:$B$140*(((Inputs!$G$5:$G$140="moeda")+(Inputs!$G$5:$G$140="acoes"))*Inputs!$B$1+((Inputs!$G$5:$G$140&lt;&gt;"moeda")*(Inputs!$G$5:$G$140&lt;&gt;"acoes")))*INDEX(Inputs!$K$5:$AJ$140,0,MATCH(E$2,Inputs!$K$4:$AJ$4,0)))+SUMPRODUCT((Inputs!$C$5:$C$140=$B68)*Inputs!$D$5:$D$140*(((Inputs!$G$5:$G$140="moeda")+(Inputs!$G$5:$G$140="acoes"))*Inputs!$B$1+((Inputs!$G$5:$G$140&lt;&gt;"moeda")*(Inputs!$G$5:$G$140&lt;&gt;"acoes")))*INDEX(Inputs!$K$5:$AJ$140,0,MATCH(E$2,Inputs!$K$4:$AJ$4,0)))+SUMPRODUCT((Inputs!$E$5:$E$140=$B68)*Inputs!$F$5:$F$140*(((Inputs!$G$5:$G$140="moeda")+(Inputs!$G$5:$G$140="acoes"))*Inputs!$B$1+((Inputs!$G$5:$G$140&lt;&gt;"moeda")*(Inputs!$G$5:$G$140&lt;&gt;"acoes")))*INDEX(Inputs!$K$5:$AJ$140,0,MATCH(E$2,Inputs!$K$4:$AJ$4,0)))))</f>
        <v>0</v>
      </c>
      <c r="F68" s="262">
        <f>IF(ISNA(MATCH(F$2,Inputs!$K$4:$AJ$4,0)),NA(),IF(SUMPRODUCT((Inputs!$A$5:$A$140=$B68)*ISNUMBER(INDEX(Inputs!$K$5:$AJ$140,0,MATCH(F$2,Inputs!$K$4:$AJ$4,0))))+SUMPRODUCT((Inputs!$C$5:$C$140=$B68)*ISNUMBER(INDEX(Inputs!$K$5:$AJ$140,0,MATCH(F$2,Inputs!$K$4:$AJ$4,0))))+SUMPRODUCT((Inputs!$E$5:$E$140=$B68)*ISNUMBER(INDEX(Inputs!$K$5:$AJ$140,0,MATCH(F$2,Inputs!$K$4:$AJ$4,0))))=0,NA(),SUMPRODUCT((Inputs!$A$5:$A$140=$B68)*Inputs!$B$5:$B$140*(((Inputs!$G$5:$G$140="moeda")+(Inputs!$G$5:$G$140="acoes"))*Inputs!$B$1+((Inputs!$G$5:$G$140&lt;&gt;"moeda")*(Inputs!$G$5:$G$140&lt;&gt;"acoes")))*INDEX(Inputs!$K$5:$AJ$140,0,MATCH(F$2,Inputs!$K$4:$AJ$4,0)))+SUMPRODUCT((Inputs!$C$5:$C$140=$B68)*Inputs!$D$5:$D$140*(((Inputs!$G$5:$G$140="moeda")+(Inputs!$G$5:$G$140="acoes"))*Inputs!$B$1+((Inputs!$G$5:$G$140&lt;&gt;"moeda")*(Inputs!$G$5:$G$140&lt;&gt;"acoes")))*INDEX(Inputs!$K$5:$AJ$140,0,MATCH(F$2,Inputs!$K$4:$AJ$4,0)))+SUMPRODUCT((Inputs!$E$5:$E$140=$B68)*Inputs!$F$5:$F$140*(((Inputs!$G$5:$G$140="moeda")+(Inputs!$G$5:$G$140="acoes"))*Inputs!$B$1+((Inputs!$G$5:$G$140&lt;&gt;"moeda")*(Inputs!$G$5:$G$140&lt;&gt;"acoes")))*INDEX(Inputs!$K$5:$AJ$140,0,MATCH(F$2,Inputs!$K$4:$AJ$4,0)))))</f>
        <v>0</v>
      </c>
      <c r="G68" s="262">
        <f>IF(ISNA(MATCH(G$2,Inputs!$K$4:$AJ$4,0)),NA(),IF(SUMPRODUCT((Inputs!$A$5:$A$140=$B68)*ISNUMBER(INDEX(Inputs!$K$5:$AJ$140,0,MATCH(G$2,Inputs!$K$4:$AJ$4,0))))+SUMPRODUCT((Inputs!$C$5:$C$140=$B68)*ISNUMBER(INDEX(Inputs!$K$5:$AJ$140,0,MATCH(G$2,Inputs!$K$4:$AJ$4,0))))+SUMPRODUCT((Inputs!$E$5:$E$140=$B68)*ISNUMBER(INDEX(Inputs!$K$5:$AJ$140,0,MATCH(G$2,Inputs!$K$4:$AJ$4,0))))=0,NA(),SUMPRODUCT((Inputs!$A$5:$A$140=$B68)*Inputs!$B$5:$B$140*(((Inputs!$G$5:$G$140="moeda")+(Inputs!$G$5:$G$140="acoes"))*Inputs!$B$1+((Inputs!$G$5:$G$140&lt;&gt;"moeda")*(Inputs!$G$5:$G$140&lt;&gt;"acoes")))*INDEX(Inputs!$K$5:$AJ$140,0,MATCH(G$2,Inputs!$K$4:$AJ$4,0)))+SUMPRODUCT((Inputs!$C$5:$C$140=$B68)*Inputs!$D$5:$D$140*(((Inputs!$G$5:$G$140="moeda")+(Inputs!$G$5:$G$140="acoes"))*Inputs!$B$1+((Inputs!$G$5:$G$140&lt;&gt;"moeda")*(Inputs!$G$5:$G$140&lt;&gt;"acoes")))*INDEX(Inputs!$K$5:$AJ$140,0,MATCH(G$2,Inputs!$K$4:$AJ$4,0)))+SUMPRODUCT((Inputs!$E$5:$E$140=$B68)*Inputs!$F$5:$F$140*(((Inputs!$G$5:$G$140="moeda")+(Inputs!$G$5:$G$140="acoes"))*Inputs!$B$1+((Inputs!$G$5:$G$140&lt;&gt;"moeda")*(Inputs!$G$5:$G$140&lt;&gt;"acoes")))*INDEX(Inputs!$K$5:$AJ$140,0,MATCH(G$2,Inputs!$K$4:$AJ$4,0)))))</f>
        <v>0</v>
      </c>
      <c r="H68" s="263">
        <f>G68</f>
        <v>0</v>
      </c>
      <c r="I68" s="262">
        <f>IF(ISNA(MATCH(I$2,Inputs!$K$4:$AJ$4,0)),NA(),IF(SUMPRODUCT((Inputs!$A$5:$A$140=$B68)*ISNUMBER(INDEX(Inputs!$K$5:$AJ$140,0,MATCH(I$2,Inputs!$K$4:$AJ$4,0))))+SUMPRODUCT((Inputs!$C$5:$C$140=$B68)*ISNUMBER(INDEX(Inputs!$K$5:$AJ$140,0,MATCH(I$2,Inputs!$K$4:$AJ$4,0))))+SUMPRODUCT((Inputs!$E$5:$E$140=$B68)*ISNUMBER(INDEX(Inputs!$K$5:$AJ$140,0,MATCH(I$2,Inputs!$K$4:$AJ$4,0))))=0,NA(),SUMPRODUCT((Inputs!$A$5:$A$140=$B68)*Inputs!$B$5:$B$140*(((Inputs!$G$5:$G$140="moeda")+(Inputs!$G$5:$G$140="acoes"))*Inputs!$B$1+((Inputs!$G$5:$G$140&lt;&gt;"moeda")*(Inputs!$G$5:$G$140&lt;&gt;"acoes")))*INDEX(Inputs!$K$5:$AJ$140,0,MATCH(I$2,Inputs!$K$4:$AJ$4,0)))+SUMPRODUCT((Inputs!$C$5:$C$140=$B68)*Inputs!$D$5:$D$140*(((Inputs!$G$5:$G$140="moeda")+(Inputs!$G$5:$G$140="acoes"))*Inputs!$B$1+((Inputs!$G$5:$G$140&lt;&gt;"moeda")*(Inputs!$G$5:$G$140&lt;&gt;"acoes")))*INDEX(Inputs!$K$5:$AJ$140,0,MATCH(I$2,Inputs!$K$4:$AJ$4,0)))+SUMPRODUCT((Inputs!$E$5:$E$140=$B68)*Inputs!$F$5:$F$140*(((Inputs!$G$5:$G$140="moeda")+(Inputs!$G$5:$G$140="acoes"))*Inputs!$B$1+((Inputs!$G$5:$G$140&lt;&gt;"moeda")*(Inputs!$G$5:$G$140&lt;&gt;"acoes")))*INDEX(Inputs!$K$5:$AJ$140,0,MATCH(I$2,Inputs!$K$4:$AJ$4,0)))))</f>
        <v>0</v>
      </c>
      <c r="J68" s="262">
        <f>IF(ISNA(MATCH(J$2,Inputs!$K$4:$AJ$4,0)),NA(),IF(SUMPRODUCT((Inputs!$A$5:$A$140=$B68)*ISNUMBER(INDEX(Inputs!$K$5:$AJ$140,0,MATCH(J$2,Inputs!$K$4:$AJ$4,0))))+SUMPRODUCT((Inputs!$C$5:$C$140=$B68)*ISNUMBER(INDEX(Inputs!$K$5:$AJ$140,0,MATCH(J$2,Inputs!$K$4:$AJ$4,0))))+SUMPRODUCT((Inputs!$E$5:$E$140=$B68)*ISNUMBER(INDEX(Inputs!$K$5:$AJ$140,0,MATCH(J$2,Inputs!$K$4:$AJ$4,0))))=0,NA(),SUMPRODUCT((Inputs!$A$5:$A$140=$B68)*Inputs!$B$5:$B$140*(((Inputs!$G$5:$G$140="moeda")+(Inputs!$G$5:$G$140="acoes"))*Inputs!$B$1+((Inputs!$G$5:$G$140&lt;&gt;"moeda")*(Inputs!$G$5:$G$140&lt;&gt;"acoes")))*INDEX(Inputs!$K$5:$AJ$140,0,MATCH(J$2,Inputs!$K$4:$AJ$4,0)))+SUMPRODUCT((Inputs!$C$5:$C$140=$B68)*Inputs!$D$5:$D$140*(((Inputs!$G$5:$G$140="moeda")+(Inputs!$G$5:$G$140="acoes"))*Inputs!$B$1+((Inputs!$G$5:$G$140&lt;&gt;"moeda")*(Inputs!$G$5:$G$140&lt;&gt;"acoes")))*INDEX(Inputs!$K$5:$AJ$140,0,MATCH(J$2,Inputs!$K$4:$AJ$4,0)))+SUMPRODUCT((Inputs!$E$5:$E$140=$B68)*Inputs!$F$5:$F$140*(((Inputs!$G$5:$G$140="moeda")+(Inputs!$G$5:$G$140="acoes"))*Inputs!$B$1+((Inputs!$G$5:$G$140&lt;&gt;"moeda")*(Inputs!$G$5:$G$140&lt;&gt;"acoes")))*INDEX(Inputs!$K$5:$AJ$140,0,MATCH(J$2,Inputs!$K$4:$AJ$4,0)))))</f>
        <v>0</v>
      </c>
      <c r="K68" s="262">
        <f>IF(ISNA(MATCH(K$2,Inputs!$K$4:$AJ$4,0)),NA(),IF(SUMPRODUCT((Inputs!$A$5:$A$140=$B68)*ISNUMBER(INDEX(Inputs!$K$5:$AJ$140,0,MATCH(K$2,Inputs!$K$4:$AJ$4,0))))+SUMPRODUCT((Inputs!$C$5:$C$140=$B68)*ISNUMBER(INDEX(Inputs!$K$5:$AJ$140,0,MATCH(K$2,Inputs!$K$4:$AJ$4,0))))+SUMPRODUCT((Inputs!$E$5:$E$140=$B68)*ISNUMBER(INDEX(Inputs!$K$5:$AJ$140,0,MATCH(K$2,Inputs!$K$4:$AJ$4,0))))=0,NA(),SUMPRODUCT((Inputs!$A$5:$A$140=$B68)*Inputs!$B$5:$B$140*(((Inputs!$G$5:$G$140="moeda")+(Inputs!$G$5:$G$140="acoes"))*Inputs!$B$1+((Inputs!$G$5:$G$140&lt;&gt;"moeda")*(Inputs!$G$5:$G$140&lt;&gt;"acoes")))*INDEX(Inputs!$K$5:$AJ$140,0,MATCH(K$2,Inputs!$K$4:$AJ$4,0)))+SUMPRODUCT((Inputs!$C$5:$C$140=$B68)*Inputs!$D$5:$D$140*(((Inputs!$G$5:$G$140="moeda")+(Inputs!$G$5:$G$140="acoes"))*Inputs!$B$1+((Inputs!$G$5:$G$140&lt;&gt;"moeda")*(Inputs!$G$5:$G$140&lt;&gt;"acoes")))*INDEX(Inputs!$K$5:$AJ$140,0,MATCH(K$2,Inputs!$K$4:$AJ$4,0)))+SUMPRODUCT((Inputs!$E$5:$E$140=$B68)*Inputs!$F$5:$F$140*(((Inputs!$G$5:$G$140="moeda")+(Inputs!$G$5:$G$140="acoes"))*Inputs!$B$1+((Inputs!$G$5:$G$140&lt;&gt;"moeda")*(Inputs!$G$5:$G$140&lt;&gt;"acoes")))*INDEX(Inputs!$K$5:$AJ$140,0,MATCH(K$2,Inputs!$K$4:$AJ$4,0)))))</f>
        <v>0</v>
      </c>
      <c r="L68" s="262">
        <f>IF(ISNA(MATCH(L$2,Inputs!$K$4:$AJ$4,0)),NA(),IF(SUMPRODUCT((Inputs!$A$5:$A$140=$B68)*ISNUMBER(INDEX(Inputs!$K$5:$AJ$140,0,MATCH(L$2,Inputs!$K$4:$AJ$4,0))))+SUMPRODUCT((Inputs!$C$5:$C$140=$B68)*ISNUMBER(INDEX(Inputs!$K$5:$AJ$140,0,MATCH(L$2,Inputs!$K$4:$AJ$4,0))))+SUMPRODUCT((Inputs!$E$5:$E$140=$B68)*ISNUMBER(INDEX(Inputs!$K$5:$AJ$140,0,MATCH(L$2,Inputs!$K$4:$AJ$4,0))))=0,NA(),SUMPRODUCT((Inputs!$A$5:$A$140=$B68)*Inputs!$B$5:$B$140*(((Inputs!$G$5:$G$140="moeda")+(Inputs!$G$5:$G$140="acoes"))*Inputs!$B$1+((Inputs!$G$5:$G$140&lt;&gt;"moeda")*(Inputs!$G$5:$G$140&lt;&gt;"acoes")))*INDEX(Inputs!$K$5:$AJ$140,0,MATCH(L$2,Inputs!$K$4:$AJ$4,0)))+SUMPRODUCT((Inputs!$C$5:$C$140=$B68)*Inputs!$D$5:$D$140*(((Inputs!$G$5:$G$140="moeda")+(Inputs!$G$5:$G$140="acoes"))*Inputs!$B$1+((Inputs!$G$5:$G$140&lt;&gt;"moeda")*(Inputs!$G$5:$G$140&lt;&gt;"acoes")))*INDEX(Inputs!$K$5:$AJ$140,0,MATCH(L$2,Inputs!$K$4:$AJ$4,0)))+SUMPRODUCT((Inputs!$E$5:$E$140=$B68)*Inputs!$F$5:$F$140*(((Inputs!$G$5:$G$140="moeda")+(Inputs!$G$5:$G$140="acoes"))*Inputs!$B$1+((Inputs!$G$5:$G$140&lt;&gt;"moeda")*(Inputs!$G$5:$G$140&lt;&gt;"acoes")))*INDEX(Inputs!$K$5:$AJ$140,0,MATCH(L$2,Inputs!$K$4:$AJ$4,0)))))</f>
        <v>0</v>
      </c>
      <c r="M68" s="263">
        <f>L68</f>
        <v>0</v>
      </c>
      <c r="N68" s="262">
        <f>IF(ISNA(MATCH(N$2,Inputs!$K$4:$AJ$4,0)),NA(),IF(SUMPRODUCT((Inputs!$A$5:$A$140=$B68)*ISNUMBER(INDEX(Inputs!$K$5:$AJ$140,0,MATCH(N$2,Inputs!$K$4:$AJ$4,0))))+SUMPRODUCT((Inputs!$C$5:$C$140=$B68)*ISNUMBER(INDEX(Inputs!$K$5:$AJ$140,0,MATCH(N$2,Inputs!$K$4:$AJ$4,0))))+SUMPRODUCT((Inputs!$E$5:$E$140=$B68)*ISNUMBER(INDEX(Inputs!$K$5:$AJ$140,0,MATCH(N$2,Inputs!$K$4:$AJ$4,0))))=0,NA(),SUMPRODUCT((Inputs!$A$5:$A$140=$B68)*Inputs!$B$5:$B$140*(((Inputs!$G$5:$G$140="moeda")+(Inputs!$G$5:$G$140="acoes"))*Inputs!$B$1+((Inputs!$G$5:$G$140&lt;&gt;"moeda")*(Inputs!$G$5:$G$140&lt;&gt;"acoes")))*INDEX(Inputs!$K$5:$AJ$140,0,MATCH(N$2,Inputs!$K$4:$AJ$4,0)))+SUMPRODUCT((Inputs!$C$5:$C$140=$B68)*Inputs!$D$5:$D$140*(((Inputs!$G$5:$G$140="moeda")+(Inputs!$G$5:$G$140="acoes"))*Inputs!$B$1+((Inputs!$G$5:$G$140&lt;&gt;"moeda")*(Inputs!$G$5:$G$140&lt;&gt;"acoes")))*INDEX(Inputs!$K$5:$AJ$140,0,MATCH(N$2,Inputs!$K$4:$AJ$4,0)))+SUMPRODUCT((Inputs!$E$5:$E$140=$B68)*Inputs!$F$5:$F$140*(((Inputs!$G$5:$G$140="moeda")+(Inputs!$G$5:$G$140="acoes"))*Inputs!$B$1+((Inputs!$G$5:$G$140&lt;&gt;"moeda")*(Inputs!$G$5:$G$140&lt;&gt;"acoes")))*INDEX(Inputs!$K$5:$AJ$140,0,MATCH(N$2,Inputs!$K$4:$AJ$4,0)))))</f>
        <v>0</v>
      </c>
      <c r="O68" s="262">
        <f>IF(ISNA(MATCH(O$2,Inputs!$K$4:$AJ$4,0)),NA(),IF(SUMPRODUCT((Inputs!$A$5:$A$140=$B68)*ISNUMBER(INDEX(Inputs!$K$5:$AJ$140,0,MATCH(O$2,Inputs!$K$4:$AJ$4,0))))+SUMPRODUCT((Inputs!$C$5:$C$140=$B68)*ISNUMBER(INDEX(Inputs!$K$5:$AJ$140,0,MATCH(O$2,Inputs!$K$4:$AJ$4,0))))+SUMPRODUCT((Inputs!$E$5:$E$140=$B68)*ISNUMBER(INDEX(Inputs!$K$5:$AJ$140,0,MATCH(O$2,Inputs!$K$4:$AJ$4,0))))=0,NA(),SUMPRODUCT((Inputs!$A$5:$A$140=$B68)*Inputs!$B$5:$B$140*(((Inputs!$G$5:$G$140="moeda")+(Inputs!$G$5:$G$140="acoes"))*Inputs!$B$1+((Inputs!$G$5:$G$140&lt;&gt;"moeda")*(Inputs!$G$5:$G$140&lt;&gt;"acoes")))*INDEX(Inputs!$K$5:$AJ$140,0,MATCH(O$2,Inputs!$K$4:$AJ$4,0)))+SUMPRODUCT((Inputs!$C$5:$C$140=$B68)*Inputs!$D$5:$D$140*(((Inputs!$G$5:$G$140="moeda")+(Inputs!$G$5:$G$140="acoes"))*Inputs!$B$1+((Inputs!$G$5:$G$140&lt;&gt;"moeda")*(Inputs!$G$5:$G$140&lt;&gt;"acoes")))*INDEX(Inputs!$K$5:$AJ$140,0,MATCH(O$2,Inputs!$K$4:$AJ$4,0)))+SUMPRODUCT((Inputs!$E$5:$E$140=$B68)*Inputs!$F$5:$F$140*(((Inputs!$G$5:$G$140="moeda")+(Inputs!$G$5:$G$140="acoes"))*Inputs!$B$1+((Inputs!$G$5:$G$140&lt;&gt;"moeda")*(Inputs!$G$5:$G$140&lt;&gt;"acoes")))*INDEX(Inputs!$K$5:$AJ$140,0,MATCH(O$2,Inputs!$K$4:$AJ$4,0)))))</f>
        <v>0</v>
      </c>
      <c r="P68" s="262">
        <f>IF(ISNA(MATCH(P$2,Inputs!$K$4:$AJ$4,0)),NA(),IF(SUMPRODUCT((Inputs!$A$5:$A$140=$B68)*ISNUMBER(INDEX(Inputs!$K$5:$AJ$140,0,MATCH(P$2,Inputs!$K$4:$AJ$4,0))))+SUMPRODUCT((Inputs!$C$5:$C$140=$B68)*ISNUMBER(INDEX(Inputs!$K$5:$AJ$140,0,MATCH(P$2,Inputs!$K$4:$AJ$4,0))))+SUMPRODUCT((Inputs!$E$5:$E$140=$B68)*ISNUMBER(INDEX(Inputs!$K$5:$AJ$140,0,MATCH(P$2,Inputs!$K$4:$AJ$4,0))))=0,NA(),SUMPRODUCT((Inputs!$A$5:$A$140=$B68)*Inputs!$B$5:$B$140*(((Inputs!$G$5:$G$140="moeda")+(Inputs!$G$5:$G$140="acoes"))*Inputs!$B$1+((Inputs!$G$5:$G$140&lt;&gt;"moeda")*(Inputs!$G$5:$G$140&lt;&gt;"acoes")))*INDEX(Inputs!$K$5:$AJ$140,0,MATCH(P$2,Inputs!$K$4:$AJ$4,0)))+SUMPRODUCT((Inputs!$C$5:$C$140=$B68)*Inputs!$D$5:$D$140*(((Inputs!$G$5:$G$140="moeda")+(Inputs!$G$5:$G$140="acoes"))*Inputs!$B$1+((Inputs!$G$5:$G$140&lt;&gt;"moeda")*(Inputs!$G$5:$G$140&lt;&gt;"acoes")))*INDEX(Inputs!$K$5:$AJ$140,0,MATCH(P$2,Inputs!$K$4:$AJ$4,0)))+SUMPRODUCT((Inputs!$E$5:$E$140=$B68)*Inputs!$F$5:$F$140*(((Inputs!$G$5:$G$140="moeda")+(Inputs!$G$5:$G$140="acoes"))*Inputs!$B$1+((Inputs!$G$5:$G$140&lt;&gt;"moeda")*(Inputs!$G$5:$G$140&lt;&gt;"acoes")))*INDEX(Inputs!$K$5:$AJ$140,0,MATCH(P$2,Inputs!$K$4:$AJ$4,0)))))</f>
        <v>0</v>
      </c>
      <c r="Q68" s="262">
        <f>IF(ISNA(MATCH(Q$2,Inputs!$K$4:$AJ$4,0)),NA(),IF(SUMPRODUCT((Inputs!$A$5:$A$140=$B68)*ISNUMBER(INDEX(Inputs!$K$5:$AJ$140,0,MATCH(Q$2,Inputs!$K$4:$AJ$4,0))))+SUMPRODUCT((Inputs!$C$5:$C$140=$B68)*ISNUMBER(INDEX(Inputs!$K$5:$AJ$140,0,MATCH(Q$2,Inputs!$K$4:$AJ$4,0))))+SUMPRODUCT((Inputs!$E$5:$E$140=$B68)*ISNUMBER(INDEX(Inputs!$K$5:$AJ$140,0,MATCH(Q$2,Inputs!$K$4:$AJ$4,0))))=0,NA(),SUMPRODUCT((Inputs!$A$5:$A$140=$B68)*Inputs!$B$5:$B$140*(((Inputs!$G$5:$G$140="moeda")+(Inputs!$G$5:$G$140="acoes"))*Inputs!$B$1+((Inputs!$G$5:$G$140&lt;&gt;"moeda")*(Inputs!$G$5:$G$140&lt;&gt;"acoes")))*INDEX(Inputs!$K$5:$AJ$140,0,MATCH(Q$2,Inputs!$K$4:$AJ$4,0)))+SUMPRODUCT((Inputs!$C$5:$C$140=$B68)*Inputs!$D$5:$D$140*(((Inputs!$G$5:$G$140="moeda")+(Inputs!$G$5:$G$140="acoes"))*Inputs!$B$1+((Inputs!$G$5:$G$140&lt;&gt;"moeda")*(Inputs!$G$5:$G$140&lt;&gt;"acoes")))*INDEX(Inputs!$K$5:$AJ$140,0,MATCH(Q$2,Inputs!$K$4:$AJ$4,0)))+SUMPRODUCT((Inputs!$E$5:$E$140=$B68)*Inputs!$F$5:$F$140*(((Inputs!$G$5:$G$140="moeda")+(Inputs!$G$5:$G$140="acoes"))*Inputs!$B$1+((Inputs!$G$5:$G$140&lt;&gt;"moeda")*(Inputs!$G$5:$G$140&lt;&gt;"acoes")))*INDEX(Inputs!$K$5:$AJ$140,0,MATCH(Q$2,Inputs!$K$4:$AJ$4,0)))))</f>
        <v>0</v>
      </c>
      <c r="R68" s="263">
        <f>Q68</f>
        <v>0</v>
      </c>
      <c r="S68" s="262">
        <f>IF(ISNA(MATCH(S$2,Inputs!$K$4:$AJ$4,0)),NA(),IF(SUMPRODUCT((Inputs!$A$5:$A$140=$B68)*ISNUMBER(INDEX(Inputs!$K$5:$AJ$140,0,MATCH(S$2,Inputs!$K$4:$AJ$4,0))))+SUMPRODUCT((Inputs!$C$5:$C$140=$B68)*ISNUMBER(INDEX(Inputs!$K$5:$AJ$140,0,MATCH(S$2,Inputs!$K$4:$AJ$4,0))))+SUMPRODUCT((Inputs!$E$5:$E$140=$B68)*ISNUMBER(INDEX(Inputs!$K$5:$AJ$140,0,MATCH(S$2,Inputs!$K$4:$AJ$4,0))))=0,NA(),SUMPRODUCT((Inputs!$A$5:$A$140=$B68)*Inputs!$B$5:$B$140*(((Inputs!$G$5:$G$140="moeda")+(Inputs!$G$5:$G$140="acoes"))*Inputs!$B$1+((Inputs!$G$5:$G$140&lt;&gt;"moeda")*(Inputs!$G$5:$G$140&lt;&gt;"acoes")))*INDEX(Inputs!$K$5:$AJ$140,0,MATCH(S$2,Inputs!$K$4:$AJ$4,0)))+SUMPRODUCT((Inputs!$C$5:$C$140=$B68)*Inputs!$D$5:$D$140*(((Inputs!$G$5:$G$140="moeda")+(Inputs!$G$5:$G$140="acoes"))*Inputs!$B$1+((Inputs!$G$5:$G$140&lt;&gt;"moeda")*(Inputs!$G$5:$G$140&lt;&gt;"acoes")))*INDEX(Inputs!$K$5:$AJ$140,0,MATCH(S$2,Inputs!$K$4:$AJ$4,0)))+SUMPRODUCT((Inputs!$E$5:$E$140=$B68)*Inputs!$F$5:$F$140*(((Inputs!$G$5:$G$140="moeda")+(Inputs!$G$5:$G$140="acoes"))*Inputs!$B$1+((Inputs!$G$5:$G$140&lt;&gt;"moeda")*(Inputs!$G$5:$G$140&lt;&gt;"acoes")))*INDEX(Inputs!$K$5:$AJ$140,0,MATCH(S$2,Inputs!$K$4:$AJ$4,0)))))</f>
        <v>0</v>
      </c>
      <c r="T68" s="262">
        <f>IF(ISNA(MATCH(T$2,Inputs!$K$4:$AJ$4,0)),NA(),IF(SUMPRODUCT((Inputs!$A$5:$A$140=$B68)*ISNUMBER(INDEX(Inputs!$K$5:$AJ$140,0,MATCH(T$2,Inputs!$K$4:$AJ$4,0))))+SUMPRODUCT((Inputs!$C$5:$C$140=$B68)*ISNUMBER(INDEX(Inputs!$K$5:$AJ$140,0,MATCH(T$2,Inputs!$K$4:$AJ$4,0))))+SUMPRODUCT((Inputs!$E$5:$E$140=$B68)*ISNUMBER(INDEX(Inputs!$K$5:$AJ$140,0,MATCH(T$2,Inputs!$K$4:$AJ$4,0))))=0,NA(),SUMPRODUCT((Inputs!$A$5:$A$140=$B68)*Inputs!$B$5:$B$140*(((Inputs!$G$5:$G$140="moeda")+(Inputs!$G$5:$G$140="acoes"))*Inputs!$B$1+((Inputs!$G$5:$G$140&lt;&gt;"moeda")*(Inputs!$G$5:$G$140&lt;&gt;"acoes")))*INDEX(Inputs!$K$5:$AJ$140,0,MATCH(T$2,Inputs!$K$4:$AJ$4,0)))+SUMPRODUCT((Inputs!$C$5:$C$140=$B68)*Inputs!$D$5:$D$140*(((Inputs!$G$5:$G$140="moeda")+(Inputs!$G$5:$G$140="acoes"))*Inputs!$B$1+((Inputs!$G$5:$G$140&lt;&gt;"moeda")*(Inputs!$G$5:$G$140&lt;&gt;"acoes")))*INDEX(Inputs!$K$5:$AJ$140,0,MATCH(T$2,Inputs!$K$4:$AJ$4,0)))+SUMPRODUCT((Inputs!$E$5:$E$140=$B68)*Inputs!$F$5:$F$140*(((Inputs!$G$5:$G$140="moeda")+(Inputs!$G$5:$G$140="acoes"))*Inputs!$B$1+((Inputs!$G$5:$G$140&lt;&gt;"moeda")*(Inputs!$G$5:$G$140&lt;&gt;"acoes")))*INDEX(Inputs!$K$5:$AJ$140,0,MATCH(T$2,Inputs!$K$4:$AJ$4,0)))))</f>
        <v>0</v>
      </c>
      <c r="U68" s="262">
        <f>IF(ISNA(MATCH(U$2,Inputs!$K$4:$AJ$4,0)),NA(),IF(SUMPRODUCT((Inputs!$A$5:$A$140=$B68)*ISNUMBER(INDEX(Inputs!$K$5:$AJ$140,0,MATCH(U$2,Inputs!$K$4:$AJ$4,0))))+SUMPRODUCT((Inputs!$C$5:$C$140=$B68)*ISNUMBER(INDEX(Inputs!$K$5:$AJ$140,0,MATCH(U$2,Inputs!$K$4:$AJ$4,0))))+SUMPRODUCT((Inputs!$E$5:$E$140=$B68)*ISNUMBER(INDEX(Inputs!$K$5:$AJ$140,0,MATCH(U$2,Inputs!$K$4:$AJ$4,0))))=0,NA(),SUMPRODUCT((Inputs!$A$5:$A$140=$B68)*Inputs!$B$5:$B$140*(((Inputs!$G$5:$G$140="moeda")+(Inputs!$G$5:$G$140="acoes"))*Inputs!$B$1+((Inputs!$G$5:$G$140&lt;&gt;"moeda")*(Inputs!$G$5:$G$140&lt;&gt;"acoes")))*INDEX(Inputs!$K$5:$AJ$140,0,MATCH(U$2,Inputs!$K$4:$AJ$4,0)))+SUMPRODUCT((Inputs!$C$5:$C$140=$B68)*Inputs!$D$5:$D$140*(((Inputs!$G$5:$G$140="moeda")+(Inputs!$G$5:$G$140="acoes"))*Inputs!$B$1+((Inputs!$G$5:$G$140&lt;&gt;"moeda")*(Inputs!$G$5:$G$140&lt;&gt;"acoes")))*INDEX(Inputs!$K$5:$AJ$140,0,MATCH(U$2,Inputs!$K$4:$AJ$4,0)))+SUMPRODUCT((Inputs!$E$5:$E$140=$B68)*Inputs!$F$5:$F$140*(((Inputs!$G$5:$G$140="moeda")+(Inputs!$G$5:$G$140="acoes"))*Inputs!$B$1+((Inputs!$G$5:$G$140&lt;&gt;"moeda")*(Inputs!$G$5:$G$140&lt;&gt;"acoes")))*INDEX(Inputs!$K$5:$AJ$140,0,MATCH(U$2,Inputs!$K$4:$AJ$4,0)))))</f>
        <v>0</v>
      </c>
      <c r="V68" s="262">
        <f>IF(ISNA(MATCH(V$2,Inputs!$K$4:$AJ$4,0)),NA(),IF(SUMPRODUCT((Inputs!$A$5:$A$140=$B68)*ISNUMBER(INDEX(Inputs!$K$5:$AJ$140,0,MATCH(V$2,Inputs!$K$4:$AJ$4,0))))+SUMPRODUCT((Inputs!$C$5:$C$140=$B68)*ISNUMBER(INDEX(Inputs!$K$5:$AJ$140,0,MATCH(V$2,Inputs!$K$4:$AJ$4,0))))+SUMPRODUCT((Inputs!$E$5:$E$140=$B68)*ISNUMBER(INDEX(Inputs!$K$5:$AJ$140,0,MATCH(V$2,Inputs!$K$4:$AJ$4,0))))=0,NA(),SUMPRODUCT((Inputs!$A$5:$A$140=$B68)*Inputs!$B$5:$B$140*(((Inputs!$G$5:$G$140="moeda")+(Inputs!$G$5:$G$140="acoes"))*Inputs!$B$1+((Inputs!$G$5:$G$140&lt;&gt;"moeda")*(Inputs!$G$5:$G$140&lt;&gt;"acoes")))*INDEX(Inputs!$K$5:$AJ$140,0,MATCH(V$2,Inputs!$K$4:$AJ$4,0)))+SUMPRODUCT((Inputs!$C$5:$C$140=$B68)*Inputs!$D$5:$D$140*(((Inputs!$G$5:$G$140="moeda")+(Inputs!$G$5:$G$140="acoes"))*Inputs!$B$1+((Inputs!$G$5:$G$140&lt;&gt;"moeda")*(Inputs!$G$5:$G$140&lt;&gt;"acoes")))*INDEX(Inputs!$K$5:$AJ$140,0,MATCH(V$2,Inputs!$K$4:$AJ$4,0)))+SUMPRODUCT((Inputs!$E$5:$E$140=$B68)*Inputs!$F$5:$F$140*(((Inputs!$G$5:$G$140="moeda")+(Inputs!$G$5:$G$140="acoes"))*Inputs!$B$1+((Inputs!$G$5:$G$140&lt;&gt;"moeda")*(Inputs!$G$5:$G$140&lt;&gt;"acoes")))*INDEX(Inputs!$K$5:$AJ$140,0,MATCH(V$2,Inputs!$K$4:$AJ$4,0)))))</f>
        <v>0</v>
      </c>
      <c r="W68" s="263">
        <f>V68</f>
        <v>0</v>
      </c>
      <c r="X68" s="262">
        <f>IF(ISNA(MATCH(X$2,Inputs!$K$4:$AJ$4,0)),NA(),IF(SUMPRODUCT((Inputs!$A$5:$A$140=$B68)*ISNUMBER(INDEX(Inputs!$K$5:$AJ$140,0,MATCH(X$2,Inputs!$K$4:$AJ$4,0))))+SUMPRODUCT((Inputs!$C$5:$C$140=$B68)*ISNUMBER(INDEX(Inputs!$K$5:$AJ$140,0,MATCH(X$2,Inputs!$K$4:$AJ$4,0))))+SUMPRODUCT((Inputs!$E$5:$E$140=$B68)*ISNUMBER(INDEX(Inputs!$K$5:$AJ$140,0,MATCH(X$2,Inputs!$K$4:$AJ$4,0))))=0,NA(),SUMPRODUCT((Inputs!$A$5:$A$140=$B68)*Inputs!$B$5:$B$140*(((Inputs!$G$5:$G$140="moeda")+(Inputs!$G$5:$G$140="acoes"))*Inputs!$B$1+((Inputs!$G$5:$G$140&lt;&gt;"moeda")*(Inputs!$G$5:$G$140&lt;&gt;"acoes")))*INDEX(Inputs!$K$5:$AJ$140,0,MATCH(X$2,Inputs!$K$4:$AJ$4,0)))+SUMPRODUCT((Inputs!$C$5:$C$140=$B68)*Inputs!$D$5:$D$140*(((Inputs!$G$5:$G$140="moeda")+(Inputs!$G$5:$G$140="acoes"))*Inputs!$B$1+((Inputs!$G$5:$G$140&lt;&gt;"moeda")*(Inputs!$G$5:$G$140&lt;&gt;"acoes")))*INDEX(Inputs!$K$5:$AJ$140,0,MATCH(X$2,Inputs!$K$4:$AJ$4,0)))+SUMPRODUCT((Inputs!$E$5:$E$140=$B68)*Inputs!$F$5:$F$140*(((Inputs!$G$5:$G$140="moeda")+(Inputs!$G$5:$G$140="acoes"))*Inputs!$B$1+((Inputs!$G$5:$G$140&lt;&gt;"moeda")*(Inputs!$G$5:$G$140&lt;&gt;"acoes")))*INDEX(Inputs!$K$5:$AJ$140,0,MATCH(X$2,Inputs!$K$4:$AJ$4,0)))))</f>
        <v>0</v>
      </c>
      <c r="Y68" s="262">
        <f>IF(ISNA(MATCH(Y$2,Inputs!$K$4:$AJ$4,0)),NA(),IF(SUMPRODUCT((Inputs!$A$5:$A$140=$B68)*ISNUMBER(INDEX(Inputs!$K$5:$AJ$140,0,MATCH(Y$2,Inputs!$K$4:$AJ$4,0))))+SUMPRODUCT((Inputs!$C$5:$C$140=$B68)*ISNUMBER(INDEX(Inputs!$K$5:$AJ$140,0,MATCH(Y$2,Inputs!$K$4:$AJ$4,0))))+SUMPRODUCT((Inputs!$E$5:$E$140=$B68)*ISNUMBER(INDEX(Inputs!$K$5:$AJ$140,0,MATCH(Y$2,Inputs!$K$4:$AJ$4,0))))=0,NA(),SUMPRODUCT((Inputs!$A$5:$A$140=$B68)*Inputs!$B$5:$B$140*(((Inputs!$G$5:$G$140="moeda")+(Inputs!$G$5:$G$140="acoes"))*Inputs!$B$1+((Inputs!$G$5:$G$140&lt;&gt;"moeda")*(Inputs!$G$5:$G$140&lt;&gt;"acoes")))*INDEX(Inputs!$K$5:$AJ$140,0,MATCH(Y$2,Inputs!$K$4:$AJ$4,0)))+SUMPRODUCT((Inputs!$C$5:$C$140=$B68)*Inputs!$D$5:$D$140*(((Inputs!$G$5:$G$140="moeda")+(Inputs!$G$5:$G$140="acoes"))*Inputs!$B$1+((Inputs!$G$5:$G$140&lt;&gt;"moeda")*(Inputs!$G$5:$G$140&lt;&gt;"acoes")))*INDEX(Inputs!$K$5:$AJ$140,0,MATCH(Y$2,Inputs!$K$4:$AJ$4,0)))+SUMPRODUCT((Inputs!$E$5:$E$140=$B68)*Inputs!$F$5:$F$140*(((Inputs!$G$5:$G$140="moeda")+(Inputs!$G$5:$G$140="acoes"))*Inputs!$B$1+((Inputs!$G$5:$G$140&lt;&gt;"moeda")*(Inputs!$G$5:$G$140&lt;&gt;"acoes")))*INDEX(Inputs!$K$5:$AJ$140,0,MATCH(Y$2,Inputs!$K$4:$AJ$4,0)))))</f>
        <v>0</v>
      </c>
      <c r="Z68" s="262">
        <f>IF(ISNA(MATCH(Z$2,Inputs!$K$4:$AJ$4,0)),NA(),IF(SUMPRODUCT((Inputs!$A$5:$A$140=$B68)*ISNUMBER(INDEX(Inputs!$K$5:$AJ$140,0,MATCH(Z$2,Inputs!$K$4:$AJ$4,0))))+SUMPRODUCT((Inputs!$C$5:$C$140=$B68)*ISNUMBER(INDEX(Inputs!$K$5:$AJ$140,0,MATCH(Z$2,Inputs!$K$4:$AJ$4,0))))+SUMPRODUCT((Inputs!$E$5:$E$140=$B68)*ISNUMBER(INDEX(Inputs!$K$5:$AJ$140,0,MATCH(Z$2,Inputs!$K$4:$AJ$4,0))))=0,NA(),SUMPRODUCT((Inputs!$A$5:$A$140=$B68)*Inputs!$B$5:$B$140*(((Inputs!$G$5:$G$140="moeda")+(Inputs!$G$5:$G$140="acoes"))*Inputs!$B$1+((Inputs!$G$5:$G$140&lt;&gt;"moeda")*(Inputs!$G$5:$G$140&lt;&gt;"acoes")))*INDEX(Inputs!$K$5:$AJ$140,0,MATCH(Z$2,Inputs!$K$4:$AJ$4,0)))+SUMPRODUCT((Inputs!$C$5:$C$140=$B68)*Inputs!$D$5:$D$140*(((Inputs!$G$5:$G$140="moeda")+(Inputs!$G$5:$G$140="acoes"))*Inputs!$B$1+((Inputs!$G$5:$G$140&lt;&gt;"moeda")*(Inputs!$G$5:$G$140&lt;&gt;"acoes")))*INDEX(Inputs!$K$5:$AJ$140,0,MATCH(Z$2,Inputs!$K$4:$AJ$4,0)))+SUMPRODUCT((Inputs!$E$5:$E$140=$B68)*Inputs!$F$5:$F$140*(((Inputs!$G$5:$G$140="moeda")+(Inputs!$G$5:$G$140="acoes"))*Inputs!$B$1+((Inputs!$G$5:$G$140&lt;&gt;"moeda")*(Inputs!$G$5:$G$140&lt;&gt;"acoes")))*INDEX(Inputs!$K$5:$AJ$140,0,MATCH(Z$2,Inputs!$K$4:$AJ$4,0)))))</f>
        <v>0</v>
      </c>
      <c r="AA68" s="262">
        <f>IF(ISNA(MATCH(AA$2,Inputs!$K$4:$AJ$4,0)),NA(),IF(SUMPRODUCT((Inputs!$A$5:$A$140=$B68)*ISNUMBER(INDEX(Inputs!$K$5:$AJ$140,0,MATCH(AA$2,Inputs!$K$4:$AJ$4,0))))+SUMPRODUCT((Inputs!$C$5:$C$140=$B68)*ISNUMBER(INDEX(Inputs!$K$5:$AJ$140,0,MATCH(AA$2,Inputs!$K$4:$AJ$4,0))))+SUMPRODUCT((Inputs!$E$5:$E$140=$B68)*ISNUMBER(INDEX(Inputs!$K$5:$AJ$140,0,MATCH(AA$2,Inputs!$K$4:$AJ$4,0))))=0,NA(),SUMPRODUCT((Inputs!$A$5:$A$140=$B68)*Inputs!$B$5:$B$140*(((Inputs!$G$5:$G$140="moeda")+(Inputs!$G$5:$G$140="acoes"))*Inputs!$B$1+((Inputs!$G$5:$G$140&lt;&gt;"moeda")*(Inputs!$G$5:$G$140&lt;&gt;"acoes")))*INDEX(Inputs!$K$5:$AJ$140,0,MATCH(AA$2,Inputs!$K$4:$AJ$4,0)))+SUMPRODUCT((Inputs!$C$5:$C$140=$B68)*Inputs!$D$5:$D$140*(((Inputs!$G$5:$G$140="moeda")+(Inputs!$G$5:$G$140="acoes"))*Inputs!$B$1+((Inputs!$G$5:$G$140&lt;&gt;"moeda")*(Inputs!$G$5:$G$140&lt;&gt;"acoes")))*INDEX(Inputs!$K$5:$AJ$140,0,MATCH(AA$2,Inputs!$K$4:$AJ$4,0)))+SUMPRODUCT((Inputs!$E$5:$E$140=$B68)*Inputs!$F$5:$F$140*(((Inputs!$G$5:$G$140="moeda")+(Inputs!$G$5:$G$140="acoes"))*Inputs!$B$1+((Inputs!$G$5:$G$140&lt;&gt;"moeda")*(Inputs!$G$5:$G$140&lt;&gt;"acoes")))*INDEX(Inputs!$K$5:$AJ$140,0,MATCH(AA$2,Inputs!$K$4:$AJ$4,0)))))</f>
        <v>0</v>
      </c>
      <c r="AB68" s="263">
        <f>AA68</f>
        <v>0</v>
      </c>
      <c r="AC68" s="262">
        <f>IF(ISNA(MATCH(AC$2,Inputs!$K$4:$AJ$4,0)),NA(),IF(SUMPRODUCT((Inputs!$A$5:$A$140=$B68)*ISNUMBER(INDEX(Inputs!$K$5:$AJ$140,0,MATCH(AC$2,Inputs!$K$4:$AJ$4,0))))+SUMPRODUCT((Inputs!$C$5:$C$140=$B68)*ISNUMBER(INDEX(Inputs!$K$5:$AJ$140,0,MATCH(AC$2,Inputs!$K$4:$AJ$4,0))))+SUMPRODUCT((Inputs!$E$5:$E$140=$B68)*ISNUMBER(INDEX(Inputs!$K$5:$AJ$140,0,MATCH(AC$2,Inputs!$K$4:$AJ$4,0))))=0,NA(),SUMPRODUCT((Inputs!$A$5:$A$140=$B68)*Inputs!$B$5:$B$140*(((Inputs!$G$5:$G$140="moeda")+(Inputs!$G$5:$G$140="acoes"))*Inputs!$B$1+((Inputs!$G$5:$G$140&lt;&gt;"moeda")*(Inputs!$G$5:$G$140&lt;&gt;"acoes")))*INDEX(Inputs!$K$5:$AJ$140,0,MATCH(AC$2,Inputs!$K$4:$AJ$4,0)))+SUMPRODUCT((Inputs!$C$5:$C$140=$B68)*Inputs!$D$5:$D$140*(((Inputs!$G$5:$G$140="moeda")+(Inputs!$G$5:$G$140="acoes"))*Inputs!$B$1+((Inputs!$G$5:$G$140&lt;&gt;"moeda")*(Inputs!$G$5:$G$140&lt;&gt;"acoes")))*INDEX(Inputs!$K$5:$AJ$140,0,MATCH(AC$2,Inputs!$K$4:$AJ$4,0)))+SUMPRODUCT((Inputs!$E$5:$E$140=$B68)*Inputs!$F$5:$F$140*(((Inputs!$G$5:$G$140="moeda")+(Inputs!$G$5:$G$140="acoes"))*Inputs!$B$1+((Inputs!$G$5:$G$140&lt;&gt;"moeda")*(Inputs!$G$5:$G$140&lt;&gt;"acoes")))*INDEX(Inputs!$K$5:$AJ$140,0,MATCH(AC$2,Inputs!$K$4:$AJ$4,0)))))</f>
        <v>0</v>
      </c>
      <c r="AD68" s="262">
        <f>IF(ISNA(MATCH(AD$2,Inputs!$K$4:$AJ$4,0)),NA(),IF(SUMPRODUCT((Inputs!$A$5:$A$140=$B68)*ISNUMBER(INDEX(Inputs!$K$5:$AJ$140,0,MATCH(AD$2,Inputs!$K$4:$AJ$4,0))))+SUMPRODUCT((Inputs!$C$5:$C$140=$B68)*ISNUMBER(INDEX(Inputs!$K$5:$AJ$140,0,MATCH(AD$2,Inputs!$K$4:$AJ$4,0))))+SUMPRODUCT((Inputs!$E$5:$E$140=$B68)*ISNUMBER(INDEX(Inputs!$K$5:$AJ$140,0,MATCH(AD$2,Inputs!$K$4:$AJ$4,0))))=0,NA(),SUMPRODUCT((Inputs!$A$5:$A$140=$B68)*Inputs!$B$5:$B$140*(((Inputs!$G$5:$G$140="moeda")+(Inputs!$G$5:$G$140="acoes"))*Inputs!$B$1+((Inputs!$G$5:$G$140&lt;&gt;"moeda")*(Inputs!$G$5:$G$140&lt;&gt;"acoes")))*INDEX(Inputs!$K$5:$AJ$140,0,MATCH(AD$2,Inputs!$K$4:$AJ$4,0)))+SUMPRODUCT((Inputs!$C$5:$C$140=$B68)*Inputs!$D$5:$D$140*(((Inputs!$G$5:$G$140="moeda")+(Inputs!$G$5:$G$140="acoes"))*Inputs!$B$1+((Inputs!$G$5:$G$140&lt;&gt;"moeda")*(Inputs!$G$5:$G$140&lt;&gt;"acoes")))*INDEX(Inputs!$K$5:$AJ$140,0,MATCH(AD$2,Inputs!$K$4:$AJ$4,0)))+SUMPRODUCT((Inputs!$E$5:$E$140=$B68)*Inputs!$F$5:$F$140*(((Inputs!$G$5:$G$140="moeda")+(Inputs!$G$5:$G$140="acoes"))*Inputs!$B$1+((Inputs!$G$5:$G$140&lt;&gt;"moeda")*(Inputs!$G$5:$G$140&lt;&gt;"acoes")))*INDEX(Inputs!$K$5:$AJ$140,0,MATCH(AD$2,Inputs!$K$4:$AJ$4,0)))))</f>
        <v>771</v>
      </c>
      <c r="AE68" s="262" t="e">
        <f>IF(ISNA(MATCH(AE$2,Inputs!$K$4:$AJ$4,0)),NA(),IF(SUMPRODUCT((Inputs!$A$5:$A$140=$B68)*ISNUMBER(INDEX(Inputs!$K$5:$AJ$140,0,MATCH(AE$2,Inputs!$K$4:$AJ$4,0))))+SUMPRODUCT((Inputs!$C$5:$C$140=$B68)*ISNUMBER(INDEX(Inputs!$K$5:$AJ$140,0,MATCH(AE$2,Inputs!$K$4:$AJ$4,0))))+SUMPRODUCT((Inputs!$E$5:$E$140=$B68)*ISNUMBER(INDEX(Inputs!$K$5:$AJ$140,0,MATCH(AE$2,Inputs!$K$4:$AJ$4,0))))=0,NA(),SUMPRODUCT((Inputs!$A$5:$A$140=$B68)*Inputs!$B$5:$B$140*(((Inputs!$G$5:$G$140="moeda")+(Inputs!$G$5:$G$140="acoes"))*Inputs!$B$1+((Inputs!$G$5:$G$140&lt;&gt;"moeda")*(Inputs!$G$5:$G$140&lt;&gt;"acoes")))*INDEX(Inputs!$K$5:$AJ$140,0,MATCH(AE$2,Inputs!$K$4:$AJ$4,0)))+SUMPRODUCT((Inputs!$C$5:$C$140=$B68)*Inputs!$D$5:$D$140*(((Inputs!$G$5:$G$140="moeda")+(Inputs!$G$5:$G$140="acoes"))*Inputs!$B$1+((Inputs!$G$5:$G$140&lt;&gt;"moeda")*(Inputs!$G$5:$G$140&lt;&gt;"acoes")))*INDEX(Inputs!$K$5:$AJ$140,0,MATCH(AE$2,Inputs!$K$4:$AJ$4,0)))+SUMPRODUCT((Inputs!$E$5:$E$140=$B68)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8" s="262" t="e">
        <f>IF(ISNA(MATCH(AF$2,Inputs!$K$4:$AJ$4,0)),NA(),IF(SUMPRODUCT((Inputs!$A$5:$A$140=$B68)*ISNUMBER(INDEX(Inputs!$K$5:$AJ$140,0,MATCH(AF$2,Inputs!$K$4:$AJ$4,0))))+SUMPRODUCT((Inputs!$C$5:$C$140=$B68)*ISNUMBER(INDEX(Inputs!$K$5:$AJ$140,0,MATCH(AF$2,Inputs!$K$4:$AJ$4,0))))+SUMPRODUCT((Inputs!$E$5:$E$140=$B68)*ISNUMBER(INDEX(Inputs!$K$5:$AJ$140,0,MATCH(AF$2,Inputs!$K$4:$AJ$4,0))))=0,NA(),SUMPRODUCT((Inputs!$A$5:$A$140=$B68)*Inputs!$B$5:$B$140*(((Inputs!$G$5:$G$140="moeda")+(Inputs!$G$5:$G$140="acoes"))*Inputs!$B$1+((Inputs!$G$5:$G$140&lt;&gt;"moeda")*(Inputs!$G$5:$G$140&lt;&gt;"acoes")))*INDEX(Inputs!$K$5:$AJ$140,0,MATCH(AF$2,Inputs!$K$4:$AJ$4,0)))+SUMPRODUCT((Inputs!$C$5:$C$140=$B68)*Inputs!$D$5:$D$140*(((Inputs!$G$5:$G$140="moeda")+(Inputs!$G$5:$G$140="acoes"))*Inputs!$B$1+((Inputs!$G$5:$G$140&lt;&gt;"moeda")*(Inputs!$G$5:$G$140&lt;&gt;"acoes")))*INDEX(Inputs!$K$5:$AJ$140,0,MATCH(AF$2,Inputs!$K$4:$AJ$4,0)))+SUMPRODUCT((Inputs!$E$5:$E$140=$B68)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8" s="263" t="e">
        <f>AF68</f>
        <v>#N/A</v>
      </c>
      <c r="AH68" s="262">
        <f>IF(ISNA(MATCH(AH$2,Inputs!$K$4:$AJ$4,0)),NA(),IF(SUMPRODUCT((Inputs!$A$5:$A$140=$B68)*ISNUMBER(INDEX(Inputs!$K$5:$AJ$140,0,MATCH(AH$2,Inputs!$K$4:$AJ$4,0))))+SUMPRODUCT((Inputs!$C$5:$C$140=$B68)*ISNUMBER(INDEX(Inputs!$K$5:$AJ$140,0,MATCH(AH$2,Inputs!$K$4:$AJ$4,0))))+SUMPRODUCT((Inputs!$E$5:$E$140=$B68)*ISNUMBER(INDEX(Inputs!$K$5:$AJ$140,0,MATCH(AH$2,Inputs!$K$4:$AJ$4,0))))=0,NA(),SUMPRODUCT((Inputs!$A$5:$A$140=$B68)*Inputs!$B$5:$B$140*(((Inputs!$G$5:$G$140="moeda")+(Inputs!$G$5:$G$140="acoes"))*Inputs!$B$1+((Inputs!$G$5:$G$140&lt;&gt;"moeda")*(Inputs!$G$5:$G$140&lt;&gt;"acoes")))*INDEX(Inputs!$K$5:$AJ$140,0,MATCH(AH$2,Inputs!$K$4:$AJ$4,0)))+SUMPRODUCT((Inputs!$C$5:$C$140=$B68)*Inputs!$D$5:$D$140*(((Inputs!$G$5:$G$140="moeda")+(Inputs!$G$5:$G$140="acoes"))*Inputs!$B$1+((Inputs!$G$5:$G$140&lt;&gt;"moeda")*(Inputs!$G$5:$G$140&lt;&gt;"acoes")))*INDEX(Inputs!$K$5:$AJ$140,0,MATCH(AH$2,Inputs!$K$4:$AJ$4,0)))+SUMPRODUCT((Inputs!$E$5:$E$140=$B68)*Inputs!$F$5:$F$140*(((Inputs!$G$5:$G$140="moeda")+(Inputs!$G$5:$G$140="acoes"))*Inputs!$B$1+((Inputs!$G$5:$G$140&lt;&gt;"moeda")*(Inputs!$G$5:$G$140&lt;&gt;"acoes")))*INDEX(Inputs!$K$5:$AJ$140,0,MATCH(AH$2,Inputs!$K$4:$AJ$4,0)))))</f>
        <v>0</v>
      </c>
      <c r="AI68" s="262">
        <f>IF(ISNA(MATCH(AI$2,Inputs!$K$4:$AJ$4,0)),NA(),IF(SUMPRODUCT((Inputs!$A$5:$A$140=$B68)*ISNUMBER(INDEX(Inputs!$K$5:$AJ$140,0,MATCH(AI$2,Inputs!$K$4:$AJ$4,0))))+SUMPRODUCT((Inputs!$C$5:$C$140=$B68)*ISNUMBER(INDEX(Inputs!$K$5:$AJ$140,0,MATCH(AI$2,Inputs!$K$4:$AJ$4,0))))+SUMPRODUCT((Inputs!$E$5:$E$140=$B68)*ISNUMBER(INDEX(Inputs!$K$5:$AJ$140,0,MATCH(AI$2,Inputs!$K$4:$AJ$4,0))))=0,NA(),SUMPRODUCT((Inputs!$A$5:$A$140=$B68)*Inputs!$B$5:$B$140*(((Inputs!$G$5:$G$140="moeda")+(Inputs!$G$5:$G$140="acoes"))*Inputs!$B$1+((Inputs!$G$5:$G$140&lt;&gt;"moeda")*(Inputs!$G$5:$G$140&lt;&gt;"acoes")))*INDEX(Inputs!$K$5:$AJ$140,0,MATCH(AI$2,Inputs!$K$4:$AJ$4,0)))+SUMPRODUCT((Inputs!$C$5:$C$140=$B68)*Inputs!$D$5:$D$140*(((Inputs!$G$5:$G$140="moeda")+(Inputs!$G$5:$G$140="acoes"))*Inputs!$B$1+((Inputs!$G$5:$G$140&lt;&gt;"moeda")*(Inputs!$G$5:$G$140&lt;&gt;"acoes")))*INDEX(Inputs!$K$5:$AJ$140,0,MATCH(AI$2,Inputs!$K$4:$AJ$4,0)))+SUMPRODUCT((Inputs!$E$5:$E$140=$B68)*Inputs!$F$5:$F$140*(((Inputs!$G$5:$G$140="moeda")+(Inputs!$G$5:$G$140="acoes"))*Inputs!$B$1+((Inputs!$G$5:$G$140&lt;&gt;"moeda")*(Inputs!$G$5:$G$140&lt;&gt;"acoes")))*INDEX(Inputs!$K$5:$AJ$140,0,MATCH(AI$2,Inputs!$K$4:$AJ$4,0)))))</f>
        <v>0</v>
      </c>
      <c r="AJ68" s="262">
        <f>IF(ISNA(MATCH(AJ$2,Inputs!$K$4:$AJ$4,0)),NA(),IF(SUMPRODUCT((Inputs!$A$5:$A$140=$B68)*ISNUMBER(INDEX(Inputs!$K$5:$AJ$140,0,MATCH(AJ$2,Inputs!$K$4:$AJ$4,0))))+SUMPRODUCT((Inputs!$C$5:$C$140=$B68)*ISNUMBER(INDEX(Inputs!$K$5:$AJ$140,0,MATCH(AJ$2,Inputs!$K$4:$AJ$4,0))))+SUMPRODUCT((Inputs!$E$5:$E$140=$B68)*ISNUMBER(INDEX(Inputs!$K$5:$AJ$140,0,MATCH(AJ$2,Inputs!$K$4:$AJ$4,0))))=0,NA(),SUMPRODUCT((Inputs!$A$5:$A$140=$B68)*Inputs!$B$5:$B$140*(((Inputs!$G$5:$G$140="moeda")+(Inputs!$G$5:$G$140="acoes"))*Inputs!$B$1+((Inputs!$G$5:$G$140&lt;&gt;"moeda")*(Inputs!$G$5:$G$140&lt;&gt;"acoes")))*INDEX(Inputs!$K$5:$AJ$140,0,MATCH(AJ$2,Inputs!$K$4:$AJ$4,0)))+SUMPRODUCT((Inputs!$C$5:$C$140=$B68)*Inputs!$D$5:$D$140*(((Inputs!$G$5:$G$140="moeda")+(Inputs!$G$5:$G$140="acoes"))*Inputs!$B$1+((Inputs!$G$5:$G$140&lt;&gt;"moeda")*(Inputs!$G$5:$G$140&lt;&gt;"acoes")))*INDEX(Inputs!$K$5:$AJ$140,0,MATCH(AJ$2,Inputs!$K$4:$AJ$4,0)))+SUMPRODUCT((Inputs!$E$5:$E$140=$B68)*Inputs!$F$5:$F$140*(((Inputs!$G$5:$G$140="moeda")+(Inputs!$G$5:$G$140="acoes"))*Inputs!$B$1+((Inputs!$G$5:$G$140&lt;&gt;"moeda")*(Inputs!$G$5:$G$140&lt;&gt;"acoes")))*INDEX(Inputs!$K$5:$AJ$140,0,MATCH(AJ$2,Inputs!$K$4:$AJ$4,0)))))</f>
        <v>0</v>
      </c>
      <c r="AK68" s="262">
        <f>IF(ISNA(MATCH(AK$2,Inputs!$K$4:$AJ$4,0)),NA(),IF(SUMPRODUCT((Inputs!$A$5:$A$140=$B68)*ISNUMBER(INDEX(Inputs!$K$5:$AJ$140,0,MATCH(AK$2,Inputs!$K$4:$AJ$4,0))))+SUMPRODUCT((Inputs!$C$5:$C$140=$B68)*ISNUMBER(INDEX(Inputs!$K$5:$AJ$140,0,MATCH(AK$2,Inputs!$K$4:$AJ$4,0))))+SUMPRODUCT((Inputs!$E$5:$E$140=$B68)*ISNUMBER(INDEX(Inputs!$K$5:$AJ$140,0,MATCH(AK$2,Inputs!$K$4:$AJ$4,0))))=0,NA(),SUMPRODUCT((Inputs!$A$5:$A$140=$B68)*Inputs!$B$5:$B$140*(((Inputs!$G$5:$G$140="moeda")+(Inputs!$G$5:$G$140="acoes"))*Inputs!$B$1+((Inputs!$G$5:$G$140&lt;&gt;"moeda")*(Inputs!$G$5:$G$140&lt;&gt;"acoes")))*INDEX(Inputs!$K$5:$AJ$140,0,MATCH(AK$2,Inputs!$K$4:$AJ$4,0)))+SUMPRODUCT((Inputs!$C$5:$C$140=$B68)*Inputs!$D$5:$D$140*(((Inputs!$G$5:$G$140="moeda")+(Inputs!$G$5:$G$140="acoes"))*Inputs!$B$1+((Inputs!$G$5:$G$140&lt;&gt;"moeda")*(Inputs!$G$5:$G$140&lt;&gt;"acoes")))*INDEX(Inputs!$K$5:$AJ$140,0,MATCH(AK$2,Inputs!$K$4:$AJ$4,0)))+SUMPRODUCT((Inputs!$E$5:$E$140=$B68)*Inputs!$F$5:$F$140*(((Inputs!$G$5:$G$140="moeda")+(Inputs!$G$5:$G$140="acoes"))*Inputs!$B$1+((Inputs!$G$5:$G$140&lt;&gt;"moeda")*(Inputs!$G$5:$G$140&lt;&gt;"acoes")))*INDEX(Inputs!$K$5:$AJ$140,0,MATCH(AK$2,Inputs!$K$4:$AJ$4,0)))))</f>
        <v>0</v>
      </c>
      <c r="AL68" s="263">
        <f>AK68</f>
        <v>0</v>
      </c>
    </row>
    <row r="69">
      <c r="B69" s="46" t="n">
        <v>61</v>
      </c>
      <c r="C69" s="29" t="inlineStr">
        <is>
          <t>SSS consolidado sem ajuste calendario (%) - releases (1T20 e 1T21 divulgados arredondados: 7% e 10%)</t>
        </is>
      </c>
      <c r="D69" s="264">
        <f>IF(ISNA(MATCH(D$2,Inputs!$K$4:$AJ$4,0)),NA(),IF(SUMPRODUCT((Inputs!$A$5:$A$140=$B69)*ISNUMBER(INDEX(Inputs!$K$5:$AJ$140,0,MATCH(D$2,Inputs!$K$4:$AJ$4,0))))+SUMPRODUCT((Inputs!$C$5:$C$140=$B69)*ISNUMBER(INDEX(Inputs!$K$5:$AJ$140,0,MATCH(D$2,Inputs!$K$4:$AJ$4,0))))+SUMPRODUCT((Inputs!$E$5:$E$140=$B69)*ISNUMBER(INDEX(Inputs!$K$5:$AJ$140,0,MATCH(D$2,Inputs!$K$4:$AJ$4,0))))=0,NA(),SUMPRODUCT((Inputs!$A$5:$A$140=$B69)*Inputs!$B$5:$B$140*(((Inputs!$G$5:$G$140="moeda")+(Inputs!$G$5:$G$140="acoes"))*Inputs!$B$1+((Inputs!$G$5:$G$140&lt;&gt;"moeda")*(Inputs!$G$5:$G$140&lt;&gt;"acoes")))*INDEX(Inputs!$K$5:$AJ$140,0,MATCH(D$2,Inputs!$K$4:$AJ$4,0)))+SUMPRODUCT((Inputs!$C$5:$C$140=$B69)*Inputs!$D$5:$D$140*(((Inputs!$G$5:$G$140="moeda")+(Inputs!$G$5:$G$140="acoes"))*Inputs!$B$1+((Inputs!$G$5:$G$140&lt;&gt;"moeda")*(Inputs!$G$5:$G$140&lt;&gt;"acoes")))*INDEX(Inputs!$K$5:$AJ$140,0,MATCH(D$2,Inputs!$K$4:$AJ$4,0)))+SUMPRODUCT((Inputs!$E$5:$E$140=$B69)*Inputs!$F$5:$F$140*(((Inputs!$G$5:$G$140="moeda")+(Inputs!$G$5:$G$140="acoes"))*Inputs!$B$1+((Inputs!$G$5:$G$140&lt;&gt;"moeda")*(Inputs!$G$5:$G$140&lt;&gt;"acoes")))*INDEX(Inputs!$K$5:$AJ$140,0,MATCH(D$2,Inputs!$K$4:$AJ$4,0)))))</f>
        <v>0.1</v>
      </c>
      <c r="E69" s="264">
        <f>IF(ISNA(MATCH(E$2,Inputs!$K$4:$AJ$4,0)),NA(),IF(SUMPRODUCT((Inputs!$A$5:$A$140=$B69)*ISNUMBER(INDEX(Inputs!$K$5:$AJ$140,0,MATCH(E$2,Inputs!$K$4:$AJ$4,0))))+SUMPRODUCT((Inputs!$C$5:$C$140=$B69)*ISNUMBER(INDEX(Inputs!$K$5:$AJ$140,0,MATCH(E$2,Inputs!$K$4:$AJ$4,0))))+SUMPRODUCT((Inputs!$E$5:$E$140=$B69)*ISNUMBER(INDEX(Inputs!$K$5:$AJ$140,0,MATCH(E$2,Inputs!$K$4:$AJ$4,0))))=0,NA(),SUMPRODUCT((Inputs!$A$5:$A$140=$B69)*Inputs!$B$5:$B$140*(((Inputs!$G$5:$G$140="moeda")+(Inputs!$G$5:$G$140="acoes"))*Inputs!$B$1+((Inputs!$G$5:$G$140&lt;&gt;"moeda")*(Inputs!$G$5:$G$140&lt;&gt;"acoes")))*INDEX(Inputs!$K$5:$AJ$140,0,MATCH(E$2,Inputs!$K$4:$AJ$4,0)))+SUMPRODUCT((Inputs!$C$5:$C$140=$B69)*Inputs!$D$5:$D$140*(((Inputs!$G$5:$G$140="moeda")+(Inputs!$G$5:$G$140="acoes"))*Inputs!$B$1+((Inputs!$G$5:$G$140&lt;&gt;"moeda")*(Inputs!$G$5:$G$140&lt;&gt;"acoes")))*INDEX(Inputs!$K$5:$AJ$140,0,MATCH(E$2,Inputs!$K$4:$AJ$4,0)))+SUMPRODUCT((Inputs!$E$5:$E$140=$B69)*Inputs!$F$5:$F$140*(((Inputs!$G$5:$G$140="moeda")+(Inputs!$G$5:$G$140="acoes"))*Inputs!$B$1+((Inputs!$G$5:$G$140&lt;&gt;"moeda")*(Inputs!$G$5:$G$140&lt;&gt;"acoes")))*INDEX(Inputs!$K$5:$AJ$140,0,MATCH(E$2,Inputs!$K$4:$AJ$4,0)))))</f>
        <v>0.018</v>
      </c>
      <c r="F69" s="264">
        <f>IF(ISNA(MATCH(F$2,Inputs!$K$4:$AJ$4,0)),NA(),IF(SUMPRODUCT((Inputs!$A$5:$A$140=$B69)*ISNUMBER(INDEX(Inputs!$K$5:$AJ$140,0,MATCH(F$2,Inputs!$K$4:$AJ$4,0))))+SUMPRODUCT((Inputs!$C$5:$C$140=$B69)*ISNUMBER(INDEX(Inputs!$K$5:$AJ$140,0,MATCH(F$2,Inputs!$K$4:$AJ$4,0))))+SUMPRODUCT((Inputs!$E$5:$E$140=$B69)*ISNUMBER(INDEX(Inputs!$K$5:$AJ$140,0,MATCH(F$2,Inputs!$K$4:$AJ$4,0))))=0,NA(),SUMPRODUCT((Inputs!$A$5:$A$140=$B69)*Inputs!$B$5:$B$140*(((Inputs!$G$5:$G$140="moeda")+(Inputs!$G$5:$G$140="acoes"))*Inputs!$B$1+((Inputs!$G$5:$G$140&lt;&gt;"moeda")*(Inputs!$G$5:$G$140&lt;&gt;"acoes")))*INDEX(Inputs!$K$5:$AJ$140,0,MATCH(F$2,Inputs!$K$4:$AJ$4,0)))+SUMPRODUCT((Inputs!$C$5:$C$140=$B69)*Inputs!$D$5:$D$140*(((Inputs!$G$5:$G$140="moeda")+(Inputs!$G$5:$G$140="acoes"))*Inputs!$B$1+((Inputs!$G$5:$G$140&lt;&gt;"moeda")*(Inputs!$G$5:$G$140&lt;&gt;"acoes")))*INDEX(Inputs!$K$5:$AJ$140,0,MATCH(F$2,Inputs!$K$4:$AJ$4,0)))+SUMPRODUCT((Inputs!$E$5:$E$140=$B69)*Inputs!$F$5:$F$140*(((Inputs!$G$5:$G$140="moeda")+(Inputs!$G$5:$G$140="acoes"))*Inputs!$B$1+((Inputs!$G$5:$G$140&lt;&gt;"moeda")*(Inputs!$G$5:$G$140&lt;&gt;"acoes")))*INDEX(Inputs!$K$5:$AJ$140,0,MATCH(F$2,Inputs!$K$4:$AJ$4,0)))))</f>
        <v>0.015</v>
      </c>
      <c r="G69" s="264">
        <f>IF(ISNA(MATCH(G$2,Inputs!$K$4:$AJ$4,0)),NA(),IF(SUMPRODUCT((Inputs!$A$5:$A$140=$B69)*ISNUMBER(INDEX(Inputs!$K$5:$AJ$140,0,MATCH(G$2,Inputs!$K$4:$AJ$4,0))))+SUMPRODUCT((Inputs!$C$5:$C$140=$B69)*ISNUMBER(INDEX(Inputs!$K$5:$AJ$140,0,MATCH(G$2,Inputs!$K$4:$AJ$4,0))))+SUMPRODUCT((Inputs!$E$5:$E$140=$B69)*ISNUMBER(INDEX(Inputs!$K$5:$AJ$140,0,MATCH(G$2,Inputs!$K$4:$AJ$4,0))))=0,NA(),SUMPRODUCT((Inputs!$A$5:$A$140=$B69)*Inputs!$B$5:$B$140*(((Inputs!$G$5:$G$140="moeda")+(Inputs!$G$5:$G$140="acoes"))*Inputs!$B$1+((Inputs!$G$5:$G$140&lt;&gt;"moeda")*(Inputs!$G$5:$G$140&lt;&gt;"acoes")))*INDEX(Inputs!$K$5:$AJ$140,0,MATCH(G$2,Inputs!$K$4:$AJ$4,0)))+SUMPRODUCT((Inputs!$C$5:$C$140=$B69)*Inputs!$D$5:$D$140*(((Inputs!$G$5:$G$140="moeda")+(Inputs!$G$5:$G$140="acoes"))*Inputs!$B$1+((Inputs!$G$5:$G$140&lt;&gt;"moeda")*(Inputs!$G$5:$G$140&lt;&gt;"acoes")))*INDEX(Inputs!$K$5:$AJ$140,0,MATCH(G$2,Inputs!$K$4:$AJ$4,0)))+SUMPRODUCT((Inputs!$E$5:$E$140=$B69)*Inputs!$F$5:$F$140*(((Inputs!$G$5:$G$140="moeda")+(Inputs!$G$5:$G$140="acoes"))*Inputs!$B$1+((Inputs!$G$5:$G$140&lt;&gt;"moeda")*(Inputs!$G$5:$G$140&lt;&gt;"acoes")))*INDEX(Inputs!$K$5:$AJ$140,0,MATCH(G$2,Inputs!$K$4:$AJ$4,0)))))</f>
        <v>0.014</v>
      </c>
      <c r="H69" s="40" t="n"/>
      <c r="I69" s="264">
        <f>IF(ISNA(MATCH(I$2,Inputs!$K$4:$AJ$4,0)),NA(),IF(SUMPRODUCT((Inputs!$A$5:$A$140=$B69)*ISNUMBER(INDEX(Inputs!$K$5:$AJ$140,0,MATCH(I$2,Inputs!$K$4:$AJ$4,0))))+SUMPRODUCT((Inputs!$C$5:$C$140=$B69)*ISNUMBER(INDEX(Inputs!$K$5:$AJ$140,0,MATCH(I$2,Inputs!$K$4:$AJ$4,0))))+SUMPRODUCT((Inputs!$E$5:$E$140=$B69)*ISNUMBER(INDEX(Inputs!$K$5:$AJ$140,0,MATCH(I$2,Inputs!$K$4:$AJ$4,0))))=0,NA(),SUMPRODUCT((Inputs!$A$5:$A$140=$B69)*Inputs!$B$5:$B$140*(((Inputs!$G$5:$G$140="moeda")+(Inputs!$G$5:$G$140="acoes"))*Inputs!$B$1+((Inputs!$G$5:$G$140&lt;&gt;"moeda")*(Inputs!$G$5:$G$140&lt;&gt;"acoes")))*INDEX(Inputs!$K$5:$AJ$140,0,MATCH(I$2,Inputs!$K$4:$AJ$4,0)))+SUMPRODUCT((Inputs!$C$5:$C$140=$B69)*Inputs!$D$5:$D$140*(((Inputs!$G$5:$G$140="moeda")+(Inputs!$G$5:$G$140="acoes"))*Inputs!$B$1+((Inputs!$G$5:$G$140&lt;&gt;"moeda")*(Inputs!$G$5:$G$140&lt;&gt;"acoes")))*INDEX(Inputs!$K$5:$AJ$140,0,MATCH(I$2,Inputs!$K$4:$AJ$4,0)))+SUMPRODUCT((Inputs!$E$5:$E$140=$B69)*Inputs!$F$5:$F$140*(((Inputs!$G$5:$G$140="moeda")+(Inputs!$G$5:$G$140="acoes"))*Inputs!$B$1+((Inputs!$G$5:$G$140&lt;&gt;"moeda")*(Inputs!$G$5:$G$140&lt;&gt;"acoes")))*INDEX(Inputs!$K$5:$AJ$140,0,MATCH(I$2,Inputs!$K$4:$AJ$4,0)))))</f>
        <v>0.127</v>
      </c>
      <c r="J69" s="264">
        <f>IF(ISNA(MATCH(J$2,Inputs!$K$4:$AJ$4,0)),NA(),IF(SUMPRODUCT((Inputs!$A$5:$A$140=$B69)*ISNUMBER(INDEX(Inputs!$K$5:$AJ$140,0,MATCH(J$2,Inputs!$K$4:$AJ$4,0))))+SUMPRODUCT((Inputs!$C$5:$C$140=$B69)*ISNUMBER(INDEX(Inputs!$K$5:$AJ$140,0,MATCH(J$2,Inputs!$K$4:$AJ$4,0))))+SUMPRODUCT((Inputs!$E$5:$E$140=$B69)*ISNUMBER(INDEX(Inputs!$K$5:$AJ$140,0,MATCH(J$2,Inputs!$K$4:$AJ$4,0))))=0,NA(),SUMPRODUCT((Inputs!$A$5:$A$140=$B69)*Inputs!$B$5:$B$140*(((Inputs!$G$5:$G$140="moeda")+(Inputs!$G$5:$G$140="acoes"))*Inputs!$B$1+((Inputs!$G$5:$G$140&lt;&gt;"moeda")*(Inputs!$G$5:$G$140&lt;&gt;"acoes")))*INDEX(Inputs!$K$5:$AJ$140,0,MATCH(J$2,Inputs!$K$4:$AJ$4,0)))+SUMPRODUCT((Inputs!$C$5:$C$140=$B69)*Inputs!$D$5:$D$140*(((Inputs!$G$5:$G$140="moeda")+(Inputs!$G$5:$G$140="acoes"))*Inputs!$B$1+((Inputs!$G$5:$G$140&lt;&gt;"moeda")*(Inputs!$G$5:$G$140&lt;&gt;"acoes")))*INDEX(Inputs!$K$5:$AJ$140,0,MATCH(J$2,Inputs!$K$4:$AJ$4,0)))+SUMPRODUCT((Inputs!$E$5:$E$140=$B69)*Inputs!$F$5:$F$140*(((Inputs!$G$5:$G$140="moeda")+(Inputs!$G$5:$G$140="acoes"))*Inputs!$B$1+((Inputs!$G$5:$G$140&lt;&gt;"moeda")*(Inputs!$G$5:$G$140&lt;&gt;"acoes")))*INDEX(Inputs!$K$5:$AJ$140,0,MATCH(J$2,Inputs!$K$4:$AJ$4,0)))))</f>
        <v>0.167</v>
      </c>
      <c r="K69" s="264">
        <f>IF(ISNA(MATCH(K$2,Inputs!$K$4:$AJ$4,0)),NA(),IF(SUMPRODUCT((Inputs!$A$5:$A$140=$B69)*ISNUMBER(INDEX(Inputs!$K$5:$AJ$140,0,MATCH(K$2,Inputs!$K$4:$AJ$4,0))))+SUMPRODUCT((Inputs!$C$5:$C$140=$B69)*ISNUMBER(INDEX(Inputs!$K$5:$AJ$140,0,MATCH(K$2,Inputs!$K$4:$AJ$4,0))))+SUMPRODUCT((Inputs!$E$5:$E$140=$B69)*ISNUMBER(INDEX(Inputs!$K$5:$AJ$140,0,MATCH(K$2,Inputs!$K$4:$AJ$4,0))))=0,NA(),SUMPRODUCT((Inputs!$A$5:$A$140=$B69)*Inputs!$B$5:$B$140*(((Inputs!$G$5:$G$140="moeda")+(Inputs!$G$5:$G$140="acoes"))*Inputs!$B$1+((Inputs!$G$5:$G$140&lt;&gt;"moeda")*(Inputs!$G$5:$G$140&lt;&gt;"acoes")))*INDEX(Inputs!$K$5:$AJ$140,0,MATCH(K$2,Inputs!$K$4:$AJ$4,0)))+SUMPRODUCT((Inputs!$C$5:$C$140=$B69)*Inputs!$D$5:$D$140*(((Inputs!$G$5:$G$140="moeda")+(Inputs!$G$5:$G$140="acoes"))*Inputs!$B$1+((Inputs!$G$5:$G$140&lt;&gt;"moeda")*(Inputs!$G$5:$G$140&lt;&gt;"acoes")))*INDEX(Inputs!$K$5:$AJ$140,0,MATCH(K$2,Inputs!$K$4:$AJ$4,0)))+SUMPRODUCT((Inputs!$E$5:$E$140=$B69)*Inputs!$F$5:$F$140*(((Inputs!$G$5:$G$140="moeda")+(Inputs!$G$5:$G$140="acoes"))*Inputs!$B$1+((Inputs!$G$5:$G$140&lt;&gt;"moeda")*(Inputs!$G$5:$G$140&lt;&gt;"acoes")))*INDEX(Inputs!$K$5:$AJ$140,0,MATCH(K$2,Inputs!$K$4:$AJ$4,0)))))</f>
        <v>0.117</v>
      </c>
      <c r="L69" s="264">
        <f>IF(ISNA(MATCH(L$2,Inputs!$K$4:$AJ$4,0)),NA(),IF(SUMPRODUCT((Inputs!$A$5:$A$140=$B69)*ISNUMBER(INDEX(Inputs!$K$5:$AJ$140,0,MATCH(L$2,Inputs!$K$4:$AJ$4,0))))+SUMPRODUCT((Inputs!$C$5:$C$140=$B69)*ISNUMBER(INDEX(Inputs!$K$5:$AJ$140,0,MATCH(L$2,Inputs!$K$4:$AJ$4,0))))+SUMPRODUCT((Inputs!$E$5:$E$140=$B69)*ISNUMBER(INDEX(Inputs!$K$5:$AJ$140,0,MATCH(L$2,Inputs!$K$4:$AJ$4,0))))=0,NA(),SUMPRODUCT((Inputs!$A$5:$A$140=$B69)*Inputs!$B$5:$B$140*(((Inputs!$G$5:$G$140="moeda")+(Inputs!$G$5:$G$140="acoes"))*Inputs!$B$1+((Inputs!$G$5:$G$140&lt;&gt;"moeda")*(Inputs!$G$5:$G$140&lt;&gt;"acoes")))*INDEX(Inputs!$K$5:$AJ$140,0,MATCH(L$2,Inputs!$K$4:$AJ$4,0)))+SUMPRODUCT((Inputs!$C$5:$C$140=$B69)*Inputs!$D$5:$D$140*(((Inputs!$G$5:$G$140="moeda")+(Inputs!$G$5:$G$140="acoes"))*Inputs!$B$1+((Inputs!$G$5:$G$140&lt;&gt;"moeda")*(Inputs!$G$5:$G$140&lt;&gt;"acoes")))*INDEX(Inputs!$K$5:$AJ$140,0,MATCH(L$2,Inputs!$K$4:$AJ$4,0)))+SUMPRODUCT((Inputs!$E$5:$E$140=$B69)*Inputs!$F$5:$F$140*(((Inputs!$G$5:$G$140="moeda")+(Inputs!$G$5:$G$140="acoes"))*Inputs!$B$1+((Inputs!$G$5:$G$140&lt;&gt;"moeda")*(Inputs!$G$5:$G$140&lt;&gt;"acoes")))*INDEX(Inputs!$K$5:$AJ$140,0,MATCH(L$2,Inputs!$K$4:$AJ$4,0)))))</f>
        <v>0.117</v>
      </c>
      <c r="M69" s="40" t="n"/>
      <c r="N69" s="264">
        <f>IF(ISNA(MATCH(N$2,Inputs!$K$4:$AJ$4,0)),NA(),IF(SUMPRODUCT((Inputs!$A$5:$A$140=$B69)*ISNUMBER(INDEX(Inputs!$K$5:$AJ$140,0,MATCH(N$2,Inputs!$K$4:$AJ$4,0))))+SUMPRODUCT((Inputs!$C$5:$C$140=$B69)*ISNUMBER(INDEX(Inputs!$K$5:$AJ$140,0,MATCH(N$2,Inputs!$K$4:$AJ$4,0))))+SUMPRODUCT((Inputs!$E$5:$E$140=$B69)*ISNUMBER(INDEX(Inputs!$K$5:$AJ$140,0,MATCH(N$2,Inputs!$K$4:$AJ$4,0))))=0,NA(),SUMPRODUCT((Inputs!$A$5:$A$140=$B69)*Inputs!$B$5:$B$140*(((Inputs!$G$5:$G$140="moeda")+(Inputs!$G$5:$G$140="acoes"))*Inputs!$B$1+((Inputs!$G$5:$G$140&lt;&gt;"moeda")*(Inputs!$G$5:$G$140&lt;&gt;"acoes")))*INDEX(Inputs!$K$5:$AJ$140,0,MATCH(N$2,Inputs!$K$4:$AJ$4,0)))+SUMPRODUCT((Inputs!$C$5:$C$140=$B69)*Inputs!$D$5:$D$140*(((Inputs!$G$5:$G$140="moeda")+(Inputs!$G$5:$G$140="acoes"))*Inputs!$B$1+((Inputs!$G$5:$G$140&lt;&gt;"moeda")*(Inputs!$G$5:$G$140&lt;&gt;"acoes")))*INDEX(Inputs!$K$5:$AJ$140,0,MATCH(N$2,Inputs!$K$4:$AJ$4,0)))+SUMPRODUCT((Inputs!$E$5:$E$140=$B69)*Inputs!$F$5:$F$140*(((Inputs!$G$5:$G$140="moeda")+(Inputs!$G$5:$G$140="acoes"))*Inputs!$B$1+((Inputs!$G$5:$G$140&lt;&gt;"moeda")*(Inputs!$G$5:$G$140&lt;&gt;"acoes")))*INDEX(Inputs!$K$5:$AJ$140,0,MATCH(N$2,Inputs!$K$4:$AJ$4,0)))))</f>
        <v>0.113</v>
      </c>
      <c r="O69" s="264">
        <f>IF(ISNA(MATCH(O$2,Inputs!$K$4:$AJ$4,0)),NA(),IF(SUMPRODUCT((Inputs!$A$5:$A$140=$B69)*ISNUMBER(INDEX(Inputs!$K$5:$AJ$140,0,MATCH(O$2,Inputs!$K$4:$AJ$4,0))))+SUMPRODUCT((Inputs!$C$5:$C$140=$B69)*ISNUMBER(INDEX(Inputs!$K$5:$AJ$140,0,MATCH(O$2,Inputs!$K$4:$AJ$4,0))))+SUMPRODUCT((Inputs!$E$5:$E$140=$B69)*ISNUMBER(INDEX(Inputs!$K$5:$AJ$140,0,MATCH(O$2,Inputs!$K$4:$AJ$4,0))))=0,NA(),SUMPRODUCT((Inputs!$A$5:$A$140=$B69)*Inputs!$B$5:$B$140*(((Inputs!$G$5:$G$140="moeda")+(Inputs!$G$5:$G$140="acoes"))*Inputs!$B$1+((Inputs!$G$5:$G$140&lt;&gt;"moeda")*(Inputs!$G$5:$G$140&lt;&gt;"acoes")))*INDEX(Inputs!$K$5:$AJ$140,0,MATCH(O$2,Inputs!$K$4:$AJ$4,0)))+SUMPRODUCT((Inputs!$C$5:$C$140=$B69)*Inputs!$D$5:$D$140*(((Inputs!$G$5:$G$140="moeda")+(Inputs!$G$5:$G$140="acoes"))*Inputs!$B$1+((Inputs!$G$5:$G$140&lt;&gt;"moeda")*(Inputs!$G$5:$G$140&lt;&gt;"acoes")))*INDEX(Inputs!$K$5:$AJ$140,0,MATCH(O$2,Inputs!$K$4:$AJ$4,0)))+SUMPRODUCT((Inputs!$E$5:$E$140=$B69)*Inputs!$F$5:$F$140*(((Inputs!$G$5:$G$140="moeda")+(Inputs!$G$5:$G$140="acoes"))*Inputs!$B$1+((Inputs!$G$5:$G$140&lt;&gt;"moeda")*(Inputs!$G$5:$G$140&lt;&gt;"acoes")))*INDEX(Inputs!$K$5:$AJ$140,0,MATCH(O$2,Inputs!$K$4:$AJ$4,0)))))</f>
        <v>0.104</v>
      </c>
      <c r="P69" s="264">
        <f>IF(ISNA(MATCH(P$2,Inputs!$K$4:$AJ$4,0)),NA(),IF(SUMPRODUCT((Inputs!$A$5:$A$140=$B69)*ISNUMBER(INDEX(Inputs!$K$5:$AJ$140,0,MATCH(P$2,Inputs!$K$4:$AJ$4,0))))+SUMPRODUCT((Inputs!$C$5:$C$140=$B69)*ISNUMBER(INDEX(Inputs!$K$5:$AJ$140,0,MATCH(P$2,Inputs!$K$4:$AJ$4,0))))+SUMPRODUCT((Inputs!$E$5:$E$140=$B69)*ISNUMBER(INDEX(Inputs!$K$5:$AJ$140,0,MATCH(P$2,Inputs!$K$4:$AJ$4,0))))=0,NA(),SUMPRODUCT((Inputs!$A$5:$A$140=$B69)*Inputs!$B$5:$B$140*(((Inputs!$G$5:$G$140="moeda")+(Inputs!$G$5:$G$140="acoes"))*Inputs!$B$1+((Inputs!$G$5:$G$140&lt;&gt;"moeda")*(Inputs!$G$5:$G$140&lt;&gt;"acoes")))*INDEX(Inputs!$K$5:$AJ$140,0,MATCH(P$2,Inputs!$K$4:$AJ$4,0)))+SUMPRODUCT((Inputs!$C$5:$C$140=$B69)*Inputs!$D$5:$D$140*(((Inputs!$G$5:$G$140="moeda")+(Inputs!$G$5:$G$140="acoes"))*Inputs!$B$1+((Inputs!$G$5:$G$140&lt;&gt;"moeda")*(Inputs!$G$5:$G$140&lt;&gt;"acoes")))*INDEX(Inputs!$K$5:$AJ$140,0,MATCH(P$2,Inputs!$K$4:$AJ$4,0)))+SUMPRODUCT((Inputs!$E$5:$E$140=$B69)*Inputs!$F$5:$F$140*(((Inputs!$G$5:$G$140="moeda")+(Inputs!$G$5:$G$140="acoes"))*Inputs!$B$1+((Inputs!$G$5:$G$140&lt;&gt;"moeda")*(Inputs!$G$5:$G$140&lt;&gt;"acoes")))*INDEX(Inputs!$K$5:$AJ$140,0,MATCH(P$2,Inputs!$K$4:$AJ$4,0)))))</f>
        <v>0.043</v>
      </c>
      <c r="Q69" s="264">
        <f>IF(ISNA(MATCH(Q$2,Inputs!$K$4:$AJ$4,0)),NA(),IF(SUMPRODUCT((Inputs!$A$5:$A$140=$B69)*ISNUMBER(INDEX(Inputs!$K$5:$AJ$140,0,MATCH(Q$2,Inputs!$K$4:$AJ$4,0))))+SUMPRODUCT((Inputs!$C$5:$C$140=$B69)*ISNUMBER(INDEX(Inputs!$K$5:$AJ$140,0,MATCH(Q$2,Inputs!$K$4:$AJ$4,0))))+SUMPRODUCT((Inputs!$E$5:$E$140=$B69)*ISNUMBER(INDEX(Inputs!$K$5:$AJ$140,0,MATCH(Q$2,Inputs!$K$4:$AJ$4,0))))=0,NA(),SUMPRODUCT((Inputs!$A$5:$A$140=$B69)*Inputs!$B$5:$B$140*(((Inputs!$G$5:$G$140="moeda")+(Inputs!$G$5:$G$140="acoes"))*Inputs!$B$1+((Inputs!$G$5:$G$140&lt;&gt;"moeda")*(Inputs!$G$5:$G$140&lt;&gt;"acoes")))*INDEX(Inputs!$K$5:$AJ$140,0,MATCH(Q$2,Inputs!$K$4:$AJ$4,0)))+SUMPRODUCT((Inputs!$C$5:$C$140=$B69)*Inputs!$D$5:$D$140*(((Inputs!$G$5:$G$140="moeda")+(Inputs!$G$5:$G$140="acoes"))*Inputs!$B$1+((Inputs!$G$5:$G$140&lt;&gt;"moeda")*(Inputs!$G$5:$G$140&lt;&gt;"acoes")))*INDEX(Inputs!$K$5:$AJ$140,0,MATCH(Q$2,Inputs!$K$4:$AJ$4,0)))+SUMPRODUCT((Inputs!$E$5:$E$140=$B69)*Inputs!$F$5:$F$140*(((Inputs!$G$5:$G$140="moeda")+(Inputs!$G$5:$G$140="acoes"))*Inputs!$B$1+((Inputs!$G$5:$G$140&lt;&gt;"moeda")*(Inputs!$G$5:$G$140&lt;&gt;"acoes")))*INDEX(Inputs!$K$5:$AJ$140,0,MATCH(Q$2,Inputs!$K$4:$AJ$4,0)))))</f>
        <v>0.088</v>
      </c>
      <c r="R69" s="40" t="n"/>
      <c r="S69" s="264">
        <f>IF(ISNA(MATCH(S$2,Inputs!$K$4:$AJ$4,0)),NA(),IF(SUMPRODUCT((Inputs!$A$5:$A$140=$B69)*ISNUMBER(INDEX(Inputs!$K$5:$AJ$140,0,MATCH(S$2,Inputs!$K$4:$AJ$4,0))))+SUMPRODUCT((Inputs!$C$5:$C$140=$B69)*ISNUMBER(INDEX(Inputs!$K$5:$AJ$140,0,MATCH(S$2,Inputs!$K$4:$AJ$4,0))))+SUMPRODUCT((Inputs!$E$5:$E$140=$B69)*ISNUMBER(INDEX(Inputs!$K$5:$AJ$140,0,MATCH(S$2,Inputs!$K$4:$AJ$4,0))))=0,NA(),SUMPRODUCT((Inputs!$A$5:$A$140=$B69)*Inputs!$B$5:$B$140*(((Inputs!$G$5:$G$140="moeda")+(Inputs!$G$5:$G$140="acoes"))*Inputs!$B$1+((Inputs!$G$5:$G$140&lt;&gt;"moeda")*(Inputs!$G$5:$G$140&lt;&gt;"acoes")))*INDEX(Inputs!$K$5:$AJ$140,0,MATCH(S$2,Inputs!$K$4:$AJ$4,0)))+SUMPRODUCT((Inputs!$C$5:$C$140=$B69)*Inputs!$D$5:$D$140*(((Inputs!$G$5:$G$140="moeda")+(Inputs!$G$5:$G$140="acoes"))*Inputs!$B$1+((Inputs!$G$5:$G$140&lt;&gt;"moeda")*(Inputs!$G$5:$G$140&lt;&gt;"acoes")))*INDEX(Inputs!$K$5:$AJ$140,0,MATCH(S$2,Inputs!$K$4:$AJ$4,0)))+SUMPRODUCT((Inputs!$E$5:$E$140=$B69)*Inputs!$F$5:$F$140*(((Inputs!$G$5:$G$140="moeda")+(Inputs!$G$5:$G$140="acoes"))*Inputs!$B$1+((Inputs!$G$5:$G$140&lt;&gt;"moeda")*(Inputs!$G$5:$G$140&lt;&gt;"acoes")))*INDEX(Inputs!$K$5:$AJ$140,0,MATCH(S$2,Inputs!$K$4:$AJ$4,0)))))</f>
        <v>0.096</v>
      </c>
      <c r="T69" s="264">
        <f>IF(ISNA(MATCH(T$2,Inputs!$K$4:$AJ$4,0)),NA(),IF(SUMPRODUCT((Inputs!$A$5:$A$140=$B69)*ISNUMBER(INDEX(Inputs!$K$5:$AJ$140,0,MATCH(T$2,Inputs!$K$4:$AJ$4,0))))+SUMPRODUCT((Inputs!$C$5:$C$140=$B69)*ISNUMBER(INDEX(Inputs!$K$5:$AJ$140,0,MATCH(T$2,Inputs!$K$4:$AJ$4,0))))+SUMPRODUCT((Inputs!$E$5:$E$140=$B69)*ISNUMBER(INDEX(Inputs!$K$5:$AJ$140,0,MATCH(T$2,Inputs!$K$4:$AJ$4,0))))=0,NA(),SUMPRODUCT((Inputs!$A$5:$A$140=$B69)*Inputs!$B$5:$B$140*(((Inputs!$G$5:$G$140="moeda")+(Inputs!$G$5:$G$140="acoes"))*Inputs!$B$1+((Inputs!$G$5:$G$140&lt;&gt;"moeda")*(Inputs!$G$5:$G$140&lt;&gt;"acoes")))*INDEX(Inputs!$K$5:$AJ$140,0,MATCH(T$2,Inputs!$K$4:$AJ$4,0)))+SUMPRODUCT((Inputs!$C$5:$C$140=$B69)*Inputs!$D$5:$D$140*(((Inputs!$G$5:$G$140="moeda")+(Inputs!$G$5:$G$140="acoes"))*Inputs!$B$1+((Inputs!$G$5:$G$140&lt;&gt;"moeda")*(Inputs!$G$5:$G$140&lt;&gt;"acoes")))*INDEX(Inputs!$K$5:$AJ$140,0,MATCH(T$2,Inputs!$K$4:$AJ$4,0)))+SUMPRODUCT((Inputs!$E$5:$E$140=$B69)*Inputs!$F$5:$F$140*(((Inputs!$G$5:$G$140="moeda")+(Inputs!$G$5:$G$140="acoes"))*Inputs!$B$1+((Inputs!$G$5:$G$140&lt;&gt;"moeda")*(Inputs!$G$5:$G$140&lt;&gt;"acoes")))*INDEX(Inputs!$K$5:$AJ$140,0,MATCH(T$2,Inputs!$K$4:$AJ$4,0)))))</f>
        <v>0.048</v>
      </c>
      <c r="U69" s="264">
        <f>IF(ISNA(MATCH(U$2,Inputs!$K$4:$AJ$4,0)),NA(),IF(SUMPRODUCT((Inputs!$A$5:$A$140=$B69)*ISNUMBER(INDEX(Inputs!$K$5:$AJ$140,0,MATCH(U$2,Inputs!$K$4:$AJ$4,0))))+SUMPRODUCT((Inputs!$C$5:$C$140=$B69)*ISNUMBER(INDEX(Inputs!$K$5:$AJ$140,0,MATCH(U$2,Inputs!$K$4:$AJ$4,0))))+SUMPRODUCT((Inputs!$E$5:$E$140=$B69)*ISNUMBER(INDEX(Inputs!$K$5:$AJ$140,0,MATCH(U$2,Inputs!$K$4:$AJ$4,0))))=0,NA(),SUMPRODUCT((Inputs!$A$5:$A$140=$B69)*Inputs!$B$5:$B$140*(((Inputs!$G$5:$G$140="moeda")+(Inputs!$G$5:$G$140="acoes"))*Inputs!$B$1+((Inputs!$G$5:$G$140&lt;&gt;"moeda")*(Inputs!$G$5:$G$140&lt;&gt;"acoes")))*INDEX(Inputs!$K$5:$AJ$140,0,MATCH(U$2,Inputs!$K$4:$AJ$4,0)))+SUMPRODUCT((Inputs!$C$5:$C$140=$B69)*Inputs!$D$5:$D$140*(((Inputs!$G$5:$G$140="moeda")+(Inputs!$G$5:$G$140="acoes"))*Inputs!$B$1+((Inputs!$G$5:$G$140&lt;&gt;"moeda")*(Inputs!$G$5:$G$140&lt;&gt;"acoes")))*INDEX(Inputs!$K$5:$AJ$140,0,MATCH(U$2,Inputs!$K$4:$AJ$4,0)))+SUMPRODUCT((Inputs!$E$5:$E$140=$B69)*Inputs!$F$5:$F$140*(((Inputs!$G$5:$G$140="moeda")+(Inputs!$G$5:$G$140="acoes"))*Inputs!$B$1+((Inputs!$G$5:$G$140&lt;&gt;"moeda")*(Inputs!$G$5:$G$140&lt;&gt;"acoes")))*INDEX(Inputs!$K$5:$AJ$140,0,MATCH(U$2,Inputs!$K$4:$AJ$4,0)))))</f>
        <v>0.077</v>
      </c>
      <c r="V69" s="264">
        <f>IF(ISNA(MATCH(V$2,Inputs!$K$4:$AJ$4,0)),NA(),IF(SUMPRODUCT((Inputs!$A$5:$A$140=$B69)*ISNUMBER(INDEX(Inputs!$K$5:$AJ$140,0,MATCH(V$2,Inputs!$K$4:$AJ$4,0))))+SUMPRODUCT((Inputs!$C$5:$C$140=$B69)*ISNUMBER(INDEX(Inputs!$K$5:$AJ$140,0,MATCH(V$2,Inputs!$K$4:$AJ$4,0))))+SUMPRODUCT((Inputs!$E$5:$E$140=$B69)*ISNUMBER(INDEX(Inputs!$K$5:$AJ$140,0,MATCH(V$2,Inputs!$K$4:$AJ$4,0))))=0,NA(),SUMPRODUCT((Inputs!$A$5:$A$140=$B69)*Inputs!$B$5:$B$140*(((Inputs!$G$5:$G$140="moeda")+(Inputs!$G$5:$G$140="acoes"))*Inputs!$B$1+((Inputs!$G$5:$G$140&lt;&gt;"moeda")*(Inputs!$G$5:$G$140&lt;&gt;"acoes")))*INDEX(Inputs!$K$5:$AJ$140,0,MATCH(V$2,Inputs!$K$4:$AJ$4,0)))+SUMPRODUCT((Inputs!$C$5:$C$140=$B69)*Inputs!$D$5:$D$140*(((Inputs!$G$5:$G$140="moeda")+(Inputs!$G$5:$G$140="acoes"))*Inputs!$B$1+((Inputs!$G$5:$G$140&lt;&gt;"moeda")*(Inputs!$G$5:$G$140&lt;&gt;"acoes")))*INDEX(Inputs!$K$5:$AJ$140,0,MATCH(V$2,Inputs!$K$4:$AJ$4,0)))+SUMPRODUCT((Inputs!$E$5:$E$140=$B69)*Inputs!$F$5:$F$140*(((Inputs!$G$5:$G$140="moeda")+(Inputs!$G$5:$G$140="acoes"))*Inputs!$B$1+((Inputs!$G$5:$G$140&lt;&gt;"moeda")*(Inputs!$G$5:$G$140&lt;&gt;"acoes")))*INDEX(Inputs!$K$5:$AJ$140,0,MATCH(V$2,Inputs!$K$4:$AJ$4,0)))))</f>
        <v>0.059</v>
      </c>
      <c r="W69" s="40" t="n"/>
      <c r="X69" s="264">
        <f>IF(ISNA(MATCH(X$2,Inputs!$K$4:$AJ$4,0)),NA(),IF(SUMPRODUCT((Inputs!$A$5:$A$140=$B69)*ISNUMBER(INDEX(Inputs!$K$5:$AJ$140,0,MATCH(X$2,Inputs!$K$4:$AJ$4,0))))+SUMPRODUCT((Inputs!$C$5:$C$140=$B69)*ISNUMBER(INDEX(Inputs!$K$5:$AJ$140,0,MATCH(X$2,Inputs!$K$4:$AJ$4,0))))+SUMPRODUCT((Inputs!$E$5:$E$140=$B69)*ISNUMBER(INDEX(Inputs!$K$5:$AJ$140,0,MATCH(X$2,Inputs!$K$4:$AJ$4,0))))=0,NA(),SUMPRODUCT((Inputs!$A$5:$A$140=$B69)*Inputs!$B$5:$B$140*(((Inputs!$G$5:$G$140="moeda")+(Inputs!$G$5:$G$140="acoes"))*Inputs!$B$1+((Inputs!$G$5:$G$140&lt;&gt;"moeda")*(Inputs!$G$5:$G$140&lt;&gt;"acoes")))*INDEX(Inputs!$K$5:$AJ$140,0,MATCH(X$2,Inputs!$K$4:$AJ$4,0)))+SUMPRODUCT((Inputs!$C$5:$C$140=$B69)*Inputs!$D$5:$D$140*(((Inputs!$G$5:$G$140="moeda")+(Inputs!$G$5:$G$140="acoes"))*Inputs!$B$1+((Inputs!$G$5:$G$140&lt;&gt;"moeda")*(Inputs!$G$5:$G$140&lt;&gt;"acoes")))*INDEX(Inputs!$K$5:$AJ$140,0,MATCH(X$2,Inputs!$K$4:$AJ$4,0)))+SUMPRODUCT((Inputs!$E$5:$E$140=$B69)*Inputs!$F$5:$F$140*(((Inputs!$G$5:$G$140="moeda")+(Inputs!$G$5:$G$140="acoes"))*Inputs!$B$1+((Inputs!$G$5:$G$140&lt;&gt;"moeda")*(Inputs!$G$5:$G$140&lt;&gt;"acoes")))*INDEX(Inputs!$K$5:$AJ$140,0,MATCH(X$2,Inputs!$K$4:$AJ$4,0)))))</f>
        <v>0.052</v>
      </c>
      <c r="Y69" s="264">
        <f>IF(ISNA(MATCH(Y$2,Inputs!$K$4:$AJ$4,0)),NA(),IF(SUMPRODUCT((Inputs!$A$5:$A$140=$B69)*ISNUMBER(INDEX(Inputs!$K$5:$AJ$140,0,MATCH(Y$2,Inputs!$K$4:$AJ$4,0))))+SUMPRODUCT((Inputs!$C$5:$C$140=$B69)*ISNUMBER(INDEX(Inputs!$K$5:$AJ$140,0,MATCH(Y$2,Inputs!$K$4:$AJ$4,0))))+SUMPRODUCT((Inputs!$E$5:$E$140=$B69)*ISNUMBER(INDEX(Inputs!$K$5:$AJ$140,0,MATCH(Y$2,Inputs!$K$4:$AJ$4,0))))=0,NA(),SUMPRODUCT((Inputs!$A$5:$A$140=$B69)*Inputs!$B$5:$B$140*(((Inputs!$G$5:$G$140="moeda")+(Inputs!$G$5:$G$140="acoes"))*Inputs!$B$1+((Inputs!$G$5:$G$140&lt;&gt;"moeda")*(Inputs!$G$5:$G$140&lt;&gt;"acoes")))*INDEX(Inputs!$K$5:$AJ$140,0,MATCH(Y$2,Inputs!$K$4:$AJ$4,0)))+SUMPRODUCT((Inputs!$C$5:$C$140=$B69)*Inputs!$D$5:$D$140*(((Inputs!$G$5:$G$140="moeda")+(Inputs!$G$5:$G$140="acoes"))*Inputs!$B$1+((Inputs!$G$5:$G$140&lt;&gt;"moeda")*(Inputs!$G$5:$G$140&lt;&gt;"acoes")))*INDEX(Inputs!$K$5:$AJ$140,0,MATCH(Y$2,Inputs!$K$4:$AJ$4,0)))+SUMPRODUCT((Inputs!$E$5:$E$140=$B69)*Inputs!$F$5:$F$140*(((Inputs!$G$5:$G$140="moeda")+(Inputs!$G$5:$G$140="acoes"))*Inputs!$B$1+((Inputs!$G$5:$G$140&lt;&gt;"moeda")*(Inputs!$G$5:$G$140&lt;&gt;"acoes")))*INDEX(Inputs!$K$5:$AJ$140,0,MATCH(Y$2,Inputs!$K$4:$AJ$4,0)))))</f>
        <v>0.061</v>
      </c>
      <c r="Z69" s="264">
        <f>IF(ISNA(MATCH(Z$2,Inputs!$K$4:$AJ$4,0)),NA(),IF(SUMPRODUCT((Inputs!$A$5:$A$140=$B69)*ISNUMBER(INDEX(Inputs!$K$5:$AJ$140,0,MATCH(Z$2,Inputs!$K$4:$AJ$4,0))))+SUMPRODUCT((Inputs!$C$5:$C$140=$B69)*ISNUMBER(INDEX(Inputs!$K$5:$AJ$140,0,MATCH(Z$2,Inputs!$K$4:$AJ$4,0))))+SUMPRODUCT((Inputs!$E$5:$E$140=$B69)*ISNUMBER(INDEX(Inputs!$K$5:$AJ$140,0,MATCH(Z$2,Inputs!$K$4:$AJ$4,0))))=0,NA(),SUMPRODUCT((Inputs!$A$5:$A$140=$B69)*Inputs!$B$5:$B$140*(((Inputs!$G$5:$G$140="moeda")+(Inputs!$G$5:$G$140="acoes"))*Inputs!$B$1+((Inputs!$G$5:$G$140&lt;&gt;"moeda")*(Inputs!$G$5:$G$140&lt;&gt;"acoes")))*INDEX(Inputs!$K$5:$AJ$140,0,MATCH(Z$2,Inputs!$K$4:$AJ$4,0)))+SUMPRODUCT((Inputs!$C$5:$C$140=$B69)*Inputs!$D$5:$D$140*(((Inputs!$G$5:$G$140="moeda")+(Inputs!$G$5:$G$140="acoes"))*Inputs!$B$1+((Inputs!$G$5:$G$140&lt;&gt;"moeda")*(Inputs!$G$5:$G$140&lt;&gt;"acoes")))*INDEX(Inputs!$K$5:$AJ$140,0,MATCH(Z$2,Inputs!$K$4:$AJ$4,0)))+SUMPRODUCT((Inputs!$E$5:$E$140=$B69)*Inputs!$F$5:$F$140*(((Inputs!$G$5:$G$140="moeda")+(Inputs!$G$5:$G$140="acoes"))*Inputs!$B$1+((Inputs!$G$5:$G$140&lt;&gt;"moeda")*(Inputs!$G$5:$G$140&lt;&gt;"acoes")))*INDEX(Inputs!$K$5:$AJ$140,0,MATCH(Z$2,Inputs!$K$4:$AJ$4,0)))))</f>
        <v>0.028</v>
      </c>
      <c r="AA69" s="264">
        <f>IF(ISNA(MATCH(AA$2,Inputs!$K$4:$AJ$4,0)),NA(),IF(SUMPRODUCT((Inputs!$A$5:$A$140=$B69)*ISNUMBER(INDEX(Inputs!$K$5:$AJ$140,0,MATCH(AA$2,Inputs!$K$4:$AJ$4,0))))+SUMPRODUCT((Inputs!$C$5:$C$140=$B69)*ISNUMBER(INDEX(Inputs!$K$5:$AJ$140,0,MATCH(AA$2,Inputs!$K$4:$AJ$4,0))))+SUMPRODUCT((Inputs!$E$5:$E$140=$B69)*ISNUMBER(INDEX(Inputs!$K$5:$AJ$140,0,MATCH(AA$2,Inputs!$K$4:$AJ$4,0))))=0,NA(),SUMPRODUCT((Inputs!$A$5:$A$140=$B69)*Inputs!$B$5:$B$140*(((Inputs!$G$5:$G$140="moeda")+(Inputs!$G$5:$G$140="acoes"))*Inputs!$B$1+((Inputs!$G$5:$G$140&lt;&gt;"moeda")*(Inputs!$G$5:$G$140&lt;&gt;"acoes")))*INDEX(Inputs!$K$5:$AJ$140,0,MATCH(AA$2,Inputs!$K$4:$AJ$4,0)))+SUMPRODUCT((Inputs!$C$5:$C$140=$B69)*Inputs!$D$5:$D$140*(((Inputs!$G$5:$G$140="moeda")+(Inputs!$G$5:$G$140="acoes"))*Inputs!$B$1+((Inputs!$G$5:$G$140&lt;&gt;"moeda")*(Inputs!$G$5:$G$140&lt;&gt;"acoes")))*INDEX(Inputs!$K$5:$AJ$140,0,MATCH(AA$2,Inputs!$K$4:$AJ$4,0)))+SUMPRODUCT((Inputs!$E$5:$E$140=$B69)*Inputs!$F$5:$F$140*(((Inputs!$G$5:$G$140="moeda")+(Inputs!$G$5:$G$140="acoes"))*Inputs!$B$1+((Inputs!$G$5:$G$140&lt;&gt;"moeda")*(Inputs!$G$5:$G$140&lt;&gt;"acoes")))*INDEX(Inputs!$K$5:$AJ$140,0,MATCH(AA$2,Inputs!$K$4:$AJ$4,0)))))</f>
        <v>-0.011</v>
      </c>
      <c r="AB69" s="40" t="n"/>
      <c r="AC69" s="264">
        <f>IF(ISNA(MATCH(AC$2,Inputs!$K$4:$AJ$4,0)),NA(),IF(SUMPRODUCT((Inputs!$A$5:$A$140=$B69)*ISNUMBER(INDEX(Inputs!$K$5:$AJ$140,0,MATCH(AC$2,Inputs!$K$4:$AJ$4,0))))+SUMPRODUCT((Inputs!$C$5:$C$140=$B69)*ISNUMBER(INDEX(Inputs!$K$5:$AJ$140,0,MATCH(AC$2,Inputs!$K$4:$AJ$4,0))))+SUMPRODUCT((Inputs!$E$5:$E$140=$B69)*ISNUMBER(INDEX(Inputs!$K$5:$AJ$140,0,MATCH(AC$2,Inputs!$K$4:$AJ$4,0))))=0,NA(),SUMPRODUCT((Inputs!$A$5:$A$140=$B69)*Inputs!$B$5:$B$140*(((Inputs!$G$5:$G$140="moeda")+(Inputs!$G$5:$G$140="acoes"))*Inputs!$B$1+((Inputs!$G$5:$G$140&lt;&gt;"moeda")*(Inputs!$G$5:$G$140&lt;&gt;"acoes")))*INDEX(Inputs!$K$5:$AJ$140,0,MATCH(AC$2,Inputs!$K$4:$AJ$4,0)))+SUMPRODUCT((Inputs!$C$5:$C$140=$B69)*Inputs!$D$5:$D$140*(((Inputs!$G$5:$G$140="moeda")+(Inputs!$G$5:$G$140="acoes"))*Inputs!$B$1+((Inputs!$G$5:$G$140&lt;&gt;"moeda")*(Inputs!$G$5:$G$140&lt;&gt;"acoes")))*INDEX(Inputs!$K$5:$AJ$140,0,MATCH(AC$2,Inputs!$K$4:$AJ$4,0)))+SUMPRODUCT((Inputs!$E$5:$E$140=$B69)*Inputs!$F$5:$F$140*(((Inputs!$G$5:$G$140="moeda")+(Inputs!$G$5:$G$140="acoes"))*Inputs!$B$1+((Inputs!$G$5:$G$140&lt;&gt;"moeda")*(Inputs!$G$5:$G$140&lt;&gt;"acoes")))*INDEX(Inputs!$K$5:$AJ$140,0,MATCH(AC$2,Inputs!$K$4:$AJ$4,0)))))</f>
        <v>-0.073</v>
      </c>
      <c r="AD69" s="264">
        <f>IF(ISNA(MATCH(AD$2,Inputs!$K$4:$AJ$4,0)),NA(),IF(SUMPRODUCT((Inputs!$A$5:$A$140=$B69)*ISNUMBER(INDEX(Inputs!$K$5:$AJ$140,0,MATCH(AD$2,Inputs!$K$4:$AJ$4,0))))+SUMPRODUCT((Inputs!$C$5:$C$140=$B69)*ISNUMBER(INDEX(Inputs!$K$5:$AJ$140,0,MATCH(AD$2,Inputs!$K$4:$AJ$4,0))))+SUMPRODUCT((Inputs!$E$5:$E$140=$B69)*ISNUMBER(INDEX(Inputs!$K$5:$AJ$140,0,MATCH(AD$2,Inputs!$K$4:$AJ$4,0))))=0,NA(),SUMPRODUCT((Inputs!$A$5:$A$140=$B69)*Inputs!$B$5:$B$140*(((Inputs!$G$5:$G$140="moeda")+(Inputs!$G$5:$G$140="acoes"))*Inputs!$B$1+((Inputs!$G$5:$G$140&lt;&gt;"moeda")*(Inputs!$G$5:$G$140&lt;&gt;"acoes")))*INDEX(Inputs!$K$5:$AJ$140,0,MATCH(AD$2,Inputs!$K$4:$AJ$4,0)))+SUMPRODUCT((Inputs!$C$5:$C$140=$B69)*Inputs!$D$5:$D$140*(((Inputs!$G$5:$G$140="moeda")+(Inputs!$G$5:$G$140="acoes"))*Inputs!$B$1+((Inputs!$G$5:$G$140&lt;&gt;"moeda")*(Inputs!$G$5:$G$140&lt;&gt;"acoes")))*INDEX(Inputs!$K$5:$AJ$140,0,MATCH(AD$2,Inputs!$K$4:$AJ$4,0)))+SUMPRODUCT((Inputs!$E$5:$E$140=$B69)*Inputs!$F$5:$F$140*(((Inputs!$G$5:$G$140="moeda")+(Inputs!$G$5:$G$140="acoes"))*Inputs!$B$1+((Inputs!$G$5:$G$140&lt;&gt;"moeda")*(Inputs!$G$5:$G$140&lt;&gt;"acoes")))*INDEX(Inputs!$K$5:$AJ$140,0,MATCH(AD$2,Inputs!$K$4:$AJ$4,0)))))</f>
        <v>-0.08</v>
      </c>
      <c r="AE69" s="264" t="e">
        <f>IF(ISNA(MATCH(AE$2,Inputs!$K$4:$AJ$4,0)),NA(),IF(SUMPRODUCT((Inputs!$A$5:$A$140=$B69)*ISNUMBER(INDEX(Inputs!$K$5:$AJ$140,0,MATCH(AE$2,Inputs!$K$4:$AJ$4,0))))+SUMPRODUCT((Inputs!$C$5:$C$140=$B69)*ISNUMBER(INDEX(Inputs!$K$5:$AJ$140,0,MATCH(AE$2,Inputs!$K$4:$AJ$4,0))))+SUMPRODUCT((Inputs!$E$5:$E$140=$B69)*ISNUMBER(INDEX(Inputs!$K$5:$AJ$140,0,MATCH(AE$2,Inputs!$K$4:$AJ$4,0))))=0,NA(),SUMPRODUCT((Inputs!$A$5:$A$140=$B69)*Inputs!$B$5:$B$140*(((Inputs!$G$5:$G$140="moeda")+(Inputs!$G$5:$G$140="acoes"))*Inputs!$B$1+((Inputs!$G$5:$G$140&lt;&gt;"moeda")*(Inputs!$G$5:$G$140&lt;&gt;"acoes")))*INDEX(Inputs!$K$5:$AJ$140,0,MATCH(AE$2,Inputs!$K$4:$AJ$4,0)))+SUMPRODUCT((Inputs!$C$5:$C$140=$B69)*Inputs!$D$5:$D$140*(((Inputs!$G$5:$G$140="moeda")+(Inputs!$G$5:$G$140="acoes"))*Inputs!$B$1+((Inputs!$G$5:$G$140&lt;&gt;"moeda")*(Inputs!$G$5:$G$140&lt;&gt;"acoes")))*INDEX(Inputs!$K$5:$AJ$140,0,MATCH(AE$2,Inputs!$K$4:$AJ$4,0)))+SUMPRODUCT((Inputs!$E$5:$E$140=$B69)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9" s="264" t="e">
        <f>IF(ISNA(MATCH(AF$2,Inputs!$K$4:$AJ$4,0)),NA(),IF(SUMPRODUCT((Inputs!$A$5:$A$140=$B69)*ISNUMBER(INDEX(Inputs!$K$5:$AJ$140,0,MATCH(AF$2,Inputs!$K$4:$AJ$4,0))))+SUMPRODUCT((Inputs!$C$5:$C$140=$B69)*ISNUMBER(INDEX(Inputs!$K$5:$AJ$140,0,MATCH(AF$2,Inputs!$K$4:$AJ$4,0))))+SUMPRODUCT((Inputs!$E$5:$E$140=$B69)*ISNUMBER(INDEX(Inputs!$K$5:$AJ$140,0,MATCH(AF$2,Inputs!$K$4:$AJ$4,0))))=0,NA(),SUMPRODUCT((Inputs!$A$5:$A$140=$B69)*Inputs!$B$5:$B$140*(((Inputs!$G$5:$G$140="moeda")+(Inputs!$G$5:$G$140="acoes"))*Inputs!$B$1+((Inputs!$G$5:$G$140&lt;&gt;"moeda")*(Inputs!$G$5:$G$140&lt;&gt;"acoes")))*INDEX(Inputs!$K$5:$AJ$140,0,MATCH(AF$2,Inputs!$K$4:$AJ$4,0)))+SUMPRODUCT((Inputs!$C$5:$C$140=$B69)*Inputs!$D$5:$D$140*(((Inputs!$G$5:$G$140="moeda")+(Inputs!$G$5:$G$140="acoes"))*Inputs!$B$1+((Inputs!$G$5:$G$140&lt;&gt;"moeda")*(Inputs!$G$5:$G$140&lt;&gt;"acoes")))*INDEX(Inputs!$K$5:$AJ$140,0,MATCH(AF$2,Inputs!$K$4:$AJ$4,0)))+SUMPRODUCT((Inputs!$E$5:$E$140=$B69)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9" s="40" t="n"/>
      <c r="AH69" s="264">
        <f>IF(ISNA(MATCH(AH$2,Inputs!$K$4:$AJ$4,0)),NA(),IF(SUMPRODUCT((Inputs!$A$5:$A$140=$B69)*ISNUMBER(INDEX(Inputs!$K$5:$AJ$140,0,MATCH(AH$2,Inputs!$K$4:$AJ$4,0))))+SUMPRODUCT((Inputs!$C$5:$C$140=$B69)*ISNUMBER(INDEX(Inputs!$K$5:$AJ$140,0,MATCH(AH$2,Inputs!$K$4:$AJ$4,0))))+SUMPRODUCT((Inputs!$E$5:$E$140=$B69)*ISNUMBER(INDEX(Inputs!$K$5:$AJ$140,0,MATCH(AH$2,Inputs!$K$4:$AJ$4,0))))=0,NA(),SUMPRODUCT((Inputs!$A$5:$A$140=$B69)*Inputs!$B$5:$B$140*(((Inputs!$G$5:$G$140="moeda")+(Inputs!$G$5:$G$140="acoes"))*Inputs!$B$1+((Inputs!$G$5:$G$140&lt;&gt;"moeda")*(Inputs!$G$5:$G$140&lt;&gt;"acoes")))*INDEX(Inputs!$K$5:$AJ$140,0,MATCH(AH$2,Inputs!$K$4:$AJ$4,0)))+SUMPRODUCT((Inputs!$C$5:$C$140=$B69)*Inputs!$D$5:$D$140*(((Inputs!$G$5:$G$140="moeda")+(Inputs!$G$5:$G$140="acoes"))*Inputs!$B$1+((Inputs!$G$5:$G$140&lt;&gt;"moeda")*(Inputs!$G$5:$G$140&lt;&gt;"acoes")))*INDEX(Inputs!$K$5:$AJ$140,0,MATCH(AH$2,Inputs!$K$4:$AJ$4,0)))+SUMPRODUCT((Inputs!$E$5:$E$140=$B69)*Inputs!$F$5:$F$140*(((Inputs!$G$5:$G$140="moeda")+(Inputs!$G$5:$G$140="acoes"))*Inputs!$B$1+((Inputs!$G$5:$G$140&lt;&gt;"moeda")*(Inputs!$G$5:$G$140&lt;&gt;"acoes")))*INDEX(Inputs!$K$5:$AJ$140,0,MATCH(AH$2,Inputs!$K$4:$AJ$4,0)))))</f>
        <v>0.07</v>
      </c>
      <c r="AI69" s="264">
        <f>IF(ISNA(MATCH(AI$2,Inputs!$K$4:$AJ$4,0)),NA(),IF(SUMPRODUCT((Inputs!$A$5:$A$140=$B69)*ISNUMBER(INDEX(Inputs!$K$5:$AJ$140,0,MATCH(AI$2,Inputs!$K$4:$AJ$4,0))))+SUMPRODUCT((Inputs!$C$5:$C$140=$B69)*ISNUMBER(INDEX(Inputs!$K$5:$AJ$140,0,MATCH(AI$2,Inputs!$K$4:$AJ$4,0))))+SUMPRODUCT((Inputs!$E$5:$E$140=$B69)*ISNUMBER(INDEX(Inputs!$K$5:$AJ$140,0,MATCH(AI$2,Inputs!$K$4:$AJ$4,0))))=0,NA(),SUMPRODUCT((Inputs!$A$5:$A$140=$B69)*Inputs!$B$5:$B$140*(((Inputs!$G$5:$G$140="moeda")+(Inputs!$G$5:$G$140="acoes"))*Inputs!$B$1+((Inputs!$G$5:$G$140&lt;&gt;"moeda")*(Inputs!$G$5:$G$140&lt;&gt;"acoes")))*INDEX(Inputs!$K$5:$AJ$140,0,MATCH(AI$2,Inputs!$K$4:$AJ$4,0)))+SUMPRODUCT((Inputs!$C$5:$C$140=$B69)*Inputs!$D$5:$D$140*(((Inputs!$G$5:$G$140="moeda")+(Inputs!$G$5:$G$140="acoes"))*Inputs!$B$1+((Inputs!$G$5:$G$140&lt;&gt;"moeda")*(Inputs!$G$5:$G$140&lt;&gt;"acoes")))*INDEX(Inputs!$K$5:$AJ$140,0,MATCH(AI$2,Inputs!$K$4:$AJ$4,0)))+SUMPRODUCT((Inputs!$E$5:$E$140=$B69)*Inputs!$F$5:$F$140*(((Inputs!$G$5:$G$140="moeda")+(Inputs!$G$5:$G$140="acoes"))*Inputs!$B$1+((Inputs!$G$5:$G$140&lt;&gt;"moeda")*(Inputs!$G$5:$G$140&lt;&gt;"acoes")))*INDEX(Inputs!$K$5:$AJ$140,0,MATCH(AI$2,Inputs!$K$4:$AJ$4,0)))))</f>
        <v>0.238</v>
      </c>
      <c r="AJ69" s="264">
        <f>IF(ISNA(MATCH(AJ$2,Inputs!$K$4:$AJ$4,0)),NA(),IF(SUMPRODUCT((Inputs!$A$5:$A$140=$B69)*ISNUMBER(INDEX(Inputs!$K$5:$AJ$140,0,MATCH(AJ$2,Inputs!$K$4:$AJ$4,0))))+SUMPRODUCT((Inputs!$C$5:$C$140=$B69)*ISNUMBER(INDEX(Inputs!$K$5:$AJ$140,0,MATCH(AJ$2,Inputs!$K$4:$AJ$4,0))))+SUMPRODUCT((Inputs!$E$5:$E$140=$B69)*ISNUMBER(INDEX(Inputs!$K$5:$AJ$140,0,MATCH(AJ$2,Inputs!$K$4:$AJ$4,0))))=0,NA(),SUMPRODUCT((Inputs!$A$5:$A$140=$B69)*Inputs!$B$5:$B$140*(((Inputs!$G$5:$G$140="moeda")+(Inputs!$G$5:$G$140="acoes"))*Inputs!$B$1+((Inputs!$G$5:$G$140&lt;&gt;"moeda")*(Inputs!$G$5:$G$140&lt;&gt;"acoes")))*INDEX(Inputs!$K$5:$AJ$140,0,MATCH(AJ$2,Inputs!$K$4:$AJ$4,0)))+SUMPRODUCT((Inputs!$C$5:$C$140=$B69)*Inputs!$D$5:$D$140*(((Inputs!$G$5:$G$140="moeda")+(Inputs!$G$5:$G$140="acoes"))*Inputs!$B$1+((Inputs!$G$5:$G$140&lt;&gt;"moeda")*(Inputs!$G$5:$G$140&lt;&gt;"acoes")))*INDEX(Inputs!$K$5:$AJ$140,0,MATCH(AJ$2,Inputs!$K$4:$AJ$4,0)))+SUMPRODUCT((Inputs!$E$5:$E$140=$B69)*Inputs!$F$5:$F$140*(((Inputs!$G$5:$G$140="moeda")+(Inputs!$G$5:$G$140="acoes"))*Inputs!$B$1+((Inputs!$G$5:$G$140&lt;&gt;"moeda")*(Inputs!$G$5:$G$140&lt;&gt;"acoes")))*INDEX(Inputs!$K$5:$AJ$140,0,MATCH(AJ$2,Inputs!$K$4:$AJ$4,0)))))</f>
        <v>0.237</v>
      </c>
      <c r="AK69" s="264">
        <f>IF(ISNA(MATCH(AK$2,Inputs!$K$4:$AJ$4,0)),NA(),IF(SUMPRODUCT((Inputs!$A$5:$A$140=$B69)*ISNUMBER(INDEX(Inputs!$K$5:$AJ$140,0,MATCH(AK$2,Inputs!$K$4:$AJ$4,0))))+SUMPRODUCT((Inputs!$C$5:$C$140=$B69)*ISNUMBER(INDEX(Inputs!$K$5:$AJ$140,0,MATCH(AK$2,Inputs!$K$4:$AJ$4,0))))+SUMPRODUCT((Inputs!$E$5:$E$140=$B69)*ISNUMBER(INDEX(Inputs!$K$5:$AJ$140,0,MATCH(AK$2,Inputs!$K$4:$AJ$4,0))))=0,NA(),SUMPRODUCT((Inputs!$A$5:$A$140=$B69)*Inputs!$B$5:$B$140*(((Inputs!$G$5:$G$140="moeda")+(Inputs!$G$5:$G$140="acoes"))*Inputs!$B$1+((Inputs!$G$5:$G$140&lt;&gt;"moeda")*(Inputs!$G$5:$G$140&lt;&gt;"acoes")))*INDEX(Inputs!$K$5:$AJ$140,0,MATCH(AK$2,Inputs!$K$4:$AJ$4,0)))+SUMPRODUCT((Inputs!$C$5:$C$140=$B69)*Inputs!$D$5:$D$140*(((Inputs!$G$5:$G$140="moeda")+(Inputs!$G$5:$G$140="acoes"))*Inputs!$B$1+((Inputs!$G$5:$G$140&lt;&gt;"moeda")*(Inputs!$G$5:$G$140&lt;&gt;"acoes")))*INDEX(Inputs!$K$5:$AJ$140,0,MATCH(AK$2,Inputs!$K$4:$AJ$4,0)))+SUMPRODUCT((Inputs!$E$5:$E$140=$B69)*Inputs!$F$5:$F$140*(((Inputs!$G$5:$G$140="moeda")+(Inputs!$G$5:$G$140="acoes"))*Inputs!$B$1+((Inputs!$G$5:$G$140&lt;&gt;"moeda")*(Inputs!$G$5:$G$140&lt;&gt;"acoes")))*INDEX(Inputs!$K$5:$AJ$140,0,MATCH(AK$2,Inputs!$K$4:$AJ$4,0)))))</f>
        <v>0.213</v>
      </c>
      <c r="AL69" s="40" t="n"/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02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 t="e">
        <f>SUM(D2,D3)</f>
        <v>#N/A</v>
      </c>
      <c r="E1" s="3">
        <f>SUM(E2,E3)</f>
        <v>0.00035200000002078</v>
      </c>
      <c r="F1" s="3">
        <f>SUM(F2,F3)</f>
        <v>1.79401695277193e-05</v>
      </c>
      <c r="G1" s="3">
        <f>SUM(G2,G3)</f>
        <v>0.00149140993016772</v>
      </c>
      <c r="H1" s="3">
        <f>SUM(H2,H3)</f>
        <v>0.00149140993016772</v>
      </c>
      <c r="I1" s="3">
        <f>SUM(I2,I3)</f>
        <v>3.5000000934815e-05</v>
      </c>
      <c r="J1" s="3">
        <f>SUM(J2,J3)</f>
        <v>0.00027964999753749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0.00059999999939464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0.000298029997793492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0.000539196225929572</v>
      </c>
      <c r="AE1" s="3">
        <f>SUM(AE2,AE3)</f>
        <v>0</v>
      </c>
      <c r="AF1" s="3">
        <f>SUM(AF2,AF3)</f>
        <v>0</v>
      </c>
      <c r="AG1" s="3">
        <f>SUM(AG2,AG3)</f>
        <v>0.000433216227520461</v>
      </c>
      <c r="AH1" s="3">
        <f>SUM(AH2,AH3)</f>
        <v>0</v>
      </c>
      <c r="AI1" s="3">
        <f>SUM(AI2,AI3)</f>
        <v>1.10844666778576e-12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 t="e">
        <f>ABS(D207-D283)</f>
        <v>#N/A</v>
      </c>
      <c r="E2" s="3">
        <f>ABS(E207-E283)</f>
        <v>0.00035200000002078</v>
      </c>
      <c r="F2" s="3">
        <f>ABS(F207-F283)</f>
        <v>1.79401695277193e-05</v>
      </c>
      <c r="G2" s="3">
        <f>ABS(G207-G283)</f>
        <v>0.00149140993016772</v>
      </c>
      <c r="H2" s="3">
        <f>ABS(H207-H283)</f>
        <v>0.00149140993016772</v>
      </c>
      <c r="I2" s="3">
        <f>ABS(I207-I283)</f>
        <v>3.5000000934815e-05</v>
      </c>
      <c r="J2" s="3">
        <f>ABS(J207-J283)</f>
        <v>0.00027964999753749</v>
      </c>
      <c r="K2" s="3">
        <f>ABS(K207-K283)</f>
        <v>0</v>
      </c>
      <c r="L2" s="3">
        <f>ABS(L207-L283)</f>
        <v>0</v>
      </c>
      <c r="M2" s="3">
        <f>ABS(M207-M283)</f>
        <v>0</v>
      </c>
      <c r="N2" s="3">
        <f>ABS(N207-N283)</f>
        <v>0</v>
      </c>
      <c r="O2" s="3">
        <f>ABS(O207-O283)</f>
        <v>0</v>
      </c>
      <c r="P2" s="3">
        <f>ABS(P207-P283)</f>
        <v>0</v>
      </c>
      <c r="Q2" s="3">
        <f>ABS(Q207-Q283)</f>
        <v>0</v>
      </c>
      <c r="R2" s="3">
        <f>ABS(R207-R283)</f>
        <v>0</v>
      </c>
      <c r="S2" s="3">
        <f>ABS(S207-S283)</f>
        <v>0.00059999999939464</v>
      </c>
      <c r="T2" s="3">
        <f>ABS(T207-T283)</f>
        <v>0</v>
      </c>
      <c r="U2" s="3">
        <f>ABS(U207-U283)</f>
        <v>0</v>
      </c>
      <c r="V2" s="3">
        <f>ABS(V207-V283)</f>
        <v>0</v>
      </c>
      <c r="W2" s="3">
        <f>ABS(W207-W283)</f>
        <v>0</v>
      </c>
      <c r="X2" s="3">
        <f>ABS(X207-X283)</f>
        <v>0</v>
      </c>
      <c r="Y2" s="3">
        <f>ABS(Y207-Y283)</f>
        <v>0.000298029997793492</v>
      </c>
      <c r="Z2" s="3">
        <f>ABS(Z207-Z283)</f>
        <v>0</v>
      </c>
      <c r="AA2" s="3">
        <f>ABS(AA207-AA283)</f>
        <v>0</v>
      </c>
      <c r="AB2" s="3">
        <f>ABS(AB207-AB283)</f>
        <v>0</v>
      </c>
      <c r="AC2" s="3">
        <f>ABS(AC207-AC283)</f>
        <v>0</v>
      </c>
      <c r="AD2" s="3">
        <f>ABS(AD207-AD283)</f>
        <v>0.000105979997897521</v>
      </c>
      <c r="AE2" s="3">
        <f>ABS(AE207-AE283)</f>
        <v>0</v>
      </c>
      <c r="AF2" s="3">
        <f>ABS(AF207-AF283)</f>
        <v>0</v>
      </c>
      <c r="AG2" s="3">
        <f>ABS(AG207-AG283)</f>
        <v>0</v>
      </c>
      <c r="AH2" s="3">
        <f>ABS(AH207-AH283)</f>
        <v>0</v>
      </c>
      <c r="AI2" s="3">
        <f>ABS(AI207-AI283)</f>
        <v>0</v>
      </c>
      <c r="AJ2" s="3">
        <f>ABS(AJ207-AJ283)</f>
        <v>0</v>
      </c>
      <c r="AK2" s="3">
        <f>ABS(AK207-AK283)</f>
        <v>0</v>
      </c>
      <c r="AL2" s="3">
        <f>ABS(AL207-AL283)</f>
        <v>0</v>
      </c>
      <c r="AM2" s="3" t="e">
        <f>ABS(AM207-AM283)</f>
        <v>#DIV/0!</v>
      </c>
      <c r="AN2" s="3" t="e">
        <f>ABS(AN207-AN283)</f>
        <v>#DIV/0!</v>
      </c>
      <c r="AO2" s="3" t="e">
        <f>ABS(AO207-AO283)</f>
        <v>#DIV/0!</v>
      </c>
      <c r="AP2" s="3" t="e">
        <f>ABS(AP207-AP283)</f>
        <v>#DIV/0!</v>
      </c>
      <c r="AQ2" s="3" t="e">
        <f>ABS(AQ207-AQ283)</f>
        <v>#DIV/0!</v>
      </c>
      <c r="AR2" s="3" t="e">
        <f>ABS(AR207-AR283)</f>
        <v>#DIV/0!</v>
      </c>
      <c r="AS2" s="3" t="e">
        <f>ABS(AS207-AS283)</f>
        <v>#DIV/0!</v>
      </c>
      <c r="AT2" s="3" t="e">
        <f>ABS(AT207-AT283)</f>
        <v>#DIV/0!</v>
      </c>
      <c r="AU2" s="3" t="e">
        <f>ABS(AU207-AU283)</f>
        <v>#DIV/0!</v>
      </c>
      <c r="AV2" s="3" t="e">
        <f>ABS(AV207-AV283)</f>
        <v>#DIV/0!</v>
      </c>
      <c r="AW2" s="3" t="e">
        <f>ABS(AW207-AW283)</f>
        <v>#DIV/0!</v>
      </c>
      <c r="AX2" s="3" t="e">
        <f>ABS(AX207-AX283)</f>
        <v>#DIV/0!</v>
      </c>
      <c r="AY2" s="3" t="e">
        <f>ABS(AY207-AY283)</f>
        <v>#DIV/0!</v>
      </c>
      <c r="AZ2" s="3" t="e">
        <f>ABS(AZ207-AZ283)</f>
        <v>#DIV/0!</v>
      </c>
      <c r="BA2" s="3" t="e">
        <f>ABS(BA207-BA283)</f>
        <v>#DIV/0!</v>
      </c>
      <c r="BB2" s="3" t="e">
        <f>ABS(BB207-BB283)</f>
        <v>#DIV/0!</v>
      </c>
      <c r="BC2" s="3" t="e">
        <f>ABS(BC207-BC283)</f>
        <v>#DIV/0!</v>
      </c>
      <c r="BD2" s="3" t="e">
        <f>ABS(BD207-BD283)</f>
        <v>#DIV/0!</v>
      </c>
      <c r="BE2" s="3" t="e">
        <f>ABS(BE207-BE283)</f>
        <v>#DIV/0!</v>
      </c>
      <c r="BF2" s="3" t="e">
        <f>ABS(BF207-BF283)</f>
        <v>#DIV/0!</v>
      </c>
      <c r="BG2" s="3" t="e">
        <f>ABS(BG207-BG283)</f>
        <v>#DIV/0!</v>
      </c>
      <c r="BH2" s="3" t="e">
        <f>ABS(BH207-BH283)</f>
        <v>#DIV/0!</v>
      </c>
      <c r="BI2" s="3" t="e">
        <f>ABS(BI207-BI283)</f>
        <v>#DIV/0!</v>
      </c>
      <c r="BJ2" s="3" t="e">
        <f>ABS(BJ207-BJ283)</f>
        <v>#DIV/0!</v>
      </c>
      <c r="BK2" s="3" t="e">
        <f>ABS(BK207-BK283)</f>
        <v>#DIV/0!</v>
      </c>
      <c r="BL2" s="3" t="e">
        <f>ABS(BL207-BL283)</f>
        <v>#DIV/0!</v>
      </c>
      <c r="BM2" s="3" t="e">
        <f>ABS(BM207-BM283)</f>
        <v>#DIV/0!</v>
      </c>
      <c r="BN2" s="3" t="e">
        <f>ABS(BN207-BN283)</f>
        <v>#DIV/0!</v>
      </c>
      <c r="BO2" s="3" t="e">
        <f>ABS(BO207-BO283)</f>
        <v>#DIV/0!</v>
      </c>
      <c r="BP2" s="3" t="e">
        <f>ABS(BP207-BP283)</f>
        <v>#DIV/0!</v>
      </c>
      <c r="BQ2" s="3" t="e">
        <f>ABS(BQ207-BQ283)</f>
        <v>#DIV/0!</v>
      </c>
      <c r="BR2" s="3" t="e">
        <f>ABS(BR207-BR283)</f>
        <v>#DIV/0!</v>
      </c>
      <c r="BS2" s="3" t="e">
        <f>ABS(BS207-BS283)</f>
        <v>#DIV/0!</v>
      </c>
      <c r="BT2" s="3" t="e">
        <f>ABS(BT207-BT283)</f>
        <v>#DIV/0!</v>
      </c>
      <c r="BU2" s="3" t="e">
        <f>ABS(BU207-BU283)</f>
        <v>#DIV/0!</v>
      </c>
      <c r="BV2" s="3" t="e">
        <f>ABS(BV207-BV283)</f>
        <v>#DIV/0!</v>
      </c>
      <c r="BW2" s="3" t="e">
        <f>ABS(BW207-BW283)</f>
        <v>#DIV/0!</v>
      </c>
      <c r="BX2" s="3" t="e">
        <f>ABS(BX207-BX283)</f>
        <v>#DIV/0!</v>
      </c>
      <c r="BY2" s="3" t="e">
        <f>ABS(BY207-BY283)</f>
        <v>#DIV/0!</v>
      </c>
      <c r="BZ2" s="3" t="e">
        <f>ABS(BZ207-BZ283)</f>
        <v>#DIV/0!</v>
      </c>
      <c r="CA2" s="3" t="e">
        <f>ABS(CA207-CA283)</f>
        <v>#DIV/0!</v>
      </c>
      <c r="CB2" s="3" t="e">
        <f>ABS(CB207-CB283)</f>
        <v>#DIV/0!</v>
      </c>
      <c r="CC2" s="3" t="e">
        <f>ABS(CC207-CC283)</f>
        <v>#DIV/0!</v>
      </c>
      <c r="CD2" s="3" t="e">
        <f>ABS(CD207-CD283)</f>
        <v>#DIV/0!</v>
      </c>
      <c r="CE2" s="3" t="e">
        <f>ABS(CE207-CE283)</f>
        <v>#DIV/0!</v>
      </c>
      <c r="CF2" s="3" t="e">
        <f>ABS(CF207-CF283)</f>
        <v>#DIV/0!</v>
      </c>
      <c r="CG2" s="3" t="e">
        <f>ABS(CG207-CG283)</f>
        <v>#DIV/0!</v>
      </c>
      <c r="CH2" s="3" t="e">
        <f>ABS(CH207-CH283)</f>
        <v>#DIV/0!</v>
      </c>
      <c r="CI2" s="3" t="e">
        <f>ABS(CI207-CI283)</f>
        <v>#DIV/0!</v>
      </c>
      <c r="CJ2" s="3" t="e">
        <f>ABS(CJ207-CJ283)</f>
        <v>#DIV/0!</v>
      </c>
      <c r="CK2" s="3" t="e">
        <f>ABS(CK207-CK283)</f>
        <v>#DIV/0!</v>
      </c>
      <c r="CL2" s="3" t="e">
        <f>ABS(CL207-CL283)</f>
        <v>#DIV/0!</v>
      </c>
      <c r="CM2" s="3" t="e">
        <f>ABS(CM207-CM283)</f>
        <v>#DIV/0!</v>
      </c>
      <c r="CN2" s="3" t="e">
        <f>ABS(CN207-CN283)</f>
        <v>#DIV/0!</v>
      </c>
      <c r="CO2" s="3" t="e">
        <f>ABS(CO207-CO283)</f>
        <v>#DIV/0!</v>
      </c>
      <c r="CP2" s="3" t="e">
        <f>ABS(CP207-CP283)</f>
        <v>#DIV/0!</v>
      </c>
      <c r="CQ2" s="3" t="e">
        <f>ABS(CQ207-CQ283)</f>
        <v>#DIV/0!</v>
      </c>
      <c r="CR2" s="3" t="e">
        <f>ABS(CR207-CR283)</f>
        <v>#DIV/0!</v>
      </c>
      <c r="CS2" s="3" t="e">
        <f>ABS(CS207-CS283)</f>
        <v>#DIV/0!</v>
      </c>
      <c r="CT2" s="3" t="e">
        <f>ABS(CT207-CT283)</f>
        <v>#DIV/0!</v>
      </c>
      <c r="CU2" s="3" t="e">
        <f>ABS(CU207-CU283)</f>
        <v>#DIV/0!</v>
      </c>
      <c r="CV2" s="3" t="e">
        <f>ABS(CV207-CV283)</f>
        <v>#DIV/0!</v>
      </c>
      <c r="CW2" s="3" t="e">
        <f>ABS(CW207-CW283)</f>
        <v>#DIV/0!</v>
      </c>
      <c r="CX2" s="3" t="e">
        <f>ABS(CX207-CX283)</f>
        <v>#DIV/0!</v>
      </c>
      <c r="CY2" s="3" t="e">
        <f>ABS(CY207-CY283)</f>
        <v>#DIV/0!</v>
      </c>
    </row>
    <row r="3" outlineLevel="1">
      <c r="C3" s="5" t="inlineStr">
        <is>
          <t>IS</t>
        </is>
      </c>
      <c r="D3" s="3">
        <f>IF(COUNT(D4)=0,"",ABS(D147-D4))</f>
        <v>0</v>
      </c>
      <c r="E3" s="3">
        <f>IF(COUNT(E4)=0,"",ABS(E147-E4))</f>
        <v>0</v>
      </c>
      <c r="F3" s="3">
        <f>IF(COUNT(F4)=0,"",ABS(F147-F4))</f>
        <v>0</v>
      </c>
      <c r="G3" s="3">
        <f>IF(COUNT(G4)=0,"",ABS(G147-G4))</f>
        <v>0</v>
      </c>
      <c r="H3" s="3">
        <f>IF(COUNT(H4)=0,"",ABS(H147-H4))</f>
        <v>0</v>
      </c>
      <c r="I3" s="3">
        <f>IF(COUNT(I4)=0,"",ABS(I147-I4))</f>
        <v>0</v>
      </c>
      <c r="J3" s="3">
        <f>IF(COUNT(J4)=0,"",ABS(J147-J4))</f>
        <v>0</v>
      </c>
      <c r="K3" s="3">
        <f>IF(COUNT(K4)=0,"",ABS(K147-K4))</f>
        <v>0</v>
      </c>
      <c r="L3" s="3">
        <f>IF(COUNT(L4)=0,"",ABS(L147-L4))</f>
        <v>0</v>
      </c>
      <c r="M3" s="3">
        <f>IF(COUNT(M4)=0,"",ABS(M147-M4))</f>
        <v>0</v>
      </c>
      <c r="N3" s="3">
        <f>IF(COUNT(N4)=0,"",ABS(N147-N4))</f>
        <v>0</v>
      </c>
      <c r="O3" s="3">
        <f>IF(COUNT(O4)=0,"",ABS(O147-O4))</f>
        <v>0</v>
      </c>
      <c r="P3" s="3">
        <f>IF(COUNT(P4)=0,"",ABS(P147-P4))</f>
        <v>0</v>
      </c>
      <c r="Q3" s="3">
        <f>IF(COUNT(Q4)=0,"",ABS(Q147-Q4))</f>
        <v>0</v>
      </c>
      <c r="R3" s="3">
        <f>IF(COUNT(R4)=0,"",ABS(R147-R4))</f>
        <v>0</v>
      </c>
      <c r="S3" s="3">
        <f>IF(COUNT(S4)=0,"",ABS(S147-S4))</f>
        <v>0</v>
      </c>
      <c r="T3" s="3">
        <f>IF(COUNT(T4)=0,"",ABS(T147-T4))</f>
        <v>0</v>
      </c>
      <c r="U3" s="3">
        <f>IF(COUNT(U4)=0,"",ABS(U147-U4))</f>
        <v>0</v>
      </c>
      <c r="V3" s="3">
        <f>IF(COUNT(V4)=0,"",ABS(V147-V4))</f>
        <v>0</v>
      </c>
      <c r="W3" s="3">
        <f>IF(COUNT(W4)=0,"",ABS(W147-W4))</f>
        <v>0</v>
      </c>
      <c r="X3" s="3">
        <f>IF(COUNT(X4)=0,"",ABS(X147-X4))</f>
        <v>0</v>
      </c>
      <c r="Y3" s="3">
        <f>IF(COUNT(Y4)=0,"",ABS(Y147-Y4))</f>
        <v>0</v>
      </c>
      <c r="Z3" s="3">
        <f>IF(COUNT(Z4)=0,"",ABS(Z147-Z4))</f>
        <v>0</v>
      </c>
      <c r="AA3" s="3">
        <f>IF(COUNT(AA4)=0,"",ABS(AA147-AA4))</f>
        <v>0</v>
      </c>
      <c r="AB3" s="3">
        <f>IF(COUNT(AB4)=0,"",ABS(AB147-AB4))</f>
        <v>0</v>
      </c>
      <c r="AC3" s="3">
        <f>IF(COUNT(AC4)=0,"",ABS(AC147-AC4))</f>
        <v>0</v>
      </c>
      <c r="AD3" s="3">
        <f>IF(COUNT(AD4)=0,"",ABS(AD147-AD4))</f>
        <v>0.000433216228032052</v>
      </c>
      <c r="AE3" s="3">
        <f>IF(COUNT(AE4)=0,"",ABS(AE147-AE4))</f>
        <v>0</v>
      </c>
      <c r="AF3" s="3">
        <f>IF(COUNT(AF4)=0,"",ABS(AF147-AF4))</f>
        <v>0</v>
      </c>
      <c r="AG3" s="3">
        <f>IF(COUNT(AG4)=0,"",ABS(AG147-AG4))</f>
        <v>0.000433216227520461</v>
      </c>
      <c r="AH3" s="3">
        <f>IF(COUNT(AH4)=0,"",ABS(AH147-AH4))</f>
        <v>0</v>
      </c>
      <c r="AI3" s="3">
        <f>IF(COUNT(AI4)=0,"",ABS(AI147-AI4))</f>
        <v>1.10844666778576e-12</v>
      </c>
      <c r="AJ3" s="3" t="str">
        <f>IF(COUNT(AJ4)=0,"",ABS(AJ147-AJ4))</f>
        <v/>
      </c>
      <c r="AK3" s="3" t="str">
        <f>IF(COUNT(AK4)=0,"",ABS(AK147-AK4))</f>
        <v/>
      </c>
      <c r="AL3" s="3" t="str">
        <f>IF(COUNT(AL4)=0,"",ABS(AL147-AL4))</f>
        <v/>
      </c>
      <c r="AM3" s="3" t="str">
        <f>IF(COUNT(AM4)=0,"",ABS(AM147-AM4))</f>
        <v/>
      </c>
      <c r="AN3" s="3" t="str">
        <f>IF(COUNT(AN4)=0,"",ABS(AN147-AN4))</f>
        <v/>
      </c>
      <c r="AO3" s="3" t="str">
        <f>IF(COUNT(AO4)=0,"",ABS(AO147-AO4))</f>
        <v/>
      </c>
      <c r="AP3" s="3" t="str">
        <f>IF(COUNT(AP4)=0,"",ABS(AP147-AP4))</f>
        <v/>
      </c>
      <c r="AQ3" s="3" t="str">
        <f>IF(COUNT(AQ4)=0,"",ABS(AQ147-AQ4))</f>
        <v/>
      </c>
      <c r="AR3" s="3" t="str">
        <f>IF(COUNT(AR4)=0,"",ABS(AR147-AR4))</f>
        <v/>
      </c>
      <c r="AS3" s="3" t="str">
        <f>IF(COUNT(AS4)=0,"",ABS(AS147-AS4))</f>
        <v/>
      </c>
      <c r="AT3" s="3" t="str">
        <f>IF(COUNT(AT4)=0,"",ABS(AT147-AT4))</f>
        <v/>
      </c>
      <c r="AU3" s="3" t="str">
        <f>IF(COUNT(AU4)=0,"",ABS(AU147-AU4))</f>
        <v/>
      </c>
      <c r="AV3" s="3" t="str">
        <f>IF(COUNT(AV4)=0,"",ABS(AV147-AV4))</f>
        <v/>
      </c>
      <c r="AW3" s="3" t="str">
        <f>IF(COUNT(AW4)=0,"",ABS(AW147-AW4))</f>
        <v/>
      </c>
      <c r="AX3" s="3" t="str">
        <f>IF(COUNT(AX4)=0,"",ABS(AX147-AX4))</f>
        <v/>
      </c>
      <c r="AY3" s="3" t="str">
        <f>IF(COUNT(AY4)=0,"",ABS(AY147-AY4))</f>
        <v/>
      </c>
      <c r="AZ3" s="3" t="str">
        <f>IF(COUNT(AZ4)=0,"",ABS(AZ147-AZ4))</f>
        <v/>
      </c>
      <c r="BA3" s="3" t="str">
        <f>IF(COUNT(BA4)=0,"",ABS(BA147-BA4))</f>
        <v/>
      </c>
      <c r="BB3" s="3" t="str">
        <f>IF(COUNT(BB4)=0,"",ABS(BB147-BB4))</f>
        <v/>
      </c>
      <c r="BC3" s="3" t="str">
        <f>IF(COUNT(BC4)=0,"",ABS(BC147-BC4))</f>
        <v/>
      </c>
      <c r="BD3" s="3" t="str">
        <f>IF(COUNT(BD4)=0,"",ABS(BD147-BD4))</f>
        <v/>
      </c>
      <c r="BE3" s="3" t="str">
        <f>IF(COUNT(BE4)=0,"",ABS(BE147-BE4))</f>
        <v/>
      </c>
      <c r="BF3" s="3" t="str">
        <f>IF(COUNT(BF4)=0,"",ABS(BF147-BF4))</f>
        <v/>
      </c>
      <c r="BG3" s="3" t="str">
        <f>IF(COUNT(BG4)=0,"",ABS(BG147-BG4))</f>
        <v/>
      </c>
      <c r="BH3" s="3" t="str">
        <f>IF(COUNT(BH4)=0,"",ABS(BH147-BH4))</f>
        <v/>
      </c>
      <c r="BI3" s="3" t="str">
        <f>IF(COUNT(BI4)=0,"",ABS(BI147-BI4))</f>
        <v/>
      </c>
      <c r="BJ3" s="3" t="str">
        <f>IF(COUNT(BJ4)=0,"",ABS(BJ147-BJ4))</f>
        <v/>
      </c>
      <c r="BK3" s="3" t="str">
        <f>IF(COUNT(BK4)=0,"",ABS(BK147-BK4))</f>
        <v/>
      </c>
      <c r="BL3" s="3" t="str">
        <f>IF(COUNT(BL4)=0,"",ABS(BL147-BL4))</f>
        <v/>
      </c>
      <c r="BM3" s="3" t="str">
        <f>IF(COUNT(BM4)=0,"",ABS(BM147-BM4))</f>
        <v/>
      </c>
      <c r="BN3" s="3" t="str">
        <f>IF(COUNT(BN4)=0,"",ABS(BN147-BN4))</f>
        <v/>
      </c>
      <c r="BO3" s="3" t="str">
        <f>IF(COUNT(BO4)=0,"",ABS(BO147-BO4))</f>
        <v/>
      </c>
      <c r="BP3" s="3" t="str">
        <f>IF(COUNT(BP4)=0,"",ABS(BP147-BP4))</f>
        <v/>
      </c>
      <c r="BQ3" s="3" t="str">
        <f>IF(COUNT(BQ4)=0,"",ABS(BQ147-BQ4))</f>
        <v/>
      </c>
      <c r="BR3" s="3" t="str">
        <f>IF(COUNT(BR4)=0,"",ABS(BR147-BR4))</f>
        <v/>
      </c>
      <c r="BS3" s="3" t="str">
        <f>IF(COUNT(BS4)=0,"",ABS(BS147-BS4))</f>
        <v/>
      </c>
      <c r="BT3" s="3" t="str">
        <f>IF(COUNT(BT4)=0,"",ABS(BT147-BT4))</f>
        <v/>
      </c>
      <c r="BU3" s="3" t="str">
        <f>IF(COUNT(BU4)=0,"",ABS(BU147-BU4))</f>
        <v/>
      </c>
      <c r="BV3" s="3" t="str">
        <f>IF(COUNT(BV4)=0,"",ABS(BV147-BV4))</f>
        <v/>
      </c>
      <c r="BW3" s="3" t="str">
        <f>IF(COUNT(BW4)=0,"",ABS(BW147-BW4))</f>
        <v/>
      </c>
      <c r="BX3" s="3" t="str">
        <f>IF(COUNT(BX4)=0,"",ABS(BX147-BX4))</f>
        <v/>
      </c>
      <c r="BY3" s="3" t="str">
        <f>IF(COUNT(BY4)=0,"",ABS(BY147-BY4))</f>
        <v/>
      </c>
      <c r="BZ3" s="3" t="str">
        <f>IF(COUNT(BZ4)=0,"",ABS(BZ147-BZ4))</f>
        <v/>
      </c>
      <c r="CA3" s="3" t="str">
        <f>IF(COUNT(CA4)=0,"",ABS(CA147-CA4))</f>
        <v/>
      </c>
      <c r="CB3" s="3" t="str">
        <f>IF(COUNT(CB4)=0,"",ABS(CB147-CB4))</f>
        <v/>
      </c>
      <c r="CC3" s="3" t="str">
        <f>IF(COUNT(CC4)=0,"",ABS(CC147-CC4))</f>
        <v/>
      </c>
      <c r="CD3" s="3" t="str">
        <f>IF(COUNT(CD4)=0,"",ABS(CD147-CD4))</f>
        <v/>
      </c>
      <c r="CE3" s="3" t="str">
        <f>IF(COUNT(CE4)=0,"",ABS(CE147-CE4))</f>
        <v/>
      </c>
      <c r="CF3" s="3" t="str">
        <f>IF(COUNT(CF4)=0,"",ABS(CF147-CF4))</f>
        <v/>
      </c>
      <c r="CG3" s="3" t="str">
        <f>IF(COUNT(CG4)=0,"",ABS(CG147-CG4))</f>
        <v/>
      </c>
      <c r="CH3" s="3" t="str">
        <f>IF(COUNT(CH4)=0,"",ABS(CH147-CH4))</f>
        <v/>
      </c>
      <c r="CI3" s="3" t="str">
        <f>IF(COUNT(CI4)=0,"",ABS(CI147-CI4))</f>
        <v/>
      </c>
      <c r="CJ3" s="3" t="str">
        <f>IF(COUNT(CJ4)=0,"",ABS(CJ147-CJ4))</f>
        <v/>
      </c>
      <c r="CK3" s="3" t="str">
        <f>IF(COUNT(CK4)=0,"",ABS(CK147-CK4))</f>
        <v/>
      </c>
      <c r="CL3" s="3" t="str">
        <f>IF(COUNT(CL4)=0,"",ABS(CL147-CL4))</f>
        <v/>
      </c>
      <c r="CM3" s="3" t="str">
        <f>IF(COUNT(CM4)=0,"",ABS(CM147-CM4))</f>
        <v/>
      </c>
      <c r="CN3" s="3" t="str">
        <f>IF(COUNT(CN4)=0,"",ABS(CN147-CN4))</f>
        <v/>
      </c>
      <c r="CO3" s="3" t="str">
        <f>IF(COUNT(CO4)=0,"",ABS(CO147-CO4))</f>
        <v/>
      </c>
      <c r="CP3" s="3" t="str">
        <f>IF(COUNT(CP4)=0,"",ABS(CP147-CP4))</f>
        <v/>
      </c>
      <c r="CQ3" s="3" t="str">
        <f>IF(COUNT(CQ4)=0,"",ABS(CQ147-CQ4))</f>
        <v/>
      </c>
      <c r="CR3" s="3" t="str">
        <f>IF(COUNT(CR4)=0,"",ABS(CR147-CR4))</f>
        <v/>
      </c>
      <c r="CS3" s="3" t="str">
        <f>IF(COUNT(CS4)=0,"",ABS(CS147-CS4))</f>
        <v/>
      </c>
      <c r="CT3" s="3" t="str">
        <f>IF(COUNT(CT4)=0,"",ABS(CT147-CT4))</f>
        <v/>
      </c>
      <c r="CU3" s="3" t="str">
        <f>IF(COUNT(CU4)=0,"",ABS(CU147-CU4))</f>
        <v/>
      </c>
      <c r="CV3" s="3" t="str">
        <f>IF(COUNT(CV4)=0,"",ABS(CV147-CV4))</f>
        <v/>
      </c>
      <c r="CW3" s="3" t="str">
        <f>IF(COUNT(CW4)=0,"",ABS(CW147-CW4))</f>
        <v/>
      </c>
      <c r="CX3" s="3" t="str">
        <f>IF(COUNT(CX4)=0,"",ABS(CX147-CX4))</f>
        <v/>
      </c>
      <c r="CY3" s="3" t="str">
        <f>IF(COUNT(CY4)=0,"",ABS(CY147-CY4))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101.82396952</v>
      </c>
      <c r="E4" s="16">
        <f>INDEX('Inputs (2)'!$D$50:$AL$50,MATCH(E$7,'Inputs (2)'!$D$2:$AL$2,0))</f>
        <v>195.35180348</v>
      </c>
      <c r="F4" s="16">
        <f>INDEX('Inputs (2)'!$D$50:$AL$50,MATCH(F$7,'Inputs (2)'!$D$2:$AL$2,0))</f>
        <v>235.668227</v>
      </c>
      <c r="G4" s="16">
        <f>INDEX('Inputs (2)'!$D$50:$AL$50,MATCH(G$7,'Inputs (2)'!$D$2:$AL$2,0))</f>
        <v>193.42400276</v>
      </c>
      <c r="H4" s="16">
        <f>IF(COUNT(D4:G4)=4,SUM(D4:G4),"")</f>
        <v>726.26800276</v>
      </c>
      <c r="I4" s="16">
        <f>INDEX('Inputs (2)'!$D$50:$AL$50,MATCH(I$7,'Inputs (2)'!$D$2:$AL$2,0))</f>
        <v>156.721154309999</v>
      </c>
      <c r="J4" s="16">
        <f>INDEX('Inputs (2)'!$D$50:$AL$50,MATCH(J$7,'Inputs (2)'!$D$2:$AL$2,0))</f>
        <v>190.563345490001</v>
      </c>
      <c r="K4" s="16">
        <f>INDEX('Inputs (2)'!$D$50:$AL$50,MATCH(K$7,'Inputs (2)'!$D$2:$AL$2,0))</f>
        <v>213.424</v>
      </c>
      <c r="L4" s="16">
        <f>INDEX('Inputs (2)'!$D$50:$AL$50,MATCH(L$7,'Inputs (2)'!$D$2:$AL$2,0))</f>
        <v>208.08263300999</v>
      </c>
      <c r="M4" s="16">
        <f>IF(COUNT(I4:L4)=4,SUM(I4:L4),"")</f>
        <v>768.79113280999</v>
      </c>
      <c r="N4" s="16">
        <f>INDEX('Inputs (2)'!$D$50:$AL$50,MATCH(N$7,'Inputs (2)'!$D$2:$AL$2,0))</f>
        <v>199.21184191</v>
      </c>
      <c r="O4" s="16">
        <f>INDEX('Inputs (2)'!$D$50:$AL$50,MATCH(O$7,'Inputs (2)'!$D$2:$AL$2,0))</f>
        <v>264.12308316</v>
      </c>
      <c r="P4" s="16">
        <f>INDEX('Inputs (2)'!$D$50:$AL$50,MATCH(P$7,'Inputs (2)'!$D$2:$AL$2,0))</f>
        <v>290.871</v>
      </c>
      <c r="Q4" s="16">
        <f>INDEX('Inputs (2)'!$D$50:$AL$50,MATCH(Q$7,'Inputs (2)'!$D$2:$AL$2,0))</f>
        <v>310.58877903</v>
      </c>
      <c r="R4" s="16">
        <f>IF(COUNT(N4:Q4)=4,SUM(N4:Q4),"")</f>
        <v>1064.7947041</v>
      </c>
      <c r="S4" s="16">
        <f>INDEX('Inputs (2)'!$D$50:$AL$50,MATCH(S$7,'Inputs (2)'!$D$2:$AL$2,0))</f>
        <v>239.69166758</v>
      </c>
      <c r="T4" s="16">
        <f>INDEX('Inputs (2)'!$D$50:$AL$50,MATCH(T$7,'Inputs (2)'!$D$2:$AL$2,0))</f>
        <v>293.233</v>
      </c>
      <c r="U4" s="16">
        <f>INDEX('Inputs (2)'!$D$50:$AL$50,MATCH(U$7,'Inputs (2)'!$D$2:$AL$2,0))</f>
        <v>313.597</v>
      </c>
      <c r="V4" s="16">
        <f>INDEX('Inputs (2)'!$D$50:$AL$50,MATCH(V$7,'Inputs (2)'!$D$2:$AL$2,0))</f>
        <v>388.117449900001</v>
      </c>
      <c r="W4" s="16">
        <f>IF(COUNT(S4:V4)=4,SUM(S4:V4),"")</f>
        <v>1234.63911748</v>
      </c>
      <c r="X4" s="16">
        <f>INDEX('Inputs (2)'!$D$50:$AL$50,MATCH(X$7,'Inputs (2)'!$D$2:$AL$2,0))</f>
        <v>240.377781311575</v>
      </c>
      <c r="Y4" s="16">
        <f>INDEX('Inputs (2)'!$D$50:$AL$50,MATCH(Y$7,'Inputs (2)'!$D$2:$AL$2,0))</f>
        <v>327.34421227111</v>
      </c>
      <c r="Z4" s="16">
        <f>INDEX('Inputs (2)'!$D$50:$AL$50,MATCH(Z$7,'Inputs (2)'!$D$2:$AL$2,0))</f>
        <v>355.261</v>
      </c>
      <c r="AA4" s="16">
        <f>INDEX('Inputs (2)'!$D$50:$AL$50,MATCH(AA$7,'Inputs (2)'!$D$2:$AL$2,0))</f>
        <v>323.2319</v>
      </c>
      <c r="AB4" s="16">
        <f>IF(COUNT(X4:AA4)=4,SUM(X4:AA4),"")</f>
        <v>1246.21489358269</v>
      </c>
      <c r="AC4" s="16">
        <f>INDEX('Inputs (2)'!$D$50:$AL$50,MATCH(AC$7,'Inputs (2)'!$D$2:$AL$2,0))</f>
        <v>276.32</v>
      </c>
      <c r="AD4" s="16">
        <f>INDEX('Inputs (2)'!$D$50:$AL$50,MATCH(AD$7,'Inputs (2)'!$D$2:$AL$2,0))</f>
        <v>395.777</v>
      </c>
      <c r="AE4" s="16">
        <f>INDEX('Inputs (2)'!$D$50:$AL$50,MATCH(AE$7,'Inputs (2)'!$D$2:$AL$2,0))</f>
        <v>850.546</v>
      </c>
      <c r="AF4" s="16">
        <f>INDEX('Inputs (2)'!$D$50:$AL$50,MATCH(AF$7,'Inputs (2)'!$D$2:$AL$2,0))</f>
        <v>324.264000000031</v>
      </c>
      <c r="AG4" s="16">
        <f>IF(COUNT(AC4:AF4)=4,SUM(AC4:AF4),"")</f>
        <v>1846.90700000003</v>
      </c>
      <c r="AH4" s="6">
        <f>INDEX('Inputs (2)'!$D$50:$AL$50,MATCH(AH$7,'Inputs (2)'!$D$2:$AL$2,0))</f>
        <v>212.881</v>
      </c>
      <c r="AI4" s="6">
        <f>INDEX('Inputs (2)'!$D$50:$AL$50,MATCH(AI$7,'Inputs (2)'!$D$2:$AL$2,0))</f>
        <v>236.805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2409.28442457</v>
      </c>
      <c r="E15" s="15">
        <f>INDEX('Inputs (2)'!$D$4:$AL$4,MATCH(E$7,'Inputs (2)'!$D$2:$AL$2,0))</f>
        <v>2889.00334843</v>
      </c>
      <c r="F15" s="15">
        <f>INDEX('Inputs (2)'!$D$4:$AL$4,MATCH(F$7,'Inputs (2)'!$D$2:$AL$2,0))</f>
        <v>3463.454227</v>
      </c>
      <c r="G15" s="15">
        <f>INDEX('Inputs (2)'!$D$4:$AL$4,MATCH(G$7,'Inputs (2)'!$D$2:$AL$2,0))</f>
        <v>3635.29590979</v>
      </c>
      <c r="H15" s="16">
        <f>SUM(D15:G15)</f>
        <v>12397.03790979</v>
      </c>
      <c r="I15" s="15">
        <f>INDEX('Inputs (2)'!$D$4:$AL$4,MATCH(I$7,'Inputs (2)'!$D$2:$AL$2,0))</f>
        <v>3362.273093422</v>
      </c>
      <c r="J15" s="15">
        <f>INDEX('Inputs (2)'!$D$4:$AL$4,MATCH(J$7,'Inputs (2)'!$D$2:$AL$2,0))</f>
        <v>3724.34168501941</v>
      </c>
      <c r="K15" s="15">
        <f>INDEX('Inputs (2)'!$D$4:$AL$4,MATCH(K$7,'Inputs (2)'!$D$2:$AL$2,0))</f>
        <v>4349.125</v>
      </c>
      <c r="L15" s="15">
        <f>INDEX('Inputs (2)'!$D$4:$AL$4,MATCH(L$7,'Inputs (2)'!$D$2:$AL$2,0))</f>
        <v>4441.11722155859</v>
      </c>
      <c r="M15" s="16">
        <f>SUM(I15:L15)</f>
        <v>15876.857</v>
      </c>
      <c r="N15" s="15">
        <f>INDEX('Inputs (2)'!$D$4:$AL$4,MATCH(N$7,'Inputs (2)'!$D$2:$AL$2,0))</f>
        <v>4578.77953623342</v>
      </c>
      <c r="O15" s="15">
        <f>INDEX('Inputs (2)'!$D$4:$AL$4,MATCH(O$7,'Inputs (2)'!$D$2:$AL$2,0))</f>
        <v>5201.989</v>
      </c>
      <c r="P15" s="15">
        <f>INDEX('Inputs (2)'!$D$4:$AL$4,MATCH(P$7,'Inputs (2)'!$D$2:$AL$2,0))</f>
        <v>5923.131</v>
      </c>
      <c r="Q15" s="15">
        <f>INDEX('Inputs (2)'!$D$4:$AL$4,MATCH(Q$7,'Inputs (2)'!$D$2:$AL$2,0))</f>
        <v>6064.57696333213</v>
      </c>
      <c r="R15" s="16">
        <f>SUM(N15:Q15)</f>
        <v>21768.4764995656</v>
      </c>
      <c r="S15" s="15">
        <f>INDEX('Inputs (2)'!$D$4:$AL$4,MATCH(S$7,'Inputs (2)'!$D$2:$AL$2,0))</f>
        <v>5867.87971434321</v>
      </c>
      <c r="T15" s="15">
        <f>INDEX('Inputs (2)'!$D$4:$AL$4,MATCH(T$7,'Inputs (2)'!$D$2:$AL$2,0))</f>
        <v>6429.472</v>
      </c>
      <c r="U15" s="15">
        <f>INDEX('Inputs (2)'!$D$4:$AL$4,MATCH(U$7,'Inputs (2)'!$D$2:$AL$2,0))</f>
        <v>6934.929</v>
      </c>
      <c r="V15" s="15">
        <f>INDEX('Inputs (2)'!$D$4:$AL$4,MATCH(V$7,'Inputs (2)'!$D$2:$AL$2,0))</f>
        <v>7541.30528565679</v>
      </c>
      <c r="W15" s="16">
        <f>SUM(S15:V15)</f>
        <v>26773.586</v>
      </c>
      <c r="X15" s="15">
        <f>INDEX('Inputs (2)'!$D$4:$AL$4,MATCH(X$7,'Inputs (2)'!$D$2:$AL$2,0))</f>
        <v>7382.47064772889</v>
      </c>
      <c r="Y15" s="15">
        <f>INDEX('Inputs (2)'!$D$4:$AL$4,MATCH(Y$7,'Inputs (2)'!$D$2:$AL$2,0))</f>
        <v>7638.92435227111</v>
      </c>
      <c r="Z15" s="15">
        <f>INDEX('Inputs (2)'!$D$4:$AL$4,MATCH(Z$7,'Inputs (2)'!$D$2:$AL$2,0))</f>
        <v>8337.057</v>
      </c>
      <c r="AA15" s="15">
        <f>INDEX('Inputs (2)'!$D$4:$AL$4,MATCH(AA$7,'Inputs (2)'!$D$2:$AL$2,0))</f>
        <v>8726.977</v>
      </c>
      <c r="AB15" s="16">
        <f>SUM(X15:AA15)</f>
        <v>32085.429</v>
      </c>
      <c r="AC15" s="15">
        <f>INDEX('Inputs (2)'!$D$4:$AL$4,MATCH(AC$7,'Inputs (2)'!$D$2:$AL$2,0))</f>
        <v>8331.305</v>
      </c>
      <c r="AD15" s="15">
        <f>INDEX('Inputs (2)'!$D$4:$AL$4,MATCH(AD$7,'Inputs (2)'!$D$2:$AL$2,0))</f>
        <v>8779.63643321623</v>
      </c>
      <c r="AE15" s="15">
        <f>INDEX('Inputs (2)'!$D$4:$AL$4,MATCH(AE$7,'Inputs (2)'!$D$2:$AL$2,0))</f>
        <v>10763.538</v>
      </c>
      <c r="AF15" s="15">
        <f>INDEX('Inputs (2)'!$D$4:$AL$4,MATCH(AF$7,'Inputs (2)'!$D$2:$AL$2,0))</f>
        <v>10549.9226357838</v>
      </c>
      <c r="AG15" s="16">
        <f>SUM(AC15:AF15)</f>
        <v>38424.402069</v>
      </c>
      <c r="AH15" s="16">
        <f>INDEX('Inputs (2)'!$D$4:$AL$4,MATCH(AH$7,'Inputs (2)'!$D$2:$AL$2,0))</f>
        <v>9402.27</v>
      </c>
      <c r="AI15" s="16">
        <f>INDEX('Inputs (2)'!$D$4:$AL$4,MATCH(AI$7,'Inputs (2)'!$D$2:$AL$2,0))</f>
        <v>9852.461</v>
      </c>
      <c r="AJ15" s="16">
        <f>AE15*(1+AJ16)</f>
        <v>10763.538</v>
      </c>
      <c r="AK15" s="16">
        <f>AF15*(1+AK16)</f>
        <v>10549.9226357838</v>
      </c>
      <c r="AL15" s="16">
        <f>SUM(AH15:AK15)</f>
        <v>40568.1916357838</v>
      </c>
      <c r="AM15" s="16">
        <f>AH15*(1+AM16)</f>
        <v>9402.27</v>
      </c>
      <c r="AN15" s="16">
        <f>AI15*(1+AN16)</f>
        <v>9852.461</v>
      </c>
      <c r="AO15" s="16">
        <f>AJ15*(1+AO16)</f>
        <v>10763.538</v>
      </c>
      <c r="AP15" s="16">
        <f>AK15*(1+AP16)</f>
        <v>10549.9226357838</v>
      </c>
      <c r="AQ15" s="16">
        <f>SUM(AM15:AP15)</f>
        <v>40568.1916357838</v>
      </c>
      <c r="AR15" s="16">
        <f>AM15*(1+AR16)</f>
        <v>9402.27</v>
      </c>
      <c r="AS15" s="16">
        <f>AN15*(1+AS16)</f>
        <v>9852.461</v>
      </c>
      <c r="AT15" s="16">
        <f>AO15*(1+AT16)</f>
        <v>10763.538</v>
      </c>
      <c r="AU15" s="16">
        <f>AP15*(1+AU16)</f>
        <v>10549.9226357838</v>
      </c>
      <c r="AV15" s="16">
        <f>SUM(AR15:AU15)</f>
        <v>40568.1916357838</v>
      </c>
      <c r="AW15" s="16">
        <f>AR15*(1+AW16)</f>
        <v>9402.27</v>
      </c>
      <c r="AX15" s="16">
        <f>AS15*(1+AX16)</f>
        <v>9852.461</v>
      </c>
      <c r="AY15" s="16">
        <f>AT15*(1+AY16)</f>
        <v>10763.538</v>
      </c>
      <c r="AZ15" s="16">
        <f>AU15*(1+AZ16)</f>
        <v>10549.9226357838</v>
      </c>
      <c r="BA15" s="16">
        <f>SUM(AW15:AZ15)</f>
        <v>40568.1916357838</v>
      </c>
      <c r="BB15" s="16">
        <f>AW15*(1+BB16)</f>
        <v>9402.27</v>
      </c>
      <c r="BC15" s="16">
        <f>AX15*(1+BC16)</f>
        <v>9852.461</v>
      </c>
      <c r="BD15" s="16">
        <f>AY15*(1+BD16)</f>
        <v>10763.538</v>
      </c>
      <c r="BE15" s="16">
        <f>AZ15*(1+BE16)</f>
        <v>10549.9226357838</v>
      </c>
      <c r="BF15" s="16">
        <f>SUM(BB15:BE15)</f>
        <v>40568.1916357838</v>
      </c>
      <c r="BG15" s="16">
        <f>BB15*(1+BG16)</f>
        <v>9402.27</v>
      </c>
      <c r="BH15" s="16">
        <f>BC15*(1+BH16)</f>
        <v>9852.461</v>
      </c>
      <c r="BI15" s="16">
        <f>BD15*(1+BI16)</f>
        <v>10763.538</v>
      </c>
      <c r="BJ15" s="16">
        <f>BE15*(1+BJ16)</f>
        <v>10549.9226357838</v>
      </c>
      <c r="BK15" s="16">
        <f>SUM(BG15:BJ15)</f>
        <v>40568.1916357838</v>
      </c>
      <c r="BL15" s="16">
        <f>BG15*(1+BL16)</f>
        <v>9402.27</v>
      </c>
      <c r="BM15" s="16">
        <f>BH15*(1+BM16)</f>
        <v>9852.461</v>
      </c>
      <c r="BN15" s="16">
        <f>BI15*(1+BN16)</f>
        <v>10763.538</v>
      </c>
      <c r="BO15" s="16">
        <f>BJ15*(1+BO16)</f>
        <v>10549.9226357838</v>
      </c>
      <c r="BP15" s="16">
        <f>SUM(BL15:BO15)</f>
        <v>40568.1916357838</v>
      </c>
      <c r="BQ15" s="16">
        <f>BL15*(1+BQ16)</f>
        <v>9402.27</v>
      </c>
      <c r="BR15" s="16">
        <f>BM15*(1+BR16)</f>
        <v>9852.461</v>
      </c>
      <c r="BS15" s="16">
        <f>BN15*(1+BS16)</f>
        <v>10763.538</v>
      </c>
      <c r="BT15" s="16">
        <f>BO15*(1+BT16)</f>
        <v>10549.9226357838</v>
      </c>
      <c r="BU15" s="16">
        <f>SUM(BQ15:BT15)</f>
        <v>40568.1916357838</v>
      </c>
      <c r="BV15" s="16">
        <f>BQ15*(1+BV16)</f>
        <v>9402.27</v>
      </c>
      <c r="BW15" s="16">
        <f>BR15*(1+BW16)</f>
        <v>9852.461</v>
      </c>
      <c r="BX15" s="16">
        <f>BS15*(1+BX16)</f>
        <v>10763.538</v>
      </c>
      <c r="BY15" s="16">
        <f>BT15*(1+BY16)</f>
        <v>10549.9226357838</v>
      </c>
      <c r="BZ15" s="16">
        <f>SUM(BV15:BY15)</f>
        <v>40568.1916357838</v>
      </c>
      <c r="CA15" s="16">
        <f>BV15*(1+CA16)</f>
        <v>9402.27</v>
      </c>
      <c r="CB15" s="16">
        <f>BW15*(1+CB16)</f>
        <v>9852.461</v>
      </c>
      <c r="CC15" s="16">
        <f>BX15*(1+CC16)</f>
        <v>10763.538</v>
      </c>
      <c r="CD15" s="16">
        <f>BY15*(1+CD16)</f>
        <v>10549.9226357838</v>
      </c>
      <c r="CE15" s="16">
        <f>SUM(CA15:CD15)</f>
        <v>40568.1916357838</v>
      </c>
      <c r="CF15" s="16">
        <f>CA15*(1+CF16)</f>
        <v>9402.27</v>
      </c>
      <c r="CG15" s="16">
        <f>CB15*(1+CG16)</f>
        <v>9852.461</v>
      </c>
      <c r="CH15" s="16">
        <f>CC15*(1+CH16)</f>
        <v>10763.538</v>
      </c>
      <c r="CI15" s="16">
        <f>CD15*(1+CI16)</f>
        <v>10549.9226357838</v>
      </c>
      <c r="CJ15" s="16">
        <f>SUM(CF15:CI15)</f>
        <v>40568.1916357838</v>
      </c>
      <c r="CK15" s="16">
        <f>CF15*(1+CK16)</f>
        <v>9402.27</v>
      </c>
      <c r="CL15" s="16">
        <f>CG15*(1+CL16)</f>
        <v>9852.461</v>
      </c>
      <c r="CM15" s="16">
        <f>CH15*(1+CM16)</f>
        <v>10763.538</v>
      </c>
      <c r="CN15" s="16">
        <f>CI15*(1+CN16)</f>
        <v>10549.9226357838</v>
      </c>
      <c r="CO15" s="16">
        <f>SUM(CK15:CN15)</f>
        <v>40568.1916357838</v>
      </c>
      <c r="CP15" s="16">
        <f>CK15*(1+CP16)</f>
        <v>9402.27</v>
      </c>
      <c r="CQ15" s="16">
        <f>CL15*(1+CQ16)</f>
        <v>9852.461</v>
      </c>
      <c r="CR15" s="16">
        <f>CM15*(1+CR16)</f>
        <v>10763.538</v>
      </c>
      <c r="CS15" s="16">
        <f>CN15*(1+CS16)</f>
        <v>10549.9226357838</v>
      </c>
      <c r="CT15" s="16">
        <f>SUM(CP15:CS15)</f>
        <v>40568.1916357838</v>
      </c>
      <c r="CU15" s="16">
        <f>CP15*(1+CU16)</f>
        <v>9402.27</v>
      </c>
      <c r="CV15" s="16">
        <f>CQ15*(1+CV16)</f>
        <v>9852.461</v>
      </c>
      <c r="CW15" s="16">
        <f>CR15*(1+CW16)</f>
        <v>10763.538</v>
      </c>
      <c r="CX15" s="16">
        <f>CS15*(1+CX16)</f>
        <v>10549.9226357838</v>
      </c>
      <c r="CY15" s="16">
        <f>SUM(CU15:CX15)</f>
        <v>40568.1916357838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0.361810718228514</v>
      </c>
      <c r="O16" s="47">
        <f>O15/J15-1</f>
        <v>0.396753960820565</v>
      </c>
      <c r="P16" s="47">
        <f>P15/K15-1</f>
        <v>0.361913258414049</v>
      </c>
      <c r="Q16" s="47">
        <f>Q15/L15-1</f>
        <v>0.365552103397035</v>
      </c>
      <c r="R16" s="47">
        <f>R15/M15-1</f>
        <v>0.371082229912731</v>
      </c>
      <c r="S16" s="47">
        <f>S15/N15-1</f>
        <v>0.281537944316538</v>
      </c>
      <c r="T16" s="47">
        <f>T15/O15-1</f>
        <v>0.235964166783128</v>
      </c>
      <c r="U16" s="47">
        <f>U15/P15-1</f>
        <v>0.170821479383117</v>
      </c>
      <c r="V16" s="47">
        <f>V15/Q15-1</f>
        <v>0.243500631825321</v>
      </c>
      <c r="W16" s="47">
        <f>W15/R15-1</f>
        <v>0.22992465736104</v>
      </c>
      <c r="X16" s="47">
        <f>X15/S15-1</f>
        <v>0.258115538681455</v>
      </c>
      <c r="Y16" s="47">
        <f>Y15/T15-1</f>
        <v>0.188110680359306</v>
      </c>
      <c r="Z16" s="47">
        <f>Z15/U15-1</f>
        <v>0.202183468641135</v>
      </c>
      <c r="AA16" s="47">
        <f>AA15/V15-1</f>
        <v>0.157223672750433</v>
      </c>
      <c r="AB16" s="47">
        <f>AB15/W15-1</f>
        <v>0.198398638120422</v>
      </c>
      <c r="AC16" s="47">
        <f>AC15/X15-1</f>
        <v>0.1285253132111</v>
      </c>
      <c r="AD16" s="47">
        <f>AD15/Y15-1</f>
        <v>0.149328888249296</v>
      </c>
      <c r="AE16" s="47">
        <f>AE15/Z15-1</f>
        <v>0.291047668259915</v>
      </c>
      <c r="AF16" s="44">
        <f>AF15/AA15-1</f>
        <v>0.208886265631707</v>
      </c>
      <c r="AG16" s="47">
        <f>AG15/AB15-1</f>
        <v>0.197565476497136</v>
      </c>
      <c r="AH16" s="44">
        <f>AH15/AC15-1</f>
        <v>0.128547088361307</v>
      </c>
      <c r="AI16" s="44">
        <f>AI15/AD15-1</f>
        <v>0.122194646093194</v>
      </c>
      <c r="AJ16" s="44" t="n"/>
      <c r="AK16" s="44" t="n"/>
      <c r="AL16" s="22">
        <f>AL15/AG15-1</f>
        <v>0.0557923988754359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receita liquida por regiao, linha 38; so a partir do 3T25)</t>
        </is>
      </c>
      <c r="D17" s="15" t="str">
        <f>IF(COUNT(D38)=0,"",ROUND(D15-D38,6))</f>
        <v/>
      </c>
      <c r="E17" s="15" t="str">
        <f>IF(COUNT(E38)=0,"",ROUND(E15-E38,6))</f>
        <v/>
      </c>
      <c r="F17" s="15" t="str">
        <f>IF(COUNT(F38)=0,"",ROUND(F15-F38,6))</f>
        <v/>
      </c>
      <c r="G17" s="15" t="str">
        <f>IF(COUNT(G38)=0,"",ROUND(G15-G38,6))</f>
        <v/>
      </c>
      <c r="H17" s="16" t="str">
        <f>IF(COUNT(H38)=0,"",ROUND(H15-H38,6))</f>
        <v/>
      </c>
      <c r="I17" s="15" t="str">
        <f>IF(COUNT(I38)=0,"",ROUND(I15-I38,6))</f>
        <v/>
      </c>
      <c r="J17" s="15" t="str">
        <f>IF(COUNT(J38)=0,"",ROUND(J15-J38,6))</f>
        <v/>
      </c>
      <c r="K17" s="15" t="str">
        <f>IF(COUNT(K38)=0,"",ROUND(K15-K38,6))</f>
        <v/>
      </c>
      <c r="L17" s="15" t="str">
        <f>IF(COUNT(L38)=0,"",ROUND(L15-L38,6))</f>
        <v/>
      </c>
      <c r="M17" s="16" t="str">
        <f>IF(COUNT(M38)=0,"",ROUND(M15-M38,6))</f>
        <v/>
      </c>
      <c r="N17" s="15" t="str">
        <f>IF(COUNT(N38)=0,"",ROUND(N15-N38,6))</f>
        <v/>
      </c>
      <c r="O17" s="15" t="str">
        <f>IF(COUNT(O38)=0,"",ROUND(O15-O38,6))</f>
        <v/>
      </c>
      <c r="P17" s="15" t="str">
        <f>IF(COUNT(P38)=0,"",ROUND(P15-P38,6))</f>
        <v/>
      </c>
      <c r="Q17" s="15" t="str">
        <f>IF(COUNT(Q38)=0,"",ROUND(Q15-Q38,6))</f>
        <v/>
      </c>
      <c r="R17" s="16" t="str">
        <f>IF(COUNT(R38)=0,"",ROUND(R15-R38,6))</f>
        <v/>
      </c>
      <c r="S17" s="15" t="str">
        <f>IF(COUNT(S38)=0,"",ROUND(S15-S38,6))</f>
        <v/>
      </c>
      <c r="T17" s="15" t="str">
        <f>IF(COUNT(T38)=0,"",ROUND(T15-T38,6))</f>
        <v/>
      </c>
      <c r="U17" s="15" t="str">
        <f>IF(COUNT(U38)=0,"",ROUND(U15-U38,6))</f>
        <v/>
      </c>
      <c r="V17" s="15" t="str">
        <f>IF(COUNT(V38)=0,"",ROUND(V15-V38,6))</f>
        <v/>
      </c>
      <c r="W17" s="16" t="str">
        <f>IF(COUNT(W38)=0,"",ROUND(W15-W38,6))</f>
        <v/>
      </c>
      <c r="X17" s="15" t="str">
        <f>IF(COUNT(X38)=0,"",ROUND(X15-X38,6))</f>
        <v/>
      </c>
      <c r="Y17" s="15" t="str">
        <f>IF(COUNT(Y38)=0,"",ROUND(Y15-Y38,6))</f>
        <v/>
      </c>
      <c r="Z17" s="15" t="str">
        <f>IF(COUNT(Z38)=0,"",ROUND(Z15-Z38,6))</f>
        <v/>
      </c>
      <c r="AA17" s="15" t="str">
        <f>IF(COUNT(AA38)=0,"",ROUND(AA15-AA38,6))</f>
        <v/>
      </c>
      <c r="AB17" s="16" t="str">
        <f>IF(COUNT(AB38)=0,"",ROUND(AB15-AB38,6))</f>
        <v/>
      </c>
      <c r="AC17" s="15" t="str">
        <f>IF(COUNT(AC38)=0,"",ROUND(AC15-AC38,6))</f>
        <v/>
      </c>
      <c r="AD17" s="15" t="str">
        <f>IF(COUNT(AD38)=0,"",ROUND(AD15-AD38,6))</f>
        <v/>
      </c>
      <c r="AE17" s="15">
        <f>IF(COUNT(AE38)=0,"",ROUND(AE15-AE38,6))</f>
        <v>-0.462</v>
      </c>
      <c r="AF17" s="15">
        <f>IF(COUNT(AF38)=0,"",ROUND(AF15-AF38,6))</f>
        <v>-0.077364</v>
      </c>
      <c r="AG17" s="16" t="str">
        <f>IF(COUNT(AG38)=0,"",ROUND(AG15-AG38,6))</f>
        <v/>
      </c>
      <c r="AH17" s="16">
        <f>IF(COUNT(AH38)=0,"",ROUND(AH15-AH38,6))</f>
        <v>0.27</v>
      </c>
      <c r="AI17" s="16">
        <f>IF(COUNT(AI38)=0,"",ROUND(AI15-AI38,6))</f>
        <v>-0.539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bruta de mercadorias por segmento - como a Cia divulga (releases; R$ milhoes; aberta ate o 4T25)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Atacarejo (Mix Mateus; + Novo Atacarejo desde 3T25)</t>
        </is>
      </c>
      <c r="D19" s="265">
        <f>IFERROR(INDEX('Inputs (2)'!$D$53:$AL$53,MATCH(D$7,'Inputs (2)'!$D$2:$AL$2,0)),"")</f>
        <v>1251</v>
      </c>
      <c r="E19" s="265">
        <f>IFERROR(INDEX('Inputs (2)'!$D$53:$AL$53,MATCH(E$7,'Inputs (2)'!$D$2:$AL$2,0)),"")</f>
        <v>1552</v>
      </c>
      <c r="F19" s="265">
        <f>IFERROR(INDEX('Inputs (2)'!$D$53:$AL$53,MATCH(F$7,'Inputs (2)'!$D$2:$AL$2,0)),"")</f>
        <v>1933</v>
      </c>
      <c r="G19" s="265">
        <f>IFERROR(INDEX('Inputs (2)'!$D$53:$AL$53,MATCH(G$7,'Inputs (2)'!$D$2:$AL$2,0)),"")</f>
        <v>2076</v>
      </c>
      <c r="H19" s="266">
        <f>IF(COUNT(D19:G19)=4,SUM(D19:G19),"")</f>
        <v>6812</v>
      </c>
      <c r="I19" s="265">
        <f>IFERROR(INDEX('Inputs (2)'!$D$53:$AL$53,MATCH(I$7,'Inputs (2)'!$D$2:$AL$2,0)),"")</f>
        <v>1827</v>
      </c>
      <c r="J19" s="265">
        <f>IFERROR(INDEX('Inputs (2)'!$D$53:$AL$53,MATCH(J$7,'Inputs (2)'!$D$2:$AL$2,0)),"")</f>
        <v>2003</v>
      </c>
      <c r="K19" s="265">
        <f>IFERROR(INDEX('Inputs (2)'!$D$53:$AL$53,MATCH(K$7,'Inputs (2)'!$D$2:$AL$2,0)),"")</f>
        <v>2381</v>
      </c>
      <c r="L19" s="265">
        <f>IFERROR(INDEX('Inputs (2)'!$D$53:$AL$53,MATCH(L$7,'Inputs (2)'!$D$2:$AL$2,0)),"")</f>
        <v>2485</v>
      </c>
      <c r="M19" s="266">
        <f>IF(COUNT(I19:L19)=4,SUM(I19:L19),"")</f>
        <v>8696</v>
      </c>
      <c r="N19" s="265">
        <f>IFERROR(INDEX('Inputs (2)'!$D$53:$AL$53,MATCH(N$7,'Inputs (2)'!$D$2:$AL$2,0)),"")</f>
        <v>2514</v>
      </c>
      <c r="O19" s="265">
        <f>IFERROR(INDEX('Inputs (2)'!$D$53:$AL$53,MATCH(O$7,'Inputs (2)'!$D$2:$AL$2,0)),"")</f>
        <v>2956</v>
      </c>
      <c r="P19" s="265">
        <f>IFERROR(INDEX('Inputs (2)'!$D$53:$AL$53,MATCH(P$7,'Inputs (2)'!$D$2:$AL$2,0)),"")</f>
        <v>3478</v>
      </c>
      <c r="Q19" s="265">
        <f>IFERROR(INDEX('Inputs (2)'!$D$53:$AL$53,MATCH(Q$7,'Inputs (2)'!$D$2:$AL$2,0)),"")</f>
        <v>3584</v>
      </c>
      <c r="R19" s="266">
        <f>IF(COUNT(N19:Q19)=4,SUM(N19:Q19),"")</f>
        <v>12532</v>
      </c>
      <c r="S19" s="265">
        <f>IFERROR(INDEX('Inputs (2)'!$D$53:$AL$53,MATCH(S$7,'Inputs (2)'!$D$2:$AL$2,0)),"")</f>
        <v>3523</v>
      </c>
      <c r="T19" s="265">
        <f>IFERROR(INDEX('Inputs (2)'!$D$53:$AL$53,MATCH(T$7,'Inputs (2)'!$D$2:$AL$2,0)),"")</f>
        <v>3899</v>
      </c>
      <c r="U19" s="265">
        <f>IFERROR(INDEX('Inputs (2)'!$D$53:$AL$53,MATCH(U$7,'Inputs (2)'!$D$2:$AL$2,0)),"")</f>
        <v>4209</v>
      </c>
      <c r="V19" s="265">
        <f>IFERROR(INDEX('Inputs (2)'!$D$53:$AL$53,MATCH(V$7,'Inputs (2)'!$D$2:$AL$2,0)),"")</f>
        <v>4753</v>
      </c>
      <c r="W19" s="266">
        <f>IF(COUNT(S19:V19)=4,SUM(S19:V19),"")</f>
        <v>16384</v>
      </c>
      <c r="X19" s="265">
        <f>IFERROR(INDEX('Inputs (2)'!$D$53:$AL$53,MATCH(X$7,'Inputs (2)'!$D$2:$AL$2,0)),"")</f>
        <v>4683</v>
      </c>
      <c r="Y19" s="265">
        <f>IFERROR(INDEX('Inputs (2)'!$D$53:$AL$53,MATCH(Y$7,'Inputs (2)'!$D$2:$AL$2,0)),"")</f>
        <v>4765</v>
      </c>
      <c r="Z19" s="265">
        <f>IFERROR(INDEX('Inputs (2)'!$D$53:$AL$53,MATCH(Z$7,'Inputs (2)'!$D$2:$AL$2,0)),"")</f>
        <v>5304</v>
      </c>
      <c r="AA19" s="265">
        <f>IFERROR(INDEX('Inputs (2)'!$D$53:$AL$53,MATCH(AA$7,'Inputs (2)'!$D$2:$AL$2,0)),"")</f>
        <v>5620</v>
      </c>
      <c r="AB19" s="266">
        <f>IF(COUNT(X19:AA19)=4,SUM(X19:AA19),"")</f>
        <v>20372</v>
      </c>
      <c r="AC19" s="265">
        <f>IFERROR(INDEX('Inputs (2)'!$D$53:$AL$53,MATCH(AC$7,'Inputs (2)'!$D$2:$AL$2,0)),"")</f>
        <v>5252</v>
      </c>
      <c r="AD19" s="265">
        <f>IFERROR(INDEX('Inputs (2)'!$D$53:$AL$53,MATCH(AD$7,'Inputs (2)'!$D$2:$AL$2,0)),"")</f>
        <v>5541</v>
      </c>
      <c r="AE19" s="265">
        <f>IFERROR(INDEX('Inputs (2)'!$D$53:$AL$53,MATCH(AE$7,'Inputs (2)'!$D$2:$AL$2,0)),"")</f>
        <v>7530</v>
      </c>
      <c r="AF19" s="265">
        <f>IFERROR(INDEX('Inputs (2)'!$D$53:$AL$53,MATCH(AF$7,'Inputs (2)'!$D$2:$AL$2,0)),"")</f>
        <v>7354</v>
      </c>
      <c r="AG19" s="266">
        <f>IF(COUNT(AC19:AF19)=4,SUM(AC19:AF19),"")</f>
        <v>25677</v>
      </c>
      <c r="AH19" s="266" t="str">
        <f>IFERROR(INDEX('Inputs (2)'!$D$53:$AL$53,MATCH(AH$7,'Inputs (2)'!$D$2:$AL$2,0)),"")</f>
        <v/>
      </c>
      <c r="AI19" s="266" t="str">
        <f>IFERROR(INDEX('Inputs (2)'!$D$53:$AL$53,MATCH(AI$7,'Inputs (2)'!$D$2:$AL$2,0)),"")</f>
        <v/>
      </c>
    </row>
    <row r="20">
      <c r="C20" s="14" t="inlineStr">
        <is>
          <t xml:space="preserve">   Varejo (Super/Hiper, Camino)</t>
        </is>
      </c>
      <c r="D20" s="265">
        <f>IFERROR(INDEX('Inputs (2)'!$D$54:$AL$54,MATCH(D$7,'Inputs (2)'!$D$2:$AL$2,0)),"")</f>
        <v>806</v>
      </c>
      <c r="E20" s="265">
        <f>IFERROR(INDEX('Inputs (2)'!$D$54:$AL$54,MATCH(E$7,'Inputs (2)'!$D$2:$AL$2,0)),"")</f>
        <v>869</v>
      </c>
      <c r="F20" s="265">
        <f>IFERROR(INDEX('Inputs (2)'!$D$54:$AL$54,MATCH(F$7,'Inputs (2)'!$D$2:$AL$2,0)),"")</f>
        <v>1021</v>
      </c>
      <c r="G20" s="265">
        <f>IFERROR(INDEX('Inputs (2)'!$D$54:$AL$54,MATCH(G$7,'Inputs (2)'!$D$2:$AL$2,0)),"")</f>
        <v>1183</v>
      </c>
      <c r="H20" s="266">
        <f>IF(COUNT(D20:G20)=4,SUM(D20:G20),"")</f>
        <v>3879</v>
      </c>
      <c r="I20" s="265">
        <f>IFERROR(INDEX('Inputs (2)'!$D$54:$AL$54,MATCH(I$7,'Inputs (2)'!$D$2:$AL$2,0)),"")</f>
        <v>1114</v>
      </c>
      <c r="J20" s="265">
        <f>IFERROR(INDEX('Inputs (2)'!$D$54:$AL$54,MATCH(J$7,'Inputs (2)'!$D$2:$AL$2,0)),"")</f>
        <v>1215</v>
      </c>
      <c r="K20" s="265">
        <f>IFERROR(INDEX('Inputs (2)'!$D$54:$AL$54,MATCH(K$7,'Inputs (2)'!$D$2:$AL$2,0)),"")</f>
        <v>1435</v>
      </c>
      <c r="L20" s="265">
        <f>IFERROR(INDEX('Inputs (2)'!$D$54:$AL$54,MATCH(L$7,'Inputs (2)'!$D$2:$AL$2,0)),"")</f>
        <v>1465</v>
      </c>
      <c r="M20" s="266">
        <f>IF(COUNT(I20:L20)=4,SUM(I20:L20),"")</f>
        <v>5229</v>
      </c>
      <c r="N20" s="265">
        <f>IFERROR(INDEX('Inputs (2)'!$D$54:$AL$54,MATCH(N$7,'Inputs (2)'!$D$2:$AL$2,0)),"")</f>
        <v>1474</v>
      </c>
      <c r="O20" s="265">
        <f>IFERROR(INDEX('Inputs (2)'!$D$54:$AL$54,MATCH(O$7,'Inputs (2)'!$D$2:$AL$2,0)),"")</f>
        <v>1622</v>
      </c>
      <c r="P20" s="265">
        <f>IFERROR(INDEX('Inputs (2)'!$D$54:$AL$54,MATCH(P$7,'Inputs (2)'!$D$2:$AL$2,0)),"")</f>
        <v>1829</v>
      </c>
      <c r="Q20" s="265">
        <f>IFERROR(INDEX('Inputs (2)'!$D$54:$AL$54,MATCH(Q$7,'Inputs (2)'!$D$2:$AL$2,0)),"")</f>
        <v>1883</v>
      </c>
      <c r="R20" s="266">
        <f>IF(COUNT(N20:Q20)=4,SUM(N20:Q20),"")</f>
        <v>6808</v>
      </c>
      <c r="S20" s="265">
        <f>IFERROR(INDEX('Inputs (2)'!$D$54:$AL$54,MATCH(S$7,'Inputs (2)'!$D$2:$AL$2,0)),"")</f>
        <v>1757</v>
      </c>
      <c r="T20" s="265">
        <f>IFERROR(INDEX('Inputs (2)'!$D$54:$AL$54,MATCH(T$7,'Inputs (2)'!$D$2:$AL$2,0)),"")</f>
        <v>1877</v>
      </c>
      <c r="U20" s="265">
        <f>IFERROR(INDEX('Inputs (2)'!$D$54:$AL$54,MATCH(U$7,'Inputs (2)'!$D$2:$AL$2,0)),"")</f>
        <v>2047</v>
      </c>
      <c r="V20" s="265">
        <f>IFERROR(INDEX('Inputs (2)'!$D$54:$AL$54,MATCH(V$7,'Inputs (2)'!$D$2:$AL$2,0)),"")</f>
        <v>2096</v>
      </c>
      <c r="W20" s="266">
        <f>IF(COUNT(S20:V20)=4,SUM(S20:V20),"")</f>
        <v>7777</v>
      </c>
      <c r="X20" s="265">
        <f>IFERROR(INDEX('Inputs (2)'!$D$54:$AL$54,MATCH(X$7,'Inputs (2)'!$D$2:$AL$2,0)),"")</f>
        <v>2036</v>
      </c>
      <c r="Y20" s="265">
        <f>IFERROR(INDEX('Inputs (2)'!$D$54:$AL$54,MATCH(Y$7,'Inputs (2)'!$D$2:$AL$2,0)),"")</f>
        <v>2055</v>
      </c>
      <c r="Z20" s="265">
        <f>IFERROR(INDEX('Inputs (2)'!$D$54:$AL$54,MATCH(Z$7,'Inputs (2)'!$D$2:$AL$2,0)),"")</f>
        <v>2164</v>
      </c>
      <c r="AA20" s="265">
        <f>IFERROR(INDEX('Inputs (2)'!$D$54:$AL$54,MATCH(AA$7,'Inputs (2)'!$D$2:$AL$2,0)),"")</f>
        <v>2244</v>
      </c>
      <c r="AB20" s="266">
        <f>IF(COUNT(X20:AA20)=4,SUM(X20:AA20),"")</f>
        <v>8499</v>
      </c>
      <c r="AC20" s="265">
        <f>IFERROR(INDEX('Inputs (2)'!$D$54:$AL$54,MATCH(AC$7,'Inputs (2)'!$D$2:$AL$2,0)),"")</f>
        <v>2110</v>
      </c>
      <c r="AD20" s="265">
        <f>IFERROR(INDEX('Inputs (2)'!$D$54:$AL$54,MATCH(AD$7,'Inputs (2)'!$D$2:$AL$2,0)),"")</f>
        <v>2143</v>
      </c>
      <c r="AE20" s="265">
        <f>IFERROR(INDEX('Inputs (2)'!$D$54:$AL$54,MATCH(AE$7,'Inputs (2)'!$D$2:$AL$2,0)),"")</f>
        <v>2228</v>
      </c>
      <c r="AF20" s="265">
        <f>IFERROR(INDEX('Inputs (2)'!$D$54:$AL$54,MATCH(AF$7,'Inputs (2)'!$D$2:$AL$2,0)),"")</f>
        <v>2326</v>
      </c>
      <c r="AG20" s="266">
        <f>IF(COUNT(AC20:AF20)=4,SUM(AC20:AF20),"")</f>
        <v>8807</v>
      </c>
      <c r="AH20" s="266" t="str">
        <f>IFERROR(INDEX('Inputs (2)'!$D$54:$AL$54,MATCH(AH$7,'Inputs (2)'!$D$2:$AL$2,0)),"")</f>
        <v/>
      </c>
      <c r="AI20" s="266" t="str">
        <f>IFERROR(INDEX('Inputs (2)'!$D$54:$AL$54,MATCH(AI$7,'Inputs (2)'!$D$2:$AL$2,0)),"")</f>
        <v/>
      </c>
    </row>
    <row r="21">
      <c r="C21" s="14" t="inlineStr">
        <is>
          <t xml:space="preserve">   Eletro</t>
        </is>
      </c>
      <c r="D21" s="265">
        <f>IFERROR(INDEX('Inputs (2)'!$D$55:$AL$55,MATCH(D$7,'Inputs (2)'!$D$2:$AL$2,0)),"")</f>
        <v>120</v>
      </c>
      <c r="E21" s="265">
        <f>IFERROR(INDEX('Inputs (2)'!$D$55:$AL$55,MATCH(E$7,'Inputs (2)'!$D$2:$AL$2,0)),"")</f>
        <v>155</v>
      </c>
      <c r="F21" s="265">
        <f>IFERROR(INDEX('Inputs (2)'!$D$55:$AL$55,MATCH(F$7,'Inputs (2)'!$D$2:$AL$2,0)),"")</f>
        <v>252</v>
      </c>
      <c r="G21" s="265">
        <f>IFERROR(INDEX('Inputs (2)'!$D$55:$AL$55,MATCH(G$7,'Inputs (2)'!$D$2:$AL$2,0)),"")</f>
        <v>269</v>
      </c>
      <c r="H21" s="266">
        <f>IF(COUNT(D21:G21)=4,SUM(D21:G21),"")</f>
        <v>796</v>
      </c>
      <c r="I21" s="265">
        <f>IFERROR(INDEX('Inputs (2)'!$D$55:$AL$55,MATCH(I$7,'Inputs (2)'!$D$2:$AL$2,0)),"")</f>
        <v>196</v>
      </c>
      <c r="J21" s="265">
        <f>IFERROR(INDEX('Inputs (2)'!$D$55:$AL$55,MATCH(J$7,'Inputs (2)'!$D$2:$AL$2,0)),"")</f>
        <v>243</v>
      </c>
      <c r="K21" s="265">
        <f>IFERROR(INDEX('Inputs (2)'!$D$55:$AL$55,MATCH(K$7,'Inputs (2)'!$D$2:$AL$2,0)),"")</f>
        <v>264</v>
      </c>
      <c r="L21" s="265">
        <f>IFERROR(INDEX('Inputs (2)'!$D$55:$AL$55,MATCH(L$7,'Inputs (2)'!$D$2:$AL$2,0)),"")</f>
        <v>292</v>
      </c>
      <c r="M21" s="266">
        <f>IF(COUNT(I21:L21)=4,SUM(I21:L21),"")</f>
        <v>995</v>
      </c>
      <c r="N21" s="265">
        <f>IFERROR(INDEX('Inputs (2)'!$D$55:$AL$55,MATCH(N$7,'Inputs (2)'!$D$2:$AL$2,0)),"")</f>
        <v>256</v>
      </c>
      <c r="O21" s="265">
        <f>IFERROR(INDEX('Inputs (2)'!$D$55:$AL$55,MATCH(O$7,'Inputs (2)'!$D$2:$AL$2,0)),"")</f>
        <v>281</v>
      </c>
      <c r="P21" s="265">
        <f>IFERROR(INDEX('Inputs (2)'!$D$55:$AL$55,MATCH(P$7,'Inputs (2)'!$D$2:$AL$2,0)),"")</f>
        <v>288</v>
      </c>
      <c r="Q21" s="265">
        <f>IFERROR(INDEX('Inputs (2)'!$D$55:$AL$55,MATCH(Q$7,'Inputs (2)'!$D$2:$AL$2,0)),"")</f>
        <v>292</v>
      </c>
      <c r="R21" s="266">
        <f>IF(COUNT(N21:Q21)=4,SUM(N21:Q21),"")</f>
        <v>1117</v>
      </c>
      <c r="S21" s="265">
        <f>IFERROR(INDEX('Inputs (2)'!$D$55:$AL$55,MATCH(S$7,'Inputs (2)'!$D$2:$AL$2,0)),"")</f>
        <v>234</v>
      </c>
      <c r="T21" s="265">
        <f>IFERROR(INDEX('Inputs (2)'!$D$55:$AL$55,MATCH(T$7,'Inputs (2)'!$D$2:$AL$2,0)),"")</f>
        <v>294</v>
      </c>
      <c r="U21" s="265">
        <f>IFERROR(INDEX('Inputs (2)'!$D$55:$AL$55,MATCH(U$7,'Inputs (2)'!$D$2:$AL$2,0)),"")</f>
        <v>316</v>
      </c>
      <c r="V21" s="265">
        <f>IFERROR(INDEX('Inputs (2)'!$D$55:$AL$55,MATCH(V$7,'Inputs (2)'!$D$2:$AL$2,0)),"")</f>
        <v>339</v>
      </c>
      <c r="W21" s="266">
        <f>IF(COUNT(S21:V21)=4,SUM(S21:V21),"")</f>
        <v>1183</v>
      </c>
      <c r="X21" s="265">
        <f>IFERROR(INDEX('Inputs (2)'!$D$55:$AL$55,MATCH(X$7,'Inputs (2)'!$D$2:$AL$2,0)),"")</f>
        <v>261</v>
      </c>
      <c r="Y21" s="265">
        <f>IFERROR(INDEX('Inputs (2)'!$D$55:$AL$55,MATCH(Y$7,'Inputs (2)'!$D$2:$AL$2,0)),"")</f>
        <v>315</v>
      </c>
      <c r="Z21" s="265">
        <f>IFERROR(INDEX('Inputs (2)'!$D$55:$AL$55,MATCH(Z$7,'Inputs (2)'!$D$2:$AL$2,0)),"")</f>
        <v>337</v>
      </c>
      <c r="AA21" s="265">
        <f>IFERROR(INDEX('Inputs (2)'!$D$55:$AL$55,MATCH(AA$7,'Inputs (2)'!$D$2:$AL$2,0)),"")</f>
        <v>354</v>
      </c>
      <c r="AB21" s="266">
        <f>IF(COUNT(X21:AA21)=4,SUM(X21:AA21),"")</f>
        <v>1267</v>
      </c>
      <c r="AC21" s="265">
        <f>IFERROR(INDEX('Inputs (2)'!$D$55:$AL$55,MATCH(AC$7,'Inputs (2)'!$D$2:$AL$2,0)),"")</f>
        <v>254</v>
      </c>
      <c r="AD21" s="265">
        <f>IFERROR(INDEX('Inputs (2)'!$D$55:$AL$55,MATCH(AD$7,'Inputs (2)'!$D$2:$AL$2,0)),"")</f>
        <v>277</v>
      </c>
      <c r="AE21" s="265">
        <f>IFERROR(INDEX('Inputs (2)'!$D$55:$AL$55,MATCH(AE$7,'Inputs (2)'!$D$2:$AL$2,0)),"")</f>
        <v>283</v>
      </c>
      <c r="AF21" s="265">
        <f>IFERROR(INDEX('Inputs (2)'!$D$55:$AL$55,MATCH(AF$7,'Inputs (2)'!$D$2:$AL$2,0)),"")</f>
        <v>339</v>
      </c>
      <c r="AG21" s="266">
        <f>IF(COUNT(AC21:AF21)=4,SUM(AC21:AF21),"")</f>
        <v>1153</v>
      </c>
      <c r="AH21" s="266" t="str">
        <f>IFERROR(INDEX('Inputs (2)'!$D$55:$AL$55,MATCH(AH$7,'Inputs (2)'!$D$2:$AL$2,0)),"")</f>
        <v/>
      </c>
      <c r="AI21" s="266" t="str">
        <f>IFERROR(INDEX('Inputs (2)'!$D$55:$AL$55,MATCH(AI$7,'Inputs (2)'!$D$2:$AL$2,0)),"")</f>
        <v/>
      </c>
    </row>
    <row r="22">
      <c r="C22" s="14" t="inlineStr">
        <is>
          <t xml:space="preserve">   Atacado (B2B)</t>
        </is>
      </c>
      <c r="D22" s="265">
        <f>IFERROR(INDEX('Inputs (2)'!$D$56:$AL$56,MATCH(D$7,'Inputs (2)'!$D$2:$AL$2,0)),"")</f>
        <v>613</v>
      </c>
      <c r="E22" s="265">
        <f>IFERROR(INDEX('Inputs (2)'!$D$56:$AL$56,MATCH(E$7,'Inputs (2)'!$D$2:$AL$2,0)),"")</f>
        <v>788</v>
      </c>
      <c r="F22" s="265">
        <f>IFERROR(INDEX('Inputs (2)'!$D$56:$AL$56,MATCH(F$7,'Inputs (2)'!$D$2:$AL$2,0)),"")</f>
        <v>731</v>
      </c>
      <c r="G22" s="265">
        <f>IFERROR(INDEX('Inputs (2)'!$D$56:$AL$56,MATCH(G$7,'Inputs (2)'!$D$2:$AL$2,0)),"")</f>
        <v>732</v>
      </c>
      <c r="H22" s="266">
        <f>IF(COUNT(D22:G22)=4,SUM(D22:G22),"")</f>
        <v>2864</v>
      </c>
      <c r="I22" s="265">
        <f>IFERROR(INDEX('Inputs (2)'!$D$56:$AL$56,MATCH(I$7,'Inputs (2)'!$D$2:$AL$2,0)),"")</f>
        <v>662</v>
      </c>
      <c r="J22" s="265">
        <f>IFERROR(INDEX('Inputs (2)'!$D$56:$AL$56,MATCH(J$7,'Inputs (2)'!$D$2:$AL$2,0)),"")</f>
        <v>741</v>
      </c>
      <c r="K22" s="265">
        <f>IFERROR(INDEX('Inputs (2)'!$D$56:$AL$56,MATCH(K$7,'Inputs (2)'!$D$2:$AL$2,0)),"")</f>
        <v>804</v>
      </c>
      <c r="L22" s="265">
        <f>IFERROR(INDEX('Inputs (2)'!$D$56:$AL$56,MATCH(L$7,'Inputs (2)'!$D$2:$AL$2,0)),"")</f>
        <v>813</v>
      </c>
      <c r="M22" s="266">
        <f>IF(COUNT(I22:L22)=4,SUM(I22:L22),"")</f>
        <v>3020</v>
      </c>
      <c r="N22" s="265">
        <f>IFERROR(INDEX('Inputs (2)'!$D$56:$AL$56,MATCH(N$7,'Inputs (2)'!$D$2:$AL$2,0)),"")</f>
        <v>928</v>
      </c>
      <c r="O22" s="265">
        <f>IFERROR(INDEX('Inputs (2)'!$D$56:$AL$56,MATCH(O$7,'Inputs (2)'!$D$2:$AL$2,0)),"")</f>
        <v>997</v>
      </c>
      <c r="P22" s="265">
        <f>IFERROR(INDEX('Inputs (2)'!$D$56:$AL$56,MATCH(P$7,'Inputs (2)'!$D$2:$AL$2,0)),"")</f>
        <v>1069</v>
      </c>
      <c r="Q22" s="265">
        <f>IFERROR(INDEX('Inputs (2)'!$D$56:$AL$56,MATCH(Q$7,'Inputs (2)'!$D$2:$AL$2,0)),"")</f>
        <v>1079</v>
      </c>
      <c r="R22" s="266">
        <f>IF(COUNT(N22:Q22)=4,SUM(N22:Q22),"")</f>
        <v>4073</v>
      </c>
      <c r="S22" s="265">
        <f>IFERROR(INDEX('Inputs (2)'!$D$56:$AL$56,MATCH(S$7,'Inputs (2)'!$D$2:$AL$2,0)),"")</f>
        <v>1078</v>
      </c>
      <c r="T22" s="265">
        <f>IFERROR(INDEX('Inputs (2)'!$D$56:$AL$56,MATCH(T$7,'Inputs (2)'!$D$2:$AL$2,0)),"")</f>
        <v>1187</v>
      </c>
      <c r="U22" s="265">
        <f>IFERROR(INDEX('Inputs (2)'!$D$56:$AL$56,MATCH(U$7,'Inputs (2)'!$D$2:$AL$2,0)),"")</f>
        <v>1236</v>
      </c>
      <c r="V22" s="265">
        <f>IFERROR(INDEX('Inputs (2)'!$D$56:$AL$56,MATCH(V$7,'Inputs (2)'!$D$2:$AL$2,0)),"")</f>
        <v>1400</v>
      </c>
      <c r="W22" s="266">
        <f>IF(COUNT(S22:V22)=4,SUM(S22:V22),"")</f>
        <v>4901</v>
      </c>
      <c r="X22" s="265">
        <f>IFERROR(INDEX('Inputs (2)'!$D$56:$AL$56,MATCH(X$7,'Inputs (2)'!$D$2:$AL$2,0)),"")</f>
        <v>1400</v>
      </c>
      <c r="Y22" s="265">
        <f>IFERROR(INDEX('Inputs (2)'!$D$56:$AL$56,MATCH(Y$7,'Inputs (2)'!$D$2:$AL$2,0)),"")</f>
        <v>1534</v>
      </c>
      <c r="Z22" s="265">
        <f>IFERROR(INDEX('Inputs (2)'!$D$56:$AL$56,MATCH(Z$7,'Inputs (2)'!$D$2:$AL$2,0)),"")</f>
        <v>1625</v>
      </c>
      <c r="AA22" s="265">
        <f>IFERROR(INDEX('Inputs (2)'!$D$56:$AL$56,MATCH(AA$7,'Inputs (2)'!$D$2:$AL$2,0)),"")</f>
        <v>1690</v>
      </c>
      <c r="AB22" s="266">
        <f>IF(COUNT(X22:AA22)=4,SUM(X22:AA22),"")</f>
        <v>6249</v>
      </c>
      <c r="AC22" s="265">
        <f>IFERROR(INDEX('Inputs (2)'!$D$56:$AL$56,MATCH(AC$7,'Inputs (2)'!$D$2:$AL$2,0)),"")</f>
        <v>1816</v>
      </c>
      <c r="AD22" s="265">
        <f>IFERROR(INDEX('Inputs (2)'!$D$56:$AL$56,MATCH(AD$7,'Inputs (2)'!$D$2:$AL$2,0)),"")</f>
        <v>1986</v>
      </c>
      <c r="AE22" s="265">
        <f>IFERROR(INDEX('Inputs (2)'!$D$56:$AL$56,MATCH(AE$7,'Inputs (2)'!$D$2:$AL$2,0)),"")</f>
        <v>2060</v>
      </c>
      <c r="AF22" s="265">
        <f>IFERROR(INDEX('Inputs (2)'!$D$56:$AL$56,MATCH(AF$7,'Inputs (2)'!$D$2:$AL$2,0)),"")</f>
        <v>2052</v>
      </c>
      <c r="AG22" s="266">
        <f>IF(COUNT(AC22:AF22)=4,SUM(AC22:AF22),"")</f>
        <v>7914</v>
      </c>
      <c r="AH22" s="266" t="str">
        <f>IFERROR(INDEX('Inputs (2)'!$D$56:$AL$56,MATCH(AH$7,'Inputs (2)'!$D$2:$AL$2,0)),"")</f>
        <v/>
      </c>
      <c r="AI22" s="266" t="str">
        <f>IFERROR(INDEX('Inputs (2)'!$D$56:$AL$56,MATCH(AI$7,'Inputs (2)'!$D$2:$AL$2,0)),"")</f>
        <v/>
      </c>
    </row>
    <row r="23">
      <c r="C23" s="267" t="inlineStr">
        <is>
          <t>Receita bruta de mercadorias (soma)</t>
        </is>
      </c>
      <c r="D23" s="265">
        <f>IF(COUNT(D19,D20,D21,D22)&lt;4,"",SUM(D19,D20,D21,D22))</f>
        <v>2790</v>
      </c>
      <c r="E23" s="265">
        <f>IF(COUNT(E19,E20,E21,E22)&lt;4,"",SUM(E19,E20,E21,E22))</f>
        <v>3364</v>
      </c>
      <c r="F23" s="265">
        <f>IF(COUNT(F19,F20,F21,F22)&lt;4,"",SUM(F19,F20,F21,F22))</f>
        <v>3937</v>
      </c>
      <c r="G23" s="265">
        <f>IF(COUNT(G19,G20,G21,G22)&lt;4,"",SUM(G19,G20,G21,G22))</f>
        <v>4260</v>
      </c>
      <c r="H23" s="266">
        <f>IF(COUNT(H19,H20,H21,H22)&lt;4,"",SUM(H19,H20,H21,H22))</f>
        <v>14351</v>
      </c>
      <c r="I23" s="265">
        <f>IF(COUNT(I19,I20,I21,I22)&lt;4,"",SUM(I19,I20,I21,I22))</f>
        <v>3799</v>
      </c>
      <c r="J23" s="265">
        <f>IF(COUNT(J19,J20,J21,J22)&lt;4,"",SUM(J19,J20,J21,J22))</f>
        <v>4202</v>
      </c>
      <c r="K23" s="265">
        <f>IF(COUNT(K19,K20,K21,K22)&lt;4,"",SUM(K19,K20,K21,K22))</f>
        <v>4884</v>
      </c>
      <c r="L23" s="265">
        <f>IF(COUNT(L19,L20,L21,L22)&lt;4,"",SUM(L19,L20,L21,L22))</f>
        <v>5055</v>
      </c>
      <c r="M23" s="266">
        <f>IF(COUNT(M19,M20,M21,M22)&lt;4,"",SUM(M19,M20,M21,M22))</f>
        <v>17940</v>
      </c>
      <c r="N23" s="265">
        <f>IF(COUNT(N19,N20,N21,N22)&lt;4,"",SUM(N19,N20,N21,N22))</f>
        <v>5172</v>
      </c>
      <c r="O23" s="265">
        <f>IF(COUNT(O19,O20,O21,O22)&lt;4,"",SUM(O19,O20,O21,O22))</f>
        <v>5856</v>
      </c>
      <c r="P23" s="265">
        <f>IF(COUNT(P19,P20,P21,P22)&lt;4,"",SUM(P19,P20,P21,P22))</f>
        <v>6664</v>
      </c>
      <c r="Q23" s="265">
        <f>IF(COUNT(Q19,Q20,Q21,Q22)&lt;4,"",SUM(Q19,Q20,Q21,Q22))</f>
        <v>6838</v>
      </c>
      <c r="R23" s="266">
        <f>IF(COUNT(R19,R20,R21,R22)&lt;4,"",SUM(R19,R20,R21,R22))</f>
        <v>24530</v>
      </c>
      <c r="S23" s="265">
        <f>IF(COUNT(S19,S20,S21,S22)&lt;4,"",SUM(S19,S20,S21,S22))</f>
        <v>6592</v>
      </c>
      <c r="T23" s="265">
        <f>IF(COUNT(T19,T20,T21,T22)&lt;4,"",SUM(T19,T20,T21,T22))</f>
        <v>7257</v>
      </c>
      <c r="U23" s="265">
        <f>IF(COUNT(U19,U20,U21,U22)&lt;4,"",SUM(U19,U20,U21,U22))</f>
        <v>7808</v>
      </c>
      <c r="V23" s="265">
        <f>IF(COUNT(V19,V20,V21,V22)&lt;4,"",SUM(V19,V20,V21,V22))</f>
        <v>8588</v>
      </c>
      <c r="W23" s="266">
        <f>IF(COUNT(W19,W20,W21,W22)&lt;4,"",SUM(W19,W20,W21,W22))</f>
        <v>30245</v>
      </c>
      <c r="X23" s="265">
        <f>IF(COUNT(X19,X20,X21,X22)&lt;4,"",SUM(X19,X20,X21,X22))</f>
        <v>8380</v>
      </c>
      <c r="Y23" s="265">
        <f>IF(COUNT(Y19,Y20,Y21,Y22)&lt;4,"",SUM(Y19,Y20,Y21,Y22))</f>
        <v>8669</v>
      </c>
      <c r="Z23" s="265">
        <f>IF(COUNT(Z19,Z20,Z21,Z22)&lt;4,"",SUM(Z19,Z20,Z21,Z22))</f>
        <v>9430</v>
      </c>
      <c r="AA23" s="265">
        <f>IF(COUNT(AA19,AA20,AA21,AA22)&lt;4,"",SUM(AA19,AA20,AA21,AA22))</f>
        <v>9908</v>
      </c>
      <c r="AB23" s="266">
        <f>IF(COUNT(AB19,AB20,AB21,AB22)&lt;4,"",SUM(AB19,AB20,AB21,AB22))</f>
        <v>36387</v>
      </c>
      <c r="AC23" s="265">
        <f>IF(COUNT(AC19,AC20,AC21,AC22)&lt;4,"",SUM(AC19,AC20,AC21,AC22))</f>
        <v>9432</v>
      </c>
      <c r="AD23" s="265">
        <f>IF(COUNT(AD19,AD20,AD21,AD22)&lt;4,"",SUM(AD19,AD20,AD21,AD22))</f>
        <v>9947</v>
      </c>
      <c r="AE23" s="265">
        <f>IF(COUNT(AE19,AE20,AE21,AE22)&lt;4,"",SUM(AE19,AE20,AE21,AE22))</f>
        <v>12101</v>
      </c>
      <c r="AF23" s="265">
        <f>IF(COUNT(AF19,AF20,AF21,AF22)&lt;4,"",SUM(AF19,AF20,AF21,AF22))</f>
        <v>12071</v>
      </c>
      <c r="AG23" s="266">
        <f>IF(COUNT(AG19,AG20,AG21,AG22)&lt;4,"",SUM(AG19,AG20,AG21,AG22))</f>
        <v>43551</v>
      </c>
      <c r="AH23" s="266" t="str">
        <f>IF(COUNT(AH19,AH20,AH21,AH22)&lt;4,"",SUM(AH19,AH20,AH21,AH22))</f>
        <v/>
      </c>
      <c r="AI23" s="266" t="str">
        <f>IF(COUNT(AI19,AI20,AI21,AI22)&lt;4,"",SUM(AI19,AI20,AI21,AI22))</f>
        <v/>
      </c>
    </row>
    <row r="24">
      <c r="C24" s="14" t="inlineStr">
        <is>
          <t xml:space="preserve">   (-) Impostos, devolucoes e (+) servicos (derivado: receita liquida - bruta)</t>
        </is>
      </c>
      <c r="D24" s="265">
        <f>IF(COUNT(D23)=0,"",D15-D23)</f>
        <v>-380.71557543</v>
      </c>
      <c r="E24" s="265">
        <f>IF(COUNT(E23)=0,"",E15-E23)</f>
        <v>-474.99665157</v>
      </c>
      <c r="F24" s="265">
        <f>IF(COUNT(F23)=0,"",F15-F23)</f>
        <v>-473.545773</v>
      </c>
      <c r="G24" s="265">
        <f>IF(COUNT(G23)=0,"",G15-G23)</f>
        <v>-624.70409021</v>
      </c>
      <c r="H24" s="266">
        <f>IF(COUNT(H23)=0,"",H15-H23)</f>
        <v>-1953.96209021</v>
      </c>
      <c r="I24" s="265">
        <f>IF(COUNT(I23)=0,"",I15-I23)</f>
        <v>-436.726906578</v>
      </c>
      <c r="J24" s="265">
        <f>IF(COUNT(J23)=0,"",J15-J23)</f>
        <v>-477.65831498059</v>
      </c>
      <c r="K24" s="265">
        <f>IF(COUNT(K23)=0,"",K15-K23)</f>
        <v>-534.875</v>
      </c>
      <c r="L24" s="265">
        <f>IF(COUNT(L23)=0,"",L15-L23)</f>
        <v>-613.88277844141</v>
      </c>
      <c r="M24" s="266">
        <f>IF(COUNT(M23)=0,"",M15-M23)</f>
        <v>-2063.143</v>
      </c>
      <c r="N24" s="265">
        <f>IF(COUNT(N23)=0,"",N15-N23)</f>
        <v>-593.22046376658</v>
      </c>
      <c r="O24" s="265">
        <f>IF(COUNT(O23)=0,"",O15-O23)</f>
        <v>-654.011</v>
      </c>
      <c r="P24" s="265">
        <f>IF(COUNT(P23)=0,"",P15-P23)</f>
        <v>-740.869</v>
      </c>
      <c r="Q24" s="265">
        <f>IF(COUNT(Q23)=0,"",Q15-Q23)</f>
        <v>-773.42303666787</v>
      </c>
      <c r="R24" s="266">
        <f>IF(COUNT(R23)=0,"",R15-R23)</f>
        <v>-2761.52350043445</v>
      </c>
      <c r="S24" s="265">
        <f>IF(COUNT(S23)=0,"",S15-S23)</f>
        <v>-724.12028565679</v>
      </c>
      <c r="T24" s="265">
        <f>IF(COUNT(T23)=0,"",T15-T23)</f>
        <v>-827.528</v>
      </c>
      <c r="U24" s="265">
        <f>IF(COUNT(U23)=0,"",U15-U23)</f>
        <v>-873.071</v>
      </c>
      <c r="V24" s="265">
        <f>IF(COUNT(V23)=0,"",V15-V23)</f>
        <v>-1046.69471434321</v>
      </c>
      <c r="W24" s="266">
        <f>IF(COUNT(W23)=0,"",W15-W23)</f>
        <v>-3471.414</v>
      </c>
      <c r="X24" s="265">
        <f>IF(COUNT(X23)=0,"",X15-X23)</f>
        <v>-997.52935227111</v>
      </c>
      <c r="Y24" s="265">
        <f>IF(COUNT(Y23)=0,"",Y15-Y23)</f>
        <v>-1030.07564772889</v>
      </c>
      <c r="Z24" s="265">
        <f>IF(COUNT(Z23)=0,"",Z15-Z23)</f>
        <v>-1092.943</v>
      </c>
      <c r="AA24" s="265">
        <f>IF(COUNT(AA23)=0,"",AA15-AA23)</f>
        <v>-1181.023</v>
      </c>
      <c r="AB24" s="266">
        <f>IF(COUNT(AB23)=0,"",AB15-AB23)</f>
        <v>-4301.571</v>
      </c>
      <c r="AC24" s="265">
        <f>IF(COUNT(AC23)=0,"",AC15-AC23)</f>
        <v>-1100.695</v>
      </c>
      <c r="AD24" s="265">
        <f>IF(COUNT(AD23)=0,"",AD15-AD23)</f>
        <v>-1167.36356678377</v>
      </c>
      <c r="AE24" s="265">
        <f>IF(COUNT(AE23)=0,"",AE15-AE23)</f>
        <v>-1337.462</v>
      </c>
      <c r="AF24" s="265">
        <f>IF(COUNT(AF23)=0,"",AF15-AF23)</f>
        <v>-1521.0773642162</v>
      </c>
      <c r="AG24" s="266">
        <f>IF(COUNT(AG23)=0,"",AG15-AG23)</f>
        <v>-5126.59793099997</v>
      </c>
      <c r="AH24" s="266" t="str">
        <f>IF(COUNT(AH23)=0,"",AH15-AH23)</f>
        <v/>
      </c>
      <c r="AI24" s="266" t="str">
        <f>IF(COUNT(AI23)=0,"",AI15-AI23)</f>
        <v/>
      </c>
    </row>
    <row r="25">
      <c r="C25" s="267" t="inlineStr">
        <is>
          <t>Receita liquida (linha 15)</t>
        </is>
      </c>
      <c r="D25" s="265">
        <f>D15</f>
        <v>2409.28442457</v>
      </c>
      <c r="E25" s="265">
        <f>E15</f>
        <v>2889.00334843</v>
      </c>
      <c r="F25" s="265">
        <f>F15</f>
        <v>3463.454227</v>
      </c>
      <c r="G25" s="265">
        <f>G15</f>
        <v>3635.29590979</v>
      </c>
      <c r="H25" s="266">
        <f>H15</f>
        <v>12397.03790979</v>
      </c>
      <c r="I25" s="265">
        <f>I15</f>
        <v>3362.273093422</v>
      </c>
      <c r="J25" s="265">
        <f>J15</f>
        <v>3724.34168501941</v>
      </c>
      <c r="K25" s="265">
        <f>K15</f>
        <v>4349.125</v>
      </c>
      <c r="L25" s="265">
        <f>L15</f>
        <v>4441.11722155859</v>
      </c>
      <c r="M25" s="266">
        <f>M15</f>
        <v>15876.857</v>
      </c>
      <c r="N25" s="265">
        <f>N15</f>
        <v>4578.77953623342</v>
      </c>
      <c r="O25" s="265">
        <f>O15</f>
        <v>5201.989</v>
      </c>
      <c r="P25" s="265">
        <f>P15</f>
        <v>5923.131</v>
      </c>
      <c r="Q25" s="265">
        <f>Q15</f>
        <v>6064.57696333213</v>
      </c>
      <c r="R25" s="266">
        <f>R15</f>
        <v>21768.4764995656</v>
      </c>
      <c r="S25" s="265">
        <f>S15</f>
        <v>5867.87971434321</v>
      </c>
      <c r="T25" s="265">
        <f>T15</f>
        <v>6429.472</v>
      </c>
      <c r="U25" s="265">
        <f>U15</f>
        <v>6934.929</v>
      </c>
      <c r="V25" s="265">
        <f>V15</f>
        <v>7541.30528565679</v>
      </c>
      <c r="W25" s="266">
        <f>W15</f>
        <v>26773.586</v>
      </c>
      <c r="X25" s="265">
        <f>X15</f>
        <v>7382.47064772889</v>
      </c>
      <c r="Y25" s="265">
        <f>Y15</f>
        <v>7638.92435227111</v>
      </c>
      <c r="Z25" s="265">
        <f>Z15</f>
        <v>8337.057</v>
      </c>
      <c r="AA25" s="265">
        <f>AA15</f>
        <v>8726.977</v>
      </c>
      <c r="AB25" s="266">
        <f>AB15</f>
        <v>32085.429</v>
      </c>
      <c r="AC25" s="265">
        <f>AC15</f>
        <v>8331.305</v>
      </c>
      <c r="AD25" s="265">
        <f>AD15</f>
        <v>8779.63643321623</v>
      </c>
      <c r="AE25" s="265">
        <f>AE15</f>
        <v>10763.538</v>
      </c>
      <c r="AF25" s="265">
        <f>AF15</f>
        <v>10549.9226357838</v>
      </c>
      <c r="AG25" s="266">
        <f>AG15</f>
        <v>38424.402069</v>
      </c>
      <c r="AH25" s="266">
        <f>AH15</f>
        <v>9402.27</v>
      </c>
      <c r="AI25" s="266">
        <f>AI15</f>
        <v>9852.461</v>
      </c>
    </row>
    <row r="26">
      <c r="C26" s="14" t="inlineStr">
        <is>
          <t xml:space="preserve">   Receita liquida / receita bruta de mercadorias</t>
        </is>
      </c>
      <c r="D26" s="268">
        <f>IFERROR(D25/D23,"")</f>
        <v>0.863542804505376</v>
      </c>
      <c r="E26" s="268">
        <f>IFERROR(E25/E23,"")</f>
        <v>0.858800044123068</v>
      </c>
      <c r="F26" s="268">
        <f>IFERROR(F25/F23,"")</f>
        <v>0.879719133096266</v>
      </c>
      <c r="G26" s="268">
        <f>IFERROR(G25/G23,"")</f>
        <v>0.853355847368545</v>
      </c>
      <c r="H26" s="269">
        <f>IFERROR(H25/H23,"")</f>
        <v>0.863844882571946</v>
      </c>
      <c r="I26" s="268">
        <f>IFERROR(I25/I23,"")</f>
        <v>0.885041614483285</v>
      </c>
      <c r="J26" s="268">
        <f>IFERROR(J25/J23,"")</f>
        <v>0.88632596026164</v>
      </c>
      <c r="K26" s="268">
        <f>IFERROR(K25/K23,"")</f>
        <v>0.890484234234234</v>
      </c>
      <c r="L26" s="268">
        <f>IFERROR(L25/L23,"")</f>
        <v>0.878559292098633</v>
      </c>
      <c r="M26" s="269">
        <f>IFERROR(M25/M23,"")</f>
        <v>0.884997603121516</v>
      </c>
      <c r="N26" s="268">
        <f>IFERROR(N25/N23,"")</f>
        <v>0.885301534461218</v>
      </c>
      <c r="O26" s="268">
        <f>IFERROR(O25/O23,"")</f>
        <v>0.888317793715847</v>
      </c>
      <c r="P26" s="268">
        <f>IFERROR(P25/P23,"")</f>
        <v>0.888825180072029</v>
      </c>
      <c r="Q26" s="268">
        <f>IFERROR(Q25/Q23,"")</f>
        <v>0.886893384517714</v>
      </c>
      <c r="R26" s="269">
        <f>IFERROR(R25/R23,"")</f>
        <v>0.887422604955791</v>
      </c>
      <c r="S26" s="268">
        <f>IFERROR(S25/S23,"")</f>
        <v>0.890151655695269</v>
      </c>
      <c r="T26" s="268">
        <f>IFERROR(T25/T23,"")</f>
        <v>0.885968306462726</v>
      </c>
      <c r="U26" s="268">
        <f>IFERROR(U25/U23,"")</f>
        <v>0.888182505122951</v>
      </c>
      <c r="V26" s="268">
        <f>IFERROR(V25/V23,"")</f>
        <v>0.878121248912062</v>
      </c>
      <c r="W26" s="269">
        <f>IFERROR(W25/W23,"")</f>
        <v>0.885223541081171</v>
      </c>
      <c r="X26" s="268">
        <f>IFERROR(X25/X23,"")</f>
        <v>0.880963084454522</v>
      </c>
      <c r="Y26" s="268">
        <f>IFERROR(Y25/Y23,"")</f>
        <v>0.881177108348265</v>
      </c>
      <c r="Z26" s="268">
        <f>IFERROR(Z25/Z23,"")</f>
        <v>0.884099363732768</v>
      </c>
      <c r="AA26" s="268">
        <f>IFERROR(AA25/AA23,"")</f>
        <v>0.880801069842552</v>
      </c>
      <c r="AB26" s="269">
        <f>IFERROR(AB25/AB23,"")</f>
        <v>0.881782752081788</v>
      </c>
      <c r="AC26" s="268">
        <f>IFERROR(AC25/AC23,"")</f>
        <v>0.88330205682782</v>
      </c>
      <c r="AD26" s="268">
        <f>IFERROR(AD25/AD23,"")</f>
        <v>0.882641644035008</v>
      </c>
      <c r="AE26" s="268">
        <f>IFERROR(AE25/AE23,"")</f>
        <v>0.889475084703744</v>
      </c>
      <c r="AF26" s="268">
        <f>IFERROR(AF25/AF23,"")</f>
        <v>0.873989117370873</v>
      </c>
      <c r="AG26" s="269">
        <f>IFERROR(AG25/AG23,"")</f>
        <v>0.882285184473377</v>
      </c>
      <c r="AH26" s="269" t="str">
        <f>IFERROR(AH25/AH23,"")</f>
        <v/>
      </c>
      <c r="AI26" s="269" t="str">
        <f>IFERROR(AI25/AI23,"")</f>
        <v/>
      </c>
    </row>
    <row r="27">
      <c r="C27" s="14" t="inlineStr">
        <is>
          <t xml:space="preserve">   % YoY Atacarejo</t>
        </is>
      </c>
      <c r="D27" s="268" t="str">
        <f>""</f>
        <v/>
      </c>
      <c r="E27" s="268" t="str">
        <f>""</f>
        <v/>
      </c>
      <c r="F27" s="268" t="str">
        <f>""</f>
        <v/>
      </c>
      <c r="G27" s="268" t="str">
        <f>""</f>
        <v/>
      </c>
      <c r="H27" s="269" t="str">
        <f>""</f>
        <v/>
      </c>
      <c r="I27" s="268">
        <f>IFERROR(I19/D19-1,"")</f>
        <v>0.460431654676259</v>
      </c>
      <c r="J27" s="268">
        <f>IFERROR(J19/E19-1,"")</f>
        <v>0.290592783505155</v>
      </c>
      <c r="K27" s="268">
        <f>IFERROR(K19/F19-1,"")</f>
        <v>0.231764097258148</v>
      </c>
      <c r="L27" s="268">
        <f>IFERROR(L19/G19-1,"")</f>
        <v>0.197013487475915</v>
      </c>
      <c r="M27" s="269">
        <f>IFERROR(M19/H19-1,"")</f>
        <v>0.276570757486788</v>
      </c>
      <c r="N27" s="268">
        <f>IFERROR(N19/I19-1,"")</f>
        <v>0.376026272577997</v>
      </c>
      <c r="O27" s="268">
        <f>IFERROR(O19/J19-1,"")</f>
        <v>0.475786320519221</v>
      </c>
      <c r="P27" s="268">
        <f>IFERROR(P19/K19-1,"")</f>
        <v>0.460730785384292</v>
      </c>
      <c r="Q27" s="268">
        <f>IFERROR(Q19/L19-1,"")</f>
        <v>0.442253521126761</v>
      </c>
      <c r="R27" s="269">
        <f>IFERROR(R19/M19-1,"")</f>
        <v>0.441122355105796</v>
      </c>
      <c r="S27" s="268">
        <f>IFERROR(S19/N19-1,"")</f>
        <v>0.401352426412092</v>
      </c>
      <c r="T27" s="268">
        <f>IFERROR(T19/O19-1,"")</f>
        <v>0.319012178619756</v>
      </c>
      <c r="U27" s="268">
        <f>IFERROR(U19/P19-1,"")</f>
        <v>0.210178263369753</v>
      </c>
      <c r="V27" s="268">
        <f>IFERROR(V19/Q19-1,"")</f>
        <v>0.326171875</v>
      </c>
      <c r="W27" s="269">
        <f>IFERROR(W19/R19-1,"")</f>
        <v>0.307373124800511</v>
      </c>
      <c r="X27" s="268">
        <f>IFERROR(X19/S19-1,"")</f>
        <v>0.32926483110985</v>
      </c>
      <c r="Y27" s="268">
        <f>IFERROR(Y19/T19-1,"")</f>
        <v>0.222108232880226</v>
      </c>
      <c r="Z27" s="268">
        <f>IFERROR(Z19/U19-1,"")</f>
        <v>0.26015680684248</v>
      </c>
      <c r="AA27" s="268">
        <f>IFERROR(AA19/V19-1,"")</f>
        <v>0.182411108773406</v>
      </c>
      <c r="AB27" s="269">
        <f>IFERROR(AB19/W19-1,"")</f>
        <v>0.243408203125</v>
      </c>
      <c r="AC27" s="268">
        <f>IFERROR(AC19/X19-1,"")</f>
        <v>0.121503309844117</v>
      </c>
      <c r="AD27" s="268">
        <f>IFERROR(AD19/Y19-1,"")</f>
        <v>0.162854144805876</v>
      </c>
      <c r="AE27" s="268">
        <f>IFERROR(AE19/Z19-1,"")</f>
        <v>0.419683257918552</v>
      </c>
      <c r="AF27" s="268">
        <f>IFERROR(AF19/AA19-1,"")</f>
        <v>0.308540925266904</v>
      </c>
      <c r="AG27" s="269">
        <f>IFERROR(AG19/AB19-1,"")</f>
        <v>0.260406440212056</v>
      </c>
      <c r="AH27" s="269" t="str">
        <f>IFERROR(AH19/AC19-1,"")</f>
        <v/>
      </c>
      <c r="AI27" s="269" t="str">
        <f>IFERROR(AI19/AD19-1,"")</f>
        <v/>
      </c>
    </row>
    <row r="28">
      <c r="C28" s="14" t="inlineStr">
        <is>
          <t xml:space="preserve">   % YoY Varejo</t>
        </is>
      </c>
      <c r="D28" s="268" t="str">
        <f>""</f>
        <v/>
      </c>
      <c r="E28" s="268" t="str">
        <f>""</f>
        <v/>
      </c>
      <c r="F28" s="268" t="str">
        <f>""</f>
        <v/>
      </c>
      <c r="G28" s="268" t="str">
        <f>""</f>
        <v/>
      </c>
      <c r="H28" s="269" t="str">
        <f>""</f>
        <v/>
      </c>
      <c r="I28" s="268">
        <f>IFERROR(I20/D20-1,"")</f>
        <v>0.382133995037221</v>
      </c>
      <c r="J28" s="268">
        <f>IFERROR(J20/E20-1,"")</f>
        <v>0.398158803222094</v>
      </c>
      <c r="K28" s="268">
        <f>IFERROR(K20/F20-1,"")</f>
        <v>0.405484818805093</v>
      </c>
      <c r="L28" s="268">
        <f>IFERROR(L20/G20-1,"")</f>
        <v>0.238377007607777</v>
      </c>
      <c r="M28" s="269">
        <f>IFERROR(M20/H20-1,"")</f>
        <v>0.348027842227378</v>
      </c>
      <c r="N28" s="268">
        <f>IFERROR(N20/I20-1,"")</f>
        <v>0.323159784560144</v>
      </c>
      <c r="O28" s="268">
        <f>IFERROR(O20/J20-1,"")</f>
        <v>0.334979423868313</v>
      </c>
      <c r="P28" s="268">
        <f>IFERROR(P20/K20-1,"")</f>
        <v>0.274564459930314</v>
      </c>
      <c r="Q28" s="268">
        <f>IFERROR(Q20/L20-1,"")</f>
        <v>0.285324232081911</v>
      </c>
      <c r="R28" s="269">
        <f>IFERROR(R20/M20-1,"")</f>
        <v>0.301969783897495</v>
      </c>
      <c r="S28" s="268">
        <f>IFERROR(S20/N20-1,"")</f>
        <v>0.191994572591587</v>
      </c>
      <c r="T28" s="268">
        <f>IFERROR(T20/O20-1,"")</f>
        <v>0.157213316892725</v>
      </c>
      <c r="U28" s="268">
        <f>IFERROR(U20/P20-1,"")</f>
        <v>0.119190814652816</v>
      </c>
      <c r="V28" s="268">
        <f>IFERROR(V20/Q20-1,"")</f>
        <v>0.11311736590547</v>
      </c>
      <c r="W28" s="269">
        <f>IFERROR(W20/R20-1,"")</f>
        <v>0.142332549941246</v>
      </c>
      <c r="X28" s="268">
        <f>IFERROR(X20/S20-1,"")</f>
        <v>0.158793397837222</v>
      </c>
      <c r="Y28" s="268">
        <f>IFERROR(Y20/T20-1,"")</f>
        <v>0.0948321790090569</v>
      </c>
      <c r="Z28" s="268">
        <f>IFERROR(Z20/U20-1,"")</f>
        <v>0.0571568148510016</v>
      </c>
      <c r="AA28" s="268">
        <f>IFERROR(AA20/V20-1,"")</f>
        <v>0.0706106870229009</v>
      </c>
      <c r="AB28" s="269">
        <f>IFERROR(AB20/W20-1,"")</f>
        <v>0.0928378552140929</v>
      </c>
      <c r="AC28" s="268">
        <f>IFERROR(AC20/X20-1,"")</f>
        <v>0.0363457760314341</v>
      </c>
      <c r="AD28" s="268">
        <f>IFERROR(AD20/Y20-1,"")</f>
        <v>0.0428223844282238</v>
      </c>
      <c r="AE28" s="268">
        <f>IFERROR(AE20/Z20-1,"")</f>
        <v>0.0295748613678373</v>
      </c>
      <c r="AF28" s="268">
        <f>IFERROR(AF20/AA20-1,"")</f>
        <v>0.036541889483066</v>
      </c>
      <c r="AG28" s="269">
        <f>IFERROR(AG20/AB20-1,"")</f>
        <v>0.0362395575950112</v>
      </c>
      <c r="AH28" s="269" t="str">
        <f>IFERROR(AH20/AC20-1,"")</f>
        <v/>
      </c>
      <c r="AI28" s="269" t="str">
        <f>IFERROR(AI20/AD20-1,"")</f>
        <v/>
      </c>
    </row>
    <row r="29">
      <c r="C29" s="14" t="inlineStr">
        <is>
          <t xml:space="preserve">   % YoY Eletro</t>
        </is>
      </c>
      <c r="D29" s="268" t="str">
        <f>""</f>
        <v/>
      </c>
      <c r="E29" s="268" t="str">
        <f>""</f>
        <v/>
      </c>
      <c r="F29" s="268" t="str">
        <f>""</f>
        <v/>
      </c>
      <c r="G29" s="268" t="str">
        <f>""</f>
        <v/>
      </c>
      <c r="H29" s="269" t="str">
        <f>""</f>
        <v/>
      </c>
      <c r="I29" s="268">
        <f>IFERROR(I21/D21-1,"")</f>
        <v>0.633333333333333</v>
      </c>
      <c r="J29" s="268">
        <f>IFERROR(J21/E21-1,"")</f>
        <v>0.567741935483871</v>
      </c>
      <c r="K29" s="268">
        <f>IFERROR(K21/F21-1,"")</f>
        <v>0.0476190476190477</v>
      </c>
      <c r="L29" s="268">
        <f>IFERROR(L21/G21-1,"")</f>
        <v>0.0855018587360594</v>
      </c>
      <c r="M29" s="269">
        <f>IFERROR(M21/H21-1,"")</f>
        <v>0.25</v>
      </c>
      <c r="N29" s="268">
        <f>IFERROR(N21/I21-1,"")</f>
        <v>0.306122448979592</v>
      </c>
      <c r="O29" s="268">
        <f>IFERROR(O21/J21-1,"")</f>
        <v>0.156378600823045</v>
      </c>
      <c r="P29" s="268">
        <f>IFERROR(P21/K21-1,"")</f>
        <v>0.0909090909090908</v>
      </c>
      <c r="Q29" s="268">
        <f>IFERROR(Q21/L21-1,"")</f>
        <v>0</v>
      </c>
      <c r="R29" s="269">
        <f>IFERROR(R21/M21-1,"")</f>
        <v>0.122613065326633</v>
      </c>
      <c r="S29" s="268">
        <f>IFERROR(S21/N21-1,"")</f>
        <v>-0.0859375</v>
      </c>
      <c r="T29" s="268">
        <f>IFERROR(T21/O21-1,"")</f>
        <v>0.0462633451957295</v>
      </c>
      <c r="U29" s="268">
        <f>IFERROR(U21/P21-1,"")</f>
        <v>0.0972222222222223</v>
      </c>
      <c r="V29" s="268">
        <f>IFERROR(V21/Q21-1,"")</f>
        <v>0.160958904109589</v>
      </c>
      <c r="W29" s="269">
        <f>IFERROR(W21/R21-1,"")</f>
        <v>0.0590868397493285</v>
      </c>
      <c r="X29" s="268">
        <f>IFERROR(X21/S21-1,"")</f>
        <v>0.115384615384615</v>
      </c>
      <c r="Y29" s="268">
        <f>IFERROR(Y21/T21-1,"")</f>
        <v>0.0714285714285714</v>
      </c>
      <c r="Z29" s="268">
        <f>IFERROR(Z21/U21-1,"")</f>
        <v>0.0664556962025316</v>
      </c>
      <c r="AA29" s="268">
        <f>IFERROR(AA21/V21-1,"")</f>
        <v>0.0442477876106195</v>
      </c>
      <c r="AB29" s="269">
        <f>IFERROR(AB21/W21-1,"")</f>
        <v>0.0710059171597632</v>
      </c>
      <c r="AC29" s="268">
        <f>IFERROR(AC21/X21-1,"")</f>
        <v>-0.0268199233716475</v>
      </c>
      <c r="AD29" s="268">
        <f>IFERROR(AD21/Y21-1,"")</f>
        <v>-0.120634920634921</v>
      </c>
      <c r="AE29" s="268">
        <f>IFERROR(AE21/Z21-1,"")</f>
        <v>-0.160237388724036</v>
      </c>
      <c r="AF29" s="268">
        <f>IFERROR(AF21/AA21-1,"")</f>
        <v>-0.0423728813559322</v>
      </c>
      <c r="AG29" s="269">
        <f>IFERROR(AG21/AB21-1,"")</f>
        <v>-0.0899763220205209</v>
      </c>
      <c r="AH29" s="269" t="str">
        <f>IFERROR(AH21/AC21-1,"")</f>
        <v/>
      </c>
      <c r="AI29" s="269" t="str">
        <f>IFERROR(AI21/AD21-1,"")</f>
        <v/>
      </c>
    </row>
    <row r="30">
      <c r="C30" s="14" t="inlineStr">
        <is>
          <t xml:space="preserve">   % YoY Atacado B2B</t>
        </is>
      </c>
      <c r="D30" s="268" t="str">
        <f>""</f>
        <v/>
      </c>
      <c r="E30" s="268" t="str">
        <f>""</f>
        <v/>
      </c>
      <c r="F30" s="268" t="str">
        <f>""</f>
        <v/>
      </c>
      <c r="G30" s="268" t="str">
        <f>""</f>
        <v/>
      </c>
      <c r="H30" s="269" t="str">
        <f>""</f>
        <v/>
      </c>
      <c r="I30" s="268">
        <f>IFERROR(I22/D22-1,"")</f>
        <v>0.0799347471451877</v>
      </c>
      <c r="J30" s="268">
        <f>IFERROR(J22/E22-1,"")</f>
        <v>-0.0596446700507615</v>
      </c>
      <c r="K30" s="268">
        <f>IFERROR(K22/F22-1,"")</f>
        <v>0.0998632010943912</v>
      </c>
      <c r="L30" s="268">
        <f>IFERROR(L22/G22-1,"")</f>
        <v>0.110655737704918</v>
      </c>
      <c r="M30" s="269">
        <f>IFERROR(M22/H22-1,"")</f>
        <v>0.0544692737430168</v>
      </c>
      <c r="N30" s="268">
        <f>IFERROR(N22/I22-1,"")</f>
        <v>0.401812688821752</v>
      </c>
      <c r="O30" s="268">
        <f>IFERROR(O22/J22-1,"")</f>
        <v>0.345479082321188</v>
      </c>
      <c r="P30" s="268">
        <f>IFERROR(P22/K22-1,"")</f>
        <v>0.329601990049751</v>
      </c>
      <c r="Q30" s="268">
        <f>IFERROR(Q22/L22-1,"")</f>
        <v>0.327183271832718</v>
      </c>
      <c r="R30" s="269">
        <f>IFERROR(R22/M22-1,"")</f>
        <v>0.348675496688742</v>
      </c>
      <c r="S30" s="268">
        <f>IFERROR(S22/N22-1,"")</f>
        <v>0.161637931034483</v>
      </c>
      <c r="T30" s="268">
        <f>IFERROR(T22/O22-1,"")</f>
        <v>0.190571715145436</v>
      </c>
      <c r="U30" s="268">
        <f>IFERROR(U22/P22-1,"")</f>
        <v>0.15622076707203</v>
      </c>
      <c r="V30" s="268">
        <f>IFERROR(V22/Q22-1,"")</f>
        <v>0.297497683039852</v>
      </c>
      <c r="W30" s="269">
        <f>IFERROR(W22/R22-1,"")</f>
        <v>0.203289958261724</v>
      </c>
      <c r="X30" s="268">
        <f>IFERROR(X22/S22-1,"")</f>
        <v>0.298701298701299</v>
      </c>
      <c r="Y30" s="268">
        <f>IFERROR(Y22/T22-1,"")</f>
        <v>0.292333614153328</v>
      </c>
      <c r="Z30" s="268">
        <f>IFERROR(Z22/U22-1,"")</f>
        <v>0.314724919093851</v>
      </c>
      <c r="AA30" s="268">
        <f>IFERROR(AA22/V22-1,"")</f>
        <v>0.207142857142857</v>
      </c>
      <c r="AB30" s="269">
        <f>IFERROR(AB22/W22-1,"")</f>
        <v>0.275045908998164</v>
      </c>
      <c r="AC30" s="268">
        <f>IFERROR(AC22/X22-1,"")</f>
        <v>0.297142857142857</v>
      </c>
      <c r="AD30" s="268">
        <f>IFERROR(AD22/Y22-1,"")</f>
        <v>0.294654498044329</v>
      </c>
      <c r="AE30" s="268">
        <f>IFERROR(AE22/Z22-1,"")</f>
        <v>0.267692307692308</v>
      </c>
      <c r="AF30" s="268">
        <f>IFERROR(AF22/AA22-1,"")</f>
        <v>0.214201183431953</v>
      </c>
      <c r="AG30" s="269">
        <f>IFERROR(AG22/AB22-1,"")</f>
        <v>0.266442630820931</v>
      </c>
      <c r="AH30" s="269" t="str">
        <f>IFERROR(AH22/AC22-1,"")</f>
        <v/>
      </c>
      <c r="AI30" s="269" t="str">
        <f>IFERROR(AI22/AD22-1,"")</f>
        <v/>
      </c>
    </row>
    <row r="31">
      <c r="C31" s="14" t="inlineStr">
        <is>
          <t xml:space="preserve">   % YoY receita bruta total</t>
        </is>
      </c>
      <c r="D31" s="268" t="str">
        <f>""</f>
        <v/>
      </c>
      <c r="E31" s="268" t="str">
        <f>""</f>
        <v/>
      </c>
      <c r="F31" s="268" t="str">
        <f>""</f>
        <v/>
      </c>
      <c r="G31" s="268" t="str">
        <f>""</f>
        <v/>
      </c>
      <c r="H31" s="269" t="str">
        <f>""</f>
        <v/>
      </c>
      <c r="I31" s="268">
        <f>IFERROR(I23/D23-1,"")</f>
        <v>0.361648745519713</v>
      </c>
      <c r="J31" s="268">
        <f>IFERROR(J23/E23-1,"")</f>
        <v>0.249108204518431</v>
      </c>
      <c r="K31" s="268">
        <f>IFERROR(K23/F23-1,"")</f>
        <v>0.240538481076962</v>
      </c>
      <c r="L31" s="268">
        <f>IFERROR(L23/G23-1,"")</f>
        <v>0.186619718309859</v>
      </c>
      <c r="M31" s="269">
        <f>IFERROR(M23/H23-1,"")</f>
        <v>0.250087101944115</v>
      </c>
      <c r="N31" s="268">
        <f>IFERROR(N23/I23-1,"")</f>
        <v>0.361410897604633</v>
      </c>
      <c r="O31" s="268">
        <f>IFERROR(O23/J23-1,"")</f>
        <v>0.393622084721561</v>
      </c>
      <c r="P31" s="268">
        <f>IFERROR(P23/K23-1,"")</f>
        <v>0.364455364455365</v>
      </c>
      <c r="Q31" s="268">
        <f>IFERROR(Q23/L23-1,"")</f>
        <v>0.352720079129575</v>
      </c>
      <c r="R31" s="269">
        <f>IFERROR(R23/M23-1,"")</f>
        <v>0.367335562987737</v>
      </c>
      <c r="S31" s="268">
        <f>IFERROR(S23/N23-1,"")</f>
        <v>0.274555297757154</v>
      </c>
      <c r="T31" s="268">
        <f>IFERROR(T23/O23-1,"")</f>
        <v>0.239241803278689</v>
      </c>
      <c r="U31" s="268">
        <f>IFERROR(U23/P23-1,"")</f>
        <v>0.171668667466987</v>
      </c>
      <c r="V31" s="268">
        <f>IFERROR(V23/Q23-1,"")</f>
        <v>0.255922784439895</v>
      </c>
      <c r="W31" s="269">
        <f>IFERROR(W23/R23-1,"")</f>
        <v>0.232980024459845</v>
      </c>
      <c r="X31" s="268">
        <f>IFERROR(X23/S23-1,"")</f>
        <v>0.27123786407767</v>
      </c>
      <c r="Y31" s="268">
        <f>IFERROR(Y23/T23-1,"")</f>
        <v>0.194570759266915</v>
      </c>
      <c r="Z31" s="268">
        <f>IFERROR(Z23/U23-1,"")</f>
        <v>0.207735655737705</v>
      </c>
      <c r="AA31" s="268">
        <f>IFERROR(AA23/V23-1,"")</f>
        <v>0.153702841173731</v>
      </c>
      <c r="AB31" s="269">
        <f>IFERROR(AB23/W23-1,"")</f>
        <v>0.203074888411308</v>
      </c>
      <c r="AC31" s="268">
        <f>IFERROR(AC23/X23-1,"")</f>
        <v>0.125536992840096</v>
      </c>
      <c r="AD31" s="268">
        <f>IFERROR(AD23/Y23-1,"")</f>
        <v>0.14742184796401</v>
      </c>
      <c r="AE31" s="268">
        <f>IFERROR(AE23/Z23-1,"")</f>
        <v>0.283244962884411</v>
      </c>
      <c r="AF31" s="268">
        <f>IFERROR(AF23/AA23-1,"")</f>
        <v>0.218308437626161</v>
      </c>
      <c r="AG31" s="269">
        <f>IFERROR(AG23/AB23-1,"")</f>
        <v>0.19688350234974</v>
      </c>
      <c r="AH31" s="269" t="str">
        <f>IFERROR(AH23/AC23-1,"")</f>
        <v/>
      </c>
      <c r="AI31" s="269" t="str">
        <f>IFERROR(AI23/AD23-1,"")</f>
        <v/>
      </c>
    </row>
    <row r="32">
      <c r="C32" s="14" t="inlineStr">
        <is>
          <t xml:space="preserve">   Mix: % Atacarejo na receita bruta</t>
        </is>
      </c>
      <c r="D32" s="268">
        <f>IFERROR(D19/D23,"")</f>
        <v>0.448387096774194</v>
      </c>
      <c r="E32" s="268">
        <f>IFERROR(E19/E23,"")</f>
        <v>0.461355529131986</v>
      </c>
      <c r="F32" s="268">
        <f>IFERROR(F19/F23,"")</f>
        <v>0.490982981965964</v>
      </c>
      <c r="G32" s="268">
        <f>IFERROR(G19/G23,"")</f>
        <v>0.487323943661972</v>
      </c>
      <c r="H32" s="269">
        <f>IFERROR(H19/H23,"")</f>
        <v>0.474670754651244</v>
      </c>
      <c r="I32" s="268">
        <f>IFERROR(I19/I23,"")</f>
        <v>0.480916030534351</v>
      </c>
      <c r="J32" s="268">
        <f>IFERROR(J19/J23,"")</f>
        <v>0.476677772489291</v>
      </c>
      <c r="K32" s="268">
        <f>IFERROR(K19/K23,"")</f>
        <v>0.487510237510238</v>
      </c>
      <c r="L32" s="268">
        <f>IFERROR(L19/L23,"")</f>
        <v>0.491592482690406</v>
      </c>
      <c r="M32" s="269">
        <f>IFERROR(M19/M23,"")</f>
        <v>0.484726867335563</v>
      </c>
      <c r="N32" s="268">
        <f>IFERROR(N19/N23,"")</f>
        <v>0.486078886310905</v>
      </c>
      <c r="O32" s="268">
        <f>IFERROR(O19/O23,"")</f>
        <v>0.504781420765027</v>
      </c>
      <c r="P32" s="268">
        <f>IFERROR(P19/P23,"")</f>
        <v>0.521908763505402</v>
      </c>
      <c r="Q32" s="268">
        <f>IFERROR(Q19/Q23,"")</f>
        <v>0.524129862532904</v>
      </c>
      <c r="R32" s="269">
        <f>IFERROR(R19/R23,"")</f>
        <v>0.510884631064003</v>
      </c>
      <c r="S32" s="268">
        <f>IFERROR(S19/S23,"")</f>
        <v>0.534435679611651</v>
      </c>
      <c r="T32" s="268">
        <f>IFERROR(T19/T23,"")</f>
        <v>0.537274355794405</v>
      </c>
      <c r="U32" s="268">
        <f>IFERROR(U19/U23,"")</f>
        <v>0.5390625</v>
      </c>
      <c r="V32" s="268">
        <f>IFERROR(V19/V23,"")</f>
        <v>0.553446669771775</v>
      </c>
      <c r="W32" s="269">
        <f>IFERROR(W19/W23,"")</f>
        <v>0.541709373450157</v>
      </c>
      <c r="X32" s="268">
        <f>IFERROR(X19/X23,"")</f>
        <v>0.558830548926014</v>
      </c>
      <c r="Y32" s="268">
        <f>IFERROR(Y19/Y23,"")</f>
        <v>0.549659707001961</v>
      </c>
      <c r="Z32" s="268">
        <f>IFERROR(Z19/Z23,"")</f>
        <v>0.562460233297985</v>
      </c>
      <c r="AA32" s="268">
        <f>IFERROR(AA19/AA23,"")</f>
        <v>0.567218409366169</v>
      </c>
      <c r="AB32" s="269">
        <f>IFERROR(AB19/AB23,"")</f>
        <v>0.559870283342952</v>
      </c>
      <c r="AC32" s="268">
        <f>IFERROR(AC19/AC23,"")</f>
        <v>0.556827820186599</v>
      </c>
      <c r="AD32" s="268">
        <f>IFERROR(AD19/AD23,"")</f>
        <v>0.557052377601287</v>
      </c>
      <c r="AE32" s="268">
        <f>IFERROR(AE19/AE23,"")</f>
        <v>0.622262622923725</v>
      </c>
      <c r="AF32" s="268">
        <f>IFERROR(AF19/AF23,"")</f>
        <v>0.609228730014083</v>
      </c>
      <c r="AG32" s="269">
        <f>IFERROR(AG19/AG23,"")</f>
        <v>0.589584624922505</v>
      </c>
      <c r="AH32" s="269" t="str">
        <f>IFERROR(AH19/AH23,"")</f>
        <v/>
      </c>
      <c r="AI32" s="269" t="str">
        <f>IFERROR(AI19/AI23,"")</f>
        <v/>
      </c>
    </row>
    <row r="33">
      <c r="C33" s="14" t="inlineStr">
        <is>
          <t xml:space="preserve">   Mix: % Atacado B2B na receita bruta</t>
        </is>
      </c>
      <c r="D33" s="268">
        <f>IFERROR(D22/D23,"")</f>
        <v>0.219713261648746</v>
      </c>
      <c r="E33" s="268">
        <f>IFERROR(E22/E23,"")</f>
        <v>0.234244946492271</v>
      </c>
      <c r="F33" s="268">
        <f>IFERROR(F22/F23,"")</f>
        <v>0.185674371348743</v>
      </c>
      <c r="G33" s="268">
        <f>IFERROR(G22/G23,"")</f>
        <v>0.171830985915493</v>
      </c>
      <c r="H33" s="269">
        <f>IFERROR(H22/H23,"")</f>
        <v>0.199567974357188</v>
      </c>
      <c r="I33" s="268">
        <f>IFERROR(I22/I23,"")</f>
        <v>0.174256383258752</v>
      </c>
      <c r="J33" s="268">
        <f>IFERROR(J22/J23,"")</f>
        <v>0.176344597810566</v>
      </c>
      <c r="K33" s="268">
        <f>IFERROR(K22/K23,"")</f>
        <v>0.164619164619165</v>
      </c>
      <c r="L33" s="268">
        <f>IFERROR(L22/L23,"")</f>
        <v>0.160830860534125</v>
      </c>
      <c r="M33" s="269">
        <f>IFERROR(M22/M23,"")</f>
        <v>0.168338907469342</v>
      </c>
      <c r="N33" s="268">
        <f>IFERROR(N22/N23,"")</f>
        <v>0.179427687548337</v>
      </c>
      <c r="O33" s="268">
        <f>IFERROR(O22/O23,"")</f>
        <v>0.170252732240437</v>
      </c>
      <c r="P33" s="268">
        <f>IFERROR(P22/P23,"")</f>
        <v>0.160414165666267</v>
      </c>
      <c r="Q33" s="268">
        <f>IFERROR(Q22/Q23,"")</f>
        <v>0.157794676806084</v>
      </c>
      <c r="R33" s="269">
        <f>IFERROR(R22/R23,"")</f>
        <v>0.166041581736649</v>
      </c>
      <c r="S33" s="268">
        <f>IFERROR(S22/S23,"")</f>
        <v>0.163531553398058</v>
      </c>
      <c r="T33" s="268">
        <f>IFERROR(T22/T23,"")</f>
        <v>0.163566211933306</v>
      </c>
      <c r="U33" s="268">
        <f>IFERROR(U22/U23,"")</f>
        <v>0.158299180327869</v>
      </c>
      <c r="V33" s="268">
        <f>IFERROR(V22/V23,"")</f>
        <v>0.16301816488123</v>
      </c>
      <c r="W33" s="269">
        <f>IFERROR(W22/W23,"")</f>
        <v>0.162043312944288</v>
      </c>
      <c r="X33" s="268">
        <f>IFERROR(X22/X23,"")</f>
        <v>0.167064439140811</v>
      </c>
      <c r="Y33" s="268">
        <f>IFERROR(Y22/Y23,"")</f>
        <v>0.176952358980275</v>
      </c>
      <c r="Z33" s="268">
        <f>IFERROR(Z22/Z23,"")</f>
        <v>0.172322375397667</v>
      </c>
      <c r="AA33" s="268">
        <f>IFERROR(AA22/AA23,"")</f>
        <v>0.170569236980218</v>
      </c>
      <c r="AB33" s="269">
        <f>IFERROR(AB22/AB23,"")</f>
        <v>0.171737158875423</v>
      </c>
      <c r="AC33" s="268">
        <f>IFERROR(AC22/AC23,"")</f>
        <v>0.19253604749788</v>
      </c>
      <c r="AD33" s="268">
        <f>IFERROR(AD22/AD23,"")</f>
        <v>0.199658188398512</v>
      </c>
      <c r="AE33" s="268">
        <f>IFERROR(AE22/AE23,"")</f>
        <v>0.170233864969837</v>
      </c>
      <c r="AF33" s="268">
        <f>IFERROR(AF22/AF23,"")</f>
        <v>0.16999420097755</v>
      </c>
      <c r="AG33" s="269">
        <f>IFERROR(AG22/AG23,"")</f>
        <v>0.18171798580974</v>
      </c>
      <c r="AH33" s="269" t="str">
        <f>IFERROR(AH22/AH23,"")</f>
        <v/>
      </c>
      <c r="AI33" s="269" t="str">
        <f>IFERROR(AI22/AI23,"")</f>
        <v/>
      </c>
    </row>
    <row r="34"/>
    <row r="35">
      <c r="C35" s="12" t="inlineStr">
        <is>
          <t>Receita liquida por regiao - como a Cia divulga desde a combinacao com o Novo Atacarejo (releases; R$ milhoes)</t>
        </is>
      </c>
      <c r="D35" s="12" t="str">
        <f>D7</f>
        <v>1Q20</v>
      </c>
      <c r="E35" s="12" t="str">
        <f>E7</f>
        <v>2Q20</v>
      </c>
      <c r="F35" s="12" t="str">
        <f>F7</f>
        <v>3Q20</v>
      </c>
      <c r="G35" s="12" t="str">
        <f>G7</f>
        <v>4Q20</v>
      </c>
      <c r="H35" s="12">
        <f>H7</f>
        <v>2020</v>
      </c>
      <c r="I35" s="12" t="str">
        <f>I7</f>
        <v>1Q21</v>
      </c>
      <c r="J35" s="12" t="str">
        <f>J7</f>
        <v>2Q21</v>
      </c>
      <c r="K35" s="12" t="str">
        <f>K7</f>
        <v>3Q21</v>
      </c>
      <c r="L35" s="12" t="str">
        <f>L7</f>
        <v>4Q21</v>
      </c>
      <c r="M35" s="12">
        <f>M7</f>
        <v>2021</v>
      </c>
      <c r="N35" s="12" t="str">
        <f>N7</f>
        <v>1Q22</v>
      </c>
      <c r="O35" s="12" t="str">
        <f>O7</f>
        <v>2Q22</v>
      </c>
      <c r="P35" s="12" t="str">
        <f>P7</f>
        <v>3Q22</v>
      </c>
      <c r="Q35" s="12" t="str">
        <f>Q7</f>
        <v>4Q22</v>
      </c>
      <c r="R35" s="12">
        <f>R7</f>
        <v>2022</v>
      </c>
      <c r="S35" s="12" t="str">
        <f>S7</f>
        <v>1Q23</v>
      </c>
      <c r="T35" s="12" t="str">
        <f>T7</f>
        <v>2Q23</v>
      </c>
      <c r="U35" s="12" t="str">
        <f>U7</f>
        <v>3Q23</v>
      </c>
      <c r="V35" s="12" t="str">
        <f>V7</f>
        <v>4Q23</v>
      </c>
      <c r="W35" s="12">
        <f>W7</f>
        <v>2023</v>
      </c>
      <c r="X35" s="12" t="str">
        <f>X7</f>
        <v>1Q24</v>
      </c>
      <c r="Y35" s="12" t="str">
        <f>Y7</f>
        <v>2Q24</v>
      </c>
      <c r="Z35" s="12" t="str">
        <f>Z7</f>
        <v>3Q24</v>
      </c>
      <c r="AA35" s="12" t="str">
        <f>AA7</f>
        <v>4Q24</v>
      </c>
      <c r="AB35" s="12">
        <f>AB7</f>
        <v>2024</v>
      </c>
      <c r="AC35" s="12" t="str">
        <f>AC7</f>
        <v>1Q25</v>
      </c>
      <c r="AD35" s="12" t="str">
        <f>AD7</f>
        <v>2Q25</v>
      </c>
      <c r="AE35" s="12" t="str">
        <f>AE7</f>
        <v>3Q25</v>
      </c>
      <c r="AF35" s="12" t="str">
        <f>AF7</f>
        <v>4Q25</v>
      </c>
      <c r="AG35" s="12">
        <f>AG7</f>
        <v>2025</v>
      </c>
      <c r="AH35" s="12" t="str">
        <f>AH7</f>
        <v>1Q26</v>
      </c>
      <c r="AI35" s="12" t="str">
        <f>AI7</f>
        <v>2Q26</v>
      </c>
    </row>
    <row r="36">
      <c r="C36" s="14" t="inlineStr">
        <is>
          <t xml:space="preserve">   Grupo Mateus MA, PA, PI, CE, SE e BA</t>
        </is>
      </c>
      <c r="D36" s="265" t="str">
        <f>IFERROR(INDEX('Inputs (2)'!$D$57:$AL$57,MATCH(D$7,'Inputs (2)'!$D$2:$AL$2,0)),"")</f>
        <v/>
      </c>
      <c r="E36" s="265" t="str">
        <f>IFERROR(INDEX('Inputs (2)'!$D$57:$AL$57,MATCH(E$7,'Inputs (2)'!$D$2:$AL$2,0)),"")</f>
        <v/>
      </c>
      <c r="F36" s="265" t="str">
        <f>IFERROR(INDEX('Inputs (2)'!$D$57:$AL$57,MATCH(F$7,'Inputs (2)'!$D$2:$AL$2,0)),"")</f>
        <v/>
      </c>
      <c r="G36" s="265" t="str">
        <f>IFERROR(INDEX('Inputs (2)'!$D$57:$AL$57,MATCH(G$7,'Inputs (2)'!$D$2:$AL$2,0)),"")</f>
        <v/>
      </c>
      <c r="H36" s="266" t="str">
        <f>IF(COUNT(D36:G36)=4,SUM(D36:G36),"")</f>
        <v/>
      </c>
      <c r="I36" s="265" t="str">
        <f>IFERROR(INDEX('Inputs (2)'!$D$57:$AL$57,MATCH(I$7,'Inputs (2)'!$D$2:$AL$2,0)),"")</f>
        <v/>
      </c>
      <c r="J36" s="265" t="str">
        <f>IFERROR(INDEX('Inputs (2)'!$D$57:$AL$57,MATCH(J$7,'Inputs (2)'!$D$2:$AL$2,0)),"")</f>
        <v/>
      </c>
      <c r="K36" s="265" t="str">
        <f>IFERROR(INDEX('Inputs (2)'!$D$57:$AL$57,MATCH(K$7,'Inputs (2)'!$D$2:$AL$2,0)),"")</f>
        <v/>
      </c>
      <c r="L36" s="265" t="str">
        <f>IFERROR(INDEX('Inputs (2)'!$D$57:$AL$57,MATCH(L$7,'Inputs (2)'!$D$2:$AL$2,0)),"")</f>
        <v/>
      </c>
      <c r="M36" s="266" t="str">
        <f>IF(COUNT(I36:L36)=4,SUM(I36:L36),"")</f>
        <v/>
      </c>
      <c r="N36" s="265" t="str">
        <f>IFERROR(INDEX('Inputs (2)'!$D$57:$AL$57,MATCH(N$7,'Inputs (2)'!$D$2:$AL$2,0)),"")</f>
        <v/>
      </c>
      <c r="O36" s="265" t="str">
        <f>IFERROR(INDEX('Inputs (2)'!$D$57:$AL$57,MATCH(O$7,'Inputs (2)'!$D$2:$AL$2,0)),"")</f>
        <v/>
      </c>
      <c r="P36" s="265" t="str">
        <f>IFERROR(INDEX('Inputs (2)'!$D$57:$AL$57,MATCH(P$7,'Inputs (2)'!$D$2:$AL$2,0)),"")</f>
        <v/>
      </c>
      <c r="Q36" s="265" t="str">
        <f>IFERROR(INDEX('Inputs (2)'!$D$57:$AL$57,MATCH(Q$7,'Inputs (2)'!$D$2:$AL$2,0)),"")</f>
        <v/>
      </c>
      <c r="R36" s="266" t="str">
        <f>IF(COUNT(N36:Q36)=4,SUM(N36:Q36),"")</f>
        <v/>
      </c>
      <c r="S36" s="265" t="str">
        <f>IFERROR(INDEX('Inputs (2)'!$D$57:$AL$57,MATCH(S$7,'Inputs (2)'!$D$2:$AL$2,0)),"")</f>
        <v/>
      </c>
      <c r="T36" s="265" t="str">
        <f>IFERROR(INDEX('Inputs (2)'!$D$57:$AL$57,MATCH(T$7,'Inputs (2)'!$D$2:$AL$2,0)),"")</f>
        <v/>
      </c>
      <c r="U36" s="265" t="str">
        <f>IFERROR(INDEX('Inputs (2)'!$D$57:$AL$57,MATCH(U$7,'Inputs (2)'!$D$2:$AL$2,0)),"")</f>
        <v/>
      </c>
      <c r="V36" s="265" t="str">
        <f>IFERROR(INDEX('Inputs (2)'!$D$57:$AL$57,MATCH(V$7,'Inputs (2)'!$D$2:$AL$2,0)),"")</f>
        <v/>
      </c>
      <c r="W36" s="266" t="str">
        <f>IF(COUNT(S36:V36)=4,SUM(S36:V36),"")</f>
        <v/>
      </c>
      <c r="X36" s="265" t="str">
        <f>IFERROR(INDEX('Inputs (2)'!$D$57:$AL$57,MATCH(X$7,'Inputs (2)'!$D$2:$AL$2,0)),"")</f>
        <v/>
      </c>
      <c r="Y36" s="265" t="str">
        <f>IFERROR(INDEX('Inputs (2)'!$D$57:$AL$57,MATCH(Y$7,'Inputs (2)'!$D$2:$AL$2,0)),"")</f>
        <v/>
      </c>
      <c r="Z36" s="265" t="str">
        <f>IFERROR(INDEX('Inputs (2)'!$D$57:$AL$57,MATCH(Z$7,'Inputs (2)'!$D$2:$AL$2,0)),"")</f>
        <v/>
      </c>
      <c r="AA36" s="265" t="str">
        <f>IFERROR(INDEX('Inputs (2)'!$D$57:$AL$57,MATCH(AA$7,'Inputs (2)'!$D$2:$AL$2,0)),"")</f>
        <v/>
      </c>
      <c r="AB36" s="266" t="str">
        <f>IF(COUNT(X36:AA36)=4,SUM(X36:AA36),"")</f>
        <v/>
      </c>
      <c r="AC36" s="265" t="str">
        <f>IFERROR(INDEX('Inputs (2)'!$D$57:$AL$57,MATCH(AC$7,'Inputs (2)'!$D$2:$AL$2,0)),"")</f>
        <v/>
      </c>
      <c r="AD36" s="265" t="str">
        <f>IFERROR(INDEX('Inputs (2)'!$D$57:$AL$57,MATCH(AD$7,'Inputs (2)'!$D$2:$AL$2,0)),"")</f>
        <v/>
      </c>
      <c r="AE36" s="265">
        <f>IFERROR(INDEX('Inputs (2)'!$D$57:$AL$57,MATCH(AE$7,'Inputs (2)'!$D$2:$AL$2,0)),"")</f>
        <v>7869</v>
      </c>
      <c r="AF36" s="265">
        <f>IFERROR(INDEX('Inputs (2)'!$D$57:$AL$57,MATCH(AF$7,'Inputs (2)'!$D$2:$AL$2,0)),"")</f>
        <v>7723</v>
      </c>
      <c r="AG36" s="266" t="str">
        <f>IF(COUNT(AC36:AF36)=4,SUM(AC36:AF36),"")</f>
        <v/>
      </c>
      <c r="AH36" s="266">
        <f>IFERROR(INDEX('Inputs (2)'!$D$57:$AL$57,MATCH(AH$7,'Inputs (2)'!$D$2:$AL$2,0)),"")</f>
        <v>7012</v>
      </c>
      <c r="AI36" s="266">
        <f>IFERROR(INDEX('Inputs (2)'!$D$57:$AL$57,MATCH(AI$7,'Inputs (2)'!$D$2:$AL$2,0)),"")</f>
        <v>7387</v>
      </c>
    </row>
    <row r="37">
      <c r="C37" s="14" t="inlineStr">
        <is>
          <t xml:space="preserve">   Grupo Mateus + Novo Atacarejo PE, PB e AL</t>
        </is>
      </c>
      <c r="D37" s="265" t="str">
        <f>IFERROR(INDEX('Inputs (2)'!$D$58:$AL$58,MATCH(D$7,'Inputs (2)'!$D$2:$AL$2,0)),"")</f>
        <v/>
      </c>
      <c r="E37" s="265" t="str">
        <f>IFERROR(INDEX('Inputs (2)'!$D$58:$AL$58,MATCH(E$7,'Inputs (2)'!$D$2:$AL$2,0)),"")</f>
        <v/>
      </c>
      <c r="F37" s="265" t="str">
        <f>IFERROR(INDEX('Inputs (2)'!$D$58:$AL$58,MATCH(F$7,'Inputs (2)'!$D$2:$AL$2,0)),"")</f>
        <v/>
      </c>
      <c r="G37" s="265" t="str">
        <f>IFERROR(INDEX('Inputs (2)'!$D$58:$AL$58,MATCH(G$7,'Inputs (2)'!$D$2:$AL$2,0)),"")</f>
        <v/>
      </c>
      <c r="H37" s="266" t="str">
        <f>IF(COUNT(D37:G37)=4,SUM(D37:G37),"")</f>
        <v/>
      </c>
      <c r="I37" s="265" t="str">
        <f>IFERROR(INDEX('Inputs (2)'!$D$58:$AL$58,MATCH(I$7,'Inputs (2)'!$D$2:$AL$2,0)),"")</f>
        <v/>
      </c>
      <c r="J37" s="265" t="str">
        <f>IFERROR(INDEX('Inputs (2)'!$D$58:$AL$58,MATCH(J$7,'Inputs (2)'!$D$2:$AL$2,0)),"")</f>
        <v/>
      </c>
      <c r="K37" s="265" t="str">
        <f>IFERROR(INDEX('Inputs (2)'!$D$58:$AL$58,MATCH(K$7,'Inputs (2)'!$D$2:$AL$2,0)),"")</f>
        <v/>
      </c>
      <c r="L37" s="265" t="str">
        <f>IFERROR(INDEX('Inputs (2)'!$D$58:$AL$58,MATCH(L$7,'Inputs (2)'!$D$2:$AL$2,0)),"")</f>
        <v/>
      </c>
      <c r="M37" s="266" t="str">
        <f>IF(COUNT(I37:L37)=4,SUM(I37:L37),"")</f>
        <v/>
      </c>
      <c r="N37" s="265" t="str">
        <f>IFERROR(INDEX('Inputs (2)'!$D$58:$AL$58,MATCH(N$7,'Inputs (2)'!$D$2:$AL$2,0)),"")</f>
        <v/>
      </c>
      <c r="O37" s="265" t="str">
        <f>IFERROR(INDEX('Inputs (2)'!$D$58:$AL$58,MATCH(O$7,'Inputs (2)'!$D$2:$AL$2,0)),"")</f>
        <v/>
      </c>
      <c r="P37" s="265" t="str">
        <f>IFERROR(INDEX('Inputs (2)'!$D$58:$AL$58,MATCH(P$7,'Inputs (2)'!$D$2:$AL$2,0)),"")</f>
        <v/>
      </c>
      <c r="Q37" s="265" t="str">
        <f>IFERROR(INDEX('Inputs (2)'!$D$58:$AL$58,MATCH(Q$7,'Inputs (2)'!$D$2:$AL$2,0)),"")</f>
        <v/>
      </c>
      <c r="R37" s="266" t="str">
        <f>IF(COUNT(N37:Q37)=4,SUM(N37:Q37),"")</f>
        <v/>
      </c>
      <c r="S37" s="265" t="str">
        <f>IFERROR(INDEX('Inputs (2)'!$D$58:$AL$58,MATCH(S$7,'Inputs (2)'!$D$2:$AL$2,0)),"")</f>
        <v/>
      </c>
      <c r="T37" s="265" t="str">
        <f>IFERROR(INDEX('Inputs (2)'!$D$58:$AL$58,MATCH(T$7,'Inputs (2)'!$D$2:$AL$2,0)),"")</f>
        <v/>
      </c>
      <c r="U37" s="265" t="str">
        <f>IFERROR(INDEX('Inputs (2)'!$D$58:$AL$58,MATCH(U$7,'Inputs (2)'!$D$2:$AL$2,0)),"")</f>
        <v/>
      </c>
      <c r="V37" s="265" t="str">
        <f>IFERROR(INDEX('Inputs (2)'!$D$58:$AL$58,MATCH(V$7,'Inputs (2)'!$D$2:$AL$2,0)),"")</f>
        <v/>
      </c>
      <c r="W37" s="266" t="str">
        <f>IF(COUNT(S37:V37)=4,SUM(S37:V37),"")</f>
        <v/>
      </c>
      <c r="X37" s="265" t="str">
        <f>IFERROR(INDEX('Inputs (2)'!$D$58:$AL$58,MATCH(X$7,'Inputs (2)'!$D$2:$AL$2,0)),"")</f>
        <v/>
      </c>
      <c r="Y37" s="265" t="str">
        <f>IFERROR(INDEX('Inputs (2)'!$D$58:$AL$58,MATCH(Y$7,'Inputs (2)'!$D$2:$AL$2,0)),"")</f>
        <v/>
      </c>
      <c r="Z37" s="265" t="str">
        <f>IFERROR(INDEX('Inputs (2)'!$D$58:$AL$58,MATCH(Z$7,'Inputs (2)'!$D$2:$AL$2,0)),"")</f>
        <v/>
      </c>
      <c r="AA37" s="265" t="str">
        <f>IFERROR(INDEX('Inputs (2)'!$D$58:$AL$58,MATCH(AA$7,'Inputs (2)'!$D$2:$AL$2,0)),"")</f>
        <v/>
      </c>
      <c r="AB37" s="266" t="str">
        <f>IF(COUNT(X37:AA37)=4,SUM(X37:AA37),"")</f>
        <v/>
      </c>
      <c r="AC37" s="265" t="str">
        <f>IFERROR(INDEX('Inputs (2)'!$D$58:$AL$58,MATCH(AC$7,'Inputs (2)'!$D$2:$AL$2,0)),"")</f>
        <v/>
      </c>
      <c r="AD37" s="265" t="str">
        <f>IFERROR(INDEX('Inputs (2)'!$D$58:$AL$58,MATCH(AD$7,'Inputs (2)'!$D$2:$AL$2,0)),"")</f>
        <v/>
      </c>
      <c r="AE37" s="265">
        <f>IFERROR(INDEX('Inputs (2)'!$D$58:$AL$58,MATCH(AE$7,'Inputs (2)'!$D$2:$AL$2,0)),"")</f>
        <v>2895</v>
      </c>
      <c r="AF37" s="265">
        <f>IFERROR(INDEX('Inputs (2)'!$D$58:$AL$58,MATCH(AF$7,'Inputs (2)'!$D$2:$AL$2,0)),"")</f>
        <v>2827</v>
      </c>
      <c r="AG37" s="266" t="str">
        <f>IF(COUNT(AC37:AF37)=4,SUM(AC37:AF37),"")</f>
        <v/>
      </c>
      <c r="AH37" s="266">
        <f>IFERROR(INDEX('Inputs (2)'!$D$58:$AL$58,MATCH(AH$7,'Inputs (2)'!$D$2:$AL$2,0)),"")</f>
        <v>2390</v>
      </c>
      <c r="AI37" s="266">
        <f>IFERROR(INDEX('Inputs (2)'!$D$58:$AL$58,MATCH(AI$7,'Inputs (2)'!$D$2:$AL$2,0)),"")</f>
        <v>2466</v>
      </c>
    </row>
    <row r="38">
      <c r="C38" s="267" t="inlineStr">
        <is>
          <t>Receita liquida (soma das regioes)</t>
        </is>
      </c>
      <c r="D38" s="265" t="str">
        <f>IF(COUNT(D36,D37)&lt;2,"",SUM(D36,D37))</f>
        <v/>
      </c>
      <c r="E38" s="265" t="str">
        <f>IF(COUNT(E36,E37)&lt;2,"",SUM(E36,E37))</f>
        <v/>
      </c>
      <c r="F38" s="265" t="str">
        <f>IF(COUNT(F36,F37)&lt;2,"",SUM(F36,F37))</f>
        <v/>
      </c>
      <c r="G38" s="265" t="str">
        <f>IF(COUNT(G36,G37)&lt;2,"",SUM(G36,G37))</f>
        <v/>
      </c>
      <c r="H38" s="266" t="str">
        <f>IF(COUNT(H36,H37)&lt;2,"",SUM(H36,H37))</f>
        <v/>
      </c>
      <c r="I38" s="265" t="str">
        <f>IF(COUNT(I36,I37)&lt;2,"",SUM(I36,I37))</f>
        <v/>
      </c>
      <c r="J38" s="265" t="str">
        <f>IF(COUNT(J36,J37)&lt;2,"",SUM(J36,J37))</f>
        <v/>
      </c>
      <c r="K38" s="265" t="str">
        <f>IF(COUNT(K36,K37)&lt;2,"",SUM(K36,K37))</f>
        <v/>
      </c>
      <c r="L38" s="265" t="str">
        <f>IF(COUNT(L36,L37)&lt;2,"",SUM(L36,L37))</f>
        <v/>
      </c>
      <c r="M38" s="266" t="str">
        <f>IF(COUNT(M36,M37)&lt;2,"",SUM(M36,M37))</f>
        <v/>
      </c>
      <c r="N38" s="265" t="str">
        <f>IF(COUNT(N36,N37)&lt;2,"",SUM(N36,N37))</f>
        <v/>
      </c>
      <c r="O38" s="265" t="str">
        <f>IF(COUNT(O36,O37)&lt;2,"",SUM(O36,O37))</f>
        <v/>
      </c>
      <c r="P38" s="265" t="str">
        <f>IF(COUNT(P36,P37)&lt;2,"",SUM(P36,P37))</f>
        <v/>
      </c>
      <c r="Q38" s="265" t="str">
        <f>IF(COUNT(Q36,Q37)&lt;2,"",SUM(Q36,Q37))</f>
        <v/>
      </c>
      <c r="R38" s="266" t="str">
        <f>IF(COUNT(R36,R37)&lt;2,"",SUM(R36,R37))</f>
        <v/>
      </c>
      <c r="S38" s="265" t="str">
        <f>IF(COUNT(S36,S37)&lt;2,"",SUM(S36,S37))</f>
        <v/>
      </c>
      <c r="T38" s="265" t="str">
        <f>IF(COUNT(T36,T37)&lt;2,"",SUM(T36,T37))</f>
        <v/>
      </c>
      <c r="U38" s="265" t="str">
        <f>IF(COUNT(U36,U37)&lt;2,"",SUM(U36,U37))</f>
        <v/>
      </c>
      <c r="V38" s="265" t="str">
        <f>IF(COUNT(V36,V37)&lt;2,"",SUM(V36,V37))</f>
        <v/>
      </c>
      <c r="W38" s="266" t="str">
        <f>IF(COUNT(W36,W37)&lt;2,"",SUM(W36,W37))</f>
        <v/>
      </c>
      <c r="X38" s="265" t="str">
        <f>IF(COUNT(X36,X37)&lt;2,"",SUM(X36,X37))</f>
        <v/>
      </c>
      <c r="Y38" s="265" t="str">
        <f>IF(COUNT(Y36,Y37)&lt;2,"",SUM(Y36,Y37))</f>
        <v/>
      </c>
      <c r="Z38" s="265" t="str">
        <f>IF(COUNT(Z36,Z37)&lt;2,"",SUM(Z36,Z37))</f>
        <v/>
      </c>
      <c r="AA38" s="265" t="str">
        <f>IF(COUNT(AA36,AA37)&lt;2,"",SUM(AA36,AA37))</f>
        <v/>
      </c>
      <c r="AB38" s="266" t="str">
        <f>IF(COUNT(AB36,AB37)&lt;2,"",SUM(AB36,AB37))</f>
        <v/>
      </c>
      <c r="AC38" s="265" t="str">
        <f>IF(COUNT(AC36,AC37)&lt;2,"",SUM(AC36,AC37))</f>
        <v/>
      </c>
      <c r="AD38" s="265" t="str">
        <f>IF(COUNT(AD36,AD37)&lt;2,"",SUM(AD36,AD37))</f>
        <v/>
      </c>
      <c r="AE38" s="265">
        <f>IF(COUNT(AE36,AE37)&lt;2,"",SUM(AE36,AE37))</f>
        <v>10764</v>
      </c>
      <c r="AF38" s="265">
        <f>IF(COUNT(AF36,AF37)&lt;2,"",SUM(AF36,AF37))</f>
        <v>10550</v>
      </c>
      <c r="AG38" s="266" t="str">
        <f>IF(COUNT(AG36,AG37)&lt;2,"",SUM(AG36,AG37))</f>
        <v/>
      </c>
      <c r="AH38" s="266">
        <f>IF(COUNT(AH36,AH37)&lt;2,"",SUM(AH36,AH37))</f>
        <v>9402</v>
      </c>
      <c r="AI38" s="266">
        <f>IF(COUNT(AI36,AI37)&lt;2,"",SUM(AI36,AI37))</f>
        <v>9853</v>
      </c>
    </row>
    <row r="39">
      <c r="C39" s="14" t="inlineStr">
        <is>
          <t>Check vs Net Revenues (linha 15; difere so pelo arredondamento do release em R$ milhoes)</t>
        </is>
      </c>
      <c r="D39" s="270" t="str">
        <f>IF(COUNT(D38)=0,"",ROUND(D15-D38,6))</f>
        <v/>
      </c>
      <c r="E39" s="270" t="str">
        <f>IF(COUNT(E38)=0,"",ROUND(E15-E38,6))</f>
        <v/>
      </c>
      <c r="F39" s="270" t="str">
        <f>IF(COUNT(F38)=0,"",ROUND(F15-F38,6))</f>
        <v/>
      </c>
      <c r="G39" s="270" t="str">
        <f>IF(COUNT(G38)=0,"",ROUND(G15-G38,6))</f>
        <v/>
      </c>
      <c r="H39" s="271" t="str">
        <f>IF(COUNT(H38)=0,"",ROUND(H15-H38,6))</f>
        <v/>
      </c>
      <c r="I39" s="270" t="str">
        <f>IF(COUNT(I38)=0,"",ROUND(I15-I38,6))</f>
        <v/>
      </c>
      <c r="J39" s="270" t="str">
        <f>IF(COUNT(J38)=0,"",ROUND(J15-J38,6))</f>
        <v/>
      </c>
      <c r="K39" s="270" t="str">
        <f>IF(COUNT(K38)=0,"",ROUND(K15-K38,6))</f>
        <v/>
      </c>
      <c r="L39" s="270" t="str">
        <f>IF(COUNT(L38)=0,"",ROUND(L15-L38,6))</f>
        <v/>
      </c>
      <c r="M39" s="271" t="str">
        <f>IF(COUNT(M38)=0,"",ROUND(M15-M38,6))</f>
        <v/>
      </c>
      <c r="N39" s="270" t="str">
        <f>IF(COUNT(N38)=0,"",ROUND(N15-N38,6))</f>
        <v/>
      </c>
      <c r="O39" s="270" t="str">
        <f>IF(COUNT(O38)=0,"",ROUND(O15-O38,6))</f>
        <v/>
      </c>
      <c r="P39" s="270" t="str">
        <f>IF(COUNT(P38)=0,"",ROUND(P15-P38,6))</f>
        <v/>
      </c>
      <c r="Q39" s="270" t="str">
        <f>IF(COUNT(Q38)=0,"",ROUND(Q15-Q38,6))</f>
        <v/>
      </c>
      <c r="R39" s="271" t="str">
        <f>IF(COUNT(R38)=0,"",ROUND(R15-R38,6))</f>
        <v/>
      </c>
      <c r="S39" s="270" t="str">
        <f>IF(COUNT(S38)=0,"",ROUND(S15-S38,6))</f>
        <v/>
      </c>
      <c r="T39" s="270" t="str">
        <f>IF(COUNT(T38)=0,"",ROUND(T15-T38,6))</f>
        <v/>
      </c>
      <c r="U39" s="270" t="str">
        <f>IF(COUNT(U38)=0,"",ROUND(U15-U38,6))</f>
        <v/>
      </c>
      <c r="V39" s="270" t="str">
        <f>IF(COUNT(V38)=0,"",ROUND(V15-V38,6))</f>
        <v/>
      </c>
      <c r="W39" s="271" t="str">
        <f>IF(COUNT(W38)=0,"",ROUND(W15-W38,6))</f>
        <v/>
      </c>
      <c r="X39" s="270" t="str">
        <f>IF(COUNT(X38)=0,"",ROUND(X15-X38,6))</f>
        <v/>
      </c>
      <c r="Y39" s="270" t="str">
        <f>IF(COUNT(Y38)=0,"",ROUND(Y15-Y38,6))</f>
        <v/>
      </c>
      <c r="Z39" s="270" t="str">
        <f>IF(COUNT(Z38)=0,"",ROUND(Z15-Z38,6))</f>
        <v/>
      </c>
      <c r="AA39" s="270" t="str">
        <f>IF(COUNT(AA38)=0,"",ROUND(AA15-AA38,6))</f>
        <v/>
      </c>
      <c r="AB39" s="271" t="str">
        <f>IF(COUNT(AB38)=0,"",ROUND(AB15-AB38,6))</f>
        <v/>
      </c>
      <c r="AC39" s="270" t="str">
        <f>IF(COUNT(AC38)=0,"",ROUND(AC15-AC38,6))</f>
        <v/>
      </c>
      <c r="AD39" s="270" t="str">
        <f>IF(COUNT(AD38)=0,"",ROUND(AD15-AD38,6))</f>
        <v/>
      </c>
      <c r="AE39" s="270">
        <f>IF(COUNT(AE38)=0,"",ROUND(AE15-AE38,6))</f>
        <v>-0.462</v>
      </c>
      <c r="AF39" s="270">
        <f>IF(COUNT(AF38)=0,"",ROUND(AF15-AF38,6))</f>
        <v>-0.077364</v>
      </c>
      <c r="AG39" s="271" t="str">
        <f>IF(COUNT(AG38)=0,"",ROUND(AG15-AG38,6))</f>
        <v/>
      </c>
      <c r="AH39" s="271">
        <f>IF(COUNT(AH38)=0,"",ROUND(AH15-AH38,6))</f>
        <v>0.27</v>
      </c>
      <c r="AI39" s="271">
        <f>IF(COUNT(AI38)=0,"",ROUND(AI15-AI38,6))</f>
        <v>-0.539</v>
      </c>
    </row>
    <row r="40">
      <c r="C40" s="14" t="inlineStr">
        <is>
          <t xml:space="preserve">   % YoY MA-BA</t>
        </is>
      </c>
      <c r="D40" s="268" t="str">
        <f>""</f>
        <v/>
      </c>
      <c r="E40" s="268" t="str">
        <f>""</f>
        <v/>
      </c>
      <c r="F40" s="268" t="str">
        <f>""</f>
        <v/>
      </c>
      <c r="G40" s="268" t="str">
        <f>""</f>
        <v/>
      </c>
      <c r="H40" s="269" t="str">
        <f>""</f>
        <v/>
      </c>
      <c r="I40" s="268" t="str">
        <f>IFERROR(I36/D36-1,"")</f>
        <v/>
      </c>
      <c r="J40" s="268" t="str">
        <f>IFERROR(J36/E36-1,"")</f>
        <v/>
      </c>
      <c r="K40" s="268" t="str">
        <f>IFERROR(K36/F36-1,"")</f>
        <v/>
      </c>
      <c r="L40" s="268" t="str">
        <f>IFERROR(L36/G36-1,"")</f>
        <v/>
      </c>
      <c r="M40" s="269" t="str">
        <f>IFERROR(M36/H36-1,"")</f>
        <v/>
      </c>
      <c r="N40" s="268" t="str">
        <f>IFERROR(N36/I36-1,"")</f>
        <v/>
      </c>
      <c r="O40" s="268" t="str">
        <f>IFERROR(O36/J36-1,"")</f>
        <v/>
      </c>
      <c r="P40" s="268" t="str">
        <f>IFERROR(P36/K36-1,"")</f>
        <v/>
      </c>
      <c r="Q40" s="268" t="str">
        <f>IFERROR(Q36/L36-1,"")</f>
        <v/>
      </c>
      <c r="R40" s="269" t="str">
        <f>IFERROR(R36/M36-1,"")</f>
        <v/>
      </c>
      <c r="S40" s="268" t="str">
        <f>IFERROR(S36/N36-1,"")</f>
        <v/>
      </c>
      <c r="T40" s="268" t="str">
        <f>IFERROR(T36/O36-1,"")</f>
        <v/>
      </c>
      <c r="U40" s="268" t="str">
        <f>IFERROR(U36/P36-1,"")</f>
        <v/>
      </c>
      <c r="V40" s="268" t="str">
        <f>IFERROR(V36/Q36-1,"")</f>
        <v/>
      </c>
      <c r="W40" s="269" t="str">
        <f>IFERROR(W36/R36-1,"")</f>
        <v/>
      </c>
      <c r="X40" s="268" t="str">
        <f>IFERROR(X36/S36-1,"")</f>
        <v/>
      </c>
      <c r="Y40" s="268" t="str">
        <f>IFERROR(Y36/T36-1,"")</f>
        <v/>
      </c>
      <c r="Z40" s="268" t="str">
        <f>IFERROR(Z36/U36-1,"")</f>
        <v/>
      </c>
      <c r="AA40" s="268" t="str">
        <f>IFERROR(AA36/V36-1,"")</f>
        <v/>
      </c>
      <c r="AB40" s="269" t="str">
        <f>IFERROR(AB36/W36-1,"")</f>
        <v/>
      </c>
      <c r="AC40" s="268" t="str">
        <f>IFERROR(AC36/X36-1,"")</f>
        <v/>
      </c>
      <c r="AD40" s="268" t="str">
        <f>IFERROR(AD36/Y36-1,"")</f>
        <v/>
      </c>
      <c r="AE40" s="268" t="str">
        <f>IFERROR(AE36/Z36-1,"")</f>
        <v/>
      </c>
      <c r="AF40" s="268" t="str">
        <f>IFERROR(AF36/AA36-1,"")</f>
        <v/>
      </c>
      <c r="AG40" s="269" t="str">
        <f>IFERROR(AG36/AB36-1,"")</f>
        <v/>
      </c>
      <c r="AH40" s="269" t="str">
        <f>IFERROR(AH36/AC36-1,"")</f>
        <v/>
      </c>
      <c r="AI40" s="269" t="str">
        <f>IFERROR(AI36/AD36-1,"")</f>
        <v/>
      </c>
    </row>
    <row r="41">
      <c r="C41" s="14" t="inlineStr">
        <is>
          <t xml:space="preserve">   % PE/PB/AL na receita liquida</t>
        </is>
      </c>
      <c r="D41" s="268" t="str">
        <f>IFERROR(D37/D38,"")</f>
        <v/>
      </c>
      <c r="E41" s="268" t="str">
        <f>IFERROR(E37/E38,"")</f>
        <v/>
      </c>
      <c r="F41" s="268" t="str">
        <f>IFERROR(F37/F38,"")</f>
        <v/>
      </c>
      <c r="G41" s="268" t="str">
        <f>IFERROR(G37/G38,"")</f>
        <v/>
      </c>
      <c r="H41" s="269" t="str">
        <f>IFERROR(H37/H38,"")</f>
        <v/>
      </c>
      <c r="I41" s="268" t="str">
        <f>IFERROR(I37/I38,"")</f>
        <v/>
      </c>
      <c r="J41" s="268" t="str">
        <f>IFERROR(J37/J38,"")</f>
        <v/>
      </c>
      <c r="K41" s="268" t="str">
        <f>IFERROR(K37/K38,"")</f>
        <v/>
      </c>
      <c r="L41" s="268" t="str">
        <f>IFERROR(L37/L38,"")</f>
        <v/>
      </c>
      <c r="M41" s="269" t="str">
        <f>IFERROR(M37/M38,"")</f>
        <v/>
      </c>
      <c r="N41" s="268" t="str">
        <f>IFERROR(N37/N38,"")</f>
        <v/>
      </c>
      <c r="O41" s="268" t="str">
        <f>IFERROR(O37/O38,"")</f>
        <v/>
      </c>
      <c r="P41" s="268" t="str">
        <f>IFERROR(P37/P38,"")</f>
        <v/>
      </c>
      <c r="Q41" s="268" t="str">
        <f>IFERROR(Q37/Q38,"")</f>
        <v/>
      </c>
      <c r="R41" s="269" t="str">
        <f>IFERROR(R37/R38,"")</f>
        <v/>
      </c>
      <c r="S41" s="268" t="str">
        <f>IFERROR(S37/S38,"")</f>
        <v/>
      </c>
      <c r="T41" s="268" t="str">
        <f>IFERROR(T37/T38,"")</f>
        <v/>
      </c>
      <c r="U41" s="268" t="str">
        <f>IFERROR(U37/U38,"")</f>
        <v/>
      </c>
      <c r="V41" s="268" t="str">
        <f>IFERROR(V37/V38,"")</f>
        <v/>
      </c>
      <c r="W41" s="269" t="str">
        <f>IFERROR(W37/W38,"")</f>
        <v/>
      </c>
      <c r="X41" s="268" t="str">
        <f>IFERROR(X37/X38,"")</f>
        <v/>
      </c>
      <c r="Y41" s="268" t="str">
        <f>IFERROR(Y37/Y38,"")</f>
        <v/>
      </c>
      <c r="Z41" s="268" t="str">
        <f>IFERROR(Z37/Z38,"")</f>
        <v/>
      </c>
      <c r="AA41" s="268" t="str">
        <f>IFERROR(AA37/AA38,"")</f>
        <v/>
      </c>
      <c r="AB41" s="269" t="str">
        <f>IFERROR(AB37/AB38,"")</f>
        <v/>
      </c>
      <c r="AC41" s="268" t="str">
        <f>IFERROR(AC37/AC38,"")</f>
        <v/>
      </c>
      <c r="AD41" s="268" t="str">
        <f>IFERROR(AD37/AD38,"")</f>
        <v/>
      </c>
      <c r="AE41" s="268">
        <f>IFERROR(AE37/AE38,"")</f>
        <v>0.268952062430323</v>
      </c>
      <c r="AF41" s="268">
        <f>IFERROR(AF37/AF38,"")</f>
        <v>0.267962085308057</v>
      </c>
      <c r="AG41" s="269" t="str">
        <f>IFERROR(AG37/AG38,"")</f>
        <v/>
      </c>
      <c r="AH41" s="269">
        <f>IFERROR(AH37/AH38,"")</f>
        <v>0.254201233780047</v>
      </c>
      <c r="AI41" s="269">
        <f>IFERROR(AI37/AI38,"")</f>
        <v>0.250279102811327</v>
      </c>
    </row>
    <row r="42"/>
    <row r="43">
      <c r="C43" s="12" t="inlineStr">
        <is>
          <t>Drivers operacionais - lojas, area e produtividade (abas N de lojas e Area de Vendas; SSS dos releases)</t>
        </is>
      </c>
      <c r="D43" s="12" t="str">
        <f>D7</f>
        <v>1Q20</v>
      </c>
      <c r="E43" s="12" t="str">
        <f>E7</f>
        <v>2Q20</v>
      </c>
      <c r="F43" s="12" t="str">
        <f>F7</f>
        <v>3Q20</v>
      </c>
      <c r="G43" s="12" t="str">
        <f>G7</f>
        <v>4Q20</v>
      </c>
      <c r="H43" s="12">
        <f>H7</f>
        <v>2020</v>
      </c>
      <c r="I43" s="12" t="str">
        <f>I7</f>
        <v>1Q21</v>
      </c>
      <c r="J43" s="12" t="str">
        <f>J7</f>
        <v>2Q21</v>
      </c>
      <c r="K43" s="12" t="str">
        <f>K7</f>
        <v>3Q21</v>
      </c>
      <c r="L43" s="12" t="str">
        <f>L7</f>
        <v>4Q21</v>
      </c>
      <c r="M43" s="12">
        <f>M7</f>
        <v>2021</v>
      </c>
      <c r="N43" s="12" t="str">
        <f>N7</f>
        <v>1Q22</v>
      </c>
      <c r="O43" s="12" t="str">
        <f>O7</f>
        <v>2Q22</v>
      </c>
      <c r="P43" s="12" t="str">
        <f>P7</f>
        <v>3Q22</v>
      </c>
      <c r="Q43" s="12" t="str">
        <f>Q7</f>
        <v>4Q22</v>
      </c>
      <c r="R43" s="12">
        <f>R7</f>
        <v>2022</v>
      </c>
      <c r="S43" s="12" t="str">
        <f>S7</f>
        <v>1Q23</v>
      </c>
      <c r="T43" s="12" t="str">
        <f>T7</f>
        <v>2Q23</v>
      </c>
      <c r="U43" s="12" t="str">
        <f>U7</f>
        <v>3Q23</v>
      </c>
      <c r="V43" s="12" t="str">
        <f>V7</f>
        <v>4Q23</v>
      </c>
      <c r="W43" s="12">
        <f>W7</f>
        <v>2023</v>
      </c>
      <c r="X43" s="12" t="str">
        <f>X7</f>
        <v>1Q24</v>
      </c>
      <c r="Y43" s="12" t="str">
        <f>Y7</f>
        <v>2Q24</v>
      </c>
      <c r="Z43" s="12" t="str">
        <f>Z7</f>
        <v>3Q24</v>
      </c>
      <c r="AA43" s="12" t="str">
        <f>AA7</f>
        <v>4Q24</v>
      </c>
      <c r="AB43" s="12">
        <f>AB7</f>
        <v>2024</v>
      </c>
      <c r="AC43" s="12" t="str">
        <f>AC7</f>
        <v>1Q25</v>
      </c>
      <c r="AD43" s="12" t="str">
        <f>AD7</f>
        <v>2Q25</v>
      </c>
      <c r="AE43" s="12" t="str">
        <f>AE7</f>
        <v>3Q25</v>
      </c>
      <c r="AF43" s="12" t="str">
        <f>AF7</f>
        <v>4Q25</v>
      </c>
      <c r="AG43" s="12">
        <f>AG7</f>
        <v>2025</v>
      </c>
      <c r="AH43" s="12" t="str">
        <f>AH7</f>
        <v>1Q26</v>
      </c>
      <c r="AI43" s="12" t="str">
        <f>AI7</f>
        <v>2Q26</v>
      </c>
    </row>
    <row r="44">
      <c r="C44" s="14" t="inlineStr">
        <is>
          <t>Lojas - Atacarejo e Food Service (Mix Mateus)</t>
        </is>
      </c>
      <c r="D44" s="265">
        <f>IFERROR(INDEX('Inputs (2)'!$D$59:$AL$59,MATCH(D$7,'Inputs (2)'!$D$2:$AL$2,0)),"")</f>
        <v>26</v>
      </c>
      <c r="E44" s="265">
        <f>IFERROR(INDEX('Inputs (2)'!$D$59:$AL$59,MATCH(E$7,'Inputs (2)'!$D$2:$AL$2,0)),"")</f>
        <v>29</v>
      </c>
      <c r="F44" s="265">
        <f>IFERROR(INDEX('Inputs (2)'!$D$59:$AL$59,MATCH(F$7,'Inputs (2)'!$D$2:$AL$2,0)),"")</f>
        <v>30</v>
      </c>
      <c r="G44" s="265">
        <f>IFERROR(INDEX('Inputs (2)'!$D$59:$AL$59,MATCH(G$7,'Inputs (2)'!$D$2:$AL$2,0)),"")</f>
        <v>33</v>
      </c>
      <c r="H44" s="266">
        <f>IF(COUNT(G44)=0,"",G44)</f>
        <v>33</v>
      </c>
      <c r="I44" s="265">
        <f>IFERROR(INDEX('Inputs (2)'!$D$59:$AL$59,MATCH(I$7,'Inputs (2)'!$D$2:$AL$2,0)),"")</f>
        <v>35</v>
      </c>
      <c r="J44" s="265">
        <f>IFERROR(INDEX('Inputs (2)'!$D$59:$AL$59,MATCH(J$7,'Inputs (2)'!$D$2:$AL$2,0)),"")</f>
        <v>38</v>
      </c>
      <c r="K44" s="265">
        <f>IFERROR(INDEX('Inputs (2)'!$D$59:$AL$59,MATCH(K$7,'Inputs (2)'!$D$2:$AL$2,0)),"")</f>
        <v>40</v>
      </c>
      <c r="L44" s="265">
        <f>IFERROR(INDEX('Inputs (2)'!$D$59:$AL$59,MATCH(L$7,'Inputs (2)'!$D$2:$AL$2,0)),"")</f>
        <v>42</v>
      </c>
      <c r="M44" s="266">
        <f>IF(COUNT(L44)=0,"",L44)</f>
        <v>42</v>
      </c>
      <c r="N44" s="265">
        <f>IFERROR(INDEX('Inputs (2)'!$D$59:$AL$59,MATCH(N$7,'Inputs (2)'!$D$2:$AL$2,0)),"")</f>
        <v>48</v>
      </c>
      <c r="O44" s="265">
        <f>IFERROR(INDEX('Inputs (2)'!$D$59:$AL$59,MATCH(O$7,'Inputs (2)'!$D$2:$AL$2,0)),"")</f>
        <v>50</v>
      </c>
      <c r="P44" s="265">
        <f>IFERROR(INDEX('Inputs (2)'!$D$59:$AL$59,MATCH(P$7,'Inputs (2)'!$D$2:$AL$2,0)),"")</f>
        <v>53</v>
      </c>
      <c r="Q44" s="265">
        <f>IFERROR(INDEX('Inputs (2)'!$D$59:$AL$59,MATCH(Q$7,'Inputs (2)'!$D$2:$AL$2,0)),"")</f>
        <v>58</v>
      </c>
      <c r="R44" s="266">
        <f>IF(COUNT(Q44)=0,"",Q44)</f>
        <v>58</v>
      </c>
      <c r="S44" s="265">
        <f>IFERROR(INDEX('Inputs (2)'!$D$59:$AL$59,MATCH(S$7,'Inputs (2)'!$D$2:$AL$2,0)),"")</f>
        <v>62</v>
      </c>
      <c r="T44" s="265">
        <f>IFERROR(INDEX('Inputs (2)'!$D$59:$AL$59,MATCH(T$7,'Inputs (2)'!$D$2:$AL$2,0)),"")</f>
        <v>64</v>
      </c>
      <c r="U44" s="265">
        <f>IFERROR(INDEX('Inputs (2)'!$D$59:$AL$59,MATCH(U$7,'Inputs (2)'!$D$2:$AL$2,0)),"")</f>
        <v>69</v>
      </c>
      <c r="V44" s="265">
        <f>IFERROR(INDEX('Inputs (2)'!$D$59:$AL$59,MATCH(V$7,'Inputs (2)'!$D$2:$AL$2,0)),"")</f>
        <v>80</v>
      </c>
      <c r="W44" s="266">
        <f>IF(COUNT(V44)=0,"",V44)</f>
        <v>80</v>
      </c>
      <c r="X44" s="265">
        <f>IFERROR(INDEX('Inputs (2)'!$D$59:$AL$59,MATCH(X$7,'Inputs (2)'!$D$2:$AL$2,0)),"")</f>
        <v>82</v>
      </c>
      <c r="Y44" s="265">
        <f>IFERROR(INDEX('Inputs (2)'!$D$59:$AL$59,MATCH(Y$7,'Inputs (2)'!$D$2:$AL$2,0)),"")</f>
        <v>84</v>
      </c>
      <c r="Z44" s="265">
        <f>IFERROR(INDEX('Inputs (2)'!$D$59:$AL$59,MATCH(Z$7,'Inputs (2)'!$D$2:$AL$2,0)),"")</f>
        <v>88</v>
      </c>
      <c r="AA44" s="265">
        <f>IFERROR(INDEX('Inputs (2)'!$D$59:$AL$59,MATCH(AA$7,'Inputs (2)'!$D$2:$AL$2,0)),"")</f>
        <v>90</v>
      </c>
      <c r="AB44" s="266">
        <f>IF(COUNT(AA44)=0,"",AA44)</f>
        <v>90</v>
      </c>
      <c r="AC44" s="265">
        <f>IFERROR(INDEX('Inputs (2)'!$D$59:$AL$59,MATCH(AC$7,'Inputs (2)'!$D$2:$AL$2,0)),"")</f>
        <v>92</v>
      </c>
      <c r="AD44" s="265">
        <f>IFERROR(INDEX('Inputs (2)'!$D$59:$AL$59,MATCH(AD$7,'Inputs (2)'!$D$2:$AL$2,0)),"")</f>
        <v>96</v>
      </c>
      <c r="AE44" s="265">
        <f>IFERROR(INDEX('Inputs (2)'!$D$59:$AL$59,MATCH(AE$7,'Inputs (2)'!$D$2:$AL$2,0)),"")</f>
        <v>98</v>
      </c>
      <c r="AF44" s="265">
        <f>IFERROR(INDEX('Inputs (2)'!$D$59:$AL$59,MATCH(AF$7,'Inputs (2)'!$D$2:$AL$2,0)),"")</f>
        <v>102</v>
      </c>
      <c r="AG44" s="266">
        <f>IF(COUNT(AF44)=0,"",AF44)</f>
        <v>102</v>
      </c>
      <c r="AH44" s="266">
        <f>IFERROR(INDEX('Inputs (2)'!$D$59:$AL$59,MATCH(AH$7,'Inputs (2)'!$D$2:$AL$2,0)),"")</f>
        <v>105</v>
      </c>
      <c r="AI44" s="266">
        <f>IFERROR(INDEX('Inputs (2)'!$D$59:$AL$59,MATCH(AI$7,'Inputs (2)'!$D$2:$AL$2,0)),"")</f>
        <v>77</v>
      </c>
    </row>
    <row r="45">
      <c r="C45" s="14" t="inlineStr">
        <is>
          <t>Lojas - Novo Atacarejo</t>
        </is>
      </c>
      <c r="D45" s="265">
        <f>IFERROR(INDEX('Inputs (2)'!$D$60:$AL$60,MATCH(D$7,'Inputs (2)'!$D$2:$AL$2,0)),"")</f>
        <v>0</v>
      </c>
      <c r="E45" s="265">
        <f>IFERROR(INDEX('Inputs (2)'!$D$60:$AL$60,MATCH(E$7,'Inputs (2)'!$D$2:$AL$2,0)),"")</f>
        <v>0</v>
      </c>
      <c r="F45" s="265">
        <f>IFERROR(INDEX('Inputs (2)'!$D$60:$AL$60,MATCH(F$7,'Inputs (2)'!$D$2:$AL$2,0)),"")</f>
        <v>0</v>
      </c>
      <c r="G45" s="265">
        <f>IFERROR(INDEX('Inputs (2)'!$D$60:$AL$60,MATCH(G$7,'Inputs (2)'!$D$2:$AL$2,0)),"")</f>
        <v>0</v>
      </c>
      <c r="H45" s="266">
        <f>IF(COUNT(G45)=0,"",G45)</f>
        <v>0</v>
      </c>
      <c r="I45" s="265">
        <f>IFERROR(INDEX('Inputs (2)'!$D$60:$AL$60,MATCH(I$7,'Inputs (2)'!$D$2:$AL$2,0)),"")</f>
        <v>0</v>
      </c>
      <c r="J45" s="265">
        <f>IFERROR(INDEX('Inputs (2)'!$D$60:$AL$60,MATCH(J$7,'Inputs (2)'!$D$2:$AL$2,0)),"")</f>
        <v>0</v>
      </c>
      <c r="K45" s="265">
        <f>IFERROR(INDEX('Inputs (2)'!$D$60:$AL$60,MATCH(K$7,'Inputs (2)'!$D$2:$AL$2,0)),"")</f>
        <v>0</v>
      </c>
      <c r="L45" s="265">
        <f>IFERROR(INDEX('Inputs (2)'!$D$60:$AL$60,MATCH(L$7,'Inputs (2)'!$D$2:$AL$2,0)),"")</f>
        <v>0</v>
      </c>
      <c r="M45" s="266">
        <f>IF(COUNT(L45)=0,"",L45)</f>
        <v>0</v>
      </c>
      <c r="N45" s="265">
        <f>IFERROR(INDEX('Inputs (2)'!$D$60:$AL$60,MATCH(N$7,'Inputs (2)'!$D$2:$AL$2,0)),"")</f>
        <v>0</v>
      </c>
      <c r="O45" s="265">
        <f>IFERROR(INDEX('Inputs (2)'!$D$60:$AL$60,MATCH(O$7,'Inputs (2)'!$D$2:$AL$2,0)),"")</f>
        <v>0</v>
      </c>
      <c r="P45" s="265">
        <f>IFERROR(INDEX('Inputs (2)'!$D$60:$AL$60,MATCH(P$7,'Inputs (2)'!$D$2:$AL$2,0)),"")</f>
        <v>0</v>
      </c>
      <c r="Q45" s="265">
        <f>IFERROR(INDEX('Inputs (2)'!$D$60:$AL$60,MATCH(Q$7,'Inputs (2)'!$D$2:$AL$2,0)),"")</f>
        <v>0</v>
      </c>
      <c r="R45" s="266">
        <f>IF(COUNT(Q45)=0,"",Q45)</f>
        <v>0</v>
      </c>
      <c r="S45" s="265">
        <f>IFERROR(INDEX('Inputs (2)'!$D$60:$AL$60,MATCH(S$7,'Inputs (2)'!$D$2:$AL$2,0)),"")</f>
        <v>0</v>
      </c>
      <c r="T45" s="265">
        <f>IFERROR(INDEX('Inputs (2)'!$D$60:$AL$60,MATCH(T$7,'Inputs (2)'!$D$2:$AL$2,0)),"")</f>
        <v>0</v>
      </c>
      <c r="U45" s="265">
        <f>IFERROR(INDEX('Inputs (2)'!$D$60:$AL$60,MATCH(U$7,'Inputs (2)'!$D$2:$AL$2,0)),"")</f>
        <v>0</v>
      </c>
      <c r="V45" s="265">
        <f>IFERROR(INDEX('Inputs (2)'!$D$60:$AL$60,MATCH(V$7,'Inputs (2)'!$D$2:$AL$2,0)),"")</f>
        <v>0</v>
      </c>
      <c r="W45" s="266">
        <f>IF(COUNT(V45)=0,"",V45)</f>
        <v>0</v>
      </c>
      <c r="X45" s="265">
        <f>IFERROR(INDEX('Inputs (2)'!$D$60:$AL$60,MATCH(X$7,'Inputs (2)'!$D$2:$AL$2,0)),"")</f>
        <v>0</v>
      </c>
      <c r="Y45" s="265">
        <f>IFERROR(INDEX('Inputs (2)'!$D$60:$AL$60,MATCH(Y$7,'Inputs (2)'!$D$2:$AL$2,0)),"")</f>
        <v>0</v>
      </c>
      <c r="Z45" s="265">
        <f>IFERROR(INDEX('Inputs (2)'!$D$60:$AL$60,MATCH(Z$7,'Inputs (2)'!$D$2:$AL$2,0)),"")</f>
        <v>0</v>
      </c>
      <c r="AA45" s="265">
        <f>IFERROR(INDEX('Inputs (2)'!$D$60:$AL$60,MATCH(AA$7,'Inputs (2)'!$D$2:$AL$2,0)),"")</f>
        <v>0</v>
      </c>
      <c r="AB45" s="266">
        <f>IF(COUNT(AA45)=0,"",AA45)</f>
        <v>0</v>
      </c>
      <c r="AC45" s="265">
        <f>IFERROR(INDEX('Inputs (2)'!$D$60:$AL$60,MATCH(AC$7,'Inputs (2)'!$D$2:$AL$2,0)),"")</f>
        <v>0</v>
      </c>
      <c r="AD45" s="265">
        <f>IFERROR(INDEX('Inputs (2)'!$D$60:$AL$60,MATCH(AD$7,'Inputs (2)'!$D$2:$AL$2,0)),"")</f>
        <v>0</v>
      </c>
      <c r="AE45" s="265">
        <f>IFERROR(INDEX('Inputs (2)'!$D$60:$AL$60,MATCH(AE$7,'Inputs (2)'!$D$2:$AL$2,0)),"")</f>
        <v>36</v>
      </c>
      <c r="AF45" s="265">
        <f>IFERROR(INDEX('Inputs (2)'!$D$60:$AL$60,MATCH(AF$7,'Inputs (2)'!$D$2:$AL$2,0)),"")</f>
        <v>37</v>
      </c>
      <c r="AG45" s="266">
        <f>IF(COUNT(AF45)=0,"",AF45)</f>
        <v>37</v>
      </c>
      <c r="AH45" s="266">
        <f>IFERROR(INDEX('Inputs (2)'!$D$60:$AL$60,MATCH(AH$7,'Inputs (2)'!$D$2:$AL$2,0)),"")</f>
        <v>37</v>
      </c>
      <c r="AI45" s="266">
        <f>IFERROR(INDEX('Inputs (2)'!$D$60:$AL$60,MATCH(AI$7,'Inputs (2)'!$D$2:$AL$2,0)),"")</f>
        <v>67</v>
      </c>
    </row>
    <row r="46">
      <c r="C46" s="14" t="inlineStr">
        <is>
          <t>Lojas - Varejo (Super/Hiper + Camino)</t>
        </is>
      </c>
      <c r="D46" s="265">
        <f>IFERROR(INDEX('Inputs (2)'!$D$61:$AL$61,MATCH(D$7,'Inputs (2)'!$D$2:$AL$2,0)),"")</f>
        <v>40</v>
      </c>
      <c r="E46" s="265">
        <f>IFERROR(INDEX('Inputs (2)'!$D$61:$AL$61,MATCH(E$7,'Inputs (2)'!$D$2:$AL$2,0)),"")</f>
        <v>41</v>
      </c>
      <c r="F46" s="265">
        <f>IFERROR(INDEX('Inputs (2)'!$D$61:$AL$61,MATCH(F$7,'Inputs (2)'!$D$2:$AL$2,0)),"")</f>
        <v>44</v>
      </c>
      <c r="G46" s="265">
        <f>IFERROR(INDEX('Inputs (2)'!$D$61:$AL$61,MATCH(G$7,'Inputs (2)'!$D$2:$AL$2,0)),"")</f>
        <v>49</v>
      </c>
      <c r="H46" s="266">
        <f>IF(COUNT(G46)=0,"",G46)</f>
        <v>49</v>
      </c>
      <c r="I46" s="265">
        <f>IFERROR(INDEX('Inputs (2)'!$D$61:$AL$61,MATCH(I$7,'Inputs (2)'!$D$2:$AL$2,0)),"")</f>
        <v>55</v>
      </c>
      <c r="J46" s="265">
        <f>IFERROR(INDEX('Inputs (2)'!$D$61:$AL$61,MATCH(J$7,'Inputs (2)'!$D$2:$AL$2,0)),"")</f>
        <v>56</v>
      </c>
      <c r="K46" s="265">
        <f>IFERROR(INDEX('Inputs (2)'!$D$61:$AL$61,MATCH(K$7,'Inputs (2)'!$D$2:$AL$2,0)),"")</f>
        <v>57</v>
      </c>
      <c r="L46" s="265">
        <f>IFERROR(INDEX('Inputs (2)'!$D$61:$AL$61,MATCH(L$7,'Inputs (2)'!$D$2:$AL$2,0)),"")</f>
        <v>61</v>
      </c>
      <c r="M46" s="266">
        <f>IF(COUNT(L46)=0,"",L46)</f>
        <v>61</v>
      </c>
      <c r="N46" s="265">
        <f>IFERROR(INDEX('Inputs (2)'!$D$61:$AL$61,MATCH(N$7,'Inputs (2)'!$D$2:$AL$2,0)),"")</f>
        <v>68</v>
      </c>
      <c r="O46" s="265">
        <f>IFERROR(INDEX('Inputs (2)'!$D$61:$AL$61,MATCH(O$7,'Inputs (2)'!$D$2:$AL$2,0)),"")</f>
        <v>69</v>
      </c>
      <c r="P46" s="265">
        <f>IFERROR(INDEX('Inputs (2)'!$D$61:$AL$61,MATCH(P$7,'Inputs (2)'!$D$2:$AL$2,0)),"")</f>
        <v>70</v>
      </c>
      <c r="Q46" s="265">
        <f>IFERROR(INDEX('Inputs (2)'!$D$61:$AL$61,MATCH(Q$7,'Inputs (2)'!$D$2:$AL$2,0)),"")</f>
        <v>70</v>
      </c>
      <c r="R46" s="266">
        <f>IF(COUNT(Q46)=0,"",Q46)</f>
        <v>70</v>
      </c>
      <c r="S46" s="265">
        <f>IFERROR(INDEX('Inputs (2)'!$D$61:$AL$61,MATCH(S$7,'Inputs (2)'!$D$2:$AL$2,0)),"")</f>
        <v>70</v>
      </c>
      <c r="T46" s="265">
        <f>IFERROR(INDEX('Inputs (2)'!$D$61:$AL$61,MATCH(T$7,'Inputs (2)'!$D$2:$AL$2,0)),"")</f>
        <v>71</v>
      </c>
      <c r="U46" s="265">
        <f>IFERROR(INDEX('Inputs (2)'!$D$61:$AL$61,MATCH(U$7,'Inputs (2)'!$D$2:$AL$2,0)),"")</f>
        <v>72</v>
      </c>
      <c r="V46" s="265">
        <f>IFERROR(INDEX('Inputs (2)'!$D$61:$AL$61,MATCH(V$7,'Inputs (2)'!$D$2:$AL$2,0)),"")</f>
        <v>73</v>
      </c>
      <c r="W46" s="266">
        <f>IF(COUNT(V46)=0,"",V46)</f>
        <v>73</v>
      </c>
      <c r="X46" s="265">
        <f>IFERROR(INDEX('Inputs (2)'!$D$61:$AL$61,MATCH(X$7,'Inputs (2)'!$D$2:$AL$2,0)),"")</f>
        <v>73</v>
      </c>
      <c r="Y46" s="265">
        <f>IFERROR(INDEX('Inputs (2)'!$D$61:$AL$61,MATCH(Y$7,'Inputs (2)'!$D$2:$AL$2,0)),"")</f>
        <v>76</v>
      </c>
      <c r="Z46" s="265">
        <f>IFERROR(INDEX('Inputs (2)'!$D$61:$AL$61,MATCH(Z$7,'Inputs (2)'!$D$2:$AL$2,0)),"")</f>
        <v>76</v>
      </c>
      <c r="AA46" s="265">
        <f>IFERROR(INDEX('Inputs (2)'!$D$61:$AL$61,MATCH(AA$7,'Inputs (2)'!$D$2:$AL$2,0)),"")</f>
        <v>78</v>
      </c>
      <c r="AB46" s="266">
        <f>IF(COUNT(AA46)=0,"",AA46)</f>
        <v>78</v>
      </c>
      <c r="AC46" s="265">
        <f>IFERROR(INDEX('Inputs (2)'!$D$61:$AL$61,MATCH(AC$7,'Inputs (2)'!$D$2:$AL$2,0)),"")</f>
        <v>80</v>
      </c>
      <c r="AD46" s="265">
        <f>IFERROR(INDEX('Inputs (2)'!$D$61:$AL$61,MATCH(AD$7,'Inputs (2)'!$D$2:$AL$2,0)),"")</f>
        <v>80</v>
      </c>
      <c r="AE46" s="265">
        <f>IFERROR(INDEX('Inputs (2)'!$D$61:$AL$61,MATCH(AE$7,'Inputs (2)'!$D$2:$AL$2,0)),"")</f>
        <v>81</v>
      </c>
      <c r="AF46" s="265">
        <f>IFERROR(INDEX('Inputs (2)'!$D$61:$AL$61,MATCH(AF$7,'Inputs (2)'!$D$2:$AL$2,0)),"")</f>
        <v>85</v>
      </c>
      <c r="AG46" s="266">
        <f>IF(COUNT(AF46)=0,"",AF46)</f>
        <v>85</v>
      </c>
      <c r="AH46" s="266">
        <f>IFERROR(INDEX('Inputs (2)'!$D$61:$AL$61,MATCH(AH$7,'Inputs (2)'!$D$2:$AL$2,0)),"")</f>
        <v>86</v>
      </c>
      <c r="AI46" s="266">
        <f>IFERROR(INDEX('Inputs (2)'!$D$61:$AL$61,MATCH(AI$7,'Inputs (2)'!$D$2:$AL$2,0)),"")</f>
        <v>90</v>
      </c>
    </row>
    <row r="47">
      <c r="C47" s="14" t="inlineStr">
        <is>
          <t>Lojas - Eletro</t>
        </is>
      </c>
      <c r="D47" s="265">
        <f>IFERROR(INDEX('Inputs (2)'!$D$62:$AL$62,MATCH(D$7,'Inputs (2)'!$D$2:$AL$2,0)),"")</f>
        <v>61</v>
      </c>
      <c r="E47" s="265">
        <f>IFERROR(INDEX('Inputs (2)'!$D$62:$AL$62,MATCH(E$7,'Inputs (2)'!$D$2:$AL$2,0)),"")</f>
        <v>67</v>
      </c>
      <c r="F47" s="265">
        <f>IFERROR(INDEX('Inputs (2)'!$D$62:$AL$62,MATCH(F$7,'Inputs (2)'!$D$2:$AL$2,0)),"")</f>
        <v>71</v>
      </c>
      <c r="G47" s="265">
        <f>IFERROR(INDEX('Inputs (2)'!$D$62:$AL$62,MATCH(G$7,'Inputs (2)'!$D$2:$AL$2,0)),"")</f>
        <v>77</v>
      </c>
      <c r="H47" s="266">
        <f>IF(COUNT(G47)=0,"",G47)</f>
        <v>77</v>
      </c>
      <c r="I47" s="265">
        <f>IFERROR(INDEX('Inputs (2)'!$D$62:$AL$62,MATCH(I$7,'Inputs (2)'!$D$2:$AL$2,0)),"")</f>
        <v>80</v>
      </c>
      <c r="J47" s="265">
        <f>IFERROR(INDEX('Inputs (2)'!$D$62:$AL$62,MATCH(J$7,'Inputs (2)'!$D$2:$AL$2,0)),"")</f>
        <v>88</v>
      </c>
      <c r="K47" s="265">
        <f>IFERROR(INDEX('Inputs (2)'!$D$62:$AL$62,MATCH(K$7,'Inputs (2)'!$D$2:$AL$2,0)),"")</f>
        <v>92</v>
      </c>
      <c r="L47" s="265">
        <f>IFERROR(INDEX('Inputs (2)'!$D$62:$AL$62,MATCH(L$7,'Inputs (2)'!$D$2:$AL$2,0)),"")</f>
        <v>99</v>
      </c>
      <c r="M47" s="266">
        <f>IF(COUNT(L47)=0,"",L47)</f>
        <v>99</v>
      </c>
      <c r="N47" s="265">
        <f>IFERROR(INDEX('Inputs (2)'!$D$62:$AL$62,MATCH(N$7,'Inputs (2)'!$D$2:$AL$2,0)),"")</f>
        <v>102</v>
      </c>
      <c r="O47" s="265">
        <f>IFERROR(INDEX('Inputs (2)'!$D$62:$AL$62,MATCH(O$7,'Inputs (2)'!$D$2:$AL$2,0)),"")</f>
        <v>103</v>
      </c>
      <c r="P47" s="265">
        <f>IFERROR(INDEX('Inputs (2)'!$D$62:$AL$62,MATCH(P$7,'Inputs (2)'!$D$2:$AL$2,0)),"")</f>
        <v>103</v>
      </c>
      <c r="Q47" s="265">
        <f>IFERROR(INDEX('Inputs (2)'!$D$62:$AL$62,MATCH(Q$7,'Inputs (2)'!$D$2:$AL$2,0)),"")</f>
        <v>104</v>
      </c>
      <c r="R47" s="266">
        <f>IF(COUNT(Q47)=0,"",Q47)</f>
        <v>104</v>
      </c>
      <c r="S47" s="265">
        <f>IFERROR(INDEX('Inputs (2)'!$D$62:$AL$62,MATCH(S$7,'Inputs (2)'!$D$2:$AL$2,0)),"")</f>
        <v>106</v>
      </c>
      <c r="T47" s="265">
        <f>IFERROR(INDEX('Inputs (2)'!$D$62:$AL$62,MATCH(T$7,'Inputs (2)'!$D$2:$AL$2,0)),"")</f>
        <v>104</v>
      </c>
      <c r="U47" s="265">
        <f>IFERROR(INDEX('Inputs (2)'!$D$62:$AL$62,MATCH(U$7,'Inputs (2)'!$D$2:$AL$2,0)),"")</f>
        <v>105</v>
      </c>
      <c r="V47" s="265">
        <f>IFERROR(INDEX('Inputs (2)'!$D$62:$AL$62,MATCH(V$7,'Inputs (2)'!$D$2:$AL$2,0)),"")</f>
        <v>105</v>
      </c>
      <c r="W47" s="266">
        <f>IF(COUNT(V47)=0,"",V47)</f>
        <v>105</v>
      </c>
      <c r="X47" s="265">
        <f>IFERROR(INDEX('Inputs (2)'!$D$62:$AL$62,MATCH(X$7,'Inputs (2)'!$D$2:$AL$2,0)),"")</f>
        <v>104</v>
      </c>
      <c r="Y47" s="265">
        <f>IFERROR(INDEX('Inputs (2)'!$D$62:$AL$62,MATCH(Y$7,'Inputs (2)'!$D$2:$AL$2,0)),"")</f>
        <v>104</v>
      </c>
      <c r="Z47" s="265">
        <f>IFERROR(INDEX('Inputs (2)'!$D$62:$AL$62,MATCH(Z$7,'Inputs (2)'!$D$2:$AL$2,0)),"")</f>
        <v>104</v>
      </c>
      <c r="AA47" s="265">
        <f>IFERROR(INDEX('Inputs (2)'!$D$62:$AL$62,MATCH(AA$7,'Inputs (2)'!$D$2:$AL$2,0)),"")</f>
        <v>104</v>
      </c>
      <c r="AB47" s="266">
        <f>IF(COUNT(AA47)=0,"",AA47)</f>
        <v>104</v>
      </c>
      <c r="AC47" s="265">
        <f>IFERROR(INDEX('Inputs (2)'!$D$62:$AL$62,MATCH(AC$7,'Inputs (2)'!$D$2:$AL$2,0)),"")</f>
        <v>104</v>
      </c>
      <c r="AD47" s="265">
        <f>IFERROR(INDEX('Inputs (2)'!$D$62:$AL$62,MATCH(AD$7,'Inputs (2)'!$D$2:$AL$2,0)),"")</f>
        <v>95</v>
      </c>
      <c r="AE47" s="265">
        <f>IFERROR(INDEX('Inputs (2)'!$D$62:$AL$62,MATCH(AE$7,'Inputs (2)'!$D$2:$AL$2,0)),"")</f>
        <v>91</v>
      </c>
      <c r="AF47" s="265">
        <f>IFERROR(INDEX('Inputs (2)'!$D$62:$AL$62,MATCH(AF$7,'Inputs (2)'!$D$2:$AL$2,0)),"")</f>
        <v>78</v>
      </c>
      <c r="AG47" s="266">
        <f>IF(COUNT(AF47)=0,"",AF47)</f>
        <v>78</v>
      </c>
      <c r="AH47" s="266">
        <f>IFERROR(INDEX('Inputs (2)'!$D$62:$AL$62,MATCH(AH$7,'Inputs (2)'!$D$2:$AL$2,0)),"")</f>
        <v>78</v>
      </c>
      <c r="AI47" s="266">
        <f>IFERROR(INDEX('Inputs (2)'!$D$62:$AL$62,MATCH(AI$7,'Inputs (2)'!$D$2:$AL$2,0)),"")</f>
        <v>78</v>
      </c>
    </row>
    <row r="48">
      <c r="C48" s="14" t="inlineStr">
        <is>
          <t>Lojas - Farmacia</t>
        </is>
      </c>
      <c r="D48" s="265">
        <f>IFERROR(INDEX('Inputs (2)'!$D$63:$AL$63,MATCH(D$7,'Inputs (2)'!$D$2:$AL$2,0)),"")</f>
        <v>0</v>
      </c>
      <c r="E48" s="265">
        <f>IFERROR(INDEX('Inputs (2)'!$D$63:$AL$63,MATCH(E$7,'Inputs (2)'!$D$2:$AL$2,0)),"")</f>
        <v>0</v>
      </c>
      <c r="F48" s="265">
        <f>IFERROR(INDEX('Inputs (2)'!$D$63:$AL$63,MATCH(F$7,'Inputs (2)'!$D$2:$AL$2,0)),"")</f>
        <v>0</v>
      </c>
      <c r="G48" s="265">
        <f>IFERROR(INDEX('Inputs (2)'!$D$63:$AL$63,MATCH(G$7,'Inputs (2)'!$D$2:$AL$2,0)),"")</f>
        <v>0</v>
      </c>
      <c r="H48" s="266">
        <f>IF(COUNT(G48)=0,"",G48)</f>
        <v>0</v>
      </c>
      <c r="I48" s="265">
        <f>IFERROR(INDEX('Inputs (2)'!$D$63:$AL$63,MATCH(I$7,'Inputs (2)'!$D$2:$AL$2,0)),"")</f>
        <v>0</v>
      </c>
      <c r="J48" s="265">
        <f>IFERROR(INDEX('Inputs (2)'!$D$63:$AL$63,MATCH(J$7,'Inputs (2)'!$D$2:$AL$2,0)),"")</f>
        <v>0</v>
      </c>
      <c r="K48" s="265">
        <f>IFERROR(INDEX('Inputs (2)'!$D$63:$AL$63,MATCH(K$7,'Inputs (2)'!$D$2:$AL$2,0)),"")</f>
        <v>0</v>
      </c>
      <c r="L48" s="265">
        <f>IFERROR(INDEX('Inputs (2)'!$D$63:$AL$63,MATCH(L$7,'Inputs (2)'!$D$2:$AL$2,0)),"")</f>
        <v>0</v>
      </c>
      <c r="M48" s="266">
        <f>IF(COUNT(L48)=0,"",L48)</f>
        <v>0</v>
      </c>
      <c r="N48" s="265">
        <f>IFERROR(INDEX('Inputs (2)'!$D$63:$AL$63,MATCH(N$7,'Inputs (2)'!$D$2:$AL$2,0)),"")</f>
        <v>0</v>
      </c>
      <c r="O48" s="265">
        <f>IFERROR(INDEX('Inputs (2)'!$D$63:$AL$63,MATCH(O$7,'Inputs (2)'!$D$2:$AL$2,0)),"")</f>
        <v>0</v>
      </c>
      <c r="P48" s="265">
        <f>IFERROR(INDEX('Inputs (2)'!$D$63:$AL$63,MATCH(P$7,'Inputs (2)'!$D$2:$AL$2,0)),"")</f>
        <v>0</v>
      </c>
      <c r="Q48" s="265">
        <f>IFERROR(INDEX('Inputs (2)'!$D$63:$AL$63,MATCH(Q$7,'Inputs (2)'!$D$2:$AL$2,0)),"")</f>
        <v>0</v>
      </c>
      <c r="R48" s="266">
        <f>IF(COUNT(Q48)=0,"",Q48)</f>
        <v>0</v>
      </c>
      <c r="S48" s="265">
        <f>IFERROR(INDEX('Inputs (2)'!$D$63:$AL$63,MATCH(S$7,'Inputs (2)'!$D$2:$AL$2,0)),"")</f>
        <v>0</v>
      </c>
      <c r="T48" s="265">
        <f>IFERROR(INDEX('Inputs (2)'!$D$63:$AL$63,MATCH(T$7,'Inputs (2)'!$D$2:$AL$2,0)),"")</f>
        <v>0</v>
      </c>
      <c r="U48" s="265">
        <f>IFERROR(INDEX('Inputs (2)'!$D$63:$AL$63,MATCH(U$7,'Inputs (2)'!$D$2:$AL$2,0)),"")</f>
        <v>0</v>
      </c>
      <c r="V48" s="265">
        <f>IFERROR(INDEX('Inputs (2)'!$D$63:$AL$63,MATCH(V$7,'Inputs (2)'!$D$2:$AL$2,0)),"")</f>
        <v>0</v>
      </c>
      <c r="W48" s="266">
        <f>IF(COUNT(V48)=0,"",V48)</f>
        <v>0</v>
      </c>
      <c r="X48" s="265">
        <f>IFERROR(INDEX('Inputs (2)'!$D$63:$AL$63,MATCH(X$7,'Inputs (2)'!$D$2:$AL$2,0)),"")</f>
        <v>0</v>
      </c>
      <c r="Y48" s="265">
        <f>IFERROR(INDEX('Inputs (2)'!$D$63:$AL$63,MATCH(Y$7,'Inputs (2)'!$D$2:$AL$2,0)),"")</f>
        <v>0</v>
      </c>
      <c r="Z48" s="265">
        <f>IFERROR(INDEX('Inputs (2)'!$D$63:$AL$63,MATCH(Z$7,'Inputs (2)'!$D$2:$AL$2,0)),"")</f>
        <v>0</v>
      </c>
      <c r="AA48" s="265">
        <f>IFERROR(INDEX('Inputs (2)'!$D$63:$AL$63,MATCH(AA$7,'Inputs (2)'!$D$2:$AL$2,0)),"")</f>
        <v>0</v>
      </c>
      <c r="AB48" s="266">
        <f>IF(COUNT(AA48)=0,"",AA48)</f>
        <v>0</v>
      </c>
      <c r="AC48" s="265">
        <f>IFERROR(INDEX('Inputs (2)'!$D$63:$AL$63,MATCH(AC$7,'Inputs (2)'!$D$2:$AL$2,0)),"")</f>
        <v>0</v>
      </c>
      <c r="AD48" s="265">
        <f>IFERROR(INDEX('Inputs (2)'!$D$63:$AL$63,MATCH(AD$7,'Inputs (2)'!$D$2:$AL$2,0)),"")</f>
        <v>0</v>
      </c>
      <c r="AE48" s="265">
        <f>IFERROR(INDEX('Inputs (2)'!$D$63:$AL$63,MATCH(AE$7,'Inputs (2)'!$D$2:$AL$2,0)),"")</f>
        <v>0</v>
      </c>
      <c r="AF48" s="265">
        <f>IFERROR(INDEX('Inputs (2)'!$D$63:$AL$63,MATCH(AF$7,'Inputs (2)'!$D$2:$AL$2,0)),"")</f>
        <v>0</v>
      </c>
      <c r="AG48" s="266">
        <f>IF(COUNT(AF48)=0,"",AF48)</f>
        <v>0</v>
      </c>
      <c r="AH48" s="266">
        <f>IFERROR(INDEX('Inputs (2)'!$D$63:$AL$63,MATCH(AH$7,'Inputs (2)'!$D$2:$AL$2,0)),"")</f>
        <v>0</v>
      </c>
      <c r="AI48" s="266">
        <f>IFERROR(INDEX('Inputs (2)'!$D$63:$AL$63,MATCH(AI$7,'Inputs (2)'!$D$2:$AL$2,0)),"")</f>
        <v>1</v>
      </c>
    </row>
    <row r="49">
      <c r="C49" s="267" t="inlineStr">
        <is>
          <t>Lojas - total</t>
        </is>
      </c>
      <c r="D49" s="265">
        <f>IF(COUNT(D44,D45,D46,D47,D48)&lt;1,"",SUM(D44,D45,D46,D47,D48))</f>
        <v>127</v>
      </c>
      <c r="E49" s="265">
        <f>IF(COUNT(E44,E45,E46,E47,E48)&lt;1,"",SUM(E44,E45,E46,E47,E48))</f>
        <v>137</v>
      </c>
      <c r="F49" s="265">
        <f>IF(COUNT(F44,F45,F46,F47,F48)&lt;1,"",SUM(F44,F45,F46,F47,F48))</f>
        <v>145</v>
      </c>
      <c r="G49" s="265">
        <f>IF(COUNT(G44,G45,G46,G47,G48)&lt;1,"",SUM(G44,G45,G46,G47,G48))</f>
        <v>159</v>
      </c>
      <c r="H49" s="266">
        <f>IF(COUNT(H44,H45,H46,H47,H48)&lt;1,"",SUM(H44,H45,H46,H47,H48))</f>
        <v>159</v>
      </c>
      <c r="I49" s="265">
        <f>IF(COUNT(I44,I45,I46,I47,I48)&lt;1,"",SUM(I44,I45,I46,I47,I48))</f>
        <v>170</v>
      </c>
      <c r="J49" s="265">
        <f>IF(COUNT(J44,J45,J46,J47,J48)&lt;1,"",SUM(J44,J45,J46,J47,J48))</f>
        <v>182</v>
      </c>
      <c r="K49" s="265">
        <f>IF(COUNT(K44,K45,K46,K47,K48)&lt;1,"",SUM(K44,K45,K46,K47,K48))</f>
        <v>189</v>
      </c>
      <c r="L49" s="265">
        <f>IF(COUNT(L44,L45,L46,L47,L48)&lt;1,"",SUM(L44,L45,L46,L47,L48))</f>
        <v>202</v>
      </c>
      <c r="M49" s="266">
        <f>IF(COUNT(M44,M45,M46,M47,M48)&lt;1,"",SUM(M44,M45,M46,M47,M48))</f>
        <v>202</v>
      </c>
      <c r="N49" s="265">
        <f>IF(COUNT(N44,N45,N46,N47,N48)&lt;1,"",SUM(N44,N45,N46,N47,N48))</f>
        <v>218</v>
      </c>
      <c r="O49" s="265">
        <f>IF(COUNT(O44,O45,O46,O47,O48)&lt;1,"",SUM(O44,O45,O46,O47,O48))</f>
        <v>222</v>
      </c>
      <c r="P49" s="265">
        <f>IF(COUNT(P44,P45,P46,P47,P48)&lt;1,"",SUM(P44,P45,P46,P47,P48))</f>
        <v>226</v>
      </c>
      <c r="Q49" s="265">
        <f>IF(COUNT(Q44,Q45,Q46,Q47,Q48)&lt;1,"",SUM(Q44,Q45,Q46,Q47,Q48))</f>
        <v>232</v>
      </c>
      <c r="R49" s="266">
        <f>IF(COUNT(R44,R45,R46,R47,R48)&lt;1,"",SUM(R44,R45,R46,R47,R48))</f>
        <v>232</v>
      </c>
      <c r="S49" s="265">
        <f>IF(COUNT(S44,S45,S46,S47,S48)&lt;1,"",SUM(S44,S45,S46,S47,S48))</f>
        <v>238</v>
      </c>
      <c r="T49" s="265">
        <f>IF(COUNT(T44,T45,T46,T47,T48)&lt;1,"",SUM(T44,T45,T46,T47,T48))</f>
        <v>239</v>
      </c>
      <c r="U49" s="265">
        <f>IF(COUNT(U44,U45,U46,U47,U48)&lt;1,"",SUM(U44,U45,U46,U47,U48))</f>
        <v>246</v>
      </c>
      <c r="V49" s="265">
        <f>IF(COUNT(V44,V45,V46,V47,V48)&lt;1,"",SUM(V44,V45,V46,V47,V48))</f>
        <v>258</v>
      </c>
      <c r="W49" s="266">
        <f>IF(COUNT(W44,W45,W46,W47,W48)&lt;1,"",SUM(W44,W45,W46,W47,W48))</f>
        <v>258</v>
      </c>
      <c r="X49" s="265">
        <f>IF(COUNT(X44,X45,X46,X47,X48)&lt;1,"",SUM(X44,X45,X46,X47,X48))</f>
        <v>259</v>
      </c>
      <c r="Y49" s="265">
        <f>IF(COUNT(Y44,Y45,Y46,Y47,Y48)&lt;1,"",SUM(Y44,Y45,Y46,Y47,Y48))</f>
        <v>264</v>
      </c>
      <c r="Z49" s="265">
        <f>IF(COUNT(Z44,Z45,Z46,Z47,Z48)&lt;1,"",SUM(Z44,Z45,Z46,Z47,Z48))</f>
        <v>268</v>
      </c>
      <c r="AA49" s="265">
        <f>IF(COUNT(AA44,AA45,AA46,AA47,AA48)&lt;1,"",SUM(AA44,AA45,AA46,AA47,AA48))</f>
        <v>272</v>
      </c>
      <c r="AB49" s="266">
        <f>IF(COUNT(AB44,AB45,AB46,AB47,AB48)&lt;1,"",SUM(AB44,AB45,AB46,AB47,AB48))</f>
        <v>272</v>
      </c>
      <c r="AC49" s="265">
        <f>IF(COUNT(AC44,AC45,AC46,AC47,AC48)&lt;1,"",SUM(AC44,AC45,AC46,AC47,AC48))</f>
        <v>276</v>
      </c>
      <c r="AD49" s="265">
        <f>IF(COUNT(AD44,AD45,AD46,AD47,AD48)&lt;1,"",SUM(AD44,AD45,AD46,AD47,AD48))</f>
        <v>271</v>
      </c>
      <c r="AE49" s="265">
        <f>IF(COUNT(AE44,AE45,AE46,AE47,AE48)&lt;1,"",SUM(AE44,AE45,AE46,AE47,AE48))</f>
        <v>306</v>
      </c>
      <c r="AF49" s="265">
        <f>IF(COUNT(AF44,AF45,AF46,AF47,AF48)&lt;1,"",SUM(AF44,AF45,AF46,AF47,AF48))</f>
        <v>302</v>
      </c>
      <c r="AG49" s="266">
        <f>IF(COUNT(AG44,AG45,AG46,AG47,AG48)&lt;1,"",SUM(AG44,AG45,AG46,AG47,AG48))</f>
        <v>302</v>
      </c>
      <c r="AH49" s="266">
        <f>IF(COUNT(AH44,AH45,AH46,AH47,AH48)&lt;1,"",SUM(AH44,AH45,AH46,AH47,AH48))</f>
        <v>306</v>
      </c>
      <c r="AI49" s="266">
        <f>IF(COUNT(AI44,AI45,AI46,AI47,AI48)&lt;1,"",SUM(AI44,AI45,AI46,AI47,AI48))</f>
        <v>313</v>
      </c>
    </row>
    <row r="50">
      <c r="C50" s="14" t="inlineStr">
        <is>
          <t xml:space="preserve">   Aberturas liquidas no periodo (inclui fechamentos do Eletro)</t>
        </is>
      </c>
      <c r="D50" s="265" t="str">
        <f>IF(COUNT(D49,A149)&lt;2,"",D49-A149)</f>
        <v/>
      </c>
      <c r="E50" s="265">
        <f>IF(COUNT(E49,D49)&lt;2,"",E49-D49)</f>
        <v>10</v>
      </c>
      <c r="F50" s="265">
        <f>IF(COUNT(F49,E49)&lt;2,"",F49-E49)</f>
        <v>8</v>
      </c>
      <c r="G50" s="265">
        <f>IF(COUNT(G49,F49)&lt;2,"",G49-F49)</f>
        <v>14</v>
      </c>
      <c r="H50" s="266" t="str">
        <f>IF(COUNT(D50:G50)=4,SUM(D50:G50),"")</f>
        <v/>
      </c>
      <c r="I50" s="265">
        <f>IF(COUNT(I49,G49)&lt;2,"",I49-G49)</f>
        <v>11</v>
      </c>
      <c r="J50" s="265">
        <f>IF(COUNT(J49,I49)&lt;2,"",J49-I49)</f>
        <v>12</v>
      </c>
      <c r="K50" s="265">
        <f>IF(COUNT(K49,J49)&lt;2,"",K49-J49)</f>
        <v>7</v>
      </c>
      <c r="L50" s="265">
        <f>IF(COUNT(L49,K49)&lt;2,"",L49-K49)</f>
        <v>13</v>
      </c>
      <c r="M50" s="266">
        <f>IFERROR(M49-H49,"")</f>
        <v>43</v>
      </c>
      <c r="N50" s="265">
        <f>IF(COUNT(N49,L49)&lt;2,"",N49-L49)</f>
        <v>16</v>
      </c>
      <c r="O50" s="265">
        <f>IF(COUNT(O49,N49)&lt;2,"",O49-N49)</f>
        <v>4</v>
      </c>
      <c r="P50" s="265">
        <f>IF(COUNT(P49,O49)&lt;2,"",P49-O49)</f>
        <v>4</v>
      </c>
      <c r="Q50" s="265">
        <f>IF(COUNT(Q49,P49)&lt;2,"",Q49-P49)</f>
        <v>6</v>
      </c>
      <c r="R50" s="266">
        <f>IFERROR(R49-M49,"")</f>
        <v>30</v>
      </c>
      <c r="S50" s="265">
        <f>IF(COUNT(S49,Q49)&lt;2,"",S49-Q49)</f>
        <v>6</v>
      </c>
      <c r="T50" s="265">
        <f>IF(COUNT(T49,S49)&lt;2,"",T49-S49)</f>
        <v>1</v>
      </c>
      <c r="U50" s="265">
        <f>IF(COUNT(U49,T49)&lt;2,"",U49-T49)</f>
        <v>7</v>
      </c>
      <c r="V50" s="265">
        <f>IF(COUNT(V49,U49)&lt;2,"",V49-U49)</f>
        <v>12</v>
      </c>
      <c r="W50" s="266">
        <f>IFERROR(W49-R49,"")</f>
        <v>26</v>
      </c>
      <c r="X50" s="265">
        <f>IF(COUNT(X49,V49)&lt;2,"",X49-V49)</f>
        <v>1</v>
      </c>
      <c r="Y50" s="265">
        <f>IF(COUNT(Y49,X49)&lt;2,"",Y49-X49)</f>
        <v>5</v>
      </c>
      <c r="Z50" s="265">
        <f>IF(COUNT(Z49,Y49)&lt;2,"",Z49-Y49)</f>
        <v>4</v>
      </c>
      <c r="AA50" s="265">
        <f>IF(COUNT(AA49,Z49)&lt;2,"",AA49-Z49)</f>
        <v>4</v>
      </c>
      <c r="AB50" s="266">
        <f>IFERROR(AB49-W49,"")</f>
        <v>14</v>
      </c>
      <c r="AC50" s="265">
        <f>IF(COUNT(AC49,AA49)&lt;2,"",AC49-AA49)</f>
        <v>4</v>
      </c>
      <c r="AD50" s="265">
        <f>IF(COUNT(AD49,AC49)&lt;2,"",AD49-AC49)</f>
        <v>-5</v>
      </c>
      <c r="AE50" s="265">
        <f>IF(COUNT(AE49,AD49)&lt;2,"",AE49-AD49)</f>
        <v>35</v>
      </c>
      <c r="AF50" s="265">
        <f>IF(COUNT(AF49,AE49)&lt;2,"",AF49-AE49)</f>
        <v>-4</v>
      </c>
      <c r="AG50" s="266">
        <f>IFERROR(AG49-AB49,"")</f>
        <v>30</v>
      </c>
      <c r="AH50" s="266">
        <f>IF(COUNT(AH49,AF49)&lt;2,"",AH49-AF49)</f>
        <v>4</v>
      </c>
      <c r="AI50" s="266">
        <f>IF(COUNT(AI49,AH49)&lt;2,"",AI49-AH49)</f>
        <v>7</v>
      </c>
    </row>
    <row r="51">
      <c r="C51" s="14" t="inlineStr">
        <is>
          <t>Area de vendas - Atacarejo + Novo Atacarejo (mil m2)</t>
        </is>
      </c>
      <c r="D51" s="265">
        <f>IFERROR(SUM(IFERROR(INDEX('Inputs (2)'!$D$64:$AL$64,MATCH(D$7,'Inputs (2)'!$D$2:$AL$2,0)),""),IFERROR(INDEX('Inputs (2)'!$D$65:$AL$65,MATCH(D$7,'Inputs (2)'!$D$2:$AL$2,0)),""))/1000,"")</f>
        <v>130.5704807</v>
      </c>
      <c r="E51" s="265">
        <f>IFERROR(SUM(IFERROR(INDEX('Inputs (2)'!$D$64:$AL$64,MATCH(E$7,'Inputs (2)'!$D$2:$AL$2,0)),""),IFERROR(INDEX('Inputs (2)'!$D$65:$AL$65,MATCH(E$7,'Inputs (2)'!$D$2:$AL$2,0)),""))/1000,"")</f>
        <v>144.8292607</v>
      </c>
      <c r="F51" s="265">
        <f>IFERROR(SUM(IFERROR(INDEX('Inputs (2)'!$D$64:$AL$64,MATCH(F$7,'Inputs (2)'!$D$2:$AL$2,0)),""),IFERROR(INDEX('Inputs (2)'!$D$65:$AL$65,MATCH(F$7,'Inputs (2)'!$D$2:$AL$2,0)),""))/1000,"")</f>
        <v>149.5912607</v>
      </c>
      <c r="G51" s="265">
        <f>IFERROR(SUM(IFERROR(INDEX('Inputs (2)'!$D$64:$AL$64,MATCH(G$7,'Inputs (2)'!$D$2:$AL$2,0)),""),IFERROR(INDEX('Inputs (2)'!$D$65:$AL$65,MATCH(G$7,'Inputs (2)'!$D$2:$AL$2,0)),""))/1000,"")</f>
        <v>162.3625607</v>
      </c>
      <c r="H51" s="266">
        <f>IF(COUNT(G51)=0,"",G51)</f>
        <v>162.3625607</v>
      </c>
      <c r="I51" s="265">
        <f>IFERROR(SUM(IFERROR(INDEX('Inputs (2)'!$D$64:$AL$64,MATCH(I$7,'Inputs (2)'!$D$2:$AL$2,0)),""),IFERROR(INDEX('Inputs (2)'!$D$65:$AL$65,MATCH(I$7,'Inputs (2)'!$D$2:$AL$2,0)),""))/1000,"")</f>
        <v>172.3133707</v>
      </c>
      <c r="J51" s="265">
        <f>IFERROR(SUM(IFERROR(INDEX('Inputs (2)'!$D$64:$AL$64,MATCH(J$7,'Inputs (2)'!$D$2:$AL$2,0)),""),IFERROR(INDEX('Inputs (2)'!$D$65:$AL$65,MATCH(J$7,'Inputs (2)'!$D$2:$AL$2,0)),""))/1000,"")</f>
        <v>186.6188407</v>
      </c>
      <c r="K51" s="265">
        <f>IFERROR(SUM(IFERROR(INDEX('Inputs (2)'!$D$64:$AL$64,MATCH(K$7,'Inputs (2)'!$D$2:$AL$2,0)),""),IFERROR(INDEX('Inputs (2)'!$D$65:$AL$65,MATCH(K$7,'Inputs (2)'!$D$2:$AL$2,0)),""))/1000,"")</f>
        <v>195.258</v>
      </c>
      <c r="L51" s="265">
        <f>IFERROR(SUM(IFERROR(INDEX('Inputs (2)'!$D$64:$AL$64,MATCH(L$7,'Inputs (2)'!$D$2:$AL$2,0)),""),IFERROR(INDEX('Inputs (2)'!$D$65:$AL$65,MATCH(L$7,'Inputs (2)'!$D$2:$AL$2,0)),""))/1000,"")</f>
        <v>204.422</v>
      </c>
      <c r="M51" s="266">
        <f>IF(COUNT(L51)=0,"",L51)</f>
        <v>204.422</v>
      </c>
      <c r="N51" s="265">
        <f>IFERROR(SUM(IFERROR(INDEX('Inputs (2)'!$D$64:$AL$64,MATCH(N$7,'Inputs (2)'!$D$2:$AL$2,0)),""),IFERROR(INDEX('Inputs (2)'!$D$65:$AL$65,MATCH(N$7,'Inputs (2)'!$D$2:$AL$2,0)),""))/1000,"")</f>
        <v>236.29</v>
      </c>
      <c r="O51" s="265">
        <f>IFERROR(SUM(IFERROR(INDEX('Inputs (2)'!$D$64:$AL$64,MATCH(O$7,'Inputs (2)'!$D$2:$AL$2,0)),""),IFERROR(INDEX('Inputs (2)'!$D$65:$AL$65,MATCH(O$7,'Inputs (2)'!$D$2:$AL$2,0)),""))/1000,"")</f>
        <v>247.402</v>
      </c>
      <c r="P51" s="265">
        <f>IFERROR(SUM(IFERROR(INDEX('Inputs (2)'!$D$64:$AL$64,MATCH(P$7,'Inputs (2)'!$D$2:$AL$2,0)),""),IFERROR(INDEX('Inputs (2)'!$D$65:$AL$65,MATCH(P$7,'Inputs (2)'!$D$2:$AL$2,0)),""))/1000,"")</f>
        <v>258.719</v>
      </c>
      <c r="Q51" s="265">
        <f>IFERROR(SUM(IFERROR(INDEX('Inputs (2)'!$D$64:$AL$64,MATCH(Q$7,'Inputs (2)'!$D$2:$AL$2,0)),""),IFERROR(INDEX('Inputs (2)'!$D$65:$AL$65,MATCH(Q$7,'Inputs (2)'!$D$2:$AL$2,0)),""))/1000,"")</f>
        <v>281.028</v>
      </c>
      <c r="R51" s="266">
        <f>IF(COUNT(Q51)=0,"",Q51)</f>
        <v>281.028</v>
      </c>
      <c r="S51" s="265">
        <f>IFERROR(SUM(IFERROR(INDEX('Inputs (2)'!$D$64:$AL$64,MATCH(S$7,'Inputs (2)'!$D$2:$AL$2,0)),""),IFERROR(INDEX('Inputs (2)'!$D$65:$AL$65,MATCH(S$7,'Inputs (2)'!$D$2:$AL$2,0)),""))/1000,"")</f>
        <v>297.4243507</v>
      </c>
      <c r="T51" s="265">
        <f>IFERROR(SUM(IFERROR(INDEX('Inputs (2)'!$D$64:$AL$64,MATCH(T$7,'Inputs (2)'!$D$2:$AL$2,0)),""),IFERROR(INDEX('Inputs (2)'!$D$65:$AL$65,MATCH(T$7,'Inputs (2)'!$D$2:$AL$2,0)),""))/1000,"")</f>
        <v>304.425</v>
      </c>
      <c r="U51" s="265">
        <f>IFERROR(SUM(IFERROR(INDEX('Inputs (2)'!$D$64:$AL$64,MATCH(U$7,'Inputs (2)'!$D$2:$AL$2,0)),""),IFERROR(INDEX('Inputs (2)'!$D$65:$AL$65,MATCH(U$7,'Inputs (2)'!$D$2:$AL$2,0)),""))/1000,"")</f>
        <v>321.2763507</v>
      </c>
      <c r="V51" s="265">
        <f>IFERROR(SUM(IFERROR(INDEX('Inputs (2)'!$D$64:$AL$64,MATCH(V$7,'Inputs (2)'!$D$2:$AL$2,0)),""),IFERROR(INDEX('Inputs (2)'!$D$65:$AL$65,MATCH(V$7,'Inputs (2)'!$D$2:$AL$2,0)),""))/1000,"")</f>
        <v>362.8539707</v>
      </c>
      <c r="W51" s="266">
        <f>IF(COUNT(V51)=0,"",V51)</f>
        <v>362.8539707</v>
      </c>
      <c r="X51" s="265">
        <f>IFERROR(SUM(IFERROR(INDEX('Inputs (2)'!$D$64:$AL$64,MATCH(X$7,'Inputs (2)'!$D$2:$AL$2,0)),""),IFERROR(INDEX('Inputs (2)'!$D$65:$AL$65,MATCH(X$7,'Inputs (2)'!$D$2:$AL$2,0)),""))/1000,"")</f>
        <v>370.2187007</v>
      </c>
      <c r="Y51" s="265">
        <f>IFERROR(SUM(IFERROR(INDEX('Inputs (2)'!$D$64:$AL$64,MATCH(Y$7,'Inputs (2)'!$D$2:$AL$2,0)),""),IFERROR(INDEX('Inputs (2)'!$D$65:$AL$65,MATCH(Y$7,'Inputs (2)'!$D$2:$AL$2,0)),""))/1000,"")</f>
        <v>376.7395907</v>
      </c>
      <c r="Z51" s="265">
        <f>IFERROR(SUM(IFERROR(INDEX('Inputs (2)'!$D$64:$AL$64,MATCH(Z$7,'Inputs (2)'!$D$2:$AL$2,0)),""),IFERROR(INDEX('Inputs (2)'!$D$65:$AL$65,MATCH(Z$7,'Inputs (2)'!$D$2:$AL$2,0)),""))/1000,"")</f>
        <v>391.8537907</v>
      </c>
      <c r="AA51" s="265">
        <f>IFERROR(SUM(IFERROR(INDEX('Inputs (2)'!$D$64:$AL$64,MATCH(AA$7,'Inputs (2)'!$D$2:$AL$2,0)),""),IFERROR(INDEX('Inputs (2)'!$D$65:$AL$65,MATCH(AA$7,'Inputs (2)'!$D$2:$AL$2,0)),""))/1000,"")</f>
        <v>401.1254007</v>
      </c>
      <c r="AB51" s="266">
        <f>IF(COUNT(AA51)=0,"",AA51)</f>
        <v>401.1254007</v>
      </c>
      <c r="AC51" s="265">
        <f>IFERROR(SUM(IFERROR(INDEX('Inputs (2)'!$D$64:$AL$64,MATCH(AC$7,'Inputs (2)'!$D$2:$AL$2,0)),""),IFERROR(INDEX('Inputs (2)'!$D$65:$AL$65,MATCH(AC$7,'Inputs (2)'!$D$2:$AL$2,0)),""))/1000,"")</f>
        <v>408.0334007</v>
      </c>
      <c r="AD51" s="265">
        <f>IFERROR(SUM(IFERROR(INDEX('Inputs (2)'!$D$64:$AL$64,MATCH(AD$7,'Inputs (2)'!$D$2:$AL$2,0)),""),IFERROR(INDEX('Inputs (2)'!$D$65:$AL$65,MATCH(AD$7,'Inputs (2)'!$D$2:$AL$2,0)),""))/1000,"")</f>
        <v>425.2299607</v>
      </c>
      <c r="AE51" s="265">
        <f>IFERROR(SUM(IFERROR(INDEX('Inputs (2)'!$D$64:$AL$64,MATCH(AE$7,'Inputs (2)'!$D$2:$AL$2,0)),""),IFERROR(INDEX('Inputs (2)'!$D$65:$AL$65,MATCH(AE$7,'Inputs (2)'!$D$2:$AL$2,0)),""))/1000,"")</f>
        <v>570.2629607</v>
      </c>
      <c r="AF51" s="265">
        <f>IFERROR(SUM(IFERROR(INDEX('Inputs (2)'!$D$64:$AL$64,MATCH(AF$7,'Inputs (2)'!$D$2:$AL$2,0)),""),IFERROR(INDEX('Inputs (2)'!$D$65:$AL$65,MATCH(AF$7,'Inputs (2)'!$D$2:$AL$2,0)),""))/1000,"")</f>
        <v>586.3504307</v>
      </c>
      <c r="AG51" s="266">
        <f>IF(COUNT(AF51)=0,"",AF51)</f>
        <v>586.3504307</v>
      </c>
      <c r="AH51" s="266">
        <f>IFERROR(SUM(IFERROR(INDEX('Inputs (2)'!$D$64:$AL$64,MATCH(AH$7,'Inputs (2)'!$D$2:$AL$2,0)),""),IFERROR(INDEX('Inputs (2)'!$D$65:$AL$65,MATCH(AH$7,'Inputs (2)'!$D$2:$AL$2,0)),""))/1000,"")</f>
        <v>595.922</v>
      </c>
      <c r="AI51" s="266">
        <f>IFERROR(SUM(IFERROR(INDEX('Inputs (2)'!$D$64:$AL$64,MATCH(AI$7,'Inputs (2)'!$D$2:$AL$2,0)),""),IFERROR(INDEX('Inputs (2)'!$D$65:$AL$65,MATCH(AI$7,'Inputs (2)'!$D$2:$AL$2,0)),""))/1000,"")</f>
        <v>603.3529107</v>
      </c>
    </row>
    <row r="52">
      <c r="C52" s="14" t="inlineStr">
        <is>
          <t>Area de vendas - Varejo (mil m2)</t>
        </is>
      </c>
      <c r="D52" s="265">
        <f>IFERROR(SUM(IFERROR(INDEX('Inputs (2)'!$D$66:$AL$66,MATCH(D$7,'Inputs (2)'!$D$2:$AL$2,0)),""))/1000,"")</f>
        <v>71.7351227</v>
      </c>
      <c r="E52" s="265">
        <f>IFERROR(SUM(IFERROR(INDEX('Inputs (2)'!$D$66:$AL$66,MATCH(E$7,'Inputs (2)'!$D$2:$AL$2,0)),""))/1000,"")</f>
        <v>72.4920627</v>
      </c>
      <c r="F52" s="265">
        <f>IFERROR(SUM(IFERROR(INDEX('Inputs (2)'!$D$66:$AL$66,MATCH(F$7,'Inputs (2)'!$D$2:$AL$2,0)),""))/1000,"")</f>
        <v>76.3588127</v>
      </c>
      <c r="G52" s="265">
        <f>IFERROR(SUM(IFERROR(INDEX('Inputs (2)'!$D$66:$AL$66,MATCH(G$7,'Inputs (2)'!$D$2:$AL$2,0)),""))/1000,"")</f>
        <v>85.5798727</v>
      </c>
      <c r="H52" s="266">
        <f>IF(COUNT(G52)=0,"",G52)</f>
        <v>85.5798727</v>
      </c>
      <c r="I52" s="265">
        <f>IFERROR(SUM(IFERROR(INDEX('Inputs (2)'!$D$66:$AL$66,MATCH(I$7,'Inputs (2)'!$D$2:$AL$2,0)),""))/1000,"")</f>
        <v>93.9232327</v>
      </c>
      <c r="J52" s="265">
        <f>IFERROR(SUM(IFERROR(INDEX('Inputs (2)'!$D$66:$AL$66,MATCH(J$7,'Inputs (2)'!$D$2:$AL$2,0)),""))/1000,"")</f>
        <v>95.6412827</v>
      </c>
      <c r="K52" s="265">
        <f>IFERROR(SUM(IFERROR(INDEX('Inputs (2)'!$D$66:$AL$66,MATCH(K$7,'Inputs (2)'!$D$2:$AL$2,0)),""))/1000,"")</f>
        <v>97.277</v>
      </c>
      <c r="L52" s="265">
        <f>IFERROR(SUM(IFERROR(INDEX('Inputs (2)'!$D$66:$AL$66,MATCH(L$7,'Inputs (2)'!$D$2:$AL$2,0)),""))/1000,"")</f>
        <v>105.812</v>
      </c>
      <c r="M52" s="266">
        <f>IF(COUNT(L52)=0,"",L52)</f>
        <v>105.812</v>
      </c>
      <c r="N52" s="265">
        <f>IFERROR(SUM(IFERROR(INDEX('Inputs (2)'!$D$66:$AL$66,MATCH(N$7,'Inputs (2)'!$D$2:$AL$2,0)),""))/1000,"")</f>
        <v>116.745</v>
      </c>
      <c r="O52" s="265">
        <f>IFERROR(SUM(IFERROR(INDEX('Inputs (2)'!$D$66:$AL$66,MATCH(O$7,'Inputs (2)'!$D$2:$AL$2,0)),""))/1000,"")</f>
        <v>118.729</v>
      </c>
      <c r="P52" s="265">
        <f>IFERROR(SUM(IFERROR(INDEX('Inputs (2)'!$D$66:$AL$66,MATCH(P$7,'Inputs (2)'!$D$2:$AL$2,0)),""))/1000,"")</f>
        <v>120.216</v>
      </c>
      <c r="Q52" s="265">
        <f>IFERROR(SUM(IFERROR(INDEX('Inputs (2)'!$D$66:$AL$66,MATCH(Q$7,'Inputs (2)'!$D$2:$AL$2,0)),""))/1000,"")</f>
        <v>120.216</v>
      </c>
      <c r="R52" s="266">
        <f>IF(COUNT(Q52)=0,"",Q52)</f>
        <v>120.216</v>
      </c>
      <c r="S52" s="265">
        <f>IFERROR(SUM(IFERROR(INDEX('Inputs (2)'!$D$66:$AL$66,MATCH(S$7,'Inputs (2)'!$D$2:$AL$2,0)),""))/1000,"")</f>
        <v>120.216</v>
      </c>
      <c r="T52" s="265">
        <f>IFERROR(SUM(IFERROR(INDEX('Inputs (2)'!$D$66:$AL$66,MATCH(T$7,'Inputs (2)'!$D$2:$AL$2,0)),""))/1000,"")</f>
        <v>121.271</v>
      </c>
      <c r="U52" s="265">
        <f>IFERROR(SUM(IFERROR(INDEX('Inputs (2)'!$D$66:$AL$66,MATCH(U$7,'Inputs (2)'!$D$2:$AL$2,0)),""))/1000,"")</f>
        <v>123.571</v>
      </c>
      <c r="V52" s="265">
        <f>IFERROR(SUM(IFERROR(INDEX('Inputs (2)'!$D$66:$AL$66,MATCH(V$7,'Inputs (2)'!$D$2:$AL$2,0)),""))/1000,"")</f>
        <v>124.372</v>
      </c>
      <c r="W52" s="266">
        <f>IF(COUNT(V52)=0,"",V52)</f>
        <v>124.372</v>
      </c>
      <c r="X52" s="265">
        <f>IFERROR(SUM(IFERROR(INDEX('Inputs (2)'!$D$66:$AL$66,MATCH(X$7,'Inputs (2)'!$D$2:$AL$2,0)),""))/1000,"")</f>
        <v>124.372</v>
      </c>
      <c r="Y52" s="265">
        <f>IFERROR(SUM(IFERROR(INDEX('Inputs (2)'!$D$66:$AL$66,MATCH(Y$7,'Inputs (2)'!$D$2:$AL$2,0)),""))/1000,"")</f>
        <v>127.2742927</v>
      </c>
      <c r="Z52" s="265">
        <f>IFERROR(SUM(IFERROR(INDEX('Inputs (2)'!$D$66:$AL$66,MATCH(Z$7,'Inputs (2)'!$D$2:$AL$2,0)),""))/1000,"")</f>
        <v>127.2742927</v>
      </c>
      <c r="AA52" s="265">
        <f>IFERROR(SUM(IFERROR(INDEX('Inputs (2)'!$D$66:$AL$66,MATCH(AA$7,'Inputs (2)'!$D$2:$AL$2,0)),""))/1000,"")</f>
        <v>132.6842927</v>
      </c>
      <c r="AB52" s="266">
        <f>IF(COUNT(AA52)=0,"",AA52)</f>
        <v>132.6842927</v>
      </c>
      <c r="AC52" s="265">
        <f>IFERROR(SUM(IFERROR(INDEX('Inputs (2)'!$D$66:$AL$66,MATCH(AC$7,'Inputs (2)'!$D$2:$AL$2,0)),""))/1000,"")</f>
        <v>134.4942927</v>
      </c>
      <c r="AD52" s="265">
        <f>IFERROR(SUM(IFERROR(INDEX('Inputs (2)'!$D$66:$AL$66,MATCH(AD$7,'Inputs (2)'!$D$2:$AL$2,0)),""))/1000,"")</f>
        <v>135.2819427</v>
      </c>
      <c r="AE52" s="265">
        <f>IFERROR(SUM(IFERROR(INDEX('Inputs (2)'!$D$66:$AL$66,MATCH(AE$7,'Inputs (2)'!$D$2:$AL$2,0)),""))/1000,"")</f>
        <v>135.6909427</v>
      </c>
      <c r="AF52" s="265">
        <f>IFERROR(SUM(IFERROR(INDEX('Inputs (2)'!$D$66:$AL$66,MATCH(AF$7,'Inputs (2)'!$D$2:$AL$2,0)),""))/1000,"")</f>
        <v>142.6994827</v>
      </c>
      <c r="AG52" s="266">
        <f>IF(COUNT(AF52)=0,"",AF52)</f>
        <v>142.6994827</v>
      </c>
      <c r="AH52" s="266">
        <f>IFERROR(SUM(IFERROR(INDEX('Inputs (2)'!$D$66:$AL$66,MATCH(AH$7,'Inputs (2)'!$D$2:$AL$2,0)),""))/1000,"")</f>
        <v>144.4</v>
      </c>
      <c r="AI52" s="266">
        <f>IFERROR(SUM(IFERROR(INDEX('Inputs (2)'!$D$66:$AL$66,MATCH(AI$7,'Inputs (2)'!$D$2:$AL$2,0)),""))/1000,"")</f>
        <v>149.8421927</v>
      </c>
    </row>
    <row r="53">
      <c r="C53" s="14" t="inlineStr">
        <is>
          <t>Area de vendas - Eletro (mil m2)</t>
        </is>
      </c>
      <c r="D53" s="265">
        <f>IFERROR(SUM(IFERROR(INDEX('Inputs (2)'!$D$67:$AL$67,MATCH(D$7,'Inputs (2)'!$D$2:$AL$2,0)),""))/1000,"")</f>
        <v>68.14951</v>
      </c>
      <c r="E53" s="265">
        <f>IFERROR(SUM(IFERROR(INDEX('Inputs (2)'!$D$67:$AL$67,MATCH(E$7,'Inputs (2)'!$D$2:$AL$2,0)),""))/1000,"")</f>
        <v>72.34167</v>
      </c>
      <c r="F53" s="265">
        <f>IFERROR(SUM(IFERROR(INDEX('Inputs (2)'!$D$67:$AL$67,MATCH(F$7,'Inputs (2)'!$D$2:$AL$2,0)),""))/1000,"")</f>
        <v>75.06034</v>
      </c>
      <c r="G53" s="265">
        <f>IFERROR(SUM(IFERROR(INDEX('Inputs (2)'!$D$67:$AL$67,MATCH(G$7,'Inputs (2)'!$D$2:$AL$2,0)),""))/1000,"")</f>
        <v>80.83432</v>
      </c>
      <c r="H53" s="266">
        <f>IF(COUNT(G53)=0,"",G53)</f>
        <v>80.83432</v>
      </c>
      <c r="I53" s="265">
        <f>IFERROR(SUM(IFERROR(INDEX('Inputs (2)'!$D$67:$AL$67,MATCH(I$7,'Inputs (2)'!$D$2:$AL$2,0)),""))/1000,"")</f>
        <v>83.57538</v>
      </c>
      <c r="J53" s="265">
        <f>IFERROR(SUM(IFERROR(INDEX('Inputs (2)'!$D$67:$AL$67,MATCH(J$7,'Inputs (2)'!$D$2:$AL$2,0)),""))/1000,"")</f>
        <v>89.8916</v>
      </c>
      <c r="K53" s="265">
        <f>IFERROR(SUM(IFERROR(INDEX('Inputs (2)'!$D$67:$AL$67,MATCH(K$7,'Inputs (2)'!$D$2:$AL$2,0)),""))/1000,"")</f>
        <v>93.233</v>
      </c>
      <c r="L53" s="265">
        <f>IFERROR(SUM(IFERROR(INDEX('Inputs (2)'!$D$67:$AL$67,MATCH(L$7,'Inputs (2)'!$D$2:$AL$2,0)),""))/1000,"")</f>
        <v>97.593</v>
      </c>
      <c r="M53" s="266">
        <f>IF(COUNT(L53)=0,"",L53)</f>
        <v>97.593</v>
      </c>
      <c r="N53" s="265">
        <f>IFERROR(SUM(IFERROR(INDEX('Inputs (2)'!$D$67:$AL$67,MATCH(N$7,'Inputs (2)'!$D$2:$AL$2,0)),""))/1000,"")</f>
        <v>99.641</v>
      </c>
      <c r="O53" s="265">
        <f>IFERROR(SUM(IFERROR(INDEX('Inputs (2)'!$D$67:$AL$67,MATCH(O$7,'Inputs (2)'!$D$2:$AL$2,0)),""))/1000,"")</f>
        <v>100.22</v>
      </c>
      <c r="P53" s="265">
        <f>IFERROR(SUM(IFERROR(INDEX('Inputs (2)'!$D$67:$AL$67,MATCH(P$7,'Inputs (2)'!$D$2:$AL$2,0)),""))/1000,"")</f>
        <v>98.723</v>
      </c>
      <c r="Q53" s="265">
        <f>IFERROR(SUM(IFERROR(INDEX('Inputs (2)'!$D$67:$AL$67,MATCH(Q$7,'Inputs (2)'!$D$2:$AL$2,0)),""))/1000,"")</f>
        <v>99.247</v>
      </c>
      <c r="R53" s="266">
        <f>IF(COUNT(Q53)=0,"",Q53)</f>
        <v>99.247</v>
      </c>
      <c r="S53" s="265">
        <f>IFERROR(SUM(IFERROR(INDEX('Inputs (2)'!$D$67:$AL$67,MATCH(S$7,'Inputs (2)'!$D$2:$AL$2,0)),""))/1000,"")</f>
        <v>100.46339</v>
      </c>
      <c r="T53" s="265">
        <f>IFERROR(SUM(IFERROR(INDEX('Inputs (2)'!$D$67:$AL$67,MATCH(T$7,'Inputs (2)'!$D$2:$AL$2,0)),""))/1000,"")</f>
        <v>99.299</v>
      </c>
      <c r="U53" s="265">
        <f>IFERROR(SUM(IFERROR(INDEX('Inputs (2)'!$D$67:$AL$67,MATCH(U$7,'Inputs (2)'!$D$2:$AL$2,0)),""))/1000,"")</f>
        <v>99.57832</v>
      </c>
      <c r="V53" s="265">
        <f>IFERROR(SUM(IFERROR(INDEX('Inputs (2)'!$D$67:$AL$67,MATCH(V$7,'Inputs (2)'!$D$2:$AL$2,0)),""))/1000,"")</f>
        <v>99.57832</v>
      </c>
      <c r="W53" s="266">
        <f>IF(COUNT(V53)=0,"",V53)</f>
        <v>99.57832</v>
      </c>
      <c r="X53" s="265">
        <f>IFERROR(SUM(IFERROR(INDEX('Inputs (2)'!$D$67:$AL$67,MATCH(X$7,'Inputs (2)'!$D$2:$AL$2,0)),""))/1000,"")</f>
        <v>98.939</v>
      </c>
      <c r="Y53" s="265">
        <f>IFERROR(SUM(IFERROR(INDEX('Inputs (2)'!$D$67:$AL$67,MATCH(Y$7,'Inputs (2)'!$D$2:$AL$2,0)),""))/1000,"")</f>
        <v>99.45956</v>
      </c>
      <c r="Z53" s="265">
        <f>IFERROR(SUM(IFERROR(INDEX('Inputs (2)'!$D$67:$AL$67,MATCH(Z$7,'Inputs (2)'!$D$2:$AL$2,0)),""))/1000,"")</f>
        <v>98.69641</v>
      </c>
      <c r="AA53" s="265">
        <f>IFERROR(SUM(IFERROR(INDEX('Inputs (2)'!$D$67:$AL$67,MATCH(AA$7,'Inputs (2)'!$D$2:$AL$2,0)),""))/1000,"")</f>
        <v>98.69641</v>
      </c>
      <c r="AB53" s="266">
        <f>IF(COUNT(AA53)=0,"",AA53)</f>
        <v>98.69641</v>
      </c>
      <c r="AC53" s="265">
        <f>IFERROR(SUM(IFERROR(INDEX('Inputs (2)'!$D$67:$AL$67,MATCH(AC$7,'Inputs (2)'!$D$2:$AL$2,0)),""))/1000,"")</f>
        <v>98.5885</v>
      </c>
      <c r="AD53" s="265">
        <f>IFERROR(SUM(IFERROR(INDEX('Inputs (2)'!$D$67:$AL$67,MATCH(AD$7,'Inputs (2)'!$D$2:$AL$2,0)),""))/1000,"")</f>
        <v>91.35736</v>
      </c>
      <c r="AE53" s="265">
        <f>IFERROR(SUM(IFERROR(INDEX('Inputs (2)'!$D$67:$AL$67,MATCH(AE$7,'Inputs (2)'!$D$2:$AL$2,0)),""))/1000,"")</f>
        <v>87.184</v>
      </c>
      <c r="AF53" s="265">
        <f>IFERROR(SUM(IFERROR(INDEX('Inputs (2)'!$D$67:$AL$67,MATCH(AF$7,'Inputs (2)'!$D$2:$AL$2,0)),""))/1000,"")</f>
        <v>72.40232</v>
      </c>
      <c r="AG53" s="266">
        <f>IF(COUNT(AF53)=0,"",AF53)</f>
        <v>72.40232</v>
      </c>
      <c r="AH53" s="266">
        <f>IFERROR(SUM(IFERROR(INDEX('Inputs (2)'!$D$67:$AL$67,MATCH(AH$7,'Inputs (2)'!$D$2:$AL$2,0)),""))/1000,"")</f>
        <v>72.402</v>
      </c>
      <c r="AI53" s="266">
        <f>IFERROR(SUM(IFERROR(INDEX('Inputs (2)'!$D$67:$AL$67,MATCH(AI$7,'Inputs (2)'!$D$2:$AL$2,0)),""))/1000,"")</f>
        <v>72.402</v>
      </c>
    </row>
    <row r="54">
      <c r="C54" s="267" t="inlineStr">
        <is>
          <t>Area de vendas - total (mil m2)</t>
        </is>
      </c>
      <c r="D54" s="265">
        <f>IFERROR(SUM(IFERROR(INDEX('Inputs (2)'!$D$64:$AL$64,MATCH(D$7,'Inputs (2)'!$D$2:$AL$2,0)),""),IFERROR(INDEX('Inputs (2)'!$D$65:$AL$65,MATCH(D$7,'Inputs (2)'!$D$2:$AL$2,0)),""),IFERROR(INDEX('Inputs (2)'!$D$66:$AL$66,MATCH(D$7,'Inputs (2)'!$D$2:$AL$2,0)),""),IFERROR(INDEX('Inputs (2)'!$D$67:$AL$67,MATCH(D$7,'Inputs (2)'!$D$2:$AL$2,0)),""),IFERROR(INDEX('Inputs (2)'!$D$68:$AL$68,MATCH(D$7,'Inputs (2)'!$D$2:$AL$2,0)),""))/1000,"")</f>
        <v>270.4551134</v>
      </c>
      <c r="E54" s="265">
        <f>IFERROR(SUM(IFERROR(INDEX('Inputs (2)'!$D$64:$AL$64,MATCH(E$7,'Inputs (2)'!$D$2:$AL$2,0)),""),IFERROR(INDEX('Inputs (2)'!$D$65:$AL$65,MATCH(E$7,'Inputs (2)'!$D$2:$AL$2,0)),""),IFERROR(INDEX('Inputs (2)'!$D$66:$AL$66,MATCH(E$7,'Inputs (2)'!$D$2:$AL$2,0)),""),IFERROR(INDEX('Inputs (2)'!$D$67:$AL$67,MATCH(E$7,'Inputs (2)'!$D$2:$AL$2,0)),""),IFERROR(INDEX('Inputs (2)'!$D$68:$AL$68,MATCH(E$7,'Inputs (2)'!$D$2:$AL$2,0)),""))/1000,"")</f>
        <v>289.6629934</v>
      </c>
      <c r="F54" s="265">
        <f>IFERROR(SUM(IFERROR(INDEX('Inputs (2)'!$D$64:$AL$64,MATCH(F$7,'Inputs (2)'!$D$2:$AL$2,0)),""),IFERROR(INDEX('Inputs (2)'!$D$65:$AL$65,MATCH(F$7,'Inputs (2)'!$D$2:$AL$2,0)),""),IFERROR(INDEX('Inputs (2)'!$D$66:$AL$66,MATCH(F$7,'Inputs (2)'!$D$2:$AL$2,0)),""),IFERROR(INDEX('Inputs (2)'!$D$67:$AL$67,MATCH(F$7,'Inputs (2)'!$D$2:$AL$2,0)),""),IFERROR(INDEX('Inputs (2)'!$D$68:$AL$68,MATCH(F$7,'Inputs (2)'!$D$2:$AL$2,0)),""))/1000,"")</f>
        <v>301.0104134</v>
      </c>
      <c r="G54" s="265">
        <f>IFERROR(SUM(IFERROR(INDEX('Inputs (2)'!$D$64:$AL$64,MATCH(G$7,'Inputs (2)'!$D$2:$AL$2,0)),""),IFERROR(INDEX('Inputs (2)'!$D$65:$AL$65,MATCH(G$7,'Inputs (2)'!$D$2:$AL$2,0)),""),IFERROR(INDEX('Inputs (2)'!$D$66:$AL$66,MATCH(G$7,'Inputs (2)'!$D$2:$AL$2,0)),""),IFERROR(INDEX('Inputs (2)'!$D$67:$AL$67,MATCH(G$7,'Inputs (2)'!$D$2:$AL$2,0)),""),IFERROR(INDEX('Inputs (2)'!$D$68:$AL$68,MATCH(G$7,'Inputs (2)'!$D$2:$AL$2,0)),""))/1000,"")</f>
        <v>328.7767534</v>
      </c>
      <c r="H54" s="266">
        <f>IF(COUNT(G54)=0,"",G54)</f>
        <v>328.7767534</v>
      </c>
      <c r="I54" s="265">
        <f>IFERROR(SUM(IFERROR(INDEX('Inputs (2)'!$D$64:$AL$64,MATCH(I$7,'Inputs (2)'!$D$2:$AL$2,0)),""),IFERROR(INDEX('Inputs (2)'!$D$65:$AL$65,MATCH(I$7,'Inputs (2)'!$D$2:$AL$2,0)),""),IFERROR(INDEX('Inputs (2)'!$D$66:$AL$66,MATCH(I$7,'Inputs (2)'!$D$2:$AL$2,0)),""),IFERROR(INDEX('Inputs (2)'!$D$67:$AL$67,MATCH(I$7,'Inputs (2)'!$D$2:$AL$2,0)),""),IFERROR(INDEX('Inputs (2)'!$D$68:$AL$68,MATCH(I$7,'Inputs (2)'!$D$2:$AL$2,0)),""))/1000,"")</f>
        <v>349.8119834</v>
      </c>
      <c r="J54" s="265">
        <f>IFERROR(SUM(IFERROR(INDEX('Inputs (2)'!$D$64:$AL$64,MATCH(J$7,'Inputs (2)'!$D$2:$AL$2,0)),""),IFERROR(INDEX('Inputs (2)'!$D$65:$AL$65,MATCH(J$7,'Inputs (2)'!$D$2:$AL$2,0)),""),IFERROR(INDEX('Inputs (2)'!$D$66:$AL$66,MATCH(J$7,'Inputs (2)'!$D$2:$AL$2,0)),""),IFERROR(INDEX('Inputs (2)'!$D$67:$AL$67,MATCH(J$7,'Inputs (2)'!$D$2:$AL$2,0)),""),IFERROR(INDEX('Inputs (2)'!$D$68:$AL$68,MATCH(J$7,'Inputs (2)'!$D$2:$AL$2,0)),""))/1000,"")</f>
        <v>372.1517234</v>
      </c>
      <c r="K54" s="265">
        <f>IFERROR(SUM(IFERROR(INDEX('Inputs (2)'!$D$64:$AL$64,MATCH(K$7,'Inputs (2)'!$D$2:$AL$2,0)),""),IFERROR(INDEX('Inputs (2)'!$D$65:$AL$65,MATCH(K$7,'Inputs (2)'!$D$2:$AL$2,0)),""),IFERROR(INDEX('Inputs (2)'!$D$66:$AL$66,MATCH(K$7,'Inputs (2)'!$D$2:$AL$2,0)),""),IFERROR(INDEX('Inputs (2)'!$D$67:$AL$67,MATCH(K$7,'Inputs (2)'!$D$2:$AL$2,0)),""),IFERROR(INDEX('Inputs (2)'!$D$68:$AL$68,MATCH(K$7,'Inputs (2)'!$D$2:$AL$2,0)),""))/1000,"")</f>
        <v>385.768</v>
      </c>
      <c r="L54" s="265">
        <f>IFERROR(SUM(IFERROR(INDEX('Inputs (2)'!$D$64:$AL$64,MATCH(L$7,'Inputs (2)'!$D$2:$AL$2,0)),""),IFERROR(INDEX('Inputs (2)'!$D$65:$AL$65,MATCH(L$7,'Inputs (2)'!$D$2:$AL$2,0)),""),IFERROR(INDEX('Inputs (2)'!$D$66:$AL$66,MATCH(L$7,'Inputs (2)'!$D$2:$AL$2,0)),""),IFERROR(INDEX('Inputs (2)'!$D$67:$AL$67,MATCH(L$7,'Inputs (2)'!$D$2:$AL$2,0)),""),IFERROR(INDEX('Inputs (2)'!$D$68:$AL$68,MATCH(L$7,'Inputs (2)'!$D$2:$AL$2,0)),""))/1000,"")</f>
        <v>407.827</v>
      </c>
      <c r="M54" s="266">
        <f>IF(COUNT(L54)=0,"",L54)</f>
        <v>407.827</v>
      </c>
      <c r="N54" s="265">
        <f>IFERROR(SUM(IFERROR(INDEX('Inputs (2)'!$D$64:$AL$64,MATCH(N$7,'Inputs (2)'!$D$2:$AL$2,0)),""),IFERROR(INDEX('Inputs (2)'!$D$65:$AL$65,MATCH(N$7,'Inputs (2)'!$D$2:$AL$2,0)),""),IFERROR(INDEX('Inputs (2)'!$D$66:$AL$66,MATCH(N$7,'Inputs (2)'!$D$2:$AL$2,0)),""),IFERROR(INDEX('Inputs (2)'!$D$67:$AL$67,MATCH(N$7,'Inputs (2)'!$D$2:$AL$2,0)),""),IFERROR(INDEX('Inputs (2)'!$D$68:$AL$68,MATCH(N$7,'Inputs (2)'!$D$2:$AL$2,0)),""))/1000,"")</f>
        <v>452.676</v>
      </c>
      <c r="O54" s="265">
        <f>IFERROR(SUM(IFERROR(INDEX('Inputs (2)'!$D$64:$AL$64,MATCH(O$7,'Inputs (2)'!$D$2:$AL$2,0)),""),IFERROR(INDEX('Inputs (2)'!$D$65:$AL$65,MATCH(O$7,'Inputs (2)'!$D$2:$AL$2,0)),""),IFERROR(INDEX('Inputs (2)'!$D$66:$AL$66,MATCH(O$7,'Inputs (2)'!$D$2:$AL$2,0)),""),IFERROR(INDEX('Inputs (2)'!$D$67:$AL$67,MATCH(O$7,'Inputs (2)'!$D$2:$AL$2,0)),""),IFERROR(INDEX('Inputs (2)'!$D$68:$AL$68,MATCH(O$7,'Inputs (2)'!$D$2:$AL$2,0)),""))/1000,"")</f>
        <v>466.351</v>
      </c>
      <c r="P54" s="265">
        <f>IFERROR(SUM(IFERROR(INDEX('Inputs (2)'!$D$64:$AL$64,MATCH(P$7,'Inputs (2)'!$D$2:$AL$2,0)),""),IFERROR(INDEX('Inputs (2)'!$D$65:$AL$65,MATCH(P$7,'Inputs (2)'!$D$2:$AL$2,0)),""),IFERROR(INDEX('Inputs (2)'!$D$66:$AL$66,MATCH(P$7,'Inputs (2)'!$D$2:$AL$2,0)),""),IFERROR(INDEX('Inputs (2)'!$D$67:$AL$67,MATCH(P$7,'Inputs (2)'!$D$2:$AL$2,0)),""),IFERROR(INDEX('Inputs (2)'!$D$68:$AL$68,MATCH(P$7,'Inputs (2)'!$D$2:$AL$2,0)),""))/1000,"")</f>
        <v>477.658</v>
      </c>
      <c r="Q54" s="265">
        <f>IFERROR(SUM(IFERROR(INDEX('Inputs (2)'!$D$64:$AL$64,MATCH(Q$7,'Inputs (2)'!$D$2:$AL$2,0)),""),IFERROR(INDEX('Inputs (2)'!$D$65:$AL$65,MATCH(Q$7,'Inputs (2)'!$D$2:$AL$2,0)),""),IFERROR(INDEX('Inputs (2)'!$D$66:$AL$66,MATCH(Q$7,'Inputs (2)'!$D$2:$AL$2,0)),""),IFERROR(INDEX('Inputs (2)'!$D$67:$AL$67,MATCH(Q$7,'Inputs (2)'!$D$2:$AL$2,0)),""),IFERROR(INDEX('Inputs (2)'!$D$68:$AL$68,MATCH(Q$7,'Inputs (2)'!$D$2:$AL$2,0)),""))/1000,"")</f>
        <v>500.491</v>
      </c>
      <c r="R54" s="266">
        <f>IF(COUNT(Q54)=0,"",Q54)</f>
        <v>500.491</v>
      </c>
      <c r="S54" s="265">
        <f>IFERROR(SUM(IFERROR(INDEX('Inputs (2)'!$D$64:$AL$64,MATCH(S$7,'Inputs (2)'!$D$2:$AL$2,0)),""),IFERROR(INDEX('Inputs (2)'!$D$65:$AL$65,MATCH(S$7,'Inputs (2)'!$D$2:$AL$2,0)),""),IFERROR(INDEX('Inputs (2)'!$D$66:$AL$66,MATCH(S$7,'Inputs (2)'!$D$2:$AL$2,0)),""),IFERROR(INDEX('Inputs (2)'!$D$67:$AL$67,MATCH(S$7,'Inputs (2)'!$D$2:$AL$2,0)),""),IFERROR(INDEX('Inputs (2)'!$D$68:$AL$68,MATCH(S$7,'Inputs (2)'!$D$2:$AL$2,0)),""))/1000,"")</f>
        <v>518.1037407</v>
      </c>
      <c r="T54" s="265">
        <f>IFERROR(SUM(IFERROR(INDEX('Inputs (2)'!$D$64:$AL$64,MATCH(T$7,'Inputs (2)'!$D$2:$AL$2,0)),""),IFERROR(INDEX('Inputs (2)'!$D$65:$AL$65,MATCH(T$7,'Inputs (2)'!$D$2:$AL$2,0)),""),IFERROR(INDEX('Inputs (2)'!$D$66:$AL$66,MATCH(T$7,'Inputs (2)'!$D$2:$AL$2,0)),""),IFERROR(INDEX('Inputs (2)'!$D$67:$AL$67,MATCH(T$7,'Inputs (2)'!$D$2:$AL$2,0)),""),IFERROR(INDEX('Inputs (2)'!$D$68:$AL$68,MATCH(T$7,'Inputs (2)'!$D$2:$AL$2,0)),""))/1000,"")</f>
        <v>524.995</v>
      </c>
      <c r="U54" s="265">
        <f>IFERROR(SUM(IFERROR(INDEX('Inputs (2)'!$D$64:$AL$64,MATCH(U$7,'Inputs (2)'!$D$2:$AL$2,0)),""),IFERROR(INDEX('Inputs (2)'!$D$65:$AL$65,MATCH(U$7,'Inputs (2)'!$D$2:$AL$2,0)),""),IFERROR(INDEX('Inputs (2)'!$D$66:$AL$66,MATCH(U$7,'Inputs (2)'!$D$2:$AL$2,0)),""),IFERROR(INDEX('Inputs (2)'!$D$67:$AL$67,MATCH(U$7,'Inputs (2)'!$D$2:$AL$2,0)),""),IFERROR(INDEX('Inputs (2)'!$D$68:$AL$68,MATCH(U$7,'Inputs (2)'!$D$2:$AL$2,0)),""))/1000,"")</f>
        <v>544.4256707</v>
      </c>
      <c r="V54" s="265">
        <f>IFERROR(SUM(IFERROR(INDEX('Inputs (2)'!$D$64:$AL$64,MATCH(V$7,'Inputs (2)'!$D$2:$AL$2,0)),""),IFERROR(INDEX('Inputs (2)'!$D$65:$AL$65,MATCH(V$7,'Inputs (2)'!$D$2:$AL$2,0)),""),IFERROR(INDEX('Inputs (2)'!$D$66:$AL$66,MATCH(V$7,'Inputs (2)'!$D$2:$AL$2,0)),""),IFERROR(INDEX('Inputs (2)'!$D$67:$AL$67,MATCH(V$7,'Inputs (2)'!$D$2:$AL$2,0)),""),IFERROR(INDEX('Inputs (2)'!$D$68:$AL$68,MATCH(V$7,'Inputs (2)'!$D$2:$AL$2,0)),""))/1000,"")</f>
        <v>586.8042907</v>
      </c>
      <c r="W54" s="266">
        <f>IF(COUNT(V54)=0,"",V54)</f>
        <v>586.8042907</v>
      </c>
      <c r="X54" s="265">
        <f>IFERROR(SUM(IFERROR(INDEX('Inputs (2)'!$D$64:$AL$64,MATCH(X$7,'Inputs (2)'!$D$2:$AL$2,0)),""),IFERROR(INDEX('Inputs (2)'!$D$65:$AL$65,MATCH(X$7,'Inputs (2)'!$D$2:$AL$2,0)),""),IFERROR(INDEX('Inputs (2)'!$D$66:$AL$66,MATCH(X$7,'Inputs (2)'!$D$2:$AL$2,0)),""),IFERROR(INDEX('Inputs (2)'!$D$67:$AL$67,MATCH(X$7,'Inputs (2)'!$D$2:$AL$2,0)),""),IFERROR(INDEX('Inputs (2)'!$D$68:$AL$68,MATCH(X$7,'Inputs (2)'!$D$2:$AL$2,0)),""))/1000,"")</f>
        <v>593.5297007</v>
      </c>
      <c r="Y54" s="265">
        <f>IFERROR(SUM(IFERROR(INDEX('Inputs (2)'!$D$64:$AL$64,MATCH(Y$7,'Inputs (2)'!$D$2:$AL$2,0)),""),IFERROR(INDEX('Inputs (2)'!$D$65:$AL$65,MATCH(Y$7,'Inputs (2)'!$D$2:$AL$2,0)),""),IFERROR(INDEX('Inputs (2)'!$D$66:$AL$66,MATCH(Y$7,'Inputs (2)'!$D$2:$AL$2,0)),""),IFERROR(INDEX('Inputs (2)'!$D$67:$AL$67,MATCH(Y$7,'Inputs (2)'!$D$2:$AL$2,0)),""),IFERROR(INDEX('Inputs (2)'!$D$68:$AL$68,MATCH(Y$7,'Inputs (2)'!$D$2:$AL$2,0)),""))/1000,"")</f>
        <v>603.4734434</v>
      </c>
      <c r="Z54" s="265">
        <f>IFERROR(SUM(IFERROR(INDEX('Inputs (2)'!$D$64:$AL$64,MATCH(Z$7,'Inputs (2)'!$D$2:$AL$2,0)),""),IFERROR(INDEX('Inputs (2)'!$D$65:$AL$65,MATCH(Z$7,'Inputs (2)'!$D$2:$AL$2,0)),""),IFERROR(INDEX('Inputs (2)'!$D$66:$AL$66,MATCH(Z$7,'Inputs (2)'!$D$2:$AL$2,0)),""),IFERROR(INDEX('Inputs (2)'!$D$67:$AL$67,MATCH(Z$7,'Inputs (2)'!$D$2:$AL$2,0)),""),IFERROR(INDEX('Inputs (2)'!$D$68:$AL$68,MATCH(Z$7,'Inputs (2)'!$D$2:$AL$2,0)),""))/1000,"")</f>
        <v>617.8244934</v>
      </c>
      <c r="AA54" s="265">
        <f>IFERROR(SUM(IFERROR(INDEX('Inputs (2)'!$D$64:$AL$64,MATCH(AA$7,'Inputs (2)'!$D$2:$AL$2,0)),""),IFERROR(INDEX('Inputs (2)'!$D$65:$AL$65,MATCH(AA$7,'Inputs (2)'!$D$2:$AL$2,0)),""),IFERROR(INDEX('Inputs (2)'!$D$66:$AL$66,MATCH(AA$7,'Inputs (2)'!$D$2:$AL$2,0)),""),IFERROR(INDEX('Inputs (2)'!$D$67:$AL$67,MATCH(AA$7,'Inputs (2)'!$D$2:$AL$2,0)),""),IFERROR(INDEX('Inputs (2)'!$D$68:$AL$68,MATCH(AA$7,'Inputs (2)'!$D$2:$AL$2,0)),""))/1000,"")</f>
        <v>632.5061034</v>
      </c>
      <c r="AB54" s="266">
        <f>IF(COUNT(AA54)=0,"",AA54)</f>
        <v>632.5061034</v>
      </c>
      <c r="AC54" s="265">
        <f>IFERROR(SUM(IFERROR(INDEX('Inputs (2)'!$D$64:$AL$64,MATCH(AC$7,'Inputs (2)'!$D$2:$AL$2,0)),""),IFERROR(INDEX('Inputs (2)'!$D$65:$AL$65,MATCH(AC$7,'Inputs (2)'!$D$2:$AL$2,0)),""),IFERROR(INDEX('Inputs (2)'!$D$66:$AL$66,MATCH(AC$7,'Inputs (2)'!$D$2:$AL$2,0)),""),IFERROR(INDEX('Inputs (2)'!$D$67:$AL$67,MATCH(AC$7,'Inputs (2)'!$D$2:$AL$2,0)),""),IFERROR(INDEX('Inputs (2)'!$D$68:$AL$68,MATCH(AC$7,'Inputs (2)'!$D$2:$AL$2,0)),""))/1000,"")</f>
        <v>641.1161934</v>
      </c>
      <c r="AD54" s="265">
        <f>IFERROR(SUM(IFERROR(INDEX('Inputs (2)'!$D$64:$AL$64,MATCH(AD$7,'Inputs (2)'!$D$2:$AL$2,0)),""),IFERROR(INDEX('Inputs (2)'!$D$65:$AL$65,MATCH(AD$7,'Inputs (2)'!$D$2:$AL$2,0)),""),IFERROR(INDEX('Inputs (2)'!$D$66:$AL$66,MATCH(AD$7,'Inputs (2)'!$D$2:$AL$2,0)),""),IFERROR(INDEX('Inputs (2)'!$D$67:$AL$67,MATCH(AD$7,'Inputs (2)'!$D$2:$AL$2,0)),""),IFERROR(INDEX('Inputs (2)'!$D$68:$AL$68,MATCH(AD$7,'Inputs (2)'!$D$2:$AL$2,0)),""))/1000,"")</f>
        <v>651.8692634</v>
      </c>
      <c r="AE54" s="265">
        <f>IFERROR(SUM(IFERROR(INDEX('Inputs (2)'!$D$64:$AL$64,MATCH(AE$7,'Inputs (2)'!$D$2:$AL$2,0)),""),IFERROR(INDEX('Inputs (2)'!$D$65:$AL$65,MATCH(AE$7,'Inputs (2)'!$D$2:$AL$2,0)),""),IFERROR(INDEX('Inputs (2)'!$D$66:$AL$66,MATCH(AE$7,'Inputs (2)'!$D$2:$AL$2,0)),""),IFERROR(INDEX('Inputs (2)'!$D$67:$AL$67,MATCH(AE$7,'Inputs (2)'!$D$2:$AL$2,0)),""),IFERROR(INDEX('Inputs (2)'!$D$68:$AL$68,MATCH(AE$7,'Inputs (2)'!$D$2:$AL$2,0)),""))/1000,"")</f>
        <v>793.1379034</v>
      </c>
      <c r="AF54" s="265">
        <f>IFERROR(SUM(IFERROR(INDEX('Inputs (2)'!$D$64:$AL$64,MATCH(AF$7,'Inputs (2)'!$D$2:$AL$2,0)),""),IFERROR(INDEX('Inputs (2)'!$D$65:$AL$65,MATCH(AF$7,'Inputs (2)'!$D$2:$AL$2,0)),""),IFERROR(INDEX('Inputs (2)'!$D$66:$AL$66,MATCH(AF$7,'Inputs (2)'!$D$2:$AL$2,0)),""),IFERROR(INDEX('Inputs (2)'!$D$67:$AL$67,MATCH(AF$7,'Inputs (2)'!$D$2:$AL$2,0)),""),IFERROR(INDEX('Inputs (2)'!$D$68:$AL$68,MATCH(AF$7,'Inputs (2)'!$D$2:$AL$2,0)),""))/1000,"")</f>
        <v>801.4522334</v>
      </c>
      <c r="AG54" s="266">
        <f>IF(COUNT(AF54)=0,"",AF54)</f>
        <v>801.4522334</v>
      </c>
      <c r="AH54" s="266">
        <f>IFERROR(SUM(IFERROR(INDEX('Inputs (2)'!$D$64:$AL$64,MATCH(AH$7,'Inputs (2)'!$D$2:$AL$2,0)),""),IFERROR(INDEX('Inputs (2)'!$D$65:$AL$65,MATCH(AH$7,'Inputs (2)'!$D$2:$AL$2,0)),""),IFERROR(INDEX('Inputs (2)'!$D$66:$AL$66,MATCH(AH$7,'Inputs (2)'!$D$2:$AL$2,0)),""),IFERROR(INDEX('Inputs (2)'!$D$67:$AL$67,MATCH(AH$7,'Inputs (2)'!$D$2:$AL$2,0)),""),IFERROR(INDEX('Inputs (2)'!$D$68:$AL$68,MATCH(AH$7,'Inputs (2)'!$D$2:$AL$2,0)),""))/1000,"")</f>
        <v>812.724</v>
      </c>
      <c r="AI54" s="266">
        <f>IFERROR(SUM(IFERROR(INDEX('Inputs (2)'!$D$64:$AL$64,MATCH(AI$7,'Inputs (2)'!$D$2:$AL$2,0)),""),IFERROR(INDEX('Inputs (2)'!$D$65:$AL$65,MATCH(AI$7,'Inputs (2)'!$D$2:$AL$2,0)),""),IFERROR(INDEX('Inputs (2)'!$D$66:$AL$66,MATCH(AI$7,'Inputs (2)'!$D$2:$AL$2,0)),""),IFERROR(INDEX('Inputs (2)'!$D$67:$AL$67,MATCH(AI$7,'Inputs (2)'!$D$2:$AL$2,0)),""),IFERROR(INDEX('Inputs (2)'!$D$68:$AL$68,MATCH(AI$7,'Inputs (2)'!$D$2:$AL$2,0)),""))/1000,"")</f>
        <v>826.3681034</v>
      </c>
    </row>
    <row r="55">
      <c r="C55" s="14" t="inlineStr">
        <is>
          <t xml:space="preserve">   % YoY area de vendas</t>
        </is>
      </c>
      <c r="D55" s="268" t="str">
        <f>""</f>
        <v/>
      </c>
      <c r="E55" s="268" t="str">
        <f>""</f>
        <v/>
      </c>
      <c r="F55" s="268" t="str">
        <f>""</f>
        <v/>
      </c>
      <c r="G55" s="268" t="str">
        <f>""</f>
        <v/>
      </c>
      <c r="H55" s="269" t="str">
        <f>""</f>
        <v/>
      </c>
      <c r="I55" s="268">
        <f>IFERROR(I54/D54-1,"")</f>
        <v>0.293419743492267</v>
      </c>
      <c r="J55" s="268">
        <f>IFERROR(J54/E54-1,"")</f>
        <v>0.284774831026102</v>
      </c>
      <c r="K55" s="268">
        <f>IFERROR(K54/F54-1,"")</f>
        <v>0.281576925006143</v>
      </c>
      <c r="L55" s="268">
        <f>IFERROR(L54/G54-1,"")</f>
        <v>0.24043745727918</v>
      </c>
      <c r="M55" s="269">
        <f>IFERROR(M54/H54-1,"")</f>
        <v>0.24043745727918</v>
      </c>
      <c r="N55" s="268">
        <f>IFERROR(N54/I54-1,"")</f>
        <v>0.294055153857831</v>
      </c>
      <c r="O55" s="268">
        <f>IFERROR(O54/J54-1,"")</f>
        <v>0.253120624403912</v>
      </c>
      <c r="P55" s="268">
        <f>IFERROR(P54/K54-1,"")</f>
        <v>0.238200161755252</v>
      </c>
      <c r="Q55" s="268">
        <f>IFERROR(Q54/L54-1,"")</f>
        <v>0.227213990245864</v>
      </c>
      <c r="R55" s="269">
        <f>IFERROR(R54/M54-1,"")</f>
        <v>0.227213990245864</v>
      </c>
      <c r="S55" s="268">
        <f>IFERROR(S54/N54-1,"")</f>
        <v>0.144535475041752</v>
      </c>
      <c r="T55" s="268">
        <f>IFERROR(T54/O54-1,"")</f>
        <v>0.125750775703279</v>
      </c>
      <c r="U55" s="268">
        <f>IFERROR(U54/P54-1,"")</f>
        <v>0.139781330366078</v>
      </c>
      <c r="V55" s="268">
        <f>IFERROR(V54/Q54-1,"")</f>
        <v>0.17245722840171</v>
      </c>
      <c r="W55" s="269">
        <f>IFERROR(W54/R54-1,"")</f>
        <v>0.17245722840171</v>
      </c>
      <c r="X55" s="268">
        <f>IFERROR(X54/S54-1,"")</f>
        <v>0.14558080568593</v>
      </c>
      <c r="Y55" s="268">
        <f>IFERROR(Y54/T54-1,"")</f>
        <v>0.149484172992124</v>
      </c>
      <c r="Z55" s="268">
        <f>IFERROR(Z54/U54-1,"")</f>
        <v>0.134818813017444</v>
      </c>
      <c r="AA55" s="268">
        <f>IFERROR(AA54/V54-1,"")</f>
        <v>0.0778825469143762</v>
      </c>
      <c r="AB55" s="269">
        <f>IFERROR(AB54/W54-1,"")</f>
        <v>0.0778825469143762</v>
      </c>
      <c r="AC55" s="268">
        <f>IFERROR(AC54/X54-1,"")</f>
        <v>0.0801754194337323</v>
      </c>
      <c r="AD55" s="268">
        <f>IFERROR(AD54/Y54-1,"")</f>
        <v>0.0801954427809375</v>
      </c>
      <c r="AE55" s="268">
        <f>IFERROR(AE54/Z54-1,"")</f>
        <v>0.283759242103236</v>
      </c>
      <c r="AF55" s="268">
        <f>IFERROR(AF54/AA54-1,"")</f>
        <v>0.267105928451662</v>
      </c>
      <c r="AG55" s="269">
        <f>IFERROR(AG54/AB54-1,"")</f>
        <v>0.267105928451662</v>
      </c>
      <c r="AH55" s="269">
        <f>IFERROR(AH54/AC54-1,"")</f>
        <v>0.267670366723886</v>
      </c>
      <c r="AI55" s="269">
        <f>IFERROR(AI54/AD54-1,"")</f>
        <v>0.267689933852463</v>
      </c>
    </row>
    <row r="56">
      <c r="C56" s="14" t="inlineStr">
        <is>
          <t>SSS consolidado (% YoY, sem ajuste calendario)</t>
        </is>
      </c>
      <c r="D56" s="268">
        <f>IFERROR(INDEX('Inputs (2)'!$D$69:$AL$69,MATCH(D$7,'Inputs (2)'!$D$2:$AL$2,0)),"")</f>
        <v>0.07</v>
      </c>
      <c r="E56" s="268">
        <f>IFERROR(INDEX('Inputs (2)'!$D$69:$AL$69,MATCH(E$7,'Inputs (2)'!$D$2:$AL$2,0)),"")</f>
        <v>0.238</v>
      </c>
      <c r="F56" s="268">
        <f>IFERROR(INDEX('Inputs (2)'!$D$69:$AL$69,MATCH(F$7,'Inputs (2)'!$D$2:$AL$2,0)),"")</f>
        <v>0.237</v>
      </c>
      <c r="G56" s="268">
        <f>IFERROR(INDEX('Inputs (2)'!$D$69:$AL$69,MATCH(G$7,'Inputs (2)'!$D$2:$AL$2,0)),"")</f>
        <v>0.213</v>
      </c>
      <c r="H56" s="269" t="n"/>
      <c r="I56" s="268">
        <f>IFERROR(INDEX('Inputs (2)'!$D$69:$AL$69,MATCH(I$7,'Inputs (2)'!$D$2:$AL$2,0)),"")</f>
        <v>0.1</v>
      </c>
      <c r="J56" s="268">
        <f>IFERROR(INDEX('Inputs (2)'!$D$69:$AL$69,MATCH(J$7,'Inputs (2)'!$D$2:$AL$2,0)),"")</f>
        <v>0.018</v>
      </c>
      <c r="K56" s="268">
        <f>IFERROR(INDEX('Inputs (2)'!$D$69:$AL$69,MATCH(K$7,'Inputs (2)'!$D$2:$AL$2,0)),"")</f>
        <v>0.015</v>
      </c>
      <c r="L56" s="268">
        <f>IFERROR(INDEX('Inputs (2)'!$D$69:$AL$69,MATCH(L$7,'Inputs (2)'!$D$2:$AL$2,0)),"")</f>
        <v>0.014</v>
      </c>
      <c r="M56" s="269" t="n"/>
      <c r="N56" s="268">
        <f>IFERROR(INDEX('Inputs (2)'!$D$69:$AL$69,MATCH(N$7,'Inputs (2)'!$D$2:$AL$2,0)),"")</f>
        <v>0.127</v>
      </c>
      <c r="O56" s="268">
        <f>IFERROR(INDEX('Inputs (2)'!$D$69:$AL$69,MATCH(O$7,'Inputs (2)'!$D$2:$AL$2,0)),"")</f>
        <v>0.167</v>
      </c>
      <c r="P56" s="268">
        <f>IFERROR(INDEX('Inputs (2)'!$D$69:$AL$69,MATCH(P$7,'Inputs (2)'!$D$2:$AL$2,0)),"")</f>
        <v>0.117</v>
      </c>
      <c r="Q56" s="268">
        <f>IFERROR(INDEX('Inputs (2)'!$D$69:$AL$69,MATCH(Q$7,'Inputs (2)'!$D$2:$AL$2,0)),"")</f>
        <v>0.117</v>
      </c>
      <c r="R56" s="269" t="n"/>
      <c r="S56" s="268">
        <f>IFERROR(INDEX('Inputs (2)'!$D$69:$AL$69,MATCH(S$7,'Inputs (2)'!$D$2:$AL$2,0)),"")</f>
        <v>0.113</v>
      </c>
      <c r="T56" s="268">
        <f>IFERROR(INDEX('Inputs (2)'!$D$69:$AL$69,MATCH(T$7,'Inputs (2)'!$D$2:$AL$2,0)),"")</f>
        <v>0.104</v>
      </c>
      <c r="U56" s="268">
        <f>IFERROR(INDEX('Inputs (2)'!$D$69:$AL$69,MATCH(U$7,'Inputs (2)'!$D$2:$AL$2,0)),"")</f>
        <v>0.043</v>
      </c>
      <c r="V56" s="268">
        <f>IFERROR(INDEX('Inputs (2)'!$D$69:$AL$69,MATCH(V$7,'Inputs (2)'!$D$2:$AL$2,0)),"")</f>
        <v>0.088</v>
      </c>
      <c r="W56" s="269" t="n"/>
      <c r="X56" s="268">
        <f>IFERROR(INDEX('Inputs (2)'!$D$69:$AL$69,MATCH(X$7,'Inputs (2)'!$D$2:$AL$2,0)),"")</f>
        <v>0.096</v>
      </c>
      <c r="Y56" s="268">
        <f>IFERROR(INDEX('Inputs (2)'!$D$69:$AL$69,MATCH(Y$7,'Inputs (2)'!$D$2:$AL$2,0)),"")</f>
        <v>0.048</v>
      </c>
      <c r="Z56" s="268">
        <f>IFERROR(INDEX('Inputs (2)'!$D$69:$AL$69,MATCH(Z$7,'Inputs (2)'!$D$2:$AL$2,0)),"")</f>
        <v>0.077</v>
      </c>
      <c r="AA56" s="268">
        <f>IFERROR(INDEX('Inputs (2)'!$D$69:$AL$69,MATCH(AA$7,'Inputs (2)'!$D$2:$AL$2,0)),"")</f>
        <v>0.059</v>
      </c>
      <c r="AB56" s="269" t="n"/>
      <c r="AC56" s="268">
        <f>IFERROR(INDEX('Inputs (2)'!$D$69:$AL$69,MATCH(AC$7,'Inputs (2)'!$D$2:$AL$2,0)),"")</f>
        <v>0.052</v>
      </c>
      <c r="AD56" s="268">
        <f>IFERROR(INDEX('Inputs (2)'!$D$69:$AL$69,MATCH(AD$7,'Inputs (2)'!$D$2:$AL$2,0)),"")</f>
        <v>0.061</v>
      </c>
      <c r="AE56" s="268">
        <f>IFERROR(INDEX('Inputs (2)'!$D$69:$AL$69,MATCH(AE$7,'Inputs (2)'!$D$2:$AL$2,0)),"")</f>
        <v>0.028</v>
      </c>
      <c r="AF56" s="268">
        <f>IFERROR(INDEX('Inputs (2)'!$D$69:$AL$69,MATCH(AF$7,'Inputs (2)'!$D$2:$AL$2,0)),"")</f>
        <v>-0.011</v>
      </c>
      <c r="AG56" s="269" t="n"/>
      <c r="AH56" s="269">
        <f>IFERROR(INDEX('Inputs (2)'!$D$69:$AL$69,MATCH(AH$7,'Inputs (2)'!$D$2:$AL$2,0)),"")</f>
        <v>-0.073</v>
      </c>
      <c r="AI56" s="269">
        <f>IFERROR(INDEX('Inputs (2)'!$D$69:$AL$69,MATCH(AI$7,'Inputs (2)'!$D$2:$AL$2,0)),"")</f>
        <v>-0.08</v>
      </c>
    </row>
    <row r="57">
      <c r="C57" s="14" t="inlineStr">
        <is>
          <t>Receita bruta por m2 - Atacarejo (R$/m2/mes, area media)</t>
        </is>
      </c>
      <c r="D57" s="265" t="str">
        <f>""</f>
        <v/>
      </c>
      <c r="E57" s="265">
        <f>IFERROR(E19*1000/AVERAGE(E51,D51)/3,"")</f>
        <v>3756.96310173321</v>
      </c>
      <c r="F57" s="265">
        <f>IFERROR(F19*1000/AVERAGE(F51,E51)/3,"")</f>
        <v>4376.95939311201</v>
      </c>
      <c r="G57" s="265">
        <f>IFERROR(G19*1000/AVERAGE(G51,F51)/3,"")</f>
        <v>4436.55408287298</v>
      </c>
      <c r="H57" s="266" t="n"/>
      <c r="I57" s="265">
        <f>IFERROR(I19*1000/AVERAGE(I51,G51)/3,"")</f>
        <v>3639.34148148904</v>
      </c>
      <c r="J57" s="265">
        <f>IFERROR(J19*1000/AVERAGE(J51,I51)/3,"")</f>
        <v>3720.29394666174</v>
      </c>
      <c r="K57" s="265">
        <f>IFERROR(K19*1000/AVERAGE(K51,J51)/3,"")</f>
        <v>4156.66299748283</v>
      </c>
      <c r="L57" s="265">
        <f>IFERROR(L19*1000/AVERAGE(L51,K51)/3,"")</f>
        <v>4144.9826527889</v>
      </c>
      <c r="M57" s="266">
        <f>IFERROR(M19*1000/AVERAGE(M51,H51)/12,"")</f>
        <v>3951.45676406693</v>
      </c>
      <c r="N57" s="265">
        <f>IFERROR(N19*1000/AVERAGE(N51,L51)/3,"")</f>
        <v>3802.93706547587</v>
      </c>
      <c r="O57" s="265">
        <f>IFERROR(O19*1000/AVERAGE(O51,N51)/3,"")</f>
        <v>4074.21802855261</v>
      </c>
      <c r="P57" s="265">
        <f>IFERROR(P19*1000/AVERAGE(P51,O51)/3,"")</f>
        <v>4581.24967481426</v>
      </c>
      <c r="Q57" s="265">
        <f>IFERROR(Q19*1000/AVERAGE(Q51,P51)/3,"")</f>
        <v>4426.76537958216</v>
      </c>
      <c r="R57" s="266">
        <f>IFERROR(R19*1000/AVERAGE(R51,M51)/12,"")</f>
        <v>4302.53716482988</v>
      </c>
      <c r="S57" s="265">
        <f>IFERROR(S19*1000/AVERAGE(S51,Q51)/3,"")</f>
        <v>4060.25952496257</v>
      </c>
      <c r="T57" s="265">
        <f>IFERROR(T19*1000/AVERAGE(T51,S51)/3,"")</f>
        <v>4318.91025604679</v>
      </c>
      <c r="U57" s="265">
        <f>IFERROR(U19*1000/AVERAGE(U51,T51)/3,"")</f>
        <v>4484.56759260756</v>
      </c>
      <c r="V57" s="265">
        <f>IFERROR(V19*1000/AVERAGE(V51,U51)/3,"")</f>
        <v>4631.67114151925</v>
      </c>
      <c r="W57" s="266">
        <f>IFERROR(W19*1000/AVERAGE(W51,R51)/12,"")</f>
        <v>4240.9428915955</v>
      </c>
      <c r="X57" s="265">
        <f>IFERROR(X19*1000/AVERAGE(X51,V51)/3,"")</f>
        <v>4258.78650480545</v>
      </c>
      <c r="Y57" s="265">
        <f>IFERROR(Y19*1000/AVERAGE(Y51,X51)/3,"")</f>
        <v>4252.80327327613</v>
      </c>
      <c r="Z57" s="265">
        <f>IFERROR(Z19*1000/AVERAGE(Z51,Y51)/3,"")</f>
        <v>4600.61208640536</v>
      </c>
      <c r="AA57" s="265">
        <f>IFERROR(AA19*1000/AVERAGE(AA51,Z51)/3,"")</f>
        <v>4724.79821324435</v>
      </c>
      <c r="AB57" s="266">
        <f>IFERROR(AB19*1000/AVERAGE(AB51,W51)/12,"")</f>
        <v>4444.27357653827</v>
      </c>
      <c r="AC57" s="265">
        <f>IFERROR(AC19*1000/AVERAGE(AC51,AA51)/3,"")</f>
        <v>4327.1275394587</v>
      </c>
      <c r="AD57" s="265">
        <f>IFERROR(AD19*1000/AVERAGE(AD51,AC51)/3,"")</f>
        <v>4433.17223715868</v>
      </c>
      <c r="AE57" s="265">
        <f>IFERROR(AE19*1000/AVERAGE(AE51,AD51)/3,"")</f>
        <v>5042.72797132518</v>
      </c>
      <c r="AF57" s="265">
        <f>IFERROR(AF19*1000/AVERAGE(AF51,AE51)/3,"")</f>
        <v>4238.81195144415</v>
      </c>
      <c r="AG57" s="266">
        <f>IFERROR(AG19*1000/AVERAGE(AG51,AB51)/12,"")</f>
        <v>4333.77695323714</v>
      </c>
      <c r="AH57" s="266" t="str">
        <f>IFERROR(AH19*1000/AVERAGE(AH51,AF51)/3,"")</f>
        <v/>
      </c>
      <c r="AI57" s="266" t="str">
        <f>IFERROR(AI19*1000/AVERAGE(AI51,AH51)/3,"")</f>
        <v/>
      </c>
    </row>
    <row r="58">
      <c r="C58" s="14" t="inlineStr">
        <is>
          <t>Receita bruta por m2 - Varejo (R$/m2/mes, area media)</t>
        </is>
      </c>
      <c r="D58" s="265" t="str">
        <f>""</f>
        <v/>
      </c>
      <c r="E58" s="265">
        <f>IFERROR(E20*1000/AVERAGE(E52,D52)/3,"")</f>
        <v>4016.8109204004</v>
      </c>
      <c r="F58" s="265">
        <f>IFERROR(F20*1000/AVERAGE(F52,E52)/3,"")</f>
        <v>4572.80929546127</v>
      </c>
      <c r="G58" s="265">
        <f>IFERROR(G20*1000/AVERAGE(G52,F52)/3,"")</f>
        <v>4870.15603911199</v>
      </c>
      <c r="H58" s="266" t="n"/>
      <c r="I58" s="265">
        <f>IFERROR(I20*1000/AVERAGE(I52,G52)/3,"")</f>
        <v>4137.3471785445</v>
      </c>
      <c r="J58" s="265">
        <f>IFERROR(J20*1000/AVERAGE(J52,I52)/3,"")</f>
        <v>4272.95160326193</v>
      </c>
      <c r="K58" s="265">
        <f>IFERROR(K20*1000/AVERAGE(K52,J52)/3,"")</f>
        <v>4958.92174281037</v>
      </c>
      <c r="L58" s="265">
        <f>IFERROR(L20*1000/AVERAGE(L52,K52)/3,"")</f>
        <v>4809.0574411547</v>
      </c>
      <c r="M58" s="266">
        <f>IFERROR(M20*1000/AVERAGE(M52,H52)/12,"")</f>
        <v>4553.48488786692</v>
      </c>
      <c r="N58" s="265">
        <f>IFERROR(N20*1000/AVERAGE(N52,L52)/3,"")</f>
        <v>4415.34827781947</v>
      </c>
      <c r="O58" s="265">
        <f>IFERROR(O20*1000/AVERAGE(O52,N52)/3,"")</f>
        <v>4592.15596343262</v>
      </c>
      <c r="P58" s="265">
        <f>IFERROR(P20*1000/AVERAGE(P52,O52)/3,"")</f>
        <v>5102.98743783437</v>
      </c>
      <c r="Q58" s="265">
        <f>IFERROR(Q20*1000/AVERAGE(Q52,P52)/3,"")</f>
        <v>5221.15747210577</v>
      </c>
      <c r="R58" s="266">
        <f>IFERROR(R20*1000/AVERAGE(R52,M52)/12,"")</f>
        <v>5020.02701730169</v>
      </c>
      <c r="S58" s="265">
        <f>IFERROR(S20*1000/AVERAGE(S52,Q52)/3,"")</f>
        <v>4871.7863401433</v>
      </c>
      <c r="T58" s="265">
        <f>IFERROR(T20*1000/AVERAGE(T52,S52)/3,"")</f>
        <v>5181.78342243406</v>
      </c>
      <c r="U58" s="265">
        <f>IFERROR(U20*1000/AVERAGE(U52,T52)/3,"")</f>
        <v>5573.66247076346</v>
      </c>
      <c r="V58" s="265">
        <f>IFERROR(V20*1000/AVERAGE(V52,U52)/3,"")</f>
        <v>5635.7039050642</v>
      </c>
      <c r="W58" s="266">
        <f>IFERROR(W20*1000/AVERAGE(W52,R52)/12,"")</f>
        <v>5299.38781406556</v>
      </c>
      <c r="X58" s="265">
        <f>IFERROR(X20*1000/AVERAGE(X52,V52)/3,"")</f>
        <v>5456.7480354635</v>
      </c>
      <c r="Y58" s="265">
        <f>IFERROR(Y20*1000/AVERAGE(Y52,X52)/3,"")</f>
        <v>5444.14934669133</v>
      </c>
      <c r="Z58" s="265">
        <f>IFERROR(Z20*1000/AVERAGE(Z52,Y52)/3,"")</f>
        <v>5667.54933797667</v>
      </c>
      <c r="AA58" s="265">
        <f>IFERROR(AA20*1000/AVERAGE(AA52,Z52)/3,"")</f>
        <v>5754.76281230756</v>
      </c>
      <c r="AB58" s="266">
        <f>IFERROR(AB20*1000/AVERAGE(AB52,W52)/12,"")</f>
        <v>5510.46615168118</v>
      </c>
      <c r="AC58" s="265">
        <f>IFERROR(AC20*1000/AVERAGE(AC52,AA52)/3,"")</f>
        <v>5264.89300989714</v>
      </c>
      <c r="AD58" s="265">
        <f>IFERROR(AD20*1000/AVERAGE(AD52,AC52)/3,"")</f>
        <v>5295.74691613725</v>
      </c>
      <c r="AE58" s="265">
        <f>IFERROR(AE20*1000/AVERAGE(AE52,AD52)/3,"")</f>
        <v>5481.48325298577</v>
      </c>
      <c r="AF58" s="265">
        <f>IFERROR(AF20*1000/AVERAGE(AF52,AE52)/3,"")</f>
        <v>5570.11493638339</v>
      </c>
      <c r="AG58" s="266">
        <f>IFERROR(AG20*1000/AVERAGE(AG52,AB52)/12,"")</f>
        <v>5330.1373009404</v>
      </c>
      <c r="AH58" s="266" t="str">
        <f>IFERROR(AH20*1000/AVERAGE(AH52,AF52)/3,"")</f>
        <v/>
      </c>
      <c r="AI58" s="266" t="str">
        <f>IFERROR(AI20*1000/AVERAGE(AI52,AH52)/3,"")</f>
        <v/>
      </c>
    </row>
    <row r="59">
      <c r="C59" s="14" t="inlineStr">
        <is>
          <t>Receita bruta por m2 - Eletro (R$/m2/mes, area media)</t>
        </is>
      </c>
      <c r="D59" s="265" t="str">
        <f>""</f>
        <v/>
      </c>
      <c r="E59" s="265">
        <f>IFERROR(E21*1000/AVERAGE(E53,D53)/3,"")</f>
        <v>735.514737176621</v>
      </c>
      <c r="F59" s="265">
        <f>IFERROR(F21*1000/AVERAGE(F53,E53)/3,"")</f>
        <v>1139.74022470928</v>
      </c>
      <c r="G59" s="265">
        <f>IFERROR(G21*1000/AVERAGE(G53,F53)/3,"")</f>
        <v>1150.34943039956</v>
      </c>
      <c r="H59" s="266" t="n"/>
      <c r="I59" s="265">
        <f>IFERROR(I21*1000/AVERAGE(I53,G53)/3,"")</f>
        <v>794.762515025979</v>
      </c>
      <c r="J59" s="265">
        <f>IFERROR(J21*1000/AVERAGE(J53,I53)/3,"")</f>
        <v>933.895315408154</v>
      </c>
      <c r="K59" s="265">
        <f>IFERROR(K21*1000/AVERAGE(K53,J53)/3,"")</f>
        <v>961.094249489146</v>
      </c>
      <c r="L59" s="265">
        <f>IFERROR(L21*1000/AVERAGE(L53,K53)/3,"")</f>
        <v>1020.12653761367</v>
      </c>
      <c r="M59" s="266">
        <f>IFERROR(M21*1000/AVERAGE(M53,H53)/12,"")</f>
        <v>929.416713389706</v>
      </c>
      <c r="N59" s="265">
        <f>IFERROR(N21*1000/AVERAGE(N53,L53)/3,"")</f>
        <v>865.300438396355</v>
      </c>
      <c r="O59" s="265">
        <f>IFERROR(O21*1000/AVERAGE(O53,N53)/3,"")</f>
        <v>937.318102748077</v>
      </c>
      <c r="P59" s="265">
        <f>IFERROR(P21*1000/AVERAGE(P53,O53)/3,"")</f>
        <v>965.10055644079</v>
      </c>
      <c r="Q59" s="265">
        <f>IFERROR(Q21*1000/AVERAGE(Q53,P53)/3,"")</f>
        <v>983.313970130154</v>
      </c>
      <c r="R59" s="266">
        <f>IFERROR(R21*1000/AVERAGE(R53,M53)/12,"")</f>
        <v>945.776603671341</v>
      </c>
      <c r="S59" s="265">
        <f>IFERROR(S21*1000/AVERAGE(S53,Q53)/3,"")</f>
        <v>781.131116913847</v>
      </c>
      <c r="T59" s="265">
        <f>IFERROR(T21*1000/AVERAGE(T53,S53)/3,"")</f>
        <v>981.165673878852</v>
      </c>
      <c r="U59" s="265">
        <f>IFERROR(U21*1000/AVERAGE(U53,T53)/3,"")</f>
        <v>1059.27949283843</v>
      </c>
      <c r="V59" s="265">
        <f>IFERROR(V21*1000/AVERAGE(V53,U53)/3,"")</f>
        <v>1134.78516207142</v>
      </c>
      <c r="W59" s="266">
        <f>IFERROR(W21*1000/AVERAGE(W53,R53)/12,"")</f>
        <v>991.657735879247</v>
      </c>
      <c r="X59" s="265">
        <f>IFERROR(X21*1000/AVERAGE(X53,V53)/3,"")</f>
        <v>876.49782900555</v>
      </c>
      <c r="Y59" s="265">
        <f>IFERROR(Y21*1000/AVERAGE(Y53,X53)/3,"")</f>
        <v>1058.4754244184</v>
      </c>
      <c r="Z59" s="265">
        <f>IFERROR(Z21*1000/AVERAGE(Z53,Y53)/3,"")</f>
        <v>1133.78701972323</v>
      </c>
      <c r="AA59" s="265">
        <f>IFERROR(AA21*1000/AVERAGE(AA53,Z53)/3,"")</f>
        <v>1195.58553345557</v>
      </c>
      <c r="AB59" s="266">
        <f>IFERROR(AB21*1000/AVERAGE(AB53,W53)/12,"")</f>
        <v>1065.02057355805</v>
      </c>
      <c r="AC59" s="265">
        <f>IFERROR(AC21*1000/AVERAGE(AC53,AA53)/3,"")</f>
        <v>858.318729665302</v>
      </c>
      <c r="AD59" s="265">
        <f>IFERROR(AD21*1000/AVERAGE(AD53,AC53)/3,"")</f>
        <v>972.20685234554</v>
      </c>
      <c r="AE59" s="265">
        <f>IFERROR(AE21*1000/AVERAGE(AE53,AD53)/3,"")</f>
        <v>1056.71126660325</v>
      </c>
      <c r="AF59" s="265">
        <f>IFERROR(AF21*1000/AVERAGE(AF53,AE53)/3,"")</f>
        <v>1416.16148552081</v>
      </c>
      <c r="AG59" s="266">
        <f>IFERROR(AG21*1000/AVERAGE(AG53,AB53)/12,"")</f>
        <v>1123.13321476242</v>
      </c>
      <c r="AH59" s="266" t="str">
        <f>IFERROR(AH21*1000/AVERAGE(AH53,AF53)/3,"")</f>
        <v/>
      </c>
      <c r="AI59" s="266" t="str">
        <f>IFERROR(AI21*1000/AVERAGE(AI53,AH53)/3,"")</f>
        <v/>
      </c>
    </row>
    <row r="60"/>
    <row r="61"/>
    <row r="62" hidden="1" outlineLevel="1" customFormat="1" s="23">
      <c r="A62" s="18" t="n"/>
      <c r="B62" s="19" t="n"/>
      <c r="C62" s="20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</row>
    <row r="63" hidden="1" outlineLevel="1" customFormat="1" s="23">
      <c r="A63" s="18" t="n"/>
      <c r="B63" s="19" t="n"/>
      <c r="C63" s="20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</row>
    <row r="64" collapsed="1">
      <c r="C64" s="24" t="inlineStr">
        <is>
          <t>COGS (cash)</t>
        </is>
      </c>
      <c r="D64" s="25">
        <f>INDEX('Inputs (2)'!$D$5:$AL$5,MATCH(D$7,'Inputs (2)'!$D$2:$AL$2,0))</f>
        <v>-1805.748</v>
      </c>
      <c r="E64" s="25">
        <f>INDEX('Inputs (2)'!$D$5:$AL$5,MATCH(E$7,'Inputs (2)'!$D$2:$AL$2,0))</f>
        <v>-2195.072</v>
      </c>
      <c r="F64" s="25">
        <f>INDEX('Inputs (2)'!$D$5:$AL$5,MATCH(F$7,'Inputs (2)'!$D$2:$AL$2,0))</f>
        <v>-2625.787</v>
      </c>
      <c r="G64" s="25">
        <f>INDEX('Inputs (2)'!$D$5:$AL$5,MATCH(G$7,'Inputs (2)'!$D$2:$AL$2,0))</f>
        <v>-2781.01990703</v>
      </c>
      <c r="H64" s="3">
        <f>SUM(D64:G64)</f>
        <v>-9407.62690703</v>
      </c>
      <c r="I64" s="25">
        <f>INDEX('Inputs (2)'!$D$5:$AL$5,MATCH(I$7,'Inputs (2)'!$D$2:$AL$2,0))</f>
        <v>-2560.194066782</v>
      </c>
      <c r="J64" s="25">
        <f>INDEX('Inputs (2)'!$D$5:$AL$5,MATCH(J$7,'Inputs (2)'!$D$2:$AL$2,0))</f>
        <v>-2861.69234466941</v>
      </c>
      <c r="K64" s="25">
        <f>INDEX('Inputs (2)'!$D$5:$AL$5,MATCH(K$7,'Inputs (2)'!$D$2:$AL$2,0))</f>
        <v>-3311.219</v>
      </c>
      <c r="L64" s="25">
        <f>INDEX('Inputs (2)'!$D$5:$AL$5,MATCH(L$7,'Inputs (2)'!$D$2:$AL$2,0))</f>
        <v>-3441.3095885486</v>
      </c>
      <c r="M64" s="3">
        <f>SUM(I64:L64)</f>
        <v>-12174.415</v>
      </c>
      <c r="N64" s="25">
        <f>INDEX('Inputs (2)'!$D$5:$AL$5,MATCH(N$7,'Inputs (2)'!$D$2:$AL$2,0))</f>
        <v>-3553.06734589342</v>
      </c>
      <c r="O64" s="25">
        <f>INDEX('Inputs (2)'!$D$5:$AL$5,MATCH(O$7,'Inputs (2)'!$D$2:$AL$2,0))</f>
        <v>-4019.431</v>
      </c>
      <c r="P64" s="25">
        <f>INDEX('Inputs (2)'!$D$5:$AL$5,MATCH(P$7,'Inputs (2)'!$D$2:$AL$2,0))</f>
        <v>-4568.982</v>
      </c>
      <c r="Q64" s="25">
        <f>INDEX('Inputs (2)'!$D$5:$AL$5,MATCH(Q$7,'Inputs (2)'!$D$2:$AL$2,0))</f>
        <v>-4752.90496333213</v>
      </c>
      <c r="R64" s="3">
        <f>SUM(N64:Q64)</f>
        <v>-16894.3853092256</v>
      </c>
      <c r="S64" s="25">
        <f>INDEX('Inputs (2)'!$D$5:$AL$5,MATCH(S$7,'Inputs (2)'!$D$2:$AL$2,0))</f>
        <v>-4574.50571434321</v>
      </c>
      <c r="T64" s="25">
        <f>INDEX('Inputs (2)'!$D$5:$AL$5,MATCH(T$7,'Inputs (2)'!$D$2:$AL$2,0))</f>
        <v>-4985.038</v>
      </c>
      <c r="U64" s="25">
        <f>INDEX('Inputs (2)'!$D$5:$AL$5,MATCH(U$7,'Inputs (2)'!$D$2:$AL$2,0))</f>
        <v>-5374.203</v>
      </c>
      <c r="V64" s="25">
        <f>INDEX('Inputs (2)'!$D$5:$AL$5,MATCH(V$7,'Inputs (2)'!$D$2:$AL$2,0))</f>
        <v>-5849.00333064679</v>
      </c>
      <c r="W64" s="3">
        <f>SUM(S64:V64)</f>
        <v>-20782.75004499</v>
      </c>
      <c r="X64" s="25">
        <f>INDEX('Inputs (2)'!$D$5:$AL$5,MATCH(X$7,'Inputs (2)'!$D$2:$AL$2,0))</f>
        <v>-5732.716</v>
      </c>
      <c r="Y64" s="25">
        <f>INDEX('Inputs (2)'!$D$5:$AL$5,MATCH(Y$7,'Inputs (2)'!$D$2:$AL$2,0))</f>
        <v>-5926.46</v>
      </c>
      <c r="Z64" s="25">
        <f>INDEX('Inputs (2)'!$D$5:$AL$5,MATCH(Z$7,'Inputs (2)'!$D$2:$AL$2,0))</f>
        <v>-6479.36</v>
      </c>
      <c r="AA64" s="25">
        <f>INDEX('Inputs (2)'!$D$5:$AL$5,MATCH(AA$7,'Inputs (2)'!$D$2:$AL$2,0))</f>
        <v>-6821.183</v>
      </c>
      <c r="AB64" s="3">
        <f>SUM(X64:AA64)</f>
        <v>-24959.719</v>
      </c>
      <c r="AC64" s="25">
        <f>INDEX('Inputs (2)'!$D$5:$AL$5,MATCH(AC$7,'Inputs (2)'!$D$2:$AL$2,0))</f>
        <v>-6478.662</v>
      </c>
      <c r="AD64" s="25">
        <f>INDEX('Inputs (2)'!$D$5:$AL$5,MATCH(AD$7,'Inputs (2)'!$D$2:$AL$2,0))</f>
        <v>-6685.998</v>
      </c>
      <c r="AE64" s="25">
        <f>INDEX('Inputs (2)'!$D$5:$AL$5,MATCH(AE$7,'Inputs (2)'!$D$2:$AL$2,0))</f>
        <v>-8470.764</v>
      </c>
      <c r="AF64" s="25">
        <f>INDEX('Inputs (2)'!$D$5:$AL$5,MATCH(AF$7,'Inputs (2)'!$D$2:$AL$2,0))</f>
        <v>-8175.21744678377</v>
      </c>
      <c r="AG64" s="3">
        <f>SUM(AC64:AF64)</f>
        <v>-29810.6414467838</v>
      </c>
      <c r="AH64" s="3">
        <f>INDEX('Inputs (2)'!$D$5:$AL$5,MATCH(AH$7,'Inputs (2)'!$D$2:$AL$2,0))</f>
        <v>-7251.758</v>
      </c>
      <c r="AI64" s="3">
        <f>INDEX('Inputs (2)'!$D$5:$AL$5,MATCH(AI$7,'Inputs (2)'!$D$2:$AL$2,0))</f>
        <v>-7541.266</v>
      </c>
      <c r="AJ64" s="3">
        <f>(100%-AJ65)*-AJ15</f>
        <v>-10763.538</v>
      </c>
      <c r="AK64" s="3">
        <f>(100%-AK65)*-AK15</f>
        <v>-10549.9226357838</v>
      </c>
      <c r="AL64" s="3">
        <f>SUM(AH64:AK64)</f>
        <v>-36106.4846357838</v>
      </c>
      <c r="AM64" s="3">
        <f>(100%-AM65)*-AM15</f>
        <v>-9402.27</v>
      </c>
      <c r="AN64" s="3">
        <f>(100%-AN65)*-AN15</f>
        <v>-9852.461</v>
      </c>
      <c r="AO64" s="3">
        <f>(100%-AO65)*-AO15</f>
        <v>-10763.538</v>
      </c>
      <c r="AP64" s="3">
        <f>(100%-AP65)*-AP15</f>
        <v>-10549.9226357838</v>
      </c>
      <c r="AQ64" s="3">
        <f>SUM(AM64:AP64)</f>
        <v>-40568.1916357838</v>
      </c>
      <c r="AR64" s="3">
        <f>(100%-AR65)*-AR15</f>
        <v>-9402.27</v>
      </c>
      <c r="AS64" s="3">
        <f>(100%-AS65)*-AS15</f>
        <v>-9852.461</v>
      </c>
      <c r="AT64" s="3">
        <f>(100%-AT65)*-AT15</f>
        <v>-10763.538</v>
      </c>
      <c r="AU64" s="3">
        <f>(100%-AU65)*-AU15</f>
        <v>-10549.9226357838</v>
      </c>
      <c r="AV64" s="3">
        <f>SUM(AR64:AU64)</f>
        <v>-40568.1916357838</v>
      </c>
      <c r="AW64" s="3">
        <f>(100%-AW65)*-AW15</f>
        <v>-9402.27</v>
      </c>
      <c r="AX64" s="3">
        <f>(100%-AX65)*-AX15</f>
        <v>-9852.461</v>
      </c>
      <c r="AY64" s="3">
        <f>(100%-AY65)*-AY15</f>
        <v>-10763.538</v>
      </c>
      <c r="AZ64" s="3">
        <f>(100%-AZ65)*-AZ15</f>
        <v>-10549.9226357838</v>
      </c>
      <c r="BA64" s="3">
        <f>SUM(AW64:AZ64)</f>
        <v>-40568.1916357838</v>
      </c>
      <c r="BB64" s="3">
        <f>(100%-BB65)*-BB15</f>
        <v>-9402.27</v>
      </c>
      <c r="BC64" s="3">
        <f>(100%-BC65)*-BC15</f>
        <v>-9852.461</v>
      </c>
      <c r="BD64" s="3">
        <f>(100%-BD65)*-BD15</f>
        <v>-10763.538</v>
      </c>
      <c r="BE64" s="3">
        <f>(100%-BE65)*-BE15</f>
        <v>-10549.9226357838</v>
      </c>
      <c r="BF64" s="3">
        <f>SUM(BB64:BE64)</f>
        <v>-40568.1916357838</v>
      </c>
      <c r="BG64" s="3">
        <f>(100%-BG65)*-BG15</f>
        <v>-9402.27</v>
      </c>
      <c r="BH64" s="3">
        <f>(100%-BH65)*-BH15</f>
        <v>-9852.461</v>
      </c>
      <c r="BI64" s="3">
        <f>(100%-BI65)*-BI15</f>
        <v>-10763.538</v>
      </c>
      <c r="BJ64" s="3">
        <f>(100%-BJ65)*-BJ15</f>
        <v>-10549.9226357838</v>
      </c>
      <c r="BK64" s="3">
        <f>SUM(BG64:BJ64)</f>
        <v>-40568.1916357838</v>
      </c>
      <c r="BL64" s="3">
        <f>(100%-BL65)*-BL15</f>
        <v>-9402.27</v>
      </c>
      <c r="BM64" s="3">
        <f>(100%-BM65)*-BM15</f>
        <v>-9852.461</v>
      </c>
      <c r="BN64" s="3">
        <f>(100%-BN65)*-BN15</f>
        <v>-10763.538</v>
      </c>
      <c r="BO64" s="3">
        <f>(100%-BO65)*-BO15</f>
        <v>-10549.9226357838</v>
      </c>
      <c r="BP64" s="3">
        <f>SUM(BL64:BO64)</f>
        <v>-40568.1916357838</v>
      </c>
      <c r="BQ64" s="3">
        <f>(100%-BQ65)*-BQ15</f>
        <v>-9402.27</v>
      </c>
      <c r="BR64" s="3">
        <f>(100%-BR65)*-BR15</f>
        <v>-9852.461</v>
      </c>
      <c r="BS64" s="3">
        <f>(100%-BS65)*-BS15</f>
        <v>-10763.538</v>
      </c>
      <c r="BT64" s="3">
        <f>(100%-BT65)*-BT15</f>
        <v>-10549.9226357838</v>
      </c>
      <c r="BU64" s="3">
        <f>SUM(BQ64:BT64)</f>
        <v>-40568.1916357838</v>
      </c>
      <c r="BV64" s="3">
        <f>(100%-BV65)*-BV15</f>
        <v>-9402.27</v>
      </c>
      <c r="BW64" s="3">
        <f>(100%-BW65)*-BW15</f>
        <v>-9852.461</v>
      </c>
      <c r="BX64" s="3">
        <f>(100%-BX65)*-BX15</f>
        <v>-10763.538</v>
      </c>
      <c r="BY64" s="3">
        <f>(100%-BY65)*-BY15</f>
        <v>-10549.9226357838</v>
      </c>
      <c r="BZ64" s="3">
        <f>SUM(BV64:BY64)</f>
        <v>-40568.1916357838</v>
      </c>
      <c r="CA64" s="3">
        <f>(100%-CA65)*-CA15</f>
        <v>-9402.27</v>
      </c>
      <c r="CB64" s="3">
        <f>(100%-CB65)*-CB15</f>
        <v>-9852.461</v>
      </c>
      <c r="CC64" s="3">
        <f>(100%-CC65)*-CC15</f>
        <v>-10763.538</v>
      </c>
      <c r="CD64" s="3">
        <f>(100%-CD65)*-CD15</f>
        <v>-10549.9226357838</v>
      </c>
      <c r="CE64" s="3">
        <f>SUM(CA64:CD64)</f>
        <v>-40568.1916357838</v>
      </c>
      <c r="CF64" s="3">
        <f>(100%-CF65)*-CF15</f>
        <v>-9402.27</v>
      </c>
      <c r="CG64" s="3">
        <f>(100%-CG65)*-CG15</f>
        <v>-9852.461</v>
      </c>
      <c r="CH64" s="3">
        <f>(100%-CH65)*-CH15</f>
        <v>-10763.538</v>
      </c>
      <c r="CI64" s="3">
        <f>(100%-CI65)*-CI15</f>
        <v>-10549.9226357838</v>
      </c>
      <c r="CJ64" s="3">
        <f>SUM(CF64:CI64)</f>
        <v>-40568.1916357838</v>
      </c>
      <c r="CK64" s="3">
        <f>(100%-CK65)*-CK15</f>
        <v>-9402.27</v>
      </c>
      <c r="CL64" s="3">
        <f>(100%-CL65)*-CL15</f>
        <v>-9852.461</v>
      </c>
      <c r="CM64" s="3">
        <f>(100%-CM65)*-CM15</f>
        <v>-10763.538</v>
      </c>
      <c r="CN64" s="3">
        <f>(100%-CN65)*-CN15</f>
        <v>-10549.9226357838</v>
      </c>
      <c r="CO64" s="3">
        <f>SUM(CK64:CN64)</f>
        <v>-40568.1916357838</v>
      </c>
      <c r="CP64" s="3">
        <f>(100%-CP65)*-CP15</f>
        <v>-9402.27</v>
      </c>
      <c r="CQ64" s="3">
        <f>(100%-CQ65)*-CQ15</f>
        <v>-9852.461</v>
      </c>
      <c r="CR64" s="3">
        <f>(100%-CR65)*-CR15</f>
        <v>-10763.538</v>
      </c>
      <c r="CS64" s="3">
        <f>(100%-CS65)*-CS15</f>
        <v>-10549.9226357838</v>
      </c>
      <c r="CT64" s="3">
        <f>SUM(CP64:CS64)</f>
        <v>-40568.1916357838</v>
      </c>
      <c r="CU64" s="3">
        <f>(100%-CU65)*-CU15</f>
        <v>-9402.27</v>
      </c>
      <c r="CV64" s="3">
        <f>(100%-CV65)*-CV15</f>
        <v>-9852.461</v>
      </c>
      <c r="CW64" s="3">
        <f>(100%-CW65)*-CW15</f>
        <v>-10763.538</v>
      </c>
      <c r="CX64" s="3">
        <f>(100%-CX65)*-CX15</f>
        <v>-10549.9226357838</v>
      </c>
      <c r="CY64" s="3">
        <f>SUM(CU64:CX64)</f>
        <v>-40568.1916357838</v>
      </c>
    </row>
    <row r="65" hidden="1" outlineLevel="1" customFormat="1" s="1">
      <c r="C65" s="57" t="inlineStr">
        <is>
          <t>% Gross Margin</t>
        </is>
      </c>
      <c r="D65" s="54">
        <f>(D15+D64)/D$15</f>
        <v>0.250504431280552</v>
      </c>
      <c r="E65" s="54">
        <f>(E15+E64)/E$15</f>
        <v>0.240197488454664</v>
      </c>
      <c r="F65" s="54">
        <f>(F15+F64)/F$15</f>
        <v>0.241858899265886</v>
      </c>
      <c r="G65" s="54">
        <f>(G15+G64)/G$15</f>
        <v>0.234994901091655</v>
      </c>
      <c r="H65" s="54">
        <f>(H15+H64)/H$15</f>
        <v>0.24113913537356</v>
      </c>
      <c r="I65" s="54">
        <f>(I15+I64)/I$15</f>
        <v>0.23855261138936</v>
      </c>
      <c r="J65" s="54">
        <f>(J15+J64)/J$15</f>
        <v>0.23162465028917</v>
      </c>
      <c r="K65" s="54">
        <f>(K15+K64)/K$15</f>
        <v>0.2386470841836</v>
      </c>
      <c r="L65" s="54">
        <f>(L15+L64)/L$15</f>
        <v>0.225125251852531</v>
      </c>
      <c r="M65" s="54">
        <f>(M15+M64)/M$15</f>
        <v>0.23319741432451</v>
      </c>
      <c r="N65" s="54">
        <f>(N15+N64)/N$15</f>
        <v>0.224014321332398</v>
      </c>
      <c r="O65" s="54">
        <f>(O15+O64)/O$15</f>
        <v>0.227328047022014</v>
      </c>
      <c r="P65" s="54">
        <f>(P15+P64)/P$15</f>
        <v>0.228620471166348</v>
      </c>
      <c r="Q65" s="54">
        <f>(Q15+Q64)/Q$15</f>
        <v>0.216284170838408</v>
      </c>
      <c r="R65" s="54">
        <f>(R15+R64)/R$15</f>
        <v>0.223905939877661</v>
      </c>
      <c r="S65" s="54">
        <f>(S15+S64)/S$15</f>
        <v>0.220415901989015</v>
      </c>
      <c r="T65" s="54">
        <f>(T15+T64)/T$15</f>
        <v>0.224658261207141</v>
      </c>
      <c r="U65" s="54">
        <f>(U15+U64)/U$15</f>
        <v>0.225052916908017</v>
      </c>
      <c r="V65" s="54">
        <f>(V15+V64)/V$15</f>
        <v>0.224404382385723</v>
      </c>
      <c r="W65" s="54">
        <f>(W15+W64)/W$15</f>
        <v>0.223759191428821</v>
      </c>
      <c r="X65" s="54">
        <f>(X15+X64)/X$15</f>
        <v>0.223469178063906</v>
      </c>
      <c r="Y65" s="54">
        <f>(Y15+Y64)/Y$15</f>
        <v>0.224176110837121</v>
      </c>
      <c r="Z65" s="54">
        <f>(Z15+Z64)/Z$15</f>
        <v>0.222824073291091</v>
      </c>
      <c r="AA65" s="54">
        <f>(AA15+AA64)/AA$15</f>
        <v>0.218379629051389</v>
      </c>
      <c r="AB65" s="54">
        <f>(AB15+AB64)/AB$15</f>
        <v>0.222085545435593</v>
      </c>
      <c r="AC65" s="54">
        <f>(AC15+AC64)/AC$15</f>
        <v>0.222371285170811</v>
      </c>
      <c r="AD65" s="54">
        <f>(AD15+AD64)/AD$15</f>
        <v>0.238465276910022</v>
      </c>
      <c r="AE65" s="54">
        <f>(AE15+AE64)/AE$15</f>
        <v>0.21301304459556</v>
      </c>
      <c r="AF65" s="44">
        <f>(AF15+AF64)/AF$15</f>
        <v>0.225092189865486</v>
      </c>
      <c r="AG65" s="54">
        <f>(AG15+AG64)/AG$15</f>
        <v>0.224174226751746</v>
      </c>
      <c r="AH65" s="55">
        <f>(AH15+AH64)/AH$15</f>
        <v>0.228722638256506</v>
      </c>
      <c r="AI65" s="55">
        <f>(AI15+AI64)/AI$15</f>
        <v>0.234580476898107</v>
      </c>
      <c r="AJ65" s="55" t="n"/>
      <c r="AK65" s="55" t="n"/>
      <c r="AL65" s="54">
        <f>(AL15+AL64)/AL$15</f>
        <v>0.109980426045525</v>
      </c>
      <c r="AM65" s="55" t="n"/>
      <c r="AN65" s="55" t="n"/>
      <c r="AO65" s="55" t="n"/>
      <c r="AP65" s="55" t="n"/>
      <c r="AQ65" s="54">
        <f>(AQ15+AQ64)/AQ$15</f>
        <v>0</v>
      </c>
      <c r="AR65" s="55" t="n"/>
      <c r="AS65" s="55" t="n"/>
      <c r="AT65" s="55" t="n"/>
      <c r="AU65" s="55" t="n"/>
      <c r="AV65" s="54">
        <f>(AV15+AV64)/AV$15</f>
        <v>0</v>
      </c>
      <c r="AW65" s="55" t="n"/>
      <c r="AX65" s="55" t="n"/>
      <c r="AY65" s="55" t="n"/>
      <c r="AZ65" s="55" t="n"/>
      <c r="BA65" s="54">
        <f>(BA15+BA64)/BA$15</f>
        <v>0</v>
      </c>
      <c r="BB65" s="55" t="n"/>
      <c r="BC65" s="55" t="n"/>
      <c r="BD65" s="55" t="n"/>
      <c r="BE65" s="55" t="n"/>
      <c r="BF65" s="54">
        <f>(BF15+BF64)/BF$15</f>
        <v>0</v>
      </c>
      <c r="BG65" s="55" t="n"/>
      <c r="BH65" s="55" t="n"/>
      <c r="BI65" s="55" t="n"/>
      <c r="BJ65" s="55" t="n"/>
      <c r="BK65" s="54">
        <f>(BK15+BK64)/BK$15</f>
        <v>0</v>
      </c>
      <c r="BL65" s="55" t="n"/>
      <c r="BM65" s="55" t="n"/>
      <c r="BN65" s="55" t="n"/>
      <c r="BO65" s="55" t="n"/>
      <c r="BP65" s="54">
        <f>(BP15+BP64)/BP$15</f>
        <v>0</v>
      </c>
      <c r="BQ65" s="55" t="n"/>
      <c r="BR65" s="55" t="n"/>
      <c r="BS65" s="55" t="n"/>
      <c r="BT65" s="55" t="n"/>
      <c r="BU65" s="54">
        <f>(BU15+BU64)/BU$15</f>
        <v>0</v>
      </c>
      <c r="BV65" s="55" t="n"/>
      <c r="BW65" s="55" t="n"/>
      <c r="BX65" s="55" t="n"/>
      <c r="BY65" s="55" t="n"/>
      <c r="BZ65" s="54">
        <f>(BZ15+BZ64)/BZ$15</f>
        <v>0</v>
      </c>
      <c r="CA65" s="55" t="n"/>
      <c r="CB65" s="55" t="n"/>
      <c r="CC65" s="55" t="n"/>
      <c r="CD65" s="55" t="n"/>
      <c r="CE65" s="54">
        <f>(CE15+CE64)/CE$15</f>
        <v>0</v>
      </c>
      <c r="CF65" s="55" t="n"/>
      <c r="CG65" s="55" t="n"/>
      <c r="CH65" s="55" t="n"/>
      <c r="CI65" s="55" t="n"/>
      <c r="CJ65" s="54">
        <f>(CJ15+CJ64)/CJ$15</f>
        <v>0</v>
      </c>
      <c r="CK65" s="55" t="n"/>
      <c r="CL65" s="55" t="n"/>
      <c r="CM65" s="55" t="n"/>
      <c r="CN65" s="55" t="n"/>
      <c r="CO65" s="54">
        <f>(CO15+CO64)/CO$15</f>
        <v>0</v>
      </c>
      <c r="CP65" s="55" t="n"/>
      <c r="CQ65" s="55" t="n"/>
      <c r="CR65" s="55" t="n"/>
      <c r="CS65" s="55" t="n"/>
      <c r="CT65" s="54">
        <f>(CT15+CT64)/CT$15</f>
        <v>0</v>
      </c>
      <c r="CU65" s="55" t="n"/>
      <c r="CV65" s="55" t="n"/>
      <c r="CW65" s="55" t="n"/>
      <c r="CX65" s="55" t="n"/>
      <c r="CY65" s="54">
        <f>(CY15+CY64)/CY$15</f>
        <v>0</v>
      </c>
    </row>
    <row r="66" hidden="1" outlineLevel="1"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collapsed="1">
      <c r="C68" s="24" t="inlineStr">
        <is>
          <t>SG&amp;A and Other (cash)</t>
        </is>
      </c>
      <c r="D68" s="25">
        <f>INDEX('Inputs (2)'!$D$6:$AL$6,MATCH(D$7,'Inputs (2)'!$D$2:$AL$2,0))</f>
        <v>-424.46615114</v>
      </c>
      <c r="E68" s="25">
        <f>INDEX('Inputs (2)'!$D$6:$AL$6,MATCH(E$7,'Inputs (2)'!$D$2:$AL$2,0))</f>
        <v>-400.67384886</v>
      </c>
      <c r="F68" s="25">
        <f>INDEX('Inputs (2)'!$D$6:$AL$6,MATCH(F$7,'Inputs (2)'!$D$2:$AL$2,0))</f>
        <v>-518.741</v>
      </c>
      <c r="G68" s="25">
        <f>INDEX('Inputs (2)'!$D$6:$AL$6,MATCH(G$7,'Inputs (2)'!$D$2:$AL$2,0))</f>
        <v>-595.881</v>
      </c>
      <c r="H68" s="3">
        <f>SUM(D68:G68)</f>
        <v>-1939.762</v>
      </c>
      <c r="I68" s="25">
        <f>INDEX('Inputs (2)'!$D$6:$AL$6,MATCH(I$7,'Inputs (2)'!$D$2:$AL$2,0))</f>
        <v>-562.849638380001</v>
      </c>
      <c r="J68" s="25">
        <f>INDEX('Inputs (2)'!$D$6:$AL$6,MATCH(J$7,'Inputs (2)'!$D$2:$AL$2,0))</f>
        <v>-583.837548559999</v>
      </c>
      <c r="K68" s="25">
        <f>INDEX('Inputs (2)'!$D$6:$AL$6,MATCH(K$7,'Inputs (2)'!$D$2:$AL$2,0))</f>
        <v>-705.863</v>
      </c>
      <c r="L68" s="25">
        <f>INDEX('Inputs (2)'!$D$6:$AL$6,MATCH(L$7,'Inputs (2)'!$D$2:$AL$2,0))</f>
        <v>-673.279</v>
      </c>
      <c r="M68" s="3">
        <f>SUM(I68:L68)</f>
        <v>-2525.82918694</v>
      </c>
      <c r="N68" s="25">
        <f>INDEX('Inputs (2)'!$D$6:$AL$6,MATCH(N$7,'Inputs (2)'!$D$2:$AL$2,0))</f>
        <v>-723.7092416</v>
      </c>
      <c r="O68" s="25">
        <f>INDEX('Inputs (2)'!$D$6:$AL$6,MATCH(O$7,'Inputs (2)'!$D$2:$AL$2,0))</f>
        <v>-772.76980326</v>
      </c>
      <c r="P68" s="25">
        <f>INDEX('Inputs (2)'!$D$6:$AL$6,MATCH(P$7,'Inputs (2)'!$D$2:$AL$2,0))</f>
        <v>-881.737</v>
      </c>
      <c r="Q68" s="25">
        <f>INDEX('Inputs (2)'!$D$6:$AL$6,MATCH(Q$7,'Inputs (2)'!$D$2:$AL$2,0))</f>
        <v>-801.424</v>
      </c>
      <c r="R68" s="3">
        <f>SUM(N68:Q68)</f>
        <v>-3179.64004486</v>
      </c>
      <c r="S68" s="25">
        <f>INDEX('Inputs (2)'!$D$6:$AL$6,MATCH(S$7,'Inputs (2)'!$D$2:$AL$2,0))</f>
        <v>-882.38233242</v>
      </c>
      <c r="T68" s="25">
        <f>INDEX('Inputs (2)'!$D$6:$AL$6,MATCH(T$7,'Inputs (2)'!$D$2:$AL$2,0))</f>
        <v>-938.709</v>
      </c>
      <c r="U68" s="25">
        <f>INDEX('Inputs (2)'!$D$6:$AL$6,MATCH(U$7,'Inputs (2)'!$D$2:$AL$2,0))</f>
        <v>-1048.17</v>
      </c>
      <c r="V68" s="25">
        <f>INDEX('Inputs (2)'!$D$6:$AL$6,MATCH(V$7,'Inputs (2)'!$D$2:$AL$2,0))</f>
        <v>-1085.57050511</v>
      </c>
      <c r="W68" s="3">
        <f>SUM(S68:V68)</f>
        <v>-3954.83183753</v>
      </c>
      <c r="X68" s="25">
        <f>INDEX('Inputs (2)'!$D$6:$AL$6,MATCH(X$7,'Inputs (2)'!$D$2:$AL$2,0))</f>
        <v>-1139.73162143</v>
      </c>
      <c r="Y68" s="25">
        <f>INDEX('Inputs (2)'!$D$6:$AL$6,MATCH(Y$7,'Inputs (2)'!$D$2:$AL$2,0))</f>
        <v>-1169.752</v>
      </c>
      <c r="Z68" s="25">
        <f>INDEX('Inputs (2)'!$D$6:$AL$6,MATCH(Z$7,'Inputs (2)'!$D$2:$AL$2,0))</f>
        <v>-1209.442</v>
      </c>
      <c r="AA68" s="25">
        <f>INDEX('Inputs (2)'!$D$6:$AL$6,MATCH(AA$7,'Inputs (2)'!$D$2:$AL$2,0))</f>
        <v>-1273.5865</v>
      </c>
      <c r="AB68" s="3">
        <f>SUM(X68:AA68)</f>
        <v>-4792.51212143</v>
      </c>
      <c r="AC68" s="25">
        <f>INDEX('Inputs (2)'!$D$6:$AL$6,MATCH(AC$7,'Inputs (2)'!$D$2:$AL$2,0))</f>
        <v>-1266.711</v>
      </c>
      <c r="AD68" s="25">
        <f>INDEX('Inputs (2)'!$D$6:$AL$6,MATCH(AD$7,'Inputs (2)'!$D$2:$AL$2,0))</f>
        <v>-1318.147</v>
      </c>
      <c r="AE68" s="25">
        <f>INDEX('Inputs (2)'!$D$6:$AL$6,MATCH(AE$7,'Inputs (2)'!$D$2:$AL$2,0))</f>
        <v>-1459.552</v>
      </c>
      <c r="AF68" s="25">
        <f>INDEX('Inputs (2)'!$D$6:$AL$6,MATCH(AF$7,'Inputs (2)'!$D$2:$AL$2,0))</f>
        <v>-1762.206189</v>
      </c>
      <c r="AG68" s="3">
        <f>SUM(AC68:AF68)</f>
        <v>-5806.616189</v>
      </c>
      <c r="AH68" s="3">
        <f>INDEX('Inputs (2)'!$D$6:$AL$6,MATCH(AH$7,'Inputs (2)'!$D$2:$AL$2,0))</f>
        <v>-1607.468</v>
      </c>
      <c r="AI68" s="3">
        <f>INDEX('Inputs (2)'!$D$6:$AL$6,MATCH(AI$7,'Inputs (2)'!$D$2:$AL$2,0))</f>
        <v>-1629.588</v>
      </c>
      <c r="AJ68" s="3">
        <f>-AJ15*AJ69</f>
        <v>0</v>
      </c>
      <c r="AK68" s="3">
        <f>-AK15*AK69</f>
        <v>0</v>
      </c>
      <c r="AL68" s="3">
        <f>SUM(AH68:AK68)</f>
        <v>-3237.056</v>
      </c>
      <c r="AM68" s="3">
        <f>-AM15*AM69</f>
        <v>0</v>
      </c>
      <c r="AN68" s="3">
        <f>-AN15*AN69</f>
        <v>0</v>
      </c>
      <c r="AO68" s="3">
        <f>-AO15*AO69</f>
        <v>0</v>
      </c>
      <c r="AP68" s="3">
        <f>-AP15*AP69</f>
        <v>0</v>
      </c>
      <c r="AQ68" s="3">
        <f>SUM(AM68:AP68)</f>
        <v>0</v>
      </c>
      <c r="AR68" s="3">
        <f>-AR15*AR69</f>
        <v>0</v>
      </c>
      <c r="AS68" s="3">
        <f>-AS15*AS69</f>
        <v>0</v>
      </c>
      <c r="AT68" s="3">
        <f>-AT15*AT69</f>
        <v>0</v>
      </c>
      <c r="AU68" s="3">
        <f>-AU15*AU69</f>
        <v>0</v>
      </c>
      <c r="AV68" s="3">
        <f>SUM(AR68:AU68)</f>
        <v>0</v>
      </c>
      <c r="AW68" s="3">
        <f>-AW15*AW69</f>
        <v>0</v>
      </c>
      <c r="AX68" s="3">
        <f>-AX15*AX69</f>
        <v>0</v>
      </c>
      <c r="AY68" s="3">
        <f>-AY15*AY69</f>
        <v>0</v>
      </c>
      <c r="AZ68" s="3">
        <f>-AZ15*AZ69</f>
        <v>0</v>
      </c>
      <c r="BA68" s="3">
        <f>SUM(AW68:AZ68)</f>
        <v>0</v>
      </c>
      <c r="BB68" s="3">
        <f>-BB15*BB69</f>
        <v>0</v>
      </c>
      <c r="BC68" s="3">
        <f>-BC15*BC69</f>
        <v>0</v>
      </c>
      <c r="BD68" s="3">
        <f>-BD15*BD69</f>
        <v>0</v>
      </c>
      <c r="BE68" s="3">
        <f>-BE15*BE69</f>
        <v>0</v>
      </c>
      <c r="BF68" s="3">
        <f>SUM(BB68:BE68)</f>
        <v>0</v>
      </c>
      <c r="BG68" s="3">
        <f>-BG15*BG69</f>
        <v>0</v>
      </c>
      <c r="BH68" s="3">
        <f>-BH15*BH69</f>
        <v>0</v>
      </c>
      <c r="BI68" s="3">
        <f>-BI15*BI69</f>
        <v>0</v>
      </c>
      <c r="BJ68" s="3">
        <f>-BJ15*BJ69</f>
        <v>0</v>
      </c>
      <c r="BK68" s="3">
        <f>SUM(BG68:BJ68)</f>
        <v>0</v>
      </c>
      <c r="BL68" s="3">
        <f>-BL15*BL69</f>
        <v>0</v>
      </c>
      <c r="BM68" s="3">
        <f>-BM15*BM69</f>
        <v>0</v>
      </c>
      <c r="BN68" s="3">
        <f>-BN15*BN69</f>
        <v>0</v>
      </c>
      <c r="BO68" s="3">
        <f>-BO15*BO69</f>
        <v>0</v>
      </c>
      <c r="BP68" s="3">
        <f>SUM(BL68:BO68)</f>
        <v>0</v>
      </c>
      <c r="BQ68" s="3">
        <f>-BQ15*BQ69</f>
        <v>0</v>
      </c>
      <c r="BR68" s="3">
        <f>-BR15*BR69</f>
        <v>0</v>
      </c>
      <c r="BS68" s="3">
        <f>-BS15*BS69</f>
        <v>0</v>
      </c>
      <c r="BT68" s="3">
        <f>-BT15*BT69</f>
        <v>0</v>
      </c>
      <c r="BU68" s="3">
        <f>SUM(BQ68:BT68)</f>
        <v>0</v>
      </c>
      <c r="BV68" s="3">
        <f>-BV15*BV69</f>
        <v>0</v>
      </c>
      <c r="BW68" s="3">
        <f>-BW15*BW69</f>
        <v>0</v>
      </c>
      <c r="BX68" s="3">
        <f>-BX15*BX69</f>
        <v>0</v>
      </c>
      <c r="BY68" s="3">
        <f>-BY15*BY69</f>
        <v>0</v>
      </c>
      <c r="BZ68" s="3">
        <f>SUM(BV68:BY68)</f>
        <v>0</v>
      </c>
      <c r="CA68" s="3">
        <f>-CA15*CA69</f>
        <v>0</v>
      </c>
      <c r="CB68" s="3">
        <f>-CB15*CB69</f>
        <v>0</v>
      </c>
      <c r="CC68" s="3">
        <f>-CC15*CC69</f>
        <v>0</v>
      </c>
      <c r="CD68" s="3">
        <f>-CD15*CD69</f>
        <v>0</v>
      </c>
      <c r="CE68" s="3">
        <f>SUM(CA68:CD68)</f>
        <v>0</v>
      </c>
      <c r="CF68" s="3">
        <f>-CF15*CF69</f>
        <v>0</v>
      </c>
      <c r="CG68" s="3">
        <f>-CG15*CG69</f>
        <v>0</v>
      </c>
      <c r="CH68" s="3">
        <f>-CH15*CH69</f>
        <v>0</v>
      </c>
      <c r="CI68" s="3">
        <f>-CI15*CI69</f>
        <v>0</v>
      </c>
      <c r="CJ68" s="3">
        <f>SUM(CF68:CI68)</f>
        <v>0</v>
      </c>
      <c r="CK68" s="3">
        <f>-CK15*CK69</f>
        <v>0</v>
      </c>
      <c r="CL68" s="3">
        <f>-CL15*CL69</f>
        <v>0</v>
      </c>
      <c r="CM68" s="3">
        <f>-CM15*CM69</f>
        <v>0</v>
      </c>
      <c r="CN68" s="3">
        <f>-CN15*CN69</f>
        <v>0</v>
      </c>
      <c r="CO68" s="3">
        <f>SUM(CK68:CN68)</f>
        <v>0</v>
      </c>
      <c r="CP68" s="3">
        <f>-CP15*CP69</f>
        <v>0</v>
      </c>
      <c r="CQ68" s="3">
        <f>-CQ15*CQ69</f>
        <v>0</v>
      </c>
      <c r="CR68" s="3">
        <f>-CR15*CR69</f>
        <v>0</v>
      </c>
      <c r="CS68" s="3">
        <f>-CS15*CS69</f>
        <v>0</v>
      </c>
      <c r="CT68" s="3">
        <f>SUM(CP68:CS68)</f>
        <v>0</v>
      </c>
      <c r="CU68" s="3">
        <f>-CU15*CU69</f>
        <v>0</v>
      </c>
      <c r="CV68" s="3">
        <f>-CV15*CV69</f>
        <v>0</v>
      </c>
      <c r="CW68" s="3">
        <f>-CW15*CW69</f>
        <v>0</v>
      </c>
      <c r="CX68" s="3">
        <f>-CX15*CX69</f>
        <v>0</v>
      </c>
      <c r="CY68" s="3">
        <f>SUM(CU68:CX68)</f>
        <v>0</v>
      </c>
    </row>
    <row r="69" hidden="1" outlineLevel="1">
      <c r="C69" s="33" t="inlineStr">
        <is>
          <t>% SG&amp;A and Other Margin</t>
        </is>
      </c>
      <c r="D69" s="56">
        <f>-(D68/D$15)</f>
        <v>0.176179344709688</v>
      </c>
      <c r="E69" s="56">
        <f>-(E68/E$15)</f>
        <v>0.138689298881478</v>
      </c>
      <c r="F69" s="56">
        <f>-(F68/F$15)</f>
        <v>0.149775618790068</v>
      </c>
      <c r="G69" s="56">
        <f>-(G68/G$15)</f>
        <v>0.163915404629171</v>
      </c>
      <c r="H69" s="56">
        <f>-(H68/H$15)</f>
        <v>0.156469796584889</v>
      </c>
      <c r="I69" s="56">
        <f>-(I68/I$15)</f>
        <v>0.167401523535125</v>
      </c>
      <c r="J69" s="56">
        <f>-(J68/J$15)</f>
        <v>0.156762616842701</v>
      </c>
      <c r="K69" s="56">
        <f>-(K68/K$15)</f>
        <v>0.162300002874141</v>
      </c>
      <c r="L69" s="56">
        <f>-(L68/L$15)</f>
        <v>0.151601267521535</v>
      </c>
      <c r="M69" s="56">
        <f>-(M68/M$15)</f>
        <v>0.159088740733761</v>
      </c>
      <c r="N69" s="56">
        <f>-(N68/N$15)</f>
        <v>0.158057236840745</v>
      </c>
      <c r="O69" s="56">
        <f>-(O68/O$15)</f>
        <v>0.148552756120784</v>
      </c>
      <c r="P69" s="56">
        <f>-(P68/P$15)</f>
        <v>0.148863329208826</v>
      </c>
      <c r="Q69" s="56">
        <f>-(Q68/Q$15)</f>
        <v>0.132148376522485</v>
      </c>
      <c r="R69" s="56">
        <f>-(R68/R$15)</f>
        <v>0.146066264440851</v>
      </c>
      <c r="S69" s="56">
        <f>-(S68/S$15)</f>
        <v>0.150374986430472</v>
      </c>
      <c r="T69" s="56">
        <f>-(T68/T$15)</f>
        <v>0.146000946889574</v>
      </c>
      <c r="U69" s="56">
        <f>-(U68/U$15)</f>
        <v>0.151143580561531</v>
      </c>
      <c r="V69" s="56">
        <f>-(V68/V$15)</f>
        <v>0.143949948183997</v>
      </c>
      <c r="W69" s="56">
        <f>-(W68/W$15)</f>
        <v>0.147713938563553</v>
      </c>
      <c r="X69" s="56">
        <f>-(X68/X$15)</f>
        <v>0.154383495148826</v>
      </c>
      <c r="Y69" s="56">
        <f>-(Y68/Y$15)</f>
        <v>0.153130460004127</v>
      </c>
      <c r="Z69" s="56">
        <f>-(Z68/Z$15)</f>
        <v>0.145068217717595</v>
      </c>
      <c r="AA69" s="56">
        <f>-(AA68/AA$15)</f>
        <v>0.14593673158529</v>
      </c>
      <c r="AB69" s="56">
        <f>-(AB68/AB$15)</f>
        <v>0.149367244596605</v>
      </c>
      <c r="AC69" s="56">
        <f>-(AC68/AC$15)</f>
        <v>0.152042327102417</v>
      </c>
      <c r="AD69" s="56">
        <f>-(AD68/AD$15)</f>
        <v>0.150136854757792</v>
      </c>
      <c r="AE69" s="56">
        <f>-(AE68/AE$15)</f>
        <v>0.135601509466497</v>
      </c>
      <c r="AF69" s="44">
        <f>-(AF68/AF$15)</f>
        <v>0.167034986874961</v>
      </c>
      <c r="AG69" s="56">
        <f>-(AG68/AG$15)</f>
        <v>0.151117932260152</v>
      </c>
      <c r="AH69" s="45">
        <f>-(AH68/AH$15)</f>
        <v>0.170965947584998</v>
      </c>
      <c r="AI69" s="45">
        <f>-(AI68/AI$15)</f>
        <v>0.165399081508671</v>
      </c>
      <c r="AJ69" s="45" t="n"/>
      <c r="AK69" s="45" t="n"/>
      <c r="AL69" s="56">
        <f>-(AL68/AL$15)</f>
        <v>0.079792957720716</v>
      </c>
      <c r="AM69" s="45" t="n"/>
      <c r="AN69" s="45" t="n"/>
      <c r="AO69" s="45" t="n"/>
      <c r="AP69" s="45" t="n"/>
      <c r="AQ69" s="56">
        <f>-(AQ68/AQ$15)</f>
        <v>0</v>
      </c>
      <c r="AR69" s="45" t="n"/>
      <c r="AS69" s="45" t="n"/>
      <c r="AT69" s="45" t="n"/>
      <c r="AU69" s="45" t="n"/>
      <c r="AV69" s="56">
        <f>-(AV68/AV$15)</f>
        <v>0</v>
      </c>
      <c r="AW69" s="45" t="n"/>
      <c r="AX69" s="45" t="n"/>
      <c r="AY69" s="45" t="n"/>
      <c r="AZ69" s="45" t="n"/>
      <c r="BA69" s="56">
        <f>-(BA68/BA$15)</f>
        <v>0</v>
      </c>
      <c r="BB69" s="45" t="n"/>
      <c r="BC69" s="45" t="n"/>
      <c r="BD69" s="45" t="n"/>
      <c r="BE69" s="45" t="n"/>
      <c r="BF69" s="56">
        <f>-(BF68/BF$15)</f>
        <v>0</v>
      </c>
      <c r="BG69" s="45" t="n"/>
      <c r="BH69" s="45" t="n"/>
      <c r="BI69" s="45" t="n"/>
      <c r="BJ69" s="45" t="n"/>
      <c r="BK69" s="56">
        <f>-(BK68/BK$15)</f>
        <v>0</v>
      </c>
      <c r="BL69" s="45" t="n"/>
      <c r="BM69" s="45" t="n"/>
      <c r="BN69" s="45" t="n"/>
      <c r="BO69" s="45" t="n"/>
      <c r="BP69" s="56">
        <f>-(BP68/BP$15)</f>
        <v>0</v>
      </c>
      <c r="BQ69" s="45" t="n"/>
      <c r="BR69" s="45" t="n"/>
      <c r="BS69" s="45" t="n"/>
      <c r="BT69" s="45" t="n"/>
      <c r="BU69" s="56">
        <f>-(BU68/BU$15)</f>
        <v>0</v>
      </c>
      <c r="BV69" s="45" t="n"/>
      <c r="BW69" s="45" t="n"/>
      <c r="BX69" s="45" t="n"/>
      <c r="BY69" s="45" t="n"/>
      <c r="BZ69" s="56">
        <f>-(BZ68/BZ$15)</f>
        <v>0</v>
      </c>
      <c r="CA69" s="45" t="n"/>
      <c r="CB69" s="45" t="n"/>
      <c r="CC69" s="45" t="n"/>
      <c r="CD69" s="45" t="n"/>
      <c r="CE69" s="56">
        <f>-(CE68/CE$15)</f>
        <v>0</v>
      </c>
      <c r="CF69" s="45" t="n"/>
      <c r="CG69" s="45" t="n"/>
      <c r="CH69" s="45" t="n"/>
      <c r="CI69" s="45" t="n"/>
      <c r="CJ69" s="56">
        <f>-(CJ68/CJ$15)</f>
        <v>0</v>
      </c>
      <c r="CK69" s="45" t="n"/>
      <c r="CL69" s="45" t="n"/>
      <c r="CM69" s="45" t="n"/>
      <c r="CN69" s="45" t="n"/>
      <c r="CO69" s="56">
        <f>-(CO68/CO$15)</f>
        <v>0</v>
      </c>
      <c r="CP69" s="45" t="n"/>
      <c r="CQ69" s="45" t="n"/>
      <c r="CR69" s="45" t="n"/>
      <c r="CS69" s="45" t="n"/>
      <c r="CT69" s="56">
        <f>-(CT68/CT$15)</f>
        <v>0</v>
      </c>
      <c r="CU69" s="45" t="n"/>
      <c r="CV69" s="45" t="n"/>
      <c r="CW69" s="45" t="n"/>
      <c r="CX69" s="45" t="n"/>
      <c r="CY69" s="56">
        <f>-(CY68/CY$15)</f>
        <v>0</v>
      </c>
    </row>
    <row r="70" hidden="1" outlineLevel="1"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</row>
    <row r="71" hidden="1" outlineLevel="1">
      <c r="C71" s="32" t="inlineStr">
        <is>
          <t>Com Vendas</t>
        </is>
      </c>
      <c r="D71" s="6" t="n"/>
      <c r="E71" s="6" t="n"/>
      <c r="F71" s="6" t="n"/>
      <c r="G71" s="6" t="n"/>
      <c r="H71" s="32" t="n"/>
      <c r="I71" s="6" t="n"/>
      <c r="J71" s="6" t="n"/>
      <c r="K71" s="6" t="n"/>
      <c r="L71" s="6" t="n"/>
      <c r="M71" s="32" t="n"/>
      <c r="N71" s="6" t="n"/>
      <c r="O71" s="6" t="n"/>
      <c r="P71" s="6" t="n"/>
      <c r="Q71" s="6" t="n"/>
      <c r="R71" s="32" t="n"/>
      <c r="S71" s="6" t="n"/>
      <c r="T71" s="6" t="n"/>
      <c r="U71" s="6" t="n"/>
      <c r="V71" s="6" t="n"/>
      <c r="W71" s="32" t="n"/>
      <c r="X71" s="6" t="n"/>
      <c r="Y71" s="6" t="n"/>
      <c r="Z71" s="6" t="n"/>
      <c r="AA71" s="6" t="n"/>
      <c r="AB71" s="32" t="n"/>
      <c r="AC71" s="6" t="n"/>
      <c r="AD71" s="6" t="n"/>
      <c r="AE71" s="6" t="n"/>
      <c r="AF71" s="6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2" t="n"/>
      <c r="CK71" s="32" t="n"/>
      <c r="CL71" s="32" t="n"/>
      <c r="CM71" s="32" t="n"/>
      <c r="CN71" s="32" t="n"/>
      <c r="CO71" s="32" t="n"/>
      <c r="CP71" s="32" t="n"/>
      <c r="CQ71" s="32" t="n"/>
      <c r="CR71" s="32" t="n"/>
      <c r="CS71" s="32" t="n"/>
      <c r="CT71" s="32" t="n"/>
      <c r="CU71" s="32" t="n"/>
      <c r="CV71" s="32" t="n"/>
      <c r="CW71" s="32" t="n"/>
      <c r="CX71" s="32" t="n"/>
      <c r="CY71" s="32" t="n"/>
    </row>
    <row r="72" hidden="1" outlineLevel="1">
      <c r="C72" s="32" t="inlineStr">
        <is>
          <t>Gerais &amp; Administrativas</t>
        </is>
      </c>
      <c r="D72" s="6" t="n"/>
      <c r="E72" s="6" t="n"/>
      <c r="F72" s="6" t="n"/>
      <c r="G72" s="6" t="n"/>
      <c r="H72" s="32" t="n"/>
      <c r="I72" s="6" t="n"/>
      <c r="J72" s="6" t="n"/>
      <c r="K72" s="6" t="n"/>
      <c r="L72" s="6" t="n"/>
      <c r="M72" s="32" t="n"/>
      <c r="N72" s="6" t="n"/>
      <c r="O72" s="6" t="n"/>
      <c r="P72" s="6" t="n"/>
      <c r="Q72" s="6" t="n"/>
      <c r="R72" s="32" t="n"/>
      <c r="S72" s="6" t="n"/>
      <c r="T72" s="6" t="n"/>
      <c r="U72" s="6" t="n"/>
      <c r="V72" s="6" t="n"/>
      <c r="W72" s="32" t="n"/>
      <c r="X72" s="6" t="n"/>
      <c r="Y72" s="6" t="n"/>
      <c r="Z72" s="6" t="n"/>
      <c r="AA72" s="6" t="n"/>
      <c r="AB72" s="32" t="n"/>
      <c r="AC72" s="6" t="n"/>
      <c r="AD72" s="6" t="n"/>
      <c r="AE72" s="6" t="n"/>
      <c r="AF72" s="6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2" t="n"/>
      <c r="CK72" s="32" t="n"/>
      <c r="CL72" s="32" t="n"/>
      <c r="CM72" s="32" t="n"/>
      <c r="CN72" s="32" t="n"/>
      <c r="CO72" s="32" t="n"/>
      <c r="CP72" s="32" t="n"/>
      <c r="CQ72" s="32" t="n"/>
      <c r="CR72" s="32" t="n"/>
      <c r="CS72" s="32" t="n"/>
      <c r="CT72" s="32" t="n"/>
      <c r="CU72" s="32" t="n"/>
      <c r="CV72" s="32" t="n"/>
      <c r="CW72" s="32" t="n"/>
      <c r="CX72" s="32" t="n"/>
      <c r="CY72" s="32" t="n"/>
    </row>
    <row r="73" hidden="1" outlineLevel="1">
      <c r="C73" s="32" t="inlineStr">
        <is>
          <t>Outras Receitas (Despesas) Operacionais, Líquidas</t>
        </is>
      </c>
      <c r="D73" s="6" t="n"/>
      <c r="E73" s="6" t="n"/>
      <c r="F73" s="6" t="n"/>
      <c r="G73" s="6" t="n"/>
      <c r="H73" s="32" t="n"/>
      <c r="I73" s="6" t="n"/>
      <c r="J73" s="6" t="n"/>
      <c r="K73" s="6" t="n"/>
      <c r="L73" s="6" t="n"/>
      <c r="M73" s="32" t="n"/>
      <c r="N73" s="6" t="n"/>
      <c r="O73" s="6" t="n"/>
      <c r="P73" s="6" t="n"/>
      <c r="Q73" s="6" t="n"/>
      <c r="R73" s="32" t="n"/>
      <c r="S73" s="6" t="n"/>
      <c r="T73" s="6" t="n"/>
      <c r="U73" s="6" t="n"/>
      <c r="V73" s="6" t="n"/>
      <c r="W73" s="32" t="n"/>
      <c r="X73" s="6" t="n"/>
      <c r="Y73" s="6" t="n"/>
      <c r="Z73" s="6" t="n"/>
      <c r="AA73" s="6" t="n"/>
      <c r="AB73" s="32" t="n"/>
      <c r="AC73" s="6" t="n"/>
      <c r="AD73" s="6" t="n"/>
      <c r="AE73" s="6" t="n"/>
      <c r="AF73" s="6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  <c r="AV73" s="32" t="n"/>
      <c r="AW73" s="32" t="n"/>
      <c r="AX73" s="32" t="n"/>
      <c r="AY73" s="32" t="n"/>
      <c r="AZ73" s="32" t="n"/>
      <c r="BA73" s="32" t="n"/>
      <c r="BB73" s="32" t="n"/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2" t="n"/>
      <c r="BQ73" s="32" t="n"/>
      <c r="BR73" s="32" t="n"/>
      <c r="BS73" s="32" t="n"/>
      <c r="BT73" s="32" t="n"/>
      <c r="BU73" s="32" t="n"/>
      <c r="BV73" s="32" t="n"/>
      <c r="BW73" s="32" t="n"/>
      <c r="BX73" s="32" t="n"/>
      <c r="BY73" s="32" t="n"/>
      <c r="BZ73" s="32" t="n"/>
      <c r="CA73" s="32" t="n"/>
      <c r="CB73" s="32" t="n"/>
      <c r="CC73" s="32" t="n"/>
      <c r="CD73" s="32" t="n"/>
      <c r="CE73" s="32" t="n"/>
      <c r="CF73" s="32" t="n"/>
      <c r="CG73" s="32" t="n"/>
      <c r="CH73" s="32" t="n"/>
      <c r="CI73" s="32" t="n"/>
      <c r="CJ73" s="32" t="n"/>
      <c r="CK73" s="32" t="n"/>
      <c r="CL73" s="32" t="n"/>
      <c r="CM73" s="32" t="n"/>
      <c r="CN73" s="32" t="n"/>
      <c r="CO73" s="32" t="n"/>
      <c r="CP73" s="32" t="n"/>
      <c r="CQ73" s="32" t="n"/>
      <c r="CR73" s="32" t="n"/>
      <c r="CS73" s="32" t="n"/>
      <c r="CT73" s="32" t="n"/>
      <c r="CU73" s="32" t="n"/>
      <c r="CV73" s="32" t="n"/>
      <c r="CW73" s="32" t="n"/>
      <c r="CX73" s="32" t="n"/>
      <c r="CY73" s="32" t="n"/>
    </row>
    <row r="74" hidden="1" outlineLevel="1"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2" t="n"/>
      <c r="CK74" s="32" t="n"/>
      <c r="CL74" s="32" t="n"/>
      <c r="CM74" s="32" t="n"/>
      <c r="CN74" s="32" t="n"/>
      <c r="CO74" s="32" t="n"/>
      <c r="CP74" s="32" t="n"/>
      <c r="CQ74" s="32" t="n"/>
      <c r="CR74" s="32" t="n"/>
      <c r="CS74" s="32" t="n"/>
      <c r="CT74" s="32" t="n"/>
      <c r="CU74" s="32" t="n"/>
      <c r="CV74" s="32" t="n"/>
      <c r="CW74" s="32" t="n"/>
      <c r="CX74" s="32" t="n"/>
      <c r="CY74" s="32" t="n"/>
    </row>
    <row r="75" hidden="1" outlineLevel="1">
      <c r="C75" s="32" t="inlineStr">
        <is>
          <t>Com Vendas (%)</t>
        </is>
      </c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32" t="n"/>
      <c r="CL75" s="32" t="n"/>
      <c r="CM75" s="32" t="n"/>
      <c r="CN75" s="32" t="n"/>
      <c r="CO75" s="32" t="n"/>
      <c r="CP75" s="32" t="n"/>
      <c r="CQ75" s="32" t="n"/>
      <c r="CR75" s="32" t="n"/>
      <c r="CS75" s="32" t="n"/>
      <c r="CT75" s="32" t="n"/>
      <c r="CU75" s="32" t="n"/>
      <c r="CV75" s="32" t="n"/>
      <c r="CW75" s="32" t="n"/>
      <c r="CX75" s="32" t="n"/>
      <c r="CY75" s="32" t="n"/>
    </row>
    <row r="76" hidden="1" outlineLevel="1">
      <c r="C76" s="32" t="inlineStr">
        <is>
          <t>Gerais &amp; Administrativas (%)</t>
        </is>
      </c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32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32" t="n"/>
      <c r="CK76" s="32" t="n"/>
      <c r="CL76" s="32" t="n"/>
      <c r="CM76" s="32" t="n"/>
      <c r="CN76" s="32" t="n"/>
      <c r="CO76" s="32" t="n"/>
      <c r="CP76" s="32" t="n"/>
      <c r="CQ76" s="32" t="n"/>
      <c r="CR76" s="32" t="n"/>
      <c r="CS76" s="32" t="n"/>
      <c r="CT76" s="32" t="n"/>
      <c r="CU76" s="32" t="n"/>
      <c r="CV76" s="32" t="n"/>
      <c r="CW76" s="32" t="n"/>
      <c r="CX76" s="32" t="n"/>
      <c r="CY76" s="32" t="n"/>
    </row>
    <row r="77" hidden="1" outlineLevel="1">
      <c r="C77" s="32" t="inlineStr">
        <is>
          <t>Outras Receitas (Despesas) Operacionais, Líquidas (%)</t>
        </is>
      </c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32" t="n"/>
      <c r="CK77" s="32" t="n"/>
      <c r="CL77" s="32" t="n"/>
      <c r="CM77" s="32" t="n"/>
      <c r="CN77" s="32" t="n"/>
      <c r="CO77" s="32" t="n"/>
      <c r="CP77" s="32" t="n"/>
      <c r="CQ77" s="32" t="n"/>
      <c r="CR77" s="32" t="n"/>
      <c r="CS77" s="32" t="n"/>
      <c r="CT77" s="32" t="n"/>
      <c r="CU77" s="32" t="n"/>
      <c r="CV77" s="32" t="n"/>
      <c r="CW77" s="32" t="n"/>
      <c r="CX77" s="32" t="n"/>
      <c r="CY77" s="32" t="n"/>
    </row>
    <row r="78" hidden="1" outlineLevel="1"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  <c r="AV78" s="32" t="n"/>
      <c r="AW78" s="32" t="n"/>
      <c r="AX78" s="32" t="n"/>
      <c r="AY78" s="32" t="n"/>
      <c r="AZ78" s="32" t="n"/>
      <c r="BA78" s="32" t="n"/>
      <c r="BB78" s="32" t="n"/>
      <c r="BC78" s="32" t="n"/>
      <c r="BD78" s="32" t="n"/>
      <c r="BE78" s="32" t="n"/>
      <c r="BF78" s="32" t="n"/>
      <c r="BG78" s="32" t="n"/>
      <c r="BH78" s="32" t="n"/>
      <c r="BI78" s="32" t="n"/>
      <c r="BJ78" s="32" t="n"/>
      <c r="BK78" s="32" t="n"/>
      <c r="BL78" s="32" t="n"/>
      <c r="BM78" s="32" t="n"/>
      <c r="BN78" s="32" t="n"/>
      <c r="BO78" s="32" t="n"/>
      <c r="BP78" s="32" t="n"/>
      <c r="BQ78" s="32" t="n"/>
      <c r="BR78" s="32" t="n"/>
      <c r="BS78" s="32" t="n"/>
      <c r="BT78" s="32" t="n"/>
      <c r="BU78" s="32" t="n"/>
      <c r="BV78" s="32" t="n"/>
      <c r="BW78" s="32" t="n"/>
      <c r="BX78" s="32" t="n"/>
      <c r="BY78" s="32" t="n"/>
      <c r="BZ78" s="32" t="n"/>
      <c r="CA78" s="32" t="n"/>
      <c r="CB78" s="32" t="n"/>
      <c r="CC78" s="32" t="n"/>
      <c r="CD78" s="32" t="n"/>
      <c r="CE78" s="32" t="n"/>
      <c r="CF78" s="32" t="n"/>
      <c r="CG78" s="32" t="n"/>
      <c r="CH78" s="32" t="n"/>
      <c r="CI78" s="32" t="n"/>
      <c r="CJ78" s="32" t="n"/>
      <c r="CK78" s="32" t="n"/>
      <c r="CL78" s="32" t="n"/>
      <c r="CM78" s="32" t="n"/>
      <c r="CN78" s="32" t="n"/>
      <c r="CO78" s="32" t="n"/>
      <c r="CP78" s="32" t="n"/>
      <c r="CQ78" s="32" t="n"/>
      <c r="CR78" s="32" t="n"/>
      <c r="CS78" s="32" t="n"/>
      <c r="CT78" s="32" t="n"/>
      <c r="CU78" s="32" t="n"/>
      <c r="CV78" s="32" t="n"/>
      <c r="CW78" s="32" t="n"/>
      <c r="CX78" s="32" t="n"/>
      <c r="CY78" s="32" t="n"/>
    </row>
    <row r="79" collapsed="1" customFormat="1" s="17">
      <c r="A79" s="13" t="n"/>
      <c r="B79" s="1" t="n"/>
      <c r="C79" s="14" t="inlineStr">
        <is>
          <t>EBITDA</t>
        </is>
      </c>
      <c r="D79" s="16">
        <f>SUM(D15,D64,D68)</f>
        <v>179.07027343</v>
      </c>
      <c r="E79" s="16">
        <f>SUM(E15,E64,E68)</f>
        <v>293.25749957</v>
      </c>
      <c r="F79" s="16">
        <f>SUM(F15,F64,F68)</f>
        <v>318.926227</v>
      </c>
      <c r="G79" s="16">
        <f>SUM(G15,G64,G68)</f>
        <v>258.39500276</v>
      </c>
      <c r="H79" s="16">
        <f>SUM(D79:G79)</f>
        <v>1049.64900276</v>
      </c>
      <c r="I79" s="16">
        <f>SUM(I15,I64,I68)</f>
        <v>239.229388259999</v>
      </c>
      <c r="J79" s="16">
        <f>SUM(J15,J64,J68)</f>
        <v>278.811791790002</v>
      </c>
      <c r="K79" s="16">
        <f>SUM(K15,K64,K68)</f>
        <v>332.043</v>
      </c>
      <c r="L79" s="16">
        <f>SUM(L15,L64,L68)</f>
        <v>326.52863300999</v>
      </c>
      <c r="M79" s="16">
        <f>SUM(I79:L79)</f>
        <v>1176.61281305999</v>
      </c>
      <c r="N79" s="16">
        <f>SUM(N15,N64,N68)</f>
        <v>302.00294874</v>
      </c>
      <c r="O79" s="16">
        <f>SUM(O15,O64,O68)</f>
        <v>409.78819674</v>
      </c>
      <c r="P79" s="16">
        <f>SUM(P15,P64,P68)</f>
        <v>472.412</v>
      </c>
      <c r="Q79" s="16">
        <f>SUM(Q15,Q64,Q68)</f>
        <v>510.248</v>
      </c>
      <c r="R79" s="16">
        <f>SUM(N79:Q79)</f>
        <v>1694.45114548</v>
      </c>
      <c r="S79" s="16">
        <f>SUM(S15,S64,S68)</f>
        <v>410.991667580001</v>
      </c>
      <c r="T79" s="16">
        <f>SUM(T15,T64,T68)</f>
        <v>505.724999999999</v>
      </c>
      <c r="U79" s="16">
        <f>SUM(U15,U64,U68)</f>
        <v>512.556</v>
      </c>
      <c r="V79" s="16">
        <f>SUM(V15,V64,V68)</f>
        <v>606.731449900001</v>
      </c>
      <c r="W79" s="16">
        <f>SUM(S79:V79)</f>
        <v>2036.00411748</v>
      </c>
      <c r="X79" s="16">
        <f>SUM(X15,X64,X68)</f>
        <v>510.02302629889</v>
      </c>
      <c r="Y79" s="16">
        <f>SUM(Y15,Y64,Y68)</f>
        <v>542.71235227111</v>
      </c>
      <c r="Z79" s="16">
        <f>SUM(Z15,Z64,Z68)</f>
        <v>648.255</v>
      </c>
      <c r="AA79" s="16">
        <f>SUM(AA15,AA64,AA68)</f>
        <v>632.207500000001</v>
      </c>
      <c r="AB79" s="16">
        <f>SUM(X79:AA79)</f>
        <v>2333.19787857</v>
      </c>
      <c r="AC79" s="16">
        <f>SUM(AC15,AC64,AC68)</f>
        <v>585.932</v>
      </c>
      <c r="AD79" s="16">
        <f>SUM(AD15,AD64,AD68)</f>
        <v>775.491433216228</v>
      </c>
      <c r="AE79" s="16">
        <f>SUM(AE15,AE64,AE68)</f>
        <v>833.221999999999</v>
      </c>
      <c r="AF79" s="16">
        <f>SUM(AF15,AF64,AF68)</f>
        <v>612.499000000031</v>
      </c>
      <c r="AG79" s="16">
        <f>SUM(AC79:AF79)</f>
        <v>2807.14443321626</v>
      </c>
      <c r="AH79" s="16">
        <f>SUM(AH15,AH64,AH68)</f>
        <v>543.044000000001</v>
      </c>
      <c r="AI79" s="16">
        <f>SUM(AI15,AI64,AI68)</f>
        <v>681.606999999999</v>
      </c>
      <c r="AJ79" s="16">
        <f>SUM(AJ15,AJ64,AJ68)</f>
        <v>0</v>
      </c>
      <c r="AK79" s="16">
        <f>SUM(AK15,AK64,AK68)</f>
        <v>0</v>
      </c>
      <c r="AL79" s="16">
        <f>SUM(AH79:AK79)</f>
        <v>1224.651</v>
      </c>
      <c r="AM79" s="16">
        <f>SUM(AM15,AM64,AM68)</f>
        <v>0</v>
      </c>
      <c r="AN79" s="16">
        <f>SUM(AN15,AN64,AN68)</f>
        <v>0</v>
      </c>
      <c r="AO79" s="16">
        <f>SUM(AO15,AO64,AO68)</f>
        <v>0</v>
      </c>
      <c r="AP79" s="16">
        <f>SUM(AP15,AP64,AP68)</f>
        <v>0</v>
      </c>
      <c r="AQ79" s="16">
        <f>SUM(AM79:AP79)</f>
        <v>0</v>
      </c>
      <c r="AR79" s="16">
        <f>SUM(AR15,AR64,AR68)</f>
        <v>0</v>
      </c>
      <c r="AS79" s="16">
        <f>SUM(AS15,AS64,AS68)</f>
        <v>0</v>
      </c>
      <c r="AT79" s="16">
        <f>SUM(AT15,AT64,AT68)</f>
        <v>0</v>
      </c>
      <c r="AU79" s="16">
        <f>SUM(AU15,AU64,AU68)</f>
        <v>0</v>
      </c>
      <c r="AV79" s="16">
        <f>SUM(AR79:AU79)</f>
        <v>0</v>
      </c>
      <c r="AW79" s="16">
        <f>SUM(AW15,AW64,AW68)</f>
        <v>0</v>
      </c>
      <c r="AX79" s="16">
        <f>SUM(AX15,AX64,AX68)</f>
        <v>0</v>
      </c>
      <c r="AY79" s="16">
        <f>SUM(AY15,AY64,AY68)</f>
        <v>0</v>
      </c>
      <c r="AZ79" s="16">
        <f>SUM(AZ15,AZ64,AZ68)</f>
        <v>0</v>
      </c>
      <c r="BA79" s="16">
        <f>SUM(AW79:AZ79)</f>
        <v>0</v>
      </c>
      <c r="BB79" s="16">
        <f>SUM(BB15,BB64,BB68)</f>
        <v>0</v>
      </c>
      <c r="BC79" s="16">
        <f>SUM(BC15,BC64,BC68)</f>
        <v>0</v>
      </c>
      <c r="BD79" s="16">
        <f>SUM(BD15,BD64,BD68)</f>
        <v>0</v>
      </c>
      <c r="BE79" s="16">
        <f>SUM(BE15,BE64,BE68)</f>
        <v>0</v>
      </c>
      <c r="BF79" s="16">
        <f>SUM(BB79:BE79)</f>
        <v>0</v>
      </c>
      <c r="BG79" s="16">
        <f>SUM(BG15,BG64,BG68)</f>
        <v>0</v>
      </c>
      <c r="BH79" s="16">
        <f>SUM(BH15,BH64,BH68)</f>
        <v>0</v>
      </c>
      <c r="BI79" s="16">
        <f>SUM(BI15,BI64,BI68)</f>
        <v>0</v>
      </c>
      <c r="BJ79" s="16">
        <f>SUM(BJ15,BJ64,BJ68)</f>
        <v>0</v>
      </c>
      <c r="BK79" s="16">
        <f>SUM(BG79:BJ79)</f>
        <v>0</v>
      </c>
      <c r="BL79" s="16">
        <f>SUM(BL15,BL64,BL68)</f>
        <v>0</v>
      </c>
      <c r="BM79" s="16">
        <f>SUM(BM15,BM64,BM68)</f>
        <v>0</v>
      </c>
      <c r="BN79" s="16">
        <f>SUM(BN15,BN64,BN68)</f>
        <v>0</v>
      </c>
      <c r="BO79" s="16">
        <f>SUM(BO15,BO64,BO68)</f>
        <v>0</v>
      </c>
      <c r="BP79" s="16">
        <f>SUM(BL79:BO79)</f>
        <v>0</v>
      </c>
      <c r="BQ79" s="16">
        <f>SUM(BQ15,BQ64,BQ68)</f>
        <v>0</v>
      </c>
      <c r="BR79" s="16">
        <f>SUM(BR15,BR64,BR68)</f>
        <v>0</v>
      </c>
      <c r="BS79" s="16">
        <f>SUM(BS15,BS64,BS68)</f>
        <v>0</v>
      </c>
      <c r="BT79" s="16">
        <f>SUM(BT15,BT64,BT68)</f>
        <v>0</v>
      </c>
      <c r="BU79" s="16">
        <f>SUM(BQ79:BT79)</f>
        <v>0</v>
      </c>
      <c r="BV79" s="16">
        <f>SUM(BV15,BV64,BV68)</f>
        <v>0</v>
      </c>
      <c r="BW79" s="16">
        <f>SUM(BW15,BW64,BW68)</f>
        <v>0</v>
      </c>
      <c r="BX79" s="16">
        <f>SUM(BX15,BX64,BX68)</f>
        <v>0</v>
      </c>
      <c r="BY79" s="16">
        <f>SUM(BY15,BY64,BY68)</f>
        <v>0</v>
      </c>
      <c r="BZ79" s="16">
        <f>SUM(BV79:BY79)</f>
        <v>0</v>
      </c>
      <c r="CA79" s="16">
        <f>SUM(CA15,CA64,CA68)</f>
        <v>0</v>
      </c>
      <c r="CB79" s="16">
        <f>SUM(CB15,CB64,CB68)</f>
        <v>0</v>
      </c>
      <c r="CC79" s="16">
        <f>SUM(CC15,CC64,CC68)</f>
        <v>0</v>
      </c>
      <c r="CD79" s="16">
        <f>SUM(CD15,CD64,CD68)</f>
        <v>0</v>
      </c>
      <c r="CE79" s="16">
        <f>SUM(CA79:CD79)</f>
        <v>0</v>
      </c>
      <c r="CF79" s="16">
        <f>SUM(CF15,CF64,CF68)</f>
        <v>0</v>
      </c>
      <c r="CG79" s="16">
        <f>SUM(CG15,CG64,CG68)</f>
        <v>0</v>
      </c>
      <c r="CH79" s="16">
        <f>SUM(CH15,CH64,CH68)</f>
        <v>0</v>
      </c>
      <c r="CI79" s="16">
        <f>SUM(CI15,CI64,CI68)</f>
        <v>0</v>
      </c>
      <c r="CJ79" s="16">
        <f>SUM(CF79:CI79)</f>
        <v>0</v>
      </c>
      <c r="CK79" s="16">
        <f>SUM(CK15,CK64,CK68)</f>
        <v>0</v>
      </c>
      <c r="CL79" s="16">
        <f>SUM(CL15,CL64,CL68)</f>
        <v>0</v>
      </c>
      <c r="CM79" s="16">
        <f>SUM(CM15,CM64,CM68)</f>
        <v>0</v>
      </c>
      <c r="CN79" s="16">
        <f>SUM(CN15,CN64,CN68)</f>
        <v>0</v>
      </c>
      <c r="CO79" s="16">
        <f>SUM(CK79:CN79)</f>
        <v>0</v>
      </c>
      <c r="CP79" s="16">
        <f>SUM(CP15,CP64,CP68)</f>
        <v>0</v>
      </c>
      <c r="CQ79" s="16">
        <f>SUM(CQ15,CQ64,CQ68)</f>
        <v>0</v>
      </c>
      <c r="CR79" s="16">
        <f>SUM(CR15,CR64,CR68)</f>
        <v>0</v>
      </c>
      <c r="CS79" s="16">
        <f>SUM(CS15,CS64,CS68)</f>
        <v>0</v>
      </c>
      <c r="CT79" s="16">
        <f>SUM(CP79:CS79)</f>
        <v>0</v>
      </c>
      <c r="CU79" s="16">
        <f>SUM(CU15,CU64,CU68)</f>
        <v>0</v>
      </c>
      <c r="CV79" s="16">
        <f>SUM(CV15,CV64,CV68)</f>
        <v>0</v>
      </c>
      <c r="CW79" s="16">
        <f>SUM(CW15,CW64,CW68)</f>
        <v>0</v>
      </c>
      <c r="CX79" s="16">
        <f>SUM(CX15,CX64,CX68)</f>
        <v>0</v>
      </c>
      <c r="CY79" s="16">
        <f>SUM(CU79:CX79)</f>
        <v>0</v>
      </c>
    </row>
    <row r="80" ht="13.5" customHeight="1">
      <c r="C80" s="24" t="inlineStr">
        <is>
          <t>D&amp;A</t>
        </is>
      </c>
      <c r="D80" s="25">
        <f>INDEX('Inputs (2)'!$D$7:$AL$7,MATCH(D$7,'Inputs (2)'!$D$2:$AL$2,0))</f>
        <v>-39.563</v>
      </c>
      <c r="E80" s="25">
        <f>INDEX('Inputs (2)'!$D$7:$AL$7,MATCH(E$7,'Inputs (2)'!$D$2:$AL$2,0))</f>
        <v>-53.788</v>
      </c>
      <c r="F80" s="25">
        <f>INDEX('Inputs (2)'!$D$7:$AL$7,MATCH(F$7,'Inputs (2)'!$D$2:$AL$2,0))</f>
        <v>-42.927</v>
      </c>
      <c r="G80" s="25">
        <f>INDEX('Inputs (2)'!$D$7:$AL$7,MATCH(G$7,'Inputs (2)'!$D$2:$AL$2,0))</f>
        <v>-43.686</v>
      </c>
      <c r="H80" s="3">
        <f>SUM(D80:G80)</f>
        <v>-179.964</v>
      </c>
      <c r="I80" s="25">
        <f>INDEX('Inputs (2)'!$D$7:$AL$7,MATCH(I$7,'Inputs (2)'!$D$2:$AL$2,0))</f>
        <v>-57.729</v>
      </c>
      <c r="J80" s="25">
        <f>INDEX('Inputs (2)'!$D$7:$AL$7,MATCH(J$7,'Inputs (2)'!$D$2:$AL$2,0))</f>
        <v>-63.733</v>
      </c>
      <c r="K80" s="25">
        <f>INDEX('Inputs (2)'!$D$7:$AL$7,MATCH(K$7,'Inputs (2)'!$D$2:$AL$2,0))</f>
        <v>-71.918</v>
      </c>
      <c r="L80" s="25">
        <f>INDEX('Inputs (2)'!$D$7:$AL$7,MATCH(L$7,'Inputs (2)'!$D$2:$AL$2,0))</f>
        <v>-67.065</v>
      </c>
      <c r="M80" s="3">
        <f>SUM(I80:L80)</f>
        <v>-260.445</v>
      </c>
      <c r="N80" s="25">
        <f>INDEX('Inputs (2)'!$D$7:$AL$7,MATCH(N$7,'Inputs (2)'!$D$2:$AL$2,0))</f>
        <v>-72.195</v>
      </c>
      <c r="O80" s="25">
        <f>INDEX('Inputs (2)'!$D$7:$AL$7,MATCH(O$7,'Inputs (2)'!$D$2:$AL$2,0))</f>
        <v>-83.73</v>
      </c>
      <c r="P80" s="25">
        <f>INDEX('Inputs (2)'!$D$7:$AL$7,MATCH(P$7,'Inputs (2)'!$D$2:$AL$2,0))</f>
        <v>-84.22</v>
      </c>
      <c r="Q80" s="25">
        <f>INDEX('Inputs (2)'!$D$7:$AL$7,MATCH(Q$7,'Inputs (2)'!$D$2:$AL$2,0))</f>
        <v>-89.022</v>
      </c>
      <c r="R80" s="3">
        <f>SUM(N80:Q80)</f>
        <v>-329.167</v>
      </c>
      <c r="S80" s="25">
        <f>INDEX('Inputs (2)'!$D$7:$AL$7,MATCH(S$7,'Inputs (2)'!$D$2:$AL$2,0))</f>
        <v>-98.001</v>
      </c>
      <c r="T80" s="25">
        <f>INDEX('Inputs (2)'!$D$7:$AL$7,MATCH(T$7,'Inputs (2)'!$D$2:$AL$2,0))</f>
        <v>-92.145</v>
      </c>
      <c r="U80" s="25">
        <f>INDEX('Inputs (2)'!$D$7:$AL$7,MATCH(U$7,'Inputs (2)'!$D$2:$AL$2,0))</f>
        <v>-98.528</v>
      </c>
      <c r="V80" s="25">
        <f>INDEX('Inputs (2)'!$D$7:$AL$7,MATCH(V$7,'Inputs (2)'!$D$2:$AL$2,0))</f>
        <v>-64.718</v>
      </c>
      <c r="W80" s="3">
        <f>SUM(S80:V80)</f>
        <v>-353.392</v>
      </c>
      <c r="X80" s="25">
        <f>INDEX('Inputs (2)'!$D$7:$AL$7,MATCH(X$7,'Inputs (2)'!$D$2:$AL$2,0))</f>
        <v>-104.571</v>
      </c>
      <c r="Y80" s="25">
        <f>INDEX('Inputs (2)'!$D$7:$AL$7,MATCH(Y$7,'Inputs (2)'!$D$2:$AL$2,0))</f>
        <v>-85.309</v>
      </c>
      <c r="Z80" s="25">
        <f>INDEX('Inputs (2)'!$D$7:$AL$7,MATCH(Z$7,'Inputs (2)'!$D$2:$AL$2,0))</f>
        <v>-95.494</v>
      </c>
      <c r="AA80" s="25">
        <f>INDEX('Inputs (2)'!$D$7:$AL$7,MATCH(AA$7,'Inputs (2)'!$D$2:$AL$2,0))</f>
        <v>-91.372</v>
      </c>
      <c r="AB80" s="3">
        <f>SUM(X80:AA80)</f>
        <v>-376.746</v>
      </c>
      <c r="AC80" s="25">
        <f>INDEX('Inputs (2)'!$D$7:$AL$7,MATCH(AC$7,'Inputs (2)'!$D$2:$AL$2,0))</f>
        <v>-105.294</v>
      </c>
      <c r="AD80" s="25">
        <f>INDEX('Inputs (2)'!$D$7:$AL$7,MATCH(AD$7,'Inputs (2)'!$D$2:$AL$2,0))</f>
        <v>-113.093</v>
      </c>
      <c r="AE80" s="25">
        <f>INDEX('Inputs (2)'!$D$7:$AL$7,MATCH(AE$7,'Inputs (2)'!$D$2:$AL$2,0))</f>
        <v>-162.165</v>
      </c>
      <c r="AF80" s="25">
        <f>INDEX('Inputs (2)'!$D$7:$AL$7,MATCH(AF$7,'Inputs (2)'!$D$2:$AL$2,0))</f>
        <v>-159.044</v>
      </c>
      <c r="AG80" s="3">
        <f>SUM(AC80:AF80)</f>
        <v>-539.596</v>
      </c>
      <c r="AH80" s="3">
        <f>INDEX('Inputs (2)'!$D$7:$AL$7,MATCH(AH$7,'Inputs (2)'!$D$2:$AL$2,0))</f>
        <v>-158.45</v>
      </c>
      <c r="AI80" s="3">
        <f>INDEX('Inputs (2)'!$D$7:$AL$7,MATCH(AI$7,'Inputs (2)'!$D$2:$AL$2,0))</f>
        <v>-177.69</v>
      </c>
      <c r="AJ80" s="3">
        <f>-AJ81*AJ15</f>
        <v>0</v>
      </c>
      <c r="AK80" s="3">
        <f>-AK81*AK15</f>
        <v>0</v>
      </c>
      <c r="AL80" s="3">
        <f>SUM(AH80:AK80)</f>
        <v>-336.14</v>
      </c>
      <c r="AM80" s="3">
        <f>-AM81*AM15</f>
        <v>0</v>
      </c>
      <c r="AN80" s="3">
        <f>-AN81*AN15</f>
        <v>0</v>
      </c>
      <c r="AO80" s="3">
        <f>-AO81*AO15</f>
        <v>0</v>
      </c>
      <c r="AP80" s="3">
        <f>-AP81*AP15</f>
        <v>0</v>
      </c>
      <c r="AQ80" s="3">
        <f>SUM(AM80:AP80)</f>
        <v>0</v>
      </c>
      <c r="AR80" s="3">
        <f>-AR81*AR15</f>
        <v>0</v>
      </c>
      <c r="AS80" s="3">
        <f>-AS81*AS15</f>
        <v>0</v>
      </c>
      <c r="AT80" s="3">
        <f>-AT81*AT15</f>
        <v>0</v>
      </c>
      <c r="AU80" s="3">
        <f>-AU81*AU15</f>
        <v>0</v>
      </c>
      <c r="AV80" s="3">
        <f>SUM(AR80:AU80)</f>
        <v>0</v>
      </c>
      <c r="AW80" s="3">
        <f>-AW81*AW15</f>
        <v>0</v>
      </c>
      <c r="AX80" s="3">
        <f>-AX81*AX15</f>
        <v>0</v>
      </c>
      <c r="AY80" s="3">
        <f>-AY81*AY15</f>
        <v>0</v>
      </c>
      <c r="AZ80" s="3">
        <f>-AZ81*AZ15</f>
        <v>0</v>
      </c>
      <c r="BA80" s="3">
        <f>SUM(AW80:AZ80)</f>
        <v>0</v>
      </c>
      <c r="BB80" s="3">
        <f>-BB81*BB15</f>
        <v>0</v>
      </c>
      <c r="BC80" s="3">
        <f>-BC81*BC15</f>
        <v>0</v>
      </c>
      <c r="BD80" s="3">
        <f>-BD81*BD15</f>
        <v>0</v>
      </c>
      <c r="BE80" s="3">
        <f>-BE81*BE15</f>
        <v>0</v>
      </c>
      <c r="BF80" s="3">
        <f>SUM(BB80:BE80)</f>
        <v>0</v>
      </c>
      <c r="BG80" s="3">
        <f>-BG81*BG15</f>
        <v>0</v>
      </c>
      <c r="BH80" s="3">
        <f>-BH81*BH15</f>
        <v>0</v>
      </c>
      <c r="BI80" s="3">
        <f>-BI81*BI15</f>
        <v>0</v>
      </c>
      <c r="BJ80" s="3">
        <f>-BJ81*BJ15</f>
        <v>0</v>
      </c>
      <c r="BK80" s="3">
        <f>SUM(BG80:BJ80)</f>
        <v>0</v>
      </c>
      <c r="BL80" s="3">
        <f>-BL81*BL15</f>
        <v>0</v>
      </c>
      <c r="BM80" s="3">
        <f>-BM81*BM15</f>
        <v>0</v>
      </c>
      <c r="BN80" s="3">
        <f>-BN81*BN15</f>
        <v>0</v>
      </c>
      <c r="BO80" s="3">
        <f>-BO81*BO15</f>
        <v>0</v>
      </c>
      <c r="BP80" s="3">
        <f>SUM(BL80:BO80)</f>
        <v>0</v>
      </c>
      <c r="BQ80" s="3">
        <f>-BQ81*BQ15</f>
        <v>0</v>
      </c>
      <c r="BR80" s="3">
        <f>-BR81*BR15</f>
        <v>0</v>
      </c>
      <c r="BS80" s="3">
        <f>-BS81*BS15</f>
        <v>0</v>
      </c>
      <c r="BT80" s="3">
        <f>-BT81*BT15</f>
        <v>0</v>
      </c>
      <c r="BU80" s="3">
        <f>SUM(BQ80:BT80)</f>
        <v>0</v>
      </c>
      <c r="BV80" s="3">
        <f>-BV81*BV15</f>
        <v>0</v>
      </c>
      <c r="BW80" s="3">
        <f>-BW81*BW15</f>
        <v>0</v>
      </c>
      <c r="BX80" s="3">
        <f>-BX81*BX15</f>
        <v>0</v>
      </c>
      <c r="BY80" s="3">
        <f>-BY81*BY15</f>
        <v>0</v>
      </c>
      <c r="BZ80" s="3">
        <f>SUM(BV80:BY80)</f>
        <v>0</v>
      </c>
      <c r="CA80" s="3">
        <f>-CA81*CA15</f>
        <v>0</v>
      </c>
      <c r="CB80" s="3">
        <f>-CB81*CB15</f>
        <v>0</v>
      </c>
      <c r="CC80" s="3">
        <f>-CC81*CC15</f>
        <v>0</v>
      </c>
      <c r="CD80" s="3">
        <f>-CD81*CD15</f>
        <v>0</v>
      </c>
      <c r="CE80" s="3">
        <f>SUM(CA80:CD80)</f>
        <v>0</v>
      </c>
      <c r="CF80" s="3">
        <f>-CF81*CF15</f>
        <v>0</v>
      </c>
      <c r="CG80" s="3">
        <f>-CG81*CG15</f>
        <v>0</v>
      </c>
      <c r="CH80" s="3">
        <f>-CH81*CH15</f>
        <v>0</v>
      </c>
      <c r="CI80" s="3">
        <f>-CI81*CI15</f>
        <v>0</v>
      </c>
      <c r="CJ80" s="3">
        <f>SUM(CF80:CI80)</f>
        <v>0</v>
      </c>
      <c r="CK80" s="3">
        <f>-CK81*CK15</f>
        <v>0</v>
      </c>
      <c r="CL80" s="3">
        <f>-CL81*CL15</f>
        <v>0</v>
      </c>
      <c r="CM80" s="3">
        <f>-CM81*CM15</f>
        <v>0</v>
      </c>
      <c r="CN80" s="3">
        <f>-CN81*CN15</f>
        <v>0</v>
      </c>
      <c r="CO80" s="3">
        <f>SUM(CK80:CN80)</f>
        <v>0</v>
      </c>
      <c r="CP80" s="3">
        <f>-CP81*CP15</f>
        <v>0</v>
      </c>
      <c r="CQ80" s="3">
        <f>-CQ81*CQ15</f>
        <v>0</v>
      </c>
      <c r="CR80" s="3">
        <f>-CR81*CR15</f>
        <v>0</v>
      </c>
      <c r="CS80" s="3">
        <f>-CS81*CS15</f>
        <v>0</v>
      </c>
      <c r="CT80" s="3">
        <f>SUM(CP80:CS80)</f>
        <v>0</v>
      </c>
      <c r="CU80" s="3">
        <f>-CU81*CU15</f>
        <v>0</v>
      </c>
      <c r="CV80" s="3">
        <f>-CV81*CV15</f>
        <v>0</v>
      </c>
      <c r="CW80" s="3">
        <f>-CW81*CW15</f>
        <v>0</v>
      </c>
      <c r="CX80" s="3">
        <f>-CX81*CX15</f>
        <v>0</v>
      </c>
      <c r="CY80" s="3">
        <f>SUM(CU80:CX80)</f>
        <v>0</v>
      </c>
    </row>
    <row r="81" hidden="1" outlineLevel="1" customFormat="1" s="247">
      <c r="A81" s="48" t="n"/>
      <c r="B81" s="48" t="n"/>
      <c r="C81" s="246" t="inlineStr">
        <is>
          <t>% of Revenue</t>
        </is>
      </c>
      <c r="D81" s="48">
        <f>-D80/D15</f>
        <v>0.0164210583011846</v>
      </c>
      <c r="E81" s="48">
        <f>-E80/E15</f>
        <v>0.0186181854130528</v>
      </c>
      <c r="F81" s="48">
        <f>-F80/F15</f>
        <v>0.0123942738048491</v>
      </c>
      <c r="G81" s="48">
        <f>-G80/G15</f>
        <v>0.012017178541739</v>
      </c>
      <c r="H81" s="48" t="n"/>
      <c r="I81" s="48">
        <f>-I80/I15</f>
        <v>0.0171696344692946</v>
      </c>
      <c r="J81" s="48">
        <f>-J80/J15</f>
        <v>0.0171125544834826</v>
      </c>
      <c r="K81" s="48">
        <f>-K80/K15</f>
        <v>0.0165361998103067</v>
      </c>
      <c r="L81" s="48">
        <f>-L80/L15</f>
        <v>0.0151009299359281</v>
      </c>
      <c r="M81" s="48" t="n"/>
      <c r="N81" s="48">
        <f>-N80/N15</f>
        <v>0.0157673020569557</v>
      </c>
      <c r="O81" s="48">
        <f>-O80/O15</f>
        <v>0.0160957664462574</v>
      </c>
      <c r="P81" s="48">
        <f>-P80/P15</f>
        <v>0.0142188312228786</v>
      </c>
      <c r="Q81" s="48">
        <f>-Q80/Q15</f>
        <v>0.0146790123265395</v>
      </c>
      <c r="R81" s="48" t="n"/>
      <c r="S81" s="48">
        <f>-S80/S15</f>
        <v>0.0167012625975359</v>
      </c>
      <c r="T81" s="48">
        <f>-T80/T15</f>
        <v>0.014331658960487</v>
      </c>
      <c r="U81" s="48">
        <f>-U80/U15</f>
        <v>0.0142074994567356</v>
      </c>
      <c r="V81" s="48">
        <f>-V80/V15</f>
        <v>0.00858180348740033</v>
      </c>
      <c r="W81" s="48" t="n"/>
      <c r="X81" s="48">
        <f>-X80/X15</f>
        <v>0.0141647701683947</v>
      </c>
      <c r="Y81" s="48">
        <f>-Y80/Y15</f>
        <v>0.0111676717906804</v>
      </c>
      <c r="Z81" s="48">
        <f>-Z80/Z15</f>
        <v>0.0114541618223313</v>
      </c>
      <c r="AA81" s="48">
        <f>-AA80/AA15</f>
        <v>0.0104700631157845</v>
      </c>
      <c r="AB81" s="48" t="n"/>
      <c r="AC81" s="48">
        <f>-AC80/AC15</f>
        <v>0.0126383561758932</v>
      </c>
      <c r="AD81" s="48">
        <f>-AD80/AD15</f>
        <v>0.0128812851033481</v>
      </c>
      <c r="AE81" s="48">
        <f>-AE80/AE15</f>
        <v>0.0150661427497167</v>
      </c>
      <c r="AF81" s="218">
        <f>-AF80/AF15</f>
        <v>0.0150753712127278</v>
      </c>
      <c r="AG81" s="48" t="n"/>
      <c r="AH81" s="218">
        <f>-AH80/AH15</f>
        <v>0.0168523133243355</v>
      </c>
      <c r="AI81" s="218">
        <f>-AI80/AI15</f>
        <v>0.0180350878831187</v>
      </c>
      <c r="AJ81" s="218" t="n"/>
      <c r="AK81" s="218" t="n"/>
      <c r="AL81" s="48" t="n"/>
      <c r="AM81" s="218" t="n"/>
      <c r="AN81" s="218" t="n"/>
      <c r="AO81" s="218" t="n"/>
      <c r="AP81" s="218" t="n"/>
      <c r="AQ81" s="48" t="n"/>
      <c r="AR81" s="218" t="n"/>
      <c r="AS81" s="218" t="n"/>
      <c r="AT81" s="218" t="n"/>
      <c r="AU81" s="218" t="n"/>
      <c r="AV81" s="48" t="n"/>
      <c r="AW81" s="218" t="n"/>
      <c r="AX81" s="218" t="n"/>
      <c r="AY81" s="218" t="n"/>
      <c r="AZ81" s="218" t="n"/>
      <c r="BA81" s="48" t="n"/>
      <c r="BB81" s="218" t="n"/>
      <c r="BC81" s="218" t="n"/>
      <c r="BD81" s="218" t="n"/>
      <c r="BE81" s="218" t="n"/>
      <c r="BF81" s="48" t="n"/>
      <c r="BG81" s="218" t="n"/>
      <c r="BH81" s="218" t="n"/>
      <c r="BI81" s="218" t="n"/>
      <c r="BJ81" s="218" t="n"/>
      <c r="BK81" s="48" t="n"/>
      <c r="BL81" s="218" t="n"/>
      <c r="BM81" s="218" t="n"/>
      <c r="BN81" s="218" t="n"/>
      <c r="BO81" s="218" t="n"/>
      <c r="BP81" s="48" t="n"/>
      <c r="BQ81" s="218" t="n"/>
      <c r="BR81" s="218" t="n"/>
      <c r="BS81" s="218" t="n"/>
      <c r="BT81" s="218" t="n"/>
      <c r="BU81" s="48" t="n"/>
      <c r="BV81" s="218" t="n"/>
      <c r="BW81" s="218" t="n"/>
      <c r="BX81" s="218" t="n"/>
      <c r="BY81" s="218" t="n"/>
      <c r="BZ81" s="48" t="n"/>
      <c r="CA81" s="218" t="n"/>
      <c r="CB81" s="218" t="n"/>
      <c r="CC81" s="218" t="n"/>
      <c r="CD81" s="218" t="n"/>
      <c r="CE81" s="48" t="n"/>
      <c r="CF81" s="218" t="n"/>
      <c r="CG81" s="218" t="n"/>
      <c r="CH81" s="218" t="n"/>
      <c r="CI81" s="218" t="n"/>
      <c r="CJ81" s="48" t="n"/>
      <c r="CK81" s="218" t="n"/>
      <c r="CL81" s="218" t="n"/>
      <c r="CM81" s="218" t="n"/>
      <c r="CN81" s="218" t="n"/>
      <c r="CO81" s="48" t="n"/>
      <c r="CP81" s="218" t="n"/>
      <c r="CQ81" s="218" t="n"/>
      <c r="CR81" s="218" t="n"/>
      <c r="CS81" s="218" t="n"/>
      <c r="CT81" s="48" t="n"/>
      <c r="CU81" s="218" t="n"/>
      <c r="CV81" s="218" t="n"/>
      <c r="CW81" s="218" t="n"/>
      <c r="CX81" s="218" t="n"/>
      <c r="CY81" s="48" t="n"/>
    </row>
    <row r="82" hidden="1" outlineLevel="1">
      <c r="C82" s="32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collapsed="1" customFormat="1" s="17">
      <c r="A83" s="13" t="n"/>
      <c r="B83" s="1" t="n"/>
      <c r="C83" s="14" t="inlineStr">
        <is>
          <t>Operating Profit - EBIT</t>
        </is>
      </c>
      <c r="D83" s="16">
        <f>SUM(D79,D80)</f>
        <v>139.50727343</v>
      </c>
      <c r="E83" s="16">
        <f>SUM(E79,E80)</f>
        <v>239.46949957</v>
      </c>
      <c r="F83" s="16">
        <f>SUM(F79,F80)</f>
        <v>275.999227</v>
      </c>
      <c r="G83" s="16">
        <f>SUM(G79,G80)</f>
        <v>214.70900276</v>
      </c>
      <c r="H83" s="16">
        <f>SUM(D83:G83)</f>
        <v>869.68500276</v>
      </c>
      <c r="I83" s="16">
        <f>SUM(I79,I80)</f>
        <v>181.500388259999</v>
      </c>
      <c r="J83" s="16">
        <f>SUM(J79,J80)</f>
        <v>215.078791790002</v>
      </c>
      <c r="K83" s="16">
        <f>SUM(K79,K80)</f>
        <v>260.125</v>
      </c>
      <c r="L83" s="16">
        <f>SUM(L79,L80)</f>
        <v>259.46363300999</v>
      </c>
      <c r="M83" s="16">
        <f>SUM(I83:L83)</f>
        <v>916.16781305999</v>
      </c>
      <c r="N83" s="16">
        <f>SUM(N79,N80)</f>
        <v>229.80794874</v>
      </c>
      <c r="O83" s="16">
        <f>SUM(O79,O80)</f>
        <v>326.05819674</v>
      </c>
      <c r="P83" s="16">
        <f>SUM(P79,P80)</f>
        <v>388.192</v>
      </c>
      <c r="Q83" s="16">
        <f>SUM(Q79,Q80)</f>
        <v>421.226</v>
      </c>
      <c r="R83" s="16">
        <f>SUM(N83:Q83)</f>
        <v>1365.28414548</v>
      </c>
      <c r="S83" s="16">
        <f>SUM(S79,S80)</f>
        <v>312.990667580001</v>
      </c>
      <c r="T83" s="16">
        <f>SUM(T79,T80)</f>
        <v>413.579999999999</v>
      </c>
      <c r="U83" s="16">
        <f>SUM(U79,U80)</f>
        <v>414.028</v>
      </c>
      <c r="V83" s="16">
        <f>SUM(V79,V80)</f>
        <v>542.013449900001</v>
      </c>
      <c r="W83" s="16">
        <f>SUM(S83:V83)</f>
        <v>1682.61211748</v>
      </c>
      <c r="X83" s="16">
        <f>SUM(X79,X80)</f>
        <v>405.45202629889</v>
      </c>
      <c r="Y83" s="16">
        <f>SUM(Y79,Y80)</f>
        <v>457.40335227111</v>
      </c>
      <c r="Z83" s="16">
        <f>SUM(Z79,Z80)</f>
        <v>552.761</v>
      </c>
      <c r="AA83" s="16">
        <f>SUM(AA79,AA80)</f>
        <v>540.835500000001</v>
      </c>
      <c r="AB83" s="16">
        <f>SUM(X83:AA83)</f>
        <v>1956.45187857</v>
      </c>
      <c r="AC83" s="16">
        <f>SUM(AC79,AC80)</f>
        <v>480.638</v>
      </c>
      <c r="AD83" s="16">
        <f>SUM(AD79,AD80)</f>
        <v>662.398433216228</v>
      </c>
      <c r="AE83" s="16">
        <f>SUM(AE79,AE80)</f>
        <v>671.056999999999</v>
      </c>
      <c r="AF83" s="16">
        <f>SUM(AF79,AF80)</f>
        <v>453.455000000031</v>
      </c>
      <c r="AG83" s="16">
        <f>SUM(AC83:AF83)</f>
        <v>2267.54843321626</v>
      </c>
      <c r="AH83" s="16">
        <f>SUM(AH79,AH80)</f>
        <v>384.594000000001</v>
      </c>
      <c r="AI83" s="16">
        <f>SUM(AI79,AI80)</f>
        <v>503.916999999999</v>
      </c>
      <c r="AJ83" s="16">
        <f>SUM(AJ79,AJ80)</f>
        <v>0</v>
      </c>
      <c r="AK83" s="16">
        <f>SUM(AK79,AK80)</f>
        <v>0</v>
      </c>
      <c r="AL83" s="16">
        <f>SUM(AL79,AL80)</f>
        <v>888.510999999999</v>
      </c>
      <c r="AM83" s="16">
        <f>SUM(AM79,AM80)</f>
        <v>0</v>
      </c>
      <c r="AN83" s="16">
        <f>SUM(AN79,AN80)</f>
        <v>0</v>
      </c>
      <c r="AO83" s="16">
        <f>SUM(AO79,AO80)</f>
        <v>0</v>
      </c>
      <c r="AP83" s="16">
        <f>SUM(AP79,AP80)</f>
        <v>0</v>
      </c>
      <c r="AQ83" s="16">
        <f>SUM(AQ79,AQ80)</f>
        <v>0</v>
      </c>
      <c r="AR83" s="16">
        <f>SUM(AR79,AR80)</f>
        <v>0</v>
      </c>
      <c r="AS83" s="16">
        <f>SUM(AS79,AS80)</f>
        <v>0</v>
      </c>
      <c r="AT83" s="16">
        <f>SUM(AT79,AT80)</f>
        <v>0</v>
      </c>
      <c r="AU83" s="16">
        <f>SUM(AU79,AU80)</f>
        <v>0</v>
      </c>
      <c r="AV83" s="16">
        <f>SUM(AV79,AV80)</f>
        <v>0</v>
      </c>
      <c r="AW83" s="16">
        <f>SUM(AW79,AW80)</f>
        <v>0</v>
      </c>
      <c r="AX83" s="16">
        <f>SUM(AX79,AX80)</f>
        <v>0</v>
      </c>
      <c r="AY83" s="16">
        <f>SUM(AY79,AY80)</f>
        <v>0</v>
      </c>
      <c r="AZ83" s="16">
        <f>SUM(AZ79,AZ80)</f>
        <v>0</v>
      </c>
      <c r="BA83" s="16">
        <f>SUM(BA79,BA80)</f>
        <v>0</v>
      </c>
      <c r="BB83" s="16">
        <f>SUM(BB79,BB80)</f>
        <v>0</v>
      </c>
      <c r="BC83" s="16">
        <f>SUM(BC79,BC80)</f>
        <v>0</v>
      </c>
      <c r="BD83" s="16">
        <f>SUM(BD79,BD80)</f>
        <v>0</v>
      </c>
      <c r="BE83" s="16">
        <f>SUM(BE79,BE80)</f>
        <v>0</v>
      </c>
      <c r="BF83" s="16">
        <f>SUM(BF79,BF80)</f>
        <v>0</v>
      </c>
      <c r="BG83" s="16">
        <f>SUM(BG79,BG80)</f>
        <v>0</v>
      </c>
      <c r="BH83" s="16">
        <f>SUM(BH79,BH80)</f>
        <v>0</v>
      </c>
      <c r="BI83" s="16">
        <f>SUM(BI79,BI80)</f>
        <v>0</v>
      </c>
      <c r="BJ83" s="16">
        <f>SUM(BJ79,BJ80)</f>
        <v>0</v>
      </c>
      <c r="BK83" s="16">
        <f>SUM(BK79,BK80)</f>
        <v>0</v>
      </c>
      <c r="BL83" s="16">
        <f>SUM(BL79,BL80)</f>
        <v>0</v>
      </c>
      <c r="BM83" s="16">
        <f>SUM(BM79,BM80)</f>
        <v>0</v>
      </c>
      <c r="BN83" s="16">
        <f>SUM(BN79,BN80)</f>
        <v>0</v>
      </c>
      <c r="BO83" s="16">
        <f>SUM(BO79,BO80)</f>
        <v>0</v>
      </c>
      <c r="BP83" s="16">
        <f>SUM(BP79,BP80)</f>
        <v>0</v>
      </c>
      <c r="BQ83" s="16">
        <f>SUM(BQ79,BQ80)</f>
        <v>0</v>
      </c>
      <c r="BR83" s="16">
        <f>SUM(BR79,BR80)</f>
        <v>0</v>
      </c>
      <c r="BS83" s="16">
        <f>SUM(BS79,BS80)</f>
        <v>0</v>
      </c>
      <c r="BT83" s="16">
        <f>SUM(BT79,BT80)</f>
        <v>0</v>
      </c>
      <c r="BU83" s="16">
        <f>SUM(BU79,BU80)</f>
        <v>0</v>
      </c>
      <c r="BV83" s="16">
        <f>SUM(BV79,BV80)</f>
        <v>0</v>
      </c>
      <c r="BW83" s="16">
        <f>SUM(BW79,BW80)</f>
        <v>0</v>
      </c>
      <c r="BX83" s="16">
        <f>SUM(BX79,BX80)</f>
        <v>0</v>
      </c>
      <c r="BY83" s="16">
        <f>SUM(BY79,BY80)</f>
        <v>0</v>
      </c>
      <c r="BZ83" s="16">
        <f>SUM(BZ79,BZ80)</f>
        <v>0</v>
      </c>
      <c r="CA83" s="16">
        <f>SUM(CA79,CA80)</f>
        <v>0</v>
      </c>
      <c r="CB83" s="16">
        <f>SUM(CB79,CB80)</f>
        <v>0</v>
      </c>
      <c r="CC83" s="16">
        <f>SUM(CC79,CC80)</f>
        <v>0</v>
      </c>
      <c r="CD83" s="16">
        <f>SUM(CD79,CD80)</f>
        <v>0</v>
      </c>
      <c r="CE83" s="16">
        <f>SUM(CE79,CE80)</f>
        <v>0</v>
      </c>
      <c r="CF83" s="16">
        <f>SUM(CF79,CF80)</f>
        <v>0</v>
      </c>
      <c r="CG83" s="16">
        <f>SUM(CG79,CG80)</f>
        <v>0</v>
      </c>
      <c r="CH83" s="16">
        <f>SUM(CH79,CH80)</f>
        <v>0</v>
      </c>
      <c r="CI83" s="16">
        <f>SUM(CI79,CI80)</f>
        <v>0</v>
      </c>
      <c r="CJ83" s="16">
        <f>SUM(CJ79,CJ80)</f>
        <v>0</v>
      </c>
      <c r="CK83" s="16">
        <f>SUM(CK79,CK80)</f>
        <v>0</v>
      </c>
      <c r="CL83" s="16">
        <f>SUM(CL79,CL80)</f>
        <v>0</v>
      </c>
      <c r="CM83" s="16">
        <f>SUM(CM79,CM80)</f>
        <v>0</v>
      </c>
      <c r="CN83" s="16">
        <f>SUM(CN79,CN80)</f>
        <v>0</v>
      </c>
      <c r="CO83" s="16">
        <f>SUM(CO79,CO80)</f>
        <v>0</v>
      </c>
      <c r="CP83" s="16">
        <f>SUM(CP79,CP80)</f>
        <v>0</v>
      </c>
      <c r="CQ83" s="16">
        <f>SUM(CQ79,CQ80)</f>
        <v>0</v>
      </c>
      <c r="CR83" s="16">
        <f>SUM(CR79,CR80)</f>
        <v>0</v>
      </c>
      <c r="CS83" s="16">
        <f>SUM(CS79,CS80)</f>
        <v>0</v>
      </c>
      <c r="CT83" s="16">
        <f>SUM(CT79,CT80)</f>
        <v>0</v>
      </c>
      <c r="CU83" s="16">
        <f>SUM(CU79,CU80)</f>
        <v>0</v>
      </c>
      <c r="CV83" s="16">
        <f>SUM(CV79,CV80)</f>
        <v>0</v>
      </c>
      <c r="CW83" s="16">
        <f>SUM(CW79,CW80)</f>
        <v>0</v>
      </c>
      <c r="CX83" s="16">
        <f>SUM(CX79,CX80)</f>
        <v>0</v>
      </c>
      <c r="CY83" s="16">
        <f>SUM(CY79,CY80)</f>
        <v>0</v>
      </c>
    </row>
    <row r="84">
      <c r="C84" s="26" t="inlineStr">
        <is>
          <t>Interest Expense</t>
        </is>
      </c>
      <c r="D84" s="25">
        <f>INDEX('Inputs (2)'!$D$8:$AL$8,MATCH(D$7,'Inputs (2)'!$D$2:$AL$2,0))</f>
        <v>-54.16216727</v>
      </c>
      <c r="E84" s="25">
        <f>INDEX('Inputs (2)'!$D$8:$AL$8,MATCH(E$7,'Inputs (2)'!$D$2:$AL$2,0))</f>
        <v>-63.04883273</v>
      </c>
      <c r="F84" s="25">
        <f>INDEX('Inputs (2)'!$D$8:$AL$8,MATCH(F$7,'Inputs (2)'!$D$2:$AL$2,0))</f>
        <v>-57.591</v>
      </c>
      <c r="G84" s="25">
        <f>INDEX('Inputs (2)'!$D$8:$AL$8,MATCH(G$7,'Inputs (2)'!$D$2:$AL$2,0))</f>
        <v>-53.821</v>
      </c>
      <c r="H84" s="3">
        <f>SUM(D84:G84)</f>
        <v>-228.623</v>
      </c>
      <c r="I84" s="25">
        <f>INDEX('Inputs (2)'!$D$8:$AL$8,MATCH(I$7,'Inputs (2)'!$D$2:$AL$2,0))</f>
        <v>-50.47</v>
      </c>
      <c r="J84" s="25">
        <f>INDEX('Inputs (2)'!$D$8:$AL$8,MATCH(J$7,'Inputs (2)'!$D$2:$AL$2,0))</f>
        <v>-56.216</v>
      </c>
      <c r="K84" s="25">
        <f>INDEX('Inputs (2)'!$D$8:$AL$8,MATCH(K$7,'Inputs (2)'!$D$2:$AL$2,0))</f>
        <v>-91.211</v>
      </c>
      <c r="L84" s="25">
        <f>INDEX('Inputs (2)'!$D$8:$AL$8,MATCH(L$7,'Inputs (2)'!$D$2:$AL$2,0))</f>
        <v>-71.983</v>
      </c>
      <c r="M84" s="3">
        <f>SUM(I84:L84)</f>
        <v>-269.88</v>
      </c>
      <c r="N84" s="25">
        <f>INDEX('Inputs (2)'!$D$8:$AL$8,MATCH(N$7,'Inputs (2)'!$D$2:$AL$2,0))</f>
        <v>-73.218</v>
      </c>
      <c r="O84" s="25">
        <f>INDEX('Inputs (2)'!$D$8:$AL$8,MATCH(O$7,'Inputs (2)'!$D$2:$AL$2,0))</f>
        <v>-94.76177903</v>
      </c>
      <c r="P84" s="25">
        <f>INDEX('Inputs (2)'!$D$8:$AL$8,MATCH(P$7,'Inputs (2)'!$D$2:$AL$2,0))</f>
        <v>-137.924</v>
      </c>
      <c r="Q84" s="25">
        <f>INDEX('Inputs (2)'!$D$8:$AL$8,MATCH(Q$7,'Inputs (2)'!$D$2:$AL$2,0))</f>
        <v>-154.73222097</v>
      </c>
      <c r="R84" s="3">
        <f>SUM(N84:Q84)</f>
        <v>-460.636</v>
      </c>
      <c r="S84" s="25">
        <f>INDEX('Inputs (2)'!$D$8:$AL$8,MATCH(S$7,'Inputs (2)'!$D$2:$AL$2,0))</f>
        <v>-135.96</v>
      </c>
      <c r="T84" s="25">
        <f>INDEX('Inputs (2)'!$D$8:$AL$8,MATCH(T$7,'Inputs (2)'!$D$2:$AL$2,0))</f>
        <v>-166.879</v>
      </c>
      <c r="U84" s="25">
        <f>INDEX('Inputs (2)'!$D$8:$AL$8,MATCH(U$7,'Inputs (2)'!$D$2:$AL$2,0))</f>
        <v>-163.903</v>
      </c>
      <c r="V84" s="25">
        <f>INDEX('Inputs (2)'!$D$8:$AL$8,MATCH(V$7,'Inputs (2)'!$D$2:$AL$2,0))</f>
        <v>-180.578</v>
      </c>
      <c r="W84" s="3">
        <f>SUM(S84:V84)</f>
        <v>-647.32</v>
      </c>
      <c r="X84" s="25">
        <f>INDEX('Inputs (2)'!$D$8:$AL$8,MATCH(X$7,'Inputs (2)'!$D$2:$AL$2,0))</f>
        <v>-187.30166009</v>
      </c>
      <c r="Y84" s="25">
        <f>INDEX('Inputs (2)'!$D$8:$AL$8,MATCH(Y$7,'Inputs (2)'!$D$2:$AL$2,0))</f>
        <v>-198.20873991</v>
      </c>
      <c r="Z84" s="25">
        <f>INDEX('Inputs (2)'!$D$8:$AL$8,MATCH(Z$7,'Inputs (2)'!$D$2:$AL$2,0))</f>
        <v>-208.79</v>
      </c>
      <c r="AA84" s="25">
        <f>INDEX('Inputs (2)'!$D$8:$AL$8,MATCH(AA$7,'Inputs (2)'!$D$2:$AL$2,0))</f>
        <v>-244.9556</v>
      </c>
      <c r="AB84" s="3">
        <f>SUM(X84:AA84)</f>
        <v>-839.256</v>
      </c>
      <c r="AC84" s="25">
        <f>INDEX('Inputs (2)'!$D$8:$AL$8,MATCH(AC$7,'Inputs (2)'!$D$2:$AL$2,0))</f>
        <v>-250.609</v>
      </c>
      <c r="AD84" s="25">
        <f>INDEX('Inputs (2)'!$D$8:$AL$8,MATCH(AD$7,'Inputs (2)'!$D$2:$AL$2,0))</f>
        <v>-267.809</v>
      </c>
      <c r="AE84" s="25">
        <f>INDEX('Inputs (2)'!$D$8:$AL$8,MATCH(AE$7,'Inputs (2)'!$D$2:$AL$2,0))</f>
        <v>-305.637</v>
      </c>
      <c r="AF84" s="25">
        <f>INDEX('Inputs (2)'!$D$8:$AL$8,MATCH(AF$7,'Inputs (2)'!$D$2:$AL$2,0))</f>
        <v>-403.524</v>
      </c>
      <c r="AG84" s="3">
        <f>SUM(AC84:AF84)</f>
        <v>-1227.579</v>
      </c>
      <c r="AH84" s="3">
        <f>INDEX('Inputs (2)'!$D$8:$AL$8,MATCH(AH$7,'Inputs (2)'!$D$2:$AL$2,0))</f>
        <v>-310.031</v>
      </c>
      <c r="AI84" s="3">
        <f>INDEX('Inputs (2)'!$D$8:$AL$8,MATCH(AI$7,'Inputs (2)'!$D$2:$AL$2,0))</f>
        <v>-338.073</v>
      </c>
      <c r="AJ84" s="3" t="n"/>
      <c r="AK84" s="3" t="n"/>
      <c r="AL84" s="3">
        <f>SUM(AH84:AK84)</f>
        <v>-648.104</v>
      </c>
      <c r="AM84" s="3" t="n"/>
      <c r="AN84" s="3" t="n"/>
      <c r="AO84" s="3" t="n"/>
      <c r="AP84" s="3" t="n"/>
      <c r="AQ84" s="3">
        <f>SUM(AM84:AP84)</f>
        <v>0</v>
      </c>
      <c r="AR84" s="3" t="n"/>
      <c r="AS84" s="3" t="n"/>
      <c r="AT84" s="3" t="n"/>
      <c r="AU84" s="3" t="n"/>
      <c r="AV84" s="3">
        <f>SUM(AR84:AU84)</f>
        <v>0</v>
      </c>
      <c r="AW84" s="3" t="n"/>
      <c r="AX84" s="3" t="n"/>
      <c r="AY84" s="3" t="n"/>
      <c r="AZ84" s="3" t="n"/>
      <c r="BA84" s="3">
        <f>SUM(AW84:AZ84)</f>
        <v>0</v>
      </c>
      <c r="BB84" s="3" t="n"/>
      <c r="BC84" s="3" t="n"/>
      <c r="BD84" s="3" t="n"/>
      <c r="BE84" s="3" t="n"/>
      <c r="BF84" s="3">
        <f>SUM(BB84:BE84)</f>
        <v>0</v>
      </c>
      <c r="BG84" s="3" t="n"/>
      <c r="BH84" s="3" t="n"/>
      <c r="BI84" s="3" t="n"/>
      <c r="BJ84" s="3" t="n"/>
      <c r="BK84" s="3">
        <f>SUM(BG84:BJ84)</f>
        <v>0</v>
      </c>
      <c r="BL84" s="3" t="n"/>
      <c r="BM84" s="3" t="n"/>
      <c r="BN84" s="3" t="n"/>
      <c r="BO84" s="3" t="n"/>
      <c r="BP84" s="3">
        <f>SUM(BL84:BO84)</f>
        <v>0</v>
      </c>
      <c r="BQ84" s="3" t="n"/>
      <c r="BR84" s="3" t="n"/>
      <c r="BS84" s="3" t="n"/>
      <c r="BT84" s="3" t="n"/>
      <c r="BU84" s="3">
        <f>SUM(BQ84:BT84)</f>
        <v>0</v>
      </c>
      <c r="BV84" s="3" t="n"/>
      <c r="BW84" s="3" t="n"/>
      <c r="BX84" s="3" t="n"/>
      <c r="BY84" s="3" t="n"/>
      <c r="BZ84" s="3">
        <f>SUM(BV84:BY84)</f>
        <v>0</v>
      </c>
      <c r="CA84" s="3" t="n"/>
      <c r="CB84" s="3" t="n"/>
      <c r="CC84" s="3" t="n"/>
      <c r="CD84" s="3" t="n"/>
      <c r="CE84" s="3">
        <f>SUM(CA84:CD84)</f>
        <v>0</v>
      </c>
      <c r="CF84" s="3" t="n"/>
      <c r="CG84" s="3" t="n"/>
      <c r="CH84" s="3" t="n"/>
      <c r="CI84" s="3" t="n"/>
      <c r="CJ84" s="3">
        <f>SUM(CF84:CI84)</f>
        <v>0</v>
      </c>
      <c r="CK84" s="3" t="n"/>
      <c r="CL84" s="3" t="n"/>
      <c r="CM84" s="3" t="n"/>
      <c r="CN84" s="3" t="n"/>
      <c r="CO84" s="3">
        <f>SUM(CK84:CN84)</f>
        <v>0</v>
      </c>
      <c r="CP84" s="3" t="n"/>
      <c r="CQ84" s="3" t="n"/>
      <c r="CR84" s="3" t="n"/>
      <c r="CS84" s="3" t="n"/>
      <c r="CT84" s="3">
        <f>SUM(CP84:CS84)</f>
        <v>0</v>
      </c>
      <c r="CU84" s="3" t="n"/>
      <c r="CV84" s="3" t="n"/>
      <c r="CW84" s="3" t="n"/>
      <c r="CX84" s="3" t="n"/>
      <c r="CY84" s="3">
        <f>SUM(CU84:CX84)</f>
        <v>0</v>
      </c>
    </row>
    <row r="85" hidden="1" outlineLevel="1">
      <c r="C85" s="32" t="inlineStr">
        <is>
          <t>% of Debt</t>
        </is>
      </c>
      <c r="D85" s="48">
        <f>IFERROR(-D84/SUM(D222+D227),0)</f>
        <v>0</v>
      </c>
      <c r="E85" s="48">
        <f>IFERROR(-E84/SUM(E222+E227),0)</f>
        <v>0.0524727854118795</v>
      </c>
      <c r="F85" s="48">
        <f>IFERROR(-F84/SUM(F222+F227),0)</f>
        <v>0.0441006331756506</v>
      </c>
      <c r="G85" s="48">
        <f>IFERROR(-G84/SUM(G222+G227),0)</f>
        <v>0.0908379401225069</v>
      </c>
      <c r="H85" s="3" t="n"/>
      <c r="I85" s="48">
        <f>IFERROR(-I84/SUM(I222+I227),0)</f>
        <v>0.0881540155430278</v>
      </c>
      <c r="J85" s="48">
        <f>IFERROR(-J84/SUM(J222+J227),0)</f>
        <v>0.101820246529713</v>
      </c>
      <c r="K85" s="48">
        <f>IFERROR(-K84/SUM(K222+K227),0)</f>
        <v>0.171614087967954</v>
      </c>
      <c r="L85" s="48">
        <f>IFERROR(-L84/SUM(L222+L227),0)</f>
        <v>0.0690571189281339</v>
      </c>
      <c r="M85" s="3" t="n"/>
      <c r="N85" s="48">
        <f>IFERROR(-N84/SUM(N222+N227),0)</f>
        <v>0.0699951436077259</v>
      </c>
      <c r="O85" s="48">
        <f>IFERROR(-O84/SUM(O222+O227),0)</f>
        <v>0.0890778128686635</v>
      </c>
      <c r="P85" s="48">
        <f>IFERROR(-P84/SUM(P222+P227),0)</f>
        <v>0.0752711116738332</v>
      </c>
      <c r="Q85" s="48">
        <f>IFERROR(-Q84/SUM(Q222+Q227),0)</f>
        <v>0.0845045014917646</v>
      </c>
      <c r="R85" s="3" t="n"/>
      <c r="S85" s="48">
        <f>IFERROR(-S84/SUM(S222+S227),0)</f>
        <v>0.0751835626922307</v>
      </c>
      <c r="T85" s="48">
        <f>IFERROR(-T84/SUM(T222+T227),0)</f>
        <v>0.0927984047120163</v>
      </c>
      <c r="U85" s="48">
        <f>IFERROR(-U84/SUM(U222+U227),0)</f>
        <v>0.0921500708682357</v>
      </c>
      <c r="V85" s="48">
        <f>IFERROR(-V84/SUM(V222+V227),0)</f>
        <v>0.101483434716733</v>
      </c>
      <c r="W85" s="3" t="n"/>
      <c r="X85" s="48">
        <f>IFERROR(-X84/SUM(X222+X227),0)</f>
        <v>0.103242866681182</v>
      </c>
      <c r="Y85" s="48">
        <f>IFERROR(-Y84/SUM(Y222+Y227),0)</f>
        <v>0.108653371510171</v>
      </c>
      <c r="Z85" s="48">
        <f>IFERROR(-Z84/SUM(Z222+Z227),0)</f>
        <v>0.11546184461343</v>
      </c>
      <c r="AA85" s="48">
        <f>IFERROR(-AA84/SUM(AA222+AA227),0)</f>
        <v>0.107726867728768</v>
      </c>
      <c r="AB85" s="3" t="n"/>
      <c r="AC85" s="48">
        <f>IFERROR(-AC84/SUM(AC222+AC227),0)</f>
        <v>0.117377141318221</v>
      </c>
      <c r="AD85" s="48">
        <f>IFERROR(-AD84/SUM(AD222+AD227),0)</f>
        <v>0.126592635940701</v>
      </c>
      <c r="AE85" s="48">
        <f>IFERROR(-AE84/SUM(AE222+AE227),0)</f>
        <v>0.116592997408638</v>
      </c>
      <c r="AF85" s="231">
        <f>IFERROR(-AF84/SUM(AF222+AF227),0)</f>
        <v>0.141037815808927</v>
      </c>
      <c r="AG85" s="3" t="n"/>
      <c r="AH85" s="6">
        <f>IFERROR(-AH84/SUM(AH222+AH227),0)</f>
        <v>0.113976914997531</v>
      </c>
      <c r="AI85" s="6">
        <f>IFERROR(-AI84/SUM(AI222+AI227),0)</f>
        <v>0.124091902145666</v>
      </c>
      <c r="AJ85" s="6" t="n"/>
      <c r="AK85" s="6" t="n"/>
      <c r="AL85" s="3" t="n"/>
      <c r="AM85" s="6" t="n"/>
      <c r="AN85" s="6" t="n"/>
      <c r="AO85" s="6" t="n"/>
      <c r="AP85" s="6" t="n"/>
      <c r="AQ85" s="3" t="n"/>
      <c r="AR85" s="6" t="n"/>
      <c r="AS85" s="6" t="n"/>
      <c r="AT85" s="6" t="n"/>
      <c r="AU85" s="6" t="n"/>
      <c r="AV85" s="3" t="n"/>
      <c r="AW85" s="6" t="n"/>
      <c r="AX85" s="6" t="n"/>
      <c r="AY85" s="6" t="n"/>
      <c r="AZ85" s="6" t="n"/>
      <c r="BA85" s="3" t="n"/>
      <c r="BB85" s="6" t="n"/>
      <c r="BC85" s="6" t="n"/>
      <c r="BD85" s="6" t="n"/>
      <c r="BE85" s="6" t="n"/>
      <c r="BF85" s="3" t="n"/>
      <c r="BG85" s="6" t="n"/>
      <c r="BH85" s="6" t="n"/>
      <c r="BI85" s="6" t="n"/>
      <c r="BJ85" s="6" t="n"/>
      <c r="BK85" s="3" t="n"/>
      <c r="BL85" s="6" t="n"/>
      <c r="BM85" s="6" t="n"/>
      <c r="BN85" s="6" t="n"/>
      <c r="BO85" s="6" t="n"/>
      <c r="BP85" s="3" t="n"/>
      <c r="BQ85" s="6" t="n"/>
      <c r="BR85" s="6" t="n"/>
      <c r="BS85" s="6" t="n"/>
      <c r="BT85" s="6" t="n"/>
      <c r="BU85" s="3" t="n"/>
      <c r="BV85" s="6" t="n"/>
      <c r="BW85" s="6" t="n"/>
      <c r="BX85" s="6" t="n"/>
      <c r="BY85" s="6" t="n"/>
      <c r="BZ85" s="3" t="n"/>
      <c r="CA85" s="6" t="n"/>
      <c r="CB85" s="6" t="n"/>
      <c r="CC85" s="6" t="n"/>
      <c r="CD85" s="6" t="n"/>
      <c r="CE85" s="3" t="n"/>
      <c r="CF85" s="6" t="n"/>
      <c r="CG85" s="6" t="n"/>
      <c r="CH85" s="6" t="n"/>
      <c r="CI85" s="6" t="n"/>
      <c r="CJ85" s="3" t="n"/>
      <c r="CK85" s="6" t="n"/>
      <c r="CL85" s="6" t="n"/>
      <c r="CM85" s="6" t="n"/>
      <c r="CN85" s="6" t="n"/>
      <c r="CO85" s="3" t="n"/>
      <c r="CP85" s="6" t="n"/>
      <c r="CQ85" s="6" t="n"/>
      <c r="CR85" s="6" t="n"/>
      <c r="CS85" s="6" t="n"/>
      <c r="CT85" s="3" t="n"/>
      <c r="CU85" s="6" t="n"/>
      <c r="CV85" s="6" t="n"/>
      <c r="CW85" s="6" t="n"/>
      <c r="CX85" s="6" t="n"/>
      <c r="CY85" s="3" t="n"/>
    </row>
    <row r="86" hidden="1" outlineLevel="1">
      <c r="C86" s="32" t="inlineStr">
        <is>
          <t>%CDI</t>
        </is>
      </c>
      <c r="D86" s="6" t="n"/>
      <c r="E86" s="6" t="n"/>
      <c r="F86" s="6" t="n"/>
      <c r="G86" s="6" t="n"/>
      <c r="H86" s="3" t="n"/>
      <c r="I86" s="6" t="n"/>
      <c r="J86" s="6" t="n"/>
      <c r="K86" s="6" t="n"/>
      <c r="L86" s="6" t="n"/>
      <c r="M86" s="3" t="n"/>
      <c r="N86" s="6" t="n"/>
      <c r="O86" s="6" t="n"/>
      <c r="P86" s="6" t="n"/>
      <c r="Q86" s="6" t="n"/>
      <c r="R86" s="3" t="n"/>
      <c r="S86" s="6" t="n"/>
      <c r="T86" s="6" t="n"/>
      <c r="U86" s="6" t="n"/>
      <c r="V86" s="6" t="n"/>
      <c r="W86" s="3" t="n"/>
      <c r="X86" s="6" t="n"/>
      <c r="Y86" s="6" t="n"/>
      <c r="Z86" s="6" t="n"/>
      <c r="AA86" s="6" t="n"/>
      <c r="AB86" s="3" t="n"/>
      <c r="AC86" s="6" t="n"/>
      <c r="AD86" s="6" t="n"/>
      <c r="AE86" s="6" t="n"/>
      <c r="AF86" s="6" t="n"/>
      <c r="AG86" s="3" t="n"/>
      <c r="AH86" s="6" t="n"/>
      <c r="AI86" s="6" t="n"/>
      <c r="AJ86" s="6" t="n"/>
      <c r="AK86" s="6" t="n"/>
      <c r="AL86" s="3" t="n"/>
      <c r="AM86" s="6" t="n"/>
      <c r="AN86" s="6" t="n"/>
      <c r="AO86" s="6" t="n"/>
      <c r="AP86" s="6" t="n"/>
      <c r="AQ86" s="3" t="n"/>
      <c r="AR86" s="6" t="n"/>
      <c r="AS86" s="6" t="n"/>
      <c r="AT86" s="6" t="n"/>
      <c r="AU86" s="6" t="n"/>
      <c r="AV86" s="3" t="n"/>
      <c r="AW86" s="6" t="n"/>
      <c r="AX86" s="6" t="n"/>
      <c r="AY86" s="6" t="n"/>
      <c r="AZ86" s="6" t="n"/>
      <c r="BA86" s="3" t="n"/>
      <c r="BB86" s="6" t="n"/>
      <c r="BC86" s="6" t="n"/>
      <c r="BD86" s="6" t="n"/>
      <c r="BE86" s="6" t="n"/>
      <c r="BF86" s="3" t="n"/>
      <c r="BG86" s="6" t="n"/>
      <c r="BH86" s="6" t="n"/>
      <c r="BI86" s="6" t="n"/>
      <c r="BJ86" s="6" t="n"/>
      <c r="BK86" s="3" t="n"/>
      <c r="BL86" s="6" t="n"/>
      <c r="BM86" s="6" t="n"/>
      <c r="BN86" s="6" t="n"/>
      <c r="BO86" s="6" t="n"/>
      <c r="BP86" s="3" t="n"/>
      <c r="BQ86" s="6" t="n"/>
      <c r="BR86" s="6" t="n"/>
      <c r="BS86" s="6" t="n"/>
      <c r="BT86" s="6" t="n"/>
      <c r="BU86" s="3" t="n"/>
      <c r="BV86" s="6" t="n"/>
      <c r="BW86" s="6" t="n"/>
      <c r="BX86" s="6" t="n"/>
      <c r="BY86" s="6" t="n"/>
      <c r="BZ86" s="3" t="n"/>
      <c r="CA86" s="6" t="n"/>
      <c r="CB86" s="6" t="n"/>
      <c r="CC86" s="6" t="n"/>
      <c r="CD86" s="6" t="n"/>
      <c r="CE86" s="3" t="n"/>
      <c r="CF86" s="6" t="n"/>
      <c r="CG86" s="6" t="n"/>
      <c r="CH86" s="6" t="n"/>
      <c r="CI86" s="6" t="n"/>
      <c r="CJ86" s="3" t="n"/>
      <c r="CK86" s="6" t="n"/>
      <c r="CL86" s="6" t="n"/>
      <c r="CM86" s="6" t="n"/>
      <c r="CN86" s="6" t="n"/>
      <c r="CO86" s="3" t="n"/>
      <c r="CP86" s="6" t="n"/>
      <c r="CQ86" s="6" t="n"/>
      <c r="CR86" s="6" t="n"/>
      <c r="CS86" s="6" t="n"/>
      <c r="CT86" s="3" t="n"/>
      <c r="CU86" s="6" t="n"/>
      <c r="CV86" s="6" t="n"/>
      <c r="CW86" s="6" t="n"/>
      <c r="CX86" s="6" t="n"/>
      <c r="CY86" s="3" t="n"/>
    </row>
    <row r="87" hidden="1" outlineLevel="1">
      <c r="C87" s="34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RECEITA FINANCEIRA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DESPESA FINANCEIRA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OUTROS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Cash and equivalents (inc. investment securities)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Interest on cash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Average interest rate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% CDI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Current portion of long-term debt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Short term debt (Revolving credit facility)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Long term debt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Convertible debt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Total debt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Interest expense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Average interest rate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Stake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PRE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CDI+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Spread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PRE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CDI+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RECEITAS FINANCEIRAS - Rendimentos de aplicações financeiras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RECEITAS FINANCEIRAS - Variação cambial ativa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RECEITAS FINANCEIRAS - Atualização de contas a pagar por aquisição de empresas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RECEITAS FINANCEIRAS - Resultado positivo com instrumentos derivativos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RECEITAS FINANCEIRAS - Descontos obtidos de fornecedores por antecipação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RECEITAS FINANCEIRAS - Atualização monetária sobre Exclusão ICMS da base de PIS/COFINS (nota explicativa nº 7)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RECEITAS FINANCEIRAS - Outras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inlineStr">
        <is>
          <t>DESPESAS FINANCEIRAS - Encargos sobre empréstimos, financiamentos e debêntures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inlineStr">
        <is>
          <t>DESPESAS FINANCEIRAS - Variação cambial passiva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inlineStr">
        <is>
          <t>DESPESAS FINANCEIRAS - Resultado negativo com instrumentos derivativos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inlineStr">
        <is>
          <t>DESPESAS FINANCEIRAS - Juros sobre arrendamento - IFRS16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4" t="inlineStr">
        <is>
          <t>DESPESAS FINANCEIRAS - Despesas bancárias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4" t="inlineStr">
        <is>
          <t>DESPESAS FINANCEIRAS - Despesas com obtenção de empréstimos e financiamentos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inlineStr">
        <is>
          <t>DESPESAS FINANCEIRAS - Atualização de contas a pagar por aquisição de empresas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inlineStr">
        <is>
          <t>DESPESAS FINANCEIRAS - Outras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inlineStr">
        <is>
          <t>CHECK [EX IFRS-16]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hidden="1" outlineLevel="1">
      <c r="C132" s="34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  <c r="CU132" s="3" t="n"/>
      <c r="CV132" s="3" t="n"/>
      <c r="CW132" s="3" t="n"/>
      <c r="CX132" s="3" t="n"/>
      <c r="CY132" s="3" t="n"/>
    </row>
    <row r="133" collapsed="1">
      <c r="C133" s="26" t="inlineStr">
        <is>
          <t>Nonoperating Income / (Loss)</t>
        </is>
      </c>
      <c r="D133" s="25">
        <f>INDEX('Inputs (2)'!$D$9:$AL$9,MATCH(D$7,'Inputs (2)'!$D$2:$AL$2,0))</f>
        <v>16.47886336</v>
      </c>
      <c r="E133" s="25">
        <f>INDEX('Inputs (2)'!$D$9:$AL$9,MATCH(E$7,'Inputs (2)'!$D$2:$AL$2,0))</f>
        <v>18.93113664</v>
      </c>
      <c r="F133" s="25">
        <f>INDEX('Inputs (2)'!$D$9:$AL$9,MATCH(F$7,'Inputs (2)'!$D$2:$AL$2,0))</f>
        <v>18.504</v>
      </c>
      <c r="G133" s="25">
        <f>INDEX('Inputs (2)'!$D$9:$AL$9,MATCH(G$7,'Inputs (2)'!$D$2:$AL$2,0))</f>
        <v>29.563</v>
      </c>
      <c r="H133" s="3">
        <f>SUM(D133:G133)</f>
        <v>83.477</v>
      </c>
      <c r="I133" s="25">
        <f>INDEX('Inputs (2)'!$D$9:$AL$9,MATCH(I$7,'Inputs (2)'!$D$2:$AL$2,0))</f>
        <v>25.69076605</v>
      </c>
      <c r="J133" s="25">
        <f>INDEX('Inputs (2)'!$D$9:$AL$9,MATCH(J$7,'Inputs (2)'!$D$2:$AL$2,0))</f>
        <v>31.7005537</v>
      </c>
      <c r="K133" s="25">
        <f>INDEX('Inputs (2)'!$D$9:$AL$9,MATCH(K$7,'Inputs (2)'!$D$2:$AL$2,0))</f>
        <v>44.51</v>
      </c>
      <c r="L133" s="25">
        <f>INDEX('Inputs (2)'!$D$9:$AL$9,MATCH(L$7,'Inputs (2)'!$D$2:$AL$2,0))</f>
        <v>39.361</v>
      </c>
      <c r="M133" s="3">
        <f>SUM(I133:L133)</f>
        <v>141.26231975</v>
      </c>
      <c r="N133" s="25">
        <f>INDEX('Inputs (2)'!$D$9:$AL$9,MATCH(N$7,'Inputs (2)'!$D$2:$AL$2,0))</f>
        <v>44.14633455</v>
      </c>
      <c r="O133" s="25">
        <f>INDEX('Inputs (2)'!$D$9:$AL$9,MATCH(O$7,'Inputs (2)'!$D$2:$AL$2,0))</f>
        <v>36.20066545</v>
      </c>
      <c r="P133" s="25">
        <f>INDEX('Inputs (2)'!$D$9:$AL$9,MATCH(P$7,'Inputs (2)'!$D$2:$AL$2,0))</f>
        <v>47.128</v>
      </c>
      <c r="Q133" s="25">
        <f>INDEX('Inputs (2)'!$D$9:$AL$9,MATCH(Q$7,'Inputs (2)'!$D$2:$AL$2,0))</f>
        <v>56.191</v>
      </c>
      <c r="R133" s="3">
        <f>SUM(N133:Q133)</f>
        <v>183.666</v>
      </c>
      <c r="S133" s="25">
        <f>INDEX('Inputs (2)'!$D$9:$AL$9,MATCH(S$7,'Inputs (2)'!$D$2:$AL$2,0))</f>
        <v>63.202</v>
      </c>
      <c r="T133" s="25">
        <f>INDEX('Inputs (2)'!$D$9:$AL$9,MATCH(T$7,'Inputs (2)'!$D$2:$AL$2,0))</f>
        <v>62.773</v>
      </c>
      <c r="U133" s="25">
        <f>INDEX('Inputs (2)'!$D$9:$AL$9,MATCH(U$7,'Inputs (2)'!$D$2:$AL$2,0))</f>
        <v>63.855</v>
      </c>
      <c r="V133" s="25">
        <f>INDEX('Inputs (2)'!$D$9:$AL$9,MATCH(V$7,'Inputs (2)'!$D$2:$AL$2,0))</f>
        <v>52.167</v>
      </c>
      <c r="W133" s="3">
        <f>SUM(S133:V133)</f>
        <v>241.997</v>
      </c>
      <c r="X133" s="25">
        <f>INDEX('Inputs (2)'!$D$9:$AL$9,MATCH(X$7,'Inputs (2)'!$D$2:$AL$2,0))</f>
        <v>54.59566009</v>
      </c>
      <c r="Y133" s="25">
        <f>INDEX('Inputs (2)'!$D$9:$AL$9,MATCH(Y$7,'Inputs (2)'!$D$2:$AL$2,0))</f>
        <v>71.54033991</v>
      </c>
      <c r="Z133" s="25">
        <f>INDEX('Inputs (2)'!$D$9:$AL$9,MATCH(Z$7,'Inputs (2)'!$D$2:$AL$2,0))</f>
        <v>58.966</v>
      </c>
      <c r="AA133" s="25">
        <f>INDEX('Inputs (2)'!$D$9:$AL$9,MATCH(AA$7,'Inputs (2)'!$D$2:$AL$2,0))</f>
        <v>82.206</v>
      </c>
      <c r="AB133" s="3">
        <f>SUM(X133:AA133)</f>
        <v>267.308</v>
      </c>
      <c r="AC133" s="25">
        <f>INDEX('Inputs (2)'!$D$9:$AL$9,MATCH(AC$7,'Inputs (2)'!$D$2:$AL$2,0))</f>
        <v>69.356</v>
      </c>
      <c r="AD133" s="25">
        <f>INDEX('Inputs (2)'!$D$9:$AL$9,MATCH(AD$7,'Inputs (2)'!$D$2:$AL$2,0))</f>
        <v>58.754</v>
      </c>
      <c r="AE133" s="25">
        <f>INDEX('Inputs (2)'!$D$9:$AL$9,MATCH(AE$7,'Inputs (2)'!$D$2:$AL$2,0))</f>
        <v>87.088</v>
      </c>
      <c r="AF133" s="25">
        <f>INDEX('Inputs (2)'!$D$9:$AL$9,MATCH(AF$7,'Inputs (2)'!$D$2:$AL$2,0))</f>
        <v>96.761</v>
      </c>
      <c r="AG133" s="3">
        <f>SUM(AC133:AF133)</f>
        <v>311.959</v>
      </c>
      <c r="AH133" s="3">
        <f>INDEX('Inputs (2)'!$D$9:$AL$9,MATCH(AH$7,'Inputs (2)'!$D$2:$AL$2,0))</f>
        <v>87.895</v>
      </c>
      <c r="AI133" s="3">
        <f>INDEX('Inputs (2)'!$D$9:$AL$9,MATCH(AI$7,'Inputs (2)'!$D$2:$AL$2,0))</f>
        <v>90.775</v>
      </c>
      <c r="AJ133" s="3">
        <f>AH133</f>
        <v>87.895</v>
      </c>
      <c r="AK133" s="3">
        <f>AI133</f>
        <v>90.775</v>
      </c>
      <c r="AL133" s="3">
        <f>SUM(AH133:AK133)</f>
        <v>357.34</v>
      </c>
      <c r="AM133" s="3">
        <f>AK133</f>
        <v>90.775</v>
      </c>
      <c r="AN133" s="3">
        <f>AL133</f>
        <v>357.34</v>
      </c>
      <c r="AO133" s="3">
        <f>AM133</f>
        <v>90.775</v>
      </c>
      <c r="AP133" s="3">
        <f>AN133</f>
        <v>357.34</v>
      </c>
      <c r="AQ133" s="3">
        <f>SUM(AM133:AP133)</f>
        <v>896.23</v>
      </c>
      <c r="AR133" s="3">
        <f>AP133</f>
        <v>357.34</v>
      </c>
      <c r="AS133" s="3">
        <f>AQ133</f>
        <v>896.23</v>
      </c>
      <c r="AT133" s="3">
        <f>AR133</f>
        <v>357.34</v>
      </c>
      <c r="AU133" s="3">
        <f>AS133</f>
        <v>896.23</v>
      </c>
      <c r="AV133" s="3">
        <f>SUM(AR133:AU133)</f>
        <v>2507.14</v>
      </c>
      <c r="AW133" s="3">
        <f>AU133</f>
        <v>896.23</v>
      </c>
      <c r="AX133" s="3">
        <f>AV133</f>
        <v>2507.14</v>
      </c>
      <c r="AY133" s="3">
        <f>AW133</f>
        <v>896.23</v>
      </c>
      <c r="AZ133" s="3">
        <f>AX133</f>
        <v>2507.14</v>
      </c>
      <c r="BA133" s="3">
        <f>SUM(AW133:AZ133)</f>
        <v>6806.74</v>
      </c>
      <c r="BB133" s="3">
        <f>AZ133</f>
        <v>2507.14</v>
      </c>
      <c r="BC133" s="3">
        <f>BA133</f>
        <v>6806.74</v>
      </c>
      <c r="BD133" s="3">
        <f>BB133</f>
        <v>2507.14</v>
      </c>
      <c r="BE133" s="3">
        <f>BC133</f>
        <v>6806.74</v>
      </c>
      <c r="BF133" s="3">
        <f>SUM(BB133:BE133)</f>
        <v>18627.76</v>
      </c>
      <c r="BG133" s="3">
        <f>BE133</f>
        <v>6806.74</v>
      </c>
      <c r="BH133" s="3">
        <f>BF133</f>
        <v>18627.76</v>
      </c>
      <c r="BI133" s="3">
        <f>BG133</f>
        <v>6806.74</v>
      </c>
      <c r="BJ133" s="3">
        <f>BH133</f>
        <v>18627.76</v>
      </c>
      <c r="BK133" s="3">
        <f>SUM(BG133:BJ133)</f>
        <v>50869</v>
      </c>
      <c r="BL133" s="3">
        <f>BJ133</f>
        <v>18627.76</v>
      </c>
      <c r="BM133" s="3">
        <f>BK133</f>
        <v>50869</v>
      </c>
      <c r="BN133" s="3">
        <f>BL133</f>
        <v>18627.76</v>
      </c>
      <c r="BO133" s="3">
        <f>BM133</f>
        <v>50869</v>
      </c>
      <c r="BP133" s="3">
        <f>SUM(BL133:BO133)</f>
        <v>138993.52</v>
      </c>
      <c r="BQ133" s="3">
        <f>BO133</f>
        <v>50869</v>
      </c>
      <c r="BR133" s="3">
        <f>BP133</f>
        <v>138993.52</v>
      </c>
      <c r="BS133" s="3">
        <f>BQ133</f>
        <v>50869</v>
      </c>
      <c r="BT133" s="3">
        <f>BR133</f>
        <v>138993.52</v>
      </c>
      <c r="BU133" s="3">
        <f>SUM(BQ133:BT133)</f>
        <v>379725.04</v>
      </c>
      <c r="BV133" s="3">
        <f>BT133</f>
        <v>138993.52</v>
      </c>
      <c r="BW133" s="3">
        <f>BU133</f>
        <v>379725.04</v>
      </c>
      <c r="BX133" s="3">
        <f>BV133</f>
        <v>138993.52</v>
      </c>
      <c r="BY133" s="3">
        <f>BW133</f>
        <v>379725.04</v>
      </c>
      <c r="BZ133" s="3">
        <f>SUM(BV133:BY133)</f>
        <v>1037437.12</v>
      </c>
      <c r="CA133" s="3">
        <f>BY133</f>
        <v>379725.04</v>
      </c>
      <c r="CB133" s="3">
        <f>BZ133</f>
        <v>1037437.12</v>
      </c>
      <c r="CC133" s="3">
        <f>CA133</f>
        <v>379725.04</v>
      </c>
      <c r="CD133" s="3">
        <f>CB133</f>
        <v>1037437.12</v>
      </c>
      <c r="CE133" s="3">
        <f>SUM(CA133:CD133)</f>
        <v>2834324.32</v>
      </c>
      <c r="CF133" s="3">
        <f>CD133</f>
        <v>1037437.12</v>
      </c>
      <c r="CG133" s="3">
        <f>CE133</f>
        <v>2834324.32</v>
      </c>
      <c r="CH133" s="3">
        <f>CF133</f>
        <v>1037437.12</v>
      </c>
      <c r="CI133" s="3">
        <f>CG133</f>
        <v>2834324.32</v>
      </c>
      <c r="CJ133" s="3">
        <f>SUM(CF133:CI133)</f>
        <v>7743522.88</v>
      </c>
      <c r="CK133" s="3">
        <f>CI133</f>
        <v>2834324.32</v>
      </c>
      <c r="CL133" s="3">
        <f>CJ133</f>
        <v>7743522.88</v>
      </c>
      <c r="CM133" s="3">
        <f>CK133</f>
        <v>2834324.32</v>
      </c>
      <c r="CN133" s="3">
        <f>CL133</f>
        <v>7743522.88</v>
      </c>
      <c r="CO133" s="3">
        <f>SUM(CK133:CN133)</f>
        <v>21155694.4</v>
      </c>
      <c r="CP133" s="3">
        <f>CN133</f>
        <v>7743522.88</v>
      </c>
      <c r="CQ133" s="3">
        <f>CO133</f>
        <v>21155694.4</v>
      </c>
      <c r="CR133" s="3">
        <f>CP133</f>
        <v>7743522.88</v>
      </c>
      <c r="CS133" s="3">
        <f>CQ133</f>
        <v>21155694.4</v>
      </c>
      <c r="CT133" s="3">
        <f>SUM(CP133:CS133)</f>
        <v>57798434.56</v>
      </c>
      <c r="CU133" s="3">
        <f>CS133</f>
        <v>21155694.4</v>
      </c>
      <c r="CV133" s="3">
        <f>CT133</f>
        <v>57798434.56</v>
      </c>
      <c r="CW133" s="3">
        <f>CU133</f>
        <v>21155694.4</v>
      </c>
      <c r="CX133" s="3">
        <f>CV133</f>
        <v>57798434.56</v>
      </c>
      <c r="CY133" s="3">
        <f>SUM(CU133:CX133)</f>
        <v>157908257.92</v>
      </c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32" t="inlineStr">
        <is>
          <t>Resultado Não Recorrente</t>
        </is>
      </c>
      <c r="D135" s="6" t="n"/>
      <c r="E135" s="6" t="n"/>
      <c r="F135" s="6" t="n"/>
      <c r="G135" s="6" t="n"/>
      <c r="H135" s="3" t="n"/>
      <c r="I135" s="6" t="n"/>
      <c r="J135" s="6" t="n"/>
      <c r="K135" s="6" t="n"/>
      <c r="L135" s="6" t="n"/>
      <c r="M135" s="3" t="n"/>
      <c r="N135" s="6" t="n"/>
      <c r="O135" s="6" t="n"/>
      <c r="P135" s="6" t="n"/>
      <c r="Q135" s="6" t="n"/>
      <c r="R135" s="3" t="n"/>
      <c r="S135" s="6" t="n"/>
      <c r="T135" s="6" t="n"/>
      <c r="U135" s="6" t="n"/>
      <c r="V135" s="6" t="n"/>
      <c r="W135" s="3" t="n"/>
      <c r="X135" s="6" t="n"/>
      <c r="Y135" s="6" t="n"/>
      <c r="Z135" s="6" t="n"/>
      <c r="AA135" s="6" t="n"/>
      <c r="AB135" s="3" t="n"/>
      <c r="AC135" s="6" t="n"/>
      <c r="AD135" s="6" t="n"/>
      <c r="AE135" s="6" t="n"/>
      <c r="AF135" s="6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hidden="1" outlineLevel="1">
      <c r="C136" s="32" t="inlineStr">
        <is>
          <t>Plano de Opção de Compra de Ações</t>
        </is>
      </c>
      <c r="D136" s="6" t="n"/>
      <c r="E136" s="6" t="n"/>
      <c r="F136" s="6" t="n"/>
      <c r="G136" s="6" t="n"/>
      <c r="H136" s="3" t="n"/>
      <c r="I136" s="6" t="n"/>
      <c r="J136" s="6" t="n"/>
      <c r="K136" s="6" t="n"/>
      <c r="L136" s="6" t="n"/>
      <c r="M136" s="3" t="n"/>
      <c r="N136" s="6" t="n"/>
      <c r="O136" s="6" t="n"/>
      <c r="P136" s="6" t="n"/>
      <c r="Q136" s="6" t="n"/>
      <c r="R136" s="3" t="n"/>
      <c r="S136" s="6" t="n"/>
      <c r="T136" s="6" t="n"/>
      <c r="U136" s="6" t="n"/>
      <c r="V136" s="6" t="n"/>
      <c r="W136" s="3" t="n"/>
      <c r="X136" s="6" t="n"/>
      <c r="Y136" s="6" t="n"/>
      <c r="Z136" s="6" t="n"/>
      <c r="AA136" s="6" t="n"/>
      <c r="AB136" s="3" t="n"/>
      <c r="AC136" s="6" t="n"/>
      <c r="AD136" s="6" t="n"/>
      <c r="AE136" s="6" t="n"/>
      <c r="AF136" s="6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  <c r="CU136" s="3" t="n"/>
      <c r="CV136" s="3" t="n"/>
      <c r="CW136" s="3" t="n"/>
      <c r="CX136" s="3" t="n"/>
      <c r="CY136" s="3" t="n"/>
    </row>
    <row r="137" hidden="1" outlineLevel="1">
      <c r="C137" s="32" t="inlineStr">
        <is>
          <t>Baixa Imobilizado</t>
        </is>
      </c>
      <c r="D137" s="6" t="n"/>
      <c r="E137" s="6" t="n"/>
      <c r="F137" s="6" t="n"/>
      <c r="G137" s="6" t="n"/>
      <c r="H137" s="3" t="n"/>
      <c r="I137" s="6" t="n"/>
      <c r="J137" s="6" t="n"/>
      <c r="K137" s="6" t="n"/>
      <c r="L137" s="6" t="n"/>
      <c r="M137" s="3" t="n"/>
      <c r="N137" s="6" t="n"/>
      <c r="O137" s="6" t="n"/>
      <c r="P137" s="6" t="n"/>
      <c r="Q137" s="6" t="n"/>
      <c r="R137" s="3" t="n"/>
      <c r="S137" s="6" t="n"/>
      <c r="T137" s="6" t="n"/>
      <c r="U137" s="6" t="n"/>
      <c r="V137" s="6" t="n"/>
      <c r="W137" s="3" t="n"/>
      <c r="X137" s="6" t="n"/>
      <c r="Y137" s="6" t="n"/>
      <c r="Z137" s="6" t="n"/>
      <c r="AA137" s="6" t="n"/>
      <c r="AB137" s="3" t="n"/>
      <c r="AC137" s="6" t="n"/>
      <c r="AD137" s="6" t="n"/>
      <c r="AE137" s="6" t="n"/>
      <c r="AF137" s="6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  <c r="CT137" s="3" t="n"/>
      <c r="CU137" s="3" t="n"/>
      <c r="CV137" s="3" t="n"/>
      <c r="CW137" s="3" t="n"/>
      <c r="CX137" s="3" t="n"/>
      <c r="CY137" s="3" t="n"/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collapsed="1" customFormat="1" s="17">
      <c r="A140" s="13" t="n"/>
      <c r="B140" s="1" t="n"/>
      <c r="C140" s="14" t="inlineStr">
        <is>
          <t>Pretax Income - EBT</t>
        </is>
      </c>
      <c r="D140" s="16">
        <f>SUM(D83,D84,D133)</f>
        <v>101.82396952</v>
      </c>
      <c r="E140" s="16">
        <f>SUM(E83,E84,E133)</f>
        <v>195.35180348</v>
      </c>
      <c r="F140" s="16">
        <f>SUM(F83,F84,F133)</f>
        <v>236.912227</v>
      </c>
      <c r="G140" s="16">
        <f>SUM(G83,G84,G133)</f>
        <v>190.45100276</v>
      </c>
      <c r="H140" s="16">
        <f>SUM(D140:G140)</f>
        <v>724.539002759999</v>
      </c>
      <c r="I140" s="16">
        <f>SUM(I83,I84,I133)</f>
        <v>156.721154309999</v>
      </c>
      <c r="J140" s="16">
        <f>SUM(J83,J84,J133)</f>
        <v>190.563345490002</v>
      </c>
      <c r="K140" s="16">
        <f>SUM(K83,K84,K133)</f>
        <v>213.424</v>
      </c>
      <c r="L140" s="16">
        <f>SUM(L83,L84,L133)</f>
        <v>226.84163300999</v>
      </c>
      <c r="M140" s="16">
        <f>SUM(I140:L140)</f>
        <v>787.55013280999</v>
      </c>
      <c r="N140" s="16">
        <f>SUM(N83,N84,N133)</f>
        <v>200.73628329</v>
      </c>
      <c r="O140" s="16">
        <f>SUM(O83,O84,O133)</f>
        <v>267.49708316</v>
      </c>
      <c r="P140" s="16">
        <f>SUM(P83,P84,P133)</f>
        <v>297.396</v>
      </c>
      <c r="Q140" s="16">
        <f>SUM(Q83,Q84,Q133)</f>
        <v>322.68477903</v>
      </c>
      <c r="R140" s="16">
        <f>SUM(N140:Q140)</f>
        <v>1088.31414548</v>
      </c>
      <c r="S140" s="16">
        <f>SUM(S83,S84,S133)</f>
        <v>240.232667580001</v>
      </c>
      <c r="T140" s="16">
        <f>SUM(T83,T84,T133)</f>
        <v>309.473999999999</v>
      </c>
      <c r="U140" s="16">
        <f>SUM(U83,U84,U133)</f>
        <v>313.98</v>
      </c>
      <c r="V140" s="16">
        <f>SUM(V83,V84,V133)</f>
        <v>413.602449900001</v>
      </c>
      <c r="W140" s="16">
        <f>SUM(S140:V140)</f>
        <v>1277.28911748</v>
      </c>
      <c r="X140" s="16">
        <f>SUM(X83,X84,X133)</f>
        <v>272.74602629889</v>
      </c>
      <c r="Y140" s="16">
        <f>SUM(Y83,Y84,Y133)</f>
        <v>330.73495227111</v>
      </c>
      <c r="Z140" s="16">
        <f>SUM(Z83,Z84,Z133)</f>
        <v>402.937</v>
      </c>
      <c r="AA140" s="16">
        <f>SUM(AA83,AA84,AA133)</f>
        <v>378.085900000001</v>
      </c>
      <c r="AB140" s="16">
        <f>SUM(X140:AA140)</f>
        <v>1384.50387857</v>
      </c>
      <c r="AC140" s="16">
        <f>SUM(AC83,AC84,AC133)</f>
        <v>299.385</v>
      </c>
      <c r="AD140" s="16">
        <f>SUM(AD83,AD84,AD133)</f>
        <v>453.343433216228</v>
      </c>
      <c r="AE140" s="16">
        <f>SUM(AE83,AE84,AE133)</f>
        <v>452.507999999999</v>
      </c>
      <c r="AF140" s="16">
        <f>SUM(AF83,AF84,AF133)</f>
        <v>146.692000000031</v>
      </c>
      <c r="AG140" s="16">
        <f>SUM(AC140:AF140)</f>
        <v>1351.92843321626</v>
      </c>
      <c r="AH140" s="16">
        <f>SUM(AH83,AH84,AH133)</f>
        <v>162.458</v>
      </c>
      <c r="AI140" s="16">
        <f>SUM(AI83,AI84,AI133)</f>
        <v>256.618999999999</v>
      </c>
      <c r="AJ140" s="16">
        <f>SUM(AJ83,AJ84,AJ133)</f>
        <v>87.895</v>
      </c>
      <c r="AK140" s="16">
        <f>SUM(AK83,AK84,AK133)</f>
        <v>90.775</v>
      </c>
      <c r="AL140" s="16">
        <f>SUM(AH140:AK140)</f>
        <v>597.746999999999</v>
      </c>
      <c r="AM140" s="16">
        <f>SUM(AM83,AM84,AM133)</f>
        <v>90.775</v>
      </c>
      <c r="AN140" s="16">
        <f>SUM(AN83,AN84,AN133)</f>
        <v>357.34</v>
      </c>
      <c r="AO140" s="16">
        <f>SUM(AO83,AO84,AO133)</f>
        <v>90.775</v>
      </c>
      <c r="AP140" s="16">
        <f>SUM(AP83,AP84,AP133)</f>
        <v>357.34</v>
      </c>
      <c r="AQ140" s="16">
        <f>SUM(AM140:AP140)</f>
        <v>896.23</v>
      </c>
      <c r="AR140" s="16">
        <f>SUM(AR83,AR84,AR133)</f>
        <v>357.34</v>
      </c>
      <c r="AS140" s="16">
        <f>SUM(AS83,AS84,AS133)</f>
        <v>896.23</v>
      </c>
      <c r="AT140" s="16">
        <f>SUM(AT83,AT84,AT133)</f>
        <v>357.34</v>
      </c>
      <c r="AU140" s="16">
        <f>SUM(AU83,AU84,AU133)</f>
        <v>896.23</v>
      </c>
      <c r="AV140" s="16">
        <f>SUM(AR140:AU140)</f>
        <v>2507.14</v>
      </c>
      <c r="AW140" s="16">
        <f>SUM(AW83,AW84,AW133)</f>
        <v>896.23</v>
      </c>
      <c r="AX140" s="16">
        <f>SUM(AX83,AX84,AX133)</f>
        <v>2507.14</v>
      </c>
      <c r="AY140" s="16">
        <f>SUM(AY83,AY84,AY133)</f>
        <v>896.23</v>
      </c>
      <c r="AZ140" s="16">
        <f>SUM(AZ83,AZ84,AZ133)</f>
        <v>2507.14</v>
      </c>
      <c r="BA140" s="16">
        <f>SUM(AW140:AZ140)</f>
        <v>6806.74</v>
      </c>
      <c r="BB140" s="16">
        <f>SUM(BB83,BB84,BB133)</f>
        <v>2507.14</v>
      </c>
      <c r="BC140" s="16">
        <f>SUM(BC83,BC84,BC133)</f>
        <v>6806.74</v>
      </c>
      <c r="BD140" s="16">
        <f>SUM(BD83,BD84,BD133)</f>
        <v>2507.14</v>
      </c>
      <c r="BE140" s="16">
        <f>SUM(BE83,BE84,BE133)</f>
        <v>6806.74</v>
      </c>
      <c r="BF140" s="16">
        <f>SUM(BB140:BE140)</f>
        <v>18627.76</v>
      </c>
      <c r="BG140" s="16">
        <f>SUM(BG83,BG84,BG133)</f>
        <v>6806.74</v>
      </c>
      <c r="BH140" s="16">
        <f>SUM(BH83,BH84,BH133)</f>
        <v>18627.76</v>
      </c>
      <c r="BI140" s="16">
        <f>SUM(BI83,BI84,BI133)</f>
        <v>6806.74</v>
      </c>
      <c r="BJ140" s="16">
        <f>SUM(BJ83,BJ84,BJ133)</f>
        <v>18627.76</v>
      </c>
      <c r="BK140" s="16">
        <f>SUM(BG140:BJ140)</f>
        <v>50869</v>
      </c>
      <c r="BL140" s="16">
        <f>SUM(BL83,BL84,BL133)</f>
        <v>18627.76</v>
      </c>
      <c r="BM140" s="16">
        <f>SUM(BM83,BM84,BM133)</f>
        <v>50869</v>
      </c>
      <c r="BN140" s="16">
        <f>SUM(BN83,BN84,BN133)</f>
        <v>18627.76</v>
      </c>
      <c r="BO140" s="16">
        <f>SUM(BO83,BO84,BO133)</f>
        <v>50869</v>
      </c>
      <c r="BP140" s="16">
        <f>SUM(BL140:BO140)</f>
        <v>138993.52</v>
      </c>
      <c r="BQ140" s="16">
        <f>SUM(BQ83,BQ84,BQ133)</f>
        <v>50869</v>
      </c>
      <c r="BR140" s="16">
        <f>SUM(BR83,BR84,BR133)</f>
        <v>138993.52</v>
      </c>
      <c r="BS140" s="16">
        <f>SUM(BS83,BS84,BS133)</f>
        <v>50869</v>
      </c>
      <c r="BT140" s="16">
        <f>SUM(BT83,BT84,BT133)</f>
        <v>138993.52</v>
      </c>
      <c r="BU140" s="16">
        <f>SUM(BQ140:BT140)</f>
        <v>379725.04</v>
      </c>
      <c r="BV140" s="16">
        <f>SUM(BV83,BV84,BV133)</f>
        <v>138993.52</v>
      </c>
      <c r="BW140" s="16">
        <f>SUM(BW83,BW84,BW133)</f>
        <v>379725.04</v>
      </c>
      <c r="BX140" s="16">
        <f>SUM(BX83,BX84,BX133)</f>
        <v>138993.52</v>
      </c>
      <c r="BY140" s="16">
        <f>SUM(BY83,BY84,BY133)</f>
        <v>379725.04</v>
      </c>
      <c r="BZ140" s="16">
        <f>SUM(BV140:BY140)</f>
        <v>1037437.12</v>
      </c>
      <c r="CA140" s="16">
        <f>SUM(CA83,CA84,CA133)</f>
        <v>379725.04</v>
      </c>
      <c r="CB140" s="16">
        <f>SUM(CB83,CB84,CB133)</f>
        <v>1037437.12</v>
      </c>
      <c r="CC140" s="16">
        <f>SUM(CC83,CC84,CC133)</f>
        <v>379725.04</v>
      </c>
      <c r="CD140" s="16">
        <f>SUM(CD83,CD84,CD133)</f>
        <v>1037437.12</v>
      </c>
      <c r="CE140" s="16">
        <f>SUM(CA140:CD140)</f>
        <v>2834324.32</v>
      </c>
      <c r="CF140" s="16">
        <f>SUM(CF83,CF84,CF133)</f>
        <v>1037437.12</v>
      </c>
      <c r="CG140" s="16">
        <f>SUM(CG83,CG84,CG133)</f>
        <v>2834324.32</v>
      </c>
      <c r="CH140" s="16">
        <f>SUM(CH83,CH84,CH133)</f>
        <v>1037437.12</v>
      </c>
      <c r="CI140" s="16">
        <f>SUM(CI83,CI84,CI133)</f>
        <v>2834324.32</v>
      </c>
      <c r="CJ140" s="16">
        <f>SUM(CF140:CI140)</f>
        <v>7743522.88</v>
      </c>
      <c r="CK140" s="16">
        <f>SUM(CK83,CK84,CK133)</f>
        <v>2834324.32</v>
      </c>
      <c r="CL140" s="16">
        <f>SUM(CL83,CL84,CL133)</f>
        <v>7743522.88</v>
      </c>
      <c r="CM140" s="16">
        <f>SUM(CM83,CM84,CM133)</f>
        <v>2834324.32</v>
      </c>
      <c r="CN140" s="16">
        <f>SUM(CN83,CN84,CN133)</f>
        <v>7743522.88</v>
      </c>
      <c r="CO140" s="16">
        <f>SUM(CK140:CN140)</f>
        <v>21155694.4</v>
      </c>
      <c r="CP140" s="16">
        <f>SUM(CP83,CP84,CP133)</f>
        <v>7743522.88</v>
      </c>
      <c r="CQ140" s="16">
        <f>SUM(CQ83,CQ84,CQ133)</f>
        <v>21155694.4</v>
      </c>
      <c r="CR140" s="16">
        <f>SUM(CR83,CR84,CR133)</f>
        <v>7743522.88</v>
      </c>
      <c r="CS140" s="16">
        <f>SUM(CS83,CS84,CS133)</f>
        <v>21155694.4</v>
      </c>
      <c r="CT140" s="16">
        <f>SUM(CP140:CS140)</f>
        <v>57798434.56</v>
      </c>
      <c r="CU140" s="16">
        <f>SUM(CU83,CU84,CU133)</f>
        <v>21155694.4</v>
      </c>
      <c r="CV140" s="16">
        <f>SUM(CV83,CV84,CV133)</f>
        <v>57798434.56</v>
      </c>
      <c r="CW140" s="16">
        <f>SUM(CW83,CW84,CW133)</f>
        <v>21155694.4</v>
      </c>
      <c r="CX140" s="16">
        <f>SUM(CX83,CX84,CX133)</f>
        <v>57798434.56</v>
      </c>
      <c r="CY140" s="16">
        <f>SUM(CU140:CX140)</f>
        <v>157908257.92</v>
      </c>
    </row>
    <row r="141">
      <c r="C141" s="26" t="inlineStr">
        <is>
          <t>Taxes</t>
        </is>
      </c>
      <c r="D141" s="25">
        <f>INDEX('Inputs (2)'!$D$10:$AL$10,MATCH(D$7,'Inputs (2)'!$D$2:$AL$2,0))</f>
        <v>0</v>
      </c>
      <c r="E141" s="25">
        <f>INDEX('Inputs (2)'!$D$10:$AL$10,MATCH(E$7,'Inputs (2)'!$D$2:$AL$2,0))</f>
        <v>0</v>
      </c>
      <c r="F141" s="25">
        <f>INDEX('Inputs (2)'!$D$10:$AL$10,MATCH(F$7,'Inputs (2)'!$D$2:$AL$2,0))</f>
        <v>-1.244</v>
      </c>
      <c r="G141" s="25">
        <f>INDEX('Inputs (2)'!$D$10:$AL$10,MATCH(G$7,'Inputs (2)'!$D$2:$AL$2,0))</f>
        <v>2.973</v>
      </c>
      <c r="H141" s="3">
        <f>SUM(D141:G141)</f>
        <v>1.729</v>
      </c>
      <c r="I141" s="25">
        <f>INDEX('Inputs (2)'!$D$10:$AL$10,MATCH(I$7,'Inputs (2)'!$D$2:$AL$2,0))</f>
        <v>0</v>
      </c>
      <c r="J141" s="25">
        <f>INDEX('Inputs (2)'!$D$10:$AL$10,MATCH(J$7,'Inputs (2)'!$D$2:$AL$2,0))</f>
        <v>0</v>
      </c>
      <c r="K141" s="25">
        <f>INDEX('Inputs (2)'!$D$10:$AL$10,MATCH(K$7,'Inputs (2)'!$D$2:$AL$2,0))</f>
        <v>0</v>
      </c>
      <c r="L141" s="25">
        <f>INDEX('Inputs (2)'!$D$10:$AL$10,MATCH(L$7,'Inputs (2)'!$D$2:$AL$2,0))</f>
        <v>-18.759</v>
      </c>
      <c r="M141" s="3">
        <f>SUM(I141:L141)</f>
        <v>-18.759</v>
      </c>
      <c r="N141" s="25">
        <f>INDEX('Inputs (2)'!$D$10:$AL$10,MATCH(N$7,'Inputs (2)'!$D$2:$AL$2,0))</f>
        <v>-1.52444138</v>
      </c>
      <c r="O141" s="25">
        <f>INDEX('Inputs (2)'!$D$10:$AL$10,MATCH(O$7,'Inputs (2)'!$D$2:$AL$2,0))</f>
        <v>-3.374</v>
      </c>
      <c r="P141" s="25">
        <f>INDEX('Inputs (2)'!$D$10:$AL$10,MATCH(P$7,'Inputs (2)'!$D$2:$AL$2,0))</f>
        <v>-6.525</v>
      </c>
      <c r="Q141" s="25">
        <f>INDEX('Inputs (2)'!$D$10:$AL$10,MATCH(Q$7,'Inputs (2)'!$D$2:$AL$2,0))</f>
        <v>-12.096</v>
      </c>
      <c r="R141" s="3">
        <f>SUM(N141:Q141)</f>
        <v>-23.51944138</v>
      </c>
      <c r="S141" s="25">
        <f>INDEX('Inputs (2)'!$D$10:$AL$10,MATCH(S$7,'Inputs (2)'!$D$2:$AL$2,0))</f>
        <v>-0.541</v>
      </c>
      <c r="T141" s="25">
        <f>INDEX('Inputs (2)'!$D$10:$AL$10,MATCH(T$7,'Inputs (2)'!$D$2:$AL$2,0))</f>
        <v>-16.241</v>
      </c>
      <c r="U141" s="25">
        <f>INDEX('Inputs (2)'!$D$10:$AL$10,MATCH(U$7,'Inputs (2)'!$D$2:$AL$2,0))</f>
        <v>-0.383</v>
      </c>
      <c r="V141" s="25">
        <f>INDEX('Inputs (2)'!$D$10:$AL$10,MATCH(V$7,'Inputs (2)'!$D$2:$AL$2,0))</f>
        <v>-25.485</v>
      </c>
      <c r="W141" s="3">
        <f>SUM(S141:V141)</f>
        <v>-42.65</v>
      </c>
      <c r="X141" s="25">
        <f>INDEX('Inputs (2)'!$D$10:$AL$10,MATCH(X$7,'Inputs (2)'!$D$2:$AL$2,0))</f>
        <v>-32.368244987315</v>
      </c>
      <c r="Y141" s="25">
        <f>INDEX('Inputs (2)'!$D$10:$AL$10,MATCH(Y$7,'Inputs (2)'!$D$2:$AL$2,0))</f>
        <v>-3.39073999999999</v>
      </c>
      <c r="Z141" s="25">
        <f>INDEX('Inputs (2)'!$D$10:$AL$10,MATCH(Z$7,'Inputs (2)'!$D$2:$AL$2,0))</f>
        <v>-47.676</v>
      </c>
      <c r="AA141" s="25">
        <f>INDEX('Inputs (2)'!$D$10:$AL$10,MATCH(AA$7,'Inputs (2)'!$D$2:$AL$2,0))</f>
        <v>-54.854</v>
      </c>
      <c r="AB141" s="3">
        <f>SUM(X141:AA141)</f>
        <v>-138.288984987315</v>
      </c>
      <c r="AC141" s="25">
        <f>INDEX('Inputs (2)'!$D$10:$AL$10,MATCH(AC$7,'Inputs (2)'!$D$2:$AL$2,0))</f>
        <v>-23.065</v>
      </c>
      <c r="AD141" s="25">
        <f>INDEX('Inputs (2)'!$D$10:$AL$10,MATCH(AD$7,'Inputs (2)'!$D$2:$AL$2,0))</f>
        <v>-57.566</v>
      </c>
      <c r="AE141" s="25">
        <f>INDEX('Inputs (2)'!$D$10:$AL$10,MATCH(AE$7,'Inputs (2)'!$D$2:$AL$2,0))</f>
        <v>394.065</v>
      </c>
      <c r="AF141" s="25">
        <f>INDEX('Inputs (2)'!$D$10:$AL$10,MATCH(AF$7,'Inputs (2)'!$D$2:$AL$2,0))</f>
        <v>196.259</v>
      </c>
      <c r="AG141" s="3">
        <f>SUM(AC141:AF141)</f>
        <v>509.693</v>
      </c>
      <c r="AH141" s="3">
        <f>INDEX('Inputs (2)'!$D$10:$AL$10,MATCH(AH$7,'Inputs (2)'!$D$2:$AL$2,0))</f>
        <v>28.464</v>
      </c>
      <c r="AI141" s="3">
        <f>INDEX('Inputs (2)'!$D$10:$AL$10,MATCH(AI$7,'Inputs (2)'!$D$2:$AL$2,0))</f>
        <v>-14.673</v>
      </c>
      <c r="AJ141" s="3">
        <f>AJ142*-AJ140</f>
        <v>0</v>
      </c>
      <c r="AK141" s="3">
        <f>AK142*-AK140</f>
        <v>0</v>
      </c>
      <c r="AL141" s="3">
        <f>SUM(AH141:AK141)</f>
        <v>13.791</v>
      </c>
      <c r="AM141" s="3">
        <f>AM142*-AM140</f>
        <v>0</v>
      </c>
      <c r="AN141" s="3">
        <f>AN142*-AN140</f>
        <v>0</v>
      </c>
      <c r="AO141" s="3">
        <f>AO142*-AO140</f>
        <v>0</v>
      </c>
      <c r="AP141" s="3">
        <f>AP142*-AP140</f>
        <v>0</v>
      </c>
      <c r="AQ141" s="3">
        <f>SUM(AM141:AP141)</f>
        <v>0</v>
      </c>
      <c r="AR141" s="3">
        <f>AR142*-AR140</f>
        <v>0</v>
      </c>
      <c r="AS141" s="3">
        <f>AS142*-AS140</f>
        <v>0</v>
      </c>
      <c r="AT141" s="3">
        <f>AT142*-AT140</f>
        <v>0</v>
      </c>
      <c r="AU141" s="3">
        <f>AU142*-AU140</f>
        <v>0</v>
      </c>
      <c r="AV141" s="3">
        <f>SUM(AR141:AU141)</f>
        <v>0</v>
      </c>
      <c r="AW141" s="3">
        <f>AW142*-AW140</f>
        <v>0</v>
      </c>
      <c r="AX141" s="3">
        <f>AX142*-AX140</f>
        <v>0</v>
      </c>
      <c r="AY141" s="3">
        <f>AY142*-AY140</f>
        <v>0</v>
      </c>
      <c r="AZ141" s="3">
        <f>AZ142*-AZ140</f>
        <v>0</v>
      </c>
      <c r="BA141" s="3">
        <f>SUM(AW141:AZ141)</f>
        <v>0</v>
      </c>
      <c r="BB141" s="3">
        <f>BB142*-BB140</f>
        <v>0</v>
      </c>
      <c r="BC141" s="3">
        <f>BC142*-BC140</f>
        <v>0</v>
      </c>
      <c r="BD141" s="3">
        <f>BD142*-BD140</f>
        <v>0</v>
      </c>
      <c r="BE141" s="3">
        <f>BE142*-BE140</f>
        <v>0</v>
      </c>
      <c r="BF141" s="3">
        <f>SUM(BB141:BE141)</f>
        <v>0</v>
      </c>
      <c r="BG141" s="3">
        <f>BG142*-BG140</f>
        <v>0</v>
      </c>
      <c r="BH141" s="3">
        <f>BH142*-BH140</f>
        <v>0</v>
      </c>
      <c r="BI141" s="3">
        <f>BI142*-BI140</f>
        <v>0</v>
      </c>
      <c r="BJ141" s="3">
        <f>BJ142*-BJ140</f>
        <v>0</v>
      </c>
      <c r="BK141" s="3">
        <f>SUM(BG141:BJ141)</f>
        <v>0</v>
      </c>
      <c r="BL141" s="3">
        <f>BL142*-BL140</f>
        <v>0</v>
      </c>
      <c r="BM141" s="3">
        <f>BM142*-BM140</f>
        <v>0</v>
      </c>
      <c r="BN141" s="3">
        <f>BN142*-BN140</f>
        <v>0</v>
      </c>
      <c r="BO141" s="3">
        <f>BO142*-BO140</f>
        <v>0</v>
      </c>
      <c r="BP141" s="3">
        <f>SUM(BL141:BO141)</f>
        <v>0</v>
      </c>
      <c r="BQ141" s="3">
        <f>BQ142*-BQ140</f>
        <v>0</v>
      </c>
      <c r="BR141" s="3">
        <f>BR142*-BR140</f>
        <v>0</v>
      </c>
      <c r="BS141" s="3">
        <f>BS142*-BS140</f>
        <v>0</v>
      </c>
      <c r="BT141" s="3">
        <f>BT142*-BT140</f>
        <v>0</v>
      </c>
      <c r="BU141" s="3">
        <f>SUM(BQ141:BT141)</f>
        <v>0</v>
      </c>
      <c r="BV141" s="3">
        <f>BV142*-BV140</f>
        <v>0</v>
      </c>
      <c r="BW141" s="3">
        <f>BW142*-BW140</f>
        <v>0</v>
      </c>
      <c r="BX141" s="3">
        <f>BX142*-BX140</f>
        <v>0</v>
      </c>
      <c r="BY141" s="3">
        <f>BY142*-BY140</f>
        <v>0</v>
      </c>
      <c r="BZ141" s="3">
        <f>SUM(BV141:BY141)</f>
        <v>0</v>
      </c>
      <c r="CA141" s="3">
        <f>CA142*-CA140</f>
        <v>0</v>
      </c>
      <c r="CB141" s="3">
        <f>CB142*-CB140</f>
        <v>0</v>
      </c>
      <c r="CC141" s="3">
        <f>CC142*-CC140</f>
        <v>0</v>
      </c>
      <c r="CD141" s="3">
        <f>CD142*-CD140</f>
        <v>0</v>
      </c>
      <c r="CE141" s="3">
        <f>SUM(CA141:CD141)</f>
        <v>0</v>
      </c>
      <c r="CF141" s="3">
        <f>CF142*-CF140</f>
        <v>0</v>
      </c>
      <c r="CG141" s="3">
        <f>CG142*-CG140</f>
        <v>0</v>
      </c>
      <c r="CH141" s="3">
        <f>CH142*-CH140</f>
        <v>0</v>
      </c>
      <c r="CI141" s="3">
        <f>CI142*-CI140</f>
        <v>0</v>
      </c>
      <c r="CJ141" s="3">
        <f>SUM(CF141:CI141)</f>
        <v>0</v>
      </c>
      <c r="CK141" s="3">
        <f>CK142*-CK140</f>
        <v>0</v>
      </c>
      <c r="CL141" s="3">
        <f>CL142*-CL140</f>
        <v>0</v>
      </c>
      <c r="CM141" s="3">
        <f>CM142*-CM140</f>
        <v>0</v>
      </c>
      <c r="CN141" s="3">
        <f>CN142*-CN140</f>
        <v>0</v>
      </c>
      <c r="CO141" s="3">
        <f>SUM(CK141:CN141)</f>
        <v>0</v>
      </c>
      <c r="CP141" s="3">
        <f>CP142*-CP140</f>
        <v>0</v>
      </c>
      <c r="CQ141" s="3">
        <f>CQ142*-CQ140</f>
        <v>0</v>
      </c>
      <c r="CR141" s="3">
        <f>CR142*-CR140</f>
        <v>0</v>
      </c>
      <c r="CS141" s="3">
        <f>CS142*-CS140</f>
        <v>0</v>
      </c>
      <c r="CT141" s="3">
        <f>SUM(CP141:CS141)</f>
        <v>0</v>
      </c>
      <c r="CU141" s="3">
        <f>CU142*-CU140</f>
        <v>0</v>
      </c>
      <c r="CV141" s="3">
        <f>CV142*-CV140</f>
        <v>0</v>
      </c>
      <c r="CW141" s="3">
        <f>CW142*-CW140</f>
        <v>0</v>
      </c>
      <c r="CX141" s="3">
        <f>CX142*-CX140</f>
        <v>0</v>
      </c>
      <c r="CY141" s="3">
        <f>SUM(CU141:CX141)</f>
        <v>0</v>
      </c>
    </row>
    <row r="142" hidden="1" outlineLevel="1">
      <c r="C142" s="34" t="inlineStr">
        <is>
          <t>% ETR</t>
        </is>
      </c>
      <c r="D142" s="48">
        <f>-D141/D140</f>
        <v>0</v>
      </c>
      <c r="E142" s="48">
        <f>-E141/E140</f>
        <v>0</v>
      </c>
      <c r="F142" s="48">
        <f>-F141/F140</f>
        <v>0.00525088981583041</v>
      </c>
      <c r="G142" s="48">
        <f>-G141/G140</f>
        <v>-0.0156103142378645</v>
      </c>
      <c r="H142" s="48">
        <f>-H141/H140</f>
        <v>-0.002386344963368</v>
      </c>
      <c r="I142" s="48">
        <f>-I141/I140</f>
        <v>0</v>
      </c>
      <c r="J142" s="48">
        <f>-J141/J140</f>
        <v>0</v>
      </c>
      <c r="K142" s="48">
        <f>-K141/K140</f>
        <v>0</v>
      </c>
      <c r="L142" s="48">
        <f>-L141/L140</f>
        <v>0.0826964598653453</v>
      </c>
      <c r="M142" s="48">
        <f>-M141/M140</f>
        <v>0.0238194360187175</v>
      </c>
      <c r="N142" s="48">
        <f>-N141/N140</f>
        <v>0.00759424930568066</v>
      </c>
      <c r="O142" s="48">
        <f>-O141/O140</f>
        <v>0.0126132216476614</v>
      </c>
      <c r="P142" s="48">
        <f>-P141/P140</f>
        <v>0.0219404430456361</v>
      </c>
      <c r="Q142" s="48">
        <f>-Q141/Q140</f>
        <v>0.0374854991188644</v>
      </c>
      <c r="R142" s="48">
        <f>-R141/R140</f>
        <v>0.0216108937641592</v>
      </c>
      <c r="S142" s="48">
        <f>-S141/S140</f>
        <v>0.00225198348521789</v>
      </c>
      <c r="T142" s="48">
        <f>-T141/T140</f>
        <v>0.0524793682183319</v>
      </c>
      <c r="U142" s="48">
        <f>-U141/U140</f>
        <v>0.00121982291865724</v>
      </c>
      <c r="V142" s="48">
        <f>-V141/V140</f>
        <v>0.061617139855341</v>
      </c>
      <c r="W142" s="48">
        <f>-W141/W140</f>
        <v>0.0333910305946593</v>
      </c>
      <c r="X142" s="48">
        <f>-X141/X140</f>
        <v>0.118675404465267</v>
      </c>
      <c r="Y142" s="48">
        <f>-Y141/Y140</f>
        <v>0.0102521368749092</v>
      </c>
      <c r="Z142" s="48">
        <f>-Z141/Z140</f>
        <v>0.118321226395193</v>
      </c>
      <c r="AA142" s="48">
        <f>-AA141/AA140</f>
        <v>0.145083432098367</v>
      </c>
      <c r="AB142" s="48">
        <f>-AB141/AB140</f>
        <v>0.0998834218724965</v>
      </c>
      <c r="AC142" s="48">
        <f>-AC141/AC140</f>
        <v>0.0770412679325952</v>
      </c>
      <c r="AD142" s="48">
        <f>-AD141/AD140</f>
        <v>0.126980994500351</v>
      </c>
      <c r="AE142" s="48">
        <f>-AE141/AE140</f>
        <v>-0.870846482272138</v>
      </c>
      <c r="AF142" s="44">
        <f>-AF141/AF140</f>
        <v>-1.33789845390313</v>
      </c>
      <c r="AG142" s="48">
        <f>-AG141/AG140</f>
        <v>-0.37701182065343</v>
      </c>
      <c r="AH142" s="44">
        <f>-AH141/AH140</f>
        <v>-0.175208361545753</v>
      </c>
      <c r="AI142" s="44">
        <f>-AI141/AI140</f>
        <v>0.0571781512670537</v>
      </c>
      <c r="AJ142" s="44" t="n"/>
      <c r="AK142" s="44" t="n"/>
      <c r="AL142" s="48">
        <f>-AL141/AL140</f>
        <v>-0.023071633985616</v>
      </c>
      <c r="AM142" s="44" t="n"/>
      <c r="AN142" s="44" t="n"/>
      <c r="AO142" s="44" t="n"/>
      <c r="AP142" s="44" t="n"/>
      <c r="AQ142" s="48">
        <f>-AQ141/AQ140</f>
        <v>0</v>
      </c>
      <c r="AR142" s="44" t="n"/>
      <c r="AS142" s="44" t="n"/>
      <c r="AT142" s="44" t="n"/>
      <c r="AU142" s="44" t="n"/>
      <c r="AV142" s="48">
        <f>-AV141/AV140</f>
        <v>0</v>
      </c>
      <c r="AW142" s="44" t="n"/>
      <c r="AX142" s="44" t="n"/>
      <c r="AY142" s="44" t="n"/>
      <c r="AZ142" s="44" t="n"/>
      <c r="BA142" s="48">
        <f>-BA141/BA140</f>
        <v>0</v>
      </c>
      <c r="BB142" s="44" t="n"/>
      <c r="BC142" s="44" t="n"/>
      <c r="BD142" s="44" t="n"/>
      <c r="BE142" s="44" t="n"/>
      <c r="BF142" s="48">
        <f>-BF141/BF140</f>
        <v>0</v>
      </c>
      <c r="BG142" s="44" t="n"/>
      <c r="BH142" s="44" t="n"/>
      <c r="BI142" s="44" t="n"/>
      <c r="BJ142" s="44" t="n"/>
      <c r="BK142" s="48">
        <f>-BK141/BK140</f>
        <v>0</v>
      </c>
      <c r="BL142" s="44" t="n"/>
      <c r="BM142" s="44" t="n"/>
      <c r="BN142" s="44" t="n"/>
      <c r="BO142" s="44" t="n"/>
      <c r="BP142" s="48">
        <f>-BP141/BP140</f>
        <v>0</v>
      </c>
      <c r="BQ142" s="44" t="n"/>
      <c r="BR142" s="44" t="n"/>
      <c r="BS142" s="44" t="n"/>
      <c r="BT142" s="44" t="n"/>
      <c r="BU142" s="48">
        <f>-BU141/BU140</f>
        <v>0</v>
      </c>
      <c r="BV142" s="44" t="n"/>
      <c r="BW142" s="44" t="n"/>
      <c r="BX142" s="44" t="n"/>
      <c r="BY142" s="44" t="n"/>
      <c r="BZ142" s="48">
        <f>-BZ141/BZ140</f>
        <v>0</v>
      </c>
      <c r="CA142" s="44" t="n"/>
      <c r="CB142" s="44" t="n"/>
      <c r="CC142" s="44" t="n"/>
      <c r="CD142" s="44" t="n"/>
      <c r="CE142" s="48">
        <f>-CE141/CE140</f>
        <v>0</v>
      </c>
      <c r="CF142" s="44" t="n"/>
      <c r="CG142" s="44" t="n"/>
      <c r="CH142" s="44" t="n"/>
      <c r="CI142" s="44" t="n"/>
      <c r="CJ142" s="48">
        <f>-CJ141/CJ140</f>
        <v>0</v>
      </c>
      <c r="CK142" s="44" t="n"/>
      <c r="CL142" s="44" t="n"/>
      <c r="CM142" s="44" t="n"/>
      <c r="CN142" s="44" t="n"/>
      <c r="CO142" s="48">
        <f>-CO141/CO140</f>
        <v>0</v>
      </c>
      <c r="CP142" s="44" t="n"/>
      <c r="CQ142" s="44" t="n"/>
      <c r="CR142" s="44" t="n"/>
      <c r="CS142" s="44" t="n"/>
      <c r="CT142" s="48">
        <f>-CT141/CT140</f>
        <v>0</v>
      </c>
      <c r="CU142" s="44" t="n"/>
      <c r="CV142" s="44" t="n"/>
      <c r="CW142" s="44" t="n"/>
      <c r="CX142" s="44" t="n"/>
      <c r="CY142" s="48">
        <f>-CY141/CY140</f>
        <v>0</v>
      </c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hidden="1" outlineLevel="1">
      <c r="C144" s="3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collapsed="1">
      <c r="C145" s="26" t="inlineStr">
        <is>
          <t>Equity in Income of Affiliates, after tax (enter as +)</t>
        </is>
      </c>
      <c r="D145" s="25" t="n"/>
      <c r="E145" s="25" t="n"/>
      <c r="F145" s="25" t="n"/>
      <c r="G145" s="25" t="n"/>
      <c r="H145" s="3">
        <f>SUM(D145:G145)</f>
        <v>0</v>
      </c>
      <c r="I145" s="25" t="n"/>
      <c r="J145" s="25" t="n"/>
      <c r="K145" s="25" t="n"/>
      <c r="L145" s="25" t="n"/>
      <c r="M145" s="3">
        <f>SUM(I145:L145)</f>
        <v>0</v>
      </c>
      <c r="N145" s="25" t="n"/>
      <c r="O145" s="25" t="n"/>
      <c r="P145" s="25" t="n"/>
      <c r="Q145" s="25" t="n"/>
      <c r="R145" s="3">
        <f>SUM(N145:Q145)</f>
        <v>0</v>
      </c>
      <c r="S145" s="25" t="n"/>
      <c r="T145" s="25" t="n"/>
      <c r="U145" s="25" t="n"/>
      <c r="V145" s="25" t="n"/>
      <c r="W145" s="3">
        <f>SUM(S145:V145)</f>
        <v>0</v>
      </c>
      <c r="X145" s="25" t="n"/>
      <c r="Y145" s="25" t="n"/>
      <c r="Z145" s="25" t="n"/>
      <c r="AA145" s="25" t="n"/>
      <c r="AB145" s="3">
        <f>SUM(X145:AA145)</f>
        <v>0</v>
      </c>
      <c r="AC145" s="25" t="n"/>
      <c r="AD145" s="25" t="n"/>
      <c r="AE145" s="25" t="n"/>
      <c r="AF145" s="25" t="n"/>
      <c r="AG145" s="3">
        <f>SUM(AC145:AF145)</f>
        <v>0</v>
      </c>
      <c r="AH145" s="3">
        <f>AC145*(1+AH173)</f>
        <v>0</v>
      </c>
      <c r="AI145" s="3">
        <f>AD145*(1+AI173)</f>
        <v>0</v>
      </c>
      <c r="AJ145" s="3">
        <f>AE145*(1+AJ173)</f>
        <v>0</v>
      </c>
      <c r="AK145" s="3">
        <f>AF145*(1+AK173)</f>
        <v>0</v>
      </c>
      <c r="AL145" s="3">
        <f>SUM(AH145:AK145)</f>
        <v>0</v>
      </c>
      <c r="AM145" s="3">
        <f>AH145*(1+AM173)</f>
        <v>0</v>
      </c>
      <c r="AN145" s="3">
        <f>AI145*(1+AN173)</f>
        <v>0</v>
      </c>
      <c r="AO145" s="3">
        <f>AJ145*(1+AO173)</f>
        <v>0</v>
      </c>
      <c r="AP145" s="3">
        <f>AK145*(1+AP173)</f>
        <v>0</v>
      </c>
      <c r="AQ145" s="3">
        <f>SUM(AM145:AP145)</f>
        <v>0</v>
      </c>
      <c r="AR145" s="3">
        <f>AM145*(1+AR173)</f>
        <v>0</v>
      </c>
      <c r="AS145" s="3">
        <f>AN145*(1+AS173)</f>
        <v>0</v>
      </c>
      <c r="AT145" s="3">
        <f>AO145*(1+AT173)</f>
        <v>0</v>
      </c>
      <c r="AU145" s="3">
        <f>AP145*(1+AU173)</f>
        <v>0</v>
      </c>
      <c r="AV145" s="3">
        <f>SUM(AR145:AU145)</f>
        <v>0</v>
      </c>
      <c r="AW145" s="3">
        <f>AR145*(1+AW173)</f>
        <v>0</v>
      </c>
      <c r="AX145" s="3">
        <f>AS145*(1+AX173)</f>
        <v>0</v>
      </c>
      <c r="AY145" s="3">
        <f>AT145*(1+AY173)</f>
        <v>0</v>
      </c>
      <c r="AZ145" s="3">
        <f>AU145*(1+AZ173)</f>
        <v>0</v>
      </c>
      <c r="BA145" s="3">
        <f>SUM(AW145:AZ145)</f>
        <v>0</v>
      </c>
      <c r="BB145" s="3">
        <f>AW145*(1+BB173)</f>
        <v>0</v>
      </c>
      <c r="BC145" s="3">
        <f>AX145*(1+BC173)</f>
        <v>0</v>
      </c>
      <c r="BD145" s="3">
        <f>AY145*(1+BD173)</f>
        <v>0</v>
      </c>
      <c r="BE145" s="3">
        <f>AZ145*(1+BE173)</f>
        <v>0</v>
      </c>
      <c r="BF145" s="3">
        <f>SUM(BB145:BE145)</f>
        <v>0</v>
      </c>
      <c r="BG145" s="3">
        <f>BB145*(1+BG173)</f>
        <v>0</v>
      </c>
      <c r="BH145" s="3">
        <f>BC145*(1+BH173)</f>
        <v>0</v>
      </c>
      <c r="BI145" s="3">
        <f>BD145*(1+BI173)</f>
        <v>0</v>
      </c>
      <c r="BJ145" s="3">
        <f>BE145*(1+BJ173)</f>
        <v>0</v>
      </c>
      <c r="BK145" s="3">
        <f>SUM(BG145:BJ145)</f>
        <v>0</v>
      </c>
      <c r="BL145" s="3">
        <f>BG145*(1+BL173)</f>
        <v>0</v>
      </c>
      <c r="BM145" s="3">
        <f>BH145*(1+BM173)</f>
        <v>0</v>
      </c>
      <c r="BN145" s="3">
        <f>BI145*(1+BN173)</f>
        <v>0</v>
      </c>
      <c r="BO145" s="3">
        <f>BJ145*(1+BO173)</f>
        <v>0</v>
      </c>
      <c r="BP145" s="3">
        <f>SUM(BL145:BO145)</f>
        <v>0</v>
      </c>
      <c r="BQ145" s="3">
        <f>BL145*(1+BQ173)</f>
        <v>0</v>
      </c>
      <c r="BR145" s="3">
        <f>BM145*(1+BR173)</f>
        <v>0</v>
      </c>
      <c r="BS145" s="3">
        <f>BN145*(1+BS173)</f>
        <v>0</v>
      </c>
      <c r="BT145" s="3">
        <f>BO145*(1+BT173)</f>
        <v>0</v>
      </c>
      <c r="BU145" s="3">
        <f>SUM(BQ145:BT145)</f>
        <v>0</v>
      </c>
      <c r="BV145" s="3">
        <f>BQ145*(1+BV173)</f>
        <v>0</v>
      </c>
      <c r="BW145" s="3">
        <f>BR145*(1+BW173)</f>
        <v>0</v>
      </c>
      <c r="BX145" s="3">
        <f>BS145*(1+BX173)</f>
        <v>0</v>
      </c>
      <c r="BY145" s="3">
        <f>BT145*(1+BY173)</f>
        <v>0</v>
      </c>
      <c r="BZ145" s="3">
        <f>SUM(BV145:BY145)</f>
        <v>0</v>
      </c>
      <c r="CA145" s="3">
        <f>BV145*(1+CA173)</f>
        <v>0</v>
      </c>
      <c r="CB145" s="3">
        <f>BW145*(1+CB173)</f>
        <v>0</v>
      </c>
      <c r="CC145" s="3">
        <f>BX145*(1+CC173)</f>
        <v>0</v>
      </c>
      <c r="CD145" s="3">
        <f>BY145*(1+CD173)</f>
        <v>0</v>
      </c>
      <c r="CE145" s="3">
        <f>SUM(CA145:CD145)</f>
        <v>0</v>
      </c>
      <c r="CF145" s="3">
        <f>CA145*(1+CF173)</f>
        <v>0</v>
      </c>
      <c r="CG145" s="3">
        <f>CB145*(1+CG173)</f>
        <v>0</v>
      </c>
      <c r="CH145" s="3">
        <f>CC145*(1+CH173)</f>
        <v>0</v>
      </c>
      <c r="CI145" s="3">
        <f>CD145*(1+CI173)</f>
        <v>0</v>
      </c>
      <c r="CJ145" s="3">
        <f>SUM(CF145:CI145)</f>
        <v>0</v>
      </c>
      <c r="CK145" s="3">
        <f>CF145*(1+CK173)</f>
        <v>0</v>
      </c>
      <c r="CL145" s="3">
        <f>CG145*(1+CL173)</f>
        <v>0</v>
      </c>
      <c r="CM145" s="3">
        <f>CH145*(1+CM173)</f>
        <v>0</v>
      </c>
      <c r="CN145" s="3">
        <f>CI145*(1+CN173)</f>
        <v>0</v>
      </c>
      <c r="CO145" s="3">
        <f>SUM(CK145:CN145)</f>
        <v>0</v>
      </c>
      <c r="CP145" s="3">
        <f>CK145*(1+CP173)</f>
        <v>0</v>
      </c>
      <c r="CQ145" s="3">
        <f>CL145*(1+CQ173)</f>
        <v>0</v>
      </c>
      <c r="CR145" s="3">
        <f>CM145*(1+CR173)</f>
        <v>0</v>
      </c>
      <c r="CS145" s="3">
        <f>CN145*(1+CS173)</f>
        <v>0</v>
      </c>
      <c r="CT145" s="3">
        <f>SUM(CP145:CS145)</f>
        <v>0</v>
      </c>
      <c r="CU145" s="3">
        <f>CP145*(1+CU173)</f>
        <v>0</v>
      </c>
      <c r="CV145" s="3">
        <f>CQ145*(1+CV173)</f>
        <v>0</v>
      </c>
      <c r="CW145" s="3">
        <f>CR145*(1+CW173)</f>
        <v>0</v>
      </c>
      <c r="CX145" s="3">
        <f>CS145*(1+CX173)</f>
        <v>0</v>
      </c>
      <c r="CY145" s="3">
        <f>SUM(CU145:CX145)</f>
        <v>0</v>
      </c>
    </row>
    <row r="146">
      <c r="C146" s="26" t="inlineStr">
        <is>
          <t>Minority Interest Expense, after tax (enter as - )</t>
        </is>
      </c>
      <c r="D146" s="25">
        <f>INDEX('Inputs (2)'!$D$12:$AL$12,MATCH(D$7,'Inputs (2)'!$D$2:$AL$2,0))</f>
        <v>0</v>
      </c>
      <c r="E146" s="25">
        <f>INDEX('Inputs (2)'!$D$12:$AL$12,MATCH(E$7,'Inputs (2)'!$D$2:$AL$2,0))</f>
        <v>0</v>
      </c>
      <c r="F146" s="25">
        <f>INDEX('Inputs (2)'!$D$12:$AL$12,MATCH(F$7,'Inputs (2)'!$D$2:$AL$2,0))</f>
        <v>0</v>
      </c>
      <c r="G146" s="25">
        <f>INDEX('Inputs (2)'!$D$12:$AL$12,MATCH(G$7,'Inputs (2)'!$D$2:$AL$2,0))</f>
        <v>0</v>
      </c>
      <c r="H146" s="3">
        <f>SUM(D146:G146)</f>
        <v>0</v>
      </c>
      <c r="I146" s="25">
        <f>INDEX('Inputs (2)'!$D$12:$AL$12,MATCH(I$7,'Inputs (2)'!$D$2:$AL$2,0))</f>
        <v>0</v>
      </c>
      <c r="J146" s="25">
        <f>INDEX('Inputs (2)'!$D$12:$AL$12,MATCH(J$7,'Inputs (2)'!$D$2:$AL$2,0))</f>
        <v>0</v>
      </c>
      <c r="K146" s="25">
        <f>INDEX('Inputs (2)'!$D$12:$AL$12,MATCH(K$7,'Inputs (2)'!$D$2:$AL$2,0))</f>
        <v>0</v>
      </c>
      <c r="L146" s="25">
        <f>INDEX('Inputs (2)'!$D$12:$AL$12,MATCH(L$7,'Inputs (2)'!$D$2:$AL$2,0))</f>
        <v>0</v>
      </c>
      <c r="M146" s="3">
        <f>SUM(I146:L146)</f>
        <v>0</v>
      </c>
      <c r="N146" s="25">
        <f>INDEX('Inputs (2)'!$D$12:$AL$12,MATCH(N$7,'Inputs (2)'!$D$2:$AL$2,0))</f>
        <v>0</v>
      </c>
      <c r="O146" s="25">
        <f>INDEX('Inputs (2)'!$D$12:$AL$12,MATCH(O$7,'Inputs (2)'!$D$2:$AL$2,0))</f>
        <v>0</v>
      </c>
      <c r="P146" s="25">
        <f>INDEX('Inputs (2)'!$D$12:$AL$12,MATCH(P$7,'Inputs (2)'!$D$2:$AL$2,0))</f>
        <v>0</v>
      </c>
      <c r="Q146" s="25">
        <f>INDEX('Inputs (2)'!$D$12:$AL$12,MATCH(Q$7,'Inputs (2)'!$D$2:$AL$2,0))</f>
        <v>0</v>
      </c>
      <c r="R146" s="3">
        <f>SUM(N146:Q146)</f>
        <v>0</v>
      </c>
      <c r="S146" s="25">
        <f>INDEX('Inputs (2)'!$D$12:$AL$12,MATCH(S$7,'Inputs (2)'!$D$2:$AL$2,0))</f>
        <v>0</v>
      </c>
      <c r="T146" s="25">
        <f>INDEX('Inputs (2)'!$D$12:$AL$12,MATCH(T$7,'Inputs (2)'!$D$2:$AL$2,0))</f>
        <v>0</v>
      </c>
      <c r="U146" s="25">
        <f>INDEX('Inputs (2)'!$D$12:$AL$12,MATCH(U$7,'Inputs (2)'!$D$2:$AL$2,0))</f>
        <v>0</v>
      </c>
      <c r="V146" s="25">
        <f>INDEX('Inputs (2)'!$D$12:$AL$12,MATCH(V$7,'Inputs (2)'!$D$2:$AL$2,0))</f>
        <v>0</v>
      </c>
      <c r="W146" s="3">
        <f>SUM(S146:V146)</f>
        <v>0</v>
      </c>
      <c r="X146" s="25">
        <f>INDEX('Inputs (2)'!$D$12:$AL$12,MATCH(X$7,'Inputs (2)'!$D$2:$AL$2,0))</f>
        <v>0</v>
      </c>
      <c r="Y146" s="25">
        <f>INDEX('Inputs (2)'!$D$12:$AL$12,MATCH(Y$7,'Inputs (2)'!$D$2:$AL$2,0))</f>
        <v>0</v>
      </c>
      <c r="Z146" s="25">
        <f>INDEX('Inputs (2)'!$D$12:$AL$12,MATCH(Z$7,'Inputs (2)'!$D$2:$AL$2,0))</f>
        <v>0</v>
      </c>
      <c r="AA146" s="25">
        <f>INDEX('Inputs (2)'!$D$12:$AL$12,MATCH(AA$7,'Inputs (2)'!$D$2:$AL$2,0))</f>
        <v>0</v>
      </c>
      <c r="AB146" s="3">
        <f>SUM(X146:AA146)</f>
        <v>0</v>
      </c>
      <c r="AC146" s="25">
        <f>INDEX('Inputs (2)'!$D$12:$AL$12,MATCH(AC$7,'Inputs (2)'!$D$2:$AL$2,0))</f>
        <v>0</v>
      </c>
      <c r="AD146" s="25">
        <f>INDEX('Inputs (2)'!$D$12:$AL$12,MATCH(AD$7,'Inputs (2)'!$D$2:$AL$2,0))</f>
        <v>0</v>
      </c>
      <c r="AE146" s="25">
        <f>INDEX('Inputs (2)'!$D$12:$AL$12,MATCH(AE$7,'Inputs (2)'!$D$2:$AL$2,0))</f>
        <v>3.973</v>
      </c>
      <c r="AF146" s="25">
        <f>INDEX('Inputs (2)'!$D$12:$AL$12,MATCH(AF$7,'Inputs (2)'!$D$2:$AL$2,0))</f>
        <v>-18.687</v>
      </c>
      <c r="AG146" s="3">
        <f>SUM(AC146:AF146)</f>
        <v>-14.714</v>
      </c>
      <c r="AH146" s="3">
        <f>INDEX('Inputs (2)'!$D$12:$AL$12,MATCH(AH$7,'Inputs (2)'!$D$2:$AL$2,0))</f>
        <v>21.959</v>
      </c>
      <c r="AI146" s="3">
        <f>INDEX('Inputs (2)'!$D$12:$AL$12,MATCH(AI$7,'Inputs (2)'!$D$2:$AL$2,0))</f>
        <v>-5.141</v>
      </c>
      <c r="AJ146" s="3">
        <f>AE146*(1+AJ260)</f>
        <v>3.973</v>
      </c>
      <c r="AK146" s="3">
        <f>AF146*(1+AK260)</f>
        <v>-18.687</v>
      </c>
      <c r="AL146" s="3">
        <f>SUM(AH146:AK146)</f>
        <v>2.104</v>
      </c>
      <c r="AM146" s="3">
        <f>AH146*(1+AM260)</f>
        <v>21.959</v>
      </c>
      <c r="AN146" s="3">
        <f>AI146*(1+AN260)</f>
        <v>-5.141</v>
      </c>
      <c r="AO146" s="3">
        <f>AJ146*(1+AO260)</f>
        <v>3.973</v>
      </c>
      <c r="AP146" s="3">
        <f>AK146*(1+AP260)</f>
        <v>-18.687</v>
      </c>
      <c r="AQ146" s="3">
        <f>SUM(AM146:AP146)</f>
        <v>2.104</v>
      </c>
      <c r="AR146" s="3">
        <f>AM146*(1+AR260)</f>
        <v>21.959</v>
      </c>
      <c r="AS146" s="3">
        <f>AN146*(1+AS260)</f>
        <v>-5.141</v>
      </c>
      <c r="AT146" s="3">
        <f>AO146*(1+AT260)</f>
        <v>3.973</v>
      </c>
      <c r="AU146" s="3">
        <f>AP146*(1+AU260)</f>
        <v>-18.687</v>
      </c>
      <c r="AV146" s="3">
        <f>SUM(AR146:AU146)</f>
        <v>2.104</v>
      </c>
      <c r="AW146" s="3">
        <f>AR146*(1+AW260)</f>
        <v>21.959</v>
      </c>
      <c r="AX146" s="3">
        <f>AS146*(1+AX260)</f>
        <v>-5.141</v>
      </c>
      <c r="AY146" s="3">
        <f>AT146*(1+AY260)</f>
        <v>3.973</v>
      </c>
      <c r="AZ146" s="3">
        <f>AU146*(1+AZ260)</f>
        <v>-18.687</v>
      </c>
      <c r="BA146" s="3">
        <f>SUM(AW146:AZ146)</f>
        <v>2.104</v>
      </c>
      <c r="BB146" s="3">
        <f>AW146*(1+BB260)</f>
        <v>21.959</v>
      </c>
      <c r="BC146" s="3">
        <f>AX146*(1+BC260)</f>
        <v>-5.141</v>
      </c>
      <c r="BD146" s="3">
        <f>AY146*(1+BD260)</f>
        <v>3.973</v>
      </c>
      <c r="BE146" s="3">
        <f>AZ146*(1+BE260)</f>
        <v>-18.687</v>
      </c>
      <c r="BF146" s="3">
        <f>SUM(BB146:BE146)</f>
        <v>2.104</v>
      </c>
      <c r="BG146" s="3">
        <f>BB146*(1+BG260)</f>
        <v>21.959</v>
      </c>
      <c r="BH146" s="3">
        <f>BC146*(1+BH260)</f>
        <v>-5.141</v>
      </c>
      <c r="BI146" s="3">
        <f>BD146*(1+BI260)</f>
        <v>3.973</v>
      </c>
      <c r="BJ146" s="3">
        <f>BE146*(1+BJ260)</f>
        <v>-18.687</v>
      </c>
      <c r="BK146" s="3">
        <f>SUM(BG146:BJ146)</f>
        <v>2.104</v>
      </c>
      <c r="BL146" s="3">
        <f>BG146*(1+BL260)</f>
        <v>21.959</v>
      </c>
      <c r="BM146" s="3">
        <f>BH146*(1+BM260)</f>
        <v>-5.141</v>
      </c>
      <c r="BN146" s="3">
        <f>BI146*(1+BN260)</f>
        <v>3.973</v>
      </c>
      <c r="BO146" s="3">
        <f>BJ146*(1+BO260)</f>
        <v>-18.687</v>
      </c>
      <c r="BP146" s="3">
        <f>SUM(BL146:BO146)</f>
        <v>2.104</v>
      </c>
      <c r="BQ146" s="3">
        <f>BL146*(1+BQ260)</f>
        <v>21.959</v>
      </c>
      <c r="BR146" s="3">
        <f>BM146*(1+BR260)</f>
        <v>-5.141</v>
      </c>
      <c r="BS146" s="3">
        <f>BN146*(1+BS260)</f>
        <v>3.973</v>
      </c>
      <c r="BT146" s="3">
        <f>BO146*(1+BT260)</f>
        <v>-18.687</v>
      </c>
      <c r="BU146" s="3">
        <f>SUM(BQ146:BT146)</f>
        <v>2.104</v>
      </c>
      <c r="BV146" s="3">
        <f>BQ146*(1+BV260)</f>
        <v>21.959</v>
      </c>
      <c r="BW146" s="3">
        <f>BR146*(1+BW260)</f>
        <v>-5.141</v>
      </c>
      <c r="BX146" s="3">
        <f>BS146*(1+BX260)</f>
        <v>3.973</v>
      </c>
      <c r="BY146" s="3">
        <f>BT146*(1+BY260)</f>
        <v>-18.687</v>
      </c>
      <c r="BZ146" s="3">
        <f>SUM(BV146:BY146)</f>
        <v>2.104</v>
      </c>
      <c r="CA146" s="3">
        <f>BV146*(1+CA260)</f>
        <v>21.959</v>
      </c>
      <c r="CB146" s="3">
        <f>BW146*(1+CB260)</f>
        <v>-5.141</v>
      </c>
      <c r="CC146" s="3">
        <f>BX146*(1+CC260)</f>
        <v>3.973</v>
      </c>
      <c r="CD146" s="3">
        <f>BY146*(1+CD260)</f>
        <v>-18.687</v>
      </c>
      <c r="CE146" s="3">
        <f>SUM(CA146:CD146)</f>
        <v>2.104</v>
      </c>
      <c r="CF146" s="3">
        <f>CA146*(1+CF260)</f>
        <v>21.959</v>
      </c>
      <c r="CG146" s="3">
        <f>CB146*(1+CG260)</f>
        <v>-5.141</v>
      </c>
      <c r="CH146" s="3">
        <f>CC146*(1+CH260)</f>
        <v>3.973</v>
      </c>
      <c r="CI146" s="3">
        <f>CD146*(1+CI260)</f>
        <v>-18.687</v>
      </c>
      <c r="CJ146" s="3">
        <f>SUM(CF146:CI146)</f>
        <v>2.104</v>
      </c>
      <c r="CK146" s="3">
        <f>CF146*(1+CK260)</f>
        <v>21.959</v>
      </c>
      <c r="CL146" s="3">
        <f>CG146*(1+CL260)</f>
        <v>-5.141</v>
      </c>
      <c r="CM146" s="3">
        <f>CH146*(1+CM260)</f>
        <v>3.973</v>
      </c>
      <c r="CN146" s="3">
        <f>CI146*(1+CN260)</f>
        <v>-18.687</v>
      </c>
      <c r="CO146" s="3">
        <f>SUM(CK146:CN146)</f>
        <v>2.104</v>
      </c>
      <c r="CP146" s="3">
        <f>CK146*(1+CP260)</f>
        <v>21.959</v>
      </c>
      <c r="CQ146" s="3">
        <f>CL146*(1+CQ260)</f>
        <v>-5.141</v>
      </c>
      <c r="CR146" s="3">
        <f>CM146*(1+CR260)</f>
        <v>3.973</v>
      </c>
      <c r="CS146" s="3">
        <f>CN146*(1+CS260)</f>
        <v>-18.687</v>
      </c>
      <c r="CT146" s="3">
        <f>SUM(CP146:CS146)</f>
        <v>2.104</v>
      </c>
      <c r="CU146" s="3">
        <f>CP146*(1+CU260)</f>
        <v>21.959</v>
      </c>
      <c r="CV146" s="3">
        <f>CQ146*(1+CV260)</f>
        <v>-5.141</v>
      </c>
      <c r="CW146" s="3">
        <f>CR146*(1+CW260)</f>
        <v>3.973</v>
      </c>
      <c r="CX146" s="3">
        <f>CS146*(1+CX260)</f>
        <v>-18.687</v>
      </c>
      <c r="CY146" s="3">
        <f>SUM(CU146:CX146)</f>
        <v>2.104</v>
      </c>
    </row>
    <row r="147" customFormat="1" s="17">
      <c r="A147" s="13" t="n"/>
      <c r="B147" s="1" t="n"/>
      <c r="C147" s="14" t="inlineStr">
        <is>
          <t>Net Income</t>
        </is>
      </c>
      <c r="D147" s="16">
        <f>SUM(D140,D141,D145,D146)</f>
        <v>101.82396952</v>
      </c>
      <c r="E147" s="16">
        <f>SUM(E140,E141,E145,E146)</f>
        <v>195.35180348</v>
      </c>
      <c r="F147" s="16">
        <f>SUM(F140,F141,F145,F146)</f>
        <v>235.668227</v>
      </c>
      <c r="G147" s="16">
        <f>SUM(G140,G141,G145,G146)</f>
        <v>193.42400276</v>
      </c>
      <c r="H147" s="16">
        <f>SUM(D147:G147)</f>
        <v>726.26800276</v>
      </c>
      <c r="I147" s="16">
        <f>SUM(I140,I141,I145,I146)</f>
        <v>156.721154309999</v>
      </c>
      <c r="J147" s="16">
        <f>SUM(J140,J141,J145,J146)</f>
        <v>190.563345490002</v>
      </c>
      <c r="K147" s="16">
        <f>SUM(K140,K141,K145,K146)</f>
        <v>213.424</v>
      </c>
      <c r="L147" s="16">
        <f>SUM(L140,L141,L145,L146)</f>
        <v>208.08263300999</v>
      </c>
      <c r="M147" s="16">
        <f>SUM(I147:L147)</f>
        <v>768.79113280999</v>
      </c>
      <c r="N147" s="16">
        <f>SUM(N140,N141,N145,N146)</f>
        <v>199.21184191</v>
      </c>
      <c r="O147" s="16">
        <f>SUM(O140,O141,O145,O146)</f>
        <v>264.12308316</v>
      </c>
      <c r="P147" s="16">
        <f>SUM(P140,P141,P145,P146)</f>
        <v>290.871</v>
      </c>
      <c r="Q147" s="16">
        <f>SUM(Q140,Q141,Q145,Q146)</f>
        <v>310.58877903</v>
      </c>
      <c r="R147" s="16">
        <f>SUM(N147:Q147)</f>
        <v>1064.7947041</v>
      </c>
      <c r="S147" s="16">
        <f>SUM(S140,S141,S145,S146)</f>
        <v>239.691667580001</v>
      </c>
      <c r="T147" s="16">
        <f>SUM(T140,T141,T145,T146)</f>
        <v>293.232999999999</v>
      </c>
      <c r="U147" s="16">
        <f>SUM(U140,U141,U145,U146)</f>
        <v>313.597</v>
      </c>
      <c r="V147" s="16">
        <f>SUM(V140,V141,V145,V146)</f>
        <v>388.117449900001</v>
      </c>
      <c r="W147" s="16">
        <f>SUM(S147:V147)</f>
        <v>1234.63911748</v>
      </c>
      <c r="X147" s="16">
        <f>SUM(X140,X141,X145,X146)</f>
        <v>240.377781311575</v>
      </c>
      <c r="Y147" s="16">
        <f>SUM(Y140,Y141,Y145,Y146)</f>
        <v>327.34421227111</v>
      </c>
      <c r="Z147" s="16">
        <f>SUM(Z140,Z141,Z145,Z146)</f>
        <v>355.261</v>
      </c>
      <c r="AA147" s="16">
        <f>SUM(AA140,AA141,AA145,AA146)</f>
        <v>323.231900000001</v>
      </c>
      <c r="AB147" s="16">
        <f>SUM(X147:AA147)</f>
        <v>1246.21489358269</v>
      </c>
      <c r="AC147" s="16">
        <f>SUM(AC140,AC141,AC145,AC146)</f>
        <v>276.32</v>
      </c>
      <c r="AD147" s="16">
        <f>SUM(AD140,AD141,AD145,AD146)</f>
        <v>395.777433216228</v>
      </c>
      <c r="AE147" s="16">
        <f>SUM(AE140,AE141,AE145,AE146)</f>
        <v>850.545999999999</v>
      </c>
      <c r="AF147" s="16">
        <f>SUM(AF140,AF141,AF145,AF146)</f>
        <v>324.264000000031</v>
      </c>
      <c r="AG147" s="16">
        <f>SUM(AC147:AF147)</f>
        <v>1846.90743321626</v>
      </c>
      <c r="AH147" s="16">
        <f>SUM(AH140,AH141,AH145,AH146)</f>
        <v>212.881</v>
      </c>
      <c r="AI147" s="16">
        <f>SUM(AI140,AI141,AI145,AI146)</f>
        <v>236.804999999999</v>
      </c>
      <c r="AJ147" s="16">
        <f>SUM(AJ140,AJ141,AJ145,AJ146)</f>
        <v>91.868</v>
      </c>
      <c r="AK147" s="16">
        <f>SUM(AK140,AK141,AK145,AK146)</f>
        <v>72.088</v>
      </c>
      <c r="AL147" s="16">
        <f>SUM(AH147:AK147)</f>
        <v>613.641999999999</v>
      </c>
      <c r="AM147" s="16">
        <f>SUM(AM140,AM141,AM145,AM146)</f>
        <v>112.734</v>
      </c>
      <c r="AN147" s="16">
        <f>SUM(AN140,AN141,AN145,AN146)</f>
        <v>352.199</v>
      </c>
      <c r="AO147" s="16">
        <f>SUM(AO140,AO141,AO145,AO146)</f>
        <v>94.748</v>
      </c>
      <c r="AP147" s="16">
        <f>SUM(AP140,AP141,AP145,AP146)</f>
        <v>338.653</v>
      </c>
      <c r="AQ147" s="16">
        <f>SUM(AM147:AP147)</f>
        <v>898.334</v>
      </c>
      <c r="AR147" s="16">
        <f>SUM(AR140,AR141,AR145,AR146)</f>
        <v>379.299</v>
      </c>
      <c r="AS147" s="16">
        <f>SUM(AS140,AS141,AS145,AS146)</f>
        <v>891.089</v>
      </c>
      <c r="AT147" s="16">
        <f>SUM(AT140,AT141,AT145,AT146)</f>
        <v>361.313</v>
      </c>
      <c r="AU147" s="16">
        <f>SUM(AU140,AU141,AU145,AU146)</f>
        <v>877.543</v>
      </c>
      <c r="AV147" s="16">
        <f>SUM(AR147:AU147)</f>
        <v>2509.244</v>
      </c>
      <c r="AW147" s="16">
        <f>SUM(AW140,AW141,AW145,AW146)</f>
        <v>918.189</v>
      </c>
      <c r="AX147" s="16">
        <f>SUM(AX140,AX141,AX145,AX146)</f>
        <v>2501.999</v>
      </c>
      <c r="AY147" s="16">
        <f>SUM(AY140,AY141,AY145,AY146)</f>
        <v>900.203</v>
      </c>
      <c r="AZ147" s="16">
        <f>SUM(AZ140,AZ141,AZ145,AZ146)</f>
        <v>2488.453</v>
      </c>
      <c r="BA147" s="16">
        <f>SUM(AW147:AZ147)</f>
        <v>6808.844</v>
      </c>
      <c r="BB147" s="16">
        <f>SUM(BB140,BB141,BB145,BB146)</f>
        <v>2529.099</v>
      </c>
      <c r="BC147" s="16">
        <f>SUM(BC140,BC141,BC145,BC146)</f>
        <v>6801.599</v>
      </c>
      <c r="BD147" s="16">
        <f>SUM(BD140,BD141,BD145,BD146)</f>
        <v>2511.113</v>
      </c>
      <c r="BE147" s="16">
        <f>SUM(BE140,BE141,BE145,BE146)</f>
        <v>6788.053</v>
      </c>
      <c r="BF147" s="16">
        <f>SUM(BB147:BE147)</f>
        <v>18629.864</v>
      </c>
      <c r="BG147" s="16">
        <f>SUM(BG140,BG141,BG145,BG146)</f>
        <v>6828.699</v>
      </c>
      <c r="BH147" s="16">
        <f>SUM(BH140,BH141,BH145,BH146)</f>
        <v>18622.619</v>
      </c>
      <c r="BI147" s="16">
        <f>SUM(BI140,BI141,BI145,BI146)</f>
        <v>6810.713</v>
      </c>
      <c r="BJ147" s="16">
        <f>SUM(BJ140,BJ141,BJ145,BJ146)</f>
        <v>18609.073</v>
      </c>
      <c r="BK147" s="16">
        <f>SUM(BG147:BJ147)</f>
        <v>50871.104</v>
      </c>
      <c r="BL147" s="16">
        <f>SUM(BL140,BL141,BL145,BL146)</f>
        <v>18649.719</v>
      </c>
      <c r="BM147" s="16">
        <f>SUM(BM140,BM141,BM145,BM146)</f>
        <v>50863.859</v>
      </c>
      <c r="BN147" s="16">
        <f>SUM(BN140,BN141,BN145,BN146)</f>
        <v>18631.733</v>
      </c>
      <c r="BO147" s="16">
        <f>SUM(BO140,BO141,BO145,BO146)</f>
        <v>50850.313</v>
      </c>
      <c r="BP147" s="16">
        <f>SUM(BL147:BO147)</f>
        <v>138995.624</v>
      </c>
      <c r="BQ147" s="16">
        <f>SUM(BQ140,BQ141,BQ145,BQ146)</f>
        <v>50890.959</v>
      </c>
      <c r="BR147" s="16">
        <f>SUM(BR140,BR141,BR145,BR146)</f>
        <v>138988.379</v>
      </c>
      <c r="BS147" s="16">
        <f>SUM(BS140,BS141,BS145,BS146)</f>
        <v>50872.973</v>
      </c>
      <c r="BT147" s="16">
        <f>SUM(BT140,BT141,BT145,BT146)</f>
        <v>138974.833</v>
      </c>
      <c r="BU147" s="16">
        <f>SUM(BQ147:BT147)</f>
        <v>379727.144</v>
      </c>
      <c r="BV147" s="16">
        <f>SUM(BV140,BV141,BV145,BV146)</f>
        <v>139015.479</v>
      </c>
      <c r="BW147" s="16">
        <f>SUM(BW140,BW141,BW145,BW146)</f>
        <v>379719.899</v>
      </c>
      <c r="BX147" s="16">
        <f>SUM(BX140,BX141,BX145,BX146)</f>
        <v>138997.493</v>
      </c>
      <c r="BY147" s="16">
        <f>SUM(BY140,BY141,BY145,BY146)</f>
        <v>379706.353</v>
      </c>
      <c r="BZ147" s="16">
        <f>SUM(BV147:BY147)</f>
        <v>1037439.224</v>
      </c>
      <c r="CA147" s="16">
        <f>SUM(CA140,CA141,CA145,CA146)</f>
        <v>379746.999</v>
      </c>
      <c r="CB147" s="16">
        <f>SUM(CB140,CB141,CB145,CB146)</f>
        <v>1037431.979</v>
      </c>
      <c r="CC147" s="16">
        <f>SUM(CC140,CC141,CC145,CC146)</f>
        <v>379729.013</v>
      </c>
      <c r="CD147" s="16">
        <f>SUM(CD140,CD141,CD145,CD146)</f>
        <v>1037418.433</v>
      </c>
      <c r="CE147" s="16">
        <f>SUM(CA147:CD147)</f>
        <v>2834326.424</v>
      </c>
      <c r="CF147" s="16">
        <f>SUM(CF140,CF141,CF145,CF146)</f>
        <v>1037459.079</v>
      </c>
      <c r="CG147" s="16">
        <f>SUM(CG140,CG141,CG145,CG146)</f>
        <v>2834319.179</v>
      </c>
      <c r="CH147" s="16">
        <f>SUM(CH140,CH141,CH145,CH146)</f>
        <v>1037441.093</v>
      </c>
      <c r="CI147" s="16">
        <f>SUM(CI140,CI141,CI145,CI146)</f>
        <v>2834305.633</v>
      </c>
      <c r="CJ147" s="16">
        <f>SUM(CF147:CI147)</f>
        <v>7743524.984</v>
      </c>
      <c r="CK147" s="16">
        <f>SUM(CK140,CK141,CK145,CK146)</f>
        <v>2834346.279</v>
      </c>
      <c r="CL147" s="16">
        <f>SUM(CL140,CL141,CL145,CL146)</f>
        <v>7743517.739</v>
      </c>
      <c r="CM147" s="16">
        <f>SUM(CM140,CM141,CM145,CM146)</f>
        <v>2834328.293</v>
      </c>
      <c r="CN147" s="16">
        <f>SUM(CN140,CN141,CN145,CN146)</f>
        <v>7743504.193</v>
      </c>
      <c r="CO147" s="16">
        <f>SUM(CK147:CN147)</f>
        <v>21155696.504</v>
      </c>
      <c r="CP147" s="16">
        <f>SUM(CP140,CP141,CP145,CP146)</f>
        <v>7743544.839</v>
      </c>
      <c r="CQ147" s="16">
        <f>SUM(CQ140,CQ141,CQ145,CQ146)</f>
        <v>21155689.259</v>
      </c>
      <c r="CR147" s="16">
        <f>SUM(CR140,CR141,CR145,CR146)</f>
        <v>7743526.853</v>
      </c>
      <c r="CS147" s="16">
        <f>SUM(CS140,CS141,CS145,CS146)</f>
        <v>21155675.713</v>
      </c>
      <c r="CT147" s="16">
        <f>SUM(CP147:CS147)</f>
        <v>57798436.664</v>
      </c>
      <c r="CU147" s="16">
        <f>SUM(CU140,CU141,CU145,CU146)</f>
        <v>21155716.359</v>
      </c>
      <c r="CV147" s="16">
        <f>SUM(CV140,CV141,CV145,CV146)</f>
        <v>57798429.419</v>
      </c>
      <c r="CW147" s="16">
        <f>SUM(CW140,CW141,CW145,CW146)</f>
        <v>21155698.373</v>
      </c>
      <c r="CX147" s="16">
        <f>SUM(CX140,CX141,CX145,CX146)</f>
        <v>57798415.873</v>
      </c>
      <c r="CY147" s="16">
        <f>SUM(CU147:CX147)</f>
        <v>157908260.024</v>
      </c>
    </row>
    <row r="148">
      <c r="C148" s="24" t="inlineStr">
        <is>
          <t>Common Dividends</t>
        </is>
      </c>
      <c r="D148" s="25">
        <f>INDEX('Inputs (2)'!$D$13:$AL$13,MATCH(D$7,'Inputs (2)'!$D$2:$AL$2,0))</f>
        <v>0</v>
      </c>
      <c r="E148" s="25">
        <f>INDEX('Inputs (2)'!$D$13:$AL$13,MATCH(E$7,'Inputs (2)'!$D$2:$AL$2,0))</f>
        <v>0</v>
      </c>
      <c r="F148" s="25">
        <f>INDEX('Inputs (2)'!$D$13:$AL$13,MATCH(F$7,'Inputs (2)'!$D$2:$AL$2,0))</f>
        <v>0</v>
      </c>
      <c r="G148" s="25">
        <f>INDEX('Inputs (2)'!$D$13:$AL$13,MATCH(G$7,'Inputs (2)'!$D$2:$AL$2,0))</f>
        <v>0</v>
      </c>
      <c r="H148" s="3">
        <f>SUM(D148:G148)</f>
        <v>0</v>
      </c>
      <c r="I148" s="25">
        <f>INDEX('Inputs (2)'!$D$13:$AL$13,MATCH(I$7,'Inputs (2)'!$D$2:$AL$2,0))</f>
        <v>0</v>
      </c>
      <c r="J148" s="25">
        <f>INDEX('Inputs (2)'!$D$13:$AL$13,MATCH(J$7,'Inputs (2)'!$D$2:$AL$2,0))</f>
        <v>0</v>
      </c>
      <c r="K148" s="25">
        <f>INDEX('Inputs (2)'!$D$13:$AL$13,MATCH(K$7,'Inputs (2)'!$D$2:$AL$2,0))</f>
        <v>0</v>
      </c>
      <c r="L148" s="25">
        <f>INDEX('Inputs (2)'!$D$13:$AL$13,MATCH(L$7,'Inputs (2)'!$D$2:$AL$2,0))</f>
        <v>0</v>
      </c>
      <c r="M148" s="3">
        <f>SUM(I148:L148)</f>
        <v>0</v>
      </c>
      <c r="N148" s="25">
        <f>INDEX('Inputs (2)'!$D$13:$AL$13,MATCH(N$7,'Inputs (2)'!$D$2:$AL$2,0))</f>
        <v>0</v>
      </c>
      <c r="O148" s="25">
        <f>INDEX('Inputs (2)'!$D$13:$AL$13,MATCH(O$7,'Inputs (2)'!$D$2:$AL$2,0))</f>
        <v>0</v>
      </c>
      <c r="P148" s="25">
        <f>INDEX('Inputs (2)'!$D$13:$AL$13,MATCH(P$7,'Inputs (2)'!$D$2:$AL$2,0))</f>
        <v>0</v>
      </c>
      <c r="Q148" s="25">
        <f>INDEX('Inputs (2)'!$D$13:$AL$13,MATCH(Q$7,'Inputs (2)'!$D$2:$AL$2,0))</f>
        <v>0</v>
      </c>
      <c r="R148" s="3">
        <f>SUM(N148:Q148)</f>
        <v>0</v>
      </c>
      <c r="S148" s="25">
        <f>INDEX('Inputs (2)'!$D$13:$AL$13,MATCH(S$7,'Inputs (2)'!$D$2:$AL$2,0))</f>
        <v>0</v>
      </c>
      <c r="T148" s="25">
        <f>INDEX('Inputs (2)'!$D$13:$AL$13,MATCH(T$7,'Inputs (2)'!$D$2:$AL$2,0))</f>
        <v>0</v>
      </c>
      <c r="U148" s="25">
        <f>INDEX('Inputs (2)'!$D$13:$AL$13,MATCH(U$7,'Inputs (2)'!$D$2:$AL$2,0))</f>
        <v>0</v>
      </c>
      <c r="V148" s="25">
        <f>INDEX('Inputs (2)'!$D$13:$AL$13,MATCH(V$7,'Inputs (2)'!$D$2:$AL$2,0))</f>
        <v>0</v>
      </c>
      <c r="W148" s="3">
        <f>SUM(S148:V148)</f>
        <v>0</v>
      </c>
      <c r="X148" s="25">
        <f>INDEX('Inputs (2)'!$D$13:$AL$13,MATCH(X$7,'Inputs (2)'!$D$2:$AL$2,0))</f>
        <v>0</v>
      </c>
      <c r="Y148" s="25">
        <f>INDEX('Inputs (2)'!$D$13:$AL$13,MATCH(Y$7,'Inputs (2)'!$D$2:$AL$2,0))</f>
        <v>0</v>
      </c>
      <c r="Z148" s="25">
        <f>INDEX('Inputs (2)'!$D$13:$AL$13,MATCH(Z$7,'Inputs (2)'!$D$2:$AL$2,0))</f>
        <v>0</v>
      </c>
      <c r="AA148" s="25">
        <f>INDEX('Inputs (2)'!$D$13:$AL$13,MATCH(AA$7,'Inputs (2)'!$D$2:$AL$2,0))</f>
        <v>-81.047</v>
      </c>
      <c r="AB148" s="3">
        <f>SUM(X148:AA148)</f>
        <v>-81.047</v>
      </c>
      <c r="AC148" s="25">
        <f>INDEX('Inputs (2)'!$D$13:$AL$13,MATCH(AC$7,'Inputs (2)'!$D$2:$AL$2,0))</f>
        <v>0</v>
      </c>
      <c r="AD148" s="25">
        <f>INDEX('Inputs (2)'!$D$13:$AL$13,MATCH(AD$7,'Inputs (2)'!$D$2:$AL$2,0))</f>
        <v>0</v>
      </c>
      <c r="AE148" s="25">
        <f>INDEX('Inputs (2)'!$D$13:$AL$13,MATCH(AE$7,'Inputs (2)'!$D$2:$AL$2,0))</f>
        <v>0</v>
      </c>
      <c r="AF148" s="25">
        <f>INDEX('Inputs (2)'!$D$13:$AL$13,MATCH(AF$7,'Inputs (2)'!$D$2:$AL$2,0))</f>
        <v>-145.544</v>
      </c>
      <c r="AG148" s="3">
        <f>SUM(AC148:AF148)</f>
        <v>-145.544</v>
      </c>
      <c r="AH148" s="3">
        <f>INDEX('Inputs (2)'!$D$13:$AL$13,MATCH(AH$7,'Inputs (2)'!$D$2:$AL$2,0))</f>
        <v>0</v>
      </c>
      <c r="AI148" s="3">
        <f>INDEX('Inputs (2)'!$D$13:$AL$13,MATCH(AI$7,'Inputs (2)'!$D$2:$AL$2,0))</f>
        <v>0</v>
      </c>
      <c r="AJ148" s="3" t="n"/>
      <c r="AK148" s="3" t="n"/>
      <c r="AL148" s="3">
        <f>SUM(AH148:AK148)</f>
        <v>0</v>
      </c>
      <c r="AM148" s="3" t="n"/>
      <c r="AN148" s="3" t="n"/>
      <c r="AO148" s="3" t="n"/>
      <c r="AP148" s="3" t="n"/>
      <c r="AQ148" s="3">
        <f>SUM(AM148:AP148)</f>
        <v>0</v>
      </c>
      <c r="AR148" s="3" t="n"/>
      <c r="AS148" s="3" t="n"/>
      <c r="AT148" s="3" t="n"/>
      <c r="AU148" s="3" t="n"/>
      <c r="AV148" s="3">
        <f>SUM(AR148:AU148)</f>
        <v>0</v>
      </c>
      <c r="AW148" s="3" t="n"/>
      <c r="AX148" s="3" t="n"/>
      <c r="AY148" s="3" t="n"/>
      <c r="AZ148" s="3" t="n"/>
      <c r="BA148" s="3">
        <f>SUM(AW148:AZ148)</f>
        <v>0</v>
      </c>
      <c r="BB148" s="3" t="n"/>
      <c r="BC148" s="3" t="n"/>
      <c r="BD148" s="3" t="n"/>
      <c r="BE148" s="3" t="n"/>
      <c r="BF148" s="3">
        <f>SUM(BB148:BE148)</f>
        <v>0</v>
      </c>
      <c r="BG148" s="3" t="n"/>
      <c r="BH148" s="3" t="n"/>
      <c r="BI148" s="3" t="n"/>
      <c r="BJ148" s="3" t="n"/>
      <c r="BK148" s="3">
        <f>SUM(BG148:BJ148)</f>
        <v>0</v>
      </c>
      <c r="BL148" s="3" t="n"/>
      <c r="BM148" s="3" t="n"/>
      <c r="BN148" s="3" t="n"/>
      <c r="BO148" s="3" t="n"/>
      <c r="BP148" s="3">
        <f>SUM(BL148:BO148)</f>
        <v>0</v>
      </c>
      <c r="BQ148" s="3" t="n"/>
      <c r="BR148" s="3" t="n"/>
      <c r="BS148" s="3" t="n"/>
      <c r="BT148" s="3" t="n"/>
      <c r="BU148" s="3">
        <f>SUM(BQ148:BT148)</f>
        <v>0</v>
      </c>
      <c r="BV148" s="3" t="n"/>
      <c r="BW148" s="3" t="n"/>
      <c r="BX148" s="3" t="n"/>
      <c r="BY148" s="3" t="n"/>
      <c r="BZ148" s="3">
        <f>SUM(BV148:BY148)</f>
        <v>0</v>
      </c>
      <c r="CA148" s="3" t="n"/>
      <c r="CB148" s="3" t="n"/>
      <c r="CC148" s="3" t="n"/>
      <c r="CD148" s="3" t="n"/>
      <c r="CE148" s="3">
        <f>SUM(CA148:CD148)</f>
        <v>0</v>
      </c>
      <c r="CF148" s="3" t="n"/>
      <c r="CG148" s="3" t="n"/>
      <c r="CH148" s="3" t="n"/>
      <c r="CI148" s="3" t="n"/>
      <c r="CJ148" s="3">
        <f>SUM(CF148:CI148)</f>
        <v>0</v>
      </c>
      <c r="CK148" s="3" t="n"/>
      <c r="CL148" s="3" t="n"/>
      <c r="CM148" s="3" t="n"/>
      <c r="CN148" s="3" t="n"/>
      <c r="CO148" s="3">
        <f>SUM(CK148:CN148)</f>
        <v>0</v>
      </c>
      <c r="CP148" s="3" t="n"/>
      <c r="CQ148" s="3" t="n"/>
      <c r="CR148" s="3" t="n"/>
      <c r="CS148" s="3" t="n"/>
      <c r="CT148" s="3">
        <f>SUM(CP148:CS148)</f>
        <v>0</v>
      </c>
      <c r="CU148" s="3" t="n"/>
      <c r="CV148" s="3" t="n"/>
      <c r="CW148" s="3" t="n"/>
      <c r="CX148" s="3" t="n"/>
      <c r="CY148" s="3">
        <f>SUM(CU148:CX148)</f>
        <v>0</v>
      </c>
    </row>
    <row r="149" hidden="1" outlineLevel="1">
      <c r="C149" s="32" t="inlineStr">
        <is>
          <t>% DVD Payout</t>
        </is>
      </c>
      <c r="D149" s="40">
        <f>-D148/D147</f>
        <v>0</v>
      </c>
      <c r="E149" s="40">
        <f>-E148/E147</f>
        <v>0</v>
      </c>
      <c r="F149" s="40">
        <f>-F148/F147</f>
        <v>0</v>
      </c>
      <c r="G149" s="40">
        <f>-G148/G147</f>
        <v>0</v>
      </c>
      <c r="H149" s="40">
        <f>-H148/H147</f>
        <v>0</v>
      </c>
      <c r="I149" s="40">
        <f>-I148/I147</f>
        <v>0</v>
      </c>
      <c r="J149" s="40">
        <f>-J148/J147</f>
        <v>0</v>
      </c>
      <c r="K149" s="40">
        <f>-K148/K147</f>
        <v>0</v>
      </c>
      <c r="L149" s="40">
        <f>-L148/L147</f>
        <v>0</v>
      </c>
      <c r="M149" s="40">
        <f>-M148/M147</f>
        <v>0</v>
      </c>
      <c r="N149" s="40">
        <f>-N148/N147</f>
        <v>0</v>
      </c>
      <c r="O149" s="40">
        <f>-O148/O147</f>
        <v>0</v>
      </c>
      <c r="P149" s="40">
        <f>-P148/P147</f>
        <v>0</v>
      </c>
      <c r="Q149" s="40">
        <f>-Q148/Q147</f>
        <v>0</v>
      </c>
      <c r="R149" s="40">
        <f>-R148/R147</f>
        <v>0</v>
      </c>
      <c r="S149" s="40">
        <f>-S148/S147</f>
        <v>0</v>
      </c>
      <c r="T149" s="40">
        <f>-T148/T147</f>
        <v>0</v>
      </c>
      <c r="U149" s="40">
        <f>-U148/U147</f>
        <v>0</v>
      </c>
      <c r="V149" s="40">
        <f>-V148/V147</f>
        <v>0</v>
      </c>
      <c r="W149" s="40">
        <f>-W148/W147</f>
        <v>0</v>
      </c>
      <c r="X149" s="40">
        <f>-X148/X147</f>
        <v>0</v>
      </c>
      <c r="Y149" s="40">
        <f>-Y148/Y147</f>
        <v>0</v>
      </c>
      <c r="Z149" s="40">
        <f>-Z148/Z147</f>
        <v>0</v>
      </c>
      <c r="AA149" s="40">
        <f>-AA148/AA147</f>
        <v>0.250739484562012</v>
      </c>
      <c r="AB149" s="40">
        <f>-AB148/AB147</f>
        <v>0.065034530093764</v>
      </c>
      <c r="AC149" s="40">
        <f>-AC148/AC147</f>
        <v>0</v>
      </c>
      <c r="AD149" s="40">
        <f>-AD148/AD147</f>
        <v>0</v>
      </c>
      <c r="AE149" s="40">
        <f>-AE148/AE147</f>
        <v>0</v>
      </c>
      <c r="AF149" s="44">
        <f>-AF148/AF147</f>
        <v>0.448844151678836</v>
      </c>
      <c r="AG149" s="3" t="n"/>
      <c r="AH149" s="44">
        <f>-AH148/AH147</f>
        <v>0</v>
      </c>
      <c r="AI149" s="44">
        <f>-AI148/AI147</f>
        <v>0</v>
      </c>
      <c r="AJ149" s="44" t="n"/>
      <c r="AK149" s="44" t="n"/>
      <c r="AL149" s="3">
        <f>-AL148/AL147</f>
        <v>0</v>
      </c>
      <c r="AM149" s="44" t="n"/>
      <c r="AN149" s="44" t="n"/>
      <c r="AO149" s="44" t="n"/>
      <c r="AP149" s="44" t="n"/>
      <c r="AQ149" s="3">
        <f>-AQ148/AQ147</f>
        <v>0</v>
      </c>
      <c r="AR149" s="44" t="n"/>
      <c r="AS149" s="44" t="n"/>
      <c r="AT149" s="44" t="n"/>
      <c r="AU149" s="44" t="n"/>
      <c r="AV149" s="3">
        <f>-AV148/AV147</f>
        <v>0</v>
      </c>
      <c r="AW149" s="44" t="n"/>
      <c r="AX149" s="44" t="n"/>
      <c r="AY149" s="44" t="n"/>
      <c r="AZ149" s="44" t="n"/>
      <c r="BA149" s="3">
        <f>-BA148/BA147</f>
        <v>0</v>
      </c>
      <c r="BB149" s="44" t="n"/>
      <c r="BC149" s="44" t="n"/>
      <c r="BD149" s="44" t="n"/>
      <c r="BE149" s="44" t="n"/>
      <c r="BF149" s="3">
        <f>-BF148/BF147</f>
        <v>0</v>
      </c>
      <c r="BG149" s="44" t="n"/>
      <c r="BH149" s="44" t="n"/>
      <c r="BI149" s="44" t="n"/>
      <c r="BJ149" s="44" t="n"/>
      <c r="BK149" s="3">
        <f>-BK148/BK147</f>
        <v>0</v>
      </c>
      <c r="BL149" s="44" t="n"/>
      <c r="BM149" s="44" t="n"/>
      <c r="BN149" s="44" t="n"/>
      <c r="BO149" s="44" t="n"/>
      <c r="BP149" s="3">
        <f>-BP148/BP147</f>
        <v>0</v>
      </c>
      <c r="BQ149" s="44" t="n"/>
      <c r="BR149" s="44" t="n"/>
      <c r="BS149" s="44" t="n"/>
      <c r="BT149" s="44" t="n"/>
      <c r="BU149" s="3">
        <f>-BU148/BU147</f>
        <v>0</v>
      </c>
      <c r="BV149" s="44" t="n"/>
      <c r="BW149" s="44" t="n"/>
      <c r="BX149" s="44" t="n"/>
      <c r="BY149" s="44" t="n"/>
      <c r="BZ149" s="3">
        <f>-BZ148/BZ147</f>
        <v>0</v>
      </c>
      <c r="CA149" s="44" t="n"/>
      <c r="CB149" s="44" t="n"/>
      <c r="CC149" s="44" t="n"/>
      <c r="CD149" s="44" t="n"/>
      <c r="CE149" s="3">
        <f>-CE148/CE147</f>
        <v>0</v>
      </c>
      <c r="CF149" s="44" t="n"/>
      <c r="CG149" s="44" t="n"/>
      <c r="CH149" s="44" t="n"/>
      <c r="CI149" s="44" t="n"/>
      <c r="CJ149" s="3">
        <f>-CJ148/CJ147</f>
        <v>0</v>
      </c>
      <c r="CK149" s="44" t="n"/>
      <c r="CL149" s="44" t="n"/>
      <c r="CM149" s="44" t="n"/>
      <c r="CN149" s="44" t="n"/>
      <c r="CO149" s="3">
        <f>-CO148/CO147</f>
        <v>0</v>
      </c>
      <c r="CP149" s="44" t="n"/>
      <c r="CQ149" s="44" t="n"/>
      <c r="CR149" s="44" t="n"/>
      <c r="CS149" s="44" t="n"/>
      <c r="CT149" s="3">
        <f>-CT148/CT147</f>
        <v>0</v>
      </c>
      <c r="CU149" s="44" t="n"/>
      <c r="CV149" s="44" t="n"/>
      <c r="CW149" s="44" t="n"/>
      <c r="CX149" s="44" t="n"/>
      <c r="CY149" s="3">
        <f>-CY148/CY147</f>
        <v>0</v>
      </c>
    </row>
    <row r="150" hidden="1" outlineLevel="1">
      <c r="C150" s="5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</row>
    <row r="151" hidden="1" outlineLevel="1">
      <c r="C151" s="5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</row>
    <row r="152" collapsed="1" ht="11.25" customHeight="1">
      <c r="C152" s="12" t="inlineStr">
        <is>
          <t>Balance Sheet</t>
        </is>
      </c>
      <c r="D152" s="12" t="str">
        <f>D13</f>
        <v>1Q20</v>
      </c>
      <c r="E152" s="12" t="str">
        <f>E13</f>
        <v>2Q20</v>
      </c>
      <c r="F152" s="12" t="str">
        <f>F13</f>
        <v>3Q20</v>
      </c>
      <c r="G152" s="12" t="str">
        <f>G13</f>
        <v>4Q20</v>
      </c>
      <c r="H152" s="12">
        <f>H13</f>
        <v>2020</v>
      </c>
      <c r="I152" s="12" t="str">
        <f>I13</f>
        <v>1Q21</v>
      </c>
      <c r="J152" s="12" t="str">
        <f>J13</f>
        <v>2Q21</v>
      </c>
      <c r="K152" s="12" t="str">
        <f>K13</f>
        <v>3Q21</v>
      </c>
      <c r="L152" s="12" t="str">
        <f>L13</f>
        <v>4Q21</v>
      </c>
      <c r="M152" s="12">
        <f>M13</f>
        <v>2021</v>
      </c>
      <c r="N152" s="12" t="str">
        <f>N13</f>
        <v>1Q22</v>
      </c>
      <c r="O152" s="12" t="str">
        <f>O13</f>
        <v>2Q22</v>
      </c>
      <c r="P152" s="12" t="str">
        <f>P13</f>
        <v>3Q22</v>
      </c>
      <c r="Q152" s="12" t="str">
        <f>Q13</f>
        <v>4Q22</v>
      </c>
      <c r="R152" s="12">
        <f>R13</f>
        <v>2022</v>
      </c>
      <c r="S152" s="12" t="str">
        <f>S13</f>
        <v>1Q23</v>
      </c>
      <c r="T152" s="12" t="str">
        <f>T13</f>
        <v>2Q23</v>
      </c>
      <c r="U152" s="12" t="str">
        <f>U13</f>
        <v>3Q23</v>
      </c>
      <c r="V152" s="12" t="str">
        <f>V13</f>
        <v>4Q23</v>
      </c>
      <c r="W152" s="12">
        <f>W13</f>
        <v>2023</v>
      </c>
      <c r="X152" s="12" t="str">
        <f>X13</f>
        <v>1Q24</v>
      </c>
      <c r="Y152" s="12" t="str">
        <f>Y13</f>
        <v>2Q24</v>
      </c>
      <c r="Z152" s="12" t="str">
        <f>Z13</f>
        <v>3Q24</v>
      </c>
      <c r="AA152" s="12" t="str">
        <f>AA13</f>
        <v>4Q24</v>
      </c>
      <c r="AB152" s="12">
        <f>AB13</f>
        <v>2024</v>
      </c>
      <c r="AC152" s="12" t="str">
        <f>AC13</f>
        <v>1Q25</v>
      </c>
      <c r="AD152" s="12" t="str">
        <f>AD13</f>
        <v>2Q25</v>
      </c>
      <c r="AE152" s="12" t="str">
        <f>AE13</f>
        <v>3Q25</v>
      </c>
      <c r="AF152" s="12" t="str">
        <f>AF13</f>
        <v>4Q25</v>
      </c>
      <c r="AG152" s="12">
        <f>AG13</f>
        <v>2025</v>
      </c>
      <c r="AH152" s="12" t="str">
        <f>AH13</f>
        <v>1Q26</v>
      </c>
      <c r="AI152" s="12" t="str">
        <f>AI13</f>
        <v>2Q26</v>
      </c>
      <c r="AJ152" s="12" t="str">
        <f>AJ13</f>
        <v>3Q26</v>
      </c>
      <c r="AK152" s="12" t="str">
        <f>AK13</f>
        <v>4Q26</v>
      </c>
      <c r="AL152" s="12">
        <f>AL13</f>
        <v>2026</v>
      </c>
      <c r="AM152" s="12" t="str">
        <f>AM13</f>
        <v>1Q27</v>
      </c>
      <c r="AN152" s="12" t="str">
        <f>AN13</f>
        <v>2Q27</v>
      </c>
      <c r="AO152" s="12" t="str">
        <f>AO13</f>
        <v>3Q27</v>
      </c>
      <c r="AP152" s="12" t="str">
        <f>AP13</f>
        <v>4Q27</v>
      </c>
      <c r="AQ152" s="12">
        <f>AQ13</f>
        <v>2027</v>
      </c>
      <c r="AR152" s="12" t="str">
        <f>AR13</f>
        <v>1Q28</v>
      </c>
      <c r="AS152" s="12" t="str">
        <f>AS13</f>
        <v>2Q28</v>
      </c>
      <c r="AT152" s="12" t="str">
        <f>AT13</f>
        <v>3Q28</v>
      </c>
      <c r="AU152" s="12" t="str">
        <f>AU13</f>
        <v>4Q28</v>
      </c>
      <c r="AV152" s="12">
        <f>AV13</f>
        <v>2028</v>
      </c>
      <c r="AW152" s="12" t="str">
        <f>AW13</f>
        <v>1Q29</v>
      </c>
      <c r="AX152" s="12" t="str">
        <f>AX13</f>
        <v>2Q29</v>
      </c>
      <c r="AY152" s="12" t="str">
        <f>AY13</f>
        <v>3Q29</v>
      </c>
      <c r="AZ152" s="12" t="str">
        <f>AZ13</f>
        <v>4Q29</v>
      </c>
      <c r="BA152" s="12">
        <f>BA13</f>
        <v>2029</v>
      </c>
      <c r="BB152" s="12" t="str">
        <f>BB13</f>
        <v>1Q30</v>
      </c>
      <c r="BC152" s="12" t="str">
        <f>BC13</f>
        <v>2Q30</v>
      </c>
      <c r="BD152" s="12" t="str">
        <f>BD13</f>
        <v>3Q30</v>
      </c>
      <c r="BE152" s="12" t="str">
        <f>BE13</f>
        <v>4Q30</v>
      </c>
      <c r="BF152" s="12">
        <f>BF13</f>
        <v>2030</v>
      </c>
      <c r="BG152" s="12" t="str">
        <f>BG13</f>
        <v>1Q31</v>
      </c>
      <c r="BH152" s="12" t="str">
        <f>BH13</f>
        <v>2Q31</v>
      </c>
      <c r="BI152" s="12" t="str">
        <f>BI13</f>
        <v>3Q31</v>
      </c>
      <c r="BJ152" s="12" t="str">
        <f>BJ13</f>
        <v>4Q31</v>
      </c>
      <c r="BK152" s="12">
        <f>BK13</f>
        <v>2031</v>
      </c>
      <c r="BL152" s="12" t="str">
        <f>BL13</f>
        <v>1Q32</v>
      </c>
      <c r="BM152" s="12" t="str">
        <f>BM13</f>
        <v>2Q32</v>
      </c>
      <c r="BN152" s="12" t="str">
        <f>BN13</f>
        <v>3Q32</v>
      </c>
      <c r="BO152" s="12" t="str">
        <f>BO13</f>
        <v>4Q32</v>
      </c>
      <c r="BP152" s="12">
        <f>BP13</f>
        <v>2032</v>
      </c>
      <c r="BQ152" s="12" t="str">
        <f>BQ13</f>
        <v>1Q33</v>
      </c>
      <c r="BR152" s="12" t="str">
        <f>BR13</f>
        <v>2Q33</v>
      </c>
      <c r="BS152" s="12" t="str">
        <f>BS13</f>
        <v>3Q33</v>
      </c>
      <c r="BT152" s="12" t="str">
        <f>BT13</f>
        <v>4Q33</v>
      </c>
      <c r="BU152" s="12">
        <f>BU13</f>
        <v>2033</v>
      </c>
      <c r="BV152" s="12" t="str">
        <f>BV13</f>
        <v>1Q34</v>
      </c>
      <c r="BW152" s="12" t="str">
        <f>BW13</f>
        <v>2Q34</v>
      </c>
      <c r="BX152" s="12" t="str">
        <f>BX13</f>
        <v>3Q34</v>
      </c>
      <c r="BY152" s="12" t="str">
        <f>BY13</f>
        <v>4Q34</v>
      </c>
      <c r="BZ152" s="12">
        <f>BZ13</f>
        <v>2034</v>
      </c>
      <c r="CA152" s="12" t="str">
        <f>CA13</f>
        <v>1Q35</v>
      </c>
      <c r="CB152" s="12" t="str">
        <f>CB13</f>
        <v>2Q35</v>
      </c>
      <c r="CC152" s="12" t="str">
        <f>CC13</f>
        <v>3Q35</v>
      </c>
      <c r="CD152" s="12" t="str">
        <f>CD13</f>
        <v>4Q35</v>
      </c>
      <c r="CE152" s="12">
        <f>CE13</f>
        <v>2035</v>
      </c>
      <c r="CF152" s="12" t="str">
        <f>CF13</f>
        <v>1Q36</v>
      </c>
      <c r="CG152" s="12" t="str">
        <f>CG13</f>
        <v>2Q36</v>
      </c>
      <c r="CH152" s="12" t="str">
        <f>CH13</f>
        <v>3Q36</v>
      </c>
      <c r="CI152" s="12" t="str">
        <f>CI13</f>
        <v>4Q36</v>
      </c>
      <c r="CJ152" s="12">
        <f>CJ13</f>
        <v>2036</v>
      </c>
      <c r="CK152" s="12" t="str">
        <f>CK13</f>
        <v>1Q37</v>
      </c>
      <c r="CL152" s="12" t="str">
        <f>CL13</f>
        <v>2Q37</v>
      </c>
      <c r="CM152" s="12" t="str">
        <f>CM13</f>
        <v>3Q37</v>
      </c>
      <c r="CN152" s="12" t="str">
        <f>CN13</f>
        <v>4Q37</v>
      </c>
      <c r="CO152" s="12">
        <f>CO13</f>
        <v>2037</v>
      </c>
      <c r="CP152" s="12" t="str">
        <f>CP13</f>
        <v>1Q38</v>
      </c>
      <c r="CQ152" s="12" t="str">
        <f>CQ13</f>
        <v>2Q38</v>
      </c>
      <c r="CR152" s="12" t="str">
        <f>CR13</f>
        <v>3Q38</v>
      </c>
      <c r="CS152" s="12" t="str">
        <f>CS13</f>
        <v>4Q38</v>
      </c>
      <c r="CT152" s="12">
        <f>CT13</f>
        <v>2038</v>
      </c>
      <c r="CU152" s="12" t="str">
        <f>CU13</f>
        <v>1Q39</v>
      </c>
      <c r="CV152" s="12" t="str">
        <f>CV13</f>
        <v>2Q39</v>
      </c>
      <c r="CW152" s="12" t="str">
        <f>CW13</f>
        <v>3Q39</v>
      </c>
      <c r="CX152" s="12" t="str">
        <f>CX13</f>
        <v>4Q39</v>
      </c>
      <c r="CY152" s="12">
        <f>CY13</f>
        <v>2039</v>
      </c>
    </row>
    <row r="153">
      <c r="C153" s="5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</row>
    <row r="154">
      <c r="C154" s="24" t="inlineStr">
        <is>
          <t>Cash and equivalents (inc. investment securities)</t>
        </is>
      </c>
      <c r="D154" s="25" t="e">
        <f>INDEX('Inputs (2)'!$D$15:$AL$15,MATCH(D$7,'Inputs (2)'!$D$2:$AL$2,0))</f>
        <v>#N/A</v>
      </c>
      <c r="E154" s="25">
        <f>INDEX('Inputs (2)'!$D$15:$AL$15,MATCH(E$7,'Inputs (2)'!$D$2:$AL$2,0))</f>
        <v>958.729</v>
      </c>
      <c r="F154" s="25">
        <f>INDEX('Inputs (2)'!$D$15:$AL$15,MATCH(F$7,'Inputs (2)'!$D$2:$AL$2,0))</f>
        <v>816.91607241</v>
      </c>
      <c r="G154" s="25">
        <f>INDEX('Inputs (2)'!$D$15:$AL$15,MATCH(G$7,'Inputs (2)'!$D$2:$AL$2,0))</f>
        <v>2127.35010725</v>
      </c>
      <c r="H154" s="3">
        <f>G154</f>
        <v>2127.35010725</v>
      </c>
      <c r="I154" s="25">
        <f>INDEX('Inputs (2)'!$D$15:$AL$15,MATCH(I$7,'Inputs (2)'!$D$2:$AL$2,0))</f>
        <v>1797.94673825</v>
      </c>
      <c r="J154" s="25">
        <f>INDEX('Inputs (2)'!$D$15:$AL$15,MATCH(J$7,'Inputs (2)'!$D$2:$AL$2,0))</f>
        <v>1688.38019428</v>
      </c>
      <c r="K154" s="25">
        <f>INDEX('Inputs (2)'!$D$15:$AL$15,MATCH(K$7,'Inputs (2)'!$D$2:$AL$2,0))</f>
        <v>960.417</v>
      </c>
      <c r="L154" s="25">
        <f>INDEX('Inputs (2)'!$D$15:$AL$15,MATCH(L$7,'Inputs (2)'!$D$2:$AL$2,0))</f>
        <v>880.326</v>
      </c>
      <c r="M154" s="3">
        <f>L154</f>
        <v>880.326</v>
      </c>
      <c r="N154" s="25">
        <f>INDEX('Inputs (2)'!$D$15:$AL$15,MATCH(N$7,'Inputs (2)'!$D$2:$AL$2,0))</f>
        <v>620.94</v>
      </c>
      <c r="O154" s="25">
        <f>INDEX('Inputs (2)'!$D$15:$AL$15,MATCH(O$7,'Inputs (2)'!$D$2:$AL$2,0))</f>
        <v>891.18</v>
      </c>
      <c r="P154" s="25">
        <f>INDEX('Inputs (2)'!$D$15:$AL$15,MATCH(P$7,'Inputs (2)'!$D$2:$AL$2,0))</f>
        <v>696.607</v>
      </c>
      <c r="Q154" s="25">
        <f>INDEX('Inputs (2)'!$D$15:$AL$15,MATCH(Q$7,'Inputs (2)'!$D$2:$AL$2,0))</f>
        <v>1797.155</v>
      </c>
      <c r="R154" s="3">
        <f>Q154</f>
        <v>1797.155</v>
      </c>
      <c r="S154" s="25">
        <f>INDEX('Inputs (2)'!$D$15:$AL$15,MATCH(S$7,'Inputs (2)'!$D$2:$AL$2,0))</f>
        <v>1672.665</v>
      </c>
      <c r="T154" s="25">
        <f>INDEX('Inputs (2)'!$D$15:$AL$15,MATCH(T$7,'Inputs (2)'!$D$2:$AL$2,0))</f>
        <v>1357.47</v>
      </c>
      <c r="U154" s="25">
        <f>INDEX('Inputs (2)'!$D$15:$AL$15,MATCH(U$7,'Inputs (2)'!$D$2:$AL$2,0))</f>
        <v>1117.637</v>
      </c>
      <c r="V154" s="25">
        <f>INDEX('Inputs (2)'!$D$15:$AL$15,MATCH(V$7,'Inputs (2)'!$D$2:$AL$2,0))</f>
        <v>1290.02</v>
      </c>
      <c r="W154" s="3">
        <f>V154</f>
        <v>1290.02</v>
      </c>
      <c r="X154" s="25">
        <f>INDEX('Inputs (2)'!$D$15:$AL$15,MATCH(X$7,'Inputs (2)'!$D$2:$AL$2,0))</f>
        <v>1341.295</v>
      </c>
      <c r="Y154" s="25">
        <f>INDEX('Inputs (2)'!$D$15:$AL$15,MATCH(Y$7,'Inputs (2)'!$D$2:$AL$2,0))</f>
        <v>1240.445</v>
      </c>
      <c r="Z154" s="25">
        <f>INDEX('Inputs (2)'!$D$15:$AL$15,MATCH(Z$7,'Inputs (2)'!$D$2:$AL$2,0))</f>
        <v>698.799</v>
      </c>
      <c r="AA154" s="25">
        <f>INDEX('Inputs (2)'!$D$15:$AL$15,MATCH(AA$7,'Inputs (2)'!$D$2:$AL$2,0))</f>
        <v>1664.213</v>
      </c>
      <c r="AB154" s="3">
        <f>AA154</f>
        <v>1664.213</v>
      </c>
      <c r="AC154" s="25">
        <f>INDEX('Inputs (2)'!$D$15:$AL$15,MATCH(AC$7,'Inputs (2)'!$D$2:$AL$2,0))</f>
        <v>1520.597</v>
      </c>
      <c r="AD154" s="25">
        <f>INDEX('Inputs (2)'!$D$15:$AL$15,MATCH(AD$7,'Inputs (2)'!$D$2:$AL$2,0))</f>
        <v>1027.823</v>
      </c>
      <c r="AE154" s="25">
        <f>INDEX('Inputs (2)'!$D$15:$AL$15,MATCH(AE$7,'Inputs (2)'!$D$2:$AL$2,0))</f>
        <v>1182.939</v>
      </c>
      <c r="AF154" s="25">
        <f>INDEX('Inputs (2)'!$D$15:$AL$15,MATCH(AF$7,'Inputs (2)'!$D$2:$AL$2,0))</f>
        <v>1801.712</v>
      </c>
      <c r="AG154" s="3">
        <f>AF154</f>
        <v>1801.712</v>
      </c>
      <c r="AH154" s="3">
        <f>INDEX('Inputs (2)'!$D$15:$AL$15,MATCH(AH$7,'Inputs (2)'!$D$2:$AL$2,0))</f>
        <v>1984.238</v>
      </c>
      <c r="AI154" s="3">
        <f>INDEX('Inputs (2)'!$D$15:$AL$15,MATCH(AI$7,'Inputs (2)'!$D$2:$AL$2,0))</f>
        <v>1631.59</v>
      </c>
      <c r="AJ154" s="3">
        <f>AI154+AJ324</f>
        <v>6590.956</v>
      </c>
      <c r="AK154" s="3">
        <f>AJ154+AK324</f>
        <v>6681.731</v>
      </c>
      <c r="AL154" s="3">
        <f>AK154</f>
        <v>6681.731</v>
      </c>
      <c r="AM154" s="3" t="e">
        <f>AL154+AM324</f>
        <v>#DIV/0!</v>
      </c>
      <c r="AN154" s="3" t="e">
        <f>AM154+AN324</f>
        <v>#DIV/0!</v>
      </c>
      <c r="AO154" s="3" t="e">
        <f>AN154+AO324</f>
        <v>#DIV/0!</v>
      </c>
      <c r="AP154" s="3" t="e">
        <f>AO154+AP324</f>
        <v>#DIV/0!</v>
      </c>
      <c r="AQ154" s="3" t="e">
        <f>AP154</f>
        <v>#DIV/0!</v>
      </c>
      <c r="AR154" s="3" t="e">
        <f>AQ154+AR324</f>
        <v>#DIV/0!</v>
      </c>
      <c r="AS154" s="3" t="e">
        <f>AR154+AS324</f>
        <v>#DIV/0!</v>
      </c>
      <c r="AT154" s="3" t="e">
        <f>AS154+AT324</f>
        <v>#DIV/0!</v>
      </c>
      <c r="AU154" s="3" t="e">
        <f>AT154+AU324</f>
        <v>#DIV/0!</v>
      </c>
      <c r="AV154" s="3" t="e">
        <f>AU154</f>
        <v>#DIV/0!</v>
      </c>
      <c r="AW154" s="3" t="e">
        <f>AV154+AW324</f>
        <v>#DIV/0!</v>
      </c>
      <c r="AX154" s="3" t="e">
        <f>AW154+AX324</f>
        <v>#DIV/0!</v>
      </c>
      <c r="AY154" s="3" t="e">
        <f>AX154+AY324</f>
        <v>#DIV/0!</v>
      </c>
      <c r="AZ154" s="3" t="e">
        <f>AY154+AZ324</f>
        <v>#DIV/0!</v>
      </c>
      <c r="BA154" s="3" t="e">
        <f>AZ154</f>
        <v>#DIV/0!</v>
      </c>
      <c r="BB154" s="3" t="e">
        <f>BA154+BB324</f>
        <v>#DIV/0!</v>
      </c>
      <c r="BC154" s="3" t="e">
        <f>BB154+BC324</f>
        <v>#DIV/0!</v>
      </c>
      <c r="BD154" s="3" t="e">
        <f>BC154+BD324</f>
        <v>#DIV/0!</v>
      </c>
      <c r="BE154" s="3" t="e">
        <f>BD154+BE324</f>
        <v>#DIV/0!</v>
      </c>
      <c r="BF154" s="3" t="e">
        <f>BE154</f>
        <v>#DIV/0!</v>
      </c>
      <c r="BG154" s="3" t="e">
        <f>BF154+BG324</f>
        <v>#DIV/0!</v>
      </c>
      <c r="BH154" s="3" t="e">
        <f>BG154+BH324</f>
        <v>#DIV/0!</v>
      </c>
      <c r="BI154" s="3" t="e">
        <f>BH154+BI324</f>
        <v>#DIV/0!</v>
      </c>
      <c r="BJ154" s="3" t="e">
        <f>BI154+BJ324</f>
        <v>#DIV/0!</v>
      </c>
      <c r="BK154" s="3" t="e">
        <f>BJ154</f>
        <v>#DIV/0!</v>
      </c>
      <c r="BL154" s="3" t="e">
        <f>BK154+BL324</f>
        <v>#DIV/0!</v>
      </c>
      <c r="BM154" s="3" t="e">
        <f>BL154+BM324</f>
        <v>#DIV/0!</v>
      </c>
      <c r="BN154" s="3" t="e">
        <f>BM154+BN324</f>
        <v>#DIV/0!</v>
      </c>
      <c r="BO154" s="3" t="e">
        <f>BN154+BO324</f>
        <v>#DIV/0!</v>
      </c>
      <c r="BP154" s="3" t="e">
        <f>BO154</f>
        <v>#DIV/0!</v>
      </c>
      <c r="BQ154" s="3" t="e">
        <f>BP154+BQ324</f>
        <v>#DIV/0!</v>
      </c>
      <c r="BR154" s="3" t="e">
        <f>BQ154+BR324</f>
        <v>#DIV/0!</v>
      </c>
      <c r="BS154" s="3" t="e">
        <f>BR154+BS324</f>
        <v>#DIV/0!</v>
      </c>
      <c r="BT154" s="3" t="e">
        <f>BS154+BT324</f>
        <v>#DIV/0!</v>
      </c>
      <c r="BU154" s="3" t="e">
        <f>BT154</f>
        <v>#DIV/0!</v>
      </c>
      <c r="BV154" s="3" t="e">
        <f>BU154+BV324</f>
        <v>#DIV/0!</v>
      </c>
      <c r="BW154" s="3" t="e">
        <f>BV154+BW324</f>
        <v>#DIV/0!</v>
      </c>
      <c r="BX154" s="3" t="e">
        <f>BW154+BX324</f>
        <v>#DIV/0!</v>
      </c>
      <c r="BY154" s="3" t="e">
        <f>BX154+BY324</f>
        <v>#DIV/0!</v>
      </c>
      <c r="BZ154" s="3" t="e">
        <f>BY154</f>
        <v>#DIV/0!</v>
      </c>
      <c r="CA154" s="3" t="e">
        <f>BZ154+CA324</f>
        <v>#DIV/0!</v>
      </c>
      <c r="CB154" s="3" t="e">
        <f>CA154+CB324</f>
        <v>#DIV/0!</v>
      </c>
      <c r="CC154" s="3" t="e">
        <f>CB154+CC324</f>
        <v>#DIV/0!</v>
      </c>
      <c r="CD154" s="3" t="e">
        <f>CC154+CD324</f>
        <v>#DIV/0!</v>
      </c>
      <c r="CE154" s="3" t="e">
        <f>CD154</f>
        <v>#DIV/0!</v>
      </c>
      <c r="CF154" s="3" t="e">
        <f>CE154+CF324</f>
        <v>#DIV/0!</v>
      </c>
      <c r="CG154" s="3" t="e">
        <f>CF154+CG324</f>
        <v>#DIV/0!</v>
      </c>
      <c r="CH154" s="3" t="e">
        <f>CG154+CH324</f>
        <v>#DIV/0!</v>
      </c>
      <c r="CI154" s="3" t="e">
        <f>CH154+CI324</f>
        <v>#DIV/0!</v>
      </c>
      <c r="CJ154" s="3" t="e">
        <f>CI154</f>
        <v>#DIV/0!</v>
      </c>
      <c r="CK154" s="3" t="e">
        <f>CJ154+CK324</f>
        <v>#DIV/0!</v>
      </c>
      <c r="CL154" s="3" t="e">
        <f>CK154+CL324</f>
        <v>#DIV/0!</v>
      </c>
      <c r="CM154" s="3" t="e">
        <f>CL154+CM324</f>
        <v>#DIV/0!</v>
      </c>
      <c r="CN154" s="3" t="e">
        <f>CM154+CN324</f>
        <v>#DIV/0!</v>
      </c>
      <c r="CO154" s="3" t="e">
        <f>CN154</f>
        <v>#DIV/0!</v>
      </c>
      <c r="CP154" s="3" t="e">
        <f>CO154+CP324</f>
        <v>#DIV/0!</v>
      </c>
      <c r="CQ154" s="3" t="e">
        <f>CP154+CQ324</f>
        <v>#DIV/0!</v>
      </c>
      <c r="CR154" s="3" t="e">
        <f>CQ154+CR324</f>
        <v>#DIV/0!</v>
      </c>
      <c r="CS154" s="3" t="e">
        <f>CR154+CS324</f>
        <v>#DIV/0!</v>
      </c>
      <c r="CT154" s="3" t="e">
        <f>CS154</f>
        <v>#DIV/0!</v>
      </c>
      <c r="CU154" s="3" t="e">
        <f>CT154+CU324</f>
        <v>#DIV/0!</v>
      </c>
      <c r="CV154" s="3" t="e">
        <f>CU154+CV324</f>
        <v>#DIV/0!</v>
      </c>
      <c r="CW154" s="3" t="e">
        <f>CV154+CW324</f>
        <v>#DIV/0!</v>
      </c>
      <c r="CX154" s="3" t="e">
        <f>CW154+CX324</f>
        <v>#DIV/0!</v>
      </c>
      <c r="CY154" s="3" t="e">
        <f>CX154</f>
        <v>#DIV/0!</v>
      </c>
    </row>
    <row r="155">
      <c r="C155" s="26" t="inlineStr">
        <is>
          <t>Accounts receivable</t>
        </is>
      </c>
      <c r="D155" s="25" t="e">
        <f>INDEX('Inputs (2)'!$D$16:$AL$16,MATCH(D$7,'Inputs (2)'!$D$2:$AL$2,0))</f>
        <v>#N/A</v>
      </c>
      <c r="E155" s="25">
        <f>INDEX('Inputs (2)'!$D$16:$AL$16,MATCH(E$7,'Inputs (2)'!$D$2:$AL$2,0))</f>
        <v>964.031</v>
      </c>
      <c r="F155" s="25">
        <f>INDEX('Inputs (2)'!$D$16:$AL$16,MATCH(F$7,'Inputs (2)'!$D$2:$AL$2,0))</f>
        <v>995.20322796018</v>
      </c>
      <c r="G155" s="25">
        <f>INDEX('Inputs (2)'!$D$16:$AL$16,MATCH(G$7,'Inputs (2)'!$D$2:$AL$2,0))</f>
        <v>1305.45762749007</v>
      </c>
      <c r="H155" s="3">
        <f>G155</f>
        <v>1305.45762749007</v>
      </c>
      <c r="I155" s="25">
        <f>INDEX('Inputs (2)'!$D$16:$AL$16,MATCH(I$7,'Inputs (2)'!$D$2:$AL$2,0))</f>
        <v>1277.83393346995</v>
      </c>
      <c r="J155" s="25">
        <f>INDEX('Inputs (2)'!$D$16:$AL$16,MATCH(J$7,'Inputs (2)'!$D$2:$AL$2,0))</f>
        <v>1462.5415939301</v>
      </c>
      <c r="K155" s="25">
        <f>INDEX('Inputs (2)'!$D$16:$AL$16,MATCH(K$7,'Inputs (2)'!$D$2:$AL$2,0))</f>
        <v>1544.314</v>
      </c>
      <c r="L155" s="25">
        <f>INDEX('Inputs (2)'!$D$16:$AL$16,MATCH(L$7,'Inputs (2)'!$D$2:$AL$2,0))</f>
        <v>1816.264</v>
      </c>
      <c r="M155" s="3">
        <f>L155</f>
        <v>1816.264</v>
      </c>
      <c r="N155" s="25">
        <f>INDEX('Inputs (2)'!$D$16:$AL$16,MATCH(N$7,'Inputs (2)'!$D$2:$AL$2,0))</f>
        <v>1872.825</v>
      </c>
      <c r="O155" s="25">
        <f>INDEX('Inputs (2)'!$D$16:$AL$16,MATCH(O$7,'Inputs (2)'!$D$2:$AL$2,0))</f>
        <v>2080.07644904</v>
      </c>
      <c r="P155" s="25">
        <f>INDEX('Inputs (2)'!$D$16:$AL$16,MATCH(P$7,'Inputs (2)'!$D$2:$AL$2,0))</f>
        <v>2377.34825629</v>
      </c>
      <c r="Q155" s="25">
        <f>INDEX('Inputs (2)'!$D$16:$AL$16,MATCH(Q$7,'Inputs (2)'!$D$2:$AL$2,0))</f>
        <v>2548.25631124</v>
      </c>
      <c r="R155" s="3">
        <f>Q155</f>
        <v>2548.25631124</v>
      </c>
      <c r="S155" s="25">
        <f>INDEX('Inputs (2)'!$D$16:$AL$16,MATCH(S$7,'Inputs (2)'!$D$2:$AL$2,0))</f>
        <v>2385.04330103</v>
      </c>
      <c r="T155" s="25">
        <f>INDEX('Inputs (2)'!$D$16:$AL$16,MATCH(T$7,'Inputs (2)'!$D$2:$AL$2,0))</f>
        <v>2582.667</v>
      </c>
      <c r="U155" s="25">
        <f>INDEX('Inputs (2)'!$D$16:$AL$16,MATCH(U$7,'Inputs (2)'!$D$2:$AL$2,0))</f>
        <v>2868.599</v>
      </c>
      <c r="V155" s="25">
        <f>INDEX('Inputs (2)'!$D$16:$AL$16,MATCH(V$7,'Inputs (2)'!$D$2:$AL$2,0))</f>
        <v>3457.62798322</v>
      </c>
      <c r="W155" s="3">
        <f>V155</f>
        <v>3457.62798322</v>
      </c>
      <c r="X155" s="25">
        <f>INDEX('Inputs (2)'!$D$16:$AL$16,MATCH(X$7,'Inputs (2)'!$D$2:$AL$2,0))</f>
        <v>3085.517</v>
      </c>
      <c r="Y155" s="25">
        <f>INDEX('Inputs (2)'!$D$16:$AL$16,MATCH(Y$7,'Inputs (2)'!$D$2:$AL$2,0))</f>
        <v>3181.45670197</v>
      </c>
      <c r="Z155" s="25">
        <f>INDEX('Inputs (2)'!$D$16:$AL$16,MATCH(Z$7,'Inputs (2)'!$D$2:$AL$2,0))</f>
        <v>3509.695</v>
      </c>
      <c r="AA155" s="25">
        <f>INDEX('Inputs (2)'!$D$16:$AL$16,MATCH(AA$7,'Inputs (2)'!$D$2:$AL$2,0))</f>
        <v>3399.13</v>
      </c>
      <c r="AB155" s="3">
        <f>AA155</f>
        <v>3399.13</v>
      </c>
      <c r="AC155" s="25">
        <f>INDEX('Inputs (2)'!$D$16:$AL$16,MATCH(AC$7,'Inputs (2)'!$D$2:$AL$2,0))</f>
        <v>3650.849</v>
      </c>
      <c r="AD155" s="25">
        <f>INDEX('Inputs (2)'!$D$16:$AL$16,MATCH(AD$7,'Inputs (2)'!$D$2:$AL$2,0))</f>
        <v>3621.48</v>
      </c>
      <c r="AE155" s="25">
        <f>INDEX('Inputs (2)'!$D$16:$AL$16,MATCH(AE$7,'Inputs (2)'!$D$2:$AL$2,0))</f>
        <v>3964.078</v>
      </c>
      <c r="AF155" s="25">
        <f>INDEX('Inputs (2)'!$D$16:$AL$16,MATCH(AF$7,'Inputs (2)'!$D$2:$AL$2,0))</f>
        <v>4080.89</v>
      </c>
      <c r="AG155" s="3">
        <f>AF155</f>
        <v>4080.89</v>
      </c>
      <c r="AH155" s="3">
        <f>INDEX('Inputs (2)'!$D$16:$AL$16,MATCH(AH$7,'Inputs (2)'!$D$2:$AL$2,0))</f>
        <v>4013.107</v>
      </c>
      <c r="AI155" s="3">
        <f>INDEX('Inputs (2)'!$D$16:$AL$16,MATCH(AI$7,'Inputs (2)'!$D$2:$AL$2,0))</f>
        <v>3959.317</v>
      </c>
      <c r="AJ155" s="3">
        <f>(AJ156/(AJ$5-AI$5))*AJ$15</f>
        <v>0</v>
      </c>
      <c r="AK155" s="3">
        <f>(AK156/(AK$5-AJ$5))*AK$15</f>
        <v>0</v>
      </c>
      <c r="AL155" s="3">
        <f>AK155</f>
        <v>0</v>
      </c>
      <c r="AM155" s="3">
        <f>(AM156/(AM$5-AL$5))*AM$15</f>
        <v>0</v>
      </c>
      <c r="AN155" s="3">
        <f>(AN156/(AN$5-AM$5))*AN$15</f>
        <v>0</v>
      </c>
      <c r="AO155" s="3">
        <f>(AO156/(AO$5-AN$5))*AO$15</f>
        <v>0</v>
      </c>
      <c r="AP155" s="3">
        <f>(AP156/(AP$5-AO$5))*AP$15</f>
        <v>0</v>
      </c>
      <c r="AQ155" s="3">
        <f>AP155</f>
        <v>0</v>
      </c>
      <c r="AR155" s="3">
        <f>(AR156/(AR$5-AQ$5))*AR$15</f>
        <v>0</v>
      </c>
      <c r="AS155" s="3">
        <f>(AS156/(AS$5-AR$5))*AS$15</f>
        <v>0</v>
      </c>
      <c r="AT155" s="3">
        <f>(AT156/(AT$5-AS$5))*AT$15</f>
        <v>0</v>
      </c>
      <c r="AU155" s="3">
        <f>(AU156/(AU$5-AT$5))*AU$15</f>
        <v>0</v>
      </c>
      <c r="AV155" s="3">
        <f>AU155</f>
        <v>0</v>
      </c>
      <c r="AW155" s="3">
        <f>(AW156/(AW$5-AV$5))*AW$15</f>
        <v>0</v>
      </c>
      <c r="AX155" s="3">
        <f>(AX156/(AX$5-AW$5))*AX$15</f>
        <v>0</v>
      </c>
      <c r="AY155" s="3">
        <f>(AY156/(AY$5-AX$5))*AY$15</f>
        <v>0</v>
      </c>
      <c r="AZ155" s="3">
        <f>(AZ156/(AZ$5-AY$5))*AZ$15</f>
        <v>0</v>
      </c>
      <c r="BA155" s="3">
        <f>AZ155</f>
        <v>0</v>
      </c>
      <c r="BB155" s="3">
        <f>(BB156/(BB$5-BA$5))*BB$15</f>
        <v>0</v>
      </c>
      <c r="BC155" s="3">
        <f>(BC156/(BC$5-BB$5))*BC$15</f>
        <v>0</v>
      </c>
      <c r="BD155" s="3">
        <f>(BD156/(BD$5-BC$5))*BD$15</f>
        <v>0</v>
      </c>
      <c r="BE155" s="3">
        <f>(BE156/(BE$5-BD$5))*BE$15</f>
        <v>0</v>
      </c>
      <c r="BF155" s="3">
        <f>BE155</f>
        <v>0</v>
      </c>
      <c r="BG155" s="3">
        <f>(BG156/(BG$5-BF$5))*BG$15</f>
        <v>0</v>
      </c>
      <c r="BH155" s="3">
        <f>(BH156/(BH$5-BG$5))*BH$15</f>
        <v>0</v>
      </c>
      <c r="BI155" s="3">
        <f>(BI156/(BI$5-BH$5))*BI$15</f>
        <v>0</v>
      </c>
      <c r="BJ155" s="3">
        <f>(BJ156/(BJ$5-BI$5))*BJ$15</f>
        <v>0</v>
      </c>
      <c r="BK155" s="3">
        <f>BJ155</f>
        <v>0</v>
      </c>
      <c r="BL155" s="3">
        <f>(BL156/(BL$5-BK$5))*BL$15</f>
        <v>0</v>
      </c>
      <c r="BM155" s="3">
        <f>(BM156/(BM$5-BL$5))*BM$15</f>
        <v>0</v>
      </c>
      <c r="BN155" s="3">
        <f>(BN156/(BN$5-BM$5))*BN$15</f>
        <v>0</v>
      </c>
      <c r="BO155" s="3">
        <f>(BO156/(BO$5-BN$5))*BO$15</f>
        <v>0</v>
      </c>
      <c r="BP155" s="3">
        <f>BO155</f>
        <v>0</v>
      </c>
      <c r="BQ155" s="3">
        <f>(BQ156/(BQ$5-BP$5))*BQ$15</f>
        <v>0</v>
      </c>
      <c r="BR155" s="3">
        <f>(BR156/(BR$5-BQ$5))*BR$15</f>
        <v>0</v>
      </c>
      <c r="BS155" s="3">
        <f>(BS156/(BS$5-BR$5))*BS$15</f>
        <v>0</v>
      </c>
      <c r="BT155" s="3">
        <f>(BT156/(BT$5-BS$5))*BT$15</f>
        <v>0</v>
      </c>
      <c r="BU155" s="3">
        <f>BT155</f>
        <v>0</v>
      </c>
      <c r="BV155" s="3">
        <f>(BV156/(BV$5-BU$5))*BV$15</f>
        <v>0</v>
      </c>
      <c r="BW155" s="3">
        <f>(BW156/(BW$5-BV$5))*BW$15</f>
        <v>0</v>
      </c>
      <c r="BX155" s="3">
        <f>(BX156/(BX$5-BW$5))*BX$15</f>
        <v>0</v>
      </c>
      <c r="BY155" s="3">
        <f>(BY156/(BY$5-BX$5))*BY$15</f>
        <v>0</v>
      </c>
      <c r="BZ155" s="3">
        <f>BY155</f>
        <v>0</v>
      </c>
      <c r="CA155" s="3">
        <f>(CA156/(CA$5-BZ$5))*CA$15</f>
        <v>0</v>
      </c>
      <c r="CB155" s="3">
        <f>(CB156/(CB$5-CA$5))*CB$15</f>
        <v>0</v>
      </c>
      <c r="CC155" s="3">
        <f>(CC156/(CC$5-CB$5))*CC$15</f>
        <v>0</v>
      </c>
      <c r="CD155" s="3">
        <f>(CD156/(CD$5-CC$5))*CD$15</f>
        <v>0</v>
      </c>
      <c r="CE155" s="3">
        <f>CD155</f>
        <v>0</v>
      </c>
      <c r="CF155" s="3">
        <f>(CF156/(CF$5-CE$5))*CF$15</f>
        <v>0</v>
      </c>
      <c r="CG155" s="3">
        <f>(CG156/(CG$5-CF$5))*CG$15</f>
        <v>0</v>
      </c>
      <c r="CH155" s="3">
        <f>(CH156/(CH$5-CG$5))*CH$15</f>
        <v>0</v>
      </c>
      <c r="CI155" s="3">
        <f>(CI156/(CI$5-CH$5))*CI$15</f>
        <v>0</v>
      </c>
      <c r="CJ155" s="3">
        <f>CI155</f>
        <v>0</v>
      </c>
      <c r="CK155" s="3">
        <f>(CK156/(CK$5-CJ$5))*CK$15</f>
        <v>0</v>
      </c>
      <c r="CL155" s="3">
        <f>(CL156/(CL$5-CK$5))*CL$15</f>
        <v>0</v>
      </c>
      <c r="CM155" s="3">
        <f>(CM156/(CM$5-CL$5))*CM$15</f>
        <v>0</v>
      </c>
      <c r="CN155" s="3">
        <f>(CN156/(CN$5-CM$5))*CN$15</f>
        <v>0</v>
      </c>
      <c r="CO155" s="3">
        <f>CN155</f>
        <v>0</v>
      </c>
      <c r="CP155" s="3">
        <f>(CP156/(CP$5-CO$5))*CP$15</f>
        <v>0</v>
      </c>
      <c r="CQ155" s="3">
        <f>(CQ156/(CQ$5-CP$5))*CQ$15</f>
        <v>0</v>
      </c>
      <c r="CR155" s="3">
        <f>(CR156/(CR$5-CQ$5))*CR$15</f>
        <v>0</v>
      </c>
      <c r="CS155" s="3">
        <f>(CS156/(CS$5-CR$5))*CS$15</f>
        <v>0</v>
      </c>
      <c r="CT155" s="3">
        <f>CS155</f>
        <v>0</v>
      </c>
      <c r="CU155" s="3">
        <f>(CU156/(CU$5-CT$5))*CU$15</f>
        <v>0</v>
      </c>
      <c r="CV155" s="3">
        <f>(CV156/(CV$5-CU$5))*CV$15</f>
        <v>0</v>
      </c>
      <c r="CW155" s="3">
        <f>(CW156/(CW$5-CV$5))*CW$15</f>
        <v>0</v>
      </c>
      <c r="CX155" s="3">
        <f>(CX156/(CX$5-CW$5))*CX$15</f>
        <v>0</v>
      </c>
      <c r="CY155" s="3">
        <f>CX155</f>
        <v>0</v>
      </c>
    </row>
    <row r="156" hidden="1" outlineLevel="1">
      <c r="C156" s="34" t="inlineStr">
        <is>
          <t>DSO</t>
        </is>
      </c>
      <c r="D156" s="3" t="n"/>
      <c r="E156" s="3">
        <f>(E155/E$15)*(E$5-D$5)</f>
        <v>30.3657733895235</v>
      </c>
      <c r="F156" s="3">
        <f>(F155/F$15)*(F$5-E$5)</f>
        <v>26.4356595962995</v>
      </c>
      <c r="G156" s="3">
        <f>(G155/G$15)*(G$5-F$5)</f>
        <v>33.0377786869142</v>
      </c>
      <c r="H156" s="3" t="n"/>
      <c r="I156" s="3">
        <f>(I155/I$15)*(I$5-H$5)</f>
        <v>34.2045547214154</v>
      </c>
      <c r="J156" s="3">
        <f>(J155/J$15)*(J$5-I$5)</f>
        <v>35.7355195370442</v>
      </c>
      <c r="K156" s="3">
        <f>(K155/K$15)*(K$5-J$5)</f>
        <v>32.6679246974966</v>
      </c>
      <c r="L156" s="3">
        <f>(L155/L$15)*(L$5-K$5)</f>
        <v>37.6248316952459</v>
      </c>
      <c r="M156" s="3" t="n"/>
      <c r="N156" s="3">
        <f>(N155/N$15)*(N$5-M$5)</f>
        <v>36.8120475480799</v>
      </c>
      <c r="O156" s="3">
        <f>(O155/O$15)*(O$5-N$5)</f>
        <v>36.3874196701762</v>
      </c>
      <c r="P156" s="3">
        <f>(P155/P$15)*(P$5-O$5)</f>
        <v>36.9257474769138</v>
      </c>
      <c r="Q156" s="3">
        <f>(Q155/Q$15)*(Q$5-P$5)</f>
        <v>38.6572026460473</v>
      </c>
      <c r="R156" s="3" t="n"/>
      <c r="S156" s="3">
        <f>(S155/S$15)*(S$5-R$5)</f>
        <v>36.5811685893984</v>
      </c>
      <c r="T156" s="3">
        <f>(T155/T$15)*(T$5-S$5)</f>
        <v>36.5539653956033</v>
      </c>
      <c r="U156" s="3">
        <f>(U155/U$15)*(U$5-T$5)</f>
        <v>38.0553438975367</v>
      </c>
      <c r="V156" s="3">
        <f>(V155/V$15)*(V$5-U$5)</f>
        <v>42.1812620503847</v>
      </c>
      <c r="W156" s="3" t="n"/>
      <c r="X156" s="3">
        <f>(X155/X$15)*(X$5-W$5)</f>
        <v>38.0336150860794</v>
      </c>
      <c r="Y156" s="3">
        <f>(Y155/Y$15)*(Y$5-X$5)</f>
        <v>37.8996500722246</v>
      </c>
      <c r="Z156" s="3">
        <f>(Z155/Z$15)*(Z$5-Y$5)</f>
        <v>38.7297268088727</v>
      </c>
      <c r="AA156" s="3">
        <f>(AA155/AA$15)*(AA$5-Z$5)</f>
        <v>35.8337096568491</v>
      </c>
      <c r="AB156" s="3" t="n"/>
      <c r="AC156" s="3">
        <f>(AC155/AC$15)*(AC$5-AB$5)</f>
        <v>39.4387685962763</v>
      </c>
      <c r="AD156" s="3">
        <f>(AD155/AD$15)*(AD$5-AC$5)</f>
        <v>37.5362559152435</v>
      </c>
      <c r="AE156" s="3">
        <f>(AE155/AE$15)*(AE$5-AD$5)</f>
        <v>33.88246281102</v>
      </c>
      <c r="AF156" s="6">
        <f>(AF155/AF$15)*(AF$5-AE$5)</f>
        <v>35.587169021179</v>
      </c>
      <c r="AG156" s="3" t="n"/>
      <c r="AH156" s="6">
        <f>(AH155/AH$15)*(AH$5-AG$5)</f>
        <v>38.4140882999531</v>
      </c>
      <c r="AI156" s="6">
        <f>(AI155/AI$15)*(AI$5-AH$5)</f>
        <v>36.5693248620827</v>
      </c>
      <c r="AJ156" s="6" t="n"/>
      <c r="AK156" s="6" t="n"/>
      <c r="AL156" s="3" t="n"/>
      <c r="AM156" s="6" t="n"/>
      <c r="AN156" s="6" t="n"/>
      <c r="AO156" s="6" t="n"/>
      <c r="AP156" s="6" t="n"/>
      <c r="AQ156" s="3" t="n"/>
      <c r="AR156" s="6" t="n"/>
      <c r="AS156" s="6" t="n"/>
      <c r="AT156" s="6" t="n"/>
      <c r="AU156" s="6" t="n"/>
      <c r="AV156" s="3" t="n"/>
      <c r="AW156" s="6" t="n"/>
      <c r="AX156" s="6" t="n"/>
      <c r="AY156" s="6" t="n"/>
      <c r="AZ156" s="6" t="n"/>
      <c r="BA156" s="3" t="n"/>
      <c r="BB156" s="6" t="n"/>
      <c r="BC156" s="6" t="n"/>
      <c r="BD156" s="6" t="n"/>
      <c r="BE156" s="6" t="n"/>
      <c r="BF156" s="3" t="n"/>
      <c r="BG156" s="6" t="n"/>
      <c r="BH156" s="6" t="n"/>
      <c r="BI156" s="6" t="n"/>
      <c r="BJ156" s="6" t="n"/>
      <c r="BK156" s="3" t="n"/>
      <c r="BL156" s="6" t="n"/>
      <c r="BM156" s="6" t="n"/>
      <c r="BN156" s="6" t="n"/>
      <c r="BO156" s="6" t="n"/>
      <c r="BP156" s="3" t="n"/>
      <c r="BQ156" s="6" t="n"/>
      <c r="BR156" s="6" t="n"/>
      <c r="BS156" s="6" t="n"/>
      <c r="BT156" s="6" t="n"/>
      <c r="BU156" s="3" t="n"/>
      <c r="BV156" s="6" t="n"/>
      <c r="BW156" s="6" t="n"/>
      <c r="BX156" s="6" t="n"/>
      <c r="BY156" s="6" t="n"/>
      <c r="BZ156" s="3" t="n"/>
      <c r="CA156" s="6" t="n"/>
      <c r="CB156" s="6" t="n"/>
      <c r="CC156" s="6" t="n"/>
      <c r="CD156" s="6" t="n"/>
      <c r="CE156" s="3" t="n"/>
      <c r="CF156" s="6" t="n"/>
      <c r="CG156" s="6" t="n"/>
      <c r="CH156" s="6" t="n"/>
      <c r="CI156" s="6" t="n"/>
      <c r="CJ156" s="3" t="n"/>
      <c r="CK156" s="6" t="n"/>
      <c r="CL156" s="6" t="n"/>
      <c r="CM156" s="6" t="n"/>
      <c r="CN156" s="6" t="n"/>
      <c r="CO156" s="3" t="n"/>
      <c r="CP156" s="6" t="n"/>
      <c r="CQ156" s="6" t="n"/>
      <c r="CR156" s="6" t="n"/>
      <c r="CS156" s="6" t="n"/>
      <c r="CT156" s="3" t="n"/>
      <c r="CU156" s="6" t="n"/>
      <c r="CV156" s="6" t="n"/>
      <c r="CW156" s="6" t="n"/>
      <c r="CX156" s="6" t="n"/>
      <c r="CY156" s="3" t="n"/>
    </row>
    <row r="157" hidden="1" outlineLevel="1">
      <c r="C157" s="3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collapsed="1">
      <c r="C159" s="26" t="inlineStr">
        <is>
          <t>Inventories</t>
        </is>
      </c>
      <c r="D159" s="25" t="e">
        <f>INDEX('Inputs (2)'!$D$17:$AL$17,MATCH(D$7,'Inputs (2)'!$D$2:$AL$2,0))</f>
        <v>#N/A</v>
      </c>
      <c r="E159" s="25">
        <f>INDEX('Inputs (2)'!$D$17:$AL$17,MATCH(E$7,'Inputs (2)'!$D$2:$AL$2,0))</f>
        <v>1587.934</v>
      </c>
      <c r="F159" s="25">
        <f>INDEX('Inputs (2)'!$D$17:$AL$17,MATCH(F$7,'Inputs (2)'!$D$2:$AL$2,0))</f>
        <v>2092.27266586999</v>
      </c>
      <c r="G159" s="25">
        <f>INDEX('Inputs (2)'!$D$17:$AL$17,MATCH(G$7,'Inputs (2)'!$D$2:$AL$2,0))</f>
        <v>2617.533</v>
      </c>
      <c r="H159" s="3">
        <f>G159</f>
        <v>2617.533</v>
      </c>
      <c r="I159" s="25">
        <f>INDEX('Inputs (2)'!$D$17:$AL$17,MATCH(I$7,'Inputs (2)'!$D$2:$AL$2,0))</f>
        <v>2637.47443892005</v>
      </c>
      <c r="J159" s="25">
        <f>INDEX('Inputs (2)'!$D$17:$AL$17,MATCH(J$7,'Inputs (2)'!$D$2:$AL$2,0))</f>
        <v>2826.4930335399</v>
      </c>
      <c r="K159" s="25">
        <f>INDEX('Inputs (2)'!$D$17:$AL$17,MATCH(K$7,'Inputs (2)'!$D$2:$AL$2,0))</f>
        <v>3492.306</v>
      </c>
      <c r="L159" s="25">
        <f>INDEX('Inputs (2)'!$D$17:$AL$17,MATCH(L$7,'Inputs (2)'!$D$2:$AL$2,0))</f>
        <v>3498.63</v>
      </c>
      <c r="M159" s="3">
        <f>L159</f>
        <v>3498.63</v>
      </c>
      <c r="N159" s="25">
        <f>INDEX('Inputs (2)'!$D$17:$AL$17,MATCH(N$7,'Inputs (2)'!$D$2:$AL$2,0))</f>
        <v>3803.451</v>
      </c>
      <c r="O159" s="25">
        <f>INDEX('Inputs (2)'!$D$17:$AL$17,MATCH(O$7,'Inputs (2)'!$D$2:$AL$2,0))</f>
        <v>3994.994</v>
      </c>
      <c r="P159" s="25">
        <f>INDEX('Inputs (2)'!$D$17:$AL$17,MATCH(P$7,'Inputs (2)'!$D$2:$AL$2,0))</f>
        <v>4666.193</v>
      </c>
      <c r="Q159" s="25">
        <f>INDEX('Inputs (2)'!$D$17:$AL$17,MATCH(Q$7,'Inputs (2)'!$D$2:$AL$2,0))</f>
        <v>3985.375</v>
      </c>
      <c r="R159" s="3">
        <f>Q159</f>
        <v>3985.375</v>
      </c>
      <c r="S159" s="25">
        <f>INDEX('Inputs (2)'!$D$17:$AL$17,MATCH(S$7,'Inputs (2)'!$D$2:$AL$2,0))</f>
        <v>4436.302</v>
      </c>
      <c r="T159" s="25">
        <f>INDEX('Inputs (2)'!$D$17:$AL$17,MATCH(T$7,'Inputs (2)'!$D$2:$AL$2,0))</f>
        <v>4693.948</v>
      </c>
      <c r="U159" s="25">
        <f>INDEX('Inputs (2)'!$D$17:$AL$17,MATCH(U$7,'Inputs (2)'!$D$2:$AL$2,0))</f>
        <v>4939.475</v>
      </c>
      <c r="V159" s="25">
        <f>INDEX('Inputs (2)'!$D$17:$AL$17,MATCH(V$7,'Inputs (2)'!$D$2:$AL$2,0))</f>
        <v>5087.655</v>
      </c>
      <c r="W159" s="3">
        <f>V159</f>
        <v>5087.655</v>
      </c>
      <c r="X159" s="25">
        <f>INDEX('Inputs (2)'!$D$17:$AL$17,MATCH(X$7,'Inputs (2)'!$D$2:$AL$2,0))</f>
        <v>4957.342</v>
      </c>
      <c r="Y159" s="25">
        <f>INDEX('Inputs (2)'!$D$17:$AL$17,MATCH(Y$7,'Inputs (2)'!$D$2:$AL$2,0))</f>
        <v>5294.057</v>
      </c>
      <c r="Z159" s="25">
        <f>INDEX('Inputs (2)'!$D$17:$AL$17,MATCH(Z$7,'Inputs (2)'!$D$2:$AL$2,0))</f>
        <v>5963.407</v>
      </c>
      <c r="AA159" s="25">
        <f>INDEX('Inputs (2)'!$D$17:$AL$17,MATCH(AA$7,'Inputs (2)'!$D$2:$AL$2,0))</f>
        <v>4939.518</v>
      </c>
      <c r="AB159" s="3">
        <f>AA159</f>
        <v>4939.518</v>
      </c>
      <c r="AC159" s="25">
        <f>INDEX('Inputs (2)'!$D$17:$AL$17,MATCH(AC$7,'Inputs (2)'!$D$2:$AL$2,0))</f>
        <v>5242.901</v>
      </c>
      <c r="AD159" s="25">
        <f>INDEX('Inputs (2)'!$D$17:$AL$17,MATCH(AD$7,'Inputs (2)'!$D$2:$AL$2,0))</f>
        <v>5020.008</v>
      </c>
      <c r="AE159" s="25">
        <f>INDEX('Inputs (2)'!$D$17:$AL$17,MATCH(AE$7,'Inputs (2)'!$D$2:$AL$2,0))</f>
        <v>5730.287</v>
      </c>
      <c r="AF159" s="25">
        <f>INDEX('Inputs (2)'!$D$17:$AL$17,MATCH(AF$7,'Inputs (2)'!$D$2:$AL$2,0))</f>
        <v>5170.062</v>
      </c>
      <c r="AG159" s="3">
        <f>AF159</f>
        <v>5170.062</v>
      </c>
      <c r="AH159" s="3">
        <f>INDEX('Inputs (2)'!$D$17:$AL$17,MATCH(AH$7,'Inputs (2)'!$D$2:$AL$2,0))</f>
        <v>5221.233</v>
      </c>
      <c r="AI159" s="3">
        <f>INDEX('Inputs (2)'!$D$17:$AL$17,MATCH(AI$7,'Inputs (2)'!$D$2:$AL$2,0))</f>
        <v>5736.02</v>
      </c>
      <c r="AJ159" s="3">
        <f>(AJ160/(AJ$5-AI$5))*-AJ$64</f>
        <v>0</v>
      </c>
      <c r="AK159" s="3">
        <f>(AK160/(AK$5-AJ$5))*-AK$64</f>
        <v>0</v>
      </c>
      <c r="AL159" s="3">
        <f>AK159</f>
        <v>0</v>
      </c>
      <c r="AM159" s="3">
        <f>(AM160/(AM$5-AL$5))*-AM$64</f>
        <v>0</v>
      </c>
      <c r="AN159" s="3">
        <f>(AN160/(AN$5-AM$5))*-AN$64</f>
        <v>0</v>
      </c>
      <c r="AO159" s="3">
        <f>(AO160/(AO$5-AN$5))*-AO$64</f>
        <v>0</v>
      </c>
      <c r="AP159" s="3">
        <f>(AP160/(AP$5-AO$5))*-AP$64</f>
        <v>0</v>
      </c>
      <c r="AQ159" s="3">
        <f>AP159</f>
        <v>0</v>
      </c>
      <c r="AR159" s="3">
        <f>(AR160/(AR$5-AQ$5))*-AR$64</f>
        <v>0</v>
      </c>
      <c r="AS159" s="3">
        <f>(AS160/(AS$5-AR$5))*-AS$64</f>
        <v>0</v>
      </c>
      <c r="AT159" s="3">
        <f>(AT160/(AT$5-AS$5))*-AT$64</f>
        <v>0</v>
      </c>
      <c r="AU159" s="3">
        <f>(AU160/(AU$5-AT$5))*-AU$64</f>
        <v>0</v>
      </c>
      <c r="AV159" s="3">
        <f>AU159</f>
        <v>0</v>
      </c>
      <c r="AW159" s="3">
        <f>(AW160/(AW$5-AV$5))*-AW$64</f>
        <v>0</v>
      </c>
      <c r="AX159" s="3">
        <f>(AX160/(AX$5-AW$5))*-AX$64</f>
        <v>0</v>
      </c>
      <c r="AY159" s="3">
        <f>(AY160/(AY$5-AX$5))*-AY$64</f>
        <v>0</v>
      </c>
      <c r="AZ159" s="3">
        <f>(AZ160/(AZ$5-AY$5))*-AZ$64</f>
        <v>0</v>
      </c>
      <c r="BA159" s="3">
        <f>AZ159</f>
        <v>0</v>
      </c>
      <c r="BB159" s="3">
        <f>(BB160/(BB$5-BA$5))*-BB$64</f>
        <v>0</v>
      </c>
      <c r="BC159" s="3">
        <f>(BC160/(BC$5-BB$5))*-BC$64</f>
        <v>0</v>
      </c>
      <c r="BD159" s="3">
        <f>(BD160/(BD$5-BC$5))*-BD$64</f>
        <v>0</v>
      </c>
      <c r="BE159" s="3">
        <f>(BE160/(BE$5-BD$5))*-BE$64</f>
        <v>0</v>
      </c>
      <c r="BF159" s="3">
        <f>BE159</f>
        <v>0</v>
      </c>
      <c r="BG159" s="3">
        <f>(BG160/(BG$5-BF$5))*-BG$64</f>
        <v>0</v>
      </c>
      <c r="BH159" s="3">
        <f>(BH160/(BH$5-BG$5))*-BH$64</f>
        <v>0</v>
      </c>
      <c r="BI159" s="3">
        <f>(BI160/(BI$5-BH$5))*-BI$64</f>
        <v>0</v>
      </c>
      <c r="BJ159" s="3">
        <f>(BJ160/(BJ$5-BI$5))*-BJ$64</f>
        <v>0</v>
      </c>
      <c r="BK159" s="3">
        <f>BJ159</f>
        <v>0</v>
      </c>
      <c r="BL159" s="3">
        <f>(BL160/(BL$5-BK$5))*-BL$64</f>
        <v>0</v>
      </c>
      <c r="BM159" s="3">
        <f>(BM160/(BM$5-BL$5))*-BM$64</f>
        <v>0</v>
      </c>
      <c r="BN159" s="3">
        <f>(BN160/(BN$5-BM$5))*-BN$64</f>
        <v>0</v>
      </c>
      <c r="BO159" s="3">
        <f>(BO160/(BO$5-BN$5))*-BO$64</f>
        <v>0</v>
      </c>
      <c r="BP159" s="3">
        <f>BO159</f>
        <v>0</v>
      </c>
      <c r="BQ159" s="3">
        <f>(BQ160/(BQ$5-BP$5))*-BQ$64</f>
        <v>0</v>
      </c>
      <c r="BR159" s="3">
        <f>(BR160/(BR$5-BQ$5))*-BR$64</f>
        <v>0</v>
      </c>
      <c r="BS159" s="3">
        <f>(BS160/(BS$5-BR$5))*-BS$64</f>
        <v>0</v>
      </c>
      <c r="BT159" s="3">
        <f>(BT160/(BT$5-BS$5))*-BT$64</f>
        <v>0</v>
      </c>
      <c r="BU159" s="3">
        <f>BT159</f>
        <v>0</v>
      </c>
      <c r="BV159" s="3">
        <f>(BV160/(BV$5-BU$5))*-BV$64</f>
        <v>0</v>
      </c>
      <c r="BW159" s="3">
        <f>(BW160/(BW$5-BV$5))*-BW$64</f>
        <v>0</v>
      </c>
      <c r="BX159" s="3">
        <f>(BX160/(BX$5-BW$5))*-BX$64</f>
        <v>0</v>
      </c>
      <c r="BY159" s="3">
        <f>(BY160/(BY$5-BX$5))*-BY$64</f>
        <v>0</v>
      </c>
      <c r="BZ159" s="3">
        <f>BY159</f>
        <v>0</v>
      </c>
      <c r="CA159" s="3">
        <f>(CA160/(CA$5-BZ$5))*-CA$64</f>
        <v>0</v>
      </c>
      <c r="CB159" s="3">
        <f>(CB160/(CB$5-CA$5))*-CB$64</f>
        <v>0</v>
      </c>
      <c r="CC159" s="3">
        <f>(CC160/(CC$5-CB$5))*-CC$64</f>
        <v>0</v>
      </c>
      <c r="CD159" s="3">
        <f>(CD160/(CD$5-CC$5))*-CD$64</f>
        <v>0</v>
      </c>
      <c r="CE159" s="3">
        <f>CD159</f>
        <v>0</v>
      </c>
      <c r="CF159" s="3">
        <f>(CF160/(CF$5-CE$5))*-CF$64</f>
        <v>0</v>
      </c>
      <c r="CG159" s="3">
        <f>(CG160/(CG$5-CF$5))*-CG$64</f>
        <v>0</v>
      </c>
      <c r="CH159" s="3">
        <f>(CH160/(CH$5-CG$5))*-CH$64</f>
        <v>0</v>
      </c>
      <c r="CI159" s="3">
        <f>(CI160/(CI$5-CH$5))*-CI$64</f>
        <v>0</v>
      </c>
      <c r="CJ159" s="3">
        <f>CI159</f>
        <v>0</v>
      </c>
      <c r="CK159" s="3">
        <f>(CK160/(CK$5-CJ$5))*-CK$64</f>
        <v>0</v>
      </c>
      <c r="CL159" s="3">
        <f>(CL160/(CL$5-CK$5))*-CL$64</f>
        <v>0</v>
      </c>
      <c r="CM159" s="3">
        <f>(CM160/(CM$5-CL$5))*-CM$64</f>
        <v>0</v>
      </c>
      <c r="CN159" s="3">
        <f>(CN160/(CN$5-CM$5))*-CN$64</f>
        <v>0</v>
      </c>
      <c r="CO159" s="3">
        <f>CN159</f>
        <v>0</v>
      </c>
      <c r="CP159" s="3">
        <f>(CP160/(CP$5-CO$5))*-CP$64</f>
        <v>0</v>
      </c>
      <c r="CQ159" s="3">
        <f>(CQ160/(CQ$5-CP$5))*-CQ$64</f>
        <v>0</v>
      </c>
      <c r="CR159" s="3">
        <f>(CR160/(CR$5-CQ$5))*-CR$64</f>
        <v>0</v>
      </c>
      <c r="CS159" s="3">
        <f>(CS160/(CS$5-CR$5))*-CS$64</f>
        <v>0</v>
      </c>
      <c r="CT159" s="3">
        <f>CS159</f>
        <v>0</v>
      </c>
      <c r="CU159" s="3">
        <f>(CU160/(CU$5-CT$5))*-CU$64</f>
        <v>0</v>
      </c>
      <c r="CV159" s="3">
        <f>(CV160/(CV$5-CU$5))*-CV$64</f>
        <v>0</v>
      </c>
      <c r="CW159" s="3">
        <f>(CW160/(CW$5-CV$5))*-CW$64</f>
        <v>0</v>
      </c>
      <c r="CX159" s="3">
        <f>(CX160/(CX$5-CW$5))*-CX$64</f>
        <v>0</v>
      </c>
      <c r="CY159" s="3">
        <f>CX159</f>
        <v>0</v>
      </c>
    </row>
    <row r="160" hidden="1" outlineLevel="1">
      <c r="C160" s="34" t="inlineStr">
        <is>
          <t>DIO</t>
        </is>
      </c>
      <c r="D160" s="3" t="n"/>
      <c r="E160" s="3">
        <f>((E159/E$64)*(E$5-D$5))*-1</f>
        <v>65.8301841579684</v>
      </c>
      <c r="F160" s="3">
        <f>((F159/F$64)*(F$5-E$5))*-1</f>
        <v>73.307197141291</v>
      </c>
      <c r="G160" s="3">
        <f>((G159/G$64)*(G$5-F$5))*-1</f>
        <v>86.5916261121543</v>
      </c>
      <c r="H160" s="3" t="n"/>
      <c r="I160" s="3">
        <f>((I159/I$64)*(I$5-H$5))*-1</f>
        <v>92.7166821385407</v>
      </c>
      <c r="J160" s="3">
        <f>((J159/J$64)*(J$5-I$5))*-1</f>
        <v>89.88068425009</v>
      </c>
      <c r="K160" s="3">
        <f>((K159/K$64)*(K$5-J$5))*-1</f>
        <v>97.0313808902401</v>
      </c>
      <c r="L160" s="3">
        <f>((L159/L$64)*(L$5-K$5))*-1</f>
        <v>93.53240437044</v>
      </c>
      <c r="M160" s="3" t="n"/>
      <c r="N160" s="3">
        <f>((N159/N$64)*(N$5-M$5))*-1</f>
        <v>96.3422746252297</v>
      </c>
      <c r="O160" s="3">
        <f>((O159/O$64)*(O$5-N$5))*-1</f>
        <v>90.4467458204905</v>
      </c>
      <c r="P160" s="3">
        <f>((P159/P$64)*(P$5-O$5))*-1</f>
        <v>93.9574189611603</v>
      </c>
      <c r="Q160" s="3">
        <f>((Q159/Q$64)*(Q$5-P$5))*-1</f>
        <v>77.1432424651194</v>
      </c>
      <c r="R160" s="3" t="n"/>
      <c r="S160" s="3">
        <f>((S159/S$64)*(S$5-R$5))*-1</f>
        <v>87.2809446380428</v>
      </c>
      <c r="T160" s="3">
        <f>((T159/T$64)*(T$5-S$5))*-1</f>
        <v>85.6862611679189</v>
      </c>
      <c r="U160" s="3">
        <f>((U159/U$64)*(U$5-T$5))*-1</f>
        <v>84.5579707353816</v>
      </c>
      <c r="V160" s="3">
        <f>((V159/V$64)*(V$5-U$5))*-1</f>
        <v>80.0246184760235</v>
      </c>
      <c r="W160" s="3" t="n"/>
      <c r="X160" s="3">
        <f>((X159/X$64)*(X$5-W$5))*-1</f>
        <v>78.6918664730644</v>
      </c>
      <c r="Y160" s="3">
        <f>((Y159/Y$64)*(Y$5-X$5))*-1</f>
        <v>81.2895365867651</v>
      </c>
      <c r="Z160" s="3">
        <f>((Z159/Z$64)*(Z$5-Y$5))*-1</f>
        <v>84.6740178042276</v>
      </c>
      <c r="AA160" s="3">
        <f>((AA159/AA$64)*(AA$5-Z$5))*-1</f>
        <v>66.6212379876042</v>
      </c>
      <c r="AB160" s="3" t="n"/>
      <c r="AC160" s="3">
        <f>((AC159/AC$64)*(AC$5-AB$5))*-1</f>
        <v>72.8331081325125</v>
      </c>
      <c r="AD160" s="3">
        <f>((AD159/AD$64)*(AD$5-AC$5))*-1</f>
        <v>68.3249872345161</v>
      </c>
      <c r="AE160" s="3">
        <f>((AE159/AE$64)*(AE$5-AD$5))*-1</f>
        <v>62.2359924087131</v>
      </c>
      <c r="AF160" s="6">
        <f>((AF159/AF$64)*(AF$5-AE$5))*-1</f>
        <v>58.1814131668296</v>
      </c>
      <c r="AG160" s="3" t="n"/>
      <c r="AH160" s="6">
        <f>((AH159/AH$64)*(AH$5-AG$5))*-1</f>
        <v>64.7995934227259</v>
      </c>
      <c r="AI160" s="6">
        <f>((AI159/AI$64)*(AI$5-AH$5))*-1</f>
        <v>69.2162058731253</v>
      </c>
      <c r="AJ160" s="6" t="n"/>
      <c r="AK160" s="6" t="n"/>
      <c r="AL160" s="3" t="n"/>
      <c r="AM160" s="6" t="n"/>
      <c r="AN160" s="6" t="n"/>
      <c r="AO160" s="6" t="n"/>
      <c r="AP160" s="6" t="n"/>
      <c r="AQ160" s="3" t="n"/>
      <c r="AR160" s="6" t="n"/>
      <c r="AS160" s="6" t="n"/>
      <c r="AT160" s="6" t="n"/>
      <c r="AU160" s="6" t="n"/>
      <c r="AV160" s="3" t="n"/>
      <c r="AW160" s="6" t="n"/>
      <c r="AX160" s="6" t="n"/>
      <c r="AY160" s="6" t="n"/>
      <c r="AZ160" s="6" t="n"/>
      <c r="BA160" s="3" t="n"/>
      <c r="BB160" s="6" t="n"/>
      <c r="BC160" s="6" t="n"/>
      <c r="BD160" s="6" t="n"/>
      <c r="BE160" s="6" t="n"/>
      <c r="BF160" s="3" t="n"/>
      <c r="BG160" s="6" t="n"/>
      <c r="BH160" s="6" t="n"/>
      <c r="BI160" s="6" t="n"/>
      <c r="BJ160" s="6" t="n"/>
      <c r="BK160" s="3" t="n"/>
      <c r="BL160" s="6" t="n"/>
      <c r="BM160" s="6" t="n"/>
      <c r="BN160" s="6" t="n"/>
      <c r="BO160" s="6" t="n"/>
      <c r="BP160" s="3" t="n"/>
      <c r="BQ160" s="6" t="n"/>
      <c r="BR160" s="6" t="n"/>
      <c r="BS160" s="6" t="n"/>
      <c r="BT160" s="6" t="n"/>
      <c r="BU160" s="3" t="n"/>
      <c r="BV160" s="6" t="n"/>
      <c r="BW160" s="6" t="n"/>
      <c r="BX160" s="6" t="n"/>
      <c r="BY160" s="6" t="n"/>
      <c r="BZ160" s="3" t="n"/>
      <c r="CA160" s="6" t="n"/>
      <c r="CB160" s="6" t="n"/>
      <c r="CC160" s="6" t="n"/>
      <c r="CD160" s="6" t="n"/>
      <c r="CE160" s="3" t="n"/>
      <c r="CF160" s="6" t="n"/>
      <c r="CG160" s="6" t="n"/>
      <c r="CH160" s="6" t="n"/>
      <c r="CI160" s="6" t="n"/>
      <c r="CJ160" s="3" t="n"/>
      <c r="CK160" s="6" t="n"/>
      <c r="CL160" s="6" t="n"/>
      <c r="CM160" s="6" t="n"/>
      <c r="CN160" s="6" t="n"/>
      <c r="CO160" s="3" t="n"/>
      <c r="CP160" s="6" t="n"/>
      <c r="CQ160" s="6" t="n"/>
      <c r="CR160" s="6" t="n"/>
      <c r="CS160" s="6" t="n"/>
      <c r="CT160" s="3" t="n"/>
      <c r="CU160" s="6" t="n"/>
      <c r="CV160" s="6" t="n"/>
      <c r="CW160" s="6" t="n"/>
      <c r="CX160" s="6" t="n"/>
      <c r="CY160" s="3" t="n"/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>
      <c r="C163" s="26" t="inlineStr">
        <is>
          <t>Deferred income taxes</t>
        </is>
      </c>
      <c r="D163" s="25" t="e">
        <f>INDEX('Inputs (2)'!$D$18:$AL$18,MATCH(D$7,'Inputs (2)'!$D$2:$AL$2,0))</f>
        <v>#N/A</v>
      </c>
      <c r="E163" s="25">
        <f>INDEX('Inputs (2)'!$D$18:$AL$18,MATCH(E$7,'Inputs (2)'!$D$2:$AL$2,0))</f>
        <v>0</v>
      </c>
      <c r="F163" s="25">
        <f>INDEX('Inputs (2)'!$D$18:$AL$18,MATCH(F$7,'Inputs (2)'!$D$2:$AL$2,0))</f>
        <v>0</v>
      </c>
      <c r="G163" s="25">
        <f>INDEX('Inputs (2)'!$D$18:$AL$18,MATCH(G$7,'Inputs (2)'!$D$2:$AL$2,0))</f>
        <v>0</v>
      </c>
      <c r="H163" s="3">
        <f>G163</f>
        <v>0</v>
      </c>
      <c r="I163" s="25">
        <f>INDEX('Inputs (2)'!$D$18:$AL$18,MATCH(I$7,'Inputs (2)'!$D$2:$AL$2,0))</f>
        <v>0</v>
      </c>
      <c r="J163" s="25">
        <f>INDEX('Inputs (2)'!$D$18:$AL$18,MATCH(J$7,'Inputs (2)'!$D$2:$AL$2,0))</f>
        <v>0</v>
      </c>
      <c r="K163" s="25">
        <f>INDEX('Inputs (2)'!$D$18:$AL$18,MATCH(K$7,'Inputs (2)'!$D$2:$AL$2,0))</f>
        <v>0</v>
      </c>
      <c r="L163" s="25">
        <f>INDEX('Inputs (2)'!$D$18:$AL$18,MATCH(L$7,'Inputs (2)'!$D$2:$AL$2,0))</f>
        <v>0</v>
      </c>
      <c r="M163" s="3">
        <f>L163</f>
        <v>0</v>
      </c>
      <c r="N163" s="25">
        <f>INDEX('Inputs (2)'!$D$18:$AL$18,MATCH(N$7,'Inputs (2)'!$D$2:$AL$2,0))</f>
        <v>0</v>
      </c>
      <c r="O163" s="25">
        <f>INDEX('Inputs (2)'!$D$18:$AL$18,MATCH(O$7,'Inputs (2)'!$D$2:$AL$2,0))</f>
        <v>0</v>
      </c>
      <c r="P163" s="25">
        <f>INDEX('Inputs (2)'!$D$18:$AL$18,MATCH(P$7,'Inputs (2)'!$D$2:$AL$2,0))</f>
        <v>0</v>
      </c>
      <c r="Q163" s="25">
        <f>INDEX('Inputs (2)'!$D$18:$AL$18,MATCH(Q$7,'Inputs (2)'!$D$2:$AL$2,0))</f>
        <v>0</v>
      </c>
      <c r="R163" s="3">
        <f>Q163</f>
        <v>0</v>
      </c>
      <c r="S163" s="25">
        <f>INDEX('Inputs (2)'!$D$18:$AL$18,MATCH(S$7,'Inputs (2)'!$D$2:$AL$2,0))</f>
        <v>0</v>
      </c>
      <c r="T163" s="25">
        <f>INDEX('Inputs (2)'!$D$18:$AL$18,MATCH(T$7,'Inputs (2)'!$D$2:$AL$2,0))</f>
        <v>0</v>
      </c>
      <c r="U163" s="25">
        <f>INDEX('Inputs (2)'!$D$18:$AL$18,MATCH(U$7,'Inputs (2)'!$D$2:$AL$2,0))</f>
        <v>0</v>
      </c>
      <c r="V163" s="25">
        <f>INDEX('Inputs (2)'!$D$18:$AL$18,MATCH(V$7,'Inputs (2)'!$D$2:$AL$2,0))</f>
        <v>0</v>
      </c>
      <c r="W163" s="3">
        <f>V163</f>
        <v>0</v>
      </c>
      <c r="X163" s="25">
        <f>INDEX('Inputs (2)'!$D$18:$AL$18,MATCH(X$7,'Inputs (2)'!$D$2:$AL$2,0))</f>
        <v>42.1</v>
      </c>
      <c r="Y163" s="25">
        <f>INDEX('Inputs (2)'!$D$18:$AL$18,MATCH(Y$7,'Inputs (2)'!$D$2:$AL$2,0))</f>
        <v>139.576</v>
      </c>
      <c r="Z163" s="25">
        <f>INDEX('Inputs (2)'!$D$18:$AL$18,MATCH(Z$7,'Inputs (2)'!$D$2:$AL$2,0))</f>
        <v>203.29</v>
      </c>
      <c r="AA163" s="25">
        <f>INDEX('Inputs (2)'!$D$18:$AL$18,MATCH(AA$7,'Inputs (2)'!$D$2:$AL$2,0))</f>
        <v>503.543</v>
      </c>
      <c r="AB163" s="3">
        <f>AA163</f>
        <v>503.543</v>
      </c>
      <c r="AC163" s="25">
        <f>INDEX('Inputs (2)'!$D$18:$AL$18,MATCH(AC$7,'Inputs (2)'!$D$2:$AL$2,0))</f>
        <v>599.643</v>
      </c>
      <c r="AD163" s="25">
        <f>INDEX('Inputs (2)'!$D$18:$AL$18,MATCH(AD$7,'Inputs (2)'!$D$2:$AL$2,0))</f>
        <v>306.893</v>
      </c>
      <c r="AE163" s="25">
        <f>INDEX('Inputs (2)'!$D$18:$AL$18,MATCH(AE$7,'Inputs (2)'!$D$2:$AL$2,0))</f>
        <v>802.623</v>
      </c>
      <c r="AF163" s="25">
        <f>INDEX('Inputs (2)'!$D$18:$AL$18,MATCH(AF$7,'Inputs (2)'!$D$2:$AL$2,0))</f>
        <v>866.468</v>
      </c>
      <c r="AG163" s="3">
        <f>AF163</f>
        <v>866.468</v>
      </c>
      <c r="AH163" s="3">
        <f>INDEX('Inputs (2)'!$D$18:$AL$18,MATCH(AH$7,'Inputs (2)'!$D$2:$AL$2,0))</f>
        <v>908.878</v>
      </c>
      <c r="AI163" s="3">
        <f>INDEX('Inputs (2)'!$D$18:$AL$18,MATCH(AI$7,'Inputs (2)'!$D$2:$AL$2,0))</f>
        <v>899.443</v>
      </c>
      <c r="AJ163" s="3">
        <f>AI163</f>
        <v>899.443</v>
      </c>
      <c r="AK163" s="3">
        <f>AJ163</f>
        <v>899.443</v>
      </c>
      <c r="AL163" s="3">
        <f>AK163</f>
        <v>899.443</v>
      </c>
      <c r="AM163" s="3">
        <f>AL163</f>
        <v>899.443</v>
      </c>
      <c r="AN163" s="3">
        <f>AM163</f>
        <v>899.443</v>
      </c>
      <c r="AO163" s="3">
        <f>AN163</f>
        <v>899.443</v>
      </c>
      <c r="AP163" s="3">
        <f>AO163</f>
        <v>899.443</v>
      </c>
      <c r="AQ163" s="3">
        <f>AP163</f>
        <v>899.443</v>
      </c>
      <c r="AR163" s="3">
        <f>AQ163</f>
        <v>899.443</v>
      </c>
      <c r="AS163" s="3">
        <f>AR163</f>
        <v>899.443</v>
      </c>
      <c r="AT163" s="3">
        <f>AS163</f>
        <v>899.443</v>
      </c>
      <c r="AU163" s="3">
        <f>AT163</f>
        <v>899.443</v>
      </c>
      <c r="AV163" s="3">
        <f>AU163</f>
        <v>899.443</v>
      </c>
      <c r="AW163" s="3">
        <f>AV163</f>
        <v>899.443</v>
      </c>
      <c r="AX163" s="3">
        <f>AW163</f>
        <v>899.443</v>
      </c>
      <c r="AY163" s="3">
        <f>AX163</f>
        <v>899.443</v>
      </c>
      <c r="AZ163" s="3">
        <f>AY163</f>
        <v>899.443</v>
      </c>
      <c r="BA163" s="3">
        <f>AZ163</f>
        <v>899.443</v>
      </c>
      <c r="BB163" s="3">
        <f>BA163</f>
        <v>899.443</v>
      </c>
      <c r="BC163" s="3">
        <f>BB163</f>
        <v>899.443</v>
      </c>
      <c r="BD163" s="3">
        <f>BC163</f>
        <v>899.443</v>
      </c>
      <c r="BE163" s="3">
        <f>BD163</f>
        <v>899.443</v>
      </c>
      <c r="BF163" s="3">
        <f>BE163</f>
        <v>899.443</v>
      </c>
      <c r="BG163" s="3">
        <f>BF163</f>
        <v>899.443</v>
      </c>
      <c r="BH163" s="3">
        <f>BG163</f>
        <v>899.443</v>
      </c>
      <c r="BI163" s="3">
        <f>BH163</f>
        <v>899.443</v>
      </c>
      <c r="BJ163" s="3">
        <f>BI163</f>
        <v>899.443</v>
      </c>
      <c r="BK163" s="3">
        <f>BJ163</f>
        <v>899.443</v>
      </c>
      <c r="BL163" s="3">
        <f>BK163</f>
        <v>899.443</v>
      </c>
      <c r="BM163" s="3">
        <f>BL163</f>
        <v>899.443</v>
      </c>
      <c r="BN163" s="3">
        <f>BM163</f>
        <v>899.443</v>
      </c>
      <c r="BO163" s="3">
        <f>BN163</f>
        <v>899.443</v>
      </c>
      <c r="BP163" s="3">
        <f>BO163</f>
        <v>899.443</v>
      </c>
      <c r="BQ163" s="3">
        <f>BP163</f>
        <v>899.443</v>
      </c>
      <c r="BR163" s="3">
        <f>BQ163</f>
        <v>899.443</v>
      </c>
      <c r="BS163" s="3">
        <f>BR163</f>
        <v>899.443</v>
      </c>
      <c r="BT163" s="3">
        <f>BS163</f>
        <v>899.443</v>
      </c>
      <c r="BU163" s="3">
        <f>BT163</f>
        <v>899.443</v>
      </c>
      <c r="BV163" s="3">
        <f>BU163</f>
        <v>899.443</v>
      </c>
      <c r="BW163" s="3">
        <f>BV163</f>
        <v>899.443</v>
      </c>
      <c r="BX163" s="3">
        <f>BW163</f>
        <v>899.443</v>
      </c>
      <c r="BY163" s="3">
        <f>BX163</f>
        <v>899.443</v>
      </c>
      <c r="BZ163" s="3">
        <f>BY163</f>
        <v>899.443</v>
      </c>
      <c r="CA163" s="3">
        <f>BZ163</f>
        <v>899.443</v>
      </c>
      <c r="CB163" s="3">
        <f>CA163</f>
        <v>899.443</v>
      </c>
      <c r="CC163" s="3">
        <f>CB163</f>
        <v>899.443</v>
      </c>
      <c r="CD163" s="3">
        <f>CC163</f>
        <v>899.443</v>
      </c>
      <c r="CE163" s="3">
        <f>CD163</f>
        <v>899.443</v>
      </c>
      <c r="CF163" s="3">
        <f>CE163</f>
        <v>899.443</v>
      </c>
      <c r="CG163" s="3">
        <f>CF163</f>
        <v>899.443</v>
      </c>
      <c r="CH163" s="3">
        <f>CG163</f>
        <v>899.443</v>
      </c>
      <c r="CI163" s="3">
        <f>CH163</f>
        <v>899.443</v>
      </c>
      <c r="CJ163" s="3">
        <f>CI163</f>
        <v>899.443</v>
      </c>
      <c r="CK163" s="3">
        <f>CJ163</f>
        <v>899.443</v>
      </c>
      <c r="CL163" s="3">
        <f>CK163</f>
        <v>899.443</v>
      </c>
      <c r="CM163" s="3">
        <f>CL163</f>
        <v>899.443</v>
      </c>
      <c r="CN163" s="3">
        <f>CM163</f>
        <v>899.443</v>
      </c>
      <c r="CO163" s="3">
        <f>CN163</f>
        <v>899.443</v>
      </c>
      <c r="CP163" s="3">
        <f>CO163</f>
        <v>899.443</v>
      </c>
      <c r="CQ163" s="3">
        <f>CP163</f>
        <v>899.443</v>
      </c>
      <c r="CR163" s="3">
        <f>CQ163</f>
        <v>899.443</v>
      </c>
      <c r="CS163" s="3">
        <f>CR163</f>
        <v>899.443</v>
      </c>
      <c r="CT163" s="3">
        <f>CS163</f>
        <v>899.443</v>
      </c>
      <c r="CU163" s="3">
        <f>CT163</f>
        <v>899.443</v>
      </c>
      <c r="CV163" s="3">
        <f>CU163</f>
        <v>899.443</v>
      </c>
      <c r="CW163" s="3">
        <f>CV163</f>
        <v>899.443</v>
      </c>
      <c r="CX163" s="3">
        <f>CW163</f>
        <v>899.443</v>
      </c>
      <c r="CY163" s="3">
        <f>CX163</f>
        <v>899.443</v>
      </c>
    </row>
    <row r="164">
      <c r="C164" s="26" t="inlineStr">
        <is>
          <t>Prepaid expenses</t>
        </is>
      </c>
      <c r="D164" s="25" t="n"/>
      <c r="E164" s="25" t="n"/>
      <c r="F164" s="25" t="n"/>
      <c r="G164" s="25" t="n"/>
      <c r="H164" s="3">
        <f>G164</f>
        <v>0</v>
      </c>
      <c r="I164" s="25" t="n"/>
      <c r="J164" s="25" t="n"/>
      <c r="K164" s="25" t="n"/>
      <c r="L164" s="25" t="n"/>
      <c r="M164" s="3">
        <f>L164</f>
        <v>0</v>
      </c>
      <c r="N164" s="25" t="n"/>
      <c r="O164" s="25" t="n"/>
      <c r="P164" s="25" t="n"/>
      <c r="Q164" s="25" t="n"/>
      <c r="R164" s="3">
        <f>Q164</f>
        <v>0</v>
      </c>
      <c r="S164" s="25" t="n"/>
      <c r="T164" s="25" t="n"/>
      <c r="U164" s="25" t="n"/>
      <c r="V164" s="25" t="n"/>
      <c r="W164" s="3">
        <f>V164</f>
        <v>0</v>
      </c>
      <c r="X164" s="25" t="n"/>
      <c r="Y164" s="25" t="n"/>
      <c r="Z164" s="25" t="n"/>
      <c r="AA164" s="25" t="n"/>
      <c r="AB164" s="3">
        <f>AA164</f>
        <v>0</v>
      </c>
      <c r="AC164" s="25" t="n"/>
      <c r="AD164" s="25" t="n"/>
      <c r="AE164" s="25" t="n"/>
      <c r="AF164" s="25" t="n"/>
      <c r="AG164" s="3">
        <f>AF164</f>
        <v>0</v>
      </c>
      <c r="AH164" s="3">
        <f>AG164</f>
        <v>0</v>
      </c>
      <c r="AI164" s="3">
        <f>AH164</f>
        <v>0</v>
      </c>
      <c r="AJ164" s="3">
        <f>AI164</f>
        <v>0</v>
      </c>
      <c r="AK164" s="3">
        <f>AJ164</f>
        <v>0</v>
      </c>
      <c r="AL164" s="3">
        <f>AK164</f>
        <v>0</v>
      </c>
      <c r="AM164" s="3">
        <f>AL164</f>
        <v>0</v>
      </c>
      <c r="AN164" s="3">
        <f>AM164</f>
        <v>0</v>
      </c>
      <c r="AO164" s="3">
        <f>AN164</f>
        <v>0</v>
      </c>
      <c r="AP164" s="3">
        <f>AO164</f>
        <v>0</v>
      </c>
      <c r="AQ164" s="3">
        <f>AP164</f>
        <v>0</v>
      </c>
      <c r="AR164" s="3">
        <f>AQ164</f>
        <v>0</v>
      </c>
      <c r="AS164" s="3">
        <f>AR164</f>
        <v>0</v>
      </c>
      <c r="AT164" s="3">
        <f>AS164</f>
        <v>0</v>
      </c>
      <c r="AU164" s="3">
        <f>AT164</f>
        <v>0</v>
      </c>
      <c r="AV164" s="3">
        <f>AU164</f>
        <v>0</v>
      </c>
      <c r="AW164" s="3">
        <f>AV164</f>
        <v>0</v>
      </c>
      <c r="AX164" s="3">
        <f>AW164</f>
        <v>0</v>
      </c>
      <c r="AY164" s="3">
        <f>AX164</f>
        <v>0</v>
      </c>
      <c r="AZ164" s="3">
        <f>AY164</f>
        <v>0</v>
      </c>
      <c r="BA164" s="3">
        <f>AZ164</f>
        <v>0</v>
      </c>
      <c r="BB164" s="3">
        <f>BA164</f>
        <v>0</v>
      </c>
      <c r="BC164" s="3">
        <f>BB164</f>
        <v>0</v>
      </c>
      <c r="BD164" s="3">
        <f>BC164</f>
        <v>0</v>
      </c>
      <c r="BE164" s="3">
        <f>BD164</f>
        <v>0</v>
      </c>
      <c r="BF164" s="3">
        <f>BE164</f>
        <v>0</v>
      </c>
      <c r="BG164" s="3">
        <f>BF164</f>
        <v>0</v>
      </c>
      <c r="BH164" s="3">
        <f>BG164</f>
        <v>0</v>
      </c>
      <c r="BI164" s="3">
        <f>BH164</f>
        <v>0</v>
      </c>
      <c r="BJ164" s="3">
        <f>BI164</f>
        <v>0</v>
      </c>
      <c r="BK164" s="3">
        <f>BJ164</f>
        <v>0</v>
      </c>
      <c r="BL164" s="3">
        <f>BK164</f>
        <v>0</v>
      </c>
      <c r="BM164" s="3">
        <f>BL164</f>
        <v>0</v>
      </c>
      <c r="BN164" s="3">
        <f>BM164</f>
        <v>0</v>
      </c>
      <c r="BO164" s="3">
        <f>BN164</f>
        <v>0</v>
      </c>
      <c r="BP164" s="3">
        <f>BO164</f>
        <v>0</v>
      </c>
      <c r="BQ164" s="3">
        <f>BP164</f>
        <v>0</v>
      </c>
      <c r="BR164" s="3">
        <f>BQ164</f>
        <v>0</v>
      </c>
      <c r="BS164" s="3">
        <f>BR164</f>
        <v>0</v>
      </c>
      <c r="BT164" s="3">
        <f>BS164</f>
        <v>0</v>
      </c>
      <c r="BU164" s="3">
        <f>BT164</f>
        <v>0</v>
      </c>
      <c r="BV164" s="3">
        <f>BU164</f>
        <v>0</v>
      </c>
      <c r="BW164" s="3">
        <f>BV164</f>
        <v>0</v>
      </c>
      <c r="BX164" s="3">
        <f>BW164</f>
        <v>0</v>
      </c>
      <c r="BY164" s="3">
        <f>BX164</f>
        <v>0</v>
      </c>
      <c r="BZ164" s="3">
        <f>BY164</f>
        <v>0</v>
      </c>
      <c r="CA164" s="3">
        <f>BZ164</f>
        <v>0</v>
      </c>
      <c r="CB164" s="3">
        <f>CA164</f>
        <v>0</v>
      </c>
      <c r="CC164" s="3">
        <f>CB164</f>
        <v>0</v>
      </c>
      <c r="CD164" s="3">
        <f>CC164</f>
        <v>0</v>
      </c>
      <c r="CE164" s="3">
        <f>CD164</f>
        <v>0</v>
      </c>
      <c r="CF164" s="3">
        <f>CE164</f>
        <v>0</v>
      </c>
      <c r="CG164" s="3">
        <f>CF164</f>
        <v>0</v>
      </c>
      <c r="CH164" s="3">
        <f>CG164</f>
        <v>0</v>
      </c>
      <c r="CI164" s="3">
        <f>CH164</f>
        <v>0</v>
      </c>
      <c r="CJ164" s="3">
        <f>CI164</f>
        <v>0</v>
      </c>
      <c r="CK164" s="3">
        <f>CJ164</f>
        <v>0</v>
      </c>
      <c r="CL164" s="3">
        <f>CK164</f>
        <v>0</v>
      </c>
      <c r="CM164" s="3">
        <f>CL164</f>
        <v>0</v>
      </c>
      <c r="CN164" s="3">
        <f>CM164</f>
        <v>0</v>
      </c>
      <c r="CO164" s="3">
        <f>CN164</f>
        <v>0</v>
      </c>
      <c r="CP164" s="3">
        <f>CO164</f>
        <v>0</v>
      </c>
      <c r="CQ164" s="3">
        <f>CP164</f>
        <v>0</v>
      </c>
      <c r="CR164" s="3">
        <f>CQ164</f>
        <v>0</v>
      </c>
      <c r="CS164" s="3">
        <f>CR164</f>
        <v>0</v>
      </c>
      <c r="CT164" s="3">
        <f>CS164</f>
        <v>0</v>
      </c>
      <c r="CU164" s="3">
        <f>CT164</f>
        <v>0</v>
      </c>
      <c r="CV164" s="3">
        <f>CU164</f>
        <v>0</v>
      </c>
      <c r="CW164" s="3">
        <f>CV164</f>
        <v>0</v>
      </c>
      <c r="CX164" s="3">
        <f>CW164</f>
        <v>0</v>
      </c>
      <c r="CY164" s="3">
        <f>CX164</f>
        <v>0</v>
      </c>
    </row>
    <row r="165">
      <c r="C165" s="26" t="inlineStr">
        <is>
          <t>Other current assets</t>
        </is>
      </c>
      <c r="D165" s="25" t="e">
        <f>INDEX('Inputs (2)'!$D$20:$AL$20,MATCH(D$7,'Inputs (2)'!$D$2:$AL$2,0))</f>
        <v>#N/A</v>
      </c>
      <c r="E165" s="25">
        <f>INDEX('Inputs (2)'!$D$20:$AL$20,MATCH(E$7,'Inputs (2)'!$D$2:$AL$2,0))</f>
        <v>37.972</v>
      </c>
      <c r="F165" s="25">
        <f>INDEX('Inputs (2)'!$D$20:$AL$20,MATCH(F$7,'Inputs (2)'!$D$2:$AL$2,0))</f>
        <v>98.57272673</v>
      </c>
      <c r="G165" s="25">
        <f>INDEX('Inputs (2)'!$D$20:$AL$20,MATCH(G$7,'Inputs (2)'!$D$2:$AL$2,0))</f>
        <v>30.63960486</v>
      </c>
      <c r="H165" s="3">
        <f>G165</f>
        <v>30.63960486</v>
      </c>
      <c r="I165" s="25">
        <f>INDEX('Inputs (2)'!$D$20:$AL$20,MATCH(I$7,'Inputs (2)'!$D$2:$AL$2,0))</f>
        <v>108.25489017</v>
      </c>
      <c r="J165" s="25">
        <f>INDEX('Inputs (2)'!$D$20:$AL$20,MATCH(J$7,'Inputs (2)'!$D$2:$AL$2,0))</f>
        <v>133.5251024</v>
      </c>
      <c r="K165" s="25">
        <f>INDEX('Inputs (2)'!$D$20:$AL$20,MATCH(K$7,'Inputs (2)'!$D$2:$AL$2,0))</f>
        <v>210.772</v>
      </c>
      <c r="L165" s="25">
        <f>INDEX('Inputs (2)'!$D$20:$AL$20,MATCH(L$7,'Inputs (2)'!$D$2:$AL$2,0))</f>
        <v>80.008</v>
      </c>
      <c r="M165" s="3">
        <f>L165</f>
        <v>80.008</v>
      </c>
      <c r="N165" s="25">
        <f>INDEX('Inputs (2)'!$D$20:$AL$20,MATCH(N$7,'Inputs (2)'!$D$2:$AL$2,0))</f>
        <v>134.872</v>
      </c>
      <c r="O165" s="25">
        <f>INDEX('Inputs (2)'!$D$20:$AL$20,MATCH(O$7,'Inputs (2)'!$D$2:$AL$2,0))</f>
        <v>118.878</v>
      </c>
      <c r="P165" s="25">
        <f>INDEX('Inputs (2)'!$D$20:$AL$20,MATCH(P$7,'Inputs (2)'!$D$2:$AL$2,0))</f>
        <v>148.438</v>
      </c>
      <c r="Q165" s="25">
        <f>INDEX('Inputs (2)'!$D$20:$AL$20,MATCH(Q$7,'Inputs (2)'!$D$2:$AL$2,0))</f>
        <v>470.989</v>
      </c>
      <c r="R165" s="3">
        <f>Q165</f>
        <v>470.989</v>
      </c>
      <c r="S165" s="25">
        <f>INDEX('Inputs (2)'!$D$20:$AL$20,MATCH(S$7,'Inputs (2)'!$D$2:$AL$2,0))</f>
        <v>528.817</v>
      </c>
      <c r="T165" s="25">
        <f>INDEX('Inputs (2)'!$D$20:$AL$20,MATCH(T$7,'Inputs (2)'!$D$2:$AL$2,0))</f>
        <v>445.073</v>
      </c>
      <c r="U165" s="25">
        <f>INDEX('Inputs (2)'!$D$20:$AL$20,MATCH(U$7,'Inputs (2)'!$D$2:$AL$2,0))</f>
        <v>381.748</v>
      </c>
      <c r="V165" s="25">
        <f>INDEX('Inputs (2)'!$D$20:$AL$20,MATCH(V$7,'Inputs (2)'!$D$2:$AL$2,0))</f>
        <v>536.114</v>
      </c>
      <c r="W165" s="3">
        <f>V165</f>
        <v>536.114</v>
      </c>
      <c r="X165" s="25">
        <f>INDEX('Inputs (2)'!$D$20:$AL$20,MATCH(X$7,'Inputs (2)'!$D$2:$AL$2,0))</f>
        <v>620.182</v>
      </c>
      <c r="Y165" s="25">
        <f>INDEX('Inputs (2)'!$D$20:$AL$20,MATCH(Y$7,'Inputs (2)'!$D$2:$AL$2,0))</f>
        <v>713.704</v>
      </c>
      <c r="Z165" s="25">
        <f>INDEX('Inputs (2)'!$D$20:$AL$20,MATCH(Z$7,'Inputs (2)'!$D$2:$AL$2,0))</f>
        <v>761.47</v>
      </c>
      <c r="AA165" s="25">
        <f>INDEX('Inputs (2)'!$D$20:$AL$20,MATCH(AA$7,'Inputs (2)'!$D$2:$AL$2,0))</f>
        <v>858.659</v>
      </c>
      <c r="AB165" s="3">
        <f>AA165</f>
        <v>858.659</v>
      </c>
      <c r="AC165" s="25">
        <f>INDEX('Inputs (2)'!$D$20:$AL$20,MATCH(AC$7,'Inputs (2)'!$D$2:$AL$2,0))</f>
        <v>997.175</v>
      </c>
      <c r="AD165" s="25">
        <f>INDEX('Inputs (2)'!$D$20:$AL$20,MATCH(AD$7,'Inputs (2)'!$D$2:$AL$2,0))</f>
        <v>1047.061</v>
      </c>
      <c r="AE165" s="25">
        <f>INDEX('Inputs (2)'!$D$20:$AL$20,MATCH(AE$7,'Inputs (2)'!$D$2:$AL$2,0))</f>
        <v>1510.787</v>
      </c>
      <c r="AF165" s="25">
        <f>INDEX('Inputs (2)'!$D$20:$AL$20,MATCH(AF$7,'Inputs (2)'!$D$2:$AL$2,0))</f>
        <v>1700.881</v>
      </c>
      <c r="AG165" s="3">
        <f>AF165</f>
        <v>1700.881</v>
      </c>
      <c r="AH165" s="3">
        <f>INDEX('Inputs (2)'!$D$20:$AL$20,MATCH(AH$7,'Inputs (2)'!$D$2:$AL$2,0))</f>
        <v>1733.934</v>
      </c>
      <c r="AI165" s="3">
        <f>INDEX('Inputs (2)'!$D$20:$AL$20,MATCH(AI$7,'Inputs (2)'!$D$2:$AL$2,0))</f>
        <v>1748.953</v>
      </c>
      <c r="AJ165" s="3">
        <f>AI165</f>
        <v>1748.953</v>
      </c>
      <c r="AK165" s="3">
        <f>AJ165</f>
        <v>1748.953</v>
      </c>
      <c r="AL165" s="3">
        <f>AK165</f>
        <v>1748.953</v>
      </c>
      <c r="AM165" s="3">
        <f>AL165</f>
        <v>1748.953</v>
      </c>
      <c r="AN165" s="3">
        <f>AM165</f>
        <v>1748.953</v>
      </c>
      <c r="AO165" s="3">
        <f>AN165</f>
        <v>1748.953</v>
      </c>
      <c r="AP165" s="3">
        <f>AO165</f>
        <v>1748.953</v>
      </c>
      <c r="AQ165" s="3">
        <f>AP165</f>
        <v>1748.953</v>
      </c>
      <c r="AR165" s="3">
        <f>AQ165</f>
        <v>1748.953</v>
      </c>
      <c r="AS165" s="3">
        <f>AR165</f>
        <v>1748.953</v>
      </c>
      <c r="AT165" s="3">
        <f>AS165</f>
        <v>1748.953</v>
      </c>
      <c r="AU165" s="3">
        <f>AT165</f>
        <v>1748.953</v>
      </c>
      <c r="AV165" s="3">
        <f>AU165</f>
        <v>1748.953</v>
      </c>
      <c r="AW165" s="3">
        <f>AV165</f>
        <v>1748.953</v>
      </c>
      <c r="AX165" s="3">
        <f>AW165</f>
        <v>1748.953</v>
      </c>
      <c r="AY165" s="3">
        <f>AX165</f>
        <v>1748.953</v>
      </c>
      <c r="AZ165" s="3">
        <f>AY165</f>
        <v>1748.953</v>
      </c>
      <c r="BA165" s="3">
        <f>AZ165</f>
        <v>1748.953</v>
      </c>
      <c r="BB165" s="3">
        <f>BA165</f>
        <v>1748.953</v>
      </c>
      <c r="BC165" s="3">
        <f>BB165</f>
        <v>1748.953</v>
      </c>
      <c r="BD165" s="3">
        <f>BC165</f>
        <v>1748.953</v>
      </c>
      <c r="BE165" s="3">
        <f>BD165</f>
        <v>1748.953</v>
      </c>
      <c r="BF165" s="3">
        <f>BE165</f>
        <v>1748.953</v>
      </c>
      <c r="BG165" s="3">
        <f>BF165</f>
        <v>1748.953</v>
      </c>
      <c r="BH165" s="3">
        <f>BG165</f>
        <v>1748.953</v>
      </c>
      <c r="BI165" s="3">
        <f>BH165</f>
        <v>1748.953</v>
      </c>
      <c r="BJ165" s="3">
        <f>BI165</f>
        <v>1748.953</v>
      </c>
      <c r="BK165" s="3">
        <f>BJ165</f>
        <v>1748.953</v>
      </c>
      <c r="BL165" s="3">
        <f>BK165</f>
        <v>1748.953</v>
      </c>
      <c r="BM165" s="3">
        <f>BL165</f>
        <v>1748.953</v>
      </c>
      <c r="BN165" s="3">
        <f>BM165</f>
        <v>1748.953</v>
      </c>
      <c r="BO165" s="3">
        <f>BN165</f>
        <v>1748.953</v>
      </c>
      <c r="BP165" s="3">
        <f>BO165</f>
        <v>1748.953</v>
      </c>
      <c r="BQ165" s="3">
        <f>BP165</f>
        <v>1748.953</v>
      </c>
      <c r="BR165" s="3">
        <f>BQ165</f>
        <v>1748.953</v>
      </c>
      <c r="BS165" s="3">
        <f>BR165</f>
        <v>1748.953</v>
      </c>
      <c r="BT165" s="3">
        <f>BS165</f>
        <v>1748.953</v>
      </c>
      <c r="BU165" s="3">
        <f>BT165</f>
        <v>1748.953</v>
      </c>
      <c r="BV165" s="3">
        <f>BU165</f>
        <v>1748.953</v>
      </c>
      <c r="BW165" s="3">
        <f>BV165</f>
        <v>1748.953</v>
      </c>
      <c r="BX165" s="3">
        <f>BW165</f>
        <v>1748.953</v>
      </c>
      <c r="BY165" s="3">
        <f>BX165</f>
        <v>1748.953</v>
      </c>
      <c r="BZ165" s="3">
        <f>BY165</f>
        <v>1748.953</v>
      </c>
      <c r="CA165" s="3">
        <f>BZ165</f>
        <v>1748.953</v>
      </c>
      <c r="CB165" s="3">
        <f>CA165</f>
        <v>1748.953</v>
      </c>
      <c r="CC165" s="3">
        <f>CB165</f>
        <v>1748.953</v>
      </c>
      <c r="CD165" s="3">
        <f>CC165</f>
        <v>1748.953</v>
      </c>
      <c r="CE165" s="3">
        <f>CD165</f>
        <v>1748.953</v>
      </c>
      <c r="CF165" s="3">
        <f>CE165</f>
        <v>1748.953</v>
      </c>
      <c r="CG165" s="3">
        <f>CF165</f>
        <v>1748.953</v>
      </c>
      <c r="CH165" s="3">
        <f>CG165</f>
        <v>1748.953</v>
      </c>
      <c r="CI165" s="3">
        <f>CH165</f>
        <v>1748.953</v>
      </c>
      <c r="CJ165" s="3">
        <f>CI165</f>
        <v>1748.953</v>
      </c>
      <c r="CK165" s="3">
        <f>CJ165</f>
        <v>1748.953</v>
      </c>
      <c r="CL165" s="3">
        <f>CK165</f>
        <v>1748.953</v>
      </c>
      <c r="CM165" s="3">
        <f>CL165</f>
        <v>1748.953</v>
      </c>
      <c r="CN165" s="3">
        <f>CM165</f>
        <v>1748.953</v>
      </c>
      <c r="CO165" s="3">
        <f>CN165</f>
        <v>1748.953</v>
      </c>
      <c r="CP165" s="3">
        <f>CO165</f>
        <v>1748.953</v>
      </c>
      <c r="CQ165" s="3">
        <f>CP165</f>
        <v>1748.953</v>
      </c>
      <c r="CR165" s="3">
        <f>CQ165</f>
        <v>1748.953</v>
      </c>
      <c r="CS165" s="3">
        <f>CR165</f>
        <v>1748.953</v>
      </c>
      <c r="CT165" s="3">
        <f>CS165</f>
        <v>1748.953</v>
      </c>
      <c r="CU165" s="3">
        <f>CT165</f>
        <v>1748.953</v>
      </c>
      <c r="CV165" s="3">
        <f>CU165</f>
        <v>1748.953</v>
      </c>
      <c r="CW165" s="3">
        <f>CV165</f>
        <v>1748.953</v>
      </c>
      <c r="CX165" s="3">
        <f>CW165</f>
        <v>1748.953</v>
      </c>
      <c r="CY165" s="3">
        <f>CX165</f>
        <v>1748.953</v>
      </c>
    </row>
    <row r="166" hidden="1" outlineLevel="1">
      <c r="C166" s="38" t="inlineStr">
        <is>
          <t>%(Var.)</t>
        </is>
      </c>
      <c r="D166" s="3" t="n"/>
      <c r="E166" s="47" t="e">
        <f>(E165-D165)/D165</f>
        <v>#N/A</v>
      </c>
      <c r="F166" s="47">
        <f>(F165-E165)/E165</f>
        <v>1.59593191641209</v>
      </c>
      <c r="G166" s="47">
        <f>(G165-F165)/F165</f>
        <v>-0.689167522534659</v>
      </c>
      <c r="H166" s="3" t="n"/>
      <c r="I166" s="47">
        <f>(I165-H165)/H165</f>
        <v>2.53316861182263</v>
      </c>
      <c r="J166" s="47">
        <f>(J165-I165)/I165</f>
        <v>0.233432523836258</v>
      </c>
      <c r="K166" s="47">
        <f>(K165-J165)/J165</f>
        <v>0.578519665677485</v>
      </c>
      <c r="L166" s="47">
        <f>(L165-K165)/K165</f>
        <v>-0.620404987379728</v>
      </c>
      <c r="M166" s="3" t="n"/>
      <c r="N166" s="47">
        <f>(N165-M165)/M165</f>
        <v>0.685731426857314</v>
      </c>
      <c r="O166" s="47">
        <f>(O165-N165)/N165</f>
        <v>-0.118586511655495</v>
      </c>
      <c r="P166" s="47">
        <f>(P165-O165)/O165</f>
        <v>0.248658288329212</v>
      </c>
      <c r="Q166" s="47">
        <f>(Q165-P165)/P165</f>
        <v>2.17296783842412</v>
      </c>
      <c r="R166" s="3" t="n"/>
      <c r="S166" s="47">
        <f>(S165-R165)/R165</f>
        <v>0.122779937535696</v>
      </c>
      <c r="T166" s="47">
        <f>(T165-S165)/S165</f>
        <v>-0.158361020920281</v>
      </c>
      <c r="U166" s="47">
        <f>(U165-T165)/T165</f>
        <v>-0.142280030466912</v>
      </c>
      <c r="V166" s="47">
        <f>(V165-U165)/U165</f>
        <v>0.404366231126293</v>
      </c>
      <c r="W166" s="3" t="n"/>
      <c r="X166" s="47">
        <f>(X165-W165)/W165</f>
        <v>0.156809932215909</v>
      </c>
      <c r="Y166" s="47">
        <f>(Y165-X165)/X165</f>
        <v>0.150797669071337</v>
      </c>
      <c r="Z166" s="47">
        <f>(Z165-Y165)/Y165</f>
        <v>0.0669269052716532</v>
      </c>
      <c r="AA166" s="47">
        <f>(AA165-Z165)/Z165</f>
        <v>0.127633393305055</v>
      </c>
      <c r="AB166" s="3" t="n"/>
      <c r="AC166" s="47">
        <f>(AC165-AB165)/AB165</f>
        <v>0.161316657718605</v>
      </c>
      <c r="AD166" s="47">
        <f>(AD165-AC165)/AC165</f>
        <v>0.050027327199338</v>
      </c>
      <c r="AE166" s="47">
        <f>(AE165-AD165)/AD165</f>
        <v>0.442883461422019</v>
      </c>
      <c r="AF166" s="218">
        <f>(AF165-AE165)/AE165</f>
        <v>0.125824487502209</v>
      </c>
      <c r="AG166" s="3" t="n"/>
      <c r="AH166" s="3">
        <f>(AH165-AG165)/AG165</f>
        <v>0.0194328703771752</v>
      </c>
      <c r="AI166" s="3">
        <f>(AI165-AH165)/AH165</f>
        <v>0.00866180604336715</v>
      </c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n"/>
      <c r="D167" s="3" t="n"/>
      <c r="E167" s="47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hidden="1" outlineLevel="1">
      <c r="C168" s="52" t="inlineStr">
        <is>
          <t xml:space="preserve">Impostos e Contribuições a Recuperar </t>
        </is>
      </c>
      <c r="D168" s="6" t="n"/>
      <c r="E168" s="6" t="n"/>
      <c r="F168" s="6" t="n"/>
      <c r="G168" s="6" t="n"/>
      <c r="H168" s="3" t="n"/>
      <c r="I168" s="6" t="n"/>
      <c r="J168" s="6" t="n"/>
      <c r="K168" s="6" t="n"/>
      <c r="L168" s="6" t="n"/>
      <c r="M168" s="3" t="n"/>
      <c r="N168" s="6" t="n"/>
      <c r="O168" s="6" t="n"/>
      <c r="P168" s="6" t="n"/>
      <c r="Q168" s="6" t="n"/>
      <c r="R168" s="3" t="n"/>
      <c r="S168" s="6" t="n"/>
      <c r="T168" s="6" t="n"/>
      <c r="U168" s="6" t="n"/>
      <c r="V168" s="6" t="n"/>
      <c r="W168" s="3" t="n"/>
      <c r="X168" s="6" t="n"/>
      <c r="Y168" s="6" t="n"/>
      <c r="Z168" s="6" t="n"/>
      <c r="AA168" s="6" t="n"/>
      <c r="AB168" s="3" t="n"/>
      <c r="AC168" s="6" t="n"/>
      <c r="AD168" s="6" t="n"/>
      <c r="AE168" s="6" t="n"/>
      <c r="AF168" s="6" t="n"/>
      <c r="AG168" s="3">
        <f>AF168</f>
        <v>0</v>
      </c>
      <c r="AH168" s="216">
        <f>AG168*AH15/AG15</f>
        <v>0</v>
      </c>
      <c r="AI168" s="216">
        <f>AH168*AI15/AH15</f>
        <v>0</v>
      </c>
      <c r="AJ168" s="216">
        <f>AI168*AJ15/AI15</f>
        <v>0</v>
      </c>
      <c r="AK168" s="216">
        <f>AJ168*AK15/AJ15</f>
        <v>0</v>
      </c>
      <c r="AL168" s="3">
        <f>AK168</f>
        <v>0</v>
      </c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52" t="inlineStr">
        <is>
          <t>Outros Créditos</t>
        </is>
      </c>
      <c r="D169" s="6" t="n"/>
      <c r="E169" s="6" t="n"/>
      <c r="F169" s="6" t="n"/>
      <c r="G169" s="6" t="n"/>
      <c r="H169" s="3" t="n"/>
      <c r="I169" s="6" t="n"/>
      <c r="J169" s="6" t="n"/>
      <c r="K169" s="6" t="n"/>
      <c r="L169" s="6" t="n"/>
      <c r="M169" s="3" t="n"/>
      <c r="N169" s="6" t="n"/>
      <c r="O169" s="6" t="n"/>
      <c r="P169" s="6" t="n"/>
      <c r="Q169" s="6" t="n"/>
      <c r="R169" s="3" t="n"/>
      <c r="S169" s="6" t="n"/>
      <c r="T169" s="6" t="n"/>
      <c r="U169" s="6" t="n"/>
      <c r="V169" s="6" t="n"/>
      <c r="W169" s="3" t="n"/>
      <c r="X169" s="6" t="n"/>
      <c r="Y169" s="6" t="n"/>
      <c r="Z169" s="6" t="n"/>
      <c r="AA169" s="6" t="n"/>
      <c r="AB169" s="3" t="n"/>
      <c r="AC169" s="6" t="n"/>
      <c r="AD169" s="6" t="n"/>
      <c r="AE169" s="6" t="n"/>
      <c r="AF169" s="6" t="n"/>
      <c r="AG169" s="3">
        <f>AF169</f>
        <v>0</v>
      </c>
      <c r="AH169" s="3">
        <f>AG169</f>
        <v>0</v>
      </c>
      <c r="AI169" s="3">
        <f>AH169</f>
        <v>0</v>
      </c>
      <c r="AJ169" s="3">
        <f>AI169</f>
        <v>0</v>
      </c>
      <c r="AK169" s="3">
        <f>AJ169</f>
        <v>0</v>
      </c>
      <c r="AL169" s="3">
        <f>AK169</f>
        <v>0</v>
      </c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collapsed="1">
      <c r="C171" s="26" t="inlineStr">
        <is>
          <t>Equity in affiliates</t>
        </is>
      </c>
      <c r="D171" s="25" t="e">
        <f>INDEX('Inputs (2)'!$D$21:$AL$21,MATCH(D$7,'Inputs (2)'!$D$2:$AL$2,0))</f>
        <v>#N/A</v>
      </c>
      <c r="E171" s="25">
        <f>INDEX('Inputs (2)'!$D$21:$AL$21,MATCH(E$7,'Inputs (2)'!$D$2:$AL$2,0))</f>
        <v>0</v>
      </c>
      <c r="F171" s="25">
        <f>INDEX('Inputs (2)'!$D$21:$AL$21,MATCH(F$7,'Inputs (2)'!$D$2:$AL$2,0))</f>
        <v>0</v>
      </c>
      <c r="G171" s="25">
        <f>INDEX('Inputs (2)'!$D$21:$AL$21,MATCH(G$7,'Inputs (2)'!$D$2:$AL$2,0))</f>
        <v>0</v>
      </c>
      <c r="H171" s="3">
        <f>G171</f>
        <v>0</v>
      </c>
      <c r="I171" s="25">
        <f>INDEX('Inputs (2)'!$D$21:$AL$21,MATCH(I$7,'Inputs (2)'!$D$2:$AL$2,0))</f>
        <v>0</v>
      </c>
      <c r="J171" s="25">
        <f>INDEX('Inputs (2)'!$D$21:$AL$21,MATCH(J$7,'Inputs (2)'!$D$2:$AL$2,0))</f>
        <v>0</v>
      </c>
      <c r="K171" s="25">
        <f>INDEX('Inputs (2)'!$D$21:$AL$21,MATCH(K$7,'Inputs (2)'!$D$2:$AL$2,0))</f>
        <v>0</v>
      </c>
      <c r="L171" s="25">
        <f>INDEX('Inputs (2)'!$D$21:$AL$21,MATCH(L$7,'Inputs (2)'!$D$2:$AL$2,0))</f>
        <v>0</v>
      </c>
      <c r="M171" s="3">
        <f>L171</f>
        <v>0</v>
      </c>
      <c r="N171" s="25">
        <f>INDEX('Inputs (2)'!$D$21:$AL$21,MATCH(N$7,'Inputs (2)'!$D$2:$AL$2,0))</f>
        <v>0</v>
      </c>
      <c r="O171" s="25">
        <f>INDEX('Inputs (2)'!$D$21:$AL$21,MATCH(O$7,'Inputs (2)'!$D$2:$AL$2,0))</f>
        <v>0</v>
      </c>
      <c r="P171" s="25">
        <f>INDEX('Inputs (2)'!$D$21:$AL$21,MATCH(P$7,'Inputs (2)'!$D$2:$AL$2,0))</f>
        <v>0</v>
      </c>
      <c r="Q171" s="25">
        <f>INDEX('Inputs (2)'!$D$21:$AL$21,MATCH(Q$7,'Inputs (2)'!$D$2:$AL$2,0))</f>
        <v>0</v>
      </c>
      <c r="R171" s="3">
        <f>Q171</f>
        <v>0</v>
      </c>
      <c r="S171" s="25">
        <f>INDEX('Inputs (2)'!$D$21:$AL$21,MATCH(S$7,'Inputs (2)'!$D$2:$AL$2,0))</f>
        <v>0</v>
      </c>
      <c r="T171" s="25">
        <f>INDEX('Inputs (2)'!$D$21:$AL$21,MATCH(T$7,'Inputs (2)'!$D$2:$AL$2,0))</f>
        <v>0</v>
      </c>
      <c r="U171" s="25">
        <f>INDEX('Inputs (2)'!$D$21:$AL$21,MATCH(U$7,'Inputs (2)'!$D$2:$AL$2,0))</f>
        <v>0</v>
      </c>
      <c r="V171" s="25">
        <f>INDEX('Inputs (2)'!$D$21:$AL$21,MATCH(V$7,'Inputs (2)'!$D$2:$AL$2,0))</f>
        <v>19.238</v>
      </c>
      <c r="W171" s="3">
        <f>V171</f>
        <v>19.238</v>
      </c>
      <c r="X171" s="25">
        <f>INDEX('Inputs (2)'!$D$21:$AL$21,MATCH(X$7,'Inputs (2)'!$D$2:$AL$2,0))</f>
        <v>43.168</v>
      </c>
      <c r="Y171" s="25">
        <f>INDEX('Inputs (2)'!$D$21:$AL$21,MATCH(Y$7,'Inputs (2)'!$D$2:$AL$2,0))</f>
        <v>43.164</v>
      </c>
      <c r="Z171" s="25">
        <f>INDEX('Inputs (2)'!$D$21:$AL$21,MATCH(Z$7,'Inputs (2)'!$D$2:$AL$2,0))</f>
        <v>43.144</v>
      </c>
      <c r="AA171" s="25">
        <f>INDEX('Inputs (2)'!$D$21:$AL$21,MATCH(AA$7,'Inputs (2)'!$D$2:$AL$2,0))</f>
        <v>43.144</v>
      </c>
      <c r="AB171" s="3">
        <f>AA171</f>
        <v>43.144</v>
      </c>
      <c r="AC171" s="25">
        <f>INDEX('Inputs (2)'!$D$21:$AL$21,MATCH(AC$7,'Inputs (2)'!$D$2:$AL$2,0))</f>
        <v>55.844</v>
      </c>
      <c r="AD171" s="25">
        <f>INDEX('Inputs (2)'!$D$21:$AL$21,MATCH(AD$7,'Inputs (2)'!$D$2:$AL$2,0))</f>
        <v>428.234</v>
      </c>
      <c r="AE171" s="25">
        <f>INDEX('Inputs (2)'!$D$21:$AL$21,MATCH(AE$7,'Inputs (2)'!$D$2:$AL$2,0))</f>
        <v>55.844</v>
      </c>
      <c r="AF171" s="25">
        <f>INDEX('Inputs (2)'!$D$21:$AL$21,MATCH(AF$7,'Inputs (2)'!$D$2:$AL$2,0))</f>
        <v>0</v>
      </c>
      <c r="AG171" s="3">
        <f>AF171</f>
        <v>0</v>
      </c>
      <c r="AH171" s="3">
        <f>INDEX('Inputs (2)'!$D$21:$AL$21,MATCH(AH$7,'Inputs (2)'!$D$2:$AL$2,0))</f>
        <v>0</v>
      </c>
      <c r="AI171" s="3">
        <f>INDEX('Inputs (2)'!$D$21:$AL$21,MATCH(AI$7,'Inputs (2)'!$D$2:$AL$2,0))</f>
        <v>0</v>
      </c>
      <c r="AJ171" s="3">
        <f>AI171+AJ145+AJ174</f>
        <v>0</v>
      </c>
      <c r="AK171" s="3">
        <f>AJ171+AK145+AK174</f>
        <v>0</v>
      </c>
      <c r="AL171" s="3">
        <f>AK171</f>
        <v>0</v>
      </c>
      <c r="AM171" s="3">
        <f>AL171+AM145+AM174</f>
        <v>0</v>
      </c>
      <c r="AN171" s="3">
        <f>AM171+AN145+AN174</f>
        <v>0</v>
      </c>
      <c r="AO171" s="3">
        <f>AN171+AO145+AO174</f>
        <v>0</v>
      </c>
      <c r="AP171" s="3">
        <f>AO171+AP145+AP174</f>
        <v>0</v>
      </c>
      <c r="AQ171" s="3">
        <f>AP171</f>
        <v>0</v>
      </c>
      <c r="AR171" s="3">
        <f>AQ171+AR145+AR174</f>
        <v>0</v>
      </c>
      <c r="AS171" s="3">
        <f>AR171+AS145+AS174</f>
        <v>0</v>
      </c>
      <c r="AT171" s="3">
        <f>AS171+AT145+AT174</f>
        <v>0</v>
      </c>
      <c r="AU171" s="3">
        <f>AT171+AU145+AU174</f>
        <v>0</v>
      </c>
      <c r="AV171" s="3">
        <f>AU171</f>
        <v>0</v>
      </c>
      <c r="AW171" s="3">
        <f>AV171+AW145+AW174</f>
        <v>0</v>
      </c>
      <c r="AX171" s="3">
        <f>AW171+AX145+AX174</f>
        <v>0</v>
      </c>
      <c r="AY171" s="3">
        <f>AX171+AY145+AY174</f>
        <v>0</v>
      </c>
      <c r="AZ171" s="3">
        <f>AY171+AZ145+AZ174</f>
        <v>0</v>
      </c>
      <c r="BA171" s="3">
        <f>AZ171</f>
        <v>0</v>
      </c>
      <c r="BB171" s="3">
        <f>BA171+BB145+BB174</f>
        <v>0</v>
      </c>
      <c r="BC171" s="3">
        <f>BB171+BC145+BC174</f>
        <v>0</v>
      </c>
      <c r="BD171" s="3">
        <f>BC171+BD145+BD174</f>
        <v>0</v>
      </c>
      <c r="BE171" s="3">
        <f>BD171+BE145+BE174</f>
        <v>0</v>
      </c>
      <c r="BF171" s="3">
        <f>BE171</f>
        <v>0</v>
      </c>
      <c r="BG171" s="3">
        <f>BF171+BG145+BG174</f>
        <v>0</v>
      </c>
      <c r="BH171" s="3">
        <f>BG171+BH145+BH174</f>
        <v>0</v>
      </c>
      <c r="BI171" s="3">
        <f>BH171+BI145+BI174</f>
        <v>0</v>
      </c>
      <c r="BJ171" s="3">
        <f>BI171+BJ145+BJ174</f>
        <v>0</v>
      </c>
      <c r="BK171" s="3">
        <f>BJ171</f>
        <v>0</v>
      </c>
      <c r="BL171" s="3">
        <f>BK171+BL145+BL174</f>
        <v>0</v>
      </c>
      <c r="BM171" s="3">
        <f>BL171+BM145+BM174</f>
        <v>0</v>
      </c>
      <c r="BN171" s="3">
        <f>BM171+BN145+BN174</f>
        <v>0</v>
      </c>
      <c r="BO171" s="3">
        <f>BN171+BO145+BO174</f>
        <v>0</v>
      </c>
      <c r="BP171" s="3">
        <f>BO171</f>
        <v>0</v>
      </c>
      <c r="BQ171" s="3">
        <f>BP171+BQ145+BQ174</f>
        <v>0</v>
      </c>
      <c r="BR171" s="3">
        <f>BQ171+BR145+BR174</f>
        <v>0</v>
      </c>
      <c r="BS171" s="3">
        <f>BR171+BS145+BS174</f>
        <v>0</v>
      </c>
      <c r="BT171" s="3">
        <f>BS171+BT145+BT174</f>
        <v>0</v>
      </c>
      <c r="BU171" s="3">
        <f>BT171</f>
        <v>0</v>
      </c>
      <c r="BV171" s="3">
        <f>BU171+BV145+BV174</f>
        <v>0</v>
      </c>
      <c r="BW171" s="3">
        <f>BV171+BW145+BW174</f>
        <v>0</v>
      </c>
      <c r="BX171" s="3">
        <f>BW171+BX145+BX174</f>
        <v>0</v>
      </c>
      <c r="BY171" s="3">
        <f>BX171+BY145+BY174</f>
        <v>0</v>
      </c>
      <c r="BZ171" s="3">
        <f>BY171</f>
        <v>0</v>
      </c>
      <c r="CA171" s="3">
        <f>BZ171+CA145+CA174</f>
        <v>0</v>
      </c>
      <c r="CB171" s="3">
        <f>CA171+CB145+CB174</f>
        <v>0</v>
      </c>
      <c r="CC171" s="3">
        <f>CB171+CC145+CC174</f>
        <v>0</v>
      </c>
      <c r="CD171" s="3">
        <f>CC171+CD145+CD174</f>
        <v>0</v>
      </c>
      <c r="CE171" s="3">
        <f>CD171</f>
        <v>0</v>
      </c>
      <c r="CF171" s="3">
        <f>CE171+CF145+CF174</f>
        <v>0</v>
      </c>
      <c r="CG171" s="3">
        <f>CF171+CG145+CG174</f>
        <v>0</v>
      </c>
      <c r="CH171" s="3">
        <f>CG171+CH145+CH174</f>
        <v>0</v>
      </c>
      <c r="CI171" s="3">
        <f>CH171+CI145+CI174</f>
        <v>0</v>
      </c>
      <c r="CJ171" s="3">
        <f>CI171</f>
        <v>0</v>
      </c>
      <c r="CK171" s="3">
        <f>CJ171+CK145+CK174</f>
        <v>0</v>
      </c>
      <c r="CL171" s="3">
        <f>CK171+CL145+CL174</f>
        <v>0</v>
      </c>
      <c r="CM171" s="3">
        <f>CL171+CM145+CM174</f>
        <v>0</v>
      </c>
      <c r="CN171" s="3">
        <f>CM171+CN145+CN174</f>
        <v>0</v>
      </c>
      <c r="CO171" s="3">
        <f>CN171</f>
        <v>0</v>
      </c>
      <c r="CP171" s="3">
        <f>CO171+CP145+CP174</f>
        <v>0</v>
      </c>
      <c r="CQ171" s="3">
        <f>CP171+CQ145+CQ174</f>
        <v>0</v>
      </c>
      <c r="CR171" s="3">
        <f>CQ171+CR145+CR174</f>
        <v>0</v>
      </c>
      <c r="CS171" s="3">
        <f>CR171+CS145+CS174</f>
        <v>0</v>
      </c>
      <c r="CT171" s="3">
        <f>CS171</f>
        <v>0</v>
      </c>
      <c r="CU171" s="3">
        <f>CT171+CU145+CU174</f>
        <v>0</v>
      </c>
      <c r="CV171" s="3">
        <f>CU171+CV145+CV174</f>
        <v>0</v>
      </c>
      <c r="CW171" s="3">
        <f>CV171+CW145+CW174</f>
        <v>0</v>
      </c>
      <c r="CX171" s="3">
        <f>CW171+CX145+CX174</f>
        <v>0</v>
      </c>
      <c r="CY171" s="3">
        <f>CX171</f>
        <v>0</v>
      </c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hidden="1" outlineLevel="1">
      <c r="C173" s="34" t="inlineStr">
        <is>
          <t>Equity in Income - % YoY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>
        <f>IF(I145=0,0,N145/I145-1)</f>
        <v>0</v>
      </c>
      <c r="O173" s="3">
        <f>IF(J145=0,0,O145/J145-1)</f>
        <v>0</v>
      </c>
      <c r="P173" s="3">
        <f>IF(K145=0,0,P145/K145-1)</f>
        <v>0</v>
      </c>
      <c r="Q173" s="3">
        <f>IF(L145=0,0,Q145/L145-1)</f>
        <v>0</v>
      </c>
      <c r="R173" s="3" t="n"/>
      <c r="S173" s="3">
        <f>IF(N145=0,0,S145/N145-1)</f>
        <v>0</v>
      </c>
      <c r="T173" s="3">
        <f>IF(O145=0,0,T145/O145-1)</f>
        <v>0</v>
      </c>
      <c r="U173" s="3">
        <f>IF(P145=0,0,U145/P145-1)</f>
        <v>0</v>
      </c>
      <c r="V173" s="3">
        <f>IF(Q145=0,0,V145/Q145-1)</f>
        <v>0</v>
      </c>
      <c r="W173" s="3" t="n"/>
      <c r="X173" s="3">
        <f>IF(S145=0,0,X145/S145-1)</f>
        <v>0</v>
      </c>
      <c r="Y173" s="3">
        <f>IF(T145=0,0,Y145/T145-1)</f>
        <v>0</v>
      </c>
      <c r="Z173" s="3">
        <f>IF(U145=0,0,Z145/U145-1)</f>
        <v>0</v>
      </c>
      <c r="AA173" s="3">
        <f>IF(V145=0,0,AA145/V145-1)</f>
        <v>0</v>
      </c>
      <c r="AB173" s="3" t="n"/>
      <c r="AC173" s="3">
        <f>IF(X145=0,0,AC145/X145-1)</f>
        <v>0</v>
      </c>
      <c r="AD173" s="3">
        <f>IF(Y145=0,0,AD145/Y145-1)</f>
        <v>0</v>
      </c>
      <c r="AE173" s="3">
        <f>IF(Z145=0,0,AE145/Z145-1)</f>
        <v>0</v>
      </c>
      <c r="AF173" s="3">
        <f>IF(AA145=0,0,AF145/AA145-1)</f>
        <v>0</v>
      </c>
      <c r="AG173" s="3" t="n"/>
      <c r="AH173" s="6">
        <f>IF(AC145=0,0,AH145/AC145-1)</f>
        <v>0</v>
      </c>
      <c r="AI173" s="6">
        <f>IF(AD145=0,0,AI145/AD145-1)</f>
        <v>0</v>
      </c>
      <c r="AJ173" s="6" t="n"/>
      <c r="AK173" s="6" t="n"/>
      <c r="AL173" s="3" t="n"/>
      <c r="AM173" s="6" t="n"/>
      <c r="AN173" s="6" t="n"/>
      <c r="AO173" s="6" t="n"/>
      <c r="AP173" s="6" t="n"/>
      <c r="AQ173" s="3" t="n"/>
      <c r="AR173" s="6" t="n"/>
      <c r="AS173" s="6" t="n"/>
      <c r="AT173" s="6" t="n"/>
      <c r="AU173" s="6" t="n"/>
      <c r="AV173" s="3" t="n"/>
      <c r="AW173" s="6" t="n"/>
      <c r="AX173" s="6" t="n"/>
      <c r="AY173" s="6" t="n"/>
      <c r="AZ173" s="6" t="n"/>
      <c r="BA173" s="3" t="n"/>
      <c r="BB173" s="6" t="n"/>
      <c r="BC173" s="6" t="n"/>
      <c r="BD173" s="6" t="n"/>
      <c r="BE173" s="6" t="n"/>
      <c r="BF173" s="3" t="n"/>
      <c r="BG173" s="6" t="n"/>
      <c r="BH173" s="6" t="n"/>
      <c r="BI173" s="6" t="n"/>
      <c r="BJ173" s="6" t="n"/>
      <c r="BK173" s="3" t="n"/>
      <c r="BL173" s="6" t="n"/>
      <c r="BM173" s="6" t="n"/>
      <c r="BN173" s="6" t="n"/>
      <c r="BO173" s="6" t="n"/>
      <c r="BP173" s="3" t="n"/>
      <c r="BQ173" s="6" t="n"/>
      <c r="BR173" s="6" t="n"/>
      <c r="BS173" s="6" t="n"/>
      <c r="BT173" s="6" t="n"/>
      <c r="BU173" s="3" t="n"/>
      <c r="BV173" s="6" t="n"/>
      <c r="BW173" s="6" t="n"/>
      <c r="BX173" s="6" t="n"/>
      <c r="BY173" s="6" t="n"/>
      <c r="BZ173" s="3" t="n"/>
      <c r="CA173" s="6" t="n"/>
      <c r="CB173" s="6" t="n"/>
      <c r="CC173" s="6" t="n"/>
      <c r="CD173" s="6" t="n"/>
      <c r="CE173" s="3" t="n"/>
      <c r="CF173" s="6" t="n"/>
      <c r="CG173" s="6" t="n"/>
      <c r="CH173" s="6" t="n"/>
      <c r="CI173" s="6" t="n"/>
      <c r="CJ173" s="3" t="n"/>
      <c r="CK173" s="6" t="n"/>
      <c r="CL173" s="6" t="n"/>
      <c r="CM173" s="6" t="n"/>
      <c r="CN173" s="6" t="n"/>
      <c r="CO173" s="3" t="n"/>
      <c r="CP173" s="6" t="n"/>
      <c r="CQ173" s="6" t="n"/>
      <c r="CR173" s="6" t="n"/>
      <c r="CS173" s="6" t="n"/>
      <c r="CT173" s="3" t="n"/>
      <c r="CU173" s="6" t="n"/>
      <c r="CV173" s="6" t="n"/>
      <c r="CW173" s="6" t="n"/>
      <c r="CX173" s="6" t="n"/>
      <c r="CY173" s="3" t="n"/>
    </row>
    <row r="174" hidden="1" outlineLevel="1">
      <c r="C174" s="34" t="inlineStr">
        <is>
          <t>Dividends (enter as -)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6" t="n"/>
      <c r="AI174" s="6" t="n"/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collapsed="1">
      <c r="C176" s="26" t="inlineStr">
        <is>
          <t>PP&amp;E</t>
        </is>
      </c>
      <c r="D176" s="25" t="e">
        <f>INDEX('Inputs (2)'!$D$22:$AL$22,MATCH(D$7,'Inputs (2)'!$D$2:$AL$2,0))</f>
        <v>#N/A</v>
      </c>
      <c r="E176" s="25">
        <f>INDEX('Inputs (2)'!$D$22:$AL$22,MATCH(E$7,'Inputs (2)'!$D$2:$AL$2,0))</f>
        <v>965.038</v>
      </c>
      <c r="F176" s="25">
        <f>INDEX('Inputs (2)'!$D$22:$AL$22,MATCH(F$7,'Inputs (2)'!$D$2:$AL$2,0))</f>
        <v>1115.37781244</v>
      </c>
      <c r="G176" s="25">
        <f>INDEX('Inputs (2)'!$D$22:$AL$22,MATCH(G$7,'Inputs (2)'!$D$2:$AL$2,0))</f>
        <v>1341.44687548</v>
      </c>
      <c r="H176" s="3">
        <f>G176</f>
        <v>1341.44687548</v>
      </c>
      <c r="I176" s="25">
        <f>INDEX('Inputs (2)'!$D$22:$AL$22,MATCH(I$7,'Inputs (2)'!$D$2:$AL$2,0))</f>
        <v>1591.003531</v>
      </c>
      <c r="J176" s="25">
        <f>INDEX('Inputs (2)'!$D$22:$AL$22,MATCH(J$7,'Inputs (2)'!$D$2:$AL$2,0))</f>
        <v>1809.85866171</v>
      </c>
      <c r="K176" s="25">
        <f>INDEX('Inputs (2)'!$D$22:$AL$22,MATCH(K$7,'Inputs (2)'!$D$2:$AL$2,0))</f>
        <v>2007.877</v>
      </c>
      <c r="L176" s="25">
        <f>INDEX('Inputs (2)'!$D$22:$AL$22,MATCH(L$7,'Inputs (2)'!$D$2:$AL$2,0))</f>
        <v>2581.885</v>
      </c>
      <c r="M176" s="3">
        <f>L176</f>
        <v>2581.885</v>
      </c>
      <c r="N176" s="25">
        <f>INDEX('Inputs (2)'!$D$22:$AL$22,MATCH(N$7,'Inputs (2)'!$D$2:$AL$2,0))</f>
        <v>2857.882</v>
      </c>
      <c r="O176" s="25">
        <f>INDEX('Inputs (2)'!$D$22:$AL$22,MATCH(O$7,'Inputs (2)'!$D$2:$AL$2,0))</f>
        <v>2953.797</v>
      </c>
      <c r="P176" s="25">
        <f>INDEX('Inputs (2)'!$D$22:$AL$22,MATCH(P$7,'Inputs (2)'!$D$2:$AL$2,0))</f>
        <v>3018.884</v>
      </c>
      <c r="Q176" s="25">
        <f>INDEX('Inputs (2)'!$D$22:$AL$22,MATCH(Q$7,'Inputs (2)'!$D$2:$AL$2,0))</f>
        <v>2960.185</v>
      </c>
      <c r="R176" s="3">
        <f>Q176</f>
        <v>2960.185</v>
      </c>
      <c r="S176" s="25">
        <f>INDEX('Inputs (2)'!$D$22:$AL$22,MATCH(S$7,'Inputs (2)'!$D$2:$AL$2,0))</f>
        <v>3105.771</v>
      </c>
      <c r="T176" s="25">
        <f>INDEX('Inputs (2)'!$D$22:$AL$22,MATCH(T$7,'Inputs (2)'!$D$2:$AL$2,0))</f>
        <v>3276.785</v>
      </c>
      <c r="U176" s="25">
        <f>INDEX('Inputs (2)'!$D$22:$AL$22,MATCH(U$7,'Inputs (2)'!$D$2:$AL$2,0))</f>
        <v>3504.174</v>
      </c>
      <c r="V176" s="25">
        <f>INDEX('Inputs (2)'!$D$22:$AL$22,MATCH(V$7,'Inputs (2)'!$D$2:$AL$2,0))</f>
        <v>3730.515</v>
      </c>
      <c r="W176" s="3">
        <f>V176</f>
        <v>3730.515</v>
      </c>
      <c r="X176" s="25">
        <f>INDEX('Inputs (2)'!$D$22:$AL$22,MATCH(X$7,'Inputs (2)'!$D$2:$AL$2,0))</f>
        <v>3996.864</v>
      </c>
      <c r="Y176" s="25">
        <f>INDEX('Inputs (2)'!$D$22:$AL$22,MATCH(Y$7,'Inputs (2)'!$D$2:$AL$2,0))</f>
        <v>4215.529</v>
      </c>
      <c r="Z176" s="25">
        <f>INDEX('Inputs (2)'!$D$22:$AL$22,MATCH(Z$7,'Inputs (2)'!$D$2:$AL$2,0))</f>
        <v>4375.436</v>
      </c>
      <c r="AA176" s="25">
        <f>INDEX('Inputs (2)'!$D$22:$AL$22,MATCH(AA$7,'Inputs (2)'!$D$2:$AL$2,0))</f>
        <v>4382.427</v>
      </c>
      <c r="AB176" s="3">
        <f>AA176</f>
        <v>4382.427</v>
      </c>
      <c r="AC176" s="25">
        <f>INDEX('Inputs (2)'!$D$22:$AL$22,MATCH(AC$7,'Inputs (2)'!$D$2:$AL$2,0))</f>
        <v>4531.517</v>
      </c>
      <c r="AD176" s="25">
        <f>INDEX('Inputs (2)'!$D$22:$AL$22,MATCH(AD$7,'Inputs (2)'!$D$2:$AL$2,0))</f>
        <v>4792.495</v>
      </c>
      <c r="AE176" s="25">
        <f>INDEX('Inputs (2)'!$D$22:$AL$22,MATCH(AE$7,'Inputs (2)'!$D$2:$AL$2,0))</f>
        <v>5488.702</v>
      </c>
      <c r="AF176" s="25">
        <f>INDEX('Inputs (2)'!$D$22:$AL$22,MATCH(AF$7,'Inputs (2)'!$D$2:$AL$2,0))</f>
        <v>5747.597</v>
      </c>
      <c r="AG176" s="3">
        <f>AF176</f>
        <v>5747.597</v>
      </c>
      <c r="AH176" s="3">
        <f>INDEX('Inputs (2)'!$D$22:$AL$22,MATCH(AH$7,'Inputs (2)'!$D$2:$AL$2,0))</f>
        <v>5777.757</v>
      </c>
      <c r="AI176" s="3">
        <f>INDEX('Inputs (2)'!$D$22:$AL$22,MATCH(AI$7,'Inputs (2)'!$D$2:$AL$2,0))</f>
        <v>5706.318</v>
      </c>
      <c r="AJ176" s="3">
        <f>AJ181</f>
        <v>5706.318</v>
      </c>
      <c r="AK176" s="3">
        <f>AK181</f>
        <v>5706.318</v>
      </c>
      <c r="AL176" s="3">
        <f>AK176</f>
        <v>5706.318</v>
      </c>
      <c r="AM176" s="3">
        <f>AM181</f>
        <v>5706.318</v>
      </c>
      <c r="AN176" s="3">
        <f>AN181</f>
        <v>5706.318</v>
      </c>
      <c r="AO176" s="3">
        <f>AO181</f>
        <v>5706.318</v>
      </c>
      <c r="AP176" s="3">
        <f>AP181</f>
        <v>5706.318</v>
      </c>
      <c r="AQ176" s="3">
        <f>AP176</f>
        <v>5706.318</v>
      </c>
      <c r="AR176" s="3">
        <f>AR181</f>
        <v>5706.318</v>
      </c>
      <c r="AS176" s="3">
        <f>AS181</f>
        <v>5706.318</v>
      </c>
      <c r="AT176" s="3">
        <f>AT181</f>
        <v>5706.318</v>
      </c>
      <c r="AU176" s="3">
        <f>AU181</f>
        <v>5706.318</v>
      </c>
      <c r="AV176" s="3">
        <f>AU176</f>
        <v>5706.318</v>
      </c>
      <c r="AW176" s="3">
        <f>AW181</f>
        <v>5706.318</v>
      </c>
      <c r="AX176" s="3">
        <f>AX181</f>
        <v>5706.318</v>
      </c>
      <c r="AY176" s="3">
        <f>AY181</f>
        <v>5706.318</v>
      </c>
      <c r="AZ176" s="3">
        <f>AZ181</f>
        <v>5706.318</v>
      </c>
      <c r="BA176" s="3">
        <f>AZ176</f>
        <v>5706.318</v>
      </c>
      <c r="BB176" s="3">
        <f>BB181</f>
        <v>5706.318</v>
      </c>
      <c r="BC176" s="3">
        <f>BC181</f>
        <v>5706.318</v>
      </c>
      <c r="BD176" s="3">
        <f>BD181</f>
        <v>5706.318</v>
      </c>
      <c r="BE176" s="3">
        <f>BE181</f>
        <v>5706.318</v>
      </c>
      <c r="BF176" s="3">
        <f>BE176</f>
        <v>5706.318</v>
      </c>
      <c r="BG176" s="3">
        <f>BG181</f>
        <v>5706.318</v>
      </c>
      <c r="BH176" s="3">
        <f>BH181</f>
        <v>5706.318</v>
      </c>
      <c r="BI176" s="3">
        <f>BI181</f>
        <v>5706.318</v>
      </c>
      <c r="BJ176" s="3">
        <f>BJ181</f>
        <v>5706.318</v>
      </c>
      <c r="BK176" s="3">
        <f>BJ176</f>
        <v>5706.318</v>
      </c>
      <c r="BL176" s="3">
        <f>BL181</f>
        <v>5706.318</v>
      </c>
      <c r="BM176" s="3">
        <f>BM181</f>
        <v>5706.318</v>
      </c>
      <c r="BN176" s="3">
        <f>BN181</f>
        <v>5706.318</v>
      </c>
      <c r="BO176" s="3">
        <f>BO181</f>
        <v>5706.318</v>
      </c>
      <c r="BP176" s="3">
        <f>BO176</f>
        <v>5706.318</v>
      </c>
      <c r="BQ176" s="3">
        <f>BQ181</f>
        <v>5706.318</v>
      </c>
      <c r="BR176" s="3">
        <f>BR181</f>
        <v>5706.318</v>
      </c>
      <c r="BS176" s="3">
        <f>BS181</f>
        <v>5706.318</v>
      </c>
      <c r="BT176" s="3">
        <f>BT181</f>
        <v>5706.318</v>
      </c>
      <c r="BU176" s="3">
        <f>BT176</f>
        <v>5706.318</v>
      </c>
      <c r="BV176" s="3">
        <f>BV181</f>
        <v>5706.318</v>
      </c>
      <c r="BW176" s="3">
        <f>BW181</f>
        <v>5706.318</v>
      </c>
      <c r="BX176" s="3">
        <f>BX181</f>
        <v>5706.318</v>
      </c>
      <c r="BY176" s="3">
        <f>BY181</f>
        <v>5706.318</v>
      </c>
      <c r="BZ176" s="3">
        <f>BY176</f>
        <v>5706.318</v>
      </c>
      <c r="CA176" s="3">
        <f>CA181</f>
        <v>5706.318</v>
      </c>
      <c r="CB176" s="3">
        <f>CB181</f>
        <v>5706.318</v>
      </c>
      <c r="CC176" s="3">
        <f>CC181</f>
        <v>5706.318</v>
      </c>
      <c r="CD176" s="3">
        <f>CD181</f>
        <v>5706.318</v>
      </c>
      <c r="CE176" s="3">
        <f>CD176</f>
        <v>5706.318</v>
      </c>
      <c r="CF176" s="3">
        <f>CF181</f>
        <v>5706.318</v>
      </c>
      <c r="CG176" s="3">
        <f>CG181</f>
        <v>5706.318</v>
      </c>
      <c r="CH176" s="3">
        <f>CH181</f>
        <v>5706.318</v>
      </c>
      <c r="CI176" s="3">
        <f>CI181</f>
        <v>5706.318</v>
      </c>
      <c r="CJ176" s="3">
        <f>CI176</f>
        <v>5706.318</v>
      </c>
      <c r="CK176" s="3">
        <f>CK181</f>
        <v>5706.318</v>
      </c>
      <c r="CL176" s="3">
        <f>CL181</f>
        <v>5706.318</v>
      </c>
      <c r="CM176" s="3">
        <f>CM181</f>
        <v>5706.318</v>
      </c>
      <c r="CN176" s="3">
        <f>CN181</f>
        <v>5706.318</v>
      </c>
      <c r="CO176" s="3">
        <f>CN176</f>
        <v>5706.318</v>
      </c>
      <c r="CP176" s="3">
        <f>CP181</f>
        <v>5706.318</v>
      </c>
      <c r="CQ176" s="3">
        <f>CQ181</f>
        <v>5706.318</v>
      </c>
      <c r="CR176" s="3">
        <f>CR181</f>
        <v>5706.318</v>
      </c>
      <c r="CS176" s="3">
        <f>CS181</f>
        <v>5706.318</v>
      </c>
      <c r="CT176" s="3">
        <f>CS176</f>
        <v>5706.318</v>
      </c>
      <c r="CU176" s="3">
        <f>CU181</f>
        <v>5706.318</v>
      </c>
      <c r="CV176" s="3">
        <f>CV181</f>
        <v>5706.318</v>
      </c>
      <c r="CW176" s="3">
        <f>CW181</f>
        <v>5706.318</v>
      </c>
      <c r="CX176" s="3">
        <f>CX181</f>
        <v>5706.318</v>
      </c>
      <c r="CY176" s="3">
        <f>CX176</f>
        <v>5706.318</v>
      </c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34" t="inlineStr">
        <is>
          <t>Capital expenditures</t>
        </is>
      </c>
      <c r="D178" s="3" t="n"/>
      <c r="E178" s="3" t="e">
        <f>E176-D176-E80</f>
        <v>#N/A</v>
      </c>
      <c r="F178" s="3">
        <f>F176-E176-F80</f>
        <v>193.26681244</v>
      </c>
      <c r="G178" s="3">
        <f>G176-F176-G80</f>
        <v>269.75506304</v>
      </c>
      <c r="H178" s="3" t="n"/>
      <c r="I178" s="3">
        <f>I176-H176-I80</f>
        <v>307.28565552</v>
      </c>
      <c r="J178" s="3">
        <f>J176-I176-J80</f>
        <v>282.58813071</v>
      </c>
      <c r="K178" s="3">
        <f>K176-J176-K80</f>
        <v>269.93633829</v>
      </c>
      <c r="L178" s="3">
        <f>L176-K176-L80</f>
        <v>641.073</v>
      </c>
      <c r="M178" s="3" t="n"/>
      <c r="N178" s="3">
        <f>N176-M176-N80</f>
        <v>348.192</v>
      </c>
      <c r="O178" s="3">
        <f>O176-N176-O80</f>
        <v>179.645</v>
      </c>
      <c r="P178" s="3">
        <f>P176-O176-P80</f>
        <v>149.307</v>
      </c>
      <c r="Q178" s="3">
        <f>Q176-P176-Q80</f>
        <v>30.3229999999999</v>
      </c>
      <c r="R178" s="3" t="n"/>
      <c r="S178" s="3">
        <f>S176-R176-S80</f>
        <v>243.587</v>
      </c>
      <c r="T178" s="3">
        <f>T176-S176-T80</f>
        <v>263.159</v>
      </c>
      <c r="U178" s="3">
        <f>U176-T176-U80</f>
        <v>325.917</v>
      </c>
      <c r="V178" s="3">
        <f>V176-U176-V80</f>
        <v>291.059</v>
      </c>
      <c r="W178" s="3" t="n"/>
      <c r="X178" s="3">
        <f>X176-W176-X80</f>
        <v>370.92</v>
      </c>
      <c r="Y178" s="3">
        <f>Y176-X176-Y80</f>
        <v>303.974</v>
      </c>
      <c r="Z178" s="3">
        <f>Z176-Y176-Z80</f>
        <v>255.400999999999</v>
      </c>
      <c r="AA178" s="3">
        <f>AA176-Z176-AA80</f>
        <v>98.363</v>
      </c>
      <c r="AB178" s="3" t="n"/>
      <c r="AC178" s="3">
        <f>AC176-AB176-AC80</f>
        <v>254.384</v>
      </c>
      <c r="AD178" s="3">
        <f>AD176-AC176-AD80</f>
        <v>374.071</v>
      </c>
      <c r="AE178" s="3">
        <f>AE176-AD176-AE80</f>
        <v>858.372</v>
      </c>
      <c r="AF178" s="6">
        <f>AF176-AE176-AF80</f>
        <v>417.939</v>
      </c>
      <c r="AG178" s="3">
        <f>SUM(AC178:AF178)</f>
        <v>1904.766</v>
      </c>
      <c r="AH178" s="6">
        <f>AH176-AG176-AH80</f>
        <v>188.610000000001</v>
      </c>
      <c r="AI178" s="6">
        <f>AI176-AH176-AI80</f>
        <v>106.251</v>
      </c>
      <c r="AJ178" s="6" t="n"/>
      <c r="AK178" s="6" t="n"/>
      <c r="AL178" s="3" t="n"/>
      <c r="AM178" s="6" t="n"/>
      <c r="AN178" s="6" t="n"/>
      <c r="AO178" s="6" t="n"/>
      <c r="AP178" s="6" t="n"/>
      <c r="AQ178" s="3" t="n"/>
      <c r="AR178" s="6" t="n"/>
      <c r="AS178" s="6" t="n"/>
      <c r="AT178" s="6" t="n"/>
      <c r="AU178" s="6" t="n"/>
      <c r="AV178" s="3" t="n"/>
      <c r="AW178" s="6" t="n"/>
      <c r="AX178" s="6" t="n"/>
      <c r="AY178" s="6" t="n"/>
      <c r="AZ178" s="6" t="n"/>
      <c r="BA178" s="3" t="n"/>
      <c r="BB178" s="6" t="n"/>
      <c r="BC178" s="6" t="n"/>
      <c r="BD178" s="6" t="n"/>
      <c r="BE178" s="6" t="n"/>
      <c r="BF178" s="3" t="n"/>
      <c r="BG178" s="6" t="n"/>
      <c r="BH178" s="6" t="n"/>
      <c r="BI178" s="6" t="n"/>
      <c r="BJ178" s="6" t="n"/>
      <c r="BK178" s="3" t="n"/>
      <c r="BL178" s="6" t="n"/>
      <c r="BM178" s="6" t="n"/>
      <c r="BN178" s="6" t="n"/>
      <c r="BO178" s="6" t="n"/>
      <c r="BP178" s="3" t="n"/>
      <c r="BQ178" s="6" t="n"/>
      <c r="BR178" s="6" t="n"/>
      <c r="BS178" s="6" t="n"/>
      <c r="BT178" s="6" t="n"/>
      <c r="BU178" s="3" t="n"/>
      <c r="BV178" s="6" t="n"/>
      <c r="BW178" s="6" t="n"/>
      <c r="BX178" s="6" t="n"/>
      <c r="BY178" s="6" t="n"/>
      <c r="BZ178" s="3" t="n"/>
      <c r="CA178" s="6" t="n"/>
      <c r="CB178" s="6" t="n"/>
      <c r="CC178" s="6" t="n"/>
      <c r="CD178" s="6" t="n"/>
      <c r="CE178" s="3" t="n"/>
      <c r="CF178" s="6" t="n"/>
      <c r="CG178" s="6" t="n"/>
      <c r="CH178" s="6" t="n"/>
      <c r="CI178" s="6" t="n"/>
      <c r="CJ178" s="3" t="n"/>
      <c r="CK178" s="6" t="n"/>
      <c r="CL178" s="6" t="n"/>
      <c r="CM178" s="6" t="n"/>
      <c r="CN178" s="6" t="n"/>
      <c r="CO178" s="3" t="n"/>
      <c r="CP178" s="6" t="n"/>
      <c r="CQ178" s="6" t="n"/>
      <c r="CR178" s="6" t="n"/>
      <c r="CS178" s="6" t="n"/>
      <c r="CT178" s="3" t="n"/>
      <c r="CU178" s="6" t="n"/>
      <c r="CV178" s="6" t="n"/>
      <c r="CW178" s="6" t="n"/>
      <c r="CX178" s="6" t="n"/>
      <c r="CY178" s="3" t="n"/>
    </row>
    <row r="179" hidden="1" outlineLevel="1">
      <c r="C179" s="34" t="inlineStr">
        <is>
          <t>Recurring asset sales (enter as -)</t>
        </is>
      </c>
      <c r="D179" s="3" t="n"/>
      <c r="E179" s="3" t="n"/>
      <c r="F179" s="3" t="n"/>
      <c r="G179" s="3" t="n"/>
      <c r="H179" s="3">
        <f>SUM(D179:G179)</f>
        <v>0</v>
      </c>
      <c r="I179" s="3" t="n"/>
      <c r="J179" s="3" t="n"/>
      <c r="K179" s="3" t="n"/>
      <c r="L179" s="3" t="n"/>
      <c r="M179" s="3">
        <f>SUM(I179:L179)</f>
        <v>0</v>
      </c>
      <c r="N179" s="3" t="n"/>
      <c r="O179" s="3" t="n"/>
      <c r="P179" s="3" t="n"/>
      <c r="Q179" s="3" t="n"/>
      <c r="R179" s="3">
        <f>SUM(N179:Q179)</f>
        <v>0</v>
      </c>
      <c r="S179" s="3" t="n"/>
      <c r="T179" s="3" t="n"/>
      <c r="U179" s="3" t="n"/>
      <c r="V179" s="3" t="n"/>
      <c r="W179" s="3">
        <f>SUM(S179:V179)</f>
        <v>0</v>
      </c>
      <c r="X179" s="3" t="n"/>
      <c r="Y179" s="3" t="n"/>
      <c r="Z179" s="3" t="n"/>
      <c r="AA179" s="3" t="n"/>
      <c r="AB179" s="3">
        <f>SUM(X179:AA179)</f>
        <v>0</v>
      </c>
      <c r="AC179" s="3" t="n"/>
      <c r="AD179" s="3" t="n"/>
      <c r="AE179" s="3" t="n"/>
      <c r="AF179" s="6" t="n"/>
      <c r="AG179" s="3" t="n"/>
      <c r="AH179" s="6" t="n"/>
      <c r="AI179" s="6" t="n"/>
      <c r="AJ179" s="6" t="n"/>
      <c r="AK179" s="6" t="n"/>
      <c r="AL179" s="3" t="n"/>
      <c r="AM179" s="6" t="n"/>
      <c r="AN179" s="6" t="n"/>
      <c r="AO179" s="6" t="n"/>
      <c r="AP179" s="6" t="n"/>
      <c r="AQ179" s="3" t="n"/>
      <c r="AR179" s="6" t="n"/>
      <c r="AS179" s="6" t="n"/>
      <c r="AT179" s="6" t="n"/>
      <c r="AU179" s="6" t="n"/>
      <c r="AV179" s="3" t="n"/>
      <c r="AW179" s="6" t="n"/>
      <c r="AX179" s="6" t="n"/>
      <c r="AY179" s="6" t="n"/>
      <c r="AZ179" s="6" t="n"/>
      <c r="BA179" s="3" t="n"/>
      <c r="BB179" s="6" t="n"/>
      <c r="BC179" s="6" t="n"/>
      <c r="BD179" s="6" t="n"/>
      <c r="BE179" s="6" t="n"/>
      <c r="BF179" s="3" t="n"/>
      <c r="BG179" s="6" t="n"/>
      <c r="BH179" s="6" t="n"/>
      <c r="BI179" s="6" t="n"/>
      <c r="BJ179" s="6" t="n"/>
      <c r="BK179" s="3" t="n"/>
      <c r="BL179" s="6" t="n"/>
      <c r="BM179" s="6" t="n"/>
      <c r="BN179" s="6" t="n"/>
      <c r="BO179" s="6" t="n"/>
      <c r="BP179" s="3" t="n"/>
      <c r="BQ179" s="6" t="n"/>
      <c r="BR179" s="6" t="n"/>
      <c r="BS179" s="6" t="n"/>
      <c r="BT179" s="6" t="n"/>
      <c r="BU179" s="3" t="n"/>
      <c r="BV179" s="6" t="n"/>
      <c r="BW179" s="6" t="n"/>
      <c r="BX179" s="6" t="n"/>
      <c r="BY179" s="6" t="n"/>
      <c r="BZ179" s="3" t="n"/>
      <c r="CA179" s="6" t="n"/>
      <c r="CB179" s="6" t="n"/>
      <c r="CC179" s="6" t="n"/>
      <c r="CD179" s="6" t="n"/>
      <c r="CE179" s="3" t="n"/>
      <c r="CF179" s="6" t="n"/>
      <c r="CG179" s="6" t="n"/>
      <c r="CH179" s="6" t="n"/>
      <c r="CI179" s="6" t="n"/>
      <c r="CJ179" s="3" t="n"/>
      <c r="CK179" s="6" t="n"/>
      <c r="CL179" s="6" t="n"/>
      <c r="CM179" s="6" t="n"/>
      <c r="CN179" s="6" t="n"/>
      <c r="CO179" s="3" t="n"/>
      <c r="CP179" s="6" t="n"/>
      <c r="CQ179" s="6" t="n"/>
      <c r="CR179" s="6" t="n"/>
      <c r="CS179" s="6" t="n"/>
      <c r="CT179" s="3" t="n"/>
      <c r="CU179" s="6" t="n"/>
      <c r="CV179" s="6" t="n"/>
      <c r="CW179" s="6" t="n"/>
      <c r="CX179" s="6" t="n"/>
      <c r="CY179" s="3" t="n"/>
    </row>
    <row r="180" hidden="1" outlineLevel="1">
      <c r="C180" s="34" t="inlineStr">
        <is>
          <t>Depreciation</t>
        </is>
      </c>
      <c r="D180" s="3">
        <f>D80</f>
        <v>-39.563</v>
      </c>
      <c r="E180" s="3">
        <f>E80</f>
        <v>-53.788</v>
      </c>
      <c r="F180" s="3">
        <f>F80</f>
        <v>-42.927</v>
      </c>
      <c r="G180" s="3">
        <f>G80</f>
        <v>-43.686</v>
      </c>
      <c r="H180" s="3" t="n"/>
      <c r="I180" s="3">
        <f>I80</f>
        <v>-57.729</v>
      </c>
      <c r="J180" s="3">
        <f>J80</f>
        <v>-63.733</v>
      </c>
      <c r="K180" s="3">
        <f>K80</f>
        <v>-71.918</v>
      </c>
      <c r="L180" s="3">
        <f>L80</f>
        <v>-67.065</v>
      </c>
      <c r="M180" s="3" t="n"/>
      <c r="N180" s="3">
        <f>N80</f>
        <v>-72.195</v>
      </c>
      <c r="O180" s="3">
        <f>O80</f>
        <v>-83.73</v>
      </c>
      <c r="P180" s="3">
        <f>P80</f>
        <v>-84.22</v>
      </c>
      <c r="Q180" s="3">
        <f>Q80</f>
        <v>-89.022</v>
      </c>
      <c r="R180" s="3" t="n"/>
      <c r="S180" s="3">
        <f>S80</f>
        <v>-98.001</v>
      </c>
      <c r="T180" s="3">
        <f>T80</f>
        <v>-92.145</v>
      </c>
      <c r="U180" s="3">
        <f>U80</f>
        <v>-98.528</v>
      </c>
      <c r="V180" s="3">
        <f>V80</f>
        <v>-64.718</v>
      </c>
      <c r="W180" s="3" t="n"/>
      <c r="X180" s="3">
        <f>X80</f>
        <v>-104.571</v>
      </c>
      <c r="Y180" s="3">
        <f>Y80</f>
        <v>-85.309</v>
      </c>
      <c r="Z180" s="3">
        <f>Z80</f>
        <v>-95.494</v>
      </c>
      <c r="AA180" s="3">
        <f>AA80</f>
        <v>-91.372</v>
      </c>
      <c r="AB180" s="3" t="n"/>
      <c r="AC180" s="3">
        <f>AC80</f>
        <v>-105.294</v>
      </c>
      <c r="AD180" s="3">
        <f>AD80</f>
        <v>-113.093</v>
      </c>
      <c r="AE180" s="3">
        <f>AE80</f>
        <v>-162.165</v>
      </c>
      <c r="AF180" s="3">
        <f>AF80</f>
        <v>-159.044</v>
      </c>
      <c r="AG180" s="3" t="n"/>
      <c r="AH180" s="3">
        <f>AH80</f>
        <v>-158.45</v>
      </c>
      <c r="AI180" s="3">
        <f>AI80</f>
        <v>-177.69</v>
      </c>
      <c r="AJ180" s="3">
        <f>AJ80</f>
        <v>0</v>
      </c>
      <c r="AK180" s="3">
        <f>AK80</f>
        <v>0</v>
      </c>
      <c r="AL180" s="3" t="n"/>
      <c r="AM180" s="3">
        <f>AM80</f>
        <v>0</v>
      </c>
      <c r="AN180" s="3">
        <f>AN80</f>
        <v>0</v>
      </c>
      <c r="AO180" s="3">
        <f>AO80</f>
        <v>0</v>
      </c>
      <c r="AP180" s="3">
        <f>AP80</f>
        <v>0</v>
      </c>
      <c r="AQ180" s="3" t="n"/>
      <c r="AR180" s="3">
        <f>AR80</f>
        <v>0</v>
      </c>
      <c r="AS180" s="3">
        <f>AS80</f>
        <v>0</v>
      </c>
      <c r="AT180" s="3">
        <f>AT80</f>
        <v>0</v>
      </c>
      <c r="AU180" s="3">
        <f>AU80</f>
        <v>0</v>
      </c>
      <c r="AV180" s="3" t="n"/>
      <c r="AW180" s="3">
        <f>AW80</f>
        <v>0</v>
      </c>
      <c r="AX180" s="3">
        <f>AX80</f>
        <v>0</v>
      </c>
      <c r="AY180" s="3">
        <f>AY80</f>
        <v>0</v>
      </c>
      <c r="AZ180" s="3">
        <f>AZ80</f>
        <v>0</v>
      </c>
      <c r="BA180" s="3" t="n"/>
      <c r="BB180" s="3">
        <f>BB80</f>
        <v>0</v>
      </c>
      <c r="BC180" s="3">
        <f>BC80</f>
        <v>0</v>
      </c>
      <c r="BD180" s="3">
        <f>BD80</f>
        <v>0</v>
      </c>
      <c r="BE180" s="3">
        <f>BE80</f>
        <v>0</v>
      </c>
      <c r="BF180" s="3" t="n"/>
      <c r="BG180" s="3">
        <f>BG80</f>
        <v>0</v>
      </c>
      <c r="BH180" s="3">
        <f>BH80</f>
        <v>0</v>
      </c>
      <c r="BI180" s="3">
        <f>BI80</f>
        <v>0</v>
      </c>
      <c r="BJ180" s="3">
        <f>BJ80</f>
        <v>0</v>
      </c>
      <c r="BK180" s="3" t="n"/>
      <c r="BL180" s="3">
        <f>BL80</f>
        <v>0</v>
      </c>
      <c r="BM180" s="3">
        <f>BM80</f>
        <v>0</v>
      </c>
      <c r="BN180" s="3">
        <f>BN80</f>
        <v>0</v>
      </c>
      <c r="BO180" s="3">
        <f>BO80</f>
        <v>0</v>
      </c>
      <c r="BP180" s="3" t="n"/>
      <c r="BQ180" s="3">
        <f>BQ80</f>
        <v>0</v>
      </c>
      <c r="BR180" s="3">
        <f>BR80</f>
        <v>0</v>
      </c>
      <c r="BS180" s="3">
        <f>BS80</f>
        <v>0</v>
      </c>
      <c r="BT180" s="3">
        <f>BT80</f>
        <v>0</v>
      </c>
      <c r="BU180" s="3" t="n"/>
      <c r="BV180" s="3">
        <f>BV80</f>
        <v>0</v>
      </c>
      <c r="BW180" s="3">
        <f>BW80</f>
        <v>0</v>
      </c>
      <c r="BX180" s="3">
        <f>BX80</f>
        <v>0</v>
      </c>
      <c r="BY180" s="3">
        <f>BY80</f>
        <v>0</v>
      </c>
      <c r="BZ180" s="3" t="n"/>
      <c r="CA180" s="3">
        <f>CA80</f>
        <v>0</v>
      </c>
      <c r="CB180" s="3">
        <f>CB80</f>
        <v>0</v>
      </c>
      <c r="CC180" s="3">
        <f>CC80</f>
        <v>0</v>
      </c>
      <c r="CD180" s="3">
        <f>CD80</f>
        <v>0</v>
      </c>
      <c r="CE180" s="3" t="n"/>
      <c r="CF180" s="3">
        <f>CF80</f>
        <v>0</v>
      </c>
      <c r="CG180" s="3">
        <f>CG80</f>
        <v>0</v>
      </c>
      <c r="CH180" s="3">
        <f>CH80</f>
        <v>0</v>
      </c>
      <c r="CI180" s="3">
        <f>CI80</f>
        <v>0</v>
      </c>
      <c r="CJ180" s="3" t="n"/>
      <c r="CK180" s="3">
        <f>CK80</f>
        <v>0</v>
      </c>
      <c r="CL180" s="3">
        <f>CL80</f>
        <v>0</v>
      </c>
      <c r="CM180" s="3">
        <f>CM80</f>
        <v>0</v>
      </c>
      <c r="CN180" s="3">
        <f>CN80</f>
        <v>0</v>
      </c>
      <c r="CO180" s="3" t="n"/>
      <c r="CP180" s="3">
        <f>CP80</f>
        <v>0</v>
      </c>
      <c r="CQ180" s="3">
        <f>CQ80</f>
        <v>0</v>
      </c>
      <c r="CR180" s="3">
        <f>CR80</f>
        <v>0</v>
      </c>
      <c r="CS180" s="3">
        <f>CS80</f>
        <v>0</v>
      </c>
      <c r="CT180" s="3" t="n"/>
      <c r="CU180" s="3">
        <f>CU80</f>
        <v>0</v>
      </c>
      <c r="CV180" s="3">
        <f>CV80</f>
        <v>0</v>
      </c>
      <c r="CW180" s="3">
        <f>CW80</f>
        <v>0</v>
      </c>
      <c r="CX180" s="3">
        <f>CX80</f>
        <v>0</v>
      </c>
      <c r="CY180" s="3" t="n"/>
    </row>
    <row r="181" hidden="1" outlineLevel="1">
      <c r="C181" s="34" t="inlineStr">
        <is>
          <t>PP&amp;E</t>
        </is>
      </c>
      <c r="D181" s="3" t="e">
        <f>D176</f>
        <v>#N/A</v>
      </c>
      <c r="E181" s="3">
        <f>E176</f>
        <v>965.038</v>
      </c>
      <c r="F181" s="3">
        <f>F176</f>
        <v>1115.37781244</v>
      </c>
      <c r="G181" s="3">
        <f>G176</f>
        <v>1341.44687548</v>
      </c>
      <c r="H181" s="3" t="n"/>
      <c r="I181" s="3">
        <f>I176</f>
        <v>1591.003531</v>
      </c>
      <c r="J181" s="3">
        <f>J176</f>
        <v>1809.85866171</v>
      </c>
      <c r="K181" s="3">
        <f>K176</f>
        <v>2007.877</v>
      </c>
      <c r="L181" s="3">
        <f>L176</f>
        <v>2581.885</v>
      </c>
      <c r="M181" s="3" t="n"/>
      <c r="N181" s="3">
        <f>N176</f>
        <v>2857.882</v>
      </c>
      <c r="O181" s="3">
        <f>O176</f>
        <v>2953.797</v>
      </c>
      <c r="P181" s="3">
        <f>P176</f>
        <v>3018.884</v>
      </c>
      <c r="Q181" s="3">
        <f>Q176</f>
        <v>2960.185</v>
      </c>
      <c r="R181" s="3" t="n"/>
      <c r="S181" s="3">
        <f>S176</f>
        <v>3105.771</v>
      </c>
      <c r="T181" s="3">
        <f>T176</f>
        <v>3276.785</v>
      </c>
      <c r="U181" s="3">
        <f>U176</f>
        <v>3504.174</v>
      </c>
      <c r="V181" s="3">
        <f>V176</f>
        <v>3730.515</v>
      </c>
      <c r="W181" s="3" t="n"/>
      <c r="X181" s="3">
        <f>X176</f>
        <v>3996.864</v>
      </c>
      <c r="Y181" s="3">
        <f>Y176</f>
        <v>4215.529</v>
      </c>
      <c r="Z181" s="3">
        <f>Z176</f>
        <v>4375.436</v>
      </c>
      <c r="AA181" s="3">
        <f>Y181+SUM(AA178:AA180)</f>
        <v>4222.52</v>
      </c>
      <c r="AB181" s="3" t="n"/>
      <c r="AC181" s="3">
        <f>AC176</f>
        <v>4531.517</v>
      </c>
      <c r="AD181" s="3">
        <f>AD176</f>
        <v>4792.495</v>
      </c>
      <c r="AE181" s="3">
        <f>AE176</f>
        <v>5488.702</v>
      </c>
      <c r="AF181" s="3">
        <f>AE181+SUM(AF178:AF180)</f>
        <v>5747.597</v>
      </c>
      <c r="AG181" s="3" t="n"/>
      <c r="AH181" s="3">
        <f>AH176</f>
        <v>5777.757</v>
      </c>
      <c r="AI181" s="3">
        <f>AI176</f>
        <v>5706.318</v>
      </c>
      <c r="AJ181" s="3">
        <f>AI181+SUM(AJ178:AJ180)</f>
        <v>5706.318</v>
      </c>
      <c r="AK181" s="3">
        <f>AJ181+SUM(AK178:AK180)</f>
        <v>5706.318</v>
      </c>
      <c r="AL181" s="3" t="n"/>
      <c r="AM181" s="3">
        <f>AK181+SUM(AM178:AM180)</f>
        <v>5706.318</v>
      </c>
      <c r="AN181" s="3">
        <f>AM181+SUM(AN178:AN180)</f>
        <v>5706.318</v>
      </c>
      <c r="AO181" s="3">
        <f>AN181+SUM(AO178:AO180)</f>
        <v>5706.318</v>
      </c>
      <c r="AP181" s="3">
        <f>AO181+SUM(AP178:AP180)</f>
        <v>5706.318</v>
      </c>
      <c r="AQ181" s="3" t="n"/>
      <c r="AR181" s="3">
        <f>AP181+SUM(AR178:AR180)</f>
        <v>5706.318</v>
      </c>
      <c r="AS181" s="3">
        <f>AR181+SUM(AS178:AS180)</f>
        <v>5706.318</v>
      </c>
      <c r="AT181" s="3">
        <f>AS181+SUM(AT178:AT180)</f>
        <v>5706.318</v>
      </c>
      <c r="AU181" s="3">
        <f>AT181+SUM(AU178:AU180)</f>
        <v>5706.318</v>
      </c>
      <c r="AV181" s="3" t="n"/>
      <c r="AW181" s="3">
        <f>AU181+SUM(AW178:AW180)</f>
        <v>5706.318</v>
      </c>
      <c r="AX181" s="3">
        <f>AW181+SUM(AX178:AX180)</f>
        <v>5706.318</v>
      </c>
      <c r="AY181" s="3">
        <f>AX181+SUM(AY178:AY180)</f>
        <v>5706.318</v>
      </c>
      <c r="AZ181" s="3">
        <f>AY181+SUM(AZ178:AZ180)</f>
        <v>5706.318</v>
      </c>
      <c r="BA181" s="3" t="n"/>
      <c r="BB181" s="3">
        <f>AZ181+SUM(BB178:BB180)</f>
        <v>5706.318</v>
      </c>
      <c r="BC181" s="3">
        <f>BB181+SUM(BC178:BC180)</f>
        <v>5706.318</v>
      </c>
      <c r="BD181" s="3">
        <f>BC181+SUM(BD178:BD180)</f>
        <v>5706.318</v>
      </c>
      <c r="BE181" s="3">
        <f>BD181+SUM(BE178:BE180)</f>
        <v>5706.318</v>
      </c>
      <c r="BF181" s="3" t="n"/>
      <c r="BG181" s="3">
        <f>BE181+SUM(BG178:BG180)</f>
        <v>5706.318</v>
      </c>
      <c r="BH181" s="3">
        <f>BG181+SUM(BH178:BH180)</f>
        <v>5706.318</v>
      </c>
      <c r="BI181" s="3">
        <f>BH181+SUM(BI178:BI180)</f>
        <v>5706.318</v>
      </c>
      <c r="BJ181" s="3">
        <f>BI181+SUM(BJ178:BJ180)</f>
        <v>5706.318</v>
      </c>
      <c r="BK181" s="3" t="n"/>
      <c r="BL181" s="3">
        <f>BJ181+SUM(BL178:BL180)</f>
        <v>5706.318</v>
      </c>
      <c r="BM181" s="3">
        <f>BL181+SUM(BM178:BM180)</f>
        <v>5706.318</v>
      </c>
      <c r="BN181" s="3">
        <f>BM181+SUM(BN178:BN180)</f>
        <v>5706.318</v>
      </c>
      <c r="BO181" s="3">
        <f>BN181+SUM(BO178:BO180)</f>
        <v>5706.318</v>
      </c>
      <c r="BP181" s="3" t="n"/>
      <c r="BQ181" s="3">
        <f>BO181+SUM(BQ178:BQ180)</f>
        <v>5706.318</v>
      </c>
      <c r="BR181" s="3">
        <f>BQ181+SUM(BR178:BR180)</f>
        <v>5706.318</v>
      </c>
      <c r="BS181" s="3">
        <f>BR181+SUM(BS178:BS180)</f>
        <v>5706.318</v>
      </c>
      <c r="BT181" s="3">
        <f>BS181+SUM(BT178:BT180)</f>
        <v>5706.318</v>
      </c>
      <c r="BU181" s="3" t="n"/>
      <c r="BV181" s="3">
        <f>BT181+SUM(BV178:BV180)</f>
        <v>5706.318</v>
      </c>
      <c r="BW181" s="3">
        <f>BV181+SUM(BW178:BW180)</f>
        <v>5706.318</v>
      </c>
      <c r="BX181" s="3">
        <f>BW181+SUM(BX178:BX180)</f>
        <v>5706.318</v>
      </c>
      <c r="BY181" s="3">
        <f>BX181+SUM(BY178:BY180)</f>
        <v>5706.318</v>
      </c>
      <c r="BZ181" s="3" t="n"/>
      <c r="CA181" s="3">
        <f>BY181+SUM(CA178:CA180)</f>
        <v>5706.318</v>
      </c>
      <c r="CB181" s="3">
        <f>CA181+SUM(CB178:CB180)</f>
        <v>5706.318</v>
      </c>
      <c r="CC181" s="3">
        <f>CB181+SUM(CC178:CC180)</f>
        <v>5706.318</v>
      </c>
      <c r="CD181" s="3">
        <f>CC181+SUM(CD178:CD180)</f>
        <v>5706.318</v>
      </c>
      <c r="CE181" s="3" t="n"/>
      <c r="CF181" s="3">
        <f>CD181+SUM(CF178:CF180)</f>
        <v>5706.318</v>
      </c>
      <c r="CG181" s="3">
        <f>CF181+SUM(CG178:CG180)</f>
        <v>5706.318</v>
      </c>
      <c r="CH181" s="3">
        <f>CG181+SUM(CH178:CH180)</f>
        <v>5706.318</v>
      </c>
      <c r="CI181" s="3">
        <f>CH181+SUM(CI178:CI180)</f>
        <v>5706.318</v>
      </c>
      <c r="CJ181" s="3" t="n"/>
      <c r="CK181" s="3">
        <f>CI181+SUM(CK178:CK180)</f>
        <v>5706.318</v>
      </c>
      <c r="CL181" s="3">
        <f>CK181+SUM(CL178:CL180)</f>
        <v>5706.318</v>
      </c>
      <c r="CM181" s="3">
        <f>CL181+SUM(CM178:CM180)</f>
        <v>5706.318</v>
      </c>
      <c r="CN181" s="3">
        <f>CM181+SUM(CN178:CN180)</f>
        <v>5706.318</v>
      </c>
      <c r="CO181" s="3" t="n"/>
      <c r="CP181" s="3">
        <f>CN181+SUM(CP178:CP180)</f>
        <v>5706.318</v>
      </c>
      <c r="CQ181" s="3">
        <f>CP181+SUM(CQ178:CQ180)</f>
        <v>5706.318</v>
      </c>
      <c r="CR181" s="3">
        <f>CQ181+SUM(CR178:CR180)</f>
        <v>5706.318</v>
      </c>
      <c r="CS181" s="3">
        <f>CR181+SUM(CS178:CS180)</f>
        <v>5706.318</v>
      </c>
      <c r="CT181" s="3" t="n"/>
      <c r="CU181" s="3">
        <f>CS181+SUM(CU178:CU180)</f>
        <v>5706.318</v>
      </c>
      <c r="CV181" s="3">
        <f>CU181+SUM(CV178:CV180)</f>
        <v>5706.318</v>
      </c>
      <c r="CW181" s="3">
        <f>CV181+SUM(CW178:CW180)</f>
        <v>5706.318</v>
      </c>
      <c r="CX181" s="3">
        <f>CW181+SUM(CX178:CX180)</f>
        <v>5706.318</v>
      </c>
      <c r="CY181" s="3" t="n"/>
      <c r="CZ181">
        <f>CX181+SUM(CZ178:CZ180)</f>
        <v>5706.318</v>
      </c>
      <c r="DA181">
        <f>CZ181+SUM(DA178:DA180)</f>
        <v>5706.318</v>
      </c>
      <c r="DB181">
        <f>DA181+SUM(DB178:DB180)</f>
        <v>5706.318</v>
      </c>
      <c r="DC181">
        <f>DB181+SUM(DC178:DC180)</f>
        <v>5706.318</v>
      </c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hidden="1" outlineLevel="1">
      <c r="C183" s="34" t="inlineStr">
        <is>
          <t>Capital expenditures (% Net Revenues)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40">
        <f>AF178/AF15</f>
        <v>0.0396153615934975</v>
      </c>
      <c r="AG183" s="40">
        <f>AG178/AG15</f>
        <v>0.049571779843953</v>
      </c>
      <c r="AH183" s="40">
        <f>AH178/AH15</f>
        <v>0.0200600493285133</v>
      </c>
      <c r="AI183" s="40">
        <f>AI178/AI15</f>
        <v>0.010784209143279</v>
      </c>
      <c r="AJ183" s="40">
        <f>AJ178/AJ15</f>
        <v>0</v>
      </c>
      <c r="AK183" s="40">
        <f>AK178/AK15</f>
        <v>0</v>
      </c>
      <c r="AL183" s="40">
        <f>AL178/AL15</f>
        <v>0</v>
      </c>
      <c r="AM183" s="40">
        <f>AM178/AM15</f>
        <v>0</v>
      </c>
      <c r="AN183" s="40">
        <f>AN178/AN15</f>
        <v>0</v>
      </c>
      <c r="AO183" s="40">
        <f>AO178/AO15</f>
        <v>0</v>
      </c>
      <c r="AP183" s="40">
        <f>AP178/AP15</f>
        <v>0</v>
      </c>
      <c r="AQ183" s="40">
        <f>AQ178/AQ15</f>
        <v>0</v>
      </c>
      <c r="AR183" s="40">
        <f>AR178/AR15</f>
        <v>0</v>
      </c>
      <c r="AS183" s="40">
        <f>AS178/AS15</f>
        <v>0</v>
      </c>
      <c r="AT183" s="40">
        <f>AT178/AT15</f>
        <v>0</v>
      </c>
      <c r="AU183" s="40">
        <f>AU178/AU15</f>
        <v>0</v>
      </c>
      <c r="AV183" s="40">
        <f>AV178/AV15</f>
        <v>0</v>
      </c>
      <c r="AW183" s="40">
        <f>AW178/AW15</f>
        <v>0</v>
      </c>
      <c r="AX183" s="40">
        <f>AX178/AX15</f>
        <v>0</v>
      </c>
      <c r="AY183" s="40">
        <f>AY178/AY15</f>
        <v>0</v>
      </c>
      <c r="AZ183" s="40">
        <f>AZ178/AZ15</f>
        <v>0</v>
      </c>
      <c r="BA183" s="40">
        <f>BA178/BA15</f>
        <v>0</v>
      </c>
      <c r="BB183" s="40">
        <f>BB178/BB15</f>
        <v>0</v>
      </c>
      <c r="BC183" s="40">
        <f>BC178/BC15</f>
        <v>0</v>
      </c>
      <c r="BD183" s="40">
        <f>BD178/BD15</f>
        <v>0</v>
      </c>
      <c r="BE183" s="40">
        <f>BE178/BE15</f>
        <v>0</v>
      </c>
      <c r="BF183" s="40">
        <f>BF178/BF15</f>
        <v>0</v>
      </c>
      <c r="BG183" s="40">
        <f>BG178/BG15</f>
        <v>0</v>
      </c>
      <c r="BH183" s="40">
        <f>BH178/BH15</f>
        <v>0</v>
      </c>
      <c r="BI183" s="40">
        <f>BI178/BI15</f>
        <v>0</v>
      </c>
      <c r="BJ183" s="40">
        <f>BJ178/BJ15</f>
        <v>0</v>
      </c>
      <c r="BK183" s="40">
        <f>BK178/BK15</f>
        <v>0</v>
      </c>
      <c r="BL183" s="40">
        <f>BL178/BL15</f>
        <v>0</v>
      </c>
      <c r="BM183" s="40">
        <f>BM178/BM15</f>
        <v>0</v>
      </c>
      <c r="BN183" s="40">
        <f>BN178/BN15</f>
        <v>0</v>
      </c>
      <c r="BO183" s="40">
        <f>BO178/BO15</f>
        <v>0</v>
      </c>
      <c r="BP183" s="40">
        <f>BP178/BP15</f>
        <v>0</v>
      </c>
      <c r="BQ183" s="40">
        <f>BQ178/BQ15</f>
        <v>0</v>
      </c>
      <c r="BR183" s="40">
        <f>BR178/BR15</f>
        <v>0</v>
      </c>
      <c r="BS183" s="40">
        <f>BS178/BS15</f>
        <v>0</v>
      </c>
      <c r="BT183" s="40">
        <f>BT178/BT15</f>
        <v>0</v>
      </c>
      <c r="BU183" s="40">
        <f>BU178/BU15</f>
        <v>0</v>
      </c>
      <c r="BV183" s="40">
        <f>BV178/BV15</f>
        <v>0</v>
      </c>
      <c r="BW183" s="40">
        <f>BW178/BW15</f>
        <v>0</v>
      </c>
      <c r="BX183" s="40">
        <f>BX178/BX15</f>
        <v>0</v>
      </c>
      <c r="BY183" s="40">
        <f>BY178/BY15</f>
        <v>0</v>
      </c>
      <c r="BZ183" s="40">
        <f>BZ178/BZ15</f>
        <v>0</v>
      </c>
      <c r="CA183" s="40">
        <f>CA178/CA15</f>
        <v>0</v>
      </c>
      <c r="CB183" s="40">
        <f>CB178/CB15</f>
        <v>0</v>
      </c>
      <c r="CC183" s="40">
        <f>CC178/CC15</f>
        <v>0</v>
      </c>
      <c r="CD183" s="40">
        <f>CD178/CD15</f>
        <v>0</v>
      </c>
      <c r="CE183" s="40">
        <f>CE178/CE15</f>
        <v>0</v>
      </c>
      <c r="CF183" s="40">
        <f>CF178/CF15</f>
        <v>0</v>
      </c>
      <c r="CG183" s="40">
        <f>CG178/CG15</f>
        <v>0</v>
      </c>
      <c r="CH183" s="40">
        <f>CH178/CH15</f>
        <v>0</v>
      </c>
      <c r="CI183" s="40">
        <f>CI178/CI15</f>
        <v>0</v>
      </c>
      <c r="CJ183" s="40">
        <f>CJ178/CJ15</f>
        <v>0</v>
      </c>
      <c r="CK183" s="40">
        <f>CK178/CK15</f>
        <v>0</v>
      </c>
      <c r="CL183" s="40">
        <f>CL178/CL15</f>
        <v>0</v>
      </c>
      <c r="CM183" s="40">
        <f>CM178/CM15</f>
        <v>0</v>
      </c>
      <c r="CN183" s="40">
        <f>CN178/CN15</f>
        <v>0</v>
      </c>
      <c r="CO183" s="40">
        <f>CO178/CO15</f>
        <v>0</v>
      </c>
      <c r="CP183" s="40">
        <f>CP178/CP15</f>
        <v>0</v>
      </c>
      <c r="CQ183" s="40">
        <f>CQ178/CQ15</f>
        <v>0</v>
      </c>
      <c r="CR183" s="40">
        <f>CR178/CR15</f>
        <v>0</v>
      </c>
      <c r="CS183" s="40">
        <f>CS178/CS15</f>
        <v>0</v>
      </c>
      <c r="CT183" s="40">
        <f>CT178/CT15</f>
        <v>0</v>
      </c>
      <c r="CU183" s="40">
        <f>CU178/CU15</f>
        <v>0</v>
      </c>
      <c r="CV183" s="40">
        <f>CV178/CV15</f>
        <v>0</v>
      </c>
      <c r="CW183" s="40">
        <f>CW178/CW15</f>
        <v>0</v>
      </c>
      <c r="CX183" s="40">
        <f>CX178/CX15</f>
        <v>0</v>
      </c>
      <c r="CY183" s="40">
        <f>CY178/CY15</f>
        <v>0</v>
      </c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34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  <c r="CU185" s="3" t="n"/>
      <c r="CV185" s="3" t="n"/>
      <c r="CW185" s="3" t="n"/>
      <c r="CX185" s="3" t="n"/>
      <c r="CY185" s="3" t="n"/>
    </row>
    <row r="186" collapsed="1">
      <c r="C186" s="26" t="inlineStr">
        <is>
          <t>Right-of-use-assets</t>
        </is>
      </c>
      <c r="D186" s="25" t="e">
        <f>INDEX('Inputs (2)'!$D$23:$AL$23,MATCH(D$7,'Inputs (2)'!$D$2:$AL$2,0))</f>
        <v>#N/A</v>
      </c>
      <c r="E186" s="25">
        <f>INDEX('Inputs (2)'!$D$23:$AL$23,MATCH(E$7,'Inputs (2)'!$D$2:$AL$2,0))</f>
        <v>464.426</v>
      </c>
      <c r="F186" s="25">
        <f>INDEX('Inputs (2)'!$D$23:$AL$23,MATCH(F$7,'Inputs (2)'!$D$2:$AL$2,0))</f>
        <v>539.47682052</v>
      </c>
      <c r="G186" s="25">
        <f>INDEX('Inputs (2)'!$D$23:$AL$23,MATCH(G$7,'Inputs (2)'!$D$2:$AL$2,0))</f>
        <v>597.05135882</v>
      </c>
      <c r="H186" s="3">
        <f>G186</f>
        <v>597.05135882</v>
      </c>
      <c r="I186" s="25">
        <f>INDEX('Inputs (2)'!$D$23:$AL$23,MATCH(I$7,'Inputs (2)'!$D$2:$AL$2,0))</f>
        <v>662.07967344</v>
      </c>
      <c r="J186" s="25">
        <f>INDEX('Inputs (2)'!$D$23:$AL$23,MATCH(J$7,'Inputs (2)'!$D$2:$AL$2,0))</f>
        <v>703.26599247</v>
      </c>
      <c r="K186" s="25">
        <f>INDEX('Inputs (2)'!$D$23:$AL$23,MATCH(K$7,'Inputs (2)'!$D$2:$AL$2,0))</f>
        <v>830.842</v>
      </c>
      <c r="L186" s="25">
        <f>INDEX('Inputs (2)'!$D$23:$AL$23,MATCH(L$7,'Inputs (2)'!$D$2:$AL$2,0))</f>
        <v>907.504</v>
      </c>
      <c r="M186" s="3">
        <f>L186</f>
        <v>907.504</v>
      </c>
      <c r="N186" s="25">
        <f>INDEX('Inputs (2)'!$D$23:$AL$23,MATCH(N$7,'Inputs (2)'!$D$2:$AL$2,0))</f>
        <v>998.229</v>
      </c>
      <c r="O186" s="25">
        <f>INDEX('Inputs (2)'!$D$23:$AL$23,MATCH(O$7,'Inputs (2)'!$D$2:$AL$2,0))</f>
        <v>1194.76</v>
      </c>
      <c r="P186" s="25">
        <f>INDEX('Inputs (2)'!$D$23:$AL$23,MATCH(P$7,'Inputs (2)'!$D$2:$AL$2,0))</f>
        <v>1257.424</v>
      </c>
      <c r="Q186" s="25">
        <f>INDEX('Inputs (2)'!$D$23:$AL$23,MATCH(Q$7,'Inputs (2)'!$D$2:$AL$2,0))</f>
        <v>1260.815</v>
      </c>
      <c r="R186" s="3">
        <f>Q186</f>
        <v>1260.815</v>
      </c>
      <c r="S186" s="25">
        <f>INDEX('Inputs (2)'!$D$23:$AL$23,MATCH(S$7,'Inputs (2)'!$D$2:$AL$2,0))</f>
        <v>1330.053</v>
      </c>
      <c r="T186" s="25">
        <f>INDEX('Inputs (2)'!$D$23:$AL$23,MATCH(T$7,'Inputs (2)'!$D$2:$AL$2,0))</f>
        <v>1564.699</v>
      </c>
      <c r="U186" s="25">
        <f>INDEX('Inputs (2)'!$D$23:$AL$23,MATCH(U$7,'Inputs (2)'!$D$2:$AL$2,0))</f>
        <v>1774.395</v>
      </c>
      <c r="V186" s="25">
        <f>INDEX('Inputs (2)'!$D$23:$AL$23,MATCH(V$7,'Inputs (2)'!$D$2:$AL$2,0))</f>
        <v>1850.811</v>
      </c>
      <c r="W186" s="3">
        <f>V186</f>
        <v>1850.811</v>
      </c>
      <c r="X186" s="25">
        <f>INDEX('Inputs (2)'!$D$23:$AL$23,MATCH(X$7,'Inputs (2)'!$D$2:$AL$2,0))</f>
        <v>2021.405</v>
      </c>
      <c r="Y186" s="25">
        <f>INDEX('Inputs (2)'!$D$23:$AL$23,MATCH(Y$7,'Inputs (2)'!$D$2:$AL$2,0))</f>
        <v>1866.203</v>
      </c>
      <c r="Z186" s="25">
        <f>INDEX('Inputs (2)'!$D$23:$AL$23,MATCH(Z$7,'Inputs (2)'!$D$2:$AL$2,0))</f>
        <v>1884.077</v>
      </c>
      <c r="AA186" s="25">
        <f>INDEX('Inputs (2)'!$D$23:$AL$23,MATCH(AA$7,'Inputs (2)'!$D$2:$AL$2,0))</f>
        <v>2036.014</v>
      </c>
      <c r="AB186" s="3">
        <f>AA186</f>
        <v>2036.014</v>
      </c>
      <c r="AC186" s="25">
        <f>INDEX('Inputs (2)'!$D$23:$AL$23,MATCH(AC$7,'Inputs (2)'!$D$2:$AL$2,0))</f>
        <v>2339.617</v>
      </c>
      <c r="AD186" s="25">
        <f>INDEX('Inputs (2)'!$D$23:$AL$23,MATCH(AD$7,'Inputs (2)'!$D$2:$AL$2,0))</f>
        <v>2641.269</v>
      </c>
      <c r="AE186" s="25">
        <f>INDEX('Inputs (2)'!$D$23:$AL$23,MATCH(AE$7,'Inputs (2)'!$D$2:$AL$2,0))</f>
        <v>3539.58</v>
      </c>
      <c r="AF186" s="25">
        <f>INDEX('Inputs (2)'!$D$23:$AL$23,MATCH(AF$7,'Inputs (2)'!$D$2:$AL$2,0))</f>
        <v>3654.264</v>
      </c>
      <c r="AG186" s="3">
        <f>AF186</f>
        <v>3654.264</v>
      </c>
      <c r="AH186" s="3">
        <f>INDEX('Inputs (2)'!$D$23:$AL$23,MATCH(AH$7,'Inputs (2)'!$D$2:$AL$2,0))</f>
        <v>3696.106</v>
      </c>
      <c r="AI186" s="3">
        <f>INDEX('Inputs (2)'!$D$23:$AL$23,MATCH(AI$7,'Inputs (2)'!$D$2:$AL$2,0))</f>
        <v>3867.883</v>
      </c>
      <c r="AJ186" s="3">
        <f>AI186</f>
        <v>3867.883</v>
      </c>
      <c r="AK186" s="3">
        <f>AJ186</f>
        <v>3867.883</v>
      </c>
      <c r="AL186" s="3">
        <f>AK186</f>
        <v>3867.883</v>
      </c>
      <c r="AM186" s="3">
        <f>AL186</f>
        <v>3867.883</v>
      </c>
      <c r="AN186" s="3">
        <f>AM186</f>
        <v>3867.883</v>
      </c>
      <c r="AO186" s="3">
        <f>AN186</f>
        <v>3867.883</v>
      </c>
      <c r="AP186" s="3">
        <f>AO186</f>
        <v>3867.883</v>
      </c>
      <c r="AQ186" s="3">
        <f>AP186</f>
        <v>3867.883</v>
      </c>
      <c r="AR186" s="3">
        <f>AQ186</f>
        <v>3867.883</v>
      </c>
      <c r="AS186" s="3">
        <f>AR186</f>
        <v>3867.883</v>
      </c>
      <c r="AT186" s="3">
        <f>AS186</f>
        <v>3867.883</v>
      </c>
      <c r="AU186" s="3">
        <f>AT186</f>
        <v>3867.883</v>
      </c>
      <c r="AV186" s="3">
        <f>AU186</f>
        <v>3867.883</v>
      </c>
      <c r="AW186" s="3">
        <f>AV186</f>
        <v>3867.883</v>
      </c>
      <c r="AX186" s="3">
        <f>AW186</f>
        <v>3867.883</v>
      </c>
      <c r="AY186" s="3">
        <f>AX186</f>
        <v>3867.883</v>
      </c>
      <c r="AZ186" s="3">
        <f>AY186</f>
        <v>3867.883</v>
      </c>
      <c r="BA186" s="3">
        <f>AZ186</f>
        <v>3867.883</v>
      </c>
      <c r="BB186" s="3">
        <f>BA186</f>
        <v>3867.883</v>
      </c>
      <c r="BC186" s="3">
        <f>BB186</f>
        <v>3867.883</v>
      </c>
      <c r="BD186" s="3">
        <f>BC186</f>
        <v>3867.883</v>
      </c>
      <c r="BE186" s="3">
        <f>BD186</f>
        <v>3867.883</v>
      </c>
      <c r="BF186" s="3">
        <f>BE186</f>
        <v>3867.883</v>
      </c>
      <c r="BG186" s="3">
        <f>BF186</f>
        <v>3867.883</v>
      </c>
      <c r="BH186" s="3">
        <f>BG186</f>
        <v>3867.883</v>
      </c>
      <c r="BI186" s="3">
        <f>BH186</f>
        <v>3867.883</v>
      </c>
      <c r="BJ186" s="3">
        <f>BI186</f>
        <v>3867.883</v>
      </c>
      <c r="BK186" s="3">
        <f>BJ186</f>
        <v>3867.883</v>
      </c>
      <c r="BL186" s="3">
        <f>BK186</f>
        <v>3867.883</v>
      </c>
      <c r="BM186" s="3">
        <f>BL186</f>
        <v>3867.883</v>
      </c>
      <c r="BN186" s="3">
        <f>BM186</f>
        <v>3867.883</v>
      </c>
      <c r="BO186" s="3">
        <f>BN186</f>
        <v>3867.883</v>
      </c>
      <c r="BP186" s="3">
        <f>BO186</f>
        <v>3867.883</v>
      </c>
      <c r="BQ186" s="3">
        <f>BP186</f>
        <v>3867.883</v>
      </c>
      <c r="BR186" s="3">
        <f>BQ186</f>
        <v>3867.883</v>
      </c>
      <c r="BS186" s="3">
        <f>BR186</f>
        <v>3867.883</v>
      </c>
      <c r="BT186" s="3">
        <f>BS186</f>
        <v>3867.883</v>
      </c>
      <c r="BU186" s="3">
        <f>BT186</f>
        <v>3867.883</v>
      </c>
      <c r="BV186" s="3">
        <f>BU186</f>
        <v>3867.883</v>
      </c>
      <c r="BW186" s="3">
        <f>BV186</f>
        <v>3867.883</v>
      </c>
      <c r="BX186" s="3">
        <f>BW186</f>
        <v>3867.883</v>
      </c>
      <c r="BY186" s="3">
        <f>BX186</f>
        <v>3867.883</v>
      </c>
      <c r="BZ186" s="3">
        <f>BY186</f>
        <v>3867.883</v>
      </c>
      <c r="CA186" s="3">
        <f>BZ186</f>
        <v>3867.883</v>
      </c>
      <c r="CB186" s="3">
        <f>CA186</f>
        <v>3867.883</v>
      </c>
      <c r="CC186" s="3">
        <f>CB186</f>
        <v>3867.883</v>
      </c>
      <c r="CD186" s="3">
        <f>CC186</f>
        <v>3867.883</v>
      </c>
      <c r="CE186" s="3">
        <f>CD186</f>
        <v>3867.883</v>
      </c>
      <c r="CF186" s="3">
        <f>CE186</f>
        <v>3867.883</v>
      </c>
      <c r="CG186" s="3">
        <f>CF186</f>
        <v>3867.883</v>
      </c>
      <c r="CH186" s="3">
        <f>CG186</f>
        <v>3867.883</v>
      </c>
      <c r="CI186" s="3">
        <f>CH186</f>
        <v>3867.883</v>
      </c>
      <c r="CJ186" s="3">
        <f>CI186</f>
        <v>3867.883</v>
      </c>
      <c r="CK186" s="3">
        <f>CJ186</f>
        <v>3867.883</v>
      </c>
      <c r="CL186" s="3">
        <f>CK186</f>
        <v>3867.883</v>
      </c>
      <c r="CM186" s="3">
        <f>CL186</f>
        <v>3867.883</v>
      </c>
      <c r="CN186" s="3">
        <f>CM186</f>
        <v>3867.883</v>
      </c>
      <c r="CO186" s="3">
        <f>CN186</f>
        <v>3867.883</v>
      </c>
      <c r="CP186" s="3">
        <f>CO186</f>
        <v>3867.883</v>
      </c>
      <c r="CQ186" s="3">
        <f>CP186</f>
        <v>3867.883</v>
      </c>
      <c r="CR186" s="3">
        <f>CQ186</f>
        <v>3867.883</v>
      </c>
      <c r="CS186" s="3">
        <f>CR186</f>
        <v>3867.883</v>
      </c>
      <c r="CT186" s="3">
        <f>CS186</f>
        <v>3867.883</v>
      </c>
      <c r="CU186" s="3">
        <f>CT186</f>
        <v>3867.883</v>
      </c>
      <c r="CV186" s="3">
        <f>CU186</f>
        <v>3867.883</v>
      </c>
      <c r="CW186" s="3">
        <f>CV186</f>
        <v>3867.883</v>
      </c>
      <c r="CX186" s="3">
        <f>CW186</f>
        <v>3867.883</v>
      </c>
      <c r="CY186" s="3">
        <f>CX186</f>
        <v>3867.883</v>
      </c>
    </row>
    <row r="187" hidden="1" outlineLevel="1">
      <c r="C187" s="38" t="inlineStr">
        <is>
          <t>%(Var.)</t>
        </is>
      </c>
      <c r="D187" s="3" t="n"/>
      <c r="E187" s="47" t="e">
        <f>(E186-D186)/D186</f>
        <v>#N/A</v>
      </c>
      <c r="F187" s="47">
        <f>(F186-E186)/E186</f>
        <v>0.161599093332415</v>
      </c>
      <c r="G187" s="47">
        <f>(G186-F186)/F186</f>
        <v>0.106722913960426</v>
      </c>
      <c r="H187" s="3" t="n"/>
      <c r="I187" s="47">
        <f>(I186-H186)/H186</f>
        <v>0.108915780291533</v>
      </c>
      <c r="J187" s="47">
        <f>(J186-I186)/I186</f>
        <v>0.0622074965932818</v>
      </c>
      <c r="K187" s="47">
        <f>(K186-J186)/J186</f>
        <v>0.181405057113496</v>
      </c>
      <c r="L187" s="47">
        <f>(L186-K186)/K186</f>
        <v>0.0922702511428166</v>
      </c>
      <c r="M187" s="3" t="n"/>
      <c r="N187" s="47">
        <f>(N186-M186)/M186</f>
        <v>0.0999720111426506</v>
      </c>
      <c r="O187" s="47">
        <f>(O186-N186)/N186</f>
        <v>0.196879673902481</v>
      </c>
      <c r="P187" s="47">
        <f>(P186-O186)/O186</f>
        <v>0.0524490274197328</v>
      </c>
      <c r="Q187" s="47">
        <f>(Q186-P186)/P186</f>
        <v>0.00269678326483356</v>
      </c>
      <c r="R187" s="3" t="n"/>
      <c r="S187" s="47">
        <f>(S186-R186)/R186</f>
        <v>0.0549152730575065</v>
      </c>
      <c r="T187" s="47">
        <f>(T186-S186)/S186</f>
        <v>0.176418533697529</v>
      </c>
      <c r="U187" s="47">
        <f>(U186-T186)/T186</f>
        <v>0.134016830074027</v>
      </c>
      <c r="V187" s="47">
        <f>(V186-U186)/U186</f>
        <v>0.0430659464211746</v>
      </c>
      <c r="W187" s="3" t="n"/>
      <c r="X187" s="47">
        <f>(X186-W186)/W186</f>
        <v>0.0921725665127341</v>
      </c>
      <c r="Y187" s="47">
        <f>(Y186-X186)/X186</f>
        <v>-0.0767792698642776</v>
      </c>
      <c r="Z187" s="47">
        <f>(Z186-Y186)/Y186</f>
        <v>0.00957773618411289</v>
      </c>
      <c r="AA187" s="47">
        <f>(AA186-Z186)/Z186</f>
        <v>0.0806426701244164</v>
      </c>
      <c r="AB187" s="3" t="n"/>
      <c r="AC187" s="47">
        <f>(AC186-AB186)/AB186</f>
        <v>0.149116361675313</v>
      </c>
      <c r="AD187" s="47">
        <f>(AD186-AC186)/AC186</f>
        <v>0.128932214118807</v>
      </c>
      <c r="AE187" s="47">
        <f>(AE186-AD186)/AD186</f>
        <v>0.34010583549044</v>
      </c>
      <c r="AF187" s="218">
        <f>(AF186-AE186)/AE186</f>
        <v>0.0324004542911871</v>
      </c>
      <c r="AG187" s="3" t="n"/>
      <c r="AH187" s="218">
        <f>(AH186-AG186)/AG186</f>
        <v>0.0114501853177548</v>
      </c>
      <c r="AI187" s="218">
        <f>(AI186-AH186)/AH186</f>
        <v>0.046475128148381</v>
      </c>
      <c r="AJ187" s="218" t="n"/>
      <c r="AK187" s="218" t="n"/>
      <c r="AL187" s="3" t="n"/>
      <c r="AM187" s="218" t="n"/>
      <c r="AN187" s="218" t="n"/>
      <c r="AO187" s="218" t="n"/>
      <c r="AP187" s="218" t="n"/>
      <c r="AQ187" s="3" t="n"/>
      <c r="AR187" s="218" t="n"/>
      <c r="AS187" s="218" t="n"/>
      <c r="AT187" s="218" t="n"/>
      <c r="AU187" s="218" t="n"/>
      <c r="AV187" s="3" t="n"/>
      <c r="AW187" s="218" t="n"/>
      <c r="AX187" s="218" t="n"/>
      <c r="AY187" s="218" t="n"/>
      <c r="AZ187" s="218" t="n"/>
      <c r="BA187" s="3" t="n"/>
      <c r="BB187" s="218" t="n"/>
      <c r="BC187" s="218" t="n"/>
      <c r="BD187" s="218" t="n"/>
      <c r="BE187" s="218" t="n"/>
      <c r="BF187" s="3" t="n"/>
      <c r="BG187" s="218" t="n"/>
      <c r="BH187" s="218" t="n"/>
      <c r="BI187" s="218" t="n"/>
      <c r="BJ187" s="218" t="n"/>
      <c r="BK187" s="3" t="n"/>
      <c r="BL187" s="218" t="n"/>
      <c r="BM187" s="218" t="n"/>
      <c r="BN187" s="218" t="n"/>
      <c r="BO187" s="218" t="n"/>
      <c r="BP187" s="3" t="n"/>
      <c r="BQ187" s="218" t="n"/>
      <c r="BR187" s="218" t="n"/>
      <c r="BS187" s="218" t="n"/>
      <c r="BT187" s="218" t="n"/>
      <c r="BU187" s="3" t="n"/>
      <c r="BV187" s="218" t="n"/>
      <c r="BW187" s="218" t="n"/>
      <c r="BX187" s="218" t="n"/>
      <c r="BY187" s="218" t="n"/>
      <c r="BZ187" s="3" t="n"/>
      <c r="CA187" s="218" t="n"/>
      <c r="CB187" s="218" t="n"/>
      <c r="CC187" s="218" t="n"/>
      <c r="CD187" s="218" t="n"/>
      <c r="CE187" s="3" t="n"/>
      <c r="CF187" s="218" t="n"/>
      <c r="CG187" s="218" t="n"/>
      <c r="CH187" s="218" t="n"/>
      <c r="CI187" s="218" t="n"/>
      <c r="CJ187" s="3" t="n"/>
      <c r="CK187" s="218" t="n"/>
      <c r="CL187" s="218" t="n"/>
      <c r="CM187" s="218" t="n"/>
      <c r="CN187" s="218" t="n"/>
      <c r="CO187" s="3" t="n"/>
      <c r="CP187" s="218" t="n"/>
      <c r="CQ187" s="218" t="n"/>
      <c r="CR187" s="218" t="n"/>
      <c r="CS187" s="218" t="n"/>
      <c r="CT187" s="3" t="n"/>
      <c r="CU187" s="218" t="n"/>
      <c r="CV187" s="218" t="n"/>
      <c r="CW187" s="218" t="n"/>
      <c r="CX187" s="218" t="n"/>
      <c r="CY187" s="3" t="n"/>
    </row>
    <row r="188" hidden="1" outlineLevel="1">
      <c r="C188" s="34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collapsed="1">
      <c r="C189" s="26" t="inlineStr">
        <is>
          <t>Goodwill</t>
        </is>
      </c>
      <c r="D189" s="25" t="n"/>
      <c r="E189" s="25" t="n"/>
      <c r="F189" s="25" t="n"/>
      <c r="G189" s="25" t="n"/>
      <c r="H189" s="3">
        <f>G189</f>
        <v>0</v>
      </c>
      <c r="I189" s="25" t="n"/>
      <c r="J189" s="25" t="n"/>
      <c r="K189" s="25" t="n"/>
      <c r="L189" s="25" t="n"/>
      <c r="M189" s="3">
        <f>L189</f>
        <v>0</v>
      </c>
      <c r="N189" s="25" t="n"/>
      <c r="O189" s="25" t="n"/>
      <c r="P189" s="25" t="n"/>
      <c r="Q189" s="25" t="n"/>
      <c r="R189" s="3">
        <f>Q189</f>
        <v>0</v>
      </c>
      <c r="S189" s="25" t="n"/>
      <c r="T189" s="25" t="n"/>
      <c r="U189" s="25" t="n"/>
      <c r="V189" s="25" t="n"/>
      <c r="W189" s="3">
        <f>V189</f>
        <v>0</v>
      </c>
      <c r="X189" s="25" t="n"/>
      <c r="Y189" s="25" t="n"/>
      <c r="Z189" s="25" t="n"/>
      <c r="AA189" s="25" t="n"/>
      <c r="AB189" s="3">
        <f>AA189</f>
        <v>0</v>
      </c>
      <c r="AC189" s="25" t="n"/>
      <c r="AD189" s="25" t="n"/>
      <c r="AE189" s="25" t="n"/>
      <c r="AF189" s="25" t="n"/>
      <c r="AG189" s="3">
        <f>AF189</f>
        <v>0</v>
      </c>
      <c r="AH189" s="3">
        <f>AG189</f>
        <v>0</v>
      </c>
      <c r="AI189" s="3">
        <f>AH189</f>
        <v>0</v>
      </c>
      <c r="AJ189" s="3">
        <f>AI189</f>
        <v>0</v>
      </c>
      <c r="AK189" s="3">
        <f>AJ189</f>
        <v>0</v>
      </c>
      <c r="AL189" s="3">
        <f>AK189</f>
        <v>0</v>
      </c>
      <c r="AM189" s="3">
        <f>AL189</f>
        <v>0</v>
      </c>
      <c r="AN189" s="3">
        <f>AM189</f>
        <v>0</v>
      </c>
      <c r="AO189" s="3">
        <f>AN189</f>
        <v>0</v>
      </c>
      <c r="AP189" s="3">
        <f>AO189</f>
        <v>0</v>
      </c>
      <c r="AQ189" s="3">
        <f>AP189</f>
        <v>0</v>
      </c>
      <c r="AR189" s="3">
        <f>AQ189</f>
        <v>0</v>
      </c>
      <c r="AS189" s="3">
        <f>AR189</f>
        <v>0</v>
      </c>
      <c r="AT189" s="3">
        <f>AS189</f>
        <v>0</v>
      </c>
      <c r="AU189" s="3">
        <f>AT189</f>
        <v>0</v>
      </c>
      <c r="AV189" s="3">
        <f>AU189</f>
        <v>0</v>
      </c>
      <c r="AW189" s="3">
        <f>AV189</f>
        <v>0</v>
      </c>
      <c r="AX189" s="3">
        <f>AW189</f>
        <v>0</v>
      </c>
      <c r="AY189" s="3">
        <f>AX189</f>
        <v>0</v>
      </c>
      <c r="AZ189" s="3">
        <f>AY189</f>
        <v>0</v>
      </c>
      <c r="BA189" s="3">
        <f>AZ189</f>
        <v>0</v>
      </c>
      <c r="BB189" s="3">
        <f>BA189</f>
        <v>0</v>
      </c>
      <c r="BC189" s="3">
        <f>BB189</f>
        <v>0</v>
      </c>
      <c r="BD189" s="3">
        <f>BC189</f>
        <v>0</v>
      </c>
      <c r="BE189" s="3">
        <f>BD189</f>
        <v>0</v>
      </c>
      <c r="BF189" s="3">
        <f>BE189</f>
        <v>0</v>
      </c>
      <c r="BG189" s="3">
        <f>BF189</f>
        <v>0</v>
      </c>
      <c r="BH189" s="3">
        <f>BG189</f>
        <v>0</v>
      </c>
      <c r="BI189" s="3">
        <f>BH189</f>
        <v>0</v>
      </c>
      <c r="BJ189" s="3">
        <f>BI189</f>
        <v>0</v>
      </c>
      <c r="BK189" s="3">
        <f>BJ189</f>
        <v>0</v>
      </c>
      <c r="BL189" s="3">
        <f>BK189</f>
        <v>0</v>
      </c>
      <c r="BM189" s="3">
        <f>BL189</f>
        <v>0</v>
      </c>
      <c r="BN189" s="3">
        <f>BM189</f>
        <v>0</v>
      </c>
      <c r="BO189" s="3">
        <f>BN189</f>
        <v>0</v>
      </c>
      <c r="BP189" s="3">
        <f>BO189</f>
        <v>0</v>
      </c>
      <c r="BQ189" s="3">
        <f>BP189</f>
        <v>0</v>
      </c>
      <c r="BR189" s="3">
        <f>BQ189</f>
        <v>0</v>
      </c>
      <c r="BS189" s="3">
        <f>BR189</f>
        <v>0</v>
      </c>
      <c r="BT189" s="3">
        <f>BS189</f>
        <v>0</v>
      </c>
      <c r="BU189" s="3">
        <f>BT189</f>
        <v>0</v>
      </c>
      <c r="BV189" s="3">
        <f>BU189</f>
        <v>0</v>
      </c>
      <c r="BW189" s="3">
        <f>BV189</f>
        <v>0</v>
      </c>
      <c r="BX189" s="3">
        <f>BW189</f>
        <v>0</v>
      </c>
      <c r="BY189" s="3">
        <f>BX189</f>
        <v>0</v>
      </c>
      <c r="BZ189" s="3">
        <f>BY189</f>
        <v>0</v>
      </c>
      <c r="CA189" s="3">
        <f>BZ189</f>
        <v>0</v>
      </c>
      <c r="CB189" s="3">
        <f>CA189</f>
        <v>0</v>
      </c>
      <c r="CC189" s="3">
        <f>CB189</f>
        <v>0</v>
      </c>
      <c r="CD189" s="3">
        <f>CC189</f>
        <v>0</v>
      </c>
      <c r="CE189" s="3">
        <f>CD189</f>
        <v>0</v>
      </c>
      <c r="CF189" s="3">
        <f>CE189</f>
        <v>0</v>
      </c>
      <c r="CG189" s="3">
        <f>CF189</f>
        <v>0</v>
      </c>
      <c r="CH189" s="3">
        <f>CG189</f>
        <v>0</v>
      </c>
      <c r="CI189" s="3">
        <f>CH189</f>
        <v>0</v>
      </c>
      <c r="CJ189" s="3">
        <f>CI189</f>
        <v>0</v>
      </c>
      <c r="CK189" s="3">
        <f>CJ189</f>
        <v>0</v>
      </c>
      <c r="CL189" s="3">
        <f>CK189</f>
        <v>0</v>
      </c>
      <c r="CM189" s="3">
        <f>CL189</f>
        <v>0</v>
      </c>
      <c r="CN189" s="3">
        <f>CM189</f>
        <v>0</v>
      </c>
      <c r="CO189" s="3">
        <f>CN189</f>
        <v>0</v>
      </c>
      <c r="CP189" s="3">
        <f>CO189</f>
        <v>0</v>
      </c>
      <c r="CQ189" s="3">
        <f>CP189</f>
        <v>0</v>
      </c>
      <c r="CR189" s="3">
        <f>CQ189</f>
        <v>0</v>
      </c>
      <c r="CS189" s="3">
        <f>CR189</f>
        <v>0</v>
      </c>
      <c r="CT189" s="3">
        <f>CS189</f>
        <v>0</v>
      </c>
      <c r="CU189" s="3">
        <f>CT189</f>
        <v>0</v>
      </c>
      <c r="CV189" s="3">
        <f>CU189</f>
        <v>0</v>
      </c>
      <c r="CW189" s="3">
        <f>CV189</f>
        <v>0</v>
      </c>
      <c r="CX189" s="3">
        <f>CW189</f>
        <v>0</v>
      </c>
      <c r="CY189" s="3">
        <f>CX189</f>
        <v>0</v>
      </c>
    </row>
    <row r="190">
      <c r="C190" s="26" t="inlineStr">
        <is>
          <t>Intangibles</t>
        </is>
      </c>
      <c r="D190" s="25" t="e">
        <f>INDEX('Inputs (2)'!$D$25:$AL$25,MATCH(D$7,'Inputs (2)'!$D$2:$AL$2,0))</f>
        <v>#N/A</v>
      </c>
      <c r="E190" s="25">
        <f>INDEX('Inputs (2)'!$D$25:$AL$25,MATCH(E$7,'Inputs (2)'!$D$2:$AL$2,0))</f>
        <v>0.45</v>
      </c>
      <c r="F190" s="25">
        <f>INDEX('Inputs (2)'!$D$25:$AL$25,MATCH(F$7,'Inputs (2)'!$D$2:$AL$2,0))</f>
        <v>0.45</v>
      </c>
      <c r="G190" s="25">
        <f>INDEX('Inputs (2)'!$D$25:$AL$25,MATCH(G$7,'Inputs (2)'!$D$2:$AL$2,0))</f>
        <v>0.45</v>
      </c>
      <c r="H190" s="3">
        <f>G190</f>
        <v>0.45</v>
      </c>
      <c r="I190" s="25">
        <f>INDEX('Inputs (2)'!$D$25:$AL$25,MATCH(I$7,'Inputs (2)'!$D$2:$AL$2,0))</f>
        <v>3.23999999</v>
      </c>
      <c r="J190" s="25">
        <f>INDEX('Inputs (2)'!$D$25:$AL$25,MATCH(J$7,'Inputs (2)'!$D$2:$AL$2,0))</f>
        <v>3.18999998</v>
      </c>
      <c r="K190" s="25">
        <f>INDEX('Inputs (2)'!$D$25:$AL$25,MATCH(K$7,'Inputs (2)'!$D$2:$AL$2,0))</f>
        <v>2.606</v>
      </c>
      <c r="L190" s="25">
        <f>INDEX('Inputs (2)'!$D$25:$AL$25,MATCH(L$7,'Inputs (2)'!$D$2:$AL$2,0))</f>
        <v>2.556</v>
      </c>
      <c r="M190" s="3">
        <f>L190</f>
        <v>2.556</v>
      </c>
      <c r="N190" s="25">
        <f>INDEX('Inputs (2)'!$D$25:$AL$25,MATCH(N$7,'Inputs (2)'!$D$2:$AL$2,0))</f>
        <v>2.506</v>
      </c>
      <c r="O190" s="25">
        <f>INDEX('Inputs (2)'!$D$25:$AL$25,MATCH(O$7,'Inputs (2)'!$D$2:$AL$2,0))</f>
        <v>2.456</v>
      </c>
      <c r="P190" s="25">
        <f>INDEX('Inputs (2)'!$D$25:$AL$25,MATCH(P$7,'Inputs (2)'!$D$2:$AL$2,0))</f>
        <v>2.406</v>
      </c>
      <c r="Q190" s="25">
        <f>INDEX('Inputs (2)'!$D$25:$AL$25,MATCH(Q$7,'Inputs (2)'!$D$2:$AL$2,0))</f>
        <v>4.515</v>
      </c>
      <c r="R190" s="3">
        <f>Q190</f>
        <v>4.515</v>
      </c>
      <c r="S190" s="25">
        <f>INDEX('Inputs (2)'!$D$25:$AL$25,MATCH(S$7,'Inputs (2)'!$D$2:$AL$2,0))</f>
        <v>11.951</v>
      </c>
      <c r="T190" s="25">
        <f>INDEX('Inputs (2)'!$D$25:$AL$25,MATCH(T$7,'Inputs (2)'!$D$2:$AL$2,0))</f>
        <v>26.2</v>
      </c>
      <c r="U190" s="25">
        <f>INDEX('Inputs (2)'!$D$25:$AL$25,MATCH(U$7,'Inputs (2)'!$D$2:$AL$2,0))</f>
        <v>30.907</v>
      </c>
      <c r="V190" s="25">
        <f>INDEX('Inputs (2)'!$D$25:$AL$25,MATCH(V$7,'Inputs (2)'!$D$2:$AL$2,0))</f>
        <v>33.84</v>
      </c>
      <c r="W190" s="3">
        <f>V190</f>
        <v>33.84</v>
      </c>
      <c r="X190" s="25">
        <f>INDEX('Inputs (2)'!$D$25:$AL$25,MATCH(X$7,'Inputs (2)'!$D$2:$AL$2,0))</f>
        <v>39.202</v>
      </c>
      <c r="Y190" s="25">
        <f>INDEX('Inputs (2)'!$D$25:$AL$25,MATCH(Y$7,'Inputs (2)'!$D$2:$AL$2,0))</f>
        <v>43.174</v>
      </c>
      <c r="Z190" s="25">
        <f>INDEX('Inputs (2)'!$D$25:$AL$25,MATCH(Z$7,'Inputs (2)'!$D$2:$AL$2,0))</f>
        <v>46.893</v>
      </c>
      <c r="AA190" s="25">
        <f>INDEX('Inputs (2)'!$D$25:$AL$25,MATCH(AA$7,'Inputs (2)'!$D$2:$AL$2,0))</f>
        <v>61.16</v>
      </c>
      <c r="AB190" s="3">
        <f>AA190</f>
        <v>61.16</v>
      </c>
      <c r="AC190" s="25">
        <f>INDEX('Inputs (2)'!$D$25:$AL$25,MATCH(AC$7,'Inputs (2)'!$D$2:$AL$2,0))</f>
        <v>63.831</v>
      </c>
      <c r="AD190" s="25">
        <f>INDEX('Inputs (2)'!$D$25:$AL$25,MATCH(AD$7,'Inputs (2)'!$D$2:$AL$2,0))</f>
        <v>69.687</v>
      </c>
      <c r="AE190" s="25">
        <f>INDEX('Inputs (2)'!$D$25:$AL$25,MATCH(AE$7,'Inputs (2)'!$D$2:$AL$2,0))</f>
        <v>729.491</v>
      </c>
      <c r="AF190" s="25">
        <f>INDEX('Inputs (2)'!$D$25:$AL$25,MATCH(AF$7,'Inputs (2)'!$D$2:$AL$2,0))</f>
        <v>651.724</v>
      </c>
      <c r="AG190" s="3">
        <f>AF190</f>
        <v>651.724</v>
      </c>
      <c r="AH190" s="3">
        <f>INDEX('Inputs (2)'!$D$25:$AL$25,MATCH(AH$7,'Inputs (2)'!$D$2:$AL$2,0))</f>
        <v>663.084</v>
      </c>
      <c r="AI190" s="3">
        <f>INDEX('Inputs (2)'!$D$25:$AL$25,MATCH(AI$7,'Inputs (2)'!$D$2:$AL$2,0))</f>
        <v>748.934</v>
      </c>
      <c r="AJ190" s="3" t="n"/>
      <c r="AK190" s="3" t="n"/>
      <c r="AL190" s="3">
        <f>AK190</f>
        <v>0</v>
      </c>
      <c r="AN190" s="3" t="n"/>
      <c r="AO190" s="3" t="n"/>
      <c r="AP190" s="3" t="n"/>
      <c r="AQ190" s="3">
        <f>AP190</f>
        <v>0</v>
      </c>
      <c r="AS190" s="3" t="n"/>
      <c r="AT190" s="3" t="n"/>
      <c r="AU190" s="3" t="n"/>
      <c r="AV190" s="3">
        <f>AU190</f>
        <v>0</v>
      </c>
      <c r="AX190" s="3" t="n"/>
      <c r="AY190" s="3" t="n"/>
      <c r="AZ190" s="3" t="n"/>
      <c r="BA190" s="3">
        <f>AZ190</f>
        <v>0</v>
      </c>
      <c r="BC190" s="3" t="n"/>
      <c r="BD190" s="3" t="n"/>
      <c r="BE190" s="3" t="n"/>
      <c r="BF190" s="3">
        <f>BE190</f>
        <v>0</v>
      </c>
      <c r="BH190" s="3" t="n"/>
      <c r="BI190" s="3" t="n"/>
      <c r="BJ190" s="3" t="n"/>
      <c r="BK190" s="3">
        <f>BJ190</f>
        <v>0</v>
      </c>
      <c r="BM190" s="3" t="n"/>
      <c r="BN190" s="3" t="n"/>
      <c r="BO190" s="3" t="n"/>
      <c r="BP190" s="3">
        <f>BO190</f>
        <v>0</v>
      </c>
      <c r="BR190" s="3" t="n"/>
      <c r="BS190" s="3" t="n"/>
      <c r="BT190" s="3" t="n"/>
      <c r="BU190" s="3">
        <f>BT190</f>
        <v>0</v>
      </c>
      <c r="BW190" s="3" t="n"/>
      <c r="BX190" s="3" t="n"/>
      <c r="BY190" s="3" t="n"/>
      <c r="BZ190" s="3">
        <f>BY190</f>
        <v>0</v>
      </c>
      <c r="CB190" s="3" t="n"/>
      <c r="CC190" s="3" t="n"/>
      <c r="CD190" s="3" t="n"/>
      <c r="CE190" s="3">
        <f>CD190</f>
        <v>0</v>
      </c>
      <c r="CG190" s="3" t="n"/>
      <c r="CH190" s="3" t="n"/>
      <c r="CI190" s="3" t="n"/>
      <c r="CJ190" s="3">
        <f>CI190</f>
        <v>0</v>
      </c>
      <c r="CL190" s="3" t="n"/>
      <c r="CM190" s="3" t="n"/>
      <c r="CN190" s="3" t="n"/>
      <c r="CO190" s="3">
        <f>CN190</f>
        <v>0</v>
      </c>
      <c r="CQ190" s="3" t="n"/>
      <c r="CR190" s="3" t="n"/>
      <c r="CS190" s="3" t="n"/>
      <c r="CT190" s="3">
        <f>CS190</f>
        <v>0</v>
      </c>
      <c r="CV190" s="3" t="n"/>
      <c r="CW190" s="3" t="n"/>
      <c r="CX190" s="3" t="n"/>
      <c r="CY190" s="3">
        <f>CX190</f>
        <v>0</v>
      </c>
    </row>
    <row r="191" hidden="1" outlineLevel="1">
      <c r="C191" s="3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inlineStr">
        <is>
          <t>Purchase of intangible assets</t>
        </is>
      </c>
      <c r="D192" s="3" t="n"/>
      <c r="E192" s="3" t="e">
        <f>E190-D190-E94</f>
        <v>#N/A</v>
      </c>
      <c r="F192" s="3">
        <f>F190-E190-F94</f>
        <v>0</v>
      </c>
      <c r="G192" s="3">
        <f>G190-F190-G94</f>
        <v>0</v>
      </c>
      <c r="H192" s="3" t="n"/>
      <c r="I192" s="3">
        <f>I190-H190-I94</f>
        <v>2.78999999</v>
      </c>
      <c r="J192" s="3">
        <f>J190-I190-J94</f>
        <v>-0.0500000099999998</v>
      </c>
      <c r="K192" s="3">
        <f>K190-J190-K94</f>
        <v>-0.58399998</v>
      </c>
      <c r="L192" s="3">
        <f>L190-K190-L94</f>
        <v>-0.0499999999999998</v>
      </c>
      <c r="M192" s="3" t="n"/>
      <c r="N192" s="3">
        <f>N190-M190-N94</f>
        <v>-0.0499999999999998</v>
      </c>
      <c r="O192" s="3">
        <f>O190-N190-O94</f>
        <v>-0.0500000000000003</v>
      </c>
      <c r="P192" s="3">
        <f>P190-O190-P94</f>
        <v>-0.0499999999999998</v>
      </c>
      <c r="Q192" s="3">
        <f>Q190-P190-Q94</f>
        <v>2.109</v>
      </c>
      <c r="R192" s="3" t="n"/>
      <c r="S192" s="3">
        <f>S190-R190-S94</f>
        <v>7.436</v>
      </c>
      <c r="T192" s="3">
        <f>T190-S190-T94</f>
        <v>14.249</v>
      </c>
      <c r="U192" s="3">
        <f>U190-T190-U94</f>
        <v>4.707</v>
      </c>
      <c r="V192" s="3">
        <f>V190-U190-V94</f>
        <v>2.933</v>
      </c>
      <c r="W192" s="3" t="n"/>
      <c r="X192" s="3">
        <f>X190-W190-X94</f>
        <v>5.362</v>
      </c>
      <c r="Y192" s="3">
        <f>Y190-X190-Y94</f>
        <v>3.972</v>
      </c>
      <c r="Z192" s="3">
        <f>Z190-Y190-Z94</f>
        <v>3.719</v>
      </c>
      <c r="AA192" s="3">
        <f>AA190-Z190-AA94</f>
        <v>14.267</v>
      </c>
      <c r="AB192" s="3" t="n"/>
      <c r="AC192" s="3">
        <f>AC190-AB190-AC94</f>
        <v>2.671</v>
      </c>
      <c r="AD192" s="3">
        <f>AD190-AC190-AD94</f>
        <v>5.85599999999999</v>
      </c>
      <c r="AE192" s="3">
        <f>AE190-AD190-AE94</f>
        <v>659.804</v>
      </c>
      <c r="AF192" s="3" t="n"/>
      <c r="AG192" s="3" t="n"/>
      <c r="AH192" s="6">
        <f>AH190-AG190-AH94</f>
        <v>11.36</v>
      </c>
      <c r="AI192" s="6">
        <f>AI190-AH190-AI94</f>
        <v>85.8499999999999</v>
      </c>
      <c r="AJ192" s="6" t="n"/>
      <c r="AK192" s="6" t="n"/>
      <c r="AL192" s="3" t="n"/>
      <c r="AM192" s="6" t="n"/>
      <c r="AN192" s="6" t="n"/>
      <c r="AO192" s="6" t="n"/>
      <c r="AP192" s="6" t="n"/>
      <c r="AQ192" s="3" t="n"/>
      <c r="AR192" s="6" t="n"/>
      <c r="AS192" s="6" t="n"/>
      <c r="AT192" s="6" t="n"/>
      <c r="AU192" s="6" t="n"/>
      <c r="AV192" s="3" t="n"/>
      <c r="AW192" s="6" t="n"/>
      <c r="AX192" s="6" t="n"/>
      <c r="AY192" s="6" t="n"/>
      <c r="AZ192" s="6" t="n"/>
      <c r="BA192" s="3" t="n"/>
      <c r="BB192" s="6" t="n"/>
      <c r="BC192" s="6" t="n"/>
      <c r="BD192" s="6" t="n"/>
      <c r="BE192" s="6" t="n"/>
      <c r="BF192" s="3" t="n"/>
      <c r="BG192" s="6" t="n"/>
      <c r="BH192" s="6" t="n"/>
      <c r="BI192" s="6" t="n"/>
      <c r="BJ192" s="6" t="n"/>
      <c r="BK192" s="3" t="n"/>
      <c r="BL192" s="6" t="n"/>
      <c r="BM192" s="6" t="n"/>
      <c r="BN192" s="6" t="n"/>
      <c r="BO192" s="6" t="n"/>
      <c r="BP192" s="3" t="n"/>
      <c r="BQ192" s="6" t="n"/>
      <c r="BR192" s="6" t="n"/>
      <c r="BS192" s="6" t="n"/>
      <c r="BT192" s="6" t="n"/>
      <c r="BU192" s="3" t="n"/>
      <c r="BV192" s="6" t="n"/>
      <c r="BW192" s="6" t="n"/>
      <c r="BX192" s="6" t="n"/>
      <c r="BY192" s="6" t="n"/>
      <c r="BZ192" s="3" t="n"/>
      <c r="CA192" s="6" t="n"/>
      <c r="CB192" s="6" t="n"/>
      <c r="CC192" s="6" t="n"/>
      <c r="CD192" s="6" t="n"/>
      <c r="CE192" s="3" t="n"/>
      <c r="CF192" s="6" t="n"/>
      <c r="CG192" s="6" t="n"/>
      <c r="CH192" s="6" t="n"/>
      <c r="CI192" s="6" t="n"/>
      <c r="CJ192" s="3" t="n"/>
      <c r="CK192" s="6" t="n"/>
      <c r="CL192" s="6" t="n"/>
      <c r="CM192" s="6" t="n"/>
      <c r="CN192" s="6" t="n"/>
      <c r="CO192" s="3" t="n"/>
      <c r="CP192" s="6" t="n"/>
      <c r="CQ192" s="6" t="n"/>
      <c r="CR192" s="6" t="n"/>
      <c r="CS192" s="6" t="n"/>
      <c r="CT192" s="3" t="n"/>
      <c r="CU192" s="6" t="n"/>
      <c r="CV192" s="6" t="n"/>
      <c r="CW192" s="6" t="n"/>
      <c r="CX192" s="6" t="n"/>
      <c r="CY192" s="3" t="n"/>
    </row>
    <row r="193" hidden="1" outlineLevel="1">
      <c r="C193" s="34" t="inlineStr">
        <is>
          <t>Amortization (enter as -)</t>
        </is>
      </c>
      <c r="D193" s="3" t="n"/>
      <c r="E193" s="3">
        <f>E93</f>
        <v>0</v>
      </c>
      <c r="F193" s="3">
        <f>F93</f>
        <v>0</v>
      </c>
      <c r="G193" s="3">
        <f>G93</f>
        <v>0</v>
      </c>
      <c r="H193" s="3" t="n"/>
      <c r="I193" s="3">
        <f>I93</f>
        <v>0</v>
      </c>
      <c r="J193" s="3">
        <f>J93</f>
        <v>0</v>
      </c>
      <c r="K193" s="3">
        <f>K93</f>
        <v>0</v>
      </c>
      <c r="L193" s="3">
        <f>L93</f>
        <v>0</v>
      </c>
      <c r="M193" s="3" t="n"/>
      <c r="N193" s="3">
        <f>N93</f>
        <v>0</v>
      </c>
      <c r="O193" s="3">
        <f>O93</f>
        <v>0</v>
      </c>
      <c r="P193" s="3">
        <f>P93</f>
        <v>0</v>
      </c>
      <c r="Q193" s="3">
        <f>Q93</f>
        <v>0</v>
      </c>
      <c r="R193" s="3" t="n"/>
      <c r="S193" s="3">
        <f>S93</f>
        <v>0</v>
      </c>
      <c r="T193" s="3">
        <f>T93</f>
        <v>0</v>
      </c>
      <c r="U193" s="3">
        <f>U93</f>
        <v>0</v>
      </c>
      <c r="V193" s="3">
        <f>V93</f>
        <v>0</v>
      </c>
      <c r="W193" s="3" t="n"/>
      <c r="X193" s="3">
        <f>X93</f>
        <v>0</v>
      </c>
      <c r="Y193" s="3">
        <f>Y93</f>
        <v>0</v>
      </c>
      <c r="Z193" s="3">
        <f>Z93</f>
        <v>0</v>
      </c>
      <c r="AA193" s="3">
        <f>AA93</f>
        <v>0</v>
      </c>
      <c r="AB193" s="3" t="n"/>
      <c r="AC193" s="3">
        <f>AC93</f>
        <v>0</v>
      </c>
      <c r="AD193" s="3">
        <f>AD93</f>
        <v>0</v>
      </c>
      <c r="AE193" s="3">
        <f>AE93</f>
        <v>0</v>
      </c>
      <c r="AF193" s="3" t="n"/>
      <c r="AG193" s="3" t="n"/>
      <c r="AH193" s="3">
        <f>AH93</f>
        <v>0</v>
      </c>
      <c r="AI193" s="6">
        <f>AI93</f>
        <v>0</v>
      </c>
      <c r="AJ193" s="6" t="n"/>
      <c r="AK193" s="6" t="n"/>
      <c r="AL193" s="3" t="n"/>
      <c r="AM193" s="6" t="n"/>
      <c r="AN193" s="6" t="n"/>
      <c r="AO193" s="6" t="n"/>
      <c r="AP193" s="6" t="n"/>
      <c r="AQ193" s="3" t="n"/>
      <c r="AR193" s="6" t="n"/>
      <c r="AS193" s="6" t="n"/>
      <c r="AT193" s="6" t="n"/>
      <c r="AU193" s="6" t="n"/>
      <c r="AV193" s="3" t="n"/>
      <c r="AW193" s="6" t="n"/>
      <c r="AX193" s="6" t="n"/>
      <c r="AY193" s="6" t="n"/>
      <c r="AZ193" s="6" t="n"/>
      <c r="BA193" s="3" t="n"/>
      <c r="BB193" s="6" t="n"/>
      <c r="BC193" s="6" t="n"/>
      <c r="BD193" s="6" t="n"/>
      <c r="BE193" s="6" t="n"/>
      <c r="BF193" s="3" t="n"/>
      <c r="BG193" s="6" t="n"/>
      <c r="BH193" s="6" t="n"/>
      <c r="BI193" s="6" t="n"/>
      <c r="BJ193" s="6" t="n"/>
      <c r="BK193" s="3" t="n"/>
      <c r="BL193" s="6" t="n"/>
      <c r="BM193" s="6" t="n"/>
      <c r="BN193" s="6" t="n"/>
      <c r="BO193" s="6" t="n"/>
      <c r="BP193" s="3" t="n"/>
      <c r="BQ193" s="6" t="n"/>
      <c r="BR193" s="6" t="n"/>
      <c r="BS193" s="6" t="n"/>
      <c r="BT193" s="6" t="n"/>
      <c r="BU193" s="3" t="n"/>
      <c r="BV193" s="6" t="n"/>
      <c r="BW193" s="6" t="n"/>
      <c r="BX193" s="6" t="n"/>
      <c r="BY193" s="6" t="n"/>
      <c r="BZ193" s="3" t="n"/>
      <c r="CA193" s="6" t="n"/>
      <c r="CB193" s="6" t="n"/>
      <c r="CC193" s="6" t="n"/>
      <c r="CD193" s="6" t="n"/>
      <c r="CE193" s="3" t="n"/>
      <c r="CF193" s="6" t="n"/>
      <c r="CG193" s="6" t="n"/>
      <c r="CH193" s="6" t="n"/>
      <c r="CI193" s="6" t="n"/>
      <c r="CJ193" s="3" t="n"/>
      <c r="CK193" s="6" t="n"/>
      <c r="CL193" s="6" t="n"/>
      <c r="CM193" s="6" t="n"/>
      <c r="CN193" s="6" t="n"/>
      <c r="CO193" s="3" t="n"/>
      <c r="CP193" s="6" t="n"/>
      <c r="CQ193" s="6" t="n"/>
      <c r="CR193" s="6" t="n"/>
      <c r="CS193" s="6" t="n"/>
      <c r="CT193" s="3" t="n"/>
      <c r="CU193" s="6" t="n"/>
      <c r="CV193" s="6" t="n"/>
      <c r="CW193" s="6" t="n"/>
      <c r="CX193" s="6" t="n"/>
      <c r="CY193" s="3" t="n"/>
    </row>
    <row r="194" hidden="1" outlineLevel="1">
      <c r="C194" s="34" t="inlineStr">
        <is>
          <t>Intangibles</t>
        </is>
      </c>
      <c r="D194" s="3" t="n"/>
      <c r="E194" s="3">
        <f>E190</f>
        <v>0.45</v>
      </c>
      <c r="F194" s="3">
        <f>F190</f>
        <v>0.45</v>
      </c>
      <c r="G194" s="3">
        <f>G190</f>
        <v>0.45</v>
      </c>
      <c r="H194" s="3" t="n"/>
      <c r="I194" s="3">
        <f>I190</f>
        <v>3.23999999</v>
      </c>
      <c r="J194" s="3">
        <f>J190</f>
        <v>3.18999998</v>
      </c>
      <c r="K194" s="3">
        <f>K190</f>
        <v>2.606</v>
      </c>
      <c r="L194" s="3">
        <f>L190</f>
        <v>2.556</v>
      </c>
      <c r="M194" s="3" t="n"/>
      <c r="N194" s="3">
        <f>N190</f>
        <v>2.506</v>
      </c>
      <c r="O194" s="3">
        <f>O190</f>
        <v>2.456</v>
      </c>
      <c r="P194" s="3">
        <f>P190</f>
        <v>2.406</v>
      </c>
      <c r="Q194" s="3">
        <f>Q190</f>
        <v>4.515</v>
      </c>
      <c r="R194" s="3" t="n"/>
      <c r="S194" s="3">
        <f>S190</f>
        <v>11.951</v>
      </c>
      <c r="T194" s="3">
        <f>T190</f>
        <v>26.2</v>
      </c>
      <c r="U194" s="3">
        <f>U190</f>
        <v>30.907</v>
      </c>
      <c r="V194" s="3">
        <f>V190</f>
        <v>33.84</v>
      </c>
      <c r="W194" s="3" t="n"/>
      <c r="X194" s="3">
        <f>X190</f>
        <v>39.202</v>
      </c>
      <c r="Y194" s="3">
        <f>Y190</f>
        <v>43.174</v>
      </c>
      <c r="Z194" s="3">
        <f>Z190</f>
        <v>46.893</v>
      </c>
      <c r="AA194" s="3">
        <f>AA190</f>
        <v>61.16</v>
      </c>
      <c r="AB194" s="3" t="n"/>
      <c r="AC194" s="3">
        <f>AC190</f>
        <v>63.831</v>
      </c>
      <c r="AD194" s="3">
        <f>AD190</f>
        <v>69.687</v>
      </c>
      <c r="AE194" s="3">
        <f>AE190</f>
        <v>729.491</v>
      </c>
      <c r="AF194" s="3">
        <f>AF190</f>
        <v>651.724</v>
      </c>
      <c r="AG194" s="3" t="n"/>
      <c r="AH194" s="3">
        <f>AH190</f>
        <v>663.084</v>
      </c>
      <c r="AI194" s="3">
        <f>AI190</f>
        <v>748.934</v>
      </c>
      <c r="AJ194" s="3">
        <f>AI194+SUM(AJ192:AJ193)</f>
        <v>748.934</v>
      </c>
      <c r="AK194" s="3">
        <f>AJ194+SUM(AK192:AK193)</f>
        <v>748.934</v>
      </c>
      <c r="AL194" s="3" t="n"/>
      <c r="AM194" s="3">
        <f>AK194+SUM(AM192:AM193)</f>
        <v>748.934</v>
      </c>
      <c r="AN194" s="3">
        <f>AM194+SUM(AN192:AN193)</f>
        <v>748.934</v>
      </c>
      <c r="AO194" s="3">
        <f>AN194+SUM(AO192:AO193)</f>
        <v>748.934</v>
      </c>
      <c r="AP194" s="3">
        <f>AO194+SUM(AP192:AP193)</f>
        <v>748.934</v>
      </c>
      <c r="AQ194" s="3" t="n"/>
      <c r="AR194" s="3">
        <f>AP194+SUM(AR192:AR193)</f>
        <v>748.934</v>
      </c>
      <c r="AS194" s="3">
        <f>AR194+SUM(AS192:AS193)</f>
        <v>748.934</v>
      </c>
      <c r="AT194" s="3">
        <f>AS194+SUM(AT192:AT193)</f>
        <v>748.934</v>
      </c>
      <c r="AU194" s="3">
        <f>AT194+SUM(AU192:AU193)</f>
        <v>748.934</v>
      </c>
      <c r="AV194" s="3" t="n"/>
      <c r="AW194" s="3">
        <f>AU194+SUM(AW192:AW193)</f>
        <v>748.934</v>
      </c>
      <c r="AX194" s="3">
        <f>AW194+SUM(AX192:AX193)</f>
        <v>748.934</v>
      </c>
      <c r="AY194" s="3">
        <f>AX194+SUM(AY192:AY193)</f>
        <v>748.934</v>
      </c>
      <c r="AZ194" s="3">
        <f>AY194+SUM(AZ192:AZ193)</f>
        <v>748.934</v>
      </c>
      <c r="BA194" s="3" t="n"/>
      <c r="BB194" s="3">
        <f>AZ194+SUM(BB192:BB193)</f>
        <v>748.934</v>
      </c>
      <c r="BC194" s="3">
        <f>BB194+SUM(BC192:BC193)</f>
        <v>748.934</v>
      </c>
      <c r="BD194" s="3">
        <f>BC194+SUM(BD192:BD193)</f>
        <v>748.934</v>
      </c>
      <c r="BE194" s="3">
        <f>BD194+SUM(BE192:BE193)</f>
        <v>748.934</v>
      </c>
      <c r="BF194" s="3" t="n"/>
      <c r="BG194" s="3">
        <f>BE194+SUM(BG192:BG193)</f>
        <v>748.934</v>
      </c>
      <c r="BH194" s="3">
        <f>BG194+SUM(BH192:BH193)</f>
        <v>748.934</v>
      </c>
      <c r="BI194" s="3">
        <f>BH194+SUM(BI192:BI193)</f>
        <v>748.934</v>
      </c>
      <c r="BJ194" s="3">
        <f>BI194+SUM(BJ192:BJ193)</f>
        <v>748.934</v>
      </c>
      <c r="BK194" s="3" t="n"/>
      <c r="BL194" s="3">
        <f>BJ194+SUM(BL192:BL193)</f>
        <v>748.934</v>
      </c>
      <c r="BM194" s="3">
        <f>BL194+SUM(BM192:BM193)</f>
        <v>748.934</v>
      </c>
      <c r="BN194" s="3">
        <f>BM194+SUM(BN192:BN193)</f>
        <v>748.934</v>
      </c>
      <c r="BO194" s="3">
        <f>BN194+SUM(BO192:BO193)</f>
        <v>748.934</v>
      </c>
      <c r="BP194" s="3" t="n"/>
      <c r="BQ194" s="3">
        <f>BO194+SUM(BQ192:BQ193)</f>
        <v>748.934</v>
      </c>
      <c r="BR194" s="3">
        <f>BQ194+SUM(BR192:BR193)</f>
        <v>748.934</v>
      </c>
      <c r="BS194" s="3">
        <f>BR194+SUM(BS192:BS193)</f>
        <v>748.934</v>
      </c>
      <c r="BT194" s="3">
        <f>BS194+SUM(BT192:BT193)</f>
        <v>748.934</v>
      </c>
      <c r="BU194" s="3" t="n"/>
      <c r="BV194" s="3">
        <f>BT194+SUM(BV192:BV193)</f>
        <v>748.934</v>
      </c>
      <c r="BW194" s="3">
        <f>BV194+SUM(BW192:BW193)</f>
        <v>748.934</v>
      </c>
      <c r="BX194" s="3">
        <f>BW194+SUM(BX192:BX193)</f>
        <v>748.934</v>
      </c>
      <c r="BY194" s="3">
        <f>BX194+SUM(BY192:BY193)</f>
        <v>748.934</v>
      </c>
      <c r="BZ194" s="3" t="n"/>
      <c r="CA194" s="3">
        <f>BY194+SUM(CA192:CA193)</f>
        <v>748.934</v>
      </c>
      <c r="CB194" s="3">
        <f>CA194+SUM(CB192:CB193)</f>
        <v>748.934</v>
      </c>
      <c r="CC194" s="3">
        <f>CB194+SUM(CC192:CC193)</f>
        <v>748.934</v>
      </c>
      <c r="CD194" s="3">
        <f>CC194+SUM(CD192:CD193)</f>
        <v>748.934</v>
      </c>
      <c r="CE194" s="3" t="n"/>
      <c r="CF194" s="3">
        <f>CD194+SUM(CF192:CF193)</f>
        <v>748.934</v>
      </c>
      <c r="CG194" s="3">
        <f>CF194+SUM(CG192:CG193)</f>
        <v>748.934</v>
      </c>
      <c r="CH194" s="3">
        <f>CG194+SUM(CH192:CH193)</f>
        <v>748.934</v>
      </c>
      <c r="CI194" s="3">
        <f>CH194+SUM(CI192:CI193)</f>
        <v>748.934</v>
      </c>
      <c r="CJ194" s="3" t="n"/>
      <c r="CK194" s="3">
        <f>CI194+SUM(CK192:CK193)</f>
        <v>748.934</v>
      </c>
      <c r="CL194" s="3">
        <f>CK194+SUM(CL192:CL193)</f>
        <v>748.934</v>
      </c>
      <c r="CM194" s="3">
        <f>CL194+SUM(CM192:CM193)</f>
        <v>748.934</v>
      </c>
      <c r="CN194" s="3">
        <f>CM194+SUM(CN192:CN193)</f>
        <v>748.934</v>
      </c>
      <c r="CO194" s="3" t="n"/>
      <c r="CP194" s="3">
        <f>CN194+SUM(CP192:CP193)</f>
        <v>748.934</v>
      </c>
      <c r="CQ194" s="3">
        <f>CP194+SUM(CQ192:CQ193)</f>
        <v>748.934</v>
      </c>
      <c r="CR194" s="3">
        <f>CQ194+SUM(CR192:CR193)</f>
        <v>748.934</v>
      </c>
      <c r="CS194" s="3">
        <f>CR194+SUM(CS192:CS193)</f>
        <v>748.934</v>
      </c>
      <c r="CT194" s="3" t="n"/>
      <c r="CU194" s="3">
        <f>CS194+SUM(CU192:CU193)</f>
        <v>748.934</v>
      </c>
      <c r="CV194" s="3">
        <f>CU194+SUM(CV192:CV193)</f>
        <v>748.934</v>
      </c>
      <c r="CW194" s="3">
        <f>CV194+SUM(CW192:CW193)</f>
        <v>748.934</v>
      </c>
      <c r="CX194" s="3">
        <f>CW194+SUM(CX192:CX193)</f>
        <v>748.934</v>
      </c>
      <c r="CY194" s="3" t="n"/>
      <c r="CZ194">
        <f>CX194+SUM(CZ192:CZ193)</f>
        <v>748.934</v>
      </c>
      <c r="DA194">
        <f>CZ194+SUM(DA192:DA193)</f>
        <v>748.934</v>
      </c>
      <c r="DB194">
        <f>DA194+SUM(DB192:DB193)</f>
        <v>748.934</v>
      </c>
      <c r="DC194">
        <f>DB194+SUM(DC192:DC193)</f>
        <v>748.934</v>
      </c>
    </row>
    <row r="195" hidden="1" outlineLevel="1">
      <c r="C195" s="3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34" t="inlineStr">
        <is>
          <t>Definir % do D&amp;A No PPE and Intagibles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34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collapsed="1">
      <c r="C199" s="26" t="inlineStr">
        <is>
          <t>Other non-current assets</t>
        </is>
      </c>
      <c r="D199" s="25" t="e">
        <f>INDEX('Inputs (2)'!$D$26:$AL$26,MATCH(D$7,'Inputs (2)'!$D$2:$AL$2,0))</f>
        <v>#N/A</v>
      </c>
      <c r="E199" s="25">
        <f>INDEX('Inputs (2)'!$D$26:$AL$26,MATCH(E$7,'Inputs (2)'!$D$2:$AL$2,0))</f>
        <v>151.764</v>
      </c>
      <c r="F199" s="25">
        <f>INDEX('Inputs (2)'!$D$26:$AL$26,MATCH(F$7,'Inputs (2)'!$D$2:$AL$2,0))</f>
        <v>102.25086059</v>
      </c>
      <c r="G199" s="25">
        <f>INDEX('Inputs (2)'!$D$26:$AL$26,MATCH(G$7,'Inputs (2)'!$D$2:$AL$2,0))</f>
        <v>178.7817918</v>
      </c>
      <c r="H199" s="3">
        <f>G199</f>
        <v>178.7817918</v>
      </c>
      <c r="I199" s="25">
        <f>INDEX('Inputs (2)'!$D$26:$AL$26,MATCH(I$7,'Inputs (2)'!$D$2:$AL$2,0))</f>
        <v>103.672125</v>
      </c>
      <c r="J199" s="25">
        <f>INDEX('Inputs (2)'!$D$26:$AL$26,MATCH(J$7,'Inputs (2)'!$D$2:$AL$2,0))</f>
        <v>131.34670442</v>
      </c>
      <c r="K199" s="25">
        <f>INDEX('Inputs (2)'!$D$26:$AL$26,MATCH(K$7,'Inputs (2)'!$D$2:$AL$2,0))</f>
        <v>156.829</v>
      </c>
      <c r="L199" s="25">
        <f>INDEX('Inputs (2)'!$D$26:$AL$26,MATCH(L$7,'Inputs (2)'!$D$2:$AL$2,0))</f>
        <v>187.818</v>
      </c>
      <c r="M199" s="3">
        <f>L199</f>
        <v>187.818</v>
      </c>
      <c r="N199" s="25">
        <f>INDEX('Inputs (2)'!$D$26:$AL$26,MATCH(N$7,'Inputs (2)'!$D$2:$AL$2,0))</f>
        <v>169.365</v>
      </c>
      <c r="O199" s="25">
        <f>INDEX('Inputs (2)'!$D$26:$AL$26,MATCH(O$7,'Inputs (2)'!$D$2:$AL$2,0))</f>
        <v>198.833</v>
      </c>
      <c r="P199" s="25">
        <f>INDEX('Inputs (2)'!$D$26:$AL$26,MATCH(P$7,'Inputs (2)'!$D$2:$AL$2,0))</f>
        <v>220.47868171</v>
      </c>
      <c r="Q199" s="25">
        <f>INDEX('Inputs (2)'!$D$26:$AL$26,MATCH(Q$7,'Inputs (2)'!$D$2:$AL$2,0))</f>
        <v>236.64763351</v>
      </c>
      <c r="R199" s="3">
        <f>Q199</f>
        <v>236.64763351</v>
      </c>
      <c r="S199" s="25">
        <f>INDEX('Inputs (2)'!$D$26:$AL$26,MATCH(S$7,'Inputs (2)'!$D$2:$AL$2,0))</f>
        <v>255.56792086</v>
      </c>
      <c r="T199" s="25">
        <f>INDEX('Inputs (2)'!$D$26:$AL$26,MATCH(T$7,'Inputs (2)'!$D$2:$AL$2,0))</f>
        <v>431.297</v>
      </c>
      <c r="U199" s="25">
        <f>INDEX('Inputs (2)'!$D$26:$AL$26,MATCH(U$7,'Inputs (2)'!$D$2:$AL$2,0))</f>
        <v>439.403</v>
      </c>
      <c r="V199" s="25">
        <f>INDEX('Inputs (2)'!$D$26:$AL$26,MATCH(V$7,'Inputs (2)'!$D$2:$AL$2,0))</f>
        <v>351.47481072</v>
      </c>
      <c r="W199" s="3">
        <f>V199</f>
        <v>351.47481072</v>
      </c>
      <c r="X199" s="25">
        <f>INDEX('Inputs (2)'!$D$26:$AL$26,MATCH(X$7,'Inputs (2)'!$D$2:$AL$2,0))</f>
        <v>372.259</v>
      </c>
      <c r="Y199" s="25">
        <f>INDEX('Inputs (2)'!$D$26:$AL$26,MATCH(Y$7,'Inputs (2)'!$D$2:$AL$2,0))</f>
        <v>393.699</v>
      </c>
      <c r="Z199" s="25">
        <f>INDEX('Inputs (2)'!$D$26:$AL$26,MATCH(Z$7,'Inputs (2)'!$D$2:$AL$2,0))</f>
        <v>414.444</v>
      </c>
      <c r="AA199" s="25">
        <f>INDEX('Inputs (2)'!$D$26:$AL$26,MATCH(AA$7,'Inputs (2)'!$D$2:$AL$2,0))</f>
        <v>340.359</v>
      </c>
      <c r="AB199" s="3">
        <f>AA199</f>
        <v>340.359</v>
      </c>
      <c r="AC199" s="25">
        <f>INDEX('Inputs (2)'!$D$26:$AL$26,MATCH(AC$7,'Inputs (2)'!$D$2:$AL$2,0))</f>
        <v>340.443</v>
      </c>
      <c r="AD199" s="25">
        <f>INDEX('Inputs (2)'!$D$26:$AL$26,MATCH(AD$7,'Inputs (2)'!$D$2:$AL$2,0))</f>
        <v>711.77010598</v>
      </c>
      <c r="AE199" s="25">
        <f>INDEX('Inputs (2)'!$D$26:$AL$26,MATCH(AE$7,'Inputs (2)'!$D$2:$AL$2,0))</f>
        <v>691.762</v>
      </c>
      <c r="AF199" s="25">
        <f>INDEX('Inputs (2)'!$D$26:$AL$26,MATCH(AF$7,'Inputs (2)'!$D$2:$AL$2,0))</f>
        <v>678.416</v>
      </c>
      <c r="AG199" s="3">
        <f>AF199</f>
        <v>678.416</v>
      </c>
      <c r="AH199" s="3">
        <f>INDEX('Inputs (2)'!$D$26:$AL$26,MATCH(AH$7,'Inputs (2)'!$D$2:$AL$2,0))</f>
        <v>739.068</v>
      </c>
      <c r="AI199" s="3">
        <f>INDEX('Inputs (2)'!$D$26:$AL$26,MATCH(AI$7,'Inputs (2)'!$D$2:$AL$2,0))</f>
        <v>854.664</v>
      </c>
      <c r="AJ199" s="3">
        <f>AI199</f>
        <v>854.664</v>
      </c>
      <c r="AK199" s="3">
        <f>AJ199</f>
        <v>854.664</v>
      </c>
      <c r="AL199" s="3">
        <f>AK199</f>
        <v>854.664</v>
      </c>
      <c r="AM199" s="3">
        <f>AL199</f>
        <v>854.664</v>
      </c>
      <c r="AN199" s="3">
        <f>AM199</f>
        <v>854.664</v>
      </c>
      <c r="AO199" s="3">
        <f>AN199</f>
        <v>854.664</v>
      </c>
      <c r="AP199" s="3">
        <f>AO199</f>
        <v>854.664</v>
      </c>
      <c r="AQ199" s="3">
        <f>AP199</f>
        <v>854.664</v>
      </c>
      <c r="AR199" s="3">
        <f>AQ199</f>
        <v>854.664</v>
      </c>
      <c r="AS199" s="3">
        <f>AR199</f>
        <v>854.664</v>
      </c>
      <c r="AT199" s="3">
        <f>AS199</f>
        <v>854.664</v>
      </c>
      <c r="AU199" s="3">
        <f>AT199</f>
        <v>854.664</v>
      </c>
      <c r="AV199" s="3">
        <f>AU199</f>
        <v>854.664</v>
      </c>
      <c r="AW199" s="3">
        <f>AV199</f>
        <v>854.664</v>
      </c>
      <c r="AX199" s="3">
        <f>AW199</f>
        <v>854.664</v>
      </c>
      <c r="AY199" s="3">
        <f>AX199</f>
        <v>854.664</v>
      </c>
      <c r="AZ199" s="3">
        <f>AY199</f>
        <v>854.664</v>
      </c>
      <c r="BA199" s="3">
        <f>AZ199</f>
        <v>854.664</v>
      </c>
      <c r="BB199" s="3">
        <f>BA199</f>
        <v>854.664</v>
      </c>
      <c r="BC199" s="3">
        <f>BB199</f>
        <v>854.664</v>
      </c>
      <c r="BD199" s="3">
        <f>BC199</f>
        <v>854.664</v>
      </c>
      <c r="BE199" s="3">
        <f>BD199</f>
        <v>854.664</v>
      </c>
      <c r="BF199" s="3">
        <f>BE199</f>
        <v>854.664</v>
      </c>
      <c r="BG199" s="3">
        <f>BF199</f>
        <v>854.664</v>
      </c>
      <c r="BH199" s="3">
        <f>BG199</f>
        <v>854.664</v>
      </c>
      <c r="BI199" s="3">
        <f>BH199</f>
        <v>854.664</v>
      </c>
      <c r="BJ199" s="3">
        <f>BI199</f>
        <v>854.664</v>
      </c>
      <c r="BK199" s="3">
        <f>BJ199</f>
        <v>854.664</v>
      </c>
      <c r="BL199" s="3">
        <f>BK199</f>
        <v>854.664</v>
      </c>
      <c r="BM199" s="3">
        <f>BL199</f>
        <v>854.664</v>
      </c>
      <c r="BN199" s="3">
        <f>BM199</f>
        <v>854.664</v>
      </c>
      <c r="BO199" s="3">
        <f>BN199</f>
        <v>854.664</v>
      </c>
      <c r="BP199" s="3">
        <f>BO199</f>
        <v>854.664</v>
      </c>
      <c r="BQ199" s="3">
        <f>BP199</f>
        <v>854.664</v>
      </c>
      <c r="BR199" s="3">
        <f>BQ199</f>
        <v>854.664</v>
      </c>
      <c r="BS199" s="3">
        <f>BR199</f>
        <v>854.664</v>
      </c>
      <c r="BT199" s="3">
        <f>BS199</f>
        <v>854.664</v>
      </c>
      <c r="BU199" s="3">
        <f>BT199</f>
        <v>854.664</v>
      </c>
      <c r="BV199" s="3">
        <f>BU199</f>
        <v>854.664</v>
      </c>
      <c r="BW199" s="3">
        <f>BV199</f>
        <v>854.664</v>
      </c>
      <c r="BX199" s="3">
        <f>BW199</f>
        <v>854.664</v>
      </c>
      <c r="BY199" s="3">
        <f>BX199</f>
        <v>854.664</v>
      </c>
      <c r="BZ199" s="3">
        <f>BY199</f>
        <v>854.664</v>
      </c>
      <c r="CA199" s="3">
        <f>BZ199</f>
        <v>854.664</v>
      </c>
      <c r="CB199" s="3">
        <f>CA199</f>
        <v>854.664</v>
      </c>
      <c r="CC199" s="3">
        <f>CB199</f>
        <v>854.664</v>
      </c>
      <c r="CD199" s="3">
        <f>CC199</f>
        <v>854.664</v>
      </c>
      <c r="CE199" s="3">
        <f>CD199</f>
        <v>854.664</v>
      </c>
      <c r="CF199" s="3">
        <f>CE199</f>
        <v>854.664</v>
      </c>
      <c r="CG199" s="3">
        <f>CF199</f>
        <v>854.664</v>
      </c>
      <c r="CH199" s="3">
        <f>CG199</f>
        <v>854.664</v>
      </c>
      <c r="CI199" s="3">
        <f>CH199</f>
        <v>854.664</v>
      </c>
      <c r="CJ199" s="3">
        <f>CI199</f>
        <v>854.664</v>
      </c>
      <c r="CK199" s="3">
        <f>CJ199</f>
        <v>854.664</v>
      </c>
      <c r="CL199" s="3">
        <f>CK199</f>
        <v>854.664</v>
      </c>
      <c r="CM199" s="3">
        <f>CL199</f>
        <v>854.664</v>
      </c>
      <c r="CN199" s="3">
        <f>CM199</f>
        <v>854.664</v>
      </c>
      <c r="CO199" s="3">
        <f>CN199</f>
        <v>854.664</v>
      </c>
      <c r="CP199" s="3">
        <f>CO199</f>
        <v>854.664</v>
      </c>
      <c r="CQ199" s="3">
        <f>CP199</f>
        <v>854.664</v>
      </c>
      <c r="CR199" s="3">
        <f>CQ199</f>
        <v>854.664</v>
      </c>
      <c r="CS199" s="3">
        <f>CR199</f>
        <v>854.664</v>
      </c>
      <c r="CT199" s="3">
        <f>CS199</f>
        <v>854.664</v>
      </c>
      <c r="CU199" s="3">
        <f>CT199</f>
        <v>854.664</v>
      </c>
      <c r="CV199" s="3">
        <f>CU199</f>
        <v>854.664</v>
      </c>
      <c r="CW199" s="3">
        <f>CV199</f>
        <v>854.664</v>
      </c>
      <c r="CX199" s="3">
        <f>CW199</f>
        <v>854.664</v>
      </c>
      <c r="CY199" s="3">
        <f>CX199</f>
        <v>854.664</v>
      </c>
    </row>
    <row r="200" hidden="1" outlineLevel="1">
      <c r="C200" s="38" t="inlineStr">
        <is>
          <t>%(Var.)</t>
        </is>
      </c>
      <c r="D200" s="3" t="n"/>
      <c r="E200" s="47" t="e">
        <f>(E199-D199)/D199</f>
        <v>#N/A</v>
      </c>
      <c r="F200" s="47">
        <f>(F199-E199)/E199</f>
        <v>-0.326250885651406</v>
      </c>
      <c r="G200" s="47">
        <f>(G199-F199)/F199</f>
        <v>0.748462465434591</v>
      </c>
      <c r="H200" s="3" t="n"/>
      <c r="I200" s="47">
        <f>(I199-H199)/H199</f>
        <v>-0.420119219321976</v>
      </c>
      <c r="J200" s="47">
        <f>(J199-I199)/I199</f>
        <v>0.266943302454734</v>
      </c>
      <c r="K200" s="47">
        <f>(K199-J199)/J199</f>
        <v>0.194007879318515</v>
      </c>
      <c r="L200" s="47">
        <f>(L199-K199)/K199</f>
        <v>0.197597383137047</v>
      </c>
      <c r="M200" s="3" t="n"/>
      <c r="N200" s="47">
        <f>(N199-M199)/M199</f>
        <v>-0.0982493690700572</v>
      </c>
      <c r="O200" s="47">
        <f>(O199-N199)/N199</f>
        <v>0.173991084344463</v>
      </c>
      <c r="P200" s="47">
        <f>(P199-O199)/O199</f>
        <v>0.10886362781832</v>
      </c>
      <c r="Q200" s="47">
        <f>(Q199-P199)/P199</f>
        <v>0.0733356698007989</v>
      </c>
      <c r="R200" s="3" t="n"/>
      <c r="S200" s="47">
        <f>(S199-R199)/R199</f>
        <v>0.0799513059537968</v>
      </c>
      <c r="T200" s="47">
        <f>(T199-S199)/S199</f>
        <v>0.687602256764707</v>
      </c>
      <c r="U200" s="47">
        <f>(U199-T199)/T199</f>
        <v>0.018794473413912</v>
      </c>
      <c r="V200" s="47">
        <f>(V199-U199)/U199</f>
        <v>-0.20010830440393</v>
      </c>
      <c r="W200" s="3" t="n"/>
      <c r="X200" s="47">
        <f>(X199-W199)/W199</f>
        <v>0.0591342214180961</v>
      </c>
      <c r="Y200" s="47">
        <f>(Y199-X199)/X199</f>
        <v>0.0575943093383907</v>
      </c>
      <c r="Z200" s="47">
        <f>(Z199-Y199)/Y199</f>
        <v>0.0526925392241281</v>
      </c>
      <c r="AA200" s="47">
        <f>(AA199-Z199)/Z199</f>
        <v>-0.178757564351276</v>
      </c>
      <c r="AB200" s="3" t="n"/>
      <c r="AC200" s="47">
        <f>(AC199-AB199)/AB199</f>
        <v>0.000246798233629961</v>
      </c>
      <c r="AD200" s="47">
        <f>(AD199-AC199)/AC199</f>
        <v>1.09071740637934</v>
      </c>
      <c r="AE200" s="47">
        <f>(AE199-AD199)/AD199</f>
        <v>-0.0281103488498607</v>
      </c>
      <c r="AF200" s="218">
        <f>(AF199-AE199)/AE199</f>
        <v>-0.0192927625397174</v>
      </c>
      <c r="AG200" s="3" t="n"/>
      <c r="AH200" s="218">
        <f>(AH199-AG199)/AG199</f>
        <v>0.0894023725855521</v>
      </c>
      <c r="AI200" s="218">
        <f>(AI199-AH199)/AH199</f>
        <v>0.156407800094173</v>
      </c>
      <c r="AJ200" s="218" t="n"/>
      <c r="AK200" s="218" t="n"/>
      <c r="AL200" s="3" t="n"/>
      <c r="AM200" s="218" t="n"/>
      <c r="AN200" s="218" t="n"/>
      <c r="AO200" s="218" t="n"/>
      <c r="AP200" s="218" t="n"/>
      <c r="AQ200" s="3" t="n"/>
      <c r="AR200" s="218" t="n"/>
      <c r="AS200" s="218" t="n"/>
      <c r="AT200" s="218" t="n"/>
      <c r="AU200" s="218" t="n"/>
      <c r="AV200" s="3" t="n"/>
      <c r="AW200" s="218" t="n"/>
      <c r="AX200" s="218" t="n"/>
      <c r="AY200" s="218" t="n"/>
      <c r="AZ200" s="218" t="n"/>
      <c r="BA200" s="3" t="n"/>
      <c r="BB200" s="218" t="n"/>
      <c r="BC200" s="218" t="n"/>
      <c r="BD200" s="218" t="n"/>
      <c r="BE200" s="218" t="n"/>
      <c r="BF200" s="3" t="n"/>
      <c r="BG200" s="218" t="n"/>
      <c r="BH200" s="218" t="n"/>
      <c r="BI200" s="218" t="n"/>
      <c r="BJ200" s="218" t="n"/>
      <c r="BK200" s="3" t="n"/>
      <c r="BL200" s="218" t="n"/>
      <c r="BM200" s="218" t="n"/>
      <c r="BN200" s="218" t="n"/>
      <c r="BO200" s="218" t="n"/>
      <c r="BP200" s="3" t="n"/>
      <c r="BQ200" s="218" t="n"/>
      <c r="BR200" s="218" t="n"/>
      <c r="BS200" s="218" t="n"/>
      <c r="BT200" s="218" t="n"/>
      <c r="BU200" s="3" t="n"/>
      <c r="BV200" s="218" t="n"/>
      <c r="BW200" s="218" t="n"/>
      <c r="BX200" s="218" t="n"/>
      <c r="BY200" s="218" t="n"/>
      <c r="BZ200" s="3" t="n"/>
      <c r="CA200" s="218" t="n"/>
      <c r="CB200" s="218" t="n"/>
      <c r="CC200" s="218" t="n"/>
      <c r="CD200" s="218" t="n"/>
      <c r="CE200" s="3" t="n"/>
      <c r="CF200" s="218" t="n"/>
      <c r="CG200" s="218" t="n"/>
      <c r="CH200" s="218" t="n"/>
      <c r="CI200" s="218" t="n"/>
      <c r="CJ200" s="3" t="n"/>
      <c r="CK200" s="218" t="n"/>
      <c r="CL200" s="218" t="n"/>
      <c r="CM200" s="218" t="n"/>
      <c r="CN200" s="218" t="n"/>
      <c r="CO200" s="3" t="n"/>
      <c r="CP200" s="218" t="n"/>
      <c r="CQ200" s="218" t="n"/>
      <c r="CR200" s="218" t="n"/>
      <c r="CS200" s="218" t="n"/>
      <c r="CT200" s="3" t="n"/>
      <c r="CU200" s="218" t="n"/>
      <c r="CV200" s="218" t="n"/>
      <c r="CW200" s="218" t="n"/>
      <c r="CX200" s="218" t="n"/>
      <c r="CY200" s="3" t="n"/>
    </row>
    <row r="201" hidden="1" outlineLevel="1">
      <c r="C201" s="34" t="n"/>
      <c r="D201" s="3" t="n"/>
      <c r="E201" s="47" t="n"/>
      <c r="F201" s="47" t="n"/>
      <c r="G201" s="47" t="n"/>
      <c r="H201" s="3" t="n"/>
      <c r="I201" s="47" t="n"/>
      <c r="J201" s="47" t="n"/>
      <c r="K201" s="47" t="n"/>
      <c r="L201" s="47" t="n"/>
      <c r="M201" s="3" t="n"/>
      <c r="N201" s="47" t="n"/>
      <c r="O201" s="47" t="n"/>
      <c r="P201" s="47" t="n"/>
      <c r="Q201" s="47" t="n"/>
      <c r="R201" s="3" t="n"/>
      <c r="S201" s="47" t="n"/>
      <c r="T201" s="47" t="n"/>
      <c r="U201" s="47" t="n"/>
      <c r="V201" s="47" t="n"/>
      <c r="W201" s="3" t="n"/>
      <c r="X201" s="47" t="n"/>
      <c r="Y201" s="47" t="n"/>
      <c r="Z201" s="47" t="n"/>
      <c r="AA201" s="47" t="n"/>
      <c r="AB201" s="3" t="n"/>
      <c r="AC201" s="47" t="n"/>
      <c r="AD201" s="47" t="n"/>
      <c r="AE201" s="47" t="n"/>
      <c r="AF201" s="218" t="n"/>
      <c r="AG201" s="3" t="n"/>
      <c r="AH201" s="218" t="n"/>
      <c r="AI201" s="218" t="n"/>
      <c r="AJ201" s="218" t="n"/>
      <c r="AK201" s="218" t="n"/>
      <c r="AL201" s="3" t="n"/>
      <c r="AM201" s="218" t="n"/>
      <c r="AN201" s="218" t="n"/>
      <c r="AO201" s="218" t="n"/>
      <c r="AP201" s="218" t="n"/>
      <c r="AQ201" s="3" t="n"/>
      <c r="AR201" s="218" t="n"/>
      <c r="AS201" s="218" t="n"/>
      <c r="AT201" s="218" t="n"/>
      <c r="AU201" s="218" t="n"/>
      <c r="AV201" s="3" t="n"/>
      <c r="AW201" s="218" t="n"/>
      <c r="AX201" s="218" t="n"/>
      <c r="AY201" s="218" t="n"/>
      <c r="AZ201" s="218" t="n"/>
      <c r="BA201" s="3" t="n"/>
      <c r="BB201" s="218" t="n"/>
      <c r="BC201" s="218" t="n"/>
      <c r="BD201" s="218" t="n"/>
      <c r="BE201" s="218" t="n"/>
      <c r="BF201" s="3" t="n"/>
      <c r="BG201" s="218" t="n"/>
      <c r="BH201" s="218" t="n"/>
      <c r="BI201" s="218" t="n"/>
      <c r="BJ201" s="218" t="n"/>
      <c r="BK201" s="3" t="n"/>
      <c r="BL201" s="218" t="n"/>
      <c r="BM201" s="218" t="n"/>
      <c r="BN201" s="218" t="n"/>
      <c r="BO201" s="218" t="n"/>
      <c r="BP201" s="3" t="n"/>
      <c r="BQ201" s="218" t="n"/>
      <c r="BR201" s="218" t="n"/>
      <c r="BS201" s="218" t="n"/>
      <c r="BT201" s="218" t="n"/>
      <c r="BU201" s="3" t="n"/>
      <c r="BV201" s="218" t="n"/>
      <c r="BW201" s="218" t="n"/>
      <c r="BX201" s="218" t="n"/>
      <c r="BY201" s="218" t="n"/>
      <c r="BZ201" s="3" t="n"/>
      <c r="CA201" s="218" t="n"/>
      <c r="CB201" s="218" t="n"/>
      <c r="CC201" s="218" t="n"/>
      <c r="CD201" s="218" t="n"/>
      <c r="CE201" s="3" t="n"/>
      <c r="CF201" s="218" t="n"/>
      <c r="CG201" s="218" t="n"/>
      <c r="CH201" s="218" t="n"/>
      <c r="CI201" s="218" t="n"/>
      <c r="CJ201" s="3" t="n"/>
      <c r="CK201" s="218" t="n"/>
      <c r="CL201" s="218" t="n"/>
      <c r="CM201" s="218" t="n"/>
      <c r="CN201" s="218" t="n"/>
      <c r="CO201" s="3" t="n"/>
      <c r="CP201" s="218" t="n"/>
      <c r="CQ201" s="218" t="n"/>
      <c r="CR201" s="218" t="n"/>
      <c r="CS201" s="218" t="n"/>
      <c r="CT201" s="3" t="n"/>
      <c r="CU201" s="218" t="n"/>
      <c r="CV201" s="218" t="n"/>
      <c r="CW201" s="218" t="n"/>
      <c r="CX201" s="218" t="n"/>
      <c r="CY201" s="3" t="n"/>
    </row>
    <row r="202" hidden="1" outlineLevel="1">
      <c r="C202" s="52" t="inlineStr">
        <is>
          <t>Outros Créditos - LP</t>
        </is>
      </c>
      <c r="D202" s="6" t="n"/>
      <c r="E202" s="6" t="n"/>
      <c r="F202" s="6" t="n"/>
      <c r="G202" s="6" t="n"/>
      <c r="H202" s="3" t="n"/>
      <c r="I202" s="6" t="n"/>
      <c r="J202" s="6" t="n"/>
      <c r="K202" s="6" t="n"/>
      <c r="L202" s="6" t="n"/>
      <c r="M202" s="3" t="n"/>
      <c r="N202" s="6" t="n"/>
      <c r="O202" s="6" t="n"/>
      <c r="P202" s="6" t="n"/>
      <c r="Q202" s="6" t="n"/>
      <c r="R202" s="3" t="n"/>
      <c r="S202" s="6" t="n"/>
      <c r="T202" s="6" t="n"/>
      <c r="U202" s="6" t="n"/>
      <c r="V202" s="6" t="n"/>
      <c r="W202" s="3" t="n"/>
      <c r="X202" s="6" t="n"/>
      <c r="Y202" s="6" t="n"/>
      <c r="Z202" s="6" t="n"/>
      <c r="AA202" s="6" t="n"/>
      <c r="AB202" s="3" t="n"/>
      <c r="AC202" s="6" t="n"/>
      <c r="AD202" s="6" t="n"/>
      <c r="AE202" s="6" t="n"/>
      <c r="AF202" s="6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hidden="1" outlineLevel="1">
      <c r="C203" s="52" t="inlineStr">
        <is>
          <t xml:space="preserve">Impostos e Contribuições a Recuperar </t>
        </is>
      </c>
      <c r="D203" s="6" t="n"/>
      <c r="E203" s="6" t="n"/>
      <c r="F203" s="6" t="n"/>
      <c r="G203" s="6" t="n"/>
      <c r="H203" s="3" t="n"/>
      <c r="I203" s="6" t="n"/>
      <c r="J203" s="6" t="n"/>
      <c r="K203" s="6" t="n"/>
      <c r="L203" s="6" t="n"/>
      <c r="M203" s="3" t="n"/>
      <c r="N203" s="6" t="n"/>
      <c r="O203" s="6" t="n"/>
      <c r="P203" s="6" t="n"/>
      <c r="Q203" s="6" t="n"/>
      <c r="R203" s="3" t="n"/>
      <c r="S203" s="6" t="n"/>
      <c r="T203" s="6" t="n"/>
      <c r="U203" s="6" t="n"/>
      <c r="V203" s="6" t="n"/>
      <c r="W203" s="3" t="n"/>
      <c r="X203" s="6" t="n"/>
      <c r="Y203" s="6" t="n"/>
      <c r="Z203" s="6" t="n"/>
      <c r="AA203" s="6" t="n"/>
      <c r="AB203" s="3" t="n"/>
      <c r="AC203" s="6" t="n"/>
      <c r="AD203" s="6" t="n"/>
      <c r="AE203" s="6" t="n"/>
      <c r="AF203" s="6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hidden="1" outlineLevel="1">
      <c r="C204" s="52" t="inlineStr">
        <is>
          <t xml:space="preserve">Imposto de Renda e Contribuição Social Diferidos </t>
        </is>
      </c>
      <c r="D204" s="6" t="n"/>
      <c r="E204" s="6" t="n"/>
      <c r="F204" s="6" t="n"/>
      <c r="G204" s="6" t="n"/>
      <c r="H204" s="3" t="n"/>
      <c r="I204" s="6" t="n"/>
      <c r="J204" s="6" t="n"/>
      <c r="K204" s="6" t="n"/>
      <c r="L204" s="6" t="n"/>
      <c r="M204" s="3" t="n"/>
      <c r="N204" s="6" t="n"/>
      <c r="O204" s="6" t="n"/>
      <c r="P204" s="6" t="n"/>
      <c r="Q204" s="6" t="n"/>
      <c r="R204" s="3" t="n"/>
      <c r="S204" s="6" t="n"/>
      <c r="T204" s="6" t="n"/>
      <c r="U204" s="6" t="n"/>
      <c r="V204" s="6" t="n"/>
      <c r="W204" s="3" t="n"/>
      <c r="X204" s="6" t="n"/>
      <c r="Y204" s="6" t="n"/>
      <c r="Z204" s="6" t="n"/>
      <c r="AA204" s="6" t="n"/>
      <c r="AB204" s="3" t="n"/>
      <c r="AC204" s="6" t="n"/>
      <c r="AD204" s="6" t="n"/>
      <c r="AE204" s="6" t="n"/>
      <c r="AF204" s="6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  <c r="CU204" s="3" t="n"/>
      <c r="CV204" s="3" t="n"/>
      <c r="CW204" s="3" t="n"/>
      <c r="CX204" s="3" t="n"/>
      <c r="CY204" s="3" t="n"/>
    </row>
    <row r="205" hidden="1" outlineLevel="1">
      <c r="C205" s="52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  <c r="CU205" s="3" t="n"/>
      <c r="CV205" s="3" t="n"/>
      <c r="CW205" s="3" t="n"/>
      <c r="CX205" s="3" t="n"/>
      <c r="CY205" s="3" t="n"/>
    </row>
    <row r="206" hidden="1" outlineLevel="1">
      <c r="C206" s="3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</row>
    <row r="207" collapsed="1" customFormat="1" s="17">
      <c r="A207" s="13" t="n"/>
      <c r="B207" s="1" t="n"/>
      <c r="C207" s="14" t="inlineStr">
        <is>
          <t>Total Assets</t>
        </is>
      </c>
      <c r="D207" s="16" t="e">
        <f>(D154+D155+D159+D163+D164+D165+D171+D176+D186+D189+D190+D199)</f>
        <v>#N/A</v>
      </c>
      <c r="E207" s="16">
        <f>(E154+E155+E159+E163+E164+E165+E171+E176+E186+E189+E190+E199)</f>
        <v>5130.344</v>
      </c>
      <c r="F207" s="16">
        <f>(F154+F155+F159+F163+F164+F165+F171+F176+F186+F189+F190+F199)</f>
        <v>5760.52018652017</v>
      </c>
      <c r="G207" s="16">
        <f>(G154+G155+G159+G163+G164+G165+G171+G176+G186+G189+G190+G199)</f>
        <v>8198.71036570007</v>
      </c>
      <c r="H207" s="16">
        <f>SUM(H154,H155,H159,H163,H164,H165,H171,H186,H189,H190,H199,H176)</f>
        <v>8198.71036570007</v>
      </c>
      <c r="I207" s="16">
        <f>(I154+I155+I159+I163+I164+I165+I171+I176+I186+I189+I190+I199)</f>
        <v>8181.50533024</v>
      </c>
      <c r="J207" s="16">
        <f>(J154+J155+J159+J163+J164+J165+J171+J176+J186+J189+J190+J199)</f>
        <v>8758.60128273</v>
      </c>
      <c r="K207" s="16">
        <f>(K154+K155+K159+K163+K164+K165+K171+K176+K186+K189+K190+K199)</f>
        <v>9205.963</v>
      </c>
      <c r="L207" s="16">
        <f>(L154+L155+L159+L163+L164+L165+L171+L176+L186+L189+L190+L199)</f>
        <v>9954.991</v>
      </c>
      <c r="M207" s="16">
        <f>SUM(M154,M155,M159,M163,M164,M165,M171,M186,M189,M190,M199,M176)</f>
        <v>9954.991</v>
      </c>
      <c r="N207" s="16">
        <f>(N154+N155+N159+N163+N164+N165+N171+N176+N186+N189+N190+N199)</f>
        <v>10460.07</v>
      </c>
      <c r="O207" s="16">
        <f>(O154+O155+O159+O163+O164+O165+O171+O176+O186+O189+O190+O199)</f>
        <v>11434.97444904</v>
      </c>
      <c r="P207" s="16">
        <f>(P154+P155+P159+P163+P164+P165+P171+P176+P186+P189+P190+P199)</f>
        <v>12387.778938</v>
      </c>
      <c r="Q207" s="16">
        <f>(Q154+Q155+Q159+Q163+Q164+Q165+Q171+Q176+Q186+Q189+Q190+Q199)</f>
        <v>13263.93794475</v>
      </c>
      <c r="R207" s="16">
        <f>SUM(R154,R155,R159,R163,R164,R165,R171,R186,R189,R190,R199,R176)</f>
        <v>13263.93794475</v>
      </c>
      <c r="S207" s="16">
        <f>(S154+S155+S159+S163+S164+S165+S171+S176+S186+S189+S190+S199)</f>
        <v>13726.17022189</v>
      </c>
      <c r="T207" s="16">
        <f>(T154+T155+T159+T163+T164+T165+T171+T176+T186+T189+T190+T199)</f>
        <v>14378.139</v>
      </c>
      <c r="U207" s="16">
        <f>(U154+U155+U159+U163+U164+U165+U171+U176+U186+U189+U190+U199)</f>
        <v>15056.338</v>
      </c>
      <c r="V207" s="16">
        <f>(V154+V155+V159+V163+V164+V165+V171+V176+V186+V189+V190+V199)</f>
        <v>16357.29579394</v>
      </c>
      <c r="W207" s="16">
        <f>SUM(W154,W155,W159,W163,W164,W165,W171,W186,W189,W190,W199,W176)</f>
        <v>16357.29579394</v>
      </c>
      <c r="X207" s="16">
        <f>(X154+X155+X159+X163+X164+X165+X171+X176+X186+X189+X190+X199)</f>
        <v>16519.334</v>
      </c>
      <c r="Y207" s="16">
        <f>(Y154+Y155+Y159+Y163+Y164+Y165+Y171+Y176+Y186+Y189+Y190+Y199)</f>
        <v>17131.00770197</v>
      </c>
      <c r="Z207" s="16">
        <f>(Z154+Z155+Z159+Z163+Z164+Z165+Z171+Z176+Z186+Z189+Z190+Z199)</f>
        <v>17900.655</v>
      </c>
      <c r="AA207" s="16">
        <f>(AA154+AA155+AA159+AA163+AA164+AA165+AA171+AA176+AA186+AA189+AA190+AA199)</f>
        <v>18228.167</v>
      </c>
      <c r="AB207" s="16">
        <f>SUM(AB154,AB155,AB159,AB163,AB164,AB165,AB171,AB186,AB189,AB190,AB199,AB176)</f>
        <v>18228.167</v>
      </c>
      <c r="AC207" s="16">
        <f>(AC154+AC155+AC159+AC163+AC164+AC165+AC171+AC176+AC186+AC189+AC190+AC199)</f>
        <v>19342.417</v>
      </c>
      <c r="AD207" s="16">
        <f>(AD154+AD155+AD159+AD163+AD164+AD165+AD171+AD176+AD186+AD189+AD190+AD199)</f>
        <v>19666.72010598</v>
      </c>
      <c r="AE207" s="16">
        <f>(AE154+AE155+AE159+AE163+AE164+AE165+AE171+AE176+AE186+AE189+AE190+AE199)</f>
        <v>23696.093</v>
      </c>
      <c r="AF207" s="16">
        <f>(AF154+AF155+AF159+AF163+AF164+AF165+AF171+AF176+AF186+AF189+AF190+AF199)</f>
        <v>24352.014</v>
      </c>
      <c r="AG207" s="16">
        <f>SUM(AG154,AG155,AG159,AG163,AG164,AG165,AG171,AG186,AG189,AG190,AG199,AG176)</f>
        <v>24352.014</v>
      </c>
      <c r="AH207" s="16">
        <f>(AH154+AH155+AH159+AH163+AH164+AH165+AH171+AH176+AH186+AH189+AH190+AH199)</f>
        <v>24737.405</v>
      </c>
      <c r="AI207" s="16">
        <f>(AI154+AI155+AI159+AI163+AI164+AI165+AI171+AI176+AI186+AI189+AI190+AI199)</f>
        <v>25153.122</v>
      </c>
      <c r="AJ207" s="16">
        <f>(AJ154+AJ155+AJ159+AJ163+AJ164+AJ165+AJ171+AJ176+AJ186+AJ189+AJ190+AJ199)</f>
        <v>19668.217</v>
      </c>
      <c r="AK207" s="16">
        <f>(AK154+AK155+AK159+AK163+AK164+AK165+AK171+AK176+AK186+AK189+AK190+AK199)</f>
        <v>19758.992</v>
      </c>
      <c r="AL207" s="16">
        <f>SUM(AL154,AL155,AL159,AL163,AL164,AL165,AL171,AL186,AL189,AL190,AL199,AL176)</f>
        <v>19758.992</v>
      </c>
      <c r="AM207" s="16" t="e">
        <f>(AM154+AM155+AM159+AM163+AM164+AM165+AM171+AM176+AM186+AM189+AM190+AM199)</f>
        <v>#DIV/0!</v>
      </c>
      <c r="AN207" s="16" t="e">
        <f>(AN154+AN155+AN159+AN163+AN164+AN165+AN171+AN176+AN186+AN189+AN190+AN199)</f>
        <v>#DIV/0!</v>
      </c>
      <c r="AO207" s="16" t="e">
        <f>(AO154+AO155+AO159+AO163+AO164+AO165+AO171+AO176+AO186+AO189+AO190+AO199)</f>
        <v>#DIV/0!</v>
      </c>
      <c r="AP207" s="16" t="e">
        <f>(AP154+AP155+AP159+AP163+AP164+AP165+AP171+AP176+AP186+AP189+AP190+AP199)</f>
        <v>#DIV/0!</v>
      </c>
      <c r="AQ207" s="16" t="e">
        <f>SUM(AQ154,AQ155,AQ159,AQ163,AQ164,AQ165,AQ171,AQ186,AQ189,AQ190,AQ199,AQ176)</f>
        <v>#DIV/0!</v>
      </c>
      <c r="AR207" s="16" t="e">
        <f>(AR154+AR155+AR159+AR163+AR164+AR165+AR171+AR176+AR186+AR189+AR190+AR199)</f>
        <v>#DIV/0!</v>
      </c>
      <c r="AS207" s="16" t="e">
        <f>(AS154+AS155+AS159+AS163+AS164+AS165+AS171+AS176+AS186+AS189+AS190+AS199)</f>
        <v>#DIV/0!</v>
      </c>
      <c r="AT207" s="16" t="e">
        <f>(AT154+AT155+AT159+AT163+AT164+AT165+AT171+AT176+AT186+AT189+AT190+AT199)</f>
        <v>#DIV/0!</v>
      </c>
      <c r="AU207" s="16" t="e">
        <f>(AU154+AU155+AU159+AU163+AU164+AU165+AU171+AU176+AU186+AU189+AU190+AU199)</f>
        <v>#DIV/0!</v>
      </c>
      <c r="AV207" s="16" t="e">
        <f>SUM(AV154,AV155,AV159,AV163,AV164,AV165,AV171,AV186,AV189,AV190,AV199,AV176)</f>
        <v>#DIV/0!</v>
      </c>
      <c r="AW207" s="16" t="e">
        <f>(AW154+AW155+AW159+AW163+AW164+AW165+AW171+AW176+AW186+AW189+AW190+AW199)</f>
        <v>#DIV/0!</v>
      </c>
      <c r="AX207" s="16" t="e">
        <f>(AX154+AX155+AX159+AX163+AX164+AX165+AX171+AX176+AX186+AX189+AX190+AX199)</f>
        <v>#DIV/0!</v>
      </c>
      <c r="AY207" s="16" t="e">
        <f>(AY154+AY155+AY159+AY163+AY164+AY165+AY171+AY176+AY186+AY189+AY190+AY199)</f>
        <v>#DIV/0!</v>
      </c>
      <c r="AZ207" s="16" t="e">
        <f>(AZ154+AZ155+AZ159+AZ163+AZ164+AZ165+AZ171+AZ176+AZ186+AZ189+AZ190+AZ199)</f>
        <v>#DIV/0!</v>
      </c>
      <c r="BA207" s="16" t="e">
        <f>SUM(BA154,BA155,BA159,BA163,BA164,BA165,BA171,BA186,BA189,BA190,BA199,BA176)</f>
        <v>#DIV/0!</v>
      </c>
      <c r="BB207" s="16" t="e">
        <f>(BB154+BB155+BB159+BB163+BB164+BB165+BB171+BB176+BB186+BB189+BB190+BB199)</f>
        <v>#DIV/0!</v>
      </c>
      <c r="BC207" s="16" t="e">
        <f>(BC154+BC155+BC159+BC163+BC164+BC165+BC171+BC176+BC186+BC189+BC190+BC199)</f>
        <v>#DIV/0!</v>
      </c>
      <c r="BD207" s="16" t="e">
        <f>(BD154+BD155+BD159+BD163+BD164+BD165+BD171+BD176+BD186+BD189+BD190+BD199)</f>
        <v>#DIV/0!</v>
      </c>
      <c r="BE207" s="16" t="e">
        <f>(BE154+BE155+BE159+BE163+BE164+BE165+BE171+BE176+BE186+BE189+BE190+BE199)</f>
        <v>#DIV/0!</v>
      </c>
      <c r="BF207" s="16" t="e">
        <f>SUM(BF154,BF155,BF159,BF163,BF164,BF165,BF171,BF186,BF189,BF190,BF199,BF176)</f>
        <v>#DIV/0!</v>
      </c>
      <c r="BG207" s="16" t="e">
        <f>(BG154+BG155+BG159+BG163+BG164+BG165+BG171+BG176+BG186+BG189+BG190+BG199)</f>
        <v>#DIV/0!</v>
      </c>
      <c r="BH207" s="16" t="e">
        <f>(BH154+BH155+BH159+BH163+BH164+BH165+BH171+BH176+BH186+BH189+BH190+BH199)</f>
        <v>#DIV/0!</v>
      </c>
      <c r="BI207" s="16" t="e">
        <f>(BI154+BI155+BI159+BI163+BI164+BI165+BI171+BI176+BI186+BI189+BI190+BI199)</f>
        <v>#DIV/0!</v>
      </c>
      <c r="BJ207" s="16" t="e">
        <f>(BJ154+BJ155+BJ159+BJ163+BJ164+BJ165+BJ171+BJ176+BJ186+BJ189+BJ190+BJ199)</f>
        <v>#DIV/0!</v>
      </c>
      <c r="BK207" s="16" t="e">
        <f>SUM(BK154,BK155,BK159,BK163,BK164,BK165,BK171,BK186,BK189,BK190,BK199,BK176)</f>
        <v>#DIV/0!</v>
      </c>
      <c r="BL207" s="16" t="e">
        <f>(BL154+BL155+BL159+BL163+BL164+BL165+BL171+BL176+BL186+BL189+BL190+BL199)</f>
        <v>#DIV/0!</v>
      </c>
      <c r="BM207" s="16" t="e">
        <f>(BM154+BM155+BM159+BM163+BM164+BM165+BM171+BM176+BM186+BM189+BM190+BM199)</f>
        <v>#DIV/0!</v>
      </c>
      <c r="BN207" s="16" t="e">
        <f>(BN154+BN155+BN159+BN163+BN164+BN165+BN171+BN176+BN186+BN189+BN190+BN199)</f>
        <v>#DIV/0!</v>
      </c>
      <c r="BO207" s="16" t="e">
        <f>(BO154+BO155+BO159+BO163+BO164+BO165+BO171+BO176+BO186+BO189+BO190+BO199)</f>
        <v>#DIV/0!</v>
      </c>
      <c r="BP207" s="16" t="e">
        <f>SUM(BP154,BP155,BP159,BP163,BP164,BP165,BP171,BP186,BP189,BP190,BP199,BP176)</f>
        <v>#DIV/0!</v>
      </c>
      <c r="BQ207" s="16" t="e">
        <f>(BQ154+BQ155+BQ159+BQ163+BQ164+BQ165+BQ171+BQ176+BQ186+BQ189+BQ190+BQ199)</f>
        <v>#DIV/0!</v>
      </c>
      <c r="BR207" s="16" t="e">
        <f>(BR154+BR155+BR159+BR163+BR164+BR165+BR171+BR176+BR186+BR189+BR190+BR199)</f>
        <v>#DIV/0!</v>
      </c>
      <c r="BS207" s="16" t="e">
        <f>(BS154+BS155+BS159+BS163+BS164+BS165+BS171+BS176+BS186+BS189+BS190+BS199)</f>
        <v>#DIV/0!</v>
      </c>
      <c r="BT207" s="16" t="e">
        <f>(BT154+BT155+BT159+BT163+BT164+BT165+BT171+BT176+BT186+BT189+BT190+BT199)</f>
        <v>#DIV/0!</v>
      </c>
      <c r="BU207" s="16" t="e">
        <f>SUM(BU154,BU155,BU159,BU163,BU164,BU165,BU171,BU186,BU189,BU190,BU199,BU176)</f>
        <v>#DIV/0!</v>
      </c>
      <c r="BV207" s="16" t="e">
        <f>(BV154+BV155+BV159+BV163+BV164+BV165+BV171+BV176+BV186+BV189+BV190+BV199)</f>
        <v>#DIV/0!</v>
      </c>
      <c r="BW207" s="16" t="e">
        <f>(BW154+BW155+BW159+BW163+BW164+BW165+BW171+BW176+BW186+BW189+BW190+BW199)</f>
        <v>#DIV/0!</v>
      </c>
      <c r="BX207" s="16" t="e">
        <f>(BX154+BX155+BX159+BX163+BX164+BX165+BX171+BX176+BX186+BX189+BX190+BX199)</f>
        <v>#DIV/0!</v>
      </c>
      <c r="BY207" s="16" t="e">
        <f>(BY154+BY155+BY159+BY163+BY164+BY165+BY171+BY176+BY186+BY189+BY190+BY199)</f>
        <v>#DIV/0!</v>
      </c>
      <c r="BZ207" s="16" t="e">
        <f>SUM(BZ154,BZ155,BZ159,BZ163,BZ164,BZ165,BZ171,BZ186,BZ189,BZ190,BZ199,BZ176)</f>
        <v>#DIV/0!</v>
      </c>
      <c r="CA207" s="16" t="e">
        <f>(CA154+CA155+CA159+CA163+CA164+CA165+CA171+CA176+CA186+CA189+CA190+CA199)</f>
        <v>#DIV/0!</v>
      </c>
      <c r="CB207" s="16" t="e">
        <f>(CB154+CB155+CB159+CB163+CB164+CB165+CB171+CB176+CB186+CB189+CB190+CB199)</f>
        <v>#DIV/0!</v>
      </c>
      <c r="CC207" s="16" t="e">
        <f>(CC154+CC155+CC159+CC163+CC164+CC165+CC171+CC176+CC186+CC189+CC190+CC199)</f>
        <v>#DIV/0!</v>
      </c>
      <c r="CD207" s="16" t="e">
        <f>(CD154+CD155+CD159+CD163+CD164+CD165+CD171+CD176+CD186+CD189+CD190+CD199)</f>
        <v>#DIV/0!</v>
      </c>
      <c r="CE207" s="16" t="e">
        <f>SUM(CE154,CE155,CE159,CE163,CE164,CE165,CE171,CE186,CE189,CE190,CE199,CE176)</f>
        <v>#DIV/0!</v>
      </c>
      <c r="CF207" s="16" t="e">
        <f>(CF154+CF155+CF159+CF163+CF164+CF165+CF171+CF176+CF186+CF189+CF190+CF199)</f>
        <v>#DIV/0!</v>
      </c>
      <c r="CG207" s="16" t="e">
        <f>(CG154+CG155+CG159+CG163+CG164+CG165+CG171+CG176+CG186+CG189+CG190+CG199)</f>
        <v>#DIV/0!</v>
      </c>
      <c r="CH207" s="16" t="e">
        <f>(CH154+CH155+CH159+CH163+CH164+CH165+CH171+CH176+CH186+CH189+CH190+CH199)</f>
        <v>#DIV/0!</v>
      </c>
      <c r="CI207" s="16" t="e">
        <f>(CI154+CI155+CI159+CI163+CI164+CI165+CI171+CI176+CI186+CI189+CI190+CI199)</f>
        <v>#DIV/0!</v>
      </c>
      <c r="CJ207" s="16" t="e">
        <f>SUM(CJ154,CJ155,CJ159,CJ163,CJ164,CJ165,CJ171,CJ186,CJ189,CJ190,CJ199,CJ176)</f>
        <v>#DIV/0!</v>
      </c>
      <c r="CK207" s="16" t="e">
        <f>(CK154+CK155+CK159+CK163+CK164+CK165+CK171+CK176+CK186+CK189+CK190+CK199)</f>
        <v>#DIV/0!</v>
      </c>
      <c r="CL207" s="16" t="e">
        <f>(CL154+CL155+CL159+CL163+CL164+CL165+CL171+CL176+CL186+CL189+CL190+CL199)</f>
        <v>#DIV/0!</v>
      </c>
      <c r="CM207" s="16" t="e">
        <f>(CM154+CM155+CM159+CM163+CM164+CM165+CM171+CM176+CM186+CM189+CM190+CM199)</f>
        <v>#DIV/0!</v>
      </c>
      <c r="CN207" s="16" t="e">
        <f>(CN154+CN155+CN159+CN163+CN164+CN165+CN171+CN176+CN186+CN189+CN190+CN199)</f>
        <v>#DIV/0!</v>
      </c>
      <c r="CO207" s="16" t="e">
        <f>SUM(CO154,CO155,CO159,CO163,CO164,CO165,CO171,CO186,CO189,CO190,CO199,CO176)</f>
        <v>#DIV/0!</v>
      </c>
      <c r="CP207" s="16" t="e">
        <f>(CP154+CP155+CP159+CP163+CP164+CP165+CP171+CP176+CP186+CP189+CP190+CP199)</f>
        <v>#DIV/0!</v>
      </c>
      <c r="CQ207" s="16" t="e">
        <f>(CQ154+CQ155+CQ159+CQ163+CQ164+CQ165+CQ171+CQ176+CQ186+CQ189+CQ190+CQ199)</f>
        <v>#DIV/0!</v>
      </c>
      <c r="CR207" s="16" t="e">
        <f>(CR154+CR155+CR159+CR163+CR164+CR165+CR171+CR176+CR186+CR189+CR190+CR199)</f>
        <v>#DIV/0!</v>
      </c>
      <c r="CS207" s="16" t="e">
        <f>(CS154+CS155+CS159+CS163+CS164+CS165+CS171+CS176+CS186+CS189+CS190+CS199)</f>
        <v>#DIV/0!</v>
      </c>
      <c r="CT207" s="16" t="e">
        <f>SUM(CT154,CT155,CT159,CT163,CT164,CT165,CT171,CT186,CT189,CT190,CT199,CT176)</f>
        <v>#DIV/0!</v>
      </c>
      <c r="CU207" s="16" t="e">
        <f>(CU154+CU155+CU159+CU163+CU164+CU165+CU171+CU176+CU186+CU189+CU190+CU199)</f>
        <v>#DIV/0!</v>
      </c>
      <c r="CV207" s="16" t="e">
        <f>(CV154+CV155+CV159+CV163+CV164+CV165+CV171+CV176+CV186+CV189+CV190+CV199)</f>
        <v>#DIV/0!</v>
      </c>
      <c r="CW207" s="16" t="e">
        <f>(CW154+CW155+CW159+CW163+CW164+CW165+CW171+CW176+CW186+CW189+CW190+CW199)</f>
        <v>#DIV/0!</v>
      </c>
      <c r="CX207" s="16" t="e">
        <f>(CX154+CX155+CX159+CX163+CX164+CX165+CX171+CX176+CX186+CX189+CX190+CX199)</f>
        <v>#DIV/0!</v>
      </c>
      <c r="CY207" s="16" t="e">
        <f>SUM(CY154,CY155,CY159,CY163,CY164,CY165,CY171,CY186,CY189,CY190,CY199,CY176)</f>
        <v>#DIV/0!</v>
      </c>
    </row>
    <row r="208">
      <c r="C208" s="26" t="inlineStr">
        <is>
          <t>Accounts payable</t>
        </is>
      </c>
      <c r="D208" s="25" t="e">
        <f>INDEX('Inputs (2)'!$D$28:$AL$28,MATCH(D$7,'Inputs (2)'!$D$2:$AL$2,0))</f>
        <v>#N/A</v>
      </c>
      <c r="E208" s="25">
        <f>INDEX('Inputs (2)'!$D$28:$AL$28,MATCH(E$7,'Inputs (2)'!$D$2:$AL$2,0))</f>
        <v>694.082</v>
      </c>
      <c r="F208" s="25">
        <f>INDEX('Inputs (2)'!$D$28:$AL$28,MATCH(F$7,'Inputs (2)'!$D$2:$AL$2,0))</f>
        <v>947.40558199</v>
      </c>
      <c r="G208" s="25">
        <f>INDEX('Inputs (2)'!$D$28:$AL$28,MATCH(G$7,'Inputs (2)'!$D$2:$AL$2,0))</f>
        <v>944.6046996</v>
      </c>
      <c r="H208" s="3">
        <f>G208</f>
        <v>944.6046996</v>
      </c>
      <c r="I208" s="25">
        <f>INDEX('Inputs (2)'!$D$28:$AL$28,MATCH(I$7,'Inputs (2)'!$D$2:$AL$2,0))</f>
        <v>717.97988696</v>
      </c>
      <c r="J208" s="25">
        <f>INDEX('Inputs (2)'!$D$28:$AL$28,MATCH(J$7,'Inputs (2)'!$D$2:$AL$2,0))</f>
        <v>1041.78991181</v>
      </c>
      <c r="K208" s="25">
        <f>INDEX('Inputs (2)'!$D$28:$AL$28,MATCH(K$7,'Inputs (2)'!$D$2:$AL$2,0))</f>
        <v>1042.603</v>
      </c>
      <c r="L208" s="25">
        <f>INDEX('Inputs (2)'!$D$28:$AL$28,MATCH(L$7,'Inputs (2)'!$D$2:$AL$2,0))</f>
        <v>1056.585</v>
      </c>
      <c r="M208" s="3">
        <f>L208</f>
        <v>1056.585</v>
      </c>
      <c r="N208" s="25">
        <f>INDEX('Inputs (2)'!$D$28:$AL$28,MATCH(N$7,'Inputs (2)'!$D$2:$AL$2,0))</f>
        <v>1260.097</v>
      </c>
      <c r="O208" s="25">
        <f>INDEX('Inputs (2)'!$D$28:$AL$28,MATCH(O$7,'Inputs (2)'!$D$2:$AL$2,0))</f>
        <v>1617.196</v>
      </c>
      <c r="P208" s="25">
        <f>INDEX('Inputs (2)'!$D$28:$AL$28,MATCH(P$7,'Inputs (2)'!$D$2:$AL$2,0))</f>
        <v>1436.143</v>
      </c>
      <c r="Q208" s="25">
        <f>INDEX('Inputs (2)'!$D$28:$AL$28,MATCH(Q$7,'Inputs (2)'!$D$2:$AL$2,0))</f>
        <v>2008.574</v>
      </c>
      <c r="R208" s="3">
        <f>Q208</f>
        <v>2008.574</v>
      </c>
      <c r="S208" s="25">
        <f>INDEX('Inputs (2)'!$D$28:$AL$28,MATCH(S$7,'Inputs (2)'!$D$2:$AL$2,0))</f>
        <v>2198.248</v>
      </c>
      <c r="T208" s="25">
        <f>INDEX('Inputs (2)'!$D$28:$AL$28,MATCH(T$7,'Inputs (2)'!$D$2:$AL$2,0))</f>
        <v>2183.737</v>
      </c>
      <c r="U208" s="25">
        <f>INDEX('Inputs (2)'!$D$28:$AL$28,MATCH(U$7,'Inputs (2)'!$D$2:$AL$2,0))</f>
        <v>2308.076</v>
      </c>
      <c r="V208" s="25">
        <f>INDEX('Inputs (2)'!$D$28:$AL$28,MATCH(V$7,'Inputs (2)'!$D$2:$AL$2,0))</f>
        <v>3039.206</v>
      </c>
      <c r="W208" s="3">
        <f>V208</f>
        <v>3039.206</v>
      </c>
      <c r="X208" s="25">
        <f>INDEX('Inputs (2)'!$D$28:$AL$28,MATCH(X$7,'Inputs (2)'!$D$2:$AL$2,0))</f>
        <v>2623.383</v>
      </c>
      <c r="Y208" s="25">
        <f>INDEX('Inputs (2)'!$D$28:$AL$28,MATCH(Y$7,'Inputs (2)'!$D$2:$AL$2,0))</f>
        <v>2787.903</v>
      </c>
      <c r="Z208" s="25">
        <f>INDEX('Inputs (2)'!$D$28:$AL$28,MATCH(Z$7,'Inputs (2)'!$D$2:$AL$2,0))</f>
        <v>2958.921</v>
      </c>
      <c r="AA208" s="25">
        <f>INDEX('Inputs (2)'!$D$28:$AL$28,MATCH(AA$7,'Inputs (2)'!$D$2:$AL$2,0))</f>
        <v>3078.569</v>
      </c>
      <c r="AB208" s="3">
        <f>AA208</f>
        <v>3078.569</v>
      </c>
      <c r="AC208" s="25">
        <f>INDEX('Inputs (2)'!$D$28:$AL$28,MATCH(AC$7,'Inputs (2)'!$D$2:$AL$2,0))</f>
        <v>3755.177</v>
      </c>
      <c r="AD208" s="25">
        <f>INDEX('Inputs (2)'!$D$28:$AL$28,MATCH(AD$7,'Inputs (2)'!$D$2:$AL$2,0))</f>
        <v>3357.777</v>
      </c>
      <c r="AE208" s="25">
        <f>INDEX('Inputs (2)'!$D$28:$AL$28,MATCH(AE$7,'Inputs (2)'!$D$2:$AL$2,0))</f>
        <v>4133.147</v>
      </c>
      <c r="AF208" s="25">
        <f>INDEX('Inputs (2)'!$D$28:$AL$28,MATCH(AF$7,'Inputs (2)'!$D$2:$AL$2,0))</f>
        <v>4469.873</v>
      </c>
      <c r="AG208" s="3">
        <f>AF208</f>
        <v>4469.873</v>
      </c>
      <c r="AH208" s="3">
        <f>INDEX('Inputs (2)'!$D$28:$AL$28,MATCH(AH$7,'Inputs (2)'!$D$2:$AL$2,0))</f>
        <v>4634.788</v>
      </c>
      <c r="AI208" s="3">
        <f>INDEX('Inputs (2)'!$D$28:$AL$28,MATCH(AI$7,'Inputs (2)'!$D$2:$AL$2,0))</f>
        <v>4790.556</v>
      </c>
      <c r="AJ208" s="3">
        <f>(AJ209/(AJ$5-AI$5))*-AJ64</f>
        <v>0</v>
      </c>
      <c r="AK208" s="3">
        <f>(AK209/(AK$5-AJ$5))*-AK64</f>
        <v>0</v>
      </c>
      <c r="AL208" s="3">
        <f>AK208</f>
        <v>0</v>
      </c>
      <c r="AM208" s="3">
        <f>(AM209/(AM$5-AL$5))*-AM64</f>
        <v>0</v>
      </c>
      <c r="AN208" s="3">
        <f>(AN209/(AN$5-AM$5))*-AN64</f>
        <v>0</v>
      </c>
      <c r="AO208" s="3">
        <f>(AO209/(AO$5-AN$5))*-AO64</f>
        <v>0</v>
      </c>
      <c r="AP208" s="3">
        <f>(AP209/(AP$5-AO$5))*-AP64</f>
        <v>0</v>
      </c>
      <c r="AQ208" s="3">
        <f>AP208</f>
        <v>0</v>
      </c>
      <c r="AR208" s="3">
        <f>(AR209/(AR$5-AQ$5))*-AR64</f>
        <v>0</v>
      </c>
      <c r="AS208" s="3">
        <f>(AS209/(AS$5-AR$5))*-AS64</f>
        <v>0</v>
      </c>
      <c r="AT208" s="3">
        <f>(AT209/(AT$5-AS$5))*-AT64</f>
        <v>0</v>
      </c>
      <c r="AU208" s="3">
        <f>(AU209/(AU$5-AT$5))*-AU64</f>
        <v>0</v>
      </c>
      <c r="AV208" s="3">
        <f>AU208</f>
        <v>0</v>
      </c>
      <c r="AW208" s="3">
        <f>(AW209/(AW$5-AV$5))*-AW64</f>
        <v>0</v>
      </c>
      <c r="AX208" s="3">
        <f>(AX209/(AX$5-AW$5))*-AX64</f>
        <v>0</v>
      </c>
      <c r="AY208" s="3">
        <f>(AY209/(AY$5-AX$5))*-AY64</f>
        <v>0</v>
      </c>
      <c r="AZ208" s="3">
        <f>(AZ209/(AZ$5-AY$5))*-AZ64</f>
        <v>0</v>
      </c>
      <c r="BA208" s="3">
        <f>AZ208</f>
        <v>0</v>
      </c>
      <c r="BB208" s="3">
        <f>(BB209/(BB$5-BA$5))*-BB64</f>
        <v>0</v>
      </c>
      <c r="BC208" s="3">
        <f>(BC209/(BC$5-BB$5))*-BC64</f>
        <v>0</v>
      </c>
      <c r="BD208" s="3">
        <f>(BD209/(BD$5-BC$5))*-BD64</f>
        <v>0</v>
      </c>
      <c r="BE208" s="3">
        <f>(BE209/(BE$5-BD$5))*-BE64</f>
        <v>0</v>
      </c>
      <c r="BF208" s="3">
        <f>BE208</f>
        <v>0</v>
      </c>
      <c r="BG208" s="3">
        <f>(BG209/(BG$5-BF$5))*-BG64</f>
        <v>0</v>
      </c>
      <c r="BH208" s="3">
        <f>(BH209/(BH$5-BG$5))*-BH64</f>
        <v>0</v>
      </c>
      <c r="BI208" s="3">
        <f>(BI209/(BI$5-BH$5))*-BI64</f>
        <v>0</v>
      </c>
      <c r="BJ208" s="3">
        <f>(BJ209/(BJ$5-BI$5))*-BJ64</f>
        <v>0</v>
      </c>
      <c r="BK208" s="3">
        <f>BJ208</f>
        <v>0</v>
      </c>
      <c r="BL208" s="3">
        <f>(BL209/(BL$5-BK$5))*-BL64</f>
        <v>0</v>
      </c>
      <c r="BM208" s="3">
        <f>(BM209/(BM$5-BL$5))*-BM64</f>
        <v>0</v>
      </c>
      <c r="BN208" s="3">
        <f>(BN209/(BN$5-BM$5))*-BN64</f>
        <v>0</v>
      </c>
      <c r="BO208" s="3">
        <f>(BO209/(BO$5-BN$5))*-BO64</f>
        <v>0</v>
      </c>
      <c r="BP208" s="3">
        <f>BO208</f>
        <v>0</v>
      </c>
      <c r="BQ208" s="3">
        <f>(BQ209/(BQ$5-BP$5))*-BQ64</f>
        <v>0</v>
      </c>
      <c r="BR208" s="3">
        <f>(BR209/(BR$5-BQ$5))*-BR64</f>
        <v>0</v>
      </c>
      <c r="BS208" s="3">
        <f>(BS209/(BS$5-BR$5))*-BS64</f>
        <v>0</v>
      </c>
      <c r="BT208" s="3">
        <f>(BT209/(BT$5-BS$5))*-BT64</f>
        <v>0</v>
      </c>
      <c r="BU208" s="3">
        <f>BT208</f>
        <v>0</v>
      </c>
      <c r="BV208" s="3">
        <f>(BV209/(BV$5-BU$5))*-BV64</f>
        <v>0</v>
      </c>
      <c r="BW208" s="3">
        <f>(BW209/(BW$5-BV$5))*-BW64</f>
        <v>0</v>
      </c>
      <c r="BX208" s="3">
        <f>(BX209/(BX$5-BW$5))*-BX64</f>
        <v>0</v>
      </c>
      <c r="BY208" s="3">
        <f>(BY209/(BY$5-BX$5))*-BY64</f>
        <v>0</v>
      </c>
      <c r="BZ208" s="3">
        <f>BY208</f>
        <v>0</v>
      </c>
      <c r="CA208" s="3">
        <f>(CA209/(CA$5-BZ$5))*-CA64</f>
        <v>0</v>
      </c>
      <c r="CB208" s="3">
        <f>(CB209/(CB$5-CA$5))*-CB64</f>
        <v>0</v>
      </c>
      <c r="CC208" s="3">
        <f>(CC209/(CC$5-CB$5))*-CC64</f>
        <v>0</v>
      </c>
      <c r="CD208" s="3">
        <f>(CD209/(CD$5-CC$5))*-CD64</f>
        <v>0</v>
      </c>
      <c r="CE208" s="3">
        <f>CD208</f>
        <v>0</v>
      </c>
      <c r="CF208" s="3">
        <f>(CF209/(CF$5-CE$5))*-CF64</f>
        <v>0</v>
      </c>
      <c r="CG208" s="3">
        <f>(CG209/(CG$5-CF$5))*-CG64</f>
        <v>0</v>
      </c>
      <c r="CH208" s="3">
        <f>(CH209/(CH$5-CG$5))*-CH64</f>
        <v>0</v>
      </c>
      <c r="CI208" s="3">
        <f>(CI209/(CI$5-CH$5))*-CI64</f>
        <v>0</v>
      </c>
      <c r="CJ208" s="3">
        <f>CI208</f>
        <v>0</v>
      </c>
      <c r="CK208" s="3">
        <f>(CK209/(CK$5-CJ$5))*-CK64</f>
        <v>0</v>
      </c>
      <c r="CL208" s="3">
        <f>(CL209/(CL$5-CK$5))*-CL64</f>
        <v>0</v>
      </c>
      <c r="CM208" s="3">
        <f>(CM209/(CM$5-CL$5))*-CM64</f>
        <v>0</v>
      </c>
      <c r="CN208" s="3">
        <f>(CN209/(CN$5-CM$5))*-CN64</f>
        <v>0</v>
      </c>
      <c r="CO208" s="3">
        <f>CN208</f>
        <v>0</v>
      </c>
      <c r="CP208" s="3">
        <f>(CP209/(CP$5-CO$5))*-CP64</f>
        <v>0</v>
      </c>
      <c r="CQ208" s="3">
        <f>(CQ209/(CQ$5-CP$5))*-CQ64</f>
        <v>0</v>
      </c>
      <c r="CR208" s="3">
        <f>(CR209/(CR$5-CQ$5))*-CR64</f>
        <v>0</v>
      </c>
      <c r="CS208" s="3">
        <f>(CS209/(CS$5-CR$5))*-CS64</f>
        <v>0</v>
      </c>
      <c r="CT208" s="3">
        <f>CS208</f>
        <v>0</v>
      </c>
      <c r="CU208" s="3">
        <f>(CU209/(CU$5-CT$5))*-CU64</f>
        <v>0</v>
      </c>
      <c r="CV208" s="3">
        <f>(CV209/(CV$5-CU$5))*-CV64</f>
        <v>0</v>
      </c>
      <c r="CW208" s="3">
        <f>(CW209/(CW$5-CV$5))*-CW64</f>
        <v>0</v>
      </c>
      <c r="CX208" s="3">
        <f>(CX209/(CX$5-CW$5))*-CX64</f>
        <v>0</v>
      </c>
      <c r="CY208" s="3">
        <f>CX208</f>
        <v>0</v>
      </c>
    </row>
    <row r="209" hidden="1" outlineLevel="1">
      <c r="C209" s="34" t="inlineStr">
        <is>
          <t>DPO</t>
        </is>
      </c>
      <c r="D209" s="3" t="n"/>
      <c r="E209" s="3">
        <f>-(E208/E$64)*(E$5-D$5)</f>
        <v>28.7742096842381</v>
      </c>
      <c r="F209" s="3">
        <f>-(F208/F$64)*(F$5-E$5)</f>
        <v>33.1943579365272</v>
      </c>
      <c r="G209" s="3">
        <f>-(G208/G$64)*(G$5-F$5)</f>
        <v>31.2488350563477</v>
      </c>
      <c r="H209" s="3" t="n"/>
      <c r="I209" s="3">
        <f>-(I208/I$64)*(I$5-H$5)</f>
        <v>25.239567056579</v>
      </c>
      <c r="J209" s="3">
        <f>-(J208/J$64)*(J$5-I$5)</f>
        <v>33.1282578825439</v>
      </c>
      <c r="K209" s="3">
        <f>-(K208/K$64)*(K$5-J$5)</f>
        <v>28.968025370717</v>
      </c>
      <c r="L209" s="3">
        <f>-(L208/L$64)*(L$5-K$5)</f>
        <v>28.2467524350221</v>
      </c>
      <c r="M209" s="3" t="n"/>
      <c r="N209" s="3">
        <f>-(N208/N$64)*(N$5-M$5)</f>
        <v>31.9185421945565</v>
      </c>
      <c r="O209" s="3">
        <f>-(O208/O$64)*(O$5-N$5)</f>
        <v>36.613350496625</v>
      </c>
      <c r="P209" s="3">
        <f>-(P208/P$64)*(P$5-O$5)</f>
        <v>28.9178543491745</v>
      </c>
      <c r="Q209" s="3">
        <f>-(Q208/Q$64)*(Q$5-P$5)</f>
        <v>38.8791295903484</v>
      </c>
      <c r="R209" s="3" t="n"/>
      <c r="S209" s="3">
        <f>-(S208/S$64)*(S$5-R$5)</f>
        <v>43.2488955866143</v>
      </c>
      <c r="T209" s="3">
        <f>-(T208/T$64)*(T$5-S$5)</f>
        <v>39.8633003399372</v>
      </c>
      <c r="U209" s="3">
        <f>-(U208/U$64)*(U$5-T$5)</f>
        <v>39.5115316633927</v>
      </c>
      <c r="V209" s="3">
        <f>-(V208/V$64)*(V$5-U$5)</f>
        <v>47.8042046129389</v>
      </c>
      <c r="W209" s="3" t="n"/>
      <c r="X209" s="3">
        <f>-(X208/X$64)*(X$5-W$5)</f>
        <v>41.643062904215</v>
      </c>
      <c r="Y209" s="3">
        <f>-(Y208/Y$64)*(Y$5-X$5)</f>
        <v>42.8078773838008</v>
      </c>
      <c r="Z209" s="3">
        <f>-(Z208/Z$64)*(Z$5-Y$5)</f>
        <v>42.0135217058475</v>
      </c>
      <c r="AA209" s="3">
        <f>-(AA208/AA$64)*(AA$5-Z$5)</f>
        <v>41.5218808819526</v>
      </c>
      <c r="AB209" s="3" t="n"/>
      <c r="AC209" s="3">
        <f>-(AC208/AC$64)*(AC$5-AB$5)</f>
        <v>52.1660074256073</v>
      </c>
      <c r="AD209" s="3">
        <f>-(AD208/AD$64)*(AD$5-AC$5)</f>
        <v>45.7011364645936</v>
      </c>
      <c r="AE209" s="3">
        <f>-(AE208/AE$64)*(AE$5-AD$5)</f>
        <v>44.8896373455806</v>
      </c>
      <c r="AF209" s="6">
        <f>-(AF208/AF$64)*(AF$5-AE$5)</f>
        <v>50.3018199426343</v>
      </c>
      <c r="AG209" s="3" t="n"/>
      <c r="AH209" s="6">
        <f>-(AH208/AH$64)*(AH$5-AG$5)</f>
        <v>57.521351374384</v>
      </c>
      <c r="AI209" s="6">
        <f>-(AI208/AI$64)*(AI$5-AH$5)</f>
        <v>57.8073490578372</v>
      </c>
      <c r="AJ209" s="6" t="n"/>
      <c r="AK209" s="6" t="n"/>
      <c r="AL209" s="3" t="n"/>
      <c r="AM209" s="6" t="n"/>
      <c r="AN209" s="6" t="n"/>
      <c r="AO209" s="6" t="n"/>
      <c r="AP209" s="6" t="n"/>
      <c r="AQ209" s="3" t="n"/>
      <c r="AR209" s="6" t="n"/>
      <c r="AS209" s="6" t="n"/>
      <c r="AT209" s="6" t="n"/>
      <c r="AU209" s="6" t="n"/>
      <c r="AV209" s="3" t="n"/>
      <c r="AW209" s="6" t="n"/>
      <c r="AX209" s="6" t="n"/>
      <c r="AY209" s="6" t="n"/>
      <c r="AZ209" s="6" t="n"/>
      <c r="BA209" s="3" t="n"/>
      <c r="BB209" s="6" t="n"/>
      <c r="BC209" s="6" t="n"/>
      <c r="BD209" s="6" t="n"/>
      <c r="BE209" s="6" t="n"/>
      <c r="BF209" s="3" t="n"/>
      <c r="BG209" s="6" t="n"/>
      <c r="BH209" s="6" t="n"/>
      <c r="BI209" s="6" t="n"/>
      <c r="BJ209" s="6" t="n"/>
      <c r="BK209" s="3" t="n"/>
      <c r="BL209" s="6" t="n"/>
      <c r="BM209" s="6" t="n"/>
      <c r="BN209" s="6" t="n"/>
      <c r="BO209" s="6" t="n"/>
      <c r="BP209" s="3" t="n"/>
      <c r="BQ209" s="6" t="n"/>
      <c r="BR209" s="6" t="n"/>
      <c r="BS209" s="6" t="n"/>
      <c r="BT209" s="6" t="n"/>
      <c r="BU209" s="3" t="n"/>
      <c r="BV209" s="6" t="n"/>
      <c r="BW209" s="6" t="n"/>
      <c r="BX209" s="6" t="n"/>
      <c r="BY209" s="6" t="n"/>
      <c r="BZ209" s="3" t="n"/>
      <c r="CA209" s="6" t="n"/>
      <c r="CB209" s="6" t="n"/>
      <c r="CC209" s="6" t="n"/>
      <c r="CD209" s="6" t="n"/>
      <c r="CE209" s="3" t="n"/>
      <c r="CF209" s="6" t="n"/>
      <c r="CG209" s="6" t="n"/>
      <c r="CH209" s="6" t="n"/>
      <c r="CI209" s="6" t="n"/>
      <c r="CJ209" s="3" t="n"/>
      <c r="CK209" s="6" t="n"/>
      <c r="CL209" s="6" t="n"/>
      <c r="CM209" s="6" t="n"/>
      <c r="CN209" s="6" t="n"/>
      <c r="CO209" s="3" t="n"/>
      <c r="CP209" s="6" t="n"/>
      <c r="CQ209" s="6" t="n"/>
      <c r="CR209" s="6" t="n"/>
      <c r="CS209" s="6" t="n"/>
      <c r="CT209" s="3" t="n"/>
      <c r="CU209" s="6" t="n"/>
      <c r="CV209" s="6" t="n"/>
      <c r="CW209" s="6" t="n"/>
      <c r="CX209" s="6" t="n"/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hidden="1" outlineLevel="1">
      <c r="C211" s="3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collapsed="1">
      <c r="C212" s="26" t="inlineStr">
        <is>
          <t>Accrued expenses</t>
        </is>
      </c>
      <c r="D212" s="25" t="e">
        <f>INDEX('Inputs (2)'!$D$29:$AL$29,MATCH(D$7,'Inputs (2)'!$D$2:$AL$2,0))</f>
        <v>#N/A</v>
      </c>
      <c r="E212" s="25">
        <f>INDEX('Inputs (2)'!$D$29:$AL$29,MATCH(E$7,'Inputs (2)'!$D$2:$AL$2,0))</f>
        <v>200.715</v>
      </c>
      <c r="F212" s="25">
        <f>INDEX('Inputs (2)'!$D$29:$AL$29,MATCH(F$7,'Inputs (2)'!$D$2:$AL$2,0))</f>
        <v>218.95438567</v>
      </c>
      <c r="G212" s="25">
        <f>INDEX('Inputs (2)'!$D$29:$AL$29,MATCH(G$7,'Inputs (2)'!$D$2:$AL$2,0))</f>
        <v>178.80246017</v>
      </c>
      <c r="H212" s="3">
        <f>G212</f>
        <v>178.80246017</v>
      </c>
      <c r="I212" s="25">
        <f>INDEX('Inputs (2)'!$D$29:$AL$29,MATCH(I$7,'Inputs (2)'!$D$2:$AL$2,0))</f>
        <v>199.7580463</v>
      </c>
      <c r="J212" s="25">
        <f>INDEX('Inputs (2)'!$D$29:$AL$29,MATCH(J$7,'Inputs (2)'!$D$2:$AL$2,0))</f>
        <v>237.62315962</v>
      </c>
      <c r="K212" s="25">
        <f>INDEX('Inputs (2)'!$D$29:$AL$29,MATCH(K$7,'Inputs (2)'!$D$2:$AL$2,0))</f>
        <v>271.913</v>
      </c>
      <c r="L212" s="25">
        <f>INDEX('Inputs (2)'!$D$29:$AL$29,MATCH(L$7,'Inputs (2)'!$D$2:$AL$2,0))</f>
        <v>224.68</v>
      </c>
      <c r="M212" s="3">
        <f>L212</f>
        <v>224.68</v>
      </c>
      <c r="N212" s="25">
        <f>INDEX('Inputs (2)'!$D$29:$AL$29,MATCH(N$7,'Inputs (2)'!$D$2:$AL$2,0))</f>
        <v>237.809</v>
      </c>
      <c r="O212" s="25">
        <f>INDEX('Inputs (2)'!$D$29:$AL$29,MATCH(O$7,'Inputs (2)'!$D$2:$AL$2,0))</f>
        <v>267.69</v>
      </c>
      <c r="P212" s="25">
        <f>INDEX('Inputs (2)'!$D$29:$AL$29,MATCH(P$7,'Inputs (2)'!$D$2:$AL$2,0))</f>
        <v>328.581</v>
      </c>
      <c r="Q212" s="25">
        <f>INDEX('Inputs (2)'!$D$29:$AL$29,MATCH(Q$7,'Inputs (2)'!$D$2:$AL$2,0))</f>
        <v>301.307</v>
      </c>
      <c r="R212" s="3">
        <f>Q212</f>
        <v>301.307</v>
      </c>
      <c r="S212" s="25">
        <f>INDEX('Inputs (2)'!$D$29:$AL$29,MATCH(S$7,'Inputs (2)'!$D$2:$AL$2,0))</f>
        <v>309.092</v>
      </c>
      <c r="T212" s="25">
        <f>INDEX('Inputs (2)'!$D$29:$AL$29,MATCH(T$7,'Inputs (2)'!$D$2:$AL$2,0))</f>
        <v>357.078</v>
      </c>
      <c r="U212" s="25">
        <f>INDEX('Inputs (2)'!$D$29:$AL$29,MATCH(U$7,'Inputs (2)'!$D$2:$AL$2,0))</f>
        <v>410.755</v>
      </c>
      <c r="V212" s="25">
        <f>INDEX('Inputs (2)'!$D$29:$AL$29,MATCH(V$7,'Inputs (2)'!$D$2:$AL$2,0))</f>
        <v>394.255</v>
      </c>
      <c r="W212" s="3">
        <f>V212</f>
        <v>394.255</v>
      </c>
      <c r="X212" s="25">
        <f>INDEX('Inputs (2)'!$D$29:$AL$29,MATCH(X$7,'Inputs (2)'!$D$2:$AL$2,0))</f>
        <v>429.905</v>
      </c>
      <c r="Y212" s="25">
        <f>INDEX('Inputs (2)'!$D$29:$AL$29,MATCH(Y$7,'Inputs (2)'!$D$2:$AL$2,0))</f>
        <v>454.609</v>
      </c>
      <c r="Z212" s="25">
        <f>INDEX('Inputs (2)'!$D$29:$AL$29,MATCH(Z$7,'Inputs (2)'!$D$2:$AL$2,0))</f>
        <v>494.728</v>
      </c>
      <c r="AA212" s="25">
        <f>INDEX('Inputs (2)'!$D$29:$AL$29,MATCH(AA$7,'Inputs (2)'!$D$2:$AL$2,0))</f>
        <v>445.071</v>
      </c>
      <c r="AB212" s="3">
        <f>AA212</f>
        <v>445.071</v>
      </c>
      <c r="AC212" s="25">
        <f>INDEX('Inputs (2)'!$D$29:$AL$29,MATCH(AC$7,'Inputs (2)'!$D$2:$AL$2,0))</f>
        <v>482.103</v>
      </c>
      <c r="AD212" s="25">
        <f>INDEX('Inputs (2)'!$D$29:$AL$29,MATCH(AD$7,'Inputs (2)'!$D$2:$AL$2,0))</f>
        <v>472.507</v>
      </c>
      <c r="AE212" s="25">
        <f>INDEX('Inputs (2)'!$D$29:$AL$29,MATCH(AE$7,'Inputs (2)'!$D$2:$AL$2,0))</f>
        <v>596.021</v>
      </c>
      <c r="AF212" s="25">
        <f>INDEX('Inputs (2)'!$D$29:$AL$29,MATCH(AF$7,'Inputs (2)'!$D$2:$AL$2,0))</f>
        <v>526.602</v>
      </c>
      <c r="AG212" s="3">
        <f>AF212</f>
        <v>526.602</v>
      </c>
      <c r="AH212" s="3">
        <f>INDEX('Inputs (2)'!$D$29:$AL$29,MATCH(AH$7,'Inputs (2)'!$D$2:$AL$2,0))</f>
        <v>545.443</v>
      </c>
      <c r="AI212" s="3">
        <f>INDEX('Inputs (2)'!$D$29:$AL$29,MATCH(AI$7,'Inputs (2)'!$D$2:$AL$2,0))</f>
        <v>563.536</v>
      </c>
      <c r="AJ212" s="3">
        <f>AH212*AJ68/AH68</f>
        <v>0</v>
      </c>
      <c r="AK212" s="3">
        <f>AI212*AK68/AI68</f>
        <v>0</v>
      </c>
      <c r="AL212" s="3">
        <f>AK212</f>
        <v>0</v>
      </c>
      <c r="AM212" s="3" t="e">
        <f>AK212*AM68/AK68</f>
        <v>#DIV/0!</v>
      </c>
      <c r="AN212" s="3">
        <f>AL212*AN68/AL68</f>
        <v>0</v>
      </c>
      <c r="AO212" s="3" t="e">
        <f>AM212*AO68/AM68</f>
        <v>#DIV/0!</v>
      </c>
      <c r="AP212" s="3" t="e">
        <f>AN212*AP68/AN68</f>
        <v>#DIV/0!</v>
      </c>
      <c r="AQ212" s="3" t="e">
        <f>AP212</f>
        <v>#DIV/0!</v>
      </c>
      <c r="AR212" s="3" t="e">
        <f>AP212*AR68/AP68</f>
        <v>#DIV/0!</v>
      </c>
      <c r="AS212" s="3" t="e">
        <f>AQ212*AS68/AQ68</f>
        <v>#DIV/0!</v>
      </c>
      <c r="AT212" s="3" t="e">
        <f>AR212*AT68/AR68</f>
        <v>#DIV/0!</v>
      </c>
      <c r="AU212" s="3" t="e">
        <f>AS212*AU68/AS68</f>
        <v>#DIV/0!</v>
      </c>
      <c r="AV212" s="3" t="e">
        <f>AU212</f>
        <v>#DIV/0!</v>
      </c>
      <c r="AW212" s="3" t="e">
        <f>AU212*AW68/AU68</f>
        <v>#DIV/0!</v>
      </c>
      <c r="AX212" s="3" t="e">
        <f>AV212*AX68/AV68</f>
        <v>#DIV/0!</v>
      </c>
      <c r="AY212" s="3" t="e">
        <f>AW212*AY68/AW68</f>
        <v>#DIV/0!</v>
      </c>
      <c r="AZ212" s="3" t="e">
        <f>AX212*AZ68/AX68</f>
        <v>#DIV/0!</v>
      </c>
      <c r="BA212" s="3" t="e">
        <f>AZ212</f>
        <v>#DIV/0!</v>
      </c>
      <c r="BB212" s="3" t="e">
        <f>AZ212*BB68/AZ68</f>
        <v>#DIV/0!</v>
      </c>
      <c r="BC212" s="3" t="e">
        <f>BA212*BC68/BA68</f>
        <v>#DIV/0!</v>
      </c>
      <c r="BD212" s="3" t="e">
        <f>BB212*BD68/BB68</f>
        <v>#DIV/0!</v>
      </c>
      <c r="BE212" s="3" t="e">
        <f>BC212*BE68/BC68</f>
        <v>#DIV/0!</v>
      </c>
      <c r="BF212" s="3" t="e">
        <f>BE212</f>
        <v>#DIV/0!</v>
      </c>
      <c r="BG212" s="3" t="e">
        <f>BE212*BG68/BE68</f>
        <v>#DIV/0!</v>
      </c>
      <c r="BH212" s="3" t="e">
        <f>BF212*BH68/BF68</f>
        <v>#DIV/0!</v>
      </c>
      <c r="BI212" s="3" t="e">
        <f>BG212*BI68/BG68</f>
        <v>#DIV/0!</v>
      </c>
      <c r="BJ212" s="3" t="e">
        <f>BH212*BJ68/BH68</f>
        <v>#DIV/0!</v>
      </c>
      <c r="BK212" s="3" t="e">
        <f>BJ212</f>
        <v>#DIV/0!</v>
      </c>
      <c r="BL212" s="3" t="e">
        <f>BJ212*BL68/BJ68</f>
        <v>#DIV/0!</v>
      </c>
      <c r="BM212" s="3" t="e">
        <f>BK212*BM68/BK68</f>
        <v>#DIV/0!</v>
      </c>
      <c r="BN212" s="3" t="e">
        <f>BL212*BN68/BL68</f>
        <v>#DIV/0!</v>
      </c>
      <c r="BO212" s="3" t="e">
        <f>BM212*BO68/BM68</f>
        <v>#DIV/0!</v>
      </c>
      <c r="BP212" s="3" t="e">
        <f>BO212</f>
        <v>#DIV/0!</v>
      </c>
      <c r="BQ212" s="3" t="e">
        <f>BO212*BQ68/BO68</f>
        <v>#DIV/0!</v>
      </c>
      <c r="BR212" s="3" t="e">
        <f>BP212*BR68/BP68</f>
        <v>#DIV/0!</v>
      </c>
      <c r="BS212" s="3" t="e">
        <f>BQ212*BS68/BQ68</f>
        <v>#DIV/0!</v>
      </c>
      <c r="BT212" s="3" t="e">
        <f>BR212*BT68/BR68</f>
        <v>#DIV/0!</v>
      </c>
      <c r="BU212" s="3" t="e">
        <f>BT212</f>
        <v>#DIV/0!</v>
      </c>
      <c r="BV212" s="3" t="e">
        <f>BT212*BV68/BT68</f>
        <v>#DIV/0!</v>
      </c>
      <c r="BW212" s="3" t="e">
        <f>BU212*BW68/BU68</f>
        <v>#DIV/0!</v>
      </c>
      <c r="BX212" s="3" t="e">
        <f>BV212*BX68/BV68</f>
        <v>#DIV/0!</v>
      </c>
      <c r="BY212" s="3" t="e">
        <f>BW212*BY68/BW68</f>
        <v>#DIV/0!</v>
      </c>
      <c r="BZ212" s="3" t="e">
        <f>BY212</f>
        <v>#DIV/0!</v>
      </c>
      <c r="CA212" s="3" t="e">
        <f>BY212*CA68/BY68</f>
        <v>#DIV/0!</v>
      </c>
      <c r="CB212" s="3" t="e">
        <f>BZ212*CB68/BZ68</f>
        <v>#DIV/0!</v>
      </c>
      <c r="CC212" s="3" t="e">
        <f>CA212*CC68/CA68</f>
        <v>#DIV/0!</v>
      </c>
      <c r="CD212" s="3" t="e">
        <f>CB212*CD68/CB68</f>
        <v>#DIV/0!</v>
      </c>
      <c r="CE212" s="3" t="e">
        <f>CD212</f>
        <v>#DIV/0!</v>
      </c>
      <c r="CF212" s="3" t="e">
        <f>CD212*CF68/CD68</f>
        <v>#DIV/0!</v>
      </c>
      <c r="CG212" s="3" t="e">
        <f>CE212*CG68/CE68</f>
        <v>#DIV/0!</v>
      </c>
      <c r="CH212" s="3" t="e">
        <f>CF212*CH68/CF68</f>
        <v>#DIV/0!</v>
      </c>
      <c r="CI212" s="3" t="e">
        <f>CG212*CI68/CG68</f>
        <v>#DIV/0!</v>
      </c>
      <c r="CJ212" s="3" t="e">
        <f>CI212</f>
        <v>#DIV/0!</v>
      </c>
      <c r="CK212" s="3" t="e">
        <f>CI212*CK68/CI68</f>
        <v>#DIV/0!</v>
      </c>
      <c r="CL212" s="3" t="e">
        <f>CJ212*CL68/CJ68</f>
        <v>#DIV/0!</v>
      </c>
      <c r="CM212" s="3" t="e">
        <f>CK212*CM68/CK68</f>
        <v>#DIV/0!</v>
      </c>
      <c r="CN212" s="3" t="e">
        <f>CL212*CN68/CL68</f>
        <v>#DIV/0!</v>
      </c>
      <c r="CO212" s="3" t="e">
        <f>CN212</f>
        <v>#DIV/0!</v>
      </c>
      <c r="CP212" s="3" t="e">
        <f>CN212*CP68/CN68</f>
        <v>#DIV/0!</v>
      </c>
      <c r="CQ212" s="3" t="e">
        <f>CO212*CQ68/CO68</f>
        <v>#DIV/0!</v>
      </c>
      <c r="CR212" s="3" t="e">
        <f>CP212*CR68/CP68</f>
        <v>#DIV/0!</v>
      </c>
      <c r="CS212" s="3" t="e">
        <f>CQ212*CS68/CQ68</f>
        <v>#DIV/0!</v>
      </c>
      <c r="CT212" s="3" t="e">
        <f>CS212</f>
        <v>#DIV/0!</v>
      </c>
      <c r="CU212" s="3" t="e">
        <f>CS212*CU68/CS68</f>
        <v>#DIV/0!</v>
      </c>
      <c r="CV212" s="3" t="e">
        <f>CT212*CV68/CT68</f>
        <v>#DIV/0!</v>
      </c>
      <c r="CW212" s="3" t="e">
        <f>CU212*CW68/CU68</f>
        <v>#DIV/0!</v>
      </c>
      <c r="CX212" s="3" t="e">
        <f>CV212*CX68/CV68</f>
        <v>#DIV/0!</v>
      </c>
      <c r="CY212" s="3" t="e">
        <f>CX212</f>
        <v>#DIV/0!</v>
      </c>
    </row>
    <row r="213" hidden="1" outlineLevel="1">
      <c r="C213" s="38" t="inlineStr">
        <is>
          <t>%(Var.)</t>
        </is>
      </c>
      <c r="D213" s="3" t="n"/>
      <c r="E213" s="47" t="e">
        <f>(E212-D212)/D212</f>
        <v>#N/A</v>
      </c>
      <c r="F213" s="47">
        <f>(F212-E212)/E212</f>
        <v>0.0908720607328799</v>
      </c>
      <c r="G213" s="47">
        <f>(G212-F212)/F212</f>
        <v>-0.183380320869734</v>
      </c>
      <c r="H213" s="3" t="n"/>
      <c r="I213" s="47">
        <f>(I212-H212)/H212</f>
        <v>0.117199652119305</v>
      </c>
      <c r="J213" s="47">
        <f>(J212-I212)/I212</f>
        <v>0.189554884127839</v>
      </c>
      <c r="K213" s="47">
        <f>(K212-J212)/J212</f>
        <v>0.14430344430583</v>
      </c>
      <c r="L213" s="47">
        <f>(L212-K212)/K212</f>
        <v>-0.173706295763719</v>
      </c>
      <c r="M213" s="3" t="n"/>
      <c r="N213" s="47">
        <f>(N212-M212)/M212</f>
        <v>0.0584342175538543</v>
      </c>
      <c r="O213" s="47">
        <f>(O212-N212)/N212</f>
        <v>0.125651257942298</v>
      </c>
      <c r="P213" s="47">
        <f>(P212-O212)/O212</f>
        <v>0.227468340244313</v>
      </c>
      <c r="Q213" s="47">
        <f>(Q212-P212)/P212</f>
        <v>-0.0830054081033292</v>
      </c>
      <c r="R213" s="3" t="n"/>
      <c r="S213" s="47">
        <f>(S212-R212)/R212</f>
        <v>0.0258374349085815</v>
      </c>
      <c r="T213" s="47">
        <f>(T212-S212)/S212</f>
        <v>0.155248275594322</v>
      </c>
      <c r="U213" s="47">
        <f>(U212-T212)/T212</f>
        <v>0.150322898638393</v>
      </c>
      <c r="V213" s="47">
        <f>(V212-U212)/U212</f>
        <v>-0.040169930980755</v>
      </c>
      <c r="W213" s="3" t="n"/>
      <c r="X213" s="47">
        <f>(X212-W212)/W212</f>
        <v>0.0904237105426692</v>
      </c>
      <c r="Y213" s="47">
        <f>(Y212-X212)/X212</f>
        <v>0.0574638582942743</v>
      </c>
      <c r="Z213" s="47">
        <f>(Z212-Y212)/Y212</f>
        <v>0.088249462725111</v>
      </c>
      <c r="AA213" s="47">
        <f>(AA212-Z212)/Z212</f>
        <v>-0.10037232580327</v>
      </c>
      <c r="AB213" s="3" t="n"/>
      <c r="AC213" s="47">
        <f>(AC212-AB212)/AB212</f>
        <v>0.0832047021711142</v>
      </c>
      <c r="AD213" s="47">
        <f>(AD212-AC212)/AC212</f>
        <v>-0.0199044602501955</v>
      </c>
      <c r="AE213" s="47">
        <f>(AE212-AD212)/AD212</f>
        <v>0.261401418391685</v>
      </c>
      <c r="AF213" s="218">
        <f>(AF212-AE212)/AE212</f>
        <v>-0.116470728380376</v>
      </c>
      <c r="AG213" s="3" t="n"/>
      <c r="AH213" s="218">
        <f>(AH212-AG212)/AG212</f>
        <v>0.0357784436823256</v>
      </c>
      <c r="AI213" s="218">
        <f>(AI212-AH212)/AH212</f>
        <v>0.0331712021237784</v>
      </c>
      <c r="AJ213" s="218" t="n"/>
      <c r="AK213" s="218" t="n"/>
      <c r="AL213" s="3" t="n"/>
      <c r="AM213" s="218" t="n"/>
      <c r="AN213" s="218" t="n"/>
      <c r="AO213" s="218" t="n"/>
      <c r="AP213" s="218" t="n"/>
      <c r="AQ213" s="3" t="n"/>
      <c r="AR213" s="218" t="n"/>
      <c r="AS213" s="218" t="n"/>
      <c r="AT213" s="218" t="n"/>
      <c r="AU213" s="218" t="n"/>
      <c r="AV213" s="3" t="n"/>
      <c r="AW213" s="218" t="n"/>
      <c r="AX213" s="218" t="n"/>
      <c r="AY213" s="218" t="n"/>
      <c r="AZ213" s="218" t="n"/>
      <c r="BA213" s="3" t="n"/>
      <c r="BB213" s="218" t="n"/>
      <c r="BC213" s="218" t="n"/>
      <c r="BD213" s="218" t="n"/>
      <c r="BE213" s="218" t="n"/>
      <c r="BF213" s="3" t="n"/>
      <c r="BG213" s="218" t="n"/>
      <c r="BH213" s="218" t="n"/>
      <c r="BI213" s="218" t="n"/>
      <c r="BJ213" s="218" t="n"/>
      <c r="BK213" s="3" t="n"/>
      <c r="BL213" s="218" t="n"/>
      <c r="BM213" s="218" t="n"/>
      <c r="BN213" s="218" t="n"/>
      <c r="BO213" s="218" t="n"/>
      <c r="BP213" s="3" t="n"/>
      <c r="BQ213" s="218" t="n"/>
      <c r="BR213" s="218" t="n"/>
      <c r="BS213" s="218" t="n"/>
      <c r="BT213" s="218" t="n"/>
      <c r="BU213" s="3" t="n"/>
      <c r="BV213" s="218" t="n"/>
      <c r="BW213" s="218" t="n"/>
      <c r="BX213" s="218" t="n"/>
      <c r="BY213" s="218" t="n"/>
      <c r="BZ213" s="3" t="n"/>
      <c r="CA213" s="218" t="n"/>
      <c r="CB213" s="218" t="n"/>
      <c r="CC213" s="218" t="n"/>
      <c r="CD213" s="218" t="n"/>
      <c r="CE213" s="3" t="n"/>
      <c r="CF213" s="218" t="n"/>
      <c r="CG213" s="218" t="n"/>
      <c r="CH213" s="218" t="n"/>
      <c r="CI213" s="218" t="n"/>
      <c r="CJ213" s="3" t="n"/>
      <c r="CK213" s="218" t="n"/>
      <c r="CL213" s="218" t="n"/>
      <c r="CM213" s="218" t="n"/>
      <c r="CN213" s="218" t="n"/>
      <c r="CO213" s="3" t="n"/>
      <c r="CP213" s="218" t="n"/>
      <c r="CQ213" s="218" t="n"/>
      <c r="CR213" s="218" t="n"/>
      <c r="CS213" s="218" t="n"/>
      <c r="CT213" s="3" t="n"/>
      <c r="CU213" s="218" t="n"/>
      <c r="CV213" s="218" t="n"/>
      <c r="CW213" s="218" t="n"/>
      <c r="CX213" s="218" t="n"/>
      <c r="CY213" s="3" t="n"/>
    </row>
    <row r="214" collapsed="1">
      <c r="C214" s="26" t="inlineStr">
        <is>
          <t>Taxes payable</t>
        </is>
      </c>
      <c r="D214" s="25" t="e">
        <f>INDEX('Inputs (2)'!$D$30:$AL$30,MATCH(D$7,'Inputs (2)'!$D$2:$AL$2,0))</f>
        <v>#N/A</v>
      </c>
      <c r="E214" s="25">
        <f>INDEX('Inputs (2)'!$D$30:$AL$30,MATCH(E$7,'Inputs (2)'!$D$2:$AL$2,0))</f>
        <v>96.113</v>
      </c>
      <c r="F214" s="25">
        <f>INDEX('Inputs (2)'!$D$30:$AL$30,MATCH(F$7,'Inputs (2)'!$D$2:$AL$2,0))</f>
        <v>110.95815819</v>
      </c>
      <c r="G214" s="25">
        <f>INDEX('Inputs (2)'!$D$30:$AL$30,MATCH(G$7,'Inputs (2)'!$D$2:$AL$2,0))</f>
        <v>102.78363724</v>
      </c>
      <c r="H214" s="3">
        <f>G214</f>
        <v>102.78363724</v>
      </c>
      <c r="I214" s="25">
        <f>INDEX('Inputs (2)'!$D$30:$AL$30,MATCH(I$7,'Inputs (2)'!$D$2:$AL$2,0))</f>
        <v>82.18213189</v>
      </c>
      <c r="J214" s="25">
        <f>INDEX('Inputs (2)'!$D$30:$AL$30,MATCH(J$7,'Inputs (2)'!$D$2:$AL$2,0))</f>
        <v>84.23464572</v>
      </c>
      <c r="K214" s="25">
        <f>INDEX('Inputs (2)'!$D$30:$AL$30,MATCH(K$7,'Inputs (2)'!$D$2:$AL$2,0))</f>
        <v>102.009</v>
      </c>
      <c r="L214" s="25">
        <f>INDEX('Inputs (2)'!$D$30:$AL$30,MATCH(L$7,'Inputs (2)'!$D$2:$AL$2,0))</f>
        <v>128.618</v>
      </c>
      <c r="M214" s="3">
        <f>L214</f>
        <v>128.618</v>
      </c>
      <c r="N214" s="25">
        <f>INDEX('Inputs (2)'!$D$30:$AL$30,MATCH(N$7,'Inputs (2)'!$D$2:$AL$2,0))</f>
        <v>115.444</v>
      </c>
      <c r="O214" s="25">
        <f>INDEX('Inputs (2)'!$D$30:$AL$30,MATCH(O$7,'Inputs (2)'!$D$2:$AL$2,0))</f>
        <v>119.305</v>
      </c>
      <c r="P214" s="25">
        <f>INDEX('Inputs (2)'!$D$30:$AL$30,MATCH(P$7,'Inputs (2)'!$D$2:$AL$2,0))</f>
        <v>118.858</v>
      </c>
      <c r="Q214" s="25">
        <f>INDEX('Inputs (2)'!$D$30:$AL$30,MATCH(Q$7,'Inputs (2)'!$D$2:$AL$2,0))</f>
        <v>142.566</v>
      </c>
      <c r="R214" s="3">
        <f>Q214</f>
        <v>142.566</v>
      </c>
      <c r="S214" s="25">
        <f>INDEX('Inputs (2)'!$D$30:$AL$30,MATCH(S$7,'Inputs (2)'!$D$2:$AL$2,0))</f>
        <v>125.945</v>
      </c>
      <c r="T214" s="25">
        <f>INDEX('Inputs (2)'!$D$30:$AL$30,MATCH(T$7,'Inputs (2)'!$D$2:$AL$2,0))</f>
        <v>175.951</v>
      </c>
      <c r="U214" s="25">
        <f>INDEX('Inputs (2)'!$D$30:$AL$30,MATCH(U$7,'Inputs (2)'!$D$2:$AL$2,0))</f>
        <v>156.525</v>
      </c>
      <c r="V214" s="25">
        <f>INDEX('Inputs (2)'!$D$30:$AL$30,MATCH(V$7,'Inputs (2)'!$D$2:$AL$2,0))</f>
        <v>224.887</v>
      </c>
      <c r="W214" s="3">
        <f>V214</f>
        <v>224.887</v>
      </c>
      <c r="X214" s="25">
        <f>INDEX('Inputs (2)'!$D$30:$AL$30,MATCH(X$7,'Inputs (2)'!$D$2:$AL$2,0))</f>
        <v>300.564</v>
      </c>
      <c r="Y214" s="25">
        <f>INDEX('Inputs (2)'!$D$30:$AL$30,MATCH(Y$7,'Inputs (2)'!$D$2:$AL$2,0))</f>
        <v>524.916</v>
      </c>
      <c r="Z214" s="25">
        <f>INDEX('Inputs (2)'!$D$30:$AL$30,MATCH(Z$7,'Inputs (2)'!$D$2:$AL$2,0))</f>
        <v>657.468</v>
      </c>
      <c r="AA214" s="25">
        <f>INDEX('Inputs (2)'!$D$30:$AL$30,MATCH(AA$7,'Inputs (2)'!$D$2:$AL$2,0))</f>
        <v>434.563</v>
      </c>
      <c r="AB214" s="3">
        <f>AA214</f>
        <v>434.563</v>
      </c>
      <c r="AC214" s="25">
        <f>INDEX('Inputs (2)'!$D$30:$AL$30,MATCH(AC$7,'Inputs (2)'!$D$2:$AL$2,0))</f>
        <v>401.21</v>
      </c>
      <c r="AD214" s="25">
        <f>INDEX('Inputs (2)'!$D$30:$AL$30,MATCH(AD$7,'Inputs (2)'!$D$2:$AL$2,0))</f>
        <v>352.988</v>
      </c>
      <c r="AE214" s="25">
        <f>INDEX('Inputs (2)'!$D$30:$AL$30,MATCH(AE$7,'Inputs (2)'!$D$2:$AL$2,0))</f>
        <v>368.763</v>
      </c>
      <c r="AF214" s="25">
        <f>INDEX('Inputs (2)'!$D$30:$AL$30,MATCH(AF$7,'Inputs (2)'!$D$2:$AL$2,0))</f>
        <v>371.5</v>
      </c>
      <c r="AG214" s="3">
        <f>AF214</f>
        <v>371.5</v>
      </c>
      <c r="AH214" s="3">
        <f>INDEX('Inputs (2)'!$D$30:$AL$30,MATCH(AH$7,'Inputs (2)'!$D$2:$AL$2,0))</f>
        <v>274.497</v>
      </c>
      <c r="AI214" s="3">
        <f>INDEX('Inputs (2)'!$D$30:$AL$30,MATCH(AI$7,'Inputs (2)'!$D$2:$AL$2,0))</f>
        <v>218.708</v>
      </c>
      <c r="AJ214" s="3">
        <f>AH214*AJ141/AH141</f>
        <v>0</v>
      </c>
      <c r="AK214" s="3">
        <f>AI214*AK141/AI141</f>
        <v>0</v>
      </c>
      <c r="AL214" s="3">
        <f>AK214</f>
        <v>0</v>
      </c>
      <c r="AM214" s="3" t="e">
        <f>AK214*AM141/AK141</f>
        <v>#DIV/0!</v>
      </c>
      <c r="AN214" s="3">
        <f>AL214*AN141/AL141</f>
        <v>0</v>
      </c>
      <c r="AO214" s="3" t="e">
        <f>AM214*AO141/AM141</f>
        <v>#DIV/0!</v>
      </c>
      <c r="AP214" s="3" t="e">
        <f>AN214*AP141/AN141</f>
        <v>#DIV/0!</v>
      </c>
      <c r="AQ214" s="3" t="e">
        <f>AP214</f>
        <v>#DIV/0!</v>
      </c>
      <c r="AR214" s="3" t="e">
        <f>AP214*AR141/AP141</f>
        <v>#DIV/0!</v>
      </c>
      <c r="AS214" s="3" t="e">
        <f>AQ214*AS141/AQ141</f>
        <v>#DIV/0!</v>
      </c>
      <c r="AT214" s="3" t="e">
        <f>AR214*AT141/AR141</f>
        <v>#DIV/0!</v>
      </c>
      <c r="AU214" s="3" t="e">
        <f>AS214*AU141/AS141</f>
        <v>#DIV/0!</v>
      </c>
      <c r="AV214" s="3" t="e">
        <f>AU214</f>
        <v>#DIV/0!</v>
      </c>
      <c r="AW214" s="3" t="e">
        <f>AU214*AW141/AU141</f>
        <v>#DIV/0!</v>
      </c>
      <c r="AX214" s="3" t="e">
        <f>AV214*AX141/AV141</f>
        <v>#DIV/0!</v>
      </c>
      <c r="AY214" s="3" t="e">
        <f>AW214*AY141/AW141</f>
        <v>#DIV/0!</v>
      </c>
      <c r="AZ214" s="3" t="e">
        <f>AX214*AZ141/AX141</f>
        <v>#DIV/0!</v>
      </c>
      <c r="BA214" s="3" t="e">
        <f>AZ214</f>
        <v>#DIV/0!</v>
      </c>
      <c r="BB214" s="3" t="e">
        <f>AZ214*BB141/AZ141</f>
        <v>#DIV/0!</v>
      </c>
      <c r="BC214" s="3" t="e">
        <f>BA214*BC141/BA141</f>
        <v>#DIV/0!</v>
      </c>
      <c r="BD214" s="3" t="e">
        <f>BB214*BD141/BB141</f>
        <v>#DIV/0!</v>
      </c>
      <c r="BE214" s="3" t="e">
        <f>BC214*BE141/BC141</f>
        <v>#DIV/0!</v>
      </c>
      <c r="BF214" s="3" t="e">
        <f>BE214</f>
        <v>#DIV/0!</v>
      </c>
      <c r="BG214" s="3" t="e">
        <f>BE214*BG141/BE141</f>
        <v>#DIV/0!</v>
      </c>
      <c r="BH214" s="3" t="e">
        <f>BF214*BH141/BF141</f>
        <v>#DIV/0!</v>
      </c>
      <c r="BI214" s="3" t="e">
        <f>BG214*BI141/BG141</f>
        <v>#DIV/0!</v>
      </c>
      <c r="BJ214" s="3" t="e">
        <f>BH214*BJ141/BH141</f>
        <v>#DIV/0!</v>
      </c>
      <c r="BK214" s="3" t="e">
        <f>BJ214</f>
        <v>#DIV/0!</v>
      </c>
      <c r="BL214" s="3" t="e">
        <f>BJ214*BL141/BJ141</f>
        <v>#DIV/0!</v>
      </c>
      <c r="BM214" s="3" t="e">
        <f>BK214*BM141/BK141</f>
        <v>#DIV/0!</v>
      </c>
      <c r="BN214" s="3" t="e">
        <f>BL214*BN141/BL141</f>
        <v>#DIV/0!</v>
      </c>
      <c r="BO214" s="3" t="e">
        <f>BM214*BO141/BM141</f>
        <v>#DIV/0!</v>
      </c>
      <c r="BP214" s="3" t="e">
        <f>BO214</f>
        <v>#DIV/0!</v>
      </c>
      <c r="BQ214" s="3" t="e">
        <f>BO214*BQ141/BO141</f>
        <v>#DIV/0!</v>
      </c>
      <c r="BR214" s="3" t="e">
        <f>BP214*BR141/BP141</f>
        <v>#DIV/0!</v>
      </c>
      <c r="BS214" s="3" t="e">
        <f>BQ214*BS141/BQ141</f>
        <v>#DIV/0!</v>
      </c>
      <c r="BT214" s="3" t="e">
        <f>BR214*BT141/BR141</f>
        <v>#DIV/0!</v>
      </c>
      <c r="BU214" s="3" t="e">
        <f>BT214</f>
        <v>#DIV/0!</v>
      </c>
      <c r="BV214" s="3" t="e">
        <f>BT214*BV141/BT141</f>
        <v>#DIV/0!</v>
      </c>
      <c r="BW214" s="3" t="e">
        <f>BU214*BW141/BU141</f>
        <v>#DIV/0!</v>
      </c>
      <c r="BX214" s="3" t="e">
        <f>BV214*BX141/BV141</f>
        <v>#DIV/0!</v>
      </c>
      <c r="BY214" s="3" t="e">
        <f>BW214*BY141/BW141</f>
        <v>#DIV/0!</v>
      </c>
      <c r="BZ214" s="3" t="e">
        <f>BY214</f>
        <v>#DIV/0!</v>
      </c>
      <c r="CA214" s="3" t="e">
        <f>BY214*CA141/BY141</f>
        <v>#DIV/0!</v>
      </c>
      <c r="CB214" s="3" t="e">
        <f>BZ214*CB141/BZ141</f>
        <v>#DIV/0!</v>
      </c>
      <c r="CC214" s="3" t="e">
        <f>CA214*CC141/CA141</f>
        <v>#DIV/0!</v>
      </c>
      <c r="CD214" s="3" t="e">
        <f>CB214*CD141/CB141</f>
        <v>#DIV/0!</v>
      </c>
      <c r="CE214" s="3" t="e">
        <f>CD214</f>
        <v>#DIV/0!</v>
      </c>
      <c r="CF214" s="3" t="e">
        <f>CD214*CF141/CD141</f>
        <v>#DIV/0!</v>
      </c>
      <c r="CG214" s="3" t="e">
        <f>CE214*CG141/CE141</f>
        <v>#DIV/0!</v>
      </c>
      <c r="CH214" s="3" t="e">
        <f>CF214*CH141/CF141</f>
        <v>#DIV/0!</v>
      </c>
      <c r="CI214" s="3" t="e">
        <f>CG214*CI141/CG141</f>
        <v>#DIV/0!</v>
      </c>
      <c r="CJ214" s="3" t="e">
        <f>CI214</f>
        <v>#DIV/0!</v>
      </c>
      <c r="CK214" s="3" t="e">
        <f>CI214*CK141/CI141</f>
        <v>#DIV/0!</v>
      </c>
      <c r="CL214" s="3" t="e">
        <f>CJ214*CL141/CJ141</f>
        <v>#DIV/0!</v>
      </c>
      <c r="CM214" s="3" t="e">
        <f>CK214*CM141/CK141</f>
        <v>#DIV/0!</v>
      </c>
      <c r="CN214" s="3" t="e">
        <f>CL214*CN141/CL141</f>
        <v>#DIV/0!</v>
      </c>
      <c r="CO214" s="3" t="e">
        <f>CN214</f>
        <v>#DIV/0!</v>
      </c>
      <c r="CP214" s="3" t="e">
        <f>CN214*CP141/CN141</f>
        <v>#DIV/0!</v>
      </c>
      <c r="CQ214" s="3" t="e">
        <f>CO214*CQ141/CO141</f>
        <v>#DIV/0!</v>
      </c>
      <c r="CR214" s="3" t="e">
        <f>CP214*CR141/CP141</f>
        <v>#DIV/0!</v>
      </c>
      <c r="CS214" s="3" t="e">
        <f>CQ214*CS141/CQ141</f>
        <v>#DIV/0!</v>
      </c>
      <c r="CT214" s="3" t="e">
        <f>CS214</f>
        <v>#DIV/0!</v>
      </c>
      <c r="CU214" s="3" t="e">
        <f>CS214*CU141/CS141</f>
        <v>#DIV/0!</v>
      </c>
      <c r="CV214" s="3" t="e">
        <f>CT214*CV141/CT141</f>
        <v>#DIV/0!</v>
      </c>
      <c r="CW214" s="3" t="e">
        <f>CU214*CW141/CU141</f>
        <v>#DIV/0!</v>
      </c>
      <c r="CX214" s="3" t="e">
        <f>CV214*CX141/CV141</f>
        <v>#DIV/0!</v>
      </c>
      <c r="CY214" s="3" t="e">
        <f>CX214</f>
        <v>#DIV/0!</v>
      </c>
    </row>
    <row r="215">
      <c r="C215" s="26" t="inlineStr">
        <is>
          <t>Other current liabilities (non-debt)</t>
        </is>
      </c>
      <c r="D215" s="25" t="e">
        <f>INDEX('Inputs (2)'!$D$31:$AL$31,MATCH(D$7,'Inputs (2)'!$D$2:$AL$2,0))</f>
        <v>#N/A</v>
      </c>
      <c r="E215" s="25">
        <f>INDEX('Inputs (2)'!$D$31:$AL$31,MATCH(E$7,'Inputs (2)'!$D$2:$AL$2,0))</f>
        <v>54.547</v>
      </c>
      <c r="F215" s="25">
        <f>INDEX('Inputs (2)'!$D$31:$AL$31,MATCH(F$7,'Inputs (2)'!$D$2:$AL$2,0))</f>
        <v>2.90834062</v>
      </c>
      <c r="G215" s="25">
        <f>INDEX('Inputs (2)'!$D$31:$AL$31,MATCH(G$7,'Inputs (2)'!$D$2:$AL$2,0))</f>
        <v>6.7870716</v>
      </c>
      <c r="H215" s="3">
        <f>G215</f>
        <v>6.7870716</v>
      </c>
      <c r="I215" s="25">
        <f>INDEX('Inputs (2)'!$D$31:$AL$31,MATCH(I$7,'Inputs (2)'!$D$2:$AL$2,0))</f>
        <v>11.90376382</v>
      </c>
      <c r="J215" s="25">
        <f>INDEX('Inputs (2)'!$D$31:$AL$31,MATCH(J$7,'Inputs (2)'!$D$2:$AL$2,0))</f>
        <v>11.02509488</v>
      </c>
      <c r="K215" s="25">
        <f>INDEX('Inputs (2)'!$D$31:$AL$31,MATCH(K$7,'Inputs (2)'!$D$2:$AL$2,0))</f>
        <v>10.107</v>
      </c>
      <c r="L215" s="25">
        <f>INDEX('Inputs (2)'!$D$31:$AL$31,MATCH(L$7,'Inputs (2)'!$D$2:$AL$2,0))</f>
        <v>6.485</v>
      </c>
      <c r="M215" s="3">
        <f>L215</f>
        <v>6.485</v>
      </c>
      <c r="N215" s="25">
        <f>INDEX('Inputs (2)'!$D$31:$AL$31,MATCH(N$7,'Inputs (2)'!$D$2:$AL$2,0))</f>
        <v>10.036</v>
      </c>
      <c r="O215" s="25">
        <f>INDEX('Inputs (2)'!$D$31:$AL$31,MATCH(O$7,'Inputs (2)'!$D$2:$AL$2,0))</f>
        <v>104.094</v>
      </c>
      <c r="P215" s="25">
        <f>INDEX('Inputs (2)'!$D$31:$AL$31,MATCH(P$7,'Inputs (2)'!$D$2:$AL$2,0))</f>
        <v>56.304</v>
      </c>
      <c r="Q215" s="25">
        <f>INDEX('Inputs (2)'!$D$31:$AL$31,MATCH(Q$7,'Inputs (2)'!$D$2:$AL$2,0))</f>
        <v>27.794</v>
      </c>
      <c r="R215" s="3">
        <f>Q215</f>
        <v>27.794</v>
      </c>
      <c r="S215" s="25">
        <f>INDEX('Inputs (2)'!$D$31:$AL$31,MATCH(S$7,'Inputs (2)'!$D$2:$AL$2,0))</f>
        <v>23.079</v>
      </c>
      <c r="T215" s="25">
        <f>INDEX('Inputs (2)'!$D$31:$AL$31,MATCH(T$7,'Inputs (2)'!$D$2:$AL$2,0))</f>
        <v>56.905</v>
      </c>
      <c r="U215" s="25">
        <f>INDEX('Inputs (2)'!$D$31:$AL$31,MATCH(U$7,'Inputs (2)'!$D$2:$AL$2,0))</f>
        <v>67.267</v>
      </c>
      <c r="V215" s="25">
        <f>INDEX('Inputs (2)'!$D$31:$AL$31,MATCH(V$7,'Inputs (2)'!$D$2:$AL$2,0))</f>
        <v>76.354</v>
      </c>
      <c r="W215" s="3">
        <f>V215</f>
        <v>76.354</v>
      </c>
      <c r="X215" s="25">
        <f>INDEX('Inputs (2)'!$D$31:$AL$31,MATCH(X$7,'Inputs (2)'!$D$2:$AL$2,0))</f>
        <v>178.543</v>
      </c>
      <c r="Y215" s="25">
        <f>INDEX('Inputs (2)'!$D$31:$AL$31,MATCH(Y$7,'Inputs (2)'!$D$2:$AL$2,0))</f>
        <v>338.727</v>
      </c>
      <c r="Z215" s="25">
        <f>INDEX('Inputs (2)'!$D$31:$AL$31,MATCH(Z$7,'Inputs (2)'!$D$2:$AL$2,0))</f>
        <v>458.935</v>
      </c>
      <c r="AA215" s="25">
        <f>INDEX('Inputs (2)'!$D$31:$AL$31,MATCH(AA$7,'Inputs (2)'!$D$2:$AL$2,0))</f>
        <v>214.597</v>
      </c>
      <c r="AB215" s="3">
        <f>AA215</f>
        <v>214.597</v>
      </c>
      <c r="AC215" s="25">
        <f>INDEX('Inputs (2)'!$D$31:$AL$31,MATCH(AC$7,'Inputs (2)'!$D$2:$AL$2,0))</f>
        <v>231.191</v>
      </c>
      <c r="AD215" s="25">
        <f>INDEX('Inputs (2)'!$D$31:$AL$31,MATCH(AD$7,'Inputs (2)'!$D$2:$AL$2,0))</f>
        <v>390.144</v>
      </c>
      <c r="AE215" s="25">
        <f>INDEX('Inputs (2)'!$D$31:$AL$31,MATCH(AE$7,'Inputs (2)'!$D$2:$AL$2,0))</f>
        <v>507.504</v>
      </c>
      <c r="AF215" s="25">
        <f>INDEX('Inputs (2)'!$D$31:$AL$31,MATCH(AF$7,'Inputs (2)'!$D$2:$AL$2,0))</f>
        <v>502.183</v>
      </c>
      <c r="AG215" s="3">
        <f>AF215</f>
        <v>502.183</v>
      </c>
      <c r="AH215" s="3">
        <f>INDEX('Inputs (2)'!$D$31:$AL$31,MATCH(AH$7,'Inputs (2)'!$D$2:$AL$2,0))</f>
        <v>312.021</v>
      </c>
      <c r="AI215" s="3">
        <f>INDEX('Inputs (2)'!$D$31:$AL$31,MATCH(AI$7,'Inputs (2)'!$D$2:$AL$2,0))</f>
        <v>161.023</v>
      </c>
      <c r="AJ215" s="3">
        <f>AI215</f>
        <v>161.023</v>
      </c>
      <c r="AK215" s="3">
        <f>AJ215</f>
        <v>161.023</v>
      </c>
      <c r="AL215" s="3">
        <f>AK215</f>
        <v>161.023</v>
      </c>
      <c r="AM215" s="3">
        <f>AL215</f>
        <v>161.023</v>
      </c>
      <c r="AN215" s="3">
        <f>AM215</f>
        <v>161.023</v>
      </c>
      <c r="AO215" s="3">
        <f>AN215</f>
        <v>161.023</v>
      </c>
      <c r="AP215" s="3">
        <f>AO215</f>
        <v>161.023</v>
      </c>
      <c r="AQ215" s="3">
        <f>AP215</f>
        <v>161.023</v>
      </c>
      <c r="AR215" s="3">
        <f>AQ215</f>
        <v>161.023</v>
      </c>
      <c r="AS215" s="3">
        <f>AR215</f>
        <v>161.023</v>
      </c>
      <c r="AT215" s="3">
        <f>AS215</f>
        <v>161.023</v>
      </c>
      <c r="AU215" s="3">
        <f>AT215</f>
        <v>161.023</v>
      </c>
      <c r="AV215" s="3">
        <f>AU215</f>
        <v>161.023</v>
      </c>
      <c r="AW215" s="3">
        <f>AV215</f>
        <v>161.023</v>
      </c>
      <c r="AX215" s="3">
        <f>AW215</f>
        <v>161.023</v>
      </c>
      <c r="AY215" s="3">
        <f>AX215</f>
        <v>161.023</v>
      </c>
      <c r="AZ215" s="3">
        <f>AY215</f>
        <v>161.023</v>
      </c>
      <c r="BA215" s="3">
        <f>AZ215</f>
        <v>161.023</v>
      </c>
      <c r="BB215" s="3">
        <f>BA215</f>
        <v>161.023</v>
      </c>
      <c r="BC215" s="3">
        <f>BB215</f>
        <v>161.023</v>
      </c>
      <c r="BD215" s="3">
        <f>BC215</f>
        <v>161.023</v>
      </c>
      <c r="BE215" s="3">
        <f>BD215</f>
        <v>161.023</v>
      </c>
      <c r="BF215" s="3">
        <f>BE215</f>
        <v>161.023</v>
      </c>
      <c r="BG215" s="3">
        <f>BF215</f>
        <v>161.023</v>
      </c>
      <c r="BH215" s="3">
        <f>BG215</f>
        <v>161.023</v>
      </c>
      <c r="BI215" s="3">
        <f>BH215</f>
        <v>161.023</v>
      </c>
      <c r="BJ215" s="3">
        <f>BI215</f>
        <v>161.023</v>
      </c>
      <c r="BK215" s="3">
        <f>BJ215</f>
        <v>161.023</v>
      </c>
      <c r="BL215" s="3">
        <f>BK215</f>
        <v>161.023</v>
      </c>
      <c r="BM215" s="3">
        <f>BL215</f>
        <v>161.023</v>
      </c>
      <c r="BN215" s="3">
        <f>BM215</f>
        <v>161.023</v>
      </c>
      <c r="BO215" s="3">
        <f>BN215</f>
        <v>161.023</v>
      </c>
      <c r="BP215" s="3">
        <f>BO215</f>
        <v>161.023</v>
      </c>
      <c r="BQ215" s="3">
        <f>BP215</f>
        <v>161.023</v>
      </c>
      <c r="BR215" s="3">
        <f>BQ215</f>
        <v>161.023</v>
      </c>
      <c r="BS215" s="3">
        <f>BR215</f>
        <v>161.023</v>
      </c>
      <c r="BT215" s="3">
        <f>BS215</f>
        <v>161.023</v>
      </c>
      <c r="BU215" s="3">
        <f>BT215</f>
        <v>161.023</v>
      </c>
      <c r="BV215" s="3">
        <f>BU215</f>
        <v>161.023</v>
      </c>
      <c r="BW215" s="3">
        <f>BV215</f>
        <v>161.023</v>
      </c>
      <c r="BX215" s="3">
        <f>BW215</f>
        <v>161.023</v>
      </c>
      <c r="BY215" s="3">
        <f>BX215</f>
        <v>161.023</v>
      </c>
      <c r="BZ215" s="3">
        <f>BY215</f>
        <v>161.023</v>
      </c>
      <c r="CA215" s="3">
        <f>BZ215</f>
        <v>161.023</v>
      </c>
      <c r="CB215" s="3">
        <f>CA215</f>
        <v>161.023</v>
      </c>
      <c r="CC215" s="3">
        <f>CB215</f>
        <v>161.023</v>
      </c>
      <c r="CD215" s="3">
        <f>CC215</f>
        <v>161.023</v>
      </c>
      <c r="CE215" s="3">
        <f>CD215</f>
        <v>161.023</v>
      </c>
      <c r="CF215" s="3">
        <f>CE215</f>
        <v>161.023</v>
      </c>
      <c r="CG215" s="3">
        <f>CF215</f>
        <v>161.023</v>
      </c>
      <c r="CH215" s="3">
        <f>CG215</f>
        <v>161.023</v>
      </c>
      <c r="CI215" s="3">
        <f>CH215</f>
        <v>161.023</v>
      </c>
      <c r="CJ215" s="3">
        <f>CI215</f>
        <v>161.023</v>
      </c>
      <c r="CK215" s="3">
        <f>CJ215</f>
        <v>161.023</v>
      </c>
      <c r="CL215" s="3">
        <f>CK215</f>
        <v>161.023</v>
      </c>
      <c r="CM215" s="3">
        <f>CL215</f>
        <v>161.023</v>
      </c>
      <c r="CN215" s="3">
        <f>CM215</f>
        <v>161.023</v>
      </c>
      <c r="CO215" s="3">
        <f>CN215</f>
        <v>161.023</v>
      </c>
      <c r="CP215" s="3">
        <f>CO215</f>
        <v>161.023</v>
      </c>
      <c r="CQ215" s="3">
        <f>CP215</f>
        <v>161.023</v>
      </c>
      <c r="CR215" s="3">
        <f>CQ215</f>
        <v>161.023</v>
      </c>
      <c r="CS215" s="3">
        <f>CR215</f>
        <v>161.023</v>
      </c>
      <c r="CT215" s="3">
        <f>CS215</f>
        <v>161.023</v>
      </c>
      <c r="CU215" s="3">
        <f>CT215</f>
        <v>161.023</v>
      </c>
      <c r="CV215" s="3">
        <f>CU215</f>
        <v>161.023</v>
      </c>
      <c r="CW215" s="3">
        <f>CV215</f>
        <v>161.023</v>
      </c>
      <c r="CX215" s="3">
        <f>CW215</f>
        <v>161.023</v>
      </c>
      <c r="CY215" s="3">
        <f>CX215</f>
        <v>161.023</v>
      </c>
    </row>
    <row r="216" hidden="1" outlineLevel="1">
      <c r="C216" s="38" t="inlineStr">
        <is>
          <t>%(Var.)</t>
        </is>
      </c>
      <c r="D216" s="3" t="n"/>
      <c r="E216" s="47" t="e">
        <f>(E215-D215)/D215</f>
        <v>#N/A</v>
      </c>
      <c r="F216" s="47">
        <f>(F215-E215)/E215</f>
        <v>-0.946681932645242</v>
      </c>
      <c r="G216" s="47">
        <f>(G215-F215)/F215</f>
        <v>1.33365774054347</v>
      </c>
      <c r="H216" s="3" t="n"/>
      <c r="I216" s="47">
        <f>(I215-H215)/H215</f>
        <v>0.753888056816728</v>
      </c>
      <c r="J216" s="47">
        <f>(J215-I215)/I215</f>
        <v>-0.0738143794926199</v>
      </c>
      <c r="K216" s="47">
        <f>(K215-J215)/J215</f>
        <v>-0.0832731953777073</v>
      </c>
      <c r="L216" s="47">
        <f>(L215-K215)/K215</f>
        <v>-0.358365489264866</v>
      </c>
      <c r="M216" s="3" t="n"/>
      <c r="N216" s="47">
        <f>(N215-M215)/M215</f>
        <v>0.54757131842714</v>
      </c>
      <c r="O216" s="47">
        <f>(O215-N215)/N215</f>
        <v>9.37206058190514</v>
      </c>
      <c r="P216" s="47">
        <f>(P215-O215)/O215</f>
        <v>-0.459104271139547</v>
      </c>
      <c r="Q216" s="47">
        <f>(Q215-P215)/P215</f>
        <v>-0.506358340437624</v>
      </c>
      <c r="R216" s="3" t="n"/>
      <c r="S216" s="47">
        <f>(S215-R215)/R215</f>
        <v>-0.169640929697057</v>
      </c>
      <c r="T216" s="47">
        <f>(T215-S215)/S215</f>
        <v>1.46566142380519</v>
      </c>
      <c r="U216" s="47">
        <f>(U215-T215)/T215</f>
        <v>0.182092961954134</v>
      </c>
      <c r="V216" s="47">
        <f>(V215-U215)/U215</f>
        <v>0.135088527807097</v>
      </c>
      <c r="W216" s="3" t="n"/>
      <c r="X216" s="47">
        <f>(X215-W215)/W215</f>
        <v>1.33835817376955</v>
      </c>
      <c r="Y216" s="47">
        <f>(Y215-X215)/X215</f>
        <v>0.897173229978212</v>
      </c>
      <c r="Z216" s="47">
        <f>(Z215-Y215)/Y215</f>
        <v>0.354881659861777</v>
      </c>
      <c r="AA216" s="47">
        <f>(AA215-Z215)/Z215</f>
        <v>-0.532402192031551</v>
      </c>
      <c r="AB216" s="3" t="n"/>
      <c r="AC216" s="47">
        <f>(AC215-AB215)/AB215</f>
        <v>0.0773263372740532</v>
      </c>
      <c r="AD216" s="47">
        <f>(AD215-AC215)/AC215</f>
        <v>0.687539739868767</v>
      </c>
      <c r="AE216" s="47">
        <f>(AE215-AD215)/AD215</f>
        <v>0.300812007874016</v>
      </c>
      <c r="AF216" s="218">
        <f>(AF215-AE215)/AE215</f>
        <v>-0.0104846464264322</v>
      </c>
      <c r="AG216" s="3" t="n"/>
      <c r="AH216" s="218">
        <f>(AH215-AG215)/AG215</f>
        <v>-0.378670723620672</v>
      </c>
      <c r="AI216" s="218">
        <f>(AI215-AH215)/AH215</f>
        <v>-0.483935376144554</v>
      </c>
      <c r="AJ216" s="218" t="n"/>
      <c r="AK216" s="218" t="n"/>
      <c r="AL216" s="3" t="n"/>
      <c r="AM216" s="218" t="n"/>
      <c r="AN216" s="218" t="n"/>
      <c r="AO216" s="218" t="n"/>
      <c r="AP216" s="218" t="n"/>
      <c r="AQ216" s="3" t="n"/>
      <c r="AR216" s="218" t="n"/>
      <c r="AS216" s="218" t="n"/>
      <c r="AT216" s="218" t="n"/>
      <c r="AU216" s="218" t="n"/>
      <c r="AV216" s="3" t="n"/>
      <c r="AW216" s="218" t="n"/>
      <c r="AX216" s="218" t="n"/>
      <c r="AY216" s="218" t="n"/>
      <c r="AZ216" s="218" t="n"/>
      <c r="BA216" s="3" t="n"/>
      <c r="BB216" s="218" t="n"/>
      <c r="BC216" s="218" t="n"/>
      <c r="BD216" s="218" t="n"/>
      <c r="BE216" s="218" t="n"/>
      <c r="BF216" s="3" t="n"/>
      <c r="BG216" s="218" t="n"/>
      <c r="BH216" s="218" t="n"/>
      <c r="BI216" s="218" t="n"/>
      <c r="BJ216" s="218" t="n"/>
      <c r="BK216" s="3" t="n"/>
      <c r="BL216" s="218" t="n"/>
      <c r="BM216" s="218" t="n"/>
      <c r="BN216" s="218" t="n"/>
      <c r="BO216" s="218" t="n"/>
      <c r="BP216" s="3" t="n"/>
      <c r="BQ216" s="218" t="n"/>
      <c r="BR216" s="218" t="n"/>
      <c r="BS216" s="218" t="n"/>
      <c r="BT216" s="218" t="n"/>
      <c r="BU216" s="3" t="n"/>
      <c r="BV216" s="218" t="n"/>
      <c r="BW216" s="218" t="n"/>
      <c r="BX216" s="218" t="n"/>
      <c r="BY216" s="218" t="n"/>
      <c r="BZ216" s="3" t="n"/>
      <c r="CA216" s="218" t="n"/>
      <c r="CB216" s="218" t="n"/>
      <c r="CC216" s="218" t="n"/>
      <c r="CD216" s="218" t="n"/>
      <c r="CE216" s="3" t="n"/>
      <c r="CF216" s="218" t="n"/>
      <c r="CG216" s="218" t="n"/>
      <c r="CH216" s="218" t="n"/>
      <c r="CI216" s="218" t="n"/>
      <c r="CJ216" s="3" t="n"/>
      <c r="CK216" s="218" t="n"/>
      <c r="CL216" s="218" t="n"/>
      <c r="CM216" s="218" t="n"/>
      <c r="CN216" s="218" t="n"/>
      <c r="CO216" s="3" t="n"/>
      <c r="CP216" s="218" t="n"/>
      <c r="CQ216" s="218" t="n"/>
      <c r="CR216" s="218" t="n"/>
      <c r="CS216" s="218" t="n"/>
      <c r="CT216" s="3" t="n"/>
      <c r="CU216" s="218" t="n"/>
      <c r="CV216" s="218" t="n"/>
      <c r="CW216" s="218" t="n"/>
      <c r="CX216" s="218" t="n"/>
      <c r="CY216" s="3" t="n"/>
    </row>
    <row r="217" hidden="1" outlineLevel="1">
      <c r="C217" s="3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  <c r="CU217" s="3" t="n"/>
      <c r="CV217" s="3" t="n"/>
      <c r="CW217" s="3" t="n"/>
      <c r="CX217" s="3" t="n"/>
      <c r="CY217" s="3" t="n"/>
    </row>
    <row r="218" hidden="1" outlineLevel="1">
      <c r="C218" s="34" t="inlineStr">
        <is>
          <t xml:space="preserve">Dividendos a Pagar </t>
        </is>
      </c>
      <c r="D218" s="6" t="n"/>
      <c r="E218" s="6" t="n"/>
      <c r="F218" s="6" t="n"/>
      <c r="G218" s="6" t="n"/>
      <c r="H218" s="3" t="n"/>
      <c r="I218" s="6" t="n"/>
      <c r="J218" s="6" t="n"/>
      <c r="K218" s="6" t="n"/>
      <c r="L218" s="6" t="n"/>
      <c r="M218" s="3" t="n"/>
      <c r="N218" s="6" t="n"/>
      <c r="O218" s="6" t="n"/>
      <c r="P218" s="6" t="n"/>
      <c r="Q218" s="6" t="n"/>
      <c r="R218" s="3" t="n"/>
      <c r="S218" s="6" t="n"/>
      <c r="T218" s="6" t="n"/>
      <c r="U218" s="6" t="n"/>
      <c r="V218" s="6" t="n"/>
      <c r="W218" s="3" t="n"/>
      <c r="X218" s="6" t="n"/>
      <c r="Y218" s="6" t="n"/>
      <c r="Z218" s="6" t="n"/>
      <c r="AA218" s="6" t="n"/>
      <c r="AB218" s="3" t="n"/>
      <c r="AC218" s="6" t="n"/>
      <c r="AD218" s="6" t="n"/>
      <c r="AE218" s="6" t="n"/>
      <c r="AF218" s="6" t="n"/>
      <c r="AG218" s="3" t="n"/>
      <c r="AH218" s="6" t="n"/>
      <c r="AI218" s="6" t="n"/>
      <c r="AJ218" s="6" t="n"/>
      <c r="AK218" s="6" t="n"/>
      <c r="AL218" s="3" t="n"/>
      <c r="AM218" s="6" t="n"/>
      <c r="AN218" s="6" t="n"/>
      <c r="AO218" s="6" t="n"/>
      <c r="AP218" s="6" t="n"/>
      <c r="AQ218" s="3" t="n"/>
      <c r="AR218" s="6" t="n"/>
      <c r="AS218" s="6" t="n"/>
      <c r="AT218" s="6" t="n"/>
      <c r="AU218" s="6" t="n"/>
      <c r="AV218" s="3" t="n"/>
      <c r="AW218" s="6" t="n"/>
      <c r="AX218" s="6" t="n"/>
      <c r="AY218" s="6" t="n"/>
      <c r="AZ218" s="6" t="n"/>
      <c r="BA218" s="3" t="n"/>
      <c r="BB218" s="6" t="n"/>
      <c r="BC218" s="6" t="n"/>
      <c r="BD218" s="6" t="n"/>
      <c r="BE218" s="6" t="n"/>
      <c r="BF218" s="3" t="n"/>
      <c r="BG218" s="6" t="n"/>
      <c r="BH218" s="6" t="n"/>
      <c r="BI218" s="6" t="n"/>
      <c r="BJ218" s="6" t="n"/>
      <c r="BK218" s="3" t="n"/>
      <c r="BL218" s="6" t="n"/>
      <c r="BM218" s="6" t="n"/>
      <c r="BN218" s="6" t="n"/>
      <c r="BO218" s="6" t="n"/>
      <c r="BP218" s="3" t="n"/>
      <c r="BQ218" s="6" t="n"/>
      <c r="BR218" s="6" t="n"/>
      <c r="BS218" s="6" t="n"/>
      <c r="BT218" s="6" t="n"/>
      <c r="BU218" s="3" t="n"/>
      <c r="BV218" s="6" t="n"/>
      <c r="BW218" s="6" t="n"/>
      <c r="BX218" s="6" t="n"/>
      <c r="BY218" s="6" t="n"/>
      <c r="BZ218" s="3" t="n"/>
      <c r="CA218" s="6" t="n"/>
      <c r="CB218" s="6" t="n"/>
      <c r="CC218" s="6" t="n"/>
      <c r="CD218" s="6" t="n"/>
      <c r="CE218" s="3" t="n"/>
      <c r="CF218" s="6" t="n"/>
      <c r="CG218" s="6" t="n"/>
      <c r="CH218" s="6" t="n"/>
      <c r="CI218" s="6" t="n"/>
      <c r="CJ218" s="3" t="n"/>
      <c r="CK218" s="6" t="n"/>
      <c r="CL218" s="6" t="n"/>
      <c r="CM218" s="6" t="n"/>
      <c r="CN218" s="6" t="n"/>
      <c r="CO218" s="3" t="n"/>
      <c r="CP218" s="6" t="n"/>
      <c r="CQ218" s="6" t="n"/>
      <c r="CR218" s="6" t="n"/>
      <c r="CS218" s="6" t="n"/>
      <c r="CT218" s="3" t="n"/>
      <c r="CU218" s="6" t="n"/>
      <c r="CV218" s="6" t="n"/>
      <c r="CW218" s="6" t="n"/>
      <c r="CX218" s="6" t="n"/>
      <c r="CY218" s="3" t="n"/>
    </row>
    <row r="219" hidden="1" outlineLevel="1">
      <c r="C219" s="34" t="inlineStr">
        <is>
          <t>Contas a pagar pela aquisição de controladas</t>
        </is>
      </c>
      <c r="D219" s="6" t="n"/>
      <c r="E219" s="6" t="n"/>
      <c r="F219" s="6" t="n"/>
      <c r="G219" s="6" t="n"/>
      <c r="H219" s="3" t="n"/>
      <c r="I219" s="6" t="n"/>
      <c r="J219" s="6" t="n"/>
      <c r="K219" s="6" t="n"/>
      <c r="L219" s="6" t="n"/>
      <c r="M219" s="3" t="n"/>
      <c r="N219" s="6" t="n"/>
      <c r="O219" s="6" t="n"/>
      <c r="P219" s="6" t="n"/>
      <c r="Q219" s="6" t="n"/>
      <c r="R219" s="3" t="n"/>
      <c r="S219" s="6" t="n"/>
      <c r="T219" s="6" t="n"/>
      <c r="U219" s="6" t="n"/>
      <c r="V219" s="6" t="n"/>
      <c r="W219" s="3" t="n"/>
      <c r="X219" s="6" t="n"/>
      <c r="Y219" s="6" t="n"/>
      <c r="Z219" s="6" t="n"/>
      <c r="AA219" s="6" t="n"/>
      <c r="AB219" s="3" t="n"/>
      <c r="AC219" s="6" t="n"/>
      <c r="AD219" s="6" t="n"/>
      <c r="AE219" s="6" t="n"/>
      <c r="AF219" s="6" t="n"/>
      <c r="AG219" s="3" t="n"/>
      <c r="AH219" s="6" t="n"/>
      <c r="AI219" s="6" t="n"/>
      <c r="AJ219" s="6" t="n"/>
      <c r="AK219" s="6" t="n"/>
      <c r="AL219" s="3" t="n"/>
      <c r="AM219" s="6" t="n"/>
      <c r="AN219" s="6" t="n"/>
      <c r="AO219" s="6" t="n"/>
      <c r="AP219" s="6" t="n"/>
      <c r="AQ219" s="3" t="n"/>
      <c r="AR219" s="6" t="n"/>
      <c r="AS219" s="6" t="n"/>
      <c r="AT219" s="6" t="n"/>
      <c r="AU219" s="6" t="n"/>
      <c r="AV219" s="3" t="n"/>
      <c r="AW219" s="6" t="n"/>
      <c r="AX219" s="6" t="n"/>
      <c r="AY219" s="6" t="n"/>
      <c r="AZ219" s="6" t="n"/>
      <c r="BA219" s="3" t="n"/>
      <c r="BB219" s="6" t="n"/>
      <c r="BC219" s="6" t="n"/>
      <c r="BD219" s="6" t="n"/>
      <c r="BE219" s="6" t="n"/>
      <c r="BF219" s="3" t="n"/>
      <c r="BG219" s="6" t="n"/>
      <c r="BH219" s="6" t="n"/>
      <c r="BI219" s="6" t="n"/>
      <c r="BJ219" s="6" t="n"/>
      <c r="BK219" s="3" t="n"/>
      <c r="BL219" s="6" t="n"/>
      <c r="BM219" s="6" t="n"/>
      <c r="BN219" s="6" t="n"/>
      <c r="BO219" s="6" t="n"/>
      <c r="BP219" s="3" t="n"/>
      <c r="BQ219" s="6" t="n"/>
      <c r="BR219" s="6" t="n"/>
      <c r="BS219" s="6" t="n"/>
      <c r="BT219" s="6" t="n"/>
      <c r="BU219" s="3" t="n"/>
      <c r="BV219" s="6" t="n"/>
      <c r="BW219" s="6" t="n"/>
      <c r="BX219" s="6" t="n"/>
      <c r="BY219" s="6" t="n"/>
      <c r="BZ219" s="3" t="n"/>
      <c r="CA219" s="6" t="n"/>
      <c r="CB219" s="6" t="n"/>
      <c r="CC219" s="6" t="n"/>
      <c r="CD219" s="6" t="n"/>
      <c r="CE219" s="3" t="n"/>
      <c r="CF219" s="6" t="n"/>
      <c r="CG219" s="6" t="n"/>
      <c r="CH219" s="6" t="n"/>
      <c r="CI219" s="6" t="n"/>
      <c r="CJ219" s="3" t="n"/>
      <c r="CK219" s="6" t="n"/>
      <c r="CL219" s="6" t="n"/>
      <c r="CM219" s="6" t="n"/>
      <c r="CN219" s="6" t="n"/>
      <c r="CO219" s="3" t="n"/>
      <c r="CP219" s="6" t="n"/>
      <c r="CQ219" s="6" t="n"/>
      <c r="CR219" s="6" t="n"/>
      <c r="CS219" s="6" t="n"/>
      <c r="CT219" s="3" t="n"/>
      <c r="CU219" s="6" t="n"/>
      <c r="CV219" s="6" t="n"/>
      <c r="CW219" s="6" t="n"/>
      <c r="CX219" s="6" t="n"/>
      <c r="CY219" s="3" t="n"/>
    </row>
    <row r="220" hidden="1" outlineLevel="1">
      <c r="C220" s="34" t="inlineStr">
        <is>
          <t>Outros</t>
        </is>
      </c>
      <c r="D220" s="6" t="n"/>
      <c r="E220" s="6" t="n"/>
      <c r="F220" s="6" t="n"/>
      <c r="G220" s="6" t="n"/>
      <c r="H220" s="3" t="n"/>
      <c r="I220" s="6" t="n"/>
      <c r="J220" s="6" t="n"/>
      <c r="K220" s="6" t="n"/>
      <c r="L220" s="6" t="n"/>
      <c r="M220" s="3" t="n"/>
      <c r="N220" s="6" t="n"/>
      <c r="O220" s="6" t="n"/>
      <c r="P220" s="6" t="n"/>
      <c r="Q220" s="6" t="n"/>
      <c r="R220" s="3" t="n"/>
      <c r="S220" s="6" t="n"/>
      <c r="T220" s="6" t="n"/>
      <c r="U220" s="6" t="n"/>
      <c r="V220" s="6" t="n"/>
      <c r="W220" s="3" t="n"/>
      <c r="X220" s="6" t="n"/>
      <c r="Y220" s="6" t="n"/>
      <c r="Z220" s="6" t="n"/>
      <c r="AA220" s="6" t="n"/>
      <c r="AB220" s="3" t="n"/>
      <c r="AC220" s="6" t="n"/>
      <c r="AD220" s="6" t="n"/>
      <c r="AE220" s="6" t="n"/>
      <c r="AF220" s="6" t="n"/>
      <c r="AG220" s="3" t="n"/>
      <c r="AH220" s="6" t="n"/>
      <c r="AI220" s="6" t="n"/>
      <c r="AJ220" s="6" t="n"/>
      <c r="AK220" s="6" t="n"/>
      <c r="AL220" s="3" t="n"/>
      <c r="AM220" s="6" t="n"/>
      <c r="AN220" s="6" t="n"/>
      <c r="AO220" s="6" t="n"/>
      <c r="AP220" s="6" t="n"/>
      <c r="AQ220" s="3" t="n"/>
      <c r="AR220" s="6" t="n"/>
      <c r="AS220" s="6" t="n"/>
      <c r="AT220" s="6" t="n"/>
      <c r="AU220" s="6" t="n"/>
      <c r="AV220" s="3" t="n"/>
      <c r="AW220" s="6" t="n"/>
      <c r="AX220" s="6" t="n"/>
      <c r="AY220" s="6" t="n"/>
      <c r="AZ220" s="6" t="n"/>
      <c r="BA220" s="3" t="n"/>
      <c r="BB220" s="6" t="n"/>
      <c r="BC220" s="6" t="n"/>
      <c r="BD220" s="6" t="n"/>
      <c r="BE220" s="6" t="n"/>
      <c r="BF220" s="3" t="n"/>
      <c r="BG220" s="6" t="n"/>
      <c r="BH220" s="6" t="n"/>
      <c r="BI220" s="6" t="n"/>
      <c r="BJ220" s="6" t="n"/>
      <c r="BK220" s="3" t="n"/>
      <c r="BL220" s="6" t="n"/>
      <c r="BM220" s="6" t="n"/>
      <c r="BN220" s="6" t="n"/>
      <c r="BO220" s="6" t="n"/>
      <c r="BP220" s="3" t="n"/>
      <c r="BQ220" s="6" t="n"/>
      <c r="BR220" s="6" t="n"/>
      <c r="BS220" s="6" t="n"/>
      <c r="BT220" s="6" t="n"/>
      <c r="BU220" s="3" t="n"/>
      <c r="BV220" s="6" t="n"/>
      <c r="BW220" s="6" t="n"/>
      <c r="BX220" s="6" t="n"/>
      <c r="BY220" s="6" t="n"/>
      <c r="BZ220" s="3" t="n"/>
      <c r="CA220" s="6" t="n"/>
      <c r="CB220" s="6" t="n"/>
      <c r="CC220" s="6" t="n"/>
      <c r="CD220" s="6" t="n"/>
      <c r="CE220" s="3" t="n"/>
      <c r="CF220" s="6" t="n"/>
      <c r="CG220" s="6" t="n"/>
      <c r="CH220" s="6" t="n"/>
      <c r="CI220" s="6" t="n"/>
      <c r="CJ220" s="3" t="n"/>
      <c r="CK220" s="6" t="n"/>
      <c r="CL220" s="6" t="n"/>
      <c r="CM220" s="6" t="n"/>
      <c r="CN220" s="6" t="n"/>
      <c r="CO220" s="3" t="n"/>
      <c r="CP220" s="6" t="n"/>
      <c r="CQ220" s="6" t="n"/>
      <c r="CR220" s="6" t="n"/>
      <c r="CS220" s="6" t="n"/>
      <c r="CT220" s="3" t="n"/>
      <c r="CU220" s="6" t="n"/>
      <c r="CV220" s="6" t="n"/>
      <c r="CW220" s="6" t="n"/>
      <c r="CX220" s="6" t="n"/>
      <c r="CY220" s="3" t="n"/>
    </row>
    <row r="221" hidden="1" outlineLevel="1">
      <c r="C221" s="3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  <c r="CU221" s="3" t="n"/>
      <c r="CV221" s="3" t="n"/>
      <c r="CW221" s="3" t="n"/>
      <c r="CX221" s="3" t="n"/>
      <c r="CY221" s="3" t="n"/>
    </row>
    <row r="222" collapsed="1">
      <c r="C222" s="26" t="inlineStr">
        <is>
          <t>Current portion of long-term debt</t>
        </is>
      </c>
      <c r="D222" s="25" t="e">
        <f>INDEX('Inputs (2)'!$D$32:$AL$32,MATCH(D$7,'Inputs (2)'!$D$2:$AL$2,0))</f>
        <v>#N/A</v>
      </c>
      <c r="E222" s="25">
        <f>INDEX('Inputs (2)'!$D$32:$AL$32,MATCH(E$7,'Inputs (2)'!$D$2:$AL$2,0))</f>
        <v>226.009</v>
      </c>
      <c r="F222" s="25">
        <f>INDEX('Inputs (2)'!$D$32:$AL$32,MATCH(F$7,'Inputs (2)'!$D$2:$AL$2,0))</f>
        <v>246.76086836</v>
      </c>
      <c r="G222" s="25">
        <f>INDEX('Inputs (2)'!$D$32:$AL$32,MATCH(G$7,'Inputs (2)'!$D$2:$AL$2,0))</f>
        <v>61.16826825</v>
      </c>
      <c r="H222" s="3">
        <f>G222</f>
        <v>61.16826825</v>
      </c>
      <c r="I222" s="25">
        <f>INDEX('Inputs (2)'!$D$32:$AL$32,MATCH(I$7,'Inputs (2)'!$D$2:$AL$2,0))</f>
        <v>89.70997532</v>
      </c>
      <c r="J222" s="25">
        <f>INDEX('Inputs (2)'!$D$32:$AL$32,MATCH(J$7,'Inputs (2)'!$D$2:$AL$2,0))</f>
        <v>88.93405342</v>
      </c>
      <c r="K222" s="25">
        <f>INDEX('Inputs (2)'!$D$32:$AL$32,MATCH(K$7,'Inputs (2)'!$D$2:$AL$2,0))</f>
        <v>86.364</v>
      </c>
      <c r="L222" s="25">
        <f>INDEX('Inputs (2)'!$D$32:$AL$32,MATCH(L$7,'Inputs (2)'!$D$2:$AL$2,0))</f>
        <v>172.832</v>
      </c>
      <c r="M222" s="3">
        <f>L222</f>
        <v>172.832</v>
      </c>
      <c r="N222" s="25">
        <f>INDEX('Inputs (2)'!$D$32:$AL$32,MATCH(N$7,'Inputs (2)'!$D$2:$AL$2,0))</f>
        <v>174.013</v>
      </c>
      <c r="O222" s="25">
        <f>INDEX('Inputs (2)'!$D$32:$AL$32,MATCH(O$7,'Inputs (2)'!$D$2:$AL$2,0))</f>
        <v>187.278</v>
      </c>
      <c r="P222" s="25">
        <f>INDEX('Inputs (2)'!$D$32:$AL$32,MATCH(P$7,'Inputs (2)'!$D$2:$AL$2,0))</f>
        <v>191.156</v>
      </c>
      <c r="Q222" s="25">
        <f>INDEX('Inputs (2)'!$D$32:$AL$32,MATCH(Q$7,'Inputs (2)'!$D$2:$AL$2,0))</f>
        <v>192.831</v>
      </c>
      <c r="R222" s="3">
        <f>Q222</f>
        <v>192.831</v>
      </c>
      <c r="S222" s="25">
        <f>INDEX('Inputs (2)'!$D$32:$AL$32,MATCH(S$7,'Inputs (2)'!$D$2:$AL$2,0))</f>
        <v>192.11</v>
      </c>
      <c r="T222" s="25">
        <f>INDEX('Inputs (2)'!$D$32:$AL$32,MATCH(T$7,'Inputs (2)'!$D$2:$AL$2,0))</f>
        <v>216.191</v>
      </c>
      <c r="U222" s="25">
        <f>INDEX('Inputs (2)'!$D$32:$AL$32,MATCH(U$7,'Inputs (2)'!$D$2:$AL$2,0))</f>
        <v>231.929</v>
      </c>
      <c r="V222" s="25">
        <f>INDEX('Inputs (2)'!$D$32:$AL$32,MATCH(V$7,'Inputs (2)'!$D$2:$AL$2,0))</f>
        <v>465.402</v>
      </c>
      <c r="W222" s="3">
        <f>V222</f>
        <v>465.402</v>
      </c>
      <c r="X222" s="25">
        <f>INDEX('Inputs (2)'!$D$32:$AL$32,MATCH(X$7,'Inputs (2)'!$D$2:$AL$2,0))</f>
        <v>508.391</v>
      </c>
      <c r="Y222" s="25">
        <f>INDEX('Inputs (2)'!$D$32:$AL$32,MATCH(Y$7,'Inputs (2)'!$D$2:$AL$2,0))</f>
        <v>537.107</v>
      </c>
      <c r="Z222" s="25">
        <f>INDEX('Inputs (2)'!$D$32:$AL$32,MATCH(Z$7,'Inputs (2)'!$D$2:$AL$2,0))</f>
        <v>548.585</v>
      </c>
      <c r="AA222" s="25">
        <f>INDEX('Inputs (2)'!$D$32:$AL$32,MATCH(AA$7,'Inputs (2)'!$D$2:$AL$2,0))</f>
        <v>420.986</v>
      </c>
      <c r="AB222" s="3">
        <f>AA222</f>
        <v>420.986</v>
      </c>
      <c r="AC222" s="25">
        <f>INDEX('Inputs (2)'!$D$32:$AL$32,MATCH(AC$7,'Inputs (2)'!$D$2:$AL$2,0))</f>
        <v>249.077</v>
      </c>
      <c r="AD222" s="25">
        <f>INDEX('Inputs (2)'!$D$32:$AL$32,MATCH(AD$7,'Inputs (2)'!$D$2:$AL$2,0))</f>
        <v>248.593</v>
      </c>
      <c r="AE222" s="25">
        <f>INDEX('Inputs (2)'!$D$32:$AL$32,MATCH(AE$7,'Inputs (2)'!$D$2:$AL$2,0))</f>
        <v>535.225</v>
      </c>
      <c r="AF222" s="25">
        <f>INDEX('Inputs (2)'!$D$32:$AL$32,MATCH(AF$7,'Inputs (2)'!$D$2:$AL$2,0))</f>
        <v>1204.737</v>
      </c>
      <c r="AG222" s="3">
        <f>AF222</f>
        <v>1204.737</v>
      </c>
      <c r="AH222" s="3">
        <f>INDEX('Inputs (2)'!$D$32:$AL$32,MATCH(AH$7,'Inputs (2)'!$D$2:$AL$2,0))</f>
        <v>1537.253</v>
      </c>
      <c r="AI222" s="3">
        <f>INDEX('Inputs (2)'!$D$32:$AL$32,MATCH(AI$7,'Inputs (2)'!$D$2:$AL$2,0))</f>
        <v>1529.728</v>
      </c>
      <c r="AJ222" s="3">
        <f>AI222</f>
        <v>1529.728</v>
      </c>
      <c r="AK222" s="3">
        <f>AJ222</f>
        <v>1529.728</v>
      </c>
      <c r="AL222" s="3">
        <f>AK222</f>
        <v>1529.728</v>
      </c>
      <c r="AM222" s="3">
        <f>AL222</f>
        <v>1529.728</v>
      </c>
      <c r="AN222" s="3">
        <f>AM222</f>
        <v>1529.728</v>
      </c>
      <c r="AO222" s="3">
        <f>AN222</f>
        <v>1529.728</v>
      </c>
      <c r="AP222" s="3">
        <f>AO222</f>
        <v>1529.728</v>
      </c>
      <c r="AQ222" s="3">
        <f>AP222</f>
        <v>1529.728</v>
      </c>
      <c r="AR222" s="3">
        <f>AQ222</f>
        <v>1529.728</v>
      </c>
      <c r="AS222" s="3">
        <f>AR222</f>
        <v>1529.728</v>
      </c>
      <c r="AT222" s="3">
        <f>AS222</f>
        <v>1529.728</v>
      </c>
      <c r="AU222" s="3">
        <f>AT222</f>
        <v>1529.728</v>
      </c>
      <c r="AV222" s="3">
        <f>AU222</f>
        <v>1529.728</v>
      </c>
      <c r="AW222" s="3">
        <f>AV222</f>
        <v>1529.728</v>
      </c>
      <c r="AX222" s="3">
        <f>AW222</f>
        <v>1529.728</v>
      </c>
      <c r="AY222" s="3">
        <f>AX222</f>
        <v>1529.728</v>
      </c>
      <c r="AZ222" s="3">
        <f>AY222</f>
        <v>1529.728</v>
      </c>
      <c r="BA222" s="3">
        <f>AZ222</f>
        <v>1529.728</v>
      </c>
      <c r="BB222" s="3">
        <f>BA222</f>
        <v>1529.728</v>
      </c>
      <c r="BC222" s="3">
        <f>BB222</f>
        <v>1529.728</v>
      </c>
      <c r="BD222" s="3">
        <f>BC222</f>
        <v>1529.728</v>
      </c>
      <c r="BE222" s="3">
        <f>BD222</f>
        <v>1529.728</v>
      </c>
      <c r="BF222" s="3">
        <f>BE222</f>
        <v>1529.728</v>
      </c>
      <c r="BG222" s="3">
        <f>BF222</f>
        <v>1529.728</v>
      </c>
      <c r="BH222" s="3">
        <f>BG222</f>
        <v>1529.728</v>
      </c>
      <c r="BI222" s="3">
        <f>BH222</f>
        <v>1529.728</v>
      </c>
      <c r="BJ222" s="3">
        <f>BI222</f>
        <v>1529.728</v>
      </c>
      <c r="BK222" s="3">
        <f>BJ222</f>
        <v>1529.728</v>
      </c>
      <c r="BL222" s="3">
        <f>BK222</f>
        <v>1529.728</v>
      </c>
      <c r="BM222" s="3">
        <f>BL222</f>
        <v>1529.728</v>
      </c>
      <c r="BN222" s="3">
        <f>BM222</f>
        <v>1529.728</v>
      </c>
      <c r="BO222" s="3">
        <f>BN222</f>
        <v>1529.728</v>
      </c>
      <c r="BP222" s="3">
        <f>BO222</f>
        <v>1529.728</v>
      </c>
      <c r="BQ222" s="3">
        <f>BP222</f>
        <v>1529.728</v>
      </c>
      <c r="BR222" s="3">
        <f>BQ222</f>
        <v>1529.728</v>
      </c>
      <c r="BS222" s="3">
        <f>BR222</f>
        <v>1529.728</v>
      </c>
      <c r="BT222" s="3">
        <f>BS222</f>
        <v>1529.728</v>
      </c>
      <c r="BU222" s="3">
        <f>BT222</f>
        <v>1529.728</v>
      </c>
      <c r="BV222" s="3">
        <f>BU222</f>
        <v>1529.728</v>
      </c>
      <c r="BW222" s="3">
        <f>BV222</f>
        <v>1529.728</v>
      </c>
      <c r="BX222" s="3">
        <f>BW222</f>
        <v>1529.728</v>
      </c>
      <c r="BY222" s="3">
        <f>BX222</f>
        <v>1529.728</v>
      </c>
      <c r="BZ222" s="3">
        <f>BY222</f>
        <v>1529.728</v>
      </c>
      <c r="CA222" s="3">
        <f>BZ222</f>
        <v>1529.728</v>
      </c>
      <c r="CB222" s="3">
        <f>CA222</f>
        <v>1529.728</v>
      </c>
      <c r="CC222" s="3">
        <f>CB222</f>
        <v>1529.728</v>
      </c>
      <c r="CD222" s="3">
        <f>CC222</f>
        <v>1529.728</v>
      </c>
      <c r="CE222" s="3">
        <f>CD222</f>
        <v>1529.728</v>
      </c>
      <c r="CF222" s="3">
        <f>CE222</f>
        <v>1529.728</v>
      </c>
      <c r="CG222" s="3">
        <f>CF222</f>
        <v>1529.728</v>
      </c>
      <c r="CH222" s="3">
        <f>CG222</f>
        <v>1529.728</v>
      </c>
      <c r="CI222" s="3">
        <f>CH222</f>
        <v>1529.728</v>
      </c>
      <c r="CJ222" s="3">
        <f>CI222</f>
        <v>1529.728</v>
      </c>
      <c r="CK222" s="3">
        <f>CJ222</f>
        <v>1529.728</v>
      </c>
      <c r="CL222" s="3">
        <f>CK222</f>
        <v>1529.728</v>
      </c>
      <c r="CM222" s="3">
        <f>CL222</f>
        <v>1529.728</v>
      </c>
      <c r="CN222" s="3">
        <f>CM222</f>
        <v>1529.728</v>
      </c>
      <c r="CO222" s="3">
        <f>CN222</f>
        <v>1529.728</v>
      </c>
      <c r="CP222" s="3">
        <f>CO222</f>
        <v>1529.728</v>
      </c>
      <c r="CQ222" s="3">
        <f>CP222</f>
        <v>1529.728</v>
      </c>
      <c r="CR222" s="3">
        <f>CQ222</f>
        <v>1529.728</v>
      </c>
      <c r="CS222" s="3">
        <f>CR222</f>
        <v>1529.728</v>
      </c>
      <c r="CT222" s="3">
        <f>CS222</f>
        <v>1529.728</v>
      </c>
      <c r="CU222" s="3">
        <f>CT222</f>
        <v>1529.728</v>
      </c>
      <c r="CV222" s="3">
        <f>CU222</f>
        <v>1529.728</v>
      </c>
      <c r="CW222" s="3">
        <f>CV222</f>
        <v>1529.728</v>
      </c>
      <c r="CX222" s="3">
        <f>CW222</f>
        <v>1529.728</v>
      </c>
      <c r="CY222" s="3">
        <f>CX222</f>
        <v>1529.728</v>
      </c>
    </row>
    <row r="223">
      <c r="C223" s="26" t="inlineStr">
        <is>
          <t>Short term debt (Revolving credit facility)</t>
        </is>
      </c>
      <c r="D223" s="25" t="n"/>
      <c r="E223" s="25" t="n"/>
      <c r="F223" s="25" t="n"/>
      <c r="G223" s="25" t="n"/>
      <c r="H223" s="3">
        <f>G223</f>
        <v>0</v>
      </c>
      <c r="I223" s="25" t="n"/>
      <c r="J223" s="25" t="n"/>
      <c r="K223" s="25" t="n"/>
      <c r="L223" s="25" t="n"/>
      <c r="M223" s="3">
        <f>L223</f>
        <v>0</v>
      </c>
      <c r="N223" s="25" t="n"/>
      <c r="O223" s="25" t="n"/>
      <c r="P223" s="25" t="n"/>
      <c r="Q223" s="25" t="n"/>
      <c r="R223" s="3">
        <f>Q223</f>
        <v>0</v>
      </c>
      <c r="S223" s="25" t="n"/>
      <c r="T223" s="25" t="n"/>
      <c r="U223" s="25" t="n"/>
      <c r="V223" s="25" t="n"/>
      <c r="W223" s="3">
        <f>V223</f>
        <v>0</v>
      </c>
      <c r="X223" s="25" t="n"/>
      <c r="Y223" s="25" t="n"/>
      <c r="Z223" s="25" t="n"/>
      <c r="AA223" s="25" t="n"/>
      <c r="AB223" s="3">
        <f>AA223</f>
        <v>0</v>
      </c>
      <c r="AC223" s="25" t="n"/>
      <c r="AD223" s="25" t="n"/>
      <c r="AE223" s="25" t="n"/>
      <c r="AF223" s="25" t="n"/>
      <c r="AG223" s="3">
        <f>AF223</f>
        <v>0</v>
      </c>
      <c r="AH223" s="3">
        <f>AG223</f>
        <v>0</v>
      </c>
      <c r="AI223" s="3">
        <f>AH223</f>
        <v>0</v>
      </c>
      <c r="AJ223" s="3">
        <f>AI223</f>
        <v>0</v>
      </c>
      <c r="AK223" s="3">
        <f>AJ223</f>
        <v>0</v>
      </c>
      <c r="AL223" s="3">
        <f>AK223</f>
        <v>0</v>
      </c>
      <c r="AM223" s="3">
        <f>AL223</f>
        <v>0</v>
      </c>
      <c r="AN223" s="3">
        <f>AM223</f>
        <v>0</v>
      </c>
      <c r="AO223" s="3">
        <f>AN223</f>
        <v>0</v>
      </c>
      <c r="AP223" s="3">
        <f>AO223</f>
        <v>0</v>
      </c>
      <c r="AQ223" s="3">
        <f>AP223</f>
        <v>0</v>
      </c>
      <c r="AR223" s="3">
        <f>AQ223</f>
        <v>0</v>
      </c>
      <c r="AS223" s="3">
        <f>AR223</f>
        <v>0</v>
      </c>
      <c r="AT223" s="3">
        <f>AS223</f>
        <v>0</v>
      </c>
      <c r="AU223" s="3">
        <f>AT223</f>
        <v>0</v>
      </c>
      <c r="AV223" s="3">
        <f>AU223</f>
        <v>0</v>
      </c>
      <c r="AW223" s="3">
        <f>AV223</f>
        <v>0</v>
      </c>
      <c r="AX223" s="3">
        <f>AW223</f>
        <v>0</v>
      </c>
      <c r="AY223" s="3">
        <f>AX223</f>
        <v>0</v>
      </c>
      <c r="AZ223" s="3">
        <f>AY223</f>
        <v>0</v>
      </c>
      <c r="BA223" s="3">
        <f>AZ223</f>
        <v>0</v>
      </c>
      <c r="BB223" s="3">
        <f>BA223</f>
        <v>0</v>
      </c>
      <c r="BC223" s="3">
        <f>BB223</f>
        <v>0</v>
      </c>
      <c r="BD223" s="3">
        <f>BC223</f>
        <v>0</v>
      </c>
      <c r="BE223" s="3">
        <f>BD223</f>
        <v>0</v>
      </c>
      <c r="BF223" s="3">
        <f>BE223</f>
        <v>0</v>
      </c>
      <c r="BG223" s="3">
        <f>BF223</f>
        <v>0</v>
      </c>
      <c r="BH223" s="3">
        <f>BG223</f>
        <v>0</v>
      </c>
      <c r="BI223" s="3">
        <f>BH223</f>
        <v>0</v>
      </c>
      <c r="BJ223" s="3">
        <f>BI223</f>
        <v>0</v>
      </c>
      <c r="BK223" s="3">
        <f>BJ223</f>
        <v>0</v>
      </c>
      <c r="BL223" s="3">
        <f>BK223</f>
        <v>0</v>
      </c>
      <c r="BM223" s="3">
        <f>BL223</f>
        <v>0</v>
      </c>
      <c r="BN223" s="3">
        <f>BM223</f>
        <v>0</v>
      </c>
      <c r="BO223" s="3">
        <f>BN223</f>
        <v>0</v>
      </c>
      <c r="BP223" s="3">
        <f>BO223</f>
        <v>0</v>
      </c>
      <c r="BQ223" s="3">
        <f>BP223</f>
        <v>0</v>
      </c>
      <c r="BR223" s="3">
        <f>BQ223</f>
        <v>0</v>
      </c>
      <c r="BS223" s="3">
        <f>BR223</f>
        <v>0</v>
      </c>
      <c r="BT223" s="3">
        <f>BS223</f>
        <v>0</v>
      </c>
      <c r="BU223" s="3">
        <f>BT223</f>
        <v>0</v>
      </c>
      <c r="BV223" s="3">
        <f>BU223</f>
        <v>0</v>
      </c>
      <c r="BW223" s="3">
        <f>BV223</f>
        <v>0</v>
      </c>
      <c r="BX223" s="3">
        <f>BW223</f>
        <v>0</v>
      </c>
      <c r="BY223" s="3">
        <f>BX223</f>
        <v>0</v>
      </c>
      <c r="BZ223" s="3">
        <f>BY223</f>
        <v>0</v>
      </c>
      <c r="CA223" s="3">
        <f>BZ223</f>
        <v>0</v>
      </c>
      <c r="CB223" s="3">
        <f>CA223</f>
        <v>0</v>
      </c>
      <c r="CC223" s="3">
        <f>CB223</f>
        <v>0</v>
      </c>
      <c r="CD223" s="3">
        <f>CC223</f>
        <v>0</v>
      </c>
      <c r="CE223" s="3">
        <f>CD223</f>
        <v>0</v>
      </c>
      <c r="CF223" s="3">
        <f>CE223</f>
        <v>0</v>
      </c>
      <c r="CG223" s="3">
        <f>CF223</f>
        <v>0</v>
      </c>
      <c r="CH223" s="3">
        <f>CG223</f>
        <v>0</v>
      </c>
      <c r="CI223" s="3">
        <f>CH223</f>
        <v>0</v>
      </c>
      <c r="CJ223" s="3">
        <f>CI223</f>
        <v>0</v>
      </c>
      <c r="CK223" s="3">
        <f>CJ223</f>
        <v>0</v>
      </c>
      <c r="CL223" s="3">
        <f>CK223</f>
        <v>0</v>
      </c>
      <c r="CM223" s="3">
        <f>CL223</f>
        <v>0</v>
      </c>
      <c r="CN223" s="3">
        <f>CM223</f>
        <v>0</v>
      </c>
      <c r="CO223" s="3">
        <f>CN223</f>
        <v>0</v>
      </c>
      <c r="CP223" s="3">
        <f>CO223</f>
        <v>0</v>
      </c>
      <c r="CQ223" s="3">
        <f>CP223</f>
        <v>0</v>
      </c>
      <c r="CR223" s="3">
        <f>CQ223</f>
        <v>0</v>
      </c>
      <c r="CS223" s="3">
        <f>CR223</f>
        <v>0</v>
      </c>
      <c r="CT223" s="3">
        <f>CS223</f>
        <v>0</v>
      </c>
      <c r="CU223" s="3">
        <f>CT223</f>
        <v>0</v>
      </c>
      <c r="CV223" s="3">
        <f>CU223</f>
        <v>0</v>
      </c>
      <c r="CW223" s="3">
        <f>CV223</f>
        <v>0</v>
      </c>
      <c r="CX223" s="3">
        <f>CW223</f>
        <v>0</v>
      </c>
      <c r="CY223" s="3">
        <f>CX223</f>
        <v>0</v>
      </c>
    </row>
    <row r="224">
      <c r="C224" s="26" t="inlineStr">
        <is>
          <t>Short term operating leases</t>
        </is>
      </c>
      <c r="D224" s="25" t="e">
        <f>INDEX('Inputs (2)'!$D$34:$AL$34,MATCH(D$7,'Inputs (2)'!$D$2:$AL$2,0))</f>
        <v>#N/A</v>
      </c>
      <c r="E224" s="25">
        <f>INDEX('Inputs (2)'!$D$34:$AL$34,MATCH(E$7,'Inputs (2)'!$D$2:$AL$2,0))</f>
        <v>78.374</v>
      </c>
      <c r="F224" s="25">
        <f>INDEX('Inputs (2)'!$D$34:$AL$34,MATCH(F$7,'Inputs (2)'!$D$2:$AL$2,0))</f>
        <v>66.41731273</v>
      </c>
      <c r="G224" s="25">
        <f>INDEX('Inputs (2)'!$D$34:$AL$34,MATCH(G$7,'Inputs (2)'!$D$2:$AL$2,0))</f>
        <v>67.18408374</v>
      </c>
      <c r="H224" s="3">
        <f>G224</f>
        <v>67.18408374</v>
      </c>
      <c r="I224" s="25">
        <f>INDEX('Inputs (2)'!$D$34:$AL$34,MATCH(I$7,'Inputs (2)'!$D$2:$AL$2,0))</f>
        <v>71.36550853</v>
      </c>
      <c r="J224" s="25">
        <f>INDEX('Inputs (2)'!$D$34:$AL$34,MATCH(J$7,'Inputs (2)'!$D$2:$AL$2,0))</f>
        <v>68.69276446</v>
      </c>
      <c r="K224" s="25">
        <f>INDEX('Inputs (2)'!$D$34:$AL$34,MATCH(K$7,'Inputs (2)'!$D$2:$AL$2,0))</f>
        <v>54.577</v>
      </c>
      <c r="L224" s="25">
        <f>INDEX('Inputs (2)'!$D$34:$AL$34,MATCH(L$7,'Inputs (2)'!$D$2:$AL$2,0))</f>
        <v>61.137</v>
      </c>
      <c r="M224" s="3">
        <f>L224</f>
        <v>61.137</v>
      </c>
      <c r="N224" s="25">
        <f>INDEX('Inputs (2)'!$D$34:$AL$34,MATCH(N$7,'Inputs (2)'!$D$2:$AL$2,0))</f>
        <v>70.026</v>
      </c>
      <c r="O224" s="25">
        <f>INDEX('Inputs (2)'!$D$34:$AL$34,MATCH(O$7,'Inputs (2)'!$D$2:$AL$2,0))</f>
        <v>78.059</v>
      </c>
      <c r="P224" s="25">
        <f>INDEX('Inputs (2)'!$D$34:$AL$34,MATCH(P$7,'Inputs (2)'!$D$2:$AL$2,0))</f>
        <v>77.645</v>
      </c>
      <c r="Q224" s="25">
        <f>INDEX('Inputs (2)'!$D$34:$AL$34,MATCH(Q$7,'Inputs (2)'!$D$2:$AL$2,0))</f>
        <v>80.274</v>
      </c>
      <c r="R224" s="3">
        <f>Q224</f>
        <v>80.274</v>
      </c>
      <c r="S224" s="25">
        <f>INDEX('Inputs (2)'!$D$34:$AL$34,MATCH(S$7,'Inputs (2)'!$D$2:$AL$2,0))</f>
        <v>81.877</v>
      </c>
      <c r="T224" s="25">
        <f>INDEX('Inputs (2)'!$D$34:$AL$34,MATCH(T$7,'Inputs (2)'!$D$2:$AL$2,0))</f>
        <v>53.549</v>
      </c>
      <c r="U224" s="25">
        <f>INDEX('Inputs (2)'!$D$34:$AL$34,MATCH(U$7,'Inputs (2)'!$D$2:$AL$2,0))</f>
        <v>35.351</v>
      </c>
      <c r="V224" s="25">
        <f>INDEX('Inputs (2)'!$D$34:$AL$34,MATCH(V$7,'Inputs (2)'!$D$2:$AL$2,0))</f>
        <v>35.626</v>
      </c>
      <c r="W224" s="3">
        <f>V224</f>
        <v>35.626</v>
      </c>
      <c r="X224" s="25">
        <f>INDEX('Inputs (2)'!$D$34:$AL$34,MATCH(X$7,'Inputs (2)'!$D$2:$AL$2,0))</f>
        <v>111.74</v>
      </c>
      <c r="Y224" s="25">
        <f>INDEX('Inputs (2)'!$D$34:$AL$34,MATCH(Y$7,'Inputs (2)'!$D$2:$AL$2,0))</f>
        <v>102.545</v>
      </c>
      <c r="Z224" s="25">
        <f>INDEX('Inputs (2)'!$D$34:$AL$34,MATCH(Z$7,'Inputs (2)'!$D$2:$AL$2,0))</f>
        <v>100.131</v>
      </c>
      <c r="AA224" s="25">
        <f>INDEX('Inputs (2)'!$D$34:$AL$34,MATCH(AA$7,'Inputs (2)'!$D$2:$AL$2,0))</f>
        <v>79.464</v>
      </c>
      <c r="AB224" s="3">
        <f>AA224</f>
        <v>79.464</v>
      </c>
      <c r="AC224" s="25">
        <f>INDEX('Inputs (2)'!$D$34:$AL$34,MATCH(AC$7,'Inputs (2)'!$D$2:$AL$2,0))</f>
        <v>113.741</v>
      </c>
      <c r="AD224" s="25">
        <f>INDEX('Inputs (2)'!$D$34:$AL$34,MATCH(AD$7,'Inputs (2)'!$D$2:$AL$2,0))</f>
        <v>227.857</v>
      </c>
      <c r="AE224" s="25">
        <f>INDEX('Inputs (2)'!$D$34:$AL$34,MATCH(AE$7,'Inputs (2)'!$D$2:$AL$2,0))</f>
        <v>274.631</v>
      </c>
      <c r="AF224" s="25">
        <f>INDEX('Inputs (2)'!$D$34:$AL$34,MATCH(AF$7,'Inputs (2)'!$D$2:$AL$2,0))</f>
        <v>262.15</v>
      </c>
      <c r="AG224" s="3">
        <f>AF224</f>
        <v>262.15</v>
      </c>
      <c r="AH224" s="3">
        <f>INDEX('Inputs (2)'!$D$34:$AL$34,MATCH(AH$7,'Inputs (2)'!$D$2:$AL$2,0))</f>
        <v>262.498</v>
      </c>
      <c r="AI224" s="3">
        <f>INDEX('Inputs (2)'!$D$34:$AL$34,MATCH(AI$7,'Inputs (2)'!$D$2:$AL$2,0))</f>
        <v>250.873</v>
      </c>
      <c r="AJ224" s="3">
        <f>AI224</f>
        <v>250.873</v>
      </c>
      <c r="AK224" s="3">
        <f>AJ224</f>
        <v>250.873</v>
      </c>
      <c r="AL224" s="3">
        <f>AK224</f>
        <v>250.873</v>
      </c>
      <c r="AM224" s="3">
        <f>AL224</f>
        <v>250.873</v>
      </c>
      <c r="AN224" s="3">
        <f>AM224</f>
        <v>250.873</v>
      </c>
      <c r="AO224" s="3">
        <f>AN224</f>
        <v>250.873</v>
      </c>
      <c r="AP224" s="3">
        <f>AO224</f>
        <v>250.873</v>
      </c>
      <c r="AQ224" s="3">
        <f>AP224</f>
        <v>250.873</v>
      </c>
      <c r="AR224" s="3">
        <f>AQ224</f>
        <v>250.873</v>
      </c>
      <c r="AS224" s="3">
        <f>AR224</f>
        <v>250.873</v>
      </c>
      <c r="AT224" s="3">
        <f>AS224</f>
        <v>250.873</v>
      </c>
      <c r="AU224" s="3">
        <f>AT224</f>
        <v>250.873</v>
      </c>
      <c r="AV224" s="3">
        <f>AU224</f>
        <v>250.873</v>
      </c>
      <c r="AW224" s="3">
        <f>AV224</f>
        <v>250.873</v>
      </c>
      <c r="AX224" s="3">
        <f>AW224</f>
        <v>250.873</v>
      </c>
      <c r="AY224" s="3">
        <f>AX224</f>
        <v>250.873</v>
      </c>
      <c r="AZ224" s="3">
        <f>AY224</f>
        <v>250.873</v>
      </c>
      <c r="BA224" s="3">
        <f>AZ224</f>
        <v>250.873</v>
      </c>
      <c r="BB224" s="3">
        <f>BA224</f>
        <v>250.873</v>
      </c>
      <c r="BC224" s="3">
        <f>BB224</f>
        <v>250.873</v>
      </c>
      <c r="BD224" s="3">
        <f>BC224</f>
        <v>250.873</v>
      </c>
      <c r="BE224" s="3">
        <f>BD224</f>
        <v>250.873</v>
      </c>
      <c r="BF224" s="3">
        <f>BE224</f>
        <v>250.873</v>
      </c>
      <c r="BG224" s="3">
        <f>BF224</f>
        <v>250.873</v>
      </c>
      <c r="BH224" s="3">
        <f>BG224</f>
        <v>250.873</v>
      </c>
      <c r="BI224" s="3">
        <f>BH224</f>
        <v>250.873</v>
      </c>
      <c r="BJ224" s="3">
        <f>BI224</f>
        <v>250.873</v>
      </c>
      <c r="BK224" s="3">
        <f>BJ224</f>
        <v>250.873</v>
      </c>
      <c r="BL224" s="3">
        <f>BK224</f>
        <v>250.873</v>
      </c>
      <c r="BM224" s="3">
        <f>BL224</f>
        <v>250.873</v>
      </c>
      <c r="BN224" s="3">
        <f>BM224</f>
        <v>250.873</v>
      </c>
      <c r="BO224" s="3">
        <f>BN224</f>
        <v>250.873</v>
      </c>
      <c r="BP224" s="3">
        <f>BO224</f>
        <v>250.873</v>
      </c>
      <c r="BQ224" s="3">
        <f>BP224</f>
        <v>250.873</v>
      </c>
      <c r="BR224" s="3">
        <f>BQ224</f>
        <v>250.873</v>
      </c>
      <c r="BS224" s="3">
        <f>BR224</f>
        <v>250.873</v>
      </c>
      <c r="BT224" s="3">
        <f>BS224</f>
        <v>250.873</v>
      </c>
      <c r="BU224" s="3">
        <f>BT224</f>
        <v>250.873</v>
      </c>
      <c r="BV224" s="3">
        <f>BU224</f>
        <v>250.873</v>
      </c>
      <c r="BW224" s="3">
        <f>BV224</f>
        <v>250.873</v>
      </c>
      <c r="BX224" s="3">
        <f>BW224</f>
        <v>250.873</v>
      </c>
      <c r="BY224" s="3">
        <f>BX224</f>
        <v>250.873</v>
      </c>
      <c r="BZ224" s="3">
        <f>BY224</f>
        <v>250.873</v>
      </c>
      <c r="CA224" s="3">
        <f>BZ224</f>
        <v>250.873</v>
      </c>
      <c r="CB224" s="3">
        <f>CA224</f>
        <v>250.873</v>
      </c>
      <c r="CC224" s="3">
        <f>CB224</f>
        <v>250.873</v>
      </c>
      <c r="CD224" s="3">
        <f>CC224</f>
        <v>250.873</v>
      </c>
      <c r="CE224" s="3">
        <f>CD224</f>
        <v>250.873</v>
      </c>
      <c r="CF224" s="3">
        <f>CE224</f>
        <v>250.873</v>
      </c>
      <c r="CG224" s="3">
        <f>CF224</f>
        <v>250.873</v>
      </c>
      <c r="CH224" s="3">
        <f>CG224</f>
        <v>250.873</v>
      </c>
      <c r="CI224" s="3">
        <f>CH224</f>
        <v>250.873</v>
      </c>
      <c r="CJ224" s="3">
        <f>CI224</f>
        <v>250.873</v>
      </c>
      <c r="CK224" s="3">
        <f>CJ224</f>
        <v>250.873</v>
      </c>
      <c r="CL224" s="3">
        <f>CK224</f>
        <v>250.873</v>
      </c>
      <c r="CM224" s="3">
        <f>CL224</f>
        <v>250.873</v>
      </c>
      <c r="CN224" s="3">
        <f>CM224</f>
        <v>250.873</v>
      </c>
      <c r="CO224" s="3">
        <f>CN224</f>
        <v>250.873</v>
      </c>
      <c r="CP224" s="3">
        <f>CO224</f>
        <v>250.873</v>
      </c>
      <c r="CQ224" s="3">
        <f>CP224</f>
        <v>250.873</v>
      </c>
      <c r="CR224" s="3">
        <f>CQ224</f>
        <v>250.873</v>
      </c>
      <c r="CS224" s="3">
        <f>CR224</f>
        <v>250.873</v>
      </c>
      <c r="CT224" s="3">
        <f>CS224</f>
        <v>250.873</v>
      </c>
      <c r="CU224" s="3">
        <f>CT224</f>
        <v>250.873</v>
      </c>
      <c r="CV224" s="3">
        <f>CU224</f>
        <v>250.873</v>
      </c>
      <c r="CW224" s="3">
        <f>CV224</f>
        <v>250.873</v>
      </c>
      <c r="CX224" s="3">
        <f>CW224</f>
        <v>250.873</v>
      </c>
      <c r="CY224" s="3">
        <f>CX224</f>
        <v>250.873</v>
      </c>
    </row>
    <row r="225" hidden="1" outlineLevel="1">
      <c r="C225" s="38" t="inlineStr">
        <is>
          <t>%(Var.)</t>
        </is>
      </c>
      <c r="D225" s="3" t="n"/>
      <c r="E225" s="47" t="e">
        <f>(E224-D224)/D224</f>
        <v>#N/A</v>
      </c>
      <c r="F225" s="47">
        <f>(F224-E224)/E224</f>
        <v>-0.152559359864241</v>
      </c>
      <c r="G225" s="47">
        <f>(G224-F224)/F224</f>
        <v>0.0115447460681988</v>
      </c>
      <c r="H225" s="3" t="n"/>
      <c r="I225" s="47">
        <f>(I224-H224)/H224</f>
        <v>0.0622383242760588</v>
      </c>
      <c r="J225" s="47">
        <f>(J224-I224)/I224</f>
        <v>-0.0374514821662969</v>
      </c>
      <c r="K225" s="47">
        <f>(K224-J224)/J224</f>
        <v>-0.205491285304432</v>
      </c>
      <c r="L225" s="47">
        <f>(L224-K224)/K224</f>
        <v>0.120197152646719</v>
      </c>
      <c r="M225" s="3" t="n"/>
      <c r="N225" s="47">
        <f>(N224-M224)/M224</f>
        <v>0.14539476912508</v>
      </c>
      <c r="O225" s="47">
        <f>(O224-N224)/N224</f>
        <v>0.114714534601434</v>
      </c>
      <c r="P225" s="47">
        <f>(P224-O224)/O224</f>
        <v>-0.00530368054932809</v>
      </c>
      <c r="Q225" s="47">
        <f>(Q224-P224)/P224</f>
        <v>0.0338592311159766</v>
      </c>
      <c r="R225" s="3" t="n"/>
      <c r="S225" s="47">
        <f>(S224-R224)/R224</f>
        <v>0.0199691058125918</v>
      </c>
      <c r="T225" s="47">
        <f>(T224-S224)/S224</f>
        <v>-0.345982388216471</v>
      </c>
      <c r="U225" s="47">
        <f>(U224-T224)/T224</f>
        <v>-0.339838278959458</v>
      </c>
      <c r="V225" s="47">
        <f>(V224-U224)/U224</f>
        <v>0.00777912930327285</v>
      </c>
      <c r="W225" s="3" t="n"/>
      <c r="X225" s="47">
        <f>(X224-W224)/W224</f>
        <v>2.13647336215124</v>
      </c>
      <c r="Y225" s="47">
        <f>(Y224-X224)/X224</f>
        <v>-0.0822892428852694</v>
      </c>
      <c r="Z225" s="47">
        <f>(Z224-Y224)/Y224</f>
        <v>-0.0235408844897362</v>
      </c>
      <c r="AA225" s="47">
        <f>(AA224-Z224)/Z224</f>
        <v>-0.206399616502382</v>
      </c>
      <c r="AB225" s="3" t="n"/>
      <c r="AC225" s="47">
        <f>(AC224-AB224)/AB224</f>
        <v>0.431352562166516</v>
      </c>
      <c r="AD225" s="47">
        <f>(AD224-AC224)/AC224</f>
        <v>1.00329696415541</v>
      </c>
      <c r="AE225" s="47">
        <f>(AE224-AD224)/AD224</f>
        <v>0.205277871647569</v>
      </c>
      <c r="AF225" s="6">
        <f>(AF224-AE224)/AE224</f>
        <v>-0.0454464353987716</v>
      </c>
      <c r="AG225" s="3" t="n"/>
      <c r="AH225" s="6">
        <f>(AH224-AG224)/AG224</f>
        <v>0.00132748426473398</v>
      </c>
      <c r="AI225" s="6">
        <f>(AI224-AH224)/AH224</f>
        <v>-0.044286051703251</v>
      </c>
      <c r="AJ225" s="6" t="n"/>
      <c r="AK225" s="6" t="n"/>
      <c r="AL225" s="3" t="n"/>
      <c r="AM225" s="6" t="n"/>
      <c r="AN225" s="6" t="n"/>
      <c r="AO225" s="6" t="n"/>
      <c r="AP225" s="6" t="n"/>
      <c r="AQ225" s="3" t="n"/>
      <c r="AR225" s="6" t="n"/>
      <c r="AS225" s="6" t="n"/>
      <c r="AT225" s="6" t="n"/>
      <c r="AU225" s="6" t="n"/>
      <c r="AV225" s="3" t="n"/>
      <c r="AW225" s="6" t="n"/>
      <c r="AX225" s="6" t="n"/>
      <c r="AY225" s="6" t="n"/>
      <c r="AZ225" s="6" t="n"/>
      <c r="BA225" s="3" t="n"/>
      <c r="BB225" s="6" t="n"/>
      <c r="BC225" s="6" t="n"/>
      <c r="BD225" s="6" t="n"/>
      <c r="BE225" s="6" t="n"/>
      <c r="BF225" s="3" t="n"/>
      <c r="BG225" s="6" t="n"/>
      <c r="BH225" s="6" t="n"/>
      <c r="BI225" s="6" t="n"/>
      <c r="BJ225" s="6" t="n"/>
      <c r="BK225" s="3" t="n"/>
      <c r="BL225" s="6" t="n"/>
      <c r="BM225" s="6" t="n"/>
      <c r="BN225" s="6" t="n"/>
      <c r="BO225" s="6" t="n"/>
      <c r="BP225" s="3" t="n"/>
      <c r="BQ225" s="6" t="n"/>
      <c r="BR225" s="6" t="n"/>
      <c r="BS225" s="6" t="n"/>
      <c r="BT225" s="6" t="n"/>
      <c r="BU225" s="3" t="n"/>
      <c r="BV225" s="6" t="n"/>
      <c r="BW225" s="6" t="n"/>
      <c r="BX225" s="6" t="n"/>
      <c r="BY225" s="6" t="n"/>
      <c r="BZ225" s="3" t="n"/>
      <c r="CA225" s="6" t="n"/>
      <c r="CB225" s="6" t="n"/>
      <c r="CC225" s="6" t="n"/>
      <c r="CD225" s="6" t="n"/>
      <c r="CE225" s="3" t="n"/>
      <c r="CF225" s="6" t="n"/>
      <c r="CG225" s="6" t="n"/>
      <c r="CH225" s="6" t="n"/>
      <c r="CI225" s="6" t="n"/>
      <c r="CJ225" s="3" t="n"/>
      <c r="CK225" s="6" t="n"/>
      <c r="CL225" s="6" t="n"/>
      <c r="CM225" s="6" t="n"/>
      <c r="CN225" s="6" t="n"/>
      <c r="CO225" s="3" t="n"/>
      <c r="CP225" s="6" t="n"/>
      <c r="CQ225" s="6" t="n"/>
      <c r="CR225" s="6" t="n"/>
      <c r="CS225" s="6" t="n"/>
      <c r="CT225" s="3" t="n"/>
      <c r="CU225" s="6" t="n"/>
      <c r="CV225" s="6" t="n"/>
      <c r="CW225" s="6" t="n"/>
      <c r="CX225" s="6" t="n"/>
      <c r="CY225" s="3" t="n"/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collapsed="1">
      <c r="C227" s="26" t="inlineStr">
        <is>
          <t>Long term debt</t>
        </is>
      </c>
      <c r="D227" s="25" t="e">
        <f>INDEX('Inputs (2)'!$D$35:$AL$35,MATCH(D$7,'Inputs (2)'!$D$2:$AL$2,0))</f>
        <v>#N/A</v>
      </c>
      <c r="E227" s="25">
        <f>INDEX('Inputs (2)'!$D$35:$AL$35,MATCH(E$7,'Inputs (2)'!$D$2:$AL$2,0))</f>
        <v>975.544</v>
      </c>
      <c r="F227" s="25">
        <f>INDEX('Inputs (2)'!$D$35:$AL$35,MATCH(F$7,'Inputs (2)'!$D$2:$AL$2,0))</f>
        <v>1059.13874924</v>
      </c>
      <c r="G227" s="25">
        <f>INDEX('Inputs (2)'!$D$35:$AL$35,MATCH(G$7,'Inputs (2)'!$D$2:$AL$2,0))</f>
        <v>531.32645287</v>
      </c>
      <c r="H227" s="3">
        <f>G227</f>
        <v>531.32645287</v>
      </c>
      <c r="I227" s="25">
        <f>INDEX('Inputs (2)'!$D$35:$AL$35,MATCH(I$7,'Inputs (2)'!$D$2:$AL$2,0))</f>
        <v>482.81073958</v>
      </c>
      <c r="J227" s="25">
        <f>INDEX('Inputs (2)'!$D$35:$AL$35,MATCH(J$7,'Inputs (2)'!$D$2:$AL$2,0))</f>
        <v>463.17617923</v>
      </c>
      <c r="K227" s="25">
        <f>INDEX('Inputs (2)'!$D$35:$AL$35,MATCH(K$7,'Inputs (2)'!$D$2:$AL$2,0))</f>
        <v>445.125</v>
      </c>
      <c r="L227" s="25">
        <f>INDEX('Inputs (2)'!$D$35:$AL$35,MATCH(L$7,'Inputs (2)'!$D$2:$AL$2,0))</f>
        <v>869.537</v>
      </c>
      <c r="M227" s="3">
        <f>L227</f>
        <v>869.537</v>
      </c>
      <c r="N227" s="25">
        <f>INDEX('Inputs (2)'!$D$35:$AL$35,MATCH(N$7,'Inputs (2)'!$D$2:$AL$2,0))</f>
        <v>872.031</v>
      </c>
      <c r="O227" s="25">
        <f>INDEX('Inputs (2)'!$D$35:$AL$35,MATCH(O$7,'Inputs (2)'!$D$2:$AL$2,0))</f>
        <v>876.531</v>
      </c>
      <c r="P227" s="25">
        <f>INDEX('Inputs (2)'!$D$35:$AL$35,MATCH(P$7,'Inputs (2)'!$D$2:$AL$2,0))</f>
        <v>1641.207</v>
      </c>
      <c r="Q227" s="25">
        <f>INDEX('Inputs (2)'!$D$35:$AL$35,MATCH(Q$7,'Inputs (2)'!$D$2:$AL$2,0))</f>
        <v>1638.222</v>
      </c>
      <c r="R227" s="3">
        <f>Q227</f>
        <v>1638.222</v>
      </c>
      <c r="S227" s="25">
        <f>INDEX('Inputs (2)'!$D$35:$AL$35,MATCH(S$7,'Inputs (2)'!$D$2:$AL$2,0))</f>
        <v>1616.264</v>
      </c>
      <c r="T227" s="25">
        <f>INDEX('Inputs (2)'!$D$35:$AL$35,MATCH(T$7,'Inputs (2)'!$D$2:$AL$2,0))</f>
        <v>1582.105</v>
      </c>
      <c r="U227" s="25">
        <f>INDEX('Inputs (2)'!$D$35:$AL$35,MATCH(U$7,'Inputs (2)'!$D$2:$AL$2,0))</f>
        <v>1546.724</v>
      </c>
      <c r="V227" s="25">
        <f>INDEX('Inputs (2)'!$D$35:$AL$35,MATCH(V$7,'Inputs (2)'!$D$2:$AL$2,0))</f>
        <v>1313.982</v>
      </c>
      <c r="W227" s="3">
        <f>V227</f>
        <v>1313.982</v>
      </c>
      <c r="X227" s="25">
        <f>INDEX('Inputs (2)'!$D$35:$AL$35,MATCH(X$7,'Inputs (2)'!$D$2:$AL$2,0))</f>
        <v>1305.794</v>
      </c>
      <c r="Y227" s="25">
        <f>INDEX('Inputs (2)'!$D$35:$AL$35,MATCH(Y$7,'Inputs (2)'!$D$2:$AL$2,0))</f>
        <v>1287.123</v>
      </c>
      <c r="Z227" s="25">
        <f>INDEX('Inputs (2)'!$D$35:$AL$35,MATCH(Z$7,'Inputs (2)'!$D$2:$AL$2,0))</f>
        <v>1259.718</v>
      </c>
      <c r="AA227" s="25">
        <f>INDEX('Inputs (2)'!$D$35:$AL$35,MATCH(AA$7,'Inputs (2)'!$D$2:$AL$2,0))</f>
        <v>1852.872</v>
      </c>
      <c r="AB227" s="3">
        <f>AA227</f>
        <v>1852.872</v>
      </c>
      <c r="AC227" s="25">
        <f>INDEX('Inputs (2)'!$D$35:$AL$35,MATCH(AC$7,'Inputs (2)'!$D$2:$AL$2,0))</f>
        <v>1885.998</v>
      </c>
      <c r="AD227" s="25">
        <f>INDEX('Inputs (2)'!$D$35:$AL$35,MATCH(AD$7,'Inputs (2)'!$D$2:$AL$2,0))</f>
        <v>1866.925</v>
      </c>
      <c r="AE227" s="25">
        <f>INDEX('Inputs (2)'!$D$35:$AL$35,MATCH(AE$7,'Inputs (2)'!$D$2:$AL$2,0))</f>
        <v>2086.176</v>
      </c>
      <c r="AF227" s="25">
        <f>INDEX('Inputs (2)'!$D$35:$AL$35,MATCH(AF$7,'Inputs (2)'!$D$2:$AL$2,0))</f>
        <v>1656.368</v>
      </c>
      <c r="AG227" s="3">
        <f>AF227</f>
        <v>1656.368</v>
      </c>
      <c r="AH227" s="3">
        <f>INDEX('Inputs (2)'!$D$35:$AL$35,MATCH(AH$7,'Inputs (2)'!$D$2:$AL$2,0))</f>
        <v>1182.868</v>
      </c>
      <c r="AI227" s="3">
        <f>INDEX('Inputs (2)'!$D$35:$AL$35,MATCH(AI$7,'Inputs (2)'!$D$2:$AL$2,0))</f>
        <v>1194.648</v>
      </c>
      <c r="AJ227" s="3">
        <f>AJ233</f>
        <v>1194.648</v>
      </c>
      <c r="AK227" s="3">
        <f>AK233</f>
        <v>1194.648</v>
      </c>
      <c r="AL227" s="3">
        <f>AK227</f>
        <v>1194.648</v>
      </c>
      <c r="AM227" s="3">
        <f>AM233</f>
        <v>1194.648</v>
      </c>
      <c r="AN227" s="3">
        <f>AN233</f>
        <v>1194.648</v>
      </c>
      <c r="AO227" s="3">
        <f>AO233</f>
        <v>1194.648</v>
      </c>
      <c r="AP227" s="3">
        <f>AP233</f>
        <v>1194.648</v>
      </c>
      <c r="AQ227" s="3">
        <f>AP227</f>
        <v>1194.648</v>
      </c>
      <c r="AR227" s="3">
        <f>AR233</f>
        <v>1194.648</v>
      </c>
      <c r="AS227" s="3">
        <f>AS233</f>
        <v>1194.648</v>
      </c>
      <c r="AT227" s="3">
        <f>AT233</f>
        <v>1194.648</v>
      </c>
      <c r="AU227" s="3">
        <f>AU233</f>
        <v>1194.648</v>
      </c>
      <c r="AV227" s="3">
        <f>AU227</f>
        <v>1194.648</v>
      </c>
      <c r="AW227" s="3">
        <f>AW233</f>
        <v>1194.648</v>
      </c>
      <c r="AX227" s="3">
        <f>AX233</f>
        <v>1194.648</v>
      </c>
      <c r="AY227" s="3">
        <f>AY233</f>
        <v>1194.648</v>
      </c>
      <c r="AZ227" s="3">
        <f>AZ233</f>
        <v>1194.648</v>
      </c>
      <c r="BA227" s="3">
        <f>AZ227</f>
        <v>1194.648</v>
      </c>
      <c r="BB227" s="3">
        <f>BB233</f>
        <v>1194.648</v>
      </c>
      <c r="BC227" s="3">
        <f>BC233</f>
        <v>1194.648</v>
      </c>
      <c r="BD227" s="3">
        <f>BD233</f>
        <v>1194.648</v>
      </c>
      <c r="BE227" s="3">
        <f>BE233</f>
        <v>1194.648</v>
      </c>
      <c r="BF227" s="3">
        <f>BE227</f>
        <v>1194.648</v>
      </c>
      <c r="BG227" s="3">
        <f>BG233</f>
        <v>1194.648</v>
      </c>
      <c r="BH227" s="3">
        <f>BH233</f>
        <v>1194.648</v>
      </c>
      <c r="BI227" s="3">
        <f>BI233</f>
        <v>1194.648</v>
      </c>
      <c r="BJ227" s="3">
        <f>BJ233</f>
        <v>1194.648</v>
      </c>
      <c r="BK227" s="3">
        <f>BJ227</f>
        <v>1194.648</v>
      </c>
      <c r="BL227" s="3">
        <f>BL233</f>
        <v>1194.648</v>
      </c>
      <c r="BM227" s="3">
        <f>BM233</f>
        <v>1194.648</v>
      </c>
      <c r="BN227" s="3">
        <f>BN233</f>
        <v>1194.648</v>
      </c>
      <c r="BO227" s="3">
        <f>BO233</f>
        <v>1194.648</v>
      </c>
      <c r="BP227" s="3">
        <f>BO227</f>
        <v>1194.648</v>
      </c>
      <c r="BQ227" s="3">
        <f>BQ233</f>
        <v>1194.648</v>
      </c>
      <c r="BR227" s="3">
        <f>BR233</f>
        <v>1194.648</v>
      </c>
      <c r="BS227" s="3">
        <f>BS233</f>
        <v>1194.648</v>
      </c>
      <c r="BT227" s="3">
        <f>BT233</f>
        <v>1194.648</v>
      </c>
      <c r="BU227" s="3">
        <f>BT227</f>
        <v>1194.648</v>
      </c>
      <c r="BV227" s="3">
        <f>BV233</f>
        <v>1194.648</v>
      </c>
      <c r="BW227" s="3">
        <f>BW233</f>
        <v>1194.648</v>
      </c>
      <c r="BX227" s="3">
        <f>BX233</f>
        <v>1194.648</v>
      </c>
      <c r="BY227" s="3">
        <f>BY233</f>
        <v>1194.648</v>
      </c>
      <c r="BZ227" s="3">
        <f>BY227</f>
        <v>1194.648</v>
      </c>
      <c r="CA227" s="3">
        <f>CA233</f>
        <v>1194.648</v>
      </c>
      <c r="CB227" s="3">
        <f>CB233</f>
        <v>1194.648</v>
      </c>
      <c r="CC227" s="3">
        <f>CC233</f>
        <v>1194.648</v>
      </c>
      <c r="CD227" s="3">
        <f>CD233</f>
        <v>1194.648</v>
      </c>
      <c r="CE227" s="3">
        <f>CD227</f>
        <v>1194.648</v>
      </c>
      <c r="CF227" s="3">
        <f>CF233</f>
        <v>1194.648</v>
      </c>
      <c r="CG227" s="3">
        <f>CG233</f>
        <v>1194.648</v>
      </c>
      <c r="CH227" s="3">
        <f>CH233</f>
        <v>1194.648</v>
      </c>
      <c r="CI227" s="3">
        <f>CI233</f>
        <v>1194.648</v>
      </c>
      <c r="CJ227" s="3">
        <f>CI227</f>
        <v>1194.648</v>
      </c>
      <c r="CK227" s="3">
        <f>CK233</f>
        <v>1194.648</v>
      </c>
      <c r="CL227" s="3">
        <f>CL233</f>
        <v>1194.648</v>
      </c>
      <c r="CM227" s="3">
        <f>CM233</f>
        <v>1194.648</v>
      </c>
      <c r="CN227" s="3">
        <f>CN233</f>
        <v>1194.648</v>
      </c>
      <c r="CO227" s="3">
        <f>CN227</f>
        <v>1194.648</v>
      </c>
      <c r="CP227" s="3">
        <f>CP233</f>
        <v>1194.648</v>
      </c>
      <c r="CQ227" s="3">
        <f>CQ233</f>
        <v>1194.648</v>
      </c>
      <c r="CR227" s="3">
        <f>CR233</f>
        <v>1194.648</v>
      </c>
      <c r="CS227" s="3">
        <f>CS233</f>
        <v>1194.648</v>
      </c>
      <c r="CT227" s="3">
        <f>CS227</f>
        <v>1194.648</v>
      </c>
      <c r="CU227" s="3">
        <f>CU233</f>
        <v>1194.648</v>
      </c>
      <c r="CV227" s="3">
        <f>CV233</f>
        <v>1194.648</v>
      </c>
      <c r="CW227" s="3">
        <f>CW233</f>
        <v>1194.648</v>
      </c>
      <c r="CX227" s="3">
        <f>CX233</f>
        <v>1194.648</v>
      </c>
      <c r="CY227" s="3">
        <f>CX227</f>
        <v>1194.648</v>
      </c>
    </row>
    <row r="228" hidden="1" outlineLevel="1">
      <c r="C228" s="3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hidden="1" outlineLevel="1">
      <c r="C229" s="34" t="inlineStr">
        <is>
          <t>Current portion of LTD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>
        <f>AF222</f>
        <v>1204.737</v>
      </c>
      <c r="AI229" s="35" t="n"/>
      <c r="AJ229" s="35" t="n"/>
      <c r="AK229" s="35" t="n"/>
      <c r="AL229" s="3" t="n"/>
      <c r="AM229" s="3">
        <f>AK222</f>
        <v>1529.728</v>
      </c>
      <c r="AN229" s="35" t="n"/>
      <c r="AO229" s="35" t="n"/>
      <c r="AP229" s="35" t="n"/>
      <c r="AQ229" s="3" t="n"/>
      <c r="AR229" s="3">
        <f>AP222</f>
        <v>1529.728</v>
      </c>
      <c r="AS229" s="35" t="n"/>
      <c r="AT229" s="35" t="n"/>
      <c r="AU229" s="35" t="n"/>
      <c r="AV229" s="3" t="n"/>
      <c r="AW229" s="3">
        <f>AU222</f>
        <v>1529.728</v>
      </c>
      <c r="AX229" s="35" t="n"/>
      <c r="AY229" s="35" t="n"/>
      <c r="AZ229" s="35" t="n"/>
      <c r="BA229" s="3" t="n"/>
      <c r="BB229" s="3">
        <f>AZ222</f>
        <v>1529.728</v>
      </c>
      <c r="BC229" s="35" t="n"/>
      <c r="BD229" s="35" t="n"/>
      <c r="BE229" s="35" t="n"/>
      <c r="BF229" s="3" t="n"/>
      <c r="BG229" s="3">
        <f>BE222</f>
        <v>1529.728</v>
      </c>
      <c r="BH229" s="35" t="n"/>
      <c r="BI229" s="35" t="n"/>
      <c r="BJ229" s="35" t="n"/>
      <c r="BK229" s="3" t="n"/>
      <c r="BL229" s="3">
        <f>BJ222</f>
        <v>1529.728</v>
      </c>
      <c r="BM229" s="35" t="n"/>
      <c r="BN229" s="35" t="n"/>
      <c r="BO229" s="35" t="n"/>
      <c r="BP229" s="3" t="n"/>
      <c r="BQ229" s="3">
        <f>BO222</f>
        <v>1529.728</v>
      </c>
      <c r="BR229" s="35" t="n"/>
      <c r="BS229" s="35" t="n"/>
      <c r="BT229" s="35" t="n"/>
      <c r="BU229" s="3" t="n"/>
      <c r="BV229" s="3">
        <f>BT222</f>
        <v>1529.728</v>
      </c>
      <c r="BW229" s="35" t="n"/>
      <c r="BX229" s="35" t="n"/>
      <c r="BY229" s="35" t="n"/>
      <c r="BZ229" s="3" t="n"/>
      <c r="CA229" s="3">
        <f>BY222</f>
        <v>1529.728</v>
      </c>
      <c r="CB229" s="35" t="n"/>
      <c r="CC229" s="35" t="n"/>
      <c r="CD229" s="35" t="n"/>
      <c r="CE229" s="3" t="n"/>
      <c r="CF229" s="3">
        <f>CD222</f>
        <v>1529.728</v>
      </c>
      <c r="CG229" s="35" t="n"/>
      <c r="CH229" s="35" t="n"/>
      <c r="CI229" s="35" t="n"/>
      <c r="CJ229" s="3" t="n"/>
      <c r="CK229" s="3">
        <f>CI222</f>
        <v>1529.728</v>
      </c>
      <c r="CL229" s="35" t="n"/>
      <c r="CM229" s="35" t="n"/>
      <c r="CN229" s="35" t="n"/>
      <c r="CO229" s="3" t="n"/>
      <c r="CP229" s="3">
        <f>CN222</f>
        <v>1529.728</v>
      </c>
      <c r="CQ229" s="35" t="n"/>
      <c r="CR229" s="35" t="n"/>
      <c r="CS229" s="35" t="n"/>
      <c r="CT229" s="3" t="n"/>
      <c r="CU229" s="3">
        <f>CS222</f>
        <v>1529.728</v>
      </c>
      <c r="CV229" s="35" t="n"/>
      <c r="CW229" s="35" t="n"/>
      <c r="CX229" s="35" t="n"/>
      <c r="CY229" s="3" t="n"/>
    </row>
    <row r="230" hidden="1" outlineLevel="1">
      <c r="C230" s="3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inlineStr">
        <is>
          <t>Reclassification of LTD to CP of LTD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>
        <f>-AI229</f>
        <v>0</v>
      </c>
      <c r="AJ231" s="3">
        <f>-AJ229</f>
        <v>0</v>
      </c>
      <c r="AK231" s="3">
        <f>-AK229</f>
        <v>0</v>
      </c>
      <c r="AL231" s="3" t="n"/>
      <c r="AM231" s="3" t="n"/>
      <c r="AN231" s="3">
        <f>-AN229</f>
        <v>0</v>
      </c>
      <c r="AO231" s="3">
        <f>-AO229</f>
        <v>0</v>
      </c>
      <c r="AP231" s="3">
        <f>-AP229</f>
        <v>0</v>
      </c>
      <c r="AQ231" s="3" t="n"/>
      <c r="AR231" s="3" t="n"/>
      <c r="AS231" s="3">
        <f>-AS229</f>
        <v>0</v>
      </c>
      <c r="AT231" s="3">
        <f>-AT229</f>
        <v>0</v>
      </c>
      <c r="AU231" s="3">
        <f>-AU229</f>
        <v>0</v>
      </c>
      <c r="AV231" s="3" t="n"/>
      <c r="AW231" s="3" t="n"/>
      <c r="AX231" s="3">
        <f>-AX229</f>
        <v>0</v>
      </c>
      <c r="AY231" s="3">
        <f>-AY229</f>
        <v>0</v>
      </c>
      <c r="AZ231" s="3">
        <f>-AZ229</f>
        <v>0</v>
      </c>
      <c r="BA231" s="3" t="n"/>
      <c r="BB231" s="3" t="n"/>
      <c r="BC231" s="3">
        <f>-BC229</f>
        <v>0</v>
      </c>
      <c r="BD231" s="3">
        <f>-BD229</f>
        <v>0</v>
      </c>
      <c r="BE231" s="3">
        <f>-BE229</f>
        <v>0</v>
      </c>
      <c r="BF231" s="3" t="n"/>
      <c r="BG231" s="3" t="n"/>
      <c r="BH231" s="3">
        <f>-BH229</f>
        <v>0</v>
      </c>
      <c r="BI231" s="3">
        <f>-BI229</f>
        <v>0</v>
      </c>
      <c r="BJ231" s="3">
        <f>-BJ229</f>
        <v>0</v>
      </c>
      <c r="BK231" s="3" t="n"/>
      <c r="BL231" s="3" t="n"/>
      <c r="BM231" s="3">
        <f>-BM229</f>
        <v>0</v>
      </c>
      <c r="BN231" s="3">
        <f>-BN229</f>
        <v>0</v>
      </c>
      <c r="BO231" s="3">
        <f>-BO229</f>
        <v>0</v>
      </c>
      <c r="BP231" s="3" t="n"/>
      <c r="BQ231" s="3" t="n"/>
      <c r="BR231" s="3">
        <f>-BR229</f>
        <v>0</v>
      </c>
      <c r="BS231" s="3">
        <f>-BS229</f>
        <v>0</v>
      </c>
      <c r="BT231" s="3">
        <f>-BT229</f>
        <v>0</v>
      </c>
      <c r="BU231" s="3" t="n"/>
      <c r="BV231" s="3" t="n"/>
      <c r="BW231" s="3">
        <f>-BW229</f>
        <v>0</v>
      </c>
      <c r="BX231" s="3">
        <f>-BX229</f>
        <v>0</v>
      </c>
      <c r="BY231" s="3">
        <f>-BY229</f>
        <v>0</v>
      </c>
      <c r="BZ231" s="3" t="n"/>
      <c r="CA231" s="3" t="n"/>
      <c r="CB231" s="3">
        <f>-CB229</f>
        <v>0</v>
      </c>
      <c r="CC231" s="3">
        <f>-CC229</f>
        <v>0</v>
      </c>
      <c r="CD231" s="3">
        <f>-CD229</f>
        <v>0</v>
      </c>
      <c r="CE231" s="3" t="n"/>
      <c r="CF231" s="3" t="n"/>
      <c r="CG231" s="3">
        <f>-CG229</f>
        <v>0</v>
      </c>
      <c r="CH231" s="3">
        <f>-CH229</f>
        <v>0</v>
      </c>
      <c r="CI231" s="3">
        <f>-CI229</f>
        <v>0</v>
      </c>
      <c r="CJ231" s="3" t="n"/>
      <c r="CK231" s="3" t="n"/>
      <c r="CL231" s="3">
        <f>-CL229</f>
        <v>0</v>
      </c>
      <c r="CM231" s="3">
        <f>-CM229</f>
        <v>0</v>
      </c>
      <c r="CN231" s="3">
        <f>-CN229</f>
        <v>0</v>
      </c>
      <c r="CO231" s="3" t="n"/>
      <c r="CP231" s="3" t="n"/>
      <c r="CQ231" s="3">
        <f>-CQ229</f>
        <v>0</v>
      </c>
      <c r="CR231" s="3">
        <f>-CR229</f>
        <v>0</v>
      </c>
      <c r="CS231" s="3">
        <f>-CS229</f>
        <v>0</v>
      </c>
      <c r="CT231" s="3" t="n"/>
      <c r="CU231" s="3" t="n"/>
      <c r="CV231" s="3">
        <f>-CV229</f>
        <v>0</v>
      </c>
      <c r="CW231" s="3">
        <f>-CW229</f>
        <v>0</v>
      </c>
      <c r="CX231" s="3">
        <f>-CX229</f>
        <v>0</v>
      </c>
      <c r="CY231" s="3" t="n"/>
    </row>
    <row r="232" hidden="1" outlineLevel="1">
      <c r="C232" s="34" t="inlineStr">
        <is>
          <t>Discretionary (paydown)/borrowing of long term debt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5" t="n"/>
      <c r="AI232" s="35" t="n"/>
      <c r="AJ232" s="35" t="n"/>
      <c r="AK232" s="35" t="n"/>
      <c r="AL232" s="3" t="n"/>
      <c r="AM232" s="35" t="n"/>
      <c r="AN232" s="35" t="n"/>
      <c r="AO232" s="35" t="n"/>
      <c r="AP232" s="35" t="n"/>
      <c r="AQ232" s="3" t="n"/>
      <c r="AR232" s="35" t="n"/>
      <c r="AS232" s="35" t="n"/>
      <c r="AT232" s="35" t="n"/>
      <c r="AU232" s="35" t="n"/>
      <c r="AV232" s="3" t="n"/>
      <c r="AW232" s="35" t="n"/>
      <c r="AX232" s="35" t="n"/>
      <c r="AY232" s="35" t="n"/>
      <c r="AZ232" s="35" t="n"/>
      <c r="BA232" s="3" t="n"/>
      <c r="BB232" s="35" t="n"/>
      <c r="BC232" s="35" t="n"/>
      <c r="BD232" s="35" t="n"/>
      <c r="BE232" s="35" t="n"/>
      <c r="BF232" s="3" t="n"/>
      <c r="BG232" s="35" t="n"/>
      <c r="BH232" s="35" t="n"/>
      <c r="BI232" s="35" t="n"/>
      <c r="BJ232" s="35" t="n"/>
      <c r="BK232" s="3" t="n"/>
      <c r="BL232" s="35" t="n"/>
      <c r="BM232" s="35" t="n"/>
      <c r="BN232" s="35" t="n"/>
      <c r="BO232" s="35" t="n"/>
      <c r="BP232" s="3" t="n"/>
      <c r="BQ232" s="35" t="n"/>
      <c r="BR232" s="35" t="n"/>
      <c r="BS232" s="35" t="n"/>
      <c r="BT232" s="35" t="n"/>
      <c r="BU232" s="3" t="n"/>
      <c r="BV232" s="35" t="n"/>
      <c r="BW232" s="35" t="n"/>
      <c r="BX232" s="35" t="n"/>
      <c r="BY232" s="35" t="n"/>
      <c r="BZ232" s="3" t="n"/>
      <c r="CA232" s="35" t="n"/>
      <c r="CB232" s="35" t="n"/>
      <c r="CC232" s="35" t="n"/>
      <c r="CD232" s="35" t="n"/>
      <c r="CE232" s="3" t="n"/>
      <c r="CF232" s="35" t="n"/>
      <c r="CG232" s="35" t="n"/>
      <c r="CH232" s="35" t="n"/>
      <c r="CI232" s="35" t="n"/>
      <c r="CJ232" s="3" t="n"/>
      <c r="CK232" s="35" t="n"/>
      <c r="CL232" s="35" t="n"/>
      <c r="CM232" s="35" t="n"/>
      <c r="CN232" s="35" t="n"/>
      <c r="CO232" s="3" t="n"/>
      <c r="CP232" s="35" t="n"/>
      <c r="CQ232" s="35" t="n"/>
      <c r="CR232" s="35" t="n"/>
      <c r="CS232" s="35" t="n"/>
      <c r="CT232" s="3" t="n"/>
      <c r="CU232" s="35" t="n"/>
      <c r="CV232" s="35" t="n"/>
      <c r="CW232" s="35" t="n"/>
      <c r="CX232" s="35" t="n"/>
      <c r="CY232" s="3" t="n"/>
    </row>
    <row r="233" hidden="1" outlineLevel="1">
      <c r="C233" s="34" t="inlineStr">
        <is>
          <t>Long term debt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>
        <f>AF227+SUM(AH231:AH232)</f>
        <v>1656.368</v>
      </c>
      <c r="AI233" s="3">
        <f>AH233+SUM(AI231:AI232)</f>
        <v>1656.368</v>
      </c>
      <c r="AJ233" s="3">
        <f>AI227+SUM(AJ231:AJ232)</f>
        <v>1194.648</v>
      </c>
      <c r="AK233" s="3">
        <f>AJ233+SUM(AK231:AK232)</f>
        <v>1194.648</v>
      </c>
      <c r="AL233" s="3" t="n"/>
      <c r="AM233" s="3">
        <f>AK233+SUM(AM231:AM232)</f>
        <v>1194.648</v>
      </c>
      <c r="AN233" s="3">
        <f>AM233+SUM(AN231:AN232)</f>
        <v>1194.648</v>
      </c>
      <c r="AO233" s="3">
        <f>AN233+SUM(AO231:AO232)</f>
        <v>1194.648</v>
      </c>
      <c r="AP233" s="3">
        <f>AO233+SUM(AP231:AP232)</f>
        <v>1194.648</v>
      </c>
      <c r="AQ233" s="3" t="n"/>
      <c r="AR233" s="3">
        <f>AP233+SUM(AR231:AR232)</f>
        <v>1194.648</v>
      </c>
      <c r="AS233" s="3">
        <f>AR233+SUM(AS231:AS232)</f>
        <v>1194.648</v>
      </c>
      <c r="AT233" s="3">
        <f>AS233+SUM(AT231:AT232)</f>
        <v>1194.648</v>
      </c>
      <c r="AU233" s="3">
        <f>AT233+SUM(AU231:AU232)</f>
        <v>1194.648</v>
      </c>
      <c r="AV233" s="3" t="n"/>
      <c r="AW233" s="3">
        <f>AU233+SUM(AW231:AW232)</f>
        <v>1194.648</v>
      </c>
      <c r="AX233" s="3">
        <f>AW233+SUM(AX231:AX232)</f>
        <v>1194.648</v>
      </c>
      <c r="AY233" s="3">
        <f>AX233+SUM(AY231:AY232)</f>
        <v>1194.648</v>
      </c>
      <c r="AZ233" s="3">
        <f>AY233+SUM(AZ231:AZ232)</f>
        <v>1194.648</v>
      </c>
      <c r="BA233" s="3" t="n"/>
      <c r="BB233" s="3">
        <f>AZ233+SUM(BB231:BB232)</f>
        <v>1194.648</v>
      </c>
      <c r="BC233" s="3">
        <f>BB233+SUM(BC231:BC232)</f>
        <v>1194.648</v>
      </c>
      <c r="BD233" s="3">
        <f>BC233+SUM(BD231:BD232)</f>
        <v>1194.648</v>
      </c>
      <c r="BE233" s="3">
        <f>BD233+SUM(BE231:BE232)</f>
        <v>1194.648</v>
      </c>
      <c r="BF233" s="3" t="n"/>
      <c r="BG233" s="3">
        <f>BE233+SUM(BG231:BG232)</f>
        <v>1194.648</v>
      </c>
      <c r="BH233" s="3">
        <f>BG233+SUM(BH231:BH232)</f>
        <v>1194.648</v>
      </c>
      <c r="BI233" s="3">
        <f>BH233+SUM(BI231:BI232)</f>
        <v>1194.648</v>
      </c>
      <c r="BJ233" s="3">
        <f>BI233+SUM(BJ231:BJ232)</f>
        <v>1194.648</v>
      </c>
      <c r="BK233" s="3" t="n"/>
      <c r="BL233" s="3">
        <f>BJ233+SUM(BL231:BL232)</f>
        <v>1194.648</v>
      </c>
      <c r="BM233" s="3">
        <f>BL233+SUM(BM231:BM232)</f>
        <v>1194.648</v>
      </c>
      <c r="BN233" s="3">
        <f>BM233+SUM(BN231:BN232)</f>
        <v>1194.648</v>
      </c>
      <c r="BO233" s="3">
        <f>BN233+SUM(BO231:BO232)</f>
        <v>1194.648</v>
      </c>
      <c r="BP233" s="3" t="n"/>
      <c r="BQ233" s="3">
        <f>BO233+SUM(BQ231:BQ232)</f>
        <v>1194.648</v>
      </c>
      <c r="BR233" s="3">
        <f>BQ233+SUM(BR231:BR232)</f>
        <v>1194.648</v>
      </c>
      <c r="BS233" s="3">
        <f>BR233+SUM(BS231:BS232)</f>
        <v>1194.648</v>
      </c>
      <c r="BT233" s="3">
        <f>BS233+SUM(BT231:BT232)</f>
        <v>1194.648</v>
      </c>
      <c r="BU233" s="3" t="n"/>
      <c r="BV233" s="3">
        <f>BT233+SUM(BV231:BV232)</f>
        <v>1194.648</v>
      </c>
      <c r="BW233" s="3">
        <f>BV233+SUM(BW231:BW232)</f>
        <v>1194.648</v>
      </c>
      <c r="BX233" s="3">
        <f>BW233+SUM(BX231:BX232)</f>
        <v>1194.648</v>
      </c>
      <c r="BY233" s="3">
        <f>BX233+SUM(BY231:BY232)</f>
        <v>1194.648</v>
      </c>
      <c r="BZ233" s="3" t="n"/>
      <c r="CA233" s="3">
        <f>BY233+SUM(CA231:CA232)</f>
        <v>1194.648</v>
      </c>
      <c r="CB233" s="3">
        <f>CA233+SUM(CB231:CB232)</f>
        <v>1194.648</v>
      </c>
      <c r="CC233" s="3">
        <f>CB233+SUM(CC231:CC232)</f>
        <v>1194.648</v>
      </c>
      <c r="CD233" s="3">
        <f>CC233+SUM(CD231:CD232)</f>
        <v>1194.648</v>
      </c>
      <c r="CE233" s="3" t="n"/>
      <c r="CF233" s="3">
        <f>CD233+SUM(CF231:CF232)</f>
        <v>1194.648</v>
      </c>
      <c r="CG233" s="3">
        <f>CF233+SUM(CG231:CG232)</f>
        <v>1194.648</v>
      </c>
      <c r="CH233" s="3">
        <f>CG233+SUM(CH231:CH232)</f>
        <v>1194.648</v>
      </c>
      <c r="CI233" s="3">
        <f>CH233+SUM(CI231:CI232)</f>
        <v>1194.648</v>
      </c>
      <c r="CJ233" s="3" t="n"/>
      <c r="CK233" s="3">
        <f>CI233+SUM(CK231:CK232)</f>
        <v>1194.648</v>
      </c>
      <c r="CL233" s="3">
        <f>CK233+SUM(CL231:CL232)</f>
        <v>1194.648</v>
      </c>
      <c r="CM233" s="3">
        <f>CL233+SUM(CM231:CM232)</f>
        <v>1194.648</v>
      </c>
      <c r="CN233" s="3">
        <f>CM233+SUM(CN231:CN232)</f>
        <v>1194.648</v>
      </c>
      <c r="CO233" s="3" t="n"/>
      <c r="CP233" s="3">
        <f>CN233+SUM(CP231:CP232)</f>
        <v>1194.648</v>
      </c>
      <c r="CQ233" s="3">
        <f>CP233+SUM(CQ231:CQ232)</f>
        <v>1194.648</v>
      </c>
      <c r="CR233" s="3">
        <f>CQ233+SUM(CR231:CR232)</f>
        <v>1194.648</v>
      </c>
      <c r="CS233" s="3">
        <f>CR233+SUM(CS231:CS232)</f>
        <v>1194.648</v>
      </c>
      <c r="CT233" s="3" t="n"/>
      <c r="CU233" s="3">
        <f>CS233+SUM(CU231:CU232)</f>
        <v>1194.648</v>
      </c>
      <c r="CV233" s="3">
        <f>CU233+SUM(CV231:CV232)</f>
        <v>1194.648</v>
      </c>
      <c r="CW233" s="3">
        <f>CV233+SUM(CW231:CW232)</f>
        <v>1194.648</v>
      </c>
      <c r="CX233" s="3">
        <f>CW233+SUM(CX231:CX232)</f>
        <v>1194.648</v>
      </c>
      <c r="CY233" s="3" t="n"/>
      <c r="CZ233">
        <f>CX233+SUM(CZ231:CZ232)</f>
        <v>1194.648</v>
      </c>
      <c r="DA233">
        <f>CZ233+SUM(DA231:DA232)</f>
        <v>1194.648</v>
      </c>
      <c r="DB233">
        <f>DA233+SUM(DB231:DB232)</f>
        <v>1194.648</v>
      </c>
      <c r="DC233">
        <f>DB233+SUM(DC231:DC232)</f>
        <v>1194.648</v>
      </c>
    </row>
    <row r="234" hidden="1" outlineLevel="1">
      <c r="C234" s="34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3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</row>
    <row r="235" hidden="1" outlineLevel="1">
      <c r="C235" s="34" t="inlineStr">
        <is>
          <t>Discretionary (paydown)/borrowing of convertible debt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5" t="n"/>
      <c r="AI235" s="35" t="n"/>
      <c r="AJ235" s="35" t="n"/>
      <c r="AK235" s="35" t="n"/>
      <c r="AL235" s="3" t="n"/>
      <c r="AM235" s="35" t="n"/>
      <c r="AN235" s="35" t="n"/>
      <c r="AO235" s="35" t="n"/>
      <c r="AP235" s="35" t="n"/>
      <c r="AQ235" s="3" t="n"/>
      <c r="AR235" s="35" t="n"/>
      <c r="AS235" s="35" t="n"/>
      <c r="AT235" s="35" t="n"/>
      <c r="AU235" s="35" t="n"/>
      <c r="AV235" s="3" t="n"/>
      <c r="AW235" s="35" t="n"/>
      <c r="AX235" s="35" t="n"/>
      <c r="AY235" s="35" t="n"/>
      <c r="AZ235" s="35" t="n"/>
      <c r="BA235" s="3" t="n"/>
      <c r="BB235" s="35" t="n"/>
      <c r="BC235" s="35" t="n"/>
      <c r="BD235" s="35" t="n"/>
      <c r="BE235" s="35" t="n"/>
      <c r="BF235" s="3" t="n"/>
      <c r="BG235" s="35" t="n"/>
      <c r="BH235" s="35" t="n"/>
      <c r="BI235" s="35" t="n"/>
      <c r="BJ235" s="35" t="n"/>
      <c r="BK235" s="3" t="n"/>
      <c r="BL235" s="35" t="n"/>
      <c r="BM235" s="35" t="n"/>
      <c r="BN235" s="35" t="n"/>
      <c r="BO235" s="35" t="n"/>
      <c r="BP235" s="3" t="n"/>
      <c r="BQ235" s="35" t="n"/>
      <c r="BR235" s="35" t="n"/>
      <c r="BS235" s="35" t="n"/>
      <c r="BT235" s="35" t="n"/>
      <c r="BU235" s="3" t="n"/>
      <c r="BV235" s="35" t="n"/>
      <c r="BW235" s="35" t="n"/>
      <c r="BX235" s="35" t="n"/>
      <c r="BY235" s="35" t="n"/>
      <c r="BZ235" s="3" t="n"/>
      <c r="CA235" s="35" t="n"/>
      <c r="CB235" s="35" t="n"/>
      <c r="CC235" s="35" t="n"/>
      <c r="CD235" s="35" t="n"/>
      <c r="CE235" s="3" t="n"/>
      <c r="CF235" s="35" t="n"/>
      <c r="CG235" s="35" t="n"/>
      <c r="CH235" s="35" t="n"/>
      <c r="CI235" s="35" t="n"/>
      <c r="CJ235" s="3" t="n"/>
      <c r="CK235" s="35" t="n"/>
      <c r="CL235" s="35" t="n"/>
      <c r="CM235" s="35" t="n"/>
      <c r="CN235" s="35" t="n"/>
      <c r="CO235" s="3" t="n"/>
      <c r="CP235" s="35" t="n"/>
      <c r="CQ235" s="35" t="n"/>
      <c r="CR235" s="35" t="n"/>
      <c r="CS235" s="35" t="n"/>
      <c r="CT235" s="3" t="n"/>
      <c r="CU235" s="35" t="n"/>
      <c r="CV235" s="35" t="n"/>
      <c r="CW235" s="35" t="n"/>
      <c r="CX235" s="35" t="n"/>
      <c r="CY235" s="3" t="n"/>
    </row>
    <row r="236" hidden="1" outlineLevel="1">
      <c r="C236" s="34" t="inlineStr">
        <is>
          <t>Convertible debt</t>
        </is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>
        <f>AH248</f>
        <v>0</v>
      </c>
      <c r="AI236" s="3">
        <f>AH236+SUM(AI235)</f>
        <v>0</v>
      </c>
      <c r="AJ236" s="3">
        <f>AI236+SUM(AJ235)</f>
        <v>0</v>
      </c>
      <c r="AK236" s="3">
        <f>AJ236+SUM(AK235)</f>
        <v>0</v>
      </c>
      <c r="AL236" s="3" t="n"/>
      <c r="AM236" s="3">
        <f>AM248</f>
        <v>0</v>
      </c>
      <c r="AN236" s="3">
        <f>AM236+SUM(AN235)</f>
        <v>0</v>
      </c>
      <c r="AO236" s="3">
        <f>AN236+SUM(AO235)</f>
        <v>0</v>
      </c>
      <c r="AP236" s="3">
        <f>AO236+SUM(AP235)</f>
        <v>0</v>
      </c>
      <c r="AQ236" s="3" t="n"/>
      <c r="AR236" s="3">
        <f>AR248</f>
        <v>0</v>
      </c>
      <c r="AS236" s="3">
        <f>AR236+SUM(AS235)</f>
        <v>0</v>
      </c>
      <c r="AT236" s="3">
        <f>AS236+SUM(AT235)</f>
        <v>0</v>
      </c>
      <c r="AU236" s="3">
        <f>AT236+SUM(AU235)</f>
        <v>0</v>
      </c>
      <c r="AV236" s="3" t="n"/>
      <c r="AW236" s="3">
        <f>AW248</f>
        <v>0</v>
      </c>
      <c r="AX236" s="3">
        <f>AW236+SUM(AX235)</f>
        <v>0</v>
      </c>
      <c r="AY236" s="3">
        <f>AX236+SUM(AY235)</f>
        <v>0</v>
      </c>
      <c r="AZ236" s="3">
        <f>AY236+SUM(AZ235)</f>
        <v>0</v>
      </c>
      <c r="BA236" s="3" t="n"/>
      <c r="BB236" s="3">
        <f>BB248</f>
        <v>0</v>
      </c>
      <c r="BC236" s="3">
        <f>BB236+SUM(BC235)</f>
        <v>0</v>
      </c>
      <c r="BD236" s="3">
        <f>BC236+SUM(BD235)</f>
        <v>0</v>
      </c>
      <c r="BE236" s="3">
        <f>BD236+SUM(BE235)</f>
        <v>0</v>
      </c>
      <c r="BF236" s="3" t="n"/>
      <c r="BG236" s="3">
        <f>BG248</f>
        <v>0</v>
      </c>
      <c r="BH236" s="3">
        <f>BG236+SUM(BH235)</f>
        <v>0</v>
      </c>
      <c r="BI236" s="3">
        <f>BH236+SUM(BI235)</f>
        <v>0</v>
      </c>
      <c r="BJ236" s="3">
        <f>BI236+SUM(BJ235)</f>
        <v>0</v>
      </c>
      <c r="BK236" s="3" t="n"/>
      <c r="BL236" s="3">
        <f>BL248</f>
        <v>0</v>
      </c>
      <c r="BM236" s="3">
        <f>BL236+SUM(BM235)</f>
        <v>0</v>
      </c>
      <c r="BN236" s="3">
        <f>BM236+SUM(BN235)</f>
        <v>0</v>
      </c>
      <c r="BO236" s="3">
        <f>BN236+SUM(BO235)</f>
        <v>0</v>
      </c>
      <c r="BP236" s="3" t="n"/>
      <c r="BQ236" s="3">
        <f>BQ248</f>
        <v>0</v>
      </c>
      <c r="BR236" s="3">
        <f>BQ236+SUM(BR235)</f>
        <v>0</v>
      </c>
      <c r="BS236" s="3">
        <f>BR236+SUM(BS235)</f>
        <v>0</v>
      </c>
      <c r="BT236" s="3">
        <f>BS236+SUM(BT235)</f>
        <v>0</v>
      </c>
      <c r="BU236" s="3" t="n"/>
      <c r="BV236" s="3">
        <f>BV248</f>
        <v>0</v>
      </c>
      <c r="BW236" s="3">
        <f>BV236+SUM(BW235)</f>
        <v>0</v>
      </c>
      <c r="BX236" s="3">
        <f>BW236+SUM(BX235)</f>
        <v>0</v>
      </c>
      <c r="BY236" s="3">
        <f>BX236+SUM(BY235)</f>
        <v>0</v>
      </c>
      <c r="BZ236" s="3" t="n"/>
      <c r="CA236" s="3">
        <f>CA248</f>
        <v>0</v>
      </c>
      <c r="CB236" s="3">
        <f>CA236+SUM(CB235)</f>
        <v>0</v>
      </c>
      <c r="CC236" s="3">
        <f>CB236+SUM(CC235)</f>
        <v>0</v>
      </c>
      <c r="CD236" s="3">
        <f>CC236+SUM(CD235)</f>
        <v>0</v>
      </c>
      <c r="CE236" s="3" t="n"/>
      <c r="CF236" s="3">
        <f>CF248</f>
        <v>0</v>
      </c>
      <c r="CG236" s="3">
        <f>CF236+SUM(CG235)</f>
        <v>0</v>
      </c>
      <c r="CH236" s="3">
        <f>CG236+SUM(CH235)</f>
        <v>0</v>
      </c>
      <c r="CI236" s="3">
        <f>CH236+SUM(CI235)</f>
        <v>0</v>
      </c>
      <c r="CJ236" s="3" t="n"/>
      <c r="CK236" s="3">
        <f>CK248</f>
        <v>0</v>
      </c>
      <c r="CL236" s="3">
        <f>CK236+SUM(CL235)</f>
        <v>0</v>
      </c>
      <c r="CM236" s="3">
        <f>CL236+SUM(CM235)</f>
        <v>0</v>
      </c>
      <c r="CN236" s="3">
        <f>CM236+SUM(CN235)</f>
        <v>0</v>
      </c>
      <c r="CO236" s="3" t="n"/>
      <c r="CP236" s="3">
        <f>CP248</f>
        <v>0</v>
      </c>
      <c r="CQ236" s="3">
        <f>CP236+SUM(CQ235)</f>
        <v>0</v>
      </c>
      <c r="CR236" s="3">
        <f>CQ236+SUM(CR235)</f>
        <v>0</v>
      </c>
      <c r="CS236" s="3">
        <f>CR236+SUM(CS235)</f>
        <v>0</v>
      </c>
      <c r="CT236" s="3" t="n"/>
      <c r="CU236" s="3">
        <f>CU248</f>
        <v>0</v>
      </c>
      <c r="CV236" s="3">
        <f>CU236+SUM(CV235)</f>
        <v>0</v>
      </c>
      <c r="CW236" s="3">
        <f>CV236+SUM(CW235)</f>
        <v>0</v>
      </c>
      <c r="CX236" s="3">
        <f>CW236+SUM(CX235)</f>
        <v>0</v>
      </c>
      <c r="CY236" s="3" t="n"/>
    </row>
    <row r="237" hidden="1" outlineLevel="1">
      <c r="C237" s="34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I237" s="3" t="n"/>
      <c r="AJ237" s="3" t="n"/>
      <c r="AK237" s="3" t="n"/>
      <c r="AL237" s="3" t="n"/>
      <c r="AN237" s="3" t="n"/>
      <c r="AO237" s="3" t="n"/>
      <c r="AP237" s="3" t="n"/>
      <c r="AQ237" s="3" t="n"/>
      <c r="AS237" s="3" t="n"/>
      <c r="AT237" s="3" t="n"/>
      <c r="AU237" s="3" t="n"/>
      <c r="AV237" s="3" t="n"/>
      <c r="AX237" s="3" t="n"/>
      <c r="AY237" s="3" t="n"/>
      <c r="AZ237" s="3" t="n"/>
      <c r="BA237" s="3" t="n"/>
      <c r="BC237" s="3" t="n"/>
      <c r="BD237" s="3" t="n"/>
      <c r="BE237" s="3" t="n"/>
      <c r="BF237" s="3" t="n"/>
      <c r="BH237" s="3" t="n"/>
      <c r="BI237" s="3" t="n"/>
      <c r="BJ237" s="3" t="n"/>
      <c r="BK237" s="3" t="n"/>
      <c r="BM237" s="3" t="n"/>
      <c r="BN237" s="3" t="n"/>
      <c r="BO237" s="3" t="n"/>
      <c r="BP237" s="3" t="n"/>
      <c r="BR237" s="3" t="n"/>
      <c r="BS237" s="3" t="n"/>
      <c r="BT237" s="3" t="n"/>
      <c r="BU237" s="3" t="n"/>
      <c r="BW237" s="3" t="n"/>
      <c r="BX237" s="3" t="n"/>
      <c r="BY237" s="3" t="n"/>
      <c r="BZ237" s="3" t="n"/>
      <c r="CB237" s="3" t="n"/>
      <c r="CC237" s="3" t="n"/>
      <c r="CD237" s="3" t="n"/>
      <c r="CE237" s="3" t="n"/>
      <c r="CG237" s="3" t="n"/>
      <c r="CH237" s="3" t="n"/>
      <c r="CI237" s="3" t="n"/>
      <c r="CJ237" s="3" t="n"/>
      <c r="CL237" s="3" t="n"/>
      <c r="CM237" s="3" t="n"/>
      <c r="CN237" s="3" t="n"/>
      <c r="CO237" s="3" t="n"/>
      <c r="CQ237" s="3" t="n"/>
      <c r="CR237" s="3" t="n"/>
      <c r="CS237" s="3" t="n"/>
      <c r="CT237" s="3" t="n"/>
      <c r="CV237" s="3" t="n"/>
      <c r="CW237" s="3" t="n"/>
      <c r="CX237" s="3" t="n"/>
      <c r="CY237" s="3" t="n"/>
    </row>
    <row r="238" hidden="1" outlineLevel="1">
      <c r="C238" s="34" t="inlineStr">
        <is>
          <t>Calculation of short term debt</t>
        </is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>Cash @ beginning of the period (end of last period)</t>
        </is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6">
        <f>AG154</f>
        <v>1801.712</v>
      </c>
      <c r="AI239" s="3" t="n"/>
      <c r="AJ239" s="3" t="n"/>
      <c r="AK239" s="3" t="n"/>
      <c r="AL239" s="3" t="n"/>
      <c r="AM239" s="36">
        <f>AL154</f>
        <v>6681.731</v>
      </c>
      <c r="AN239" s="3" t="n"/>
      <c r="AO239" s="3" t="n"/>
      <c r="AP239" s="3" t="n"/>
      <c r="AQ239" s="3" t="n"/>
      <c r="AR239" s="36" t="e">
        <f>AQ154</f>
        <v>#DIV/0!</v>
      </c>
      <c r="AS239" s="3" t="n"/>
      <c r="AT239" s="3" t="n"/>
      <c r="AU239" s="3" t="n"/>
      <c r="AV239" s="3" t="n"/>
      <c r="AW239" s="36" t="e">
        <f>AV154</f>
        <v>#DIV/0!</v>
      </c>
      <c r="AX239" s="3" t="n"/>
      <c r="AY239" s="3" t="n"/>
      <c r="AZ239" s="3" t="n"/>
      <c r="BA239" s="3" t="n"/>
      <c r="BB239" s="36" t="e">
        <f>BA154</f>
        <v>#DIV/0!</v>
      </c>
      <c r="BC239" s="3" t="n"/>
      <c r="BD239" s="3" t="n"/>
      <c r="BE239" s="3" t="n"/>
      <c r="BF239" s="3" t="n"/>
      <c r="BG239" s="36" t="e">
        <f>BF154</f>
        <v>#DIV/0!</v>
      </c>
      <c r="BH239" s="3" t="n"/>
      <c r="BI239" s="3" t="n"/>
      <c r="BJ239" s="3" t="n"/>
      <c r="BK239" s="3" t="n"/>
      <c r="BL239" s="36" t="e">
        <f>BK154</f>
        <v>#DIV/0!</v>
      </c>
      <c r="BM239" s="3" t="n"/>
      <c r="BN239" s="3" t="n"/>
      <c r="BO239" s="3" t="n"/>
      <c r="BP239" s="3" t="n"/>
      <c r="BQ239" s="36" t="e">
        <f>BP154</f>
        <v>#DIV/0!</v>
      </c>
      <c r="BR239" s="3" t="n"/>
      <c r="BS239" s="3" t="n"/>
      <c r="BT239" s="3" t="n"/>
      <c r="BU239" s="3" t="n"/>
      <c r="BV239" s="36" t="e">
        <f>BU154</f>
        <v>#DIV/0!</v>
      </c>
      <c r="BW239" s="3" t="n"/>
      <c r="BX239" s="3" t="n"/>
      <c r="BY239" s="3" t="n"/>
      <c r="BZ239" s="3" t="n"/>
      <c r="CA239" s="36" t="e">
        <f>BZ154</f>
        <v>#DIV/0!</v>
      </c>
      <c r="CB239" s="3" t="n"/>
      <c r="CC239" s="3" t="n"/>
      <c r="CD239" s="3" t="n"/>
      <c r="CE239" s="3" t="n"/>
      <c r="CF239" s="36" t="e">
        <f>CE154</f>
        <v>#DIV/0!</v>
      </c>
      <c r="CG239" s="3" t="n"/>
      <c r="CH239" s="3" t="n"/>
      <c r="CI239" s="3" t="n"/>
      <c r="CJ239" s="3" t="n"/>
      <c r="CK239" s="36" t="e">
        <f>CJ154</f>
        <v>#DIV/0!</v>
      </c>
      <c r="CL239" s="3" t="n"/>
      <c r="CM239" s="3" t="n"/>
      <c r="CN239" s="3" t="n"/>
      <c r="CO239" s="3" t="n"/>
      <c r="CP239" s="36" t="e">
        <f>CO154</f>
        <v>#DIV/0!</v>
      </c>
      <c r="CQ239" s="3" t="n"/>
      <c r="CR239" s="3" t="n"/>
      <c r="CS239" s="3" t="n"/>
      <c r="CT239" s="3" t="n"/>
      <c r="CU239" s="36" t="e">
        <f>CT154</f>
        <v>#DIV/0!</v>
      </c>
      <c r="CV239" s="3" t="n"/>
      <c r="CW239" s="3" t="n"/>
      <c r="CX239" s="3" t="n"/>
      <c r="CY239" s="3" t="n"/>
    </row>
    <row r="240" hidden="1" outlineLevel="1">
      <c r="C240" s="34" t="inlineStr">
        <is>
          <t>Plus: Free cash flows prior to debt during period</t>
        </is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inlineStr">
        <is>
          <t>% of sales</t>
        </is>
      </c>
      <c r="AH240" s="37">
        <f>SUM(AH303,AH310)+SUM(AH312:AH318)</f>
        <v>270.489</v>
      </c>
      <c r="AI240" s="37">
        <f>SUM(AI303,AI310)+SUM(AI312:AI318)</f>
        <v>-544.033</v>
      </c>
      <c r="AJ240" s="37">
        <f>SUM(AJ303,AJ310)+SUM(AJ312:AJ318)</f>
        <v>4959.366</v>
      </c>
      <c r="AK240" s="37">
        <f>SUM(AK303,AK310)+SUM(AK312:AK318)</f>
        <v>90.7749999999999</v>
      </c>
      <c r="AL240" s="3" t="n"/>
      <c r="AM240" s="37" t="e">
        <f>SUM(AM303,AM310)+SUM(AM312:AM318)</f>
        <v>#DIV/0!</v>
      </c>
      <c r="AN240" s="37" t="e">
        <f>SUM(AN303,AN310)+SUM(AN312:AN318)</f>
        <v>#DIV/0!</v>
      </c>
      <c r="AO240" s="37" t="e">
        <f>SUM(AO303,AO310)+SUM(AO312:AO318)</f>
        <v>#DIV/0!</v>
      </c>
      <c r="AP240" s="37" t="e">
        <f>SUM(AP303,AP310)+SUM(AP312:AP318)</f>
        <v>#DIV/0!</v>
      </c>
      <c r="AQ240" s="3" t="n"/>
      <c r="AR240" s="37" t="e">
        <f>SUM(AR303,AR310)+SUM(AR312:AR318)</f>
        <v>#DIV/0!</v>
      </c>
      <c r="AS240" s="37" t="e">
        <f>SUM(AS303,AS310)+SUM(AS312:AS318)</f>
        <v>#DIV/0!</v>
      </c>
      <c r="AT240" s="37" t="e">
        <f>SUM(AT303,AT310)+SUM(AT312:AT318)</f>
        <v>#DIV/0!</v>
      </c>
      <c r="AU240" s="37" t="e">
        <f>SUM(AU303,AU310)+SUM(AU312:AU318)</f>
        <v>#DIV/0!</v>
      </c>
      <c r="AV240" s="3" t="n"/>
      <c r="AW240" s="37" t="e">
        <f>SUM(AW303,AW310)+SUM(AW312:AW318)</f>
        <v>#DIV/0!</v>
      </c>
      <c r="AX240" s="37" t="e">
        <f>SUM(AX303,AX310)+SUM(AX312:AX318)</f>
        <v>#DIV/0!</v>
      </c>
      <c r="AY240" s="37" t="e">
        <f>SUM(AY303,AY310)+SUM(AY312:AY318)</f>
        <v>#DIV/0!</v>
      </c>
      <c r="AZ240" s="37" t="e">
        <f>SUM(AZ303,AZ310)+SUM(AZ312:AZ318)</f>
        <v>#DIV/0!</v>
      </c>
      <c r="BA240" s="3" t="n"/>
      <c r="BB240" s="37" t="e">
        <f>SUM(BB303,BB310)+SUM(BB312:BB318)</f>
        <v>#DIV/0!</v>
      </c>
      <c r="BC240" s="37" t="e">
        <f>SUM(BC303,BC310)+SUM(BC312:BC318)</f>
        <v>#DIV/0!</v>
      </c>
      <c r="BD240" s="37" t="e">
        <f>SUM(BD303,BD310)+SUM(BD312:BD318)</f>
        <v>#DIV/0!</v>
      </c>
      <c r="BE240" s="37" t="e">
        <f>SUM(BE303,BE310)+SUM(BE312:BE318)</f>
        <v>#DIV/0!</v>
      </c>
      <c r="BF240" s="3" t="n"/>
      <c r="BG240" s="37" t="e">
        <f>SUM(BG303,BG310)+SUM(BG312:BG318)</f>
        <v>#DIV/0!</v>
      </c>
      <c r="BH240" s="37" t="e">
        <f>SUM(BH303,BH310)+SUM(BH312:BH318)</f>
        <v>#DIV/0!</v>
      </c>
      <c r="BI240" s="37" t="e">
        <f>SUM(BI303,BI310)+SUM(BI312:BI318)</f>
        <v>#DIV/0!</v>
      </c>
      <c r="BJ240" s="37" t="e">
        <f>SUM(BJ303,BJ310)+SUM(BJ312:BJ318)</f>
        <v>#DIV/0!</v>
      </c>
      <c r="BK240" s="3" t="n"/>
      <c r="BL240" s="37" t="e">
        <f>SUM(BL303,BL310)+SUM(BL312:BL318)</f>
        <v>#DIV/0!</v>
      </c>
      <c r="BM240" s="37" t="e">
        <f>SUM(BM303,BM310)+SUM(BM312:BM318)</f>
        <v>#DIV/0!</v>
      </c>
      <c r="BN240" s="37" t="e">
        <f>SUM(BN303,BN310)+SUM(BN312:BN318)</f>
        <v>#DIV/0!</v>
      </c>
      <c r="BO240" s="37" t="e">
        <f>SUM(BO303,BO310)+SUM(BO312:BO318)</f>
        <v>#DIV/0!</v>
      </c>
      <c r="BP240" s="3" t="n"/>
      <c r="BQ240" s="37" t="e">
        <f>SUM(BQ303,BQ310)+SUM(BQ312:BQ318)</f>
        <v>#DIV/0!</v>
      </c>
      <c r="BR240" s="37" t="e">
        <f>SUM(BR303,BR310)+SUM(BR312:BR318)</f>
        <v>#DIV/0!</v>
      </c>
      <c r="BS240" s="37" t="e">
        <f>SUM(BS303,BS310)+SUM(BS312:BS318)</f>
        <v>#DIV/0!</v>
      </c>
      <c r="BT240" s="37" t="e">
        <f>SUM(BT303,BT310)+SUM(BT312:BT318)</f>
        <v>#DIV/0!</v>
      </c>
      <c r="BU240" s="3" t="n"/>
      <c r="BV240" s="37" t="e">
        <f>SUM(BV303,BV310)+SUM(BV312:BV318)</f>
        <v>#DIV/0!</v>
      </c>
      <c r="BW240" s="37" t="e">
        <f>SUM(BW303,BW310)+SUM(BW312:BW318)</f>
        <v>#DIV/0!</v>
      </c>
      <c r="BX240" s="37" t="e">
        <f>SUM(BX303,BX310)+SUM(BX312:BX318)</f>
        <v>#DIV/0!</v>
      </c>
      <c r="BY240" s="37" t="e">
        <f>SUM(BY303,BY310)+SUM(BY312:BY318)</f>
        <v>#DIV/0!</v>
      </c>
      <c r="BZ240" s="3" t="n"/>
      <c r="CA240" s="37" t="e">
        <f>SUM(CA303,CA310)+SUM(CA312:CA318)</f>
        <v>#DIV/0!</v>
      </c>
      <c r="CB240" s="37" t="e">
        <f>SUM(CB303,CB310)+SUM(CB312:CB318)</f>
        <v>#DIV/0!</v>
      </c>
      <c r="CC240" s="37" t="e">
        <f>SUM(CC303,CC310)+SUM(CC312:CC318)</f>
        <v>#DIV/0!</v>
      </c>
      <c r="CD240" s="37" t="e">
        <f>SUM(CD303,CD310)+SUM(CD312:CD318)</f>
        <v>#DIV/0!</v>
      </c>
      <c r="CE240" s="3" t="n"/>
      <c r="CF240" s="37" t="e">
        <f>SUM(CF303,CF310)+SUM(CF312:CF318)</f>
        <v>#DIV/0!</v>
      </c>
      <c r="CG240" s="37" t="e">
        <f>SUM(CG303,CG310)+SUM(CG312:CG318)</f>
        <v>#DIV/0!</v>
      </c>
      <c r="CH240" s="37" t="e">
        <f>SUM(CH303,CH310)+SUM(CH312:CH318)</f>
        <v>#DIV/0!</v>
      </c>
      <c r="CI240" s="37" t="e">
        <f>SUM(CI303,CI310)+SUM(CI312:CI318)</f>
        <v>#DIV/0!</v>
      </c>
      <c r="CJ240" s="3" t="n"/>
      <c r="CK240" s="37" t="e">
        <f>SUM(CK303,CK310)+SUM(CK312:CK318)</f>
        <v>#DIV/0!</v>
      </c>
      <c r="CL240" s="37" t="e">
        <f>SUM(CL303,CL310)+SUM(CL312:CL318)</f>
        <v>#DIV/0!</v>
      </c>
      <c r="CM240" s="37" t="e">
        <f>SUM(CM303,CM310)+SUM(CM312:CM318)</f>
        <v>#DIV/0!</v>
      </c>
      <c r="CN240" s="37" t="e">
        <f>SUM(CN303,CN310)+SUM(CN312:CN318)</f>
        <v>#DIV/0!</v>
      </c>
      <c r="CO240" s="3" t="n"/>
      <c r="CP240" s="37" t="e">
        <f>SUM(CP303,CP310)+SUM(CP312:CP318)</f>
        <v>#DIV/0!</v>
      </c>
      <c r="CQ240" s="37" t="e">
        <f>SUM(CQ303,CQ310)+SUM(CQ312:CQ318)</f>
        <v>#DIV/0!</v>
      </c>
      <c r="CR240" s="37" t="e">
        <f>SUM(CR303,CR310)+SUM(CR312:CR318)</f>
        <v>#DIV/0!</v>
      </c>
      <c r="CS240" s="37" t="e">
        <f>SUM(CS303,CS310)+SUM(CS312:CS318)</f>
        <v>#DIV/0!</v>
      </c>
      <c r="CT240" s="3" t="n"/>
      <c r="CU240" s="37" t="e">
        <f>SUM(CU303,CU310)+SUM(CU312:CU318)</f>
        <v>#DIV/0!</v>
      </c>
      <c r="CV240" s="37" t="e">
        <f>SUM(CV303,CV310)+SUM(CV312:CV318)</f>
        <v>#DIV/0!</v>
      </c>
      <c r="CW240" s="37" t="e">
        <f>SUM(CW303,CW310)+SUM(CW312:CW318)</f>
        <v>#DIV/0!</v>
      </c>
      <c r="CX240" s="37" t="e">
        <f>SUM(CX303,CX310)+SUM(CX312:CX318)</f>
        <v>#DIV/0!</v>
      </c>
      <c r="CY240" s="3" t="n"/>
    </row>
    <row r="241" hidden="1" outlineLevel="1">
      <c r="C241" s="34" t="inlineStr">
        <is>
          <t>Less: Minimum cash balance</t>
        </is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250" t="n"/>
      <c r="AH241" s="3">
        <f>($AG$241*AH15)</f>
        <v>0</v>
      </c>
      <c r="AI241" s="3">
        <f>($AG$241*AI15)</f>
        <v>0</v>
      </c>
      <c r="AJ241" s="3">
        <f>($AG$241*AJ15)</f>
        <v>0</v>
      </c>
      <c r="AK241" s="3">
        <f>($AG$241*AK15)</f>
        <v>0</v>
      </c>
      <c r="AL241" s="3" t="n"/>
      <c r="AM241" s="3">
        <f>($AG$241*AM15)</f>
        <v>0</v>
      </c>
      <c r="AN241" s="3">
        <f>($AG$241*AN15)</f>
        <v>0</v>
      </c>
      <c r="AO241" s="3">
        <f>($AG$241*AO15)</f>
        <v>0</v>
      </c>
      <c r="AP241" s="3">
        <f>($AG$241*AP15)</f>
        <v>0</v>
      </c>
      <c r="AQ241" s="3" t="n"/>
      <c r="AR241" s="3">
        <f>($AG$241*AR15)</f>
        <v>0</v>
      </c>
      <c r="AS241" s="3">
        <f>($AG$241*AS15)</f>
        <v>0</v>
      </c>
      <c r="AT241" s="3">
        <f>($AG$241*AT15)</f>
        <v>0</v>
      </c>
      <c r="AU241" s="3">
        <f>($AG$241*AU15)</f>
        <v>0</v>
      </c>
      <c r="AV241" s="3" t="n"/>
      <c r="AW241" s="3">
        <f>($AG$241*AW15)</f>
        <v>0</v>
      </c>
      <c r="AX241" s="3">
        <f>($AG$241*AX15)</f>
        <v>0</v>
      </c>
      <c r="AY241" s="3">
        <f>($AG$241*AY15)</f>
        <v>0</v>
      </c>
      <c r="AZ241" s="3">
        <f>($AG$241*AZ15)</f>
        <v>0</v>
      </c>
      <c r="BA241" s="3" t="n"/>
      <c r="BB241" s="3">
        <f>($AG$241*BB15)</f>
        <v>0</v>
      </c>
      <c r="BC241" s="3">
        <f>($AG$241*BC15)</f>
        <v>0</v>
      </c>
      <c r="BD241" s="3">
        <f>($AG$241*BD15)</f>
        <v>0</v>
      </c>
      <c r="BE241" s="3">
        <f>($AG$241*BE15)</f>
        <v>0</v>
      </c>
      <c r="BF241" s="3" t="n"/>
      <c r="BG241" s="3">
        <f>($AG$241*BG15)</f>
        <v>0</v>
      </c>
      <c r="BH241" s="3">
        <f>($AG$241*BH15)</f>
        <v>0</v>
      </c>
      <c r="BI241" s="3">
        <f>($AG$241*BI15)</f>
        <v>0</v>
      </c>
      <c r="BJ241" s="3">
        <f>($AG$241*BJ15)</f>
        <v>0</v>
      </c>
      <c r="BK241" s="3" t="n"/>
      <c r="BL241" s="3">
        <f>($AG$241*BL15)</f>
        <v>0</v>
      </c>
      <c r="BM241" s="3">
        <f>($AG$241*BM15)</f>
        <v>0</v>
      </c>
      <c r="BN241" s="3">
        <f>($AG$241*BN15)</f>
        <v>0</v>
      </c>
      <c r="BO241" s="3">
        <f>($AG$241*BO15)</f>
        <v>0</v>
      </c>
      <c r="BP241" s="3" t="n"/>
      <c r="BQ241" s="3">
        <f>($AG$241*BQ15)</f>
        <v>0</v>
      </c>
      <c r="BR241" s="3">
        <f>($AG$241*BR15)</f>
        <v>0</v>
      </c>
      <c r="BS241" s="3">
        <f>($AG$241*BS15)</f>
        <v>0</v>
      </c>
      <c r="BT241" s="3">
        <f>($AG$241*BT15)</f>
        <v>0</v>
      </c>
      <c r="BU241" s="3" t="n"/>
      <c r="BV241" s="3">
        <f>($AG$241*BV15)</f>
        <v>0</v>
      </c>
      <c r="BW241" s="3">
        <f>($AG$241*BW15)</f>
        <v>0</v>
      </c>
      <c r="BX241" s="3">
        <f>($AG$241*BX15)</f>
        <v>0</v>
      </c>
      <c r="BY241" s="3">
        <f>($AG$241*BY15)</f>
        <v>0</v>
      </c>
      <c r="BZ241" s="3" t="n"/>
      <c r="CA241" s="3">
        <f>($AG$241*CA15)</f>
        <v>0</v>
      </c>
      <c r="CB241" s="3">
        <f>($AG$241*CB15)</f>
        <v>0</v>
      </c>
      <c r="CC241" s="3">
        <f>($AG$241*CC15)</f>
        <v>0</v>
      </c>
      <c r="CD241" s="3">
        <f>($AG$241*CD15)</f>
        <v>0</v>
      </c>
      <c r="CE241" s="3" t="n"/>
      <c r="CF241" s="3">
        <f>($AG$241*CF15)</f>
        <v>0</v>
      </c>
      <c r="CG241" s="3">
        <f>($AG$241*CG15)</f>
        <v>0</v>
      </c>
      <c r="CH241" s="3">
        <f>($AG$241*CH15)</f>
        <v>0</v>
      </c>
      <c r="CI241" s="3">
        <f>($AG$241*CI15)</f>
        <v>0</v>
      </c>
      <c r="CJ241" s="3" t="n"/>
      <c r="CK241" s="3">
        <f>($AG$241*CK15)</f>
        <v>0</v>
      </c>
      <c r="CL241" s="3">
        <f>($AG$241*CL15)</f>
        <v>0</v>
      </c>
      <c r="CM241" s="3">
        <f>($AG$241*CM15)</f>
        <v>0</v>
      </c>
      <c r="CN241" s="3">
        <f>($AG$241*CN15)</f>
        <v>0</v>
      </c>
      <c r="CO241" s="3" t="n"/>
      <c r="CP241" s="3">
        <f>($AG$241*CP15)</f>
        <v>0</v>
      </c>
      <c r="CQ241" s="3">
        <f>($AG$241*CQ15)</f>
        <v>0</v>
      </c>
      <c r="CR241" s="3">
        <f>($AG$241*CR15)</f>
        <v>0</v>
      </c>
      <c r="CS241" s="3">
        <f>($AG$241*CS15)</f>
        <v>0</v>
      </c>
      <c r="CT241" s="3" t="n"/>
      <c r="CU241" s="3">
        <f>($AG$241*CU15)</f>
        <v>0</v>
      </c>
      <c r="CV241" s="3">
        <f>($AG$241*CV15)</f>
        <v>0</v>
      </c>
      <c r="CW241" s="3">
        <f>($AG$241*CW15)</f>
        <v>0</v>
      </c>
      <c r="CX241" s="3">
        <f>($AG$241*CX15)</f>
        <v>0</v>
      </c>
      <c r="CY241" s="3" t="n"/>
    </row>
    <row r="242" hidden="1" outlineLevel="1">
      <c r="C242" s="34" t="inlineStr">
        <is>
          <t>Total cash available / (debt required) for short term debt paydown</t>
        </is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1">
        <f>AH239+AH240-AH241-AF229+AH231+AH235</f>
        <v>2072.201</v>
      </c>
      <c r="AI242" s="1">
        <f>AI239+AI240-AI241-AG229+AI231+AI235</f>
        <v>-544.033</v>
      </c>
      <c r="AJ242" s="1">
        <f>AJ239+AJ240-AJ241-AH229+AJ231+AJ235</f>
        <v>3754.629</v>
      </c>
      <c r="AK242" s="1">
        <f>AK239+AK240-AK241-AI229+AK231+AK235</f>
        <v>90.7749999999999</v>
      </c>
      <c r="AL242" s="3" t="n"/>
      <c r="AM242" s="1" t="e">
        <f>AM239+AM240-AM241-AK229+AM231+AM235</f>
        <v>#DIV/0!</v>
      </c>
      <c r="AN242" s="1" t="e">
        <f>AN239+AN240-AN241-AL229+AN231+AN235</f>
        <v>#DIV/0!</v>
      </c>
      <c r="AO242" s="1" t="e">
        <f>AO239+AO240-AO241-AM229+AO231+AO235</f>
        <v>#DIV/0!</v>
      </c>
      <c r="AP242" s="1" t="e">
        <f>AP239+AP240-AP241-AN229+AP231+AP235</f>
        <v>#DIV/0!</v>
      </c>
      <c r="AQ242" s="3" t="n"/>
      <c r="AR242" s="1" t="e">
        <f>AR239+AR240-AR241-AP229+AR231+AR235</f>
        <v>#DIV/0!</v>
      </c>
      <c r="AS242" s="1" t="e">
        <f>AS239+AS240-AS241-AQ229+AS231+AS235</f>
        <v>#DIV/0!</v>
      </c>
      <c r="AT242" s="1" t="e">
        <f>AT239+AT240-AT241-AR229+AT231+AT235</f>
        <v>#DIV/0!</v>
      </c>
      <c r="AU242" s="1" t="e">
        <f>AU239+AU240-AU241-AS229+AU231+AU235</f>
        <v>#DIV/0!</v>
      </c>
      <c r="AV242" s="3" t="n"/>
      <c r="AW242" s="1" t="e">
        <f>AW239+AW240-AW241-AU229+AW231+AW235</f>
        <v>#DIV/0!</v>
      </c>
      <c r="AX242" s="1" t="e">
        <f>AX239+AX240-AX241-AV229+AX231+AX235</f>
        <v>#DIV/0!</v>
      </c>
      <c r="AY242" s="1" t="e">
        <f>AY239+AY240-AY241-AW229+AY231+AY235</f>
        <v>#DIV/0!</v>
      </c>
      <c r="AZ242" s="1" t="e">
        <f>AZ239+AZ240-AZ241-AX229+AZ231+AZ235</f>
        <v>#DIV/0!</v>
      </c>
      <c r="BA242" s="3" t="n"/>
      <c r="BB242" s="1" t="e">
        <f>BB239+BB240-BB241-AZ229+BB231+BB235</f>
        <v>#DIV/0!</v>
      </c>
      <c r="BC242" s="1" t="e">
        <f>BC239+BC240-BC241-BA229+BC231+BC235</f>
        <v>#DIV/0!</v>
      </c>
      <c r="BD242" s="1" t="e">
        <f>BD239+BD240-BD241-BB229+BD231+BD235</f>
        <v>#DIV/0!</v>
      </c>
      <c r="BE242" s="1" t="e">
        <f>BE239+BE240-BE241-BC229+BE231+BE235</f>
        <v>#DIV/0!</v>
      </c>
      <c r="BF242" s="3" t="n"/>
      <c r="BG242" s="1" t="e">
        <f>BG239+BG240-BG241-BE229+BG231+BG235</f>
        <v>#DIV/0!</v>
      </c>
      <c r="BH242" s="1" t="e">
        <f>BH239+BH240-BH241-BF229+BH231+BH235</f>
        <v>#DIV/0!</v>
      </c>
      <c r="BI242" s="1" t="e">
        <f>BI239+BI240-BI241-BG229+BI231+BI235</f>
        <v>#DIV/0!</v>
      </c>
      <c r="BJ242" s="1" t="e">
        <f>BJ239+BJ240-BJ241-BH229+BJ231+BJ235</f>
        <v>#DIV/0!</v>
      </c>
      <c r="BK242" s="3" t="n"/>
      <c r="BL242" s="1" t="e">
        <f>BL239+BL240-BL241-BJ229+BL231+BL235</f>
        <v>#DIV/0!</v>
      </c>
      <c r="BM242" s="1" t="e">
        <f>BM239+BM240-BM241-BK229+BM231+BM235</f>
        <v>#DIV/0!</v>
      </c>
      <c r="BN242" s="1" t="e">
        <f>BN239+BN240-BN241-BL229+BN231+BN235</f>
        <v>#DIV/0!</v>
      </c>
      <c r="BO242" s="1" t="e">
        <f>BO239+BO240-BO241-BM229+BO231+BO235</f>
        <v>#DIV/0!</v>
      </c>
      <c r="BP242" s="3" t="n"/>
      <c r="BQ242" s="1" t="e">
        <f>BQ239+BQ240-BQ241-BO229+BQ231+BQ235</f>
        <v>#DIV/0!</v>
      </c>
      <c r="BR242" s="1" t="e">
        <f>BR239+BR240-BR241-BP229+BR231+BR235</f>
        <v>#DIV/0!</v>
      </c>
      <c r="BS242" s="1" t="e">
        <f>BS239+BS240-BS241-BQ229+BS231+BS235</f>
        <v>#DIV/0!</v>
      </c>
      <c r="BT242" s="1" t="e">
        <f>BT239+BT240-BT241-BR229+BT231+BT235</f>
        <v>#DIV/0!</v>
      </c>
      <c r="BU242" s="3" t="n"/>
      <c r="BV242" s="1" t="e">
        <f>BV239+BV240-BV241-BT229+BV231+BV235</f>
        <v>#DIV/0!</v>
      </c>
      <c r="BW242" s="1" t="e">
        <f>BW239+BW240-BW241-BU229+BW231+BW235</f>
        <v>#DIV/0!</v>
      </c>
      <c r="BX242" s="1" t="e">
        <f>BX239+BX240-BX241-BV229+BX231+BX235</f>
        <v>#DIV/0!</v>
      </c>
      <c r="BY242" s="1" t="e">
        <f>BY239+BY240-BY241-BW229+BY231+BY235</f>
        <v>#DIV/0!</v>
      </c>
      <c r="BZ242" s="3" t="n"/>
      <c r="CA242" s="1" t="e">
        <f>CA239+CA240-CA241-BY229+CA231+CA235</f>
        <v>#DIV/0!</v>
      </c>
      <c r="CB242" s="1" t="e">
        <f>CB239+CB240-CB241-BZ229+CB231+CB235</f>
        <v>#DIV/0!</v>
      </c>
      <c r="CC242" s="1" t="e">
        <f>CC239+CC240-CC241-CA229+CC231+CC235</f>
        <v>#DIV/0!</v>
      </c>
      <c r="CD242" s="1" t="e">
        <f>CD239+CD240-CD241-CB229+CD231+CD235</f>
        <v>#DIV/0!</v>
      </c>
      <c r="CE242" s="3" t="n"/>
      <c r="CF242" s="1" t="e">
        <f>CF239+CF240-CF241-CD229+CF231+CF235</f>
        <v>#DIV/0!</v>
      </c>
      <c r="CG242" s="1" t="e">
        <f>CG239+CG240-CG241-CE229+CG231+CG235</f>
        <v>#DIV/0!</v>
      </c>
      <c r="CH242" s="1" t="e">
        <f>CH239+CH240-CH241-CF229+CH231+CH235</f>
        <v>#DIV/0!</v>
      </c>
      <c r="CI242" s="1" t="e">
        <f>CI239+CI240-CI241-CG229+CI231+CI235</f>
        <v>#DIV/0!</v>
      </c>
      <c r="CJ242" s="3" t="n"/>
      <c r="CK242" s="1" t="e">
        <f>CK239+CK240-CK241-CI229+CK231+CK235</f>
        <v>#DIV/0!</v>
      </c>
      <c r="CL242" s="1" t="e">
        <f>CL239+CL240-CL241-CJ229+CL231+CL235</f>
        <v>#DIV/0!</v>
      </c>
      <c r="CM242" s="1" t="e">
        <f>CM239+CM240-CM241-CK229+CM231+CM235</f>
        <v>#DIV/0!</v>
      </c>
      <c r="CN242" s="1" t="e">
        <f>CN239+CN240-CN241-CL229+CN231+CN235</f>
        <v>#DIV/0!</v>
      </c>
      <c r="CO242" s="3" t="n"/>
      <c r="CP242" s="1" t="e">
        <f>CP239+CP240-CP241-CN229+CP231+CP235</f>
        <v>#DIV/0!</v>
      </c>
      <c r="CQ242" s="1" t="e">
        <f>CQ239+CQ240-CQ241-CO229+CQ231+CQ235</f>
        <v>#DIV/0!</v>
      </c>
      <c r="CR242" s="1" t="e">
        <f>CR239+CR240-CR241-CP229+CR231+CR235</f>
        <v>#DIV/0!</v>
      </c>
      <c r="CS242" s="1" t="e">
        <f>CS239+CS240-CS241-CQ229+CS231+CS235</f>
        <v>#DIV/0!</v>
      </c>
      <c r="CT242" s="3" t="n"/>
      <c r="CU242" s="1" t="e">
        <f>CU239+CU240-CU241-CS229+CU231+CU235</f>
        <v>#DIV/0!</v>
      </c>
      <c r="CV242" s="1" t="e">
        <f>CV239+CV240-CV241-CT229+CV231+CV235</f>
        <v>#DIV/0!</v>
      </c>
      <c r="CW242" s="1" t="e">
        <f>CW239+CW240-CW241-CU229+CW231+CW235</f>
        <v>#DIV/0!</v>
      </c>
      <c r="CX242" s="1" t="e">
        <f>CX239+CX240-CX241-CV229+CX231+CX235</f>
        <v>#DIV/0!</v>
      </c>
      <c r="CY242" s="3" t="n"/>
    </row>
    <row r="243" hidden="1" outlineLevel="1">
      <c r="C243" s="34" t="inlineStr">
        <is>
          <t>Short term debt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>
        <f>AH223</f>
        <v>0</v>
      </c>
      <c r="AI243" s="3">
        <f>MAX(0,AH243-AI242)</f>
        <v>544.033</v>
      </c>
      <c r="AJ243" s="3">
        <f>MAX(0,AI243-AJ242)</f>
        <v>0</v>
      </c>
      <c r="AK243" s="3">
        <f>MAX(0,AJ243-AK242)</f>
        <v>0</v>
      </c>
      <c r="AL243" s="3" t="n"/>
      <c r="AM243" s="3">
        <f>AM223</f>
        <v>0</v>
      </c>
      <c r="AN243" s="3" t="e">
        <f>MAX(0,AM243-AN242)</f>
        <v>#DIV/0!</v>
      </c>
      <c r="AO243" s="3" t="e">
        <f>MAX(0,AN243-AO242)</f>
        <v>#DIV/0!</v>
      </c>
      <c r="AP243" s="3" t="e">
        <f>MAX(0,AO243-AP242)</f>
        <v>#DIV/0!</v>
      </c>
      <c r="AQ243" s="3" t="n"/>
      <c r="AR243" s="3">
        <f>AR223</f>
        <v>0</v>
      </c>
      <c r="AS243" s="3" t="e">
        <f>MAX(0,AR243-AS242)</f>
        <v>#DIV/0!</v>
      </c>
      <c r="AT243" s="3" t="e">
        <f>MAX(0,AS243-AT242)</f>
        <v>#DIV/0!</v>
      </c>
      <c r="AU243" s="3" t="e">
        <f>MAX(0,AT243-AU242)</f>
        <v>#DIV/0!</v>
      </c>
      <c r="AV243" s="3" t="n"/>
      <c r="AW243" s="3">
        <f>AW223</f>
        <v>0</v>
      </c>
      <c r="AX243" s="3" t="e">
        <f>MAX(0,AW243-AX242)</f>
        <v>#DIV/0!</v>
      </c>
      <c r="AY243" s="3" t="e">
        <f>MAX(0,AX243-AY242)</f>
        <v>#DIV/0!</v>
      </c>
      <c r="AZ243" s="3" t="e">
        <f>MAX(0,AY243-AZ242)</f>
        <v>#DIV/0!</v>
      </c>
      <c r="BA243" s="3" t="n"/>
      <c r="BB243" s="3">
        <f>BB223</f>
        <v>0</v>
      </c>
      <c r="BC243" s="3" t="e">
        <f>MAX(0,BB243-BC242)</f>
        <v>#DIV/0!</v>
      </c>
      <c r="BD243" s="3" t="e">
        <f>MAX(0,BC243-BD242)</f>
        <v>#DIV/0!</v>
      </c>
      <c r="BE243" s="3" t="e">
        <f>MAX(0,BD243-BE242)</f>
        <v>#DIV/0!</v>
      </c>
      <c r="BF243" s="3" t="n"/>
      <c r="BG243" s="3">
        <f>BG223</f>
        <v>0</v>
      </c>
      <c r="BH243" s="3" t="e">
        <f>MAX(0,BG243-BH242)</f>
        <v>#DIV/0!</v>
      </c>
      <c r="BI243" s="3" t="e">
        <f>MAX(0,BH243-BI242)</f>
        <v>#DIV/0!</v>
      </c>
      <c r="BJ243" s="3" t="e">
        <f>MAX(0,BI243-BJ242)</f>
        <v>#DIV/0!</v>
      </c>
      <c r="BK243" s="3" t="n"/>
      <c r="BL243" s="3">
        <f>BL223</f>
        <v>0</v>
      </c>
      <c r="BM243" s="3" t="e">
        <f>MAX(0,BL243-BM242)</f>
        <v>#DIV/0!</v>
      </c>
      <c r="BN243" s="3" t="e">
        <f>MAX(0,BM243-BN242)</f>
        <v>#DIV/0!</v>
      </c>
      <c r="BO243" s="3" t="e">
        <f>MAX(0,BN243-BO242)</f>
        <v>#DIV/0!</v>
      </c>
      <c r="BP243" s="3" t="n"/>
      <c r="BQ243" s="3">
        <f>BQ223</f>
        <v>0</v>
      </c>
      <c r="BR243" s="3" t="e">
        <f>MAX(0,BQ243-BR242)</f>
        <v>#DIV/0!</v>
      </c>
      <c r="BS243" s="3" t="e">
        <f>MAX(0,BR243-BS242)</f>
        <v>#DIV/0!</v>
      </c>
      <c r="BT243" s="3" t="e">
        <f>MAX(0,BS243-BT242)</f>
        <v>#DIV/0!</v>
      </c>
      <c r="BU243" s="3" t="n"/>
      <c r="BV243" s="3">
        <f>BV223</f>
        <v>0</v>
      </c>
      <c r="BW243" s="3" t="e">
        <f>MAX(0,BV243-BW242)</f>
        <v>#DIV/0!</v>
      </c>
      <c r="BX243" s="3" t="e">
        <f>MAX(0,BW243-BX242)</f>
        <v>#DIV/0!</v>
      </c>
      <c r="BY243" s="3" t="e">
        <f>MAX(0,BX243-BY242)</f>
        <v>#DIV/0!</v>
      </c>
      <c r="BZ243" s="3" t="n"/>
      <c r="CA243" s="3">
        <f>CA223</f>
        <v>0</v>
      </c>
      <c r="CB243" s="3" t="e">
        <f>MAX(0,CA243-CB242)</f>
        <v>#DIV/0!</v>
      </c>
      <c r="CC243" s="3" t="e">
        <f>MAX(0,CB243-CC242)</f>
        <v>#DIV/0!</v>
      </c>
      <c r="CD243" s="3" t="e">
        <f>MAX(0,CC243-CD242)</f>
        <v>#DIV/0!</v>
      </c>
      <c r="CE243" s="3" t="n"/>
      <c r="CF243" s="3">
        <f>CF223</f>
        <v>0</v>
      </c>
      <c r="CG243" s="3" t="e">
        <f>MAX(0,CF243-CG242)</f>
        <v>#DIV/0!</v>
      </c>
      <c r="CH243" s="3" t="e">
        <f>MAX(0,CG243-CH242)</f>
        <v>#DIV/0!</v>
      </c>
      <c r="CI243" s="3" t="e">
        <f>MAX(0,CH243-CI242)</f>
        <v>#DIV/0!</v>
      </c>
      <c r="CJ243" s="3" t="n"/>
      <c r="CK243" s="3">
        <f>CK223</f>
        <v>0</v>
      </c>
      <c r="CL243" s="3" t="e">
        <f>MAX(0,CK243-CL242)</f>
        <v>#DIV/0!</v>
      </c>
      <c r="CM243" s="3" t="e">
        <f>MAX(0,CL243-CM242)</f>
        <v>#DIV/0!</v>
      </c>
      <c r="CN243" s="3" t="e">
        <f>MAX(0,CM243-CN242)</f>
        <v>#DIV/0!</v>
      </c>
      <c r="CO243" s="3" t="n"/>
      <c r="CP243" s="3">
        <f>CP223</f>
        <v>0</v>
      </c>
      <c r="CQ243" s="3" t="e">
        <f>MAX(0,CP243-CQ242)</f>
        <v>#DIV/0!</v>
      </c>
      <c r="CR243" s="3" t="e">
        <f>MAX(0,CQ243-CR242)</f>
        <v>#DIV/0!</v>
      </c>
      <c r="CS243" s="3" t="e">
        <f>MAX(0,CR243-CS242)</f>
        <v>#DIV/0!</v>
      </c>
      <c r="CT243" s="3" t="n"/>
      <c r="CU243" s="3">
        <f>CU223</f>
        <v>0</v>
      </c>
      <c r="CV243" s="3" t="e">
        <f>MAX(0,CU243-CV242)</f>
        <v>#DIV/0!</v>
      </c>
      <c r="CW243" s="3" t="e">
        <f>MAX(0,CV243-CW242)</f>
        <v>#DIV/0!</v>
      </c>
      <c r="CX243" s="3" t="e">
        <f>MAX(0,CW243-CX242)</f>
        <v>#DIV/0!</v>
      </c>
      <c r="CY243" s="3" t="n"/>
    </row>
    <row r="244" hidden="1" outlineLevel="1">
      <c r="C244" s="34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collapsed="1">
      <c r="C245" s="26" t="inlineStr">
        <is>
          <t>Long term operating leases</t>
        </is>
      </c>
      <c r="D245" s="25" t="e">
        <f>INDEX('Inputs (2)'!$D$36:$AL$36,MATCH(D$7,'Inputs (2)'!$D$2:$AL$2,0))</f>
        <v>#N/A</v>
      </c>
      <c r="E245" s="25">
        <f>INDEX('Inputs (2)'!$D$36:$AL$36,MATCH(E$7,'Inputs (2)'!$D$2:$AL$2,0))</f>
        <v>382.65</v>
      </c>
      <c r="F245" s="25">
        <f>INDEX('Inputs (2)'!$D$36:$AL$36,MATCH(F$7,'Inputs (2)'!$D$2:$AL$2,0))</f>
        <v>468.67365356</v>
      </c>
      <c r="G245" s="25">
        <f>INDEX('Inputs (2)'!$D$36:$AL$36,MATCH(G$7,'Inputs (2)'!$D$2:$AL$2,0))</f>
        <v>523.2881195</v>
      </c>
      <c r="H245" s="3">
        <f>G245</f>
        <v>523.2881195</v>
      </c>
      <c r="I245" s="25">
        <f>INDEX('Inputs (2)'!$D$36:$AL$36,MATCH(I$7,'Inputs (2)'!$D$2:$AL$2,0))</f>
        <v>590.83199564</v>
      </c>
      <c r="J245" s="25">
        <f>INDEX('Inputs (2)'!$D$36:$AL$36,MATCH(J$7,'Inputs (2)'!$D$2:$AL$2,0))</f>
        <v>634.57322806</v>
      </c>
      <c r="K245" s="25">
        <f>INDEX('Inputs (2)'!$D$36:$AL$36,MATCH(K$7,'Inputs (2)'!$D$2:$AL$2,0))</f>
        <v>813.529</v>
      </c>
      <c r="L245" s="25">
        <f>INDEX('Inputs (2)'!$D$36:$AL$36,MATCH(L$7,'Inputs (2)'!$D$2:$AL$2,0))</f>
        <v>890.536</v>
      </c>
      <c r="M245" s="3">
        <f>L245</f>
        <v>890.536</v>
      </c>
      <c r="N245" s="25">
        <f>INDEX('Inputs (2)'!$D$36:$AL$36,MATCH(N$7,'Inputs (2)'!$D$2:$AL$2,0))</f>
        <v>979.426</v>
      </c>
      <c r="O245" s="25">
        <f>INDEX('Inputs (2)'!$D$36:$AL$36,MATCH(O$7,'Inputs (2)'!$D$2:$AL$2,0))</f>
        <v>1175.417</v>
      </c>
      <c r="P245" s="25">
        <f>INDEX('Inputs (2)'!$D$36:$AL$36,MATCH(P$7,'Inputs (2)'!$D$2:$AL$2,0))</f>
        <v>1248.706</v>
      </c>
      <c r="Q245" s="25">
        <f>INDEX('Inputs (2)'!$D$36:$AL$36,MATCH(Q$7,'Inputs (2)'!$D$2:$AL$2,0))</f>
        <v>1257.061</v>
      </c>
      <c r="R245" s="3">
        <f>Q245</f>
        <v>1257.061</v>
      </c>
      <c r="S245" s="25">
        <f>INDEX('Inputs (2)'!$D$36:$AL$36,MATCH(S$7,'Inputs (2)'!$D$2:$AL$2,0))</f>
        <v>1332.143</v>
      </c>
      <c r="T245" s="25">
        <f>INDEX('Inputs (2)'!$D$36:$AL$36,MATCH(T$7,'Inputs (2)'!$D$2:$AL$2,0))</f>
        <v>1603.235</v>
      </c>
      <c r="U245" s="25">
        <f>INDEX('Inputs (2)'!$D$36:$AL$36,MATCH(U$7,'Inputs (2)'!$D$2:$AL$2,0))</f>
        <v>1839.131</v>
      </c>
      <c r="V245" s="25">
        <f>INDEX('Inputs (2)'!$D$36:$AL$36,MATCH(V$7,'Inputs (2)'!$D$2:$AL$2,0))</f>
        <v>1927.542</v>
      </c>
      <c r="W245" s="3">
        <f>V245</f>
        <v>1927.542</v>
      </c>
      <c r="X245" s="25">
        <f>INDEX('Inputs (2)'!$D$36:$AL$36,MATCH(X$7,'Inputs (2)'!$D$2:$AL$2,0))</f>
        <v>2030.806</v>
      </c>
      <c r="Y245" s="25">
        <f>INDEX('Inputs (2)'!$D$36:$AL$36,MATCH(Y$7,'Inputs (2)'!$D$2:$AL$2,0))</f>
        <v>1891.562</v>
      </c>
      <c r="Z245" s="25">
        <f>INDEX('Inputs (2)'!$D$36:$AL$36,MATCH(Z$7,'Inputs (2)'!$D$2:$AL$2,0))</f>
        <v>1926.101</v>
      </c>
      <c r="AA245" s="25">
        <f>INDEX('Inputs (2)'!$D$36:$AL$36,MATCH(AA$7,'Inputs (2)'!$D$2:$AL$2,0))</f>
        <v>2089.299</v>
      </c>
      <c r="AB245" s="3">
        <f>AA245</f>
        <v>2089.299</v>
      </c>
      <c r="AC245" s="25">
        <f>INDEX('Inputs (2)'!$D$36:$AL$36,MATCH(AC$7,'Inputs (2)'!$D$2:$AL$2,0))</f>
        <v>2393.571</v>
      </c>
      <c r="AD245" s="25">
        <f>INDEX('Inputs (2)'!$D$36:$AL$36,MATCH(AD$7,'Inputs (2)'!$D$2:$AL$2,0))</f>
        <v>2597.466</v>
      </c>
      <c r="AE245" s="25">
        <f>INDEX('Inputs (2)'!$D$36:$AL$36,MATCH(AE$7,'Inputs (2)'!$D$2:$AL$2,0))</f>
        <v>3513.56</v>
      </c>
      <c r="AF245" s="25">
        <f>INDEX('Inputs (2)'!$D$36:$AL$36,MATCH(AF$7,'Inputs (2)'!$D$2:$AL$2,0))</f>
        <v>3657.119</v>
      </c>
      <c r="AG245" s="3">
        <f>AF245</f>
        <v>3657.119</v>
      </c>
      <c r="AH245" s="3">
        <f>INDEX('Inputs (2)'!$D$36:$AL$36,MATCH(AH$7,'Inputs (2)'!$D$2:$AL$2,0))</f>
        <v>3709.792</v>
      </c>
      <c r="AI245" s="3">
        <f>INDEX('Inputs (2)'!$D$36:$AL$36,MATCH(AI$7,'Inputs (2)'!$D$2:$AL$2,0))</f>
        <v>3908.547</v>
      </c>
      <c r="AJ245" s="3">
        <f>AI245</f>
        <v>3908.547</v>
      </c>
      <c r="AK245" s="3">
        <f>AJ245</f>
        <v>3908.547</v>
      </c>
      <c r="AL245" s="3">
        <f>AK245</f>
        <v>3908.547</v>
      </c>
      <c r="AM245" s="3">
        <f>AL245</f>
        <v>3908.547</v>
      </c>
      <c r="AN245" s="3">
        <f>AM245</f>
        <v>3908.547</v>
      </c>
      <c r="AO245" s="3">
        <f>AN245</f>
        <v>3908.547</v>
      </c>
      <c r="AP245" s="3">
        <f>AO245</f>
        <v>3908.547</v>
      </c>
      <c r="AQ245" s="3">
        <f>AP245</f>
        <v>3908.547</v>
      </c>
      <c r="AR245" s="3">
        <f>AQ245</f>
        <v>3908.547</v>
      </c>
      <c r="AS245" s="3">
        <f>AR245</f>
        <v>3908.547</v>
      </c>
      <c r="AT245" s="3">
        <f>AS245</f>
        <v>3908.547</v>
      </c>
      <c r="AU245" s="3">
        <f>AT245</f>
        <v>3908.547</v>
      </c>
      <c r="AV245" s="3">
        <f>AU245</f>
        <v>3908.547</v>
      </c>
      <c r="AW245" s="3">
        <f>AV245</f>
        <v>3908.547</v>
      </c>
      <c r="AX245" s="3">
        <f>AW245</f>
        <v>3908.547</v>
      </c>
      <c r="AY245" s="3">
        <f>AX245</f>
        <v>3908.547</v>
      </c>
      <c r="AZ245" s="3">
        <f>AY245</f>
        <v>3908.547</v>
      </c>
      <c r="BA245" s="3">
        <f>AZ245</f>
        <v>3908.547</v>
      </c>
      <c r="BB245" s="3">
        <f>BA245</f>
        <v>3908.547</v>
      </c>
      <c r="BC245" s="3">
        <f>BB245</f>
        <v>3908.547</v>
      </c>
      <c r="BD245" s="3">
        <f>BC245</f>
        <v>3908.547</v>
      </c>
      <c r="BE245" s="3">
        <f>BD245</f>
        <v>3908.547</v>
      </c>
      <c r="BF245" s="3">
        <f>BE245</f>
        <v>3908.547</v>
      </c>
      <c r="BG245" s="3">
        <f>BF245</f>
        <v>3908.547</v>
      </c>
      <c r="BH245" s="3">
        <f>BG245</f>
        <v>3908.547</v>
      </c>
      <c r="BI245" s="3">
        <f>BH245</f>
        <v>3908.547</v>
      </c>
      <c r="BJ245" s="3">
        <f>BI245</f>
        <v>3908.547</v>
      </c>
      <c r="BK245" s="3">
        <f>BJ245</f>
        <v>3908.547</v>
      </c>
      <c r="BL245" s="3">
        <f>BK245</f>
        <v>3908.547</v>
      </c>
      <c r="BM245" s="3">
        <f>BL245</f>
        <v>3908.547</v>
      </c>
      <c r="BN245" s="3">
        <f>BM245</f>
        <v>3908.547</v>
      </c>
      <c r="BO245" s="3">
        <f>BN245</f>
        <v>3908.547</v>
      </c>
      <c r="BP245" s="3">
        <f>BO245</f>
        <v>3908.547</v>
      </c>
      <c r="BQ245" s="3">
        <f>BP245</f>
        <v>3908.547</v>
      </c>
      <c r="BR245" s="3">
        <f>BQ245</f>
        <v>3908.547</v>
      </c>
      <c r="BS245" s="3">
        <f>BR245</f>
        <v>3908.547</v>
      </c>
      <c r="BT245" s="3">
        <f>BS245</f>
        <v>3908.547</v>
      </c>
      <c r="BU245" s="3">
        <f>BT245</f>
        <v>3908.547</v>
      </c>
      <c r="BV245" s="3">
        <f>BU245</f>
        <v>3908.547</v>
      </c>
      <c r="BW245" s="3">
        <f>BV245</f>
        <v>3908.547</v>
      </c>
      <c r="BX245" s="3">
        <f>BW245</f>
        <v>3908.547</v>
      </c>
      <c r="BY245" s="3">
        <f>BX245</f>
        <v>3908.547</v>
      </c>
      <c r="BZ245" s="3">
        <f>BY245</f>
        <v>3908.547</v>
      </c>
      <c r="CA245" s="3">
        <f>BZ245</f>
        <v>3908.547</v>
      </c>
      <c r="CB245" s="3">
        <f>CA245</f>
        <v>3908.547</v>
      </c>
      <c r="CC245" s="3">
        <f>CB245</f>
        <v>3908.547</v>
      </c>
      <c r="CD245" s="3">
        <f>CC245</f>
        <v>3908.547</v>
      </c>
      <c r="CE245" s="3">
        <f>CD245</f>
        <v>3908.547</v>
      </c>
      <c r="CF245" s="3">
        <f>CE245</f>
        <v>3908.547</v>
      </c>
      <c r="CG245" s="3">
        <f>CF245</f>
        <v>3908.547</v>
      </c>
      <c r="CH245" s="3">
        <f>CG245</f>
        <v>3908.547</v>
      </c>
      <c r="CI245" s="3">
        <f>CH245</f>
        <v>3908.547</v>
      </c>
      <c r="CJ245" s="3">
        <f>CI245</f>
        <v>3908.547</v>
      </c>
      <c r="CK245" s="3">
        <f>CJ245</f>
        <v>3908.547</v>
      </c>
      <c r="CL245" s="3">
        <f>CK245</f>
        <v>3908.547</v>
      </c>
      <c r="CM245" s="3">
        <f>CL245</f>
        <v>3908.547</v>
      </c>
      <c r="CN245" s="3">
        <f>CM245</f>
        <v>3908.547</v>
      </c>
      <c r="CO245" s="3">
        <f>CN245</f>
        <v>3908.547</v>
      </c>
      <c r="CP245" s="3">
        <f>CO245</f>
        <v>3908.547</v>
      </c>
      <c r="CQ245" s="3">
        <f>CP245</f>
        <v>3908.547</v>
      </c>
      <c r="CR245" s="3">
        <f>CQ245</f>
        <v>3908.547</v>
      </c>
      <c r="CS245" s="3">
        <f>CR245</f>
        <v>3908.547</v>
      </c>
      <c r="CT245" s="3">
        <f>CS245</f>
        <v>3908.547</v>
      </c>
      <c r="CU245" s="3">
        <f>CT245</f>
        <v>3908.547</v>
      </c>
      <c r="CV245" s="3">
        <f>CU245</f>
        <v>3908.547</v>
      </c>
      <c r="CW245" s="3">
        <f>CV245</f>
        <v>3908.547</v>
      </c>
      <c r="CX245" s="3">
        <f>CW245</f>
        <v>3908.547</v>
      </c>
      <c r="CY245" s="3">
        <f>CX245</f>
        <v>3908.547</v>
      </c>
    </row>
    <row r="246" hidden="1" outlineLevel="1">
      <c r="C246" s="38" t="inlineStr">
        <is>
          <t>%(Var.)</t>
        </is>
      </c>
      <c r="D246" s="3" t="n"/>
      <c r="E246" s="47" t="e">
        <f>(E245-D245)/D245</f>
        <v>#N/A</v>
      </c>
      <c r="F246" s="47">
        <f>(F245-E245)/E245</f>
        <v>0.224810279785705</v>
      </c>
      <c r="G246" s="47">
        <f>(G245-F245)/F245</f>
        <v>0.116529840167361</v>
      </c>
      <c r="H246" s="3" t="n"/>
      <c r="I246" s="47">
        <f>(I245-H245)/H245</f>
        <v>0.129075883099616</v>
      </c>
      <c r="J246" s="47">
        <f>(J245-I245)/I245</f>
        <v>0.074033283137652</v>
      </c>
      <c r="K246" s="47">
        <f>(K245-J245)/J245</f>
        <v>0.282009646841073</v>
      </c>
      <c r="L246" s="47">
        <f>(L245-K245)/K245</f>
        <v>0.0946579654812552</v>
      </c>
      <c r="M246" s="3" t="n"/>
      <c r="N246" s="47">
        <f>(N245-M245)/M245</f>
        <v>0.0998162904138631</v>
      </c>
      <c r="O246" s="47">
        <f>(O245-N245)/N245</f>
        <v>0.200108022453968</v>
      </c>
      <c r="P246" s="47">
        <f>(P245-O245)/O245</f>
        <v>0.062351488875863</v>
      </c>
      <c r="Q246" s="47">
        <f>(Q245-P245)/P245</f>
        <v>0.00669092644705783</v>
      </c>
      <c r="R246" s="3" t="n"/>
      <c r="S246" s="47">
        <f>(S245-R245)/R245</f>
        <v>0.0597282073025892</v>
      </c>
      <c r="T246" s="47">
        <f>(T245-S245)/S245</f>
        <v>0.20350067522781</v>
      </c>
      <c r="U246" s="47">
        <f>(U245-T245)/T245</f>
        <v>0.14713750635434</v>
      </c>
      <c r="V246" s="47">
        <f>(V245-U245)/U245</f>
        <v>0.0480721601669484</v>
      </c>
      <c r="W246" s="3" t="n"/>
      <c r="X246" s="47">
        <f>(X245-W245)/W245</f>
        <v>0.0535728923157056</v>
      </c>
      <c r="Y246" s="47">
        <f>(Y245-X245)/X245</f>
        <v>-0.0685658797541468</v>
      </c>
      <c r="Z246" s="47">
        <f>(Z245-Y245)/Y245</f>
        <v>0.0182595125087097</v>
      </c>
      <c r="AA246" s="47">
        <f>(AA245-Z245)/Z245</f>
        <v>0.084729720819417</v>
      </c>
      <c r="AB246" s="3" t="n"/>
      <c r="AC246" s="47">
        <f>(AC245-AB245)/AB245</f>
        <v>0.145633535458544</v>
      </c>
      <c r="AD246" s="47">
        <f>(AD245-AC245)/AC245</f>
        <v>0.085184437812791</v>
      </c>
      <c r="AE246" s="47">
        <f>(AE245-AD245)/AD245</f>
        <v>0.35268758089615</v>
      </c>
      <c r="AF246" s="230">
        <f>(AF245-AE245)/AE245</f>
        <v>0.0408585594098294</v>
      </c>
      <c r="AG246" s="3" t="n"/>
      <c r="AH246" s="6">
        <f>(AH245-AG245)/AG245</f>
        <v>0.0144028673937052</v>
      </c>
      <c r="AI246" s="6">
        <f>(AI245-AH245)/AH245</f>
        <v>0.0535757799898216</v>
      </c>
      <c r="AJ246" s="6" t="n"/>
      <c r="AK246" s="6" t="n"/>
      <c r="AL246" s="3" t="n"/>
      <c r="AM246" s="6" t="n"/>
      <c r="AN246" s="6" t="n"/>
      <c r="AO246" s="6" t="n"/>
      <c r="AP246" s="6" t="n"/>
      <c r="AQ246" s="3" t="n"/>
      <c r="AR246" s="6" t="n"/>
      <c r="AS246" s="6" t="n"/>
      <c r="AT246" s="6" t="n"/>
      <c r="AU246" s="6" t="n"/>
      <c r="AV246" s="3" t="n"/>
      <c r="AW246" s="6" t="n"/>
      <c r="AX246" s="6" t="n"/>
      <c r="AY246" s="6" t="n"/>
      <c r="AZ246" s="6" t="n"/>
      <c r="BA246" s="3" t="n"/>
      <c r="BB246" s="6" t="n"/>
      <c r="BC246" s="6" t="n"/>
      <c r="BD246" s="6" t="n"/>
      <c r="BE246" s="6" t="n"/>
      <c r="BF246" s="3" t="n"/>
      <c r="BG246" s="6" t="n"/>
      <c r="BH246" s="6" t="n"/>
      <c r="BI246" s="6" t="n"/>
      <c r="BJ246" s="6" t="n"/>
      <c r="BK246" s="3" t="n"/>
      <c r="BL246" s="6" t="n"/>
      <c r="BM246" s="6" t="n"/>
      <c r="BN246" s="6" t="n"/>
      <c r="BO246" s="6" t="n"/>
      <c r="BP246" s="3" t="n"/>
      <c r="BQ246" s="6" t="n"/>
      <c r="BR246" s="6" t="n"/>
      <c r="BS246" s="6" t="n"/>
      <c r="BT246" s="6" t="n"/>
      <c r="BU246" s="3" t="n"/>
      <c r="BV246" s="6" t="n"/>
      <c r="BW246" s="6" t="n"/>
      <c r="BX246" s="6" t="n"/>
      <c r="BY246" s="6" t="n"/>
      <c r="BZ246" s="3" t="n"/>
      <c r="CA246" s="6" t="n"/>
      <c r="CB246" s="6" t="n"/>
      <c r="CC246" s="6" t="n"/>
      <c r="CD246" s="6" t="n"/>
      <c r="CE246" s="3" t="n"/>
      <c r="CF246" s="6" t="n"/>
      <c r="CG246" s="6" t="n"/>
      <c r="CH246" s="6" t="n"/>
      <c r="CI246" s="6" t="n"/>
      <c r="CJ246" s="3" t="n"/>
      <c r="CK246" s="6" t="n"/>
      <c r="CL246" s="6" t="n"/>
      <c r="CM246" s="6" t="n"/>
      <c r="CN246" s="6" t="n"/>
      <c r="CO246" s="3" t="n"/>
      <c r="CP246" s="6" t="n"/>
      <c r="CQ246" s="6" t="n"/>
      <c r="CR246" s="6" t="n"/>
      <c r="CS246" s="6" t="n"/>
      <c r="CT246" s="3" t="n"/>
      <c r="CU246" s="6" t="n"/>
      <c r="CV246" s="6" t="n"/>
      <c r="CW246" s="6" t="n"/>
      <c r="CX246" s="6" t="n"/>
      <c r="CY246" s="3" t="n"/>
    </row>
    <row r="247" hidden="1" outlineLevel="1">
      <c r="C247" s="34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  <c r="CU247" s="3" t="n"/>
      <c r="CV247" s="3" t="n"/>
      <c r="CW247" s="3" t="n"/>
      <c r="CX247" s="3" t="n"/>
      <c r="CY247" s="3" t="n"/>
    </row>
    <row r="248" collapsed="1">
      <c r="C248" s="26" t="inlineStr">
        <is>
          <t>Convertible debt</t>
        </is>
      </c>
      <c r="D248" s="25" t="n"/>
      <c r="E248" s="25" t="n"/>
      <c r="F248" s="25" t="n"/>
      <c r="G248" s="25" t="n"/>
      <c r="H248" s="3">
        <f>G248</f>
        <v>0</v>
      </c>
      <c r="I248" s="25" t="n"/>
      <c r="J248" s="25" t="n"/>
      <c r="K248" s="25" t="n"/>
      <c r="L248" s="25" t="n"/>
      <c r="M248" s="3">
        <f>L248</f>
        <v>0</v>
      </c>
      <c r="N248" s="25" t="n"/>
      <c r="O248" s="25" t="n"/>
      <c r="P248" s="25" t="n"/>
      <c r="Q248" s="25" t="n"/>
      <c r="R248" s="3">
        <f>Q248</f>
        <v>0</v>
      </c>
      <c r="S248" s="25" t="n"/>
      <c r="T248" s="25" t="n"/>
      <c r="U248" s="25" t="n"/>
      <c r="V248" s="25" t="n"/>
      <c r="W248" s="3">
        <f>V248</f>
        <v>0</v>
      </c>
      <c r="X248" s="25" t="n"/>
      <c r="Y248" s="25" t="n"/>
      <c r="Z248" s="25" t="n"/>
      <c r="AA248" s="25" t="n"/>
      <c r="AB248" s="3">
        <f>AA248</f>
        <v>0</v>
      </c>
      <c r="AC248" s="25" t="n"/>
      <c r="AD248" s="25" t="n"/>
      <c r="AE248" s="25" t="n"/>
      <c r="AF248" s="25" t="n"/>
      <c r="AG248" s="3">
        <f>AF248</f>
        <v>0</v>
      </c>
      <c r="AH248" s="3">
        <f>AG248</f>
        <v>0</v>
      </c>
      <c r="AI248" s="3">
        <f>AH248</f>
        <v>0</v>
      </c>
      <c r="AJ248" s="3">
        <f>AI248</f>
        <v>0</v>
      </c>
      <c r="AK248" s="3">
        <f>AJ248</f>
        <v>0</v>
      </c>
      <c r="AL248" s="3">
        <f>AK248</f>
        <v>0</v>
      </c>
      <c r="AM248" s="3">
        <f>AL248</f>
        <v>0</v>
      </c>
      <c r="AN248" s="3">
        <f>AM248</f>
        <v>0</v>
      </c>
      <c r="AO248" s="3">
        <f>AN248</f>
        <v>0</v>
      </c>
      <c r="AP248" s="3">
        <f>AO248</f>
        <v>0</v>
      </c>
      <c r="AQ248" s="3">
        <f>AP248</f>
        <v>0</v>
      </c>
      <c r="AR248" s="3">
        <f>AQ248</f>
        <v>0</v>
      </c>
      <c r="AS248" s="3">
        <f>AR248</f>
        <v>0</v>
      </c>
      <c r="AT248" s="3">
        <f>AS248</f>
        <v>0</v>
      </c>
      <c r="AU248" s="3">
        <f>AT248</f>
        <v>0</v>
      </c>
      <c r="AV248" s="3">
        <f>AU248</f>
        <v>0</v>
      </c>
      <c r="AW248" s="3">
        <f>AV248</f>
        <v>0</v>
      </c>
      <c r="AX248" s="3">
        <f>AW248</f>
        <v>0</v>
      </c>
      <c r="AY248" s="3">
        <f>AX248</f>
        <v>0</v>
      </c>
      <c r="AZ248" s="3">
        <f>AY248</f>
        <v>0</v>
      </c>
      <c r="BA248" s="3">
        <f>AZ248</f>
        <v>0</v>
      </c>
      <c r="BB248" s="3">
        <f>BA248</f>
        <v>0</v>
      </c>
      <c r="BC248" s="3">
        <f>BB248</f>
        <v>0</v>
      </c>
      <c r="BD248" s="3">
        <f>BC248</f>
        <v>0</v>
      </c>
      <c r="BE248" s="3">
        <f>BD248</f>
        <v>0</v>
      </c>
      <c r="BF248" s="3">
        <f>BE248</f>
        <v>0</v>
      </c>
      <c r="BG248" s="3">
        <f>BF248</f>
        <v>0</v>
      </c>
      <c r="BH248" s="3">
        <f>BG248</f>
        <v>0</v>
      </c>
      <c r="BI248" s="3">
        <f>BH248</f>
        <v>0</v>
      </c>
      <c r="BJ248" s="3">
        <f>BI248</f>
        <v>0</v>
      </c>
      <c r="BK248" s="3">
        <f>BJ248</f>
        <v>0</v>
      </c>
      <c r="BL248" s="3">
        <f>BK248</f>
        <v>0</v>
      </c>
      <c r="BM248" s="3">
        <f>BL248</f>
        <v>0</v>
      </c>
      <c r="BN248" s="3">
        <f>BM248</f>
        <v>0</v>
      </c>
      <c r="BO248" s="3">
        <f>BN248</f>
        <v>0</v>
      </c>
      <c r="BP248" s="3">
        <f>BO248</f>
        <v>0</v>
      </c>
      <c r="BQ248" s="3">
        <f>BP248</f>
        <v>0</v>
      </c>
      <c r="BR248" s="3">
        <f>BQ248</f>
        <v>0</v>
      </c>
      <c r="BS248" s="3">
        <f>BR248</f>
        <v>0</v>
      </c>
      <c r="BT248" s="3">
        <f>BS248</f>
        <v>0</v>
      </c>
      <c r="BU248" s="3">
        <f>BT248</f>
        <v>0</v>
      </c>
      <c r="BV248" s="3">
        <f>BU248</f>
        <v>0</v>
      </c>
      <c r="BW248" s="3">
        <f>BV248</f>
        <v>0</v>
      </c>
      <c r="BX248" s="3">
        <f>BW248</f>
        <v>0</v>
      </c>
      <c r="BY248" s="3">
        <f>BX248</f>
        <v>0</v>
      </c>
      <c r="BZ248" s="3">
        <f>BY248</f>
        <v>0</v>
      </c>
      <c r="CA248" s="3">
        <f>BZ248</f>
        <v>0</v>
      </c>
      <c r="CB248" s="3">
        <f>CA248</f>
        <v>0</v>
      </c>
      <c r="CC248" s="3">
        <f>CB248</f>
        <v>0</v>
      </c>
      <c r="CD248" s="3">
        <f>CC248</f>
        <v>0</v>
      </c>
      <c r="CE248" s="3">
        <f>CD248</f>
        <v>0</v>
      </c>
      <c r="CF248" s="3">
        <f>CE248</f>
        <v>0</v>
      </c>
      <c r="CG248" s="3">
        <f>CF248</f>
        <v>0</v>
      </c>
      <c r="CH248" s="3">
        <f>CG248</f>
        <v>0</v>
      </c>
      <c r="CI248" s="3">
        <f>CH248</f>
        <v>0</v>
      </c>
      <c r="CJ248" s="3">
        <f>CI248</f>
        <v>0</v>
      </c>
      <c r="CK248" s="3">
        <f>CJ248</f>
        <v>0</v>
      </c>
      <c r="CL248" s="3">
        <f>CK248</f>
        <v>0</v>
      </c>
      <c r="CM248" s="3">
        <f>CL248</f>
        <v>0</v>
      </c>
      <c r="CN248" s="3">
        <f>CM248</f>
        <v>0</v>
      </c>
      <c r="CO248" s="3">
        <f>CN248</f>
        <v>0</v>
      </c>
      <c r="CP248" s="3">
        <f>CO248</f>
        <v>0</v>
      </c>
      <c r="CQ248" s="3">
        <f>CP248</f>
        <v>0</v>
      </c>
      <c r="CR248" s="3">
        <f>CQ248</f>
        <v>0</v>
      </c>
      <c r="CS248" s="3">
        <f>CR248</f>
        <v>0</v>
      </c>
      <c r="CT248" s="3">
        <f>CS248</f>
        <v>0</v>
      </c>
      <c r="CU248" s="3">
        <f>CT248</f>
        <v>0</v>
      </c>
      <c r="CV248" s="3">
        <f>CU248</f>
        <v>0</v>
      </c>
      <c r="CW248" s="3">
        <f>CV248</f>
        <v>0</v>
      </c>
      <c r="CX248" s="3">
        <f>CW248</f>
        <v>0</v>
      </c>
      <c r="CY248" s="3">
        <f>CX248</f>
        <v>0</v>
      </c>
    </row>
    <row r="249">
      <c r="C249" s="26" t="inlineStr">
        <is>
          <t>Deferred income taxes</t>
        </is>
      </c>
      <c r="D249" s="25" t="e">
        <f>INDEX('Inputs (2)'!$D$38:$AL$38,MATCH(D$7,'Inputs (2)'!$D$2:$AL$2,0))</f>
        <v>#N/A</v>
      </c>
      <c r="E249" s="25">
        <f>INDEX('Inputs (2)'!$D$38:$AL$38,MATCH(E$7,'Inputs (2)'!$D$2:$AL$2,0))</f>
        <v>0</v>
      </c>
      <c r="F249" s="25">
        <f>INDEX('Inputs (2)'!$D$38:$AL$38,MATCH(F$7,'Inputs (2)'!$D$2:$AL$2,0))</f>
        <v>0</v>
      </c>
      <c r="G249" s="25">
        <f>INDEX('Inputs (2)'!$D$38:$AL$38,MATCH(G$7,'Inputs (2)'!$D$2:$AL$2,0))</f>
        <v>0</v>
      </c>
      <c r="H249" s="3">
        <f>G249</f>
        <v>0</v>
      </c>
      <c r="I249" s="25">
        <f>INDEX('Inputs (2)'!$D$38:$AL$38,MATCH(I$7,'Inputs (2)'!$D$2:$AL$2,0))</f>
        <v>0</v>
      </c>
      <c r="J249" s="25">
        <f>INDEX('Inputs (2)'!$D$38:$AL$38,MATCH(J$7,'Inputs (2)'!$D$2:$AL$2,0))</f>
        <v>0</v>
      </c>
      <c r="K249" s="25">
        <f>INDEX('Inputs (2)'!$D$38:$AL$38,MATCH(K$7,'Inputs (2)'!$D$2:$AL$2,0))</f>
        <v>0</v>
      </c>
      <c r="L249" s="25">
        <f>INDEX('Inputs (2)'!$D$38:$AL$38,MATCH(L$7,'Inputs (2)'!$D$2:$AL$2,0))</f>
        <v>0</v>
      </c>
      <c r="M249" s="3">
        <f>L249</f>
        <v>0</v>
      </c>
      <c r="N249" s="25">
        <f>INDEX('Inputs (2)'!$D$38:$AL$38,MATCH(N$7,'Inputs (2)'!$D$2:$AL$2,0))</f>
        <v>0</v>
      </c>
      <c r="O249" s="25">
        <f>INDEX('Inputs (2)'!$D$38:$AL$38,MATCH(O$7,'Inputs (2)'!$D$2:$AL$2,0))</f>
        <v>0</v>
      </c>
      <c r="P249" s="25">
        <f>INDEX('Inputs (2)'!$D$38:$AL$38,MATCH(P$7,'Inputs (2)'!$D$2:$AL$2,0))</f>
        <v>0</v>
      </c>
      <c r="Q249" s="25">
        <f>INDEX('Inputs (2)'!$D$38:$AL$38,MATCH(Q$7,'Inputs (2)'!$D$2:$AL$2,0))</f>
        <v>0</v>
      </c>
      <c r="R249" s="3">
        <f>Q249</f>
        <v>0</v>
      </c>
      <c r="S249" s="25">
        <f>INDEX('Inputs (2)'!$D$38:$AL$38,MATCH(S$7,'Inputs (2)'!$D$2:$AL$2,0))</f>
        <v>0</v>
      </c>
      <c r="T249" s="25">
        <f>INDEX('Inputs (2)'!$D$38:$AL$38,MATCH(T$7,'Inputs (2)'!$D$2:$AL$2,0))</f>
        <v>0</v>
      </c>
      <c r="U249" s="25">
        <f>INDEX('Inputs (2)'!$D$38:$AL$38,MATCH(U$7,'Inputs (2)'!$D$2:$AL$2,0))</f>
        <v>0</v>
      </c>
      <c r="V249" s="25">
        <f>INDEX('Inputs (2)'!$D$38:$AL$38,MATCH(V$7,'Inputs (2)'!$D$2:$AL$2,0))</f>
        <v>0</v>
      </c>
      <c r="W249" s="3">
        <f>V249</f>
        <v>0</v>
      </c>
      <c r="X249" s="25">
        <f>INDEX('Inputs (2)'!$D$38:$AL$38,MATCH(X$7,'Inputs (2)'!$D$2:$AL$2,0))</f>
        <v>0</v>
      </c>
      <c r="Y249" s="25">
        <f>INDEX('Inputs (2)'!$D$38:$AL$38,MATCH(Y$7,'Inputs (2)'!$D$2:$AL$2,0))</f>
        <v>0</v>
      </c>
      <c r="Z249" s="25">
        <f>INDEX('Inputs (2)'!$D$38:$AL$38,MATCH(Z$7,'Inputs (2)'!$D$2:$AL$2,0))</f>
        <v>0</v>
      </c>
      <c r="AA249" s="25">
        <f>INDEX('Inputs (2)'!$D$38:$AL$38,MATCH(AA$7,'Inputs (2)'!$D$2:$AL$2,0))</f>
        <v>0</v>
      </c>
      <c r="AB249" s="3">
        <f>AA249</f>
        <v>0</v>
      </c>
      <c r="AC249" s="25">
        <f>INDEX('Inputs (2)'!$D$38:$AL$38,MATCH(AC$7,'Inputs (2)'!$D$2:$AL$2,0))</f>
        <v>0</v>
      </c>
      <c r="AD249" s="25">
        <f>INDEX('Inputs (2)'!$D$38:$AL$38,MATCH(AD$7,'Inputs (2)'!$D$2:$AL$2,0))</f>
        <v>0</v>
      </c>
      <c r="AE249" s="25">
        <f>INDEX('Inputs (2)'!$D$38:$AL$38,MATCH(AE$7,'Inputs (2)'!$D$2:$AL$2,0))</f>
        <v>26.377</v>
      </c>
      <c r="AF249" s="25">
        <f>INDEX('Inputs (2)'!$D$38:$AL$38,MATCH(AF$7,'Inputs (2)'!$D$2:$AL$2,0))</f>
        <v>0</v>
      </c>
      <c r="AG249" s="3">
        <f>AF249</f>
        <v>0</v>
      </c>
      <c r="AH249" s="3">
        <f>INDEX('Inputs (2)'!$D$38:$AL$38,MATCH(AH$7,'Inputs (2)'!$D$2:$AL$2,0))</f>
        <v>0</v>
      </c>
      <c r="AI249" s="3">
        <f>INDEX('Inputs (2)'!$D$38:$AL$38,MATCH(AI$7,'Inputs (2)'!$D$2:$AL$2,0))</f>
        <v>0</v>
      </c>
      <c r="AJ249" s="3">
        <f>AI249</f>
        <v>0</v>
      </c>
      <c r="AK249" s="3">
        <f>AJ249</f>
        <v>0</v>
      </c>
      <c r="AL249" s="3">
        <f>AK249</f>
        <v>0</v>
      </c>
      <c r="AM249" s="3">
        <f>AL249</f>
        <v>0</v>
      </c>
      <c r="AN249" s="3">
        <f>AM249</f>
        <v>0</v>
      </c>
      <c r="AO249" s="3">
        <f>AN249</f>
        <v>0</v>
      </c>
      <c r="AP249" s="3">
        <f>AO249</f>
        <v>0</v>
      </c>
      <c r="AQ249" s="3">
        <f>AP249</f>
        <v>0</v>
      </c>
      <c r="AR249" s="3">
        <f>AQ249</f>
        <v>0</v>
      </c>
      <c r="AS249" s="3">
        <f>AR249</f>
        <v>0</v>
      </c>
      <c r="AT249" s="3">
        <f>AS249</f>
        <v>0</v>
      </c>
      <c r="AU249" s="3">
        <f>AT249</f>
        <v>0</v>
      </c>
      <c r="AV249" s="3">
        <f>AU249</f>
        <v>0</v>
      </c>
      <c r="AW249" s="3">
        <f>AV249</f>
        <v>0</v>
      </c>
      <c r="AX249" s="3">
        <f>AW249</f>
        <v>0</v>
      </c>
      <c r="AY249" s="3">
        <f>AX249</f>
        <v>0</v>
      </c>
      <c r="AZ249" s="3">
        <f>AY249</f>
        <v>0</v>
      </c>
      <c r="BA249" s="3">
        <f>AZ249</f>
        <v>0</v>
      </c>
      <c r="BB249" s="3">
        <f>BA249</f>
        <v>0</v>
      </c>
      <c r="BC249" s="3">
        <f>BB249</f>
        <v>0</v>
      </c>
      <c r="BD249" s="3">
        <f>BC249</f>
        <v>0</v>
      </c>
      <c r="BE249" s="3">
        <f>BD249</f>
        <v>0</v>
      </c>
      <c r="BF249" s="3">
        <f>BE249</f>
        <v>0</v>
      </c>
      <c r="BG249" s="3">
        <f>BF249</f>
        <v>0</v>
      </c>
      <c r="BH249" s="3">
        <f>BG249</f>
        <v>0</v>
      </c>
      <c r="BI249" s="3">
        <f>BH249</f>
        <v>0</v>
      </c>
      <c r="BJ249" s="3">
        <f>BI249</f>
        <v>0</v>
      </c>
      <c r="BK249" s="3">
        <f>BJ249</f>
        <v>0</v>
      </c>
      <c r="BL249" s="3">
        <f>BK249</f>
        <v>0</v>
      </c>
      <c r="BM249" s="3">
        <f>BL249</f>
        <v>0</v>
      </c>
      <c r="BN249" s="3">
        <f>BM249</f>
        <v>0</v>
      </c>
      <c r="BO249" s="3">
        <f>BN249</f>
        <v>0</v>
      </c>
      <c r="BP249" s="3">
        <f>BO249</f>
        <v>0</v>
      </c>
      <c r="BQ249" s="3">
        <f>BP249</f>
        <v>0</v>
      </c>
      <c r="BR249" s="3">
        <f>BQ249</f>
        <v>0</v>
      </c>
      <c r="BS249" s="3">
        <f>BR249</f>
        <v>0</v>
      </c>
      <c r="BT249" s="3">
        <f>BS249</f>
        <v>0</v>
      </c>
      <c r="BU249" s="3">
        <f>BT249</f>
        <v>0</v>
      </c>
      <c r="BV249" s="3">
        <f>BU249</f>
        <v>0</v>
      </c>
      <c r="BW249" s="3">
        <f>BV249</f>
        <v>0</v>
      </c>
      <c r="BX249" s="3">
        <f>BW249</f>
        <v>0</v>
      </c>
      <c r="BY249" s="3">
        <f>BX249</f>
        <v>0</v>
      </c>
      <c r="BZ249" s="3">
        <f>BY249</f>
        <v>0</v>
      </c>
      <c r="CA249" s="3">
        <f>BZ249</f>
        <v>0</v>
      </c>
      <c r="CB249" s="3">
        <f>CA249</f>
        <v>0</v>
      </c>
      <c r="CC249" s="3">
        <f>CB249</f>
        <v>0</v>
      </c>
      <c r="CD249" s="3">
        <f>CC249</f>
        <v>0</v>
      </c>
      <c r="CE249" s="3">
        <f>CD249</f>
        <v>0</v>
      </c>
      <c r="CF249" s="3">
        <f>CE249</f>
        <v>0</v>
      </c>
      <c r="CG249" s="3">
        <f>CF249</f>
        <v>0</v>
      </c>
      <c r="CH249" s="3">
        <f>CG249</f>
        <v>0</v>
      </c>
      <c r="CI249" s="3">
        <f>CH249</f>
        <v>0</v>
      </c>
      <c r="CJ249" s="3">
        <f>CI249</f>
        <v>0</v>
      </c>
      <c r="CK249" s="3">
        <f>CJ249</f>
        <v>0</v>
      </c>
      <c r="CL249" s="3">
        <f>CK249</f>
        <v>0</v>
      </c>
      <c r="CM249" s="3">
        <f>CL249</f>
        <v>0</v>
      </c>
      <c r="CN249" s="3">
        <f>CM249</f>
        <v>0</v>
      </c>
      <c r="CO249" s="3">
        <f>CN249</f>
        <v>0</v>
      </c>
      <c r="CP249" s="3">
        <f>CO249</f>
        <v>0</v>
      </c>
      <c r="CQ249" s="3">
        <f>CP249</f>
        <v>0</v>
      </c>
      <c r="CR249" s="3">
        <f>CQ249</f>
        <v>0</v>
      </c>
      <c r="CS249" s="3">
        <f>CR249</f>
        <v>0</v>
      </c>
      <c r="CT249" s="3">
        <f>CS249</f>
        <v>0</v>
      </c>
      <c r="CU249" s="3">
        <f>CT249</f>
        <v>0</v>
      </c>
      <c r="CV249" s="3">
        <f>CU249</f>
        <v>0</v>
      </c>
      <c r="CW249" s="3">
        <f>CV249</f>
        <v>0</v>
      </c>
      <c r="CX249" s="3">
        <f>CW249</f>
        <v>0</v>
      </c>
      <c r="CY249" s="3">
        <f>CX249</f>
        <v>0</v>
      </c>
    </row>
    <row r="250">
      <c r="C250" s="26" t="inlineStr">
        <is>
          <t>Other non-current liabilities</t>
        </is>
      </c>
      <c r="D250" s="25" t="e">
        <f>INDEX('Inputs (2)'!$D$39:$AL$39,MATCH(D$7,'Inputs (2)'!$D$2:$AL$2,0))</f>
        <v>#N/A</v>
      </c>
      <c r="E250" s="25">
        <f>INDEX('Inputs (2)'!$D$39:$AL$39,MATCH(E$7,'Inputs (2)'!$D$2:$AL$2,0))</f>
        <v>106.151</v>
      </c>
      <c r="F250" s="25">
        <f>INDEX('Inputs (2)'!$D$39:$AL$39,MATCH(F$7,'Inputs (2)'!$D$2:$AL$2,0))</f>
        <v>87.4980184400003</v>
      </c>
      <c r="G250" s="25">
        <f>INDEX('Inputs (2)'!$D$39:$AL$39,MATCH(G$7,'Inputs (2)'!$D$2:$AL$2,0))</f>
        <v>75.22660822</v>
      </c>
      <c r="H250" s="3">
        <f>G250</f>
        <v>75.22660822</v>
      </c>
      <c r="I250" s="25">
        <f>INDEX('Inputs (2)'!$D$39:$AL$39,MATCH(I$7,'Inputs (2)'!$D$2:$AL$2,0))</f>
        <v>70.7027912799997</v>
      </c>
      <c r="J250" s="25">
        <f>INDEX('Inputs (2)'!$D$39:$AL$39,MATCH(J$7,'Inputs (2)'!$D$2:$AL$2,0))</f>
        <v>73.72736926</v>
      </c>
      <c r="K250" s="25">
        <f>INDEX('Inputs (2)'!$D$39:$AL$39,MATCH(K$7,'Inputs (2)'!$D$2:$AL$2,0))</f>
        <v>111.487</v>
      </c>
      <c r="L250" s="25">
        <f>INDEX('Inputs (2)'!$D$39:$AL$39,MATCH(L$7,'Inputs (2)'!$D$2:$AL$2,0))</f>
        <v>68</v>
      </c>
      <c r="M250" s="3">
        <f>L250</f>
        <v>68</v>
      </c>
      <c r="N250" s="25">
        <f>INDEX('Inputs (2)'!$D$39:$AL$39,MATCH(N$7,'Inputs (2)'!$D$2:$AL$2,0))</f>
        <v>65.393</v>
      </c>
      <c r="O250" s="25">
        <f>INDEX('Inputs (2)'!$D$39:$AL$39,MATCH(O$7,'Inputs (2)'!$D$2:$AL$2,0))</f>
        <v>69.0574490400003</v>
      </c>
      <c r="P250" s="25">
        <f>INDEX('Inputs (2)'!$D$39:$AL$39,MATCH(P$7,'Inputs (2)'!$D$2:$AL$2,0))</f>
        <v>57.9089380000006</v>
      </c>
      <c r="Q250" s="25">
        <f>INDEX('Inputs (2)'!$D$39:$AL$39,MATCH(Q$7,'Inputs (2)'!$D$2:$AL$2,0))</f>
        <v>73.3239447499998</v>
      </c>
      <c r="R250" s="3">
        <f>Q250</f>
        <v>73.3239447499998</v>
      </c>
      <c r="S250" s="25">
        <f>INDEX('Inputs (2)'!$D$39:$AL$39,MATCH(S$7,'Inputs (2)'!$D$2:$AL$2,0))</f>
        <v>65.8152218900006</v>
      </c>
      <c r="T250" s="25">
        <f>INDEX('Inputs (2)'!$D$39:$AL$39,MATCH(T$7,'Inputs (2)'!$D$2:$AL$2,0))</f>
        <v>73.384</v>
      </c>
      <c r="U250" s="25">
        <f>INDEX('Inputs (2)'!$D$39:$AL$39,MATCH(U$7,'Inputs (2)'!$D$2:$AL$2,0))</f>
        <v>75.169</v>
      </c>
      <c r="V250" s="25">
        <f>INDEX('Inputs (2)'!$D$39:$AL$39,MATCH(V$7,'Inputs (2)'!$D$2:$AL$2,0))</f>
        <v>106.52879394</v>
      </c>
      <c r="W250" s="3">
        <f>V250</f>
        <v>106.52879394</v>
      </c>
      <c r="X250" s="25">
        <f>INDEX('Inputs (2)'!$D$39:$AL$39,MATCH(X$7,'Inputs (2)'!$D$2:$AL$2,0))</f>
        <v>112.604</v>
      </c>
      <c r="Y250" s="25">
        <f>INDEX('Inputs (2)'!$D$39:$AL$39,MATCH(Y$7,'Inputs (2)'!$D$2:$AL$2,0))</f>
        <v>105.682</v>
      </c>
      <c r="Z250" s="25">
        <f>INDEX('Inputs (2)'!$D$39:$AL$39,MATCH(Z$7,'Inputs (2)'!$D$2:$AL$2,0))</f>
        <v>99.352</v>
      </c>
      <c r="AA250" s="25">
        <f>INDEX('Inputs (2)'!$D$39:$AL$39,MATCH(AA$7,'Inputs (2)'!$D$2:$AL$2,0))</f>
        <v>380.453</v>
      </c>
      <c r="AB250" s="3">
        <f>AA250</f>
        <v>380.453</v>
      </c>
      <c r="AC250" s="25">
        <f>INDEX('Inputs (2)'!$D$39:$AL$39,MATCH(AC$7,'Inputs (2)'!$D$2:$AL$2,0))</f>
        <v>474.012</v>
      </c>
      <c r="AD250" s="25">
        <f>INDEX('Inputs (2)'!$D$39:$AL$39,MATCH(AD$7,'Inputs (2)'!$D$2:$AL$2,0))</f>
        <v>540.041</v>
      </c>
      <c r="AE250" s="25">
        <f>INDEX('Inputs (2)'!$D$39:$AL$39,MATCH(AE$7,'Inputs (2)'!$D$2:$AL$2,0))</f>
        <v>403.291</v>
      </c>
      <c r="AF250" s="25">
        <f>INDEX('Inputs (2)'!$D$39:$AL$39,MATCH(AF$7,'Inputs (2)'!$D$2:$AL$2,0))</f>
        <v>233.666</v>
      </c>
      <c r="AG250" s="3">
        <f>AF250</f>
        <v>233.666</v>
      </c>
      <c r="AH250" s="3">
        <f>INDEX('Inputs (2)'!$D$39:$AL$39,MATCH(AH$7,'Inputs (2)'!$D$2:$AL$2,0))</f>
        <v>280.673</v>
      </c>
      <c r="AI250" s="3">
        <f>INDEX('Inputs (2)'!$D$39:$AL$39,MATCH(AI$7,'Inputs (2)'!$D$2:$AL$2,0))</f>
        <v>190.262</v>
      </c>
      <c r="AJ250" s="3">
        <f>AI250</f>
        <v>190.262</v>
      </c>
      <c r="AK250" s="3">
        <f>AJ250</f>
        <v>190.262</v>
      </c>
      <c r="AL250" s="3">
        <f>AK250</f>
        <v>190.262</v>
      </c>
      <c r="AM250" s="3">
        <f>AL250</f>
        <v>190.262</v>
      </c>
      <c r="AN250" s="3">
        <f>AM250</f>
        <v>190.262</v>
      </c>
      <c r="AO250" s="3">
        <f>AN250</f>
        <v>190.262</v>
      </c>
      <c r="AP250" s="3">
        <f>AO250</f>
        <v>190.262</v>
      </c>
      <c r="AQ250" s="3">
        <f>AP250</f>
        <v>190.262</v>
      </c>
      <c r="AR250" s="3">
        <f>AQ250</f>
        <v>190.262</v>
      </c>
      <c r="AS250" s="3">
        <f>AR250</f>
        <v>190.262</v>
      </c>
      <c r="AT250" s="3">
        <f>AS250</f>
        <v>190.262</v>
      </c>
      <c r="AU250" s="3">
        <f>AT250</f>
        <v>190.262</v>
      </c>
      <c r="AV250" s="3">
        <f>AU250</f>
        <v>190.262</v>
      </c>
      <c r="AW250" s="3">
        <f>AV250</f>
        <v>190.262</v>
      </c>
      <c r="AX250" s="3">
        <f>AW250</f>
        <v>190.262</v>
      </c>
      <c r="AY250" s="3">
        <f>AX250</f>
        <v>190.262</v>
      </c>
      <c r="AZ250" s="3">
        <f>AY250</f>
        <v>190.262</v>
      </c>
      <c r="BA250" s="3">
        <f>AZ250</f>
        <v>190.262</v>
      </c>
      <c r="BB250" s="3">
        <f>BA250</f>
        <v>190.262</v>
      </c>
      <c r="BC250" s="3">
        <f>BB250</f>
        <v>190.262</v>
      </c>
      <c r="BD250" s="3">
        <f>BC250</f>
        <v>190.262</v>
      </c>
      <c r="BE250" s="3">
        <f>BD250</f>
        <v>190.262</v>
      </c>
      <c r="BF250" s="3">
        <f>BE250</f>
        <v>190.262</v>
      </c>
      <c r="BG250" s="3">
        <f>BF250</f>
        <v>190.262</v>
      </c>
      <c r="BH250" s="3">
        <f>BG250</f>
        <v>190.262</v>
      </c>
      <c r="BI250" s="3">
        <f>BH250</f>
        <v>190.262</v>
      </c>
      <c r="BJ250" s="3">
        <f>BI250</f>
        <v>190.262</v>
      </c>
      <c r="BK250" s="3">
        <f>BJ250</f>
        <v>190.262</v>
      </c>
      <c r="BL250" s="3">
        <f>BK250</f>
        <v>190.262</v>
      </c>
      <c r="BM250" s="3">
        <f>BL250</f>
        <v>190.262</v>
      </c>
      <c r="BN250" s="3">
        <f>BM250</f>
        <v>190.262</v>
      </c>
      <c r="BO250" s="3">
        <f>BN250</f>
        <v>190.262</v>
      </c>
      <c r="BP250" s="3">
        <f>BO250</f>
        <v>190.262</v>
      </c>
      <c r="BQ250" s="3">
        <f>BP250</f>
        <v>190.262</v>
      </c>
      <c r="BR250" s="3">
        <f>BQ250</f>
        <v>190.262</v>
      </c>
      <c r="BS250" s="3">
        <f>BR250</f>
        <v>190.262</v>
      </c>
      <c r="BT250" s="3">
        <f>BS250</f>
        <v>190.262</v>
      </c>
      <c r="BU250" s="3">
        <f>BT250</f>
        <v>190.262</v>
      </c>
      <c r="BV250" s="3">
        <f>BU250</f>
        <v>190.262</v>
      </c>
      <c r="BW250" s="3">
        <f>BV250</f>
        <v>190.262</v>
      </c>
      <c r="BX250" s="3">
        <f>BW250</f>
        <v>190.262</v>
      </c>
      <c r="BY250" s="3">
        <f>BX250</f>
        <v>190.262</v>
      </c>
      <c r="BZ250" s="3">
        <f>BY250</f>
        <v>190.262</v>
      </c>
      <c r="CA250" s="3">
        <f>BZ250</f>
        <v>190.262</v>
      </c>
      <c r="CB250" s="3">
        <f>CA250</f>
        <v>190.262</v>
      </c>
      <c r="CC250" s="3">
        <f>CB250</f>
        <v>190.262</v>
      </c>
      <c r="CD250" s="3">
        <f>CC250</f>
        <v>190.262</v>
      </c>
      <c r="CE250" s="3">
        <f>CD250</f>
        <v>190.262</v>
      </c>
      <c r="CF250" s="3">
        <f>CE250</f>
        <v>190.262</v>
      </c>
      <c r="CG250" s="3">
        <f>CF250</f>
        <v>190.262</v>
      </c>
      <c r="CH250" s="3">
        <f>CG250</f>
        <v>190.262</v>
      </c>
      <c r="CI250" s="3">
        <f>CH250</f>
        <v>190.262</v>
      </c>
      <c r="CJ250" s="3">
        <f>CI250</f>
        <v>190.262</v>
      </c>
      <c r="CK250" s="3">
        <f>CJ250</f>
        <v>190.262</v>
      </c>
      <c r="CL250" s="3">
        <f>CK250</f>
        <v>190.262</v>
      </c>
      <c r="CM250" s="3">
        <f>CL250</f>
        <v>190.262</v>
      </c>
      <c r="CN250" s="3">
        <f>CM250</f>
        <v>190.262</v>
      </c>
      <c r="CO250" s="3">
        <f>CN250</f>
        <v>190.262</v>
      </c>
      <c r="CP250" s="3">
        <f>CO250</f>
        <v>190.262</v>
      </c>
      <c r="CQ250" s="3">
        <f>CP250</f>
        <v>190.262</v>
      </c>
      <c r="CR250" s="3">
        <f>CQ250</f>
        <v>190.262</v>
      </c>
      <c r="CS250" s="3">
        <f>CR250</f>
        <v>190.262</v>
      </c>
      <c r="CT250" s="3">
        <f>CS250</f>
        <v>190.262</v>
      </c>
      <c r="CU250" s="3">
        <f>CT250</f>
        <v>190.262</v>
      </c>
      <c r="CV250" s="3">
        <f>CU250</f>
        <v>190.262</v>
      </c>
      <c r="CW250" s="3">
        <f>CV250</f>
        <v>190.262</v>
      </c>
      <c r="CX250" s="3">
        <f>CW250</f>
        <v>190.262</v>
      </c>
      <c r="CY250" s="3">
        <f>CX250</f>
        <v>190.262</v>
      </c>
    </row>
    <row r="251" hidden="1" outlineLevel="1" ht="12" customHeight="1">
      <c r="C251" s="38" t="inlineStr">
        <is>
          <t>%(Var.)</t>
        </is>
      </c>
      <c r="D251" s="3" t="n"/>
      <c r="E251" s="47" t="e">
        <f>(E250-D250)/D250</f>
        <v>#N/A</v>
      </c>
      <c r="F251" s="47">
        <f>(F250-E250)/E250</f>
        <v>-0.175721204322142</v>
      </c>
      <c r="G251" s="47">
        <f>(G250-F250)/F250</f>
        <v>-0.140247864337809</v>
      </c>
      <c r="H251" s="3" t="n"/>
      <c r="I251" s="47">
        <f>(I250-H250)/H250</f>
        <v>-0.0601358621243485</v>
      </c>
      <c r="J251" s="47">
        <f>(J250-I250)/I250</f>
        <v>0.0427787634016069</v>
      </c>
      <c r="K251" s="47">
        <f>(K250-J250)/J250</f>
        <v>0.512152150809022</v>
      </c>
      <c r="L251" s="47">
        <f>(L250-K250)/K250</f>
        <v>-0.39006341546548</v>
      </c>
      <c r="M251" s="3" t="n"/>
      <c r="N251" s="47">
        <f>(N250-M250)/M250</f>
        <v>-0.0383382352941176</v>
      </c>
      <c r="O251" s="47">
        <f>(O250-N250)/N250</f>
        <v>0.0560373287660806</v>
      </c>
      <c r="P251" s="47">
        <f>(P250-O250)/O250</f>
        <v>-0.161438211155789</v>
      </c>
      <c r="Q251" s="47">
        <f>(Q250-P250)/P250</f>
        <v>0.266193912069308</v>
      </c>
      <c r="R251" s="3" t="n"/>
      <c r="S251" s="47">
        <f>(S250-R250)/R250</f>
        <v>-0.102404785852704</v>
      </c>
      <c r="T251" s="47">
        <f>(T250-S250)/S250</f>
        <v>0.115000419244189</v>
      </c>
      <c r="U251" s="47">
        <f>(U250-T250)/T250</f>
        <v>0.0243241033467785</v>
      </c>
      <c r="V251" s="47">
        <f>(V250-U250)/U250</f>
        <v>0.417190516569333</v>
      </c>
      <c r="W251" s="3" t="n"/>
      <c r="X251" s="47">
        <f>(X250-W250)/W250</f>
        <v>0.0570287697373306</v>
      </c>
      <c r="Y251" s="47">
        <f>(Y250-X250)/X250</f>
        <v>-0.0614720613832547</v>
      </c>
      <c r="Z251" s="47">
        <f>(Z250-Y250)/Y250</f>
        <v>-0.059896671145512</v>
      </c>
      <c r="AA251" s="47">
        <f>(AA250-Z250)/Z250</f>
        <v>2.8293441500926</v>
      </c>
      <c r="AB251" s="3" t="n"/>
      <c r="AC251" s="47">
        <f>(AC250-AB250)/AB250</f>
        <v>0.245914738482809</v>
      </c>
      <c r="AD251" s="47">
        <f>(AD250-AC250)/AC250</f>
        <v>0.139298161227986</v>
      </c>
      <c r="AE251" s="47">
        <f>(AE250-AD250)/AD250</f>
        <v>-0.253221514662776</v>
      </c>
      <c r="AF251" s="230">
        <f>(AF250-AE250)/AE250</f>
        <v>-0.420601997069114</v>
      </c>
      <c r="AG251" s="3" t="n"/>
      <c r="AH251" s="230">
        <f>(AH250-AG250)/AG250</f>
        <v>0.201171757979338</v>
      </c>
      <c r="AI251" s="230">
        <f>(AI250-AH250)/AH250</f>
        <v>-0.322122184891315</v>
      </c>
      <c r="AJ251" s="230" t="n"/>
      <c r="AK251" s="230" t="n"/>
      <c r="AL251" s="3" t="n"/>
      <c r="AM251" s="230" t="n"/>
      <c r="AN251" s="230" t="n"/>
      <c r="AO251" s="230" t="n"/>
      <c r="AP251" s="230" t="n"/>
      <c r="AQ251" s="3" t="n"/>
      <c r="AR251" s="230" t="n"/>
      <c r="AS251" s="230" t="n"/>
      <c r="AT251" s="230" t="n"/>
      <c r="AU251" s="230" t="n"/>
      <c r="AV251" s="3" t="n"/>
      <c r="AW251" s="230" t="n"/>
      <c r="AX251" s="230" t="n"/>
      <c r="AY251" s="230" t="n"/>
      <c r="AZ251" s="230" t="n"/>
      <c r="BA251" s="3" t="n"/>
      <c r="BB251" s="230" t="n"/>
      <c r="BC251" s="230" t="n"/>
      <c r="BD251" s="230" t="n"/>
      <c r="BE251" s="230" t="n"/>
      <c r="BF251" s="3" t="n"/>
      <c r="BG251" s="230" t="n"/>
      <c r="BH251" s="230" t="n"/>
      <c r="BI251" s="230" t="n"/>
      <c r="BJ251" s="230" t="n"/>
      <c r="BK251" s="3" t="n"/>
      <c r="BL251" s="230" t="n"/>
      <c r="BM251" s="230" t="n"/>
      <c r="BN251" s="230" t="n"/>
      <c r="BO251" s="230" t="n"/>
      <c r="BP251" s="3" t="n"/>
      <c r="BQ251" s="230" t="n"/>
      <c r="BR251" s="230" t="n"/>
      <c r="BS251" s="230" t="n"/>
      <c r="BT251" s="230" t="n"/>
      <c r="BU251" s="3" t="n"/>
      <c r="BV251" s="230" t="n"/>
      <c r="BW251" s="230" t="n"/>
      <c r="BX251" s="230" t="n"/>
      <c r="BY251" s="230" t="n"/>
      <c r="BZ251" s="3" t="n"/>
      <c r="CA251" s="230" t="n"/>
      <c r="CB251" s="230" t="n"/>
      <c r="CC251" s="230" t="n"/>
      <c r="CD251" s="230" t="n"/>
      <c r="CE251" s="3" t="n"/>
      <c r="CF251" s="230" t="n"/>
      <c r="CG251" s="230" t="n"/>
      <c r="CH251" s="230" t="n"/>
      <c r="CI251" s="230" t="n"/>
      <c r="CJ251" s="3" t="n"/>
      <c r="CK251" s="230" t="n"/>
      <c r="CL251" s="230" t="n"/>
      <c r="CM251" s="230" t="n"/>
      <c r="CN251" s="230" t="n"/>
      <c r="CO251" s="3" t="n"/>
      <c r="CP251" s="230" t="n"/>
      <c r="CQ251" s="230" t="n"/>
      <c r="CR251" s="230" t="n"/>
      <c r="CS251" s="230" t="n"/>
      <c r="CT251" s="3" t="n"/>
      <c r="CU251" s="230" t="n"/>
      <c r="CV251" s="230" t="n"/>
      <c r="CW251" s="230" t="n"/>
      <c r="CX251" s="230" t="n"/>
      <c r="CY251" s="3" t="n"/>
    </row>
    <row r="252" hidden="1" outlineLevel="1" ht="12" customHeight="1">
      <c r="C252" s="38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3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  <c r="CU252" s="3" t="n"/>
      <c r="CV252" s="3" t="n"/>
      <c r="CW252" s="3" t="n"/>
      <c r="CX252" s="3" t="n"/>
      <c r="CY252" s="3" t="n"/>
    </row>
    <row r="253" hidden="1" outlineLevel="1">
      <c r="C253" s="34" t="inlineStr">
        <is>
          <t>Contas a pagar pela aquisição de controladas</t>
        </is>
      </c>
      <c r="D253" s="6" t="n"/>
      <c r="E253" s="6" t="n"/>
      <c r="F253" s="6" t="n"/>
      <c r="G253" s="6" t="n"/>
      <c r="H253" s="3" t="n"/>
      <c r="I253" s="6" t="n"/>
      <c r="J253" s="6" t="n"/>
      <c r="K253" s="6" t="n"/>
      <c r="L253" s="6" t="n"/>
      <c r="M253" s="3" t="n"/>
      <c r="N253" s="6" t="n"/>
      <c r="O253" s="6" t="n"/>
      <c r="P253" s="6" t="n"/>
      <c r="Q253" s="6" t="n"/>
      <c r="R253" s="3" t="n"/>
      <c r="S253" s="6" t="n"/>
      <c r="T253" s="6" t="n"/>
      <c r="U253" s="6" t="n"/>
      <c r="V253" s="6" t="n"/>
      <c r="W253" s="3" t="n"/>
      <c r="X253" s="6" t="n"/>
      <c r="Y253" s="6" t="n"/>
      <c r="Z253" s="6" t="n"/>
      <c r="AA253" s="6" t="n"/>
      <c r="AB253" s="3" t="n"/>
      <c r="AC253" s="6" t="n"/>
      <c r="AD253" s="6" t="n"/>
      <c r="AE253" s="6" t="n"/>
      <c r="AF253" s="6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</row>
    <row r="254" hidden="1" outlineLevel="1">
      <c r="C254" s="34" t="inlineStr">
        <is>
          <t xml:space="preserve">Outras Obrigações </t>
        </is>
      </c>
      <c r="D254" s="6" t="n"/>
      <c r="E254" s="6" t="n"/>
      <c r="F254" s="6" t="n"/>
      <c r="G254" s="6" t="n"/>
      <c r="H254" s="3" t="n"/>
      <c r="I254" s="6" t="n"/>
      <c r="J254" s="6" t="n"/>
      <c r="K254" s="6" t="n"/>
      <c r="L254" s="6" t="n"/>
      <c r="M254" s="3" t="n"/>
      <c r="N254" s="6" t="n"/>
      <c r="O254" s="6" t="n"/>
      <c r="P254" s="6" t="n"/>
      <c r="Q254" s="6" t="n"/>
      <c r="R254" s="3" t="n"/>
      <c r="S254" s="6" t="n"/>
      <c r="T254" s="6" t="n"/>
      <c r="U254" s="6" t="n"/>
      <c r="V254" s="6" t="n"/>
      <c r="W254" s="3" t="n"/>
      <c r="X254" s="6" t="n"/>
      <c r="Y254" s="6" t="n"/>
      <c r="Z254" s="6" t="n"/>
      <c r="AA254" s="6" t="n"/>
      <c r="AB254" s="3" t="n"/>
      <c r="AC254" s="6" t="n"/>
      <c r="AD254" s="6" t="n"/>
      <c r="AE254" s="6" t="n"/>
      <c r="AF254" s="6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  <c r="CU254" s="3" t="n"/>
      <c r="CV254" s="3" t="n"/>
      <c r="CW254" s="3" t="n"/>
      <c r="CX254" s="3" t="n"/>
      <c r="CY254" s="3" t="n"/>
    </row>
    <row r="255" hidden="1" outlineLevel="1">
      <c r="C255" s="34" t="inlineStr">
        <is>
          <t xml:space="preserve">Provisão de Risco Cíveis, Trabalhistas e Tributários </t>
        </is>
      </c>
      <c r="D255" s="6" t="n"/>
      <c r="E255" s="6" t="n"/>
      <c r="F255" s="6" t="n"/>
      <c r="G255" s="6" t="n"/>
      <c r="H255" s="3" t="n"/>
      <c r="I255" s="6" t="n"/>
      <c r="J255" s="6" t="n"/>
      <c r="K255" s="6" t="n"/>
      <c r="L255" s="6" t="n"/>
      <c r="M255" s="3" t="n"/>
      <c r="N255" s="6" t="n"/>
      <c r="O255" s="6" t="n"/>
      <c r="P255" s="6" t="n"/>
      <c r="Q255" s="6" t="n"/>
      <c r="R255" s="3" t="n"/>
      <c r="S255" s="6" t="n"/>
      <c r="T255" s="6" t="n"/>
      <c r="U255" s="6" t="n"/>
      <c r="V255" s="6" t="n"/>
      <c r="W255" s="3" t="n"/>
      <c r="X255" s="6" t="n"/>
      <c r="Y255" s="6" t="n"/>
      <c r="Z255" s="6" t="n"/>
      <c r="AA255" s="6" t="n"/>
      <c r="AB255" s="3" t="n"/>
      <c r="AC255" s="6" t="n"/>
      <c r="AD255" s="6" t="n"/>
      <c r="AE255" s="6" t="n"/>
      <c r="AF255" s="6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  <c r="CU255" s="3" t="n"/>
      <c r="CV255" s="3" t="n"/>
      <c r="CW255" s="3" t="n"/>
      <c r="CX255" s="3" t="n"/>
      <c r="CY255" s="3" t="n"/>
    </row>
    <row r="256" hidden="1" outlineLevel="1">
      <c r="C256" s="34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  <c r="CU256" s="3" t="n"/>
      <c r="CV256" s="3" t="n"/>
      <c r="CW256" s="3" t="n"/>
      <c r="CX256" s="3" t="n"/>
      <c r="CY256" s="3" t="n"/>
    </row>
    <row r="257" collapsed="1" customFormat="1" s="17">
      <c r="A257" s="13" t="n"/>
      <c r="B257" s="13" t="n"/>
      <c r="C257" s="27" t="inlineStr">
        <is>
          <t>Total Liabilities</t>
        </is>
      </c>
      <c r="D257" s="16" t="e">
        <f>SUM(D208+D212+D214+D215+D222+D223+D224+D227+D245+D248+D249+D250)</f>
        <v>#N/A</v>
      </c>
      <c r="E257" s="16">
        <f>SUM(E208+E212+E214+E215+E222+E223+E224+E227+E245+E248+E249+E250)</f>
        <v>2814.185</v>
      </c>
      <c r="F257" s="16">
        <f>SUM(F208+F212+F214+F215+F222+F223+F224+F227+F245+F248+F249+F250)</f>
        <v>3208.7150688</v>
      </c>
      <c r="G257" s="16">
        <f>SUM(G208+G212+G214+G215+G222+G223+G224+G227+G245+G248+G249+G250)</f>
        <v>2491.17140119</v>
      </c>
      <c r="H257" s="16">
        <f>SUM(H208,H212,H214,H215,H222,H223,H227,H224,H245,H248,H249,H250)</f>
        <v>2491.17140119</v>
      </c>
      <c r="I257" s="16">
        <f>SUM(I208+I212+I214+I215+I222+I223+I224+I227+I245+I248+I249+I250)</f>
        <v>2317.24483932</v>
      </c>
      <c r="J257" s="16">
        <f>SUM(J208+J212+J214+J215+J222+J223+J224+J227+J245+J248+J249+J250)</f>
        <v>2703.77640646</v>
      </c>
      <c r="K257" s="16">
        <f>SUM(K208+K212+K214+K215+K222+K223+K224+K227+K245+K248+K249+K250)</f>
        <v>2937.714</v>
      </c>
      <c r="L257" s="16">
        <f>SUM(L208+L212+L214+L215+L222+L223+L224+L227+L245+L248+L249+L250)</f>
        <v>3478.41</v>
      </c>
      <c r="M257" s="16">
        <f>SUM(M208,M212,M214,M215,M222,M223,M227,M224,M245,M248,M249,M250)</f>
        <v>3478.41</v>
      </c>
      <c r="N257" s="16">
        <f>SUM(N208+N212+N214+N215+N222+N223+N224+N227+N245+N248+N249+N250)</f>
        <v>3784.275</v>
      </c>
      <c r="O257" s="16">
        <f>SUM(O208+O212+O214+O215+O222+O223+O224+O227+O245+O248+O249+O250)</f>
        <v>4494.62744904</v>
      </c>
      <c r="P257" s="16">
        <f>SUM(P208+P212+P214+P215+P222+P223+P224+P227+P245+P248+P249+P250)</f>
        <v>5156.508938</v>
      </c>
      <c r="Q257" s="16">
        <f>SUM(Q208+Q212+Q214+Q215+Q222+Q223+Q224+Q227+Q245+Q248+Q249+Q250)</f>
        <v>5721.95294475</v>
      </c>
      <c r="R257" s="16">
        <f>SUM(R208,R212,R214,R215,R222,R223,R227,R224,R245,R248,R249,R250)</f>
        <v>5721.95294475</v>
      </c>
      <c r="S257" s="16">
        <f>SUM(S208+S212+S214+S215+S222+S223+S224+S227+S245+S248+S249+S250)</f>
        <v>5944.57322189</v>
      </c>
      <c r="T257" s="16">
        <f>SUM(T208+T212+T214+T215+T222+T223+T224+T227+T245+T248+T249+T250)</f>
        <v>6302.135</v>
      </c>
      <c r="U257" s="16">
        <f>SUM(U208+U212+U214+U215+U222+U223+U224+U227+U245+U248+U249+U250)</f>
        <v>6670.927</v>
      </c>
      <c r="V257" s="16">
        <f>SUM(V208+V212+V214+V215+V222+V223+V224+V227+V245+V248+V249+V250)</f>
        <v>7583.78279394</v>
      </c>
      <c r="W257" s="16">
        <f>SUM(W208,W212,W214,W215,W222,W223,W227,W224,W245,W248,W249,W250)</f>
        <v>7583.78279394</v>
      </c>
      <c r="X257" s="16">
        <f>SUM(X208+X212+X214+X215+X222+X223+X224+X227+X245+X248+X249+X250)</f>
        <v>7601.73</v>
      </c>
      <c r="Y257" s="16">
        <f>SUM(Y208+Y212+Y214+Y215+Y222+Y223+Y224+Y227+Y245+Y248+Y249+Y250)</f>
        <v>8030.174</v>
      </c>
      <c r="Z257" s="16">
        <f>SUM(Z208+Z212+Z214+Z215+Z222+Z223+Z224+Z227+Z245+Z248+Z249+Z250)</f>
        <v>8503.939</v>
      </c>
      <c r="AA257" s="16">
        <f>SUM(AA208+AA212+AA214+AA215+AA222+AA223+AA224+AA227+AA245+AA248+AA249+AA250)</f>
        <v>8995.874</v>
      </c>
      <c r="AB257" s="16">
        <f>SUM(AB208,AB212,AB214,AB215,AB222,AB223,AB227,AB224,AB245,AB248,AB249,AB250)</f>
        <v>8995.874</v>
      </c>
      <c r="AC257" s="16">
        <f>SUM(AC208+AC212+AC214+AC215+AC222+AC223+AC224+AC227+AC245+AC248+AC249+AC250)</f>
        <v>9986.08</v>
      </c>
      <c r="AD257" s="16">
        <f>SUM(AD208+AD212+AD214+AD215+AD222+AD223+AD224+AD227+AD245+AD248+AD249+AD250)</f>
        <v>10054.298</v>
      </c>
      <c r="AE257" s="16">
        <f>SUM(AE208+AE212+AE214+AE215+AE222+AE223+AE224+AE227+AE245+AE248+AE249+AE250)</f>
        <v>12444.695</v>
      </c>
      <c r="AF257" s="16">
        <f>SUM(AF208+AF212+AF214+AF215+AF222+AF223+AF224+AF227+AF245+AF248+AF249+AF250)</f>
        <v>12884.198</v>
      </c>
      <c r="AG257" s="16">
        <f>SUM(AG208,AG212,AG214,AG215,AG222,AG223,AG227,AG224,AG245,AG248,AG249,AG250)</f>
        <v>12884.198</v>
      </c>
      <c r="AH257" s="16">
        <f>SUM(AH208+AH212+AH214+AH215+AH222+AH223+AH224+AH227+AH245+AH248+AH249+AH250)</f>
        <v>12739.833</v>
      </c>
      <c r="AI257" s="16">
        <f>SUM(AI208+AI212+AI214+AI215+AI222+AI223+AI224+AI227+AI245+AI248+AI249+AI250)</f>
        <v>12807.881</v>
      </c>
      <c r="AJ257" s="16">
        <f>SUM(AJ208+AJ212+AJ214+AJ215+AJ222+AJ223+AJ224+AJ227+AJ245+AJ248+AJ249+AJ250)</f>
        <v>7235.081</v>
      </c>
      <c r="AK257" s="16">
        <f>SUM(AK208+AK212+AK214+AK215+AK222+AK223+AK224+AK227+AK245+AK248+AK249+AK250)</f>
        <v>7235.081</v>
      </c>
      <c r="AL257" s="16">
        <f>SUM(AL208,AL212,AL214,AL215,AL222,AL223,AL227,AL224,AL245,AL248,AL249,AL250)</f>
        <v>7235.081</v>
      </c>
      <c r="AM257" s="16" t="e">
        <f>SUM(AM208+AM212+AM214+AM215+AM222+AM223+AM224+AM227+AM245+AM248+AM249+AM250)</f>
        <v>#DIV/0!</v>
      </c>
      <c r="AN257" s="16">
        <f>SUM(AN208+AN212+AN214+AN215+AN222+AN223+AN224+AN227+AN245+AN248+AN249+AN250)</f>
        <v>7235.081</v>
      </c>
      <c r="AO257" s="16" t="e">
        <f>SUM(AO208+AO212+AO214+AO215+AO222+AO223+AO224+AO227+AO245+AO248+AO249+AO250)</f>
        <v>#DIV/0!</v>
      </c>
      <c r="AP257" s="16" t="e">
        <f>SUM(AP208+AP212+AP214+AP215+AP222+AP223+AP224+AP227+AP245+AP248+AP249+AP250)</f>
        <v>#DIV/0!</v>
      </c>
      <c r="AQ257" s="16" t="e">
        <f>SUM(AQ208,AQ212,AQ214,AQ215,AQ222,AQ223,AQ227,AQ224,AQ245,AQ248,AQ249,AQ250)</f>
        <v>#DIV/0!</v>
      </c>
      <c r="AR257" s="16" t="e">
        <f>SUM(AR208+AR212+AR214+AR215+AR222+AR223+AR224+AR227+AR245+AR248+AR249+AR250)</f>
        <v>#DIV/0!</v>
      </c>
      <c r="AS257" s="16" t="e">
        <f>SUM(AS208+AS212+AS214+AS215+AS222+AS223+AS224+AS227+AS245+AS248+AS249+AS250)</f>
        <v>#DIV/0!</v>
      </c>
      <c r="AT257" s="16" t="e">
        <f>SUM(AT208+AT212+AT214+AT215+AT222+AT223+AT224+AT227+AT245+AT248+AT249+AT250)</f>
        <v>#DIV/0!</v>
      </c>
      <c r="AU257" s="16" t="e">
        <f>SUM(AU208+AU212+AU214+AU215+AU222+AU223+AU224+AU227+AU245+AU248+AU249+AU250)</f>
        <v>#DIV/0!</v>
      </c>
      <c r="AV257" s="16" t="e">
        <f>SUM(AV208,AV212,AV214,AV215,AV222,AV223,AV227,AV224,AV245,AV248,AV249,AV250)</f>
        <v>#DIV/0!</v>
      </c>
      <c r="AW257" s="16" t="e">
        <f>SUM(AW208+AW212+AW214+AW215+AW222+AW223+AW224+AW227+AW245+AW248+AW249+AW250)</f>
        <v>#DIV/0!</v>
      </c>
      <c r="AX257" s="16" t="e">
        <f>SUM(AX208+AX212+AX214+AX215+AX222+AX223+AX224+AX227+AX245+AX248+AX249+AX250)</f>
        <v>#DIV/0!</v>
      </c>
      <c r="AY257" s="16" t="e">
        <f>SUM(AY208+AY212+AY214+AY215+AY222+AY223+AY224+AY227+AY245+AY248+AY249+AY250)</f>
        <v>#DIV/0!</v>
      </c>
      <c r="AZ257" s="16" t="e">
        <f>SUM(AZ208+AZ212+AZ214+AZ215+AZ222+AZ223+AZ224+AZ227+AZ245+AZ248+AZ249+AZ250)</f>
        <v>#DIV/0!</v>
      </c>
      <c r="BA257" s="16" t="e">
        <f>SUM(BA208,BA212,BA214,BA215,BA222,BA223,BA227,BA224,BA245,BA248,BA249,BA250)</f>
        <v>#DIV/0!</v>
      </c>
      <c r="BB257" s="16" t="e">
        <f>SUM(BB208+BB212+BB214+BB215+BB222+BB223+BB224+BB227+BB245+BB248+BB249+BB250)</f>
        <v>#DIV/0!</v>
      </c>
      <c r="BC257" s="16" t="e">
        <f>SUM(BC208+BC212+BC214+BC215+BC222+BC223+BC224+BC227+BC245+BC248+BC249+BC250)</f>
        <v>#DIV/0!</v>
      </c>
      <c r="BD257" s="16" t="e">
        <f>SUM(BD208+BD212+BD214+BD215+BD222+BD223+BD224+BD227+BD245+BD248+BD249+BD250)</f>
        <v>#DIV/0!</v>
      </c>
      <c r="BE257" s="16" t="e">
        <f>SUM(BE208+BE212+BE214+BE215+BE222+BE223+BE224+BE227+BE245+BE248+BE249+BE250)</f>
        <v>#DIV/0!</v>
      </c>
      <c r="BF257" s="16" t="e">
        <f>SUM(BF208,BF212,BF214,BF215,BF222,BF223,BF227,BF224,BF245,BF248,BF249,BF250)</f>
        <v>#DIV/0!</v>
      </c>
      <c r="BG257" s="16" t="e">
        <f>SUM(BG208+BG212+BG214+BG215+BG222+BG223+BG224+BG227+BG245+BG248+BG249+BG250)</f>
        <v>#DIV/0!</v>
      </c>
      <c r="BH257" s="16" t="e">
        <f>SUM(BH208+BH212+BH214+BH215+BH222+BH223+BH224+BH227+BH245+BH248+BH249+BH250)</f>
        <v>#DIV/0!</v>
      </c>
      <c r="BI257" s="16" t="e">
        <f>SUM(BI208+BI212+BI214+BI215+BI222+BI223+BI224+BI227+BI245+BI248+BI249+BI250)</f>
        <v>#DIV/0!</v>
      </c>
      <c r="BJ257" s="16" t="e">
        <f>SUM(BJ208+BJ212+BJ214+BJ215+BJ222+BJ223+BJ224+BJ227+BJ245+BJ248+BJ249+BJ250)</f>
        <v>#DIV/0!</v>
      </c>
      <c r="BK257" s="16" t="e">
        <f>SUM(BK208,BK212,BK214,BK215,BK222,BK223,BK227,BK224,BK245,BK248,BK249,BK250)</f>
        <v>#DIV/0!</v>
      </c>
      <c r="BL257" s="16" t="e">
        <f>SUM(BL208+BL212+BL214+BL215+BL222+BL223+BL224+BL227+BL245+BL248+BL249+BL250)</f>
        <v>#DIV/0!</v>
      </c>
      <c r="BM257" s="16" t="e">
        <f>SUM(BM208+BM212+BM214+BM215+BM222+BM223+BM224+BM227+BM245+BM248+BM249+BM250)</f>
        <v>#DIV/0!</v>
      </c>
      <c r="BN257" s="16" t="e">
        <f>SUM(BN208+BN212+BN214+BN215+BN222+BN223+BN224+BN227+BN245+BN248+BN249+BN250)</f>
        <v>#DIV/0!</v>
      </c>
      <c r="BO257" s="16" t="e">
        <f>SUM(BO208+BO212+BO214+BO215+BO222+BO223+BO224+BO227+BO245+BO248+BO249+BO250)</f>
        <v>#DIV/0!</v>
      </c>
      <c r="BP257" s="16" t="e">
        <f>SUM(BP208,BP212,BP214,BP215,BP222,BP223,BP227,BP224,BP245,BP248,BP249,BP250)</f>
        <v>#DIV/0!</v>
      </c>
      <c r="BQ257" s="16" t="e">
        <f>SUM(BQ208+BQ212+BQ214+BQ215+BQ222+BQ223+BQ224+BQ227+BQ245+BQ248+BQ249+BQ250)</f>
        <v>#DIV/0!</v>
      </c>
      <c r="BR257" s="16" t="e">
        <f>SUM(BR208+BR212+BR214+BR215+BR222+BR223+BR224+BR227+BR245+BR248+BR249+BR250)</f>
        <v>#DIV/0!</v>
      </c>
      <c r="BS257" s="16" t="e">
        <f>SUM(BS208+BS212+BS214+BS215+BS222+BS223+BS224+BS227+BS245+BS248+BS249+BS250)</f>
        <v>#DIV/0!</v>
      </c>
      <c r="BT257" s="16" t="e">
        <f>SUM(BT208+BT212+BT214+BT215+BT222+BT223+BT224+BT227+BT245+BT248+BT249+BT250)</f>
        <v>#DIV/0!</v>
      </c>
      <c r="BU257" s="16" t="e">
        <f>SUM(BU208,BU212,BU214,BU215,BU222,BU223,BU227,BU224,BU245,BU248,BU249,BU250)</f>
        <v>#DIV/0!</v>
      </c>
      <c r="BV257" s="16" t="e">
        <f>SUM(BV208+BV212+BV214+BV215+BV222+BV223+BV224+BV227+BV245+BV248+BV249+BV250)</f>
        <v>#DIV/0!</v>
      </c>
      <c r="BW257" s="16" t="e">
        <f>SUM(BW208+BW212+BW214+BW215+BW222+BW223+BW224+BW227+BW245+BW248+BW249+BW250)</f>
        <v>#DIV/0!</v>
      </c>
      <c r="BX257" s="16" t="e">
        <f>SUM(BX208+BX212+BX214+BX215+BX222+BX223+BX224+BX227+BX245+BX248+BX249+BX250)</f>
        <v>#DIV/0!</v>
      </c>
      <c r="BY257" s="16" t="e">
        <f>SUM(BY208+BY212+BY214+BY215+BY222+BY223+BY224+BY227+BY245+BY248+BY249+BY250)</f>
        <v>#DIV/0!</v>
      </c>
      <c r="BZ257" s="16" t="e">
        <f>SUM(BZ208,BZ212,BZ214,BZ215,BZ222,BZ223,BZ227,BZ224,BZ245,BZ248,BZ249,BZ250)</f>
        <v>#DIV/0!</v>
      </c>
      <c r="CA257" s="16" t="e">
        <f>SUM(CA208+CA212+CA214+CA215+CA222+CA223+CA224+CA227+CA245+CA248+CA249+CA250)</f>
        <v>#DIV/0!</v>
      </c>
      <c r="CB257" s="16" t="e">
        <f>SUM(CB208+CB212+CB214+CB215+CB222+CB223+CB224+CB227+CB245+CB248+CB249+CB250)</f>
        <v>#DIV/0!</v>
      </c>
      <c r="CC257" s="16" t="e">
        <f>SUM(CC208+CC212+CC214+CC215+CC222+CC223+CC224+CC227+CC245+CC248+CC249+CC250)</f>
        <v>#DIV/0!</v>
      </c>
      <c r="CD257" s="16" t="e">
        <f>SUM(CD208+CD212+CD214+CD215+CD222+CD223+CD224+CD227+CD245+CD248+CD249+CD250)</f>
        <v>#DIV/0!</v>
      </c>
      <c r="CE257" s="16" t="e">
        <f>SUM(CE208,CE212,CE214,CE215,CE222,CE223,CE227,CE224,CE245,CE248,CE249,CE250)</f>
        <v>#DIV/0!</v>
      </c>
      <c r="CF257" s="16" t="e">
        <f>SUM(CF208+CF212+CF214+CF215+CF222+CF223+CF224+CF227+CF245+CF248+CF249+CF250)</f>
        <v>#DIV/0!</v>
      </c>
      <c r="CG257" s="16" t="e">
        <f>SUM(CG208+CG212+CG214+CG215+CG222+CG223+CG224+CG227+CG245+CG248+CG249+CG250)</f>
        <v>#DIV/0!</v>
      </c>
      <c r="CH257" s="16" t="e">
        <f>SUM(CH208+CH212+CH214+CH215+CH222+CH223+CH224+CH227+CH245+CH248+CH249+CH250)</f>
        <v>#DIV/0!</v>
      </c>
      <c r="CI257" s="16" t="e">
        <f>SUM(CI208+CI212+CI214+CI215+CI222+CI223+CI224+CI227+CI245+CI248+CI249+CI250)</f>
        <v>#DIV/0!</v>
      </c>
      <c r="CJ257" s="16" t="e">
        <f>SUM(CJ208,CJ212,CJ214,CJ215,CJ222,CJ223,CJ227,CJ224,CJ245,CJ248,CJ249,CJ250)</f>
        <v>#DIV/0!</v>
      </c>
      <c r="CK257" s="16" t="e">
        <f>SUM(CK208+CK212+CK214+CK215+CK222+CK223+CK224+CK227+CK245+CK248+CK249+CK250)</f>
        <v>#DIV/0!</v>
      </c>
      <c r="CL257" s="16" t="e">
        <f>SUM(CL208+CL212+CL214+CL215+CL222+CL223+CL224+CL227+CL245+CL248+CL249+CL250)</f>
        <v>#DIV/0!</v>
      </c>
      <c r="CM257" s="16" t="e">
        <f>SUM(CM208+CM212+CM214+CM215+CM222+CM223+CM224+CM227+CM245+CM248+CM249+CM250)</f>
        <v>#DIV/0!</v>
      </c>
      <c r="CN257" s="16" t="e">
        <f>SUM(CN208+CN212+CN214+CN215+CN222+CN223+CN224+CN227+CN245+CN248+CN249+CN250)</f>
        <v>#DIV/0!</v>
      </c>
      <c r="CO257" s="16" t="e">
        <f>SUM(CO208,CO212,CO214,CO215,CO222,CO223,CO227,CO224,CO245,CO248,CO249,CO250)</f>
        <v>#DIV/0!</v>
      </c>
      <c r="CP257" s="16" t="e">
        <f>SUM(CP208+CP212+CP214+CP215+CP222+CP223+CP224+CP227+CP245+CP248+CP249+CP250)</f>
        <v>#DIV/0!</v>
      </c>
      <c r="CQ257" s="16" t="e">
        <f>SUM(CQ208+CQ212+CQ214+CQ215+CQ222+CQ223+CQ224+CQ227+CQ245+CQ248+CQ249+CQ250)</f>
        <v>#DIV/0!</v>
      </c>
      <c r="CR257" s="16" t="e">
        <f>SUM(CR208+CR212+CR214+CR215+CR222+CR223+CR224+CR227+CR245+CR248+CR249+CR250)</f>
        <v>#DIV/0!</v>
      </c>
      <c r="CS257" s="16" t="e">
        <f>SUM(CS208+CS212+CS214+CS215+CS222+CS223+CS224+CS227+CS245+CS248+CS249+CS250)</f>
        <v>#DIV/0!</v>
      </c>
      <c r="CT257" s="16" t="e">
        <f>SUM(CT208,CT212,CT214,CT215,CT222,CT223,CT227,CT224,CT245,CT248,CT249,CT250)</f>
        <v>#DIV/0!</v>
      </c>
      <c r="CU257" s="16" t="e">
        <f>SUM(CU208+CU212+CU214+CU215+CU222+CU223+CU224+CU227+CU245+CU248+CU249+CU250)</f>
        <v>#DIV/0!</v>
      </c>
      <c r="CV257" s="16" t="e">
        <f>SUM(CV208+CV212+CV214+CV215+CV222+CV223+CV224+CV227+CV245+CV248+CV249+CV250)</f>
        <v>#DIV/0!</v>
      </c>
      <c r="CW257" s="16" t="e">
        <f>SUM(CW208+CW212+CW214+CW215+CW222+CW223+CW224+CW227+CW245+CW248+CW249+CW250)</f>
        <v>#DIV/0!</v>
      </c>
      <c r="CX257" s="16" t="e">
        <f>SUM(CX208+CX212+CX214+CX215+CX222+CX223+CX224+CX227+CX245+CX248+CX249+CX250)</f>
        <v>#DIV/0!</v>
      </c>
      <c r="CY257" s="16" t="e">
        <f>SUM(CY208,CY212,CY214,CY215,CY222,CY223,CY227,CY224,CY245,CY248,CY249,CY250)</f>
        <v>#DIV/0!</v>
      </c>
    </row>
    <row r="258">
      <c r="C258" s="26" t="inlineStr">
        <is>
          <t>Minority interest</t>
        </is>
      </c>
      <c r="D258" s="25" t="e">
        <f>INDEX('Inputs (2)'!$D$41:$AL$41,MATCH(D$7,'Inputs (2)'!$D$2:$AL$2,0))</f>
        <v>#N/A</v>
      </c>
      <c r="E258" s="25">
        <f>INDEX('Inputs (2)'!$D$41:$AL$41,MATCH(E$7,'Inputs (2)'!$D$2:$AL$2,0))</f>
        <v>63.302648</v>
      </c>
      <c r="F258" s="25">
        <f>INDEX('Inputs (2)'!$D$41:$AL$41,MATCH(F$7,'Inputs (2)'!$D$2:$AL$2,0))</f>
        <v>63.553</v>
      </c>
      <c r="G258" s="25">
        <f>INDEX('Inputs (2)'!$D$41:$AL$41,MATCH(G$7,'Inputs (2)'!$D$2:$AL$2,0))</f>
        <v>63.284</v>
      </c>
      <c r="H258" s="3">
        <f>G258</f>
        <v>63.284</v>
      </c>
      <c r="I258" s="25">
        <f>INDEX('Inputs (2)'!$D$41:$AL$41,MATCH(I$7,'Inputs (2)'!$D$2:$AL$2,0))</f>
        <v>64.457</v>
      </c>
      <c r="J258" s="25">
        <f>INDEX('Inputs (2)'!$D$41:$AL$41,MATCH(J$7,'Inputs (2)'!$D$2:$AL$2,0))</f>
        <v>67.415</v>
      </c>
      <c r="K258" s="25">
        <f>INDEX('Inputs (2)'!$D$41:$AL$41,MATCH(K$7,'Inputs (2)'!$D$2:$AL$2,0))</f>
        <v>70.928</v>
      </c>
      <c r="L258" s="25">
        <f>INDEX('Inputs (2)'!$D$41:$AL$41,MATCH(L$7,'Inputs (2)'!$D$2:$AL$2,0))</f>
        <v>73.394</v>
      </c>
      <c r="M258" s="3">
        <f>L258</f>
        <v>73.394</v>
      </c>
      <c r="N258" s="25">
        <f>INDEX('Inputs (2)'!$D$41:$AL$41,MATCH(N$7,'Inputs (2)'!$D$2:$AL$2,0))</f>
        <v>75.89</v>
      </c>
      <c r="O258" s="25">
        <f>INDEX('Inputs (2)'!$D$41:$AL$41,MATCH(O$7,'Inputs (2)'!$D$2:$AL$2,0))</f>
        <v>79.272</v>
      </c>
      <c r="P258" s="25">
        <f>INDEX('Inputs (2)'!$D$41:$AL$41,MATCH(P$7,'Inputs (2)'!$D$2:$AL$2,0))</f>
        <v>82.943</v>
      </c>
      <c r="Q258" s="25">
        <f>INDEX('Inputs (2)'!$D$41:$AL$41,MATCH(Q$7,'Inputs (2)'!$D$2:$AL$2,0))</f>
        <v>86.379</v>
      </c>
      <c r="R258" s="3">
        <f>Q258</f>
        <v>86.379</v>
      </c>
      <c r="S258" s="25">
        <f>INDEX('Inputs (2)'!$D$41:$AL$41,MATCH(S$7,'Inputs (2)'!$D$2:$AL$2,0))</f>
        <v>89.2724</v>
      </c>
      <c r="T258" s="25">
        <f>INDEX('Inputs (2)'!$D$41:$AL$41,MATCH(T$7,'Inputs (2)'!$D$2:$AL$2,0))</f>
        <v>93.836</v>
      </c>
      <c r="U258" s="25">
        <f>INDEX('Inputs (2)'!$D$41:$AL$41,MATCH(U$7,'Inputs (2)'!$D$2:$AL$2,0))</f>
        <v>98.03</v>
      </c>
      <c r="V258" s="25">
        <f>INDEX('Inputs (2)'!$D$41:$AL$41,MATCH(V$7,'Inputs (2)'!$D$2:$AL$2,0))</f>
        <v>101.241</v>
      </c>
      <c r="W258" s="3">
        <f>V258</f>
        <v>101.241</v>
      </c>
      <c r="X258" s="25">
        <f>INDEX('Inputs (2)'!$D$41:$AL$41,MATCH(X$7,'Inputs (2)'!$D$2:$AL$2,0))</f>
        <v>103.804</v>
      </c>
      <c r="Y258" s="25">
        <f>INDEX('Inputs (2)'!$D$41:$AL$41,MATCH(Y$7,'Inputs (2)'!$D$2:$AL$2,0))</f>
        <v>108.517</v>
      </c>
      <c r="Z258" s="25">
        <f>INDEX('Inputs (2)'!$D$41:$AL$41,MATCH(Z$7,'Inputs (2)'!$D$2:$AL$2,0))</f>
        <v>121.956</v>
      </c>
      <c r="AA258" s="25">
        <f>INDEX('Inputs (2)'!$D$41:$AL$41,MATCH(AA$7,'Inputs (2)'!$D$2:$AL$2,0))</f>
        <v>76.683</v>
      </c>
      <c r="AB258" s="3">
        <f>AA258</f>
        <v>76.683</v>
      </c>
      <c r="AC258" s="25">
        <f>INDEX('Inputs (2)'!$D$41:$AL$41,MATCH(AC$7,'Inputs (2)'!$D$2:$AL$2,0))</f>
        <v>79.696</v>
      </c>
      <c r="AD258" s="25">
        <f>INDEX('Inputs (2)'!$D$41:$AL$41,MATCH(AD$7,'Inputs (2)'!$D$2:$AL$2,0))</f>
        <v>85.385</v>
      </c>
      <c r="AE258" s="25">
        <f>INDEX('Inputs (2)'!$D$41:$AL$41,MATCH(AE$7,'Inputs (2)'!$D$2:$AL$2,0))</f>
        <v>1058.071</v>
      </c>
      <c r="AF258" s="25">
        <f>INDEX('Inputs (2)'!$D$41:$AL$41,MATCH(AF$7,'Inputs (2)'!$D$2:$AL$2,0))</f>
        <v>1083.859</v>
      </c>
      <c r="AG258" s="3">
        <f>AF258</f>
        <v>1083.859</v>
      </c>
      <c r="AH258" s="3">
        <f>INDEX('Inputs (2)'!$D$41:$AL$41,MATCH(AH$7,'Inputs (2)'!$D$2:$AL$2,0))</f>
        <v>1061.9</v>
      </c>
      <c r="AI258" s="3">
        <f>INDEX('Inputs (2)'!$D$41:$AL$41,MATCH(AI$7,'Inputs (2)'!$D$2:$AL$2,0))</f>
        <v>1160.623</v>
      </c>
      <c r="AJ258" s="3">
        <f>AI258-AJ146+AJ261</f>
        <v>1156.65</v>
      </c>
      <c r="AK258" s="3">
        <f>AJ258-AK146+AK261</f>
        <v>1175.337</v>
      </c>
      <c r="AL258" s="3">
        <f>AK258</f>
        <v>1175.337</v>
      </c>
      <c r="AM258" s="3">
        <f>AL258-AM146+AM261</f>
        <v>1153.378</v>
      </c>
      <c r="AN258" s="3">
        <f>AM258-AN146+AN261</f>
        <v>1158.519</v>
      </c>
      <c r="AO258" s="3">
        <f>AN258-AO146+AO261</f>
        <v>1154.546</v>
      </c>
      <c r="AP258" s="3">
        <f>AO258-AP146+AP261</f>
        <v>1173.233</v>
      </c>
      <c r="AQ258" s="3">
        <f>AP258</f>
        <v>1173.233</v>
      </c>
      <c r="AR258" s="3">
        <f>AQ258-AR146+AR261</f>
        <v>1151.274</v>
      </c>
      <c r="AS258" s="3">
        <f>AR258-AS146+AS261</f>
        <v>1156.415</v>
      </c>
      <c r="AT258" s="3">
        <f>AS258-AT146+AT261</f>
        <v>1152.442</v>
      </c>
      <c r="AU258" s="3">
        <f>AT258-AU146+AU261</f>
        <v>1171.129</v>
      </c>
      <c r="AV258" s="3">
        <f>AU258</f>
        <v>1171.129</v>
      </c>
      <c r="AW258" s="3">
        <f>AV258-AW146+AW261</f>
        <v>1149.17</v>
      </c>
      <c r="AX258" s="3">
        <f>AW258-AX146+AX261</f>
        <v>1154.311</v>
      </c>
      <c r="AY258" s="3">
        <f>AX258-AY146+AY261</f>
        <v>1150.338</v>
      </c>
      <c r="AZ258" s="3">
        <f>AY258-AZ146+AZ261</f>
        <v>1169.025</v>
      </c>
      <c r="BA258" s="3">
        <f>AZ258</f>
        <v>1169.025</v>
      </c>
      <c r="BB258" s="3">
        <f>BA258-BB146+BB261</f>
        <v>1147.066</v>
      </c>
      <c r="BC258" s="3">
        <f>BB258-BC146+BC261</f>
        <v>1152.207</v>
      </c>
      <c r="BD258" s="3">
        <f>BC258-BD146+BD261</f>
        <v>1148.234</v>
      </c>
      <c r="BE258" s="3">
        <f>BD258-BE146+BE261</f>
        <v>1166.921</v>
      </c>
      <c r="BF258" s="3">
        <f>BE258</f>
        <v>1166.921</v>
      </c>
      <c r="BG258" s="3">
        <f>BF258-BG146+BG261</f>
        <v>1144.962</v>
      </c>
      <c r="BH258" s="3">
        <f>BG258-BH146+BH261</f>
        <v>1150.103</v>
      </c>
      <c r="BI258" s="3">
        <f>BH258-BI146+BI261</f>
        <v>1146.13</v>
      </c>
      <c r="BJ258" s="3">
        <f>BI258-BJ146+BJ261</f>
        <v>1164.817</v>
      </c>
      <c r="BK258" s="3">
        <f>BJ258</f>
        <v>1164.817</v>
      </c>
      <c r="BL258" s="3">
        <f>BK258-BL146+BL261</f>
        <v>1142.858</v>
      </c>
      <c r="BM258" s="3">
        <f>BL258-BM146+BM261</f>
        <v>1147.999</v>
      </c>
      <c r="BN258" s="3">
        <f>BM258-BN146+BN261</f>
        <v>1144.026</v>
      </c>
      <c r="BO258" s="3">
        <f>BN258-BO146+BO261</f>
        <v>1162.713</v>
      </c>
      <c r="BP258" s="3">
        <f>BO258</f>
        <v>1162.713</v>
      </c>
      <c r="BQ258" s="3">
        <f>BP258-BQ146+BQ261</f>
        <v>1140.754</v>
      </c>
      <c r="BR258" s="3">
        <f>BQ258-BR146+BR261</f>
        <v>1145.895</v>
      </c>
      <c r="BS258" s="3">
        <f>BR258-BS146+BS261</f>
        <v>1141.922</v>
      </c>
      <c r="BT258" s="3">
        <f>BS258-BT146+BT261</f>
        <v>1160.609</v>
      </c>
      <c r="BU258" s="3">
        <f>BT258</f>
        <v>1160.609</v>
      </c>
      <c r="BV258" s="3">
        <f>BU258-BV146+BV261</f>
        <v>1138.65</v>
      </c>
      <c r="BW258" s="3">
        <f>BV258-BW146+BW261</f>
        <v>1143.791</v>
      </c>
      <c r="BX258" s="3">
        <f>BW258-BX146+BX261</f>
        <v>1139.818</v>
      </c>
      <c r="BY258" s="3">
        <f>BX258-BY146+BY261</f>
        <v>1158.505</v>
      </c>
      <c r="BZ258" s="3">
        <f>BY258</f>
        <v>1158.505</v>
      </c>
      <c r="CA258" s="3">
        <f>BZ258-CA146+CA261</f>
        <v>1136.546</v>
      </c>
      <c r="CB258" s="3">
        <f>CA258-CB146+CB261</f>
        <v>1141.687</v>
      </c>
      <c r="CC258" s="3">
        <f>CB258-CC146+CC261</f>
        <v>1137.714</v>
      </c>
      <c r="CD258" s="3">
        <f>CC258-CD146+CD261</f>
        <v>1156.401</v>
      </c>
      <c r="CE258" s="3">
        <f>CD258</f>
        <v>1156.401</v>
      </c>
      <c r="CF258" s="3">
        <f>CE258-CF146+CF261</f>
        <v>1134.442</v>
      </c>
      <c r="CG258" s="3">
        <f>CF258-CG146+CG261</f>
        <v>1139.583</v>
      </c>
      <c r="CH258" s="3">
        <f>CG258-CH146+CH261</f>
        <v>1135.61</v>
      </c>
      <c r="CI258" s="3">
        <f>CH258-CI146+CI261</f>
        <v>1154.297</v>
      </c>
      <c r="CJ258" s="3">
        <f>CI258</f>
        <v>1154.297</v>
      </c>
      <c r="CK258" s="3">
        <f>CJ258-CK146+CK261</f>
        <v>1132.338</v>
      </c>
      <c r="CL258" s="3">
        <f>CK258-CL146+CL261</f>
        <v>1137.479</v>
      </c>
      <c r="CM258" s="3">
        <f>CL258-CM146+CM261</f>
        <v>1133.506</v>
      </c>
      <c r="CN258" s="3">
        <f>CM258-CN146+CN261</f>
        <v>1152.193</v>
      </c>
      <c r="CO258" s="3">
        <f>CN258</f>
        <v>1152.193</v>
      </c>
      <c r="CP258" s="3">
        <f>CO258-CP146+CP261</f>
        <v>1130.234</v>
      </c>
      <c r="CQ258" s="3">
        <f>CP258-CQ146+CQ261</f>
        <v>1135.375</v>
      </c>
      <c r="CR258" s="3">
        <f>CQ258-CR146+CR261</f>
        <v>1131.402</v>
      </c>
      <c r="CS258" s="3">
        <f>CR258-CS146+CS261</f>
        <v>1150.089</v>
      </c>
      <c r="CT258" s="3">
        <f>CS258</f>
        <v>1150.089</v>
      </c>
      <c r="CU258" s="3">
        <f>CT258-CU146+CU261</f>
        <v>1128.13</v>
      </c>
      <c r="CV258" s="3">
        <f>CU258-CV146+CV261</f>
        <v>1133.271</v>
      </c>
      <c r="CW258" s="3">
        <f>CV258-CW146+CW261</f>
        <v>1129.298</v>
      </c>
      <c r="CX258" s="3">
        <f>CW258-CX146+CX261</f>
        <v>1147.985</v>
      </c>
      <c r="CY258" s="3">
        <f>CX258</f>
        <v>1147.985</v>
      </c>
    </row>
    <row r="259" hidden="1" outlineLevel="1" customFormat="1" s="39">
      <c r="A259" s="19" t="n"/>
      <c r="B259" s="19" t="n"/>
      <c r="C259" s="38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</row>
    <row r="260" hidden="1" outlineLevel="1" customFormat="1" s="39">
      <c r="A260" s="19" t="n"/>
      <c r="B260" s="19" t="n"/>
      <c r="C260" s="34" t="inlineStr">
        <is>
          <t>Minority Interest Expense - % YoY</t>
        </is>
      </c>
      <c r="D260" s="22" t="n"/>
      <c r="E260" s="40">
        <f>IF(D145=0,0,E145/D145-1)</f>
        <v>0</v>
      </c>
      <c r="F260" s="22" t="n"/>
      <c r="G260" s="22" t="n"/>
      <c r="H260" s="40" t="n"/>
      <c r="I260" s="22" t="n"/>
      <c r="J260" s="40">
        <f>IF(I145=0,0,J145/I145-1)</f>
        <v>0</v>
      </c>
      <c r="K260" s="22" t="n"/>
      <c r="L260" s="22" t="n"/>
      <c r="M260" s="40" t="n"/>
      <c r="N260" s="40">
        <f>IF(I145=0,0,N145/I145-1)</f>
        <v>0</v>
      </c>
      <c r="O260" s="40">
        <f>IF(J145=0,0,O145/J145-1)</f>
        <v>0</v>
      </c>
      <c r="P260" s="40">
        <f>IF(K145=0,0,P145/K145-1)</f>
        <v>0</v>
      </c>
      <c r="Q260" s="40">
        <f>IF(L145=0,0,Q145/L145-1)</f>
        <v>0</v>
      </c>
      <c r="R260" s="40" t="n"/>
      <c r="S260" s="40">
        <f>IF(N145=0,0,S145/N145-1)</f>
        <v>0</v>
      </c>
      <c r="T260" s="40">
        <f>IF(O145=0,0,T145/O145-1)</f>
        <v>0</v>
      </c>
      <c r="U260" s="40">
        <f>IF(P145=0,0,U145/P145-1)</f>
        <v>0</v>
      </c>
      <c r="V260" s="40">
        <f>IF(Q145=0,0,V145/Q145-1)</f>
        <v>0</v>
      </c>
      <c r="W260" s="40">
        <f>IF(R146=0,0,W146/R146-1)</f>
        <v>0</v>
      </c>
      <c r="X260" s="40">
        <f>IF(S145=0,0,X145/S145-1)</f>
        <v>0</v>
      </c>
      <c r="Y260" s="40">
        <f>IF(T145=0,0,Y145/T145-1)</f>
        <v>0</v>
      </c>
      <c r="Z260" s="40">
        <f>IF(U145=0,0,Z145/U145-1)</f>
        <v>0</v>
      </c>
      <c r="AA260" s="40">
        <f>IF(V145=0,0,AA145/V145-1)</f>
        <v>0</v>
      </c>
      <c r="AB260" s="40">
        <f>IF(W146=0,0,AB146/W146-1)</f>
        <v>0</v>
      </c>
      <c r="AC260" s="40">
        <f>IF(X145=0,0,AC145/X145-1)</f>
        <v>0</v>
      </c>
      <c r="AD260" s="40">
        <f>IF(Y145=0,0,AD145/Y145-1)</f>
        <v>0</v>
      </c>
      <c r="AE260" s="40">
        <f>IF(Z145=0,0,AE145/Z145-1)</f>
        <v>0</v>
      </c>
      <c r="AF260" s="40">
        <f>IF(AA145=0,0,AF145/AA145-1)</f>
        <v>0</v>
      </c>
      <c r="AG260" s="40">
        <f>IF(AB146=0,0,AG146/AB146-1)</f>
        <v>0</v>
      </c>
      <c r="AH260" s="35">
        <f>IF(AC145=0,0,AH145/AC145-1)</f>
        <v>0</v>
      </c>
      <c r="AI260" s="35">
        <f>IF(AD145=0,0,AI145/AD145-1)</f>
        <v>0</v>
      </c>
      <c r="AJ260" s="35" t="n"/>
      <c r="AK260" s="35" t="n"/>
      <c r="AL260" s="40">
        <f>IF(AG146=0,0,AL146/AG146-1)</f>
        <v>-1.14299306782656</v>
      </c>
      <c r="AM260" s="35" t="n"/>
      <c r="AN260" s="35" t="n"/>
      <c r="AO260" s="35" t="n"/>
      <c r="AP260" s="35" t="n"/>
      <c r="AQ260" s="40">
        <f>IF(AL146=0,0,AQ146/AL146-1)</f>
        <v>0</v>
      </c>
      <c r="AR260" s="35" t="n"/>
      <c r="AS260" s="35" t="n"/>
      <c r="AT260" s="35" t="n"/>
      <c r="AU260" s="35" t="n"/>
      <c r="AV260" s="40">
        <f>IF(AQ146=0,0,AV146/AQ146-1)</f>
        <v>0</v>
      </c>
      <c r="AW260" s="35" t="n"/>
      <c r="AX260" s="35" t="n"/>
      <c r="AY260" s="35" t="n"/>
      <c r="AZ260" s="35" t="n"/>
      <c r="BA260" s="40">
        <f>IF(AV146=0,0,BA146/AV146-1)</f>
        <v>0</v>
      </c>
      <c r="BB260" s="35" t="n"/>
      <c r="BC260" s="35" t="n"/>
      <c r="BD260" s="35" t="n"/>
      <c r="BE260" s="35" t="n"/>
      <c r="BF260" s="40">
        <f>IF(BA146=0,0,BF146/BA146-1)</f>
        <v>0</v>
      </c>
      <c r="BG260" s="35" t="n"/>
      <c r="BH260" s="35" t="n"/>
      <c r="BI260" s="35" t="n"/>
      <c r="BJ260" s="35" t="n"/>
      <c r="BK260" s="40">
        <f>IF(BF146=0,0,BK146/BF146-1)</f>
        <v>0</v>
      </c>
      <c r="BL260" s="35" t="n"/>
      <c r="BM260" s="35" t="n"/>
      <c r="BN260" s="35" t="n"/>
      <c r="BO260" s="35" t="n"/>
      <c r="BP260" s="40">
        <f>IF(BK146=0,0,BP146/BK146-1)</f>
        <v>0</v>
      </c>
      <c r="BQ260" s="35" t="n"/>
      <c r="BR260" s="35" t="n"/>
      <c r="BS260" s="35" t="n"/>
      <c r="BT260" s="35" t="n"/>
      <c r="BU260" s="40">
        <f>IF(BP146=0,0,BU146/BP146-1)</f>
        <v>0</v>
      </c>
      <c r="BV260" s="35" t="n"/>
      <c r="BW260" s="35" t="n"/>
      <c r="BX260" s="35" t="n"/>
      <c r="BY260" s="35" t="n"/>
      <c r="BZ260" s="40">
        <f>IF(BU146=0,0,BZ146/BU146-1)</f>
        <v>0</v>
      </c>
      <c r="CA260" s="35" t="n"/>
      <c r="CB260" s="35" t="n"/>
      <c r="CC260" s="35" t="n"/>
      <c r="CD260" s="35" t="n"/>
      <c r="CE260" s="40">
        <f>IF(BZ146=0,0,CE146/BZ146-1)</f>
        <v>0</v>
      </c>
      <c r="CF260" s="35" t="n"/>
      <c r="CG260" s="35" t="n"/>
      <c r="CH260" s="35" t="n"/>
      <c r="CI260" s="35" t="n"/>
      <c r="CJ260" s="40">
        <f>IF(CE146=0,0,CJ146/CE146-1)</f>
        <v>0</v>
      </c>
      <c r="CK260" s="35" t="n"/>
      <c r="CL260" s="35" t="n"/>
      <c r="CM260" s="35" t="n"/>
      <c r="CN260" s="35" t="n"/>
      <c r="CO260" s="40">
        <f>IF(CJ146=0,0,CO146/CJ146-1)</f>
        <v>0</v>
      </c>
      <c r="CP260" s="35" t="n"/>
      <c r="CQ260" s="35" t="n"/>
      <c r="CR260" s="35" t="n"/>
      <c r="CS260" s="35" t="n"/>
      <c r="CT260" s="40">
        <f>IF(CO146=0,0,CT146/CO146-1)</f>
        <v>0</v>
      </c>
      <c r="CU260" s="35" t="n"/>
      <c r="CV260" s="35" t="n"/>
      <c r="CW260" s="35" t="n"/>
      <c r="CX260" s="35" t="n"/>
      <c r="CY260" s="40">
        <f>IF(CT146=0,0,CY146/CT146-1)</f>
        <v>0</v>
      </c>
    </row>
    <row r="261" hidden="1" outlineLevel="1" customFormat="1" s="39">
      <c r="A261" s="19" t="n"/>
      <c r="B261" s="19" t="n"/>
      <c r="C261" s="34" t="inlineStr">
        <is>
          <t>Dividends (enter as -)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35" t="n"/>
      <c r="AI261" s="35" t="n"/>
      <c r="AJ261" s="35" t="n"/>
      <c r="AK261" s="35" t="n"/>
      <c r="AL261" s="22" t="n"/>
      <c r="AM261" s="35" t="n"/>
      <c r="AN261" s="35" t="n"/>
      <c r="AO261" s="35" t="n"/>
      <c r="AP261" s="35" t="n"/>
      <c r="AQ261" s="22" t="n"/>
      <c r="AR261" s="35" t="n"/>
      <c r="AS261" s="35" t="n"/>
      <c r="AT261" s="35" t="n"/>
      <c r="AU261" s="35" t="n"/>
      <c r="AV261" s="22" t="n"/>
      <c r="AW261" s="35" t="n"/>
      <c r="AX261" s="35" t="n"/>
      <c r="AY261" s="35" t="n"/>
      <c r="AZ261" s="35" t="n"/>
      <c r="BA261" s="22" t="n"/>
      <c r="BB261" s="35" t="n"/>
      <c r="BC261" s="35" t="n"/>
      <c r="BD261" s="35" t="n"/>
      <c r="BE261" s="35" t="n"/>
      <c r="BF261" s="22" t="n"/>
      <c r="BG261" s="35" t="n"/>
      <c r="BH261" s="35" t="n"/>
      <c r="BI261" s="35" t="n"/>
      <c r="BJ261" s="35" t="n"/>
      <c r="BK261" s="22" t="n"/>
      <c r="BL261" s="35" t="n"/>
      <c r="BM261" s="35" t="n"/>
      <c r="BN261" s="35" t="n"/>
      <c r="BO261" s="35" t="n"/>
      <c r="BP261" s="22" t="n"/>
      <c r="BQ261" s="35" t="n"/>
      <c r="BR261" s="35" t="n"/>
      <c r="BS261" s="35" t="n"/>
      <c r="BT261" s="35" t="n"/>
      <c r="BU261" s="22" t="n"/>
      <c r="BV261" s="35" t="n"/>
      <c r="BW261" s="35" t="n"/>
      <c r="BX261" s="35" t="n"/>
      <c r="BY261" s="35" t="n"/>
      <c r="BZ261" s="22" t="n"/>
      <c r="CA261" s="35" t="n"/>
      <c r="CB261" s="35" t="n"/>
      <c r="CC261" s="35" t="n"/>
      <c r="CD261" s="35" t="n"/>
      <c r="CE261" s="22" t="n"/>
      <c r="CF261" s="35" t="n"/>
      <c r="CG261" s="35" t="n"/>
      <c r="CH261" s="35" t="n"/>
      <c r="CI261" s="35" t="n"/>
      <c r="CJ261" s="22" t="n"/>
      <c r="CK261" s="35" t="n"/>
      <c r="CL261" s="35" t="n"/>
      <c r="CM261" s="35" t="n"/>
      <c r="CN261" s="35" t="n"/>
      <c r="CO261" s="22" t="n"/>
      <c r="CP261" s="35" t="n"/>
      <c r="CQ261" s="35" t="n"/>
      <c r="CR261" s="35" t="n"/>
      <c r="CS261" s="35" t="n"/>
      <c r="CT261" s="22" t="n"/>
      <c r="CU261" s="35" t="n"/>
      <c r="CV261" s="35" t="n"/>
      <c r="CW261" s="35" t="n"/>
      <c r="CX261" s="35" t="n"/>
      <c r="CY261" s="22" t="n"/>
    </row>
    <row r="262" hidden="1" outlineLevel="1" customFormat="1" s="39">
      <c r="A262" s="19" t="n"/>
      <c r="B262" s="19" t="n"/>
      <c r="C262" s="38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</row>
    <row r="263" collapsed="1">
      <c r="C263" s="26" t="inlineStr">
        <is>
          <t>Convertible Preferred Stock</t>
        </is>
      </c>
      <c r="D263" s="25" t="n"/>
      <c r="E263" s="25" t="n"/>
      <c r="F263" s="25" t="n"/>
      <c r="G263" s="25" t="n"/>
      <c r="H263" s="3">
        <f>G263</f>
        <v>0</v>
      </c>
      <c r="I263" s="25" t="n"/>
      <c r="J263" s="25" t="n"/>
      <c r="K263" s="25" t="n"/>
      <c r="L263" s="25" t="n"/>
      <c r="M263" s="3">
        <f>L263</f>
        <v>0</v>
      </c>
      <c r="N263" s="25" t="n"/>
      <c r="O263" s="25" t="n"/>
      <c r="P263" s="25" t="n"/>
      <c r="Q263" s="25" t="n"/>
      <c r="R263" s="3">
        <f>Q263</f>
        <v>0</v>
      </c>
      <c r="S263" s="25" t="n"/>
      <c r="T263" s="25" t="n"/>
      <c r="U263" s="25" t="n"/>
      <c r="V263" s="25" t="n"/>
      <c r="W263" s="3">
        <f>V263</f>
        <v>0</v>
      </c>
      <c r="X263" s="25" t="n"/>
      <c r="Y263" s="25" t="n"/>
      <c r="Z263" s="25" t="n"/>
      <c r="AA263" s="25" t="n"/>
      <c r="AB263" s="3">
        <f>AA263</f>
        <v>0</v>
      </c>
      <c r="AC263" s="25" t="n"/>
      <c r="AD263" s="25" t="n"/>
      <c r="AE263" s="25" t="n"/>
      <c r="AF263" s="25" t="n"/>
      <c r="AG263" s="3">
        <f>AF263</f>
        <v>0</v>
      </c>
      <c r="AH263" s="3">
        <f>AG263</f>
        <v>0</v>
      </c>
      <c r="AI263" s="3">
        <f>AH263</f>
        <v>0</v>
      </c>
      <c r="AJ263" s="3">
        <f>AI263</f>
        <v>0</v>
      </c>
      <c r="AK263" s="3">
        <f>AJ263</f>
        <v>0</v>
      </c>
      <c r="AL263" s="3">
        <f>AK263</f>
        <v>0</v>
      </c>
      <c r="AM263" s="3">
        <f>AL263</f>
        <v>0</v>
      </c>
      <c r="AN263" s="3">
        <f>AM263</f>
        <v>0</v>
      </c>
      <c r="AO263" s="3">
        <f>AN263</f>
        <v>0</v>
      </c>
      <c r="AP263" s="3">
        <f>AO263</f>
        <v>0</v>
      </c>
      <c r="AQ263" s="3">
        <f>AP263</f>
        <v>0</v>
      </c>
      <c r="AR263" s="3">
        <f>AQ263</f>
        <v>0</v>
      </c>
      <c r="AS263" s="3">
        <f>AR263</f>
        <v>0</v>
      </c>
      <c r="AT263" s="3">
        <f>AS263</f>
        <v>0</v>
      </c>
      <c r="AU263" s="3">
        <f>AT263</f>
        <v>0</v>
      </c>
      <c r="AV263" s="3">
        <f>AU263</f>
        <v>0</v>
      </c>
      <c r="AW263" s="3">
        <f>AV263</f>
        <v>0</v>
      </c>
      <c r="AX263" s="3">
        <f>AW263</f>
        <v>0</v>
      </c>
      <c r="AY263" s="3">
        <f>AX263</f>
        <v>0</v>
      </c>
      <c r="AZ263" s="3">
        <f>AY263</f>
        <v>0</v>
      </c>
      <c r="BA263" s="3">
        <f>AZ263</f>
        <v>0</v>
      </c>
      <c r="BB263" s="3">
        <f>BA263</f>
        <v>0</v>
      </c>
      <c r="BC263" s="3">
        <f>BB263</f>
        <v>0</v>
      </c>
      <c r="BD263" s="3">
        <f>BC263</f>
        <v>0</v>
      </c>
      <c r="BE263" s="3">
        <f>BD263</f>
        <v>0</v>
      </c>
      <c r="BF263" s="3">
        <f>BE263</f>
        <v>0</v>
      </c>
      <c r="BG263" s="3">
        <f>BF263</f>
        <v>0</v>
      </c>
      <c r="BH263" s="3">
        <f>BG263</f>
        <v>0</v>
      </c>
      <c r="BI263" s="3">
        <f>BH263</f>
        <v>0</v>
      </c>
      <c r="BJ263" s="3">
        <f>BI263</f>
        <v>0</v>
      </c>
      <c r="BK263" s="3">
        <f>BJ263</f>
        <v>0</v>
      </c>
      <c r="BL263" s="3">
        <f>BK263</f>
        <v>0</v>
      </c>
      <c r="BM263" s="3">
        <f>BL263</f>
        <v>0</v>
      </c>
      <c r="BN263" s="3">
        <f>BM263</f>
        <v>0</v>
      </c>
      <c r="BO263" s="3">
        <f>BN263</f>
        <v>0</v>
      </c>
      <c r="BP263" s="3">
        <f>BO263</f>
        <v>0</v>
      </c>
      <c r="BQ263" s="3">
        <f>BP263</f>
        <v>0</v>
      </c>
      <c r="BR263" s="3">
        <f>BQ263</f>
        <v>0</v>
      </c>
      <c r="BS263" s="3">
        <f>BR263</f>
        <v>0</v>
      </c>
      <c r="BT263" s="3">
        <f>BS263</f>
        <v>0</v>
      </c>
      <c r="BU263" s="3">
        <f>BT263</f>
        <v>0</v>
      </c>
      <c r="BV263" s="3">
        <f>BU263</f>
        <v>0</v>
      </c>
      <c r="BW263" s="3">
        <f>BV263</f>
        <v>0</v>
      </c>
      <c r="BX263" s="3">
        <f>BW263</f>
        <v>0</v>
      </c>
      <c r="BY263" s="3">
        <f>BX263</f>
        <v>0</v>
      </c>
      <c r="BZ263" s="3">
        <f>BY263</f>
        <v>0</v>
      </c>
      <c r="CA263" s="3">
        <f>BZ263</f>
        <v>0</v>
      </c>
      <c r="CB263" s="3">
        <f>CA263</f>
        <v>0</v>
      </c>
      <c r="CC263" s="3">
        <f>CB263</f>
        <v>0</v>
      </c>
      <c r="CD263" s="3">
        <f>CC263</f>
        <v>0</v>
      </c>
      <c r="CE263" s="3">
        <f>CD263</f>
        <v>0</v>
      </c>
      <c r="CF263" s="3">
        <f>CE263</f>
        <v>0</v>
      </c>
      <c r="CG263" s="3">
        <f>CF263</f>
        <v>0</v>
      </c>
      <c r="CH263" s="3">
        <f>CG263</f>
        <v>0</v>
      </c>
      <c r="CI263" s="3">
        <f>CH263</f>
        <v>0</v>
      </c>
      <c r="CJ263" s="3">
        <f>CI263</f>
        <v>0</v>
      </c>
      <c r="CK263" s="3">
        <f>CJ263</f>
        <v>0</v>
      </c>
      <c r="CL263" s="3">
        <f>CK263</f>
        <v>0</v>
      </c>
      <c r="CM263" s="3">
        <f>CL263</f>
        <v>0</v>
      </c>
      <c r="CN263" s="3">
        <f>CM263</f>
        <v>0</v>
      </c>
      <c r="CO263" s="3">
        <f>CN263</f>
        <v>0</v>
      </c>
      <c r="CP263" s="3">
        <f>CO263</f>
        <v>0</v>
      </c>
      <c r="CQ263" s="3">
        <f>CP263</f>
        <v>0</v>
      </c>
      <c r="CR263" s="3">
        <f>CQ263</f>
        <v>0</v>
      </c>
      <c r="CS263" s="3">
        <f>CR263</f>
        <v>0</v>
      </c>
      <c r="CT263" s="3">
        <f>CS263</f>
        <v>0</v>
      </c>
      <c r="CU263" s="3">
        <f>CT263</f>
        <v>0</v>
      </c>
      <c r="CV263" s="3">
        <f>CU263</f>
        <v>0</v>
      </c>
      <c r="CW263" s="3">
        <f>CV263</f>
        <v>0</v>
      </c>
      <c r="CX263" s="3">
        <f>CW263</f>
        <v>0</v>
      </c>
      <c r="CY263" s="3">
        <f>CX263</f>
        <v>0</v>
      </c>
    </row>
    <row r="264">
      <c r="C264" s="24" t="inlineStr">
        <is>
          <t>Common Stock and APIC</t>
        </is>
      </c>
      <c r="D264" s="25" t="e">
        <f>INDEX('Inputs (2)'!$D$43:$AL$43,MATCH(D$7,'Inputs (2)'!$D$2:$AL$2,0))</f>
        <v>#N/A</v>
      </c>
      <c r="E264" s="25">
        <f>INDEX('Inputs (2)'!$D$43:$AL$43,MATCH(E$7,'Inputs (2)'!$D$2:$AL$2,0))</f>
        <v>1908.046</v>
      </c>
      <c r="F264" s="25">
        <f>INDEX('Inputs (2)'!$D$43:$AL$43,MATCH(F$7,'Inputs (2)'!$D$2:$AL$2,0))</f>
        <v>1908.04609978</v>
      </c>
      <c r="G264" s="25">
        <f>INDEX('Inputs (2)'!$D$43:$AL$43,MATCH(G$7,'Inputs (2)'!$D$2:$AL$2,0))</f>
        <v>4825.14645592</v>
      </c>
      <c r="H264" s="3">
        <f>G264</f>
        <v>4825.14645592</v>
      </c>
      <c r="I264" s="25">
        <f>INDEX('Inputs (2)'!$D$43:$AL$43,MATCH(I$7,'Inputs (2)'!$D$2:$AL$2,0))</f>
        <v>4825.14645592</v>
      </c>
      <c r="J264" s="25">
        <f>INDEX('Inputs (2)'!$D$43:$AL$43,MATCH(J$7,'Inputs (2)'!$D$2:$AL$2,0))</f>
        <v>4825.14615592</v>
      </c>
      <c r="K264" s="25">
        <f>INDEX('Inputs (2)'!$D$43:$AL$43,MATCH(K$7,'Inputs (2)'!$D$2:$AL$2,0))</f>
        <v>4825.146</v>
      </c>
      <c r="L264" s="25">
        <f>INDEX('Inputs (2)'!$D$43:$AL$43,MATCH(L$7,'Inputs (2)'!$D$2:$AL$2,0))</f>
        <v>4825.146</v>
      </c>
      <c r="M264" s="3">
        <f>L264</f>
        <v>4825.146</v>
      </c>
      <c r="N264" s="25">
        <f>INDEX('Inputs (2)'!$D$43:$AL$43,MATCH(N$7,'Inputs (2)'!$D$2:$AL$2,0))</f>
        <v>4825.146</v>
      </c>
      <c r="O264" s="25">
        <f>INDEX('Inputs (2)'!$D$43:$AL$43,MATCH(O$7,'Inputs (2)'!$D$2:$AL$2,0))</f>
        <v>4825.146</v>
      </c>
      <c r="P264" s="25">
        <f>INDEX('Inputs (2)'!$D$43:$AL$43,MATCH(P$7,'Inputs (2)'!$D$2:$AL$2,0))</f>
        <v>4825.146</v>
      </c>
      <c r="Q264" s="25">
        <f>INDEX('Inputs (2)'!$D$43:$AL$43,MATCH(Q$7,'Inputs (2)'!$D$2:$AL$2,0))</f>
        <v>4825.146</v>
      </c>
      <c r="R264" s="3">
        <f>Q264</f>
        <v>4825.146</v>
      </c>
      <c r="S264" s="25">
        <f>INDEX('Inputs (2)'!$D$43:$AL$43,MATCH(S$7,'Inputs (2)'!$D$2:$AL$2,0))</f>
        <v>4825.146</v>
      </c>
      <c r="T264" s="25">
        <f>INDEX('Inputs (2)'!$D$43:$AL$43,MATCH(T$7,'Inputs (2)'!$D$2:$AL$2,0))</f>
        <v>4825.146</v>
      </c>
      <c r="U264" s="25">
        <f>INDEX('Inputs (2)'!$D$43:$AL$43,MATCH(U$7,'Inputs (2)'!$D$2:$AL$2,0))</f>
        <v>4822.166</v>
      </c>
      <c r="V264" s="25">
        <f>INDEX('Inputs (2)'!$D$43:$AL$43,MATCH(V$7,'Inputs (2)'!$D$2:$AL$2,0))</f>
        <v>8057.731</v>
      </c>
      <c r="W264" s="3">
        <f>V264</f>
        <v>8057.731</v>
      </c>
      <c r="X264" s="25">
        <f>INDEX('Inputs (2)'!$D$43:$AL$43,MATCH(X$7,'Inputs (2)'!$D$2:$AL$2,0))</f>
        <v>8057.731</v>
      </c>
      <c r="Y264" s="25">
        <f>INDEX('Inputs (2)'!$D$43:$AL$43,MATCH(Y$7,'Inputs (2)'!$D$2:$AL$2,0))</f>
        <v>8057.731</v>
      </c>
      <c r="Z264" s="25">
        <f>INDEX('Inputs (2)'!$D$43:$AL$43,MATCH(Z$7,'Inputs (2)'!$D$2:$AL$2,0))</f>
        <v>8057.731</v>
      </c>
      <c r="AA264" s="25">
        <f>INDEX('Inputs (2)'!$D$43:$AL$43,MATCH(AA$7,'Inputs (2)'!$D$2:$AL$2,0))</f>
        <v>8346.465</v>
      </c>
      <c r="AB264" s="3">
        <f>AA264</f>
        <v>8346.465</v>
      </c>
      <c r="AC264" s="25">
        <f>INDEX('Inputs (2)'!$D$43:$AL$43,MATCH(AC$7,'Inputs (2)'!$D$2:$AL$2,0))</f>
        <v>8346.465</v>
      </c>
      <c r="AD264" s="25">
        <f>INDEX('Inputs (2)'!$D$43:$AL$43,MATCH(AD$7,'Inputs (2)'!$D$2:$AL$2,0))</f>
        <v>8346.465</v>
      </c>
      <c r="AE264" s="25">
        <f>INDEX('Inputs (2)'!$D$43:$AL$43,MATCH(AE$7,'Inputs (2)'!$D$2:$AL$2,0))</f>
        <v>8346.465</v>
      </c>
      <c r="AF264" s="25">
        <f>INDEX('Inputs (2)'!$D$43:$AL$43,MATCH(AF$7,'Inputs (2)'!$D$2:$AL$2,0))</f>
        <v>8359.399</v>
      </c>
      <c r="AG264" s="3">
        <f>AF264</f>
        <v>8359.399</v>
      </c>
      <c r="AH264" s="3">
        <f>INDEX('Inputs (2)'!$D$43:$AL$43,MATCH(AH$7,'Inputs (2)'!$D$2:$AL$2,0))</f>
        <v>8698.233</v>
      </c>
      <c r="AI264" s="3">
        <f>INDEX('Inputs (2)'!$D$43:$AL$43,MATCH(AI$7,'Inputs (2)'!$D$2:$AL$2,0))</f>
        <v>8698.233</v>
      </c>
      <c r="AJ264" s="3">
        <f>AI264+AJ268</f>
        <v>8698.233</v>
      </c>
      <c r="AK264" s="3">
        <f>AJ264+AK268</f>
        <v>8698.233</v>
      </c>
      <c r="AL264" s="3">
        <f>AK264</f>
        <v>8698.233</v>
      </c>
      <c r="AM264" s="3">
        <f>AL264+AM268</f>
        <v>8698.233</v>
      </c>
      <c r="AN264" s="3">
        <f>AM264+AN268</f>
        <v>8698.233</v>
      </c>
      <c r="AO264" s="3">
        <f>AN264+AO268</f>
        <v>8698.233</v>
      </c>
      <c r="AP264" s="3">
        <f>AO264+AP268</f>
        <v>8698.233</v>
      </c>
      <c r="AQ264" s="3">
        <f>AP264</f>
        <v>8698.233</v>
      </c>
      <c r="AR264" s="3">
        <f>AQ264+AR268</f>
        <v>8698.233</v>
      </c>
      <c r="AS264" s="3">
        <f>AR264+AS268</f>
        <v>8698.233</v>
      </c>
      <c r="AT264" s="3">
        <f>AS264+AT268</f>
        <v>8698.233</v>
      </c>
      <c r="AU264" s="3">
        <f>AT264+AU268</f>
        <v>8698.233</v>
      </c>
      <c r="AV264" s="3">
        <f>AU264</f>
        <v>8698.233</v>
      </c>
      <c r="AW264" s="3">
        <f>AV264+AW268</f>
        <v>8698.233</v>
      </c>
      <c r="AX264" s="3">
        <f>AW264+AX268</f>
        <v>8698.233</v>
      </c>
      <c r="AY264" s="3">
        <f>AX264+AY268</f>
        <v>8698.233</v>
      </c>
      <c r="AZ264" s="3">
        <f>AY264+AZ268</f>
        <v>8698.233</v>
      </c>
      <c r="BA264" s="3">
        <f>AZ264</f>
        <v>8698.233</v>
      </c>
      <c r="BB264" s="3">
        <f>BA264+BB268</f>
        <v>8698.233</v>
      </c>
      <c r="BC264" s="3">
        <f>BB264+BC268</f>
        <v>8698.233</v>
      </c>
      <c r="BD264" s="3">
        <f>BC264+BD268</f>
        <v>8698.233</v>
      </c>
      <c r="BE264" s="3">
        <f>BD264+BE268</f>
        <v>8698.233</v>
      </c>
      <c r="BF264" s="3">
        <f>BE264</f>
        <v>8698.233</v>
      </c>
      <c r="BG264" s="3">
        <f>BF264+BG268</f>
        <v>8698.233</v>
      </c>
      <c r="BH264" s="3">
        <f>BG264+BH268</f>
        <v>8698.233</v>
      </c>
      <c r="BI264" s="3">
        <f>BH264+BI268</f>
        <v>8698.233</v>
      </c>
      <c r="BJ264" s="3">
        <f>BI264+BJ268</f>
        <v>8698.233</v>
      </c>
      <c r="BK264" s="3">
        <f>BJ264</f>
        <v>8698.233</v>
      </c>
      <c r="BL264" s="3">
        <f>BK264+BL268</f>
        <v>8698.233</v>
      </c>
      <c r="BM264" s="3">
        <f>BL264+BM268</f>
        <v>8698.233</v>
      </c>
      <c r="BN264" s="3">
        <f>BM264+BN268</f>
        <v>8698.233</v>
      </c>
      <c r="BO264" s="3">
        <f>BN264+BO268</f>
        <v>8698.233</v>
      </c>
      <c r="BP264" s="3">
        <f>BO264</f>
        <v>8698.233</v>
      </c>
      <c r="BQ264" s="3">
        <f>BP264+BQ268</f>
        <v>8698.233</v>
      </c>
      <c r="BR264" s="3">
        <f>BQ264+BR268</f>
        <v>8698.233</v>
      </c>
      <c r="BS264" s="3">
        <f>BR264+BS268</f>
        <v>8698.233</v>
      </c>
      <c r="BT264" s="3">
        <f>BS264+BT268</f>
        <v>8698.233</v>
      </c>
      <c r="BU264" s="3">
        <f>BT264</f>
        <v>8698.233</v>
      </c>
      <c r="BV264" s="3">
        <f>BU264+BV268</f>
        <v>8698.233</v>
      </c>
      <c r="BW264" s="3">
        <f>BV264+BW268</f>
        <v>8698.233</v>
      </c>
      <c r="BX264" s="3">
        <f>BW264+BX268</f>
        <v>8698.233</v>
      </c>
      <c r="BY264" s="3">
        <f>BX264+BY268</f>
        <v>8698.233</v>
      </c>
      <c r="BZ264" s="3">
        <f>BY264</f>
        <v>8698.233</v>
      </c>
      <c r="CA264" s="3">
        <f>BZ264+CA268</f>
        <v>8698.233</v>
      </c>
      <c r="CB264" s="3">
        <f>CA264+CB268</f>
        <v>8698.233</v>
      </c>
      <c r="CC264" s="3">
        <f>CB264+CC268</f>
        <v>8698.233</v>
      </c>
      <c r="CD264" s="3">
        <f>CC264+CD268</f>
        <v>8698.233</v>
      </c>
      <c r="CE264" s="3">
        <f>CD264</f>
        <v>8698.233</v>
      </c>
      <c r="CF264" s="3">
        <f>CE264+CF268</f>
        <v>8698.233</v>
      </c>
      <c r="CG264" s="3">
        <f>CF264+CG268</f>
        <v>8698.233</v>
      </c>
      <c r="CH264" s="3">
        <f>CG264+CH268</f>
        <v>8698.233</v>
      </c>
      <c r="CI264" s="3">
        <f>CH264+CI268</f>
        <v>8698.233</v>
      </c>
      <c r="CJ264" s="3">
        <f>CI264</f>
        <v>8698.233</v>
      </c>
      <c r="CK264" s="3">
        <f>CJ264+CK268</f>
        <v>8698.233</v>
      </c>
      <c r="CL264" s="3">
        <f>CK264+CL268</f>
        <v>8698.233</v>
      </c>
      <c r="CM264" s="3">
        <f>CL264+CM268</f>
        <v>8698.233</v>
      </c>
      <c r="CN264" s="3">
        <f>CM264+CN268</f>
        <v>8698.233</v>
      </c>
      <c r="CO264" s="3">
        <f>CN264</f>
        <v>8698.233</v>
      </c>
      <c r="CP264" s="3">
        <f>CO264+CP268</f>
        <v>8698.233</v>
      </c>
      <c r="CQ264" s="3">
        <f>CP264+CQ268</f>
        <v>8698.233</v>
      </c>
      <c r="CR264" s="3">
        <f>CQ264+CR268</f>
        <v>8698.233</v>
      </c>
      <c r="CS264" s="3">
        <f>CR264+CS268</f>
        <v>8698.233</v>
      </c>
      <c r="CT264" s="3">
        <f>CS264</f>
        <v>8698.233</v>
      </c>
      <c r="CU264" s="3">
        <f>CT264+CU268</f>
        <v>8698.233</v>
      </c>
      <c r="CV264" s="3">
        <f>CU264+CV268</f>
        <v>8698.233</v>
      </c>
      <c r="CW264" s="3">
        <f>CV264+CW268</f>
        <v>8698.233</v>
      </c>
      <c r="CX264" s="3">
        <f>CW264+CX268</f>
        <v>8698.233</v>
      </c>
      <c r="CY264" s="3">
        <f>CX264</f>
        <v>8698.233</v>
      </c>
    </row>
    <row r="265" hidden="1" outlineLevel="1" customFormat="1" s="39">
      <c r="A265" s="19" t="n"/>
      <c r="B265" s="19" t="n"/>
      <c r="C265" s="41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</row>
    <row r="266" hidden="1" outlineLevel="1" customFormat="1" s="39">
      <c r="A266" s="19" t="n"/>
      <c r="B266" s="19" t="n"/>
      <c r="C266" s="41" t="inlineStr">
        <is>
          <t>Diluted Shares outstanding</t>
        </is>
      </c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</row>
    <row r="267" hidden="1" outlineLevel="1" customFormat="1" s="39">
      <c r="A267" s="19" t="n"/>
      <c r="B267" s="19" t="n"/>
      <c r="C267" s="41" t="inlineStr">
        <is>
          <t>Treasury share $ repurchases</t>
        </is>
      </c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6" t="n"/>
      <c r="AI267" s="6" t="n"/>
      <c r="AJ267" s="6" t="n"/>
      <c r="AK267" s="6" t="n"/>
      <c r="AL267" s="22" t="n"/>
      <c r="AM267" s="6" t="n"/>
      <c r="AN267" s="6" t="n"/>
      <c r="AO267" s="6" t="n"/>
      <c r="AP267" s="6" t="n"/>
      <c r="AQ267" s="22" t="n"/>
      <c r="AR267" s="6" t="n"/>
      <c r="AS267" s="6" t="n"/>
      <c r="AT267" s="6" t="n"/>
      <c r="AU267" s="6" t="n"/>
      <c r="AV267" s="22" t="n"/>
      <c r="AW267" s="6" t="n"/>
      <c r="AX267" s="6" t="n"/>
      <c r="AY267" s="6" t="n"/>
      <c r="AZ267" s="6" t="n"/>
      <c r="BA267" s="22" t="n"/>
      <c r="BB267" s="6" t="n"/>
      <c r="BC267" s="6" t="n"/>
      <c r="BD267" s="6" t="n"/>
      <c r="BE267" s="6" t="n"/>
      <c r="BF267" s="22" t="n"/>
      <c r="BG267" s="6" t="n"/>
      <c r="BH267" s="6" t="n"/>
      <c r="BI267" s="6" t="n"/>
      <c r="BJ267" s="6" t="n"/>
      <c r="BK267" s="22" t="n"/>
      <c r="BL267" s="6" t="n"/>
      <c r="BM267" s="6" t="n"/>
      <c r="BN267" s="6" t="n"/>
      <c r="BO267" s="6" t="n"/>
      <c r="BP267" s="22" t="n"/>
      <c r="BQ267" s="6" t="n"/>
      <c r="BR267" s="6" t="n"/>
      <c r="BS267" s="6" t="n"/>
      <c r="BT267" s="6" t="n"/>
      <c r="BU267" s="22" t="n"/>
      <c r="BV267" s="6" t="n"/>
      <c r="BW267" s="6" t="n"/>
      <c r="BX267" s="6" t="n"/>
      <c r="BY267" s="6" t="n"/>
      <c r="BZ267" s="22" t="n"/>
      <c r="CA267" s="6" t="n"/>
      <c r="CB267" s="6" t="n"/>
      <c r="CC267" s="6" t="n"/>
      <c r="CD267" s="6" t="n"/>
      <c r="CE267" s="22" t="n"/>
      <c r="CF267" s="6" t="n"/>
      <c r="CG267" s="6" t="n"/>
      <c r="CH267" s="6" t="n"/>
      <c r="CI267" s="6" t="n"/>
      <c r="CJ267" s="22" t="n"/>
      <c r="CK267" s="6" t="n"/>
      <c r="CL267" s="6" t="n"/>
      <c r="CM267" s="6" t="n"/>
      <c r="CN267" s="6" t="n"/>
      <c r="CO267" s="22" t="n"/>
      <c r="CP267" s="6" t="n"/>
      <c r="CQ267" s="6" t="n"/>
      <c r="CR267" s="6" t="n"/>
      <c r="CS267" s="6" t="n"/>
      <c r="CT267" s="22" t="n"/>
      <c r="CU267" s="6" t="n"/>
      <c r="CV267" s="6" t="n"/>
      <c r="CW267" s="6" t="n"/>
      <c r="CX267" s="6" t="n"/>
      <c r="CY267" s="22" t="n"/>
    </row>
    <row r="268" hidden="1" outlineLevel="1" customFormat="1" s="39">
      <c r="A268" s="19" t="n"/>
      <c r="B268" s="19" t="n"/>
      <c r="C268" s="41" t="inlineStr">
        <is>
          <t>Value of shares issued</t>
        </is>
      </c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6" t="n"/>
      <c r="AI268" s="6" t="n"/>
      <c r="AJ268" s="6" t="n"/>
      <c r="AK268" s="6" t="n"/>
      <c r="AL268" s="22" t="n"/>
      <c r="AM268" s="6" t="n"/>
      <c r="AN268" s="6" t="n"/>
      <c r="AO268" s="6" t="n"/>
      <c r="AP268" s="6" t="n"/>
      <c r="AQ268" s="22" t="n"/>
      <c r="AR268" s="6" t="n"/>
      <c r="AS268" s="6" t="n"/>
      <c r="AT268" s="6" t="n"/>
      <c r="AU268" s="6" t="n"/>
      <c r="AV268" s="22" t="n"/>
      <c r="AW268" s="6" t="n"/>
      <c r="AX268" s="6" t="n"/>
      <c r="AY268" s="6" t="n"/>
      <c r="AZ268" s="6" t="n"/>
      <c r="BA268" s="22" t="n"/>
      <c r="BB268" s="6" t="n"/>
      <c r="BC268" s="6" t="n"/>
      <c r="BD268" s="6" t="n"/>
      <c r="BE268" s="6" t="n"/>
      <c r="BF268" s="22" t="n"/>
      <c r="BG268" s="6" t="n"/>
      <c r="BH268" s="6" t="n"/>
      <c r="BI268" s="6" t="n"/>
      <c r="BJ268" s="6" t="n"/>
      <c r="BK268" s="22" t="n"/>
      <c r="BL268" s="6" t="n"/>
      <c r="BM268" s="6" t="n"/>
      <c r="BN268" s="6" t="n"/>
      <c r="BO268" s="6" t="n"/>
      <c r="BP268" s="22" t="n"/>
      <c r="BQ268" s="6" t="n"/>
      <c r="BR268" s="6" t="n"/>
      <c r="BS268" s="6" t="n"/>
      <c r="BT268" s="6" t="n"/>
      <c r="BU268" s="22" t="n"/>
      <c r="BV268" s="6" t="n"/>
      <c r="BW268" s="6" t="n"/>
      <c r="BX268" s="6" t="n"/>
      <c r="BY268" s="6" t="n"/>
      <c r="BZ268" s="22" t="n"/>
      <c r="CA268" s="6" t="n"/>
      <c r="CB268" s="6" t="n"/>
      <c r="CC268" s="6" t="n"/>
      <c r="CD268" s="6" t="n"/>
      <c r="CE268" s="22" t="n"/>
      <c r="CF268" s="6" t="n"/>
      <c r="CG268" s="6" t="n"/>
      <c r="CH268" s="6" t="n"/>
      <c r="CI268" s="6" t="n"/>
      <c r="CJ268" s="22" t="n"/>
      <c r="CK268" s="6" t="n"/>
      <c r="CL268" s="6" t="n"/>
      <c r="CM268" s="6" t="n"/>
      <c r="CN268" s="6" t="n"/>
      <c r="CO268" s="22" t="n"/>
      <c r="CP268" s="6" t="n"/>
      <c r="CQ268" s="6" t="n"/>
      <c r="CR268" s="6" t="n"/>
      <c r="CS268" s="6" t="n"/>
      <c r="CT268" s="22" t="n"/>
      <c r="CU268" s="6" t="n"/>
      <c r="CV268" s="6" t="n"/>
      <c r="CW268" s="6" t="n"/>
      <c r="CX268" s="6" t="n"/>
      <c r="CY268" s="22" t="n"/>
    </row>
    <row r="269" hidden="1" outlineLevel="1" customFormat="1" s="39">
      <c r="A269" s="19" t="n"/>
      <c r="B269" s="19" t="n"/>
      <c r="C269" s="41" t="inlineStr">
        <is>
          <t>Expected average share price</t>
        </is>
      </c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51" t="n"/>
      <c r="AH269" s="42">
        <f>AG269*(1+AH270)</f>
        <v>0</v>
      </c>
      <c r="AI269" s="42">
        <f>AH269*(1+AI270)</f>
        <v>0</v>
      </c>
      <c r="AJ269" s="42">
        <f>AI269*(1+AJ270)</f>
        <v>0</v>
      </c>
      <c r="AK269" s="42">
        <f>AJ269*(1+AK270)</f>
        <v>0</v>
      </c>
      <c r="AL269" s="22" t="n"/>
      <c r="AM269" s="42">
        <f>AK269*(1+AM270)</f>
        <v>0</v>
      </c>
      <c r="AN269" s="42">
        <f>AM269*(1+AN270)</f>
        <v>0</v>
      </c>
      <c r="AO269" s="42">
        <f>AN269*(1+AO270)</f>
        <v>0</v>
      </c>
      <c r="AP269" s="42">
        <f>AO269*(1+AP270)</f>
        <v>0</v>
      </c>
      <c r="AQ269" s="22" t="n"/>
      <c r="AR269" s="42">
        <f>AP269*(1+AR270)</f>
        <v>0</v>
      </c>
      <c r="AS269" s="42">
        <f>AR269*(1+AS270)</f>
        <v>0</v>
      </c>
      <c r="AT269" s="42">
        <f>AS269*(1+AT270)</f>
        <v>0</v>
      </c>
      <c r="AU269" s="42">
        <f>AT269*(1+AU270)</f>
        <v>0</v>
      </c>
      <c r="AV269" s="22" t="n"/>
      <c r="AW269" s="42">
        <f>AU269*(1+AW270)</f>
        <v>0</v>
      </c>
      <c r="AX269" s="42">
        <f>AW269*(1+AX270)</f>
        <v>0</v>
      </c>
      <c r="AY269" s="42">
        <f>AX269*(1+AY270)</f>
        <v>0</v>
      </c>
      <c r="AZ269" s="42">
        <f>AY269*(1+AZ270)</f>
        <v>0</v>
      </c>
      <c r="BA269" s="22" t="n"/>
      <c r="BB269" s="42">
        <f>AZ269*(1+BB270)</f>
        <v>0</v>
      </c>
      <c r="BC269" s="42">
        <f>BB269*(1+BC270)</f>
        <v>0</v>
      </c>
      <c r="BD269" s="42">
        <f>BC269*(1+BD270)</f>
        <v>0</v>
      </c>
      <c r="BE269" s="42">
        <f>BD269*(1+BE270)</f>
        <v>0</v>
      </c>
      <c r="BF269" s="22" t="n"/>
      <c r="BG269" s="42">
        <f>BE269*(1+BG270)</f>
        <v>0</v>
      </c>
      <c r="BH269" s="42">
        <f>BG269*(1+BH270)</f>
        <v>0</v>
      </c>
      <c r="BI269" s="42">
        <f>BH269*(1+BI270)</f>
        <v>0</v>
      </c>
      <c r="BJ269" s="42">
        <f>BI269*(1+BJ270)</f>
        <v>0</v>
      </c>
      <c r="BK269" s="22" t="n"/>
      <c r="BL269" s="42">
        <f>BJ269*(1+BL270)</f>
        <v>0</v>
      </c>
      <c r="BM269" s="42">
        <f>BL269*(1+BM270)</f>
        <v>0</v>
      </c>
      <c r="BN269" s="42">
        <f>BM269*(1+BN270)</f>
        <v>0</v>
      </c>
      <c r="BO269" s="42">
        <f>BN269*(1+BO270)</f>
        <v>0</v>
      </c>
      <c r="BP269" s="22" t="n"/>
      <c r="BQ269" s="42">
        <f>BO269*(1+BQ270)</f>
        <v>0</v>
      </c>
      <c r="BR269" s="42">
        <f>BQ269*(1+BR270)</f>
        <v>0</v>
      </c>
      <c r="BS269" s="42">
        <f>BR269*(1+BS270)</f>
        <v>0</v>
      </c>
      <c r="BT269" s="42">
        <f>BS269*(1+BT270)</f>
        <v>0</v>
      </c>
      <c r="BU269" s="22" t="n"/>
      <c r="BV269" s="42">
        <f>BT269*(1+BV270)</f>
        <v>0</v>
      </c>
      <c r="BW269" s="42">
        <f>BV269*(1+BW270)</f>
        <v>0</v>
      </c>
      <c r="BX269" s="42">
        <f>BW269*(1+BX270)</f>
        <v>0</v>
      </c>
      <c r="BY269" s="42">
        <f>BX269*(1+BY270)</f>
        <v>0</v>
      </c>
      <c r="BZ269" s="22" t="n"/>
      <c r="CA269" s="42">
        <f>BY269*(1+CA270)</f>
        <v>0</v>
      </c>
      <c r="CB269" s="42">
        <f>CA269*(1+CB270)</f>
        <v>0</v>
      </c>
      <c r="CC269" s="42">
        <f>CB269*(1+CC270)</f>
        <v>0</v>
      </c>
      <c r="CD269" s="42">
        <f>CC269*(1+CD270)</f>
        <v>0</v>
      </c>
      <c r="CE269" s="22" t="n"/>
      <c r="CF269" s="42">
        <f>CD269*(1+CF270)</f>
        <v>0</v>
      </c>
      <c r="CG269" s="42">
        <f>CF269*(1+CG270)</f>
        <v>0</v>
      </c>
      <c r="CH269" s="42">
        <f>CG269*(1+CH270)</f>
        <v>0</v>
      </c>
      <c r="CI269" s="42">
        <f>CH269*(1+CI270)</f>
        <v>0</v>
      </c>
      <c r="CJ269" s="22" t="n"/>
      <c r="CK269" s="42">
        <f>CI269*(1+CK270)</f>
        <v>0</v>
      </c>
      <c r="CL269" s="42">
        <f>CK269*(1+CL270)</f>
        <v>0</v>
      </c>
      <c r="CM269" s="42">
        <f>CL269*(1+CM270)</f>
        <v>0</v>
      </c>
      <c r="CN269" s="42">
        <f>CM269*(1+CN270)</f>
        <v>0</v>
      </c>
      <c r="CO269" s="22" t="n"/>
      <c r="CP269" s="42">
        <f>CN269*(1+CP270)</f>
        <v>0</v>
      </c>
      <c r="CQ269" s="42">
        <f>CP269*(1+CQ270)</f>
        <v>0</v>
      </c>
      <c r="CR269" s="42">
        <f>CQ269*(1+CR270)</f>
        <v>0</v>
      </c>
      <c r="CS269" s="42">
        <f>CR269*(1+CS270)</f>
        <v>0</v>
      </c>
      <c r="CT269" s="22" t="n"/>
      <c r="CU269" s="42">
        <f>CS269*(1+CU270)</f>
        <v>0</v>
      </c>
      <c r="CV269" s="42">
        <f>CU269*(1+CV270)</f>
        <v>0</v>
      </c>
      <c r="CW269" s="42">
        <f>CV269*(1+CW270)</f>
        <v>0</v>
      </c>
      <c r="CX269" s="42">
        <f>CW269*(1+CX270)</f>
        <v>0</v>
      </c>
      <c r="CY269" s="22" t="n"/>
      <c r="CZ269">
        <f>CX269*(1+CZ270)</f>
        <v>0</v>
      </c>
      <c r="DA269">
        <f>CZ269*(1+DA270)</f>
        <v>0</v>
      </c>
      <c r="DB269">
        <f>DA269*(1+DB270)</f>
        <v>0</v>
      </c>
      <c r="DC269">
        <f>DB269*(1+DC270)</f>
        <v>0</v>
      </c>
    </row>
    <row r="270" hidden="1" outlineLevel="1" customFormat="1" s="39">
      <c r="A270" s="19" t="n"/>
      <c r="B270" s="19" t="n"/>
      <c r="C270" s="41" t="inlineStr">
        <is>
          <t>Consensus EPS growth</t>
        </is>
      </c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40">
        <f>$AL$275</f>
        <v>0</v>
      </c>
      <c r="AI270" s="40">
        <f>$AL$275</f>
        <v>0</v>
      </c>
      <c r="AJ270" s="40">
        <f>$AL$275</f>
        <v>0</v>
      </c>
      <c r="AK270" s="40">
        <f>$AL$275</f>
        <v>0</v>
      </c>
      <c r="AL270" s="22" t="n"/>
      <c r="AM270" s="40">
        <f>$AL$275</f>
        <v>0</v>
      </c>
      <c r="AN270" s="40">
        <f>$AL$275</f>
        <v>0</v>
      </c>
      <c r="AO270" s="40">
        <f>$AL$275</f>
        <v>0</v>
      </c>
      <c r="AP270" s="40">
        <f>$AL$275</f>
        <v>0</v>
      </c>
      <c r="AQ270" s="22" t="n"/>
      <c r="AR270" s="40">
        <f>$AL$275</f>
        <v>0</v>
      </c>
      <c r="AS270" s="40">
        <f>$AL$275</f>
        <v>0</v>
      </c>
      <c r="AT270" s="40">
        <f>$AL$275</f>
        <v>0</v>
      </c>
      <c r="AU270" s="40">
        <f>$AL$275</f>
        <v>0</v>
      </c>
      <c r="AV270" s="22" t="n"/>
      <c r="AW270" s="40">
        <f>$AL$275</f>
        <v>0</v>
      </c>
      <c r="AX270" s="40">
        <f>$AL$275</f>
        <v>0</v>
      </c>
      <c r="AY270" s="40">
        <f>$AL$275</f>
        <v>0</v>
      </c>
      <c r="AZ270" s="40">
        <f>$AL$275</f>
        <v>0</v>
      </c>
      <c r="BA270" s="22" t="n"/>
      <c r="BB270" s="40">
        <f>$AL$275</f>
        <v>0</v>
      </c>
      <c r="BC270" s="40">
        <f>$AL$275</f>
        <v>0</v>
      </c>
      <c r="BD270" s="40">
        <f>$AL$275</f>
        <v>0</v>
      </c>
      <c r="BE270" s="40">
        <f>$AL$275</f>
        <v>0</v>
      </c>
      <c r="BF270" s="22" t="n"/>
      <c r="BG270" s="40">
        <f>$AL$275</f>
        <v>0</v>
      </c>
      <c r="BH270" s="40">
        <f>$AL$275</f>
        <v>0</v>
      </c>
      <c r="BI270" s="40">
        <f>$AL$275</f>
        <v>0</v>
      </c>
      <c r="BJ270" s="40">
        <f>$AL$275</f>
        <v>0</v>
      </c>
      <c r="BK270" s="22" t="n"/>
      <c r="BL270" s="40">
        <f>$AL$275</f>
        <v>0</v>
      </c>
      <c r="BM270" s="40">
        <f>$AL$275</f>
        <v>0</v>
      </c>
      <c r="BN270" s="40">
        <f>$AL$275</f>
        <v>0</v>
      </c>
      <c r="BO270" s="40">
        <f>$AL$275</f>
        <v>0</v>
      </c>
      <c r="BP270" s="22" t="n"/>
      <c r="BQ270" s="40">
        <f>$AL$275</f>
        <v>0</v>
      </c>
      <c r="BR270" s="40">
        <f>$AL$275</f>
        <v>0</v>
      </c>
      <c r="BS270" s="40">
        <f>$AL$275</f>
        <v>0</v>
      </c>
      <c r="BT270" s="40">
        <f>$AL$275</f>
        <v>0</v>
      </c>
      <c r="BU270" s="22" t="n"/>
      <c r="BV270" s="40">
        <f>$AL$275</f>
        <v>0</v>
      </c>
      <c r="BW270" s="40">
        <f>$AL$275</f>
        <v>0</v>
      </c>
      <c r="BX270" s="40">
        <f>$AL$275</f>
        <v>0</v>
      </c>
      <c r="BY270" s="40">
        <f>$AL$275</f>
        <v>0</v>
      </c>
      <c r="BZ270" s="22" t="n"/>
      <c r="CA270" s="40">
        <f>$AL$275</f>
        <v>0</v>
      </c>
      <c r="CB270" s="40">
        <f>$AL$275</f>
        <v>0</v>
      </c>
      <c r="CC270" s="40">
        <f>$AL$275</f>
        <v>0</v>
      </c>
      <c r="CD270" s="40">
        <f>$AL$275</f>
        <v>0</v>
      </c>
      <c r="CE270" s="22" t="n"/>
      <c r="CF270" s="40">
        <f>$AL$275</f>
        <v>0</v>
      </c>
      <c r="CG270" s="40">
        <f>$AL$275</f>
        <v>0</v>
      </c>
      <c r="CH270" s="40">
        <f>$AL$275</f>
        <v>0</v>
      </c>
      <c r="CI270" s="40">
        <f>$AL$275</f>
        <v>0</v>
      </c>
      <c r="CJ270" s="22" t="n"/>
      <c r="CK270" s="40">
        <f>$AL$275</f>
        <v>0</v>
      </c>
      <c r="CL270" s="40">
        <f>$AL$275</f>
        <v>0</v>
      </c>
      <c r="CM270" s="40">
        <f>$AL$275</f>
        <v>0</v>
      </c>
      <c r="CN270" s="40">
        <f>$AL$275</f>
        <v>0</v>
      </c>
      <c r="CO270" s="22" t="n"/>
      <c r="CP270" s="40">
        <f>$AL$275</f>
        <v>0</v>
      </c>
      <c r="CQ270" s="40">
        <f>$AL$275</f>
        <v>0</v>
      </c>
      <c r="CR270" s="40">
        <f>$AL$275</f>
        <v>0</v>
      </c>
      <c r="CS270" s="40">
        <f>$AL$275</f>
        <v>0</v>
      </c>
      <c r="CT270" s="22" t="n"/>
      <c r="CU270" s="40">
        <f>$AL$275</f>
        <v>0</v>
      </c>
      <c r="CV270" s="40">
        <f>$AL$275</f>
        <v>0</v>
      </c>
      <c r="CW270" s="40">
        <f>$AL$275</f>
        <v>0</v>
      </c>
      <c r="CX270" s="40">
        <f>$AL$275</f>
        <v>0</v>
      </c>
      <c r="CY270" s="22" t="n"/>
    </row>
    <row r="271" hidden="1" outlineLevel="1" customFormat="1" s="39">
      <c r="A271" s="19" t="n"/>
      <c r="B271" s="19" t="n"/>
      <c r="C271" s="41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3" t="n"/>
      <c r="AI271" s="3" t="n"/>
      <c r="AJ271" s="3" t="n"/>
      <c r="AK271" s="3" t="n"/>
      <c r="AL271" s="22" t="n"/>
      <c r="AM271" s="3" t="n"/>
      <c r="AN271" s="3" t="n"/>
      <c r="AO271" s="3" t="n"/>
      <c r="AP271" s="3" t="n"/>
      <c r="AQ271" s="22" t="n"/>
      <c r="AR271" s="3" t="n"/>
      <c r="AS271" s="3" t="n"/>
      <c r="AT271" s="3" t="n"/>
      <c r="AU271" s="3" t="n"/>
      <c r="AV271" s="22" t="n"/>
      <c r="AW271" s="3" t="n"/>
      <c r="AX271" s="3" t="n"/>
      <c r="AY271" s="3" t="n"/>
      <c r="AZ271" s="3" t="n"/>
      <c r="BA271" s="22" t="n"/>
      <c r="BB271" s="3" t="n"/>
      <c r="BC271" s="3" t="n"/>
      <c r="BD271" s="3" t="n"/>
      <c r="BE271" s="3" t="n"/>
      <c r="BF271" s="22" t="n"/>
      <c r="BG271" s="3" t="n"/>
      <c r="BH271" s="3" t="n"/>
      <c r="BI271" s="3" t="n"/>
      <c r="BJ271" s="3" t="n"/>
      <c r="BK271" s="22" t="n"/>
      <c r="BL271" s="3" t="n"/>
      <c r="BM271" s="3" t="n"/>
      <c r="BN271" s="3" t="n"/>
      <c r="BO271" s="3" t="n"/>
      <c r="BP271" s="22" t="n"/>
      <c r="BQ271" s="3" t="n"/>
      <c r="BR271" s="3" t="n"/>
      <c r="BS271" s="3" t="n"/>
      <c r="BT271" s="3" t="n"/>
      <c r="BU271" s="22" t="n"/>
      <c r="BV271" s="3" t="n"/>
      <c r="BW271" s="3" t="n"/>
      <c r="BX271" s="3" t="n"/>
      <c r="BY271" s="3" t="n"/>
      <c r="BZ271" s="22" t="n"/>
      <c r="CA271" s="3" t="n"/>
      <c r="CB271" s="3" t="n"/>
      <c r="CC271" s="3" t="n"/>
      <c r="CD271" s="3" t="n"/>
      <c r="CE271" s="22" t="n"/>
      <c r="CF271" s="3" t="n"/>
      <c r="CG271" s="3" t="n"/>
      <c r="CH271" s="3" t="n"/>
      <c r="CI271" s="3" t="n"/>
      <c r="CJ271" s="22" t="n"/>
      <c r="CK271" s="3" t="n"/>
      <c r="CL271" s="3" t="n"/>
      <c r="CM271" s="3" t="n"/>
      <c r="CN271" s="3" t="n"/>
      <c r="CO271" s="22" t="n"/>
      <c r="CP271" s="3" t="n"/>
      <c r="CQ271" s="3" t="n"/>
      <c r="CR271" s="3" t="n"/>
      <c r="CS271" s="3" t="n"/>
      <c r="CT271" s="22" t="n"/>
      <c r="CU271" s="3" t="n"/>
      <c r="CV271" s="3" t="n"/>
      <c r="CW271" s="3" t="n"/>
      <c r="CX271" s="3" t="n"/>
      <c r="CY271" s="22" t="n"/>
    </row>
    <row r="272" hidden="1" outlineLevel="1" customFormat="1" s="39">
      <c r="A272" s="19" t="n"/>
      <c r="B272" s="19" t="n"/>
      <c r="C272" s="41" t="inlineStr">
        <is>
          <t>Shares repurchased</t>
        </is>
      </c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43" t="n"/>
      <c r="AI272" s="43" t="n"/>
      <c r="AJ272" s="43" t="e">
        <f>-AJ267/AJ269</f>
        <v>#DIV/0!</v>
      </c>
      <c r="AK272" s="43" t="e">
        <f>-AK267/AK269</f>
        <v>#DIV/0!</v>
      </c>
      <c r="AL272" s="22" t="n"/>
      <c r="AM272" s="43" t="e">
        <f>-AM267/AM269</f>
        <v>#DIV/0!</v>
      </c>
      <c r="AN272" s="43" t="e">
        <f>-AN267/AN269</f>
        <v>#DIV/0!</v>
      </c>
      <c r="AO272" s="43" t="e">
        <f>-AO267/AO269</f>
        <v>#DIV/0!</v>
      </c>
      <c r="AP272" s="43" t="e">
        <f>-AP267/AP269</f>
        <v>#DIV/0!</v>
      </c>
      <c r="AQ272" s="22" t="n"/>
      <c r="AR272" s="43" t="e">
        <f>-AR267/AR269</f>
        <v>#DIV/0!</v>
      </c>
      <c r="AS272" s="43" t="e">
        <f>-AS267/AS269</f>
        <v>#DIV/0!</v>
      </c>
      <c r="AT272" s="43" t="e">
        <f>-AT267/AT269</f>
        <v>#DIV/0!</v>
      </c>
      <c r="AU272" s="43" t="e">
        <f>-AU267/AU269</f>
        <v>#DIV/0!</v>
      </c>
      <c r="AV272" s="22" t="n"/>
      <c r="AW272" s="43" t="e">
        <f>-AW267/AW269</f>
        <v>#DIV/0!</v>
      </c>
      <c r="AX272" s="43" t="e">
        <f>-AX267/AX269</f>
        <v>#DIV/0!</v>
      </c>
      <c r="AY272" s="43" t="e">
        <f>-AY267/AY269</f>
        <v>#DIV/0!</v>
      </c>
      <c r="AZ272" s="43" t="e">
        <f>-AZ267/AZ269</f>
        <v>#DIV/0!</v>
      </c>
      <c r="BA272" s="22" t="n"/>
      <c r="BB272" s="43" t="e">
        <f>-BB267/BB269</f>
        <v>#DIV/0!</v>
      </c>
      <c r="BC272" s="43" t="e">
        <f>-BC267/BC269</f>
        <v>#DIV/0!</v>
      </c>
      <c r="BD272" s="43" t="e">
        <f>-BD267/BD269</f>
        <v>#DIV/0!</v>
      </c>
      <c r="BE272" s="43" t="e">
        <f>-BE267/BE269</f>
        <v>#DIV/0!</v>
      </c>
      <c r="BF272" s="22" t="n"/>
      <c r="BG272" s="43" t="e">
        <f>-BG267/BG269</f>
        <v>#DIV/0!</v>
      </c>
      <c r="BH272" s="43" t="e">
        <f>-BH267/BH269</f>
        <v>#DIV/0!</v>
      </c>
      <c r="BI272" s="43" t="e">
        <f>-BI267/BI269</f>
        <v>#DIV/0!</v>
      </c>
      <c r="BJ272" s="43" t="e">
        <f>-BJ267/BJ269</f>
        <v>#DIV/0!</v>
      </c>
      <c r="BK272" s="22" t="n"/>
      <c r="BL272" s="43" t="e">
        <f>-BL267/BL269</f>
        <v>#DIV/0!</v>
      </c>
      <c r="BM272" s="43" t="e">
        <f>-BM267/BM269</f>
        <v>#DIV/0!</v>
      </c>
      <c r="BN272" s="43" t="e">
        <f>-BN267/BN269</f>
        <v>#DIV/0!</v>
      </c>
      <c r="BO272" s="43" t="e">
        <f>-BO267/BO269</f>
        <v>#DIV/0!</v>
      </c>
      <c r="BP272" s="22" t="n"/>
      <c r="BQ272" s="43" t="e">
        <f>-BQ267/BQ269</f>
        <v>#DIV/0!</v>
      </c>
      <c r="BR272" s="43" t="e">
        <f>-BR267/BR269</f>
        <v>#DIV/0!</v>
      </c>
      <c r="BS272" s="43" t="e">
        <f>-BS267/BS269</f>
        <v>#DIV/0!</v>
      </c>
      <c r="BT272" s="43" t="e">
        <f>-BT267/BT269</f>
        <v>#DIV/0!</v>
      </c>
      <c r="BU272" s="22" t="n"/>
      <c r="BV272" s="43" t="e">
        <f>-BV267/BV269</f>
        <v>#DIV/0!</v>
      </c>
      <c r="BW272" s="43" t="e">
        <f>-BW267/BW269</f>
        <v>#DIV/0!</v>
      </c>
      <c r="BX272" s="43" t="e">
        <f>-BX267/BX269</f>
        <v>#DIV/0!</v>
      </c>
      <c r="BY272" s="43" t="e">
        <f>-BY267/BY269</f>
        <v>#DIV/0!</v>
      </c>
      <c r="BZ272" s="22" t="n"/>
      <c r="CA272" s="43" t="e">
        <f>-CA267/CA269</f>
        <v>#DIV/0!</v>
      </c>
      <c r="CB272" s="43" t="e">
        <f>-CB267/CB269</f>
        <v>#DIV/0!</v>
      </c>
      <c r="CC272" s="43" t="e">
        <f>-CC267/CC269</f>
        <v>#DIV/0!</v>
      </c>
      <c r="CD272" s="43" t="e">
        <f>-CD267/CD269</f>
        <v>#DIV/0!</v>
      </c>
      <c r="CE272" s="22" t="n"/>
      <c r="CF272" s="43" t="e">
        <f>-CF267/CF269</f>
        <v>#DIV/0!</v>
      </c>
      <c r="CG272" s="43" t="e">
        <f>-CG267/CG269</f>
        <v>#DIV/0!</v>
      </c>
      <c r="CH272" s="43" t="e">
        <f>-CH267/CH269</f>
        <v>#DIV/0!</v>
      </c>
      <c r="CI272" s="43" t="e">
        <f>-CI267/CI269</f>
        <v>#DIV/0!</v>
      </c>
      <c r="CJ272" s="22" t="n"/>
      <c r="CK272" s="43" t="e">
        <f>-CK267/CK269</f>
        <v>#DIV/0!</v>
      </c>
      <c r="CL272" s="43" t="e">
        <f>-CL267/CL269</f>
        <v>#DIV/0!</v>
      </c>
      <c r="CM272" s="43" t="e">
        <f>-CM267/CM269</f>
        <v>#DIV/0!</v>
      </c>
      <c r="CN272" s="43" t="e">
        <f>-CN267/CN269</f>
        <v>#DIV/0!</v>
      </c>
      <c r="CO272" s="22" t="n"/>
      <c r="CP272" s="43" t="e">
        <f>-CP267/CP269</f>
        <v>#DIV/0!</v>
      </c>
      <c r="CQ272" s="43" t="e">
        <f>-CQ267/CQ269</f>
        <v>#DIV/0!</v>
      </c>
      <c r="CR272" s="43" t="e">
        <f>-CR267/CR269</f>
        <v>#DIV/0!</v>
      </c>
      <c r="CS272" s="43" t="e">
        <f>-CS267/CS269</f>
        <v>#DIV/0!</v>
      </c>
      <c r="CT272" s="22" t="n"/>
      <c r="CU272" s="43" t="e">
        <f>-CU267/CU269</f>
        <v>#DIV/0!</v>
      </c>
      <c r="CV272" s="43" t="e">
        <f>-CV267/CV269</f>
        <v>#DIV/0!</v>
      </c>
      <c r="CW272" s="43" t="e">
        <f>-CW267/CW269</f>
        <v>#DIV/0!</v>
      </c>
      <c r="CX272" s="43" t="e">
        <f>-CX267/CX269</f>
        <v>#DIV/0!</v>
      </c>
      <c r="CY272" s="22" t="n"/>
    </row>
    <row r="273" hidden="1" outlineLevel="1" customFormat="1" s="39">
      <c r="A273" s="19" t="n"/>
      <c r="B273" s="19" t="n"/>
      <c r="C273" s="41" t="inlineStr">
        <is>
          <t>Shares issued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46" t="n"/>
      <c r="AG273" s="22" t="n"/>
      <c r="AH273" s="43" t="n"/>
      <c r="AI273" s="43" t="n"/>
      <c r="AJ273" s="43" t="e">
        <f>AJ268/AJ269</f>
        <v>#DIV/0!</v>
      </c>
      <c r="AK273" s="43" t="e">
        <f>AK268/AK269</f>
        <v>#DIV/0!</v>
      </c>
      <c r="AL273" s="22" t="n"/>
      <c r="AM273" s="43" t="e">
        <f>AM268/AM269</f>
        <v>#DIV/0!</v>
      </c>
      <c r="AN273" s="43" t="e">
        <f>AN268/AN269</f>
        <v>#DIV/0!</v>
      </c>
      <c r="AO273" s="43" t="e">
        <f>AO268/AO269</f>
        <v>#DIV/0!</v>
      </c>
      <c r="AP273" s="43" t="e">
        <f>AP268/AP269</f>
        <v>#DIV/0!</v>
      </c>
      <c r="AQ273" s="22" t="n"/>
      <c r="AR273" s="43" t="e">
        <f>AR268/AR269</f>
        <v>#DIV/0!</v>
      </c>
      <c r="AS273" s="43" t="e">
        <f>AS268/AS269</f>
        <v>#DIV/0!</v>
      </c>
      <c r="AT273" s="43" t="e">
        <f>AT268/AT269</f>
        <v>#DIV/0!</v>
      </c>
      <c r="AU273" s="43" t="e">
        <f>AU268/AU269</f>
        <v>#DIV/0!</v>
      </c>
      <c r="AV273" s="22" t="n"/>
      <c r="AW273" s="43" t="e">
        <f>AW268/AW269</f>
        <v>#DIV/0!</v>
      </c>
      <c r="AX273" s="43" t="e">
        <f>AX268/AX269</f>
        <v>#DIV/0!</v>
      </c>
      <c r="AY273" s="43" t="e">
        <f>AY268/AY269</f>
        <v>#DIV/0!</v>
      </c>
      <c r="AZ273" s="43" t="e">
        <f>AZ268/AZ269</f>
        <v>#DIV/0!</v>
      </c>
      <c r="BA273" s="22" t="n"/>
      <c r="BB273" s="43" t="e">
        <f>BB268/BB269</f>
        <v>#DIV/0!</v>
      </c>
      <c r="BC273" s="43" t="e">
        <f>BC268/BC269</f>
        <v>#DIV/0!</v>
      </c>
      <c r="BD273" s="43" t="e">
        <f>BD268/BD269</f>
        <v>#DIV/0!</v>
      </c>
      <c r="BE273" s="43" t="e">
        <f>BE268/BE269</f>
        <v>#DIV/0!</v>
      </c>
      <c r="BF273" s="22" t="n"/>
      <c r="BG273" s="43" t="e">
        <f>BG268/BG269</f>
        <v>#DIV/0!</v>
      </c>
      <c r="BH273" s="43" t="e">
        <f>BH268/BH269</f>
        <v>#DIV/0!</v>
      </c>
      <c r="BI273" s="43" t="e">
        <f>BI268/BI269</f>
        <v>#DIV/0!</v>
      </c>
      <c r="BJ273" s="43" t="e">
        <f>BJ268/BJ269</f>
        <v>#DIV/0!</v>
      </c>
      <c r="BK273" s="22" t="n"/>
      <c r="BL273" s="43" t="e">
        <f>BL268/BL269</f>
        <v>#DIV/0!</v>
      </c>
      <c r="BM273" s="43" t="e">
        <f>BM268/BM269</f>
        <v>#DIV/0!</v>
      </c>
      <c r="BN273" s="43" t="e">
        <f>BN268/BN269</f>
        <v>#DIV/0!</v>
      </c>
      <c r="BO273" s="43" t="e">
        <f>BO268/BO269</f>
        <v>#DIV/0!</v>
      </c>
      <c r="BP273" s="22" t="n"/>
      <c r="BQ273" s="43" t="e">
        <f>BQ268/BQ269</f>
        <v>#DIV/0!</v>
      </c>
      <c r="BR273" s="43" t="e">
        <f>BR268/BR269</f>
        <v>#DIV/0!</v>
      </c>
      <c r="BS273" s="43" t="e">
        <f>BS268/BS269</f>
        <v>#DIV/0!</v>
      </c>
      <c r="BT273" s="43" t="e">
        <f>BT268/BT269</f>
        <v>#DIV/0!</v>
      </c>
      <c r="BU273" s="22" t="n"/>
      <c r="BV273" s="43" t="e">
        <f>BV268/BV269</f>
        <v>#DIV/0!</v>
      </c>
      <c r="BW273" s="43" t="e">
        <f>BW268/BW269</f>
        <v>#DIV/0!</v>
      </c>
      <c r="BX273" s="43" t="e">
        <f>BX268/BX269</f>
        <v>#DIV/0!</v>
      </c>
      <c r="BY273" s="43" t="e">
        <f>BY268/BY269</f>
        <v>#DIV/0!</v>
      </c>
      <c r="BZ273" s="22" t="n"/>
      <c r="CA273" s="43" t="e">
        <f>CA268/CA269</f>
        <v>#DIV/0!</v>
      </c>
      <c r="CB273" s="43" t="e">
        <f>CB268/CB269</f>
        <v>#DIV/0!</v>
      </c>
      <c r="CC273" s="43" t="e">
        <f>CC268/CC269</f>
        <v>#DIV/0!</v>
      </c>
      <c r="CD273" s="43" t="e">
        <f>CD268/CD269</f>
        <v>#DIV/0!</v>
      </c>
      <c r="CE273" s="22" t="n"/>
      <c r="CF273" s="43" t="e">
        <f>CF268/CF269</f>
        <v>#DIV/0!</v>
      </c>
      <c r="CG273" s="43" t="e">
        <f>CG268/CG269</f>
        <v>#DIV/0!</v>
      </c>
      <c r="CH273" s="43" t="e">
        <f>CH268/CH269</f>
        <v>#DIV/0!</v>
      </c>
      <c r="CI273" s="43" t="e">
        <f>CI268/CI269</f>
        <v>#DIV/0!</v>
      </c>
      <c r="CJ273" s="22" t="n"/>
      <c r="CK273" s="43" t="e">
        <f>CK268/CK269</f>
        <v>#DIV/0!</v>
      </c>
      <c r="CL273" s="43" t="e">
        <f>CL268/CL269</f>
        <v>#DIV/0!</v>
      </c>
      <c r="CM273" s="43" t="e">
        <f>CM268/CM269</f>
        <v>#DIV/0!</v>
      </c>
      <c r="CN273" s="43" t="e">
        <f>CN268/CN269</f>
        <v>#DIV/0!</v>
      </c>
      <c r="CO273" s="22" t="n"/>
      <c r="CP273" s="43" t="e">
        <f>CP268/CP269</f>
        <v>#DIV/0!</v>
      </c>
      <c r="CQ273" s="43" t="e">
        <f>CQ268/CQ269</f>
        <v>#DIV/0!</v>
      </c>
      <c r="CR273" s="43" t="e">
        <f>CR268/CR269</f>
        <v>#DIV/0!</v>
      </c>
      <c r="CS273" s="43" t="e">
        <f>CS268/CS269</f>
        <v>#DIV/0!</v>
      </c>
      <c r="CT273" s="22" t="n"/>
      <c r="CU273" s="43" t="e">
        <f>CU268/CU269</f>
        <v>#DIV/0!</v>
      </c>
      <c r="CV273" s="43" t="e">
        <f>CV268/CV269</f>
        <v>#DIV/0!</v>
      </c>
      <c r="CW273" s="43" t="e">
        <f>CW268/CW269</f>
        <v>#DIV/0!</v>
      </c>
      <c r="CX273" s="43" t="e">
        <f>CX268/CX269</f>
        <v>#DIV/0!</v>
      </c>
      <c r="CY273" s="22" t="n"/>
    </row>
    <row r="274" hidden="1" outlineLevel="1" customFormat="1" s="39">
      <c r="A274" s="19" t="n"/>
      <c r="B274" s="19" t="n"/>
      <c r="C274" s="41" t="inlineStr">
        <is>
          <t>End of period basic shares outstanding</t>
        </is>
      </c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51" t="n"/>
      <c r="AH274" s="1">
        <f>AG274+AH273-AH272</f>
        <v>0</v>
      </c>
      <c r="AI274" s="1">
        <f>AH274+AI273-AI272</f>
        <v>0</v>
      </c>
      <c r="AJ274" s="43" t="e">
        <f>AI274+AJ273-AJ272</f>
        <v>#DIV/0!</v>
      </c>
      <c r="AK274" s="43" t="e">
        <f>AJ274+AK273-AK272</f>
        <v>#DIV/0!</v>
      </c>
      <c r="AL274" s="22" t="n"/>
      <c r="AM274" s="1" t="e">
        <f>AK274+AM273-AM272</f>
        <v>#DIV/0!</v>
      </c>
      <c r="AN274" s="1" t="e">
        <f>AM274+AN273-AN272</f>
        <v>#DIV/0!</v>
      </c>
      <c r="AO274" s="43" t="e">
        <f>AN274+AO273-AO272</f>
        <v>#DIV/0!</v>
      </c>
      <c r="AP274" s="43" t="e">
        <f>AO274+AP273-AP272</f>
        <v>#DIV/0!</v>
      </c>
      <c r="AQ274" s="22" t="n"/>
      <c r="AR274" s="1" t="e">
        <f>AP274+AR273-AR272</f>
        <v>#DIV/0!</v>
      </c>
      <c r="AS274" s="1" t="e">
        <f>AR274+AS273-AS272</f>
        <v>#DIV/0!</v>
      </c>
      <c r="AT274" s="43" t="e">
        <f>AS274+AT273-AT272</f>
        <v>#DIV/0!</v>
      </c>
      <c r="AU274" s="43" t="e">
        <f>AT274+AU273-AU272</f>
        <v>#DIV/0!</v>
      </c>
      <c r="AV274" s="22" t="n"/>
      <c r="AW274" s="1" t="e">
        <f>AU274+AW273-AW272</f>
        <v>#DIV/0!</v>
      </c>
      <c r="AX274" s="1" t="e">
        <f>AW274+AX273-AX272</f>
        <v>#DIV/0!</v>
      </c>
      <c r="AY274" s="43" t="e">
        <f>AX274+AY273-AY272</f>
        <v>#DIV/0!</v>
      </c>
      <c r="AZ274" s="43" t="e">
        <f>AY274+AZ273-AZ272</f>
        <v>#DIV/0!</v>
      </c>
      <c r="BA274" s="22" t="n"/>
      <c r="BB274" s="1" t="e">
        <f>AZ274+BB273-BB272</f>
        <v>#DIV/0!</v>
      </c>
      <c r="BC274" s="1" t="e">
        <f>BB274+BC273-BC272</f>
        <v>#DIV/0!</v>
      </c>
      <c r="BD274" s="43" t="e">
        <f>BC274+BD273-BD272</f>
        <v>#DIV/0!</v>
      </c>
      <c r="BE274" s="43" t="e">
        <f>BD274+BE273-BE272</f>
        <v>#DIV/0!</v>
      </c>
      <c r="BF274" s="22" t="n"/>
      <c r="BG274" s="1" t="e">
        <f>BE274+BG273-BG272</f>
        <v>#DIV/0!</v>
      </c>
      <c r="BH274" s="1" t="e">
        <f>BG274+BH273-BH272</f>
        <v>#DIV/0!</v>
      </c>
      <c r="BI274" s="43" t="e">
        <f>BH274+BI273-BI272</f>
        <v>#DIV/0!</v>
      </c>
      <c r="BJ274" s="43" t="e">
        <f>BI274+BJ273-BJ272</f>
        <v>#DIV/0!</v>
      </c>
      <c r="BK274" s="22" t="n"/>
      <c r="BL274" s="1" t="e">
        <f>BJ274+BL273-BL272</f>
        <v>#DIV/0!</v>
      </c>
      <c r="BM274" s="1" t="e">
        <f>BL274+BM273-BM272</f>
        <v>#DIV/0!</v>
      </c>
      <c r="BN274" s="43" t="e">
        <f>BM274+BN273-BN272</f>
        <v>#DIV/0!</v>
      </c>
      <c r="BO274" s="43" t="e">
        <f>BN274+BO273-BO272</f>
        <v>#DIV/0!</v>
      </c>
      <c r="BP274" s="22" t="n"/>
      <c r="BQ274" s="1" t="e">
        <f>BO274+BQ273-BQ272</f>
        <v>#DIV/0!</v>
      </c>
      <c r="BR274" s="1" t="e">
        <f>BQ274+BR273-BR272</f>
        <v>#DIV/0!</v>
      </c>
      <c r="BS274" s="43" t="e">
        <f>BR274+BS273-BS272</f>
        <v>#DIV/0!</v>
      </c>
      <c r="BT274" s="43" t="e">
        <f>BS274+BT273-BT272</f>
        <v>#DIV/0!</v>
      </c>
      <c r="BU274" s="22" t="n"/>
      <c r="BV274" s="1" t="e">
        <f>BT274+BV273-BV272</f>
        <v>#DIV/0!</v>
      </c>
      <c r="BW274" s="1" t="e">
        <f>BV274+BW273-BW272</f>
        <v>#DIV/0!</v>
      </c>
      <c r="BX274" s="43" t="e">
        <f>BW274+BX273-BX272</f>
        <v>#DIV/0!</v>
      </c>
      <c r="BY274" s="43" t="e">
        <f>BX274+BY273-BY272</f>
        <v>#DIV/0!</v>
      </c>
      <c r="BZ274" s="22" t="n"/>
      <c r="CA274" s="1" t="e">
        <f>BY274+CA273-CA272</f>
        <v>#DIV/0!</v>
      </c>
      <c r="CB274" s="1" t="e">
        <f>CA274+CB273-CB272</f>
        <v>#DIV/0!</v>
      </c>
      <c r="CC274" s="43" t="e">
        <f>CB274+CC273-CC272</f>
        <v>#DIV/0!</v>
      </c>
      <c r="CD274" s="43" t="e">
        <f>CC274+CD273-CD272</f>
        <v>#DIV/0!</v>
      </c>
      <c r="CE274" s="22" t="n"/>
      <c r="CF274" s="1" t="e">
        <f>CD274+CF273-CF272</f>
        <v>#DIV/0!</v>
      </c>
      <c r="CG274" s="1" t="e">
        <f>CF274+CG273-CG272</f>
        <v>#DIV/0!</v>
      </c>
      <c r="CH274" s="43" t="e">
        <f>CG274+CH273-CH272</f>
        <v>#DIV/0!</v>
      </c>
      <c r="CI274" s="43" t="e">
        <f>CH274+CI273-CI272</f>
        <v>#DIV/0!</v>
      </c>
      <c r="CJ274" s="22" t="n"/>
      <c r="CK274" s="1" t="e">
        <f>CI274+CK273-CK272</f>
        <v>#DIV/0!</v>
      </c>
      <c r="CL274" s="1" t="e">
        <f>CK274+CL273-CL272</f>
        <v>#DIV/0!</v>
      </c>
      <c r="CM274" s="43" t="e">
        <f>CL274+CM273-CM272</f>
        <v>#DIV/0!</v>
      </c>
      <c r="CN274" s="43" t="e">
        <f>CM274+CN273-CN272</f>
        <v>#DIV/0!</v>
      </c>
      <c r="CO274" s="22" t="n"/>
      <c r="CP274" s="1" t="e">
        <f>CN274+CP273-CP272</f>
        <v>#DIV/0!</v>
      </c>
      <c r="CQ274" s="1" t="e">
        <f>CP274+CQ273-CQ272</f>
        <v>#DIV/0!</v>
      </c>
      <c r="CR274" s="43" t="e">
        <f>CQ274+CR273-CR272</f>
        <v>#DIV/0!</v>
      </c>
      <c r="CS274" s="43" t="e">
        <f>CR274+CS273-CS272</f>
        <v>#DIV/0!</v>
      </c>
      <c r="CT274" s="22" t="n"/>
      <c r="CU274" s="1" t="e">
        <f>CS274+CU273-CU272</f>
        <v>#DIV/0!</v>
      </c>
      <c r="CV274" s="1" t="e">
        <f>CU274+CV273-CV272</f>
        <v>#DIV/0!</v>
      </c>
      <c r="CW274" s="43" t="e">
        <f>CV274+CW273-CW272</f>
        <v>#DIV/0!</v>
      </c>
      <c r="CX274" s="43" t="e">
        <f>CW274+CX273-CX272</f>
        <v>#DIV/0!</v>
      </c>
      <c r="CY274" s="22" t="n"/>
      <c r="CZ274" t="e">
        <f>CX274+CZ273-CZ272</f>
        <v>#DIV/0!</v>
      </c>
      <c r="DA274" t="e">
        <f>CZ274+DA273-DA272</f>
        <v>#DIV/0!</v>
      </c>
      <c r="DB274" t="e">
        <f>DA274+DB273-DB272</f>
        <v>#DIV/0!</v>
      </c>
      <c r="DC274" t="e">
        <f>DB274+DC273-DC272</f>
        <v>#DIV/0!</v>
      </c>
    </row>
    <row r="275" hidden="1" outlineLevel="1" customFormat="1" s="39">
      <c r="A275" s="19" t="n"/>
      <c r="B275" s="19" t="n"/>
      <c r="C275" s="41" t="inlineStr">
        <is>
          <t>Weighted average basic shares outstanding</t>
        </is>
      </c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43">
        <f>AVERAGE(AG274,AH274)</f>
        <v>0</v>
      </c>
      <c r="AI275" s="43">
        <f>AVERAGE(AH274,AI274)</f>
        <v>0</v>
      </c>
      <c r="AJ275" s="43" t="e">
        <f>AVERAGE(AI274,AJ274)</f>
        <v>#DIV/0!</v>
      </c>
      <c r="AK275" s="43" t="e">
        <f>AVERAGE(AJ274,AK274)</f>
        <v>#DIV/0!</v>
      </c>
      <c r="AL275" s="22" t="n"/>
      <c r="AM275" s="43" t="e">
        <f>AVERAGE(AK274,AM274)</f>
        <v>#DIV/0!</v>
      </c>
      <c r="AN275" s="43" t="e">
        <f>AVERAGE(AM274,AN274)</f>
        <v>#DIV/0!</v>
      </c>
      <c r="AO275" s="43" t="e">
        <f>AVERAGE(AN274,AO274)</f>
        <v>#DIV/0!</v>
      </c>
      <c r="AP275" s="43" t="e">
        <f>AVERAGE(AO274,AP274)</f>
        <v>#DIV/0!</v>
      </c>
      <c r="AQ275" s="22" t="n"/>
      <c r="AR275" s="43" t="e">
        <f>AVERAGE(AP274,AR274)</f>
        <v>#DIV/0!</v>
      </c>
      <c r="AS275" s="43" t="e">
        <f>AVERAGE(AR274,AS274)</f>
        <v>#DIV/0!</v>
      </c>
      <c r="AT275" s="43" t="e">
        <f>AVERAGE(AS274,AT274)</f>
        <v>#DIV/0!</v>
      </c>
      <c r="AU275" s="43" t="e">
        <f>AVERAGE(AT274,AU274)</f>
        <v>#DIV/0!</v>
      </c>
      <c r="AV275" s="22" t="n"/>
      <c r="AW275" s="43" t="e">
        <f>AVERAGE(AU274,AW274)</f>
        <v>#DIV/0!</v>
      </c>
      <c r="AX275" s="43" t="e">
        <f>AVERAGE(AW274,AX274)</f>
        <v>#DIV/0!</v>
      </c>
      <c r="AY275" s="43" t="e">
        <f>AVERAGE(AX274,AY274)</f>
        <v>#DIV/0!</v>
      </c>
      <c r="AZ275" s="43" t="e">
        <f>AVERAGE(AY274,AZ274)</f>
        <v>#DIV/0!</v>
      </c>
      <c r="BA275" s="22" t="n"/>
      <c r="BB275" s="43" t="e">
        <f>AVERAGE(AZ274,BB274)</f>
        <v>#DIV/0!</v>
      </c>
      <c r="BC275" s="43" t="e">
        <f>AVERAGE(BB274,BC274)</f>
        <v>#DIV/0!</v>
      </c>
      <c r="BD275" s="43" t="e">
        <f>AVERAGE(BC274,BD274)</f>
        <v>#DIV/0!</v>
      </c>
      <c r="BE275" s="43" t="e">
        <f>AVERAGE(BD274,BE274)</f>
        <v>#DIV/0!</v>
      </c>
      <c r="BF275" s="22" t="n"/>
      <c r="BG275" s="43" t="e">
        <f>AVERAGE(BE274,BG274)</f>
        <v>#DIV/0!</v>
      </c>
      <c r="BH275" s="43" t="e">
        <f>AVERAGE(BG274,BH274)</f>
        <v>#DIV/0!</v>
      </c>
      <c r="BI275" s="43" t="e">
        <f>AVERAGE(BH274,BI274)</f>
        <v>#DIV/0!</v>
      </c>
      <c r="BJ275" s="43" t="e">
        <f>AVERAGE(BI274,BJ274)</f>
        <v>#DIV/0!</v>
      </c>
      <c r="BK275" s="22" t="n"/>
      <c r="BL275" s="43" t="e">
        <f>AVERAGE(BJ274,BL274)</f>
        <v>#DIV/0!</v>
      </c>
      <c r="BM275" s="43" t="e">
        <f>AVERAGE(BL274,BM274)</f>
        <v>#DIV/0!</v>
      </c>
      <c r="BN275" s="43" t="e">
        <f>AVERAGE(BM274,BN274)</f>
        <v>#DIV/0!</v>
      </c>
      <c r="BO275" s="43" t="e">
        <f>AVERAGE(BN274,BO274)</f>
        <v>#DIV/0!</v>
      </c>
      <c r="BP275" s="22" t="n"/>
      <c r="BQ275" s="43" t="e">
        <f>AVERAGE(BO274,BQ274)</f>
        <v>#DIV/0!</v>
      </c>
      <c r="BR275" s="43" t="e">
        <f>AVERAGE(BQ274,BR274)</f>
        <v>#DIV/0!</v>
      </c>
      <c r="BS275" s="43" t="e">
        <f>AVERAGE(BR274,BS274)</f>
        <v>#DIV/0!</v>
      </c>
      <c r="BT275" s="43" t="e">
        <f>AVERAGE(BS274,BT274)</f>
        <v>#DIV/0!</v>
      </c>
      <c r="BU275" s="22" t="n"/>
      <c r="BV275" s="43" t="e">
        <f>AVERAGE(BT274,BV274)</f>
        <v>#DIV/0!</v>
      </c>
      <c r="BW275" s="43" t="e">
        <f>AVERAGE(BV274,BW274)</f>
        <v>#DIV/0!</v>
      </c>
      <c r="BX275" s="43" t="e">
        <f>AVERAGE(BW274,BX274)</f>
        <v>#DIV/0!</v>
      </c>
      <c r="BY275" s="43" t="e">
        <f>AVERAGE(BX274,BY274)</f>
        <v>#DIV/0!</v>
      </c>
      <c r="BZ275" s="22" t="n"/>
      <c r="CA275" s="43" t="e">
        <f>AVERAGE(BY274,CA274)</f>
        <v>#DIV/0!</v>
      </c>
      <c r="CB275" s="43" t="e">
        <f>AVERAGE(CA274,CB274)</f>
        <v>#DIV/0!</v>
      </c>
      <c r="CC275" s="43" t="e">
        <f>AVERAGE(CB274,CC274)</f>
        <v>#DIV/0!</v>
      </c>
      <c r="CD275" s="43" t="e">
        <f>AVERAGE(CC274,CD274)</f>
        <v>#DIV/0!</v>
      </c>
      <c r="CE275" s="22" t="n"/>
      <c r="CF275" s="43" t="e">
        <f>AVERAGE(CD274,CF274)</f>
        <v>#DIV/0!</v>
      </c>
      <c r="CG275" s="43" t="e">
        <f>AVERAGE(CF274,CG274)</f>
        <v>#DIV/0!</v>
      </c>
      <c r="CH275" s="43" t="e">
        <f>AVERAGE(CG274,CH274)</f>
        <v>#DIV/0!</v>
      </c>
      <c r="CI275" s="43" t="e">
        <f>AVERAGE(CH274,CI274)</f>
        <v>#DIV/0!</v>
      </c>
      <c r="CJ275" s="22" t="n"/>
      <c r="CK275" s="43" t="e">
        <f>AVERAGE(CI274,CK274)</f>
        <v>#DIV/0!</v>
      </c>
      <c r="CL275" s="43" t="e">
        <f>AVERAGE(CK274,CL274)</f>
        <v>#DIV/0!</v>
      </c>
      <c r="CM275" s="43" t="e">
        <f>AVERAGE(CL274,CM274)</f>
        <v>#DIV/0!</v>
      </c>
      <c r="CN275" s="43" t="e">
        <f>AVERAGE(CM274,CN274)</f>
        <v>#DIV/0!</v>
      </c>
      <c r="CO275" s="22" t="n"/>
      <c r="CP275" s="43" t="e">
        <f>AVERAGE(CN274,CP274)</f>
        <v>#DIV/0!</v>
      </c>
      <c r="CQ275" s="43" t="e">
        <f>AVERAGE(CP274,CQ274)</f>
        <v>#DIV/0!</v>
      </c>
      <c r="CR275" s="43" t="e">
        <f>AVERAGE(CQ274,CR274)</f>
        <v>#DIV/0!</v>
      </c>
      <c r="CS275" s="43" t="e">
        <f>AVERAGE(CR274,CS274)</f>
        <v>#DIV/0!</v>
      </c>
      <c r="CT275" s="22" t="n"/>
      <c r="CU275" s="43" t="e">
        <f>AVERAGE(CS274,CU274)</f>
        <v>#DIV/0!</v>
      </c>
      <c r="CV275" s="43" t="e">
        <f>AVERAGE(CU274,CV274)</f>
        <v>#DIV/0!</v>
      </c>
      <c r="CW275" s="43" t="e">
        <f>AVERAGE(CV274,CW274)</f>
        <v>#DIV/0!</v>
      </c>
      <c r="CX275" s="43" t="e">
        <f>AVERAGE(CW274,CX274)</f>
        <v>#DIV/0!</v>
      </c>
      <c r="CY275" s="22" t="n"/>
      <c r="CZ275" t="e">
        <f>AVERAGE(CX274,CZ274)</f>
        <v>#DIV/0!</v>
      </c>
      <c r="DA275" t="e">
        <f>AVERAGE(CZ274,DA274)</f>
        <v>#DIV/0!</v>
      </c>
      <c r="DB275" t="e">
        <f>AVERAGE(DA274,DB274)</f>
        <v>#DIV/0!</v>
      </c>
      <c r="DC275" t="e">
        <f>AVERAGE(DB274,DC274)</f>
        <v>#DIV/0!</v>
      </c>
    </row>
    <row r="276" hidden="1" outlineLevel="1" customFormat="1" s="39">
      <c r="A276" s="19" t="n"/>
      <c r="B276" s="19" t="n"/>
      <c r="C276" s="41" t="n"/>
      <c r="D276" s="22" t="n"/>
      <c r="E276" s="22" t="n"/>
      <c r="F276" s="22" t="n"/>
      <c r="G276" s="22" t="n"/>
      <c r="H276" s="3" t="n"/>
      <c r="I276" s="22" t="n"/>
      <c r="J276" s="22" t="n"/>
      <c r="K276" s="22" t="n"/>
      <c r="L276" s="22" t="n"/>
      <c r="M276" s="3" t="n"/>
      <c r="N276" s="22" t="n"/>
      <c r="O276" s="22" t="n"/>
      <c r="P276" s="22" t="n"/>
      <c r="Q276" s="22" t="n"/>
      <c r="R276" s="3" t="n"/>
      <c r="S276" s="22" t="n"/>
      <c r="T276" s="22" t="n"/>
      <c r="U276" s="22" t="n"/>
      <c r="V276" s="22" t="n"/>
      <c r="W276" s="3" t="n"/>
      <c r="X276" s="22" t="n"/>
      <c r="Y276" s="22" t="n"/>
      <c r="Z276" s="22" t="n"/>
      <c r="AA276" s="22" t="n"/>
      <c r="AB276" s="3" t="n"/>
      <c r="AC276" s="22" t="n"/>
      <c r="AD276" s="22" t="n"/>
      <c r="AE276" s="22" t="n"/>
      <c r="AF276" s="22" t="n"/>
      <c r="AG276" s="3" t="n"/>
      <c r="AH276" s="22" t="n"/>
      <c r="AI276" s="22" t="n"/>
      <c r="AJ276" s="22" t="n"/>
      <c r="AK276" s="22" t="n"/>
      <c r="AL276" s="3" t="n"/>
      <c r="AM276" s="22" t="n"/>
      <c r="AN276" s="22" t="n"/>
      <c r="AO276" s="22" t="n"/>
      <c r="AP276" s="22" t="n"/>
      <c r="AQ276" s="3" t="n"/>
      <c r="AR276" s="22" t="n"/>
      <c r="AS276" s="22" t="n"/>
      <c r="AT276" s="22" t="n"/>
      <c r="AU276" s="22" t="n"/>
      <c r="AV276" s="3" t="n"/>
      <c r="AW276" s="22" t="n"/>
      <c r="AX276" s="22" t="n"/>
      <c r="AY276" s="22" t="n"/>
      <c r="AZ276" s="22" t="n"/>
      <c r="BA276" s="3" t="n"/>
      <c r="BB276" s="22" t="n"/>
      <c r="BC276" s="22" t="n"/>
      <c r="BD276" s="22" t="n"/>
      <c r="BE276" s="22" t="n"/>
      <c r="BF276" s="3" t="n"/>
      <c r="BG276" s="22" t="n"/>
      <c r="BH276" s="22" t="n"/>
      <c r="BI276" s="22" t="n"/>
      <c r="BJ276" s="22" t="n"/>
      <c r="BK276" s="3" t="n"/>
      <c r="BL276" s="22" t="n"/>
      <c r="BM276" s="22" t="n"/>
      <c r="BN276" s="22" t="n"/>
      <c r="BO276" s="22" t="n"/>
      <c r="BP276" s="3" t="n"/>
      <c r="BQ276" s="22" t="n"/>
      <c r="BR276" s="22" t="n"/>
      <c r="BS276" s="22" t="n"/>
      <c r="BT276" s="22" t="n"/>
      <c r="BU276" s="3" t="n"/>
      <c r="BV276" s="22" t="n"/>
      <c r="BW276" s="22" t="n"/>
      <c r="BX276" s="22" t="n"/>
      <c r="BY276" s="22" t="n"/>
      <c r="BZ276" s="3" t="n"/>
      <c r="CA276" s="22" t="n"/>
      <c r="CB276" s="22" t="n"/>
      <c r="CC276" s="22" t="n"/>
      <c r="CD276" s="22" t="n"/>
      <c r="CE276" s="3" t="n"/>
      <c r="CF276" s="22" t="n"/>
      <c r="CG276" s="22" t="n"/>
      <c r="CH276" s="22" t="n"/>
      <c r="CI276" s="22" t="n"/>
      <c r="CJ276" s="3" t="n"/>
      <c r="CK276" s="22" t="n"/>
      <c r="CL276" s="22" t="n"/>
      <c r="CM276" s="22" t="n"/>
      <c r="CN276" s="22" t="n"/>
      <c r="CO276" s="3" t="n"/>
      <c r="CP276" s="22" t="n"/>
      <c r="CQ276" s="22" t="n"/>
      <c r="CR276" s="22" t="n"/>
      <c r="CS276" s="22" t="n"/>
      <c r="CT276" s="3" t="n"/>
      <c r="CU276" s="22" t="n"/>
      <c r="CV276" s="22" t="n"/>
      <c r="CW276" s="22" t="n"/>
      <c r="CX276" s="22" t="n"/>
      <c r="CY276" s="3" t="n"/>
    </row>
    <row r="277" collapsed="1">
      <c r="C277" s="26" t="inlineStr">
        <is>
          <t>Treasury stock (contra account)</t>
        </is>
      </c>
      <c r="D277" s="25" t="e">
        <f>INDEX('Inputs (2)'!$D$44:$AL$44,MATCH(D$7,'Inputs (2)'!$D$2:$AL$2,0))</f>
        <v>#N/A</v>
      </c>
      <c r="E277" s="25">
        <f>INDEX('Inputs (2)'!$D$44:$AL$44,MATCH(E$7,'Inputs (2)'!$D$2:$AL$2,0))</f>
        <v>0</v>
      </c>
      <c r="F277" s="25">
        <f>INDEX('Inputs (2)'!$D$44:$AL$44,MATCH(F$7,'Inputs (2)'!$D$2:$AL$2,0))</f>
        <v>0</v>
      </c>
      <c r="G277" s="25">
        <f>INDEX('Inputs (2)'!$D$44:$AL$44,MATCH(G$7,'Inputs (2)'!$D$2:$AL$2,0))</f>
        <v>0</v>
      </c>
      <c r="H277" s="3">
        <f>G277</f>
        <v>0</v>
      </c>
      <c r="I277" s="25">
        <f>INDEX('Inputs (2)'!$D$44:$AL$44,MATCH(I$7,'Inputs (2)'!$D$2:$AL$2,0))</f>
        <v>0</v>
      </c>
      <c r="J277" s="25">
        <f>INDEX('Inputs (2)'!$D$44:$AL$44,MATCH(J$7,'Inputs (2)'!$D$2:$AL$2,0))</f>
        <v>0</v>
      </c>
      <c r="K277" s="25">
        <f>INDEX('Inputs (2)'!$D$44:$AL$44,MATCH(K$7,'Inputs (2)'!$D$2:$AL$2,0))</f>
        <v>0</v>
      </c>
      <c r="L277" s="25">
        <f>INDEX('Inputs (2)'!$D$44:$AL$44,MATCH(L$7,'Inputs (2)'!$D$2:$AL$2,0))</f>
        <v>0</v>
      </c>
      <c r="M277" s="3">
        <f>L277</f>
        <v>0</v>
      </c>
      <c r="N277" s="25">
        <f>INDEX('Inputs (2)'!$D$44:$AL$44,MATCH(N$7,'Inputs (2)'!$D$2:$AL$2,0))</f>
        <v>0</v>
      </c>
      <c r="O277" s="25">
        <f>INDEX('Inputs (2)'!$D$44:$AL$44,MATCH(O$7,'Inputs (2)'!$D$2:$AL$2,0))</f>
        <v>0</v>
      </c>
      <c r="P277" s="25">
        <f>INDEX('Inputs (2)'!$D$44:$AL$44,MATCH(P$7,'Inputs (2)'!$D$2:$AL$2,0))</f>
        <v>0</v>
      </c>
      <c r="Q277" s="25">
        <f>INDEX('Inputs (2)'!$D$44:$AL$44,MATCH(Q$7,'Inputs (2)'!$D$2:$AL$2,0))</f>
        <v>0</v>
      </c>
      <c r="R277" s="3">
        <f>Q277</f>
        <v>0</v>
      </c>
      <c r="S277" s="25">
        <f>INDEX('Inputs (2)'!$D$44:$AL$44,MATCH(S$7,'Inputs (2)'!$D$2:$AL$2,0))</f>
        <v>0</v>
      </c>
      <c r="T277" s="25">
        <f>INDEX('Inputs (2)'!$D$44:$AL$44,MATCH(T$7,'Inputs (2)'!$D$2:$AL$2,0))</f>
        <v>0</v>
      </c>
      <c r="U277" s="25">
        <f>INDEX('Inputs (2)'!$D$44:$AL$44,MATCH(U$7,'Inputs (2)'!$D$2:$AL$2,0))</f>
        <v>0</v>
      </c>
      <c r="V277" s="25">
        <f>INDEX('Inputs (2)'!$D$44:$AL$44,MATCH(V$7,'Inputs (2)'!$D$2:$AL$2,0))</f>
        <v>-2.98</v>
      </c>
      <c r="W277" s="3">
        <f>V277</f>
        <v>-2.98</v>
      </c>
      <c r="X277" s="25">
        <f>INDEX('Inputs (2)'!$D$44:$AL$44,MATCH(X$7,'Inputs (2)'!$D$2:$AL$2,0))</f>
        <v>-2.98</v>
      </c>
      <c r="Y277" s="25">
        <f>INDEX('Inputs (2)'!$D$44:$AL$44,MATCH(Y$7,'Inputs (2)'!$D$2:$AL$2,0))</f>
        <v>-13.798</v>
      </c>
      <c r="Z277" s="25">
        <f>INDEX('Inputs (2)'!$D$44:$AL$44,MATCH(Z$7,'Inputs (2)'!$D$2:$AL$2,0))</f>
        <v>-4.095</v>
      </c>
      <c r="AA277" s="25">
        <f>INDEX('Inputs (2)'!$D$44:$AL$44,MATCH(AA$7,'Inputs (2)'!$D$2:$AL$2,0))</f>
        <v>-4.095</v>
      </c>
      <c r="AB277" s="3">
        <f>AA277</f>
        <v>-4.095</v>
      </c>
      <c r="AC277" s="25">
        <f>INDEX('Inputs (2)'!$D$44:$AL$44,MATCH(AC$7,'Inputs (2)'!$D$2:$AL$2,0))</f>
        <v>-20.299</v>
      </c>
      <c r="AD277" s="25">
        <f>INDEX('Inputs (2)'!$D$44:$AL$44,MATCH(AD$7,'Inputs (2)'!$D$2:$AL$2,0))</f>
        <v>-9.419</v>
      </c>
      <c r="AE277" s="25">
        <f>INDEX('Inputs (2)'!$D$44:$AL$44,MATCH(AE$7,'Inputs (2)'!$D$2:$AL$2,0))</f>
        <v>-26.425</v>
      </c>
      <c r="AF277" s="25">
        <f>INDEX('Inputs (2)'!$D$44:$AL$44,MATCH(AF$7,'Inputs (2)'!$D$2:$AL$2,0))</f>
        <v>-26.425</v>
      </c>
      <c r="AG277" s="3">
        <f>AF277</f>
        <v>-26.425</v>
      </c>
      <c r="AH277" s="3">
        <f>INDEX('Inputs (2)'!$D$44:$AL$44,MATCH(AH$7,'Inputs (2)'!$D$2:$AL$2,0))</f>
        <v>-26.425</v>
      </c>
      <c r="AI277" s="3">
        <f>INDEX('Inputs (2)'!$D$44:$AL$44,MATCH(AI$7,'Inputs (2)'!$D$2:$AL$2,0))</f>
        <v>-14.284</v>
      </c>
      <c r="AJ277" s="3">
        <f>AI277+AJ267</f>
        <v>-14.284</v>
      </c>
      <c r="AK277" s="3">
        <f>AJ277+AK267</f>
        <v>-14.284</v>
      </c>
      <c r="AL277" s="3">
        <f>AK277</f>
        <v>-14.284</v>
      </c>
      <c r="AM277" s="3">
        <f>AL277+AM267</f>
        <v>-14.284</v>
      </c>
      <c r="AN277" s="3">
        <f>AM277+AN267</f>
        <v>-14.284</v>
      </c>
      <c r="AO277" s="3">
        <f>AN277+AO267</f>
        <v>-14.284</v>
      </c>
      <c r="AP277" s="3">
        <f>AO277+AP267</f>
        <v>-14.284</v>
      </c>
      <c r="AQ277" s="3">
        <f>AP277</f>
        <v>-14.284</v>
      </c>
      <c r="AR277" s="3">
        <f>AQ277+AR267</f>
        <v>-14.284</v>
      </c>
      <c r="AS277" s="3">
        <f>AR277+AS267</f>
        <v>-14.284</v>
      </c>
      <c r="AT277" s="3">
        <f>AS277+AT267</f>
        <v>-14.284</v>
      </c>
      <c r="AU277" s="3">
        <f>AT277+AU267</f>
        <v>-14.284</v>
      </c>
      <c r="AV277" s="3">
        <f>AU277</f>
        <v>-14.284</v>
      </c>
      <c r="AW277" s="3">
        <f>AV277+AW267</f>
        <v>-14.284</v>
      </c>
      <c r="AX277" s="3">
        <f>AW277+AX267</f>
        <v>-14.284</v>
      </c>
      <c r="AY277" s="3">
        <f>AX277+AY267</f>
        <v>-14.284</v>
      </c>
      <c r="AZ277" s="3">
        <f>AY277+AZ267</f>
        <v>-14.284</v>
      </c>
      <c r="BA277" s="3">
        <f>AZ277</f>
        <v>-14.284</v>
      </c>
      <c r="BB277" s="3">
        <f>BA277+BB267</f>
        <v>-14.284</v>
      </c>
      <c r="BC277" s="3">
        <f>BB277+BC267</f>
        <v>-14.284</v>
      </c>
      <c r="BD277" s="3">
        <f>BC277+BD267</f>
        <v>-14.284</v>
      </c>
      <c r="BE277" s="3">
        <f>BD277+BE267</f>
        <v>-14.284</v>
      </c>
      <c r="BF277" s="3">
        <f>BE277</f>
        <v>-14.284</v>
      </c>
      <c r="BG277" s="3">
        <f>BF277+BG267</f>
        <v>-14.284</v>
      </c>
      <c r="BH277" s="3">
        <f>BG277+BH267</f>
        <v>-14.284</v>
      </c>
      <c r="BI277" s="3">
        <f>BH277+BI267</f>
        <v>-14.284</v>
      </c>
      <c r="BJ277" s="3">
        <f>BI277+BJ267</f>
        <v>-14.284</v>
      </c>
      <c r="BK277" s="3">
        <f>BJ277</f>
        <v>-14.284</v>
      </c>
      <c r="BL277" s="3">
        <f>BK277+BL267</f>
        <v>-14.284</v>
      </c>
      <c r="BM277" s="3">
        <f>BL277+BM267</f>
        <v>-14.284</v>
      </c>
      <c r="BN277" s="3">
        <f>BM277+BN267</f>
        <v>-14.284</v>
      </c>
      <c r="BO277" s="3">
        <f>BN277+BO267</f>
        <v>-14.284</v>
      </c>
      <c r="BP277" s="3">
        <f>BO277</f>
        <v>-14.284</v>
      </c>
      <c r="BQ277" s="3">
        <f>BP277+BQ267</f>
        <v>-14.284</v>
      </c>
      <c r="BR277" s="3">
        <f>BQ277+BR267</f>
        <v>-14.284</v>
      </c>
      <c r="BS277" s="3">
        <f>BR277+BS267</f>
        <v>-14.284</v>
      </c>
      <c r="BT277" s="3">
        <f>BS277+BT267</f>
        <v>-14.284</v>
      </c>
      <c r="BU277" s="3">
        <f>BT277</f>
        <v>-14.284</v>
      </c>
      <c r="BV277" s="3">
        <f>BU277+BV267</f>
        <v>-14.284</v>
      </c>
      <c r="BW277" s="3">
        <f>BV277+BW267</f>
        <v>-14.284</v>
      </c>
      <c r="BX277" s="3">
        <f>BW277+BX267</f>
        <v>-14.284</v>
      </c>
      <c r="BY277" s="3">
        <f>BX277+BY267</f>
        <v>-14.284</v>
      </c>
      <c r="BZ277" s="3">
        <f>BY277</f>
        <v>-14.284</v>
      </c>
      <c r="CA277" s="3">
        <f>BZ277+CA267</f>
        <v>-14.284</v>
      </c>
      <c r="CB277" s="3">
        <f>CA277+CB267</f>
        <v>-14.284</v>
      </c>
      <c r="CC277" s="3">
        <f>CB277+CC267</f>
        <v>-14.284</v>
      </c>
      <c r="CD277" s="3">
        <f>CC277+CD267</f>
        <v>-14.284</v>
      </c>
      <c r="CE277" s="3">
        <f>CD277</f>
        <v>-14.284</v>
      </c>
      <c r="CF277" s="3">
        <f>CE277+CF267</f>
        <v>-14.284</v>
      </c>
      <c r="CG277" s="3">
        <f>CF277+CG267</f>
        <v>-14.284</v>
      </c>
      <c r="CH277" s="3">
        <f>CG277+CH267</f>
        <v>-14.284</v>
      </c>
      <c r="CI277" s="3">
        <f>CH277+CI267</f>
        <v>-14.284</v>
      </c>
      <c r="CJ277" s="3">
        <f>CI277</f>
        <v>-14.284</v>
      </c>
      <c r="CK277" s="3">
        <f>CJ277+CK267</f>
        <v>-14.284</v>
      </c>
      <c r="CL277" s="3">
        <f>CK277+CL267</f>
        <v>-14.284</v>
      </c>
      <c r="CM277" s="3">
        <f>CL277+CM267</f>
        <v>-14.284</v>
      </c>
      <c r="CN277" s="3">
        <f>CM277+CN267</f>
        <v>-14.284</v>
      </c>
      <c r="CO277" s="3">
        <f>CN277</f>
        <v>-14.284</v>
      </c>
      <c r="CP277" s="3">
        <f>CO277+CP267</f>
        <v>-14.284</v>
      </c>
      <c r="CQ277" s="3">
        <f>CP277+CQ267</f>
        <v>-14.284</v>
      </c>
      <c r="CR277" s="3">
        <f>CQ277+CR267</f>
        <v>-14.284</v>
      </c>
      <c r="CS277" s="3">
        <f>CR277+CS267</f>
        <v>-14.284</v>
      </c>
      <c r="CT277" s="3">
        <f>CS277</f>
        <v>-14.284</v>
      </c>
      <c r="CU277" s="3">
        <f>CT277+CU267</f>
        <v>-14.284</v>
      </c>
      <c r="CV277" s="3">
        <f>CU277+CV267</f>
        <v>-14.284</v>
      </c>
      <c r="CW277" s="3">
        <f>CV277+CW267</f>
        <v>-14.284</v>
      </c>
      <c r="CX277" s="3">
        <f>CW277+CX267</f>
        <v>-14.284</v>
      </c>
      <c r="CY277" s="3">
        <f>CX277</f>
        <v>-14.284</v>
      </c>
    </row>
    <row r="278">
      <c r="C278" s="26" t="inlineStr">
        <is>
          <t>Comprehensive (accumulated) loss</t>
        </is>
      </c>
      <c r="D278" s="25" t="n"/>
      <c r="E278" s="25" t="n"/>
      <c r="F278" s="25" t="n"/>
      <c r="G278" s="25" t="n"/>
      <c r="H278" s="3">
        <f>G278</f>
        <v>0</v>
      </c>
      <c r="I278" s="25" t="n"/>
      <c r="J278" s="25" t="n"/>
      <c r="K278" s="25" t="n"/>
      <c r="L278" s="25" t="n"/>
      <c r="M278" s="3">
        <f>L278</f>
        <v>0</v>
      </c>
      <c r="N278" s="25" t="n"/>
      <c r="O278" s="25" t="n"/>
      <c r="P278" s="25" t="n"/>
      <c r="Q278" s="25" t="n"/>
      <c r="R278" s="3">
        <f>Q278</f>
        <v>0</v>
      </c>
      <c r="S278" s="25" t="n"/>
      <c r="T278" s="25" t="n"/>
      <c r="U278" s="25" t="n"/>
      <c r="V278" s="25" t="n"/>
      <c r="W278" s="3">
        <f>V278</f>
        <v>0</v>
      </c>
      <c r="X278" s="25" t="n"/>
      <c r="Y278" s="25" t="n"/>
      <c r="Z278" s="25" t="n"/>
      <c r="AA278" s="25" t="n"/>
      <c r="AB278" s="3">
        <f>AA278</f>
        <v>0</v>
      </c>
      <c r="AC278" s="25" t="n"/>
      <c r="AD278" s="25" t="n"/>
      <c r="AE278" s="25" t="n"/>
      <c r="AF278" s="25" t="n"/>
      <c r="AG278" s="3">
        <f>AF278</f>
        <v>0</v>
      </c>
      <c r="AH278" s="3">
        <f>AG278</f>
        <v>0</v>
      </c>
      <c r="AI278" s="3">
        <f>AH278</f>
        <v>0</v>
      </c>
      <c r="AJ278" s="3">
        <f>AI278</f>
        <v>0</v>
      </c>
      <c r="AK278" s="3">
        <f>AJ278</f>
        <v>0</v>
      </c>
      <c r="AL278" s="3">
        <f>AK278</f>
        <v>0</v>
      </c>
      <c r="AM278" s="3">
        <f>AL278</f>
        <v>0</v>
      </c>
      <c r="AN278" s="3">
        <f>AM278</f>
        <v>0</v>
      </c>
      <c r="AO278" s="3">
        <f>AN278</f>
        <v>0</v>
      </c>
      <c r="AP278" s="3">
        <f>AO278</f>
        <v>0</v>
      </c>
      <c r="AQ278" s="3">
        <f>AP278</f>
        <v>0</v>
      </c>
      <c r="AR278" s="3">
        <f>AQ278</f>
        <v>0</v>
      </c>
      <c r="AS278" s="3">
        <f>AR278</f>
        <v>0</v>
      </c>
      <c r="AT278" s="3">
        <f>AS278</f>
        <v>0</v>
      </c>
      <c r="AU278" s="3">
        <f>AT278</f>
        <v>0</v>
      </c>
      <c r="AV278" s="3">
        <f>AU278</f>
        <v>0</v>
      </c>
      <c r="AW278" s="3">
        <f>AV278</f>
        <v>0</v>
      </c>
      <c r="AX278" s="3">
        <f>AW278</f>
        <v>0</v>
      </c>
      <c r="AY278" s="3">
        <f>AX278</f>
        <v>0</v>
      </c>
      <c r="AZ278" s="3">
        <f>AY278</f>
        <v>0</v>
      </c>
      <c r="BA278" s="3">
        <f>AZ278</f>
        <v>0</v>
      </c>
      <c r="BB278" s="3">
        <f>BA278</f>
        <v>0</v>
      </c>
      <c r="BC278" s="3">
        <f>BB278</f>
        <v>0</v>
      </c>
      <c r="BD278" s="3">
        <f>BC278</f>
        <v>0</v>
      </c>
      <c r="BE278" s="3">
        <f>BD278</f>
        <v>0</v>
      </c>
      <c r="BF278" s="3">
        <f>BE278</f>
        <v>0</v>
      </c>
      <c r="BG278" s="3">
        <f>BF278</f>
        <v>0</v>
      </c>
      <c r="BH278" s="3">
        <f>BG278</f>
        <v>0</v>
      </c>
      <c r="BI278" s="3">
        <f>BH278</f>
        <v>0</v>
      </c>
      <c r="BJ278" s="3">
        <f>BI278</f>
        <v>0</v>
      </c>
      <c r="BK278" s="3">
        <f>BJ278</f>
        <v>0</v>
      </c>
      <c r="BL278" s="3">
        <f>BK278</f>
        <v>0</v>
      </c>
      <c r="BM278" s="3">
        <f>BL278</f>
        <v>0</v>
      </c>
      <c r="BN278" s="3">
        <f>BM278</f>
        <v>0</v>
      </c>
      <c r="BO278" s="3">
        <f>BN278</f>
        <v>0</v>
      </c>
      <c r="BP278" s="3">
        <f>BO278</f>
        <v>0</v>
      </c>
      <c r="BQ278" s="3">
        <f>BP278</f>
        <v>0</v>
      </c>
      <c r="BR278" s="3">
        <f>BQ278</f>
        <v>0</v>
      </c>
      <c r="BS278" s="3">
        <f>BR278</f>
        <v>0</v>
      </c>
      <c r="BT278" s="3">
        <f>BS278</f>
        <v>0</v>
      </c>
      <c r="BU278" s="3">
        <f>BT278</f>
        <v>0</v>
      </c>
      <c r="BV278" s="3">
        <f>BU278</f>
        <v>0</v>
      </c>
      <c r="BW278" s="3">
        <f>BV278</f>
        <v>0</v>
      </c>
      <c r="BX278" s="3">
        <f>BW278</f>
        <v>0</v>
      </c>
      <c r="BY278" s="3">
        <f>BX278</f>
        <v>0</v>
      </c>
      <c r="BZ278" s="3">
        <f>BY278</f>
        <v>0</v>
      </c>
      <c r="CA278" s="3">
        <f>BZ278</f>
        <v>0</v>
      </c>
      <c r="CB278" s="3">
        <f>CA278</f>
        <v>0</v>
      </c>
      <c r="CC278" s="3">
        <f>CB278</f>
        <v>0</v>
      </c>
      <c r="CD278" s="3">
        <f>CC278</f>
        <v>0</v>
      </c>
      <c r="CE278" s="3">
        <f>CD278</f>
        <v>0</v>
      </c>
      <c r="CF278" s="3">
        <f>CE278</f>
        <v>0</v>
      </c>
      <c r="CG278" s="3">
        <f>CF278</f>
        <v>0</v>
      </c>
      <c r="CH278" s="3">
        <f>CG278</f>
        <v>0</v>
      </c>
      <c r="CI278" s="3">
        <f>CH278</f>
        <v>0</v>
      </c>
      <c r="CJ278" s="3">
        <f>CI278</f>
        <v>0</v>
      </c>
      <c r="CK278" s="3">
        <f>CJ278</f>
        <v>0</v>
      </c>
      <c r="CL278" s="3">
        <f>CK278</f>
        <v>0</v>
      </c>
      <c r="CM278" s="3">
        <f>CL278</f>
        <v>0</v>
      </c>
      <c r="CN278" s="3">
        <f>CM278</f>
        <v>0</v>
      </c>
      <c r="CO278" s="3">
        <f>CN278</f>
        <v>0</v>
      </c>
      <c r="CP278" s="3">
        <f>CO278</f>
        <v>0</v>
      </c>
      <c r="CQ278" s="3">
        <f>CP278</f>
        <v>0</v>
      </c>
      <c r="CR278" s="3">
        <f>CQ278</f>
        <v>0</v>
      </c>
      <c r="CS278" s="3">
        <f>CR278</f>
        <v>0</v>
      </c>
      <c r="CT278" s="3">
        <f>CS278</f>
        <v>0</v>
      </c>
      <c r="CU278" s="3">
        <f>CT278</f>
        <v>0</v>
      </c>
      <c r="CV278" s="3">
        <f>CU278</f>
        <v>0</v>
      </c>
      <c r="CW278" s="3">
        <f>CV278</f>
        <v>0</v>
      </c>
      <c r="CX278" s="3">
        <f>CW278</f>
        <v>0</v>
      </c>
      <c r="CY278" s="3">
        <f>CX278</f>
        <v>0</v>
      </c>
    </row>
    <row r="279">
      <c r="C279" s="26" t="inlineStr">
        <is>
          <t>Other equity account</t>
        </is>
      </c>
      <c r="D279" s="25" t="n"/>
      <c r="E279" s="25" t="n"/>
      <c r="F279" s="25" t="n"/>
      <c r="G279" s="25" t="n"/>
      <c r="H279" s="3">
        <f>G279</f>
        <v>0</v>
      </c>
      <c r="I279" s="25" t="n"/>
      <c r="J279" s="25" t="n"/>
      <c r="K279" s="25" t="n"/>
      <c r="L279" s="25" t="n"/>
      <c r="M279" s="3">
        <f>L279</f>
        <v>0</v>
      </c>
      <c r="N279" s="25" t="n"/>
      <c r="O279" s="25" t="n"/>
      <c r="P279" s="25" t="n"/>
      <c r="Q279" s="25" t="n"/>
      <c r="R279" s="3">
        <f>Q279</f>
        <v>0</v>
      </c>
      <c r="S279" s="25" t="n"/>
      <c r="T279" s="25" t="n"/>
      <c r="U279" s="25" t="n"/>
      <c r="V279" s="25" t="n"/>
      <c r="W279" s="3">
        <f>V279</f>
        <v>0</v>
      </c>
      <c r="X279" s="25" t="n"/>
      <c r="Y279" s="25" t="n"/>
      <c r="Z279" s="25" t="n"/>
      <c r="AA279" s="25" t="n"/>
      <c r="AB279" s="3">
        <f>AA279</f>
        <v>0</v>
      </c>
      <c r="AC279" s="25" t="n"/>
      <c r="AD279" s="25" t="n"/>
      <c r="AE279" s="25" t="n"/>
      <c r="AF279" s="25" t="n"/>
      <c r="AG279" s="3">
        <f>AF279</f>
        <v>0</v>
      </c>
      <c r="AH279" s="3">
        <f>AG279</f>
        <v>0</v>
      </c>
      <c r="AI279" s="3">
        <f>AH279</f>
        <v>0</v>
      </c>
      <c r="AJ279" s="3">
        <f>AI279</f>
        <v>0</v>
      </c>
      <c r="AK279" s="3">
        <f>AJ279</f>
        <v>0</v>
      </c>
      <c r="AL279" s="3">
        <f>AK279</f>
        <v>0</v>
      </c>
      <c r="AM279" s="3">
        <f>AL279</f>
        <v>0</v>
      </c>
      <c r="AN279" s="3">
        <f>AM279</f>
        <v>0</v>
      </c>
      <c r="AO279" s="3">
        <f>AN279</f>
        <v>0</v>
      </c>
      <c r="AP279" s="3">
        <f>AO279</f>
        <v>0</v>
      </c>
      <c r="AQ279" s="3">
        <f>AP279</f>
        <v>0</v>
      </c>
      <c r="AR279" s="3">
        <f>AQ279</f>
        <v>0</v>
      </c>
      <c r="AS279" s="3">
        <f>AR279</f>
        <v>0</v>
      </c>
      <c r="AT279" s="3">
        <f>AS279</f>
        <v>0</v>
      </c>
      <c r="AU279" s="3">
        <f>AT279</f>
        <v>0</v>
      </c>
      <c r="AV279" s="3">
        <f>AU279</f>
        <v>0</v>
      </c>
      <c r="AW279" s="3">
        <f>AV279</f>
        <v>0</v>
      </c>
      <c r="AX279" s="3">
        <f>AW279</f>
        <v>0</v>
      </c>
      <c r="AY279" s="3">
        <f>AX279</f>
        <v>0</v>
      </c>
      <c r="AZ279" s="3">
        <f>AY279</f>
        <v>0</v>
      </c>
      <c r="BA279" s="3">
        <f>AZ279</f>
        <v>0</v>
      </c>
      <c r="BB279" s="3">
        <f>BA279</f>
        <v>0</v>
      </c>
      <c r="BC279" s="3">
        <f>BB279</f>
        <v>0</v>
      </c>
      <c r="BD279" s="3">
        <f>BC279</f>
        <v>0</v>
      </c>
      <c r="BE279" s="3">
        <f>BD279</f>
        <v>0</v>
      </c>
      <c r="BF279" s="3">
        <f>BE279</f>
        <v>0</v>
      </c>
      <c r="BG279" s="3">
        <f>BF279</f>
        <v>0</v>
      </c>
      <c r="BH279" s="3">
        <f>BG279</f>
        <v>0</v>
      </c>
      <c r="BI279" s="3">
        <f>BH279</f>
        <v>0</v>
      </c>
      <c r="BJ279" s="3">
        <f>BI279</f>
        <v>0</v>
      </c>
      <c r="BK279" s="3">
        <f>BJ279</f>
        <v>0</v>
      </c>
      <c r="BL279" s="3">
        <f>BK279</f>
        <v>0</v>
      </c>
      <c r="BM279" s="3">
        <f>BL279</f>
        <v>0</v>
      </c>
      <c r="BN279" s="3">
        <f>BM279</f>
        <v>0</v>
      </c>
      <c r="BO279" s="3">
        <f>BN279</f>
        <v>0</v>
      </c>
      <c r="BP279" s="3">
        <f>BO279</f>
        <v>0</v>
      </c>
      <c r="BQ279" s="3">
        <f>BP279</f>
        <v>0</v>
      </c>
      <c r="BR279" s="3">
        <f>BQ279</f>
        <v>0</v>
      </c>
      <c r="BS279" s="3">
        <f>BR279</f>
        <v>0</v>
      </c>
      <c r="BT279" s="3">
        <f>BS279</f>
        <v>0</v>
      </c>
      <c r="BU279" s="3">
        <f>BT279</f>
        <v>0</v>
      </c>
      <c r="BV279" s="3">
        <f>BU279</f>
        <v>0</v>
      </c>
      <c r="BW279" s="3">
        <f>BV279</f>
        <v>0</v>
      </c>
      <c r="BX279" s="3">
        <f>BW279</f>
        <v>0</v>
      </c>
      <c r="BY279" s="3">
        <f>BX279</f>
        <v>0</v>
      </c>
      <c r="BZ279" s="3">
        <f>BY279</f>
        <v>0</v>
      </c>
      <c r="CA279" s="3">
        <f>BZ279</f>
        <v>0</v>
      </c>
      <c r="CB279" s="3">
        <f>CA279</f>
        <v>0</v>
      </c>
      <c r="CC279" s="3">
        <f>CB279</f>
        <v>0</v>
      </c>
      <c r="CD279" s="3">
        <f>CC279</f>
        <v>0</v>
      </c>
      <c r="CE279" s="3">
        <f>CD279</f>
        <v>0</v>
      </c>
      <c r="CF279" s="3">
        <f>CE279</f>
        <v>0</v>
      </c>
      <c r="CG279" s="3">
        <f>CF279</f>
        <v>0</v>
      </c>
      <c r="CH279" s="3">
        <f>CG279</f>
        <v>0</v>
      </c>
      <c r="CI279" s="3">
        <f>CH279</f>
        <v>0</v>
      </c>
      <c r="CJ279" s="3">
        <f>CI279</f>
        <v>0</v>
      </c>
      <c r="CK279" s="3">
        <f>CJ279</f>
        <v>0</v>
      </c>
      <c r="CL279" s="3">
        <f>CK279</f>
        <v>0</v>
      </c>
      <c r="CM279" s="3">
        <f>CL279</f>
        <v>0</v>
      </c>
      <c r="CN279" s="3">
        <f>CM279</f>
        <v>0</v>
      </c>
      <c r="CO279" s="3">
        <f>CN279</f>
        <v>0</v>
      </c>
      <c r="CP279" s="3">
        <f>CO279</f>
        <v>0</v>
      </c>
      <c r="CQ279" s="3">
        <f>CP279</f>
        <v>0</v>
      </c>
      <c r="CR279" s="3">
        <f>CQ279</f>
        <v>0</v>
      </c>
      <c r="CS279" s="3">
        <f>CR279</f>
        <v>0</v>
      </c>
      <c r="CT279" s="3">
        <f>CS279</f>
        <v>0</v>
      </c>
      <c r="CU279" s="3">
        <f>CT279</f>
        <v>0</v>
      </c>
      <c r="CV279" s="3">
        <f>CU279</f>
        <v>0</v>
      </c>
      <c r="CW279" s="3">
        <f>CV279</f>
        <v>0</v>
      </c>
      <c r="CX279" s="3">
        <f>CW279</f>
        <v>0</v>
      </c>
      <c r="CY279" s="3">
        <f>CX279</f>
        <v>0</v>
      </c>
    </row>
    <row r="280">
      <c r="C280" s="28" t="inlineStr">
        <is>
          <t>Retained earnings</t>
        </is>
      </c>
      <c r="D280" s="25" t="e">
        <f>INDEX('Inputs (2)'!$D$47:$AL$47,MATCH(D$7,'Inputs (2)'!$D$2:$AL$2,0))</f>
        <v>#N/A</v>
      </c>
      <c r="E280" s="25">
        <f>INDEX('Inputs (2)'!$D$47:$AL$47,MATCH(E$7,'Inputs (2)'!$D$2:$AL$2,0))</f>
        <v>344.81</v>
      </c>
      <c r="F280" s="25">
        <f>INDEX('Inputs (2)'!$D$47:$AL$47,MATCH(F$7,'Inputs (2)'!$D$2:$AL$2,0))</f>
        <v>580.206</v>
      </c>
      <c r="G280" s="25">
        <f>INDEX('Inputs (2)'!$D$47:$AL$47,MATCH(G$7,'Inputs (2)'!$D$2:$AL$2,0))</f>
        <v>819.11</v>
      </c>
      <c r="H280" s="3">
        <f>G280</f>
        <v>819.11</v>
      </c>
      <c r="I280" s="25">
        <f>INDEX('Inputs (2)'!$D$47:$AL$47,MATCH(I$7,'Inputs (2)'!$D$2:$AL$2,0))</f>
        <v>974.657</v>
      </c>
      <c r="J280" s="25">
        <f>INDEX('Inputs (2)'!$D$47:$AL$47,MATCH(J$7,'Inputs (2)'!$D$2:$AL$2,0))</f>
        <v>1162.264</v>
      </c>
      <c r="K280" s="25">
        <f>INDEX('Inputs (2)'!$D$47:$AL$47,MATCH(K$7,'Inputs (2)'!$D$2:$AL$2,0))</f>
        <v>1372.175</v>
      </c>
      <c r="L280" s="25">
        <f>INDEX('Inputs (2)'!$D$47:$AL$47,MATCH(L$7,'Inputs (2)'!$D$2:$AL$2,0))</f>
        <v>1578.041</v>
      </c>
      <c r="M280" s="3">
        <f>L280</f>
        <v>1578.041</v>
      </c>
      <c r="N280" s="25">
        <f>INDEX('Inputs (2)'!$D$47:$AL$47,MATCH(N$7,'Inputs (2)'!$D$2:$AL$2,0))</f>
        <v>1774.759</v>
      </c>
      <c r="O280" s="25">
        <f>INDEX('Inputs (2)'!$D$47:$AL$47,MATCH(O$7,'Inputs (2)'!$D$2:$AL$2,0))</f>
        <v>2035.929</v>
      </c>
      <c r="P280" s="25">
        <f>INDEX('Inputs (2)'!$D$47:$AL$47,MATCH(P$7,'Inputs (2)'!$D$2:$AL$2,0))</f>
        <v>2323.181</v>
      </c>
      <c r="Q280" s="25">
        <f>INDEX('Inputs (2)'!$D$47:$AL$47,MATCH(Q$7,'Inputs (2)'!$D$2:$AL$2,0))</f>
        <v>2630.46</v>
      </c>
      <c r="R280" s="3">
        <f>Q280</f>
        <v>2630.46</v>
      </c>
      <c r="S280" s="25">
        <f>INDEX('Inputs (2)'!$D$47:$AL$47,MATCH(S$7,'Inputs (2)'!$D$2:$AL$2,0))</f>
        <v>2867.178</v>
      </c>
      <c r="T280" s="25">
        <f>INDEX('Inputs (2)'!$D$47:$AL$47,MATCH(T$7,'Inputs (2)'!$D$2:$AL$2,0))</f>
        <v>3157.022</v>
      </c>
      <c r="U280" s="25">
        <f>INDEX('Inputs (2)'!$D$47:$AL$47,MATCH(U$7,'Inputs (2)'!$D$2:$AL$2,0))</f>
        <v>3465.215</v>
      </c>
      <c r="V280" s="25">
        <f>INDEX('Inputs (2)'!$D$47:$AL$47,MATCH(V$7,'Inputs (2)'!$D$2:$AL$2,0))</f>
        <v>617.521</v>
      </c>
      <c r="W280" s="3">
        <f>V280</f>
        <v>617.521</v>
      </c>
      <c r="X280" s="25">
        <f>INDEX('Inputs (2)'!$D$47:$AL$47,MATCH(X$7,'Inputs (2)'!$D$2:$AL$2,0))</f>
        <v>759.049</v>
      </c>
      <c r="Y280" s="25">
        <f>INDEX('Inputs (2)'!$D$47:$AL$47,MATCH(Y$7,'Inputs (2)'!$D$2:$AL$2,0))</f>
        <v>948.384</v>
      </c>
      <c r="Z280" s="25">
        <f>INDEX('Inputs (2)'!$D$47:$AL$47,MATCH(Z$7,'Inputs (2)'!$D$2:$AL$2,0))</f>
        <v>1221.124</v>
      </c>
      <c r="AA280" s="25">
        <f>INDEX('Inputs (2)'!$D$47:$AL$47,MATCH(AA$7,'Inputs (2)'!$D$2:$AL$2,0))</f>
        <v>813.24</v>
      </c>
      <c r="AB280" s="3">
        <f>AA280</f>
        <v>813.24</v>
      </c>
      <c r="AC280" s="25">
        <f>INDEX('Inputs (2)'!$D$47:$AL$47,MATCH(AC$7,'Inputs (2)'!$D$2:$AL$2,0))</f>
        <v>950.475</v>
      </c>
      <c r="AD280" s="25">
        <f>INDEX('Inputs (2)'!$D$47:$AL$47,MATCH(AD$7,'Inputs (2)'!$D$2:$AL$2,0))</f>
        <v>1189.991</v>
      </c>
      <c r="AE280" s="25">
        <f>INDEX('Inputs (2)'!$D$47:$AL$47,MATCH(AE$7,'Inputs (2)'!$D$2:$AL$2,0))</f>
        <v>1873.287</v>
      </c>
      <c r="AF280" s="25">
        <f>INDEX('Inputs (2)'!$D$47:$AL$47,MATCH(AF$7,'Inputs (2)'!$D$2:$AL$2,0))</f>
        <v>2050.983</v>
      </c>
      <c r="AG280" s="3">
        <f>AF280</f>
        <v>2050.983</v>
      </c>
      <c r="AH280" s="3">
        <f>INDEX('Inputs (2)'!$D$47:$AL$47,MATCH(AH$7,'Inputs (2)'!$D$2:$AL$2,0))</f>
        <v>2263.864</v>
      </c>
      <c r="AI280" s="3">
        <f>INDEX('Inputs (2)'!$D$47:$AL$47,MATCH(AI$7,'Inputs (2)'!$D$2:$AL$2,0))</f>
        <v>2500.669</v>
      </c>
      <c r="AJ280" s="3">
        <f>AI280+AJ147+AJ148</f>
        <v>2592.537</v>
      </c>
      <c r="AK280" s="3">
        <f>AJ280+AK147+AK148</f>
        <v>2664.625</v>
      </c>
      <c r="AL280" s="3">
        <f>AK280</f>
        <v>2664.625</v>
      </c>
      <c r="AM280" s="3">
        <f>AL280+AM147+AM148</f>
        <v>2777.359</v>
      </c>
      <c r="AN280" s="3">
        <f>AM280+AN147+AN148</f>
        <v>3129.558</v>
      </c>
      <c r="AO280" s="3">
        <f>AN280+AO147+AO148</f>
        <v>3224.306</v>
      </c>
      <c r="AP280" s="3">
        <f>AO280+AP147+AP148</f>
        <v>3562.959</v>
      </c>
      <c r="AQ280" s="3">
        <f>AP280</f>
        <v>3562.959</v>
      </c>
      <c r="AR280" s="3">
        <f>AQ280+AR147+AR148</f>
        <v>3942.258</v>
      </c>
      <c r="AS280" s="3">
        <f>AR280+AS147+AS148</f>
        <v>4833.347</v>
      </c>
      <c r="AT280" s="3">
        <f>AS280+AT147+AT148</f>
        <v>5194.66</v>
      </c>
      <c r="AU280" s="3">
        <f>AT280+AU147+AU148</f>
        <v>6072.203</v>
      </c>
      <c r="AV280" s="3">
        <f>AU280</f>
        <v>6072.203</v>
      </c>
      <c r="AW280" s="3">
        <f>AV280+AW147+AW148</f>
        <v>6990.392</v>
      </c>
      <c r="AX280" s="3">
        <f>AW280+AX147+AX148</f>
        <v>9492.391</v>
      </c>
      <c r="AY280" s="3">
        <f>AX280+AY147+AY148</f>
        <v>10392.594</v>
      </c>
      <c r="AZ280" s="3">
        <f>AY280+AZ147+AZ148</f>
        <v>12881.047</v>
      </c>
      <c r="BA280" s="3">
        <f>AZ280</f>
        <v>12881.047</v>
      </c>
      <c r="BB280" s="3">
        <f>BA280+BB147+BB148</f>
        <v>15410.146</v>
      </c>
      <c r="BC280" s="3">
        <f>BB280+BC147+BC148</f>
        <v>22211.745</v>
      </c>
      <c r="BD280" s="3">
        <f>BC280+BD147+BD148</f>
        <v>24722.858</v>
      </c>
      <c r="BE280" s="3">
        <f>BD280+BE147+BE148</f>
        <v>31510.911</v>
      </c>
      <c r="BF280" s="3">
        <f>BE280</f>
        <v>31510.911</v>
      </c>
      <c r="BG280" s="3">
        <f>BF280+BG147+BG148</f>
        <v>38339.61</v>
      </c>
      <c r="BH280" s="3">
        <f>BG280+BH147+BH148</f>
        <v>56962.229</v>
      </c>
      <c r="BI280" s="3">
        <f>BH280+BI147+BI148</f>
        <v>63772.942</v>
      </c>
      <c r="BJ280" s="3">
        <f>BI280+BJ147+BJ148</f>
        <v>82382.015</v>
      </c>
      <c r="BK280" s="3">
        <f>BJ280</f>
        <v>82382.015</v>
      </c>
      <c r="BL280" s="3">
        <f>BK280+BL147+BL148</f>
        <v>101031.734</v>
      </c>
      <c r="BM280" s="3">
        <f>BL280+BM147+BM148</f>
        <v>151895.593</v>
      </c>
      <c r="BN280" s="3">
        <f>BM280+BN147+BN148</f>
        <v>170527.326</v>
      </c>
      <c r="BO280" s="3">
        <f>BN280+BO147+BO148</f>
        <v>221377.639</v>
      </c>
      <c r="BP280" s="3">
        <f>BO280</f>
        <v>221377.639</v>
      </c>
      <c r="BQ280" s="3">
        <f>BP280+BQ147+BQ148</f>
        <v>272268.598</v>
      </c>
      <c r="BR280" s="3">
        <f>BQ280+BR147+BR148</f>
        <v>411256.977</v>
      </c>
      <c r="BS280" s="3">
        <f>BR280+BS147+BS148</f>
        <v>462129.95</v>
      </c>
      <c r="BT280" s="3">
        <f>BS280+BT147+BT148</f>
        <v>601104.783</v>
      </c>
      <c r="BU280" s="3">
        <f>BT280</f>
        <v>601104.783</v>
      </c>
      <c r="BV280" s="3">
        <f>BU280+BV147+BV148</f>
        <v>740120.262</v>
      </c>
      <c r="BW280" s="3">
        <f>BV280+BW147+BW148</f>
        <v>1119840.161</v>
      </c>
      <c r="BX280" s="3">
        <f>BW280+BX147+BX148</f>
        <v>1258837.654</v>
      </c>
      <c r="BY280" s="3">
        <f>BX280+BY147+BY148</f>
        <v>1638544.007</v>
      </c>
      <c r="BZ280" s="3">
        <f>BY280</f>
        <v>1638544.007</v>
      </c>
      <c r="CA280" s="3">
        <f>BZ280+CA147+CA148</f>
        <v>2018291.006</v>
      </c>
      <c r="CB280" s="3">
        <f>CA280+CB147+CB148</f>
        <v>3055722.985</v>
      </c>
      <c r="CC280" s="3">
        <f>CB280+CC147+CC148</f>
        <v>3435451.998</v>
      </c>
      <c r="CD280" s="3">
        <f>CC280+CD147+CD148</f>
        <v>4472870.431</v>
      </c>
      <c r="CE280" s="3">
        <f>CD280</f>
        <v>4472870.431</v>
      </c>
      <c r="CF280" s="3">
        <f>CE280+CF147+CF148</f>
        <v>5510329.51</v>
      </c>
      <c r="CG280" s="3">
        <f>CF280+CG147+CG148</f>
        <v>8344648.689</v>
      </c>
      <c r="CH280" s="3">
        <f>CG280+CH147+CH148</f>
        <v>9382089.782</v>
      </c>
      <c r="CI280" s="3">
        <f>CH280+CI147+CI148</f>
        <v>12216395.415</v>
      </c>
      <c r="CJ280" s="3">
        <f>CI280</f>
        <v>12216395.415</v>
      </c>
      <c r="CK280" s="3">
        <f>CJ280+CK147+CK148</f>
        <v>15050741.694</v>
      </c>
      <c r="CL280" s="3">
        <f>CK280+CL147+CL148</f>
        <v>22794259.433</v>
      </c>
      <c r="CM280" s="3">
        <f>CL280+CM147+CM148</f>
        <v>25628587.726</v>
      </c>
      <c r="CN280" s="3">
        <f>CM280+CN147+CN148</f>
        <v>33372091.919</v>
      </c>
      <c r="CO280" s="3">
        <f>CN280</f>
        <v>33372091.919</v>
      </c>
      <c r="CP280" s="3">
        <f>CO280+CP147+CP148</f>
        <v>41115636.758</v>
      </c>
      <c r="CQ280" s="3">
        <f>CP280+CQ147+CQ148</f>
        <v>62271326.017</v>
      </c>
      <c r="CR280" s="3">
        <f>CQ280+CR147+CR148</f>
        <v>70014852.87</v>
      </c>
      <c r="CS280" s="3">
        <f>CR280+CS147+CS148</f>
        <v>91170528.583</v>
      </c>
      <c r="CT280" s="3">
        <f>CS280</f>
        <v>91170528.583</v>
      </c>
      <c r="CU280" s="3">
        <f>CT280+CU147+CU148</f>
        <v>112326244.942</v>
      </c>
      <c r="CV280" s="3">
        <f>CU280+CV147+CV148</f>
        <v>170124674.361</v>
      </c>
      <c r="CW280" s="3">
        <f>CV280+CW147+CW148</f>
        <v>191280372.734</v>
      </c>
      <c r="CX280" s="3">
        <f>CW280+CX147+CX148</f>
        <v>249078788.607</v>
      </c>
      <c r="CY280" s="3">
        <f>CX280</f>
        <v>249078788.607</v>
      </c>
    </row>
    <row r="281" customFormat="1" s="17">
      <c r="A281" s="13" t="inlineStr">
        <is>
          <t xml:space="preserve"> </t>
        </is>
      </c>
      <c r="B281" s="13" t="n"/>
      <c r="C281" s="27" t="inlineStr">
        <is>
          <t>Total Shareholders' Equity</t>
        </is>
      </c>
      <c r="D281" s="16" t="e">
        <f>SUM(D258+D263+D264+D277+D278+D279+D280)</f>
        <v>#N/A</v>
      </c>
      <c r="E281" s="16">
        <f>SUM(E258+E263+E264+E277+E278+E279+E280)</f>
        <v>2316.158648</v>
      </c>
      <c r="F281" s="16">
        <f>SUM(F258+F263+F264+F277+F278+F279+F280)</f>
        <v>2551.80509978</v>
      </c>
      <c r="G281" s="16">
        <f>SUM(G258+G263+G264+G277+G278+G279+G280)</f>
        <v>5707.54045592</v>
      </c>
      <c r="H281" s="16">
        <f>SUM(H258,H263,H264,H277,H278,H279,H280)</f>
        <v>5707.54045592</v>
      </c>
      <c r="I281" s="16">
        <f>SUM(I258+I263+I264+I277+I278+I279+I280)</f>
        <v>5864.26045592</v>
      </c>
      <c r="J281" s="16">
        <f>SUM(J258+J263+J264+J277+J278+J279+J280)</f>
        <v>6054.82515592</v>
      </c>
      <c r="K281" s="16">
        <f>SUM(K258+K263+K264+K277+K278+K279+K280)</f>
        <v>6268.249</v>
      </c>
      <c r="L281" s="16">
        <f>SUM(L258+L263+L264+L277+L278+L279+L280)</f>
        <v>6476.581</v>
      </c>
      <c r="M281" s="16">
        <f>SUM(M258,M263,M264,M277,M278,M279,M280)</f>
        <v>6476.581</v>
      </c>
      <c r="N281" s="16">
        <f>SUM(N258+N263+N264+N277+N278+N279+N280)</f>
        <v>6675.795</v>
      </c>
      <c r="O281" s="16">
        <f>SUM(O258+O263+O264+O277+O278+O279+O280)</f>
        <v>6940.347</v>
      </c>
      <c r="P281" s="16">
        <f>SUM(P258+P263+P264+P277+P278+P279+P280)</f>
        <v>7231.27</v>
      </c>
      <c r="Q281" s="16">
        <f>SUM(Q258+Q263+Q264+Q277+Q278+Q279+Q280)</f>
        <v>7541.985</v>
      </c>
      <c r="R281" s="16">
        <f>SUM(R258,R263,R264,R277,R278,R279,R280)</f>
        <v>7541.985</v>
      </c>
      <c r="S281" s="16">
        <f>SUM(S258+S263+S264+S277+S278+S279+S280)</f>
        <v>7781.5964</v>
      </c>
      <c r="T281" s="16">
        <f>SUM(T258+T263+T264+T277+T278+T279+T280)</f>
        <v>8076.004</v>
      </c>
      <c r="U281" s="16">
        <f>SUM(U258+U263+U264+U277+U278+U279+U280)</f>
        <v>8385.411</v>
      </c>
      <c r="V281" s="16">
        <f>SUM(V258+V263+V264+V277+V278+V279+V280)</f>
        <v>8773.513</v>
      </c>
      <c r="W281" s="16">
        <f>SUM(W258,W263,W264,W277,W278,W279,W280)</f>
        <v>8773.513</v>
      </c>
      <c r="X281" s="16">
        <f>SUM(X258+X263+X264+X277+X278+X279+X280)</f>
        <v>8917.604</v>
      </c>
      <c r="Y281" s="16">
        <f>SUM(Y258+Y263+Y264+Y277+Y278+Y279+Y280)</f>
        <v>9100.834</v>
      </c>
      <c r="Z281" s="16">
        <f>SUM(Z258+Z263+Z264+Z277+Z278+Z279+Z280)</f>
        <v>9396.716</v>
      </c>
      <c r="AA281" s="16">
        <f>SUM(AA258+AA263+AA264+AA277+AA278+AA279+AA280)</f>
        <v>9232.293</v>
      </c>
      <c r="AB281" s="16">
        <f>SUM(AB258,AB263,AB264,AB277,AB278,AB279,AB280)</f>
        <v>9232.293</v>
      </c>
      <c r="AC281" s="16">
        <f>SUM(AC258+AC263+AC264+AC277+AC278+AC279+AC280)</f>
        <v>9356.337</v>
      </c>
      <c r="AD281" s="16">
        <f>SUM(AD258+AD263+AD264+AD277+AD278+AD279+AD280)</f>
        <v>9612.422</v>
      </c>
      <c r="AE281" s="16">
        <f>SUM(AE258+AE263+AE264+AE277+AE278+AE279+AE280)</f>
        <v>11251.398</v>
      </c>
      <c r="AF281" s="16">
        <f>SUM(AF258+AF263+AF264+AF277+AF278+AF279+AF280)</f>
        <v>11467.816</v>
      </c>
      <c r="AG281" s="16">
        <f>SUM(AG258,AG263,AG264,AG277,AG278,AG279,AG280)</f>
        <v>11467.816</v>
      </c>
      <c r="AH281" s="16">
        <f>SUM(AH258+AH263+AH264+AH277+AH278+AH279+AH280)</f>
        <v>11997.572</v>
      </c>
      <c r="AI281" s="16">
        <f>SUM(AI258+AI263+AI264+AI277+AI278+AI279+AI280)</f>
        <v>12345.241</v>
      </c>
      <c r="AJ281" s="16">
        <f>SUM(AJ258+AJ263+AJ264+AJ277+AJ278+AJ279+AJ280)</f>
        <v>12433.136</v>
      </c>
      <c r="AK281" s="16">
        <f>SUM(AK258+AK263+AK264+AK277+AK278+AK279+AK280)</f>
        <v>12523.911</v>
      </c>
      <c r="AL281" s="16">
        <f>SUM(AL258,AL263,AL264,AL277,AL278,AL279,AL280)</f>
        <v>12523.911</v>
      </c>
      <c r="AM281" s="16">
        <f>SUM(AM258+AM263+AM264+AM277+AM278+AM279+AM280)</f>
        <v>12614.686</v>
      </c>
      <c r="AN281" s="16">
        <f>SUM(AN258+AN263+AN264+AN277+AN278+AN279+AN280)</f>
        <v>12972.026</v>
      </c>
      <c r="AO281" s="16">
        <f>SUM(AO258+AO263+AO264+AO277+AO278+AO279+AO280)</f>
        <v>13062.801</v>
      </c>
      <c r="AP281" s="16">
        <f>SUM(AP258+AP263+AP264+AP277+AP278+AP279+AP280)</f>
        <v>13420.141</v>
      </c>
      <c r="AQ281" s="16">
        <f>SUM(AQ258,AQ263,AQ264,AQ277,AQ278,AQ279,AQ280)</f>
        <v>13420.141</v>
      </c>
      <c r="AR281" s="16">
        <f>SUM(AR258+AR263+AR264+AR277+AR278+AR279+AR280)</f>
        <v>13777.481</v>
      </c>
      <c r="AS281" s="16">
        <f>SUM(AS258+AS263+AS264+AS277+AS278+AS279+AS280)</f>
        <v>14673.711</v>
      </c>
      <c r="AT281" s="16">
        <f>SUM(AT258+AT263+AT264+AT277+AT278+AT279+AT280)</f>
        <v>15031.051</v>
      </c>
      <c r="AU281" s="16">
        <f>SUM(AU258+AU263+AU264+AU277+AU278+AU279+AU280)</f>
        <v>15927.281</v>
      </c>
      <c r="AV281" s="16">
        <f>SUM(AV258,AV263,AV264,AV277,AV278,AV279,AV280)</f>
        <v>15927.281</v>
      </c>
      <c r="AW281" s="16">
        <f>SUM(AW258+AW263+AW264+AW277+AW278+AW279+AW280)</f>
        <v>16823.511</v>
      </c>
      <c r="AX281" s="16">
        <f>SUM(AX258+AX263+AX264+AX277+AX278+AX279+AX280)</f>
        <v>19330.651</v>
      </c>
      <c r="AY281" s="16">
        <f>SUM(AY258+AY263+AY264+AY277+AY278+AY279+AY280)</f>
        <v>20226.881</v>
      </c>
      <c r="AZ281" s="16">
        <f>SUM(AZ258+AZ263+AZ264+AZ277+AZ278+AZ279+AZ280)</f>
        <v>22734.021</v>
      </c>
      <c r="BA281" s="16">
        <f>SUM(BA258,BA263,BA264,BA277,BA278,BA279,BA280)</f>
        <v>22734.021</v>
      </c>
      <c r="BB281" s="16">
        <f>SUM(BB258+BB263+BB264+BB277+BB278+BB279+BB280)</f>
        <v>25241.161</v>
      </c>
      <c r="BC281" s="16">
        <f>SUM(BC258+BC263+BC264+BC277+BC278+BC279+BC280)</f>
        <v>32047.901</v>
      </c>
      <c r="BD281" s="16">
        <f>SUM(BD258+BD263+BD264+BD277+BD278+BD279+BD280)</f>
        <v>34555.041</v>
      </c>
      <c r="BE281" s="16">
        <f>SUM(BE258+BE263+BE264+BE277+BE278+BE279+BE280)</f>
        <v>41361.781</v>
      </c>
      <c r="BF281" s="16">
        <f>SUM(BF258,BF263,BF264,BF277,BF278,BF279,BF280)</f>
        <v>41361.781</v>
      </c>
      <c r="BG281" s="16">
        <f>SUM(BG258+BG263+BG264+BG277+BG278+BG279+BG280)</f>
        <v>48168.521</v>
      </c>
      <c r="BH281" s="16">
        <f>SUM(BH258+BH263+BH264+BH277+BH278+BH279+BH280)</f>
        <v>66796.281</v>
      </c>
      <c r="BI281" s="16">
        <f>SUM(BI258+BI263+BI264+BI277+BI278+BI279+BI280)</f>
        <v>73603.021</v>
      </c>
      <c r="BJ281" s="16">
        <f>SUM(BJ258+BJ263+BJ264+BJ277+BJ278+BJ279+BJ280)</f>
        <v>92230.781</v>
      </c>
      <c r="BK281" s="16">
        <f>SUM(BK258,BK263,BK264,BK277,BK278,BK279,BK280)</f>
        <v>92230.781</v>
      </c>
      <c r="BL281" s="16">
        <f>SUM(BL258+BL263+BL264+BL277+BL278+BL279+BL280)</f>
        <v>110858.541</v>
      </c>
      <c r="BM281" s="16">
        <f>SUM(BM258+BM263+BM264+BM277+BM278+BM279+BM280)</f>
        <v>161727.541</v>
      </c>
      <c r="BN281" s="16">
        <f>SUM(BN258+BN263+BN264+BN277+BN278+BN279+BN280)</f>
        <v>180355.301</v>
      </c>
      <c r="BO281" s="16">
        <f>SUM(BO258+BO263+BO264+BO277+BO278+BO279+BO280)</f>
        <v>231224.301</v>
      </c>
      <c r="BP281" s="16">
        <f>SUM(BP258,BP263,BP264,BP277,BP278,BP279,BP280)</f>
        <v>231224.301</v>
      </c>
      <c r="BQ281" s="16">
        <f>SUM(BQ258+BQ263+BQ264+BQ277+BQ278+BQ279+BQ280)</f>
        <v>282093.301</v>
      </c>
      <c r="BR281" s="16">
        <f>SUM(BR258+BR263+BR264+BR277+BR278+BR279+BR280)</f>
        <v>421086.821</v>
      </c>
      <c r="BS281" s="16">
        <f>SUM(BS258+BS263+BS264+BS277+BS278+BS279+BS280)</f>
        <v>471955.821</v>
      </c>
      <c r="BT281" s="16">
        <f>SUM(BT258+BT263+BT264+BT277+BT278+BT279+BT280)</f>
        <v>610949.341</v>
      </c>
      <c r="BU281" s="16">
        <f>SUM(BU258,BU263,BU264,BU277,BU278,BU279,BU280)</f>
        <v>610949.341</v>
      </c>
      <c r="BV281" s="16">
        <f>SUM(BV258+BV263+BV264+BV277+BV278+BV279+BV280)</f>
        <v>749942.861</v>
      </c>
      <c r="BW281" s="16">
        <f>SUM(BW258+BW263+BW264+BW277+BW278+BW279+BW280)</f>
        <v>1129667.901</v>
      </c>
      <c r="BX281" s="16">
        <f>SUM(BX258+BX263+BX264+BX277+BX278+BX279+BX280)</f>
        <v>1268661.421</v>
      </c>
      <c r="BY281" s="16">
        <f>SUM(BY258+BY263+BY264+BY277+BY278+BY279+BY280)</f>
        <v>1648386.461</v>
      </c>
      <c r="BZ281" s="16">
        <f>SUM(BZ258,BZ263,BZ264,BZ277,BZ278,BZ279,BZ280)</f>
        <v>1648386.461</v>
      </c>
      <c r="CA281" s="16">
        <f>SUM(CA258+CA263+CA264+CA277+CA278+CA279+CA280)</f>
        <v>2028111.501</v>
      </c>
      <c r="CB281" s="16">
        <f>SUM(CB258+CB263+CB264+CB277+CB278+CB279+CB280)</f>
        <v>3065548.621</v>
      </c>
      <c r="CC281" s="16">
        <f>SUM(CC258+CC263+CC264+CC277+CC278+CC279+CC280)</f>
        <v>3445273.661</v>
      </c>
      <c r="CD281" s="16">
        <f>SUM(CD258+CD263+CD264+CD277+CD278+CD279+CD280)</f>
        <v>4482710.781</v>
      </c>
      <c r="CE281" s="16">
        <f>SUM(CE258,CE263,CE264,CE277,CE278,CE279,CE280)</f>
        <v>4482710.781</v>
      </c>
      <c r="CF281" s="16">
        <f>SUM(CF258+CF263+CF264+CF277+CF278+CF279+CF280)</f>
        <v>5520147.901</v>
      </c>
      <c r="CG281" s="16">
        <f>SUM(CG258+CG263+CG264+CG277+CG278+CG279+CG280)</f>
        <v>8354472.221</v>
      </c>
      <c r="CH281" s="16">
        <f>SUM(CH258+CH263+CH264+CH277+CH278+CH279+CH280)</f>
        <v>9391909.341</v>
      </c>
      <c r="CI281" s="16">
        <f>SUM(CI258+CI263+CI264+CI277+CI278+CI279+CI280)</f>
        <v>12226233.661</v>
      </c>
      <c r="CJ281" s="16">
        <f>SUM(CJ258,CJ263,CJ264,CJ277,CJ278,CJ279,CJ280)</f>
        <v>12226233.661</v>
      </c>
      <c r="CK281" s="16">
        <f>SUM(CK258+CK263+CK264+CK277+CK278+CK279+CK280)</f>
        <v>15060557.981</v>
      </c>
      <c r="CL281" s="16">
        <f>SUM(CL258+CL263+CL264+CL277+CL278+CL279+CL280)</f>
        <v>22804080.861</v>
      </c>
      <c r="CM281" s="16">
        <f>SUM(CM258+CM263+CM264+CM277+CM278+CM279+CM280)</f>
        <v>25638405.181</v>
      </c>
      <c r="CN281" s="16">
        <f>SUM(CN258+CN263+CN264+CN277+CN278+CN279+CN280)</f>
        <v>33381928.061</v>
      </c>
      <c r="CO281" s="16">
        <f>SUM(CO258,CO263,CO264,CO277,CO278,CO279,CO280)</f>
        <v>33381928.061</v>
      </c>
      <c r="CP281" s="16">
        <f>SUM(CP258+CP263+CP264+CP277+CP278+CP279+CP280)</f>
        <v>41125450.941</v>
      </c>
      <c r="CQ281" s="16">
        <f>SUM(CQ258+CQ263+CQ264+CQ277+CQ278+CQ279+CQ280)</f>
        <v>62281145.341</v>
      </c>
      <c r="CR281" s="16">
        <f>SUM(CR258+CR263+CR264+CR277+CR278+CR279+CR280)</f>
        <v>70024668.221</v>
      </c>
      <c r="CS281" s="16">
        <f>SUM(CS258+CS263+CS264+CS277+CS278+CS279+CS280)</f>
        <v>91180362.621</v>
      </c>
      <c r="CT281" s="16">
        <f>SUM(CT258,CT263,CT264,CT277,CT278,CT279,CT280)</f>
        <v>91180362.621</v>
      </c>
      <c r="CU281" s="16">
        <f>SUM(CU258+CU263+CU264+CU277+CU278+CU279+CU280)</f>
        <v>112336057.021</v>
      </c>
      <c r="CV281" s="16">
        <f>SUM(CV258+CV263+CV264+CV277+CV278+CV279+CV280)</f>
        <v>170134491.581</v>
      </c>
      <c r="CW281" s="16">
        <f>SUM(CW258+CW263+CW264+CW277+CW278+CW279+CW280)</f>
        <v>191290185.981</v>
      </c>
      <c r="CX281" s="16">
        <f>SUM(CX258+CX263+CX264+CX277+CX278+CX279+CX280)</f>
        <v>249088620.541</v>
      </c>
      <c r="CY281" s="16">
        <f>SUM(CY258,CY263,CY264,CY277,CY278,CY279,CY280)</f>
        <v>249088620.541</v>
      </c>
    </row>
    <row r="282">
      <c r="C282" s="29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  <c r="CU282" s="3" t="n"/>
      <c r="CV282" s="3" t="n"/>
      <c r="CW282" s="3" t="n"/>
      <c r="CX282" s="3" t="n"/>
      <c r="CY282" s="3" t="n"/>
    </row>
    <row r="283" customFormat="1" s="17">
      <c r="A283" s="13" t="n"/>
      <c r="B283" s="1" t="n"/>
      <c r="C283" s="14" t="inlineStr">
        <is>
          <t>Total Liabilities + Shareholders' Equity</t>
        </is>
      </c>
      <c r="D283" s="16" t="e">
        <f>D281+D257</f>
        <v>#N/A</v>
      </c>
      <c r="E283" s="16">
        <f>E281+E257</f>
        <v>5130.343648</v>
      </c>
      <c r="F283" s="16">
        <f>F281+F257</f>
        <v>5760.52016858</v>
      </c>
      <c r="G283" s="16">
        <f>G281+G257</f>
        <v>8198.71185711</v>
      </c>
      <c r="H283" s="16">
        <f>H281+H257</f>
        <v>8198.71185711</v>
      </c>
      <c r="I283" s="16">
        <f>I281+I257</f>
        <v>8181.50529524</v>
      </c>
      <c r="J283" s="16">
        <f>J281+J257</f>
        <v>8758.60156238</v>
      </c>
      <c r="K283" s="16">
        <f>K281+K257</f>
        <v>9205.963</v>
      </c>
      <c r="L283" s="16">
        <f>L281+L257</f>
        <v>9954.991</v>
      </c>
      <c r="M283" s="16">
        <f>M281+M257</f>
        <v>9954.991</v>
      </c>
      <c r="N283" s="16">
        <f>N281+N257</f>
        <v>10460.07</v>
      </c>
      <c r="O283" s="16">
        <f>O281+O257</f>
        <v>11434.97444904</v>
      </c>
      <c r="P283" s="16">
        <f>P281+P257</f>
        <v>12387.778938</v>
      </c>
      <c r="Q283" s="16">
        <f>Q281+Q257</f>
        <v>13263.93794475</v>
      </c>
      <c r="R283" s="16">
        <f>R281+R257</f>
        <v>13263.93794475</v>
      </c>
      <c r="S283" s="16">
        <f>S281+S257</f>
        <v>13726.16962189</v>
      </c>
      <c r="T283" s="16">
        <f>T281+T257</f>
        <v>14378.139</v>
      </c>
      <c r="U283" s="16">
        <f>U281+U257</f>
        <v>15056.338</v>
      </c>
      <c r="V283" s="16">
        <f>V281+V257</f>
        <v>16357.29579394</v>
      </c>
      <c r="W283" s="16">
        <f>W281+W257</f>
        <v>16357.29579394</v>
      </c>
      <c r="X283" s="16">
        <f>X281+X257</f>
        <v>16519.334</v>
      </c>
      <c r="Y283" s="16">
        <f>Y281+Y257</f>
        <v>17131.008</v>
      </c>
      <c r="Z283" s="16">
        <f>Z281+Z257</f>
        <v>17900.655</v>
      </c>
      <c r="AA283" s="16">
        <f>AA281+AA257</f>
        <v>18228.167</v>
      </c>
      <c r="AB283" s="16">
        <f>AB281+AB257</f>
        <v>18228.167</v>
      </c>
      <c r="AC283" s="16">
        <f>AC281+AC257</f>
        <v>19342.417</v>
      </c>
      <c r="AD283" s="16">
        <f>AD281+AD257</f>
        <v>19666.72</v>
      </c>
      <c r="AE283" s="16">
        <f>AE281+AE257</f>
        <v>23696.093</v>
      </c>
      <c r="AF283" s="16">
        <f>AF281+AF257</f>
        <v>24352.014</v>
      </c>
      <c r="AG283" s="16">
        <f>AG281+AG257</f>
        <v>24352.014</v>
      </c>
      <c r="AH283" s="16">
        <f>AH281+AH257</f>
        <v>24737.405</v>
      </c>
      <c r="AI283" s="16">
        <f>AI281+AI257</f>
        <v>25153.122</v>
      </c>
      <c r="AJ283" s="16">
        <f>AJ281+AJ257</f>
        <v>19668.217</v>
      </c>
      <c r="AK283" s="16">
        <f>AK281+AK257</f>
        <v>19758.992</v>
      </c>
      <c r="AL283" s="16">
        <f>AL281+AL257</f>
        <v>19758.992</v>
      </c>
      <c r="AM283" s="16" t="e">
        <f>AM281+AM257</f>
        <v>#DIV/0!</v>
      </c>
      <c r="AN283" s="16">
        <f>AN281+AN257</f>
        <v>20207.107</v>
      </c>
      <c r="AO283" s="16" t="e">
        <f>AO281+AO257</f>
        <v>#DIV/0!</v>
      </c>
      <c r="AP283" s="16" t="e">
        <f>AP281+AP257</f>
        <v>#DIV/0!</v>
      </c>
      <c r="AQ283" s="16" t="e">
        <f>AQ281+AQ257</f>
        <v>#DIV/0!</v>
      </c>
      <c r="AR283" s="16" t="e">
        <f>AR281+AR257</f>
        <v>#DIV/0!</v>
      </c>
      <c r="AS283" s="16" t="e">
        <f>AS281+AS257</f>
        <v>#DIV/0!</v>
      </c>
      <c r="AT283" s="16" t="e">
        <f>AT281+AT257</f>
        <v>#DIV/0!</v>
      </c>
      <c r="AU283" s="16" t="e">
        <f>AU281+AU257</f>
        <v>#DIV/0!</v>
      </c>
      <c r="AV283" s="16" t="e">
        <f>AV281+AV257</f>
        <v>#DIV/0!</v>
      </c>
      <c r="AW283" s="16" t="e">
        <f>AW281+AW257</f>
        <v>#DIV/0!</v>
      </c>
      <c r="AX283" s="16" t="e">
        <f>AX281+AX257</f>
        <v>#DIV/0!</v>
      </c>
      <c r="AY283" s="16" t="e">
        <f>AY281+AY257</f>
        <v>#DIV/0!</v>
      </c>
      <c r="AZ283" s="16" t="e">
        <f>AZ281+AZ257</f>
        <v>#DIV/0!</v>
      </c>
      <c r="BA283" s="16" t="e">
        <f>BA281+BA257</f>
        <v>#DIV/0!</v>
      </c>
      <c r="BB283" s="16" t="e">
        <f>BB281+BB257</f>
        <v>#DIV/0!</v>
      </c>
      <c r="BC283" s="16" t="e">
        <f>BC281+BC257</f>
        <v>#DIV/0!</v>
      </c>
      <c r="BD283" s="16" t="e">
        <f>BD281+BD257</f>
        <v>#DIV/0!</v>
      </c>
      <c r="BE283" s="16" t="e">
        <f>BE281+BE257</f>
        <v>#DIV/0!</v>
      </c>
      <c r="BF283" s="16" t="e">
        <f>BF281+BF257</f>
        <v>#DIV/0!</v>
      </c>
      <c r="BG283" s="16" t="e">
        <f>BG281+BG257</f>
        <v>#DIV/0!</v>
      </c>
      <c r="BH283" s="16" t="e">
        <f>BH281+BH257</f>
        <v>#DIV/0!</v>
      </c>
      <c r="BI283" s="16" t="e">
        <f>BI281+BI257</f>
        <v>#DIV/0!</v>
      </c>
      <c r="BJ283" s="16" t="e">
        <f>BJ281+BJ257</f>
        <v>#DIV/0!</v>
      </c>
      <c r="BK283" s="16" t="e">
        <f>BK281+BK257</f>
        <v>#DIV/0!</v>
      </c>
      <c r="BL283" s="16" t="e">
        <f>BL281+BL257</f>
        <v>#DIV/0!</v>
      </c>
      <c r="BM283" s="16" t="e">
        <f>BM281+BM257</f>
        <v>#DIV/0!</v>
      </c>
      <c r="BN283" s="16" t="e">
        <f>BN281+BN257</f>
        <v>#DIV/0!</v>
      </c>
      <c r="BO283" s="16" t="e">
        <f>BO281+BO257</f>
        <v>#DIV/0!</v>
      </c>
      <c r="BP283" s="16" t="e">
        <f>BP281+BP257</f>
        <v>#DIV/0!</v>
      </c>
      <c r="BQ283" s="16" t="e">
        <f>BQ281+BQ257</f>
        <v>#DIV/0!</v>
      </c>
      <c r="BR283" s="16" t="e">
        <f>BR281+BR257</f>
        <v>#DIV/0!</v>
      </c>
      <c r="BS283" s="16" t="e">
        <f>BS281+BS257</f>
        <v>#DIV/0!</v>
      </c>
      <c r="BT283" s="16" t="e">
        <f>BT281+BT257</f>
        <v>#DIV/0!</v>
      </c>
      <c r="BU283" s="16" t="e">
        <f>BU281+BU257</f>
        <v>#DIV/0!</v>
      </c>
      <c r="BV283" s="16" t="e">
        <f>BV281+BV257</f>
        <v>#DIV/0!</v>
      </c>
      <c r="BW283" s="16" t="e">
        <f>BW281+BW257</f>
        <v>#DIV/0!</v>
      </c>
      <c r="BX283" s="16" t="e">
        <f>BX281+BX257</f>
        <v>#DIV/0!</v>
      </c>
      <c r="BY283" s="16" t="e">
        <f>BY281+BY257</f>
        <v>#DIV/0!</v>
      </c>
      <c r="BZ283" s="16" t="e">
        <f>BZ281+BZ257</f>
        <v>#DIV/0!</v>
      </c>
      <c r="CA283" s="16" t="e">
        <f>CA281+CA257</f>
        <v>#DIV/0!</v>
      </c>
      <c r="CB283" s="16" t="e">
        <f>CB281+CB257</f>
        <v>#DIV/0!</v>
      </c>
      <c r="CC283" s="16" t="e">
        <f>CC281+CC257</f>
        <v>#DIV/0!</v>
      </c>
      <c r="CD283" s="16" t="e">
        <f>CD281+CD257</f>
        <v>#DIV/0!</v>
      </c>
      <c r="CE283" s="16" t="e">
        <f>CE281+CE257</f>
        <v>#DIV/0!</v>
      </c>
      <c r="CF283" s="16" t="e">
        <f>CF281+CF257</f>
        <v>#DIV/0!</v>
      </c>
      <c r="CG283" s="16" t="e">
        <f>CG281+CG257</f>
        <v>#DIV/0!</v>
      </c>
      <c r="CH283" s="16" t="e">
        <f>CH281+CH257</f>
        <v>#DIV/0!</v>
      </c>
      <c r="CI283" s="16" t="e">
        <f>CI281+CI257</f>
        <v>#DIV/0!</v>
      </c>
      <c r="CJ283" s="16" t="e">
        <f>CJ281+CJ257</f>
        <v>#DIV/0!</v>
      </c>
      <c r="CK283" s="16" t="e">
        <f>CK281+CK257</f>
        <v>#DIV/0!</v>
      </c>
      <c r="CL283" s="16" t="e">
        <f>CL281+CL257</f>
        <v>#DIV/0!</v>
      </c>
      <c r="CM283" s="16" t="e">
        <f>CM281+CM257</f>
        <v>#DIV/0!</v>
      </c>
      <c r="CN283" s="16" t="e">
        <f>CN281+CN257</f>
        <v>#DIV/0!</v>
      </c>
      <c r="CO283" s="16" t="e">
        <f>CO281+CO257</f>
        <v>#DIV/0!</v>
      </c>
      <c r="CP283" s="16" t="e">
        <f>CP281+CP257</f>
        <v>#DIV/0!</v>
      </c>
      <c r="CQ283" s="16" t="e">
        <f>CQ281+CQ257</f>
        <v>#DIV/0!</v>
      </c>
      <c r="CR283" s="16" t="e">
        <f>CR281+CR257</f>
        <v>#DIV/0!</v>
      </c>
      <c r="CS283" s="16" t="e">
        <f>CS281+CS257</f>
        <v>#DIV/0!</v>
      </c>
      <c r="CT283" s="16" t="e">
        <f>CT281+CT257</f>
        <v>#DIV/0!</v>
      </c>
      <c r="CU283" s="16" t="e">
        <f>CU281+CU257</f>
        <v>#DIV/0!</v>
      </c>
      <c r="CV283" s="16" t="e">
        <f>CV281+CV257</f>
        <v>#DIV/0!</v>
      </c>
      <c r="CW283" s="16" t="e">
        <f>CW281+CW257</f>
        <v>#DIV/0!</v>
      </c>
      <c r="CX283" s="16" t="e">
        <f>CX281+CX257</f>
        <v>#DIV/0!</v>
      </c>
      <c r="CY283" s="16" t="e">
        <f>CY281+CY257</f>
        <v>#DIV/0!</v>
      </c>
    </row>
    <row r="284">
      <c r="C284" s="5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  <c r="BO284" s="1" t="n"/>
      <c r="BP284" s="1" t="n"/>
      <c r="BQ284" s="1" t="n"/>
      <c r="BR284" s="1" t="n"/>
      <c r="BS284" s="1" t="n"/>
      <c r="BT284" s="1" t="n"/>
      <c r="BU284" s="1" t="n"/>
      <c r="BV284" s="1" t="n"/>
      <c r="BW284" s="1" t="n"/>
      <c r="BX284" s="1" t="n"/>
      <c r="BY284" s="1" t="n"/>
      <c r="BZ284" s="1" t="n"/>
      <c r="CA284" s="1" t="n"/>
      <c r="CB284" s="1" t="n"/>
      <c r="CC284" s="1" t="n"/>
      <c r="CD284" s="1" t="n"/>
      <c r="CE284" s="1" t="n"/>
      <c r="CF284" s="1" t="n"/>
      <c r="CG284" s="1" t="n"/>
      <c r="CH284" s="1" t="n"/>
      <c r="CI284" s="1" t="n"/>
      <c r="CJ284" s="1" t="n"/>
      <c r="CK284" s="1" t="n"/>
      <c r="CL284" s="1" t="n"/>
      <c r="CM284" s="1" t="n"/>
      <c r="CN284" s="1" t="n"/>
      <c r="CO284" s="1" t="n"/>
      <c r="CP284" s="1" t="n"/>
      <c r="CQ284" s="1" t="n"/>
      <c r="CR284" s="1" t="n"/>
      <c r="CS284" s="1" t="n"/>
      <c r="CT284" s="1" t="n"/>
      <c r="CU284" s="1" t="n"/>
      <c r="CV284" s="1" t="n"/>
      <c r="CW284" s="1" t="n"/>
      <c r="CX284" s="1" t="n"/>
      <c r="CY284" s="1" t="n"/>
    </row>
    <row r="285" customFormat="1" s="17">
      <c r="A285" s="13" t="n"/>
      <c r="B285" s="13" t="n"/>
      <c r="C285" s="12" t="inlineStr">
        <is>
          <t>Cash Flow Statement</t>
        </is>
      </c>
      <c r="D285" s="232" t="str">
        <f>D152</f>
        <v>1Q20</v>
      </c>
      <c r="E285" s="232" t="str">
        <f>E152</f>
        <v>2Q20</v>
      </c>
      <c r="F285" s="232" t="str">
        <f>F152</f>
        <v>3Q20</v>
      </c>
      <c r="G285" s="232" t="str">
        <f>G152</f>
        <v>4Q20</v>
      </c>
      <c r="H285" s="232">
        <f>H152</f>
        <v>2020</v>
      </c>
      <c r="I285" s="232" t="str">
        <f>I152</f>
        <v>1Q21</v>
      </c>
      <c r="J285" s="232" t="str">
        <f>J152</f>
        <v>2Q21</v>
      </c>
      <c r="K285" s="232" t="str">
        <f>K152</f>
        <v>3Q21</v>
      </c>
      <c r="L285" s="232" t="str">
        <f>L152</f>
        <v>4Q21</v>
      </c>
      <c r="M285" s="232">
        <f>M152</f>
        <v>2021</v>
      </c>
      <c r="N285" s="232" t="str">
        <f>N152</f>
        <v>1Q22</v>
      </c>
      <c r="O285" s="232" t="str">
        <f>O152</f>
        <v>2Q22</v>
      </c>
      <c r="P285" s="232" t="str">
        <f>P152</f>
        <v>3Q22</v>
      </c>
      <c r="Q285" s="232" t="str">
        <f>Q152</f>
        <v>4Q22</v>
      </c>
      <c r="R285" s="232">
        <f>R152</f>
        <v>2022</v>
      </c>
      <c r="S285" s="232" t="str">
        <f>S152</f>
        <v>1Q23</v>
      </c>
      <c r="T285" s="232" t="str">
        <f>T152</f>
        <v>2Q23</v>
      </c>
      <c r="U285" s="232" t="str">
        <f>U152</f>
        <v>3Q23</v>
      </c>
      <c r="V285" s="232" t="str">
        <f>V152</f>
        <v>4Q23</v>
      </c>
      <c r="W285" s="232">
        <f>W152</f>
        <v>2023</v>
      </c>
      <c r="X285" s="232" t="str">
        <f>X152</f>
        <v>1Q24</v>
      </c>
      <c r="Y285" s="232" t="str">
        <f>Y152</f>
        <v>2Q24</v>
      </c>
      <c r="Z285" s="232" t="str">
        <f>Z152</f>
        <v>3Q24</v>
      </c>
      <c r="AA285" s="232" t="str">
        <f>AA152</f>
        <v>4Q24</v>
      </c>
      <c r="AB285" s="232">
        <f>AB152</f>
        <v>2024</v>
      </c>
      <c r="AC285" s="232" t="str">
        <f>AC152</f>
        <v>1Q25</v>
      </c>
      <c r="AD285" s="232" t="str">
        <f>AD152</f>
        <v>2Q25</v>
      </c>
      <c r="AE285" s="232" t="str">
        <f>AE152</f>
        <v>3Q25</v>
      </c>
      <c r="AF285" s="232" t="str">
        <f>AF152</f>
        <v>4Q25</v>
      </c>
      <c r="AG285" s="232">
        <f>AG152</f>
        <v>2025</v>
      </c>
      <c r="AH285" s="232" t="str">
        <f>AH152</f>
        <v>1Q26</v>
      </c>
      <c r="AI285" s="232" t="str">
        <f>AI152</f>
        <v>2Q26</v>
      </c>
      <c r="AJ285" s="232" t="str">
        <f>AJ152</f>
        <v>3Q26</v>
      </c>
      <c r="AK285" s="232" t="str">
        <f>AK152</f>
        <v>4Q26</v>
      </c>
      <c r="AL285" s="232">
        <f>AL152</f>
        <v>2026</v>
      </c>
      <c r="AM285" s="232" t="str">
        <f>AM152</f>
        <v>1Q27</v>
      </c>
      <c r="AN285" s="232" t="str">
        <f>AN152</f>
        <v>2Q27</v>
      </c>
      <c r="AO285" s="232" t="str">
        <f>AO152</f>
        <v>3Q27</v>
      </c>
      <c r="AP285" s="232" t="str">
        <f>AP152</f>
        <v>4Q27</v>
      </c>
      <c r="AQ285" s="232">
        <f>AQ152</f>
        <v>2027</v>
      </c>
      <c r="AR285" s="232" t="str">
        <f>AR152</f>
        <v>1Q28</v>
      </c>
      <c r="AS285" s="232" t="str">
        <f>AS152</f>
        <v>2Q28</v>
      </c>
      <c r="AT285" s="232" t="str">
        <f>AT152</f>
        <v>3Q28</v>
      </c>
      <c r="AU285" s="232" t="str">
        <f>AU152</f>
        <v>4Q28</v>
      </c>
      <c r="AV285" s="232">
        <f>AV152</f>
        <v>2028</v>
      </c>
      <c r="AW285" s="232" t="str">
        <f>AW152</f>
        <v>1Q29</v>
      </c>
      <c r="AX285" s="232" t="str">
        <f>AX152</f>
        <v>2Q29</v>
      </c>
      <c r="AY285" s="232" t="str">
        <f>AY152</f>
        <v>3Q29</v>
      </c>
      <c r="AZ285" s="232" t="str">
        <f>AZ152</f>
        <v>4Q29</v>
      </c>
      <c r="BA285" s="232">
        <f>BA152</f>
        <v>2029</v>
      </c>
      <c r="BB285" s="232" t="str">
        <f>BB152</f>
        <v>1Q30</v>
      </c>
      <c r="BC285" s="232" t="str">
        <f>BC152</f>
        <v>2Q30</v>
      </c>
      <c r="BD285" s="232" t="str">
        <f>BD152</f>
        <v>3Q30</v>
      </c>
      <c r="BE285" s="232" t="str">
        <f>BE152</f>
        <v>4Q30</v>
      </c>
      <c r="BF285" s="232">
        <f>BF152</f>
        <v>2030</v>
      </c>
      <c r="BG285" s="232" t="str">
        <f>BG152</f>
        <v>1Q31</v>
      </c>
      <c r="BH285" s="232" t="str">
        <f>BH152</f>
        <v>2Q31</v>
      </c>
      <c r="BI285" s="232" t="str">
        <f>BI152</f>
        <v>3Q31</v>
      </c>
      <c r="BJ285" s="232" t="str">
        <f>BJ152</f>
        <v>4Q31</v>
      </c>
      <c r="BK285" s="232">
        <f>BK152</f>
        <v>2031</v>
      </c>
      <c r="BL285" s="232" t="str">
        <f>BL152</f>
        <v>1Q32</v>
      </c>
      <c r="BM285" s="232" t="str">
        <f>BM152</f>
        <v>2Q32</v>
      </c>
      <c r="BN285" s="232" t="str">
        <f>BN152</f>
        <v>3Q32</v>
      </c>
      <c r="BO285" s="232" t="str">
        <f>BO152</f>
        <v>4Q32</v>
      </c>
      <c r="BP285" s="232">
        <f>BP152</f>
        <v>2032</v>
      </c>
      <c r="BQ285" s="232" t="str">
        <f>BQ152</f>
        <v>1Q33</v>
      </c>
      <c r="BR285" s="232" t="str">
        <f>BR152</f>
        <v>2Q33</v>
      </c>
      <c r="BS285" s="232" t="str">
        <f>BS152</f>
        <v>3Q33</v>
      </c>
      <c r="BT285" s="232" t="str">
        <f>BT152</f>
        <v>4Q33</v>
      </c>
      <c r="BU285" s="232">
        <f>BU152</f>
        <v>2033</v>
      </c>
      <c r="BV285" s="232" t="str">
        <f>BV152</f>
        <v>1Q34</v>
      </c>
      <c r="BW285" s="232" t="str">
        <f>BW152</f>
        <v>2Q34</v>
      </c>
      <c r="BX285" s="232" t="str">
        <f>BX152</f>
        <v>3Q34</v>
      </c>
      <c r="BY285" s="232" t="str">
        <f>BY152</f>
        <v>4Q34</v>
      </c>
      <c r="BZ285" s="232">
        <f>BZ152</f>
        <v>2034</v>
      </c>
      <c r="CA285" s="232" t="str">
        <f>CA152</f>
        <v>1Q35</v>
      </c>
      <c r="CB285" s="232" t="str">
        <f>CB152</f>
        <v>2Q35</v>
      </c>
      <c r="CC285" s="232" t="str">
        <f>CC152</f>
        <v>3Q35</v>
      </c>
      <c r="CD285" s="232" t="str">
        <f>CD152</f>
        <v>4Q35</v>
      </c>
      <c r="CE285" s="232">
        <f>CE152</f>
        <v>2035</v>
      </c>
      <c r="CF285" s="232" t="str">
        <f>CF152</f>
        <v>1Q36</v>
      </c>
      <c r="CG285" s="232" t="str">
        <f>CG152</f>
        <v>2Q36</v>
      </c>
      <c r="CH285" s="232" t="str">
        <f>CH152</f>
        <v>3Q36</v>
      </c>
      <c r="CI285" s="232" t="str">
        <f>CI152</f>
        <v>4Q36</v>
      </c>
      <c r="CJ285" s="232">
        <f>CJ152</f>
        <v>2036</v>
      </c>
      <c r="CK285" s="232" t="str">
        <f>CK152</f>
        <v>1Q37</v>
      </c>
      <c r="CL285" s="232" t="str">
        <f>CL152</f>
        <v>2Q37</v>
      </c>
      <c r="CM285" s="232" t="str">
        <f>CM152</f>
        <v>3Q37</v>
      </c>
      <c r="CN285" s="232" t="str">
        <f>CN152</f>
        <v>4Q37</v>
      </c>
      <c r="CO285" s="232">
        <f>CO152</f>
        <v>2037</v>
      </c>
      <c r="CP285" s="232" t="str">
        <f>CP152</f>
        <v>1Q38</v>
      </c>
      <c r="CQ285" s="232" t="str">
        <f>CQ152</f>
        <v>2Q38</v>
      </c>
      <c r="CR285" s="232" t="str">
        <f>CR152</f>
        <v>3Q38</v>
      </c>
      <c r="CS285" s="232" t="str">
        <f>CS152</f>
        <v>4Q38</v>
      </c>
      <c r="CT285" s="232">
        <f>CT152</f>
        <v>2038</v>
      </c>
      <c r="CU285" s="232" t="str">
        <f>CU152</f>
        <v>1Q39</v>
      </c>
      <c r="CV285" s="232" t="str">
        <f>CV152</f>
        <v>2Q39</v>
      </c>
      <c r="CW285" s="232" t="str">
        <f>CW152</f>
        <v>3Q39</v>
      </c>
      <c r="CX285" s="232" t="str">
        <f>CX152</f>
        <v>4Q39</v>
      </c>
      <c r="CY285" s="232">
        <f>CY152</f>
        <v>2039</v>
      </c>
    </row>
    <row r="286">
      <c r="C286" s="5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  <c r="BO286" s="1" t="n"/>
      <c r="BP286" s="1" t="n"/>
      <c r="BQ286" s="1" t="n"/>
      <c r="BR286" s="1" t="n"/>
      <c r="BS286" s="1" t="n"/>
      <c r="BT286" s="1" t="n"/>
      <c r="BU286" s="1" t="n"/>
      <c r="BV286" s="1" t="n"/>
      <c r="BW286" s="1" t="n"/>
      <c r="BX286" s="1" t="n"/>
      <c r="BY286" s="1" t="n"/>
      <c r="BZ286" s="1" t="n"/>
      <c r="CA286" s="1" t="n"/>
      <c r="CB286" s="1" t="n"/>
      <c r="CC286" s="1" t="n"/>
      <c r="CD286" s="1" t="n"/>
      <c r="CE286" s="1" t="n"/>
      <c r="CF286" s="1" t="n"/>
      <c r="CG286" s="1" t="n"/>
      <c r="CH286" s="1" t="n"/>
      <c r="CI286" s="1" t="n"/>
      <c r="CJ286" s="1" t="n"/>
      <c r="CK286" s="1" t="n"/>
      <c r="CL286" s="1" t="n"/>
      <c r="CM286" s="1" t="n"/>
      <c r="CN286" s="1" t="n"/>
      <c r="CO286" s="1" t="n"/>
      <c r="CP286" s="1" t="n"/>
      <c r="CQ286" s="1" t="n"/>
      <c r="CR286" s="1" t="n"/>
      <c r="CS286" s="1" t="n"/>
      <c r="CT286" s="1" t="n"/>
      <c r="CU286" s="1" t="n"/>
      <c r="CV286" s="1" t="n"/>
      <c r="CW286" s="1" t="n"/>
      <c r="CX286" s="1" t="n"/>
      <c r="CY286" s="1" t="n"/>
    </row>
    <row r="287">
      <c r="C287" s="29" t="inlineStr">
        <is>
          <t>Net Income</t>
        </is>
      </c>
      <c r="D287" s="3" t="n"/>
      <c r="E287" s="3">
        <f>E147</f>
        <v>195.35180348</v>
      </c>
      <c r="F287" s="3">
        <f>F147</f>
        <v>235.668227</v>
      </c>
      <c r="G287" s="3">
        <f>G147</f>
        <v>193.42400276</v>
      </c>
      <c r="H287" s="3">
        <f>SUM(D287:G287)</f>
        <v>624.44403324</v>
      </c>
      <c r="I287" s="3">
        <f>I147</f>
        <v>156.721154309999</v>
      </c>
      <c r="J287" s="3">
        <f>J147</f>
        <v>190.563345490002</v>
      </c>
      <c r="K287" s="3">
        <f>K147</f>
        <v>213.424</v>
      </c>
      <c r="L287" s="3">
        <f>L147</f>
        <v>208.08263300999</v>
      </c>
      <c r="M287" s="3">
        <f>SUM(I287:L287)</f>
        <v>768.79113280999</v>
      </c>
      <c r="N287" s="3">
        <f>N147</f>
        <v>199.21184191</v>
      </c>
      <c r="O287" s="3">
        <f>O147</f>
        <v>264.12308316</v>
      </c>
      <c r="P287" s="3">
        <f>P147</f>
        <v>290.871</v>
      </c>
      <c r="Q287" s="3">
        <f>Q147</f>
        <v>310.58877903</v>
      </c>
      <c r="R287" s="3">
        <f>SUM(N287:Q287)</f>
        <v>1064.7947041</v>
      </c>
      <c r="S287" s="3">
        <f>S147</f>
        <v>239.691667580001</v>
      </c>
      <c r="T287" s="3">
        <f>T147</f>
        <v>293.232999999999</v>
      </c>
      <c r="U287" s="3">
        <f>U147</f>
        <v>313.597</v>
      </c>
      <c r="V287" s="3">
        <f>V147</f>
        <v>388.117449900001</v>
      </c>
      <c r="W287" s="3">
        <f>SUM(S287:V287)</f>
        <v>1234.63911748</v>
      </c>
      <c r="X287" s="3">
        <f>X147</f>
        <v>240.377781311575</v>
      </c>
      <c r="Y287" s="3">
        <f>Y147</f>
        <v>327.34421227111</v>
      </c>
      <c r="Z287" s="3">
        <f>Z147</f>
        <v>355.261</v>
      </c>
      <c r="AA287" s="3">
        <f>AA147</f>
        <v>323.231900000001</v>
      </c>
      <c r="AB287" s="3">
        <f>SUM(X287:AA287)</f>
        <v>1246.21489358269</v>
      </c>
      <c r="AC287" s="3">
        <f>AC147</f>
        <v>276.32</v>
      </c>
      <c r="AD287" s="3">
        <f>AD147</f>
        <v>395.777433216228</v>
      </c>
      <c r="AE287" s="3">
        <f>AE147</f>
        <v>850.545999999999</v>
      </c>
      <c r="AF287" s="3">
        <f>AF147</f>
        <v>324.264000000031</v>
      </c>
      <c r="AG287" s="3">
        <f>SUM(AC287:AF287)</f>
        <v>1846.90743321626</v>
      </c>
      <c r="AH287" s="3">
        <f>AH147</f>
        <v>212.881</v>
      </c>
      <c r="AI287" s="3">
        <f>AI147</f>
        <v>236.804999999999</v>
      </c>
      <c r="AJ287" s="3">
        <f>AJ147</f>
        <v>91.868</v>
      </c>
      <c r="AK287" s="3">
        <f>AK147</f>
        <v>72.088</v>
      </c>
      <c r="AL287" s="3">
        <f>SUM(AH287:AK287)</f>
        <v>613.641999999999</v>
      </c>
      <c r="AM287" s="3">
        <f>AM147</f>
        <v>112.734</v>
      </c>
      <c r="AN287" s="3">
        <f>AN147</f>
        <v>352.199</v>
      </c>
      <c r="AO287" s="3">
        <f>AO147</f>
        <v>94.748</v>
      </c>
      <c r="AP287" s="3">
        <f>AP147</f>
        <v>338.653</v>
      </c>
      <c r="AQ287" s="3">
        <f>SUM(AM287:AP287)</f>
        <v>898.334</v>
      </c>
      <c r="AR287" s="3">
        <f>AR147</f>
        <v>379.299</v>
      </c>
      <c r="AS287" s="3">
        <f>AS147</f>
        <v>891.089</v>
      </c>
      <c r="AT287" s="3">
        <f>AT147</f>
        <v>361.313</v>
      </c>
      <c r="AU287" s="3">
        <f>AU147</f>
        <v>877.543</v>
      </c>
      <c r="AV287" s="3">
        <f>SUM(AR287:AU287)</f>
        <v>2509.244</v>
      </c>
      <c r="AW287" s="3">
        <f>AW147</f>
        <v>918.189</v>
      </c>
      <c r="AX287" s="3">
        <f>AX147</f>
        <v>2501.999</v>
      </c>
      <c r="AY287" s="3">
        <f>AY147</f>
        <v>900.203</v>
      </c>
      <c r="AZ287" s="3">
        <f>AZ147</f>
        <v>2488.453</v>
      </c>
      <c r="BA287" s="3">
        <f>SUM(AW287:AZ287)</f>
        <v>6808.844</v>
      </c>
      <c r="BB287" s="3">
        <f>BB147</f>
        <v>2529.099</v>
      </c>
      <c r="BC287" s="3">
        <f>BC147</f>
        <v>6801.599</v>
      </c>
      <c r="BD287" s="3">
        <f>BD147</f>
        <v>2511.113</v>
      </c>
      <c r="BE287" s="3">
        <f>BE147</f>
        <v>6788.053</v>
      </c>
      <c r="BF287" s="3">
        <f>SUM(BB287:BE287)</f>
        <v>18629.864</v>
      </c>
      <c r="BG287" s="3">
        <f>BG147</f>
        <v>6828.699</v>
      </c>
      <c r="BH287" s="3">
        <f>BH147</f>
        <v>18622.619</v>
      </c>
      <c r="BI287" s="3">
        <f>BI147</f>
        <v>6810.713</v>
      </c>
      <c r="BJ287" s="3">
        <f>BJ147</f>
        <v>18609.073</v>
      </c>
      <c r="BK287" s="3">
        <f>SUM(BG287:BJ287)</f>
        <v>50871.104</v>
      </c>
      <c r="BL287" s="3">
        <f>BL147</f>
        <v>18649.719</v>
      </c>
      <c r="BM287" s="3">
        <f>BM147</f>
        <v>50863.859</v>
      </c>
      <c r="BN287" s="3">
        <f>BN147</f>
        <v>18631.733</v>
      </c>
      <c r="BO287" s="3">
        <f>BO147</f>
        <v>50850.313</v>
      </c>
      <c r="BP287" s="3">
        <f>SUM(BL287:BO287)</f>
        <v>138995.624</v>
      </c>
      <c r="BQ287" s="3">
        <f>BQ147</f>
        <v>50890.959</v>
      </c>
      <c r="BR287" s="3">
        <f>BR147</f>
        <v>138988.379</v>
      </c>
      <c r="BS287" s="3">
        <f>BS147</f>
        <v>50872.973</v>
      </c>
      <c r="BT287" s="3">
        <f>BT147</f>
        <v>138974.833</v>
      </c>
      <c r="BU287" s="3">
        <f>SUM(BQ287:BT287)</f>
        <v>379727.144</v>
      </c>
      <c r="BV287" s="3">
        <f>BV147</f>
        <v>139015.479</v>
      </c>
      <c r="BW287" s="3">
        <f>BW147</f>
        <v>379719.899</v>
      </c>
      <c r="BX287" s="3">
        <f>BX147</f>
        <v>138997.493</v>
      </c>
      <c r="BY287" s="3">
        <f>BY147</f>
        <v>379706.353</v>
      </c>
      <c r="BZ287" s="3">
        <f>SUM(BV287:BY287)</f>
        <v>1037439.224</v>
      </c>
      <c r="CA287" s="3">
        <f>CA147</f>
        <v>379746.999</v>
      </c>
      <c r="CB287" s="3">
        <f>CB147</f>
        <v>1037431.979</v>
      </c>
      <c r="CC287" s="3">
        <f>CC147</f>
        <v>379729.013</v>
      </c>
      <c r="CD287" s="3">
        <f>CD147</f>
        <v>1037418.433</v>
      </c>
      <c r="CE287" s="3">
        <f>SUM(CA287:CD287)</f>
        <v>2834326.424</v>
      </c>
      <c r="CF287" s="3">
        <f>CF147</f>
        <v>1037459.079</v>
      </c>
      <c r="CG287" s="3">
        <f>CG147</f>
        <v>2834319.179</v>
      </c>
      <c r="CH287" s="3">
        <f>CH147</f>
        <v>1037441.093</v>
      </c>
      <c r="CI287" s="3">
        <f>CI147</f>
        <v>2834305.633</v>
      </c>
      <c r="CJ287" s="3">
        <f>SUM(CF287:CI287)</f>
        <v>7743524.984</v>
      </c>
      <c r="CK287" s="3">
        <f>CK147</f>
        <v>2834346.279</v>
      </c>
      <c r="CL287" s="3">
        <f>CL147</f>
        <v>7743517.739</v>
      </c>
      <c r="CM287" s="3">
        <f>CM147</f>
        <v>2834328.293</v>
      </c>
      <c r="CN287" s="3">
        <f>CN147</f>
        <v>7743504.193</v>
      </c>
      <c r="CO287" s="3">
        <f>SUM(CK287:CN287)</f>
        <v>21155696.504</v>
      </c>
      <c r="CP287" s="3">
        <f>CP147</f>
        <v>7743544.839</v>
      </c>
      <c r="CQ287" s="3">
        <f>CQ147</f>
        <v>21155689.259</v>
      </c>
      <c r="CR287" s="3">
        <f>CR147</f>
        <v>7743526.853</v>
      </c>
      <c r="CS287" s="3">
        <f>CS147</f>
        <v>21155675.713</v>
      </c>
      <c r="CT287" s="3">
        <f>SUM(CP287:CS287)</f>
        <v>57798436.664</v>
      </c>
      <c r="CU287" s="3">
        <f>CU147</f>
        <v>21155716.359</v>
      </c>
      <c r="CV287" s="3">
        <f>CV147</f>
        <v>57798429.419</v>
      </c>
      <c r="CW287" s="3">
        <f>CW147</f>
        <v>21155698.373</v>
      </c>
      <c r="CX287" s="3">
        <f>CX147</f>
        <v>57798415.873</v>
      </c>
      <c r="CY287" s="3">
        <f>SUM(CU287:CX287)</f>
        <v>157908260.024</v>
      </c>
    </row>
    <row r="288">
      <c r="C288" s="29" t="inlineStr">
        <is>
          <t>Depreciation &amp; amortization</t>
        </is>
      </c>
      <c r="D288" s="3" t="n"/>
      <c r="E288" s="3">
        <f>-E80</f>
        <v>53.788</v>
      </c>
      <c r="F288" s="3">
        <f>-F80</f>
        <v>42.927</v>
      </c>
      <c r="G288" s="3">
        <f>-G80</f>
        <v>43.686</v>
      </c>
      <c r="H288" s="3">
        <f>SUM(D288:G288)</f>
        <v>140.401</v>
      </c>
      <c r="I288" s="3">
        <f>-I80</f>
        <v>57.729</v>
      </c>
      <c r="J288" s="3">
        <f>-J80</f>
        <v>63.733</v>
      </c>
      <c r="K288" s="3">
        <f>-K80</f>
        <v>71.918</v>
      </c>
      <c r="L288" s="3">
        <f>-L80</f>
        <v>67.065</v>
      </c>
      <c r="M288" s="3">
        <f>SUM(I288:L288)</f>
        <v>260.445</v>
      </c>
      <c r="N288" s="3">
        <f>-N80</f>
        <v>72.195</v>
      </c>
      <c r="O288" s="3">
        <f>-O80</f>
        <v>83.73</v>
      </c>
      <c r="P288" s="3">
        <f>-P80</f>
        <v>84.22</v>
      </c>
      <c r="Q288" s="3">
        <f>-Q80</f>
        <v>89.022</v>
      </c>
      <c r="R288" s="3">
        <f>SUM(N288:Q288)</f>
        <v>329.167</v>
      </c>
      <c r="S288" s="3">
        <f>-S80</f>
        <v>98.001</v>
      </c>
      <c r="T288" s="3">
        <f>-T80</f>
        <v>92.145</v>
      </c>
      <c r="U288" s="3">
        <f>-U80</f>
        <v>98.528</v>
      </c>
      <c r="V288" s="3">
        <f>-V80</f>
        <v>64.718</v>
      </c>
      <c r="W288" s="3">
        <f>SUM(S288:V288)</f>
        <v>353.392</v>
      </c>
      <c r="X288" s="3">
        <f>-X80</f>
        <v>104.571</v>
      </c>
      <c r="Y288" s="3">
        <f>-Y80</f>
        <v>85.309</v>
      </c>
      <c r="Z288" s="3">
        <f>-Z80</f>
        <v>95.494</v>
      </c>
      <c r="AA288" s="3">
        <f>-AA80</f>
        <v>91.372</v>
      </c>
      <c r="AB288" s="3">
        <f>SUM(X288:AA288)</f>
        <v>376.746</v>
      </c>
      <c r="AC288" s="3">
        <f>-AC80</f>
        <v>105.294</v>
      </c>
      <c r="AD288" s="3">
        <f>-AD80</f>
        <v>113.093</v>
      </c>
      <c r="AE288" s="3">
        <f>-AE80</f>
        <v>162.165</v>
      </c>
      <c r="AF288" s="3">
        <f>-AF80</f>
        <v>159.044</v>
      </c>
      <c r="AG288" s="3">
        <f>SUM(AC288:AF288)</f>
        <v>539.596</v>
      </c>
      <c r="AH288" s="3">
        <f>-AH80</f>
        <v>158.45</v>
      </c>
      <c r="AI288" s="3">
        <f>-AI80</f>
        <v>177.69</v>
      </c>
      <c r="AJ288" s="3">
        <f>-AJ80</f>
        <v>0</v>
      </c>
      <c r="AK288" s="3">
        <f>-AK80</f>
        <v>0</v>
      </c>
      <c r="AL288" s="3">
        <f>SUM(AH288:AK288)</f>
        <v>336.14</v>
      </c>
      <c r="AM288" s="3">
        <f>-AM80</f>
        <v>0</v>
      </c>
      <c r="AN288" s="3">
        <f>-AN80</f>
        <v>0</v>
      </c>
      <c r="AO288" s="3">
        <f>-AO80</f>
        <v>0</v>
      </c>
      <c r="AP288" s="3">
        <f>-AP80</f>
        <v>0</v>
      </c>
      <c r="AQ288" s="3">
        <f>SUM(AM288:AP288)</f>
        <v>0</v>
      </c>
      <c r="AR288" s="3">
        <f>-AR80</f>
        <v>0</v>
      </c>
      <c r="AS288" s="3">
        <f>-AS80</f>
        <v>0</v>
      </c>
      <c r="AT288" s="3">
        <f>-AT80</f>
        <v>0</v>
      </c>
      <c r="AU288" s="3">
        <f>-AU80</f>
        <v>0</v>
      </c>
      <c r="AV288" s="3">
        <f>SUM(AR288:AU288)</f>
        <v>0</v>
      </c>
      <c r="AW288" s="3">
        <f>-AW80</f>
        <v>0</v>
      </c>
      <c r="AX288" s="3">
        <f>-AX80</f>
        <v>0</v>
      </c>
      <c r="AY288" s="3">
        <f>-AY80</f>
        <v>0</v>
      </c>
      <c r="AZ288" s="3">
        <f>-AZ80</f>
        <v>0</v>
      </c>
      <c r="BA288" s="3">
        <f>SUM(AW288:AZ288)</f>
        <v>0</v>
      </c>
      <c r="BB288" s="3">
        <f>-BB80</f>
        <v>0</v>
      </c>
      <c r="BC288" s="3">
        <f>-BC80</f>
        <v>0</v>
      </c>
      <c r="BD288" s="3">
        <f>-BD80</f>
        <v>0</v>
      </c>
      <c r="BE288" s="3">
        <f>-BE80</f>
        <v>0</v>
      </c>
      <c r="BF288" s="3">
        <f>SUM(BB288:BE288)</f>
        <v>0</v>
      </c>
      <c r="BG288" s="3">
        <f>-BG80</f>
        <v>0</v>
      </c>
      <c r="BH288" s="3">
        <f>-BH80</f>
        <v>0</v>
      </c>
      <c r="BI288" s="3">
        <f>-BI80</f>
        <v>0</v>
      </c>
      <c r="BJ288" s="3">
        <f>-BJ80</f>
        <v>0</v>
      </c>
      <c r="BK288" s="3">
        <f>SUM(BG288:BJ288)</f>
        <v>0</v>
      </c>
      <c r="BL288" s="3">
        <f>-BL80</f>
        <v>0</v>
      </c>
      <c r="BM288" s="3">
        <f>-BM80</f>
        <v>0</v>
      </c>
      <c r="BN288" s="3">
        <f>-BN80</f>
        <v>0</v>
      </c>
      <c r="BO288" s="3">
        <f>-BO80</f>
        <v>0</v>
      </c>
      <c r="BP288" s="3">
        <f>SUM(BL288:BO288)</f>
        <v>0</v>
      </c>
      <c r="BQ288" s="3">
        <f>-BQ80</f>
        <v>0</v>
      </c>
      <c r="BR288" s="3">
        <f>-BR80</f>
        <v>0</v>
      </c>
      <c r="BS288" s="3">
        <f>-BS80</f>
        <v>0</v>
      </c>
      <c r="BT288" s="3">
        <f>-BT80</f>
        <v>0</v>
      </c>
      <c r="BU288" s="3">
        <f>SUM(BQ288:BT288)</f>
        <v>0</v>
      </c>
      <c r="BV288" s="3">
        <f>-BV80</f>
        <v>0</v>
      </c>
      <c r="BW288" s="3">
        <f>-BW80</f>
        <v>0</v>
      </c>
      <c r="BX288" s="3">
        <f>-BX80</f>
        <v>0</v>
      </c>
      <c r="BY288" s="3">
        <f>-BY80</f>
        <v>0</v>
      </c>
      <c r="BZ288" s="3">
        <f>SUM(BV288:BY288)</f>
        <v>0</v>
      </c>
      <c r="CA288" s="3">
        <f>-CA80</f>
        <v>0</v>
      </c>
      <c r="CB288" s="3">
        <f>-CB80</f>
        <v>0</v>
      </c>
      <c r="CC288" s="3">
        <f>-CC80</f>
        <v>0</v>
      </c>
      <c r="CD288" s="3">
        <f>-CD80</f>
        <v>0</v>
      </c>
      <c r="CE288" s="3">
        <f>SUM(CA288:CD288)</f>
        <v>0</v>
      </c>
      <c r="CF288" s="3">
        <f>-CF80</f>
        <v>0</v>
      </c>
      <c r="CG288" s="3">
        <f>-CG80</f>
        <v>0</v>
      </c>
      <c r="CH288" s="3">
        <f>-CH80</f>
        <v>0</v>
      </c>
      <c r="CI288" s="3">
        <f>-CI80</f>
        <v>0</v>
      </c>
      <c r="CJ288" s="3">
        <f>SUM(CF288:CI288)</f>
        <v>0</v>
      </c>
      <c r="CK288" s="3">
        <f>-CK80</f>
        <v>0</v>
      </c>
      <c r="CL288" s="3">
        <f>-CL80</f>
        <v>0</v>
      </c>
      <c r="CM288" s="3">
        <f>-CM80</f>
        <v>0</v>
      </c>
      <c r="CN288" s="3">
        <f>-CN80</f>
        <v>0</v>
      </c>
      <c r="CO288" s="3">
        <f>SUM(CK288:CN288)</f>
        <v>0</v>
      </c>
      <c r="CP288" s="3">
        <f>-CP80</f>
        <v>0</v>
      </c>
      <c r="CQ288" s="3">
        <f>-CQ80</f>
        <v>0</v>
      </c>
      <c r="CR288" s="3">
        <f>-CR80</f>
        <v>0</v>
      </c>
      <c r="CS288" s="3">
        <f>-CS80</f>
        <v>0</v>
      </c>
      <c r="CT288" s="3">
        <f>SUM(CP288:CS288)</f>
        <v>0</v>
      </c>
      <c r="CU288" s="3">
        <f>-CU80</f>
        <v>0</v>
      </c>
      <c r="CV288" s="3">
        <f>-CV80</f>
        <v>0</v>
      </c>
      <c r="CW288" s="3">
        <f>-CW80</f>
        <v>0</v>
      </c>
      <c r="CX288" s="3">
        <f>-CX80</f>
        <v>0</v>
      </c>
      <c r="CY288" s="3">
        <f>SUM(CU288:CX288)</f>
        <v>0</v>
      </c>
    </row>
    <row r="289">
      <c r="C289" s="29" t="inlineStr">
        <is>
          <t xml:space="preserve">Changes in working capital </t>
        </is>
      </c>
      <c r="D289" s="3" t="n"/>
      <c r="E289" s="3" t="e">
        <f>SUM(E290:E299)</f>
        <v>#N/A</v>
      </c>
      <c r="F289" s="3">
        <f>SUM(F290:F299)</f>
        <v>-361.34215409017</v>
      </c>
      <c r="G289" s="3">
        <f>SUM(G290:G299)</f>
        <v>-814.8302096499</v>
      </c>
      <c r="H289" s="3" t="e">
        <f>SUM(D289:G289)</f>
        <v>#N/A</v>
      </c>
      <c r="I289" s="3">
        <f>SUM(I290:I299)</f>
        <v>-291.08706984993</v>
      </c>
      <c r="J289" s="3">
        <f>SUM(J290:J299)</f>
        <v>-36.1474842500005</v>
      </c>
      <c r="K289" s="3">
        <f>SUM(K290:K299)</f>
        <v>-772.873082159999</v>
      </c>
      <c r="L289" s="3">
        <f>SUM(L290:L299)</f>
        <v>-157.774</v>
      </c>
      <c r="M289" s="3">
        <f>SUM(I289:L289)</f>
        <v>-1257.88163625993</v>
      </c>
      <c r="N289" s="3">
        <f>SUM(N290:N299)</f>
        <v>-209.228</v>
      </c>
      <c r="O289" s="3">
        <f>SUM(O290:O299)</f>
        <v>102.09855096</v>
      </c>
      <c r="P289" s="3">
        <f>SUM(P290:P299)</f>
        <v>-1166.42980725</v>
      </c>
      <c r="Q289" s="3">
        <f>SUM(Q290:Q299)</f>
        <v>727.71394505</v>
      </c>
      <c r="R289" s="3">
        <f>SUM(N289:Q289)</f>
        <v>-545.84531124</v>
      </c>
      <c r="S289" s="3">
        <f>SUM(S290:S299)</f>
        <v>-169.41898979</v>
      </c>
      <c r="T289" s="3">
        <f>SUM(T290:T299)</f>
        <v>-254.21869897</v>
      </c>
      <c r="U289" s="3">
        <f>SUM(U290:U299)</f>
        <v>-299.182</v>
      </c>
      <c r="V289" s="3">
        <f>SUM(V290:V299)</f>
        <v>-99.4959832199989</v>
      </c>
      <c r="W289" s="3">
        <f>SUM(S289:V289)</f>
        <v>-822.315671979999</v>
      </c>
      <c r="X289" s="3">
        <f>SUM(X290:X299)</f>
        <v>173.948983219999</v>
      </c>
      <c r="Y289" s="3">
        <f>SUM(Y290:Y299)</f>
        <v>-49.8927019699988</v>
      </c>
      <c r="Z289" s="3">
        <f>SUM(Z290:Z299)</f>
        <v>-645.171298030001</v>
      </c>
      <c r="AA289" s="3">
        <f>SUM(AA290:AA299)</f>
        <v>339.76</v>
      </c>
      <c r="AB289" s="3">
        <f>SUM(X289:AA289)</f>
        <v>-181.355016780001</v>
      </c>
      <c r="AC289" s="3">
        <f>SUM(AC290:AC299)</f>
        <v>-92.8369999999997</v>
      </c>
      <c r="AD289" s="3">
        <f>SUM(AD290:AD299)</f>
        <v>198.861</v>
      </c>
      <c r="AE289" s="3">
        <f>SUM(AE290:AE299)</f>
        <v>-953.937000000001</v>
      </c>
      <c r="AF289" s="3">
        <f>SUM(AF290:AF299)</f>
        <v>427.820000000001</v>
      </c>
      <c r="AG289" s="3">
        <f>SUM(AC289:AF289)</f>
        <v>-420.092999999999</v>
      </c>
      <c r="AH289" s="3">
        <f>SUM(AH290:AH299)</f>
        <v>-162.26</v>
      </c>
      <c r="AI289" s="3">
        <f>SUM(AI290:AI299)</f>
        <v>-499.507</v>
      </c>
      <c r="AJ289" s="3">
        <f>SUM(AJ290:AJ299)</f>
        <v>4122.537</v>
      </c>
      <c r="AK289" s="3">
        <f>SUM(AK290:AK299)</f>
        <v>0</v>
      </c>
      <c r="AL289" s="3">
        <f>SUM(AH289:AK289)</f>
        <v>3460.77</v>
      </c>
      <c r="AM289" s="3" t="e">
        <f>SUM(AM290:AM299)</f>
        <v>#DIV/0!</v>
      </c>
      <c r="AN289" s="3" t="e">
        <f>SUM(AN290:AN299)</f>
        <v>#DIV/0!</v>
      </c>
      <c r="AO289" s="3" t="e">
        <f>SUM(AO290:AO299)</f>
        <v>#DIV/0!</v>
      </c>
      <c r="AP289" s="3" t="e">
        <f>SUM(AP290:AP299)</f>
        <v>#DIV/0!</v>
      </c>
      <c r="AQ289" s="3" t="e">
        <f>SUM(AM289:AP289)</f>
        <v>#DIV/0!</v>
      </c>
      <c r="AR289" s="3" t="e">
        <f>SUM(AR290:AR299)</f>
        <v>#DIV/0!</v>
      </c>
      <c r="AS289" s="3" t="e">
        <f>SUM(AS290:AS299)</f>
        <v>#DIV/0!</v>
      </c>
      <c r="AT289" s="3" t="e">
        <f>SUM(AT290:AT299)</f>
        <v>#DIV/0!</v>
      </c>
      <c r="AU289" s="3" t="e">
        <f>SUM(AU290:AU299)</f>
        <v>#DIV/0!</v>
      </c>
      <c r="AV289" s="3" t="e">
        <f>SUM(AR289:AU289)</f>
        <v>#DIV/0!</v>
      </c>
      <c r="AW289" s="3" t="e">
        <f>SUM(AW290:AW299)</f>
        <v>#DIV/0!</v>
      </c>
      <c r="AX289" s="3" t="e">
        <f>SUM(AX290:AX299)</f>
        <v>#DIV/0!</v>
      </c>
      <c r="AY289" s="3" t="e">
        <f>SUM(AY290:AY299)</f>
        <v>#DIV/0!</v>
      </c>
      <c r="AZ289" s="3" t="e">
        <f>SUM(AZ290:AZ299)</f>
        <v>#DIV/0!</v>
      </c>
      <c r="BA289" s="3" t="e">
        <f>SUM(AW289:AZ289)</f>
        <v>#DIV/0!</v>
      </c>
      <c r="BB289" s="3" t="e">
        <f>SUM(BB290:BB299)</f>
        <v>#DIV/0!</v>
      </c>
      <c r="BC289" s="3" t="e">
        <f>SUM(BC290:BC299)</f>
        <v>#DIV/0!</v>
      </c>
      <c r="BD289" s="3" t="e">
        <f>SUM(BD290:BD299)</f>
        <v>#DIV/0!</v>
      </c>
      <c r="BE289" s="3" t="e">
        <f>SUM(BE290:BE299)</f>
        <v>#DIV/0!</v>
      </c>
      <c r="BF289" s="3" t="e">
        <f>SUM(BB289:BE289)</f>
        <v>#DIV/0!</v>
      </c>
      <c r="BG289" s="3" t="e">
        <f>SUM(BG290:BG299)</f>
        <v>#DIV/0!</v>
      </c>
      <c r="BH289" s="3" t="e">
        <f>SUM(BH290:BH299)</f>
        <v>#DIV/0!</v>
      </c>
      <c r="BI289" s="3" t="e">
        <f>SUM(BI290:BI299)</f>
        <v>#DIV/0!</v>
      </c>
      <c r="BJ289" s="3" t="e">
        <f>SUM(BJ290:BJ299)</f>
        <v>#DIV/0!</v>
      </c>
      <c r="BK289" s="3" t="e">
        <f>SUM(BG289:BJ289)</f>
        <v>#DIV/0!</v>
      </c>
      <c r="BL289" s="3" t="e">
        <f>SUM(BL290:BL299)</f>
        <v>#DIV/0!</v>
      </c>
      <c r="BM289" s="3" t="e">
        <f>SUM(BM290:BM299)</f>
        <v>#DIV/0!</v>
      </c>
      <c r="BN289" s="3" t="e">
        <f>SUM(BN290:BN299)</f>
        <v>#DIV/0!</v>
      </c>
      <c r="BO289" s="3" t="e">
        <f>SUM(BO290:BO299)</f>
        <v>#DIV/0!</v>
      </c>
      <c r="BP289" s="3" t="e">
        <f>SUM(BL289:BO289)</f>
        <v>#DIV/0!</v>
      </c>
      <c r="BQ289" s="3" t="e">
        <f>SUM(BQ290:BQ299)</f>
        <v>#DIV/0!</v>
      </c>
      <c r="BR289" s="3" t="e">
        <f>SUM(BR290:BR299)</f>
        <v>#DIV/0!</v>
      </c>
      <c r="BS289" s="3" t="e">
        <f>SUM(BS290:BS299)</f>
        <v>#DIV/0!</v>
      </c>
      <c r="BT289" s="3" t="e">
        <f>SUM(BT290:BT299)</f>
        <v>#DIV/0!</v>
      </c>
      <c r="BU289" s="3" t="e">
        <f>SUM(BQ289:BT289)</f>
        <v>#DIV/0!</v>
      </c>
      <c r="BV289" s="3" t="e">
        <f>SUM(BV290:BV299)</f>
        <v>#DIV/0!</v>
      </c>
      <c r="BW289" s="3" t="e">
        <f>SUM(BW290:BW299)</f>
        <v>#DIV/0!</v>
      </c>
      <c r="BX289" s="3" t="e">
        <f>SUM(BX290:BX299)</f>
        <v>#DIV/0!</v>
      </c>
      <c r="BY289" s="3" t="e">
        <f>SUM(BY290:BY299)</f>
        <v>#DIV/0!</v>
      </c>
      <c r="BZ289" s="3" t="e">
        <f>SUM(BV289:BY289)</f>
        <v>#DIV/0!</v>
      </c>
      <c r="CA289" s="3" t="e">
        <f>SUM(CA290:CA299)</f>
        <v>#DIV/0!</v>
      </c>
      <c r="CB289" s="3" t="e">
        <f>SUM(CB290:CB299)</f>
        <v>#DIV/0!</v>
      </c>
      <c r="CC289" s="3" t="e">
        <f>SUM(CC290:CC299)</f>
        <v>#DIV/0!</v>
      </c>
      <c r="CD289" s="3" t="e">
        <f>SUM(CD290:CD299)</f>
        <v>#DIV/0!</v>
      </c>
      <c r="CE289" s="3" t="e">
        <f>SUM(CA289:CD289)</f>
        <v>#DIV/0!</v>
      </c>
      <c r="CF289" s="3" t="e">
        <f>SUM(CF290:CF299)</f>
        <v>#DIV/0!</v>
      </c>
      <c r="CG289" s="3" t="e">
        <f>SUM(CG290:CG299)</f>
        <v>#DIV/0!</v>
      </c>
      <c r="CH289" s="3" t="e">
        <f>SUM(CH290:CH299)</f>
        <v>#DIV/0!</v>
      </c>
      <c r="CI289" s="3" t="e">
        <f>SUM(CI290:CI299)</f>
        <v>#DIV/0!</v>
      </c>
      <c r="CJ289" s="3" t="e">
        <f>SUM(CF289:CI289)</f>
        <v>#DIV/0!</v>
      </c>
      <c r="CK289" s="3" t="e">
        <f>SUM(CK290:CK299)</f>
        <v>#DIV/0!</v>
      </c>
      <c r="CL289" s="3" t="e">
        <f>SUM(CL290:CL299)</f>
        <v>#DIV/0!</v>
      </c>
      <c r="CM289" s="3" t="e">
        <f>SUM(CM290:CM299)</f>
        <v>#DIV/0!</v>
      </c>
      <c r="CN289" s="3" t="e">
        <f>SUM(CN290:CN299)</f>
        <v>#DIV/0!</v>
      </c>
      <c r="CO289" s="3" t="e">
        <f>SUM(CK289:CN289)</f>
        <v>#DIV/0!</v>
      </c>
      <c r="CP289" s="3" t="e">
        <f>SUM(CP290:CP299)</f>
        <v>#DIV/0!</v>
      </c>
      <c r="CQ289" s="3" t="e">
        <f>SUM(CQ290:CQ299)</f>
        <v>#DIV/0!</v>
      </c>
      <c r="CR289" s="3" t="e">
        <f>SUM(CR290:CR299)</f>
        <v>#DIV/0!</v>
      </c>
      <c r="CS289" s="3" t="e">
        <f>SUM(CS290:CS299)</f>
        <v>#DIV/0!</v>
      </c>
      <c r="CT289" s="3" t="e">
        <f>SUM(CP289:CS289)</f>
        <v>#DIV/0!</v>
      </c>
      <c r="CU289" s="3" t="e">
        <f>SUM(CU290:CU299)</f>
        <v>#DIV/0!</v>
      </c>
      <c r="CV289" s="3" t="e">
        <f>SUM(CV290:CV299)</f>
        <v>#DIV/0!</v>
      </c>
      <c r="CW289" s="3" t="e">
        <f>SUM(CW290:CW299)</f>
        <v>#DIV/0!</v>
      </c>
      <c r="CX289" s="3" t="e">
        <f>SUM(CX290:CX299)</f>
        <v>#DIV/0!</v>
      </c>
      <c r="CY289" s="3" t="e">
        <f>SUM(CU289:CX289)</f>
        <v>#DIV/0!</v>
      </c>
    </row>
    <row r="290" hidden="1" outlineLevel="1">
      <c r="C290" s="29" t="inlineStr">
        <is>
          <t>Accounts receivable</t>
        </is>
      </c>
      <c r="D290" s="3" t="n"/>
      <c r="E290" s="3" t="e">
        <f>(E155-D155)*-1</f>
        <v>#N/A</v>
      </c>
      <c r="F290" s="3">
        <f>(F155-E155)*-1</f>
        <v>-31.17222796018</v>
      </c>
      <c r="G290" s="3">
        <f>(G155-F155)*-1</f>
        <v>-310.25439952989</v>
      </c>
      <c r="H290" s="3" t="e">
        <f>SUM(D290:G290)</f>
        <v>#N/A</v>
      </c>
      <c r="I290" s="3">
        <f>(I155-H155)*-1</f>
        <v>27.62369402012</v>
      </c>
      <c r="J290" s="3">
        <f>(J155-I155)*-1</f>
        <v>-184.70766046015</v>
      </c>
      <c r="K290" s="3">
        <f>(K155-J155)*-1</f>
        <v>-81.7724060698999</v>
      </c>
      <c r="L290" s="3">
        <f>(L155-K155)*-1</f>
        <v>-271.95</v>
      </c>
      <c r="M290" s="3">
        <f>SUM(I290:L290)</f>
        <v>-510.80637250993</v>
      </c>
      <c r="N290" s="3">
        <f>(N155-M155)*-1</f>
        <v>-56.5609999999999</v>
      </c>
      <c r="O290" s="3">
        <f>(O155-N155)*-1</f>
        <v>-207.25144904</v>
      </c>
      <c r="P290" s="3">
        <f>(P155-O155)*-1</f>
        <v>-297.27180725</v>
      </c>
      <c r="Q290" s="3">
        <f>(Q155-P155)*-1</f>
        <v>-170.90805495</v>
      </c>
      <c r="R290" s="3">
        <f>SUM(N290:Q290)</f>
        <v>-731.99231124</v>
      </c>
      <c r="S290" s="3">
        <f>(S155-R155)*-1</f>
        <v>163.21301021</v>
      </c>
      <c r="T290" s="3">
        <f>(T155-S155)*-1</f>
        <v>-197.62369897</v>
      </c>
      <c r="U290" s="3">
        <f>(U155-T155)*-1</f>
        <v>-285.932</v>
      </c>
      <c r="V290" s="3">
        <f>(V155-U155)*-1</f>
        <v>-589.02898322</v>
      </c>
      <c r="W290" s="3">
        <f>SUM(S290:V290)</f>
        <v>-909.37167198</v>
      </c>
      <c r="X290" s="3">
        <f>(X155-W155)*-1</f>
        <v>372.11098322</v>
      </c>
      <c r="Y290" s="3">
        <f>(Y155-X155)*-1</f>
        <v>-95.9397019699995</v>
      </c>
      <c r="Z290" s="3">
        <f>(Z155-Y155)*-1</f>
        <v>-328.23829803</v>
      </c>
      <c r="AA290" s="3">
        <f>(AA155-Z155)*-1</f>
        <v>110.565</v>
      </c>
      <c r="AB290" s="3">
        <f>SUM(X290:AA290)</f>
        <v>58.4979832199997</v>
      </c>
      <c r="AC290" s="3">
        <f>(AC155-AB155)*-1</f>
        <v>-251.719</v>
      </c>
      <c r="AD290" s="3">
        <f>(AD155-AC155)*-1</f>
        <v>29.3690000000001</v>
      </c>
      <c r="AE290" s="3">
        <f>(AE155-AD155)*-1</f>
        <v>-342.598</v>
      </c>
      <c r="AF290" s="3">
        <f>(AF155-AE155)*-1</f>
        <v>-116.812</v>
      </c>
      <c r="AG290" s="3">
        <f>SUM(AC290:AF290)</f>
        <v>-681.76</v>
      </c>
      <c r="AH290" s="3">
        <f>(AH155-AG155)*-1</f>
        <v>67.7829999999999</v>
      </c>
      <c r="AI290" s="3">
        <f>(AI155-AH155)*-1</f>
        <v>53.79</v>
      </c>
      <c r="AJ290" s="3">
        <f>(AJ155-AI155)*-1</f>
        <v>3959.317</v>
      </c>
      <c r="AK290" s="3">
        <f>(AK155-AJ155)*-1</f>
        <v>0</v>
      </c>
      <c r="AL290" s="3">
        <f>SUM(AH290:AK290)</f>
        <v>4080.89</v>
      </c>
      <c r="AM290" s="3">
        <f>(AM155-AL155)*-1</f>
        <v>0</v>
      </c>
      <c r="AN290" s="3">
        <f>(AN155-AM155)*-1</f>
        <v>0</v>
      </c>
      <c r="AO290" s="3">
        <f>(AO155-AN155)*-1</f>
        <v>0</v>
      </c>
      <c r="AP290" s="3">
        <f>(AP155-AO155)*-1</f>
        <v>0</v>
      </c>
      <c r="AQ290" s="3">
        <f>SUM(AM290:AP290)</f>
        <v>0</v>
      </c>
      <c r="AR290" s="3">
        <f>(AR155-AQ155)*-1</f>
        <v>0</v>
      </c>
      <c r="AS290" s="3">
        <f>(AS155-AR155)*-1</f>
        <v>0</v>
      </c>
      <c r="AT290" s="3">
        <f>(AT155-AS155)*-1</f>
        <v>0</v>
      </c>
      <c r="AU290" s="3">
        <f>(AU155-AT155)*-1</f>
        <v>0</v>
      </c>
      <c r="AV290" s="3">
        <f>SUM(AR290:AU290)</f>
        <v>0</v>
      </c>
      <c r="AW290" s="3">
        <f>(AW155-AV155)*-1</f>
        <v>0</v>
      </c>
      <c r="AX290" s="3">
        <f>(AX155-AW155)*-1</f>
        <v>0</v>
      </c>
      <c r="AY290" s="3">
        <f>(AY155-AX155)*-1</f>
        <v>0</v>
      </c>
      <c r="AZ290" s="3">
        <f>(AZ155-AY155)*-1</f>
        <v>0</v>
      </c>
      <c r="BA290" s="3">
        <f>SUM(AW290:AZ290)</f>
        <v>0</v>
      </c>
      <c r="BB290" s="3">
        <f>(BB155-BA155)*-1</f>
        <v>0</v>
      </c>
      <c r="BC290" s="3">
        <f>(BC155-BB155)*-1</f>
        <v>0</v>
      </c>
      <c r="BD290" s="3">
        <f>(BD155-BC155)*-1</f>
        <v>0</v>
      </c>
      <c r="BE290" s="3">
        <f>(BE155-BD155)*-1</f>
        <v>0</v>
      </c>
      <c r="BF290" s="3">
        <f>SUM(BB290:BE290)</f>
        <v>0</v>
      </c>
      <c r="BG290" s="3">
        <f>(BG155-BF155)*-1</f>
        <v>0</v>
      </c>
      <c r="BH290" s="3">
        <f>(BH155-BG155)*-1</f>
        <v>0</v>
      </c>
      <c r="BI290" s="3">
        <f>(BI155-BH155)*-1</f>
        <v>0</v>
      </c>
      <c r="BJ290" s="3">
        <f>(BJ155-BI155)*-1</f>
        <v>0</v>
      </c>
      <c r="BK290" s="3">
        <f>SUM(BG290:BJ290)</f>
        <v>0</v>
      </c>
      <c r="BL290" s="3">
        <f>(BL155-BK155)*-1</f>
        <v>0</v>
      </c>
      <c r="BM290" s="3">
        <f>(BM155-BL155)*-1</f>
        <v>0</v>
      </c>
      <c r="BN290" s="3">
        <f>(BN155-BM155)*-1</f>
        <v>0</v>
      </c>
      <c r="BO290" s="3">
        <f>(BO155-BN155)*-1</f>
        <v>0</v>
      </c>
      <c r="BP290" s="3">
        <f>SUM(BL290:BO290)</f>
        <v>0</v>
      </c>
      <c r="BQ290" s="3">
        <f>(BQ155-BP155)*-1</f>
        <v>0</v>
      </c>
      <c r="BR290" s="3">
        <f>(BR155-BQ155)*-1</f>
        <v>0</v>
      </c>
      <c r="BS290" s="3">
        <f>(BS155-BR155)*-1</f>
        <v>0</v>
      </c>
      <c r="BT290" s="3">
        <f>(BT155-BS155)*-1</f>
        <v>0</v>
      </c>
      <c r="BU290" s="3">
        <f>SUM(BQ290:BT290)</f>
        <v>0</v>
      </c>
      <c r="BV290" s="3">
        <f>(BV155-BU155)*-1</f>
        <v>0</v>
      </c>
      <c r="BW290" s="3">
        <f>(BW155-BV155)*-1</f>
        <v>0</v>
      </c>
      <c r="BX290" s="3">
        <f>(BX155-BW155)*-1</f>
        <v>0</v>
      </c>
      <c r="BY290" s="3">
        <f>(BY155-BX155)*-1</f>
        <v>0</v>
      </c>
      <c r="BZ290" s="3">
        <f>SUM(BV290:BY290)</f>
        <v>0</v>
      </c>
      <c r="CA290" s="3">
        <f>(CA155-BZ155)*-1</f>
        <v>0</v>
      </c>
      <c r="CB290" s="3">
        <f>(CB155-CA155)*-1</f>
        <v>0</v>
      </c>
      <c r="CC290" s="3">
        <f>(CC155-CB155)*-1</f>
        <v>0</v>
      </c>
      <c r="CD290" s="3">
        <f>(CD155-CC155)*-1</f>
        <v>0</v>
      </c>
      <c r="CE290" s="3">
        <f>SUM(CA290:CD290)</f>
        <v>0</v>
      </c>
      <c r="CF290" s="3">
        <f>(CF155-CE155)*-1</f>
        <v>0</v>
      </c>
      <c r="CG290" s="3">
        <f>(CG155-CF155)*-1</f>
        <v>0</v>
      </c>
      <c r="CH290" s="3">
        <f>(CH155-CG155)*-1</f>
        <v>0</v>
      </c>
      <c r="CI290" s="3">
        <f>(CI155-CH155)*-1</f>
        <v>0</v>
      </c>
      <c r="CJ290" s="3">
        <f>SUM(CF290:CI290)</f>
        <v>0</v>
      </c>
      <c r="CK290" s="3">
        <f>(CK155-CJ155)*-1</f>
        <v>0</v>
      </c>
      <c r="CL290" s="3">
        <f>(CL155-CK155)*-1</f>
        <v>0</v>
      </c>
      <c r="CM290" s="3">
        <f>(CM155-CL155)*-1</f>
        <v>0</v>
      </c>
      <c r="CN290" s="3">
        <f>(CN155-CM155)*-1</f>
        <v>0</v>
      </c>
      <c r="CO290" s="3">
        <f>SUM(CK290:CN290)</f>
        <v>0</v>
      </c>
      <c r="CP290" s="3">
        <f>(CP155-CO155)*-1</f>
        <v>0</v>
      </c>
      <c r="CQ290" s="3">
        <f>(CQ155-CP155)*-1</f>
        <v>0</v>
      </c>
      <c r="CR290" s="3">
        <f>(CR155-CQ155)*-1</f>
        <v>0</v>
      </c>
      <c r="CS290" s="3">
        <f>(CS155-CR155)*-1</f>
        <v>0</v>
      </c>
      <c r="CT290" s="3">
        <f>SUM(CP290:CS290)</f>
        <v>0</v>
      </c>
      <c r="CU290" s="3">
        <f>(CU155-CT155)*-1</f>
        <v>0</v>
      </c>
      <c r="CV290" s="3">
        <f>(CV155-CU155)*-1</f>
        <v>0</v>
      </c>
      <c r="CW290" s="3">
        <f>(CW155-CV155)*-1</f>
        <v>0</v>
      </c>
      <c r="CX290" s="3">
        <f>(CX155-CW155)*-1</f>
        <v>0</v>
      </c>
      <c r="CY290" s="3">
        <f>SUM(CU290:CX290)</f>
        <v>0</v>
      </c>
    </row>
    <row r="291" hidden="1" outlineLevel="1">
      <c r="C291" s="29" t="inlineStr">
        <is>
          <t>Inventories</t>
        </is>
      </c>
      <c r="D291" s="3" t="n"/>
      <c r="E291" s="3" t="e">
        <f>(E159-D159)*-1</f>
        <v>#N/A</v>
      </c>
      <c r="F291" s="3">
        <f>(F159-E159)*-1</f>
        <v>-504.33866586999</v>
      </c>
      <c r="G291" s="3">
        <f>(G159-F159)*-1</f>
        <v>-525.26033413001</v>
      </c>
      <c r="H291" s="3" t="e">
        <f>SUM(D291:G291)</f>
        <v>#N/A</v>
      </c>
      <c r="I291" s="3">
        <f>(I159-H159)*-1</f>
        <v>-19.9414389200501</v>
      </c>
      <c r="J291" s="3">
        <f>(J159-I159)*-1</f>
        <v>-189.01859461985</v>
      </c>
      <c r="K291" s="3">
        <f>(K159-J159)*-1</f>
        <v>-665.8129664601</v>
      </c>
      <c r="L291" s="3">
        <f>(L159-K159)*-1</f>
        <v>-6.32400000000007</v>
      </c>
      <c r="M291" s="3">
        <f>SUM(I291:L291)</f>
        <v>-881.097</v>
      </c>
      <c r="N291" s="3">
        <f>(N159-M159)*-1</f>
        <v>-304.821</v>
      </c>
      <c r="O291" s="3">
        <f>(O159-N159)*-1</f>
        <v>-191.543</v>
      </c>
      <c r="P291" s="3">
        <f>(P159-O159)*-1</f>
        <v>-671.199</v>
      </c>
      <c r="Q291" s="3">
        <f>(Q159-P159)*-1</f>
        <v>680.818</v>
      </c>
      <c r="R291" s="3">
        <f>SUM(N291:Q291)</f>
        <v>-486.745</v>
      </c>
      <c r="S291" s="3">
        <f>(S159-R159)*-1</f>
        <v>-450.927</v>
      </c>
      <c r="T291" s="3">
        <f>(T159-S159)*-1</f>
        <v>-257.646000000001</v>
      </c>
      <c r="U291" s="3">
        <f>(U159-T159)*-1</f>
        <v>-245.527</v>
      </c>
      <c r="V291" s="3">
        <f>(V159-U159)*-1</f>
        <v>-148.179999999999</v>
      </c>
      <c r="W291" s="3">
        <f>SUM(S291:V291)</f>
        <v>-1102.28</v>
      </c>
      <c r="X291" s="3">
        <f>(X159-W159)*-1</f>
        <v>130.312999999999</v>
      </c>
      <c r="Y291" s="3">
        <f>(Y159-X159)*-1</f>
        <v>-336.714999999999</v>
      </c>
      <c r="Z291" s="3">
        <f>(Z159-Y159)*-1</f>
        <v>-669.35</v>
      </c>
      <c r="AA291" s="3">
        <f>(AA159-Z159)*-1</f>
        <v>1023.889</v>
      </c>
      <c r="AB291" s="3">
        <f>SUM(X291:AA291)</f>
        <v>148.137</v>
      </c>
      <c r="AC291" s="3">
        <f>(AC159-AB159)*-1</f>
        <v>-303.383</v>
      </c>
      <c r="AD291" s="3">
        <f>(AD159-AC159)*-1</f>
        <v>222.893</v>
      </c>
      <c r="AE291" s="3">
        <f>(AE159-AD159)*-1</f>
        <v>-710.279000000001</v>
      </c>
      <c r="AF291" s="3">
        <f>(AF159-AE159)*-1</f>
        <v>560.225</v>
      </c>
      <c r="AG291" s="3">
        <f>SUM(AC291:AF291)</f>
        <v>-230.544</v>
      </c>
      <c r="AH291" s="3">
        <f>(AH159-AG159)*-1</f>
        <v>-51.1710000000003</v>
      </c>
      <c r="AI291" s="3">
        <f>(AI159-AH159)*-1</f>
        <v>-514.787</v>
      </c>
      <c r="AJ291" s="3">
        <f>(AJ159-AI159)*-1</f>
        <v>5736.02</v>
      </c>
      <c r="AK291" s="3">
        <f>(AK159-AJ159)*-1</f>
        <v>0</v>
      </c>
      <c r="AL291" s="3">
        <f>SUM(AH291:AK291)</f>
        <v>5170.062</v>
      </c>
      <c r="AM291" s="3">
        <f>(AM159-AL159)*-1</f>
        <v>0</v>
      </c>
      <c r="AN291" s="3">
        <f>(AN159-AM159)*-1</f>
        <v>0</v>
      </c>
      <c r="AO291" s="3">
        <f>(AO159-AN159)*-1</f>
        <v>0</v>
      </c>
      <c r="AP291" s="3">
        <f>(AP159-AO159)*-1</f>
        <v>0</v>
      </c>
      <c r="AQ291" s="3">
        <f>SUM(AM291:AP291)</f>
        <v>0</v>
      </c>
      <c r="AR291" s="3">
        <f>(AR159-AQ159)*-1</f>
        <v>0</v>
      </c>
      <c r="AS291" s="3">
        <f>(AS159-AR159)*-1</f>
        <v>0</v>
      </c>
      <c r="AT291" s="3">
        <f>(AT159-AS159)*-1</f>
        <v>0</v>
      </c>
      <c r="AU291" s="3">
        <f>(AU159-AT159)*-1</f>
        <v>0</v>
      </c>
      <c r="AV291" s="3">
        <f>SUM(AR291:AU291)</f>
        <v>0</v>
      </c>
      <c r="AW291" s="3">
        <f>(AW159-AV159)*-1</f>
        <v>0</v>
      </c>
      <c r="AX291" s="3">
        <f>(AX159-AW159)*-1</f>
        <v>0</v>
      </c>
      <c r="AY291" s="3">
        <f>(AY159-AX159)*-1</f>
        <v>0</v>
      </c>
      <c r="AZ291" s="3">
        <f>(AZ159-AY159)*-1</f>
        <v>0</v>
      </c>
      <c r="BA291" s="3">
        <f>SUM(AW291:AZ291)</f>
        <v>0</v>
      </c>
      <c r="BB291" s="3">
        <f>(BB159-BA159)*-1</f>
        <v>0</v>
      </c>
      <c r="BC291" s="3">
        <f>(BC159-BB159)*-1</f>
        <v>0</v>
      </c>
      <c r="BD291" s="3">
        <f>(BD159-BC159)*-1</f>
        <v>0</v>
      </c>
      <c r="BE291" s="3">
        <f>(BE159-BD159)*-1</f>
        <v>0</v>
      </c>
      <c r="BF291" s="3">
        <f>SUM(BB291:BE291)</f>
        <v>0</v>
      </c>
      <c r="BG291" s="3">
        <f>(BG159-BF159)*-1</f>
        <v>0</v>
      </c>
      <c r="BH291" s="3">
        <f>(BH159-BG159)*-1</f>
        <v>0</v>
      </c>
      <c r="BI291" s="3">
        <f>(BI159-BH159)*-1</f>
        <v>0</v>
      </c>
      <c r="BJ291" s="3">
        <f>(BJ159-BI159)*-1</f>
        <v>0</v>
      </c>
      <c r="BK291" s="3">
        <f>SUM(BG291:BJ291)</f>
        <v>0</v>
      </c>
      <c r="BL291" s="3">
        <f>(BL159-BK159)*-1</f>
        <v>0</v>
      </c>
      <c r="BM291" s="3">
        <f>(BM159-BL159)*-1</f>
        <v>0</v>
      </c>
      <c r="BN291" s="3">
        <f>(BN159-BM159)*-1</f>
        <v>0</v>
      </c>
      <c r="BO291" s="3">
        <f>(BO159-BN159)*-1</f>
        <v>0</v>
      </c>
      <c r="BP291" s="3">
        <f>SUM(BL291:BO291)</f>
        <v>0</v>
      </c>
      <c r="BQ291" s="3">
        <f>(BQ159-BP159)*-1</f>
        <v>0</v>
      </c>
      <c r="BR291" s="3">
        <f>(BR159-BQ159)*-1</f>
        <v>0</v>
      </c>
      <c r="BS291" s="3">
        <f>(BS159-BR159)*-1</f>
        <v>0</v>
      </c>
      <c r="BT291" s="3">
        <f>(BT159-BS159)*-1</f>
        <v>0</v>
      </c>
      <c r="BU291" s="3">
        <f>SUM(BQ291:BT291)</f>
        <v>0</v>
      </c>
      <c r="BV291" s="3">
        <f>(BV159-BU159)*-1</f>
        <v>0</v>
      </c>
      <c r="BW291" s="3">
        <f>(BW159-BV159)*-1</f>
        <v>0</v>
      </c>
      <c r="BX291" s="3">
        <f>(BX159-BW159)*-1</f>
        <v>0</v>
      </c>
      <c r="BY291" s="3">
        <f>(BY159-BX159)*-1</f>
        <v>0</v>
      </c>
      <c r="BZ291" s="3">
        <f>SUM(BV291:BY291)</f>
        <v>0</v>
      </c>
      <c r="CA291" s="3">
        <f>(CA159-BZ159)*-1</f>
        <v>0</v>
      </c>
      <c r="CB291" s="3">
        <f>(CB159-CA159)*-1</f>
        <v>0</v>
      </c>
      <c r="CC291" s="3">
        <f>(CC159-CB159)*-1</f>
        <v>0</v>
      </c>
      <c r="CD291" s="3">
        <f>(CD159-CC159)*-1</f>
        <v>0</v>
      </c>
      <c r="CE291" s="3">
        <f>SUM(CA291:CD291)</f>
        <v>0</v>
      </c>
      <c r="CF291" s="3">
        <f>(CF159-CE159)*-1</f>
        <v>0</v>
      </c>
      <c r="CG291" s="3">
        <f>(CG159-CF159)*-1</f>
        <v>0</v>
      </c>
      <c r="CH291" s="3">
        <f>(CH159-CG159)*-1</f>
        <v>0</v>
      </c>
      <c r="CI291" s="3">
        <f>(CI159-CH159)*-1</f>
        <v>0</v>
      </c>
      <c r="CJ291" s="3">
        <f>SUM(CF291:CI291)</f>
        <v>0</v>
      </c>
      <c r="CK291" s="3">
        <f>(CK159-CJ159)*-1</f>
        <v>0</v>
      </c>
      <c r="CL291" s="3">
        <f>(CL159-CK159)*-1</f>
        <v>0</v>
      </c>
      <c r="CM291" s="3">
        <f>(CM159-CL159)*-1</f>
        <v>0</v>
      </c>
      <c r="CN291" s="3">
        <f>(CN159-CM159)*-1</f>
        <v>0</v>
      </c>
      <c r="CO291" s="3">
        <f>SUM(CK291:CN291)</f>
        <v>0</v>
      </c>
      <c r="CP291" s="3">
        <f>(CP159-CO159)*-1</f>
        <v>0</v>
      </c>
      <c r="CQ291" s="3">
        <f>(CQ159-CP159)*-1</f>
        <v>0</v>
      </c>
      <c r="CR291" s="3">
        <f>(CR159-CQ159)*-1</f>
        <v>0</v>
      </c>
      <c r="CS291" s="3">
        <f>(CS159-CR159)*-1</f>
        <v>0</v>
      </c>
      <c r="CT291" s="3">
        <f>SUM(CP291:CS291)</f>
        <v>0</v>
      </c>
      <c r="CU291" s="3">
        <f>(CU159-CT159)*-1</f>
        <v>0</v>
      </c>
      <c r="CV291" s="3">
        <f>(CV159-CU159)*-1</f>
        <v>0</v>
      </c>
      <c r="CW291" s="3">
        <f>(CW159-CV159)*-1</f>
        <v>0</v>
      </c>
      <c r="CX291" s="3">
        <f>(CX159-CW159)*-1</f>
        <v>0</v>
      </c>
      <c r="CY291" s="3">
        <f>SUM(CU291:CX291)</f>
        <v>0</v>
      </c>
    </row>
    <row r="292" hidden="1" outlineLevel="1">
      <c r="C292" s="29" t="inlineStr">
        <is>
          <t>Deferred income taxes</t>
        </is>
      </c>
      <c r="D292" s="3" t="n"/>
      <c r="E292" s="3" t="e">
        <f>(E163-D163)*-1</f>
        <v>#N/A</v>
      </c>
      <c r="F292" s="3">
        <f>(F163-E163)*-1</f>
        <v>0</v>
      </c>
      <c r="G292" s="3">
        <f>(G163-F163)*-1</f>
        <v>0</v>
      </c>
      <c r="H292" s="3" t="e">
        <f>SUM(D292:G292)</f>
        <v>#N/A</v>
      </c>
      <c r="I292" s="3">
        <f>(I163-H163)*-1</f>
        <v>0</v>
      </c>
      <c r="J292" s="3">
        <f>(J163-I163)*-1</f>
        <v>0</v>
      </c>
      <c r="K292" s="3">
        <f>(K163-J163)*-1</f>
        <v>0</v>
      </c>
      <c r="L292" s="3">
        <f>(L163-K163)*-1</f>
        <v>0</v>
      </c>
      <c r="M292" s="3">
        <f>SUM(I292:L292)</f>
        <v>0</v>
      </c>
      <c r="N292" s="3">
        <f>(N163-M163)*-1</f>
        <v>0</v>
      </c>
      <c r="O292" s="3">
        <f>(O163-N163)*-1</f>
        <v>0</v>
      </c>
      <c r="P292" s="3">
        <f>(P163-O163)*-1</f>
        <v>0</v>
      </c>
      <c r="Q292" s="3">
        <f>(Q163-P163)*-1</f>
        <v>0</v>
      </c>
      <c r="R292" s="3">
        <f>SUM(N292:Q292)</f>
        <v>0</v>
      </c>
      <c r="S292" s="3">
        <f>(S163-R163)*-1</f>
        <v>0</v>
      </c>
      <c r="T292" s="3">
        <f>(T163-S163)*-1</f>
        <v>0</v>
      </c>
      <c r="U292" s="3">
        <f>(U163-T163)*-1</f>
        <v>0</v>
      </c>
      <c r="V292" s="3">
        <f>(V163-U163)*-1</f>
        <v>0</v>
      </c>
      <c r="W292" s="3">
        <f>SUM(S292:V292)</f>
        <v>0</v>
      </c>
      <c r="X292" s="3">
        <f>(X163-W163)*-1</f>
        <v>-42.1</v>
      </c>
      <c r="Y292" s="3">
        <f>(Y163-X163)*-1</f>
        <v>-97.476</v>
      </c>
      <c r="Z292" s="3">
        <f>(Z163-Y163)*-1</f>
        <v>-63.714</v>
      </c>
      <c r="AA292" s="3">
        <f>(AA163-Z163)*-1</f>
        <v>-300.253</v>
      </c>
      <c r="AB292" s="3">
        <f>SUM(X292:AA292)</f>
        <v>-503.543</v>
      </c>
      <c r="AC292" s="3">
        <f>(AC163-AB163)*-1</f>
        <v>-96.1</v>
      </c>
      <c r="AD292" s="3">
        <f>(AD163-AC163)*-1</f>
        <v>292.75</v>
      </c>
      <c r="AE292" s="3">
        <f>(AE163-AD163)*-1</f>
        <v>-495.73</v>
      </c>
      <c r="AF292" s="3">
        <f>(AF163-AE163)*-1</f>
        <v>-63.845</v>
      </c>
      <c r="AG292" s="3">
        <f>SUM(AC292:AF292)</f>
        <v>-362.925</v>
      </c>
      <c r="AH292" s="3">
        <f>(AH163-AG163)*-1</f>
        <v>-42.41</v>
      </c>
      <c r="AI292" s="3">
        <f>(AI163-AH163)*-1</f>
        <v>9.43500000000006</v>
      </c>
      <c r="AJ292" s="3">
        <f>(AJ163-AI163)*-1</f>
        <v>0</v>
      </c>
      <c r="AK292" s="3">
        <f>(AK163-AJ163)*-1</f>
        <v>0</v>
      </c>
      <c r="AL292" s="3">
        <f>SUM(AH292:AK292)</f>
        <v>-32.9749999999999</v>
      </c>
      <c r="AM292" s="3">
        <f>(AM163-AL163)*-1</f>
        <v>0</v>
      </c>
      <c r="AN292" s="3">
        <f>(AN163-AM163)*-1</f>
        <v>0</v>
      </c>
      <c r="AO292" s="3">
        <f>(AO163-AN163)*-1</f>
        <v>0</v>
      </c>
      <c r="AP292" s="3">
        <f>(AP163-AO163)*-1</f>
        <v>0</v>
      </c>
      <c r="AQ292" s="3">
        <f>SUM(AM292:AP292)</f>
        <v>0</v>
      </c>
      <c r="AR292" s="3">
        <f>(AR163-AQ163)*-1</f>
        <v>0</v>
      </c>
      <c r="AS292" s="3">
        <f>(AS163-AR163)*-1</f>
        <v>0</v>
      </c>
      <c r="AT292" s="3">
        <f>(AT163-AS163)*-1</f>
        <v>0</v>
      </c>
      <c r="AU292" s="3">
        <f>(AU163-AT163)*-1</f>
        <v>0</v>
      </c>
      <c r="AV292" s="3">
        <f>SUM(AR292:AU292)</f>
        <v>0</v>
      </c>
      <c r="AW292" s="3">
        <f>(AW163-AV163)*-1</f>
        <v>0</v>
      </c>
      <c r="AX292" s="3">
        <f>(AX163-AW163)*-1</f>
        <v>0</v>
      </c>
      <c r="AY292" s="3">
        <f>(AY163-AX163)*-1</f>
        <v>0</v>
      </c>
      <c r="AZ292" s="3">
        <f>(AZ163-AY163)*-1</f>
        <v>0</v>
      </c>
      <c r="BA292" s="3">
        <f>SUM(AW292:AZ292)</f>
        <v>0</v>
      </c>
      <c r="BB292" s="3">
        <f>(BB163-BA163)*-1</f>
        <v>0</v>
      </c>
      <c r="BC292" s="3">
        <f>(BC163-BB163)*-1</f>
        <v>0</v>
      </c>
      <c r="BD292" s="3">
        <f>(BD163-BC163)*-1</f>
        <v>0</v>
      </c>
      <c r="BE292" s="3">
        <f>(BE163-BD163)*-1</f>
        <v>0</v>
      </c>
      <c r="BF292" s="3">
        <f>SUM(BB292:BE292)</f>
        <v>0</v>
      </c>
      <c r="BG292" s="3">
        <f>(BG163-BF163)*-1</f>
        <v>0</v>
      </c>
      <c r="BH292" s="3">
        <f>(BH163-BG163)*-1</f>
        <v>0</v>
      </c>
      <c r="BI292" s="3">
        <f>(BI163-BH163)*-1</f>
        <v>0</v>
      </c>
      <c r="BJ292" s="3">
        <f>(BJ163-BI163)*-1</f>
        <v>0</v>
      </c>
      <c r="BK292" s="3">
        <f>SUM(BG292:BJ292)</f>
        <v>0</v>
      </c>
      <c r="BL292" s="3">
        <f>(BL163-BK163)*-1</f>
        <v>0</v>
      </c>
      <c r="BM292" s="3">
        <f>(BM163-BL163)*-1</f>
        <v>0</v>
      </c>
      <c r="BN292" s="3">
        <f>(BN163-BM163)*-1</f>
        <v>0</v>
      </c>
      <c r="BO292" s="3">
        <f>(BO163-BN163)*-1</f>
        <v>0</v>
      </c>
      <c r="BP292" s="3">
        <f>SUM(BL292:BO292)</f>
        <v>0</v>
      </c>
      <c r="BQ292" s="3">
        <f>(BQ163-BP163)*-1</f>
        <v>0</v>
      </c>
      <c r="BR292" s="3">
        <f>(BR163-BQ163)*-1</f>
        <v>0</v>
      </c>
      <c r="BS292" s="3">
        <f>(BS163-BR163)*-1</f>
        <v>0</v>
      </c>
      <c r="BT292" s="3">
        <f>(BT163-BS163)*-1</f>
        <v>0</v>
      </c>
      <c r="BU292" s="3">
        <f>SUM(BQ292:BT292)</f>
        <v>0</v>
      </c>
      <c r="BV292" s="3">
        <f>(BV163-BU163)*-1</f>
        <v>0</v>
      </c>
      <c r="BW292" s="3">
        <f>(BW163-BV163)*-1</f>
        <v>0</v>
      </c>
      <c r="BX292" s="3">
        <f>(BX163-BW163)*-1</f>
        <v>0</v>
      </c>
      <c r="BY292" s="3">
        <f>(BY163-BX163)*-1</f>
        <v>0</v>
      </c>
      <c r="BZ292" s="3">
        <f>SUM(BV292:BY292)</f>
        <v>0</v>
      </c>
      <c r="CA292" s="3">
        <f>(CA163-BZ163)*-1</f>
        <v>0</v>
      </c>
      <c r="CB292" s="3">
        <f>(CB163-CA163)*-1</f>
        <v>0</v>
      </c>
      <c r="CC292" s="3">
        <f>(CC163-CB163)*-1</f>
        <v>0</v>
      </c>
      <c r="CD292" s="3">
        <f>(CD163-CC163)*-1</f>
        <v>0</v>
      </c>
      <c r="CE292" s="3">
        <f>SUM(CA292:CD292)</f>
        <v>0</v>
      </c>
      <c r="CF292" s="3">
        <f>(CF163-CE163)*-1</f>
        <v>0</v>
      </c>
      <c r="CG292" s="3">
        <f>(CG163-CF163)*-1</f>
        <v>0</v>
      </c>
      <c r="CH292" s="3">
        <f>(CH163-CG163)*-1</f>
        <v>0</v>
      </c>
      <c r="CI292" s="3">
        <f>(CI163-CH163)*-1</f>
        <v>0</v>
      </c>
      <c r="CJ292" s="3">
        <f>SUM(CF292:CI292)</f>
        <v>0</v>
      </c>
      <c r="CK292" s="3">
        <f>(CK163-CJ163)*-1</f>
        <v>0</v>
      </c>
      <c r="CL292" s="3">
        <f>(CL163-CK163)*-1</f>
        <v>0</v>
      </c>
      <c r="CM292" s="3">
        <f>(CM163-CL163)*-1</f>
        <v>0</v>
      </c>
      <c r="CN292" s="3">
        <f>(CN163-CM163)*-1</f>
        <v>0</v>
      </c>
      <c r="CO292" s="3">
        <f>SUM(CK292:CN292)</f>
        <v>0</v>
      </c>
      <c r="CP292" s="3">
        <f>(CP163-CO163)*-1</f>
        <v>0</v>
      </c>
      <c r="CQ292" s="3">
        <f>(CQ163-CP163)*-1</f>
        <v>0</v>
      </c>
      <c r="CR292" s="3">
        <f>(CR163-CQ163)*-1</f>
        <v>0</v>
      </c>
      <c r="CS292" s="3">
        <f>(CS163-CR163)*-1</f>
        <v>0</v>
      </c>
      <c r="CT292" s="3">
        <f>SUM(CP292:CS292)</f>
        <v>0</v>
      </c>
      <c r="CU292" s="3">
        <f>(CU163-CT163)*-1</f>
        <v>0</v>
      </c>
      <c r="CV292" s="3">
        <f>(CV163-CU163)*-1</f>
        <v>0</v>
      </c>
      <c r="CW292" s="3">
        <f>(CW163-CV163)*-1</f>
        <v>0</v>
      </c>
      <c r="CX292" s="3">
        <f>(CX163-CW163)*-1</f>
        <v>0</v>
      </c>
      <c r="CY292" s="3">
        <f>SUM(CU292:CX292)</f>
        <v>0</v>
      </c>
    </row>
    <row r="293" hidden="1" outlineLevel="1">
      <c r="C293" s="29" t="inlineStr">
        <is>
          <t>Prepaid expenses</t>
        </is>
      </c>
      <c r="D293" s="3" t="n"/>
      <c r="E293" s="3">
        <f>(E164-D164)*-1</f>
        <v>0</v>
      </c>
      <c r="F293" s="3">
        <f>(F164-E164)*-1</f>
        <v>0</v>
      </c>
      <c r="G293" s="3">
        <f>(G164-F164)*-1</f>
        <v>0</v>
      </c>
      <c r="H293" s="3">
        <f>SUM(D293:G293)</f>
        <v>0</v>
      </c>
      <c r="I293" s="3">
        <f>(I164-H164)*-1</f>
        <v>0</v>
      </c>
      <c r="J293" s="3">
        <f>(J164-I164)*-1</f>
        <v>0</v>
      </c>
      <c r="K293" s="3">
        <f>(K164-J164)*-1</f>
        <v>0</v>
      </c>
      <c r="L293" s="3">
        <f>(L164-K164)*-1</f>
        <v>0</v>
      </c>
      <c r="M293" s="3">
        <f>SUM(I293:L293)</f>
        <v>0</v>
      </c>
      <c r="N293" s="3">
        <f>(N164-M164)*-1</f>
        <v>0</v>
      </c>
      <c r="O293" s="3">
        <f>(O164-N164)*-1</f>
        <v>0</v>
      </c>
      <c r="P293" s="3">
        <f>(P164-O164)*-1</f>
        <v>0</v>
      </c>
      <c r="Q293" s="3">
        <f>(Q164-P164)*-1</f>
        <v>0</v>
      </c>
      <c r="R293" s="3">
        <f>SUM(N293:Q293)</f>
        <v>0</v>
      </c>
      <c r="S293" s="3">
        <f>(S164-R164)*-1</f>
        <v>0</v>
      </c>
      <c r="T293" s="3">
        <f>(T164-S164)*-1</f>
        <v>0</v>
      </c>
      <c r="U293" s="3">
        <f>(U164-T164)*-1</f>
        <v>0</v>
      </c>
      <c r="V293" s="3">
        <f>(V164-U164)*-1</f>
        <v>0</v>
      </c>
      <c r="W293" s="3">
        <f>SUM(S293:V293)</f>
        <v>0</v>
      </c>
      <c r="X293" s="3">
        <f>(X164-W164)*-1</f>
        <v>0</v>
      </c>
      <c r="Y293" s="3">
        <f>(Y164-X164)*-1</f>
        <v>0</v>
      </c>
      <c r="Z293" s="3">
        <f>(Z164-Y164)*-1</f>
        <v>0</v>
      </c>
      <c r="AA293" s="3">
        <f>(AA164-Z164)*-1</f>
        <v>0</v>
      </c>
      <c r="AB293" s="3">
        <f>SUM(X293:AA293)</f>
        <v>0</v>
      </c>
      <c r="AC293" s="3">
        <f>(AC164-AB164)*-1</f>
        <v>0</v>
      </c>
      <c r="AD293" s="3">
        <f>(AD164-AC164)*-1</f>
        <v>0</v>
      </c>
      <c r="AE293" s="3">
        <f>(AE164-AD164)*-1</f>
        <v>0</v>
      </c>
      <c r="AF293" s="3">
        <f>(AF164-AE164)*-1</f>
        <v>0</v>
      </c>
      <c r="AG293" s="3">
        <f>SUM(AC293:AF293)</f>
        <v>0</v>
      </c>
      <c r="AH293" s="3">
        <f>(AH164-AG164)*-1</f>
        <v>0</v>
      </c>
      <c r="AI293" s="3">
        <f>(AI164-AH164)*-1</f>
        <v>0</v>
      </c>
      <c r="AJ293" s="3">
        <f>(AJ164-AI164)*-1</f>
        <v>0</v>
      </c>
      <c r="AK293" s="3">
        <f>(AK164-AJ164)*-1</f>
        <v>0</v>
      </c>
      <c r="AL293" s="3">
        <f>SUM(AH293:AK293)</f>
        <v>0</v>
      </c>
      <c r="AM293" s="3">
        <f>(AM164-AL164)*-1</f>
        <v>0</v>
      </c>
      <c r="AN293" s="3">
        <f>(AN164-AM164)*-1</f>
        <v>0</v>
      </c>
      <c r="AO293" s="3">
        <f>(AO164-AN164)*-1</f>
        <v>0</v>
      </c>
      <c r="AP293" s="3">
        <f>(AP164-AO164)*-1</f>
        <v>0</v>
      </c>
      <c r="AQ293" s="3">
        <f>SUM(AM293:AP293)</f>
        <v>0</v>
      </c>
      <c r="AR293" s="3">
        <f>(AR164-AQ164)*-1</f>
        <v>0</v>
      </c>
      <c r="AS293" s="3">
        <f>(AS164-AR164)*-1</f>
        <v>0</v>
      </c>
      <c r="AT293" s="3">
        <f>(AT164-AS164)*-1</f>
        <v>0</v>
      </c>
      <c r="AU293" s="3">
        <f>(AU164-AT164)*-1</f>
        <v>0</v>
      </c>
      <c r="AV293" s="3">
        <f>SUM(AR293:AU293)</f>
        <v>0</v>
      </c>
      <c r="AW293" s="3">
        <f>(AW164-AV164)*-1</f>
        <v>0</v>
      </c>
      <c r="AX293" s="3">
        <f>(AX164-AW164)*-1</f>
        <v>0</v>
      </c>
      <c r="AY293" s="3">
        <f>(AY164-AX164)*-1</f>
        <v>0</v>
      </c>
      <c r="AZ293" s="3">
        <f>(AZ164-AY164)*-1</f>
        <v>0</v>
      </c>
      <c r="BA293" s="3">
        <f>SUM(AW293:AZ293)</f>
        <v>0</v>
      </c>
      <c r="BB293" s="3">
        <f>(BB164-BA164)*-1</f>
        <v>0</v>
      </c>
      <c r="BC293" s="3">
        <f>(BC164-BB164)*-1</f>
        <v>0</v>
      </c>
      <c r="BD293" s="3">
        <f>(BD164-BC164)*-1</f>
        <v>0</v>
      </c>
      <c r="BE293" s="3">
        <f>(BE164-BD164)*-1</f>
        <v>0</v>
      </c>
      <c r="BF293" s="3">
        <f>SUM(BB293:BE293)</f>
        <v>0</v>
      </c>
      <c r="BG293" s="3">
        <f>(BG164-BF164)*-1</f>
        <v>0</v>
      </c>
      <c r="BH293" s="3">
        <f>(BH164-BG164)*-1</f>
        <v>0</v>
      </c>
      <c r="BI293" s="3">
        <f>(BI164-BH164)*-1</f>
        <v>0</v>
      </c>
      <c r="BJ293" s="3">
        <f>(BJ164-BI164)*-1</f>
        <v>0</v>
      </c>
      <c r="BK293" s="3">
        <f>SUM(BG293:BJ293)</f>
        <v>0</v>
      </c>
      <c r="BL293" s="3">
        <f>(BL164-BK164)*-1</f>
        <v>0</v>
      </c>
      <c r="BM293" s="3">
        <f>(BM164-BL164)*-1</f>
        <v>0</v>
      </c>
      <c r="BN293" s="3">
        <f>(BN164-BM164)*-1</f>
        <v>0</v>
      </c>
      <c r="BO293" s="3">
        <f>(BO164-BN164)*-1</f>
        <v>0</v>
      </c>
      <c r="BP293" s="3">
        <f>SUM(BL293:BO293)</f>
        <v>0</v>
      </c>
      <c r="BQ293" s="3">
        <f>(BQ164-BP164)*-1</f>
        <v>0</v>
      </c>
      <c r="BR293" s="3">
        <f>(BR164-BQ164)*-1</f>
        <v>0</v>
      </c>
      <c r="BS293" s="3">
        <f>(BS164-BR164)*-1</f>
        <v>0</v>
      </c>
      <c r="BT293" s="3">
        <f>(BT164-BS164)*-1</f>
        <v>0</v>
      </c>
      <c r="BU293" s="3">
        <f>SUM(BQ293:BT293)</f>
        <v>0</v>
      </c>
      <c r="BV293" s="3">
        <f>(BV164-BU164)*-1</f>
        <v>0</v>
      </c>
      <c r="BW293" s="3">
        <f>(BW164-BV164)*-1</f>
        <v>0</v>
      </c>
      <c r="BX293" s="3">
        <f>(BX164-BW164)*-1</f>
        <v>0</v>
      </c>
      <c r="BY293" s="3">
        <f>(BY164-BX164)*-1</f>
        <v>0</v>
      </c>
      <c r="BZ293" s="3">
        <f>SUM(BV293:BY293)</f>
        <v>0</v>
      </c>
      <c r="CA293" s="3">
        <f>(CA164-BZ164)*-1</f>
        <v>0</v>
      </c>
      <c r="CB293" s="3">
        <f>(CB164-CA164)*-1</f>
        <v>0</v>
      </c>
      <c r="CC293" s="3">
        <f>(CC164-CB164)*-1</f>
        <v>0</v>
      </c>
      <c r="CD293" s="3">
        <f>(CD164-CC164)*-1</f>
        <v>0</v>
      </c>
      <c r="CE293" s="3">
        <f>SUM(CA293:CD293)</f>
        <v>0</v>
      </c>
      <c r="CF293" s="3">
        <f>(CF164-CE164)*-1</f>
        <v>0</v>
      </c>
      <c r="CG293" s="3">
        <f>(CG164-CF164)*-1</f>
        <v>0</v>
      </c>
      <c r="CH293" s="3">
        <f>(CH164-CG164)*-1</f>
        <v>0</v>
      </c>
      <c r="CI293" s="3">
        <f>(CI164-CH164)*-1</f>
        <v>0</v>
      </c>
      <c r="CJ293" s="3">
        <f>SUM(CF293:CI293)</f>
        <v>0</v>
      </c>
      <c r="CK293" s="3">
        <f>(CK164-CJ164)*-1</f>
        <v>0</v>
      </c>
      <c r="CL293" s="3">
        <f>(CL164-CK164)*-1</f>
        <v>0</v>
      </c>
      <c r="CM293" s="3">
        <f>(CM164-CL164)*-1</f>
        <v>0</v>
      </c>
      <c r="CN293" s="3">
        <f>(CN164-CM164)*-1</f>
        <v>0</v>
      </c>
      <c r="CO293" s="3">
        <f>SUM(CK293:CN293)</f>
        <v>0</v>
      </c>
      <c r="CP293" s="3">
        <f>(CP164-CO164)*-1</f>
        <v>0</v>
      </c>
      <c r="CQ293" s="3">
        <f>(CQ164-CP164)*-1</f>
        <v>0</v>
      </c>
      <c r="CR293" s="3">
        <f>(CR164-CQ164)*-1</f>
        <v>0</v>
      </c>
      <c r="CS293" s="3">
        <f>(CS164-CR164)*-1</f>
        <v>0</v>
      </c>
      <c r="CT293" s="3">
        <f>SUM(CP293:CS293)</f>
        <v>0</v>
      </c>
      <c r="CU293" s="3">
        <f>(CU164-CT164)*-1</f>
        <v>0</v>
      </c>
      <c r="CV293" s="3">
        <f>(CV164-CU164)*-1</f>
        <v>0</v>
      </c>
      <c r="CW293" s="3">
        <f>(CW164-CV164)*-1</f>
        <v>0</v>
      </c>
      <c r="CX293" s="3">
        <f>(CX164-CW164)*-1</f>
        <v>0</v>
      </c>
      <c r="CY293" s="3">
        <f>SUM(CU293:CX293)</f>
        <v>0</v>
      </c>
    </row>
    <row r="294" hidden="1" outlineLevel="1">
      <c r="C294" s="29" t="inlineStr">
        <is>
          <t>Other current assets</t>
        </is>
      </c>
      <c r="D294" s="3" t="n"/>
      <c r="E294" s="3" t="e">
        <f>(E165-D165)*-1</f>
        <v>#N/A</v>
      </c>
      <c r="F294" s="3">
        <f>(F165-E165)*-1</f>
        <v>-60.60072673</v>
      </c>
      <c r="G294" s="3">
        <f>(G165-F165)*-1</f>
        <v>67.93312187</v>
      </c>
      <c r="H294" s="3" t="e">
        <f>SUM(D294:G294)</f>
        <v>#N/A</v>
      </c>
      <c r="I294" s="3">
        <f>(I165-H165)*-1</f>
        <v>-77.61528531</v>
      </c>
      <c r="J294" s="3">
        <f>(J165-I165)*-1</f>
        <v>-25.27021223</v>
      </c>
      <c r="K294" s="3">
        <f>(K165-J165)*-1</f>
        <v>-77.2468976</v>
      </c>
      <c r="L294" s="3">
        <f>(L165-K165)*-1</f>
        <v>130.764</v>
      </c>
      <c r="M294" s="3">
        <f>SUM(I294:L294)</f>
        <v>-49.36839514</v>
      </c>
      <c r="N294" s="3">
        <f>(N165-M165)*-1</f>
        <v>-54.864</v>
      </c>
      <c r="O294" s="3">
        <f>(O165-N165)*-1</f>
        <v>15.994</v>
      </c>
      <c r="P294" s="3">
        <f>(P165-O165)*-1</f>
        <v>-29.56</v>
      </c>
      <c r="Q294" s="3">
        <f>(Q165-P165)*-1</f>
        <v>-322.551</v>
      </c>
      <c r="R294" s="3">
        <f>SUM(N294:Q294)</f>
        <v>-390.981</v>
      </c>
      <c r="S294" s="3">
        <f>(S165-R165)*-1</f>
        <v>-57.828</v>
      </c>
      <c r="T294" s="3">
        <f>(T165-S165)*-1</f>
        <v>83.744</v>
      </c>
      <c r="U294" s="3">
        <f>(U165-T165)*-1</f>
        <v>63.3249999999999</v>
      </c>
      <c r="V294" s="3">
        <f>(V165-U165)*-1</f>
        <v>-154.366</v>
      </c>
      <c r="W294" s="3">
        <f>SUM(S294:V294)</f>
        <v>-65.125</v>
      </c>
      <c r="X294" s="3">
        <f>(X165-W165)*-1</f>
        <v>-84.068</v>
      </c>
      <c r="Y294" s="3">
        <f>(Y165-X165)*-1</f>
        <v>-93.5220000000001</v>
      </c>
      <c r="Z294" s="3">
        <f>(Z165-Y165)*-1</f>
        <v>-47.766</v>
      </c>
      <c r="AA294" s="3">
        <f>(AA165-Z165)*-1</f>
        <v>-97.1890000000001</v>
      </c>
      <c r="AB294" s="3">
        <f>SUM(X294:AA294)</f>
        <v>-322.545</v>
      </c>
      <c r="AC294" s="3">
        <f>(AC165-AB165)*-1</f>
        <v>-138.516</v>
      </c>
      <c r="AD294" s="3">
        <f>(AD165-AC165)*-1</f>
        <v>-49.8859999999999</v>
      </c>
      <c r="AE294" s="3">
        <f>(AE165-AD165)*-1</f>
        <v>-463.726</v>
      </c>
      <c r="AF294" s="3">
        <f>(AF165-AE165)*-1</f>
        <v>-190.094</v>
      </c>
      <c r="AG294" s="3">
        <f>SUM(AC294:AF294)</f>
        <v>-842.222</v>
      </c>
      <c r="AH294" s="3">
        <f>(AH165-AG165)*-1</f>
        <v>-33.0530000000001</v>
      </c>
      <c r="AI294" s="3">
        <f>(AI165-AH165)*-1</f>
        <v>-15.0189999999998</v>
      </c>
      <c r="AJ294" s="3">
        <f>(AJ165-AI165)*-1</f>
        <v>0</v>
      </c>
      <c r="AK294" s="3">
        <f>(AK165-AJ165)*-1</f>
        <v>0</v>
      </c>
      <c r="AL294" s="3">
        <f>SUM(AH294:AK294)</f>
        <v>-48.0719999999999</v>
      </c>
      <c r="AM294" s="3">
        <f>(AM165-AL165)*-1</f>
        <v>0</v>
      </c>
      <c r="AN294" s="3">
        <f>(AN165-AM165)*-1</f>
        <v>0</v>
      </c>
      <c r="AO294" s="3">
        <f>(AO165-AN165)*-1</f>
        <v>0</v>
      </c>
      <c r="AP294" s="3">
        <f>(AP165-AO165)*-1</f>
        <v>0</v>
      </c>
      <c r="AQ294" s="3">
        <f>SUM(AM294:AP294)</f>
        <v>0</v>
      </c>
      <c r="AR294" s="3">
        <f>(AR165-AQ165)*-1</f>
        <v>0</v>
      </c>
      <c r="AS294" s="3">
        <f>(AS165-AR165)*-1</f>
        <v>0</v>
      </c>
      <c r="AT294" s="3">
        <f>(AT165-AS165)*-1</f>
        <v>0</v>
      </c>
      <c r="AU294" s="3">
        <f>(AU165-AT165)*-1</f>
        <v>0</v>
      </c>
      <c r="AV294" s="3">
        <f>SUM(AR294:AU294)</f>
        <v>0</v>
      </c>
      <c r="AW294" s="3">
        <f>(AW165-AV165)*-1</f>
        <v>0</v>
      </c>
      <c r="AX294" s="3">
        <f>(AX165-AW165)*-1</f>
        <v>0</v>
      </c>
      <c r="AY294" s="3">
        <f>(AY165-AX165)*-1</f>
        <v>0</v>
      </c>
      <c r="AZ294" s="3">
        <f>(AZ165-AY165)*-1</f>
        <v>0</v>
      </c>
      <c r="BA294" s="3">
        <f>SUM(AW294:AZ294)</f>
        <v>0</v>
      </c>
      <c r="BB294" s="3">
        <f>(BB165-BA165)*-1</f>
        <v>0</v>
      </c>
      <c r="BC294" s="3">
        <f>(BC165-BB165)*-1</f>
        <v>0</v>
      </c>
      <c r="BD294" s="3">
        <f>(BD165-BC165)*-1</f>
        <v>0</v>
      </c>
      <c r="BE294" s="3">
        <f>(BE165-BD165)*-1</f>
        <v>0</v>
      </c>
      <c r="BF294" s="3">
        <f>SUM(BB294:BE294)</f>
        <v>0</v>
      </c>
      <c r="BG294" s="3">
        <f>(BG165-BF165)*-1</f>
        <v>0</v>
      </c>
      <c r="BH294" s="3">
        <f>(BH165-BG165)*-1</f>
        <v>0</v>
      </c>
      <c r="BI294" s="3">
        <f>(BI165-BH165)*-1</f>
        <v>0</v>
      </c>
      <c r="BJ294" s="3">
        <f>(BJ165-BI165)*-1</f>
        <v>0</v>
      </c>
      <c r="BK294" s="3">
        <f>SUM(BG294:BJ294)</f>
        <v>0</v>
      </c>
      <c r="BL294" s="3">
        <f>(BL165-BK165)*-1</f>
        <v>0</v>
      </c>
      <c r="BM294" s="3">
        <f>(BM165-BL165)*-1</f>
        <v>0</v>
      </c>
      <c r="BN294" s="3">
        <f>(BN165-BM165)*-1</f>
        <v>0</v>
      </c>
      <c r="BO294" s="3">
        <f>(BO165-BN165)*-1</f>
        <v>0</v>
      </c>
      <c r="BP294" s="3">
        <f>SUM(BL294:BO294)</f>
        <v>0</v>
      </c>
      <c r="BQ294" s="3">
        <f>(BQ165-BP165)*-1</f>
        <v>0</v>
      </c>
      <c r="BR294" s="3">
        <f>(BR165-BQ165)*-1</f>
        <v>0</v>
      </c>
      <c r="BS294" s="3">
        <f>(BS165-BR165)*-1</f>
        <v>0</v>
      </c>
      <c r="BT294" s="3">
        <f>(BT165-BS165)*-1</f>
        <v>0</v>
      </c>
      <c r="BU294" s="3">
        <f>SUM(BQ294:BT294)</f>
        <v>0</v>
      </c>
      <c r="BV294" s="3">
        <f>(BV165-BU165)*-1</f>
        <v>0</v>
      </c>
      <c r="BW294" s="3">
        <f>(BW165-BV165)*-1</f>
        <v>0</v>
      </c>
      <c r="BX294" s="3">
        <f>(BX165-BW165)*-1</f>
        <v>0</v>
      </c>
      <c r="BY294" s="3">
        <f>(BY165-BX165)*-1</f>
        <v>0</v>
      </c>
      <c r="BZ294" s="3">
        <f>SUM(BV294:BY294)</f>
        <v>0</v>
      </c>
      <c r="CA294" s="3">
        <f>(CA165-BZ165)*-1</f>
        <v>0</v>
      </c>
      <c r="CB294" s="3">
        <f>(CB165-CA165)*-1</f>
        <v>0</v>
      </c>
      <c r="CC294" s="3">
        <f>(CC165-CB165)*-1</f>
        <v>0</v>
      </c>
      <c r="CD294" s="3">
        <f>(CD165-CC165)*-1</f>
        <v>0</v>
      </c>
      <c r="CE294" s="3">
        <f>SUM(CA294:CD294)</f>
        <v>0</v>
      </c>
      <c r="CF294" s="3">
        <f>(CF165-CE165)*-1</f>
        <v>0</v>
      </c>
      <c r="CG294" s="3">
        <f>(CG165-CF165)*-1</f>
        <v>0</v>
      </c>
      <c r="CH294" s="3">
        <f>(CH165-CG165)*-1</f>
        <v>0</v>
      </c>
      <c r="CI294" s="3">
        <f>(CI165-CH165)*-1</f>
        <v>0</v>
      </c>
      <c r="CJ294" s="3">
        <f>SUM(CF294:CI294)</f>
        <v>0</v>
      </c>
      <c r="CK294" s="3">
        <f>(CK165-CJ165)*-1</f>
        <v>0</v>
      </c>
      <c r="CL294" s="3">
        <f>(CL165-CK165)*-1</f>
        <v>0</v>
      </c>
      <c r="CM294" s="3">
        <f>(CM165-CL165)*-1</f>
        <v>0</v>
      </c>
      <c r="CN294" s="3">
        <f>(CN165-CM165)*-1</f>
        <v>0</v>
      </c>
      <c r="CO294" s="3">
        <f>SUM(CK294:CN294)</f>
        <v>0</v>
      </c>
      <c r="CP294" s="3">
        <f>(CP165-CO165)*-1</f>
        <v>0</v>
      </c>
      <c r="CQ294" s="3">
        <f>(CQ165-CP165)*-1</f>
        <v>0</v>
      </c>
      <c r="CR294" s="3">
        <f>(CR165-CQ165)*-1</f>
        <v>0</v>
      </c>
      <c r="CS294" s="3">
        <f>(CS165-CR165)*-1</f>
        <v>0</v>
      </c>
      <c r="CT294" s="3">
        <f>SUM(CP294:CS294)</f>
        <v>0</v>
      </c>
      <c r="CU294" s="3">
        <f>(CU165-CT165)*-1</f>
        <v>0</v>
      </c>
      <c r="CV294" s="3">
        <f>(CV165-CU165)*-1</f>
        <v>0</v>
      </c>
      <c r="CW294" s="3">
        <f>(CW165-CV165)*-1</f>
        <v>0</v>
      </c>
      <c r="CX294" s="3">
        <f>(CX165-CW165)*-1</f>
        <v>0</v>
      </c>
      <c r="CY294" s="3">
        <f>SUM(CU294:CX294)</f>
        <v>0</v>
      </c>
    </row>
    <row r="295" hidden="1" outlineLevel="1">
      <c r="C295" s="29" t="inlineStr">
        <is>
          <t>Accounts payable</t>
        </is>
      </c>
      <c r="D295" s="3" t="n"/>
      <c r="E295" s="3" t="e">
        <f>E208-D208</f>
        <v>#N/A</v>
      </c>
      <c r="F295" s="3">
        <f>F208-E208</f>
        <v>253.32358199</v>
      </c>
      <c r="G295" s="3">
        <f>G208-F208</f>
        <v>-2.80088238999986</v>
      </c>
      <c r="H295" s="3" t="e">
        <f>SUM(D295:G295)</f>
        <v>#N/A</v>
      </c>
      <c r="I295" s="3">
        <f>I208-H208</f>
        <v>-226.62481264</v>
      </c>
      <c r="J295" s="3">
        <f>J208-I208</f>
        <v>323.81002485</v>
      </c>
      <c r="K295" s="3">
        <f>K208-J208</f>
        <v>0.813088190000144</v>
      </c>
      <c r="L295" s="3">
        <f>L208-K208</f>
        <v>13.982</v>
      </c>
      <c r="M295" s="3">
        <f>SUM(I295:L295)</f>
        <v>111.9803004</v>
      </c>
      <c r="N295" s="3">
        <f>N208-M208</f>
        <v>203.512</v>
      </c>
      <c r="O295" s="3">
        <f>O208-N208</f>
        <v>357.099</v>
      </c>
      <c r="P295" s="3">
        <f>P208-O208</f>
        <v>-181.053</v>
      </c>
      <c r="Q295" s="3">
        <f>Q208-P208</f>
        <v>572.431</v>
      </c>
      <c r="R295" s="3">
        <f>SUM(N295:Q295)</f>
        <v>951.989</v>
      </c>
      <c r="S295" s="3">
        <f>S208-R208</f>
        <v>189.674</v>
      </c>
      <c r="T295" s="3">
        <f>T208-S208</f>
        <v>-14.511</v>
      </c>
      <c r="U295" s="3">
        <f>U208-T208</f>
        <v>124.339</v>
      </c>
      <c r="V295" s="3">
        <f>V208-U208</f>
        <v>731.13</v>
      </c>
      <c r="W295" s="3">
        <f>SUM(S295:V295)</f>
        <v>1030.632</v>
      </c>
      <c r="X295" s="3">
        <f>X208-W208</f>
        <v>-415.823</v>
      </c>
      <c r="Y295" s="3">
        <f>Y208-X208</f>
        <v>164.52</v>
      </c>
      <c r="Z295" s="3">
        <f>Z208-Y208</f>
        <v>171.018</v>
      </c>
      <c r="AA295" s="3">
        <f>AA208-Z208</f>
        <v>119.648</v>
      </c>
      <c r="AB295" s="3">
        <f>SUM(X295:AA295)</f>
        <v>39.3629999999998</v>
      </c>
      <c r="AC295" s="3">
        <f>AC208-AB208</f>
        <v>676.608</v>
      </c>
      <c r="AD295" s="3">
        <f>AD208-AC208</f>
        <v>-397.4</v>
      </c>
      <c r="AE295" s="3">
        <f>AE208-AD208</f>
        <v>775.37</v>
      </c>
      <c r="AF295" s="3">
        <f>AF208-AE208</f>
        <v>336.726000000001</v>
      </c>
      <c r="AG295" s="3">
        <f>SUM(AC295:AF295)</f>
        <v>1391.304</v>
      </c>
      <c r="AH295" s="3">
        <f>AH208-AG208</f>
        <v>164.915</v>
      </c>
      <c r="AI295" s="3">
        <f>AI208-AH208</f>
        <v>155.768</v>
      </c>
      <c r="AJ295" s="3">
        <f>AJ208-AI208</f>
        <v>-4790.556</v>
      </c>
      <c r="AK295" s="3">
        <f>AK208-AJ208</f>
        <v>0</v>
      </c>
      <c r="AL295" s="3">
        <f>SUM(AH295:AK295)</f>
        <v>-4469.873</v>
      </c>
      <c r="AM295" s="3">
        <f>AM208-AL208</f>
        <v>0</v>
      </c>
      <c r="AN295" s="3">
        <f>AN208-AM208</f>
        <v>0</v>
      </c>
      <c r="AO295" s="3">
        <f>AO208-AN208</f>
        <v>0</v>
      </c>
      <c r="AP295" s="3">
        <f>AP208-AO208</f>
        <v>0</v>
      </c>
      <c r="AQ295" s="3">
        <f>SUM(AM295:AP295)</f>
        <v>0</v>
      </c>
      <c r="AR295" s="3">
        <f>AR208-AQ208</f>
        <v>0</v>
      </c>
      <c r="AS295" s="3">
        <f>AS208-AR208</f>
        <v>0</v>
      </c>
      <c r="AT295" s="3">
        <f>AT208-AS208</f>
        <v>0</v>
      </c>
      <c r="AU295" s="3">
        <f>AU208-AT208</f>
        <v>0</v>
      </c>
      <c r="AV295" s="3">
        <f>SUM(AR295:AU295)</f>
        <v>0</v>
      </c>
      <c r="AW295" s="3">
        <f>AW208-AV208</f>
        <v>0</v>
      </c>
      <c r="AX295" s="3">
        <f>AX208-AW208</f>
        <v>0</v>
      </c>
      <c r="AY295" s="3">
        <f>AY208-AX208</f>
        <v>0</v>
      </c>
      <c r="AZ295" s="3">
        <f>AZ208-AY208</f>
        <v>0</v>
      </c>
      <c r="BA295" s="3">
        <f>SUM(AW295:AZ295)</f>
        <v>0</v>
      </c>
      <c r="BB295" s="3">
        <f>BB208-BA208</f>
        <v>0</v>
      </c>
      <c r="BC295" s="3">
        <f>BC208-BB208</f>
        <v>0</v>
      </c>
      <c r="BD295" s="3">
        <f>BD208-BC208</f>
        <v>0</v>
      </c>
      <c r="BE295" s="3">
        <f>BE208-BD208</f>
        <v>0</v>
      </c>
      <c r="BF295" s="3">
        <f>SUM(BB295:BE295)</f>
        <v>0</v>
      </c>
      <c r="BG295" s="3">
        <f>BG208-BF208</f>
        <v>0</v>
      </c>
      <c r="BH295" s="3">
        <f>BH208-BG208</f>
        <v>0</v>
      </c>
      <c r="BI295" s="3">
        <f>BI208-BH208</f>
        <v>0</v>
      </c>
      <c r="BJ295" s="3">
        <f>BJ208-BI208</f>
        <v>0</v>
      </c>
      <c r="BK295" s="3">
        <f>SUM(BG295:BJ295)</f>
        <v>0</v>
      </c>
      <c r="BL295" s="3">
        <f>BL208-BK208</f>
        <v>0</v>
      </c>
      <c r="BM295" s="3">
        <f>BM208-BL208</f>
        <v>0</v>
      </c>
      <c r="BN295" s="3">
        <f>BN208-BM208</f>
        <v>0</v>
      </c>
      <c r="BO295" s="3">
        <f>BO208-BN208</f>
        <v>0</v>
      </c>
      <c r="BP295" s="3">
        <f>SUM(BL295:BO295)</f>
        <v>0</v>
      </c>
      <c r="BQ295" s="3">
        <f>BQ208-BP208</f>
        <v>0</v>
      </c>
      <c r="BR295" s="3">
        <f>BR208-BQ208</f>
        <v>0</v>
      </c>
      <c r="BS295" s="3">
        <f>BS208-BR208</f>
        <v>0</v>
      </c>
      <c r="BT295" s="3">
        <f>BT208-BS208</f>
        <v>0</v>
      </c>
      <c r="BU295" s="3">
        <f>SUM(BQ295:BT295)</f>
        <v>0</v>
      </c>
      <c r="BV295" s="3">
        <f>BV208-BU208</f>
        <v>0</v>
      </c>
      <c r="BW295" s="3">
        <f>BW208-BV208</f>
        <v>0</v>
      </c>
      <c r="BX295" s="3">
        <f>BX208-BW208</f>
        <v>0</v>
      </c>
      <c r="BY295" s="3">
        <f>BY208-BX208</f>
        <v>0</v>
      </c>
      <c r="BZ295" s="3">
        <f>SUM(BV295:BY295)</f>
        <v>0</v>
      </c>
      <c r="CA295" s="3">
        <f>CA208-BZ208</f>
        <v>0</v>
      </c>
      <c r="CB295" s="3">
        <f>CB208-CA208</f>
        <v>0</v>
      </c>
      <c r="CC295" s="3">
        <f>CC208-CB208</f>
        <v>0</v>
      </c>
      <c r="CD295" s="3">
        <f>CD208-CC208</f>
        <v>0</v>
      </c>
      <c r="CE295" s="3">
        <f>SUM(CA295:CD295)</f>
        <v>0</v>
      </c>
      <c r="CF295" s="3">
        <f>CF208-CE208</f>
        <v>0</v>
      </c>
      <c r="CG295" s="3">
        <f>CG208-CF208</f>
        <v>0</v>
      </c>
      <c r="CH295" s="3">
        <f>CH208-CG208</f>
        <v>0</v>
      </c>
      <c r="CI295" s="3">
        <f>CI208-CH208</f>
        <v>0</v>
      </c>
      <c r="CJ295" s="3">
        <f>SUM(CF295:CI295)</f>
        <v>0</v>
      </c>
      <c r="CK295" s="3">
        <f>CK208-CJ208</f>
        <v>0</v>
      </c>
      <c r="CL295" s="3">
        <f>CL208-CK208</f>
        <v>0</v>
      </c>
      <c r="CM295" s="3">
        <f>CM208-CL208</f>
        <v>0</v>
      </c>
      <c r="CN295" s="3">
        <f>CN208-CM208</f>
        <v>0</v>
      </c>
      <c r="CO295" s="3">
        <f>SUM(CK295:CN295)</f>
        <v>0</v>
      </c>
      <c r="CP295" s="3">
        <f>CP208-CO208</f>
        <v>0</v>
      </c>
      <c r="CQ295" s="3">
        <f>CQ208-CP208</f>
        <v>0</v>
      </c>
      <c r="CR295" s="3">
        <f>CR208-CQ208</f>
        <v>0</v>
      </c>
      <c r="CS295" s="3">
        <f>CS208-CR208</f>
        <v>0</v>
      </c>
      <c r="CT295" s="3">
        <f>SUM(CP295:CS295)</f>
        <v>0</v>
      </c>
      <c r="CU295" s="3">
        <f>CU208-CT208</f>
        <v>0</v>
      </c>
      <c r="CV295" s="3">
        <f>CV208-CU208</f>
        <v>0</v>
      </c>
      <c r="CW295" s="3">
        <f>CW208-CV208</f>
        <v>0</v>
      </c>
      <c r="CX295" s="3">
        <f>CX208-CW208</f>
        <v>0</v>
      </c>
      <c r="CY295" s="3">
        <f>SUM(CU295:CX295)</f>
        <v>0</v>
      </c>
    </row>
    <row r="296" hidden="1" outlineLevel="1">
      <c r="C296" s="29" t="inlineStr">
        <is>
          <t>Accrued expenses</t>
        </is>
      </c>
      <c r="D296" s="3" t="n"/>
      <c r="E296" s="3" t="e">
        <f>E212-D212</f>
        <v>#N/A</v>
      </c>
      <c r="F296" s="3">
        <f>F212-E212</f>
        <v>18.23938567</v>
      </c>
      <c r="G296" s="3">
        <f>G212-F212</f>
        <v>-40.1519255</v>
      </c>
      <c r="H296" s="3" t="e">
        <f>SUM(D296:G296)</f>
        <v>#N/A</v>
      </c>
      <c r="I296" s="3">
        <f>I212-H212</f>
        <v>20.95558613</v>
      </c>
      <c r="J296" s="3">
        <f>J212-I212</f>
        <v>37.86511332</v>
      </c>
      <c r="K296" s="3">
        <f>K212-J212</f>
        <v>34.28984038</v>
      </c>
      <c r="L296" s="3">
        <f>L212-K212</f>
        <v>-47.233</v>
      </c>
      <c r="M296" s="3">
        <f>SUM(I296:L296)</f>
        <v>45.87753983</v>
      </c>
      <c r="N296" s="3">
        <f>N212-M212</f>
        <v>13.129</v>
      </c>
      <c r="O296" s="3">
        <f>O212-N212</f>
        <v>29.881</v>
      </c>
      <c r="P296" s="3">
        <f>P212-O212</f>
        <v>60.891</v>
      </c>
      <c r="Q296" s="3">
        <f>Q212-P212</f>
        <v>-27.274</v>
      </c>
      <c r="R296" s="3">
        <f>SUM(N296:Q296)</f>
        <v>76.627</v>
      </c>
      <c r="S296" s="3">
        <f>S212-R212</f>
        <v>7.78499999999997</v>
      </c>
      <c r="T296" s="3">
        <f>T212-S212</f>
        <v>47.9860000000001</v>
      </c>
      <c r="U296" s="3">
        <f>U212-T212</f>
        <v>53.677</v>
      </c>
      <c r="V296" s="3">
        <f>V212-U212</f>
        <v>-16.5</v>
      </c>
      <c r="W296" s="3">
        <f>SUM(S296:V296)</f>
        <v>92.948</v>
      </c>
      <c r="X296" s="3">
        <f>X212-W212</f>
        <v>35.65</v>
      </c>
      <c r="Y296" s="3">
        <f>Y212-X212</f>
        <v>24.704</v>
      </c>
      <c r="Z296" s="3">
        <f>Z212-Y212</f>
        <v>40.119</v>
      </c>
      <c r="AA296" s="3">
        <f>AA212-Z212</f>
        <v>-49.657</v>
      </c>
      <c r="AB296" s="3">
        <f>SUM(X296:AA296)</f>
        <v>50.816</v>
      </c>
      <c r="AC296" s="3">
        <f>AC212-AB212</f>
        <v>37.032</v>
      </c>
      <c r="AD296" s="3">
        <f>AD212-AC212</f>
        <v>-9.596</v>
      </c>
      <c r="AE296" s="3">
        <f>AE212-AD212</f>
        <v>123.514</v>
      </c>
      <c r="AF296" s="3">
        <f>AF212-AE212</f>
        <v>-69.419</v>
      </c>
      <c r="AG296" s="3">
        <f>SUM(AC296:AF296)</f>
        <v>81.531</v>
      </c>
      <c r="AH296" s="3">
        <f>AH212-AG212</f>
        <v>18.841</v>
      </c>
      <c r="AI296" s="3">
        <f>AI212-AH212</f>
        <v>18.0930000000001</v>
      </c>
      <c r="AJ296" s="3">
        <f>AJ212-AI212</f>
        <v>-563.536</v>
      </c>
      <c r="AK296" s="3">
        <f>AK212-AJ212</f>
        <v>0</v>
      </c>
      <c r="AL296" s="3">
        <f>SUM(AH296:AK296)</f>
        <v>-526.602</v>
      </c>
      <c r="AM296" s="3" t="e">
        <f>AM212-AL212</f>
        <v>#DIV/0!</v>
      </c>
      <c r="AN296" s="3" t="e">
        <f>AN212-AM212</f>
        <v>#DIV/0!</v>
      </c>
      <c r="AO296" s="3" t="e">
        <f>AO212-AN212</f>
        <v>#DIV/0!</v>
      </c>
      <c r="AP296" s="3" t="e">
        <f>AP212-AO212</f>
        <v>#DIV/0!</v>
      </c>
      <c r="AQ296" s="3" t="e">
        <f>SUM(AM296:AP296)</f>
        <v>#DIV/0!</v>
      </c>
      <c r="AR296" s="3" t="e">
        <f>AR212-AQ212</f>
        <v>#DIV/0!</v>
      </c>
      <c r="AS296" s="3" t="e">
        <f>AS212-AR212</f>
        <v>#DIV/0!</v>
      </c>
      <c r="AT296" s="3" t="e">
        <f>AT212-AS212</f>
        <v>#DIV/0!</v>
      </c>
      <c r="AU296" s="3" t="e">
        <f>AU212-AT212</f>
        <v>#DIV/0!</v>
      </c>
      <c r="AV296" s="3" t="e">
        <f>SUM(AR296:AU296)</f>
        <v>#DIV/0!</v>
      </c>
      <c r="AW296" s="3" t="e">
        <f>AW212-AV212</f>
        <v>#DIV/0!</v>
      </c>
      <c r="AX296" s="3" t="e">
        <f>AX212-AW212</f>
        <v>#DIV/0!</v>
      </c>
      <c r="AY296" s="3" t="e">
        <f>AY212-AX212</f>
        <v>#DIV/0!</v>
      </c>
      <c r="AZ296" s="3" t="e">
        <f>AZ212-AY212</f>
        <v>#DIV/0!</v>
      </c>
      <c r="BA296" s="3" t="e">
        <f>SUM(AW296:AZ296)</f>
        <v>#DIV/0!</v>
      </c>
      <c r="BB296" s="3" t="e">
        <f>BB212-BA212</f>
        <v>#DIV/0!</v>
      </c>
      <c r="BC296" s="3" t="e">
        <f>BC212-BB212</f>
        <v>#DIV/0!</v>
      </c>
      <c r="BD296" s="3" t="e">
        <f>BD212-BC212</f>
        <v>#DIV/0!</v>
      </c>
      <c r="BE296" s="3" t="e">
        <f>BE212-BD212</f>
        <v>#DIV/0!</v>
      </c>
      <c r="BF296" s="3" t="e">
        <f>SUM(BB296:BE296)</f>
        <v>#DIV/0!</v>
      </c>
      <c r="BG296" s="3" t="e">
        <f>BG212-BF212</f>
        <v>#DIV/0!</v>
      </c>
      <c r="BH296" s="3" t="e">
        <f>BH212-BG212</f>
        <v>#DIV/0!</v>
      </c>
      <c r="BI296" s="3" t="e">
        <f>BI212-BH212</f>
        <v>#DIV/0!</v>
      </c>
      <c r="BJ296" s="3" t="e">
        <f>BJ212-BI212</f>
        <v>#DIV/0!</v>
      </c>
      <c r="BK296" s="3" t="e">
        <f>SUM(BG296:BJ296)</f>
        <v>#DIV/0!</v>
      </c>
      <c r="BL296" s="3" t="e">
        <f>BL212-BK212</f>
        <v>#DIV/0!</v>
      </c>
      <c r="BM296" s="3" t="e">
        <f>BM212-BL212</f>
        <v>#DIV/0!</v>
      </c>
      <c r="BN296" s="3" t="e">
        <f>BN212-BM212</f>
        <v>#DIV/0!</v>
      </c>
      <c r="BO296" s="3" t="e">
        <f>BO212-BN212</f>
        <v>#DIV/0!</v>
      </c>
      <c r="BP296" s="3" t="e">
        <f>SUM(BL296:BO296)</f>
        <v>#DIV/0!</v>
      </c>
      <c r="BQ296" s="3" t="e">
        <f>BQ212-BP212</f>
        <v>#DIV/0!</v>
      </c>
      <c r="BR296" s="3" t="e">
        <f>BR212-BQ212</f>
        <v>#DIV/0!</v>
      </c>
      <c r="BS296" s="3" t="e">
        <f>BS212-BR212</f>
        <v>#DIV/0!</v>
      </c>
      <c r="BT296" s="3" t="e">
        <f>BT212-BS212</f>
        <v>#DIV/0!</v>
      </c>
      <c r="BU296" s="3" t="e">
        <f>SUM(BQ296:BT296)</f>
        <v>#DIV/0!</v>
      </c>
      <c r="BV296" s="3" t="e">
        <f>BV212-BU212</f>
        <v>#DIV/0!</v>
      </c>
      <c r="BW296" s="3" t="e">
        <f>BW212-BV212</f>
        <v>#DIV/0!</v>
      </c>
      <c r="BX296" s="3" t="e">
        <f>BX212-BW212</f>
        <v>#DIV/0!</v>
      </c>
      <c r="BY296" s="3" t="e">
        <f>BY212-BX212</f>
        <v>#DIV/0!</v>
      </c>
      <c r="BZ296" s="3" t="e">
        <f>SUM(BV296:BY296)</f>
        <v>#DIV/0!</v>
      </c>
      <c r="CA296" s="3" t="e">
        <f>CA212-BZ212</f>
        <v>#DIV/0!</v>
      </c>
      <c r="CB296" s="3" t="e">
        <f>CB212-CA212</f>
        <v>#DIV/0!</v>
      </c>
      <c r="CC296" s="3" t="e">
        <f>CC212-CB212</f>
        <v>#DIV/0!</v>
      </c>
      <c r="CD296" s="3" t="e">
        <f>CD212-CC212</f>
        <v>#DIV/0!</v>
      </c>
      <c r="CE296" s="3" t="e">
        <f>SUM(CA296:CD296)</f>
        <v>#DIV/0!</v>
      </c>
      <c r="CF296" s="3" t="e">
        <f>CF212-CE212</f>
        <v>#DIV/0!</v>
      </c>
      <c r="CG296" s="3" t="e">
        <f>CG212-CF212</f>
        <v>#DIV/0!</v>
      </c>
      <c r="CH296" s="3" t="e">
        <f>CH212-CG212</f>
        <v>#DIV/0!</v>
      </c>
      <c r="CI296" s="3" t="e">
        <f>CI212-CH212</f>
        <v>#DIV/0!</v>
      </c>
      <c r="CJ296" s="3" t="e">
        <f>SUM(CF296:CI296)</f>
        <v>#DIV/0!</v>
      </c>
      <c r="CK296" s="3" t="e">
        <f>CK212-CJ212</f>
        <v>#DIV/0!</v>
      </c>
      <c r="CL296" s="3" t="e">
        <f>CL212-CK212</f>
        <v>#DIV/0!</v>
      </c>
      <c r="CM296" s="3" t="e">
        <f>CM212-CL212</f>
        <v>#DIV/0!</v>
      </c>
      <c r="CN296" s="3" t="e">
        <f>CN212-CM212</f>
        <v>#DIV/0!</v>
      </c>
      <c r="CO296" s="3" t="e">
        <f>SUM(CK296:CN296)</f>
        <v>#DIV/0!</v>
      </c>
      <c r="CP296" s="3" t="e">
        <f>CP212-CO212</f>
        <v>#DIV/0!</v>
      </c>
      <c r="CQ296" s="3" t="e">
        <f>CQ212-CP212</f>
        <v>#DIV/0!</v>
      </c>
      <c r="CR296" s="3" t="e">
        <f>CR212-CQ212</f>
        <v>#DIV/0!</v>
      </c>
      <c r="CS296" s="3" t="e">
        <f>CS212-CR212</f>
        <v>#DIV/0!</v>
      </c>
      <c r="CT296" s="3" t="e">
        <f>SUM(CP296:CS296)</f>
        <v>#DIV/0!</v>
      </c>
      <c r="CU296" s="3" t="e">
        <f>CU212-CT212</f>
        <v>#DIV/0!</v>
      </c>
      <c r="CV296" s="3" t="e">
        <f>CV212-CU212</f>
        <v>#DIV/0!</v>
      </c>
      <c r="CW296" s="3" t="e">
        <f>CW212-CV212</f>
        <v>#DIV/0!</v>
      </c>
      <c r="CX296" s="3" t="e">
        <f>CX212-CW212</f>
        <v>#DIV/0!</v>
      </c>
      <c r="CY296" s="3" t="e">
        <f>SUM(CU296:CX296)</f>
        <v>#DIV/0!</v>
      </c>
    </row>
    <row r="297" hidden="1" outlineLevel="1">
      <c r="C297" s="29" t="inlineStr">
        <is>
          <t>Taxes payable</t>
        </is>
      </c>
      <c r="D297" s="3" t="n"/>
      <c r="E297" s="3" t="e">
        <f>E214-D214</f>
        <v>#N/A</v>
      </c>
      <c r="F297" s="3">
        <f>F214-E214</f>
        <v>14.84515819</v>
      </c>
      <c r="G297" s="3">
        <f>G214-F214</f>
        <v>-8.17452094999999</v>
      </c>
      <c r="H297" s="3" t="e">
        <f>SUM(D297:G297)</f>
        <v>#N/A</v>
      </c>
      <c r="I297" s="3">
        <f>I214-H214</f>
        <v>-20.60150535</v>
      </c>
      <c r="J297" s="3">
        <f>J214-I214</f>
        <v>2.05251383</v>
      </c>
      <c r="K297" s="3">
        <f>K214-J214</f>
        <v>17.77435428</v>
      </c>
      <c r="L297" s="3">
        <f>L214-K214</f>
        <v>26.609</v>
      </c>
      <c r="M297" s="3">
        <f>SUM(I297:L297)</f>
        <v>25.83436276</v>
      </c>
      <c r="N297" s="3">
        <f>N214-M214</f>
        <v>-13.174</v>
      </c>
      <c r="O297" s="3">
        <f>O214-N214</f>
        <v>3.861</v>
      </c>
      <c r="P297" s="3">
        <f>P214-O214</f>
        <v>-0.447000000000003</v>
      </c>
      <c r="Q297" s="3">
        <f>Q214-P214</f>
        <v>23.708</v>
      </c>
      <c r="R297" s="3">
        <f>SUM(N297:Q297)</f>
        <v>13.948</v>
      </c>
      <c r="S297" s="3">
        <f>S214-R214</f>
        <v>-16.621</v>
      </c>
      <c r="T297" s="3">
        <f>T214-S214</f>
        <v>50.006</v>
      </c>
      <c r="U297" s="3">
        <f>U214-T214</f>
        <v>-19.426</v>
      </c>
      <c r="V297" s="3">
        <f>V214-U214</f>
        <v>68.362</v>
      </c>
      <c r="W297" s="3">
        <f>SUM(S297:V297)</f>
        <v>82.321</v>
      </c>
      <c r="X297" s="3">
        <f>X214-W214</f>
        <v>75.677</v>
      </c>
      <c r="Y297" s="3">
        <f>Y214-X214</f>
        <v>224.352</v>
      </c>
      <c r="Z297" s="3">
        <f>Z214-Y214</f>
        <v>132.552</v>
      </c>
      <c r="AA297" s="3">
        <f>AA214-Z214</f>
        <v>-222.905</v>
      </c>
      <c r="AB297" s="3">
        <f>SUM(X297:AA297)</f>
        <v>209.676</v>
      </c>
      <c r="AC297" s="3">
        <f>AC214-AB214</f>
        <v>-33.353</v>
      </c>
      <c r="AD297" s="3">
        <f>AD214-AC214</f>
        <v>-48.222</v>
      </c>
      <c r="AE297" s="3">
        <f>AE214-AD214</f>
        <v>15.775</v>
      </c>
      <c r="AF297" s="3">
        <f>AF214-AE214</f>
        <v>2.73699999999997</v>
      </c>
      <c r="AG297" s="3">
        <f>SUM(AC297:AF297)</f>
        <v>-63.063</v>
      </c>
      <c r="AH297" s="3">
        <f>AH214-AG214</f>
        <v>-97.003</v>
      </c>
      <c r="AI297" s="3">
        <f>AI214-AH214</f>
        <v>-55.789</v>
      </c>
      <c r="AJ297" s="3">
        <f>AJ214-AI214</f>
        <v>-218.708</v>
      </c>
      <c r="AK297" s="3">
        <f>AK214-AJ214</f>
        <v>0</v>
      </c>
      <c r="AL297" s="3">
        <f>SUM(AH297:AK297)</f>
        <v>-371.5</v>
      </c>
      <c r="AM297" s="3" t="e">
        <f>AM214-AL214</f>
        <v>#DIV/0!</v>
      </c>
      <c r="AN297" s="3" t="e">
        <f>AN214-AM214</f>
        <v>#DIV/0!</v>
      </c>
      <c r="AO297" s="3" t="e">
        <f>AO214-AN214</f>
        <v>#DIV/0!</v>
      </c>
      <c r="AP297" s="3" t="e">
        <f>AP214-AO214</f>
        <v>#DIV/0!</v>
      </c>
      <c r="AQ297" s="3" t="e">
        <f>SUM(AM297:AP297)</f>
        <v>#DIV/0!</v>
      </c>
      <c r="AR297" s="3" t="e">
        <f>AR214-AQ214</f>
        <v>#DIV/0!</v>
      </c>
      <c r="AS297" s="3" t="e">
        <f>AS214-AR214</f>
        <v>#DIV/0!</v>
      </c>
      <c r="AT297" s="3" t="e">
        <f>AT214-AS214</f>
        <v>#DIV/0!</v>
      </c>
      <c r="AU297" s="3" t="e">
        <f>AU214-AT214</f>
        <v>#DIV/0!</v>
      </c>
      <c r="AV297" s="3" t="e">
        <f>SUM(AR297:AU297)</f>
        <v>#DIV/0!</v>
      </c>
      <c r="AW297" s="3" t="e">
        <f>AW214-AV214</f>
        <v>#DIV/0!</v>
      </c>
      <c r="AX297" s="3" t="e">
        <f>AX214-AW214</f>
        <v>#DIV/0!</v>
      </c>
      <c r="AY297" s="3" t="e">
        <f>AY214-AX214</f>
        <v>#DIV/0!</v>
      </c>
      <c r="AZ297" s="3" t="e">
        <f>AZ214-AY214</f>
        <v>#DIV/0!</v>
      </c>
      <c r="BA297" s="3" t="e">
        <f>SUM(AW297:AZ297)</f>
        <v>#DIV/0!</v>
      </c>
      <c r="BB297" s="3" t="e">
        <f>BB214-BA214</f>
        <v>#DIV/0!</v>
      </c>
      <c r="BC297" s="3" t="e">
        <f>BC214-BB214</f>
        <v>#DIV/0!</v>
      </c>
      <c r="BD297" s="3" t="e">
        <f>BD214-BC214</f>
        <v>#DIV/0!</v>
      </c>
      <c r="BE297" s="3" t="e">
        <f>BE214-BD214</f>
        <v>#DIV/0!</v>
      </c>
      <c r="BF297" s="3" t="e">
        <f>SUM(BB297:BE297)</f>
        <v>#DIV/0!</v>
      </c>
      <c r="BG297" s="3" t="e">
        <f>BG214-BF214</f>
        <v>#DIV/0!</v>
      </c>
      <c r="BH297" s="3" t="e">
        <f>BH214-BG214</f>
        <v>#DIV/0!</v>
      </c>
      <c r="BI297" s="3" t="e">
        <f>BI214-BH214</f>
        <v>#DIV/0!</v>
      </c>
      <c r="BJ297" s="3" t="e">
        <f>BJ214-BI214</f>
        <v>#DIV/0!</v>
      </c>
      <c r="BK297" s="3" t="e">
        <f>SUM(BG297:BJ297)</f>
        <v>#DIV/0!</v>
      </c>
      <c r="BL297" s="3" t="e">
        <f>BL214-BK214</f>
        <v>#DIV/0!</v>
      </c>
      <c r="BM297" s="3" t="e">
        <f>BM214-BL214</f>
        <v>#DIV/0!</v>
      </c>
      <c r="BN297" s="3" t="e">
        <f>BN214-BM214</f>
        <v>#DIV/0!</v>
      </c>
      <c r="BO297" s="3" t="e">
        <f>BO214-BN214</f>
        <v>#DIV/0!</v>
      </c>
      <c r="BP297" s="3" t="e">
        <f>SUM(BL297:BO297)</f>
        <v>#DIV/0!</v>
      </c>
      <c r="BQ297" s="3" t="e">
        <f>BQ214-BP214</f>
        <v>#DIV/0!</v>
      </c>
      <c r="BR297" s="3" t="e">
        <f>BR214-BQ214</f>
        <v>#DIV/0!</v>
      </c>
      <c r="BS297" s="3" t="e">
        <f>BS214-BR214</f>
        <v>#DIV/0!</v>
      </c>
      <c r="BT297" s="3" t="e">
        <f>BT214-BS214</f>
        <v>#DIV/0!</v>
      </c>
      <c r="BU297" s="3" t="e">
        <f>SUM(BQ297:BT297)</f>
        <v>#DIV/0!</v>
      </c>
      <c r="BV297" s="3" t="e">
        <f>BV214-BU214</f>
        <v>#DIV/0!</v>
      </c>
      <c r="BW297" s="3" t="e">
        <f>BW214-BV214</f>
        <v>#DIV/0!</v>
      </c>
      <c r="BX297" s="3" t="e">
        <f>BX214-BW214</f>
        <v>#DIV/0!</v>
      </c>
      <c r="BY297" s="3" t="e">
        <f>BY214-BX214</f>
        <v>#DIV/0!</v>
      </c>
      <c r="BZ297" s="3" t="e">
        <f>SUM(BV297:BY297)</f>
        <v>#DIV/0!</v>
      </c>
      <c r="CA297" s="3" t="e">
        <f>CA214-BZ214</f>
        <v>#DIV/0!</v>
      </c>
      <c r="CB297" s="3" t="e">
        <f>CB214-CA214</f>
        <v>#DIV/0!</v>
      </c>
      <c r="CC297" s="3" t="e">
        <f>CC214-CB214</f>
        <v>#DIV/0!</v>
      </c>
      <c r="CD297" s="3" t="e">
        <f>CD214-CC214</f>
        <v>#DIV/0!</v>
      </c>
      <c r="CE297" s="3" t="e">
        <f>SUM(CA297:CD297)</f>
        <v>#DIV/0!</v>
      </c>
      <c r="CF297" s="3" t="e">
        <f>CF214-CE214</f>
        <v>#DIV/0!</v>
      </c>
      <c r="CG297" s="3" t="e">
        <f>CG214-CF214</f>
        <v>#DIV/0!</v>
      </c>
      <c r="CH297" s="3" t="e">
        <f>CH214-CG214</f>
        <v>#DIV/0!</v>
      </c>
      <c r="CI297" s="3" t="e">
        <f>CI214-CH214</f>
        <v>#DIV/0!</v>
      </c>
      <c r="CJ297" s="3" t="e">
        <f>SUM(CF297:CI297)</f>
        <v>#DIV/0!</v>
      </c>
      <c r="CK297" s="3" t="e">
        <f>CK214-CJ214</f>
        <v>#DIV/0!</v>
      </c>
      <c r="CL297" s="3" t="e">
        <f>CL214-CK214</f>
        <v>#DIV/0!</v>
      </c>
      <c r="CM297" s="3" t="e">
        <f>CM214-CL214</f>
        <v>#DIV/0!</v>
      </c>
      <c r="CN297" s="3" t="e">
        <f>CN214-CM214</f>
        <v>#DIV/0!</v>
      </c>
      <c r="CO297" s="3" t="e">
        <f>SUM(CK297:CN297)</f>
        <v>#DIV/0!</v>
      </c>
      <c r="CP297" s="3" t="e">
        <f>CP214-CO214</f>
        <v>#DIV/0!</v>
      </c>
      <c r="CQ297" s="3" t="e">
        <f>CQ214-CP214</f>
        <v>#DIV/0!</v>
      </c>
      <c r="CR297" s="3" t="e">
        <f>CR214-CQ214</f>
        <v>#DIV/0!</v>
      </c>
      <c r="CS297" s="3" t="e">
        <f>CS214-CR214</f>
        <v>#DIV/0!</v>
      </c>
      <c r="CT297" s="3" t="e">
        <f>SUM(CP297:CS297)</f>
        <v>#DIV/0!</v>
      </c>
      <c r="CU297" s="3" t="e">
        <f>CU214-CT214</f>
        <v>#DIV/0!</v>
      </c>
      <c r="CV297" s="3" t="e">
        <f>CV214-CU214</f>
        <v>#DIV/0!</v>
      </c>
      <c r="CW297" s="3" t="e">
        <f>CW214-CV214</f>
        <v>#DIV/0!</v>
      </c>
      <c r="CX297" s="3" t="e">
        <f>CX214-CW214</f>
        <v>#DIV/0!</v>
      </c>
      <c r="CY297" s="3" t="e">
        <f>SUM(CU297:CX297)</f>
        <v>#DIV/0!</v>
      </c>
    </row>
    <row r="298" hidden="1" outlineLevel="1">
      <c r="C298" s="29" t="inlineStr">
        <is>
          <t>Other current liabilities (non-debt)</t>
        </is>
      </c>
      <c r="D298" s="3" t="n"/>
      <c r="E298" s="3" t="e">
        <f>E215-D215</f>
        <v>#N/A</v>
      </c>
      <c r="F298" s="3">
        <f>F215-E215</f>
        <v>-51.63865938</v>
      </c>
      <c r="G298" s="3">
        <f>G215-F215</f>
        <v>3.87873098</v>
      </c>
      <c r="H298" s="3" t="e">
        <f>SUM(D298:G298)</f>
        <v>#N/A</v>
      </c>
      <c r="I298" s="3">
        <f>I215-H215</f>
        <v>5.11669222</v>
      </c>
      <c r="J298" s="3">
        <f>J215-I215</f>
        <v>-0.878668939999999</v>
      </c>
      <c r="K298" s="3">
        <f>K215-J215</f>
        <v>-0.91809488</v>
      </c>
      <c r="L298" s="3">
        <f>L215-K215</f>
        <v>-3.622</v>
      </c>
      <c r="M298" s="3">
        <f>SUM(I298:L298)</f>
        <v>-0.3020716</v>
      </c>
      <c r="N298" s="3">
        <f>N215-M215</f>
        <v>3.551</v>
      </c>
      <c r="O298" s="3">
        <f>O215-N215</f>
        <v>94.058</v>
      </c>
      <c r="P298" s="3">
        <f>P215-O215</f>
        <v>-47.79</v>
      </c>
      <c r="Q298" s="3">
        <f>Q215-P215</f>
        <v>-28.51</v>
      </c>
      <c r="R298" s="3">
        <f>SUM(N298:Q298)</f>
        <v>21.309</v>
      </c>
      <c r="S298" s="3">
        <f>S215-R215</f>
        <v>-4.715</v>
      </c>
      <c r="T298" s="3">
        <f>T215-S215</f>
        <v>33.826</v>
      </c>
      <c r="U298" s="3">
        <f>U215-T215</f>
        <v>10.362</v>
      </c>
      <c r="V298" s="3">
        <f>V215-U215</f>
        <v>9.087</v>
      </c>
      <c r="W298" s="3">
        <f>SUM(S298:V298)</f>
        <v>48.56</v>
      </c>
      <c r="X298" s="3">
        <f>X215-W215</f>
        <v>102.189</v>
      </c>
      <c r="Y298" s="3">
        <f>Y215-X215</f>
        <v>160.184</v>
      </c>
      <c r="Z298" s="3">
        <f>Z215-Y215</f>
        <v>120.208</v>
      </c>
      <c r="AA298" s="3">
        <f>AA215-Z215</f>
        <v>-244.338</v>
      </c>
      <c r="AB298" s="3">
        <f>SUM(X298:AA298)</f>
        <v>138.243</v>
      </c>
      <c r="AC298" s="3">
        <f>AC215-AB215</f>
        <v>16.594</v>
      </c>
      <c r="AD298" s="3">
        <f>AD215-AC215</f>
        <v>158.953</v>
      </c>
      <c r="AE298" s="3">
        <f>AE215-AD215</f>
        <v>117.36</v>
      </c>
      <c r="AF298" s="3">
        <f>AF215-AE215</f>
        <v>-5.32100000000003</v>
      </c>
      <c r="AG298" s="3">
        <f>SUM(AC298:AF298)</f>
        <v>287.586</v>
      </c>
      <c r="AH298" s="3">
        <f>AH215-AG215</f>
        <v>-190.162</v>
      </c>
      <c r="AI298" s="3">
        <f>AI215-AH215</f>
        <v>-150.998</v>
      </c>
      <c r="AJ298" s="3">
        <f>AJ215-AI215</f>
        <v>0</v>
      </c>
      <c r="AK298" s="3">
        <f>AK215-AJ215</f>
        <v>0</v>
      </c>
      <c r="AL298" s="3">
        <f>SUM(AH298:AK298)</f>
        <v>-341.16</v>
      </c>
      <c r="AM298" s="3">
        <f>AM215-AL215</f>
        <v>0</v>
      </c>
      <c r="AN298" s="3">
        <f>AN215-AM215</f>
        <v>0</v>
      </c>
      <c r="AO298" s="3">
        <f>AO215-AN215</f>
        <v>0</v>
      </c>
      <c r="AP298" s="3">
        <f>AP215-AO215</f>
        <v>0</v>
      </c>
      <c r="AQ298" s="3">
        <f>SUM(AM298:AP298)</f>
        <v>0</v>
      </c>
      <c r="AR298" s="3">
        <f>AR215-AQ215</f>
        <v>0</v>
      </c>
      <c r="AS298" s="3">
        <f>AS215-AR215</f>
        <v>0</v>
      </c>
      <c r="AT298" s="3">
        <f>AT215-AS215</f>
        <v>0</v>
      </c>
      <c r="AU298" s="3">
        <f>AU215-AT215</f>
        <v>0</v>
      </c>
      <c r="AV298" s="3">
        <f>SUM(AR298:AU298)</f>
        <v>0</v>
      </c>
      <c r="AW298" s="3">
        <f>AW215-AV215</f>
        <v>0</v>
      </c>
      <c r="AX298" s="3">
        <f>AX215-AW215</f>
        <v>0</v>
      </c>
      <c r="AY298" s="3">
        <f>AY215-AX215</f>
        <v>0</v>
      </c>
      <c r="AZ298" s="3">
        <f>AZ215-AY215</f>
        <v>0</v>
      </c>
      <c r="BA298" s="3">
        <f>SUM(AW298:AZ298)</f>
        <v>0</v>
      </c>
      <c r="BB298" s="3">
        <f>BB215-BA215</f>
        <v>0</v>
      </c>
      <c r="BC298" s="3">
        <f>BC215-BB215</f>
        <v>0</v>
      </c>
      <c r="BD298" s="3">
        <f>BD215-BC215</f>
        <v>0</v>
      </c>
      <c r="BE298" s="3">
        <f>BE215-BD215</f>
        <v>0</v>
      </c>
      <c r="BF298" s="3">
        <f>SUM(BB298:BE298)</f>
        <v>0</v>
      </c>
      <c r="BG298" s="3">
        <f>BG215-BF215</f>
        <v>0</v>
      </c>
      <c r="BH298" s="3">
        <f>BH215-BG215</f>
        <v>0</v>
      </c>
      <c r="BI298" s="3">
        <f>BI215-BH215</f>
        <v>0</v>
      </c>
      <c r="BJ298" s="3">
        <f>BJ215-BI215</f>
        <v>0</v>
      </c>
      <c r="BK298" s="3">
        <f>SUM(BG298:BJ298)</f>
        <v>0</v>
      </c>
      <c r="BL298" s="3">
        <f>BL215-BK215</f>
        <v>0</v>
      </c>
      <c r="BM298" s="3">
        <f>BM215-BL215</f>
        <v>0</v>
      </c>
      <c r="BN298" s="3">
        <f>BN215-BM215</f>
        <v>0</v>
      </c>
      <c r="BO298" s="3">
        <f>BO215-BN215</f>
        <v>0</v>
      </c>
      <c r="BP298" s="3">
        <f>SUM(BL298:BO298)</f>
        <v>0</v>
      </c>
      <c r="BQ298" s="3">
        <f>BQ215-BP215</f>
        <v>0</v>
      </c>
      <c r="BR298" s="3">
        <f>BR215-BQ215</f>
        <v>0</v>
      </c>
      <c r="BS298" s="3">
        <f>BS215-BR215</f>
        <v>0</v>
      </c>
      <c r="BT298" s="3">
        <f>BT215-BS215</f>
        <v>0</v>
      </c>
      <c r="BU298" s="3">
        <f>SUM(BQ298:BT298)</f>
        <v>0</v>
      </c>
      <c r="BV298" s="3">
        <f>BV215-BU215</f>
        <v>0</v>
      </c>
      <c r="BW298" s="3">
        <f>BW215-BV215</f>
        <v>0</v>
      </c>
      <c r="BX298" s="3">
        <f>BX215-BW215</f>
        <v>0</v>
      </c>
      <c r="BY298" s="3">
        <f>BY215-BX215</f>
        <v>0</v>
      </c>
      <c r="BZ298" s="3">
        <f>SUM(BV298:BY298)</f>
        <v>0</v>
      </c>
      <c r="CA298" s="3">
        <f>CA215-BZ215</f>
        <v>0</v>
      </c>
      <c r="CB298" s="3">
        <f>CB215-CA215</f>
        <v>0</v>
      </c>
      <c r="CC298" s="3">
        <f>CC215-CB215</f>
        <v>0</v>
      </c>
      <c r="CD298" s="3">
        <f>CD215-CC215</f>
        <v>0</v>
      </c>
      <c r="CE298" s="3">
        <f>SUM(CA298:CD298)</f>
        <v>0</v>
      </c>
      <c r="CF298" s="3">
        <f>CF215-CE215</f>
        <v>0</v>
      </c>
      <c r="CG298" s="3">
        <f>CG215-CF215</f>
        <v>0</v>
      </c>
      <c r="CH298" s="3">
        <f>CH215-CG215</f>
        <v>0</v>
      </c>
      <c r="CI298" s="3">
        <f>CI215-CH215</f>
        <v>0</v>
      </c>
      <c r="CJ298" s="3">
        <f>SUM(CF298:CI298)</f>
        <v>0</v>
      </c>
      <c r="CK298" s="3">
        <f>CK215-CJ215</f>
        <v>0</v>
      </c>
      <c r="CL298" s="3">
        <f>CL215-CK215</f>
        <v>0</v>
      </c>
      <c r="CM298" s="3">
        <f>CM215-CL215</f>
        <v>0</v>
      </c>
      <c r="CN298" s="3">
        <f>CN215-CM215</f>
        <v>0</v>
      </c>
      <c r="CO298" s="3">
        <f>SUM(CK298:CN298)</f>
        <v>0</v>
      </c>
      <c r="CP298" s="3">
        <f>CP215-CO215</f>
        <v>0</v>
      </c>
      <c r="CQ298" s="3">
        <f>CQ215-CP215</f>
        <v>0</v>
      </c>
      <c r="CR298" s="3">
        <f>CR215-CQ215</f>
        <v>0</v>
      </c>
      <c r="CS298" s="3">
        <f>CS215-CR215</f>
        <v>0</v>
      </c>
      <c r="CT298" s="3">
        <f>SUM(CP298:CS298)</f>
        <v>0</v>
      </c>
      <c r="CU298" s="3">
        <f>CU215-CT215</f>
        <v>0</v>
      </c>
      <c r="CV298" s="3">
        <f>CV215-CU215</f>
        <v>0</v>
      </c>
      <c r="CW298" s="3">
        <f>CW215-CV215</f>
        <v>0</v>
      </c>
      <c r="CX298" s="3">
        <f>CX215-CW215</f>
        <v>0</v>
      </c>
      <c r="CY298" s="3">
        <f>SUM(CU298:CX298)</f>
        <v>0</v>
      </c>
    </row>
    <row r="299" hidden="1" outlineLevel="1">
      <c r="C299" s="29" t="inlineStr">
        <is>
          <t>Deferred income taxes</t>
        </is>
      </c>
      <c r="D299" s="3" t="n"/>
      <c r="E299" s="3" t="e">
        <f>E249-D249</f>
        <v>#N/A</v>
      </c>
      <c r="F299" s="3">
        <f>F249-E249</f>
        <v>0</v>
      </c>
      <c r="G299" s="3">
        <f>G249-F249</f>
        <v>0</v>
      </c>
      <c r="H299" s="3" t="e">
        <f>SUM(D299:G299)</f>
        <v>#N/A</v>
      </c>
      <c r="I299" s="3">
        <f>I249-H249</f>
        <v>0</v>
      </c>
      <c r="J299" s="3">
        <f>J249-I249</f>
        <v>0</v>
      </c>
      <c r="K299" s="3">
        <f>K249-J249</f>
        <v>0</v>
      </c>
      <c r="L299" s="3">
        <f>L249-K249</f>
        <v>0</v>
      </c>
      <c r="M299" s="3">
        <f>SUM(I299:L299)</f>
        <v>0</v>
      </c>
      <c r="N299" s="3">
        <f>N249-M249</f>
        <v>0</v>
      </c>
      <c r="O299" s="3">
        <f>O249-N249</f>
        <v>0</v>
      </c>
      <c r="P299" s="3">
        <f>P249-O249</f>
        <v>0</v>
      </c>
      <c r="Q299" s="3">
        <f>Q249-P249</f>
        <v>0</v>
      </c>
      <c r="R299" s="3">
        <f>SUM(N299:Q299)</f>
        <v>0</v>
      </c>
      <c r="S299" s="3">
        <f>S249-R249</f>
        <v>0</v>
      </c>
      <c r="T299" s="3">
        <f>T249-S249</f>
        <v>0</v>
      </c>
      <c r="U299" s="3">
        <f>U249-T249</f>
        <v>0</v>
      </c>
      <c r="V299" s="3">
        <f>V249-U249</f>
        <v>0</v>
      </c>
      <c r="W299" s="3">
        <f>SUM(S299:V299)</f>
        <v>0</v>
      </c>
      <c r="X299" s="3">
        <f>X249-W249</f>
        <v>0</v>
      </c>
      <c r="Y299" s="3">
        <f>Y249-X249</f>
        <v>0</v>
      </c>
      <c r="Z299" s="3">
        <f>Z249-Y249</f>
        <v>0</v>
      </c>
      <c r="AA299" s="3">
        <f>AA249-Z249</f>
        <v>0</v>
      </c>
      <c r="AB299" s="3">
        <f>SUM(X299:AA299)</f>
        <v>0</v>
      </c>
      <c r="AC299" s="3">
        <f>AC249-AB249</f>
        <v>0</v>
      </c>
      <c r="AD299" s="3">
        <f>AD249-AC249</f>
        <v>0</v>
      </c>
      <c r="AE299" s="3">
        <f>AE249-AD249</f>
        <v>26.377</v>
      </c>
      <c r="AF299" s="3">
        <f>AF249-AE249</f>
        <v>-26.377</v>
      </c>
      <c r="AG299" s="3">
        <f>SUM(AC299:AF299)</f>
        <v>0</v>
      </c>
      <c r="AH299" s="3">
        <f>AH249-AG249</f>
        <v>0</v>
      </c>
      <c r="AI299" s="3">
        <f>AI249-AH249</f>
        <v>0</v>
      </c>
      <c r="AJ299" s="3">
        <f>AJ249-AI249</f>
        <v>0</v>
      </c>
      <c r="AK299" s="3">
        <f>AK249-AJ249</f>
        <v>0</v>
      </c>
      <c r="AL299" s="3">
        <f>SUM(AH299:AK299)</f>
        <v>0</v>
      </c>
      <c r="AM299" s="3">
        <f>AM249-AL249</f>
        <v>0</v>
      </c>
      <c r="AN299" s="3">
        <f>AN249-AM249</f>
        <v>0</v>
      </c>
      <c r="AO299" s="3">
        <f>AO249-AN249</f>
        <v>0</v>
      </c>
      <c r="AP299" s="3">
        <f>AP249-AO249</f>
        <v>0</v>
      </c>
      <c r="AQ299" s="3">
        <f>SUM(AM299:AP299)</f>
        <v>0</v>
      </c>
      <c r="AR299" s="3">
        <f>AR249-AQ249</f>
        <v>0</v>
      </c>
      <c r="AS299" s="3">
        <f>AS249-AR249</f>
        <v>0</v>
      </c>
      <c r="AT299" s="3">
        <f>AT249-AS249</f>
        <v>0</v>
      </c>
      <c r="AU299" s="3">
        <f>AU249-AT249</f>
        <v>0</v>
      </c>
      <c r="AV299" s="3">
        <f>SUM(AR299:AU299)</f>
        <v>0</v>
      </c>
      <c r="AW299" s="3">
        <f>AW249-AV249</f>
        <v>0</v>
      </c>
      <c r="AX299" s="3">
        <f>AX249-AW249</f>
        <v>0</v>
      </c>
      <c r="AY299" s="3">
        <f>AY249-AX249</f>
        <v>0</v>
      </c>
      <c r="AZ299" s="3">
        <f>AZ249-AY249</f>
        <v>0</v>
      </c>
      <c r="BA299" s="3">
        <f>SUM(AW299:AZ299)</f>
        <v>0</v>
      </c>
      <c r="BB299" s="3">
        <f>BB249-BA249</f>
        <v>0</v>
      </c>
      <c r="BC299" s="3">
        <f>BC249-BB249</f>
        <v>0</v>
      </c>
      <c r="BD299" s="3">
        <f>BD249-BC249</f>
        <v>0</v>
      </c>
      <c r="BE299" s="3">
        <f>BE249-BD249</f>
        <v>0</v>
      </c>
      <c r="BF299" s="3">
        <f>SUM(BB299:BE299)</f>
        <v>0</v>
      </c>
      <c r="BG299" s="3">
        <f>BG249-BF249</f>
        <v>0</v>
      </c>
      <c r="BH299" s="3">
        <f>BH249-BG249</f>
        <v>0</v>
      </c>
      <c r="BI299" s="3">
        <f>BI249-BH249</f>
        <v>0</v>
      </c>
      <c r="BJ299" s="3">
        <f>BJ249-BI249</f>
        <v>0</v>
      </c>
      <c r="BK299" s="3">
        <f>SUM(BG299:BJ299)</f>
        <v>0</v>
      </c>
      <c r="BL299" s="3">
        <f>BL249-BK249</f>
        <v>0</v>
      </c>
      <c r="BM299" s="3">
        <f>BM249-BL249</f>
        <v>0</v>
      </c>
      <c r="BN299" s="3">
        <f>BN249-BM249</f>
        <v>0</v>
      </c>
      <c r="BO299" s="3">
        <f>BO249-BN249</f>
        <v>0</v>
      </c>
      <c r="BP299" s="3">
        <f>SUM(BL299:BO299)</f>
        <v>0</v>
      </c>
      <c r="BQ299" s="3">
        <f>BQ249-BP249</f>
        <v>0</v>
      </c>
      <c r="BR299" s="3">
        <f>BR249-BQ249</f>
        <v>0</v>
      </c>
      <c r="BS299" s="3">
        <f>BS249-BR249</f>
        <v>0</v>
      </c>
      <c r="BT299" s="3">
        <f>BT249-BS249</f>
        <v>0</v>
      </c>
      <c r="BU299" s="3">
        <f>SUM(BQ299:BT299)</f>
        <v>0</v>
      </c>
      <c r="BV299" s="3">
        <f>BV249-BU249</f>
        <v>0</v>
      </c>
      <c r="BW299" s="3">
        <f>BW249-BV249</f>
        <v>0</v>
      </c>
      <c r="BX299" s="3">
        <f>BX249-BW249</f>
        <v>0</v>
      </c>
      <c r="BY299" s="3">
        <f>BY249-BX249</f>
        <v>0</v>
      </c>
      <c r="BZ299" s="3">
        <f>SUM(BV299:BY299)</f>
        <v>0</v>
      </c>
      <c r="CA299" s="3">
        <f>CA249-BZ249</f>
        <v>0</v>
      </c>
      <c r="CB299" s="3">
        <f>CB249-CA249</f>
        <v>0</v>
      </c>
      <c r="CC299" s="3">
        <f>CC249-CB249</f>
        <v>0</v>
      </c>
      <c r="CD299" s="3">
        <f>CD249-CC249</f>
        <v>0</v>
      </c>
      <c r="CE299" s="3">
        <f>SUM(CA299:CD299)</f>
        <v>0</v>
      </c>
      <c r="CF299" s="3">
        <f>CF249-CE249</f>
        <v>0</v>
      </c>
      <c r="CG299" s="3">
        <f>CG249-CF249</f>
        <v>0</v>
      </c>
      <c r="CH299" s="3">
        <f>CH249-CG249</f>
        <v>0</v>
      </c>
      <c r="CI299" s="3">
        <f>CI249-CH249</f>
        <v>0</v>
      </c>
      <c r="CJ299" s="3">
        <f>SUM(CF299:CI299)</f>
        <v>0</v>
      </c>
      <c r="CK299" s="3">
        <f>CK249-CJ249</f>
        <v>0</v>
      </c>
      <c r="CL299" s="3">
        <f>CL249-CK249</f>
        <v>0</v>
      </c>
      <c r="CM299" s="3">
        <f>CM249-CL249</f>
        <v>0</v>
      </c>
      <c r="CN299" s="3">
        <f>CN249-CM249</f>
        <v>0</v>
      </c>
      <c r="CO299" s="3">
        <f>SUM(CK299:CN299)</f>
        <v>0</v>
      </c>
      <c r="CP299" s="3">
        <f>CP249-CO249</f>
        <v>0</v>
      </c>
      <c r="CQ299" s="3">
        <f>CQ249-CP249</f>
        <v>0</v>
      </c>
      <c r="CR299" s="3">
        <f>CR249-CQ249</f>
        <v>0</v>
      </c>
      <c r="CS299" s="3">
        <f>CS249-CR249</f>
        <v>0</v>
      </c>
      <c r="CT299" s="3">
        <f>SUM(CP299:CS299)</f>
        <v>0</v>
      </c>
      <c r="CU299" s="3">
        <f>CU249-CT249</f>
        <v>0</v>
      </c>
      <c r="CV299" s="3">
        <f>CV249-CU249</f>
        <v>0</v>
      </c>
      <c r="CW299" s="3">
        <f>CW249-CV249</f>
        <v>0</v>
      </c>
      <c r="CX299" s="3">
        <f>CX249-CW249</f>
        <v>0</v>
      </c>
      <c r="CY299" s="3">
        <f>SUM(CU299:CX299)</f>
        <v>0</v>
      </c>
    </row>
    <row r="300" collapsed="1">
      <c r="C300" s="29" t="inlineStr">
        <is>
          <t>Equity income in affiliates</t>
        </is>
      </c>
      <c r="D300" s="3" t="n"/>
      <c r="E300" s="3" t="e">
        <f>(E171-D171)*-1</f>
        <v>#N/A</v>
      </c>
      <c r="F300" s="3">
        <f>(F171-E171)*-1</f>
        <v>0</v>
      </c>
      <c r="G300" s="3">
        <f>(G171-F171)*-1</f>
        <v>0</v>
      </c>
      <c r="H300" s="3" t="e">
        <f>SUM(D300:G300)</f>
        <v>#N/A</v>
      </c>
      <c r="I300" s="3">
        <f>(I171-H171)*-1</f>
        <v>0</v>
      </c>
      <c r="J300" s="3">
        <f>(J171-I171)*-1</f>
        <v>0</v>
      </c>
      <c r="K300" s="3">
        <f>(K171-J171)*-1</f>
        <v>0</v>
      </c>
      <c r="L300" s="3">
        <f>(L171-K171)*-1</f>
        <v>0</v>
      </c>
      <c r="M300" s="3">
        <f>SUM(I300:L300)</f>
        <v>0</v>
      </c>
      <c r="N300" s="3">
        <f>(N171-M171)*-1</f>
        <v>0</v>
      </c>
      <c r="O300" s="3">
        <f>(O171-N171)*-1</f>
        <v>0</v>
      </c>
      <c r="P300" s="3">
        <f>(P171-O171)*-1</f>
        <v>0</v>
      </c>
      <c r="Q300" s="3">
        <f>(Q171-P171)*-1</f>
        <v>0</v>
      </c>
      <c r="R300" s="3">
        <f>SUM(N300:Q300)</f>
        <v>0</v>
      </c>
      <c r="S300" s="3">
        <f>(S171-R171)*-1</f>
        <v>0</v>
      </c>
      <c r="T300" s="3">
        <f>(T171-S171)*-1</f>
        <v>0</v>
      </c>
      <c r="U300" s="3">
        <f>(U171-T171)*-1</f>
        <v>0</v>
      </c>
      <c r="V300" s="3">
        <f>(V171-U171)*-1</f>
        <v>-19.238</v>
      </c>
      <c r="W300" s="3">
        <f>SUM(S300:V300)</f>
        <v>-19.238</v>
      </c>
      <c r="X300" s="3">
        <f>(X171-W171)*-1</f>
        <v>-23.93</v>
      </c>
      <c r="Y300" s="3">
        <f>(Y171-X171)*-1</f>
        <v>0.00399999999999778</v>
      </c>
      <c r="Z300" s="3">
        <f>(Z171-Y171)*-1</f>
        <v>0.0200000000000031</v>
      </c>
      <c r="AA300" s="3">
        <f>(AA171-Z171)*-1</f>
        <v>0</v>
      </c>
      <c r="AB300" s="3">
        <f>SUM(X300:AA300)</f>
        <v>-23.906</v>
      </c>
      <c r="AC300" s="3">
        <f>(AC171-AB171)*-1</f>
        <v>-12.7</v>
      </c>
      <c r="AD300" s="3">
        <f>(AD171-AC171)*-1</f>
        <v>-372.39</v>
      </c>
      <c r="AE300" s="3">
        <f>(AE171-AD171)*-1</f>
        <v>372.39</v>
      </c>
      <c r="AF300" s="3">
        <f>(AF171-AE171)*-1</f>
        <v>55.844</v>
      </c>
      <c r="AG300" s="3">
        <f>SUM(AC300:AF300)</f>
        <v>43.144</v>
      </c>
      <c r="AH300" s="3">
        <f>(AH171-AG171)*-1</f>
        <v>0</v>
      </c>
      <c r="AI300" s="3">
        <f>(AI171-AH171)*-1</f>
        <v>0</v>
      </c>
      <c r="AJ300" s="3">
        <f>(AJ171-AI171)*-1</f>
        <v>0</v>
      </c>
      <c r="AK300" s="3">
        <f>(AK171-AJ171)*-1</f>
        <v>0</v>
      </c>
      <c r="AL300" s="3">
        <f>SUM(AH300:AK300)</f>
        <v>0</v>
      </c>
      <c r="AM300" s="3">
        <f>(AM171-AL171)*-1</f>
        <v>0</v>
      </c>
      <c r="AN300" s="3">
        <f>(AN171-AM171)*-1</f>
        <v>0</v>
      </c>
      <c r="AO300" s="3">
        <f>(AO171-AN171)*-1</f>
        <v>0</v>
      </c>
      <c r="AP300" s="3">
        <f>(AP171-AO171)*-1</f>
        <v>0</v>
      </c>
      <c r="AQ300" s="3">
        <f>SUM(AM300:AP300)</f>
        <v>0</v>
      </c>
      <c r="AR300" s="3">
        <f>(AR171-AQ171)*-1</f>
        <v>0</v>
      </c>
      <c r="AS300" s="3">
        <f>(AS171-AR171)*-1</f>
        <v>0</v>
      </c>
      <c r="AT300" s="3">
        <f>(AT171-AS171)*-1</f>
        <v>0</v>
      </c>
      <c r="AU300" s="3">
        <f>(AU171-AT171)*-1</f>
        <v>0</v>
      </c>
      <c r="AV300" s="3">
        <f>SUM(AR300:AU300)</f>
        <v>0</v>
      </c>
      <c r="AW300" s="3">
        <f>(AW171-AV171)*-1</f>
        <v>0</v>
      </c>
      <c r="AX300" s="3">
        <f>(AX171-AW171)*-1</f>
        <v>0</v>
      </c>
      <c r="AY300" s="3">
        <f>(AY171-AX171)*-1</f>
        <v>0</v>
      </c>
      <c r="AZ300" s="3">
        <f>(AZ171-AY171)*-1</f>
        <v>0</v>
      </c>
      <c r="BA300" s="3">
        <f>SUM(AW300:AZ300)</f>
        <v>0</v>
      </c>
      <c r="BB300" s="3">
        <f>(BB171-BA171)*-1</f>
        <v>0</v>
      </c>
      <c r="BC300" s="3">
        <f>(BC171-BB171)*-1</f>
        <v>0</v>
      </c>
      <c r="BD300" s="3">
        <f>(BD171-BC171)*-1</f>
        <v>0</v>
      </c>
      <c r="BE300" s="3">
        <f>(BE171-BD171)*-1</f>
        <v>0</v>
      </c>
      <c r="BF300" s="3">
        <f>SUM(BB300:BE300)</f>
        <v>0</v>
      </c>
      <c r="BG300" s="3">
        <f>(BG171-BF171)*-1</f>
        <v>0</v>
      </c>
      <c r="BH300" s="3">
        <f>(BH171-BG171)*-1</f>
        <v>0</v>
      </c>
      <c r="BI300" s="3">
        <f>(BI171-BH171)*-1</f>
        <v>0</v>
      </c>
      <c r="BJ300" s="3">
        <f>(BJ171-BI171)*-1</f>
        <v>0</v>
      </c>
      <c r="BK300" s="3">
        <f>SUM(BG300:BJ300)</f>
        <v>0</v>
      </c>
      <c r="BL300" s="3">
        <f>(BL171-BK171)*-1</f>
        <v>0</v>
      </c>
      <c r="BM300" s="3">
        <f>(BM171-BL171)*-1</f>
        <v>0</v>
      </c>
      <c r="BN300" s="3">
        <f>(BN171-BM171)*-1</f>
        <v>0</v>
      </c>
      <c r="BO300" s="3">
        <f>(BO171-BN171)*-1</f>
        <v>0</v>
      </c>
      <c r="BP300" s="3">
        <f>SUM(BL300:BO300)</f>
        <v>0</v>
      </c>
      <c r="BQ300" s="3">
        <f>(BQ171-BP171)*-1</f>
        <v>0</v>
      </c>
      <c r="BR300" s="3">
        <f>(BR171-BQ171)*-1</f>
        <v>0</v>
      </c>
      <c r="BS300" s="3">
        <f>(BS171-BR171)*-1</f>
        <v>0</v>
      </c>
      <c r="BT300" s="3">
        <f>(BT171-BS171)*-1</f>
        <v>0</v>
      </c>
      <c r="BU300" s="3">
        <f>SUM(BQ300:BT300)</f>
        <v>0</v>
      </c>
      <c r="BV300" s="3">
        <f>(BV171-BU171)*-1</f>
        <v>0</v>
      </c>
      <c r="BW300" s="3">
        <f>(BW171-BV171)*-1</f>
        <v>0</v>
      </c>
      <c r="BX300" s="3">
        <f>(BX171-BW171)*-1</f>
        <v>0</v>
      </c>
      <c r="BY300" s="3">
        <f>(BY171-BX171)*-1</f>
        <v>0</v>
      </c>
      <c r="BZ300" s="3">
        <f>SUM(BV300:BY300)</f>
        <v>0</v>
      </c>
      <c r="CA300" s="3">
        <f>(CA171-BZ171)*-1</f>
        <v>0</v>
      </c>
      <c r="CB300" s="3">
        <f>(CB171-CA171)*-1</f>
        <v>0</v>
      </c>
      <c r="CC300" s="3">
        <f>(CC171-CB171)*-1</f>
        <v>0</v>
      </c>
      <c r="CD300" s="3">
        <f>(CD171-CC171)*-1</f>
        <v>0</v>
      </c>
      <c r="CE300" s="3">
        <f>SUM(CA300:CD300)</f>
        <v>0</v>
      </c>
      <c r="CF300" s="3">
        <f>(CF171-CE171)*-1</f>
        <v>0</v>
      </c>
      <c r="CG300" s="3">
        <f>(CG171-CF171)*-1</f>
        <v>0</v>
      </c>
      <c r="CH300" s="3">
        <f>(CH171-CG171)*-1</f>
        <v>0</v>
      </c>
      <c r="CI300" s="3">
        <f>(CI171-CH171)*-1</f>
        <v>0</v>
      </c>
      <c r="CJ300" s="3">
        <f>SUM(CF300:CI300)</f>
        <v>0</v>
      </c>
      <c r="CK300" s="3">
        <f>(CK171-CJ171)*-1</f>
        <v>0</v>
      </c>
      <c r="CL300" s="3">
        <f>(CL171-CK171)*-1</f>
        <v>0</v>
      </c>
      <c r="CM300" s="3">
        <f>(CM171-CL171)*-1</f>
        <v>0</v>
      </c>
      <c r="CN300" s="3">
        <f>(CN171-CM171)*-1</f>
        <v>0</v>
      </c>
      <c r="CO300" s="3">
        <f>SUM(CK300:CN300)</f>
        <v>0</v>
      </c>
      <c r="CP300" s="3">
        <f>(CP171-CO171)*-1</f>
        <v>0</v>
      </c>
      <c r="CQ300" s="3">
        <f>(CQ171-CP171)*-1</f>
        <v>0</v>
      </c>
      <c r="CR300" s="3">
        <f>(CR171-CQ171)*-1</f>
        <v>0</v>
      </c>
      <c r="CS300" s="3">
        <f>(CS171-CR171)*-1</f>
        <v>0</v>
      </c>
      <c r="CT300" s="3">
        <f>SUM(CP300:CS300)</f>
        <v>0</v>
      </c>
      <c r="CU300" s="3">
        <f>(CU171-CT171)*-1</f>
        <v>0</v>
      </c>
      <c r="CV300" s="3">
        <f>(CV171-CU171)*-1</f>
        <v>0</v>
      </c>
      <c r="CW300" s="3">
        <f>(CW171-CV171)*-1</f>
        <v>0</v>
      </c>
      <c r="CX300" s="3">
        <f>(CX171-CW171)*-1</f>
        <v>0</v>
      </c>
      <c r="CY300" s="3">
        <f>SUM(CU300:CX300)</f>
        <v>0</v>
      </c>
    </row>
    <row r="301">
      <c r="C301" s="29" t="inlineStr">
        <is>
          <t>Dividends received from affiliates</t>
        </is>
      </c>
      <c r="D301" s="3" t="n"/>
      <c r="E301" s="3">
        <f>-E174</f>
        <v>0</v>
      </c>
      <c r="F301" s="3">
        <f>-F174</f>
        <v>0</v>
      </c>
      <c r="G301" s="3">
        <f>-G174</f>
        <v>0</v>
      </c>
      <c r="H301" s="3">
        <f>SUM(D301:G301)</f>
        <v>0</v>
      </c>
      <c r="I301" s="3">
        <f>-I174</f>
        <v>0</v>
      </c>
      <c r="J301" s="3">
        <f>-J174</f>
        <v>0</v>
      </c>
      <c r="K301" s="3">
        <f>-K174</f>
        <v>0</v>
      </c>
      <c r="L301" s="3">
        <f>-L174</f>
        <v>0</v>
      </c>
      <c r="M301" s="3">
        <f>SUM(I301:L301)</f>
        <v>0</v>
      </c>
      <c r="N301" s="3">
        <f>-N174</f>
        <v>0</v>
      </c>
      <c r="O301" s="3">
        <f>-O174</f>
        <v>0</v>
      </c>
      <c r="P301" s="3">
        <f>-P174</f>
        <v>0</v>
      </c>
      <c r="Q301" s="3">
        <f>-Q174</f>
        <v>0</v>
      </c>
      <c r="R301" s="3">
        <f>SUM(N301:Q301)</f>
        <v>0</v>
      </c>
      <c r="S301" s="3">
        <f>-S174</f>
        <v>0</v>
      </c>
      <c r="T301" s="3">
        <f>-T174</f>
        <v>0</v>
      </c>
      <c r="U301" s="3">
        <f>-U174</f>
        <v>0</v>
      </c>
      <c r="V301" s="3">
        <f>-V174</f>
        <v>0</v>
      </c>
      <c r="W301" s="3">
        <f>SUM(S301:V301)</f>
        <v>0</v>
      </c>
      <c r="X301" s="3">
        <f>-X174</f>
        <v>0</v>
      </c>
      <c r="Y301" s="3">
        <f>-Y174</f>
        <v>0</v>
      </c>
      <c r="Z301" s="3">
        <f>-Z174</f>
        <v>0</v>
      </c>
      <c r="AA301" s="3">
        <f>-AA174</f>
        <v>0</v>
      </c>
      <c r="AB301" s="3">
        <f>SUM(X301:AA301)</f>
        <v>0</v>
      </c>
      <c r="AC301" s="3">
        <f>-AC174</f>
        <v>0</v>
      </c>
      <c r="AD301" s="3">
        <f>-AD174</f>
        <v>0</v>
      </c>
      <c r="AE301" s="3">
        <f>-AE174</f>
        <v>0</v>
      </c>
      <c r="AF301" s="3">
        <f>-AF174</f>
        <v>0</v>
      </c>
      <c r="AG301" s="3">
        <f>SUM(AC301:AF301)</f>
        <v>0</v>
      </c>
      <c r="AH301" s="3">
        <f>-AH174</f>
        <v>0</v>
      </c>
      <c r="AI301" s="3">
        <f>-AI174</f>
        <v>0</v>
      </c>
      <c r="AJ301" s="3">
        <f>-AJ174</f>
        <v>0</v>
      </c>
      <c r="AK301" s="3">
        <f>-AK174</f>
        <v>0</v>
      </c>
      <c r="AL301" s="3">
        <f>SUM(AH301:AK301)</f>
        <v>0</v>
      </c>
      <c r="AM301" s="3">
        <f>-AM174</f>
        <v>0</v>
      </c>
      <c r="AN301" s="3">
        <f>-AN174</f>
        <v>0</v>
      </c>
      <c r="AO301" s="3">
        <f>-AO174</f>
        <v>0</v>
      </c>
      <c r="AP301" s="3">
        <f>-AP174</f>
        <v>0</v>
      </c>
      <c r="AQ301" s="3">
        <f>SUM(AM301:AP301)</f>
        <v>0</v>
      </c>
      <c r="AR301" s="3">
        <f>-AR174</f>
        <v>0</v>
      </c>
      <c r="AS301" s="3">
        <f>-AS174</f>
        <v>0</v>
      </c>
      <c r="AT301" s="3">
        <f>-AT174</f>
        <v>0</v>
      </c>
      <c r="AU301" s="3">
        <f>-AU174</f>
        <v>0</v>
      </c>
      <c r="AV301" s="3">
        <f>SUM(AR301:AU301)</f>
        <v>0</v>
      </c>
      <c r="AW301" s="3">
        <f>-AW174</f>
        <v>0</v>
      </c>
      <c r="AX301" s="3">
        <f>-AX174</f>
        <v>0</v>
      </c>
      <c r="AY301" s="3">
        <f>-AY174</f>
        <v>0</v>
      </c>
      <c r="AZ301" s="3">
        <f>-AZ174</f>
        <v>0</v>
      </c>
      <c r="BA301" s="3">
        <f>SUM(AW301:AZ301)</f>
        <v>0</v>
      </c>
      <c r="BB301" s="3">
        <f>-BB174</f>
        <v>0</v>
      </c>
      <c r="BC301" s="3">
        <f>-BC174</f>
        <v>0</v>
      </c>
      <c r="BD301" s="3">
        <f>-BD174</f>
        <v>0</v>
      </c>
      <c r="BE301" s="3">
        <f>-BE174</f>
        <v>0</v>
      </c>
      <c r="BF301" s="3">
        <f>SUM(BB301:BE301)</f>
        <v>0</v>
      </c>
      <c r="BG301" s="3">
        <f>-BG174</f>
        <v>0</v>
      </c>
      <c r="BH301" s="3">
        <f>-BH174</f>
        <v>0</v>
      </c>
      <c r="BI301" s="3">
        <f>-BI174</f>
        <v>0</v>
      </c>
      <c r="BJ301" s="3">
        <f>-BJ174</f>
        <v>0</v>
      </c>
      <c r="BK301" s="3">
        <f>SUM(BG301:BJ301)</f>
        <v>0</v>
      </c>
      <c r="BL301" s="3">
        <f>-BL174</f>
        <v>0</v>
      </c>
      <c r="BM301" s="3">
        <f>-BM174</f>
        <v>0</v>
      </c>
      <c r="BN301" s="3">
        <f>-BN174</f>
        <v>0</v>
      </c>
      <c r="BO301" s="3">
        <f>-BO174</f>
        <v>0</v>
      </c>
      <c r="BP301" s="3">
        <f>SUM(BL301:BO301)</f>
        <v>0</v>
      </c>
      <c r="BQ301" s="3">
        <f>-BQ174</f>
        <v>0</v>
      </c>
      <c r="BR301" s="3">
        <f>-BR174</f>
        <v>0</v>
      </c>
      <c r="BS301" s="3">
        <f>-BS174</f>
        <v>0</v>
      </c>
      <c r="BT301" s="3">
        <f>-BT174</f>
        <v>0</v>
      </c>
      <c r="BU301" s="3">
        <f>SUM(BQ301:BT301)</f>
        <v>0</v>
      </c>
      <c r="BV301" s="3">
        <f>-BV174</f>
        <v>0</v>
      </c>
      <c r="BW301" s="3">
        <f>-BW174</f>
        <v>0</v>
      </c>
      <c r="BX301" s="3">
        <f>-BX174</f>
        <v>0</v>
      </c>
      <c r="BY301" s="3">
        <f>-BY174</f>
        <v>0</v>
      </c>
      <c r="BZ301" s="3">
        <f>SUM(BV301:BY301)</f>
        <v>0</v>
      </c>
      <c r="CA301" s="3">
        <f>-CA174</f>
        <v>0</v>
      </c>
      <c r="CB301" s="3">
        <f>-CB174</f>
        <v>0</v>
      </c>
      <c r="CC301" s="3">
        <f>-CC174</f>
        <v>0</v>
      </c>
      <c r="CD301" s="3">
        <f>-CD174</f>
        <v>0</v>
      </c>
      <c r="CE301" s="3">
        <f>SUM(CA301:CD301)</f>
        <v>0</v>
      </c>
      <c r="CF301" s="3">
        <f>-CF174</f>
        <v>0</v>
      </c>
      <c r="CG301" s="3">
        <f>-CG174</f>
        <v>0</v>
      </c>
      <c r="CH301" s="3">
        <f>-CH174</f>
        <v>0</v>
      </c>
      <c r="CI301" s="3">
        <f>-CI174</f>
        <v>0</v>
      </c>
      <c r="CJ301" s="3">
        <f>SUM(CF301:CI301)</f>
        <v>0</v>
      </c>
      <c r="CK301" s="3">
        <f>-CK174</f>
        <v>0</v>
      </c>
      <c r="CL301" s="3">
        <f>-CL174</f>
        <v>0</v>
      </c>
      <c r="CM301" s="3">
        <f>-CM174</f>
        <v>0</v>
      </c>
      <c r="CN301" s="3">
        <f>-CN174</f>
        <v>0</v>
      </c>
      <c r="CO301" s="3">
        <f>SUM(CK301:CN301)</f>
        <v>0</v>
      </c>
      <c r="CP301" s="3">
        <f>-CP174</f>
        <v>0</v>
      </c>
      <c r="CQ301" s="3">
        <f>-CQ174</f>
        <v>0</v>
      </c>
      <c r="CR301" s="3">
        <f>-CR174</f>
        <v>0</v>
      </c>
      <c r="CS301" s="3">
        <f>-CS174</f>
        <v>0</v>
      </c>
      <c r="CT301" s="3">
        <f>SUM(CP301:CS301)</f>
        <v>0</v>
      </c>
      <c r="CU301" s="3">
        <f>-CU174</f>
        <v>0</v>
      </c>
      <c r="CV301" s="3">
        <f>-CV174</f>
        <v>0</v>
      </c>
      <c r="CW301" s="3">
        <f>-CW174</f>
        <v>0</v>
      </c>
      <c r="CX301" s="3">
        <f>-CX174</f>
        <v>0</v>
      </c>
      <c r="CY301" s="3">
        <f>SUM(CU301:CX301)</f>
        <v>0</v>
      </c>
    </row>
    <row r="302">
      <c r="C302" s="30" t="inlineStr">
        <is>
          <t>Minority interest expense</t>
        </is>
      </c>
      <c r="D302" s="3" t="n"/>
      <c r="E302" s="3">
        <f>-E146</f>
        <v>0</v>
      </c>
      <c r="F302" s="3">
        <f>-F146</f>
        <v>0</v>
      </c>
      <c r="G302" s="3">
        <f>-G146</f>
        <v>0</v>
      </c>
      <c r="H302" s="3">
        <f>SUM(D302:G302)</f>
        <v>0</v>
      </c>
      <c r="I302" s="3">
        <f>-I146</f>
        <v>0</v>
      </c>
      <c r="J302" s="3">
        <f>-J146</f>
        <v>0</v>
      </c>
      <c r="K302" s="3">
        <f>-K146</f>
        <v>0</v>
      </c>
      <c r="L302" s="3">
        <f>-L146</f>
        <v>0</v>
      </c>
      <c r="M302" s="3">
        <f>SUM(I302:L302)</f>
        <v>0</v>
      </c>
      <c r="N302" s="3">
        <f>-N146</f>
        <v>0</v>
      </c>
      <c r="O302" s="3">
        <f>-O146</f>
        <v>0</v>
      </c>
      <c r="P302" s="3">
        <f>-P146</f>
        <v>0</v>
      </c>
      <c r="Q302" s="3">
        <f>-Q146</f>
        <v>0</v>
      </c>
      <c r="R302" s="3">
        <f>SUM(N302:Q302)</f>
        <v>0</v>
      </c>
      <c r="S302" s="3">
        <f>-S146</f>
        <v>0</v>
      </c>
      <c r="T302" s="3">
        <f>-T146</f>
        <v>0</v>
      </c>
      <c r="U302" s="3">
        <f>-U146</f>
        <v>0</v>
      </c>
      <c r="V302" s="3">
        <f>-V146</f>
        <v>0</v>
      </c>
      <c r="W302" s="3">
        <f>SUM(S302:V302)</f>
        <v>0</v>
      </c>
      <c r="X302" s="3">
        <f>-X146</f>
        <v>0</v>
      </c>
      <c r="Y302" s="3">
        <f>-Y146</f>
        <v>0</v>
      </c>
      <c r="Z302" s="3">
        <f>-Z146</f>
        <v>0</v>
      </c>
      <c r="AA302" s="3">
        <f>-AA146</f>
        <v>0</v>
      </c>
      <c r="AB302" s="3">
        <f>SUM(X302:AA302)</f>
        <v>0</v>
      </c>
      <c r="AC302" s="3">
        <f>-AC146</f>
        <v>0</v>
      </c>
      <c r="AD302" s="3">
        <f>-AD146</f>
        <v>0</v>
      </c>
      <c r="AE302" s="3">
        <f>-AE146</f>
        <v>-3.973</v>
      </c>
      <c r="AF302" s="3">
        <f>-AF146</f>
        <v>18.687</v>
      </c>
      <c r="AG302" s="3">
        <f>SUM(AC302:AF302)</f>
        <v>14.714</v>
      </c>
      <c r="AH302" s="3">
        <f>-AH146</f>
        <v>-21.959</v>
      </c>
      <c r="AI302" s="3">
        <f>-AI146</f>
        <v>5.141</v>
      </c>
      <c r="AJ302" s="3">
        <f>-AJ146</f>
        <v>-3.973</v>
      </c>
      <c r="AK302" s="3">
        <f>-AK146</f>
        <v>18.687</v>
      </c>
      <c r="AL302" s="3">
        <f>SUM(AH302:AK302)</f>
        <v>-2.104</v>
      </c>
      <c r="AM302" s="3">
        <f>-AM146</f>
        <v>-21.959</v>
      </c>
      <c r="AN302" s="3">
        <f>-AN146</f>
        <v>5.141</v>
      </c>
      <c r="AO302" s="3">
        <f>-AO146</f>
        <v>-3.973</v>
      </c>
      <c r="AP302" s="3">
        <f>-AP146</f>
        <v>18.687</v>
      </c>
      <c r="AQ302" s="3">
        <f>SUM(AM302:AP302)</f>
        <v>-2.104</v>
      </c>
      <c r="AR302" s="3">
        <f>-AR146</f>
        <v>-21.959</v>
      </c>
      <c r="AS302" s="3">
        <f>-AS146</f>
        <v>5.141</v>
      </c>
      <c r="AT302" s="3">
        <f>-AT146</f>
        <v>-3.973</v>
      </c>
      <c r="AU302" s="3">
        <f>-AU146</f>
        <v>18.687</v>
      </c>
      <c r="AV302" s="3">
        <f>SUM(AR302:AU302)</f>
        <v>-2.104</v>
      </c>
      <c r="AW302" s="3">
        <f>-AW146</f>
        <v>-21.959</v>
      </c>
      <c r="AX302" s="3">
        <f>-AX146</f>
        <v>5.141</v>
      </c>
      <c r="AY302" s="3">
        <f>-AY146</f>
        <v>-3.973</v>
      </c>
      <c r="AZ302" s="3">
        <f>-AZ146</f>
        <v>18.687</v>
      </c>
      <c r="BA302" s="3">
        <f>SUM(AW302:AZ302)</f>
        <v>-2.104</v>
      </c>
      <c r="BB302" s="3">
        <f>-BB146</f>
        <v>-21.959</v>
      </c>
      <c r="BC302" s="3">
        <f>-BC146</f>
        <v>5.141</v>
      </c>
      <c r="BD302" s="3">
        <f>-BD146</f>
        <v>-3.973</v>
      </c>
      <c r="BE302" s="3">
        <f>-BE146</f>
        <v>18.687</v>
      </c>
      <c r="BF302" s="3">
        <f>SUM(BB302:BE302)</f>
        <v>-2.104</v>
      </c>
      <c r="BG302" s="3">
        <f>-BG146</f>
        <v>-21.959</v>
      </c>
      <c r="BH302" s="3">
        <f>-BH146</f>
        <v>5.141</v>
      </c>
      <c r="BI302" s="3">
        <f>-BI146</f>
        <v>-3.973</v>
      </c>
      <c r="BJ302" s="3">
        <f>-BJ146</f>
        <v>18.687</v>
      </c>
      <c r="BK302" s="3">
        <f>SUM(BG302:BJ302)</f>
        <v>-2.104</v>
      </c>
      <c r="BL302" s="3">
        <f>-BL146</f>
        <v>-21.959</v>
      </c>
      <c r="BM302" s="3">
        <f>-BM146</f>
        <v>5.141</v>
      </c>
      <c r="BN302" s="3">
        <f>-BN146</f>
        <v>-3.973</v>
      </c>
      <c r="BO302" s="3">
        <f>-BO146</f>
        <v>18.687</v>
      </c>
      <c r="BP302" s="3">
        <f>SUM(BL302:BO302)</f>
        <v>-2.104</v>
      </c>
      <c r="BQ302" s="3">
        <f>-BQ146</f>
        <v>-21.959</v>
      </c>
      <c r="BR302" s="3">
        <f>-BR146</f>
        <v>5.141</v>
      </c>
      <c r="BS302" s="3">
        <f>-BS146</f>
        <v>-3.973</v>
      </c>
      <c r="BT302" s="3">
        <f>-BT146</f>
        <v>18.687</v>
      </c>
      <c r="BU302" s="3">
        <f>SUM(BQ302:BT302)</f>
        <v>-2.104</v>
      </c>
      <c r="BV302" s="3">
        <f>-BV146</f>
        <v>-21.959</v>
      </c>
      <c r="BW302" s="3">
        <f>-BW146</f>
        <v>5.141</v>
      </c>
      <c r="BX302" s="3">
        <f>-BX146</f>
        <v>-3.973</v>
      </c>
      <c r="BY302" s="3">
        <f>-BY146</f>
        <v>18.687</v>
      </c>
      <c r="BZ302" s="3">
        <f>SUM(BV302:BY302)</f>
        <v>-2.104</v>
      </c>
      <c r="CA302" s="3">
        <f>-CA146</f>
        <v>-21.959</v>
      </c>
      <c r="CB302" s="3">
        <f>-CB146</f>
        <v>5.141</v>
      </c>
      <c r="CC302" s="3">
        <f>-CC146</f>
        <v>-3.973</v>
      </c>
      <c r="CD302" s="3">
        <f>-CD146</f>
        <v>18.687</v>
      </c>
      <c r="CE302" s="3">
        <f>SUM(CA302:CD302)</f>
        <v>-2.104</v>
      </c>
      <c r="CF302" s="3">
        <f>-CF146</f>
        <v>-21.959</v>
      </c>
      <c r="CG302" s="3">
        <f>-CG146</f>
        <v>5.141</v>
      </c>
      <c r="CH302" s="3">
        <f>-CH146</f>
        <v>-3.973</v>
      </c>
      <c r="CI302" s="3">
        <f>-CI146</f>
        <v>18.687</v>
      </c>
      <c r="CJ302" s="3">
        <f>SUM(CF302:CI302)</f>
        <v>-2.104</v>
      </c>
      <c r="CK302" s="3">
        <f>-CK146</f>
        <v>-21.959</v>
      </c>
      <c r="CL302" s="3">
        <f>-CL146</f>
        <v>5.141</v>
      </c>
      <c r="CM302" s="3">
        <f>-CM146</f>
        <v>-3.973</v>
      </c>
      <c r="CN302" s="3">
        <f>-CN146</f>
        <v>18.687</v>
      </c>
      <c r="CO302" s="3">
        <f>SUM(CK302:CN302)</f>
        <v>-2.104</v>
      </c>
      <c r="CP302" s="3">
        <f>-CP146</f>
        <v>-21.959</v>
      </c>
      <c r="CQ302" s="3">
        <f>-CQ146</f>
        <v>5.141</v>
      </c>
      <c r="CR302" s="3">
        <f>-CR146</f>
        <v>-3.973</v>
      </c>
      <c r="CS302" s="3">
        <f>-CS146</f>
        <v>18.687</v>
      </c>
      <c r="CT302" s="3">
        <f>SUM(CP302:CS302)</f>
        <v>-2.104</v>
      </c>
      <c r="CU302" s="3">
        <f>-CU146</f>
        <v>-21.959</v>
      </c>
      <c r="CV302" s="3">
        <f>-CV146</f>
        <v>5.141</v>
      </c>
      <c r="CW302" s="3">
        <f>-CW146</f>
        <v>-3.973</v>
      </c>
      <c r="CX302" s="3">
        <f>-CX146</f>
        <v>18.687</v>
      </c>
      <c r="CY302" s="3">
        <f>SUM(CU302:CX302)</f>
        <v>-2.104</v>
      </c>
    </row>
    <row r="303">
      <c r="C303" s="26" t="inlineStr">
        <is>
          <t>Cash from operations</t>
        </is>
      </c>
      <c r="D303" s="3" t="n"/>
      <c r="E303" s="3" t="e">
        <f>SUM(E287,E288,E289,E300,E301,E302)</f>
        <v>#N/A</v>
      </c>
      <c r="F303" s="3">
        <f>SUM(F287,F288,F289,F300,F301,F302)</f>
        <v>-82.74692709017</v>
      </c>
      <c r="G303" s="3">
        <f>SUM(G287,G288,G289,G300,G301,G302)</f>
        <v>-577.7202068899</v>
      </c>
      <c r="H303" s="3" t="e">
        <f>SUM(H287,H288,H289,H300,H301,H302)</f>
        <v>#N/A</v>
      </c>
      <c r="I303" s="3">
        <f>SUM(I287,I288,I289,I300,I301,I302)</f>
        <v>-76.6369155399315</v>
      </c>
      <c r="J303" s="3">
        <f>SUM(J287,J288,J289,J300,J301,J302)</f>
        <v>218.148861240001</v>
      </c>
      <c r="K303" s="3">
        <f>SUM(K287,K288,K289,K300,K301,K302)</f>
        <v>-487.53108216</v>
      </c>
      <c r="L303" s="3">
        <f>SUM(L287,L288,L289,L300,L301,L302)</f>
        <v>117.37363300999</v>
      </c>
      <c r="M303" s="3">
        <f>SUM(M287,M288,M289,M300,M301,M302)</f>
        <v>-228.64550344994</v>
      </c>
      <c r="N303" s="3">
        <f>SUM(N287,N288,N289,N300,N301,N302)</f>
        <v>62.1788419100003</v>
      </c>
      <c r="O303" s="3">
        <f>SUM(O287,O288,O289,O300,O301,O302)</f>
        <v>449.95163412</v>
      </c>
      <c r="P303" s="3">
        <f>SUM(P287,P288,P289,P300,P301,P302)</f>
        <v>-791.33880725</v>
      </c>
      <c r="Q303" s="3">
        <f>SUM(Q287,Q288,Q289,Q300,Q301,Q302)</f>
        <v>1127.32472408</v>
      </c>
      <c r="R303" s="3">
        <f>SUM(R287,R288,R289,R300,R301,R302)</f>
        <v>848.116392860001</v>
      </c>
      <c r="S303" s="3">
        <f>SUM(S287,S288,S289,S300,S301,S302)</f>
        <v>168.273677790001</v>
      </c>
      <c r="T303" s="3">
        <f>SUM(T287,T288,T289,T300,T301,T302)</f>
        <v>131.159301029999</v>
      </c>
      <c r="U303" s="3">
        <f>SUM(U287,U288,U289,U300,U301,U302)</f>
        <v>112.942999999999</v>
      </c>
      <c r="V303" s="3">
        <f>SUM(V287,V288,V289,V300,V301,V302)</f>
        <v>334.101466680002</v>
      </c>
      <c r="W303" s="3">
        <f>SUM(W287,W288,W289,W300,W301,W302)</f>
        <v>746.477445500001</v>
      </c>
      <c r="X303" s="3">
        <f>SUM(X287,X288,X289,X300,X301,X302)</f>
        <v>494.967764531574</v>
      </c>
      <c r="Y303" s="3">
        <f>SUM(Y287,Y288,Y289,Y300,Y301,Y302)</f>
        <v>362.764510301111</v>
      </c>
      <c r="Z303" s="3">
        <f>SUM(Z287,Z288,Z289,Z300,Z301,Z302)</f>
        <v>-194.396298030001</v>
      </c>
      <c r="AA303" s="3">
        <f>SUM(AA287,AA288,AA289,AA300,AA301,AA302)</f>
        <v>754.3639</v>
      </c>
      <c r="AB303" s="3">
        <f>SUM(AB287,AB288,AB289,AB300,AB301,AB302)</f>
        <v>1417.69987680268</v>
      </c>
      <c r="AC303" s="3">
        <f>SUM(AC287,AC288,AC289,AC300,AC301,AC302)</f>
        <v>276.077</v>
      </c>
      <c r="AD303" s="3">
        <f>SUM(AD287,AD288,AD289,AD300,AD301,AD302)</f>
        <v>335.341433216228</v>
      </c>
      <c r="AE303" s="3">
        <f>SUM(AE287,AE288,AE289,AE300,AE301,AE302)</f>
        <v>427.190999999999</v>
      </c>
      <c r="AF303" s="3">
        <f>SUM(AF287,AF288,AF289,AF300,AF301,AF302)</f>
        <v>985.659000000032</v>
      </c>
      <c r="AG303" s="3">
        <f>SUM(AG287,AG288,AG289,AG300,AG301,AG302)</f>
        <v>2024.26843321626</v>
      </c>
      <c r="AH303" s="3">
        <f>SUM(AH287,AH288,AH289,AH300,AH301,AH302)</f>
        <v>187.112</v>
      </c>
      <c r="AI303" s="3">
        <f>SUM(AI287,AI288,AI289,AI300,AI301,AI302)</f>
        <v>-79.8710000000011</v>
      </c>
      <c r="AJ303" s="3">
        <f>SUM(AJ287,AJ288,AJ289,AJ300,AJ301,AJ302)</f>
        <v>4210.432</v>
      </c>
      <c r="AK303" s="3">
        <f>SUM(AK287,AK288,AK289,AK300,AK301,AK302)</f>
        <v>90.775</v>
      </c>
      <c r="AL303" s="3">
        <f>SUM(AL287,AL288,AL289,AL300,AL301,AL302)</f>
        <v>4408.448</v>
      </c>
      <c r="AM303" s="3" t="e">
        <f>SUM(AM287,AM288,AM289,AM300,AM301,AM302)</f>
        <v>#DIV/0!</v>
      </c>
      <c r="AN303" s="3" t="e">
        <f>SUM(AN287,AN288,AN289,AN300,AN301,AN302)</f>
        <v>#DIV/0!</v>
      </c>
      <c r="AO303" s="3" t="e">
        <f>SUM(AO287,AO288,AO289,AO300,AO301,AO302)</f>
        <v>#DIV/0!</v>
      </c>
      <c r="AP303" s="3" t="e">
        <f>SUM(AP287,AP288,AP289,AP300,AP301,AP302)</f>
        <v>#DIV/0!</v>
      </c>
      <c r="AQ303" s="3" t="e">
        <f>SUM(AQ287,AQ288,AQ289,AQ300,AQ301,AQ302)</f>
        <v>#DIV/0!</v>
      </c>
      <c r="AR303" s="3" t="e">
        <f>SUM(AR287,AR288,AR289,AR300,AR301,AR302)</f>
        <v>#DIV/0!</v>
      </c>
      <c r="AS303" s="3" t="e">
        <f>SUM(AS287,AS288,AS289,AS300,AS301,AS302)</f>
        <v>#DIV/0!</v>
      </c>
      <c r="AT303" s="3" t="e">
        <f>SUM(AT287,AT288,AT289,AT300,AT301,AT302)</f>
        <v>#DIV/0!</v>
      </c>
      <c r="AU303" s="3" t="e">
        <f>SUM(AU287,AU288,AU289,AU300,AU301,AU302)</f>
        <v>#DIV/0!</v>
      </c>
      <c r="AV303" s="3" t="e">
        <f>SUM(AV287,AV288,AV289,AV300,AV301,AV302)</f>
        <v>#DIV/0!</v>
      </c>
      <c r="AW303" s="3" t="e">
        <f>SUM(AW287,AW288,AW289,AW300,AW301,AW302)</f>
        <v>#DIV/0!</v>
      </c>
      <c r="AX303" s="3" t="e">
        <f>SUM(AX287,AX288,AX289,AX300,AX301,AX302)</f>
        <v>#DIV/0!</v>
      </c>
      <c r="AY303" s="3" t="e">
        <f>SUM(AY287,AY288,AY289,AY300,AY301,AY302)</f>
        <v>#DIV/0!</v>
      </c>
      <c r="AZ303" s="3" t="e">
        <f>SUM(AZ287,AZ288,AZ289,AZ300,AZ301,AZ302)</f>
        <v>#DIV/0!</v>
      </c>
      <c r="BA303" s="3" t="e">
        <f>SUM(BA287,BA288,BA289,BA300,BA301,BA302)</f>
        <v>#DIV/0!</v>
      </c>
      <c r="BB303" s="3" t="e">
        <f>SUM(BB287,BB288,BB289,BB300,BB301,BB302)</f>
        <v>#DIV/0!</v>
      </c>
      <c r="BC303" s="3" t="e">
        <f>SUM(BC287,BC288,BC289,BC300,BC301,BC302)</f>
        <v>#DIV/0!</v>
      </c>
      <c r="BD303" s="3" t="e">
        <f>SUM(BD287,BD288,BD289,BD300,BD301,BD302)</f>
        <v>#DIV/0!</v>
      </c>
      <c r="BE303" s="3" t="e">
        <f>SUM(BE287,BE288,BE289,BE300,BE301,BE302)</f>
        <v>#DIV/0!</v>
      </c>
      <c r="BF303" s="3" t="e">
        <f>SUM(BF287,BF288,BF289,BF300,BF301,BF302)</f>
        <v>#DIV/0!</v>
      </c>
      <c r="BG303" s="3" t="e">
        <f>SUM(BG287,BG288,BG289,BG300,BG301,BG302)</f>
        <v>#DIV/0!</v>
      </c>
      <c r="BH303" s="3" t="e">
        <f>SUM(BH287,BH288,BH289,BH300,BH301,BH302)</f>
        <v>#DIV/0!</v>
      </c>
      <c r="BI303" s="3" t="e">
        <f>SUM(BI287,BI288,BI289,BI300,BI301,BI302)</f>
        <v>#DIV/0!</v>
      </c>
      <c r="BJ303" s="3" t="e">
        <f>SUM(BJ287,BJ288,BJ289,BJ300,BJ301,BJ302)</f>
        <v>#DIV/0!</v>
      </c>
      <c r="BK303" s="3" t="e">
        <f>SUM(BK287,BK288,BK289,BK300,BK301,BK302)</f>
        <v>#DIV/0!</v>
      </c>
      <c r="BL303" s="3" t="e">
        <f>SUM(BL287,BL288,BL289,BL300,BL301,BL302)</f>
        <v>#DIV/0!</v>
      </c>
      <c r="BM303" s="3" t="e">
        <f>SUM(BM287,BM288,BM289,BM300,BM301,BM302)</f>
        <v>#DIV/0!</v>
      </c>
      <c r="BN303" s="3" t="e">
        <f>SUM(BN287,BN288,BN289,BN300,BN301,BN302)</f>
        <v>#DIV/0!</v>
      </c>
      <c r="BO303" s="3" t="e">
        <f>SUM(BO287,BO288,BO289,BO300,BO301,BO302)</f>
        <v>#DIV/0!</v>
      </c>
      <c r="BP303" s="3" t="e">
        <f>SUM(BP287,BP288,BP289,BP300,BP301,BP302)</f>
        <v>#DIV/0!</v>
      </c>
      <c r="BQ303" s="3" t="e">
        <f>SUM(BQ287,BQ288,BQ289,BQ300,BQ301,BQ302)</f>
        <v>#DIV/0!</v>
      </c>
      <c r="BR303" s="3" t="e">
        <f>SUM(BR287,BR288,BR289,BR300,BR301,BR302)</f>
        <v>#DIV/0!</v>
      </c>
      <c r="BS303" s="3" t="e">
        <f>SUM(BS287,BS288,BS289,BS300,BS301,BS302)</f>
        <v>#DIV/0!</v>
      </c>
      <c r="BT303" s="3" t="e">
        <f>SUM(BT287,BT288,BT289,BT300,BT301,BT302)</f>
        <v>#DIV/0!</v>
      </c>
      <c r="BU303" s="3" t="e">
        <f>SUM(BU287,BU288,BU289,BU300,BU301,BU302)</f>
        <v>#DIV/0!</v>
      </c>
      <c r="BV303" s="3" t="e">
        <f>SUM(BV287,BV288,BV289,BV300,BV301,BV302)</f>
        <v>#DIV/0!</v>
      </c>
      <c r="BW303" s="3" t="e">
        <f>SUM(BW287,BW288,BW289,BW300,BW301,BW302)</f>
        <v>#DIV/0!</v>
      </c>
      <c r="BX303" s="3" t="e">
        <f>SUM(BX287,BX288,BX289,BX300,BX301,BX302)</f>
        <v>#DIV/0!</v>
      </c>
      <c r="BY303" s="3" t="e">
        <f>SUM(BY287,BY288,BY289,BY300,BY301,BY302)</f>
        <v>#DIV/0!</v>
      </c>
      <c r="BZ303" s="3" t="e">
        <f>SUM(BZ287,BZ288,BZ289,BZ300,BZ301,BZ302)</f>
        <v>#DIV/0!</v>
      </c>
      <c r="CA303" s="3" t="e">
        <f>SUM(CA287,CA288,CA289,CA300,CA301,CA302)</f>
        <v>#DIV/0!</v>
      </c>
      <c r="CB303" s="3" t="e">
        <f>SUM(CB287,CB288,CB289,CB300,CB301,CB302)</f>
        <v>#DIV/0!</v>
      </c>
      <c r="CC303" s="3" t="e">
        <f>SUM(CC287,CC288,CC289,CC300,CC301,CC302)</f>
        <v>#DIV/0!</v>
      </c>
      <c r="CD303" s="3" t="e">
        <f>SUM(CD287,CD288,CD289,CD300,CD301,CD302)</f>
        <v>#DIV/0!</v>
      </c>
      <c r="CE303" s="3" t="e">
        <f>SUM(CE287,CE288,CE289,CE300,CE301,CE302)</f>
        <v>#DIV/0!</v>
      </c>
      <c r="CF303" s="3" t="e">
        <f>SUM(CF287,CF288,CF289,CF300,CF301,CF302)</f>
        <v>#DIV/0!</v>
      </c>
      <c r="CG303" s="3" t="e">
        <f>SUM(CG287,CG288,CG289,CG300,CG301,CG302)</f>
        <v>#DIV/0!</v>
      </c>
      <c r="CH303" s="3" t="e">
        <f>SUM(CH287,CH288,CH289,CH300,CH301,CH302)</f>
        <v>#DIV/0!</v>
      </c>
      <c r="CI303" s="3" t="e">
        <f>SUM(CI287,CI288,CI289,CI300,CI301,CI302)</f>
        <v>#DIV/0!</v>
      </c>
      <c r="CJ303" s="3" t="e">
        <f>SUM(CJ287,CJ288,CJ289,CJ300,CJ301,CJ302)</f>
        <v>#DIV/0!</v>
      </c>
      <c r="CK303" s="3" t="e">
        <f>SUM(CK287,CK288,CK289,CK300,CK301,CK302)</f>
        <v>#DIV/0!</v>
      </c>
      <c r="CL303" s="3" t="e">
        <f>SUM(CL287,CL288,CL289,CL300,CL301,CL302)</f>
        <v>#DIV/0!</v>
      </c>
      <c r="CM303" s="3" t="e">
        <f>SUM(CM287,CM288,CM289,CM300,CM301,CM302)</f>
        <v>#DIV/0!</v>
      </c>
      <c r="CN303" s="3" t="e">
        <f>SUM(CN287,CN288,CN289,CN300,CN301,CN302)</f>
        <v>#DIV/0!</v>
      </c>
      <c r="CO303" s="3" t="e">
        <f>SUM(CO287,CO288,CO289,CO300,CO301,CO302)</f>
        <v>#DIV/0!</v>
      </c>
      <c r="CP303" s="3" t="e">
        <f>SUM(CP287,CP288,CP289,CP300,CP301,CP302)</f>
        <v>#DIV/0!</v>
      </c>
      <c r="CQ303" s="3" t="e">
        <f>SUM(CQ287,CQ288,CQ289,CQ300,CQ301,CQ302)</f>
        <v>#DIV/0!</v>
      </c>
      <c r="CR303" s="3" t="e">
        <f>SUM(CR287,CR288,CR289,CR300,CR301,CR302)</f>
        <v>#DIV/0!</v>
      </c>
      <c r="CS303" s="3" t="e">
        <f>SUM(CS287,CS288,CS289,CS300,CS301,CS302)</f>
        <v>#DIV/0!</v>
      </c>
      <c r="CT303" s="3" t="e">
        <f>SUM(CT287,CT288,CT289,CT300,CT301,CT302)</f>
        <v>#DIV/0!</v>
      </c>
      <c r="CU303" s="3" t="e">
        <f>SUM(CU287,CU288,CU289,CU300,CU301,CU302)</f>
        <v>#DIV/0!</v>
      </c>
      <c r="CV303" s="3" t="e">
        <f>SUM(CV287,CV288,CV289,CV300,CV301,CV302)</f>
        <v>#DIV/0!</v>
      </c>
      <c r="CW303" s="3" t="e">
        <f>SUM(CW287,CW288,CW289,CW300,CW301,CW302)</f>
        <v>#DIV/0!</v>
      </c>
      <c r="CX303" s="3" t="e">
        <f>SUM(CX287,CX288,CX289,CX300,CX301,CX302)</f>
        <v>#DIV/0!</v>
      </c>
      <c r="CY303" s="3" t="e">
        <f>SUM(CY287,CY288,CY289,CY300,CY301,CY302)</f>
        <v>#DIV/0!</v>
      </c>
    </row>
    <row r="304">
      <c r="C304" s="26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  <c r="CU304" s="3" t="n"/>
      <c r="CV304" s="3" t="n"/>
      <c r="CW304" s="3" t="n"/>
      <c r="CX304" s="3" t="n"/>
      <c r="CY304" s="3" t="n"/>
    </row>
    <row r="305">
      <c r="C305" s="29" t="inlineStr">
        <is>
          <t>Purchase of fixed assets (capital expenditures)</t>
        </is>
      </c>
      <c r="D305" s="3" t="n"/>
      <c r="E305" s="3" t="e">
        <f>-E178</f>
        <v>#N/A</v>
      </c>
      <c r="F305" s="3">
        <f>-F178</f>
        <v>-193.26681244</v>
      </c>
      <c r="G305" s="3">
        <f>-G178</f>
        <v>-269.75506304</v>
      </c>
      <c r="H305" s="3" t="e">
        <f>SUM(D305:G305)</f>
        <v>#N/A</v>
      </c>
      <c r="I305" s="3">
        <f>-I178</f>
        <v>-307.28565552</v>
      </c>
      <c r="J305" s="3">
        <f>-J178</f>
        <v>-282.58813071</v>
      </c>
      <c r="K305" s="3">
        <f>-K178</f>
        <v>-269.93633829</v>
      </c>
      <c r="L305" s="3">
        <f>-L178</f>
        <v>-641.073</v>
      </c>
      <c r="M305" s="3">
        <f>SUM(I305:L305)</f>
        <v>-1500.88312452</v>
      </c>
      <c r="N305" s="3">
        <f>-N178</f>
        <v>-348.192</v>
      </c>
      <c r="O305" s="3">
        <f>-O178</f>
        <v>-179.645</v>
      </c>
      <c r="P305" s="3">
        <f>-P178</f>
        <v>-149.307</v>
      </c>
      <c r="Q305" s="3">
        <f>-Q178</f>
        <v>-30.3229999999999</v>
      </c>
      <c r="R305" s="3">
        <f>SUM(N305:Q305)</f>
        <v>-707.467</v>
      </c>
      <c r="S305" s="3">
        <f>-S178</f>
        <v>-243.587</v>
      </c>
      <c r="T305" s="3">
        <f>-T178</f>
        <v>-263.159</v>
      </c>
      <c r="U305" s="3">
        <f>-U178</f>
        <v>-325.917</v>
      </c>
      <c r="V305" s="3">
        <f>-V178</f>
        <v>-291.059</v>
      </c>
      <c r="W305" s="3">
        <f>SUM(S305:V305)</f>
        <v>-1123.722</v>
      </c>
      <c r="X305" s="3">
        <f>-X178</f>
        <v>-370.92</v>
      </c>
      <c r="Y305" s="3">
        <f>-Y178</f>
        <v>-303.974</v>
      </c>
      <c r="Z305" s="3">
        <f>-Z178</f>
        <v>-255.400999999999</v>
      </c>
      <c r="AA305" s="3">
        <f>-AA178</f>
        <v>-98.363</v>
      </c>
      <c r="AB305" s="3">
        <f>SUM(X305:AA305)</f>
        <v>-1028.658</v>
      </c>
      <c r="AC305" s="3">
        <f>-AC178</f>
        <v>-254.384</v>
      </c>
      <c r="AD305" s="3">
        <f>-AD178</f>
        <v>-374.071</v>
      </c>
      <c r="AE305" s="3">
        <f>-AE178</f>
        <v>-858.372</v>
      </c>
      <c r="AF305" s="3">
        <f>-AF178</f>
        <v>-417.939</v>
      </c>
      <c r="AG305" s="3">
        <f>SUM(AC305:AF305)</f>
        <v>-1904.766</v>
      </c>
      <c r="AH305" s="3">
        <f>-AH178</f>
        <v>-188.610000000001</v>
      </c>
      <c r="AI305" s="3">
        <f>-AI178</f>
        <v>-106.251</v>
      </c>
      <c r="AJ305" s="3">
        <f>-AJ178</f>
        <v>0</v>
      </c>
      <c r="AK305" s="3">
        <f>-AK178</f>
        <v>0</v>
      </c>
      <c r="AL305" s="3">
        <f>SUM(AH305:AK305)</f>
        <v>-294.861</v>
      </c>
      <c r="AM305" s="3">
        <f>-AM178</f>
        <v>0</v>
      </c>
      <c r="AN305" s="3">
        <f>-AN178</f>
        <v>0</v>
      </c>
      <c r="AO305" s="3">
        <f>-AO178</f>
        <v>0</v>
      </c>
      <c r="AP305" s="3">
        <f>-AP178</f>
        <v>0</v>
      </c>
      <c r="AQ305" s="3">
        <f>SUM(AM305:AP305)</f>
        <v>0</v>
      </c>
      <c r="AR305" s="3">
        <f>-AR178</f>
        <v>0</v>
      </c>
      <c r="AS305" s="3">
        <f>-AS178</f>
        <v>0</v>
      </c>
      <c r="AT305" s="3">
        <f>-AT178</f>
        <v>0</v>
      </c>
      <c r="AU305" s="3">
        <f>-AU178</f>
        <v>0</v>
      </c>
      <c r="AV305" s="3">
        <f>SUM(AR305:AU305)</f>
        <v>0</v>
      </c>
      <c r="AW305" s="3">
        <f>-AW178</f>
        <v>0</v>
      </c>
      <c r="AX305" s="3">
        <f>-AX178</f>
        <v>0</v>
      </c>
      <c r="AY305" s="3">
        <f>-AY178</f>
        <v>0</v>
      </c>
      <c r="AZ305" s="3">
        <f>-AZ178</f>
        <v>0</v>
      </c>
      <c r="BA305" s="3">
        <f>SUM(AW305:AZ305)</f>
        <v>0</v>
      </c>
      <c r="BB305" s="3">
        <f>-BB178</f>
        <v>0</v>
      </c>
      <c r="BC305" s="3">
        <f>-BC178</f>
        <v>0</v>
      </c>
      <c r="BD305" s="3">
        <f>-BD178</f>
        <v>0</v>
      </c>
      <c r="BE305" s="3">
        <f>-BE178</f>
        <v>0</v>
      </c>
      <c r="BF305" s="3">
        <f>SUM(BB305:BE305)</f>
        <v>0</v>
      </c>
      <c r="BG305" s="3">
        <f>-BG178</f>
        <v>0</v>
      </c>
      <c r="BH305" s="3">
        <f>-BH178</f>
        <v>0</v>
      </c>
      <c r="BI305" s="3">
        <f>-BI178</f>
        <v>0</v>
      </c>
      <c r="BJ305" s="3">
        <f>-BJ178</f>
        <v>0</v>
      </c>
      <c r="BK305" s="3">
        <f>SUM(BG305:BJ305)</f>
        <v>0</v>
      </c>
      <c r="BL305" s="3">
        <f>-BL178</f>
        <v>0</v>
      </c>
      <c r="BM305" s="3">
        <f>-BM178</f>
        <v>0</v>
      </c>
      <c r="BN305" s="3">
        <f>-BN178</f>
        <v>0</v>
      </c>
      <c r="BO305" s="3">
        <f>-BO178</f>
        <v>0</v>
      </c>
      <c r="BP305" s="3">
        <f>SUM(BL305:BO305)</f>
        <v>0</v>
      </c>
      <c r="BQ305" s="3">
        <f>-BQ178</f>
        <v>0</v>
      </c>
      <c r="BR305" s="3">
        <f>-BR178</f>
        <v>0</v>
      </c>
      <c r="BS305" s="3">
        <f>-BS178</f>
        <v>0</v>
      </c>
      <c r="BT305" s="3">
        <f>-BT178</f>
        <v>0</v>
      </c>
      <c r="BU305" s="3">
        <f>SUM(BQ305:BT305)</f>
        <v>0</v>
      </c>
      <c r="BV305" s="3">
        <f>-BV178</f>
        <v>0</v>
      </c>
      <c r="BW305" s="3">
        <f>-BW178</f>
        <v>0</v>
      </c>
      <c r="BX305" s="3">
        <f>-BX178</f>
        <v>0</v>
      </c>
      <c r="BY305" s="3">
        <f>-BY178</f>
        <v>0</v>
      </c>
      <c r="BZ305" s="3">
        <f>SUM(BV305:BY305)</f>
        <v>0</v>
      </c>
      <c r="CA305" s="3">
        <f>-CA178</f>
        <v>0</v>
      </c>
      <c r="CB305" s="3">
        <f>-CB178</f>
        <v>0</v>
      </c>
      <c r="CC305" s="3">
        <f>-CC178</f>
        <v>0</v>
      </c>
      <c r="CD305" s="3">
        <f>-CD178</f>
        <v>0</v>
      </c>
      <c r="CE305" s="3">
        <f>SUM(CA305:CD305)</f>
        <v>0</v>
      </c>
      <c r="CF305" s="3">
        <f>-CF178</f>
        <v>0</v>
      </c>
      <c r="CG305" s="3">
        <f>-CG178</f>
        <v>0</v>
      </c>
      <c r="CH305" s="3">
        <f>-CH178</f>
        <v>0</v>
      </c>
      <c r="CI305" s="3">
        <f>-CI178</f>
        <v>0</v>
      </c>
      <c r="CJ305" s="3">
        <f>SUM(CF305:CI305)</f>
        <v>0</v>
      </c>
      <c r="CK305" s="3">
        <f>-CK178</f>
        <v>0</v>
      </c>
      <c r="CL305" s="3">
        <f>-CL178</f>
        <v>0</v>
      </c>
      <c r="CM305" s="3">
        <f>-CM178</f>
        <v>0</v>
      </c>
      <c r="CN305" s="3">
        <f>-CN178</f>
        <v>0</v>
      </c>
      <c r="CO305" s="3">
        <f>SUM(CK305:CN305)</f>
        <v>0</v>
      </c>
      <c r="CP305" s="3">
        <f>-CP178</f>
        <v>0</v>
      </c>
      <c r="CQ305" s="3">
        <f>-CQ178</f>
        <v>0</v>
      </c>
      <c r="CR305" s="3">
        <f>-CR178</f>
        <v>0</v>
      </c>
      <c r="CS305" s="3">
        <f>-CS178</f>
        <v>0</v>
      </c>
      <c r="CT305" s="3">
        <f>SUM(CP305:CS305)</f>
        <v>0</v>
      </c>
      <c r="CU305" s="3">
        <f>-CU178</f>
        <v>0</v>
      </c>
      <c r="CV305" s="3">
        <f>-CV178</f>
        <v>0</v>
      </c>
      <c r="CW305" s="3">
        <f>-CW178</f>
        <v>0</v>
      </c>
      <c r="CX305" s="3">
        <f>-CX178</f>
        <v>0</v>
      </c>
      <c r="CY305" s="3">
        <f>SUM(CU305:CX305)</f>
        <v>0</v>
      </c>
    </row>
    <row r="306">
      <c r="C306" s="29" t="inlineStr">
        <is>
          <t>Proceeds from sale of fixed assets</t>
        </is>
      </c>
      <c r="D306" s="3" t="n"/>
      <c r="E306" s="3">
        <f>-E179</f>
        <v>0</v>
      </c>
      <c r="F306" s="3">
        <f>-F179</f>
        <v>0</v>
      </c>
      <c r="G306" s="3">
        <f>-G179</f>
        <v>0</v>
      </c>
      <c r="H306" s="3">
        <f>SUM(D306:G306)</f>
        <v>0</v>
      </c>
      <c r="I306" s="3">
        <f>-I179</f>
        <v>0</v>
      </c>
      <c r="J306" s="3">
        <f>-J179</f>
        <v>0</v>
      </c>
      <c r="K306" s="3">
        <f>-K179</f>
        <v>0</v>
      </c>
      <c r="L306" s="3">
        <f>-L179</f>
        <v>0</v>
      </c>
      <c r="M306" s="3">
        <f>SUM(I306:L306)</f>
        <v>0</v>
      </c>
      <c r="N306" s="3">
        <f>-N179</f>
        <v>0</v>
      </c>
      <c r="O306" s="3">
        <f>-O179</f>
        <v>0</v>
      </c>
      <c r="P306" s="3">
        <f>-P179</f>
        <v>0</v>
      </c>
      <c r="Q306" s="3">
        <f>-Q179</f>
        <v>0</v>
      </c>
      <c r="R306" s="3">
        <f>SUM(N306:Q306)</f>
        <v>0</v>
      </c>
      <c r="S306" s="3">
        <f>-S179</f>
        <v>0</v>
      </c>
      <c r="T306" s="3">
        <f>-T179</f>
        <v>0</v>
      </c>
      <c r="U306" s="3">
        <f>-U179</f>
        <v>0</v>
      </c>
      <c r="V306" s="3">
        <f>-V179</f>
        <v>0</v>
      </c>
      <c r="W306" s="3">
        <f>SUM(S306:V306)</f>
        <v>0</v>
      </c>
      <c r="X306" s="3">
        <f>-X179</f>
        <v>0</v>
      </c>
      <c r="Y306" s="3">
        <f>-Y179</f>
        <v>0</v>
      </c>
      <c r="Z306" s="3">
        <f>-Z179</f>
        <v>0</v>
      </c>
      <c r="AA306" s="3">
        <f>-AA179</f>
        <v>0</v>
      </c>
      <c r="AB306" s="3">
        <f>SUM(X306:AA306)</f>
        <v>0</v>
      </c>
      <c r="AC306" s="3">
        <f>-AC179</f>
        <v>0</v>
      </c>
      <c r="AD306" s="3">
        <f>-AD179</f>
        <v>0</v>
      </c>
      <c r="AE306" s="3">
        <f>-AE179</f>
        <v>0</v>
      </c>
      <c r="AF306" s="3">
        <f>-AF179</f>
        <v>0</v>
      </c>
      <c r="AG306" s="3">
        <f>SUM(AC306:AF306)</f>
        <v>0</v>
      </c>
      <c r="AH306" s="3">
        <f>-AH179</f>
        <v>0</v>
      </c>
      <c r="AI306" s="3">
        <f>-AI179</f>
        <v>0</v>
      </c>
      <c r="AJ306" s="3">
        <f>-AJ179</f>
        <v>0</v>
      </c>
      <c r="AK306" s="3">
        <f>-AK179</f>
        <v>0</v>
      </c>
      <c r="AL306" s="3">
        <f>SUM(AH306:AK306)</f>
        <v>0</v>
      </c>
      <c r="AM306" s="3">
        <f>-AM179</f>
        <v>0</v>
      </c>
      <c r="AN306" s="3">
        <f>-AN179</f>
        <v>0</v>
      </c>
      <c r="AO306" s="3">
        <f>-AO179</f>
        <v>0</v>
      </c>
      <c r="AP306" s="3">
        <f>-AP179</f>
        <v>0</v>
      </c>
      <c r="AQ306" s="3">
        <f>SUM(AM306:AP306)</f>
        <v>0</v>
      </c>
      <c r="AR306" s="3">
        <f>-AR179</f>
        <v>0</v>
      </c>
      <c r="AS306" s="3">
        <f>-AS179</f>
        <v>0</v>
      </c>
      <c r="AT306" s="3">
        <f>-AT179</f>
        <v>0</v>
      </c>
      <c r="AU306" s="3">
        <f>-AU179</f>
        <v>0</v>
      </c>
      <c r="AV306" s="3">
        <f>SUM(AR306:AU306)</f>
        <v>0</v>
      </c>
      <c r="AW306" s="3">
        <f>-AW179</f>
        <v>0</v>
      </c>
      <c r="AX306" s="3">
        <f>-AX179</f>
        <v>0</v>
      </c>
      <c r="AY306" s="3">
        <f>-AY179</f>
        <v>0</v>
      </c>
      <c r="AZ306" s="3">
        <f>-AZ179</f>
        <v>0</v>
      </c>
      <c r="BA306" s="3">
        <f>SUM(AW306:AZ306)</f>
        <v>0</v>
      </c>
      <c r="BB306" s="3">
        <f>-BB179</f>
        <v>0</v>
      </c>
      <c r="BC306" s="3">
        <f>-BC179</f>
        <v>0</v>
      </c>
      <c r="BD306" s="3">
        <f>-BD179</f>
        <v>0</v>
      </c>
      <c r="BE306" s="3">
        <f>-BE179</f>
        <v>0</v>
      </c>
      <c r="BF306" s="3">
        <f>SUM(BB306:BE306)</f>
        <v>0</v>
      </c>
      <c r="BG306" s="3">
        <f>-BG179</f>
        <v>0</v>
      </c>
      <c r="BH306" s="3">
        <f>-BH179</f>
        <v>0</v>
      </c>
      <c r="BI306" s="3">
        <f>-BI179</f>
        <v>0</v>
      </c>
      <c r="BJ306" s="3">
        <f>-BJ179</f>
        <v>0</v>
      </c>
      <c r="BK306" s="3">
        <f>SUM(BG306:BJ306)</f>
        <v>0</v>
      </c>
      <c r="BL306" s="3">
        <f>-BL179</f>
        <v>0</v>
      </c>
      <c r="BM306" s="3">
        <f>-BM179</f>
        <v>0</v>
      </c>
      <c r="BN306" s="3">
        <f>-BN179</f>
        <v>0</v>
      </c>
      <c r="BO306" s="3">
        <f>-BO179</f>
        <v>0</v>
      </c>
      <c r="BP306" s="3">
        <f>SUM(BL306:BO306)</f>
        <v>0</v>
      </c>
      <c r="BQ306" s="3">
        <f>-BQ179</f>
        <v>0</v>
      </c>
      <c r="BR306" s="3">
        <f>-BR179</f>
        <v>0</v>
      </c>
      <c r="BS306" s="3">
        <f>-BS179</f>
        <v>0</v>
      </c>
      <c r="BT306" s="3">
        <f>-BT179</f>
        <v>0</v>
      </c>
      <c r="BU306" s="3">
        <f>SUM(BQ306:BT306)</f>
        <v>0</v>
      </c>
      <c r="BV306" s="3">
        <f>-BV179</f>
        <v>0</v>
      </c>
      <c r="BW306" s="3">
        <f>-BW179</f>
        <v>0</v>
      </c>
      <c r="BX306" s="3">
        <f>-BX179</f>
        <v>0</v>
      </c>
      <c r="BY306" s="3">
        <f>-BY179</f>
        <v>0</v>
      </c>
      <c r="BZ306" s="3">
        <f>SUM(BV306:BY306)</f>
        <v>0</v>
      </c>
      <c r="CA306" s="3">
        <f>-CA179</f>
        <v>0</v>
      </c>
      <c r="CB306" s="3">
        <f>-CB179</f>
        <v>0</v>
      </c>
      <c r="CC306" s="3">
        <f>-CC179</f>
        <v>0</v>
      </c>
      <c r="CD306" s="3">
        <f>-CD179</f>
        <v>0</v>
      </c>
      <c r="CE306" s="3">
        <f>SUM(CA306:CD306)</f>
        <v>0</v>
      </c>
      <c r="CF306" s="3">
        <f>-CF179</f>
        <v>0</v>
      </c>
      <c r="CG306" s="3">
        <f>-CG179</f>
        <v>0</v>
      </c>
      <c r="CH306" s="3">
        <f>-CH179</f>
        <v>0</v>
      </c>
      <c r="CI306" s="3">
        <f>-CI179</f>
        <v>0</v>
      </c>
      <c r="CJ306" s="3">
        <f>SUM(CF306:CI306)</f>
        <v>0</v>
      </c>
      <c r="CK306" s="3">
        <f>-CK179</f>
        <v>0</v>
      </c>
      <c r="CL306" s="3">
        <f>-CL179</f>
        <v>0</v>
      </c>
      <c r="CM306" s="3">
        <f>-CM179</f>
        <v>0</v>
      </c>
      <c r="CN306" s="3">
        <f>-CN179</f>
        <v>0</v>
      </c>
      <c r="CO306" s="3">
        <f>SUM(CK306:CN306)</f>
        <v>0</v>
      </c>
      <c r="CP306" s="3">
        <f>-CP179</f>
        <v>0</v>
      </c>
      <c r="CQ306" s="3">
        <f>-CQ179</f>
        <v>0</v>
      </c>
      <c r="CR306" s="3">
        <f>-CR179</f>
        <v>0</v>
      </c>
      <c r="CS306" s="3">
        <f>-CS179</f>
        <v>0</v>
      </c>
      <c r="CT306" s="3">
        <f>SUM(CP306:CS306)</f>
        <v>0</v>
      </c>
      <c r="CU306" s="3">
        <f>-CU179</f>
        <v>0</v>
      </c>
      <c r="CV306" s="3">
        <f>-CV179</f>
        <v>0</v>
      </c>
      <c r="CW306" s="3">
        <f>-CW179</f>
        <v>0</v>
      </c>
      <c r="CX306" s="3">
        <f>-CX179</f>
        <v>0</v>
      </c>
      <c r="CY306" s="3">
        <f>SUM(CU306:CX306)</f>
        <v>0</v>
      </c>
    </row>
    <row r="307">
      <c r="C307" s="29" t="inlineStr">
        <is>
          <t>Var.Right-of-use-assets</t>
        </is>
      </c>
      <c r="D307" s="3" t="n"/>
      <c r="E307" s="3" t="e">
        <f>(E186-D186)*-1</f>
        <v>#N/A</v>
      </c>
      <c r="F307" s="3">
        <f>(F186-E186)*-1</f>
        <v>-75.05082052</v>
      </c>
      <c r="G307" s="3">
        <f>(G186-F186)*-1</f>
        <v>-57.5745383000001</v>
      </c>
      <c r="H307" s="3" t="e">
        <f>SUM(D307:G307)</f>
        <v>#N/A</v>
      </c>
      <c r="I307" s="3">
        <f>(I186-H186)*-1</f>
        <v>-65.0283146200001</v>
      </c>
      <c r="J307" s="3">
        <f>(J186-I186)*-1</f>
        <v>-41.1863190299999</v>
      </c>
      <c r="K307" s="3">
        <f>(K186-J186)*-1</f>
        <v>-127.57600753</v>
      </c>
      <c r="L307" s="3">
        <f>(L186-K186)*-1</f>
        <v>-76.662</v>
      </c>
      <c r="M307" s="3">
        <f>SUM(I307:L307)</f>
        <v>-310.45264118</v>
      </c>
      <c r="N307" s="3">
        <f>(N186-M186)*-1</f>
        <v>-90.725</v>
      </c>
      <c r="O307" s="3">
        <f>(O186-N186)*-1</f>
        <v>-196.531</v>
      </c>
      <c r="P307" s="3">
        <f>(P186-O186)*-1</f>
        <v>-62.664</v>
      </c>
      <c r="Q307" s="3">
        <f>(Q186-P186)*-1</f>
        <v>-3.39100000000008</v>
      </c>
      <c r="R307" s="3">
        <f>SUM(N307:Q307)</f>
        <v>-353.311</v>
      </c>
      <c r="S307" s="3">
        <f>(S186-R186)*-1</f>
        <v>-69.2380000000001</v>
      </c>
      <c r="T307" s="3">
        <f>(T186-S186)*-1</f>
        <v>-234.646</v>
      </c>
      <c r="U307" s="3">
        <f>(U186-T186)*-1</f>
        <v>-209.696</v>
      </c>
      <c r="V307" s="3">
        <f>(V186-U186)*-1</f>
        <v>-76.4160000000002</v>
      </c>
      <c r="W307" s="3">
        <f>SUM(S307:V307)</f>
        <v>-589.996</v>
      </c>
      <c r="X307" s="3">
        <f>(X186-W186)*-1</f>
        <v>-170.594</v>
      </c>
      <c r="Y307" s="3">
        <f>(Y186-X186)*-1</f>
        <v>155.202</v>
      </c>
      <c r="Z307" s="3">
        <f>(Z186-Y186)*-1</f>
        <v>-17.874</v>
      </c>
      <c r="AA307" s="3">
        <f>(AA186-Z186)*-1</f>
        <v>-151.937</v>
      </c>
      <c r="AB307" s="3">
        <f>SUM(X307:AA307)</f>
        <v>-185.203</v>
      </c>
      <c r="AC307" s="3">
        <f>(AC186-AB186)*-1</f>
        <v>-303.603</v>
      </c>
      <c r="AD307" s="3">
        <f>(AD186-AC186)*-1</f>
        <v>-301.652</v>
      </c>
      <c r="AE307" s="3">
        <f>(AE186-AD186)*-1</f>
        <v>-898.311</v>
      </c>
      <c r="AF307" s="3">
        <f>(AF186-AE186)*-1</f>
        <v>-114.684</v>
      </c>
      <c r="AG307" s="3">
        <f>SUM(AC307:AF307)</f>
        <v>-1618.25</v>
      </c>
      <c r="AH307" s="3">
        <f>(AH186-AG186)*-1</f>
        <v>-41.8420000000001</v>
      </c>
      <c r="AI307" s="3">
        <f>(AI186-AH186)*-1</f>
        <v>-171.777</v>
      </c>
      <c r="AJ307" s="3">
        <f>(AJ186-AI186)*-1</f>
        <v>0</v>
      </c>
      <c r="AK307" s="3">
        <f>(AK186-AJ186)*-1</f>
        <v>0</v>
      </c>
      <c r="AL307" s="3">
        <f>SUM(AH307:AK307)</f>
        <v>-213.619</v>
      </c>
      <c r="AM307" s="3">
        <f>(AM186-AL186)*-1</f>
        <v>0</v>
      </c>
      <c r="AN307" s="3">
        <f>(AN186-AM186)*-1</f>
        <v>0</v>
      </c>
      <c r="AO307" s="3">
        <f>(AO186-AN186)*-1</f>
        <v>0</v>
      </c>
      <c r="AP307" s="3">
        <f>(AP186-AO186)*-1</f>
        <v>0</v>
      </c>
      <c r="AQ307" s="3">
        <f>SUM(AM307:AP307)</f>
        <v>0</v>
      </c>
      <c r="AR307" s="3">
        <f>(AR186-AQ186)*-1</f>
        <v>0</v>
      </c>
      <c r="AS307" s="3">
        <f>(AS186-AR186)*-1</f>
        <v>0</v>
      </c>
      <c r="AT307" s="3">
        <f>(AT186-AS186)*-1</f>
        <v>0</v>
      </c>
      <c r="AU307" s="3">
        <f>(AU186-AT186)*-1</f>
        <v>0</v>
      </c>
      <c r="AV307" s="3">
        <f>SUM(AR307:AU307)</f>
        <v>0</v>
      </c>
      <c r="AW307" s="3">
        <f>(AW186-AV186)*-1</f>
        <v>0</v>
      </c>
      <c r="AX307" s="3">
        <f>(AX186-AW186)*-1</f>
        <v>0</v>
      </c>
      <c r="AY307" s="3">
        <f>(AY186-AX186)*-1</f>
        <v>0</v>
      </c>
      <c r="AZ307" s="3">
        <f>(AZ186-AY186)*-1</f>
        <v>0</v>
      </c>
      <c r="BA307" s="3">
        <f>SUM(AW307:AZ307)</f>
        <v>0</v>
      </c>
      <c r="BB307" s="3">
        <f>(BB186-BA186)*-1</f>
        <v>0</v>
      </c>
      <c r="BC307" s="3">
        <f>(BC186-BB186)*-1</f>
        <v>0</v>
      </c>
      <c r="BD307" s="3">
        <f>(BD186-BC186)*-1</f>
        <v>0</v>
      </c>
      <c r="BE307" s="3">
        <f>(BE186-BD186)*-1</f>
        <v>0</v>
      </c>
      <c r="BF307" s="3">
        <f>SUM(BB307:BE307)</f>
        <v>0</v>
      </c>
      <c r="BG307" s="3">
        <f>(BG186-BF186)*-1</f>
        <v>0</v>
      </c>
      <c r="BH307" s="3">
        <f>(BH186-BG186)*-1</f>
        <v>0</v>
      </c>
      <c r="BI307" s="3">
        <f>(BI186-BH186)*-1</f>
        <v>0</v>
      </c>
      <c r="BJ307" s="3">
        <f>(BJ186-BI186)*-1</f>
        <v>0</v>
      </c>
      <c r="BK307" s="3">
        <f>SUM(BG307:BJ307)</f>
        <v>0</v>
      </c>
      <c r="BL307" s="3">
        <f>(BL186-BK186)*-1</f>
        <v>0</v>
      </c>
      <c r="BM307" s="3">
        <f>(BM186-BL186)*-1</f>
        <v>0</v>
      </c>
      <c r="BN307" s="3">
        <f>(BN186-BM186)*-1</f>
        <v>0</v>
      </c>
      <c r="BO307" s="3">
        <f>(BO186-BN186)*-1</f>
        <v>0</v>
      </c>
      <c r="BP307" s="3">
        <f>SUM(BL307:BO307)</f>
        <v>0</v>
      </c>
      <c r="BQ307" s="3">
        <f>(BQ186-BP186)*-1</f>
        <v>0</v>
      </c>
      <c r="BR307" s="3">
        <f>(BR186-BQ186)*-1</f>
        <v>0</v>
      </c>
      <c r="BS307" s="3">
        <f>(BS186-BR186)*-1</f>
        <v>0</v>
      </c>
      <c r="BT307" s="3">
        <f>(BT186-BS186)*-1</f>
        <v>0</v>
      </c>
      <c r="BU307" s="3">
        <f>SUM(BQ307:BT307)</f>
        <v>0</v>
      </c>
      <c r="BV307" s="3">
        <f>(BV186-BU186)*-1</f>
        <v>0</v>
      </c>
      <c r="BW307" s="3">
        <f>(BW186-BV186)*-1</f>
        <v>0</v>
      </c>
      <c r="BX307" s="3">
        <f>(BX186-BW186)*-1</f>
        <v>0</v>
      </c>
      <c r="BY307" s="3">
        <f>(BY186-BX186)*-1</f>
        <v>0</v>
      </c>
      <c r="BZ307" s="3">
        <f>SUM(BV307:BY307)</f>
        <v>0</v>
      </c>
      <c r="CA307" s="3">
        <f>(CA186-BZ186)*-1</f>
        <v>0</v>
      </c>
      <c r="CB307" s="3">
        <f>(CB186-CA186)*-1</f>
        <v>0</v>
      </c>
      <c r="CC307" s="3">
        <f>(CC186-CB186)*-1</f>
        <v>0</v>
      </c>
      <c r="CD307" s="3">
        <f>(CD186-CC186)*-1</f>
        <v>0</v>
      </c>
      <c r="CE307" s="3">
        <f>SUM(CA307:CD307)</f>
        <v>0</v>
      </c>
      <c r="CF307" s="3">
        <f>(CF186-CE186)*-1</f>
        <v>0</v>
      </c>
      <c r="CG307" s="3">
        <f>(CG186-CF186)*-1</f>
        <v>0</v>
      </c>
      <c r="CH307" s="3">
        <f>(CH186-CG186)*-1</f>
        <v>0</v>
      </c>
      <c r="CI307" s="3">
        <f>(CI186-CH186)*-1</f>
        <v>0</v>
      </c>
      <c r="CJ307" s="3">
        <f>SUM(CF307:CI307)</f>
        <v>0</v>
      </c>
      <c r="CK307" s="3">
        <f>(CK186-CJ186)*-1</f>
        <v>0</v>
      </c>
      <c r="CL307" s="3">
        <f>(CL186-CK186)*-1</f>
        <v>0</v>
      </c>
      <c r="CM307" s="3">
        <f>(CM186-CL186)*-1</f>
        <v>0</v>
      </c>
      <c r="CN307" s="3">
        <f>(CN186-CM186)*-1</f>
        <v>0</v>
      </c>
      <c r="CO307" s="3">
        <f>SUM(CK307:CN307)</f>
        <v>0</v>
      </c>
      <c r="CP307" s="3">
        <f>(CP186-CO186)*-1</f>
        <v>0</v>
      </c>
      <c r="CQ307" s="3">
        <f>(CQ186-CP186)*-1</f>
        <v>0</v>
      </c>
      <c r="CR307" s="3">
        <f>(CR186-CQ186)*-1</f>
        <v>0</v>
      </c>
      <c r="CS307" s="3">
        <f>(CS186-CR186)*-1</f>
        <v>0</v>
      </c>
      <c r="CT307" s="3">
        <f>SUM(CP307:CS307)</f>
        <v>0</v>
      </c>
      <c r="CU307" s="3">
        <f>(CU186-CT186)*-1</f>
        <v>0</v>
      </c>
      <c r="CV307" s="3">
        <f>(CV186-CU186)*-1</f>
        <v>0</v>
      </c>
      <c r="CW307" s="3">
        <f>(CW186-CV186)*-1</f>
        <v>0</v>
      </c>
      <c r="CX307" s="3">
        <f>(CX186-CW186)*-1</f>
        <v>0</v>
      </c>
      <c r="CY307" s="3">
        <f>SUM(CU307:CX307)</f>
        <v>0</v>
      </c>
      <c r="CZ307" s="3" t="n"/>
      <c r="DA307" s="3" t="n"/>
      <c r="DB307" s="3" t="n"/>
      <c r="DC307" s="3" t="n"/>
    </row>
    <row r="308">
      <c r="C308" s="29" t="inlineStr">
        <is>
          <t>Purchases of intangible assets</t>
        </is>
      </c>
      <c r="D308" s="3" t="n"/>
      <c r="E308" s="3" t="e">
        <f>((E190-D190)*-1)+((E189-D189)*-1)</f>
        <v>#N/A</v>
      </c>
      <c r="F308" s="3">
        <f>((F190-E190)*-1)+((F189-E189)*-1)</f>
        <v>0</v>
      </c>
      <c r="G308" s="3">
        <f>((G190-F190)*-1)+((G189-F189)*-1)</f>
        <v>0</v>
      </c>
      <c r="H308" s="3" t="e">
        <f>SUM(D308:G308)</f>
        <v>#N/A</v>
      </c>
      <c r="I308" s="3">
        <f>((I190-H190)*-1)+((I189-H189)*-1)</f>
        <v>-2.78999999</v>
      </c>
      <c r="J308" s="3">
        <f>((J190-I190)*-1)+((J189-I189)*-1)</f>
        <v>0.0500000099999998</v>
      </c>
      <c r="K308" s="3">
        <f>((K190-J190)*-1)+((K189-J189)*-1)</f>
        <v>0.58399998</v>
      </c>
      <c r="L308" s="3">
        <f>((L190-K190)*-1)+((L189-K189)*-1)</f>
        <v>0.0499999999999998</v>
      </c>
      <c r="M308" s="3">
        <f>SUM(I308:L308)</f>
        <v>-2.106</v>
      </c>
      <c r="N308" s="3">
        <f>((N190-M190)*-1)+((N189-M189)*-1)</f>
        <v>0.0499999999999998</v>
      </c>
      <c r="O308" s="3">
        <f>((O190-N190)*-1)+((O189-N189)*-1)</f>
        <v>0.0500000000000003</v>
      </c>
      <c r="P308" s="3">
        <f>((P190-O190)*-1)+((P189-O189)*-1)</f>
        <v>0.0499999999999998</v>
      </c>
      <c r="Q308" s="3">
        <f>((Q190-P190)*-1)+((Q189-P189)*-1)</f>
        <v>-2.109</v>
      </c>
      <c r="R308" s="3">
        <f>SUM(N308:Q308)</f>
        <v>-1.959</v>
      </c>
      <c r="S308" s="3">
        <f>((S190-R190)*-1)+((S189-R189)*-1)</f>
        <v>-7.436</v>
      </c>
      <c r="T308" s="3">
        <f>((T190-S190)*-1)+((T189-S189)*-1)</f>
        <v>-14.249</v>
      </c>
      <c r="U308" s="3">
        <f>((U190-T190)*-1)+((U189-T189)*-1)</f>
        <v>-4.707</v>
      </c>
      <c r="V308" s="3">
        <f>((V190-U190)*-1)+((V189-U189)*-1)</f>
        <v>-2.933</v>
      </c>
      <c r="W308" s="3">
        <f>SUM(S308:V308)</f>
        <v>-29.325</v>
      </c>
      <c r="X308" s="3">
        <f>((X190-W190)*-1)+((X189-W189)*-1)</f>
        <v>-5.362</v>
      </c>
      <c r="Y308" s="3">
        <f>((Y190-X190)*-1)+((Y189-X189)*-1)</f>
        <v>-3.972</v>
      </c>
      <c r="Z308" s="3">
        <f>((Z190-Y190)*-1)+((Z189-Y189)*-1)</f>
        <v>-3.719</v>
      </c>
      <c r="AA308" s="3">
        <f>((AA190-Z190)*-1)+((AA189-Z189)*-1)</f>
        <v>-14.267</v>
      </c>
      <c r="AB308" s="3">
        <f>SUM(X308:AA308)</f>
        <v>-27.32</v>
      </c>
      <c r="AC308" s="3">
        <f>((AC190-AB190)*-1)+((AC189-AB189)*-1)</f>
        <v>-2.671</v>
      </c>
      <c r="AD308" s="3">
        <f>((AD190-AC190)*-1)+((AD189-AC189)*-1)</f>
        <v>-5.85599999999999</v>
      </c>
      <c r="AE308" s="3">
        <f>((AE190-AD190)*-1)+((AE189-AD189)*-1)</f>
        <v>-659.804</v>
      </c>
      <c r="AF308" s="3">
        <f>((AF190-AE190)*-1)+((AF189-AE189)*-1)</f>
        <v>77.7669999999999</v>
      </c>
      <c r="AG308" s="3">
        <f>SUM(AC308:AF308)</f>
        <v>-590.564</v>
      </c>
      <c r="AH308" s="3">
        <f>((AH190-AG190)*-1)+((AH189-AG189)*-1)</f>
        <v>-11.36</v>
      </c>
      <c r="AI308" s="3">
        <f>((AI190-AH190)*-1)+((AI189-AH189)*-1)</f>
        <v>-85.8499999999999</v>
      </c>
      <c r="AJ308" s="3">
        <f>((AJ190-AI190)*-1)+((AJ189-AI189)*-1)</f>
        <v>748.934</v>
      </c>
      <c r="AK308" s="3">
        <f>((AK190-AJ190)*-1)+((AK189-AJ189)*-1)</f>
        <v>0</v>
      </c>
      <c r="AL308" s="3">
        <f>SUM(AH308:AK308)</f>
        <v>651.724</v>
      </c>
      <c r="AM308" s="3">
        <f>((AM190-AL190)*-1)+((AM189-AL189)*-1)</f>
        <v>0</v>
      </c>
      <c r="AN308" s="3">
        <f>((AN190-AM190)*-1)+((AN189-AM189)*-1)</f>
        <v>0</v>
      </c>
      <c r="AO308" s="3">
        <f>((AO190-AN190)*-1)+((AO189-AN189)*-1)</f>
        <v>0</v>
      </c>
      <c r="AP308" s="3">
        <f>((AP190-AO190)*-1)+((AP189-AO189)*-1)</f>
        <v>0</v>
      </c>
      <c r="AQ308" s="3">
        <f>SUM(AM308:AP308)</f>
        <v>0</v>
      </c>
      <c r="AR308" s="3">
        <f>((AR190-AQ190)*-1)+((AR189-AQ189)*-1)</f>
        <v>0</v>
      </c>
      <c r="AS308" s="3">
        <f>((AS190-AR190)*-1)+((AS189-AR189)*-1)</f>
        <v>0</v>
      </c>
      <c r="AT308" s="3">
        <f>((AT190-AS190)*-1)+((AT189-AS189)*-1)</f>
        <v>0</v>
      </c>
      <c r="AU308" s="3">
        <f>((AU190-AT190)*-1)+((AU189-AT189)*-1)</f>
        <v>0</v>
      </c>
      <c r="AV308" s="3">
        <f>SUM(AR308:AU308)</f>
        <v>0</v>
      </c>
      <c r="AW308" s="3">
        <f>((AW190-AV190)*-1)+((AW189-AV189)*-1)</f>
        <v>0</v>
      </c>
      <c r="AX308" s="3">
        <f>((AX190-AW190)*-1)+((AX189-AW189)*-1)</f>
        <v>0</v>
      </c>
      <c r="AY308" s="3">
        <f>((AY190-AX190)*-1)+((AY189-AX189)*-1)</f>
        <v>0</v>
      </c>
      <c r="AZ308" s="3">
        <f>((AZ190-AY190)*-1)+((AZ189-AY189)*-1)</f>
        <v>0</v>
      </c>
      <c r="BA308" s="3">
        <f>SUM(AW308:AZ308)</f>
        <v>0</v>
      </c>
      <c r="BB308" s="3">
        <f>((BB190-BA190)*-1)+((BB189-BA189)*-1)</f>
        <v>0</v>
      </c>
      <c r="BC308" s="3">
        <f>((BC190-BB190)*-1)+((BC189-BB189)*-1)</f>
        <v>0</v>
      </c>
      <c r="BD308" s="3">
        <f>((BD190-BC190)*-1)+((BD189-BC189)*-1)</f>
        <v>0</v>
      </c>
      <c r="BE308" s="3">
        <f>((BE190-BD190)*-1)+((BE189-BD189)*-1)</f>
        <v>0</v>
      </c>
      <c r="BF308" s="3">
        <f>SUM(BB308:BE308)</f>
        <v>0</v>
      </c>
      <c r="BG308" s="3">
        <f>((BG190-BF190)*-1)+((BG189-BF189)*-1)</f>
        <v>0</v>
      </c>
      <c r="BH308" s="3">
        <f>((BH190-BG190)*-1)+((BH189-BG189)*-1)</f>
        <v>0</v>
      </c>
      <c r="BI308" s="3">
        <f>((BI190-BH190)*-1)+((BI189-BH189)*-1)</f>
        <v>0</v>
      </c>
      <c r="BJ308" s="3">
        <f>((BJ190-BI190)*-1)+((BJ189-BI189)*-1)</f>
        <v>0</v>
      </c>
      <c r="BK308" s="3">
        <f>SUM(BG308:BJ308)</f>
        <v>0</v>
      </c>
      <c r="BL308" s="3">
        <f>((BL190-BK190)*-1)+((BL189-BK189)*-1)</f>
        <v>0</v>
      </c>
      <c r="BM308" s="3">
        <f>((BM190-BL190)*-1)+((BM189-BL189)*-1)</f>
        <v>0</v>
      </c>
      <c r="BN308" s="3">
        <f>((BN190-BM190)*-1)+((BN189-BM189)*-1)</f>
        <v>0</v>
      </c>
      <c r="BO308" s="3">
        <f>((BO190-BN190)*-1)+((BO189-BN189)*-1)</f>
        <v>0</v>
      </c>
      <c r="BP308" s="3">
        <f>SUM(BL308:BO308)</f>
        <v>0</v>
      </c>
      <c r="BQ308" s="3">
        <f>((BQ190-BP190)*-1)+((BQ189-BP189)*-1)</f>
        <v>0</v>
      </c>
      <c r="BR308" s="3">
        <f>((BR190-BQ190)*-1)+((BR189-BQ189)*-1)</f>
        <v>0</v>
      </c>
      <c r="BS308" s="3">
        <f>((BS190-BR190)*-1)+((BS189-BR189)*-1)</f>
        <v>0</v>
      </c>
      <c r="BT308" s="3">
        <f>((BT190-BS190)*-1)+((BT189-BS189)*-1)</f>
        <v>0</v>
      </c>
      <c r="BU308" s="3">
        <f>SUM(BQ308:BT308)</f>
        <v>0</v>
      </c>
      <c r="BV308" s="3">
        <f>((BV190-BU190)*-1)+((BV189-BU189)*-1)</f>
        <v>0</v>
      </c>
      <c r="BW308" s="3">
        <f>((BW190-BV190)*-1)+((BW189-BV189)*-1)</f>
        <v>0</v>
      </c>
      <c r="BX308" s="3">
        <f>((BX190-BW190)*-1)+((BX189-BW189)*-1)</f>
        <v>0</v>
      </c>
      <c r="BY308" s="3">
        <f>((BY190-BX190)*-1)+((BY189-BX189)*-1)</f>
        <v>0</v>
      </c>
      <c r="BZ308" s="3">
        <f>SUM(BV308:BY308)</f>
        <v>0</v>
      </c>
      <c r="CA308" s="3">
        <f>((CA190-BZ190)*-1)+((CA189-BZ189)*-1)</f>
        <v>0</v>
      </c>
      <c r="CB308" s="3">
        <f>((CB190-CA190)*-1)+((CB189-CA189)*-1)</f>
        <v>0</v>
      </c>
      <c r="CC308" s="3">
        <f>((CC190-CB190)*-1)+((CC189-CB189)*-1)</f>
        <v>0</v>
      </c>
      <c r="CD308" s="3">
        <f>((CD190-CC190)*-1)+((CD189-CC189)*-1)</f>
        <v>0</v>
      </c>
      <c r="CE308" s="3">
        <f>SUM(CA308:CD308)</f>
        <v>0</v>
      </c>
      <c r="CF308" s="3">
        <f>((CF190-CE190)*-1)+((CF189-CE189)*-1)</f>
        <v>0</v>
      </c>
      <c r="CG308" s="3">
        <f>((CG190-CF190)*-1)+((CG189-CF189)*-1)</f>
        <v>0</v>
      </c>
      <c r="CH308" s="3">
        <f>((CH190-CG190)*-1)+((CH189-CG189)*-1)</f>
        <v>0</v>
      </c>
      <c r="CI308" s="3">
        <f>((CI190-CH190)*-1)+((CI189-CH189)*-1)</f>
        <v>0</v>
      </c>
      <c r="CJ308" s="3">
        <f>SUM(CF308:CI308)</f>
        <v>0</v>
      </c>
      <c r="CK308" s="3">
        <f>((CK190-CJ190)*-1)+((CK189-CJ189)*-1)</f>
        <v>0</v>
      </c>
      <c r="CL308" s="3">
        <f>((CL190-CK190)*-1)+((CL189-CK189)*-1)</f>
        <v>0</v>
      </c>
      <c r="CM308" s="3">
        <f>((CM190-CL190)*-1)+((CM189-CL189)*-1)</f>
        <v>0</v>
      </c>
      <c r="CN308" s="3">
        <f>((CN190-CM190)*-1)+((CN189-CM189)*-1)</f>
        <v>0</v>
      </c>
      <c r="CO308" s="3">
        <f>SUM(CK308:CN308)</f>
        <v>0</v>
      </c>
      <c r="CP308" s="3">
        <f>((CP190-CO190)*-1)+((CP189-CO189)*-1)</f>
        <v>0</v>
      </c>
      <c r="CQ308" s="3">
        <f>((CQ190-CP190)*-1)+((CQ189-CP189)*-1)</f>
        <v>0</v>
      </c>
      <c r="CR308" s="3">
        <f>((CR190-CQ190)*-1)+((CR189-CQ189)*-1)</f>
        <v>0</v>
      </c>
      <c r="CS308" s="3">
        <f>((CS190-CR190)*-1)+((CS189-CR189)*-1)</f>
        <v>0</v>
      </c>
      <c r="CT308" s="3">
        <f>SUM(CP308:CS308)</f>
        <v>0</v>
      </c>
      <c r="CU308" s="3">
        <f>((CU190-CT190)*-1)+((CU189-CT189)*-1)</f>
        <v>0</v>
      </c>
      <c r="CV308" s="3">
        <f>((CV190-CU190)*-1)+((CV189-CU189)*-1)</f>
        <v>0</v>
      </c>
      <c r="CW308" s="3">
        <f>((CW190-CV190)*-1)+((CW189-CV189)*-1)</f>
        <v>0</v>
      </c>
      <c r="CX308" s="3">
        <f>((CX190-CW190)*-1)+((CX189-CW189)*-1)</f>
        <v>0</v>
      </c>
      <c r="CY308" s="3">
        <f>SUM(CU308:CX308)</f>
        <v>0</v>
      </c>
      <c r="CZ308" s="3" t="n"/>
      <c r="DA308" s="3" t="n"/>
      <c r="DB308" s="3" t="n"/>
      <c r="DC308" s="3" t="n"/>
    </row>
    <row r="309">
      <c r="C309" s="30" t="inlineStr">
        <is>
          <t>Purchases/Proceeds from other long-term assets</t>
        </is>
      </c>
      <c r="D309" s="3" t="n"/>
      <c r="E309" s="3" t="e">
        <f>((E199-D199)*-1)+(E250-D250)</f>
        <v>#N/A</v>
      </c>
      <c r="F309" s="3">
        <f>((F199-E199)*-1)+(F250-E250)</f>
        <v>30.8601578500003</v>
      </c>
      <c r="G309" s="3">
        <f>((G199-F199)*-1)+(G250-F250)</f>
        <v>-88.8023414300003</v>
      </c>
      <c r="H309" s="3" t="e">
        <f>SUM(D309:G309)</f>
        <v>#N/A</v>
      </c>
      <c r="I309" s="3">
        <f>((I199-H199)*-1)+(I250-H250)</f>
        <v>70.5858498599997</v>
      </c>
      <c r="J309" s="3">
        <f>((J199-I199)*-1)+(J250-I250)</f>
        <v>-24.6500014399997</v>
      </c>
      <c r="K309" s="3">
        <f>((K199-J199)*-1)+(K250-J250)</f>
        <v>12.27733516</v>
      </c>
      <c r="L309" s="3">
        <f>((L199-K199)*-1)+(L250-K250)</f>
        <v>-74.476</v>
      </c>
      <c r="M309" s="3">
        <f>SUM(I309:L309)</f>
        <v>-16.26281642</v>
      </c>
      <c r="N309" s="3">
        <f>((N199-M199)*-1)+(N250-M250)</f>
        <v>15.846</v>
      </c>
      <c r="O309" s="3">
        <f>((O199-N199)*-1)+(O250-N250)</f>
        <v>-25.8035509599997</v>
      </c>
      <c r="P309" s="3">
        <f>((P199-O199)*-1)+(P250-O250)</f>
        <v>-32.7941927499997</v>
      </c>
      <c r="Q309" s="3">
        <f>((Q199-P199)*-1)+(Q250-P250)</f>
        <v>-0.753945050000809</v>
      </c>
      <c r="R309" s="3">
        <f>SUM(N309:Q309)</f>
        <v>-43.5056887600002</v>
      </c>
      <c r="S309" s="3">
        <f>((S199-R199)*-1)+(S250-R250)</f>
        <v>-26.4290102099992</v>
      </c>
      <c r="T309" s="3">
        <f>((T199-S199)*-1)+(T250-S250)</f>
        <v>-168.160301030001</v>
      </c>
      <c r="U309" s="3">
        <f>((U199-T199)*-1)+(U250-T250)</f>
        <v>-6.321</v>
      </c>
      <c r="V309" s="3">
        <f>((V199-U199)*-1)+(V250-U250)</f>
        <v>119.28798322</v>
      </c>
      <c r="W309" s="3">
        <f>SUM(S309:V309)</f>
        <v>-81.6223280199997</v>
      </c>
      <c r="X309" s="3">
        <f>((X199-W199)*-1)+(X250-W250)</f>
        <v>-14.7089832200001</v>
      </c>
      <c r="Y309" s="3">
        <f>((Y199-X199)*-1)+(Y250-X250)</f>
        <v>-28.362</v>
      </c>
      <c r="Z309" s="3">
        <f>((Z199-Y199)*-1)+(Z250-Y250)</f>
        <v>-27.075</v>
      </c>
      <c r="AA309" s="3">
        <f>((AA199-Z199)*-1)+(AA250-Z250)</f>
        <v>355.186</v>
      </c>
      <c r="AB309" s="3">
        <f>SUM(X309:AA309)</f>
        <v>285.04001678</v>
      </c>
      <c r="AC309" s="3">
        <f>((AC199-AB199)*-1)+(AC250-AB250)</f>
        <v>93.4749999999999</v>
      </c>
      <c r="AD309" s="3">
        <f>((AD199-AC199)*-1)+(AD250-AC250)</f>
        <v>-305.29810598</v>
      </c>
      <c r="AE309" s="3">
        <f>((AE199-AD199)*-1)+(AE250-AD250)</f>
        <v>-116.74189402</v>
      </c>
      <c r="AF309" s="3">
        <f>((AF199-AE199)*-1)+(AF250-AE250)</f>
        <v>-156.279</v>
      </c>
      <c r="AG309" s="3">
        <f>SUM(AC309:AF309)</f>
        <v>-484.844</v>
      </c>
      <c r="AH309" s="3">
        <f>((AH199-AG199)*-1)+(AH250-AG250)</f>
        <v>-13.6449999999999</v>
      </c>
      <c r="AI309" s="3">
        <f>((AI199-AH199)*-1)+(AI250-AH250)</f>
        <v>-206.007</v>
      </c>
      <c r="AJ309" s="3">
        <f>((AJ199-AI199)*-1)+(AJ250-AI250)</f>
        <v>0</v>
      </c>
      <c r="AK309" s="3">
        <f>((AK199-AJ199)*-1)+(AK250-AJ250)</f>
        <v>0</v>
      </c>
      <c r="AL309" s="3">
        <f>SUM(AH309:AK309)</f>
        <v>-219.652</v>
      </c>
      <c r="AM309" s="3">
        <f>((AM199-AL199)*-1)+(AM250-AL250)</f>
        <v>0</v>
      </c>
      <c r="AN309" s="3">
        <f>((AN199-AM199)*-1)+(AN250-AM250)</f>
        <v>0</v>
      </c>
      <c r="AO309" s="3">
        <f>((AO199-AN199)*-1)+(AO250-AN250)</f>
        <v>0</v>
      </c>
      <c r="AP309" s="3">
        <f>((AP199-AO199)*-1)+(AP250-AO250)</f>
        <v>0</v>
      </c>
      <c r="AQ309" s="3">
        <f>SUM(AM309:AP309)</f>
        <v>0</v>
      </c>
      <c r="AR309" s="3">
        <f>((AR199-AQ199)*-1)+(AR250-AQ250)</f>
        <v>0</v>
      </c>
      <c r="AS309" s="3">
        <f>((AS199-AR199)*-1)+(AS250-AR250)</f>
        <v>0</v>
      </c>
      <c r="AT309" s="3">
        <f>((AT199-AS199)*-1)+(AT250-AS250)</f>
        <v>0</v>
      </c>
      <c r="AU309" s="3">
        <f>((AU199-AT199)*-1)+(AU250-AT250)</f>
        <v>0</v>
      </c>
      <c r="AV309" s="3">
        <f>SUM(AR309:AU309)</f>
        <v>0</v>
      </c>
      <c r="AW309" s="3">
        <f>((AW199-AV199)*-1)+(AW250-AV250)</f>
        <v>0</v>
      </c>
      <c r="AX309" s="3">
        <f>((AX199-AW199)*-1)+(AX250-AW250)</f>
        <v>0</v>
      </c>
      <c r="AY309" s="3">
        <f>((AY199-AX199)*-1)+(AY250-AX250)</f>
        <v>0</v>
      </c>
      <c r="AZ309" s="3">
        <f>((AZ199-AY199)*-1)+(AZ250-AY250)</f>
        <v>0</v>
      </c>
      <c r="BA309" s="3">
        <f>SUM(AW309:AZ309)</f>
        <v>0</v>
      </c>
      <c r="BB309" s="3">
        <f>((BB199-BA199)*-1)+(BB250-BA250)</f>
        <v>0</v>
      </c>
      <c r="BC309" s="3">
        <f>((BC199-BB199)*-1)+(BC250-BB250)</f>
        <v>0</v>
      </c>
      <c r="BD309" s="3">
        <f>((BD199-BC199)*-1)+(BD250-BC250)</f>
        <v>0</v>
      </c>
      <c r="BE309" s="3">
        <f>((BE199-BD199)*-1)+(BE250-BD250)</f>
        <v>0</v>
      </c>
      <c r="BF309" s="3">
        <f>SUM(BB309:BE309)</f>
        <v>0</v>
      </c>
      <c r="BG309" s="3">
        <f>((BG199-BF199)*-1)+(BG250-BF250)</f>
        <v>0</v>
      </c>
      <c r="BH309" s="3">
        <f>((BH199-BG199)*-1)+(BH250-BG250)</f>
        <v>0</v>
      </c>
      <c r="BI309" s="3">
        <f>((BI199-BH199)*-1)+(BI250-BH250)</f>
        <v>0</v>
      </c>
      <c r="BJ309" s="3">
        <f>((BJ199-BI199)*-1)+(BJ250-BI250)</f>
        <v>0</v>
      </c>
      <c r="BK309" s="3">
        <f>SUM(BG309:BJ309)</f>
        <v>0</v>
      </c>
      <c r="BL309" s="3">
        <f>((BL199-BK199)*-1)+(BL250-BK250)</f>
        <v>0</v>
      </c>
      <c r="BM309" s="3">
        <f>((BM199-BL199)*-1)+(BM250-BL250)</f>
        <v>0</v>
      </c>
      <c r="BN309" s="3">
        <f>((BN199-BM199)*-1)+(BN250-BM250)</f>
        <v>0</v>
      </c>
      <c r="BO309" s="3">
        <f>((BO199-BN199)*-1)+(BO250-BN250)</f>
        <v>0</v>
      </c>
      <c r="BP309" s="3">
        <f>SUM(BL309:BO309)</f>
        <v>0</v>
      </c>
      <c r="BQ309" s="3">
        <f>((BQ199-BP199)*-1)+(BQ250-BP250)</f>
        <v>0</v>
      </c>
      <c r="BR309" s="3">
        <f>((BR199-BQ199)*-1)+(BR250-BQ250)</f>
        <v>0</v>
      </c>
      <c r="BS309" s="3">
        <f>((BS199-BR199)*-1)+(BS250-BR250)</f>
        <v>0</v>
      </c>
      <c r="BT309" s="3">
        <f>((BT199-BS199)*-1)+(BT250-BS250)</f>
        <v>0</v>
      </c>
      <c r="BU309" s="3">
        <f>SUM(BQ309:BT309)</f>
        <v>0</v>
      </c>
      <c r="BV309" s="3">
        <f>((BV199-BU199)*-1)+(BV250-BU250)</f>
        <v>0</v>
      </c>
      <c r="BW309" s="3">
        <f>((BW199-BV199)*-1)+(BW250-BV250)</f>
        <v>0</v>
      </c>
      <c r="BX309" s="3">
        <f>((BX199-BW199)*-1)+(BX250-BW250)</f>
        <v>0</v>
      </c>
      <c r="BY309" s="3">
        <f>((BY199-BX199)*-1)+(BY250-BX250)</f>
        <v>0</v>
      </c>
      <c r="BZ309" s="3">
        <f>SUM(BV309:BY309)</f>
        <v>0</v>
      </c>
      <c r="CA309" s="3">
        <f>((CA199-BZ199)*-1)+(CA250-BZ250)</f>
        <v>0</v>
      </c>
      <c r="CB309" s="3">
        <f>((CB199-CA199)*-1)+(CB250-CA250)</f>
        <v>0</v>
      </c>
      <c r="CC309" s="3">
        <f>((CC199-CB199)*-1)+(CC250-CB250)</f>
        <v>0</v>
      </c>
      <c r="CD309" s="3">
        <f>((CD199-CC199)*-1)+(CD250-CC250)</f>
        <v>0</v>
      </c>
      <c r="CE309" s="3">
        <f>SUM(CA309:CD309)</f>
        <v>0</v>
      </c>
      <c r="CF309" s="3">
        <f>((CF199-CE199)*-1)+(CF250-CE250)</f>
        <v>0</v>
      </c>
      <c r="CG309" s="3">
        <f>((CG199-CF199)*-1)+(CG250-CF250)</f>
        <v>0</v>
      </c>
      <c r="CH309" s="3">
        <f>((CH199-CG199)*-1)+(CH250-CG250)</f>
        <v>0</v>
      </c>
      <c r="CI309" s="3">
        <f>((CI199-CH199)*-1)+(CI250-CH250)</f>
        <v>0</v>
      </c>
      <c r="CJ309" s="3">
        <f>SUM(CF309:CI309)</f>
        <v>0</v>
      </c>
      <c r="CK309" s="3">
        <f>((CK199-CJ199)*-1)+(CK250-CJ250)</f>
        <v>0</v>
      </c>
      <c r="CL309" s="3">
        <f>((CL199-CK199)*-1)+(CL250-CK250)</f>
        <v>0</v>
      </c>
      <c r="CM309" s="3">
        <f>((CM199-CL199)*-1)+(CM250-CL250)</f>
        <v>0</v>
      </c>
      <c r="CN309" s="3">
        <f>((CN199-CM199)*-1)+(CN250-CM250)</f>
        <v>0</v>
      </c>
      <c r="CO309" s="3">
        <f>SUM(CK309:CN309)</f>
        <v>0</v>
      </c>
      <c r="CP309" s="3">
        <f>((CP199-CO199)*-1)+(CP250-CO250)</f>
        <v>0</v>
      </c>
      <c r="CQ309" s="3">
        <f>((CQ199-CP199)*-1)+(CQ250-CP250)</f>
        <v>0</v>
      </c>
      <c r="CR309" s="3">
        <f>((CR199-CQ199)*-1)+(CR250-CQ250)</f>
        <v>0</v>
      </c>
      <c r="CS309" s="3">
        <f>((CS199-CR199)*-1)+(CS250-CR250)</f>
        <v>0</v>
      </c>
      <c r="CT309" s="3">
        <f>SUM(CP309:CS309)</f>
        <v>0</v>
      </c>
      <c r="CU309" s="3">
        <f>((CU199-CT199)*-1)+(CU250-CT250)</f>
        <v>0</v>
      </c>
      <c r="CV309" s="3">
        <f>((CV199-CU199)*-1)+(CV250-CU250)</f>
        <v>0</v>
      </c>
      <c r="CW309" s="3">
        <f>((CW199-CV199)*-1)+(CW250-CV250)</f>
        <v>0</v>
      </c>
      <c r="CX309" s="3">
        <f>((CX199-CW199)*-1)+(CX250-CW250)</f>
        <v>0</v>
      </c>
      <c r="CY309" s="3">
        <f>SUM(CU309:CX309)</f>
        <v>0</v>
      </c>
    </row>
    <row r="310">
      <c r="C310" s="26" t="inlineStr">
        <is>
          <t>Cash from investing</t>
        </is>
      </c>
      <c r="D310" s="3" t="n"/>
      <c r="E310" s="3" t="e">
        <f>SUM(E305,E306,E308,E309,E307)</f>
        <v>#N/A</v>
      </c>
      <c r="F310" s="3">
        <f>SUM(F305,F306,F308,F309,F307)</f>
        <v>-237.45747511</v>
      </c>
      <c r="G310" s="3">
        <f>SUM(G305,G306,G308,G309,G307)</f>
        <v>-416.13194277</v>
      </c>
      <c r="H310" s="3" t="e">
        <f>SUM(H305,H306,H308,H309)</f>
        <v>#N/A</v>
      </c>
      <c r="I310" s="3">
        <f>SUM(I305,I306,I308,I309,I307)</f>
        <v>-304.51812027</v>
      </c>
      <c r="J310" s="3">
        <f>SUM(J305,J306,J308,J309,J307)</f>
        <v>-348.37445117</v>
      </c>
      <c r="K310" s="3">
        <f>SUM(K305,K306,K308,K309,K307)</f>
        <v>-384.65101068</v>
      </c>
      <c r="L310" s="3">
        <f>SUM(L305,L306,L308,L309,L307)</f>
        <v>-792.161</v>
      </c>
      <c r="M310" s="3">
        <f>SUM(M305,M306,M308,M309)</f>
        <v>-1519.25194094</v>
      </c>
      <c r="N310" s="3">
        <f>SUM(N305,N306,N308,N309,N307)</f>
        <v>-423.021</v>
      </c>
      <c r="O310" s="3">
        <f>SUM(O305,O306,O308,O309,O307)</f>
        <v>-401.92955096</v>
      </c>
      <c r="P310" s="3">
        <f>SUM(P305,P306,P308,P309,P307)</f>
        <v>-244.71519275</v>
      </c>
      <c r="Q310" s="3">
        <f>SUM(Q305,Q306,Q308,Q309,Q307)</f>
        <v>-36.5769450500008</v>
      </c>
      <c r="R310" s="3">
        <f>SUM(R305,R306,R308,R309)</f>
        <v>-752.93168876</v>
      </c>
      <c r="S310" s="3">
        <f>SUM(S305,S306,S308,S309,S307)</f>
        <v>-346.69001021</v>
      </c>
      <c r="T310" s="3">
        <f>SUM(T305,T306,T308,T309,T307)</f>
        <v>-680.21430103</v>
      </c>
      <c r="U310" s="3">
        <f>SUM(U305,U306,U308,U309,U307)</f>
        <v>-546.641</v>
      </c>
      <c r="V310" s="3">
        <f>SUM(V305,V306,V308,V309,V307)</f>
        <v>-251.12001678</v>
      </c>
      <c r="W310" s="3">
        <f>SUM(W305,W306,W308,W309)</f>
        <v>-1234.66932802</v>
      </c>
      <c r="X310" s="3">
        <f>SUM(X305,X306,X308,X309,X307)</f>
        <v>-561.58498322</v>
      </c>
      <c r="Y310" s="3">
        <f>SUM(Y305,Y306,Y308,Y309,Y307)</f>
        <v>-181.106</v>
      </c>
      <c r="Z310" s="3">
        <f>SUM(Z305,Z306,Z308,Z309,Z307)</f>
        <v>-304.068999999999</v>
      </c>
      <c r="AA310" s="3">
        <f>SUM(AA305,AA306,AA308,AA309,AA307)</f>
        <v>90.6189999999999</v>
      </c>
      <c r="AB310" s="3">
        <f>SUM(AB305,AB306,AB308,AB309)</f>
        <v>-770.93798322</v>
      </c>
      <c r="AC310" s="3">
        <f>SUM(AC305,AC306,AC308,AC309,AC307)</f>
        <v>-467.183</v>
      </c>
      <c r="AD310" s="3">
        <f>SUM(AD305,AD306,AD308,AD309,AD307)</f>
        <v>-986.87710598</v>
      </c>
      <c r="AE310" s="3">
        <f>SUM(AE305,AE306,AE308,AE309,AE307)</f>
        <v>-2533.22889402</v>
      </c>
      <c r="AF310" s="3">
        <f>SUM(AF305,AF306,AF308,AF309,AF307)</f>
        <v>-611.135</v>
      </c>
      <c r="AG310" s="3">
        <f>SUM(AG305,AG306,AG308,AG309)</f>
        <v>-2980.174</v>
      </c>
      <c r="AH310" s="3">
        <f>SUM(AH305,AH306,AH308,AH309,AH307)</f>
        <v>-255.457000000001</v>
      </c>
      <c r="AI310" s="3">
        <f>SUM(AI305,AI306,AI308,AI309,AI307)</f>
        <v>-569.885</v>
      </c>
      <c r="AJ310" s="3">
        <f>SUM(AJ305,AJ306,AJ308,AJ309,AJ307)</f>
        <v>748.934</v>
      </c>
      <c r="AK310" s="3">
        <f>SUM(AK305,AK306,AK308,AK309,AK307)</f>
        <v>0</v>
      </c>
      <c r="AL310" s="3">
        <f>SUM(AL305,AL306,AL308,AL309)</f>
        <v>137.211</v>
      </c>
      <c r="AM310" s="3">
        <f>SUM(AM305,AM306,AM308,AM309,AM307)</f>
        <v>0</v>
      </c>
      <c r="AN310" s="3">
        <f>SUM(AN305,AN306,AN308,AN309,AN307)</f>
        <v>0</v>
      </c>
      <c r="AO310" s="3">
        <f>SUM(AO305,AO306,AO308,AO309,AO307)</f>
        <v>0</v>
      </c>
      <c r="AP310" s="3">
        <f>SUM(AP305,AP306,AP308,AP309,AP307)</f>
        <v>0</v>
      </c>
      <c r="AQ310" s="3">
        <f>SUM(AQ305,AQ306,AQ308,AQ309)</f>
        <v>0</v>
      </c>
      <c r="AR310" s="3">
        <f>SUM(AR305,AR306,AR308,AR309,AR307)</f>
        <v>0</v>
      </c>
      <c r="AS310" s="3">
        <f>SUM(AS305,AS306,AS308,AS309,AS307)</f>
        <v>0</v>
      </c>
      <c r="AT310" s="3">
        <f>SUM(AT305,AT306,AT308,AT309,AT307)</f>
        <v>0</v>
      </c>
      <c r="AU310" s="3">
        <f>SUM(AU305,AU306,AU308,AU309,AU307)</f>
        <v>0</v>
      </c>
      <c r="AV310" s="3">
        <f>SUM(AV305,AV306,AV308,AV309)</f>
        <v>0</v>
      </c>
      <c r="AW310" s="3">
        <f>SUM(AW305,AW306,AW308,AW309,AW307)</f>
        <v>0</v>
      </c>
      <c r="AX310" s="3">
        <f>SUM(AX305,AX306,AX308,AX309,AX307)</f>
        <v>0</v>
      </c>
      <c r="AY310" s="3">
        <f>SUM(AY305,AY306,AY308,AY309,AY307)</f>
        <v>0</v>
      </c>
      <c r="AZ310" s="3">
        <f>SUM(AZ305,AZ306,AZ308,AZ309,AZ307)</f>
        <v>0</v>
      </c>
      <c r="BA310" s="3">
        <f>SUM(BA305,BA306,BA308,BA309)</f>
        <v>0</v>
      </c>
      <c r="BB310" s="3">
        <f>SUM(BB305,BB306,BB308,BB309,BB307)</f>
        <v>0</v>
      </c>
      <c r="BC310" s="3">
        <f>SUM(BC305,BC306,BC308,BC309,BC307)</f>
        <v>0</v>
      </c>
      <c r="BD310" s="3">
        <f>SUM(BD305,BD306,BD308,BD309,BD307)</f>
        <v>0</v>
      </c>
      <c r="BE310" s="3">
        <f>SUM(BE305,BE306,BE308,BE309,BE307)</f>
        <v>0</v>
      </c>
      <c r="BF310" s="3">
        <f>SUM(BF305,BF306,BF308,BF309)</f>
        <v>0</v>
      </c>
      <c r="BG310" s="3">
        <f>SUM(BG305,BG306,BG308,BG309,BG307)</f>
        <v>0</v>
      </c>
      <c r="BH310" s="3">
        <f>SUM(BH305,BH306,BH308,BH309,BH307)</f>
        <v>0</v>
      </c>
      <c r="BI310" s="3">
        <f>SUM(BI305,BI306,BI308,BI309,BI307)</f>
        <v>0</v>
      </c>
      <c r="BJ310" s="3">
        <f>SUM(BJ305,BJ306,BJ308,BJ309,BJ307)</f>
        <v>0</v>
      </c>
      <c r="BK310" s="3">
        <f>SUM(BK305,BK306,BK308,BK309)</f>
        <v>0</v>
      </c>
      <c r="BL310" s="3">
        <f>SUM(BL305,BL306,BL308,BL309,BL307)</f>
        <v>0</v>
      </c>
      <c r="BM310" s="3">
        <f>SUM(BM305,BM306,BM308,BM309,BM307)</f>
        <v>0</v>
      </c>
      <c r="BN310" s="3">
        <f>SUM(BN305,BN306,BN308,BN309,BN307)</f>
        <v>0</v>
      </c>
      <c r="BO310" s="3">
        <f>SUM(BO305,BO306,BO308,BO309,BO307)</f>
        <v>0</v>
      </c>
      <c r="BP310" s="3">
        <f>SUM(BP305,BP306,BP308,BP309)</f>
        <v>0</v>
      </c>
      <c r="BQ310" s="3">
        <f>SUM(BQ305,BQ306,BQ308,BQ309,BQ307)</f>
        <v>0</v>
      </c>
      <c r="BR310" s="3">
        <f>SUM(BR305,BR306,BR308,BR309,BR307)</f>
        <v>0</v>
      </c>
      <c r="BS310" s="3">
        <f>SUM(BS305,BS306,BS308,BS309,BS307)</f>
        <v>0</v>
      </c>
      <c r="BT310" s="3">
        <f>SUM(BT305,BT306,BT308,BT309,BT307)</f>
        <v>0</v>
      </c>
      <c r="BU310" s="3">
        <f>SUM(BU305,BU306,BU308,BU309)</f>
        <v>0</v>
      </c>
      <c r="BV310" s="3">
        <f>SUM(BV305,BV306,BV308,BV309,BV307)</f>
        <v>0</v>
      </c>
      <c r="BW310" s="3">
        <f>SUM(BW305,BW306,BW308,BW309,BW307)</f>
        <v>0</v>
      </c>
      <c r="BX310" s="3">
        <f>SUM(BX305,BX306,BX308,BX309,BX307)</f>
        <v>0</v>
      </c>
      <c r="BY310" s="3">
        <f>SUM(BY305,BY306,BY308,BY309,BY307)</f>
        <v>0</v>
      </c>
      <c r="BZ310" s="3">
        <f>SUM(BZ305,BZ306,BZ308,BZ309)</f>
        <v>0</v>
      </c>
      <c r="CA310" s="3">
        <f>SUM(CA305,CA306,CA308,CA309,CA307)</f>
        <v>0</v>
      </c>
      <c r="CB310" s="3">
        <f>SUM(CB305,CB306,CB308,CB309,CB307)</f>
        <v>0</v>
      </c>
      <c r="CC310" s="3">
        <f>SUM(CC305,CC306,CC308,CC309,CC307)</f>
        <v>0</v>
      </c>
      <c r="CD310" s="3">
        <f>SUM(CD305,CD306,CD308,CD309,CD307)</f>
        <v>0</v>
      </c>
      <c r="CE310" s="3">
        <f>SUM(CE305,CE306,CE308,CE309)</f>
        <v>0</v>
      </c>
      <c r="CF310" s="3">
        <f>SUM(CF305,CF306,CF308,CF309,CF307)</f>
        <v>0</v>
      </c>
      <c r="CG310" s="3">
        <f>SUM(CG305,CG306,CG308,CG309,CG307)</f>
        <v>0</v>
      </c>
      <c r="CH310" s="3">
        <f>SUM(CH305,CH306,CH308,CH309,CH307)</f>
        <v>0</v>
      </c>
      <c r="CI310" s="3">
        <f>SUM(CI305,CI306,CI308,CI309,CI307)</f>
        <v>0</v>
      </c>
      <c r="CJ310" s="3">
        <f>SUM(CJ305,CJ306,CJ308,CJ309)</f>
        <v>0</v>
      </c>
      <c r="CK310" s="3">
        <f>SUM(CK305,CK306,CK308,CK309,CK307)</f>
        <v>0</v>
      </c>
      <c r="CL310" s="3">
        <f>SUM(CL305,CL306,CL308,CL309,CL307)</f>
        <v>0</v>
      </c>
      <c r="CM310" s="3">
        <f>SUM(CM305,CM306,CM308,CM309,CM307)</f>
        <v>0</v>
      </c>
      <c r="CN310" s="3">
        <f>SUM(CN305,CN306,CN308,CN309,CN307)</f>
        <v>0</v>
      </c>
      <c r="CO310" s="3">
        <f>SUM(CO305,CO306,CO308,CO309)</f>
        <v>0</v>
      </c>
      <c r="CP310" s="3">
        <f>SUM(CP305,CP306,CP308,CP309,CP307)</f>
        <v>0</v>
      </c>
      <c r="CQ310" s="3">
        <f>SUM(CQ305,CQ306,CQ308,CQ309,CQ307)</f>
        <v>0</v>
      </c>
      <c r="CR310" s="3">
        <f>SUM(CR305,CR306,CR308,CR309,CR307)</f>
        <v>0</v>
      </c>
      <c r="CS310" s="3">
        <f>SUM(CS305,CS306,CS308,CS309,CS307)</f>
        <v>0</v>
      </c>
      <c r="CT310" s="3">
        <f>SUM(CT305,CT306,CT308,CT309)</f>
        <v>0</v>
      </c>
      <c r="CU310" s="3">
        <f>SUM(CU305,CU306,CU308,CU309,CU307)</f>
        <v>0</v>
      </c>
      <c r="CV310" s="3">
        <f>SUM(CV305,CV306,CV308,CV309,CV307)</f>
        <v>0</v>
      </c>
      <c r="CW310" s="3">
        <f>SUM(CW305,CW306,CW308,CW309,CW307)</f>
        <v>0</v>
      </c>
      <c r="CX310" s="3">
        <f>SUM(CX305,CX306,CX308,CX309,CX307)</f>
        <v>0</v>
      </c>
      <c r="CY310" s="3">
        <f>SUM(CY305,CY306,CY308,CY309)</f>
        <v>0</v>
      </c>
    </row>
    <row r="311">
      <c r="C311" s="26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  <c r="CU311" s="3" t="n"/>
      <c r="CV311" s="3" t="n"/>
      <c r="CW311" s="3" t="n"/>
      <c r="CX311" s="3" t="n"/>
      <c r="CY311" s="3" t="n"/>
    </row>
    <row r="312">
      <c r="C312" s="26" t="inlineStr">
        <is>
          <t>Convertible preferred stock</t>
        </is>
      </c>
      <c r="D312" s="3" t="n"/>
      <c r="E312" s="3">
        <f>E263-D263</f>
        <v>0</v>
      </c>
      <c r="F312" s="3">
        <f>F263-E263</f>
        <v>0</v>
      </c>
      <c r="G312" s="3">
        <f>G263-F263</f>
        <v>0</v>
      </c>
      <c r="H312" s="3">
        <f>SUM(D312:G312)</f>
        <v>0</v>
      </c>
      <c r="I312" s="3">
        <f>I263-H263</f>
        <v>0</v>
      </c>
      <c r="J312" s="3">
        <f>J263-I263</f>
        <v>0</v>
      </c>
      <c r="K312" s="3">
        <f>K263-J263</f>
        <v>0</v>
      </c>
      <c r="L312" s="3">
        <f>L263-K263</f>
        <v>0</v>
      </c>
      <c r="M312" s="3">
        <f>SUM(I312:L312)</f>
        <v>0</v>
      </c>
      <c r="N312" s="3">
        <f>N263-M263</f>
        <v>0</v>
      </c>
      <c r="O312" s="3">
        <f>O263-N263</f>
        <v>0</v>
      </c>
      <c r="P312" s="3">
        <f>P263-O263</f>
        <v>0</v>
      </c>
      <c r="Q312" s="3">
        <f>Q263-P263</f>
        <v>0</v>
      </c>
      <c r="R312" s="3">
        <f>SUM(N312:Q312)</f>
        <v>0</v>
      </c>
      <c r="S312" s="3">
        <f>S263-R263</f>
        <v>0</v>
      </c>
      <c r="T312" s="3">
        <f>T263-S263</f>
        <v>0</v>
      </c>
      <c r="U312" s="3">
        <f>U263-T263</f>
        <v>0</v>
      </c>
      <c r="V312" s="3">
        <f>V263-U263</f>
        <v>0</v>
      </c>
      <c r="W312" s="3">
        <f>SUM(S312:V312)</f>
        <v>0</v>
      </c>
      <c r="X312" s="3">
        <f>X263-W263</f>
        <v>0</v>
      </c>
      <c r="Y312" s="3">
        <f>Y263-X263</f>
        <v>0</v>
      </c>
      <c r="Z312" s="3">
        <f>Z263-Y263</f>
        <v>0</v>
      </c>
      <c r="AA312" s="3">
        <f>AA263-Z263</f>
        <v>0</v>
      </c>
      <c r="AB312" s="3">
        <f>SUM(X312:AA312)</f>
        <v>0</v>
      </c>
      <c r="AC312" s="3">
        <f>AC263-AB263</f>
        <v>0</v>
      </c>
      <c r="AD312" s="3">
        <f>AD263-AC263</f>
        <v>0</v>
      </c>
      <c r="AE312" s="3">
        <f>AE263-AD263</f>
        <v>0</v>
      </c>
      <c r="AF312" s="3">
        <f>AF263-AE263</f>
        <v>0</v>
      </c>
      <c r="AG312" s="3">
        <f>SUM(AC312:AF312)</f>
        <v>0</v>
      </c>
      <c r="AH312" s="3">
        <f>AH263-AG263</f>
        <v>0</v>
      </c>
      <c r="AI312" s="3">
        <f>AI263-AH263</f>
        <v>0</v>
      </c>
      <c r="AJ312" s="3">
        <f>AJ263-AI263</f>
        <v>0</v>
      </c>
      <c r="AK312" s="3">
        <f>AK263-AJ263</f>
        <v>0</v>
      </c>
      <c r="AL312" s="3">
        <f>SUM(AH312:AK312)</f>
        <v>0</v>
      </c>
      <c r="AM312" s="3">
        <f>AM263-AL263</f>
        <v>0</v>
      </c>
      <c r="AN312" s="3">
        <f>AN263-AM263</f>
        <v>0</v>
      </c>
      <c r="AO312" s="3">
        <f>AO263-AN263</f>
        <v>0</v>
      </c>
      <c r="AP312" s="3">
        <f>AP263-AO263</f>
        <v>0</v>
      </c>
      <c r="AQ312" s="3">
        <f>SUM(AM312:AP312)</f>
        <v>0</v>
      </c>
      <c r="AR312" s="3">
        <f>AR263-AQ263</f>
        <v>0</v>
      </c>
      <c r="AS312" s="3">
        <f>AS263-AR263</f>
        <v>0</v>
      </c>
      <c r="AT312" s="3">
        <f>AT263-AS263</f>
        <v>0</v>
      </c>
      <c r="AU312" s="3">
        <f>AU263-AT263</f>
        <v>0</v>
      </c>
      <c r="AV312" s="3">
        <f>SUM(AR312:AU312)</f>
        <v>0</v>
      </c>
      <c r="AW312" s="3">
        <f>AW263-AV263</f>
        <v>0</v>
      </c>
      <c r="AX312" s="3">
        <f>AX263-AW263</f>
        <v>0</v>
      </c>
      <c r="AY312" s="3">
        <f>AY263-AX263</f>
        <v>0</v>
      </c>
      <c r="AZ312" s="3">
        <f>AZ263-AY263</f>
        <v>0</v>
      </c>
      <c r="BA312" s="3">
        <f>SUM(AW312:AZ312)</f>
        <v>0</v>
      </c>
      <c r="BB312" s="3">
        <f>BB263-BA263</f>
        <v>0</v>
      </c>
      <c r="BC312" s="3">
        <f>BC263-BB263</f>
        <v>0</v>
      </c>
      <c r="BD312" s="3">
        <f>BD263-BC263</f>
        <v>0</v>
      </c>
      <c r="BE312" s="3">
        <f>BE263-BD263</f>
        <v>0</v>
      </c>
      <c r="BF312" s="3">
        <f>SUM(BB312:BE312)</f>
        <v>0</v>
      </c>
      <c r="BG312" s="3">
        <f>BG263-BF263</f>
        <v>0</v>
      </c>
      <c r="BH312" s="3">
        <f>BH263-BG263</f>
        <v>0</v>
      </c>
      <c r="BI312" s="3">
        <f>BI263-BH263</f>
        <v>0</v>
      </c>
      <c r="BJ312" s="3">
        <f>BJ263-BI263</f>
        <v>0</v>
      </c>
      <c r="BK312" s="3">
        <f>SUM(BG312:BJ312)</f>
        <v>0</v>
      </c>
      <c r="BL312" s="3">
        <f>BL263-BK263</f>
        <v>0</v>
      </c>
      <c r="BM312" s="3">
        <f>BM263-BL263</f>
        <v>0</v>
      </c>
      <c r="BN312" s="3">
        <f>BN263-BM263</f>
        <v>0</v>
      </c>
      <c r="BO312" s="3">
        <f>BO263-BN263</f>
        <v>0</v>
      </c>
      <c r="BP312" s="3">
        <f>SUM(BL312:BO312)</f>
        <v>0</v>
      </c>
      <c r="BQ312" s="3">
        <f>BQ263-BP263</f>
        <v>0</v>
      </c>
      <c r="BR312" s="3">
        <f>BR263-BQ263</f>
        <v>0</v>
      </c>
      <c r="BS312" s="3">
        <f>BS263-BR263</f>
        <v>0</v>
      </c>
      <c r="BT312" s="3">
        <f>BT263-BS263</f>
        <v>0</v>
      </c>
      <c r="BU312" s="3">
        <f>SUM(BQ312:BT312)</f>
        <v>0</v>
      </c>
      <c r="BV312" s="3">
        <f>BV263-BU263</f>
        <v>0</v>
      </c>
      <c r="BW312" s="3">
        <f>BW263-BV263</f>
        <v>0</v>
      </c>
      <c r="BX312" s="3">
        <f>BX263-BW263</f>
        <v>0</v>
      </c>
      <c r="BY312" s="3">
        <f>BY263-BX263</f>
        <v>0</v>
      </c>
      <c r="BZ312" s="3">
        <f>SUM(BV312:BY312)</f>
        <v>0</v>
      </c>
      <c r="CA312" s="3">
        <f>CA263-BZ263</f>
        <v>0</v>
      </c>
      <c r="CB312" s="3">
        <f>CB263-CA263</f>
        <v>0</v>
      </c>
      <c r="CC312" s="3">
        <f>CC263-CB263</f>
        <v>0</v>
      </c>
      <c r="CD312" s="3">
        <f>CD263-CC263</f>
        <v>0</v>
      </c>
      <c r="CE312" s="3">
        <f>SUM(CA312:CD312)</f>
        <v>0</v>
      </c>
      <c r="CF312" s="3">
        <f>CF263-CE263</f>
        <v>0</v>
      </c>
      <c r="CG312" s="3">
        <f>CG263-CF263</f>
        <v>0</v>
      </c>
      <c r="CH312" s="3">
        <f>CH263-CG263</f>
        <v>0</v>
      </c>
      <c r="CI312" s="3">
        <f>CI263-CH263</f>
        <v>0</v>
      </c>
      <c r="CJ312" s="3">
        <f>SUM(CF312:CI312)</f>
        <v>0</v>
      </c>
      <c r="CK312" s="3">
        <f>CK263-CJ263</f>
        <v>0</v>
      </c>
      <c r="CL312" s="3">
        <f>CL263-CK263</f>
        <v>0</v>
      </c>
      <c r="CM312" s="3">
        <f>CM263-CL263</f>
        <v>0</v>
      </c>
      <c r="CN312" s="3">
        <f>CN263-CM263</f>
        <v>0</v>
      </c>
      <c r="CO312" s="3">
        <f>SUM(CK312:CN312)</f>
        <v>0</v>
      </c>
      <c r="CP312" s="3">
        <f>CP263-CO263</f>
        <v>0</v>
      </c>
      <c r="CQ312" s="3">
        <f>CQ263-CP263</f>
        <v>0</v>
      </c>
      <c r="CR312" s="3">
        <f>CR263-CQ263</f>
        <v>0</v>
      </c>
      <c r="CS312" s="3">
        <f>CS263-CR263</f>
        <v>0</v>
      </c>
      <c r="CT312" s="3">
        <f>SUM(CP312:CS312)</f>
        <v>0</v>
      </c>
      <c r="CU312" s="3">
        <f>CU263-CT263</f>
        <v>0</v>
      </c>
      <c r="CV312" s="3">
        <f>CV263-CU263</f>
        <v>0</v>
      </c>
      <c r="CW312" s="3">
        <f>CW263-CV263</f>
        <v>0</v>
      </c>
      <c r="CX312" s="3">
        <f>CX263-CW263</f>
        <v>0</v>
      </c>
      <c r="CY312" s="3">
        <f>SUM(CU312:CX312)</f>
        <v>0</v>
      </c>
    </row>
    <row r="313">
      <c r="C313" s="26" t="inlineStr">
        <is>
          <t>Common stock and APIC</t>
        </is>
      </c>
      <c r="D313" s="3" t="n"/>
      <c r="E313" s="3" t="e">
        <f>E264-D264</f>
        <v>#N/A</v>
      </c>
      <c r="F313" s="3">
        <f>F264-E264</f>
        <v>9.97800000277493e-05</v>
      </c>
      <c r="G313" s="3">
        <f>G264-F264</f>
        <v>2917.10035614</v>
      </c>
      <c r="H313" s="3" t="e">
        <f>SUM(D313:G313)</f>
        <v>#N/A</v>
      </c>
      <c r="I313" s="3">
        <f>I264-H264</f>
        <v>0</v>
      </c>
      <c r="J313" s="3">
        <f>J264-I264</f>
        <v>-0.000300000000606815</v>
      </c>
      <c r="K313" s="3">
        <f>K264-J264</f>
        <v>-0.000155919999997423</v>
      </c>
      <c r="L313" s="3">
        <f>L264-K264</f>
        <v>0</v>
      </c>
      <c r="M313" s="3">
        <f>SUM(I313:L313)</f>
        <v>-0.000455920000604237</v>
      </c>
      <c r="N313" s="3">
        <f>N264-M264</f>
        <v>0</v>
      </c>
      <c r="O313" s="3">
        <f>O264-N264</f>
        <v>0</v>
      </c>
      <c r="P313" s="3">
        <f>P264-O264</f>
        <v>0</v>
      </c>
      <c r="Q313" s="3">
        <f>Q264-P264</f>
        <v>0</v>
      </c>
      <c r="R313" s="3">
        <f>SUM(N313:Q313)</f>
        <v>0</v>
      </c>
      <c r="S313" s="3">
        <f>S264-R264</f>
        <v>0</v>
      </c>
      <c r="T313" s="3">
        <f>T264-S264</f>
        <v>0</v>
      </c>
      <c r="U313" s="3">
        <f>U264-T264</f>
        <v>-2.97999999999956</v>
      </c>
      <c r="V313" s="3">
        <f>V264-U264</f>
        <v>3235.565</v>
      </c>
      <c r="W313" s="3">
        <f>SUM(S313:V313)</f>
        <v>3232.585</v>
      </c>
      <c r="X313" s="3">
        <f>X264-W264</f>
        <v>0</v>
      </c>
      <c r="Y313" s="3">
        <f>Y264-X264</f>
        <v>0</v>
      </c>
      <c r="Z313" s="3">
        <f>Z264-Y264</f>
        <v>0</v>
      </c>
      <c r="AA313" s="3">
        <f>AA264-Z264</f>
        <v>288.734</v>
      </c>
      <c r="AB313" s="3">
        <f>SUM(X313:AA313)</f>
        <v>288.734</v>
      </c>
      <c r="AC313" s="3">
        <f>AC264-AB264</f>
        <v>0</v>
      </c>
      <c r="AD313" s="3">
        <f>AD264-AC264</f>
        <v>0</v>
      </c>
      <c r="AE313" s="3">
        <f>AE264-AD264</f>
        <v>0</v>
      </c>
      <c r="AF313" s="3">
        <f>AF264-AE264</f>
        <v>12.9339999999993</v>
      </c>
      <c r="AG313" s="3">
        <f>SUM(AC313:AF313)</f>
        <v>12.9339999999993</v>
      </c>
      <c r="AH313" s="3">
        <f>AH264-AG264</f>
        <v>338.834000000001</v>
      </c>
      <c r="AI313" s="3">
        <f>AI264-AH264</f>
        <v>0</v>
      </c>
      <c r="AJ313" s="3">
        <f>AJ264-AI264</f>
        <v>0</v>
      </c>
      <c r="AK313" s="3">
        <f>AK264-AJ264</f>
        <v>0</v>
      </c>
      <c r="AL313" s="3">
        <f>SUM(AH313:AK313)</f>
        <v>338.834000000001</v>
      </c>
      <c r="AM313" s="3">
        <f>AM264-AL264</f>
        <v>0</v>
      </c>
      <c r="AN313" s="3">
        <f>AN264-AM264</f>
        <v>0</v>
      </c>
      <c r="AO313" s="3">
        <f>AO264-AN264</f>
        <v>0</v>
      </c>
      <c r="AP313" s="3">
        <f>AP264-AO264</f>
        <v>0</v>
      </c>
      <c r="AQ313" s="3">
        <f>SUM(AM313:AP313)</f>
        <v>0</v>
      </c>
      <c r="AR313" s="3">
        <f>AR264-AQ264</f>
        <v>0</v>
      </c>
      <c r="AS313" s="3">
        <f>AS264-AR264</f>
        <v>0</v>
      </c>
      <c r="AT313" s="3">
        <f>AT264-AS264</f>
        <v>0</v>
      </c>
      <c r="AU313" s="3">
        <f>AU264-AT264</f>
        <v>0</v>
      </c>
      <c r="AV313" s="3">
        <f>SUM(AR313:AU313)</f>
        <v>0</v>
      </c>
      <c r="AW313" s="3">
        <f>AW264-AV264</f>
        <v>0</v>
      </c>
      <c r="AX313" s="3">
        <f>AX264-AW264</f>
        <v>0</v>
      </c>
      <c r="AY313" s="3">
        <f>AY264-AX264</f>
        <v>0</v>
      </c>
      <c r="AZ313" s="3">
        <f>AZ264-AY264</f>
        <v>0</v>
      </c>
      <c r="BA313" s="3">
        <f>SUM(AW313:AZ313)</f>
        <v>0</v>
      </c>
      <c r="BB313" s="3">
        <f>BB264-BA264</f>
        <v>0</v>
      </c>
      <c r="BC313" s="3">
        <f>BC264-BB264</f>
        <v>0</v>
      </c>
      <c r="BD313" s="3">
        <f>BD264-BC264</f>
        <v>0</v>
      </c>
      <c r="BE313" s="3">
        <f>BE264-BD264</f>
        <v>0</v>
      </c>
      <c r="BF313" s="3">
        <f>SUM(BB313:BE313)</f>
        <v>0</v>
      </c>
      <c r="BG313" s="3">
        <f>BG264-BF264</f>
        <v>0</v>
      </c>
      <c r="BH313" s="3">
        <f>BH264-BG264</f>
        <v>0</v>
      </c>
      <c r="BI313" s="3">
        <f>BI264-BH264</f>
        <v>0</v>
      </c>
      <c r="BJ313" s="3">
        <f>BJ264-BI264</f>
        <v>0</v>
      </c>
      <c r="BK313" s="3">
        <f>SUM(BG313:BJ313)</f>
        <v>0</v>
      </c>
      <c r="BL313" s="3">
        <f>BL264-BK264</f>
        <v>0</v>
      </c>
      <c r="BM313" s="3">
        <f>BM264-BL264</f>
        <v>0</v>
      </c>
      <c r="BN313" s="3">
        <f>BN264-BM264</f>
        <v>0</v>
      </c>
      <c r="BO313" s="3">
        <f>BO264-BN264</f>
        <v>0</v>
      </c>
      <c r="BP313" s="3">
        <f>SUM(BL313:BO313)</f>
        <v>0</v>
      </c>
      <c r="BQ313" s="3">
        <f>BQ264-BP264</f>
        <v>0</v>
      </c>
      <c r="BR313" s="3">
        <f>BR264-BQ264</f>
        <v>0</v>
      </c>
      <c r="BS313" s="3">
        <f>BS264-BR264</f>
        <v>0</v>
      </c>
      <c r="BT313" s="3">
        <f>BT264-BS264</f>
        <v>0</v>
      </c>
      <c r="BU313" s="3">
        <f>SUM(BQ313:BT313)</f>
        <v>0</v>
      </c>
      <c r="BV313" s="3">
        <f>BV264-BU264</f>
        <v>0</v>
      </c>
      <c r="BW313" s="3">
        <f>BW264-BV264</f>
        <v>0</v>
      </c>
      <c r="BX313" s="3">
        <f>BX264-BW264</f>
        <v>0</v>
      </c>
      <c r="BY313" s="3">
        <f>BY264-BX264</f>
        <v>0</v>
      </c>
      <c r="BZ313" s="3">
        <f>SUM(BV313:BY313)</f>
        <v>0</v>
      </c>
      <c r="CA313" s="3">
        <f>CA264-BZ264</f>
        <v>0</v>
      </c>
      <c r="CB313" s="3">
        <f>CB264-CA264</f>
        <v>0</v>
      </c>
      <c r="CC313" s="3">
        <f>CC264-CB264</f>
        <v>0</v>
      </c>
      <c r="CD313" s="3">
        <f>CD264-CC264</f>
        <v>0</v>
      </c>
      <c r="CE313" s="3">
        <f>SUM(CA313:CD313)</f>
        <v>0</v>
      </c>
      <c r="CF313" s="3">
        <f>CF264-CE264</f>
        <v>0</v>
      </c>
      <c r="CG313" s="3">
        <f>CG264-CF264</f>
        <v>0</v>
      </c>
      <c r="CH313" s="3">
        <f>CH264-CG264</f>
        <v>0</v>
      </c>
      <c r="CI313" s="3">
        <f>CI264-CH264</f>
        <v>0</v>
      </c>
      <c r="CJ313" s="3">
        <f>SUM(CF313:CI313)</f>
        <v>0</v>
      </c>
      <c r="CK313" s="3">
        <f>CK264-CJ264</f>
        <v>0</v>
      </c>
      <c r="CL313" s="3">
        <f>CL264-CK264</f>
        <v>0</v>
      </c>
      <c r="CM313" s="3">
        <f>CM264-CL264</f>
        <v>0</v>
      </c>
      <c r="CN313" s="3">
        <f>CN264-CM264</f>
        <v>0</v>
      </c>
      <c r="CO313" s="3">
        <f>SUM(CK313:CN313)</f>
        <v>0</v>
      </c>
      <c r="CP313" s="3">
        <f>CP264-CO264</f>
        <v>0</v>
      </c>
      <c r="CQ313" s="3">
        <f>CQ264-CP264</f>
        <v>0</v>
      </c>
      <c r="CR313" s="3">
        <f>CR264-CQ264</f>
        <v>0</v>
      </c>
      <c r="CS313" s="3">
        <f>CS264-CR264</f>
        <v>0</v>
      </c>
      <c r="CT313" s="3">
        <f>SUM(CP313:CS313)</f>
        <v>0</v>
      </c>
      <c r="CU313" s="3">
        <f>CU264-CT264</f>
        <v>0</v>
      </c>
      <c r="CV313" s="3">
        <f>CV264-CU264</f>
        <v>0</v>
      </c>
      <c r="CW313" s="3">
        <f>CW264-CV264</f>
        <v>0</v>
      </c>
      <c r="CX313" s="3">
        <f>CX264-CW264</f>
        <v>0</v>
      </c>
      <c r="CY313" s="3">
        <f>SUM(CU313:CX313)</f>
        <v>0</v>
      </c>
    </row>
    <row r="314">
      <c r="C314" s="26" t="inlineStr">
        <is>
          <t>Treasury stock repurchases</t>
        </is>
      </c>
      <c r="D314" s="3" t="n"/>
      <c r="E314" s="3" t="e">
        <f>E277-D277</f>
        <v>#N/A</v>
      </c>
      <c r="F314" s="3">
        <f>F277-E277</f>
        <v>0</v>
      </c>
      <c r="G314" s="3">
        <f>G277-F277</f>
        <v>0</v>
      </c>
      <c r="H314" s="3" t="e">
        <f>SUM(D314:G314)</f>
        <v>#N/A</v>
      </c>
      <c r="I314" s="3">
        <f>I277-H277</f>
        <v>0</v>
      </c>
      <c r="J314" s="3">
        <f>J277-I277</f>
        <v>0</v>
      </c>
      <c r="K314" s="3">
        <f>K277-J277</f>
        <v>0</v>
      </c>
      <c r="L314" s="3">
        <f>L277-K277</f>
        <v>0</v>
      </c>
      <c r="M314" s="3">
        <f>SUM(I314:L314)</f>
        <v>0</v>
      </c>
      <c r="N314" s="3">
        <f>N277-M277</f>
        <v>0</v>
      </c>
      <c r="O314" s="3">
        <f>O277-N277</f>
        <v>0</v>
      </c>
      <c r="P314" s="3">
        <f>P277-O277</f>
        <v>0</v>
      </c>
      <c r="Q314" s="3">
        <f>Q277-P277</f>
        <v>0</v>
      </c>
      <c r="R314" s="3">
        <f>SUM(N314:Q314)</f>
        <v>0</v>
      </c>
      <c r="S314" s="3">
        <f>S277-R277</f>
        <v>0</v>
      </c>
      <c r="T314" s="3">
        <f>T277-S277</f>
        <v>0</v>
      </c>
      <c r="U314" s="3">
        <f>U277-T277</f>
        <v>0</v>
      </c>
      <c r="V314" s="3">
        <f>V277-U277</f>
        <v>-2.98</v>
      </c>
      <c r="W314" s="3">
        <f>SUM(S314:V314)</f>
        <v>-2.98</v>
      </c>
      <c r="X314" s="3">
        <f>X277-W277</f>
        <v>0</v>
      </c>
      <c r="Y314" s="3">
        <f>Y277-X277</f>
        <v>-10.818</v>
      </c>
      <c r="Z314" s="3">
        <f>Z277-Y277</f>
        <v>9.703</v>
      </c>
      <c r="AA314" s="3">
        <f>AA277-Z277</f>
        <v>0</v>
      </c>
      <c r="AB314" s="3">
        <f>SUM(X314:AA314)</f>
        <v>-1.115</v>
      </c>
      <c r="AC314" s="3">
        <f>AC277-AB277</f>
        <v>-16.204</v>
      </c>
      <c r="AD314" s="3">
        <f>AD277-AC277</f>
        <v>10.88</v>
      </c>
      <c r="AE314" s="3">
        <f>AE277-AD277</f>
        <v>-17.006</v>
      </c>
      <c r="AF314" s="3">
        <f>AF277-AE277</f>
        <v>0</v>
      </c>
      <c r="AG314" s="3">
        <f>SUM(AC314:AF314)</f>
        <v>-22.33</v>
      </c>
      <c r="AH314" s="3">
        <f>AH277-AG277</f>
        <v>0</v>
      </c>
      <c r="AI314" s="3">
        <f>AI277-AH277</f>
        <v>12.141</v>
      </c>
      <c r="AJ314" s="3">
        <f>AJ277-AI277</f>
        <v>0</v>
      </c>
      <c r="AK314" s="3">
        <f>AK277-AJ277</f>
        <v>0</v>
      </c>
      <c r="AL314" s="3">
        <f>SUM(AH314:AK314)</f>
        <v>12.141</v>
      </c>
      <c r="AM314" s="3">
        <f>AM277-AL277</f>
        <v>0</v>
      </c>
      <c r="AN314" s="3">
        <f>AN277-AM277</f>
        <v>0</v>
      </c>
      <c r="AO314" s="3">
        <f>AO277-AN277</f>
        <v>0</v>
      </c>
      <c r="AP314" s="3">
        <f>AP277-AO277</f>
        <v>0</v>
      </c>
      <c r="AQ314" s="3">
        <f>SUM(AM314:AP314)</f>
        <v>0</v>
      </c>
      <c r="AR314" s="3">
        <f>AR277-AQ277</f>
        <v>0</v>
      </c>
      <c r="AS314" s="3">
        <f>AS277-AR277</f>
        <v>0</v>
      </c>
      <c r="AT314" s="3">
        <f>AT277-AS277</f>
        <v>0</v>
      </c>
      <c r="AU314" s="3">
        <f>AU277-AT277</f>
        <v>0</v>
      </c>
      <c r="AV314" s="3">
        <f>SUM(AR314:AU314)</f>
        <v>0</v>
      </c>
      <c r="AW314" s="3">
        <f>AW277-AV277</f>
        <v>0</v>
      </c>
      <c r="AX314" s="3">
        <f>AX277-AW277</f>
        <v>0</v>
      </c>
      <c r="AY314" s="3">
        <f>AY277-AX277</f>
        <v>0</v>
      </c>
      <c r="AZ314" s="3">
        <f>AZ277-AY277</f>
        <v>0</v>
      </c>
      <c r="BA314" s="3">
        <f>SUM(AW314:AZ314)</f>
        <v>0</v>
      </c>
      <c r="BB314" s="3">
        <f>BB277-BA277</f>
        <v>0</v>
      </c>
      <c r="BC314" s="3">
        <f>BC277-BB277</f>
        <v>0</v>
      </c>
      <c r="BD314" s="3">
        <f>BD277-BC277</f>
        <v>0</v>
      </c>
      <c r="BE314" s="3">
        <f>BE277-BD277</f>
        <v>0</v>
      </c>
      <c r="BF314" s="3">
        <f>SUM(BB314:BE314)</f>
        <v>0</v>
      </c>
      <c r="BG314" s="3">
        <f>BG277-BF277</f>
        <v>0</v>
      </c>
      <c r="BH314" s="3">
        <f>BH277-BG277</f>
        <v>0</v>
      </c>
      <c r="BI314" s="3">
        <f>BI277-BH277</f>
        <v>0</v>
      </c>
      <c r="BJ314" s="3">
        <f>BJ277-BI277</f>
        <v>0</v>
      </c>
      <c r="BK314" s="3">
        <f>SUM(BG314:BJ314)</f>
        <v>0</v>
      </c>
      <c r="BL314" s="3">
        <f>BL277-BK277</f>
        <v>0</v>
      </c>
      <c r="BM314" s="3">
        <f>BM277-BL277</f>
        <v>0</v>
      </c>
      <c r="BN314" s="3">
        <f>BN277-BM277</f>
        <v>0</v>
      </c>
      <c r="BO314" s="3">
        <f>BO277-BN277</f>
        <v>0</v>
      </c>
      <c r="BP314" s="3">
        <f>SUM(BL314:BO314)</f>
        <v>0</v>
      </c>
      <c r="BQ314" s="3">
        <f>BQ277-BP277</f>
        <v>0</v>
      </c>
      <c r="BR314" s="3">
        <f>BR277-BQ277</f>
        <v>0</v>
      </c>
      <c r="BS314" s="3">
        <f>BS277-BR277</f>
        <v>0</v>
      </c>
      <c r="BT314" s="3">
        <f>BT277-BS277</f>
        <v>0</v>
      </c>
      <c r="BU314" s="3">
        <f>SUM(BQ314:BT314)</f>
        <v>0</v>
      </c>
      <c r="BV314" s="3">
        <f>BV277-BU277</f>
        <v>0</v>
      </c>
      <c r="BW314" s="3">
        <f>BW277-BV277</f>
        <v>0</v>
      </c>
      <c r="BX314" s="3">
        <f>BX277-BW277</f>
        <v>0</v>
      </c>
      <c r="BY314" s="3">
        <f>BY277-BX277</f>
        <v>0</v>
      </c>
      <c r="BZ314" s="3">
        <f>SUM(BV314:BY314)</f>
        <v>0</v>
      </c>
      <c r="CA314" s="3">
        <f>CA277-BZ277</f>
        <v>0</v>
      </c>
      <c r="CB314" s="3">
        <f>CB277-CA277</f>
        <v>0</v>
      </c>
      <c r="CC314" s="3">
        <f>CC277-CB277</f>
        <v>0</v>
      </c>
      <c r="CD314" s="3">
        <f>CD277-CC277</f>
        <v>0</v>
      </c>
      <c r="CE314" s="3">
        <f>SUM(CA314:CD314)</f>
        <v>0</v>
      </c>
      <c r="CF314" s="3">
        <f>CF277-CE277</f>
        <v>0</v>
      </c>
      <c r="CG314" s="3">
        <f>CG277-CF277</f>
        <v>0</v>
      </c>
      <c r="CH314" s="3">
        <f>CH277-CG277</f>
        <v>0</v>
      </c>
      <c r="CI314" s="3">
        <f>CI277-CH277</f>
        <v>0</v>
      </c>
      <c r="CJ314" s="3">
        <f>SUM(CF314:CI314)</f>
        <v>0</v>
      </c>
      <c r="CK314" s="3">
        <f>CK277-CJ277</f>
        <v>0</v>
      </c>
      <c r="CL314" s="3">
        <f>CL277-CK277</f>
        <v>0</v>
      </c>
      <c r="CM314" s="3">
        <f>CM277-CL277</f>
        <v>0</v>
      </c>
      <c r="CN314" s="3">
        <f>CN277-CM277</f>
        <v>0</v>
      </c>
      <c r="CO314" s="3">
        <f>SUM(CK314:CN314)</f>
        <v>0</v>
      </c>
      <c r="CP314" s="3">
        <f>CP277-CO277</f>
        <v>0</v>
      </c>
      <c r="CQ314" s="3">
        <f>CQ277-CP277</f>
        <v>0</v>
      </c>
      <c r="CR314" s="3">
        <f>CR277-CQ277</f>
        <v>0</v>
      </c>
      <c r="CS314" s="3">
        <f>CS277-CR277</f>
        <v>0</v>
      </c>
      <c r="CT314" s="3">
        <f>SUM(CP314:CS314)</f>
        <v>0</v>
      </c>
      <c r="CU314" s="3">
        <f>CU277-CT277</f>
        <v>0</v>
      </c>
      <c r="CV314" s="3">
        <f>CV277-CU277</f>
        <v>0</v>
      </c>
      <c r="CW314" s="3">
        <f>CW277-CV277</f>
        <v>0</v>
      </c>
      <c r="CX314" s="3">
        <f>CX277-CW277</f>
        <v>0</v>
      </c>
      <c r="CY314" s="3">
        <f>SUM(CU314:CX314)</f>
        <v>0</v>
      </c>
    </row>
    <row r="315">
      <c r="C315" s="26" t="inlineStr">
        <is>
          <t>Comprehensive accumulated loss</t>
        </is>
      </c>
      <c r="D315" s="3" t="n"/>
      <c r="E315" s="3">
        <f>E278-D278</f>
        <v>0</v>
      </c>
      <c r="F315" s="3">
        <f>F278-E278</f>
        <v>0</v>
      </c>
      <c r="G315" s="3">
        <f>G278-F278</f>
        <v>0</v>
      </c>
      <c r="H315" s="3">
        <f>SUM(D315:G315)</f>
        <v>0</v>
      </c>
      <c r="I315" s="3">
        <f>I278-H278</f>
        <v>0</v>
      </c>
      <c r="J315" s="3">
        <f>J278-I278</f>
        <v>0</v>
      </c>
      <c r="K315" s="3">
        <f>K278-J278</f>
        <v>0</v>
      </c>
      <c r="L315" s="3">
        <f>L278-K278</f>
        <v>0</v>
      </c>
      <c r="M315" s="3">
        <f>SUM(I315:L315)</f>
        <v>0</v>
      </c>
      <c r="N315" s="3">
        <f>N278-M278</f>
        <v>0</v>
      </c>
      <c r="O315" s="3">
        <f>O278-N278</f>
        <v>0</v>
      </c>
      <c r="P315" s="3">
        <f>P278-O278</f>
        <v>0</v>
      </c>
      <c r="Q315" s="3">
        <f>Q278-P278</f>
        <v>0</v>
      </c>
      <c r="R315" s="3">
        <f>SUM(N315:Q315)</f>
        <v>0</v>
      </c>
      <c r="S315" s="3">
        <f>S278-R278</f>
        <v>0</v>
      </c>
      <c r="T315" s="3">
        <f>T278-S278</f>
        <v>0</v>
      </c>
      <c r="U315" s="3">
        <f>U278-T278</f>
        <v>0</v>
      </c>
      <c r="V315" s="3">
        <f>V278-U278</f>
        <v>0</v>
      </c>
      <c r="W315" s="3">
        <f>SUM(S315:V315)</f>
        <v>0</v>
      </c>
      <c r="X315" s="3">
        <f>X278-W278</f>
        <v>0</v>
      </c>
      <c r="Y315" s="3">
        <f>Y278-X278</f>
        <v>0</v>
      </c>
      <c r="Z315" s="3">
        <f>Z278-Y278</f>
        <v>0</v>
      </c>
      <c r="AA315" s="3">
        <f>AA278-Z278</f>
        <v>0</v>
      </c>
      <c r="AB315" s="3">
        <f>SUM(X315:AA315)</f>
        <v>0</v>
      </c>
      <c r="AC315" s="3">
        <f>AC278-AB278</f>
        <v>0</v>
      </c>
      <c r="AD315" s="3">
        <f>AD278-AC278</f>
        <v>0</v>
      </c>
      <c r="AE315" s="3">
        <f>AE278-AD278</f>
        <v>0</v>
      </c>
      <c r="AF315" s="3">
        <f>AF278-AE278</f>
        <v>0</v>
      </c>
      <c r="AG315" s="3">
        <f>SUM(AC315:AF315)</f>
        <v>0</v>
      </c>
      <c r="AH315" s="3">
        <f>AH278-AG278</f>
        <v>0</v>
      </c>
      <c r="AI315" s="3">
        <f>AI278-AH278</f>
        <v>0</v>
      </c>
      <c r="AJ315" s="3">
        <f>AJ278-AI278</f>
        <v>0</v>
      </c>
      <c r="AK315" s="3">
        <f>AK278-AJ278</f>
        <v>0</v>
      </c>
      <c r="AL315" s="3">
        <f>SUM(AH315:AK315)</f>
        <v>0</v>
      </c>
      <c r="AM315" s="3">
        <f>AM278-AL278</f>
        <v>0</v>
      </c>
      <c r="AN315" s="3">
        <f>AN278-AM278</f>
        <v>0</v>
      </c>
      <c r="AO315" s="3">
        <f>AO278-AN278</f>
        <v>0</v>
      </c>
      <c r="AP315" s="3">
        <f>AP278-AO278</f>
        <v>0</v>
      </c>
      <c r="AQ315" s="3">
        <f>SUM(AM315:AP315)</f>
        <v>0</v>
      </c>
      <c r="AR315" s="3">
        <f>AR278-AQ278</f>
        <v>0</v>
      </c>
      <c r="AS315" s="3">
        <f>AS278-AR278</f>
        <v>0</v>
      </c>
      <c r="AT315" s="3">
        <f>AT278-AS278</f>
        <v>0</v>
      </c>
      <c r="AU315" s="3">
        <f>AU278-AT278</f>
        <v>0</v>
      </c>
      <c r="AV315" s="3">
        <f>SUM(AR315:AU315)</f>
        <v>0</v>
      </c>
      <c r="AW315" s="3">
        <f>AW278-AV278</f>
        <v>0</v>
      </c>
      <c r="AX315" s="3">
        <f>AX278-AW278</f>
        <v>0</v>
      </c>
      <c r="AY315" s="3">
        <f>AY278-AX278</f>
        <v>0</v>
      </c>
      <c r="AZ315" s="3">
        <f>AZ278-AY278</f>
        <v>0</v>
      </c>
      <c r="BA315" s="3">
        <f>SUM(AW315:AZ315)</f>
        <v>0</v>
      </c>
      <c r="BB315" s="3">
        <f>BB278-BA278</f>
        <v>0</v>
      </c>
      <c r="BC315" s="3">
        <f>BC278-BB278</f>
        <v>0</v>
      </c>
      <c r="BD315" s="3">
        <f>BD278-BC278</f>
        <v>0</v>
      </c>
      <c r="BE315" s="3">
        <f>BE278-BD278</f>
        <v>0</v>
      </c>
      <c r="BF315" s="3">
        <f>SUM(BB315:BE315)</f>
        <v>0</v>
      </c>
      <c r="BG315" s="3">
        <f>BG278-BF278</f>
        <v>0</v>
      </c>
      <c r="BH315" s="3">
        <f>BH278-BG278</f>
        <v>0</v>
      </c>
      <c r="BI315" s="3">
        <f>BI278-BH278</f>
        <v>0</v>
      </c>
      <c r="BJ315" s="3">
        <f>BJ278-BI278</f>
        <v>0</v>
      </c>
      <c r="BK315" s="3">
        <f>SUM(BG315:BJ315)</f>
        <v>0</v>
      </c>
      <c r="BL315" s="3">
        <f>BL278-BK278</f>
        <v>0</v>
      </c>
      <c r="BM315" s="3">
        <f>BM278-BL278</f>
        <v>0</v>
      </c>
      <c r="BN315" s="3">
        <f>BN278-BM278</f>
        <v>0</v>
      </c>
      <c r="BO315" s="3">
        <f>BO278-BN278</f>
        <v>0</v>
      </c>
      <c r="BP315" s="3">
        <f>SUM(BL315:BO315)</f>
        <v>0</v>
      </c>
      <c r="BQ315" s="3">
        <f>BQ278-BP278</f>
        <v>0</v>
      </c>
      <c r="BR315" s="3">
        <f>BR278-BQ278</f>
        <v>0</v>
      </c>
      <c r="BS315" s="3">
        <f>BS278-BR278</f>
        <v>0</v>
      </c>
      <c r="BT315" s="3">
        <f>BT278-BS278</f>
        <v>0</v>
      </c>
      <c r="BU315" s="3">
        <f>SUM(BQ315:BT315)</f>
        <v>0</v>
      </c>
      <c r="BV315" s="3">
        <f>BV278-BU278</f>
        <v>0</v>
      </c>
      <c r="BW315" s="3">
        <f>BW278-BV278</f>
        <v>0</v>
      </c>
      <c r="BX315" s="3">
        <f>BX278-BW278</f>
        <v>0</v>
      </c>
      <c r="BY315" s="3">
        <f>BY278-BX278</f>
        <v>0</v>
      </c>
      <c r="BZ315" s="3">
        <f>SUM(BV315:BY315)</f>
        <v>0</v>
      </c>
      <c r="CA315" s="3">
        <f>CA278-BZ278</f>
        <v>0</v>
      </c>
      <c r="CB315" s="3">
        <f>CB278-CA278</f>
        <v>0</v>
      </c>
      <c r="CC315" s="3">
        <f>CC278-CB278</f>
        <v>0</v>
      </c>
      <c r="CD315" s="3">
        <f>CD278-CC278</f>
        <v>0</v>
      </c>
      <c r="CE315" s="3">
        <f>SUM(CA315:CD315)</f>
        <v>0</v>
      </c>
      <c r="CF315" s="3">
        <f>CF278-CE278</f>
        <v>0</v>
      </c>
      <c r="CG315" s="3">
        <f>CG278-CF278</f>
        <v>0</v>
      </c>
      <c r="CH315" s="3">
        <f>CH278-CG278</f>
        <v>0</v>
      </c>
      <c r="CI315" s="3">
        <f>CI278-CH278</f>
        <v>0</v>
      </c>
      <c r="CJ315" s="3">
        <f>SUM(CF315:CI315)</f>
        <v>0</v>
      </c>
      <c r="CK315" s="3">
        <f>CK278-CJ278</f>
        <v>0</v>
      </c>
      <c r="CL315" s="3">
        <f>CL278-CK278</f>
        <v>0</v>
      </c>
      <c r="CM315" s="3">
        <f>CM278-CL278</f>
        <v>0</v>
      </c>
      <c r="CN315" s="3">
        <f>CN278-CM278</f>
        <v>0</v>
      </c>
      <c r="CO315" s="3">
        <f>SUM(CK315:CN315)</f>
        <v>0</v>
      </c>
      <c r="CP315" s="3">
        <f>CP278-CO278</f>
        <v>0</v>
      </c>
      <c r="CQ315" s="3">
        <f>CQ278-CP278</f>
        <v>0</v>
      </c>
      <c r="CR315" s="3">
        <f>CR278-CQ278</f>
        <v>0</v>
      </c>
      <c r="CS315" s="3">
        <f>CS278-CR278</f>
        <v>0</v>
      </c>
      <c r="CT315" s="3">
        <f>SUM(CP315:CS315)</f>
        <v>0</v>
      </c>
      <c r="CU315" s="3">
        <f>CU278-CT278</f>
        <v>0</v>
      </c>
      <c r="CV315" s="3">
        <f>CV278-CU278</f>
        <v>0</v>
      </c>
      <c r="CW315" s="3">
        <f>CW278-CV278</f>
        <v>0</v>
      </c>
      <c r="CX315" s="3">
        <f>CX278-CW278</f>
        <v>0</v>
      </c>
      <c r="CY315" s="3">
        <f>SUM(CU315:CX315)</f>
        <v>0</v>
      </c>
    </row>
    <row r="316">
      <c r="C316" s="26" t="inlineStr">
        <is>
          <t>Other equity account</t>
        </is>
      </c>
      <c r="D316" s="3" t="n"/>
      <c r="E316" s="3">
        <f>E279-D279</f>
        <v>0</v>
      </c>
      <c r="F316" s="3">
        <f>F279-E279</f>
        <v>0</v>
      </c>
      <c r="G316" s="3">
        <f>G279-F279</f>
        <v>0</v>
      </c>
      <c r="H316" s="3">
        <f>SUM(D316:G316)</f>
        <v>0</v>
      </c>
      <c r="I316" s="3">
        <f>I279-H279</f>
        <v>0</v>
      </c>
      <c r="J316" s="3">
        <f>J279-I279</f>
        <v>0</v>
      </c>
      <c r="K316" s="3">
        <f>K279-J279</f>
        <v>0</v>
      </c>
      <c r="L316" s="3">
        <f>L279-K279</f>
        <v>0</v>
      </c>
      <c r="M316" s="3">
        <f>SUM(I316:L316)</f>
        <v>0</v>
      </c>
      <c r="N316" s="3">
        <f>N279-M279</f>
        <v>0</v>
      </c>
      <c r="O316" s="3">
        <f>O279-N279</f>
        <v>0</v>
      </c>
      <c r="P316" s="3">
        <f>P279-O279</f>
        <v>0</v>
      </c>
      <c r="Q316" s="3">
        <f>Q279-P279</f>
        <v>0</v>
      </c>
      <c r="R316" s="3">
        <f>SUM(N316:Q316)</f>
        <v>0</v>
      </c>
      <c r="S316" s="3">
        <f>S279-R279</f>
        <v>0</v>
      </c>
      <c r="T316" s="3">
        <f>T279-S279</f>
        <v>0</v>
      </c>
      <c r="U316" s="3">
        <f>U279-T279</f>
        <v>0</v>
      </c>
      <c r="V316" s="3">
        <f>V279-U279</f>
        <v>0</v>
      </c>
      <c r="W316" s="3">
        <f>SUM(S316:V316)</f>
        <v>0</v>
      </c>
      <c r="X316" s="3">
        <f>X279-W279</f>
        <v>0</v>
      </c>
      <c r="Y316" s="3">
        <f>Y279-X279</f>
        <v>0</v>
      </c>
      <c r="Z316" s="3">
        <f>Z279-Y279</f>
        <v>0</v>
      </c>
      <c r="AA316" s="3">
        <f>AA279-Z279</f>
        <v>0</v>
      </c>
      <c r="AB316" s="3">
        <f>SUM(X316:AA316)</f>
        <v>0</v>
      </c>
      <c r="AC316" s="3">
        <f>AC279-AB279</f>
        <v>0</v>
      </c>
      <c r="AD316" s="3">
        <f>AD279-AC279</f>
        <v>0</v>
      </c>
      <c r="AE316" s="3">
        <f>AE279-AD279</f>
        <v>0</v>
      </c>
      <c r="AF316" s="3">
        <f>AF279-AE279</f>
        <v>0</v>
      </c>
      <c r="AG316" s="3">
        <f>SUM(AC316:AF316)</f>
        <v>0</v>
      </c>
      <c r="AH316" s="3">
        <f>AH279-AG279</f>
        <v>0</v>
      </c>
      <c r="AI316" s="3">
        <f>AI279-AH279</f>
        <v>0</v>
      </c>
      <c r="AJ316" s="3">
        <f>AJ279-AI279</f>
        <v>0</v>
      </c>
      <c r="AK316" s="3">
        <f>AK279-AJ279</f>
        <v>0</v>
      </c>
      <c r="AL316" s="3">
        <f>SUM(AH316:AK316)</f>
        <v>0</v>
      </c>
      <c r="AM316" s="3">
        <f>AM279-AL279</f>
        <v>0</v>
      </c>
      <c r="AN316" s="3">
        <f>AN279-AM279</f>
        <v>0</v>
      </c>
      <c r="AO316" s="3">
        <f>AO279-AN279</f>
        <v>0</v>
      </c>
      <c r="AP316" s="3">
        <f>AP279-AO279</f>
        <v>0</v>
      </c>
      <c r="AQ316" s="3">
        <f>SUM(AM316:AP316)</f>
        <v>0</v>
      </c>
      <c r="AR316" s="3">
        <f>AR279-AQ279</f>
        <v>0</v>
      </c>
      <c r="AS316" s="3">
        <f>AS279-AR279</f>
        <v>0</v>
      </c>
      <c r="AT316" s="3">
        <f>AT279-AS279</f>
        <v>0</v>
      </c>
      <c r="AU316" s="3">
        <f>AU279-AT279</f>
        <v>0</v>
      </c>
      <c r="AV316" s="3">
        <f>SUM(AR316:AU316)</f>
        <v>0</v>
      </c>
      <c r="AW316" s="3">
        <f>AW279-AV279</f>
        <v>0</v>
      </c>
      <c r="AX316" s="3">
        <f>AX279-AW279</f>
        <v>0</v>
      </c>
      <c r="AY316" s="3">
        <f>AY279-AX279</f>
        <v>0</v>
      </c>
      <c r="AZ316" s="3">
        <f>AZ279-AY279</f>
        <v>0</v>
      </c>
      <c r="BA316" s="3">
        <f>SUM(AW316:AZ316)</f>
        <v>0</v>
      </c>
      <c r="BB316" s="3">
        <f>BB279-BA279</f>
        <v>0</v>
      </c>
      <c r="BC316" s="3">
        <f>BC279-BB279</f>
        <v>0</v>
      </c>
      <c r="BD316" s="3">
        <f>BD279-BC279</f>
        <v>0</v>
      </c>
      <c r="BE316" s="3">
        <f>BE279-BD279</f>
        <v>0</v>
      </c>
      <c r="BF316" s="3">
        <f>SUM(BB316:BE316)</f>
        <v>0</v>
      </c>
      <c r="BG316" s="3">
        <f>BG279-BF279</f>
        <v>0</v>
      </c>
      <c r="BH316" s="3">
        <f>BH279-BG279</f>
        <v>0</v>
      </c>
      <c r="BI316" s="3">
        <f>BI279-BH279</f>
        <v>0</v>
      </c>
      <c r="BJ316" s="3">
        <f>BJ279-BI279</f>
        <v>0</v>
      </c>
      <c r="BK316" s="3">
        <f>SUM(BG316:BJ316)</f>
        <v>0</v>
      </c>
      <c r="BL316" s="3">
        <f>BL279-BK279</f>
        <v>0</v>
      </c>
      <c r="BM316" s="3">
        <f>BM279-BL279</f>
        <v>0</v>
      </c>
      <c r="BN316" s="3">
        <f>BN279-BM279</f>
        <v>0</v>
      </c>
      <c r="BO316" s="3">
        <f>BO279-BN279</f>
        <v>0</v>
      </c>
      <c r="BP316" s="3">
        <f>SUM(BL316:BO316)</f>
        <v>0</v>
      </c>
      <c r="BQ316" s="3">
        <f>BQ279-BP279</f>
        <v>0</v>
      </c>
      <c r="BR316" s="3">
        <f>BR279-BQ279</f>
        <v>0</v>
      </c>
      <c r="BS316" s="3">
        <f>BS279-BR279</f>
        <v>0</v>
      </c>
      <c r="BT316" s="3">
        <f>BT279-BS279</f>
        <v>0</v>
      </c>
      <c r="BU316" s="3">
        <f>SUM(BQ316:BT316)</f>
        <v>0</v>
      </c>
      <c r="BV316" s="3">
        <f>BV279-BU279</f>
        <v>0</v>
      </c>
      <c r="BW316" s="3">
        <f>BW279-BV279</f>
        <v>0</v>
      </c>
      <c r="BX316" s="3">
        <f>BX279-BW279</f>
        <v>0</v>
      </c>
      <c r="BY316" s="3">
        <f>BY279-BX279</f>
        <v>0</v>
      </c>
      <c r="BZ316" s="3">
        <f>SUM(BV316:BY316)</f>
        <v>0</v>
      </c>
      <c r="CA316" s="3">
        <f>CA279-BZ279</f>
        <v>0</v>
      </c>
      <c r="CB316" s="3">
        <f>CB279-CA279</f>
        <v>0</v>
      </c>
      <c r="CC316" s="3">
        <f>CC279-CB279</f>
        <v>0</v>
      </c>
      <c r="CD316" s="3">
        <f>CD279-CC279</f>
        <v>0</v>
      </c>
      <c r="CE316" s="3">
        <f>SUM(CA316:CD316)</f>
        <v>0</v>
      </c>
      <c r="CF316" s="3">
        <f>CF279-CE279</f>
        <v>0</v>
      </c>
      <c r="CG316" s="3">
        <f>CG279-CF279</f>
        <v>0</v>
      </c>
      <c r="CH316" s="3">
        <f>CH279-CG279</f>
        <v>0</v>
      </c>
      <c r="CI316" s="3">
        <f>CI279-CH279</f>
        <v>0</v>
      </c>
      <c r="CJ316" s="3">
        <f>SUM(CF316:CI316)</f>
        <v>0</v>
      </c>
      <c r="CK316" s="3">
        <f>CK279-CJ279</f>
        <v>0</v>
      </c>
      <c r="CL316" s="3">
        <f>CL279-CK279</f>
        <v>0</v>
      </c>
      <c r="CM316" s="3">
        <f>CM279-CL279</f>
        <v>0</v>
      </c>
      <c r="CN316" s="3">
        <f>CN279-CM279</f>
        <v>0</v>
      </c>
      <c r="CO316" s="3">
        <f>SUM(CK316:CN316)</f>
        <v>0</v>
      </c>
      <c r="CP316" s="3">
        <f>CP279-CO279</f>
        <v>0</v>
      </c>
      <c r="CQ316" s="3">
        <f>CQ279-CP279</f>
        <v>0</v>
      </c>
      <c r="CR316" s="3">
        <f>CR279-CQ279</f>
        <v>0</v>
      </c>
      <c r="CS316" s="3">
        <f>CS279-CR279</f>
        <v>0</v>
      </c>
      <c r="CT316" s="3">
        <f>SUM(CP316:CS316)</f>
        <v>0</v>
      </c>
      <c r="CU316" s="3">
        <f>CU279-CT279</f>
        <v>0</v>
      </c>
      <c r="CV316" s="3">
        <f>CV279-CU279</f>
        <v>0</v>
      </c>
      <c r="CW316" s="3">
        <f>CW279-CV279</f>
        <v>0</v>
      </c>
      <c r="CX316" s="3">
        <f>CX279-CW279</f>
        <v>0</v>
      </c>
      <c r="CY316" s="3">
        <f>SUM(CU316:CX316)</f>
        <v>0</v>
      </c>
    </row>
    <row r="317">
      <c r="C317" s="29" t="inlineStr">
        <is>
          <t>Common and preferred dividends</t>
        </is>
      </c>
      <c r="D317" s="3" t="n"/>
      <c r="E317" s="3" t="e">
        <f>(E280-D280)-E287</f>
        <v>#N/A</v>
      </c>
      <c r="F317" s="3">
        <f>(F280-E280)-F287</f>
        <v>-0.272226999999901</v>
      </c>
      <c r="G317" s="3">
        <f>(G280-F280)-G287</f>
        <v>45.4799972399998</v>
      </c>
      <c r="H317" s="3" t="e">
        <f>SUM(D317:G317)</f>
        <v>#N/A</v>
      </c>
      <c r="I317" s="3">
        <f>(I280-H280)-I287</f>
        <v>-1.17415430999893</v>
      </c>
      <c r="J317" s="3">
        <f>(J280-I280)-J287</f>
        <v>-2.9563454900013</v>
      </c>
      <c r="K317" s="3">
        <f>(K280-J280)-K287</f>
        <v>-3.51300000000006</v>
      </c>
      <c r="L317" s="3">
        <f>(L280-K280)-L287</f>
        <v>-2.21663300998955</v>
      </c>
      <c r="M317" s="3">
        <f>SUM(I317:L317)</f>
        <v>-9.86013280998984</v>
      </c>
      <c r="N317" s="3">
        <f>(N280-M280)-N287</f>
        <v>-2.49384191000033</v>
      </c>
      <c r="O317" s="3">
        <f>(O280-N280)-O287</f>
        <v>-2.95308316000035</v>
      </c>
      <c r="P317" s="3">
        <f>(P280-O280)-P287</f>
        <v>-3.61900000000043</v>
      </c>
      <c r="Q317" s="3">
        <f>(Q280-P280)-Q287</f>
        <v>-3.30977902999962</v>
      </c>
      <c r="R317" s="3">
        <f>SUM(N317:Q317)</f>
        <v>-12.3757041000007</v>
      </c>
      <c r="S317" s="3">
        <f>(S280-R280)-S287</f>
        <v>-2.97366758000086</v>
      </c>
      <c r="T317" s="3">
        <f>(T280-S280)-T287</f>
        <v>-3.38899999999876</v>
      </c>
      <c r="U317" s="3">
        <f>(U280-T280)-U287</f>
        <v>-5.40399999999983</v>
      </c>
      <c r="V317" s="3">
        <f>(V280-U280)-V287</f>
        <v>-3235.8114499</v>
      </c>
      <c r="W317" s="3">
        <f>SUM(S317:V317)</f>
        <v>-3247.57811748</v>
      </c>
      <c r="X317" s="3">
        <f>(X280-W280)-X287</f>
        <v>-98.8497813115745</v>
      </c>
      <c r="Y317" s="3">
        <f>(Y280-X280)-Y287</f>
        <v>-138.00921227111</v>
      </c>
      <c r="Z317" s="3">
        <f>(Z280-Y280)-Z287</f>
        <v>-82.5209999999998</v>
      </c>
      <c r="AA317" s="3">
        <f>(AA280-Z280)-AA287</f>
        <v>-731.115900000001</v>
      </c>
      <c r="AB317" s="3">
        <f>SUM(X317:AA317)</f>
        <v>-1050.49589358269</v>
      </c>
      <c r="AC317" s="3">
        <f>(AC280-AB280)-AC287</f>
        <v>-139.085</v>
      </c>
      <c r="AD317" s="3">
        <f>(AD280-AC280)-AD287</f>
        <v>-156.261433216228</v>
      </c>
      <c r="AE317" s="3">
        <f>(AE280-AD280)-AE287</f>
        <v>-167.25</v>
      </c>
      <c r="AF317" s="3">
        <f>(AF280-AE280)-AF287</f>
        <v>-146.568000000031</v>
      </c>
      <c r="AG317" s="3">
        <f>SUM(AC317:AF317)</f>
        <v>-609.164433216258</v>
      </c>
      <c r="AH317" s="3">
        <f>(AH280-AG280)-AH287</f>
        <v>0</v>
      </c>
      <c r="AI317" s="3">
        <f>(AI280-AH280)-AI287</f>
        <v>9.37916411203332e-13</v>
      </c>
      <c r="AJ317" s="3">
        <f>(AJ280-AI280)-AJ287</f>
        <v>0</v>
      </c>
      <c r="AK317" s="3">
        <f>(AK280-AJ280)-AK287</f>
        <v>0</v>
      </c>
      <c r="AL317" s="3">
        <f>SUM(AH317:AK317)</f>
        <v>9.37916411203332e-13</v>
      </c>
      <c r="AM317" s="3">
        <f>(AM280-AL280)-AM287</f>
        <v>0</v>
      </c>
      <c r="AN317" s="3">
        <f>(AN280-AM280)-AN287</f>
        <v>0</v>
      </c>
      <c r="AO317" s="3">
        <f>(AO280-AN280)-AO287</f>
        <v>0</v>
      </c>
      <c r="AP317" s="3">
        <f>(AP280-AO280)-AP287</f>
        <v>0</v>
      </c>
      <c r="AQ317" s="3">
        <f>SUM(AM317:AP317)</f>
        <v>0</v>
      </c>
      <c r="AR317" s="3">
        <f>(AR280-AQ280)-AR287</f>
        <v>0</v>
      </c>
      <c r="AS317" s="3">
        <f>(AS280-AR280)-AS287</f>
        <v>0</v>
      </c>
      <c r="AT317" s="3">
        <f>(AT280-AS280)-AT287</f>
        <v>0</v>
      </c>
      <c r="AU317" s="3">
        <f>(AU280-AT280)-AU287</f>
        <v>0</v>
      </c>
      <c r="AV317" s="3">
        <f>SUM(AR317:AU317)</f>
        <v>0</v>
      </c>
      <c r="AW317" s="3">
        <f>(AW280-AV280)-AW287</f>
        <v>0</v>
      </c>
      <c r="AX317" s="3">
        <f>(AX280-AW280)-AX287</f>
        <v>0</v>
      </c>
      <c r="AY317" s="3">
        <f>(AY280-AX280)-AY287</f>
        <v>0</v>
      </c>
      <c r="AZ317" s="3">
        <f>(AZ280-AY280)-AZ287</f>
        <v>0</v>
      </c>
      <c r="BA317" s="3">
        <f>SUM(AW317:AZ317)</f>
        <v>0</v>
      </c>
      <c r="BB317" s="3">
        <f>(BB280-BA280)-BB287</f>
        <v>0</v>
      </c>
      <c r="BC317" s="3">
        <f>(BC280-BB280)-BC287</f>
        <v>0</v>
      </c>
      <c r="BD317" s="3">
        <f>(BD280-BC280)-BD287</f>
        <v>0</v>
      </c>
      <c r="BE317" s="3">
        <f>(BE280-BD280)-BE287</f>
        <v>0</v>
      </c>
      <c r="BF317" s="3">
        <f>SUM(BB317:BE317)</f>
        <v>0</v>
      </c>
      <c r="BG317" s="3">
        <f>(BG280-BF280)-BG287</f>
        <v>0</v>
      </c>
      <c r="BH317" s="3">
        <f>(BH280-BG280)-BH287</f>
        <v>0</v>
      </c>
      <c r="BI317" s="3">
        <f>(BI280-BH280)-BI287</f>
        <v>0</v>
      </c>
      <c r="BJ317" s="3">
        <f>(BJ280-BI280)-BJ287</f>
        <v>0</v>
      </c>
      <c r="BK317" s="3">
        <f>SUM(BG317:BJ317)</f>
        <v>0</v>
      </c>
      <c r="BL317" s="3">
        <f>(BL280-BK280)-BL287</f>
        <v>0</v>
      </c>
      <c r="BM317" s="3">
        <f>(BM280-BL280)-BM287</f>
        <v>0</v>
      </c>
      <c r="BN317" s="3">
        <f>(BN280-BM280)-BN287</f>
        <v>0</v>
      </c>
      <c r="BO317" s="3">
        <f>(BO280-BN280)-BO287</f>
        <v>0</v>
      </c>
      <c r="BP317" s="3">
        <f>SUM(BL317:BO317)</f>
        <v>0</v>
      </c>
      <c r="BQ317" s="3">
        <f>(BQ280-BP280)-BQ287</f>
        <v>0</v>
      </c>
      <c r="BR317" s="3">
        <f>(BR280-BQ280)-BR287</f>
        <v>0</v>
      </c>
      <c r="BS317" s="3">
        <f>(BS280-BR280)-BS287</f>
        <v>0</v>
      </c>
      <c r="BT317" s="3">
        <f>(BT280-BS280)-BT287</f>
        <v>0</v>
      </c>
      <c r="BU317" s="3">
        <f>SUM(BQ317:BT317)</f>
        <v>0</v>
      </c>
      <c r="BV317" s="3">
        <f>(BV280-BU280)-BV287</f>
        <v>0</v>
      </c>
      <c r="BW317" s="3">
        <f>(BW280-BV280)-BW287</f>
        <v>0</v>
      </c>
      <c r="BX317" s="3">
        <f>(BX280-BW280)-BX287</f>
        <v>0</v>
      </c>
      <c r="BY317" s="3">
        <f>(BY280-BX280)-BY287</f>
        <v>0</v>
      </c>
      <c r="BZ317" s="3">
        <f>SUM(BV317:BY317)</f>
        <v>0</v>
      </c>
      <c r="CA317" s="3">
        <f>(CA280-BZ280)-CA287</f>
        <v>0</v>
      </c>
      <c r="CB317" s="3">
        <f>(CB280-CA280)-CB287</f>
        <v>0</v>
      </c>
      <c r="CC317" s="3">
        <f>(CC280-CB280)-CC287</f>
        <v>0</v>
      </c>
      <c r="CD317" s="3">
        <f>(CD280-CC280)-CD287</f>
        <v>0</v>
      </c>
      <c r="CE317" s="3">
        <f>SUM(CA317:CD317)</f>
        <v>0</v>
      </c>
      <c r="CF317" s="3">
        <f>(CF280-CE280)-CF287</f>
        <v>0</v>
      </c>
      <c r="CG317" s="3">
        <f>(CG280-CF280)-CG287</f>
        <v>0</v>
      </c>
      <c r="CH317" s="3">
        <f>(CH280-CG280)-CH287</f>
        <v>0</v>
      </c>
      <c r="CI317" s="3">
        <f>(CI280-CH280)-CI287</f>
        <v>0</v>
      </c>
      <c r="CJ317" s="3">
        <f>SUM(CF317:CI317)</f>
        <v>0</v>
      </c>
      <c r="CK317" s="3">
        <f>(CK280-CJ280)-CK287</f>
        <v>0</v>
      </c>
      <c r="CL317" s="3">
        <f>(CL280-CK280)-CL287</f>
        <v>0</v>
      </c>
      <c r="CM317" s="3">
        <f>(CM280-CL280)-CM287</f>
        <v>0</v>
      </c>
      <c r="CN317" s="3">
        <f>(CN280-CM280)-CN287</f>
        <v>0</v>
      </c>
      <c r="CO317" s="3">
        <f>SUM(CK317:CN317)</f>
        <v>0</v>
      </c>
      <c r="CP317" s="3">
        <f>(CP280-CO280)-CP287</f>
        <v>0</v>
      </c>
      <c r="CQ317" s="3">
        <f>(CQ280-CP280)-CQ287</f>
        <v>0</v>
      </c>
      <c r="CR317" s="3">
        <f>(CR280-CQ280)-CR287</f>
        <v>0</v>
      </c>
      <c r="CS317" s="3">
        <f>(CS280-CR280)-CS287</f>
        <v>0</v>
      </c>
      <c r="CT317" s="3">
        <f>SUM(CP317:CS317)</f>
        <v>0</v>
      </c>
      <c r="CU317" s="3">
        <f>(CU280-CT280)-CU287</f>
        <v>0</v>
      </c>
      <c r="CV317" s="3">
        <f>(CV280-CU280)-CV287</f>
        <v>0</v>
      </c>
      <c r="CW317" s="3">
        <f>(CW280-CV280)-CW287</f>
        <v>0</v>
      </c>
      <c r="CX317" s="3">
        <f>(CX280-CW280)-CX287</f>
        <v>0</v>
      </c>
      <c r="CY317" s="3">
        <f>SUM(CU317:CX317)</f>
        <v>0</v>
      </c>
    </row>
    <row r="318">
      <c r="C318" s="26" t="inlineStr">
        <is>
          <t>Dividends to minority interests</t>
        </is>
      </c>
      <c r="D318" s="3" t="n"/>
      <c r="E318" s="3" t="e">
        <f>(E258-D258)+E146</f>
        <v>#N/A</v>
      </c>
      <c r="F318" s="3">
        <f>(F258-E258)+F146</f>
        <v>0.250351999999999</v>
      </c>
      <c r="G318" s="3">
        <f>(G258-F258)+G146</f>
        <v>-0.269000000000005</v>
      </c>
      <c r="H318" s="3" t="e">
        <f>SUM(D318:G318)</f>
        <v>#N/A</v>
      </c>
      <c r="I318" s="3">
        <f>(I258-H258)+I146</f>
        <v>1.17300000000001</v>
      </c>
      <c r="J318" s="3">
        <f>(J258-I258)+J146</f>
        <v>2.958</v>
      </c>
      <c r="K318" s="3">
        <f>(K258-J258)+K146</f>
        <v>3.51299999999999</v>
      </c>
      <c r="L318" s="3">
        <f>(L258-K258)+L146</f>
        <v>2.46600000000001</v>
      </c>
      <c r="M318" s="3">
        <f>SUM(I318:L318)</f>
        <v>10.11</v>
      </c>
      <c r="N318" s="3">
        <f>(N258-M258)+N146</f>
        <v>2.496</v>
      </c>
      <c r="O318" s="3">
        <f>(O258-N258)+O146</f>
        <v>3.38200000000001</v>
      </c>
      <c r="P318" s="3">
        <f>(P258-O258)+P146</f>
        <v>3.67099999999999</v>
      </c>
      <c r="Q318" s="3">
        <f>(Q258-P258)+Q146</f>
        <v>3.43600000000001</v>
      </c>
      <c r="R318" s="3">
        <f>SUM(N318:Q318)</f>
        <v>12.985</v>
      </c>
      <c r="S318" s="3">
        <f>(S258-R258)+S146</f>
        <v>2.89339999999999</v>
      </c>
      <c r="T318" s="3">
        <f>(T258-S258)+T146</f>
        <v>4.56360000000001</v>
      </c>
      <c r="U318" s="3">
        <f>(U258-T258)+U146</f>
        <v>4.194</v>
      </c>
      <c r="V318" s="3">
        <f>(V258-U258)+V146</f>
        <v>3.211</v>
      </c>
      <c r="W318" s="3">
        <f>SUM(S318:V318)</f>
        <v>14.862</v>
      </c>
      <c r="X318" s="3">
        <f>(X258-W258)+X146</f>
        <v>2.563</v>
      </c>
      <c r="Y318" s="3">
        <f>(Y258-X258)+Y146</f>
        <v>4.71299999999999</v>
      </c>
      <c r="Z318" s="3">
        <f>(Z258-Y258)+Z146</f>
        <v>13.439</v>
      </c>
      <c r="AA318" s="3">
        <f>(AA258-Z258)+AA146</f>
        <v>-45.273</v>
      </c>
      <c r="AB318" s="3">
        <f>SUM(X318:AA318)</f>
        <v>-24.558</v>
      </c>
      <c r="AC318" s="3">
        <f>(AC258-AB258)+AC146</f>
        <v>3.01299999999999</v>
      </c>
      <c r="AD318" s="3">
        <f>(AD258-AC258)+AD146</f>
        <v>5.68900000000001</v>
      </c>
      <c r="AE318" s="3">
        <f>(AE258-AD258)+AE146</f>
        <v>976.659</v>
      </c>
      <c r="AF318" s="3">
        <f>(AF258-AE258)+AF146</f>
        <v>7.10100000000001</v>
      </c>
      <c r="AG318" s="3">
        <f>SUM(AC318:AF318)</f>
        <v>992.462</v>
      </c>
      <c r="AH318" s="3">
        <f>(AH258-AG258)+AH146</f>
        <v>1.66977542903624e-13</v>
      </c>
      <c r="AI318" s="3">
        <f>(AI258-AH258)+AI146</f>
        <v>93.582</v>
      </c>
      <c r="AJ318" s="3">
        <f>(AJ258-AI258)+AJ146</f>
        <v>4.35207425653061e-14</v>
      </c>
      <c r="AK318" s="3">
        <f>(AK258-AJ258)+AK146</f>
        <v>-1.03028696685215e-13</v>
      </c>
      <c r="AL318" s="3">
        <f>SUM(AH318:AK318)</f>
        <v>93.5820000000001</v>
      </c>
      <c r="AM318" s="3">
        <f>(AM258-AL258)+AM146</f>
        <v>0</v>
      </c>
      <c r="AN318" s="3">
        <f>(AN258-AM258)+AN146</f>
        <v>7.63833440942108e-14</v>
      </c>
      <c r="AO318" s="3">
        <f>(AO258-AN258)+AO146</f>
        <v>4.35207425653061e-14</v>
      </c>
      <c r="AP318" s="3">
        <f>(AP258-AO258)+AP146</f>
        <v>-1.03028696685215e-13</v>
      </c>
      <c r="AQ318" s="3">
        <f>SUM(AM318:AP318)</f>
        <v>1.68753899743024e-14</v>
      </c>
      <c r="AR318" s="3">
        <f>(AR258-AQ258)+AR146</f>
        <v>0</v>
      </c>
      <c r="AS318" s="3">
        <f>(AS258-AR258)+AS146</f>
        <v>7.63833440942108e-14</v>
      </c>
      <c r="AT318" s="3">
        <f>(AT258-AS258)+AT146</f>
        <v>4.35207425653061e-14</v>
      </c>
      <c r="AU318" s="3">
        <f>(AU258-AT258)+AU146</f>
        <v>-1.03028696685215e-13</v>
      </c>
      <c r="AV318" s="3">
        <f>SUM(AR318:AU318)</f>
        <v>1.68753899743024e-14</v>
      </c>
      <c r="AW318" s="3">
        <f>(AW258-AV258)+AW146</f>
        <v>0</v>
      </c>
      <c r="AX318" s="3">
        <f>(AX258-AW258)+AX146</f>
        <v>7.63833440942108e-14</v>
      </c>
      <c r="AY318" s="3">
        <f>(AY258-AX258)+AY146</f>
        <v>4.35207425653061e-14</v>
      </c>
      <c r="AZ318" s="3">
        <f>(AZ258-AY258)+AZ146</f>
        <v>-1.03028696685215e-13</v>
      </c>
      <c r="BA318" s="3">
        <f>SUM(AW318:AZ318)</f>
        <v>1.68753899743024e-14</v>
      </c>
      <c r="BB318" s="3">
        <f>(BB258-BA258)+BB146</f>
        <v>0</v>
      </c>
      <c r="BC318" s="3">
        <f>(BC258-BB258)+BC146</f>
        <v>7.63833440942108e-14</v>
      </c>
      <c r="BD318" s="3">
        <f>(BD258-BC258)+BD146</f>
        <v>4.35207425653061e-14</v>
      </c>
      <c r="BE318" s="3">
        <f>(BE258-BD258)+BE146</f>
        <v>-1.03028696685215e-13</v>
      </c>
      <c r="BF318" s="3">
        <f>SUM(BB318:BE318)</f>
        <v>1.68753899743024e-14</v>
      </c>
      <c r="BG318" s="3">
        <f>(BG258-BF258)+BG146</f>
        <v>0</v>
      </c>
      <c r="BH318" s="3">
        <f>(BH258-BG258)+BH146</f>
        <v>7.63833440942108e-14</v>
      </c>
      <c r="BI318" s="3">
        <f>(BI258-BH258)+BI146</f>
        <v>4.35207425653061e-14</v>
      </c>
      <c r="BJ318" s="3">
        <f>(BJ258-BI258)+BJ146</f>
        <v>-1.03028696685215e-13</v>
      </c>
      <c r="BK318" s="3">
        <f>SUM(BG318:BJ318)</f>
        <v>1.68753899743024e-14</v>
      </c>
      <c r="BL318" s="3">
        <f>(BL258-BK258)+BL146</f>
        <v>0</v>
      </c>
      <c r="BM318" s="3">
        <f>(BM258-BL258)+BM146</f>
        <v>7.63833440942108e-14</v>
      </c>
      <c r="BN318" s="3">
        <f>(BN258-BM258)+BN146</f>
        <v>4.35207425653061e-14</v>
      </c>
      <c r="BO318" s="3">
        <f>(BO258-BN258)+BO146</f>
        <v>-1.03028696685215e-13</v>
      </c>
      <c r="BP318" s="3">
        <f>SUM(BL318:BO318)</f>
        <v>1.68753899743024e-14</v>
      </c>
      <c r="BQ318" s="3">
        <f>(BQ258-BP258)+BQ146</f>
        <v>0</v>
      </c>
      <c r="BR318" s="3">
        <f>(BR258-BQ258)+BR146</f>
        <v>7.63833440942108e-14</v>
      </c>
      <c r="BS318" s="3">
        <f>(BS258-BR258)+BS146</f>
        <v>4.35207425653061e-14</v>
      </c>
      <c r="BT318" s="3">
        <f>(BT258-BS258)+BT146</f>
        <v>-1.03028696685215e-13</v>
      </c>
      <c r="BU318" s="3">
        <f>SUM(BQ318:BT318)</f>
        <v>1.68753899743024e-14</v>
      </c>
      <c r="BV318" s="3">
        <f>(BV258-BU258)+BV146</f>
        <v>0</v>
      </c>
      <c r="BW318" s="3">
        <f>(BW258-BV258)+BW146</f>
        <v>7.63833440942108e-14</v>
      </c>
      <c r="BX318" s="3">
        <f>(BX258-BW258)+BX146</f>
        <v>4.35207425653061e-14</v>
      </c>
      <c r="BY318" s="3">
        <f>(BY258-BX258)+BY146</f>
        <v>-1.03028696685215e-13</v>
      </c>
      <c r="BZ318" s="3">
        <f>SUM(BV318:BY318)</f>
        <v>1.68753899743024e-14</v>
      </c>
      <c r="CA318" s="3">
        <f>(CA258-BZ258)+CA146</f>
        <v>0</v>
      </c>
      <c r="CB318" s="3">
        <f>(CB258-CA258)+CB146</f>
        <v>7.63833440942108e-14</v>
      </c>
      <c r="CC318" s="3">
        <f>(CC258-CB258)+CC146</f>
        <v>4.35207425653061e-14</v>
      </c>
      <c r="CD318" s="3">
        <f>(CD258-CC258)+CD146</f>
        <v>-1.03028696685215e-13</v>
      </c>
      <c r="CE318" s="3">
        <f>SUM(CA318:CD318)</f>
        <v>1.68753899743024e-14</v>
      </c>
      <c r="CF318" s="3">
        <f>(CF258-CE258)+CF146</f>
        <v>0</v>
      </c>
      <c r="CG318" s="3">
        <f>(CG258-CF258)+CG146</f>
        <v>7.63833440942108e-14</v>
      </c>
      <c r="CH318" s="3">
        <f>(CH258-CG258)+CH146</f>
        <v>4.35207425653061e-14</v>
      </c>
      <c r="CI318" s="3">
        <f>(CI258-CH258)+CI146</f>
        <v>-1.03028696685215e-13</v>
      </c>
      <c r="CJ318" s="3">
        <f>SUM(CF318:CI318)</f>
        <v>1.68753899743024e-14</v>
      </c>
      <c r="CK318" s="3">
        <f>(CK258-CJ258)+CK146</f>
        <v>0</v>
      </c>
      <c r="CL318" s="3">
        <f>(CL258-CK258)+CL146</f>
        <v>7.63833440942108e-14</v>
      </c>
      <c r="CM318" s="3">
        <f>(CM258-CL258)+CM146</f>
        <v>4.35207425653061e-14</v>
      </c>
      <c r="CN318" s="3">
        <f>(CN258-CM258)+CN146</f>
        <v>-1.03028696685215e-13</v>
      </c>
      <c r="CO318" s="3">
        <f>SUM(CK318:CN318)</f>
        <v>1.68753899743024e-14</v>
      </c>
      <c r="CP318" s="3">
        <f>(CP258-CO258)+CP146</f>
        <v>0</v>
      </c>
      <c r="CQ318" s="3">
        <f>(CQ258-CP258)+CQ146</f>
        <v>7.63833440942108e-14</v>
      </c>
      <c r="CR318" s="3">
        <f>(CR258-CQ258)+CR146</f>
        <v>4.35207425653061e-14</v>
      </c>
      <c r="CS318" s="3">
        <f>(CS258-CR258)+CS146</f>
        <v>-1.03028696685215e-13</v>
      </c>
      <c r="CT318" s="3">
        <f>SUM(CP318:CS318)</f>
        <v>1.68753899743024e-14</v>
      </c>
      <c r="CU318" s="3">
        <f>(CU258-CT258)+CU146</f>
        <v>0</v>
      </c>
      <c r="CV318" s="3">
        <f>(CV258-CU258)+CV146</f>
        <v>7.63833440942108e-14</v>
      </c>
      <c r="CW318" s="3">
        <f>(CW258-CV258)+CW146</f>
        <v>4.35207425653061e-14</v>
      </c>
      <c r="CX318" s="3">
        <f>(CX258-CW258)+CX146</f>
        <v>-1.03028696685215e-13</v>
      </c>
      <c r="CY318" s="3">
        <f>SUM(CU318:CX318)</f>
        <v>1.68753899743024e-14</v>
      </c>
    </row>
    <row r="319">
      <c r="C319" s="28" t="inlineStr">
        <is>
          <t>Increases / (decreases) in debt</t>
        </is>
      </c>
      <c r="D319" s="3" t="n"/>
      <c r="E319" s="3" t="e">
        <f>SUM(E222:E224,E227,E248,E245)-SUM(D222:D224,D227,D248,D245)</f>
        <v>#N/A</v>
      </c>
      <c r="F319" s="3">
        <f>SUM(F222:F224,F227,F248,F245)-SUM(E222:E224,E227,E248,E245)</f>
        <v>178.41358389</v>
      </c>
      <c r="G319" s="3">
        <f>SUM(G222:G224,G227,G248,G245)-SUM(F222:F224,F227,F248,F245)</f>
        <v>-658.02365953</v>
      </c>
      <c r="H319" s="3" t="e">
        <f>SUM(D319:G319)</f>
        <v>#N/A</v>
      </c>
      <c r="I319" s="3">
        <f>SUM(I222:I224,I227,I248,I245)-SUM(H222:H224,H227,H248,H245)</f>
        <v>51.7512947099999</v>
      </c>
      <c r="J319" s="3">
        <f>SUM(J222:J224,J227,J248,J245)-SUM(I222:I224,I227,I248,I245)</f>
        <v>20.6580061</v>
      </c>
      <c r="K319" s="3">
        <f>SUM(K222:K224,K227,K248,K245)-SUM(J222:J224,J227,J248,J245)</f>
        <v>144.21877483</v>
      </c>
      <c r="L319" s="3">
        <f>SUM(L222:L224,L227,L248,L245)-SUM(K222:K224,K227,K248,K245)</f>
        <v>594.447</v>
      </c>
      <c r="M319" s="3">
        <f>SUM(I319:L319)</f>
        <v>811.07507564</v>
      </c>
      <c r="N319" s="3">
        <f>SUM(N222:N224,N227,N248,N245)-SUM(M222:M224,M227,M248,M245)</f>
        <v>101.454</v>
      </c>
      <c r="O319" s="3">
        <f>SUM(O222:O224,O227,O248,O245)-SUM(N222:N224,N227,N248,N245)</f>
        <v>221.789</v>
      </c>
      <c r="P319" s="3">
        <f>SUM(P222:P224,P227,P248,P245)-SUM(O222:O224,O227,O248,O245)</f>
        <v>841.429000000001</v>
      </c>
      <c r="Q319" s="3">
        <f>SUM(Q222:Q224,Q227,Q248,Q245)-SUM(P222:P224,P227,P248,P245)</f>
        <v>9.67399999999952</v>
      </c>
      <c r="R319" s="3">
        <f>SUM(N319:Q319)</f>
        <v>1174.346</v>
      </c>
      <c r="S319" s="3">
        <f>SUM(S222:S224,S227,S248,S245)-SUM(R222:R224,R227,R248,R245)</f>
        <v>54.0060000000003</v>
      </c>
      <c r="T319" s="3">
        <f>SUM(T222:T224,T227,T248,T245)-SUM(S222:S224,S227,S248,S245)</f>
        <v>232.686</v>
      </c>
      <c r="U319" s="3">
        <f>SUM(U222:U224,U227,U248,U245)-SUM(T222:T224,T227,T248,T245)</f>
        <v>198.055</v>
      </c>
      <c r="V319" s="3">
        <f>SUM(V222:V224,V227,V248,V245)-SUM(U222:U224,U227,U248,U245)</f>
        <v>89.4169999999999</v>
      </c>
      <c r="W319" s="3">
        <f>SUM(S319:V319)</f>
        <v>574.164</v>
      </c>
      <c r="X319" s="3">
        <f>SUM(X222:X224,X227,X248,X245)-SUM(W222:W224,W227,W248,W245)</f>
        <v>214.179</v>
      </c>
      <c r="Y319" s="3">
        <f>SUM(Y222:Y224,Y227,Y248,Y245)-SUM(X222:X224,X227,X248,X245)</f>
        <v>-138.394</v>
      </c>
      <c r="Z319" s="3">
        <f>SUM(Z222:Z224,Z227,Z248,Z245)-SUM(Y222:Y224,Y227,Y248,Y245)</f>
        <v>16.1980000000003</v>
      </c>
      <c r="AA319" s="3">
        <f>SUM(AA222:AA224,AA227,AA248,AA245)-SUM(Z222:Z224,Z227,Z248,Z245)</f>
        <v>608.086</v>
      </c>
      <c r="AB319" s="3">
        <f>SUM(X319:AA319)</f>
        <v>700.069</v>
      </c>
      <c r="AC319" s="3">
        <f>SUM(AC222:AC224,AC227,AC248,AC245)-SUM(AB222:AB224,AB227,AB248,AB245)</f>
        <v>199.766</v>
      </c>
      <c r="AD319" s="3">
        <f>SUM(AD222:AD224,AD227,AD248,AD245)-SUM(AC222:AC224,AC227,AC248,AC245)</f>
        <v>298.454</v>
      </c>
      <c r="AE319" s="3">
        <f>SUM(AE222:AE224,AE227,AE248,AE245)-SUM(AD222:AD224,AD227,AD248,AD245)</f>
        <v>1468.751</v>
      </c>
      <c r="AF319" s="3">
        <f>SUM(AF222:AF224,AF227,AF248,AF245)-SUM(AE222:AE224,AE227,AE248,AE245)</f>
        <v>370.782</v>
      </c>
      <c r="AG319" s="3">
        <f>SUM(AC319:AF319)</f>
        <v>2337.753</v>
      </c>
      <c r="AH319" s="3">
        <f>SUM(AH222:AH224,AH227,AH248,AH245)-SUM(AG222:AG224,AG227,AG248,AG245)</f>
        <v>-87.9629999999997</v>
      </c>
      <c r="AI319" s="3">
        <f>SUM(AI222:AI224,AI227,AI248,AI245)-SUM(AH222:AH224,AH227,AH248,AH245)</f>
        <v>191.385</v>
      </c>
      <c r="AJ319" s="3">
        <f>SUM(AJ222:AJ224,AJ227,AJ248,AJ245)-SUM(AI222:AI224,AI227,AI248,AI245)</f>
        <v>0</v>
      </c>
      <c r="AK319" s="3">
        <f>SUM(AK222:AK224,AK227,AK248,AK245)-SUM(AJ222:AJ224,AJ227,AJ248,AJ245)</f>
        <v>0</v>
      </c>
      <c r="AL319" s="3">
        <f>SUM(AH319:AK319)</f>
        <v>103.422</v>
      </c>
      <c r="AM319" s="3">
        <f>SUM(AM222:AM224,AM227,AM248,AM245)-SUM(AL222:AL224,AL227,AL248,AL245)</f>
        <v>0</v>
      </c>
      <c r="AN319" s="3">
        <f>SUM(AN222:AN224,AN227,AN248,AN245)-SUM(AM222:AM224,AM227,AM248,AM245)</f>
        <v>0</v>
      </c>
      <c r="AO319" s="3">
        <f>SUM(AO222:AO224,AO227,AO248,AO245)-SUM(AN222:AN224,AN227,AN248,AN245)</f>
        <v>0</v>
      </c>
      <c r="AP319" s="3">
        <f>SUM(AP222:AP224,AP227,AP248,AP245)-SUM(AO222:AO224,AO227,AO248,AO245)</f>
        <v>0</v>
      </c>
      <c r="AQ319" s="3">
        <f>SUM(AM319:AP319)</f>
        <v>0</v>
      </c>
      <c r="AR319" s="3">
        <f>SUM(AR222:AR224,AR227,AR248,AR245)-SUM(AQ222:AQ224,AQ227,AQ248,AQ245)</f>
        <v>0</v>
      </c>
      <c r="AS319" s="3">
        <f>SUM(AS222:AS224,AS227,AS248,AS245)-SUM(AR222:AR224,AR227,AR248,AR245)</f>
        <v>0</v>
      </c>
      <c r="AT319" s="3">
        <f>SUM(AT222:AT224,AT227,AT248,AT245)-SUM(AS222:AS224,AS227,AS248,AS245)</f>
        <v>0</v>
      </c>
      <c r="AU319" s="3">
        <f>SUM(AU222:AU224,AU227,AU248,AU245)-SUM(AT222:AT224,AT227,AT248,AT245)</f>
        <v>0</v>
      </c>
      <c r="AV319" s="3">
        <f>SUM(AR319:AU319)</f>
        <v>0</v>
      </c>
      <c r="AW319" s="3">
        <f>SUM(AW222:AW224,AW227,AW248,AW245)-SUM(AV222:AV224,AV227,AV248,AV245)</f>
        <v>0</v>
      </c>
      <c r="AX319" s="3">
        <f>SUM(AX222:AX224,AX227,AX248,AX245)-SUM(AW222:AW224,AW227,AW248,AW245)</f>
        <v>0</v>
      </c>
      <c r="AY319" s="3">
        <f>SUM(AY222:AY224,AY227,AY248,AY245)-SUM(AX222:AX224,AX227,AX248,AX245)</f>
        <v>0</v>
      </c>
      <c r="AZ319" s="3">
        <f>SUM(AZ222:AZ224,AZ227,AZ248,AZ245)-SUM(AY222:AY224,AY227,AY248,AY245)</f>
        <v>0</v>
      </c>
      <c r="BA319" s="3">
        <f>SUM(AW319:AZ319)</f>
        <v>0</v>
      </c>
      <c r="BB319" s="3">
        <f>SUM(BB222:BB224,BB227,BB248,BB245)-SUM(BA222:BA224,BA227,BA248,BA245)</f>
        <v>0</v>
      </c>
      <c r="BC319" s="3">
        <f>SUM(BC222:BC224,BC227,BC248,BC245)-SUM(BB222:BB224,BB227,BB248,BB245)</f>
        <v>0</v>
      </c>
      <c r="BD319" s="3">
        <f>SUM(BD222:BD224,BD227,BD248,BD245)-SUM(BC222:BC224,BC227,BC248,BC245)</f>
        <v>0</v>
      </c>
      <c r="BE319" s="3">
        <f>SUM(BE222:BE224,BE227,BE248,BE245)-SUM(BD222:BD224,BD227,BD248,BD245)</f>
        <v>0</v>
      </c>
      <c r="BF319" s="3">
        <f>SUM(BB319:BE319)</f>
        <v>0</v>
      </c>
      <c r="BG319" s="3">
        <f>SUM(BG222:BG224,BG227,BG248,BG245)-SUM(BF222:BF224,BF227,BF248,BF245)</f>
        <v>0</v>
      </c>
      <c r="BH319" s="3">
        <f>SUM(BH222:BH224,BH227,BH248,BH245)-SUM(BG222:BG224,BG227,BG248,BG245)</f>
        <v>0</v>
      </c>
      <c r="BI319" s="3">
        <f>SUM(BI222:BI224,BI227,BI248,BI245)-SUM(BH222:BH224,BH227,BH248,BH245)</f>
        <v>0</v>
      </c>
      <c r="BJ319" s="3">
        <f>SUM(BJ222:BJ224,BJ227,BJ248,BJ245)-SUM(BI222:BI224,BI227,BI248,BI245)</f>
        <v>0</v>
      </c>
      <c r="BK319" s="3">
        <f>SUM(BG319:BJ319)</f>
        <v>0</v>
      </c>
      <c r="BL319" s="3">
        <f>SUM(BL222:BL224,BL227,BL248,BL245)-SUM(BK222:BK224,BK227,BK248,BK245)</f>
        <v>0</v>
      </c>
      <c r="BM319" s="3">
        <f>SUM(BM222:BM224,BM227,BM248,BM245)-SUM(BL222:BL224,BL227,BL248,BL245)</f>
        <v>0</v>
      </c>
      <c r="BN319" s="3">
        <f>SUM(BN222:BN224,BN227,BN248,BN245)-SUM(BM222:BM224,BM227,BM248,BM245)</f>
        <v>0</v>
      </c>
      <c r="BO319" s="3">
        <f>SUM(BO222:BO224,BO227,BO248,BO245)-SUM(BN222:BN224,BN227,BN248,BN245)</f>
        <v>0</v>
      </c>
      <c r="BP319" s="3">
        <f>SUM(BL319:BO319)</f>
        <v>0</v>
      </c>
      <c r="BQ319" s="3">
        <f>SUM(BQ222:BQ224,BQ227,BQ248,BQ245)-SUM(BP222:BP224,BP227,BP248,BP245)</f>
        <v>0</v>
      </c>
      <c r="BR319" s="3">
        <f>SUM(BR222:BR224,BR227,BR248,BR245)-SUM(BQ222:BQ224,BQ227,BQ248,BQ245)</f>
        <v>0</v>
      </c>
      <c r="BS319" s="3">
        <f>SUM(BS222:BS224,BS227,BS248,BS245)-SUM(BR222:BR224,BR227,BR248,BR245)</f>
        <v>0</v>
      </c>
      <c r="BT319" s="3">
        <f>SUM(BT222:BT224,BT227,BT248,BT245)-SUM(BS222:BS224,BS227,BS248,BS245)</f>
        <v>0</v>
      </c>
      <c r="BU319" s="3">
        <f>SUM(BQ319:BT319)</f>
        <v>0</v>
      </c>
      <c r="BV319" s="3">
        <f>SUM(BV222:BV224,BV227,BV248,BV245)-SUM(BU222:BU224,BU227,BU248,BU245)</f>
        <v>0</v>
      </c>
      <c r="BW319" s="3">
        <f>SUM(BW222:BW224,BW227,BW248,BW245)-SUM(BV222:BV224,BV227,BV248,BV245)</f>
        <v>0</v>
      </c>
      <c r="BX319" s="3">
        <f>SUM(BX222:BX224,BX227,BX248,BX245)-SUM(BW222:BW224,BW227,BW248,BW245)</f>
        <v>0</v>
      </c>
      <c r="BY319" s="3">
        <f>SUM(BY222:BY224,BY227,BY248,BY245)-SUM(BX222:BX224,BX227,BX248,BX245)</f>
        <v>0</v>
      </c>
      <c r="BZ319" s="3">
        <f>SUM(BV319:BY319)</f>
        <v>0</v>
      </c>
      <c r="CA319" s="3">
        <f>SUM(CA222:CA224,CA227,CA248,CA245)-SUM(BZ222:BZ224,BZ227,BZ248,BZ245)</f>
        <v>0</v>
      </c>
      <c r="CB319" s="3">
        <f>SUM(CB222:CB224,CB227,CB248,CB245)-SUM(CA222:CA224,CA227,CA248,CA245)</f>
        <v>0</v>
      </c>
      <c r="CC319" s="3">
        <f>SUM(CC222:CC224,CC227,CC248,CC245)-SUM(CB222:CB224,CB227,CB248,CB245)</f>
        <v>0</v>
      </c>
      <c r="CD319" s="3">
        <f>SUM(CD222:CD224,CD227,CD248,CD245)-SUM(CC222:CC224,CC227,CC248,CC245)</f>
        <v>0</v>
      </c>
      <c r="CE319" s="3">
        <f>SUM(CA319:CD319)</f>
        <v>0</v>
      </c>
      <c r="CF319" s="3">
        <f>SUM(CF222:CF224,CF227,CF248,CF245)-SUM(CE222:CE224,CE227,CE248,CE245)</f>
        <v>0</v>
      </c>
      <c r="CG319" s="3">
        <f>SUM(CG222:CG224,CG227,CG248,CG245)-SUM(CF222:CF224,CF227,CF248,CF245)</f>
        <v>0</v>
      </c>
      <c r="CH319" s="3">
        <f>SUM(CH222:CH224,CH227,CH248,CH245)-SUM(CG222:CG224,CG227,CG248,CG245)</f>
        <v>0</v>
      </c>
      <c r="CI319" s="3">
        <f>SUM(CI222:CI224,CI227,CI248,CI245)-SUM(CH222:CH224,CH227,CH248,CH245)</f>
        <v>0</v>
      </c>
      <c r="CJ319" s="3">
        <f>SUM(CF319:CI319)</f>
        <v>0</v>
      </c>
      <c r="CK319" s="3">
        <f>SUM(CK222:CK224,CK227,CK248,CK245)-SUM(CJ222:CJ224,CJ227,CJ248,CJ245)</f>
        <v>0</v>
      </c>
      <c r="CL319" s="3">
        <f>SUM(CL222:CL224,CL227,CL248,CL245)-SUM(CK222:CK224,CK227,CK248,CK245)</f>
        <v>0</v>
      </c>
      <c r="CM319" s="3">
        <f>SUM(CM222:CM224,CM227,CM248,CM245)-SUM(CL222:CL224,CL227,CL248,CL245)</f>
        <v>0</v>
      </c>
      <c r="CN319" s="3">
        <f>SUM(CN222:CN224,CN227,CN248,CN245)-SUM(CM222:CM224,CM227,CM248,CM245)</f>
        <v>0</v>
      </c>
      <c r="CO319" s="3">
        <f>SUM(CK319:CN319)</f>
        <v>0</v>
      </c>
      <c r="CP319" s="3">
        <f>SUM(CP222:CP224,CP227,CP248,CP245)-SUM(CO222:CO224,CO227,CO248,CO245)</f>
        <v>0</v>
      </c>
      <c r="CQ319" s="3">
        <f>SUM(CQ222:CQ224,CQ227,CQ248,CQ245)-SUM(CP222:CP224,CP227,CP248,CP245)</f>
        <v>0</v>
      </c>
      <c r="CR319" s="3">
        <f>SUM(CR222:CR224,CR227,CR248,CR245)-SUM(CQ222:CQ224,CQ227,CQ248,CQ245)</f>
        <v>0</v>
      </c>
      <c r="CS319" s="3">
        <f>SUM(CS222:CS224,CS227,CS248,CS245)-SUM(CR222:CR224,CR227,CR248,CR245)</f>
        <v>0</v>
      </c>
      <c r="CT319" s="3">
        <f>SUM(CP319:CS319)</f>
        <v>0</v>
      </c>
      <c r="CU319" s="3">
        <f>SUM(CU222:CU224,CU227,CU248,CU245)-SUM(CT222:CT224,CT227,CT248,CT245)</f>
        <v>0</v>
      </c>
      <c r="CV319" s="3">
        <f>SUM(CV222:CV224,CV227,CV248,CV245)-SUM(CU222:CU224,CU227,CU248,CU245)</f>
        <v>0</v>
      </c>
      <c r="CW319" s="3">
        <f>SUM(CW222:CW224,CW227,CW248,CW245)-SUM(CV222:CV224,CV227,CV248,CV245)</f>
        <v>0</v>
      </c>
      <c r="CX319" s="3">
        <f>SUM(CX222:CX224,CX227,CX248,CX245)-SUM(CW222:CW224,CW227,CW248,CW245)</f>
        <v>0</v>
      </c>
      <c r="CY319" s="3">
        <f>SUM(CU319:CX319)</f>
        <v>0</v>
      </c>
      <c r="CZ319" s="3" t="n"/>
      <c r="DA319" s="3" t="n"/>
      <c r="DB319" s="3" t="n"/>
      <c r="DC319" s="3" t="n"/>
    </row>
    <row r="320">
      <c r="C320" s="26" t="inlineStr">
        <is>
          <t>Cash from financing</t>
        </is>
      </c>
      <c r="D320" s="3" t="n"/>
      <c r="E320" s="3" t="e">
        <f>SUM(E312,E313,E314,E315,E316,E317,E318,E319)</f>
        <v>#N/A</v>
      </c>
      <c r="F320" s="3">
        <f>SUM(F312,F313,F314,F315,F316,F317,F318,F319)</f>
        <v>178.39180867</v>
      </c>
      <c r="G320" s="3">
        <f>SUM(G312,G313,G314,G315,G316,G317,G318,G319)</f>
        <v>2304.28769385</v>
      </c>
      <c r="H320" s="3" t="e">
        <f>SUM(H312,H313,H314,H315,H316,H317,H318,H319)</f>
        <v>#N/A</v>
      </c>
      <c r="I320" s="3">
        <f>SUM(I312,I313,I314,I315,I316,I317,I318,I319)</f>
        <v>51.750140400001</v>
      </c>
      <c r="J320" s="3">
        <f>SUM(J312,J313,J314,J315,J316,J317,J318,J319)</f>
        <v>20.6593606099981</v>
      </c>
      <c r="K320" s="3">
        <f>SUM(K312,K313,K314,K315,K316,K317,K318,K319)</f>
        <v>144.21861891</v>
      </c>
      <c r="L320" s="3">
        <f>SUM(L312,L313,L314,L315,L316,L317,L318,L319)</f>
        <v>594.696366990011</v>
      </c>
      <c r="M320" s="3">
        <f>SUM(M312,M313,M314,M315,M316,M317,M318,M319)</f>
        <v>811.32448691001</v>
      </c>
      <c r="N320" s="3">
        <f>SUM(N312,N313,N314,N315,N316,N317,N318,N319)</f>
        <v>101.45615809</v>
      </c>
      <c r="O320" s="3">
        <f>SUM(O312,O313,O314,O315,O316,O317,O318,O319)</f>
        <v>222.217916839999</v>
      </c>
      <c r="P320" s="3">
        <f>SUM(P312,P313,P314,P315,P316,P317,P318,P319)</f>
        <v>841.481</v>
      </c>
      <c r="Q320" s="3">
        <f>SUM(Q312,Q313,Q314,Q315,Q316,Q317,Q318,Q319)</f>
        <v>9.80022096999991</v>
      </c>
      <c r="R320" s="3">
        <f>SUM(R312,R313,R314,R315,R316,R317,R318,R319)</f>
        <v>1174.9552959</v>
      </c>
      <c r="S320" s="3">
        <f>SUM(S312,S313,S314,S315,S316,S317,S318,S319)</f>
        <v>53.9257324199994</v>
      </c>
      <c r="T320" s="3">
        <f>SUM(T312,T313,T314,T315,T316,T317,T318,T319)</f>
        <v>233.860600000001</v>
      </c>
      <c r="U320" s="3">
        <f>SUM(U312,U313,U314,U315,U316,U317,U318,U319)</f>
        <v>193.865000000001</v>
      </c>
      <c r="V320" s="3">
        <f>SUM(V312,V313,V314,V315,V316,V317,V318,V319)</f>
        <v>89.4015500999983</v>
      </c>
      <c r="W320" s="3">
        <f>SUM(W312,W313,W314,W315,W316,W317,W318,W319)</f>
        <v>571.052882519999</v>
      </c>
      <c r="X320" s="3">
        <f>SUM(X312,X313,X314,X315,X316,X317,X318,X319)</f>
        <v>117.892218688426</v>
      </c>
      <c r="Y320" s="3">
        <f>SUM(Y312,Y313,Y314,Y315,Y316,Y317,Y318,Y319)</f>
        <v>-282.50821227111</v>
      </c>
      <c r="Z320" s="3">
        <f>SUM(Z312,Z313,Z314,Z315,Z316,Z317,Z318,Z319)</f>
        <v>-43.1809999999995</v>
      </c>
      <c r="AA320" s="3">
        <f>SUM(AA312,AA313,AA314,AA315,AA316,AA317,AA318,AA319)</f>
        <v>120.431099999999</v>
      </c>
      <c r="AB320" s="3">
        <f>SUM(AB312,AB313,AB314,AB315,AB316,AB317,AB318,AB319)</f>
        <v>-87.365893582685</v>
      </c>
      <c r="AC320" s="3">
        <f>SUM(AC312,AC313,AC314,AC315,AC316,AC317,AC318,AC319)</f>
        <v>47.4899999999996</v>
      </c>
      <c r="AD320" s="3">
        <f>SUM(AD312,AD313,AD314,AD315,AD316,AD317,AD318,AD319)</f>
        <v>158.761566783772</v>
      </c>
      <c r="AE320" s="3">
        <f>SUM(AE312,AE313,AE314,AE315,AE316,AE317,AE318,AE319)</f>
        <v>2261.154</v>
      </c>
      <c r="AF320" s="3">
        <f>SUM(AF312,AF313,AF314,AF315,AF316,AF317,AF318,AF319)</f>
        <v>244.248999999969</v>
      </c>
      <c r="AG320" s="3">
        <f>SUM(AG312,AG313,AG314,AG315,AG316,AG317,AG318,AG319)</f>
        <v>2711.65456678374</v>
      </c>
      <c r="AH320" s="3">
        <f>SUM(AH312,AH313,AH314,AH315,AH316,AH317,AH318,AH319)</f>
        <v>250.871000000001</v>
      </c>
      <c r="AI320" s="3">
        <f>SUM(AI312,AI313,AI314,AI315,AI316,AI317,AI318,AI319)</f>
        <v>297.108000000001</v>
      </c>
      <c r="AJ320" s="3">
        <f>SUM(AJ312,AJ313,AJ314,AJ315,AJ316,AJ317,AJ318,AJ319)</f>
        <v>4.35207425653061e-14</v>
      </c>
      <c r="AK320" s="3">
        <f>SUM(AK312,AK313,AK314,AK315,AK316,AK317,AK318,AK319)</f>
        <v>-1.03028696685215e-13</v>
      </c>
      <c r="AL320" s="3">
        <f>SUM(AL312,AL313,AL314,AL315,AL316,AL317,AL318,AL319)</f>
        <v>547.979000000002</v>
      </c>
      <c r="AM320" s="3">
        <f>SUM(AM312,AM313,AM314,AM315,AM316,AM317,AM318,AM319)</f>
        <v>0</v>
      </c>
      <c r="AN320" s="3">
        <f>SUM(AN312,AN313,AN314,AN315,AN316,AN317,AN318,AN319)</f>
        <v>7.63833440942108e-14</v>
      </c>
      <c r="AO320" s="3">
        <f>SUM(AO312,AO313,AO314,AO315,AO316,AO317,AO318,AO319)</f>
        <v>4.35207425653061e-14</v>
      </c>
      <c r="AP320" s="3">
        <f>SUM(AP312,AP313,AP314,AP315,AP316,AP317,AP318,AP319)</f>
        <v>-1.03028696685215e-13</v>
      </c>
      <c r="AQ320" s="3">
        <f>SUM(AQ312,AQ313,AQ314,AQ315,AQ316,AQ317,AQ318,AQ319)</f>
        <v>1.68753899743024e-14</v>
      </c>
      <c r="AR320" s="3">
        <f>SUM(AR312,AR313,AR314,AR315,AR316,AR317,AR318,AR319)</f>
        <v>0</v>
      </c>
      <c r="AS320" s="3">
        <f>SUM(AS312,AS313,AS314,AS315,AS316,AS317,AS318,AS319)</f>
        <v>7.63833440942108e-14</v>
      </c>
      <c r="AT320" s="3">
        <f>SUM(AT312,AT313,AT314,AT315,AT316,AT317,AT318,AT319)</f>
        <v>4.35207425653061e-14</v>
      </c>
      <c r="AU320" s="3">
        <f>SUM(AU312,AU313,AU314,AU315,AU316,AU317,AU318,AU319)</f>
        <v>-1.03028696685215e-13</v>
      </c>
      <c r="AV320" s="3">
        <f>SUM(AV312,AV313,AV314,AV315,AV316,AV317,AV318,AV319)</f>
        <v>1.68753899743024e-14</v>
      </c>
      <c r="AW320" s="3">
        <f>SUM(AW312,AW313,AW314,AW315,AW316,AW317,AW318,AW319)</f>
        <v>0</v>
      </c>
      <c r="AX320" s="3">
        <f>SUM(AX312,AX313,AX314,AX315,AX316,AX317,AX318,AX319)</f>
        <v>7.63833440942108e-14</v>
      </c>
      <c r="AY320" s="3">
        <f>SUM(AY312,AY313,AY314,AY315,AY316,AY317,AY318,AY319)</f>
        <v>4.35207425653061e-14</v>
      </c>
      <c r="AZ320" s="3">
        <f>SUM(AZ312,AZ313,AZ314,AZ315,AZ316,AZ317,AZ318,AZ319)</f>
        <v>-1.03028696685215e-13</v>
      </c>
      <c r="BA320" s="3">
        <f>SUM(BA312,BA313,BA314,BA315,BA316,BA317,BA318,BA319)</f>
        <v>1.68753899743024e-14</v>
      </c>
      <c r="BB320" s="3">
        <f>SUM(BB312,BB313,BB314,BB315,BB316,BB317,BB318,BB319)</f>
        <v>0</v>
      </c>
      <c r="BC320" s="3">
        <f>SUM(BC312,BC313,BC314,BC315,BC316,BC317,BC318,BC319)</f>
        <v>7.63833440942108e-14</v>
      </c>
      <c r="BD320" s="3">
        <f>SUM(BD312,BD313,BD314,BD315,BD316,BD317,BD318,BD319)</f>
        <v>4.35207425653061e-14</v>
      </c>
      <c r="BE320" s="3">
        <f>SUM(BE312,BE313,BE314,BE315,BE316,BE317,BE318,BE319)</f>
        <v>-1.03028696685215e-13</v>
      </c>
      <c r="BF320" s="3">
        <f>SUM(BF312,BF313,BF314,BF315,BF316,BF317,BF318,BF319)</f>
        <v>1.68753899743024e-14</v>
      </c>
      <c r="BG320" s="3">
        <f>SUM(BG312,BG313,BG314,BG315,BG316,BG317,BG318,BG319)</f>
        <v>0</v>
      </c>
      <c r="BH320" s="3">
        <f>SUM(BH312,BH313,BH314,BH315,BH316,BH317,BH318,BH319)</f>
        <v>7.63833440942108e-14</v>
      </c>
      <c r="BI320" s="3">
        <f>SUM(BI312,BI313,BI314,BI315,BI316,BI317,BI318,BI319)</f>
        <v>4.35207425653061e-14</v>
      </c>
      <c r="BJ320" s="3">
        <f>SUM(BJ312,BJ313,BJ314,BJ315,BJ316,BJ317,BJ318,BJ319)</f>
        <v>-1.03028696685215e-13</v>
      </c>
      <c r="BK320" s="3">
        <f>SUM(BK312,BK313,BK314,BK315,BK316,BK317,BK318,BK319)</f>
        <v>1.68753899743024e-14</v>
      </c>
      <c r="BL320" s="3">
        <f>SUM(BL312,BL313,BL314,BL315,BL316,BL317,BL318,BL319)</f>
        <v>0</v>
      </c>
      <c r="BM320" s="3">
        <f>SUM(BM312,BM313,BM314,BM315,BM316,BM317,BM318,BM319)</f>
        <v>7.63833440942108e-14</v>
      </c>
      <c r="BN320" s="3">
        <f>SUM(BN312,BN313,BN314,BN315,BN316,BN317,BN318,BN319)</f>
        <v>4.35207425653061e-14</v>
      </c>
      <c r="BO320" s="3">
        <f>SUM(BO312,BO313,BO314,BO315,BO316,BO317,BO318,BO319)</f>
        <v>-1.03028696685215e-13</v>
      </c>
      <c r="BP320" s="3">
        <f>SUM(BP312,BP313,BP314,BP315,BP316,BP317,BP318,BP319)</f>
        <v>1.68753899743024e-14</v>
      </c>
      <c r="BQ320" s="3">
        <f>SUM(BQ312,BQ313,BQ314,BQ315,BQ316,BQ317,BQ318,BQ319)</f>
        <v>0</v>
      </c>
      <c r="BR320" s="3">
        <f>SUM(BR312,BR313,BR314,BR315,BR316,BR317,BR318,BR319)</f>
        <v>7.63833440942108e-14</v>
      </c>
      <c r="BS320" s="3">
        <f>SUM(BS312,BS313,BS314,BS315,BS316,BS317,BS318,BS319)</f>
        <v>4.35207425653061e-14</v>
      </c>
      <c r="BT320" s="3">
        <f>SUM(BT312,BT313,BT314,BT315,BT316,BT317,BT318,BT319)</f>
        <v>-1.03028696685215e-13</v>
      </c>
      <c r="BU320" s="3">
        <f>SUM(BU312,BU313,BU314,BU315,BU316,BU317,BU318,BU319)</f>
        <v>1.68753899743024e-14</v>
      </c>
      <c r="BV320" s="3">
        <f>SUM(BV312,BV313,BV314,BV315,BV316,BV317,BV318,BV319)</f>
        <v>0</v>
      </c>
      <c r="BW320" s="3">
        <f>SUM(BW312,BW313,BW314,BW315,BW316,BW317,BW318,BW319)</f>
        <v>7.63833440942108e-14</v>
      </c>
      <c r="BX320" s="3">
        <f>SUM(BX312,BX313,BX314,BX315,BX316,BX317,BX318,BX319)</f>
        <v>4.35207425653061e-14</v>
      </c>
      <c r="BY320" s="3">
        <f>SUM(BY312,BY313,BY314,BY315,BY316,BY317,BY318,BY319)</f>
        <v>-1.03028696685215e-13</v>
      </c>
      <c r="BZ320" s="3">
        <f>SUM(BZ312,BZ313,BZ314,BZ315,BZ316,BZ317,BZ318,BZ319)</f>
        <v>1.68753899743024e-14</v>
      </c>
      <c r="CA320" s="3">
        <f>SUM(CA312,CA313,CA314,CA315,CA316,CA317,CA318,CA319)</f>
        <v>0</v>
      </c>
      <c r="CB320" s="3">
        <f>SUM(CB312,CB313,CB314,CB315,CB316,CB317,CB318,CB319)</f>
        <v>7.63833440942108e-14</v>
      </c>
      <c r="CC320" s="3">
        <f>SUM(CC312,CC313,CC314,CC315,CC316,CC317,CC318,CC319)</f>
        <v>4.35207425653061e-14</v>
      </c>
      <c r="CD320" s="3">
        <f>SUM(CD312,CD313,CD314,CD315,CD316,CD317,CD318,CD319)</f>
        <v>-1.03028696685215e-13</v>
      </c>
      <c r="CE320" s="3">
        <f>SUM(CE312,CE313,CE314,CE315,CE316,CE317,CE318,CE319)</f>
        <v>1.68753899743024e-14</v>
      </c>
      <c r="CF320" s="3">
        <f>SUM(CF312,CF313,CF314,CF315,CF316,CF317,CF318,CF319)</f>
        <v>0</v>
      </c>
      <c r="CG320" s="3">
        <f>SUM(CG312,CG313,CG314,CG315,CG316,CG317,CG318,CG319)</f>
        <v>7.63833440942108e-14</v>
      </c>
      <c r="CH320" s="3">
        <f>SUM(CH312,CH313,CH314,CH315,CH316,CH317,CH318,CH319)</f>
        <v>4.35207425653061e-14</v>
      </c>
      <c r="CI320" s="3">
        <f>SUM(CI312,CI313,CI314,CI315,CI316,CI317,CI318,CI319)</f>
        <v>-1.03028696685215e-13</v>
      </c>
      <c r="CJ320" s="3">
        <f>SUM(CJ312,CJ313,CJ314,CJ315,CJ316,CJ317,CJ318,CJ319)</f>
        <v>1.68753899743024e-14</v>
      </c>
      <c r="CK320" s="3">
        <f>SUM(CK312,CK313,CK314,CK315,CK316,CK317,CK318,CK319)</f>
        <v>0</v>
      </c>
      <c r="CL320" s="3">
        <f>SUM(CL312,CL313,CL314,CL315,CL316,CL317,CL318,CL319)</f>
        <v>7.63833440942108e-14</v>
      </c>
      <c r="CM320" s="3">
        <f>SUM(CM312,CM313,CM314,CM315,CM316,CM317,CM318,CM319)</f>
        <v>4.35207425653061e-14</v>
      </c>
      <c r="CN320" s="3">
        <f>SUM(CN312,CN313,CN314,CN315,CN316,CN317,CN318,CN319)</f>
        <v>-1.03028696685215e-13</v>
      </c>
      <c r="CO320" s="3">
        <f>SUM(CO312,CO313,CO314,CO315,CO316,CO317,CO318,CO319)</f>
        <v>1.68753899743024e-14</v>
      </c>
      <c r="CP320" s="3">
        <f>SUM(CP312,CP313,CP314,CP315,CP316,CP317,CP318,CP319)</f>
        <v>0</v>
      </c>
      <c r="CQ320" s="3">
        <f>SUM(CQ312,CQ313,CQ314,CQ315,CQ316,CQ317,CQ318,CQ319)</f>
        <v>7.63833440942108e-14</v>
      </c>
      <c r="CR320" s="3">
        <f>SUM(CR312,CR313,CR314,CR315,CR316,CR317,CR318,CR319)</f>
        <v>4.35207425653061e-14</v>
      </c>
      <c r="CS320" s="3">
        <f>SUM(CS312,CS313,CS314,CS315,CS316,CS317,CS318,CS319)</f>
        <v>-1.03028696685215e-13</v>
      </c>
      <c r="CT320" s="3">
        <f>SUM(CT312,CT313,CT314,CT315,CT316,CT317,CT318,CT319)</f>
        <v>1.68753899743024e-14</v>
      </c>
      <c r="CU320" s="3">
        <f>SUM(CU312,CU313,CU314,CU315,CU316,CU317,CU318,CU319)</f>
        <v>0</v>
      </c>
      <c r="CV320" s="3">
        <f>SUM(CV312,CV313,CV314,CV315,CV316,CV317,CV318,CV319)</f>
        <v>7.63833440942108e-14</v>
      </c>
      <c r="CW320" s="3">
        <f>SUM(CW312,CW313,CW314,CW315,CW316,CW317,CW318,CW319)</f>
        <v>4.35207425653061e-14</v>
      </c>
      <c r="CX320" s="3">
        <f>SUM(CX312,CX313,CX314,CX315,CX316,CX317,CX318,CX319)</f>
        <v>-1.03028696685215e-13</v>
      </c>
      <c r="CY320" s="3">
        <f>SUM(CY312,CY313,CY314,CY315,CY316,CY317,CY318,CY319)</f>
        <v>1.68753899743024e-14</v>
      </c>
    </row>
    <row r="321">
      <c r="C321" s="26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  <c r="CU321" s="3" t="n"/>
      <c r="CV321" s="3" t="n"/>
      <c r="CW321" s="3" t="n"/>
      <c r="CX321" s="3" t="n"/>
      <c r="CY321" s="3" t="n"/>
    </row>
    <row r="322">
      <c r="C322" s="26" t="inlineStr">
        <is>
          <t>Others</t>
        </is>
      </c>
      <c r="D322" s="3" t="n"/>
      <c r="E322" s="3" t="n"/>
      <c r="F322" s="3" t="n"/>
      <c r="G322" s="3" t="n"/>
      <c r="H322" s="3">
        <f>SUM(D322:G322)</f>
        <v>0</v>
      </c>
      <c r="I322" s="3" t="n"/>
      <c r="J322" s="3" t="n"/>
      <c r="K322" s="3" t="n"/>
      <c r="L322" s="3" t="n"/>
      <c r="M322" s="3">
        <f>SUM(I322:L322)</f>
        <v>0</v>
      </c>
      <c r="N322" s="3" t="n"/>
      <c r="O322" s="3" t="n"/>
      <c r="P322" s="3" t="n"/>
      <c r="Q322" s="3" t="n"/>
      <c r="R322" s="3">
        <f>SUM(N322:Q322)</f>
        <v>0</v>
      </c>
      <c r="S322" s="3" t="n"/>
      <c r="T322" s="3" t="n"/>
      <c r="U322" s="3" t="n"/>
      <c r="V322" s="3" t="n"/>
      <c r="W322" s="3">
        <f>SUM(S322:V322)</f>
        <v>0</v>
      </c>
      <c r="X322" s="3" t="n"/>
      <c r="Y322" s="3" t="n"/>
      <c r="Z322" s="3" t="n"/>
      <c r="AA322" s="3" t="n"/>
      <c r="AB322" s="3">
        <f>SUM(X322:AA322)</f>
        <v>0</v>
      </c>
      <c r="AC322" s="3" t="n"/>
      <c r="AD322" s="3" t="n"/>
      <c r="AE322" s="3" t="n"/>
      <c r="AF322" s="3" t="n"/>
      <c r="AG322" s="3">
        <f>SUM(AC322:AF322)</f>
        <v>0</v>
      </c>
      <c r="AH322" s="3" t="n"/>
      <c r="AI322" s="3" t="n"/>
      <c r="AJ322" s="3" t="n"/>
      <c r="AK322" s="3" t="n"/>
      <c r="AL322" s="3">
        <f>SUM(AH322:AK322)</f>
        <v>0</v>
      </c>
      <c r="AM322" s="3" t="n"/>
      <c r="AN322" s="3" t="n"/>
      <c r="AO322" s="3" t="n"/>
      <c r="AP322" s="3" t="n"/>
      <c r="AQ322" s="3">
        <f>SUM(AM322:AP322)</f>
        <v>0</v>
      </c>
      <c r="AR322" s="3" t="n"/>
      <c r="AS322" s="3" t="n"/>
      <c r="AT322" s="3" t="n"/>
      <c r="AU322" s="3" t="n"/>
      <c r="AV322" s="3">
        <f>SUM(AR322:AU322)</f>
        <v>0</v>
      </c>
      <c r="AW322" s="3" t="n"/>
      <c r="AX322" s="3" t="n"/>
      <c r="AY322" s="3" t="n"/>
      <c r="AZ322" s="3" t="n"/>
      <c r="BA322" s="3">
        <f>SUM(AW322:AZ322)</f>
        <v>0</v>
      </c>
      <c r="BB322" s="3" t="n"/>
      <c r="BC322" s="3" t="n"/>
      <c r="BD322" s="3" t="n"/>
      <c r="BE322" s="3" t="n"/>
      <c r="BF322" s="3">
        <f>SUM(BB322:BE322)</f>
        <v>0</v>
      </c>
      <c r="BG322" s="3" t="n"/>
      <c r="BH322" s="3" t="n"/>
      <c r="BI322" s="3" t="n"/>
      <c r="BJ322" s="3" t="n"/>
      <c r="BK322" s="3">
        <f>SUM(BG322:BJ322)</f>
        <v>0</v>
      </c>
      <c r="BL322" s="3" t="n"/>
      <c r="BM322" s="3" t="n"/>
      <c r="BN322" s="3" t="n"/>
      <c r="BO322" s="3" t="n"/>
      <c r="BP322" s="3">
        <f>SUM(BL322:BO322)</f>
        <v>0</v>
      </c>
      <c r="BQ322" s="3" t="n"/>
      <c r="BR322" s="3" t="n"/>
      <c r="BS322" s="3" t="n"/>
      <c r="BT322" s="3" t="n"/>
      <c r="BU322" s="3">
        <f>SUM(BQ322:BT322)</f>
        <v>0</v>
      </c>
      <c r="BV322" s="3" t="n"/>
      <c r="BW322" s="3" t="n"/>
      <c r="BX322" s="3" t="n"/>
      <c r="BY322" s="3" t="n"/>
      <c r="BZ322" s="3">
        <f>SUM(BV322:BY322)</f>
        <v>0</v>
      </c>
      <c r="CA322" s="3" t="n"/>
      <c r="CB322" s="3" t="n"/>
      <c r="CC322" s="3" t="n"/>
      <c r="CD322" s="3" t="n"/>
      <c r="CE322" s="3">
        <f>SUM(CA322:CD322)</f>
        <v>0</v>
      </c>
      <c r="CF322" s="3" t="n"/>
      <c r="CG322" s="3" t="n"/>
      <c r="CH322" s="3" t="n"/>
      <c r="CI322" s="3" t="n"/>
      <c r="CJ322" s="3">
        <f>SUM(CF322:CI322)</f>
        <v>0</v>
      </c>
      <c r="CK322" s="3" t="n"/>
      <c r="CL322" s="3" t="n"/>
      <c r="CM322" s="3" t="n"/>
      <c r="CN322" s="3" t="n"/>
      <c r="CO322" s="3">
        <f>SUM(CK322:CN322)</f>
        <v>0</v>
      </c>
      <c r="CP322" s="3" t="n"/>
      <c r="CQ322" s="3" t="n"/>
      <c r="CR322" s="3" t="n"/>
      <c r="CS322" s="3" t="n"/>
      <c r="CT322" s="3">
        <f>SUM(CP322:CS322)</f>
        <v>0</v>
      </c>
      <c r="CU322" s="3" t="n"/>
      <c r="CV322" s="3" t="n"/>
      <c r="CW322" s="3" t="n"/>
      <c r="CX322" s="3" t="n"/>
      <c r="CY322" s="3">
        <f>SUM(CU322:CX322)</f>
        <v>0</v>
      </c>
    </row>
    <row r="323">
      <c r="C323" s="26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  <c r="CG323" s="3" t="n"/>
      <c r="CH323" s="3" t="n"/>
      <c r="CI323" s="3" t="n"/>
      <c r="CJ323" s="3" t="n"/>
      <c r="CK323" s="3" t="n"/>
      <c r="CL323" s="3" t="n"/>
      <c r="CM323" s="3" t="n"/>
      <c r="CN323" s="3" t="n"/>
      <c r="CO323" s="3" t="n"/>
      <c r="CP323" s="3" t="n"/>
      <c r="CQ323" s="3" t="n"/>
      <c r="CR323" s="3" t="n"/>
      <c r="CS323" s="3" t="n"/>
      <c r="CT323" s="3" t="n"/>
      <c r="CU323" s="3" t="n"/>
      <c r="CV323" s="3" t="n"/>
      <c r="CW323" s="3" t="n"/>
      <c r="CX323" s="3" t="n"/>
      <c r="CY323" s="3" t="n"/>
    </row>
    <row r="324">
      <c r="C324" s="26" t="inlineStr">
        <is>
          <t>Total increase/decrease of cash</t>
        </is>
      </c>
      <c r="D324" s="3" t="n"/>
      <c r="E324" s="3" t="e">
        <f>SUM(E303,E310,E320,E322)</f>
        <v>#N/A</v>
      </c>
      <c r="F324" s="3">
        <f>SUM(F303,F310,F320,F322)</f>
        <v>-141.812593530169</v>
      </c>
      <c r="G324" s="3">
        <f>SUM(G303,G310,G320,G322)</f>
        <v>1310.4355441901</v>
      </c>
      <c r="H324" s="3" t="e">
        <f>SUM(D324:G324)</f>
        <v>#N/A</v>
      </c>
      <c r="I324" s="3">
        <f>SUM(I303,I310,I320,I322)</f>
        <v>-329.404895409931</v>
      </c>
      <c r="J324" s="3">
        <f>SUM(J303,J310,J320,J322)</f>
        <v>-109.56622932</v>
      </c>
      <c r="K324" s="3">
        <f>SUM(K303,K310,K320,K322)</f>
        <v>-727.96347393</v>
      </c>
      <c r="L324" s="3">
        <f>SUM(L303,L310,L320,L322)</f>
        <v>-80.0910000000002</v>
      </c>
      <c r="M324" s="3">
        <f>SUM(I324:L324)</f>
        <v>-1247.02559865993</v>
      </c>
      <c r="N324" s="3">
        <f>SUM(N303,N310,N320,N322)</f>
        <v>-259.386</v>
      </c>
      <c r="O324" s="3">
        <f>SUM(O303,O310,O320,O322)</f>
        <v>270.24</v>
      </c>
      <c r="P324" s="3">
        <f>SUM(P303,P310,P320,P322)</f>
        <v>-194.572999999999</v>
      </c>
      <c r="Q324" s="3">
        <f>SUM(Q303,Q310,Q320,Q322)</f>
        <v>1100.548</v>
      </c>
      <c r="R324" s="3">
        <f>SUM(N324:Q324)</f>
        <v>916.829</v>
      </c>
      <c r="S324" s="3">
        <f>SUM(S303,S310,S320,S322)</f>
        <v>-124.490599999999</v>
      </c>
      <c r="T324" s="3">
        <f>SUM(T303,T310,T320,T322)</f>
        <v>-315.1944</v>
      </c>
      <c r="U324" s="3">
        <f>SUM(U303,U310,U320,U322)</f>
        <v>-239.833</v>
      </c>
      <c r="V324" s="3">
        <f>SUM(V303,V310,V320,V322)</f>
        <v>172.383</v>
      </c>
      <c r="W324" s="3">
        <f>SUM(S324:V324)</f>
        <v>-507.134999999999</v>
      </c>
      <c r="X324" s="3">
        <f>SUM(X303,X310,X320,X322)</f>
        <v>51.2749999999989</v>
      </c>
      <c r="Y324" s="3">
        <f>SUM(Y303,Y310,Y320,Y322)</f>
        <v>-100.849701969999</v>
      </c>
      <c r="Z324" s="3">
        <f>SUM(Z303,Z310,Z320,Z322)</f>
        <v>-541.64629803</v>
      </c>
      <c r="AA324" s="3">
        <f>SUM(AA303,AA310,AA320,AA322)</f>
        <v>965.414</v>
      </c>
      <c r="AB324" s="3">
        <f>SUM(X324:AA324)</f>
        <v>374.193</v>
      </c>
      <c r="AC324" s="3">
        <f>SUM(AC303,AC310,AC320,AC322)</f>
        <v>-143.616</v>
      </c>
      <c r="AD324" s="3">
        <f>SUM(AD303,AD310,AD320,AD322)</f>
        <v>-492.77410598</v>
      </c>
      <c r="AE324" s="3">
        <f>SUM(AE303,AE310,AE320,AE322)</f>
        <v>155.116105979999</v>
      </c>
      <c r="AF324" s="3">
        <f>SUM(AF303,AF310,AF320,AF322)</f>
        <v>618.773000000001</v>
      </c>
      <c r="AG324" s="3">
        <f>SUM(AC324:AF324)</f>
        <v>137.499</v>
      </c>
      <c r="AH324" s="3">
        <f>SUM(AH303,AH310,AH320,AH322)</f>
        <v>182.526</v>
      </c>
      <c r="AI324" s="3">
        <f>SUM(AI303,AI310,AI320,AI322)</f>
        <v>-352.648</v>
      </c>
      <c r="AJ324" s="3">
        <f>SUM(AJ303,AJ310,AJ320,AJ322)</f>
        <v>4959.366</v>
      </c>
      <c r="AK324" s="3">
        <f>SUM(AK303,AK310,AK320,AK322)</f>
        <v>90.7749999999999</v>
      </c>
      <c r="AL324" s="3">
        <f>SUM(AH324:AK324)</f>
        <v>4880.019</v>
      </c>
      <c r="AM324" s="3" t="e">
        <f>SUM(AM303,AM310,AM320,AM322)</f>
        <v>#DIV/0!</v>
      </c>
      <c r="AN324" s="3" t="e">
        <f>SUM(AN303,AN310,AN320,AN322)</f>
        <v>#DIV/0!</v>
      </c>
      <c r="AO324" s="3" t="e">
        <f>SUM(AO303,AO310,AO320,AO322)</f>
        <v>#DIV/0!</v>
      </c>
      <c r="AP324" s="3" t="e">
        <f>SUM(AP303,AP310,AP320,AP322)</f>
        <v>#DIV/0!</v>
      </c>
      <c r="AQ324" s="3" t="e">
        <f>SUM(AM324:AP324)</f>
        <v>#DIV/0!</v>
      </c>
      <c r="AR324" s="3" t="e">
        <f>SUM(AR303,AR310,AR320,AR322)</f>
        <v>#DIV/0!</v>
      </c>
      <c r="AS324" s="3" t="e">
        <f>SUM(AS303,AS310,AS320,AS322)</f>
        <v>#DIV/0!</v>
      </c>
      <c r="AT324" s="3" t="e">
        <f>SUM(AT303,AT310,AT320,AT322)</f>
        <v>#DIV/0!</v>
      </c>
      <c r="AU324" s="3" t="e">
        <f>SUM(AU303,AU310,AU320,AU322)</f>
        <v>#DIV/0!</v>
      </c>
      <c r="AV324" s="3" t="e">
        <f>SUM(AR324:AU324)</f>
        <v>#DIV/0!</v>
      </c>
      <c r="AW324" s="3" t="e">
        <f>SUM(AW303,AW310,AW320,AW322)</f>
        <v>#DIV/0!</v>
      </c>
      <c r="AX324" s="3" t="e">
        <f>SUM(AX303,AX310,AX320,AX322)</f>
        <v>#DIV/0!</v>
      </c>
      <c r="AY324" s="3" t="e">
        <f>SUM(AY303,AY310,AY320,AY322)</f>
        <v>#DIV/0!</v>
      </c>
      <c r="AZ324" s="3" t="e">
        <f>SUM(AZ303,AZ310,AZ320,AZ322)</f>
        <v>#DIV/0!</v>
      </c>
      <c r="BA324" s="3" t="e">
        <f>SUM(AW324:AZ324)</f>
        <v>#DIV/0!</v>
      </c>
      <c r="BB324" s="3" t="e">
        <f>SUM(BB303,BB310,BB320,BB322)</f>
        <v>#DIV/0!</v>
      </c>
      <c r="BC324" s="3" t="e">
        <f>SUM(BC303,BC310,BC320,BC322)</f>
        <v>#DIV/0!</v>
      </c>
      <c r="BD324" s="3" t="e">
        <f>SUM(BD303,BD310,BD320,BD322)</f>
        <v>#DIV/0!</v>
      </c>
      <c r="BE324" s="3" t="e">
        <f>SUM(BE303,BE310,BE320,BE322)</f>
        <v>#DIV/0!</v>
      </c>
      <c r="BF324" s="3" t="e">
        <f>SUM(BB324:BE324)</f>
        <v>#DIV/0!</v>
      </c>
      <c r="BG324" s="3" t="e">
        <f>SUM(BG303,BG310,BG320,BG322)</f>
        <v>#DIV/0!</v>
      </c>
      <c r="BH324" s="3" t="e">
        <f>SUM(BH303,BH310,BH320,BH322)</f>
        <v>#DIV/0!</v>
      </c>
      <c r="BI324" s="3" t="e">
        <f>SUM(BI303,BI310,BI320,BI322)</f>
        <v>#DIV/0!</v>
      </c>
      <c r="BJ324" s="3" t="e">
        <f>SUM(BJ303,BJ310,BJ320,BJ322)</f>
        <v>#DIV/0!</v>
      </c>
      <c r="BK324" s="3" t="e">
        <f>SUM(BG324:BJ324)</f>
        <v>#DIV/0!</v>
      </c>
      <c r="BL324" s="3" t="e">
        <f>SUM(BL303,BL310,BL320,BL322)</f>
        <v>#DIV/0!</v>
      </c>
      <c r="BM324" s="3" t="e">
        <f>SUM(BM303,BM310,BM320,BM322)</f>
        <v>#DIV/0!</v>
      </c>
      <c r="BN324" s="3" t="e">
        <f>SUM(BN303,BN310,BN320,BN322)</f>
        <v>#DIV/0!</v>
      </c>
      <c r="BO324" s="3" t="e">
        <f>SUM(BO303,BO310,BO320,BO322)</f>
        <v>#DIV/0!</v>
      </c>
      <c r="BP324" s="3" t="e">
        <f>SUM(BL324:BO324)</f>
        <v>#DIV/0!</v>
      </c>
      <c r="BQ324" s="3" t="e">
        <f>SUM(BQ303,BQ310,BQ320,BQ322)</f>
        <v>#DIV/0!</v>
      </c>
      <c r="BR324" s="3" t="e">
        <f>SUM(BR303,BR310,BR320,BR322)</f>
        <v>#DIV/0!</v>
      </c>
      <c r="BS324" s="3" t="e">
        <f>SUM(BS303,BS310,BS320,BS322)</f>
        <v>#DIV/0!</v>
      </c>
      <c r="BT324" s="3" t="e">
        <f>SUM(BT303,BT310,BT320,BT322)</f>
        <v>#DIV/0!</v>
      </c>
      <c r="BU324" s="3" t="e">
        <f>SUM(BQ324:BT324)</f>
        <v>#DIV/0!</v>
      </c>
      <c r="BV324" s="3" t="e">
        <f>SUM(BV303,BV310,BV320,BV322)</f>
        <v>#DIV/0!</v>
      </c>
      <c r="BW324" s="3" t="e">
        <f>SUM(BW303,BW310,BW320,BW322)</f>
        <v>#DIV/0!</v>
      </c>
      <c r="BX324" s="3" t="e">
        <f>SUM(BX303,BX310,BX320,BX322)</f>
        <v>#DIV/0!</v>
      </c>
      <c r="BY324" s="3" t="e">
        <f>SUM(BY303,BY310,BY320,BY322)</f>
        <v>#DIV/0!</v>
      </c>
      <c r="BZ324" s="3" t="e">
        <f>SUM(BV324:BY324)</f>
        <v>#DIV/0!</v>
      </c>
      <c r="CA324" s="3" t="e">
        <f>SUM(CA303,CA310,CA320,CA322)</f>
        <v>#DIV/0!</v>
      </c>
      <c r="CB324" s="3" t="e">
        <f>SUM(CB303,CB310,CB320,CB322)</f>
        <v>#DIV/0!</v>
      </c>
      <c r="CC324" s="3" t="e">
        <f>SUM(CC303,CC310,CC320,CC322)</f>
        <v>#DIV/0!</v>
      </c>
      <c r="CD324" s="3" t="e">
        <f>SUM(CD303,CD310,CD320,CD322)</f>
        <v>#DIV/0!</v>
      </c>
      <c r="CE324" s="3" t="e">
        <f>SUM(CA324:CD324)</f>
        <v>#DIV/0!</v>
      </c>
      <c r="CF324" s="3" t="e">
        <f>SUM(CF303,CF310,CF320,CF322)</f>
        <v>#DIV/0!</v>
      </c>
      <c r="CG324" s="3" t="e">
        <f>SUM(CG303,CG310,CG320,CG322)</f>
        <v>#DIV/0!</v>
      </c>
      <c r="CH324" s="3" t="e">
        <f>SUM(CH303,CH310,CH320,CH322)</f>
        <v>#DIV/0!</v>
      </c>
      <c r="CI324" s="3" t="e">
        <f>SUM(CI303,CI310,CI320,CI322)</f>
        <v>#DIV/0!</v>
      </c>
      <c r="CJ324" s="3" t="e">
        <f>SUM(CF324:CI324)</f>
        <v>#DIV/0!</v>
      </c>
      <c r="CK324" s="3" t="e">
        <f>SUM(CK303,CK310,CK320,CK322)</f>
        <v>#DIV/0!</v>
      </c>
      <c r="CL324" s="3" t="e">
        <f>SUM(CL303,CL310,CL320,CL322)</f>
        <v>#DIV/0!</v>
      </c>
      <c r="CM324" s="3" t="e">
        <f>SUM(CM303,CM310,CM320,CM322)</f>
        <v>#DIV/0!</v>
      </c>
      <c r="CN324" s="3" t="e">
        <f>SUM(CN303,CN310,CN320,CN322)</f>
        <v>#DIV/0!</v>
      </c>
      <c r="CO324" s="3" t="e">
        <f>SUM(CK324:CN324)</f>
        <v>#DIV/0!</v>
      </c>
      <c r="CP324" s="3" t="e">
        <f>SUM(CP303,CP310,CP320,CP322)</f>
        <v>#DIV/0!</v>
      </c>
      <c r="CQ324" s="3" t="e">
        <f>SUM(CQ303,CQ310,CQ320,CQ322)</f>
        <v>#DIV/0!</v>
      </c>
      <c r="CR324" s="3" t="e">
        <f>SUM(CR303,CR310,CR320,CR322)</f>
        <v>#DIV/0!</v>
      </c>
      <c r="CS324" s="3" t="e">
        <f>SUM(CS303,CS310,CS320,CS322)</f>
        <v>#DIV/0!</v>
      </c>
      <c r="CT324" s="3" t="e">
        <f>SUM(CP324:CS324)</f>
        <v>#DIV/0!</v>
      </c>
      <c r="CU324" s="3" t="e">
        <f>SUM(CU303,CU310,CU320,CU322)</f>
        <v>#DIV/0!</v>
      </c>
      <c r="CV324" s="3" t="e">
        <f>SUM(CV303,CV310,CV320,CV322)</f>
        <v>#DIV/0!</v>
      </c>
      <c r="CW324" s="3" t="e">
        <f>SUM(CW303,CW310,CW320,CW322)</f>
        <v>#DIV/0!</v>
      </c>
      <c r="CX324" s="3" t="e">
        <f>SUM(CX303,CX310,CX320,CX322)</f>
        <v>#DIV/0!</v>
      </c>
      <c r="CY324" s="3" t="e">
        <f>SUM(CU324:CX324)</f>
        <v>#DIV/0!</v>
      </c>
    </row>
    <row r="325">
      <c r="C325" s="4" t="inlineStr">
        <is>
          <t>Check</t>
        </is>
      </c>
      <c r="E325" s="51" t="e">
        <f>(E324)-(E154-D154)</f>
        <v>#N/A</v>
      </c>
      <c r="F325" s="51">
        <f>(F324)-(F154-E154)</f>
        <v>0.000334059830606748</v>
      </c>
      <c r="G325" s="51">
        <f>(G324)-(G154-F154)</f>
        <v>0.00150935009969544</v>
      </c>
      <c r="I325" s="51">
        <f>(I324)-(I154-H154)</f>
        <v>-0.00152640993076147</v>
      </c>
      <c r="J325" s="51">
        <f>(J324)-(J154-I154)</f>
        <v>0.000314649999694439</v>
      </c>
      <c r="K325" s="51">
        <f>(K324)-(K154-J154)</f>
        <v>-0.000279649999470166</v>
      </c>
      <c r="L325" s="51">
        <f>(L324)-(L154-K154)</f>
        <v>0</v>
      </c>
      <c r="N325" s="51">
        <f>(N324)-(N154-M154)</f>
        <v>0</v>
      </c>
      <c r="O325" s="51">
        <f>(O324)-(O154-N154)</f>
        <v>0</v>
      </c>
      <c r="P325" s="51">
        <f>(P324)-(P154-O154)</f>
        <v>9.09494701772928e-13</v>
      </c>
      <c r="Q325" s="51">
        <f>(Q324)-(Q154-P154)</f>
        <v>0</v>
      </c>
      <c r="S325" s="51">
        <f>(S324)-(S154-R154)</f>
        <v>-0.000599999999110423</v>
      </c>
      <c r="T325" s="51">
        <f>(T324)-(T154-S154)</f>
        <v>0.000599999999792544</v>
      </c>
      <c r="U325" s="51">
        <f>(U324)-(U154-T154)</f>
        <v>0</v>
      </c>
      <c r="V325" s="51">
        <f>(V324)-(V154-U154)</f>
        <v>0</v>
      </c>
      <c r="X325" s="51">
        <f>(X324)-(X154-W154)</f>
        <v>-9.52127265918534e-13</v>
      </c>
      <c r="Y325" s="51">
        <f>(Y324)-(Y154-X154)</f>
        <v>0.000298030000465133</v>
      </c>
      <c r="Z325" s="51">
        <f>(Z324)-(Z154-Y154)</f>
        <v>-0.000298029999612481</v>
      </c>
      <c r="AA325" s="51">
        <f>(AA324)-(AA154-Z154)</f>
        <v>0</v>
      </c>
      <c r="AC325" s="51">
        <f>(AC324)-(AC154-AB154)</f>
        <v>0</v>
      </c>
      <c r="AD325" s="51">
        <f>(AD324)-(AD154-AC154)</f>
        <v>-0.000105980000398631</v>
      </c>
      <c r="AE325" s="51">
        <f>(AE324)-(AE154-AD154)</f>
        <v>0.000105979999091232</v>
      </c>
      <c r="AF325" s="51">
        <f>(AF324)-(AF154-AE154)</f>
        <v>0</v>
      </c>
      <c r="AH325" s="51">
        <f>(AH324)-(AH154-AG154)</f>
        <v>0</v>
      </c>
      <c r="AI325" s="51">
        <f>(AI324)-(AI154-AH154)</f>
        <v>0</v>
      </c>
      <c r="AJ325" s="51">
        <f>(AJ324)-(AJ154-AI154)</f>
        <v>0</v>
      </c>
      <c r="AK325" s="51">
        <f>(AK324)-(AK154-AJ154)</f>
        <v>0</v>
      </c>
      <c r="AM325" s="51" t="e">
        <f>(AM324)-(AM154-AL154)</f>
        <v>#DIV/0!</v>
      </c>
      <c r="AN325" s="51" t="e">
        <f>(AN324)-(AN154-AM154)</f>
        <v>#DIV/0!</v>
      </c>
      <c r="AO325" s="51" t="e">
        <f>(AO324)-(AO154-AN154)</f>
        <v>#DIV/0!</v>
      </c>
      <c r="AP325" s="51" t="e">
        <f>(AP324)-(AP154-AO154)</f>
        <v>#DIV/0!</v>
      </c>
      <c r="AR325" s="51" t="e">
        <f>(AR324)-(AR154-AQ154)</f>
        <v>#DIV/0!</v>
      </c>
      <c r="AS325" s="51" t="e">
        <f>(AS324)-(AS154-AR154)</f>
        <v>#DIV/0!</v>
      </c>
      <c r="AT325" s="51" t="e">
        <f>(AT324)-(AT154-AS154)</f>
        <v>#DIV/0!</v>
      </c>
      <c r="AU325" s="51" t="e">
        <f>(AU324)-(AU154-AT154)</f>
        <v>#DIV/0!</v>
      </c>
      <c r="AW325" s="51" t="e">
        <f>(AW324)-(AW154-AV154)</f>
        <v>#DIV/0!</v>
      </c>
      <c r="AX325" s="51" t="e">
        <f>(AX324)-(AX154-AW154)</f>
        <v>#DIV/0!</v>
      </c>
      <c r="AY325" s="51" t="e">
        <f>(AY324)-(AY154-AX154)</f>
        <v>#DIV/0!</v>
      </c>
      <c r="AZ325" s="51" t="e">
        <f>(AZ324)-(AZ154-AY154)</f>
        <v>#DIV/0!</v>
      </c>
      <c r="BB325" s="51" t="e">
        <f>(BB324)-(BB154-BA154)</f>
        <v>#DIV/0!</v>
      </c>
      <c r="BC325" s="51" t="e">
        <f>(BC324)-(BC154-BB154)</f>
        <v>#DIV/0!</v>
      </c>
      <c r="BD325" s="51" t="e">
        <f>(BD324)-(BD154-BC154)</f>
        <v>#DIV/0!</v>
      </c>
      <c r="BE325" s="51" t="e">
        <f>(BE324)-(BE154-BD154)</f>
        <v>#DIV/0!</v>
      </c>
      <c r="BG325" s="51" t="e">
        <f>(BG324)-(BG154-BF154)</f>
        <v>#DIV/0!</v>
      </c>
      <c r="BH325" s="51" t="e">
        <f>(BH324)-(BH154-BG154)</f>
        <v>#DIV/0!</v>
      </c>
      <c r="BI325" s="51" t="e">
        <f>(BI324)-(BI154-BH154)</f>
        <v>#DIV/0!</v>
      </c>
      <c r="BJ325" s="51" t="e">
        <f>(BJ324)-(BJ154-BI154)</f>
        <v>#DIV/0!</v>
      </c>
      <c r="BL325" s="51" t="e">
        <f>(BL324)-(BL154-BK154)</f>
        <v>#DIV/0!</v>
      </c>
      <c r="BM325" s="51" t="e">
        <f>(BM324)-(BM154-BL154)</f>
        <v>#DIV/0!</v>
      </c>
      <c r="BN325" s="51" t="e">
        <f>(BN324)-(BN154-BM154)</f>
        <v>#DIV/0!</v>
      </c>
      <c r="BO325" s="51" t="e">
        <f>(BO324)-(BO154-BN154)</f>
        <v>#DIV/0!</v>
      </c>
      <c r="BQ325" s="51" t="e">
        <f>(BQ324)-(BQ154-BP154)</f>
        <v>#DIV/0!</v>
      </c>
      <c r="BR325" s="51" t="e">
        <f>(BR324)-(BR154-BQ154)</f>
        <v>#DIV/0!</v>
      </c>
      <c r="BS325" s="51" t="e">
        <f>(BS324)-(BS154-BR154)</f>
        <v>#DIV/0!</v>
      </c>
      <c r="BT325" s="51" t="e">
        <f>(BT324)-(BT154-BS154)</f>
        <v>#DIV/0!</v>
      </c>
      <c r="BV325" s="51" t="e">
        <f>(BV324)-(BV154-BU154)</f>
        <v>#DIV/0!</v>
      </c>
      <c r="BW325" s="51" t="e">
        <f>(BW324)-(BW154-BV154)</f>
        <v>#DIV/0!</v>
      </c>
      <c r="BX325" s="51" t="e">
        <f>(BX324)-(BX154-BW154)</f>
        <v>#DIV/0!</v>
      </c>
      <c r="BY325" s="51" t="e">
        <f>(BY324)-(BY154-BX154)</f>
        <v>#DIV/0!</v>
      </c>
      <c r="CA325" s="51" t="e">
        <f>(CA324)-(CA154-BZ154)</f>
        <v>#DIV/0!</v>
      </c>
      <c r="CB325" s="51" t="e">
        <f>(CB324)-(CB154-CA154)</f>
        <v>#DIV/0!</v>
      </c>
      <c r="CC325" s="51" t="e">
        <f>(CC324)-(CC154-CB154)</f>
        <v>#DIV/0!</v>
      </c>
      <c r="CD325" s="51" t="e">
        <f>(CD324)-(CD154-CC154)</f>
        <v>#DIV/0!</v>
      </c>
      <c r="CF325" s="51" t="e">
        <f>(CF324)-(CF154-CE154)</f>
        <v>#DIV/0!</v>
      </c>
      <c r="CG325" s="51" t="e">
        <f>(CG324)-(CG154-CF154)</f>
        <v>#DIV/0!</v>
      </c>
      <c r="CH325" s="51" t="e">
        <f>(CH324)-(CH154-CG154)</f>
        <v>#DIV/0!</v>
      </c>
      <c r="CI325" s="51" t="e">
        <f>(CI324)-(CI154-CH154)</f>
        <v>#DIV/0!</v>
      </c>
      <c r="CK325" s="51" t="e">
        <f>(CK324)-(CK154-CJ154)</f>
        <v>#DIV/0!</v>
      </c>
      <c r="CL325" s="51" t="e">
        <f>(CL324)-(CL154-CK154)</f>
        <v>#DIV/0!</v>
      </c>
      <c r="CM325" s="51" t="e">
        <f>(CM324)-(CM154-CL154)</f>
        <v>#DIV/0!</v>
      </c>
      <c r="CN325" s="51" t="e">
        <f>(CN324)-(CN154-CM154)</f>
        <v>#DIV/0!</v>
      </c>
      <c r="CP325" s="51" t="e">
        <f>(CP324)-(CP154-CO154)</f>
        <v>#DIV/0!</v>
      </c>
      <c r="CQ325" s="51" t="e">
        <f>(CQ324)-(CQ154-CP154)</f>
        <v>#DIV/0!</v>
      </c>
      <c r="CR325" s="51" t="e">
        <f>(CR324)-(CR154-CQ154)</f>
        <v>#DIV/0!</v>
      </c>
      <c r="CS325" s="51" t="e">
        <f>(CS324)-(CS154-CR154)</f>
        <v>#DIV/0!</v>
      </c>
      <c r="CU325" s="51" t="e">
        <f>(CU324)-(CU154-CT154)</f>
        <v>#DIV/0!</v>
      </c>
      <c r="CV325" s="51" t="e">
        <f>(CV324)-(CV154-CU154)</f>
        <v>#DIV/0!</v>
      </c>
      <c r="CW325" s="51" t="e">
        <f>(CW324)-(CW154-CV154)</f>
        <v>#DIV/0!</v>
      </c>
      <c r="CX325" s="51" t="e">
        <f>(CX324)-(CX154-CW154)</f>
        <v>#DIV/0!</v>
      </c>
    </row>
    <row r="327">
      <c r="C327" s="53" t="inlineStr">
        <is>
          <t>Ratio Analysis</t>
        </is>
      </c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  <c r="CO327" s="53" t="n"/>
      <c r="CP327" s="53" t="n"/>
      <c r="CQ327" s="53" t="n"/>
      <c r="CR327" s="53" t="n"/>
      <c r="CS327" s="53" t="n"/>
      <c r="CT327" s="53" t="n"/>
      <c r="CU327" s="53" t="n"/>
      <c r="CV327" s="53" t="n"/>
      <c r="CW327" s="53" t="n"/>
      <c r="CX327" s="53" t="n"/>
      <c r="CY327" s="53" t="n"/>
    </row>
    <row r="329" customFormat="1" s="234">
      <c r="C329" s="234" t="inlineStr">
        <is>
          <t>YEAR</t>
        </is>
      </c>
      <c r="D329" s="234" t="str">
        <f>D285</f>
        <v>1Q20</v>
      </c>
      <c r="E329" s="235" t="str">
        <f>E285</f>
        <v>2Q20</v>
      </c>
      <c r="F329" s="235" t="str">
        <f>F285</f>
        <v>3Q20</v>
      </c>
      <c r="G329" s="235" t="str">
        <f>G285</f>
        <v>4Q20</v>
      </c>
      <c r="H329" s="235">
        <f>H285</f>
        <v>2020</v>
      </c>
      <c r="I329" s="235" t="str">
        <f>I285</f>
        <v>1Q21</v>
      </c>
      <c r="J329" s="235" t="str">
        <f>J285</f>
        <v>2Q21</v>
      </c>
      <c r="K329" s="235" t="str">
        <f>K285</f>
        <v>3Q21</v>
      </c>
      <c r="L329" s="235" t="str">
        <f>L285</f>
        <v>4Q21</v>
      </c>
      <c r="M329" s="235">
        <f>M285</f>
        <v>2021</v>
      </c>
      <c r="N329" s="235" t="str">
        <f>N285</f>
        <v>1Q22</v>
      </c>
      <c r="O329" s="235" t="str">
        <f>O285</f>
        <v>2Q22</v>
      </c>
      <c r="P329" s="235" t="str">
        <f>P285</f>
        <v>3Q22</v>
      </c>
      <c r="Q329" s="235" t="str">
        <f>Q285</f>
        <v>4Q22</v>
      </c>
      <c r="R329" s="235">
        <f>R285</f>
        <v>2022</v>
      </c>
      <c r="S329" s="235" t="str">
        <f>S285</f>
        <v>1Q23</v>
      </c>
      <c r="T329" s="235" t="str">
        <f>T285</f>
        <v>2Q23</v>
      </c>
      <c r="U329" s="235" t="str">
        <f>U285</f>
        <v>3Q23</v>
      </c>
      <c r="V329" s="235" t="str">
        <f>V285</f>
        <v>4Q23</v>
      </c>
      <c r="W329" s="235">
        <f>W285</f>
        <v>2023</v>
      </c>
      <c r="X329" s="235" t="str">
        <f>X285</f>
        <v>1Q24</v>
      </c>
      <c r="Y329" s="235" t="str">
        <f>Y285</f>
        <v>2Q24</v>
      </c>
      <c r="Z329" s="235" t="str">
        <f>Z285</f>
        <v>3Q24</v>
      </c>
      <c r="AA329" s="235" t="str">
        <f>AA285</f>
        <v>4Q24</v>
      </c>
      <c r="AB329" s="235">
        <f>AB285</f>
        <v>2024</v>
      </c>
      <c r="AC329" s="235" t="str">
        <f>AC285</f>
        <v>1Q25</v>
      </c>
      <c r="AD329" s="235" t="str">
        <f>AD285</f>
        <v>2Q25</v>
      </c>
      <c r="AE329" s="235" t="str">
        <f>AE285</f>
        <v>3Q25</v>
      </c>
      <c r="AF329" s="235" t="str">
        <f>AF285</f>
        <v>4Q25</v>
      </c>
      <c r="AG329" s="235">
        <f>AG285</f>
        <v>2025</v>
      </c>
      <c r="AH329" s="235" t="str">
        <f>AH285</f>
        <v>1Q26</v>
      </c>
      <c r="AI329" s="235" t="str">
        <f>AI285</f>
        <v>2Q26</v>
      </c>
      <c r="AJ329" s="235" t="str">
        <f>AJ285</f>
        <v>3Q26</v>
      </c>
      <c r="AK329" s="235" t="str">
        <f>AK285</f>
        <v>4Q26</v>
      </c>
      <c r="AL329" s="235">
        <f>AL285</f>
        <v>2026</v>
      </c>
      <c r="AM329" s="235" t="str">
        <f>AM285</f>
        <v>1Q27</v>
      </c>
      <c r="AN329" s="235" t="str">
        <f>AN285</f>
        <v>2Q27</v>
      </c>
      <c r="AO329" s="235" t="str">
        <f>AO285</f>
        <v>3Q27</v>
      </c>
      <c r="AP329" s="235" t="str">
        <f>AP285</f>
        <v>4Q27</v>
      </c>
      <c r="AQ329" s="235">
        <f>AQ285</f>
        <v>2027</v>
      </c>
      <c r="AR329" s="235" t="str">
        <f>AR285</f>
        <v>1Q28</v>
      </c>
      <c r="AS329" s="235" t="str">
        <f>AS285</f>
        <v>2Q28</v>
      </c>
      <c r="AT329" s="235" t="str">
        <f>AT285</f>
        <v>3Q28</v>
      </c>
      <c r="AU329" s="235" t="str">
        <f>AU285</f>
        <v>4Q28</v>
      </c>
      <c r="AV329" s="235">
        <f>AV285</f>
        <v>2028</v>
      </c>
      <c r="AW329" s="235" t="str">
        <f>AW285</f>
        <v>1Q29</v>
      </c>
      <c r="AX329" s="235" t="str">
        <f>AX285</f>
        <v>2Q29</v>
      </c>
      <c r="AY329" s="235" t="str">
        <f>AY285</f>
        <v>3Q29</v>
      </c>
      <c r="AZ329" s="235" t="str">
        <f>AZ285</f>
        <v>4Q29</v>
      </c>
      <c r="BA329" s="235">
        <f>BA285</f>
        <v>2029</v>
      </c>
      <c r="BB329" s="235" t="str">
        <f>BB285</f>
        <v>1Q30</v>
      </c>
      <c r="BC329" s="235" t="str">
        <f>BC285</f>
        <v>2Q30</v>
      </c>
      <c r="BD329" s="235" t="str">
        <f>BD285</f>
        <v>3Q30</v>
      </c>
      <c r="BE329" s="235" t="str">
        <f>BE285</f>
        <v>4Q30</v>
      </c>
      <c r="BF329" s="235">
        <f>BF285</f>
        <v>2030</v>
      </c>
      <c r="BG329" s="235" t="str">
        <f>BG285</f>
        <v>1Q31</v>
      </c>
      <c r="BH329" s="235" t="str">
        <f>BH285</f>
        <v>2Q31</v>
      </c>
      <c r="BI329" s="235" t="str">
        <f>BI285</f>
        <v>3Q31</v>
      </c>
      <c r="BJ329" s="235" t="str">
        <f>BJ285</f>
        <v>4Q31</v>
      </c>
      <c r="BK329" s="235">
        <f>BK285</f>
        <v>2031</v>
      </c>
      <c r="BL329" s="235" t="str">
        <f>BL285</f>
        <v>1Q32</v>
      </c>
      <c r="BM329" s="235" t="str">
        <f>BM285</f>
        <v>2Q32</v>
      </c>
      <c r="BN329" s="235" t="str">
        <f>BN285</f>
        <v>3Q32</v>
      </c>
      <c r="BO329" s="235" t="str">
        <f>BO285</f>
        <v>4Q32</v>
      </c>
      <c r="BP329" s="235">
        <f>BP285</f>
        <v>2032</v>
      </c>
      <c r="BQ329" s="235" t="str">
        <f>BQ285</f>
        <v>1Q33</v>
      </c>
      <c r="BR329" s="235" t="str">
        <f>BR285</f>
        <v>2Q33</v>
      </c>
      <c r="BS329" s="235" t="str">
        <f>BS285</f>
        <v>3Q33</v>
      </c>
      <c r="BT329" s="235" t="str">
        <f>BT285</f>
        <v>4Q33</v>
      </c>
      <c r="BU329" s="235">
        <f>BU285</f>
        <v>2033</v>
      </c>
      <c r="BV329" s="235" t="str">
        <f>BV285</f>
        <v>1Q34</v>
      </c>
      <c r="BW329" s="235" t="str">
        <f>BW285</f>
        <v>2Q34</v>
      </c>
      <c r="BX329" s="235" t="str">
        <f>BX285</f>
        <v>3Q34</v>
      </c>
      <c r="BY329" s="235" t="str">
        <f>BY285</f>
        <v>4Q34</v>
      </c>
      <c r="BZ329" s="235">
        <f>BZ285</f>
        <v>2034</v>
      </c>
      <c r="CA329" s="235" t="str">
        <f>CA285</f>
        <v>1Q35</v>
      </c>
      <c r="CB329" s="235" t="str">
        <f>CB285</f>
        <v>2Q35</v>
      </c>
      <c r="CC329" s="235" t="str">
        <f>CC285</f>
        <v>3Q35</v>
      </c>
      <c r="CD329" s="235" t="str">
        <f>CD285</f>
        <v>4Q35</v>
      </c>
      <c r="CE329" s="235">
        <f>CE285</f>
        <v>2035</v>
      </c>
      <c r="CF329" s="235" t="str">
        <f>CF285</f>
        <v>1Q36</v>
      </c>
      <c r="CG329" s="235" t="str">
        <f>CG285</f>
        <v>2Q36</v>
      </c>
      <c r="CH329" s="235" t="str">
        <f>CH285</f>
        <v>3Q36</v>
      </c>
      <c r="CI329" s="235" t="str">
        <f>CI285</f>
        <v>4Q36</v>
      </c>
      <c r="CJ329" s="235">
        <f>CJ285</f>
        <v>2036</v>
      </c>
      <c r="CK329" s="235" t="str">
        <f>CK285</f>
        <v>1Q37</v>
      </c>
      <c r="CL329" s="235" t="str">
        <f>CL285</f>
        <v>2Q37</v>
      </c>
      <c r="CM329" s="235" t="str">
        <f>CM285</f>
        <v>3Q37</v>
      </c>
      <c r="CN329" s="235" t="str">
        <f>CN285</f>
        <v>4Q37</v>
      </c>
      <c r="CO329" s="235">
        <f>CO285</f>
        <v>2037</v>
      </c>
      <c r="CP329" s="235" t="str">
        <f>CP285</f>
        <v>1Q38</v>
      </c>
      <c r="CQ329" s="235" t="str">
        <f>CQ285</f>
        <v>2Q38</v>
      </c>
      <c r="CR329" s="235" t="str">
        <f>CR285</f>
        <v>3Q38</v>
      </c>
      <c r="CS329" s="235" t="str">
        <f>CS285</f>
        <v>4Q38</v>
      </c>
      <c r="CT329" s="235">
        <f>CT285</f>
        <v>2038</v>
      </c>
      <c r="CU329" s="235" t="str">
        <f>CU285</f>
        <v>1Q39</v>
      </c>
      <c r="CV329" s="235" t="str">
        <f>CV285</f>
        <v>2Q39</v>
      </c>
      <c r="CW329" s="235" t="str">
        <f>CW285</f>
        <v>3Q39</v>
      </c>
      <c r="CX329" s="235" t="str">
        <f>CX285</f>
        <v>4Q39</v>
      </c>
      <c r="CY329" s="235">
        <f>CY285</f>
        <v>2039</v>
      </c>
    </row>
    <row r="330" customFormat="1" s="233">
      <c r="A330" s="224" t="n"/>
      <c r="B330" s="224" t="n"/>
      <c r="C330" s="234" t="inlineStr">
        <is>
          <t>GROWTH &amp; MARGINS</t>
        </is>
      </c>
    </row>
    <row r="331" customFormat="1" s="233">
      <c r="A331" s="224" t="n"/>
      <c r="B331" s="224" t="n"/>
      <c r="C331" s="233" t="inlineStr">
        <is>
          <t>NET REVENUE GROWTH</t>
        </is>
      </c>
      <c r="E331" s="236">
        <f>E15/D15-1</f>
        <v>0.199112615749225</v>
      </c>
      <c r="F331" s="236">
        <f>F15/E15-1</f>
        <v>0.198840502861369</v>
      </c>
      <c r="G331" s="236">
        <f>G15/F15-1</f>
        <v>0.0496156933301952</v>
      </c>
      <c r="H331" s="236" t="n"/>
      <c r="I331" s="220">
        <f>I15/H15-1</f>
        <v>-0.728784156514776</v>
      </c>
      <c r="J331" s="220">
        <f>J15/I15-1</f>
        <v>0.107685658343984</v>
      </c>
      <c r="K331" s="220">
        <f>K15/J15-1</f>
        <v>0.167756711875735</v>
      </c>
      <c r="L331" s="220">
        <f>L15/K15-1</f>
        <v>0.0211518918307914</v>
      </c>
      <c r="M331" s="236" t="n"/>
      <c r="N331" s="220">
        <f>N15/M15-1</f>
        <v>-0.711606677805726</v>
      </c>
      <c r="O331" s="220">
        <f>O15/N15-1</f>
        <v>0.136108204999807</v>
      </c>
      <c r="P331" s="220">
        <f>P15/O15-1</f>
        <v>0.138628128586969</v>
      </c>
      <c r="Q331" s="220">
        <f>Q15/P15-1</f>
        <v>0.0238802692920568</v>
      </c>
      <c r="R331" s="236" t="n"/>
      <c r="S331" s="220">
        <f>S15/R15-1</f>
        <v>-0.730441415389804</v>
      </c>
      <c r="T331" s="220">
        <f>T15/S15-1</f>
        <v>0.0957061686666916</v>
      </c>
      <c r="U331" s="220">
        <f>U15/T15-1</f>
        <v>0.0786156312680109</v>
      </c>
      <c r="V331" s="220">
        <f>V15/U15-1</f>
        <v>0.0874379947735284</v>
      </c>
      <c r="W331" s="236" t="n"/>
      <c r="X331" s="220">
        <f>X15/W15-1</f>
        <v>-0.724262911672389</v>
      </c>
      <c r="Y331" s="220">
        <f>Y15/X15-1</f>
        <v>0.0347381949457686</v>
      </c>
      <c r="Z331" s="220">
        <f>Z15/Y15-1</f>
        <v>0.0913914859650797</v>
      </c>
      <c r="AA331" s="220">
        <f>AA15/Z15-1</f>
        <v>0.0467695015159426</v>
      </c>
      <c r="AB331" s="236" t="n"/>
      <c r="AC331" s="220">
        <f>AC15/AB15-1</f>
        <v>-0.740339921900374</v>
      </c>
      <c r="AD331" s="220">
        <f>AD15/AC15-1</f>
        <v>0.0538128700385148</v>
      </c>
      <c r="AE331" s="220">
        <f>AE15/AD15-1</f>
        <v>0.22596625519458</v>
      </c>
      <c r="AF331" s="220">
        <f>AF15/AE15-1</f>
        <v>-0.019846203378127</v>
      </c>
      <c r="AG331" s="236" t="n"/>
      <c r="AH331" s="220">
        <f>AH15/AG15-1</f>
        <v>-0.755304715396325</v>
      </c>
      <c r="AI331" s="220">
        <f>AI15/AH15-1</f>
        <v>0.0478810967989645</v>
      </c>
      <c r="AJ331" s="220">
        <f>AJ15/AI15-1</f>
        <v>0.0924720229798424</v>
      </c>
      <c r="AK331" s="220">
        <f>AK15/AJ15-1</f>
        <v>-0.019846203378127</v>
      </c>
      <c r="AL331" s="236" t="n"/>
      <c r="AM331" s="220">
        <f>AM15/AL15-1</f>
        <v>-0.768235417432149</v>
      </c>
      <c r="AN331" s="220">
        <f>AN15/AM15-1</f>
        <v>0.0478810967989645</v>
      </c>
      <c r="AO331" s="220">
        <f>AO15/AN15-1</f>
        <v>0.0924720229798424</v>
      </c>
      <c r="AP331" s="220">
        <f>AP15/AO15-1</f>
        <v>-0.019846203378127</v>
      </c>
      <c r="AQ331" s="236" t="n"/>
      <c r="AR331" s="220">
        <f>AR15/AQ15-1</f>
        <v>-0.768235417432149</v>
      </c>
      <c r="AS331" s="220">
        <f>AS15/AR15-1</f>
        <v>0.0478810967989645</v>
      </c>
      <c r="AT331" s="220">
        <f>AT15/AS15-1</f>
        <v>0.0924720229798424</v>
      </c>
      <c r="AU331" s="220">
        <f>AU15/AT15-1</f>
        <v>-0.019846203378127</v>
      </c>
      <c r="AV331" s="236" t="n"/>
      <c r="AW331" s="220">
        <f>AW15/AV15-1</f>
        <v>-0.768235417432149</v>
      </c>
      <c r="AX331" s="220">
        <f>AX15/AW15-1</f>
        <v>0.0478810967989645</v>
      </c>
      <c r="AY331" s="220">
        <f>AY15/AX15-1</f>
        <v>0.0924720229798424</v>
      </c>
      <c r="AZ331" s="220">
        <f>AZ15/AY15-1</f>
        <v>-0.019846203378127</v>
      </c>
      <c r="BA331" s="236" t="n"/>
      <c r="BB331" s="220">
        <f>BB15/BA15-1</f>
        <v>-0.768235417432149</v>
      </c>
      <c r="BC331" s="220">
        <f>BC15/BB15-1</f>
        <v>0.0478810967989645</v>
      </c>
      <c r="BD331" s="220">
        <f>BD15/BC15-1</f>
        <v>0.0924720229798424</v>
      </c>
      <c r="BE331" s="220">
        <f>BE15/BD15-1</f>
        <v>-0.019846203378127</v>
      </c>
      <c r="BF331" s="236" t="n"/>
      <c r="BG331" s="220">
        <f>BG15/BF15-1</f>
        <v>-0.768235417432149</v>
      </c>
      <c r="BH331" s="220">
        <f>BH15/BG15-1</f>
        <v>0.0478810967989645</v>
      </c>
      <c r="BI331" s="220">
        <f>BI15/BH15-1</f>
        <v>0.0924720229798424</v>
      </c>
      <c r="BJ331" s="220">
        <f>BJ15/BI15-1</f>
        <v>-0.019846203378127</v>
      </c>
      <c r="BK331" s="236" t="n"/>
      <c r="BL331" s="220">
        <f>BL15/BK15-1</f>
        <v>-0.768235417432149</v>
      </c>
      <c r="BM331" s="220">
        <f>BM15/BL15-1</f>
        <v>0.0478810967989645</v>
      </c>
      <c r="BN331" s="220">
        <f>BN15/BM15-1</f>
        <v>0.0924720229798424</v>
      </c>
      <c r="BO331" s="220">
        <f>BO15/BN15-1</f>
        <v>-0.019846203378127</v>
      </c>
      <c r="BP331" s="236" t="n"/>
      <c r="BQ331" s="220">
        <f>BQ15/BP15-1</f>
        <v>-0.768235417432149</v>
      </c>
      <c r="BR331" s="220">
        <f>BR15/BQ15-1</f>
        <v>0.0478810967989645</v>
      </c>
      <c r="BS331" s="220">
        <f>BS15/BR15-1</f>
        <v>0.0924720229798424</v>
      </c>
      <c r="BT331" s="220">
        <f>BT15/BS15-1</f>
        <v>-0.019846203378127</v>
      </c>
      <c r="BU331" s="236" t="n"/>
      <c r="BV331" s="220">
        <f>BV15/BU15-1</f>
        <v>-0.768235417432149</v>
      </c>
      <c r="BW331" s="220">
        <f>BW15/BV15-1</f>
        <v>0.0478810967989645</v>
      </c>
      <c r="BX331" s="220">
        <f>BX15/BW15-1</f>
        <v>0.0924720229798424</v>
      </c>
      <c r="BY331" s="220">
        <f>BY15/BX15-1</f>
        <v>-0.019846203378127</v>
      </c>
      <c r="BZ331" s="236" t="n"/>
      <c r="CA331" s="220">
        <f>CA15/BZ15-1</f>
        <v>-0.768235417432149</v>
      </c>
      <c r="CB331" s="220">
        <f>CB15/CA15-1</f>
        <v>0.0478810967989645</v>
      </c>
      <c r="CC331" s="220">
        <f>CC15/CB15-1</f>
        <v>0.0924720229798424</v>
      </c>
      <c r="CD331" s="220">
        <f>CD15/CC15-1</f>
        <v>-0.019846203378127</v>
      </c>
      <c r="CE331" s="236" t="n"/>
      <c r="CF331" s="220">
        <f>CF15/CE15-1</f>
        <v>-0.768235417432149</v>
      </c>
      <c r="CG331" s="220">
        <f>CG15/CF15-1</f>
        <v>0.0478810967989645</v>
      </c>
      <c r="CH331" s="220">
        <f>CH15/CG15-1</f>
        <v>0.0924720229798424</v>
      </c>
      <c r="CI331" s="220">
        <f>CI15/CH15-1</f>
        <v>-0.019846203378127</v>
      </c>
      <c r="CJ331" s="236" t="n"/>
      <c r="CK331" s="220">
        <f>CK15/CJ15-1</f>
        <v>-0.768235417432149</v>
      </c>
      <c r="CL331" s="220">
        <f>CL15/CK15-1</f>
        <v>0.0478810967989645</v>
      </c>
      <c r="CM331" s="220">
        <f>CM15/CL15-1</f>
        <v>0.0924720229798424</v>
      </c>
      <c r="CN331" s="220">
        <f>CN15/CM15-1</f>
        <v>-0.019846203378127</v>
      </c>
      <c r="CO331" s="236" t="n"/>
      <c r="CP331" s="220">
        <f>CP15/CO15-1</f>
        <v>-0.768235417432149</v>
      </c>
      <c r="CQ331" s="220">
        <f>CQ15/CP15-1</f>
        <v>0.0478810967989645</v>
      </c>
      <c r="CR331" s="220">
        <f>CR15/CQ15-1</f>
        <v>0.0924720229798424</v>
      </c>
      <c r="CS331" s="220">
        <f>CS15/CR15-1</f>
        <v>-0.019846203378127</v>
      </c>
      <c r="CT331" s="236" t="n"/>
      <c r="CU331" s="220">
        <f>CU15/CT15-1</f>
        <v>-0.768235417432149</v>
      </c>
      <c r="CV331" s="220">
        <f>CV15/CU15-1</f>
        <v>0.0478810967989645</v>
      </c>
      <c r="CW331" s="220">
        <f>CW15/CV15-1</f>
        <v>0.0924720229798424</v>
      </c>
      <c r="CX331" s="220">
        <f>CX15/CW15-1</f>
        <v>-0.019846203378127</v>
      </c>
      <c r="CY331" s="236" t="n"/>
    </row>
    <row r="332" customFormat="1" s="233">
      <c r="A332" s="224" t="n"/>
      <c r="B332" s="224" t="n"/>
      <c r="C332" s="233" t="inlineStr">
        <is>
          <t>GROSS MARGIN</t>
        </is>
      </c>
      <c r="D332" s="220">
        <f>SUM(D15,D64)/D15</f>
        <v>0.250504431280552</v>
      </c>
      <c r="E332" s="220">
        <f>SUM(E15,E64)/E15</f>
        <v>0.240197488454664</v>
      </c>
      <c r="F332" s="220">
        <f>SUM(F15,F64)/F15</f>
        <v>0.241858899265886</v>
      </c>
      <c r="G332" s="220">
        <f>SUM(G15,G64)/G15</f>
        <v>0.234994901091655</v>
      </c>
      <c r="I332" s="221">
        <f>SUM(I15,I64)/I15</f>
        <v>0.23855261138936</v>
      </c>
      <c r="J332" s="221">
        <f>SUM(J15,J64)/J15</f>
        <v>0.23162465028917</v>
      </c>
      <c r="K332" s="221">
        <f>SUM(K15,K64)/K15</f>
        <v>0.2386470841836</v>
      </c>
      <c r="L332" s="221">
        <f>SUM(L15,L64)/L15</f>
        <v>0.225125251852531</v>
      </c>
      <c r="N332" s="221">
        <f>SUM(N15,N64)/N15</f>
        <v>0.224014321332398</v>
      </c>
      <c r="O332" s="221">
        <f>SUM(O15,O64)/O15</f>
        <v>0.227328047022014</v>
      </c>
      <c r="P332" s="221">
        <f>SUM(P15,P64)/P15</f>
        <v>0.228620471166348</v>
      </c>
      <c r="Q332" s="221">
        <f>SUM(Q15,Q64)/Q15</f>
        <v>0.216284170838408</v>
      </c>
      <c r="S332" s="221">
        <f>SUM(S15,S64)/S15</f>
        <v>0.220415901989015</v>
      </c>
      <c r="T332" s="221">
        <f>SUM(T15,T64)/T15</f>
        <v>0.224658261207141</v>
      </c>
      <c r="U332" s="221">
        <f>SUM(U15,U64)/U15</f>
        <v>0.225052916908017</v>
      </c>
      <c r="V332" s="221">
        <f>SUM(V15,V64)/V15</f>
        <v>0.224404382385723</v>
      </c>
      <c r="X332" s="221">
        <f>SUM(X15,X64)/X15</f>
        <v>0.223469178063906</v>
      </c>
      <c r="Y332" s="221">
        <f>SUM(Y15,Y64)/Y15</f>
        <v>0.224176110837121</v>
      </c>
      <c r="Z332" s="221">
        <f>SUM(Z15,Z64)/Z15</f>
        <v>0.222824073291091</v>
      </c>
      <c r="AA332" s="221">
        <f>SUM(AA15,AA64)/AA15</f>
        <v>0.218379629051389</v>
      </c>
      <c r="AC332" s="221">
        <f>SUM(AC15,AC64)/AC15</f>
        <v>0.222371285170811</v>
      </c>
      <c r="AD332" s="221">
        <f>SUM(AD15,AD64)/AD15</f>
        <v>0.238465276910022</v>
      </c>
      <c r="AE332" s="221">
        <f>SUM(AE15,AE64)/AE15</f>
        <v>0.21301304459556</v>
      </c>
      <c r="AF332" s="221">
        <f>SUM(AF15,AF64)/AF15</f>
        <v>0.225092189865486</v>
      </c>
      <c r="AH332" s="221">
        <f>SUM(AH15,AH64)/AH15</f>
        <v>0.228722638256506</v>
      </c>
      <c r="AI332" s="221">
        <f>SUM(AI15,AI64)/AI15</f>
        <v>0.234580476898107</v>
      </c>
      <c r="AJ332" s="221">
        <f>SUM(AJ15,AJ64)/AJ15</f>
        <v>0</v>
      </c>
      <c r="AK332" s="221">
        <f>SUM(AK15,AK64)/AK15</f>
        <v>0</v>
      </c>
      <c r="AM332" s="221">
        <f>SUM(AM15,AM64)/AM15</f>
        <v>0</v>
      </c>
      <c r="AN332" s="221">
        <f>SUM(AN15,AN64)/AN15</f>
        <v>0</v>
      </c>
      <c r="AO332" s="221">
        <f>SUM(AO15,AO64)/AO15</f>
        <v>0</v>
      </c>
      <c r="AP332" s="221">
        <f>SUM(AP15,AP64)/AP15</f>
        <v>0</v>
      </c>
      <c r="AR332" s="221">
        <f>SUM(AR15,AR64)/AR15</f>
        <v>0</v>
      </c>
      <c r="AS332" s="221">
        <f>SUM(AS15,AS64)/AS15</f>
        <v>0</v>
      </c>
      <c r="AT332" s="221">
        <f>SUM(AT15,AT64)/AT15</f>
        <v>0</v>
      </c>
      <c r="AU332" s="221">
        <f>SUM(AU15,AU64)/AU15</f>
        <v>0</v>
      </c>
      <c r="AW332" s="221">
        <f>SUM(AW15,AW64)/AW15</f>
        <v>0</v>
      </c>
      <c r="AX332" s="221">
        <f>SUM(AX15,AX64)/AX15</f>
        <v>0</v>
      </c>
      <c r="AY332" s="221">
        <f>SUM(AY15,AY64)/AY15</f>
        <v>0</v>
      </c>
      <c r="AZ332" s="221">
        <f>SUM(AZ15,AZ64)/AZ15</f>
        <v>0</v>
      </c>
      <c r="BB332" s="221">
        <f>SUM(BB15,BB64)/BB15</f>
        <v>0</v>
      </c>
      <c r="BC332" s="221">
        <f>SUM(BC15,BC64)/BC15</f>
        <v>0</v>
      </c>
      <c r="BD332" s="221">
        <f>SUM(BD15,BD64)/BD15</f>
        <v>0</v>
      </c>
      <c r="BE332" s="221">
        <f>SUM(BE15,BE64)/BE15</f>
        <v>0</v>
      </c>
      <c r="BG332" s="221">
        <f>SUM(BG15,BG64)/BG15</f>
        <v>0</v>
      </c>
      <c r="BH332" s="221">
        <f>SUM(BH15,BH64)/BH15</f>
        <v>0</v>
      </c>
      <c r="BI332" s="221">
        <f>SUM(BI15,BI64)/BI15</f>
        <v>0</v>
      </c>
      <c r="BJ332" s="221">
        <f>SUM(BJ15,BJ64)/BJ15</f>
        <v>0</v>
      </c>
      <c r="BL332" s="221">
        <f>SUM(BL15,BL64)/BL15</f>
        <v>0</v>
      </c>
      <c r="BM332" s="221">
        <f>SUM(BM15,BM64)/BM15</f>
        <v>0</v>
      </c>
      <c r="BN332" s="221">
        <f>SUM(BN15,BN64)/BN15</f>
        <v>0</v>
      </c>
      <c r="BO332" s="221">
        <f>SUM(BO15,BO64)/BO15</f>
        <v>0</v>
      </c>
      <c r="BQ332" s="221">
        <f>SUM(BQ15,BQ64)/BQ15</f>
        <v>0</v>
      </c>
      <c r="BR332" s="221">
        <f>SUM(BR15,BR64)/BR15</f>
        <v>0</v>
      </c>
      <c r="BS332" s="221">
        <f>SUM(BS15,BS64)/BS15</f>
        <v>0</v>
      </c>
      <c r="BT332" s="221">
        <f>SUM(BT15,BT64)/BT15</f>
        <v>0</v>
      </c>
      <c r="BV332" s="221">
        <f>SUM(BV15,BV64)/BV15</f>
        <v>0</v>
      </c>
      <c r="BW332" s="221">
        <f>SUM(BW15,BW64)/BW15</f>
        <v>0</v>
      </c>
      <c r="BX332" s="221">
        <f>SUM(BX15,BX64)/BX15</f>
        <v>0</v>
      </c>
      <c r="BY332" s="221">
        <f>SUM(BY15,BY64)/BY15</f>
        <v>0</v>
      </c>
      <c r="CA332" s="221">
        <f>SUM(CA15,CA64)/CA15</f>
        <v>0</v>
      </c>
      <c r="CB332" s="221">
        <f>SUM(CB15,CB64)/CB15</f>
        <v>0</v>
      </c>
      <c r="CC332" s="221">
        <f>SUM(CC15,CC64)/CC15</f>
        <v>0</v>
      </c>
      <c r="CD332" s="221">
        <f>SUM(CD15,CD64)/CD15</f>
        <v>0</v>
      </c>
      <c r="CF332" s="221">
        <f>SUM(CF15,CF64)/CF15</f>
        <v>0</v>
      </c>
      <c r="CG332" s="221">
        <f>SUM(CG15,CG64)/CG15</f>
        <v>0</v>
      </c>
      <c r="CH332" s="221">
        <f>SUM(CH15,CH64)/CH15</f>
        <v>0</v>
      </c>
      <c r="CI332" s="221">
        <f>SUM(CI15,CI64)/CI15</f>
        <v>0</v>
      </c>
      <c r="CK332" s="221">
        <f>SUM(CK15,CK64)/CK15</f>
        <v>0</v>
      </c>
      <c r="CL332" s="221">
        <f>SUM(CL15,CL64)/CL15</f>
        <v>0</v>
      </c>
      <c r="CM332" s="221">
        <f>SUM(CM15,CM64)/CM15</f>
        <v>0</v>
      </c>
      <c r="CN332" s="221">
        <f>SUM(CN15,CN64)/CN15</f>
        <v>0</v>
      </c>
      <c r="CP332" s="221">
        <f>SUM(CP15,CP64)/CP15</f>
        <v>0</v>
      </c>
      <c r="CQ332" s="221">
        <f>SUM(CQ15,CQ64)/CQ15</f>
        <v>0</v>
      </c>
      <c r="CR332" s="221">
        <f>SUM(CR15,CR64)/CR15</f>
        <v>0</v>
      </c>
      <c r="CS332" s="221">
        <f>SUM(CS15,CS64)/CS15</f>
        <v>0</v>
      </c>
      <c r="CU332" s="221">
        <f>SUM(CU15,CU64)/CU15</f>
        <v>0</v>
      </c>
      <c r="CV332" s="221">
        <f>SUM(CV15,CV64)/CV15</f>
        <v>0</v>
      </c>
      <c r="CW332" s="221">
        <f>SUM(CW15,CW64)/CW15</f>
        <v>0</v>
      </c>
      <c r="CX332" s="221">
        <f>SUM(CX15,CX64)/CX15</f>
        <v>0</v>
      </c>
    </row>
    <row r="333" customFormat="1" s="233">
      <c r="A333" s="224" t="n"/>
      <c r="B333" s="224" t="n"/>
      <c r="C333" s="233" t="inlineStr">
        <is>
          <t>EBIT MARGIN</t>
        </is>
      </c>
      <c r="D333" s="236">
        <f>(D83/D15)</f>
        <v>0.0579040282696795</v>
      </c>
      <c r="E333" s="236">
        <f>(E83/E15)</f>
        <v>0.0828900041601326</v>
      </c>
      <c r="F333" s="236">
        <f>(F83/F15)</f>
        <v>0.0796890066709693</v>
      </c>
      <c r="G333" s="236">
        <f>(G83/G15)</f>
        <v>0.0590623179207448</v>
      </c>
      <c r="I333" s="222">
        <f>(I83/I15)</f>
        <v>0.0539814533849403</v>
      </c>
      <c r="J333" s="222">
        <f>(J83/J15)</f>
        <v>0.0577494789629863</v>
      </c>
      <c r="K333" s="222">
        <f>(K83/K15)</f>
        <v>0.0598108814991521</v>
      </c>
      <c r="L333" s="222">
        <f>(L83/L15)</f>
        <v>0.0584230543950678</v>
      </c>
      <c r="N333" s="222">
        <f>(N83/N15)</f>
        <v>0.0501897824346974</v>
      </c>
      <c r="O333" s="222">
        <f>(O83/O15)</f>
        <v>0.062679524454973</v>
      </c>
      <c r="P333" s="222">
        <f>(P83/P15)</f>
        <v>0.0655383107346436</v>
      </c>
      <c r="Q333" s="222">
        <f>(Q83/Q15)</f>
        <v>0.0694567819893839</v>
      </c>
      <c r="S333" s="222">
        <f>(S83/S15)</f>
        <v>0.0533396529610072</v>
      </c>
      <c r="T333" s="222">
        <f>(T83/T15)</f>
        <v>0.0643256553570805</v>
      </c>
      <c r="U333" s="222">
        <f>(U83/U15)</f>
        <v>0.0597018368897504</v>
      </c>
      <c r="V333" s="222">
        <f>(V83/V15)</f>
        <v>0.0718726307143254</v>
      </c>
      <c r="X333" s="222">
        <f>(X83/X15)</f>
        <v>0.0549209127466861</v>
      </c>
      <c r="Y333" s="222">
        <f>(Y83/Y15)</f>
        <v>0.0598779790423138</v>
      </c>
      <c r="Z333" s="222">
        <f>(Z83/Z15)</f>
        <v>0.0663016937511642</v>
      </c>
      <c r="AA333" s="222">
        <f>(AA83/AA15)</f>
        <v>0.0619728343503141</v>
      </c>
      <c r="AC333" s="222">
        <f>(AC83/AC15)</f>
        <v>0.0576906018925006</v>
      </c>
      <c r="AD333" s="222">
        <f>(AD83/AD15)</f>
        <v>0.0754471370488827</v>
      </c>
      <c r="AE333" s="222">
        <f>(AE83/AE15)</f>
        <v>0.0623453923793458</v>
      </c>
      <c r="AF333" s="222">
        <f>(AF83/AF15)</f>
        <v>0.0429818317777969</v>
      </c>
      <c r="AH333" s="222">
        <f>(AH83/AH15)</f>
        <v>0.0409043773471726</v>
      </c>
      <c r="AI333" s="222">
        <f>(AI83/AI15)</f>
        <v>0.0511463075063173</v>
      </c>
      <c r="AJ333" s="222">
        <f>(AJ83/AJ15)</f>
        <v>0</v>
      </c>
      <c r="AK333" s="222">
        <f>(AK83/AK15)</f>
        <v>0</v>
      </c>
      <c r="AM333" s="222">
        <f>(AM83/AM15)</f>
        <v>0</v>
      </c>
      <c r="AN333" s="222">
        <f>(AN83/AN15)</f>
        <v>0</v>
      </c>
      <c r="AO333" s="222">
        <f>(AO83/AO15)</f>
        <v>0</v>
      </c>
      <c r="AP333" s="222">
        <f>(AP83/AP15)</f>
        <v>0</v>
      </c>
      <c r="AR333" s="222">
        <f>(AR83/AR15)</f>
        <v>0</v>
      </c>
      <c r="AS333" s="222">
        <f>(AS83/AS15)</f>
        <v>0</v>
      </c>
      <c r="AT333" s="222">
        <f>(AT83/AT15)</f>
        <v>0</v>
      </c>
      <c r="AU333" s="222">
        <f>(AU83/AU15)</f>
        <v>0</v>
      </c>
      <c r="AW333" s="222">
        <f>(AW83/AW15)</f>
        <v>0</v>
      </c>
      <c r="AX333" s="222">
        <f>(AX83/AX15)</f>
        <v>0</v>
      </c>
      <c r="AY333" s="222">
        <f>(AY83/AY15)</f>
        <v>0</v>
      </c>
      <c r="AZ333" s="222">
        <f>(AZ83/AZ15)</f>
        <v>0</v>
      </c>
      <c r="BB333" s="222">
        <f>(BB83/BB15)</f>
        <v>0</v>
      </c>
      <c r="BC333" s="222">
        <f>(BC83/BC15)</f>
        <v>0</v>
      </c>
      <c r="BD333" s="222">
        <f>(BD83/BD15)</f>
        <v>0</v>
      </c>
      <c r="BE333" s="222">
        <f>(BE83/BE15)</f>
        <v>0</v>
      </c>
      <c r="BG333" s="222">
        <f>(BG83/BG15)</f>
        <v>0</v>
      </c>
      <c r="BH333" s="222">
        <f>(BH83/BH15)</f>
        <v>0</v>
      </c>
      <c r="BI333" s="222">
        <f>(BI83/BI15)</f>
        <v>0</v>
      </c>
      <c r="BJ333" s="222">
        <f>(BJ83/BJ15)</f>
        <v>0</v>
      </c>
      <c r="BL333" s="222">
        <f>(BL83/BL15)</f>
        <v>0</v>
      </c>
      <c r="BM333" s="222">
        <f>(BM83/BM15)</f>
        <v>0</v>
      </c>
      <c r="BN333" s="222">
        <f>(BN83/BN15)</f>
        <v>0</v>
      </c>
      <c r="BO333" s="222">
        <f>(BO83/BO15)</f>
        <v>0</v>
      </c>
      <c r="BQ333" s="222">
        <f>(BQ83/BQ15)</f>
        <v>0</v>
      </c>
      <c r="BR333" s="222">
        <f>(BR83/BR15)</f>
        <v>0</v>
      </c>
      <c r="BS333" s="222">
        <f>(BS83/BS15)</f>
        <v>0</v>
      </c>
      <c r="BT333" s="222">
        <f>(BT83/BT15)</f>
        <v>0</v>
      </c>
      <c r="BV333" s="222">
        <f>(BV83/BV15)</f>
        <v>0</v>
      </c>
      <c r="BW333" s="222">
        <f>(BW83/BW15)</f>
        <v>0</v>
      </c>
      <c r="BX333" s="222">
        <f>(BX83/BX15)</f>
        <v>0</v>
      </c>
      <c r="BY333" s="222">
        <f>(BY83/BY15)</f>
        <v>0</v>
      </c>
      <c r="CA333" s="222">
        <f>(CA83/CA15)</f>
        <v>0</v>
      </c>
      <c r="CB333" s="222">
        <f>(CB83/CB15)</f>
        <v>0</v>
      </c>
      <c r="CC333" s="222">
        <f>(CC83/CC15)</f>
        <v>0</v>
      </c>
      <c r="CD333" s="222">
        <f>(CD83/CD15)</f>
        <v>0</v>
      </c>
      <c r="CF333" s="222">
        <f>(CF83/CF15)</f>
        <v>0</v>
      </c>
      <c r="CG333" s="222">
        <f>(CG83/CG15)</f>
        <v>0</v>
      </c>
      <c r="CH333" s="222">
        <f>(CH83/CH15)</f>
        <v>0</v>
      </c>
      <c r="CI333" s="222">
        <f>(CI83/CI15)</f>
        <v>0</v>
      </c>
      <c r="CK333" s="222">
        <f>(CK83/CK15)</f>
        <v>0</v>
      </c>
      <c r="CL333" s="222">
        <f>(CL83/CL15)</f>
        <v>0</v>
      </c>
      <c r="CM333" s="222">
        <f>(CM83/CM15)</f>
        <v>0</v>
      </c>
      <c r="CN333" s="222">
        <f>(CN83/CN15)</f>
        <v>0</v>
      </c>
      <c r="CP333" s="222">
        <f>(CP83/CP15)</f>
        <v>0</v>
      </c>
      <c r="CQ333" s="222">
        <f>(CQ83/CQ15)</f>
        <v>0</v>
      </c>
      <c r="CR333" s="222">
        <f>(CR83/CR15)</f>
        <v>0</v>
      </c>
      <c r="CS333" s="222">
        <f>(CS83/CS15)</f>
        <v>0</v>
      </c>
      <c r="CU333" s="222">
        <f>(CU83/CU15)</f>
        <v>0</v>
      </c>
      <c r="CV333" s="222">
        <f>(CV83/CV15)</f>
        <v>0</v>
      </c>
      <c r="CW333" s="222">
        <f>(CW83/CW15)</f>
        <v>0</v>
      </c>
      <c r="CX333" s="222">
        <f>(CX83/CX15)</f>
        <v>0</v>
      </c>
    </row>
    <row r="334" customFormat="1" s="233">
      <c r="A334" s="224" t="n"/>
      <c r="B334" s="224" t="n"/>
      <c r="C334" s="233" t="inlineStr">
        <is>
          <t>EBITDA MARTGIN</t>
        </is>
      </c>
      <c r="D334" s="236">
        <f>D79/D15</f>
        <v>0.0743250865708641</v>
      </c>
      <c r="E334" s="236">
        <f>E79/E15</f>
        <v>0.101508189573185</v>
      </c>
      <c r="F334" s="236">
        <f>F79/F15</f>
        <v>0.0920832804758184</v>
      </c>
      <c r="G334" s="236">
        <f>G79/G15</f>
        <v>0.0710794964624838</v>
      </c>
      <c r="I334" s="222">
        <f>I79/I15</f>
        <v>0.0711510878542349</v>
      </c>
      <c r="J334" s="222">
        <f>J79/J15</f>
        <v>0.0748620334464689</v>
      </c>
      <c r="K334" s="222">
        <f>K79/K15</f>
        <v>0.0763470813094588</v>
      </c>
      <c r="L334" s="222">
        <f>L79/L15</f>
        <v>0.0735239843309959</v>
      </c>
      <c r="N334" s="222">
        <f>N79/N15</f>
        <v>0.0659570844916532</v>
      </c>
      <c r="O334" s="222">
        <f>O79/O15</f>
        <v>0.0787752909012304</v>
      </c>
      <c r="P334" s="222">
        <f>P79/P15</f>
        <v>0.0797571419575222</v>
      </c>
      <c r="Q334" s="222">
        <f>Q79/Q15</f>
        <v>0.0841357943159234</v>
      </c>
      <c r="S334" s="222">
        <f>S79/S15</f>
        <v>0.0700409155585431</v>
      </c>
      <c r="T334" s="222">
        <f>T79/T15</f>
        <v>0.0786573143175675</v>
      </c>
      <c r="U334" s="222">
        <f>U79/U15</f>
        <v>0.073909336346486</v>
      </c>
      <c r="V334" s="222">
        <f>V79/V15</f>
        <v>0.0804544342017257</v>
      </c>
      <c r="X334" s="222">
        <f>X79/X15</f>
        <v>0.0690856829150808</v>
      </c>
      <c r="Y334" s="222">
        <f>Y79/Y15</f>
        <v>0.0710456508329943</v>
      </c>
      <c r="Z334" s="222">
        <f>Z79/Z15</f>
        <v>0.0777558555734955</v>
      </c>
      <c r="AA334" s="222">
        <f>AA79/AA15</f>
        <v>0.0724428974660986</v>
      </c>
      <c r="AC334" s="222">
        <f>AC79/AC15</f>
        <v>0.0703289580683938</v>
      </c>
      <c r="AD334" s="222">
        <f>AD79/AD15</f>
        <v>0.0883284221522307</v>
      </c>
      <c r="AE334" s="222">
        <f>AE79/AE15</f>
        <v>0.0774115351290625</v>
      </c>
      <c r="AF334" s="222">
        <f>AF79/AF15</f>
        <v>0.0580572029905247</v>
      </c>
      <c r="AH334" s="222">
        <f>AH79/AH15</f>
        <v>0.0577566906715081</v>
      </c>
      <c r="AI334" s="222">
        <f>AI79/AI15</f>
        <v>0.0691813953894361</v>
      </c>
      <c r="AJ334" s="222">
        <f>AJ79/AJ15</f>
        <v>0</v>
      </c>
      <c r="AK334" s="222">
        <f>AK79/AK15</f>
        <v>0</v>
      </c>
      <c r="AM334" s="222">
        <f>AM79/AM15</f>
        <v>0</v>
      </c>
      <c r="AN334" s="222">
        <f>AN79/AN15</f>
        <v>0</v>
      </c>
      <c r="AO334" s="222">
        <f>AO79/AO15</f>
        <v>0</v>
      </c>
      <c r="AP334" s="222">
        <f>AP79/AP15</f>
        <v>0</v>
      </c>
      <c r="AR334" s="222">
        <f>AR79/AR15</f>
        <v>0</v>
      </c>
      <c r="AS334" s="222">
        <f>AS79/AS15</f>
        <v>0</v>
      </c>
      <c r="AT334" s="222">
        <f>AT79/AT15</f>
        <v>0</v>
      </c>
      <c r="AU334" s="222">
        <f>AU79/AU15</f>
        <v>0</v>
      </c>
      <c r="AW334" s="222">
        <f>AW79/AW15</f>
        <v>0</v>
      </c>
      <c r="AX334" s="222">
        <f>AX79/AX15</f>
        <v>0</v>
      </c>
      <c r="AY334" s="222">
        <f>AY79/AY15</f>
        <v>0</v>
      </c>
      <c r="AZ334" s="222">
        <f>AZ79/AZ15</f>
        <v>0</v>
      </c>
      <c r="BB334" s="222">
        <f>BB79/BB15</f>
        <v>0</v>
      </c>
      <c r="BC334" s="222">
        <f>BC79/BC15</f>
        <v>0</v>
      </c>
      <c r="BD334" s="222">
        <f>BD79/BD15</f>
        <v>0</v>
      </c>
      <c r="BE334" s="222">
        <f>BE79/BE15</f>
        <v>0</v>
      </c>
      <c r="BG334" s="222">
        <f>BG79/BG15</f>
        <v>0</v>
      </c>
      <c r="BH334" s="222">
        <f>BH79/BH15</f>
        <v>0</v>
      </c>
      <c r="BI334" s="222">
        <f>BI79/BI15</f>
        <v>0</v>
      </c>
      <c r="BJ334" s="222">
        <f>BJ79/BJ15</f>
        <v>0</v>
      </c>
      <c r="BL334" s="222">
        <f>BL79/BL15</f>
        <v>0</v>
      </c>
      <c r="BM334" s="222">
        <f>BM79/BM15</f>
        <v>0</v>
      </c>
      <c r="BN334" s="222">
        <f>BN79/BN15</f>
        <v>0</v>
      </c>
      <c r="BO334" s="222">
        <f>BO79/BO15</f>
        <v>0</v>
      </c>
      <c r="BQ334" s="222">
        <f>BQ79/BQ15</f>
        <v>0</v>
      </c>
      <c r="BR334" s="222">
        <f>BR79/BR15</f>
        <v>0</v>
      </c>
      <c r="BS334" s="222">
        <f>BS79/BS15</f>
        <v>0</v>
      </c>
      <c r="BT334" s="222">
        <f>BT79/BT15</f>
        <v>0</v>
      </c>
      <c r="BV334" s="222">
        <f>BV79/BV15</f>
        <v>0</v>
      </c>
      <c r="BW334" s="222">
        <f>BW79/BW15</f>
        <v>0</v>
      </c>
      <c r="BX334" s="222">
        <f>BX79/BX15</f>
        <v>0</v>
      </c>
      <c r="BY334" s="222">
        <f>BY79/BY15</f>
        <v>0</v>
      </c>
      <c r="CA334" s="222">
        <f>CA79/CA15</f>
        <v>0</v>
      </c>
      <c r="CB334" s="222">
        <f>CB79/CB15</f>
        <v>0</v>
      </c>
      <c r="CC334" s="222">
        <f>CC79/CC15</f>
        <v>0</v>
      </c>
      <c r="CD334" s="222">
        <f>CD79/CD15</f>
        <v>0</v>
      </c>
      <c r="CF334" s="222">
        <f>CF79/CF15</f>
        <v>0</v>
      </c>
      <c r="CG334" s="222">
        <f>CG79/CG15</f>
        <v>0</v>
      </c>
      <c r="CH334" s="222">
        <f>CH79/CH15</f>
        <v>0</v>
      </c>
      <c r="CI334" s="222">
        <f>CI79/CI15</f>
        <v>0</v>
      </c>
      <c r="CK334" s="222">
        <f>CK79/CK15</f>
        <v>0</v>
      </c>
      <c r="CL334" s="222">
        <f>CL79/CL15</f>
        <v>0</v>
      </c>
      <c r="CM334" s="222">
        <f>CM79/CM15</f>
        <v>0</v>
      </c>
      <c r="CN334" s="222">
        <f>CN79/CN15</f>
        <v>0</v>
      </c>
      <c r="CP334" s="222">
        <f>CP79/CP15</f>
        <v>0</v>
      </c>
      <c r="CQ334" s="222">
        <f>CQ79/CQ15</f>
        <v>0</v>
      </c>
      <c r="CR334" s="222">
        <f>CR79/CR15</f>
        <v>0</v>
      </c>
      <c r="CS334" s="222">
        <f>CS79/CS15</f>
        <v>0</v>
      </c>
      <c r="CU334" s="222">
        <f>CU79/CU15</f>
        <v>0</v>
      </c>
      <c r="CV334" s="222">
        <f>CV79/CV15</f>
        <v>0</v>
      </c>
      <c r="CW334" s="222">
        <f>CW79/CW15</f>
        <v>0</v>
      </c>
      <c r="CX334" s="222">
        <f>CX79/CX15</f>
        <v>0</v>
      </c>
    </row>
    <row r="335" customFormat="1" s="233">
      <c r="A335" s="224" t="n"/>
      <c r="B335" s="224" t="n"/>
      <c r="C335" s="233" t="inlineStr">
        <is>
          <t>ETR</t>
        </is>
      </c>
      <c r="D335" s="236">
        <f>-D141/D140</f>
        <v>0</v>
      </c>
      <c r="E335" s="236">
        <f>-E141/E140</f>
        <v>0</v>
      </c>
      <c r="F335" s="236">
        <f>-F141/F140</f>
        <v>0.00525088981583041</v>
      </c>
      <c r="G335" s="236">
        <f>-G141/G140</f>
        <v>-0.0156103142378645</v>
      </c>
      <c r="I335" s="222">
        <f>-I141/I140</f>
        <v>0</v>
      </c>
      <c r="J335" s="222">
        <f>-J141/J140</f>
        <v>0</v>
      </c>
      <c r="K335" s="222">
        <f>-K141/K140</f>
        <v>0</v>
      </c>
      <c r="L335" s="222">
        <f>-L141/L140</f>
        <v>0.0826964598653453</v>
      </c>
      <c r="N335" s="222">
        <f>-N141/N140</f>
        <v>0.00759424930568066</v>
      </c>
      <c r="O335" s="222">
        <f>-O141/O140</f>
        <v>0.0126132216476614</v>
      </c>
      <c r="P335" s="222">
        <f>-P141/P140</f>
        <v>0.0219404430456361</v>
      </c>
      <c r="Q335" s="222">
        <f>-Q141/Q140</f>
        <v>0.0374854991188644</v>
      </c>
      <c r="S335" s="222">
        <f>-S141/S140</f>
        <v>0.00225198348521789</v>
      </c>
      <c r="T335" s="222">
        <f>-T141/T140</f>
        <v>0.0524793682183319</v>
      </c>
      <c r="U335" s="222">
        <f>-U141/U140</f>
        <v>0.00121982291865724</v>
      </c>
      <c r="V335" s="222">
        <f>-V141/V140</f>
        <v>0.061617139855341</v>
      </c>
      <c r="X335" s="222">
        <f>-X141/X140</f>
        <v>0.118675404465267</v>
      </c>
      <c r="Y335" s="222">
        <f>-Y141/Y140</f>
        <v>0.0102521368749092</v>
      </c>
      <c r="Z335" s="222">
        <f>-Z141/Z140</f>
        <v>0.118321226395193</v>
      </c>
      <c r="AA335" s="222">
        <f>-AA141/AA140</f>
        <v>0.145083432098367</v>
      </c>
      <c r="AC335" s="222">
        <f>-AC141/AC140</f>
        <v>0.0770412679325952</v>
      </c>
      <c r="AD335" s="222">
        <f>-AD141/AD140</f>
        <v>0.126980994500351</v>
      </c>
      <c r="AE335" s="222">
        <f>-AE141/AE140</f>
        <v>-0.870846482272138</v>
      </c>
      <c r="AF335" s="222">
        <f>-AF141/AF140</f>
        <v>-1.33789845390313</v>
      </c>
      <c r="AH335" s="222">
        <f>-AH141/AH140</f>
        <v>-0.175208361545753</v>
      </c>
      <c r="AI335" s="222">
        <f>-AI141/AI140</f>
        <v>0.0571781512670537</v>
      </c>
      <c r="AJ335" s="222">
        <f>-AJ141/AJ140</f>
        <v>0</v>
      </c>
      <c r="AK335" s="222">
        <f>-AK141/AK140</f>
        <v>0</v>
      </c>
      <c r="AM335" s="222">
        <f>-AM141/AM140</f>
        <v>0</v>
      </c>
      <c r="AN335" s="222">
        <f>-AN141/AN140</f>
        <v>0</v>
      </c>
      <c r="AO335" s="222">
        <f>-AO141/AO140</f>
        <v>0</v>
      </c>
      <c r="AP335" s="222">
        <f>-AP141/AP140</f>
        <v>0</v>
      </c>
      <c r="AR335" s="222">
        <f>-AR141/AR140</f>
        <v>0</v>
      </c>
      <c r="AS335" s="222">
        <f>-AS141/AS140</f>
        <v>0</v>
      </c>
      <c r="AT335" s="222">
        <f>-AT141/AT140</f>
        <v>0</v>
      </c>
      <c r="AU335" s="222">
        <f>-AU141/AU140</f>
        <v>0</v>
      </c>
      <c r="AW335" s="222">
        <f>-AW141/AW140</f>
        <v>0</v>
      </c>
      <c r="AX335" s="222">
        <f>-AX141/AX140</f>
        <v>0</v>
      </c>
      <c r="AY335" s="222">
        <f>-AY141/AY140</f>
        <v>0</v>
      </c>
      <c r="AZ335" s="222">
        <f>-AZ141/AZ140</f>
        <v>0</v>
      </c>
      <c r="BB335" s="222">
        <f>-BB141/BB140</f>
        <v>0</v>
      </c>
      <c r="BC335" s="222">
        <f>-BC141/BC140</f>
        <v>0</v>
      </c>
      <c r="BD335" s="222">
        <f>-BD141/BD140</f>
        <v>0</v>
      </c>
      <c r="BE335" s="222">
        <f>-BE141/BE140</f>
        <v>0</v>
      </c>
      <c r="BG335" s="222">
        <f>-BG141/BG140</f>
        <v>0</v>
      </c>
      <c r="BH335" s="222">
        <f>-BH141/BH140</f>
        <v>0</v>
      </c>
      <c r="BI335" s="222">
        <f>-BI141/BI140</f>
        <v>0</v>
      </c>
      <c r="BJ335" s="222">
        <f>-BJ141/BJ140</f>
        <v>0</v>
      </c>
      <c r="BL335" s="222">
        <f>-BL141/BL140</f>
        <v>0</v>
      </c>
      <c r="BM335" s="222">
        <f>-BM141/BM140</f>
        <v>0</v>
      </c>
      <c r="BN335" s="222">
        <f>-BN141/BN140</f>
        <v>0</v>
      </c>
      <c r="BO335" s="222">
        <f>-BO141/BO140</f>
        <v>0</v>
      </c>
      <c r="BQ335" s="222">
        <f>-BQ141/BQ140</f>
        <v>0</v>
      </c>
      <c r="BR335" s="222">
        <f>-BR141/BR140</f>
        <v>0</v>
      </c>
      <c r="BS335" s="222">
        <f>-BS141/BS140</f>
        <v>0</v>
      </c>
      <c r="BT335" s="222">
        <f>-BT141/BT140</f>
        <v>0</v>
      </c>
      <c r="BV335" s="222">
        <f>-BV141/BV140</f>
        <v>0</v>
      </c>
      <c r="BW335" s="222">
        <f>-BW141/BW140</f>
        <v>0</v>
      </c>
      <c r="BX335" s="222">
        <f>-BX141/BX140</f>
        <v>0</v>
      </c>
      <c r="BY335" s="222">
        <f>-BY141/BY140</f>
        <v>0</v>
      </c>
      <c r="CA335" s="222">
        <f>-CA141/CA140</f>
        <v>0</v>
      </c>
      <c r="CB335" s="222">
        <f>-CB141/CB140</f>
        <v>0</v>
      </c>
      <c r="CC335" s="222">
        <f>-CC141/CC140</f>
        <v>0</v>
      </c>
      <c r="CD335" s="222">
        <f>-CD141/CD140</f>
        <v>0</v>
      </c>
      <c r="CF335" s="222">
        <f>-CF141/CF140</f>
        <v>0</v>
      </c>
      <c r="CG335" s="222">
        <f>-CG141/CG140</f>
        <v>0</v>
      </c>
      <c r="CH335" s="222">
        <f>-CH141/CH140</f>
        <v>0</v>
      </c>
      <c r="CI335" s="222">
        <f>-CI141/CI140</f>
        <v>0</v>
      </c>
      <c r="CK335" s="222">
        <f>-CK141/CK140</f>
        <v>0</v>
      </c>
      <c r="CL335" s="222">
        <f>-CL141/CL140</f>
        <v>0</v>
      </c>
      <c r="CM335" s="222">
        <f>-CM141/CM140</f>
        <v>0</v>
      </c>
      <c r="CN335" s="222">
        <f>-CN141/CN140</f>
        <v>0</v>
      </c>
      <c r="CP335" s="222">
        <f>-CP141/CP140</f>
        <v>0</v>
      </c>
      <c r="CQ335" s="222">
        <f>-CQ141/CQ140</f>
        <v>0</v>
      </c>
      <c r="CR335" s="222">
        <f>-CR141/CR140</f>
        <v>0</v>
      </c>
      <c r="CS335" s="222">
        <f>-CS141/CS140</f>
        <v>0</v>
      </c>
      <c r="CU335" s="222">
        <f>-CU141/CU140</f>
        <v>0</v>
      </c>
      <c r="CV335" s="222">
        <f>-CV141/CV140</f>
        <v>0</v>
      </c>
      <c r="CW335" s="222">
        <f>-CW141/CW140</f>
        <v>0</v>
      </c>
      <c r="CX335" s="222">
        <f>-CX141/CX140</f>
        <v>0</v>
      </c>
    </row>
    <row r="336" customFormat="1" s="233">
      <c r="A336" s="224" t="n"/>
      <c r="B336" s="224" t="n"/>
    </row>
    <row r="337" customFormat="1" s="233">
      <c r="A337" s="224" t="n"/>
      <c r="B337" s="224" t="n"/>
      <c r="C337" s="234" t="inlineStr">
        <is>
          <t>CAPITAL STRUCTURE</t>
        </is>
      </c>
    </row>
    <row r="338" customFormat="1" s="233">
      <c r="A338" s="224" t="n"/>
      <c r="B338" s="224" t="n"/>
      <c r="C338" s="233" t="inlineStr">
        <is>
          <t>MARKET DEBT / EQUITY</t>
        </is>
      </c>
    </row>
    <row r="339" customFormat="1" s="233">
      <c r="A339" s="224" t="n"/>
      <c r="B339" s="224" t="n"/>
      <c r="C339" s="233" t="inlineStr">
        <is>
          <t>NET DEBT / (NET DEBT + MARKET CAP)</t>
        </is>
      </c>
    </row>
    <row r="340" customFormat="1" s="233">
      <c r="A340" s="224" t="n"/>
      <c r="B340" s="224" t="n"/>
    </row>
    <row r="341" customFormat="1" s="233">
      <c r="A341" s="224" t="n"/>
      <c r="B341" s="224" t="n"/>
      <c r="C341" s="234" t="inlineStr">
        <is>
          <t>FINANCIAL RISK RATIOS</t>
        </is>
      </c>
    </row>
    <row r="342" customFormat="1" s="233">
      <c r="A342" s="224" t="n"/>
      <c r="B342" s="224" t="n"/>
      <c r="C342" s="233" t="inlineStr">
        <is>
          <t>EBITDA / TOTAL INTEREST</t>
        </is>
      </c>
      <c r="D342" s="219">
        <f>D79/-D84</f>
        <v>3.30618737129423</v>
      </c>
      <c r="E342" s="219">
        <f>E79/-E84</f>
        <v>4.65127563623333</v>
      </c>
      <c r="F342" s="219">
        <f>F79/-F84</f>
        <v>5.537778941154</v>
      </c>
      <c r="G342" s="219">
        <f>G79/-G84</f>
        <v>4.80100709314209</v>
      </c>
      <c r="I342" s="219">
        <f>I79/-I84</f>
        <v>4.74003146938773</v>
      </c>
      <c r="J342" s="219">
        <f>J79/-J84</f>
        <v>4.95965191031026</v>
      </c>
      <c r="K342" s="219">
        <f>K79/-K84</f>
        <v>3.64038328710353</v>
      </c>
      <c r="L342" s="219">
        <f>L79/-L84</f>
        <v>4.53619094800147</v>
      </c>
      <c r="N342" s="219">
        <f>N79/-N84</f>
        <v>4.12470907072032</v>
      </c>
      <c r="O342" s="219">
        <f>O79/-O84</f>
        <v>4.32440379375179</v>
      </c>
      <c r="P342" s="219">
        <f>P79/-P84</f>
        <v>3.42516168324585</v>
      </c>
      <c r="Q342" s="219">
        <f>Q79/-Q84</f>
        <v>3.29761957012773</v>
      </c>
      <c r="S342" s="219">
        <f>S79/-S84</f>
        <v>3.02288664004119</v>
      </c>
      <c r="T342" s="219">
        <f>T79/-T84</f>
        <v>3.03048915681421</v>
      </c>
      <c r="U342" s="219">
        <f>U79/-U84</f>
        <v>3.12719108253052</v>
      </c>
      <c r="V342" s="219">
        <f>V79/-V84</f>
        <v>3.35994113291763</v>
      </c>
      <c r="X342" s="219">
        <f>X79/-X84</f>
        <v>2.7230032347488</v>
      </c>
      <c r="Y342" s="219">
        <f>Y79/-Y84</f>
        <v>2.73808487212793</v>
      </c>
      <c r="Z342" s="219">
        <f>Z79/-Z84</f>
        <v>3.10481823842138</v>
      </c>
      <c r="AA342" s="219">
        <f>AA79/-AA84</f>
        <v>2.58090649897369</v>
      </c>
      <c r="AC342" s="219">
        <f>AC79/-AC84</f>
        <v>2.33803255270162</v>
      </c>
      <c r="AD342" s="219">
        <f>AD79/-AD84</f>
        <v>2.89568846908143</v>
      </c>
      <c r="AE342" s="219">
        <f>AE79/-AE84</f>
        <v>2.72618171229269</v>
      </c>
      <c r="AF342" s="219">
        <f>AF79/-AF84</f>
        <v>1.5178750210645</v>
      </c>
      <c r="AH342" s="219">
        <f>AH79/-AH84</f>
        <v>1.75157968074161</v>
      </c>
      <c r="AI342" s="219">
        <f>AI79/-AI84</f>
        <v>2.0161533159998</v>
      </c>
      <c r="AJ342" s="219" t="e">
        <f>AJ79/-AJ84</f>
        <v>#DIV/0!</v>
      </c>
      <c r="AK342" s="219" t="e">
        <f>AK79/-AK84</f>
        <v>#DIV/0!</v>
      </c>
      <c r="AM342" s="219" t="e">
        <f>AM79/-AM84</f>
        <v>#DIV/0!</v>
      </c>
      <c r="AN342" s="219" t="e">
        <f>AN79/-AN84</f>
        <v>#DIV/0!</v>
      </c>
      <c r="AO342" s="219" t="e">
        <f>AO79/-AO84</f>
        <v>#DIV/0!</v>
      </c>
      <c r="AP342" s="219" t="e">
        <f>AP79/-AP84</f>
        <v>#DIV/0!</v>
      </c>
      <c r="AR342" s="219" t="e">
        <f>AR79/-AR84</f>
        <v>#DIV/0!</v>
      </c>
      <c r="AS342" s="219" t="e">
        <f>AS79/-AS84</f>
        <v>#DIV/0!</v>
      </c>
      <c r="AT342" s="219" t="e">
        <f>AT79/-AT84</f>
        <v>#DIV/0!</v>
      </c>
      <c r="AU342" s="219" t="e">
        <f>AU79/-AU84</f>
        <v>#DIV/0!</v>
      </c>
      <c r="AW342" s="219" t="e">
        <f>AW79/-AW84</f>
        <v>#DIV/0!</v>
      </c>
      <c r="AX342" s="219" t="e">
        <f>AX79/-AX84</f>
        <v>#DIV/0!</v>
      </c>
      <c r="AY342" s="219" t="e">
        <f>AY79/-AY84</f>
        <v>#DIV/0!</v>
      </c>
      <c r="AZ342" s="219" t="e">
        <f>AZ79/-AZ84</f>
        <v>#DIV/0!</v>
      </c>
      <c r="BB342" s="219" t="e">
        <f>BB79/-BB84</f>
        <v>#DIV/0!</v>
      </c>
      <c r="BC342" s="219" t="e">
        <f>BC79/-BC84</f>
        <v>#DIV/0!</v>
      </c>
      <c r="BD342" s="219" t="e">
        <f>BD79/-BD84</f>
        <v>#DIV/0!</v>
      </c>
      <c r="BE342" s="219" t="e">
        <f>BE79/-BE84</f>
        <v>#DIV/0!</v>
      </c>
      <c r="BG342" s="219" t="e">
        <f>BG79/-BG84</f>
        <v>#DIV/0!</v>
      </c>
      <c r="BH342" s="219" t="e">
        <f>BH79/-BH84</f>
        <v>#DIV/0!</v>
      </c>
      <c r="BI342" s="219" t="e">
        <f>BI79/-BI84</f>
        <v>#DIV/0!</v>
      </c>
      <c r="BJ342" s="219" t="e">
        <f>BJ79/-BJ84</f>
        <v>#DIV/0!</v>
      </c>
      <c r="BL342" s="219" t="e">
        <f>BL79/-BL84</f>
        <v>#DIV/0!</v>
      </c>
      <c r="BM342" s="219" t="e">
        <f>BM79/-BM84</f>
        <v>#DIV/0!</v>
      </c>
      <c r="BN342" s="219" t="e">
        <f>BN79/-BN84</f>
        <v>#DIV/0!</v>
      </c>
      <c r="BO342" s="219" t="e">
        <f>BO79/-BO84</f>
        <v>#DIV/0!</v>
      </c>
      <c r="BQ342" s="219" t="e">
        <f>BQ79/-BQ84</f>
        <v>#DIV/0!</v>
      </c>
      <c r="BR342" s="219" t="e">
        <f>BR79/-BR84</f>
        <v>#DIV/0!</v>
      </c>
      <c r="BS342" s="219" t="e">
        <f>BS79/-BS84</f>
        <v>#DIV/0!</v>
      </c>
      <c r="BT342" s="219" t="e">
        <f>BT79/-BT84</f>
        <v>#DIV/0!</v>
      </c>
      <c r="BV342" s="219" t="e">
        <f>BV79/-BV84</f>
        <v>#DIV/0!</v>
      </c>
      <c r="BW342" s="219" t="e">
        <f>BW79/-BW84</f>
        <v>#DIV/0!</v>
      </c>
      <c r="BX342" s="219" t="e">
        <f>BX79/-BX84</f>
        <v>#DIV/0!</v>
      </c>
      <c r="BY342" s="219" t="e">
        <f>BY79/-BY84</f>
        <v>#DIV/0!</v>
      </c>
      <c r="CA342" s="219" t="e">
        <f>CA79/-CA84</f>
        <v>#DIV/0!</v>
      </c>
      <c r="CB342" s="219" t="e">
        <f>CB79/-CB84</f>
        <v>#DIV/0!</v>
      </c>
      <c r="CC342" s="219" t="e">
        <f>CC79/-CC84</f>
        <v>#DIV/0!</v>
      </c>
      <c r="CD342" s="219" t="e">
        <f>CD79/-CD84</f>
        <v>#DIV/0!</v>
      </c>
      <c r="CF342" s="219" t="e">
        <f>CF79/-CF84</f>
        <v>#DIV/0!</v>
      </c>
      <c r="CG342" s="219" t="e">
        <f>CG79/-CG84</f>
        <v>#DIV/0!</v>
      </c>
      <c r="CH342" s="219" t="e">
        <f>CH79/-CH84</f>
        <v>#DIV/0!</v>
      </c>
      <c r="CI342" s="219" t="e">
        <f>CI79/-CI84</f>
        <v>#DIV/0!</v>
      </c>
      <c r="CK342" s="219" t="e">
        <f>CK79/-CK84</f>
        <v>#DIV/0!</v>
      </c>
      <c r="CL342" s="219" t="e">
        <f>CL79/-CL84</f>
        <v>#DIV/0!</v>
      </c>
      <c r="CM342" s="219" t="e">
        <f>CM79/-CM84</f>
        <v>#DIV/0!</v>
      </c>
      <c r="CN342" s="219" t="e">
        <f>CN79/-CN84</f>
        <v>#DIV/0!</v>
      </c>
      <c r="CP342" s="219" t="e">
        <f>CP79/-CP84</f>
        <v>#DIV/0!</v>
      </c>
      <c r="CQ342" s="219" t="e">
        <f>CQ79/-CQ84</f>
        <v>#DIV/0!</v>
      </c>
      <c r="CR342" s="219" t="e">
        <f>CR79/-CR84</f>
        <v>#DIV/0!</v>
      </c>
      <c r="CS342" s="219" t="e">
        <f>CS79/-CS84</f>
        <v>#DIV/0!</v>
      </c>
      <c r="CU342" s="219" t="e">
        <f>CU79/-CU84</f>
        <v>#DIV/0!</v>
      </c>
      <c r="CV342" s="219" t="e">
        <f>CV79/-CV84</f>
        <v>#DIV/0!</v>
      </c>
      <c r="CW342" s="219" t="e">
        <f>CW79/-CW84</f>
        <v>#DIV/0!</v>
      </c>
      <c r="CX342" s="219" t="e">
        <f>CX79/-CX84</f>
        <v>#DIV/0!</v>
      </c>
    </row>
    <row r="343" customFormat="1" s="233">
      <c r="A343" s="224" t="n"/>
      <c r="B343" s="224" t="n"/>
      <c r="C343" s="233" t="inlineStr">
        <is>
          <t>(EBITDA - CAPEX) / TOTAL INTEREST</t>
        </is>
      </c>
      <c r="D343" s="219">
        <f>(D79-D178)/-D84</f>
        <v>3.30618737129423</v>
      </c>
      <c r="E343" s="219" t="e">
        <f>(E79-E178)/-E84</f>
        <v>#N/A</v>
      </c>
      <c r="F343" s="219">
        <f>(F79-F178)/-F84</f>
        <v>2.18192798458092</v>
      </c>
      <c r="G343" s="219">
        <f>(G79-G178)/-G84</f>
        <v>-0.211071148436478</v>
      </c>
      <c r="I343" s="219">
        <f>(I79-I178)/-I84</f>
        <v>-1.34844991598972</v>
      </c>
      <c r="J343" s="219">
        <f>(J79-J178)/-J84</f>
        <v>-0.067175518001964</v>
      </c>
      <c r="K343" s="219">
        <f>(K79-K178)/-K84</f>
        <v>0.680911970157107</v>
      </c>
      <c r="L343" s="219">
        <f>(L79-L178)/-L84</f>
        <v>-4.36970349929859</v>
      </c>
      <c r="N343" s="219">
        <f>(N79-N178)/-N84</f>
        <v>-0.630842842743583</v>
      </c>
      <c r="O343" s="219">
        <f>(O79-O178)/-O84</f>
        <v>2.42865002214807</v>
      </c>
      <c r="P343" s="219">
        <f>(P79-P178)/-P84</f>
        <v>2.34263072416694</v>
      </c>
      <c r="Q343" s="219">
        <f>(Q79-Q178)/-Q84</f>
        <v>3.10164875157482</v>
      </c>
      <c r="S343" s="219">
        <f>(S79-S178)/-S84</f>
        <v>1.23127881421007</v>
      </c>
      <c r="T343" s="219">
        <f>(T79-T178)/-T84</f>
        <v>1.45354418470868</v>
      </c>
      <c r="U343" s="219">
        <f>(U79-U178)/-U84</f>
        <v>1.13871619189398</v>
      </c>
      <c r="V343" s="219">
        <f>(V79-V178)/-V84</f>
        <v>1.7481224174595</v>
      </c>
      <c r="X343" s="219">
        <f>(X79-X178)/-X84</f>
        <v>0.742668411118456</v>
      </c>
      <c r="Y343" s="219">
        <f>(Y79-Y178)/-Y84</f>
        <v>1.20447944111603</v>
      </c>
      <c r="Z343" s="219">
        <f>(Z79-Z178)/-Z84</f>
        <v>1.88157478806457</v>
      </c>
      <c r="AA343" s="219">
        <f>(AA79-AA178)/-AA84</f>
        <v>2.17935209482862</v>
      </c>
      <c r="AC343" s="219">
        <f>(AC79-AC178)/-AC84</f>
        <v>1.32296924691452</v>
      </c>
      <c r="AD343" s="219">
        <f>(AD79-AD178)/-AD84</f>
        <v>1.49890568732279</v>
      </c>
      <c r="AE343" s="219">
        <f>(AE79-AE178)/-AE84</f>
        <v>-0.0822871576412574</v>
      </c>
      <c r="AF343" s="219">
        <f>(AF79-AF178)/-AF84</f>
        <v>0.482152238776459</v>
      </c>
      <c r="AH343" s="219">
        <f>(AH79-AH178)/-AH84</f>
        <v>1.14322116175479</v>
      </c>
      <c r="AI343" s="219">
        <f>(AI79-AI178)/-AI84</f>
        <v>1.7018691229409</v>
      </c>
      <c r="AJ343" s="219" t="e">
        <f>(AJ79-AJ178)/-AJ84</f>
        <v>#DIV/0!</v>
      </c>
      <c r="AK343" s="219" t="e">
        <f>(AK79-AK178)/-AK84</f>
        <v>#DIV/0!</v>
      </c>
      <c r="AM343" s="219" t="e">
        <f>(AM79-AM178)/-AM84</f>
        <v>#DIV/0!</v>
      </c>
      <c r="AN343" s="219" t="e">
        <f>(AN79-AN178)/-AN84</f>
        <v>#DIV/0!</v>
      </c>
      <c r="AO343" s="219" t="e">
        <f>(AO79-AO178)/-AO84</f>
        <v>#DIV/0!</v>
      </c>
      <c r="AP343" s="219" t="e">
        <f>(AP79-AP178)/-AP84</f>
        <v>#DIV/0!</v>
      </c>
      <c r="AR343" s="219" t="e">
        <f>(AR79-AR178)/-AR84</f>
        <v>#DIV/0!</v>
      </c>
      <c r="AS343" s="219" t="e">
        <f>(AS79-AS178)/-AS84</f>
        <v>#DIV/0!</v>
      </c>
      <c r="AT343" s="219" t="e">
        <f>(AT79-AT178)/-AT84</f>
        <v>#DIV/0!</v>
      </c>
      <c r="AU343" s="219" t="e">
        <f>(AU79-AU178)/-AU84</f>
        <v>#DIV/0!</v>
      </c>
      <c r="AW343" s="219" t="e">
        <f>(AW79-AW178)/-AW84</f>
        <v>#DIV/0!</v>
      </c>
      <c r="AX343" s="219" t="e">
        <f>(AX79-AX178)/-AX84</f>
        <v>#DIV/0!</v>
      </c>
      <c r="AY343" s="219" t="e">
        <f>(AY79-AY178)/-AY84</f>
        <v>#DIV/0!</v>
      </c>
      <c r="AZ343" s="219" t="e">
        <f>(AZ79-AZ178)/-AZ84</f>
        <v>#DIV/0!</v>
      </c>
      <c r="BB343" s="219" t="e">
        <f>(BB79-BB178)/-BB84</f>
        <v>#DIV/0!</v>
      </c>
      <c r="BC343" s="219" t="e">
        <f>(BC79-BC178)/-BC84</f>
        <v>#DIV/0!</v>
      </c>
      <c r="BD343" s="219" t="e">
        <f>(BD79-BD178)/-BD84</f>
        <v>#DIV/0!</v>
      </c>
      <c r="BE343" s="219" t="e">
        <f>(BE79-BE178)/-BE84</f>
        <v>#DIV/0!</v>
      </c>
      <c r="BG343" s="219" t="e">
        <f>(BG79-BG178)/-BG84</f>
        <v>#DIV/0!</v>
      </c>
      <c r="BH343" s="219" t="e">
        <f>(BH79-BH178)/-BH84</f>
        <v>#DIV/0!</v>
      </c>
      <c r="BI343" s="219" t="e">
        <f>(BI79-BI178)/-BI84</f>
        <v>#DIV/0!</v>
      </c>
      <c r="BJ343" s="219" t="e">
        <f>(BJ79-BJ178)/-BJ84</f>
        <v>#DIV/0!</v>
      </c>
      <c r="BL343" s="219" t="e">
        <f>(BL79-BL178)/-BL84</f>
        <v>#DIV/0!</v>
      </c>
      <c r="BM343" s="219" t="e">
        <f>(BM79-BM178)/-BM84</f>
        <v>#DIV/0!</v>
      </c>
      <c r="BN343" s="219" t="e">
        <f>(BN79-BN178)/-BN84</f>
        <v>#DIV/0!</v>
      </c>
      <c r="BO343" s="219" t="e">
        <f>(BO79-BO178)/-BO84</f>
        <v>#DIV/0!</v>
      </c>
      <c r="BQ343" s="219" t="e">
        <f>(BQ79-BQ178)/-BQ84</f>
        <v>#DIV/0!</v>
      </c>
      <c r="BR343" s="219" t="e">
        <f>(BR79-BR178)/-BR84</f>
        <v>#DIV/0!</v>
      </c>
      <c r="BS343" s="219" t="e">
        <f>(BS79-BS178)/-BS84</f>
        <v>#DIV/0!</v>
      </c>
      <c r="BT343" s="219" t="e">
        <f>(BT79-BT178)/-BT84</f>
        <v>#DIV/0!</v>
      </c>
      <c r="BV343" s="219" t="e">
        <f>(BV79-BV178)/-BV84</f>
        <v>#DIV/0!</v>
      </c>
      <c r="BW343" s="219" t="e">
        <f>(BW79-BW178)/-BW84</f>
        <v>#DIV/0!</v>
      </c>
      <c r="BX343" s="219" t="e">
        <f>(BX79-BX178)/-BX84</f>
        <v>#DIV/0!</v>
      </c>
      <c r="BY343" s="219" t="e">
        <f>(BY79-BY178)/-BY84</f>
        <v>#DIV/0!</v>
      </c>
      <c r="CA343" s="219" t="e">
        <f>(CA79-CA178)/-CA84</f>
        <v>#DIV/0!</v>
      </c>
      <c r="CB343" s="219" t="e">
        <f>(CB79-CB178)/-CB84</f>
        <v>#DIV/0!</v>
      </c>
      <c r="CC343" s="219" t="e">
        <f>(CC79-CC178)/-CC84</f>
        <v>#DIV/0!</v>
      </c>
      <c r="CD343" s="219" t="e">
        <f>(CD79-CD178)/-CD84</f>
        <v>#DIV/0!</v>
      </c>
      <c r="CF343" s="219" t="e">
        <f>(CF79-CF178)/-CF84</f>
        <v>#DIV/0!</v>
      </c>
      <c r="CG343" s="219" t="e">
        <f>(CG79-CG178)/-CG84</f>
        <v>#DIV/0!</v>
      </c>
      <c r="CH343" s="219" t="e">
        <f>(CH79-CH178)/-CH84</f>
        <v>#DIV/0!</v>
      </c>
      <c r="CI343" s="219" t="e">
        <f>(CI79-CI178)/-CI84</f>
        <v>#DIV/0!</v>
      </c>
      <c r="CK343" s="219" t="e">
        <f>(CK79-CK178)/-CK84</f>
        <v>#DIV/0!</v>
      </c>
      <c r="CL343" s="219" t="e">
        <f>(CL79-CL178)/-CL84</f>
        <v>#DIV/0!</v>
      </c>
      <c r="CM343" s="219" t="e">
        <f>(CM79-CM178)/-CM84</f>
        <v>#DIV/0!</v>
      </c>
      <c r="CN343" s="219" t="e">
        <f>(CN79-CN178)/-CN84</f>
        <v>#DIV/0!</v>
      </c>
      <c r="CP343" s="219" t="e">
        <f>(CP79-CP178)/-CP84</f>
        <v>#DIV/0!</v>
      </c>
      <c r="CQ343" s="219" t="e">
        <f>(CQ79-CQ178)/-CQ84</f>
        <v>#DIV/0!</v>
      </c>
      <c r="CR343" s="219" t="e">
        <f>(CR79-CR178)/-CR84</f>
        <v>#DIV/0!</v>
      </c>
      <c r="CS343" s="219" t="e">
        <f>(CS79-CS178)/-CS84</f>
        <v>#DIV/0!</v>
      </c>
      <c r="CU343" s="219" t="e">
        <f>(CU79-CU178)/-CU84</f>
        <v>#DIV/0!</v>
      </c>
      <c r="CV343" s="219" t="e">
        <f>(CV79-CV178)/-CV84</f>
        <v>#DIV/0!</v>
      </c>
      <c r="CW343" s="219" t="e">
        <f>(CW79-CW178)/-CW84</f>
        <v>#DIV/0!</v>
      </c>
      <c r="CX343" s="219" t="e">
        <f>(CX79-CX178)/-CX84</f>
        <v>#DIV/0!</v>
      </c>
    </row>
    <row r="344" customFormat="1" s="233">
      <c r="A344" s="224" t="n"/>
      <c r="B344" s="224" t="n"/>
      <c r="C344" s="233" t="inlineStr">
        <is>
          <t>TOTAL DEBT / EBITDA LTM</t>
        </is>
      </c>
      <c r="D344" s="219" t="str">
        <f>""</f>
        <v/>
      </c>
      <c r="E344" s="219" t="str">
        <f>""</f>
        <v/>
      </c>
      <c r="F344" s="219" t="str">
        <f>""</f>
        <v/>
      </c>
      <c r="G344" s="219">
        <f>IFERROR(SUM(G222,G223,G224,G227,G245,G248)/(G79+F79+E79+D79),"")</f>
        <v>1.12701190707508</v>
      </c>
      <c r="I344" s="219">
        <f>IFERROR(SUM(I222,I223,I224,I227,I245,I248)/(I79+G79+F79+E79),"")</f>
        <v>1.11255107932644</v>
      </c>
      <c r="J344" s="219">
        <f>IFERROR(SUM(J222,J223,J224,J227,J245,J248)/(J79+I79+G79+F79),"")</f>
        <v>1.14608298945347</v>
      </c>
      <c r="K344" s="219">
        <f>IFERROR(SUM(K222,K223,K224,K227,K245,K248)/(K79+J79+I79+G79),"")</f>
        <v>1.2626263277692</v>
      </c>
      <c r="L344" s="219">
        <f>IFERROR(SUM(L222,L223,L224,L227,L245,L248)/(L79+K79+J79+I79),"")</f>
        <v>1.69473082212503</v>
      </c>
      <c r="N344" s="219">
        <f>IFERROR(SUM(N222,N223,N224,N227,N245,N248)/(N79+L79+K79+J79),"")</f>
        <v>1.69075281505214</v>
      </c>
      <c r="O344" s="219">
        <f>IFERROR(SUM(O222,O223,O224,O227,O245,O248)/(O79+N79+L79+K79),"")</f>
        <v>1.69100112493819</v>
      </c>
      <c r="P344" s="219">
        <f>IFERROR(SUM(P222,P223,P224,P227,P245,P248)/(P79+O79+N79+L79),"")</f>
        <v>2.0908503051132</v>
      </c>
      <c r="Q344" s="219">
        <f>IFERROR(SUM(Q222,Q223,Q224,Q227,Q245,Q248)/(Q79+P79+O79+N79),"")</f>
        <v>1.86986093311204</v>
      </c>
      <c r="S344" s="219">
        <f>IFERROR(SUM(S222,S223,S224,S227,S245,S248)/(S79+Q79+P79+O79),"")</f>
        <v>1.7868042421337</v>
      </c>
      <c r="T344" s="219">
        <f>IFERROR(SUM(T222,T223,T224,T227,T245,T248)/(T79+S79+Q79+P79),"")</f>
        <v>1.81905993633276</v>
      </c>
      <c r="U344" s="219">
        <f>IFERROR(SUM(U222,U223,U224,U227,U245,U248)/(U79+T79+S79+Q79),"")</f>
        <v>1.88352465692368</v>
      </c>
      <c r="V344" s="219">
        <f>IFERROR(SUM(V222,V223,V224,V227,V245,V248)/(V79+U79+T79+S79),"")</f>
        <v>1.83818488767706</v>
      </c>
      <c r="X344" s="219">
        <f>IFERROR(SUM(X222,X223,X224,X227,X245,X248)/(X79+V79+U79+T79),"")</f>
        <v>1.85323899490624</v>
      </c>
      <c r="Y344" s="219">
        <f>IFERROR(SUM(Y222,Y223,Y224,Y227,Y245,Y248)/(Y79+X79+V79+U79),"")</f>
        <v>1.75796356739477</v>
      </c>
      <c r="Z344" s="219">
        <f>IFERROR(SUM(Z222,Z223,Z224,Z227,Z245,Z248)/(Z79+Y79+X79+V79),"")</f>
        <v>1.66161057745086</v>
      </c>
      <c r="AA344" s="219">
        <f>IFERROR(SUM(AA222,AA223,AA224,AA227,AA245,AA248)/(AA79+Z79+Y79+X79),"")</f>
        <v>1.90409096493901</v>
      </c>
      <c r="AC344" s="219">
        <f>IFERROR(SUM(AC222,AC223,AC224,AC227,AC245,AC248)/(AC79+AA79+Z79+Y79),"")</f>
        <v>1.92701581319381</v>
      </c>
      <c r="AD344" s="219">
        <f>IFERROR(SUM(AD222,AD223,AD224,AD227,AD245,AD248)/(AD79+AC79+AA79+Z79),"")</f>
        <v>1.87019467338812</v>
      </c>
      <c r="AE344" s="219">
        <f>IFERROR(SUM(AE222,AE223,AE224,AE227,AE245,AE248)/(AE79+AD79+AC79+AA79),"")</f>
        <v>2.2673949269471</v>
      </c>
      <c r="AF344" s="219">
        <f>IFERROR(SUM(AF222,AF223,AF224,AF227,AF245,AF248)/(AF79+AE79+AD79+AC79),"")</f>
        <v>2.41539905099627</v>
      </c>
      <c r="AH344" s="219">
        <f>IFERROR(SUM(AH222,AH223,AH224,AH227,AH245,AH248)/(AH79+AF79+AE79+AD79),"")</f>
        <v>2.42105288047146</v>
      </c>
      <c r="AI344" s="219">
        <f>IFERROR(SUM(AI222,AI223,AI224,AI227,AI245,AI248)/(AI79+AH79+AF79+AE79),"")</f>
        <v>2.5778415891119</v>
      </c>
      <c r="AJ344" s="219">
        <f>IFERROR(SUM(AJ222,AJ223,AJ224,AJ227,AJ245,AJ248)/(AJ79+AI79+AH79+AF79),"")</f>
        <v>3.74699725117703</v>
      </c>
      <c r="AK344" s="219">
        <f>IFERROR(SUM(AK222,AK223,AK224,AK227,AK245,AK248)/(AK79+AJ79+AI79+AH79),"")</f>
        <v>5.62102672516497</v>
      </c>
      <c r="AM344" s="219">
        <f>IFERROR(SUM(AM222,AM223,AM224,AM227,AM245,AM248)/(AM79+AK79+AJ79+AI79),"")</f>
        <v>10.0993622424653</v>
      </c>
      <c r="AN344" s="219" t="str">
        <f>IFERROR(SUM(AN222,AN223,AN224,AN227,AN245,AN248)/(AN79+AM79+AK79+AJ79),"")</f>
        <v/>
      </c>
      <c r="AO344" s="219" t="str">
        <f>IFERROR(SUM(AO222,AO223,AO224,AO227,AO245,AO248)/(AO79+AN79+AM79+AK79),"")</f>
        <v/>
      </c>
      <c r="AP344" s="219" t="str">
        <f>IFERROR(SUM(AP222,AP223,AP224,AP227,AP245,AP248)/(AP79+AO79+AN79+AM79),"")</f>
        <v/>
      </c>
      <c r="AR344" s="219" t="str">
        <f>IFERROR(SUM(AR222,AR223,AR224,AR227,AR245,AR248)/(AR79+AP79+AO79+AN79),"")</f>
        <v/>
      </c>
      <c r="AS344" s="219" t="str">
        <f>IFERROR(SUM(AS222,AS223,AS224,AS227,AS245,AS248)/(AS79+AR79+AP79+AO79),"")</f>
        <v/>
      </c>
      <c r="AT344" s="219" t="str">
        <f>IFERROR(SUM(AT222,AT223,AT224,AT227,AT245,AT248)/(AT79+AS79+AR79+AP79),"")</f>
        <v/>
      </c>
      <c r="AU344" s="219" t="str">
        <f>IFERROR(SUM(AU222,AU223,AU224,AU227,AU245,AU248)/(AU79+AT79+AS79+AR79),"")</f>
        <v/>
      </c>
      <c r="AW344" s="219" t="str">
        <f>IFERROR(SUM(AW222,AW223,AW224,AW227,AW245,AW248)/(AW79+AU79+AT79+AS79),"")</f>
        <v/>
      </c>
      <c r="AX344" s="219" t="str">
        <f>IFERROR(SUM(AX222,AX223,AX224,AX227,AX245,AX248)/(AX79+AW79+AU79+AT79),"")</f>
        <v/>
      </c>
      <c r="AY344" s="219" t="str">
        <f>IFERROR(SUM(AY222,AY223,AY224,AY227,AY245,AY248)/(AY79+AX79+AW79+AU79),"")</f>
        <v/>
      </c>
      <c r="AZ344" s="219" t="str">
        <f>IFERROR(SUM(AZ222,AZ223,AZ224,AZ227,AZ245,AZ248)/(AZ79+AY79+AX79+AW79),"")</f>
        <v/>
      </c>
      <c r="BB344" s="219" t="str">
        <f>IFERROR(SUM(BB222,BB223,BB224,BB227,BB245,BB248)/(BB79+AZ79+AY79+AX79),"")</f>
        <v/>
      </c>
      <c r="BC344" s="219" t="str">
        <f>IFERROR(SUM(BC222,BC223,BC224,BC227,BC245,BC248)/(BC79+BB79+AZ79+AY79),"")</f>
        <v/>
      </c>
      <c r="BD344" s="219" t="str">
        <f>IFERROR(SUM(BD222,BD223,BD224,BD227,BD245,BD248)/(BD79+BC79+BB79+AZ79),"")</f>
        <v/>
      </c>
      <c r="BE344" s="219" t="str">
        <f>IFERROR(SUM(BE222,BE223,BE224,BE227,BE245,BE248)/(BE79+BD79+BC79+BB79),"")</f>
        <v/>
      </c>
      <c r="BG344" s="219" t="str">
        <f>IFERROR(SUM(BG222,BG223,BG224,BG227,BG245,BG248)/(BG79+BE79+BD79+BC79),"")</f>
        <v/>
      </c>
      <c r="BH344" s="219" t="str">
        <f>IFERROR(SUM(BH222,BH223,BH224,BH227,BH245,BH248)/(BH79+BG79+BE79+BD79),"")</f>
        <v/>
      </c>
      <c r="BI344" s="219" t="str">
        <f>IFERROR(SUM(BI222,BI223,BI224,BI227,BI245,BI248)/(BI79+BH79+BG79+BE79),"")</f>
        <v/>
      </c>
      <c r="BJ344" s="219" t="str">
        <f>IFERROR(SUM(BJ222,BJ223,BJ224,BJ227,BJ245,BJ248)/(BJ79+BI79+BH79+BG79),"")</f>
        <v/>
      </c>
      <c r="BL344" s="219" t="str">
        <f>IFERROR(SUM(BL222,BL223,BL224,BL227,BL245,BL248)/(BL79+BJ79+BI79+BH79),"")</f>
        <v/>
      </c>
      <c r="BM344" s="219" t="str">
        <f>IFERROR(SUM(BM222,BM223,BM224,BM227,BM245,BM248)/(BM79+BL79+BJ79+BI79),"")</f>
        <v/>
      </c>
      <c r="BN344" s="219" t="str">
        <f>IFERROR(SUM(BN222,BN223,BN224,BN227,BN245,BN248)/(BN79+BM79+BL79+BJ79),"")</f>
        <v/>
      </c>
      <c r="BO344" s="219" t="str">
        <f>IFERROR(SUM(BO222,BO223,BO224,BO227,BO245,BO248)/(BO79+BN79+BM79+BL79),"")</f>
        <v/>
      </c>
      <c r="BQ344" s="219" t="str">
        <f>IFERROR(SUM(BQ222,BQ223,BQ224,BQ227,BQ245,BQ248)/(BQ79+BO79+BN79+BM79),"")</f>
        <v/>
      </c>
      <c r="BR344" s="219" t="str">
        <f>IFERROR(SUM(BR222,BR223,BR224,BR227,BR245,BR248)/(BR79+BQ79+BO79+BN79),"")</f>
        <v/>
      </c>
      <c r="BS344" s="219" t="str">
        <f>IFERROR(SUM(BS222,BS223,BS224,BS227,BS245,BS248)/(BS79+BR79+BQ79+BO79),"")</f>
        <v/>
      </c>
      <c r="BT344" s="219" t="str">
        <f>IFERROR(SUM(BT222,BT223,BT224,BT227,BT245,BT248)/(BT79+BS79+BR79+BQ79),"")</f>
        <v/>
      </c>
      <c r="BV344" s="219" t="str">
        <f>IFERROR(SUM(BV222,BV223,BV224,BV227,BV245,BV248)/(BV79+BT79+BS79+BR79),"")</f>
        <v/>
      </c>
      <c r="BW344" s="219" t="str">
        <f>IFERROR(SUM(BW222,BW223,BW224,BW227,BW245,BW248)/(BW79+BV79+BT79+BS79),"")</f>
        <v/>
      </c>
      <c r="BX344" s="219" t="str">
        <f>IFERROR(SUM(BX222,BX223,BX224,BX227,BX245,BX248)/(BX79+BW79+BV79+BT79),"")</f>
        <v/>
      </c>
      <c r="BY344" s="219" t="str">
        <f>IFERROR(SUM(BY222,BY223,BY224,BY227,BY245,BY248)/(BY79+BX79+BW79+BV79),"")</f>
        <v/>
      </c>
      <c r="CA344" s="219" t="str">
        <f>IFERROR(SUM(CA222,CA223,CA224,CA227,CA245,CA248)/(CA79+BY79+BX79+BW79),"")</f>
        <v/>
      </c>
      <c r="CB344" s="219" t="str">
        <f>IFERROR(SUM(CB222,CB223,CB224,CB227,CB245,CB248)/(CB79+CA79+BY79+BX79),"")</f>
        <v/>
      </c>
      <c r="CC344" s="219" t="str">
        <f>IFERROR(SUM(CC222,CC223,CC224,CC227,CC245,CC248)/(CC79+CB79+CA79+BY79),"")</f>
        <v/>
      </c>
      <c r="CD344" s="219" t="str">
        <f>IFERROR(SUM(CD222,CD223,CD224,CD227,CD245,CD248)/(CD79+CC79+CB79+CA79),"")</f>
        <v/>
      </c>
      <c r="CF344" s="219" t="str">
        <f>IFERROR(SUM(CF222,CF223,CF224,CF227,CF245,CF248)/(CF79+CD79+CC79+CB79),"")</f>
        <v/>
      </c>
      <c r="CG344" s="219" t="str">
        <f>IFERROR(SUM(CG222,CG223,CG224,CG227,CG245,CG248)/(CG79+CF79+CD79+CC79),"")</f>
        <v/>
      </c>
      <c r="CH344" s="219" t="str">
        <f>IFERROR(SUM(CH222,CH223,CH224,CH227,CH245,CH248)/(CH79+CG79+CF79+CD79),"")</f>
        <v/>
      </c>
      <c r="CI344" s="219" t="str">
        <f>IFERROR(SUM(CI222,CI223,CI224,CI227,CI245,CI248)/(CI79+CH79+CG79+CF79),"")</f>
        <v/>
      </c>
      <c r="CK344" s="219" t="str">
        <f>IFERROR(SUM(CK222,CK223,CK224,CK227,CK245,CK248)/(CK79+CI79+CH79+CG79),"")</f>
        <v/>
      </c>
      <c r="CL344" s="219" t="str">
        <f>IFERROR(SUM(CL222,CL223,CL224,CL227,CL245,CL248)/(CL79+CK79+CI79+CH79),"")</f>
        <v/>
      </c>
      <c r="CM344" s="219" t="str">
        <f>IFERROR(SUM(CM222,CM223,CM224,CM227,CM245,CM248)/(CM79+CL79+CK79+CI79),"")</f>
        <v/>
      </c>
      <c r="CN344" s="219" t="str">
        <f>IFERROR(SUM(CN222,CN223,CN224,CN227,CN245,CN248)/(CN79+CM79+CL79+CK79),"")</f>
        <v/>
      </c>
      <c r="CP344" s="219" t="str">
        <f>IFERROR(SUM(CP222,CP223,CP224,CP227,CP245,CP248)/(CP79+CN79+CM79+CL79),"")</f>
        <v/>
      </c>
      <c r="CQ344" s="219" t="str">
        <f>IFERROR(SUM(CQ222,CQ223,CQ224,CQ227,CQ245,CQ248)/(CQ79+CP79+CN79+CM79),"")</f>
        <v/>
      </c>
      <c r="CR344" s="219" t="str">
        <f>IFERROR(SUM(CR222,CR223,CR224,CR227,CR245,CR248)/(CR79+CQ79+CP79+CN79),"")</f>
        <v/>
      </c>
      <c r="CS344" s="219" t="str">
        <f>IFERROR(SUM(CS222,CS223,CS224,CS227,CS245,CS248)/(CS79+CR79+CQ79+CP79),"")</f>
        <v/>
      </c>
      <c r="CU344" s="219" t="str">
        <f>IFERROR(SUM(CU222,CU223,CU224,CU227,CU245,CU248)/(CU79+CS79+CR79+CQ79),"")</f>
        <v/>
      </c>
      <c r="CV344" s="219" t="str">
        <f>IFERROR(SUM(CV222,CV223,CV224,CV227,CV245,CV248)/(CV79+CU79+CS79+CR79),"")</f>
        <v/>
      </c>
      <c r="CW344" s="219" t="str">
        <f>IFERROR(SUM(CW222,CW223,CW224,CW227,CW245,CW248)/(CW79+CV79+CU79+CS79),"")</f>
        <v/>
      </c>
      <c r="CX344" s="219" t="str">
        <f>IFERROR(SUM(CX222,CX223,CX224,CX227,CX245,CX248)/(CX79+CW79+CV79+CU79),"")</f>
        <v/>
      </c>
    </row>
    <row r="345" customFormat="1" s="233">
      <c r="A345" s="224" t="n"/>
      <c r="B345" s="224" t="n"/>
      <c r="C345" s="233" t="inlineStr">
        <is>
          <t>TOTAL DEBT / TOTAL CAPITALIZATION</t>
        </is>
      </c>
      <c r="D345" s="221" t="e">
        <f>SUM(D222+D223+D224+D227+D245+D248)/(SUM(D222+D223+D224+D227+D245+D248)+D281)</f>
        <v>#N/A</v>
      </c>
      <c r="E345" s="221">
        <f>SUM(E222+E223+E224+E227+E245+E248)/(SUM(E222+E223+E224+E227+E245+E248)+E281)</f>
        <v>0.417865660624056</v>
      </c>
      <c r="F345" s="221">
        <f>SUM(F222+F223+F224+F227+F245+F248)/(SUM(F222+F223+F224+F227+F245+F248)+F281)</f>
        <v>0.419093150800023</v>
      </c>
      <c r="G345" s="221">
        <f>SUM(G222+G223+G224+G227+G245+G248)/(SUM(G222+G223+G224+G227+G245+G248)+G281)</f>
        <v>0.171680670097756</v>
      </c>
      <c r="I345" s="221">
        <f>SUM(I222+I223+I224+I227+I245+I248)/(SUM(I222+I223+I224+I227+I245+I248)+I281)</f>
        <v>0.173928993957957</v>
      </c>
      <c r="J345" s="221">
        <f>SUM(J222+J223+J224+J227+J245+J248)/(SUM(J222+J223+J224+J227+J245+J248)+J281)</f>
        <v>0.171729362807624</v>
      </c>
      <c r="K345" s="221">
        <f>SUM(K222+K223+K224+K227+K245+K248)/(SUM(K222+K223+K224+K227+K245+K248)+K281)</f>
        <v>0.182527839637843</v>
      </c>
      <c r="L345" s="221">
        <f>SUM(L222+L223+L224+L227+L245+L248)/(SUM(L222+L223+L224+L227+L245+L248)+L281)</f>
        <v>0.235406769962493</v>
      </c>
      <c r="N345" s="221">
        <f>SUM(N222+N223+N224+N227+N245+N248)/(SUM(N222+N223+N224+N227+N245+N248)+N281)</f>
        <v>0.238903942418511</v>
      </c>
      <c r="O345" s="221">
        <f>SUM(O222+O223+O224+O227+O245+O248)/(SUM(O222+O223+O224+O227+O245+O248)+O281)</f>
        <v>0.250310770616071</v>
      </c>
      <c r="P345" s="221">
        <f>SUM(P222+P223+P224+P227+P245+P248)/(SUM(P222+P223+P224+P227+P245+P248)+P281)</f>
        <v>0.304015290110168</v>
      </c>
      <c r="Q345" s="221">
        <f>SUM(Q222+Q223+Q224+Q227+Q245+Q248)/(SUM(Q222+Q223+Q224+Q227+Q245+Q248)+Q281)</f>
        <v>0.295824244403066</v>
      </c>
      <c r="S345" s="221">
        <f>SUM(S222+S223+S224+S227+S245+S248)/(SUM(S222+S223+S224+S227+S245+S248)+S281)</f>
        <v>0.292838677867258</v>
      </c>
      <c r="T345" s="221">
        <f>SUM(T222+T223+T224+T227+T245+T248)/(SUM(T222+T223+T224+T227+T245+T248)+T281)</f>
        <v>0.299631847274723</v>
      </c>
      <c r="U345" s="221">
        <f>SUM(U222+U223+U224+U227+U245+U248)/(SUM(U222+U223+U224+U227+U245+U248)+U281)</f>
        <v>0.303453174494661</v>
      </c>
      <c r="V345" s="221">
        <f>SUM(V222+V223+V224+V227+V245+V248)/(SUM(V222+V223+V224+V227+V245+V248)+V281)</f>
        <v>0.299019859676344</v>
      </c>
      <c r="X345" s="221">
        <f>SUM(X222+X223+X224+X227+X245+X248)/(SUM(X222+X223+X224+X227+X245+X248)+X281)</f>
        <v>0.307334786612279</v>
      </c>
      <c r="Y345" s="221">
        <f>SUM(Y222+Y223+Y224+Y227+Y245+Y248)/(SUM(Y222+Y223+Y224+Y227+Y245+Y248)+Y281)</f>
        <v>0.295555883577979</v>
      </c>
      <c r="Z345" s="221">
        <f>SUM(Z222+Z223+Z224+Z227+Z245+Z248)/(SUM(Z222+Z223+Z224+Z227+Z245+Z248)+Z281)</f>
        <v>0.289808953061203</v>
      </c>
      <c r="AA345" s="221">
        <f>SUM(AA222+AA223+AA224+AA227+AA245+AA248)/(SUM(AA222+AA223+AA224+AA227+AA245+AA248)+AA281)</f>
        <v>0.324873779827793</v>
      </c>
      <c r="AC345" s="221">
        <f>SUM(AC222+AC223+AC224+AC227+AC245+AC248)/(SUM(AC222+AC223+AC224+AC227+AC245+AC248)+AC281)</f>
        <v>0.331629297070219</v>
      </c>
      <c r="AD345" s="221">
        <f>SUM(AD222+AD223+AD224+AD227+AD245+AD248)/(SUM(AD222+AD223+AD224+AD227+AD245+AD248)+AD281)</f>
        <v>0.339500564237725</v>
      </c>
      <c r="AE345" s="221">
        <f>SUM(AE222+AE223+AE224+AE227+AE245+AE248)/(SUM(AE222+AE223+AE224+AE227+AE245+AE248)+AE281)</f>
        <v>0.362923709259787</v>
      </c>
      <c r="AF345" s="221">
        <f>SUM(AF222+AF223+AF224+AF227+AF245+AF248)/(SUM(AF222+AF223+AF224+AF227+AF245+AF248)+AF281)</f>
        <v>0.371564193489875</v>
      </c>
      <c r="AH345" s="221">
        <f>SUM(AH222+AH223+AH224+AH227+AH245+AH248)/(SUM(AH222+AH223+AH224+AH227+AH245+AH248)+AH281)</f>
        <v>0.35807475052278</v>
      </c>
      <c r="AI345" s="221">
        <f>SUM(AI222+AI223+AI224+AI227+AI245+AI248)/(SUM(AI222+AI223+AI224+AI227+AI245+AI248)+AI281)</f>
        <v>0.357989638274657</v>
      </c>
      <c r="AJ345" s="221">
        <f>SUM(AJ222+AJ223+AJ224+AJ227+AJ245+AJ248)/(SUM(AJ222+AJ223+AJ224+AJ227+AJ245+AJ248)+AJ281)</f>
        <v>0.356360730575642</v>
      </c>
      <c r="AK345" s="221">
        <f>SUM(AK222+AK223+AK224+AK227+AK245+AK248)/(SUM(AK222+AK223+AK224+AK227+AK245+AK248)+AK281)</f>
        <v>0.354693936795315</v>
      </c>
      <c r="AM345" s="221">
        <f>SUM(AM222+AM223+AM224+AM227+AM245+AM248)/(SUM(AM222+AM223+AM224+AM227+AM245+AM248)+AM281)</f>
        <v>0.353042662500599</v>
      </c>
      <c r="AN345" s="221">
        <f>SUM(AN222+AN223+AN224+AN227+AN245+AN248)/(SUM(AN222+AN223+AN224+AN227+AN245+AN248)+AN281)</f>
        <v>0.346689046668529</v>
      </c>
      <c r="AO345" s="221">
        <f>SUM(AO222+AO223+AO224+AO227+AO245+AO248)/(SUM(AO222+AO223+AO224+AO227+AO245+AO248)+AO281)</f>
        <v>0.345111298934851</v>
      </c>
      <c r="AP345" s="221">
        <f>SUM(AP222+AP223+AP224+AP227+AP245+AP248)/(SUM(AP222+AP223+AP224+AP227+AP245+AP248)+AP281)</f>
        <v>0.339037497998541</v>
      </c>
      <c r="AR345" s="221">
        <f>SUM(AR222+AR223+AR224+AR227+AR245+AR248)/(SUM(AR222+AR223+AR224+AR227+AR245+AR248)+AR281)</f>
        <v>0.333173791726426</v>
      </c>
      <c r="AS345" s="221">
        <f>SUM(AS222+AS223+AS224+AS227+AS245+AS248)/(SUM(AS222+AS223+AS224+AS227+AS245+AS248)+AS281)</f>
        <v>0.31932245226686</v>
      </c>
      <c r="AT345" s="221">
        <f>SUM(AT222+AT223+AT224+AT227+AT245+AT248)/(SUM(AT222+AT223+AT224+AT227+AT245+AT248)+AT281)</f>
        <v>0.314115631288688</v>
      </c>
      <c r="AU345" s="221">
        <f>SUM(AU222+AU223+AU224+AU227+AU245+AU248)/(SUM(AU222+AU223+AU224+AU227+AU245+AU248)+AU281)</f>
        <v>0.301774265195808</v>
      </c>
      <c r="AW345" s="221">
        <f>SUM(AW222+AW223+AW224+AW227+AW245+AW248)/(SUM(AW222+AW223+AW224+AW227+AW245+AW248)+AW281)</f>
        <v>0.290366004034115</v>
      </c>
      <c r="AX345" s="221">
        <f>SUM(AX222+AX223+AX224+AX227+AX245+AX248)/(SUM(AX222+AX223+AX224+AX227+AX245+AX248)+AX281)</f>
        <v>0.262595506973693</v>
      </c>
      <c r="AY345" s="221">
        <f>SUM(AY222+AY223+AY224+AY227+AY245+AY248)/(SUM(AY222+AY223+AY224+AY227+AY245+AY248)+AY281)</f>
        <v>0.253914573951805</v>
      </c>
      <c r="AZ345" s="221">
        <f>SUM(AZ222+AZ223+AZ224+AZ227+AZ245+AZ248)/(SUM(AZ222+AZ223+AZ224+AZ227+AZ245+AZ248)+AZ281)</f>
        <v>0.232420775643256</v>
      </c>
      <c r="BB345" s="221">
        <f>SUM(BB222+BB223+BB224+BB227+BB245+BB248)/(SUM(BB222+BB223+BB224+BB227+BB245+BB248)+BB281)</f>
        <v>0.214281874369513</v>
      </c>
      <c r="BC345" s="221">
        <f>SUM(BC222+BC223+BC224+BC227+BC245+BC248)/(SUM(BC222+BC223+BC224+BC227+BC245+BC248)+BC281)</f>
        <v>0.176817260239131</v>
      </c>
      <c r="BD345" s="221">
        <f>SUM(BD222+BD223+BD224+BD227+BD245+BD248)/(SUM(BD222+BD223+BD224+BD227+BD245+BD248)+BD281)</f>
        <v>0.166119430427065</v>
      </c>
      <c r="BE345" s="221">
        <f>SUM(BE222+BE223+BE224+BE227+BE245+BE248)/(SUM(BE222+BE223+BE224+BE227+BE245+BE248)+BE281)</f>
        <v>0.142682426619128</v>
      </c>
      <c r="BG345" s="221">
        <f>SUM(BG222+BG223+BG224+BG227+BG245+BG248)/(SUM(BG222+BG223+BG224+BG227+BG245+BG248)+BG281)</f>
        <v>0.125040986013359</v>
      </c>
      <c r="BH345" s="221">
        <f>SUM(BH222+BH223+BH224+BH227+BH245+BH248)/(SUM(BH222+BH223+BH224+BH227+BH245+BH248)+BH281)</f>
        <v>0.0934281868353639</v>
      </c>
      <c r="BI345" s="221">
        <f>SUM(BI222+BI223+BI224+BI227+BI245+BI248)/(SUM(BI222+BI223+BI224+BI227+BI245+BI248)+BI281)</f>
        <v>0.0855270000303279</v>
      </c>
      <c r="BJ345" s="221">
        <f>SUM(BJ222+BJ223+BJ224+BJ227+BJ245+BJ248)/(SUM(BJ222+BJ223+BJ224+BJ227+BJ245+BJ248)+BJ281)</f>
        <v>0.0694529120575271</v>
      </c>
      <c r="BL345" s="221">
        <f>SUM(BL222+BL223+BL224+BL227+BL245+BL248)/(SUM(BL222+BL223+BL224+BL227+BL245+BL248)+BL281)</f>
        <v>0.0584649173389518</v>
      </c>
      <c r="BM345" s="221">
        <f>SUM(BM222+BM223+BM224+BM227+BM245+BM248)/(SUM(BM222+BM223+BM224+BM227+BM245+BM248)+BM281)</f>
        <v>0.0408264125205294</v>
      </c>
      <c r="BN345" s="221">
        <f>SUM(BN222+BN223+BN224+BN227+BN245+BN248)/(SUM(BN222+BN223+BN224+BN227+BN245+BN248)+BN281)</f>
        <v>0.0367647361597776</v>
      </c>
      <c r="BO345" s="221">
        <f>SUM(BO222+BO223+BO224+BO227+BO245+BO248)/(SUM(BO222+BO223+BO224+BO227+BO245+BO248)+BO281)</f>
        <v>0.0289103818254446</v>
      </c>
      <c r="BQ345" s="221">
        <f>SUM(BQ222+BQ223+BQ224+BQ227+BQ245+BQ248)/(SUM(BQ222+BQ223+BQ224+BQ227+BQ245+BQ248)+BQ281)</f>
        <v>0.0238212511353452</v>
      </c>
      <c r="BR345" s="221">
        <f>SUM(BR222+BR223+BR224+BR227+BR245+BR248)/(SUM(BR222+BR223+BR224+BR227+BR245+BR248)+BR281)</f>
        <v>0.0160847397614683</v>
      </c>
      <c r="BS345" s="221">
        <f>SUM(BS222+BS223+BS224+BS227+BS245+BS248)/(SUM(BS222+BS223+BS224+BS227+BS245+BS248)+BS281)</f>
        <v>0.0143759951257333</v>
      </c>
      <c r="BT345" s="221">
        <f>SUM(BT222+BT223+BT224+BT227+BT245+BT248)/(SUM(BT222+BT223+BT224+BT227+BT245+BT248)+BT281)</f>
        <v>0.0111418368289948</v>
      </c>
      <c r="BV345" s="221">
        <f>SUM(BV222+BV223+BV224+BV227+BV245+BV248)/(SUM(BV222+BV223+BV224+BV227+BV245+BV248)+BV281)</f>
        <v>0.00909560456985859</v>
      </c>
      <c r="BW345" s="221">
        <f>SUM(BW222+BW223+BW224+BW227+BW245+BW248)/(SUM(BW222+BW223+BW224+BW227+BW245+BW248)+BW281)</f>
        <v>0.00605673813005622</v>
      </c>
      <c r="BX345" s="221">
        <f>SUM(BX222+BX223+BX224+BX227+BX245+BX248)/(SUM(BX222+BX223+BX224+BX227+BX245+BX248)+BX281)</f>
        <v>0.00539674792257874</v>
      </c>
      <c r="BY345" s="221">
        <f>SUM(BY222+BY223+BY224+BY227+BY245+BY248)/(SUM(BY222+BY223+BY224+BY227+BY245+BY248)+BY281)</f>
        <v>0.00415871424674551</v>
      </c>
      <c r="CA345" s="221">
        <f>SUM(CA222+CA223+CA224+CA227+CA245+CA248)/(SUM(CA222+CA223+CA224+CA227+CA245+CA248)+CA281)</f>
        <v>0.00338270855473137</v>
      </c>
      <c r="CB345" s="221">
        <f>SUM(CB222+CB223+CB224+CB227+CB245+CB248)/(SUM(CB222+CB223+CB224+CB227+CB245+CB248)+CB281)</f>
        <v>0.00224050363546207</v>
      </c>
      <c r="CC345" s="221">
        <f>SUM(CC222+CC223+CC224+CC227+CC245+CC248)/(SUM(CC222+CC223+CC224+CC227+CC245+CC248)+CC281)</f>
        <v>0.00199405620564659</v>
      </c>
      <c r="CD345" s="221">
        <f>SUM(CD222+CD223+CD224+CD227+CD245+CD248)/(SUM(CD222+CD223+CD224+CD227+CD245+CD248)+CD281)</f>
        <v>0.00153327786773117</v>
      </c>
      <c r="CF345" s="221">
        <f>SUM(CF222+CF223+CF224+CF227+CF245+CF248)/(SUM(CF222+CF223+CF224+CF227+CF245+CF248)+CF281)</f>
        <v>0.00124547793053845</v>
      </c>
      <c r="CG345" s="221">
        <f>SUM(CG222+CG223+CG224+CG227+CG245+CG248)/(SUM(CG222+CG223+CG224+CG227+CG245+CG248)+CG281)</f>
        <v>0.000823287034543694</v>
      </c>
      <c r="CH345" s="221">
        <f>SUM(CH222+CH223+CH224+CH227+CH245+CH248)/(SUM(CH222+CH223+CH224+CH227+CH245+CH248)+CH281)</f>
        <v>0.00073241275764446</v>
      </c>
      <c r="CI345" s="221">
        <f>SUM(CI222+CI223+CI224+CI227+CI245+CI248)/(SUM(CI222+CI223+CI224+CI227+CI245+CI248)+CI281)</f>
        <v>0.000562718049932642</v>
      </c>
      <c r="CK345" s="221">
        <f>SUM(CK222+CK223+CK224+CK227+CK245+CK248)/(SUM(CK222+CK223+CK224+CK227+CK245+CK248)+CK281)</f>
        <v>0.000456865611421038</v>
      </c>
      <c r="CL345" s="221">
        <f>SUM(CL222+CL223+CL224+CL227+CL245+CL248)/(SUM(CL222+CL223+CL224+CL227+CL245+CL248)+CL281)</f>
        <v>0.000301775751420823</v>
      </c>
      <c r="CM345" s="221">
        <f>SUM(CM222+CM223+CM224+CM227+CM245+CM248)/(SUM(CM222+CM223+CM224+CM227+CM245+CM248)+CM281)</f>
        <v>0.000268423413211438</v>
      </c>
      <c r="CN345" s="221">
        <f>SUM(CN222+CN223+CN224+CN227+CN245+CN248)/(SUM(CN222+CN223+CN224+CN227+CN245+CN248)+CN281)</f>
        <v>0.000206170738554053</v>
      </c>
      <c r="CP345" s="221">
        <f>SUM(CP222+CP223+CP224+CP227+CP245+CP248)/(SUM(CP222+CP223+CP224+CP227+CP245+CP248)+CP281)</f>
        <v>0.000167357288226282</v>
      </c>
      <c r="CQ345" s="221">
        <f>SUM(CQ222+CQ223+CQ224+CQ227+CQ245+CQ248)/(SUM(CQ222+CQ223+CQ224+CQ227+CQ245+CQ248)+CQ281)</f>
        <v>0.000110515553235107</v>
      </c>
      <c r="CR345" s="221">
        <f>SUM(CR222+CR223+CR224+CR227+CR245+CR248)/(SUM(CR222+CR223+CR224+CR227+CR245+CR248)+CR281)</f>
        <v>9.82956367771055e-05</v>
      </c>
      <c r="CS345" s="221">
        <f>SUM(CS222+CS223+CS224+CS227+CS245+CS248)/(SUM(CS222+CS223+CS224+CS227+CS245+CS248)+CS281)</f>
        <v>7.54907760732279e-05</v>
      </c>
      <c r="CU345" s="221">
        <f>SUM(CU222+CU223+CU224+CU227+CU245+CU248)/(SUM(CU222+CU223+CU224+CU227+CU245+CU248)+CU281)</f>
        <v>6.12748424595124e-05</v>
      </c>
      <c r="CV345" s="221">
        <f>SUM(CV222+CV223+CV224+CV227+CV245+CV248)/(SUM(CV222+CV223+CV224+CV227+CV245+CV248)+CV281)</f>
        <v>4.04592709136555e-05</v>
      </c>
      <c r="CW345" s="221">
        <f>SUM(CW222+CW223+CW224+CW227+CW245+CW248)/(SUM(CW222+CW223+CW224+CW227+CW245+CW248)+CW281)</f>
        <v>3.59848481109754e-05</v>
      </c>
      <c r="CX345" s="221">
        <f>SUM(CX222+CX223+CX224+CX227+CX245+CX248)/(SUM(CX222+CX223+CX224+CX227+CX245+CX248)+CX281)</f>
        <v>2.76351675568056e-05</v>
      </c>
    </row>
    <row r="346" customFormat="1" s="233">
      <c r="A346" s="224" t="n"/>
      <c r="B346" s="224" t="n"/>
      <c r="C346" s="233" t="inlineStr">
        <is>
          <t>NET DEBT / EBITDA LTM (com arrendamentos)</t>
        </is>
      </c>
      <c r="D346" s="219" t="str">
        <f>""</f>
        <v/>
      </c>
      <c r="E346" s="219" t="str">
        <f>""</f>
        <v/>
      </c>
      <c r="F346" s="219" t="str">
        <f>""</f>
        <v/>
      </c>
      <c r="G346" s="219">
        <f>IFERROR((SUM(G222,G223,G224,G227,G245,G248)-G154)/(G79+F79+E79+D79),"")</f>
        <v>-0.899713314076222</v>
      </c>
      <c r="I346" s="219">
        <f>IFERROR((SUM(I222,I223,I224,I227,I245,I248)-I154)/(I79+G79+F79+E79),"")</f>
        <v>-0.507500810503241</v>
      </c>
      <c r="J346" s="219">
        <f>IFERROR((SUM(J222,J223,J224,J227,J245,J248)-J154)/(J79+I79+G79+F79),"")</f>
        <v>-0.395306580938</v>
      </c>
      <c r="K346" s="219">
        <f>IFERROR((SUM(K222,K223,K224,K227,K245,K248)-K154)/(K79+J79+I79+G79),"")</f>
        <v>0.396198689890307</v>
      </c>
      <c r="L346" s="219">
        <f>IFERROR((SUM(L222,L223,L224,L227,L245,L248)-L154)/(L79+K79+J79+I79),"")</f>
        <v>0.946544171233003</v>
      </c>
      <c r="N346" s="219">
        <f>IFERROR((SUM(N222,N223,N224,N227,N245,N248)-N154)/(N79+L79+K79+J79),"")</f>
        <v>1.18974682268638</v>
      </c>
      <c r="O346" s="219">
        <f>IFERROR((SUM(O222,O223,O224,O227,O245,O248)-O154)/(O79+N79+L79+K79),"")</f>
        <v>1.04067698158836</v>
      </c>
      <c r="P346" s="219">
        <f>IFERROR((SUM(P222,P223,P224,P227,P245,P248)-P154)/(P79+O79+N79+L79),"")</f>
        <v>1.62974462777299</v>
      </c>
      <c r="Q346" s="219">
        <f>IFERROR((SUM(Q222,Q223,Q224,Q227,Q245,Q248)-Q154)/(Q79+P79+O79+N79),"")</f>
        <v>0.809249061950122</v>
      </c>
      <c r="S346" s="219">
        <f>IFERROR((SUM(S222,S223,S224,S227,S245,S248)-S154)/(S79+Q79+P79+O79),"")</f>
        <v>0.85931836744905</v>
      </c>
      <c r="T346" s="219">
        <f>IFERROR((SUM(T222,T223,T224,T227,T245,T248)-T154)/(T79+S79+Q79+P79),"")</f>
        <v>1.10436757269034</v>
      </c>
      <c r="U346" s="219">
        <f>IFERROR((SUM(U222,U223,U224,U227,U245,U248)-U154)/(U79+T79+S79+Q79),"")</f>
        <v>1.30728073300896</v>
      </c>
      <c r="V346" s="219">
        <f>IFERROR((SUM(V222,V223,V224,V227,V245,V248)-V154)/(V79+U79+T79+S79),"")</f>
        <v>1.20458106098309</v>
      </c>
      <c r="X346" s="219">
        <f>IFERROR((SUM(X222,X223,X224,X227,X245,X248)-X154)/(X79+V79+U79+T79),"")</f>
        <v>1.22500821609597</v>
      </c>
      <c r="Y346" s="219">
        <f>IFERROR((SUM(Y222,Y223,Y224,Y227,Y245,Y248)-Y154)/(Y79+X79+V79+U79),"")</f>
        <v>1.18686229546487</v>
      </c>
      <c r="Z346" s="219">
        <f>IFERROR((SUM(Z222,Z223,Z224,Z227,Z245,Z248)-Z154)/(Z79+Y79+X79+V79),"")</f>
        <v>1.35880155108598</v>
      </c>
      <c r="AA346" s="219">
        <f>IFERROR((SUM(AA222,AA223,AA224,AA227,AA245,AA248)-AA154)/(AA79+Z79+Y79+X79),"")</f>
        <v>1.19081541498009</v>
      </c>
      <c r="AC346" s="219">
        <f>IFERROR((SUM(AC222,AC223,AC224,AC227,AC245,AC248)-AC154)/(AC79+AA79+Z79+Y79),"")</f>
        <v>1.29582878279435</v>
      </c>
      <c r="AD346" s="219">
        <f>IFERROR((SUM(AD222,AD223,AD224,AD227,AD245,AD248)-AD154)/(AD79+AC79+AA79+Z79),"")</f>
        <v>1.48114570383298</v>
      </c>
      <c r="AE346" s="219">
        <f>IFERROR((SUM(AE222,AE223,AE224,AE227,AE245,AE248)-AE154)/(AE79+AD79+AC79+AA79),"")</f>
        <v>1.84892993143914</v>
      </c>
      <c r="AF346" s="219">
        <f>IFERROR((SUM(AF222,AF223,AF224,AF227,AF245,AF248)-AF154)/(AF79+AE79+AD79+AC79),"")</f>
        <v>1.77356816453357</v>
      </c>
      <c r="AH346" s="219">
        <f>IFERROR((SUM(AH222,AH223,AH224,AH227,AH245,AH248)-AH154)/(AH79+AF79+AE79+AD79),"")</f>
        <v>1.70323308048594</v>
      </c>
      <c r="AI346" s="219">
        <f>IFERROR((SUM(AI222,AI223,AI224,AI227,AI245,AI248)-AI154)/(AI79+AH79+AF79+AE79),"")</f>
        <v>1.96684431981759</v>
      </c>
      <c r="AJ346" s="219">
        <f>IFERROR((SUM(AJ222,AJ223,AJ224,AJ227,AJ245,AJ248)-AJ154)/(AJ79+AI79+AH79+AF79),"")</f>
        <v>0.159399069210459</v>
      </c>
      <c r="AK346" s="219">
        <f>IFERROR((SUM(AK222,AK223,AK224,AK227,AK245,AK248)-AK154)/(AK79+AJ79+AI79+AH79),"")</f>
        <v>0.164998028009612</v>
      </c>
      <c r="AM346" s="219" t="str">
        <f>IFERROR((SUM(AM222,AM223,AM224,AM227,AM245,AM248)-AM154)/(AM79+AK79+AJ79+AI79),"")</f>
        <v/>
      </c>
      <c r="AN346" s="219" t="str">
        <f>IFERROR((SUM(AN222,AN223,AN224,AN227,AN245,AN248)-AN154)/(AN79+AM79+AK79+AJ79),"")</f>
        <v/>
      </c>
      <c r="AO346" s="219" t="str">
        <f>IFERROR((SUM(AO222,AO223,AO224,AO227,AO245,AO248)-AO154)/(AO79+AN79+AM79+AK79),"")</f>
        <v/>
      </c>
      <c r="AP346" s="219" t="str">
        <f>IFERROR((SUM(AP222,AP223,AP224,AP227,AP245,AP248)-AP154)/(AP79+AO79+AN79+AM79),"")</f>
        <v/>
      </c>
      <c r="AR346" s="219" t="str">
        <f>IFERROR((SUM(AR222,AR223,AR224,AR227,AR245,AR248)-AR154)/(AR79+AP79+AO79+AN79),"")</f>
        <v/>
      </c>
      <c r="AS346" s="219" t="str">
        <f>IFERROR((SUM(AS222,AS223,AS224,AS227,AS245,AS248)-AS154)/(AS79+AR79+AP79+AO79),"")</f>
        <v/>
      </c>
      <c r="AT346" s="219" t="str">
        <f>IFERROR((SUM(AT222,AT223,AT224,AT227,AT245,AT248)-AT154)/(AT79+AS79+AR79+AP79),"")</f>
        <v/>
      </c>
      <c r="AU346" s="219" t="str">
        <f>IFERROR((SUM(AU222,AU223,AU224,AU227,AU245,AU248)-AU154)/(AU79+AT79+AS79+AR79),"")</f>
        <v/>
      </c>
      <c r="AW346" s="219" t="str">
        <f>IFERROR((SUM(AW222,AW223,AW224,AW227,AW245,AW248)-AW154)/(AW79+AU79+AT79+AS79),"")</f>
        <v/>
      </c>
      <c r="AX346" s="219" t="str">
        <f>IFERROR((SUM(AX222,AX223,AX224,AX227,AX245,AX248)-AX154)/(AX79+AW79+AU79+AT79),"")</f>
        <v/>
      </c>
      <c r="AY346" s="219" t="str">
        <f>IFERROR((SUM(AY222,AY223,AY224,AY227,AY245,AY248)-AY154)/(AY79+AX79+AW79+AU79),"")</f>
        <v/>
      </c>
      <c r="AZ346" s="219" t="str">
        <f>IFERROR((SUM(AZ222,AZ223,AZ224,AZ227,AZ245,AZ248)-AZ154)/(AZ79+AY79+AX79+AW79),"")</f>
        <v/>
      </c>
      <c r="BB346" s="219" t="str">
        <f>IFERROR((SUM(BB222,BB223,BB224,BB227,BB245,BB248)-BB154)/(BB79+AZ79+AY79+AX79),"")</f>
        <v/>
      </c>
      <c r="BC346" s="219" t="str">
        <f>IFERROR((SUM(BC222,BC223,BC224,BC227,BC245,BC248)-BC154)/(BC79+BB79+AZ79+AY79),"")</f>
        <v/>
      </c>
      <c r="BD346" s="219" t="str">
        <f>IFERROR((SUM(BD222,BD223,BD224,BD227,BD245,BD248)-BD154)/(BD79+BC79+BB79+AZ79),"")</f>
        <v/>
      </c>
      <c r="BE346" s="219" t="str">
        <f>IFERROR((SUM(BE222,BE223,BE224,BE227,BE245,BE248)-BE154)/(BE79+BD79+BC79+BB79),"")</f>
        <v/>
      </c>
      <c r="BG346" s="219" t="str">
        <f>IFERROR((SUM(BG222,BG223,BG224,BG227,BG245,BG248)-BG154)/(BG79+BE79+BD79+BC79),"")</f>
        <v/>
      </c>
      <c r="BH346" s="219" t="str">
        <f>IFERROR((SUM(BH222,BH223,BH224,BH227,BH245,BH248)-BH154)/(BH79+BG79+BE79+BD79),"")</f>
        <v/>
      </c>
      <c r="BI346" s="219" t="str">
        <f>IFERROR((SUM(BI222,BI223,BI224,BI227,BI245,BI248)-BI154)/(BI79+BH79+BG79+BE79),"")</f>
        <v/>
      </c>
      <c r="BJ346" s="219" t="str">
        <f>IFERROR((SUM(BJ222,BJ223,BJ224,BJ227,BJ245,BJ248)-BJ154)/(BJ79+BI79+BH79+BG79),"")</f>
        <v/>
      </c>
      <c r="BL346" s="219" t="str">
        <f>IFERROR((SUM(BL222,BL223,BL224,BL227,BL245,BL248)-BL154)/(BL79+BJ79+BI79+BH79),"")</f>
        <v/>
      </c>
      <c r="BM346" s="219" t="str">
        <f>IFERROR((SUM(BM222,BM223,BM224,BM227,BM245,BM248)-BM154)/(BM79+BL79+BJ79+BI79),"")</f>
        <v/>
      </c>
      <c r="BN346" s="219" t="str">
        <f>IFERROR((SUM(BN222,BN223,BN224,BN227,BN245,BN248)-BN154)/(BN79+BM79+BL79+BJ79),"")</f>
        <v/>
      </c>
      <c r="BO346" s="219" t="str">
        <f>IFERROR((SUM(BO222,BO223,BO224,BO227,BO245,BO248)-BO154)/(BO79+BN79+BM79+BL79),"")</f>
        <v/>
      </c>
      <c r="BQ346" s="219" t="str">
        <f>IFERROR((SUM(BQ222,BQ223,BQ224,BQ227,BQ245,BQ248)-BQ154)/(BQ79+BO79+BN79+BM79),"")</f>
        <v/>
      </c>
      <c r="BR346" s="219" t="str">
        <f>IFERROR((SUM(BR222,BR223,BR224,BR227,BR245,BR248)-BR154)/(BR79+BQ79+BO79+BN79),"")</f>
        <v/>
      </c>
      <c r="BS346" s="219" t="str">
        <f>IFERROR((SUM(BS222,BS223,BS224,BS227,BS245,BS248)-BS154)/(BS79+BR79+BQ79+BO79),"")</f>
        <v/>
      </c>
      <c r="BT346" s="219" t="str">
        <f>IFERROR((SUM(BT222,BT223,BT224,BT227,BT245,BT248)-BT154)/(BT79+BS79+BR79+BQ79),"")</f>
        <v/>
      </c>
      <c r="BV346" s="219" t="str">
        <f>IFERROR((SUM(BV222,BV223,BV224,BV227,BV245,BV248)-BV154)/(BV79+BT79+BS79+BR79),"")</f>
        <v/>
      </c>
      <c r="BW346" s="219" t="str">
        <f>IFERROR((SUM(BW222,BW223,BW224,BW227,BW245,BW248)-BW154)/(BW79+BV79+BT79+BS79),"")</f>
        <v/>
      </c>
      <c r="BX346" s="219" t="str">
        <f>IFERROR((SUM(BX222,BX223,BX224,BX227,BX245,BX248)-BX154)/(BX79+BW79+BV79+BT79),"")</f>
        <v/>
      </c>
      <c r="BY346" s="219" t="str">
        <f>IFERROR((SUM(BY222,BY223,BY224,BY227,BY245,BY248)-BY154)/(BY79+BX79+BW79+BV79),"")</f>
        <v/>
      </c>
      <c r="CA346" s="219" t="str">
        <f>IFERROR((SUM(CA222,CA223,CA224,CA227,CA245,CA248)-CA154)/(CA79+BY79+BX79+BW79),"")</f>
        <v/>
      </c>
      <c r="CB346" s="219" t="str">
        <f>IFERROR((SUM(CB222,CB223,CB224,CB227,CB245,CB248)-CB154)/(CB79+CA79+BY79+BX79),"")</f>
        <v/>
      </c>
      <c r="CC346" s="219" t="str">
        <f>IFERROR((SUM(CC222,CC223,CC224,CC227,CC245,CC248)-CC154)/(CC79+CB79+CA79+BY79),"")</f>
        <v/>
      </c>
      <c r="CD346" s="219" t="str">
        <f>IFERROR((SUM(CD222,CD223,CD224,CD227,CD245,CD248)-CD154)/(CD79+CC79+CB79+CA79),"")</f>
        <v/>
      </c>
      <c r="CF346" s="219" t="str">
        <f>IFERROR((SUM(CF222,CF223,CF224,CF227,CF245,CF248)-CF154)/(CF79+CD79+CC79+CB79),"")</f>
        <v/>
      </c>
      <c r="CG346" s="219" t="str">
        <f>IFERROR((SUM(CG222,CG223,CG224,CG227,CG245,CG248)-CG154)/(CG79+CF79+CD79+CC79),"")</f>
        <v/>
      </c>
      <c r="CH346" s="219" t="str">
        <f>IFERROR((SUM(CH222,CH223,CH224,CH227,CH245,CH248)-CH154)/(CH79+CG79+CF79+CD79),"")</f>
        <v/>
      </c>
      <c r="CI346" s="219" t="str">
        <f>IFERROR((SUM(CI222,CI223,CI224,CI227,CI245,CI248)-CI154)/(CI79+CH79+CG79+CF79),"")</f>
        <v/>
      </c>
      <c r="CK346" s="219" t="str">
        <f>IFERROR((SUM(CK222,CK223,CK224,CK227,CK245,CK248)-CK154)/(CK79+CI79+CH79+CG79),"")</f>
        <v/>
      </c>
      <c r="CL346" s="219" t="str">
        <f>IFERROR((SUM(CL222,CL223,CL224,CL227,CL245,CL248)-CL154)/(CL79+CK79+CI79+CH79),"")</f>
        <v/>
      </c>
      <c r="CM346" s="219" t="str">
        <f>IFERROR((SUM(CM222,CM223,CM224,CM227,CM245,CM248)-CM154)/(CM79+CL79+CK79+CI79),"")</f>
        <v/>
      </c>
      <c r="CN346" s="219" t="str">
        <f>IFERROR((SUM(CN222,CN223,CN224,CN227,CN245,CN248)-CN154)/(CN79+CM79+CL79+CK79),"")</f>
        <v/>
      </c>
      <c r="CP346" s="219" t="str">
        <f>IFERROR((SUM(CP222,CP223,CP224,CP227,CP245,CP248)-CP154)/(CP79+CN79+CM79+CL79),"")</f>
        <v/>
      </c>
      <c r="CQ346" s="219" t="str">
        <f>IFERROR((SUM(CQ222,CQ223,CQ224,CQ227,CQ245,CQ248)-CQ154)/(CQ79+CP79+CN79+CM79),"")</f>
        <v/>
      </c>
      <c r="CR346" s="219" t="str">
        <f>IFERROR((SUM(CR222,CR223,CR224,CR227,CR245,CR248)-CR154)/(CR79+CQ79+CP79+CN79),"")</f>
        <v/>
      </c>
      <c r="CS346" s="219" t="str">
        <f>IFERROR((SUM(CS222,CS223,CS224,CS227,CS245,CS248)-CS154)/(CS79+CR79+CQ79+CP79),"")</f>
        <v/>
      </c>
      <c r="CU346" s="219" t="str">
        <f>IFERROR((SUM(CU222,CU223,CU224,CU227,CU245,CU248)-CU154)/(CU79+CS79+CR79+CQ79),"")</f>
        <v/>
      </c>
      <c r="CV346" s="219" t="str">
        <f>IFERROR((SUM(CV222,CV223,CV224,CV227,CV245,CV248)-CV154)/(CV79+CU79+CS79+CR79),"")</f>
        <v/>
      </c>
      <c r="CW346" s="219" t="str">
        <f>IFERROR((SUM(CW222,CW223,CW224,CW227,CW245,CW248)-CW154)/(CW79+CV79+CU79+CS79),"")</f>
        <v/>
      </c>
      <c r="CX346" s="219" t="str">
        <f>IFERROR((SUM(CX222,CX223,CX224,CX227,CX245,CX248)-CX154)/(CX79+CW79+CV79+CU79),"")</f>
        <v/>
      </c>
    </row>
    <row r="347" customFormat="1" s="233">
      <c r="A347" s="224" t="n"/>
      <c r="B347" s="224" t="n"/>
      <c r="C347" s="237" t="inlineStr">
        <is>
          <t>NET DEBT (EX IFRS 16) / EBITDA LTM</t>
        </is>
      </c>
      <c r="D347" s="219" t="str">
        <f>""</f>
        <v/>
      </c>
      <c r="E347" s="219" t="str">
        <f>""</f>
        <v/>
      </c>
      <c r="F347" s="219" t="str">
        <f>""</f>
        <v/>
      </c>
      <c r="G347" s="219">
        <f>IFERROR((SUM(G222,G223,G227,G248)-G154)/(G79+F79+E79+D79),"")</f>
        <v>-1.46225584180443</v>
      </c>
      <c r="I347" s="219">
        <f>IFERROR((SUM(I222,I223,I227,I248)-I154)/(I79+G79+F79+E79),"")</f>
        <v>-1.10417828445071</v>
      </c>
      <c r="J347" s="219">
        <f>IFERROR((SUM(J222,J223,J227,J248)-J154)/(J79+I79+G79+F79),"")</f>
        <v>-1.03734613444248</v>
      </c>
      <c r="K347" s="219">
        <f>IFERROR((SUM(K222,K223,K227,K248)-K154)/(K79+J79+I79+G79),"")</f>
        <v>-0.386951786422065</v>
      </c>
      <c r="L347" s="219">
        <f>IFERROR((SUM(L222,L223,L227,L248)-L154)/(L79+K79+J79+I79),"")</f>
        <v>0.137719900889553</v>
      </c>
      <c r="N347" s="219">
        <f>IFERROR((SUM(N222,N223,N227,N248)-N154)/(N79+L79+K79+J79),"")</f>
        <v>0.342995541241751</v>
      </c>
      <c r="O347" s="219">
        <f>IFERROR((SUM(O222,O223,O227,O248)-O154)/(O79+N79+L79+K79),"")</f>
        <v>0.125973211407727</v>
      </c>
      <c r="P347" s="219">
        <f>IFERROR((SUM(P222,P223,P227,P248)-P154)/(P79+O79+N79+L79),"")</f>
        <v>0.751791956832478</v>
      </c>
      <c r="Q347" s="219">
        <f>IFERROR((SUM(Q222,Q223,Q227,Q248)-Q154)/(Q79+P79+O79+N79),"")</f>
        <v>0.0200052979340383</v>
      </c>
      <c r="S347" s="219">
        <f>IFERROR((SUM(S222,S223,S227,S248)-S154)/(S79+Q79+P79+O79),"")</f>
        <v>0.075250083290784</v>
      </c>
      <c r="T347" s="219">
        <f>IFERROR((SUM(T222,T223,T227,T248)-T154)/(T79+S79+Q79+P79),"")</f>
        <v>0.232089825848844</v>
      </c>
      <c r="U347" s="219">
        <f>IFERROR((SUM(U222,U223,U227,U248)-U154)/(U79+T79+S79+Q79),"")</f>
        <v>0.34081410476784</v>
      </c>
      <c r="V347" s="219">
        <f>IFERROR((SUM(V222,V223,V227,V248)-V154)/(V79+U79+T79+S79),"")</f>
        <v>0.240355113134886</v>
      </c>
      <c r="X347" s="219">
        <f>IFERROR((SUM(X222,X223,X227,X248)-X154)/(X79+V79+U79+T79),"")</f>
        <v>0.221490464805723</v>
      </c>
      <c r="Y347" s="219">
        <f>IFERROR((SUM(Y222,Y223,Y227,Y248)-Y154)/(Y79+X79+V79+U79),"")</f>
        <v>0.268774799393442</v>
      </c>
      <c r="Z347" s="219">
        <f>IFERROR((SUM(Z222,Z223,Z227,Z248)-Z154)/(Z79+Y79+X79+V79),"")</f>
        <v>0.480778916380746</v>
      </c>
      <c r="AA347" s="219">
        <f>IFERROR((SUM(AA222,AA223,AA227,AA248)-AA154)/(AA79+Z79+Y79+X79),"")</f>
        <v>0.261291597082047</v>
      </c>
      <c r="AC347" s="219">
        <f>IFERROR((SUM(AC222,AC223,AC227,AC248)-AC154)/(AC79+AA79+Z79+Y79),"")</f>
        <v>0.255064651624198</v>
      </c>
      <c r="AD347" s="219">
        <f>IFERROR((SUM(AD222,AD223,AD227,AD248)-AD154)/(AD79+AC79+AA79+Z79),"")</f>
        <v>0.411711567984255</v>
      </c>
      <c r="AE347" s="219">
        <f>IFERROR((SUM(AE222,AE223,AE227,AE248)-AE154)/(AE79+AD79+AC79+AA79),"")</f>
        <v>0.508856326799924</v>
      </c>
      <c r="AF347" s="219">
        <f>IFERROR((SUM(AF222,AF223,AF227,AF248)-AF154)/(AF79+AE79+AD79+AC79),"")</f>
        <v>0.377391696509969</v>
      </c>
      <c r="AH347" s="219">
        <f>IFERROR((SUM(AH222,AH223,AH227,AH248)-AH154)/(AH79+AF79+AE79+AD79),"")</f>
        <v>0.266213724297564</v>
      </c>
      <c r="AI347" s="219">
        <f>IFERROR((SUM(AI222,AI223,AI227,AI248)-AI154)/(AI79+AH79+AF79+AE79),"")</f>
        <v>0.409226130291955</v>
      </c>
      <c r="AJ347" s="219">
        <f>IFERROR((SUM(AJ222,AJ223,AJ227,AJ248)-AJ154)/(AJ79+AI79+AH79+AF79),"")</f>
        <v>-2.10466211251119</v>
      </c>
      <c r="AK347" s="219">
        <f>IFERROR((SUM(AK222,AK223,AK227,AK248)-AK154)/(AK79+AJ79+AI79+AH79),"")</f>
        <v>-3.23141450094762</v>
      </c>
      <c r="AM347" s="219" t="str">
        <f>IFERROR((SUM(AM222,AM223,AM227,AM248)-AM154)/(AM79+AK79+AJ79+AI79),"")</f>
        <v/>
      </c>
      <c r="AN347" s="219" t="str">
        <f>IFERROR((SUM(AN222,AN223,AN227,AN248)-AN154)/(AN79+AM79+AK79+AJ79),"")</f>
        <v/>
      </c>
      <c r="AO347" s="219" t="str">
        <f>IFERROR((SUM(AO222,AO223,AO227,AO248)-AO154)/(AO79+AN79+AM79+AK79),"")</f>
        <v/>
      </c>
      <c r="AP347" s="219" t="str">
        <f>IFERROR((SUM(AP222,AP223,AP227,AP248)-AP154)/(AP79+AO79+AN79+AM79),"")</f>
        <v/>
      </c>
      <c r="AR347" s="219" t="str">
        <f>IFERROR((SUM(AR222,AR223,AR227,AR248)-AR154)/(AR79+AP79+AO79+AN79),"")</f>
        <v/>
      </c>
      <c r="AS347" s="219" t="str">
        <f>IFERROR((SUM(AS222,AS223,AS227,AS248)-AS154)/(AS79+AR79+AP79+AO79),"")</f>
        <v/>
      </c>
      <c r="AT347" s="219" t="str">
        <f>IFERROR((SUM(AT222,AT223,AT227,AT248)-AT154)/(AT79+AS79+AR79+AP79),"")</f>
        <v/>
      </c>
      <c r="AU347" s="219" t="str">
        <f>IFERROR((SUM(AU222,AU223,AU227,AU248)-AU154)/(AU79+AT79+AS79+AR79),"")</f>
        <v/>
      </c>
      <c r="AW347" s="219" t="str">
        <f>IFERROR((SUM(AW222,AW223,AW227,AW248)-AW154)/(AW79+AU79+AT79+AS79),"")</f>
        <v/>
      </c>
      <c r="AX347" s="219" t="str">
        <f>IFERROR((SUM(AX222,AX223,AX227,AX248)-AX154)/(AX79+AW79+AU79+AT79),"")</f>
        <v/>
      </c>
      <c r="AY347" s="219" t="str">
        <f>IFERROR((SUM(AY222,AY223,AY227,AY248)-AY154)/(AY79+AX79+AW79+AU79),"")</f>
        <v/>
      </c>
      <c r="AZ347" s="219" t="str">
        <f>IFERROR((SUM(AZ222,AZ223,AZ227,AZ248)-AZ154)/(AZ79+AY79+AX79+AW79),"")</f>
        <v/>
      </c>
      <c r="BB347" s="219" t="str">
        <f>IFERROR((SUM(BB222,BB223,BB227,BB248)-BB154)/(BB79+AZ79+AY79+AX79),"")</f>
        <v/>
      </c>
      <c r="BC347" s="219" t="str">
        <f>IFERROR((SUM(BC222,BC223,BC227,BC248)-BC154)/(BC79+BB79+AZ79+AY79),"")</f>
        <v/>
      </c>
      <c r="BD347" s="219" t="str">
        <f>IFERROR((SUM(BD222,BD223,BD227,BD248)-BD154)/(BD79+BC79+BB79+AZ79),"")</f>
        <v/>
      </c>
      <c r="BE347" s="219" t="str">
        <f>IFERROR((SUM(BE222,BE223,BE227,BE248)-BE154)/(BE79+BD79+BC79+BB79),"")</f>
        <v/>
      </c>
      <c r="BG347" s="219" t="str">
        <f>IFERROR((SUM(BG222,BG223,BG227,BG248)-BG154)/(BG79+BE79+BD79+BC79),"")</f>
        <v/>
      </c>
      <c r="BH347" s="219" t="str">
        <f>IFERROR((SUM(BH222,BH223,BH227,BH248)-BH154)/(BH79+BG79+BE79+BD79),"")</f>
        <v/>
      </c>
      <c r="BI347" s="219" t="str">
        <f>IFERROR((SUM(BI222,BI223,BI227,BI248)-BI154)/(BI79+BH79+BG79+BE79),"")</f>
        <v/>
      </c>
      <c r="BJ347" s="219" t="str">
        <f>IFERROR((SUM(BJ222,BJ223,BJ227,BJ248)-BJ154)/(BJ79+BI79+BH79+BG79),"")</f>
        <v/>
      </c>
      <c r="BL347" s="219" t="str">
        <f>IFERROR((SUM(BL222,BL223,BL227,BL248)-BL154)/(BL79+BJ79+BI79+BH79),"")</f>
        <v/>
      </c>
      <c r="BM347" s="219" t="str">
        <f>IFERROR((SUM(BM222,BM223,BM227,BM248)-BM154)/(BM79+BL79+BJ79+BI79),"")</f>
        <v/>
      </c>
      <c r="BN347" s="219" t="str">
        <f>IFERROR((SUM(BN222,BN223,BN227,BN248)-BN154)/(BN79+BM79+BL79+BJ79),"")</f>
        <v/>
      </c>
      <c r="BO347" s="219" t="str">
        <f>IFERROR((SUM(BO222,BO223,BO227,BO248)-BO154)/(BO79+BN79+BM79+BL79),"")</f>
        <v/>
      </c>
      <c r="BQ347" s="219" t="str">
        <f>IFERROR((SUM(BQ222,BQ223,BQ227,BQ248)-BQ154)/(BQ79+BO79+BN79+BM79),"")</f>
        <v/>
      </c>
      <c r="BR347" s="219" t="str">
        <f>IFERROR((SUM(BR222,BR223,BR227,BR248)-BR154)/(BR79+BQ79+BO79+BN79),"")</f>
        <v/>
      </c>
      <c r="BS347" s="219" t="str">
        <f>IFERROR((SUM(BS222,BS223,BS227,BS248)-BS154)/(BS79+BR79+BQ79+BO79),"")</f>
        <v/>
      </c>
      <c r="BT347" s="219" t="str">
        <f>IFERROR((SUM(BT222,BT223,BT227,BT248)-BT154)/(BT79+BS79+BR79+BQ79),"")</f>
        <v/>
      </c>
      <c r="BV347" s="219" t="str">
        <f>IFERROR((SUM(BV222,BV223,BV227,BV248)-BV154)/(BV79+BT79+BS79+BR79),"")</f>
        <v/>
      </c>
      <c r="BW347" s="219" t="str">
        <f>IFERROR((SUM(BW222,BW223,BW227,BW248)-BW154)/(BW79+BV79+BT79+BS79),"")</f>
        <v/>
      </c>
      <c r="BX347" s="219" t="str">
        <f>IFERROR((SUM(BX222,BX223,BX227,BX248)-BX154)/(BX79+BW79+BV79+BT79),"")</f>
        <v/>
      </c>
      <c r="BY347" s="219" t="str">
        <f>IFERROR((SUM(BY222,BY223,BY227,BY248)-BY154)/(BY79+BX79+BW79+BV79),"")</f>
        <v/>
      </c>
      <c r="CA347" s="219" t="str">
        <f>IFERROR((SUM(CA222,CA223,CA227,CA248)-CA154)/(CA79+BY79+BX79+BW79),"")</f>
        <v/>
      </c>
      <c r="CB347" s="219" t="str">
        <f>IFERROR((SUM(CB222,CB223,CB227,CB248)-CB154)/(CB79+CA79+BY79+BX79),"")</f>
        <v/>
      </c>
      <c r="CC347" s="219" t="str">
        <f>IFERROR((SUM(CC222,CC223,CC227,CC248)-CC154)/(CC79+CB79+CA79+BY79),"")</f>
        <v/>
      </c>
      <c r="CD347" s="219" t="str">
        <f>IFERROR((SUM(CD222,CD223,CD227,CD248)-CD154)/(CD79+CC79+CB79+CA79),"")</f>
        <v/>
      </c>
      <c r="CF347" s="219" t="str">
        <f>IFERROR((SUM(CF222,CF223,CF227,CF248)-CF154)/(CF79+CD79+CC79+CB79),"")</f>
        <v/>
      </c>
      <c r="CG347" s="219" t="str">
        <f>IFERROR((SUM(CG222,CG223,CG227,CG248)-CG154)/(CG79+CF79+CD79+CC79),"")</f>
        <v/>
      </c>
      <c r="CH347" s="219" t="str">
        <f>IFERROR((SUM(CH222,CH223,CH227,CH248)-CH154)/(CH79+CG79+CF79+CD79),"")</f>
        <v/>
      </c>
      <c r="CI347" s="219" t="str">
        <f>IFERROR((SUM(CI222,CI223,CI227,CI248)-CI154)/(CI79+CH79+CG79+CF79),"")</f>
        <v/>
      </c>
      <c r="CK347" s="219" t="str">
        <f>IFERROR((SUM(CK222,CK223,CK227,CK248)-CK154)/(CK79+CI79+CH79+CG79),"")</f>
        <v/>
      </c>
      <c r="CL347" s="219" t="str">
        <f>IFERROR((SUM(CL222,CL223,CL227,CL248)-CL154)/(CL79+CK79+CI79+CH79),"")</f>
        <v/>
      </c>
      <c r="CM347" s="219" t="str">
        <f>IFERROR((SUM(CM222,CM223,CM227,CM248)-CM154)/(CM79+CL79+CK79+CI79),"")</f>
        <v/>
      </c>
      <c r="CN347" s="219" t="str">
        <f>IFERROR((SUM(CN222,CN223,CN227,CN248)-CN154)/(CN79+CM79+CL79+CK79),"")</f>
        <v/>
      </c>
      <c r="CP347" s="219" t="str">
        <f>IFERROR((SUM(CP222,CP223,CP227,CP248)-CP154)/(CP79+CN79+CM79+CL79),"")</f>
        <v/>
      </c>
      <c r="CQ347" s="219" t="str">
        <f>IFERROR((SUM(CQ222,CQ223,CQ227,CQ248)-CQ154)/(CQ79+CP79+CN79+CM79),"")</f>
        <v/>
      </c>
      <c r="CR347" s="219" t="str">
        <f>IFERROR((SUM(CR222,CR223,CR227,CR248)-CR154)/(CR79+CQ79+CP79+CN79),"")</f>
        <v/>
      </c>
      <c r="CS347" s="219" t="str">
        <f>IFERROR((SUM(CS222,CS223,CS227,CS248)-CS154)/(CS79+CR79+CQ79+CP79),"")</f>
        <v/>
      </c>
      <c r="CU347" s="219" t="str">
        <f>IFERROR((SUM(CU222,CU223,CU227,CU248)-CU154)/(CU79+CS79+CR79+CQ79),"")</f>
        <v/>
      </c>
      <c r="CV347" s="219" t="str">
        <f>IFERROR((SUM(CV222,CV223,CV227,CV248)-CV154)/(CV79+CU79+CS79+CR79),"")</f>
        <v/>
      </c>
      <c r="CW347" s="219" t="str">
        <f>IFERROR((SUM(CW222,CW223,CW227,CW248)-CW154)/(CW79+CV79+CU79+CS79),"")</f>
        <v/>
      </c>
      <c r="CX347" s="219" t="str">
        <f>IFERROR((SUM(CX222,CX223,CX227,CX248)-CX154)/(CX79+CW79+CV79+CU79),"")</f>
        <v/>
      </c>
    </row>
    <row r="348" customFormat="1" s="233">
      <c r="A348" s="224" t="n"/>
      <c r="B348" s="224" t="n"/>
      <c r="C348" s="233" t="inlineStr">
        <is>
          <t>INTEREST COVERAGE</t>
        </is>
      </c>
      <c r="D348" s="219">
        <f>D83/-D84</f>
        <v>2.5757328493624</v>
      </c>
      <c r="E348" s="219">
        <f>E83/-E84</f>
        <v>3.79815912842515</v>
      </c>
      <c r="F348" s="219">
        <f>F83/-F84</f>
        <v>4.79240205934955</v>
      </c>
      <c r="G348" s="219">
        <f>G83/-G84</f>
        <v>3.98931648910277</v>
      </c>
      <c r="I348" s="219">
        <f>I83/-I84</f>
        <v>3.59620345274418</v>
      </c>
      <c r="J348" s="219">
        <f>J83/-J84</f>
        <v>3.82593553063188</v>
      </c>
      <c r="K348" s="219">
        <f>K83/-K84</f>
        <v>2.85190382738924</v>
      </c>
      <c r="L348" s="219">
        <f>L83/-L84</f>
        <v>3.60451263506647</v>
      </c>
      <c r="N348" s="219">
        <f>N83/-N84</f>
        <v>3.13868104482505</v>
      </c>
      <c r="O348" s="219">
        <f>O83/-O84</f>
        <v>3.44081970682268</v>
      </c>
      <c r="P348" s="219">
        <f>P83/-P84</f>
        <v>2.81453554131261</v>
      </c>
      <c r="Q348" s="219">
        <f>Q83/-Q84</f>
        <v>2.72229014331584</v>
      </c>
      <c r="S348" s="219">
        <f>S83/-S84</f>
        <v>2.30207904957341</v>
      </c>
      <c r="T348" s="219">
        <f>T83/-T84</f>
        <v>2.47832261698596</v>
      </c>
      <c r="U348" s="219">
        <f>U83/-U84</f>
        <v>2.52605504475208</v>
      </c>
      <c r="V348" s="219">
        <f>V83/-V84</f>
        <v>3.00154753015318</v>
      </c>
      <c r="X348" s="219">
        <f>X83/-X84</f>
        <v>2.164700655104</v>
      </c>
      <c r="Y348" s="219">
        <f>Y83/-Y84</f>
        <v>2.30768508229658</v>
      </c>
      <c r="Z348" s="219">
        <f>Z83/-Z84</f>
        <v>2.64744959049763</v>
      </c>
      <c r="AA348" s="219">
        <f>AA83/-AA84</f>
        <v>2.20789196082882</v>
      </c>
      <c r="AC348" s="219">
        <f>AC83/-AC84</f>
        <v>1.9178800442123</v>
      </c>
      <c r="AD348" s="219">
        <f>AD83/-AD84</f>
        <v>2.47339870286745</v>
      </c>
      <c r="AE348" s="219">
        <f>AE83/-AE84</f>
        <v>2.19560131790326</v>
      </c>
      <c r="AF348" s="219">
        <f>AF83/-AF84</f>
        <v>1.12373737373745</v>
      </c>
      <c r="AH348" s="219">
        <f>AH83/-AH84</f>
        <v>1.24050175627599</v>
      </c>
      <c r="AI348" s="219">
        <f>AI83/-AI84</f>
        <v>1.49055677324128</v>
      </c>
      <c r="AJ348" s="219" t="e">
        <f>AJ83/-AJ84</f>
        <v>#DIV/0!</v>
      </c>
      <c r="AK348" s="219" t="e">
        <f>AK83/-AK84</f>
        <v>#DIV/0!</v>
      </c>
      <c r="AM348" s="219" t="e">
        <f>AM83/-AM84</f>
        <v>#DIV/0!</v>
      </c>
      <c r="AN348" s="219" t="e">
        <f>AN83/-AN84</f>
        <v>#DIV/0!</v>
      </c>
      <c r="AO348" s="219" t="e">
        <f>AO83/-AO84</f>
        <v>#DIV/0!</v>
      </c>
      <c r="AP348" s="219" t="e">
        <f>AP83/-AP84</f>
        <v>#DIV/0!</v>
      </c>
      <c r="AR348" s="219" t="e">
        <f>AR83/-AR84</f>
        <v>#DIV/0!</v>
      </c>
      <c r="AS348" s="219" t="e">
        <f>AS83/-AS84</f>
        <v>#DIV/0!</v>
      </c>
      <c r="AT348" s="219" t="e">
        <f>AT83/-AT84</f>
        <v>#DIV/0!</v>
      </c>
      <c r="AU348" s="219" t="e">
        <f>AU83/-AU84</f>
        <v>#DIV/0!</v>
      </c>
      <c r="AW348" s="219" t="e">
        <f>AW83/-AW84</f>
        <v>#DIV/0!</v>
      </c>
      <c r="AX348" s="219" t="e">
        <f>AX83/-AX84</f>
        <v>#DIV/0!</v>
      </c>
      <c r="AY348" s="219" t="e">
        <f>AY83/-AY84</f>
        <v>#DIV/0!</v>
      </c>
      <c r="AZ348" s="219" t="e">
        <f>AZ83/-AZ84</f>
        <v>#DIV/0!</v>
      </c>
      <c r="BB348" s="219" t="e">
        <f>BB83/-BB84</f>
        <v>#DIV/0!</v>
      </c>
      <c r="BC348" s="219" t="e">
        <f>BC83/-BC84</f>
        <v>#DIV/0!</v>
      </c>
      <c r="BD348" s="219" t="e">
        <f>BD83/-BD84</f>
        <v>#DIV/0!</v>
      </c>
      <c r="BE348" s="219" t="e">
        <f>BE83/-BE84</f>
        <v>#DIV/0!</v>
      </c>
      <c r="BG348" s="219" t="e">
        <f>BG83/-BG84</f>
        <v>#DIV/0!</v>
      </c>
      <c r="BH348" s="219" t="e">
        <f>BH83/-BH84</f>
        <v>#DIV/0!</v>
      </c>
      <c r="BI348" s="219" t="e">
        <f>BI83/-BI84</f>
        <v>#DIV/0!</v>
      </c>
      <c r="BJ348" s="219" t="e">
        <f>BJ83/-BJ84</f>
        <v>#DIV/0!</v>
      </c>
      <c r="BL348" s="219" t="e">
        <f>BL83/-BL84</f>
        <v>#DIV/0!</v>
      </c>
      <c r="BM348" s="219" t="e">
        <f>BM83/-BM84</f>
        <v>#DIV/0!</v>
      </c>
      <c r="BN348" s="219" t="e">
        <f>BN83/-BN84</f>
        <v>#DIV/0!</v>
      </c>
      <c r="BO348" s="219" t="e">
        <f>BO83/-BO84</f>
        <v>#DIV/0!</v>
      </c>
      <c r="BQ348" s="219" t="e">
        <f>BQ83/-BQ84</f>
        <v>#DIV/0!</v>
      </c>
      <c r="BR348" s="219" t="e">
        <f>BR83/-BR84</f>
        <v>#DIV/0!</v>
      </c>
      <c r="BS348" s="219" t="e">
        <f>BS83/-BS84</f>
        <v>#DIV/0!</v>
      </c>
      <c r="BT348" s="219" t="e">
        <f>BT83/-BT84</f>
        <v>#DIV/0!</v>
      </c>
      <c r="BV348" s="219" t="e">
        <f>BV83/-BV84</f>
        <v>#DIV/0!</v>
      </c>
      <c r="BW348" s="219" t="e">
        <f>BW83/-BW84</f>
        <v>#DIV/0!</v>
      </c>
      <c r="BX348" s="219" t="e">
        <f>BX83/-BX84</f>
        <v>#DIV/0!</v>
      </c>
      <c r="BY348" s="219" t="e">
        <f>BY83/-BY84</f>
        <v>#DIV/0!</v>
      </c>
      <c r="CA348" s="219" t="e">
        <f>CA83/-CA84</f>
        <v>#DIV/0!</v>
      </c>
      <c r="CB348" s="219" t="e">
        <f>CB83/-CB84</f>
        <v>#DIV/0!</v>
      </c>
      <c r="CC348" s="219" t="e">
        <f>CC83/-CC84</f>
        <v>#DIV/0!</v>
      </c>
      <c r="CD348" s="219" t="e">
        <f>CD83/-CD84</f>
        <v>#DIV/0!</v>
      </c>
      <c r="CF348" s="219" t="e">
        <f>CF83/-CF84</f>
        <v>#DIV/0!</v>
      </c>
      <c r="CG348" s="219" t="e">
        <f>CG83/-CG84</f>
        <v>#DIV/0!</v>
      </c>
      <c r="CH348" s="219" t="e">
        <f>CH83/-CH84</f>
        <v>#DIV/0!</v>
      </c>
      <c r="CI348" s="219" t="e">
        <f>CI83/-CI84</f>
        <v>#DIV/0!</v>
      </c>
      <c r="CK348" s="219" t="e">
        <f>CK83/-CK84</f>
        <v>#DIV/0!</v>
      </c>
      <c r="CL348" s="219" t="e">
        <f>CL83/-CL84</f>
        <v>#DIV/0!</v>
      </c>
      <c r="CM348" s="219" t="e">
        <f>CM83/-CM84</f>
        <v>#DIV/0!</v>
      </c>
      <c r="CN348" s="219" t="e">
        <f>CN83/-CN84</f>
        <v>#DIV/0!</v>
      </c>
      <c r="CP348" s="219" t="e">
        <f>CP83/-CP84</f>
        <v>#DIV/0!</v>
      </c>
      <c r="CQ348" s="219" t="e">
        <f>CQ83/-CQ84</f>
        <v>#DIV/0!</v>
      </c>
      <c r="CR348" s="219" t="e">
        <f>CR83/-CR84</f>
        <v>#DIV/0!</v>
      </c>
      <c r="CS348" s="219" t="e">
        <f>CS83/-CS84</f>
        <v>#DIV/0!</v>
      </c>
      <c r="CU348" s="219" t="e">
        <f>CU83/-CU84</f>
        <v>#DIV/0!</v>
      </c>
      <c r="CV348" s="219" t="e">
        <f>CV83/-CV84</f>
        <v>#DIV/0!</v>
      </c>
      <c r="CW348" s="219" t="e">
        <f>CW83/-CW84</f>
        <v>#DIV/0!</v>
      </c>
      <c r="CX348" s="219" t="e">
        <f>CX83/-CX84</f>
        <v>#DIV/0!</v>
      </c>
    </row>
    <row r="349" customFormat="1" s="233">
      <c r="A349" s="224" t="n"/>
      <c r="B349" s="224" t="n"/>
    </row>
    <row r="350" customFormat="1" s="233">
      <c r="A350" s="224" t="n"/>
      <c r="B350" s="224" t="n"/>
      <c r="C350" s="234" t="inlineStr">
        <is>
          <t>INTERNAL LIQUIDITY</t>
        </is>
      </c>
    </row>
    <row r="351" customFormat="1" s="233">
      <c r="A351" s="224" t="n"/>
      <c r="B351" s="224" t="n"/>
      <c r="C351" s="233" t="inlineStr">
        <is>
          <t>CURRENT RATIO</t>
        </is>
      </c>
      <c r="D351" s="219" t="e">
        <f>SUM(D154,D155,D159,D163,D164,D165)/SUM(D208,D212,D214,D215)</f>
        <v>#N/A</v>
      </c>
      <c r="E351" s="219">
        <f>SUM(E154,E155,E159,E163,E164,E165)/SUM(E208,E212,E214,E215)</f>
        <v>3.39436820452682</v>
      </c>
      <c r="F351" s="219">
        <f>SUM(F154,F155,F159,F163,F164,F165)/SUM(F208,F212,F214,F215)</f>
        <v>3.12676295781296</v>
      </c>
      <c r="G351" s="219">
        <f>SUM(G154,G155,G159,G163,G164,G165)/SUM(G208,G212,G214,G215)</f>
        <v>4.93194605873622</v>
      </c>
      <c r="I351" s="219">
        <f>SUM(I154,I155,I159,I163,I164,I165)/SUM(I208,I212,I214,I215)</f>
        <v>5.75348181583753</v>
      </c>
      <c r="J351" s="219">
        <f>SUM(J154,J155,J159,J163,J164,J165)/SUM(J208,J212,J214,J215)</f>
        <v>4.44537774419637</v>
      </c>
      <c r="K351" s="219">
        <f>SUM(K154,K155,K159,K163,K164,K165)/SUM(K208,K212,K214,K215)</f>
        <v>4.35137372496902</v>
      </c>
      <c r="L351" s="219">
        <f>SUM(L154,L155,L159,L163,L164,L165)/SUM(L208,L212,L214,L215)</f>
        <v>4.43050676095478</v>
      </c>
      <c r="N351" s="219">
        <f>SUM(N154,N155,N159,N163,N164,N165)/SUM(N208,N212,N214,N215)</f>
        <v>3.96214332266017</v>
      </c>
      <c r="O351" s="219">
        <f>SUM(O154,O155,O159,O163,O164,O165)/SUM(O208,O212,O214,O215)</f>
        <v>3.36061227445056</v>
      </c>
      <c r="P351" s="219">
        <f>SUM(P154,P155,P159,P163,P164,P165)/SUM(P208,P212,P214,P215)</f>
        <v>4.06652053589232</v>
      </c>
      <c r="Q351" s="219">
        <f>SUM(Q154,Q155,Q159,Q163,Q164,Q165)/SUM(Q208,Q212,Q214,Q215)</f>
        <v>3.54875808892765</v>
      </c>
      <c r="S351" s="219">
        <f>SUM(S154,S155,S159,S163,S164,S165)/SUM(S208,S212,S214,S215)</f>
        <v>3.39668332390817</v>
      </c>
      <c r="T351" s="219">
        <f>SUM(T154,T155,T159,T163,T164,T165)/SUM(T208,T212,T214,T215)</f>
        <v>3.27333631133613</v>
      </c>
      <c r="U351" s="219">
        <f>SUM(U154,U155,U159,U163,U164,U165)/SUM(U208,U212,U214,U215)</f>
        <v>3.16298044295854</v>
      </c>
      <c r="V351" s="219">
        <f>SUM(V154,V155,V159,V163,V164,V165)/SUM(V208,V212,V214,V215)</f>
        <v>2.7770400377915</v>
      </c>
      <c r="X351" s="219">
        <f>SUM(X154,X155,X159,X163,X164,X165)/SUM(X208,X212,X214,X215)</f>
        <v>2.84408623610893</v>
      </c>
      <c r="Y351" s="219">
        <f>SUM(Y154,Y155,Y159,Y163,Y164,Y165)/SUM(Y208,Y212,Y214,Y215)</f>
        <v>2.57399896057747</v>
      </c>
      <c r="Z351" s="219">
        <f>SUM(Z154,Z155,Z159,Z163,Z164,Z165)/SUM(Z208,Z212,Z214,Z215)</f>
        <v>2.43687839875783</v>
      </c>
      <c r="AA351" s="219">
        <f>SUM(AA154,AA155,AA159,AA163,AA164,AA165)/SUM(AA208,AA212,AA214,AA215)</f>
        <v>2.7236059720092</v>
      </c>
      <c r="AC351" s="219">
        <f>SUM(AC154,AC155,AC159,AC163,AC164,AC165)/SUM(AC208,AC212,AC214,AC215)</f>
        <v>2.46651988087105</v>
      </c>
      <c r="AD351" s="219">
        <f>SUM(AD154,AD155,AD159,AD163,AD164,AD165)/SUM(AD208,AD212,AD214,AD215)</f>
        <v>2.41029134458794</v>
      </c>
      <c r="AE351" s="219">
        <f>SUM(AE154,AE155,AE159,AE163,AE164,AE165)/SUM(AE208,AE212,AE214,AE215)</f>
        <v>2.35320077745973</v>
      </c>
      <c r="AF351" s="219">
        <f>SUM(AF154,AF155,AF159,AF163,AF164,AF165)/SUM(AF208,AF212,AF214,AF215)</f>
        <v>2.32021233500018</v>
      </c>
      <c r="AH351" s="219">
        <f>SUM(AH154,AH155,AH159,AH163,AH164,AH165)/SUM(AH208,AH212,AH214,AH215)</f>
        <v>2.4036749301903</v>
      </c>
      <c r="AI351" s="219">
        <f>SUM(AI154,AI155,AI159,AI163,AI164,AI165)/SUM(AI208,AI212,AI214,AI215)</f>
        <v>2.43734817067077</v>
      </c>
      <c r="AJ351" s="219">
        <f>SUM(AJ154,AJ155,AJ159,AJ163,AJ164,AJ165)/SUM(AJ208,AJ212,AJ214,AJ215)</f>
        <v>57.3790824913211</v>
      </c>
      <c r="AK351" s="219">
        <f>SUM(AK154,AK155,AK159,AK163,AK164,AK165)/SUM(AK208,AK212,AK214,AK215)</f>
        <v>57.9428218329059</v>
      </c>
      <c r="AM351" s="219" t="e">
        <f>SUM(AM154,AM155,AM159,AM163,AM164,AM165)/SUM(AM208,AM212,AM214,AM215)</f>
        <v>#DIV/0!</v>
      </c>
      <c r="AN351" s="219" t="e">
        <f>SUM(AN154,AN155,AN159,AN163,AN164,AN165)/SUM(AN208,AN212,AN214,AN215)</f>
        <v>#DIV/0!</v>
      </c>
      <c r="AO351" s="219" t="e">
        <f>SUM(AO154,AO155,AO159,AO163,AO164,AO165)/SUM(AO208,AO212,AO214,AO215)</f>
        <v>#DIV/0!</v>
      </c>
      <c r="AP351" s="219" t="e">
        <f>SUM(AP154,AP155,AP159,AP163,AP164,AP165)/SUM(AP208,AP212,AP214,AP215)</f>
        <v>#DIV/0!</v>
      </c>
      <c r="AR351" s="219" t="e">
        <f>SUM(AR154,AR155,AR159,AR163,AR164,AR165)/SUM(AR208,AR212,AR214,AR215)</f>
        <v>#DIV/0!</v>
      </c>
      <c r="AS351" s="219" t="e">
        <f>SUM(AS154,AS155,AS159,AS163,AS164,AS165)/SUM(AS208,AS212,AS214,AS215)</f>
        <v>#DIV/0!</v>
      </c>
      <c r="AT351" s="219" t="e">
        <f>SUM(AT154,AT155,AT159,AT163,AT164,AT165)/SUM(AT208,AT212,AT214,AT215)</f>
        <v>#DIV/0!</v>
      </c>
      <c r="AU351" s="219" t="e">
        <f>SUM(AU154,AU155,AU159,AU163,AU164,AU165)/SUM(AU208,AU212,AU214,AU215)</f>
        <v>#DIV/0!</v>
      </c>
      <c r="AW351" s="219" t="e">
        <f>SUM(AW154,AW155,AW159,AW163,AW164,AW165)/SUM(AW208,AW212,AW214,AW215)</f>
        <v>#DIV/0!</v>
      </c>
      <c r="AX351" s="219" t="e">
        <f>SUM(AX154,AX155,AX159,AX163,AX164,AX165)/SUM(AX208,AX212,AX214,AX215)</f>
        <v>#DIV/0!</v>
      </c>
      <c r="AY351" s="219" t="e">
        <f>SUM(AY154,AY155,AY159,AY163,AY164,AY165)/SUM(AY208,AY212,AY214,AY215)</f>
        <v>#DIV/0!</v>
      </c>
      <c r="AZ351" s="219" t="e">
        <f>SUM(AZ154,AZ155,AZ159,AZ163,AZ164,AZ165)/SUM(AZ208,AZ212,AZ214,AZ215)</f>
        <v>#DIV/0!</v>
      </c>
      <c r="BB351" s="219" t="e">
        <f>SUM(BB154,BB155,BB159,BB163,BB164,BB165)/SUM(BB208,BB212,BB214,BB215)</f>
        <v>#DIV/0!</v>
      </c>
      <c r="BC351" s="219" t="e">
        <f>SUM(BC154,BC155,BC159,BC163,BC164,BC165)/SUM(BC208,BC212,BC214,BC215)</f>
        <v>#DIV/0!</v>
      </c>
      <c r="BD351" s="219" t="e">
        <f>SUM(BD154,BD155,BD159,BD163,BD164,BD165)/SUM(BD208,BD212,BD214,BD215)</f>
        <v>#DIV/0!</v>
      </c>
      <c r="BE351" s="219" t="e">
        <f>SUM(BE154,BE155,BE159,BE163,BE164,BE165)/SUM(BE208,BE212,BE214,BE215)</f>
        <v>#DIV/0!</v>
      </c>
      <c r="BG351" s="219" t="e">
        <f>SUM(BG154,BG155,BG159,BG163,BG164,BG165)/SUM(BG208,BG212,BG214,BG215)</f>
        <v>#DIV/0!</v>
      </c>
      <c r="BH351" s="219" t="e">
        <f>SUM(BH154,BH155,BH159,BH163,BH164,BH165)/SUM(BH208,BH212,BH214,BH215)</f>
        <v>#DIV/0!</v>
      </c>
      <c r="BI351" s="219" t="e">
        <f>SUM(BI154,BI155,BI159,BI163,BI164,BI165)/SUM(BI208,BI212,BI214,BI215)</f>
        <v>#DIV/0!</v>
      </c>
      <c r="BJ351" s="219" t="e">
        <f>SUM(BJ154,BJ155,BJ159,BJ163,BJ164,BJ165)/SUM(BJ208,BJ212,BJ214,BJ215)</f>
        <v>#DIV/0!</v>
      </c>
      <c r="BL351" s="219" t="e">
        <f>SUM(BL154,BL155,BL159,BL163,BL164,BL165)/SUM(BL208,BL212,BL214,BL215)</f>
        <v>#DIV/0!</v>
      </c>
      <c r="BM351" s="219" t="e">
        <f>SUM(BM154,BM155,BM159,BM163,BM164,BM165)/SUM(BM208,BM212,BM214,BM215)</f>
        <v>#DIV/0!</v>
      </c>
      <c r="BN351" s="219" t="e">
        <f>SUM(BN154,BN155,BN159,BN163,BN164,BN165)/SUM(BN208,BN212,BN214,BN215)</f>
        <v>#DIV/0!</v>
      </c>
      <c r="BO351" s="219" t="e">
        <f>SUM(BO154,BO155,BO159,BO163,BO164,BO165)/SUM(BO208,BO212,BO214,BO215)</f>
        <v>#DIV/0!</v>
      </c>
      <c r="BQ351" s="219" t="e">
        <f>SUM(BQ154,BQ155,BQ159,BQ163,BQ164,BQ165)/SUM(BQ208,BQ212,BQ214,BQ215)</f>
        <v>#DIV/0!</v>
      </c>
      <c r="BR351" s="219" t="e">
        <f>SUM(BR154,BR155,BR159,BR163,BR164,BR165)/SUM(BR208,BR212,BR214,BR215)</f>
        <v>#DIV/0!</v>
      </c>
      <c r="BS351" s="219" t="e">
        <f>SUM(BS154,BS155,BS159,BS163,BS164,BS165)/SUM(BS208,BS212,BS214,BS215)</f>
        <v>#DIV/0!</v>
      </c>
      <c r="BT351" s="219" t="e">
        <f>SUM(BT154,BT155,BT159,BT163,BT164,BT165)/SUM(BT208,BT212,BT214,BT215)</f>
        <v>#DIV/0!</v>
      </c>
      <c r="BV351" s="219" t="e">
        <f>SUM(BV154,BV155,BV159,BV163,BV164,BV165)/SUM(BV208,BV212,BV214,BV215)</f>
        <v>#DIV/0!</v>
      </c>
      <c r="BW351" s="219" t="e">
        <f>SUM(BW154,BW155,BW159,BW163,BW164,BW165)/SUM(BW208,BW212,BW214,BW215)</f>
        <v>#DIV/0!</v>
      </c>
      <c r="BX351" s="219" t="e">
        <f>SUM(BX154,BX155,BX159,BX163,BX164,BX165)/SUM(BX208,BX212,BX214,BX215)</f>
        <v>#DIV/0!</v>
      </c>
      <c r="BY351" s="219" t="e">
        <f>SUM(BY154,BY155,BY159,BY163,BY164,BY165)/SUM(BY208,BY212,BY214,BY215)</f>
        <v>#DIV/0!</v>
      </c>
      <c r="CA351" s="219" t="e">
        <f>SUM(CA154,CA155,CA159,CA163,CA164,CA165)/SUM(CA208,CA212,CA214,CA215)</f>
        <v>#DIV/0!</v>
      </c>
      <c r="CB351" s="219" t="e">
        <f>SUM(CB154,CB155,CB159,CB163,CB164,CB165)/SUM(CB208,CB212,CB214,CB215)</f>
        <v>#DIV/0!</v>
      </c>
      <c r="CC351" s="219" t="e">
        <f>SUM(CC154,CC155,CC159,CC163,CC164,CC165)/SUM(CC208,CC212,CC214,CC215)</f>
        <v>#DIV/0!</v>
      </c>
      <c r="CD351" s="219" t="e">
        <f>SUM(CD154,CD155,CD159,CD163,CD164,CD165)/SUM(CD208,CD212,CD214,CD215)</f>
        <v>#DIV/0!</v>
      </c>
      <c r="CF351" s="219" t="e">
        <f>SUM(CF154,CF155,CF159,CF163,CF164,CF165)/SUM(CF208,CF212,CF214,CF215)</f>
        <v>#DIV/0!</v>
      </c>
      <c r="CG351" s="219" t="e">
        <f>SUM(CG154,CG155,CG159,CG163,CG164,CG165)/SUM(CG208,CG212,CG214,CG215)</f>
        <v>#DIV/0!</v>
      </c>
      <c r="CH351" s="219" t="e">
        <f>SUM(CH154,CH155,CH159,CH163,CH164,CH165)/SUM(CH208,CH212,CH214,CH215)</f>
        <v>#DIV/0!</v>
      </c>
      <c r="CI351" s="219" t="e">
        <f>SUM(CI154,CI155,CI159,CI163,CI164,CI165)/SUM(CI208,CI212,CI214,CI215)</f>
        <v>#DIV/0!</v>
      </c>
      <c r="CK351" s="219" t="e">
        <f>SUM(CK154,CK155,CK159,CK163,CK164,CK165)/SUM(CK208,CK212,CK214,CK215)</f>
        <v>#DIV/0!</v>
      </c>
      <c r="CL351" s="219" t="e">
        <f>SUM(CL154,CL155,CL159,CL163,CL164,CL165)/SUM(CL208,CL212,CL214,CL215)</f>
        <v>#DIV/0!</v>
      </c>
      <c r="CM351" s="219" t="e">
        <f>SUM(CM154,CM155,CM159,CM163,CM164,CM165)/SUM(CM208,CM212,CM214,CM215)</f>
        <v>#DIV/0!</v>
      </c>
      <c r="CN351" s="219" t="e">
        <f>SUM(CN154,CN155,CN159,CN163,CN164,CN165)/SUM(CN208,CN212,CN214,CN215)</f>
        <v>#DIV/0!</v>
      </c>
      <c r="CP351" s="219" t="e">
        <f>SUM(CP154,CP155,CP159,CP163,CP164,CP165)/SUM(CP208,CP212,CP214,CP215)</f>
        <v>#DIV/0!</v>
      </c>
      <c r="CQ351" s="219" t="e">
        <f>SUM(CQ154,CQ155,CQ159,CQ163,CQ164,CQ165)/SUM(CQ208,CQ212,CQ214,CQ215)</f>
        <v>#DIV/0!</v>
      </c>
      <c r="CR351" s="219" t="e">
        <f>SUM(CR154,CR155,CR159,CR163,CR164,CR165)/SUM(CR208,CR212,CR214,CR215)</f>
        <v>#DIV/0!</v>
      </c>
      <c r="CS351" s="219" t="e">
        <f>SUM(CS154,CS155,CS159,CS163,CS164,CS165)/SUM(CS208,CS212,CS214,CS215)</f>
        <v>#DIV/0!</v>
      </c>
      <c r="CU351" s="219" t="e">
        <f>SUM(CU154,CU155,CU159,CU163,CU164,CU165)/SUM(CU208,CU212,CU214,CU215)</f>
        <v>#DIV/0!</v>
      </c>
      <c r="CV351" s="219" t="e">
        <f>SUM(CV154,CV155,CV159,CV163,CV164,CV165)/SUM(CV208,CV212,CV214,CV215)</f>
        <v>#DIV/0!</v>
      </c>
      <c r="CW351" s="219" t="e">
        <f>SUM(CW154,CW155,CW159,CW163,CW164,CW165)/SUM(CW208,CW212,CW214,CW215)</f>
        <v>#DIV/0!</v>
      </c>
      <c r="CX351" s="219" t="e">
        <f>SUM(CX154,CX155,CX159,CX163,CX164,CX165)/SUM(CX208,CX212,CX214,CX215)</f>
        <v>#DIV/0!</v>
      </c>
    </row>
    <row r="352" customFormat="1" s="233">
      <c r="A352" s="224" t="n"/>
      <c r="B352" s="224" t="n"/>
      <c r="C352" s="233" t="inlineStr">
        <is>
          <t>CASH RATIO</t>
        </is>
      </c>
      <c r="D352" s="219" t="e">
        <f>SUM(D154)/SUM(D208,D212,D214,D215)</f>
        <v>#N/A</v>
      </c>
      <c r="E352" s="219">
        <f>SUM(E154)/SUM(E208,E212,E214,E215)</f>
        <v>0.917042977377357</v>
      </c>
      <c r="F352" s="219">
        <f>SUM(F154)/SUM(F208,F212,F214,F215)</f>
        <v>0.638102784003914</v>
      </c>
      <c r="G352" s="219">
        <f>SUM(G154)/SUM(G208,G212,G214,G215)</f>
        <v>1.72537574388766</v>
      </c>
      <c r="I352" s="219">
        <f>SUM(I154)/SUM(I208,I212,I214,I215)</f>
        <v>1.77693654445779</v>
      </c>
      <c r="J352" s="219">
        <f>SUM(J154)/SUM(J208,J212,J214,J215)</f>
        <v>1.22820512597957</v>
      </c>
      <c r="K352" s="219">
        <f>SUM(K154)/SUM(K208,K212,K214,K215)</f>
        <v>0.673205844254159</v>
      </c>
      <c r="L352" s="219">
        <f>SUM(L154)/SUM(L208,L212,L214,L215)</f>
        <v>0.621537622990635</v>
      </c>
      <c r="N352" s="219">
        <f>SUM(N154)/SUM(N208,N212,N214,N215)</f>
        <v>0.382496830698306</v>
      </c>
      <c r="O352" s="219">
        <f>SUM(O154)/SUM(O208,O212,O214,O215)</f>
        <v>0.42270376158821</v>
      </c>
      <c r="P352" s="219">
        <f>SUM(P154)/SUM(P208,P212,P214,P215)</f>
        <v>0.359096874764806</v>
      </c>
      <c r="Q352" s="219">
        <f>SUM(Q154)/SUM(Q208,Q212,Q214,Q215)</f>
        <v>0.72458886051799</v>
      </c>
      <c r="S352" s="219">
        <f>SUM(S154)/SUM(S208,S212,S214,S215)</f>
        <v>0.62968215199423</v>
      </c>
      <c r="T352" s="219">
        <f>SUM(T154)/SUM(T208,T212,T214,T215)</f>
        <v>0.489412767411852</v>
      </c>
      <c r="U352" s="219">
        <f>SUM(U154)/SUM(U208,U212,U214,U215)</f>
        <v>0.37980978195304</v>
      </c>
      <c r="V352" s="219">
        <f>SUM(V154)/SUM(V208,V212,V214,V215)</f>
        <v>0.345414440027611</v>
      </c>
      <c r="X352" s="219">
        <f>SUM(X154)/SUM(X208,X212,X214,X215)</f>
        <v>0.379712631231785</v>
      </c>
      <c r="Y352" s="219">
        <f>SUM(Y154)/SUM(Y208,Y212,Y214,Y215)</f>
        <v>0.302094051490993</v>
      </c>
      <c r="Z352" s="219">
        <f>SUM(Z154)/SUM(Z208,Z212,Z214,Z215)</f>
        <v>0.152908325769597</v>
      </c>
      <c r="AA352" s="219">
        <f>SUM(AA154)/SUM(AA208,AA212,AA214,AA215)</f>
        <v>0.398824050996933</v>
      </c>
      <c r="AC352" s="219">
        <f>SUM(AC154)/SUM(AC208,AC212,AC214,AC215)</f>
        <v>0.312258030864855</v>
      </c>
      <c r="AD352" s="219">
        <f>SUM(AD154)/SUM(AD208,AD212,AD214,AD215)</f>
        <v>0.224738576154017</v>
      </c>
      <c r="AE352" s="219">
        <f>SUM(AE154)/SUM(AE208,AE212,AE214,AE215)</f>
        <v>0.211034290826671</v>
      </c>
      <c r="AF352" s="219">
        <f>SUM(AF154)/SUM(AF208,AF212,AF214,AF215)</f>
        <v>0.306927343352598</v>
      </c>
      <c r="AH352" s="219">
        <f>SUM(AH154)/SUM(AH208,AH212,AH214,AH215)</f>
        <v>0.344082601826436</v>
      </c>
      <c r="AI352" s="219">
        <f>SUM(AI154)/SUM(AI208,AI212,AI214,AI215)</f>
        <v>0.284555348150789</v>
      </c>
      <c r="AJ352" s="219">
        <f>SUM(AJ154)/SUM(AJ208,AJ212,AJ214,AJ215)</f>
        <v>40.9317675114735</v>
      </c>
      <c r="AK352" s="219">
        <f>SUM(AK154)/SUM(AK208,AK212,AK214,AK215)</f>
        <v>41.4955068530583</v>
      </c>
      <c r="AM352" s="219" t="e">
        <f>SUM(AM154)/SUM(AM208,AM212,AM214,AM215)</f>
        <v>#DIV/0!</v>
      </c>
      <c r="AN352" s="219" t="e">
        <f>SUM(AN154)/SUM(AN208,AN212,AN214,AN215)</f>
        <v>#DIV/0!</v>
      </c>
      <c r="AO352" s="219" t="e">
        <f>SUM(AO154)/SUM(AO208,AO212,AO214,AO215)</f>
        <v>#DIV/0!</v>
      </c>
      <c r="AP352" s="219" t="e">
        <f>SUM(AP154)/SUM(AP208,AP212,AP214,AP215)</f>
        <v>#DIV/0!</v>
      </c>
      <c r="AR352" s="219" t="e">
        <f>SUM(AR154)/SUM(AR208,AR212,AR214,AR215)</f>
        <v>#DIV/0!</v>
      </c>
      <c r="AS352" s="219" t="e">
        <f>SUM(AS154)/SUM(AS208,AS212,AS214,AS215)</f>
        <v>#DIV/0!</v>
      </c>
      <c r="AT352" s="219" t="e">
        <f>SUM(AT154)/SUM(AT208,AT212,AT214,AT215)</f>
        <v>#DIV/0!</v>
      </c>
      <c r="AU352" s="219" t="e">
        <f>SUM(AU154)/SUM(AU208,AU212,AU214,AU215)</f>
        <v>#DIV/0!</v>
      </c>
      <c r="AW352" s="219" t="e">
        <f>SUM(AW154)/SUM(AW208,AW212,AW214,AW215)</f>
        <v>#DIV/0!</v>
      </c>
      <c r="AX352" s="219" t="e">
        <f>SUM(AX154)/SUM(AX208,AX212,AX214,AX215)</f>
        <v>#DIV/0!</v>
      </c>
      <c r="AY352" s="219" t="e">
        <f>SUM(AY154)/SUM(AY208,AY212,AY214,AY215)</f>
        <v>#DIV/0!</v>
      </c>
      <c r="AZ352" s="219" t="e">
        <f>SUM(AZ154)/SUM(AZ208,AZ212,AZ214,AZ215)</f>
        <v>#DIV/0!</v>
      </c>
      <c r="BB352" s="219" t="e">
        <f>SUM(BB154)/SUM(BB208,BB212,BB214,BB215)</f>
        <v>#DIV/0!</v>
      </c>
      <c r="BC352" s="219" t="e">
        <f>SUM(BC154)/SUM(BC208,BC212,BC214,BC215)</f>
        <v>#DIV/0!</v>
      </c>
      <c r="BD352" s="219" t="e">
        <f>SUM(BD154)/SUM(BD208,BD212,BD214,BD215)</f>
        <v>#DIV/0!</v>
      </c>
      <c r="BE352" s="219" t="e">
        <f>SUM(BE154)/SUM(BE208,BE212,BE214,BE215)</f>
        <v>#DIV/0!</v>
      </c>
      <c r="BG352" s="219" t="e">
        <f>SUM(BG154)/SUM(BG208,BG212,BG214,BG215)</f>
        <v>#DIV/0!</v>
      </c>
      <c r="BH352" s="219" t="e">
        <f>SUM(BH154)/SUM(BH208,BH212,BH214,BH215)</f>
        <v>#DIV/0!</v>
      </c>
      <c r="BI352" s="219" t="e">
        <f>SUM(BI154)/SUM(BI208,BI212,BI214,BI215)</f>
        <v>#DIV/0!</v>
      </c>
      <c r="BJ352" s="219" t="e">
        <f>SUM(BJ154)/SUM(BJ208,BJ212,BJ214,BJ215)</f>
        <v>#DIV/0!</v>
      </c>
      <c r="BL352" s="219" t="e">
        <f>SUM(BL154)/SUM(BL208,BL212,BL214,BL215)</f>
        <v>#DIV/0!</v>
      </c>
      <c r="BM352" s="219" t="e">
        <f>SUM(BM154)/SUM(BM208,BM212,BM214,BM215)</f>
        <v>#DIV/0!</v>
      </c>
      <c r="BN352" s="219" t="e">
        <f>SUM(BN154)/SUM(BN208,BN212,BN214,BN215)</f>
        <v>#DIV/0!</v>
      </c>
      <c r="BO352" s="219" t="e">
        <f>SUM(BO154)/SUM(BO208,BO212,BO214,BO215)</f>
        <v>#DIV/0!</v>
      </c>
      <c r="BQ352" s="219" t="e">
        <f>SUM(BQ154)/SUM(BQ208,BQ212,BQ214,BQ215)</f>
        <v>#DIV/0!</v>
      </c>
      <c r="BR352" s="219" t="e">
        <f>SUM(BR154)/SUM(BR208,BR212,BR214,BR215)</f>
        <v>#DIV/0!</v>
      </c>
      <c r="BS352" s="219" t="e">
        <f>SUM(BS154)/SUM(BS208,BS212,BS214,BS215)</f>
        <v>#DIV/0!</v>
      </c>
      <c r="BT352" s="219" t="e">
        <f>SUM(BT154)/SUM(BT208,BT212,BT214,BT215)</f>
        <v>#DIV/0!</v>
      </c>
      <c r="BV352" s="219" t="e">
        <f>SUM(BV154)/SUM(BV208,BV212,BV214,BV215)</f>
        <v>#DIV/0!</v>
      </c>
      <c r="BW352" s="219" t="e">
        <f>SUM(BW154)/SUM(BW208,BW212,BW214,BW215)</f>
        <v>#DIV/0!</v>
      </c>
      <c r="BX352" s="219" t="e">
        <f>SUM(BX154)/SUM(BX208,BX212,BX214,BX215)</f>
        <v>#DIV/0!</v>
      </c>
      <c r="BY352" s="219" t="e">
        <f>SUM(BY154)/SUM(BY208,BY212,BY214,BY215)</f>
        <v>#DIV/0!</v>
      </c>
      <c r="CA352" s="219" t="e">
        <f>SUM(CA154)/SUM(CA208,CA212,CA214,CA215)</f>
        <v>#DIV/0!</v>
      </c>
      <c r="CB352" s="219" t="e">
        <f>SUM(CB154)/SUM(CB208,CB212,CB214,CB215)</f>
        <v>#DIV/0!</v>
      </c>
      <c r="CC352" s="219" t="e">
        <f>SUM(CC154)/SUM(CC208,CC212,CC214,CC215)</f>
        <v>#DIV/0!</v>
      </c>
      <c r="CD352" s="219" t="e">
        <f>SUM(CD154)/SUM(CD208,CD212,CD214,CD215)</f>
        <v>#DIV/0!</v>
      </c>
      <c r="CF352" s="219" t="e">
        <f>SUM(CF154)/SUM(CF208,CF212,CF214,CF215)</f>
        <v>#DIV/0!</v>
      </c>
      <c r="CG352" s="219" t="e">
        <f>SUM(CG154)/SUM(CG208,CG212,CG214,CG215)</f>
        <v>#DIV/0!</v>
      </c>
      <c r="CH352" s="219" t="e">
        <f>SUM(CH154)/SUM(CH208,CH212,CH214,CH215)</f>
        <v>#DIV/0!</v>
      </c>
      <c r="CI352" s="219" t="e">
        <f>SUM(CI154)/SUM(CI208,CI212,CI214,CI215)</f>
        <v>#DIV/0!</v>
      </c>
      <c r="CK352" s="219" t="e">
        <f>SUM(CK154)/SUM(CK208,CK212,CK214,CK215)</f>
        <v>#DIV/0!</v>
      </c>
      <c r="CL352" s="219" t="e">
        <f>SUM(CL154)/SUM(CL208,CL212,CL214,CL215)</f>
        <v>#DIV/0!</v>
      </c>
      <c r="CM352" s="219" t="e">
        <f>SUM(CM154)/SUM(CM208,CM212,CM214,CM215)</f>
        <v>#DIV/0!</v>
      </c>
      <c r="CN352" s="219" t="e">
        <f>SUM(CN154)/SUM(CN208,CN212,CN214,CN215)</f>
        <v>#DIV/0!</v>
      </c>
      <c r="CP352" s="219" t="e">
        <f>SUM(CP154)/SUM(CP208,CP212,CP214,CP215)</f>
        <v>#DIV/0!</v>
      </c>
      <c r="CQ352" s="219" t="e">
        <f>SUM(CQ154)/SUM(CQ208,CQ212,CQ214,CQ215)</f>
        <v>#DIV/0!</v>
      </c>
      <c r="CR352" s="219" t="e">
        <f>SUM(CR154)/SUM(CR208,CR212,CR214,CR215)</f>
        <v>#DIV/0!</v>
      </c>
      <c r="CS352" s="219" t="e">
        <f>SUM(CS154)/SUM(CS208,CS212,CS214,CS215)</f>
        <v>#DIV/0!</v>
      </c>
      <c r="CU352" s="219" t="e">
        <f>SUM(CU154)/SUM(CU208,CU212,CU214,CU215)</f>
        <v>#DIV/0!</v>
      </c>
      <c r="CV352" s="219" t="e">
        <f>SUM(CV154)/SUM(CV208,CV212,CV214,CV215)</f>
        <v>#DIV/0!</v>
      </c>
      <c r="CW352" s="219" t="e">
        <f>SUM(CW154)/SUM(CW208,CW212,CW214,CW215)</f>
        <v>#DIV/0!</v>
      </c>
      <c r="CX352" s="219" t="e">
        <f>SUM(CX154)/SUM(CX208,CX212,CX214,CX215)</f>
        <v>#DIV/0!</v>
      </c>
    </row>
    <row r="353" customFormat="1" s="233">
      <c r="A353" s="224" t="n"/>
      <c r="B353" s="224" t="n"/>
    </row>
    <row r="354" customFormat="1" s="233">
      <c r="A354" s="224" t="n"/>
      <c r="B354" s="224" t="n"/>
      <c r="C354" s="234" t="inlineStr">
        <is>
          <t>OPERATING EFFICIENCY</t>
        </is>
      </c>
    </row>
    <row r="355" customFormat="1" s="238">
      <c r="A355" s="222" t="n"/>
      <c r="B355" s="222" t="n"/>
      <c r="C355" s="238" t="inlineStr">
        <is>
          <t>RETURN ON CAPITAL (ROIC)</t>
        </is>
      </c>
      <c r="D355" s="238" t="e">
        <f>D357/D360</f>
        <v>#N/A</v>
      </c>
      <c r="E355" s="238">
        <f>E357/E360</f>
        <v>0.0792943524866001</v>
      </c>
      <c r="F355" s="238">
        <f>F357/F360</f>
        <v>0.0767783074205935</v>
      </c>
      <c r="G355" s="238">
        <f>G357/G360</f>
        <v>0.0457807150889813</v>
      </c>
      <c r="H355" s="238">
        <f>H357/H360</f>
        <v>0.183021595587945</v>
      </c>
      <c r="I355" s="222">
        <f>I357/I360</f>
        <v>0.0342386896037572</v>
      </c>
      <c r="J355" s="222">
        <f>J357/J360</f>
        <v>0.0382578519205539</v>
      </c>
      <c r="K355" s="222">
        <f>K357/K360</f>
        <v>0.0387816371314962</v>
      </c>
      <c r="L355" s="222">
        <f>L357/L360</f>
        <v>0.0313567320351579</v>
      </c>
      <c r="M355" s="222">
        <f>M357/M360</f>
        <v>0.117827433162945</v>
      </c>
      <c r="N355" s="222">
        <f>N357/N360</f>
        <v>0.0279819519287993</v>
      </c>
      <c r="O355" s="222">
        <f>O357/O360</f>
        <v>0.0384805354090936</v>
      </c>
      <c r="P355" s="222">
        <f>P357/P360</f>
        <v>0.0391684854033046</v>
      </c>
      <c r="Q355" s="222">
        <f>Q357/Q360</f>
        <v>0.0454870657430523</v>
      </c>
      <c r="R355" s="222">
        <f>R357/R360</f>
        <v>0.149864968505667</v>
      </c>
      <c r="S355" s="222">
        <f>S357/S360</f>
        <v>0.0334663924254263</v>
      </c>
      <c r="T355" s="222">
        <f>T357/T360</f>
        <v>0.0385188176878208</v>
      </c>
      <c r="U355" s="222">
        <f>U357/U360</f>
        <v>0.0378652508831118</v>
      </c>
      <c r="V355" s="222">
        <f>V357/V360</f>
        <v>0.0453845713015345</v>
      </c>
      <c r="W355" s="222">
        <f>W357/W360</f>
        <v>0.145128578085291</v>
      </c>
      <c r="X355" s="222">
        <f>X357/X360</f>
        <v>0.0310999846722929</v>
      </c>
      <c r="Y355" s="222">
        <f>Y357/Y360</f>
        <v>0.0389077899367708</v>
      </c>
      <c r="Z355" s="222">
        <f>Z357/Z360</f>
        <v>0.0390219890947174</v>
      </c>
      <c r="AA355" s="222">
        <f>AA357/AA360</f>
        <v>0.0386352226656923</v>
      </c>
      <c r="AB355" s="222">
        <f>AB357/AB360</f>
        <v>0.1471507317834</v>
      </c>
      <c r="AC355" s="222">
        <f>AC357/AC360</f>
        <v>0.0357107497119019</v>
      </c>
      <c r="AD355" s="222">
        <f>AD357/AD360</f>
        <v>0.0441534184261573</v>
      </c>
      <c r="AE355" s="222">
        <f>AE357/AE360</f>
        <v>0.0763253923774893</v>
      </c>
      <c r="AF355" s="222">
        <f>AF357/AF360</f>
        <v>0.0644594996822249</v>
      </c>
      <c r="AG355" s="222">
        <f>AG357/AG360</f>
        <v>0.189854690861043</v>
      </c>
      <c r="AH355" s="222">
        <f>AH357/AH360</f>
        <v>0.0270552486345463</v>
      </c>
      <c r="AI355" s="222">
        <f>AI357/AI360</f>
        <v>0.0269984593531072</v>
      </c>
      <c r="AJ355" s="222">
        <f>AJ357/AJ360</f>
        <v>0</v>
      </c>
      <c r="AK355" s="222">
        <f>AK357/AK360</f>
        <v>0</v>
      </c>
      <c r="AL355" s="222">
        <f>AL357/AL360</f>
        <v>0.0714295234082001</v>
      </c>
      <c r="AM355" s="222" t="e">
        <f>AM357/AM360</f>
        <v>#DIV/0!</v>
      </c>
      <c r="AN355" s="222">
        <f>AN357/AN360</f>
        <v>0</v>
      </c>
      <c r="AO355" s="222" t="e">
        <f>AO357/AO360</f>
        <v>#DIV/0!</v>
      </c>
      <c r="AP355" s="222" t="e">
        <f>AP357/AP360</f>
        <v>#DIV/0!</v>
      </c>
      <c r="AQ355" s="222" t="e">
        <f>AQ357/AQ360</f>
        <v>#DIV/0!</v>
      </c>
      <c r="AR355" s="222" t="e">
        <f>AR357/AR360</f>
        <v>#DIV/0!</v>
      </c>
      <c r="AS355" s="222" t="e">
        <f>AS357/AS360</f>
        <v>#DIV/0!</v>
      </c>
      <c r="AT355" s="222" t="e">
        <f>AT357/AT360</f>
        <v>#DIV/0!</v>
      </c>
      <c r="AU355" s="222" t="e">
        <f>AU357/AU360</f>
        <v>#DIV/0!</v>
      </c>
      <c r="AV355" s="222" t="e">
        <f>AV357/AV360</f>
        <v>#DIV/0!</v>
      </c>
      <c r="AW355" s="222" t="e">
        <f>AW357/AW360</f>
        <v>#DIV/0!</v>
      </c>
      <c r="AX355" s="222" t="e">
        <f>AX357/AX360</f>
        <v>#DIV/0!</v>
      </c>
      <c r="AY355" s="222" t="e">
        <f>AY357/AY360</f>
        <v>#DIV/0!</v>
      </c>
      <c r="AZ355" s="222" t="e">
        <f>AZ357/AZ360</f>
        <v>#DIV/0!</v>
      </c>
      <c r="BA355" s="222" t="e">
        <f>BA357/BA360</f>
        <v>#DIV/0!</v>
      </c>
      <c r="BB355" s="222" t="e">
        <f>BB357/BB360</f>
        <v>#DIV/0!</v>
      </c>
      <c r="BC355" s="222" t="e">
        <f>BC357/BC360</f>
        <v>#DIV/0!</v>
      </c>
      <c r="BD355" s="222" t="e">
        <f>BD357/BD360</f>
        <v>#DIV/0!</v>
      </c>
      <c r="BE355" s="222" t="e">
        <f>BE357/BE360</f>
        <v>#DIV/0!</v>
      </c>
      <c r="BF355" s="222" t="e">
        <f>BF357/BF360</f>
        <v>#DIV/0!</v>
      </c>
      <c r="BG355" s="222" t="e">
        <f>BG357/BG360</f>
        <v>#DIV/0!</v>
      </c>
      <c r="BH355" s="222" t="e">
        <f>BH357/BH360</f>
        <v>#DIV/0!</v>
      </c>
      <c r="BI355" s="222" t="e">
        <f>BI357/BI360</f>
        <v>#DIV/0!</v>
      </c>
      <c r="BJ355" s="222" t="e">
        <f>BJ357/BJ360</f>
        <v>#DIV/0!</v>
      </c>
      <c r="BK355" s="222" t="e">
        <f>BK357/BK360</f>
        <v>#DIV/0!</v>
      </c>
      <c r="BL355" s="222" t="e">
        <f>BL357/BL360</f>
        <v>#DIV/0!</v>
      </c>
      <c r="BM355" s="222" t="e">
        <f>BM357/BM360</f>
        <v>#DIV/0!</v>
      </c>
      <c r="BN355" s="222" t="e">
        <f>BN357/BN360</f>
        <v>#DIV/0!</v>
      </c>
      <c r="BO355" s="222" t="e">
        <f>BO357/BO360</f>
        <v>#DIV/0!</v>
      </c>
      <c r="BP355" s="222" t="e">
        <f>BP357/BP360</f>
        <v>#DIV/0!</v>
      </c>
      <c r="BQ355" s="222" t="e">
        <f>BQ357/BQ360</f>
        <v>#DIV/0!</v>
      </c>
      <c r="BR355" s="222" t="e">
        <f>BR357/BR360</f>
        <v>#DIV/0!</v>
      </c>
      <c r="BS355" s="222" t="e">
        <f>BS357/BS360</f>
        <v>#DIV/0!</v>
      </c>
      <c r="BT355" s="222" t="e">
        <f>BT357/BT360</f>
        <v>#DIV/0!</v>
      </c>
      <c r="BU355" s="222" t="e">
        <f>BU357/BU360</f>
        <v>#DIV/0!</v>
      </c>
      <c r="BV355" s="222" t="e">
        <f>BV357/BV360</f>
        <v>#DIV/0!</v>
      </c>
      <c r="BW355" s="222" t="e">
        <f>BW357/BW360</f>
        <v>#DIV/0!</v>
      </c>
      <c r="BX355" s="222" t="e">
        <f>BX357/BX360</f>
        <v>#DIV/0!</v>
      </c>
      <c r="BY355" s="222" t="e">
        <f>BY357/BY360</f>
        <v>#DIV/0!</v>
      </c>
      <c r="BZ355" s="222" t="e">
        <f>BZ357/BZ360</f>
        <v>#DIV/0!</v>
      </c>
      <c r="CA355" s="222" t="e">
        <f>CA357/CA360</f>
        <v>#DIV/0!</v>
      </c>
      <c r="CB355" s="222" t="e">
        <f>CB357/CB360</f>
        <v>#DIV/0!</v>
      </c>
      <c r="CC355" s="222" t="e">
        <f>CC357/CC360</f>
        <v>#DIV/0!</v>
      </c>
      <c r="CD355" s="222" t="e">
        <f>CD357/CD360</f>
        <v>#DIV/0!</v>
      </c>
      <c r="CE355" s="222" t="e">
        <f>CE357/CE360</f>
        <v>#DIV/0!</v>
      </c>
      <c r="CF355" s="222" t="e">
        <f>CF357/CF360</f>
        <v>#DIV/0!</v>
      </c>
      <c r="CG355" s="222" t="e">
        <f>CG357/CG360</f>
        <v>#DIV/0!</v>
      </c>
      <c r="CH355" s="222" t="e">
        <f>CH357/CH360</f>
        <v>#DIV/0!</v>
      </c>
      <c r="CI355" s="222" t="e">
        <f>CI357/CI360</f>
        <v>#DIV/0!</v>
      </c>
      <c r="CJ355" s="222" t="e">
        <f>CJ357/CJ360</f>
        <v>#DIV/0!</v>
      </c>
      <c r="CK355" s="222" t="e">
        <f>CK357/CK360</f>
        <v>#DIV/0!</v>
      </c>
      <c r="CL355" s="222" t="e">
        <f>CL357/CL360</f>
        <v>#DIV/0!</v>
      </c>
      <c r="CM355" s="222" t="e">
        <f>CM357/CM360</f>
        <v>#DIV/0!</v>
      </c>
      <c r="CN355" s="222" t="e">
        <f>CN357/CN360</f>
        <v>#DIV/0!</v>
      </c>
      <c r="CO355" s="222" t="e">
        <f>CO357/CO360</f>
        <v>#DIV/0!</v>
      </c>
      <c r="CP355" s="222" t="e">
        <f>CP357/CP360</f>
        <v>#DIV/0!</v>
      </c>
      <c r="CQ355" s="222" t="e">
        <f>CQ357/CQ360</f>
        <v>#DIV/0!</v>
      </c>
      <c r="CR355" s="222" t="e">
        <f>CR357/CR360</f>
        <v>#DIV/0!</v>
      </c>
      <c r="CS355" s="222" t="e">
        <f>CS357/CS360</f>
        <v>#DIV/0!</v>
      </c>
      <c r="CT355" s="222" t="e">
        <f>CT357/CT360</f>
        <v>#DIV/0!</v>
      </c>
      <c r="CU355" s="222" t="e">
        <f>CU357/CU360</f>
        <v>#DIV/0!</v>
      </c>
      <c r="CV355" s="222" t="e">
        <f>CV357/CV360</f>
        <v>#DIV/0!</v>
      </c>
      <c r="CW355" s="222" t="e">
        <f>CW357/CW360</f>
        <v>#DIV/0!</v>
      </c>
      <c r="CX355" s="222" t="e">
        <f>CX357/CX360</f>
        <v>#DIV/0!</v>
      </c>
      <c r="CY355" s="222" t="e">
        <f>CY357/CY360</f>
        <v>#DIV/0!</v>
      </c>
    </row>
    <row r="356" customFormat="1" s="238">
      <c r="A356" s="222" t="n"/>
      <c r="B356" s="222" t="n"/>
      <c r="C356" s="238" t="inlineStr">
        <is>
          <t>RETURN ON CAPITAL (ROIC) - EX GOODWILL</t>
        </is>
      </c>
      <c r="D356" s="238" t="e">
        <f>D357/D361</f>
        <v>#N/A</v>
      </c>
      <c r="E356" s="238">
        <f>E357/E361</f>
        <v>0.0792943524866001</v>
      </c>
      <c r="F356" s="238">
        <f>F357/F361</f>
        <v>0.0767783074205935</v>
      </c>
      <c r="G356" s="238">
        <f>G357/G361</f>
        <v>0.0457807150889813</v>
      </c>
      <c r="H356" s="238">
        <f>H357/H361</f>
        <v>0.183021595587945</v>
      </c>
      <c r="I356" s="222">
        <f>I357/I361</f>
        <v>0.0342386896037572</v>
      </c>
      <c r="J356" s="222">
        <f>J357/J361</f>
        <v>0.0382578519205539</v>
      </c>
      <c r="K356" s="222">
        <f>K357/K361</f>
        <v>0.0387816371314962</v>
      </c>
      <c r="L356" s="222">
        <f>L357/L361</f>
        <v>0.0313567320351579</v>
      </c>
      <c r="M356" s="222">
        <f>M357/M361</f>
        <v>0.117827433162945</v>
      </c>
      <c r="N356" s="222">
        <f>N357/N361</f>
        <v>0.0279819519287993</v>
      </c>
      <c r="O356" s="222">
        <f>O357/O361</f>
        <v>0.0384805354090936</v>
      </c>
      <c r="P356" s="222">
        <f>P357/P361</f>
        <v>0.0391684854033046</v>
      </c>
      <c r="Q356" s="222">
        <f>Q357/Q361</f>
        <v>0.0454870657430523</v>
      </c>
      <c r="R356" s="222">
        <f>R357/R361</f>
        <v>0.149864968505667</v>
      </c>
      <c r="S356" s="222">
        <f>S357/S361</f>
        <v>0.0334663924254263</v>
      </c>
      <c r="T356" s="222">
        <f>T357/T361</f>
        <v>0.0385188176878208</v>
      </c>
      <c r="U356" s="222">
        <f>U357/U361</f>
        <v>0.0378652508831118</v>
      </c>
      <c r="V356" s="222">
        <f>V357/V361</f>
        <v>0.0453845713015345</v>
      </c>
      <c r="W356" s="222">
        <f>W357/W361</f>
        <v>0.145128578085291</v>
      </c>
      <c r="X356" s="222">
        <f>X357/X361</f>
        <v>0.0310999846722929</v>
      </c>
      <c r="Y356" s="222">
        <f>Y357/Y361</f>
        <v>0.0389077899367708</v>
      </c>
      <c r="Z356" s="222">
        <f>Z357/Z361</f>
        <v>0.0390219890947174</v>
      </c>
      <c r="AA356" s="222">
        <f>AA357/AA361</f>
        <v>0.0386352226656923</v>
      </c>
      <c r="AB356" s="222">
        <f>AB357/AB361</f>
        <v>0.1471507317834</v>
      </c>
      <c r="AC356" s="222">
        <f>AC357/AC361</f>
        <v>0.0357107497119019</v>
      </c>
      <c r="AD356" s="222">
        <f>AD357/AD361</f>
        <v>0.0441534184261573</v>
      </c>
      <c r="AE356" s="222">
        <f>AE357/AE361</f>
        <v>0.0763253923774893</v>
      </c>
      <c r="AF356" s="222">
        <f>AF357/AF361</f>
        <v>0.0644594996822249</v>
      </c>
      <c r="AG356" s="222">
        <f>AG357/AG361</f>
        <v>0.189854690861043</v>
      </c>
      <c r="AH356" s="222">
        <f>AH357/AH361</f>
        <v>0.0270552486345463</v>
      </c>
      <c r="AI356" s="222">
        <f>AI357/AI361</f>
        <v>0.0269984593531072</v>
      </c>
      <c r="AJ356" s="222">
        <f>AJ357/AJ361</f>
        <v>0</v>
      </c>
      <c r="AK356" s="222">
        <f>AK357/AK361</f>
        <v>0</v>
      </c>
      <c r="AL356" s="222">
        <f>AL357/AL361</f>
        <v>0.0714295234082001</v>
      </c>
      <c r="AM356" s="222" t="e">
        <f>AM357/AM361</f>
        <v>#DIV/0!</v>
      </c>
      <c r="AN356" s="222">
        <f>AN357/AN361</f>
        <v>0</v>
      </c>
      <c r="AO356" s="222" t="e">
        <f>AO357/AO361</f>
        <v>#DIV/0!</v>
      </c>
      <c r="AP356" s="222" t="e">
        <f>AP357/AP361</f>
        <v>#DIV/0!</v>
      </c>
      <c r="AQ356" s="222" t="e">
        <f>AQ357/AQ361</f>
        <v>#DIV/0!</v>
      </c>
      <c r="AR356" s="222" t="e">
        <f>AR357/AR361</f>
        <v>#DIV/0!</v>
      </c>
      <c r="AS356" s="222" t="e">
        <f>AS357/AS361</f>
        <v>#DIV/0!</v>
      </c>
      <c r="AT356" s="222" t="e">
        <f>AT357/AT361</f>
        <v>#DIV/0!</v>
      </c>
      <c r="AU356" s="222" t="e">
        <f>AU357/AU361</f>
        <v>#DIV/0!</v>
      </c>
      <c r="AV356" s="222" t="e">
        <f>AV357/AV361</f>
        <v>#DIV/0!</v>
      </c>
      <c r="AW356" s="222" t="e">
        <f>AW357/AW361</f>
        <v>#DIV/0!</v>
      </c>
      <c r="AX356" s="222" t="e">
        <f>AX357/AX361</f>
        <v>#DIV/0!</v>
      </c>
      <c r="AY356" s="222" t="e">
        <f>AY357/AY361</f>
        <v>#DIV/0!</v>
      </c>
      <c r="AZ356" s="222" t="e">
        <f>AZ357/AZ361</f>
        <v>#DIV/0!</v>
      </c>
      <c r="BA356" s="222" t="e">
        <f>BA357/BA361</f>
        <v>#DIV/0!</v>
      </c>
      <c r="BB356" s="222" t="e">
        <f>BB357/BB361</f>
        <v>#DIV/0!</v>
      </c>
      <c r="BC356" s="222" t="e">
        <f>BC357/BC361</f>
        <v>#DIV/0!</v>
      </c>
      <c r="BD356" s="222" t="e">
        <f>BD357/BD361</f>
        <v>#DIV/0!</v>
      </c>
      <c r="BE356" s="222" t="e">
        <f>BE357/BE361</f>
        <v>#DIV/0!</v>
      </c>
      <c r="BF356" s="222" t="e">
        <f>BF357/BF361</f>
        <v>#DIV/0!</v>
      </c>
      <c r="BG356" s="222" t="e">
        <f>BG357/BG361</f>
        <v>#DIV/0!</v>
      </c>
      <c r="BH356" s="222" t="e">
        <f>BH357/BH361</f>
        <v>#DIV/0!</v>
      </c>
      <c r="BI356" s="222" t="e">
        <f>BI357/BI361</f>
        <v>#DIV/0!</v>
      </c>
      <c r="BJ356" s="222" t="e">
        <f>BJ357/BJ361</f>
        <v>#DIV/0!</v>
      </c>
      <c r="BK356" s="222" t="e">
        <f>BK357/BK361</f>
        <v>#DIV/0!</v>
      </c>
      <c r="BL356" s="222" t="e">
        <f>BL357/BL361</f>
        <v>#DIV/0!</v>
      </c>
      <c r="BM356" s="222" t="e">
        <f>BM357/BM361</f>
        <v>#DIV/0!</v>
      </c>
      <c r="BN356" s="222" t="e">
        <f>BN357/BN361</f>
        <v>#DIV/0!</v>
      </c>
      <c r="BO356" s="222" t="e">
        <f>BO357/BO361</f>
        <v>#DIV/0!</v>
      </c>
      <c r="BP356" s="222" t="e">
        <f>BP357/BP361</f>
        <v>#DIV/0!</v>
      </c>
      <c r="BQ356" s="222" t="e">
        <f>BQ357/BQ361</f>
        <v>#DIV/0!</v>
      </c>
      <c r="BR356" s="222" t="e">
        <f>BR357/BR361</f>
        <v>#DIV/0!</v>
      </c>
      <c r="BS356" s="222" t="e">
        <f>BS357/BS361</f>
        <v>#DIV/0!</v>
      </c>
      <c r="BT356" s="222" t="e">
        <f>BT357/BT361</f>
        <v>#DIV/0!</v>
      </c>
      <c r="BU356" s="222" t="e">
        <f>BU357/BU361</f>
        <v>#DIV/0!</v>
      </c>
      <c r="BV356" s="222" t="e">
        <f>BV357/BV361</f>
        <v>#DIV/0!</v>
      </c>
      <c r="BW356" s="222" t="e">
        <f>BW357/BW361</f>
        <v>#DIV/0!</v>
      </c>
      <c r="BX356" s="222" t="e">
        <f>BX357/BX361</f>
        <v>#DIV/0!</v>
      </c>
      <c r="BY356" s="222" t="e">
        <f>BY357/BY361</f>
        <v>#DIV/0!</v>
      </c>
      <c r="BZ356" s="222" t="e">
        <f>BZ357/BZ361</f>
        <v>#DIV/0!</v>
      </c>
      <c r="CA356" s="222" t="e">
        <f>CA357/CA361</f>
        <v>#DIV/0!</v>
      </c>
      <c r="CB356" s="222" t="e">
        <f>CB357/CB361</f>
        <v>#DIV/0!</v>
      </c>
      <c r="CC356" s="222" t="e">
        <f>CC357/CC361</f>
        <v>#DIV/0!</v>
      </c>
      <c r="CD356" s="222" t="e">
        <f>CD357/CD361</f>
        <v>#DIV/0!</v>
      </c>
      <c r="CE356" s="222" t="e">
        <f>CE357/CE361</f>
        <v>#DIV/0!</v>
      </c>
      <c r="CF356" s="222" t="e">
        <f>CF357/CF361</f>
        <v>#DIV/0!</v>
      </c>
      <c r="CG356" s="222" t="e">
        <f>CG357/CG361</f>
        <v>#DIV/0!</v>
      </c>
      <c r="CH356" s="222" t="e">
        <f>CH357/CH361</f>
        <v>#DIV/0!</v>
      </c>
      <c r="CI356" s="222" t="e">
        <f>CI357/CI361</f>
        <v>#DIV/0!</v>
      </c>
      <c r="CJ356" s="222" t="e">
        <f>CJ357/CJ361</f>
        <v>#DIV/0!</v>
      </c>
      <c r="CK356" s="222" t="e">
        <f>CK357/CK361</f>
        <v>#DIV/0!</v>
      </c>
      <c r="CL356" s="222" t="e">
        <f>CL357/CL361</f>
        <v>#DIV/0!</v>
      </c>
      <c r="CM356" s="222" t="e">
        <f>CM357/CM361</f>
        <v>#DIV/0!</v>
      </c>
      <c r="CN356" s="222" t="e">
        <f>CN357/CN361</f>
        <v>#DIV/0!</v>
      </c>
      <c r="CO356" s="222" t="e">
        <f>CO357/CO361</f>
        <v>#DIV/0!</v>
      </c>
      <c r="CP356" s="222" t="e">
        <f>CP357/CP361</f>
        <v>#DIV/0!</v>
      </c>
      <c r="CQ356" s="222" t="e">
        <f>CQ357/CQ361</f>
        <v>#DIV/0!</v>
      </c>
      <c r="CR356" s="222" t="e">
        <f>CR357/CR361</f>
        <v>#DIV/0!</v>
      </c>
      <c r="CS356" s="222" t="e">
        <f>CS357/CS361</f>
        <v>#DIV/0!</v>
      </c>
      <c r="CT356" s="222" t="e">
        <f>CT357/CT361</f>
        <v>#DIV/0!</v>
      </c>
      <c r="CU356" s="222" t="e">
        <f>CU357/CU361</f>
        <v>#DIV/0!</v>
      </c>
      <c r="CV356" s="222" t="e">
        <f>CV357/CV361</f>
        <v>#DIV/0!</v>
      </c>
      <c r="CW356" s="222" t="e">
        <f>CW357/CW361</f>
        <v>#DIV/0!</v>
      </c>
      <c r="CX356" s="222" t="e">
        <f>CX357/CX361</f>
        <v>#DIV/0!</v>
      </c>
      <c r="CY356" s="222" t="e">
        <f>CY357/CY361</f>
        <v>#DIV/0!</v>
      </c>
    </row>
    <row r="357" customFormat="1" s="233">
      <c r="A357" s="224" t="n"/>
      <c r="B357" s="224" t="n"/>
      <c r="C357" s="233" t="inlineStr">
        <is>
          <t>NOPLAT</t>
        </is>
      </c>
      <c r="D357" s="233">
        <f>D358*(1-D359)</f>
        <v>139.50727343</v>
      </c>
      <c r="E357" s="233">
        <f>E358*(1-E359)</f>
        <v>239.46949957</v>
      </c>
      <c r="F357" s="233">
        <f>F358*(1-F359)</f>
        <v>274.549985469769</v>
      </c>
      <c r="G357" s="233">
        <f>G358*(1-G359)</f>
        <v>218.060677762782</v>
      </c>
      <c r="H357" s="233">
        <f>H358*(1-H359)</f>
        <v>871.760371186053</v>
      </c>
      <c r="I357" s="223">
        <f>I358*(1-I359)</f>
        <v>181.500388259999</v>
      </c>
      <c r="J357" s="224">
        <f>J358*(1-J359)</f>
        <v>215.078791790002</v>
      </c>
      <c r="K357" s="224">
        <f>K358*(1-K359)</f>
        <v>260.125</v>
      </c>
      <c r="L357" s="224">
        <f>L358*(1-L359)</f>
        <v>238.006909096263</v>
      </c>
      <c r="M357" s="224">
        <f>M358*(1-M359)</f>
        <v>894.345212454399</v>
      </c>
      <c r="N357" s="223">
        <f>N358*(1-N359)</f>
        <v>228.062729884842</v>
      </c>
      <c r="O357" s="224">
        <f>O358*(1-O359)</f>
        <v>321.945552434482</v>
      </c>
      <c r="P357" s="224">
        <f>P358*(1-P359)</f>
        <v>379.674895533229</v>
      </c>
      <c r="Q357" s="224">
        <f>Q358*(1-Q359)</f>
        <v>405.436133148157</v>
      </c>
      <c r="R357" s="224">
        <f>R358*(1-R359)</f>
        <v>1335.77913485414</v>
      </c>
      <c r="S357" s="223">
        <f>S358*(1-S359)</f>
        <v>312.285817765583</v>
      </c>
      <c r="T357" s="224">
        <f>T358*(1-T359)</f>
        <v>391.875582892262</v>
      </c>
      <c r="U357" s="224">
        <f>U358*(1-U359)</f>
        <v>413.522959156634</v>
      </c>
      <c r="V357" s="224">
        <f>V358*(1-V359)</f>
        <v>508.616131354036</v>
      </c>
      <c r="W357" s="224">
        <f>W358*(1-W359)</f>
        <v>1626.42796478628</v>
      </c>
      <c r="X357" s="223">
        <f>X358*(1-X359)</f>
        <v>357.334843086607</v>
      </c>
      <c r="Y357" s="224">
        <f>Y358*(1-Y359)</f>
        <v>452.713990496584</v>
      </c>
      <c r="Z357" s="224">
        <f>Z358*(1-Z359)</f>
        <v>487.357640576566</v>
      </c>
      <c r="AA357" s="224">
        <f>AA358*(1-AA359)</f>
        <v>462.369229459364</v>
      </c>
      <c r="AB357" s="224">
        <f>AB358*(1-AB359)</f>
        <v>1761.03477020955</v>
      </c>
      <c r="AC357" s="223">
        <f>AC358*(1-AC359)</f>
        <v>443.609039063413</v>
      </c>
      <c r="AD357" s="224">
        <f>AD358*(1-AD359)</f>
        <v>578.286421410957</v>
      </c>
      <c r="AE357" s="224">
        <f>AE358*(1-AE359)</f>
        <v>1255.44462785409</v>
      </c>
      <c r="AF357" s="224">
        <f>AF358*(1-AF359)</f>
        <v>1060.13174341472</v>
      </c>
      <c r="AG357" s="224">
        <f>AG358*(1-AG359)</f>
        <v>3122.44099644295</v>
      </c>
      <c r="AH357" s="223">
        <f>AH358*(1-AH359)</f>
        <v>451.978084600328</v>
      </c>
      <c r="AI357" s="224">
        <f>AI358*(1-AI359)</f>
        <v>475.103957547959</v>
      </c>
      <c r="AJ357" s="224">
        <f>AJ358*(1-AJ359)</f>
        <v>0</v>
      </c>
      <c r="AK357" s="224">
        <f>AK358*(1-AK359)</f>
        <v>0</v>
      </c>
      <c r="AL357" s="224">
        <f>AL358*(1-AL359)</f>
        <v>909.010400584193</v>
      </c>
      <c r="AM357" s="223">
        <f>AM358*(1-AM359)</f>
        <v>0</v>
      </c>
      <c r="AN357" s="224">
        <f>AN358*(1-AN359)</f>
        <v>0</v>
      </c>
      <c r="AO357" s="224">
        <f>AO358*(1-AO359)</f>
        <v>0</v>
      </c>
      <c r="AP357" s="224">
        <f>AP358*(1-AP359)</f>
        <v>0</v>
      </c>
      <c r="AQ357" s="224">
        <f>AQ358*(1-AQ359)</f>
        <v>0</v>
      </c>
      <c r="AR357" s="223">
        <f>AR358*(1-AR359)</f>
        <v>0</v>
      </c>
      <c r="AS357" s="224">
        <f>AS358*(1-AS359)</f>
        <v>0</v>
      </c>
      <c r="AT357" s="224">
        <f>AT358*(1-AT359)</f>
        <v>0</v>
      </c>
      <c r="AU357" s="224">
        <f>AU358*(1-AU359)</f>
        <v>0</v>
      </c>
      <c r="AV357" s="224">
        <f>AV358*(1-AV359)</f>
        <v>0</v>
      </c>
      <c r="AW357" s="223">
        <f>AW358*(1-AW359)</f>
        <v>0</v>
      </c>
      <c r="AX357" s="224">
        <f>AX358*(1-AX359)</f>
        <v>0</v>
      </c>
      <c r="AY357" s="224">
        <f>AY358*(1-AY359)</f>
        <v>0</v>
      </c>
      <c r="AZ357" s="224">
        <f>AZ358*(1-AZ359)</f>
        <v>0</v>
      </c>
      <c r="BA357" s="224">
        <f>BA358*(1-BA359)</f>
        <v>0</v>
      </c>
      <c r="BB357" s="223">
        <f>BB358*(1-BB359)</f>
        <v>0</v>
      </c>
      <c r="BC357" s="224">
        <f>BC358*(1-BC359)</f>
        <v>0</v>
      </c>
      <c r="BD357" s="224">
        <f>BD358*(1-BD359)</f>
        <v>0</v>
      </c>
      <c r="BE357" s="224">
        <f>BE358*(1-BE359)</f>
        <v>0</v>
      </c>
      <c r="BF357" s="224">
        <f>BF358*(1-BF359)</f>
        <v>0</v>
      </c>
      <c r="BG357" s="223">
        <f>BG358*(1-BG359)</f>
        <v>0</v>
      </c>
      <c r="BH357" s="224">
        <f>BH358*(1-BH359)</f>
        <v>0</v>
      </c>
      <c r="BI357" s="224">
        <f>BI358*(1-BI359)</f>
        <v>0</v>
      </c>
      <c r="BJ357" s="224">
        <f>BJ358*(1-BJ359)</f>
        <v>0</v>
      </c>
      <c r="BK357" s="224">
        <f>BK358*(1-BK359)</f>
        <v>0</v>
      </c>
      <c r="BL357" s="223">
        <f>BL358*(1-BL359)</f>
        <v>0</v>
      </c>
      <c r="BM357" s="224">
        <f>BM358*(1-BM359)</f>
        <v>0</v>
      </c>
      <c r="BN357" s="224">
        <f>BN358*(1-BN359)</f>
        <v>0</v>
      </c>
      <c r="BO357" s="224">
        <f>BO358*(1-BO359)</f>
        <v>0</v>
      </c>
      <c r="BP357" s="224">
        <f>BP358*(1-BP359)</f>
        <v>0</v>
      </c>
      <c r="BQ357" s="223">
        <f>BQ358*(1-BQ359)</f>
        <v>0</v>
      </c>
      <c r="BR357" s="224">
        <f>BR358*(1-BR359)</f>
        <v>0</v>
      </c>
      <c r="BS357" s="224">
        <f>BS358*(1-BS359)</f>
        <v>0</v>
      </c>
      <c r="BT357" s="224">
        <f>BT358*(1-BT359)</f>
        <v>0</v>
      </c>
      <c r="BU357" s="224">
        <f>BU358*(1-BU359)</f>
        <v>0</v>
      </c>
      <c r="BV357" s="223">
        <f>BV358*(1-BV359)</f>
        <v>0</v>
      </c>
      <c r="BW357" s="224">
        <f>BW358*(1-BW359)</f>
        <v>0</v>
      </c>
      <c r="BX357" s="224">
        <f>BX358*(1-BX359)</f>
        <v>0</v>
      </c>
      <c r="BY357" s="224">
        <f>BY358*(1-BY359)</f>
        <v>0</v>
      </c>
      <c r="BZ357" s="224">
        <f>BZ358*(1-BZ359)</f>
        <v>0</v>
      </c>
      <c r="CA357" s="223">
        <f>CA358*(1-CA359)</f>
        <v>0</v>
      </c>
      <c r="CB357" s="224">
        <f>CB358*(1-CB359)</f>
        <v>0</v>
      </c>
      <c r="CC357" s="224">
        <f>CC358*(1-CC359)</f>
        <v>0</v>
      </c>
      <c r="CD357" s="224">
        <f>CD358*(1-CD359)</f>
        <v>0</v>
      </c>
      <c r="CE357" s="224">
        <f>CE358*(1-CE359)</f>
        <v>0</v>
      </c>
      <c r="CF357" s="223">
        <f>CF358*(1-CF359)</f>
        <v>0</v>
      </c>
      <c r="CG357" s="224">
        <f>CG358*(1-CG359)</f>
        <v>0</v>
      </c>
      <c r="CH357" s="224">
        <f>CH358*(1-CH359)</f>
        <v>0</v>
      </c>
      <c r="CI357" s="224">
        <f>CI358*(1-CI359)</f>
        <v>0</v>
      </c>
      <c r="CJ357" s="224">
        <f>CJ358*(1-CJ359)</f>
        <v>0</v>
      </c>
      <c r="CK357" s="223">
        <f>CK358*(1-CK359)</f>
        <v>0</v>
      </c>
      <c r="CL357" s="224">
        <f>CL358*(1-CL359)</f>
        <v>0</v>
      </c>
      <c r="CM357" s="224">
        <f>CM358*(1-CM359)</f>
        <v>0</v>
      </c>
      <c r="CN357" s="224">
        <f>CN358*(1-CN359)</f>
        <v>0</v>
      </c>
      <c r="CO357" s="224">
        <f>CO358*(1-CO359)</f>
        <v>0</v>
      </c>
      <c r="CP357" s="223">
        <f>CP358*(1-CP359)</f>
        <v>0</v>
      </c>
      <c r="CQ357" s="224">
        <f>CQ358*(1-CQ359)</f>
        <v>0</v>
      </c>
      <c r="CR357" s="224">
        <f>CR358*(1-CR359)</f>
        <v>0</v>
      </c>
      <c r="CS357" s="224">
        <f>CS358*(1-CS359)</f>
        <v>0</v>
      </c>
      <c r="CT357" s="224">
        <f>CT358*(1-CT359)</f>
        <v>0</v>
      </c>
      <c r="CU357" s="223">
        <f>CU358*(1-CU359)</f>
        <v>0</v>
      </c>
      <c r="CV357" s="224">
        <f>CV358*(1-CV359)</f>
        <v>0</v>
      </c>
      <c r="CW357" s="224">
        <f>CW358*(1-CW359)</f>
        <v>0</v>
      </c>
      <c r="CX357" s="224">
        <f>CX358*(1-CX359)</f>
        <v>0</v>
      </c>
      <c r="CY357" s="224">
        <f>CY358*(1-CY359)</f>
        <v>0</v>
      </c>
    </row>
    <row r="358" customFormat="1" s="233">
      <c r="A358" s="224" t="n"/>
      <c r="B358" s="224" t="n"/>
      <c r="C358" s="233" t="inlineStr">
        <is>
          <t>EBIT</t>
        </is>
      </c>
      <c r="D358" s="239">
        <f>D83</f>
        <v>139.50727343</v>
      </c>
      <c r="E358" s="239">
        <f>E83</f>
        <v>239.46949957</v>
      </c>
      <c r="F358" s="239">
        <f>F83</f>
        <v>275.999227</v>
      </c>
      <c r="G358" s="239">
        <f>G83</f>
        <v>214.70900276</v>
      </c>
      <c r="H358" s="239">
        <f>H83</f>
        <v>869.68500276</v>
      </c>
      <c r="I358" s="36">
        <f>I83</f>
        <v>181.500388259999</v>
      </c>
      <c r="J358" s="36">
        <f>J83</f>
        <v>215.078791790002</v>
      </c>
      <c r="K358" s="36">
        <f>K83</f>
        <v>260.125</v>
      </c>
      <c r="L358" s="36">
        <f>L83</f>
        <v>259.46363300999</v>
      </c>
      <c r="M358" s="36">
        <f>M83</f>
        <v>916.16781305999</v>
      </c>
      <c r="N358" s="36">
        <f>N83</f>
        <v>229.80794874</v>
      </c>
      <c r="O358" s="36">
        <f>O83</f>
        <v>326.05819674</v>
      </c>
      <c r="P358" s="36">
        <f>P83</f>
        <v>388.192</v>
      </c>
      <c r="Q358" s="36">
        <f>Q83</f>
        <v>421.226</v>
      </c>
      <c r="R358" s="36">
        <f>R83</f>
        <v>1365.28414548</v>
      </c>
      <c r="S358" s="36">
        <f>S83</f>
        <v>312.990667580001</v>
      </c>
      <c r="T358" s="36">
        <f>T83</f>
        <v>413.579999999999</v>
      </c>
      <c r="U358" s="36">
        <f>U83</f>
        <v>414.028</v>
      </c>
      <c r="V358" s="36">
        <f>V83</f>
        <v>542.013449900001</v>
      </c>
      <c r="W358" s="36">
        <f>W83</f>
        <v>1682.61211748</v>
      </c>
      <c r="X358" s="36">
        <f>X83</f>
        <v>405.45202629889</v>
      </c>
      <c r="Y358" s="36">
        <f>Y83</f>
        <v>457.40335227111</v>
      </c>
      <c r="Z358" s="36">
        <f>Z83</f>
        <v>552.761</v>
      </c>
      <c r="AA358" s="36">
        <f>AA83</f>
        <v>540.835500000001</v>
      </c>
      <c r="AB358" s="36">
        <f>AB83</f>
        <v>1956.45187857</v>
      </c>
      <c r="AC358" s="36">
        <f>AC83</f>
        <v>480.638</v>
      </c>
      <c r="AD358" s="36">
        <f>AD83</f>
        <v>662.398433216228</v>
      </c>
      <c r="AE358" s="36">
        <f>AE83</f>
        <v>671.056999999999</v>
      </c>
      <c r="AF358" s="36">
        <f>AF83</f>
        <v>453.455000000031</v>
      </c>
      <c r="AG358" s="36">
        <f>AG83</f>
        <v>2267.54843321626</v>
      </c>
      <c r="AH358" s="36">
        <f>AH83</f>
        <v>384.594000000001</v>
      </c>
      <c r="AI358" s="36">
        <f>AI83</f>
        <v>503.916999999999</v>
      </c>
      <c r="AJ358" s="36">
        <f>AJ83</f>
        <v>0</v>
      </c>
      <c r="AK358" s="36">
        <f>AK83</f>
        <v>0</v>
      </c>
      <c r="AL358" s="36">
        <f>AL83</f>
        <v>888.510999999999</v>
      </c>
      <c r="AM358" s="36">
        <f>AM83</f>
        <v>0</v>
      </c>
      <c r="AN358" s="36">
        <f>AN83</f>
        <v>0</v>
      </c>
      <c r="AO358" s="36">
        <f>AO83</f>
        <v>0</v>
      </c>
      <c r="AP358" s="36">
        <f>AP83</f>
        <v>0</v>
      </c>
      <c r="AQ358" s="36">
        <f>AQ83</f>
        <v>0</v>
      </c>
      <c r="AR358" s="36">
        <f>AR83</f>
        <v>0</v>
      </c>
      <c r="AS358" s="36">
        <f>AS83</f>
        <v>0</v>
      </c>
      <c r="AT358" s="36">
        <f>AT83</f>
        <v>0</v>
      </c>
      <c r="AU358" s="36">
        <f>AU83</f>
        <v>0</v>
      </c>
      <c r="AV358" s="36">
        <f>AV83</f>
        <v>0</v>
      </c>
      <c r="AW358" s="36">
        <f>AW83</f>
        <v>0</v>
      </c>
      <c r="AX358" s="36">
        <f>AX83</f>
        <v>0</v>
      </c>
      <c r="AY358" s="36">
        <f>AY83</f>
        <v>0</v>
      </c>
      <c r="AZ358" s="36">
        <f>AZ83</f>
        <v>0</v>
      </c>
      <c r="BA358" s="36">
        <f>BA83</f>
        <v>0</v>
      </c>
      <c r="BB358" s="36">
        <f>BB83</f>
        <v>0</v>
      </c>
      <c r="BC358" s="36">
        <f>BC83</f>
        <v>0</v>
      </c>
      <c r="BD358" s="36">
        <f>BD83</f>
        <v>0</v>
      </c>
      <c r="BE358" s="36">
        <f>BE83</f>
        <v>0</v>
      </c>
      <c r="BF358" s="36">
        <f>BF83</f>
        <v>0</v>
      </c>
      <c r="BG358" s="36">
        <f>BG83</f>
        <v>0</v>
      </c>
      <c r="BH358" s="36">
        <f>BH83</f>
        <v>0</v>
      </c>
      <c r="BI358" s="36">
        <f>BI83</f>
        <v>0</v>
      </c>
      <c r="BJ358" s="36">
        <f>BJ83</f>
        <v>0</v>
      </c>
      <c r="BK358" s="36">
        <f>BK83</f>
        <v>0</v>
      </c>
      <c r="BL358" s="36">
        <f>BL83</f>
        <v>0</v>
      </c>
      <c r="BM358" s="36">
        <f>BM83</f>
        <v>0</v>
      </c>
      <c r="BN358" s="36">
        <f>BN83</f>
        <v>0</v>
      </c>
      <c r="BO358" s="36">
        <f>BO83</f>
        <v>0</v>
      </c>
      <c r="BP358" s="36">
        <f>BP83</f>
        <v>0</v>
      </c>
      <c r="BQ358" s="36">
        <f>BQ83</f>
        <v>0</v>
      </c>
      <c r="BR358" s="36">
        <f>BR83</f>
        <v>0</v>
      </c>
      <c r="BS358" s="36">
        <f>BS83</f>
        <v>0</v>
      </c>
      <c r="BT358" s="36">
        <f>BT83</f>
        <v>0</v>
      </c>
      <c r="BU358" s="36">
        <f>BU83</f>
        <v>0</v>
      </c>
      <c r="BV358" s="36">
        <f>BV83</f>
        <v>0</v>
      </c>
      <c r="BW358" s="36">
        <f>BW83</f>
        <v>0</v>
      </c>
      <c r="BX358" s="36">
        <f>BX83</f>
        <v>0</v>
      </c>
      <c r="BY358" s="36">
        <f>BY83</f>
        <v>0</v>
      </c>
      <c r="BZ358" s="36">
        <f>BZ83</f>
        <v>0</v>
      </c>
      <c r="CA358" s="36">
        <f>CA83</f>
        <v>0</v>
      </c>
      <c r="CB358" s="36">
        <f>CB83</f>
        <v>0</v>
      </c>
      <c r="CC358" s="36">
        <f>CC83</f>
        <v>0</v>
      </c>
      <c r="CD358" s="36">
        <f>CD83</f>
        <v>0</v>
      </c>
      <c r="CE358" s="36">
        <f>CE83</f>
        <v>0</v>
      </c>
      <c r="CF358" s="36">
        <f>CF83</f>
        <v>0</v>
      </c>
      <c r="CG358" s="36">
        <f>CG83</f>
        <v>0</v>
      </c>
      <c r="CH358" s="36">
        <f>CH83</f>
        <v>0</v>
      </c>
      <c r="CI358" s="36">
        <f>CI83</f>
        <v>0</v>
      </c>
      <c r="CJ358" s="36">
        <f>CJ83</f>
        <v>0</v>
      </c>
      <c r="CK358" s="36">
        <f>CK83</f>
        <v>0</v>
      </c>
      <c r="CL358" s="36">
        <f>CL83</f>
        <v>0</v>
      </c>
      <c r="CM358" s="36">
        <f>CM83</f>
        <v>0</v>
      </c>
      <c r="CN358" s="36">
        <f>CN83</f>
        <v>0</v>
      </c>
      <c r="CO358" s="36">
        <f>CO83</f>
        <v>0</v>
      </c>
      <c r="CP358" s="36">
        <f>CP83</f>
        <v>0</v>
      </c>
      <c r="CQ358" s="36">
        <f>CQ83</f>
        <v>0</v>
      </c>
      <c r="CR358" s="36">
        <f>CR83</f>
        <v>0</v>
      </c>
      <c r="CS358" s="36">
        <f>CS83</f>
        <v>0</v>
      </c>
      <c r="CT358" s="36">
        <f>CT83</f>
        <v>0</v>
      </c>
      <c r="CU358" s="36">
        <f>CU83</f>
        <v>0</v>
      </c>
      <c r="CV358" s="36">
        <f>CV83</f>
        <v>0</v>
      </c>
      <c r="CW358" s="36">
        <f>CW83</f>
        <v>0</v>
      </c>
      <c r="CX358" s="36">
        <f>CX83</f>
        <v>0</v>
      </c>
      <c r="CY358" s="36">
        <f>CY83</f>
        <v>0</v>
      </c>
    </row>
    <row r="359" customFormat="1" s="233">
      <c r="A359" s="224" t="n"/>
      <c r="B359" s="224" t="n"/>
      <c r="C359" s="233" t="inlineStr">
        <is>
          <t>ETR</t>
        </is>
      </c>
      <c r="D359" s="240">
        <f>D142</f>
        <v>0</v>
      </c>
      <c r="E359" s="240">
        <f>E142</f>
        <v>0</v>
      </c>
      <c r="F359" s="240">
        <f>F142</f>
        <v>0.00525088981583041</v>
      </c>
      <c r="G359" s="240">
        <f>G142</f>
        <v>-0.0156103142378645</v>
      </c>
      <c r="H359" s="240">
        <f>H142</f>
        <v>-0.002386344963368</v>
      </c>
      <c r="I359" s="225">
        <f>I142</f>
        <v>0</v>
      </c>
      <c r="J359" s="225">
        <f>J142</f>
        <v>0</v>
      </c>
      <c r="K359" s="225">
        <f>K142</f>
        <v>0</v>
      </c>
      <c r="L359" s="225">
        <f>L142</f>
        <v>0.0826964598653453</v>
      </c>
      <c r="M359" s="225">
        <f>M142</f>
        <v>0.0238194360187175</v>
      </c>
      <c r="N359" s="225">
        <f>N142</f>
        <v>0.00759424930568066</v>
      </c>
      <c r="O359" s="225">
        <f>O142</f>
        <v>0.0126132216476614</v>
      </c>
      <c r="P359" s="225">
        <f>P142</f>
        <v>0.0219404430456361</v>
      </c>
      <c r="Q359" s="225">
        <f>Q142</f>
        <v>0.0374854991188644</v>
      </c>
      <c r="R359" s="225">
        <f>R142</f>
        <v>0.0216108937641592</v>
      </c>
      <c r="S359" s="225">
        <f>S142</f>
        <v>0.00225198348521789</v>
      </c>
      <c r="T359" s="225">
        <f>T142</f>
        <v>0.0524793682183319</v>
      </c>
      <c r="U359" s="225">
        <f>U142</f>
        <v>0.00121982291865724</v>
      </c>
      <c r="V359" s="225">
        <f>V142</f>
        <v>0.061617139855341</v>
      </c>
      <c r="W359" s="225">
        <f>W142</f>
        <v>0.0333910305946593</v>
      </c>
      <c r="X359" s="225">
        <f>X142</f>
        <v>0.118675404465267</v>
      </c>
      <c r="Y359" s="225">
        <f>Y142</f>
        <v>0.0102521368749092</v>
      </c>
      <c r="Z359" s="225">
        <f>Z142</f>
        <v>0.118321226395193</v>
      </c>
      <c r="AA359" s="225">
        <f>AA142</f>
        <v>0.145083432098367</v>
      </c>
      <c r="AB359" s="225">
        <f>AB142</f>
        <v>0.0998834218724965</v>
      </c>
      <c r="AC359" s="225">
        <f>AC142</f>
        <v>0.0770412679325952</v>
      </c>
      <c r="AD359" s="225">
        <f>AD142</f>
        <v>0.126980994500351</v>
      </c>
      <c r="AE359" s="225">
        <f>AE142</f>
        <v>-0.870846482272138</v>
      </c>
      <c r="AF359" s="225">
        <f>AF142</f>
        <v>-1.33789845390313</v>
      </c>
      <c r="AG359" s="225">
        <f>AG142</f>
        <v>-0.37701182065343</v>
      </c>
      <c r="AH359" s="225">
        <f>AH142</f>
        <v>-0.175208361545753</v>
      </c>
      <c r="AI359" s="225">
        <f>AI142</f>
        <v>0.0571781512670537</v>
      </c>
      <c r="AJ359" s="225">
        <f>AJ142</f>
        <v>0</v>
      </c>
      <c r="AK359" s="225">
        <f>AK142</f>
        <v>0</v>
      </c>
      <c r="AL359" s="225">
        <f>AL142</f>
        <v>-0.023071633985616</v>
      </c>
      <c r="AM359" s="225">
        <f>AM142</f>
        <v>0</v>
      </c>
      <c r="AN359" s="225">
        <f>AN142</f>
        <v>0</v>
      </c>
      <c r="AO359" s="225">
        <f>AO142</f>
        <v>0</v>
      </c>
      <c r="AP359" s="225">
        <f>AP142</f>
        <v>0</v>
      </c>
      <c r="AQ359" s="225">
        <f>AQ142</f>
        <v>0</v>
      </c>
      <c r="AR359" s="225">
        <f>AR142</f>
        <v>0</v>
      </c>
      <c r="AS359" s="225">
        <f>AS142</f>
        <v>0</v>
      </c>
      <c r="AT359" s="225">
        <f>AT142</f>
        <v>0</v>
      </c>
      <c r="AU359" s="225">
        <f>AU142</f>
        <v>0</v>
      </c>
      <c r="AV359" s="225">
        <f>AV142</f>
        <v>0</v>
      </c>
      <c r="AW359" s="225">
        <f>AW142</f>
        <v>0</v>
      </c>
      <c r="AX359" s="225">
        <f>AX142</f>
        <v>0</v>
      </c>
      <c r="AY359" s="225">
        <f>AY142</f>
        <v>0</v>
      </c>
      <c r="AZ359" s="225">
        <f>AZ142</f>
        <v>0</v>
      </c>
      <c r="BA359" s="225">
        <f>BA142</f>
        <v>0</v>
      </c>
      <c r="BB359" s="225">
        <f>BB142</f>
        <v>0</v>
      </c>
      <c r="BC359" s="225">
        <f>BC142</f>
        <v>0</v>
      </c>
      <c r="BD359" s="225">
        <f>BD142</f>
        <v>0</v>
      </c>
      <c r="BE359" s="225">
        <f>BE142</f>
        <v>0</v>
      </c>
      <c r="BF359" s="225">
        <f>BF142</f>
        <v>0</v>
      </c>
      <c r="BG359" s="225">
        <f>BG142</f>
        <v>0</v>
      </c>
      <c r="BH359" s="225">
        <f>BH142</f>
        <v>0</v>
      </c>
      <c r="BI359" s="225">
        <f>BI142</f>
        <v>0</v>
      </c>
      <c r="BJ359" s="225">
        <f>BJ142</f>
        <v>0</v>
      </c>
      <c r="BK359" s="225">
        <f>BK142</f>
        <v>0</v>
      </c>
      <c r="BL359" s="225">
        <f>BL142</f>
        <v>0</v>
      </c>
      <c r="BM359" s="225">
        <f>BM142</f>
        <v>0</v>
      </c>
      <c r="BN359" s="225">
        <f>BN142</f>
        <v>0</v>
      </c>
      <c r="BO359" s="225">
        <f>BO142</f>
        <v>0</v>
      </c>
      <c r="BP359" s="225">
        <f>BP142</f>
        <v>0</v>
      </c>
      <c r="BQ359" s="225">
        <f>BQ142</f>
        <v>0</v>
      </c>
      <c r="BR359" s="225">
        <f>BR142</f>
        <v>0</v>
      </c>
      <c r="BS359" s="225">
        <f>BS142</f>
        <v>0</v>
      </c>
      <c r="BT359" s="225">
        <f>BT142</f>
        <v>0</v>
      </c>
      <c r="BU359" s="225">
        <f>BU142</f>
        <v>0</v>
      </c>
      <c r="BV359" s="225">
        <f>BV142</f>
        <v>0</v>
      </c>
      <c r="BW359" s="225">
        <f>BW142</f>
        <v>0</v>
      </c>
      <c r="BX359" s="225">
        <f>BX142</f>
        <v>0</v>
      </c>
      <c r="BY359" s="225">
        <f>BY142</f>
        <v>0</v>
      </c>
      <c r="BZ359" s="225">
        <f>BZ142</f>
        <v>0</v>
      </c>
      <c r="CA359" s="225">
        <f>CA142</f>
        <v>0</v>
      </c>
      <c r="CB359" s="225">
        <f>CB142</f>
        <v>0</v>
      </c>
      <c r="CC359" s="225">
        <f>CC142</f>
        <v>0</v>
      </c>
      <c r="CD359" s="225">
        <f>CD142</f>
        <v>0</v>
      </c>
      <c r="CE359" s="225">
        <f>CE142</f>
        <v>0</v>
      </c>
      <c r="CF359" s="225">
        <f>CF142</f>
        <v>0</v>
      </c>
      <c r="CG359" s="225">
        <f>CG142</f>
        <v>0</v>
      </c>
      <c r="CH359" s="225">
        <f>CH142</f>
        <v>0</v>
      </c>
      <c r="CI359" s="225">
        <f>CI142</f>
        <v>0</v>
      </c>
      <c r="CJ359" s="225">
        <f>CJ142</f>
        <v>0</v>
      </c>
      <c r="CK359" s="225">
        <f>CK142</f>
        <v>0</v>
      </c>
      <c r="CL359" s="225">
        <f>CL142</f>
        <v>0</v>
      </c>
      <c r="CM359" s="225">
        <f>CM142</f>
        <v>0</v>
      </c>
      <c r="CN359" s="225">
        <f>CN142</f>
        <v>0</v>
      </c>
      <c r="CO359" s="225">
        <f>CO142</f>
        <v>0</v>
      </c>
      <c r="CP359" s="225">
        <f>CP142</f>
        <v>0</v>
      </c>
      <c r="CQ359" s="225">
        <f>CQ142</f>
        <v>0</v>
      </c>
      <c r="CR359" s="225">
        <f>CR142</f>
        <v>0</v>
      </c>
      <c r="CS359" s="225">
        <f>CS142</f>
        <v>0</v>
      </c>
      <c r="CT359" s="225">
        <f>CT142</f>
        <v>0</v>
      </c>
      <c r="CU359" s="225">
        <f>CU142</f>
        <v>0</v>
      </c>
      <c r="CV359" s="225">
        <f>CV142</f>
        <v>0</v>
      </c>
      <c r="CW359" s="225">
        <f>CW142</f>
        <v>0</v>
      </c>
      <c r="CX359" s="225">
        <f>CX142</f>
        <v>0</v>
      </c>
      <c r="CY359" s="225">
        <f>CY142</f>
        <v>0</v>
      </c>
    </row>
    <row r="360" customFormat="1" s="233">
      <c r="A360" s="224" t="n"/>
      <c r="B360" s="224" t="n"/>
      <c r="C360" s="233" t="inlineStr">
        <is>
          <t>INVESTED CAPITAL</t>
        </is>
      </c>
      <c r="D360" s="239" t="e">
        <f>D363-D364+D365</f>
        <v>#N/A</v>
      </c>
      <c r="E360" s="239">
        <f>E363-E364+E365</f>
        <v>3020.007</v>
      </c>
      <c r="F360" s="239">
        <f>F363-F364+F365</f>
        <v>3575.87962920017</v>
      </c>
      <c r="G360" s="239">
        <f>G363-G364+G365</f>
        <v>4763.15578162007</v>
      </c>
      <c r="H360" s="239">
        <f>H363-H364+H365</f>
        <v>4763.15578162007</v>
      </c>
      <c r="I360" s="36">
        <f>I363-I364+I365</f>
        <v>5301.03197174</v>
      </c>
      <c r="J360" s="36">
        <f>J363-J364+J365</f>
        <v>5621.82090716</v>
      </c>
      <c r="K360" s="36">
        <f>K363-K364+K365</f>
        <v>6707.427</v>
      </c>
      <c r="L360" s="36">
        <f>L363-L364+L365</f>
        <v>7590.297</v>
      </c>
      <c r="M360" s="36">
        <f>M363-M364+M365</f>
        <v>7590.297</v>
      </c>
      <c r="N360" s="36">
        <f>N363-N364+N365</f>
        <v>8150.351</v>
      </c>
      <c r="O360" s="36">
        <f>O363-O364+O365</f>
        <v>8366.452</v>
      </c>
      <c r="P360" s="36">
        <f>P363-P364+P365</f>
        <v>9693.377</v>
      </c>
      <c r="Q360" s="36">
        <f>Q363-Q364+Q365</f>
        <v>8913.218</v>
      </c>
      <c r="R360" s="36">
        <f>R363-R364+R365</f>
        <v>8913.218</v>
      </c>
      <c r="S360" s="36">
        <f>S363-S364+S365</f>
        <v>9331.326</v>
      </c>
      <c r="T360" s="36">
        <f>T363-T364+T365</f>
        <v>10173.614</v>
      </c>
      <c r="U360" s="36">
        <f>U363-U364+U365</f>
        <v>10920.909</v>
      </c>
      <c r="V360" s="36">
        <f>V363-V364+V365</f>
        <v>11206.807</v>
      </c>
      <c r="W360" s="36">
        <f>W363-W364+W365</f>
        <v>11206.807</v>
      </c>
      <c r="X360" s="36">
        <f>X363-X364+X365</f>
        <v>11489.872</v>
      </c>
      <c r="Y360" s="36">
        <f>Y363-Y364+Y365</f>
        <v>11635.56170197</v>
      </c>
      <c r="Z360" s="36">
        <f>Z363-Z364+Z365</f>
        <v>12489.308</v>
      </c>
      <c r="AA360" s="36">
        <f>AA363-AA364+AA365</f>
        <v>11967.557</v>
      </c>
      <c r="AB360" s="36">
        <f>AB363-AB364+AB365</f>
        <v>11967.557</v>
      </c>
      <c r="AC360" s="36">
        <f>AC363-AC364+AC365</f>
        <v>12422.283</v>
      </c>
      <c r="AD360" s="36">
        <f>AD363-AD364+AD365</f>
        <v>13097.20610598</v>
      </c>
      <c r="AE360" s="36">
        <f>AE363-AE364+AE365</f>
        <v>16448.584</v>
      </c>
      <c r="AF360" s="36">
        <f>AF363-AF364+AF365</f>
        <v>16446.478</v>
      </c>
      <c r="AG360" s="36">
        <f>AG363-AG364+AG365</f>
        <v>16446.478</v>
      </c>
      <c r="AH360" s="36">
        <f>AH363-AH364+AH365</f>
        <v>16705.745</v>
      </c>
      <c r="AI360" s="36">
        <f>AI363-AI364+AI365</f>
        <v>17597.447</v>
      </c>
      <c r="AJ360" s="36">
        <f>AJ363-AJ364+AJ365</f>
        <v>12725.976</v>
      </c>
      <c r="AK360" s="36">
        <f>AK363-AK364+AK365</f>
        <v>12725.976</v>
      </c>
      <c r="AL360" s="36">
        <f>AL363-AL364+AL365</f>
        <v>12725.976</v>
      </c>
      <c r="AM360" s="36" t="e">
        <f>AM363-AM364+AM365</f>
        <v>#DIV/0!</v>
      </c>
      <c r="AN360" s="36">
        <f>AN363-AN364+AN365</f>
        <v>12725.976</v>
      </c>
      <c r="AO360" s="36" t="e">
        <f>AO363-AO364+AO365</f>
        <v>#DIV/0!</v>
      </c>
      <c r="AP360" s="36" t="e">
        <f>AP363-AP364+AP365</f>
        <v>#DIV/0!</v>
      </c>
      <c r="AQ360" s="36" t="e">
        <f>AQ363-AQ364+AQ365</f>
        <v>#DIV/0!</v>
      </c>
      <c r="AR360" s="36" t="e">
        <f>AR363-AR364+AR365</f>
        <v>#DIV/0!</v>
      </c>
      <c r="AS360" s="36" t="e">
        <f>AS363-AS364+AS365</f>
        <v>#DIV/0!</v>
      </c>
      <c r="AT360" s="36" t="e">
        <f>AT363-AT364+AT365</f>
        <v>#DIV/0!</v>
      </c>
      <c r="AU360" s="36" t="e">
        <f>AU363-AU364+AU365</f>
        <v>#DIV/0!</v>
      </c>
      <c r="AV360" s="36" t="e">
        <f>AV363-AV364+AV365</f>
        <v>#DIV/0!</v>
      </c>
      <c r="AW360" s="36" t="e">
        <f>AW363-AW364+AW365</f>
        <v>#DIV/0!</v>
      </c>
      <c r="AX360" s="36" t="e">
        <f>AX363-AX364+AX365</f>
        <v>#DIV/0!</v>
      </c>
      <c r="AY360" s="36" t="e">
        <f>AY363-AY364+AY365</f>
        <v>#DIV/0!</v>
      </c>
      <c r="AZ360" s="36" t="e">
        <f>AZ363-AZ364+AZ365</f>
        <v>#DIV/0!</v>
      </c>
      <c r="BA360" s="36" t="e">
        <f>BA363-BA364+BA365</f>
        <v>#DIV/0!</v>
      </c>
      <c r="BB360" s="36" t="e">
        <f>BB363-BB364+BB365</f>
        <v>#DIV/0!</v>
      </c>
      <c r="BC360" s="36" t="e">
        <f>BC363-BC364+BC365</f>
        <v>#DIV/0!</v>
      </c>
      <c r="BD360" s="36" t="e">
        <f>BD363-BD364+BD365</f>
        <v>#DIV/0!</v>
      </c>
      <c r="BE360" s="36" t="e">
        <f>BE363-BE364+BE365</f>
        <v>#DIV/0!</v>
      </c>
      <c r="BF360" s="36" t="e">
        <f>BF363-BF364+BF365</f>
        <v>#DIV/0!</v>
      </c>
      <c r="BG360" s="36" t="e">
        <f>BG363-BG364+BG365</f>
        <v>#DIV/0!</v>
      </c>
      <c r="BH360" s="36" t="e">
        <f>BH363-BH364+BH365</f>
        <v>#DIV/0!</v>
      </c>
      <c r="BI360" s="36" t="e">
        <f>BI363-BI364+BI365</f>
        <v>#DIV/0!</v>
      </c>
      <c r="BJ360" s="36" t="e">
        <f>BJ363-BJ364+BJ365</f>
        <v>#DIV/0!</v>
      </c>
      <c r="BK360" s="36" t="e">
        <f>BK363-BK364+BK365</f>
        <v>#DIV/0!</v>
      </c>
      <c r="BL360" s="36" t="e">
        <f>BL363-BL364+BL365</f>
        <v>#DIV/0!</v>
      </c>
      <c r="BM360" s="36" t="e">
        <f>BM363-BM364+BM365</f>
        <v>#DIV/0!</v>
      </c>
      <c r="BN360" s="36" t="e">
        <f>BN363-BN364+BN365</f>
        <v>#DIV/0!</v>
      </c>
      <c r="BO360" s="36" t="e">
        <f>BO363-BO364+BO365</f>
        <v>#DIV/0!</v>
      </c>
      <c r="BP360" s="36" t="e">
        <f>BP363-BP364+BP365</f>
        <v>#DIV/0!</v>
      </c>
      <c r="BQ360" s="36" t="e">
        <f>BQ363-BQ364+BQ365</f>
        <v>#DIV/0!</v>
      </c>
      <c r="BR360" s="36" t="e">
        <f>BR363-BR364+BR365</f>
        <v>#DIV/0!</v>
      </c>
      <c r="BS360" s="36" t="e">
        <f>BS363-BS364+BS365</f>
        <v>#DIV/0!</v>
      </c>
      <c r="BT360" s="36" t="e">
        <f>BT363-BT364+BT365</f>
        <v>#DIV/0!</v>
      </c>
      <c r="BU360" s="36" t="e">
        <f>BU363-BU364+BU365</f>
        <v>#DIV/0!</v>
      </c>
      <c r="BV360" s="36" t="e">
        <f>BV363-BV364+BV365</f>
        <v>#DIV/0!</v>
      </c>
      <c r="BW360" s="36" t="e">
        <f>BW363-BW364+BW365</f>
        <v>#DIV/0!</v>
      </c>
      <c r="BX360" s="36" t="e">
        <f>BX363-BX364+BX365</f>
        <v>#DIV/0!</v>
      </c>
      <c r="BY360" s="36" t="e">
        <f>BY363-BY364+BY365</f>
        <v>#DIV/0!</v>
      </c>
      <c r="BZ360" s="36" t="e">
        <f>BZ363-BZ364+BZ365</f>
        <v>#DIV/0!</v>
      </c>
      <c r="CA360" s="36" t="e">
        <f>CA363-CA364+CA365</f>
        <v>#DIV/0!</v>
      </c>
      <c r="CB360" s="36" t="e">
        <f>CB363-CB364+CB365</f>
        <v>#DIV/0!</v>
      </c>
      <c r="CC360" s="36" t="e">
        <f>CC363-CC364+CC365</f>
        <v>#DIV/0!</v>
      </c>
      <c r="CD360" s="36" t="e">
        <f>CD363-CD364+CD365</f>
        <v>#DIV/0!</v>
      </c>
      <c r="CE360" s="36" t="e">
        <f>CE363-CE364+CE365</f>
        <v>#DIV/0!</v>
      </c>
      <c r="CF360" s="36" t="e">
        <f>CF363-CF364+CF365</f>
        <v>#DIV/0!</v>
      </c>
      <c r="CG360" s="36" t="e">
        <f>CG363-CG364+CG365</f>
        <v>#DIV/0!</v>
      </c>
      <c r="CH360" s="36" t="e">
        <f>CH363-CH364+CH365</f>
        <v>#DIV/0!</v>
      </c>
      <c r="CI360" s="36" t="e">
        <f>CI363-CI364+CI365</f>
        <v>#DIV/0!</v>
      </c>
      <c r="CJ360" s="36" t="e">
        <f>CJ363-CJ364+CJ365</f>
        <v>#DIV/0!</v>
      </c>
      <c r="CK360" s="36" t="e">
        <f>CK363-CK364+CK365</f>
        <v>#DIV/0!</v>
      </c>
      <c r="CL360" s="36" t="e">
        <f>CL363-CL364+CL365</f>
        <v>#DIV/0!</v>
      </c>
      <c r="CM360" s="36" t="e">
        <f>CM363-CM364+CM365</f>
        <v>#DIV/0!</v>
      </c>
      <c r="CN360" s="36" t="e">
        <f>CN363-CN364+CN365</f>
        <v>#DIV/0!</v>
      </c>
      <c r="CO360" s="36" t="e">
        <f>CO363-CO364+CO365</f>
        <v>#DIV/0!</v>
      </c>
      <c r="CP360" s="36" t="e">
        <f>CP363-CP364+CP365</f>
        <v>#DIV/0!</v>
      </c>
      <c r="CQ360" s="36" t="e">
        <f>CQ363-CQ364+CQ365</f>
        <v>#DIV/0!</v>
      </c>
      <c r="CR360" s="36" t="e">
        <f>CR363-CR364+CR365</f>
        <v>#DIV/0!</v>
      </c>
      <c r="CS360" s="36" t="e">
        <f>CS363-CS364+CS365</f>
        <v>#DIV/0!</v>
      </c>
      <c r="CT360" s="36" t="e">
        <f>CT363-CT364+CT365</f>
        <v>#DIV/0!</v>
      </c>
      <c r="CU360" s="36" t="e">
        <f>CU363-CU364+CU365</f>
        <v>#DIV/0!</v>
      </c>
      <c r="CV360" s="36" t="e">
        <f>CV363-CV364+CV365</f>
        <v>#DIV/0!</v>
      </c>
      <c r="CW360" s="36" t="e">
        <f>CW363-CW364+CW365</f>
        <v>#DIV/0!</v>
      </c>
      <c r="CX360" s="36" t="e">
        <f>CX363-CX364+CX365</f>
        <v>#DIV/0!</v>
      </c>
      <c r="CY360" s="36" t="e">
        <f>CY363-CY364+CY365</f>
        <v>#DIV/0!</v>
      </c>
    </row>
    <row r="361" customFormat="1" s="233">
      <c r="A361" s="224" t="n"/>
      <c r="B361" s="224" t="n"/>
      <c r="C361" s="233" t="inlineStr">
        <is>
          <t>INVESTED CAPITAL - EX GOODWILL</t>
        </is>
      </c>
      <c r="D361" s="241" t="e">
        <f>D360-D189</f>
        <v>#N/A</v>
      </c>
      <c r="E361" s="241">
        <f>E360-E189</f>
        <v>3020.007</v>
      </c>
      <c r="F361" s="241">
        <f>F360-F189</f>
        <v>3575.87962920017</v>
      </c>
      <c r="G361" s="241">
        <f>G360-G189</f>
        <v>4763.15578162007</v>
      </c>
      <c r="H361" s="241">
        <f>H360-H189</f>
        <v>4763.15578162007</v>
      </c>
      <c r="I361" s="226">
        <f>I360-I189</f>
        <v>5301.03197174</v>
      </c>
      <c r="J361" s="226">
        <f>J360-J189</f>
        <v>5621.82090716</v>
      </c>
      <c r="K361" s="226">
        <f>K360-K189</f>
        <v>6707.427</v>
      </c>
      <c r="L361" s="226">
        <f>L360-L189</f>
        <v>7590.297</v>
      </c>
      <c r="M361" s="226">
        <f>M360-M189</f>
        <v>7590.297</v>
      </c>
      <c r="N361" s="226">
        <f>N360-N189</f>
        <v>8150.351</v>
      </c>
      <c r="O361" s="226">
        <f>O360-O189</f>
        <v>8366.452</v>
      </c>
      <c r="P361" s="226">
        <f>P360-P189</f>
        <v>9693.377</v>
      </c>
      <c r="Q361" s="226">
        <f>Q360-Q189</f>
        <v>8913.218</v>
      </c>
      <c r="R361" s="226">
        <f>R360-R189</f>
        <v>8913.218</v>
      </c>
      <c r="S361" s="226">
        <f>S360-S189</f>
        <v>9331.326</v>
      </c>
      <c r="T361" s="226">
        <f>T360-T189</f>
        <v>10173.614</v>
      </c>
      <c r="U361" s="226">
        <f>U360-U189</f>
        <v>10920.909</v>
      </c>
      <c r="V361" s="226">
        <f>V360-V189</f>
        <v>11206.807</v>
      </c>
      <c r="W361" s="226">
        <f>W360-W189</f>
        <v>11206.807</v>
      </c>
      <c r="X361" s="226">
        <f>X360-X189</f>
        <v>11489.872</v>
      </c>
      <c r="Y361" s="226">
        <f>Y360-Y189</f>
        <v>11635.56170197</v>
      </c>
      <c r="Z361" s="226">
        <f>Z360-Z189</f>
        <v>12489.308</v>
      </c>
      <c r="AA361" s="226">
        <f>AA360-AA189</f>
        <v>11967.557</v>
      </c>
      <c r="AB361" s="226">
        <f>AB360-AB189</f>
        <v>11967.557</v>
      </c>
      <c r="AC361" s="226">
        <f>AC360-AC189</f>
        <v>12422.283</v>
      </c>
      <c r="AD361" s="226">
        <f>AD360-AD189</f>
        <v>13097.20610598</v>
      </c>
      <c r="AE361" s="226">
        <f>AE360-AE189</f>
        <v>16448.584</v>
      </c>
      <c r="AF361" s="226">
        <f>AF360-AF189</f>
        <v>16446.478</v>
      </c>
      <c r="AG361" s="226">
        <f>AG360-AG189</f>
        <v>16446.478</v>
      </c>
      <c r="AH361" s="226">
        <f>AH360-AH189</f>
        <v>16705.745</v>
      </c>
      <c r="AI361" s="226">
        <f>AI360-AI189</f>
        <v>17597.447</v>
      </c>
      <c r="AJ361" s="226">
        <f>AJ360-AJ189</f>
        <v>12725.976</v>
      </c>
      <c r="AK361" s="226">
        <f>AK360-AK189</f>
        <v>12725.976</v>
      </c>
      <c r="AL361" s="226">
        <f>AL360-AL189</f>
        <v>12725.976</v>
      </c>
      <c r="AM361" s="226" t="e">
        <f>AM360-AM189</f>
        <v>#DIV/0!</v>
      </c>
      <c r="AN361" s="226">
        <f>AN360-AN189</f>
        <v>12725.976</v>
      </c>
      <c r="AO361" s="226" t="e">
        <f>AO360-AO189</f>
        <v>#DIV/0!</v>
      </c>
      <c r="AP361" s="226" t="e">
        <f>AP360-AP189</f>
        <v>#DIV/0!</v>
      </c>
      <c r="AQ361" s="226" t="e">
        <f>AQ360-AQ189</f>
        <v>#DIV/0!</v>
      </c>
      <c r="AR361" s="226" t="e">
        <f>AR360-AR189</f>
        <v>#DIV/0!</v>
      </c>
      <c r="AS361" s="226" t="e">
        <f>AS360-AS189</f>
        <v>#DIV/0!</v>
      </c>
      <c r="AT361" s="226" t="e">
        <f>AT360-AT189</f>
        <v>#DIV/0!</v>
      </c>
      <c r="AU361" s="226" t="e">
        <f>AU360-AU189</f>
        <v>#DIV/0!</v>
      </c>
      <c r="AV361" s="226" t="e">
        <f>AV360-AV189</f>
        <v>#DIV/0!</v>
      </c>
      <c r="AW361" s="226" t="e">
        <f>AW360-AW189</f>
        <v>#DIV/0!</v>
      </c>
      <c r="AX361" s="226" t="e">
        <f>AX360-AX189</f>
        <v>#DIV/0!</v>
      </c>
      <c r="AY361" s="226" t="e">
        <f>AY360-AY189</f>
        <v>#DIV/0!</v>
      </c>
      <c r="AZ361" s="226" t="e">
        <f>AZ360-AZ189</f>
        <v>#DIV/0!</v>
      </c>
      <c r="BA361" s="226" t="e">
        <f>BA360-BA189</f>
        <v>#DIV/0!</v>
      </c>
      <c r="BB361" s="226" t="e">
        <f>BB360-BB189</f>
        <v>#DIV/0!</v>
      </c>
      <c r="BC361" s="226" t="e">
        <f>BC360-BC189</f>
        <v>#DIV/0!</v>
      </c>
      <c r="BD361" s="226" t="e">
        <f>BD360-BD189</f>
        <v>#DIV/0!</v>
      </c>
      <c r="BE361" s="226" t="e">
        <f>BE360-BE189</f>
        <v>#DIV/0!</v>
      </c>
      <c r="BF361" s="226" t="e">
        <f>BF360-BF189</f>
        <v>#DIV/0!</v>
      </c>
      <c r="BG361" s="226" t="e">
        <f>BG360-BG189</f>
        <v>#DIV/0!</v>
      </c>
      <c r="BH361" s="226" t="e">
        <f>BH360-BH189</f>
        <v>#DIV/0!</v>
      </c>
      <c r="BI361" s="226" t="e">
        <f>BI360-BI189</f>
        <v>#DIV/0!</v>
      </c>
      <c r="BJ361" s="226" t="e">
        <f>BJ360-BJ189</f>
        <v>#DIV/0!</v>
      </c>
      <c r="BK361" s="226" t="e">
        <f>BK360-BK189</f>
        <v>#DIV/0!</v>
      </c>
      <c r="BL361" s="226" t="e">
        <f>BL360-BL189</f>
        <v>#DIV/0!</v>
      </c>
      <c r="BM361" s="226" t="e">
        <f>BM360-BM189</f>
        <v>#DIV/0!</v>
      </c>
      <c r="BN361" s="226" t="e">
        <f>BN360-BN189</f>
        <v>#DIV/0!</v>
      </c>
      <c r="BO361" s="226" t="e">
        <f>BO360-BO189</f>
        <v>#DIV/0!</v>
      </c>
      <c r="BP361" s="226" t="e">
        <f>BP360-BP189</f>
        <v>#DIV/0!</v>
      </c>
      <c r="BQ361" s="226" t="e">
        <f>BQ360-BQ189</f>
        <v>#DIV/0!</v>
      </c>
      <c r="BR361" s="226" t="e">
        <f>BR360-BR189</f>
        <v>#DIV/0!</v>
      </c>
      <c r="BS361" s="226" t="e">
        <f>BS360-BS189</f>
        <v>#DIV/0!</v>
      </c>
      <c r="BT361" s="226" t="e">
        <f>BT360-BT189</f>
        <v>#DIV/0!</v>
      </c>
      <c r="BU361" s="226" t="e">
        <f>BU360-BU189</f>
        <v>#DIV/0!</v>
      </c>
      <c r="BV361" s="226" t="e">
        <f>BV360-BV189</f>
        <v>#DIV/0!</v>
      </c>
      <c r="BW361" s="226" t="e">
        <f>BW360-BW189</f>
        <v>#DIV/0!</v>
      </c>
      <c r="BX361" s="226" t="e">
        <f>BX360-BX189</f>
        <v>#DIV/0!</v>
      </c>
      <c r="BY361" s="226" t="e">
        <f>BY360-BY189</f>
        <v>#DIV/0!</v>
      </c>
      <c r="BZ361" s="226" t="e">
        <f>BZ360-BZ189</f>
        <v>#DIV/0!</v>
      </c>
      <c r="CA361" s="226" t="e">
        <f>CA360-CA189</f>
        <v>#DIV/0!</v>
      </c>
      <c r="CB361" s="226" t="e">
        <f>CB360-CB189</f>
        <v>#DIV/0!</v>
      </c>
      <c r="CC361" s="226" t="e">
        <f>CC360-CC189</f>
        <v>#DIV/0!</v>
      </c>
      <c r="CD361" s="226" t="e">
        <f>CD360-CD189</f>
        <v>#DIV/0!</v>
      </c>
      <c r="CE361" s="226" t="e">
        <f>CE360-CE189</f>
        <v>#DIV/0!</v>
      </c>
      <c r="CF361" s="226" t="e">
        <f>CF360-CF189</f>
        <v>#DIV/0!</v>
      </c>
      <c r="CG361" s="226" t="e">
        <f>CG360-CG189</f>
        <v>#DIV/0!</v>
      </c>
      <c r="CH361" s="226" t="e">
        <f>CH360-CH189</f>
        <v>#DIV/0!</v>
      </c>
      <c r="CI361" s="226" t="e">
        <f>CI360-CI189</f>
        <v>#DIV/0!</v>
      </c>
      <c r="CJ361" s="226" t="e">
        <f>CJ360-CJ189</f>
        <v>#DIV/0!</v>
      </c>
      <c r="CK361" s="226" t="e">
        <f>CK360-CK189</f>
        <v>#DIV/0!</v>
      </c>
      <c r="CL361" s="226" t="e">
        <f>CL360-CL189</f>
        <v>#DIV/0!</v>
      </c>
      <c r="CM361" s="226" t="e">
        <f>CM360-CM189</f>
        <v>#DIV/0!</v>
      </c>
      <c r="CN361" s="226" t="e">
        <f>CN360-CN189</f>
        <v>#DIV/0!</v>
      </c>
      <c r="CO361" s="226" t="e">
        <f>CO360-CO189</f>
        <v>#DIV/0!</v>
      </c>
      <c r="CP361" s="226" t="e">
        <f>CP360-CP189</f>
        <v>#DIV/0!</v>
      </c>
      <c r="CQ361" s="226" t="e">
        <f>CQ360-CQ189</f>
        <v>#DIV/0!</v>
      </c>
      <c r="CR361" s="226" t="e">
        <f>CR360-CR189</f>
        <v>#DIV/0!</v>
      </c>
      <c r="CS361" s="226" t="e">
        <f>CS360-CS189</f>
        <v>#DIV/0!</v>
      </c>
      <c r="CT361" s="226" t="e">
        <f>CT360-CT189</f>
        <v>#DIV/0!</v>
      </c>
      <c r="CU361" s="226" t="e">
        <f>CU360-CU189</f>
        <v>#DIV/0!</v>
      </c>
      <c r="CV361" s="226" t="e">
        <f>CV360-CV189</f>
        <v>#DIV/0!</v>
      </c>
      <c r="CW361" s="226" t="e">
        <f>CW360-CW189</f>
        <v>#DIV/0!</v>
      </c>
      <c r="CX361" s="226" t="e">
        <f>CX360-CX189</f>
        <v>#DIV/0!</v>
      </c>
      <c r="CY361" s="226" t="e">
        <f>CY360-CY189</f>
        <v>#DIV/0!</v>
      </c>
    </row>
    <row r="362" customFormat="1" s="233">
      <c r="A362" s="224" t="n"/>
      <c r="B362" s="224" t="n"/>
      <c r="C362" s="233" t="inlineStr">
        <is>
          <t>OPERATING WORKING CAPITAL</t>
        </is>
      </c>
      <c r="D362" s="242" t="e">
        <f>D363-D364</f>
        <v>#N/A</v>
      </c>
      <c r="E362" s="242">
        <f>E363-E364</f>
        <v>1544.48</v>
      </c>
      <c r="F362" s="242">
        <f>F363-F364</f>
        <v>1905.82215409017</v>
      </c>
      <c r="G362" s="242">
        <f>G363-G364</f>
        <v>2720.65236374007</v>
      </c>
      <c r="H362" s="242">
        <f>H363-H364</f>
        <v>2720.65236374007</v>
      </c>
      <c r="I362" s="36">
        <f>I363-I364</f>
        <v>3011.73943359</v>
      </c>
      <c r="J362" s="36">
        <f>J363-J364</f>
        <v>3047.88691784</v>
      </c>
      <c r="K362" s="36">
        <f>K363-K364</f>
        <v>3820.76</v>
      </c>
      <c r="L362" s="36">
        <f>L363-L364</f>
        <v>3978.534</v>
      </c>
      <c r="M362" s="36">
        <f>M363-M364</f>
        <v>3978.534</v>
      </c>
      <c r="N362" s="36">
        <f>N363-N364</f>
        <v>4187.762</v>
      </c>
      <c r="O362" s="36">
        <f>O363-O364</f>
        <v>4085.66344904</v>
      </c>
      <c r="P362" s="36">
        <f>P363-P364</f>
        <v>5252.09325629</v>
      </c>
      <c r="Q362" s="36">
        <f>Q363-Q364</f>
        <v>4524.37931124</v>
      </c>
      <c r="R362" s="36">
        <f>R363-R364</f>
        <v>4524.37931124</v>
      </c>
      <c r="S362" s="36">
        <f>S363-S364</f>
        <v>4693.79830103</v>
      </c>
      <c r="T362" s="36">
        <f>T363-T364</f>
        <v>4948.017</v>
      </c>
      <c r="U362" s="36">
        <f>U363-U364</f>
        <v>5247.199</v>
      </c>
      <c r="V362" s="36">
        <f>V363-V364</f>
        <v>5346.69498322</v>
      </c>
      <c r="W362" s="36">
        <f>W363-W364</f>
        <v>5346.69498322</v>
      </c>
      <c r="X362" s="36">
        <f>X363-X364</f>
        <v>5172.746</v>
      </c>
      <c r="Y362" s="36">
        <f>Y363-Y364</f>
        <v>5222.63870197</v>
      </c>
      <c r="Z362" s="36">
        <f>Z363-Z364</f>
        <v>5867.81</v>
      </c>
      <c r="AA362" s="36">
        <f>AA363-AA364</f>
        <v>5528.05</v>
      </c>
      <c r="AB362" s="36">
        <f>AB363-AB364</f>
        <v>5528.05</v>
      </c>
      <c r="AC362" s="36">
        <f>AC363-AC364</f>
        <v>5620.887</v>
      </c>
      <c r="AD362" s="36">
        <f>AD363-AD364</f>
        <v>5422.026</v>
      </c>
      <c r="AE362" s="36">
        <f>AE363-AE364</f>
        <v>6402.34</v>
      </c>
      <c r="AF362" s="36">
        <f>AF363-AF364</f>
        <v>5948.143</v>
      </c>
      <c r="AG362" s="36">
        <f>AG363-AG364</f>
        <v>5948.143</v>
      </c>
      <c r="AH362" s="36">
        <f>AH363-AH364</f>
        <v>6110.403</v>
      </c>
      <c r="AI362" s="36">
        <f>AI363-AI364</f>
        <v>6609.91</v>
      </c>
      <c r="AJ362" s="36">
        <f>AJ363-AJ364</f>
        <v>2487.373</v>
      </c>
      <c r="AK362" s="36">
        <f>AK363-AK364</f>
        <v>2487.373</v>
      </c>
      <c r="AL362" s="36">
        <f>AL363-AL364</f>
        <v>2487.373</v>
      </c>
      <c r="AM362" s="36" t="e">
        <f>AM363-AM364</f>
        <v>#DIV/0!</v>
      </c>
      <c r="AN362" s="36">
        <f>AN363-AN364</f>
        <v>2487.373</v>
      </c>
      <c r="AO362" s="36" t="e">
        <f>AO363-AO364</f>
        <v>#DIV/0!</v>
      </c>
      <c r="AP362" s="36" t="e">
        <f>AP363-AP364</f>
        <v>#DIV/0!</v>
      </c>
      <c r="AQ362" s="36" t="e">
        <f>AQ363-AQ364</f>
        <v>#DIV/0!</v>
      </c>
      <c r="AR362" s="36" t="e">
        <f>AR363-AR364</f>
        <v>#DIV/0!</v>
      </c>
      <c r="AS362" s="36" t="e">
        <f>AS363-AS364</f>
        <v>#DIV/0!</v>
      </c>
      <c r="AT362" s="36" t="e">
        <f>AT363-AT364</f>
        <v>#DIV/0!</v>
      </c>
      <c r="AU362" s="36" t="e">
        <f>AU363-AU364</f>
        <v>#DIV/0!</v>
      </c>
      <c r="AV362" s="36" t="e">
        <f>AV363-AV364</f>
        <v>#DIV/0!</v>
      </c>
      <c r="AW362" s="36" t="e">
        <f>AW363-AW364</f>
        <v>#DIV/0!</v>
      </c>
      <c r="AX362" s="36" t="e">
        <f>AX363-AX364</f>
        <v>#DIV/0!</v>
      </c>
      <c r="AY362" s="36" t="e">
        <f>AY363-AY364</f>
        <v>#DIV/0!</v>
      </c>
      <c r="AZ362" s="36" t="e">
        <f>AZ363-AZ364</f>
        <v>#DIV/0!</v>
      </c>
      <c r="BA362" s="36" t="e">
        <f>BA363-BA364</f>
        <v>#DIV/0!</v>
      </c>
      <c r="BB362" s="36" t="e">
        <f>BB363-BB364</f>
        <v>#DIV/0!</v>
      </c>
      <c r="BC362" s="36" t="e">
        <f>BC363-BC364</f>
        <v>#DIV/0!</v>
      </c>
      <c r="BD362" s="36" t="e">
        <f>BD363-BD364</f>
        <v>#DIV/0!</v>
      </c>
      <c r="BE362" s="36" t="e">
        <f>BE363-BE364</f>
        <v>#DIV/0!</v>
      </c>
      <c r="BF362" s="36" t="e">
        <f>BF363-BF364</f>
        <v>#DIV/0!</v>
      </c>
      <c r="BG362" s="36" t="e">
        <f>BG363-BG364</f>
        <v>#DIV/0!</v>
      </c>
      <c r="BH362" s="36" t="e">
        <f>BH363-BH364</f>
        <v>#DIV/0!</v>
      </c>
      <c r="BI362" s="36" t="e">
        <f>BI363-BI364</f>
        <v>#DIV/0!</v>
      </c>
      <c r="BJ362" s="36" t="e">
        <f>BJ363-BJ364</f>
        <v>#DIV/0!</v>
      </c>
      <c r="BK362" s="36" t="e">
        <f>BK363-BK364</f>
        <v>#DIV/0!</v>
      </c>
      <c r="BL362" s="36" t="e">
        <f>BL363-BL364</f>
        <v>#DIV/0!</v>
      </c>
      <c r="BM362" s="36" t="e">
        <f>BM363-BM364</f>
        <v>#DIV/0!</v>
      </c>
      <c r="BN362" s="36" t="e">
        <f>BN363-BN364</f>
        <v>#DIV/0!</v>
      </c>
      <c r="BO362" s="36" t="e">
        <f>BO363-BO364</f>
        <v>#DIV/0!</v>
      </c>
      <c r="BP362" s="36" t="e">
        <f>BP363-BP364</f>
        <v>#DIV/0!</v>
      </c>
      <c r="BQ362" s="36" t="e">
        <f>BQ363-BQ364</f>
        <v>#DIV/0!</v>
      </c>
      <c r="BR362" s="36" t="e">
        <f>BR363-BR364</f>
        <v>#DIV/0!</v>
      </c>
      <c r="BS362" s="36" t="e">
        <f>BS363-BS364</f>
        <v>#DIV/0!</v>
      </c>
      <c r="BT362" s="36" t="e">
        <f>BT363-BT364</f>
        <v>#DIV/0!</v>
      </c>
      <c r="BU362" s="36" t="e">
        <f>BU363-BU364</f>
        <v>#DIV/0!</v>
      </c>
      <c r="BV362" s="36" t="e">
        <f>BV363-BV364</f>
        <v>#DIV/0!</v>
      </c>
      <c r="BW362" s="36" t="e">
        <f>BW363-BW364</f>
        <v>#DIV/0!</v>
      </c>
      <c r="BX362" s="36" t="e">
        <f>BX363-BX364</f>
        <v>#DIV/0!</v>
      </c>
      <c r="BY362" s="36" t="e">
        <f>BY363-BY364</f>
        <v>#DIV/0!</v>
      </c>
      <c r="BZ362" s="36" t="e">
        <f>BZ363-BZ364</f>
        <v>#DIV/0!</v>
      </c>
      <c r="CA362" s="36" t="e">
        <f>CA363-CA364</f>
        <v>#DIV/0!</v>
      </c>
      <c r="CB362" s="36" t="e">
        <f>CB363-CB364</f>
        <v>#DIV/0!</v>
      </c>
      <c r="CC362" s="36" t="e">
        <f>CC363-CC364</f>
        <v>#DIV/0!</v>
      </c>
      <c r="CD362" s="36" t="e">
        <f>CD363-CD364</f>
        <v>#DIV/0!</v>
      </c>
      <c r="CE362" s="36" t="e">
        <f>CE363-CE364</f>
        <v>#DIV/0!</v>
      </c>
      <c r="CF362" s="36" t="e">
        <f>CF363-CF364</f>
        <v>#DIV/0!</v>
      </c>
      <c r="CG362" s="36" t="e">
        <f>CG363-CG364</f>
        <v>#DIV/0!</v>
      </c>
      <c r="CH362" s="36" t="e">
        <f>CH363-CH364</f>
        <v>#DIV/0!</v>
      </c>
      <c r="CI362" s="36" t="e">
        <f>CI363-CI364</f>
        <v>#DIV/0!</v>
      </c>
      <c r="CJ362" s="36" t="e">
        <f>CJ363-CJ364</f>
        <v>#DIV/0!</v>
      </c>
      <c r="CK362" s="36" t="e">
        <f>CK363-CK364</f>
        <v>#DIV/0!</v>
      </c>
      <c r="CL362" s="36" t="e">
        <f>CL363-CL364</f>
        <v>#DIV/0!</v>
      </c>
      <c r="CM362" s="36" t="e">
        <f>CM363-CM364</f>
        <v>#DIV/0!</v>
      </c>
      <c r="CN362" s="36" t="e">
        <f>CN363-CN364</f>
        <v>#DIV/0!</v>
      </c>
      <c r="CO362" s="36" t="e">
        <f>CO363-CO364</f>
        <v>#DIV/0!</v>
      </c>
      <c r="CP362" s="36" t="e">
        <f>CP363-CP364</f>
        <v>#DIV/0!</v>
      </c>
      <c r="CQ362" s="36" t="e">
        <f>CQ363-CQ364</f>
        <v>#DIV/0!</v>
      </c>
      <c r="CR362" s="36" t="e">
        <f>CR363-CR364</f>
        <v>#DIV/0!</v>
      </c>
      <c r="CS362" s="36" t="e">
        <f>CS363-CS364</f>
        <v>#DIV/0!</v>
      </c>
      <c r="CT362" s="36" t="e">
        <f>CT363-CT364</f>
        <v>#DIV/0!</v>
      </c>
      <c r="CU362" s="36" t="e">
        <f>CU363-CU364</f>
        <v>#DIV/0!</v>
      </c>
      <c r="CV362" s="36" t="e">
        <f>CV363-CV364</f>
        <v>#DIV/0!</v>
      </c>
      <c r="CW362" s="36" t="e">
        <f>CW363-CW364</f>
        <v>#DIV/0!</v>
      </c>
      <c r="CX362" s="36" t="e">
        <f>CX363-CX364</f>
        <v>#DIV/0!</v>
      </c>
      <c r="CY362" s="36" t="e">
        <f>CY363-CY364</f>
        <v>#DIV/0!</v>
      </c>
    </row>
    <row r="363" customFormat="1" s="233">
      <c r="A363" s="224" t="n"/>
      <c r="B363" s="224" t="n"/>
      <c r="C363" s="233" t="inlineStr">
        <is>
          <t>CURRENT ASSETS</t>
        </is>
      </c>
      <c r="D363" s="241" t="e">
        <f>D155+D159+D163+D164+D165</f>
        <v>#N/A</v>
      </c>
      <c r="E363" s="241">
        <f>E155+E159+E163+E164+E165</f>
        <v>2589.937</v>
      </c>
      <c r="F363" s="241">
        <f>F155+F159+F163+F164+F165</f>
        <v>3186.04862056017</v>
      </c>
      <c r="G363" s="241">
        <f>G155+G159+G163+G164+G165</f>
        <v>3953.63023235007</v>
      </c>
      <c r="H363" s="241">
        <f>H155+H159+H163+H164+H165</f>
        <v>3953.63023235007</v>
      </c>
      <c r="I363" s="226">
        <f>I155+I159+I163+I164+I165</f>
        <v>4023.56326256</v>
      </c>
      <c r="J363" s="226">
        <f>J155+J159+J163+J164+J165</f>
        <v>4422.55972987</v>
      </c>
      <c r="K363" s="226">
        <f>K155+K159+K163+K164+K165</f>
        <v>5247.392</v>
      </c>
      <c r="L363" s="226">
        <f>L155+L159+L163+L164+L165</f>
        <v>5394.902</v>
      </c>
      <c r="M363" s="226">
        <f>M155+M159+M163+M164+M165</f>
        <v>5394.902</v>
      </c>
      <c r="N363" s="226">
        <f>N155+N159+N163+N164+N165</f>
        <v>5811.148</v>
      </c>
      <c r="O363" s="226">
        <f>O155+O159+O163+O164+O165</f>
        <v>6193.94844904</v>
      </c>
      <c r="P363" s="226">
        <f>P155+P159+P163+P164+P165</f>
        <v>7191.97925629</v>
      </c>
      <c r="Q363" s="226">
        <f>Q155+Q159+Q163+Q164+Q165</f>
        <v>7004.62031124</v>
      </c>
      <c r="R363" s="226">
        <f>R155+R159+R163+R164+R165</f>
        <v>7004.62031124</v>
      </c>
      <c r="S363" s="226">
        <f>S155+S159+S163+S164+S165</f>
        <v>7350.16230103</v>
      </c>
      <c r="T363" s="226">
        <f>T155+T159+T163+T164+T165</f>
        <v>7721.688</v>
      </c>
      <c r="U363" s="226">
        <f>U155+U159+U163+U164+U165</f>
        <v>8189.822</v>
      </c>
      <c r="V363" s="226">
        <f>V155+V159+V163+V164+V165</f>
        <v>9081.39698322</v>
      </c>
      <c r="W363" s="226">
        <f>W155+W159+W163+W164+W165</f>
        <v>9081.39698322</v>
      </c>
      <c r="X363" s="226">
        <f>X155+X159+X163+X164+X165</f>
        <v>8705.141</v>
      </c>
      <c r="Y363" s="226">
        <f>Y155+Y159+Y163+Y164+Y165</f>
        <v>9328.79370197</v>
      </c>
      <c r="Z363" s="226">
        <f>Z155+Z159+Z163+Z164+Z165</f>
        <v>10437.862</v>
      </c>
      <c r="AA363" s="226">
        <f>AA155+AA159+AA163+AA164+AA165</f>
        <v>9700.85</v>
      </c>
      <c r="AB363" s="226">
        <f>AB155+AB159+AB163+AB164+AB165</f>
        <v>9700.85</v>
      </c>
      <c r="AC363" s="226">
        <f>AC155+AC159+AC163+AC164+AC165</f>
        <v>10490.568</v>
      </c>
      <c r="AD363" s="226">
        <f>AD155+AD159+AD163+AD164+AD165</f>
        <v>9995.442</v>
      </c>
      <c r="AE363" s="226">
        <f>AE155+AE159+AE163+AE164+AE165</f>
        <v>12007.775</v>
      </c>
      <c r="AF363" s="226">
        <f>AF155+AF159+AF163+AF164+AF165</f>
        <v>11818.301</v>
      </c>
      <c r="AG363" s="226">
        <f>AG155+AG159+AG163+AG164+AG165</f>
        <v>11818.301</v>
      </c>
      <c r="AH363" s="226">
        <f>AH155+AH159+AH163+AH164+AH165</f>
        <v>11877.152</v>
      </c>
      <c r="AI363" s="226">
        <f>AI155+AI159+AI163+AI164+AI165</f>
        <v>12343.733</v>
      </c>
      <c r="AJ363" s="226">
        <f>AJ155+AJ159+AJ163+AJ164+AJ165</f>
        <v>2648.396</v>
      </c>
      <c r="AK363" s="226">
        <f>AK155+AK159+AK163+AK164+AK165</f>
        <v>2648.396</v>
      </c>
      <c r="AL363" s="226">
        <f>AL155+AL159+AL163+AL164+AL165</f>
        <v>2648.396</v>
      </c>
      <c r="AM363" s="226">
        <f>AM155+AM159+AM163+AM164+AM165</f>
        <v>2648.396</v>
      </c>
      <c r="AN363" s="226">
        <f>AN155+AN159+AN163+AN164+AN165</f>
        <v>2648.396</v>
      </c>
      <c r="AO363" s="226">
        <f>AO155+AO159+AO163+AO164+AO165</f>
        <v>2648.396</v>
      </c>
      <c r="AP363" s="226">
        <f>AP155+AP159+AP163+AP164+AP165</f>
        <v>2648.396</v>
      </c>
      <c r="AQ363" s="226">
        <f>AQ155+AQ159+AQ163+AQ164+AQ165</f>
        <v>2648.396</v>
      </c>
      <c r="AR363" s="226">
        <f>AR155+AR159+AR163+AR164+AR165</f>
        <v>2648.396</v>
      </c>
      <c r="AS363" s="226">
        <f>AS155+AS159+AS163+AS164+AS165</f>
        <v>2648.396</v>
      </c>
      <c r="AT363" s="226">
        <f>AT155+AT159+AT163+AT164+AT165</f>
        <v>2648.396</v>
      </c>
      <c r="AU363" s="226">
        <f>AU155+AU159+AU163+AU164+AU165</f>
        <v>2648.396</v>
      </c>
      <c r="AV363" s="226">
        <f>AV155+AV159+AV163+AV164+AV165</f>
        <v>2648.396</v>
      </c>
      <c r="AW363" s="226">
        <f>AW155+AW159+AW163+AW164+AW165</f>
        <v>2648.396</v>
      </c>
      <c r="AX363" s="226">
        <f>AX155+AX159+AX163+AX164+AX165</f>
        <v>2648.396</v>
      </c>
      <c r="AY363" s="226">
        <f>AY155+AY159+AY163+AY164+AY165</f>
        <v>2648.396</v>
      </c>
      <c r="AZ363" s="226">
        <f>AZ155+AZ159+AZ163+AZ164+AZ165</f>
        <v>2648.396</v>
      </c>
      <c r="BA363" s="226">
        <f>BA155+BA159+BA163+BA164+BA165</f>
        <v>2648.396</v>
      </c>
      <c r="BB363" s="226">
        <f>BB155+BB159+BB163+BB164+BB165</f>
        <v>2648.396</v>
      </c>
      <c r="BC363" s="226">
        <f>BC155+BC159+BC163+BC164+BC165</f>
        <v>2648.396</v>
      </c>
      <c r="BD363" s="226">
        <f>BD155+BD159+BD163+BD164+BD165</f>
        <v>2648.396</v>
      </c>
      <c r="BE363" s="226">
        <f>BE155+BE159+BE163+BE164+BE165</f>
        <v>2648.396</v>
      </c>
      <c r="BF363" s="226">
        <f>BF155+BF159+BF163+BF164+BF165</f>
        <v>2648.396</v>
      </c>
      <c r="BG363" s="226">
        <f>BG155+BG159+BG163+BG164+BG165</f>
        <v>2648.396</v>
      </c>
      <c r="BH363" s="226">
        <f>BH155+BH159+BH163+BH164+BH165</f>
        <v>2648.396</v>
      </c>
      <c r="BI363" s="226">
        <f>BI155+BI159+BI163+BI164+BI165</f>
        <v>2648.396</v>
      </c>
      <c r="BJ363" s="226">
        <f>BJ155+BJ159+BJ163+BJ164+BJ165</f>
        <v>2648.396</v>
      </c>
      <c r="BK363" s="226">
        <f>BK155+BK159+BK163+BK164+BK165</f>
        <v>2648.396</v>
      </c>
      <c r="BL363" s="226">
        <f>BL155+BL159+BL163+BL164+BL165</f>
        <v>2648.396</v>
      </c>
      <c r="BM363" s="226">
        <f>BM155+BM159+BM163+BM164+BM165</f>
        <v>2648.396</v>
      </c>
      <c r="BN363" s="226">
        <f>BN155+BN159+BN163+BN164+BN165</f>
        <v>2648.396</v>
      </c>
      <c r="BO363" s="226">
        <f>BO155+BO159+BO163+BO164+BO165</f>
        <v>2648.396</v>
      </c>
      <c r="BP363" s="226">
        <f>BP155+BP159+BP163+BP164+BP165</f>
        <v>2648.396</v>
      </c>
      <c r="BQ363" s="226">
        <f>BQ155+BQ159+BQ163+BQ164+BQ165</f>
        <v>2648.396</v>
      </c>
      <c r="BR363" s="226">
        <f>BR155+BR159+BR163+BR164+BR165</f>
        <v>2648.396</v>
      </c>
      <c r="BS363" s="226">
        <f>BS155+BS159+BS163+BS164+BS165</f>
        <v>2648.396</v>
      </c>
      <c r="BT363" s="226">
        <f>BT155+BT159+BT163+BT164+BT165</f>
        <v>2648.396</v>
      </c>
      <c r="BU363" s="226">
        <f>BU155+BU159+BU163+BU164+BU165</f>
        <v>2648.396</v>
      </c>
      <c r="BV363" s="226">
        <f>BV155+BV159+BV163+BV164+BV165</f>
        <v>2648.396</v>
      </c>
      <c r="BW363" s="226">
        <f>BW155+BW159+BW163+BW164+BW165</f>
        <v>2648.396</v>
      </c>
      <c r="BX363" s="226">
        <f>BX155+BX159+BX163+BX164+BX165</f>
        <v>2648.396</v>
      </c>
      <c r="BY363" s="226">
        <f>BY155+BY159+BY163+BY164+BY165</f>
        <v>2648.396</v>
      </c>
      <c r="BZ363" s="226">
        <f>BZ155+BZ159+BZ163+BZ164+BZ165</f>
        <v>2648.396</v>
      </c>
      <c r="CA363" s="226">
        <f>CA155+CA159+CA163+CA164+CA165</f>
        <v>2648.396</v>
      </c>
      <c r="CB363" s="226">
        <f>CB155+CB159+CB163+CB164+CB165</f>
        <v>2648.396</v>
      </c>
      <c r="CC363" s="226">
        <f>CC155+CC159+CC163+CC164+CC165</f>
        <v>2648.396</v>
      </c>
      <c r="CD363" s="226">
        <f>CD155+CD159+CD163+CD164+CD165</f>
        <v>2648.396</v>
      </c>
      <c r="CE363" s="226">
        <f>CE155+CE159+CE163+CE164+CE165</f>
        <v>2648.396</v>
      </c>
      <c r="CF363" s="226">
        <f>CF155+CF159+CF163+CF164+CF165</f>
        <v>2648.396</v>
      </c>
      <c r="CG363" s="226">
        <f>CG155+CG159+CG163+CG164+CG165</f>
        <v>2648.396</v>
      </c>
      <c r="CH363" s="226">
        <f>CH155+CH159+CH163+CH164+CH165</f>
        <v>2648.396</v>
      </c>
      <c r="CI363" s="226">
        <f>CI155+CI159+CI163+CI164+CI165</f>
        <v>2648.396</v>
      </c>
      <c r="CJ363" s="226">
        <f>CJ155+CJ159+CJ163+CJ164+CJ165</f>
        <v>2648.396</v>
      </c>
      <c r="CK363" s="226">
        <f>CK155+CK159+CK163+CK164+CK165</f>
        <v>2648.396</v>
      </c>
      <c r="CL363" s="226">
        <f>CL155+CL159+CL163+CL164+CL165</f>
        <v>2648.396</v>
      </c>
      <c r="CM363" s="226">
        <f>CM155+CM159+CM163+CM164+CM165</f>
        <v>2648.396</v>
      </c>
      <c r="CN363" s="226">
        <f>CN155+CN159+CN163+CN164+CN165</f>
        <v>2648.396</v>
      </c>
      <c r="CO363" s="226">
        <f>CO155+CO159+CO163+CO164+CO165</f>
        <v>2648.396</v>
      </c>
      <c r="CP363" s="226">
        <f>CP155+CP159+CP163+CP164+CP165</f>
        <v>2648.396</v>
      </c>
      <c r="CQ363" s="226">
        <f>CQ155+CQ159+CQ163+CQ164+CQ165</f>
        <v>2648.396</v>
      </c>
      <c r="CR363" s="226">
        <f>CR155+CR159+CR163+CR164+CR165</f>
        <v>2648.396</v>
      </c>
      <c r="CS363" s="226">
        <f>CS155+CS159+CS163+CS164+CS165</f>
        <v>2648.396</v>
      </c>
      <c r="CT363" s="226">
        <f>CT155+CT159+CT163+CT164+CT165</f>
        <v>2648.396</v>
      </c>
      <c r="CU363" s="226">
        <f>CU155+CU159+CU163+CU164+CU165</f>
        <v>2648.396</v>
      </c>
      <c r="CV363" s="226">
        <f>CV155+CV159+CV163+CV164+CV165</f>
        <v>2648.396</v>
      </c>
      <c r="CW363" s="226">
        <f>CW155+CW159+CW163+CW164+CW165</f>
        <v>2648.396</v>
      </c>
      <c r="CX363" s="226">
        <f>CX155+CX159+CX163+CX164+CX165</f>
        <v>2648.396</v>
      </c>
      <c r="CY363" s="226">
        <f>CY155+CY159+CY163+CY164+CY165</f>
        <v>2648.396</v>
      </c>
    </row>
    <row r="364" customFormat="1" s="233">
      <c r="A364" s="224" t="n"/>
      <c r="B364" s="224" t="n"/>
      <c r="C364" s="233" t="inlineStr">
        <is>
          <t>CURRENT LIABILITIES</t>
        </is>
      </c>
      <c r="D364" s="241" t="e">
        <f>D208+D212+D214+D215</f>
        <v>#N/A</v>
      </c>
      <c r="E364" s="241">
        <f>E208+E212+E214+E215</f>
        <v>1045.457</v>
      </c>
      <c r="F364" s="241">
        <f>F208+F212+F214+F215</f>
        <v>1280.22646647</v>
      </c>
      <c r="G364" s="241">
        <f>G208+G212+G214+G215</f>
        <v>1232.97786861</v>
      </c>
      <c r="H364" s="241">
        <f>H208+H212+H214+H215</f>
        <v>1232.97786861</v>
      </c>
      <c r="I364" s="226">
        <f>I208+I212+I214+I215</f>
        <v>1011.82382897</v>
      </c>
      <c r="J364" s="226">
        <f>J208+J212+J214+J215</f>
        <v>1374.67281203</v>
      </c>
      <c r="K364" s="226">
        <f>K208+K212+K214+K215</f>
        <v>1426.632</v>
      </c>
      <c r="L364" s="226">
        <f>L208+L212+L214+L215</f>
        <v>1416.368</v>
      </c>
      <c r="M364" s="226">
        <f>M208+M212+M214+M215</f>
        <v>1416.368</v>
      </c>
      <c r="N364" s="226">
        <f>N208+N212+N214+N215</f>
        <v>1623.386</v>
      </c>
      <c r="O364" s="226">
        <f>O208+O212+O214+O215</f>
        <v>2108.285</v>
      </c>
      <c r="P364" s="226">
        <f>P208+P212+P214+P215</f>
        <v>1939.886</v>
      </c>
      <c r="Q364" s="226">
        <f>Q208+Q212+Q214+Q215</f>
        <v>2480.241</v>
      </c>
      <c r="R364" s="226">
        <f>R208+R212+R214+R215</f>
        <v>2480.241</v>
      </c>
      <c r="S364" s="226">
        <f>S208+S212+S214+S215</f>
        <v>2656.364</v>
      </c>
      <c r="T364" s="226">
        <f>T208+T212+T214+T215</f>
        <v>2773.671</v>
      </c>
      <c r="U364" s="226">
        <f>U208+U212+U214+U215</f>
        <v>2942.623</v>
      </c>
      <c r="V364" s="226">
        <f>V208+V212+V214+V215</f>
        <v>3734.702</v>
      </c>
      <c r="W364" s="226">
        <f>W208+W212+W214+W215</f>
        <v>3734.702</v>
      </c>
      <c r="X364" s="226">
        <f>X208+X212+X214+X215</f>
        <v>3532.395</v>
      </c>
      <c r="Y364" s="226">
        <f>Y208+Y212+Y214+Y215</f>
        <v>4106.155</v>
      </c>
      <c r="Z364" s="226">
        <f>Z208+Z212+Z214+Z215</f>
        <v>4570.052</v>
      </c>
      <c r="AA364" s="226">
        <f>AA208+AA212+AA214+AA215</f>
        <v>4172.8</v>
      </c>
      <c r="AB364" s="226">
        <f>AB208+AB212+AB214+AB215</f>
        <v>4172.8</v>
      </c>
      <c r="AC364" s="226">
        <f>AC208+AC212+AC214+AC215</f>
        <v>4869.681</v>
      </c>
      <c r="AD364" s="226">
        <f>AD208+AD212+AD214+AD215</f>
        <v>4573.416</v>
      </c>
      <c r="AE364" s="226">
        <f>AE208+AE212+AE214+AE215</f>
        <v>5605.435</v>
      </c>
      <c r="AF364" s="226">
        <f>AF208+AF212+AF214+AF215</f>
        <v>5870.158</v>
      </c>
      <c r="AG364" s="226">
        <f>AG208+AG212+AG214+AG215</f>
        <v>5870.158</v>
      </c>
      <c r="AH364" s="226">
        <f>AH208+AH212+AH214+AH215</f>
        <v>5766.749</v>
      </c>
      <c r="AI364" s="226">
        <f>AI208+AI212+AI214+AI215</f>
        <v>5733.823</v>
      </c>
      <c r="AJ364" s="226">
        <f>AJ208+AJ212+AJ214+AJ215</f>
        <v>161.023</v>
      </c>
      <c r="AK364" s="226">
        <f>AK208+AK212+AK214+AK215</f>
        <v>161.023</v>
      </c>
      <c r="AL364" s="226">
        <f>AL208+AL212+AL214+AL215</f>
        <v>161.023</v>
      </c>
      <c r="AM364" s="226" t="e">
        <f>AM208+AM212+AM214+AM215</f>
        <v>#DIV/0!</v>
      </c>
      <c r="AN364" s="226">
        <f>AN208+AN212+AN214+AN215</f>
        <v>161.023</v>
      </c>
      <c r="AO364" s="226" t="e">
        <f>AO208+AO212+AO214+AO215</f>
        <v>#DIV/0!</v>
      </c>
      <c r="AP364" s="226" t="e">
        <f>AP208+AP212+AP214+AP215</f>
        <v>#DIV/0!</v>
      </c>
      <c r="AQ364" s="226" t="e">
        <f>AQ208+AQ212+AQ214+AQ215</f>
        <v>#DIV/0!</v>
      </c>
      <c r="AR364" s="226" t="e">
        <f>AR208+AR212+AR214+AR215</f>
        <v>#DIV/0!</v>
      </c>
      <c r="AS364" s="226" t="e">
        <f>AS208+AS212+AS214+AS215</f>
        <v>#DIV/0!</v>
      </c>
      <c r="AT364" s="226" t="e">
        <f>AT208+AT212+AT214+AT215</f>
        <v>#DIV/0!</v>
      </c>
      <c r="AU364" s="226" t="e">
        <f>AU208+AU212+AU214+AU215</f>
        <v>#DIV/0!</v>
      </c>
      <c r="AV364" s="226" t="e">
        <f>AV208+AV212+AV214+AV215</f>
        <v>#DIV/0!</v>
      </c>
      <c r="AW364" s="226" t="e">
        <f>AW208+AW212+AW214+AW215</f>
        <v>#DIV/0!</v>
      </c>
      <c r="AX364" s="226" t="e">
        <f>AX208+AX212+AX214+AX215</f>
        <v>#DIV/0!</v>
      </c>
      <c r="AY364" s="226" t="e">
        <f>AY208+AY212+AY214+AY215</f>
        <v>#DIV/0!</v>
      </c>
      <c r="AZ364" s="226" t="e">
        <f>AZ208+AZ212+AZ214+AZ215</f>
        <v>#DIV/0!</v>
      </c>
      <c r="BA364" s="226" t="e">
        <f>BA208+BA212+BA214+BA215</f>
        <v>#DIV/0!</v>
      </c>
      <c r="BB364" s="226" t="e">
        <f>BB208+BB212+BB214+BB215</f>
        <v>#DIV/0!</v>
      </c>
      <c r="BC364" s="226" t="e">
        <f>BC208+BC212+BC214+BC215</f>
        <v>#DIV/0!</v>
      </c>
      <c r="BD364" s="226" t="e">
        <f>BD208+BD212+BD214+BD215</f>
        <v>#DIV/0!</v>
      </c>
      <c r="BE364" s="226" t="e">
        <f>BE208+BE212+BE214+BE215</f>
        <v>#DIV/0!</v>
      </c>
      <c r="BF364" s="226" t="e">
        <f>BF208+BF212+BF214+BF215</f>
        <v>#DIV/0!</v>
      </c>
      <c r="BG364" s="226" t="e">
        <f>BG208+BG212+BG214+BG215</f>
        <v>#DIV/0!</v>
      </c>
      <c r="BH364" s="226" t="e">
        <f>BH208+BH212+BH214+BH215</f>
        <v>#DIV/0!</v>
      </c>
      <c r="BI364" s="226" t="e">
        <f>BI208+BI212+BI214+BI215</f>
        <v>#DIV/0!</v>
      </c>
      <c r="BJ364" s="226" t="e">
        <f>BJ208+BJ212+BJ214+BJ215</f>
        <v>#DIV/0!</v>
      </c>
      <c r="BK364" s="226" t="e">
        <f>BK208+BK212+BK214+BK215</f>
        <v>#DIV/0!</v>
      </c>
      <c r="BL364" s="226" t="e">
        <f>BL208+BL212+BL214+BL215</f>
        <v>#DIV/0!</v>
      </c>
      <c r="BM364" s="226" t="e">
        <f>BM208+BM212+BM214+BM215</f>
        <v>#DIV/0!</v>
      </c>
      <c r="BN364" s="226" t="e">
        <f>BN208+BN212+BN214+BN215</f>
        <v>#DIV/0!</v>
      </c>
      <c r="BO364" s="226" t="e">
        <f>BO208+BO212+BO214+BO215</f>
        <v>#DIV/0!</v>
      </c>
      <c r="BP364" s="226" t="e">
        <f>BP208+BP212+BP214+BP215</f>
        <v>#DIV/0!</v>
      </c>
      <c r="BQ364" s="226" t="e">
        <f>BQ208+BQ212+BQ214+BQ215</f>
        <v>#DIV/0!</v>
      </c>
      <c r="BR364" s="226" t="e">
        <f>BR208+BR212+BR214+BR215</f>
        <v>#DIV/0!</v>
      </c>
      <c r="BS364" s="226" t="e">
        <f>BS208+BS212+BS214+BS215</f>
        <v>#DIV/0!</v>
      </c>
      <c r="BT364" s="226" t="e">
        <f>BT208+BT212+BT214+BT215</f>
        <v>#DIV/0!</v>
      </c>
      <c r="BU364" s="226" t="e">
        <f>BU208+BU212+BU214+BU215</f>
        <v>#DIV/0!</v>
      </c>
      <c r="BV364" s="226" t="e">
        <f>BV208+BV212+BV214+BV215</f>
        <v>#DIV/0!</v>
      </c>
      <c r="BW364" s="226" t="e">
        <f>BW208+BW212+BW214+BW215</f>
        <v>#DIV/0!</v>
      </c>
      <c r="BX364" s="226" t="e">
        <f>BX208+BX212+BX214+BX215</f>
        <v>#DIV/0!</v>
      </c>
      <c r="BY364" s="226" t="e">
        <f>BY208+BY212+BY214+BY215</f>
        <v>#DIV/0!</v>
      </c>
      <c r="BZ364" s="226" t="e">
        <f>BZ208+BZ212+BZ214+BZ215</f>
        <v>#DIV/0!</v>
      </c>
      <c r="CA364" s="226" t="e">
        <f>CA208+CA212+CA214+CA215</f>
        <v>#DIV/0!</v>
      </c>
      <c r="CB364" s="226" t="e">
        <f>CB208+CB212+CB214+CB215</f>
        <v>#DIV/0!</v>
      </c>
      <c r="CC364" s="226" t="e">
        <f>CC208+CC212+CC214+CC215</f>
        <v>#DIV/0!</v>
      </c>
      <c r="CD364" s="226" t="e">
        <f>CD208+CD212+CD214+CD215</f>
        <v>#DIV/0!</v>
      </c>
      <c r="CE364" s="226" t="e">
        <f>CE208+CE212+CE214+CE215</f>
        <v>#DIV/0!</v>
      </c>
      <c r="CF364" s="226" t="e">
        <f>CF208+CF212+CF214+CF215</f>
        <v>#DIV/0!</v>
      </c>
      <c r="CG364" s="226" t="e">
        <f>CG208+CG212+CG214+CG215</f>
        <v>#DIV/0!</v>
      </c>
      <c r="CH364" s="226" t="e">
        <f>CH208+CH212+CH214+CH215</f>
        <v>#DIV/0!</v>
      </c>
      <c r="CI364" s="226" t="e">
        <f>CI208+CI212+CI214+CI215</f>
        <v>#DIV/0!</v>
      </c>
      <c r="CJ364" s="226" t="e">
        <f>CJ208+CJ212+CJ214+CJ215</f>
        <v>#DIV/0!</v>
      </c>
      <c r="CK364" s="226" t="e">
        <f>CK208+CK212+CK214+CK215</f>
        <v>#DIV/0!</v>
      </c>
      <c r="CL364" s="226" t="e">
        <f>CL208+CL212+CL214+CL215</f>
        <v>#DIV/0!</v>
      </c>
      <c r="CM364" s="226" t="e">
        <f>CM208+CM212+CM214+CM215</f>
        <v>#DIV/0!</v>
      </c>
      <c r="CN364" s="226" t="e">
        <f>CN208+CN212+CN214+CN215</f>
        <v>#DIV/0!</v>
      </c>
      <c r="CO364" s="226" t="e">
        <f>CO208+CO212+CO214+CO215</f>
        <v>#DIV/0!</v>
      </c>
      <c r="CP364" s="226" t="e">
        <f>CP208+CP212+CP214+CP215</f>
        <v>#DIV/0!</v>
      </c>
      <c r="CQ364" s="226" t="e">
        <f>CQ208+CQ212+CQ214+CQ215</f>
        <v>#DIV/0!</v>
      </c>
      <c r="CR364" s="226" t="e">
        <f>CR208+CR212+CR214+CR215</f>
        <v>#DIV/0!</v>
      </c>
      <c r="CS364" s="226" t="e">
        <f>CS208+CS212+CS214+CS215</f>
        <v>#DIV/0!</v>
      </c>
      <c r="CT364" s="226" t="e">
        <f>CT208+CT212+CT214+CT215</f>
        <v>#DIV/0!</v>
      </c>
      <c r="CU364" s="226" t="e">
        <f>CU208+CU212+CU214+CU215</f>
        <v>#DIV/0!</v>
      </c>
      <c r="CV364" s="226" t="e">
        <f>CV208+CV212+CV214+CV215</f>
        <v>#DIV/0!</v>
      </c>
      <c r="CW364" s="226" t="e">
        <f>CW208+CW212+CW214+CW215</f>
        <v>#DIV/0!</v>
      </c>
      <c r="CX364" s="226" t="e">
        <f>CX208+CX212+CX214+CX215</f>
        <v>#DIV/0!</v>
      </c>
      <c r="CY364" s="226" t="e">
        <f>CY208+CY212+CY214+CY215</f>
        <v>#DIV/0!</v>
      </c>
    </row>
    <row r="365" customFormat="1" s="233">
      <c r="A365" s="224" t="n"/>
      <c r="B365" s="224" t="n"/>
      <c r="C365" s="233" t="inlineStr">
        <is>
          <t>FIXED ASSETS</t>
        </is>
      </c>
      <c r="D365" s="241" t="e">
        <f>D176+D186+D189+D190+D199-D250</f>
        <v>#N/A</v>
      </c>
      <c r="E365" s="241">
        <f>E176+E186+E189+E190+E199-E250</f>
        <v>1475.527</v>
      </c>
      <c r="F365" s="241">
        <f>F176+F186+F189+F190+F199-F250</f>
        <v>1670.05747511</v>
      </c>
      <c r="G365" s="241">
        <f>G176+G186+G189+G190+G199-G250</f>
        <v>2042.50341788</v>
      </c>
      <c r="H365" s="241">
        <f>H176+H186+H189+H190+H199-H250</f>
        <v>2042.50341788</v>
      </c>
      <c r="I365" s="226">
        <f>I176+I186+I189+I190+I199-I250</f>
        <v>2289.29253815</v>
      </c>
      <c r="J365" s="226">
        <f>J176+J186+J189+J190+J199-J250</f>
        <v>2573.93398932</v>
      </c>
      <c r="K365" s="226">
        <f>K176+K186+K189+K190+K199-K250</f>
        <v>2886.667</v>
      </c>
      <c r="L365" s="226">
        <f>L176+L186+L189+L190+L199-L250</f>
        <v>3611.763</v>
      </c>
      <c r="M365" s="226">
        <f>M176+M186+M189+M190+M199-M250</f>
        <v>3611.763</v>
      </c>
      <c r="N365" s="226">
        <f>N176+N186+N189+N190+N199-N250</f>
        <v>3962.589</v>
      </c>
      <c r="O365" s="226">
        <f>O176+O186+O189+O190+O199-O250</f>
        <v>4280.78855096</v>
      </c>
      <c r="P365" s="226">
        <f>P176+P186+P189+P190+P199-P250</f>
        <v>4441.28374371</v>
      </c>
      <c r="Q365" s="226">
        <f>Q176+Q186+Q189+Q190+Q199-Q250</f>
        <v>4388.83868876</v>
      </c>
      <c r="R365" s="226">
        <f>R176+R186+R189+R190+R199-R250</f>
        <v>4388.83868876</v>
      </c>
      <c r="S365" s="226">
        <f>S176+S186+S189+S190+S199-S250</f>
        <v>4637.52769897</v>
      </c>
      <c r="T365" s="226">
        <f>T176+T186+T189+T190+T199-T250</f>
        <v>5225.597</v>
      </c>
      <c r="U365" s="226">
        <f>U176+U186+U189+U190+U199-U250</f>
        <v>5673.71</v>
      </c>
      <c r="V365" s="226">
        <f>V176+V186+V189+V190+V199-V250</f>
        <v>5860.11201678</v>
      </c>
      <c r="W365" s="226">
        <f>W176+W186+W189+W190+W199-W250</f>
        <v>5860.11201678</v>
      </c>
      <c r="X365" s="226">
        <f>X176+X186+X189+X190+X199-X250</f>
        <v>6317.126</v>
      </c>
      <c r="Y365" s="226">
        <f>Y176+Y186+Y189+Y190+Y199-Y250</f>
        <v>6412.923</v>
      </c>
      <c r="Z365" s="226">
        <f>Z176+Z186+Z189+Z190+Z199-Z250</f>
        <v>6621.498</v>
      </c>
      <c r="AA365" s="226">
        <f>AA176+AA186+AA189+AA190+AA199-AA250</f>
        <v>6439.507</v>
      </c>
      <c r="AB365" s="226">
        <f>AB176+AB186+AB189+AB190+AB199-AB250</f>
        <v>6439.507</v>
      </c>
      <c r="AC365" s="226">
        <f>AC176+AC186+AC189+AC190+AC199-AC250</f>
        <v>6801.396</v>
      </c>
      <c r="AD365" s="226">
        <f>AD176+AD186+AD189+AD190+AD199-AD250</f>
        <v>7675.18010598</v>
      </c>
      <c r="AE365" s="226">
        <f>AE176+AE186+AE189+AE190+AE199-AE250</f>
        <v>10046.244</v>
      </c>
      <c r="AF365" s="226">
        <f>AF176+AF186+AF189+AF190+AF199-AF250</f>
        <v>10498.335</v>
      </c>
      <c r="AG365" s="226">
        <f>AG176+AG186+AG189+AG190+AG199-AG250</f>
        <v>10498.335</v>
      </c>
      <c r="AH365" s="226">
        <f>AH176+AH186+AH189+AH190+AH199-AH250</f>
        <v>10595.342</v>
      </c>
      <c r="AI365" s="226">
        <f>AI176+AI186+AI189+AI190+AI199-AI250</f>
        <v>10987.537</v>
      </c>
      <c r="AJ365" s="226">
        <f>AJ176+AJ186+AJ189+AJ190+AJ199-AJ250</f>
        <v>10238.603</v>
      </c>
      <c r="AK365" s="226">
        <f>AK176+AK186+AK189+AK190+AK199-AK250</f>
        <v>10238.603</v>
      </c>
      <c r="AL365" s="226">
        <f>AL176+AL186+AL189+AL190+AL199-AL250</f>
        <v>10238.603</v>
      </c>
      <c r="AM365" s="226">
        <f>AM176+AM186+AM189+AM190+AM199-AM250</f>
        <v>10238.603</v>
      </c>
      <c r="AN365" s="226">
        <f>AN176+AN186+AN189+AN190+AN199-AN250</f>
        <v>10238.603</v>
      </c>
      <c r="AO365" s="226">
        <f>AO176+AO186+AO189+AO190+AO199-AO250</f>
        <v>10238.603</v>
      </c>
      <c r="AP365" s="226">
        <f>AP176+AP186+AP189+AP190+AP199-AP250</f>
        <v>10238.603</v>
      </c>
      <c r="AQ365" s="226">
        <f>AQ176+AQ186+AQ189+AQ190+AQ199-AQ250</f>
        <v>10238.603</v>
      </c>
      <c r="AR365" s="226">
        <f>AR176+AR186+AR189+AR190+AR199-AR250</f>
        <v>10238.603</v>
      </c>
      <c r="AS365" s="226">
        <f>AS176+AS186+AS189+AS190+AS199-AS250</f>
        <v>10238.603</v>
      </c>
      <c r="AT365" s="226">
        <f>AT176+AT186+AT189+AT190+AT199-AT250</f>
        <v>10238.603</v>
      </c>
      <c r="AU365" s="226">
        <f>AU176+AU186+AU189+AU190+AU199-AU250</f>
        <v>10238.603</v>
      </c>
      <c r="AV365" s="226">
        <f>AV176+AV186+AV189+AV190+AV199-AV250</f>
        <v>10238.603</v>
      </c>
      <c r="AW365" s="226">
        <f>AW176+AW186+AW189+AW190+AW199-AW250</f>
        <v>10238.603</v>
      </c>
      <c r="AX365" s="226">
        <f>AX176+AX186+AX189+AX190+AX199-AX250</f>
        <v>10238.603</v>
      </c>
      <c r="AY365" s="226">
        <f>AY176+AY186+AY189+AY190+AY199-AY250</f>
        <v>10238.603</v>
      </c>
      <c r="AZ365" s="226">
        <f>AZ176+AZ186+AZ189+AZ190+AZ199-AZ250</f>
        <v>10238.603</v>
      </c>
      <c r="BA365" s="226">
        <f>BA176+BA186+BA189+BA190+BA199-BA250</f>
        <v>10238.603</v>
      </c>
      <c r="BB365" s="226">
        <f>BB176+BB186+BB189+BB190+BB199-BB250</f>
        <v>10238.603</v>
      </c>
      <c r="BC365" s="226">
        <f>BC176+BC186+BC189+BC190+BC199-BC250</f>
        <v>10238.603</v>
      </c>
      <c r="BD365" s="226">
        <f>BD176+BD186+BD189+BD190+BD199-BD250</f>
        <v>10238.603</v>
      </c>
      <c r="BE365" s="226">
        <f>BE176+BE186+BE189+BE190+BE199-BE250</f>
        <v>10238.603</v>
      </c>
      <c r="BF365" s="226">
        <f>BF176+BF186+BF189+BF190+BF199-BF250</f>
        <v>10238.603</v>
      </c>
      <c r="BG365" s="226">
        <f>BG176+BG186+BG189+BG190+BG199-BG250</f>
        <v>10238.603</v>
      </c>
      <c r="BH365" s="226">
        <f>BH176+BH186+BH189+BH190+BH199-BH250</f>
        <v>10238.603</v>
      </c>
      <c r="BI365" s="226">
        <f>BI176+BI186+BI189+BI190+BI199-BI250</f>
        <v>10238.603</v>
      </c>
      <c r="BJ365" s="226">
        <f>BJ176+BJ186+BJ189+BJ190+BJ199-BJ250</f>
        <v>10238.603</v>
      </c>
      <c r="BK365" s="226">
        <f>BK176+BK186+BK189+BK190+BK199-BK250</f>
        <v>10238.603</v>
      </c>
      <c r="BL365" s="226">
        <f>BL176+BL186+BL189+BL190+BL199-BL250</f>
        <v>10238.603</v>
      </c>
      <c r="BM365" s="226">
        <f>BM176+BM186+BM189+BM190+BM199-BM250</f>
        <v>10238.603</v>
      </c>
      <c r="BN365" s="226">
        <f>BN176+BN186+BN189+BN190+BN199-BN250</f>
        <v>10238.603</v>
      </c>
      <c r="BO365" s="226">
        <f>BO176+BO186+BO189+BO190+BO199-BO250</f>
        <v>10238.603</v>
      </c>
      <c r="BP365" s="226">
        <f>BP176+BP186+BP189+BP190+BP199-BP250</f>
        <v>10238.603</v>
      </c>
      <c r="BQ365" s="226">
        <f>BQ176+BQ186+BQ189+BQ190+BQ199-BQ250</f>
        <v>10238.603</v>
      </c>
      <c r="BR365" s="226">
        <f>BR176+BR186+BR189+BR190+BR199-BR250</f>
        <v>10238.603</v>
      </c>
      <c r="BS365" s="226">
        <f>BS176+BS186+BS189+BS190+BS199-BS250</f>
        <v>10238.603</v>
      </c>
      <c r="BT365" s="226">
        <f>BT176+BT186+BT189+BT190+BT199-BT250</f>
        <v>10238.603</v>
      </c>
      <c r="BU365" s="226">
        <f>BU176+BU186+BU189+BU190+BU199-BU250</f>
        <v>10238.603</v>
      </c>
      <c r="BV365" s="226">
        <f>BV176+BV186+BV189+BV190+BV199-BV250</f>
        <v>10238.603</v>
      </c>
      <c r="BW365" s="226">
        <f>BW176+BW186+BW189+BW190+BW199-BW250</f>
        <v>10238.603</v>
      </c>
      <c r="BX365" s="226">
        <f>BX176+BX186+BX189+BX190+BX199-BX250</f>
        <v>10238.603</v>
      </c>
      <c r="BY365" s="226">
        <f>BY176+BY186+BY189+BY190+BY199-BY250</f>
        <v>10238.603</v>
      </c>
      <c r="BZ365" s="226">
        <f>BZ176+BZ186+BZ189+BZ190+BZ199-BZ250</f>
        <v>10238.603</v>
      </c>
      <c r="CA365" s="226">
        <f>CA176+CA186+CA189+CA190+CA199-CA250</f>
        <v>10238.603</v>
      </c>
      <c r="CB365" s="226">
        <f>CB176+CB186+CB189+CB190+CB199-CB250</f>
        <v>10238.603</v>
      </c>
      <c r="CC365" s="226">
        <f>CC176+CC186+CC189+CC190+CC199-CC250</f>
        <v>10238.603</v>
      </c>
      <c r="CD365" s="226">
        <f>CD176+CD186+CD189+CD190+CD199-CD250</f>
        <v>10238.603</v>
      </c>
      <c r="CE365" s="226">
        <f>CE176+CE186+CE189+CE190+CE199-CE250</f>
        <v>10238.603</v>
      </c>
      <c r="CF365" s="226">
        <f>CF176+CF186+CF189+CF190+CF199-CF250</f>
        <v>10238.603</v>
      </c>
      <c r="CG365" s="226">
        <f>CG176+CG186+CG189+CG190+CG199-CG250</f>
        <v>10238.603</v>
      </c>
      <c r="CH365" s="226">
        <f>CH176+CH186+CH189+CH190+CH199-CH250</f>
        <v>10238.603</v>
      </c>
      <c r="CI365" s="226">
        <f>CI176+CI186+CI189+CI190+CI199-CI250</f>
        <v>10238.603</v>
      </c>
      <c r="CJ365" s="226">
        <f>CJ176+CJ186+CJ189+CJ190+CJ199-CJ250</f>
        <v>10238.603</v>
      </c>
      <c r="CK365" s="226">
        <f>CK176+CK186+CK189+CK190+CK199-CK250</f>
        <v>10238.603</v>
      </c>
      <c r="CL365" s="226">
        <f>CL176+CL186+CL189+CL190+CL199-CL250</f>
        <v>10238.603</v>
      </c>
      <c r="CM365" s="226">
        <f>CM176+CM186+CM189+CM190+CM199-CM250</f>
        <v>10238.603</v>
      </c>
      <c r="CN365" s="226">
        <f>CN176+CN186+CN189+CN190+CN199-CN250</f>
        <v>10238.603</v>
      </c>
      <c r="CO365" s="226">
        <f>CO176+CO186+CO189+CO190+CO199-CO250</f>
        <v>10238.603</v>
      </c>
      <c r="CP365" s="226">
        <f>CP176+CP186+CP189+CP190+CP199-CP250</f>
        <v>10238.603</v>
      </c>
      <c r="CQ365" s="226">
        <f>CQ176+CQ186+CQ189+CQ190+CQ199-CQ250</f>
        <v>10238.603</v>
      </c>
      <c r="CR365" s="226">
        <f>CR176+CR186+CR189+CR190+CR199-CR250</f>
        <v>10238.603</v>
      </c>
      <c r="CS365" s="226">
        <f>CS176+CS186+CS189+CS190+CS199-CS250</f>
        <v>10238.603</v>
      </c>
      <c r="CT365" s="226">
        <f>CT176+CT186+CT189+CT190+CT199-CT250</f>
        <v>10238.603</v>
      </c>
      <c r="CU365" s="226">
        <f>CU176+CU186+CU189+CU190+CU199-CU250</f>
        <v>10238.603</v>
      </c>
      <c r="CV365" s="226">
        <f>CV176+CV186+CV189+CV190+CV199-CV250</f>
        <v>10238.603</v>
      </c>
      <c r="CW365" s="226">
        <f>CW176+CW186+CW189+CW190+CW199-CW250</f>
        <v>10238.603</v>
      </c>
      <c r="CX365" s="226">
        <f>CX176+CX186+CX189+CX190+CX199-CX250</f>
        <v>10238.603</v>
      </c>
      <c r="CY365" s="226">
        <f>CY176+CY186+CY189+CY190+CY199-CY250</f>
        <v>10238.603</v>
      </c>
    </row>
    <row r="366" customFormat="1" s="233">
      <c r="A366" s="224" t="n"/>
      <c r="B366" s="224" t="n"/>
    </row>
    <row r="367" customFormat="1" s="233">
      <c r="A367" s="224" t="n"/>
      <c r="B367" s="224" t="n"/>
    </row>
    <row r="368" customFormat="1" s="233">
      <c r="A368" s="224" t="n"/>
      <c r="B368" s="224" t="n"/>
    </row>
    <row r="369" customFormat="1" s="233">
      <c r="A369" s="224" t="n"/>
      <c r="B369" s="224" t="n"/>
    </row>
    <row r="370" customFormat="1" s="233">
      <c r="A370" s="224" t="n"/>
      <c r="B370" s="224" t="n"/>
    </row>
    <row r="371" customFormat="1" s="233">
      <c r="A371" s="224" t="n"/>
      <c r="B371" s="224" t="n"/>
    </row>
    <row r="372" customFormat="1" s="233">
      <c r="A372" s="224" t="n"/>
      <c r="B372" s="224" t="n"/>
    </row>
    <row r="373" customFormat="1" s="233">
      <c r="A373" s="224" t="n"/>
      <c r="B373" s="224" t="n"/>
      <c r="C373" s="234" t="inlineStr">
        <is>
          <t>DUPONT ANALYSIS</t>
        </is>
      </c>
    </row>
    <row r="374" customFormat="1" s="233">
      <c r="A374" s="224" t="n"/>
      <c r="B374" s="224" t="n"/>
      <c r="C374" s="233" t="inlineStr">
        <is>
          <t>NET PROFIT MARGIN</t>
        </is>
      </c>
      <c r="D374" s="238">
        <f>D147/D15</f>
        <v>0.0422631585053197</v>
      </c>
      <c r="E374" s="238">
        <f>E147/E15</f>
        <v>0.0676190990177154</v>
      </c>
      <c r="F374" s="238">
        <f>F147/F15</f>
        <v>0.0680442735933406</v>
      </c>
      <c r="G374" s="238">
        <f>G147/G15</f>
        <v>0.0532072237198357</v>
      </c>
      <c r="I374" s="222">
        <f>I147/I15</f>
        <v>0.0466116671535725</v>
      </c>
      <c r="J374" s="222">
        <f>J147/J15</f>
        <v>0.0511669877810925</v>
      </c>
      <c r="K374" s="222">
        <f>K147/K15</f>
        <v>0.0490728594832294</v>
      </c>
      <c r="L374" s="222">
        <f>L147/L15</f>
        <v>0.0468536682616461</v>
      </c>
      <c r="N374" s="222">
        <f>N147/N15</f>
        <v>0.0435076291255279</v>
      </c>
      <c r="O374" s="222">
        <f>O147/O15</f>
        <v>0.0507734797516874</v>
      </c>
      <c r="P374" s="222">
        <f>P147/P15</f>
        <v>0.049107642562692</v>
      </c>
      <c r="Q374" s="222">
        <f>Q147/Q15</f>
        <v>0.0512135934473077</v>
      </c>
      <c r="S374" s="222">
        <f>S147/S15</f>
        <v>0.0408480881082323</v>
      </c>
      <c r="T374" s="222">
        <f>T147/T15</f>
        <v>0.0456076330995763</v>
      </c>
      <c r="U374" s="222">
        <f>U147/U15</f>
        <v>0.0452199294325868</v>
      </c>
      <c r="V374" s="222">
        <f>V147/V15</f>
        <v>0.0514655534020327</v>
      </c>
      <c r="X374" s="222">
        <f>X147/X15</f>
        <v>0.0325606145668217</v>
      </c>
      <c r="Y374" s="222">
        <f>Y147/Y15</f>
        <v>0.0428521343026245</v>
      </c>
      <c r="Z374" s="222">
        <f>Z147/Z15</f>
        <v>0.0426122791291939</v>
      </c>
      <c r="AA374" s="222">
        <f>AA147/AA15</f>
        <v>0.0370382435979837</v>
      </c>
      <c r="AC374" s="222">
        <f>AC147/AC15</f>
        <v>0.0331664727194599</v>
      </c>
      <c r="AD374" s="222">
        <f>AD147/AD15</f>
        <v>0.0450790230582753</v>
      </c>
      <c r="AE374" s="222">
        <f>AE147/AE15</f>
        <v>0.0790210430808159</v>
      </c>
      <c r="AF374" s="222">
        <f>AF147/AF15</f>
        <v>0.0307361495619101</v>
      </c>
      <c r="AH374" s="222">
        <f>AH147/AH15</f>
        <v>0.0226414472249787</v>
      </c>
      <c r="AI374" s="222">
        <f>AI147/AI15</f>
        <v>0.0240351116335298</v>
      </c>
      <c r="AJ374" s="222">
        <f>AJ147/AJ15</f>
        <v>0.00853511178201814</v>
      </c>
      <c r="AK374" s="222">
        <f>AK147/AK15</f>
        <v>0.00683303588933326</v>
      </c>
      <c r="AM374" s="222">
        <f>AM147/AM15</f>
        <v>0.0119900832458545</v>
      </c>
      <c r="AN374" s="222">
        <f>AN147/AN15</f>
        <v>0.0357473122705079</v>
      </c>
      <c r="AO374" s="222">
        <f>AO147/AO15</f>
        <v>0.00880268179477789</v>
      </c>
      <c r="AP374" s="222">
        <f>AP147/AP15</f>
        <v>0.0321000458194204</v>
      </c>
      <c r="AR374" s="222">
        <f>AR147/AR15</f>
        <v>0.0403412154724338</v>
      </c>
      <c r="AS374" s="222">
        <f>AS147/AS15</f>
        <v>0.0904432912751444</v>
      </c>
      <c r="AT374" s="222">
        <f>AT147/AT15</f>
        <v>0.0335682375070353</v>
      </c>
      <c r="AU374" s="222">
        <f>AU147/AU15</f>
        <v>0.0831800412472696</v>
      </c>
      <c r="AW374" s="222">
        <f>AW147/AW15</f>
        <v>0.0976560979423054</v>
      </c>
      <c r="AX374" s="222">
        <f>AX147/AX15</f>
        <v>0.253946602782797</v>
      </c>
      <c r="AY374" s="222">
        <f>AY147/AY15</f>
        <v>0.0836344889570697</v>
      </c>
      <c r="AZ374" s="222">
        <f>AZ147/AZ15</f>
        <v>0.235874051963142</v>
      </c>
      <c r="BB374" s="222">
        <f>BB147/BB15</f>
        <v>0.268988127335207</v>
      </c>
      <c r="BC374" s="222">
        <f>BC147/BC15</f>
        <v>0.690345183807376</v>
      </c>
      <c r="BD374" s="222">
        <f>BD147/BD15</f>
        <v>0.233298103281653</v>
      </c>
      <c r="BE374" s="222">
        <f>BE147/BE15</f>
        <v>0.643422064250586</v>
      </c>
      <c r="BG374" s="222">
        <f>BG147/BG15</f>
        <v>0.726281951060755</v>
      </c>
      <c r="BH374" s="222">
        <f>BH147/BH15</f>
        <v>1.89014896887184</v>
      </c>
      <c r="BI374" s="222">
        <f>BI147/BI15</f>
        <v>0.632757834830889</v>
      </c>
      <c r="BJ374" s="222">
        <f>BJ147/BJ15</f>
        <v>1.76390611025722</v>
      </c>
      <c r="BL374" s="222">
        <f>BL147/BL15</f>
        <v>1.98353365729765</v>
      </c>
      <c r="BM374" s="222">
        <f>BM147/BM15</f>
        <v>5.16255370104992</v>
      </c>
      <c r="BN374" s="222">
        <f>BN147/BN15</f>
        <v>1.73100452657853</v>
      </c>
      <c r="BO374" s="222">
        <f>BO147/BO15</f>
        <v>4.81997022684538</v>
      </c>
      <c r="BQ374" s="222">
        <f>BQ147/BQ15</f>
        <v>5.41262471722254</v>
      </c>
      <c r="BR374" s="222">
        <f>BR147/BR15</f>
        <v>14.106970735535</v>
      </c>
      <c r="BS374" s="222">
        <f>BS147/BS15</f>
        <v>4.72641737317228</v>
      </c>
      <c r="BT374" s="222">
        <f>BT147/BT15</f>
        <v>13.173066552035</v>
      </c>
      <c r="BV374" s="222">
        <f>BV147/BV15</f>
        <v>14.7853102495461</v>
      </c>
      <c r="BW374" s="222">
        <f>BW147/BW15</f>
        <v>38.5406142688614</v>
      </c>
      <c r="BX374" s="222">
        <f>BX147/BX15</f>
        <v>12.9137364498551</v>
      </c>
      <c r="BY374" s="222">
        <f>BY147/BY15</f>
        <v>35.9913874355904</v>
      </c>
      <c r="CA374" s="222">
        <f>CA147/CA15</f>
        <v>40.3888634340431</v>
      </c>
      <c r="CB374" s="222">
        <f>CB147/CB15</f>
        <v>105.296735404484</v>
      </c>
      <c r="CC374" s="222">
        <f>CC147/CC15</f>
        <v>35.2792002964081</v>
      </c>
      <c r="CD374" s="222">
        <f>CD147/CD15</f>
        <v>98.3342218530805</v>
      </c>
      <c r="CF374" s="222">
        <f>CF147/CF15</f>
        <v>110.341340867684</v>
      </c>
      <c r="CG374" s="222">
        <f>CG147/CG15</f>
        <v>287.676264742383</v>
      </c>
      <c r="CH374" s="222">
        <f>CH147/CH15</f>
        <v>96.3847661428798</v>
      </c>
      <c r="CI374" s="222">
        <f>CI147/CI15</f>
        <v>268.656532455172</v>
      </c>
      <c r="CK374" s="222">
        <f>CK147/CK15</f>
        <v>301.45340210396</v>
      </c>
      <c r="CL374" s="222">
        <f>CL147/CL15</f>
        <v>785.947565689425</v>
      </c>
      <c r="CM374" s="222">
        <f>CM147/CM15</f>
        <v>263.326825528929</v>
      </c>
      <c r="CN374" s="222">
        <f>CN147/CN15</f>
        <v>733.986822494334</v>
      </c>
      <c r="CP374" s="222">
        <f>CP147/CP15</f>
        <v>823.582479443794</v>
      </c>
      <c r="CQ374" s="222">
        <f>CQ147/CQ15</f>
        <v>2147.24922625931</v>
      </c>
      <c r="CR374" s="222">
        <f>CR147/CR15</f>
        <v>719.422075993972</v>
      </c>
      <c r="CS374" s="222">
        <f>CS147/CS15</f>
        <v>2005.29202377684</v>
      </c>
      <c r="CU374" s="222">
        <f>CU147/CU15</f>
        <v>2250.06475659601</v>
      </c>
      <c r="CV374" s="222">
        <f>CV147/CV15</f>
        <v>5866.39514929316</v>
      </c>
      <c r="CW374" s="222">
        <f>CW147/CW15</f>
        <v>1965.49669569616</v>
      </c>
      <c r="CX374" s="222">
        <f>CX147/CX15</f>
        <v>5478.56300642018</v>
      </c>
    </row>
    <row r="375" customFormat="1" s="233">
      <c r="A375" s="224" t="n"/>
      <c r="B375" s="224" t="n"/>
      <c r="C375" s="233" t="inlineStr">
        <is>
          <t>ASSET TURNOVER</t>
        </is>
      </c>
      <c r="D375" s="238" t="e">
        <f>D147/D207</f>
        <v>#N/A</v>
      </c>
      <c r="E375" s="238">
        <f>E147/E207</f>
        <v>0.0380777202230493</v>
      </c>
      <c r="F375" s="238">
        <f>F147/F207</f>
        <v>0.0409109280706059</v>
      </c>
      <c r="G375" s="238">
        <f>G147/G207</f>
        <v>0.0235920033922901</v>
      </c>
      <c r="I375" s="222">
        <f>I147/I207</f>
        <v>0.0191555402073424</v>
      </c>
      <c r="J375" s="222">
        <f>J147/J207</f>
        <v>0.0217572805678173</v>
      </c>
      <c r="K375" s="222">
        <f>K147/K207</f>
        <v>0.0231832346056572</v>
      </c>
      <c r="L375" s="222">
        <f>L147/L207</f>
        <v>0.0209023426550551</v>
      </c>
      <c r="N375" s="222">
        <f>N147/N207</f>
        <v>0.0190449817171396</v>
      </c>
      <c r="O375" s="222">
        <f>O147/O207</f>
        <v>0.0230978288877746</v>
      </c>
      <c r="P375" s="222">
        <f>P147/P207</f>
        <v>0.0234804803553397</v>
      </c>
      <c r="Q375" s="222">
        <f>Q147/Q207</f>
        <v>0.0234160307688211</v>
      </c>
      <c r="S375" s="222">
        <f>S147/S207</f>
        <v>0.0174623848972636</v>
      </c>
      <c r="T375" s="222">
        <f>T147/T207</f>
        <v>0.0203943639715821</v>
      </c>
      <c r="U375" s="222">
        <f>U147/U207</f>
        <v>0.0208282385796599</v>
      </c>
      <c r="V375" s="222">
        <f>V147/V207</f>
        <v>0.0237274825123471</v>
      </c>
      <c r="X375" s="222">
        <f>X147/X207</f>
        <v>0.0145512997867574</v>
      </c>
      <c r="Y375" s="222">
        <f>Y147/Y207</f>
        <v>0.0191082870293419</v>
      </c>
      <c r="Z375" s="222">
        <f>Z147/Z207</f>
        <v>0.0198462570224386</v>
      </c>
      <c r="AA375" s="222">
        <f>AA147/AA207</f>
        <v>0.0177325509471139</v>
      </c>
      <c r="AC375" s="222">
        <f>AC147/AC207</f>
        <v>0.0142857017300372</v>
      </c>
      <c r="AD375" s="222">
        <f>AD147/AD207</f>
        <v>0.020124221582626</v>
      </c>
      <c r="AE375" s="222">
        <f>AE147/AE207</f>
        <v>0.0358939340759677</v>
      </c>
      <c r="AF375" s="222">
        <f>AF147/AF207</f>
        <v>0.0133156953671278</v>
      </c>
      <c r="AH375" s="222">
        <f>AH147/AH207</f>
        <v>0.00860563183567559</v>
      </c>
      <c r="AI375" s="222">
        <f>AI147/AI207</f>
        <v>0.00941453709006774</v>
      </c>
      <c r="AJ375" s="222">
        <f>AJ147/AJ207</f>
        <v>0.00467088602896744</v>
      </c>
      <c r="AK375" s="222">
        <f>AK147/AK207</f>
        <v>0.00364836424854061</v>
      </c>
      <c r="AM375" s="222" t="e">
        <f>AM147/AM207</f>
        <v>#DIV/0!</v>
      </c>
      <c r="AN375" s="222" t="e">
        <f>AN147/AN207</f>
        <v>#DIV/0!</v>
      </c>
      <c r="AO375" s="222" t="e">
        <f>AO147/AO207</f>
        <v>#DIV/0!</v>
      </c>
      <c r="AP375" s="222" t="e">
        <f>AP147/AP207</f>
        <v>#DIV/0!</v>
      </c>
      <c r="AR375" s="222" t="e">
        <f>AR147/AR207</f>
        <v>#DIV/0!</v>
      </c>
      <c r="AS375" s="222" t="e">
        <f>AS147/AS207</f>
        <v>#DIV/0!</v>
      </c>
      <c r="AT375" s="222" t="e">
        <f>AT147/AT207</f>
        <v>#DIV/0!</v>
      </c>
      <c r="AU375" s="222" t="e">
        <f>AU147/AU207</f>
        <v>#DIV/0!</v>
      </c>
      <c r="AW375" s="222" t="e">
        <f>AW147/AW207</f>
        <v>#DIV/0!</v>
      </c>
      <c r="AX375" s="222" t="e">
        <f>AX147/AX207</f>
        <v>#DIV/0!</v>
      </c>
      <c r="AY375" s="222" t="e">
        <f>AY147/AY207</f>
        <v>#DIV/0!</v>
      </c>
      <c r="AZ375" s="222" t="e">
        <f>AZ147/AZ207</f>
        <v>#DIV/0!</v>
      </c>
      <c r="BB375" s="222" t="e">
        <f>BB147/BB207</f>
        <v>#DIV/0!</v>
      </c>
      <c r="BC375" s="222" t="e">
        <f>BC147/BC207</f>
        <v>#DIV/0!</v>
      </c>
      <c r="BD375" s="222" t="e">
        <f>BD147/BD207</f>
        <v>#DIV/0!</v>
      </c>
      <c r="BE375" s="222" t="e">
        <f>BE147/BE207</f>
        <v>#DIV/0!</v>
      </c>
      <c r="BG375" s="222" t="e">
        <f>BG147/BG207</f>
        <v>#DIV/0!</v>
      </c>
      <c r="BH375" s="222" t="e">
        <f>BH147/BH207</f>
        <v>#DIV/0!</v>
      </c>
      <c r="BI375" s="222" t="e">
        <f>BI147/BI207</f>
        <v>#DIV/0!</v>
      </c>
      <c r="BJ375" s="222" t="e">
        <f>BJ147/BJ207</f>
        <v>#DIV/0!</v>
      </c>
      <c r="BL375" s="222" t="e">
        <f>BL147/BL207</f>
        <v>#DIV/0!</v>
      </c>
      <c r="BM375" s="222" t="e">
        <f>BM147/BM207</f>
        <v>#DIV/0!</v>
      </c>
      <c r="BN375" s="222" t="e">
        <f>BN147/BN207</f>
        <v>#DIV/0!</v>
      </c>
      <c r="BO375" s="222" t="e">
        <f>BO147/BO207</f>
        <v>#DIV/0!</v>
      </c>
      <c r="BQ375" s="222" t="e">
        <f>BQ147/BQ207</f>
        <v>#DIV/0!</v>
      </c>
      <c r="BR375" s="222" t="e">
        <f>BR147/BR207</f>
        <v>#DIV/0!</v>
      </c>
      <c r="BS375" s="222" t="e">
        <f>BS147/BS207</f>
        <v>#DIV/0!</v>
      </c>
      <c r="BT375" s="222" t="e">
        <f>BT147/BT207</f>
        <v>#DIV/0!</v>
      </c>
      <c r="BV375" s="222" t="e">
        <f>BV147/BV207</f>
        <v>#DIV/0!</v>
      </c>
      <c r="BW375" s="222" t="e">
        <f>BW147/BW207</f>
        <v>#DIV/0!</v>
      </c>
      <c r="BX375" s="222" t="e">
        <f>BX147/BX207</f>
        <v>#DIV/0!</v>
      </c>
      <c r="BY375" s="222" t="e">
        <f>BY147/BY207</f>
        <v>#DIV/0!</v>
      </c>
      <c r="CA375" s="222" t="e">
        <f>CA147/CA207</f>
        <v>#DIV/0!</v>
      </c>
      <c r="CB375" s="222" t="e">
        <f>CB147/CB207</f>
        <v>#DIV/0!</v>
      </c>
      <c r="CC375" s="222" t="e">
        <f>CC147/CC207</f>
        <v>#DIV/0!</v>
      </c>
      <c r="CD375" s="222" t="e">
        <f>CD147/CD207</f>
        <v>#DIV/0!</v>
      </c>
      <c r="CF375" s="222" t="e">
        <f>CF147/CF207</f>
        <v>#DIV/0!</v>
      </c>
      <c r="CG375" s="222" t="e">
        <f>CG147/CG207</f>
        <v>#DIV/0!</v>
      </c>
      <c r="CH375" s="222" t="e">
        <f>CH147/CH207</f>
        <v>#DIV/0!</v>
      </c>
      <c r="CI375" s="222" t="e">
        <f>CI147/CI207</f>
        <v>#DIV/0!</v>
      </c>
      <c r="CK375" s="222" t="e">
        <f>CK147/CK207</f>
        <v>#DIV/0!</v>
      </c>
      <c r="CL375" s="222" t="e">
        <f>CL147/CL207</f>
        <v>#DIV/0!</v>
      </c>
      <c r="CM375" s="222" t="e">
        <f>CM147/CM207</f>
        <v>#DIV/0!</v>
      </c>
      <c r="CN375" s="222" t="e">
        <f>CN147/CN207</f>
        <v>#DIV/0!</v>
      </c>
      <c r="CP375" s="222" t="e">
        <f>CP147/CP207</f>
        <v>#DIV/0!</v>
      </c>
      <c r="CQ375" s="222" t="e">
        <f>CQ147/CQ207</f>
        <v>#DIV/0!</v>
      </c>
      <c r="CR375" s="222" t="e">
        <f>CR147/CR207</f>
        <v>#DIV/0!</v>
      </c>
      <c r="CS375" s="222" t="e">
        <f>CS147/CS207</f>
        <v>#DIV/0!</v>
      </c>
      <c r="CU375" s="222" t="e">
        <f>CU147/CU207</f>
        <v>#DIV/0!</v>
      </c>
      <c r="CV375" s="222" t="e">
        <f>CV147/CV207</f>
        <v>#DIV/0!</v>
      </c>
      <c r="CW375" s="222" t="e">
        <f>CW147/CW207</f>
        <v>#DIV/0!</v>
      </c>
      <c r="CX375" s="222" t="e">
        <f>CX147/CX207</f>
        <v>#DIV/0!</v>
      </c>
    </row>
    <row r="376" customFormat="1" s="233">
      <c r="A376" s="224" t="n"/>
      <c r="B376" s="224" t="n"/>
      <c r="C376" s="233" t="inlineStr">
        <is>
          <t>EQUITY MULTIPLIER</t>
        </is>
      </c>
      <c r="D376" s="238" t="e">
        <f>D207/D281</f>
        <v>#N/A</v>
      </c>
      <c r="E376" s="238">
        <f>E207/E281</f>
        <v>2.21502270771911</v>
      </c>
      <c r="F376" s="238">
        <f>F207/F281</f>
        <v>2.25742952979317</v>
      </c>
      <c r="G376" s="238">
        <f>G207/G281</f>
        <v>1.43646995216585</v>
      </c>
      <c r="I376" s="222">
        <f>I207/I281</f>
        <v>1.39514699112328</v>
      </c>
      <c r="J376" s="222">
        <f>J207/J281</f>
        <v>1.44654900136405</v>
      </c>
      <c r="K376" s="222">
        <f>K207/K281</f>
        <v>1.46866581081894</v>
      </c>
      <c r="L376" s="222">
        <f>L207/L281</f>
        <v>1.53707504005586</v>
      </c>
      <c r="N376" s="222">
        <f>N207/N281</f>
        <v>1.5668650700029</v>
      </c>
      <c r="O376" s="222">
        <f>O207/O281</f>
        <v>1.64760846237803</v>
      </c>
      <c r="P376" s="222">
        <f>P207/P281</f>
        <v>1.71308482991231</v>
      </c>
      <c r="Q376" s="222">
        <f>Q207/Q281</f>
        <v>1.75867996883446</v>
      </c>
      <c r="S376" s="222">
        <f>S207/S281</f>
        <v>1.76392728642287</v>
      </c>
      <c r="T376" s="222">
        <f>T207/T281</f>
        <v>1.7803531300876</v>
      </c>
      <c r="U376" s="222">
        <f>U207/U281</f>
        <v>1.79553965810382</v>
      </c>
      <c r="V376" s="222">
        <f>V207/V281</f>
        <v>1.86439523072913</v>
      </c>
      <c r="X376" s="222">
        <f>X207/X281</f>
        <v>1.85244085743211</v>
      </c>
      <c r="Y376" s="222">
        <f>Y207/Y281</f>
        <v>1.88235580409114</v>
      </c>
      <c r="Z376" s="222">
        <f>Z207/Z281</f>
        <v>1.90499053073435</v>
      </c>
      <c r="AA376" s="222">
        <f>AA207/AA281</f>
        <v>1.97439216887939</v>
      </c>
      <c r="AC376" s="222">
        <f>AC207/AC281</f>
        <v>2.06730657521207</v>
      </c>
      <c r="AD376" s="222">
        <f>AD207/AD281</f>
        <v>2.04596927870832</v>
      </c>
      <c r="AE376" s="222">
        <f>AE207/AE281</f>
        <v>2.10605766501194</v>
      </c>
      <c r="AF376" s="222">
        <f>AF207/AF281</f>
        <v>2.12350930639278</v>
      </c>
      <c r="AH376" s="222">
        <f>AH207/AH281</f>
        <v>2.06186760121131</v>
      </c>
      <c r="AI376" s="222">
        <f>AI207/AI281</f>
        <v>2.03747516958154</v>
      </c>
      <c r="AJ376" s="222">
        <f>AJ207/AJ281</f>
        <v>1.58191923582272</v>
      </c>
      <c r="AK376" s="222">
        <f>AK207/AK281</f>
        <v>1.57770140653347</v>
      </c>
      <c r="AM376" s="222" t="e">
        <f>AM207/AM281</f>
        <v>#DIV/0!</v>
      </c>
      <c r="AN376" s="222" t="e">
        <f>AN207/AN281</f>
        <v>#DIV/0!</v>
      </c>
      <c r="AO376" s="222" t="e">
        <f>AO207/AO281</f>
        <v>#DIV/0!</v>
      </c>
      <c r="AP376" s="222" t="e">
        <f>AP207/AP281</f>
        <v>#DIV/0!</v>
      </c>
      <c r="AR376" s="222" t="e">
        <f>AR207/AR281</f>
        <v>#DIV/0!</v>
      </c>
      <c r="AS376" s="222" t="e">
        <f>AS207/AS281</f>
        <v>#DIV/0!</v>
      </c>
      <c r="AT376" s="222" t="e">
        <f>AT207/AT281</f>
        <v>#DIV/0!</v>
      </c>
      <c r="AU376" s="222" t="e">
        <f>AU207/AU281</f>
        <v>#DIV/0!</v>
      </c>
      <c r="AW376" s="222" t="e">
        <f>AW207/AW281</f>
        <v>#DIV/0!</v>
      </c>
      <c r="AX376" s="222" t="e">
        <f>AX207/AX281</f>
        <v>#DIV/0!</v>
      </c>
      <c r="AY376" s="222" t="e">
        <f>AY207/AY281</f>
        <v>#DIV/0!</v>
      </c>
      <c r="AZ376" s="222" t="e">
        <f>AZ207/AZ281</f>
        <v>#DIV/0!</v>
      </c>
      <c r="BB376" s="222" t="e">
        <f>BB207/BB281</f>
        <v>#DIV/0!</v>
      </c>
      <c r="BC376" s="222" t="e">
        <f>BC207/BC281</f>
        <v>#DIV/0!</v>
      </c>
      <c r="BD376" s="222" t="e">
        <f>BD207/BD281</f>
        <v>#DIV/0!</v>
      </c>
      <c r="BE376" s="222" t="e">
        <f>BE207/BE281</f>
        <v>#DIV/0!</v>
      </c>
      <c r="BG376" s="222" t="e">
        <f>BG207/BG281</f>
        <v>#DIV/0!</v>
      </c>
      <c r="BH376" s="222" t="e">
        <f>BH207/BH281</f>
        <v>#DIV/0!</v>
      </c>
      <c r="BI376" s="222" t="e">
        <f>BI207/BI281</f>
        <v>#DIV/0!</v>
      </c>
      <c r="BJ376" s="222" t="e">
        <f>BJ207/BJ281</f>
        <v>#DIV/0!</v>
      </c>
      <c r="BL376" s="222" t="e">
        <f>BL207/BL281</f>
        <v>#DIV/0!</v>
      </c>
      <c r="BM376" s="222" t="e">
        <f>BM207/BM281</f>
        <v>#DIV/0!</v>
      </c>
      <c r="BN376" s="222" t="e">
        <f>BN207/BN281</f>
        <v>#DIV/0!</v>
      </c>
      <c r="BO376" s="222" t="e">
        <f>BO207/BO281</f>
        <v>#DIV/0!</v>
      </c>
      <c r="BQ376" s="222" t="e">
        <f>BQ207/BQ281</f>
        <v>#DIV/0!</v>
      </c>
      <c r="BR376" s="222" t="e">
        <f>BR207/BR281</f>
        <v>#DIV/0!</v>
      </c>
      <c r="BS376" s="222" t="e">
        <f>BS207/BS281</f>
        <v>#DIV/0!</v>
      </c>
      <c r="BT376" s="222" t="e">
        <f>BT207/BT281</f>
        <v>#DIV/0!</v>
      </c>
      <c r="BV376" s="222" t="e">
        <f>BV207/BV281</f>
        <v>#DIV/0!</v>
      </c>
      <c r="BW376" s="222" t="e">
        <f>BW207/BW281</f>
        <v>#DIV/0!</v>
      </c>
      <c r="BX376" s="222" t="e">
        <f>BX207/BX281</f>
        <v>#DIV/0!</v>
      </c>
      <c r="BY376" s="222" t="e">
        <f>BY207/BY281</f>
        <v>#DIV/0!</v>
      </c>
      <c r="CA376" s="222" t="e">
        <f>CA207/CA281</f>
        <v>#DIV/0!</v>
      </c>
      <c r="CB376" s="222" t="e">
        <f>CB207/CB281</f>
        <v>#DIV/0!</v>
      </c>
      <c r="CC376" s="222" t="e">
        <f>CC207/CC281</f>
        <v>#DIV/0!</v>
      </c>
      <c r="CD376" s="222" t="e">
        <f>CD207/CD281</f>
        <v>#DIV/0!</v>
      </c>
      <c r="CF376" s="222" t="e">
        <f>CF207/CF281</f>
        <v>#DIV/0!</v>
      </c>
      <c r="CG376" s="222" t="e">
        <f>CG207/CG281</f>
        <v>#DIV/0!</v>
      </c>
      <c r="CH376" s="222" t="e">
        <f>CH207/CH281</f>
        <v>#DIV/0!</v>
      </c>
      <c r="CI376" s="222" t="e">
        <f>CI207/CI281</f>
        <v>#DIV/0!</v>
      </c>
      <c r="CK376" s="222" t="e">
        <f>CK207/CK281</f>
        <v>#DIV/0!</v>
      </c>
      <c r="CL376" s="222" t="e">
        <f>CL207/CL281</f>
        <v>#DIV/0!</v>
      </c>
      <c r="CM376" s="222" t="e">
        <f>CM207/CM281</f>
        <v>#DIV/0!</v>
      </c>
      <c r="CN376" s="222" t="e">
        <f>CN207/CN281</f>
        <v>#DIV/0!</v>
      </c>
      <c r="CP376" s="222" t="e">
        <f>CP207/CP281</f>
        <v>#DIV/0!</v>
      </c>
      <c r="CQ376" s="222" t="e">
        <f>CQ207/CQ281</f>
        <v>#DIV/0!</v>
      </c>
      <c r="CR376" s="222" t="e">
        <f>CR207/CR281</f>
        <v>#DIV/0!</v>
      </c>
      <c r="CS376" s="222" t="e">
        <f>CS207/CS281</f>
        <v>#DIV/0!</v>
      </c>
      <c r="CU376" s="222" t="e">
        <f>CU207/CU281</f>
        <v>#DIV/0!</v>
      </c>
      <c r="CV376" s="222" t="e">
        <f>CV207/CV281</f>
        <v>#DIV/0!</v>
      </c>
      <c r="CW376" s="222" t="e">
        <f>CW207/CW281</f>
        <v>#DIV/0!</v>
      </c>
      <c r="CX376" s="222" t="e">
        <f>CX207/CX281</f>
        <v>#DIV/0!</v>
      </c>
    </row>
    <row r="377" customFormat="1" s="233">
      <c r="A377" s="224" t="n"/>
      <c r="B377" s="224" t="n"/>
      <c r="C377" s="233" t="inlineStr">
        <is>
          <t>ROE - DUPONT</t>
        </is>
      </c>
      <c r="D377" s="238" t="e">
        <f>PRODUCT(D374:D376)</f>
        <v>#N/A</v>
      </c>
      <c r="E377" s="238">
        <f>PRODUCT(E374:E376)</f>
        <v>0.00570319867950746</v>
      </c>
      <c r="F377" s="238">
        <f>PRODUCT(F374:F376)</f>
        <v>0.00628412934695835</v>
      </c>
      <c r="G377" s="238">
        <f>PRODUCT(G374:G376)</f>
        <v>0.00180315045808616</v>
      </c>
      <c r="I377" s="222">
        <f>PRODUCT(I374:I376)</f>
        <v>0.00124568721589555</v>
      </c>
      <c r="J377" s="222">
        <f>PRODUCT(J374:J376)</f>
        <v>0.0016103771982049</v>
      </c>
      <c r="K377" s="222">
        <f>PRODUCT(K374:K376)</f>
        <v>0.00167085352900766</v>
      </c>
      <c r="L377" s="222">
        <f>PRODUCT(L374:L376)</f>
        <v>0.00150533663642282</v>
      </c>
      <c r="N377" s="222">
        <f>PRODUCT(N374:N376)</f>
        <v>0.00129830753269589</v>
      </c>
      <c r="O377" s="222">
        <f>PRODUCT(O374:O376)</f>
        <v>0.00193224460027395</v>
      </c>
      <c r="P377" s="222">
        <f>PRODUCT(P374:P376)</f>
        <v>0.00197530850042286</v>
      </c>
      <c r="Q377" s="222">
        <f>PRODUCT(Q374:Q376)</f>
        <v>0.0021090425741417</v>
      </c>
      <c r="S377" s="222">
        <f>PRODUCT(S374:S376)</f>
        <v>0.00125821821806603</v>
      </c>
      <c r="T377" s="222">
        <f>PRODUCT(T374:T376)</f>
        <v>0.00165597529133072</v>
      </c>
      <c r="U377" s="222">
        <f>PRODUCT(U374:U376)</f>
        <v>0.00169113168218837</v>
      </c>
      <c r="V377" s="222">
        <f>PRODUCT(V374:V376)</f>
        <v>0.00227670254139809</v>
      </c>
      <c r="X377" s="222">
        <f>PRODUCT(X374:X376)</f>
        <v>0.000877685114489713</v>
      </c>
      <c r="Y377" s="222">
        <f>PRODUCT(Y374:Y376)</f>
        <v>0.00154133106344192</v>
      </c>
      <c r="Z377" s="222">
        <f>PRODUCT(Z374:Z376)</f>
        <v>0.00161103952654486</v>
      </c>
      <c r="AA377" s="222">
        <f>PRODUCT(AA374:AA376)</f>
        <v>0.00129674630677765</v>
      </c>
      <c r="AC377" s="222">
        <f>PRODUCT(AC374:AC376)</f>
        <v>0.000979502955252805</v>
      </c>
      <c r="AD377" s="222">
        <f>PRODUCT(AD374:AD376)</f>
        <v>0.00185606291919969</v>
      </c>
      <c r="AE377" s="222">
        <f>PRODUCT(AE374:AE376)</f>
        <v>0.00597357164933776</v>
      </c>
      <c r="AF377" s="222">
        <f>PRODUCT(AF374:AF376)</f>
        <v>0.00086909545824106</v>
      </c>
      <c r="AH377" s="222">
        <f>PRODUCT(AH374:AH376)</f>
        <v>0.000401742446446723</v>
      </c>
      <c r="AI377" s="222">
        <f>PRODUCT(AI374:AI376)</f>
        <v>0.000461038760634807</v>
      </c>
      <c r="AJ377" s="222">
        <f>PRODUCT(AJ374:AJ376)</f>
        <v>6.3065637598627e-05</v>
      </c>
      <c r="AK377" s="222">
        <f>PRODUCT(AK374:AK376)</f>
        <v>3.933115551446e-05</v>
      </c>
      <c r="AM377" s="222" t="e">
        <f>PRODUCT(AM374:AM376)</f>
        <v>#DIV/0!</v>
      </c>
      <c r="AN377" s="222" t="e">
        <f>PRODUCT(AN374:AN376)</f>
        <v>#DIV/0!</v>
      </c>
      <c r="AO377" s="222" t="e">
        <f>PRODUCT(AO374:AO376)</f>
        <v>#DIV/0!</v>
      </c>
      <c r="AP377" s="222" t="e">
        <f>PRODUCT(AP374:AP376)</f>
        <v>#DIV/0!</v>
      </c>
      <c r="AR377" s="222" t="e">
        <f>PRODUCT(AR374:AR376)</f>
        <v>#DIV/0!</v>
      </c>
      <c r="AS377" s="222" t="e">
        <f>PRODUCT(AS374:AS376)</f>
        <v>#DIV/0!</v>
      </c>
      <c r="AT377" s="222" t="e">
        <f>PRODUCT(AT374:AT376)</f>
        <v>#DIV/0!</v>
      </c>
      <c r="AU377" s="222" t="e">
        <f>PRODUCT(AU374:AU376)</f>
        <v>#DIV/0!</v>
      </c>
      <c r="AW377" s="222" t="e">
        <f>PRODUCT(AW374:AW376)</f>
        <v>#DIV/0!</v>
      </c>
      <c r="AX377" s="222" t="e">
        <f>PRODUCT(AX374:AX376)</f>
        <v>#DIV/0!</v>
      </c>
      <c r="AY377" s="222" t="e">
        <f>PRODUCT(AY374:AY376)</f>
        <v>#DIV/0!</v>
      </c>
      <c r="AZ377" s="222" t="e">
        <f>PRODUCT(AZ374:AZ376)</f>
        <v>#DIV/0!</v>
      </c>
      <c r="BB377" s="222" t="e">
        <f>PRODUCT(BB374:BB376)</f>
        <v>#DIV/0!</v>
      </c>
      <c r="BC377" s="222" t="e">
        <f>PRODUCT(BC374:BC376)</f>
        <v>#DIV/0!</v>
      </c>
      <c r="BD377" s="222" t="e">
        <f>PRODUCT(BD374:BD376)</f>
        <v>#DIV/0!</v>
      </c>
      <c r="BE377" s="222" t="e">
        <f>PRODUCT(BE374:BE376)</f>
        <v>#DIV/0!</v>
      </c>
      <c r="BG377" s="222" t="e">
        <f>PRODUCT(BG374:BG376)</f>
        <v>#DIV/0!</v>
      </c>
      <c r="BH377" s="222" t="e">
        <f>PRODUCT(BH374:BH376)</f>
        <v>#DIV/0!</v>
      </c>
      <c r="BI377" s="222" t="e">
        <f>PRODUCT(BI374:BI376)</f>
        <v>#DIV/0!</v>
      </c>
      <c r="BJ377" s="222" t="e">
        <f>PRODUCT(BJ374:BJ376)</f>
        <v>#DIV/0!</v>
      </c>
      <c r="BL377" s="222" t="e">
        <f>PRODUCT(BL374:BL376)</f>
        <v>#DIV/0!</v>
      </c>
      <c r="BM377" s="222" t="e">
        <f>PRODUCT(BM374:BM376)</f>
        <v>#DIV/0!</v>
      </c>
      <c r="BN377" s="222" t="e">
        <f>PRODUCT(BN374:BN376)</f>
        <v>#DIV/0!</v>
      </c>
      <c r="BO377" s="222" t="e">
        <f>PRODUCT(BO374:BO376)</f>
        <v>#DIV/0!</v>
      </c>
      <c r="BQ377" s="222" t="e">
        <f>PRODUCT(BQ374:BQ376)</f>
        <v>#DIV/0!</v>
      </c>
      <c r="BR377" s="222" t="e">
        <f>PRODUCT(BR374:BR376)</f>
        <v>#DIV/0!</v>
      </c>
      <c r="BS377" s="222" t="e">
        <f>PRODUCT(BS374:BS376)</f>
        <v>#DIV/0!</v>
      </c>
      <c r="BT377" s="222" t="e">
        <f>PRODUCT(BT374:BT376)</f>
        <v>#DIV/0!</v>
      </c>
      <c r="BV377" s="222" t="e">
        <f>PRODUCT(BV374:BV376)</f>
        <v>#DIV/0!</v>
      </c>
      <c r="BW377" s="222" t="e">
        <f>PRODUCT(BW374:BW376)</f>
        <v>#DIV/0!</v>
      </c>
      <c r="BX377" s="222" t="e">
        <f>PRODUCT(BX374:BX376)</f>
        <v>#DIV/0!</v>
      </c>
      <c r="BY377" s="222" t="e">
        <f>PRODUCT(BY374:BY376)</f>
        <v>#DIV/0!</v>
      </c>
      <c r="CA377" s="222" t="e">
        <f>PRODUCT(CA374:CA376)</f>
        <v>#DIV/0!</v>
      </c>
      <c r="CB377" s="222" t="e">
        <f>PRODUCT(CB374:CB376)</f>
        <v>#DIV/0!</v>
      </c>
      <c r="CC377" s="222" t="e">
        <f>PRODUCT(CC374:CC376)</f>
        <v>#DIV/0!</v>
      </c>
      <c r="CD377" s="222" t="e">
        <f>PRODUCT(CD374:CD376)</f>
        <v>#DIV/0!</v>
      </c>
      <c r="CF377" s="222" t="e">
        <f>PRODUCT(CF374:CF376)</f>
        <v>#DIV/0!</v>
      </c>
      <c r="CG377" s="222" t="e">
        <f>PRODUCT(CG374:CG376)</f>
        <v>#DIV/0!</v>
      </c>
      <c r="CH377" s="222" t="e">
        <f>PRODUCT(CH374:CH376)</f>
        <v>#DIV/0!</v>
      </c>
      <c r="CI377" s="222" t="e">
        <f>PRODUCT(CI374:CI376)</f>
        <v>#DIV/0!</v>
      </c>
      <c r="CK377" s="222" t="e">
        <f>PRODUCT(CK374:CK376)</f>
        <v>#DIV/0!</v>
      </c>
      <c r="CL377" s="222" t="e">
        <f>PRODUCT(CL374:CL376)</f>
        <v>#DIV/0!</v>
      </c>
      <c r="CM377" s="222" t="e">
        <f>PRODUCT(CM374:CM376)</f>
        <v>#DIV/0!</v>
      </c>
      <c r="CN377" s="222" t="e">
        <f>PRODUCT(CN374:CN376)</f>
        <v>#DIV/0!</v>
      </c>
      <c r="CP377" s="222" t="e">
        <f>PRODUCT(CP374:CP376)</f>
        <v>#DIV/0!</v>
      </c>
      <c r="CQ377" s="222" t="e">
        <f>PRODUCT(CQ374:CQ376)</f>
        <v>#DIV/0!</v>
      </c>
      <c r="CR377" s="222" t="e">
        <f>PRODUCT(CR374:CR376)</f>
        <v>#DIV/0!</v>
      </c>
      <c r="CS377" s="222" t="e">
        <f>PRODUCT(CS374:CS376)</f>
        <v>#DIV/0!</v>
      </c>
      <c r="CU377" s="222" t="e">
        <f>PRODUCT(CU374:CU376)</f>
        <v>#DIV/0!</v>
      </c>
      <c r="CV377" s="222" t="e">
        <f>PRODUCT(CV374:CV376)</f>
        <v>#DIV/0!</v>
      </c>
      <c r="CW377" s="222" t="e">
        <f>PRODUCT(CW374:CW376)</f>
        <v>#DIV/0!</v>
      </c>
      <c r="CX377" s="222" t="e">
        <f>PRODUCT(CX374:CX376)</f>
        <v>#DIV/0!</v>
      </c>
    </row>
    <row r="378" customFormat="1" s="233">
      <c r="A378" s="224" t="n"/>
      <c r="B378" s="224" t="n"/>
      <c r="C378" s="233" t="inlineStr">
        <is>
          <t>ROE</t>
        </is>
      </c>
      <c r="D378" s="238" t="e">
        <f>D147/D281</f>
        <v>#N/A</v>
      </c>
      <c r="E378" s="238">
        <f>E147/E281</f>
        <v>0.0843430149522295</v>
      </c>
      <c r="F378" s="238">
        <f>F147/F281</f>
        <v>0.0923535371178299</v>
      </c>
      <c r="G378" s="238">
        <f>G147/G281</f>
        <v>0.0338892039844196</v>
      </c>
      <c r="I378" s="222">
        <f>I147/I281</f>
        <v>0.0267247942836147</v>
      </c>
      <c r="J378" s="222">
        <f>J147/J281</f>
        <v>0.0314729724777736</v>
      </c>
      <c r="K378" s="222">
        <f>K147/K281</f>
        <v>0.0340484240495232</v>
      </c>
      <c r="L378" s="222">
        <f>L147/L281</f>
        <v>0.0321284691737801</v>
      </c>
      <c r="N378" s="222">
        <f>N147/N281</f>
        <v>0.0298409166114298</v>
      </c>
      <c r="O378" s="222">
        <f>O147/O281</f>
        <v>0.0380561783380572</v>
      </c>
      <c r="P378" s="222">
        <f>P147/P281</f>
        <v>0.0402240546957865</v>
      </c>
      <c r="Q378" s="222">
        <f>Q147/Q281</f>
        <v>0.0411813042627371</v>
      </c>
      <c r="S378" s="222">
        <f>S147/S281</f>
        <v>0.0308023772063019</v>
      </c>
      <c r="T378" s="222">
        <f>T147/T281</f>
        <v>0.036309169732952</v>
      </c>
      <c r="U378" s="222">
        <f>U147/U281</f>
        <v>0.0373979283782273</v>
      </c>
      <c r="V378" s="222">
        <f>V147/V281</f>
        <v>0.0442374052332288</v>
      </c>
      <c r="X378" s="222">
        <f>X147/X281</f>
        <v>0.0269554222537326</v>
      </c>
      <c r="Y378" s="222">
        <f>Y147/Y281</f>
        <v>0.0359685949959213</v>
      </c>
      <c r="Z378" s="222">
        <f>Z147/Z281</f>
        <v>0.0378069316982656</v>
      </c>
      <c r="AA378" s="222">
        <f>AA147/AA281</f>
        <v>0.0350110097242365</v>
      </c>
      <c r="AC378" s="222">
        <f>AC147/AC281</f>
        <v>0.0295329251180243</v>
      </c>
      <c r="AD378" s="222">
        <f>AD147/AD281</f>
        <v>0.0411735391159718</v>
      </c>
      <c r="AE378" s="222">
        <f>AE147/AE281</f>
        <v>0.075594694988125</v>
      </c>
      <c r="AF378" s="222">
        <f>AF147/AF281</f>
        <v>0.0282760030331871</v>
      </c>
      <c r="AH378" s="222">
        <f>AH147/AH281</f>
        <v>0.0177436734699321</v>
      </c>
      <c r="AI378" s="222">
        <f>AI147/AI281</f>
        <v>0.0191818855541175</v>
      </c>
      <c r="AJ378" s="222">
        <f>AJ147/AJ281</f>
        <v>0.00738896445755922</v>
      </c>
      <c r="AK378" s="222">
        <f>AK147/AK281</f>
        <v>0.00575602940646895</v>
      </c>
      <c r="AM378" s="222">
        <f>AM147/AM281</f>
        <v>0.00893672660579899</v>
      </c>
      <c r="AN378" s="222">
        <f>AN147/AN281</f>
        <v>0.0271506548013394</v>
      </c>
      <c r="AO378" s="222">
        <f>AO147/AO281</f>
        <v>0.00725326826918668</v>
      </c>
      <c r="AP378" s="222">
        <f>AP147/AP281</f>
        <v>0.0252346827056437</v>
      </c>
      <c r="AR378" s="222">
        <f>AR147/AR281</f>
        <v>0.0275303591418489</v>
      </c>
      <c r="AS378" s="222">
        <f>AS147/AS281</f>
        <v>0.0607269013271421</v>
      </c>
      <c r="AT378" s="222">
        <f>AT147/AT281</f>
        <v>0.0240377735395882</v>
      </c>
      <c r="AU378" s="222">
        <f>AU147/AU281</f>
        <v>0.0550968492362256</v>
      </c>
      <c r="AW378" s="222">
        <f>AW147/AW281</f>
        <v>0.0545777275623382</v>
      </c>
      <c r="AX378" s="222">
        <f>AX147/AX281</f>
        <v>0.129431698911744</v>
      </c>
      <c r="AY378" s="222">
        <f>AY147/AY281</f>
        <v>0.0445052798797798</v>
      </c>
      <c r="AZ378" s="222">
        <f>AZ147/AZ281</f>
        <v>0.109459430867949</v>
      </c>
      <c r="BB378" s="222">
        <f>BB147/BB281</f>
        <v>0.100197411680073</v>
      </c>
      <c r="BC378" s="222">
        <f>BC147/BC281</f>
        <v>0.212232276928214</v>
      </c>
      <c r="BD378" s="222">
        <f>BD147/BD281</f>
        <v>0.0726699470563499</v>
      </c>
      <c r="BE378" s="222">
        <f>BE147/BE281</f>
        <v>0.164114137154781</v>
      </c>
      <c r="BG378" s="222">
        <f>BG147/BG281</f>
        <v>0.141766839799794</v>
      </c>
      <c r="BH378" s="222">
        <f>BH147/BH281</f>
        <v>0.278797243217777</v>
      </c>
      <c r="BI378" s="222">
        <f>BI147/BI281</f>
        <v>0.0925330632828237</v>
      </c>
      <c r="BJ378" s="222">
        <f>BJ147/BJ281</f>
        <v>0.201766403777932</v>
      </c>
      <c r="BL378" s="222">
        <f>BL147/BL281</f>
        <v>0.168229879554341</v>
      </c>
      <c r="BM378" s="222">
        <f>BM147/BM281</f>
        <v>0.314503384429743</v>
      </c>
      <c r="BN378" s="222">
        <f>BN147/BN281</f>
        <v>0.103305713204404</v>
      </c>
      <c r="BO378" s="222">
        <f>BO147/BO281</f>
        <v>0.219917685036055</v>
      </c>
      <c r="BQ378" s="222">
        <f>BQ147/BQ281</f>
        <v>0.180404705888425</v>
      </c>
      <c r="BR378" s="222">
        <f>BR147/BR281</f>
        <v>0.330070598433666</v>
      </c>
      <c r="BS378" s="222">
        <f>BS147/BS281</f>
        <v>0.10779181172553</v>
      </c>
      <c r="BT378" s="222">
        <f>BT147/BT281</f>
        <v>0.227473578697256</v>
      </c>
      <c r="BV378" s="222">
        <f>BV147/BV281</f>
        <v>0.185368094330056</v>
      </c>
      <c r="BW378" s="222">
        <f>BW147/BW281</f>
        <v>0.336134096280744</v>
      </c>
      <c r="BX378" s="222">
        <f>BX147/BX281</f>
        <v>0.109562323484573</v>
      </c>
      <c r="BY378" s="222">
        <f>BY147/BY281</f>
        <v>0.230350322563102</v>
      </c>
      <c r="CA378" s="222">
        <f>CA147/CA281</f>
        <v>0.187241677202046</v>
      </c>
      <c r="CB378" s="222">
        <f>CB147/CB281</f>
        <v>0.338416416524356</v>
      </c>
      <c r="CC378" s="222">
        <f>CC147/CC281</f>
        <v>0.110217373237568</v>
      </c>
      <c r="CD378" s="222">
        <f>CD147/CD281</f>
        <v>0.231426581745382</v>
      </c>
      <c r="CF378" s="222">
        <f>CF147/CF281</f>
        <v>0.187940449713686</v>
      </c>
      <c r="CG378" s="222">
        <f>CG147/CG281</f>
        <v>0.339257717785642</v>
      </c>
      <c r="CH378" s="222">
        <f>CH147/CH281</f>
        <v>0.110461148562316</v>
      </c>
      <c r="CI378" s="222">
        <f>CI147/CI281</f>
        <v>0.231821647744313</v>
      </c>
      <c r="CK378" s="222">
        <f>CK147/CK281</f>
        <v>0.188196631398102</v>
      </c>
      <c r="CL378" s="222">
        <f>CL147/CL281</f>
        <v>0.339567193529958</v>
      </c>
      <c r="CM378" s="222">
        <f>CM147/CM281</f>
        <v>0.110550101419742</v>
      </c>
      <c r="CN378" s="222">
        <f>CN147/CN281</f>
        <v>0.231966954660318</v>
      </c>
      <c r="CP378" s="222">
        <f>CP147/CP281</f>
        <v>0.188290818989661</v>
      </c>
      <c r="CQ378" s="222">
        <f>CQ147/CQ281</f>
        <v>0.339680478629109</v>
      </c>
      <c r="CR378" s="222">
        <f>CR147/CR281</f>
        <v>0.110582842442912</v>
      </c>
      <c r="CS378" s="222">
        <f>CS147/CS281</f>
        <v>0.232020087493352</v>
      </c>
      <c r="CU378" s="222">
        <f>CU147/CU281</f>
        <v>0.188325252995529</v>
      </c>
      <c r="CV378" s="222">
        <f>CV147/CV281</f>
        <v>0.339721998061061</v>
      </c>
      <c r="CW378" s="222">
        <f>CW147/CW281</f>
        <v>0.110594792223692</v>
      </c>
      <c r="CX378" s="222">
        <f>CX147/CX281</f>
        <v>0.232039567875347</v>
      </c>
    </row>
    <row r="380">
      <c r="C380" s="53" t="inlineStr">
        <is>
          <t>Scenario Analysis</t>
        </is>
      </c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  <c r="CO380" s="53" t="n"/>
      <c r="CP380" s="53" t="n"/>
      <c r="CQ380" s="53" t="n"/>
      <c r="CR380" s="53" t="n"/>
      <c r="CS380" s="53" t="n"/>
      <c r="CT380" s="53" t="n"/>
      <c r="CU380" s="53" t="n"/>
      <c r="CV380" s="53" t="n"/>
      <c r="CW380" s="53" t="n"/>
      <c r="CX380" s="53" t="n"/>
      <c r="CY380" s="53" t="n"/>
    </row>
    <row r="383">
      <c r="C383" s="4" t="inlineStr">
        <is>
          <t>Bull case</t>
        </is>
      </c>
    </row>
    <row r="384">
      <c r="C384" s="4" t="inlineStr">
        <is>
          <t>Base case</t>
        </is>
      </c>
    </row>
    <row r="385">
      <c r="C385" s="4" t="inlineStr">
        <is>
          <t>Bear case</t>
        </is>
      </c>
    </row>
    <row r="388">
      <c r="C388" s="4" t="inlineStr">
        <is>
          <t>Bull case</t>
        </is>
      </c>
    </row>
    <row r="389">
      <c r="C389" s="4" t="inlineStr">
        <is>
          <t>Base case</t>
        </is>
      </c>
    </row>
    <row r="390">
      <c r="C390" s="4" t="inlineStr">
        <is>
          <t>Bear case</t>
        </is>
      </c>
    </row>
    <row r="393">
      <c r="C393" s="4" t="inlineStr">
        <is>
          <t>% Gross Margin</t>
        </is>
      </c>
    </row>
    <row r="394">
      <c r="C394" s="4" t="inlineStr">
        <is>
          <t>Bull case</t>
        </is>
      </c>
    </row>
    <row r="395">
      <c r="C395" s="4" t="inlineStr">
        <is>
          <t>Base case</t>
        </is>
      </c>
    </row>
    <row r="396">
      <c r="C396" s="4" t="inlineStr">
        <is>
          <t>Bear case</t>
        </is>
      </c>
    </row>
    <row r="399">
      <c r="C399" s="4" t="inlineStr">
        <is>
          <t>Capital expenditures</t>
        </is>
      </c>
    </row>
    <row r="400">
      <c r="C400" s="4" t="inlineStr">
        <is>
          <t>Bull case</t>
        </is>
      </c>
    </row>
    <row r="401">
      <c r="C401" s="4" t="inlineStr">
        <is>
          <t>Base case</t>
        </is>
      </c>
    </row>
    <row r="402">
      <c r="C402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25:G325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25:L325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25:Q325">
    <cfRule type="cellIs" priority="44" operator="notEqual" dxfId="0">
      <formula>0</formula>
    </cfRule>
  </conditionalFormatting>
  <conditionalFormatting sqref="S325:V325">
    <cfRule type="cellIs" priority="43" operator="notEqual" dxfId="0">
      <formula>0</formula>
    </cfRule>
  </conditionalFormatting>
  <conditionalFormatting sqref="X325:AA325">
    <cfRule type="cellIs" priority="42" operator="notEqual" dxfId="0">
      <formula>0</formula>
    </cfRule>
  </conditionalFormatting>
  <conditionalFormatting sqref="AC325:AF325">
    <cfRule type="cellIs" priority="41" operator="notEqual" dxfId="0">
      <formula>0</formula>
    </cfRule>
  </conditionalFormatting>
  <conditionalFormatting sqref="AH325:AK325">
    <cfRule type="cellIs" priority="14" operator="notEqual" dxfId="0">
      <formula>0</formula>
    </cfRule>
  </conditionalFormatting>
  <conditionalFormatting sqref="AM325:AP325">
    <cfRule type="cellIs" priority="13" operator="notEqual" dxfId="0">
      <formula>0</formula>
    </cfRule>
  </conditionalFormatting>
  <conditionalFormatting sqref="AR325:AU325">
    <cfRule type="cellIs" priority="12" operator="notEqual" dxfId="0">
      <formula>0</formula>
    </cfRule>
  </conditionalFormatting>
  <conditionalFormatting sqref="AW325:AZ325">
    <cfRule type="cellIs" priority="11" operator="notEqual" dxfId="0">
      <formula>0</formula>
    </cfRule>
  </conditionalFormatting>
  <conditionalFormatting sqref="BB325:BE325">
    <cfRule type="cellIs" priority="10" operator="notEqual" dxfId="0">
      <formula>0</formula>
    </cfRule>
  </conditionalFormatting>
  <conditionalFormatting sqref="BG325:BJ325">
    <cfRule type="cellIs" priority="9" operator="notEqual" dxfId="0">
      <formula>0</formula>
    </cfRule>
  </conditionalFormatting>
  <conditionalFormatting sqref="BL325:BO325">
    <cfRule type="cellIs" priority="8" operator="notEqual" dxfId="0">
      <formula>0</formula>
    </cfRule>
  </conditionalFormatting>
  <conditionalFormatting sqref="BQ325:BT325">
    <cfRule type="cellIs" priority="7" operator="notEqual" dxfId="0">
      <formula>0</formula>
    </cfRule>
  </conditionalFormatting>
  <conditionalFormatting sqref="BV325:BY325">
    <cfRule type="cellIs" priority="6" operator="notEqual" dxfId="0">
      <formula>0</formula>
    </cfRule>
  </conditionalFormatting>
  <conditionalFormatting sqref="CA325:CD325">
    <cfRule type="cellIs" priority="5" operator="notEqual" dxfId="0">
      <formula>0</formula>
    </cfRule>
  </conditionalFormatting>
  <conditionalFormatting sqref="CF325:CI325">
    <cfRule type="cellIs" priority="4" operator="notEqual" dxfId="0">
      <formula>0</formula>
    </cfRule>
  </conditionalFormatting>
  <conditionalFormatting sqref="CK325:CN325">
    <cfRule type="cellIs" priority="3" operator="notEqual" dxfId="0">
      <formula>0</formula>
    </cfRule>
  </conditionalFormatting>
  <conditionalFormatting sqref="CP325:CS325">
    <cfRule type="cellIs" priority="2" operator="notEqual" dxfId="0">
      <formula>0</formula>
    </cfRule>
  </conditionalFormatting>
  <conditionalFormatting sqref="CU325:CX325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26773.586</v>
      </c>
      <c r="E18" s="83">
        <f>Model!AB15</f>
        <v>32085.429</v>
      </c>
      <c r="F18" s="83">
        <f>Model!AG15</f>
        <v>38424.402069</v>
      </c>
      <c r="G18" s="83">
        <f>Model!AL15</f>
        <v>40568.1916357838</v>
      </c>
      <c r="H18" s="83">
        <f>Model!AQ15</f>
        <v>40568.1916357838</v>
      </c>
      <c r="I18" s="83">
        <f>Model!AV15</f>
        <v>40568.1916357838</v>
      </c>
      <c r="J18" s="83">
        <f>Model!BA15</f>
        <v>40568.1916357838</v>
      </c>
      <c r="K18" s="83">
        <f>Model!BF15</f>
        <v>40568.1916357838</v>
      </c>
      <c r="L18" s="83">
        <f>Model!BK15</f>
        <v>40568.1916357838</v>
      </c>
      <c r="M18" s="83">
        <f>Model!BP15</f>
        <v>40568.1916357838</v>
      </c>
      <c r="N18" s="83">
        <f>Model!BU15</f>
        <v>40568.1916357838</v>
      </c>
      <c r="O18" s="83">
        <f>Model!BZ15</f>
        <v>40568.1916357838</v>
      </c>
      <c r="P18" s="83">
        <f>Model!CE15</f>
        <v>40568.1916357838</v>
      </c>
      <c r="Q18" s="83">
        <f>Model!CJ15</f>
        <v>40568.1916357838</v>
      </c>
      <c r="R18" s="83">
        <f>Model!CO15</f>
        <v>40568.1916357838</v>
      </c>
      <c r="S18" s="83" t="n"/>
      <c r="T18" s="83" t="n"/>
      <c r="U18" s="83" t="n"/>
      <c r="V18" s="84" t="n"/>
      <c r="X18" s="85">
        <f>((L18/F18)^(1/6))-1</f>
        <v>0.00908965796423433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0.198398638120422</v>
      </c>
      <c r="F19" s="87">
        <f>F18/E18-1</f>
        <v>0.197565476497136</v>
      </c>
      <c r="G19" s="87">
        <f>G18/F18-1</f>
        <v>0.0557923988754359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Model!W79</f>
        <v>2036.00411748</v>
      </c>
      <c r="E20" s="83">
        <f>Model!AB79</f>
        <v>2333.19787857</v>
      </c>
      <c r="F20" s="83">
        <f>Model!AG79</f>
        <v>2807.14443321626</v>
      </c>
      <c r="G20" s="83">
        <f>Model!AL79</f>
        <v>1224.651</v>
      </c>
      <c r="H20" s="83">
        <f>Model!AQ79</f>
        <v>0</v>
      </c>
      <c r="I20" s="83">
        <f>Model!BA79</f>
        <v>0</v>
      </c>
      <c r="J20" s="83">
        <f>Model!BA79</f>
        <v>0</v>
      </c>
      <c r="K20" s="83">
        <f>Model!BF79</f>
        <v>0</v>
      </c>
      <c r="L20" s="83">
        <f>Model!BK79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0.076045252865268</v>
      </c>
      <c r="E21" s="92">
        <f>E20/E18</f>
        <v>0.0727183008389883</v>
      </c>
      <c r="F21" s="92">
        <f>F20/F18</f>
        <v>0.0730562944915934</v>
      </c>
      <c r="G21" s="92">
        <f>G20/G18</f>
        <v>0.0301874683248089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Model!W83</f>
        <v>1682.61211748</v>
      </c>
      <c r="E22" s="83">
        <f>Model!AB83</f>
        <v>1956.45187857</v>
      </c>
      <c r="F22" s="83">
        <f>Model!AG83</f>
        <v>2267.54843321626</v>
      </c>
      <c r="G22" s="83">
        <f>Model!AL83</f>
        <v>888.510999999999</v>
      </c>
      <c r="H22" s="83">
        <f>Model!AQ83</f>
        <v>0</v>
      </c>
      <c r="I22" s="83">
        <f>Model!AV83</f>
        <v>0</v>
      </c>
      <c r="J22" s="83">
        <f>Model!BA83</f>
        <v>0</v>
      </c>
      <c r="K22" s="83">
        <f>Model!BF83</f>
        <v>0</v>
      </c>
      <c r="L22" s="83">
        <f>Model!BK83</f>
        <v>0</v>
      </c>
      <c r="M22" s="83">
        <f>Model!BP83</f>
        <v>0</v>
      </c>
      <c r="N22" s="83">
        <f>Model!BU83</f>
        <v>0</v>
      </c>
      <c r="O22" s="83">
        <f>Model!BZ83</f>
        <v>0</v>
      </c>
      <c r="P22" s="83">
        <f>Model!CE83</f>
        <v>0</v>
      </c>
      <c r="Q22" s="83">
        <f>Model!CJ83</f>
        <v>0</v>
      </c>
      <c r="R22" s="83">
        <f>Model!CO83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0.0628459750397276</v>
      </c>
      <c r="E23" s="92">
        <f>E22/E18</f>
        <v>0.0609763353505418</v>
      </c>
      <c r="F23" s="92">
        <f>F22/F18</f>
        <v>0.0590132392729064</v>
      </c>
      <c r="G23" s="92">
        <f>G22/G18</f>
        <v>0.0219016664084251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Model!W142</f>
        <v>0.0333910305946593</v>
      </c>
      <c r="E24" s="95">
        <f>Model!AB142</f>
        <v>0.0998834218724965</v>
      </c>
      <c r="F24" s="95">
        <f>Model!AG142</f>
        <v>-0.37701182065343</v>
      </c>
      <c r="G24" s="95">
        <f>Model!AL142</f>
        <v>-0.023071633985616</v>
      </c>
      <c r="H24" s="95">
        <f>Model!AQ142</f>
        <v>0</v>
      </c>
      <c r="I24" s="95">
        <f>Model!AV142</f>
        <v>0</v>
      </c>
      <c r="J24" s="95">
        <f>Model!BA142</f>
        <v>0</v>
      </c>
      <c r="K24" s="95">
        <f>Model!BF142</f>
        <v>0</v>
      </c>
      <c r="L24" s="95">
        <f>Model!BK142</f>
        <v>0</v>
      </c>
      <c r="M24" s="95">
        <f>Model!BP142</f>
        <v>0</v>
      </c>
      <c r="N24" s="95">
        <f>Model!BU142</f>
        <v>0</v>
      </c>
      <c r="O24" s="95">
        <f>Model!BZ142</f>
        <v>0</v>
      </c>
      <c r="P24" s="95">
        <f>Model!CE142</f>
        <v>0</v>
      </c>
      <c r="Q24" s="95">
        <f>Model!CJ142</f>
        <v>0</v>
      </c>
      <c r="R24" s="95">
        <f>Model!CO142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1626.42796478628</v>
      </c>
      <c r="E25" s="97">
        <f>E22*(1-E24)</f>
        <v>1761.03477020955</v>
      </c>
      <c r="F25" s="97">
        <f>F22*(1-F24)</f>
        <v>3122.44099644295</v>
      </c>
      <c r="G25" s="97">
        <f>G22*(1-G24)</f>
        <v>909.010400584193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Model!W80</f>
        <v>-353.392</v>
      </c>
      <c r="E26" s="100">
        <f>Model!AB80</f>
        <v>-376.746</v>
      </c>
      <c r="F26" s="100">
        <f>Model!AG80</f>
        <v>-539.596</v>
      </c>
      <c r="G26" s="100">
        <f>Model!AL80</f>
        <v>-336.14</v>
      </c>
      <c r="H26" s="100">
        <f>Model!AQ80</f>
        <v>0</v>
      </c>
      <c r="I26" s="100">
        <f>Model!AV80</f>
        <v>0</v>
      </c>
      <c r="J26" s="100">
        <f>Model!BA80</f>
        <v>0</v>
      </c>
      <c r="K26" s="100">
        <f>Model!BF80</f>
        <v>0</v>
      </c>
      <c r="L26" s="101">
        <f>Model!BK80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-903.937999999999</v>
      </c>
      <c r="E27" s="103">
        <f>SUM(E28:E39)</f>
        <v>103.684999999999</v>
      </c>
      <c r="F27" s="103">
        <f>SUM(F28:F39)</f>
        <v>-904.936999999999</v>
      </c>
      <c r="G27" s="103">
        <f>SUM(G28:G39)</f>
        <v>3241.118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Model!W290</f>
        <v>-909.37167198</v>
      </c>
      <c r="E28" s="106">
        <f>Model!AB290</f>
        <v>58.4979832199997</v>
      </c>
      <c r="F28" s="106">
        <f>Model!AG290</f>
        <v>-681.76</v>
      </c>
      <c r="G28" s="106">
        <f>Model!AL290</f>
        <v>4080.89</v>
      </c>
      <c r="H28" s="106">
        <f>Model!AQ290</f>
        <v>0</v>
      </c>
      <c r="I28" s="106">
        <f>Model!AV290</f>
        <v>0</v>
      </c>
      <c r="J28" s="106">
        <f>Model!BA290</f>
        <v>0</v>
      </c>
      <c r="K28" s="106">
        <f>Model!BF290</f>
        <v>0</v>
      </c>
      <c r="L28" s="107">
        <f>Model!BK290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Model!W291</f>
        <v>-1102.28</v>
      </c>
      <c r="E29" s="106">
        <f>Model!AB291</f>
        <v>148.137</v>
      </c>
      <c r="F29" s="106">
        <f>Model!AG291</f>
        <v>-230.544</v>
      </c>
      <c r="G29" s="106">
        <f>Model!AL291</f>
        <v>5170.062</v>
      </c>
      <c r="H29" s="106">
        <f>Model!AQ291</f>
        <v>0</v>
      </c>
      <c r="I29" s="106">
        <f>Model!AV291</f>
        <v>0</v>
      </c>
      <c r="J29" s="106">
        <f>Model!BA291</f>
        <v>0</v>
      </c>
      <c r="K29" s="106">
        <f>Model!BF291</f>
        <v>0</v>
      </c>
      <c r="L29" s="107">
        <f>Model!BK291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Model!W292</f>
        <v>0</v>
      </c>
      <c r="E30" s="106">
        <f>Model!AB292</f>
        <v>-503.543</v>
      </c>
      <c r="F30" s="106">
        <f>Model!AG292</f>
        <v>-362.925</v>
      </c>
      <c r="G30" s="106">
        <f>Model!AL292</f>
        <v>-32.9749999999999</v>
      </c>
      <c r="H30" s="106">
        <f>Model!AQ292</f>
        <v>0</v>
      </c>
      <c r="I30" s="106">
        <f>Model!AV292</f>
        <v>0</v>
      </c>
      <c r="J30" s="106">
        <f>Model!BA292</f>
        <v>0</v>
      </c>
      <c r="K30" s="106">
        <f>Model!BF292</f>
        <v>0</v>
      </c>
      <c r="L30" s="107">
        <f>Model!BK292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Model!W293</f>
        <v>0</v>
      </c>
      <c r="E31" s="106">
        <f>Model!AB293</f>
        <v>0</v>
      </c>
      <c r="F31" s="106">
        <f>Model!AG293</f>
        <v>0</v>
      </c>
      <c r="G31" s="106">
        <f>Model!AL293</f>
        <v>0</v>
      </c>
      <c r="H31" s="106">
        <f>Model!AQ293</f>
        <v>0</v>
      </c>
      <c r="I31" s="106">
        <f>Model!AV293</f>
        <v>0</v>
      </c>
      <c r="J31" s="106">
        <f>Model!BA293</f>
        <v>0</v>
      </c>
      <c r="K31" s="106">
        <f>Model!BF293</f>
        <v>0</v>
      </c>
      <c r="L31" s="107">
        <f>Model!BK293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Model!W294</f>
        <v>-65.125</v>
      </c>
      <c r="E32" s="106">
        <f>Model!AB294</f>
        <v>-322.545</v>
      </c>
      <c r="F32" s="106">
        <f>Model!AG294</f>
        <v>-842.222</v>
      </c>
      <c r="G32" s="106">
        <f>Model!AL294</f>
        <v>-48.0719999999999</v>
      </c>
      <c r="H32" s="106">
        <f>Model!AQ294</f>
        <v>0</v>
      </c>
      <c r="I32" s="106">
        <f>Model!AV294</f>
        <v>0</v>
      </c>
      <c r="J32" s="106">
        <f>Model!BA294</f>
        <v>0</v>
      </c>
      <c r="K32" s="106">
        <f>Model!BF294</f>
        <v>0</v>
      </c>
      <c r="L32" s="107">
        <f>Model!BK294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Model!W295</f>
        <v>1030.632</v>
      </c>
      <c r="E33" s="106">
        <f>Model!AB295</f>
        <v>39.3629999999998</v>
      </c>
      <c r="F33" s="106">
        <f>Model!AG295</f>
        <v>1391.304</v>
      </c>
      <c r="G33" s="106">
        <f>Model!AL295</f>
        <v>-4469.873</v>
      </c>
      <c r="H33" s="106">
        <f>Model!AQ295</f>
        <v>0</v>
      </c>
      <c r="I33" s="106">
        <f>Model!AV295</f>
        <v>0</v>
      </c>
      <c r="J33" s="106">
        <f>Model!BA295</f>
        <v>0</v>
      </c>
      <c r="K33" s="106">
        <f>Model!BF295</f>
        <v>0</v>
      </c>
      <c r="L33" s="107">
        <f>Model!BK295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Model!W296</f>
        <v>92.948</v>
      </c>
      <c r="E34" s="106">
        <f>Model!AB296</f>
        <v>50.816</v>
      </c>
      <c r="F34" s="106">
        <f>Model!AG296</f>
        <v>81.531</v>
      </c>
      <c r="G34" s="106">
        <f>Model!AL296</f>
        <v>-526.602</v>
      </c>
      <c r="H34" s="106" t="e">
        <f>Model!AQ296</f>
        <v>#DIV/0!</v>
      </c>
      <c r="I34" s="106" t="e">
        <f>Model!AV296</f>
        <v>#DIV/0!</v>
      </c>
      <c r="J34" s="106" t="e">
        <f>Model!BA296</f>
        <v>#DIV/0!</v>
      </c>
      <c r="K34" s="106" t="e">
        <f>Model!BF296</f>
        <v>#DIV/0!</v>
      </c>
      <c r="L34" s="107" t="e">
        <f>Model!BK296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Model!W297</f>
        <v>82.321</v>
      </c>
      <c r="E35" s="106">
        <f>Model!AB297</f>
        <v>209.676</v>
      </c>
      <c r="F35" s="106">
        <f>Model!AG297</f>
        <v>-63.063</v>
      </c>
      <c r="G35" s="106">
        <f>Model!AL297</f>
        <v>-371.5</v>
      </c>
      <c r="H35" s="106" t="e">
        <f>Model!AQ297</f>
        <v>#DIV/0!</v>
      </c>
      <c r="I35" s="106" t="e">
        <f>Model!AV297</f>
        <v>#DIV/0!</v>
      </c>
      <c r="J35" s="106" t="e">
        <f>Model!BA297</f>
        <v>#DIV/0!</v>
      </c>
      <c r="K35" s="106" t="e">
        <f>Model!BF297</f>
        <v>#DIV/0!</v>
      </c>
      <c r="L35" s="107" t="e">
        <f>Model!BK297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Model!W298</f>
        <v>48.56</v>
      </c>
      <c r="E36" s="106">
        <f>Model!AB298</f>
        <v>138.243</v>
      </c>
      <c r="F36" s="106">
        <f>Model!AG298</f>
        <v>287.586</v>
      </c>
      <c r="G36" s="106">
        <f>Model!AL298</f>
        <v>-341.16</v>
      </c>
      <c r="H36" s="106">
        <f>Model!AQ298</f>
        <v>0</v>
      </c>
      <c r="I36" s="106">
        <f>Model!AV298</f>
        <v>0</v>
      </c>
      <c r="J36" s="106">
        <f>Model!BA298</f>
        <v>0</v>
      </c>
      <c r="K36" s="106">
        <f>Model!BF298</f>
        <v>0</v>
      </c>
      <c r="L36" s="107">
        <f>Model!BK298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Model!W299</f>
        <v>0</v>
      </c>
      <c r="E37" s="106">
        <f>Model!AB299</f>
        <v>0</v>
      </c>
      <c r="F37" s="106">
        <f>Model!AG299</f>
        <v>0</v>
      </c>
      <c r="G37" s="106">
        <f>Model!AL299</f>
        <v>0</v>
      </c>
      <c r="H37" s="106">
        <f>Model!AQ299</f>
        <v>0</v>
      </c>
      <c r="I37" s="106">
        <f>Model!AV299</f>
        <v>0</v>
      </c>
      <c r="J37" s="106">
        <f>Model!BA299</f>
        <v>0</v>
      </c>
      <c r="K37" s="106">
        <f>Model!BF299</f>
        <v>0</v>
      </c>
      <c r="L37" s="107">
        <f>Model!BK299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(Model!W199-Model!R199)*-1</f>
        <v>-114.82717721</v>
      </c>
      <c r="E38" s="106">
        <f>(Model!AB199-Model!W199)*-1</f>
        <v>11.1158107200001</v>
      </c>
      <c r="F38" s="106">
        <f>(Model!AG199-Model!AB199)*-1</f>
        <v>-338.057</v>
      </c>
      <c r="G38" s="106">
        <f>(Model!AL199-Model!AG199)*-1</f>
        <v>-176.248</v>
      </c>
      <c r="H38" s="106">
        <f>(Model!AQ199-Model!AL199)*-1</f>
        <v>0</v>
      </c>
      <c r="I38" s="106">
        <f>(Model!AV199-Model!AQ199)*-1</f>
        <v>0</v>
      </c>
      <c r="J38" s="106">
        <f>(Model!BA199-Model!AV199)*-1</f>
        <v>0</v>
      </c>
      <c r="K38" s="106">
        <f>(Model!BF199-Model!BA199)*-1</f>
        <v>0</v>
      </c>
      <c r="L38" s="107">
        <f>(Model!BK199-Model!BF199)*-1</f>
        <v>0</v>
      </c>
      <c r="M38">
        <f>(Model!BP199-Model!BK199)*-1</f>
        <v>0</v>
      </c>
      <c r="N38">
        <f>(Model!BU199-Model!BP199)*-1</f>
        <v>0</v>
      </c>
      <c r="O38">
        <f>(Model!BZ199-Model!BU199)*-1</f>
        <v>0</v>
      </c>
      <c r="P38">
        <f>(Model!CE199-Model!BZ199)*-1</f>
        <v>0</v>
      </c>
      <c r="Q38">
        <f>(Model!CJ199-Model!CE199)*-1</f>
        <v>0</v>
      </c>
      <c r="R38">
        <f>(Model!CO199-Model!CJ199)*-1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Model!W250-Model!R250</f>
        <v>33.2048491900004</v>
      </c>
      <c r="E39" s="106">
        <f>Model!AB250-Model!W250</f>
        <v>273.92420606</v>
      </c>
      <c r="F39" s="106">
        <f>Model!AG250-Model!AB250</f>
        <v>-146.787</v>
      </c>
      <c r="G39" s="106">
        <f>Model!AL250-Model!AG250</f>
        <v>-43.404</v>
      </c>
      <c r="H39" s="106">
        <f>Model!AQ250-Model!AL250</f>
        <v>0</v>
      </c>
      <c r="I39" s="106">
        <f>Model!AV250-Model!AQ250</f>
        <v>0</v>
      </c>
      <c r="J39" s="106">
        <f>Model!BA250-Model!AV250</f>
        <v>0</v>
      </c>
      <c r="K39" s="106">
        <f>Model!BF250-Model!BA250</f>
        <v>0</v>
      </c>
      <c r="L39" s="107">
        <f>Model!BK250-Model!BF250</f>
        <v>0</v>
      </c>
      <c r="M39">
        <f>Model!BP250-Model!BK250</f>
        <v>0</v>
      </c>
      <c r="N39">
        <f>Model!BU250-Model!BP250</f>
        <v>0</v>
      </c>
      <c r="O39">
        <f>Model!BZ250-Model!BU250</f>
        <v>0</v>
      </c>
      <c r="P39">
        <f>Model!CE250-Model!BZ250</f>
        <v>0</v>
      </c>
      <c r="Q39">
        <f>Model!CJ250-Model!CE250</f>
        <v>0</v>
      </c>
      <c r="R39">
        <f>Model!CO250-Model!CJ250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-1257.33</v>
      </c>
      <c r="E44" s="103">
        <f>SUM(E27+E40+E41+E42+E26)</f>
        <v>-273.061000000001</v>
      </c>
      <c r="F44" s="103">
        <f>SUM(F27+F40+F41+F42+F26)</f>
        <v>-1444.533</v>
      </c>
      <c r="G44" s="103">
        <f>SUM(G27+G40+G41+G42+G26)</f>
        <v>2904.978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Model!W360</f>
        <v>11206.807</v>
      </c>
      <c r="E46" s="106">
        <f>Model!AB360</f>
        <v>11967.557</v>
      </c>
      <c r="F46" s="106">
        <f>Model!AG360</f>
        <v>16446.478</v>
      </c>
      <c r="G46" s="106">
        <f>Model!AL360</f>
        <v>12725.976</v>
      </c>
      <c r="H46" s="106" t="e">
        <f>Model!AQ360</f>
        <v>#DIV/0!</v>
      </c>
      <c r="I46" s="106" t="e">
        <f>Model!AV360</f>
        <v>#DIV/0!</v>
      </c>
      <c r="J46" s="106" t="e">
        <f>Model!BA360</f>
        <v>#DIV/0!</v>
      </c>
      <c r="K46" s="106" t="e">
        <f>Model!BF360</f>
        <v>#DIV/0!</v>
      </c>
      <c r="L46" s="106" t="e">
        <f>Model!BK360</f>
        <v>#DIV/0!</v>
      </c>
      <c r="M46" s="115" t="e">
        <f>Model!BP360</f>
        <v>#DIV/0!</v>
      </c>
      <c r="N46" s="115" t="e">
        <f>Model!BU360</f>
        <v>#DIV/0!</v>
      </c>
      <c r="O46" s="115" t="e">
        <f>Model!BZ360</f>
        <v>#DIV/0!</v>
      </c>
      <c r="P46" s="115" t="e">
        <f>Model!CE360</f>
        <v>#DIV/0!</v>
      </c>
      <c r="Q46" s="115" t="e">
        <f>Model!CJ360</f>
        <v>#DIV/0!</v>
      </c>
      <c r="R46" s="115" t="e">
        <f>Model!CO360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Model!W361</f>
        <v>11206.807</v>
      </c>
      <c r="E47" s="106">
        <f>Model!AB361</f>
        <v>11967.557</v>
      </c>
      <c r="F47" s="106">
        <f>Model!AG361</f>
        <v>16446.478</v>
      </c>
      <c r="G47" s="106">
        <f>Model!AL361</f>
        <v>12725.976</v>
      </c>
      <c r="H47" s="106" t="e">
        <f>Model!AQ361</f>
        <v>#DIV/0!</v>
      </c>
      <c r="I47" s="106" t="e">
        <f>Model!AV361</f>
        <v>#DIV/0!</v>
      </c>
      <c r="J47" s="106" t="e">
        <f>Model!BA361</f>
        <v>#DIV/0!</v>
      </c>
      <c r="K47" s="106" t="e">
        <f>Model!BF361</f>
        <v>#DIV/0!</v>
      </c>
      <c r="L47" s="106" t="e">
        <f>Model!BK361</f>
        <v>#DIV/0!</v>
      </c>
      <c r="M47" t="e">
        <f>Model!BP361</f>
        <v>#DIV/0!</v>
      </c>
      <c r="N47" t="e">
        <f>Model!BU361</f>
        <v>#DIV/0!</v>
      </c>
      <c r="O47" t="e">
        <f>Model!BZ361</f>
        <v>#DIV/0!</v>
      </c>
      <c r="P47" t="e">
        <f>Model!CE361</f>
        <v>#DIV/0!</v>
      </c>
      <c r="Q47" t="e">
        <f>Model!CJ361</f>
        <v>#DIV/0!</v>
      </c>
      <c r="R47" t="e">
        <f>Model!CO361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0.418576988528918</v>
      </c>
      <c r="E48" s="92">
        <f>E46/E18</f>
        <v>0.372990400097191</v>
      </c>
      <c r="F48" s="92">
        <f>F46/F18</f>
        <v>0.428021702731157</v>
      </c>
      <c r="G48" s="92">
        <f>G46/G18</f>
        <v>0.313693450135817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0.0623197760863171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2.38904676416753</v>
      </c>
      <c r="E51" s="124">
        <f>E18/E46</f>
        <v>2.68103414924199</v>
      </c>
      <c r="F51" s="124">
        <f>F18/F46</f>
        <v>2.3363301291012</v>
      </c>
      <c r="G51" s="124">
        <f>G18/G46</f>
        <v>3.18782556526775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369.097964786282</v>
      </c>
      <c r="E53" s="125">
        <f>E25+E44</f>
        <v>1487.97377020955</v>
      </c>
      <c r="F53" s="125">
        <f>F25+F44</f>
        <v>1677.90799644295</v>
      </c>
      <c r="G53" s="126">
        <f>(G25+G44)*stub_year_fraction</f>
        <v>992.681912480818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-0.37701182065343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2026-10-12T13:08:33Z</dcterms:modified>
  <cp:lastModifiedBy>Lucas Nascimento</cp:lastModifiedBy>
</cp:coreProperties>
</file>