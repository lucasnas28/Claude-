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elevered_beta">#REF!</definedName>
    <definedName name="risk_free_rate">#REF!</definedName>
    <definedName name="risk_premium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totalcap">#REF!</definedName>
    <definedName name="Useful_Life_of_Depreciable_PP_E">"PPElife"</definedName>
    <definedName name="wacc">#REF!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_(&quot;$&quot;* #,##0.00_);_(&quot;$&quot;* \(#,##0.00\);_(&quot;$&quot;* &quot;-&quot;??_);_(@_)"/>
    <numFmt numFmtId="187" formatCode="0_);\(0\)"/>
  </numFmts>
  <fonts count="2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6" fontId="3" fillId="0" borderId="0"/>
    <xf numFmtId="187" fontId="21" fillId="0" borderId="0"/>
  </cellStyleXfs>
  <cellXfs count="254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140625" customWidth="1" style="4" min="34" max="54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50" t="inlineStr">
        <is>
          <t>3Q26</t>
        </is>
      </c>
      <c r="AF2" s="50" t="inlineStr">
        <is>
          <t>4Q26</t>
        </is>
      </c>
      <c r="AG2" s="244" t="n">
        <v>2026</v>
      </c>
    </row>
    <row r="4">
      <c r="B4" s="46" t="n">
        <v>1</v>
      </c>
      <c r="C4" s="29" t="inlineStr">
        <is>
          <t>Net Revenues</t>
        </is>
      </c>
      <c r="D4" s="6" t="n"/>
      <c r="E4" s="6" t="n"/>
      <c r="F4" s="6" t="n"/>
      <c r="G4" s="6" t="n"/>
      <c r="H4" s="3">
        <f>SUM(D4:G4)</f>
        <v>0</v>
      </c>
      <c r="I4" s="6" t="n"/>
      <c r="J4" s="6" t="n"/>
      <c r="K4" s="6" t="n"/>
      <c r="L4" s="6" t="n"/>
      <c r="M4" s="3">
        <f>SUM(I4:L4)</f>
        <v>0</v>
      </c>
      <c r="N4" s="6" t="n"/>
      <c r="O4" s="6" t="n"/>
      <c r="P4" s="6" t="n"/>
      <c r="Q4" s="6" t="n"/>
      <c r="R4" s="3">
        <f>SUM(N4:Q4)</f>
        <v>0</v>
      </c>
      <c r="S4" s="6" t="n"/>
      <c r="T4" s="6" t="n"/>
      <c r="U4" s="6" t="n"/>
      <c r="V4" s="6" t="n"/>
      <c r="W4" s="3">
        <f>SUM(S4:V4)</f>
        <v>0</v>
      </c>
      <c r="X4" s="6" t="n"/>
      <c r="Y4" s="6" t="n"/>
      <c r="Z4" s="6" t="n"/>
      <c r="AA4" s="6" t="n"/>
      <c r="AB4" s="3">
        <f>SUM(X4:AA4)</f>
        <v>0</v>
      </c>
      <c r="AC4" s="6" t="n"/>
      <c r="AD4" s="6" t="n"/>
      <c r="AE4" s="6" t="n"/>
      <c r="AF4" s="6" t="n"/>
      <c r="AG4" s="3">
        <f>SUM(AC4:AF4)</f>
        <v>0</v>
      </c>
    </row>
    <row r="5">
      <c r="B5" s="46" t="n">
        <v>2</v>
      </c>
      <c r="C5" s="24" t="inlineStr">
        <is>
          <t>COGS (cash)</t>
        </is>
      </c>
      <c r="D5" s="6" t="n"/>
      <c r="E5" s="6" t="n"/>
      <c r="F5" s="6" t="n"/>
      <c r="G5" s="6" t="n"/>
      <c r="H5" s="3">
        <f>SUM(D5:G5)</f>
        <v>0</v>
      </c>
      <c r="I5" s="6" t="n"/>
      <c r="J5" s="6" t="n"/>
      <c r="K5" s="6" t="n"/>
      <c r="L5" s="6" t="n"/>
      <c r="M5" s="3">
        <f>SUM(I5:L5)</f>
        <v>0</v>
      </c>
      <c r="N5" s="6" t="n"/>
      <c r="O5" s="6" t="n"/>
      <c r="P5" s="6" t="n"/>
      <c r="Q5" s="6" t="n"/>
      <c r="R5" s="3">
        <f>SUM(N5:Q5)</f>
        <v>0</v>
      </c>
      <c r="S5" s="6" t="n"/>
      <c r="T5" s="6" t="n"/>
      <c r="U5" s="6" t="n"/>
      <c r="V5" s="6" t="n"/>
      <c r="W5" s="3">
        <f>SUM(S5:V5)</f>
        <v>0</v>
      </c>
      <c r="X5" s="6" t="n"/>
      <c r="Y5" s="6" t="n"/>
      <c r="Z5" s="6" t="n"/>
      <c r="AA5" s="6" t="n"/>
      <c r="AB5" s="3">
        <f>SUM(X5:AA5)</f>
        <v>0</v>
      </c>
      <c r="AC5" s="6" t="n"/>
      <c r="AD5" s="6" t="n"/>
      <c r="AE5" s="6" t="n"/>
      <c r="AF5" s="6" t="n"/>
      <c r="AG5" s="3">
        <f>SUM(AC5:AF5)</f>
        <v>0</v>
      </c>
    </row>
    <row r="6">
      <c r="B6" s="46" t="n">
        <v>3</v>
      </c>
      <c r="C6" s="24" t="inlineStr">
        <is>
          <t>SG&amp;A and Other (cash)</t>
        </is>
      </c>
      <c r="D6" s="6" t="n"/>
      <c r="E6" s="6" t="n"/>
      <c r="F6" s="6" t="n"/>
      <c r="G6" s="6" t="n"/>
      <c r="H6" s="3">
        <f>SUM(D6:G6)</f>
        <v>0</v>
      </c>
      <c r="I6" s="6" t="n"/>
      <c r="J6" s="6" t="n"/>
      <c r="K6" s="6" t="n"/>
      <c r="L6" s="6" t="n"/>
      <c r="M6" s="3">
        <f>SUM(I6:L6)</f>
        <v>0</v>
      </c>
      <c r="N6" s="6" t="n"/>
      <c r="O6" s="6" t="n"/>
      <c r="P6" s="6" t="n"/>
      <c r="Q6" s="6" t="n"/>
      <c r="R6" s="3">
        <f>SUM(N6:Q6)</f>
        <v>0</v>
      </c>
      <c r="S6" s="6" t="n"/>
      <c r="T6" s="6" t="n"/>
      <c r="U6" s="6" t="n"/>
      <c r="V6" s="6" t="n"/>
      <c r="W6" s="3">
        <f>SUM(S6:V6)</f>
        <v>0</v>
      </c>
      <c r="X6" s="6" t="n"/>
      <c r="Y6" s="6" t="n"/>
      <c r="Z6" s="6" t="n"/>
      <c r="AA6" s="6" t="n"/>
      <c r="AB6" s="3">
        <f>SUM(X6:AA6)</f>
        <v>0</v>
      </c>
      <c r="AC6" s="6" t="n"/>
      <c r="AD6" s="6" t="n"/>
      <c r="AE6" s="6" t="n"/>
      <c r="AF6" s="6" t="n"/>
      <c r="AG6" s="3">
        <f>SUM(AC6:AF6)</f>
        <v>0</v>
      </c>
    </row>
    <row r="7">
      <c r="B7" s="46" t="n">
        <v>4</v>
      </c>
      <c r="C7" s="24" t="inlineStr">
        <is>
          <t>D&amp;A</t>
        </is>
      </c>
      <c r="D7" s="6" t="n"/>
      <c r="E7" s="6" t="n"/>
      <c r="F7" s="6" t="n"/>
      <c r="G7" s="6" t="n"/>
      <c r="H7" s="3">
        <f>SUM(D7:G7)</f>
        <v>0</v>
      </c>
      <c r="I7" s="6" t="n"/>
      <c r="J7" s="6" t="n"/>
      <c r="K7" s="6" t="n"/>
      <c r="L7" s="6" t="n"/>
      <c r="M7" s="3">
        <f>SUM(I7:L7)</f>
        <v>0</v>
      </c>
      <c r="N7" s="6" t="n"/>
      <c r="O7" s="6" t="n"/>
      <c r="P7" s="6" t="n"/>
      <c r="Q7" s="6" t="n"/>
      <c r="R7" s="3">
        <f>SUM(N7:Q7)</f>
        <v>0</v>
      </c>
      <c r="S7" s="6" t="n"/>
      <c r="T7" s="6" t="n"/>
      <c r="U7" s="6" t="n"/>
      <c r="V7" s="6" t="n"/>
      <c r="W7" s="3">
        <f>SUM(S7:V7)</f>
        <v>0</v>
      </c>
      <c r="X7" s="6" t="n"/>
      <c r="Y7" s="6" t="n"/>
      <c r="Z7" s="6" t="n"/>
      <c r="AA7" s="6" t="n"/>
      <c r="AB7" s="3">
        <f>SUM(X7:AA7)</f>
        <v>0</v>
      </c>
      <c r="AC7" s="6" t="n"/>
      <c r="AD7" s="6" t="n"/>
      <c r="AE7" s="6" t="n"/>
      <c r="AF7" s="6" t="n"/>
      <c r="AG7" s="3">
        <f>SUM(AC7:AF7)</f>
        <v>0</v>
      </c>
    </row>
    <row r="8">
      <c r="B8" s="46" t="n">
        <v>5</v>
      </c>
      <c r="C8" s="26" t="inlineStr">
        <is>
          <t>Interest Expense</t>
        </is>
      </c>
      <c r="D8" s="6" t="n"/>
      <c r="E8" s="6" t="n"/>
      <c r="F8" s="6" t="n"/>
      <c r="G8" s="6" t="n"/>
      <c r="H8" s="3">
        <f>SUM(D8:G8)</f>
        <v>0</v>
      </c>
      <c r="I8" s="6" t="n"/>
      <c r="J8" s="6" t="n"/>
      <c r="K8" s="6" t="n"/>
      <c r="L8" s="6" t="n"/>
      <c r="M8" s="3">
        <f>SUM(I8:L8)</f>
        <v>0</v>
      </c>
      <c r="N8" s="6" t="n"/>
      <c r="O8" s="6" t="n"/>
      <c r="P8" s="6" t="n"/>
      <c r="Q8" s="6" t="n"/>
      <c r="R8" s="3">
        <f>SUM(N8:Q8)</f>
        <v>0</v>
      </c>
      <c r="S8" s="6" t="n"/>
      <c r="T8" s="6" t="n"/>
      <c r="U8" s="6" t="n"/>
      <c r="V8" s="6" t="n"/>
      <c r="W8" s="3">
        <f>SUM(S8:V8)</f>
        <v>0</v>
      </c>
      <c r="X8" s="6" t="n"/>
      <c r="Y8" s="6" t="n"/>
      <c r="Z8" s="6" t="n"/>
      <c r="AA8" s="6" t="n"/>
      <c r="AB8" s="3">
        <f>SUM(X8:AA8)</f>
        <v>0</v>
      </c>
      <c r="AC8" s="6" t="n"/>
      <c r="AD8" s="6" t="n"/>
      <c r="AE8" s="6" t="n"/>
      <c r="AF8" s="6" t="n"/>
      <c r="AG8" s="3">
        <f>SUM(AC8:AF8)</f>
        <v>0</v>
      </c>
    </row>
    <row r="9">
      <c r="B9" s="46" t="n">
        <v>6</v>
      </c>
      <c r="C9" s="26" t="inlineStr">
        <is>
          <t>Nonoperating Income / (Loss)</t>
        </is>
      </c>
      <c r="D9" s="6" t="n"/>
      <c r="E9" s="6" t="n"/>
      <c r="F9" s="6" t="n"/>
      <c r="G9" s="6" t="n"/>
      <c r="H9" s="3">
        <f>SUM(D9:G9)</f>
        <v>0</v>
      </c>
      <c r="I9" s="6" t="n"/>
      <c r="J9" s="6" t="n"/>
      <c r="K9" s="6" t="n"/>
      <c r="L9" s="6" t="n"/>
      <c r="M9" s="3">
        <f>SUM(I9:L9)</f>
        <v>0</v>
      </c>
      <c r="N9" s="6" t="n"/>
      <c r="O9" s="6" t="n"/>
      <c r="P9" s="6" t="n"/>
      <c r="Q9" s="6" t="n"/>
      <c r="R9" s="3">
        <f>SUM(N9:Q9)</f>
        <v>0</v>
      </c>
      <c r="S9" s="6" t="n"/>
      <c r="T9" s="6" t="n"/>
      <c r="U9" s="6" t="n"/>
      <c r="V9" s="6" t="n"/>
      <c r="W9" s="3">
        <f>SUM(S9:V9)</f>
        <v>0</v>
      </c>
      <c r="X9" s="6" t="n"/>
      <c r="Y9" s="6" t="n"/>
      <c r="Z9" s="6" t="n"/>
      <c r="AA9" s="6" t="n"/>
      <c r="AB9" s="3">
        <f>SUM(X9:AA9)</f>
        <v>0</v>
      </c>
      <c r="AC9" s="6" t="n"/>
      <c r="AD9" s="6" t="n"/>
      <c r="AE9" s="6" t="n"/>
      <c r="AF9" s="6" t="n"/>
      <c r="AG9" s="3">
        <f>SUM(AC9:AF9)</f>
        <v>0</v>
      </c>
    </row>
    <row r="10">
      <c r="B10" s="46" t="n">
        <v>7</v>
      </c>
      <c r="C10" s="26" t="inlineStr">
        <is>
          <t>Taxes</t>
        </is>
      </c>
      <c r="D10" s="6" t="n"/>
      <c r="E10" s="6" t="n"/>
      <c r="F10" s="6" t="n"/>
      <c r="G10" s="6" t="n"/>
      <c r="H10" s="3">
        <f>SUM(D10:G10)</f>
        <v>0</v>
      </c>
      <c r="I10" s="6" t="n"/>
      <c r="J10" s="6" t="n"/>
      <c r="K10" s="6" t="n"/>
      <c r="L10" s="6" t="n"/>
      <c r="M10" s="3">
        <f>SUM(I10:L10)</f>
        <v>0</v>
      </c>
      <c r="N10" s="6" t="n"/>
      <c r="O10" s="6" t="n"/>
      <c r="P10" s="6" t="n"/>
      <c r="Q10" s="6" t="n"/>
      <c r="R10" s="3">
        <f>SUM(N10:Q10)</f>
        <v>0</v>
      </c>
      <c r="S10" s="6" t="n"/>
      <c r="T10" s="6" t="n"/>
      <c r="U10" s="6" t="n"/>
      <c r="V10" s="6" t="n"/>
      <c r="W10" s="3">
        <f>SUM(S10:V10)</f>
        <v>0</v>
      </c>
      <c r="X10" s="6" t="n"/>
      <c r="Y10" s="6" t="n"/>
      <c r="Z10" s="6" t="n"/>
      <c r="AA10" s="6" t="n"/>
      <c r="AB10" s="3">
        <f>SUM(X10:AA10)</f>
        <v>0</v>
      </c>
      <c r="AC10" s="6" t="n"/>
      <c r="AD10" s="6" t="n"/>
      <c r="AE10" s="6" t="n"/>
      <c r="AF10" s="6" t="n"/>
      <c r="AG10" s="3">
        <f>SUM(AC10:AF10)</f>
        <v>0</v>
      </c>
    </row>
    <row r="11">
      <c r="B11" s="46" t="n">
        <v>8</v>
      </c>
      <c r="C11" s="26" t="inlineStr">
        <is>
          <t>Equity in Income of Affiliates, after tax (enter as +)</t>
        </is>
      </c>
      <c r="D11" s="6" t="n"/>
      <c r="E11" s="6" t="n"/>
      <c r="F11" s="6" t="n"/>
      <c r="G11" s="6" t="n"/>
      <c r="H11" s="3">
        <f>SUM(D11:G11)</f>
        <v>0</v>
      </c>
      <c r="I11" s="6" t="n"/>
      <c r="J11" s="6" t="n"/>
      <c r="K11" s="6" t="n"/>
      <c r="L11" s="6" t="n"/>
      <c r="M11" s="3">
        <f>SUM(I11:L11)</f>
        <v>0</v>
      </c>
      <c r="N11" s="6" t="n"/>
      <c r="O11" s="6" t="n"/>
      <c r="P11" s="6" t="n"/>
      <c r="Q11" s="6" t="n"/>
      <c r="R11" s="3">
        <f>SUM(N11:Q11)</f>
        <v>0</v>
      </c>
      <c r="S11" s="6" t="n"/>
      <c r="T11" s="6" t="n"/>
      <c r="U11" s="6" t="n"/>
      <c r="V11" s="6" t="n"/>
      <c r="W11" s="3">
        <f>SUM(S11:V11)</f>
        <v>0</v>
      </c>
      <c r="X11" s="6" t="n"/>
      <c r="Y11" s="6" t="n"/>
      <c r="Z11" s="6" t="n"/>
      <c r="AA11" s="6" t="n"/>
      <c r="AB11" s="3">
        <f>SUM(X11:AA11)</f>
        <v>0</v>
      </c>
      <c r="AC11" s="6" t="n"/>
      <c r="AD11" s="6" t="n"/>
      <c r="AE11" s="6" t="n"/>
      <c r="AF11" s="6" t="n"/>
      <c r="AG11" s="3">
        <f>SUM(AC11:AF11)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 t="n"/>
      <c r="E12" s="6" t="n"/>
      <c r="F12" s="6" t="n"/>
      <c r="G12" s="6" t="n"/>
      <c r="H12" s="3">
        <f>SUM(D12:G12)</f>
        <v>0</v>
      </c>
      <c r="I12" s="6" t="n"/>
      <c r="J12" s="6" t="n"/>
      <c r="K12" s="6" t="n"/>
      <c r="L12" s="6" t="n"/>
      <c r="M12" s="3">
        <f>SUM(I12:L12)</f>
        <v>0</v>
      </c>
      <c r="N12" s="6" t="n"/>
      <c r="O12" s="6" t="n"/>
      <c r="P12" s="6" t="n"/>
      <c r="Q12" s="6" t="n"/>
      <c r="R12" s="3">
        <f>SUM(N12:Q12)</f>
        <v>0</v>
      </c>
      <c r="S12" s="6" t="n"/>
      <c r="T12" s="6" t="n"/>
      <c r="U12" s="6" t="n"/>
      <c r="V12" s="6" t="n"/>
      <c r="W12" s="3">
        <f>SUM(S12:V12)</f>
        <v>0</v>
      </c>
      <c r="X12" s="6" t="n"/>
      <c r="Y12" s="6" t="n"/>
      <c r="Z12" s="6" t="n"/>
      <c r="AA12" s="6" t="n"/>
      <c r="AB12" s="3">
        <f>SUM(X12:AA12)</f>
        <v>0</v>
      </c>
      <c r="AC12" s="6" t="n"/>
      <c r="AD12" s="6" t="n"/>
      <c r="AE12" s="6" t="n"/>
      <c r="AF12" s="6" t="n"/>
      <c r="AG12" s="3">
        <f>SUM(AC12:AF12)</f>
        <v>0</v>
      </c>
    </row>
    <row r="13">
      <c r="B13" s="46" t="n">
        <v>10</v>
      </c>
      <c r="C13" s="24" t="inlineStr">
        <is>
          <t>Common Dividends</t>
        </is>
      </c>
      <c r="D13" s="6" t="n"/>
      <c r="E13" s="6" t="n"/>
      <c r="F13" s="6" t="n"/>
      <c r="G13" s="6" t="n"/>
      <c r="H13" s="3">
        <f>SUM(D13:G13)</f>
        <v>0</v>
      </c>
      <c r="I13" s="6" t="n"/>
      <c r="J13" s="6" t="n"/>
      <c r="K13" s="6" t="n"/>
      <c r="L13" s="6" t="n"/>
      <c r="M13" s="3">
        <f>SUM(I13:L13)</f>
        <v>0</v>
      </c>
      <c r="N13" s="6" t="n"/>
      <c r="O13" s="6" t="n"/>
      <c r="P13" s="6" t="n"/>
      <c r="Q13" s="6" t="n"/>
      <c r="R13" s="3">
        <f>SUM(N13:Q13)</f>
        <v>0</v>
      </c>
      <c r="S13" s="6" t="n"/>
      <c r="T13" s="6" t="n"/>
      <c r="U13" s="6" t="n"/>
      <c r="V13" s="6" t="n"/>
      <c r="W13" s="3">
        <f>SUM(S13:V13)</f>
        <v>0</v>
      </c>
      <c r="X13" s="6" t="n"/>
      <c r="Y13" s="6" t="n"/>
      <c r="Z13" s="6" t="n"/>
      <c r="AA13" s="6" t="n"/>
      <c r="AB13" s="3">
        <f>SUM(X13:AA13)</f>
        <v>0</v>
      </c>
      <c r="AC13" s="6" t="n"/>
      <c r="AD13" s="6" t="n"/>
      <c r="AE13" s="6" t="n"/>
      <c r="AF13" s="6" t="n"/>
      <c r="AG13" s="3">
        <f>SUM(AC13:AF13)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 t="n"/>
      <c r="E15" s="6" t="n"/>
      <c r="F15" s="6" t="n"/>
      <c r="G15" s="6" t="n"/>
      <c r="H15" s="3">
        <f>G15</f>
        <v>0</v>
      </c>
      <c r="I15" s="6" t="n"/>
      <c r="J15" s="6" t="n"/>
      <c r="K15" s="6" t="n"/>
      <c r="L15" s="6" t="n"/>
      <c r="M15" s="3">
        <f>L15</f>
        <v>0</v>
      </c>
      <c r="N15" s="6" t="n"/>
      <c r="O15" s="6" t="n"/>
      <c r="P15" s="6" t="n"/>
      <c r="Q15" s="6" t="n"/>
      <c r="R15" s="3">
        <f>Q15</f>
        <v>0</v>
      </c>
      <c r="S15" s="6" t="n"/>
      <c r="T15" s="6" t="n"/>
      <c r="U15" s="6" t="n"/>
      <c r="V15" s="6" t="n"/>
      <c r="W15" s="3">
        <f>V15</f>
        <v>0</v>
      </c>
      <c r="X15" s="6" t="n"/>
      <c r="Y15" s="6" t="n"/>
      <c r="Z15" s="6" t="n"/>
      <c r="AA15" s="6" t="n"/>
      <c r="AB15" s="3">
        <f>AA15</f>
        <v>0</v>
      </c>
      <c r="AC15" s="6" t="n"/>
      <c r="AD15" s="6" t="n"/>
      <c r="AE15" s="6" t="n"/>
      <c r="AF15" s="6" t="n"/>
      <c r="AG15" s="3">
        <f>AF15</f>
        <v>0</v>
      </c>
    </row>
    <row r="16">
      <c r="B16" s="46" t="n">
        <v>12</v>
      </c>
      <c r="C16" s="26" t="inlineStr">
        <is>
          <t>Accounts receivable</t>
        </is>
      </c>
      <c r="D16" s="6" t="n"/>
      <c r="E16" s="6" t="n"/>
      <c r="F16" s="6" t="n"/>
      <c r="G16" s="6" t="n"/>
      <c r="H16" s="3">
        <f>G16</f>
        <v>0</v>
      </c>
      <c r="I16" s="6" t="n"/>
      <c r="J16" s="6" t="n"/>
      <c r="K16" s="6" t="n"/>
      <c r="L16" s="6" t="n"/>
      <c r="M16" s="3">
        <f>L16</f>
        <v>0</v>
      </c>
      <c r="N16" s="6" t="n"/>
      <c r="O16" s="6" t="n"/>
      <c r="P16" s="6" t="n"/>
      <c r="Q16" s="6" t="n"/>
      <c r="R16" s="3">
        <f>Q16</f>
        <v>0</v>
      </c>
      <c r="S16" s="6" t="n"/>
      <c r="T16" s="6" t="n"/>
      <c r="U16" s="6" t="n"/>
      <c r="V16" s="6" t="n"/>
      <c r="W16" s="3">
        <f>V16</f>
        <v>0</v>
      </c>
      <c r="X16" s="6" t="n"/>
      <c r="Y16" s="6" t="n"/>
      <c r="Z16" s="6" t="n"/>
      <c r="AA16" s="6" t="n"/>
      <c r="AB16" s="3">
        <f>AA16</f>
        <v>0</v>
      </c>
      <c r="AC16" s="6" t="n"/>
      <c r="AD16" s="6" t="n"/>
      <c r="AE16" s="6" t="n"/>
      <c r="AF16" s="6" t="n"/>
      <c r="AG16" s="3">
        <f>AF16</f>
        <v>0</v>
      </c>
    </row>
    <row r="17">
      <c r="B17" s="46" t="n">
        <v>13</v>
      </c>
      <c r="C17" s="26" t="inlineStr">
        <is>
          <t>Inventories</t>
        </is>
      </c>
      <c r="D17" s="6" t="n"/>
      <c r="E17" s="6" t="n"/>
      <c r="F17" s="6" t="n"/>
      <c r="G17" s="6" t="n"/>
      <c r="H17" s="3">
        <f>G17</f>
        <v>0</v>
      </c>
      <c r="I17" s="6" t="n"/>
      <c r="J17" s="6" t="n"/>
      <c r="K17" s="6" t="n"/>
      <c r="L17" s="6" t="n"/>
      <c r="M17" s="3">
        <f>L17</f>
        <v>0</v>
      </c>
      <c r="N17" s="6" t="n"/>
      <c r="O17" s="6" t="n"/>
      <c r="P17" s="6" t="n"/>
      <c r="Q17" s="6" t="n"/>
      <c r="R17" s="3">
        <f>Q17</f>
        <v>0</v>
      </c>
      <c r="S17" s="6" t="n"/>
      <c r="T17" s="6" t="n"/>
      <c r="U17" s="6" t="n"/>
      <c r="V17" s="6" t="n"/>
      <c r="W17" s="3">
        <f>V17</f>
        <v>0</v>
      </c>
      <c r="X17" s="6" t="n"/>
      <c r="Y17" s="6" t="n"/>
      <c r="Z17" s="6" t="n"/>
      <c r="AA17" s="6" t="n"/>
      <c r="AB17" s="3">
        <f>AA17</f>
        <v>0</v>
      </c>
      <c r="AC17" s="6" t="n"/>
      <c r="AD17" s="6" t="n"/>
      <c r="AE17" s="6" t="n"/>
      <c r="AF17" s="6" t="n"/>
      <c r="AG17" s="3">
        <f>AF17</f>
        <v>0</v>
      </c>
    </row>
    <row r="18">
      <c r="B18" s="46" t="n">
        <v>14</v>
      </c>
      <c r="C18" s="26" t="inlineStr">
        <is>
          <t>Deferred income taxes</t>
        </is>
      </c>
      <c r="D18" s="6" t="n"/>
      <c r="E18" s="6" t="n"/>
      <c r="F18" s="6" t="n"/>
      <c r="G18" s="6" t="n"/>
      <c r="H18" s="3">
        <f>G18</f>
        <v>0</v>
      </c>
      <c r="I18" s="6" t="n"/>
      <c r="J18" s="6" t="n"/>
      <c r="K18" s="6" t="n"/>
      <c r="L18" s="6" t="n"/>
      <c r="M18" s="3">
        <f>L18</f>
        <v>0</v>
      </c>
      <c r="N18" s="6" t="n"/>
      <c r="O18" s="6" t="n"/>
      <c r="P18" s="6" t="n"/>
      <c r="Q18" s="6" t="n"/>
      <c r="R18" s="3">
        <f>Q18</f>
        <v>0</v>
      </c>
      <c r="S18" s="6" t="n"/>
      <c r="T18" s="6" t="n"/>
      <c r="U18" s="6" t="n"/>
      <c r="V18" s="6" t="n"/>
      <c r="W18" s="3">
        <f>V18</f>
        <v>0</v>
      </c>
      <c r="X18" s="6" t="n"/>
      <c r="Y18" s="6" t="n"/>
      <c r="Z18" s="6" t="n"/>
      <c r="AA18" s="6" t="n"/>
      <c r="AB18" s="3">
        <f>AA18</f>
        <v>0</v>
      </c>
      <c r="AC18" s="6" t="n"/>
      <c r="AD18" s="6" t="n"/>
      <c r="AE18" s="6" t="n"/>
      <c r="AF18" s="6" t="n"/>
      <c r="AG18" s="3">
        <f>AF18</f>
        <v>0</v>
      </c>
    </row>
    <row r="19">
      <c r="B19" s="46" t="n">
        <v>15</v>
      </c>
      <c r="C19" s="26" t="inlineStr">
        <is>
          <t>Prepaid expenses</t>
        </is>
      </c>
      <c r="D19" s="6" t="n"/>
      <c r="E19" s="6" t="n"/>
      <c r="F19" s="6" t="n"/>
      <c r="G19" s="6" t="n"/>
      <c r="H19" s="3">
        <f>G19</f>
        <v>0</v>
      </c>
      <c r="I19" s="6" t="n"/>
      <c r="J19" s="6" t="n"/>
      <c r="K19" s="6" t="n"/>
      <c r="L19" s="6" t="n"/>
      <c r="M19" s="3">
        <f>L19</f>
        <v>0</v>
      </c>
      <c r="N19" s="6" t="n"/>
      <c r="O19" s="6" t="n"/>
      <c r="P19" s="6" t="n"/>
      <c r="Q19" s="6" t="n"/>
      <c r="R19" s="3">
        <f>Q19</f>
        <v>0</v>
      </c>
      <c r="S19" s="6" t="n"/>
      <c r="T19" s="6" t="n"/>
      <c r="U19" s="6" t="n"/>
      <c r="V19" s="6" t="n"/>
      <c r="W19" s="3">
        <f>V19</f>
        <v>0</v>
      </c>
      <c r="X19" s="6" t="n"/>
      <c r="Y19" s="6" t="n"/>
      <c r="Z19" s="6" t="n"/>
      <c r="AA19" s="6" t="n"/>
      <c r="AB19" s="3">
        <f>AA19</f>
        <v>0</v>
      </c>
      <c r="AC19" s="6" t="n"/>
      <c r="AD19" s="6" t="n"/>
      <c r="AE19" s="6" t="n"/>
      <c r="AF19" s="6" t="n"/>
      <c r="AG19" s="3">
        <f>AF19</f>
        <v>0</v>
      </c>
    </row>
    <row r="20">
      <c r="B20" s="46" t="n">
        <v>16</v>
      </c>
      <c r="C20" s="26" t="inlineStr">
        <is>
          <t>Other current assets</t>
        </is>
      </c>
      <c r="D20" s="6" t="n"/>
      <c r="E20" s="6" t="n"/>
      <c r="F20" s="6" t="n"/>
      <c r="G20" s="6" t="n"/>
      <c r="H20" s="3">
        <f>G20</f>
        <v>0</v>
      </c>
      <c r="I20" s="6" t="n"/>
      <c r="J20" s="6" t="n"/>
      <c r="K20" s="6" t="n"/>
      <c r="L20" s="6" t="n"/>
      <c r="M20" s="3">
        <f>L20</f>
        <v>0</v>
      </c>
      <c r="N20" s="6" t="n"/>
      <c r="O20" s="6" t="n"/>
      <c r="P20" s="6" t="n"/>
      <c r="Q20" s="6" t="n"/>
      <c r="R20" s="3">
        <f>Q20</f>
        <v>0</v>
      </c>
      <c r="S20" s="6" t="n"/>
      <c r="T20" s="6" t="n"/>
      <c r="U20" s="6" t="n"/>
      <c r="V20" s="6" t="n"/>
      <c r="W20" s="3">
        <f>V20</f>
        <v>0</v>
      </c>
      <c r="X20" s="6" t="n"/>
      <c r="Y20" s="6" t="n"/>
      <c r="Z20" s="6" t="n"/>
      <c r="AA20" s="6" t="n"/>
      <c r="AB20" s="3">
        <f>AA20</f>
        <v>0</v>
      </c>
      <c r="AC20" s="6" t="n"/>
      <c r="AD20" s="6" t="n"/>
      <c r="AE20" s="6" t="n"/>
      <c r="AF20" s="6" t="n"/>
      <c r="AG20" s="3">
        <f>AF20</f>
        <v>0</v>
      </c>
    </row>
    <row r="21">
      <c r="B21" s="46" t="n">
        <v>17</v>
      </c>
      <c r="C21" s="26" t="inlineStr">
        <is>
          <t>Equity in affiliates</t>
        </is>
      </c>
      <c r="D21" s="6" t="n"/>
      <c r="E21" s="6" t="n"/>
      <c r="F21" s="6" t="n"/>
      <c r="G21" s="6" t="n"/>
      <c r="H21" s="3">
        <f>G21</f>
        <v>0</v>
      </c>
      <c r="I21" s="6" t="n"/>
      <c r="J21" s="6" t="n"/>
      <c r="K21" s="6" t="n"/>
      <c r="L21" s="6" t="n"/>
      <c r="M21" s="3">
        <f>L21</f>
        <v>0</v>
      </c>
      <c r="N21" s="6" t="n"/>
      <c r="O21" s="6" t="n"/>
      <c r="P21" s="6" t="n"/>
      <c r="Q21" s="6" t="n"/>
      <c r="R21" s="3">
        <f>Q21</f>
        <v>0</v>
      </c>
      <c r="S21" s="6" t="n"/>
      <c r="T21" s="6" t="n"/>
      <c r="U21" s="6" t="n"/>
      <c r="V21" s="6" t="n"/>
      <c r="W21" s="3">
        <f>V21</f>
        <v>0</v>
      </c>
      <c r="X21" s="6" t="n"/>
      <c r="Y21" s="6" t="n"/>
      <c r="Z21" s="6" t="n"/>
      <c r="AA21" s="6" t="n"/>
      <c r="AB21" s="3">
        <f>AA21</f>
        <v>0</v>
      </c>
      <c r="AC21" s="6" t="n"/>
      <c r="AD21" s="6" t="n"/>
      <c r="AE21" s="6" t="n"/>
      <c r="AF21" s="6" t="n"/>
      <c r="AG21" s="3">
        <f>AF21</f>
        <v>0</v>
      </c>
    </row>
    <row r="22">
      <c r="B22" s="46" t="n">
        <v>18</v>
      </c>
      <c r="C22" s="26" t="inlineStr">
        <is>
          <t>PP&amp;E</t>
        </is>
      </c>
      <c r="D22" s="6" t="n"/>
      <c r="E22" s="6" t="n"/>
      <c r="F22" s="6" t="n"/>
      <c r="G22" s="6" t="n"/>
      <c r="H22" s="3">
        <f>G22</f>
        <v>0</v>
      </c>
      <c r="I22" s="6" t="n"/>
      <c r="J22" s="6" t="n"/>
      <c r="K22" s="6" t="n"/>
      <c r="L22" s="6" t="n"/>
      <c r="M22" s="3">
        <f>L22</f>
        <v>0</v>
      </c>
      <c r="N22" s="6" t="n"/>
      <c r="O22" s="6" t="n"/>
      <c r="P22" s="6" t="n"/>
      <c r="Q22" s="6" t="n"/>
      <c r="R22" s="3">
        <f>Q22</f>
        <v>0</v>
      </c>
      <c r="S22" s="6" t="n"/>
      <c r="T22" s="6" t="n"/>
      <c r="U22" s="6" t="n"/>
      <c r="V22" s="6" t="n"/>
      <c r="W22" s="3">
        <f>V22</f>
        <v>0</v>
      </c>
      <c r="X22" s="6" t="n"/>
      <c r="Y22" s="6" t="n"/>
      <c r="Z22" s="6" t="n"/>
      <c r="AA22" s="6" t="n"/>
      <c r="AB22" s="3">
        <f>AA22</f>
        <v>0</v>
      </c>
      <c r="AC22" s="6" t="n"/>
      <c r="AD22" s="6" t="n"/>
      <c r="AE22" s="6" t="n"/>
      <c r="AF22" s="6" t="n"/>
      <c r="AG22" s="3">
        <f>AF22</f>
        <v>0</v>
      </c>
    </row>
    <row r="23">
      <c r="B23" s="46" t="n">
        <v>19</v>
      </c>
      <c r="C23" s="26" t="inlineStr">
        <is>
          <t>Right-of-use-assets</t>
        </is>
      </c>
      <c r="D23" s="6" t="n"/>
      <c r="E23" s="6" t="n"/>
      <c r="F23" s="6" t="n"/>
      <c r="G23" s="6" t="n"/>
      <c r="H23" s="3">
        <f>G23</f>
        <v>0</v>
      </c>
      <c r="I23" s="6" t="n"/>
      <c r="J23" s="6" t="n"/>
      <c r="K23" s="6" t="n"/>
      <c r="L23" s="6" t="n"/>
      <c r="M23" s="3">
        <f>L23</f>
        <v>0</v>
      </c>
      <c r="N23" s="6" t="n"/>
      <c r="O23" s="6" t="n"/>
      <c r="P23" s="6" t="n"/>
      <c r="Q23" s="6" t="n"/>
      <c r="R23" s="3">
        <f>Q23</f>
        <v>0</v>
      </c>
      <c r="S23" s="6" t="n"/>
      <c r="T23" s="6" t="n"/>
      <c r="U23" s="6" t="n"/>
      <c r="V23" s="6" t="n"/>
      <c r="W23" s="3">
        <f>V23</f>
        <v>0</v>
      </c>
      <c r="X23" s="6" t="n"/>
      <c r="Y23" s="6" t="n"/>
      <c r="Z23" s="6" t="n"/>
      <c r="AA23" s="6" t="n"/>
      <c r="AB23" s="3">
        <f>AA23</f>
        <v>0</v>
      </c>
      <c r="AC23" s="6" t="n"/>
      <c r="AD23" s="6" t="n"/>
      <c r="AE23" s="6" t="n"/>
      <c r="AF23" s="6" t="n"/>
      <c r="AG23" s="3">
        <f>AF23</f>
        <v>0</v>
      </c>
    </row>
    <row r="24">
      <c r="B24" s="46" t="n">
        <v>20</v>
      </c>
      <c r="C24" s="26" t="inlineStr">
        <is>
          <t>Goodwill</t>
        </is>
      </c>
      <c r="D24" s="6" t="n"/>
      <c r="E24" s="6" t="n"/>
      <c r="F24" s="6" t="n"/>
      <c r="G24" s="6" t="n"/>
      <c r="H24" s="3">
        <f>G24</f>
        <v>0</v>
      </c>
      <c r="I24" s="6" t="n"/>
      <c r="J24" s="6" t="n"/>
      <c r="K24" s="6" t="n"/>
      <c r="L24" s="6" t="n"/>
      <c r="M24" s="3">
        <f>L24</f>
        <v>0</v>
      </c>
      <c r="N24" s="6" t="n"/>
      <c r="O24" s="6" t="n"/>
      <c r="P24" s="6" t="n"/>
      <c r="Q24" s="6" t="n"/>
      <c r="R24" s="3">
        <f>Q24</f>
        <v>0</v>
      </c>
      <c r="S24" s="6" t="n"/>
      <c r="T24" s="6" t="n"/>
      <c r="U24" s="6" t="n"/>
      <c r="V24" s="6" t="n"/>
      <c r="W24" s="3">
        <f>V24</f>
        <v>0</v>
      </c>
      <c r="X24" s="6" t="n"/>
      <c r="Y24" s="6" t="n"/>
      <c r="Z24" s="6" t="n"/>
      <c r="AA24" s="6" t="n"/>
      <c r="AB24" s="3">
        <f>AA24</f>
        <v>0</v>
      </c>
      <c r="AC24" s="6" t="n"/>
      <c r="AD24" s="6" t="n"/>
      <c r="AE24" s="6" t="n"/>
      <c r="AF24" s="6" t="n"/>
      <c r="AG24" s="3">
        <f>AF24</f>
        <v>0</v>
      </c>
    </row>
    <row r="25">
      <c r="B25" s="46" t="n">
        <v>21</v>
      </c>
      <c r="C25" s="26" t="inlineStr">
        <is>
          <t>Intangibles</t>
        </is>
      </c>
      <c r="D25" s="6" t="n"/>
      <c r="E25" s="6" t="n"/>
      <c r="F25" s="6" t="n"/>
      <c r="G25" s="6" t="n"/>
      <c r="H25" s="3">
        <f>G25</f>
        <v>0</v>
      </c>
      <c r="I25" s="6" t="n"/>
      <c r="J25" s="6" t="n"/>
      <c r="K25" s="6" t="n"/>
      <c r="L25" s="6" t="n"/>
      <c r="M25" s="3">
        <f>L25</f>
        <v>0</v>
      </c>
      <c r="N25" s="6" t="n"/>
      <c r="O25" s="6" t="n"/>
      <c r="P25" s="6" t="n"/>
      <c r="Q25" s="6" t="n"/>
      <c r="R25" s="3">
        <f>Q25</f>
        <v>0</v>
      </c>
      <c r="S25" s="6" t="n"/>
      <c r="T25" s="6" t="n"/>
      <c r="U25" s="6" t="n"/>
      <c r="V25" s="6" t="n"/>
      <c r="W25" s="3">
        <f>V25</f>
        <v>0</v>
      </c>
      <c r="X25" s="6" t="n"/>
      <c r="Y25" s="6" t="n"/>
      <c r="Z25" s="6" t="n"/>
      <c r="AA25" s="6" t="n"/>
      <c r="AB25" s="3">
        <f>AA25</f>
        <v>0</v>
      </c>
      <c r="AC25" s="6" t="n"/>
      <c r="AD25" s="6" t="n"/>
      <c r="AE25" s="6" t="n"/>
      <c r="AF25" s="6" t="n"/>
      <c r="AG25" s="3">
        <f>AF25</f>
        <v>0</v>
      </c>
    </row>
    <row r="26">
      <c r="B26" s="46" t="n">
        <v>22</v>
      </c>
      <c r="C26" s="26" t="inlineStr">
        <is>
          <t>Other non-current assets</t>
        </is>
      </c>
      <c r="D26" s="6" t="n"/>
      <c r="E26" s="6" t="n"/>
      <c r="F26" s="6" t="n"/>
      <c r="G26" s="6" t="n"/>
      <c r="H26" s="3">
        <f>G26</f>
        <v>0</v>
      </c>
      <c r="I26" s="6" t="n"/>
      <c r="J26" s="6" t="n"/>
      <c r="K26" s="6" t="n"/>
      <c r="L26" s="6" t="n"/>
      <c r="M26" s="3">
        <f>L26</f>
        <v>0</v>
      </c>
      <c r="N26" s="6" t="n"/>
      <c r="O26" s="6" t="n"/>
      <c r="P26" s="6" t="n"/>
      <c r="Q26" s="6" t="n"/>
      <c r="R26" s="3">
        <f>Q26</f>
        <v>0</v>
      </c>
      <c r="S26" s="6" t="n"/>
      <c r="T26" s="6" t="n"/>
      <c r="U26" s="6" t="n"/>
      <c r="V26" s="6" t="n"/>
      <c r="W26" s="3">
        <f>V26</f>
        <v>0</v>
      </c>
      <c r="X26" s="6" t="n"/>
      <c r="Y26" s="6" t="n"/>
      <c r="Z26" s="6" t="n"/>
      <c r="AA26" s="6" t="n"/>
      <c r="AB26" s="3">
        <f>AA26</f>
        <v>0</v>
      </c>
      <c r="AC26" s="6" t="n"/>
      <c r="AD26" s="6" t="n"/>
      <c r="AE26" s="6" t="n"/>
      <c r="AF26" s="6" t="n"/>
      <c r="AG26" s="3">
        <f>AF26</f>
        <v>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 t="n"/>
      <c r="E28" s="6" t="n"/>
      <c r="F28" s="6" t="n"/>
      <c r="G28" s="6" t="n"/>
      <c r="H28" s="3">
        <f>G28</f>
        <v>0</v>
      </c>
      <c r="I28" s="6" t="n"/>
      <c r="J28" s="6" t="n"/>
      <c r="K28" s="6" t="n"/>
      <c r="L28" s="6" t="n"/>
      <c r="M28" s="3">
        <f>L28</f>
        <v>0</v>
      </c>
      <c r="N28" s="6" t="n"/>
      <c r="O28" s="6" t="n"/>
      <c r="P28" s="6" t="n"/>
      <c r="Q28" s="6" t="n"/>
      <c r="R28" s="3">
        <f>Q28</f>
        <v>0</v>
      </c>
      <c r="S28" s="6" t="n"/>
      <c r="T28" s="6" t="n"/>
      <c r="U28" s="6" t="n"/>
      <c r="V28" s="6" t="n"/>
      <c r="W28" s="3">
        <f>V28</f>
        <v>0</v>
      </c>
      <c r="X28" s="6" t="n"/>
      <c r="Y28" s="6" t="n"/>
      <c r="Z28" s="6" t="n"/>
      <c r="AA28" s="6" t="n"/>
      <c r="AB28" s="3">
        <f>AA28</f>
        <v>0</v>
      </c>
      <c r="AC28" s="6" t="n"/>
      <c r="AD28" s="6" t="n"/>
      <c r="AE28" s="6" t="n"/>
      <c r="AF28" s="6" t="n"/>
      <c r="AG28" s="3">
        <f>AF28</f>
        <v>0</v>
      </c>
    </row>
    <row r="29">
      <c r="B29" s="46" t="n">
        <v>24</v>
      </c>
      <c r="C29" s="26" t="inlineStr">
        <is>
          <t>Accrued expenses</t>
        </is>
      </c>
      <c r="D29" s="6" t="n"/>
      <c r="E29" s="6" t="n"/>
      <c r="F29" s="6" t="n"/>
      <c r="G29" s="6" t="n"/>
      <c r="H29" s="3">
        <f>G29</f>
        <v>0</v>
      </c>
      <c r="I29" s="6" t="n"/>
      <c r="J29" s="6" t="n"/>
      <c r="K29" s="6" t="n"/>
      <c r="L29" s="6" t="n"/>
      <c r="M29" s="3">
        <f>L29</f>
        <v>0</v>
      </c>
      <c r="N29" s="6" t="n"/>
      <c r="O29" s="6" t="n"/>
      <c r="P29" s="6" t="n"/>
      <c r="Q29" s="6" t="n"/>
      <c r="R29" s="3">
        <f>Q29</f>
        <v>0</v>
      </c>
      <c r="S29" s="6" t="n"/>
      <c r="T29" s="6" t="n"/>
      <c r="U29" s="6" t="n"/>
      <c r="V29" s="6" t="n"/>
      <c r="W29" s="3">
        <f>V29</f>
        <v>0</v>
      </c>
      <c r="X29" s="6" t="n"/>
      <c r="Y29" s="6" t="n"/>
      <c r="Z29" s="6" t="n"/>
      <c r="AA29" s="6" t="n"/>
      <c r="AB29" s="3">
        <f>AA29</f>
        <v>0</v>
      </c>
      <c r="AC29" s="6" t="n"/>
      <c r="AD29" s="6" t="n"/>
      <c r="AE29" s="6" t="n"/>
      <c r="AF29" s="6" t="n"/>
      <c r="AG29" s="3">
        <f>AF29</f>
        <v>0</v>
      </c>
    </row>
    <row r="30">
      <c r="B30" s="46" t="n">
        <v>25</v>
      </c>
      <c r="C30" s="26" t="inlineStr">
        <is>
          <t>Taxes payable</t>
        </is>
      </c>
      <c r="D30" s="6" t="n"/>
      <c r="E30" s="6" t="n"/>
      <c r="F30" s="6" t="n"/>
      <c r="G30" s="6" t="n"/>
      <c r="H30" s="3">
        <f>G30</f>
        <v>0</v>
      </c>
      <c r="I30" s="6" t="n"/>
      <c r="J30" s="6" t="n"/>
      <c r="K30" s="6" t="n"/>
      <c r="L30" s="6" t="n"/>
      <c r="M30" s="3">
        <f>L30</f>
        <v>0</v>
      </c>
      <c r="N30" s="6" t="n"/>
      <c r="O30" s="6" t="n"/>
      <c r="P30" s="6" t="n"/>
      <c r="Q30" s="6" t="n"/>
      <c r="R30" s="3">
        <f>Q30</f>
        <v>0</v>
      </c>
      <c r="S30" s="6" t="n"/>
      <c r="T30" s="6" t="n"/>
      <c r="U30" s="6" t="n"/>
      <c r="V30" s="6" t="n"/>
      <c r="W30" s="3">
        <f>V30</f>
        <v>0</v>
      </c>
      <c r="X30" s="6" t="n"/>
      <c r="Y30" s="6" t="n"/>
      <c r="Z30" s="6" t="n"/>
      <c r="AA30" s="6" t="n"/>
      <c r="AB30" s="3">
        <f>AA30</f>
        <v>0</v>
      </c>
      <c r="AC30" s="6" t="n"/>
      <c r="AD30" s="6" t="n"/>
      <c r="AE30" s="6" t="n"/>
      <c r="AF30" s="6" t="n"/>
      <c r="AG30" s="3">
        <f>AF30</f>
        <v>0</v>
      </c>
    </row>
    <row r="31">
      <c r="B31" s="46" t="n">
        <v>26</v>
      </c>
      <c r="C31" s="26" t="inlineStr">
        <is>
          <t>Other current liabilities (non-debt)</t>
        </is>
      </c>
      <c r="D31" s="6" t="n"/>
      <c r="E31" s="6" t="n"/>
      <c r="F31" s="6" t="n"/>
      <c r="G31" s="6" t="n"/>
      <c r="H31" s="3">
        <f>G31</f>
        <v>0</v>
      </c>
      <c r="I31" s="6" t="n"/>
      <c r="J31" s="6" t="n"/>
      <c r="K31" s="6" t="n"/>
      <c r="L31" s="6" t="n"/>
      <c r="M31" s="3">
        <f>L31</f>
        <v>0</v>
      </c>
      <c r="N31" s="6" t="n"/>
      <c r="O31" s="6" t="n"/>
      <c r="P31" s="6" t="n"/>
      <c r="Q31" s="6" t="n"/>
      <c r="R31" s="3">
        <f>Q31</f>
        <v>0</v>
      </c>
      <c r="S31" s="6" t="n"/>
      <c r="T31" s="6" t="n"/>
      <c r="U31" s="6" t="n"/>
      <c r="V31" s="6" t="n"/>
      <c r="W31" s="3">
        <f>V31</f>
        <v>0</v>
      </c>
      <c r="X31" s="6" t="n"/>
      <c r="Y31" s="6" t="n"/>
      <c r="Z31" s="6" t="n"/>
      <c r="AA31" s="6" t="n"/>
      <c r="AB31" s="3">
        <f>AA31</f>
        <v>0</v>
      </c>
      <c r="AC31" s="6" t="n"/>
      <c r="AD31" s="6" t="n"/>
      <c r="AE31" s="6" t="n"/>
      <c r="AF31" s="6" t="n"/>
      <c r="AG31" s="3">
        <f>AF31</f>
        <v>0</v>
      </c>
    </row>
    <row r="32">
      <c r="B32" s="46" t="n">
        <v>27</v>
      </c>
      <c r="C32" s="26" t="inlineStr">
        <is>
          <t>Current portion of long-term debt</t>
        </is>
      </c>
      <c r="D32" s="6" t="n"/>
      <c r="E32" s="6" t="n"/>
      <c r="F32" s="6" t="n"/>
      <c r="G32" s="6" t="n"/>
      <c r="H32" s="3">
        <f>G32</f>
        <v>0</v>
      </c>
      <c r="I32" s="6" t="n"/>
      <c r="J32" s="6" t="n"/>
      <c r="K32" s="6" t="n"/>
      <c r="L32" s="6" t="n"/>
      <c r="M32" s="3">
        <f>L32</f>
        <v>0</v>
      </c>
      <c r="N32" s="6" t="n"/>
      <c r="O32" s="6" t="n"/>
      <c r="P32" s="6" t="n"/>
      <c r="Q32" s="6" t="n"/>
      <c r="R32" s="3">
        <f>Q32</f>
        <v>0</v>
      </c>
      <c r="S32" s="6" t="n"/>
      <c r="T32" s="6" t="n"/>
      <c r="U32" s="6" t="n"/>
      <c r="V32" s="6" t="n"/>
      <c r="W32" s="3">
        <f>V32</f>
        <v>0</v>
      </c>
      <c r="X32" s="6" t="n"/>
      <c r="Y32" s="6" t="n"/>
      <c r="Z32" s="6" t="n"/>
      <c r="AA32" s="6" t="n"/>
      <c r="AB32" s="3">
        <f>AA32</f>
        <v>0</v>
      </c>
      <c r="AC32" s="6" t="n"/>
      <c r="AD32" s="6" t="n"/>
      <c r="AE32" s="6" t="n"/>
      <c r="AF32" s="6" t="n"/>
      <c r="AG32" s="3">
        <f>AF32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 t="n"/>
      <c r="E33" s="6" t="n"/>
      <c r="F33" s="6" t="n"/>
      <c r="G33" s="6" t="n"/>
      <c r="H33" s="3">
        <f>G33</f>
        <v>0</v>
      </c>
      <c r="I33" s="6" t="n"/>
      <c r="J33" s="6" t="n"/>
      <c r="K33" s="6" t="n"/>
      <c r="L33" s="6" t="n"/>
      <c r="M33" s="3">
        <f>L33</f>
        <v>0</v>
      </c>
      <c r="N33" s="6" t="n"/>
      <c r="O33" s="6" t="n"/>
      <c r="P33" s="6" t="n"/>
      <c r="Q33" s="6" t="n"/>
      <c r="R33" s="3">
        <f>Q33</f>
        <v>0</v>
      </c>
      <c r="S33" s="6" t="n"/>
      <c r="T33" s="6" t="n"/>
      <c r="U33" s="6" t="n"/>
      <c r="V33" s="6" t="n"/>
      <c r="W33" s="3">
        <f>V33</f>
        <v>0</v>
      </c>
      <c r="X33" s="6" t="n"/>
      <c r="Y33" s="6" t="n"/>
      <c r="Z33" s="6" t="n"/>
      <c r="AA33" s="6" t="n"/>
      <c r="AB33" s="3">
        <f>AA33</f>
        <v>0</v>
      </c>
      <c r="AC33" s="6" t="n"/>
      <c r="AD33" s="6" t="n"/>
      <c r="AE33" s="6" t="n"/>
      <c r="AF33" s="6" t="n"/>
      <c r="AG33" s="3">
        <f>AF33</f>
        <v>0</v>
      </c>
    </row>
    <row r="34">
      <c r="B34" s="46" t="n">
        <v>29</v>
      </c>
      <c r="C34" s="26" t="inlineStr">
        <is>
          <t>Short term operating leases</t>
        </is>
      </c>
      <c r="D34" s="6" t="n"/>
      <c r="E34" s="6" t="n"/>
      <c r="F34" s="6" t="n"/>
      <c r="G34" s="6" t="n"/>
      <c r="H34" s="3">
        <f>G34</f>
        <v>0</v>
      </c>
      <c r="I34" s="6" t="n"/>
      <c r="J34" s="6" t="n"/>
      <c r="K34" s="6" t="n"/>
      <c r="L34" s="6" t="n"/>
      <c r="M34" s="3">
        <f>L34</f>
        <v>0</v>
      </c>
      <c r="N34" s="6" t="n"/>
      <c r="O34" s="6" t="n"/>
      <c r="P34" s="6" t="n"/>
      <c r="Q34" s="6" t="n"/>
      <c r="R34" s="3">
        <f>Q34</f>
        <v>0</v>
      </c>
      <c r="S34" s="6" t="n"/>
      <c r="T34" s="6" t="n"/>
      <c r="U34" s="6" t="n"/>
      <c r="V34" s="6" t="n"/>
      <c r="W34" s="3">
        <f>V34</f>
        <v>0</v>
      </c>
      <c r="X34" s="6" t="n"/>
      <c r="Y34" s="6" t="n"/>
      <c r="Z34" s="6" t="n"/>
      <c r="AA34" s="6" t="n"/>
      <c r="AB34" s="3">
        <f>AA34</f>
        <v>0</v>
      </c>
      <c r="AC34" s="6" t="n"/>
      <c r="AD34" s="6" t="n"/>
      <c r="AE34" s="6" t="n"/>
      <c r="AF34" s="6" t="n"/>
      <c r="AG34" s="3">
        <f>AF34</f>
        <v>0</v>
      </c>
    </row>
    <row r="35">
      <c r="B35" s="46" t="n">
        <v>30</v>
      </c>
      <c r="C35" s="26" t="inlineStr">
        <is>
          <t>Long term debt</t>
        </is>
      </c>
      <c r="D35" s="6" t="n"/>
      <c r="E35" s="6" t="n"/>
      <c r="F35" s="6" t="n"/>
      <c r="G35" s="6" t="n"/>
      <c r="H35" s="3">
        <f>G35</f>
        <v>0</v>
      </c>
      <c r="I35" s="6" t="n"/>
      <c r="J35" s="6" t="n"/>
      <c r="K35" s="6" t="n"/>
      <c r="L35" s="6" t="n"/>
      <c r="M35" s="3">
        <f>L35</f>
        <v>0</v>
      </c>
      <c r="N35" s="6" t="n"/>
      <c r="O35" s="6" t="n"/>
      <c r="P35" s="6" t="n"/>
      <c r="Q35" s="6" t="n"/>
      <c r="R35" s="3">
        <f>Q35</f>
        <v>0</v>
      </c>
      <c r="S35" s="6" t="n"/>
      <c r="T35" s="6" t="n"/>
      <c r="U35" s="6" t="n"/>
      <c r="V35" s="6" t="n"/>
      <c r="W35" s="3">
        <f>V35</f>
        <v>0</v>
      </c>
      <c r="X35" s="6" t="n"/>
      <c r="Y35" s="6" t="n"/>
      <c r="Z35" s="6" t="n"/>
      <c r="AA35" s="6" t="n"/>
      <c r="AB35" s="3">
        <f>AA35</f>
        <v>0</v>
      </c>
      <c r="AC35" s="6" t="n"/>
      <c r="AD35" s="6" t="n"/>
      <c r="AE35" s="6" t="n"/>
      <c r="AF35" s="6" t="n"/>
      <c r="AG35" s="3">
        <f>AF35</f>
        <v>0</v>
      </c>
    </row>
    <row r="36">
      <c r="B36" s="46" t="n">
        <v>31</v>
      </c>
      <c r="C36" s="26" t="inlineStr">
        <is>
          <t>Long term operating leases</t>
        </is>
      </c>
      <c r="D36" s="6" t="n"/>
      <c r="E36" s="6" t="n"/>
      <c r="F36" s="6" t="n"/>
      <c r="G36" s="6" t="n"/>
      <c r="H36" s="3">
        <f>G36</f>
        <v>0</v>
      </c>
      <c r="I36" s="6" t="n"/>
      <c r="J36" s="6" t="n"/>
      <c r="K36" s="6" t="n"/>
      <c r="L36" s="6" t="n"/>
      <c r="M36" s="3">
        <f>L36</f>
        <v>0</v>
      </c>
      <c r="N36" s="6" t="n"/>
      <c r="O36" s="6" t="n"/>
      <c r="P36" s="6" t="n"/>
      <c r="Q36" s="6" t="n"/>
      <c r="R36" s="3">
        <f>Q36</f>
        <v>0</v>
      </c>
      <c r="S36" s="6" t="n"/>
      <c r="T36" s="6" t="n"/>
      <c r="U36" s="6" t="n"/>
      <c r="V36" s="6" t="n"/>
      <c r="W36" s="3">
        <f>V36</f>
        <v>0</v>
      </c>
      <c r="X36" s="6" t="n"/>
      <c r="Y36" s="6" t="n"/>
      <c r="Z36" s="6" t="n"/>
      <c r="AA36" s="6" t="n"/>
      <c r="AB36" s="3">
        <f>AA36</f>
        <v>0</v>
      </c>
      <c r="AC36" s="6" t="n"/>
      <c r="AD36" s="6" t="n"/>
      <c r="AE36" s="6" t="n"/>
      <c r="AF36" s="6" t="n"/>
      <c r="AG36" s="3">
        <f>AF36</f>
        <v>0</v>
      </c>
    </row>
    <row r="37">
      <c r="B37" s="46" t="n">
        <v>32</v>
      </c>
      <c r="C37" s="26" t="inlineStr">
        <is>
          <t>Convertible debt</t>
        </is>
      </c>
      <c r="D37" s="6" t="n"/>
      <c r="E37" s="6" t="n"/>
      <c r="F37" s="6" t="n"/>
      <c r="G37" s="6" t="n"/>
      <c r="H37" s="3">
        <f>G37</f>
        <v>0</v>
      </c>
      <c r="I37" s="6" t="n"/>
      <c r="J37" s="6" t="n"/>
      <c r="K37" s="6" t="n"/>
      <c r="L37" s="6" t="n"/>
      <c r="M37" s="3">
        <f>L37</f>
        <v>0</v>
      </c>
      <c r="N37" s="6" t="n"/>
      <c r="O37" s="6" t="n"/>
      <c r="P37" s="6" t="n"/>
      <c r="Q37" s="6" t="n"/>
      <c r="R37" s="3">
        <f>Q37</f>
        <v>0</v>
      </c>
      <c r="S37" s="6" t="n"/>
      <c r="T37" s="6" t="n"/>
      <c r="U37" s="6" t="n"/>
      <c r="V37" s="6" t="n"/>
      <c r="W37" s="3">
        <f>V37</f>
        <v>0</v>
      </c>
      <c r="X37" s="6" t="n"/>
      <c r="Y37" s="6" t="n"/>
      <c r="Z37" s="6" t="n"/>
      <c r="AA37" s="6" t="n"/>
      <c r="AB37" s="3">
        <f>AA37</f>
        <v>0</v>
      </c>
      <c r="AC37" s="6" t="n"/>
      <c r="AD37" s="6" t="n"/>
      <c r="AE37" s="6" t="n"/>
      <c r="AF37" s="6" t="n"/>
      <c r="AG37" s="3">
        <f>AF37</f>
        <v>0</v>
      </c>
    </row>
    <row r="38">
      <c r="B38" s="46" t="n">
        <v>33</v>
      </c>
      <c r="C38" s="26" t="inlineStr">
        <is>
          <t>Deferred income taxes</t>
        </is>
      </c>
      <c r="D38" s="6" t="n"/>
      <c r="E38" s="6" t="n"/>
      <c r="F38" s="6" t="n"/>
      <c r="G38" s="6" t="n"/>
      <c r="H38" s="3">
        <f>G38</f>
        <v>0</v>
      </c>
      <c r="I38" s="6" t="n"/>
      <c r="J38" s="6" t="n"/>
      <c r="K38" s="6" t="n"/>
      <c r="L38" s="6" t="n"/>
      <c r="M38" s="3">
        <f>L38</f>
        <v>0</v>
      </c>
      <c r="N38" s="6" t="n"/>
      <c r="O38" s="6" t="n"/>
      <c r="P38" s="6" t="n"/>
      <c r="Q38" s="6" t="n"/>
      <c r="R38" s="3">
        <f>Q38</f>
        <v>0</v>
      </c>
      <c r="S38" s="6" t="n"/>
      <c r="T38" s="6" t="n"/>
      <c r="U38" s="6" t="n"/>
      <c r="V38" s="6" t="n"/>
      <c r="W38" s="3">
        <f>V38</f>
        <v>0</v>
      </c>
      <c r="X38" s="6" t="n"/>
      <c r="Y38" s="6" t="n"/>
      <c r="Z38" s="6" t="n"/>
      <c r="AA38" s="6" t="n"/>
      <c r="AB38" s="3">
        <f>AA38</f>
        <v>0</v>
      </c>
      <c r="AC38" s="6" t="n"/>
      <c r="AD38" s="6" t="n"/>
      <c r="AE38" s="6" t="n"/>
      <c r="AF38" s="6" t="n"/>
      <c r="AG38" s="3">
        <f>AF38</f>
        <v>0</v>
      </c>
    </row>
    <row r="39">
      <c r="B39" s="46" t="n">
        <v>34</v>
      </c>
      <c r="C39" s="26" t="inlineStr">
        <is>
          <t>Other non-current liabilities</t>
        </is>
      </c>
      <c r="D39" s="6" t="n"/>
      <c r="E39" s="6" t="n"/>
      <c r="F39" s="6" t="n"/>
      <c r="G39" s="6" t="n"/>
      <c r="H39" s="3">
        <f>G39</f>
        <v>0</v>
      </c>
      <c r="I39" s="6" t="n"/>
      <c r="J39" s="6" t="n"/>
      <c r="K39" s="6" t="n"/>
      <c r="L39" s="6" t="n"/>
      <c r="M39" s="3">
        <f>L39</f>
        <v>0</v>
      </c>
      <c r="N39" s="6" t="n"/>
      <c r="O39" s="6" t="n"/>
      <c r="P39" s="6" t="n"/>
      <c r="Q39" s="6" t="n"/>
      <c r="R39" s="3">
        <f>Q39</f>
        <v>0</v>
      </c>
      <c r="S39" s="6" t="n"/>
      <c r="T39" s="6" t="n"/>
      <c r="U39" s="6" t="n"/>
      <c r="V39" s="6" t="n"/>
      <c r="W39" s="3">
        <f>V39</f>
        <v>0</v>
      </c>
      <c r="X39" s="6" t="n"/>
      <c r="Y39" s="6" t="n"/>
      <c r="Z39" s="6" t="n"/>
      <c r="AA39" s="6" t="n"/>
      <c r="AB39" s="3">
        <f>AA39</f>
        <v>0</v>
      </c>
      <c r="AC39" s="6" t="n"/>
      <c r="AD39" s="6" t="n"/>
      <c r="AE39" s="6" t="n"/>
      <c r="AF39" s="6" t="n"/>
      <c r="AG39" s="3">
        <f>AF39</f>
        <v>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n"/>
      <c r="E41" s="6" t="n"/>
      <c r="F41" s="6" t="n"/>
      <c r="G41" s="6" t="n"/>
      <c r="H41" s="3">
        <f>G41</f>
        <v>0</v>
      </c>
      <c r="I41" s="6" t="n"/>
      <c r="J41" s="6" t="n"/>
      <c r="K41" s="6" t="n"/>
      <c r="L41" s="6" t="n"/>
      <c r="M41" s="3">
        <f>L41</f>
        <v>0</v>
      </c>
      <c r="N41" s="6" t="n"/>
      <c r="O41" s="6" t="n"/>
      <c r="P41" s="6" t="n"/>
      <c r="Q41" s="6" t="n"/>
      <c r="R41" s="3">
        <f>Q41</f>
        <v>0</v>
      </c>
      <c r="S41" s="6" t="n"/>
      <c r="T41" s="6" t="n"/>
      <c r="U41" s="6" t="n"/>
      <c r="V41" s="6" t="n"/>
      <c r="W41" s="3">
        <f>V41</f>
        <v>0</v>
      </c>
      <c r="X41" s="6" t="n"/>
      <c r="Y41" s="6" t="n"/>
      <c r="Z41" s="6" t="n"/>
      <c r="AA41" s="6" t="n"/>
      <c r="AB41" s="3">
        <f>AA41</f>
        <v>0</v>
      </c>
      <c r="AC41" s="6" t="n"/>
      <c r="AD41" s="6" t="n"/>
      <c r="AE41" s="6" t="n"/>
      <c r="AF41" s="6" t="n"/>
      <c r="AG41" s="3">
        <f>AF41</f>
        <v>0</v>
      </c>
    </row>
    <row r="42">
      <c r="B42" s="46" t="n">
        <v>36</v>
      </c>
      <c r="C42" s="26" t="inlineStr">
        <is>
          <t>Convertible Preferred Stock</t>
        </is>
      </c>
      <c r="D42" s="6" t="n"/>
      <c r="E42" s="6" t="n"/>
      <c r="F42" s="6" t="n"/>
      <c r="G42" s="6" t="n"/>
      <c r="H42" s="3">
        <f>G42</f>
        <v>0</v>
      </c>
      <c r="I42" s="6" t="n"/>
      <c r="J42" s="6" t="n"/>
      <c r="K42" s="6" t="n"/>
      <c r="L42" s="6" t="n"/>
      <c r="M42" s="3">
        <f>L42</f>
        <v>0</v>
      </c>
      <c r="N42" s="6" t="n"/>
      <c r="O42" s="6" t="n"/>
      <c r="P42" s="6" t="n"/>
      <c r="Q42" s="6" t="n"/>
      <c r="R42" s="3">
        <f>Q42</f>
        <v>0</v>
      </c>
      <c r="S42" s="6" t="n"/>
      <c r="T42" s="6" t="n"/>
      <c r="U42" s="6" t="n"/>
      <c r="V42" s="6" t="n"/>
      <c r="W42" s="3">
        <f>V42</f>
        <v>0</v>
      </c>
      <c r="X42" s="6" t="n"/>
      <c r="Y42" s="6" t="n"/>
      <c r="Z42" s="6" t="n"/>
      <c r="AA42" s="6" t="n"/>
      <c r="AB42" s="3">
        <f>AA42</f>
        <v>0</v>
      </c>
      <c r="AC42" s="6" t="n"/>
      <c r="AD42" s="6" t="n"/>
      <c r="AE42" s="6" t="n"/>
      <c r="AF42" s="6" t="n"/>
      <c r="AG42" s="3">
        <f>AF42</f>
        <v>0</v>
      </c>
    </row>
    <row r="43">
      <c r="B43" s="46" t="n">
        <v>37</v>
      </c>
      <c r="C43" s="24" t="inlineStr">
        <is>
          <t>Common Stock and APIC</t>
        </is>
      </c>
      <c r="D43" s="6" t="n"/>
      <c r="E43" s="6" t="n"/>
      <c r="F43" s="6" t="n"/>
      <c r="G43" s="6" t="n"/>
      <c r="H43" s="3">
        <f>G43</f>
        <v>0</v>
      </c>
      <c r="I43" s="6" t="n"/>
      <c r="J43" s="6" t="n"/>
      <c r="K43" s="6" t="n"/>
      <c r="L43" s="6" t="n"/>
      <c r="M43" s="3">
        <f>L43</f>
        <v>0</v>
      </c>
      <c r="N43" s="6" t="n"/>
      <c r="O43" s="6" t="n"/>
      <c r="P43" s="6" t="n"/>
      <c r="Q43" s="6" t="n"/>
      <c r="R43" s="3">
        <f>Q43</f>
        <v>0</v>
      </c>
      <c r="S43" s="6" t="n"/>
      <c r="T43" s="6" t="n"/>
      <c r="U43" s="6" t="n"/>
      <c r="V43" s="6" t="n"/>
      <c r="W43" s="3">
        <f>V43</f>
        <v>0</v>
      </c>
      <c r="X43" s="6" t="n"/>
      <c r="Y43" s="6" t="n"/>
      <c r="Z43" s="6" t="n"/>
      <c r="AA43" s="6" t="n"/>
      <c r="AB43" s="3">
        <f>AA43</f>
        <v>0</v>
      </c>
      <c r="AC43" s="6" t="n"/>
      <c r="AD43" s="6" t="n"/>
      <c r="AE43" s="6" t="n"/>
      <c r="AF43" s="6" t="n"/>
      <c r="AG43" s="3">
        <f>AF43</f>
        <v>0</v>
      </c>
    </row>
    <row r="44">
      <c r="B44" s="46" t="n">
        <v>38</v>
      </c>
      <c r="C44" s="26" t="inlineStr">
        <is>
          <t>Treasury stock (contra account)</t>
        </is>
      </c>
      <c r="D44" s="6" t="n"/>
      <c r="E44" s="6" t="n"/>
      <c r="F44" s="6" t="n"/>
      <c r="G44" s="6" t="n"/>
      <c r="H44" s="3">
        <f>G44</f>
        <v>0</v>
      </c>
      <c r="I44" s="6" t="n"/>
      <c r="J44" s="6" t="n"/>
      <c r="K44" s="6" t="n"/>
      <c r="L44" s="6" t="n"/>
      <c r="M44" s="3">
        <f>L44</f>
        <v>0</v>
      </c>
      <c r="N44" s="6" t="n"/>
      <c r="O44" s="6" t="n"/>
      <c r="P44" s="6" t="n"/>
      <c r="Q44" s="6" t="n"/>
      <c r="R44" s="3">
        <f>Q44</f>
        <v>0</v>
      </c>
      <c r="S44" s="6" t="n"/>
      <c r="T44" s="6" t="n"/>
      <c r="U44" s="6" t="n"/>
      <c r="V44" s="6" t="n"/>
      <c r="W44" s="3">
        <f>V44</f>
        <v>0</v>
      </c>
      <c r="X44" s="6" t="n"/>
      <c r="Y44" s="6" t="n"/>
      <c r="Z44" s="6" t="n"/>
      <c r="AA44" s="6" t="n"/>
      <c r="AB44" s="3">
        <f>AA44</f>
        <v>0</v>
      </c>
      <c r="AC44" s="6" t="n"/>
      <c r="AD44" s="6" t="n"/>
      <c r="AE44" s="6" t="n"/>
      <c r="AF44" s="6" t="n"/>
      <c r="AG44" s="3">
        <f>AF44</f>
        <v>0</v>
      </c>
    </row>
    <row r="45">
      <c r="B45" s="46" t="n">
        <v>39</v>
      </c>
      <c r="C45" s="26" t="inlineStr">
        <is>
          <t>Comprehensive (accumulated) loss</t>
        </is>
      </c>
      <c r="D45" s="6" t="n"/>
      <c r="E45" s="6" t="n"/>
      <c r="F45" s="6" t="n"/>
      <c r="G45" s="6" t="n"/>
      <c r="H45" s="3">
        <f>G45</f>
        <v>0</v>
      </c>
      <c r="I45" s="6" t="n"/>
      <c r="J45" s="6" t="n"/>
      <c r="K45" s="6" t="n"/>
      <c r="L45" s="6" t="n"/>
      <c r="M45" s="3">
        <f>L45</f>
        <v>0</v>
      </c>
      <c r="N45" s="6" t="n"/>
      <c r="O45" s="6" t="n"/>
      <c r="P45" s="6" t="n"/>
      <c r="Q45" s="6" t="n"/>
      <c r="R45" s="3">
        <f>Q45</f>
        <v>0</v>
      </c>
      <c r="S45" s="6" t="n"/>
      <c r="T45" s="6" t="n"/>
      <c r="U45" s="6" t="n"/>
      <c r="V45" s="6" t="n"/>
      <c r="W45" s="3">
        <f>V45</f>
        <v>0</v>
      </c>
      <c r="X45" s="6" t="n"/>
      <c r="Y45" s="6" t="n"/>
      <c r="Z45" s="6" t="n"/>
      <c r="AA45" s="6" t="n"/>
      <c r="AB45" s="3">
        <f>AA45</f>
        <v>0</v>
      </c>
      <c r="AC45" s="6" t="n"/>
      <c r="AD45" s="6" t="n"/>
      <c r="AE45" s="6" t="n"/>
      <c r="AF45" s="6" t="n"/>
      <c r="AG45" s="3">
        <f>AF45</f>
        <v>0</v>
      </c>
    </row>
    <row r="46">
      <c r="B46" s="46" t="n">
        <v>40</v>
      </c>
      <c r="C46" s="26" t="inlineStr">
        <is>
          <t>Other equity account</t>
        </is>
      </c>
      <c r="D46" s="6" t="n"/>
      <c r="E46" s="6" t="n"/>
      <c r="F46" s="6" t="n"/>
      <c r="G46" s="6" t="n"/>
      <c r="H46" s="3">
        <f>G46</f>
        <v>0</v>
      </c>
      <c r="I46" s="6" t="n"/>
      <c r="J46" s="6" t="n"/>
      <c r="K46" s="6" t="n"/>
      <c r="L46" s="6" t="n"/>
      <c r="M46" s="3">
        <f>L46</f>
        <v>0</v>
      </c>
      <c r="N46" s="6" t="n"/>
      <c r="O46" s="6" t="n"/>
      <c r="P46" s="6" t="n"/>
      <c r="Q46" s="6" t="n"/>
      <c r="R46" s="3">
        <f>Q46</f>
        <v>0</v>
      </c>
      <c r="S46" s="6" t="n"/>
      <c r="T46" s="6" t="n"/>
      <c r="U46" s="6" t="n"/>
      <c r="V46" s="6" t="n"/>
      <c r="W46" s="3">
        <f>V46</f>
        <v>0</v>
      </c>
      <c r="X46" s="6" t="n"/>
      <c r="Y46" s="6" t="n"/>
      <c r="Z46" s="6" t="n"/>
      <c r="AA46" s="6" t="n"/>
      <c r="AB46" s="3">
        <f>AA46</f>
        <v>0</v>
      </c>
      <c r="AC46" s="6" t="n"/>
      <c r="AD46" s="6" t="n"/>
      <c r="AE46" s="6" t="n"/>
      <c r="AF46" s="6" t="n"/>
      <c r="AG46" s="3">
        <f>AF46</f>
        <v>0</v>
      </c>
    </row>
    <row r="47">
      <c r="B47" s="46" t="n">
        <v>41</v>
      </c>
      <c r="C47" s="28" t="inlineStr">
        <is>
          <t>Retained earnings</t>
        </is>
      </c>
      <c r="D47" s="6" t="n"/>
      <c r="E47" s="6" t="n"/>
      <c r="F47" s="6" t="n"/>
      <c r="G47" s="6" t="n"/>
      <c r="H47" s="3">
        <f>G47</f>
        <v>0</v>
      </c>
      <c r="I47" s="6" t="n"/>
      <c r="J47" s="6" t="n"/>
      <c r="K47" s="6" t="n"/>
      <c r="L47" s="6" t="n"/>
      <c r="M47" s="3">
        <f>L47</f>
        <v>0</v>
      </c>
      <c r="N47" s="6" t="n"/>
      <c r="O47" s="6" t="n"/>
      <c r="P47" s="6" t="n"/>
      <c r="Q47" s="6" t="n"/>
      <c r="R47" s="3">
        <f>Q47</f>
        <v>0</v>
      </c>
      <c r="S47" s="6" t="n"/>
      <c r="T47" s="6" t="n"/>
      <c r="U47" s="6" t="n"/>
      <c r="V47" s="6" t="n"/>
      <c r="W47" s="3">
        <f>V47</f>
        <v>0</v>
      </c>
      <c r="X47" s="6" t="n"/>
      <c r="Y47" s="6" t="n"/>
      <c r="Z47" s="6" t="n"/>
      <c r="AA47" s="6" t="n"/>
      <c r="AB47" s="3">
        <f>AA47</f>
        <v>0</v>
      </c>
      <c r="AC47" s="6" t="n"/>
      <c r="AD47" s="6" t="n"/>
      <c r="AE47" s="6" t="n"/>
      <c r="AF47" s="6" t="n"/>
      <c r="AG47" s="3">
        <f>AF47</f>
        <v>0</v>
      </c>
    </row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58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 t="e">
        <f>SUM(AH2,AH3)</f>
        <v>#DIV/0!</v>
      </c>
      <c r="AI1" s="3" t="e">
        <f>SUM(AI2,AI3)</f>
        <v>#DIV/0!</v>
      </c>
      <c r="AJ1" s="3" t="e">
        <f>SUM(AJ2,AJ3)</f>
        <v>#DIV/0!</v>
      </c>
      <c r="AK1" s="3" t="e">
        <f>SUM(AK2,AK3)</f>
        <v>#DIV/0!</v>
      </c>
      <c r="AL1" s="3" t="e">
        <f>SUM(AL2,AL3)</f>
        <v>#DIV/0!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</v>
      </c>
      <c r="E2" s="3">
        <f>ABS(E163-E239)</f>
        <v>0</v>
      </c>
      <c r="F2" s="3">
        <f>ABS(F163-F239)</f>
        <v>0</v>
      </c>
      <c r="G2" s="3">
        <f>ABS(G163-G239)</f>
        <v>0</v>
      </c>
      <c r="H2" s="3">
        <f>ABS(H163-H239)</f>
        <v>0</v>
      </c>
      <c r="I2" s="3">
        <f>ABS(I163-I239)</f>
        <v>0</v>
      </c>
      <c r="J2" s="3">
        <f>ABS(J163-J239)</f>
        <v>0</v>
      </c>
      <c r="K2" s="3">
        <f>ABS(K163-K239)</f>
        <v>0</v>
      </c>
      <c r="L2" s="3">
        <f>ABS(L163-L239)</f>
        <v>0</v>
      </c>
      <c r="M2" s="3">
        <f>ABS(M163-M239)</f>
        <v>0</v>
      </c>
      <c r="N2" s="3">
        <f>ABS(N163-N239)</f>
        <v>0</v>
      </c>
      <c r="O2" s="3">
        <f>ABS(O163-O239)</f>
        <v>0</v>
      </c>
      <c r="P2" s="3">
        <f>ABS(P163-P239)</f>
        <v>0</v>
      </c>
      <c r="Q2" s="3">
        <f>ABS(Q163-Q239)</f>
        <v>0</v>
      </c>
      <c r="R2" s="3">
        <f>ABS(R163-R239)</f>
        <v>0</v>
      </c>
      <c r="S2" s="3">
        <f>ABS(S163-S239)</f>
        <v>0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</v>
      </c>
      <c r="Y2" s="3">
        <f>ABS(Y163-Y239)</f>
        <v>0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 t="e">
        <f>ABS(AH163-AH239)</f>
        <v>#DIV/0!</v>
      </c>
      <c r="AI2" s="3" t="e">
        <f>ABS(AI163-AI239)</f>
        <v>#DIV/0!</v>
      </c>
      <c r="AJ2" s="3" t="e">
        <f>ABS(AJ163-AJ239)</f>
        <v>#DIV/0!</v>
      </c>
      <c r="AK2" s="3" t="e">
        <f>ABS(AK163-AK239)</f>
        <v>#DIV/0!</v>
      </c>
      <c r="AL2" s="3" t="e">
        <f>ABS(AL163-AL239)</f>
        <v>#DIV/0!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 t="str">
        <f>IF(COUNT(D4)=0,"",ABS(D103-D4))</f>
        <v/>
      </c>
      <c r="E3" s="3" t="str">
        <f>IF(COUNT(E4)=0,"",ABS(E103-E4))</f>
        <v/>
      </c>
      <c r="F3" s="3" t="str">
        <f>IF(COUNT(F4)=0,"",ABS(F103-F4))</f>
        <v/>
      </c>
      <c r="G3" s="3" t="str">
        <f>IF(COUNT(G4)=0,"",ABS(G103-G4))</f>
        <v/>
      </c>
      <c r="H3" s="3" t="str">
        <f>IF(COUNT(H4)=0,"",ABS(H103-H4))</f>
        <v/>
      </c>
      <c r="I3" s="3" t="str">
        <f>IF(COUNT(I4)=0,"",ABS(I103-I4))</f>
        <v/>
      </c>
      <c r="J3" s="3" t="str">
        <f>IF(COUNT(J4)=0,"",ABS(J103-J4))</f>
        <v/>
      </c>
      <c r="K3" s="3" t="str">
        <f>IF(COUNT(K4)=0,"",ABS(K103-K4))</f>
        <v/>
      </c>
      <c r="L3" s="3" t="str">
        <f>IF(COUNT(L4)=0,"",ABS(L103-L4))</f>
        <v/>
      </c>
      <c r="M3" s="3" t="str">
        <f>IF(COUNT(M4)=0,"",ABS(M103-M4))</f>
        <v/>
      </c>
      <c r="N3" s="3" t="str">
        <f>IF(COUNT(N4)=0,"",ABS(N103-N4))</f>
        <v/>
      </c>
      <c r="O3" s="3" t="str">
        <f>IF(COUNT(O4)=0,"",ABS(O103-O4))</f>
        <v/>
      </c>
      <c r="P3" s="3" t="str">
        <f>IF(COUNT(P4)=0,"",ABS(P103-P4))</f>
        <v/>
      </c>
      <c r="Q3" s="3" t="str">
        <f>IF(COUNT(Q4)=0,"",ABS(Q103-Q4))</f>
        <v/>
      </c>
      <c r="R3" s="3" t="str">
        <f>IF(COUNT(R4)=0,"",ABS(R103-R4))</f>
        <v/>
      </c>
      <c r="S3" s="3" t="str">
        <f>IF(COUNT(S4)=0,"",ABS(S103-S4))</f>
        <v/>
      </c>
      <c r="T3" s="3" t="str">
        <f>IF(COUNT(T4)=0,"",ABS(T103-T4))</f>
        <v/>
      </c>
      <c r="U3" s="3" t="str">
        <f>IF(COUNT(U4)=0,"",ABS(U103-U4))</f>
        <v/>
      </c>
      <c r="V3" s="3" t="str">
        <f>IF(COUNT(V4)=0,"",ABS(V103-V4))</f>
        <v/>
      </c>
      <c r="W3" s="3" t="str">
        <f>IF(COUNT(W4)=0,"",ABS(W103-W4))</f>
        <v/>
      </c>
      <c r="X3" s="3" t="str">
        <f>IF(COUNT(X4)=0,"",ABS(X103-X4))</f>
        <v/>
      </c>
      <c r="Y3" s="3" t="str">
        <f>IF(COUNT(Y4)=0,"",ABS(Y103-Y4))</f>
        <v/>
      </c>
      <c r="Z3" s="3" t="str">
        <f>IF(COUNT(Z4)=0,"",ABS(Z103-Z4))</f>
        <v/>
      </c>
      <c r="AA3" s="3" t="str">
        <f>IF(COUNT(AA4)=0,"",ABS(AA103-AA4))</f>
        <v/>
      </c>
      <c r="AB3" s="3" t="str">
        <f>IF(COUNT(AB4)=0,"",ABS(AB103-AB4))</f>
        <v/>
      </c>
      <c r="AC3" s="3" t="str">
        <f>IF(COUNT(AC4)=0,"",ABS(AC103-AC4))</f>
        <v/>
      </c>
      <c r="AD3" s="3" t="str">
        <f>IF(COUNT(AD4)=0,"",ABS(AD103-AD4))</f>
        <v/>
      </c>
      <c r="AE3" s="3" t="str">
        <f>IF(COUNT(AE4)=0,"",ABS(AE103-AE4))</f>
        <v/>
      </c>
      <c r="AF3" s="3" t="str">
        <f>IF(COUNT(AF4)=0,"",ABS(AF103-AF4))</f>
        <v/>
      </c>
      <c r="AG3" s="3" t="str">
        <f>IF(COUNT(AG4)=0,"",ABS(AG103-AG4))</f>
        <v/>
      </c>
      <c r="AH3" s="3" t="str">
        <f>IF(COUNT(AH4)=0,"",ABS(AH103-AH4))</f>
        <v/>
      </c>
      <c r="AI3" s="3" t="str">
        <f>IF(COUNT(AI4)=0,"",ABS(AI103-AI4))</f>
        <v/>
      </c>
      <c r="AJ3" s="3" t="str">
        <f>IF(COUNT(AJ4)=0,"",ABS(AJ103-AJ4))</f>
        <v/>
      </c>
      <c r="AK3" s="3" t="str">
        <f>IF(COUNT(AK4)=0,"",ABS(AK103-AK4))</f>
        <v/>
      </c>
      <c r="AL3" s="3" t="str">
        <f>IF(COUNT(AL4)=0,"",ABS(AL103-AL4))</f>
        <v/>
      </c>
      <c r="AM3" s="3" t="str">
        <f>IF(COUNT(AM4)=0,"",ABS(AM103-AM4))</f>
        <v/>
      </c>
      <c r="AN3" s="3" t="str">
        <f>IF(COUNT(AN4)=0,"",ABS(AN103-AN4))</f>
        <v/>
      </c>
      <c r="AO3" s="3" t="str">
        <f>IF(COUNT(AO4)=0,"",ABS(AO103-AO4))</f>
        <v/>
      </c>
      <c r="AP3" s="3" t="str">
        <f>IF(COUNT(AP4)=0,"",ABS(AP103-AP4))</f>
        <v/>
      </c>
      <c r="AQ3" s="3" t="str">
        <f>IF(COUNT(AQ4)=0,"",ABS(AQ103-AQ4))</f>
        <v/>
      </c>
      <c r="AR3" s="3" t="str">
        <f>IF(COUNT(AR4)=0,"",ABS(AR103-AR4))</f>
        <v/>
      </c>
      <c r="AS3" s="3" t="str">
        <f>IF(COUNT(AS4)=0,"",ABS(AS103-AS4))</f>
        <v/>
      </c>
      <c r="AT3" s="3" t="str">
        <f>IF(COUNT(AT4)=0,"",ABS(AT103-AT4))</f>
        <v/>
      </c>
      <c r="AU3" s="3" t="str">
        <f>IF(COUNT(AU4)=0,"",ABS(AU103-AU4))</f>
        <v/>
      </c>
      <c r="AV3" s="3" t="str">
        <f>IF(COUNT(AV4)=0,"",ABS(AV103-AV4))</f>
        <v/>
      </c>
      <c r="AW3" s="3" t="str">
        <f>IF(COUNT(AW4)=0,"",ABS(AW103-AW4))</f>
        <v/>
      </c>
      <c r="AX3" s="3" t="str">
        <f>IF(COUNT(AX4)=0,"",ABS(AX103-AX4))</f>
        <v/>
      </c>
      <c r="AY3" s="3" t="str">
        <f>IF(COUNT(AY4)=0,"",ABS(AY103-AY4))</f>
        <v/>
      </c>
      <c r="AZ3" s="3" t="str">
        <f>IF(COUNT(AZ4)=0,"",ABS(AZ103-AZ4))</f>
        <v/>
      </c>
      <c r="BA3" s="3" t="str">
        <f>IF(COUNT(BA4)=0,"",ABS(BA103-BA4))</f>
        <v/>
      </c>
      <c r="BB3" s="3" t="str">
        <f>IF(COUNT(BB4)=0,"",ABS(BB103-BB4))</f>
        <v/>
      </c>
      <c r="BC3" s="3" t="str">
        <f>IF(COUNT(BC4)=0,"",ABS(BC103-BC4))</f>
        <v/>
      </c>
      <c r="BD3" s="3" t="str">
        <f>IF(COUNT(BD4)=0,"",ABS(BD103-BD4))</f>
        <v/>
      </c>
      <c r="BE3" s="3" t="str">
        <f>IF(COUNT(BE4)=0,"",ABS(BE103-BE4))</f>
        <v/>
      </c>
      <c r="BF3" s="3" t="str">
        <f>IF(COUNT(BF4)=0,"",ABS(BF103-BF4))</f>
        <v/>
      </c>
      <c r="BG3" s="3" t="str">
        <f>IF(COUNT(BG4)=0,"",ABS(BG103-BG4))</f>
        <v/>
      </c>
      <c r="BH3" s="3" t="str">
        <f>IF(COUNT(BH4)=0,"",ABS(BH103-BH4))</f>
        <v/>
      </c>
      <c r="BI3" s="3" t="str">
        <f>IF(COUNT(BI4)=0,"",ABS(BI103-BI4))</f>
        <v/>
      </c>
      <c r="BJ3" s="3" t="str">
        <f>IF(COUNT(BJ4)=0,"",ABS(BJ103-BJ4))</f>
        <v/>
      </c>
      <c r="BK3" s="3" t="str">
        <f>IF(COUNT(BK4)=0,"",ABS(BK103-BK4))</f>
        <v/>
      </c>
      <c r="BL3" s="3" t="str">
        <f>IF(COUNT(BL4)=0,"",ABS(BL103-BL4))</f>
        <v/>
      </c>
      <c r="BM3" s="3" t="str">
        <f>IF(COUNT(BM4)=0,"",ABS(BM103-BM4))</f>
        <v/>
      </c>
      <c r="BN3" s="3" t="str">
        <f>IF(COUNT(BN4)=0,"",ABS(BN103-BN4))</f>
        <v/>
      </c>
      <c r="BO3" s="3" t="str">
        <f>IF(COUNT(BO4)=0,"",ABS(BO103-BO4))</f>
        <v/>
      </c>
      <c r="BP3" s="3" t="str">
        <f>IF(COUNT(BP4)=0,"",ABS(BP103-BP4))</f>
        <v/>
      </c>
      <c r="BQ3" s="3" t="str">
        <f>IF(COUNT(BQ4)=0,"",ABS(BQ103-BQ4))</f>
        <v/>
      </c>
      <c r="BR3" s="3" t="str">
        <f>IF(COUNT(BR4)=0,"",ABS(BR103-BR4))</f>
        <v/>
      </c>
      <c r="BS3" s="3" t="str">
        <f>IF(COUNT(BS4)=0,"",ABS(BS103-BS4))</f>
        <v/>
      </c>
      <c r="BT3" s="3" t="str">
        <f>IF(COUNT(BT4)=0,"",ABS(BT103-BT4))</f>
        <v/>
      </c>
      <c r="BU3" s="3" t="str">
        <f>IF(COUNT(BU4)=0,"",ABS(BU103-BU4))</f>
        <v/>
      </c>
      <c r="BV3" s="3" t="str">
        <f>IF(COUNT(BV4)=0,"",ABS(BV103-BV4))</f>
        <v/>
      </c>
      <c r="BW3" s="3" t="str">
        <f>IF(COUNT(BW4)=0,"",ABS(BW103-BW4))</f>
        <v/>
      </c>
      <c r="BX3" s="3" t="str">
        <f>IF(COUNT(BX4)=0,"",ABS(BX103-BX4))</f>
        <v/>
      </c>
      <c r="BY3" s="3" t="str">
        <f>IF(COUNT(BY4)=0,"",ABS(BY103-BY4))</f>
        <v/>
      </c>
      <c r="BZ3" s="3" t="str">
        <f>IF(COUNT(BZ4)=0,"",ABS(BZ103-BZ4))</f>
        <v/>
      </c>
      <c r="CA3" s="3" t="str">
        <f>IF(COUNT(CA4)=0,"",ABS(CA103-CA4))</f>
        <v/>
      </c>
      <c r="CB3" s="3" t="str">
        <f>IF(COUNT(CB4)=0,"",ABS(CB103-CB4))</f>
        <v/>
      </c>
      <c r="CC3" s="3" t="str">
        <f>IF(COUNT(CC4)=0,"",ABS(CC103-CC4))</f>
        <v/>
      </c>
      <c r="CD3" s="3" t="str">
        <f>IF(COUNT(CD4)=0,"",ABS(CD103-CD4))</f>
        <v/>
      </c>
      <c r="CE3" s="3" t="str">
        <f>IF(COUNT(CE4)=0,"",ABS(CE103-CE4))</f>
        <v/>
      </c>
      <c r="CF3" s="3" t="str">
        <f>IF(COUNT(CF4)=0,"",ABS(CF103-CF4))</f>
        <v/>
      </c>
      <c r="CG3" s="3" t="str">
        <f>IF(COUNT(CG4)=0,"",ABS(CG103-CG4))</f>
        <v/>
      </c>
      <c r="CH3" s="3" t="str">
        <f>IF(COUNT(CH4)=0,"",ABS(CH103-CH4))</f>
        <v/>
      </c>
      <c r="CI3" s="3" t="str">
        <f>IF(COUNT(CI4)=0,"",ABS(CI103-CI4))</f>
        <v/>
      </c>
      <c r="CJ3" s="3" t="str">
        <f>IF(COUNT(CJ4)=0,"",ABS(CJ103-CJ4))</f>
        <v/>
      </c>
      <c r="CK3" s="3" t="str">
        <f>IF(COUNT(CK4)=0,"",ABS(CK103-CK4))</f>
        <v/>
      </c>
      <c r="CL3" s="3" t="str">
        <f>IF(COUNT(CL4)=0,"",ABS(CL103-CL4))</f>
        <v/>
      </c>
      <c r="CM3" s="3" t="str">
        <f>IF(COUNT(CM4)=0,"",ABS(CM103-CM4))</f>
        <v/>
      </c>
      <c r="CN3" s="3" t="str">
        <f>IF(COUNT(CN4)=0,"",ABS(CN103-CN4))</f>
        <v/>
      </c>
      <c r="CO3" s="3" t="str">
        <f>IF(COUNT(CO4)=0,"",ABS(CO103-CO4))</f>
        <v/>
      </c>
      <c r="CP3" s="3" t="str">
        <f>IF(COUNT(CP4)=0,"",ABS(CP103-CP4))</f>
        <v/>
      </c>
      <c r="CQ3" s="3" t="str">
        <f>IF(COUNT(CQ4)=0,"",ABS(CQ103-CQ4))</f>
        <v/>
      </c>
      <c r="CR3" s="3" t="str">
        <f>IF(COUNT(CR4)=0,"",ABS(CR103-CR4))</f>
        <v/>
      </c>
      <c r="CS3" s="3" t="str">
        <f>IF(COUNT(CS4)=0,"",ABS(CS103-CS4))</f>
        <v/>
      </c>
      <c r="CT3" s="3" t="str">
        <f>IF(COUNT(CT4)=0,"",ABS(CT103-CT4))</f>
        <v/>
      </c>
      <c r="CU3" s="3" t="str">
        <f>IF(COUNT(CU4)=0,"",ABS(CU103-CU4))</f>
        <v/>
      </c>
      <c r="CV3" s="3" t="str">
        <f>IF(COUNT(CV4)=0,"",ABS(CV103-CV4))</f>
        <v/>
      </c>
      <c r="CW3" s="3" t="str">
        <f>IF(COUNT(CW4)=0,"",ABS(CW103-CW4))</f>
        <v/>
      </c>
      <c r="CX3" s="3" t="str">
        <f>IF(COUNT(CX4)=0,"",ABS(CX103-CX4))</f>
        <v/>
      </c>
      <c r="CY3" s="3" t="str">
        <f>IF(COUNT(CY4)=0,"",ABS(CY103-CY4))</f>
        <v/>
      </c>
    </row>
    <row r="4" outlineLevel="1">
      <c r="C4" s="14" t="inlineStr">
        <is>
          <t>Net Income reportado (preencher ou ligar) - base do check IS</t>
        </is>
      </c>
      <c r="D4" s="16" t="n"/>
      <c r="E4" s="16" t="n"/>
      <c r="F4" s="16" t="n"/>
      <c r="G4" s="16" t="n"/>
      <c r="H4" s="16" t="str">
        <f>IF(COUNT(D4:G4)=4,SUM(D4:G4),"")</f>
        <v/>
      </c>
      <c r="I4" s="16" t="n"/>
      <c r="J4" s="16" t="n"/>
      <c r="K4" s="16" t="n"/>
      <c r="L4" s="16" t="n"/>
      <c r="M4" s="16" t="str">
        <f>IF(COUNT(I4:L4)=4,SUM(I4:L4),"")</f>
        <v/>
      </c>
      <c r="N4" s="16" t="n"/>
      <c r="O4" s="16" t="n"/>
      <c r="P4" s="16" t="n"/>
      <c r="Q4" s="16" t="n"/>
      <c r="R4" s="16" t="str">
        <f>IF(COUNT(N4:Q4)=4,SUM(N4:Q4),"")</f>
        <v/>
      </c>
      <c r="S4" s="16" t="n"/>
      <c r="T4" s="16" t="n"/>
      <c r="U4" s="16" t="n"/>
      <c r="V4" s="16" t="n"/>
      <c r="W4" s="16" t="str">
        <f>IF(COUNT(S4:V4)=4,SUM(S4:V4),"")</f>
        <v/>
      </c>
      <c r="X4" s="16" t="n"/>
      <c r="Y4" s="16" t="n"/>
      <c r="Z4" s="16" t="n"/>
      <c r="AA4" s="16" t="n"/>
      <c r="AB4" s="16" t="str">
        <f>IF(COUNT(X4:AA4)=4,SUM(X4:AA4),"")</f>
        <v/>
      </c>
      <c r="AC4" s="16" t="n"/>
      <c r="AD4" s="16" t="n"/>
      <c r="AE4" s="16" t="n"/>
      <c r="AF4" s="16" t="n"/>
      <c r="AG4" s="16" t="str">
        <f>IF(COUNT(AC4:AF4)=4,SUM(AC4:AF4),"")</f>
        <v/>
      </c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 t="n"/>
      <c r="E15" s="15" t="n"/>
      <c r="F15" s="15" t="n"/>
      <c r="G15" s="15" t="n"/>
      <c r="H15" s="16">
        <f>SUM(D15:G15)</f>
        <v>0</v>
      </c>
      <c r="I15" s="15" t="n"/>
      <c r="J15" s="15" t="n"/>
      <c r="K15" s="15" t="n"/>
      <c r="L15" s="15" t="n"/>
      <c r="M15" s="16">
        <f>SUM(I15:L15)</f>
        <v>0</v>
      </c>
      <c r="N15" s="15" t="n"/>
      <c r="O15" s="15" t="n"/>
      <c r="P15" s="15" t="n"/>
      <c r="Q15" s="15" t="n"/>
      <c r="R15" s="16">
        <f>SUM(N15:Q15)</f>
        <v>0</v>
      </c>
      <c r="S15" s="15" t="n"/>
      <c r="T15" s="15" t="n"/>
      <c r="U15" s="15" t="n"/>
      <c r="V15" s="15" t="n"/>
      <c r="W15" s="16">
        <f>SUM(S15:V15)</f>
        <v>0</v>
      </c>
      <c r="X15" s="15" t="n"/>
      <c r="Y15" s="15" t="n"/>
      <c r="Z15" s="15" t="n"/>
      <c r="AA15" s="15" t="n"/>
      <c r="AB15" s="16">
        <f>SUM(X15:AA15)</f>
        <v>0</v>
      </c>
      <c r="AC15" s="15" t="n"/>
      <c r="AD15" s="15" t="n"/>
      <c r="AE15" s="15" t="n"/>
      <c r="AF15" s="15" t="n"/>
      <c r="AG15" s="16">
        <f>SUM(AC15:AF15)</f>
        <v>0</v>
      </c>
      <c r="AH15" s="16">
        <f>AC15*(1+AH16)</f>
        <v>0</v>
      </c>
      <c r="AI15" s="16">
        <f>AD15*(1+AI16)</f>
        <v>0</v>
      </c>
      <c r="AJ15" s="16">
        <f>AE15*(1+AJ16)</f>
        <v>0</v>
      </c>
      <c r="AK15" s="16">
        <f>AF15*(1+AK16)</f>
        <v>0</v>
      </c>
      <c r="AL15" s="16">
        <f>SUM(AH15:AK15)</f>
        <v>0</v>
      </c>
      <c r="AM15" s="16">
        <f>AH15*(1+AM16)</f>
        <v>0</v>
      </c>
      <c r="AN15" s="16">
        <f>AI15*(1+AN16)</f>
        <v>0</v>
      </c>
      <c r="AO15" s="16">
        <f>AJ15*(1+AO16)</f>
        <v>0</v>
      </c>
      <c r="AP15" s="16">
        <f>AK15*(1+AP16)</f>
        <v>0</v>
      </c>
      <c r="AQ15" s="16">
        <f>SUM(AM15:AP15)</f>
        <v>0</v>
      </c>
      <c r="AR15" s="16">
        <f>AM15*(1+AR16)</f>
        <v>0</v>
      </c>
      <c r="AS15" s="16">
        <f>AN15*(1+AS16)</f>
        <v>0</v>
      </c>
      <c r="AT15" s="16">
        <f>AO15*(1+AT16)</f>
        <v>0</v>
      </c>
      <c r="AU15" s="16">
        <f>AP15*(1+AU16)</f>
        <v>0</v>
      </c>
      <c r="AV15" s="16">
        <f>SUM(AR15:AU15)</f>
        <v>0</v>
      </c>
      <c r="AW15" s="16">
        <f>AR15*(1+AW16)</f>
        <v>0</v>
      </c>
      <c r="AX15" s="16">
        <f>AS15*(1+AX16)</f>
        <v>0</v>
      </c>
      <c r="AY15" s="16">
        <f>AT15*(1+AY16)</f>
        <v>0</v>
      </c>
      <c r="AZ15" s="16">
        <f>AU15*(1+AZ16)</f>
        <v>0</v>
      </c>
      <c r="BA15" s="16">
        <f>SUM(AW15:AZ15)</f>
        <v>0</v>
      </c>
      <c r="BB15" s="16">
        <f>AW15*(1+BB16)</f>
        <v>0</v>
      </c>
      <c r="BC15" s="16">
        <f>AX15*(1+BC16)</f>
        <v>0</v>
      </c>
      <c r="BD15" s="16">
        <f>AY15*(1+BD16)</f>
        <v>0</v>
      </c>
      <c r="BE15" s="16">
        <f>AZ15*(1+BE16)</f>
        <v>0</v>
      </c>
      <c r="BF15" s="16">
        <f>SUM(BB15:BE15)</f>
        <v>0</v>
      </c>
      <c r="BG15" s="16">
        <f>BB15*(1+BG16)</f>
        <v>0</v>
      </c>
      <c r="BH15" s="16">
        <f>BC15*(1+BH16)</f>
        <v>0</v>
      </c>
      <c r="BI15" s="16">
        <f>BD15*(1+BI16)</f>
        <v>0</v>
      </c>
      <c r="BJ15" s="16">
        <f>BE15*(1+BJ16)</f>
        <v>0</v>
      </c>
      <c r="BK15" s="16">
        <f>SUM(BG15:BJ15)</f>
        <v>0</v>
      </c>
      <c r="BL15" s="16">
        <f>BG15*(1+BL16)</f>
        <v>0</v>
      </c>
      <c r="BM15" s="16">
        <f>BH15*(1+BM16)</f>
        <v>0</v>
      </c>
      <c r="BN15" s="16">
        <f>BI15*(1+BN16)</f>
        <v>0</v>
      </c>
      <c r="BO15" s="16">
        <f>BJ15*(1+BO16)</f>
        <v>0</v>
      </c>
      <c r="BP15" s="16">
        <f>SUM(BL15:BO15)</f>
        <v>0</v>
      </c>
      <c r="BQ15" s="16">
        <f>BL15*(1+BQ16)</f>
        <v>0</v>
      </c>
      <c r="BR15" s="16">
        <f>BM15*(1+BR16)</f>
        <v>0</v>
      </c>
      <c r="BS15" s="16">
        <f>BN15*(1+BS16)</f>
        <v>0</v>
      </c>
      <c r="BT15" s="16">
        <f>BO15*(1+BT16)</f>
        <v>0</v>
      </c>
      <c r="BU15" s="16">
        <f>SUM(BQ15:BT15)</f>
        <v>0</v>
      </c>
      <c r="BV15" s="16">
        <f>BQ15*(1+BV16)</f>
        <v>0</v>
      </c>
      <c r="BW15" s="16">
        <f>BR15*(1+BW16)</f>
        <v>0</v>
      </c>
      <c r="BX15" s="16">
        <f>BS15*(1+BX16)</f>
        <v>0</v>
      </c>
      <c r="BY15" s="16">
        <f>BT15*(1+BY16)</f>
        <v>0</v>
      </c>
      <c r="BZ15" s="16">
        <f>SUM(BV15:BY15)</f>
        <v>0</v>
      </c>
      <c r="CA15" s="16">
        <f>BV15*(1+CA16)</f>
        <v>0</v>
      </c>
      <c r="CB15" s="16">
        <f>BW15*(1+CB16)</f>
        <v>0</v>
      </c>
      <c r="CC15" s="16">
        <f>BX15*(1+CC16)</f>
        <v>0</v>
      </c>
      <c r="CD15" s="16">
        <f>BY15*(1+CD16)</f>
        <v>0</v>
      </c>
      <c r="CE15" s="16">
        <f>SUM(CA15:CD15)</f>
        <v>0</v>
      </c>
      <c r="CF15" s="16">
        <f>CA15*(1+CF16)</f>
        <v>0</v>
      </c>
      <c r="CG15" s="16">
        <f>CB15*(1+CG16)</f>
        <v>0</v>
      </c>
      <c r="CH15" s="16">
        <f>CC15*(1+CH16)</f>
        <v>0</v>
      </c>
      <c r="CI15" s="16">
        <f>CD15*(1+CI16)</f>
        <v>0</v>
      </c>
      <c r="CJ15" s="16">
        <f>SUM(CF15:CI15)</f>
        <v>0</v>
      </c>
      <c r="CK15" s="16">
        <f>CF15*(1+CK16)</f>
        <v>0</v>
      </c>
      <c r="CL15" s="16">
        <f>CG15*(1+CL16)</f>
        <v>0</v>
      </c>
      <c r="CM15" s="16">
        <f>CH15*(1+CM16)</f>
        <v>0</v>
      </c>
      <c r="CN15" s="16">
        <f>CI15*(1+CN16)</f>
        <v>0</v>
      </c>
      <c r="CO15" s="16">
        <f>SUM(CK15:CN15)</f>
        <v>0</v>
      </c>
      <c r="CP15" s="16">
        <f>CK15*(1+CP16)</f>
        <v>0</v>
      </c>
      <c r="CQ15" s="16">
        <f>CL15*(1+CQ16)</f>
        <v>0</v>
      </c>
      <c r="CR15" s="16">
        <f>CM15*(1+CR16)</f>
        <v>0</v>
      </c>
      <c r="CS15" s="16">
        <f>CN15*(1+CS16)</f>
        <v>0</v>
      </c>
      <c r="CT15" s="16">
        <f>SUM(CP15:CS15)</f>
        <v>0</v>
      </c>
      <c r="CU15" s="16">
        <f>CP15*(1+CU16)</f>
        <v>0</v>
      </c>
      <c r="CV15" s="16">
        <f>CQ15*(1+CV16)</f>
        <v>0</v>
      </c>
      <c r="CW15" s="16">
        <f>CR15*(1+CW16)</f>
        <v>0</v>
      </c>
      <c r="CX15" s="16">
        <f>CS15*(1+CX16)</f>
        <v>0</v>
      </c>
      <c r="CY15" s="16">
        <f>SUM(CU15:CX15)</f>
        <v>0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 t="e">
        <f>N15/I15-1</f>
        <v>#DIV/0!</v>
      </c>
      <c r="O16" s="47" t="e">
        <f>O15/J15-1</f>
        <v>#DIV/0!</v>
      </c>
      <c r="P16" s="47" t="e">
        <f>P15/K15-1</f>
        <v>#DIV/0!</v>
      </c>
      <c r="Q16" s="47" t="e">
        <f>Q15/L15-1</f>
        <v>#DIV/0!</v>
      </c>
      <c r="R16" s="47" t="e">
        <f>R15/M15-1</f>
        <v>#DIV/0!</v>
      </c>
      <c r="S16" s="47" t="e">
        <f>S15/N15-1</f>
        <v>#DIV/0!</v>
      </c>
      <c r="T16" s="47" t="e">
        <f>T15/O15-1</f>
        <v>#DIV/0!</v>
      </c>
      <c r="U16" s="47" t="e">
        <f>U15/P15-1</f>
        <v>#DIV/0!</v>
      </c>
      <c r="V16" s="47" t="e">
        <f>V15/Q15-1</f>
        <v>#DIV/0!</v>
      </c>
      <c r="W16" s="47" t="e">
        <f>W15/R15-1</f>
        <v>#DIV/0!</v>
      </c>
      <c r="X16" s="47" t="e">
        <f>X15/S15-1</f>
        <v>#DIV/0!</v>
      </c>
      <c r="Y16" s="47" t="e">
        <f>Y15/T15-1</f>
        <v>#DIV/0!</v>
      </c>
      <c r="Z16" s="47" t="e">
        <f>Z15/U15-1</f>
        <v>#DIV/0!</v>
      </c>
      <c r="AA16" s="47" t="e">
        <f>AA15/V15-1</f>
        <v>#DIV/0!</v>
      </c>
      <c r="AB16" s="47" t="e">
        <f>AB15/W15-1</f>
        <v>#DIV/0!</v>
      </c>
      <c r="AC16" s="47" t="e">
        <f>AC15/X15-1</f>
        <v>#DIV/0!</v>
      </c>
      <c r="AD16" s="47" t="e">
        <f>AD15/Y15-1</f>
        <v>#DIV/0!</v>
      </c>
      <c r="AE16" s="47" t="e">
        <f>AE15/Z15-1</f>
        <v>#DIV/0!</v>
      </c>
      <c r="AF16" s="44" t="e">
        <f>AF15/AA15-1</f>
        <v>#DIV/0!</v>
      </c>
      <c r="AG16" s="47" t="e">
        <f>AG15/AB15-1</f>
        <v>#DIV/0!</v>
      </c>
      <c r="AH16" s="44" t="n"/>
      <c r="AI16" s="44" t="n"/>
      <c r="AJ16" s="44" t="n"/>
      <c r="AK16" s="44" t="n"/>
      <c r="AL16" s="22" t="e">
        <f>AL15/AG15-1</f>
        <v>#DIV/0!</v>
      </c>
      <c r="AM16" s="44" t="n"/>
      <c r="AN16" s="44" t="n"/>
      <c r="AO16" s="44" t="n"/>
      <c r="AP16" s="44" t="n"/>
      <c r="AQ16" s="22" t="e">
        <f>AQ15/AL15-1</f>
        <v>#DIV/0!</v>
      </c>
      <c r="AR16" s="44" t="n"/>
      <c r="AS16" s="44" t="n"/>
      <c r="AT16" s="44" t="n"/>
      <c r="AU16" s="44" t="n"/>
      <c r="AV16" s="22" t="e">
        <f>AV15/AQ15-1</f>
        <v>#DIV/0!</v>
      </c>
      <c r="AW16" s="44" t="n"/>
      <c r="AX16" s="44" t="n"/>
      <c r="AY16" s="44" t="n"/>
      <c r="AZ16" s="44" t="n"/>
      <c r="BA16" s="22" t="e">
        <f>BA15/AV15-1</f>
        <v>#DIV/0!</v>
      </c>
      <c r="BB16" s="44" t="n"/>
      <c r="BC16" s="44" t="n"/>
      <c r="BD16" s="44" t="n"/>
      <c r="BE16" s="44" t="n"/>
      <c r="BF16" s="22" t="e">
        <f>BF15/BA15-1</f>
        <v>#DIV/0!</v>
      </c>
      <c r="BG16" s="44" t="n"/>
      <c r="BH16" s="44" t="n"/>
      <c r="BI16" s="44" t="n"/>
      <c r="BJ16" s="44" t="n"/>
      <c r="BK16" s="22" t="e">
        <f>BK15/BF15-1</f>
        <v>#DIV/0!</v>
      </c>
      <c r="BL16" s="44" t="n"/>
      <c r="BM16" s="44" t="n"/>
      <c r="BN16" s="44" t="n"/>
      <c r="BO16" s="44" t="n"/>
      <c r="BP16" s="22" t="e">
        <f>BP15/BK15-1</f>
        <v>#DIV/0!</v>
      </c>
      <c r="BQ16" s="44" t="n"/>
      <c r="BR16" s="44" t="n"/>
      <c r="BS16" s="44" t="n"/>
      <c r="BT16" s="44" t="n"/>
      <c r="BU16" s="22" t="e">
        <f>BU15/BP15-1</f>
        <v>#DIV/0!</v>
      </c>
      <c r="BV16" s="44" t="n"/>
      <c r="BW16" s="44" t="n"/>
      <c r="BX16" s="44" t="n"/>
      <c r="BY16" s="44" t="n"/>
      <c r="BZ16" s="22" t="e">
        <f>BZ15/BU15-1</f>
        <v>#DIV/0!</v>
      </c>
      <c r="CA16" s="44" t="n"/>
      <c r="CB16" s="44" t="n"/>
      <c r="CC16" s="44" t="n"/>
      <c r="CD16" s="44" t="n"/>
      <c r="CE16" s="22" t="e">
        <f>CE15/BZ15-1</f>
        <v>#DIV/0!</v>
      </c>
      <c r="CF16" s="44" t="n"/>
      <c r="CG16" s="44" t="n"/>
      <c r="CH16" s="44" t="n"/>
      <c r="CI16" s="44" t="n"/>
      <c r="CJ16" s="22" t="e">
        <f>CJ15/CE15-1</f>
        <v>#DIV/0!</v>
      </c>
      <c r="CK16" s="44" t="n"/>
      <c r="CL16" s="44" t="n"/>
      <c r="CM16" s="44" t="n"/>
      <c r="CN16" s="44" t="n"/>
      <c r="CO16" s="22" t="e">
        <f>CO15/CJ15-1</f>
        <v>#DIV/0!</v>
      </c>
      <c r="CP16" s="44" t="n"/>
      <c r="CQ16" s="44" t="n"/>
      <c r="CR16" s="44" t="n"/>
      <c r="CS16" s="44" t="n"/>
      <c r="CT16" s="22" t="e">
        <f>CT15/CO15-1</f>
        <v>#DIV/0!</v>
      </c>
      <c r="CU16" s="44" t="n"/>
      <c r="CV16" s="44" t="n"/>
      <c r="CW16" s="44" t="n"/>
      <c r="CX16" s="44" t="n"/>
      <c r="CY16" s="22" t="e">
        <f>CY15/CT15-1</f>
        <v>#DIV/0!</v>
      </c>
    </row>
    <row r="17" hidden="1" outlineLevel="1" customFormat="1" s="23">
      <c r="A17" s="18" t="n"/>
      <c r="B17" s="19" t="n"/>
      <c r="C17" s="229" t="inlineStr">
        <is>
          <t>Check Receita</t>
        </is>
      </c>
      <c r="D17" s="21" t="n"/>
      <c r="E17" s="47" t="n"/>
      <c r="F17" s="47" t="n"/>
      <c r="G17" s="47" t="n"/>
      <c r="H17" s="21" t="n"/>
      <c r="I17" s="21" t="n"/>
      <c r="J17" s="47" t="n"/>
      <c r="K17" s="47" t="n"/>
      <c r="L17" s="47" t="n"/>
      <c r="M17" s="21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  <c r="AH17" s="44" t="n"/>
      <c r="AI17" s="44" t="n"/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 t="n"/>
      <c r="E20" s="25" t="n"/>
      <c r="F20" s="25" t="n"/>
      <c r="G20" s="25" t="n"/>
      <c r="H20" s="3">
        <f>SUM(D20:G20)</f>
        <v>0</v>
      </c>
      <c r="I20" s="25" t="n"/>
      <c r="J20" s="25" t="n"/>
      <c r="K20" s="25" t="n"/>
      <c r="L20" s="25" t="n"/>
      <c r="M20" s="3">
        <f>SUM(I20:L20)</f>
        <v>0</v>
      </c>
      <c r="N20" s="25" t="n"/>
      <c r="O20" s="25" t="n"/>
      <c r="P20" s="25" t="n"/>
      <c r="Q20" s="25" t="n"/>
      <c r="R20" s="3">
        <f>SUM(N20:Q20)</f>
        <v>0</v>
      </c>
      <c r="S20" s="25" t="n"/>
      <c r="T20" s="25" t="n"/>
      <c r="U20" s="25" t="n"/>
      <c r="V20" s="25" t="n"/>
      <c r="W20" s="3">
        <f>SUM(S20:V20)</f>
        <v>0</v>
      </c>
      <c r="X20" s="25" t="n"/>
      <c r="Y20" s="25" t="n"/>
      <c r="Z20" s="25" t="n"/>
      <c r="AA20" s="25" t="n"/>
      <c r="AB20" s="3">
        <f>SUM(X20:AA20)</f>
        <v>0</v>
      </c>
      <c r="AC20" s="25" t="n"/>
      <c r="AD20" s="25" t="n"/>
      <c r="AE20" s="25" t="n"/>
      <c r="AF20" s="25" t="n"/>
      <c r="AG20" s="3">
        <f>SUM(AC20:AF20)</f>
        <v>0</v>
      </c>
      <c r="AH20" s="3">
        <f>(100%-AH21)*-AH15</f>
        <v>0</v>
      </c>
      <c r="AI20" s="3">
        <f>(100%-AI21)*-AI15</f>
        <v>0</v>
      </c>
      <c r="AJ20" s="3">
        <f>(100%-AJ21)*-AJ15</f>
        <v>0</v>
      </c>
      <c r="AK20" s="3">
        <f>(100%-AK21)*-AK15</f>
        <v>0</v>
      </c>
      <c r="AL20" s="3">
        <f>SUM(AH20:AK20)</f>
        <v>0</v>
      </c>
      <c r="AM20" s="3">
        <f>(100%-AM21)*-AM15</f>
        <v>0</v>
      </c>
      <c r="AN20" s="3">
        <f>(100%-AN21)*-AN15</f>
        <v>0</v>
      </c>
      <c r="AO20" s="3">
        <f>(100%-AO21)*-AO15</f>
        <v>0</v>
      </c>
      <c r="AP20" s="3">
        <f>(100%-AP21)*-AP15</f>
        <v>0</v>
      </c>
      <c r="AQ20" s="3">
        <f>SUM(AM20:AP20)</f>
        <v>0</v>
      </c>
      <c r="AR20" s="3">
        <f>(100%-AR21)*-AR15</f>
        <v>0</v>
      </c>
      <c r="AS20" s="3">
        <f>(100%-AS21)*-AS15</f>
        <v>0</v>
      </c>
      <c r="AT20" s="3">
        <f>(100%-AT21)*-AT15</f>
        <v>0</v>
      </c>
      <c r="AU20" s="3">
        <f>(100%-AU21)*-AU15</f>
        <v>0</v>
      </c>
      <c r="AV20" s="3">
        <f>SUM(AR20:AU20)</f>
        <v>0</v>
      </c>
      <c r="AW20" s="3">
        <f>(100%-AW21)*-AW15</f>
        <v>0</v>
      </c>
      <c r="AX20" s="3">
        <f>(100%-AX21)*-AX15</f>
        <v>0</v>
      </c>
      <c r="AY20" s="3">
        <f>(100%-AY21)*-AY15</f>
        <v>0</v>
      </c>
      <c r="AZ20" s="3">
        <f>(100%-AZ21)*-AZ15</f>
        <v>0</v>
      </c>
      <c r="BA20" s="3">
        <f>SUM(AW20:AZ20)</f>
        <v>0</v>
      </c>
      <c r="BB20" s="3">
        <f>(100%-BB21)*-BB15</f>
        <v>0</v>
      </c>
      <c r="BC20" s="3">
        <f>(100%-BC21)*-BC15</f>
        <v>0</v>
      </c>
      <c r="BD20" s="3">
        <f>(100%-BD21)*-BD15</f>
        <v>0</v>
      </c>
      <c r="BE20" s="3">
        <f>(100%-BE21)*-BE15</f>
        <v>0</v>
      </c>
      <c r="BF20" s="3">
        <f>SUM(BB20:BE20)</f>
        <v>0</v>
      </c>
      <c r="BG20" s="3">
        <f>(100%-BG21)*-BG15</f>
        <v>0</v>
      </c>
      <c r="BH20" s="3">
        <f>(100%-BH21)*-BH15</f>
        <v>0</v>
      </c>
      <c r="BI20" s="3">
        <f>(100%-BI21)*-BI15</f>
        <v>0</v>
      </c>
      <c r="BJ20" s="3">
        <f>(100%-BJ21)*-BJ15</f>
        <v>0</v>
      </c>
      <c r="BK20" s="3">
        <f>SUM(BG20:BJ20)</f>
        <v>0</v>
      </c>
      <c r="BL20" s="3">
        <f>(100%-BL21)*-BL15</f>
        <v>0</v>
      </c>
      <c r="BM20" s="3">
        <f>(100%-BM21)*-BM15</f>
        <v>0</v>
      </c>
      <c r="BN20" s="3">
        <f>(100%-BN21)*-BN15</f>
        <v>0</v>
      </c>
      <c r="BO20" s="3">
        <f>(100%-BO21)*-BO15</f>
        <v>0</v>
      </c>
      <c r="BP20" s="3">
        <f>SUM(BL20:BO20)</f>
        <v>0</v>
      </c>
      <c r="BQ20" s="3">
        <f>(100%-BQ21)*-BQ15</f>
        <v>0</v>
      </c>
      <c r="BR20" s="3">
        <f>(100%-BR21)*-BR15</f>
        <v>0</v>
      </c>
      <c r="BS20" s="3">
        <f>(100%-BS21)*-BS15</f>
        <v>0</v>
      </c>
      <c r="BT20" s="3">
        <f>(100%-BT21)*-BT15</f>
        <v>0</v>
      </c>
      <c r="BU20" s="3">
        <f>SUM(BQ20:BT20)</f>
        <v>0</v>
      </c>
      <c r="BV20" s="3">
        <f>(100%-BV21)*-BV15</f>
        <v>0</v>
      </c>
      <c r="BW20" s="3">
        <f>(100%-BW21)*-BW15</f>
        <v>0</v>
      </c>
      <c r="BX20" s="3">
        <f>(100%-BX21)*-BX15</f>
        <v>0</v>
      </c>
      <c r="BY20" s="3">
        <f>(100%-BY21)*-BY15</f>
        <v>0</v>
      </c>
      <c r="BZ20" s="3">
        <f>SUM(BV20:BY20)</f>
        <v>0</v>
      </c>
      <c r="CA20" s="3">
        <f>(100%-CA21)*-CA15</f>
        <v>0</v>
      </c>
      <c r="CB20" s="3">
        <f>(100%-CB21)*-CB15</f>
        <v>0</v>
      </c>
      <c r="CC20" s="3">
        <f>(100%-CC21)*-CC15</f>
        <v>0</v>
      </c>
      <c r="CD20" s="3">
        <f>(100%-CD21)*-CD15</f>
        <v>0</v>
      </c>
      <c r="CE20" s="3">
        <f>SUM(CA20:CD20)</f>
        <v>0</v>
      </c>
      <c r="CF20" s="3">
        <f>(100%-CF21)*-CF15</f>
        <v>0</v>
      </c>
      <c r="CG20" s="3">
        <f>(100%-CG21)*-CG15</f>
        <v>0</v>
      </c>
      <c r="CH20" s="3">
        <f>(100%-CH21)*-CH15</f>
        <v>0</v>
      </c>
      <c r="CI20" s="3">
        <f>(100%-CI21)*-CI15</f>
        <v>0</v>
      </c>
      <c r="CJ20" s="3">
        <f>SUM(CF20:CI20)</f>
        <v>0</v>
      </c>
      <c r="CK20" s="3">
        <f>(100%-CK21)*-CK15</f>
        <v>0</v>
      </c>
      <c r="CL20" s="3">
        <f>(100%-CL21)*-CL15</f>
        <v>0</v>
      </c>
      <c r="CM20" s="3">
        <f>(100%-CM21)*-CM15</f>
        <v>0</v>
      </c>
      <c r="CN20" s="3">
        <f>(100%-CN21)*-CN15</f>
        <v>0</v>
      </c>
      <c r="CO20" s="3">
        <f>SUM(CK20:CN20)</f>
        <v>0</v>
      </c>
      <c r="CP20" s="3">
        <f>(100%-CP21)*-CP15</f>
        <v>0</v>
      </c>
      <c r="CQ20" s="3">
        <f>(100%-CQ21)*-CQ15</f>
        <v>0</v>
      </c>
      <c r="CR20" s="3">
        <f>(100%-CR21)*-CR15</f>
        <v>0</v>
      </c>
      <c r="CS20" s="3">
        <f>(100%-CS21)*-CS15</f>
        <v>0</v>
      </c>
      <c r="CT20" s="3">
        <f>SUM(CP20:CS20)</f>
        <v>0</v>
      </c>
      <c r="CU20" s="3">
        <f>(100%-CU21)*-CU15</f>
        <v>0</v>
      </c>
      <c r="CV20" s="3">
        <f>(100%-CV21)*-CV15</f>
        <v>0</v>
      </c>
      <c r="CW20" s="3">
        <f>(100%-CW21)*-CW15</f>
        <v>0</v>
      </c>
      <c r="CX20" s="3">
        <f>(100%-CX21)*-CX15</f>
        <v>0</v>
      </c>
      <c r="CY20" s="3">
        <f>SUM(CU20:CX20)</f>
        <v>0</v>
      </c>
    </row>
    <row r="21" hidden="1" outlineLevel="1" customFormat="1" s="1">
      <c r="C21" s="57" t="inlineStr">
        <is>
          <t>% Gross Margin</t>
        </is>
      </c>
      <c r="D21" s="54" t="e">
        <f>(D15+D20)/D$15</f>
        <v>#DIV/0!</v>
      </c>
      <c r="E21" s="54" t="e">
        <f>(E15+E20)/E$15</f>
        <v>#DIV/0!</v>
      </c>
      <c r="F21" s="54" t="e">
        <f>(F15+F20)/F$15</f>
        <v>#DIV/0!</v>
      </c>
      <c r="G21" s="54" t="e">
        <f>(G15+G20)/G$15</f>
        <v>#DIV/0!</v>
      </c>
      <c r="H21" s="54" t="e">
        <f>(H15+H20)/H$15</f>
        <v>#DIV/0!</v>
      </c>
      <c r="I21" s="54" t="e">
        <f>(I15+I20)/I$15</f>
        <v>#DIV/0!</v>
      </c>
      <c r="J21" s="54" t="e">
        <f>(J15+J20)/J$15</f>
        <v>#DIV/0!</v>
      </c>
      <c r="K21" s="54" t="e">
        <f>(K15+K20)/K$15</f>
        <v>#DIV/0!</v>
      </c>
      <c r="L21" s="54" t="e">
        <f>(L15+L20)/L$15</f>
        <v>#DIV/0!</v>
      </c>
      <c r="M21" s="54" t="e">
        <f>(M15+M20)/M$15</f>
        <v>#DIV/0!</v>
      </c>
      <c r="N21" s="54" t="e">
        <f>(N15+N20)/N$15</f>
        <v>#DIV/0!</v>
      </c>
      <c r="O21" s="54" t="e">
        <f>(O15+O20)/O$15</f>
        <v>#DIV/0!</v>
      </c>
      <c r="P21" s="54" t="e">
        <f>(P15+P20)/P$15</f>
        <v>#DIV/0!</v>
      </c>
      <c r="Q21" s="54" t="e">
        <f>(Q15+Q20)/Q$15</f>
        <v>#DIV/0!</v>
      </c>
      <c r="R21" s="54" t="e">
        <f>(R15+R20)/R$15</f>
        <v>#DIV/0!</v>
      </c>
      <c r="S21" s="54" t="e">
        <f>(S15+S20)/S$15</f>
        <v>#DIV/0!</v>
      </c>
      <c r="T21" s="54" t="e">
        <f>(T15+T20)/T$15</f>
        <v>#DIV/0!</v>
      </c>
      <c r="U21" s="54" t="e">
        <f>(U15+U20)/U$15</f>
        <v>#DIV/0!</v>
      </c>
      <c r="V21" s="54" t="e">
        <f>(V15+V20)/V$15</f>
        <v>#DIV/0!</v>
      </c>
      <c r="W21" s="54" t="e">
        <f>(W15+W20)/W$15</f>
        <v>#DIV/0!</v>
      </c>
      <c r="X21" s="54" t="e">
        <f>(X15+X20)/X$15</f>
        <v>#DIV/0!</v>
      </c>
      <c r="Y21" s="54" t="e">
        <f>(Y15+Y20)/Y$15</f>
        <v>#DIV/0!</v>
      </c>
      <c r="Z21" s="54" t="e">
        <f>(Z15+Z20)/Z$15</f>
        <v>#DIV/0!</v>
      </c>
      <c r="AA21" s="54" t="e">
        <f>(AA15+AA20)/AA$15</f>
        <v>#DIV/0!</v>
      </c>
      <c r="AB21" s="54" t="e">
        <f>(AB15+AB20)/AB$15</f>
        <v>#DIV/0!</v>
      </c>
      <c r="AC21" s="54" t="e">
        <f>(AC15+AC20)/AC$15</f>
        <v>#DIV/0!</v>
      </c>
      <c r="AD21" s="54" t="e">
        <f>(AD15+AD20)/AD$15</f>
        <v>#DIV/0!</v>
      </c>
      <c r="AE21" s="54" t="e">
        <f>(AE15+AE20)/AE$15</f>
        <v>#DIV/0!</v>
      </c>
      <c r="AF21" s="44" t="e">
        <f>(AF15+AF20)/AF$15</f>
        <v>#DIV/0!</v>
      </c>
      <c r="AG21" s="54" t="e">
        <f>(AG15+AG20)/AG$15</f>
        <v>#DIV/0!</v>
      </c>
      <c r="AH21" s="55" t="n"/>
      <c r="AI21" s="55" t="n"/>
      <c r="AJ21" s="55" t="n"/>
      <c r="AK21" s="55" t="n"/>
      <c r="AL21" s="54" t="e">
        <f>(AL15+AL20)/AL$15</f>
        <v>#DIV/0!</v>
      </c>
      <c r="AM21" s="55" t="n"/>
      <c r="AN21" s="55" t="n"/>
      <c r="AO21" s="55" t="n"/>
      <c r="AP21" s="55" t="n"/>
      <c r="AQ21" s="54" t="e">
        <f>(AQ15+AQ20)/AQ$15</f>
        <v>#DIV/0!</v>
      </c>
      <c r="AR21" s="55" t="n"/>
      <c r="AS21" s="55" t="n"/>
      <c r="AT21" s="55" t="n"/>
      <c r="AU21" s="55" t="n"/>
      <c r="AV21" s="54" t="e">
        <f>(AV15+AV20)/AV$15</f>
        <v>#DIV/0!</v>
      </c>
      <c r="AW21" s="55" t="n"/>
      <c r="AX21" s="55" t="n"/>
      <c r="AY21" s="55" t="n"/>
      <c r="AZ21" s="55" t="n"/>
      <c r="BA21" s="54" t="e">
        <f>(BA15+BA20)/BA$15</f>
        <v>#DIV/0!</v>
      </c>
      <c r="BB21" s="55" t="n"/>
      <c r="BC21" s="55" t="n"/>
      <c r="BD21" s="55" t="n"/>
      <c r="BE21" s="55" t="n"/>
      <c r="BF21" s="54" t="e">
        <f>(BF15+BF20)/BF$15</f>
        <v>#DIV/0!</v>
      </c>
      <c r="BG21" s="55" t="n"/>
      <c r="BH21" s="55" t="n"/>
      <c r="BI21" s="55" t="n"/>
      <c r="BJ21" s="55" t="n"/>
      <c r="BK21" s="54" t="e">
        <f>(BK15+BK20)/BK$15</f>
        <v>#DIV/0!</v>
      </c>
      <c r="BL21" s="55" t="n"/>
      <c r="BM21" s="55" t="n"/>
      <c r="BN21" s="55" t="n"/>
      <c r="BO21" s="55" t="n"/>
      <c r="BP21" s="54" t="e">
        <f>(BP15+BP20)/BP$15</f>
        <v>#DIV/0!</v>
      </c>
      <c r="BQ21" s="55" t="n"/>
      <c r="BR21" s="55" t="n"/>
      <c r="BS21" s="55" t="n"/>
      <c r="BT21" s="55" t="n"/>
      <c r="BU21" s="54" t="e">
        <f>(BU15+BU20)/BU$15</f>
        <v>#DIV/0!</v>
      </c>
      <c r="BV21" s="55" t="n"/>
      <c r="BW21" s="55" t="n"/>
      <c r="BX21" s="55" t="n"/>
      <c r="BY21" s="55" t="n"/>
      <c r="BZ21" s="54" t="e">
        <f>(BZ15+BZ20)/BZ$15</f>
        <v>#DIV/0!</v>
      </c>
      <c r="CA21" s="55" t="n"/>
      <c r="CB21" s="55" t="n"/>
      <c r="CC21" s="55" t="n"/>
      <c r="CD21" s="55" t="n"/>
      <c r="CE21" s="54" t="e">
        <f>(CE15+CE20)/CE$15</f>
        <v>#DIV/0!</v>
      </c>
      <c r="CF21" s="55" t="n"/>
      <c r="CG21" s="55" t="n"/>
      <c r="CH21" s="55" t="n"/>
      <c r="CI21" s="55" t="n"/>
      <c r="CJ21" s="54" t="e">
        <f>(CJ15+CJ20)/CJ$15</f>
        <v>#DIV/0!</v>
      </c>
      <c r="CK21" s="55" t="n"/>
      <c r="CL21" s="55" t="n"/>
      <c r="CM21" s="55" t="n"/>
      <c r="CN21" s="55" t="n"/>
      <c r="CO21" s="54" t="e">
        <f>(CO15+CO20)/CO$15</f>
        <v>#DIV/0!</v>
      </c>
      <c r="CP21" s="55" t="n"/>
      <c r="CQ21" s="55" t="n"/>
      <c r="CR21" s="55" t="n"/>
      <c r="CS21" s="55" t="n"/>
      <c r="CT21" s="54" t="e">
        <f>(CT15+CT20)/CT$15</f>
        <v>#DIV/0!</v>
      </c>
      <c r="CU21" s="55" t="n"/>
      <c r="CV21" s="55" t="n"/>
      <c r="CW21" s="55" t="n"/>
      <c r="CX21" s="55" t="n"/>
      <c r="CY21" s="54" t="e">
        <f>(CY15+CY20)/CY$15</f>
        <v>#DIV/0!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 t="n"/>
      <c r="E24" s="25" t="n"/>
      <c r="F24" s="25" t="n"/>
      <c r="G24" s="25" t="n"/>
      <c r="H24" s="3">
        <f>SUM(D24:G24)</f>
        <v>0</v>
      </c>
      <c r="I24" s="25" t="n"/>
      <c r="J24" s="25" t="n"/>
      <c r="K24" s="25" t="n"/>
      <c r="L24" s="25" t="n"/>
      <c r="M24" s="3">
        <f>SUM(I24:L24)</f>
        <v>0</v>
      </c>
      <c r="N24" s="25" t="n"/>
      <c r="O24" s="25" t="n"/>
      <c r="P24" s="25" t="n"/>
      <c r="Q24" s="25" t="n"/>
      <c r="R24" s="3">
        <f>SUM(N24:Q24)</f>
        <v>0</v>
      </c>
      <c r="S24" s="25" t="n"/>
      <c r="T24" s="25" t="n"/>
      <c r="U24" s="25" t="n"/>
      <c r="V24" s="25" t="n"/>
      <c r="W24" s="3">
        <f>SUM(S24:V24)</f>
        <v>0</v>
      </c>
      <c r="X24" s="25" t="n"/>
      <c r="Y24" s="25" t="n"/>
      <c r="Z24" s="25" t="n"/>
      <c r="AA24" s="25" t="n"/>
      <c r="AB24" s="3">
        <f>SUM(X24:AA24)</f>
        <v>0</v>
      </c>
      <c r="AC24" s="25" t="n"/>
      <c r="AD24" s="25" t="n"/>
      <c r="AE24" s="25" t="n"/>
      <c r="AF24" s="25" t="n"/>
      <c r="AG24" s="3">
        <f>SUM(AC24:AF24)</f>
        <v>0</v>
      </c>
      <c r="AH24" s="3">
        <f>-AH15*AH25</f>
        <v>0</v>
      </c>
      <c r="AI24" s="3">
        <f>-AI15*AI25</f>
        <v>0</v>
      </c>
      <c r="AJ24" s="3">
        <f>-AJ15*AJ25</f>
        <v>0</v>
      </c>
      <c r="AK24" s="3">
        <f>-AK15*AK25</f>
        <v>0</v>
      </c>
      <c r="AL24" s="3">
        <f>SUM(AH24:AK24)</f>
        <v>0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 t="e">
        <f>-(D24/D$15)</f>
        <v>#DIV/0!</v>
      </c>
      <c r="E25" s="56" t="e">
        <f>-(E24/E$15)</f>
        <v>#DIV/0!</v>
      </c>
      <c r="F25" s="56" t="e">
        <f>-(F24/F$15)</f>
        <v>#DIV/0!</v>
      </c>
      <c r="G25" s="56" t="e">
        <f>-(G24/G$15)</f>
        <v>#DIV/0!</v>
      </c>
      <c r="H25" s="56" t="e">
        <f>-(H24/H$15)</f>
        <v>#DIV/0!</v>
      </c>
      <c r="I25" s="56" t="e">
        <f>-(I24/I$15)</f>
        <v>#DIV/0!</v>
      </c>
      <c r="J25" s="56" t="e">
        <f>-(J24/J$15)</f>
        <v>#DIV/0!</v>
      </c>
      <c r="K25" s="56" t="e">
        <f>-(K24/K$15)</f>
        <v>#DIV/0!</v>
      </c>
      <c r="L25" s="56" t="e">
        <f>-(L24/L$15)</f>
        <v>#DIV/0!</v>
      </c>
      <c r="M25" s="56" t="e">
        <f>-(M24/M$15)</f>
        <v>#DIV/0!</v>
      </c>
      <c r="N25" s="56" t="e">
        <f>-(N24/N$15)</f>
        <v>#DIV/0!</v>
      </c>
      <c r="O25" s="56" t="e">
        <f>-(O24/O$15)</f>
        <v>#DIV/0!</v>
      </c>
      <c r="P25" s="56" t="e">
        <f>-(P24/P$15)</f>
        <v>#DIV/0!</v>
      </c>
      <c r="Q25" s="56" t="e">
        <f>-(Q24/Q$15)</f>
        <v>#DIV/0!</v>
      </c>
      <c r="R25" s="56" t="e">
        <f>-(R24/R$15)</f>
        <v>#DIV/0!</v>
      </c>
      <c r="S25" s="56" t="e">
        <f>-(S24/S$15)</f>
        <v>#DIV/0!</v>
      </c>
      <c r="T25" s="56" t="e">
        <f>-(T24/T$15)</f>
        <v>#DIV/0!</v>
      </c>
      <c r="U25" s="56" t="e">
        <f>-(U24/U$15)</f>
        <v>#DIV/0!</v>
      </c>
      <c r="V25" s="56" t="e">
        <f>-(V24/V$15)</f>
        <v>#DIV/0!</v>
      </c>
      <c r="W25" s="56" t="e">
        <f>-(W24/W$15)</f>
        <v>#DIV/0!</v>
      </c>
      <c r="X25" s="56" t="e">
        <f>-(X24/X$15)</f>
        <v>#DIV/0!</v>
      </c>
      <c r="Y25" s="56" t="e">
        <f>-(Y24/Y$15)</f>
        <v>#DIV/0!</v>
      </c>
      <c r="Z25" s="56" t="e">
        <f>-(Z24/Z$15)</f>
        <v>#DIV/0!</v>
      </c>
      <c r="AA25" s="56" t="e">
        <f>-(AA24/AA$15)</f>
        <v>#DIV/0!</v>
      </c>
      <c r="AB25" s="56" t="e">
        <f>-(AB24/AB$15)</f>
        <v>#DIV/0!</v>
      </c>
      <c r="AC25" s="56" t="e">
        <f>-(AC24/AC$15)</f>
        <v>#DIV/0!</v>
      </c>
      <c r="AD25" s="56" t="e">
        <f>-(AD24/AD$15)</f>
        <v>#DIV/0!</v>
      </c>
      <c r="AE25" s="56" t="e">
        <f>-(AE24/AE$15)</f>
        <v>#DIV/0!</v>
      </c>
      <c r="AF25" s="44" t="e">
        <f>-(AF24/AF$15)</f>
        <v>#DIV/0!</v>
      </c>
      <c r="AG25" s="56" t="e">
        <f>-(AG24/AG$15)</f>
        <v>#DIV/0!</v>
      </c>
      <c r="AH25" s="45" t="n"/>
      <c r="AI25" s="45" t="n"/>
      <c r="AJ25" s="45" t="n"/>
      <c r="AK25" s="45" t="n"/>
      <c r="AL25" s="56" t="e">
        <f>-(AL24/AL$15)</f>
        <v>#DIV/0!</v>
      </c>
      <c r="AM25" s="45" t="n"/>
      <c r="AN25" s="45" t="n"/>
      <c r="AO25" s="45" t="n"/>
      <c r="AP25" s="45" t="n"/>
      <c r="AQ25" s="56" t="e">
        <f>-(AQ24/AQ$15)</f>
        <v>#DIV/0!</v>
      </c>
      <c r="AR25" s="45" t="n"/>
      <c r="AS25" s="45" t="n"/>
      <c r="AT25" s="45" t="n"/>
      <c r="AU25" s="45" t="n"/>
      <c r="AV25" s="56" t="e">
        <f>-(AV24/AV$15)</f>
        <v>#DIV/0!</v>
      </c>
      <c r="AW25" s="45" t="n"/>
      <c r="AX25" s="45" t="n"/>
      <c r="AY25" s="45" t="n"/>
      <c r="AZ25" s="45" t="n"/>
      <c r="BA25" s="56" t="e">
        <f>-(BA24/BA$15)</f>
        <v>#DIV/0!</v>
      </c>
      <c r="BB25" s="45" t="n"/>
      <c r="BC25" s="45" t="n"/>
      <c r="BD25" s="45" t="n"/>
      <c r="BE25" s="45" t="n"/>
      <c r="BF25" s="56" t="e">
        <f>-(BF24/BF$15)</f>
        <v>#DIV/0!</v>
      </c>
      <c r="BG25" s="45" t="n"/>
      <c r="BH25" s="45" t="n"/>
      <c r="BI25" s="45" t="n"/>
      <c r="BJ25" s="45" t="n"/>
      <c r="BK25" s="56" t="e">
        <f>-(BK24/BK$15)</f>
        <v>#DIV/0!</v>
      </c>
      <c r="BL25" s="45" t="n"/>
      <c r="BM25" s="45" t="n"/>
      <c r="BN25" s="45" t="n"/>
      <c r="BO25" s="45" t="n"/>
      <c r="BP25" s="56" t="e">
        <f>-(BP24/BP$15)</f>
        <v>#DIV/0!</v>
      </c>
      <c r="BQ25" s="45" t="n"/>
      <c r="BR25" s="45" t="n"/>
      <c r="BS25" s="45" t="n"/>
      <c r="BT25" s="45" t="n"/>
      <c r="BU25" s="56" t="e">
        <f>-(BU24/BU$15)</f>
        <v>#DIV/0!</v>
      </c>
      <c r="BV25" s="45" t="n"/>
      <c r="BW25" s="45" t="n"/>
      <c r="BX25" s="45" t="n"/>
      <c r="BY25" s="45" t="n"/>
      <c r="BZ25" s="56" t="e">
        <f>-(BZ24/BZ$15)</f>
        <v>#DIV/0!</v>
      </c>
      <c r="CA25" s="45" t="n"/>
      <c r="CB25" s="45" t="n"/>
      <c r="CC25" s="45" t="n"/>
      <c r="CD25" s="45" t="n"/>
      <c r="CE25" s="56" t="e">
        <f>-(CE24/CE$15)</f>
        <v>#DIV/0!</v>
      </c>
      <c r="CF25" s="45" t="n"/>
      <c r="CG25" s="45" t="n"/>
      <c r="CH25" s="45" t="n"/>
      <c r="CI25" s="45" t="n"/>
      <c r="CJ25" s="56" t="e">
        <f>-(CJ24/CJ$15)</f>
        <v>#DIV/0!</v>
      </c>
      <c r="CK25" s="45" t="n"/>
      <c r="CL25" s="45" t="n"/>
      <c r="CM25" s="45" t="n"/>
      <c r="CN25" s="45" t="n"/>
      <c r="CO25" s="56" t="e">
        <f>-(CO24/CO$15)</f>
        <v>#DIV/0!</v>
      </c>
      <c r="CP25" s="45" t="n"/>
      <c r="CQ25" s="45" t="n"/>
      <c r="CR25" s="45" t="n"/>
      <c r="CS25" s="45" t="n"/>
      <c r="CT25" s="56" t="e">
        <f>-(CT24/CT$15)</f>
        <v>#DIV/0!</v>
      </c>
      <c r="CU25" s="45" t="n"/>
      <c r="CV25" s="45" t="n"/>
      <c r="CW25" s="45" t="n"/>
      <c r="CX25" s="45" t="n"/>
      <c r="CY25" s="56" t="e">
        <f>-(CY24/CY$15)</f>
        <v>#DIV/0!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0</v>
      </c>
      <c r="E35" s="16">
        <f>SUM(E15,E20,E24)</f>
        <v>0</v>
      </c>
      <c r="F35" s="16">
        <f>SUM(F15,F20,F24)</f>
        <v>0</v>
      </c>
      <c r="G35" s="16">
        <f>SUM(G15,G20,G24)</f>
        <v>0</v>
      </c>
      <c r="H35" s="16">
        <f>SUM(D35:G35)</f>
        <v>0</v>
      </c>
      <c r="I35" s="16">
        <f>SUM(I15,I20,I24)</f>
        <v>0</v>
      </c>
      <c r="J35" s="16">
        <f>SUM(J15,J20,J24)</f>
        <v>0</v>
      </c>
      <c r="K35" s="16">
        <f>SUM(K15,K20,K24)</f>
        <v>0</v>
      </c>
      <c r="L35" s="16">
        <f>SUM(L15,L20,L24)</f>
        <v>0</v>
      </c>
      <c r="M35" s="16">
        <f>SUM(I35:L35)</f>
        <v>0</v>
      </c>
      <c r="N35" s="16">
        <f>SUM(N15,N20,N24)</f>
        <v>0</v>
      </c>
      <c r="O35" s="16">
        <f>SUM(O15,O20,O24)</f>
        <v>0</v>
      </c>
      <c r="P35" s="16">
        <f>SUM(P15,P20,P24)</f>
        <v>0</v>
      </c>
      <c r="Q35" s="16">
        <f>SUM(Q15,Q20,Q24)</f>
        <v>0</v>
      </c>
      <c r="R35" s="16">
        <f>SUM(N35:Q35)</f>
        <v>0</v>
      </c>
      <c r="S35" s="16">
        <f>SUM(S15,S20,S24)</f>
        <v>0</v>
      </c>
      <c r="T35" s="16">
        <f>SUM(T15,T20,T24)</f>
        <v>0</v>
      </c>
      <c r="U35" s="16">
        <f>SUM(U15,U20,U24)</f>
        <v>0</v>
      </c>
      <c r="V35" s="16">
        <f>SUM(V15,V20,V24)</f>
        <v>0</v>
      </c>
      <c r="W35" s="16">
        <f>SUM(S35:V35)</f>
        <v>0</v>
      </c>
      <c r="X35" s="16">
        <f>SUM(X15,X20,X24)</f>
        <v>0</v>
      </c>
      <c r="Y35" s="16">
        <f>SUM(Y15,Y20,Y24)</f>
        <v>0</v>
      </c>
      <c r="Z35" s="16">
        <f>SUM(Z15,Z20,Z24)</f>
        <v>0</v>
      </c>
      <c r="AA35" s="16">
        <f>SUM(AA15,AA20,AA24)</f>
        <v>0</v>
      </c>
      <c r="AB35" s="16">
        <f>SUM(X35:AA35)</f>
        <v>0</v>
      </c>
      <c r="AC35" s="16">
        <f>SUM(AC15,AC20,AC24)</f>
        <v>0</v>
      </c>
      <c r="AD35" s="16">
        <f>SUM(AD15,AD20,AD24)</f>
        <v>0</v>
      </c>
      <c r="AE35" s="16">
        <f>SUM(AE15,AE20,AE24)</f>
        <v>0</v>
      </c>
      <c r="AF35" s="16">
        <f>SUM(AF15,AF20,AF24)</f>
        <v>0</v>
      </c>
      <c r="AG35" s="16">
        <f>SUM(AC35:AF35)</f>
        <v>0</v>
      </c>
      <c r="AH35" s="16">
        <f>SUM(AH15,AH20,AH24)</f>
        <v>0</v>
      </c>
      <c r="AI35" s="16">
        <f>SUM(AI15,AI20,AI24)</f>
        <v>0</v>
      </c>
      <c r="AJ35" s="16">
        <f>SUM(AJ15,AJ20,AJ24)</f>
        <v>0</v>
      </c>
      <c r="AK35" s="16">
        <f>SUM(AK15,AK20,AK24)</f>
        <v>0</v>
      </c>
      <c r="AL35" s="16">
        <f>SUM(AH35:AK35)</f>
        <v>0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 t="n"/>
      <c r="E36" s="25" t="n"/>
      <c r="F36" s="25" t="n"/>
      <c r="G36" s="25" t="n"/>
      <c r="H36" s="3">
        <f>SUM(D36:G36)</f>
        <v>0</v>
      </c>
      <c r="I36" s="25" t="n"/>
      <c r="J36" s="25" t="n"/>
      <c r="K36" s="25" t="n"/>
      <c r="L36" s="25" t="n"/>
      <c r="M36" s="3">
        <f>SUM(I36:L36)</f>
        <v>0</v>
      </c>
      <c r="N36" s="25" t="n"/>
      <c r="O36" s="25" t="n"/>
      <c r="P36" s="25" t="n"/>
      <c r="Q36" s="25" t="n"/>
      <c r="R36" s="3">
        <f>SUM(N36:Q36)</f>
        <v>0</v>
      </c>
      <c r="S36" s="25" t="n"/>
      <c r="T36" s="25" t="n"/>
      <c r="U36" s="25" t="n"/>
      <c r="V36" s="25" t="n"/>
      <c r="W36" s="3">
        <f>SUM(S36:V36)</f>
        <v>0</v>
      </c>
      <c r="X36" s="25" t="n"/>
      <c r="Y36" s="25" t="n"/>
      <c r="Z36" s="25" t="n"/>
      <c r="AA36" s="25" t="n"/>
      <c r="AB36" s="3">
        <f>SUM(X36:AA36)</f>
        <v>0</v>
      </c>
      <c r="AC36" s="25" t="n"/>
      <c r="AD36" s="25" t="n"/>
      <c r="AE36" s="25" t="n"/>
      <c r="AF36" s="25" t="n"/>
      <c r="AG36" s="3">
        <f>SUM(AC36:AF36)</f>
        <v>0</v>
      </c>
      <c r="AH36" s="3">
        <f>-AH37*AH15</f>
        <v>0</v>
      </c>
      <c r="AI36" s="3">
        <f>-AI37*AI15</f>
        <v>0</v>
      </c>
      <c r="AJ36" s="3">
        <f>-AJ37*AJ15</f>
        <v>0</v>
      </c>
      <c r="AK36" s="3">
        <f>-AK37*AK15</f>
        <v>0</v>
      </c>
      <c r="AL36" s="3">
        <f>SUM(AH36:AK36)</f>
        <v>0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 t="e">
        <f>-D36/D15</f>
        <v>#DIV/0!</v>
      </c>
      <c r="E37" s="48" t="e">
        <f>-E36/E15</f>
        <v>#DIV/0!</v>
      </c>
      <c r="F37" s="48" t="e">
        <f>-F36/F15</f>
        <v>#DIV/0!</v>
      </c>
      <c r="G37" s="48" t="e">
        <f>-G36/G15</f>
        <v>#DIV/0!</v>
      </c>
      <c r="H37" s="48" t="n"/>
      <c r="I37" s="48" t="e">
        <f>-I36/I15</f>
        <v>#DIV/0!</v>
      </c>
      <c r="J37" s="48" t="e">
        <f>-J36/J15</f>
        <v>#DIV/0!</v>
      </c>
      <c r="K37" s="48" t="e">
        <f>-K36/K15</f>
        <v>#DIV/0!</v>
      </c>
      <c r="L37" s="48" t="e">
        <f>-L36/L15</f>
        <v>#DIV/0!</v>
      </c>
      <c r="M37" s="48" t="n"/>
      <c r="N37" s="48" t="e">
        <f>-N36/N15</f>
        <v>#DIV/0!</v>
      </c>
      <c r="O37" s="48" t="e">
        <f>-O36/O15</f>
        <v>#DIV/0!</v>
      </c>
      <c r="P37" s="48" t="e">
        <f>-P36/P15</f>
        <v>#DIV/0!</v>
      </c>
      <c r="Q37" s="48" t="e">
        <f>-Q36/Q15</f>
        <v>#DIV/0!</v>
      </c>
      <c r="R37" s="48" t="n"/>
      <c r="S37" s="48" t="e">
        <f>-S36/S15</f>
        <v>#DIV/0!</v>
      </c>
      <c r="T37" s="48" t="e">
        <f>-T36/T15</f>
        <v>#DIV/0!</v>
      </c>
      <c r="U37" s="48" t="e">
        <f>-U36/U15</f>
        <v>#DIV/0!</v>
      </c>
      <c r="V37" s="48" t="e">
        <f>-V36/V15</f>
        <v>#DIV/0!</v>
      </c>
      <c r="W37" s="48" t="n"/>
      <c r="X37" s="48" t="e">
        <f>-X36/X15</f>
        <v>#DIV/0!</v>
      </c>
      <c r="Y37" s="48" t="e">
        <f>-Y36/Y15</f>
        <v>#DIV/0!</v>
      </c>
      <c r="Z37" s="48" t="e">
        <f>-Z36/Z15</f>
        <v>#DIV/0!</v>
      </c>
      <c r="AA37" s="48" t="e">
        <f>-AA36/AA15</f>
        <v>#DIV/0!</v>
      </c>
      <c r="AB37" s="48" t="n"/>
      <c r="AC37" s="48" t="e">
        <f>-AC36/AC15</f>
        <v>#DIV/0!</v>
      </c>
      <c r="AD37" s="48" t="e">
        <f>-AD36/AD15</f>
        <v>#DIV/0!</v>
      </c>
      <c r="AE37" s="48" t="e">
        <f>-AE36/AE15</f>
        <v>#DIV/0!</v>
      </c>
      <c r="AF37" s="218" t="e">
        <f>-AF36/AF15</f>
        <v>#DIV/0!</v>
      </c>
      <c r="AG37" s="48" t="n"/>
      <c r="AH37" s="218" t="n"/>
      <c r="AI37" s="218" t="n"/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0</v>
      </c>
      <c r="E39" s="16">
        <f>SUM(E35,E36)</f>
        <v>0</v>
      </c>
      <c r="F39" s="16">
        <f>SUM(F35,F36)</f>
        <v>0</v>
      </c>
      <c r="G39" s="16">
        <f>SUM(G35,G36)</f>
        <v>0</v>
      </c>
      <c r="H39" s="16">
        <f>SUM(D39:G39)</f>
        <v>0</v>
      </c>
      <c r="I39" s="16">
        <f>SUM(I35,I36)</f>
        <v>0</v>
      </c>
      <c r="J39" s="16">
        <f>SUM(J35,J36)</f>
        <v>0</v>
      </c>
      <c r="K39" s="16">
        <f>SUM(K35,K36)</f>
        <v>0</v>
      </c>
      <c r="L39" s="16">
        <f>SUM(L35,L36)</f>
        <v>0</v>
      </c>
      <c r="M39" s="16">
        <f>SUM(I39:L39)</f>
        <v>0</v>
      </c>
      <c r="N39" s="16">
        <f>SUM(N35,N36)</f>
        <v>0</v>
      </c>
      <c r="O39" s="16">
        <f>SUM(O35,O36)</f>
        <v>0</v>
      </c>
      <c r="P39" s="16">
        <f>SUM(P35,P36)</f>
        <v>0</v>
      </c>
      <c r="Q39" s="16">
        <f>SUM(Q35,Q36)</f>
        <v>0</v>
      </c>
      <c r="R39" s="16">
        <f>SUM(N39:Q39)</f>
        <v>0</v>
      </c>
      <c r="S39" s="16">
        <f>SUM(S35,S36)</f>
        <v>0</v>
      </c>
      <c r="T39" s="16">
        <f>SUM(T35,T36)</f>
        <v>0</v>
      </c>
      <c r="U39" s="16">
        <f>SUM(U35,U36)</f>
        <v>0</v>
      </c>
      <c r="V39" s="16">
        <f>SUM(V35,V36)</f>
        <v>0</v>
      </c>
      <c r="W39" s="16">
        <f>SUM(S39:V39)</f>
        <v>0</v>
      </c>
      <c r="X39" s="16">
        <f>SUM(X35,X36)</f>
        <v>0</v>
      </c>
      <c r="Y39" s="16">
        <f>SUM(Y35,Y36)</f>
        <v>0</v>
      </c>
      <c r="Z39" s="16">
        <f>SUM(Z35,Z36)</f>
        <v>0</v>
      </c>
      <c r="AA39" s="16">
        <f>SUM(AA35,AA36)</f>
        <v>0</v>
      </c>
      <c r="AB39" s="16">
        <f>SUM(X39:AA39)</f>
        <v>0</v>
      </c>
      <c r="AC39" s="16">
        <f>SUM(AC35,AC36)</f>
        <v>0</v>
      </c>
      <c r="AD39" s="16">
        <f>SUM(AD35,AD36)</f>
        <v>0</v>
      </c>
      <c r="AE39" s="16">
        <f>SUM(AE35,AE36)</f>
        <v>0</v>
      </c>
      <c r="AF39" s="16">
        <f>SUM(AF35,AF36)</f>
        <v>0</v>
      </c>
      <c r="AG39" s="16">
        <f>SUM(AC39:AF39)</f>
        <v>0</v>
      </c>
      <c r="AH39" s="16">
        <f>SUM(AH35,AH36)</f>
        <v>0</v>
      </c>
      <c r="AI39" s="16">
        <f>SUM(AI35,AI36)</f>
        <v>0</v>
      </c>
      <c r="AJ39" s="16">
        <f>SUM(AJ35,AJ36)</f>
        <v>0</v>
      </c>
      <c r="AK39" s="16">
        <f>SUM(AK35,AK36)</f>
        <v>0</v>
      </c>
      <c r="AL39" s="16">
        <f>SUM(AL35,AL36)</f>
        <v>0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 t="n"/>
      <c r="E40" s="25" t="n"/>
      <c r="F40" s="25" t="n"/>
      <c r="G40" s="25" t="n"/>
      <c r="H40" s="3">
        <f>SUM(D40:G40)</f>
        <v>0</v>
      </c>
      <c r="I40" s="25" t="n"/>
      <c r="J40" s="25" t="n"/>
      <c r="K40" s="25" t="n"/>
      <c r="L40" s="25" t="n"/>
      <c r="M40" s="3">
        <f>SUM(I40:L40)</f>
        <v>0</v>
      </c>
      <c r="N40" s="25" t="n"/>
      <c r="O40" s="25" t="n"/>
      <c r="P40" s="25" t="n"/>
      <c r="Q40" s="25" t="n"/>
      <c r="R40" s="3">
        <f>SUM(N40:Q40)</f>
        <v>0</v>
      </c>
      <c r="S40" s="25" t="n"/>
      <c r="T40" s="25" t="n"/>
      <c r="U40" s="25" t="n"/>
      <c r="V40" s="25" t="n"/>
      <c r="W40" s="3">
        <f>SUM(S40:V40)</f>
        <v>0</v>
      </c>
      <c r="X40" s="25" t="n"/>
      <c r="Y40" s="25" t="n"/>
      <c r="Z40" s="25" t="n"/>
      <c r="AA40" s="25" t="n"/>
      <c r="AB40" s="3">
        <f>SUM(X40:AA40)</f>
        <v>0</v>
      </c>
      <c r="AC40" s="25" t="n"/>
      <c r="AD40" s="25" t="n"/>
      <c r="AE40" s="25" t="n"/>
      <c r="AF40" s="25" t="n"/>
      <c r="AG40" s="3">
        <f>SUM(AC40:AF40)</f>
        <v>0</v>
      </c>
      <c r="AH40" s="3" t="n"/>
      <c r="AI40" s="3" t="n"/>
      <c r="AJ40" s="3" t="n"/>
      <c r="AK40" s="3" t="n"/>
      <c r="AL40" s="3">
        <f>SUM(AH40:AK40)</f>
        <v>0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 t="e">
        <f>-D40/SUM(D178+D183)</f>
        <v>#DIV/0!</v>
      </c>
      <c r="E41" s="48" t="e">
        <f>-E40/SUM(E178+E183)</f>
        <v>#DIV/0!</v>
      </c>
      <c r="F41" s="48" t="e">
        <f>-F40/SUM(F178+F183)</f>
        <v>#DIV/0!</v>
      </c>
      <c r="G41" s="48" t="e">
        <f>-G40/SUM(G178+G183)</f>
        <v>#DIV/0!</v>
      </c>
      <c r="H41" s="3" t="n"/>
      <c r="I41" s="48" t="e">
        <f>-I40/SUM(I178+I183)</f>
        <v>#DIV/0!</v>
      </c>
      <c r="J41" s="48" t="e">
        <f>-J40/SUM(J178+J183)</f>
        <v>#DIV/0!</v>
      </c>
      <c r="K41" s="48" t="e">
        <f>-K40/SUM(K178+K183)</f>
        <v>#DIV/0!</v>
      </c>
      <c r="L41" s="48" t="e">
        <f>-L40/SUM(L178+L183)</f>
        <v>#DIV/0!</v>
      </c>
      <c r="M41" s="3" t="n"/>
      <c r="N41" s="48" t="e">
        <f>-N40/SUM(N178+N183)</f>
        <v>#DIV/0!</v>
      </c>
      <c r="O41" s="48" t="e">
        <f>-O40/SUM(O178+O183)</f>
        <v>#DIV/0!</v>
      </c>
      <c r="P41" s="48" t="e">
        <f>-P40/SUM(P178+P183)</f>
        <v>#DIV/0!</v>
      </c>
      <c r="Q41" s="48" t="e">
        <f>-Q40/SUM(Q178+Q183)</f>
        <v>#DIV/0!</v>
      </c>
      <c r="R41" s="3" t="n"/>
      <c r="S41" s="48" t="e">
        <f>-S40/SUM(S178+S183)</f>
        <v>#DIV/0!</v>
      </c>
      <c r="T41" s="48" t="e">
        <f>-T40/SUM(T178+T183)</f>
        <v>#DIV/0!</v>
      </c>
      <c r="U41" s="48" t="e">
        <f>-U40/SUM(U178+U183)</f>
        <v>#DIV/0!</v>
      </c>
      <c r="V41" s="48" t="e">
        <f>-V40/SUM(V178+V183)</f>
        <v>#DIV/0!</v>
      </c>
      <c r="W41" s="3" t="n"/>
      <c r="X41" s="48" t="e">
        <f>-X40/SUM(X178+X183)</f>
        <v>#DIV/0!</v>
      </c>
      <c r="Y41" s="48" t="e">
        <f>-Y40/SUM(Y178+Y183)</f>
        <v>#DIV/0!</v>
      </c>
      <c r="Z41" s="48" t="e">
        <f>-Z40/SUM(Z178+Z183)</f>
        <v>#DIV/0!</v>
      </c>
      <c r="AA41" s="48" t="e">
        <f>-AA40/SUM(AA178+AA183)</f>
        <v>#DIV/0!</v>
      </c>
      <c r="AB41" s="3" t="n"/>
      <c r="AC41" s="48" t="e">
        <f>-AC40/SUM(AC178+AC183)</f>
        <v>#DIV/0!</v>
      </c>
      <c r="AD41" s="48" t="e">
        <f>-AD40/SUM(AD178+AD183)</f>
        <v>#DIV/0!</v>
      </c>
      <c r="AE41" s="48" t="e">
        <f>-AE40/SUM(AE178+AE183)</f>
        <v>#DIV/0!</v>
      </c>
      <c r="AF41" s="231" t="e">
        <f>-AF40/SUM(AF178+AF183)</f>
        <v>#DIV/0!</v>
      </c>
      <c r="AG41" s="3" t="n"/>
      <c r="AH41" s="6" t="n"/>
      <c r="AI41" s="6" t="n"/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 t="n"/>
      <c r="E89" s="25" t="n"/>
      <c r="F89" s="25" t="n"/>
      <c r="G89" s="25" t="n"/>
      <c r="H89" s="3">
        <f>SUM(D89:G89)</f>
        <v>0</v>
      </c>
      <c r="I89" s="25" t="n"/>
      <c r="J89" s="25" t="n"/>
      <c r="K89" s="25" t="n"/>
      <c r="L89" s="25" t="n"/>
      <c r="M89" s="3">
        <f>SUM(I89:L89)</f>
        <v>0</v>
      </c>
      <c r="N89" s="25" t="n"/>
      <c r="O89" s="25" t="n"/>
      <c r="P89" s="25" t="n"/>
      <c r="Q89" s="25" t="n"/>
      <c r="R89" s="3">
        <f>SUM(N89:Q89)</f>
        <v>0</v>
      </c>
      <c r="S89" s="25" t="n"/>
      <c r="T89" s="25" t="n"/>
      <c r="U89" s="25" t="n"/>
      <c r="V89" s="25" t="n"/>
      <c r="W89" s="3">
        <f>SUM(S89:V89)</f>
        <v>0</v>
      </c>
      <c r="X89" s="25" t="n"/>
      <c r="Y89" s="25" t="n"/>
      <c r="Z89" s="25" t="n"/>
      <c r="AA89" s="25" t="n"/>
      <c r="AB89" s="3">
        <f>SUM(X89:AA89)</f>
        <v>0</v>
      </c>
      <c r="AC89" s="25" t="n"/>
      <c r="AD89" s="25" t="n"/>
      <c r="AE89" s="25" t="n"/>
      <c r="AF89" s="25" t="n"/>
      <c r="AG89" s="3">
        <f>SUM(AC89:AF89)</f>
        <v>0</v>
      </c>
      <c r="AH89" s="3">
        <f>AF89</f>
        <v>0</v>
      </c>
      <c r="AI89" s="3">
        <f>AG89</f>
        <v>0</v>
      </c>
      <c r="AJ89" s="3">
        <f>AH89</f>
        <v>0</v>
      </c>
      <c r="AK89" s="3">
        <f>AI89</f>
        <v>0</v>
      </c>
      <c r="AL89" s="3">
        <f>SUM(AH89:AK89)</f>
        <v>0</v>
      </c>
      <c r="AM89" s="3">
        <f>AK89</f>
        <v>0</v>
      </c>
      <c r="AN89" s="3">
        <f>AL89</f>
        <v>0</v>
      </c>
      <c r="AO89" s="3">
        <f>AM89</f>
        <v>0</v>
      </c>
      <c r="AP89" s="3">
        <f>AN89</f>
        <v>0</v>
      </c>
      <c r="AQ89" s="3">
        <f>SUM(AM89:AP89)</f>
        <v>0</v>
      </c>
      <c r="AR89" s="3">
        <f>AP89</f>
        <v>0</v>
      </c>
      <c r="AS89" s="3">
        <f>AQ89</f>
        <v>0</v>
      </c>
      <c r="AT89" s="3">
        <f>AR89</f>
        <v>0</v>
      </c>
      <c r="AU89" s="3">
        <f>AS89</f>
        <v>0</v>
      </c>
      <c r="AV89" s="3">
        <f>SUM(AR89:AU89)</f>
        <v>0</v>
      </c>
      <c r="AW89" s="3">
        <f>AU89</f>
        <v>0</v>
      </c>
      <c r="AX89" s="3">
        <f>AV89</f>
        <v>0</v>
      </c>
      <c r="AY89" s="3">
        <f>AW89</f>
        <v>0</v>
      </c>
      <c r="AZ89" s="3">
        <f>AX89</f>
        <v>0</v>
      </c>
      <c r="BA89" s="3">
        <f>SUM(AW89:AZ89)</f>
        <v>0</v>
      </c>
      <c r="BB89" s="3">
        <f>AZ89</f>
        <v>0</v>
      </c>
      <c r="BC89" s="3">
        <f>BA89</f>
        <v>0</v>
      </c>
      <c r="BD89" s="3">
        <f>BB89</f>
        <v>0</v>
      </c>
      <c r="BE89" s="3">
        <f>BC89</f>
        <v>0</v>
      </c>
      <c r="BF89" s="3">
        <f>SUM(BB89:BE89)</f>
        <v>0</v>
      </c>
      <c r="BG89" s="3">
        <f>BE89</f>
        <v>0</v>
      </c>
      <c r="BH89" s="3">
        <f>BF89</f>
        <v>0</v>
      </c>
      <c r="BI89" s="3">
        <f>BG89</f>
        <v>0</v>
      </c>
      <c r="BJ89" s="3">
        <f>BH89</f>
        <v>0</v>
      </c>
      <c r="BK89" s="3">
        <f>SUM(BG89:BJ89)</f>
        <v>0</v>
      </c>
      <c r="BL89" s="3">
        <f>BJ89</f>
        <v>0</v>
      </c>
      <c r="BM89" s="3">
        <f>BK89</f>
        <v>0</v>
      </c>
      <c r="BN89" s="3">
        <f>BL89</f>
        <v>0</v>
      </c>
      <c r="BO89" s="3">
        <f>BM89</f>
        <v>0</v>
      </c>
      <c r="BP89" s="3">
        <f>SUM(BL89:BO89)</f>
        <v>0</v>
      </c>
      <c r="BQ89" s="3">
        <f>BO89</f>
        <v>0</v>
      </c>
      <c r="BR89" s="3">
        <f>BP89</f>
        <v>0</v>
      </c>
      <c r="BS89" s="3">
        <f>BQ89</f>
        <v>0</v>
      </c>
      <c r="BT89" s="3">
        <f>BR89</f>
        <v>0</v>
      </c>
      <c r="BU89" s="3">
        <f>SUM(BQ89:BT89)</f>
        <v>0</v>
      </c>
      <c r="BV89" s="3">
        <f>BT89</f>
        <v>0</v>
      </c>
      <c r="BW89" s="3">
        <f>BU89</f>
        <v>0</v>
      </c>
      <c r="BX89" s="3">
        <f>BV89</f>
        <v>0</v>
      </c>
      <c r="BY89" s="3">
        <f>BW89</f>
        <v>0</v>
      </c>
      <c r="BZ89" s="3">
        <f>SUM(BV89:BY89)</f>
        <v>0</v>
      </c>
      <c r="CA89" s="3">
        <f>BY89</f>
        <v>0</v>
      </c>
      <c r="CB89" s="3">
        <f>BZ89</f>
        <v>0</v>
      </c>
      <c r="CC89" s="3">
        <f>CA89</f>
        <v>0</v>
      </c>
      <c r="CD89" s="3">
        <f>CB89</f>
        <v>0</v>
      </c>
      <c r="CE89" s="3">
        <f>SUM(CA89:CD89)</f>
        <v>0</v>
      </c>
      <c r="CF89" s="3">
        <f>CD89</f>
        <v>0</v>
      </c>
      <c r="CG89" s="3">
        <f>CE89</f>
        <v>0</v>
      </c>
      <c r="CH89" s="3">
        <f>CF89</f>
        <v>0</v>
      </c>
      <c r="CI89" s="3">
        <f>CG89</f>
        <v>0</v>
      </c>
      <c r="CJ89" s="3">
        <f>SUM(CF89:CI89)</f>
        <v>0</v>
      </c>
      <c r="CK89" s="3">
        <f>CI89</f>
        <v>0</v>
      </c>
      <c r="CL89" s="3">
        <f>CJ89</f>
        <v>0</v>
      </c>
      <c r="CM89" s="3">
        <f>CK89</f>
        <v>0</v>
      </c>
      <c r="CN89" s="3">
        <f>CL89</f>
        <v>0</v>
      </c>
      <c r="CO89" s="3">
        <f>SUM(CK89:CN89)</f>
        <v>0</v>
      </c>
      <c r="CP89" s="3">
        <f>CN89</f>
        <v>0</v>
      </c>
      <c r="CQ89" s="3">
        <f>CO89</f>
        <v>0</v>
      </c>
      <c r="CR89" s="3">
        <f>CP89</f>
        <v>0</v>
      </c>
      <c r="CS89" s="3">
        <f>CQ89</f>
        <v>0</v>
      </c>
      <c r="CT89" s="3">
        <f>SUM(CP89:CS89)</f>
        <v>0</v>
      </c>
      <c r="CU89" s="3">
        <f>CS89</f>
        <v>0</v>
      </c>
      <c r="CV89" s="3">
        <f>CT89</f>
        <v>0</v>
      </c>
      <c r="CW89" s="3">
        <f>CU89</f>
        <v>0</v>
      </c>
      <c r="CX89" s="3">
        <f>CV89</f>
        <v>0</v>
      </c>
      <c r="CY89" s="3">
        <f>SUM(CU89:CX89)</f>
        <v>0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0</v>
      </c>
      <c r="E96" s="16">
        <f>SUM(E39,E40,E89)</f>
        <v>0</v>
      </c>
      <c r="F96" s="16">
        <f>SUM(F39,F40,F89)</f>
        <v>0</v>
      </c>
      <c r="G96" s="16">
        <f>SUM(G39,G40,G89)</f>
        <v>0</v>
      </c>
      <c r="H96" s="16">
        <f>SUM(D96:G96)</f>
        <v>0</v>
      </c>
      <c r="I96" s="16">
        <f>SUM(I39,I40,I89)</f>
        <v>0</v>
      </c>
      <c r="J96" s="16">
        <f>SUM(J39,J40,J89)</f>
        <v>0</v>
      </c>
      <c r="K96" s="16">
        <f>SUM(K39,K40,K89)</f>
        <v>0</v>
      </c>
      <c r="L96" s="16">
        <f>SUM(L39,L40,L89)</f>
        <v>0</v>
      </c>
      <c r="M96" s="16">
        <f>SUM(I96:L96)</f>
        <v>0</v>
      </c>
      <c r="N96" s="16">
        <f>SUM(N39,N40,N89)</f>
        <v>0</v>
      </c>
      <c r="O96" s="16">
        <f>SUM(O39,O40,O89)</f>
        <v>0</v>
      </c>
      <c r="P96" s="16">
        <f>SUM(P39,P40,P89)</f>
        <v>0</v>
      </c>
      <c r="Q96" s="16">
        <f>SUM(Q39,Q40,Q89)</f>
        <v>0</v>
      </c>
      <c r="R96" s="16">
        <f>SUM(N96:Q96)</f>
        <v>0</v>
      </c>
      <c r="S96" s="16">
        <f>SUM(S39,S40,S89)</f>
        <v>0</v>
      </c>
      <c r="T96" s="16">
        <f>SUM(T39,T40,T89)</f>
        <v>0</v>
      </c>
      <c r="U96" s="16">
        <f>SUM(U39,U40,U89)</f>
        <v>0</v>
      </c>
      <c r="V96" s="16">
        <f>SUM(V39,V40,V89)</f>
        <v>0</v>
      </c>
      <c r="W96" s="16">
        <f>SUM(S96:V96)</f>
        <v>0</v>
      </c>
      <c r="X96" s="16">
        <f>SUM(X39,X40,X89)</f>
        <v>0</v>
      </c>
      <c r="Y96" s="16">
        <f>SUM(Y39,Y40,Y89)</f>
        <v>0</v>
      </c>
      <c r="Z96" s="16">
        <f>SUM(Z39,Z40,Z89)</f>
        <v>0</v>
      </c>
      <c r="AA96" s="16">
        <f>SUM(AA39,AA40,AA89)</f>
        <v>0</v>
      </c>
      <c r="AB96" s="16">
        <f>SUM(X96:AA96)</f>
        <v>0</v>
      </c>
      <c r="AC96" s="16">
        <f>SUM(AC39,AC40,AC89)</f>
        <v>0</v>
      </c>
      <c r="AD96" s="16">
        <f>SUM(AD39,AD40,AD89)</f>
        <v>0</v>
      </c>
      <c r="AE96" s="16">
        <f>SUM(AE39,AE40,AE89)</f>
        <v>0</v>
      </c>
      <c r="AF96" s="16">
        <f>SUM(AF39,AF40,AF89)</f>
        <v>0</v>
      </c>
      <c r="AG96" s="16">
        <f>SUM(AC96:AF96)</f>
        <v>0</v>
      </c>
      <c r="AH96" s="16">
        <f>SUM(AH39,AH40,AH89)</f>
        <v>0</v>
      </c>
      <c r="AI96" s="16">
        <f>SUM(AI39,AI40,AI89)</f>
        <v>0</v>
      </c>
      <c r="AJ96" s="16">
        <f>SUM(AJ39,AJ40,AJ89)</f>
        <v>0</v>
      </c>
      <c r="AK96" s="16">
        <f>SUM(AK39,AK40,AK89)</f>
        <v>0</v>
      </c>
      <c r="AL96" s="16">
        <f>SUM(AH96:AK96)</f>
        <v>0</v>
      </c>
      <c r="AM96" s="16">
        <f>SUM(AM39,AM40,AM89)</f>
        <v>0</v>
      </c>
      <c r="AN96" s="16">
        <f>SUM(AN39,AN40,AN89)</f>
        <v>0</v>
      </c>
      <c r="AO96" s="16">
        <f>SUM(AO39,AO40,AO89)</f>
        <v>0</v>
      </c>
      <c r="AP96" s="16">
        <f>SUM(AP39,AP40,AP89)</f>
        <v>0</v>
      </c>
      <c r="AQ96" s="16">
        <f>SUM(AM96:AP96)</f>
        <v>0</v>
      </c>
      <c r="AR96" s="16">
        <f>SUM(AR39,AR40,AR89)</f>
        <v>0</v>
      </c>
      <c r="AS96" s="16">
        <f>SUM(AS39,AS40,AS89)</f>
        <v>0</v>
      </c>
      <c r="AT96" s="16">
        <f>SUM(AT39,AT40,AT89)</f>
        <v>0</v>
      </c>
      <c r="AU96" s="16">
        <f>SUM(AU39,AU40,AU89)</f>
        <v>0</v>
      </c>
      <c r="AV96" s="16">
        <f>SUM(AR96:AU96)</f>
        <v>0</v>
      </c>
      <c r="AW96" s="16">
        <f>SUM(AW39,AW40,AW89)</f>
        <v>0</v>
      </c>
      <c r="AX96" s="16">
        <f>SUM(AX39,AX40,AX89)</f>
        <v>0</v>
      </c>
      <c r="AY96" s="16">
        <f>SUM(AY39,AY40,AY89)</f>
        <v>0</v>
      </c>
      <c r="AZ96" s="16">
        <f>SUM(AZ39,AZ40,AZ89)</f>
        <v>0</v>
      </c>
      <c r="BA96" s="16">
        <f>SUM(AW96:AZ96)</f>
        <v>0</v>
      </c>
      <c r="BB96" s="16">
        <f>SUM(BB39,BB40,BB89)</f>
        <v>0</v>
      </c>
      <c r="BC96" s="16">
        <f>SUM(BC39,BC40,BC89)</f>
        <v>0</v>
      </c>
      <c r="BD96" s="16">
        <f>SUM(BD39,BD40,BD89)</f>
        <v>0</v>
      </c>
      <c r="BE96" s="16">
        <f>SUM(BE39,BE40,BE89)</f>
        <v>0</v>
      </c>
      <c r="BF96" s="16">
        <f>SUM(BB96:BE96)</f>
        <v>0</v>
      </c>
      <c r="BG96" s="16">
        <f>SUM(BG39,BG40,BG89)</f>
        <v>0</v>
      </c>
      <c r="BH96" s="16">
        <f>SUM(BH39,BH40,BH89)</f>
        <v>0</v>
      </c>
      <c r="BI96" s="16">
        <f>SUM(BI39,BI40,BI89)</f>
        <v>0</v>
      </c>
      <c r="BJ96" s="16">
        <f>SUM(BJ39,BJ40,BJ89)</f>
        <v>0</v>
      </c>
      <c r="BK96" s="16">
        <f>SUM(BG96:BJ96)</f>
        <v>0</v>
      </c>
      <c r="BL96" s="16">
        <f>SUM(BL39,BL40,BL89)</f>
        <v>0</v>
      </c>
      <c r="BM96" s="16">
        <f>SUM(BM39,BM40,BM89)</f>
        <v>0</v>
      </c>
      <c r="BN96" s="16">
        <f>SUM(BN39,BN40,BN89)</f>
        <v>0</v>
      </c>
      <c r="BO96" s="16">
        <f>SUM(BO39,BO40,BO89)</f>
        <v>0</v>
      </c>
      <c r="BP96" s="16">
        <f>SUM(BL96:BO96)</f>
        <v>0</v>
      </c>
      <c r="BQ96" s="16">
        <f>SUM(BQ39,BQ40,BQ89)</f>
        <v>0</v>
      </c>
      <c r="BR96" s="16">
        <f>SUM(BR39,BR40,BR89)</f>
        <v>0</v>
      </c>
      <c r="BS96" s="16">
        <f>SUM(BS39,BS40,BS89)</f>
        <v>0</v>
      </c>
      <c r="BT96" s="16">
        <f>SUM(BT39,BT40,BT89)</f>
        <v>0</v>
      </c>
      <c r="BU96" s="16">
        <f>SUM(BQ96:BT96)</f>
        <v>0</v>
      </c>
      <c r="BV96" s="16">
        <f>SUM(BV39,BV40,BV89)</f>
        <v>0</v>
      </c>
      <c r="BW96" s="16">
        <f>SUM(BW39,BW40,BW89)</f>
        <v>0</v>
      </c>
      <c r="BX96" s="16">
        <f>SUM(BX39,BX40,BX89)</f>
        <v>0</v>
      </c>
      <c r="BY96" s="16">
        <f>SUM(BY39,BY40,BY89)</f>
        <v>0</v>
      </c>
      <c r="BZ96" s="16">
        <f>SUM(BV96:BY96)</f>
        <v>0</v>
      </c>
      <c r="CA96" s="16">
        <f>SUM(CA39,CA40,CA89)</f>
        <v>0</v>
      </c>
      <c r="CB96" s="16">
        <f>SUM(CB39,CB40,CB89)</f>
        <v>0</v>
      </c>
      <c r="CC96" s="16">
        <f>SUM(CC39,CC40,CC89)</f>
        <v>0</v>
      </c>
      <c r="CD96" s="16">
        <f>SUM(CD39,CD40,CD89)</f>
        <v>0</v>
      </c>
      <c r="CE96" s="16">
        <f>SUM(CA96:CD96)</f>
        <v>0</v>
      </c>
      <c r="CF96" s="16">
        <f>SUM(CF39,CF40,CF89)</f>
        <v>0</v>
      </c>
      <c r="CG96" s="16">
        <f>SUM(CG39,CG40,CG89)</f>
        <v>0</v>
      </c>
      <c r="CH96" s="16">
        <f>SUM(CH39,CH40,CH89)</f>
        <v>0</v>
      </c>
      <c r="CI96" s="16">
        <f>SUM(CI39,CI40,CI89)</f>
        <v>0</v>
      </c>
      <c r="CJ96" s="16">
        <f>SUM(CF96:CI96)</f>
        <v>0</v>
      </c>
      <c r="CK96" s="16">
        <f>SUM(CK39,CK40,CK89)</f>
        <v>0</v>
      </c>
      <c r="CL96" s="16">
        <f>SUM(CL39,CL40,CL89)</f>
        <v>0</v>
      </c>
      <c r="CM96" s="16">
        <f>SUM(CM39,CM40,CM89)</f>
        <v>0</v>
      </c>
      <c r="CN96" s="16">
        <f>SUM(CN39,CN40,CN89)</f>
        <v>0</v>
      </c>
      <c r="CO96" s="16">
        <f>SUM(CK96:CN96)</f>
        <v>0</v>
      </c>
      <c r="CP96" s="16">
        <f>SUM(CP39,CP40,CP89)</f>
        <v>0</v>
      </c>
      <c r="CQ96" s="16">
        <f>SUM(CQ39,CQ40,CQ89)</f>
        <v>0</v>
      </c>
      <c r="CR96" s="16">
        <f>SUM(CR39,CR40,CR89)</f>
        <v>0</v>
      </c>
      <c r="CS96" s="16">
        <f>SUM(CS39,CS40,CS89)</f>
        <v>0</v>
      </c>
      <c r="CT96" s="16">
        <f>SUM(CP96:CS96)</f>
        <v>0</v>
      </c>
      <c r="CU96" s="16">
        <f>SUM(CU39,CU40,CU89)</f>
        <v>0</v>
      </c>
      <c r="CV96" s="16">
        <f>SUM(CV39,CV40,CV89)</f>
        <v>0</v>
      </c>
      <c r="CW96" s="16">
        <f>SUM(CW39,CW40,CW89)</f>
        <v>0</v>
      </c>
      <c r="CX96" s="16">
        <f>SUM(CX39,CX40,CX89)</f>
        <v>0</v>
      </c>
      <c r="CY96" s="16">
        <f>SUM(CU96:CX96)</f>
        <v>0</v>
      </c>
    </row>
    <row r="97">
      <c r="C97" s="26" t="inlineStr">
        <is>
          <t>Taxes</t>
        </is>
      </c>
      <c r="D97" s="25" t="n"/>
      <c r="E97" s="25" t="n"/>
      <c r="F97" s="25" t="n"/>
      <c r="G97" s="25" t="n"/>
      <c r="H97" s="3">
        <f>SUM(D97:G97)</f>
        <v>0</v>
      </c>
      <c r="I97" s="25" t="n"/>
      <c r="J97" s="25" t="n"/>
      <c r="K97" s="25" t="n"/>
      <c r="L97" s="25" t="n"/>
      <c r="M97" s="3">
        <f>SUM(I97:L97)</f>
        <v>0</v>
      </c>
      <c r="N97" s="25" t="n"/>
      <c r="O97" s="25" t="n"/>
      <c r="P97" s="25" t="n"/>
      <c r="Q97" s="25" t="n"/>
      <c r="R97" s="3">
        <f>SUM(N97:Q97)</f>
        <v>0</v>
      </c>
      <c r="S97" s="25" t="n"/>
      <c r="T97" s="25" t="n"/>
      <c r="U97" s="25" t="n"/>
      <c r="V97" s="25" t="n"/>
      <c r="W97" s="3">
        <f>SUM(S97:V97)</f>
        <v>0</v>
      </c>
      <c r="X97" s="25" t="n"/>
      <c r="Y97" s="25" t="n"/>
      <c r="Z97" s="25" t="n"/>
      <c r="AA97" s="25" t="n"/>
      <c r="AB97" s="3">
        <f>SUM(X97:AA97)</f>
        <v>0</v>
      </c>
      <c r="AC97" s="25" t="n"/>
      <c r="AD97" s="25" t="n"/>
      <c r="AE97" s="25" t="n"/>
      <c r="AF97" s="25" t="n"/>
      <c r="AG97" s="3">
        <f>SUM(AC97:AF97)</f>
        <v>0</v>
      </c>
      <c r="AH97" s="3">
        <f>AH98*-AH96</f>
        <v>0</v>
      </c>
      <c r="AI97" s="3">
        <f>AI98*-AI96</f>
        <v>0</v>
      </c>
      <c r="AJ97" s="3">
        <f>AJ98*-AJ96</f>
        <v>0</v>
      </c>
      <c r="AK97" s="3">
        <f>AK98*-AK96</f>
        <v>0</v>
      </c>
      <c r="AL97" s="3">
        <f>SUM(AH97:AK97)</f>
        <v>0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 t="e">
        <f>-D97/D96</f>
        <v>#DIV/0!</v>
      </c>
      <c r="E98" s="48" t="e">
        <f>-E97/E96</f>
        <v>#DIV/0!</v>
      </c>
      <c r="F98" s="48" t="e">
        <f>-F97/F96</f>
        <v>#DIV/0!</v>
      </c>
      <c r="G98" s="48" t="e">
        <f>-G97/G96</f>
        <v>#DIV/0!</v>
      </c>
      <c r="H98" s="48" t="e">
        <f>-H97/H96</f>
        <v>#DIV/0!</v>
      </c>
      <c r="I98" s="48" t="e">
        <f>-I97/I96</f>
        <v>#DIV/0!</v>
      </c>
      <c r="J98" s="48" t="e">
        <f>-J97/J96</f>
        <v>#DIV/0!</v>
      </c>
      <c r="K98" s="48" t="e">
        <f>-K97/K96</f>
        <v>#DIV/0!</v>
      </c>
      <c r="L98" s="48" t="e">
        <f>-L97/L96</f>
        <v>#DIV/0!</v>
      </c>
      <c r="M98" s="48" t="e">
        <f>-M97/M96</f>
        <v>#DIV/0!</v>
      </c>
      <c r="N98" s="48" t="e">
        <f>-N97/N96</f>
        <v>#DIV/0!</v>
      </c>
      <c r="O98" s="48" t="e">
        <f>-O97/O96</f>
        <v>#DIV/0!</v>
      </c>
      <c r="P98" s="48" t="e">
        <f>-P97/P96</f>
        <v>#DIV/0!</v>
      </c>
      <c r="Q98" s="48" t="e">
        <f>-Q97/Q96</f>
        <v>#DIV/0!</v>
      </c>
      <c r="R98" s="48" t="e">
        <f>-R97/R96</f>
        <v>#DIV/0!</v>
      </c>
      <c r="S98" s="48" t="e">
        <f>-S97/S96</f>
        <v>#DIV/0!</v>
      </c>
      <c r="T98" s="48" t="e">
        <f>-T97/T96</f>
        <v>#DIV/0!</v>
      </c>
      <c r="U98" s="48" t="e">
        <f>-U97/U96</f>
        <v>#DIV/0!</v>
      </c>
      <c r="V98" s="48" t="e">
        <f>-V97/V96</f>
        <v>#DIV/0!</v>
      </c>
      <c r="W98" s="48" t="e">
        <f>-W97/W96</f>
        <v>#DIV/0!</v>
      </c>
      <c r="X98" s="48" t="e">
        <f>-X97/X96</f>
        <v>#DIV/0!</v>
      </c>
      <c r="Y98" s="48" t="e">
        <f>-Y97/Y96</f>
        <v>#DIV/0!</v>
      </c>
      <c r="Z98" s="48" t="e">
        <f>-Z97/Z96</f>
        <v>#DIV/0!</v>
      </c>
      <c r="AA98" s="48" t="e">
        <f>-AA97/AA96</f>
        <v>#DIV/0!</v>
      </c>
      <c r="AB98" s="48" t="e">
        <f>-AB97/AB96</f>
        <v>#DIV/0!</v>
      </c>
      <c r="AC98" s="48" t="e">
        <f>-AC97/AC96</f>
        <v>#DIV/0!</v>
      </c>
      <c r="AD98" s="48" t="e">
        <f>-AD97/AD96</f>
        <v>#DIV/0!</v>
      </c>
      <c r="AE98" s="48" t="e">
        <f>-AE97/AE96</f>
        <v>#DIV/0!</v>
      </c>
      <c r="AF98" s="44" t="e">
        <f>-AF97/AF96</f>
        <v>#DIV/0!</v>
      </c>
      <c r="AG98" s="48" t="e">
        <f>-AG97/AG96</f>
        <v>#DIV/0!</v>
      </c>
      <c r="AH98" s="44" t="n"/>
      <c r="AI98" s="44" t="n"/>
      <c r="AJ98" s="44" t="n"/>
      <c r="AK98" s="44" t="n"/>
      <c r="AL98" s="48" t="e">
        <f>-AL97/AL96</f>
        <v>#DIV/0!</v>
      </c>
      <c r="AM98" s="44" t="n"/>
      <c r="AN98" s="44" t="n"/>
      <c r="AO98" s="44" t="n"/>
      <c r="AP98" s="44" t="n"/>
      <c r="AQ98" s="48" t="e">
        <f>-AQ97/AQ96</f>
        <v>#DIV/0!</v>
      </c>
      <c r="AR98" s="44" t="n"/>
      <c r="AS98" s="44" t="n"/>
      <c r="AT98" s="44" t="n"/>
      <c r="AU98" s="44" t="n"/>
      <c r="AV98" s="48" t="e">
        <f>-AV97/AV96</f>
        <v>#DIV/0!</v>
      </c>
      <c r="AW98" s="44" t="n"/>
      <c r="AX98" s="44" t="n"/>
      <c r="AY98" s="44" t="n"/>
      <c r="AZ98" s="44" t="n"/>
      <c r="BA98" s="48" t="e">
        <f>-BA97/BA96</f>
        <v>#DIV/0!</v>
      </c>
      <c r="BB98" s="44" t="n"/>
      <c r="BC98" s="44" t="n"/>
      <c r="BD98" s="44" t="n"/>
      <c r="BE98" s="44" t="n"/>
      <c r="BF98" s="48" t="e">
        <f>-BF97/BF96</f>
        <v>#DIV/0!</v>
      </c>
      <c r="BG98" s="44" t="n"/>
      <c r="BH98" s="44" t="n"/>
      <c r="BI98" s="44" t="n"/>
      <c r="BJ98" s="44" t="n"/>
      <c r="BK98" s="48" t="e">
        <f>-BK97/BK96</f>
        <v>#DIV/0!</v>
      </c>
      <c r="BL98" s="44" t="n"/>
      <c r="BM98" s="44" t="n"/>
      <c r="BN98" s="44" t="n"/>
      <c r="BO98" s="44" t="n"/>
      <c r="BP98" s="48" t="e">
        <f>-BP97/BP96</f>
        <v>#DIV/0!</v>
      </c>
      <c r="BQ98" s="44" t="n"/>
      <c r="BR98" s="44" t="n"/>
      <c r="BS98" s="44" t="n"/>
      <c r="BT98" s="44" t="n"/>
      <c r="BU98" s="48" t="e">
        <f>-BU97/BU96</f>
        <v>#DIV/0!</v>
      </c>
      <c r="BV98" s="44" t="n"/>
      <c r="BW98" s="44" t="n"/>
      <c r="BX98" s="44" t="n"/>
      <c r="BY98" s="44" t="n"/>
      <c r="BZ98" s="48" t="e">
        <f>-BZ97/BZ96</f>
        <v>#DIV/0!</v>
      </c>
      <c r="CA98" s="44" t="n"/>
      <c r="CB98" s="44" t="n"/>
      <c r="CC98" s="44" t="n"/>
      <c r="CD98" s="44" t="n"/>
      <c r="CE98" s="48" t="e">
        <f>-CE97/CE96</f>
        <v>#DIV/0!</v>
      </c>
      <c r="CF98" s="44" t="n"/>
      <c r="CG98" s="44" t="n"/>
      <c r="CH98" s="44" t="n"/>
      <c r="CI98" s="44" t="n"/>
      <c r="CJ98" s="48" t="e">
        <f>-CJ97/CJ96</f>
        <v>#DIV/0!</v>
      </c>
      <c r="CK98" s="44" t="n"/>
      <c r="CL98" s="44" t="n"/>
      <c r="CM98" s="44" t="n"/>
      <c r="CN98" s="44" t="n"/>
      <c r="CO98" s="48" t="e">
        <f>-CO97/CO96</f>
        <v>#DIV/0!</v>
      </c>
      <c r="CP98" s="44" t="n"/>
      <c r="CQ98" s="44" t="n"/>
      <c r="CR98" s="44" t="n"/>
      <c r="CS98" s="44" t="n"/>
      <c r="CT98" s="48" t="e">
        <f>-CT97/CT96</f>
        <v>#DIV/0!</v>
      </c>
      <c r="CU98" s="44" t="n"/>
      <c r="CV98" s="44" t="n"/>
      <c r="CW98" s="44" t="n"/>
      <c r="CX98" s="44" t="n"/>
      <c r="CY98" s="48" t="e">
        <f>-CY97/CY96</f>
        <v>#DIV/0!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 t="n"/>
      <c r="E101" s="25" t="n"/>
      <c r="F101" s="25" t="n"/>
      <c r="G101" s="25" t="n"/>
      <c r="H101" s="3">
        <f>SUM(D101:G101)</f>
        <v>0</v>
      </c>
      <c r="I101" s="25" t="n"/>
      <c r="J101" s="25" t="n"/>
      <c r="K101" s="25" t="n"/>
      <c r="L101" s="25" t="n"/>
      <c r="M101" s="3">
        <f>SUM(I101:L101)</f>
        <v>0</v>
      </c>
      <c r="N101" s="25" t="n"/>
      <c r="O101" s="25" t="n"/>
      <c r="P101" s="25" t="n"/>
      <c r="Q101" s="25" t="n"/>
      <c r="R101" s="3">
        <f>SUM(N101:Q101)</f>
        <v>0</v>
      </c>
      <c r="S101" s="25" t="n"/>
      <c r="T101" s="25" t="n"/>
      <c r="U101" s="25" t="n"/>
      <c r="V101" s="25" t="n"/>
      <c r="W101" s="3">
        <f>SUM(S101:V101)</f>
        <v>0</v>
      </c>
      <c r="X101" s="25" t="n"/>
      <c r="Y101" s="25" t="n"/>
      <c r="Z101" s="25" t="n"/>
      <c r="AA101" s="25" t="n"/>
      <c r="AB101" s="3">
        <f>SUM(X101:AA101)</f>
        <v>0</v>
      </c>
      <c r="AC101" s="25" t="n"/>
      <c r="AD101" s="25" t="n"/>
      <c r="AE101" s="25" t="n"/>
      <c r="AF101" s="25" t="n"/>
      <c r="AG101" s="3">
        <f>SUM(AC101:AF101)</f>
        <v>0</v>
      </c>
      <c r="AH101" s="3">
        <f>AC101*(1+AH129)</f>
        <v>0</v>
      </c>
      <c r="AI101" s="3">
        <f>AD101*(1+AI129)</f>
        <v>0</v>
      </c>
      <c r="AJ101" s="3">
        <f>AE101*(1+AJ129)</f>
        <v>0</v>
      </c>
      <c r="AK101" s="3">
        <f>AF101*(1+AK129)</f>
        <v>0</v>
      </c>
      <c r="AL101" s="3">
        <f>SUM(AH101:AK101)</f>
        <v>0</v>
      </c>
      <c r="AM101" s="3">
        <f>AH101*(1+AM129)</f>
        <v>0</v>
      </c>
      <c r="AN101" s="3">
        <f>AI101*(1+AN129)</f>
        <v>0</v>
      </c>
      <c r="AO101" s="3">
        <f>AJ101*(1+AO129)</f>
        <v>0</v>
      </c>
      <c r="AP101" s="3">
        <f>AK101*(1+AP129)</f>
        <v>0</v>
      </c>
      <c r="AQ101" s="3">
        <f>SUM(AM101:AP101)</f>
        <v>0</v>
      </c>
      <c r="AR101" s="3">
        <f>AM101*(1+AR129)</f>
        <v>0</v>
      </c>
      <c r="AS101" s="3">
        <f>AN101*(1+AS129)</f>
        <v>0</v>
      </c>
      <c r="AT101" s="3">
        <f>AO101*(1+AT129)</f>
        <v>0</v>
      </c>
      <c r="AU101" s="3">
        <f>AP101*(1+AU129)</f>
        <v>0</v>
      </c>
      <c r="AV101" s="3">
        <f>SUM(AR101:AU101)</f>
        <v>0</v>
      </c>
      <c r="AW101" s="3">
        <f>AR101*(1+AW129)</f>
        <v>0</v>
      </c>
      <c r="AX101" s="3">
        <f>AS101*(1+AX129)</f>
        <v>0</v>
      </c>
      <c r="AY101" s="3">
        <f>AT101*(1+AY129)</f>
        <v>0</v>
      </c>
      <c r="AZ101" s="3">
        <f>AU101*(1+AZ129)</f>
        <v>0</v>
      </c>
      <c r="BA101" s="3">
        <f>SUM(AW101:AZ101)</f>
        <v>0</v>
      </c>
      <c r="BB101" s="3">
        <f>AW101*(1+BB129)</f>
        <v>0</v>
      </c>
      <c r="BC101" s="3">
        <f>AX101*(1+BC129)</f>
        <v>0</v>
      </c>
      <c r="BD101" s="3">
        <f>AY101*(1+BD129)</f>
        <v>0</v>
      </c>
      <c r="BE101" s="3">
        <f>AZ101*(1+BE129)</f>
        <v>0</v>
      </c>
      <c r="BF101" s="3">
        <f>SUM(BB101:BE101)</f>
        <v>0</v>
      </c>
      <c r="BG101" s="3">
        <f>BB101*(1+BG129)</f>
        <v>0</v>
      </c>
      <c r="BH101" s="3">
        <f>BC101*(1+BH129)</f>
        <v>0</v>
      </c>
      <c r="BI101" s="3">
        <f>BD101*(1+BI129)</f>
        <v>0</v>
      </c>
      <c r="BJ101" s="3">
        <f>BE101*(1+BJ129)</f>
        <v>0</v>
      </c>
      <c r="BK101" s="3">
        <f>SUM(BG101:BJ101)</f>
        <v>0</v>
      </c>
      <c r="BL101" s="3">
        <f>BG101*(1+BL129)</f>
        <v>0</v>
      </c>
      <c r="BM101" s="3">
        <f>BH101*(1+BM129)</f>
        <v>0</v>
      </c>
      <c r="BN101" s="3">
        <f>BI101*(1+BN129)</f>
        <v>0</v>
      </c>
      <c r="BO101" s="3">
        <f>BJ101*(1+BO129)</f>
        <v>0</v>
      </c>
      <c r="BP101" s="3">
        <f>SUM(BL101:BO101)</f>
        <v>0</v>
      </c>
      <c r="BQ101" s="3">
        <f>BL101*(1+BQ129)</f>
        <v>0</v>
      </c>
      <c r="BR101" s="3">
        <f>BM101*(1+BR129)</f>
        <v>0</v>
      </c>
      <c r="BS101" s="3">
        <f>BN101*(1+BS129)</f>
        <v>0</v>
      </c>
      <c r="BT101" s="3">
        <f>BO101*(1+BT129)</f>
        <v>0</v>
      </c>
      <c r="BU101" s="3">
        <f>SUM(BQ101:BT101)</f>
        <v>0</v>
      </c>
      <c r="BV101" s="3">
        <f>BQ101*(1+BV129)</f>
        <v>0</v>
      </c>
      <c r="BW101" s="3">
        <f>BR101*(1+BW129)</f>
        <v>0</v>
      </c>
      <c r="BX101" s="3">
        <f>BS101*(1+BX129)</f>
        <v>0</v>
      </c>
      <c r="BY101" s="3">
        <f>BT101*(1+BY129)</f>
        <v>0</v>
      </c>
      <c r="BZ101" s="3">
        <f>SUM(BV101:BY101)</f>
        <v>0</v>
      </c>
      <c r="CA101" s="3">
        <f>BV101*(1+CA129)</f>
        <v>0</v>
      </c>
      <c r="CB101" s="3">
        <f>BW101*(1+CB129)</f>
        <v>0</v>
      </c>
      <c r="CC101" s="3">
        <f>BX101*(1+CC129)</f>
        <v>0</v>
      </c>
      <c r="CD101" s="3">
        <f>BY101*(1+CD129)</f>
        <v>0</v>
      </c>
      <c r="CE101" s="3">
        <f>SUM(CA101:CD101)</f>
        <v>0</v>
      </c>
      <c r="CF101" s="3">
        <f>CA101*(1+CF129)</f>
        <v>0</v>
      </c>
      <c r="CG101" s="3">
        <f>CB101*(1+CG129)</f>
        <v>0</v>
      </c>
      <c r="CH101" s="3">
        <f>CC101*(1+CH129)</f>
        <v>0</v>
      </c>
      <c r="CI101" s="3">
        <f>CD101*(1+CI129)</f>
        <v>0</v>
      </c>
      <c r="CJ101" s="3">
        <f>SUM(CF101:CI101)</f>
        <v>0</v>
      </c>
      <c r="CK101" s="3">
        <f>CF101*(1+CK129)</f>
        <v>0</v>
      </c>
      <c r="CL101" s="3">
        <f>CG101*(1+CL129)</f>
        <v>0</v>
      </c>
      <c r="CM101" s="3">
        <f>CH101*(1+CM129)</f>
        <v>0</v>
      </c>
      <c r="CN101" s="3">
        <f>CI101*(1+CN129)</f>
        <v>0</v>
      </c>
      <c r="CO101" s="3">
        <f>SUM(CK101:CN101)</f>
        <v>0</v>
      </c>
      <c r="CP101" s="3">
        <f>CK101*(1+CP129)</f>
        <v>0</v>
      </c>
      <c r="CQ101" s="3">
        <f>CL101*(1+CQ129)</f>
        <v>0</v>
      </c>
      <c r="CR101" s="3">
        <f>CM101*(1+CR129)</f>
        <v>0</v>
      </c>
      <c r="CS101" s="3">
        <f>CN101*(1+CS129)</f>
        <v>0</v>
      </c>
      <c r="CT101" s="3">
        <f>SUM(CP101:CS101)</f>
        <v>0</v>
      </c>
      <c r="CU101" s="3">
        <f>CP101*(1+CU129)</f>
        <v>0</v>
      </c>
      <c r="CV101" s="3">
        <f>CQ101*(1+CV129)</f>
        <v>0</v>
      </c>
      <c r="CW101" s="3">
        <f>CR101*(1+CW129)</f>
        <v>0</v>
      </c>
      <c r="CX101" s="3">
        <f>CS101*(1+CX129)</f>
        <v>0</v>
      </c>
      <c r="CY101" s="3">
        <f>SUM(CU101:CX101)</f>
        <v>0</v>
      </c>
    </row>
    <row r="102">
      <c r="C102" s="26" t="inlineStr">
        <is>
          <t>Minority Interest Expense, after tax (enter as - )</t>
        </is>
      </c>
      <c r="D102" s="25" t="n"/>
      <c r="E102" s="25" t="n"/>
      <c r="F102" s="25" t="n"/>
      <c r="G102" s="25" t="n"/>
      <c r="H102" s="3">
        <f>SUM(D102:G102)</f>
        <v>0</v>
      </c>
      <c r="I102" s="25" t="n"/>
      <c r="J102" s="25" t="n"/>
      <c r="K102" s="25" t="n"/>
      <c r="L102" s="25" t="n"/>
      <c r="M102" s="3">
        <f>SUM(I102:L102)</f>
        <v>0</v>
      </c>
      <c r="N102" s="25" t="n"/>
      <c r="O102" s="25" t="n"/>
      <c r="P102" s="25" t="n"/>
      <c r="Q102" s="25" t="n"/>
      <c r="R102" s="3">
        <f>SUM(N102:Q102)</f>
        <v>0</v>
      </c>
      <c r="S102" s="25" t="n"/>
      <c r="T102" s="25" t="n"/>
      <c r="U102" s="25" t="n"/>
      <c r="V102" s="25" t="n"/>
      <c r="W102" s="3">
        <f>SUM(S102:V102)</f>
        <v>0</v>
      </c>
      <c r="X102" s="25" t="n"/>
      <c r="Y102" s="25" t="n"/>
      <c r="Z102" s="25" t="n"/>
      <c r="AA102" s="25" t="n"/>
      <c r="AB102" s="3">
        <f>SUM(X102:AA102)</f>
        <v>0</v>
      </c>
      <c r="AC102" s="25" t="n"/>
      <c r="AD102" s="25" t="n"/>
      <c r="AE102" s="25" t="n"/>
      <c r="AF102" s="25" t="n"/>
      <c r="AG102" s="3">
        <f>SUM(AC102:AF102)</f>
        <v>0</v>
      </c>
      <c r="AH102" s="3">
        <f>AC102*(1+AH216)</f>
        <v>0</v>
      </c>
      <c r="AI102" s="3">
        <f>AD102*(1+AI216)</f>
        <v>0</v>
      </c>
      <c r="AJ102" s="3">
        <f>AE102*(1+AJ216)</f>
        <v>0</v>
      </c>
      <c r="AK102" s="3">
        <f>AF102*(1+AK216)</f>
        <v>0</v>
      </c>
      <c r="AL102" s="3">
        <f>SUM(AH102:AK102)</f>
        <v>0</v>
      </c>
      <c r="AM102" s="3">
        <f>AH102*(1+AM216)</f>
        <v>0</v>
      </c>
      <c r="AN102" s="3">
        <f>AI102*(1+AN216)</f>
        <v>0</v>
      </c>
      <c r="AO102" s="3">
        <f>AJ102*(1+AO216)</f>
        <v>0</v>
      </c>
      <c r="AP102" s="3">
        <f>AK102*(1+AP216)</f>
        <v>0</v>
      </c>
      <c r="AQ102" s="3">
        <f>SUM(AM102:AP102)</f>
        <v>0</v>
      </c>
      <c r="AR102" s="3">
        <f>AM102*(1+AR216)</f>
        <v>0</v>
      </c>
      <c r="AS102" s="3">
        <f>AN102*(1+AS216)</f>
        <v>0</v>
      </c>
      <c r="AT102" s="3">
        <f>AO102*(1+AT216)</f>
        <v>0</v>
      </c>
      <c r="AU102" s="3">
        <f>AP102*(1+AU216)</f>
        <v>0</v>
      </c>
      <c r="AV102" s="3">
        <f>SUM(AR102:AU102)</f>
        <v>0</v>
      </c>
      <c r="AW102" s="3">
        <f>AR102*(1+AW216)</f>
        <v>0</v>
      </c>
      <c r="AX102" s="3">
        <f>AS102*(1+AX216)</f>
        <v>0</v>
      </c>
      <c r="AY102" s="3">
        <f>AT102*(1+AY216)</f>
        <v>0</v>
      </c>
      <c r="AZ102" s="3">
        <f>AU102*(1+AZ216)</f>
        <v>0</v>
      </c>
      <c r="BA102" s="3">
        <f>SUM(AW102:AZ102)</f>
        <v>0</v>
      </c>
      <c r="BB102" s="3">
        <f>AW102*(1+BB216)</f>
        <v>0</v>
      </c>
      <c r="BC102" s="3">
        <f>AX102*(1+BC216)</f>
        <v>0</v>
      </c>
      <c r="BD102" s="3">
        <f>AY102*(1+BD216)</f>
        <v>0</v>
      </c>
      <c r="BE102" s="3">
        <f>AZ102*(1+BE216)</f>
        <v>0</v>
      </c>
      <c r="BF102" s="3">
        <f>SUM(BB102:BE102)</f>
        <v>0</v>
      </c>
      <c r="BG102" s="3">
        <f>BB102*(1+BG216)</f>
        <v>0</v>
      </c>
      <c r="BH102" s="3">
        <f>BC102*(1+BH216)</f>
        <v>0</v>
      </c>
      <c r="BI102" s="3">
        <f>BD102*(1+BI216)</f>
        <v>0</v>
      </c>
      <c r="BJ102" s="3">
        <f>BE102*(1+BJ216)</f>
        <v>0</v>
      </c>
      <c r="BK102" s="3">
        <f>SUM(BG102:BJ102)</f>
        <v>0</v>
      </c>
      <c r="BL102" s="3">
        <f>BG102*(1+BL216)</f>
        <v>0</v>
      </c>
      <c r="BM102" s="3">
        <f>BH102*(1+BM216)</f>
        <v>0</v>
      </c>
      <c r="BN102" s="3">
        <f>BI102*(1+BN216)</f>
        <v>0</v>
      </c>
      <c r="BO102" s="3">
        <f>BJ102*(1+BO216)</f>
        <v>0</v>
      </c>
      <c r="BP102" s="3">
        <f>SUM(BL102:BO102)</f>
        <v>0</v>
      </c>
      <c r="BQ102" s="3">
        <f>BL102*(1+BQ216)</f>
        <v>0</v>
      </c>
      <c r="BR102" s="3">
        <f>BM102*(1+BR216)</f>
        <v>0</v>
      </c>
      <c r="BS102" s="3">
        <f>BN102*(1+BS216)</f>
        <v>0</v>
      </c>
      <c r="BT102" s="3">
        <f>BO102*(1+BT216)</f>
        <v>0</v>
      </c>
      <c r="BU102" s="3">
        <f>SUM(BQ102:BT102)</f>
        <v>0</v>
      </c>
      <c r="BV102" s="3">
        <f>BQ102*(1+BV216)</f>
        <v>0</v>
      </c>
      <c r="BW102" s="3">
        <f>BR102*(1+BW216)</f>
        <v>0</v>
      </c>
      <c r="BX102" s="3">
        <f>BS102*(1+BX216)</f>
        <v>0</v>
      </c>
      <c r="BY102" s="3">
        <f>BT102*(1+BY216)</f>
        <v>0</v>
      </c>
      <c r="BZ102" s="3">
        <f>SUM(BV102:BY102)</f>
        <v>0</v>
      </c>
      <c r="CA102" s="3">
        <f>BV102*(1+CA216)</f>
        <v>0</v>
      </c>
      <c r="CB102" s="3">
        <f>BW102*(1+CB216)</f>
        <v>0</v>
      </c>
      <c r="CC102" s="3">
        <f>BX102*(1+CC216)</f>
        <v>0</v>
      </c>
      <c r="CD102" s="3">
        <f>BY102*(1+CD216)</f>
        <v>0</v>
      </c>
      <c r="CE102" s="3">
        <f>SUM(CA102:CD102)</f>
        <v>0</v>
      </c>
      <c r="CF102" s="3">
        <f>CA102*(1+CF216)</f>
        <v>0</v>
      </c>
      <c r="CG102" s="3">
        <f>CB102*(1+CG216)</f>
        <v>0</v>
      </c>
      <c r="CH102" s="3">
        <f>CC102*(1+CH216)</f>
        <v>0</v>
      </c>
      <c r="CI102" s="3">
        <f>CD102*(1+CI216)</f>
        <v>0</v>
      </c>
      <c r="CJ102" s="3">
        <f>SUM(CF102:CI102)</f>
        <v>0</v>
      </c>
      <c r="CK102" s="3">
        <f>CF102*(1+CK216)</f>
        <v>0</v>
      </c>
      <c r="CL102" s="3">
        <f>CG102*(1+CL216)</f>
        <v>0</v>
      </c>
      <c r="CM102" s="3">
        <f>CH102*(1+CM216)</f>
        <v>0</v>
      </c>
      <c r="CN102" s="3">
        <f>CI102*(1+CN216)</f>
        <v>0</v>
      </c>
      <c r="CO102" s="3">
        <f>SUM(CK102:CN102)</f>
        <v>0</v>
      </c>
      <c r="CP102" s="3">
        <f>CK102*(1+CP216)</f>
        <v>0</v>
      </c>
      <c r="CQ102" s="3">
        <f>CL102*(1+CQ216)</f>
        <v>0</v>
      </c>
      <c r="CR102" s="3">
        <f>CM102*(1+CR216)</f>
        <v>0</v>
      </c>
      <c r="CS102" s="3">
        <f>CN102*(1+CS216)</f>
        <v>0</v>
      </c>
      <c r="CT102" s="3">
        <f>SUM(CP102:CS102)</f>
        <v>0</v>
      </c>
      <c r="CU102" s="3">
        <f>CP102*(1+CU216)</f>
        <v>0</v>
      </c>
      <c r="CV102" s="3">
        <f>CQ102*(1+CV216)</f>
        <v>0</v>
      </c>
      <c r="CW102" s="3">
        <f>CR102*(1+CW216)</f>
        <v>0</v>
      </c>
      <c r="CX102" s="3">
        <f>CS102*(1+CX216)</f>
        <v>0</v>
      </c>
      <c r="CY102" s="3">
        <f>SUM(CU102:CX102)</f>
        <v>0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0</v>
      </c>
      <c r="E103" s="16">
        <f>SUM(E96,E97,E101,E102)</f>
        <v>0</v>
      </c>
      <c r="F103" s="16">
        <f>SUM(F96,F97,F101,F102)</f>
        <v>0</v>
      </c>
      <c r="G103" s="16">
        <f>SUM(G96,G97,G101,G102)</f>
        <v>0</v>
      </c>
      <c r="H103" s="16">
        <f>SUM(D103:G103)</f>
        <v>0</v>
      </c>
      <c r="I103" s="16">
        <f>SUM(I96,I97,I101,I102)</f>
        <v>0</v>
      </c>
      <c r="J103" s="16">
        <f>SUM(J96,J97,J101,J102)</f>
        <v>0</v>
      </c>
      <c r="K103" s="16">
        <f>SUM(K96,K97,K101,K102)</f>
        <v>0</v>
      </c>
      <c r="L103" s="16">
        <f>SUM(L96,L97,L101,L102)</f>
        <v>0</v>
      </c>
      <c r="M103" s="16">
        <f>SUM(I103:L103)</f>
        <v>0</v>
      </c>
      <c r="N103" s="16">
        <f>SUM(N96,N97,N101,N102)</f>
        <v>0</v>
      </c>
      <c r="O103" s="16">
        <f>SUM(O96,O97,O101,O102)</f>
        <v>0</v>
      </c>
      <c r="P103" s="16">
        <f>SUM(P96,P97,P101,P102)</f>
        <v>0</v>
      </c>
      <c r="Q103" s="16">
        <f>SUM(Q96,Q97,Q101,Q102)</f>
        <v>0</v>
      </c>
      <c r="R103" s="16">
        <f>SUM(N103:Q103)</f>
        <v>0</v>
      </c>
      <c r="S103" s="16">
        <f>SUM(S96,S97,S101,S102)</f>
        <v>0</v>
      </c>
      <c r="T103" s="16">
        <f>SUM(T96,T97,T101,T102)</f>
        <v>0</v>
      </c>
      <c r="U103" s="16">
        <f>SUM(U96,U97,U101,U102)</f>
        <v>0</v>
      </c>
      <c r="V103" s="16">
        <f>SUM(V96,V97,V101,V102)</f>
        <v>0</v>
      </c>
      <c r="W103" s="16">
        <f>SUM(S103:V103)</f>
        <v>0</v>
      </c>
      <c r="X103" s="16">
        <f>SUM(X96,X97,X101,X102)</f>
        <v>0</v>
      </c>
      <c r="Y103" s="16">
        <f>SUM(Y96,Y97,Y101,Y102)</f>
        <v>0</v>
      </c>
      <c r="Z103" s="16">
        <f>SUM(Z96,Z97,Z101,Z102)</f>
        <v>0</v>
      </c>
      <c r="AA103" s="16">
        <f>SUM(AA96,AA97,AA101,AA102)</f>
        <v>0</v>
      </c>
      <c r="AB103" s="16">
        <f>SUM(X103:AA103)</f>
        <v>0</v>
      </c>
      <c r="AC103" s="16">
        <f>SUM(AC96,AC97,AC101,AC102)</f>
        <v>0</v>
      </c>
      <c r="AD103" s="16">
        <f>SUM(AD96,AD97,AD101,AD102)</f>
        <v>0</v>
      </c>
      <c r="AE103" s="16">
        <f>SUM(AE96,AE97,AE101,AE102)</f>
        <v>0</v>
      </c>
      <c r="AF103" s="16">
        <f>SUM(AF96,AF97,AF101,AF102)</f>
        <v>0</v>
      </c>
      <c r="AG103" s="16">
        <f>SUM(AC103:AF103)</f>
        <v>0</v>
      </c>
      <c r="AH103" s="16">
        <f>SUM(AH96,AH97,AH101,AH102)</f>
        <v>0</v>
      </c>
      <c r="AI103" s="16">
        <f>SUM(AI96,AI97,AI101,AI102)</f>
        <v>0</v>
      </c>
      <c r="AJ103" s="16">
        <f>SUM(AJ96,AJ97,AJ101,AJ102)</f>
        <v>0</v>
      </c>
      <c r="AK103" s="16">
        <f>SUM(AK96,AK97,AK101,AK102)</f>
        <v>0</v>
      </c>
      <c r="AL103" s="16">
        <f>SUM(AH103:AK103)</f>
        <v>0</v>
      </c>
      <c r="AM103" s="16">
        <f>SUM(AM96,AM97,AM101,AM102)</f>
        <v>0</v>
      </c>
      <c r="AN103" s="16">
        <f>SUM(AN96,AN97,AN101,AN102)</f>
        <v>0</v>
      </c>
      <c r="AO103" s="16">
        <f>SUM(AO96,AO97,AO101,AO102)</f>
        <v>0</v>
      </c>
      <c r="AP103" s="16">
        <f>SUM(AP96,AP97,AP101,AP102)</f>
        <v>0</v>
      </c>
      <c r="AQ103" s="16">
        <f>SUM(AM103:AP103)</f>
        <v>0</v>
      </c>
      <c r="AR103" s="16">
        <f>SUM(AR96,AR97,AR101,AR102)</f>
        <v>0</v>
      </c>
      <c r="AS103" s="16">
        <f>SUM(AS96,AS97,AS101,AS102)</f>
        <v>0</v>
      </c>
      <c r="AT103" s="16">
        <f>SUM(AT96,AT97,AT101,AT102)</f>
        <v>0</v>
      </c>
      <c r="AU103" s="16">
        <f>SUM(AU96,AU97,AU101,AU102)</f>
        <v>0</v>
      </c>
      <c r="AV103" s="16">
        <f>SUM(AR103:AU103)</f>
        <v>0</v>
      </c>
      <c r="AW103" s="16">
        <f>SUM(AW96,AW97,AW101,AW102)</f>
        <v>0</v>
      </c>
      <c r="AX103" s="16">
        <f>SUM(AX96,AX97,AX101,AX102)</f>
        <v>0</v>
      </c>
      <c r="AY103" s="16">
        <f>SUM(AY96,AY97,AY101,AY102)</f>
        <v>0</v>
      </c>
      <c r="AZ103" s="16">
        <f>SUM(AZ96,AZ97,AZ101,AZ102)</f>
        <v>0</v>
      </c>
      <c r="BA103" s="16">
        <f>SUM(AW103:AZ103)</f>
        <v>0</v>
      </c>
      <c r="BB103" s="16">
        <f>SUM(BB96,BB97,BB101,BB102)</f>
        <v>0</v>
      </c>
      <c r="BC103" s="16">
        <f>SUM(BC96,BC97,BC101,BC102)</f>
        <v>0</v>
      </c>
      <c r="BD103" s="16">
        <f>SUM(BD96,BD97,BD101,BD102)</f>
        <v>0</v>
      </c>
      <c r="BE103" s="16">
        <f>SUM(BE96,BE97,BE101,BE102)</f>
        <v>0</v>
      </c>
      <c r="BF103" s="16">
        <f>SUM(BB103:BE103)</f>
        <v>0</v>
      </c>
      <c r="BG103" s="16">
        <f>SUM(BG96,BG97,BG101,BG102)</f>
        <v>0</v>
      </c>
      <c r="BH103" s="16">
        <f>SUM(BH96,BH97,BH101,BH102)</f>
        <v>0</v>
      </c>
      <c r="BI103" s="16">
        <f>SUM(BI96,BI97,BI101,BI102)</f>
        <v>0</v>
      </c>
      <c r="BJ103" s="16">
        <f>SUM(BJ96,BJ97,BJ101,BJ102)</f>
        <v>0</v>
      </c>
      <c r="BK103" s="16">
        <f>SUM(BG103:BJ103)</f>
        <v>0</v>
      </c>
      <c r="BL103" s="16">
        <f>SUM(BL96,BL97,BL101,BL102)</f>
        <v>0</v>
      </c>
      <c r="BM103" s="16">
        <f>SUM(BM96,BM97,BM101,BM102)</f>
        <v>0</v>
      </c>
      <c r="BN103" s="16">
        <f>SUM(BN96,BN97,BN101,BN102)</f>
        <v>0</v>
      </c>
      <c r="BO103" s="16">
        <f>SUM(BO96,BO97,BO101,BO102)</f>
        <v>0</v>
      </c>
      <c r="BP103" s="16">
        <f>SUM(BL103:BO103)</f>
        <v>0</v>
      </c>
      <c r="BQ103" s="16">
        <f>SUM(BQ96,BQ97,BQ101,BQ102)</f>
        <v>0</v>
      </c>
      <c r="BR103" s="16">
        <f>SUM(BR96,BR97,BR101,BR102)</f>
        <v>0</v>
      </c>
      <c r="BS103" s="16">
        <f>SUM(BS96,BS97,BS101,BS102)</f>
        <v>0</v>
      </c>
      <c r="BT103" s="16">
        <f>SUM(BT96,BT97,BT101,BT102)</f>
        <v>0</v>
      </c>
      <c r="BU103" s="16">
        <f>SUM(BQ103:BT103)</f>
        <v>0</v>
      </c>
      <c r="BV103" s="16">
        <f>SUM(BV96,BV97,BV101,BV102)</f>
        <v>0</v>
      </c>
      <c r="BW103" s="16">
        <f>SUM(BW96,BW97,BW101,BW102)</f>
        <v>0</v>
      </c>
      <c r="BX103" s="16">
        <f>SUM(BX96,BX97,BX101,BX102)</f>
        <v>0</v>
      </c>
      <c r="BY103" s="16">
        <f>SUM(BY96,BY97,BY101,BY102)</f>
        <v>0</v>
      </c>
      <c r="BZ103" s="16">
        <f>SUM(BV103:BY103)</f>
        <v>0</v>
      </c>
      <c r="CA103" s="16">
        <f>SUM(CA96,CA97,CA101,CA102)</f>
        <v>0</v>
      </c>
      <c r="CB103" s="16">
        <f>SUM(CB96,CB97,CB101,CB102)</f>
        <v>0</v>
      </c>
      <c r="CC103" s="16">
        <f>SUM(CC96,CC97,CC101,CC102)</f>
        <v>0</v>
      </c>
      <c r="CD103" s="16">
        <f>SUM(CD96,CD97,CD101,CD102)</f>
        <v>0</v>
      </c>
      <c r="CE103" s="16">
        <f>SUM(CA103:CD103)</f>
        <v>0</v>
      </c>
      <c r="CF103" s="16">
        <f>SUM(CF96,CF97,CF101,CF102)</f>
        <v>0</v>
      </c>
      <c r="CG103" s="16">
        <f>SUM(CG96,CG97,CG101,CG102)</f>
        <v>0</v>
      </c>
      <c r="CH103" s="16">
        <f>SUM(CH96,CH97,CH101,CH102)</f>
        <v>0</v>
      </c>
      <c r="CI103" s="16">
        <f>SUM(CI96,CI97,CI101,CI102)</f>
        <v>0</v>
      </c>
      <c r="CJ103" s="16">
        <f>SUM(CF103:CI103)</f>
        <v>0</v>
      </c>
      <c r="CK103" s="16">
        <f>SUM(CK96,CK97,CK101,CK102)</f>
        <v>0</v>
      </c>
      <c r="CL103" s="16">
        <f>SUM(CL96,CL97,CL101,CL102)</f>
        <v>0</v>
      </c>
      <c r="CM103" s="16">
        <f>SUM(CM96,CM97,CM101,CM102)</f>
        <v>0</v>
      </c>
      <c r="CN103" s="16">
        <f>SUM(CN96,CN97,CN101,CN102)</f>
        <v>0</v>
      </c>
      <c r="CO103" s="16">
        <f>SUM(CK103:CN103)</f>
        <v>0</v>
      </c>
      <c r="CP103" s="16">
        <f>SUM(CP96,CP97,CP101,CP102)</f>
        <v>0</v>
      </c>
      <c r="CQ103" s="16">
        <f>SUM(CQ96,CQ97,CQ101,CQ102)</f>
        <v>0</v>
      </c>
      <c r="CR103" s="16">
        <f>SUM(CR96,CR97,CR101,CR102)</f>
        <v>0</v>
      </c>
      <c r="CS103" s="16">
        <f>SUM(CS96,CS97,CS101,CS102)</f>
        <v>0</v>
      </c>
      <c r="CT103" s="16">
        <f>SUM(CP103:CS103)</f>
        <v>0</v>
      </c>
      <c r="CU103" s="16">
        <f>SUM(CU96,CU97,CU101,CU102)</f>
        <v>0</v>
      </c>
      <c r="CV103" s="16">
        <f>SUM(CV96,CV97,CV101,CV102)</f>
        <v>0</v>
      </c>
      <c r="CW103" s="16">
        <f>SUM(CW96,CW97,CW101,CW102)</f>
        <v>0</v>
      </c>
      <c r="CX103" s="16">
        <f>SUM(CX96,CX97,CX101,CX102)</f>
        <v>0</v>
      </c>
      <c r="CY103" s="16">
        <f>SUM(CU103:CX103)</f>
        <v>0</v>
      </c>
    </row>
    <row r="104">
      <c r="C104" s="24" t="inlineStr">
        <is>
          <t>Common Dividends</t>
        </is>
      </c>
      <c r="D104" s="25" t="n"/>
      <c r="E104" s="25" t="n"/>
      <c r="F104" s="25" t="n"/>
      <c r="G104" s="25" t="n"/>
      <c r="H104" s="3">
        <f>SUM(D104:G104)</f>
        <v>0</v>
      </c>
      <c r="I104" s="25" t="n"/>
      <c r="J104" s="25" t="n"/>
      <c r="K104" s="25" t="n"/>
      <c r="L104" s="25" t="n"/>
      <c r="M104" s="3">
        <f>SUM(I104:L104)</f>
        <v>0</v>
      </c>
      <c r="N104" s="25" t="n"/>
      <c r="O104" s="25" t="n"/>
      <c r="P104" s="25" t="n"/>
      <c r="Q104" s="25" t="n"/>
      <c r="R104" s="3">
        <f>SUM(N104:Q104)</f>
        <v>0</v>
      </c>
      <c r="S104" s="25" t="n"/>
      <c r="T104" s="25" t="n"/>
      <c r="U104" s="25" t="n"/>
      <c r="V104" s="25" t="n"/>
      <c r="W104" s="3">
        <f>SUM(S104:V104)</f>
        <v>0</v>
      </c>
      <c r="X104" s="25" t="n"/>
      <c r="Y104" s="25" t="n"/>
      <c r="Z104" s="25" t="n"/>
      <c r="AA104" s="25" t="n"/>
      <c r="AB104" s="3">
        <f>SUM(X104:AA104)</f>
        <v>0</v>
      </c>
      <c r="AC104" s="25" t="n"/>
      <c r="AD104" s="25" t="n"/>
      <c r="AE104" s="25" t="n"/>
      <c r="AF104" s="25" t="n"/>
      <c r="AG104" s="3">
        <f>SUM(AC104:AF104)</f>
        <v>0</v>
      </c>
      <c r="AH104" s="3" t="n"/>
      <c r="AI104" s="3" t="n"/>
      <c r="AJ104" s="3" t="n"/>
      <c r="AK104" s="3" t="n"/>
      <c r="AL104" s="3">
        <f>SUM(AH104:AK104)</f>
        <v>0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 t="e">
        <f>-D104/D103</f>
        <v>#DIV/0!</v>
      </c>
      <c r="E105" s="40" t="e">
        <f>-E104/E103</f>
        <v>#DIV/0!</v>
      </c>
      <c r="F105" s="40" t="e">
        <f>-F104/F103</f>
        <v>#DIV/0!</v>
      </c>
      <c r="G105" s="40" t="e">
        <f>-G104/G103</f>
        <v>#DIV/0!</v>
      </c>
      <c r="H105" s="40" t="e">
        <f>-H104/H103</f>
        <v>#DIV/0!</v>
      </c>
      <c r="I105" s="40" t="e">
        <f>-I104/I103</f>
        <v>#DIV/0!</v>
      </c>
      <c r="J105" s="40" t="e">
        <f>-J104/J103</f>
        <v>#DIV/0!</v>
      </c>
      <c r="K105" s="40" t="e">
        <f>-K104/K103</f>
        <v>#DIV/0!</v>
      </c>
      <c r="L105" s="40" t="e">
        <f>-L104/L103</f>
        <v>#DIV/0!</v>
      </c>
      <c r="M105" s="40" t="e">
        <f>-M104/M103</f>
        <v>#DIV/0!</v>
      </c>
      <c r="N105" s="40" t="e">
        <f>-N104/N103</f>
        <v>#DIV/0!</v>
      </c>
      <c r="O105" s="40" t="e">
        <f>-O104/O103</f>
        <v>#DIV/0!</v>
      </c>
      <c r="P105" s="40" t="e">
        <f>-P104/P103</f>
        <v>#DIV/0!</v>
      </c>
      <c r="Q105" s="40" t="e">
        <f>-Q104/Q103</f>
        <v>#DIV/0!</v>
      </c>
      <c r="R105" s="40" t="e">
        <f>-R104/R103</f>
        <v>#DIV/0!</v>
      </c>
      <c r="S105" s="40" t="e">
        <f>-S104/S103</f>
        <v>#DIV/0!</v>
      </c>
      <c r="T105" s="40" t="e">
        <f>-T104/T103</f>
        <v>#DIV/0!</v>
      </c>
      <c r="U105" s="40" t="e">
        <f>-U104/U103</f>
        <v>#DIV/0!</v>
      </c>
      <c r="V105" s="40" t="e">
        <f>-V104/V103</f>
        <v>#DIV/0!</v>
      </c>
      <c r="W105" s="40" t="e">
        <f>-W104/W103</f>
        <v>#DIV/0!</v>
      </c>
      <c r="X105" s="40" t="e">
        <f>-X104/X103</f>
        <v>#DIV/0!</v>
      </c>
      <c r="Y105" s="40" t="e">
        <f>-Y104/Y103</f>
        <v>#DIV/0!</v>
      </c>
      <c r="Z105" s="40" t="e">
        <f>-Z104/Z103</f>
        <v>#DIV/0!</v>
      </c>
      <c r="AA105" s="40" t="e">
        <f>-AA104/AA103</f>
        <v>#DIV/0!</v>
      </c>
      <c r="AB105" s="40" t="e">
        <f>-AB104/AB103</f>
        <v>#DIV/0!</v>
      </c>
      <c r="AC105" s="40" t="e">
        <f>-AC104/AC103</f>
        <v>#DIV/0!</v>
      </c>
      <c r="AD105" s="40" t="e">
        <f>-AD104/AD103</f>
        <v>#DIV/0!</v>
      </c>
      <c r="AE105" s="40" t="e">
        <f>-AE104/AE103</f>
        <v>#DIV/0!</v>
      </c>
      <c r="AF105" s="44" t="e">
        <f>-AF104/AF103</f>
        <v>#DIV/0!</v>
      </c>
      <c r="AG105" s="3" t="n"/>
      <c r="AH105" s="44" t="n"/>
      <c r="AI105" s="44" t="n"/>
      <c r="AJ105" s="44" t="n"/>
      <c r="AK105" s="44" t="n"/>
      <c r="AL105" s="3" t="e">
        <f>-AL104/AL103</f>
        <v>#DIV/0!</v>
      </c>
      <c r="AM105" s="44" t="n"/>
      <c r="AN105" s="44" t="n"/>
      <c r="AO105" s="44" t="n"/>
      <c r="AP105" s="44" t="n"/>
      <c r="AQ105" s="3" t="e">
        <f>-AQ104/AQ103</f>
        <v>#DIV/0!</v>
      </c>
      <c r="AR105" s="44" t="n"/>
      <c r="AS105" s="44" t="n"/>
      <c r="AT105" s="44" t="n"/>
      <c r="AU105" s="44" t="n"/>
      <c r="AV105" s="3" t="e">
        <f>-AV104/AV103</f>
        <v>#DIV/0!</v>
      </c>
      <c r="AW105" s="44" t="n"/>
      <c r="AX105" s="44" t="n"/>
      <c r="AY105" s="44" t="n"/>
      <c r="AZ105" s="44" t="n"/>
      <c r="BA105" s="3" t="e">
        <f>-BA104/BA103</f>
        <v>#DIV/0!</v>
      </c>
      <c r="BB105" s="44" t="n"/>
      <c r="BC105" s="44" t="n"/>
      <c r="BD105" s="44" t="n"/>
      <c r="BE105" s="44" t="n"/>
      <c r="BF105" s="3" t="e">
        <f>-BF104/BF103</f>
        <v>#DIV/0!</v>
      </c>
      <c r="BG105" s="44" t="n"/>
      <c r="BH105" s="44" t="n"/>
      <c r="BI105" s="44" t="n"/>
      <c r="BJ105" s="44" t="n"/>
      <c r="BK105" s="3" t="e">
        <f>-BK104/BK103</f>
        <v>#DIV/0!</v>
      </c>
      <c r="BL105" s="44" t="n"/>
      <c r="BM105" s="44" t="n"/>
      <c r="BN105" s="44" t="n"/>
      <c r="BO105" s="44" t="n"/>
      <c r="BP105" s="3" t="e">
        <f>-BP104/BP103</f>
        <v>#DIV/0!</v>
      </c>
      <c r="BQ105" s="44" t="n"/>
      <c r="BR105" s="44" t="n"/>
      <c r="BS105" s="44" t="n"/>
      <c r="BT105" s="44" t="n"/>
      <c r="BU105" s="3" t="e">
        <f>-BU104/BU103</f>
        <v>#DIV/0!</v>
      </c>
      <c r="BV105" s="44" t="n"/>
      <c r="BW105" s="44" t="n"/>
      <c r="BX105" s="44" t="n"/>
      <c r="BY105" s="44" t="n"/>
      <c r="BZ105" s="3" t="e">
        <f>-BZ104/BZ103</f>
        <v>#DIV/0!</v>
      </c>
      <c r="CA105" s="44" t="n"/>
      <c r="CB105" s="44" t="n"/>
      <c r="CC105" s="44" t="n"/>
      <c r="CD105" s="44" t="n"/>
      <c r="CE105" s="3" t="e">
        <f>-CE104/CE103</f>
        <v>#DIV/0!</v>
      </c>
      <c r="CF105" s="44" t="n"/>
      <c r="CG105" s="44" t="n"/>
      <c r="CH105" s="44" t="n"/>
      <c r="CI105" s="44" t="n"/>
      <c r="CJ105" s="3" t="e">
        <f>-CJ104/CJ103</f>
        <v>#DIV/0!</v>
      </c>
      <c r="CK105" s="44" t="n"/>
      <c r="CL105" s="44" t="n"/>
      <c r="CM105" s="44" t="n"/>
      <c r="CN105" s="44" t="n"/>
      <c r="CO105" s="3" t="e">
        <f>-CO104/CO103</f>
        <v>#DIV/0!</v>
      </c>
      <c r="CP105" s="44" t="n"/>
      <c r="CQ105" s="44" t="n"/>
      <c r="CR105" s="44" t="n"/>
      <c r="CS105" s="44" t="n"/>
      <c r="CT105" s="3" t="e">
        <f>-CT104/CT103</f>
        <v>#DIV/0!</v>
      </c>
      <c r="CU105" s="44" t="n"/>
      <c r="CV105" s="44" t="n"/>
      <c r="CW105" s="44" t="n"/>
      <c r="CX105" s="44" t="n"/>
      <c r="CY105" s="3" t="e">
        <f>-CY104/CY103</f>
        <v>#DIV/0!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 t="n"/>
      <c r="E110" s="25" t="n"/>
      <c r="F110" s="25" t="n"/>
      <c r="G110" s="25" t="n"/>
      <c r="H110" s="3">
        <f>G110</f>
        <v>0</v>
      </c>
      <c r="I110" s="25" t="n"/>
      <c r="J110" s="25" t="n"/>
      <c r="K110" s="25" t="n"/>
      <c r="L110" s="25" t="n"/>
      <c r="M110" s="3">
        <f>L110</f>
        <v>0</v>
      </c>
      <c r="N110" s="25" t="n"/>
      <c r="O110" s="25" t="n"/>
      <c r="P110" s="25" t="n"/>
      <c r="Q110" s="25" t="n"/>
      <c r="R110" s="3">
        <f>Q110</f>
        <v>0</v>
      </c>
      <c r="S110" s="25" t="n"/>
      <c r="T110" s="25" t="n"/>
      <c r="U110" s="25" t="n"/>
      <c r="V110" s="25" t="n"/>
      <c r="W110" s="3">
        <f>V110</f>
        <v>0</v>
      </c>
      <c r="X110" s="25" t="n"/>
      <c r="Y110" s="25" t="n"/>
      <c r="Z110" s="25" t="n"/>
      <c r="AA110" s="25" t="n"/>
      <c r="AB110" s="3">
        <f>AA110</f>
        <v>0</v>
      </c>
      <c r="AC110" s="25" t="n"/>
      <c r="AD110" s="25" t="n"/>
      <c r="AE110" s="25" t="n"/>
      <c r="AF110" s="25" t="n"/>
      <c r="AG110" s="3">
        <f>AF110</f>
        <v>0</v>
      </c>
      <c r="AH110" s="3" t="e">
        <f>AG110+AH280</f>
        <v>#DIV/0!</v>
      </c>
      <c r="AI110" s="3" t="e">
        <f>AH110+AI280</f>
        <v>#DIV/0!</v>
      </c>
      <c r="AJ110" s="3" t="e">
        <f>AI110+AJ280</f>
        <v>#DIV/0!</v>
      </c>
      <c r="AK110" s="3" t="e">
        <f>AJ110+AK280</f>
        <v>#DIV/0!</v>
      </c>
      <c r="AL110" s="3" t="e">
        <f>AK110</f>
        <v>#DIV/0!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 t="n"/>
      <c r="E111" s="25" t="n"/>
      <c r="F111" s="25" t="n"/>
      <c r="G111" s="25" t="n"/>
      <c r="H111" s="3">
        <f>G111</f>
        <v>0</v>
      </c>
      <c r="I111" s="25" t="n"/>
      <c r="J111" s="25" t="n"/>
      <c r="K111" s="25" t="n"/>
      <c r="L111" s="25" t="n"/>
      <c r="M111" s="3">
        <f>L111</f>
        <v>0</v>
      </c>
      <c r="N111" s="25" t="n"/>
      <c r="O111" s="25" t="n"/>
      <c r="P111" s="25" t="n"/>
      <c r="Q111" s="25" t="n"/>
      <c r="R111" s="3">
        <f>Q111</f>
        <v>0</v>
      </c>
      <c r="S111" s="25" t="n"/>
      <c r="T111" s="25" t="n"/>
      <c r="U111" s="25" t="n"/>
      <c r="V111" s="25" t="n"/>
      <c r="W111" s="3">
        <f>V111</f>
        <v>0</v>
      </c>
      <c r="X111" s="25" t="n"/>
      <c r="Y111" s="25" t="n"/>
      <c r="Z111" s="25" t="n"/>
      <c r="AA111" s="25" t="n"/>
      <c r="AB111" s="3">
        <f>AA111</f>
        <v>0</v>
      </c>
      <c r="AC111" s="25" t="n"/>
      <c r="AD111" s="25" t="n"/>
      <c r="AE111" s="25" t="n"/>
      <c r="AF111" s="25" t="n"/>
      <c r="AG111" s="3">
        <f>AF111</f>
        <v>0</v>
      </c>
      <c r="AH111" s="3">
        <f>(AH112/(AH$5-AG$5))*AH$15</f>
        <v>0</v>
      </c>
      <c r="AI111" s="3">
        <f>(AI112/(AI$5-AH$5))*AI$15</f>
        <v>0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 t="e">
        <f>(E111/E$15)*(E$5-D$5)</f>
        <v>#DIV/0!</v>
      </c>
      <c r="F112" s="3" t="e">
        <f>(F111/F$15)*(F$5-E$5)</f>
        <v>#DIV/0!</v>
      </c>
      <c r="G112" s="3" t="e">
        <f>(G111/G$15)*(G$5-F$5)</f>
        <v>#DIV/0!</v>
      </c>
      <c r="H112" s="3" t="n"/>
      <c r="I112" s="3" t="e">
        <f>(I111/I$15)*(I$5-H$5)</f>
        <v>#DIV/0!</v>
      </c>
      <c r="J112" s="3" t="e">
        <f>(J111/J$15)*(J$5-I$5)</f>
        <v>#DIV/0!</v>
      </c>
      <c r="K112" s="3" t="e">
        <f>(K111/K$15)*(K$5-J$5)</f>
        <v>#DIV/0!</v>
      </c>
      <c r="L112" s="3" t="e">
        <f>(L111/L$15)*(L$5-K$5)</f>
        <v>#DIV/0!</v>
      </c>
      <c r="M112" s="3" t="n"/>
      <c r="N112" s="3" t="e">
        <f>(N111/N$15)*(N$5-M$5)</f>
        <v>#DIV/0!</v>
      </c>
      <c r="O112" s="3" t="e">
        <f>(O111/O$15)*(O$5-N$5)</f>
        <v>#DIV/0!</v>
      </c>
      <c r="P112" s="3" t="e">
        <f>(P111/P$15)*(P$5-O$5)</f>
        <v>#DIV/0!</v>
      </c>
      <c r="Q112" s="3" t="e">
        <f>(Q111/Q$15)*(Q$5-P$5)</f>
        <v>#DIV/0!</v>
      </c>
      <c r="R112" s="3" t="n"/>
      <c r="S112" s="3" t="e">
        <f>(S111/S$15)*(S$5-R$5)</f>
        <v>#DIV/0!</v>
      </c>
      <c r="T112" s="3" t="e">
        <f>(T111/T$15)*(T$5-S$5)</f>
        <v>#DIV/0!</v>
      </c>
      <c r="U112" s="3" t="e">
        <f>(U111/U$15)*(U$5-T$5)</f>
        <v>#DIV/0!</v>
      </c>
      <c r="V112" s="3" t="e">
        <f>(V111/V$15)*(V$5-U$5)</f>
        <v>#DIV/0!</v>
      </c>
      <c r="W112" s="3" t="n"/>
      <c r="X112" s="3" t="e">
        <f>(X111/X$15)*(X$5-W$5)</f>
        <v>#DIV/0!</v>
      </c>
      <c r="Y112" s="3" t="e">
        <f>(Y111/Y$15)*(Y$5-X$5)</f>
        <v>#DIV/0!</v>
      </c>
      <c r="Z112" s="3" t="e">
        <f>(Z111/Z$15)*(Z$5-Y$5)</f>
        <v>#DIV/0!</v>
      </c>
      <c r="AA112" s="3" t="e">
        <f>(AA111/AA$15)*(AA$5-Z$5)</f>
        <v>#DIV/0!</v>
      </c>
      <c r="AB112" s="3" t="n"/>
      <c r="AC112" s="3" t="e">
        <f>(AC111/AC$15)*(AC$5-AB$5)</f>
        <v>#DIV/0!</v>
      </c>
      <c r="AD112" s="3" t="e">
        <f>(AD111/AD$15)*(AD$5-AC$5)</f>
        <v>#DIV/0!</v>
      </c>
      <c r="AE112" s="3" t="e">
        <f>(AE111/AE$15)*(AE$5-AD$5)</f>
        <v>#DIV/0!</v>
      </c>
      <c r="AF112" s="6" t="e">
        <f>(AF111/AF$15)*(AF$5-AE$5)</f>
        <v>#DIV/0!</v>
      </c>
      <c r="AG112" s="3" t="n"/>
      <c r="AH112" s="6" t="n"/>
      <c r="AI112" s="6" t="n"/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 t="n"/>
      <c r="E115" s="25" t="n"/>
      <c r="F115" s="25" t="n"/>
      <c r="G115" s="25" t="n"/>
      <c r="H115" s="3">
        <f>G115</f>
        <v>0</v>
      </c>
      <c r="I115" s="25" t="n"/>
      <c r="J115" s="25" t="n"/>
      <c r="K115" s="25" t="n"/>
      <c r="L115" s="25" t="n"/>
      <c r="M115" s="3">
        <f>L115</f>
        <v>0</v>
      </c>
      <c r="N115" s="25" t="n"/>
      <c r="O115" s="25" t="n"/>
      <c r="P115" s="25" t="n"/>
      <c r="Q115" s="25" t="n"/>
      <c r="R115" s="3">
        <f>Q115</f>
        <v>0</v>
      </c>
      <c r="S115" s="25" t="n"/>
      <c r="T115" s="25" t="n"/>
      <c r="U115" s="25" t="n"/>
      <c r="V115" s="25" t="n"/>
      <c r="W115" s="3">
        <f>V115</f>
        <v>0</v>
      </c>
      <c r="X115" s="25" t="n"/>
      <c r="Y115" s="25" t="n"/>
      <c r="Z115" s="25" t="n"/>
      <c r="AA115" s="25" t="n"/>
      <c r="AB115" s="3">
        <f>AA115</f>
        <v>0</v>
      </c>
      <c r="AC115" s="25" t="n"/>
      <c r="AD115" s="25" t="n"/>
      <c r="AE115" s="25" t="n"/>
      <c r="AF115" s="25" t="n"/>
      <c r="AG115" s="3">
        <f>AF115</f>
        <v>0</v>
      </c>
      <c r="AH115" s="3">
        <f>(AH116/(AH$5-AG$5))*-AH$20</f>
        <v>0</v>
      </c>
      <c r="AI115" s="3">
        <f>(AI116/(AI$5-AH$5))*-AI$20</f>
        <v>0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 t="e">
        <f>((E115/E$20)*(E$5-D$5))*-1</f>
        <v>#DIV/0!</v>
      </c>
      <c r="F116" s="3" t="e">
        <f>((F115/F$20)*(F$5-E$5))*-1</f>
        <v>#DIV/0!</v>
      </c>
      <c r="G116" s="3" t="e">
        <f>((G115/G$20)*(G$5-F$5))*-1</f>
        <v>#DIV/0!</v>
      </c>
      <c r="H116" s="3" t="n"/>
      <c r="I116" s="3" t="e">
        <f>((I115/I$20)*(I$5-H$5))*-1</f>
        <v>#DIV/0!</v>
      </c>
      <c r="J116" s="3" t="e">
        <f>((J115/J$20)*(J$5-I$5))*-1</f>
        <v>#DIV/0!</v>
      </c>
      <c r="K116" s="3" t="e">
        <f>((K115/K$20)*(K$5-J$5))*-1</f>
        <v>#DIV/0!</v>
      </c>
      <c r="L116" s="3" t="e">
        <f>((L115/L$20)*(L$5-K$5))*-1</f>
        <v>#DIV/0!</v>
      </c>
      <c r="M116" s="3" t="n"/>
      <c r="N116" s="3" t="e">
        <f>((N115/N$20)*(N$5-M$5))*-1</f>
        <v>#DIV/0!</v>
      </c>
      <c r="O116" s="3" t="e">
        <f>((O115/O$20)*(O$5-N$5))*-1</f>
        <v>#DIV/0!</v>
      </c>
      <c r="P116" s="3" t="e">
        <f>((P115/P$20)*(P$5-O$5))*-1</f>
        <v>#DIV/0!</v>
      </c>
      <c r="Q116" s="3" t="e">
        <f>((Q115/Q$20)*(Q$5-P$5))*-1</f>
        <v>#DIV/0!</v>
      </c>
      <c r="R116" s="3" t="n"/>
      <c r="S116" s="3" t="e">
        <f>((S115/S$20)*(S$5-R$5))*-1</f>
        <v>#DIV/0!</v>
      </c>
      <c r="T116" s="3" t="e">
        <f>((T115/T$20)*(T$5-S$5))*-1</f>
        <v>#DIV/0!</v>
      </c>
      <c r="U116" s="3" t="e">
        <f>((U115/U$20)*(U$5-T$5))*-1</f>
        <v>#DIV/0!</v>
      </c>
      <c r="V116" s="3" t="e">
        <f>((V115/V$20)*(V$5-U$5))*-1</f>
        <v>#DIV/0!</v>
      </c>
      <c r="W116" s="3" t="n"/>
      <c r="X116" s="3" t="e">
        <f>((X115/X$20)*(X$5-W$5))*-1</f>
        <v>#DIV/0!</v>
      </c>
      <c r="Y116" s="3" t="e">
        <f>((Y115/Y$20)*(Y$5-X$5))*-1</f>
        <v>#DIV/0!</v>
      </c>
      <c r="Z116" s="3" t="e">
        <f>((Z115/Z$20)*(Z$5-Y$5))*-1</f>
        <v>#DIV/0!</v>
      </c>
      <c r="AA116" s="3" t="e">
        <f>((AA115/AA$20)*(AA$5-Z$5))*-1</f>
        <v>#DIV/0!</v>
      </c>
      <c r="AB116" s="3" t="n"/>
      <c r="AC116" s="3" t="e">
        <f>((AC115/AC$20)*(AC$5-AB$5))*-1</f>
        <v>#DIV/0!</v>
      </c>
      <c r="AD116" s="3" t="e">
        <f>((AD115/AD$20)*(AD$5-AC$5))*-1</f>
        <v>#DIV/0!</v>
      </c>
      <c r="AE116" s="3" t="e">
        <f>((AE115/AE$20)*(AE$5-AD$5))*-1</f>
        <v>#DIV/0!</v>
      </c>
      <c r="AF116" s="6" t="e">
        <f>((AF115/AF$20)*(AF$5-AE$5))*-1</f>
        <v>#DIV/0!</v>
      </c>
      <c r="AG116" s="3" t="n"/>
      <c r="AH116" s="6" t="n"/>
      <c r="AI116" s="6" t="n"/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 t="n"/>
      <c r="E119" s="25" t="n"/>
      <c r="F119" s="25" t="n"/>
      <c r="G119" s="25" t="n"/>
      <c r="H119" s="3">
        <f>G119</f>
        <v>0</v>
      </c>
      <c r="I119" s="25" t="n"/>
      <c r="J119" s="25" t="n"/>
      <c r="K119" s="25" t="n"/>
      <c r="L119" s="25" t="n"/>
      <c r="M119" s="3">
        <f>L119</f>
        <v>0</v>
      </c>
      <c r="N119" s="25" t="n"/>
      <c r="O119" s="25" t="n"/>
      <c r="P119" s="25" t="n"/>
      <c r="Q119" s="25" t="n"/>
      <c r="R119" s="3">
        <f>Q119</f>
        <v>0</v>
      </c>
      <c r="S119" s="25" t="n"/>
      <c r="T119" s="25" t="n"/>
      <c r="U119" s="25" t="n"/>
      <c r="V119" s="25" t="n"/>
      <c r="W119" s="3">
        <f>V119</f>
        <v>0</v>
      </c>
      <c r="X119" s="25" t="n"/>
      <c r="Y119" s="25" t="n"/>
      <c r="Z119" s="25" t="n"/>
      <c r="AA119" s="25" t="n"/>
      <c r="AB119" s="3">
        <f>AA119</f>
        <v>0</v>
      </c>
      <c r="AC119" s="25" t="n"/>
      <c r="AD119" s="25" t="n"/>
      <c r="AE119" s="25" t="n"/>
      <c r="AF119" s="25" t="n"/>
      <c r="AG119" s="3">
        <f>AF119</f>
        <v>0</v>
      </c>
      <c r="AH119" s="3">
        <f>AG119</f>
        <v>0</v>
      </c>
      <c r="AI119" s="3">
        <f>AH119</f>
        <v>0</v>
      </c>
      <c r="AJ119" s="3">
        <f>AI119</f>
        <v>0</v>
      </c>
      <c r="AK119" s="3">
        <f>AJ119</f>
        <v>0</v>
      </c>
      <c r="AL119" s="3">
        <f>AK119</f>
        <v>0</v>
      </c>
      <c r="AM119" s="3">
        <f>AL119</f>
        <v>0</v>
      </c>
      <c r="AN119" s="3">
        <f>AM119</f>
        <v>0</v>
      </c>
      <c r="AO119" s="3">
        <f>AN119</f>
        <v>0</v>
      </c>
      <c r="AP119" s="3">
        <f>AO119</f>
        <v>0</v>
      </c>
      <c r="AQ119" s="3">
        <f>AP119</f>
        <v>0</v>
      </c>
      <c r="AR119" s="3">
        <f>AQ119</f>
        <v>0</v>
      </c>
      <c r="AS119" s="3">
        <f>AR119</f>
        <v>0</v>
      </c>
      <c r="AT119" s="3">
        <f>AS119</f>
        <v>0</v>
      </c>
      <c r="AU119" s="3">
        <f>AT119</f>
        <v>0</v>
      </c>
      <c r="AV119" s="3">
        <f>AU119</f>
        <v>0</v>
      </c>
      <c r="AW119" s="3">
        <f>AV119</f>
        <v>0</v>
      </c>
      <c r="AX119" s="3">
        <f>AW119</f>
        <v>0</v>
      </c>
      <c r="AY119" s="3">
        <f>AX119</f>
        <v>0</v>
      </c>
      <c r="AZ119" s="3">
        <f>AY119</f>
        <v>0</v>
      </c>
      <c r="BA119" s="3">
        <f>AZ119</f>
        <v>0</v>
      </c>
      <c r="BB119" s="3">
        <f>BA119</f>
        <v>0</v>
      </c>
      <c r="BC119" s="3">
        <f>BB119</f>
        <v>0</v>
      </c>
      <c r="BD119" s="3">
        <f>BC119</f>
        <v>0</v>
      </c>
      <c r="BE119" s="3">
        <f>BD119</f>
        <v>0</v>
      </c>
      <c r="BF119" s="3">
        <f>BE119</f>
        <v>0</v>
      </c>
      <c r="BG119" s="3">
        <f>BF119</f>
        <v>0</v>
      </c>
      <c r="BH119" s="3">
        <f>BG119</f>
        <v>0</v>
      </c>
      <c r="BI119" s="3">
        <f>BH119</f>
        <v>0</v>
      </c>
      <c r="BJ119" s="3">
        <f>BI119</f>
        <v>0</v>
      </c>
      <c r="BK119" s="3">
        <f>BJ119</f>
        <v>0</v>
      </c>
      <c r="BL119" s="3">
        <f>BK119</f>
        <v>0</v>
      </c>
      <c r="BM119" s="3">
        <f>BL119</f>
        <v>0</v>
      </c>
      <c r="BN119" s="3">
        <f>BM119</f>
        <v>0</v>
      </c>
      <c r="BO119" s="3">
        <f>BN119</f>
        <v>0</v>
      </c>
      <c r="BP119" s="3">
        <f>BO119</f>
        <v>0</v>
      </c>
      <c r="BQ119" s="3">
        <f>BP119</f>
        <v>0</v>
      </c>
      <c r="BR119" s="3">
        <f>BQ119</f>
        <v>0</v>
      </c>
      <c r="BS119" s="3">
        <f>BR119</f>
        <v>0</v>
      </c>
      <c r="BT119" s="3">
        <f>BS119</f>
        <v>0</v>
      </c>
      <c r="BU119" s="3">
        <f>BT119</f>
        <v>0</v>
      </c>
      <c r="BV119" s="3">
        <f>BU119</f>
        <v>0</v>
      </c>
      <c r="BW119" s="3">
        <f>BV119</f>
        <v>0</v>
      </c>
      <c r="BX119" s="3">
        <f>BW119</f>
        <v>0</v>
      </c>
      <c r="BY119" s="3">
        <f>BX119</f>
        <v>0</v>
      </c>
      <c r="BZ119" s="3">
        <f>BY119</f>
        <v>0</v>
      </c>
      <c r="CA119" s="3">
        <f>BZ119</f>
        <v>0</v>
      </c>
      <c r="CB119" s="3">
        <f>CA119</f>
        <v>0</v>
      </c>
      <c r="CC119" s="3">
        <f>CB119</f>
        <v>0</v>
      </c>
      <c r="CD119" s="3">
        <f>CC119</f>
        <v>0</v>
      </c>
      <c r="CE119" s="3">
        <f>CD119</f>
        <v>0</v>
      </c>
      <c r="CF119" s="3">
        <f>CE119</f>
        <v>0</v>
      </c>
      <c r="CG119" s="3">
        <f>CF119</f>
        <v>0</v>
      </c>
      <c r="CH119" s="3">
        <f>CG119</f>
        <v>0</v>
      </c>
      <c r="CI119" s="3">
        <f>CH119</f>
        <v>0</v>
      </c>
      <c r="CJ119" s="3">
        <f>CI119</f>
        <v>0</v>
      </c>
      <c r="CK119" s="3">
        <f>CJ119</f>
        <v>0</v>
      </c>
      <c r="CL119" s="3">
        <f>CK119</f>
        <v>0</v>
      </c>
      <c r="CM119" s="3">
        <f>CL119</f>
        <v>0</v>
      </c>
      <c r="CN119" s="3">
        <f>CM119</f>
        <v>0</v>
      </c>
      <c r="CO119" s="3">
        <f>CN119</f>
        <v>0</v>
      </c>
      <c r="CP119" s="3">
        <f>CO119</f>
        <v>0</v>
      </c>
      <c r="CQ119" s="3">
        <f>CP119</f>
        <v>0</v>
      </c>
      <c r="CR119" s="3">
        <f>CQ119</f>
        <v>0</v>
      </c>
      <c r="CS119" s="3">
        <f>CR119</f>
        <v>0</v>
      </c>
      <c r="CT119" s="3">
        <f>CS119</f>
        <v>0</v>
      </c>
      <c r="CU119" s="3">
        <f>CT119</f>
        <v>0</v>
      </c>
      <c r="CV119" s="3">
        <f>CU119</f>
        <v>0</v>
      </c>
      <c r="CW119" s="3">
        <f>CV119</f>
        <v>0</v>
      </c>
      <c r="CX119" s="3">
        <f>CW119</f>
        <v>0</v>
      </c>
      <c r="CY119" s="3">
        <f>CX119</f>
        <v>0</v>
      </c>
    </row>
    <row r="120">
      <c r="C120" s="26" t="inlineStr">
        <is>
          <t>Prepaid expenses</t>
        </is>
      </c>
      <c r="D120" s="25" t="n"/>
      <c r="E120" s="25" t="n"/>
      <c r="F120" s="25" t="n"/>
      <c r="G120" s="25" t="n"/>
      <c r="H120" s="3">
        <f>G120</f>
        <v>0</v>
      </c>
      <c r="I120" s="25" t="n"/>
      <c r="J120" s="25" t="n"/>
      <c r="K120" s="25" t="n"/>
      <c r="L120" s="25" t="n"/>
      <c r="M120" s="3">
        <f>L120</f>
        <v>0</v>
      </c>
      <c r="N120" s="25" t="n"/>
      <c r="O120" s="25" t="n"/>
      <c r="P120" s="25" t="n"/>
      <c r="Q120" s="25" t="n"/>
      <c r="R120" s="3">
        <f>Q120</f>
        <v>0</v>
      </c>
      <c r="S120" s="25" t="n"/>
      <c r="T120" s="25" t="n"/>
      <c r="U120" s="25" t="n"/>
      <c r="V120" s="25" t="n"/>
      <c r="W120" s="3">
        <f>V120</f>
        <v>0</v>
      </c>
      <c r="X120" s="25" t="n"/>
      <c r="Y120" s="25" t="n"/>
      <c r="Z120" s="25" t="n"/>
      <c r="AA120" s="25" t="n"/>
      <c r="AB120" s="3">
        <f>AA120</f>
        <v>0</v>
      </c>
      <c r="AC120" s="25" t="n"/>
      <c r="AD120" s="25" t="n"/>
      <c r="AE120" s="25" t="n"/>
      <c r="AF120" s="25" t="n"/>
      <c r="AG120" s="3">
        <f>AF120</f>
        <v>0</v>
      </c>
      <c r="AH120" s="3">
        <f>AG120</f>
        <v>0</v>
      </c>
      <c r="AI120" s="3">
        <f>AH120</f>
        <v>0</v>
      </c>
      <c r="AJ120" s="3">
        <f>AI120</f>
        <v>0</v>
      </c>
      <c r="AK120" s="3">
        <f>AJ120</f>
        <v>0</v>
      </c>
      <c r="AL120" s="3">
        <f>AK120</f>
        <v>0</v>
      </c>
      <c r="AM120" s="3">
        <f>AL120</f>
        <v>0</v>
      </c>
      <c r="AN120" s="3">
        <f>AM120</f>
        <v>0</v>
      </c>
      <c r="AO120" s="3">
        <f>AN120</f>
        <v>0</v>
      </c>
      <c r="AP120" s="3">
        <f>AO120</f>
        <v>0</v>
      </c>
      <c r="AQ120" s="3">
        <f>AP120</f>
        <v>0</v>
      </c>
      <c r="AR120" s="3">
        <f>AQ120</f>
        <v>0</v>
      </c>
      <c r="AS120" s="3">
        <f>AR120</f>
        <v>0</v>
      </c>
      <c r="AT120" s="3">
        <f>AS120</f>
        <v>0</v>
      </c>
      <c r="AU120" s="3">
        <f>AT120</f>
        <v>0</v>
      </c>
      <c r="AV120" s="3">
        <f>AU120</f>
        <v>0</v>
      </c>
      <c r="AW120" s="3">
        <f>AV120</f>
        <v>0</v>
      </c>
      <c r="AX120" s="3">
        <f>AW120</f>
        <v>0</v>
      </c>
      <c r="AY120" s="3">
        <f>AX120</f>
        <v>0</v>
      </c>
      <c r="AZ120" s="3">
        <f>AY120</f>
        <v>0</v>
      </c>
      <c r="BA120" s="3">
        <f>AZ120</f>
        <v>0</v>
      </c>
      <c r="BB120" s="3">
        <f>BA120</f>
        <v>0</v>
      </c>
      <c r="BC120" s="3">
        <f>BB120</f>
        <v>0</v>
      </c>
      <c r="BD120" s="3">
        <f>BC120</f>
        <v>0</v>
      </c>
      <c r="BE120" s="3">
        <f>BD120</f>
        <v>0</v>
      </c>
      <c r="BF120" s="3">
        <f>BE120</f>
        <v>0</v>
      </c>
      <c r="BG120" s="3">
        <f>BF120</f>
        <v>0</v>
      </c>
      <c r="BH120" s="3">
        <f>BG120</f>
        <v>0</v>
      </c>
      <c r="BI120" s="3">
        <f>BH120</f>
        <v>0</v>
      </c>
      <c r="BJ120" s="3">
        <f>BI120</f>
        <v>0</v>
      </c>
      <c r="BK120" s="3">
        <f>BJ120</f>
        <v>0</v>
      </c>
      <c r="BL120" s="3">
        <f>BK120</f>
        <v>0</v>
      </c>
      <c r="BM120" s="3">
        <f>BL120</f>
        <v>0</v>
      </c>
      <c r="BN120" s="3">
        <f>BM120</f>
        <v>0</v>
      </c>
      <c r="BO120" s="3">
        <f>BN120</f>
        <v>0</v>
      </c>
      <c r="BP120" s="3">
        <f>BO120</f>
        <v>0</v>
      </c>
      <c r="BQ120" s="3">
        <f>BP120</f>
        <v>0</v>
      </c>
      <c r="BR120" s="3">
        <f>BQ120</f>
        <v>0</v>
      </c>
      <c r="BS120" s="3">
        <f>BR120</f>
        <v>0</v>
      </c>
      <c r="BT120" s="3">
        <f>BS120</f>
        <v>0</v>
      </c>
      <c r="BU120" s="3">
        <f>BT120</f>
        <v>0</v>
      </c>
      <c r="BV120" s="3">
        <f>BU120</f>
        <v>0</v>
      </c>
      <c r="BW120" s="3">
        <f>BV120</f>
        <v>0</v>
      </c>
      <c r="BX120" s="3">
        <f>BW120</f>
        <v>0</v>
      </c>
      <c r="BY120" s="3">
        <f>BX120</f>
        <v>0</v>
      </c>
      <c r="BZ120" s="3">
        <f>BY120</f>
        <v>0</v>
      </c>
      <c r="CA120" s="3">
        <f>BZ120</f>
        <v>0</v>
      </c>
      <c r="CB120" s="3">
        <f>CA120</f>
        <v>0</v>
      </c>
      <c r="CC120" s="3">
        <f>CB120</f>
        <v>0</v>
      </c>
      <c r="CD120" s="3">
        <f>CC120</f>
        <v>0</v>
      </c>
      <c r="CE120" s="3">
        <f>CD120</f>
        <v>0</v>
      </c>
      <c r="CF120" s="3">
        <f>CE120</f>
        <v>0</v>
      </c>
      <c r="CG120" s="3">
        <f>CF120</f>
        <v>0</v>
      </c>
      <c r="CH120" s="3">
        <f>CG120</f>
        <v>0</v>
      </c>
      <c r="CI120" s="3">
        <f>CH120</f>
        <v>0</v>
      </c>
      <c r="CJ120" s="3">
        <f>CI120</f>
        <v>0</v>
      </c>
      <c r="CK120" s="3">
        <f>CJ120</f>
        <v>0</v>
      </c>
      <c r="CL120" s="3">
        <f>CK120</f>
        <v>0</v>
      </c>
      <c r="CM120" s="3">
        <f>CL120</f>
        <v>0</v>
      </c>
      <c r="CN120" s="3">
        <f>CM120</f>
        <v>0</v>
      </c>
      <c r="CO120" s="3">
        <f>CN120</f>
        <v>0</v>
      </c>
      <c r="CP120" s="3">
        <f>CO120</f>
        <v>0</v>
      </c>
      <c r="CQ120" s="3">
        <f>CP120</f>
        <v>0</v>
      </c>
      <c r="CR120" s="3">
        <f>CQ120</f>
        <v>0</v>
      </c>
      <c r="CS120" s="3">
        <f>CR120</f>
        <v>0</v>
      </c>
      <c r="CT120" s="3">
        <f>CS120</f>
        <v>0</v>
      </c>
      <c r="CU120" s="3">
        <f>CT120</f>
        <v>0</v>
      </c>
      <c r="CV120" s="3">
        <f>CU120</f>
        <v>0</v>
      </c>
      <c r="CW120" s="3">
        <f>CV120</f>
        <v>0</v>
      </c>
      <c r="CX120" s="3">
        <f>CW120</f>
        <v>0</v>
      </c>
      <c r="CY120" s="3">
        <f>CX120</f>
        <v>0</v>
      </c>
    </row>
    <row r="121">
      <c r="C121" s="26" t="inlineStr">
        <is>
          <t>Other current assets</t>
        </is>
      </c>
      <c r="D121" s="25" t="n"/>
      <c r="E121" s="25" t="n"/>
      <c r="F121" s="25" t="n"/>
      <c r="G121" s="25" t="n"/>
      <c r="H121" s="3">
        <f>G121</f>
        <v>0</v>
      </c>
      <c r="I121" s="25" t="n"/>
      <c r="J121" s="25" t="n"/>
      <c r="K121" s="25" t="n"/>
      <c r="L121" s="25" t="n"/>
      <c r="M121" s="3">
        <f>L121</f>
        <v>0</v>
      </c>
      <c r="N121" s="25" t="n"/>
      <c r="O121" s="25" t="n"/>
      <c r="P121" s="25" t="n"/>
      <c r="Q121" s="25" t="n"/>
      <c r="R121" s="3">
        <f>Q121</f>
        <v>0</v>
      </c>
      <c r="S121" s="25" t="n"/>
      <c r="T121" s="25" t="n"/>
      <c r="U121" s="25" t="n"/>
      <c r="V121" s="25" t="n"/>
      <c r="W121" s="3">
        <f>V121</f>
        <v>0</v>
      </c>
      <c r="X121" s="25" t="n"/>
      <c r="Y121" s="25" t="n"/>
      <c r="Z121" s="25" t="n"/>
      <c r="AA121" s="25" t="n"/>
      <c r="AB121" s="3">
        <f>AA121</f>
        <v>0</v>
      </c>
      <c r="AC121" s="25" t="n"/>
      <c r="AD121" s="25" t="n"/>
      <c r="AE121" s="25" t="n"/>
      <c r="AF121" s="25" t="n"/>
      <c r="AG121" s="3">
        <f>AF121</f>
        <v>0</v>
      </c>
      <c r="AH121" s="3">
        <f>AG121</f>
        <v>0</v>
      </c>
      <c r="AI121" s="3">
        <f>AH121</f>
        <v>0</v>
      </c>
      <c r="AJ121" s="3">
        <f>AI121</f>
        <v>0</v>
      </c>
      <c r="AK121" s="3">
        <f>AJ121</f>
        <v>0</v>
      </c>
      <c r="AL121" s="3">
        <f>AK121</f>
        <v>0</v>
      </c>
      <c r="AM121" s="3">
        <f>AL121</f>
        <v>0</v>
      </c>
      <c r="AN121" s="3">
        <f>AM121</f>
        <v>0</v>
      </c>
      <c r="AO121" s="3">
        <f>AN121</f>
        <v>0</v>
      </c>
      <c r="AP121" s="3">
        <f>AO121</f>
        <v>0</v>
      </c>
      <c r="AQ121" s="3">
        <f>AP121</f>
        <v>0</v>
      </c>
      <c r="AR121" s="3">
        <f>AQ121</f>
        <v>0</v>
      </c>
      <c r="AS121" s="3">
        <f>AR121</f>
        <v>0</v>
      </c>
      <c r="AT121" s="3">
        <f>AS121</f>
        <v>0</v>
      </c>
      <c r="AU121" s="3">
        <f>AT121</f>
        <v>0</v>
      </c>
      <c r="AV121" s="3">
        <f>AU121</f>
        <v>0</v>
      </c>
      <c r="AW121" s="3">
        <f>AV121</f>
        <v>0</v>
      </c>
      <c r="AX121" s="3">
        <f>AW121</f>
        <v>0</v>
      </c>
      <c r="AY121" s="3">
        <f>AX121</f>
        <v>0</v>
      </c>
      <c r="AZ121" s="3">
        <f>AY121</f>
        <v>0</v>
      </c>
      <c r="BA121" s="3">
        <f>AZ121</f>
        <v>0</v>
      </c>
      <c r="BB121" s="3">
        <f>BA121</f>
        <v>0</v>
      </c>
      <c r="BC121" s="3">
        <f>BB121</f>
        <v>0</v>
      </c>
      <c r="BD121" s="3">
        <f>BC121</f>
        <v>0</v>
      </c>
      <c r="BE121" s="3">
        <f>BD121</f>
        <v>0</v>
      </c>
      <c r="BF121" s="3">
        <f>BE121</f>
        <v>0</v>
      </c>
      <c r="BG121" s="3">
        <f>BF121</f>
        <v>0</v>
      </c>
      <c r="BH121" s="3">
        <f>BG121</f>
        <v>0</v>
      </c>
      <c r="BI121" s="3">
        <f>BH121</f>
        <v>0</v>
      </c>
      <c r="BJ121" s="3">
        <f>BI121</f>
        <v>0</v>
      </c>
      <c r="BK121" s="3">
        <f>BJ121</f>
        <v>0</v>
      </c>
      <c r="BL121" s="3">
        <f>BK121</f>
        <v>0</v>
      </c>
      <c r="BM121" s="3">
        <f>BL121</f>
        <v>0</v>
      </c>
      <c r="BN121" s="3">
        <f>BM121</f>
        <v>0</v>
      </c>
      <c r="BO121" s="3">
        <f>BN121</f>
        <v>0</v>
      </c>
      <c r="BP121" s="3">
        <f>BO121</f>
        <v>0</v>
      </c>
      <c r="BQ121" s="3">
        <f>BP121</f>
        <v>0</v>
      </c>
      <c r="BR121" s="3">
        <f>BQ121</f>
        <v>0</v>
      </c>
      <c r="BS121" s="3">
        <f>BR121</f>
        <v>0</v>
      </c>
      <c r="BT121" s="3">
        <f>BS121</f>
        <v>0</v>
      </c>
      <c r="BU121" s="3">
        <f>BT121</f>
        <v>0</v>
      </c>
      <c r="BV121" s="3">
        <f>BU121</f>
        <v>0</v>
      </c>
      <c r="BW121" s="3">
        <f>BV121</f>
        <v>0</v>
      </c>
      <c r="BX121" s="3">
        <f>BW121</f>
        <v>0</v>
      </c>
      <c r="BY121" s="3">
        <f>BX121</f>
        <v>0</v>
      </c>
      <c r="BZ121" s="3">
        <f>BY121</f>
        <v>0</v>
      </c>
      <c r="CA121" s="3">
        <f>BZ121</f>
        <v>0</v>
      </c>
      <c r="CB121" s="3">
        <f>CA121</f>
        <v>0</v>
      </c>
      <c r="CC121" s="3">
        <f>CB121</f>
        <v>0</v>
      </c>
      <c r="CD121" s="3">
        <f>CC121</f>
        <v>0</v>
      </c>
      <c r="CE121" s="3">
        <f>CD121</f>
        <v>0</v>
      </c>
      <c r="CF121" s="3">
        <f>CE121</f>
        <v>0</v>
      </c>
      <c r="CG121" s="3">
        <f>CF121</f>
        <v>0</v>
      </c>
      <c r="CH121" s="3">
        <f>CG121</f>
        <v>0</v>
      </c>
      <c r="CI121" s="3">
        <f>CH121</f>
        <v>0</v>
      </c>
      <c r="CJ121" s="3">
        <f>CI121</f>
        <v>0</v>
      </c>
      <c r="CK121" s="3">
        <f>CJ121</f>
        <v>0</v>
      </c>
      <c r="CL121" s="3">
        <f>CK121</f>
        <v>0</v>
      </c>
      <c r="CM121" s="3">
        <f>CL121</f>
        <v>0</v>
      </c>
      <c r="CN121" s="3">
        <f>CM121</f>
        <v>0</v>
      </c>
      <c r="CO121" s="3">
        <f>CN121</f>
        <v>0</v>
      </c>
      <c r="CP121" s="3">
        <f>CO121</f>
        <v>0</v>
      </c>
      <c r="CQ121" s="3">
        <f>CP121</f>
        <v>0</v>
      </c>
      <c r="CR121" s="3">
        <f>CQ121</f>
        <v>0</v>
      </c>
      <c r="CS121" s="3">
        <f>CR121</f>
        <v>0</v>
      </c>
      <c r="CT121" s="3">
        <f>CS121</f>
        <v>0</v>
      </c>
      <c r="CU121" s="3">
        <f>CT121</f>
        <v>0</v>
      </c>
      <c r="CV121" s="3">
        <f>CU121</f>
        <v>0</v>
      </c>
      <c r="CW121" s="3">
        <f>CV121</f>
        <v>0</v>
      </c>
      <c r="CX121" s="3">
        <f>CW121</f>
        <v>0</v>
      </c>
      <c r="CY121" s="3">
        <f>CX121</f>
        <v>0</v>
      </c>
    </row>
    <row r="122" hidden="1" outlineLevel="1">
      <c r="C122" s="38" t="inlineStr">
        <is>
          <t>%(Var.)</t>
        </is>
      </c>
      <c r="D122" s="3" t="n"/>
      <c r="E122" s="47" t="e">
        <f>(E121-D121)/D121</f>
        <v>#DIV/0!</v>
      </c>
      <c r="F122" s="47" t="e">
        <f>(F121-E121)/E121</f>
        <v>#DIV/0!</v>
      </c>
      <c r="G122" s="47" t="e">
        <f>(G121-F121)/F121</f>
        <v>#DIV/0!</v>
      </c>
      <c r="H122" s="3" t="n"/>
      <c r="I122" s="47" t="e">
        <f>(I121-H121)/H121</f>
        <v>#DIV/0!</v>
      </c>
      <c r="J122" s="47" t="e">
        <f>(J121-I121)/I121</f>
        <v>#DIV/0!</v>
      </c>
      <c r="K122" s="47" t="e">
        <f>(K121-J121)/J121</f>
        <v>#DIV/0!</v>
      </c>
      <c r="L122" s="47" t="e">
        <f>(L121-K121)/K121</f>
        <v>#DIV/0!</v>
      </c>
      <c r="M122" s="3" t="n"/>
      <c r="N122" s="47" t="e">
        <f>(N121-M121)/M121</f>
        <v>#DIV/0!</v>
      </c>
      <c r="O122" s="47" t="e">
        <f>(O121-N121)/N121</f>
        <v>#DIV/0!</v>
      </c>
      <c r="P122" s="47" t="e">
        <f>(P121-O121)/O121</f>
        <v>#DIV/0!</v>
      </c>
      <c r="Q122" s="47" t="e">
        <f>(Q121-P121)/P121</f>
        <v>#DIV/0!</v>
      </c>
      <c r="R122" s="3" t="n"/>
      <c r="S122" s="47" t="e">
        <f>(S121-R121)/R121</f>
        <v>#DIV/0!</v>
      </c>
      <c r="T122" s="47" t="e">
        <f>(T121-S121)/S121</f>
        <v>#DIV/0!</v>
      </c>
      <c r="U122" s="47" t="e">
        <f>(U121-T121)/T121</f>
        <v>#DIV/0!</v>
      </c>
      <c r="V122" s="47" t="e">
        <f>(V121-U121)/U121</f>
        <v>#DIV/0!</v>
      </c>
      <c r="W122" s="3" t="n"/>
      <c r="X122" s="47" t="e">
        <f>(X121-W121)/W121</f>
        <v>#DIV/0!</v>
      </c>
      <c r="Y122" s="47" t="e">
        <f>(Y121-X121)/X121</f>
        <v>#DIV/0!</v>
      </c>
      <c r="Z122" s="47" t="e">
        <f>(Z121-Y121)/Y121</f>
        <v>#DIV/0!</v>
      </c>
      <c r="AA122" s="47" t="e">
        <f>(AA121-Z121)/Z121</f>
        <v>#DIV/0!</v>
      </c>
      <c r="AB122" s="3" t="n"/>
      <c r="AC122" s="47" t="e">
        <f>(AC121-AB121)/AB121</f>
        <v>#DIV/0!</v>
      </c>
      <c r="AD122" s="47" t="e">
        <f>(AD121-AC121)/AC121</f>
        <v>#DIV/0!</v>
      </c>
      <c r="AE122" s="47" t="e">
        <f>(AE121-AD121)/AD121</f>
        <v>#DIV/0!</v>
      </c>
      <c r="AF122" s="218" t="e">
        <f>(AF121-AE121)/AE121</f>
        <v>#DIV/0!</v>
      </c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 t="e">
        <f>AG124*AH15/AG15</f>
        <v>#DIV/0!</v>
      </c>
      <c r="AI124" s="216" t="e">
        <f>AH124*AI15/AH15</f>
        <v>#DIV/0!</v>
      </c>
      <c r="AJ124" s="216" t="e">
        <f>AI124*AJ15/AI15</f>
        <v>#DIV/0!</v>
      </c>
      <c r="AK124" s="216" t="e">
        <f>AJ124*AK15/AJ15</f>
        <v>#DIV/0!</v>
      </c>
      <c r="AL124" s="3" t="e">
        <f>AK124</f>
        <v>#DIV/0!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 t="n"/>
      <c r="E127" s="25" t="n"/>
      <c r="F127" s="25" t="n"/>
      <c r="G127" s="25" t="n"/>
      <c r="H127" s="3">
        <f>G127</f>
        <v>0</v>
      </c>
      <c r="I127" s="25" t="n">
        <v>0</v>
      </c>
      <c r="J127" s="25" t="n">
        <v>0</v>
      </c>
      <c r="K127" s="25" t="n">
        <v>0</v>
      </c>
      <c r="L127" s="25" t="n">
        <v>0</v>
      </c>
      <c r="M127" s="3">
        <f>L127</f>
        <v>0</v>
      </c>
      <c r="N127" s="25" t="n"/>
      <c r="O127" s="25" t="n"/>
      <c r="P127" s="25" t="n"/>
      <c r="Q127" s="25" t="n"/>
      <c r="R127" s="3">
        <f>Q127</f>
        <v>0</v>
      </c>
      <c r="S127" s="25" t="n"/>
      <c r="T127" s="25" t="n"/>
      <c r="U127" s="25" t="n"/>
      <c r="V127" s="25" t="n"/>
      <c r="W127" s="3">
        <f>V127</f>
        <v>0</v>
      </c>
      <c r="X127" s="25" t="n"/>
      <c r="Y127" s="25" t="n"/>
      <c r="Z127" s="25" t="n"/>
      <c r="AA127" s="25" t="n"/>
      <c r="AB127" s="3">
        <f>AA127</f>
        <v>0</v>
      </c>
      <c r="AC127" s="25" t="n"/>
      <c r="AD127" s="25" t="n"/>
      <c r="AE127" s="25" t="n"/>
      <c r="AF127" s="25" t="n"/>
      <c r="AG127" s="3">
        <f>AF127</f>
        <v>0</v>
      </c>
      <c r="AH127" s="3">
        <f>AG127+AH101+AH130</f>
        <v>0</v>
      </c>
      <c r="AI127" s="3">
        <f>AH127+AI101+AI130</f>
        <v>0</v>
      </c>
      <c r="AJ127" s="3">
        <f>AI127+AJ101+AJ130</f>
        <v>0</v>
      </c>
      <c r="AK127" s="3">
        <f>AJ127+AK101+AK130</f>
        <v>0</v>
      </c>
      <c r="AL127" s="3">
        <f>AK127</f>
        <v>0</v>
      </c>
      <c r="AM127" s="3">
        <f>AL127+AM101+AM130</f>
        <v>0</v>
      </c>
      <c r="AN127" s="3">
        <f>AM127+AN101+AN130</f>
        <v>0</v>
      </c>
      <c r="AO127" s="3">
        <f>AN127+AO101+AO130</f>
        <v>0</v>
      </c>
      <c r="AP127" s="3">
        <f>AO127+AP101+AP130</f>
        <v>0</v>
      </c>
      <c r="AQ127" s="3">
        <f>AP127</f>
        <v>0</v>
      </c>
      <c r="AR127" s="3">
        <f>AQ127+AR101+AR130</f>
        <v>0</v>
      </c>
      <c r="AS127" s="3">
        <f>AR127+AS101+AS130</f>
        <v>0</v>
      </c>
      <c r="AT127" s="3">
        <f>AS127+AT101+AT130</f>
        <v>0</v>
      </c>
      <c r="AU127" s="3">
        <f>AT127+AU101+AU130</f>
        <v>0</v>
      </c>
      <c r="AV127" s="3">
        <f>AU127</f>
        <v>0</v>
      </c>
      <c r="AW127" s="3">
        <f>AV127+AW101+AW130</f>
        <v>0</v>
      </c>
      <c r="AX127" s="3">
        <f>AW127+AX101+AX130</f>
        <v>0</v>
      </c>
      <c r="AY127" s="3">
        <f>AX127+AY101+AY130</f>
        <v>0</v>
      </c>
      <c r="AZ127" s="3">
        <f>AY127+AZ101+AZ130</f>
        <v>0</v>
      </c>
      <c r="BA127" s="3">
        <f>AZ127</f>
        <v>0</v>
      </c>
      <c r="BB127" s="3">
        <f>BA127+BB101+BB130</f>
        <v>0</v>
      </c>
      <c r="BC127" s="3">
        <f>BB127+BC101+BC130</f>
        <v>0</v>
      </c>
      <c r="BD127" s="3">
        <f>BC127+BD101+BD130</f>
        <v>0</v>
      </c>
      <c r="BE127" s="3">
        <f>BD127+BE101+BE130</f>
        <v>0</v>
      </c>
      <c r="BF127" s="3">
        <f>BE127</f>
        <v>0</v>
      </c>
      <c r="BG127" s="3">
        <f>BF127+BG101+BG130</f>
        <v>0</v>
      </c>
      <c r="BH127" s="3">
        <f>BG127+BH101+BH130</f>
        <v>0</v>
      </c>
      <c r="BI127" s="3">
        <f>BH127+BI101+BI130</f>
        <v>0</v>
      </c>
      <c r="BJ127" s="3">
        <f>BI127+BJ101+BJ130</f>
        <v>0</v>
      </c>
      <c r="BK127" s="3">
        <f>BJ127</f>
        <v>0</v>
      </c>
      <c r="BL127" s="3">
        <f>BK127+BL101+BL130</f>
        <v>0</v>
      </c>
      <c r="BM127" s="3">
        <f>BL127+BM101+BM130</f>
        <v>0</v>
      </c>
      <c r="BN127" s="3">
        <f>BM127+BN101+BN130</f>
        <v>0</v>
      </c>
      <c r="BO127" s="3">
        <f>BN127+BO101+BO130</f>
        <v>0</v>
      </c>
      <c r="BP127" s="3">
        <f>BO127</f>
        <v>0</v>
      </c>
      <c r="BQ127" s="3">
        <f>BP127+BQ101+BQ130</f>
        <v>0</v>
      </c>
      <c r="BR127" s="3">
        <f>BQ127+BR101+BR130</f>
        <v>0</v>
      </c>
      <c r="BS127" s="3">
        <f>BR127+BS101+BS130</f>
        <v>0</v>
      </c>
      <c r="BT127" s="3">
        <f>BS127+BT101+BT130</f>
        <v>0</v>
      </c>
      <c r="BU127" s="3">
        <f>BT127</f>
        <v>0</v>
      </c>
      <c r="BV127" s="3">
        <f>BU127+BV101+BV130</f>
        <v>0</v>
      </c>
      <c r="BW127" s="3">
        <f>BV127+BW101+BW130</f>
        <v>0</v>
      </c>
      <c r="BX127" s="3">
        <f>BW127+BX101+BX130</f>
        <v>0</v>
      </c>
      <c r="BY127" s="3">
        <f>BX127+BY101+BY130</f>
        <v>0</v>
      </c>
      <c r="BZ127" s="3">
        <f>BY127</f>
        <v>0</v>
      </c>
      <c r="CA127" s="3">
        <f>BZ127+CA101+CA130</f>
        <v>0</v>
      </c>
      <c r="CB127" s="3">
        <f>CA127+CB101+CB130</f>
        <v>0</v>
      </c>
      <c r="CC127" s="3">
        <f>CB127+CC101+CC130</f>
        <v>0</v>
      </c>
      <c r="CD127" s="3">
        <f>CC127+CD101+CD130</f>
        <v>0</v>
      </c>
      <c r="CE127" s="3">
        <f>CD127</f>
        <v>0</v>
      </c>
      <c r="CF127" s="3">
        <f>CE127+CF101+CF130</f>
        <v>0</v>
      </c>
      <c r="CG127" s="3">
        <f>CF127+CG101+CG130</f>
        <v>0</v>
      </c>
      <c r="CH127" s="3">
        <f>CG127+CH101+CH130</f>
        <v>0</v>
      </c>
      <c r="CI127" s="3">
        <f>CH127+CI101+CI130</f>
        <v>0</v>
      </c>
      <c r="CJ127" s="3">
        <f>CI127</f>
        <v>0</v>
      </c>
      <c r="CK127" s="3">
        <f>CJ127+CK101+CK130</f>
        <v>0</v>
      </c>
      <c r="CL127" s="3">
        <f>CK127+CL101+CL130</f>
        <v>0</v>
      </c>
      <c r="CM127" s="3">
        <f>CL127+CM101+CM130</f>
        <v>0</v>
      </c>
      <c r="CN127" s="3">
        <f>CM127+CN101+CN130</f>
        <v>0</v>
      </c>
      <c r="CO127" s="3">
        <f>CN127</f>
        <v>0</v>
      </c>
      <c r="CP127" s="3">
        <f>CO127+CP101+CP130</f>
        <v>0</v>
      </c>
      <c r="CQ127" s="3">
        <f>CP127+CQ101+CQ130</f>
        <v>0</v>
      </c>
      <c r="CR127" s="3">
        <f>CQ127+CR101+CR130</f>
        <v>0</v>
      </c>
      <c r="CS127" s="3">
        <f>CR127+CS101+CS130</f>
        <v>0</v>
      </c>
      <c r="CT127" s="3">
        <f>CS127</f>
        <v>0</v>
      </c>
      <c r="CU127" s="3">
        <f>CT127+CU101+CU130</f>
        <v>0</v>
      </c>
      <c r="CV127" s="3">
        <f>CU127+CV101+CV130</f>
        <v>0</v>
      </c>
      <c r="CW127" s="3">
        <f>CV127+CW101+CW130</f>
        <v>0</v>
      </c>
      <c r="CX127" s="3">
        <f>CW127+CX101+CX130</f>
        <v>0</v>
      </c>
      <c r="CY127" s="3">
        <f>CX127</f>
        <v>0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0</v>
      </c>
      <c r="O129" s="3">
        <f>IF(J101=0,0,O101/J101-1)</f>
        <v>0</v>
      </c>
      <c r="P129" s="3">
        <f>IF(K101=0,0,P101/K101-1)</f>
        <v>0</v>
      </c>
      <c r="Q129" s="3">
        <f>IF(L101=0,0,Q101/L101-1)</f>
        <v>0</v>
      </c>
      <c r="R129" s="3" t="n"/>
      <c r="S129" s="3">
        <f>IF(N101=0,0,S101/N101-1)</f>
        <v>0</v>
      </c>
      <c r="T129" s="3">
        <f>IF(O101=0,0,T101/O101-1)</f>
        <v>0</v>
      </c>
      <c r="U129" s="3">
        <f>IF(P101=0,0,U101/P101-1)</f>
        <v>0</v>
      </c>
      <c r="V129" s="3">
        <f>IF(Q101=0,0,V101/Q101-1)</f>
        <v>0</v>
      </c>
      <c r="W129" s="3" t="n"/>
      <c r="X129" s="3">
        <f>IF(S101=0,0,X101/S101-1)</f>
        <v>0</v>
      </c>
      <c r="Y129" s="3">
        <f>IF(T101=0,0,Y101/T101-1)</f>
        <v>0</v>
      </c>
      <c r="Z129" s="3">
        <f>IF(U101=0,0,Z101/U101-1)</f>
        <v>0</v>
      </c>
      <c r="AA129" s="3">
        <f>IF(V101=0,0,AA101/V101-1)</f>
        <v>0</v>
      </c>
      <c r="AB129" s="3" t="n"/>
      <c r="AC129" s="3">
        <f>IF(X101=0,0,AC101/X101-1)</f>
        <v>0</v>
      </c>
      <c r="AD129" s="3">
        <f>IF(Y101=0,0,AD101/Y101-1)</f>
        <v>0</v>
      </c>
      <c r="AE129" s="3">
        <f>IF(Z101=0,0,AE101/Z101-1)</f>
        <v>0</v>
      </c>
      <c r="AF129" s="3">
        <f>IF(AA101=0,0,AF101/AA101-1)</f>
        <v>0</v>
      </c>
      <c r="AG129" s="3" t="n"/>
      <c r="AH129" s="6" t="n"/>
      <c r="AI129" s="6" t="n"/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 t="n"/>
      <c r="E132" s="25" t="n"/>
      <c r="F132" s="25" t="n"/>
      <c r="G132" s="25" t="n"/>
      <c r="H132" s="3">
        <f>G132</f>
        <v>0</v>
      </c>
      <c r="I132" s="25" t="n"/>
      <c r="J132" s="25" t="n"/>
      <c r="K132" s="25" t="n"/>
      <c r="L132" s="25" t="n"/>
      <c r="M132" s="3">
        <f>L132</f>
        <v>0</v>
      </c>
      <c r="N132" s="25" t="n"/>
      <c r="O132" s="25" t="n"/>
      <c r="P132" s="25" t="n"/>
      <c r="Q132" s="25" t="n"/>
      <c r="R132" s="3">
        <f>Q132</f>
        <v>0</v>
      </c>
      <c r="S132" s="25" t="n"/>
      <c r="T132" s="25" t="n"/>
      <c r="U132" s="25" t="n"/>
      <c r="V132" s="25" t="n"/>
      <c r="W132" s="3">
        <f>V132</f>
        <v>0</v>
      </c>
      <c r="X132" s="25" t="n"/>
      <c r="Y132" s="25" t="n"/>
      <c r="Z132" s="25" t="n"/>
      <c r="AA132" s="25" t="n"/>
      <c r="AB132" s="3">
        <f>AA132</f>
        <v>0</v>
      </c>
      <c r="AC132" s="25" t="n"/>
      <c r="AD132" s="25" t="n"/>
      <c r="AE132" s="25" t="n"/>
      <c r="AF132" s="25" t="n"/>
      <c r="AG132" s="3">
        <f>AF132</f>
        <v>0</v>
      </c>
      <c r="AH132" s="3">
        <f>AH137</f>
        <v>0</v>
      </c>
      <c r="AI132" s="3">
        <f>AI137</f>
        <v>0</v>
      </c>
      <c r="AJ132" s="3">
        <f>AJ137</f>
        <v>0</v>
      </c>
      <c r="AK132" s="3">
        <f>AK137</f>
        <v>0</v>
      </c>
      <c r="AL132" s="3">
        <f>AK132</f>
        <v>0</v>
      </c>
      <c r="AM132" s="3">
        <f>AM137</f>
        <v>0</v>
      </c>
      <c r="AN132" s="3">
        <f>AN137</f>
        <v>0</v>
      </c>
      <c r="AO132" s="3">
        <f>AO137</f>
        <v>0</v>
      </c>
      <c r="AP132" s="3">
        <f>AP137</f>
        <v>0</v>
      </c>
      <c r="AQ132" s="3">
        <f>AP132</f>
        <v>0</v>
      </c>
      <c r="AR132" s="3">
        <f>AR137</f>
        <v>0</v>
      </c>
      <c r="AS132" s="3">
        <f>AS137</f>
        <v>0</v>
      </c>
      <c r="AT132" s="3">
        <f>AT137</f>
        <v>0</v>
      </c>
      <c r="AU132" s="3">
        <f>AU137</f>
        <v>0</v>
      </c>
      <c r="AV132" s="3">
        <f>AU132</f>
        <v>0</v>
      </c>
      <c r="AW132" s="3">
        <f>AW137</f>
        <v>0</v>
      </c>
      <c r="AX132" s="3">
        <f>AX137</f>
        <v>0</v>
      </c>
      <c r="AY132" s="3">
        <f>AY137</f>
        <v>0</v>
      </c>
      <c r="AZ132" s="3">
        <f>AZ137</f>
        <v>0</v>
      </c>
      <c r="BA132" s="3">
        <f>AZ132</f>
        <v>0</v>
      </c>
      <c r="BB132" s="3">
        <f>BB137</f>
        <v>0</v>
      </c>
      <c r="BC132" s="3">
        <f>BC137</f>
        <v>0</v>
      </c>
      <c r="BD132" s="3">
        <f>BD137</f>
        <v>0</v>
      </c>
      <c r="BE132" s="3">
        <f>BE137</f>
        <v>0</v>
      </c>
      <c r="BF132" s="3">
        <f>BE132</f>
        <v>0</v>
      </c>
      <c r="BG132" s="3">
        <f>BG137</f>
        <v>0</v>
      </c>
      <c r="BH132" s="3">
        <f>BH137</f>
        <v>0</v>
      </c>
      <c r="BI132" s="3">
        <f>BI137</f>
        <v>0</v>
      </c>
      <c r="BJ132" s="3">
        <f>BJ137</f>
        <v>0</v>
      </c>
      <c r="BK132" s="3">
        <f>BJ132</f>
        <v>0</v>
      </c>
      <c r="BL132" s="3">
        <f>BL137</f>
        <v>0</v>
      </c>
      <c r="BM132" s="3">
        <f>BM137</f>
        <v>0</v>
      </c>
      <c r="BN132" s="3">
        <f>BN137</f>
        <v>0</v>
      </c>
      <c r="BO132" s="3">
        <f>BO137</f>
        <v>0</v>
      </c>
      <c r="BP132" s="3">
        <f>BO132</f>
        <v>0</v>
      </c>
      <c r="BQ132" s="3">
        <f>BQ137</f>
        <v>0</v>
      </c>
      <c r="BR132" s="3">
        <f>BR137</f>
        <v>0</v>
      </c>
      <c r="BS132" s="3">
        <f>BS137</f>
        <v>0</v>
      </c>
      <c r="BT132" s="3">
        <f>BT137</f>
        <v>0</v>
      </c>
      <c r="BU132" s="3">
        <f>BT132</f>
        <v>0</v>
      </c>
      <c r="BV132" s="3">
        <f>BV137</f>
        <v>0</v>
      </c>
      <c r="BW132" s="3">
        <f>BW137</f>
        <v>0</v>
      </c>
      <c r="BX132" s="3">
        <f>BX137</f>
        <v>0</v>
      </c>
      <c r="BY132" s="3">
        <f>BY137</f>
        <v>0</v>
      </c>
      <c r="BZ132" s="3">
        <f>BY132</f>
        <v>0</v>
      </c>
      <c r="CA132" s="3">
        <f>CA137</f>
        <v>0</v>
      </c>
      <c r="CB132" s="3">
        <f>CB137</f>
        <v>0</v>
      </c>
      <c r="CC132" s="3">
        <f>CC137</f>
        <v>0</v>
      </c>
      <c r="CD132" s="3">
        <f>CD137</f>
        <v>0</v>
      </c>
      <c r="CE132" s="3">
        <f>CD132</f>
        <v>0</v>
      </c>
      <c r="CF132" s="3">
        <f>CF137</f>
        <v>0</v>
      </c>
      <c r="CG132" s="3">
        <f>CG137</f>
        <v>0</v>
      </c>
      <c r="CH132" s="3">
        <f>CH137</f>
        <v>0</v>
      </c>
      <c r="CI132" s="3">
        <f>CI137</f>
        <v>0</v>
      </c>
      <c r="CJ132" s="3">
        <f>CI132</f>
        <v>0</v>
      </c>
      <c r="CK132" s="3">
        <f>CK137</f>
        <v>0</v>
      </c>
      <c r="CL132" s="3">
        <f>CL137</f>
        <v>0</v>
      </c>
      <c r="CM132" s="3">
        <f>CM137</f>
        <v>0</v>
      </c>
      <c r="CN132" s="3">
        <f>CN137</f>
        <v>0</v>
      </c>
      <c r="CO132" s="3">
        <f>CN132</f>
        <v>0</v>
      </c>
      <c r="CP132" s="3">
        <f>CP137</f>
        <v>0</v>
      </c>
      <c r="CQ132" s="3">
        <f>CQ137</f>
        <v>0</v>
      </c>
      <c r="CR132" s="3">
        <f>CR137</f>
        <v>0</v>
      </c>
      <c r="CS132" s="3">
        <f>CS137</f>
        <v>0</v>
      </c>
      <c r="CT132" s="3">
        <f>CS132</f>
        <v>0</v>
      </c>
      <c r="CU132" s="3">
        <f>CU137</f>
        <v>0</v>
      </c>
      <c r="CV132" s="3">
        <f>CV137</f>
        <v>0</v>
      </c>
      <c r="CW132" s="3">
        <f>CW137</f>
        <v>0</v>
      </c>
      <c r="CX132" s="3">
        <f>CX137</f>
        <v>0</v>
      </c>
      <c r="CY132" s="3">
        <f>CX132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0</v>
      </c>
      <c r="F134" s="3">
        <f>F132-E132-F36</f>
        <v>0</v>
      </c>
      <c r="G134" s="3">
        <f>G132-F132-G36</f>
        <v>0</v>
      </c>
      <c r="H134" s="3" t="n"/>
      <c r="I134" s="3">
        <f>I132-H132-I36</f>
        <v>0</v>
      </c>
      <c r="J134" s="3">
        <f>J132-I132-J36</f>
        <v>0</v>
      </c>
      <c r="K134" s="3">
        <f>K132-J132-K36</f>
        <v>0</v>
      </c>
      <c r="L134" s="3">
        <f>L132-K132-L36</f>
        <v>0</v>
      </c>
      <c r="M134" s="3" t="n"/>
      <c r="N134" s="3">
        <f>N132-M132-N36</f>
        <v>0</v>
      </c>
      <c r="O134" s="3">
        <f>O132-N132-O36</f>
        <v>0</v>
      </c>
      <c r="P134" s="3">
        <f>P132-O132-P36</f>
        <v>0</v>
      </c>
      <c r="Q134" s="3">
        <f>Q132-P132-Q36</f>
        <v>0</v>
      </c>
      <c r="R134" s="3" t="n"/>
      <c r="S134" s="3">
        <f>S132-R132-S36</f>
        <v>0</v>
      </c>
      <c r="T134" s="3">
        <f>T132-S132-T36</f>
        <v>0</v>
      </c>
      <c r="U134" s="3">
        <f>U132-T132-U36</f>
        <v>0</v>
      </c>
      <c r="V134" s="3">
        <f>V132-U132-V36</f>
        <v>0</v>
      </c>
      <c r="W134" s="3" t="n"/>
      <c r="X134" s="3">
        <f>X132-W132-X36</f>
        <v>0</v>
      </c>
      <c r="Y134" s="3">
        <f>Y132-X132-Y36</f>
        <v>0</v>
      </c>
      <c r="Z134" s="3">
        <f>Z132-Y132-Z36</f>
        <v>0</v>
      </c>
      <c r="AA134" s="3">
        <f>AA132-Z132-AA36</f>
        <v>0</v>
      </c>
      <c r="AB134" s="3" t="n"/>
      <c r="AC134" s="3">
        <f>AC132-AB132-AC36</f>
        <v>0</v>
      </c>
      <c r="AD134" s="3">
        <f>AD132-AC132-AD36</f>
        <v>0</v>
      </c>
      <c r="AE134" s="3">
        <f>AE132-AD132-AE36</f>
        <v>0</v>
      </c>
      <c r="AF134" s="6">
        <f>AF132-AE132-AF36</f>
        <v>0</v>
      </c>
      <c r="AG134" s="3">
        <f>SUM(AC134:AF134)</f>
        <v>0</v>
      </c>
      <c r="AH134" s="6" t="n"/>
      <c r="AI134" s="6" t="n"/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0</v>
      </c>
      <c r="E136" s="3">
        <f>E36</f>
        <v>0</v>
      </c>
      <c r="F136" s="3">
        <f>F36</f>
        <v>0</v>
      </c>
      <c r="G136" s="3">
        <f>G36</f>
        <v>0</v>
      </c>
      <c r="H136" s="3" t="n"/>
      <c r="I136" s="3">
        <f>I36</f>
        <v>0</v>
      </c>
      <c r="J136" s="3">
        <f>J36</f>
        <v>0</v>
      </c>
      <c r="K136" s="3">
        <f>K36</f>
        <v>0</v>
      </c>
      <c r="L136" s="3">
        <f>L36</f>
        <v>0</v>
      </c>
      <c r="M136" s="3" t="n"/>
      <c r="N136" s="3">
        <f>N36</f>
        <v>0</v>
      </c>
      <c r="O136" s="3">
        <f>O36</f>
        <v>0</v>
      </c>
      <c r="P136" s="3">
        <f>P36</f>
        <v>0</v>
      </c>
      <c r="Q136" s="3">
        <f>Q36</f>
        <v>0</v>
      </c>
      <c r="R136" s="3" t="n"/>
      <c r="S136" s="3">
        <f>S36</f>
        <v>0</v>
      </c>
      <c r="T136" s="3">
        <f>T36</f>
        <v>0</v>
      </c>
      <c r="U136" s="3">
        <f>U36</f>
        <v>0</v>
      </c>
      <c r="V136" s="3">
        <f>V36</f>
        <v>0</v>
      </c>
      <c r="W136" s="3" t="n"/>
      <c r="X136" s="3">
        <f>X36</f>
        <v>0</v>
      </c>
      <c r="Y136" s="3">
        <f>Y36</f>
        <v>0</v>
      </c>
      <c r="Z136" s="3">
        <f>Z36</f>
        <v>0</v>
      </c>
      <c r="AA136" s="3">
        <f>AA36</f>
        <v>0</v>
      </c>
      <c r="AB136" s="3" t="n"/>
      <c r="AC136" s="3">
        <f>AC36</f>
        <v>0</v>
      </c>
      <c r="AD136" s="3">
        <f>AD36</f>
        <v>0</v>
      </c>
      <c r="AE136" s="3">
        <f>AE36</f>
        <v>0</v>
      </c>
      <c r="AF136" s="3">
        <f>AF36</f>
        <v>0</v>
      </c>
      <c r="AG136" s="3" t="n"/>
      <c r="AH136" s="3">
        <f>AH36</f>
        <v>0</v>
      </c>
      <c r="AI136" s="3">
        <f>AI36</f>
        <v>0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0</v>
      </c>
      <c r="E137" s="3">
        <f>E132</f>
        <v>0</v>
      </c>
      <c r="F137" s="3">
        <f>F132</f>
        <v>0</v>
      </c>
      <c r="G137" s="3">
        <f>G132</f>
        <v>0</v>
      </c>
      <c r="H137" s="3" t="n"/>
      <c r="I137" s="3">
        <f>I132</f>
        <v>0</v>
      </c>
      <c r="J137" s="3">
        <f>J132</f>
        <v>0</v>
      </c>
      <c r="K137" s="3">
        <f>K132</f>
        <v>0</v>
      </c>
      <c r="L137" s="3">
        <f>L132</f>
        <v>0</v>
      </c>
      <c r="M137" s="3" t="n"/>
      <c r="N137" s="3">
        <f>N132</f>
        <v>0</v>
      </c>
      <c r="O137" s="3">
        <f>O132</f>
        <v>0</v>
      </c>
      <c r="P137" s="3">
        <f>P132</f>
        <v>0</v>
      </c>
      <c r="Q137" s="3">
        <f>Q132</f>
        <v>0</v>
      </c>
      <c r="R137" s="3" t="n"/>
      <c r="S137" s="3">
        <f>S132</f>
        <v>0</v>
      </c>
      <c r="T137" s="3">
        <f>T132</f>
        <v>0</v>
      </c>
      <c r="U137" s="3">
        <f>U132</f>
        <v>0</v>
      </c>
      <c r="V137" s="3">
        <f>V132</f>
        <v>0</v>
      </c>
      <c r="W137" s="3" t="n"/>
      <c r="X137" s="3">
        <f>X132</f>
        <v>0</v>
      </c>
      <c r="Y137" s="3">
        <f>Y132</f>
        <v>0</v>
      </c>
      <c r="Z137" s="3">
        <f>Z132</f>
        <v>0</v>
      </c>
      <c r="AA137" s="3">
        <f>Y137+SUM(AA134:AA136)</f>
        <v>0</v>
      </c>
      <c r="AB137" s="3" t="n"/>
      <c r="AC137" s="3">
        <f>AC132</f>
        <v>0</v>
      </c>
      <c r="AD137" s="3">
        <f>AD132</f>
        <v>0</v>
      </c>
      <c r="AE137" s="3">
        <f>AE132</f>
        <v>0</v>
      </c>
      <c r="AF137" s="3">
        <f>AE137+SUM(AF134:AF136)</f>
        <v>0</v>
      </c>
      <c r="AG137" s="3" t="n"/>
      <c r="AH137" s="3">
        <f>AF137+SUM(AH134:AH136)</f>
        <v>0</v>
      </c>
      <c r="AI137" s="3">
        <f>AH137+SUM(AI134:AI136)</f>
        <v>0</v>
      </c>
      <c r="AJ137" s="3">
        <f>AI137+SUM(AJ134:AJ136)</f>
        <v>0</v>
      </c>
      <c r="AK137" s="3">
        <f>AJ137+SUM(AK134:AK136)</f>
        <v>0</v>
      </c>
      <c r="AL137" s="3" t="n"/>
      <c r="AM137" s="3">
        <f>AK137+SUM(AM134:AM136)</f>
        <v>0</v>
      </c>
      <c r="AN137" s="3">
        <f>AM137+SUM(AN134:AN136)</f>
        <v>0</v>
      </c>
      <c r="AO137" s="3">
        <f>AN137+SUM(AO134:AO136)</f>
        <v>0</v>
      </c>
      <c r="AP137" s="3">
        <f>AO137+SUM(AP134:AP136)</f>
        <v>0</v>
      </c>
      <c r="AQ137" s="3" t="n"/>
      <c r="AR137" s="3">
        <f>AP137+SUM(AR134:AR136)</f>
        <v>0</v>
      </c>
      <c r="AS137" s="3">
        <f>AR137+SUM(AS134:AS136)</f>
        <v>0</v>
      </c>
      <c r="AT137" s="3">
        <f>AS137+SUM(AT134:AT136)</f>
        <v>0</v>
      </c>
      <c r="AU137" s="3">
        <f>AT137+SUM(AU134:AU136)</f>
        <v>0</v>
      </c>
      <c r="AV137" s="3" t="n"/>
      <c r="AW137" s="3">
        <f>AU137+SUM(AW134:AW136)</f>
        <v>0</v>
      </c>
      <c r="AX137" s="3">
        <f>AW137+SUM(AX134:AX136)</f>
        <v>0</v>
      </c>
      <c r="AY137" s="3">
        <f>AX137+SUM(AY134:AY136)</f>
        <v>0</v>
      </c>
      <c r="AZ137" s="3">
        <f>AY137+SUM(AZ134:AZ136)</f>
        <v>0</v>
      </c>
      <c r="BA137" s="3" t="n"/>
      <c r="BB137" s="3">
        <f>AZ137+SUM(BB134:BB136)</f>
        <v>0</v>
      </c>
      <c r="BC137" s="3">
        <f>BB137+SUM(BC134:BC136)</f>
        <v>0</v>
      </c>
      <c r="BD137" s="3">
        <f>BC137+SUM(BD134:BD136)</f>
        <v>0</v>
      </c>
      <c r="BE137" s="3">
        <f>BD137+SUM(BE134:BE136)</f>
        <v>0</v>
      </c>
      <c r="BF137" s="3" t="n"/>
      <c r="BG137" s="3">
        <f>BE137+SUM(BG134:BG136)</f>
        <v>0</v>
      </c>
      <c r="BH137" s="3">
        <f>BG137+SUM(BH134:BH136)</f>
        <v>0</v>
      </c>
      <c r="BI137" s="3">
        <f>BH137+SUM(BI134:BI136)</f>
        <v>0</v>
      </c>
      <c r="BJ137" s="3">
        <f>BI137+SUM(BJ134:BJ136)</f>
        <v>0</v>
      </c>
      <c r="BK137" s="3" t="n"/>
      <c r="BL137" s="3">
        <f>BJ137+SUM(BL134:BL136)</f>
        <v>0</v>
      </c>
      <c r="BM137" s="3">
        <f>BL137+SUM(BM134:BM136)</f>
        <v>0</v>
      </c>
      <c r="BN137" s="3">
        <f>BM137+SUM(BN134:BN136)</f>
        <v>0</v>
      </c>
      <c r="BO137" s="3">
        <f>BN137+SUM(BO134:BO136)</f>
        <v>0</v>
      </c>
      <c r="BP137" s="3" t="n"/>
      <c r="BQ137" s="3">
        <f>BO137+SUM(BQ134:BQ136)</f>
        <v>0</v>
      </c>
      <c r="BR137" s="3">
        <f>BQ137+SUM(BR134:BR136)</f>
        <v>0</v>
      </c>
      <c r="BS137" s="3">
        <f>BR137+SUM(BS134:BS136)</f>
        <v>0</v>
      </c>
      <c r="BT137" s="3">
        <f>BS137+SUM(BT134:BT136)</f>
        <v>0</v>
      </c>
      <c r="BU137" s="3" t="n"/>
      <c r="BV137" s="3">
        <f>BT137+SUM(BV134:BV136)</f>
        <v>0</v>
      </c>
      <c r="BW137" s="3">
        <f>BV137+SUM(BW134:BW136)</f>
        <v>0</v>
      </c>
      <c r="BX137" s="3">
        <f>BW137+SUM(BX134:BX136)</f>
        <v>0</v>
      </c>
      <c r="BY137" s="3">
        <f>BX137+SUM(BY134:BY136)</f>
        <v>0</v>
      </c>
      <c r="BZ137" s="3" t="n"/>
      <c r="CA137" s="3">
        <f>BY137+SUM(CA134:CA136)</f>
        <v>0</v>
      </c>
      <c r="CB137" s="3">
        <f>CA137+SUM(CB134:CB136)</f>
        <v>0</v>
      </c>
      <c r="CC137" s="3">
        <f>CB137+SUM(CC134:CC136)</f>
        <v>0</v>
      </c>
      <c r="CD137" s="3">
        <f>CC137+SUM(CD134:CD136)</f>
        <v>0</v>
      </c>
      <c r="CE137" s="3" t="n"/>
      <c r="CF137" s="3">
        <f>CD137+SUM(CF134:CF136)</f>
        <v>0</v>
      </c>
      <c r="CG137" s="3">
        <f>CF137+SUM(CG134:CG136)</f>
        <v>0</v>
      </c>
      <c r="CH137" s="3">
        <f>CG137+SUM(CH134:CH136)</f>
        <v>0</v>
      </c>
      <c r="CI137" s="3">
        <f>CH137+SUM(CI134:CI136)</f>
        <v>0</v>
      </c>
      <c r="CJ137" s="3" t="n"/>
      <c r="CK137" s="3">
        <f>CI137+SUM(CK134:CK136)</f>
        <v>0</v>
      </c>
      <c r="CL137" s="3">
        <f>CK137+SUM(CL134:CL136)</f>
        <v>0</v>
      </c>
      <c r="CM137" s="3">
        <f>CL137+SUM(CM134:CM136)</f>
        <v>0</v>
      </c>
      <c r="CN137" s="3">
        <f>CM137+SUM(CN134:CN136)</f>
        <v>0</v>
      </c>
      <c r="CO137" s="3" t="n"/>
      <c r="CP137" s="3">
        <f>CN137+SUM(CP134:CP136)</f>
        <v>0</v>
      </c>
      <c r="CQ137" s="3">
        <f>CP137+SUM(CQ134:CQ136)</f>
        <v>0</v>
      </c>
      <c r="CR137" s="3">
        <f>CQ137+SUM(CR134:CR136)</f>
        <v>0</v>
      </c>
      <c r="CS137" s="3">
        <f>CR137+SUM(CS134:CS136)</f>
        <v>0</v>
      </c>
      <c r="CT137" s="3" t="n"/>
      <c r="CU137" s="3">
        <f>CS137+SUM(CU134:CU136)</f>
        <v>0</v>
      </c>
      <c r="CV137" s="3">
        <f>CU137+SUM(CV134:CV136)</f>
        <v>0</v>
      </c>
      <c r="CW137" s="3">
        <f>CV137+SUM(CW134:CW136)</f>
        <v>0</v>
      </c>
      <c r="CX137" s="3">
        <f>CW137+SUM(CX134:CX136)</f>
        <v>0</v>
      </c>
      <c r="CY137" s="3" t="n"/>
      <c r="CZ137">
        <f>CX137+SUM(CZ134:CZ136)</f>
        <v>0</v>
      </c>
      <c r="DA137">
        <f>CZ137+SUM(DA134:DA136)</f>
        <v>0</v>
      </c>
      <c r="DB137">
        <f>DA137+SUM(DB134:DB136)</f>
        <v>0</v>
      </c>
      <c r="DC137">
        <f>DB137+SUM(DC134:DC136)</f>
        <v>0</v>
      </c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 t="e">
        <f>AF134/AF15</f>
        <v>#DIV/0!</v>
      </c>
      <c r="AG139" s="40" t="e">
        <f>AG134/AG15</f>
        <v>#DIV/0!</v>
      </c>
      <c r="AH139" s="40" t="e">
        <f>AH134/AH15</f>
        <v>#DIV/0!</v>
      </c>
      <c r="AI139" s="40" t="e">
        <f>AI134/AI15</f>
        <v>#DIV/0!</v>
      </c>
      <c r="AJ139" s="40" t="e">
        <f>AJ134/AJ15</f>
        <v>#DIV/0!</v>
      </c>
      <c r="AK139" s="40" t="e">
        <f>AK134/AK15</f>
        <v>#DIV/0!</v>
      </c>
      <c r="AL139" s="40" t="e">
        <f>AL134/AL15</f>
        <v>#DIV/0!</v>
      </c>
      <c r="AM139" s="40" t="e">
        <f>AM134/AM15</f>
        <v>#DIV/0!</v>
      </c>
      <c r="AN139" s="40" t="e">
        <f>AN134/AN15</f>
        <v>#DIV/0!</v>
      </c>
      <c r="AO139" s="40" t="e">
        <f>AO134/AO15</f>
        <v>#DIV/0!</v>
      </c>
      <c r="AP139" s="40" t="e">
        <f>AP134/AP15</f>
        <v>#DIV/0!</v>
      </c>
      <c r="AQ139" s="40" t="e">
        <f>AQ134/AQ15</f>
        <v>#DIV/0!</v>
      </c>
      <c r="AR139" s="40" t="e">
        <f>AR134/AR15</f>
        <v>#DIV/0!</v>
      </c>
      <c r="AS139" s="40" t="e">
        <f>AS134/AS15</f>
        <v>#DIV/0!</v>
      </c>
      <c r="AT139" s="40" t="e">
        <f>AT134/AT15</f>
        <v>#DIV/0!</v>
      </c>
      <c r="AU139" s="40" t="e">
        <f>AU134/AU15</f>
        <v>#DIV/0!</v>
      </c>
      <c r="AV139" s="40" t="e">
        <f>AV134/AV15</f>
        <v>#DIV/0!</v>
      </c>
      <c r="AW139" s="40" t="e">
        <f>AW134/AW15</f>
        <v>#DIV/0!</v>
      </c>
      <c r="AX139" s="40" t="e">
        <f>AX134/AX15</f>
        <v>#DIV/0!</v>
      </c>
      <c r="AY139" s="40" t="e">
        <f>AY134/AY15</f>
        <v>#DIV/0!</v>
      </c>
      <c r="AZ139" s="40" t="e">
        <f>AZ134/AZ15</f>
        <v>#DIV/0!</v>
      </c>
      <c r="BA139" s="40" t="e">
        <f>BA134/BA15</f>
        <v>#DIV/0!</v>
      </c>
      <c r="BB139" s="40" t="e">
        <f>BB134/BB15</f>
        <v>#DIV/0!</v>
      </c>
      <c r="BC139" s="40" t="e">
        <f>BC134/BC15</f>
        <v>#DIV/0!</v>
      </c>
      <c r="BD139" s="40" t="e">
        <f>BD134/BD15</f>
        <v>#DIV/0!</v>
      </c>
      <c r="BE139" s="40" t="e">
        <f>BE134/BE15</f>
        <v>#DIV/0!</v>
      </c>
      <c r="BF139" s="40" t="e">
        <f>BF134/BF15</f>
        <v>#DIV/0!</v>
      </c>
      <c r="BG139" s="40" t="e">
        <f>BG134/BG15</f>
        <v>#DIV/0!</v>
      </c>
      <c r="BH139" s="40" t="e">
        <f>BH134/BH15</f>
        <v>#DIV/0!</v>
      </c>
      <c r="BI139" s="40" t="e">
        <f>BI134/BI15</f>
        <v>#DIV/0!</v>
      </c>
      <c r="BJ139" s="40" t="e">
        <f>BJ134/BJ15</f>
        <v>#DIV/0!</v>
      </c>
      <c r="BK139" s="40" t="e">
        <f>BK134/BK15</f>
        <v>#DIV/0!</v>
      </c>
      <c r="BL139" s="40" t="e">
        <f>BL134/BL15</f>
        <v>#DIV/0!</v>
      </c>
      <c r="BM139" s="40" t="e">
        <f>BM134/BM15</f>
        <v>#DIV/0!</v>
      </c>
      <c r="BN139" s="40" t="e">
        <f>BN134/BN15</f>
        <v>#DIV/0!</v>
      </c>
      <c r="BO139" s="40" t="e">
        <f>BO134/BO15</f>
        <v>#DIV/0!</v>
      </c>
      <c r="BP139" s="40" t="e">
        <f>BP134/BP15</f>
        <v>#DIV/0!</v>
      </c>
      <c r="BQ139" s="40" t="e">
        <f>BQ134/BQ15</f>
        <v>#DIV/0!</v>
      </c>
      <c r="BR139" s="40" t="e">
        <f>BR134/BR15</f>
        <v>#DIV/0!</v>
      </c>
      <c r="BS139" s="40" t="e">
        <f>BS134/BS15</f>
        <v>#DIV/0!</v>
      </c>
      <c r="BT139" s="40" t="e">
        <f>BT134/BT15</f>
        <v>#DIV/0!</v>
      </c>
      <c r="BU139" s="40" t="e">
        <f>BU134/BU15</f>
        <v>#DIV/0!</v>
      </c>
      <c r="BV139" s="40" t="e">
        <f>BV134/BV15</f>
        <v>#DIV/0!</v>
      </c>
      <c r="BW139" s="40" t="e">
        <f>BW134/BW15</f>
        <v>#DIV/0!</v>
      </c>
      <c r="BX139" s="40" t="e">
        <f>BX134/BX15</f>
        <v>#DIV/0!</v>
      </c>
      <c r="BY139" s="40" t="e">
        <f>BY134/BY15</f>
        <v>#DIV/0!</v>
      </c>
      <c r="BZ139" s="40" t="e">
        <f>BZ134/BZ15</f>
        <v>#DIV/0!</v>
      </c>
      <c r="CA139" s="40" t="e">
        <f>CA134/CA15</f>
        <v>#DIV/0!</v>
      </c>
      <c r="CB139" s="40" t="e">
        <f>CB134/CB15</f>
        <v>#DIV/0!</v>
      </c>
      <c r="CC139" s="40" t="e">
        <f>CC134/CC15</f>
        <v>#DIV/0!</v>
      </c>
      <c r="CD139" s="40" t="e">
        <f>CD134/CD15</f>
        <v>#DIV/0!</v>
      </c>
      <c r="CE139" s="40" t="e">
        <f>CE134/CE15</f>
        <v>#DIV/0!</v>
      </c>
      <c r="CF139" s="40" t="e">
        <f>CF134/CF15</f>
        <v>#DIV/0!</v>
      </c>
      <c r="CG139" s="40" t="e">
        <f>CG134/CG15</f>
        <v>#DIV/0!</v>
      </c>
      <c r="CH139" s="40" t="e">
        <f>CH134/CH15</f>
        <v>#DIV/0!</v>
      </c>
      <c r="CI139" s="40" t="e">
        <f>CI134/CI15</f>
        <v>#DIV/0!</v>
      </c>
      <c r="CJ139" s="40" t="e">
        <f>CJ134/CJ15</f>
        <v>#DIV/0!</v>
      </c>
      <c r="CK139" s="40" t="e">
        <f>CK134/CK15</f>
        <v>#DIV/0!</v>
      </c>
      <c r="CL139" s="40" t="e">
        <f>CL134/CL15</f>
        <v>#DIV/0!</v>
      </c>
      <c r="CM139" s="40" t="e">
        <f>CM134/CM15</f>
        <v>#DIV/0!</v>
      </c>
      <c r="CN139" s="40" t="e">
        <f>CN134/CN15</f>
        <v>#DIV/0!</v>
      </c>
      <c r="CO139" s="40" t="e">
        <f>CO134/CO15</f>
        <v>#DIV/0!</v>
      </c>
      <c r="CP139" s="40" t="e">
        <f>CP134/CP15</f>
        <v>#DIV/0!</v>
      </c>
      <c r="CQ139" s="40" t="e">
        <f>CQ134/CQ15</f>
        <v>#DIV/0!</v>
      </c>
      <c r="CR139" s="40" t="e">
        <f>CR134/CR15</f>
        <v>#DIV/0!</v>
      </c>
      <c r="CS139" s="40" t="e">
        <f>CS134/CS15</f>
        <v>#DIV/0!</v>
      </c>
      <c r="CT139" s="40" t="e">
        <f>CT134/CT15</f>
        <v>#DIV/0!</v>
      </c>
      <c r="CU139" s="40" t="e">
        <f>CU134/CU15</f>
        <v>#DIV/0!</v>
      </c>
      <c r="CV139" s="40" t="e">
        <f>CV134/CV15</f>
        <v>#DIV/0!</v>
      </c>
      <c r="CW139" s="40" t="e">
        <f>CW134/CW15</f>
        <v>#DIV/0!</v>
      </c>
      <c r="CX139" s="40" t="e">
        <f>CX134/CX15</f>
        <v>#DIV/0!</v>
      </c>
      <c r="CY139" s="40" t="e">
        <f>CY134/CY15</f>
        <v>#DIV/0!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 t="n"/>
      <c r="E142" s="25" t="n"/>
      <c r="F142" s="25" t="n"/>
      <c r="G142" s="25" t="n"/>
      <c r="H142" s="3">
        <f>G142</f>
        <v>0</v>
      </c>
      <c r="I142" s="25" t="n"/>
      <c r="J142" s="25" t="n"/>
      <c r="K142" s="25" t="n"/>
      <c r="L142" s="25" t="n"/>
      <c r="M142" s="3">
        <f>L142</f>
        <v>0</v>
      </c>
      <c r="N142" s="25" t="n"/>
      <c r="O142" s="25" t="n"/>
      <c r="P142" s="25" t="n"/>
      <c r="Q142" s="25" t="n"/>
      <c r="R142" s="3">
        <f>Q142</f>
        <v>0</v>
      </c>
      <c r="S142" s="25" t="n"/>
      <c r="T142" s="25" t="n"/>
      <c r="U142" s="25" t="n"/>
      <c r="V142" s="25" t="n"/>
      <c r="W142" s="3">
        <f>V142</f>
        <v>0</v>
      </c>
      <c r="X142" s="25" t="n"/>
      <c r="Y142" s="25" t="n"/>
      <c r="Z142" s="25" t="n"/>
      <c r="AA142" s="25" t="n"/>
      <c r="AB142" s="3">
        <f>AA142</f>
        <v>0</v>
      </c>
      <c r="AC142" s="25" t="n"/>
      <c r="AD142" s="25" t="n"/>
      <c r="AE142" s="25" t="n"/>
      <c r="AF142" s="25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 hidden="1" outlineLevel="1">
      <c r="C143" s="38" t="inlineStr">
        <is>
          <t>%(Var.)</t>
        </is>
      </c>
      <c r="D143" s="3" t="n"/>
      <c r="E143" s="47" t="e">
        <f>(E142-D142)/D142</f>
        <v>#DIV/0!</v>
      </c>
      <c r="F143" s="47" t="e">
        <f>(F142-E142)/E142</f>
        <v>#DIV/0!</v>
      </c>
      <c r="G143" s="47" t="e">
        <f>(G142-F142)/F142</f>
        <v>#DIV/0!</v>
      </c>
      <c r="H143" s="3" t="n"/>
      <c r="I143" s="47" t="e">
        <f>(I142-H142)/H142</f>
        <v>#DIV/0!</v>
      </c>
      <c r="J143" s="47" t="e">
        <f>(J142-I142)/I142</f>
        <v>#DIV/0!</v>
      </c>
      <c r="K143" s="47" t="e">
        <f>(K142-J142)/J142</f>
        <v>#DIV/0!</v>
      </c>
      <c r="L143" s="47" t="e">
        <f>(L142-K142)/K142</f>
        <v>#DIV/0!</v>
      </c>
      <c r="M143" s="3" t="n"/>
      <c r="N143" s="47" t="e">
        <f>(N142-M142)/M142</f>
        <v>#DIV/0!</v>
      </c>
      <c r="O143" s="47" t="e">
        <f>(O142-N142)/N142</f>
        <v>#DIV/0!</v>
      </c>
      <c r="P143" s="47" t="e">
        <f>(P142-O142)/O142</f>
        <v>#DIV/0!</v>
      </c>
      <c r="Q143" s="47" t="e">
        <f>(Q142-P142)/P142</f>
        <v>#DIV/0!</v>
      </c>
      <c r="R143" s="3" t="n"/>
      <c r="S143" s="47" t="e">
        <f>(S142-R142)/R142</f>
        <v>#DIV/0!</v>
      </c>
      <c r="T143" s="47" t="e">
        <f>(T142-S142)/S142</f>
        <v>#DIV/0!</v>
      </c>
      <c r="U143" s="47" t="e">
        <f>(U142-T142)/T142</f>
        <v>#DIV/0!</v>
      </c>
      <c r="V143" s="47" t="e">
        <f>(V142-U142)/U142</f>
        <v>#DIV/0!</v>
      </c>
      <c r="W143" s="3" t="n"/>
      <c r="X143" s="47" t="e">
        <f>(X142-W142)/W142</f>
        <v>#DIV/0!</v>
      </c>
      <c r="Y143" s="47" t="e">
        <f>(Y142-X142)/X142</f>
        <v>#DIV/0!</v>
      </c>
      <c r="Z143" s="47" t="e">
        <f>(Z142-Y142)/Y142</f>
        <v>#DIV/0!</v>
      </c>
      <c r="AA143" s="47" t="e">
        <f>(AA142-Z142)/Z142</f>
        <v>#DIV/0!</v>
      </c>
      <c r="AB143" s="3" t="n"/>
      <c r="AC143" s="47" t="e">
        <f>(AC142-AB142)/AB142</f>
        <v>#DIV/0!</v>
      </c>
      <c r="AD143" s="47" t="e">
        <f>(AD142-AC142)/AC142</f>
        <v>#DIV/0!</v>
      </c>
      <c r="AE143" s="47" t="e">
        <f>(AE142-AD142)/AD142</f>
        <v>#DIV/0!</v>
      </c>
      <c r="AF143" s="218" t="e">
        <f>(AF142-AE142)/AE142</f>
        <v>#DIV/0!</v>
      </c>
      <c r="AG143" s="3" t="n"/>
      <c r="AH143" s="218" t="n"/>
      <c r="AI143" s="218" t="n"/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 t="n"/>
      <c r="E145" s="25" t="n"/>
      <c r="F145" s="25" t="n"/>
      <c r="G145" s="25" t="n"/>
      <c r="H145" s="3">
        <f>G145</f>
        <v>0</v>
      </c>
      <c r="I145" s="25" t="n"/>
      <c r="J145" s="25" t="n"/>
      <c r="K145" s="25" t="n"/>
      <c r="L145" s="25" t="n"/>
      <c r="M145" s="3">
        <f>L145</f>
        <v>0</v>
      </c>
      <c r="N145" s="25" t="n"/>
      <c r="O145" s="25" t="n"/>
      <c r="P145" s="25" t="n"/>
      <c r="Q145" s="25" t="n"/>
      <c r="R145" s="3">
        <f>Q145</f>
        <v>0</v>
      </c>
      <c r="S145" s="25" t="n"/>
      <c r="T145" s="25" t="n"/>
      <c r="U145" s="25" t="n"/>
      <c r="V145" s="25" t="n"/>
      <c r="W145" s="3">
        <f>V145</f>
        <v>0</v>
      </c>
      <c r="X145" s="25" t="n"/>
      <c r="Y145" s="25" t="n"/>
      <c r="Z145" s="25" t="n"/>
      <c r="AA145" s="25" t="n"/>
      <c r="AB145" s="3">
        <f>AA145</f>
        <v>0</v>
      </c>
      <c r="AC145" s="25" t="n"/>
      <c r="AD145" s="25" t="n"/>
      <c r="AE145" s="25" t="n"/>
      <c r="AF145" s="25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Intangibles</t>
        </is>
      </c>
      <c r="D146" s="25" t="n"/>
      <c r="E146" s="25" t="n"/>
      <c r="F146" s="25" t="n"/>
      <c r="G146" s="25" t="n"/>
      <c r="H146" s="3">
        <f>G146</f>
        <v>0</v>
      </c>
      <c r="I146" s="25" t="n"/>
      <c r="J146" s="25" t="n"/>
      <c r="K146" s="25" t="n"/>
      <c r="L146" s="25" t="n"/>
      <c r="M146" s="3">
        <f>L146</f>
        <v>0</v>
      </c>
      <c r="N146" s="25" t="n"/>
      <c r="O146" s="25" t="n"/>
      <c r="P146" s="25" t="n"/>
      <c r="Q146" s="25" t="n"/>
      <c r="R146" s="3">
        <f>Q146</f>
        <v>0</v>
      </c>
      <c r="S146" s="25" t="n"/>
      <c r="T146" s="25" t="n"/>
      <c r="U146" s="25" t="n"/>
      <c r="V146" s="25" t="n"/>
      <c r="W146" s="3">
        <f>V146</f>
        <v>0</v>
      </c>
      <c r="X146" s="25" t="n"/>
      <c r="Y146" s="25" t="n"/>
      <c r="Z146" s="25" t="n"/>
      <c r="AA146" s="25" t="n"/>
      <c r="AB146" s="3">
        <f>AA146</f>
        <v>0</v>
      </c>
      <c r="AC146" s="25" t="n"/>
      <c r="AD146" s="25" t="n"/>
      <c r="AE146" s="25" t="n"/>
      <c r="AF146" s="25" t="n"/>
      <c r="AG146" s="3">
        <f>AF146</f>
        <v>0</v>
      </c>
      <c r="AH146" s="3">
        <f>AH150</f>
        <v>0</v>
      </c>
      <c r="AI146" s="3" t="n"/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0</v>
      </c>
      <c r="F148" s="3">
        <f>F146-E146-F50</f>
        <v>0</v>
      </c>
      <c r="G148" s="3">
        <f>G146-F146-G50</f>
        <v>0</v>
      </c>
      <c r="H148" s="3" t="n"/>
      <c r="I148" s="3">
        <f>I146-H146-I50</f>
        <v>0</v>
      </c>
      <c r="J148" s="3">
        <f>J146-I146-J50</f>
        <v>0</v>
      </c>
      <c r="K148" s="3">
        <f>K146-J146-K50</f>
        <v>0</v>
      </c>
      <c r="L148" s="3">
        <f>L146-K146-L50</f>
        <v>0</v>
      </c>
      <c r="M148" s="3" t="n"/>
      <c r="N148" s="3">
        <f>N146-M146-N50</f>
        <v>0</v>
      </c>
      <c r="O148" s="3">
        <f>O146-N146-O50</f>
        <v>0</v>
      </c>
      <c r="P148" s="3">
        <f>P146-O146-P50</f>
        <v>0</v>
      </c>
      <c r="Q148" s="3">
        <f>Q146-P146-Q50</f>
        <v>0</v>
      </c>
      <c r="R148" s="3" t="n"/>
      <c r="S148" s="3">
        <f>S146-R146-S50</f>
        <v>0</v>
      </c>
      <c r="T148" s="3">
        <f>T146-S146-T50</f>
        <v>0</v>
      </c>
      <c r="U148" s="3">
        <f>U146-T146-U50</f>
        <v>0</v>
      </c>
      <c r="V148" s="3">
        <f>V146-U146-V50</f>
        <v>0</v>
      </c>
      <c r="W148" s="3" t="n"/>
      <c r="X148" s="3">
        <f>X146-W146-X50</f>
        <v>0</v>
      </c>
      <c r="Y148" s="3">
        <f>Y146-X146-Y50</f>
        <v>0</v>
      </c>
      <c r="Z148" s="3">
        <f>Z146-Y146-Z50</f>
        <v>0</v>
      </c>
      <c r="AA148" s="3">
        <f>AA146-Z146-AA50</f>
        <v>0</v>
      </c>
      <c r="AB148" s="3" t="n"/>
      <c r="AC148" s="3">
        <f>AC146-AB146-AC50</f>
        <v>0</v>
      </c>
      <c r="AD148" s="3">
        <f>AD146-AC146-AD50</f>
        <v>0</v>
      </c>
      <c r="AE148" s="3">
        <f>AE146-AD146-AE50</f>
        <v>0</v>
      </c>
      <c r="AF148" s="3" t="n"/>
      <c r="AG148" s="3" t="n"/>
      <c r="AH148" s="6" t="n"/>
      <c r="AI148" s="6" t="n"/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E146</f>
        <v>0</v>
      </c>
      <c r="F150" s="3">
        <f>F146</f>
        <v>0</v>
      </c>
      <c r="G150" s="3">
        <f>G146</f>
        <v>0</v>
      </c>
      <c r="H150" s="3" t="n"/>
      <c r="I150" s="3">
        <f>I146</f>
        <v>0</v>
      </c>
      <c r="J150" s="3">
        <f>J146</f>
        <v>0</v>
      </c>
      <c r="K150" s="3">
        <f>K146</f>
        <v>0</v>
      </c>
      <c r="L150" s="3">
        <f>L146</f>
        <v>0</v>
      </c>
      <c r="M150" s="3" t="n"/>
      <c r="N150" s="3">
        <f>N146</f>
        <v>0</v>
      </c>
      <c r="O150" s="3">
        <f>O146</f>
        <v>0</v>
      </c>
      <c r="P150" s="3">
        <f>P146</f>
        <v>0</v>
      </c>
      <c r="Q150" s="3">
        <f>Q146</f>
        <v>0</v>
      </c>
      <c r="R150" s="3" t="n"/>
      <c r="S150" s="3">
        <f>S146</f>
        <v>0</v>
      </c>
      <c r="T150" s="3">
        <f>T146</f>
        <v>0</v>
      </c>
      <c r="U150" s="3">
        <f>U146</f>
        <v>0</v>
      </c>
      <c r="V150" s="3">
        <f>V146</f>
        <v>0</v>
      </c>
      <c r="W150" s="3" t="n"/>
      <c r="X150" s="3">
        <f>X146</f>
        <v>0</v>
      </c>
      <c r="Y150" s="3">
        <f>Y146</f>
        <v>0</v>
      </c>
      <c r="Z150" s="3">
        <f>Z146</f>
        <v>0</v>
      </c>
      <c r="AA150" s="3">
        <f>AA146</f>
        <v>0</v>
      </c>
      <c r="AB150" s="3" t="n"/>
      <c r="AC150" s="3">
        <f>AC146</f>
        <v>0</v>
      </c>
      <c r="AD150" s="3">
        <f>AD146</f>
        <v>0</v>
      </c>
      <c r="AE150" s="3">
        <f>AE146</f>
        <v>0</v>
      </c>
      <c r="AF150" s="3">
        <f>AF146</f>
        <v>0</v>
      </c>
      <c r="AG150" s="3" t="n"/>
      <c r="AH150" s="3">
        <f>AF150+SUM(AH148:AH149)</f>
        <v>0</v>
      </c>
      <c r="AI150" s="3">
        <f>AH150+SUM(AI148:AI149)</f>
        <v>0</v>
      </c>
      <c r="AJ150" s="3">
        <f>AI150+SUM(AJ148:AJ149)</f>
        <v>0</v>
      </c>
      <c r="AK150" s="3">
        <f>AJ150+SUM(AK148:AK149)</f>
        <v>0</v>
      </c>
      <c r="AL150" s="3" t="n"/>
      <c r="AM150" s="3">
        <f>AK150+SUM(AM148:AM149)</f>
        <v>0</v>
      </c>
      <c r="AN150" s="3">
        <f>AM150+SUM(AN148:AN149)</f>
        <v>0</v>
      </c>
      <c r="AO150" s="3">
        <f>AN150+SUM(AO148:AO149)</f>
        <v>0</v>
      </c>
      <c r="AP150" s="3">
        <f>AO150+SUM(AP148:AP149)</f>
        <v>0</v>
      </c>
      <c r="AQ150" s="3" t="n"/>
      <c r="AR150" s="3">
        <f>AP150+SUM(AR148:AR149)</f>
        <v>0</v>
      </c>
      <c r="AS150" s="3">
        <f>AR150+SUM(AS148:AS149)</f>
        <v>0</v>
      </c>
      <c r="AT150" s="3">
        <f>AS150+SUM(AT148:AT149)</f>
        <v>0</v>
      </c>
      <c r="AU150" s="3">
        <f>AT150+SUM(AU148:AU149)</f>
        <v>0</v>
      </c>
      <c r="AV150" s="3" t="n"/>
      <c r="AW150" s="3">
        <f>AU150+SUM(AW148:AW149)</f>
        <v>0</v>
      </c>
      <c r="AX150" s="3">
        <f>AW150+SUM(AX148:AX149)</f>
        <v>0</v>
      </c>
      <c r="AY150" s="3">
        <f>AX150+SUM(AY148:AY149)</f>
        <v>0</v>
      </c>
      <c r="AZ150" s="3">
        <f>AY150+SUM(AZ148:AZ149)</f>
        <v>0</v>
      </c>
      <c r="BA150" s="3" t="n"/>
      <c r="BB150" s="3">
        <f>AZ150+SUM(BB148:BB149)</f>
        <v>0</v>
      </c>
      <c r="BC150" s="3">
        <f>BB150+SUM(BC148:BC149)</f>
        <v>0</v>
      </c>
      <c r="BD150" s="3">
        <f>BC150+SUM(BD148:BD149)</f>
        <v>0</v>
      </c>
      <c r="BE150" s="3">
        <f>BD150+SUM(BE148:BE149)</f>
        <v>0</v>
      </c>
      <c r="BF150" s="3" t="n"/>
      <c r="BG150" s="3">
        <f>BE150+SUM(BG148:BG149)</f>
        <v>0</v>
      </c>
      <c r="BH150" s="3">
        <f>BG150+SUM(BH148:BH149)</f>
        <v>0</v>
      </c>
      <c r="BI150" s="3">
        <f>BH150+SUM(BI148:BI149)</f>
        <v>0</v>
      </c>
      <c r="BJ150" s="3">
        <f>BI150+SUM(BJ148:BJ149)</f>
        <v>0</v>
      </c>
      <c r="BK150" s="3" t="n"/>
      <c r="BL150" s="3">
        <f>BJ150+SUM(BL148:BL149)</f>
        <v>0</v>
      </c>
      <c r="BM150" s="3">
        <f>BL150+SUM(BM148:BM149)</f>
        <v>0</v>
      </c>
      <c r="BN150" s="3">
        <f>BM150+SUM(BN148:BN149)</f>
        <v>0</v>
      </c>
      <c r="BO150" s="3">
        <f>BN150+SUM(BO148:BO149)</f>
        <v>0</v>
      </c>
      <c r="BP150" s="3" t="n"/>
      <c r="BQ150" s="3">
        <f>BO150+SUM(BQ148:BQ149)</f>
        <v>0</v>
      </c>
      <c r="BR150" s="3">
        <f>BQ150+SUM(BR148:BR149)</f>
        <v>0</v>
      </c>
      <c r="BS150" s="3">
        <f>BR150+SUM(BS148:BS149)</f>
        <v>0</v>
      </c>
      <c r="BT150" s="3">
        <f>BS150+SUM(BT148:BT149)</f>
        <v>0</v>
      </c>
      <c r="BU150" s="3" t="n"/>
      <c r="BV150" s="3">
        <f>BT150+SUM(BV148:BV149)</f>
        <v>0</v>
      </c>
      <c r="BW150" s="3">
        <f>BV150+SUM(BW148:BW149)</f>
        <v>0</v>
      </c>
      <c r="BX150" s="3">
        <f>BW150+SUM(BX148:BX149)</f>
        <v>0</v>
      </c>
      <c r="BY150" s="3">
        <f>BX150+SUM(BY148:BY149)</f>
        <v>0</v>
      </c>
      <c r="BZ150" s="3" t="n"/>
      <c r="CA150" s="3">
        <f>BY150+SUM(CA148:CA149)</f>
        <v>0</v>
      </c>
      <c r="CB150" s="3">
        <f>CA150+SUM(CB148:CB149)</f>
        <v>0</v>
      </c>
      <c r="CC150" s="3">
        <f>CB150+SUM(CC148:CC149)</f>
        <v>0</v>
      </c>
      <c r="CD150" s="3">
        <f>CC150+SUM(CD148:CD149)</f>
        <v>0</v>
      </c>
      <c r="CE150" s="3" t="n"/>
      <c r="CF150" s="3">
        <f>CD150+SUM(CF148:CF149)</f>
        <v>0</v>
      </c>
      <c r="CG150" s="3">
        <f>CF150+SUM(CG148:CG149)</f>
        <v>0</v>
      </c>
      <c r="CH150" s="3">
        <f>CG150+SUM(CH148:CH149)</f>
        <v>0</v>
      </c>
      <c r="CI150" s="3">
        <f>CH150+SUM(CI148:CI149)</f>
        <v>0</v>
      </c>
      <c r="CJ150" s="3" t="n"/>
      <c r="CK150" s="3">
        <f>CI150+SUM(CK148:CK149)</f>
        <v>0</v>
      </c>
      <c r="CL150" s="3">
        <f>CK150+SUM(CL148:CL149)</f>
        <v>0</v>
      </c>
      <c r="CM150" s="3">
        <f>CL150+SUM(CM148:CM149)</f>
        <v>0</v>
      </c>
      <c r="CN150" s="3">
        <f>CM150+SUM(CN148:CN149)</f>
        <v>0</v>
      </c>
      <c r="CO150" s="3" t="n"/>
      <c r="CP150" s="3">
        <f>CN150+SUM(CP148:CP149)</f>
        <v>0</v>
      </c>
      <c r="CQ150" s="3">
        <f>CP150+SUM(CQ148:CQ149)</f>
        <v>0</v>
      </c>
      <c r="CR150" s="3">
        <f>CQ150+SUM(CR148:CR149)</f>
        <v>0</v>
      </c>
      <c r="CS150" s="3">
        <f>CR150+SUM(CS148:CS149)</f>
        <v>0</v>
      </c>
      <c r="CT150" s="3" t="n"/>
      <c r="CU150" s="3">
        <f>CS150+SUM(CU148:CU149)</f>
        <v>0</v>
      </c>
      <c r="CV150" s="3">
        <f>CU150+SUM(CV148:CV149)</f>
        <v>0</v>
      </c>
      <c r="CW150" s="3">
        <f>CV150+SUM(CW148:CW149)</f>
        <v>0</v>
      </c>
      <c r="CX150" s="3">
        <f>CW150+SUM(CX148:CX149)</f>
        <v>0</v>
      </c>
      <c r="CY150" s="3" t="n"/>
      <c r="CZ150">
        <f>CX150+SUM(CZ148:CZ149)</f>
        <v>0</v>
      </c>
      <c r="DA150">
        <f>CZ150+SUM(DA148:DA149)</f>
        <v>0</v>
      </c>
      <c r="DB150">
        <f>DA150+SUM(DB148:DB149)</f>
        <v>0</v>
      </c>
      <c r="DC150">
        <f>DB150+SUM(DC148:DC149)</f>
        <v>0</v>
      </c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 t="n"/>
      <c r="E155" s="25" t="n"/>
      <c r="F155" s="25" t="n"/>
      <c r="G155" s="25" t="n"/>
      <c r="H155" s="3">
        <f>G155</f>
        <v>0</v>
      </c>
      <c r="I155" s="25" t="n"/>
      <c r="J155" s="25" t="n"/>
      <c r="K155" s="25" t="n"/>
      <c r="L155" s="25" t="n"/>
      <c r="M155" s="3">
        <f>L155</f>
        <v>0</v>
      </c>
      <c r="N155" s="25" t="n"/>
      <c r="O155" s="25" t="n"/>
      <c r="P155" s="25" t="n"/>
      <c r="Q155" s="25" t="n"/>
      <c r="R155" s="3">
        <f>Q155</f>
        <v>0</v>
      </c>
      <c r="S155" s="25" t="n"/>
      <c r="T155" s="25" t="n"/>
      <c r="U155" s="25" t="n"/>
      <c r="V155" s="25" t="n"/>
      <c r="W155" s="3">
        <f>V155</f>
        <v>0</v>
      </c>
      <c r="X155" s="25" t="n"/>
      <c r="Y155" s="25" t="n"/>
      <c r="Z155" s="25" t="n"/>
      <c r="AA155" s="25" t="n"/>
      <c r="AB155" s="3">
        <f>AA155</f>
        <v>0</v>
      </c>
      <c r="AC155" s="25" t="n"/>
      <c r="AD155" s="25" t="n"/>
      <c r="AE155" s="25" t="n"/>
      <c r="AF155" s="25" t="n"/>
      <c r="AG155" s="3">
        <f>AF155</f>
        <v>0</v>
      </c>
      <c r="AH155" s="3">
        <f>AG155</f>
        <v>0</v>
      </c>
      <c r="AI155" s="3">
        <f>AH155</f>
        <v>0</v>
      </c>
      <c r="AJ155" s="3">
        <f>AI155</f>
        <v>0</v>
      </c>
      <c r="AK155" s="3">
        <f>AJ155</f>
        <v>0</v>
      </c>
      <c r="AL155" s="3">
        <f>AK155</f>
        <v>0</v>
      </c>
      <c r="AM155" s="3">
        <f>AL155</f>
        <v>0</v>
      </c>
      <c r="AN155" s="3">
        <f>AM155</f>
        <v>0</v>
      </c>
      <c r="AO155" s="3">
        <f>AN155</f>
        <v>0</v>
      </c>
      <c r="AP155" s="3">
        <f>AO155</f>
        <v>0</v>
      </c>
      <c r="AQ155" s="3">
        <f>AP155</f>
        <v>0</v>
      </c>
      <c r="AR155" s="3">
        <f>AQ155</f>
        <v>0</v>
      </c>
      <c r="AS155" s="3">
        <f>AR155</f>
        <v>0</v>
      </c>
      <c r="AT155" s="3">
        <f>AS155</f>
        <v>0</v>
      </c>
      <c r="AU155" s="3">
        <f>AT155</f>
        <v>0</v>
      </c>
      <c r="AV155" s="3">
        <f>AU155</f>
        <v>0</v>
      </c>
      <c r="AW155" s="3">
        <f>AV155</f>
        <v>0</v>
      </c>
      <c r="AX155" s="3">
        <f>AW155</f>
        <v>0</v>
      </c>
      <c r="AY155" s="3">
        <f>AX155</f>
        <v>0</v>
      </c>
      <c r="AZ155" s="3">
        <f>AY155</f>
        <v>0</v>
      </c>
      <c r="BA155" s="3">
        <f>AZ155</f>
        <v>0</v>
      </c>
      <c r="BB155" s="3">
        <f>BA155</f>
        <v>0</v>
      </c>
      <c r="BC155" s="3">
        <f>BB155</f>
        <v>0</v>
      </c>
      <c r="BD155" s="3">
        <f>BC155</f>
        <v>0</v>
      </c>
      <c r="BE155" s="3">
        <f>BD155</f>
        <v>0</v>
      </c>
      <c r="BF155" s="3">
        <f>BE155</f>
        <v>0</v>
      </c>
      <c r="BG155" s="3">
        <f>BF155</f>
        <v>0</v>
      </c>
      <c r="BH155" s="3">
        <f>BG155</f>
        <v>0</v>
      </c>
      <c r="BI155" s="3">
        <f>BH155</f>
        <v>0</v>
      </c>
      <c r="BJ155" s="3">
        <f>BI155</f>
        <v>0</v>
      </c>
      <c r="BK155" s="3">
        <f>BJ155</f>
        <v>0</v>
      </c>
      <c r="BL155" s="3">
        <f>BK155</f>
        <v>0</v>
      </c>
      <c r="BM155" s="3">
        <f>BL155</f>
        <v>0</v>
      </c>
      <c r="BN155" s="3">
        <f>BM155</f>
        <v>0</v>
      </c>
      <c r="BO155" s="3">
        <f>BN155</f>
        <v>0</v>
      </c>
      <c r="BP155" s="3">
        <f>BO155</f>
        <v>0</v>
      </c>
      <c r="BQ155" s="3">
        <f>BP155</f>
        <v>0</v>
      </c>
      <c r="BR155" s="3">
        <f>BQ155</f>
        <v>0</v>
      </c>
      <c r="BS155" s="3">
        <f>BR155</f>
        <v>0</v>
      </c>
      <c r="BT155" s="3">
        <f>BS155</f>
        <v>0</v>
      </c>
      <c r="BU155" s="3">
        <f>BT155</f>
        <v>0</v>
      </c>
      <c r="BV155" s="3">
        <f>BU155</f>
        <v>0</v>
      </c>
      <c r="BW155" s="3">
        <f>BV155</f>
        <v>0</v>
      </c>
      <c r="BX155" s="3">
        <f>BW155</f>
        <v>0</v>
      </c>
      <c r="BY155" s="3">
        <f>BX155</f>
        <v>0</v>
      </c>
      <c r="BZ155" s="3">
        <f>BY155</f>
        <v>0</v>
      </c>
      <c r="CA155" s="3">
        <f>BZ155</f>
        <v>0</v>
      </c>
      <c r="CB155" s="3">
        <f>CA155</f>
        <v>0</v>
      </c>
      <c r="CC155" s="3">
        <f>CB155</f>
        <v>0</v>
      </c>
      <c r="CD155" s="3">
        <f>CC155</f>
        <v>0</v>
      </c>
      <c r="CE155" s="3">
        <f>CD155</f>
        <v>0</v>
      </c>
      <c r="CF155" s="3">
        <f>CE155</f>
        <v>0</v>
      </c>
      <c r="CG155" s="3">
        <f>CF155</f>
        <v>0</v>
      </c>
      <c r="CH155" s="3">
        <f>CG155</f>
        <v>0</v>
      </c>
      <c r="CI155" s="3">
        <f>CH155</f>
        <v>0</v>
      </c>
      <c r="CJ155" s="3">
        <f>CI155</f>
        <v>0</v>
      </c>
      <c r="CK155" s="3">
        <f>CJ155</f>
        <v>0</v>
      </c>
      <c r="CL155" s="3">
        <f>CK155</f>
        <v>0</v>
      </c>
      <c r="CM155" s="3">
        <f>CL155</f>
        <v>0</v>
      </c>
      <c r="CN155" s="3">
        <f>CM155</f>
        <v>0</v>
      </c>
      <c r="CO155" s="3">
        <f>CN155</f>
        <v>0</v>
      </c>
      <c r="CP155" s="3">
        <f>CO155</f>
        <v>0</v>
      </c>
      <c r="CQ155" s="3">
        <f>CP155</f>
        <v>0</v>
      </c>
      <c r="CR155" s="3">
        <f>CQ155</f>
        <v>0</v>
      </c>
      <c r="CS155" s="3">
        <f>CR155</f>
        <v>0</v>
      </c>
      <c r="CT155" s="3">
        <f>CS155</f>
        <v>0</v>
      </c>
      <c r="CU155" s="3">
        <f>CT155</f>
        <v>0</v>
      </c>
      <c r="CV155" s="3">
        <f>CU155</f>
        <v>0</v>
      </c>
      <c r="CW155" s="3">
        <f>CV155</f>
        <v>0</v>
      </c>
      <c r="CX155" s="3">
        <f>CW155</f>
        <v>0</v>
      </c>
      <c r="CY155" s="3">
        <f>CX155</f>
        <v>0</v>
      </c>
    </row>
    <row r="156" hidden="1" outlineLevel="1">
      <c r="C156" s="38" t="inlineStr">
        <is>
          <t>%(Var.)</t>
        </is>
      </c>
      <c r="D156" s="3" t="n"/>
      <c r="E156" s="47" t="e">
        <f>(E155-D155)/D155</f>
        <v>#DIV/0!</v>
      </c>
      <c r="F156" s="47" t="e">
        <f>(F155-E155)/E155</f>
        <v>#DIV/0!</v>
      </c>
      <c r="G156" s="47" t="e">
        <f>(G155-F155)/F155</f>
        <v>#DIV/0!</v>
      </c>
      <c r="H156" s="3" t="n"/>
      <c r="I156" s="47" t="e">
        <f>(I155-H155)/H155</f>
        <v>#DIV/0!</v>
      </c>
      <c r="J156" s="47" t="e">
        <f>(J155-I155)/I155</f>
        <v>#DIV/0!</v>
      </c>
      <c r="K156" s="47" t="e">
        <f>(K155-J155)/J155</f>
        <v>#DIV/0!</v>
      </c>
      <c r="L156" s="47" t="e">
        <f>(L155-K155)/K155</f>
        <v>#DIV/0!</v>
      </c>
      <c r="M156" s="3" t="n"/>
      <c r="N156" s="47" t="e">
        <f>(N155-M155)/M155</f>
        <v>#DIV/0!</v>
      </c>
      <c r="O156" s="47" t="e">
        <f>(O155-N155)/N155</f>
        <v>#DIV/0!</v>
      </c>
      <c r="P156" s="47" t="e">
        <f>(P155-O155)/O155</f>
        <v>#DIV/0!</v>
      </c>
      <c r="Q156" s="47" t="e">
        <f>(Q155-P155)/P155</f>
        <v>#DIV/0!</v>
      </c>
      <c r="R156" s="3" t="n"/>
      <c r="S156" s="47" t="e">
        <f>(S155-R155)/R155</f>
        <v>#DIV/0!</v>
      </c>
      <c r="T156" s="47" t="e">
        <f>(T155-S155)/S155</f>
        <v>#DIV/0!</v>
      </c>
      <c r="U156" s="47" t="e">
        <f>(U155-T155)/T155</f>
        <v>#DIV/0!</v>
      </c>
      <c r="V156" s="47" t="e">
        <f>(V155-U155)/U155</f>
        <v>#DIV/0!</v>
      </c>
      <c r="W156" s="3" t="n"/>
      <c r="X156" s="47" t="e">
        <f>(X155-W155)/W155</f>
        <v>#DIV/0!</v>
      </c>
      <c r="Y156" s="47" t="e">
        <f>(Y155-X155)/X155</f>
        <v>#DIV/0!</v>
      </c>
      <c r="Z156" s="47" t="e">
        <f>(Z155-Y155)/Y155</f>
        <v>#DIV/0!</v>
      </c>
      <c r="AA156" s="47" t="e">
        <f>(AA155-Z155)/Z155</f>
        <v>#DIV/0!</v>
      </c>
      <c r="AB156" s="3" t="n"/>
      <c r="AC156" s="47" t="e">
        <f>(AC155-AB155)/AB155</f>
        <v>#DIV/0!</v>
      </c>
      <c r="AD156" s="47" t="e">
        <f>(AD155-AC155)/AC155</f>
        <v>#DIV/0!</v>
      </c>
      <c r="AE156" s="47" t="e">
        <f>(AE155-AD155)/AD155</f>
        <v>#DIV/0!</v>
      </c>
      <c r="AF156" s="218" t="e">
        <f>(AF155-AE155)/AE155</f>
        <v>#DIV/0!</v>
      </c>
      <c r="AG156" s="3" t="n"/>
      <c r="AH156" s="218" t="n"/>
      <c r="AI156" s="218" t="n"/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0</v>
      </c>
      <c r="E163" s="16">
        <f>(E110+E111+E115+E119+E120+E121+E127+E132+E142+E145+E146+E155)</f>
        <v>0</v>
      </c>
      <c r="F163" s="16">
        <f>(F110+F111+F115+F119+F120+F121+F127+F132+F142+F145+F146+F155)</f>
        <v>0</v>
      </c>
      <c r="G163" s="16">
        <f>(G110+G111+G115+G119+G120+G121+G127+G132+G142+G145+G146+G155)</f>
        <v>0</v>
      </c>
      <c r="H163" s="16">
        <f>SUM(H110,H111,H115,H119,H120,H121,H127,H142,H145,H146,H155,H132)</f>
        <v>0</v>
      </c>
      <c r="I163" s="16">
        <f>(I110+I111+I115+I119+I120+I121+I127+I132+I142+I145+I146+I155)</f>
        <v>0</v>
      </c>
      <c r="J163" s="16">
        <f>(J110+J111+J115+J119+J120+J121+J127+J132+J142+J145+J146+J155)</f>
        <v>0</v>
      </c>
      <c r="K163" s="16">
        <f>(K110+K111+K115+K119+K120+K121+K127+K132+K142+K145+K146+K155)</f>
        <v>0</v>
      </c>
      <c r="L163" s="16">
        <f>(L110+L111+L115+L119+L120+L121+L127+L132+L142+L145+L146+L155)</f>
        <v>0</v>
      </c>
      <c r="M163" s="16">
        <f>SUM(M110,M111,M115,M119,M120,M121,M127,M142,M145,M146,M155,M132)</f>
        <v>0</v>
      </c>
      <c r="N163" s="16">
        <f>(N110+N111+N115+N119+N120+N121+N127+N132+N142+N145+N146+N155)</f>
        <v>0</v>
      </c>
      <c r="O163" s="16">
        <f>(O110+O111+O115+O119+O120+O121+O127+O132+O142+O145+O146+O155)</f>
        <v>0</v>
      </c>
      <c r="P163" s="16">
        <f>(P110+P111+P115+P119+P120+P121+P127+P132+P142+P145+P146+P155)</f>
        <v>0</v>
      </c>
      <c r="Q163" s="16">
        <f>(Q110+Q111+Q115+Q119+Q120+Q121+Q127+Q132+Q142+Q145+Q146+Q155)</f>
        <v>0</v>
      </c>
      <c r="R163" s="16">
        <f>SUM(R110,R111,R115,R119,R120,R121,R127,R142,R145,R146,R155,R132)</f>
        <v>0</v>
      </c>
      <c r="S163" s="16">
        <f>(S110+S111+S115+S119+S120+S121+S127+S132+S142+S145+S146+S155)</f>
        <v>0</v>
      </c>
      <c r="T163" s="16">
        <f>(T110+T111+T115+T119+T120+T121+T127+T132+T142+T145+T146+T155)</f>
        <v>0</v>
      </c>
      <c r="U163" s="16">
        <f>(U110+U111+U115+U119+U120+U121+U127+U132+U142+U145+U146+U155)</f>
        <v>0</v>
      </c>
      <c r="V163" s="16">
        <f>(V110+V111+V115+V119+V120+V121+V127+V132+V142+V145+V146+V155)</f>
        <v>0</v>
      </c>
      <c r="W163" s="16">
        <f>SUM(W110,W111,W115,W119,W120,W121,W127,W142,W145,W146,W155,W132)</f>
        <v>0</v>
      </c>
      <c r="X163" s="16">
        <f>(X110+X111+X115+X119+X120+X121+X127+X132+X142+X145+X146+X155)</f>
        <v>0</v>
      </c>
      <c r="Y163" s="16">
        <f>(Y110+Y111+Y115+Y119+Y120+Y121+Y127+Y132+Y142+Y145+Y146+Y155)</f>
        <v>0</v>
      </c>
      <c r="Z163" s="16">
        <f>(Z110+Z111+Z115+Z119+Z120+Z121+Z127+Z132+Z142+Z145+Z146+Z155)</f>
        <v>0</v>
      </c>
      <c r="AA163" s="16">
        <f>(AA110+AA111+AA115+AA119+AA120+AA121+AA127+AA132+AA142+AA145+AA146+AA155)</f>
        <v>0</v>
      </c>
      <c r="AB163" s="16">
        <f>SUM(AB110,AB111,AB115,AB119,AB120,AB121,AB127,AB142,AB145,AB146,AB155,AB132)</f>
        <v>0</v>
      </c>
      <c r="AC163" s="16">
        <f>(AC110+AC111+AC115+AC119+AC120+AC121+AC127+AC132+AC142+AC145+AC146+AC155)</f>
        <v>0</v>
      </c>
      <c r="AD163" s="16">
        <f>(AD110+AD111+AD115+AD119+AD120+AD121+AD127+AD132+AD142+AD145+AD146+AD155)</f>
        <v>0</v>
      </c>
      <c r="AE163" s="16">
        <f>(AE110+AE111+AE115+AE119+AE120+AE121+AE127+AE132+AE142+AE145+AE146+AE155)</f>
        <v>0</v>
      </c>
      <c r="AF163" s="16">
        <f>(AF110+AF111+AF115+AF119+AF120+AF121+AF127+AF132+AF142+AF145+AF146+AF155)</f>
        <v>0</v>
      </c>
      <c r="AG163" s="16">
        <f>SUM(AG110,AG111,AG115,AG119,AG120,AG121,AG127,AG142,AG145,AG146,AG155,AG132)</f>
        <v>0</v>
      </c>
      <c r="AH163" s="16" t="e">
        <f>(AH110+AH111+AH115+AH119+AH120+AH121+AH127+AH132+AH142+AH145+AH146+AH155)</f>
        <v>#DIV/0!</v>
      </c>
      <c r="AI163" s="16" t="e">
        <f>(AI110+AI111+AI115+AI119+AI120+AI121+AI127+AI132+AI142+AI145+AI146+AI155)</f>
        <v>#DIV/0!</v>
      </c>
      <c r="AJ163" s="16" t="e">
        <f>(AJ110+AJ111+AJ115+AJ119+AJ120+AJ121+AJ127+AJ132+AJ142+AJ145+AJ146+AJ155)</f>
        <v>#DIV/0!</v>
      </c>
      <c r="AK163" s="16" t="e">
        <f>(AK110+AK111+AK115+AK119+AK120+AK121+AK127+AK132+AK142+AK145+AK146+AK155)</f>
        <v>#DIV/0!</v>
      </c>
      <c r="AL163" s="16" t="e">
        <f>SUM(AL110,AL111,AL115,AL119,AL120,AL121,AL127,AL142,AL145,AL146,AL155,AL132)</f>
        <v>#DIV/0!</v>
      </c>
      <c r="AM163" s="16" t="e">
        <f>(AM110+AM111+AM115+AM119+AM120+AM121+AM127+AM132+AM142+AM145+AM146+AM155)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(AR110+AR111+AR115+AR119+AR120+AR121+AR127+AR132+AR142+AR145+AR146+AR155)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(AW110+AW111+AW115+AW119+AW120+AW121+AW127+AW132+AW142+AW145+AW146+AW155)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(BB110+BB111+BB115+BB119+BB120+BB121+BB127+BB132+BB142+BB145+BB146+BB155)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(BG110+BG111+BG115+BG119+BG120+BG121+BG127+BG132+BG142+BG145+BG146+BG155)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(BL110+BL111+BL115+BL119+BL120+BL121+BL127+BL132+BL142+BL145+BL146+BL155)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(BQ110+BQ111+BQ115+BQ119+BQ120+BQ121+BQ127+BQ132+BQ142+BQ145+BQ146+BQ155)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(BV110+BV111+BV115+BV119+BV120+BV121+BV127+BV132+BV142+BV145+BV146+BV155)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(CA110+CA111+CA115+CA119+CA120+CA121+CA127+CA132+CA142+CA145+CA146+CA155)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(CF110+CF111+CF115+CF119+CF120+CF121+CF127+CF132+CF142+CF145+CF146+CF155)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(CK110+CK111+CK115+CK119+CK120+CK121+CK127+CK132+CK142+CK145+CK146+CK155)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(CP110+CP111+CP115+CP119+CP120+CP121+CP127+CP132+CP142+CP145+CP146+CP155)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(CU110+CU111+CU115+CU119+CU120+CU121+CU127+CU132+CU142+CU145+CU146+CU155)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 t="n"/>
      <c r="E164" s="25" t="n"/>
      <c r="F164" s="25" t="n"/>
      <c r="G164" s="25" t="n"/>
      <c r="H164" s="3">
        <f>G164</f>
        <v>0</v>
      </c>
      <c r="I164" s="25" t="n"/>
      <c r="J164" s="25" t="n"/>
      <c r="K164" s="25" t="n"/>
      <c r="L164" s="25" t="n"/>
      <c r="M164" s="3">
        <f>L164</f>
        <v>0</v>
      </c>
      <c r="N164" s="25" t="n"/>
      <c r="O164" s="25" t="n"/>
      <c r="P164" s="25" t="n"/>
      <c r="Q164" s="25" t="n"/>
      <c r="R164" s="3">
        <f>Q164</f>
        <v>0</v>
      </c>
      <c r="S164" s="25" t="n"/>
      <c r="T164" s="25" t="n"/>
      <c r="U164" s="25" t="n"/>
      <c r="V164" s="25" t="n"/>
      <c r="W164" s="3">
        <f>V164</f>
        <v>0</v>
      </c>
      <c r="X164" s="25" t="n"/>
      <c r="Y164" s="25" t="n"/>
      <c r="Z164" s="25" t="n"/>
      <c r="AA164" s="25" t="n"/>
      <c r="AB164" s="3">
        <f>AA164</f>
        <v>0</v>
      </c>
      <c r="AC164" s="25" t="n"/>
      <c r="AD164" s="25" t="n"/>
      <c r="AE164" s="25" t="n"/>
      <c r="AF164" s="25" t="n"/>
      <c r="AG164" s="3">
        <f>AF164</f>
        <v>0</v>
      </c>
      <c r="AH164" s="3">
        <f>(AH165/(AH$5-AG$5))*-AH20</f>
        <v>0</v>
      </c>
      <c r="AI164" s="3">
        <f>(AI165/(AI$5-AH$5))*-AI20</f>
        <v>0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 t="e">
        <f>-(E164/E$20)*(E$5-D$5)</f>
        <v>#DIV/0!</v>
      </c>
      <c r="F165" s="3" t="e">
        <f>-(F164/F$20)*(F$5-E$5)</f>
        <v>#DIV/0!</v>
      </c>
      <c r="G165" s="3" t="e">
        <f>-(G164/G$20)*(G$5-F$5)</f>
        <v>#DIV/0!</v>
      </c>
      <c r="H165" s="3" t="n"/>
      <c r="I165" s="3" t="e">
        <f>-(I164/I$20)*(I$5-H$5)</f>
        <v>#DIV/0!</v>
      </c>
      <c r="J165" s="3" t="e">
        <f>-(J164/J$20)*(J$5-I$5)</f>
        <v>#DIV/0!</v>
      </c>
      <c r="K165" s="3" t="e">
        <f>-(K164/K$20)*(K$5-J$5)</f>
        <v>#DIV/0!</v>
      </c>
      <c r="L165" s="3" t="e">
        <f>-(L164/L$20)*(L$5-K$5)</f>
        <v>#DIV/0!</v>
      </c>
      <c r="M165" s="3" t="n"/>
      <c r="N165" s="3" t="e">
        <f>-(N164/N$20)*(N$5-M$5)</f>
        <v>#DIV/0!</v>
      </c>
      <c r="O165" s="3" t="e">
        <f>-(O164/O$20)*(O$5-N$5)</f>
        <v>#DIV/0!</v>
      </c>
      <c r="P165" s="3" t="e">
        <f>-(P164/P$20)*(P$5-O$5)</f>
        <v>#DIV/0!</v>
      </c>
      <c r="Q165" s="3" t="e">
        <f>-(Q164/Q$20)*(Q$5-P$5)</f>
        <v>#DIV/0!</v>
      </c>
      <c r="R165" s="3" t="n"/>
      <c r="S165" s="3" t="e">
        <f>-(S164/S$20)*(S$5-R$5)</f>
        <v>#DIV/0!</v>
      </c>
      <c r="T165" s="3" t="e">
        <f>-(T164/T$20)*(T$5-S$5)</f>
        <v>#DIV/0!</v>
      </c>
      <c r="U165" s="3" t="e">
        <f>-(U164/U$20)*(U$5-T$5)</f>
        <v>#DIV/0!</v>
      </c>
      <c r="V165" s="3" t="e">
        <f>-(V164/V$20)*(V$5-U$5)</f>
        <v>#DIV/0!</v>
      </c>
      <c r="W165" s="3" t="n"/>
      <c r="X165" s="3" t="e">
        <f>-(X164/X$20)*(X$5-W$5)</f>
        <v>#DIV/0!</v>
      </c>
      <c r="Y165" s="3" t="e">
        <f>-(Y164/Y$20)*(Y$5-X$5)</f>
        <v>#DIV/0!</v>
      </c>
      <c r="Z165" s="3" t="e">
        <f>-(Z164/Z$20)*(Z$5-Y$5)</f>
        <v>#DIV/0!</v>
      </c>
      <c r="AA165" s="3" t="e">
        <f>-(AA164/AA$20)*(AA$5-Z$5)</f>
        <v>#DIV/0!</v>
      </c>
      <c r="AB165" s="3" t="n"/>
      <c r="AC165" s="3" t="e">
        <f>-(AC164/AC$20)*(AC$5-AB$5)</f>
        <v>#DIV/0!</v>
      </c>
      <c r="AD165" s="3" t="e">
        <f>-(AD164/AD$20)*(AD$5-AC$5)</f>
        <v>#DIV/0!</v>
      </c>
      <c r="AE165" s="3" t="e">
        <f>-(AE164/AE$20)*(AE$5-AD$5)</f>
        <v>#DIV/0!</v>
      </c>
      <c r="AF165" s="6" t="e">
        <f>-(AF164/AF$20)*(AF$5-AE$5)</f>
        <v>#DIV/0!</v>
      </c>
      <c r="AG165" s="3" t="n"/>
      <c r="AH165" s="6" t="n"/>
      <c r="AI165" s="6" t="n"/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 t="n"/>
      <c r="E168" s="25" t="n"/>
      <c r="F168" s="25" t="n"/>
      <c r="G168" s="25" t="n"/>
      <c r="H168" s="3">
        <f>G168</f>
        <v>0</v>
      </c>
      <c r="I168" s="25" t="n"/>
      <c r="J168" s="25" t="n"/>
      <c r="K168" s="25" t="n"/>
      <c r="L168" s="25" t="n"/>
      <c r="M168" s="3">
        <f>L168</f>
        <v>0</v>
      </c>
      <c r="N168" s="25" t="n"/>
      <c r="O168" s="25" t="n"/>
      <c r="P168" s="25" t="n"/>
      <c r="Q168" s="25" t="n"/>
      <c r="R168" s="3">
        <f>Q168</f>
        <v>0</v>
      </c>
      <c r="S168" s="25" t="n"/>
      <c r="T168" s="25" t="n"/>
      <c r="U168" s="25" t="n"/>
      <c r="V168" s="25" t="n"/>
      <c r="W168" s="3">
        <f>V168</f>
        <v>0</v>
      </c>
      <c r="X168" s="25" t="n"/>
      <c r="Y168" s="25" t="n"/>
      <c r="Z168" s="25" t="n"/>
      <c r="AA168" s="25" t="n"/>
      <c r="AB168" s="3">
        <f>AA168</f>
        <v>0</v>
      </c>
      <c r="AC168" s="25" t="n"/>
      <c r="AD168" s="25" t="n"/>
      <c r="AE168" s="25" t="n"/>
      <c r="AF168" s="25" t="n"/>
      <c r="AG168" s="3">
        <f>AF168</f>
        <v>0</v>
      </c>
      <c r="AH168" s="3" t="e">
        <f>AF168*AH24/AF24</f>
        <v>#DIV/0!</v>
      </c>
      <c r="AI168" s="3" t="e">
        <f>AG168*AI24/AG24</f>
        <v>#DIV/0!</v>
      </c>
      <c r="AJ168" s="3" t="e">
        <f>AH168*AJ24/AH24</f>
        <v>#DIV/0!</v>
      </c>
      <c r="AK168" s="3" t="e">
        <f>AI168*AK24/AI24</f>
        <v>#DIV/0!</v>
      </c>
      <c r="AL168" s="3" t="e">
        <f>AK168</f>
        <v>#DIV/0!</v>
      </c>
      <c r="AM168" s="3" t="e">
        <f>AK168*AM24/AK24</f>
        <v>#DIV/0!</v>
      </c>
      <c r="AN168" s="3" t="e">
        <f>AL168*AN24/AL24</f>
        <v>#DIV/0!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 t="e">
        <f>(E168-D168)/D168</f>
        <v>#DIV/0!</v>
      </c>
      <c r="F169" s="47" t="e">
        <f>(F168-E168)/E168</f>
        <v>#DIV/0!</v>
      </c>
      <c r="G169" s="47" t="e">
        <f>(G168-F168)/F168</f>
        <v>#DIV/0!</v>
      </c>
      <c r="H169" s="3" t="n"/>
      <c r="I169" s="47" t="e">
        <f>(I168-H168)/H168</f>
        <v>#DIV/0!</v>
      </c>
      <c r="J169" s="47" t="e">
        <f>(J168-I168)/I168</f>
        <v>#DIV/0!</v>
      </c>
      <c r="K169" s="47" t="e">
        <f>(K168-J168)/J168</f>
        <v>#DIV/0!</v>
      </c>
      <c r="L169" s="47" t="e">
        <f>(L168-K168)/K168</f>
        <v>#DIV/0!</v>
      </c>
      <c r="M169" s="3" t="n"/>
      <c r="N169" s="47" t="e">
        <f>(N168-M168)/M168</f>
        <v>#DIV/0!</v>
      </c>
      <c r="O169" s="47" t="e">
        <f>(O168-N168)/N168</f>
        <v>#DIV/0!</v>
      </c>
      <c r="P169" s="47" t="e">
        <f>(P168-O168)/O168</f>
        <v>#DIV/0!</v>
      </c>
      <c r="Q169" s="47" t="e">
        <f>(Q168-P168)/P168</f>
        <v>#DIV/0!</v>
      </c>
      <c r="R169" s="3" t="n"/>
      <c r="S169" s="47" t="e">
        <f>(S168-R168)/R168</f>
        <v>#DIV/0!</v>
      </c>
      <c r="T169" s="47" t="e">
        <f>(T168-S168)/S168</f>
        <v>#DIV/0!</v>
      </c>
      <c r="U169" s="47" t="e">
        <f>(U168-T168)/T168</f>
        <v>#DIV/0!</v>
      </c>
      <c r="V169" s="47" t="e">
        <f>(V168-U168)/U168</f>
        <v>#DIV/0!</v>
      </c>
      <c r="W169" s="3" t="n"/>
      <c r="X169" s="47" t="e">
        <f>(X168-W168)/W168</f>
        <v>#DIV/0!</v>
      </c>
      <c r="Y169" s="47" t="e">
        <f>(Y168-X168)/X168</f>
        <v>#DIV/0!</v>
      </c>
      <c r="Z169" s="47" t="e">
        <f>(Z168-Y168)/Y168</f>
        <v>#DIV/0!</v>
      </c>
      <c r="AA169" s="47" t="e">
        <f>(AA168-Z168)/Z168</f>
        <v>#DIV/0!</v>
      </c>
      <c r="AB169" s="3" t="n"/>
      <c r="AC169" s="47" t="e">
        <f>(AC168-AB168)/AB168</f>
        <v>#DIV/0!</v>
      </c>
      <c r="AD169" s="47" t="e">
        <f>(AD168-AC168)/AC168</f>
        <v>#DIV/0!</v>
      </c>
      <c r="AE169" s="47" t="e">
        <f>(AE168-AD168)/AD168</f>
        <v>#DIV/0!</v>
      </c>
      <c r="AF169" s="218" t="e">
        <f>(AF168-AE168)/AE168</f>
        <v>#DIV/0!</v>
      </c>
      <c r="AG169" s="3" t="n"/>
      <c r="AH169" s="218" t="n"/>
      <c r="AI169" s="218" t="n"/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 t="n"/>
      <c r="E170" s="25" t="n"/>
      <c r="F170" s="25" t="n"/>
      <c r="G170" s="25" t="n"/>
      <c r="H170" s="3">
        <f>G170</f>
        <v>0</v>
      </c>
      <c r="I170" s="25" t="n"/>
      <c r="J170" s="25" t="n"/>
      <c r="K170" s="25" t="n"/>
      <c r="L170" s="25" t="n"/>
      <c r="M170" s="3">
        <f>L170</f>
        <v>0</v>
      </c>
      <c r="N170" s="25" t="n"/>
      <c r="O170" s="25" t="n"/>
      <c r="P170" s="25" t="n"/>
      <c r="Q170" s="25" t="n"/>
      <c r="R170" s="3">
        <f>Q170</f>
        <v>0</v>
      </c>
      <c r="S170" s="25" t="n"/>
      <c r="T170" s="25" t="n"/>
      <c r="U170" s="25" t="n"/>
      <c r="V170" s="25" t="n"/>
      <c r="W170" s="3">
        <f>V170</f>
        <v>0</v>
      </c>
      <c r="X170" s="25" t="n"/>
      <c r="Y170" s="25" t="n"/>
      <c r="Z170" s="25" t="n"/>
      <c r="AA170" s="25" t="n"/>
      <c r="AB170" s="3">
        <f>AA170</f>
        <v>0</v>
      </c>
      <c r="AC170" s="25" t="n"/>
      <c r="AD170" s="25" t="n"/>
      <c r="AE170" s="25" t="n"/>
      <c r="AF170" s="25" t="n"/>
      <c r="AG170" s="3">
        <f>AF170</f>
        <v>0</v>
      </c>
      <c r="AH170" s="3" t="e">
        <f>AF170*AH97/AF97</f>
        <v>#DIV/0!</v>
      </c>
      <c r="AI170" s="3" t="e">
        <f>AG170*AI97/AG97</f>
        <v>#DIV/0!</v>
      </c>
      <c r="AJ170" s="3" t="e">
        <f>AH170*AJ97/AH97</f>
        <v>#DIV/0!</v>
      </c>
      <c r="AK170" s="3" t="e">
        <f>AI170*AK97/AI97</f>
        <v>#DIV/0!</v>
      </c>
      <c r="AL170" s="3" t="e">
        <f>AK170</f>
        <v>#DIV/0!</v>
      </c>
      <c r="AM170" s="3" t="e">
        <f>AK170*AM97/AK97</f>
        <v>#DIV/0!</v>
      </c>
      <c r="AN170" s="3" t="e">
        <f>AL170*AN97/AL97</f>
        <v>#DIV/0!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 t="n"/>
      <c r="E171" s="25" t="n"/>
      <c r="F171" s="25" t="n"/>
      <c r="G171" s="25" t="n"/>
      <c r="H171" s="3">
        <f>G171</f>
        <v>0</v>
      </c>
      <c r="I171" s="25" t="n"/>
      <c r="J171" s="25" t="n"/>
      <c r="K171" s="25" t="n"/>
      <c r="L171" s="25" t="n"/>
      <c r="M171" s="3">
        <f>L171</f>
        <v>0</v>
      </c>
      <c r="N171" s="25" t="n"/>
      <c r="O171" s="25" t="n"/>
      <c r="P171" s="25" t="n"/>
      <c r="Q171" s="25" t="n"/>
      <c r="R171" s="3">
        <f>Q171</f>
        <v>0</v>
      </c>
      <c r="S171" s="25" t="n"/>
      <c r="T171" s="25" t="n"/>
      <c r="U171" s="25" t="n"/>
      <c r="V171" s="25" t="n"/>
      <c r="W171" s="3">
        <f>V171</f>
        <v>0</v>
      </c>
      <c r="X171" s="25" t="n"/>
      <c r="Y171" s="25" t="n"/>
      <c r="Z171" s="25" t="n"/>
      <c r="AA171" s="25" t="n"/>
      <c r="AB171" s="3">
        <f>AA171</f>
        <v>0</v>
      </c>
      <c r="AC171" s="25" t="n"/>
      <c r="AD171" s="25" t="n"/>
      <c r="AE171" s="25" t="n"/>
      <c r="AF171" s="25" t="n"/>
      <c r="AG171" s="3">
        <f>AF171</f>
        <v>0</v>
      </c>
      <c r="AH171" s="3">
        <f>AG171</f>
        <v>0</v>
      </c>
      <c r="AI171" s="3">
        <f>AH171</f>
        <v>0</v>
      </c>
      <c r="AJ171" s="3">
        <f>AI171</f>
        <v>0</v>
      </c>
      <c r="AK171" s="3">
        <f>AJ171</f>
        <v>0</v>
      </c>
      <c r="AL171" s="3">
        <f>AK171</f>
        <v>0</v>
      </c>
      <c r="AM171" s="3">
        <f>AL171</f>
        <v>0</v>
      </c>
      <c r="AN171" s="3">
        <f>AM171</f>
        <v>0</v>
      </c>
      <c r="AO171" s="3">
        <f>AN171</f>
        <v>0</v>
      </c>
      <c r="AP171" s="3">
        <f>AO171</f>
        <v>0</v>
      </c>
      <c r="AQ171" s="3">
        <f>AP171</f>
        <v>0</v>
      </c>
      <c r="AR171" s="3">
        <f>AQ171</f>
        <v>0</v>
      </c>
      <c r="AS171" s="3">
        <f>AR171</f>
        <v>0</v>
      </c>
      <c r="AT171" s="3">
        <f>AS171</f>
        <v>0</v>
      </c>
      <c r="AU171" s="3">
        <f>AT171</f>
        <v>0</v>
      </c>
      <c r="AV171" s="3">
        <f>AU171</f>
        <v>0</v>
      </c>
      <c r="AW171" s="3">
        <f>AV171</f>
        <v>0</v>
      </c>
      <c r="AX171" s="3">
        <f>AW171</f>
        <v>0</v>
      </c>
      <c r="AY171" s="3">
        <f>AX171</f>
        <v>0</v>
      </c>
      <c r="AZ171" s="3">
        <f>AY171</f>
        <v>0</v>
      </c>
      <c r="BA171" s="3">
        <f>AZ171</f>
        <v>0</v>
      </c>
      <c r="BB171" s="3">
        <f>BA171</f>
        <v>0</v>
      </c>
      <c r="BC171" s="3">
        <f>BB171</f>
        <v>0</v>
      </c>
      <c r="BD171" s="3">
        <f>BC171</f>
        <v>0</v>
      </c>
      <c r="BE171" s="3">
        <f>BD171</f>
        <v>0</v>
      </c>
      <c r="BF171" s="3">
        <f>BE171</f>
        <v>0</v>
      </c>
      <c r="BG171" s="3">
        <f>BF171</f>
        <v>0</v>
      </c>
      <c r="BH171" s="3">
        <f>BG171</f>
        <v>0</v>
      </c>
      <c r="BI171" s="3">
        <f>BH171</f>
        <v>0</v>
      </c>
      <c r="BJ171" s="3">
        <f>BI171</f>
        <v>0</v>
      </c>
      <c r="BK171" s="3">
        <f>BJ171</f>
        <v>0</v>
      </c>
      <c r="BL171" s="3">
        <f>BK171</f>
        <v>0</v>
      </c>
      <c r="BM171" s="3">
        <f>BL171</f>
        <v>0</v>
      </c>
      <c r="BN171" s="3">
        <f>BM171</f>
        <v>0</v>
      </c>
      <c r="BO171" s="3">
        <f>BN171</f>
        <v>0</v>
      </c>
      <c r="BP171" s="3">
        <f>BO171</f>
        <v>0</v>
      </c>
      <c r="BQ171" s="3">
        <f>BP171</f>
        <v>0</v>
      </c>
      <c r="BR171" s="3">
        <f>BQ171</f>
        <v>0</v>
      </c>
      <c r="BS171" s="3">
        <f>BR171</f>
        <v>0</v>
      </c>
      <c r="BT171" s="3">
        <f>BS171</f>
        <v>0</v>
      </c>
      <c r="BU171" s="3">
        <f>BT171</f>
        <v>0</v>
      </c>
      <c r="BV171" s="3">
        <f>BU171</f>
        <v>0</v>
      </c>
      <c r="BW171" s="3">
        <f>BV171</f>
        <v>0</v>
      </c>
      <c r="BX171" s="3">
        <f>BW171</f>
        <v>0</v>
      </c>
      <c r="BY171" s="3">
        <f>BX171</f>
        <v>0</v>
      </c>
      <c r="BZ171" s="3">
        <f>BY171</f>
        <v>0</v>
      </c>
      <c r="CA171" s="3">
        <f>BZ171</f>
        <v>0</v>
      </c>
      <c r="CB171" s="3">
        <f>CA171</f>
        <v>0</v>
      </c>
      <c r="CC171" s="3">
        <f>CB171</f>
        <v>0</v>
      </c>
      <c r="CD171" s="3">
        <f>CC171</f>
        <v>0</v>
      </c>
      <c r="CE171" s="3">
        <f>CD171</f>
        <v>0</v>
      </c>
      <c r="CF171" s="3">
        <f>CE171</f>
        <v>0</v>
      </c>
      <c r="CG171" s="3">
        <f>CF171</f>
        <v>0</v>
      </c>
      <c r="CH171" s="3">
        <f>CG171</f>
        <v>0</v>
      </c>
      <c r="CI171" s="3">
        <f>CH171</f>
        <v>0</v>
      </c>
      <c r="CJ171" s="3">
        <f>CI171</f>
        <v>0</v>
      </c>
      <c r="CK171" s="3">
        <f>CJ171</f>
        <v>0</v>
      </c>
      <c r="CL171" s="3">
        <f>CK171</f>
        <v>0</v>
      </c>
      <c r="CM171" s="3">
        <f>CL171</f>
        <v>0</v>
      </c>
      <c r="CN171" s="3">
        <f>CM171</f>
        <v>0</v>
      </c>
      <c r="CO171" s="3">
        <f>CN171</f>
        <v>0</v>
      </c>
      <c r="CP171" s="3">
        <f>CO171</f>
        <v>0</v>
      </c>
      <c r="CQ171" s="3">
        <f>CP171</f>
        <v>0</v>
      </c>
      <c r="CR171" s="3">
        <f>CQ171</f>
        <v>0</v>
      </c>
      <c r="CS171" s="3">
        <f>CR171</f>
        <v>0</v>
      </c>
      <c r="CT171" s="3">
        <f>CS171</f>
        <v>0</v>
      </c>
      <c r="CU171" s="3">
        <f>CT171</f>
        <v>0</v>
      </c>
      <c r="CV171" s="3">
        <f>CU171</f>
        <v>0</v>
      </c>
      <c r="CW171" s="3">
        <f>CV171</f>
        <v>0</v>
      </c>
      <c r="CX171" s="3">
        <f>CW171</f>
        <v>0</v>
      </c>
      <c r="CY171" s="3">
        <f>CX171</f>
        <v>0</v>
      </c>
    </row>
    <row r="172" hidden="1" outlineLevel="1">
      <c r="C172" s="38" t="inlineStr">
        <is>
          <t>%(Var.)</t>
        </is>
      </c>
      <c r="D172" s="3" t="n"/>
      <c r="E172" s="47" t="e">
        <f>(E171-D171)/D171</f>
        <v>#DIV/0!</v>
      </c>
      <c r="F172" s="47" t="e">
        <f>(F171-E171)/E171</f>
        <v>#DIV/0!</v>
      </c>
      <c r="G172" s="47" t="e">
        <f>(G171-F171)/F171</f>
        <v>#DIV/0!</v>
      </c>
      <c r="H172" s="3" t="n"/>
      <c r="I172" s="47" t="e">
        <f>(I171-H171)/H171</f>
        <v>#DIV/0!</v>
      </c>
      <c r="J172" s="47" t="e">
        <f>(J171-I171)/I171</f>
        <v>#DIV/0!</v>
      </c>
      <c r="K172" s="47" t="e">
        <f>(K171-J171)/J171</f>
        <v>#DIV/0!</v>
      </c>
      <c r="L172" s="47" t="e">
        <f>(L171-K171)/K171</f>
        <v>#DIV/0!</v>
      </c>
      <c r="M172" s="3" t="n"/>
      <c r="N172" s="47" t="e">
        <f>(N171-M171)/M171</f>
        <v>#DIV/0!</v>
      </c>
      <c r="O172" s="47" t="e">
        <f>(O171-N171)/N171</f>
        <v>#DIV/0!</v>
      </c>
      <c r="P172" s="47" t="e">
        <f>(P171-O171)/O171</f>
        <v>#DIV/0!</v>
      </c>
      <c r="Q172" s="47" t="e">
        <f>(Q171-P171)/P171</f>
        <v>#DIV/0!</v>
      </c>
      <c r="R172" s="3" t="n"/>
      <c r="S172" s="47" t="e">
        <f>(S171-R171)/R171</f>
        <v>#DIV/0!</v>
      </c>
      <c r="T172" s="47" t="e">
        <f>(T171-S171)/S171</f>
        <v>#DIV/0!</v>
      </c>
      <c r="U172" s="47" t="e">
        <f>(U171-T171)/T171</f>
        <v>#DIV/0!</v>
      </c>
      <c r="V172" s="47" t="e">
        <f>(V171-U171)/U171</f>
        <v>#DIV/0!</v>
      </c>
      <c r="W172" s="3" t="n"/>
      <c r="X172" s="47" t="e">
        <f>(X171-W171)/W171</f>
        <v>#DIV/0!</v>
      </c>
      <c r="Y172" s="47" t="e">
        <f>(Y171-X171)/X171</f>
        <v>#DIV/0!</v>
      </c>
      <c r="Z172" s="47" t="e">
        <f>(Z171-Y171)/Y171</f>
        <v>#DIV/0!</v>
      </c>
      <c r="AA172" s="47" t="e">
        <f>(AA171-Z171)/Z171</f>
        <v>#DIV/0!</v>
      </c>
      <c r="AB172" s="3" t="n"/>
      <c r="AC172" s="47" t="e">
        <f>(AC171-AB171)/AB171</f>
        <v>#DIV/0!</v>
      </c>
      <c r="AD172" s="47" t="e">
        <f>(AD171-AC171)/AC171</f>
        <v>#DIV/0!</v>
      </c>
      <c r="AE172" s="47" t="e">
        <f>(AE171-AD171)/AD171</f>
        <v>#DIV/0!</v>
      </c>
      <c r="AF172" s="218" t="e">
        <f>(AF171-AE171)/AE171</f>
        <v>#DIV/0!</v>
      </c>
      <c r="AG172" s="3" t="n"/>
      <c r="AH172" s="218" t="n"/>
      <c r="AI172" s="218" t="n"/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 t="n"/>
      <c r="E178" s="25" t="n"/>
      <c r="F178" s="25" t="n"/>
      <c r="G178" s="25" t="n"/>
      <c r="H178" s="3">
        <f>G178</f>
        <v>0</v>
      </c>
      <c r="I178" s="25" t="n"/>
      <c r="J178" s="25" t="n"/>
      <c r="K178" s="25" t="n"/>
      <c r="L178" s="25" t="n"/>
      <c r="M178" s="3">
        <f>L178</f>
        <v>0</v>
      </c>
      <c r="N178" s="25" t="n"/>
      <c r="O178" s="25" t="n"/>
      <c r="P178" s="25" t="n"/>
      <c r="Q178" s="25" t="n"/>
      <c r="R178" s="3">
        <f>Q178</f>
        <v>0</v>
      </c>
      <c r="S178" s="25" t="n"/>
      <c r="T178" s="25" t="n"/>
      <c r="U178" s="25" t="n"/>
      <c r="V178" s="25" t="n"/>
      <c r="W178" s="3">
        <f>V178</f>
        <v>0</v>
      </c>
      <c r="X178" s="25" t="n"/>
      <c r="Y178" s="25" t="n"/>
      <c r="Z178" s="25" t="n"/>
      <c r="AA178" s="25" t="n"/>
      <c r="AB178" s="3">
        <f>AA178</f>
        <v>0</v>
      </c>
      <c r="AC178" s="25" t="n"/>
      <c r="AD178" s="25" t="n"/>
      <c r="AE178" s="25" t="n"/>
      <c r="AF178" s="25" t="n"/>
      <c r="AG178" s="3">
        <f>AF178</f>
        <v>0</v>
      </c>
      <c r="AH178" s="3">
        <f>AG178</f>
        <v>0</v>
      </c>
      <c r="AI178" s="3">
        <f>AH178</f>
        <v>0</v>
      </c>
      <c r="AJ178" s="3">
        <f>AI178</f>
        <v>0</v>
      </c>
      <c r="AK178" s="3">
        <f>AJ178</f>
        <v>0</v>
      </c>
      <c r="AL178" s="3">
        <f>AK178</f>
        <v>0</v>
      </c>
      <c r="AM178" s="3">
        <f>AL178</f>
        <v>0</v>
      </c>
      <c r="AN178" s="3">
        <f>AM178</f>
        <v>0</v>
      </c>
      <c r="AO178" s="3">
        <f>AN178</f>
        <v>0</v>
      </c>
      <c r="AP178" s="3">
        <f>AO178</f>
        <v>0</v>
      </c>
      <c r="AQ178" s="3">
        <f>AP178</f>
        <v>0</v>
      </c>
      <c r="AR178" s="3">
        <f>AQ178</f>
        <v>0</v>
      </c>
      <c r="AS178" s="3">
        <f>AR178</f>
        <v>0</v>
      </c>
      <c r="AT178" s="3">
        <f>AS178</f>
        <v>0</v>
      </c>
      <c r="AU178" s="3">
        <f>AT178</f>
        <v>0</v>
      </c>
      <c r="AV178" s="3">
        <f>AU178</f>
        <v>0</v>
      </c>
      <c r="AW178" s="3">
        <f>AV178</f>
        <v>0</v>
      </c>
      <c r="AX178" s="3">
        <f>AW178</f>
        <v>0</v>
      </c>
      <c r="AY178" s="3">
        <f>AX178</f>
        <v>0</v>
      </c>
      <c r="AZ178" s="3">
        <f>AY178</f>
        <v>0</v>
      </c>
      <c r="BA178" s="3">
        <f>AZ178</f>
        <v>0</v>
      </c>
      <c r="BB178" s="3">
        <f>BA178</f>
        <v>0</v>
      </c>
      <c r="BC178" s="3">
        <f>BB178</f>
        <v>0</v>
      </c>
      <c r="BD178" s="3">
        <f>BC178</f>
        <v>0</v>
      </c>
      <c r="BE178" s="3">
        <f>BD178</f>
        <v>0</v>
      </c>
      <c r="BF178" s="3">
        <f>BE178</f>
        <v>0</v>
      </c>
      <c r="BG178" s="3">
        <f>BF178</f>
        <v>0</v>
      </c>
      <c r="BH178" s="3">
        <f>BG178</f>
        <v>0</v>
      </c>
      <c r="BI178" s="3">
        <f>BH178</f>
        <v>0</v>
      </c>
      <c r="BJ178" s="3">
        <f>BI178</f>
        <v>0</v>
      </c>
      <c r="BK178" s="3">
        <f>BJ178</f>
        <v>0</v>
      </c>
      <c r="BL178" s="3">
        <f>BK178</f>
        <v>0</v>
      </c>
      <c r="BM178" s="3">
        <f>BL178</f>
        <v>0</v>
      </c>
      <c r="BN178" s="3">
        <f>BM178</f>
        <v>0</v>
      </c>
      <c r="BO178" s="3">
        <f>BN178</f>
        <v>0</v>
      </c>
      <c r="BP178" s="3">
        <f>BO178</f>
        <v>0</v>
      </c>
      <c r="BQ178" s="3">
        <f>BP178</f>
        <v>0</v>
      </c>
      <c r="BR178" s="3">
        <f>BQ178</f>
        <v>0</v>
      </c>
      <c r="BS178" s="3">
        <f>BR178</f>
        <v>0</v>
      </c>
      <c r="BT178" s="3">
        <f>BS178</f>
        <v>0</v>
      </c>
      <c r="BU178" s="3">
        <f>BT178</f>
        <v>0</v>
      </c>
      <c r="BV178" s="3">
        <f>BU178</f>
        <v>0</v>
      </c>
      <c r="BW178" s="3">
        <f>BV178</f>
        <v>0</v>
      </c>
      <c r="BX178" s="3">
        <f>BW178</f>
        <v>0</v>
      </c>
      <c r="BY178" s="3">
        <f>BX178</f>
        <v>0</v>
      </c>
      <c r="BZ178" s="3">
        <f>BY178</f>
        <v>0</v>
      </c>
      <c r="CA178" s="3">
        <f>BZ178</f>
        <v>0</v>
      </c>
      <c r="CB178" s="3">
        <f>CA178</f>
        <v>0</v>
      </c>
      <c r="CC178" s="3">
        <f>CB178</f>
        <v>0</v>
      </c>
      <c r="CD178" s="3">
        <f>CC178</f>
        <v>0</v>
      </c>
      <c r="CE178" s="3">
        <f>CD178</f>
        <v>0</v>
      </c>
      <c r="CF178" s="3">
        <f>CE178</f>
        <v>0</v>
      </c>
      <c r="CG178" s="3">
        <f>CF178</f>
        <v>0</v>
      </c>
      <c r="CH178" s="3">
        <f>CG178</f>
        <v>0</v>
      </c>
      <c r="CI178" s="3">
        <f>CH178</f>
        <v>0</v>
      </c>
      <c r="CJ178" s="3">
        <f>CI178</f>
        <v>0</v>
      </c>
      <c r="CK178" s="3">
        <f>CJ178</f>
        <v>0</v>
      </c>
      <c r="CL178" s="3">
        <f>CK178</f>
        <v>0</v>
      </c>
      <c r="CM178" s="3">
        <f>CL178</f>
        <v>0</v>
      </c>
      <c r="CN178" s="3">
        <f>CM178</f>
        <v>0</v>
      </c>
      <c r="CO178" s="3">
        <f>CN178</f>
        <v>0</v>
      </c>
      <c r="CP178" s="3">
        <f>CO178</f>
        <v>0</v>
      </c>
      <c r="CQ178" s="3">
        <f>CP178</f>
        <v>0</v>
      </c>
      <c r="CR178" s="3">
        <f>CQ178</f>
        <v>0</v>
      </c>
      <c r="CS178" s="3">
        <f>CR178</f>
        <v>0</v>
      </c>
      <c r="CT178" s="3">
        <f>CS178</f>
        <v>0</v>
      </c>
      <c r="CU178" s="3">
        <f>CT178</f>
        <v>0</v>
      </c>
      <c r="CV178" s="3">
        <f>CU178</f>
        <v>0</v>
      </c>
      <c r="CW178" s="3">
        <f>CV178</f>
        <v>0</v>
      </c>
      <c r="CX178" s="3">
        <f>CW178</f>
        <v>0</v>
      </c>
      <c r="CY178" s="3">
        <f>CX178</f>
        <v>0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 t="n"/>
      <c r="E180" s="25" t="n"/>
      <c r="F180" s="25" t="n"/>
      <c r="G180" s="25" t="n"/>
      <c r="H180" s="3">
        <f>G180</f>
        <v>0</v>
      </c>
      <c r="I180" s="25" t="n"/>
      <c r="J180" s="25" t="n"/>
      <c r="K180" s="25" t="n"/>
      <c r="L180" s="25" t="n"/>
      <c r="M180" s="3">
        <f>L180</f>
        <v>0</v>
      </c>
      <c r="N180" s="25" t="n"/>
      <c r="O180" s="25" t="n"/>
      <c r="P180" s="25" t="n"/>
      <c r="Q180" s="25" t="n"/>
      <c r="R180" s="3">
        <f>Q180</f>
        <v>0</v>
      </c>
      <c r="S180" s="25" t="n"/>
      <c r="T180" s="25" t="n"/>
      <c r="U180" s="25" t="n"/>
      <c r="V180" s="25" t="n"/>
      <c r="W180" s="3">
        <f>V180</f>
        <v>0</v>
      </c>
      <c r="X180" s="25" t="n"/>
      <c r="Y180" s="25" t="n"/>
      <c r="Z180" s="25" t="n"/>
      <c r="AA180" s="25" t="n"/>
      <c r="AB180" s="3">
        <f>AA180</f>
        <v>0</v>
      </c>
      <c r="AC180" s="25" t="n"/>
      <c r="AD180" s="25" t="n"/>
      <c r="AE180" s="25" t="n"/>
      <c r="AF180" s="25" t="n"/>
      <c r="AG180" s="3">
        <f>AF180</f>
        <v>0</v>
      </c>
      <c r="AH180" s="3">
        <f>AG180</f>
        <v>0</v>
      </c>
      <c r="AI180" s="3">
        <f>AH180</f>
        <v>0</v>
      </c>
      <c r="AJ180" s="3">
        <f>AI180</f>
        <v>0</v>
      </c>
      <c r="AK180" s="3">
        <f>AJ180</f>
        <v>0</v>
      </c>
      <c r="AL180" s="3">
        <f>AK180</f>
        <v>0</v>
      </c>
      <c r="AM180" s="3">
        <f>AL180</f>
        <v>0</v>
      </c>
      <c r="AN180" s="3">
        <f>AM180</f>
        <v>0</v>
      </c>
      <c r="AO180" s="3">
        <f>AN180</f>
        <v>0</v>
      </c>
      <c r="AP180" s="3">
        <f>AO180</f>
        <v>0</v>
      </c>
      <c r="AQ180" s="3">
        <f>AP180</f>
        <v>0</v>
      </c>
      <c r="AR180" s="3">
        <f>AQ180</f>
        <v>0</v>
      </c>
      <c r="AS180" s="3">
        <f>AR180</f>
        <v>0</v>
      </c>
      <c r="AT180" s="3">
        <f>AS180</f>
        <v>0</v>
      </c>
      <c r="AU180" s="3">
        <f>AT180</f>
        <v>0</v>
      </c>
      <c r="AV180" s="3">
        <f>AU180</f>
        <v>0</v>
      </c>
      <c r="AW180" s="3">
        <f>AV180</f>
        <v>0</v>
      </c>
      <c r="AX180" s="3">
        <f>AW180</f>
        <v>0</v>
      </c>
      <c r="AY180" s="3">
        <f>AX180</f>
        <v>0</v>
      </c>
      <c r="AZ180" s="3">
        <f>AY180</f>
        <v>0</v>
      </c>
      <c r="BA180" s="3">
        <f>AZ180</f>
        <v>0</v>
      </c>
      <c r="BB180" s="3">
        <f>BA180</f>
        <v>0</v>
      </c>
      <c r="BC180" s="3">
        <f>BB180</f>
        <v>0</v>
      </c>
      <c r="BD180" s="3">
        <f>BC180</f>
        <v>0</v>
      </c>
      <c r="BE180" s="3">
        <f>BD180</f>
        <v>0</v>
      </c>
      <c r="BF180" s="3">
        <f>BE180</f>
        <v>0</v>
      </c>
      <c r="BG180" s="3">
        <f>BF180</f>
        <v>0</v>
      </c>
      <c r="BH180" s="3">
        <f>BG180</f>
        <v>0</v>
      </c>
      <c r="BI180" s="3">
        <f>BH180</f>
        <v>0</v>
      </c>
      <c r="BJ180" s="3">
        <f>BI180</f>
        <v>0</v>
      </c>
      <c r="BK180" s="3">
        <f>BJ180</f>
        <v>0</v>
      </c>
      <c r="BL180" s="3">
        <f>BK180</f>
        <v>0</v>
      </c>
      <c r="BM180" s="3">
        <f>BL180</f>
        <v>0</v>
      </c>
      <c r="BN180" s="3">
        <f>BM180</f>
        <v>0</v>
      </c>
      <c r="BO180" s="3">
        <f>BN180</f>
        <v>0</v>
      </c>
      <c r="BP180" s="3">
        <f>BO180</f>
        <v>0</v>
      </c>
      <c r="BQ180" s="3">
        <f>BP180</f>
        <v>0</v>
      </c>
      <c r="BR180" s="3">
        <f>BQ180</f>
        <v>0</v>
      </c>
      <c r="BS180" s="3">
        <f>BR180</f>
        <v>0</v>
      </c>
      <c r="BT180" s="3">
        <f>BS180</f>
        <v>0</v>
      </c>
      <c r="BU180" s="3">
        <f>BT180</f>
        <v>0</v>
      </c>
      <c r="BV180" s="3">
        <f>BU180</f>
        <v>0</v>
      </c>
      <c r="BW180" s="3">
        <f>BV180</f>
        <v>0</v>
      </c>
      <c r="BX180" s="3">
        <f>BW180</f>
        <v>0</v>
      </c>
      <c r="BY180" s="3">
        <f>BX180</f>
        <v>0</v>
      </c>
      <c r="BZ180" s="3">
        <f>BY180</f>
        <v>0</v>
      </c>
      <c r="CA180" s="3">
        <f>BZ180</f>
        <v>0</v>
      </c>
      <c r="CB180" s="3">
        <f>CA180</f>
        <v>0</v>
      </c>
      <c r="CC180" s="3">
        <f>CB180</f>
        <v>0</v>
      </c>
      <c r="CD180" s="3">
        <f>CC180</f>
        <v>0</v>
      </c>
      <c r="CE180" s="3">
        <f>CD180</f>
        <v>0</v>
      </c>
      <c r="CF180" s="3">
        <f>CE180</f>
        <v>0</v>
      </c>
      <c r="CG180" s="3">
        <f>CF180</f>
        <v>0</v>
      </c>
      <c r="CH180" s="3">
        <f>CG180</f>
        <v>0</v>
      </c>
      <c r="CI180" s="3">
        <f>CH180</f>
        <v>0</v>
      </c>
      <c r="CJ180" s="3">
        <f>CI180</f>
        <v>0</v>
      </c>
      <c r="CK180" s="3">
        <f>CJ180</f>
        <v>0</v>
      </c>
      <c r="CL180" s="3">
        <f>CK180</f>
        <v>0</v>
      </c>
      <c r="CM180" s="3">
        <f>CL180</f>
        <v>0</v>
      </c>
      <c r="CN180" s="3">
        <f>CM180</f>
        <v>0</v>
      </c>
      <c r="CO180" s="3">
        <f>CN180</f>
        <v>0</v>
      </c>
      <c r="CP180" s="3">
        <f>CO180</f>
        <v>0</v>
      </c>
      <c r="CQ180" s="3">
        <f>CP180</f>
        <v>0</v>
      </c>
      <c r="CR180" s="3">
        <f>CQ180</f>
        <v>0</v>
      </c>
      <c r="CS180" s="3">
        <f>CR180</f>
        <v>0</v>
      </c>
      <c r="CT180" s="3">
        <f>CS180</f>
        <v>0</v>
      </c>
      <c r="CU180" s="3">
        <f>CT180</f>
        <v>0</v>
      </c>
      <c r="CV180" s="3">
        <f>CU180</f>
        <v>0</v>
      </c>
      <c r="CW180" s="3">
        <f>CV180</f>
        <v>0</v>
      </c>
      <c r="CX180" s="3">
        <f>CW180</f>
        <v>0</v>
      </c>
      <c r="CY180" s="3">
        <f>CX180</f>
        <v>0</v>
      </c>
    </row>
    <row r="181" hidden="1" outlineLevel="1">
      <c r="C181" s="38" t="inlineStr">
        <is>
          <t>%(Var.)</t>
        </is>
      </c>
      <c r="D181" s="3" t="n"/>
      <c r="E181" s="47" t="e">
        <f>(E180-D180)/D180</f>
        <v>#DIV/0!</v>
      </c>
      <c r="F181" s="47" t="e">
        <f>(F180-E180)/E180</f>
        <v>#DIV/0!</v>
      </c>
      <c r="G181" s="47" t="e">
        <f>(G180-F180)/F180</f>
        <v>#DIV/0!</v>
      </c>
      <c r="H181" s="3" t="n"/>
      <c r="I181" s="47" t="e">
        <f>(I180-H180)/H180</f>
        <v>#DIV/0!</v>
      </c>
      <c r="J181" s="47" t="e">
        <f>(J180-I180)/I180</f>
        <v>#DIV/0!</v>
      </c>
      <c r="K181" s="47" t="e">
        <f>(K180-J180)/J180</f>
        <v>#DIV/0!</v>
      </c>
      <c r="L181" s="47" t="e">
        <f>(L180-K180)/K180</f>
        <v>#DIV/0!</v>
      </c>
      <c r="M181" s="3" t="n"/>
      <c r="N181" s="47" t="e">
        <f>(N180-M180)/M180</f>
        <v>#DIV/0!</v>
      </c>
      <c r="O181" s="47" t="e">
        <f>(O180-N180)/N180</f>
        <v>#DIV/0!</v>
      </c>
      <c r="P181" s="47" t="e">
        <f>(P180-O180)/O180</f>
        <v>#DIV/0!</v>
      </c>
      <c r="Q181" s="47" t="e">
        <f>(Q180-P180)/P180</f>
        <v>#DIV/0!</v>
      </c>
      <c r="R181" s="3" t="n"/>
      <c r="S181" s="47" t="e">
        <f>(S180-R180)/R180</f>
        <v>#DIV/0!</v>
      </c>
      <c r="T181" s="47" t="e">
        <f>(T180-S180)/S180</f>
        <v>#DIV/0!</v>
      </c>
      <c r="U181" s="47" t="e">
        <f>(U180-T180)/T180</f>
        <v>#DIV/0!</v>
      </c>
      <c r="V181" s="47" t="e">
        <f>(V180-U180)/U180</f>
        <v>#DIV/0!</v>
      </c>
      <c r="W181" s="3" t="n"/>
      <c r="X181" s="47" t="e">
        <f>(X180-W180)/W180</f>
        <v>#DIV/0!</v>
      </c>
      <c r="Y181" s="47" t="e">
        <f>(Y180-X180)/X180</f>
        <v>#DIV/0!</v>
      </c>
      <c r="Z181" s="47" t="e">
        <f>(Z180-Y180)/Y180</f>
        <v>#DIV/0!</v>
      </c>
      <c r="AA181" s="47" t="e">
        <f>(AA180-Z180)/Z180</f>
        <v>#DIV/0!</v>
      </c>
      <c r="AB181" s="3" t="n"/>
      <c r="AC181" s="47" t="e">
        <f>(AC180-AB180)/AB180</f>
        <v>#DIV/0!</v>
      </c>
      <c r="AD181" s="47" t="e">
        <f>(AD180-AC180)/AC180</f>
        <v>#DIV/0!</v>
      </c>
      <c r="AE181" s="47" t="e">
        <f>(AE180-AD180)/AD180</f>
        <v>#DIV/0!</v>
      </c>
      <c r="AF181" s="6" t="e">
        <f>(AF180-AE180)/AE180</f>
        <v>#DIV/0!</v>
      </c>
      <c r="AG181" s="3" t="n"/>
      <c r="AH181" s="6" t="n"/>
      <c r="AI181" s="6" t="n"/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 t="n"/>
      <c r="E183" s="25" t="n"/>
      <c r="F183" s="25" t="n"/>
      <c r="G183" s="25" t="n"/>
      <c r="H183" s="3">
        <f>G183</f>
        <v>0</v>
      </c>
      <c r="I183" s="25" t="n"/>
      <c r="J183" s="25" t="n"/>
      <c r="K183" s="25" t="n"/>
      <c r="L183" s="25" t="n"/>
      <c r="M183" s="3">
        <f>L183</f>
        <v>0</v>
      </c>
      <c r="N183" s="25" t="n"/>
      <c r="O183" s="25" t="n"/>
      <c r="P183" s="25" t="n"/>
      <c r="Q183" s="25" t="n"/>
      <c r="R183" s="3">
        <f>Q183</f>
        <v>0</v>
      </c>
      <c r="S183" s="25" t="n"/>
      <c r="T183" s="25" t="n"/>
      <c r="U183" s="25" t="n"/>
      <c r="V183" s="25" t="n"/>
      <c r="W183" s="3">
        <f>V183</f>
        <v>0</v>
      </c>
      <c r="X183" s="25" t="n"/>
      <c r="Y183" s="25" t="n"/>
      <c r="Z183" s="25" t="n"/>
      <c r="AA183" s="25" t="n"/>
      <c r="AB183" s="3">
        <f>AA183</f>
        <v>0</v>
      </c>
      <c r="AC183" s="25" t="n"/>
      <c r="AD183" s="25" t="n"/>
      <c r="AE183" s="25" t="n"/>
      <c r="AF183" s="25" t="n"/>
      <c r="AG183" s="3">
        <f>AF183</f>
        <v>0</v>
      </c>
      <c r="AH183" s="3">
        <f>AH189</f>
        <v>0</v>
      </c>
      <c r="AI183" s="3">
        <f>AI189</f>
        <v>0</v>
      </c>
      <c r="AJ183" s="3">
        <f>AJ189</f>
        <v>0</v>
      </c>
      <c r="AK183" s="3">
        <f>AK189</f>
        <v>0</v>
      </c>
      <c r="AL183" s="3">
        <f>AK183</f>
        <v>0</v>
      </c>
      <c r="AM183" s="3">
        <f>AM189</f>
        <v>0</v>
      </c>
      <c r="AN183" s="3">
        <f>AN189</f>
        <v>0</v>
      </c>
      <c r="AO183" s="3">
        <f>AO189</f>
        <v>0</v>
      </c>
      <c r="AP183" s="3">
        <f>AP189</f>
        <v>0</v>
      </c>
      <c r="AQ183" s="3">
        <f>AP183</f>
        <v>0</v>
      </c>
      <c r="AR183" s="3">
        <f>AR189</f>
        <v>0</v>
      </c>
      <c r="AS183" s="3">
        <f>AS189</f>
        <v>0</v>
      </c>
      <c r="AT183" s="3">
        <f>AT189</f>
        <v>0</v>
      </c>
      <c r="AU183" s="3">
        <f>AU189</f>
        <v>0</v>
      </c>
      <c r="AV183" s="3">
        <f>AU183</f>
        <v>0</v>
      </c>
      <c r="AW183" s="3">
        <f>AW189</f>
        <v>0</v>
      </c>
      <c r="AX183" s="3">
        <f>AX189</f>
        <v>0</v>
      </c>
      <c r="AY183" s="3">
        <f>AY189</f>
        <v>0</v>
      </c>
      <c r="AZ183" s="3">
        <f>AZ189</f>
        <v>0</v>
      </c>
      <c r="BA183" s="3">
        <f>AZ183</f>
        <v>0</v>
      </c>
      <c r="BB183" s="3">
        <f>BB189</f>
        <v>0</v>
      </c>
      <c r="BC183" s="3">
        <f>BC189</f>
        <v>0</v>
      </c>
      <c r="BD183" s="3">
        <f>BD189</f>
        <v>0</v>
      </c>
      <c r="BE183" s="3">
        <f>BE189</f>
        <v>0</v>
      </c>
      <c r="BF183" s="3">
        <f>BE183</f>
        <v>0</v>
      </c>
      <c r="BG183" s="3">
        <f>BG189</f>
        <v>0</v>
      </c>
      <c r="BH183" s="3">
        <f>BH189</f>
        <v>0</v>
      </c>
      <c r="BI183" s="3">
        <f>BI189</f>
        <v>0</v>
      </c>
      <c r="BJ183" s="3">
        <f>BJ189</f>
        <v>0</v>
      </c>
      <c r="BK183" s="3">
        <f>BJ183</f>
        <v>0</v>
      </c>
      <c r="BL183" s="3">
        <f>BL189</f>
        <v>0</v>
      </c>
      <c r="BM183" s="3">
        <f>BM189</f>
        <v>0</v>
      </c>
      <c r="BN183" s="3">
        <f>BN189</f>
        <v>0</v>
      </c>
      <c r="BO183" s="3">
        <f>BO189</f>
        <v>0</v>
      </c>
      <c r="BP183" s="3">
        <f>BO183</f>
        <v>0</v>
      </c>
      <c r="BQ183" s="3">
        <f>BQ189</f>
        <v>0</v>
      </c>
      <c r="BR183" s="3">
        <f>BR189</f>
        <v>0</v>
      </c>
      <c r="BS183" s="3">
        <f>BS189</f>
        <v>0</v>
      </c>
      <c r="BT183" s="3">
        <f>BT189</f>
        <v>0</v>
      </c>
      <c r="BU183" s="3">
        <f>BT183</f>
        <v>0</v>
      </c>
      <c r="BV183" s="3">
        <f>BV189</f>
        <v>0</v>
      </c>
      <c r="BW183" s="3">
        <f>BW189</f>
        <v>0</v>
      </c>
      <c r="BX183" s="3">
        <f>BX189</f>
        <v>0</v>
      </c>
      <c r="BY183" s="3">
        <f>BY189</f>
        <v>0</v>
      </c>
      <c r="BZ183" s="3">
        <f>BY183</f>
        <v>0</v>
      </c>
      <c r="CA183" s="3">
        <f>CA189</f>
        <v>0</v>
      </c>
      <c r="CB183" s="3">
        <f>CB189</f>
        <v>0</v>
      </c>
      <c r="CC183" s="3">
        <f>CC189</f>
        <v>0</v>
      </c>
      <c r="CD183" s="3">
        <f>CD189</f>
        <v>0</v>
      </c>
      <c r="CE183" s="3">
        <f>CD183</f>
        <v>0</v>
      </c>
      <c r="CF183" s="3">
        <f>CF189</f>
        <v>0</v>
      </c>
      <c r="CG183" s="3">
        <f>CG189</f>
        <v>0</v>
      </c>
      <c r="CH183" s="3">
        <f>CH189</f>
        <v>0</v>
      </c>
      <c r="CI183" s="3">
        <f>CI189</f>
        <v>0</v>
      </c>
      <c r="CJ183" s="3">
        <f>CI183</f>
        <v>0</v>
      </c>
      <c r="CK183" s="3">
        <f>CK189</f>
        <v>0</v>
      </c>
      <c r="CL183" s="3">
        <f>CL189</f>
        <v>0</v>
      </c>
      <c r="CM183" s="3">
        <f>CM189</f>
        <v>0</v>
      </c>
      <c r="CN183" s="3">
        <f>CN189</f>
        <v>0</v>
      </c>
      <c r="CO183" s="3">
        <f>CN183</f>
        <v>0</v>
      </c>
      <c r="CP183" s="3">
        <f>CP189</f>
        <v>0</v>
      </c>
      <c r="CQ183" s="3">
        <f>CQ189</f>
        <v>0</v>
      </c>
      <c r="CR183" s="3">
        <f>CR189</f>
        <v>0</v>
      </c>
      <c r="CS183" s="3">
        <f>CS189</f>
        <v>0</v>
      </c>
      <c r="CT183" s="3">
        <f>CS183</f>
        <v>0</v>
      </c>
      <c r="CU183" s="3">
        <f>CU189</f>
        <v>0</v>
      </c>
      <c r="CV183" s="3">
        <f>CV189</f>
        <v>0</v>
      </c>
      <c r="CW183" s="3">
        <f>CW189</f>
        <v>0</v>
      </c>
      <c r="CX183" s="3">
        <f>CX189</f>
        <v>0</v>
      </c>
      <c r="CY183" s="3">
        <f>CX183</f>
        <v>0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0</v>
      </c>
      <c r="AI185" s="35" t="n"/>
      <c r="AJ185" s="35" t="n"/>
      <c r="AK185" s="35" t="n"/>
      <c r="AL185" s="3" t="n"/>
      <c r="AM185" s="3">
        <f>AK178</f>
        <v>0</v>
      </c>
      <c r="AN185" s="35" t="n"/>
      <c r="AO185" s="35" t="n"/>
      <c r="AP185" s="35" t="n"/>
      <c r="AQ185" s="3" t="n"/>
      <c r="AR185" s="3">
        <f>AP178</f>
        <v>0</v>
      </c>
      <c r="AS185" s="35" t="n"/>
      <c r="AT185" s="35" t="n"/>
      <c r="AU185" s="35" t="n"/>
      <c r="AV185" s="3" t="n"/>
      <c r="AW185" s="3">
        <f>AU178</f>
        <v>0</v>
      </c>
      <c r="AX185" s="35" t="n"/>
      <c r="AY185" s="35" t="n"/>
      <c r="AZ185" s="35" t="n"/>
      <c r="BA185" s="3" t="n"/>
      <c r="BB185" s="3">
        <f>AZ178</f>
        <v>0</v>
      </c>
      <c r="BC185" s="35" t="n"/>
      <c r="BD185" s="35" t="n"/>
      <c r="BE185" s="35" t="n"/>
      <c r="BF185" s="3" t="n"/>
      <c r="BG185" s="3">
        <f>BE178</f>
        <v>0</v>
      </c>
      <c r="BH185" s="35" t="n"/>
      <c r="BI185" s="35" t="n"/>
      <c r="BJ185" s="35" t="n"/>
      <c r="BK185" s="3" t="n"/>
      <c r="BL185" s="3">
        <f>BJ178</f>
        <v>0</v>
      </c>
      <c r="BM185" s="35" t="n"/>
      <c r="BN185" s="35" t="n"/>
      <c r="BO185" s="35" t="n"/>
      <c r="BP185" s="3" t="n"/>
      <c r="BQ185" s="3">
        <f>BO178</f>
        <v>0</v>
      </c>
      <c r="BR185" s="35" t="n"/>
      <c r="BS185" s="35" t="n"/>
      <c r="BT185" s="35" t="n"/>
      <c r="BU185" s="3" t="n"/>
      <c r="BV185" s="3">
        <f>BT178</f>
        <v>0</v>
      </c>
      <c r="BW185" s="35" t="n"/>
      <c r="BX185" s="35" t="n"/>
      <c r="BY185" s="35" t="n"/>
      <c r="BZ185" s="3" t="n"/>
      <c r="CA185" s="3">
        <f>BY178</f>
        <v>0</v>
      </c>
      <c r="CB185" s="35" t="n"/>
      <c r="CC185" s="35" t="n"/>
      <c r="CD185" s="35" t="n"/>
      <c r="CE185" s="3" t="n"/>
      <c r="CF185" s="3">
        <f>CD178</f>
        <v>0</v>
      </c>
      <c r="CG185" s="35" t="n"/>
      <c r="CH185" s="35" t="n"/>
      <c r="CI185" s="35" t="n"/>
      <c r="CJ185" s="3" t="n"/>
      <c r="CK185" s="3">
        <f>CI178</f>
        <v>0</v>
      </c>
      <c r="CL185" s="35" t="n"/>
      <c r="CM185" s="35" t="n"/>
      <c r="CN185" s="35" t="n"/>
      <c r="CO185" s="3" t="n"/>
      <c r="CP185" s="3">
        <f>CN178</f>
        <v>0</v>
      </c>
      <c r="CQ185" s="35" t="n"/>
      <c r="CR185" s="35" t="n"/>
      <c r="CS185" s="35" t="n"/>
      <c r="CT185" s="3" t="n"/>
      <c r="CU185" s="3">
        <f>CS178</f>
        <v>0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AF183+SUM(AH187:AH188)</f>
        <v>0</v>
      </c>
      <c r="AI189" s="3">
        <f>AH189+SUM(AI187:AI188)</f>
        <v>0</v>
      </c>
      <c r="AJ189" s="3">
        <f>AI189+SUM(AJ187:AJ188)</f>
        <v>0</v>
      </c>
      <c r="AK189" s="3">
        <f>AJ189+SUM(AK187:AK188)</f>
        <v>0</v>
      </c>
      <c r="AL189" s="3" t="n"/>
      <c r="AM189" s="3">
        <f>AK189+SUM(AM187:AM188)</f>
        <v>0</v>
      </c>
      <c r="AN189" s="3">
        <f>AM189+SUM(AN187:AN188)</f>
        <v>0</v>
      </c>
      <c r="AO189" s="3">
        <f>AN189+SUM(AO187:AO188)</f>
        <v>0</v>
      </c>
      <c r="AP189" s="3">
        <f>AO189+SUM(AP187:AP188)</f>
        <v>0</v>
      </c>
      <c r="AQ189" s="3" t="n"/>
      <c r="AR189" s="3">
        <f>AP189+SUM(AR187:AR188)</f>
        <v>0</v>
      </c>
      <c r="AS189" s="3">
        <f>AR189+SUM(AS187:AS188)</f>
        <v>0</v>
      </c>
      <c r="AT189" s="3">
        <f>AS189+SUM(AT187:AT188)</f>
        <v>0</v>
      </c>
      <c r="AU189" s="3">
        <f>AT189+SUM(AU187:AU188)</f>
        <v>0</v>
      </c>
      <c r="AV189" s="3" t="n"/>
      <c r="AW189" s="3">
        <f>AU189+SUM(AW187:AW188)</f>
        <v>0</v>
      </c>
      <c r="AX189" s="3">
        <f>AW189+SUM(AX187:AX188)</f>
        <v>0</v>
      </c>
      <c r="AY189" s="3">
        <f>AX189+SUM(AY187:AY188)</f>
        <v>0</v>
      </c>
      <c r="AZ189" s="3">
        <f>AY189+SUM(AZ187:AZ188)</f>
        <v>0</v>
      </c>
      <c r="BA189" s="3" t="n"/>
      <c r="BB189" s="3">
        <f>AZ189+SUM(BB187:BB188)</f>
        <v>0</v>
      </c>
      <c r="BC189" s="3">
        <f>BB189+SUM(BC187:BC188)</f>
        <v>0</v>
      </c>
      <c r="BD189" s="3">
        <f>BC189+SUM(BD187:BD188)</f>
        <v>0</v>
      </c>
      <c r="BE189" s="3">
        <f>BD189+SUM(BE187:BE188)</f>
        <v>0</v>
      </c>
      <c r="BF189" s="3" t="n"/>
      <c r="BG189" s="3">
        <f>BE189+SUM(BG187:BG188)</f>
        <v>0</v>
      </c>
      <c r="BH189" s="3">
        <f>BG189+SUM(BH187:BH188)</f>
        <v>0</v>
      </c>
      <c r="BI189" s="3">
        <f>BH189+SUM(BI187:BI188)</f>
        <v>0</v>
      </c>
      <c r="BJ189" s="3">
        <f>BI189+SUM(BJ187:BJ188)</f>
        <v>0</v>
      </c>
      <c r="BK189" s="3" t="n"/>
      <c r="BL189" s="3">
        <f>BJ189+SUM(BL187:BL188)</f>
        <v>0</v>
      </c>
      <c r="BM189" s="3">
        <f>BL189+SUM(BM187:BM188)</f>
        <v>0</v>
      </c>
      <c r="BN189" s="3">
        <f>BM189+SUM(BN187:BN188)</f>
        <v>0</v>
      </c>
      <c r="BO189" s="3">
        <f>BN189+SUM(BO187:BO188)</f>
        <v>0</v>
      </c>
      <c r="BP189" s="3" t="n"/>
      <c r="BQ189" s="3">
        <f>BO189+SUM(BQ187:BQ188)</f>
        <v>0</v>
      </c>
      <c r="BR189" s="3">
        <f>BQ189+SUM(BR187:BR188)</f>
        <v>0</v>
      </c>
      <c r="BS189" s="3">
        <f>BR189+SUM(BS187:BS188)</f>
        <v>0</v>
      </c>
      <c r="BT189" s="3">
        <f>BS189+SUM(BT187:BT188)</f>
        <v>0</v>
      </c>
      <c r="BU189" s="3" t="n"/>
      <c r="BV189" s="3">
        <f>BT189+SUM(BV187:BV188)</f>
        <v>0</v>
      </c>
      <c r="BW189" s="3">
        <f>BV189+SUM(BW187:BW188)</f>
        <v>0</v>
      </c>
      <c r="BX189" s="3">
        <f>BW189+SUM(BX187:BX188)</f>
        <v>0</v>
      </c>
      <c r="BY189" s="3">
        <f>BX189+SUM(BY187:BY188)</f>
        <v>0</v>
      </c>
      <c r="BZ189" s="3" t="n"/>
      <c r="CA189" s="3">
        <f>BY189+SUM(CA187:CA188)</f>
        <v>0</v>
      </c>
      <c r="CB189" s="3">
        <f>CA189+SUM(CB187:CB188)</f>
        <v>0</v>
      </c>
      <c r="CC189" s="3">
        <f>CB189+SUM(CC187:CC188)</f>
        <v>0</v>
      </c>
      <c r="CD189" s="3">
        <f>CC189+SUM(CD187:CD188)</f>
        <v>0</v>
      </c>
      <c r="CE189" s="3" t="n"/>
      <c r="CF189" s="3">
        <f>CD189+SUM(CF187:CF188)</f>
        <v>0</v>
      </c>
      <c r="CG189" s="3">
        <f>CF189+SUM(CG187:CG188)</f>
        <v>0</v>
      </c>
      <c r="CH189" s="3">
        <f>CG189+SUM(CH187:CH188)</f>
        <v>0</v>
      </c>
      <c r="CI189" s="3">
        <f>CH189+SUM(CI187:CI188)</f>
        <v>0</v>
      </c>
      <c r="CJ189" s="3" t="n"/>
      <c r="CK189" s="3">
        <f>CI189+SUM(CK187:CK188)</f>
        <v>0</v>
      </c>
      <c r="CL189" s="3">
        <f>CK189+SUM(CL187:CL188)</f>
        <v>0</v>
      </c>
      <c r="CM189" s="3">
        <f>CL189+SUM(CM187:CM188)</f>
        <v>0</v>
      </c>
      <c r="CN189" s="3">
        <f>CM189+SUM(CN187:CN188)</f>
        <v>0</v>
      </c>
      <c r="CO189" s="3" t="n"/>
      <c r="CP189" s="3">
        <f>CN189+SUM(CP187:CP188)</f>
        <v>0</v>
      </c>
      <c r="CQ189" s="3">
        <f>CP189+SUM(CQ187:CQ188)</f>
        <v>0</v>
      </c>
      <c r="CR189" s="3">
        <f>CQ189+SUM(CR187:CR188)</f>
        <v>0</v>
      </c>
      <c r="CS189" s="3">
        <f>CR189+SUM(CS187:CS188)</f>
        <v>0</v>
      </c>
      <c r="CT189" s="3" t="n"/>
      <c r="CU189" s="3">
        <f>CS189+SUM(CU187:CU188)</f>
        <v>0</v>
      </c>
      <c r="CV189" s="3">
        <f>CU189+SUM(CV187:CV188)</f>
        <v>0</v>
      </c>
      <c r="CW189" s="3">
        <f>CV189+SUM(CW187:CW188)</f>
        <v>0</v>
      </c>
      <c r="CX189" s="3">
        <f>CW189+SUM(CX187:CX188)</f>
        <v>0</v>
      </c>
      <c r="CY189" s="3" t="n"/>
      <c r="CZ189">
        <f>CX189+SUM(CZ187:CZ188)</f>
        <v>0</v>
      </c>
      <c r="DA189">
        <f>CZ189+SUM(DA187:DA188)</f>
        <v>0</v>
      </c>
      <c r="DB189">
        <f>DA189+SUM(DB187:DB188)</f>
        <v>0</v>
      </c>
      <c r="DC189">
        <f>DB189+SUM(DC187:DC188)</f>
        <v>0</v>
      </c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0</v>
      </c>
      <c r="AI195" s="3" t="n"/>
      <c r="AJ195" s="3" t="n"/>
      <c r="AK195" s="3" t="n"/>
      <c r="AL195" s="3" t="n"/>
      <c r="AM195" s="36" t="e">
        <f>AL110</f>
        <v>#DIV/0!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 t="e">
        <f>SUM(AH259,AH266)+SUM(AH268:AH274)</f>
        <v>#DIV/0!</v>
      </c>
      <c r="AI196" s="37" t="e">
        <f>SUM(AI259,AI266)+SUM(AI268:AI274)</f>
        <v>#DIV/0!</v>
      </c>
      <c r="AJ196" s="37" t="e">
        <f>SUM(AJ259,AJ266)+SUM(AJ268:AJ274)</f>
        <v>#DIV/0!</v>
      </c>
      <c r="AK196" s="37" t="e">
        <f>SUM(AK259,AK266)+SUM(AK268:AK274)</f>
        <v>#DIV/0!</v>
      </c>
      <c r="AL196" s="3" t="n"/>
      <c r="AM196" s="37" t="e">
        <f>SUM(AM259,AM266)+SUM(AM268:AM274)</f>
        <v>#DIV/0!</v>
      </c>
      <c r="AN196" s="37" t="e">
        <f>SUM(AN259,AN266)+SUM(AN268:AN274)</f>
        <v>#DIV/0!</v>
      </c>
      <c r="AO196" s="37" t="e">
        <f>SUM(AO259,AO266)+SUM(AO268:AO274)</f>
        <v>#DIV/0!</v>
      </c>
      <c r="AP196" s="37" t="e">
        <f>SUM(AP259,AP266)+SUM(AP268:AP274)</f>
        <v>#DIV/0!</v>
      </c>
      <c r="AQ196" s="3" t="n"/>
      <c r="AR196" s="37" t="e">
        <f>SUM(AR259,AR266)+SUM(AR268:AR274)</f>
        <v>#DIV/0!</v>
      </c>
      <c r="AS196" s="37" t="e">
        <f>SUM(AS259,AS266)+SUM(AS268:AS274)</f>
        <v>#DIV/0!</v>
      </c>
      <c r="AT196" s="37" t="e">
        <f>SUM(AT259,AT266)+SUM(AT268:AT274)</f>
        <v>#DIV/0!</v>
      </c>
      <c r="AU196" s="37" t="e">
        <f>SUM(AU259,AU266)+SUM(AU268:AU274)</f>
        <v>#DIV/0!</v>
      </c>
      <c r="AV196" s="3" t="n"/>
      <c r="AW196" s="37" t="e">
        <f>SUM(AW259,AW266)+SUM(AW268:AW274)</f>
        <v>#DIV/0!</v>
      </c>
      <c r="AX196" s="37" t="e">
        <f>SUM(AX259,AX266)+SUM(AX268:AX274)</f>
        <v>#DIV/0!</v>
      </c>
      <c r="AY196" s="37" t="e">
        <f>SUM(AY259,AY266)+SUM(AY268:AY274)</f>
        <v>#DIV/0!</v>
      </c>
      <c r="AZ196" s="37" t="e">
        <f>SUM(AZ259,AZ266)+SUM(AZ268:AZ274)</f>
        <v>#DIV/0!</v>
      </c>
      <c r="BA196" s="3" t="n"/>
      <c r="BB196" s="37" t="e">
        <f>SUM(BB259,BB266)+SUM(BB268:BB274)</f>
        <v>#DIV/0!</v>
      </c>
      <c r="BC196" s="37" t="e">
        <f>SUM(BC259,BC266)+SUM(BC268:BC274)</f>
        <v>#DIV/0!</v>
      </c>
      <c r="BD196" s="37" t="e">
        <f>SUM(BD259,BD266)+SUM(BD268:BD274)</f>
        <v>#DIV/0!</v>
      </c>
      <c r="BE196" s="37" t="e">
        <f>SUM(BE259,BE266)+SUM(BE268:BE274)</f>
        <v>#DIV/0!</v>
      </c>
      <c r="BF196" s="3" t="n"/>
      <c r="BG196" s="37" t="e">
        <f>SUM(BG259,BG266)+SUM(BG268:BG274)</f>
        <v>#DIV/0!</v>
      </c>
      <c r="BH196" s="37" t="e">
        <f>SUM(BH259,BH266)+SUM(BH268:BH274)</f>
        <v>#DIV/0!</v>
      </c>
      <c r="BI196" s="37" t="e">
        <f>SUM(BI259,BI266)+SUM(BI268:BI274)</f>
        <v>#DIV/0!</v>
      </c>
      <c r="BJ196" s="37" t="e">
        <f>SUM(BJ259,BJ266)+SUM(BJ268:BJ274)</f>
        <v>#DIV/0!</v>
      </c>
      <c r="BK196" s="3" t="n"/>
      <c r="BL196" s="37" t="e">
        <f>SUM(BL259,BL266)+SUM(BL268:BL274)</f>
        <v>#DIV/0!</v>
      </c>
      <c r="BM196" s="37" t="e">
        <f>SUM(BM259,BM266)+SUM(BM268:BM274)</f>
        <v>#DIV/0!</v>
      </c>
      <c r="BN196" s="37" t="e">
        <f>SUM(BN259,BN266)+SUM(BN268:BN274)</f>
        <v>#DIV/0!</v>
      </c>
      <c r="BO196" s="37" t="e">
        <f>SUM(BO259,BO266)+SUM(BO268:BO274)</f>
        <v>#DIV/0!</v>
      </c>
      <c r="BP196" s="3" t="n"/>
      <c r="BQ196" s="37" t="e">
        <f>SUM(BQ259,BQ266)+SUM(BQ268:BQ274)</f>
        <v>#DIV/0!</v>
      </c>
      <c r="BR196" s="37" t="e">
        <f>SUM(BR259,BR266)+SUM(BR268:BR274)</f>
        <v>#DIV/0!</v>
      </c>
      <c r="BS196" s="37" t="e">
        <f>SUM(BS259,BS266)+SUM(BS268:BS274)</f>
        <v>#DIV/0!</v>
      </c>
      <c r="BT196" s="37" t="e">
        <f>SUM(BT259,BT266)+SUM(BT268:BT274)</f>
        <v>#DIV/0!</v>
      </c>
      <c r="BU196" s="3" t="n"/>
      <c r="BV196" s="37" t="e">
        <f>SUM(BV259,BV266)+SUM(BV268:BV274)</f>
        <v>#DIV/0!</v>
      </c>
      <c r="BW196" s="37" t="e">
        <f>SUM(BW259,BW266)+SUM(BW268:BW274)</f>
        <v>#DIV/0!</v>
      </c>
      <c r="BX196" s="37" t="e">
        <f>SUM(BX259,BX266)+SUM(BX268:BX274)</f>
        <v>#DIV/0!</v>
      </c>
      <c r="BY196" s="37" t="e">
        <f>SUM(BY259,BY266)+SUM(BY268:BY274)</f>
        <v>#DIV/0!</v>
      </c>
      <c r="BZ196" s="3" t="n"/>
      <c r="CA196" s="37" t="e">
        <f>SUM(CA259,CA266)+SUM(CA268:CA274)</f>
        <v>#DIV/0!</v>
      </c>
      <c r="CB196" s="37" t="e">
        <f>SUM(CB259,CB266)+SUM(CB268:CB274)</f>
        <v>#DIV/0!</v>
      </c>
      <c r="CC196" s="37" t="e">
        <f>SUM(CC259,CC266)+SUM(CC268:CC274)</f>
        <v>#DIV/0!</v>
      </c>
      <c r="CD196" s="37" t="e">
        <f>SUM(CD259,CD266)+SUM(CD268:CD274)</f>
        <v>#DIV/0!</v>
      </c>
      <c r="CE196" s="3" t="n"/>
      <c r="CF196" s="37" t="e">
        <f>SUM(CF259,CF266)+SUM(CF268:CF274)</f>
        <v>#DIV/0!</v>
      </c>
      <c r="CG196" s="37" t="e">
        <f>SUM(CG259,CG266)+SUM(CG268:CG274)</f>
        <v>#DIV/0!</v>
      </c>
      <c r="CH196" s="37" t="e">
        <f>SUM(CH259,CH266)+SUM(CH268:CH274)</f>
        <v>#DIV/0!</v>
      </c>
      <c r="CI196" s="37" t="e">
        <f>SUM(CI259,CI266)+SUM(CI268:CI274)</f>
        <v>#DIV/0!</v>
      </c>
      <c r="CJ196" s="3" t="n"/>
      <c r="CK196" s="37" t="e">
        <f>SUM(CK259,CK266)+SUM(CK268:CK274)</f>
        <v>#DIV/0!</v>
      </c>
      <c r="CL196" s="37" t="e">
        <f>SUM(CL259,CL266)+SUM(CL268:CL274)</f>
        <v>#DIV/0!</v>
      </c>
      <c r="CM196" s="37" t="e">
        <f>SUM(CM259,CM266)+SUM(CM268:CM274)</f>
        <v>#DIV/0!</v>
      </c>
      <c r="CN196" s="37" t="e">
        <f>SUM(CN259,CN266)+SUM(CN268:CN274)</f>
        <v>#DIV/0!</v>
      </c>
      <c r="CO196" s="3" t="n"/>
      <c r="CP196" s="37" t="e">
        <f>SUM(CP259,CP266)+SUM(CP268:CP274)</f>
        <v>#DIV/0!</v>
      </c>
      <c r="CQ196" s="37" t="e">
        <f>SUM(CQ259,CQ266)+SUM(CQ268:CQ274)</f>
        <v>#DIV/0!</v>
      </c>
      <c r="CR196" s="37" t="e">
        <f>SUM(CR259,CR266)+SUM(CR268:CR274)</f>
        <v>#DIV/0!</v>
      </c>
      <c r="CS196" s="37" t="e">
        <f>SUM(CS259,CS266)+SUM(CS268:CS274)</f>
        <v>#DIV/0!</v>
      </c>
      <c r="CT196" s="3" t="n"/>
      <c r="CU196" s="37" t="e">
        <f>SUM(CU259,CU266)+SUM(CU268:CU274)</f>
        <v>#DIV/0!</v>
      </c>
      <c r="CV196" s="37" t="e">
        <f>SUM(CV259,CV266)+SUM(CV268:CV274)</f>
        <v>#DIV/0!</v>
      </c>
      <c r="CW196" s="37" t="e">
        <f>SUM(CW259,CW266)+SUM(CW268:CW274)</f>
        <v>#DIV/0!</v>
      </c>
      <c r="CX196" s="37" t="e">
        <f>SUM(CX259,CX266)+SUM(CX268:CX274)</f>
        <v>#DIV/0!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250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 t="e">
        <f>AH195+AH196-AH197-AF185+AH187+AH191</f>
        <v>#DIV/0!</v>
      </c>
      <c r="AI198" s="1" t="e">
        <f>AI195+AI196-AI197-AG185+AI187+AI191</f>
        <v>#DIV/0!</v>
      </c>
      <c r="AJ198" s="1" t="e">
        <f>AJ195+AJ196-AJ197-AH185+AJ187+AJ191</f>
        <v>#DIV/0!</v>
      </c>
      <c r="AK198" s="1" t="e">
        <f>AK195+AK196-AK197-AI185+AK187+AK191</f>
        <v>#DIV/0!</v>
      </c>
      <c r="AL198" s="3" t="n"/>
      <c r="AM198" s="1" t="e">
        <f>AM195+AM196-AM197-AK185+AM187+AM191</f>
        <v>#DIV/0!</v>
      </c>
      <c r="AN198" s="1" t="e">
        <f>AN195+AN196-AN197-AL185+AN187+AN191</f>
        <v>#DIV/0!</v>
      </c>
      <c r="AO198" s="1" t="e">
        <f>AO195+AO196-AO197-AM185+AO187+AO191</f>
        <v>#DIV/0!</v>
      </c>
      <c r="AP198" s="1" t="e">
        <f>AP195+AP196-AP197-AN185+AP187+AP191</f>
        <v>#DIV/0!</v>
      </c>
      <c r="AQ198" s="3" t="n"/>
      <c r="AR198" s="1" t="e">
        <f>AR195+AR196-AR197-AP185+AR187+AR191</f>
        <v>#DIV/0!</v>
      </c>
      <c r="AS198" s="1" t="e">
        <f>AS195+AS196-AS197-AQ185+AS187+AS191</f>
        <v>#DIV/0!</v>
      </c>
      <c r="AT198" s="1" t="e">
        <f>AT195+AT196-AT197-AR185+AT187+AT191</f>
        <v>#DIV/0!</v>
      </c>
      <c r="AU198" s="1" t="e">
        <f>AU195+AU196-AU197-AS185+AU187+AU191</f>
        <v>#DIV/0!</v>
      </c>
      <c r="AV198" s="3" t="n"/>
      <c r="AW198" s="1" t="e">
        <f>AW195+AW196-AW197-AU185+AW187+AW191</f>
        <v>#DIV/0!</v>
      </c>
      <c r="AX198" s="1" t="e">
        <f>AX195+AX196-AX197-AV185+AX187+AX191</f>
        <v>#DIV/0!</v>
      </c>
      <c r="AY198" s="1" t="e">
        <f>AY195+AY196-AY197-AW185+AY187+AY191</f>
        <v>#DIV/0!</v>
      </c>
      <c r="AZ198" s="1" t="e">
        <f>AZ195+AZ196-AZ197-AX185+AZ187+AZ191</f>
        <v>#DIV/0!</v>
      </c>
      <c r="BA198" s="3" t="n"/>
      <c r="BB198" s="1" t="e">
        <f>BB195+BB196-BB197-AZ185+BB187+BB191</f>
        <v>#DIV/0!</v>
      </c>
      <c r="BC198" s="1" t="e">
        <f>BC195+BC196-BC197-BA185+BC187+BC191</f>
        <v>#DIV/0!</v>
      </c>
      <c r="BD198" s="1" t="e">
        <f>BD195+BD196-BD197-BB185+BD187+BD191</f>
        <v>#DIV/0!</v>
      </c>
      <c r="BE198" s="1" t="e">
        <f>BE195+BE196-BE197-BC185+BE187+BE191</f>
        <v>#DIV/0!</v>
      </c>
      <c r="BF198" s="3" t="n"/>
      <c r="BG198" s="1" t="e">
        <f>BG195+BG196-BG197-BE185+BG187+BG191</f>
        <v>#DIV/0!</v>
      </c>
      <c r="BH198" s="1" t="e">
        <f>BH195+BH196-BH197-BF185+BH187+BH191</f>
        <v>#DIV/0!</v>
      </c>
      <c r="BI198" s="1" t="e">
        <f>BI195+BI196-BI197-BG185+BI187+BI191</f>
        <v>#DIV/0!</v>
      </c>
      <c r="BJ198" s="1" t="e">
        <f>BJ195+BJ196-BJ197-BH185+BJ187+BJ191</f>
        <v>#DIV/0!</v>
      </c>
      <c r="BK198" s="3" t="n"/>
      <c r="BL198" s="1" t="e">
        <f>BL195+BL196-BL197-BJ185+BL187+BL191</f>
        <v>#DIV/0!</v>
      </c>
      <c r="BM198" s="1" t="e">
        <f>BM195+BM196-BM197-BK185+BM187+BM191</f>
        <v>#DIV/0!</v>
      </c>
      <c r="BN198" s="1" t="e">
        <f>BN195+BN196-BN197-BL185+BN187+BN191</f>
        <v>#DIV/0!</v>
      </c>
      <c r="BO198" s="1" t="e">
        <f>BO195+BO196-BO197-BM185+BO187+BO191</f>
        <v>#DIV/0!</v>
      </c>
      <c r="BP198" s="3" t="n"/>
      <c r="BQ198" s="1" t="e">
        <f>BQ195+BQ196-BQ197-BO185+BQ187+BQ191</f>
        <v>#DIV/0!</v>
      </c>
      <c r="BR198" s="1" t="e">
        <f>BR195+BR196-BR197-BP185+BR187+BR191</f>
        <v>#DIV/0!</v>
      </c>
      <c r="BS198" s="1" t="e">
        <f>BS195+BS196-BS197-BQ185+BS187+BS191</f>
        <v>#DIV/0!</v>
      </c>
      <c r="BT198" s="1" t="e">
        <f>BT195+BT196-BT197-BR185+BT187+BT191</f>
        <v>#DIV/0!</v>
      </c>
      <c r="BU198" s="3" t="n"/>
      <c r="BV198" s="1" t="e">
        <f>BV195+BV196-BV197-BT185+BV187+BV191</f>
        <v>#DIV/0!</v>
      </c>
      <c r="BW198" s="1" t="e">
        <f>BW195+BW196-BW197-BU185+BW187+BW191</f>
        <v>#DIV/0!</v>
      </c>
      <c r="BX198" s="1" t="e">
        <f>BX195+BX196-BX197-BV185+BX187+BX191</f>
        <v>#DIV/0!</v>
      </c>
      <c r="BY198" s="1" t="e">
        <f>BY195+BY196-BY197-BW185+BY187+BY191</f>
        <v>#DIV/0!</v>
      </c>
      <c r="BZ198" s="3" t="n"/>
      <c r="CA198" s="1" t="e">
        <f>CA195+CA196-CA197-BY185+CA187+CA191</f>
        <v>#DIV/0!</v>
      </c>
      <c r="CB198" s="1" t="e">
        <f>CB195+CB196-CB197-BZ185+CB187+CB191</f>
        <v>#DIV/0!</v>
      </c>
      <c r="CC198" s="1" t="e">
        <f>CC195+CC196-CC197-CA185+CC187+CC191</f>
        <v>#DIV/0!</v>
      </c>
      <c r="CD198" s="1" t="e">
        <f>CD195+CD196-CD197-CB185+CD187+CD191</f>
        <v>#DIV/0!</v>
      </c>
      <c r="CE198" s="3" t="n"/>
      <c r="CF198" s="1" t="e">
        <f>CF195+CF196-CF197-CD185+CF187+CF191</f>
        <v>#DIV/0!</v>
      </c>
      <c r="CG198" s="1" t="e">
        <f>CG195+CG196-CG197-CE185+CG187+CG191</f>
        <v>#DIV/0!</v>
      </c>
      <c r="CH198" s="1" t="e">
        <f>CH195+CH196-CH197-CF185+CH187+CH191</f>
        <v>#DIV/0!</v>
      </c>
      <c r="CI198" s="1" t="e">
        <f>CI195+CI196-CI197-CG185+CI187+CI191</f>
        <v>#DIV/0!</v>
      </c>
      <c r="CJ198" s="3" t="n"/>
      <c r="CK198" s="1" t="e">
        <f>CK195+CK196-CK197-CI185+CK187+CK191</f>
        <v>#DIV/0!</v>
      </c>
      <c r="CL198" s="1" t="e">
        <f>CL195+CL196-CL197-CJ185+CL187+CL191</f>
        <v>#DIV/0!</v>
      </c>
      <c r="CM198" s="1" t="e">
        <f>CM195+CM196-CM197-CK185+CM187+CM191</f>
        <v>#DIV/0!</v>
      </c>
      <c r="CN198" s="1" t="e">
        <f>CN195+CN196-CN197-CL185+CN187+CN191</f>
        <v>#DIV/0!</v>
      </c>
      <c r="CO198" s="3" t="n"/>
      <c r="CP198" s="1" t="e">
        <f>CP195+CP196-CP197-CN185+CP187+CP191</f>
        <v>#DIV/0!</v>
      </c>
      <c r="CQ198" s="1" t="e">
        <f>CQ195+CQ196-CQ197-CO185+CQ187+CQ191</f>
        <v>#DIV/0!</v>
      </c>
      <c r="CR198" s="1" t="e">
        <f>CR195+CR196-CR197-CP185+CR187+CR191</f>
        <v>#DIV/0!</v>
      </c>
      <c r="CS198" s="1" t="e">
        <f>CS195+CS196-CS197-CQ185+CS187+CS191</f>
        <v>#DIV/0!</v>
      </c>
      <c r="CT198" s="3" t="n"/>
      <c r="CU198" s="1" t="e">
        <f>CU195+CU196-CU197-CS185+CU187+CU191</f>
        <v>#DIV/0!</v>
      </c>
      <c r="CV198" s="1" t="e">
        <f>CV195+CV196-CV197-CT185+CV187+CV191</f>
        <v>#DIV/0!</v>
      </c>
      <c r="CW198" s="1" t="e">
        <f>CW195+CW196-CW197-CU185+CW187+CW191</f>
        <v>#DIV/0!</v>
      </c>
      <c r="CX198" s="1" t="e">
        <f>CX195+CX196-CX197-CV185+CX187+CX191</f>
        <v>#DIV/0!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 t="e">
        <f>MAX(0,AH199-AI198)</f>
        <v>#DIV/0!</v>
      </c>
      <c r="AJ199" s="3" t="e">
        <f>MAX(0,AI199-AJ198)</f>
        <v>#DIV/0!</v>
      </c>
      <c r="AK199" s="3" t="e">
        <f>MAX(0,AJ199-AK198)</f>
        <v>#DIV/0!</v>
      </c>
      <c r="AL199" s="3" t="n"/>
      <c r="AM199" s="3">
        <f>AM179</f>
        <v>0</v>
      </c>
      <c r="AN199" s="3" t="e">
        <f>MAX(0,AM199-AN198)</f>
        <v>#DIV/0!</v>
      </c>
      <c r="AO199" s="3" t="e">
        <f>MAX(0,AN199-AO198)</f>
        <v>#DIV/0!</v>
      </c>
      <c r="AP199" s="3" t="e">
        <f>MAX(0,AO199-AP198)</f>
        <v>#DIV/0!</v>
      </c>
      <c r="AQ199" s="3" t="n"/>
      <c r="AR199" s="3">
        <f>AR179</f>
        <v>0</v>
      </c>
      <c r="AS199" s="3" t="e">
        <f>MAX(0,AR199-AS198)</f>
        <v>#DIV/0!</v>
      </c>
      <c r="AT199" s="3" t="e">
        <f>MAX(0,AS199-AT198)</f>
        <v>#DIV/0!</v>
      </c>
      <c r="AU199" s="3" t="e">
        <f>MAX(0,AT199-AU198)</f>
        <v>#DIV/0!</v>
      </c>
      <c r="AV199" s="3" t="n"/>
      <c r="AW199" s="3">
        <f>AW179</f>
        <v>0</v>
      </c>
      <c r="AX199" s="3" t="e">
        <f>MAX(0,AW199-AX198)</f>
        <v>#DIV/0!</v>
      </c>
      <c r="AY199" s="3" t="e">
        <f>MAX(0,AX199-AY198)</f>
        <v>#DIV/0!</v>
      </c>
      <c r="AZ199" s="3" t="e">
        <f>MAX(0,AY199-AZ198)</f>
        <v>#DIV/0!</v>
      </c>
      <c r="BA199" s="3" t="n"/>
      <c r="BB199" s="3">
        <f>BB179</f>
        <v>0</v>
      </c>
      <c r="BC199" s="3" t="e">
        <f>MAX(0,BB199-BC198)</f>
        <v>#DIV/0!</v>
      </c>
      <c r="BD199" s="3" t="e">
        <f>MAX(0,BC199-BD198)</f>
        <v>#DIV/0!</v>
      </c>
      <c r="BE199" s="3" t="e">
        <f>MAX(0,BD199-BE198)</f>
        <v>#DIV/0!</v>
      </c>
      <c r="BF199" s="3" t="n"/>
      <c r="BG199" s="3">
        <f>BG179</f>
        <v>0</v>
      </c>
      <c r="BH199" s="3" t="e">
        <f>MAX(0,BG199-BH198)</f>
        <v>#DIV/0!</v>
      </c>
      <c r="BI199" s="3" t="e">
        <f>MAX(0,BH199-BI198)</f>
        <v>#DIV/0!</v>
      </c>
      <c r="BJ199" s="3" t="e">
        <f>MAX(0,BI199-BJ198)</f>
        <v>#DIV/0!</v>
      </c>
      <c r="BK199" s="3" t="n"/>
      <c r="BL199" s="3">
        <f>BL179</f>
        <v>0</v>
      </c>
      <c r="BM199" s="3" t="e">
        <f>MAX(0,BL199-BM198)</f>
        <v>#DIV/0!</v>
      </c>
      <c r="BN199" s="3" t="e">
        <f>MAX(0,BM199-BN198)</f>
        <v>#DIV/0!</v>
      </c>
      <c r="BO199" s="3" t="e">
        <f>MAX(0,BN199-BO198)</f>
        <v>#DIV/0!</v>
      </c>
      <c r="BP199" s="3" t="n"/>
      <c r="BQ199" s="3">
        <f>BQ179</f>
        <v>0</v>
      </c>
      <c r="BR199" s="3" t="e">
        <f>MAX(0,BQ199-BR198)</f>
        <v>#DIV/0!</v>
      </c>
      <c r="BS199" s="3" t="e">
        <f>MAX(0,BR199-BS198)</f>
        <v>#DIV/0!</v>
      </c>
      <c r="BT199" s="3" t="e">
        <f>MAX(0,BS199-BT198)</f>
        <v>#DIV/0!</v>
      </c>
      <c r="BU199" s="3" t="n"/>
      <c r="BV199" s="3">
        <f>BV179</f>
        <v>0</v>
      </c>
      <c r="BW199" s="3" t="e">
        <f>MAX(0,BV199-BW198)</f>
        <v>#DIV/0!</v>
      </c>
      <c r="BX199" s="3" t="e">
        <f>MAX(0,BW199-BX198)</f>
        <v>#DIV/0!</v>
      </c>
      <c r="BY199" s="3" t="e">
        <f>MAX(0,BX199-BY198)</f>
        <v>#DIV/0!</v>
      </c>
      <c r="BZ199" s="3" t="n"/>
      <c r="CA199" s="3">
        <f>CA179</f>
        <v>0</v>
      </c>
      <c r="CB199" s="3" t="e">
        <f>MAX(0,CA199-CB198)</f>
        <v>#DIV/0!</v>
      </c>
      <c r="CC199" s="3" t="e">
        <f>MAX(0,CB199-CC198)</f>
        <v>#DIV/0!</v>
      </c>
      <c r="CD199" s="3" t="e">
        <f>MAX(0,CC199-CD198)</f>
        <v>#DIV/0!</v>
      </c>
      <c r="CE199" s="3" t="n"/>
      <c r="CF199" s="3">
        <f>CF179</f>
        <v>0</v>
      </c>
      <c r="CG199" s="3" t="e">
        <f>MAX(0,CF199-CG198)</f>
        <v>#DIV/0!</v>
      </c>
      <c r="CH199" s="3" t="e">
        <f>MAX(0,CG199-CH198)</f>
        <v>#DIV/0!</v>
      </c>
      <c r="CI199" s="3" t="e">
        <f>MAX(0,CH199-CI198)</f>
        <v>#DIV/0!</v>
      </c>
      <c r="CJ199" s="3" t="n"/>
      <c r="CK199" s="3">
        <f>CK179</f>
        <v>0</v>
      </c>
      <c r="CL199" s="3" t="e">
        <f>MAX(0,CK199-CL198)</f>
        <v>#DIV/0!</v>
      </c>
      <c r="CM199" s="3" t="e">
        <f>MAX(0,CL199-CM198)</f>
        <v>#DIV/0!</v>
      </c>
      <c r="CN199" s="3" t="e">
        <f>MAX(0,CM199-CN198)</f>
        <v>#DIV/0!</v>
      </c>
      <c r="CO199" s="3" t="n"/>
      <c r="CP199" s="3">
        <f>CP179</f>
        <v>0</v>
      </c>
      <c r="CQ199" s="3" t="e">
        <f>MAX(0,CP199-CQ198)</f>
        <v>#DIV/0!</v>
      </c>
      <c r="CR199" s="3" t="e">
        <f>MAX(0,CQ199-CR198)</f>
        <v>#DIV/0!</v>
      </c>
      <c r="CS199" s="3" t="e">
        <f>MAX(0,CR199-CS198)</f>
        <v>#DIV/0!</v>
      </c>
      <c r="CT199" s="3" t="n"/>
      <c r="CU199" s="3">
        <f>CU179</f>
        <v>0</v>
      </c>
      <c r="CV199" s="3" t="e">
        <f>MAX(0,CU199-CV198)</f>
        <v>#DIV/0!</v>
      </c>
      <c r="CW199" s="3" t="e">
        <f>MAX(0,CV199-CW198)</f>
        <v>#DIV/0!</v>
      </c>
      <c r="CX199" s="3" t="e">
        <f>MAX(0,CW199-CX198)</f>
        <v>#DIV/0!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 t="n"/>
      <c r="E201" s="25" t="n"/>
      <c r="F201" s="25" t="n"/>
      <c r="G201" s="25" t="n"/>
      <c r="H201" s="3">
        <f>G201</f>
        <v>0</v>
      </c>
      <c r="I201" s="25" t="n"/>
      <c r="J201" s="25" t="n"/>
      <c r="K201" s="25" t="n"/>
      <c r="L201" s="25" t="n"/>
      <c r="M201" s="3">
        <f>L201</f>
        <v>0</v>
      </c>
      <c r="N201" s="25" t="n"/>
      <c r="O201" s="25" t="n"/>
      <c r="P201" s="25" t="n"/>
      <c r="Q201" s="25" t="n"/>
      <c r="R201" s="3">
        <f>Q201</f>
        <v>0</v>
      </c>
      <c r="S201" s="25" t="n"/>
      <c r="T201" s="25" t="n"/>
      <c r="U201" s="25" t="n"/>
      <c r="V201" s="25" t="n"/>
      <c r="W201" s="3">
        <f>V201</f>
        <v>0</v>
      </c>
      <c r="X201" s="25" t="n"/>
      <c r="Y201" s="25" t="n"/>
      <c r="Z201" s="25" t="n"/>
      <c r="AA201" s="25" t="n"/>
      <c r="AB201" s="3">
        <f>AA201</f>
        <v>0</v>
      </c>
      <c r="AC201" s="25" t="n"/>
      <c r="AD201" s="25" t="n"/>
      <c r="AE201" s="25" t="n"/>
      <c r="AF201" s="25" t="n"/>
      <c r="AG201" s="3">
        <f>AF201</f>
        <v>0</v>
      </c>
      <c r="AH201" s="3">
        <f>AG201</f>
        <v>0</v>
      </c>
      <c r="AI201" s="3">
        <f>AH201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 hidden="1" outlineLevel="1">
      <c r="C202" s="38" t="inlineStr">
        <is>
          <t>%(Var.)</t>
        </is>
      </c>
      <c r="D202" s="3" t="n"/>
      <c r="E202" s="47" t="e">
        <f>(E201-D201)/D201</f>
        <v>#DIV/0!</v>
      </c>
      <c r="F202" s="47" t="e">
        <f>(F201-E201)/E201</f>
        <v>#DIV/0!</v>
      </c>
      <c r="G202" s="47" t="e">
        <f>(G201-F201)/F201</f>
        <v>#DIV/0!</v>
      </c>
      <c r="H202" s="3" t="n"/>
      <c r="I202" s="47" t="e">
        <f>(I201-H201)/H201</f>
        <v>#DIV/0!</v>
      </c>
      <c r="J202" s="47" t="e">
        <f>(J201-I201)/I201</f>
        <v>#DIV/0!</v>
      </c>
      <c r="K202" s="47" t="e">
        <f>(K201-J201)/J201</f>
        <v>#DIV/0!</v>
      </c>
      <c r="L202" s="47" t="e">
        <f>(L201-K201)/K201</f>
        <v>#DIV/0!</v>
      </c>
      <c r="M202" s="3" t="n"/>
      <c r="N202" s="47" t="e">
        <f>(N201-M201)/M201</f>
        <v>#DIV/0!</v>
      </c>
      <c r="O202" s="47" t="e">
        <f>(O201-N201)/N201</f>
        <v>#DIV/0!</v>
      </c>
      <c r="P202" s="47" t="e">
        <f>(P201-O201)/O201</f>
        <v>#DIV/0!</v>
      </c>
      <c r="Q202" s="47" t="e">
        <f>(Q201-P201)/P201</f>
        <v>#DIV/0!</v>
      </c>
      <c r="R202" s="3" t="n"/>
      <c r="S202" s="47" t="e">
        <f>(S201-R201)/R201</f>
        <v>#DIV/0!</v>
      </c>
      <c r="T202" s="47" t="e">
        <f>(T201-S201)/S201</f>
        <v>#DIV/0!</v>
      </c>
      <c r="U202" s="47" t="e">
        <f>(U201-T201)/T201</f>
        <v>#DIV/0!</v>
      </c>
      <c r="V202" s="47" t="e">
        <f>(V201-U201)/U201</f>
        <v>#DIV/0!</v>
      </c>
      <c r="W202" s="3" t="n"/>
      <c r="X202" s="47" t="e">
        <f>(X201-W201)/W201</f>
        <v>#DIV/0!</v>
      </c>
      <c r="Y202" s="47" t="e">
        <f>(Y201-X201)/X201</f>
        <v>#DIV/0!</v>
      </c>
      <c r="Z202" s="47" t="e">
        <f>(Z201-Y201)/Y201</f>
        <v>#DIV/0!</v>
      </c>
      <c r="AA202" s="47" t="e">
        <f>(AA201-Z201)/Z201</f>
        <v>#DIV/0!</v>
      </c>
      <c r="AB202" s="3" t="n"/>
      <c r="AC202" s="47" t="e">
        <f>(AC201-AB201)/AB201</f>
        <v>#DIV/0!</v>
      </c>
      <c r="AD202" s="47" t="e">
        <f>(AD201-AC201)/AC201</f>
        <v>#DIV/0!</v>
      </c>
      <c r="AE202" s="47" t="e">
        <f>(AE201-AD201)/AD201</f>
        <v>#DIV/0!</v>
      </c>
      <c r="AF202" s="230" t="e">
        <f>(AF201-AE201)/AE201</f>
        <v>#DIV/0!</v>
      </c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 t="n"/>
      <c r="E205" s="25" t="n"/>
      <c r="F205" s="25" t="n"/>
      <c r="G205" s="25" t="n"/>
      <c r="H205" s="3">
        <f>G205</f>
        <v>0</v>
      </c>
      <c r="I205" s="25" t="n"/>
      <c r="J205" s="25" t="n"/>
      <c r="K205" s="25" t="n"/>
      <c r="L205" s="25" t="n"/>
      <c r="M205" s="3">
        <f>L205</f>
        <v>0</v>
      </c>
      <c r="N205" s="25" t="n"/>
      <c r="O205" s="25" t="n"/>
      <c r="P205" s="25" t="n"/>
      <c r="Q205" s="25" t="n"/>
      <c r="R205" s="3">
        <f>Q205</f>
        <v>0</v>
      </c>
      <c r="S205" s="25" t="n"/>
      <c r="T205" s="25" t="n"/>
      <c r="U205" s="25" t="n"/>
      <c r="V205" s="25" t="n"/>
      <c r="W205" s="3">
        <f>V205</f>
        <v>0</v>
      </c>
      <c r="X205" s="25" t="n"/>
      <c r="Y205" s="25" t="n"/>
      <c r="Z205" s="25" t="n"/>
      <c r="AA205" s="25" t="n"/>
      <c r="AB205" s="3">
        <f>AA205</f>
        <v>0</v>
      </c>
      <c r="AC205" s="25" t="n"/>
      <c r="AD205" s="25" t="n"/>
      <c r="AE205" s="25" t="n"/>
      <c r="AF205" s="25" t="n"/>
      <c r="AG205" s="3">
        <f>AF205</f>
        <v>0</v>
      </c>
      <c r="AH205" s="3">
        <f>AG205</f>
        <v>0</v>
      </c>
      <c r="AI205" s="3">
        <f>AH205</f>
        <v>0</v>
      </c>
      <c r="AJ205" s="3">
        <f>AI205</f>
        <v>0</v>
      </c>
      <c r="AK205" s="3">
        <f>AJ205</f>
        <v>0</v>
      </c>
      <c r="AL205" s="3">
        <f>AK205</f>
        <v>0</v>
      </c>
      <c r="AM205" s="3">
        <f>AL205</f>
        <v>0</v>
      </c>
      <c r="AN205" s="3">
        <f>AM205</f>
        <v>0</v>
      </c>
      <c r="AO205" s="3">
        <f>AN205</f>
        <v>0</v>
      </c>
      <c r="AP205" s="3">
        <f>AO205</f>
        <v>0</v>
      </c>
      <c r="AQ205" s="3">
        <f>AP205</f>
        <v>0</v>
      </c>
      <c r="AR205" s="3">
        <f>AQ205</f>
        <v>0</v>
      </c>
      <c r="AS205" s="3">
        <f>AR205</f>
        <v>0</v>
      </c>
      <c r="AT205" s="3">
        <f>AS205</f>
        <v>0</v>
      </c>
      <c r="AU205" s="3">
        <f>AT205</f>
        <v>0</v>
      </c>
      <c r="AV205" s="3">
        <f>AU205</f>
        <v>0</v>
      </c>
      <c r="AW205" s="3">
        <f>AV205</f>
        <v>0</v>
      </c>
      <c r="AX205" s="3">
        <f>AW205</f>
        <v>0</v>
      </c>
      <c r="AY205" s="3">
        <f>AX205</f>
        <v>0</v>
      </c>
      <c r="AZ205" s="3">
        <f>AY205</f>
        <v>0</v>
      </c>
      <c r="BA205" s="3">
        <f>AZ205</f>
        <v>0</v>
      </c>
      <c r="BB205" s="3">
        <f>BA205</f>
        <v>0</v>
      </c>
      <c r="BC205" s="3">
        <f>BB205</f>
        <v>0</v>
      </c>
      <c r="BD205" s="3">
        <f>BC205</f>
        <v>0</v>
      </c>
      <c r="BE205" s="3">
        <f>BD205</f>
        <v>0</v>
      </c>
      <c r="BF205" s="3">
        <f>BE205</f>
        <v>0</v>
      </c>
      <c r="BG205" s="3">
        <f>BF205</f>
        <v>0</v>
      </c>
      <c r="BH205" s="3">
        <f>BG205</f>
        <v>0</v>
      </c>
      <c r="BI205" s="3">
        <f>BH205</f>
        <v>0</v>
      </c>
      <c r="BJ205" s="3">
        <f>BI205</f>
        <v>0</v>
      </c>
      <c r="BK205" s="3">
        <f>BJ205</f>
        <v>0</v>
      </c>
      <c r="BL205" s="3">
        <f>BK205</f>
        <v>0</v>
      </c>
      <c r="BM205" s="3">
        <f>BL205</f>
        <v>0</v>
      </c>
      <c r="BN205" s="3">
        <f>BM205</f>
        <v>0</v>
      </c>
      <c r="BO205" s="3">
        <f>BN205</f>
        <v>0</v>
      </c>
      <c r="BP205" s="3">
        <f>BO205</f>
        <v>0</v>
      </c>
      <c r="BQ205" s="3">
        <f>BP205</f>
        <v>0</v>
      </c>
      <c r="BR205" s="3">
        <f>BQ205</f>
        <v>0</v>
      </c>
      <c r="BS205" s="3">
        <f>BR205</f>
        <v>0</v>
      </c>
      <c r="BT205" s="3">
        <f>BS205</f>
        <v>0</v>
      </c>
      <c r="BU205" s="3">
        <f>BT205</f>
        <v>0</v>
      </c>
      <c r="BV205" s="3">
        <f>BU205</f>
        <v>0</v>
      </c>
      <c r="BW205" s="3">
        <f>BV205</f>
        <v>0</v>
      </c>
      <c r="BX205" s="3">
        <f>BW205</f>
        <v>0</v>
      </c>
      <c r="BY205" s="3">
        <f>BX205</f>
        <v>0</v>
      </c>
      <c r="BZ205" s="3">
        <f>BY205</f>
        <v>0</v>
      </c>
      <c r="CA205" s="3">
        <f>BZ205</f>
        <v>0</v>
      </c>
      <c r="CB205" s="3">
        <f>CA205</f>
        <v>0</v>
      </c>
      <c r="CC205" s="3">
        <f>CB205</f>
        <v>0</v>
      </c>
      <c r="CD205" s="3">
        <f>CC205</f>
        <v>0</v>
      </c>
      <c r="CE205" s="3">
        <f>CD205</f>
        <v>0</v>
      </c>
      <c r="CF205" s="3">
        <f>CE205</f>
        <v>0</v>
      </c>
      <c r="CG205" s="3">
        <f>CF205</f>
        <v>0</v>
      </c>
      <c r="CH205" s="3">
        <f>CG205</f>
        <v>0</v>
      </c>
      <c r="CI205" s="3">
        <f>CH205</f>
        <v>0</v>
      </c>
      <c r="CJ205" s="3">
        <f>CI205</f>
        <v>0</v>
      </c>
      <c r="CK205" s="3">
        <f>CJ205</f>
        <v>0</v>
      </c>
      <c r="CL205" s="3">
        <f>CK205</f>
        <v>0</v>
      </c>
      <c r="CM205" s="3">
        <f>CL205</f>
        <v>0</v>
      </c>
      <c r="CN205" s="3">
        <f>CM205</f>
        <v>0</v>
      </c>
      <c r="CO205" s="3">
        <f>CN205</f>
        <v>0</v>
      </c>
      <c r="CP205" s="3">
        <f>CO205</f>
        <v>0</v>
      </c>
      <c r="CQ205" s="3">
        <f>CP205</f>
        <v>0</v>
      </c>
      <c r="CR205" s="3">
        <f>CQ205</f>
        <v>0</v>
      </c>
      <c r="CS205" s="3">
        <f>CR205</f>
        <v>0</v>
      </c>
      <c r="CT205" s="3">
        <f>CS205</f>
        <v>0</v>
      </c>
      <c r="CU205" s="3">
        <f>CT205</f>
        <v>0</v>
      </c>
      <c r="CV205" s="3">
        <f>CU205</f>
        <v>0</v>
      </c>
      <c r="CW205" s="3">
        <f>CV205</f>
        <v>0</v>
      </c>
      <c r="CX205" s="3">
        <f>CW205</f>
        <v>0</v>
      </c>
      <c r="CY205" s="3">
        <f>CX205</f>
        <v>0</v>
      </c>
    </row>
    <row r="206">
      <c r="C206" s="26" t="inlineStr">
        <is>
          <t>Other non-current liabilities</t>
        </is>
      </c>
      <c r="D206" s="25" t="n"/>
      <c r="E206" s="25" t="n"/>
      <c r="F206" s="25" t="n"/>
      <c r="G206" s="25" t="n"/>
      <c r="H206" s="3">
        <f>G206</f>
        <v>0</v>
      </c>
      <c r="I206" s="25" t="n"/>
      <c r="J206" s="25" t="n"/>
      <c r="K206" s="25" t="n"/>
      <c r="L206" s="25" t="n"/>
      <c r="M206" s="3">
        <f>L206</f>
        <v>0</v>
      </c>
      <c r="N206" s="25" t="n"/>
      <c r="O206" s="25" t="n"/>
      <c r="P206" s="25" t="n"/>
      <c r="Q206" s="25" t="n"/>
      <c r="R206" s="3">
        <f>Q206</f>
        <v>0</v>
      </c>
      <c r="S206" s="25" t="n"/>
      <c r="T206" s="25" t="n"/>
      <c r="U206" s="25" t="n"/>
      <c r="V206" s="25" t="n"/>
      <c r="W206" s="3">
        <f>V206</f>
        <v>0</v>
      </c>
      <c r="X206" s="25" t="n"/>
      <c r="Y206" s="25" t="n"/>
      <c r="Z206" s="25" t="n"/>
      <c r="AA206" s="25" t="n"/>
      <c r="AB206" s="3">
        <f>AA206</f>
        <v>0</v>
      </c>
      <c r="AC206" s="25" t="n"/>
      <c r="AD206" s="25" t="n"/>
      <c r="AE206" s="25" t="n"/>
      <c r="AF206" s="25" t="n"/>
      <c r="AG206" s="3">
        <f>AF206</f>
        <v>0</v>
      </c>
      <c r="AH206" s="3">
        <f>AG206</f>
        <v>0</v>
      </c>
      <c r="AI206" s="3">
        <f>AH206</f>
        <v>0</v>
      </c>
      <c r="AJ206" s="3">
        <f>AI206</f>
        <v>0</v>
      </c>
      <c r="AK206" s="3">
        <f>AJ206</f>
        <v>0</v>
      </c>
      <c r="AL206" s="3">
        <f>AK206</f>
        <v>0</v>
      </c>
      <c r="AM206" s="3">
        <f>AL206</f>
        <v>0</v>
      </c>
      <c r="AN206" s="3">
        <f>AM206</f>
        <v>0</v>
      </c>
      <c r="AO206" s="3">
        <f>AN206</f>
        <v>0</v>
      </c>
      <c r="AP206" s="3">
        <f>AO206</f>
        <v>0</v>
      </c>
      <c r="AQ206" s="3">
        <f>AP206</f>
        <v>0</v>
      </c>
      <c r="AR206" s="3">
        <f>AQ206</f>
        <v>0</v>
      </c>
      <c r="AS206" s="3">
        <f>AR206</f>
        <v>0</v>
      </c>
      <c r="AT206" s="3">
        <f>AS206</f>
        <v>0</v>
      </c>
      <c r="AU206" s="3">
        <f>AT206</f>
        <v>0</v>
      </c>
      <c r="AV206" s="3">
        <f>AU206</f>
        <v>0</v>
      </c>
      <c r="AW206" s="3">
        <f>AV206</f>
        <v>0</v>
      </c>
      <c r="AX206" s="3">
        <f>AW206</f>
        <v>0</v>
      </c>
      <c r="AY206" s="3">
        <f>AX206</f>
        <v>0</v>
      </c>
      <c r="AZ206" s="3">
        <f>AY206</f>
        <v>0</v>
      </c>
      <c r="BA206" s="3">
        <f>AZ206</f>
        <v>0</v>
      </c>
      <c r="BB206" s="3">
        <f>BA206</f>
        <v>0</v>
      </c>
      <c r="BC206" s="3">
        <f>BB206</f>
        <v>0</v>
      </c>
      <c r="BD206" s="3">
        <f>BC206</f>
        <v>0</v>
      </c>
      <c r="BE206" s="3">
        <f>BD206</f>
        <v>0</v>
      </c>
      <c r="BF206" s="3">
        <f>BE206</f>
        <v>0</v>
      </c>
      <c r="BG206" s="3">
        <f>BF206</f>
        <v>0</v>
      </c>
      <c r="BH206" s="3">
        <f>BG206</f>
        <v>0</v>
      </c>
      <c r="BI206" s="3">
        <f>BH206</f>
        <v>0</v>
      </c>
      <c r="BJ206" s="3">
        <f>BI206</f>
        <v>0</v>
      </c>
      <c r="BK206" s="3">
        <f>BJ206</f>
        <v>0</v>
      </c>
      <c r="BL206" s="3">
        <f>BK206</f>
        <v>0</v>
      </c>
      <c r="BM206" s="3">
        <f>BL206</f>
        <v>0</v>
      </c>
      <c r="BN206" s="3">
        <f>BM206</f>
        <v>0</v>
      </c>
      <c r="BO206" s="3">
        <f>BN206</f>
        <v>0</v>
      </c>
      <c r="BP206" s="3">
        <f>BO206</f>
        <v>0</v>
      </c>
      <c r="BQ206" s="3">
        <f>BP206</f>
        <v>0</v>
      </c>
      <c r="BR206" s="3">
        <f>BQ206</f>
        <v>0</v>
      </c>
      <c r="BS206" s="3">
        <f>BR206</f>
        <v>0</v>
      </c>
      <c r="BT206" s="3">
        <f>BS206</f>
        <v>0</v>
      </c>
      <c r="BU206" s="3">
        <f>BT206</f>
        <v>0</v>
      </c>
      <c r="BV206" s="3">
        <f>BU206</f>
        <v>0</v>
      </c>
      <c r="BW206" s="3">
        <f>BV206</f>
        <v>0</v>
      </c>
      <c r="BX206" s="3">
        <f>BW206</f>
        <v>0</v>
      </c>
      <c r="BY206" s="3">
        <f>BX206</f>
        <v>0</v>
      </c>
      <c r="BZ206" s="3">
        <f>BY206</f>
        <v>0</v>
      </c>
      <c r="CA206" s="3">
        <f>BZ206</f>
        <v>0</v>
      </c>
      <c r="CB206" s="3">
        <f>CA206</f>
        <v>0</v>
      </c>
      <c r="CC206" s="3">
        <f>CB206</f>
        <v>0</v>
      </c>
      <c r="CD206" s="3">
        <f>CC206</f>
        <v>0</v>
      </c>
      <c r="CE206" s="3">
        <f>CD206</f>
        <v>0</v>
      </c>
      <c r="CF206" s="3">
        <f>CE206</f>
        <v>0</v>
      </c>
      <c r="CG206" s="3">
        <f>CF206</f>
        <v>0</v>
      </c>
      <c r="CH206" s="3">
        <f>CG206</f>
        <v>0</v>
      </c>
      <c r="CI206" s="3">
        <f>CH206</f>
        <v>0</v>
      </c>
      <c r="CJ206" s="3">
        <f>CI206</f>
        <v>0</v>
      </c>
      <c r="CK206" s="3">
        <f>CJ206</f>
        <v>0</v>
      </c>
      <c r="CL206" s="3">
        <f>CK206</f>
        <v>0</v>
      </c>
      <c r="CM206" s="3">
        <f>CL206</f>
        <v>0</v>
      </c>
      <c r="CN206" s="3">
        <f>CM206</f>
        <v>0</v>
      </c>
      <c r="CO206" s="3">
        <f>CN206</f>
        <v>0</v>
      </c>
      <c r="CP206" s="3">
        <f>CO206</f>
        <v>0</v>
      </c>
      <c r="CQ206" s="3">
        <f>CP206</f>
        <v>0</v>
      </c>
      <c r="CR206" s="3">
        <f>CQ206</f>
        <v>0</v>
      </c>
      <c r="CS206" s="3">
        <f>CR206</f>
        <v>0</v>
      </c>
      <c r="CT206" s="3">
        <f>CS206</f>
        <v>0</v>
      </c>
      <c r="CU206" s="3">
        <f>CT206</f>
        <v>0</v>
      </c>
      <c r="CV206" s="3">
        <f>CU206</f>
        <v>0</v>
      </c>
      <c r="CW206" s="3">
        <f>CV206</f>
        <v>0</v>
      </c>
      <c r="CX206" s="3">
        <f>CW206</f>
        <v>0</v>
      </c>
      <c r="CY206" s="3">
        <f>CX206</f>
        <v>0</v>
      </c>
    </row>
    <row r="207" hidden="1" outlineLevel="1" ht="12" customHeight="1">
      <c r="C207" s="38" t="inlineStr">
        <is>
          <t>%(Var.)</t>
        </is>
      </c>
      <c r="D207" s="3" t="n"/>
      <c r="E207" s="47" t="e">
        <f>(E206-D206)/D206</f>
        <v>#DIV/0!</v>
      </c>
      <c r="F207" s="47" t="e">
        <f>(F206-E206)/E206</f>
        <v>#DIV/0!</v>
      </c>
      <c r="G207" s="47" t="e">
        <f>(G206-F206)/F206</f>
        <v>#DIV/0!</v>
      </c>
      <c r="H207" s="3" t="n"/>
      <c r="I207" s="47" t="e">
        <f>(I206-H206)/H206</f>
        <v>#DIV/0!</v>
      </c>
      <c r="J207" s="47" t="e">
        <f>(J206-I206)/I206</f>
        <v>#DIV/0!</v>
      </c>
      <c r="K207" s="47" t="e">
        <f>(K206-J206)/J206</f>
        <v>#DIV/0!</v>
      </c>
      <c r="L207" s="47" t="e">
        <f>(L206-K206)/K206</f>
        <v>#DIV/0!</v>
      </c>
      <c r="M207" s="3" t="n"/>
      <c r="N207" s="47" t="e">
        <f>(N206-M206)/M206</f>
        <v>#DIV/0!</v>
      </c>
      <c r="O207" s="47" t="e">
        <f>(O206-N206)/N206</f>
        <v>#DIV/0!</v>
      </c>
      <c r="P207" s="47" t="e">
        <f>(P206-O206)/O206</f>
        <v>#DIV/0!</v>
      </c>
      <c r="Q207" s="47" t="e">
        <f>(Q206-P206)/P206</f>
        <v>#DIV/0!</v>
      </c>
      <c r="R207" s="3" t="n"/>
      <c r="S207" s="47" t="e">
        <f>(S206-R206)/R206</f>
        <v>#DIV/0!</v>
      </c>
      <c r="T207" s="47" t="e">
        <f>(T206-S206)/S206</f>
        <v>#DIV/0!</v>
      </c>
      <c r="U207" s="47" t="e">
        <f>(U206-T206)/T206</f>
        <v>#DIV/0!</v>
      </c>
      <c r="V207" s="47" t="e">
        <f>(V206-U206)/U206</f>
        <v>#DIV/0!</v>
      </c>
      <c r="W207" s="3" t="n"/>
      <c r="X207" s="47" t="e">
        <f>(X206-W206)/W206</f>
        <v>#DIV/0!</v>
      </c>
      <c r="Y207" s="47" t="e">
        <f>(Y206-X206)/X206</f>
        <v>#DIV/0!</v>
      </c>
      <c r="Z207" s="47" t="e">
        <f>(Z206-Y206)/Y206</f>
        <v>#DIV/0!</v>
      </c>
      <c r="AA207" s="47" t="e">
        <f>(AA206-Z206)/Z206</f>
        <v>#DIV/0!</v>
      </c>
      <c r="AB207" s="3" t="n"/>
      <c r="AC207" s="47" t="e">
        <f>(AC206-AB206)/AB206</f>
        <v>#DIV/0!</v>
      </c>
      <c r="AD207" s="47" t="e">
        <f>(AD206-AC206)/AC206</f>
        <v>#DIV/0!</v>
      </c>
      <c r="AE207" s="47" t="e">
        <f>(AE206-AD206)/AD206</f>
        <v>#DIV/0!</v>
      </c>
      <c r="AF207" s="230" t="e">
        <f>(AF206-AE206)/AE206</f>
        <v>#DIV/0!</v>
      </c>
      <c r="AG207" s="3" t="n"/>
      <c r="AH207" s="230" t="n"/>
      <c r="AI207" s="230" t="n"/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0</v>
      </c>
      <c r="E213" s="16">
        <f>SUM(E164+E168+E170+E171+E178+E179+E180+E183+E201+E204+E205+E206)</f>
        <v>0</v>
      </c>
      <c r="F213" s="16">
        <f>SUM(F164+F168+F170+F171+F178+F179+F180+F183+F201+F204+F205+F206)</f>
        <v>0</v>
      </c>
      <c r="G213" s="16">
        <f>SUM(G164+G168+G170+G171+G178+G179+G180+G183+G201+G204+G205+G206)</f>
        <v>0</v>
      </c>
      <c r="H213" s="16">
        <f>SUM(H164,H168,H170,H171,H178,H179,H183,H180,H201,H204,H205,H206)</f>
        <v>0</v>
      </c>
      <c r="I213" s="16">
        <f>SUM(I164+I168+I170+I171+I178+I179+I180+I183+I201+I204+I205+I206)</f>
        <v>0</v>
      </c>
      <c r="J213" s="16">
        <f>SUM(J164+J168+J170+J171+J178+J179+J180+J183+J201+J204+J205+J206)</f>
        <v>0</v>
      </c>
      <c r="K213" s="16">
        <f>SUM(K164+K168+K170+K171+K178+K179+K180+K183+K201+K204+K205+K206)</f>
        <v>0</v>
      </c>
      <c r="L213" s="16">
        <f>SUM(L164+L168+L170+L171+L178+L179+L180+L183+L201+L204+L205+L206)</f>
        <v>0</v>
      </c>
      <c r="M213" s="16">
        <f>SUM(M164,M168,M170,M171,M178,M179,M183,M180,M201,M204,M205,M206)</f>
        <v>0</v>
      </c>
      <c r="N213" s="16">
        <f>SUM(N164+N168+N170+N171+N178+N179+N180+N183+N201+N204+N205+N206)</f>
        <v>0</v>
      </c>
      <c r="O213" s="16">
        <f>SUM(O164+O168+O170+O171+O178+O179+O180+O183+O201+O204+O205+O206)</f>
        <v>0</v>
      </c>
      <c r="P213" s="16">
        <f>SUM(P164+P168+P170+P171+P178+P179+P180+P183+P201+P204+P205+P206)</f>
        <v>0</v>
      </c>
      <c r="Q213" s="16">
        <f>SUM(Q164+Q168+Q170+Q171+Q178+Q179+Q180+Q183+Q201+Q204+Q205+Q206)</f>
        <v>0</v>
      </c>
      <c r="R213" s="16">
        <f>SUM(R164,R168,R170,R171,R178,R179,R183,R180,R201,R204,R205,R206)</f>
        <v>0</v>
      </c>
      <c r="S213" s="16">
        <f>SUM(S164+S168+S170+S171+S178+S179+S180+S183+S201+S204+S205+S206)</f>
        <v>0</v>
      </c>
      <c r="T213" s="16">
        <f>SUM(T164+T168+T170+T171+T178+T179+T180+T183+T201+T204+T205+T206)</f>
        <v>0</v>
      </c>
      <c r="U213" s="16">
        <f>SUM(U164+U168+U170+U171+U178+U179+U180+U183+U201+U204+U205+U206)</f>
        <v>0</v>
      </c>
      <c r="V213" s="16">
        <f>SUM(V164+V168+V170+V171+V178+V179+V180+V183+V201+V204+V205+V206)</f>
        <v>0</v>
      </c>
      <c r="W213" s="16">
        <f>SUM(W164,W168,W170,W171,W178,W179,W183,W180,W201,W204,W205,W206)</f>
        <v>0</v>
      </c>
      <c r="X213" s="16">
        <f>SUM(X164+X168+X170+X171+X178+X179+X180+X183+X201+X204+X205+X206)</f>
        <v>0</v>
      </c>
      <c r="Y213" s="16">
        <f>SUM(Y164+Y168+Y170+Y171+Y178+Y179+Y180+Y183+Y201+Y204+Y205+Y206)</f>
        <v>0</v>
      </c>
      <c r="Z213" s="16">
        <f>SUM(Z164+Z168+Z170+Z171+Z178+Z179+Z180+Z183+Z201+Z204+Z205+Z206)</f>
        <v>0</v>
      </c>
      <c r="AA213" s="16">
        <f>SUM(AA164+AA168+AA170+AA171+AA178+AA179+AA180+AA183+AA201+AA204+AA205+AA206)</f>
        <v>0</v>
      </c>
      <c r="AB213" s="16">
        <f>SUM(AB164,AB168,AB170,AB171,AB178,AB179,AB183,AB180,AB201,AB204,AB205,AB206)</f>
        <v>0</v>
      </c>
      <c r="AC213" s="16">
        <f>SUM(AC164+AC168+AC170+AC171+AC178+AC179+AC180+AC183+AC201+AC204+AC205+AC206)</f>
        <v>0</v>
      </c>
      <c r="AD213" s="16">
        <f>SUM(AD164+AD168+AD170+AD171+AD178+AD179+AD180+AD183+AD201+AD204+AD205+AD206)</f>
        <v>0</v>
      </c>
      <c r="AE213" s="16">
        <f>SUM(AE164+AE168+AE170+AE171+AE178+AE179+AE180+AE183+AE201+AE204+AE205+AE206)</f>
        <v>0</v>
      </c>
      <c r="AF213" s="16">
        <f>SUM(AF164+AF168+AF170+AF171+AF178+AF179+AF180+AF183+AF201+AF204+AF205+AF206)</f>
        <v>0</v>
      </c>
      <c r="AG213" s="16">
        <f>SUM(AG164,AG168,AG170,AG171,AG178,AG179,AG183,AG180,AG201,AG204,AG205,AG206)</f>
        <v>0</v>
      </c>
      <c r="AH213" s="16" t="e">
        <f>SUM(AH164+AH168+AH170+AH171+AH178+AH179+AH180+AH183+AH201+AH204+AH205+AH206)</f>
        <v>#DIV/0!</v>
      </c>
      <c r="AI213" s="16" t="e">
        <f>SUM(AI164+AI168+AI170+AI171+AI178+AI179+AI180+AI183+AI201+AI204+AI205+AI206)</f>
        <v>#DIV/0!</v>
      </c>
      <c r="AJ213" s="16" t="e">
        <f>SUM(AJ164+AJ168+AJ170+AJ171+AJ178+AJ179+AJ180+AJ183+AJ201+AJ204+AJ205+AJ206)</f>
        <v>#DIV/0!</v>
      </c>
      <c r="AK213" s="16" t="e">
        <f>SUM(AK164+AK168+AK170+AK171+AK178+AK179+AK180+AK183+AK201+AK204+AK205+AK206)</f>
        <v>#DIV/0!</v>
      </c>
      <c r="AL213" s="16" t="e">
        <f>SUM(AL164,AL168,AL170,AL171,AL178,AL179,AL183,AL180,AL201,AL204,AL205,AL206)</f>
        <v>#DIV/0!</v>
      </c>
      <c r="AM213" s="16" t="e">
        <f>SUM(AM164+AM168+AM170+AM171+AM178+AM179+AM180+AM183+AM201+AM204+AM205+AM206)</f>
        <v>#DIV/0!</v>
      </c>
      <c r="AN213" s="16" t="e">
        <f>SUM(AN164+AN168+AN170+AN171+AN178+AN179+AN180+AN183+AN201+AN204+AN205+AN206)</f>
        <v>#DIV/0!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 t="n"/>
      <c r="E214" s="25" t="n"/>
      <c r="F214" s="25" t="n"/>
      <c r="G214" s="25" t="n"/>
      <c r="H214" s="3">
        <f>G214</f>
        <v>0</v>
      </c>
      <c r="I214" s="25" t="n"/>
      <c r="J214" s="25" t="n"/>
      <c r="K214" s="25" t="n"/>
      <c r="L214" s="25" t="n"/>
      <c r="M214" s="3">
        <f>L214</f>
        <v>0</v>
      </c>
      <c r="N214" s="25" t="n"/>
      <c r="O214" s="25" t="n"/>
      <c r="P214" s="25" t="n"/>
      <c r="Q214" s="25" t="n"/>
      <c r="R214" s="3">
        <f>Q214</f>
        <v>0</v>
      </c>
      <c r="S214" s="25" t="n"/>
      <c r="T214" s="25" t="n"/>
      <c r="U214" s="25" t="n"/>
      <c r="V214" s="25" t="n"/>
      <c r="W214" s="3">
        <f>V214</f>
        <v>0</v>
      </c>
      <c r="X214" s="25" t="n"/>
      <c r="Y214" s="25" t="n"/>
      <c r="Z214" s="25" t="n"/>
      <c r="AA214" s="25" t="n"/>
      <c r="AB214" s="3">
        <f>AA214</f>
        <v>0</v>
      </c>
      <c r="AC214" s="25" t="n"/>
      <c r="AD214" s="25" t="n"/>
      <c r="AE214" s="25" t="n"/>
      <c r="AF214" s="25" t="n"/>
      <c r="AG214" s="3">
        <f>AF214</f>
        <v>0</v>
      </c>
      <c r="AH214" s="3">
        <f>AG214-AH102+AH217</f>
        <v>0</v>
      </c>
      <c r="AI214" s="3">
        <f>AH214-AI102+AI217</f>
        <v>0</v>
      </c>
      <c r="AJ214" s="3">
        <f>AI214-AJ102+AJ217</f>
        <v>0</v>
      </c>
      <c r="AK214" s="3">
        <f>AJ214-AK102+AK217</f>
        <v>0</v>
      </c>
      <c r="AL214" s="3">
        <f>AK214</f>
        <v>0</v>
      </c>
      <c r="AM214" s="3">
        <f>AL214-AM102+AM217</f>
        <v>0</v>
      </c>
      <c r="AN214" s="3">
        <f>AM214-AN102+AN217</f>
        <v>0</v>
      </c>
      <c r="AO214" s="3">
        <f>AN214-AO102+AO217</f>
        <v>0</v>
      </c>
      <c r="AP214" s="3">
        <f>AO214-AP102+AP217</f>
        <v>0</v>
      </c>
      <c r="AQ214" s="3">
        <f>AP214</f>
        <v>0</v>
      </c>
      <c r="AR214" s="3">
        <f>AQ214-AR102+AR217</f>
        <v>0</v>
      </c>
      <c r="AS214" s="3">
        <f>AR214-AS102+AS217</f>
        <v>0</v>
      </c>
      <c r="AT214" s="3">
        <f>AS214-AT102+AT217</f>
        <v>0</v>
      </c>
      <c r="AU214" s="3">
        <f>AT214-AU102+AU217</f>
        <v>0</v>
      </c>
      <c r="AV214" s="3">
        <f>AU214</f>
        <v>0</v>
      </c>
      <c r="AW214" s="3">
        <f>AV214-AW102+AW217</f>
        <v>0</v>
      </c>
      <c r="AX214" s="3">
        <f>AW214-AX102+AX217</f>
        <v>0</v>
      </c>
      <c r="AY214" s="3">
        <f>AX214-AY102+AY217</f>
        <v>0</v>
      </c>
      <c r="AZ214" s="3">
        <f>AY214-AZ102+AZ217</f>
        <v>0</v>
      </c>
      <c r="BA214" s="3">
        <f>AZ214</f>
        <v>0</v>
      </c>
      <c r="BB214" s="3">
        <f>BA214-BB102+BB217</f>
        <v>0</v>
      </c>
      <c r="BC214" s="3">
        <f>BB214-BC102+BC217</f>
        <v>0</v>
      </c>
      <c r="BD214" s="3">
        <f>BC214-BD102+BD217</f>
        <v>0</v>
      </c>
      <c r="BE214" s="3">
        <f>BD214-BE102+BE217</f>
        <v>0</v>
      </c>
      <c r="BF214" s="3">
        <f>BE214</f>
        <v>0</v>
      </c>
      <c r="BG214" s="3">
        <f>BF214-BG102+BG217</f>
        <v>0</v>
      </c>
      <c r="BH214" s="3">
        <f>BG214-BH102+BH217</f>
        <v>0</v>
      </c>
      <c r="BI214" s="3">
        <f>BH214-BI102+BI217</f>
        <v>0</v>
      </c>
      <c r="BJ214" s="3">
        <f>BI214-BJ102+BJ217</f>
        <v>0</v>
      </c>
      <c r="BK214" s="3">
        <f>BJ214</f>
        <v>0</v>
      </c>
      <c r="BL214" s="3">
        <f>BK214-BL102+BL217</f>
        <v>0</v>
      </c>
      <c r="BM214" s="3">
        <f>BL214-BM102+BM217</f>
        <v>0</v>
      </c>
      <c r="BN214" s="3">
        <f>BM214-BN102+BN217</f>
        <v>0</v>
      </c>
      <c r="BO214" s="3">
        <f>BN214-BO102+BO217</f>
        <v>0</v>
      </c>
      <c r="BP214" s="3">
        <f>BO214</f>
        <v>0</v>
      </c>
      <c r="BQ214" s="3">
        <f>BP214-BQ102+BQ217</f>
        <v>0</v>
      </c>
      <c r="BR214" s="3">
        <f>BQ214-BR102+BR217</f>
        <v>0</v>
      </c>
      <c r="BS214" s="3">
        <f>BR214-BS102+BS217</f>
        <v>0</v>
      </c>
      <c r="BT214" s="3">
        <f>BS214-BT102+BT217</f>
        <v>0</v>
      </c>
      <c r="BU214" s="3">
        <f>BT214</f>
        <v>0</v>
      </c>
      <c r="BV214" s="3">
        <f>BU214-BV102+BV217</f>
        <v>0</v>
      </c>
      <c r="BW214" s="3">
        <f>BV214-BW102+BW217</f>
        <v>0</v>
      </c>
      <c r="BX214" s="3">
        <f>BW214-BX102+BX217</f>
        <v>0</v>
      </c>
      <c r="BY214" s="3">
        <f>BX214-BY102+BY217</f>
        <v>0</v>
      </c>
      <c r="BZ214" s="3">
        <f>BY214</f>
        <v>0</v>
      </c>
      <c r="CA214" s="3">
        <f>BZ214-CA102+CA217</f>
        <v>0</v>
      </c>
      <c r="CB214" s="3">
        <f>CA214-CB102+CB217</f>
        <v>0</v>
      </c>
      <c r="CC214" s="3">
        <f>CB214-CC102+CC217</f>
        <v>0</v>
      </c>
      <c r="CD214" s="3">
        <f>CC214-CD102+CD217</f>
        <v>0</v>
      </c>
      <c r="CE214" s="3">
        <f>CD214</f>
        <v>0</v>
      </c>
      <c r="CF214" s="3">
        <f>CE214-CF102+CF217</f>
        <v>0</v>
      </c>
      <c r="CG214" s="3">
        <f>CF214-CG102+CG217</f>
        <v>0</v>
      </c>
      <c r="CH214" s="3">
        <f>CG214-CH102+CH217</f>
        <v>0</v>
      </c>
      <c r="CI214" s="3">
        <f>CH214-CI102+CI217</f>
        <v>0</v>
      </c>
      <c r="CJ214" s="3">
        <f>CI214</f>
        <v>0</v>
      </c>
      <c r="CK214" s="3">
        <f>CJ214-CK102+CK217</f>
        <v>0</v>
      </c>
      <c r="CL214" s="3">
        <f>CK214-CL102+CL217</f>
        <v>0</v>
      </c>
      <c r="CM214" s="3">
        <f>CL214-CM102+CM217</f>
        <v>0</v>
      </c>
      <c r="CN214" s="3">
        <f>CM214-CN102+CN217</f>
        <v>0</v>
      </c>
      <c r="CO214" s="3">
        <f>CN214</f>
        <v>0</v>
      </c>
      <c r="CP214" s="3">
        <f>CO214-CP102+CP217</f>
        <v>0</v>
      </c>
      <c r="CQ214" s="3">
        <f>CP214-CQ102+CQ217</f>
        <v>0</v>
      </c>
      <c r="CR214" s="3">
        <f>CQ214-CR102+CR217</f>
        <v>0</v>
      </c>
      <c r="CS214" s="3">
        <f>CR214-CS102+CS217</f>
        <v>0</v>
      </c>
      <c r="CT214" s="3">
        <f>CS214</f>
        <v>0</v>
      </c>
      <c r="CU214" s="3">
        <f>CT214-CU102+CU217</f>
        <v>0</v>
      </c>
      <c r="CV214" s="3">
        <f>CU214-CV102+CV217</f>
        <v>0</v>
      </c>
      <c r="CW214" s="3">
        <f>CV214-CW102+CW217</f>
        <v>0</v>
      </c>
      <c r="CX214" s="3">
        <f>CW214-CX102+CX217</f>
        <v>0</v>
      </c>
      <c r="CY214" s="3">
        <f>CX214</f>
        <v>0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0</v>
      </c>
      <c r="F216" s="22" t="n"/>
      <c r="G216" s="22" t="n"/>
      <c r="H216" s="40" t="n"/>
      <c r="I216" s="22" t="n"/>
      <c r="J216" s="40">
        <f>IF(I101=0,0,J101/I101-1)</f>
        <v>0</v>
      </c>
      <c r="K216" s="22" t="n"/>
      <c r="L216" s="22" t="n"/>
      <c r="M216" s="40" t="n"/>
      <c r="N216" s="40">
        <f>IF(I101=0,0,N101/I101-1)</f>
        <v>0</v>
      </c>
      <c r="O216" s="40">
        <f>IF(J101=0,0,O101/J101-1)</f>
        <v>0</v>
      </c>
      <c r="P216" s="40">
        <f>IF(K101=0,0,P101/K101-1)</f>
        <v>0</v>
      </c>
      <c r="Q216" s="40">
        <f>IF(L101=0,0,Q101/L101-1)</f>
        <v>0</v>
      </c>
      <c r="R216" s="40" t="n"/>
      <c r="S216" s="40">
        <f>IF(N101=0,0,S101/N101-1)</f>
        <v>0</v>
      </c>
      <c r="T216" s="40">
        <f>IF(O101=0,0,T101/O101-1)</f>
        <v>0</v>
      </c>
      <c r="U216" s="40">
        <f>IF(P101=0,0,U101/P101-1)</f>
        <v>0</v>
      </c>
      <c r="V216" s="40">
        <f>IF(Q101=0,0,V101/Q101-1)</f>
        <v>0</v>
      </c>
      <c r="W216" s="40">
        <f>IF(R102=0,0,W102/R102-1)</f>
        <v>0</v>
      </c>
      <c r="X216" s="40">
        <f>IF(S101=0,0,X101/S101-1)</f>
        <v>0</v>
      </c>
      <c r="Y216" s="40">
        <f>IF(T101=0,0,Y101/T101-1)</f>
        <v>0</v>
      </c>
      <c r="Z216" s="40">
        <f>IF(U101=0,0,Z101/U101-1)</f>
        <v>0</v>
      </c>
      <c r="AA216" s="40">
        <f>IF(V101=0,0,AA101/V101-1)</f>
        <v>0</v>
      </c>
      <c r="AB216" s="40">
        <f>IF(W102=0,0,AB102/W102-1)</f>
        <v>0</v>
      </c>
      <c r="AC216" s="40">
        <f>IF(X101=0,0,AC101/X101-1)</f>
        <v>0</v>
      </c>
      <c r="AD216" s="40">
        <f>IF(Y101=0,0,AD101/Y101-1)</f>
        <v>0</v>
      </c>
      <c r="AE216" s="40">
        <f>IF(Z101=0,0,AE101/Z101-1)</f>
        <v>0</v>
      </c>
      <c r="AF216" s="40">
        <f>IF(AA101=0,0,AF101/AA101-1)</f>
        <v>0</v>
      </c>
      <c r="AG216" s="40">
        <f>IF(AB102=0,0,AG102/AB102-1)</f>
        <v>0</v>
      </c>
      <c r="AH216" s="35" t="n"/>
      <c r="AI216" s="35" t="n"/>
      <c r="AJ216" s="35" t="n"/>
      <c r="AK216" s="35" t="n"/>
      <c r="AL216" s="40">
        <f>IF(AG102=0,0,AL102/AG102-1)</f>
        <v>0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 t="n"/>
      <c r="E220" s="25" t="n"/>
      <c r="F220" s="25" t="n"/>
      <c r="G220" s="25" t="n"/>
      <c r="H220" s="3">
        <f>G220</f>
        <v>0</v>
      </c>
      <c r="I220" s="25" t="n"/>
      <c r="J220" s="25" t="n"/>
      <c r="K220" s="25" t="n"/>
      <c r="L220" s="25" t="n"/>
      <c r="M220" s="3">
        <f>L220</f>
        <v>0</v>
      </c>
      <c r="N220" s="25" t="n"/>
      <c r="O220" s="25" t="n"/>
      <c r="P220" s="25" t="n"/>
      <c r="Q220" s="25" t="n"/>
      <c r="R220" s="3">
        <f>Q220</f>
        <v>0</v>
      </c>
      <c r="S220" s="25" t="n"/>
      <c r="T220" s="25" t="n"/>
      <c r="U220" s="25" t="n"/>
      <c r="V220" s="25" t="n"/>
      <c r="W220" s="3">
        <f>V220</f>
        <v>0</v>
      </c>
      <c r="X220" s="25" t="n"/>
      <c r="Y220" s="25" t="n"/>
      <c r="Z220" s="25" t="n"/>
      <c r="AA220" s="25" t="n"/>
      <c r="AB220" s="3">
        <f>AA220</f>
        <v>0</v>
      </c>
      <c r="AC220" s="25" t="n"/>
      <c r="AD220" s="25" t="n"/>
      <c r="AE220" s="25" t="n"/>
      <c r="AF220" s="25" t="n"/>
      <c r="AG220" s="3">
        <f>AF220</f>
        <v>0</v>
      </c>
      <c r="AH220" s="3">
        <f>AG220+AH224</f>
        <v>0</v>
      </c>
      <c r="AI220" s="3">
        <f>AH220+AI224</f>
        <v>0</v>
      </c>
      <c r="AJ220" s="3">
        <f>AI220+AJ224</f>
        <v>0</v>
      </c>
      <c r="AK220" s="3">
        <f>AJ220+AK224</f>
        <v>0</v>
      </c>
      <c r="AL220" s="3">
        <f>AK220</f>
        <v>0</v>
      </c>
      <c r="AM220" s="3">
        <f>AL220+AM224</f>
        <v>0</v>
      </c>
      <c r="AN220" s="3">
        <f>AM220+AN224</f>
        <v>0</v>
      </c>
      <c r="AO220" s="3">
        <f>AN220+AO224</f>
        <v>0</v>
      </c>
      <c r="AP220" s="3">
        <f>AO220+AP224</f>
        <v>0</v>
      </c>
      <c r="AQ220" s="3">
        <f>AP220</f>
        <v>0</v>
      </c>
      <c r="AR220" s="3">
        <f>AQ220+AR224</f>
        <v>0</v>
      </c>
      <c r="AS220" s="3">
        <f>AR220+AS224</f>
        <v>0</v>
      </c>
      <c r="AT220" s="3">
        <f>AS220+AT224</f>
        <v>0</v>
      </c>
      <c r="AU220" s="3">
        <f>AT220+AU224</f>
        <v>0</v>
      </c>
      <c r="AV220" s="3">
        <f>AU220</f>
        <v>0</v>
      </c>
      <c r="AW220" s="3">
        <f>AV220+AW224</f>
        <v>0</v>
      </c>
      <c r="AX220" s="3">
        <f>AW220+AX224</f>
        <v>0</v>
      </c>
      <c r="AY220" s="3">
        <f>AX220+AY224</f>
        <v>0</v>
      </c>
      <c r="AZ220" s="3">
        <f>AY220+AZ224</f>
        <v>0</v>
      </c>
      <c r="BA220" s="3">
        <f>AZ220</f>
        <v>0</v>
      </c>
      <c r="BB220" s="3">
        <f>BA220+BB224</f>
        <v>0</v>
      </c>
      <c r="BC220" s="3">
        <f>BB220+BC224</f>
        <v>0</v>
      </c>
      <c r="BD220" s="3">
        <f>BC220+BD224</f>
        <v>0</v>
      </c>
      <c r="BE220" s="3">
        <f>BD220+BE224</f>
        <v>0</v>
      </c>
      <c r="BF220" s="3">
        <f>BE220</f>
        <v>0</v>
      </c>
      <c r="BG220" s="3">
        <f>BF220+BG224</f>
        <v>0</v>
      </c>
      <c r="BH220" s="3">
        <f>BG220+BH224</f>
        <v>0</v>
      </c>
      <c r="BI220" s="3">
        <f>BH220+BI224</f>
        <v>0</v>
      </c>
      <c r="BJ220" s="3">
        <f>BI220+BJ224</f>
        <v>0</v>
      </c>
      <c r="BK220" s="3">
        <f>BJ220</f>
        <v>0</v>
      </c>
      <c r="BL220" s="3">
        <f>BK220+BL224</f>
        <v>0</v>
      </c>
      <c r="BM220" s="3">
        <f>BL220+BM224</f>
        <v>0</v>
      </c>
      <c r="BN220" s="3">
        <f>BM220+BN224</f>
        <v>0</v>
      </c>
      <c r="BO220" s="3">
        <f>BN220+BO224</f>
        <v>0</v>
      </c>
      <c r="BP220" s="3">
        <f>BO220</f>
        <v>0</v>
      </c>
      <c r="BQ220" s="3">
        <f>BP220+BQ224</f>
        <v>0</v>
      </c>
      <c r="BR220" s="3">
        <f>BQ220+BR224</f>
        <v>0</v>
      </c>
      <c r="BS220" s="3">
        <f>BR220+BS224</f>
        <v>0</v>
      </c>
      <c r="BT220" s="3">
        <f>BS220+BT224</f>
        <v>0</v>
      </c>
      <c r="BU220" s="3">
        <f>BT220</f>
        <v>0</v>
      </c>
      <c r="BV220" s="3">
        <f>BU220+BV224</f>
        <v>0</v>
      </c>
      <c r="BW220" s="3">
        <f>BV220+BW224</f>
        <v>0</v>
      </c>
      <c r="BX220" s="3">
        <f>BW220+BX224</f>
        <v>0</v>
      </c>
      <c r="BY220" s="3">
        <f>BX220+BY224</f>
        <v>0</v>
      </c>
      <c r="BZ220" s="3">
        <f>BY220</f>
        <v>0</v>
      </c>
      <c r="CA220" s="3">
        <f>BZ220+CA224</f>
        <v>0</v>
      </c>
      <c r="CB220" s="3">
        <f>CA220+CB224</f>
        <v>0</v>
      </c>
      <c r="CC220" s="3">
        <f>CB220+CC224</f>
        <v>0</v>
      </c>
      <c r="CD220" s="3">
        <f>CC220+CD224</f>
        <v>0</v>
      </c>
      <c r="CE220" s="3">
        <f>CD220</f>
        <v>0</v>
      </c>
      <c r="CF220" s="3">
        <f>CE220+CF224</f>
        <v>0</v>
      </c>
      <c r="CG220" s="3">
        <f>CF220+CG224</f>
        <v>0</v>
      </c>
      <c r="CH220" s="3">
        <f>CG220+CH224</f>
        <v>0</v>
      </c>
      <c r="CI220" s="3">
        <f>CH220+CI224</f>
        <v>0</v>
      </c>
      <c r="CJ220" s="3">
        <f>CI220</f>
        <v>0</v>
      </c>
      <c r="CK220" s="3">
        <f>CJ220+CK224</f>
        <v>0</v>
      </c>
      <c r="CL220" s="3">
        <f>CK220+CL224</f>
        <v>0</v>
      </c>
      <c r="CM220" s="3">
        <f>CL220+CM224</f>
        <v>0</v>
      </c>
      <c r="CN220" s="3">
        <f>CM220+CN224</f>
        <v>0</v>
      </c>
      <c r="CO220" s="3">
        <f>CN220</f>
        <v>0</v>
      </c>
      <c r="CP220" s="3">
        <f>CO220+CP224</f>
        <v>0</v>
      </c>
      <c r="CQ220" s="3">
        <f>CP220+CQ224</f>
        <v>0</v>
      </c>
      <c r="CR220" s="3">
        <f>CQ220+CR224</f>
        <v>0</v>
      </c>
      <c r="CS220" s="3">
        <f>CR220+CS224</f>
        <v>0</v>
      </c>
      <c r="CT220" s="3">
        <f>CS220</f>
        <v>0</v>
      </c>
      <c r="CU220" s="3">
        <f>CT220+CU224</f>
        <v>0</v>
      </c>
      <c r="CV220" s="3">
        <f>CU220+CV224</f>
        <v>0</v>
      </c>
      <c r="CW220" s="3">
        <f>CV220+CW224</f>
        <v>0</v>
      </c>
      <c r="CX220" s="3">
        <f>CW220+CX224</f>
        <v>0</v>
      </c>
      <c r="CY220" s="3">
        <f>CX220</f>
        <v>0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51" t="n"/>
      <c r="AH225" s="42">
        <f>AG225*(1+AH226)</f>
        <v>0</v>
      </c>
      <c r="AI225" s="42">
        <f>AH225*(1+AI226)</f>
        <v>0</v>
      </c>
      <c r="AJ225" s="42">
        <f>AI225*(1+AJ226)</f>
        <v>0</v>
      </c>
      <c r="AK225" s="42">
        <f>AJ225*(1+AK226)</f>
        <v>0</v>
      </c>
      <c r="AL225" s="22" t="n"/>
      <c r="AM225" s="42">
        <f>AK225*(1+AM226)</f>
        <v>0</v>
      </c>
      <c r="AN225" s="42">
        <f>AM225*(1+AN226)</f>
        <v>0</v>
      </c>
      <c r="AO225" s="42">
        <f>AN225*(1+AO226)</f>
        <v>0</v>
      </c>
      <c r="AP225" s="42">
        <f>AO225*(1+AP226)</f>
        <v>0</v>
      </c>
      <c r="AQ225" s="22" t="n"/>
      <c r="AR225" s="42">
        <f>AP225*(1+AR226)</f>
        <v>0</v>
      </c>
      <c r="AS225" s="42">
        <f>AR225*(1+AS226)</f>
        <v>0</v>
      </c>
      <c r="AT225" s="42">
        <f>AS225*(1+AT226)</f>
        <v>0</v>
      </c>
      <c r="AU225" s="42">
        <f>AT225*(1+AU226)</f>
        <v>0</v>
      </c>
      <c r="AV225" s="22" t="n"/>
      <c r="AW225" s="42">
        <f>AU225*(1+AW226)</f>
        <v>0</v>
      </c>
      <c r="AX225" s="42">
        <f>AW225*(1+AX226)</f>
        <v>0</v>
      </c>
      <c r="AY225" s="42">
        <f>AX225*(1+AY226)</f>
        <v>0</v>
      </c>
      <c r="AZ225" s="42">
        <f>AY225*(1+AZ226)</f>
        <v>0</v>
      </c>
      <c r="BA225" s="22" t="n"/>
      <c r="BB225" s="42">
        <f>AZ225*(1+BB226)</f>
        <v>0</v>
      </c>
      <c r="BC225" s="42">
        <f>BB225*(1+BC226)</f>
        <v>0</v>
      </c>
      <c r="BD225" s="42">
        <f>BC225*(1+BD226)</f>
        <v>0</v>
      </c>
      <c r="BE225" s="42">
        <f>BD225*(1+BE226)</f>
        <v>0</v>
      </c>
      <c r="BF225" s="22" t="n"/>
      <c r="BG225" s="42">
        <f>BE225*(1+BG226)</f>
        <v>0</v>
      </c>
      <c r="BH225" s="42">
        <f>BG225*(1+BH226)</f>
        <v>0</v>
      </c>
      <c r="BI225" s="42">
        <f>BH225*(1+BI226)</f>
        <v>0</v>
      </c>
      <c r="BJ225" s="42">
        <f>BI225*(1+BJ226)</f>
        <v>0</v>
      </c>
      <c r="BK225" s="22" t="n"/>
      <c r="BL225" s="42">
        <f>BJ225*(1+BL226)</f>
        <v>0</v>
      </c>
      <c r="BM225" s="42">
        <f>BL225*(1+BM226)</f>
        <v>0</v>
      </c>
      <c r="BN225" s="42">
        <f>BM225*(1+BN226)</f>
        <v>0</v>
      </c>
      <c r="BO225" s="42">
        <f>BN225*(1+BO226)</f>
        <v>0</v>
      </c>
      <c r="BP225" s="22" t="n"/>
      <c r="BQ225" s="42">
        <f>BO225*(1+BQ226)</f>
        <v>0</v>
      </c>
      <c r="BR225" s="42">
        <f>BQ225*(1+BR226)</f>
        <v>0</v>
      </c>
      <c r="BS225" s="42">
        <f>BR225*(1+BS226)</f>
        <v>0</v>
      </c>
      <c r="BT225" s="42">
        <f>BS225*(1+BT226)</f>
        <v>0</v>
      </c>
      <c r="BU225" s="22" t="n"/>
      <c r="BV225" s="42">
        <f>BT225*(1+BV226)</f>
        <v>0</v>
      </c>
      <c r="BW225" s="42">
        <f>BV225*(1+BW226)</f>
        <v>0</v>
      </c>
      <c r="BX225" s="42">
        <f>BW225*(1+BX226)</f>
        <v>0</v>
      </c>
      <c r="BY225" s="42">
        <f>BX225*(1+BY226)</f>
        <v>0</v>
      </c>
      <c r="BZ225" s="22" t="n"/>
      <c r="CA225" s="42">
        <f>BY225*(1+CA226)</f>
        <v>0</v>
      </c>
      <c r="CB225" s="42">
        <f>CA225*(1+CB226)</f>
        <v>0</v>
      </c>
      <c r="CC225" s="42">
        <f>CB225*(1+CC226)</f>
        <v>0</v>
      </c>
      <c r="CD225" s="42">
        <f>CC225*(1+CD226)</f>
        <v>0</v>
      </c>
      <c r="CE225" s="22" t="n"/>
      <c r="CF225" s="42">
        <f>CD225*(1+CF226)</f>
        <v>0</v>
      </c>
      <c r="CG225" s="42">
        <f>CF225*(1+CG226)</f>
        <v>0</v>
      </c>
      <c r="CH225" s="42">
        <f>CG225*(1+CH226)</f>
        <v>0</v>
      </c>
      <c r="CI225" s="42">
        <f>CH225*(1+CI226)</f>
        <v>0</v>
      </c>
      <c r="CJ225" s="22" t="n"/>
      <c r="CK225" s="42">
        <f>CI225*(1+CK226)</f>
        <v>0</v>
      </c>
      <c r="CL225" s="42">
        <f>CK225*(1+CL226)</f>
        <v>0</v>
      </c>
      <c r="CM225" s="42">
        <f>CL225*(1+CM226)</f>
        <v>0</v>
      </c>
      <c r="CN225" s="42">
        <f>CM225*(1+CN226)</f>
        <v>0</v>
      </c>
      <c r="CO225" s="22" t="n"/>
      <c r="CP225" s="42">
        <f>CN225*(1+CP226)</f>
        <v>0</v>
      </c>
      <c r="CQ225" s="42">
        <f>CP225*(1+CQ226)</f>
        <v>0</v>
      </c>
      <c r="CR225" s="42">
        <f>CQ225*(1+CR226)</f>
        <v>0</v>
      </c>
      <c r="CS225" s="42">
        <f>CR225*(1+CS226)</f>
        <v>0</v>
      </c>
      <c r="CT225" s="22" t="n"/>
      <c r="CU225" s="42">
        <f>CS225*(1+CU226)</f>
        <v>0</v>
      </c>
      <c r="CV225" s="42">
        <f>CU225*(1+CV226)</f>
        <v>0</v>
      </c>
      <c r="CW225" s="42">
        <f>CV225*(1+CW226)</f>
        <v>0</v>
      </c>
      <c r="CX225" s="42">
        <f>CW225*(1+CX226)</f>
        <v>0</v>
      </c>
      <c r="CY225" s="22" t="n"/>
      <c r="CZ225">
        <f>CX225*(1+CZ226)</f>
        <v>0</v>
      </c>
      <c r="DA225">
        <f>CZ225*(1+DA226)</f>
        <v>0</v>
      </c>
      <c r="DB225">
        <f>DA225*(1+DB226)</f>
        <v>0</v>
      </c>
      <c r="DC225">
        <f>DB225*(1+DC226)</f>
        <v>0</v>
      </c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e">
        <f>-AH223/AH225</f>
        <v>#DIV/0!</v>
      </c>
      <c r="AI228" s="43" t="e">
        <f>-AI223/AI225</f>
        <v>#DIV/0!</v>
      </c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e">
        <f>AH224/AH225</f>
        <v>#DIV/0!</v>
      </c>
      <c r="AI229" s="43" t="e">
        <f>AI224/AI225</f>
        <v>#DIV/0!</v>
      </c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51" t="n"/>
      <c r="AH230" s="1" t="e">
        <f>AG230+AH229-AH228</f>
        <v>#DIV/0!</v>
      </c>
      <c r="AI230" s="1" t="e">
        <f>AH230+AI229-AI228</f>
        <v>#DIV/0!</v>
      </c>
      <c r="AJ230" s="43" t="e">
        <f>AI230+AJ229-AJ228</f>
        <v>#DIV/0!</v>
      </c>
      <c r="AK230" s="43" t="e">
        <f>AJ230+AK229-AK228</f>
        <v>#DIV/0!</v>
      </c>
      <c r="AL230" s="22" t="n"/>
      <c r="AM230" s="1" t="e">
        <f>AK230+AM229-AM228</f>
        <v>#DIV/0!</v>
      </c>
      <c r="AN230" s="1" t="e">
        <f>AM230+AN229-AN228</f>
        <v>#DIV/0!</v>
      </c>
      <c r="AO230" s="43" t="e">
        <f>AN230+AO229-AO228</f>
        <v>#DIV/0!</v>
      </c>
      <c r="AP230" s="43" t="e">
        <f>AO230+AP229-AP228</f>
        <v>#DIV/0!</v>
      </c>
      <c r="AQ230" s="22" t="n"/>
      <c r="AR230" s="1" t="e">
        <f>AP230+AR229-AR228</f>
        <v>#DIV/0!</v>
      </c>
      <c r="AS230" s="1" t="e">
        <f>AR230+AS229-AS228</f>
        <v>#DIV/0!</v>
      </c>
      <c r="AT230" s="43" t="e">
        <f>AS230+AT229-AT228</f>
        <v>#DIV/0!</v>
      </c>
      <c r="AU230" s="43" t="e">
        <f>AT230+AU229-AU228</f>
        <v>#DIV/0!</v>
      </c>
      <c r="AV230" s="22" t="n"/>
      <c r="AW230" s="1" t="e">
        <f>AU230+AW229-AW228</f>
        <v>#DIV/0!</v>
      </c>
      <c r="AX230" s="1" t="e">
        <f>AW230+AX229-AX228</f>
        <v>#DIV/0!</v>
      </c>
      <c r="AY230" s="43" t="e">
        <f>AX230+AY229-AY228</f>
        <v>#DIV/0!</v>
      </c>
      <c r="AZ230" s="43" t="e">
        <f>AY230+AZ229-AZ228</f>
        <v>#DIV/0!</v>
      </c>
      <c r="BA230" s="22" t="n"/>
      <c r="BB230" s="1" t="e">
        <f>AZ230+BB229-BB228</f>
        <v>#DIV/0!</v>
      </c>
      <c r="BC230" s="1" t="e">
        <f>BB230+BC229-BC228</f>
        <v>#DIV/0!</v>
      </c>
      <c r="BD230" s="43" t="e">
        <f>BC230+BD229-BD228</f>
        <v>#DIV/0!</v>
      </c>
      <c r="BE230" s="43" t="e">
        <f>BD230+BE229-BE228</f>
        <v>#DIV/0!</v>
      </c>
      <c r="BF230" s="22" t="n"/>
      <c r="BG230" s="1" t="e">
        <f>BE230+BG229-BG228</f>
        <v>#DIV/0!</v>
      </c>
      <c r="BH230" s="1" t="e">
        <f>BG230+BH229-BH228</f>
        <v>#DIV/0!</v>
      </c>
      <c r="BI230" s="43" t="e">
        <f>BH230+BI229-BI228</f>
        <v>#DIV/0!</v>
      </c>
      <c r="BJ230" s="43" t="e">
        <f>BI230+BJ229-BJ228</f>
        <v>#DIV/0!</v>
      </c>
      <c r="BK230" s="22" t="n"/>
      <c r="BL230" s="1" t="e">
        <f>BJ230+BL229-BL228</f>
        <v>#DIV/0!</v>
      </c>
      <c r="BM230" s="1" t="e">
        <f>BL230+BM229-BM228</f>
        <v>#DIV/0!</v>
      </c>
      <c r="BN230" s="43" t="e">
        <f>BM230+BN229-BN228</f>
        <v>#DIV/0!</v>
      </c>
      <c r="BO230" s="43" t="e">
        <f>BN230+BO229-BO228</f>
        <v>#DIV/0!</v>
      </c>
      <c r="BP230" s="22" t="n"/>
      <c r="BQ230" s="1" t="e">
        <f>BO230+BQ229-BQ228</f>
        <v>#DIV/0!</v>
      </c>
      <c r="BR230" s="1" t="e">
        <f>BQ230+BR229-BR228</f>
        <v>#DIV/0!</v>
      </c>
      <c r="BS230" s="43" t="e">
        <f>BR230+BS229-BS228</f>
        <v>#DIV/0!</v>
      </c>
      <c r="BT230" s="43" t="e">
        <f>BS230+BT229-BT228</f>
        <v>#DIV/0!</v>
      </c>
      <c r="BU230" s="22" t="n"/>
      <c r="BV230" s="1" t="e">
        <f>BT230+BV229-BV228</f>
        <v>#DIV/0!</v>
      </c>
      <c r="BW230" s="1" t="e">
        <f>BV230+BW229-BW228</f>
        <v>#DIV/0!</v>
      </c>
      <c r="BX230" s="43" t="e">
        <f>BW230+BX229-BX228</f>
        <v>#DIV/0!</v>
      </c>
      <c r="BY230" s="43" t="e">
        <f>BX230+BY229-BY228</f>
        <v>#DIV/0!</v>
      </c>
      <c r="BZ230" s="22" t="n"/>
      <c r="CA230" s="1" t="e">
        <f>BY230+CA229-CA228</f>
        <v>#DIV/0!</v>
      </c>
      <c r="CB230" s="1" t="e">
        <f>CA230+CB229-CB228</f>
        <v>#DIV/0!</v>
      </c>
      <c r="CC230" s="43" t="e">
        <f>CB230+CC229-CC228</f>
        <v>#DIV/0!</v>
      </c>
      <c r="CD230" s="43" t="e">
        <f>CC230+CD229-CD228</f>
        <v>#DIV/0!</v>
      </c>
      <c r="CE230" s="22" t="n"/>
      <c r="CF230" s="1" t="e">
        <f>CD230+CF229-CF228</f>
        <v>#DIV/0!</v>
      </c>
      <c r="CG230" s="1" t="e">
        <f>CF230+CG229-CG228</f>
        <v>#DIV/0!</v>
      </c>
      <c r="CH230" s="43" t="e">
        <f>CG230+CH229-CH228</f>
        <v>#DIV/0!</v>
      </c>
      <c r="CI230" s="43" t="e">
        <f>CH230+CI229-CI228</f>
        <v>#DIV/0!</v>
      </c>
      <c r="CJ230" s="22" t="n"/>
      <c r="CK230" s="1" t="e">
        <f>CI230+CK229-CK228</f>
        <v>#DIV/0!</v>
      </c>
      <c r="CL230" s="1" t="e">
        <f>CK230+CL229-CL228</f>
        <v>#DIV/0!</v>
      </c>
      <c r="CM230" s="43" t="e">
        <f>CL230+CM229-CM228</f>
        <v>#DIV/0!</v>
      </c>
      <c r="CN230" s="43" t="e">
        <f>CM230+CN229-CN228</f>
        <v>#DIV/0!</v>
      </c>
      <c r="CO230" s="22" t="n"/>
      <c r="CP230" s="1" t="e">
        <f>CN230+CP229-CP228</f>
        <v>#DIV/0!</v>
      </c>
      <c r="CQ230" s="1" t="e">
        <f>CP230+CQ229-CQ228</f>
        <v>#DIV/0!</v>
      </c>
      <c r="CR230" s="43" t="e">
        <f>CQ230+CR229-CR228</f>
        <v>#DIV/0!</v>
      </c>
      <c r="CS230" s="43" t="e">
        <f>CR230+CS229-CS228</f>
        <v>#DIV/0!</v>
      </c>
      <c r="CT230" s="22" t="n"/>
      <c r="CU230" s="1" t="e">
        <f>CS230+CU229-CU228</f>
        <v>#DIV/0!</v>
      </c>
      <c r="CV230" s="1" t="e">
        <f>CU230+CV229-CV228</f>
        <v>#DIV/0!</v>
      </c>
      <c r="CW230" s="43" t="e">
        <f>CV230+CW229-CW228</f>
        <v>#DIV/0!</v>
      </c>
      <c r="CX230" s="43" t="e">
        <f>CW230+CX229-CX228</f>
        <v>#DIV/0!</v>
      </c>
      <c r="CY230" s="22" t="n"/>
      <c r="CZ230" t="e">
        <f>CX230+CZ229-CZ228</f>
        <v>#DIV/0!</v>
      </c>
      <c r="DA230" t="e">
        <f>CZ230+DA229-DA228</f>
        <v>#DIV/0!</v>
      </c>
      <c r="DB230" t="e">
        <f>DA230+DB229-DB228</f>
        <v>#DIV/0!</v>
      </c>
      <c r="DC230" t="e">
        <f>DB230+DC229-DC228</f>
        <v>#DIV/0!</v>
      </c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43" t="e">
        <f>AVERAGE(AG230,AH230)</f>
        <v>#DIV/0!</v>
      </c>
      <c r="AI231" s="43" t="e">
        <f>AVERAGE(AH230,AI230)</f>
        <v>#DIV/0!</v>
      </c>
      <c r="AJ231" s="43" t="e">
        <f>AVERAGE(AI230,AJ230)</f>
        <v>#DIV/0!</v>
      </c>
      <c r="AK231" s="43" t="e">
        <f>AVERAGE(AJ230,AK230)</f>
        <v>#DIV/0!</v>
      </c>
      <c r="AL231" s="22" t="n"/>
      <c r="AM231" s="43" t="e">
        <f>AVERAGE(AK230,AM230)</f>
        <v>#DIV/0!</v>
      </c>
      <c r="AN231" s="43" t="e">
        <f>AVERAGE(AM230,AN230)</f>
        <v>#DIV/0!</v>
      </c>
      <c r="AO231" s="43" t="e">
        <f>AVERAGE(AN230,AO230)</f>
        <v>#DIV/0!</v>
      </c>
      <c r="AP231" s="43" t="e">
        <f>AVERAGE(AO230,AP230)</f>
        <v>#DIV/0!</v>
      </c>
      <c r="AQ231" s="22" t="n"/>
      <c r="AR231" s="43" t="e">
        <f>AVERAGE(AP230,AR230)</f>
        <v>#DIV/0!</v>
      </c>
      <c r="AS231" s="43" t="e">
        <f>AVERAGE(AR230,AS230)</f>
        <v>#DIV/0!</v>
      </c>
      <c r="AT231" s="43" t="e">
        <f>AVERAGE(AS230,AT230)</f>
        <v>#DIV/0!</v>
      </c>
      <c r="AU231" s="43" t="e">
        <f>AVERAGE(AT230,AU230)</f>
        <v>#DIV/0!</v>
      </c>
      <c r="AV231" s="22" t="n"/>
      <c r="AW231" s="43" t="e">
        <f>AVERAGE(AU230,AW230)</f>
        <v>#DIV/0!</v>
      </c>
      <c r="AX231" s="43" t="e">
        <f>AVERAGE(AW230,AX230)</f>
        <v>#DIV/0!</v>
      </c>
      <c r="AY231" s="43" t="e">
        <f>AVERAGE(AX230,AY230)</f>
        <v>#DIV/0!</v>
      </c>
      <c r="AZ231" s="43" t="e">
        <f>AVERAGE(AY230,AZ230)</f>
        <v>#DIV/0!</v>
      </c>
      <c r="BA231" s="22" t="n"/>
      <c r="BB231" s="43" t="e">
        <f>AVERAGE(AZ230,BB230)</f>
        <v>#DIV/0!</v>
      </c>
      <c r="BC231" s="43" t="e">
        <f>AVERAGE(BB230,BC230)</f>
        <v>#DIV/0!</v>
      </c>
      <c r="BD231" s="43" t="e">
        <f>AVERAGE(BC230,BD230)</f>
        <v>#DIV/0!</v>
      </c>
      <c r="BE231" s="43" t="e">
        <f>AVERAGE(BD230,BE230)</f>
        <v>#DIV/0!</v>
      </c>
      <c r="BF231" s="22" t="n"/>
      <c r="BG231" s="43" t="e">
        <f>AVERAGE(BE230,BG230)</f>
        <v>#DIV/0!</v>
      </c>
      <c r="BH231" s="43" t="e">
        <f>AVERAGE(BG230,BH230)</f>
        <v>#DIV/0!</v>
      </c>
      <c r="BI231" s="43" t="e">
        <f>AVERAGE(BH230,BI230)</f>
        <v>#DIV/0!</v>
      </c>
      <c r="BJ231" s="43" t="e">
        <f>AVERAGE(BI230,BJ230)</f>
        <v>#DIV/0!</v>
      </c>
      <c r="BK231" s="22" t="n"/>
      <c r="BL231" s="43" t="e">
        <f>AVERAGE(BJ230,BL230)</f>
        <v>#DIV/0!</v>
      </c>
      <c r="BM231" s="43" t="e">
        <f>AVERAGE(BL230,BM230)</f>
        <v>#DIV/0!</v>
      </c>
      <c r="BN231" s="43" t="e">
        <f>AVERAGE(BM230,BN230)</f>
        <v>#DIV/0!</v>
      </c>
      <c r="BO231" s="43" t="e">
        <f>AVERAGE(BN230,BO230)</f>
        <v>#DIV/0!</v>
      </c>
      <c r="BP231" s="22" t="n"/>
      <c r="BQ231" s="43" t="e">
        <f>AVERAGE(BO230,BQ230)</f>
        <v>#DIV/0!</v>
      </c>
      <c r="BR231" s="43" t="e">
        <f>AVERAGE(BQ230,BR230)</f>
        <v>#DIV/0!</v>
      </c>
      <c r="BS231" s="43" t="e">
        <f>AVERAGE(BR230,BS230)</f>
        <v>#DIV/0!</v>
      </c>
      <c r="BT231" s="43" t="e">
        <f>AVERAGE(BS230,BT230)</f>
        <v>#DIV/0!</v>
      </c>
      <c r="BU231" s="22" t="n"/>
      <c r="BV231" s="43" t="e">
        <f>AVERAGE(BT230,BV230)</f>
        <v>#DIV/0!</v>
      </c>
      <c r="BW231" s="43" t="e">
        <f>AVERAGE(BV230,BW230)</f>
        <v>#DIV/0!</v>
      </c>
      <c r="BX231" s="43" t="e">
        <f>AVERAGE(BW230,BX230)</f>
        <v>#DIV/0!</v>
      </c>
      <c r="BY231" s="43" t="e">
        <f>AVERAGE(BX230,BY230)</f>
        <v>#DIV/0!</v>
      </c>
      <c r="BZ231" s="22" t="n"/>
      <c r="CA231" s="43" t="e">
        <f>AVERAGE(BY230,CA230)</f>
        <v>#DIV/0!</v>
      </c>
      <c r="CB231" s="43" t="e">
        <f>AVERAGE(CA230,CB230)</f>
        <v>#DIV/0!</v>
      </c>
      <c r="CC231" s="43" t="e">
        <f>AVERAGE(CB230,CC230)</f>
        <v>#DIV/0!</v>
      </c>
      <c r="CD231" s="43" t="e">
        <f>AVERAGE(CC230,CD230)</f>
        <v>#DIV/0!</v>
      </c>
      <c r="CE231" s="22" t="n"/>
      <c r="CF231" s="43" t="e">
        <f>AVERAGE(CD230,CF230)</f>
        <v>#DIV/0!</v>
      </c>
      <c r="CG231" s="43" t="e">
        <f>AVERAGE(CF230,CG230)</f>
        <v>#DIV/0!</v>
      </c>
      <c r="CH231" s="43" t="e">
        <f>AVERAGE(CG230,CH230)</f>
        <v>#DIV/0!</v>
      </c>
      <c r="CI231" s="43" t="e">
        <f>AVERAGE(CH230,CI230)</f>
        <v>#DIV/0!</v>
      </c>
      <c r="CJ231" s="22" t="n"/>
      <c r="CK231" s="43" t="e">
        <f>AVERAGE(CI230,CK230)</f>
        <v>#DIV/0!</v>
      </c>
      <c r="CL231" s="43" t="e">
        <f>AVERAGE(CK230,CL230)</f>
        <v>#DIV/0!</v>
      </c>
      <c r="CM231" s="43" t="e">
        <f>AVERAGE(CL230,CM230)</f>
        <v>#DIV/0!</v>
      </c>
      <c r="CN231" s="43" t="e">
        <f>AVERAGE(CM230,CN230)</f>
        <v>#DIV/0!</v>
      </c>
      <c r="CO231" s="22" t="n"/>
      <c r="CP231" s="43" t="e">
        <f>AVERAGE(CN230,CP230)</f>
        <v>#DIV/0!</v>
      </c>
      <c r="CQ231" s="43" t="e">
        <f>AVERAGE(CP230,CQ230)</f>
        <v>#DIV/0!</v>
      </c>
      <c r="CR231" s="43" t="e">
        <f>AVERAGE(CQ230,CR230)</f>
        <v>#DIV/0!</v>
      </c>
      <c r="CS231" s="43" t="e">
        <f>AVERAGE(CR230,CS230)</f>
        <v>#DIV/0!</v>
      </c>
      <c r="CT231" s="22" t="n"/>
      <c r="CU231" s="43" t="e">
        <f>AVERAGE(CS230,CU230)</f>
        <v>#DIV/0!</v>
      </c>
      <c r="CV231" s="43" t="e">
        <f>AVERAGE(CU230,CV230)</f>
        <v>#DIV/0!</v>
      </c>
      <c r="CW231" s="43" t="e">
        <f>AVERAGE(CV230,CW230)</f>
        <v>#DIV/0!</v>
      </c>
      <c r="CX231" s="43" t="e">
        <f>AVERAGE(CW230,CX230)</f>
        <v>#DIV/0!</v>
      </c>
      <c r="CY231" s="22" t="n"/>
      <c r="CZ231" t="e">
        <f>AVERAGE(CX230,CZ230)</f>
        <v>#DIV/0!</v>
      </c>
      <c r="DA231" t="e">
        <f>AVERAGE(CZ230,DA230)</f>
        <v>#DIV/0!</v>
      </c>
      <c r="DB231" t="e">
        <f>AVERAGE(DA230,DB230)</f>
        <v>#DIV/0!</v>
      </c>
      <c r="DC231" t="e">
        <f>AVERAGE(DB230,DC230)</f>
        <v>#DIV/0!</v>
      </c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 t="n"/>
      <c r="E233" s="25" t="n"/>
      <c r="F233" s="25" t="n"/>
      <c r="G233" s="25" t="n"/>
      <c r="H233" s="3">
        <f>G233</f>
        <v>0</v>
      </c>
      <c r="I233" s="25" t="n"/>
      <c r="J233" s="25" t="n"/>
      <c r="K233" s="25" t="n"/>
      <c r="L233" s="25" t="n"/>
      <c r="M233" s="3">
        <f>L233</f>
        <v>0</v>
      </c>
      <c r="N233" s="25" t="n"/>
      <c r="O233" s="25" t="n"/>
      <c r="P233" s="25" t="n"/>
      <c r="Q233" s="25" t="n"/>
      <c r="R233" s="3">
        <f>Q233</f>
        <v>0</v>
      </c>
      <c r="S233" s="25" t="n"/>
      <c r="T233" s="25" t="n"/>
      <c r="U233" s="25" t="n"/>
      <c r="V233" s="25" t="n"/>
      <c r="W233" s="3">
        <f>V233</f>
        <v>0</v>
      </c>
      <c r="X233" s="25" t="n"/>
      <c r="Y233" s="25" t="n"/>
      <c r="Z233" s="25" t="n"/>
      <c r="AA233" s="25" t="n"/>
      <c r="AB233" s="3">
        <f>AA233</f>
        <v>0</v>
      </c>
      <c r="AC233" s="25" t="n"/>
      <c r="AD233" s="25" t="n"/>
      <c r="AE233" s="25" t="n"/>
      <c r="AF233" s="25" t="n"/>
      <c r="AG233" s="3">
        <f>AF233</f>
        <v>0</v>
      </c>
      <c r="AH233" s="3">
        <f>AG233+AH223</f>
        <v>0</v>
      </c>
      <c r="AI233" s="3">
        <f>AH233+AI223</f>
        <v>0</v>
      </c>
      <c r="AJ233" s="3">
        <f>AI233+AJ223</f>
        <v>0</v>
      </c>
      <c r="AK233" s="3">
        <f>AJ233+AK223</f>
        <v>0</v>
      </c>
      <c r="AL233" s="3">
        <f>AK233</f>
        <v>0</v>
      </c>
      <c r="AM233" s="3">
        <f>AL233+AM223</f>
        <v>0</v>
      </c>
      <c r="AN233" s="3">
        <f>AM233+AN223</f>
        <v>0</v>
      </c>
      <c r="AO233" s="3">
        <f>AN233+AO223</f>
        <v>0</v>
      </c>
      <c r="AP233" s="3">
        <f>AO233+AP223</f>
        <v>0</v>
      </c>
      <c r="AQ233" s="3">
        <f>AP233</f>
        <v>0</v>
      </c>
      <c r="AR233" s="3">
        <f>AQ233+AR223</f>
        <v>0</v>
      </c>
      <c r="AS233" s="3">
        <f>AR233+AS223</f>
        <v>0</v>
      </c>
      <c r="AT233" s="3">
        <f>AS233+AT223</f>
        <v>0</v>
      </c>
      <c r="AU233" s="3">
        <f>AT233+AU223</f>
        <v>0</v>
      </c>
      <c r="AV233" s="3">
        <f>AU233</f>
        <v>0</v>
      </c>
      <c r="AW233" s="3">
        <f>AV233+AW223</f>
        <v>0</v>
      </c>
      <c r="AX233" s="3">
        <f>AW233+AX223</f>
        <v>0</v>
      </c>
      <c r="AY233" s="3">
        <f>AX233+AY223</f>
        <v>0</v>
      </c>
      <c r="AZ233" s="3">
        <f>AY233+AZ223</f>
        <v>0</v>
      </c>
      <c r="BA233" s="3">
        <f>AZ233</f>
        <v>0</v>
      </c>
      <c r="BB233" s="3">
        <f>BA233+BB223</f>
        <v>0</v>
      </c>
      <c r="BC233" s="3">
        <f>BB233+BC223</f>
        <v>0</v>
      </c>
      <c r="BD233" s="3">
        <f>BC233+BD223</f>
        <v>0</v>
      </c>
      <c r="BE233" s="3">
        <f>BD233+BE223</f>
        <v>0</v>
      </c>
      <c r="BF233" s="3">
        <f>BE233</f>
        <v>0</v>
      </c>
      <c r="BG233" s="3">
        <f>BF233+BG223</f>
        <v>0</v>
      </c>
      <c r="BH233" s="3">
        <f>BG233+BH223</f>
        <v>0</v>
      </c>
      <c r="BI233" s="3">
        <f>BH233+BI223</f>
        <v>0</v>
      </c>
      <c r="BJ233" s="3">
        <f>BI233+BJ223</f>
        <v>0</v>
      </c>
      <c r="BK233" s="3">
        <f>BJ233</f>
        <v>0</v>
      </c>
      <c r="BL233" s="3">
        <f>BK233+BL223</f>
        <v>0</v>
      </c>
      <c r="BM233" s="3">
        <f>BL233+BM223</f>
        <v>0</v>
      </c>
      <c r="BN233" s="3">
        <f>BM233+BN223</f>
        <v>0</v>
      </c>
      <c r="BO233" s="3">
        <f>BN233+BO223</f>
        <v>0</v>
      </c>
      <c r="BP233" s="3">
        <f>BO233</f>
        <v>0</v>
      </c>
      <c r="BQ233" s="3">
        <f>BP233+BQ223</f>
        <v>0</v>
      </c>
      <c r="BR233" s="3">
        <f>BQ233+BR223</f>
        <v>0</v>
      </c>
      <c r="BS233" s="3">
        <f>BR233+BS223</f>
        <v>0</v>
      </c>
      <c r="BT233" s="3">
        <f>BS233+BT223</f>
        <v>0</v>
      </c>
      <c r="BU233" s="3">
        <f>BT233</f>
        <v>0</v>
      </c>
      <c r="BV233" s="3">
        <f>BU233+BV223</f>
        <v>0</v>
      </c>
      <c r="BW233" s="3">
        <f>BV233+BW223</f>
        <v>0</v>
      </c>
      <c r="BX233" s="3">
        <f>BW233+BX223</f>
        <v>0</v>
      </c>
      <c r="BY233" s="3">
        <f>BX233+BY223</f>
        <v>0</v>
      </c>
      <c r="BZ233" s="3">
        <f>BY233</f>
        <v>0</v>
      </c>
      <c r="CA233" s="3">
        <f>BZ233+CA223</f>
        <v>0</v>
      </c>
      <c r="CB233" s="3">
        <f>CA233+CB223</f>
        <v>0</v>
      </c>
      <c r="CC233" s="3">
        <f>CB233+CC223</f>
        <v>0</v>
      </c>
      <c r="CD233" s="3">
        <f>CC233+CD223</f>
        <v>0</v>
      </c>
      <c r="CE233" s="3">
        <f>CD233</f>
        <v>0</v>
      </c>
      <c r="CF233" s="3">
        <f>CE233+CF223</f>
        <v>0</v>
      </c>
      <c r="CG233" s="3">
        <f>CF233+CG223</f>
        <v>0</v>
      </c>
      <c r="CH233" s="3">
        <f>CG233+CH223</f>
        <v>0</v>
      </c>
      <c r="CI233" s="3">
        <f>CH233+CI223</f>
        <v>0</v>
      </c>
      <c r="CJ233" s="3">
        <f>CI233</f>
        <v>0</v>
      </c>
      <c r="CK233" s="3">
        <f>CJ233+CK223</f>
        <v>0</v>
      </c>
      <c r="CL233" s="3">
        <f>CK233+CL223</f>
        <v>0</v>
      </c>
      <c r="CM233" s="3">
        <f>CL233+CM223</f>
        <v>0</v>
      </c>
      <c r="CN233" s="3">
        <f>CM233+CN223</f>
        <v>0</v>
      </c>
      <c r="CO233" s="3">
        <f>CN233</f>
        <v>0</v>
      </c>
      <c r="CP233" s="3">
        <f>CO233+CP223</f>
        <v>0</v>
      </c>
      <c r="CQ233" s="3">
        <f>CP233+CQ223</f>
        <v>0</v>
      </c>
      <c r="CR233" s="3">
        <f>CQ233+CR223</f>
        <v>0</v>
      </c>
      <c r="CS233" s="3">
        <f>CR233+CS223</f>
        <v>0</v>
      </c>
      <c r="CT233" s="3">
        <f>CS233</f>
        <v>0</v>
      </c>
      <c r="CU233" s="3">
        <f>CT233+CU223</f>
        <v>0</v>
      </c>
      <c r="CV233" s="3">
        <f>CU233+CV223</f>
        <v>0</v>
      </c>
      <c r="CW233" s="3">
        <f>CV233+CW223</f>
        <v>0</v>
      </c>
      <c r="CX233" s="3">
        <f>CW233+CX223</f>
        <v>0</v>
      </c>
      <c r="CY233" s="3">
        <f>CX233</f>
        <v>0</v>
      </c>
    </row>
    <row r="234">
      <c r="C234" s="26" t="inlineStr">
        <is>
          <t>Comprehensive (accumulated) loss</t>
        </is>
      </c>
      <c r="D234" s="25" t="n"/>
      <c r="E234" s="25" t="n"/>
      <c r="F234" s="25" t="n"/>
      <c r="G234" s="25" t="n"/>
      <c r="H234" s="3">
        <f>G234</f>
        <v>0</v>
      </c>
      <c r="I234" s="25" t="n"/>
      <c r="J234" s="25" t="n"/>
      <c r="K234" s="25" t="n"/>
      <c r="L234" s="25" t="n"/>
      <c r="M234" s="3">
        <f>L234</f>
        <v>0</v>
      </c>
      <c r="N234" s="25" t="n"/>
      <c r="O234" s="25" t="n"/>
      <c r="P234" s="25" t="n"/>
      <c r="Q234" s="25" t="n"/>
      <c r="R234" s="3">
        <f>Q234</f>
        <v>0</v>
      </c>
      <c r="S234" s="25" t="n"/>
      <c r="T234" s="25" t="n"/>
      <c r="U234" s="25" t="n"/>
      <c r="V234" s="25" t="n"/>
      <c r="W234" s="3">
        <f>V234</f>
        <v>0</v>
      </c>
      <c r="X234" s="25" t="n"/>
      <c r="Y234" s="25" t="n"/>
      <c r="Z234" s="25" t="n"/>
      <c r="AA234" s="25" t="n"/>
      <c r="AB234" s="3">
        <f>AA234</f>
        <v>0</v>
      </c>
      <c r="AC234" s="25" t="n"/>
      <c r="AD234" s="25" t="n"/>
      <c r="AE234" s="25" t="n"/>
      <c r="AF234" s="25" t="n"/>
      <c r="AG234" s="3">
        <f>AF234</f>
        <v>0</v>
      </c>
      <c r="AH234" s="3">
        <f>AG234</f>
        <v>0</v>
      </c>
      <c r="AI234" s="3">
        <f>AH234</f>
        <v>0</v>
      </c>
      <c r="AJ234" s="3">
        <f>AI234</f>
        <v>0</v>
      </c>
      <c r="AK234" s="3">
        <f>AJ234</f>
        <v>0</v>
      </c>
      <c r="AL234" s="3">
        <f>AK234</f>
        <v>0</v>
      </c>
      <c r="AM234" s="3">
        <f>AL234</f>
        <v>0</v>
      </c>
      <c r="AN234" s="3">
        <f>AM234</f>
        <v>0</v>
      </c>
      <c r="AO234" s="3">
        <f>AN234</f>
        <v>0</v>
      </c>
      <c r="AP234" s="3">
        <f>AO234</f>
        <v>0</v>
      </c>
      <c r="AQ234" s="3">
        <f>AP234</f>
        <v>0</v>
      </c>
      <c r="AR234" s="3">
        <f>AQ234</f>
        <v>0</v>
      </c>
      <c r="AS234" s="3">
        <f>AR234</f>
        <v>0</v>
      </c>
      <c r="AT234" s="3">
        <f>AS234</f>
        <v>0</v>
      </c>
      <c r="AU234" s="3">
        <f>AT234</f>
        <v>0</v>
      </c>
      <c r="AV234" s="3">
        <f>AU234</f>
        <v>0</v>
      </c>
      <c r="AW234" s="3">
        <f>AV234</f>
        <v>0</v>
      </c>
      <c r="AX234" s="3">
        <f>AW234</f>
        <v>0</v>
      </c>
      <c r="AY234" s="3">
        <f>AX234</f>
        <v>0</v>
      </c>
      <c r="AZ234" s="3">
        <f>AY234</f>
        <v>0</v>
      </c>
      <c r="BA234" s="3">
        <f>AZ234</f>
        <v>0</v>
      </c>
      <c r="BB234" s="3">
        <f>BA234</f>
        <v>0</v>
      </c>
      <c r="BC234" s="3">
        <f>BB234</f>
        <v>0</v>
      </c>
      <c r="BD234" s="3">
        <f>BC234</f>
        <v>0</v>
      </c>
      <c r="BE234" s="3">
        <f>BD234</f>
        <v>0</v>
      </c>
      <c r="BF234" s="3">
        <f>BE234</f>
        <v>0</v>
      </c>
      <c r="BG234" s="3">
        <f>BF234</f>
        <v>0</v>
      </c>
      <c r="BH234" s="3">
        <f>BG234</f>
        <v>0</v>
      </c>
      <c r="BI234" s="3">
        <f>BH234</f>
        <v>0</v>
      </c>
      <c r="BJ234" s="3">
        <f>BI234</f>
        <v>0</v>
      </c>
      <c r="BK234" s="3">
        <f>BJ234</f>
        <v>0</v>
      </c>
      <c r="BL234" s="3">
        <f>BK234</f>
        <v>0</v>
      </c>
      <c r="BM234" s="3">
        <f>BL234</f>
        <v>0</v>
      </c>
      <c r="BN234" s="3">
        <f>BM234</f>
        <v>0</v>
      </c>
      <c r="BO234" s="3">
        <f>BN234</f>
        <v>0</v>
      </c>
      <c r="BP234" s="3">
        <f>BO234</f>
        <v>0</v>
      </c>
      <c r="BQ234" s="3">
        <f>BP234</f>
        <v>0</v>
      </c>
      <c r="BR234" s="3">
        <f>BQ234</f>
        <v>0</v>
      </c>
      <c r="BS234" s="3">
        <f>BR234</f>
        <v>0</v>
      </c>
      <c r="BT234" s="3">
        <f>BS234</f>
        <v>0</v>
      </c>
      <c r="BU234" s="3">
        <f>BT234</f>
        <v>0</v>
      </c>
      <c r="BV234" s="3">
        <f>BU234</f>
        <v>0</v>
      </c>
      <c r="BW234" s="3">
        <f>BV234</f>
        <v>0</v>
      </c>
      <c r="BX234" s="3">
        <f>BW234</f>
        <v>0</v>
      </c>
      <c r="BY234" s="3">
        <f>BX234</f>
        <v>0</v>
      </c>
      <c r="BZ234" s="3">
        <f>BY234</f>
        <v>0</v>
      </c>
      <c r="CA234" s="3">
        <f>BZ234</f>
        <v>0</v>
      </c>
      <c r="CB234" s="3">
        <f>CA234</f>
        <v>0</v>
      </c>
      <c r="CC234" s="3">
        <f>CB234</f>
        <v>0</v>
      </c>
      <c r="CD234" s="3">
        <f>CC234</f>
        <v>0</v>
      </c>
      <c r="CE234" s="3">
        <f>CD234</f>
        <v>0</v>
      </c>
      <c r="CF234" s="3">
        <f>CE234</f>
        <v>0</v>
      </c>
      <c r="CG234" s="3">
        <f>CF234</f>
        <v>0</v>
      </c>
      <c r="CH234" s="3">
        <f>CG234</f>
        <v>0</v>
      </c>
      <c r="CI234" s="3">
        <f>CH234</f>
        <v>0</v>
      </c>
      <c r="CJ234" s="3">
        <f>CI234</f>
        <v>0</v>
      </c>
      <c r="CK234" s="3">
        <f>CJ234</f>
        <v>0</v>
      </c>
      <c r="CL234" s="3">
        <f>CK234</f>
        <v>0</v>
      </c>
      <c r="CM234" s="3">
        <f>CL234</f>
        <v>0</v>
      </c>
      <c r="CN234" s="3">
        <f>CM234</f>
        <v>0</v>
      </c>
      <c r="CO234" s="3">
        <f>CN234</f>
        <v>0</v>
      </c>
      <c r="CP234" s="3">
        <f>CO234</f>
        <v>0</v>
      </c>
      <c r="CQ234" s="3">
        <f>CP234</f>
        <v>0</v>
      </c>
      <c r="CR234" s="3">
        <f>CQ234</f>
        <v>0</v>
      </c>
      <c r="CS234" s="3">
        <f>CR234</f>
        <v>0</v>
      </c>
      <c r="CT234" s="3">
        <f>CS234</f>
        <v>0</v>
      </c>
      <c r="CU234" s="3">
        <f>CT234</f>
        <v>0</v>
      </c>
      <c r="CV234" s="3">
        <f>CU234</f>
        <v>0</v>
      </c>
      <c r="CW234" s="3">
        <f>CV234</f>
        <v>0</v>
      </c>
      <c r="CX234" s="3">
        <f>CW234</f>
        <v>0</v>
      </c>
      <c r="CY234" s="3">
        <f>CX234</f>
        <v>0</v>
      </c>
    </row>
    <row r="235">
      <c r="C235" s="26" t="inlineStr">
        <is>
          <t>Other equity account</t>
        </is>
      </c>
      <c r="D235" s="25" t="n"/>
      <c r="E235" s="25" t="n"/>
      <c r="F235" s="25" t="n"/>
      <c r="G235" s="25" t="n"/>
      <c r="H235" s="3">
        <f>G235</f>
        <v>0</v>
      </c>
      <c r="I235" s="25" t="n"/>
      <c r="J235" s="25" t="n"/>
      <c r="K235" s="25" t="n"/>
      <c r="L235" s="25" t="n"/>
      <c r="M235" s="3">
        <f>L235</f>
        <v>0</v>
      </c>
      <c r="N235" s="25" t="n"/>
      <c r="O235" s="25" t="n"/>
      <c r="P235" s="25" t="n"/>
      <c r="Q235" s="25" t="n"/>
      <c r="R235" s="3">
        <f>Q235</f>
        <v>0</v>
      </c>
      <c r="S235" s="25" t="n"/>
      <c r="T235" s="25" t="n"/>
      <c r="U235" s="25" t="n"/>
      <c r="V235" s="25" t="n"/>
      <c r="W235" s="3">
        <f>V235</f>
        <v>0</v>
      </c>
      <c r="X235" s="25" t="n"/>
      <c r="Y235" s="25" t="n"/>
      <c r="Z235" s="25" t="n"/>
      <c r="AA235" s="25" t="n"/>
      <c r="AB235" s="3">
        <f>AA235</f>
        <v>0</v>
      </c>
      <c r="AC235" s="25" t="n"/>
      <c r="AD235" s="25" t="n"/>
      <c r="AE235" s="25" t="n"/>
      <c r="AF235" s="25" t="n"/>
      <c r="AG235" s="3">
        <f>AF235</f>
        <v>0</v>
      </c>
      <c r="AH235" s="3">
        <f>AG235</f>
        <v>0</v>
      </c>
      <c r="AI235" s="3">
        <f>AH235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>
      <c r="C236" s="28" t="inlineStr">
        <is>
          <t>Retained earnings</t>
        </is>
      </c>
      <c r="D236" s="25" t="n"/>
      <c r="E236" s="25" t="n"/>
      <c r="F236" s="25" t="n"/>
      <c r="G236" s="25" t="n"/>
      <c r="H236" s="3">
        <f>G236</f>
        <v>0</v>
      </c>
      <c r="I236" s="25" t="n"/>
      <c r="J236" s="25" t="n"/>
      <c r="K236" s="25" t="n"/>
      <c r="L236" s="25" t="n"/>
      <c r="M236" s="3">
        <f>L236</f>
        <v>0</v>
      </c>
      <c r="N236" s="25" t="n"/>
      <c r="O236" s="25" t="n"/>
      <c r="P236" s="25" t="n"/>
      <c r="Q236" s="25" t="n"/>
      <c r="R236" s="3">
        <f>Q236</f>
        <v>0</v>
      </c>
      <c r="S236" s="25" t="n"/>
      <c r="T236" s="25" t="n"/>
      <c r="U236" s="25" t="n"/>
      <c r="V236" s="25" t="n"/>
      <c r="W236" s="3">
        <f>V236</f>
        <v>0</v>
      </c>
      <c r="X236" s="25" t="n"/>
      <c r="Y236" s="25" t="n"/>
      <c r="Z236" s="25" t="n"/>
      <c r="AA236" s="25" t="n"/>
      <c r="AB236" s="3">
        <f>AA236</f>
        <v>0</v>
      </c>
      <c r="AC236" s="25" t="n"/>
      <c r="AD236" s="25" t="n"/>
      <c r="AE236" s="25" t="n"/>
      <c r="AF236" s="25" t="n"/>
      <c r="AG236" s="3">
        <f>AF236</f>
        <v>0</v>
      </c>
      <c r="AH236" s="3">
        <f>AG236+AH103+AH104</f>
        <v>0</v>
      </c>
      <c r="AI236" s="3">
        <f>AH236+AI103+AI104</f>
        <v>0</v>
      </c>
      <c r="AJ236" s="3">
        <f>AI236+AJ103+AJ104</f>
        <v>0</v>
      </c>
      <c r="AK236" s="3">
        <f>AJ236+AK103+AK104</f>
        <v>0</v>
      </c>
      <c r="AL236" s="3">
        <f>AK236</f>
        <v>0</v>
      </c>
      <c r="AM236" s="3">
        <f>AL236+AM103+AM104</f>
        <v>0</v>
      </c>
      <c r="AN236" s="3">
        <f>AM236+AN103+AN104</f>
        <v>0</v>
      </c>
      <c r="AO236" s="3">
        <f>AN236+AO103+AO104</f>
        <v>0</v>
      </c>
      <c r="AP236" s="3">
        <f>AO236+AP103+AP104</f>
        <v>0</v>
      </c>
      <c r="AQ236" s="3">
        <f>AP236</f>
        <v>0</v>
      </c>
      <c r="AR236" s="3">
        <f>AQ236+AR103+AR104</f>
        <v>0</v>
      </c>
      <c r="AS236" s="3">
        <f>AR236+AS103+AS104</f>
        <v>0</v>
      </c>
      <c r="AT236" s="3">
        <f>AS236+AT103+AT104</f>
        <v>0</v>
      </c>
      <c r="AU236" s="3">
        <f>AT236+AU103+AU104</f>
        <v>0</v>
      </c>
      <c r="AV236" s="3">
        <f>AU236</f>
        <v>0</v>
      </c>
      <c r="AW236" s="3">
        <f>AV236+AW103+AW104</f>
        <v>0</v>
      </c>
      <c r="AX236" s="3">
        <f>AW236+AX103+AX104</f>
        <v>0</v>
      </c>
      <c r="AY236" s="3">
        <f>AX236+AY103+AY104</f>
        <v>0</v>
      </c>
      <c r="AZ236" s="3">
        <f>AY236+AZ103+AZ104</f>
        <v>0</v>
      </c>
      <c r="BA236" s="3">
        <f>AZ236</f>
        <v>0</v>
      </c>
      <c r="BB236" s="3">
        <f>BA236+BB103+BB104</f>
        <v>0</v>
      </c>
      <c r="BC236" s="3">
        <f>BB236+BC103+BC104</f>
        <v>0</v>
      </c>
      <c r="BD236" s="3">
        <f>BC236+BD103+BD104</f>
        <v>0</v>
      </c>
      <c r="BE236" s="3">
        <f>BD236+BE103+BE104</f>
        <v>0</v>
      </c>
      <c r="BF236" s="3">
        <f>BE236</f>
        <v>0</v>
      </c>
      <c r="BG236" s="3">
        <f>BF236+BG103+BG104</f>
        <v>0</v>
      </c>
      <c r="BH236" s="3">
        <f>BG236+BH103+BH104</f>
        <v>0</v>
      </c>
      <c r="BI236" s="3">
        <f>BH236+BI103+BI104</f>
        <v>0</v>
      </c>
      <c r="BJ236" s="3">
        <f>BI236+BJ103+BJ104</f>
        <v>0</v>
      </c>
      <c r="BK236" s="3">
        <f>BJ236</f>
        <v>0</v>
      </c>
      <c r="BL236" s="3">
        <f>BK236+BL103+BL104</f>
        <v>0</v>
      </c>
      <c r="BM236" s="3">
        <f>BL236+BM103+BM104</f>
        <v>0</v>
      </c>
      <c r="BN236" s="3">
        <f>BM236+BN103+BN104</f>
        <v>0</v>
      </c>
      <c r="BO236" s="3">
        <f>BN236+BO103+BO104</f>
        <v>0</v>
      </c>
      <c r="BP236" s="3">
        <f>BO236</f>
        <v>0</v>
      </c>
      <c r="BQ236" s="3">
        <f>BP236+BQ103+BQ104</f>
        <v>0</v>
      </c>
      <c r="BR236" s="3">
        <f>BQ236+BR103+BR104</f>
        <v>0</v>
      </c>
      <c r="BS236" s="3">
        <f>BR236+BS103+BS104</f>
        <v>0</v>
      </c>
      <c r="BT236" s="3">
        <f>BS236+BT103+BT104</f>
        <v>0</v>
      </c>
      <c r="BU236" s="3">
        <f>BT236</f>
        <v>0</v>
      </c>
      <c r="BV236" s="3">
        <f>BU236+BV103+BV104</f>
        <v>0</v>
      </c>
      <c r="BW236" s="3">
        <f>BV236+BW103+BW104</f>
        <v>0</v>
      </c>
      <c r="BX236" s="3">
        <f>BW236+BX103+BX104</f>
        <v>0</v>
      </c>
      <c r="BY236" s="3">
        <f>BX236+BY103+BY104</f>
        <v>0</v>
      </c>
      <c r="BZ236" s="3">
        <f>BY236</f>
        <v>0</v>
      </c>
      <c r="CA236" s="3">
        <f>BZ236+CA103+CA104</f>
        <v>0</v>
      </c>
      <c r="CB236" s="3">
        <f>CA236+CB103+CB104</f>
        <v>0</v>
      </c>
      <c r="CC236" s="3">
        <f>CB236+CC103+CC104</f>
        <v>0</v>
      </c>
      <c r="CD236" s="3">
        <f>CC236+CD103+CD104</f>
        <v>0</v>
      </c>
      <c r="CE236" s="3">
        <f>CD236</f>
        <v>0</v>
      </c>
      <c r="CF236" s="3">
        <f>CE236+CF103+CF104</f>
        <v>0</v>
      </c>
      <c r="CG236" s="3">
        <f>CF236+CG103+CG104</f>
        <v>0</v>
      </c>
      <c r="CH236" s="3">
        <f>CG236+CH103+CH104</f>
        <v>0</v>
      </c>
      <c r="CI236" s="3">
        <f>CH236+CI103+CI104</f>
        <v>0</v>
      </c>
      <c r="CJ236" s="3">
        <f>CI236</f>
        <v>0</v>
      </c>
      <c r="CK236" s="3">
        <f>CJ236+CK103+CK104</f>
        <v>0</v>
      </c>
      <c r="CL236" s="3">
        <f>CK236+CL103+CL104</f>
        <v>0</v>
      </c>
      <c r="CM236" s="3">
        <f>CL236+CM103+CM104</f>
        <v>0</v>
      </c>
      <c r="CN236" s="3">
        <f>CM236+CN103+CN104</f>
        <v>0</v>
      </c>
      <c r="CO236" s="3">
        <f>CN236</f>
        <v>0</v>
      </c>
      <c r="CP236" s="3">
        <f>CO236+CP103+CP104</f>
        <v>0</v>
      </c>
      <c r="CQ236" s="3">
        <f>CP236+CQ103+CQ104</f>
        <v>0</v>
      </c>
      <c r="CR236" s="3">
        <f>CQ236+CR103+CR104</f>
        <v>0</v>
      </c>
      <c r="CS236" s="3">
        <f>CR236+CS103+CS104</f>
        <v>0</v>
      </c>
      <c r="CT236" s="3">
        <f>CS236</f>
        <v>0</v>
      </c>
      <c r="CU236" s="3">
        <f>CT236+CU103+CU104</f>
        <v>0</v>
      </c>
      <c r="CV236" s="3">
        <f>CU236+CV103+CV104</f>
        <v>0</v>
      </c>
      <c r="CW236" s="3">
        <f>CV236+CW103+CW104</f>
        <v>0</v>
      </c>
      <c r="CX236" s="3">
        <f>CW236+CX103+CX104</f>
        <v>0</v>
      </c>
      <c r="CY236" s="3">
        <f>CX236</f>
        <v>0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0</v>
      </c>
      <c r="E237" s="16">
        <f>SUM(E214+E219+E220+E233+E234+E235+E236)</f>
        <v>0</v>
      </c>
      <c r="F237" s="16">
        <f>SUM(F214+F219+F220+F233+F234+F235+F236)</f>
        <v>0</v>
      </c>
      <c r="G237" s="16">
        <f>SUM(G214+G219+G220+G233+G234+G235+G236)</f>
        <v>0</v>
      </c>
      <c r="H237" s="16">
        <f>SUM(H214,H219,H220,H233,H234,H235,H236)</f>
        <v>0</v>
      </c>
      <c r="I237" s="16">
        <f>SUM(I214+I219+I220+I233+I234+I235+I236)</f>
        <v>0</v>
      </c>
      <c r="J237" s="16">
        <f>SUM(J214+J219+J220+J233+J234+J235+J236)</f>
        <v>0</v>
      </c>
      <c r="K237" s="16">
        <f>SUM(K214+K219+K220+K233+K234+K235+K236)</f>
        <v>0</v>
      </c>
      <c r="L237" s="16">
        <f>SUM(L214+L219+L220+L233+L234+L235+L236)</f>
        <v>0</v>
      </c>
      <c r="M237" s="16">
        <f>SUM(M214,M219,M220,M233,M234,M235,M236)</f>
        <v>0</v>
      </c>
      <c r="N237" s="16">
        <f>SUM(N214+N219+N220+N233+N234+N235+N236)</f>
        <v>0</v>
      </c>
      <c r="O237" s="16">
        <f>SUM(O214+O219+O220+O233+O234+O235+O236)</f>
        <v>0</v>
      </c>
      <c r="P237" s="16">
        <f>SUM(P214+P219+P220+P233+P234+P235+P236)</f>
        <v>0</v>
      </c>
      <c r="Q237" s="16">
        <f>SUM(Q214+Q219+Q220+Q233+Q234+Q235+Q236)</f>
        <v>0</v>
      </c>
      <c r="R237" s="16">
        <f>SUM(R214,R219,R220,R233,R234,R235,R236)</f>
        <v>0</v>
      </c>
      <c r="S237" s="16">
        <f>SUM(S214+S219+S220+S233+S234+S235+S236)</f>
        <v>0</v>
      </c>
      <c r="T237" s="16">
        <f>SUM(T214+T219+T220+T233+T234+T235+T236)</f>
        <v>0</v>
      </c>
      <c r="U237" s="16">
        <f>SUM(U214+U219+U220+U233+U234+U235+U236)</f>
        <v>0</v>
      </c>
      <c r="V237" s="16">
        <f>SUM(V214+V219+V220+V233+V234+V235+V236)</f>
        <v>0</v>
      </c>
      <c r="W237" s="16">
        <f>SUM(W214,W219,W220,W233,W234,W235,W236)</f>
        <v>0</v>
      </c>
      <c r="X237" s="16">
        <f>SUM(X214+X219+X220+X233+X234+X235+X236)</f>
        <v>0</v>
      </c>
      <c r="Y237" s="16">
        <f>SUM(Y214+Y219+Y220+Y233+Y234+Y235+Y236)</f>
        <v>0</v>
      </c>
      <c r="Z237" s="16">
        <f>SUM(Z214+Z219+Z220+Z233+Z234+Z235+Z236)</f>
        <v>0</v>
      </c>
      <c r="AA237" s="16">
        <f>SUM(AA214+AA219+AA220+AA233+AA234+AA235+AA236)</f>
        <v>0</v>
      </c>
      <c r="AB237" s="16">
        <f>SUM(AB214,AB219,AB220,AB233,AB234,AB235,AB236)</f>
        <v>0</v>
      </c>
      <c r="AC237" s="16">
        <f>SUM(AC214+AC219+AC220+AC233+AC234+AC235+AC236)</f>
        <v>0</v>
      </c>
      <c r="AD237" s="16">
        <f>SUM(AD214+AD219+AD220+AD233+AD234+AD235+AD236)</f>
        <v>0</v>
      </c>
      <c r="AE237" s="16">
        <f>SUM(AE214+AE219+AE220+AE233+AE234+AE235+AE236)</f>
        <v>0</v>
      </c>
      <c r="AF237" s="16">
        <f>SUM(AF214+AF219+AF220+AF233+AF234+AF235+AF236)</f>
        <v>0</v>
      </c>
      <c r="AG237" s="16">
        <f>SUM(AG214,AG219,AG220,AG233,AG234,AG235,AG236)</f>
        <v>0</v>
      </c>
      <c r="AH237" s="16">
        <f>SUM(AH214+AH219+AH220+AH233+AH234+AH235+AH236)</f>
        <v>0</v>
      </c>
      <c r="AI237" s="16">
        <f>SUM(AI214+AI219+AI220+AI233+AI234+AI235+AI236)</f>
        <v>0</v>
      </c>
      <c r="AJ237" s="16">
        <f>SUM(AJ214+AJ219+AJ220+AJ233+AJ234+AJ235+AJ236)</f>
        <v>0</v>
      </c>
      <c r="AK237" s="16">
        <f>SUM(AK214+AK219+AK220+AK233+AK234+AK235+AK236)</f>
        <v>0</v>
      </c>
      <c r="AL237" s="16">
        <f>SUM(AL214,AL219,AL220,AL233,AL234,AL235,AL236)</f>
        <v>0</v>
      </c>
      <c r="AM237" s="16">
        <f>SUM(AM214+AM219+AM220+AM233+AM234+AM235+AM236)</f>
        <v>0</v>
      </c>
      <c r="AN237" s="16">
        <f>SUM(AN214+AN219+AN220+AN233+AN234+AN235+AN236)</f>
        <v>0</v>
      </c>
      <c r="AO237" s="16">
        <f>SUM(AO214+AO219+AO220+AO233+AO234+AO235+AO236)</f>
        <v>0</v>
      </c>
      <c r="AP237" s="16">
        <f>SUM(AP214+AP219+AP220+AP233+AP234+AP235+AP236)</f>
        <v>0</v>
      </c>
      <c r="AQ237" s="16">
        <f>SUM(AQ214,AQ219,AQ220,AQ233,AQ234,AQ235,AQ236)</f>
        <v>0</v>
      </c>
      <c r="AR237" s="16">
        <f>SUM(AR214+AR219+AR220+AR233+AR234+AR235+AR236)</f>
        <v>0</v>
      </c>
      <c r="AS237" s="16">
        <f>SUM(AS214+AS219+AS220+AS233+AS234+AS235+AS236)</f>
        <v>0</v>
      </c>
      <c r="AT237" s="16">
        <f>SUM(AT214+AT219+AT220+AT233+AT234+AT235+AT236)</f>
        <v>0</v>
      </c>
      <c r="AU237" s="16">
        <f>SUM(AU214+AU219+AU220+AU233+AU234+AU235+AU236)</f>
        <v>0</v>
      </c>
      <c r="AV237" s="16">
        <f>SUM(AV214,AV219,AV220,AV233,AV234,AV235,AV236)</f>
        <v>0</v>
      </c>
      <c r="AW237" s="16">
        <f>SUM(AW214+AW219+AW220+AW233+AW234+AW235+AW236)</f>
        <v>0</v>
      </c>
      <c r="AX237" s="16">
        <f>SUM(AX214+AX219+AX220+AX233+AX234+AX235+AX236)</f>
        <v>0</v>
      </c>
      <c r="AY237" s="16">
        <f>SUM(AY214+AY219+AY220+AY233+AY234+AY235+AY236)</f>
        <v>0</v>
      </c>
      <c r="AZ237" s="16">
        <f>SUM(AZ214+AZ219+AZ220+AZ233+AZ234+AZ235+AZ236)</f>
        <v>0</v>
      </c>
      <c r="BA237" s="16">
        <f>SUM(BA214,BA219,BA220,BA233,BA234,BA235,BA236)</f>
        <v>0</v>
      </c>
      <c r="BB237" s="16">
        <f>SUM(BB214+BB219+BB220+BB233+BB234+BB235+BB236)</f>
        <v>0</v>
      </c>
      <c r="BC237" s="16">
        <f>SUM(BC214+BC219+BC220+BC233+BC234+BC235+BC236)</f>
        <v>0</v>
      </c>
      <c r="BD237" s="16">
        <f>SUM(BD214+BD219+BD220+BD233+BD234+BD235+BD236)</f>
        <v>0</v>
      </c>
      <c r="BE237" s="16">
        <f>SUM(BE214+BE219+BE220+BE233+BE234+BE235+BE236)</f>
        <v>0</v>
      </c>
      <c r="BF237" s="16">
        <f>SUM(BF214,BF219,BF220,BF233,BF234,BF235,BF236)</f>
        <v>0</v>
      </c>
      <c r="BG237" s="16">
        <f>SUM(BG214+BG219+BG220+BG233+BG234+BG235+BG236)</f>
        <v>0</v>
      </c>
      <c r="BH237" s="16">
        <f>SUM(BH214+BH219+BH220+BH233+BH234+BH235+BH236)</f>
        <v>0</v>
      </c>
      <c r="BI237" s="16">
        <f>SUM(BI214+BI219+BI220+BI233+BI234+BI235+BI236)</f>
        <v>0</v>
      </c>
      <c r="BJ237" s="16">
        <f>SUM(BJ214+BJ219+BJ220+BJ233+BJ234+BJ235+BJ236)</f>
        <v>0</v>
      </c>
      <c r="BK237" s="16">
        <f>SUM(BK214,BK219,BK220,BK233,BK234,BK235,BK236)</f>
        <v>0</v>
      </c>
      <c r="BL237" s="16">
        <f>SUM(BL214+BL219+BL220+BL233+BL234+BL235+BL236)</f>
        <v>0</v>
      </c>
      <c r="BM237" s="16">
        <f>SUM(BM214+BM219+BM220+BM233+BM234+BM235+BM236)</f>
        <v>0</v>
      </c>
      <c r="BN237" s="16">
        <f>SUM(BN214+BN219+BN220+BN233+BN234+BN235+BN236)</f>
        <v>0</v>
      </c>
      <c r="BO237" s="16">
        <f>SUM(BO214+BO219+BO220+BO233+BO234+BO235+BO236)</f>
        <v>0</v>
      </c>
      <c r="BP237" s="16">
        <f>SUM(BP214,BP219,BP220,BP233,BP234,BP235,BP236)</f>
        <v>0</v>
      </c>
      <c r="BQ237" s="16">
        <f>SUM(BQ214+BQ219+BQ220+BQ233+BQ234+BQ235+BQ236)</f>
        <v>0</v>
      </c>
      <c r="BR237" s="16">
        <f>SUM(BR214+BR219+BR220+BR233+BR234+BR235+BR236)</f>
        <v>0</v>
      </c>
      <c r="BS237" s="16">
        <f>SUM(BS214+BS219+BS220+BS233+BS234+BS235+BS236)</f>
        <v>0</v>
      </c>
      <c r="BT237" s="16">
        <f>SUM(BT214+BT219+BT220+BT233+BT234+BT235+BT236)</f>
        <v>0</v>
      </c>
      <c r="BU237" s="16">
        <f>SUM(BU214,BU219,BU220,BU233,BU234,BU235,BU236)</f>
        <v>0</v>
      </c>
      <c r="BV237" s="16">
        <f>SUM(BV214+BV219+BV220+BV233+BV234+BV235+BV236)</f>
        <v>0</v>
      </c>
      <c r="BW237" s="16">
        <f>SUM(BW214+BW219+BW220+BW233+BW234+BW235+BW236)</f>
        <v>0</v>
      </c>
      <c r="BX237" s="16">
        <f>SUM(BX214+BX219+BX220+BX233+BX234+BX235+BX236)</f>
        <v>0</v>
      </c>
      <c r="BY237" s="16">
        <f>SUM(BY214+BY219+BY220+BY233+BY234+BY235+BY236)</f>
        <v>0</v>
      </c>
      <c r="BZ237" s="16">
        <f>SUM(BZ214,BZ219,BZ220,BZ233,BZ234,BZ235,BZ236)</f>
        <v>0</v>
      </c>
      <c r="CA237" s="16">
        <f>SUM(CA214+CA219+CA220+CA233+CA234+CA235+CA236)</f>
        <v>0</v>
      </c>
      <c r="CB237" s="16">
        <f>SUM(CB214+CB219+CB220+CB233+CB234+CB235+CB236)</f>
        <v>0</v>
      </c>
      <c r="CC237" s="16">
        <f>SUM(CC214+CC219+CC220+CC233+CC234+CC235+CC236)</f>
        <v>0</v>
      </c>
      <c r="CD237" s="16">
        <f>SUM(CD214+CD219+CD220+CD233+CD234+CD235+CD236)</f>
        <v>0</v>
      </c>
      <c r="CE237" s="16">
        <f>SUM(CE214,CE219,CE220,CE233,CE234,CE235,CE236)</f>
        <v>0</v>
      </c>
      <c r="CF237" s="16">
        <f>SUM(CF214+CF219+CF220+CF233+CF234+CF235+CF236)</f>
        <v>0</v>
      </c>
      <c r="CG237" s="16">
        <f>SUM(CG214+CG219+CG220+CG233+CG234+CG235+CG236)</f>
        <v>0</v>
      </c>
      <c r="CH237" s="16">
        <f>SUM(CH214+CH219+CH220+CH233+CH234+CH235+CH236)</f>
        <v>0</v>
      </c>
      <c r="CI237" s="16">
        <f>SUM(CI214+CI219+CI220+CI233+CI234+CI235+CI236)</f>
        <v>0</v>
      </c>
      <c r="CJ237" s="16">
        <f>SUM(CJ214,CJ219,CJ220,CJ233,CJ234,CJ235,CJ236)</f>
        <v>0</v>
      </c>
      <c r="CK237" s="16">
        <f>SUM(CK214+CK219+CK220+CK233+CK234+CK235+CK236)</f>
        <v>0</v>
      </c>
      <c r="CL237" s="16">
        <f>SUM(CL214+CL219+CL220+CL233+CL234+CL235+CL236)</f>
        <v>0</v>
      </c>
      <c r="CM237" s="16">
        <f>SUM(CM214+CM219+CM220+CM233+CM234+CM235+CM236)</f>
        <v>0</v>
      </c>
      <c r="CN237" s="16">
        <f>SUM(CN214+CN219+CN220+CN233+CN234+CN235+CN236)</f>
        <v>0</v>
      </c>
      <c r="CO237" s="16">
        <f>SUM(CO214,CO219,CO220,CO233,CO234,CO235,CO236)</f>
        <v>0</v>
      </c>
      <c r="CP237" s="16">
        <f>SUM(CP214+CP219+CP220+CP233+CP234+CP235+CP236)</f>
        <v>0</v>
      </c>
      <c r="CQ237" s="16">
        <f>SUM(CQ214+CQ219+CQ220+CQ233+CQ234+CQ235+CQ236)</f>
        <v>0</v>
      </c>
      <c r="CR237" s="16">
        <f>SUM(CR214+CR219+CR220+CR233+CR234+CR235+CR236)</f>
        <v>0</v>
      </c>
      <c r="CS237" s="16">
        <f>SUM(CS214+CS219+CS220+CS233+CS234+CS235+CS236)</f>
        <v>0</v>
      </c>
      <c r="CT237" s="16">
        <f>SUM(CT214,CT219,CT220,CT233,CT234,CT235,CT236)</f>
        <v>0</v>
      </c>
      <c r="CU237" s="16">
        <f>SUM(CU214+CU219+CU220+CU233+CU234+CU235+CU236)</f>
        <v>0</v>
      </c>
      <c r="CV237" s="16">
        <f>SUM(CV214+CV219+CV220+CV233+CV234+CV235+CV236)</f>
        <v>0</v>
      </c>
      <c r="CW237" s="16">
        <f>SUM(CW214+CW219+CW220+CW233+CW234+CW235+CW236)</f>
        <v>0</v>
      </c>
      <c r="CX237" s="16">
        <f>SUM(CX214+CX219+CX220+CX233+CX234+CX235+CX236)</f>
        <v>0</v>
      </c>
      <c r="CY237" s="16">
        <f>SUM(CY214,CY219,CY220,CY233,CY234,CY235,CY236)</f>
        <v>0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0</v>
      </c>
      <c r="E239" s="16">
        <f>E237+E213</f>
        <v>0</v>
      </c>
      <c r="F239" s="16">
        <f>F237+F213</f>
        <v>0</v>
      </c>
      <c r="G239" s="16">
        <f>G237+G213</f>
        <v>0</v>
      </c>
      <c r="H239" s="16">
        <f>H237+H213</f>
        <v>0</v>
      </c>
      <c r="I239" s="16">
        <f>I237+I213</f>
        <v>0</v>
      </c>
      <c r="J239" s="16">
        <f>J237+J213</f>
        <v>0</v>
      </c>
      <c r="K239" s="16">
        <f>K237+K213</f>
        <v>0</v>
      </c>
      <c r="L239" s="16">
        <f>L237+L213</f>
        <v>0</v>
      </c>
      <c r="M239" s="16">
        <f>M237+M213</f>
        <v>0</v>
      </c>
      <c r="N239" s="16">
        <f>N237+N213</f>
        <v>0</v>
      </c>
      <c r="O239" s="16">
        <f>O237+O213</f>
        <v>0</v>
      </c>
      <c r="P239" s="16">
        <f>P237+P213</f>
        <v>0</v>
      </c>
      <c r="Q239" s="16">
        <f>Q237+Q213</f>
        <v>0</v>
      </c>
      <c r="R239" s="16">
        <f>R237+R213</f>
        <v>0</v>
      </c>
      <c r="S239" s="16">
        <f>S237+S213</f>
        <v>0</v>
      </c>
      <c r="T239" s="16">
        <f>T237+T213</f>
        <v>0</v>
      </c>
      <c r="U239" s="16">
        <f>U237+U213</f>
        <v>0</v>
      </c>
      <c r="V239" s="16">
        <f>V237+V213</f>
        <v>0</v>
      </c>
      <c r="W239" s="16">
        <f>W237+W213</f>
        <v>0</v>
      </c>
      <c r="X239" s="16">
        <f>X237+X213</f>
        <v>0</v>
      </c>
      <c r="Y239" s="16">
        <f>Y237+Y213</f>
        <v>0</v>
      </c>
      <c r="Z239" s="16">
        <f>Z237+Z213</f>
        <v>0</v>
      </c>
      <c r="AA239" s="16">
        <f>AA237+AA213</f>
        <v>0</v>
      </c>
      <c r="AB239" s="16">
        <f>AB237+AB213</f>
        <v>0</v>
      </c>
      <c r="AC239" s="16">
        <f>AC237+AC213</f>
        <v>0</v>
      </c>
      <c r="AD239" s="16">
        <f>AD237+AD213</f>
        <v>0</v>
      </c>
      <c r="AE239" s="16">
        <f>AE237+AE213</f>
        <v>0</v>
      </c>
      <c r="AF239" s="16">
        <f>AF237+AF213</f>
        <v>0</v>
      </c>
      <c r="AG239" s="16">
        <f>AG237+AG213</f>
        <v>0</v>
      </c>
      <c r="AH239" s="16" t="e">
        <f>AH237+AH213</f>
        <v>#DIV/0!</v>
      </c>
      <c r="AI239" s="16" t="e">
        <f>AI237+AI213</f>
        <v>#DIV/0!</v>
      </c>
      <c r="AJ239" s="16" t="e">
        <f>AJ237+AJ213</f>
        <v>#DIV/0!</v>
      </c>
      <c r="AK239" s="16" t="e">
        <f>AK237+AK213</f>
        <v>#DIV/0!</v>
      </c>
      <c r="AL239" s="16" t="e">
        <f>AL237+AL213</f>
        <v>#DIV/0!</v>
      </c>
      <c r="AM239" s="16" t="e">
        <f>AM237+AM213</f>
        <v>#DIV/0!</v>
      </c>
      <c r="AN239" s="16" t="e">
        <f>AN237+AN213</f>
        <v>#DIV/0!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0</v>
      </c>
      <c r="F243" s="3">
        <f>F103</f>
        <v>0</v>
      </c>
      <c r="G243" s="3">
        <f>G103</f>
        <v>0</v>
      </c>
      <c r="H243" s="3">
        <f>SUM(D243:G243)</f>
        <v>0</v>
      </c>
      <c r="I243" s="3">
        <f>I103</f>
        <v>0</v>
      </c>
      <c r="J243" s="3">
        <f>J103</f>
        <v>0</v>
      </c>
      <c r="K243" s="3">
        <f>K103</f>
        <v>0</v>
      </c>
      <c r="L243" s="3">
        <f>L103</f>
        <v>0</v>
      </c>
      <c r="M243" s="3">
        <f>SUM(I243:L243)</f>
        <v>0</v>
      </c>
      <c r="N243" s="3">
        <f>N103</f>
        <v>0</v>
      </c>
      <c r="O243" s="3">
        <f>O103</f>
        <v>0</v>
      </c>
      <c r="P243" s="3">
        <f>P103</f>
        <v>0</v>
      </c>
      <c r="Q243" s="3">
        <f>Q103</f>
        <v>0</v>
      </c>
      <c r="R243" s="3">
        <f>SUM(N243:Q243)</f>
        <v>0</v>
      </c>
      <c r="S243" s="3">
        <f>S103</f>
        <v>0</v>
      </c>
      <c r="T243" s="3">
        <f>T103</f>
        <v>0</v>
      </c>
      <c r="U243" s="3">
        <f>U103</f>
        <v>0</v>
      </c>
      <c r="V243" s="3">
        <f>V103</f>
        <v>0</v>
      </c>
      <c r="W243" s="3">
        <f>SUM(S243:V243)</f>
        <v>0</v>
      </c>
      <c r="X243" s="3">
        <f>X103</f>
        <v>0</v>
      </c>
      <c r="Y243" s="3">
        <f>Y103</f>
        <v>0</v>
      </c>
      <c r="Z243" s="3">
        <f>Z103</f>
        <v>0</v>
      </c>
      <c r="AA243" s="3">
        <f>AA103</f>
        <v>0</v>
      </c>
      <c r="AB243" s="3">
        <f>SUM(X243:AA243)</f>
        <v>0</v>
      </c>
      <c r="AC243" s="3">
        <f>AC103</f>
        <v>0</v>
      </c>
      <c r="AD243" s="3">
        <f>AD103</f>
        <v>0</v>
      </c>
      <c r="AE243" s="3">
        <f>AE103</f>
        <v>0</v>
      </c>
      <c r="AF243" s="3">
        <f>AF103</f>
        <v>0</v>
      </c>
      <c r="AG243" s="3">
        <f>SUM(AC243:AF243)</f>
        <v>0</v>
      </c>
      <c r="AH243" s="3">
        <f>AH103</f>
        <v>0</v>
      </c>
      <c r="AI243" s="3">
        <f>AI103</f>
        <v>0</v>
      </c>
      <c r="AJ243" s="3">
        <f>AJ103</f>
        <v>0</v>
      </c>
      <c r="AK243" s="3">
        <f>AK103</f>
        <v>0</v>
      </c>
      <c r="AL243" s="3">
        <f>SUM(AH243:AK243)</f>
        <v>0</v>
      </c>
      <c r="AM243" s="3">
        <f>AM103</f>
        <v>0</v>
      </c>
      <c r="AN243" s="3">
        <f>AN103</f>
        <v>0</v>
      </c>
      <c r="AO243" s="3">
        <f>AO103</f>
        <v>0</v>
      </c>
      <c r="AP243" s="3">
        <f>AP103</f>
        <v>0</v>
      </c>
      <c r="AQ243" s="3">
        <f>SUM(AM243:AP243)</f>
        <v>0</v>
      </c>
      <c r="AR243" s="3">
        <f>AR103</f>
        <v>0</v>
      </c>
      <c r="AS243" s="3">
        <f>AS103</f>
        <v>0</v>
      </c>
      <c r="AT243" s="3">
        <f>AT103</f>
        <v>0</v>
      </c>
      <c r="AU243" s="3">
        <f>AU103</f>
        <v>0</v>
      </c>
      <c r="AV243" s="3">
        <f>SUM(AR243:AU243)</f>
        <v>0</v>
      </c>
      <c r="AW243" s="3">
        <f>AW103</f>
        <v>0</v>
      </c>
      <c r="AX243" s="3">
        <f>AX103</f>
        <v>0</v>
      </c>
      <c r="AY243" s="3">
        <f>AY103</f>
        <v>0</v>
      </c>
      <c r="AZ243" s="3">
        <f>AZ103</f>
        <v>0</v>
      </c>
      <c r="BA243" s="3">
        <f>SUM(AW243:AZ243)</f>
        <v>0</v>
      </c>
      <c r="BB243" s="3">
        <f>BB103</f>
        <v>0</v>
      </c>
      <c r="BC243" s="3">
        <f>BC103</f>
        <v>0</v>
      </c>
      <c r="BD243" s="3">
        <f>BD103</f>
        <v>0</v>
      </c>
      <c r="BE243" s="3">
        <f>BE103</f>
        <v>0</v>
      </c>
      <c r="BF243" s="3">
        <f>SUM(BB243:BE243)</f>
        <v>0</v>
      </c>
      <c r="BG243" s="3">
        <f>BG103</f>
        <v>0</v>
      </c>
      <c r="BH243" s="3">
        <f>BH103</f>
        <v>0</v>
      </c>
      <c r="BI243" s="3">
        <f>BI103</f>
        <v>0</v>
      </c>
      <c r="BJ243" s="3">
        <f>BJ103</f>
        <v>0</v>
      </c>
      <c r="BK243" s="3">
        <f>SUM(BG243:BJ243)</f>
        <v>0</v>
      </c>
      <c r="BL243" s="3">
        <f>BL103</f>
        <v>0</v>
      </c>
      <c r="BM243" s="3">
        <f>BM103</f>
        <v>0</v>
      </c>
      <c r="BN243" s="3">
        <f>BN103</f>
        <v>0</v>
      </c>
      <c r="BO243" s="3">
        <f>BO103</f>
        <v>0</v>
      </c>
      <c r="BP243" s="3">
        <f>SUM(BL243:BO243)</f>
        <v>0</v>
      </c>
      <c r="BQ243" s="3">
        <f>BQ103</f>
        <v>0</v>
      </c>
      <c r="BR243" s="3">
        <f>BR103</f>
        <v>0</v>
      </c>
      <c r="BS243" s="3">
        <f>BS103</f>
        <v>0</v>
      </c>
      <c r="BT243" s="3">
        <f>BT103</f>
        <v>0</v>
      </c>
      <c r="BU243" s="3">
        <f>SUM(BQ243:BT243)</f>
        <v>0</v>
      </c>
      <c r="BV243" s="3">
        <f>BV103</f>
        <v>0</v>
      </c>
      <c r="BW243" s="3">
        <f>BW103</f>
        <v>0</v>
      </c>
      <c r="BX243" s="3">
        <f>BX103</f>
        <v>0</v>
      </c>
      <c r="BY243" s="3">
        <f>BY103</f>
        <v>0</v>
      </c>
      <c r="BZ243" s="3">
        <f>SUM(BV243:BY243)</f>
        <v>0</v>
      </c>
      <c r="CA243" s="3">
        <f>CA103</f>
        <v>0</v>
      </c>
      <c r="CB243" s="3">
        <f>CB103</f>
        <v>0</v>
      </c>
      <c r="CC243" s="3">
        <f>CC103</f>
        <v>0</v>
      </c>
      <c r="CD243" s="3">
        <f>CD103</f>
        <v>0</v>
      </c>
      <c r="CE243" s="3">
        <f>SUM(CA243:CD243)</f>
        <v>0</v>
      </c>
      <c r="CF243" s="3">
        <f>CF103</f>
        <v>0</v>
      </c>
      <c r="CG243" s="3">
        <f>CG103</f>
        <v>0</v>
      </c>
      <c r="CH243" s="3">
        <f>CH103</f>
        <v>0</v>
      </c>
      <c r="CI243" s="3">
        <f>CI103</f>
        <v>0</v>
      </c>
      <c r="CJ243" s="3">
        <f>SUM(CF243:CI243)</f>
        <v>0</v>
      </c>
      <c r="CK243" s="3">
        <f>CK103</f>
        <v>0</v>
      </c>
      <c r="CL243" s="3">
        <f>CL103</f>
        <v>0</v>
      </c>
      <c r="CM243" s="3">
        <f>CM103</f>
        <v>0</v>
      </c>
      <c r="CN243" s="3">
        <f>CN103</f>
        <v>0</v>
      </c>
      <c r="CO243" s="3">
        <f>SUM(CK243:CN243)</f>
        <v>0</v>
      </c>
      <c r="CP243" s="3">
        <f>CP103</f>
        <v>0</v>
      </c>
      <c r="CQ243" s="3">
        <f>CQ103</f>
        <v>0</v>
      </c>
      <c r="CR243" s="3">
        <f>CR103</f>
        <v>0</v>
      </c>
      <c r="CS243" s="3">
        <f>CS103</f>
        <v>0</v>
      </c>
      <c r="CT243" s="3">
        <f>SUM(CP243:CS243)</f>
        <v>0</v>
      </c>
      <c r="CU243" s="3">
        <f>CU103</f>
        <v>0</v>
      </c>
      <c r="CV243" s="3">
        <f>CV103</f>
        <v>0</v>
      </c>
      <c r="CW243" s="3">
        <f>CW103</f>
        <v>0</v>
      </c>
      <c r="CX243" s="3">
        <f>CX103</f>
        <v>0</v>
      </c>
      <c r="CY243" s="3">
        <f>SUM(CU243:CX243)</f>
        <v>0</v>
      </c>
    </row>
    <row r="244">
      <c r="C244" s="29" t="inlineStr">
        <is>
          <t>Depreciation &amp; amortization</t>
        </is>
      </c>
      <c r="D244" s="3" t="n"/>
      <c r="E244" s="3">
        <f>-E36</f>
        <v>0</v>
      </c>
      <c r="F244" s="3">
        <f>-F36</f>
        <v>0</v>
      </c>
      <c r="G244" s="3">
        <f>-G36</f>
        <v>0</v>
      </c>
      <c r="H244" s="3">
        <f>SUM(D244:G244)</f>
        <v>0</v>
      </c>
      <c r="I244" s="3">
        <f>-I36</f>
        <v>0</v>
      </c>
      <c r="J244" s="3">
        <f>-J36</f>
        <v>0</v>
      </c>
      <c r="K244" s="3">
        <f>-K36</f>
        <v>0</v>
      </c>
      <c r="L244" s="3">
        <f>-L36</f>
        <v>0</v>
      </c>
      <c r="M244" s="3">
        <f>SUM(I244:L244)</f>
        <v>0</v>
      </c>
      <c r="N244" s="3">
        <f>-N36</f>
        <v>0</v>
      </c>
      <c r="O244" s="3">
        <f>-O36</f>
        <v>0</v>
      </c>
      <c r="P244" s="3">
        <f>-P36</f>
        <v>0</v>
      </c>
      <c r="Q244" s="3">
        <f>-Q36</f>
        <v>0</v>
      </c>
      <c r="R244" s="3">
        <f>SUM(N244:Q244)</f>
        <v>0</v>
      </c>
      <c r="S244" s="3">
        <f>-S36</f>
        <v>0</v>
      </c>
      <c r="T244" s="3">
        <f>-T36</f>
        <v>0</v>
      </c>
      <c r="U244" s="3">
        <f>-U36</f>
        <v>0</v>
      </c>
      <c r="V244" s="3">
        <f>-V36</f>
        <v>0</v>
      </c>
      <c r="W244" s="3">
        <f>SUM(S244:V244)</f>
        <v>0</v>
      </c>
      <c r="X244" s="3">
        <f>-X36</f>
        <v>0</v>
      </c>
      <c r="Y244" s="3">
        <f>-Y36</f>
        <v>0</v>
      </c>
      <c r="Z244" s="3">
        <f>-Z36</f>
        <v>0</v>
      </c>
      <c r="AA244" s="3">
        <f>-AA36</f>
        <v>0</v>
      </c>
      <c r="AB244" s="3">
        <f>SUM(X244:AA244)</f>
        <v>0</v>
      </c>
      <c r="AC244" s="3">
        <f>-AC36</f>
        <v>0</v>
      </c>
      <c r="AD244" s="3">
        <f>-AD36</f>
        <v>0</v>
      </c>
      <c r="AE244" s="3">
        <f>-AE36</f>
        <v>0</v>
      </c>
      <c r="AF244" s="3">
        <f>-AF36</f>
        <v>0</v>
      </c>
      <c r="AG244" s="3">
        <f>SUM(AC244:AF244)</f>
        <v>0</v>
      </c>
      <c r="AH244" s="3">
        <f>-AH36</f>
        <v>0</v>
      </c>
      <c r="AI244" s="3">
        <f>-AI36</f>
        <v>0</v>
      </c>
      <c r="AJ244" s="3">
        <f>-AJ36</f>
        <v>0</v>
      </c>
      <c r="AK244" s="3">
        <f>-AK36</f>
        <v>0</v>
      </c>
      <c r="AL244" s="3">
        <f>SUM(AH244:AK244)</f>
        <v>0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0</v>
      </c>
      <c r="F245" s="3">
        <f>SUM(F246:F255)</f>
        <v>0</v>
      </c>
      <c r="G245" s="3">
        <f>SUM(G246:G255)</f>
        <v>0</v>
      </c>
      <c r="H245" s="3">
        <f>SUM(D245:G245)</f>
        <v>0</v>
      </c>
      <c r="I245" s="3">
        <f>SUM(I246:I255)</f>
        <v>0</v>
      </c>
      <c r="J245" s="3">
        <f>SUM(J246:J255)</f>
        <v>0</v>
      </c>
      <c r="K245" s="3">
        <f>SUM(K246:K255)</f>
        <v>0</v>
      </c>
      <c r="L245" s="3">
        <f>SUM(L246:L255)</f>
        <v>0</v>
      </c>
      <c r="M245" s="3">
        <f>SUM(I245:L245)</f>
        <v>0</v>
      </c>
      <c r="N245" s="3">
        <f>SUM(N246:N255)</f>
        <v>0</v>
      </c>
      <c r="O245" s="3">
        <f>SUM(O246:O255)</f>
        <v>0</v>
      </c>
      <c r="P245" s="3">
        <f>SUM(P246:P255)</f>
        <v>0</v>
      </c>
      <c r="Q245" s="3">
        <f>SUM(Q246:Q255)</f>
        <v>0</v>
      </c>
      <c r="R245" s="3">
        <f>SUM(N245:Q245)</f>
        <v>0</v>
      </c>
      <c r="S245" s="3">
        <f>SUM(S246:S255)</f>
        <v>0</v>
      </c>
      <c r="T245" s="3">
        <f>SUM(T246:T255)</f>
        <v>0</v>
      </c>
      <c r="U245" s="3">
        <f>SUM(U246:U255)</f>
        <v>0</v>
      </c>
      <c r="V245" s="3">
        <f>SUM(V246:V255)</f>
        <v>0</v>
      </c>
      <c r="W245" s="3">
        <f>SUM(S245:V245)</f>
        <v>0</v>
      </c>
      <c r="X245" s="3">
        <f>SUM(X246:X255)</f>
        <v>0</v>
      </c>
      <c r="Y245" s="3">
        <f>SUM(Y246:Y255)</f>
        <v>0</v>
      </c>
      <c r="Z245" s="3">
        <f>SUM(Z246:Z255)</f>
        <v>0</v>
      </c>
      <c r="AA245" s="3">
        <f>SUM(AA246:AA255)</f>
        <v>0</v>
      </c>
      <c r="AB245" s="3">
        <f>SUM(X245:AA245)</f>
        <v>0</v>
      </c>
      <c r="AC245" s="3">
        <f>SUM(AC246:AC255)</f>
        <v>0</v>
      </c>
      <c r="AD245" s="3">
        <f>SUM(AD246:AD255)</f>
        <v>0</v>
      </c>
      <c r="AE245" s="3">
        <f>SUM(AE246:AE255)</f>
        <v>0</v>
      </c>
      <c r="AF245" s="3">
        <f>SUM(AF246:AF255)</f>
        <v>0</v>
      </c>
      <c r="AG245" s="3">
        <f>SUM(AC245:AF245)</f>
        <v>0</v>
      </c>
      <c r="AH245" s="3" t="e">
        <f>SUM(AH246:AH255)</f>
        <v>#DIV/0!</v>
      </c>
      <c r="AI245" s="3" t="e">
        <f>SUM(AI246:AI255)</f>
        <v>#DIV/0!</v>
      </c>
      <c r="AJ245" s="3" t="e">
        <f>SUM(AJ246:AJ255)</f>
        <v>#DIV/0!</v>
      </c>
      <c r="AK245" s="3" t="e">
        <f>SUM(AK246:AK255)</f>
        <v>#DIV/0!</v>
      </c>
      <c r="AL245" s="3" t="e">
        <f>SUM(AH245:AK245)</f>
        <v>#DIV/0!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0</v>
      </c>
      <c r="F246" s="3">
        <f>(F111-E111)*-1</f>
        <v>0</v>
      </c>
      <c r="G246" s="3">
        <f>(G111-F111)*-1</f>
        <v>0</v>
      </c>
      <c r="H246" s="3">
        <f>SUM(D246:G246)</f>
        <v>0</v>
      </c>
      <c r="I246" s="3">
        <f>(I111-H111)*-1</f>
        <v>0</v>
      </c>
      <c r="J246" s="3">
        <f>(J111-I111)*-1</f>
        <v>0</v>
      </c>
      <c r="K246" s="3">
        <f>(K111-J111)*-1</f>
        <v>0</v>
      </c>
      <c r="L246" s="3">
        <f>(L111-K111)*-1</f>
        <v>0</v>
      </c>
      <c r="M246" s="3">
        <f>SUM(I246:L246)</f>
        <v>0</v>
      </c>
      <c r="N246" s="3">
        <f>(N111-M111)*-1</f>
        <v>0</v>
      </c>
      <c r="O246" s="3">
        <f>(O111-N111)*-1</f>
        <v>0</v>
      </c>
      <c r="P246" s="3">
        <f>(P111-O111)*-1</f>
        <v>0</v>
      </c>
      <c r="Q246" s="3">
        <f>(Q111-P111)*-1</f>
        <v>0</v>
      </c>
      <c r="R246" s="3">
        <f>SUM(N246:Q246)</f>
        <v>0</v>
      </c>
      <c r="S246" s="3">
        <f>(S111-R111)*-1</f>
        <v>0</v>
      </c>
      <c r="T246" s="3">
        <f>(T111-S111)*-1</f>
        <v>0</v>
      </c>
      <c r="U246" s="3">
        <f>(U111-T111)*-1</f>
        <v>0</v>
      </c>
      <c r="V246" s="3">
        <f>(V111-U111)*-1</f>
        <v>0</v>
      </c>
      <c r="W246" s="3">
        <f>SUM(S246:V246)</f>
        <v>0</v>
      </c>
      <c r="X246" s="3">
        <f>(X111-W111)*-1</f>
        <v>0</v>
      </c>
      <c r="Y246" s="3">
        <f>(Y111-X111)*-1</f>
        <v>0</v>
      </c>
      <c r="Z246" s="3">
        <f>(Z111-Y111)*-1</f>
        <v>0</v>
      </c>
      <c r="AA246" s="3">
        <f>(AA111-Z111)*-1</f>
        <v>0</v>
      </c>
      <c r="AB246" s="3">
        <f>SUM(X246:AA246)</f>
        <v>0</v>
      </c>
      <c r="AC246" s="3">
        <f>(AC111-AB111)*-1</f>
        <v>0</v>
      </c>
      <c r="AD246" s="3">
        <f>(AD111-AC111)*-1</f>
        <v>0</v>
      </c>
      <c r="AE246" s="3">
        <f>(AE111-AD111)*-1</f>
        <v>0</v>
      </c>
      <c r="AF246" s="3">
        <f>(AF111-AE111)*-1</f>
        <v>0</v>
      </c>
      <c r="AG246" s="3">
        <f>SUM(AC246:AF246)</f>
        <v>0</v>
      </c>
      <c r="AH246" s="3">
        <f>(AH111-AG111)*-1</f>
        <v>0</v>
      </c>
      <c r="AI246" s="3">
        <f>(AI111-AH111)*-1</f>
        <v>0</v>
      </c>
      <c r="AJ246" s="3">
        <f>(AJ111-AI111)*-1</f>
        <v>0</v>
      </c>
      <c r="AK246" s="3">
        <f>(AK111-AJ111)*-1</f>
        <v>0</v>
      </c>
      <c r="AL246" s="3">
        <f>SUM(AH246:AK246)</f>
        <v>0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0</v>
      </c>
      <c r="F247" s="3">
        <f>(F115-E115)*-1</f>
        <v>0</v>
      </c>
      <c r="G247" s="3">
        <f>(G115-F115)*-1</f>
        <v>0</v>
      </c>
      <c r="H247" s="3">
        <f>SUM(D247:G247)</f>
        <v>0</v>
      </c>
      <c r="I247" s="3">
        <f>(I115-H115)*-1</f>
        <v>0</v>
      </c>
      <c r="J247" s="3">
        <f>(J115-I115)*-1</f>
        <v>0</v>
      </c>
      <c r="K247" s="3">
        <f>(K115-J115)*-1</f>
        <v>0</v>
      </c>
      <c r="L247" s="3">
        <f>(L115-K115)*-1</f>
        <v>0</v>
      </c>
      <c r="M247" s="3">
        <f>SUM(I247:L247)</f>
        <v>0</v>
      </c>
      <c r="N247" s="3">
        <f>(N115-M115)*-1</f>
        <v>0</v>
      </c>
      <c r="O247" s="3">
        <f>(O115-N115)*-1</f>
        <v>0</v>
      </c>
      <c r="P247" s="3">
        <f>(P115-O115)*-1</f>
        <v>0</v>
      </c>
      <c r="Q247" s="3">
        <f>(Q115-P115)*-1</f>
        <v>0</v>
      </c>
      <c r="R247" s="3">
        <f>SUM(N247:Q247)</f>
        <v>0</v>
      </c>
      <c r="S247" s="3">
        <f>(S115-R115)*-1</f>
        <v>0</v>
      </c>
      <c r="T247" s="3">
        <f>(T115-S115)*-1</f>
        <v>0</v>
      </c>
      <c r="U247" s="3">
        <f>(U115-T115)*-1</f>
        <v>0</v>
      </c>
      <c r="V247" s="3">
        <f>(V115-U115)*-1</f>
        <v>0</v>
      </c>
      <c r="W247" s="3">
        <f>SUM(S247:V247)</f>
        <v>0</v>
      </c>
      <c r="X247" s="3">
        <f>(X115-W115)*-1</f>
        <v>0</v>
      </c>
      <c r="Y247" s="3">
        <f>(Y115-X115)*-1</f>
        <v>0</v>
      </c>
      <c r="Z247" s="3">
        <f>(Z115-Y115)*-1</f>
        <v>0</v>
      </c>
      <c r="AA247" s="3">
        <f>(AA115-Z115)*-1</f>
        <v>0</v>
      </c>
      <c r="AB247" s="3">
        <f>SUM(X247:AA247)</f>
        <v>0</v>
      </c>
      <c r="AC247" s="3">
        <f>(AC115-AB115)*-1</f>
        <v>0</v>
      </c>
      <c r="AD247" s="3">
        <f>(AD115-AC115)*-1</f>
        <v>0</v>
      </c>
      <c r="AE247" s="3">
        <f>(AE115-AD115)*-1</f>
        <v>0</v>
      </c>
      <c r="AF247" s="3">
        <f>(AF115-AE115)*-1</f>
        <v>0</v>
      </c>
      <c r="AG247" s="3">
        <f>SUM(AC247:AF247)</f>
        <v>0</v>
      </c>
      <c r="AH247" s="3">
        <f>(AH115-AG115)*-1</f>
        <v>0</v>
      </c>
      <c r="AI247" s="3">
        <f>(AI115-AH115)*-1</f>
        <v>0</v>
      </c>
      <c r="AJ247" s="3">
        <f>(AJ115-AI115)*-1</f>
        <v>0</v>
      </c>
      <c r="AK247" s="3">
        <f>(AK115-AJ115)*-1</f>
        <v>0</v>
      </c>
      <c r="AL247" s="3">
        <f>SUM(AH247:AK247)</f>
        <v>0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0</v>
      </c>
      <c r="F248" s="3">
        <f>(F119-E119)*-1</f>
        <v>0</v>
      </c>
      <c r="G248" s="3">
        <f>(G119-F119)*-1</f>
        <v>0</v>
      </c>
      <c r="H248" s="3">
        <f>SUM(D248:G248)</f>
        <v>0</v>
      </c>
      <c r="I248" s="3">
        <f>(I119-H119)*-1</f>
        <v>0</v>
      </c>
      <c r="J248" s="3">
        <f>(J119-I119)*-1</f>
        <v>0</v>
      </c>
      <c r="K248" s="3">
        <f>(K119-J119)*-1</f>
        <v>0</v>
      </c>
      <c r="L248" s="3">
        <f>(L119-K119)*-1</f>
        <v>0</v>
      </c>
      <c r="M248" s="3">
        <f>SUM(I248:L248)</f>
        <v>0</v>
      </c>
      <c r="N248" s="3">
        <f>(N119-M119)*-1</f>
        <v>0</v>
      </c>
      <c r="O248" s="3">
        <f>(O119-N119)*-1</f>
        <v>0</v>
      </c>
      <c r="P248" s="3">
        <f>(P119-O119)*-1</f>
        <v>0</v>
      </c>
      <c r="Q248" s="3">
        <f>(Q119-P119)*-1</f>
        <v>0</v>
      </c>
      <c r="R248" s="3">
        <f>SUM(N248:Q248)</f>
        <v>0</v>
      </c>
      <c r="S248" s="3">
        <f>(S119-R119)*-1</f>
        <v>0</v>
      </c>
      <c r="T248" s="3">
        <f>(T119-S119)*-1</f>
        <v>0</v>
      </c>
      <c r="U248" s="3">
        <f>(U119-T119)*-1</f>
        <v>0</v>
      </c>
      <c r="V248" s="3">
        <f>(V119-U119)*-1</f>
        <v>0</v>
      </c>
      <c r="W248" s="3">
        <f>SUM(S248:V248)</f>
        <v>0</v>
      </c>
      <c r="X248" s="3">
        <f>(X119-W119)*-1</f>
        <v>0</v>
      </c>
      <c r="Y248" s="3">
        <f>(Y119-X119)*-1</f>
        <v>0</v>
      </c>
      <c r="Z248" s="3">
        <f>(Z119-Y119)*-1</f>
        <v>0</v>
      </c>
      <c r="AA248" s="3">
        <f>(AA119-Z119)*-1</f>
        <v>0</v>
      </c>
      <c r="AB248" s="3">
        <f>SUM(X248:AA248)</f>
        <v>0</v>
      </c>
      <c r="AC248" s="3">
        <f>(AC119-AB119)*-1</f>
        <v>0</v>
      </c>
      <c r="AD248" s="3">
        <f>(AD119-AC119)*-1</f>
        <v>0</v>
      </c>
      <c r="AE248" s="3">
        <f>(AE119-AD119)*-1</f>
        <v>0</v>
      </c>
      <c r="AF248" s="3">
        <f>(AF119-AE119)*-1</f>
        <v>0</v>
      </c>
      <c r="AG248" s="3">
        <f>SUM(AC248:AF248)</f>
        <v>0</v>
      </c>
      <c r="AH248" s="3">
        <f>(AH119-AG119)*-1</f>
        <v>0</v>
      </c>
      <c r="AI248" s="3">
        <f>(AI119-AH119)*-1</f>
        <v>0</v>
      </c>
      <c r="AJ248" s="3">
        <f>(AJ119-AI119)*-1</f>
        <v>0</v>
      </c>
      <c r="AK248" s="3">
        <f>(AK119-AJ119)*-1</f>
        <v>0</v>
      </c>
      <c r="AL248" s="3">
        <f>SUM(AH248:AK248)</f>
        <v>0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0</v>
      </c>
      <c r="F249" s="3">
        <f>(F120-E120)*-1</f>
        <v>0</v>
      </c>
      <c r="G249" s="3">
        <f>(G120-F120)*-1</f>
        <v>0</v>
      </c>
      <c r="H249" s="3">
        <f>SUM(D249:G249)</f>
        <v>0</v>
      </c>
      <c r="I249" s="3">
        <f>(I120-H120)*-1</f>
        <v>0</v>
      </c>
      <c r="J249" s="3">
        <f>(J120-I120)*-1</f>
        <v>0</v>
      </c>
      <c r="K249" s="3">
        <f>(K120-J120)*-1</f>
        <v>0</v>
      </c>
      <c r="L249" s="3">
        <f>(L120-K120)*-1</f>
        <v>0</v>
      </c>
      <c r="M249" s="3">
        <f>SUM(I249:L249)</f>
        <v>0</v>
      </c>
      <c r="N249" s="3">
        <f>(N120-M120)*-1</f>
        <v>0</v>
      </c>
      <c r="O249" s="3">
        <f>(O120-N120)*-1</f>
        <v>0</v>
      </c>
      <c r="P249" s="3">
        <f>(P120-O120)*-1</f>
        <v>0</v>
      </c>
      <c r="Q249" s="3">
        <f>(Q120-P120)*-1</f>
        <v>0</v>
      </c>
      <c r="R249" s="3">
        <f>SUM(N249:Q249)</f>
        <v>0</v>
      </c>
      <c r="S249" s="3">
        <f>(S120-R120)*-1</f>
        <v>0</v>
      </c>
      <c r="T249" s="3">
        <f>(T120-S120)*-1</f>
        <v>0</v>
      </c>
      <c r="U249" s="3">
        <f>(U120-T120)*-1</f>
        <v>0</v>
      </c>
      <c r="V249" s="3">
        <f>(V120-U120)*-1</f>
        <v>0</v>
      </c>
      <c r="W249" s="3">
        <f>SUM(S249:V249)</f>
        <v>0</v>
      </c>
      <c r="X249" s="3">
        <f>(X120-W120)*-1</f>
        <v>0</v>
      </c>
      <c r="Y249" s="3">
        <f>(Y120-X120)*-1</f>
        <v>0</v>
      </c>
      <c r="Z249" s="3">
        <f>(Z120-Y120)*-1</f>
        <v>0</v>
      </c>
      <c r="AA249" s="3">
        <f>(AA120-Z120)*-1</f>
        <v>0</v>
      </c>
      <c r="AB249" s="3">
        <f>SUM(X249:AA249)</f>
        <v>0</v>
      </c>
      <c r="AC249" s="3">
        <f>(AC120-AB120)*-1</f>
        <v>0</v>
      </c>
      <c r="AD249" s="3">
        <f>(AD120-AC120)*-1</f>
        <v>0</v>
      </c>
      <c r="AE249" s="3">
        <f>(AE120-AD120)*-1</f>
        <v>0</v>
      </c>
      <c r="AF249" s="3">
        <f>(AF120-AE120)*-1</f>
        <v>0</v>
      </c>
      <c r="AG249" s="3">
        <f>SUM(AC249:AF249)</f>
        <v>0</v>
      </c>
      <c r="AH249" s="3">
        <f>(AH120-AG120)*-1</f>
        <v>0</v>
      </c>
      <c r="AI249" s="3">
        <f>(AI120-AH120)*-1</f>
        <v>0</v>
      </c>
      <c r="AJ249" s="3">
        <f>(AJ120-AI120)*-1</f>
        <v>0</v>
      </c>
      <c r="AK249" s="3">
        <f>(AK120-AJ120)*-1</f>
        <v>0</v>
      </c>
      <c r="AL249" s="3">
        <f>SUM(AH249:AK249)</f>
        <v>0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0</v>
      </c>
      <c r="F250" s="3">
        <f>(F121-E121)*-1</f>
        <v>0</v>
      </c>
      <c r="G250" s="3">
        <f>(G121-F121)*-1</f>
        <v>0</v>
      </c>
      <c r="H250" s="3">
        <f>SUM(D250:G250)</f>
        <v>0</v>
      </c>
      <c r="I250" s="3">
        <f>(I121-H121)*-1</f>
        <v>0</v>
      </c>
      <c r="J250" s="3">
        <f>(J121-I121)*-1</f>
        <v>0</v>
      </c>
      <c r="K250" s="3">
        <f>(K121-J121)*-1</f>
        <v>0</v>
      </c>
      <c r="L250" s="3">
        <f>(L121-K121)*-1</f>
        <v>0</v>
      </c>
      <c r="M250" s="3">
        <f>SUM(I250:L250)</f>
        <v>0</v>
      </c>
      <c r="N250" s="3">
        <f>(N121-M121)*-1</f>
        <v>0</v>
      </c>
      <c r="O250" s="3">
        <f>(O121-N121)*-1</f>
        <v>0</v>
      </c>
      <c r="P250" s="3">
        <f>(P121-O121)*-1</f>
        <v>0</v>
      </c>
      <c r="Q250" s="3">
        <f>(Q121-P121)*-1</f>
        <v>0</v>
      </c>
      <c r="R250" s="3">
        <f>SUM(N250:Q250)</f>
        <v>0</v>
      </c>
      <c r="S250" s="3">
        <f>(S121-R121)*-1</f>
        <v>0</v>
      </c>
      <c r="T250" s="3">
        <f>(T121-S121)*-1</f>
        <v>0</v>
      </c>
      <c r="U250" s="3">
        <f>(U121-T121)*-1</f>
        <v>0</v>
      </c>
      <c r="V250" s="3">
        <f>(V121-U121)*-1</f>
        <v>0</v>
      </c>
      <c r="W250" s="3">
        <f>SUM(S250:V250)</f>
        <v>0</v>
      </c>
      <c r="X250" s="3">
        <f>(X121-W121)*-1</f>
        <v>0</v>
      </c>
      <c r="Y250" s="3">
        <f>(Y121-X121)*-1</f>
        <v>0</v>
      </c>
      <c r="Z250" s="3">
        <f>(Z121-Y121)*-1</f>
        <v>0</v>
      </c>
      <c r="AA250" s="3">
        <f>(AA121-Z121)*-1</f>
        <v>0</v>
      </c>
      <c r="AB250" s="3">
        <f>SUM(X250:AA250)</f>
        <v>0</v>
      </c>
      <c r="AC250" s="3">
        <f>(AC121-AB121)*-1</f>
        <v>0</v>
      </c>
      <c r="AD250" s="3">
        <f>(AD121-AC121)*-1</f>
        <v>0</v>
      </c>
      <c r="AE250" s="3">
        <f>(AE121-AD121)*-1</f>
        <v>0</v>
      </c>
      <c r="AF250" s="3">
        <f>(AF121-AE121)*-1</f>
        <v>0</v>
      </c>
      <c r="AG250" s="3">
        <f>SUM(AC250:AF250)</f>
        <v>0</v>
      </c>
      <c r="AH250" s="3">
        <f>(AH121-AG121)*-1</f>
        <v>0</v>
      </c>
      <c r="AI250" s="3">
        <f>(AI121-AH121)*-1</f>
        <v>0</v>
      </c>
      <c r="AJ250" s="3">
        <f>(AJ121-AI121)*-1</f>
        <v>0</v>
      </c>
      <c r="AK250" s="3">
        <f>(AK121-AJ121)*-1</f>
        <v>0</v>
      </c>
      <c r="AL250" s="3">
        <f>SUM(AH250:AK250)</f>
        <v>0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0</v>
      </c>
      <c r="F251" s="3">
        <f>F164-E164</f>
        <v>0</v>
      </c>
      <c r="G251" s="3">
        <f>G164-F164</f>
        <v>0</v>
      </c>
      <c r="H251" s="3">
        <f>SUM(D251:G251)</f>
        <v>0</v>
      </c>
      <c r="I251" s="3">
        <f>I164-H164</f>
        <v>0</v>
      </c>
      <c r="J251" s="3">
        <f>J164-I164</f>
        <v>0</v>
      </c>
      <c r="K251" s="3">
        <f>K164-J164</f>
        <v>0</v>
      </c>
      <c r="L251" s="3">
        <f>L164-K164</f>
        <v>0</v>
      </c>
      <c r="M251" s="3">
        <f>SUM(I251:L251)</f>
        <v>0</v>
      </c>
      <c r="N251" s="3">
        <f>N164-M164</f>
        <v>0</v>
      </c>
      <c r="O251" s="3">
        <f>O164-N164</f>
        <v>0</v>
      </c>
      <c r="P251" s="3">
        <f>P164-O164</f>
        <v>0</v>
      </c>
      <c r="Q251" s="3">
        <f>Q164-P164</f>
        <v>0</v>
      </c>
      <c r="R251" s="3">
        <f>SUM(N251:Q251)</f>
        <v>0</v>
      </c>
      <c r="S251" s="3">
        <f>S164-R164</f>
        <v>0</v>
      </c>
      <c r="T251" s="3">
        <f>T164-S164</f>
        <v>0</v>
      </c>
      <c r="U251" s="3">
        <f>U164-T164</f>
        <v>0</v>
      </c>
      <c r="V251" s="3">
        <f>V164-U164</f>
        <v>0</v>
      </c>
      <c r="W251" s="3">
        <f>SUM(S251:V251)</f>
        <v>0</v>
      </c>
      <c r="X251" s="3">
        <f>X164-W164</f>
        <v>0</v>
      </c>
      <c r="Y251" s="3">
        <f>Y164-X164</f>
        <v>0</v>
      </c>
      <c r="Z251" s="3">
        <f>Z164-Y164</f>
        <v>0</v>
      </c>
      <c r="AA251" s="3">
        <f>AA164-Z164</f>
        <v>0</v>
      </c>
      <c r="AB251" s="3">
        <f>SUM(X251:AA251)</f>
        <v>0</v>
      </c>
      <c r="AC251" s="3">
        <f>AC164-AB164</f>
        <v>0</v>
      </c>
      <c r="AD251" s="3">
        <f>AD164-AC164</f>
        <v>0</v>
      </c>
      <c r="AE251" s="3">
        <f>AE164-AD164</f>
        <v>0</v>
      </c>
      <c r="AF251" s="3">
        <f>AF164-AE164</f>
        <v>0</v>
      </c>
      <c r="AG251" s="3">
        <f>SUM(AC251:AF251)</f>
        <v>0</v>
      </c>
      <c r="AH251" s="3">
        <f>AH164-AG164</f>
        <v>0</v>
      </c>
      <c r="AI251" s="3">
        <f>AI164-AH164</f>
        <v>0</v>
      </c>
      <c r="AJ251" s="3">
        <f>AJ164-AI164</f>
        <v>0</v>
      </c>
      <c r="AK251" s="3">
        <f>AK164-AJ164</f>
        <v>0</v>
      </c>
      <c r="AL251" s="3">
        <f>SUM(AH251:AK251)</f>
        <v>0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0</v>
      </c>
      <c r="F252" s="3">
        <f>F168-E168</f>
        <v>0</v>
      </c>
      <c r="G252" s="3">
        <f>G168-F168</f>
        <v>0</v>
      </c>
      <c r="H252" s="3">
        <f>SUM(D252:G252)</f>
        <v>0</v>
      </c>
      <c r="I252" s="3">
        <f>I168-H168</f>
        <v>0</v>
      </c>
      <c r="J252" s="3">
        <f>J168-I168</f>
        <v>0</v>
      </c>
      <c r="K252" s="3">
        <f>K168-J168</f>
        <v>0</v>
      </c>
      <c r="L252" s="3">
        <f>L168-K168</f>
        <v>0</v>
      </c>
      <c r="M252" s="3">
        <f>SUM(I252:L252)</f>
        <v>0</v>
      </c>
      <c r="N252" s="3">
        <f>N168-M168</f>
        <v>0</v>
      </c>
      <c r="O252" s="3">
        <f>O168-N168</f>
        <v>0</v>
      </c>
      <c r="P252" s="3">
        <f>P168-O168</f>
        <v>0</v>
      </c>
      <c r="Q252" s="3">
        <f>Q168-P168</f>
        <v>0</v>
      </c>
      <c r="R252" s="3">
        <f>SUM(N252:Q252)</f>
        <v>0</v>
      </c>
      <c r="S252" s="3">
        <f>S168-R168</f>
        <v>0</v>
      </c>
      <c r="T252" s="3">
        <f>T168-S168</f>
        <v>0</v>
      </c>
      <c r="U252" s="3">
        <f>U168-T168</f>
        <v>0</v>
      </c>
      <c r="V252" s="3">
        <f>V168-U168</f>
        <v>0</v>
      </c>
      <c r="W252" s="3">
        <f>SUM(S252:V252)</f>
        <v>0</v>
      </c>
      <c r="X252" s="3">
        <f>X168-W168</f>
        <v>0</v>
      </c>
      <c r="Y252" s="3">
        <f>Y168-X168</f>
        <v>0</v>
      </c>
      <c r="Z252" s="3">
        <f>Z168-Y168</f>
        <v>0</v>
      </c>
      <c r="AA252" s="3">
        <f>AA168-Z168</f>
        <v>0</v>
      </c>
      <c r="AB252" s="3">
        <f>SUM(X252:AA252)</f>
        <v>0</v>
      </c>
      <c r="AC252" s="3">
        <f>AC168-AB168</f>
        <v>0</v>
      </c>
      <c r="AD252" s="3">
        <f>AD168-AC168</f>
        <v>0</v>
      </c>
      <c r="AE252" s="3">
        <f>AE168-AD168</f>
        <v>0</v>
      </c>
      <c r="AF252" s="3">
        <f>AF168-AE168</f>
        <v>0</v>
      </c>
      <c r="AG252" s="3">
        <f>SUM(AC252:AF252)</f>
        <v>0</v>
      </c>
      <c r="AH252" s="3" t="e">
        <f>AH168-AG168</f>
        <v>#DIV/0!</v>
      </c>
      <c r="AI252" s="3" t="e">
        <f>AI168-AH168</f>
        <v>#DIV/0!</v>
      </c>
      <c r="AJ252" s="3" t="e">
        <f>AJ168-AI168</f>
        <v>#DIV/0!</v>
      </c>
      <c r="AK252" s="3" t="e">
        <f>AK168-AJ168</f>
        <v>#DIV/0!</v>
      </c>
      <c r="AL252" s="3" t="e">
        <f>SUM(AH252:AK252)</f>
        <v>#DIV/0!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0</v>
      </c>
      <c r="F253" s="3">
        <f>F170-E170</f>
        <v>0</v>
      </c>
      <c r="G253" s="3">
        <f>G170-F170</f>
        <v>0</v>
      </c>
      <c r="H253" s="3">
        <f>SUM(D253:G253)</f>
        <v>0</v>
      </c>
      <c r="I253" s="3">
        <f>I170-H170</f>
        <v>0</v>
      </c>
      <c r="J253" s="3">
        <f>J170-I170</f>
        <v>0</v>
      </c>
      <c r="K253" s="3">
        <f>K170-J170</f>
        <v>0</v>
      </c>
      <c r="L253" s="3">
        <f>L170-K170</f>
        <v>0</v>
      </c>
      <c r="M253" s="3">
        <f>SUM(I253:L253)</f>
        <v>0</v>
      </c>
      <c r="N253" s="3">
        <f>N170-M170</f>
        <v>0</v>
      </c>
      <c r="O253" s="3">
        <f>O170-N170</f>
        <v>0</v>
      </c>
      <c r="P253" s="3">
        <f>P170-O170</f>
        <v>0</v>
      </c>
      <c r="Q253" s="3">
        <f>Q170-P170</f>
        <v>0</v>
      </c>
      <c r="R253" s="3">
        <f>SUM(N253:Q253)</f>
        <v>0</v>
      </c>
      <c r="S253" s="3">
        <f>S170-R170</f>
        <v>0</v>
      </c>
      <c r="T253" s="3">
        <f>T170-S170</f>
        <v>0</v>
      </c>
      <c r="U253" s="3">
        <f>U170-T170</f>
        <v>0</v>
      </c>
      <c r="V253" s="3">
        <f>V170-U170</f>
        <v>0</v>
      </c>
      <c r="W253" s="3">
        <f>SUM(S253:V253)</f>
        <v>0</v>
      </c>
      <c r="X253" s="3">
        <f>X170-W170</f>
        <v>0</v>
      </c>
      <c r="Y253" s="3">
        <f>Y170-X170</f>
        <v>0</v>
      </c>
      <c r="Z253" s="3">
        <f>Z170-Y170</f>
        <v>0</v>
      </c>
      <c r="AA253" s="3">
        <f>AA170-Z170</f>
        <v>0</v>
      </c>
      <c r="AB253" s="3">
        <f>SUM(X253:AA253)</f>
        <v>0</v>
      </c>
      <c r="AC253" s="3">
        <f>AC170-AB170</f>
        <v>0</v>
      </c>
      <c r="AD253" s="3">
        <f>AD170-AC170</f>
        <v>0</v>
      </c>
      <c r="AE253" s="3">
        <f>AE170-AD170</f>
        <v>0</v>
      </c>
      <c r="AF253" s="3">
        <f>AF170-AE170</f>
        <v>0</v>
      </c>
      <c r="AG253" s="3">
        <f>SUM(AC253:AF253)</f>
        <v>0</v>
      </c>
      <c r="AH253" s="3" t="e">
        <f>AH170-AG170</f>
        <v>#DIV/0!</v>
      </c>
      <c r="AI253" s="3" t="e">
        <f>AI170-AH170</f>
        <v>#DIV/0!</v>
      </c>
      <c r="AJ253" s="3" t="e">
        <f>AJ170-AI170</f>
        <v>#DIV/0!</v>
      </c>
      <c r="AK253" s="3" t="e">
        <f>AK170-AJ170</f>
        <v>#DIV/0!</v>
      </c>
      <c r="AL253" s="3" t="e">
        <f>SUM(AH253:AK253)</f>
        <v>#DIV/0!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0</v>
      </c>
      <c r="F254" s="3">
        <f>F171-E171</f>
        <v>0</v>
      </c>
      <c r="G254" s="3">
        <f>G171-F171</f>
        <v>0</v>
      </c>
      <c r="H254" s="3">
        <f>SUM(D254:G254)</f>
        <v>0</v>
      </c>
      <c r="I254" s="3">
        <f>I171-H171</f>
        <v>0</v>
      </c>
      <c r="J254" s="3">
        <f>J171-I171</f>
        <v>0</v>
      </c>
      <c r="K254" s="3">
        <f>K171-J171</f>
        <v>0</v>
      </c>
      <c r="L254" s="3">
        <f>L171-K171</f>
        <v>0</v>
      </c>
      <c r="M254" s="3">
        <f>SUM(I254:L254)</f>
        <v>0</v>
      </c>
      <c r="N254" s="3">
        <f>N171-M171</f>
        <v>0</v>
      </c>
      <c r="O254" s="3">
        <f>O171-N171</f>
        <v>0</v>
      </c>
      <c r="P254" s="3">
        <f>P171-O171</f>
        <v>0</v>
      </c>
      <c r="Q254" s="3">
        <f>Q171-P171</f>
        <v>0</v>
      </c>
      <c r="R254" s="3">
        <f>SUM(N254:Q254)</f>
        <v>0</v>
      </c>
      <c r="S254" s="3">
        <f>S171-R171</f>
        <v>0</v>
      </c>
      <c r="T254" s="3">
        <f>T171-S171</f>
        <v>0</v>
      </c>
      <c r="U254" s="3">
        <f>U171-T171</f>
        <v>0</v>
      </c>
      <c r="V254" s="3">
        <f>V171-U171</f>
        <v>0</v>
      </c>
      <c r="W254" s="3">
        <f>SUM(S254:V254)</f>
        <v>0</v>
      </c>
      <c r="X254" s="3">
        <f>X171-W171</f>
        <v>0</v>
      </c>
      <c r="Y254" s="3">
        <f>Y171-X171</f>
        <v>0</v>
      </c>
      <c r="Z254" s="3">
        <f>Z171-Y171</f>
        <v>0</v>
      </c>
      <c r="AA254" s="3">
        <f>AA171-Z171</f>
        <v>0</v>
      </c>
      <c r="AB254" s="3">
        <f>SUM(X254:AA254)</f>
        <v>0</v>
      </c>
      <c r="AC254" s="3">
        <f>AC171-AB171</f>
        <v>0</v>
      </c>
      <c r="AD254" s="3">
        <f>AD171-AC171</f>
        <v>0</v>
      </c>
      <c r="AE254" s="3">
        <f>AE171-AD171</f>
        <v>0</v>
      </c>
      <c r="AF254" s="3">
        <f>AF171-AE171</f>
        <v>0</v>
      </c>
      <c r="AG254" s="3">
        <f>SUM(AC254:AF254)</f>
        <v>0</v>
      </c>
      <c r="AH254" s="3">
        <f>AH171-AG171</f>
        <v>0</v>
      </c>
      <c r="AI254" s="3">
        <f>AI171-AH171</f>
        <v>0</v>
      </c>
      <c r="AJ254" s="3">
        <f>AJ171-AI171</f>
        <v>0</v>
      </c>
      <c r="AK254" s="3">
        <f>AK171-AJ171</f>
        <v>0</v>
      </c>
      <c r="AL254" s="3">
        <f>SUM(AH254:AK254)</f>
        <v>0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0</v>
      </c>
      <c r="F255" s="3">
        <f>F205-E205</f>
        <v>0</v>
      </c>
      <c r="G255" s="3">
        <f>G205-F205</f>
        <v>0</v>
      </c>
      <c r="H255" s="3">
        <f>SUM(D255:G255)</f>
        <v>0</v>
      </c>
      <c r="I255" s="3">
        <f>I205-H205</f>
        <v>0</v>
      </c>
      <c r="J255" s="3">
        <f>J205-I205</f>
        <v>0</v>
      </c>
      <c r="K255" s="3">
        <f>K205-J205</f>
        <v>0</v>
      </c>
      <c r="L255" s="3">
        <f>L205-K205</f>
        <v>0</v>
      </c>
      <c r="M255" s="3">
        <f>SUM(I255:L255)</f>
        <v>0</v>
      </c>
      <c r="N255" s="3">
        <f>N205-M205</f>
        <v>0</v>
      </c>
      <c r="O255" s="3">
        <f>O205-N205</f>
        <v>0</v>
      </c>
      <c r="P255" s="3">
        <f>P205-O205</f>
        <v>0</v>
      </c>
      <c r="Q255" s="3">
        <f>Q205-P205</f>
        <v>0</v>
      </c>
      <c r="R255" s="3">
        <f>SUM(N255:Q255)</f>
        <v>0</v>
      </c>
      <c r="S255" s="3">
        <f>S205-R205</f>
        <v>0</v>
      </c>
      <c r="T255" s="3">
        <f>T205-S205</f>
        <v>0</v>
      </c>
      <c r="U255" s="3">
        <f>U205-T205</f>
        <v>0</v>
      </c>
      <c r="V255" s="3">
        <f>V205-U205</f>
        <v>0</v>
      </c>
      <c r="W255" s="3">
        <f>SUM(S255:V255)</f>
        <v>0</v>
      </c>
      <c r="X255" s="3">
        <f>X205-W205</f>
        <v>0</v>
      </c>
      <c r="Y255" s="3">
        <f>Y205-X205</f>
        <v>0</v>
      </c>
      <c r="Z255" s="3">
        <f>Z205-Y205</f>
        <v>0</v>
      </c>
      <c r="AA255" s="3">
        <f>AA205-Z205</f>
        <v>0</v>
      </c>
      <c r="AB255" s="3">
        <f>SUM(X255:AA255)</f>
        <v>0</v>
      </c>
      <c r="AC255" s="3">
        <f>AC205-AB205</f>
        <v>0</v>
      </c>
      <c r="AD255" s="3">
        <f>AD205-AC205</f>
        <v>0</v>
      </c>
      <c r="AE255" s="3">
        <f>AE205-AD205</f>
        <v>0</v>
      </c>
      <c r="AF255" s="3">
        <f>AF205-AE205</f>
        <v>0</v>
      </c>
      <c r="AG255" s="3">
        <f>SUM(AC255:AF255)</f>
        <v>0</v>
      </c>
      <c r="AH255" s="3">
        <f>AH205-AG205</f>
        <v>0</v>
      </c>
      <c r="AI255" s="3">
        <f>AI205-AH205</f>
        <v>0</v>
      </c>
      <c r="AJ255" s="3">
        <f>AJ205-AI205</f>
        <v>0</v>
      </c>
      <c r="AK255" s="3">
        <f>AK205-AJ205</f>
        <v>0</v>
      </c>
      <c r="AL255" s="3">
        <f>SUM(AH255:AK255)</f>
        <v>0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0</v>
      </c>
      <c r="F256" s="3">
        <f>(F127-E127)*-1</f>
        <v>0</v>
      </c>
      <c r="G256" s="3">
        <f>(G127-F127)*-1</f>
        <v>0</v>
      </c>
      <c r="H256" s="3">
        <f>SUM(D256:G256)</f>
        <v>0</v>
      </c>
      <c r="I256" s="3">
        <f>(I127-H127)*-1</f>
        <v>0</v>
      </c>
      <c r="J256" s="3">
        <f>(J127-I127)*-1</f>
        <v>0</v>
      </c>
      <c r="K256" s="3">
        <f>(K127-J127)*-1</f>
        <v>0</v>
      </c>
      <c r="L256" s="3">
        <f>(L127-K127)*-1</f>
        <v>0</v>
      </c>
      <c r="M256" s="3">
        <f>SUM(I256:L256)</f>
        <v>0</v>
      </c>
      <c r="N256" s="3">
        <f>(N127-M127)*-1</f>
        <v>0</v>
      </c>
      <c r="O256" s="3">
        <f>(O127-N127)*-1</f>
        <v>0</v>
      </c>
      <c r="P256" s="3">
        <f>(P127-O127)*-1</f>
        <v>0</v>
      </c>
      <c r="Q256" s="3">
        <f>(Q127-P127)*-1</f>
        <v>0</v>
      </c>
      <c r="R256" s="3">
        <f>SUM(N256:Q256)</f>
        <v>0</v>
      </c>
      <c r="S256" s="3">
        <f>(S127-R127)*-1</f>
        <v>0</v>
      </c>
      <c r="T256" s="3">
        <f>(T127-S127)*-1</f>
        <v>0</v>
      </c>
      <c r="U256" s="3">
        <f>(U127-T127)*-1</f>
        <v>0</v>
      </c>
      <c r="V256" s="3">
        <f>(V127-U127)*-1</f>
        <v>0</v>
      </c>
      <c r="W256" s="3">
        <f>SUM(S256:V256)</f>
        <v>0</v>
      </c>
      <c r="X256" s="3">
        <f>(X127-W127)*-1</f>
        <v>0</v>
      </c>
      <c r="Y256" s="3">
        <f>(Y127-X127)*-1</f>
        <v>0</v>
      </c>
      <c r="Z256" s="3">
        <f>(Z127-Y127)*-1</f>
        <v>0</v>
      </c>
      <c r="AA256" s="3">
        <f>(AA127-Z127)*-1</f>
        <v>0</v>
      </c>
      <c r="AB256" s="3">
        <f>SUM(X256:AA256)</f>
        <v>0</v>
      </c>
      <c r="AC256" s="3">
        <f>(AC127-AB127)*-1</f>
        <v>0</v>
      </c>
      <c r="AD256" s="3">
        <f>(AD127-AC127)*-1</f>
        <v>0</v>
      </c>
      <c r="AE256" s="3">
        <f>(AE127-AD127)*-1</f>
        <v>0</v>
      </c>
      <c r="AF256" s="3">
        <f>(AF127-AE127)*-1</f>
        <v>0</v>
      </c>
      <c r="AG256" s="3">
        <f>SUM(AC256:AF256)</f>
        <v>0</v>
      </c>
      <c r="AH256" s="3">
        <f>(AH127-AG127)*-1</f>
        <v>0</v>
      </c>
      <c r="AI256" s="3">
        <f>(AI127-AH127)*-1</f>
        <v>0</v>
      </c>
      <c r="AJ256" s="3">
        <f>(AJ127-AI127)*-1</f>
        <v>0</v>
      </c>
      <c r="AK256" s="3">
        <f>(AK127-AJ127)*-1</f>
        <v>0</v>
      </c>
      <c r="AL256" s="3">
        <f>SUM(AH256:AK256)</f>
        <v>0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0</v>
      </c>
      <c r="F258" s="3">
        <f>-F102</f>
        <v>0</v>
      </c>
      <c r="G258" s="3">
        <f>-G102</f>
        <v>0</v>
      </c>
      <c r="H258" s="3">
        <f>SUM(D258:G258)</f>
        <v>0</v>
      </c>
      <c r="I258" s="3">
        <f>-I102</f>
        <v>0</v>
      </c>
      <c r="J258" s="3">
        <f>-J102</f>
        <v>0</v>
      </c>
      <c r="K258" s="3">
        <f>-K102</f>
        <v>0</v>
      </c>
      <c r="L258" s="3">
        <f>-L102</f>
        <v>0</v>
      </c>
      <c r="M258" s="3">
        <f>SUM(I258:L258)</f>
        <v>0</v>
      </c>
      <c r="N258" s="3">
        <f>-N102</f>
        <v>0</v>
      </c>
      <c r="O258" s="3">
        <f>-O102</f>
        <v>0</v>
      </c>
      <c r="P258" s="3">
        <f>-P102</f>
        <v>0</v>
      </c>
      <c r="Q258" s="3">
        <f>-Q102</f>
        <v>0</v>
      </c>
      <c r="R258" s="3">
        <f>SUM(N258:Q258)</f>
        <v>0</v>
      </c>
      <c r="S258" s="3">
        <f>-S102</f>
        <v>0</v>
      </c>
      <c r="T258" s="3">
        <f>-T102</f>
        <v>0</v>
      </c>
      <c r="U258" s="3">
        <f>-U102</f>
        <v>0</v>
      </c>
      <c r="V258" s="3">
        <f>-V102</f>
        <v>0</v>
      </c>
      <c r="W258" s="3">
        <f>SUM(S258:V258)</f>
        <v>0</v>
      </c>
      <c r="X258" s="3">
        <f>-X102</f>
        <v>0</v>
      </c>
      <c r="Y258" s="3">
        <f>-Y102</f>
        <v>0</v>
      </c>
      <c r="Z258" s="3">
        <f>-Z102</f>
        <v>0</v>
      </c>
      <c r="AA258" s="3">
        <f>-AA102</f>
        <v>0</v>
      </c>
      <c r="AB258" s="3">
        <f>SUM(X258:AA258)</f>
        <v>0</v>
      </c>
      <c r="AC258" s="3">
        <f>-AC102</f>
        <v>0</v>
      </c>
      <c r="AD258" s="3">
        <f>-AD102</f>
        <v>0</v>
      </c>
      <c r="AE258" s="3">
        <f>-AE102</f>
        <v>0</v>
      </c>
      <c r="AF258" s="3">
        <f>-AF102</f>
        <v>0</v>
      </c>
      <c r="AG258" s="3">
        <f>SUM(AC258:AF258)</f>
        <v>0</v>
      </c>
      <c r="AH258" s="3">
        <f>-AH102</f>
        <v>0</v>
      </c>
      <c r="AI258" s="3">
        <f>-AI102</f>
        <v>0</v>
      </c>
      <c r="AJ258" s="3">
        <f>-AJ102</f>
        <v>0</v>
      </c>
      <c r="AK258" s="3">
        <f>-AK102</f>
        <v>0</v>
      </c>
      <c r="AL258" s="3">
        <f>SUM(AH258:AK258)</f>
        <v>0</v>
      </c>
      <c r="AM258" s="3">
        <f>-AM102</f>
        <v>0</v>
      </c>
      <c r="AN258" s="3">
        <f>-AN102</f>
        <v>0</v>
      </c>
      <c r="AO258" s="3">
        <f>-AO102</f>
        <v>0</v>
      </c>
      <c r="AP258" s="3">
        <f>-AP102</f>
        <v>0</v>
      </c>
      <c r="AQ258" s="3">
        <f>SUM(AM258:AP258)</f>
        <v>0</v>
      </c>
      <c r="AR258" s="3">
        <f>-AR102</f>
        <v>0</v>
      </c>
      <c r="AS258" s="3">
        <f>-AS102</f>
        <v>0</v>
      </c>
      <c r="AT258" s="3">
        <f>-AT102</f>
        <v>0</v>
      </c>
      <c r="AU258" s="3">
        <f>-AU102</f>
        <v>0</v>
      </c>
      <c r="AV258" s="3">
        <f>SUM(AR258:AU258)</f>
        <v>0</v>
      </c>
      <c r="AW258" s="3">
        <f>-AW102</f>
        <v>0</v>
      </c>
      <c r="AX258" s="3">
        <f>-AX102</f>
        <v>0</v>
      </c>
      <c r="AY258" s="3">
        <f>-AY102</f>
        <v>0</v>
      </c>
      <c r="AZ258" s="3">
        <f>-AZ102</f>
        <v>0</v>
      </c>
      <c r="BA258" s="3">
        <f>SUM(AW258:AZ258)</f>
        <v>0</v>
      </c>
      <c r="BB258" s="3">
        <f>-BB102</f>
        <v>0</v>
      </c>
      <c r="BC258" s="3">
        <f>-BC102</f>
        <v>0</v>
      </c>
      <c r="BD258" s="3">
        <f>-BD102</f>
        <v>0</v>
      </c>
      <c r="BE258" s="3">
        <f>-BE102</f>
        <v>0</v>
      </c>
      <c r="BF258" s="3">
        <f>SUM(BB258:BE258)</f>
        <v>0</v>
      </c>
      <c r="BG258" s="3">
        <f>-BG102</f>
        <v>0</v>
      </c>
      <c r="BH258" s="3">
        <f>-BH102</f>
        <v>0</v>
      </c>
      <c r="BI258" s="3">
        <f>-BI102</f>
        <v>0</v>
      </c>
      <c r="BJ258" s="3">
        <f>-BJ102</f>
        <v>0</v>
      </c>
      <c r="BK258" s="3">
        <f>SUM(BG258:BJ258)</f>
        <v>0</v>
      </c>
      <c r="BL258" s="3">
        <f>-BL102</f>
        <v>0</v>
      </c>
      <c r="BM258" s="3">
        <f>-BM102</f>
        <v>0</v>
      </c>
      <c r="BN258" s="3">
        <f>-BN102</f>
        <v>0</v>
      </c>
      <c r="BO258" s="3">
        <f>-BO102</f>
        <v>0</v>
      </c>
      <c r="BP258" s="3">
        <f>SUM(BL258:BO258)</f>
        <v>0</v>
      </c>
      <c r="BQ258" s="3">
        <f>-BQ102</f>
        <v>0</v>
      </c>
      <c r="BR258" s="3">
        <f>-BR102</f>
        <v>0</v>
      </c>
      <c r="BS258" s="3">
        <f>-BS102</f>
        <v>0</v>
      </c>
      <c r="BT258" s="3">
        <f>-BT102</f>
        <v>0</v>
      </c>
      <c r="BU258" s="3">
        <f>SUM(BQ258:BT258)</f>
        <v>0</v>
      </c>
      <c r="BV258" s="3">
        <f>-BV102</f>
        <v>0</v>
      </c>
      <c r="BW258" s="3">
        <f>-BW102</f>
        <v>0</v>
      </c>
      <c r="BX258" s="3">
        <f>-BX102</f>
        <v>0</v>
      </c>
      <c r="BY258" s="3">
        <f>-BY102</f>
        <v>0</v>
      </c>
      <c r="BZ258" s="3">
        <f>SUM(BV258:BY258)</f>
        <v>0</v>
      </c>
      <c r="CA258" s="3">
        <f>-CA102</f>
        <v>0</v>
      </c>
      <c r="CB258" s="3">
        <f>-CB102</f>
        <v>0</v>
      </c>
      <c r="CC258" s="3">
        <f>-CC102</f>
        <v>0</v>
      </c>
      <c r="CD258" s="3">
        <f>-CD102</f>
        <v>0</v>
      </c>
      <c r="CE258" s="3">
        <f>SUM(CA258:CD258)</f>
        <v>0</v>
      </c>
      <c r="CF258" s="3">
        <f>-CF102</f>
        <v>0</v>
      </c>
      <c r="CG258" s="3">
        <f>-CG102</f>
        <v>0</v>
      </c>
      <c r="CH258" s="3">
        <f>-CH102</f>
        <v>0</v>
      </c>
      <c r="CI258" s="3">
        <f>-CI102</f>
        <v>0</v>
      </c>
      <c r="CJ258" s="3">
        <f>SUM(CF258:CI258)</f>
        <v>0</v>
      </c>
      <c r="CK258" s="3">
        <f>-CK102</f>
        <v>0</v>
      </c>
      <c r="CL258" s="3">
        <f>-CL102</f>
        <v>0</v>
      </c>
      <c r="CM258" s="3">
        <f>-CM102</f>
        <v>0</v>
      </c>
      <c r="CN258" s="3">
        <f>-CN102</f>
        <v>0</v>
      </c>
      <c r="CO258" s="3">
        <f>SUM(CK258:CN258)</f>
        <v>0</v>
      </c>
      <c r="CP258" s="3">
        <f>-CP102</f>
        <v>0</v>
      </c>
      <c r="CQ258" s="3">
        <f>-CQ102</f>
        <v>0</v>
      </c>
      <c r="CR258" s="3">
        <f>-CR102</f>
        <v>0</v>
      </c>
      <c r="CS258" s="3">
        <f>-CS102</f>
        <v>0</v>
      </c>
      <c r="CT258" s="3">
        <f>SUM(CP258:CS258)</f>
        <v>0</v>
      </c>
      <c r="CU258" s="3">
        <f>-CU102</f>
        <v>0</v>
      </c>
      <c r="CV258" s="3">
        <f>-CV102</f>
        <v>0</v>
      </c>
      <c r="CW258" s="3">
        <f>-CW102</f>
        <v>0</v>
      </c>
      <c r="CX258" s="3">
        <f>-CX102</f>
        <v>0</v>
      </c>
      <c r="CY258" s="3">
        <f>SUM(CU258:CX258)</f>
        <v>0</v>
      </c>
    </row>
    <row r="259">
      <c r="C259" s="26" t="inlineStr">
        <is>
          <t>Cash from operations</t>
        </is>
      </c>
      <c r="D259" s="3" t="n"/>
      <c r="E259" s="3">
        <f>SUM(E243,E244,E245,E256,E257,E258)</f>
        <v>0</v>
      </c>
      <c r="F259" s="3">
        <f>SUM(F243,F244,F245,F256,F257,F258)</f>
        <v>0</v>
      </c>
      <c r="G259" s="3">
        <f>SUM(G243,G244,G245,G256,G257,G258)</f>
        <v>0</v>
      </c>
      <c r="H259" s="3">
        <f>SUM(H243,H244,H245,H256,H257,H258)</f>
        <v>0</v>
      </c>
      <c r="I259" s="3">
        <f>SUM(I243,I244,I245,I256,I257,I258)</f>
        <v>0</v>
      </c>
      <c r="J259" s="3">
        <f>SUM(J243,J244,J245,J256,J257,J258)</f>
        <v>0</v>
      </c>
      <c r="K259" s="3">
        <f>SUM(K243,K244,K245,K256,K257,K258)</f>
        <v>0</v>
      </c>
      <c r="L259" s="3">
        <f>SUM(L243,L244,L245,L256,L257,L258)</f>
        <v>0</v>
      </c>
      <c r="M259" s="3">
        <f>SUM(M243,M244,M245,M256,M257,M258)</f>
        <v>0</v>
      </c>
      <c r="N259" s="3">
        <f>SUM(N243,N244,N245,N256,N257,N258)</f>
        <v>0</v>
      </c>
      <c r="O259" s="3">
        <f>SUM(O243,O244,O245,O256,O257,O258)</f>
        <v>0</v>
      </c>
      <c r="P259" s="3">
        <f>SUM(P243,P244,P245,P256,P257,P258)</f>
        <v>0</v>
      </c>
      <c r="Q259" s="3">
        <f>SUM(Q243,Q244,Q245,Q256,Q257,Q258)</f>
        <v>0</v>
      </c>
      <c r="R259" s="3">
        <f>SUM(R243,R244,R245,R256,R257,R258)</f>
        <v>0</v>
      </c>
      <c r="S259" s="3">
        <f>SUM(S243,S244,S245,S256,S257,S258)</f>
        <v>0</v>
      </c>
      <c r="T259" s="3">
        <f>SUM(T243,T244,T245,T256,T257,T258)</f>
        <v>0</v>
      </c>
      <c r="U259" s="3">
        <f>SUM(U243,U244,U245,U256,U257,U258)</f>
        <v>0</v>
      </c>
      <c r="V259" s="3">
        <f>SUM(V243,V244,V245,V256,V257,V258)</f>
        <v>0</v>
      </c>
      <c r="W259" s="3">
        <f>SUM(W243,W244,W245,W256,W257,W258)</f>
        <v>0</v>
      </c>
      <c r="X259" s="3">
        <f>SUM(X243,X244,X245,X256,X257,X258)</f>
        <v>0</v>
      </c>
      <c r="Y259" s="3">
        <f>SUM(Y243,Y244,Y245,Y256,Y257,Y258)</f>
        <v>0</v>
      </c>
      <c r="Z259" s="3">
        <f>SUM(Z243,Z244,Z245,Z256,Z257,Z258)</f>
        <v>0</v>
      </c>
      <c r="AA259" s="3">
        <f>SUM(AA243,AA244,AA245,AA256,AA257,AA258)</f>
        <v>0</v>
      </c>
      <c r="AB259" s="3">
        <f>SUM(AB243,AB244,AB245,AB256,AB257,AB258)</f>
        <v>0</v>
      </c>
      <c r="AC259" s="3">
        <f>SUM(AC243,AC244,AC245,AC256,AC257,AC258)</f>
        <v>0</v>
      </c>
      <c r="AD259" s="3">
        <f>SUM(AD243,AD244,AD245,AD256,AD257,AD258)</f>
        <v>0</v>
      </c>
      <c r="AE259" s="3">
        <f>SUM(AE243,AE244,AE245,AE256,AE257,AE258)</f>
        <v>0</v>
      </c>
      <c r="AF259" s="3">
        <f>SUM(AF243,AF244,AF245,AF256,AF257,AF258)</f>
        <v>0</v>
      </c>
      <c r="AG259" s="3">
        <f>SUM(AG243,AG244,AG245,AG256,AG257,AG258)</f>
        <v>0</v>
      </c>
      <c r="AH259" s="3" t="e">
        <f>SUM(AH243,AH244,AH245,AH256,AH257,AH258)</f>
        <v>#DIV/0!</v>
      </c>
      <c r="AI259" s="3" t="e">
        <f>SUM(AI243,AI244,AI245,AI256,AI257,AI258)</f>
        <v>#DIV/0!</v>
      </c>
      <c r="AJ259" s="3" t="e">
        <f>SUM(AJ243,AJ244,AJ245,AJ256,AJ257,AJ258)</f>
        <v>#DIV/0!</v>
      </c>
      <c r="AK259" s="3" t="e">
        <f>SUM(AK243,AK244,AK245,AK256,AK257,AK258)</f>
        <v>#DIV/0!</v>
      </c>
      <c r="AL259" s="3" t="e">
        <f>SUM(AL243,AL244,AL245,AL256,AL257,AL258)</f>
        <v>#DIV/0!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0</v>
      </c>
      <c r="F261" s="3">
        <f>-F134</f>
        <v>0</v>
      </c>
      <c r="G261" s="3">
        <f>-G134</f>
        <v>0</v>
      </c>
      <c r="H261" s="3">
        <f>SUM(D261:G261)</f>
        <v>0</v>
      </c>
      <c r="I261" s="3">
        <f>-I134</f>
        <v>0</v>
      </c>
      <c r="J261" s="3">
        <f>-J134</f>
        <v>0</v>
      </c>
      <c r="K261" s="3">
        <f>-K134</f>
        <v>0</v>
      </c>
      <c r="L261" s="3">
        <f>-L134</f>
        <v>0</v>
      </c>
      <c r="M261" s="3">
        <f>SUM(I261:L261)</f>
        <v>0</v>
      </c>
      <c r="N261" s="3">
        <f>-N134</f>
        <v>0</v>
      </c>
      <c r="O261" s="3">
        <f>-O134</f>
        <v>0</v>
      </c>
      <c r="P261" s="3">
        <f>-P134</f>
        <v>0</v>
      </c>
      <c r="Q261" s="3">
        <f>-Q134</f>
        <v>0</v>
      </c>
      <c r="R261" s="3">
        <f>SUM(N261:Q261)</f>
        <v>0</v>
      </c>
      <c r="S261" s="3">
        <f>-S134</f>
        <v>0</v>
      </c>
      <c r="T261" s="3">
        <f>-T134</f>
        <v>0</v>
      </c>
      <c r="U261" s="3">
        <f>-U134</f>
        <v>0</v>
      </c>
      <c r="V261" s="3">
        <f>-V134</f>
        <v>0</v>
      </c>
      <c r="W261" s="3">
        <f>SUM(S261:V261)</f>
        <v>0</v>
      </c>
      <c r="X261" s="3">
        <f>-X134</f>
        <v>0</v>
      </c>
      <c r="Y261" s="3">
        <f>-Y134</f>
        <v>0</v>
      </c>
      <c r="Z261" s="3">
        <f>-Z134</f>
        <v>0</v>
      </c>
      <c r="AA261" s="3">
        <f>-AA134</f>
        <v>0</v>
      </c>
      <c r="AB261" s="3">
        <f>SUM(X261:AA261)</f>
        <v>0</v>
      </c>
      <c r="AC261" s="3">
        <f>-AC134</f>
        <v>0</v>
      </c>
      <c r="AD261" s="3">
        <f>-AD134</f>
        <v>0</v>
      </c>
      <c r="AE261" s="3">
        <f>-AE134</f>
        <v>0</v>
      </c>
      <c r="AF261" s="3">
        <f>-AF134</f>
        <v>0</v>
      </c>
      <c r="AG261" s="3">
        <f>SUM(AC261:AF261)</f>
        <v>0</v>
      </c>
      <c r="AH261" s="3">
        <f>-AH134</f>
        <v>0</v>
      </c>
      <c r="AI261" s="3">
        <f>-AI134</f>
        <v>0</v>
      </c>
      <c r="AJ261" s="3">
        <f>-AJ134</f>
        <v>0</v>
      </c>
      <c r="AK261" s="3">
        <f>-AK134</f>
        <v>0</v>
      </c>
      <c r="AL261" s="3">
        <f>SUM(AH261:AK261)</f>
        <v>0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0</v>
      </c>
      <c r="F263" s="3">
        <f>(F142-E142)*-1</f>
        <v>0</v>
      </c>
      <c r="G263" s="3">
        <f>(G142-F142)*-1</f>
        <v>0</v>
      </c>
      <c r="H263" s="3">
        <f>SUM(D263:G263)</f>
        <v>0</v>
      </c>
      <c r="I263" s="3">
        <f>(I142-H142)*-1</f>
        <v>0</v>
      </c>
      <c r="J263" s="3">
        <f>(J142-I142)*-1</f>
        <v>0</v>
      </c>
      <c r="K263" s="3">
        <f>(K142-J142)*-1</f>
        <v>0</v>
      </c>
      <c r="L263" s="3">
        <f>(L142-K142)*-1</f>
        <v>0</v>
      </c>
      <c r="M263" s="3">
        <f>SUM(I263:L263)</f>
        <v>0</v>
      </c>
      <c r="N263" s="3">
        <f>(N142-M142)*-1</f>
        <v>0</v>
      </c>
      <c r="O263" s="3">
        <f>(O142-N142)*-1</f>
        <v>0</v>
      </c>
      <c r="P263" s="3">
        <f>(P142-O142)*-1</f>
        <v>0</v>
      </c>
      <c r="Q263" s="3">
        <f>(Q142-P142)*-1</f>
        <v>0</v>
      </c>
      <c r="R263" s="3">
        <f>SUM(N263:Q263)</f>
        <v>0</v>
      </c>
      <c r="S263" s="3">
        <f>(S142-R142)*-1</f>
        <v>0</v>
      </c>
      <c r="T263" s="3">
        <f>(T142-S142)*-1</f>
        <v>0</v>
      </c>
      <c r="U263" s="3">
        <f>(U142-T142)*-1</f>
        <v>0</v>
      </c>
      <c r="V263" s="3">
        <f>(V142-U142)*-1</f>
        <v>0</v>
      </c>
      <c r="W263" s="3">
        <f>SUM(S263:V263)</f>
        <v>0</v>
      </c>
      <c r="X263" s="3">
        <f>(X142-W142)*-1</f>
        <v>0</v>
      </c>
      <c r="Y263" s="3">
        <f>(Y142-X142)*-1</f>
        <v>0</v>
      </c>
      <c r="Z263" s="3">
        <f>(Z142-Y142)*-1</f>
        <v>0</v>
      </c>
      <c r="AA263" s="3">
        <f>(AA142-Z142)*-1</f>
        <v>0</v>
      </c>
      <c r="AB263" s="3">
        <f>SUM(X263:AA263)</f>
        <v>0</v>
      </c>
      <c r="AC263" s="3">
        <f>(AC142-AB142)*-1</f>
        <v>0</v>
      </c>
      <c r="AD263" s="3">
        <f>(AD142-AC142)*-1</f>
        <v>0</v>
      </c>
      <c r="AE263" s="3">
        <f>(AE142-AD142)*-1</f>
        <v>0</v>
      </c>
      <c r="AF263" s="3">
        <f>(AF142-AE142)*-1</f>
        <v>0</v>
      </c>
      <c r="AG263" s="3">
        <f>SUM(AC263:AF263)</f>
        <v>0</v>
      </c>
      <c r="AH263" s="3">
        <f>(AH142-AG142)*-1</f>
        <v>0</v>
      </c>
      <c r="AI263" s="3">
        <f>(AI142-AH142)*-1</f>
        <v>0</v>
      </c>
      <c r="AJ263" s="3">
        <f>(AJ142-AI142)*-1</f>
        <v>0</v>
      </c>
      <c r="AK263" s="3">
        <f>(AK142-AJ142)*-1</f>
        <v>0</v>
      </c>
      <c r="AL263" s="3">
        <f>SUM(AH263:AK263)</f>
        <v>0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0</v>
      </c>
      <c r="F264" s="3">
        <f>((F146-E146)*-1)+((F145-E145)*-1)</f>
        <v>0</v>
      </c>
      <c r="G264" s="3">
        <f>((G146-F146)*-1)+((G145-F145)*-1)</f>
        <v>0</v>
      </c>
      <c r="H264" s="3">
        <f>SUM(D264:G264)</f>
        <v>0</v>
      </c>
      <c r="I264" s="3">
        <f>((I146-H146)*-1)+((I145-H145)*-1)</f>
        <v>0</v>
      </c>
      <c r="J264" s="3">
        <f>((J146-I146)*-1)+((J145-I145)*-1)</f>
        <v>0</v>
      </c>
      <c r="K264" s="3">
        <f>((K146-J146)*-1)+((K145-J145)*-1)</f>
        <v>0</v>
      </c>
      <c r="L264" s="3">
        <f>((L146-K146)*-1)+((L145-K145)*-1)</f>
        <v>0</v>
      </c>
      <c r="M264" s="3">
        <f>SUM(I264:L264)</f>
        <v>0</v>
      </c>
      <c r="N264" s="3">
        <f>((N146-M146)*-1)+((N145-M145)*-1)</f>
        <v>0</v>
      </c>
      <c r="O264" s="3">
        <f>((O146-N146)*-1)+((O145-N145)*-1)</f>
        <v>0</v>
      </c>
      <c r="P264" s="3">
        <f>((P146-O146)*-1)+((P145-O145)*-1)</f>
        <v>0</v>
      </c>
      <c r="Q264" s="3">
        <f>((Q146-P146)*-1)+((Q145-P145)*-1)</f>
        <v>0</v>
      </c>
      <c r="R264" s="3">
        <f>SUM(N264:Q264)</f>
        <v>0</v>
      </c>
      <c r="S264" s="3">
        <f>((S146-R146)*-1)+((S145-R145)*-1)</f>
        <v>0</v>
      </c>
      <c r="T264" s="3">
        <f>((T146-S146)*-1)+((T145-S145)*-1)</f>
        <v>0</v>
      </c>
      <c r="U264" s="3">
        <f>((U146-T146)*-1)+((U145-T145)*-1)</f>
        <v>0</v>
      </c>
      <c r="V264" s="3">
        <f>((V146-U146)*-1)+((V145-U145)*-1)</f>
        <v>0</v>
      </c>
      <c r="W264" s="3">
        <f>SUM(S264:V264)</f>
        <v>0</v>
      </c>
      <c r="X264" s="3">
        <f>((X146-W146)*-1)+((X145-W145)*-1)</f>
        <v>0</v>
      </c>
      <c r="Y264" s="3">
        <f>((Y146-X146)*-1)+((Y145-X145)*-1)</f>
        <v>0</v>
      </c>
      <c r="Z264" s="3">
        <f>((Z146-Y146)*-1)+((Z145-Y145)*-1)</f>
        <v>0</v>
      </c>
      <c r="AA264" s="3">
        <f>((AA146-Z146)*-1)+((AA145-Z145)*-1)</f>
        <v>0</v>
      </c>
      <c r="AB264" s="3">
        <f>SUM(X264:AA264)</f>
        <v>0</v>
      </c>
      <c r="AC264" s="3">
        <f>((AC146-AB146)*-1)+((AC145-AB145)*-1)</f>
        <v>0</v>
      </c>
      <c r="AD264" s="3">
        <f>((AD146-AC146)*-1)+((AD145-AC145)*-1)</f>
        <v>0</v>
      </c>
      <c r="AE264" s="3">
        <f>((AE146-AD146)*-1)+((AE145-AD145)*-1)</f>
        <v>0</v>
      </c>
      <c r="AF264" s="3">
        <f>((AF146-AE146)*-1)+((AF145-AE145)*-1)</f>
        <v>0</v>
      </c>
      <c r="AG264" s="3">
        <f>SUM(AC264:AF264)</f>
        <v>0</v>
      </c>
      <c r="AH264" s="3">
        <f>((AH146-AG146)*-1)+((AH145-AG145)*-1)</f>
        <v>0</v>
      </c>
      <c r="AI264" s="3">
        <f>((AI146-AH146)*-1)+((AI145-AH145)*-1)</f>
        <v>0</v>
      </c>
      <c r="AJ264" s="3">
        <f>((AJ146-AI146)*-1)+((AJ145-AI145)*-1)</f>
        <v>0</v>
      </c>
      <c r="AK264" s="3">
        <f>((AK146-AJ146)*-1)+((AK145-AJ145)*-1)</f>
        <v>0</v>
      </c>
      <c r="AL264" s="3">
        <f>SUM(AH264:AK264)</f>
        <v>0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0</v>
      </c>
      <c r="F265" s="3">
        <f>((F155-E155)*-1)+(F206-E206)</f>
        <v>0</v>
      </c>
      <c r="G265" s="3">
        <f>((G155-F155)*-1)+(G206-F206)</f>
        <v>0</v>
      </c>
      <c r="H265" s="3">
        <f>SUM(D265:G265)</f>
        <v>0</v>
      </c>
      <c r="I265" s="3">
        <f>((I155-H155)*-1)+(I206-H206)</f>
        <v>0</v>
      </c>
      <c r="J265" s="3">
        <f>((J155-I155)*-1)+(J206-I206)</f>
        <v>0</v>
      </c>
      <c r="K265" s="3">
        <f>((K155-J155)*-1)+(K206-J206)</f>
        <v>0</v>
      </c>
      <c r="L265" s="3">
        <f>((L155-K155)*-1)+(L206-K206)</f>
        <v>0</v>
      </c>
      <c r="M265" s="3">
        <f>SUM(I265:L265)</f>
        <v>0</v>
      </c>
      <c r="N265" s="3">
        <f>((N155-M155)*-1)+(N206-M206)</f>
        <v>0</v>
      </c>
      <c r="O265" s="3">
        <f>((O155-N155)*-1)+(O206-N206)</f>
        <v>0</v>
      </c>
      <c r="P265" s="3">
        <f>((P155-O155)*-1)+(P206-O206)</f>
        <v>0</v>
      </c>
      <c r="Q265" s="3">
        <f>((Q155-P155)*-1)+(Q206-P206)</f>
        <v>0</v>
      </c>
      <c r="R265" s="3">
        <f>SUM(N265:Q265)</f>
        <v>0</v>
      </c>
      <c r="S265" s="3">
        <f>((S155-R155)*-1)+(S206-R206)</f>
        <v>0</v>
      </c>
      <c r="T265" s="3">
        <f>((T155-S155)*-1)+(T206-S206)</f>
        <v>0</v>
      </c>
      <c r="U265" s="3">
        <f>((U155-T155)*-1)+(U206-T206)</f>
        <v>0</v>
      </c>
      <c r="V265" s="3">
        <f>((V155-U155)*-1)+(V206-U206)</f>
        <v>0</v>
      </c>
      <c r="W265" s="3">
        <f>SUM(S265:V265)</f>
        <v>0</v>
      </c>
      <c r="X265" s="3">
        <f>((X155-W155)*-1)+(X206-W206)</f>
        <v>0</v>
      </c>
      <c r="Y265" s="3">
        <f>((Y155-X155)*-1)+(Y206-X206)</f>
        <v>0</v>
      </c>
      <c r="Z265" s="3">
        <f>((Z155-Y155)*-1)+(Z206-Y206)</f>
        <v>0</v>
      </c>
      <c r="AA265" s="3">
        <f>((AA155-Z155)*-1)+(AA206-Z206)</f>
        <v>0</v>
      </c>
      <c r="AB265" s="3">
        <f>SUM(X265:AA265)</f>
        <v>0</v>
      </c>
      <c r="AC265" s="3">
        <f>((AC155-AB155)*-1)+(AC206-AB206)</f>
        <v>0</v>
      </c>
      <c r="AD265" s="3">
        <f>((AD155-AC155)*-1)+(AD206-AC206)</f>
        <v>0</v>
      </c>
      <c r="AE265" s="3">
        <f>((AE155-AD155)*-1)+(AE206-AD206)</f>
        <v>0</v>
      </c>
      <c r="AF265" s="3">
        <f>((AF155-AE155)*-1)+(AF206-AE206)</f>
        <v>0</v>
      </c>
      <c r="AG265" s="3">
        <f>SUM(AC265:AF265)</f>
        <v>0</v>
      </c>
      <c r="AH265" s="3">
        <f>((AH155-AG155)*-1)+(AH206-AG206)</f>
        <v>0</v>
      </c>
      <c r="AI265" s="3">
        <f>((AI155-AH155)*-1)+(AI206-AH206)</f>
        <v>0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0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0</v>
      </c>
      <c r="F266" s="3">
        <f>SUM(F261,F262,F264,F265,F263)</f>
        <v>0</v>
      </c>
      <c r="G266" s="3">
        <f>SUM(G261,G262,G264,G265,G263)</f>
        <v>0</v>
      </c>
      <c r="H266" s="3">
        <f>SUM(H261,H262,H264,H265)</f>
        <v>0</v>
      </c>
      <c r="I266" s="3">
        <f>SUM(I261,I262,I264,I265,I263)</f>
        <v>0</v>
      </c>
      <c r="J266" s="3">
        <f>SUM(J261,J262,J264,J265,J263)</f>
        <v>0</v>
      </c>
      <c r="K266" s="3">
        <f>SUM(K261,K262,K264,K265,K263)</f>
        <v>0</v>
      </c>
      <c r="L266" s="3">
        <f>SUM(L261,L262,L264,L265,L263)</f>
        <v>0</v>
      </c>
      <c r="M266" s="3">
        <f>SUM(M261,M262,M264,M265)</f>
        <v>0</v>
      </c>
      <c r="N266" s="3">
        <f>SUM(N261,N262,N264,N265,N263)</f>
        <v>0</v>
      </c>
      <c r="O266" s="3">
        <f>SUM(O261,O262,O264,O265,O263)</f>
        <v>0</v>
      </c>
      <c r="P266" s="3">
        <f>SUM(P261,P262,P264,P265,P263)</f>
        <v>0</v>
      </c>
      <c r="Q266" s="3">
        <f>SUM(Q261,Q262,Q264,Q265,Q263)</f>
        <v>0</v>
      </c>
      <c r="R266" s="3">
        <f>SUM(R261,R262,R264,R265)</f>
        <v>0</v>
      </c>
      <c r="S266" s="3">
        <f>SUM(S261,S262,S264,S265,S263)</f>
        <v>0</v>
      </c>
      <c r="T266" s="3">
        <f>SUM(T261,T262,T264,T265,T263)</f>
        <v>0</v>
      </c>
      <c r="U266" s="3">
        <f>SUM(U261,U262,U264,U265,U263)</f>
        <v>0</v>
      </c>
      <c r="V266" s="3">
        <f>SUM(V261,V262,V264,V265,V263)</f>
        <v>0</v>
      </c>
      <c r="W266" s="3">
        <f>SUM(W261,W262,W264,W265)</f>
        <v>0</v>
      </c>
      <c r="X266" s="3">
        <f>SUM(X261,X262,X264,X265,X263)</f>
        <v>0</v>
      </c>
      <c r="Y266" s="3">
        <f>SUM(Y261,Y262,Y264,Y265,Y263)</f>
        <v>0</v>
      </c>
      <c r="Z266" s="3">
        <f>SUM(Z261,Z262,Z264,Z265,Z263)</f>
        <v>0</v>
      </c>
      <c r="AA266" s="3">
        <f>SUM(AA261,AA262,AA264,AA265,AA263)</f>
        <v>0</v>
      </c>
      <c r="AB266" s="3">
        <f>SUM(AB261,AB262,AB264,AB265)</f>
        <v>0</v>
      </c>
      <c r="AC266" s="3">
        <f>SUM(AC261,AC262,AC264,AC265,AC263)</f>
        <v>0</v>
      </c>
      <c r="AD266" s="3">
        <f>SUM(AD261,AD262,AD264,AD265,AD263)</f>
        <v>0</v>
      </c>
      <c r="AE266" s="3">
        <f>SUM(AE261,AE262,AE264,AE265,AE263)</f>
        <v>0</v>
      </c>
      <c r="AF266" s="3">
        <f>SUM(AF261,AF262,AF264,AF265,AF263)</f>
        <v>0</v>
      </c>
      <c r="AG266" s="3">
        <f>SUM(AG261,AG262,AG264,AG265)</f>
        <v>0</v>
      </c>
      <c r="AH266" s="3">
        <f>SUM(AH261,AH262,AH264,AH265,AH263)</f>
        <v>0</v>
      </c>
      <c r="AI266" s="3">
        <f>SUM(AI261,AI262,AI264,AI265,AI263)</f>
        <v>0</v>
      </c>
      <c r="AJ266" s="3">
        <f>SUM(AJ261,AJ262,AJ264,AJ265,AJ263)</f>
        <v>0</v>
      </c>
      <c r="AK266" s="3">
        <f>SUM(AK261,AK262,AK264,AK265,AK263)</f>
        <v>0</v>
      </c>
      <c r="AL266" s="3">
        <f>SUM(AL261,AL262,AL264,AL265)</f>
        <v>0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0</v>
      </c>
      <c r="F269" s="3">
        <f>F220-E220</f>
        <v>0</v>
      </c>
      <c r="G269" s="3">
        <f>G220-F220</f>
        <v>0</v>
      </c>
      <c r="H269" s="3">
        <f>SUM(D269:G269)</f>
        <v>0</v>
      </c>
      <c r="I269" s="3">
        <f>I220-H220</f>
        <v>0</v>
      </c>
      <c r="J269" s="3">
        <f>J220-I220</f>
        <v>0</v>
      </c>
      <c r="K269" s="3">
        <f>K220-J220</f>
        <v>0</v>
      </c>
      <c r="L269" s="3">
        <f>L220-K220</f>
        <v>0</v>
      </c>
      <c r="M269" s="3">
        <f>SUM(I269:L269)</f>
        <v>0</v>
      </c>
      <c r="N269" s="3">
        <f>N220-M220</f>
        <v>0</v>
      </c>
      <c r="O269" s="3">
        <f>O220-N220</f>
        <v>0</v>
      </c>
      <c r="P269" s="3">
        <f>P220-O220</f>
        <v>0</v>
      </c>
      <c r="Q269" s="3">
        <f>Q220-P220</f>
        <v>0</v>
      </c>
      <c r="R269" s="3">
        <f>SUM(N269:Q269)</f>
        <v>0</v>
      </c>
      <c r="S269" s="3">
        <f>S220-R220</f>
        <v>0</v>
      </c>
      <c r="T269" s="3">
        <f>T220-S220</f>
        <v>0</v>
      </c>
      <c r="U269" s="3">
        <f>U220-T220</f>
        <v>0</v>
      </c>
      <c r="V269" s="3">
        <f>V220-U220</f>
        <v>0</v>
      </c>
      <c r="W269" s="3">
        <f>SUM(S269:V269)</f>
        <v>0</v>
      </c>
      <c r="X269" s="3">
        <f>X220-W220</f>
        <v>0</v>
      </c>
      <c r="Y269" s="3">
        <f>Y220-X220</f>
        <v>0</v>
      </c>
      <c r="Z269" s="3">
        <f>Z220-Y220</f>
        <v>0</v>
      </c>
      <c r="AA269" s="3">
        <f>AA220-Z220</f>
        <v>0</v>
      </c>
      <c r="AB269" s="3">
        <f>SUM(X269:AA269)</f>
        <v>0</v>
      </c>
      <c r="AC269" s="3">
        <f>AC220-AB220</f>
        <v>0</v>
      </c>
      <c r="AD269" s="3">
        <f>AD220-AC220</f>
        <v>0</v>
      </c>
      <c r="AE269" s="3">
        <f>AE220-AD220</f>
        <v>0</v>
      </c>
      <c r="AF269" s="3">
        <f>AF220-AE220</f>
        <v>0</v>
      </c>
      <c r="AG269" s="3">
        <f>SUM(AC269:AF269)</f>
        <v>0</v>
      </c>
      <c r="AH269" s="3">
        <f>AH220-AG220</f>
        <v>0</v>
      </c>
      <c r="AI269" s="3">
        <f>AI220-AH220</f>
        <v>0</v>
      </c>
      <c r="AJ269" s="3">
        <f>AJ220-AI220</f>
        <v>0</v>
      </c>
      <c r="AK269" s="3">
        <f>AK220-AJ220</f>
        <v>0</v>
      </c>
      <c r="AL269" s="3">
        <f>SUM(AH269:AK269)</f>
        <v>0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0</v>
      </c>
      <c r="F270" s="3">
        <f>F233-E233</f>
        <v>0</v>
      </c>
      <c r="G270" s="3">
        <f>G233-F233</f>
        <v>0</v>
      </c>
      <c r="H270" s="3">
        <f>SUM(D270:G270)</f>
        <v>0</v>
      </c>
      <c r="I270" s="3">
        <f>I233-H233</f>
        <v>0</v>
      </c>
      <c r="J270" s="3">
        <f>J233-I233</f>
        <v>0</v>
      </c>
      <c r="K270" s="3">
        <f>K233-J233</f>
        <v>0</v>
      </c>
      <c r="L270" s="3">
        <f>L233-K233</f>
        <v>0</v>
      </c>
      <c r="M270" s="3">
        <f>SUM(I270:L270)</f>
        <v>0</v>
      </c>
      <c r="N270" s="3">
        <f>N233-M233</f>
        <v>0</v>
      </c>
      <c r="O270" s="3">
        <f>O233-N233</f>
        <v>0</v>
      </c>
      <c r="P270" s="3">
        <f>P233-O233</f>
        <v>0</v>
      </c>
      <c r="Q270" s="3">
        <f>Q233-P233</f>
        <v>0</v>
      </c>
      <c r="R270" s="3">
        <f>SUM(N270:Q270)</f>
        <v>0</v>
      </c>
      <c r="S270" s="3">
        <f>S233-R233</f>
        <v>0</v>
      </c>
      <c r="T270" s="3">
        <f>T233-S233</f>
        <v>0</v>
      </c>
      <c r="U270" s="3">
        <f>U233-T233</f>
        <v>0</v>
      </c>
      <c r="V270" s="3">
        <f>V233-U233</f>
        <v>0</v>
      </c>
      <c r="W270" s="3">
        <f>SUM(S270:V270)</f>
        <v>0</v>
      </c>
      <c r="X270" s="3">
        <f>X233-W233</f>
        <v>0</v>
      </c>
      <c r="Y270" s="3">
        <f>Y233-X233</f>
        <v>0</v>
      </c>
      <c r="Z270" s="3">
        <f>Z233-Y233</f>
        <v>0</v>
      </c>
      <c r="AA270" s="3">
        <f>AA233-Z233</f>
        <v>0</v>
      </c>
      <c r="AB270" s="3">
        <f>SUM(X270:AA270)</f>
        <v>0</v>
      </c>
      <c r="AC270" s="3">
        <f>AC233-AB233</f>
        <v>0</v>
      </c>
      <c r="AD270" s="3">
        <f>AD233-AC233</f>
        <v>0</v>
      </c>
      <c r="AE270" s="3">
        <f>AE233-AD233</f>
        <v>0</v>
      </c>
      <c r="AF270" s="3">
        <f>AF233-AE233</f>
        <v>0</v>
      </c>
      <c r="AG270" s="3">
        <f>SUM(AC270:AF270)</f>
        <v>0</v>
      </c>
      <c r="AH270" s="3">
        <f>AH233-AG233</f>
        <v>0</v>
      </c>
      <c r="AI270" s="3">
        <f>AI233-AH233</f>
        <v>0</v>
      </c>
      <c r="AJ270" s="3">
        <f>AJ233-AI233</f>
        <v>0</v>
      </c>
      <c r="AK270" s="3">
        <f>AK233-AJ233</f>
        <v>0</v>
      </c>
      <c r="AL270" s="3">
        <f>SUM(AH270:AK270)</f>
        <v>0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0</v>
      </c>
      <c r="F271" s="3">
        <f>F234-E234</f>
        <v>0</v>
      </c>
      <c r="G271" s="3">
        <f>G234-F234</f>
        <v>0</v>
      </c>
      <c r="H271" s="3">
        <f>SUM(D271:G271)</f>
        <v>0</v>
      </c>
      <c r="I271" s="3">
        <f>I234-H234</f>
        <v>0</v>
      </c>
      <c r="J271" s="3">
        <f>J234-I234</f>
        <v>0</v>
      </c>
      <c r="K271" s="3">
        <f>K234-J234</f>
        <v>0</v>
      </c>
      <c r="L271" s="3">
        <f>L234-K234</f>
        <v>0</v>
      </c>
      <c r="M271" s="3">
        <f>SUM(I271:L271)</f>
        <v>0</v>
      </c>
      <c r="N271" s="3">
        <f>N234-M234</f>
        <v>0</v>
      </c>
      <c r="O271" s="3">
        <f>O234-N234</f>
        <v>0</v>
      </c>
      <c r="P271" s="3">
        <f>P234-O234</f>
        <v>0</v>
      </c>
      <c r="Q271" s="3">
        <f>Q234-P234</f>
        <v>0</v>
      </c>
      <c r="R271" s="3">
        <f>SUM(N271:Q271)</f>
        <v>0</v>
      </c>
      <c r="S271" s="3">
        <f>S234-R234</f>
        <v>0</v>
      </c>
      <c r="T271" s="3">
        <f>T234-S234</f>
        <v>0</v>
      </c>
      <c r="U271" s="3">
        <f>U234-T234</f>
        <v>0</v>
      </c>
      <c r="V271" s="3">
        <f>V234-U234</f>
        <v>0</v>
      </c>
      <c r="W271" s="3">
        <f>SUM(S271:V271)</f>
        <v>0</v>
      </c>
      <c r="X271" s="3">
        <f>X234-W234</f>
        <v>0</v>
      </c>
      <c r="Y271" s="3">
        <f>Y234-X234</f>
        <v>0</v>
      </c>
      <c r="Z271" s="3">
        <f>Z234-Y234</f>
        <v>0</v>
      </c>
      <c r="AA271" s="3">
        <f>AA234-Z234</f>
        <v>0</v>
      </c>
      <c r="AB271" s="3">
        <f>SUM(X271:AA271)</f>
        <v>0</v>
      </c>
      <c r="AC271" s="3">
        <f>AC234-AB234</f>
        <v>0</v>
      </c>
      <c r="AD271" s="3">
        <f>AD234-AC234</f>
        <v>0</v>
      </c>
      <c r="AE271" s="3">
        <f>AE234-AD234</f>
        <v>0</v>
      </c>
      <c r="AF271" s="3">
        <f>AF234-AE234</f>
        <v>0</v>
      </c>
      <c r="AG271" s="3">
        <f>SUM(AC271:AF271)</f>
        <v>0</v>
      </c>
      <c r="AH271" s="3">
        <f>AH234-AG234</f>
        <v>0</v>
      </c>
      <c r="AI271" s="3">
        <f>AI234-AH234</f>
        <v>0</v>
      </c>
      <c r="AJ271" s="3">
        <f>AJ234-AI234</f>
        <v>0</v>
      </c>
      <c r="AK271" s="3">
        <f>AK234-AJ234</f>
        <v>0</v>
      </c>
      <c r="AL271" s="3">
        <f>SUM(AH271:AK271)</f>
        <v>0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0</v>
      </c>
      <c r="H272" s="3">
        <f>SUM(D272:G272)</f>
        <v>0</v>
      </c>
      <c r="I272" s="3">
        <f>I235-H235</f>
        <v>0</v>
      </c>
      <c r="J272" s="3">
        <f>J235-I235</f>
        <v>0</v>
      </c>
      <c r="K272" s="3">
        <f>K235-J235</f>
        <v>0</v>
      </c>
      <c r="L272" s="3">
        <f>L235-K235</f>
        <v>0</v>
      </c>
      <c r="M272" s="3">
        <f>SUM(I272:L272)</f>
        <v>0</v>
      </c>
      <c r="N272" s="3">
        <f>N235-M235</f>
        <v>0</v>
      </c>
      <c r="O272" s="3">
        <f>O235-N235</f>
        <v>0</v>
      </c>
      <c r="P272" s="3">
        <f>P235-O235</f>
        <v>0</v>
      </c>
      <c r="Q272" s="3">
        <f>Q235-P235</f>
        <v>0</v>
      </c>
      <c r="R272" s="3">
        <f>SUM(N272:Q272)</f>
        <v>0</v>
      </c>
      <c r="S272" s="3">
        <f>S235-R235</f>
        <v>0</v>
      </c>
      <c r="T272" s="3">
        <f>T235-S235</f>
        <v>0</v>
      </c>
      <c r="U272" s="3">
        <f>U235-T235</f>
        <v>0</v>
      </c>
      <c r="V272" s="3">
        <f>V235-U235</f>
        <v>0</v>
      </c>
      <c r="W272" s="3">
        <f>SUM(S272:V272)</f>
        <v>0</v>
      </c>
      <c r="X272" s="3">
        <f>X235-W235</f>
        <v>0</v>
      </c>
      <c r="Y272" s="3">
        <f>Y235-X235</f>
        <v>0</v>
      </c>
      <c r="Z272" s="3">
        <f>Z235-Y235</f>
        <v>0</v>
      </c>
      <c r="AA272" s="3">
        <f>AA235-Z235</f>
        <v>0</v>
      </c>
      <c r="AB272" s="3">
        <f>SUM(X272:AA272)</f>
        <v>0</v>
      </c>
      <c r="AC272" s="3">
        <f>AC235-AB235</f>
        <v>0</v>
      </c>
      <c r="AD272" s="3">
        <f>AD235-AC235</f>
        <v>0</v>
      </c>
      <c r="AE272" s="3">
        <f>AE235-AD235</f>
        <v>0</v>
      </c>
      <c r="AF272" s="3">
        <f>AF235-AE235</f>
        <v>0</v>
      </c>
      <c r="AG272" s="3">
        <f>SUM(AC272:AF272)</f>
        <v>0</v>
      </c>
      <c r="AH272" s="3">
        <f>AH235-AG235</f>
        <v>0</v>
      </c>
      <c r="AI272" s="3">
        <f>AI235-AH235</f>
        <v>0</v>
      </c>
      <c r="AJ272" s="3">
        <f>AJ235-AI235</f>
        <v>0</v>
      </c>
      <c r="AK272" s="3">
        <f>AK235-AJ235</f>
        <v>0</v>
      </c>
      <c r="AL272" s="3">
        <f>SUM(AH272:AK272)</f>
        <v>0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0</v>
      </c>
      <c r="F273" s="3">
        <f>(F236-E236)-F243</f>
        <v>0</v>
      </c>
      <c r="G273" s="3">
        <f>(G236-F236)-G243</f>
        <v>0</v>
      </c>
      <c r="H273" s="3">
        <f>SUM(D273:G273)</f>
        <v>0</v>
      </c>
      <c r="I273" s="3">
        <f>(I236-H236)-I243</f>
        <v>0</v>
      </c>
      <c r="J273" s="3">
        <f>(J236-I236)-J243</f>
        <v>0</v>
      </c>
      <c r="K273" s="3">
        <f>(K236-J236)-K243</f>
        <v>0</v>
      </c>
      <c r="L273" s="3">
        <f>(L236-K236)-L243</f>
        <v>0</v>
      </c>
      <c r="M273" s="3">
        <f>SUM(I273:L273)</f>
        <v>0</v>
      </c>
      <c r="N273" s="3">
        <f>(N236-M236)-N243</f>
        <v>0</v>
      </c>
      <c r="O273" s="3">
        <f>(O236-N236)-O243</f>
        <v>0</v>
      </c>
      <c r="P273" s="3">
        <f>(P236-O236)-P243</f>
        <v>0</v>
      </c>
      <c r="Q273" s="3">
        <f>(Q236-P236)-Q243</f>
        <v>0</v>
      </c>
      <c r="R273" s="3">
        <f>SUM(N273:Q273)</f>
        <v>0</v>
      </c>
      <c r="S273" s="3">
        <f>(S236-R236)-S243</f>
        <v>0</v>
      </c>
      <c r="T273" s="3">
        <f>(T236-S236)-T243</f>
        <v>0</v>
      </c>
      <c r="U273" s="3">
        <f>(U236-T236)-U243</f>
        <v>0</v>
      </c>
      <c r="V273" s="3">
        <f>(V236-U236)-V243</f>
        <v>0</v>
      </c>
      <c r="W273" s="3">
        <f>SUM(S273:V273)</f>
        <v>0</v>
      </c>
      <c r="X273" s="3">
        <f>(X236-W236)-X243</f>
        <v>0</v>
      </c>
      <c r="Y273" s="3">
        <f>(Y236-X236)-Y243</f>
        <v>0</v>
      </c>
      <c r="Z273" s="3">
        <f>(Z236-Y236)-Z243</f>
        <v>0</v>
      </c>
      <c r="AA273" s="3">
        <f>(AA236-Z236)-AA243</f>
        <v>0</v>
      </c>
      <c r="AB273" s="3">
        <f>SUM(X273:AA273)</f>
        <v>0</v>
      </c>
      <c r="AC273" s="3">
        <f>(AC236-AB236)-AC243</f>
        <v>0</v>
      </c>
      <c r="AD273" s="3">
        <f>(AD236-AC236)-AD243</f>
        <v>0</v>
      </c>
      <c r="AE273" s="3">
        <f>(AE236-AD236)-AE243</f>
        <v>0</v>
      </c>
      <c r="AF273" s="3">
        <f>(AF236-AE236)-AF243</f>
        <v>0</v>
      </c>
      <c r="AG273" s="3">
        <f>SUM(AC273:AF273)</f>
        <v>0</v>
      </c>
      <c r="AH273" s="3">
        <f>(AH236-AG236)-AH243</f>
        <v>0</v>
      </c>
      <c r="AI273" s="3">
        <f>(AI236-AH236)-AI243</f>
        <v>0</v>
      </c>
      <c r="AJ273" s="3">
        <f>(AJ236-AI236)-AJ243</f>
        <v>0</v>
      </c>
      <c r="AK273" s="3">
        <f>(AK236-AJ236)-AK243</f>
        <v>0</v>
      </c>
      <c r="AL273" s="3">
        <f>SUM(AH273:AK273)</f>
        <v>0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0</v>
      </c>
      <c r="F274" s="3">
        <f>(F214-E214)+F102</f>
        <v>0</v>
      </c>
      <c r="G274" s="3">
        <f>(G214-F214)+G102</f>
        <v>0</v>
      </c>
      <c r="H274" s="3">
        <f>SUM(D274:G274)</f>
        <v>0</v>
      </c>
      <c r="I274" s="3">
        <f>(I214-H214)+I102</f>
        <v>0</v>
      </c>
      <c r="J274" s="3">
        <f>(J214-I214)+J102</f>
        <v>0</v>
      </c>
      <c r="K274" s="3">
        <f>(K214-J214)+K102</f>
        <v>0</v>
      </c>
      <c r="L274" s="3">
        <f>(L214-K214)+L102</f>
        <v>0</v>
      </c>
      <c r="M274" s="3">
        <f>SUM(I274:L274)</f>
        <v>0</v>
      </c>
      <c r="N274" s="3">
        <f>(N214-M214)+N102</f>
        <v>0</v>
      </c>
      <c r="O274" s="3">
        <f>(O214-N214)+O102</f>
        <v>0</v>
      </c>
      <c r="P274" s="3">
        <f>(P214-O214)+P102</f>
        <v>0</v>
      </c>
      <c r="Q274" s="3">
        <f>(Q214-P214)+Q102</f>
        <v>0</v>
      </c>
      <c r="R274" s="3">
        <f>SUM(N274:Q274)</f>
        <v>0</v>
      </c>
      <c r="S274" s="3">
        <f>(S214-R214)+S102</f>
        <v>0</v>
      </c>
      <c r="T274" s="3">
        <f>(T214-S214)+T102</f>
        <v>0</v>
      </c>
      <c r="U274" s="3">
        <f>(U214-T214)+U102</f>
        <v>0</v>
      </c>
      <c r="V274" s="3">
        <f>(V214-U214)+V102</f>
        <v>0</v>
      </c>
      <c r="W274" s="3">
        <f>SUM(S274:V274)</f>
        <v>0</v>
      </c>
      <c r="X274" s="3">
        <f>(X214-W214)+X102</f>
        <v>0</v>
      </c>
      <c r="Y274" s="3">
        <f>(Y214-X214)+Y102</f>
        <v>0</v>
      </c>
      <c r="Z274" s="3">
        <f>(Z214-Y214)+Z102</f>
        <v>0</v>
      </c>
      <c r="AA274" s="3">
        <f>(AA214-Z214)+AA102</f>
        <v>0</v>
      </c>
      <c r="AB274" s="3">
        <f>SUM(X274:AA274)</f>
        <v>0</v>
      </c>
      <c r="AC274" s="3">
        <f>(AC214-AB214)+AC102</f>
        <v>0</v>
      </c>
      <c r="AD274" s="3">
        <f>(AD214-AC214)+AD102</f>
        <v>0</v>
      </c>
      <c r="AE274" s="3">
        <f>(AE214-AD214)+AE102</f>
        <v>0</v>
      </c>
      <c r="AF274" s="3">
        <f>(AF214-AE214)+AF102</f>
        <v>0</v>
      </c>
      <c r="AG274" s="3">
        <f>SUM(AC274:AF274)</f>
        <v>0</v>
      </c>
      <c r="AH274" s="3">
        <f>(AH214-AG214)+AH102</f>
        <v>0</v>
      </c>
      <c r="AI274" s="3">
        <f>(AI214-AH214)+AI102</f>
        <v>0</v>
      </c>
      <c r="AJ274" s="3">
        <f>(AJ214-AI214)+AJ102</f>
        <v>0</v>
      </c>
      <c r="AK274" s="3">
        <f>(AK214-AJ214)+AK102</f>
        <v>0</v>
      </c>
      <c r="AL274" s="3">
        <f>SUM(AH274:AK274)</f>
        <v>0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0</v>
      </c>
      <c r="F275" s="3">
        <f>SUM(F178:F180,F183,F204,F201)-SUM(E178:E180,E183,E204,E201)</f>
        <v>0</v>
      </c>
      <c r="G275" s="3">
        <f>SUM(G178:G180,G183,G204,G201)-SUM(F178:F180,F183,F204,F201)</f>
        <v>0</v>
      </c>
      <c r="H275" s="3">
        <f>SUM(D275:G275)</f>
        <v>0</v>
      </c>
      <c r="I275" s="3">
        <f>SUM(I178:I180,I183,I204,I201)-SUM(H178:H180,H183,H204,H201)</f>
        <v>0</v>
      </c>
      <c r="J275" s="3">
        <f>SUM(J178:J180,J183,J204,J201)-SUM(I178:I180,I183,I204,I201)</f>
        <v>0</v>
      </c>
      <c r="K275" s="3">
        <f>SUM(K178:K180,K183,K204,K201)-SUM(J178:J180,J183,J204,J201)</f>
        <v>0</v>
      </c>
      <c r="L275" s="3">
        <f>SUM(L178:L180,L183,L204,L201)-SUM(K178:K180,K183,K204,K201)</f>
        <v>0</v>
      </c>
      <c r="M275" s="3">
        <f>SUM(I275:L275)</f>
        <v>0</v>
      </c>
      <c r="N275" s="3">
        <f>SUM(N178:N180,N183,N204,N201)-SUM(M178:M180,M183,M204,M201)</f>
        <v>0</v>
      </c>
      <c r="O275" s="3">
        <f>SUM(O178:O180,O183,O204,O201)-SUM(N178:N180,N183,N204,N201)</f>
        <v>0</v>
      </c>
      <c r="P275" s="3">
        <f>SUM(P178:P180,P183,P204,P201)-SUM(O178:O180,O183,O204,O201)</f>
        <v>0</v>
      </c>
      <c r="Q275" s="3">
        <f>SUM(Q178:Q180,Q183,Q204,Q201)-SUM(P178:P180,P183,P204,P201)</f>
        <v>0</v>
      </c>
      <c r="R275" s="3">
        <f>SUM(N275:Q275)</f>
        <v>0</v>
      </c>
      <c r="S275" s="3">
        <f>SUM(S178:S180,S183,S204,S201)-SUM(R178:R180,R183,R204,R201)</f>
        <v>0</v>
      </c>
      <c r="T275" s="3">
        <f>SUM(T178:T180,T183,T204,T201)-SUM(S178:S180,S183,S204,S201)</f>
        <v>0</v>
      </c>
      <c r="U275" s="3">
        <f>SUM(U178:U180,U183,U204,U201)-SUM(T178:T180,T183,T204,T201)</f>
        <v>0</v>
      </c>
      <c r="V275" s="3">
        <f>SUM(V178:V180,V183,V204,V201)-SUM(U178:U180,U183,U204,U201)</f>
        <v>0</v>
      </c>
      <c r="W275" s="3">
        <f>SUM(S275:V275)</f>
        <v>0</v>
      </c>
      <c r="X275" s="3">
        <f>SUM(X178:X180,X183,X204,X201)-SUM(W178:W180,W183,W204,W201)</f>
        <v>0</v>
      </c>
      <c r="Y275" s="3">
        <f>SUM(Y178:Y180,Y183,Y204,Y201)-SUM(X178:X180,X183,X204,X201)</f>
        <v>0</v>
      </c>
      <c r="Z275" s="3">
        <f>SUM(Z178:Z180,Z183,Z204,Z201)-SUM(Y178:Y180,Y183,Y204,Y201)</f>
        <v>0</v>
      </c>
      <c r="AA275" s="3">
        <f>SUM(AA178:AA180,AA183,AA204,AA201)-SUM(Z178:Z180,Z183,Z204,Z201)</f>
        <v>0</v>
      </c>
      <c r="AB275" s="3">
        <f>SUM(X275:AA275)</f>
        <v>0</v>
      </c>
      <c r="AC275" s="3">
        <f>SUM(AC178:AC180,AC183,AC204,AC201)-SUM(AB178:AB180,AB183,AB204,AB201)</f>
        <v>0</v>
      </c>
      <c r="AD275" s="3">
        <f>SUM(AD178:AD180,AD183,AD204,AD201)-SUM(AC178:AC180,AC183,AC204,AC201)</f>
        <v>0</v>
      </c>
      <c r="AE275" s="3">
        <f>SUM(AE178:AE180,AE183,AE204,AE201)-SUM(AD178:AD180,AD183,AD204,AD201)</f>
        <v>0</v>
      </c>
      <c r="AF275" s="3">
        <f>SUM(AF178:AF180,AF183,AF204,AF201)-SUM(AE178:AE180,AE183,AE204,AE201)</f>
        <v>0</v>
      </c>
      <c r="AG275" s="3">
        <f>SUM(AC275:AF275)</f>
        <v>0</v>
      </c>
      <c r="AH275" s="3">
        <f>SUM(AH178:AH180,AH183,AH204,AH201)-SUM(AG178:AG180,AG183,AG204,AG201)</f>
        <v>0</v>
      </c>
      <c r="AI275" s="3">
        <f>SUM(AI178:AI180,AI183,AI204,AI201)-SUM(AH178:AH180,AH183,AH204,AH201)</f>
        <v>0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0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0</v>
      </c>
      <c r="F276" s="3">
        <f>SUM(F268,F269,F270,F271,F272,F273,F274,F275)</f>
        <v>0</v>
      </c>
      <c r="G276" s="3">
        <f>SUM(G268,G269,G270,G271,G272,G273,G274,G275)</f>
        <v>0</v>
      </c>
      <c r="H276" s="3">
        <f>SUM(H268,H269,H270,H271,H272,H273,H274,H275)</f>
        <v>0</v>
      </c>
      <c r="I276" s="3">
        <f>SUM(I268,I269,I270,I271,I272,I273,I274,I275)</f>
        <v>0</v>
      </c>
      <c r="J276" s="3">
        <f>SUM(J268,J269,J270,J271,J272,J273,J274,J275)</f>
        <v>0</v>
      </c>
      <c r="K276" s="3">
        <f>SUM(K268,K269,K270,K271,K272,K273,K274,K275)</f>
        <v>0</v>
      </c>
      <c r="L276" s="3">
        <f>SUM(L268,L269,L270,L271,L272,L273,L274,L275)</f>
        <v>0</v>
      </c>
      <c r="M276" s="3">
        <f>SUM(M268,M269,M270,M271,M272,M273,M274,M275)</f>
        <v>0</v>
      </c>
      <c r="N276" s="3">
        <f>SUM(N268,N269,N270,N271,N272,N273,N274,N275)</f>
        <v>0</v>
      </c>
      <c r="O276" s="3">
        <f>SUM(O268,O269,O270,O271,O272,O273,O274,O275)</f>
        <v>0</v>
      </c>
      <c r="P276" s="3">
        <f>SUM(P268,P269,P270,P271,P272,P273,P274,P275)</f>
        <v>0</v>
      </c>
      <c r="Q276" s="3">
        <f>SUM(Q268,Q269,Q270,Q271,Q272,Q273,Q274,Q275)</f>
        <v>0</v>
      </c>
      <c r="R276" s="3">
        <f>SUM(R268,R269,R270,R271,R272,R273,R274,R275)</f>
        <v>0</v>
      </c>
      <c r="S276" s="3">
        <f>SUM(S268,S269,S270,S271,S272,S273,S274,S275)</f>
        <v>0</v>
      </c>
      <c r="T276" s="3">
        <f>SUM(T268,T269,T270,T271,T272,T273,T274,T275)</f>
        <v>0</v>
      </c>
      <c r="U276" s="3">
        <f>SUM(U268,U269,U270,U271,U272,U273,U274,U275)</f>
        <v>0</v>
      </c>
      <c r="V276" s="3">
        <f>SUM(V268,V269,V270,V271,V272,V273,V274,V275)</f>
        <v>0</v>
      </c>
      <c r="W276" s="3">
        <f>SUM(W268,W269,W270,W271,W272,W273,W274,W275)</f>
        <v>0</v>
      </c>
      <c r="X276" s="3">
        <f>SUM(X268,X269,X270,X271,X272,X273,X274,X275)</f>
        <v>0</v>
      </c>
      <c r="Y276" s="3">
        <f>SUM(Y268,Y269,Y270,Y271,Y272,Y273,Y274,Y275)</f>
        <v>0</v>
      </c>
      <c r="Z276" s="3">
        <f>SUM(Z268,Z269,Z270,Z271,Z272,Z273,Z274,Z275)</f>
        <v>0</v>
      </c>
      <c r="AA276" s="3">
        <f>SUM(AA268,AA269,AA270,AA271,AA272,AA273,AA274,AA275)</f>
        <v>0</v>
      </c>
      <c r="AB276" s="3">
        <f>SUM(AB268,AB269,AB270,AB271,AB272,AB273,AB274,AB275)</f>
        <v>0</v>
      </c>
      <c r="AC276" s="3">
        <f>SUM(AC268,AC269,AC270,AC271,AC272,AC273,AC274,AC275)</f>
        <v>0</v>
      </c>
      <c r="AD276" s="3">
        <f>SUM(AD268,AD269,AD270,AD271,AD272,AD273,AD274,AD275)</f>
        <v>0</v>
      </c>
      <c r="AE276" s="3">
        <f>SUM(AE268,AE269,AE270,AE271,AE272,AE273,AE274,AE275)</f>
        <v>0</v>
      </c>
      <c r="AF276" s="3">
        <f>SUM(AF268,AF269,AF270,AF271,AF272,AF273,AF274,AF275)</f>
        <v>0</v>
      </c>
      <c r="AG276" s="3">
        <f>SUM(AG268,AG269,AG270,AG271,AG272,AG273,AG274,AG275)</f>
        <v>0</v>
      </c>
      <c r="AH276" s="3">
        <f>SUM(AH268,AH269,AH270,AH271,AH272,AH273,AH274,AH275)</f>
        <v>0</v>
      </c>
      <c r="AI276" s="3">
        <f>SUM(AI268,AI269,AI270,AI271,AI272,AI273,AI274,AI275)</f>
        <v>0</v>
      </c>
      <c r="AJ276" s="3">
        <f>SUM(AJ268,AJ269,AJ270,AJ271,AJ272,AJ273,AJ274,AJ275)</f>
        <v>0</v>
      </c>
      <c r="AK276" s="3">
        <f>SUM(AK268,AK269,AK270,AK271,AK272,AK273,AK274,AK275)</f>
        <v>0</v>
      </c>
      <c r="AL276" s="3">
        <f>SUM(AL268,AL269,AL270,AL271,AL272,AL273,AL274,AL275)</f>
        <v>0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0</v>
      </c>
      <c r="F280" s="3">
        <f>SUM(F259,F266,F276,F278)</f>
        <v>0</v>
      </c>
      <c r="G280" s="3">
        <f>SUM(G259,G266,G276,G278)</f>
        <v>0</v>
      </c>
      <c r="H280" s="3">
        <f>SUM(D280:G280)</f>
        <v>0</v>
      </c>
      <c r="I280" s="3">
        <f>SUM(I259,I266,I276,I278)</f>
        <v>0</v>
      </c>
      <c r="J280" s="3">
        <f>SUM(J259,J266,J276,J278)</f>
        <v>0</v>
      </c>
      <c r="K280" s="3">
        <f>SUM(K259,K266,K276,K278)</f>
        <v>0</v>
      </c>
      <c r="L280" s="3">
        <f>SUM(L259,L266,L276,L278)</f>
        <v>0</v>
      </c>
      <c r="M280" s="3">
        <f>SUM(I280:L280)</f>
        <v>0</v>
      </c>
      <c r="N280" s="3">
        <f>SUM(N259,N266,N276,N278)</f>
        <v>0</v>
      </c>
      <c r="O280" s="3">
        <f>SUM(O259,O266,O276,O278)</f>
        <v>0</v>
      </c>
      <c r="P280" s="3">
        <f>SUM(P259,P266,P276,P278)</f>
        <v>0</v>
      </c>
      <c r="Q280" s="3">
        <f>SUM(Q259,Q266,Q276,Q278)</f>
        <v>0</v>
      </c>
      <c r="R280" s="3">
        <f>SUM(N280:Q280)</f>
        <v>0</v>
      </c>
      <c r="S280" s="3">
        <f>SUM(S259,S266,S276,S278)</f>
        <v>0</v>
      </c>
      <c r="T280" s="3">
        <f>SUM(T259,T266,T276,T278)</f>
        <v>0</v>
      </c>
      <c r="U280" s="3">
        <f>SUM(U259,U266,U276,U278)</f>
        <v>0</v>
      </c>
      <c r="V280" s="3">
        <f>SUM(V259,V266,V276,V278)</f>
        <v>0</v>
      </c>
      <c r="W280" s="3">
        <f>SUM(S280:V280)</f>
        <v>0</v>
      </c>
      <c r="X280" s="3">
        <f>SUM(X259,X266,X276,X278)</f>
        <v>0</v>
      </c>
      <c r="Y280" s="3">
        <f>SUM(Y259,Y266,Y276,Y278)</f>
        <v>0</v>
      </c>
      <c r="Z280" s="3">
        <f>SUM(Z259,Z266,Z276,Z278)</f>
        <v>0</v>
      </c>
      <c r="AA280" s="3">
        <f>SUM(AA259,AA266,AA276,AA278)</f>
        <v>0</v>
      </c>
      <c r="AB280" s="3">
        <f>SUM(X280:AA280)</f>
        <v>0</v>
      </c>
      <c r="AC280" s="3">
        <f>SUM(AC259,AC266,AC276,AC278)</f>
        <v>0</v>
      </c>
      <c r="AD280" s="3">
        <f>SUM(AD259,AD266,AD276,AD278)</f>
        <v>0</v>
      </c>
      <c r="AE280" s="3">
        <f>SUM(AE259,AE266,AE276,AE278)</f>
        <v>0</v>
      </c>
      <c r="AF280" s="3">
        <f>SUM(AF259,AF266,AF276,AF278)</f>
        <v>0</v>
      </c>
      <c r="AG280" s="3">
        <f>SUM(AC280:AF280)</f>
        <v>0</v>
      </c>
      <c r="AH280" s="3" t="e">
        <f>SUM(AH259,AH266,AH276,AH278)</f>
        <v>#DIV/0!</v>
      </c>
      <c r="AI280" s="3" t="e">
        <f>SUM(AI259,AI266,AI276,AI278)</f>
        <v>#DIV/0!</v>
      </c>
      <c r="AJ280" s="3" t="e">
        <f>SUM(AJ259,AJ266,AJ276,AJ278)</f>
        <v>#DIV/0!</v>
      </c>
      <c r="AK280" s="3" t="e">
        <f>SUM(AK259,AK266,AK276,AK278)</f>
        <v>#DIV/0!</v>
      </c>
      <c r="AL280" s="3" t="e">
        <f>SUM(AH280:AK280)</f>
        <v>#DIV/0!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0</v>
      </c>
      <c r="F281" s="51">
        <f>(F280)-(F110-E110)</f>
        <v>0</v>
      </c>
      <c r="G281" s="51">
        <f>(G280)-(G110-F110)</f>
        <v>0</v>
      </c>
      <c r="I281" s="51">
        <f>(I280)-(I110-H110)</f>
        <v>0</v>
      </c>
      <c r="J281" s="51">
        <f>(J280)-(J110-I110)</f>
        <v>0</v>
      </c>
      <c r="K281" s="51">
        <f>(K280)-(K110-J110)</f>
        <v>0</v>
      </c>
      <c r="L281" s="51">
        <f>(L280)-(L110-K110)</f>
        <v>0</v>
      </c>
      <c r="N281" s="51">
        <f>(N280)-(N110-M110)</f>
        <v>0</v>
      </c>
      <c r="O281" s="51">
        <f>(O280)-(O110-N110)</f>
        <v>0</v>
      </c>
      <c r="P281" s="51">
        <f>(P280)-(P110-O110)</f>
        <v>0</v>
      </c>
      <c r="Q281" s="51">
        <f>(Q280)-(Q110-P110)</f>
        <v>0</v>
      </c>
      <c r="S281" s="51">
        <f>(S280)-(S110-R110)</f>
        <v>0</v>
      </c>
      <c r="T281" s="51">
        <f>(T280)-(T110-S110)</f>
        <v>0</v>
      </c>
      <c r="U281" s="51">
        <f>(U280)-(U110-T110)</f>
        <v>0</v>
      </c>
      <c r="V281" s="51">
        <f>(V280)-(V110-U110)</f>
        <v>0</v>
      </c>
      <c r="X281" s="51">
        <f>(X280)-(X110-W110)</f>
        <v>0</v>
      </c>
      <c r="Y281" s="51">
        <f>(Y280)-(Y110-X110)</f>
        <v>0</v>
      </c>
      <c r="Z281" s="51">
        <f>(Z280)-(Z110-Y110)</f>
        <v>0</v>
      </c>
      <c r="AA281" s="51">
        <f>(AA280)-(AA110-Z110)</f>
        <v>0</v>
      </c>
      <c r="AC281" s="51">
        <f>(AC280)-(AC110-AB110)</f>
        <v>0</v>
      </c>
      <c r="AD281" s="51">
        <f>(AD280)-(AD110-AC110)</f>
        <v>0</v>
      </c>
      <c r="AE281" s="51">
        <f>(AE280)-(AE110-AD110)</f>
        <v>0</v>
      </c>
      <c r="AF281" s="51">
        <f>(AF280)-(AF110-AE110)</f>
        <v>0</v>
      </c>
      <c r="AH281" s="51" t="e">
        <f>(AH280)-(AH110-AG110)</f>
        <v>#DIV/0!</v>
      </c>
      <c r="AI281" s="51" t="e">
        <f>(AI280)-(AI110-AH110)</f>
        <v>#DIV/0!</v>
      </c>
      <c r="AJ281" s="51" t="e">
        <f>(AJ280)-(AJ110-AI110)</f>
        <v>#DIV/0!</v>
      </c>
      <c r="AK281" s="51" t="e">
        <f>(AK280)-(AK110-AJ110)</f>
        <v>#DIV/0!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 t="e">
        <f>E15/D15-1</f>
        <v>#DIV/0!</v>
      </c>
      <c r="F287" s="236" t="e">
        <f>F15/E15-1</f>
        <v>#DIV/0!</v>
      </c>
      <c r="G287" s="236" t="e">
        <f>G15/F15-1</f>
        <v>#DIV/0!</v>
      </c>
      <c r="H287" s="236" t="n"/>
      <c r="I287" s="220" t="e">
        <f>I15/H15-1</f>
        <v>#DIV/0!</v>
      </c>
      <c r="J287" s="220" t="e">
        <f>J15/I15-1</f>
        <v>#DIV/0!</v>
      </c>
      <c r="K287" s="220" t="e">
        <f>K15/J15-1</f>
        <v>#DIV/0!</v>
      </c>
      <c r="L287" s="220" t="e">
        <f>L15/K15-1</f>
        <v>#DIV/0!</v>
      </c>
      <c r="M287" s="236" t="n"/>
      <c r="N287" s="220" t="e">
        <f>N15/M15-1</f>
        <v>#DIV/0!</v>
      </c>
      <c r="O287" s="220" t="e">
        <f>O15/N15-1</f>
        <v>#DIV/0!</v>
      </c>
      <c r="P287" s="220" t="e">
        <f>P15/O15-1</f>
        <v>#DIV/0!</v>
      </c>
      <c r="Q287" s="220" t="e">
        <f>Q15/P15-1</f>
        <v>#DIV/0!</v>
      </c>
      <c r="R287" s="236" t="n"/>
      <c r="S287" s="220" t="e">
        <f>S15/R15-1</f>
        <v>#DIV/0!</v>
      </c>
      <c r="T287" s="220" t="e">
        <f>T15/S15-1</f>
        <v>#DIV/0!</v>
      </c>
      <c r="U287" s="220" t="e">
        <f>U15/T15-1</f>
        <v>#DIV/0!</v>
      </c>
      <c r="V287" s="220" t="e">
        <f>V15/U15-1</f>
        <v>#DIV/0!</v>
      </c>
      <c r="W287" s="236" t="n"/>
      <c r="X287" s="220" t="e">
        <f>X15/W15-1</f>
        <v>#DIV/0!</v>
      </c>
      <c r="Y287" s="220" t="e">
        <f>Y15/X15-1</f>
        <v>#DIV/0!</v>
      </c>
      <c r="Z287" s="220" t="e">
        <f>Z15/Y15-1</f>
        <v>#DIV/0!</v>
      </c>
      <c r="AA287" s="220" t="e">
        <f>AA15/Z15-1</f>
        <v>#DIV/0!</v>
      </c>
      <c r="AB287" s="236" t="n"/>
      <c r="AC287" s="220" t="e">
        <f>AC15/AB15-1</f>
        <v>#DIV/0!</v>
      </c>
      <c r="AD287" s="220" t="e">
        <f>AD15/AC15-1</f>
        <v>#DIV/0!</v>
      </c>
      <c r="AE287" s="220" t="e">
        <f>AE15/AD15-1</f>
        <v>#DIV/0!</v>
      </c>
      <c r="AF287" s="220" t="e">
        <f>AF15/AE15-1</f>
        <v>#DIV/0!</v>
      </c>
      <c r="AG287" s="236" t="n"/>
      <c r="AH287" s="220" t="e">
        <f>AH15/AG15-1</f>
        <v>#DIV/0!</v>
      </c>
      <c r="AI287" s="220" t="e">
        <f>AI15/AH15-1</f>
        <v>#DIV/0!</v>
      </c>
      <c r="AJ287" s="220" t="e">
        <f>AJ15/AI15-1</f>
        <v>#DIV/0!</v>
      </c>
      <c r="AK287" s="220" t="e">
        <f>AK15/AJ15-1</f>
        <v>#DIV/0!</v>
      </c>
      <c r="AL287" s="236" t="n"/>
      <c r="AM287" s="220" t="e">
        <f>AM15/AL15-1</f>
        <v>#DIV/0!</v>
      </c>
      <c r="AN287" s="220" t="e">
        <f>AN15/AM15-1</f>
        <v>#DIV/0!</v>
      </c>
      <c r="AO287" s="220" t="e">
        <f>AO15/AN15-1</f>
        <v>#DIV/0!</v>
      </c>
      <c r="AP287" s="220" t="e">
        <f>AP15/AO15-1</f>
        <v>#DIV/0!</v>
      </c>
      <c r="AQ287" s="236" t="n"/>
      <c r="AR287" s="220" t="e">
        <f>AR15/AQ15-1</f>
        <v>#DIV/0!</v>
      </c>
      <c r="AS287" s="220" t="e">
        <f>AS15/AR15-1</f>
        <v>#DIV/0!</v>
      </c>
      <c r="AT287" s="220" t="e">
        <f>AT15/AS15-1</f>
        <v>#DIV/0!</v>
      </c>
      <c r="AU287" s="220" t="e">
        <f>AU15/AT15-1</f>
        <v>#DIV/0!</v>
      </c>
      <c r="AV287" s="236" t="n"/>
      <c r="AW287" s="220" t="e">
        <f>AW15/AV15-1</f>
        <v>#DIV/0!</v>
      </c>
      <c r="AX287" s="220" t="e">
        <f>AX15/AW15-1</f>
        <v>#DIV/0!</v>
      </c>
      <c r="AY287" s="220" t="e">
        <f>AY15/AX15-1</f>
        <v>#DIV/0!</v>
      </c>
      <c r="AZ287" s="220" t="e">
        <f>AZ15/AY15-1</f>
        <v>#DIV/0!</v>
      </c>
      <c r="BA287" s="236" t="n"/>
      <c r="BB287" s="220" t="e">
        <f>BB15/BA15-1</f>
        <v>#DIV/0!</v>
      </c>
      <c r="BC287" s="220" t="e">
        <f>BC15/BB15-1</f>
        <v>#DIV/0!</v>
      </c>
      <c r="BD287" s="220" t="e">
        <f>BD15/BC15-1</f>
        <v>#DIV/0!</v>
      </c>
      <c r="BE287" s="220" t="e">
        <f>BE15/BD15-1</f>
        <v>#DIV/0!</v>
      </c>
      <c r="BF287" s="236" t="n"/>
      <c r="BG287" s="220" t="e">
        <f>BG15/BF15-1</f>
        <v>#DIV/0!</v>
      </c>
      <c r="BH287" s="220" t="e">
        <f>BH15/BG15-1</f>
        <v>#DIV/0!</v>
      </c>
      <c r="BI287" s="220" t="e">
        <f>BI15/BH15-1</f>
        <v>#DIV/0!</v>
      </c>
      <c r="BJ287" s="220" t="e">
        <f>BJ15/BI15-1</f>
        <v>#DIV/0!</v>
      </c>
      <c r="BK287" s="236" t="n"/>
      <c r="BL287" s="220" t="e">
        <f>BL15/BK15-1</f>
        <v>#DIV/0!</v>
      </c>
      <c r="BM287" s="220" t="e">
        <f>BM15/BL15-1</f>
        <v>#DIV/0!</v>
      </c>
      <c r="BN287" s="220" t="e">
        <f>BN15/BM15-1</f>
        <v>#DIV/0!</v>
      </c>
      <c r="BO287" s="220" t="e">
        <f>BO15/BN15-1</f>
        <v>#DIV/0!</v>
      </c>
      <c r="BP287" s="236" t="n"/>
      <c r="BQ287" s="220" t="e">
        <f>BQ15/BP15-1</f>
        <v>#DIV/0!</v>
      </c>
      <c r="BR287" s="220" t="e">
        <f>BR15/BQ15-1</f>
        <v>#DIV/0!</v>
      </c>
      <c r="BS287" s="220" t="e">
        <f>BS15/BR15-1</f>
        <v>#DIV/0!</v>
      </c>
      <c r="BT287" s="220" t="e">
        <f>BT15/BS15-1</f>
        <v>#DIV/0!</v>
      </c>
      <c r="BU287" s="236" t="n"/>
      <c r="BV287" s="220" t="e">
        <f>BV15/BU15-1</f>
        <v>#DIV/0!</v>
      </c>
      <c r="BW287" s="220" t="e">
        <f>BW15/BV15-1</f>
        <v>#DIV/0!</v>
      </c>
      <c r="BX287" s="220" t="e">
        <f>BX15/BW15-1</f>
        <v>#DIV/0!</v>
      </c>
      <c r="BY287" s="220" t="e">
        <f>BY15/BX15-1</f>
        <v>#DIV/0!</v>
      </c>
      <c r="BZ287" s="236" t="n"/>
      <c r="CA287" s="220" t="e">
        <f>CA15/BZ15-1</f>
        <v>#DIV/0!</v>
      </c>
      <c r="CB287" s="220" t="e">
        <f>CB15/CA15-1</f>
        <v>#DIV/0!</v>
      </c>
      <c r="CC287" s="220" t="e">
        <f>CC15/CB15-1</f>
        <v>#DIV/0!</v>
      </c>
      <c r="CD287" s="220" t="e">
        <f>CD15/CC15-1</f>
        <v>#DIV/0!</v>
      </c>
      <c r="CE287" s="236" t="n"/>
      <c r="CF287" s="220" t="e">
        <f>CF15/CE15-1</f>
        <v>#DIV/0!</v>
      </c>
      <c r="CG287" s="220" t="e">
        <f>CG15/CF15-1</f>
        <v>#DIV/0!</v>
      </c>
      <c r="CH287" s="220" t="e">
        <f>CH15/CG15-1</f>
        <v>#DIV/0!</v>
      </c>
      <c r="CI287" s="220" t="e">
        <f>CI15/CH15-1</f>
        <v>#DIV/0!</v>
      </c>
      <c r="CJ287" s="236" t="n"/>
      <c r="CK287" s="220" t="e">
        <f>CK15/CJ15-1</f>
        <v>#DIV/0!</v>
      </c>
      <c r="CL287" s="220" t="e">
        <f>CL15/CK15-1</f>
        <v>#DIV/0!</v>
      </c>
      <c r="CM287" s="220" t="e">
        <f>CM15/CL15-1</f>
        <v>#DIV/0!</v>
      </c>
      <c r="CN287" s="220" t="e">
        <f>CN15/CM15-1</f>
        <v>#DIV/0!</v>
      </c>
      <c r="CO287" s="236" t="n"/>
      <c r="CP287" s="220" t="e">
        <f>CP15/CO15-1</f>
        <v>#DIV/0!</v>
      </c>
      <c r="CQ287" s="220" t="e">
        <f>CQ15/CP15-1</f>
        <v>#DIV/0!</v>
      </c>
      <c r="CR287" s="220" t="e">
        <f>CR15/CQ15-1</f>
        <v>#DIV/0!</v>
      </c>
      <c r="CS287" s="220" t="e">
        <f>CS15/CR15-1</f>
        <v>#DIV/0!</v>
      </c>
      <c r="CT287" s="236" t="n"/>
      <c r="CU287" s="220" t="e">
        <f>CU15/CT15-1</f>
        <v>#DIV/0!</v>
      </c>
      <c r="CV287" s="220" t="e">
        <f>CV15/CU15-1</f>
        <v>#DIV/0!</v>
      </c>
      <c r="CW287" s="220" t="e">
        <f>CW15/CV15-1</f>
        <v>#DIV/0!</v>
      </c>
      <c r="CX287" s="220" t="e">
        <f>CX15/CW15-1</f>
        <v>#DIV/0!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 t="e">
        <f>SUM(D15,D20)/D15</f>
        <v>#DIV/0!</v>
      </c>
      <c r="E288" s="220" t="e">
        <f>SUM(E15,E20)/E15</f>
        <v>#DIV/0!</v>
      </c>
      <c r="F288" s="220" t="e">
        <f>SUM(F15,F20)/F15</f>
        <v>#DIV/0!</v>
      </c>
      <c r="G288" s="220" t="e">
        <f>SUM(G15,G20)/G15</f>
        <v>#DIV/0!</v>
      </c>
      <c r="I288" s="221" t="e">
        <f>SUM(I15,I20)/I15</f>
        <v>#DIV/0!</v>
      </c>
      <c r="J288" s="221" t="e">
        <f>SUM(J15,J20)/J15</f>
        <v>#DIV/0!</v>
      </c>
      <c r="K288" s="221" t="e">
        <f>SUM(K15,K20)/K15</f>
        <v>#DIV/0!</v>
      </c>
      <c r="L288" s="221" t="e">
        <f>SUM(L15,L20)/L15</f>
        <v>#DIV/0!</v>
      </c>
      <c r="N288" s="221" t="e">
        <f>SUM(N15,N20)/N15</f>
        <v>#DIV/0!</v>
      </c>
      <c r="O288" s="221" t="e">
        <f>SUM(O15,O20)/O15</f>
        <v>#DIV/0!</v>
      </c>
      <c r="P288" s="221" t="e">
        <f>SUM(P15,P20)/P15</f>
        <v>#DIV/0!</v>
      </c>
      <c r="Q288" s="221" t="e">
        <f>SUM(Q15,Q20)/Q15</f>
        <v>#DIV/0!</v>
      </c>
      <c r="S288" s="221" t="e">
        <f>SUM(S15,S20)/S15</f>
        <v>#DIV/0!</v>
      </c>
      <c r="T288" s="221" t="e">
        <f>SUM(T15,T20)/T15</f>
        <v>#DIV/0!</v>
      </c>
      <c r="U288" s="221" t="e">
        <f>SUM(U15,U20)/U15</f>
        <v>#DIV/0!</v>
      </c>
      <c r="V288" s="221" t="e">
        <f>SUM(V15,V20)/V15</f>
        <v>#DIV/0!</v>
      </c>
      <c r="X288" s="221" t="e">
        <f>SUM(X15,X20)/X15</f>
        <v>#DIV/0!</v>
      </c>
      <c r="Y288" s="221" t="e">
        <f>SUM(Y15,Y20)/Y15</f>
        <v>#DIV/0!</v>
      </c>
      <c r="Z288" s="221" t="e">
        <f>SUM(Z15,Z20)/Z15</f>
        <v>#DIV/0!</v>
      </c>
      <c r="AA288" s="221" t="e">
        <f>SUM(AA15,AA20)/AA15</f>
        <v>#DIV/0!</v>
      </c>
      <c r="AC288" s="221" t="e">
        <f>SUM(AC15,AC20)/AC15</f>
        <v>#DIV/0!</v>
      </c>
      <c r="AD288" s="221" t="e">
        <f>SUM(AD15,AD20)/AD15</f>
        <v>#DIV/0!</v>
      </c>
      <c r="AE288" s="221" t="e">
        <f>SUM(AE15,AE20)/AE15</f>
        <v>#DIV/0!</v>
      </c>
      <c r="AF288" s="221" t="e">
        <f>SUM(AF15,AF20)/AF15</f>
        <v>#DIV/0!</v>
      </c>
      <c r="AH288" s="221" t="e">
        <f>SUM(AH15,AH20)/AH15</f>
        <v>#DIV/0!</v>
      </c>
      <c r="AI288" s="221" t="e">
        <f>SUM(AI15,AI20)/AI15</f>
        <v>#DIV/0!</v>
      </c>
      <c r="AJ288" s="221" t="e">
        <f>SUM(AJ15,AJ20)/AJ15</f>
        <v>#DIV/0!</v>
      </c>
      <c r="AK288" s="221" t="e">
        <f>SUM(AK15,AK20)/AK15</f>
        <v>#DIV/0!</v>
      </c>
      <c r="AM288" s="221" t="e">
        <f>SUM(AM15,AM20)/AM15</f>
        <v>#DIV/0!</v>
      </c>
      <c r="AN288" s="221" t="e">
        <f>SUM(AN15,AN20)/AN15</f>
        <v>#DIV/0!</v>
      </c>
      <c r="AO288" s="221" t="e">
        <f>SUM(AO15,AO20)/AO15</f>
        <v>#DIV/0!</v>
      </c>
      <c r="AP288" s="221" t="e">
        <f>SUM(AP15,AP20)/AP15</f>
        <v>#DIV/0!</v>
      </c>
      <c r="AR288" s="221" t="e">
        <f>SUM(AR15,AR20)/AR15</f>
        <v>#DIV/0!</v>
      </c>
      <c r="AS288" s="221" t="e">
        <f>SUM(AS15,AS20)/AS15</f>
        <v>#DIV/0!</v>
      </c>
      <c r="AT288" s="221" t="e">
        <f>SUM(AT15,AT20)/AT15</f>
        <v>#DIV/0!</v>
      </c>
      <c r="AU288" s="221" t="e">
        <f>SUM(AU15,AU20)/AU15</f>
        <v>#DIV/0!</v>
      </c>
      <c r="AW288" s="221" t="e">
        <f>SUM(AW15,AW20)/AW15</f>
        <v>#DIV/0!</v>
      </c>
      <c r="AX288" s="221" t="e">
        <f>SUM(AX15,AX20)/AX15</f>
        <v>#DIV/0!</v>
      </c>
      <c r="AY288" s="221" t="e">
        <f>SUM(AY15,AY20)/AY15</f>
        <v>#DIV/0!</v>
      </c>
      <c r="AZ288" s="221" t="e">
        <f>SUM(AZ15,AZ20)/AZ15</f>
        <v>#DIV/0!</v>
      </c>
      <c r="BB288" s="221" t="e">
        <f>SUM(BB15,BB20)/BB15</f>
        <v>#DIV/0!</v>
      </c>
      <c r="BC288" s="221" t="e">
        <f>SUM(BC15,BC20)/BC15</f>
        <v>#DIV/0!</v>
      </c>
      <c r="BD288" s="221" t="e">
        <f>SUM(BD15,BD20)/BD15</f>
        <v>#DIV/0!</v>
      </c>
      <c r="BE288" s="221" t="e">
        <f>SUM(BE15,BE20)/BE15</f>
        <v>#DIV/0!</v>
      </c>
      <c r="BG288" s="221" t="e">
        <f>SUM(BG15,BG20)/BG15</f>
        <v>#DIV/0!</v>
      </c>
      <c r="BH288" s="221" t="e">
        <f>SUM(BH15,BH20)/BH15</f>
        <v>#DIV/0!</v>
      </c>
      <c r="BI288" s="221" t="e">
        <f>SUM(BI15,BI20)/BI15</f>
        <v>#DIV/0!</v>
      </c>
      <c r="BJ288" s="221" t="e">
        <f>SUM(BJ15,BJ20)/BJ15</f>
        <v>#DIV/0!</v>
      </c>
      <c r="BL288" s="221" t="e">
        <f>SUM(BL15,BL20)/BL15</f>
        <v>#DIV/0!</v>
      </c>
      <c r="BM288" s="221" t="e">
        <f>SUM(BM15,BM20)/BM15</f>
        <v>#DIV/0!</v>
      </c>
      <c r="BN288" s="221" t="e">
        <f>SUM(BN15,BN20)/BN15</f>
        <v>#DIV/0!</v>
      </c>
      <c r="BO288" s="221" t="e">
        <f>SUM(BO15,BO20)/BO15</f>
        <v>#DIV/0!</v>
      </c>
      <c r="BQ288" s="221" t="e">
        <f>SUM(BQ15,BQ20)/BQ15</f>
        <v>#DIV/0!</v>
      </c>
      <c r="BR288" s="221" t="e">
        <f>SUM(BR15,BR20)/BR15</f>
        <v>#DIV/0!</v>
      </c>
      <c r="BS288" s="221" t="e">
        <f>SUM(BS15,BS20)/BS15</f>
        <v>#DIV/0!</v>
      </c>
      <c r="BT288" s="221" t="e">
        <f>SUM(BT15,BT20)/BT15</f>
        <v>#DIV/0!</v>
      </c>
      <c r="BV288" s="221" t="e">
        <f>SUM(BV15,BV20)/BV15</f>
        <v>#DIV/0!</v>
      </c>
      <c r="BW288" s="221" t="e">
        <f>SUM(BW15,BW20)/BW15</f>
        <v>#DIV/0!</v>
      </c>
      <c r="BX288" s="221" t="e">
        <f>SUM(BX15,BX20)/BX15</f>
        <v>#DIV/0!</v>
      </c>
      <c r="BY288" s="221" t="e">
        <f>SUM(BY15,BY20)/BY15</f>
        <v>#DIV/0!</v>
      </c>
      <c r="CA288" s="221" t="e">
        <f>SUM(CA15,CA20)/CA15</f>
        <v>#DIV/0!</v>
      </c>
      <c r="CB288" s="221" t="e">
        <f>SUM(CB15,CB20)/CB15</f>
        <v>#DIV/0!</v>
      </c>
      <c r="CC288" s="221" t="e">
        <f>SUM(CC15,CC20)/CC15</f>
        <v>#DIV/0!</v>
      </c>
      <c r="CD288" s="221" t="e">
        <f>SUM(CD15,CD20)/CD15</f>
        <v>#DIV/0!</v>
      </c>
      <c r="CF288" s="221" t="e">
        <f>SUM(CF15,CF20)/CF15</f>
        <v>#DIV/0!</v>
      </c>
      <c r="CG288" s="221" t="e">
        <f>SUM(CG15,CG20)/CG15</f>
        <v>#DIV/0!</v>
      </c>
      <c r="CH288" s="221" t="e">
        <f>SUM(CH15,CH20)/CH15</f>
        <v>#DIV/0!</v>
      </c>
      <c r="CI288" s="221" t="e">
        <f>SUM(CI15,CI20)/CI15</f>
        <v>#DIV/0!</v>
      </c>
      <c r="CK288" s="221" t="e">
        <f>SUM(CK15,CK20)/CK15</f>
        <v>#DIV/0!</v>
      </c>
      <c r="CL288" s="221" t="e">
        <f>SUM(CL15,CL20)/CL15</f>
        <v>#DIV/0!</v>
      </c>
      <c r="CM288" s="221" t="e">
        <f>SUM(CM15,CM20)/CM15</f>
        <v>#DIV/0!</v>
      </c>
      <c r="CN288" s="221" t="e">
        <f>SUM(CN15,CN20)/CN15</f>
        <v>#DIV/0!</v>
      </c>
      <c r="CP288" s="221" t="e">
        <f>SUM(CP15,CP20)/CP15</f>
        <v>#DIV/0!</v>
      </c>
      <c r="CQ288" s="221" t="e">
        <f>SUM(CQ15,CQ20)/CQ15</f>
        <v>#DIV/0!</v>
      </c>
      <c r="CR288" s="221" t="e">
        <f>SUM(CR15,CR20)/CR15</f>
        <v>#DIV/0!</v>
      </c>
      <c r="CS288" s="221" t="e">
        <f>SUM(CS15,CS20)/CS15</f>
        <v>#DIV/0!</v>
      </c>
      <c r="CU288" s="221" t="e">
        <f>SUM(CU15,CU20)/CU15</f>
        <v>#DIV/0!</v>
      </c>
      <c r="CV288" s="221" t="e">
        <f>SUM(CV15,CV20)/CV15</f>
        <v>#DIV/0!</v>
      </c>
      <c r="CW288" s="221" t="e">
        <f>SUM(CW15,CW20)/CW15</f>
        <v>#DIV/0!</v>
      </c>
      <c r="CX288" s="221" t="e">
        <f>SUM(CX15,CX20)/CX15</f>
        <v>#DIV/0!</v>
      </c>
    </row>
    <row r="289" customFormat="1" s="233">
      <c r="A289" s="224" t="n"/>
      <c r="B289" s="224" t="n"/>
      <c r="C289" s="233" t="inlineStr">
        <is>
          <t>EBIT MARGIN</t>
        </is>
      </c>
      <c r="D289" s="236" t="e">
        <f>(D39/D15)</f>
        <v>#DIV/0!</v>
      </c>
      <c r="E289" s="236" t="e">
        <f>(E39/E15)</f>
        <v>#DIV/0!</v>
      </c>
      <c r="F289" s="236" t="e">
        <f>(F39/F15)</f>
        <v>#DIV/0!</v>
      </c>
      <c r="G289" s="236" t="e">
        <f>(G39/G15)</f>
        <v>#DIV/0!</v>
      </c>
      <c r="I289" s="222" t="e">
        <f>(I39/I15)</f>
        <v>#DIV/0!</v>
      </c>
      <c r="J289" s="222" t="e">
        <f>(J39/J15)</f>
        <v>#DIV/0!</v>
      </c>
      <c r="K289" s="222" t="e">
        <f>(K39/K15)</f>
        <v>#DIV/0!</v>
      </c>
      <c r="L289" s="222" t="e">
        <f>(L39/L15)</f>
        <v>#DIV/0!</v>
      </c>
      <c r="N289" s="222" t="e">
        <f>(N39/N15)</f>
        <v>#DIV/0!</v>
      </c>
      <c r="O289" s="222" t="e">
        <f>(O39/O15)</f>
        <v>#DIV/0!</v>
      </c>
      <c r="P289" s="222" t="e">
        <f>(P39/P15)</f>
        <v>#DIV/0!</v>
      </c>
      <c r="Q289" s="222" t="e">
        <f>(Q39/Q15)</f>
        <v>#DIV/0!</v>
      </c>
      <c r="S289" s="222" t="e">
        <f>(S39/S15)</f>
        <v>#DIV/0!</v>
      </c>
      <c r="T289" s="222" t="e">
        <f>(T39/T15)</f>
        <v>#DIV/0!</v>
      </c>
      <c r="U289" s="222" t="e">
        <f>(U39/U15)</f>
        <v>#DIV/0!</v>
      </c>
      <c r="V289" s="222" t="e">
        <f>(V39/V15)</f>
        <v>#DIV/0!</v>
      </c>
      <c r="X289" s="222" t="e">
        <f>(X39/X15)</f>
        <v>#DIV/0!</v>
      </c>
      <c r="Y289" s="222" t="e">
        <f>(Y39/Y15)</f>
        <v>#DIV/0!</v>
      </c>
      <c r="Z289" s="222" t="e">
        <f>(Z39/Z15)</f>
        <v>#DIV/0!</v>
      </c>
      <c r="AA289" s="222" t="e">
        <f>(AA39/AA15)</f>
        <v>#DIV/0!</v>
      </c>
      <c r="AC289" s="222" t="e">
        <f>(AC39/AC15)</f>
        <v>#DIV/0!</v>
      </c>
      <c r="AD289" s="222" t="e">
        <f>(AD39/AD15)</f>
        <v>#DIV/0!</v>
      </c>
      <c r="AE289" s="222" t="e">
        <f>(AE39/AE15)</f>
        <v>#DIV/0!</v>
      </c>
      <c r="AF289" s="222" t="e">
        <f>(AF39/AF15)</f>
        <v>#DIV/0!</v>
      </c>
      <c r="AH289" s="222" t="e">
        <f>(AH39/AH15)</f>
        <v>#DIV/0!</v>
      </c>
      <c r="AI289" s="222" t="e">
        <f>(AI39/AI15)</f>
        <v>#DIV/0!</v>
      </c>
      <c r="AJ289" s="222" t="e">
        <f>(AJ39/AJ15)</f>
        <v>#DIV/0!</v>
      </c>
      <c r="AK289" s="222" t="e">
        <f>(AK39/AK15)</f>
        <v>#DIV/0!</v>
      </c>
      <c r="AM289" s="222" t="e">
        <f>(AM39/AM15)</f>
        <v>#DIV/0!</v>
      </c>
      <c r="AN289" s="222" t="e">
        <f>(AN39/AN15)</f>
        <v>#DIV/0!</v>
      </c>
      <c r="AO289" s="222" t="e">
        <f>(AO39/AO15)</f>
        <v>#DIV/0!</v>
      </c>
      <c r="AP289" s="222" t="e">
        <f>(AP39/AP15)</f>
        <v>#DIV/0!</v>
      </c>
      <c r="AR289" s="222" t="e">
        <f>(AR39/AR15)</f>
        <v>#DIV/0!</v>
      </c>
      <c r="AS289" s="222" t="e">
        <f>(AS39/AS15)</f>
        <v>#DIV/0!</v>
      </c>
      <c r="AT289" s="222" t="e">
        <f>(AT39/AT15)</f>
        <v>#DIV/0!</v>
      </c>
      <c r="AU289" s="222" t="e">
        <f>(AU39/AU15)</f>
        <v>#DIV/0!</v>
      </c>
      <c r="AW289" s="222" t="e">
        <f>(AW39/AW15)</f>
        <v>#DIV/0!</v>
      </c>
      <c r="AX289" s="222" t="e">
        <f>(AX39/AX15)</f>
        <v>#DIV/0!</v>
      </c>
      <c r="AY289" s="222" t="e">
        <f>(AY39/AY15)</f>
        <v>#DIV/0!</v>
      </c>
      <c r="AZ289" s="222" t="e">
        <f>(AZ39/AZ15)</f>
        <v>#DIV/0!</v>
      </c>
      <c r="BB289" s="222" t="e">
        <f>(BB39/BB15)</f>
        <v>#DIV/0!</v>
      </c>
      <c r="BC289" s="222" t="e">
        <f>(BC39/BC15)</f>
        <v>#DIV/0!</v>
      </c>
      <c r="BD289" s="222" t="e">
        <f>(BD39/BD15)</f>
        <v>#DIV/0!</v>
      </c>
      <c r="BE289" s="222" t="e">
        <f>(BE39/BE15)</f>
        <v>#DIV/0!</v>
      </c>
      <c r="BG289" s="222" t="e">
        <f>(BG39/BG15)</f>
        <v>#DIV/0!</v>
      </c>
      <c r="BH289" s="222" t="e">
        <f>(BH39/BH15)</f>
        <v>#DIV/0!</v>
      </c>
      <c r="BI289" s="222" t="e">
        <f>(BI39/BI15)</f>
        <v>#DIV/0!</v>
      </c>
      <c r="BJ289" s="222" t="e">
        <f>(BJ39/BJ15)</f>
        <v>#DIV/0!</v>
      </c>
      <c r="BL289" s="222" t="e">
        <f>(BL39/BL15)</f>
        <v>#DIV/0!</v>
      </c>
      <c r="BM289" s="222" t="e">
        <f>(BM39/BM15)</f>
        <v>#DIV/0!</v>
      </c>
      <c r="BN289" s="222" t="e">
        <f>(BN39/BN15)</f>
        <v>#DIV/0!</v>
      </c>
      <c r="BO289" s="222" t="e">
        <f>(BO39/BO15)</f>
        <v>#DIV/0!</v>
      </c>
      <c r="BQ289" s="222" t="e">
        <f>(BQ39/BQ15)</f>
        <v>#DIV/0!</v>
      </c>
      <c r="BR289" s="222" t="e">
        <f>(BR39/BR15)</f>
        <v>#DIV/0!</v>
      </c>
      <c r="BS289" s="222" t="e">
        <f>(BS39/BS15)</f>
        <v>#DIV/0!</v>
      </c>
      <c r="BT289" s="222" t="e">
        <f>(BT39/BT15)</f>
        <v>#DIV/0!</v>
      </c>
      <c r="BV289" s="222" t="e">
        <f>(BV39/BV15)</f>
        <v>#DIV/0!</v>
      </c>
      <c r="BW289" s="222" t="e">
        <f>(BW39/BW15)</f>
        <v>#DIV/0!</v>
      </c>
      <c r="BX289" s="222" t="e">
        <f>(BX39/BX15)</f>
        <v>#DIV/0!</v>
      </c>
      <c r="BY289" s="222" t="e">
        <f>(BY39/BY15)</f>
        <v>#DIV/0!</v>
      </c>
      <c r="CA289" s="222" t="e">
        <f>(CA39/CA15)</f>
        <v>#DIV/0!</v>
      </c>
      <c r="CB289" s="222" t="e">
        <f>(CB39/CB15)</f>
        <v>#DIV/0!</v>
      </c>
      <c r="CC289" s="222" t="e">
        <f>(CC39/CC15)</f>
        <v>#DIV/0!</v>
      </c>
      <c r="CD289" s="222" t="e">
        <f>(CD39/CD15)</f>
        <v>#DIV/0!</v>
      </c>
      <c r="CF289" s="222" t="e">
        <f>(CF39/CF15)</f>
        <v>#DIV/0!</v>
      </c>
      <c r="CG289" s="222" t="e">
        <f>(CG39/CG15)</f>
        <v>#DIV/0!</v>
      </c>
      <c r="CH289" s="222" t="e">
        <f>(CH39/CH15)</f>
        <v>#DIV/0!</v>
      </c>
      <c r="CI289" s="222" t="e">
        <f>(CI39/CI15)</f>
        <v>#DIV/0!</v>
      </c>
      <c r="CK289" s="222" t="e">
        <f>(CK39/CK15)</f>
        <v>#DIV/0!</v>
      </c>
      <c r="CL289" s="222" t="e">
        <f>(CL39/CL15)</f>
        <v>#DIV/0!</v>
      </c>
      <c r="CM289" s="222" t="e">
        <f>(CM39/CM15)</f>
        <v>#DIV/0!</v>
      </c>
      <c r="CN289" s="222" t="e">
        <f>(CN39/CN15)</f>
        <v>#DIV/0!</v>
      </c>
      <c r="CP289" s="222" t="e">
        <f>(CP39/CP15)</f>
        <v>#DIV/0!</v>
      </c>
      <c r="CQ289" s="222" t="e">
        <f>(CQ39/CQ15)</f>
        <v>#DIV/0!</v>
      </c>
      <c r="CR289" s="222" t="e">
        <f>(CR39/CR15)</f>
        <v>#DIV/0!</v>
      </c>
      <c r="CS289" s="222" t="e">
        <f>(CS39/CS15)</f>
        <v>#DIV/0!</v>
      </c>
      <c r="CU289" s="222" t="e">
        <f>(CU39/CU15)</f>
        <v>#DIV/0!</v>
      </c>
      <c r="CV289" s="222" t="e">
        <f>(CV39/CV15)</f>
        <v>#DIV/0!</v>
      </c>
      <c r="CW289" s="222" t="e">
        <f>(CW39/CW15)</f>
        <v>#DIV/0!</v>
      </c>
      <c r="CX289" s="222" t="e">
        <f>(CX39/CX15)</f>
        <v>#DIV/0!</v>
      </c>
    </row>
    <row r="290" customFormat="1" s="233">
      <c r="A290" s="224" t="n"/>
      <c r="B290" s="224" t="n"/>
      <c r="C290" s="233" t="inlineStr">
        <is>
          <t>EBITDA MARTGIN</t>
        </is>
      </c>
      <c r="D290" s="236" t="e">
        <f>D35/D15</f>
        <v>#DIV/0!</v>
      </c>
      <c r="E290" s="236" t="e">
        <f>E35/E15</f>
        <v>#DIV/0!</v>
      </c>
      <c r="F290" s="236" t="e">
        <f>F35/F15</f>
        <v>#DIV/0!</v>
      </c>
      <c r="G290" s="236" t="e">
        <f>G35/G15</f>
        <v>#DIV/0!</v>
      </c>
      <c r="I290" s="222" t="e">
        <f>I35/I15</f>
        <v>#DIV/0!</v>
      </c>
      <c r="J290" s="222" t="e">
        <f>J35/J15</f>
        <v>#DIV/0!</v>
      </c>
      <c r="K290" s="222" t="e">
        <f>K35/K15</f>
        <v>#DIV/0!</v>
      </c>
      <c r="L290" s="222" t="e">
        <f>L35/L15</f>
        <v>#DIV/0!</v>
      </c>
      <c r="N290" s="222" t="e">
        <f>N35/N15</f>
        <v>#DIV/0!</v>
      </c>
      <c r="O290" s="222" t="e">
        <f>O35/O15</f>
        <v>#DIV/0!</v>
      </c>
      <c r="P290" s="222" t="e">
        <f>P35/P15</f>
        <v>#DIV/0!</v>
      </c>
      <c r="Q290" s="222" t="e">
        <f>Q35/Q15</f>
        <v>#DIV/0!</v>
      </c>
      <c r="S290" s="222" t="e">
        <f>S35/S15</f>
        <v>#DIV/0!</v>
      </c>
      <c r="T290" s="222" t="e">
        <f>T35/T15</f>
        <v>#DIV/0!</v>
      </c>
      <c r="U290" s="222" t="e">
        <f>U35/U15</f>
        <v>#DIV/0!</v>
      </c>
      <c r="V290" s="222" t="e">
        <f>V35/V15</f>
        <v>#DIV/0!</v>
      </c>
      <c r="X290" s="222" t="e">
        <f>X35/X15</f>
        <v>#DIV/0!</v>
      </c>
      <c r="Y290" s="222" t="e">
        <f>Y35/Y15</f>
        <v>#DIV/0!</v>
      </c>
      <c r="Z290" s="222" t="e">
        <f>Z35/Z15</f>
        <v>#DIV/0!</v>
      </c>
      <c r="AA290" s="222" t="e">
        <f>AA35/AA15</f>
        <v>#DIV/0!</v>
      </c>
      <c r="AC290" s="222" t="e">
        <f>AC35/AC15</f>
        <v>#DIV/0!</v>
      </c>
      <c r="AD290" s="222" t="e">
        <f>AD35/AD15</f>
        <v>#DIV/0!</v>
      </c>
      <c r="AE290" s="222" t="e">
        <f>AE35/AE15</f>
        <v>#DIV/0!</v>
      </c>
      <c r="AF290" s="222" t="e">
        <f>AF35/AF15</f>
        <v>#DIV/0!</v>
      </c>
      <c r="AH290" s="222" t="e">
        <f>AH35/AH15</f>
        <v>#DIV/0!</v>
      </c>
      <c r="AI290" s="222" t="e">
        <f>AI35/AI15</f>
        <v>#DIV/0!</v>
      </c>
      <c r="AJ290" s="222" t="e">
        <f>AJ35/AJ15</f>
        <v>#DIV/0!</v>
      </c>
      <c r="AK290" s="222" t="e">
        <f>AK35/AK15</f>
        <v>#DIV/0!</v>
      </c>
      <c r="AM290" s="222" t="e">
        <f>AM35/AM15</f>
        <v>#DIV/0!</v>
      </c>
      <c r="AN290" s="222" t="e">
        <f>AN35/AN15</f>
        <v>#DIV/0!</v>
      </c>
      <c r="AO290" s="222" t="e">
        <f>AO35/AO15</f>
        <v>#DIV/0!</v>
      </c>
      <c r="AP290" s="222" t="e">
        <f>AP35/AP15</f>
        <v>#DIV/0!</v>
      </c>
      <c r="AR290" s="222" t="e">
        <f>AR35/AR15</f>
        <v>#DIV/0!</v>
      </c>
      <c r="AS290" s="222" t="e">
        <f>AS35/AS15</f>
        <v>#DIV/0!</v>
      </c>
      <c r="AT290" s="222" t="e">
        <f>AT35/AT15</f>
        <v>#DIV/0!</v>
      </c>
      <c r="AU290" s="222" t="e">
        <f>AU35/AU15</f>
        <v>#DIV/0!</v>
      </c>
      <c r="AW290" s="222" t="e">
        <f>AW35/AW15</f>
        <v>#DIV/0!</v>
      </c>
      <c r="AX290" s="222" t="e">
        <f>AX35/AX15</f>
        <v>#DIV/0!</v>
      </c>
      <c r="AY290" s="222" t="e">
        <f>AY35/AY15</f>
        <v>#DIV/0!</v>
      </c>
      <c r="AZ290" s="222" t="e">
        <f>AZ35/AZ15</f>
        <v>#DIV/0!</v>
      </c>
      <c r="BB290" s="222" t="e">
        <f>BB35/BB15</f>
        <v>#DIV/0!</v>
      </c>
      <c r="BC290" s="222" t="e">
        <f>BC35/BC15</f>
        <v>#DIV/0!</v>
      </c>
      <c r="BD290" s="222" t="e">
        <f>BD35/BD15</f>
        <v>#DIV/0!</v>
      </c>
      <c r="BE290" s="222" t="e">
        <f>BE35/BE15</f>
        <v>#DIV/0!</v>
      </c>
      <c r="BG290" s="222" t="e">
        <f>BG35/BG15</f>
        <v>#DIV/0!</v>
      </c>
      <c r="BH290" s="222" t="e">
        <f>BH35/BH15</f>
        <v>#DIV/0!</v>
      </c>
      <c r="BI290" s="222" t="e">
        <f>BI35/BI15</f>
        <v>#DIV/0!</v>
      </c>
      <c r="BJ290" s="222" t="e">
        <f>BJ35/BJ15</f>
        <v>#DIV/0!</v>
      </c>
      <c r="BL290" s="222" t="e">
        <f>BL35/BL15</f>
        <v>#DIV/0!</v>
      </c>
      <c r="BM290" s="222" t="e">
        <f>BM35/BM15</f>
        <v>#DIV/0!</v>
      </c>
      <c r="BN290" s="222" t="e">
        <f>BN35/BN15</f>
        <v>#DIV/0!</v>
      </c>
      <c r="BO290" s="222" t="e">
        <f>BO35/BO15</f>
        <v>#DIV/0!</v>
      </c>
      <c r="BQ290" s="222" t="e">
        <f>BQ35/BQ15</f>
        <v>#DIV/0!</v>
      </c>
      <c r="BR290" s="222" t="e">
        <f>BR35/BR15</f>
        <v>#DIV/0!</v>
      </c>
      <c r="BS290" s="222" t="e">
        <f>BS35/BS15</f>
        <v>#DIV/0!</v>
      </c>
      <c r="BT290" s="222" t="e">
        <f>BT35/BT15</f>
        <v>#DIV/0!</v>
      </c>
      <c r="BV290" s="222" t="e">
        <f>BV35/BV15</f>
        <v>#DIV/0!</v>
      </c>
      <c r="BW290" s="222" t="e">
        <f>BW35/BW15</f>
        <v>#DIV/0!</v>
      </c>
      <c r="BX290" s="222" t="e">
        <f>BX35/BX15</f>
        <v>#DIV/0!</v>
      </c>
      <c r="BY290" s="222" t="e">
        <f>BY35/BY15</f>
        <v>#DIV/0!</v>
      </c>
      <c r="CA290" s="222" t="e">
        <f>CA35/CA15</f>
        <v>#DIV/0!</v>
      </c>
      <c r="CB290" s="222" t="e">
        <f>CB35/CB15</f>
        <v>#DIV/0!</v>
      </c>
      <c r="CC290" s="222" t="e">
        <f>CC35/CC15</f>
        <v>#DIV/0!</v>
      </c>
      <c r="CD290" s="222" t="e">
        <f>CD35/CD15</f>
        <v>#DIV/0!</v>
      </c>
      <c r="CF290" s="222" t="e">
        <f>CF35/CF15</f>
        <v>#DIV/0!</v>
      </c>
      <c r="CG290" s="222" t="e">
        <f>CG35/CG15</f>
        <v>#DIV/0!</v>
      </c>
      <c r="CH290" s="222" t="e">
        <f>CH35/CH15</f>
        <v>#DIV/0!</v>
      </c>
      <c r="CI290" s="222" t="e">
        <f>CI35/CI15</f>
        <v>#DIV/0!</v>
      </c>
      <c r="CK290" s="222" t="e">
        <f>CK35/CK15</f>
        <v>#DIV/0!</v>
      </c>
      <c r="CL290" s="222" t="e">
        <f>CL35/CL15</f>
        <v>#DIV/0!</v>
      </c>
      <c r="CM290" s="222" t="e">
        <f>CM35/CM15</f>
        <v>#DIV/0!</v>
      </c>
      <c r="CN290" s="222" t="e">
        <f>CN35/CN15</f>
        <v>#DIV/0!</v>
      </c>
      <c r="CP290" s="222" t="e">
        <f>CP35/CP15</f>
        <v>#DIV/0!</v>
      </c>
      <c r="CQ290" s="222" t="e">
        <f>CQ35/CQ15</f>
        <v>#DIV/0!</v>
      </c>
      <c r="CR290" s="222" t="e">
        <f>CR35/CR15</f>
        <v>#DIV/0!</v>
      </c>
      <c r="CS290" s="222" t="e">
        <f>CS35/CS15</f>
        <v>#DIV/0!</v>
      </c>
      <c r="CU290" s="222" t="e">
        <f>CU35/CU15</f>
        <v>#DIV/0!</v>
      </c>
      <c r="CV290" s="222" t="e">
        <f>CV35/CV15</f>
        <v>#DIV/0!</v>
      </c>
      <c r="CW290" s="222" t="e">
        <f>CW35/CW15</f>
        <v>#DIV/0!</v>
      </c>
      <c r="CX290" s="222" t="e">
        <f>CX35/CX15</f>
        <v>#DIV/0!</v>
      </c>
    </row>
    <row r="291" customFormat="1" s="233">
      <c r="A291" s="224" t="n"/>
      <c r="B291" s="224" t="n"/>
      <c r="C291" s="233" t="inlineStr">
        <is>
          <t>ETR</t>
        </is>
      </c>
      <c r="D291" s="236" t="e">
        <f>-D97/D96</f>
        <v>#DIV/0!</v>
      </c>
      <c r="E291" s="236" t="e">
        <f>-E97/E96</f>
        <v>#DIV/0!</v>
      </c>
      <c r="F291" s="236" t="e">
        <f>-F97/F96</f>
        <v>#DIV/0!</v>
      </c>
      <c r="G291" s="236" t="e">
        <f>-G97/G96</f>
        <v>#DIV/0!</v>
      </c>
      <c r="I291" s="222" t="e">
        <f>-I97/I96</f>
        <v>#DIV/0!</v>
      </c>
      <c r="J291" s="222" t="e">
        <f>-J97/J96</f>
        <v>#DIV/0!</v>
      </c>
      <c r="K291" s="222" t="e">
        <f>-K97/K96</f>
        <v>#DIV/0!</v>
      </c>
      <c r="L291" s="222" t="e">
        <f>-L97/L96</f>
        <v>#DIV/0!</v>
      </c>
      <c r="N291" s="222" t="e">
        <f>-N97/N96</f>
        <v>#DIV/0!</v>
      </c>
      <c r="O291" s="222" t="e">
        <f>-O97/O96</f>
        <v>#DIV/0!</v>
      </c>
      <c r="P291" s="222" t="e">
        <f>-P97/P96</f>
        <v>#DIV/0!</v>
      </c>
      <c r="Q291" s="222" t="e">
        <f>-Q97/Q96</f>
        <v>#DIV/0!</v>
      </c>
      <c r="S291" s="222" t="e">
        <f>-S97/S96</f>
        <v>#DIV/0!</v>
      </c>
      <c r="T291" s="222" t="e">
        <f>-T97/T96</f>
        <v>#DIV/0!</v>
      </c>
      <c r="U291" s="222" t="e">
        <f>-U97/U96</f>
        <v>#DIV/0!</v>
      </c>
      <c r="V291" s="222" t="e">
        <f>-V97/V96</f>
        <v>#DIV/0!</v>
      </c>
      <c r="X291" s="222" t="e">
        <f>-X97/X96</f>
        <v>#DIV/0!</v>
      </c>
      <c r="Y291" s="222" t="e">
        <f>-Y97/Y96</f>
        <v>#DIV/0!</v>
      </c>
      <c r="Z291" s="222" t="e">
        <f>-Z97/Z96</f>
        <v>#DIV/0!</v>
      </c>
      <c r="AA291" s="222" t="e">
        <f>-AA97/AA96</f>
        <v>#DIV/0!</v>
      </c>
      <c r="AC291" s="222" t="e">
        <f>-AC97/AC96</f>
        <v>#DIV/0!</v>
      </c>
      <c r="AD291" s="222" t="e">
        <f>-AD97/AD96</f>
        <v>#DIV/0!</v>
      </c>
      <c r="AE291" s="222" t="e">
        <f>-AE97/AE96</f>
        <v>#DIV/0!</v>
      </c>
      <c r="AF291" s="222" t="e">
        <f>-AF97/AF96</f>
        <v>#DIV/0!</v>
      </c>
      <c r="AH291" s="222" t="e">
        <f>-AH97/AH96</f>
        <v>#DIV/0!</v>
      </c>
      <c r="AI291" s="222" t="e">
        <f>-AI97/AI96</f>
        <v>#DIV/0!</v>
      </c>
      <c r="AJ291" s="222" t="e">
        <f>-AJ97/AJ96</f>
        <v>#DIV/0!</v>
      </c>
      <c r="AK291" s="222" t="e">
        <f>-AK97/AK96</f>
        <v>#DIV/0!</v>
      </c>
      <c r="AM291" s="222" t="e">
        <f>-AM97/AM96</f>
        <v>#DIV/0!</v>
      </c>
      <c r="AN291" s="222" t="e">
        <f>-AN97/AN96</f>
        <v>#DIV/0!</v>
      </c>
      <c r="AO291" s="222" t="e">
        <f>-AO97/AO96</f>
        <v>#DIV/0!</v>
      </c>
      <c r="AP291" s="222" t="e">
        <f>-AP97/AP96</f>
        <v>#DIV/0!</v>
      </c>
      <c r="AR291" s="222" t="e">
        <f>-AR97/AR96</f>
        <v>#DIV/0!</v>
      </c>
      <c r="AS291" s="222" t="e">
        <f>-AS97/AS96</f>
        <v>#DIV/0!</v>
      </c>
      <c r="AT291" s="222" t="e">
        <f>-AT97/AT96</f>
        <v>#DIV/0!</v>
      </c>
      <c r="AU291" s="222" t="e">
        <f>-AU97/AU96</f>
        <v>#DIV/0!</v>
      </c>
      <c r="AW291" s="222" t="e">
        <f>-AW97/AW96</f>
        <v>#DIV/0!</v>
      </c>
      <c r="AX291" s="222" t="e">
        <f>-AX97/AX96</f>
        <v>#DIV/0!</v>
      </c>
      <c r="AY291" s="222" t="e">
        <f>-AY97/AY96</f>
        <v>#DIV/0!</v>
      </c>
      <c r="AZ291" s="222" t="e">
        <f>-AZ97/AZ96</f>
        <v>#DIV/0!</v>
      </c>
      <c r="BB291" s="222" t="e">
        <f>-BB97/BB96</f>
        <v>#DIV/0!</v>
      </c>
      <c r="BC291" s="222" t="e">
        <f>-BC97/BC96</f>
        <v>#DIV/0!</v>
      </c>
      <c r="BD291" s="222" t="e">
        <f>-BD97/BD96</f>
        <v>#DIV/0!</v>
      </c>
      <c r="BE291" s="222" t="e">
        <f>-BE97/BE96</f>
        <v>#DIV/0!</v>
      </c>
      <c r="BG291" s="222" t="e">
        <f>-BG97/BG96</f>
        <v>#DIV/0!</v>
      </c>
      <c r="BH291" s="222" t="e">
        <f>-BH97/BH96</f>
        <v>#DIV/0!</v>
      </c>
      <c r="BI291" s="222" t="e">
        <f>-BI97/BI96</f>
        <v>#DIV/0!</v>
      </c>
      <c r="BJ291" s="222" t="e">
        <f>-BJ97/BJ96</f>
        <v>#DIV/0!</v>
      </c>
      <c r="BL291" s="222" t="e">
        <f>-BL97/BL96</f>
        <v>#DIV/0!</v>
      </c>
      <c r="BM291" s="222" t="e">
        <f>-BM97/BM96</f>
        <v>#DIV/0!</v>
      </c>
      <c r="BN291" s="222" t="e">
        <f>-BN97/BN96</f>
        <v>#DIV/0!</v>
      </c>
      <c r="BO291" s="222" t="e">
        <f>-BO97/BO96</f>
        <v>#DIV/0!</v>
      </c>
      <c r="BQ291" s="222" t="e">
        <f>-BQ97/BQ96</f>
        <v>#DIV/0!</v>
      </c>
      <c r="BR291" s="222" t="e">
        <f>-BR97/BR96</f>
        <v>#DIV/0!</v>
      </c>
      <c r="BS291" s="222" t="e">
        <f>-BS97/BS96</f>
        <v>#DIV/0!</v>
      </c>
      <c r="BT291" s="222" t="e">
        <f>-BT97/BT96</f>
        <v>#DIV/0!</v>
      </c>
      <c r="BV291" s="222" t="e">
        <f>-BV97/BV96</f>
        <v>#DIV/0!</v>
      </c>
      <c r="BW291" s="222" t="e">
        <f>-BW97/BW96</f>
        <v>#DIV/0!</v>
      </c>
      <c r="BX291" s="222" t="e">
        <f>-BX97/BX96</f>
        <v>#DIV/0!</v>
      </c>
      <c r="BY291" s="222" t="e">
        <f>-BY97/BY96</f>
        <v>#DIV/0!</v>
      </c>
      <c r="CA291" s="222" t="e">
        <f>-CA97/CA96</f>
        <v>#DIV/0!</v>
      </c>
      <c r="CB291" s="222" t="e">
        <f>-CB97/CB96</f>
        <v>#DIV/0!</v>
      </c>
      <c r="CC291" s="222" t="e">
        <f>-CC97/CC96</f>
        <v>#DIV/0!</v>
      </c>
      <c r="CD291" s="222" t="e">
        <f>-CD97/CD96</f>
        <v>#DIV/0!</v>
      </c>
      <c r="CF291" s="222" t="e">
        <f>-CF97/CF96</f>
        <v>#DIV/0!</v>
      </c>
      <c r="CG291" s="222" t="e">
        <f>-CG97/CG96</f>
        <v>#DIV/0!</v>
      </c>
      <c r="CH291" s="222" t="e">
        <f>-CH97/CH96</f>
        <v>#DIV/0!</v>
      </c>
      <c r="CI291" s="222" t="e">
        <f>-CI97/CI96</f>
        <v>#DIV/0!</v>
      </c>
      <c r="CK291" s="222" t="e">
        <f>-CK97/CK96</f>
        <v>#DIV/0!</v>
      </c>
      <c r="CL291" s="222" t="e">
        <f>-CL97/CL96</f>
        <v>#DIV/0!</v>
      </c>
      <c r="CM291" s="222" t="e">
        <f>-CM97/CM96</f>
        <v>#DIV/0!</v>
      </c>
      <c r="CN291" s="222" t="e">
        <f>-CN97/CN96</f>
        <v>#DIV/0!</v>
      </c>
      <c r="CP291" s="222" t="e">
        <f>-CP97/CP96</f>
        <v>#DIV/0!</v>
      </c>
      <c r="CQ291" s="222" t="e">
        <f>-CQ97/CQ96</f>
        <v>#DIV/0!</v>
      </c>
      <c r="CR291" s="222" t="e">
        <f>-CR97/CR96</f>
        <v>#DIV/0!</v>
      </c>
      <c r="CS291" s="222" t="e">
        <f>-CS97/CS96</f>
        <v>#DIV/0!</v>
      </c>
      <c r="CU291" s="222" t="e">
        <f>-CU97/CU96</f>
        <v>#DIV/0!</v>
      </c>
      <c r="CV291" s="222" t="e">
        <f>-CV97/CV96</f>
        <v>#DIV/0!</v>
      </c>
      <c r="CW291" s="222" t="e">
        <f>-CW97/CW96</f>
        <v>#DIV/0!</v>
      </c>
      <c r="CX291" s="222" t="e">
        <f>-CX97/CX96</f>
        <v>#DIV/0!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 t="e">
        <f>D35/-D40</f>
        <v>#DIV/0!</v>
      </c>
      <c r="E298" s="219" t="e">
        <f>E35/-E40</f>
        <v>#DIV/0!</v>
      </c>
      <c r="F298" s="219" t="e">
        <f>F35/-F40</f>
        <v>#DIV/0!</v>
      </c>
      <c r="G298" s="219" t="e">
        <f>G35/-G40</f>
        <v>#DIV/0!</v>
      </c>
      <c r="I298" s="219" t="e">
        <f>I35/-I40</f>
        <v>#DIV/0!</v>
      </c>
      <c r="J298" s="219" t="e">
        <f>J35/-J40</f>
        <v>#DIV/0!</v>
      </c>
      <c r="K298" s="219" t="e">
        <f>K35/-K40</f>
        <v>#DIV/0!</v>
      </c>
      <c r="L298" s="219" t="e">
        <f>L35/-L40</f>
        <v>#DIV/0!</v>
      </c>
      <c r="N298" s="219" t="e">
        <f>N35/-N40</f>
        <v>#DIV/0!</v>
      </c>
      <c r="O298" s="219" t="e">
        <f>O35/-O40</f>
        <v>#DIV/0!</v>
      </c>
      <c r="P298" s="219" t="e">
        <f>P35/-P40</f>
        <v>#DIV/0!</v>
      </c>
      <c r="Q298" s="219" t="e">
        <f>Q35/-Q40</f>
        <v>#DIV/0!</v>
      </c>
      <c r="S298" s="219" t="e">
        <f>S35/-S40</f>
        <v>#DIV/0!</v>
      </c>
      <c r="T298" s="219" t="e">
        <f>T35/-T40</f>
        <v>#DIV/0!</v>
      </c>
      <c r="U298" s="219" t="e">
        <f>U35/-U40</f>
        <v>#DIV/0!</v>
      </c>
      <c r="V298" s="219" t="e">
        <f>V35/-V40</f>
        <v>#DIV/0!</v>
      </c>
      <c r="X298" s="219" t="e">
        <f>X35/-X40</f>
        <v>#DIV/0!</v>
      </c>
      <c r="Y298" s="219" t="e">
        <f>Y35/-Y40</f>
        <v>#DIV/0!</v>
      </c>
      <c r="Z298" s="219" t="e">
        <f>Z35/-Z40</f>
        <v>#DIV/0!</v>
      </c>
      <c r="AA298" s="219" t="e">
        <f>AA35/-AA40</f>
        <v>#DIV/0!</v>
      </c>
      <c r="AC298" s="219" t="e">
        <f>AC35/-AC40</f>
        <v>#DIV/0!</v>
      </c>
      <c r="AD298" s="219" t="e">
        <f>AD35/-AD40</f>
        <v>#DIV/0!</v>
      </c>
      <c r="AE298" s="219" t="e">
        <f>AE35/-AE40</f>
        <v>#DIV/0!</v>
      </c>
      <c r="AF298" s="219" t="e">
        <f>AF35/-AF40</f>
        <v>#DIV/0!</v>
      </c>
      <c r="AH298" s="219" t="e">
        <f>AH35/-AH40</f>
        <v>#DIV/0!</v>
      </c>
      <c r="AI298" s="219" t="e">
        <f>AI35/-AI40</f>
        <v>#DIV/0!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 t="e">
        <f>(D35-D134)/-D40</f>
        <v>#DIV/0!</v>
      </c>
      <c r="E299" s="219" t="e">
        <f>(E35-E134)/-E40</f>
        <v>#DIV/0!</v>
      </c>
      <c r="F299" s="219" t="e">
        <f>(F35-F134)/-F40</f>
        <v>#DIV/0!</v>
      </c>
      <c r="G299" s="219" t="e">
        <f>(G35-G134)/-G40</f>
        <v>#DIV/0!</v>
      </c>
      <c r="I299" s="219" t="e">
        <f>(I35-I134)/-I40</f>
        <v>#DIV/0!</v>
      </c>
      <c r="J299" s="219" t="e">
        <f>(J35-J134)/-J40</f>
        <v>#DIV/0!</v>
      </c>
      <c r="K299" s="219" t="e">
        <f>(K35-K134)/-K40</f>
        <v>#DIV/0!</v>
      </c>
      <c r="L299" s="219" t="e">
        <f>(L35-L134)/-L40</f>
        <v>#DIV/0!</v>
      </c>
      <c r="N299" s="219" t="e">
        <f>(N35-N134)/-N40</f>
        <v>#DIV/0!</v>
      </c>
      <c r="O299" s="219" t="e">
        <f>(O35-O134)/-O40</f>
        <v>#DIV/0!</v>
      </c>
      <c r="P299" s="219" t="e">
        <f>(P35-P134)/-P40</f>
        <v>#DIV/0!</v>
      </c>
      <c r="Q299" s="219" t="e">
        <f>(Q35-Q134)/-Q40</f>
        <v>#DIV/0!</v>
      </c>
      <c r="S299" s="219" t="e">
        <f>(S35-S134)/-S40</f>
        <v>#DIV/0!</v>
      </c>
      <c r="T299" s="219" t="e">
        <f>(T35-T134)/-T40</f>
        <v>#DIV/0!</v>
      </c>
      <c r="U299" s="219" t="e">
        <f>(U35-U134)/-U40</f>
        <v>#DIV/0!</v>
      </c>
      <c r="V299" s="219" t="e">
        <f>(V35-V134)/-V40</f>
        <v>#DIV/0!</v>
      </c>
      <c r="X299" s="219" t="e">
        <f>(X35-X134)/-X40</f>
        <v>#DIV/0!</v>
      </c>
      <c r="Y299" s="219" t="e">
        <f>(Y35-Y134)/-Y40</f>
        <v>#DIV/0!</v>
      </c>
      <c r="Z299" s="219" t="e">
        <f>(Z35-Z134)/-Z40</f>
        <v>#DIV/0!</v>
      </c>
      <c r="AA299" s="219" t="e">
        <f>(AA35-AA134)/-AA40</f>
        <v>#DIV/0!</v>
      </c>
      <c r="AC299" s="219" t="e">
        <f>(AC35-AC134)/-AC40</f>
        <v>#DIV/0!</v>
      </c>
      <c r="AD299" s="219" t="e">
        <f>(AD35-AD134)/-AD40</f>
        <v>#DIV/0!</v>
      </c>
      <c r="AE299" s="219" t="e">
        <f>(AE35-AE134)/-AE40</f>
        <v>#DIV/0!</v>
      </c>
      <c r="AF299" s="219" t="e">
        <f>(AF35-AF134)/-AF40</f>
        <v>#DIV/0!</v>
      </c>
      <c r="AH299" s="219" t="e">
        <f>(AH35-AH134)/-AH40</f>
        <v>#DIV/0!</v>
      </c>
      <c r="AI299" s="219" t="e">
        <f>(AI35-AI134)/-AI40</f>
        <v>#DIV/0!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</t>
        </is>
      </c>
      <c r="D300" s="219" t="e">
        <f>SUM(D178,D179,D180,D183,D201,D204)/(D35*4)</f>
        <v>#DIV/0!</v>
      </c>
      <c r="E300" s="219" t="e">
        <f>SUM(E178,E179,E180,E183,E201,E204)/(E35*4)</f>
        <v>#DIV/0!</v>
      </c>
      <c r="F300" s="219" t="e">
        <f>SUM(F178,F179,F180,F183,F201,F204)/(F35*4)</f>
        <v>#DIV/0!</v>
      </c>
      <c r="G300" s="219" t="e">
        <f>SUM(G178,G179,G180,G183,G201,G204)/(G35*4)</f>
        <v>#DIV/0!</v>
      </c>
      <c r="I300" s="219" t="e">
        <f>SUM(I178,I179,I180,I183,I201,I204)/(I35*4)</f>
        <v>#DIV/0!</v>
      </c>
      <c r="J300" s="219" t="e">
        <f>SUM(J178,J179,J180,J183,J201,J204)/(J35*4)</f>
        <v>#DIV/0!</v>
      </c>
      <c r="K300" s="219" t="e">
        <f>SUM(K178,K179,K180,K183,K201,K204)/(K35*4)</f>
        <v>#DIV/0!</v>
      </c>
      <c r="L300" s="219" t="e">
        <f>SUM(L178,L179,L180,L183,L201,L204)/(L35*4)</f>
        <v>#DIV/0!</v>
      </c>
      <c r="N300" s="219" t="e">
        <f>SUM(N178,N179,N180,N183,N201,N204)/(N35*4)</f>
        <v>#DIV/0!</v>
      </c>
      <c r="O300" s="219" t="e">
        <f>SUM(O178,O179,O180,O183,O201,O204)/(O35*4)</f>
        <v>#DIV/0!</v>
      </c>
      <c r="P300" s="219" t="e">
        <f>SUM(P178,P179,P180,P183,P201,P204)/(P35*4)</f>
        <v>#DIV/0!</v>
      </c>
      <c r="Q300" s="219" t="e">
        <f>SUM(Q178,Q179,Q180,Q183,Q201,Q204)/(Q35*4)</f>
        <v>#DIV/0!</v>
      </c>
      <c r="S300" s="219" t="e">
        <f>SUM(S178,S179,S180,S183,S201,S204)/(S35*4)</f>
        <v>#DIV/0!</v>
      </c>
      <c r="T300" s="219" t="e">
        <f>SUM(T178,T179,T180,T183,T201,T204)/(T35*4)</f>
        <v>#DIV/0!</v>
      </c>
      <c r="U300" s="219" t="e">
        <f>SUM(U178,U179,U180,U183,U201,U204)/(U35*4)</f>
        <v>#DIV/0!</v>
      </c>
      <c r="V300" s="219" t="e">
        <f>SUM(V178,V179,V180,V183,V201,V204)/(V35*4)</f>
        <v>#DIV/0!</v>
      </c>
      <c r="X300" s="219" t="e">
        <f>SUM(X178,X179,X180,X183,X201,X204)/(X35*4)</f>
        <v>#DIV/0!</v>
      </c>
      <c r="Y300" s="219" t="e">
        <f>SUM(Y178,Y179,Y180,Y183,Y201,Y204)/(Y35*4)</f>
        <v>#DIV/0!</v>
      </c>
      <c r="Z300" s="219" t="e">
        <f>SUM(Z178,Z179,Z180,Z183,Z201,Z204)/(Z35*4)</f>
        <v>#DIV/0!</v>
      </c>
      <c r="AA300" s="219" t="e">
        <f>SUM(AA178,AA179,AA180,AA183,AA201,AA204)/(AA35*4)</f>
        <v>#DIV/0!</v>
      </c>
      <c r="AC300" s="219" t="e">
        <f>SUM(AC178,AC179,AC180,AC183,AC201,AC204)/(AC35*4)</f>
        <v>#DIV/0!</v>
      </c>
      <c r="AD300" s="219" t="e">
        <f>SUM(AD178,AD179,AD180,AD183,AD201,AD204)/(AD35*4)</f>
        <v>#DIV/0!</v>
      </c>
      <c r="AE300" s="219" t="e">
        <f>SUM(AE178,AE179,AE180,AE183,AE201,AE204)/(AE35*4)</f>
        <v>#DIV/0!</v>
      </c>
      <c r="AF300" s="219" t="e">
        <f>SUM(AF178,AF179,AF180,AF183,AF201,AF204)/(AF35*4)</f>
        <v>#DIV/0!</v>
      </c>
      <c r="AH300" s="219" t="e">
        <f>SUM(AH178,AH179,AH180,AH183,AH201,AH204)/(AH35*4)</f>
        <v>#DIV/0!</v>
      </c>
      <c r="AI300" s="219" t="e">
        <f>SUM(AI178,AI179,AI180,AI183,AI201,AI204)/(AI35*4)</f>
        <v>#DIV/0!</v>
      </c>
      <c r="AJ300" s="219" t="e">
        <f>SUM(AJ178,AJ179,AJ180,AJ183,AJ201,AJ204)/(AJ35*4)</f>
        <v>#DIV/0!</v>
      </c>
      <c r="AK300" s="219" t="e">
        <f>SUM(AK178,AK179,AK180,AK183,AK201,AK204)/(AK35*4)</f>
        <v>#DIV/0!</v>
      </c>
      <c r="AM300" s="219" t="e">
        <f>SUM(AM178,AM179,AM180,AM183,AM201,AM204)/(AM35*4)</f>
        <v>#DIV/0!</v>
      </c>
      <c r="AN300" s="219" t="e">
        <f>SUM(AN178,AN179,AN180,AN183,AN201,AN204)/(AN35*4)</f>
        <v>#DIV/0!</v>
      </c>
      <c r="AO300" s="219" t="e">
        <f>SUM(AO178,AO179,AO180,AO183,AO201,AO204)/(AO35*4)</f>
        <v>#DIV/0!</v>
      </c>
      <c r="AP300" s="219" t="e">
        <f>SUM(AP178,AP179,AP180,AP183,AP201,AP204)/(AP35*4)</f>
        <v>#DIV/0!</v>
      </c>
      <c r="AR300" s="219" t="e">
        <f>SUM(AR178,AR179,AR180,AR183,AR201,AR204)/(AR35*4)</f>
        <v>#DIV/0!</v>
      </c>
      <c r="AS300" s="219" t="e">
        <f>SUM(AS178,AS179,AS180,AS183,AS201,AS204)/(AS35*4)</f>
        <v>#DIV/0!</v>
      </c>
      <c r="AT300" s="219" t="e">
        <f>SUM(AT178,AT179,AT180,AT183,AT201,AT204)/(AT35*4)</f>
        <v>#DIV/0!</v>
      </c>
      <c r="AU300" s="219" t="e">
        <f>SUM(AU178,AU179,AU180,AU183,AU201,AU204)/(AU35*4)</f>
        <v>#DIV/0!</v>
      </c>
      <c r="AW300" s="219" t="e">
        <f>SUM(AW178,AW179,AW180,AW183,AW201,AW204)/(AW35*4)</f>
        <v>#DIV/0!</v>
      </c>
      <c r="AX300" s="219" t="e">
        <f>SUM(AX178,AX179,AX180,AX183,AX201,AX204)/(AX35*4)</f>
        <v>#DIV/0!</v>
      </c>
      <c r="AY300" s="219" t="e">
        <f>SUM(AY178,AY179,AY180,AY183,AY201,AY204)/(AY35*4)</f>
        <v>#DIV/0!</v>
      </c>
      <c r="AZ300" s="219" t="e">
        <f>SUM(AZ178,AZ179,AZ180,AZ183,AZ201,AZ204)/(AZ35*4)</f>
        <v>#DIV/0!</v>
      </c>
      <c r="BB300" s="219" t="e">
        <f>SUM(BB178,BB179,BB180,BB183,BB201,BB204)/(BB35*4)</f>
        <v>#DIV/0!</v>
      </c>
      <c r="BC300" s="219" t="e">
        <f>SUM(BC178,BC179,BC180,BC183,BC201,BC204)/(BC35*4)</f>
        <v>#DIV/0!</v>
      </c>
      <c r="BD300" s="219" t="e">
        <f>SUM(BD178,BD179,BD180,BD183,BD201,BD204)/(BD35*4)</f>
        <v>#DIV/0!</v>
      </c>
      <c r="BE300" s="219" t="e">
        <f>SUM(BE178,BE179,BE180,BE183,BE201,BE204)/(BE35*4)</f>
        <v>#DIV/0!</v>
      </c>
      <c r="BG300" s="219" t="e">
        <f>SUM(BG178,BG179,BG180,BG183,BG201,BG204)/(BG35*4)</f>
        <v>#DIV/0!</v>
      </c>
      <c r="BH300" s="219" t="e">
        <f>SUM(BH178,BH179,BH180,BH183,BH201,BH204)/(BH35*4)</f>
        <v>#DIV/0!</v>
      </c>
      <c r="BI300" s="219" t="e">
        <f>SUM(BI178,BI179,BI180,BI183,BI201,BI204)/(BI35*4)</f>
        <v>#DIV/0!</v>
      </c>
      <c r="BJ300" s="219" t="e">
        <f>SUM(BJ178,BJ179,BJ180,BJ183,BJ201,BJ204)/(BJ35*4)</f>
        <v>#DIV/0!</v>
      </c>
      <c r="BL300" s="219" t="e">
        <f>SUM(BL178,BL179,BL180,BL183,BL201,BL204)/(BL35*4)</f>
        <v>#DIV/0!</v>
      </c>
      <c r="BM300" s="219" t="e">
        <f>SUM(BM178,BM179,BM180,BM183,BM201,BM204)/(BM35*4)</f>
        <v>#DIV/0!</v>
      </c>
      <c r="BN300" s="219" t="e">
        <f>SUM(BN178,BN179,BN180,BN183,BN201,BN204)/(BN35*4)</f>
        <v>#DIV/0!</v>
      </c>
      <c r="BO300" s="219" t="e">
        <f>SUM(BO178,BO179,BO180,BO183,BO201,BO204)/(BO35*4)</f>
        <v>#DIV/0!</v>
      </c>
      <c r="BQ300" s="219" t="e">
        <f>SUM(BQ178,BQ179,BQ180,BQ183,BQ201,BQ204)/(BQ35*4)</f>
        <v>#DIV/0!</v>
      </c>
      <c r="BR300" s="219" t="e">
        <f>SUM(BR178,BR179,BR180,BR183,BR201,BR204)/(BR35*4)</f>
        <v>#DIV/0!</v>
      </c>
      <c r="BS300" s="219" t="e">
        <f>SUM(BS178,BS179,BS180,BS183,BS201,BS204)/(BS35*4)</f>
        <v>#DIV/0!</v>
      </c>
      <c r="BT300" s="219" t="e">
        <f>SUM(BT178,BT179,BT180,BT183,BT201,BT204)/(BT35*4)</f>
        <v>#DIV/0!</v>
      </c>
      <c r="BV300" s="219" t="e">
        <f>SUM(BV178,BV179,BV180,BV183,BV201,BV204)/(BV35*4)</f>
        <v>#DIV/0!</v>
      </c>
      <c r="BW300" s="219" t="e">
        <f>SUM(BW178,BW179,BW180,BW183,BW201,BW204)/(BW35*4)</f>
        <v>#DIV/0!</v>
      </c>
      <c r="BX300" s="219" t="e">
        <f>SUM(BX178,BX179,BX180,BX183,BX201,BX204)/(BX35*4)</f>
        <v>#DIV/0!</v>
      </c>
      <c r="BY300" s="219" t="e">
        <f>SUM(BY178,BY179,BY180,BY183,BY201,BY204)/(BY35*4)</f>
        <v>#DIV/0!</v>
      </c>
      <c r="CA300" s="219" t="e">
        <f>SUM(CA178,CA179,CA180,CA183,CA201,CA204)/(CA35*4)</f>
        <v>#DIV/0!</v>
      </c>
      <c r="CB300" s="219" t="e">
        <f>SUM(CB178,CB179,CB180,CB183,CB201,CB204)/(CB35*4)</f>
        <v>#DIV/0!</v>
      </c>
      <c r="CC300" s="219" t="e">
        <f>SUM(CC178,CC179,CC180,CC183,CC201,CC204)/(CC35*4)</f>
        <v>#DIV/0!</v>
      </c>
      <c r="CD300" s="219" t="e">
        <f>SUM(CD178,CD179,CD180,CD183,CD201,CD204)/(CD35*4)</f>
        <v>#DIV/0!</v>
      </c>
      <c r="CF300" s="219" t="e">
        <f>SUM(CF178,CF179,CF180,CF183,CF201,CF204)/(CF35*4)</f>
        <v>#DIV/0!</v>
      </c>
      <c r="CG300" s="219" t="e">
        <f>SUM(CG178,CG179,CG180,CG183,CG201,CG204)/(CG35*4)</f>
        <v>#DIV/0!</v>
      </c>
      <c r="CH300" s="219" t="e">
        <f>SUM(CH178,CH179,CH180,CH183,CH201,CH204)/(CH35*4)</f>
        <v>#DIV/0!</v>
      </c>
      <c r="CI300" s="219" t="e">
        <f>SUM(CI178,CI179,CI180,CI183,CI201,CI204)/(CI35*4)</f>
        <v>#DIV/0!</v>
      </c>
      <c r="CK300" s="219" t="e">
        <f>SUM(CK178,CK179,CK180,CK183,CK201,CK204)/(CK35*4)</f>
        <v>#DIV/0!</v>
      </c>
      <c r="CL300" s="219" t="e">
        <f>SUM(CL178,CL179,CL180,CL183,CL201,CL204)/(CL35*4)</f>
        <v>#DIV/0!</v>
      </c>
      <c r="CM300" s="219" t="e">
        <f>SUM(CM178,CM179,CM180,CM183,CM201,CM204)/(CM35*4)</f>
        <v>#DIV/0!</v>
      </c>
      <c r="CN300" s="219" t="e">
        <f>SUM(CN178,CN179,CN180,CN183,CN201,CN204)/(CN35*4)</f>
        <v>#DIV/0!</v>
      </c>
      <c r="CP300" s="219" t="e">
        <f>SUM(CP178,CP179,CP180,CP183,CP201,CP204)/(CP35*4)</f>
        <v>#DIV/0!</v>
      </c>
      <c r="CQ300" s="219" t="e">
        <f>SUM(CQ178,CQ179,CQ180,CQ183,CQ201,CQ204)/(CQ35*4)</f>
        <v>#DIV/0!</v>
      </c>
      <c r="CR300" s="219" t="e">
        <f>SUM(CR178,CR179,CR180,CR183,CR201,CR204)/(CR35*4)</f>
        <v>#DIV/0!</v>
      </c>
      <c r="CS300" s="219" t="e">
        <f>SUM(CS178,CS179,CS180,CS183,CS201,CS204)/(CS35*4)</f>
        <v>#DIV/0!</v>
      </c>
      <c r="CU300" s="219" t="e">
        <f>SUM(CU178,CU179,CU180,CU183,CU201,CU204)/(CU35*4)</f>
        <v>#DIV/0!</v>
      </c>
      <c r="CV300" s="219" t="e">
        <f>SUM(CV178,CV179,CV180,CV183,CV201,CV204)/(CV35*4)</f>
        <v>#DIV/0!</v>
      </c>
      <c r="CW300" s="219" t="e">
        <f>SUM(CW178,CW179,CW180,CW183,CW201,CW204)/(CW35*4)</f>
        <v>#DIV/0!</v>
      </c>
      <c r="CX300" s="219" t="e">
        <f>SUM(CX178,CX179,CX180,CX183,CX201,CX204)/(CX35*4)</f>
        <v>#DIV/0!</v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 t="e">
        <f>SUM(D178+D179+D180+D183+D201+D204)/(SUM(D178+D179+D180+D183+D201+D204)+D237)</f>
        <v>#DIV/0!</v>
      </c>
      <c r="E301" s="221" t="e">
        <f>SUM(E178+E179+E180+E183+E201+E204)/(SUM(E178+E179+E180+E183+E201+E204)+E237)</f>
        <v>#DIV/0!</v>
      </c>
      <c r="F301" s="221" t="e">
        <f>SUM(F178+F179+F180+F183+F201+F204)/(SUM(F178+F179+F180+F183+F201+F204)+F237)</f>
        <v>#DIV/0!</v>
      </c>
      <c r="G301" s="221" t="e">
        <f>SUM(G178+G179+G180+G183+G201+G204)/(SUM(G178+G179+G180+G183+G201+G204)+G237)</f>
        <v>#DIV/0!</v>
      </c>
      <c r="I301" s="221" t="e">
        <f>SUM(I178+I179+I180+I183+I201+I204)/(SUM(I178+I179+I180+I183+I201+I204)+I237)</f>
        <v>#DIV/0!</v>
      </c>
      <c r="J301" s="221" t="e">
        <f>SUM(J178+J179+J180+J183+J201+J204)/(SUM(J178+J179+J180+J183+J201+J204)+J237)</f>
        <v>#DIV/0!</v>
      </c>
      <c r="K301" s="221" t="e">
        <f>SUM(K178+K179+K180+K183+K201+K204)/(SUM(K178+K179+K180+K183+K201+K204)+K237)</f>
        <v>#DIV/0!</v>
      </c>
      <c r="L301" s="221" t="e">
        <f>SUM(L178+L179+L180+L183+L201+L204)/(SUM(L178+L179+L180+L183+L201+L204)+L237)</f>
        <v>#DIV/0!</v>
      </c>
      <c r="N301" s="221" t="e">
        <f>SUM(N178+N179+N180+N183+N201+N204)/(SUM(N178+N179+N180+N183+N201+N204)+N237)</f>
        <v>#DIV/0!</v>
      </c>
      <c r="O301" s="221" t="e">
        <f>SUM(O178+O179+O180+O183+O201+O204)/(SUM(O178+O179+O180+O183+O201+O204)+O237)</f>
        <v>#DIV/0!</v>
      </c>
      <c r="P301" s="221" t="e">
        <f>SUM(P178+P179+P180+P183+P201+P204)/(SUM(P178+P179+P180+P183+P201+P204)+P237)</f>
        <v>#DIV/0!</v>
      </c>
      <c r="Q301" s="221" t="e">
        <f>SUM(Q178+Q179+Q180+Q183+Q201+Q204)/(SUM(Q178+Q179+Q180+Q183+Q201+Q204)+Q237)</f>
        <v>#DIV/0!</v>
      </c>
      <c r="S301" s="221" t="e">
        <f>SUM(S178+S179+S180+S183+S201+S204)/(SUM(S178+S179+S180+S183+S201+S204)+S237)</f>
        <v>#DIV/0!</v>
      </c>
      <c r="T301" s="221" t="e">
        <f>SUM(T178+T179+T180+T183+T201+T204)/(SUM(T178+T179+T180+T183+T201+T204)+T237)</f>
        <v>#DIV/0!</v>
      </c>
      <c r="U301" s="221" t="e">
        <f>SUM(U178+U179+U180+U183+U201+U204)/(SUM(U178+U179+U180+U183+U201+U204)+U237)</f>
        <v>#DIV/0!</v>
      </c>
      <c r="V301" s="221" t="e">
        <f>SUM(V178+V179+V180+V183+V201+V204)/(SUM(V178+V179+V180+V183+V201+V204)+V237)</f>
        <v>#DIV/0!</v>
      </c>
      <c r="X301" s="221" t="e">
        <f>SUM(X178+X179+X180+X183+X201+X204)/(SUM(X178+X179+X180+X183+X201+X204)+X237)</f>
        <v>#DIV/0!</v>
      </c>
      <c r="Y301" s="221" t="e">
        <f>SUM(Y178+Y179+Y180+Y183+Y201+Y204)/(SUM(Y178+Y179+Y180+Y183+Y201+Y204)+Y237)</f>
        <v>#DIV/0!</v>
      </c>
      <c r="Z301" s="221" t="e">
        <f>SUM(Z178+Z179+Z180+Z183+Z201+Z204)/(SUM(Z178+Z179+Z180+Z183+Z201+Z204)+Z237)</f>
        <v>#DIV/0!</v>
      </c>
      <c r="AA301" s="221" t="e">
        <f>SUM(AA178+AA179+AA180+AA183+AA201+AA204)/(SUM(AA178+AA179+AA180+AA183+AA201+AA204)+AA237)</f>
        <v>#DIV/0!</v>
      </c>
      <c r="AC301" s="221" t="e">
        <f>SUM(AC178+AC179+AC180+AC183+AC201+AC204)/(SUM(AC178+AC179+AC180+AC183+AC201+AC204)+AC237)</f>
        <v>#DIV/0!</v>
      </c>
      <c r="AD301" s="221" t="e">
        <f>SUM(AD178+AD179+AD180+AD183+AD201+AD204)/(SUM(AD178+AD179+AD180+AD183+AD201+AD204)+AD237)</f>
        <v>#DIV/0!</v>
      </c>
      <c r="AE301" s="221" t="e">
        <f>SUM(AE178+AE179+AE180+AE183+AE201+AE204)/(SUM(AE178+AE179+AE180+AE183+AE201+AE204)+AE237)</f>
        <v>#DIV/0!</v>
      </c>
      <c r="AF301" s="221" t="e">
        <f>SUM(AF178+AF179+AF180+AF183+AF201+AF204)/(SUM(AF178+AF179+AF180+AF183+AF201+AF204)+AF237)</f>
        <v>#DIV/0!</v>
      </c>
      <c r="AH301" s="221" t="e">
        <f>SUM(AH178+AH179+AH180+AH183+AH201+AH204)/(SUM(AH178+AH179+AH180+AH183+AH201+AH204)+AH237)</f>
        <v>#DIV/0!</v>
      </c>
      <c r="AI301" s="221" t="e">
        <f>SUM(AI178+AI179+AI180+AI183+AI201+AI204)/(SUM(AI178+AI179+AI180+AI183+AI201+AI204)+AI237)</f>
        <v>#DIV/0!</v>
      </c>
      <c r="AJ301" s="221" t="e">
        <f>SUM(AJ178+AJ179+AJ180+AJ183+AJ201+AJ204)/(SUM(AJ178+AJ179+AJ180+AJ183+AJ201+AJ204)+AJ237)</f>
        <v>#DIV/0!</v>
      </c>
      <c r="AK301" s="221" t="e">
        <f>SUM(AK178+AK179+AK180+AK183+AK201+AK204)/(SUM(AK178+AK179+AK180+AK183+AK201+AK204)+AK237)</f>
        <v>#DIV/0!</v>
      </c>
      <c r="AM301" s="221" t="e">
        <f>SUM(AM178+AM179+AM180+AM183+AM201+AM204)/(SUM(AM178+AM179+AM180+AM183+AM201+AM204)+AM237)</f>
        <v>#DIV/0!</v>
      </c>
      <c r="AN301" s="221" t="e">
        <f>SUM(AN178+AN179+AN180+AN183+AN201+AN204)/(SUM(AN178+AN179+AN180+AN183+AN201+AN204)+AN237)</f>
        <v>#DIV/0!</v>
      </c>
      <c r="AO301" s="221" t="e">
        <f>SUM(AO178+AO179+AO180+AO183+AO201+AO204)/(SUM(AO178+AO179+AO180+AO183+AO201+AO204)+AO237)</f>
        <v>#DIV/0!</v>
      </c>
      <c r="AP301" s="221" t="e">
        <f>SUM(AP178+AP179+AP180+AP183+AP201+AP204)/(SUM(AP178+AP179+AP180+AP183+AP201+AP204)+AP237)</f>
        <v>#DIV/0!</v>
      </c>
      <c r="AR301" s="221" t="e">
        <f>SUM(AR178+AR179+AR180+AR183+AR201+AR204)/(SUM(AR178+AR179+AR180+AR183+AR201+AR204)+AR237)</f>
        <v>#DIV/0!</v>
      </c>
      <c r="AS301" s="221" t="e">
        <f>SUM(AS178+AS179+AS180+AS183+AS201+AS204)/(SUM(AS178+AS179+AS180+AS183+AS201+AS204)+AS237)</f>
        <v>#DIV/0!</v>
      </c>
      <c r="AT301" s="221" t="e">
        <f>SUM(AT178+AT179+AT180+AT183+AT201+AT204)/(SUM(AT178+AT179+AT180+AT183+AT201+AT204)+AT237)</f>
        <v>#DIV/0!</v>
      </c>
      <c r="AU301" s="221" t="e">
        <f>SUM(AU178+AU179+AU180+AU183+AU201+AU204)/(SUM(AU178+AU179+AU180+AU183+AU201+AU204)+AU237)</f>
        <v>#DIV/0!</v>
      </c>
      <c r="AW301" s="221" t="e">
        <f>SUM(AW178+AW179+AW180+AW183+AW201+AW204)/(SUM(AW178+AW179+AW180+AW183+AW201+AW204)+AW237)</f>
        <v>#DIV/0!</v>
      </c>
      <c r="AX301" s="221" t="e">
        <f>SUM(AX178+AX179+AX180+AX183+AX201+AX204)/(SUM(AX178+AX179+AX180+AX183+AX201+AX204)+AX237)</f>
        <v>#DIV/0!</v>
      </c>
      <c r="AY301" s="221" t="e">
        <f>SUM(AY178+AY179+AY180+AY183+AY201+AY204)/(SUM(AY178+AY179+AY180+AY183+AY201+AY204)+AY237)</f>
        <v>#DIV/0!</v>
      </c>
      <c r="AZ301" s="221" t="e">
        <f>SUM(AZ178+AZ179+AZ180+AZ183+AZ201+AZ204)/(SUM(AZ178+AZ179+AZ180+AZ183+AZ201+AZ204)+AZ237)</f>
        <v>#DIV/0!</v>
      </c>
      <c r="BB301" s="221" t="e">
        <f>SUM(BB178+BB179+BB180+BB183+BB201+BB204)/(SUM(BB178+BB179+BB180+BB183+BB201+BB204)+BB237)</f>
        <v>#DIV/0!</v>
      </c>
      <c r="BC301" s="221" t="e">
        <f>SUM(BC178+BC179+BC180+BC183+BC201+BC204)/(SUM(BC178+BC179+BC180+BC183+BC201+BC204)+BC237)</f>
        <v>#DIV/0!</v>
      </c>
      <c r="BD301" s="221" t="e">
        <f>SUM(BD178+BD179+BD180+BD183+BD201+BD204)/(SUM(BD178+BD179+BD180+BD183+BD201+BD204)+BD237)</f>
        <v>#DIV/0!</v>
      </c>
      <c r="BE301" s="221" t="e">
        <f>SUM(BE178+BE179+BE180+BE183+BE201+BE204)/(SUM(BE178+BE179+BE180+BE183+BE201+BE204)+BE237)</f>
        <v>#DIV/0!</v>
      </c>
      <c r="BG301" s="221" t="e">
        <f>SUM(BG178+BG179+BG180+BG183+BG201+BG204)/(SUM(BG178+BG179+BG180+BG183+BG201+BG204)+BG237)</f>
        <v>#DIV/0!</v>
      </c>
      <c r="BH301" s="221" t="e">
        <f>SUM(BH178+BH179+BH180+BH183+BH201+BH204)/(SUM(BH178+BH179+BH180+BH183+BH201+BH204)+BH237)</f>
        <v>#DIV/0!</v>
      </c>
      <c r="BI301" s="221" t="e">
        <f>SUM(BI178+BI179+BI180+BI183+BI201+BI204)/(SUM(BI178+BI179+BI180+BI183+BI201+BI204)+BI237)</f>
        <v>#DIV/0!</v>
      </c>
      <c r="BJ301" s="221" t="e">
        <f>SUM(BJ178+BJ179+BJ180+BJ183+BJ201+BJ204)/(SUM(BJ178+BJ179+BJ180+BJ183+BJ201+BJ204)+BJ237)</f>
        <v>#DIV/0!</v>
      </c>
      <c r="BL301" s="221" t="e">
        <f>SUM(BL178+BL179+BL180+BL183+BL201+BL204)/(SUM(BL178+BL179+BL180+BL183+BL201+BL204)+BL237)</f>
        <v>#DIV/0!</v>
      </c>
      <c r="BM301" s="221" t="e">
        <f>SUM(BM178+BM179+BM180+BM183+BM201+BM204)/(SUM(BM178+BM179+BM180+BM183+BM201+BM204)+BM237)</f>
        <v>#DIV/0!</v>
      </c>
      <c r="BN301" s="221" t="e">
        <f>SUM(BN178+BN179+BN180+BN183+BN201+BN204)/(SUM(BN178+BN179+BN180+BN183+BN201+BN204)+BN237)</f>
        <v>#DIV/0!</v>
      </c>
      <c r="BO301" s="221" t="e">
        <f>SUM(BO178+BO179+BO180+BO183+BO201+BO204)/(SUM(BO178+BO179+BO180+BO183+BO201+BO204)+BO237)</f>
        <v>#DIV/0!</v>
      </c>
      <c r="BQ301" s="221" t="e">
        <f>SUM(BQ178+BQ179+BQ180+BQ183+BQ201+BQ204)/(SUM(BQ178+BQ179+BQ180+BQ183+BQ201+BQ204)+BQ237)</f>
        <v>#DIV/0!</v>
      </c>
      <c r="BR301" s="221" t="e">
        <f>SUM(BR178+BR179+BR180+BR183+BR201+BR204)/(SUM(BR178+BR179+BR180+BR183+BR201+BR204)+BR237)</f>
        <v>#DIV/0!</v>
      </c>
      <c r="BS301" s="221" t="e">
        <f>SUM(BS178+BS179+BS180+BS183+BS201+BS204)/(SUM(BS178+BS179+BS180+BS183+BS201+BS204)+BS237)</f>
        <v>#DIV/0!</v>
      </c>
      <c r="BT301" s="221" t="e">
        <f>SUM(BT178+BT179+BT180+BT183+BT201+BT204)/(SUM(BT178+BT179+BT180+BT183+BT201+BT204)+BT237)</f>
        <v>#DIV/0!</v>
      </c>
      <c r="BV301" s="221" t="e">
        <f>SUM(BV178+BV179+BV180+BV183+BV201+BV204)/(SUM(BV178+BV179+BV180+BV183+BV201+BV204)+BV237)</f>
        <v>#DIV/0!</v>
      </c>
      <c r="BW301" s="221" t="e">
        <f>SUM(BW178+BW179+BW180+BW183+BW201+BW204)/(SUM(BW178+BW179+BW180+BW183+BW201+BW204)+BW237)</f>
        <v>#DIV/0!</v>
      </c>
      <c r="BX301" s="221" t="e">
        <f>SUM(BX178+BX179+BX180+BX183+BX201+BX204)/(SUM(BX178+BX179+BX180+BX183+BX201+BX204)+BX237)</f>
        <v>#DIV/0!</v>
      </c>
      <c r="BY301" s="221" t="e">
        <f>SUM(BY178+BY179+BY180+BY183+BY201+BY204)/(SUM(BY178+BY179+BY180+BY183+BY201+BY204)+BY237)</f>
        <v>#DIV/0!</v>
      </c>
      <c r="CA301" s="221" t="e">
        <f>SUM(CA178+CA179+CA180+CA183+CA201+CA204)/(SUM(CA178+CA179+CA180+CA183+CA201+CA204)+CA237)</f>
        <v>#DIV/0!</v>
      </c>
      <c r="CB301" s="221" t="e">
        <f>SUM(CB178+CB179+CB180+CB183+CB201+CB204)/(SUM(CB178+CB179+CB180+CB183+CB201+CB204)+CB237)</f>
        <v>#DIV/0!</v>
      </c>
      <c r="CC301" s="221" t="e">
        <f>SUM(CC178+CC179+CC180+CC183+CC201+CC204)/(SUM(CC178+CC179+CC180+CC183+CC201+CC204)+CC237)</f>
        <v>#DIV/0!</v>
      </c>
      <c r="CD301" s="221" t="e">
        <f>SUM(CD178+CD179+CD180+CD183+CD201+CD204)/(SUM(CD178+CD179+CD180+CD183+CD201+CD204)+CD237)</f>
        <v>#DIV/0!</v>
      </c>
      <c r="CF301" s="221" t="e">
        <f>SUM(CF178+CF179+CF180+CF183+CF201+CF204)/(SUM(CF178+CF179+CF180+CF183+CF201+CF204)+CF237)</f>
        <v>#DIV/0!</v>
      </c>
      <c r="CG301" s="221" t="e">
        <f>SUM(CG178+CG179+CG180+CG183+CG201+CG204)/(SUM(CG178+CG179+CG180+CG183+CG201+CG204)+CG237)</f>
        <v>#DIV/0!</v>
      </c>
      <c r="CH301" s="221" t="e">
        <f>SUM(CH178+CH179+CH180+CH183+CH201+CH204)/(SUM(CH178+CH179+CH180+CH183+CH201+CH204)+CH237)</f>
        <v>#DIV/0!</v>
      </c>
      <c r="CI301" s="221" t="e">
        <f>SUM(CI178+CI179+CI180+CI183+CI201+CI204)/(SUM(CI178+CI179+CI180+CI183+CI201+CI204)+CI237)</f>
        <v>#DIV/0!</v>
      </c>
      <c r="CK301" s="221" t="e">
        <f>SUM(CK178+CK179+CK180+CK183+CK201+CK204)/(SUM(CK178+CK179+CK180+CK183+CK201+CK204)+CK237)</f>
        <v>#DIV/0!</v>
      </c>
      <c r="CL301" s="221" t="e">
        <f>SUM(CL178+CL179+CL180+CL183+CL201+CL204)/(SUM(CL178+CL179+CL180+CL183+CL201+CL204)+CL237)</f>
        <v>#DIV/0!</v>
      </c>
      <c r="CM301" s="221" t="e">
        <f>SUM(CM178+CM179+CM180+CM183+CM201+CM204)/(SUM(CM178+CM179+CM180+CM183+CM201+CM204)+CM237)</f>
        <v>#DIV/0!</v>
      </c>
      <c r="CN301" s="221" t="e">
        <f>SUM(CN178+CN179+CN180+CN183+CN201+CN204)/(SUM(CN178+CN179+CN180+CN183+CN201+CN204)+CN237)</f>
        <v>#DIV/0!</v>
      </c>
      <c r="CP301" s="221" t="e">
        <f>SUM(CP178+CP179+CP180+CP183+CP201+CP204)/(SUM(CP178+CP179+CP180+CP183+CP201+CP204)+CP237)</f>
        <v>#DIV/0!</v>
      </c>
      <c r="CQ301" s="221" t="e">
        <f>SUM(CQ178+CQ179+CQ180+CQ183+CQ201+CQ204)/(SUM(CQ178+CQ179+CQ180+CQ183+CQ201+CQ204)+CQ237)</f>
        <v>#DIV/0!</v>
      </c>
      <c r="CR301" s="221" t="e">
        <f>SUM(CR178+CR179+CR180+CR183+CR201+CR204)/(SUM(CR178+CR179+CR180+CR183+CR201+CR204)+CR237)</f>
        <v>#DIV/0!</v>
      </c>
      <c r="CS301" s="221" t="e">
        <f>SUM(CS178+CS179+CS180+CS183+CS201+CS204)/(SUM(CS178+CS179+CS180+CS183+CS201+CS204)+CS237)</f>
        <v>#DIV/0!</v>
      </c>
      <c r="CU301" s="221" t="e">
        <f>SUM(CU178+CU179+CU180+CU183+CU201+CU204)/(SUM(CU178+CU179+CU180+CU183+CU201+CU204)+CU237)</f>
        <v>#DIV/0!</v>
      </c>
      <c r="CV301" s="221" t="e">
        <f>SUM(CV178+CV179+CV180+CV183+CV201+CV204)/(SUM(CV178+CV179+CV180+CV183+CV201+CV204)+CV237)</f>
        <v>#DIV/0!</v>
      </c>
      <c r="CW301" s="221" t="e">
        <f>SUM(CW178+CW179+CW180+CW183+CW201+CW204)/(SUM(CW178+CW179+CW180+CW183+CW201+CW204)+CW237)</f>
        <v>#DIV/0!</v>
      </c>
      <c r="CX301" s="221" t="e">
        <f>SUM(CX178+CX179+CX180+CX183+CX201+CX204)/(SUM(CX178+CX179+CX180+CX183+CX201+CX204)+CX237)</f>
        <v>#DIV/0!</v>
      </c>
    </row>
    <row r="302" customFormat="1" s="233">
      <c r="A302" s="224" t="n"/>
      <c r="B302" s="224" t="n"/>
      <c r="C302" s="233" t="inlineStr">
        <is>
          <t>NET DEBT / EBITDA</t>
        </is>
      </c>
      <c r="D302" s="219" t="e">
        <f>(SUM(D178,D179,D180,D183,D201,D204)-D110)/(D35*4)</f>
        <v>#DIV/0!</v>
      </c>
      <c r="E302" s="219" t="e">
        <f>(SUM(E178,E179,E180,E183,E201,E204)-E110)/(E35*4)</f>
        <v>#DIV/0!</v>
      </c>
      <c r="F302" s="219" t="e">
        <f>(SUM(F178,F179,F180,F183,F201,F204)-F110)/(F35*4)</f>
        <v>#DIV/0!</v>
      </c>
      <c r="G302" s="219" t="e">
        <f>(SUM(G178,G179,G180,G183,G201,G204)-G110)/(G35*4)</f>
        <v>#DIV/0!</v>
      </c>
      <c r="I302" s="219" t="e">
        <f>(SUM(I178,I179,I180,I183,I201,I204)-I110)/(I35*4)</f>
        <v>#DIV/0!</v>
      </c>
      <c r="J302" s="219" t="e">
        <f>(SUM(J178,J179,J180,J183,J201,J204)-J110)/(J35*4)</f>
        <v>#DIV/0!</v>
      </c>
      <c r="K302" s="219" t="e">
        <f>(SUM(K178,K179,K180,K183,K201,K204)-K110)/(K35*4)</f>
        <v>#DIV/0!</v>
      </c>
      <c r="L302" s="219" t="e">
        <f>(SUM(L178,L179,L180,L183,L201,L204)-L110)/(L35*4)</f>
        <v>#DIV/0!</v>
      </c>
      <c r="N302" s="219" t="e">
        <f>(SUM(N178,N179,N180,N183,N201,N204)-N110)/(N35*4)</f>
        <v>#DIV/0!</v>
      </c>
      <c r="O302" s="219" t="e">
        <f>(SUM(O178,O179,O180,O183,O201,O204)-O110)/(O35*4)</f>
        <v>#DIV/0!</v>
      </c>
      <c r="P302" s="219" t="e">
        <f>(SUM(P178,P179,P180,P183,P201,P204)-P110)/(P35*4)</f>
        <v>#DIV/0!</v>
      </c>
      <c r="Q302" s="219" t="e">
        <f>(SUM(Q178,Q179,Q180,Q183,Q201,Q204)-Q110)/(Q35*4)</f>
        <v>#DIV/0!</v>
      </c>
      <c r="S302" s="219" t="e">
        <f>(SUM(S178,S179,S180,S183,S201,S204)-S110)/(S35*4)</f>
        <v>#DIV/0!</v>
      </c>
      <c r="T302" s="219" t="e">
        <f>(SUM(T178,T179,T180,T183,T201,T204)-T110)/(T35*4)</f>
        <v>#DIV/0!</v>
      </c>
      <c r="U302" s="219" t="e">
        <f>(SUM(U178,U179,U180,U183,U201,U204)-U110)/(U35*4)</f>
        <v>#DIV/0!</v>
      </c>
      <c r="V302" s="219" t="e">
        <f>(SUM(V178,V179,V180,V183,V201,V204)-V110)/(V35*4)</f>
        <v>#DIV/0!</v>
      </c>
      <c r="X302" s="219" t="e">
        <f>(SUM(X178,X179,X180,X183,X201,X204)-X110)/(X35*4)</f>
        <v>#DIV/0!</v>
      </c>
      <c r="Y302" s="219" t="e">
        <f>(SUM(Y178,Y179,Y180,Y183,Y201,Y204)-Y110)/(Y35*4)</f>
        <v>#DIV/0!</v>
      </c>
      <c r="Z302" s="219" t="e">
        <f>(SUM(Z178,Z179,Z180,Z183,Z201,Z204)-Z110)/(Z35*4)</f>
        <v>#DIV/0!</v>
      </c>
      <c r="AA302" s="219" t="e">
        <f>(SUM(AA178,AA179,AA180,AA183,AA201,AA204)-AA110)/(AA35*4)</f>
        <v>#DIV/0!</v>
      </c>
      <c r="AC302" s="219" t="e">
        <f>(SUM(AC178,AC179,AC180,AC183,AC201,AC204)-AC110)/(AC35*4)</f>
        <v>#DIV/0!</v>
      </c>
      <c r="AD302" s="219" t="e">
        <f>(SUM(AD178,AD179,AD180,AD183,AD201,AD204)-AD110)/(AD35*4)</f>
        <v>#DIV/0!</v>
      </c>
      <c r="AE302" s="219" t="e">
        <f>(SUM(AE178,AE179,AE180,AE183,AE201,AE204)-AE110)/(AE35*4)</f>
        <v>#DIV/0!</v>
      </c>
      <c r="AF302" s="219" t="e">
        <f>(SUM(AF178,AF179,AF180,AF183,AF201,AF204)-AF110)/(AF35*4)</f>
        <v>#DIV/0!</v>
      </c>
      <c r="AH302" s="219" t="e">
        <f>(SUM(AH178,AH179,AH180,AH183,AH201,AH204)-AH110)/(AH35*4)</f>
        <v>#DIV/0!</v>
      </c>
      <c r="AI302" s="219" t="e">
        <f>(SUM(AI178,AI179,AI180,AI183,AI201,AI204)-AI110)/(AI35*4)</f>
        <v>#DIV/0!</v>
      </c>
      <c r="AJ302" s="219" t="e">
        <f>(SUM(AJ178,AJ179,AJ180,AJ183,AJ201,AJ204)-AJ110)/(AJ35*4)</f>
        <v>#DIV/0!</v>
      </c>
      <c r="AK302" s="219" t="e">
        <f>(SUM(AK178,AK179,AK180,AK183,AK201,AK204)-AK110)/(AK35*4)</f>
        <v>#DIV/0!</v>
      </c>
      <c r="AM302" s="219" t="e">
        <f>(SUM(AM178,AM179,AM180,AM183,AM201,AM204)-AM110)/(AM35*4)</f>
        <v>#DIV/0!</v>
      </c>
      <c r="AN302" s="219" t="e">
        <f>(SUM(AN178,AN179,AN180,AN183,AN201,AN204)-AN110)/(AN35*4)</f>
        <v>#DIV/0!</v>
      </c>
      <c r="AO302" s="219" t="e">
        <f>(SUM(AO178,AO179,AO180,AO183,AO201,AO204)-AO110)/(AO35*4)</f>
        <v>#DIV/0!</v>
      </c>
      <c r="AP302" s="219" t="e">
        <f>(SUM(AP178,AP179,AP180,AP183,AP201,AP204)-AP110)/(AP35*4)</f>
        <v>#DIV/0!</v>
      </c>
      <c r="AR302" s="219" t="e">
        <f>(SUM(AR178,AR179,AR180,AR183,AR201,AR204)-AR110)/(AR35*4)</f>
        <v>#DIV/0!</v>
      </c>
      <c r="AS302" s="219" t="e">
        <f>(SUM(AS178,AS179,AS180,AS183,AS201,AS204)-AS110)/(AS35*4)</f>
        <v>#DIV/0!</v>
      </c>
      <c r="AT302" s="219" t="e">
        <f>(SUM(AT178,AT179,AT180,AT183,AT201,AT204)-AT110)/(AT35*4)</f>
        <v>#DIV/0!</v>
      </c>
      <c r="AU302" s="219" t="e">
        <f>(SUM(AU178,AU179,AU180,AU183,AU201,AU204)-AU110)/(AU35*4)</f>
        <v>#DIV/0!</v>
      </c>
      <c r="AW302" s="219" t="e">
        <f>(SUM(AW178,AW179,AW180,AW183,AW201,AW204)-AW110)/(AW35*4)</f>
        <v>#DIV/0!</v>
      </c>
      <c r="AX302" s="219" t="e">
        <f>(SUM(AX178,AX179,AX180,AX183,AX201,AX204)-AX110)/(AX35*4)</f>
        <v>#DIV/0!</v>
      </c>
      <c r="AY302" s="219" t="e">
        <f>(SUM(AY178,AY179,AY180,AY183,AY201,AY204)-AY110)/(AY35*4)</f>
        <v>#DIV/0!</v>
      </c>
      <c r="AZ302" s="219" t="e">
        <f>(SUM(AZ178,AZ179,AZ180,AZ183,AZ201,AZ204)-AZ110)/(AZ35*4)</f>
        <v>#DIV/0!</v>
      </c>
      <c r="BB302" s="219" t="e">
        <f>(SUM(BB178,BB179,BB180,BB183,BB201,BB204)-BB110)/(BB35*4)</f>
        <v>#DIV/0!</v>
      </c>
      <c r="BC302" s="219" t="e">
        <f>(SUM(BC178,BC179,BC180,BC183,BC201,BC204)-BC110)/(BC35*4)</f>
        <v>#DIV/0!</v>
      </c>
      <c r="BD302" s="219" t="e">
        <f>(SUM(BD178,BD179,BD180,BD183,BD201,BD204)-BD110)/(BD35*4)</f>
        <v>#DIV/0!</v>
      </c>
      <c r="BE302" s="219" t="e">
        <f>(SUM(BE178,BE179,BE180,BE183,BE201,BE204)-BE110)/(BE35*4)</f>
        <v>#DIV/0!</v>
      </c>
      <c r="BG302" s="219" t="e">
        <f>(SUM(BG178,BG179,BG180,BG183,BG201,BG204)-BG110)/(BG35*4)</f>
        <v>#DIV/0!</v>
      </c>
      <c r="BH302" s="219" t="e">
        <f>(SUM(BH178,BH179,BH180,BH183,BH201,BH204)-BH110)/(BH35*4)</f>
        <v>#DIV/0!</v>
      </c>
      <c r="BI302" s="219" t="e">
        <f>(SUM(BI178,BI179,BI180,BI183,BI201,BI204)-BI110)/(BI35*4)</f>
        <v>#DIV/0!</v>
      </c>
      <c r="BJ302" s="219" t="e">
        <f>(SUM(BJ178,BJ179,BJ180,BJ183,BJ201,BJ204)-BJ110)/(BJ35*4)</f>
        <v>#DIV/0!</v>
      </c>
      <c r="BL302" s="219" t="e">
        <f>(SUM(BL178,BL179,BL180,BL183,BL201,BL204)-BL110)/(BL35*4)</f>
        <v>#DIV/0!</v>
      </c>
      <c r="BM302" s="219" t="e">
        <f>(SUM(BM178,BM179,BM180,BM183,BM201,BM204)-BM110)/(BM35*4)</f>
        <v>#DIV/0!</v>
      </c>
      <c r="BN302" s="219" t="e">
        <f>(SUM(BN178,BN179,BN180,BN183,BN201,BN204)-BN110)/(BN35*4)</f>
        <v>#DIV/0!</v>
      </c>
      <c r="BO302" s="219" t="e">
        <f>(SUM(BO178,BO179,BO180,BO183,BO201,BO204)-BO110)/(BO35*4)</f>
        <v>#DIV/0!</v>
      </c>
      <c r="BQ302" s="219" t="e">
        <f>(SUM(BQ178,BQ179,BQ180,BQ183,BQ201,BQ204)-BQ110)/(BQ35*4)</f>
        <v>#DIV/0!</v>
      </c>
      <c r="BR302" s="219" t="e">
        <f>(SUM(BR178,BR179,BR180,BR183,BR201,BR204)-BR110)/(BR35*4)</f>
        <v>#DIV/0!</v>
      </c>
      <c r="BS302" s="219" t="e">
        <f>(SUM(BS178,BS179,BS180,BS183,BS201,BS204)-BS110)/(BS35*4)</f>
        <v>#DIV/0!</v>
      </c>
      <c r="BT302" s="219" t="e">
        <f>(SUM(BT178,BT179,BT180,BT183,BT201,BT204)-BT110)/(BT35*4)</f>
        <v>#DIV/0!</v>
      </c>
      <c r="BV302" s="219" t="e">
        <f>(SUM(BV178,BV179,BV180,BV183,BV201,BV204)-BV110)/(BV35*4)</f>
        <v>#DIV/0!</v>
      </c>
      <c r="BW302" s="219" t="e">
        <f>(SUM(BW178,BW179,BW180,BW183,BW201,BW204)-BW110)/(BW35*4)</f>
        <v>#DIV/0!</v>
      </c>
      <c r="BX302" s="219" t="e">
        <f>(SUM(BX178,BX179,BX180,BX183,BX201,BX204)-BX110)/(BX35*4)</f>
        <v>#DIV/0!</v>
      </c>
      <c r="BY302" s="219" t="e">
        <f>(SUM(BY178,BY179,BY180,BY183,BY201,BY204)-BY110)/(BY35*4)</f>
        <v>#DIV/0!</v>
      </c>
      <c r="CA302" s="219" t="e">
        <f>(SUM(CA178,CA179,CA180,CA183,CA201,CA204)-CA110)/(CA35*4)</f>
        <v>#DIV/0!</v>
      </c>
      <c r="CB302" s="219" t="e">
        <f>(SUM(CB178,CB179,CB180,CB183,CB201,CB204)-CB110)/(CB35*4)</f>
        <v>#DIV/0!</v>
      </c>
      <c r="CC302" s="219" t="e">
        <f>(SUM(CC178,CC179,CC180,CC183,CC201,CC204)-CC110)/(CC35*4)</f>
        <v>#DIV/0!</v>
      </c>
      <c r="CD302" s="219" t="e">
        <f>(SUM(CD178,CD179,CD180,CD183,CD201,CD204)-CD110)/(CD35*4)</f>
        <v>#DIV/0!</v>
      </c>
      <c r="CF302" s="219" t="e">
        <f>(SUM(CF178,CF179,CF180,CF183,CF201,CF204)-CF110)/(CF35*4)</f>
        <v>#DIV/0!</v>
      </c>
      <c r="CG302" s="219" t="e">
        <f>(SUM(CG178,CG179,CG180,CG183,CG201,CG204)-CG110)/(CG35*4)</f>
        <v>#DIV/0!</v>
      </c>
      <c r="CH302" s="219" t="e">
        <f>(SUM(CH178,CH179,CH180,CH183,CH201,CH204)-CH110)/(CH35*4)</f>
        <v>#DIV/0!</v>
      </c>
      <c r="CI302" s="219" t="e">
        <f>(SUM(CI178,CI179,CI180,CI183,CI201,CI204)-CI110)/(CI35*4)</f>
        <v>#DIV/0!</v>
      </c>
      <c r="CK302" s="219" t="e">
        <f>(SUM(CK178,CK179,CK180,CK183,CK201,CK204)-CK110)/(CK35*4)</f>
        <v>#DIV/0!</v>
      </c>
      <c r="CL302" s="219" t="e">
        <f>(SUM(CL178,CL179,CL180,CL183,CL201,CL204)-CL110)/(CL35*4)</f>
        <v>#DIV/0!</v>
      </c>
      <c r="CM302" s="219" t="e">
        <f>(SUM(CM178,CM179,CM180,CM183,CM201,CM204)-CM110)/(CM35*4)</f>
        <v>#DIV/0!</v>
      </c>
      <c r="CN302" s="219" t="e">
        <f>(SUM(CN178,CN179,CN180,CN183,CN201,CN204)-CN110)/(CN35*4)</f>
        <v>#DIV/0!</v>
      </c>
      <c r="CP302" s="219" t="e">
        <f>(SUM(CP178,CP179,CP180,CP183,CP201,CP204)-CP110)/(CP35*4)</f>
        <v>#DIV/0!</v>
      </c>
      <c r="CQ302" s="219" t="e">
        <f>(SUM(CQ178,CQ179,CQ180,CQ183,CQ201,CQ204)-CQ110)/(CQ35*4)</f>
        <v>#DIV/0!</v>
      </c>
      <c r="CR302" s="219" t="e">
        <f>(SUM(CR178,CR179,CR180,CR183,CR201,CR204)-CR110)/(CR35*4)</f>
        <v>#DIV/0!</v>
      </c>
      <c r="CS302" s="219" t="e">
        <f>(SUM(CS178,CS179,CS180,CS183,CS201,CS204)-CS110)/(CS35*4)</f>
        <v>#DIV/0!</v>
      </c>
      <c r="CU302" s="219" t="e">
        <f>(SUM(CU178,CU179,CU180,CU183,CU201,CU204)-CU110)/(CU35*4)</f>
        <v>#DIV/0!</v>
      </c>
      <c r="CV302" s="219" t="e">
        <f>(SUM(CV178,CV179,CV180,CV183,CV201,CV204)-CV110)/(CV35*4)</f>
        <v>#DIV/0!</v>
      </c>
      <c r="CW302" s="219" t="e">
        <f>(SUM(CW178,CW179,CW180,CW183,CW201,CW204)-CW110)/(CW35*4)</f>
        <v>#DIV/0!</v>
      </c>
      <c r="CX302" s="219" t="e">
        <f>(SUM(CX178,CX179,CX180,CX183,CX201,CX204)-CX110)/(CX35*4)</f>
        <v>#DIV/0!</v>
      </c>
    </row>
    <row r="303" customFormat="1" s="233">
      <c r="A303" s="224" t="n"/>
      <c r="B303" s="224" t="n"/>
      <c r="C303" s="237" t="inlineStr">
        <is>
          <t>NET DEBT (EX IFRS 16.) / EBITDA</t>
        </is>
      </c>
      <c r="D303" s="219" t="e">
        <f>(SUM(D178,D179,D183,D204)-D110)/(D35*4)</f>
        <v>#DIV/0!</v>
      </c>
      <c r="E303" s="219" t="e">
        <f>(SUM(E178,E179,E183,E204)-E110)/(E35*4)</f>
        <v>#DIV/0!</v>
      </c>
      <c r="F303" s="219" t="e">
        <f>(SUM(F178,F179,F183,F204)-F110)/(F35*4)</f>
        <v>#DIV/0!</v>
      </c>
      <c r="G303" s="219" t="e">
        <f>(SUM(G178,G179,G183,G204)-G110)/(G35*4)</f>
        <v>#DIV/0!</v>
      </c>
      <c r="I303" s="219" t="e">
        <f>(SUM(I178,I179,I183,I204)-I110)/(I35*4)</f>
        <v>#DIV/0!</v>
      </c>
      <c r="J303" s="219" t="e">
        <f>(SUM(J178,J179,J183,J204)-J110)/(J35*4)</f>
        <v>#DIV/0!</v>
      </c>
      <c r="K303" s="219" t="e">
        <f>(SUM(K178,K179,K183,K204)-K110)/(K35*4)</f>
        <v>#DIV/0!</v>
      </c>
      <c r="L303" s="219" t="e">
        <f>(SUM(L178,L179,L183,L204)-L110)/(L35*4)</f>
        <v>#DIV/0!</v>
      </c>
      <c r="N303" s="219" t="e">
        <f>(SUM(N178,N179,N183,N204)-N110)/(N35*4)</f>
        <v>#DIV/0!</v>
      </c>
      <c r="O303" s="219" t="e">
        <f>(SUM(O178,O179,O183,O204)-O110)/(O35*4)</f>
        <v>#DIV/0!</v>
      </c>
      <c r="P303" s="219" t="e">
        <f>(SUM(P178,P179,P183,P204)-P110)/(P35*4)</f>
        <v>#DIV/0!</v>
      </c>
      <c r="Q303" s="219" t="e">
        <f>(SUM(Q178,Q179,Q183,Q204)-Q110)/(Q35*4)</f>
        <v>#DIV/0!</v>
      </c>
      <c r="S303" s="219" t="e">
        <f>(SUM(S178,S179,S183,S204)-S110)/(S35*4)</f>
        <v>#DIV/0!</v>
      </c>
      <c r="T303" s="219" t="e">
        <f>(SUM(T178,T179,T183,T204)-T110)/(T35*4)</f>
        <v>#DIV/0!</v>
      </c>
      <c r="U303" s="219" t="e">
        <f>(SUM(U178,U179,U183,U204)-U110)/(U35*4)</f>
        <v>#DIV/0!</v>
      </c>
      <c r="V303" s="219" t="e">
        <f>(SUM(V178,V179,V183,V204)-V110)/(V35*4)</f>
        <v>#DIV/0!</v>
      </c>
      <c r="X303" s="219" t="e">
        <f>(SUM(X178,X179,X183,X204)-X110)/(X35*4)</f>
        <v>#DIV/0!</v>
      </c>
      <c r="Y303" s="219" t="e">
        <f>(SUM(Y178,Y179,Y183,Y204)-Y110)/(Y35*4)</f>
        <v>#DIV/0!</v>
      </c>
      <c r="Z303" s="219" t="e">
        <f>(SUM(Z178,Z179,Z183,Z204)-Z110)/(Z35*4)</f>
        <v>#DIV/0!</v>
      </c>
      <c r="AA303" s="219" t="e">
        <f>(SUM(AA178,AA179,AA183,AA204)-AA110)/(AA35*4)</f>
        <v>#DIV/0!</v>
      </c>
      <c r="AC303" s="219" t="e">
        <f>(SUM(AC178,AC179,AC183,AC204)-AC110)/(AC35*4)</f>
        <v>#DIV/0!</v>
      </c>
      <c r="AD303" s="219" t="e">
        <f>(SUM(AD178,AD179,AD183,AD204)-AD110)/(AD35*4)</f>
        <v>#DIV/0!</v>
      </c>
      <c r="AE303" s="219" t="e">
        <f>(SUM(AE178,AE179,AE183,AE204)-AE110)/(AE35*4)</f>
        <v>#DIV/0!</v>
      </c>
      <c r="AF303" s="219" t="e">
        <f>(SUM(AF178,AF179,AF183,AF204)-AF110)/(AF35*4)</f>
        <v>#DIV/0!</v>
      </c>
      <c r="AH303" s="219" t="e">
        <f>(SUM(AH178,AH179,AH183,AH204)-AH110)/(AH35*4)</f>
        <v>#DIV/0!</v>
      </c>
      <c r="AI303" s="219" t="e">
        <f>(SUM(AI178,AI179,AI183,AI204)-AI110)/(AI35*4)</f>
        <v>#DIV/0!</v>
      </c>
      <c r="AJ303" s="219" t="e">
        <f>(SUM(AJ178,AJ179,AJ183,AJ204)-AJ110)/(AJ35*4)</f>
        <v>#DIV/0!</v>
      </c>
      <c r="AK303" s="219" t="e">
        <f>(SUM(AK178,AK179,AK183,AK204)-AK110)/(AK35*4)</f>
        <v>#DIV/0!</v>
      </c>
      <c r="AM303" s="219" t="e">
        <f>(SUM(AM178,AM179,AM183,AM204)-AM110)/(AM35*4)</f>
        <v>#DIV/0!</v>
      </c>
      <c r="AN303" s="219" t="e">
        <f>(SUM(AN178,AN179,AN183,AN204)-AN110)/(AN35*4)</f>
        <v>#DIV/0!</v>
      </c>
      <c r="AO303" s="219" t="e">
        <f>(SUM(AO178,AO179,AO183,AO204)-AO110)/(AO35*4)</f>
        <v>#DIV/0!</v>
      </c>
      <c r="AP303" s="219" t="e">
        <f>(SUM(AP178,AP179,AP183,AP204)-AP110)/(AP35*4)</f>
        <v>#DIV/0!</v>
      </c>
      <c r="AR303" s="219" t="e">
        <f>(SUM(AR178,AR179,AR183,AR204)-AR110)/(AR35*4)</f>
        <v>#DIV/0!</v>
      </c>
      <c r="AS303" s="219" t="e">
        <f>(SUM(AS178,AS179,AS183,AS204)-AS110)/(AS35*4)</f>
        <v>#DIV/0!</v>
      </c>
      <c r="AT303" s="219" t="e">
        <f>(SUM(AT178,AT179,AT183,AT204)-AT110)/(AT35*4)</f>
        <v>#DIV/0!</v>
      </c>
      <c r="AU303" s="219" t="e">
        <f>(SUM(AU178,AU179,AU183,AU204)-AU110)/(AU35*4)</f>
        <v>#DIV/0!</v>
      </c>
      <c r="AW303" s="219" t="e">
        <f>(SUM(AW178,AW179,AW183,AW204)-AW110)/(AW35*4)</f>
        <v>#DIV/0!</v>
      </c>
      <c r="AX303" s="219" t="e">
        <f>(SUM(AX178,AX179,AX183,AX204)-AX110)/(AX35*4)</f>
        <v>#DIV/0!</v>
      </c>
      <c r="AY303" s="219" t="e">
        <f>(SUM(AY178,AY179,AY183,AY204)-AY110)/(AY35*4)</f>
        <v>#DIV/0!</v>
      </c>
      <c r="AZ303" s="219" t="e">
        <f>(SUM(AZ178,AZ179,AZ183,AZ204)-AZ110)/(AZ35*4)</f>
        <v>#DIV/0!</v>
      </c>
      <c r="BB303" s="219" t="e">
        <f>(SUM(BB178,BB179,BB183,BB204)-BB110)/(BB35*4)</f>
        <v>#DIV/0!</v>
      </c>
      <c r="BC303" s="219" t="e">
        <f>(SUM(BC178,BC179,BC183,BC204)-BC110)/(BC35*4)</f>
        <v>#DIV/0!</v>
      </c>
      <c r="BD303" s="219" t="e">
        <f>(SUM(BD178,BD179,BD183,BD204)-BD110)/(BD35*4)</f>
        <v>#DIV/0!</v>
      </c>
      <c r="BE303" s="219" t="e">
        <f>(SUM(BE178,BE179,BE183,BE204)-BE110)/(BE35*4)</f>
        <v>#DIV/0!</v>
      </c>
      <c r="BG303" s="219" t="e">
        <f>(SUM(BG178,BG179,BG183,BG204)-BG110)/(BG35*4)</f>
        <v>#DIV/0!</v>
      </c>
      <c r="BH303" s="219" t="e">
        <f>(SUM(BH178,BH179,BH183,BH204)-BH110)/(BH35*4)</f>
        <v>#DIV/0!</v>
      </c>
      <c r="BI303" s="219" t="e">
        <f>(SUM(BI178,BI179,BI183,BI204)-BI110)/(BI35*4)</f>
        <v>#DIV/0!</v>
      </c>
      <c r="BJ303" s="219" t="e">
        <f>(SUM(BJ178,BJ179,BJ183,BJ204)-BJ110)/(BJ35*4)</f>
        <v>#DIV/0!</v>
      </c>
      <c r="BL303" s="219" t="e">
        <f>(SUM(BL178,BL179,BL183,BL204)-BL110)/(BL35*4)</f>
        <v>#DIV/0!</v>
      </c>
      <c r="BM303" s="219" t="e">
        <f>(SUM(BM178,BM179,BM183,BM204)-BM110)/(BM35*4)</f>
        <v>#DIV/0!</v>
      </c>
      <c r="BN303" s="219" t="e">
        <f>(SUM(BN178,BN179,BN183,BN204)-BN110)/(BN35*4)</f>
        <v>#DIV/0!</v>
      </c>
      <c r="BO303" s="219" t="e">
        <f>(SUM(BO178,BO179,BO183,BO204)-BO110)/(BO35*4)</f>
        <v>#DIV/0!</v>
      </c>
      <c r="BQ303" s="219" t="e">
        <f>(SUM(BQ178,BQ179,BQ183,BQ204)-BQ110)/(BQ35*4)</f>
        <v>#DIV/0!</v>
      </c>
      <c r="BR303" s="219" t="e">
        <f>(SUM(BR178,BR179,BR183,BR204)-BR110)/(BR35*4)</f>
        <v>#DIV/0!</v>
      </c>
      <c r="BS303" s="219" t="e">
        <f>(SUM(BS178,BS179,BS183,BS204)-BS110)/(BS35*4)</f>
        <v>#DIV/0!</v>
      </c>
      <c r="BT303" s="219" t="e">
        <f>(SUM(BT178,BT179,BT183,BT204)-BT110)/(BT35*4)</f>
        <v>#DIV/0!</v>
      </c>
      <c r="BV303" s="219" t="e">
        <f>(SUM(BV178,BV179,BV183,BV204)-BV110)/(BV35*4)</f>
        <v>#DIV/0!</v>
      </c>
      <c r="BW303" s="219" t="e">
        <f>(SUM(BW178,BW179,BW183,BW204)-BW110)/(BW35*4)</f>
        <v>#DIV/0!</v>
      </c>
      <c r="BX303" s="219" t="e">
        <f>(SUM(BX178,BX179,BX183,BX204)-BX110)/(BX35*4)</f>
        <v>#DIV/0!</v>
      </c>
      <c r="BY303" s="219" t="e">
        <f>(SUM(BY178,BY179,BY183,BY204)-BY110)/(BY35*4)</f>
        <v>#DIV/0!</v>
      </c>
      <c r="CA303" s="219" t="e">
        <f>(SUM(CA178,CA179,CA183,CA204)-CA110)/(CA35*4)</f>
        <v>#DIV/0!</v>
      </c>
      <c r="CB303" s="219" t="e">
        <f>(SUM(CB178,CB179,CB183,CB204)-CB110)/(CB35*4)</f>
        <v>#DIV/0!</v>
      </c>
      <c r="CC303" s="219" t="e">
        <f>(SUM(CC178,CC179,CC183,CC204)-CC110)/(CC35*4)</f>
        <v>#DIV/0!</v>
      </c>
      <c r="CD303" s="219" t="e">
        <f>(SUM(CD178,CD179,CD183,CD204)-CD110)/(CD35*4)</f>
        <v>#DIV/0!</v>
      </c>
      <c r="CF303" s="219" t="e">
        <f>(SUM(CF178,CF179,CF183,CF204)-CF110)/(CF35*4)</f>
        <v>#DIV/0!</v>
      </c>
      <c r="CG303" s="219" t="e">
        <f>(SUM(CG178,CG179,CG183,CG204)-CG110)/(CG35*4)</f>
        <v>#DIV/0!</v>
      </c>
      <c r="CH303" s="219" t="e">
        <f>(SUM(CH178,CH179,CH183,CH204)-CH110)/(CH35*4)</f>
        <v>#DIV/0!</v>
      </c>
      <c r="CI303" s="219" t="e">
        <f>(SUM(CI178,CI179,CI183,CI204)-CI110)/(CI35*4)</f>
        <v>#DIV/0!</v>
      </c>
      <c r="CK303" s="219" t="e">
        <f>(SUM(CK178,CK179,CK183,CK204)-CK110)/(CK35*4)</f>
        <v>#DIV/0!</v>
      </c>
      <c r="CL303" s="219" t="e">
        <f>(SUM(CL178,CL179,CL183,CL204)-CL110)/(CL35*4)</f>
        <v>#DIV/0!</v>
      </c>
      <c r="CM303" s="219" t="e">
        <f>(SUM(CM178,CM179,CM183,CM204)-CM110)/(CM35*4)</f>
        <v>#DIV/0!</v>
      </c>
      <c r="CN303" s="219" t="e">
        <f>(SUM(CN178,CN179,CN183,CN204)-CN110)/(CN35*4)</f>
        <v>#DIV/0!</v>
      </c>
      <c r="CP303" s="219" t="e">
        <f>(SUM(CP178,CP179,CP183,CP204)-CP110)/(CP35*4)</f>
        <v>#DIV/0!</v>
      </c>
      <c r="CQ303" s="219" t="e">
        <f>(SUM(CQ178,CQ179,CQ183,CQ204)-CQ110)/(CQ35*4)</f>
        <v>#DIV/0!</v>
      </c>
      <c r="CR303" s="219" t="e">
        <f>(SUM(CR178,CR179,CR183,CR204)-CR110)/(CR35*4)</f>
        <v>#DIV/0!</v>
      </c>
      <c r="CS303" s="219" t="e">
        <f>(SUM(CS178,CS179,CS183,CS204)-CS110)/(CS35*4)</f>
        <v>#DIV/0!</v>
      </c>
      <c r="CU303" s="219" t="e">
        <f>(SUM(CU178,CU179,CU183,CU204)-CU110)/(CU35*4)</f>
        <v>#DIV/0!</v>
      </c>
      <c r="CV303" s="219" t="e">
        <f>(SUM(CV178,CV179,CV183,CV204)-CV110)/(CV35*4)</f>
        <v>#DIV/0!</v>
      </c>
      <c r="CW303" s="219" t="e">
        <f>(SUM(CW178,CW179,CW183,CW204)-CW110)/(CW35*4)</f>
        <v>#DIV/0!</v>
      </c>
      <c r="CX303" s="219" t="e">
        <f>(SUM(CX178,CX179,CX183,CX204)-CX110)/(CX35*4)</f>
        <v>#DIV/0!</v>
      </c>
    </row>
    <row r="304" customFormat="1" s="233">
      <c r="A304" s="224" t="n"/>
      <c r="B304" s="224" t="n"/>
      <c r="C304" s="233" t="inlineStr">
        <is>
          <t>INTEREST COVERAGE</t>
        </is>
      </c>
      <c r="D304" s="219" t="e">
        <f>D39/-D40</f>
        <v>#DIV/0!</v>
      </c>
      <c r="E304" s="219" t="e">
        <f>E39/-E40</f>
        <v>#DIV/0!</v>
      </c>
      <c r="F304" s="219" t="e">
        <f>F39/-F40</f>
        <v>#DIV/0!</v>
      </c>
      <c r="G304" s="219" t="e">
        <f>G39/-G40</f>
        <v>#DIV/0!</v>
      </c>
      <c r="I304" s="219" t="e">
        <f>I39/-I40</f>
        <v>#DIV/0!</v>
      </c>
      <c r="J304" s="219" t="e">
        <f>J39/-J40</f>
        <v>#DIV/0!</v>
      </c>
      <c r="K304" s="219" t="e">
        <f>K39/-K40</f>
        <v>#DIV/0!</v>
      </c>
      <c r="L304" s="219" t="e">
        <f>L39/-L40</f>
        <v>#DIV/0!</v>
      </c>
      <c r="N304" s="219" t="e">
        <f>N39/-N40</f>
        <v>#DIV/0!</v>
      </c>
      <c r="O304" s="219" t="e">
        <f>O39/-O40</f>
        <v>#DIV/0!</v>
      </c>
      <c r="P304" s="219" t="e">
        <f>P39/-P40</f>
        <v>#DIV/0!</v>
      </c>
      <c r="Q304" s="219" t="e">
        <f>Q39/-Q40</f>
        <v>#DIV/0!</v>
      </c>
      <c r="S304" s="219" t="e">
        <f>S39/-S40</f>
        <v>#DIV/0!</v>
      </c>
      <c r="T304" s="219" t="e">
        <f>T39/-T40</f>
        <v>#DIV/0!</v>
      </c>
      <c r="U304" s="219" t="e">
        <f>U39/-U40</f>
        <v>#DIV/0!</v>
      </c>
      <c r="V304" s="219" t="e">
        <f>V39/-V40</f>
        <v>#DIV/0!</v>
      </c>
      <c r="X304" s="219" t="e">
        <f>X39/-X40</f>
        <v>#DIV/0!</v>
      </c>
      <c r="Y304" s="219" t="e">
        <f>Y39/-Y40</f>
        <v>#DIV/0!</v>
      </c>
      <c r="Z304" s="219" t="e">
        <f>Z39/-Z40</f>
        <v>#DIV/0!</v>
      </c>
      <c r="AA304" s="219" t="e">
        <f>AA39/-AA40</f>
        <v>#DIV/0!</v>
      </c>
      <c r="AC304" s="219" t="e">
        <f>AC39/-AC40</f>
        <v>#DIV/0!</v>
      </c>
      <c r="AD304" s="219" t="e">
        <f>AD39/-AD40</f>
        <v>#DIV/0!</v>
      </c>
      <c r="AE304" s="219" t="e">
        <f>AE39/-AE40</f>
        <v>#DIV/0!</v>
      </c>
      <c r="AF304" s="219" t="e">
        <f>AF39/-AF40</f>
        <v>#DIV/0!</v>
      </c>
      <c r="AH304" s="219" t="e">
        <f>AH39/-AH40</f>
        <v>#DIV/0!</v>
      </c>
      <c r="AI304" s="219" t="e">
        <f>AI39/-AI40</f>
        <v>#DIV/0!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 t="e">
        <f>SUM(D110,D111,D115,D119,D120,D121)/SUM(D164,D168,D170,D171)</f>
        <v>#DIV/0!</v>
      </c>
      <c r="E307" s="219" t="e">
        <f>SUM(E110,E111,E115,E119,E120,E121)/SUM(E164,E168,E170,E171)</f>
        <v>#DIV/0!</v>
      </c>
      <c r="F307" s="219" t="e">
        <f>SUM(F110,F111,F115,F119,F120,F121)/SUM(F164,F168,F170,F171)</f>
        <v>#DIV/0!</v>
      </c>
      <c r="G307" s="219" t="e">
        <f>SUM(G110,G111,G115,G119,G120,G121)/SUM(G164,G168,G170,G171)</f>
        <v>#DIV/0!</v>
      </c>
      <c r="I307" s="219" t="e">
        <f>SUM(I110,I111,I115,I119,I120,I121)/SUM(I164,I168,I170,I171)</f>
        <v>#DIV/0!</v>
      </c>
      <c r="J307" s="219" t="e">
        <f>SUM(J110,J111,J115,J119,J120,J121)/SUM(J164,J168,J170,J171)</f>
        <v>#DIV/0!</v>
      </c>
      <c r="K307" s="219" t="e">
        <f>SUM(K110,K111,K115,K119,K120,K121)/SUM(K164,K168,K170,K171)</f>
        <v>#DIV/0!</v>
      </c>
      <c r="L307" s="219" t="e">
        <f>SUM(L110,L111,L115,L119,L120,L121)/SUM(L164,L168,L170,L171)</f>
        <v>#DIV/0!</v>
      </c>
      <c r="N307" s="219" t="e">
        <f>SUM(N110,N111,N115,N119,N120,N121)/SUM(N164,N168,N170,N171)</f>
        <v>#DIV/0!</v>
      </c>
      <c r="O307" s="219" t="e">
        <f>SUM(O110,O111,O115,O119,O120,O121)/SUM(O164,O168,O170,O171)</f>
        <v>#DIV/0!</v>
      </c>
      <c r="P307" s="219" t="e">
        <f>SUM(P110,P111,P115,P119,P120,P121)/SUM(P164,P168,P170,P171)</f>
        <v>#DIV/0!</v>
      </c>
      <c r="Q307" s="219" t="e">
        <f>SUM(Q110,Q111,Q115,Q119,Q120,Q121)/SUM(Q164,Q168,Q170,Q171)</f>
        <v>#DIV/0!</v>
      </c>
      <c r="S307" s="219" t="e">
        <f>SUM(S110,S111,S115,S119,S120,S121)/SUM(S164,S168,S170,S171)</f>
        <v>#DIV/0!</v>
      </c>
      <c r="T307" s="219" t="e">
        <f>SUM(T110,T111,T115,T119,T120,T121)/SUM(T164,T168,T170,T171)</f>
        <v>#DIV/0!</v>
      </c>
      <c r="U307" s="219" t="e">
        <f>SUM(U110,U111,U115,U119,U120,U121)/SUM(U164,U168,U170,U171)</f>
        <v>#DIV/0!</v>
      </c>
      <c r="V307" s="219" t="e">
        <f>SUM(V110,V111,V115,V119,V120,V121)/SUM(V164,V168,V170,V171)</f>
        <v>#DIV/0!</v>
      </c>
      <c r="X307" s="219" t="e">
        <f>SUM(X110,X111,X115,X119,X120,X121)/SUM(X164,X168,X170,X171)</f>
        <v>#DIV/0!</v>
      </c>
      <c r="Y307" s="219" t="e">
        <f>SUM(Y110,Y111,Y115,Y119,Y120,Y121)/SUM(Y164,Y168,Y170,Y171)</f>
        <v>#DIV/0!</v>
      </c>
      <c r="Z307" s="219" t="e">
        <f>SUM(Z110,Z111,Z115,Z119,Z120,Z121)/SUM(Z164,Z168,Z170,Z171)</f>
        <v>#DIV/0!</v>
      </c>
      <c r="AA307" s="219" t="e">
        <f>SUM(AA110,AA111,AA115,AA119,AA120,AA121)/SUM(AA164,AA168,AA170,AA171)</f>
        <v>#DIV/0!</v>
      </c>
      <c r="AC307" s="219" t="e">
        <f>SUM(AC110,AC111,AC115,AC119,AC120,AC121)/SUM(AC164,AC168,AC170,AC171)</f>
        <v>#DIV/0!</v>
      </c>
      <c r="AD307" s="219" t="e">
        <f>SUM(AD110,AD111,AD115,AD119,AD120,AD121)/SUM(AD164,AD168,AD170,AD171)</f>
        <v>#DIV/0!</v>
      </c>
      <c r="AE307" s="219" t="e">
        <f>SUM(AE110,AE111,AE115,AE119,AE120,AE121)/SUM(AE164,AE168,AE170,AE171)</f>
        <v>#DIV/0!</v>
      </c>
      <c r="AF307" s="219" t="e">
        <f>SUM(AF110,AF111,AF115,AF119,AF120,AF121)/SUM(AF164,AF168,AF170,AF171)</f>
        <v>#DIV/0!</v>
      </c>
      <c r="AH307" s="219" t="e">
        <f>SUM(AH110,AH111,AH115,AH119,AH120,AH121)/SUM(AH164,AH168,AH170,AH171)</f>
        <v>#DIV/0!</v>
      </c>
      <c r="AI307" s="219" t="e">
        <f>SUM(AI110,AI111,AI115,AI119,AI120,AI121)/SUM(AI164,AI168,AI170,AI171)</f>
        <v>#DIV/0!</v>
      </c>
      <c r="AJ307" s="219" t="e">
        <f>SUM(AJ110,AJ111,AJ115,AJ119,AJ120,AJ121)/SUM(AJ164,AJ168,AJ170,AJ171)</f>
        <v>#DIV/0!</v>
      </c>
      <c r="AK307" s="219" t="e">
        <f>SUM(AK110,AK111,AK115,AK119,AK120,AK121)/SUM(AK164,AK168,AK170,AK171)</f>
        <v>#DIV/0!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 t="e">
        <f>SUM(D110)/SUM(D164,D168,D170,D171)</f>
        <v>#DIV/0!</v>
      </c>
      <c r="E308" s="219" t="e">
        <f>SUM(E110)/SUM(E164,E168,E170,E171)</f>
        <v>#DIV/0!</v>
      </c>
      <c r="F308" s="219" t="e">
        <f>SUM(F110)/SUM(F164,F168,F170,F171)</f>
        <v>#DIV/0!</v>
      </c>
      <c r="G308" s="219" t="e">
        <f>SUM(G110)/SUM(G164,G168,G170,G171)</f>
        <v>#DIV/0!</v>
      </c>
      <c r="I308" s="219" t="e">
        <f>SUM(I110)/SUM(I164,I168,I170,I171)</f>
        <v>#DIV/0!</v>
      </c>
      <c r="J308" s="219" t="e">
        <f>SUM(J110)/SUM(J164,J168,J170,J171)</f>
        <v>#DIV/0!</v>
      </c>
      <c r="K308" s="219" t="e">
        <f>SUM(K110)/SUM(K164,K168,K170,K171)</f>
        <v>#DIV/0!</v>
      </c>
      <c r="L308" s="219" t="e">
        <f>SUM(L110)/SUM(L164,L168,L170,L171)</f>
        <v>#DIV/0!</v>
      </c>
      <c r="N308" s="219" t="e">
        <f>SUM(N110)/SUM(N164,N168,N170,N171)</f>
        <v>#DIV/0!</v>
      </c>
      <c r="O308" s="219" t="e">
        <f>SUM(O110)/SUM(O164,O168,O170,O171)</f>
        <v>#DIV/0!</v>
      </c>
      <c r="P308" s="219" t="e">
        <f>SUM(P110)/SUM(P164,P168,P170,P171)</f>
        <v>#DIV/0!</v>
      </c>
      <c r="Q308" s="219" t="e">
        <f>SUM(Q110)/SUM(Q164,Q168,Q170,Q171)</f>
        <v>#DIV/0!</v>
      </c>
      <c r="S308" s="219" t="e">
        <f>SUM(S110)/SUM(S164,S168,S170,S171)</f>
        <v>#DIV/0!</v>
      </c>
      <c r="T308" s="219" t="e">
        <f>SUM(T110)/SUM(T164,T168,T170,T171)</f>
        <v>#DIV/0!</v>
      </c>
      <c r="U308" s="219" t="e">
        <f>SUM(U110)/SUM(U164,U168,U170,U171)</f>
        <v>#DIV/0!</v>
      </c>
      <c r="V308" s="219" t="e">
        <f>SUM(V110)/SUM(V164,V168,V170,V171)</f>
        <v>#DIV/0!</v>
      </c>
      <c r="X308" s="219" t="e">
        <f>SUM(X110)/SUM(X164,X168,X170,X171)</f>
        <v>#DIV/0!</v>
      </c>
      <c r="Y308" s="219" t="e">
        <f>SUM(Y110)/SUM(Y164,Y168,Y170,Y171)</f>
        <v>#DIV/0!</v>
      </c>
      <c r="Z308" s="219" t="e">
        <f>SUM(Z110)/SUM(Z164,Z168,Z170,Z171)</f>
        <v>#DIV/0!</v>
      </c>
      <c r="AA308" s="219" t="e">
        <f>SUM(AA110)/SUM(AA164,AA168,AA170,AA171)</f>
        <v>#DIV/0!</v>
      </c>
      <c r="AC308" s="219" t="e">
        <f>SUM(AC110)/SUM(AC164,AC168,AC170,AC171)</f>
        <v>#DIV/0!</v>
      </c>
      <c r="AD308" s="219" t="e">
        <f>SUM(AD110)/SUM(AD164,AD168,AD170,AD171)</f>
        <v>#DIV/0!</v>
      </c>
      <c r="AE308" s="219" t="e">
        <f>SUM(AE110)/SUM(AE164,AE168,AE170,AE171)</f>
        <v>#DIV/0!</v>
      </c>
      <c r="AF308" s="219" t="e">
        <f>SUM(AF110)/SUM(AF164,AF168,AF170,AF171)</f>
        <v>#DIV/0!</v>
      </c>
      <c r="AH308" s="219" t="e">
        <f>SUM(AH110)/SUM(AH164,AH168,AH170,AH171)</f>
        <v>#DIV/0!</v>
      </c>
      <c r="AI308" s="219" t="e">
        <f>SUM(AI110)/SUM(AI164,AI168,AI170,AI171)</f>
        <v>#DIV/0!</v>
      </c>
      <c r="AJ308" s="219" t="e">
        <f>SUM(AJ110)/SUM(AJ164,AJ168,AJ170,AJ171)</f>
        <v>#DIV/0!</v>
      </c>
      <c r="AK308" s="219" t="e">
        <f>SUM(AK110)/SUM(AK164,AK168,AK170,AK171)</f>
        <v>#DIV/0!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 t="e">
        <f>D313/D316</f>
        <v>#DIV/0!</v>
      </c>
      <c r="E311" s="238" t="e">
        <f>E313/E316</f>
        <v>#DIV/0!</v>
      </c>
      <c r="F311" s="238" t="e">
        <f>F313/F316</f>
        <v>#DIV/0!</v>
      </c>
      <c r="G311" s="238" t="e">
        <f>G313/G316</f>
        <v>#DIV/0!</v>
      </c>
      <c r="I311" s="222" t="e">
        <f>I313/I316</f>
        <v>#DIV/0!</v>
      </c>
      <c r="J311" s="222" t="e">
        <f>J313/J316</f>
        <v>#DIV/0!</v>
      </c>
      <c r="K311" s="222" t="e">
        <f>K313/K316</f>
        <v>#DIV/0!</v>
      </c>
      <c r="L311" s="222" t="e">
        <f>L313/L316</f>
        <v>#DIV/0!</v>
      </c>
      <c r="N311" s="222" t="e">
        <f>N313/N316</f>
        <v>#DIV/0!</v>
      </c>
      <c r="O311" s="222" t="e">
        <f>O313/O316</f>
        <v>#DIV/0!</v>
      </c>
      <c r="P311" s="222" t="e">
        <f>P313/P316</f>
        <v>#DIV/0!</v>
      </c>
      <c r="Q311" s="222" t="e">
        <f>Q313/Q316</f>
        <v>#DIV/0!</v>
      </c>
      <c r="S311" s="222" t="e">
        <f>S313/S316</f>
        <v>#DIV/0!</v>
      </c>
      <c r="T311" s="222" t="e">
        <f>T313/T316</f>
        <v>#DIV/0!</v>
      </c>
      <c r="U311" s="222" t="e">
        <f>U313/U316</f>
        <v>#DIV/0!</v>
      </c>
      <c r="V311" s="222" t="e">
        <f>V313/V316</f>
        <v>#DIV/0!</v>
      </c>
      <c r="X311" s="222" t="e">
        <f>X313/X316</f>
        <v>#DIV/0!</v>
      </c>
      <c r="Y311" s="222" t="e">
        <f>Y313/Y316</f>
        <v>#DIV/0!</v>
      </c>
      <c r="Z311" s="222" t="e">
        <f>Z313/Z316</f>
        <v>#DIV/0!</v>
      </c>
      <c r="AA311" s="222" t="e">
        <f>AA313/AA316</f>
        <v>#DIV/0!</v>
      </c>
      <c r="AC311" s="222" t="e">
        <f>AC313/AC316</f>
        <v>#DIV/0!</v>
      </c>
      <c r="AD311" s="222" t="e">
        <f>AD313/AD316</f>
        <v>#DIV/0!</v>
      </c>
      <c r="AE311" s="222" t="e">
        <f>AE313/AE316</f>
        <v>#DIV/0!</v>
      </c>
      <c r="AF311" s="222" t="e">
        <f>AF313/AF316</f>
        <v>#DIV/0!</v>
      </c>
      <c r="AH311" s="222" t="e">
        <f>AH313/AH316</f>
        <v>#DIV/0!</v>
      </c>
      <c r="AI311" s="222" t="e">
        <f>AI313/AI316</f>
        <v>#DIV/0!</v>
      </c>
      <c r="AJ311" s="222" t="e">
        <f>AJ313/AJ316</f>
        <v>#DIV/0!</v>
      </c>
      <c r="AK311" s="222" t="e">
        <f>AK313/AK316</f>
        <v>#DIV/0!</v>
      </c>
      <c r="AM311" s="222" t="e">
        <f>AM313/AM316</f>
        <v>#DIV/0!</v>
      </c>
      <c r="AN311" s="222" t="e">
        <f>AN313/AN316</f>
        <v>#DIV/0!</v>
      </c>
      <c r="AO311" s="222" t="e">
        <f>AO313/AO316</f>
        <v>#DIV/0!</v>
      </c>
      <c r="AP311" s="222" t="e">
        <f>AP313/AP316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 t="e">
        <f>D313/D317</f>
        <v>#DIV/0!</v>
      </c>
      <c r="E312" s="238" t="e">
        <f>E313/E317</f>
        <v>#DIV/0!</v>
      </c>
      <c r="F312" s="238" t="e">
        <f>F313/F317</f>
        <v>#DIV/0!</v>
      </c>
      <c r="G312" s="238" t="e">
        <f>G313/G317</f>
        <v>#DIV/0!</v>
      </c>
      <c r="I312" s="222" t="e">
        <f>I313/I317</f>
        <v>#DIV/0!</v>
      </c>
      <c r="J312" s="222" t="e">
        <f>J313/J317</f>
        <v>#DIV/0!</v>
      </c>
      <c r="K312" s="222" t="e">
        <f>K313/K317</f>
        <v>#DIV/0!</v>
      </c>
      <c r="L312" s="222" t="e">
        <f>L313/L317</f>
        <v>#DIV/0!</v>
      </c>
      <c r="N312" s="222" t="e">
        <f>N313/N317</f>
        <v>#DIV/0!</v>
      </c>
      <c r="O312" s="222" t="e">
        <f>O313/O317</f>
        <v>#DIV/0!</v>
      </c>
      <c r="P312" s="222" t="e">
        <f>P313/P317</f>
        <v>#DIV/0!</v>
      </c>
      <c r="Q312" s="222" t="e">
        <f>Q313/Q317</f>
        <v>#DIV/0!</v>
      </c>
      <c r="S312" s="222" t="e">
        <f>S313/S317</f>
        <v>#DIV/0!</v>
      </c>
      <c r="T312" s="222" t="e">
        <f>T313/T317</f>
        <v>#DIV/0!</v>
      </c>
      <c r="U312" s="222" t="e">
        <f>U313/U317</f>
        <v>#DIV/0!</v>
      </c>
      <c r="V312" s="222" t="e">
        <f>V313/V317</f>
        <v>#DIV/0!</v>
      </c>
      <c r="X312" s="222" t="e">
        <f>X313/X317</f>
        <v>#DIV/0!</v>
      </c>
      <c r="Y312" s="222" t="e">
        <f>Y313/Y317</f>
        <v>#DIV/0!</v>
      </c>
      <c r="Z312" s="222" t="e">
        <f>Z313/Z317</f>
        <v>#DIV/0!</v>
      </c>
      <c r="AA312" s="222" t="e">
        <f>AA313/AA317</f>
        <v>#DIV/0!</v>
      </c>
      <c r="AC312" s="222" t="e">
        <f>AC313/AC317</f>
        <v>#DIV/0!</v>
      </c>
      <c r="AD312" s="222" t="e">
        <f>AD313/AD317</f>
        <v>#DIV/0!</v>
      </c>
      <c r="AE312" s="222" t="e">
        <f>AE313/AE317</f>
        <v>#DIV/0!</v>
      </c>
      <c r="AF312" s="222" t="e">
        <f>AF313/AF317</f>
        <v>#DIV/0!</v>
      </c>
      <c r="AH312" s="222" t="e">
        <f>AH313/AH317</f>
        <v>#DIV/0!</v>
      </c>
      <c r="AI312" s="222" t="e">
        <f>AI313/AI317</f>
        <v>#DIV/0!</v>
      </c>
      <c r="AJ312" s="222" t="e">
        <f>AJ313/AJ317</f>
        <v>#DIV/0!</v>
      </c>
      <c r="AK312" s="222" t="e">
        <f>AK313/AK317</f>
        <v>#DIV/0!</v>
      </c>
      <c r="AM312" s="222" t="e">
        <f>AM313/AM317</f>
        <v>#DIV/0!</v>
      </c>
      <c r="AN312" s="222" t="e">
        <f>AN313/AN317</f>
        <v>#DIV/0!</v>
      </c>
      <c r="AO312" s="222" t="e">
        <f>AO313/AO317</f>
        <v>#DIV/0!</v>
      </c>
      <c r="AP312" s="222" t="e">
        <f>AP313/AP317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 t="e">
        <f>D314*(1-D315)</f>
        <v>#DIV/0!</v>
      </c>
      <c r="E313" s="233" t="e">
        <f>E314*(1-E315)</f>
        <v>#DIV/0!</v>
      </c>
      <c r="F313" s="233" t="e">
        <f>F314*(1-F315)</f>
        <v>#DIV/0!</v>
      </c>
      <c r="G313" s="233" t="e">
        <f>G314*(1-G315)</f>
        <v>#DIV/0!</v>
      </c>
      <c r="I313" s="223" t="e">
        <f>I314*(1-I315)</f>
        <v>#DIV/0!</v>
      </c>
      <c r="J313" s="224" t="e">
        <f>J314*(1-J315)</f>
        <v>#DIV/0!</v>
      </c>
      <c r="K313" s="224" t="e">
        <f>K314*(1-K315)</f>
        <v>#DIV/0!</v>
      </c>
      <c r="L313" s="224" t="e">
        <f>L314*(1-L315)</f>
        <v>#DIV/0!</v>
      </c>
      <c r="N313" s="223" t="e">
        <f>N314*(1-N315)</f>
        <v>#DIV/0!</v>
      </c>
      <c r="O313" s="224" t="e">
        <f>O314*(1-O315)</f>
        <v>#DIV/0!</v>
      </c>
      <c r="P313" s="224" t="e">
        <f>P314*(1-P315)</f>
        <v>#DIV/0!</v>
      </c>
      <c r="Q313" s="224" t="e">
        <f>Q314*(1-Q315)</f>
        <v>#DIV/0!</v>
      </c>
      <c r="S313" s="223" t="e">
        <f>S314*(1-S315)</f>
        <v>#DIV/0!</v>
      </c>
      <c r="T313" s="224" t="e">
        <f>T314*(1-T315)</f>
        <v>#DIV/0!</v>
      </c>
      <c r="U313" s="224" t="e">
        <f>U314*(1-U315)</f>
        <v>#DIV/0!</v>
      </c>
      <c r="V313" s="224" t="e">
        <f>V314*(1-V315)</f>
        <v>#DIV/0!</v>
      </c>
      <c r="X313" s="223" t="e">
        <f>X314*(1-X315)</f>
        <v>#DIV/0!</v>
      </c>
      <c r="Y313" s="224" t="e">
        <f>Y314*(1-Y315)</f>
        <v>#DIV/0!</v>
      </c>
      <c r="Z313" s="224" t="e">
        <f>Z314*(1-Z315)</f>
        <v>#DIV/0!</v>
      </c>
      <c r="AA313" s="224" t="e">
        <f>AA314*(1-AA315)</f>
        <v>#DIV/0!</v>
      </c>
      <c r="AC313" s="223" t="e">
        <f>AC314*(1-AC315)</f>
        <v>#DIV/0!</v>
      </c>
      <c r="AD313" s="224" t="e">
        <f>AD314*(1-AD315)</f>
        <v>#DIV/0!</v>
      </c>
      <c r="AE313" s="224" t="e">
        <f>AE314*(1-AE315)</f>
        <v>#DIV/0!</v>
      </c>
      <c r="AF313" s="224" t="e">
        <f>AF314*(1-AF315)</f>
        <v>#DIV/0!</v>
      </c>
      <c r="AH313" s="223">
        <f>AH314*(1-AH315)</f>
        <v>0</v>
      </c>
      <c r="AI313" s="224">
        <f>AI314*(1-AI315)</f>
        <v>0</v>
      </c>
      <c r="AJ313" s="224">
        <f>AJ314*(1-AJ315)</f>
        <v>0</v>
      </c>
      <c r="AK313" s="224">
        <f>AK314*(1-AK315)</f>
        <v>0</v>
      </c>
      <c r="AM313" s="223">
        <f>AM314*(1-AM315)</f>
        <v>0</v>
      </c>
      <c r="AN313" s="224">
        <f>AN314*(1-AN315)</f>
        <v>0</v>
      </c>
      <c r="AO313" s="224">
        <f>AO314*(1-AO315)</f>
        <v>0</v>
      </c>
      <c r="AP313" s="224">
        <f>AP314*(1-AP315)</f>
        <v>0</v>
      </c>
      <c r="AR313" s="223">
        <f>AR314*(1-AR315)</f>
        <v>0</v>
      </c>
      <c r="AS313" s="224">
        <f>AS314*(1-AS315)</f>
        <v>0</v>
      </c>
      <c r="AT313" s="224">
        <f>AT314*(1-AT315)</f>
        <v>0</v>
      </c>
      <c r="AU313" s="224">
        <f>AU314*(1-AU315)</f>
        <v>0</v>
      </c>
      <c r="AW313" s="223">
        <f>AW314*(1-AW315)</f>
        <v>0</v>
      </c>
      <c r="AX313" s="224">
        <f>AX314*(1-AX315)</f>
        <v>0</v>
      </c>
      <c r="AY313" s="224">
        <f>AY314*(1-AY315)</f>
        <v>0</v>
      </c>
      <c r="AZ313" s="224">
        <f>AZ314*(1-AZ315)</f>
        <v>0</v>
      </c>
      <c r="BB313" s="223">
        <f>BB314*(1-BB315)</f>
        <v>0</v>
      </c>
      <c r="BC313" s="224">
        <f>BC314*(1-BC315)</f>
        <v>0</v>
      </c>
      <c r="BD313" s="224">
        <f>BD314*(1-BD315)</f>
        <v>0</v>
      </c>
      <c r="BE313" s="224">
        <f>BE314*(1-BE315)</f>
        <v>0</v>
      </c>
      <c r="BG313" s="223">
        <f>BG314*(1-BG315)</f>
        <v>0</v>
      </c>
      <c r="BH313" s="224">
        <f>BH314*(1-BH315)</f>
        <v>0</v>
      </c>
      <c r="BI313" s="224">
        <f>BI314*(1-BI315)</f>
        <v>0</v>
      </c>
      <c r="BJ313" s="224">
        <f>BJ314*(1-BJ315)</f>
        <v>0</v>
      </c>
      <c r="BL313" s="223">
        <f>BL314*(1-BL315)</f>
        <v>0</v>
      </c>
      <c r="BM313" s="224">
        <f>BM314*(1-BM315)</f>
        <v>0</v>
      </c>
      <c r="BN313" s="224">
        <f>BN314*(1-BN315)</f>
        <v>0</v>
      </c>
      <c r="BO313" s="224">
        <f>BO314*(1-BO315)</f>
        <v>0</v>
      </c>
      <c r="BQ313" s="223">
        <f>BQ314*(1-BQ315)</f>
        <v>0</v>
      </c>
      <c r="BR313" s="224">
        <f>BR314*(1-BR315)</f>
        <v>0</v>
      </c>
      <c r="BS313" s="224">
        <f>BS314*(1-BS315)</f>
        <v>0</v>
      </c>
      <c r="BT313" s="224">
        <f>BT314*(1-BT315)</f>
        <v>0</v>
      </c>
      <c r="BV313" s="223">
        <f>BV314*(1-BV315)</f>
        <v>0</v>
      </c>
      <c r="BW313" s="224">
        <f>BW314*(1-BW315)</f>
        <v>0</v>
      </c>
      <c r="BX313" s="224">
        <f>BX314*(1-BX315)</f>
        <v>0</v>
      </c>
      <c r="BY313" s="224">
        <f>BY314*(1-BY315)</f>
        <v>0</v>
      </c>
      <c r="CA313" s="223">
        <f>CA314*(1-CA315)</f>
        <v>0</v>
      </c>
      <c r="CB313" s="224">
        <f>CB314*(1-CB315)</f>
        <v>0</v>
      </c>
      <c r="CC313" s="224">
        <f>CC314*(1-CC315)</f>
        <v>0</v>
      </c>
      <c r="CD313" s="224">
        <f>CD314*(1-CD315)</f>
        <v>0</v>
      </c>
      <c r="CF313" s="223">
        <f>CF314*(1-CF315)</f>
        <v>0</v>
      </c>
      <c r="CG313" s="224">
        <f>CG314*(1-CG315)</f>
        <v>0</v>
      </c>
      <c r="CH313" s="224">
        <f>CH314*(1-CH315)</f>
        <v>0</v>
      </c>
      <c r="CI313" s="224">
        <f>CI314*(1-CI315)</f>
        <v>0</v>
      </c>
      <c r="CK313" s="223">
        <f>CK314*(1-CK315)</f>
        <v>0</v>
      </c>
      <c r="CL313" s="224">
        <f>CL314*(1-CL315)</f>
        <v>0</v>
      </c>
      <c r="CM313" s="224">
        <f>CM314*(1-CM315)</f>
        <v>0</v>
      </c>
      <c r="CN313" s="224">
        <f>CN314*(1-CN315)</f>
        <v>0</v>
      </c>
      <c r="CP313" s="223">
        <f>CP314*(1-CP315)</f>
        <v>0</v>
      </c>
      <c r="CQ313" s="224">
        <f>CQ314*(1-CQ315)</f>
        <v>0</v>
      </c>
      <c r="CR313" s="224">
        <f>CR314*(1-CR315)</f>
        <v>0</v>
      </c>
      <c r="CS313" s="224">
        <f>CS314*(1-CS315)</f>
        <v>0</v>
      </c>
      <c r="CU313" s="223">
        <f>CU314*(1-CU315)</f>
        <v>0</v>
      </c>
      <c r="CV313" s="224">
        <f>CV314*(1-CV315)</f>
        <v>0</v>
      </c>
      <c r="CW313" s="224">
        <f>CW314*(1-CW315)</f>
        <v>0</v>
      </c>
      <c r="CX313" s="224">
        <f>CX314*(1-CX315)</f>
        <v>0</v>
      </c>
    </row>
    <row r="314" customFormat="1" s="233">
      <c r="A314" s="224" t="n"/>
      <c r="B314" s="224" t="n"/>
      <c r="C314" s="233" t="inlineStr">
        <is>
          <t>EBIT</t>
        </is>
      </c>
      <c r="D314" s="239">
        <f>D96</f>
        <v>0</v>
      </c>
      <c r="E314" s="239">
        <f>E96</f>
        <v>0</v>
      </c>
      <c r="F314" s="239">
        <f>F96</f>
        <v>0</v>
      </c>
      <c r="G314" s="239">
        <f>G96</f>
        <v>0</v>
      </c>
      <c r="I314" s="36">
        <f>I96</f>
        <v>0</v>
      </c>
      <c r="J314" s="36">
        <f>J96</f>
        <v>0</v>
      </c>
      <c r="K314" s="36">
        <f>K96</f>
        <v>0</v>
      </c>
      <c r="L314" s="36">
        <f>L96</f>
        <v>0</v>
      </c>
      <c r="N314" s="36">
        <f>N96</f>
        <v>0</v>
      </c>
      <c r="O314" s="36">
        <f>O96</f>
        <v>0</v>
      </c>
      <c r="P314" s="36">
        <f>P96</f>
        <v>0</v>
      </c>
      <c r="Q314" s="36">
        <f>Q96</f>
        <v>0</v>
      </c>
      <c r="S314" s="36">
        <f>S96</f>
        <v>0</v>
      </c>
      <c r="T314" s="36">
        <f>T96</f>
        <v>0</v>
      </c>
      <c r="U314" s="36">
        <f>U96</f>
        <v>0</v>
      </c>
      <c r="V314" s="36">
        <f>V96</f>
        <v>0</v>
      </c>
      <c r="X314" s="36">
        <f>X96</f>
        <v>0</v>
      </c>
      <c r="Y314" s="36">
        <f>Y96</f>
        <v>0</v>
      </c>
      <c r="Z314" s="36">
        <f>Z96</f>
        <v>0</v>
      </c>
      <c r="AA314" s="36">
        <f>AA96</f>
        <v>0</v>
      </c>
      <c r="AC314" s="36">
        <f>AC96</f>
        <v>0</v>
      </c>
      <c r="AD314" s="36">
        <f>AD96</f>
        <v>0</v>
      </c>
      <c r="AE314" s="36">
        <f>AE96</f>
        <v>0</v>
      </c>
      <c r="AF314" s="36">
        <f>AF96</f>
        <v>0</v>
      </c>
      <c r="AH314" s="36">
        <f>AH96</f>
        <v>0</v>
      </c>
      <c r="AI314" s="36">
        <f>AI96</f>
        <v>0</v>
      </c>
      <c r="AJ314" s="36">
        <f>AJ96</f>
        <v>0</v>
      </c>
      <c r="AK314" s="36">
        <f>AK96</f>
        <v>0</v>
      </c>
      <c r="AM314" s="36">
        <f>AM96</f>
        <v>0</v>
      </c>
      <c r="AN314" s="36">
        <f>AN96</f>
        <v>0</v>
      </c>
      <c r="AO314" s="36">
        <f>AO96</f>
        <v>0</v>
      </c>
      <c r="AP314" s="36">
        <f>AP96</f>
        <v>0</v>
      </c>
      <c r="AR314" s="36">
        <f>AR96</f>
        <v>0</v>
      </c>
      <c r="AS314" s="36">
        <f>AS96</f>
        <v>0</v>
      </c>
      <c r="AT314" s="36">
        <f>AT96</f>
        <v>0</v>
      </c>
      <c r="AU314" s="36">
        <f>AU96</f>
        <v>0</v>
      </c>
      <c r="AW314" s="36">
        <f>AW96</f>
        <v>0</v>
      </c>
      <c r="AX314" s="36">
        <f>AX96</f>
        <v>0</v>
      </c>
      <c r="AY314" s="36">
        <f>AY96</f>
        <v>0</v>
      </c>
      <c r="AZ314" s="36">
        <f>AZ96</f>
        <v>0</v>
      </c>
      <c r="BB314" s="36">
        <f>BB96</f>
        <v>0</v>
      </c>
      <c r="BC314" s="36">
        <f>BC96</f>
        <v>0</v>
      </c>
      <c r="BD314" s="36">
        <f>BD96</f>
        <v>0</v>
      </c>
      <c r="BE314" s="36">
        <f>BE96</f>
        <v>0</v>
      </c>
      <c r="BG314" s="36">
        <f>BG96</f>
        <v>0</v>
      </c>
      <c r="BH314" s="36">
        <f>BH96</f>
        <v>0</v>
      </c>
      <c r="BI314" s="36">
        <f>BI96</f>
        <v>0</v>
      </c>
      <c r="BJ314" s="36">
        <f>BJ96</f>
        <v>0</v>
      </c>
      <c r="BL314" s="36">
        <f>BL96</f>
        <v>0</v>
      </c>
      <c r="BM314" s="36">
        <f>BM96</f>
        <v>0</v>
      </c>
      <c r="BN314" s="36">
        <f>BN96</f>
        <v>0</v>
      </c>
      <c r="BO314" s="36">
        <f>BO96</f>
        <v>0</v>
      </c>
      <c r="BQ314" s="36">
        <f>BQ96</f>
        <v>0</v>
      </c>
      <c r="BR314" s="36">
        <f>BR96</f>
        <v>0</v>
      </c>
      <c r="BS314" s="36">
        <f>BS96</f>
        <v>0</v>
      </c>
      <c r="BT314" s="36">
        <f>BT96</f>
        <v>0</v>
      </c>
      <c r="BV314" s="36">
        <f>BV96</f>
        <v>0</v>
      </c>
      <c r="BW314" s="36">
        <f>BW96</f>
        <v>0</v>
      </c>
      <c r="BX314" s="36">
        <f>BX96</f>
        <v>0</v>
      </c>
      <c r="BY314" s="36">
        <f>BY96</f>
        <v>0</v>
      </c>
      <c r="CA314" s="36">
        <f>CA96</f>
        <v>0</v>
      </c>
      <c r="CB314" s="36">
        <f>CB96</f>
        <v>0</v>
      </c>
      <c r="CC314" s="36">
        <f>CC96</f>
        <v>0</v>
      </c>
      <c r="CD314" s="36">
        <f>CD96</f>
        <v>0</v>
      </c>
      <c r="CF314" s="36">
        <f>CF96</f>
        <v>0</v>
      </c>
      <c r="CG314" s="36">
        <f>CG96</f>
        <v>0</v>
      </c>
      <c r="CH314" s="36">
        <f>CH96</f>
        <v>0</v>
      </c>
      <c r="CI314" s="36">
        <f>CI96</f>
        <v>0</v>
      </c>
      <c r="CK314" s="36">
        <f>CK96</f>
        <v>0</v>
      </c>
      <c r="CL314" s="36">
        <f>CL96</f>
        <v>0</v>
      </c>
      <c r="CM314" s="36">
        <f>CM96</f>
        <v>0</v>
      </c>
      <c r="CN314" s="36">
        <f>CN96</f>
        <v>0</v>
      </c>
      <c r="CP314" s="36">
        <f>CP96</f>
        <v>0</v>
      </c>
      <c r="CQ314" s="36">
        <f>CQ96</f>
        <v>0</v>
      </c>
      <c r="CR314" s="36">
        <f>CR96</f>
        <v>0</v>
      </c>
      <c r="CS314" s="36">
        <f>CS96</f>
        <v>0</v>
      </c>
      <c r="CU314" s="36">
        <f>CU96</f>
        <v>0</v>
      </c>
      <c r="CV314" s="36">
        <f>CV96</f>
        <v>0</v>
      </c>
      <c r="CW314" s="36">
        <f>CW96</f>
        <v>0</v>
      </c>
      <c r="CX314" s="36">
        <f>CX96</f>
        <v>0</v>
      </c>
    </row>
    <row r="315" customFormat="1" s="233">
      <c r="A315" s="224" t="n"/>
      <c r="B315" s="224" t="n"/>
      <c r="C315" s="233" t="inlineStr">
        <is>
          <t>ETR</t>
        </is>
      </c>
      <c r="D315" s="240" t="e">
        <f>D98</f>
        <v>#DIV/0!</v>
      </c>
      <c r="E315" s="240" t="e">
        <f>E98</f>
        <v>#DIV/0!</v>
      </c>
      <c r="F315" s="240" t="e">
        <f>F98</f>
        <v>#DIV/0!</v>
      </c>
      <c r="G315" s="240" t="e">
        <f>G98</f>
        <v>#DIV/0!</v>
      </c>
      <c r="I315" s="225" t="e">
        <f>I98</f>
        <v>#DIV/0!</v>
      </c>
      <c r="J315" s="225" t="e">
        <f>J98</f>
        <v>#DIV/0!</v>
      </c>
      <c r="K315" s="225" t="e">
        <f>K98</f>
        <v>#DIV/0!</v>
      </c>
      <c r="L315" s="225" t="e">
        <f>L98</f>
        <v>#DIV/0!</v>
      </c>
      <c r="N315" s="225" t="e">
        <f>N98</f>
        <v>#DIV/0!</v>
      </c>
      <c r="O315" s="225" t="e">
        <f>O98</f>
        <v>#DIV/0!</v>
      </c>
      <c r="P315" s="225" t="e">
        <f>P98</f>
        <v>#DIV/0!</v>
      </c>
      <c r="Q315" s="225" t="e">
        <f>Q98</f>
        <v>#DIV/0!</v>
      </c>
      <c r="S315" s="225" t="e">
        <f>S98</f>
        <v>#DIV/0!</v>
      </c>
      <c r="T315" s="225" t="e">
        <f>T98</f>
        <v>#DIV/0!</v>
      </c>
      <c r="U315" s="225" t="e">
        <f>U98</f>
        <v>#DIV/0!</v>
      </c>
      <c r="V315" s="225" t="e">
        <f>V98</f>
        <v>#DIV/0!</v>
      </c>
      <c r="X315" s="225" t="e">
        <f>X98</f>
        <v>#DIV/0!</v>
      </c>
      <c r="Y315" s="225" t="e">
        <f>Y98</f>
        <v>#DIV/0!</v>
      </c>
      <c r="Z315" s="225" t="e">
        <f>Z98</f>
        <v>#DIV/0!</v>
      </c>
      <c r="AA315" s="225" t="e">
        <f>AA98</f>
        <v>#DIV/0!</v>
      </c>
      <c r="AC315" s="225" t="e">
        <f>AC98</f>
        <v>#DIV/0!</v>
      </c>
      <c r="AD315" s="225" t="e">
        <f>AD98</f>
        <v>#DIV/0!</v>
      </c>
      <c r="AE315" s="225" t="e">
        <f>AE98</f>
        <v>#DIV/0!</v>
      </c>
      <c r="AF315" s="225" t="e">
        <f>AF98</f>
        <v>#DIV/0!</v>
      </c>
      <c r="AH315" s="225">
        <f>AH98</f>
        <v>0</v>
      </c>
      <c r="AI315" s="225">
        <f>AI98</f>
        <v>0</v>
      </c>
      <c r="AJ315" s="225">
        <f>AJ98</f>
        <v>0</v>
      </c>
      <c r="AK315" s="225">
        <f>AK98</f>
        <v>0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0</v>
      </c>
      <c r="E316" s="239">
        <f>E319-E320+E321</f>
        <v>0</v>
      </c>
      <c r="F316" s="239">
        <f>F319-F320+F321</f>
        <v>0</v>
      </c>
      <c r="G316" s="239">
        <f>G319-G320+G321</f>
        <v>0</v>
      </c>
      <c r="I316" s="36">
        <f>I319-I320+I321</f>
        <v>0</v>
      </c>
      <c r="J316" s="36">
        <f>J319-J320+J321</f>
        <v>0</v>
      </c>
      <c r="K316" s="36">
        <f>K319-K320+K321</f>
        <v>0</v>
      </c>
      <c r="L316" s="36">
        <f>L319-L320+L321</f>
        <v>0</v>
      </c>
      <c r="N316" s="36">
        <f>N319-N320+N321</f>
        <v>0</v>
      </c>
      <c r="O316" s="36">
        <f>O319-O320+O321</f>
        <v>0</v>
      </c>
      <c r="P316" s="36">
        <f>P319-P320+P321</f>
        <v>0</v>
      </c>
      <c r="Q316" s="36">
        <f>Q319-Q320+Q321</f>
        <v>0</v>
      </c>
      <c r="S316" s="36">
        <f>S319-S320+S321</f>
        <v>0</v>
      </c>
      <c r="T316" s="36">
        <f>T319-T320+T321</f>
        <v>0</v>
      </c>
      <c r="U316" s="36">
        <f>U319-U320+U321</f>
        <v>0</v>
      </c>
      <c r="V316" s="36">
        <f>V319-V320+V321</f>
        <v>0</v>
      </c>
      <c r="X316" s="36">
        <f>X319-X320+X321</f>
        <v>0</v>
      </c>
      <c r="Y316" s="36">
        <f>Y319-Y320+Y321</f>
        <v>0</v>
      </c>
      <c r="Z316" s="36">
        <f>Z319-Z320+Z321</f>
        <v>0</v>
      </c>
      <c r="AA316" s="36">
        <f>AA319-AA320+AA321</f>
        <v>0</v>
      </c>
      <c r="AC316" s="36">
        <f>AC319-AC320+AC321</f>
        <v>0</v>
      </c>
      <c r="AD316" s="36">
        <f>AD319-AD320+AD321</f>
        <v>0</v>
      </c>
      <c r="AE316" s="36">
        <f>AE319-AE320+AE321</f>
        <v>0</v>
      </c>
      <c r="AF316" s="36">
        <f>AF319-AF320+AF321</f>
        <v>0</v>
      </c>
      <c r="AH316" s="36" t="e">
        <f>AH319-AH320+AH321</f>
        <v>#DIV/0!</v>
      </c>
      <c r="AI316" s="36" t="e">
        <f>AI319-AI320+AI321</f>
        <v>#DIV/0!</v>
      </c>
      <c r="AJ316" s="36" t="e">
        <f>AJ319-AJ320+AJ321</f>
        <v>#DIV/0!</v>
      </c>
      <c r="AK316" s="36" t="e">
        <f>AK319-AK320+AK321</f>
        <v>#DIV/0!</v>
      </c>
      <c r="AM316" s="36" t="e">
        <f>AM319-AM320+AM321</f>
        <v>#DIV/0!</v>
      </c>
      <c r="AN316" s="36" t="e">
        <f>AN319-AN320+AN321</f>
        <v>#DIV/0!</v>
      </c>
      <c r="AO316" s="36" t="e">
        <f>AO319-AO320+AO321</f>
        <v>#DIV/0!</v>
      </c>
      <c r="AP316" s="36" t="e">
        <f>AP319-AP320+AP321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0</v>
      </c>
      <c r="E317" s="241">
        <f>E316-E145</f>
        <v>0</v>
      </c>
      <c r="F317" s="241">
        <f>F316-F145</f>
        <v>0</v>
      </c>
      <c r="G317" s="241">
        <f>G316-G145</f>
        <v>0</v>
      </c>
      <c r="I317" s="226">
        <f>I316-I145</f>
        <v>0</v>
      </c>
      <c r="J317" s="226">
        <f>J316-J145</f>
        <v>0</v>
      </c>
      <c r="K317" s="226">
        <f>K316-K145</f>
        <v>0</v>
      </c>
      <c r="L317" s="226">
        <f>L316-L145</f>
        <v>0</v>
      </c>
      <c r="N317" s="226">
        <f>N316-N145</f>
        <v>0</v>
      </c>
      <c r="O317" s="226">
        <f>O316-O145</f>
        <v>0</v>
      </c>
      <c r="P317" s="226">
        <f>P316-P145</f>
        <v>0</v>
      </c>
      <c r="Q317" s="226">
        <f>Q316-Q145</f>
        <v>0</v>
      </c>
      <c r="S317" s="226">
        <f>S316-S145</f>
        <v>0</v>
      </c>
      <c r="T317" s="226">
        <f>T316-T145</f>
        <v>0</v>
      </c>
      <c r="U317" s="226">
        <f>U316-U145</f>
        <v>0</v>
      </c>
      <c r="V317" s="226">
        <f>V316-V145</f>
        <v>0</v>
      </c>
      <c r="X317" s="226">
        <f>X316-X145</f>
        <v>0</v>
      </c>
      <c r="Y317" s="226">
        <f>Y316-Y145</f>
        <v>0</v>
      </c>
      <c r="Z317" s="226">
        <f>Z316-Z145</f>
        <v>0</v>
      </c>
      <c r="AA317" s="226">
        <f>AA316-AA145</f>
        <v>0</v>
      </c>
      <c r="AC317" s="226">
        <f>AC316-AC145</f>
        <v>0</v>
      </c>
      <c r="AD317" s="226">
        <f>AD316-AD145</f>
        <v>0</v>
      </c>
      <c r="AE317" s="226">
        <f>AE316-AE145</f>
        <v>0</v>
      </c>
      <c r="AF317" s="226">
        <f>AF316-AF145</f>
        <v>0</v>
      </c>
      <c r="AH317" s="226" t="e">
        <f>AH316-AH145</f>
        <v>#DIV/0!</v>
      </c>
      <c r="AI317" s="226" t="e">
        <f>AI316-AI145</f>
        <v>#DIV/0!</v>
      </c>
      <c r="AJ317" s="226" t="e">
        <f>AJ316-AJ145</f>
        <v>#DIV/0!</v>
      </c>
      <c r="AK317" s="226" t="e">
        <f>AK316-AK145</f>
        <v>#DIV/0!</v>
      </c>
      <c r="AM317" s="226" t="e">
        <f>AM316-AM145</f>
        <v>#DIV/0!</v>
      </c>
      <c r="AN317" s="226" t="e">
        <f>AN316-AN145</f>
        <v>#DIV/0!</v>
      </c>
      <c r="AO317" s="226" t="e">
        <f>AO316-AO145</f>
        <v>#DIV/0!</v>
      </c>
      <c r="AP317" s="226" t="e">
        <f>AP316-AP145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0</v>
      </c>
      <c r="E318" s="242">
        <f>E319-E320</f>
        <v>0</v>
      </c>
      <c r="F318" s="242">
        <f>F319-F320</f>
        <v>0</v>
      </c>
      <c r="G318" s="242">
        <f>G319-G320</f>
        <v>0</v>
      </c>
      <c r="I318" s="36">
        <f>I319-I320</f>
        <v>0</v>
      </c>
      <c r="J318" s="36">
        <f>J319-J320</f>
        <v>0</v>
      </c>
      <c r="K318" s="36">
        <f>K319-K320</f>
        <v>0</v>
      </c>
      <c r="L318" s="36">
        <f>L319-L320</f>
        <v>0</v>
      </c>
      <c r="N318" s="36">
        <f>N319-N320</f>
        <v>0</v>
      </c>
      <c r="O318" s="36">
        <f>O319-O320</f>
        <v>0</v>
      </c>
      <c r="P318" s="36">
        <f>P319-P320</f>
        <v>0</v>
      </c>
      <c r="Q318" s="36">
        <f>Q319-Q320</f>
        <v>0</v>
      </c>
      <c r="S318" s="36">
        <f>S319-S320</f>
        <v>0</v>
      </c>
      <c r="T318" s="36">
        <f>T319-T320</f>
        <v>0</v>
      </c>
      <c r="U318" s="36">
        <f>U319-U320</f>
        <v>0</v>
      </c>
      <c r="V318" s="36">
        <f>V319-V320</f>
        <v>0</v>
      </c>
      <c r="X318" s="36">
        <f>X319-X320</f>
        <v>0</v>
      </c>
      <c r="Y318" s="36">
        <f>Y319-Y320</f>
        <v>0</v>
      </c>
      <c r="Z318" s="36">
        <f>Z319-Z320</f>
        <v>0</v>
      </c>
      <c r="AA318" s="36">
        <f>AA319-AA320</f>
        <v>0</v>
      </c>
      <c r="AC318" s="36">
        <f>AC319-AC320</f>
        <v>0</v>
      </c>
      <c r="AD318" s="36">
        <f>AD319-AD320</f>
        <v>0</v>
      </c>
      <c r="AE318" s="36">
        <f>AE319-AE320</f>
        <v>0</v>
      </c>
      <c r="AF318" s="36">
        <f>AF319-AF320</f>
        <v>0</v>
      </c>
      <c r="AH318" s="36" t="e">
        <f>AH319-AH320</f>
        <v>#DIV/0!</v>
      </c>
      <c r="AI318" s="36" t="e">
        <f>AI319-AI320</f>
        <v>#DIV/0!</v>
      </c>
      <c r="AJ318" s="36" t="e">
        <f>AJ319-AJ320</f>
        <v>#DIV/0!</v>
      </c>
      <c r="AK318" s="36" t="e">
        <f>AK319-AK320</f>
        <v>#DIV/0!</v>
      </c>
      <c r="AM318" s="36" t="e">
        <f>AM319-AM320</f>
        <v>#DIV/0!</v>
      </c>
      <c r="AN318" s="36" t="e">
        <f>AN319-AN320</f>
        <v>#DIV/0!</v>
      </c>
      <c r="AO318" s="36" t="e">
        <f>AO319-AO320</f>
        <v>#DIV/0!</v>
      </c>
      <c r="AP318" s="36" t="e">
        <f>AP319-AP320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0</v>
      </c>
      <c r="E319" s="241">
        <f>E111+E115+E119+E120+E121</f>
        <v>0</v>
      </c>
      <c r="F319" s="241">
        <f>F111+F115+F119+F120+F121</f>
        <v>0</v>
      </c>
      <c r="G319" s="241">
        <f>G111+G115+G119+G120+G121</f>
        <v>0</v>
      </c>
      <c r="I319" s="226">
        <f>I111+I115+I119+I120+I121</f>
        <v>0</v>
      </c>
      <c r="J319" s="226">
        <f>J111+J115+J119+J120+J121</f>
        <v>0</v>
      </c>
      <c r="K319" s="226">
        <f>K111+K115+K119+K120+K121</f>
        <v>0</v>
      </c>
      <c r="L319" s="226">
        <f>L111+L115+L119+L120+L121</f>
        <v>0</v>
      </c>
      <c r="N319" s="226">
        <f>N111+N115+N119+N120+N121</f>
        <v>0</v>
      </c>
      <c r="O319" s="226">
        <f>O111+O115+O119+O120+O121</f>
        <v>0</v>
      </c>
      <c r="P319" s="226">
        <f>P111+P115+P119+P120+P121</f>
        <v>0</v>
      </c>
      <c r="Q319" s="226">
        <f>Q111+Q115+Q119+Q120+Q121</f>
        <v>0</v>
      </c>
      <c r="S319" s="226">
        <f>S111+S115+S119+S120+S121</f>
        <v>0</v>
      </c>
      <c r="T319" s="226">
        <f>T111+T115+T119+T120+T121</f>
        <v>0</v>
      </c>
      <c r="U319" s="226">
        <f>U111+U115+U119+U120+U121</f>
        <v>0</v>
      </c>
      <c r="V319" s="226">
        <f>V111+V115+V119+V120+V121</f>
        <v>0</v>
      </c>
      <c r="X319" s="226">
        <f>X111+X115+X119+X120+X121</f>
        <v>0</v>
      </c>
      <c r="Y319" s="226">
        <f>Y111+Y115+Y119+Y120+Y121</f>
        <v>0</v>
      </c>
      <c r="Z319" s="226">
        <f>Z111+Z115+Z119+Z120+Z121</f>
        <v>0</v>
      </c>
      <c r="AA319" s="226">
        <f>AA111+AA115+AA119+AA120+AA121</f>
        <v>0</v>
      </c>
      <c r="AC319" s="226">
        <f>AC111+AC115+AC119+AC120+AC121</f>
        <v>0</v>
      </c>
      <c r="AD319" s="226">
        <f>AD111+AD115+AD119+AD120+AD121</f>
        <v>0</v>
      </c>
      <c r="AE319" s="226">
        <f>AE111+AE115+AE119+AE120+AE121</f>
        <v>0</v>
      </c>
      <c r="AF319" s="226">
        <f>AF111+AF115+AF119+AF120+AF121</f>
        <v>0</v>
      </c>
      <c r="AH319" s="226">
        <f>AH111+AH115+AH119+AH120+AH121</f>
        <v>0</v>
      </c>
      <c r="AI319" s="226">
        <f>AI111+AI115+AI119+AI120+AI121</f>
        <v>0</v>
      </c>
      <c r="AJ319" s="226">
        <f>AJ111+AJ115+AJ119+AJ120+AJ121</f>
        <v>0</v>
      </c>
      <c r="AK319" s="226">
        <f>AK111+AK115+AK119+AK120+AK121</f>
        <v>0</v>
      </c>
      <c r="AM319" s="226">
        <f>AM111+AM115+AM119+AM120+AM121</f>
        <v>0</v>
      </c>
      <c r="AN319" s="226">
        <f>AN111+AN115+AN119+AN120+AN121</f>
        <v>0</v>
      </c>
      <c r="AO319" s="226">
        <f>AO111+AO115+AO119+AO120+AO121</f>
        <v>0</v>
      </c>
      <c r="AP319" s="226">
        <f>AP111+AP115+AP119+AP120+AP121</f>
        <v>0</v>
      </c>
      <c r="AR319" s="226">
        <f>AR111+AR115+AR119+AR120+AR121</f>
        <v>0</v>
      </c>
      <c r="AS319" s="226">
        <f>AS111+AS115+AS119+AS120+AS121</f>
        <v>0</v>
      </c>
      <c r="AT319" s="226">
        <f>AT111+AT115+AT119+AT120+AT121</f>
        <v>0</v>
      </c>
      <c r="AU319" s="226">
        <f>AU111+AU115+AU119+AU120+AU121</f>
        <v>0</v>
      </c>
      <c r="AW319" s="226">
        <f>AW111+AW115+AW119+AW120+AW121</f>
        <v>0</v>
      </c>
      <c r="AX319" s="226">
        <f>AX111+AX115+AX119+AX120+AX121</f>
        <v>0</v>
      </c>
      <c r="AY319" s="226">
        <f>AY111+AY115+AY119+AY120+AY121</f>
        <v>0</v>
      </c>
      <c r="AZ319" s="226">
        <f>AZ111+AZ115+AZ119+AZ120+AZ121</f>
        <v>0</v>
      </c>
      <c r="BB319" s="226">
        <f>BB111+BB115+BB119+BB120+BB121</f>
        <v>0</v>
      </c>
      <c r="BC319" s="226">
        <f>BC111+BC115+BC119+BC120+BC121</f>
        <v>0</v>
      </c>
      <c r="BD319" s="226">
        <f>BD111+BD115+BD119+BD120+BD121</f>
        <v>0</v>
      </c>
      <c r="BE319" s="226">
        <f>BE111+BE115+BE119+BE120+BE121</f>
        <v>0</v>
      </c>
      <c r="BG319" s="226">
        <f>BG111+BG115+BG119+BG120+BG121</f>
        <v>0</v>
      </c>
      <c r="BH319" s="226">
        <f>BH111+BH115+BH119+BH120+BH121</f>
        <v>0</v>
      </c>
      <c r="BI319" s="226">
        <f>BI111+BI115+BI119+BI120+BI121</f>
        <v>0</v>
      </c>
      <c r="BJ319" s="226">
        <f>BJ111+BJ115+BJ119+BJ120+BJ121</f>
        <v>0</v>
      </c>
      <c r="BL319" s="226">
        <f>BL111+BL115+BL119+BL120+BL121</f>
        <v>0</v>
      </c>
      <c r="BM319" s="226">
        <f>BM111+BM115+BM119+BM120+BM121</f>
        <v>0</v>
      </c>
      <c r="BN319" s="226">
        <f>BN111+BN115+BN119+BN120+BN121</f>
        <v>0</v>
      </c>
      <c r="BO319" s="226">
        <f>BO111+BO115+BO119+BO120+BO121</f>
        <v>0</v>
      </c>
      <c r="BQ319" s="226">
        <f>BQ111+BQ115+BQ119+BQ120+BQ121</f>
        <v>0</v>
      </c>
      <c r="BR319" s="226">
        <f>BR111+BR115+BR119+BR120+BR121</f>
        <v>0</v>
      </c>
      <c r="BS319" s="226">
        <f>BS111+BS115+BS119+BS120+BS121</f>
        <v>0</v>
      </c>
      <c r="BT319" s="226">
        <f>BT111+BT115+BT119+BT120+BT121</f>
        <v>0</v>
      </c>
      <c r="BV319" s="226">
        <f>BV111+BV115+BV119+BV120+BV121</f>
        <v>0</v>
      </c>
      <c r="BW319" s="226">
        <f>BW111+BW115+BW119+BW120+BW121</f>
        <v>0</v>
      </c>
      <c r="BX319" s="226">
        <f>BX111+BX115+BX119+BX120+BX121</f>
        <v>0</v>
      </c>
      <c r="BY319" s="226">
        <f>BY111+BY115+BY119+BY120+BY121</f>
        <v>0</v>
      </c>
      <c r="CA319" s="226">
        <f>CA111+CA115+CA119+CA120+CA121</f>
        <v>0</v>
      </c>
      <c r="CB319" s="226">
        <f>CB111+CB115+CB119+CB120+CB121</f>
        <v>0</v>
      </c>
      <c r="CC319" s="226">
        <f>CC111+CC115+CC119+CC120+CC121</f>
        <v>0</v>
      </c>
      <c r="CD319" s="226">
        <f>CD111+CD115+CD119+CD120+CD121</f>
        <v>0</v>
      </c>
      <c r="CF319" s="226">
        <f>CF111+CF115+CF119+CF120+CF121</f>
        <v>0</v>
      </c>
      <c r="CG319" s="226">
        <f>CG111+CG115+CG119+CG120+CG121</f>
        <v>0</v>
      </c>
      <c r="CH319" s="226">
        <f>CH111+CH115+CH119+CH120+CH121</f>
        <v>0</v>
      </c>
      <c r="CI319" s="226">
        <f>CI111+CI115+CI119+CI120+CI121</f>
        <v>0</v>
      </c>
      <c r="CK319" s="226">
        <f>CK111+CK115+CK119+CK120+CK121</f>
        <v>0</v>
      </c>
      <c r="CL319" s="226">
        <f>CL111+CL115+CL119+CL120+CL121</f>
        <v>0</v>
      </c>
      <c r="CM319" s="226">
        <f>CM111+CM115+CM119+CM120+CM121</f>
        <v>0</v>
      </c>
      <c r="CN319" s="226">
        <f>CN111+CN115+CN119+CN120+CN121</f>
        <v>0</v>
      </c>
      <c r="CP319" s="226">
        <f>CP111+CP115+CP119+CP120+CP121</f>
        <v>0</v>
      </c>
      <c r="CQ319" s="226">
        <f>CQ111+CQ115+CQ119+CQ120+CQ121</f>
        <v>0</v>
      </c>
      <c r="CR319" s="226">
        <f>CR111+CR115+CR119+CR120+CR121</f>
        <v>0</v>
      </c>
      <c r="CS319" s="226">
        <f>CS111+CS115+CS119+CS120+CS121</f>
        <v>0</v>
      </c>
      <c r="CU319" s="226">
        <f>CU111+CU115+CU119+CU120+CU121</f>
        <v>0</v>
      </c>
      <c r="CV319" s="226">
        <f>CV111+CV115+CV119+CV120+CV121</f>
        <v>0</v>
      </c>
      <c r="CW319" s="226">
        <f>CW111+CW115+CW119+CW120+CW121</f>
        <v>0</v>
      </c>
      <c r="CX319" s="226">
        <f>CX111+CX115+CX119+CX120+CX121</f>
        <v>0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0</v>
      </c>
      <c r="E320" s="241">
        <f>E164+E168+E170+E171</f>
        <v>0</v>
      </c>
      <c r="F320" s="241">
        <f>F164+F168+F170+F171</f>
        <v>0</v>
      </c>
      <c r="G320" s="241">
        <f>G164+G168+G170+G171</f>
        <v>0</v>
      </c>
      <c r="I320" s="226">
        <f>I164+I168+I170+I171</f>
        <v>0</v>
      </c>
      <c r="J320" s="226">
        <f>J164+J168+J170+J171</f>
        <v>0</v>
      </c>
      <c r="K320" s="226">
        <f>K164+K168+K170+K171</f>
        <v>0</v>
      </c>
      <c r="L320" s="226">
        <f>L164+L168+L170+L171</f>
        <v>0</v>
      </c>
      <c r="N320" s="226">
        <f>N164+N168+N170+N171</f>
        <v>0</v>
      </c>
      <c r="O320" s="226">
        <f>O164+O168+O170+O171</f>
        <v>0</v>
      </c>
      <c r="P320" s="226">
        <f>P164+P168+P170+P171</f>
        <v>0</v>
      </c>
      <c r="Q320" s="226">
        <f>Q164+Q168+Q170+Q171</f>
        <v>0</v>
      </c>
      <c r="S320" s="226">
        <f>S164+S168+S170+S171</f>
        <v>0</v>
      </c>
      <c r="T320" s="226">
        <f>T164+T168+T170+T171</f>
        <v>0</v>
      </c>
      <c r="U320" s="226">
        <f>U164+U168+U170+U171</f>
        <v>0</v>
      </c>
      <c r="V320" s="226">
        <f>V164+V168+V170+V171</f>
        <v>0</v>
      </c>
      <c r="X320" s="226">
        <f>X164+X168+X170+X171</f>
        <v>0</v>
      </c>
      <c r="Y320" s="226">
        <f>Y164+Y168+Y170+Y171</f>
        <v>0</v>
      </c>
      <c r="Z320" s="226">
        <f>Z164+Z168+Z170+Z171</f>
        <v>0</v>
      </c>
      <c r="AA320" s="226">
        <f>AA164+AA168+AA170+AA171</f>
        <v>0</v>
      </c>
      <c r="AC320" s="226">
        <f>AC164+AC168+AC170+AC171</f>
        <v>0</v>
      </c>
      <c r="AD320" s="226">
        <f>AD164+AD168+AD170+AD171</f>
        <v>0</v>
      </c>
      <c r="AE320" s="226">
        <f>AE164+AE168+AE170+AE171</f>
        <v>0</v>
      </c>
      <c r="AF320" s="226">
        <f>AF164+AF168+AF170+AF171</f>
        <v>0</v>
      </c>
      <c r="AH320" s="226" t="e">
        <f>AH164+AH168+AH170+AH171</f>
        <v>#DIV/0!</v>
      </c>
      <c r="AI320" s="226" t="e">
        <f>AI164+AI168+AI170+AI171</f>
        <v>#DIV/0!</v>
      </c>
      <c r="AJ320" s="226" t="e">
        <f>AJ164+AJ168+AJ170+AJ171</f>
        <v>#DIV/0!</v>
      </c>
      <c r="AK320" s="226" t="e">
        <f>AK164+AK168+AK170+AK171</f>
        <v>#DIV/0!</v>
      </c>
      <c r="AM320" s="226" t="e">
        <f>AM164+AM168+AM170+AM171</f>
        <v>#DIV/0!</v>
      </c>
      <c r="AN320" s="226" t="e">
        <f>AN164+AN168+AN170+AN171</f>
        <v>#DIV/0!</v>
      </c>
      <c r="AO320" s="226" t="e">
        <f>AO164+AO168+AO170+AO171</f>
        <v>#DIV/0!</v>
      </c>
      <c r="AP320" s="226" t="e">
        <f>AP164+AP168+AP170+AP171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0</v>
      </c>
      <c r="E321" s="241">
        <f>E132+E142+E145+E146+E155-E206</f>
        <v>0</v>
      </c>
      <c r="F321" s="241">
        <f>F132+F142+F145+F146+F155-F206</f>
        <v>0</v>
      </c>
      <c r="G321" s="241">
        <f>G132+G142+G145+G146+G155-G206</f>
        <v>0</v>
      </c>
      <c r="I321" s="226">
        <f>I132+I142+I145+I146+I155-I206</f>
        <v>0</v>
      </c>
      <c r="J321" s="226">
        <f>J132+J142+J145+J146+J155-J206</f>
        <v>0</v>
      </c>
      <c r="K321" s="226">
        <f>K132+K142+K145+K146+K155-K206</f>
        <v>0</v>
      </c>
      <c r="L321" s="226">
        <f>L132+L142+L145+L146+L155-L206</f>
        <v>0</v>
      </c>
      <c r="N321" s="226">
        <f>N132+N142+N145+N146+N155-N206</f>
        <v>0</v>
      </c>
      <c r="O321" s="226">
        <f>O132+O142+O145+O146+O155-O206</f>
        <v>0</v>
      </c>
      <c r="P321" s="226">
        <f>P132+P142+P145+P146+P155-P206</f>
        <v>0</v>
      </c>
      <c r="Q321" s="226">
        <f>Q132+Q142+Q145+Q146+Q155-Q206</f>
        <v>0</v>
      </c>
      <c r="S321" s="226">
        <f>S132+S142+S145+S146+S155-S206</f>
        <v>0</v>
      </c>
      <c r="T321" s="226">
        <f>T132+T142+T145+T146+T155-T206</f>
        <v>0</v>
      </c>
      <c r="U321" s="226">
        <f>U132+U142+U145+U146+U155-U206</f>
        <v>0</v>
      </c>
      <c r="V321" s="226">
        <f>V132+V142+V145+V146+V155-V206</f>
        <v>0</v>
      </c>
      <c r="X321" s="226">
        <f>X132+X142+X145+X146+X155-X206</f>
        <v>0</v>
      </c>
      <c r="Y321" s="226">
        <f>Y132+Y142+Y145+Y146+Y155-Y206</f>
        <v>0</v>
      </c>
      <c r="Z321" s="226">
        <f>Z132+Z142+Z145+Z146+Z155-Z206</f>
        <v>0</v>
      </c>
      <c r="AA321" s="226">
        <f>AA132+AA142+AA145+AA146+AA155-AA206</f>
        <v>0</v>
      </c>
      <c r="AC321" s="226">
        <f>AC132+AC142+AC145+AC146+AC155-AC206</f>
        <v>0</v>
      </c>
      <c r="AD321" s="226">
        <f>AD132+AD142+AD145+AD146+AD155-AD206</f>
        <v>0</v>
      </c>
      <c r="AE321" s="226">
        <f>AE132+AE142+AE145+AE146+AE155-AE206</f>
        <v>0</v>
      </c>
      <c r="AF321" s="226">
        <f>AF132+AF142+AF145+AF146+AF155-AF206</f>
        <v>0</v>
      </c>
      <c r="AH321" s="226">
        <f>AH132+AH142+AH145+AH146+AH155-AH206</f>
        <v>0</v>
      </c>
      <c r="AI321" s="226">
        <f>AI132+AI142+AI145+AI146+AI155-AI206</f>
        <v>0</v>
      </c>
      <c r="AJ321" s="226">
        <f>AJ132+AJ142+AJ145+AJ146+AJ155-AJ206</f>
        <v>0</v>
      </c>
      <c r="AK321" s="226">
        <f>AK132+AK142+AK145+AK146+AK155-AK206</f>
        <v>0</v>
      </c>
      <c r="AM321" s="226">
        <f>AM132+AM142+AM145+AM146+AM155-AM206</f>
        <v>0</v>
      </c>
      <c r="AN321" s="226">
        <f>AN132+AN142+AN145+AN146+AN155-AN206</f>
        <v>0</v>
      </c>
      <c r="AO321" s="226">
        <f>AO132+AO142+AO145+AO146+AO155-AO206</f>
        <v>0</v>
      </c>
      <c r="AP321" s="226">
        <f>AP132+AP142+AP145+AP146+AP155-AP206</f>
        <v>0</v>
      </c>
      <c r="AR321" s="226">
        <f>AR132+AR142+AR145+AR146+AR155-AR206</f>
        <v>0</v>
      </c>
      <c r="AS321" s="226">
        <f>AS132+AS142+AS145+AS146+AS155-AS206</f>
        <v>0</v>
      </c>
      <c r="AT321" s="226">
        <f>AT132+AT142+AT145+AT146+AT155-AT206</f>
        <v>0</v>
      </c>
      <c r="AU321" s="226">
        <f>AU132+AU142+AU145+AU146+AU155-AU206</f>
        <v>0</v>
      </c>
      <c r="AW321" s="226">
        <f>AW132+AW142+AW145+AW146+AW155-AW206</f>
        <v>0</v>
      </c>
      <c r="AX321" s="226">
        <f>AX132+AX142+AX145+AX146+AX155-AX206</f>
        <v>0</v>
      </c>
      <c r="AY321" s="226">
        <f>AY132+AY142+AY145+AY146+AY155-AY206</f>
        <v>0</v>
      </c>
      <c r="AZ321" s="226">
        <f>AZ132+AZ142+AZ145+AZ146+AZ155-AZ206</f>
        <v>0</v>
      </c>
      <c r="BB321" s="226">
        <f>BB132+BB142+BB145+BB146+BB155-BB206</f>
        <v>0</v>
      </c>
      <c r="BC321" s="226">
        <f>BC132+BC142+BC145+BC146+BC155-BC206</f>
        <v>0</v>
      </c>
      <c r="BD321" s="226">
        <f>BD132+BD142+BD145+BD146+BD155-BD206</f>
        <v>0</v>
      </c>
      <c r="BE321" s="226">
        <f>BE132+BE142+BE145+BE146+BE155-BE206</f>
        <v>0</v>
      </c>
      <c r="BG321" s="226">
        <f>BG132+BG142+BG145+BG146+BG155-BG206</f>
        <v>0</v>
      </c>
      <c r="BH321" s="226">
        <f>BH132+BH142+BH145+BH146+BH155-BH206</f>
        <v>0</v>
      </c>
      <c r="BI321" s="226">
        <f>BI132+BI142+BI145+BI146+BI155-BI206</f>
        <v>0</v>
      </c>
      <c r="BJ321" s="226">
        <f>BJ132+BJ142+BJ145+BJ146+BJ155-BJ206</f>
        <v>0</v>
      </c>
      <c r="BL321" s="226">
        <f>BL132+BL142+BL145+BL146+BL155-BL206</f>
        <v>0</v>
      </c>
      <c r="BM321" s="226">
        <f>BM132+BM142+BM145+BM146+BM155-BM206</f>
        <v>0</v>
      </c>
      <c r="BN321" s="226">
        <f>BN132+BN142+BN145+BN146+BN155-BN206</f>
        <v>0</v>
      </c>
      <c r="BO321" s="226">
        <f>BO132+BO142+BO145+BO146+BO155-BO206</f>
        <v>0</v>
      </c>
      <c r="BQ321" s="226">
        <f>BQ132+BQ142+BQ145+BQ146+BQ155-BQ206</f>
        <v>0</v>
      </c>
      <c r="BR321" s="226">
        <f>BR132+BR142+BR145+BR146+BR155-BR206</f>
        <v>0</v>
      </c>
      <c r="BS321" s="226">
        <f>BS132+BS142+BS145+BS146+BS155-BS206</f>
        <v>0</v>
      </c>
      <c r="BT321" s="226">
        <f>BT132+BT142+BT145+BT146+BT155-BT206</f>
        <v>0</v>
      </c>
      <c r="BV321" s="226">
        <f>BV132+BV142+BV145+BV146+BV155-BV206</f>
        <v>0</v>
      </c>
      <c r="BW321" s="226">
        <f>BW132+BW142+BW145+BW146+BW155-BW206</f>
        <v>0</v>
      </c>
      <c r="BX321" s="226">
        <f>BX132+BX142+BX145+BX146+BX155-BX206</f>
        <v>0</v>
      </c>
      <c r="BY321" s="226">
        <f>BY132+BY142+BY145+BY146+BY155-BY206</f>
        <v>0</v>
      </c>
      <c r="CA321" s="226">
        <f>CA132+CA142+CA145+CA146+CA155-CA206</f>
        <v>0</v>
      </c>
      <c r="CB321" s="226">
        <f>CB132+CB142+CB145+CB146+CB155-CB206</f>
        <v>0</v>
      </c>
      <c r="CC321" s="226">
        <f>CC132+CC142+CC145+CC146+CC155-CC206</f>
        <v>0</v>
      </c>
      <c r="CD321" s="226">
        <f>CD132+CD142+CD145+CD146+CD155-CD206</f>
        <v>0</v>
      </c>
      <c r="CF321" s="226">
        <f>CF132+CF142+CF145+CF146+CF155-CF206</f>
        <v>0</v>
      </c>
      <c r="CG321" s="226">
        <f>CG132+CG142+CG145+CG146+CG155-CG206</f>
        <v>0</v>
      </c>
      <c r="CH321" s="226">
        <f>CH132+CH142+CH145+CH146+CH155-CH206</f>
        <v>0</v>
      </c>
      <c r="CI321" s="226">
        <f>CI132+CI142+CI145+CI146+CI155-CI206</f>
        <v>0</v>
      </c>
      <c r="CK321" s="226">
        <f>CK132+CK142+CK145+CK146+CK155-CK206</f>
        <v>0</v>
      </c>
      <c r="CL321" s="226">
        <f>CL132+CL142+CL145+CL146+CL155-CL206</f>
        <v>0</v>
      </c>
      <c r="CM321" s="226">
        <f>CM132+CM142+CM145+CM146+CM155-CM206</f>
        <v>0</v>
      </c>
      <c r="CN321" s="226">
        <f>CN132+CN142+CN145+CN146+CN155-CN206</f>
        <v>0</v>
      </c>
      <c r="CP321" s="226">
        <f>CP132+CP142+CP145+CP146+CP155-CP206</f>
        <v>0</v>
      </c>
      <c r="CQ321" s="226">
        <f>CQ132+CQ142+CQ145+CQ146+CQ155-CQ206</f>
        <v>0</v>
      </c>
      <c r="CR321" s="226">
        <f>CR132+CR142+CR145+CR146+CR155-CR206</f>
        <v>0</v>
      </c>
      <c r="CS321" s="226">
        <f>CS132+CS142+CS145+CS146+CS155-CS206</f>
        <v>0</v>
      </c>
      <c r="CU321" s="226">
        <f>CU132+CU142+CU145+CU146+CU155-CU206</f>
        <v>0</v>
      </c>
      <c r="CV321" s="226">
        <f>CV132+CV142+CV145+CV146+CV155-CV206</f>
        <v>0</v>
      </c>
      <c r="CW321" s="226">
        <f>CW132+CW142+CW145+CW146+CW155-CW206</f>
        <v>0</v>
      </c>
      <c r="CX321" s="226">
        <f>CX132+CX142+CX145+CX146+CX155-CX206</f>
        <v>0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 t="e">
        <f>D103/D15</f>
        <v>#DIV/0!</v>
      </c>
      <c r="E330" s="238" t="e">
        <f>E103/E15</f>
        <v>#DIV/0!</v>
      </c>
      <c r="F330" s="238" t="e">
        <f>F103/F15</f>
        <v>#DIV/0!</v>
      </c>
      <c r="G330" s="238" t="e">
        <f>G103/G15</f>
        <v>#DIV/0!</v>
      </c>
      <c r="I330" s="222" t="e">
        <f>I103/I15</f>
        <v>#DIV/0!</v>
      </c>
      <c r="J330" s="222" t="e">
        <f>J103/J15</f>
        <v>#DIV/0!</v>
      </c>
      <c r="K330" s="222" t="e">
        <f>K103/K15</f>
        <v>#DIV/0!</v>
      </c>
      <c r="L330" s="222" t="e">
        <f>L103/L15</f>
        <v>#DIV/0!</v>
      </c>
      <c r="N330" s="222" t="e">
        <f>N103/N15</f>
        <v>#DIV/0!</v>
      </c>
      <c r="O330" s="222" t="e">
        <f>O103/O15</f>
        <v>#DIV/0!</v>
      </c>
      <c r="P330" s="222" t="e">
        <f>P103/P15</f>
        <v>#DIV/0!</v>
      </c>
      <c r="Q330" s="222" t="e">
        <f>Q103/Q15</f>
        <v>#DIV/0!</v>
      </c>
      <c r="S330" s="222" t="e">
        <f>S103/S15</f>
        <v>#DIV/0!</v>
      </c>
      <c r="T330" s="222" t="e">
        <f>T103/T15</f>
        <v>#DIV/0!</v>
      </c>
      <c r="U330" s="222" t="e">
        <f>U103/U15</f>
        <v>#DIV/0!</v>
      </c>
      <c r="V330" s="222" t="e">
        <f>V103/V15</f>
        <v>#DIV/0!</v>
      </c>
      <c r="X330" s="222" t="e">
        <f>X103/X15</f>
        <v>#DIV/0!</v>
      </c>
      <c r="Y330" s="222" t="e">
        <f>Y103/Y15</f>
        <v>#DIV/0!</v>
      </c>
      <c r="Z330" s="222" t="e">
        <f>Z103/Z15</f>
        <v>#DIV/0!</v>
      </c>
      <c r="AA330" s="222" t="e">
        <f>AA103/AA15</f>
        <v>#DIV/0!</v>
      </c>
      <c r="AC330" s="222" t="e">
        <f>AC103/AC15</f>
        <v>#DIV/0!</v>
      </c>
      <c r="AD330" s="222" t="e">
        <f>AD103/AD15</f>
        <v>#DIV/0!</v>
      </c>
      <c r="AE330" s="222" t="e">
        <f>AE103/AE15</f>
        <v>#DIV/0!</v>
      </c>
      <c r="AF330" s="222" t="e">
        <f>AF103/AF15</f>
        <v>#DIV/0!</v>
      </c>
      <c r="AH330" s="222" t="e">
        <f>AH103/AH15</f>
        <v>#DIV/0!</v>
      </c>
      <c r="AI330" s="222" t="e">
        <f>AI103/AI15</f>
        <v>#DIV/0!</v>
      </c>
      <c r="AJ330" s="222" t="e">
        <f>AJ103/AJ15</f>
        <v>#DIV/0!</v>
      </c>
      <c r="AK330" s="222" t="e">
        <f>AK103/AK15</f>
        <v>#DIV/0!</v>
      </c>
      <c r="AM330" s="222" t="e">
        <f>AM103/AM15</f>
        <v>#DIV/0!</v>
      </c>
      <c r="AN330" s="222" t="e">
        <f>AN103/AN15</f>
        <v>#DIV/0!</v>
      </c>
      <c r="AO330" s="222" t="e">
        <f>AO103/AO15</f>
        <v>#DIV/0!</v>
      </c>
      <c r="AP330" s="222" t="e">
        <f>AP103/AP15</f>
        <v>#DIV/0!</v>
      </c>
      <c r="AR330" s="222" t="e">
        <f>AR103/AR15</f>
        <v>#DIV/0!</v>
      </c>
      <c r="AS330" s="222" t="e">
        <f>AS103/AS15</f>
        <v>#DIV/0!</v>
      </c>
      <c r="AT330" s="222" t="e">
        <f>AT103/AT15</f>
        <v>#DIV/0!</v>
      </c>
      <c r="AU330" s="222" t="e">
        <f>AU103/AU15</f>
        <v>#DIV/0!</v>
      </c>
      <c r="AW330" s="222" t="e">
        <f>AW103/AW15</f>
        <v>#DIV/0!</v>
      </c>
      <c r="AX330" s="222" t="e">
        <f>AX103/AX15</f>
        <v>#DIV/0!</v>
      </c>
      <c r="AY330" s="222" t="e">
        <f>AY103/AY15</f>
        <v>#DIV/0!</v>
      </c>
      <c r="AZ330" s="222" t="e">
        <f>AZ103/AZ15</f>
        <v>#DIV/0!</v>
      </c>
      <c r="BB330" s="222" t="e">
        <f>BB103/BB15</f>
        <v>#DIV/0!</v>
      </c>
      <c r="BC330" s="222" t="e">
        <f>BC103/BC15</f>
        <v>#DIV/0!</v>
      </c>
      <c r="BD330" s="222" t="e">
        <f>BD103/BD15</f>
        <v>#DIV/0!</v>
      </c>
      <c r="BE330" s="222" t="e">
        <f>BE103/BE15</f>
        <v>#DIV/0!</v>
      </c>
      <c r="BG330" s="222" t="e">
        <f>BG103/BG15</f>
        <v>#DIV/0!</v>
      </c>
      <c r="BH330" s="222" t="e">
        <f>BH103/BH15</f>
        <v>#DIV/0!</v>
      </c>
      <c r="BI330" s="222" t="e">
        <f>BI103/BI15</f>
        <v>#DIV/0!</v>
      </c>
      <c r="BJ330" s="222" t="e">
        <f>BJ103/BJ15</f>
        <v>#DIV/0!</v>
      </c>
      <c r="BL330" s="222" t="e">
        <f>BL103/BL15</f>
        <v>#DIV/0!</v>
      </c>
      <c r="BM330" s="222" t="e">
        <f>BM103/BM15</f>
        <v>#DIV/0!</v>
      </c>
      <c r="BN330" s="222" t="e">
        <f>BN103/BN15</f>
        <v>#DIV/0!</v>
      </c>
      <c r="BO330" s="222" t="e">
        <f>BO103/BO15</f>
        <v>#DIV/0!</v>
      </c>
      <c r="BQ330" s="222" t="e">
        <f>BQ103/BQ15</f>
        <v>#DIV/0!</v>
      </c>
      <c r="BR330" s="222" t="e">
        <f>BR103/BR15</f>
        <v>#DIV/0!</v>
      </c>
      <c r="BS330" s="222" t="e">
        <f>BS103/BS15</f>
        <v>#DIV/0!</v>
      </c>
      <c r="BT330" s="222" t="e">
        <f>BT103/BT15</f>
        <v>#DIV/0!</v>
      </c>
      <c r="BV330" s="222" t="e">
        <f>BV103/BV15</f>
        <v>#DIV/0!</v>
      </c>
      <c r="BW330" s="222" t="e">
        <f>BW103/BW15</f>
        <v>#DIV/0!</v>
      </c>
      <c r="BX330" s="222" t="e">
        <f>BX103/BX15</f>
        <v>#DIV/0!</v>
      </c>
      <c r="BY330" s="222" t="e">
        <f>BY103/BY15</f>
        <v>#DIV/0!</v>
      </c>
      <c r="CA330" s="222" t="e">
        <f>CA103/CA15</f>
        <v>#DIV/0!</v>
      </c>
      <c r="CB330" s="222" t="e">
        <f>CB103/CB15</f>
        <v>#DIV/0!</v>
      </c>
      <c r="CC330" s="222" t="e">
        <f>CC103/CC15</f>
        <v>#DIV/0!</v>
      </c>
      <c r="CD330" s="222" t="e">
        <f>CD103/CD15</f>
        <v>#DIV/0!</v>
      </c>
      <c r="CF330" s="222" t="e">
        <f>CF103/CF15</f>
        <v>#DIV/0!</v>
      </c>
      <c r="CG330" s="222" t="e">
        <f>CG103/CG15</f>
        <v>#DIV/0!</v>
      </c>
      <c r="CH330" s="222" t="e">
        <f>CH103/CH15</f>
        <v>#DIV/0!</v>
      </c>
      <c r="CI330" s="222" t="e">
        <f>CI103/CI15</f>
        <v>#DIV/0!</v>
      </c>
      <c r="CK330" s="222" t="e">
        <f>CK103/CK15</f>
        <v>#DIV/0!</v>
      </c>
      <c r="CL330" s="222" t="e">
        <f>CL103/CL15</f>
        <v>#DIV/0!</v>
      </c>
      <c r="CM330" s="222" t="e">
        <f>CM103/CM15</f>
        <v>#DIV/0!</v>
      </c>
      <c r="CN330" s="222" t="e">
        <f>CN103/CN15</f>
        <v>#DIV/0!</v>
      </c>
      <c r="CP330" s="222" t="e">
        <f>CP103/CP15</f>
        <v>#DIV/0!</v>
      </c>
      <c r="CQ330" s="222" t="e">
        <f>CQ103/CQ15</f>
        <v>#DIV/0!</v>
      </c>
      <c r="CR330" s="222" t="e">
        <f>CR103/CR15</f>
        <v>#DIV/0!</v>
      </c>
      <c r="CS330" s="222" t="e">
        <f>CS103/CS15</f>
        <v>#DIV/0!</v>
      </c>
      <c r="CU330" s="222" t="e">
        <f>CU103/CU15</f>
        <v>#DIV/0!</v>
      </c>
      <c r="CV330" s="222" t="e">
        <f>CV103/CV15</f>
        <v>#DIV/0!</v>
      </c>
      <c r="CW330" s="222" t="e">
        <f>CW103/CW15</f>
        <v>#DIV/0!</v>
      </c>
      <c r="CX330" s="222" t="e">
        <f>CX103/CX15</f>
        <v>#DIV/0!</v>
      </c>
    </row>
    <row r="331" customFormat="1" s="233">
      <c r="A331" s="224" t="n"/>
      <c r="B331" s="224" t="n"/>
      <c r="C331" s="233" t="inlineStr">
        <is>
          <t>ASSET TURNOVER</t>
        </is>
      </c>
      <c r="D331" s="238" t="e">
        <f>D103/D163</f>
        <v>#DIV/0!</v>
      </c>
      <c r="E331" s="238" t="e">
        <f>E103/E163</f>
        <v>#DIV/0!</v>
      </c>
      <c r="F331" s="238" t="e">
        <f>F103/F163</f>
        <v>#DIV/0!</v>
      </c>
      <c r="G331" s="238" t="e">
        <f>G103/G163</f>
        <v>#DIV/0!</v>
      </c>
      <c r="I331" s="222" t="e">
        <f>I103/I163</f>
        <v>#DIV/0!</v>
      </c>
      <c r="J331" s="222" t="e">
        <f>J103/J163</f>
        <v>#DIV/0!</v>
      </c>
      <c r="K331" s="222" t="e">
        <f>K103/K163</f>
        <v>#DIV/0!</v>
      </c>
      <c r="L331" s="222" t="e">
        <f>L103/L163</f>
        <v>#DIV/0!</v>
      </c>
      <c r="N331" s="222" t="e">
        <f>N103/N163</f>
        <v>#DIV/0!</v>
      </c>
      <c r="O331" s="222" t="e">
        <f>O103/O163</f>
        <v>#DIV/0!</v>
      </c>
      <c r="P331" s="222" t="e">
        <f>P103/P163</f>
        <v>#DIV/0!</v>
      </c>
      <c r="Q331" s="222" t="e">
        <f>Q103/Q163</f>
        <v>#DIV/0!</v>
      </c>
      <c r="S331" s="222" t="e">
        <f>S103/S163</f>
        <v>#DIV/0!</v>
      </c>
      <c r="T331" s="222" t="e">
        <f>T103/T163</f>
        <v>#DIV/0!</v>
      </c>
      <c r="U331" s="222" t="e">
        <f>U103/U163</f>
        <v>#DIV/0!</v>
      </c>
      <c r="V331" s="222" t="e">
        <f>V103/V163</f>
        <v>#DIV/0!</v>
      </c>
      <c r="X331" s="222" t="e">
        <f>X103/X163</f>
        <v>#DIV/0!</v>
      </c>
      <c r="Y331" s="222" t="e">
        <f>Y103/Y163</f>
        <v>#DIV/0!</v>
      </c>
      <c r="Z331" s="222" t="e">
        <f>Z103/Z163</f>
        <v>#DIV/0!</v>
      </c>
      <c r="AA331" s="222" t="e">
        <f>AA103/AA163</f>
        <v>#DIV/0!</v>
      </c>
      <c r="AC331" s="222" t="e">
        <f>AC103/AC163</f>
        <v>#DIV/0!</v>
      </c>
      <c r="AD331" s="222" t="e">
        <f>AD103/AD163</f>
        <v>#DIV/0!</v>
      </c>
      <c r="AE331" s="222" t="e">
        <f>AE103/AE163</f>
        <v>#DIV/0!</v>
      </c>
      <c r="AF331" s="222" t="e">
        <f>AF103/AF163</f>
        <v>#DIV/0!</v>
      </c>
      <c r="AH331" s="222" t="e">
        <f>AH103/AH163</f>
        <v>#DIV/0!</v>
      </c>
      <c r="AI331" s="222" t="e">
        <f>AI103/AI163</f>
        <v>#DIV/0!</v>
      </c>
      <c r="AJ331" s="222" t="e">
        <f>AJ103/AJ163</f>
        <v>#DIV/0!</v>
      </c>
      <c r="AK331" s="222" t="e">
        <f>AK103/AK163</f>
        <v>#DIV/0!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 t="e">
        <f>D163/D237</f>
        <v>#DIV/0!</v>
      </c>
      <c r="E332" s="238" t="e">
        <f>E163/E237</f>
        <v>#DIV/0!</v>
      </c>
      <c r="F332" s="238" t="e">
        <f>F163/F237</f>
        <v>#DIV/0!</v>
      </c>
      <c r="G332" s="238" t="e">
        <f>G163/G237</f>
        <v>#DIV/0!</v>
      </c>
      <c r="I332" s="222" t="e">
        <f>I163/I237</f>
        <v>#DIV/0!</v>
      </c>
      <c r="J332" s="222" t="e">
        <f>J163/J237</f>
        <v>#DIV/0!</v>
      </c>
      <c r="K332" s="222" t="e">
        <f>K163/K237</f>
        <v>#DIV/0!</v>
      </c>
      <c r="L332" s="222" t="e">
        <f>L163/L237</f>
        <v>#DIV/0!</v>
      </c>
      <c r="N332" s="222" t="e">
        <f>N163/N237</f>
        <v>#DIV/0!</v>
      </c>
      <c r="O332" s="222" t="e">
        <f>O163/O237</f>
        <v>#DIV/0!</v>
      </c>
      <c r="P332" s="222" t="e">
        <f>P163/P237</f>
        <v>#DIV/0!</v>
      </c>
      <c r="Q332" s="222" t="e">
        <f>Q163/Q237</f>
        <v>#DIV/0!</v>
      </c>
      <c r="S332" s="222" t="e">
        <f>S163/S237</f>
        <v>#DIV/0!</v>
      </c>
      <c r="T332" s="222" t="e">
        <f>T163/T237</f>
        <v>#DIV/0!</v>
      </c>
      <c r="U332" s="222" t="e">
        <f>U163/U237</f>
        <v>#DIV/0!</v>
      </c>
      <c r="V332" s="222" t="e">
        <f>V163/V237</f>
        <v>#DIV/0!</v>
      </c>
      <c r="X332" s="222" t="e">
        <f>X163/X237</f>
        <v>#DIV/0!</v>
      </c>
      <c r="Y332" s="222" t="e">
        <f>Y163/Y237</f>
        <v>#DIV/0!</v>
      </c>
      <c r="Z332" s="222" t="e">
        <f>Z163/Z237</f>
        <v>#DIV/0!</v>
      </c>
      <c r="AA332" s="222" t="e">
        <f>AA163/AA237</f>
        <v>#DIV/0!</v>
      </c>
      <c r="AC332" s="222" t="e">
        <f>AC163/AC237</f>
        <v>#DIV/0!</v>
      </c>
      <c r="AD332" s="222" t="e">
        <f>AD163/AD237</f>
        <v>#DIV/0!</v>
      </c>
      <c r="AE332" s="222" t="e">
        <f>AE163/AE237</f>
        <v>#DIV/0!</v>
      </c>
      <c r="AF332" s="222" t="e">
        <f>AF163/AF237</f>
        <v>#DIV/0!</v>
      </c>
      <c r="AH332" s="222" t="e">
        <f>AH163/AH237</f>
        <v>#DIV/0!</v>
      </c>
      <c r="AI332" s="222" t="e">
        <f>AI163/AI237</f>
        <v>#DIV/0!</v>
      </c>
      <c r="AJ332" s="222" t="e">
        <f>AJ163/AJ237</f>
        <v>#DIV/0!</v>
      </c>
      <c r="AK332" s="222" t="e">
        <f>AK163/AK237</f>
        <v>#DIV/0!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 t="e">
        <f>PRODUCT(D330:D332)</f>
        <v>#DIV/0!</v>
      </c>
      <c r="E333" s="238" t="e">
        <f>PRODUCT(E330:E332)</f>
        <v>#DIV/0!</v>
      </c>
      <c r="F333" s="238" t="e">
        <f>PRODUCT(F330:F332)</f>
        <v>#DIV/0!</v>
      </c>
      <c r="G333" s="238" t="e">
        <f>PRODUCT(G330:G332)</f>
        <v>#DIV/0!</v>
      </c>
      <c r="I333" s="222" t="e">
        <f>PRODUCT(I330:I332)</f>
        <v>#DIV/0!</v>
      </c>
      <c r="J333" s="222" t="e">
        <f>PRODUCT(J330:J332)</f>
        <v>#DIV/0!</v>
      </c>
      <c r="K333" s="222" t="e">
        <f>PRODUCT(K330:K332)</f>
        <v>#DIV/0!</v>
      </c>
      <c r="L333" s="222" t="e">
        <f>PRODUCT(L330:L332)</f>
        <v>#DIV/0!</v>
      </c>
      <c r="N333" s="222" t="e">
        <f>PRODUCT(N330:N332)</f>
        <v>#DIV/0!</v>
      </c>
      <c r="O333" s="222" t="e">
        <f>PRODUCT(O330:O332)</f>
        <v>#DIV/0!</v>
      </c>
      <c r="P333" s="222" t="e">
        <f>PRODUCT(P330:P332)</f>
        <v>#DIV/0!</v>
      </c>
      <c r="Q333" s="222" t="e">
        <f>PRODUCT(Q330:Q332)</f>
        <v>#DIV/0!</v>
      </c>
      <c r="S333" s="222" t="e">
        <f>PRODUCT(S330:S332)</f>
        <v>#DIV/0!</v>
      </c>
      <c r="T333" s="222" t="e">
        <f>PRODUCT(T330:T332)</f>
        <v>#DIV/0!</v>
      </c>
      <c r="U333" s="222" t="e">
        <f>PRODUCT(U330:U332)</f>
        <v>#DIV/0!</v>
      </c>
      <c r="V333" s="222" t="e">
        <f>PRODUCT(V330:V332)</f>
        <v>#DIV/0!</v>
      </c>
      <c r="X333" s="222" t="e">
        <f>PRODUCT(X330:X332)</f>
        <v>#DIV/0!</v>
      </c>
      <c r="Y333" s="222" t="e">
        <f>PRODUCT(Y330:Y332)</f>
        <v>#DIV/0!</v>
      </c>
      <c r="Z333" s="222" t="e">
        <f>PRODUCT(Z330:Z332)</f>
        <v>#DIV/0!</v>
      </c>
      <c r="AA333" s="222" t="e">
        <f>PRODUCT(AA330:AA332)</f>
        <v>#DIV/0!</v>
      </c>
      <c r="AC333" s="222" t="e">
        <f>PRODUCT(AC330:AC332)</f>
        <v>#DIV/0!</v>
      </c>
      <c r="AD333" s="222" t="e">
        <f>PRODUCT(AD330:AD332)</f>
        <v>#DIV/0!</v>
      </c>
      <c r="AE333" s="222" t="e">
        <f>PRODUCT(AE330:AE332)</f>
        <v>#DIV/0!</v>
      </c>
      <c r="AF333" s="222" t="e">
        <f>PRODUCT(AF330:AF332)</f>
        <v>#DIV/0!</v>
      </c>
      <c r="AH333" s="222" t="e">
        <f>PRODUCT(AH330:AH332)</f>
        <v>#DIV/0!</v>
      </c>
      <c r="AI333" s="222" t="e">
        <f>PRODUCT(AI330:AI332)</f>
        <v>#DIV/0!</v>
      </c>
      <c r="AJ333" s="222" t="e">
        <f>PRODUCT(AJ330:AJ332)</f>
        <v>#DIV/0!</v>
      </c>
      <c r="AK333" s="222" t="e">
        <f>PRODUCT(AK330:AK332)</f>
        <v>#DIV/0!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 t="e">
        <f>D103/D237</f>
        <v>#DIV/0!</v>
      </c>
      <c r="E334" s="238" t="e">
        <f>E103/E237</f>
        <v>#DIV/0!</v>
      </c>
      <c r="F334" s="238" t="e">
        <f>F103/F237</f>
        <v>#DIV/0!</v>
      </c>
      <c r="G334" s="238" t="e">
        <f>G103/G237</f>
        <v>#DIV/0!</v>
      </c>
      <c r="I334" s="222" t="e">
        <f>I103/I237</f>
        <v>#DIV/0!</v>
      </c>
      <c r="J334" s="222" t="e">
        <f>J103/J237</f>
        <v>#DIV/0!</v>
      </c>
      <c r="K334" s="222" t="e">
        <f>K103/K237</f>
        <v>#DIV/0!</v>
      </c>
      <c r="L334" s="222" t="e">
        <f>L103/L237</f>
        <v>#DIV/0!</v>
      </c>
      <c r="N334" s="222" t="e">
        <f>N103/N237</f>
        <v>#DIV/0!</v>
      </c>
      <c r="O334" s="222" t="e">
        <f>O103/O237</f>
        <v>#DIV/0!</v>
      </c>
      <c r="P334" s="222" t="e">
        <f>P103/P237</f>
        <v>#DIV/0!</v>
      </c>
      <c r="Q334" s="222" t="e">
        <f>Q103/Q237</f>
        <v>#DIV/0!</v>
      </c>
      <c r="S334" s="222" t="e">
        <f>S103/S237</f>
        <v>#DIV/0!</v>
      </c>
      <c r="T334" s="222" t="e">
        <f>T103/T237</f>
        <v>#DIV/0!</v>
      </c>
      <c r="U334" s="222" t="e">
        <f>U103/U237</f>
        <v>#DIV/0!</v>
      </c>
      <c r="V334" s="222" t="e">
        <f>V103/V237</f>
        <v>#DIV/0!</v>
      </c>
      <c r="X334" s="222" t="e">
        <f>X103/X237</f>
        <v>#DIV/0!</v>
      </c>
      <c r="Y334" s="222" t="e">
        <f>Y103/Y237</f>
        <v>#DIV/0!</v>
      </c>
      <c r="Z334" s="222" t="e">
        <f>Z103/Z237</f>
        <v>#DIV/0!</v>
      </c>
      <c r="AA334" s="222" t="e">
        <f>AA103/AA237</f>
        <v>#DIV/0!</v>
      </c>
      <c r="AC334" s="222" t="e">
        <f>AC103/AC237</f>
        <v>#DIV/0!</v>
      </c>
      <c r="AD334" s="222" t="e">
        <f>AD103/AD237</f>
        <v>#DIV/0!</v>
      </c>
      <c r="AE334" s="222" t="e">
        <f>AE103/AE237</f>
        <v>#DIV/0!</v>
      </c>
      <c r="AF334" s="222" t="e">
        <f>AF103/AF237</f>
        <v>#DIV/0!</v>
      </c>
      <c r="AH334" s="222" t="e">
        <f>AH103/AH237</f>
        <v>#DIV/0!</v>
      </c>
      <c r="AI334" s="222" t="e">
        <f>AI103/AI237</f>
        <v>#DIV/0!</v>
      </c>
      <c r="AJ334" s="222" t="e">
        <f>AJ103/AJ237</f>
        <v>#DIV/0!</v>
      </c>
      <c r="AK334" s="222" t="e">
        <f>AK103/AK237</f>
        <v>#DIV/0!</v>
      </c>
      <c r="AM334" s="222" t="e">
        <f>AM103/AM237</f>
        <v>#DIV/0!</v>
      </c>
      <c r="AN334" s="222" t="e">
        <f>AN103/AN237</f>
        <v>#DIV/0!</v>
      </c>
      <c r="AO334" s="222" t="e">
        <f>AO103/AO237</f>
        <v>#DIV/0!</v>
      </c>
      <c r="AP334" s="222" t="e">
        <f>AP103/AP237</f>
        <v>#DIV/0!</v>
      </c>
      <c r="AR334" s="222" t="e">
        <f>AR103/AR237</f>
        <v>#DIV/0!</v>
      </c>
      <c r="AS334" s="222" t="e">
        <f>AS103/AS237</f>
        <v>#DIV/0!</v>
      </c>
      <c r="AT334" s="222" t="e">
        <f>AT103/AT237</f>
        <v>#DIV/0!</v>
      </c>
      <c r="AU334" s="222" t="e">
        <f>AU103/AU237</f>
        <v>#DIV/0!</v>
      </c>
      <c r="AW334" s="222" t="e">
        <f>AW103/AW237</f>
        <v>#DIV/0!</v>
      </c>
      <c r="AX334" s="222" t="e">
        <f>AX103/AX237</f>
        <v>#DIV/0!</v>
      </c>
      <c r="AY334" s="222" t="e">
        <f>AY103/AY237</f>
        <v>#DIV/0!</v>
      </c>
      <c r="AZ334" s="222" t="e">
        <f>AZ103/AZ237</f>
        <v>#DIV/0!</v>
      </c>
      <c r="BB334" s="222" t="e">
        <f>BB103/BB237</f>
        <v>#DIV/0!</v>
      </c>
      <c r="BC334" s="222" t="e">
        <f>BC103/BC237</f>
        <v>#DIV/0!</v>
      </c>
      <c r="BD334" s="222" t="e">
        <f>BD103/BD237</f>
        <v>#DIV/0!</v>
      </c>
      <c r="BE334" s="222" t="e">
        <f>BE103/BE237</f>
        <v>#DIV/0!</v>
      </c>
      <c r="BG334" s="222" t="e">
        <f>BG103/BG237</f>
        <v>#DIV/0!</v>
      </c>
      <c r="BH334" s="222" t="e">
        <f>BH103/BH237</f>
        <v>#DIV/0!</v>
      </c>
      <c r="BI334" s="222" t="e">
        <f>BI103/BI237</f>
        <v>#DIV/0!</v>
      </c>
      <c r="BJ334" s="222" t="e">
        <f>BJ103/BJ237</f>
        <v>#DIV/0!</v>
      </c>
      <c r="BL334" s="222" t="e">
        <f>BL103/BL237</f>
        <v>#DIV/0!</v>
      </c>
      <c r="BM334" s="222" t="e">
        <f>BM103/BM237</f>
        <v>#DIV/0!</v>
      </c>
      <c r="BN334" s="222" t="e">
        <f>BN103/BN237</f>
        <v>#DIV/0!</v>
      </c>
      <c r="BO334" s="222" t="e">
        <f>BO103/BO237</f>
        <v>#DIV/0!</v>
      </c>
      <c r="BQ334" s="222" t="e">
        <f>BQ103/BQ237</f>
        <v>#DIV/0!</v>
      </c>
      <c r="BR334" s="222" t="e">
        <f>BR103/BR237</f>
        <v>#DIV/0!</v>
      </c>
      <c r="BS334" s="222" t="e">
        <f>BS103/BS237</f>
        <v>#DIV/0!</v>
      </c>
      <c r="BT334" s="222" t="e">
        <f>BT103/BT237</f>
        <v>#DIV/0!</v>
      </c>
      <c r="BV334" s="222" t="e">
        <f>BV103/BV237</f>
        <v>#DIV/0!</v>
      </c>
      <c r="BW334" s="222" t="e">
        <f>BW103/BW237</f>
        <v>#DIV/0!</v>
      </c>
      <c r="BX334" s="222" t="e">
        <f>BX103/BX237</f>
        <v>#DIV/0!</v>
      </c>
      <c r="BY334" s="222" t="e">
        <f>BY103/BY237</f>
        <v>#DIV/0!</v>
      </c>
      <c r="CA334" s="222" t="e">
        <f>CA103/CA237</f>
        <v>#DIV/0!</v>
      </c>
      <c r="CB334" s="222" t="e">
        <f>CB103/CB237</f>
        <v>#DIV/0!</v>
      </c>
      <c r="CC334" s="222" t="e">
        <f>CC103/CC237</f>
        <v>#DIV/0!</v>
      </c>
      <c r="CD334" s="222" t="e">
        <f>CD103/CD237</f>
        <v>#DIV/0!</v>
      </c>
      <c r="CF334" s="222" t="e">
        <f>CF103/CF237</f>
        <v>#DIV/0!</v>
      </c>
      <c r="CG334" s="222" t="e">
        <f>CG103/CG237</f>
        <v>#DIV/0!</v>
      </c>
      <c r="CH334" s="222" t="e">
        <f>CH103/CH237</f>
        <v>#DIV/0!</v>
      </c>
      <c r="CI334" s="222" t="e">
        <f>CI103/CI237</f>
        <v>#DIV/0!</v>
      </c>
      <c r="CK334" s="222" t="e">
        <f>CK103/CK237</f>
        <v>#DIV/0!</v>
      </c>
      <c r="CL334" s="222" t="e">
        <f>CL103/CL237</f>
        <v>#DIV/0!</v>
      </c>
      <c r="CM334" s="222" t="e">
        <f>CM103/CM237</f>
        <v>#DIV/0!</v>
      </c>
      <c r="CN334" s="222" t="e">
        <f>CN103/CN237</f>
        <v>#DIV/0!</v>
      </c>
      <c r="CP334" s="222" t="e">
        <f>CP103/CP237</f>
        <v>#DIV/0!</v>
      </c>
      <c r="CQ334" s="222" t="e">
        <f>CQ103/CQ237</f>
        <v>#DIV/0!</v>
      </c>
      <c r="CR334" s="222" t="e">
        <f>CR103/CR237</f>
        <v>#DIV/0!</v>
      </c>
      <c r="CS334" s="222" t="e">
        <f>CS103/CS237</f>
        <v>#DIV/0!</v>
      </c>
      <c r="CU334" s="222" t="e">
        <f>CU103/CU237</f>
        <v>#DIV/0!</v>
      </c>
      <c r="CV334" s="222" t="e">
        <f>CV103/CV237</f>
        <v>#DIV/0!</v>
      </c>
      <c r="CW334" s="222" t="e">
        <f>CW103/CW237</f>
        <v>#DIV/0!</v>
      </c>
      <c r="CX334" s="222" t="e">
        <f>CX103/CX237</f>
        <v>#DIV/0!</v>
      </c>
    </row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e">
        <f>IF(scenario=2,"Base Case",IF(scenario=1,"Bull Case","Bear Case"))</f>
        <v>#NAME?</v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0</v>
      </c>
      <c r="E18" s="83">
        <f>Model!AB15</f>
        <v>0</v>
      </c>
      <c r="F18" s="83">
        <f>Model!AG15</f>
        <v>0</v>
      </c>
      <c r="G18" s="83">
        <f>Model!AL15</f>
        <v>0</v>
      </c>
      <c r="H18" s="83">
        <f>Model!AQ15</f>
        <v>0</v>
      </c>
      <c r="I18" s="83">
        <f>Model!AV15</f>
        <v>0</v>
      </c>
      <c r="J18" s="83">
        <f>Model!BA15</f>
        <v>0</v>
      </c>
      <c r="K18" s="83">
        <f>Model!BF15</f>
        <v>0</v>
      </c>
      <c r="L18" s="83">
        <f>Model!BK15</f>
        <v>0</v>
      </c>
      <c r="M18" s="83">
        <f>Model!BP15</f>
        <v>0</v>
      </c>
      <c r="N18" s="83">
        <f>Model!BU15</f>
        <v>0</v>
      </c>
      <c r="O18" s="83">
        <f>Model!BZ15</f>
        <v>0</v>
      </c>
      <c r="P18" s="83">
        <f>Model!CE15</f>
        <v>0</v>
      </c>
      <c r="Q18" s="83">
        <f>Model!CJ15</f>
        <v>0</v>
      </c>
      <c r="R18" s="83">
        <f>Model!CO15</f>
        <v>0</v>
      </c>
      <c r="S18" s="83" t="n"/>
      <c r="T18" s="83" t="n"/>
      <c r="U18" s="83" t="n"/>
      <c r="V18" s="84" t="n"/>
      <c r="X18" s="85" t="e">
        <f>((L18/F18)^(1/6))-1</f>
        <v>#DIV/0!</v>
      </c>
      <c r="Y18" s="85" t="e">
        <f>((R18/L18)^(1/6))-1</f>
        <v>#DIV/0!</v>
      </c>
      <c r="Z18" s="77" t="n"/>
    </row>
    <row r="19">
      <c r="C19" s="86" t="n"/>
      <c r="D19" s="79" t="n"/>
      <c r="E19" s="87" t="e">
        <f>E18/D18-1</f>
        <v>#DIV/0!</v>
      </c>
      <c r="F19" s="87" t="e">
        <f>F18/E18-1</f>
        <v>#DIV/0!</v>
      </c>
      <c r="G19" s="87" t="e">
        <f>G18/F18-1</f>
        <v>#DIV/0!</v>
      </c>
      <c r="H19" s="87" t="e">
        <f>H18/G18-1</f>
        <v>#DIV/0!</v>
      </c>
      <c r="I19" s="87" t="e">
        <f>I18/H18-1</f>
        <v>#DIV/0!</v>
      </c>
      <c r="J19" s="87" t="e">
        <f>J18/I18-1</f>
        <v>#DIV/0!</v>
      </c>
      <c r="K19" s="87" t="e">
        <f>K18/J18-1</f>
        <v>#DIV/0!</v>
      </c>
      <c r="L19" s="87" t="e">
        <f>L18/K18-1</f>
        <v>#DIV/0!</v>
      </c>
      <c r="M19" s="87" t="e">
        <f>M18/L18-1</f>
        <v>#DIV/0!</v>
      </c>
      <c r="N19" s="87" t="e">
        <f>N18/M18-1</f>
        <v>#DIV/0!</v>
      </c>
      <c r="O19" s="87" t="e">
        <f>O18/N18-1</f>
        <v>#DIV/0!</v>
      </c>
      <c r="P19" s="87" t="e">
        <f>P18/O18-1</f>
        <v>#DIV/0!</v>
      </c>
      <c r="Q19" s="87" t="e">
        <f>Q18/P18-1</f>
        <v>#DIV/0!</v>
      </c>
      <c r="R19" s="87" t="e">
        <f>R18/Q18-1</f>
        <v>#DIV/0!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Model!W35</f>
        <v>0</v>
      </c>
      <c r="E20" s="83">
        <f>Model!AB35</f>
        <v>0</v>
      </c>
      <c r="F20" s="83">
        <f>Model!AG35</f>
        <v>0</v>
      </c>
      <c r="G20" s="83">
        <f>Model!AL35</f>
        <v>0</v>
      </c>
      <c r="H20" s="83">
        <f>Model!AQ35</f>
        <v>0</v>
      </c>
      <c r="I20" s="83">
        <f>Model!BA35</f>
        <v>0</v>
      </c>
      <c r="J20" s="83">
        <f>Model!BA35</f>
        <v>0</v>
      </c>
      <c r="K20" s="83">
        <f>Model!BF35</f>
        <v>0</v>
      </c>
      <c r="L20" s="83">
        <f>Model!BK35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 t="e">
        <f>D20/D18</f>
        <v>#DIV/0!</v>
      </c>
      <c r="E21" s="92" t="e">
        <f>E20/E18</f>
        <v>#DIV/0!</v>
      </c>
      <c r="F21" s="92" t="e">
        <f>F20/F18</f>
        <v>#DIV/0!</v>
      </c>
      <c r="G21" s="92" t="e">
        <f>G20/G18</f>
        <v>#DIV/0!</v>
      </c>
      <c r="H21" s="92" t="e">
        <f>H20/H18</f>
        <v>#DIV/0!</v>
      </c>
      <c r="I21" s="92" t="e">
        <f>I20/I18</f>
        <v>#DIV/0!</v>
      </c>
      <c r="J21" s="92" t="e">
        <f>J20/J18</f>
        <v>#DIV/0!</v>
      </c>
      <c r="K21" s="92" t="e">
        <f>K20/K18</f>
        <v>#DIV/0!</v>
      </c>
      <c r="L21" s="92" t="e">
        <f>L20/L18</f>
        <v>#DIV/0!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Model!W39</f>
        <v>0</v>
      </c>
      <c r="E22" s="83">
        <f>Model!AB39</f>
        <v>0</v>
      </c>
      <c r="F22" s="83">
        <f>Model!AG39</f>
        <v>0</v>
      </c>
      <c r="G22" s="83">
        <f>Model!AL39</f>
        <v>0</v>
      </c>
      <c r="H22" s="83">
        <f>Model!AQ39</f>
        <v>0</v>
      </c>
      <c r="I22" s="83">
        <f>Model!AV39</f>
        <v>0</v>
      </c>
      <c r="J22" s="83">
        <f>Model!BA39</f>
        <v>0</v>
      </c>
      <c r="K22" s="83">
        <f>Model!BF39</f>
        <v>0</v>
      </c>
      <c r="L22" s="83">
        <f>Model!BK39</f>
        <v>0</v>
      </c>
      <c r="M22" s="83">
        <f>Model!BP39</f>
        <v>0</v>
      </c>
      <c r="N22" s="83">
        <f>Model!BU39</f>
        <v>0</v>
      </c>
      <c r="O22" s="83">
        <f>Model!BZ39</f>
        <v>0</v>
      </c>
      <c r="P22" s="83">
        <f>Model!CE39</f>
        <v>0</v>
      </c>
      <c r="Q22" s="83">
        <f>Model!CJ39</f>
        <v>0</v>
      </c>
      <c r="R22" s="83">
        <f>Model!CO39</f>
        <v>0</v>
      </c>
      <c r="S22" s="83" t="n"/>
      <c r="T22" s="83" t="n"/>
      <c r="U22" s="83" t="n"/>
      <c r="V22" s="84" t="n"/>
      <c r="X22" s="85" t="e">
        <f>((L22/F22)^(1/6))-1</f>
        <v>#DIV/0!</v>
      </c>
      <c r="Y22" s="85" t="e">
        <f>((R22/L22)^(1/6))-1</f>
        <v>#DIV/0!</v>
      </c>
      <c r="Z22" s="77" t="n"/>
    </row>
    <row r="23" outlineLevel="1">
      <c r="C23" s="86" t="n"/>
      <c r="D23" s="92" t="e">
        <f>D22/D18</f>
        <v>#DIV/0!</v>
      </c>
      <c r="E23" s="92" t="e">
        <f>E22/E18</f>
        <v>#DIV/0!</v>
      </c>
      <c r="F23" s="92" t="e">
        <f>F22/F18</f>
        <v>#DIV/0!</v>
      </c>
      <c r="G23" s="92" t="e">
        <f>G22/G18</f>
        <v>#DIV/0!</v>
      </c>
      <c r="H23" s="92" t="e">
        <f>H22/H18</f>
        <v>#DIV/0!</v>
      </c>
      <c r="I23" s="92" t="e">
        <f>I22/I18</f>
        <v>#DIV/0!</v>
      </c>
      <c r="J23" s="92" t="e">
        <f>J22/J18</f>
        <v>#DIV/0!</v>
      </c>
      <c r="K23" s="92" t="e">
        <f>K22/K18</f>
        <v>#DIV/0!</v>
      </c>
      <c r="L23" s="92" t="e">
        <f>L22/L18</f>
        <v>#DIV/0!</v>
      </c>
      <c r="M23" s="92" t="e">
        <f>M22/M18</f>
        <v>#DIV/0!</v>
      </c>
      <c r="N23" s="92" t="e">
        <f>N22/N18</f>
        <v>#DIV/0!</v>
      </c>
      <c r="O23" s="92" t="e">
        <f>O22/O18</f>
        <v>#DIV/0!</v>
      </c>
      <c r="P23" s="92" t="e">
        <f>P22/P18</f>
        <v>#DIV/0!</v>
      </c>
      <c r="Q23" s="92" t="e">
        <f>Q22/Q18</f>
        <v>#DIV/0!</v>
      </c>
      <c r="R23" s="92" t="e">
        <f>R22/R18</f>
        <v>#DIV/0!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 t="e">
        <f>Model!W98</f>
        <v>#DIV/0!</v>
      </c>
      <c r="E24" s="95" t="e">
        <f>Model!AB98</f>
        <v>#DIV/0!</v>
      </c>
      <c r="F24" s="95" t="e">
        <f>Model!AG98</f>
        <v>#DIV/0!</v>
      </c>
      <c r="G24" s="95" t="e">
        <f>Model!AL98</f>
        <v>#DIV/0!</v>
      </c>
      <c r="H24" s="95" t="e">
        <f>Model!AQ98</f>
        <v>#DIV/0!</v>
      </c>
      <c r="I24" s="95" t="e">
        <f>Model!AV98</f>
        <v>#DIV/0!</v>
      </c>
      <c r="J24" s="95" t="e">
        <f>Model!BA98</f>
        <v>#DIV/0!</v>
      </c>
      <c r="K24" s="95" t="e">
        <f>Model!BF98</f>
        <v>#DIV/0!</v>
      </c>
      <c r="L24" s="95" t="e">
        <f>Model!BK98</f>
        <v>#DIV/0!</v>
      </c>
      <c r="M24" s="95" t="e">
        <f>Model!BP98</f>
        <v>#DIV/0!</v>
      </c>
      <c r="N24" s="95" t="e">
        <f>Model!BU98</f>
        <v>#DIV/0!</v>
      </c>
      <c r="O24" s="95" t="e">
        <f>Model!BZ98</f>
        <v>#DIV/0!</v>
      </c>
      <c r="P24" s="95" t="e">
        <f>Model!CE98</f>
        <v>#DIV/0!</v>
      </c>
      <c r="Q24" s="95" t="e">
        <f>Model!CJ98</f>
        <v>#DIV/0!</v>
      </c>
      <c r="R24" s="95" t="e">
        <f>Model!CO98</f>
        <v>#DIV/0!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 t="e">
        <f>D22*(1-D24)</f>
        <v>#DIV/0!</v>
      </c>
      <c r="E25" s="97" t="e">
        <f>E22*(1-E24)</f>
        <v>#DIV/0!</v>
      </c>
      <c r="F25" s="97" t="e">
        <f>F22*(1-F24)</f>
        <v>#DIV/0!</v>
      </c>
      <c r="G25" s="97" t="e">
        <f>G22*(1-G24)</f>
        <v>#DIV/0!</v>
      </c>
      <c r="H25" s="97" t="e">
        <f>H22*(1-H24)</f>
        <v>#DIV/0!</v>
      </c>
      <c r="I25" s="97" t="e">
        <f>I22*(1-I24)</f>
        <v>#DIV/0!</v>
      </c>
      <c r="J25" s="97" t="e">
        <f>J22*(1-J24)</f>
        <v>#DIV/0!</v>
      </c>
      <c r="K25" s="97" t="e">
        <f>K22*(1-K24)</f>
        <v>#DIV/0!</v>
      </c>
      <c r="L25" s="97" t="e">
        <f>L22*(1-L24)</f>
        <v>#DIV/0!</v>
      </c>
      <c r="M25" s="97" t="e">
        <f>M22*(1-M24)</f>
        <v>#DIV/0!</v>
      </c>
      <c r="N25" s="97" t="e">
        <f>N22*(1-N24)</f>
        <v>#DIV/0!</v>
      </c>
      <c r="O25" s="97" t="e">
        <f>O22*(1-O24)</f>
        <v>#DIV/0!</v>
      </c>
      <c r="P25" s="97" t="e">
        <f>P22*(1-P24)</f>
        <v>#DIV/0!</v>
      </c>
      <c r="Q25" s="97" t="e">
        <f>Q22*(1-Q24)</f>
        <v>#DIV/0!</v>
      </c>
      <c r="R25" s="97" t="e">
        <f>R22*(1-R24)</f>
        <v>#DIV/0!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Model!W36</f>
        <v>0</v>
      </c>
      <c r="E26" s="100">
        <f>Model!AB36</f>
        <v>0</v>
      </c>
      <c r="F26" s="100">
        <f>Model!AG36</f>
        <v>0</v>
      </c>
      <c r="G26" s="100">
        <f>Model!AL36</f>
        <v>0</v>
      </c>
      <c r="H26" s="100">
        <f>Model!AQ36</f>
        <v>0</v>
      </c>
      <c r="I26" s="100">
        <f>Model!AV36</f>
        <v>0</v>
      </c>
      <c r="J26" s="100">
        <f>Model!BA36</f>
        <v>0</v>
      </c>
      <c r="K26" s="100">
        <f>Model!BF36</f>
        <v>0</v>
      </c>
      <c r="L26" s="101">
        <f>Model!BK36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0</v>
      </c>
      <c r="E27" s="103">
        <f>SUM(E28:E39)</f>
        <v>0</v>
      </c>
      <c r="F27" s="103">
        <f>SUM(F28:F39)</f>
        <v>0</v>
      </c>
      <c r="G27" s="103" t="e">
        <f>SUM(G28:G39)</f>
        <v>#DIV/0!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Model!W246</f>
        <v>0</v>
      </c>
      <c r="E28" s="106">
        <f>Model!AB246</f>
        <v>0</v>
      </c>
      <c r="F28" s="106">
        <f>Model!AG246</f>
        <v>0</v>
      </c>
      <c r="G28" s="106">
        <f>Model!AL246</f>
        <v>0</v>
      </c>
      <c r="H28" s="106">
        <f>Model!AQ246</f>
        <v>0</v>
      </c>
      <c r="I28" s="106">
        <f>Model!AV246</f>
        <v>0</v>
      </c>
      <c r="J28" s="106">
        <f>Model!BA246</f>
        <v>0</v>
      </c>
      <c r="K28" s="106">
        <f>Model!BF246</f>
        <v>0</v>
      </c>
      <c r="L28" s="107">
        <f>Model!BK246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Model!W247</f>
        <v>0</v>
      </c>
      <c r="E29" s="106">
        <f>Model!AB247</f>
        <v>0</v>
      </c>
      <c r="F29" s="106">
        <f>Model!AG247</f>
        <v>0</v>
      </c>
      <c r="G29" s="106">
        <f>Model!AL247</f>
        <v>0</v>
      </c>
      <c r="H29" s="106">
        <f>Model!AQ247</f>
        <v>0</v>
      </c>
      <c r="I29" s="106">
        <f>Model!AV247</f>
        <v>0</v>
      </c>
      <c r="J29" s="106">
        <f>Model!BA247</f>
        <v>0</v>
      </c>
      <c r="K29" s="106">
        <f>Model!BF247</f>
        <v>0</v>
      </c>
      <c r="L29" s="107">
        <f>Model!BK247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Model!W248</f>
        <v>0</v>
      </c>
      <c r="E30" s="106">
        <f>Model!AB248</f>
        <v>0</v>
      </c>
      <c r="F30" s="106">
        <f>Model!AG248</f>
        <v>0</v>
      </c>
      <c r="G30" s="106">
        <f>Model!AL248</f>
        <v>0</v>
      </c>
      <c r="H30" s="106">
        <f>Model!AQ248</f>
        <v>0</v>
      </c>
      <c r="I30" s="106">
        <f>Model!AV248</f>
        <v>0</v>
      </c>
      <c r="J30" s="106">
        <f>Model!BA248</f>
        <v>0</v>
      </c>
      <c r="K30" s="106">
        <f>Model!BF248</f>
        <v>0</v>
      </c>
      <c r="L30" s="107">
        <f>Model!BK248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Model!W249</f>
        <v>0</v>
      </c>
      <c r="E31" s="106">
        <f>Model!AB249</f>
        <v>0</v>
      </c>
      <c r="F31" s="106">
        <f>Model!AG249</f>
        <v>0</v>
      </c>
      <c r="G31" s="106">
        <f>Model!AL249</f>
        <v>0</v>
      </c>
      <c r="H31" s="106">
        <f>Model!AQ249</f>
        <v>0</v>
      </c>
      <c r="I31" s="106">
        <f>Model!AV249</f>
        <v>0</v>
      </c>
      <c r="J31" s="106">
        <f>Model!BA249</f>
        <v>0</v>
      </c>
      <c r="K31" s="106">
        <f>Model!BF249</f>
        <v>0</v>
      </c>
      <c r="L31" s="107">
        <f>Model!BK249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Model!W250</f>
        <v>0</v>
      </c>
      <c r="E32" s="106">
        <f>Model!AB250</f>
        <v>0</v>
      </c>
      <c r="F32" s="106">
        <f>Model!AG250</f>
        <v>0</v>
      </c>
      <c r="G32" s="106">
        <f>Model!AL250</f>
        <v>0</v>
      </c>
      <c r="H32" s="106">
        <f>Model!AQ250</f>
        <v>0</v>
      </c>
      <c r="I32" s="106">
        <f>Model!AV250</f>
        <v>0</v>
      </c>
      <c r="J32" s="106">
        <f>Model!BA250</f>
        <v>0</v>
      </c>
      <c r="K32" s="106">
        <f>Model!BF250</f>
        <v>0</v>
      </c>
      <c r="L32" s="107">
        <f>Model!BK250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Model!W251</f>
        <v>0</v>
      </c>
      <c r="E33" s="106">
        <f>Model!AB251</f>
        <v>0</v>
      </c>
      <c r="F33" s="106">
        <f>Model!AG251</f>
        <v>0</v>
      </c>
      <c r="G33" s="106">
        <f>Model!AL251</f>
        <v>0</v>
      </c>
      <c r="H33" s="106">
        <f>Model!AQ251</f>
        <v>0</v>
      </c>
      <c r="I33" s="106">
        <f>Model!AV251</f>
        <v>0</v>
      </c>
      <c r="J33" s="106">
        <f>Model!BA251</f>
        <v>0</v>
      </c>
      <c r="K33" s="106">
        <f>Model!BF251</f>
        <v>0</v>
      </c>
      <c r="L33" s="107">
        <f>Model!BK251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Model!W252</f>
        <v>0</v>
      </c>
      <c r="E34" s="106">
        <f>Model!AB252</f>
        <v>0</v>
      </c>
      <c r="F34" s="106">
        <f>Model!AG252</f>
        <v>0</v>
      </c>
      <c r="G34" s="106" t="e">
        <f>Model!AL252</f>
        <v>#DIV/0!</v>
      </c>
      <c r="H34" s="106" t="e">
        <f>Model!AQ252</f>
        <v>#DIV/0!</v>
      </c>
      <c r="I34" s="106" t="e">
        <f>Model!AV252</f>
        <v>#DIV/0!</v>
      </c>
      <c r="J34" s="106" t="e">
        <f>Model!BA252</f>
        <v>#DIV/0!</v>
      </c>
      <c r="K34" s="106" t="e">
        <f>Model!BF252</f>
        <v>#DIV/0!</v>
      </c>
      <c r="L34" s="107" t="e">
        <f>Model!BK252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Model!W253</f>
        <v>0</v>
      </c>
      <c r="E35" s="106">
        <f>Model!AB253</f>
        <v>0</v>
      </c>
      <c r="F35" s="106">
        <f>Model!AG253</f>
        <v>0</v>
      </c>
      <c r="G35" s="106" t="e">
        <f>Model!AL253</f>
        <v>#DIV/0!</v>
      </c>
      <c r="H35" s="106" t="e">
        <f>Model!AQ253</f>
        <v>#DIV/0!</v>
      </c>
      <c r="I35" s="106" t="e">
        <f>Model!AV253</f>
        <v>#DIV/0!</v>
      </c>
      <c r="J35" s="106" t="e">
        <f>Model!BA253</f>
        <v>#DIV/0!</v>
      </c>
      <c r="K35" s="106" t="e">
        <f>Model!BF253</f>
        <v>#DIV/0!</v>
      </c>
      <c r="L35" s="107" t="e">
        <f>Model!BK253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Model!W254</f>
        <v>0</v>
      </c>
      <c r="E36" s="106">
        <f>Model!AB254</f>
        <v>0</v>
      </c>
      <c r="F36" s="106">
        <f>Model!AG254</f>
        <v>0</v>
      </c>
      <c r="G36" s="106">
        <f>Model!AL254</f>
        <v>0</v>
      </c>
      <c r="H36" s="106">
        <f>Model!AQ254</f>
        <v>0</v>
      </c>
      <c r="I36" s="106">
        <f>Model!AV254</f>
        <v>0</v>
      </c>
      <c r="J36" s="106">
        <f>Model!BA254</f>
        <v>0</v>
      </c>
      <c r="K36" s="106">
        <f>Model!BF254</f>
        <v>0</v>
      </c>
      <c r="L36" s="107">
        <f>Model!BK254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Model!W255</f>
        <v>0</v>
      </c>
      <c r="E37" s="106">
        <f>Model!AB255</f>
        <v>0</v>
      </c>
      <c r="F37" s="106">
        <f>Model!AG255</f>
        <v>0</v>
      </c>
      <c r="G37" s="106">
        <f>Model!AL255</f>
        <v>0</v>
      </c>
      <c r="H37" s="106">
        <f>Model!AQ255</f>
        <v>0</v>
      </c>
      <c r="I37" s="106">
        <f>Model!AV255</f>
        <v>0</v>
      </c>
      <c r="J37" s="106">
        <f>Model!BA255</f>
        <v>0</v>
      </c>
      <c r="K37" s="106">
        <f>Model!BF255</f>
        <v>0</v>
      </c>
      <c r="L37" s="107">
        <f>Model!BK255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(Model!W155-Model!R155)*-1</f>
        <v>0</v>
      </c>
      <c r="E38" s="106">
        <f>(Model!AB155-Model!W155)*-1</f>
        <v>0</v>
      </c>
      <c r="F38" s="106">
        <f>(Model!AG155-Model!AB155)*-1</f>
        <v>0</v>
      </c>
      <c r="G38" s="106">
        <f>(Model!AL155-Model!AG155)*-1</f>
        <v>0</v>
      </c>
      <c r="H38" s="106">
        <f>(Model!AQ155-Model!AL155)*-1</f>
        <v>0</v>
      </c>
      <c r="I38" s="106">
        <f>(Model!AV155-Model!AQ155)*-1</f>
        <v>0</v>
      </c>
      <c r="J38" s="106">
        <f>(Model!BA155-Model!AV155)*-1</f>
        <v>0</v>
      </c>
      <c r="K38" s="106">
        <f>(Model!BF155-Model!BA155)*-1</f>
        <v>0</v>
      </c>
      <c r="L38" s="107">
        <f>(Model!BK155-Model!BF155)*-1</f>
        <v>0</v>
      </c>
      <c r="M38">
        <f>(Model!BP155-Model!BK155)*-1</f>
        <v>0</v>
      </c>
      <c r="N38">
        <f>(Model!BU155-Model!BP155)*-1</f>
        <v>0</v>
      </c>
      <c r="O38">
        <f>(Model!BZ155-Model!BU155)*-1</f>
        <v>0</v>
      </c>
      <c r="P38">
        <f>(Model!CE155-Model!BZ155)*-1</f>
        <v>0</v>
      </c>
      <c r="Q38">
        <f>(Model!CJ155-Model!CE155)*-1</f>
        <v>0</v>
      </c>
      <c r="R38">
        <f>(Model!CO155-Model!CJ155)*-1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Model!W206-Model!R206</f>
        <v>0</v>
      </c>
      <c r="E39" s="106">
        <f>Model!AB206-Model!W206</f>
        <v>0</v>
      </c>
      <c r="F39" s="106">
        <f>Model!AG206-Model!AB206</f>
        <v>0</v>
      </c>
      <c r="G39" s="106">
        <f>Model!AL206-Model!AG206</f>
        <v>0</v>
      </c>
      <c r="H39" s="106">
        <f>Model!AQ206-Model!AL206</f>
        <v>0</v>
      </c>
      <c r="I39" s="106">
        <f>Model!AV206-Model!AQ206</f>
        <v>0</v>
      </c>
      <c r="J39" s="106">
        <f>Model!BA206-Model!AV206</f>
        <v>0</v>
      </c>
      <c r="K39" s="106">
        <f>Model!BF206-Model!BA206</f>
        <v>0</v>
      </c>
      <c r="L39" s="107">
        <f>Model!BK206-Model!BF206</f>
        <v>0</v>
      </c>
      <c r="M39">
        <f>Model!BP206-Model!BK206</f>
        <v>0</v>
      </c>
      <c r="N39">
        <f>Model!BU206-Model!BP206</f>
        <v>0</v>
      </c>
      <c r="O39">
        <f>Model!BZ206-Model!BU206</f>
        <v>0</v>
      </c>
      <c r="P39">
        <f>Model!CE206-Model!BZ206</f>
        <v>0</v>
      </c>
      <c r="Q39">
        <f>Model!CJ206-Model!CE206</f>
        <v>0</v>
      </c>
      <c r="R39">
        <f>Model!CO206-Model!CJ206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0</v>
      </c>
      <c r="E44" s="103">
        <f>SUM(E27+E40+E41+E42+E26)</f>
        <v>0</v>
      </c>
      <c r="F44" s="103">
        <f>SUM(F27+F40+F41+F42+F26)</f>
        <v>0</v>
      </c>
      <c r="G44" s="103" t="e">
        <f>SUM(G27+G40+G41+G42+G26)</f>
        <v>#DIV/0!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>
        <f>+L46-M46</f>
        <v>0</v>
      </c>
      <c r="N44" s="103">
        <f>+M46-N46</f>
        <v>0</v>
      </c>
      <c r="O44" s="103">
        <f>+N46-O46</f>
        <v>0</v>
      </c>
      <c r="P44" s="103">
        <f>+O46-P46</f>
        <v>0</v>
      </c>
      <c r="Q44" s="103">
        <f>+P46-Q46</f>
        <v>0</v>
      </c>
      <c r="R44" s="103">
        <f>+Q46-R46</f>
        <v>0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Model!W316</f>
        <v>0</v>
      </c>
      <c r="E46" s="106">
        <f>Model!AB316</f>
        <v>0</v>
      </c>
      <c r="F46" s="106">
        <f>Model!AG316</f>
        <v>0</v>
      </c>
      <c r="G46" s="106">
        <f>Model!AL316</f>
        <v>0</v>
      </c>
      <c r="H46" s="106">
        <f>Model!AQ316</f>
        <v>0</v>
      </c>
      <c r="I46" s="106">
        <f>Model!AV316</f>
        <v>0</v>
      </c>
      <c r="J46" s="106">
        <f>Model!BA316</f>
        <v>0</v>
      </c>
      <c r="K46" s="106">
        <f>Model!BF316</f>
        <v>0</v>
      </c>
      <c r="L46" s="106">
        <f>Model!BK316</f>
        <v>0</v>
      </c>
      <c r="M46" s="115">
        <f>Model!BP316</f>
        <v>0</v>
      </c>
      <c r="N46" s="115">
        <f>Model!BU316</f>
        <v>0</v>
      </c>
      <c r="O46" s="115">
        <f>Model!BZ316</f>
        <v>0</v>
      </c>
      <c r="P46" s="115">
        <f>Model!CE316</f>
        <v>0</v>
      </c>
      <c r="Q46" s="115">
        <f>Model!CJ316</f>
        <v>0</v>
      </c>
      <c r="R46" s="115">
        <f>Model!CO316</f>
        <v>0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Model!W317</f>
        <v>0</v>
      </c>
      <c r="E47" s="106">
        <f>Model!AB317</f>
        <v>0</v>
      </c>
      <c r="F47" s="106">
        <f>Model!AG317</f>
        <v>0</v>
      </c>
      <c r="G47" s="106">
        <f>Model!AL317</f>
        <v>0</v>
      </c>
      <c r="H47" s="106">
        <f>Model!AQ317</f>
        <v>0</v>
      </c>
      <c r="I47" s="106">
        <f>Model!AV317</f>
        <v>0</v>
      </c>
      <c r="J47" s="106">
        <f>Model!BA317</f>
        <v>0</v>
      </c>
      <c r="K47" s="106">
        <f>Model!BF317</f>
        <v>0</v>
      </c>
      <c r="L47" s="106">
        <f>Model!BK317</f>
        <v>0</v>
      </c>
      <c r="M47">
        <f>Model!BP317</f>
        <v>0</v>
      </c>
      <c r="N47">
        <f>Model!BU317</f>
        <v>0</v>
      </c>
      <c r="O47">
        <f>Model!BZ317</f>
        <v>0</v>
      </c>
      <c r="P47">
        <f>Model!CE317</f>
        <v>0</v>
      </c>
      <c r="Q47">
        <f>Model!CJ317</f>
        <v>0</v>
      </c>
      <c r="R47">
        <f>Model!CO317</f>
        <v>0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 t="e">
        <f>D46/D18</f>
        <v>#DIV/0!</v>
      </c>
      <c r="E48" s="92" t="e">
        <f>E46/E18</f>
        <v>#DIV/0!</v>
      </c>
      <c r="F48" s="92" t="e">
        <f>F46/F18</f>
        <v>#DIV/0!</v>
      </c>
      <c r="G48" s="92" t="e">
        <f>G46/G18</f>
        <v>#DIV/0!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 t="e">
        <v>#VALUE!</v>
      </c>
      <c r="H50" s="120" t="e">
        <v>#VALUE!</v>
      </c>
      <c r="I50" s="120" t="e">
        <v>#VALUE!</v>
      </c>
      <c r="J50" s="120" t="e">
        <v>#VALUE!</v>
      </c>
      <c r="K50" s="120" t="e">
        <v>#VALUE!</v>
      </c>
      <c r="L50" s="120" t="e">
        <v>#VALUE!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#VALUE!</v>
      </c>
      <c r="Z50" s="123" t="e">
        <f>R50</f>
        <v>#DIV/0!</v>
      </c>
    </row>
    <row r="51">
      <c r="C51" s="68" t="inlineStr">
        <is>
          <t>Capital Turnover</t>
        </is>
      </c>
      <c r="D51" s="124" t="e">
        <f>D18/D46</f>
        <v>#DIV/0!</v>
      </c>
      <c r="E51" s="124" t="e">
        <f>E18/E46</f>
        <v>#DIV/0!</v>
      </c>
      <c r="F51" s="124" t="e">
        <f>F18/F46</f>
        <v>#DIV/0!</v>
      </c>
      <c r="G51" s="124" t="e">
        <f>G18/G46</f>
        <v>#DIV/0!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2"/>
    <row r="53" customFormat="1" s="68">
      <c r="A53" s="249" t="n"/>
      <c r="B53" s="249" t="n"/>
      <c r="C53" s="68" t="inlineStr">
        <is>
          <t>Unlevered free cash flows = FCFF</t>
        </is>
      </c>
      <c r="D53" s="125" t="e">
        <f>D25+D44</f>
        <v>#DIV/0!</v>
      </c>
      <c r="E53" s="125" t="e">
        <f>E25+E44</f>
        <v>#DIV/0!</v>
      </c>
      <c r="F53" s="125" t="e">
        <f>F25+F44</f>
        <v>#DIV/0!</v>
      </c>
      <c r="G53" s="126" t="e">
        <f>(G25+G44)*stub_year_fraction</f>
        <v>#DIV/0!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 t="e">
        <f>SUMIFS(INDEX($C$17:$AQ$42,,MATCH(D$59,$C$17:$AQ$17,0)),$C$17:$C$42,"NOPLAT")*(1+D63)</f>
        <v>#DIV/0!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 t="e">
        <f>F24</f>
        <v>#DIV/0!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2026-10-12T09:35:34Z</dcterms:modified>
  <cp:lastModifiedBy>Lucas Nascimento</cp:lastModifiedBy>
</cp:coreProperties>
</file>