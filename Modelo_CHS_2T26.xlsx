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b val="1"/>
      <color theme="1"/>
      <sz val="10"/>
    </font>
    <font>
      <name val="Verdana"/>
      <b val="1"/>
      <sz val="10"/>
    </font>
  </fonts>
  <fills count="15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9" borderId="0" applyAlignment="1" pivotButton="0" quotePrefix="0" xfId="0">
      <alignment horizontal="left" vertical="bottom"/>
    </xf>
    <xf numFmtId="0" fontId="24" fillId="7" borderId="0" applyAlignment="1" pivotButton="0" quotePrefix="0" xfId="0">
      <alignment horizontal="general" vertical="bottom"/>
    </xf>
    <xf numFmtId="3" fontId="24" fillId="7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general" vertical="bottom"/>
    </xf>
    <xf numFmtId="171" fontId="24" fillId="7" borderId="0" applyAlignment="1" pivotButton="0" quotePrefix="0" xfId="0">
      <alignment horizontal="center" vertical="bottom"/>
    </xf>
    <xf numFmtId="171" fontId="24" fillId="0" borderId="0" applyAlignment="1" pivotButton="0" quotePrefix="0" xfId="0">
      <alignment horizontal="center" vertical="bottom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8320159</v>
      </c>
      <c r="E5" s="265" t="n">
        <v>10929976</v>
      </c>
      <c r="F5" s="265" t="n">
        <v>10482255</v>
      </c>
      <c r="G5" s="265" t="n">
        <v>10880757</v>
      </c>
      <c r="I5" s="265" t="n">
        <v>10332588</v>
      </c>
      <c r="J5" s="265" t="n">
        <v>13137724</v>
      </c>
      <c r="K5" s="265" t="n">
        <v>13440597</v>
      </c>
      <c r="L5" s="265" t="n">
        <v>12765839</v>
      </c>
      <c r="N5" s="265" t="n">
        <v>11306848</v>
      </c>
      <c r="O5" s="265" t="n">
        <v>12026051</v>
      </c>
      <c r="P5" s="265" t="n">
        <v>9491266</v>
      </c>
      <c r="Q5" s="265" t="n">
        <v>11390658</v>
      </c>
      <c r="S5" s="265" t="n">
        <v>9087480</v>
      </c>
      <c r="T5" s="265" t="n">
        <v>9608983</v>
      </c>
      <c r="U5" s="265" t="n">
        <v>9174108</v>
      </c>
      <c r="V5" s="265" t="n">
        <v>9294112</v>
      </c>
      <c r="X5" s="265" t="n">
        <v>7796191</v>
      </c>
      <c r="Y5" s="265" t="n">
        <v>9766421</v>
      </c>
      <c r="Z5" s="265" t="n">
        <v>8605884</v>
      </c>
      <c r="AA5" s="265" t="n">
        <v>8864104</v>
      </c>
      <c r="AC5" s="265" t="n">
        <v>8353791</v>
      </c>
      <c r="AD5" s="265" t="n">
        <v>11582089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8218439</v>
      </c>
      <c r="E6" s="265" t="n">
        <v>10615348</v>
      </c>
      <c r="F6" s="265" t="n">
        <v>10125308</v>
      </c>
      <c r="G6" s="265" t="n">
        <v>10360849</v>
      </c>
      <c r="I6" s="265" t="n">
        <v>10063590</v>
      </c>
      <c r="J6" s="265" t="n">
        <v>12493467</v>
      </c>
      <c r="K6" s="265" t="n">
        <v>12746839</v>
      </c>
      <c r="L6" s="265" t="n">
        <v>11886704</v>
      </c>
      <c r="N6" s="265" t="n">
        <v>10922581</v>
      </c>
      <c r="O6" s="265" t="n">
        <v>11351711</v>
      </c>
      <c r="P6" s="265" t="n">
        <v>9052743</v>
      </c>
      <c r="Q6" s="265" t="n">
        <v>10745708</v>
      </c>
      <c r="S6" s="265" t="n">
        <v>8721588</v>
      </c>
      <c r="T6" s="265" t="n">
        <v>9141188</v>
      </c>
      <c r="U6" s="265" t="n">
        <v>8901418</v>
      </c>
      <c r="V6" s="265" t="n">
        <v>8893436</v>
      </c>
      <c r="X6" s="265" t="n">
        <v>7719876</v>
      </c>
      <c r="Y6" s="265" t="n">
        <v>9436610</v>
      </c>
      <c r="Z6" s="265" t="n">
        <v>8275872</v>
      </c>
      <c r="AA6" s="265" t="n">
        <v>8474752</v>
      </c>
      <c r="AC6" s="265" t="n">
        <v>8327973</v>
      </c>
      <c r="AD6" s="265" t="n">
        <v>11171469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-8218439</v>
      </c>
      <c r="E7" s="265">
        <f>IF(E6="","",-1*E6)</f>
        <v>-10615348</v>
      </c>
      <c r="F7" s="265">
        <f>IF(F6="","",-1*F6)</f>
        <v>-10125308</v>
      </c>
      <c r="G7" s="265">
        <f>IF(G6="","",-1*G6)</f>
        <v>-10360849</v>
      </c>
      <c r="I7" s="265">
        <f>IF(I6="","",-1*I6)</f>
        <v>-10063590</v>
      </c>
      <c r="J7" s="265">
        <f>IF(J6="","",-1*J6)</f>
        <v>-12493467</v>
      </c>
      <c r="K7" s="265">
        <f>IF(K6="","",-1*K6)</f>
        <v>-12746839</v>
      </c>
      <c r="L7" s="265">
        <f>IF(L6="","",-1*L6)</f>
        <v>-11886704</v>
      </c>
      <c r="N7" s="265">
        <f>IF(N6="","",-1*N6)</f>
        <v>-10922581</v>
      </c>
      <c r="O7" s="265">
        <f>IF(O6="","",-1*O6)</f>
        <v>-11351711</v>
      </c>
      <c r="P7" s="265">
        <f>IF(P6="","",-1*P6)</f>
        <v>-9052743</v>
      </c>
      <c r="Q7" s="265">
        <f>IF(Q6="","",-1*Q6)</f>
        <v>-10745708</v>
      </c>
      <c r="S7" s="265">
        <f>IF(S6="","",-1*S6)</f>
        <v>-8721588</v>
      </c>
      <c r="T7" s="265">
        <f>IF(T6="","",-1*T6)</f>
        <v>-9141188</v>
      </c>
      <c r="U7" s="265">
        <f>IF(U6="","",-1*U6)</f>
        <v>-8901418</v>
      </c>
      <c r="V7" s="265">
        <f>IF(V6="","",-1*V6)</f>
        <v>-8893436</v>
      </c>
      <c r="X7" s="265">
        <f>IF(X6="","",-1*X6)</f>
        <v>-7719876</v>
      </c>
      <c r="Y7" s="265">
        <f>IF(Y6="","",-1*Y6)</f>
        <v>-9436610</v>
      </c>
      <c r="Z7" s="265">
        <f>IF(Z6="","",-1*Z6)</f>
        <v>-8275872</v>
      </c>
      <c r="AA7" s="265">
        <f>IF(AA6="","",-1*AA6)</f>
        <v>-8474752</v>
      </c>
      <c r="AC7" s="265">
        <f>IF(AC6="","",-1*AC6)</f>
        <v>-8327973</v>
      </c>
      <c r="AD7" s="265">
        <f>IF(AD6="","",-1*AD6)</f>
        <v>-11171469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-59790</v>
      </c>
      <c r="E8" s="265" t="n">
        <v>127925</v>
      </c>
      <c r="F8" s="265" t="n">
        <v>130220</v>
      </c>
      <c r="G8" s="265" t="n">
        <v>314974</v>
      </c>
      <c r="I8" s="265" t="n">
        <v>24673</v>
      </c>
      <c r="J8" s="265" t="n">
        <v>401121</v>
      </c>
      <c r="K8" s="265" t="n">
        <v>388318</v>
      </c>
      <c r="L8" s="265" t="n">
        <v>644469</v>
      </c>
      <c r="N8" s="265" t="n">
        <v>142342</v>
      </c>
      <c r="O8" s="265" t="n">
        <v>401102</v>
      </c>
      <c r="P8" s="265" t="n">
        <v>155587</v>
      </c>
      <c r="Q8" s="265" t="n">
        <v>392894</v>
      </c>
      <c r="S8" s="265" t="n">
        <v>67662</v>
      </c>
      <c r="T8" s="265" t="n">
        <v>151360</v>
      </c>
      <c r="U8" s="265" t="n">
        <v>-27558</v>
      </c>
      <c r="V8" s="265" t="n">
        <v>137826</v>
      </c>
      <c r="X8" s="265" t="n">
        <v>-171953</v>
      </c>
      <c r="Y8" s="265" t="n">
        <v>70961</v>
      </c>
      <c r="Z8" s="265" t="n">
        <v>53921</v>
      </c>
      <c r="AA8" s="265" t="n">
        <v>121232</v>
      </c>
      <c r="AC8" s="265" t="n">
        <v>-241791</v>
      </c>
      <c r="AD8" s="265" t="n">
        <v>108337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161510</v>
      </c>
      <c r="E9" s="265">
        <f>N(E5)-N(E6)-N(E8)</f>
        <v>186703</v>
      </c>
      <c r="F9" s="265">
        <f>N(F5)-N(F6)-N(F8)</f>
        <v>226727</v>
      </c>
      <c r="G9" s="265">
        <f>N(G5)-N(G6)-N(G8)</f>
        <v>204934</v>
      </c>
      <c r="I9" s="265">
        <f>N(I5)-N(I6)-N(I8)</f>
        <v>244325</v>
      </c>
      <c r="J9" s="265">
        <f>N(J5)-N(J6)-N(J8)</f>
        <v>243136</v>
      </c>
      <c r="K9" s="265">
        <f>N(K5)-N(K6)-N(K8)</f>
        <v>305440</v>
      </c>
      <c r="L9" s="265">
        <f>N(L5)-N(L6)-N(L8)</f>
        <v>234666</v>
      </c>
      <c r="N9" s="265">
        <f>N(N5)-N(N6)-N(N8)</f>
        <v>241925</v>
      </c>
      <c r="O9" s="265">
        <f>N(O5)-N(O6)-N(O8)</f>
        <v>273238</v>
      </c>
      <c r="P9" s="265">
        <f>N(P5)-N(P6)-N(P8)</f>
        <v>282936</v>
      </c>
      <c r="Q9" s="265">
        <f>N(Q5)-N(Q6)-N(Q8)</f>
        <v>252056</v>
      </c>
      <c r="S9" s="265">
        <f>N(S5)-N(S6)-N(S8)</f>
        <v>298230</v>
      </c>
      <c r="T9" s="265">
        <f>N(T5)-N(T6)-N(T8)</f>
        <v>316435</v>
      </c>
      <c r="U9" s="265">
        <f>N(U5)-N(U6)-N(U8)</f>
        <v>300248</v>
      </c>
      <c r="V9" s="265">
        <f>N(V5)-N(V6)-N(V8)</f>
        <v>262850</v>
      </c>
      <c r="X9" s="265">
        <f>N(X5)-N(X6)-N(X8)</f>
        <v>248268</v>
      </c>
      <c r="Y9" s="265">
        <f>N(Y5)-N(Y6)-N(Y8)</f>
        <v>258850</v>
      </c>
      <c r="Z9" s="265">
        <f>N(Z5)-N(Z6)-N(Z8)</f>
        <v>276091</v>
      </c>
      <c r="AA9" s="265">
        <f>N(AA5)-N(AA6)-N(AA8)</f>
        <v>268120</v>
      </c>
      <c r="AC9" s="265">
        <f>N(AC5)-N(AC6)-N(AC8)</f>
        <v>267609</v>
      </c>
      <c r="AD9" s="265">
        <f>N(AD5)-N(AD6)-N(AD8)</f>
        <v>302283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-161510</v>
      </c>
      <c r="E10" s="265">
        <f>IF(E9="","",-1*E9)</f>
        <v>-186703</v>
      </c>
      <c r="F10" s="265">
        <f>IF(F9="","",-1*F9)</f>
        <v>-226727</v>
      </c>
      <c r="G10" s="265">
        <f>IF(G9="","",-1*G9)</f>
        <v>-204934</v>
      </c>
      <c r="I10" s="265">
        <f>IF(I9="","",-1*I9)</f>
        <v>-244325</v>
      </c>
      <c r="J10" s="265">
        <f>IF(J9="","",-1*J9)</f>
        <v>-243136</v>
      </c>
      <c r="K10" s="265">
        <f>IF(K9="","",-1*K9)</f>
        <v>-305440</v>
      </c>
      <c r="L10" s="265">
        <f>IF(L9="","",-1*L9)</f>
        <v>-234666</v>
      </c>
      <c r="N10" s="265">
        <f>IF(N9="","",-1*N9)</f>
        <v>-241925</v>
      </c>
      <c r="O10" s="265">
        <f>IF(O9="","",-1*O9)</f>
        <v>-273238</v>
      </c>
      <c r="P10" s="265">
        <f>IF(P9="","",-1*P9)</f>
        <v>-282936</v>
      </c>
      <c r="Q10" s="265">
        <f>IF(Q9="","",-1*Q9)</f>
        <v>-252056</v>
      </c>
      <c r="S10" s="265">
        <f>IF(S9="","",-1*S9)</f>
        <v>-298230</v>
      </c>
      <c r="T10" s="265">
        <f>IF(T9="","",-1*T9)</f>
        <v>-316435</v>
      </c>
      <c r="U10" s="265">
        <f>IF(U9="","",-1*U9)</f>
        <v>-300248</v>
      </c>
      <c r="V10" s="265">
        <f>IF(V9="","",-1*V9)</f>
        <v>-262850</v>
      </c>
      <c r="X10" s="265">
        <f>IF(X9="","",-1*X9)</f>
        <v>-248268</v>
      </c>
      <c r="Y10" s="265">
        <f>IF(Y9="","",-1*Y9)</f>
        <v>-258850</v>
      </c>
      <c r="Z10" s="265">
        <f>IF(Z9="","",-1*Z9)</f>
        <v>-276091</v>
      </c>
      <c r="AA10" s="265">
        <f>IF(AA9="","",-1*AA9)</f>
        <v>-268120</v>
      </c>
      <c r="AC10" s="265">
        <f>IF(AC9="","",-1*AC9)</f>
        <v>-267609</v>
      </c>
      <c r="AD10" s="265">
        <f>IF(AD9="","",-1*AD9)</f>
        <v>-302283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-6690</v>
      </c>
      <c r="E11" s="265" t="n">
        <v>256203</v>
      </c>
      <c r="F11" s="265" t="n">
        <v>220767</v>
      </c>
      <c r="G11" s="265" t="n">
        <v>466663</v>
      </c>
      <c r="I11" s="265" t="n">
        <v>230827</v>
      </c>
      <c r="J11" s="265" t="n">
        <v>638737</v>
      </c>
      <c r="K11" s="265" t="n">
        <v>473790</v>
      </c>
      <c r="L11" s="265" t="n">
        <v>817470</v>
      </c>
      <c r="N11" s="265" t="n">
        <v>313022</v>
      </c>
      <c r="O11" s="265" t="n">
        <v>558120</v>
      </c>
      <c r="P11" s="265" t="n">
        <v>319167</v>
      </c>
      <c r="Q11" s="265" t="n">
        <v>516846</v>
      </c>
      <c r="S11" s="265" t="n">
        <v>185658</v>
      </c>
      <c r="T11" s="265" t="n">
        <v>309868</v>
      </c>
      <c r="U11" s="265" t="n">
        <v>85415</v>
      </c>
      <c r="V11" s="265" t="n">
        <v>258837</v>
      </c>
      <c r="X11" s="265" t="n">
        <v>-84712</v>
      </c>
      <c r="Y11" s="265" t="n">
        <v>258855</v>
      </c>
      <c r="Z11" s="265" t="n">
        <v>181792</v>
      </c>
      <c r="AA11" s="265" t="n">
        <v>272188</v>
      </c>
      <c r="AC11" s="265" t="n">
        <v>-164977</v>
      </c>
      <c r="AD11" s="265" t="n">
        <v>282213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53100</v>
      </c>
      <c r="E12" s="265">
        <f>N(E11)-N(E8)</f>
        <v>128278</v>
      </c>
      <c r="F12" s="265">
        <f>N(F11)-N(F8)</f>
        <v>90547</v>
      </c>
      <c r="G12" s="265">
        <f>N(G11)-N(G8)</f>
        <v>151689</v>
      </c>
      <c r="I12" s="265">
        <f>N(I11)-N(I8)</f>
        <v>206154</v>
      </c>
      <c r="J12" s="265">
        <f>N(J11)-N(J8)</f>
        <v>237616</v>
      </c>
      <c r="K12" s="265">
        <f>N(K11)-N(K8)</f>
        <v>85472</v>
      </c>
      <c r="L12" s="265">
        <f>N(L11)-N(L8)</f>
        <v>173001</v>
      </c>
      <c r="N12" s="265">
        <f>N(N11)-N(N8)</f>
        <v>170680</v>
      </c>
      <c r="O12" s="265">
        <f>N(O11)-N(O8)</f>
        <v>157018</v>
      </c>
      <c r="P12" s="265">
        <f>N(P11)-N(P8)</f>
        <v>163580</v>
      </c>
      <c r="Q12" s="265">
        <f>N(Q11)-N(Q8)</f>
        <v>123952</v>
      </c>
      <c r="S12" s="265">
        <f>N(S11)-N(S8)</f>
        <v>117996</v>
      </c>
      <c r="T12" s="265">
        <f>N(T11)-N(T8)</f>
        <v>158508</v>
      </c>
      <c r="U12" s="265">
        <f>N(U11)-N(U8)</f>
        <v>112973</v>
      </c>
      <c r="V12" s="265">
        <f>N(V11)-N(V8)</f>
        <v>121011</v>
      </c>
      <c r="X12" s="265">
        <f>N(X11)-N(X8)</f>
        <v>87241</v>
      </c>
      <c r="Y12" s="265">
        <f>N(Y11)-N(Y8)</f>
        <v>187894</v>
      </c>
      <c r="Z12" s="265">
        <f>N(Z11)-N(Z8)</f>
        <v>127871</v>
      </c>
      <c r="AA12" s="265">
        <f>N(AA11)-N(AA8)</f>
        <v>150956</v>
      </c>
      <c r="AC12" s="265">
        <f>N(AC11)-N(AC8)</f>
        <v>76814</v>
      </c>
      <c r="AD12" s="265">
        <f>N(AD11)-N(AD8)</f>
        <v>173876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28855</v>
      </c>
      <c r="E13" s="265" t="n">
        <v>28992</v>
      </c>
      <c r="F13" s="265" t="n">
        <v>21668</v>
      </c>
      <c r="G13" s="265" t="n">
        <v>23432</v>
      </c>
      <c r="I13" s="265" t="n">
        <v>25174</v>
      </c>
      <c r="J13" s="265" t="n">
        <v>32099</v>
      </c>
      <c r="K13" s="265" t="n">
        <v>33451</v>
      </c>
      <c r="L13" s="265" t="n">
        <v>33250</v>
      </c>
      <c r="N13" s="265" t="n">
        <v>35967</v>
      </c>
      <c r="O13" s="265" t="n">
        <v>36949</v>
      </c>
      <c r="P13" s="265" t="n">
        <v>31242</v>
      </c>
      <c r="Q13" s="265" t="n">
        <v>29628</v>
      </c>
      <c r="S13" s="265" t="n">
        <v>25460</v>
      </c>
      <c r="T13" s="265" t="n">
        <v>23425</v>
      </c>
      <c r="U13" s="265" t="n">
        <v>25551</v>
      </c>
      <c r="V13" s="265" t="n">
        <v>27648</v>
      </c>
      <c r="X13" s="265" t="n">
        <v>25205</v>
      </c>
      <c r="Y13" s="265" t="n">
        <v>44109</v>
      </c>
      <c r="Z13" s="265" t="n">
        <v>49117</v>
      </c>
      <c r="AA13" s="265" t="n">
        <v>37351</v>
      </c>
      <c r="AC13" s="265" t="n">
        <v>43757</v>
      </c>
      <c r="AD13" s="265" t="n">
        <v>49725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-28855</v>
      </c>
      <c r="E14" s="265">
        <f>IF(E13="","",-1*E13)</f>
        <v>-28992</v>
      </c>
      <c r="F14" s="265">
        <f>IF(F13="","",-1*F13)</f>
        <v>-21668</v>
      </c>
      <c r="G14" s="265">
        <f>IF(G13="","",-1*G13)</f>
        <v>-23432</v>
      </c>
      <c r="I14" s="265">
        <f>IF(I13="","",-1*I13)</f>
        <v>-25174</v>
      </c>
      <c r="J14" s="265">
        <f>IF(J13="","",-1*J13)</f>
        <v>-32099</v>
      </c>
      <c r="K14" s="265">
        <f>IF(K13="","",-1*K13)</f>
        <v>-33451</v>
      </c>
      <c r="L14" s="265">
        <f>IF(L13="","",-1*L13)</f>
        <v>-33250</v>
      </c>
      <c r="N14" s="265">
        <f>IF(N13="","",-1*N13)</f>
        <v>-35967</v>
      </c>
      <c r="O14" s="265">
        <f>IF(O13="","",-1*O13)</f>
        <v>-36949</v>
      </c>
      <c r="P14" s="265">
        <f>IF(P13="","",-1*P13)</f>
        <v>-31242</v>
      </c>
      <c r="Q14" s="265">
        <f>IF(Q13="","",-1*Q13)</f>
        <v>-29628</v>
      </c>
      <c r="S14" s="265">
        <f>IF(S13="","",-1*S13)</f>
        <v>-25460</v>
      </c>
      <c r="T14" s="265">
        <f>IF(T13="","",-1*T13)</f>
        <v>-23425</v>
      </c>
      <c r="U14" s="265">
        <f>IF(U13="","",-1*U13)</f>
        <v>-25551</v>
      </c>
      <c r="V14" s="265">
        <f>IF(V13="","",-1*V13)</f>
        <v>-27648</v>
      </c>
      <c r="X14" s="265">
        <f>IF(X13="","",-1*X13)</f>
        <v>-25205</v>
      </c>
      <c r="Y14" s="265">
        <f>IF(Y13="","",-1*Y13)</f>
        <v>-44109</v>
      </c>
      <c r="Z14" s="265">
        <f>IF(Z13="","",-1*Z13)</f>
        <v>-49117</v>
      </c>
      <c r="AA14" s="265">
        <f>IF(AA13="","",-1*AA13)</f>
        <v>-37351</v>
      </c>
      <c r="AC14" s="265">
        <f>IF(AC13="","",-1*AC13)</f>
        <v>-43757</v>
      </c>
      <c r="AD14" s="265">
        <f>IF(AD13="","",-1*AD13)</f>
        <v>-49725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28855</v>
      </c>
      <c r="E15" s="265">
        <f>IF(E13="","",E13)</f>
        <v>28992</v>
      </c>
      <c r="F15" s="265">
        <f>IF(F13="","",F13)</f>
        <v>21668</v>
      </c>
      <c r="G15" s="265">
        <f>IF(G13="","",G13)</f>
        <v>23432</v>
      </c>
      <c r="I15" s="265">
        <f>IF(I13="","",I13)</f>
        <v>25174</v>
      </c>
      <c r="J15" s="265">
        <f>IF(J13="","",J13)</f>
        <v>32099</v>
      </c>
      <c r="K15" s="265">
        <f>IF(K13="","",K13)</f>
        <v>33451</v>
      </c>
      <c r="L15" s="265">
        <f>IF(L13="","",L13)</f>
        <v>33250</v>
      </c>
      <c r="N15" s="265">
        <f>IF(N13="","",N13)</f>
        <v>35967</v>
      </c>
      <c r="O15" s="265">
        <f>IF(O13="","",O13)</f>
        <v>36949</v>
      </c>
      <c r="P15" s="265">
        <f>IF(P13="","",P13)</f>
        <v>31242</v>
      </c>
      <c r="Q15" s="265">
        <f>IF(Q13="","",Q13)</f>
        <v>29628</v>
      </c>
      <c r="S15" s="265">
        <f>IF(S13="","",S13)</f>
        <v>25460</v>
      </c>
      <c r="T15" s="265">
        <f>IF(T13="","",T13)</f>
        <v>23425</v>
      </c>
      <c r="U15" s="265">
        <f>IF(U13="","",U13)</f>
        <v>25551</v>
      </c>
      <c r="V15" s="265">
        <f>IF(V13="","",V13)</f>
        <v>27648</v>
      </c>
      <c r="X15" s="265">
        <f>IF(X13="","",X13)</f>
        <v>25205</v>
      </c>
      <c r="Y15" s="265">
        <f>IF(Y13="","",Y13)</f>
        <v>44109</v>
      </c>
      <c r="Z15" s="265">
        <f>IF(Z13="","",Z13)</f>
        <v>49117</v>
      </c>
      <c r="AA15" s="265">
        <f>IF(AA13="","",AA13)</f>
        <v>37351</v>
      </c>
      <c r="AC15" s="265">
        <f>IF(AC13="","",AC13)</f>
        <v>43757</v>
      </c>
      <c r="AD15" s="265">
        <f>IF(AD13="","",AD13)</f>
        <v>49725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31668</v>
      </c>
      <c r="E16" s="265" t="n">
        <v>-17469</v>
      </c>
      <c r="F16" s="265" t="n">
        <v>-28119</v>
      </c>
      <c r="G16" s="265" t="n">
        <v>14720</v>
      </c>
      <c r="I16" s="265" t="n">
        <v>11931</v>
      </c>
      <c r="J16" s="265" t="n">
        <v>62492</v>
      </c>
      <c r="K16" s="265" t="n">
        <v>42973</v>
      </c>
      <c r="L16" s="265" t="n">
        <v>34554</v>
      </c>
      <c r="N16" s="265" t="n">
        <v>20974</v>
      </c>
      <c r="O16" s="265" t="n">
        <v>10777</v>
      </c>
      <c r="P16" s="265" t="n">
        <v>41350</v>
      </c>
      <c r="Q16" s="265" t="n">
        <v>-6522</v>
      </c>
      <c r="S16" s="265" t="n">
        <v>15325</v>
      </c>
      <c r="T16" s="265" t="n">
        <v>12613</v>
      </c>
      <c r="U16" s="265" t="n">
        <v>-26288</v>
      </c>
      <c r="V16" s="265" t="n">
        <v>13244</v>
      </c>
      <c r="X16" s="265" t="n">
        <v>-8709</v>
      </c>
      <c r="Y16" s="265" t="n">
        <v>27175</v>
      </c>
      <c r="Z16" s="265" t="n">
        <v>-14933</v>
      </c>
      <c r="AA16" s="265" t="n">
        <v>11731</v>
      </c>
      <c r="AC16" s="265" t="n">
        <v>-17787</v>
      </c>
      <c r="AD16" s="265" t="n">
        <v>14717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-31668</v>
      </c>
      <c r="E17" s="265">
        <f>IF(E16="","",-1*E16)</f>
        <v>17469</v>
      </c>
      <c r="F17" s="265">
        <f>IF(F16="","",-1*F16)</f>
        <v>28119</v>
      </c>
      <c r="G17" s="265">
        <f>IF(G16="","",-1*G16)</f>
        <v>-14720</v>
      </c>
      <c r="I17" s="265">
        <f>IF(I16="","",-1*I16)</f>
        <v>-11931</v>
      </c>
      <c r="J17" s="265">
        <f>IF(J16="","",-1*J16)</f>
        <v>-62492</v>
      </c>
      <c r="K17" s="265">
        <f>IF(K16="","",-1*K16)</f>
        <v>-42973</v>
      </c>
      <c r="L17" s="265">
        <f>IF(L16="","",-1*L16)</f>
        <v>-34554</v>
      </c>
      <c r="N17" s="265">
        <f>IF(N16="","",-1*N16)</f>
        <v>-20974</v>
      </c>
      <c r="O17" s="265">
        <f>IF(O16="","",-1*O16)</f>
        <v>-10777</v>
      </c>
      <c r="P17" s="265">
        <f>IF(P16="","",-1*P16)</f>
        <v>-41350</v>
      </c>
      <c r="Q17" s="265">
        <f>IF(Q16="","",-1*Q16)</f>
        <v>6522</v>
      </c>
      <c r="S17" s="265">
        <f>IF(S16="","",-1*S16)</f>
        <v>-15325</v>
      </c>
      <c r="T17" s="265">
        <f>IF(T16="","",-1*T16)</f>
        <v>-12613</v>
      </c>
      <c r="U17" s="265">
        <f>IF(U16="","",-1*U16)</f>
        <v>26288</v>
      </c>
      <c r="V17" s="265">
        <f>IF(V16="","",-1*V16)</f>
        <v>-13244</v>
      </c>
      <c r="X17" s="265">
        <f>IF(X16="","",-1*X16)</f>
        <v>8709</v>
      </c>
      <c r="Y17" s="265">
        <f>IF(Y16="","",-1*Y16)</f>
        <v>-27175</v>
      </c>
      <c r="Z17" s="265">
        <f>IF(Z16="","",-1*Z16)</f>
        <v>14933</v>
      </c>
      <c r="AA17" s="265">
        <f>IF(AA16="","",-1*AA16)</f>
        <v>-11731</v>
      </c>
      <c r="AC17" s="265">
        <f>IF(AC16="","",-1*AC16)</f>
        <v>17787</v>
      </c>
      <c r="AD17" s="265">
        <f>IF(AD16="","",-1*AD16)</f>
        <v>-14717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-129</v>
      </c>
      <c r="E18" s="265" t="n">
        <v>81</v>
      </c>
      <c r="F18" s="265" t="n">
        <v>-33</v>
      </c>
      <c r="G18" s="265" t="n">
        <v>-18</v>
      </c>
      <c r="I18" s="265" t="n">
        <v>-104</v>
      </c>
      <c r="J18" s="265" t="n">
        <v>-329</v>
      </c>
      <c r="K18" s="265" t="n">
        <v>-410</v>
      </c>
      <c r="L18" s="265" t="n">
        <v>318</v>
      </c>
      <c r="N18" s="265" t="n">
        <v>-273</v>
      </c>
      <c r="O18" s="265" t="n">
        <v>-156</v>
      </c>
      <c r="P18" s="265" t="n">
        <v>-203</v>
      </c>
      <c r="Q18" s="265" t="n">
        <v>445</v>
      </c>
      <c r="S18" s="265" t="n">
        <v>26</v>
      </c>
      <c r="T18" s="265" t="n">
        <v>-19</v>
      </c>
      <c r="U18" s="265" t="n">
        <v>-112</v>
      </c>
      <c r="V18" s="265" t="n">
        <v>803</v>
      </c>
      <c r="X18" s="265" t="n">
        <v>-249</v>
      </c>
      <c r="Y18" s="265" t="n">
        <v>-504</v>
      </c>
      <c r="Z18" s="265" t="n">
        <v>28</v>
      </c>
      <c r="AA18" s="265" t="n">
        <v>-26</v>
      </c>
      <c r="AC18" s="265" t="n">
        <v>-138</v>
      </c>
      <c r="AD18" s="265" t="n">
        <v>130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129</v>
      </c>
      <c r="E19" s="265">
        <f>IF(E18="","",-1*E18)</f>
        <v>-81</v>
      </c>
      <c r="F19" s="265">
        <f>IF(F18="","",-1*F18)</f>
        <v>33</v>
      </c>
      <c r="G19" s="265">
        <f>IF(G18="","",-1*G18)</f>
        <v>18</v>
      </c>
      <c r="I19" s="265">
        <f>IF(I18="","",-1*I18)</f>
        <v>104</v>
      </c>
      <c r="J19" s="265">
        <f>IF(J18="","",-1*J18)</f>
        <v>329</v>
      </c>
      <c r="K19" s="265">
        <f>IF(K18="","",-1*K18)</f>
        <v>410</v>
      </c>
      <c r="L19" s="265">
        <f>IF(L18="","",-1*L18)</f>
        <v>-318</v>
      </c>
      <c r="N19" s="265">
        <f>IF(N18="","",-1*N18)</f>
        <v>273</v>
      </c>
      <c r="O19" s="265">
        <f>IF(O18="","",-1*O18)</f>
        <v>156</v>
      </c>
      <c r="P19" s="265">
        <f>IF(P18="","",-1*P18)</f>
        <v>203</v>
      </c>
      <c r="Q19" s="265">
        <f>IF(Q18="","",-1*Q18)</f>
        <v>-445</v>
      </c>
      <c r="S19" s="265">
        <f>IF(S18="","",-1*S18)</f>
        <v>-26</v>
      </c>
      <c r="T19" s="265">
        <f>IF(T18="","",-1*T18)</f>
        <v>19</v>
      </c>
      <c r="U19" s="265">
        <f>IF(U18="","",-1*U18)</f>
        <v>112</v>
      </c>
      <c r="V19" s="265">
        <f>IF(V18="","",-1*V18)</f>
        <v>-803</v>
      </c>
      <c r="X19" s="265">
        <f>IF(X18="","",-1*X18)</f>
        <v>249</v>
      </c>
      <c r="Y19" s="265">
        <f>IF(Y18="","",-1*Y18)</f>
        <v>504</v>
      </c>
      <c r="Z19" s="265">
        <f>IF(Z18="","",-1*Z18)</f>
        <v>-28</v>
      </c>
      <c r="AA19" s="265">
        <f>IF(AA18="","",-1*AA18)</f>
        <v>26</v>
      </c>
      <c r="AC19" s="265">
        <f>IF(AC18="","",-1*AC18)</f>
        <v>138</v>
      </c>
      <c r="AD19" s="265">
        <f>IF(AD18="","",-1*AD18)</f>
        <v>-130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-38229</v>
      </c>
      <c r="E20" s="265" t="n">
        <v>273591</v>
      </c>
      <c r="F20" s="265" t="n">
        <v>248919</v>
      </c>
      <c r="G20" s="265" t="n">
        <v>451961</v>
      </c>
      <c r="I20" s="265" t="n">
        <v>219000</v>
      </c>
      <c r="J20" s="265" t="n">
        <v>576574</v>
      </c>
      <c r="K20" s="265" t="n">
        <v>431227</v>
      </c>
      <c r="L20" s="265" t="n">
        <v>782598</v>
      </c>
      <c r="N20" s="265" t="n">
        <v>292321</v>
      </c>
      <c r="O20" s="265" t="n">
        <v>547499</v>
      </c>
      <c r="P20" s="265" t="n">
        <v>278020</v>
      </c>
      <c r="Q20" s="265" t="n">
        <v>522923</v>
      </c>
      <c r="S20" s="265" t="n">
        <v>170307</v>
      </c>
      <c r="T20" s="265" t="n">
        <v>297274</v>
      </c>
      <c r="U20" s="265" t="n">
        <v>111815</v>
      </c>
      <c r="V20" s="265" t="n">
        <v>244790</v>
      </c>
      <c r="X20" s="265" t="n">
        <v>-75754</v>
      </c>
      <c r="Y20" s="265" t="n">
        <v>232184</v>
      </c>
      <c r="Z20" s="265" t="n">
        <v>196697</v>
      </c>
      <c r="AA20" s="265" t="n">
        <v>260483</v>
      </c>
      <c r="AC20" s="265" t="n">
        <v>-147052</v>
      </c>
      <c r="AD20" s="265" t="n">
        <v>267366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-38229</v>
      </c>
      <c r="E22" s="265">
        <f>N(E20)</f>
        <v>273591</v>
      </c>
      <c r="F22" s="265">
        <f>N(F20)</f>
        <v>248919</v>
      </c>
      <c r="G22" s="265">
        <f>N(G20)</f>
        <v>451961</v>
      </c>
      <c r="I22" s="265">
        <f>N(I20)</f>
        <v>219000</v>
      </c>
      <c r="J22" s="265">
        <f>N(J20)</f>
        <v>576574</v>
      </c>
      <c r="K22" s="265">
        <f>N(K20)</f>
        <v>431227</v>
      </c>
      <c r="L22" s="265">
        <f>N(L20)</f>
        <v>782598</v>
      </c>
      <c r="N22" s="265">
        <f>N(N20)</f>
        <v>292321</v>
      </c>
      <c r="O22" s="265">
        <f>N(O20)</f>
        <v>547499</v>
      </c>
      <c r="P22" s="265">
        <f>N(P20)</f>
        <v>278020</v>
      </c>
      <c r="Q22" s="265">
        <f>N(Q20)</f>
        <v>522923</v>
      </c>
      <c r="S22" s="265">
        <f>N(S20)</f>
        <v>170307</v>
      </c>
      <c r="T22" s="265">
        <f>N(T20)</f>
        <v>297274</v>
      </c>
      <c r="U22" s="265">
        <f>N(U20)</f>
        <v>111815</v>
      </c>
      <c r="V22" s="265">
        <f>N(V20)</f>
        <v>244790</v>
      </c>
      <c r="X22" s="265">
        <f>N(X20)</f>
        <v>-75754</v>
      </c>
      <c r="Y22" s="265">
        <f>N(Y20)</f>
        <v>232184</v>
      </c>
      <c r="Z22" s="265">
        <f>N(Z20)</f>
        <v>196697</v>
      </c>
      <c r="AA22" s="265">
        <f>N(AA20)</f>
        <v>260483</v>
      </c>
      <c r="AC22" s="265">
        <f>N(AC20)</f>
        <v>-147052</v>
      </c>
      <c r="AD22" s="265">
        <f>N(AD20)</f>
        <v>267366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[us-gaap:DepreciationDepletionAndAmortizationincludingmajormaintenance/DepreciationDepletionAndAmortization] · fonte · unid. moeda</t>
        </is>
      </c>
      <c r="C24" t="inlineStr">
        <is>
          <t>[linha bruta, sem código; lançada nas linhas abaixo]</t>
        </is>
      </c>
      <c r="D24" s="265" t="n">
        <v>133034</v>
      </c>
      <c r="E24" s="265" t="n">
        <v>133931</v>
      </c>
      <c r="F24" s="265" t="n">
        <v>133841</v>
      </c>
      <c r="G24" s="265" t="n">
        <v>132772</v>
      </c>
      <c r="I24" s="265" t="n">
        <v>132389</v>
      </c>
      <c r="J24" s="265" t="n">
        <v>134401</v>
      </c>
      <c r="K24" s="265" t="n">
        <v>136931</v>
      </c>
      <c r="L24" s="265" t="n">
        <v>131388</v>
      </c>
      <c r="N24" s="265" t="n">
        <v>134485</v>
      </c>
      <c r="O24" s="265" t="n">
        <v>134601</v>
      </c>
      <c r="P24" s="265" t="n">
        <v>139047</v>
      </c>
      <c r="Q24" s="265" t="n">
        <v>138037</v>
      </c>
      <c r="S24" s="265" t="n">
        <v>140202</v>
      </c>
      <c r="T24" s="265" t="n">
        <v>143482</v>
      </c>
      <c r="U24" s="265" t="n">
        <v>148170</v>
      </c>
      <c r="V24" s="265" t="n">
        <v>147684</v>
      </c>
      <c r="X24" s="265" t="n">
        <v>155029</v>
      </c>
      <c r="Y24" s="265" t="n">
        <v>159370</v>
      </c>
      <c r="Z24" s="265" t="n">
        <v>189344</v>
      </c>
      <c r="AA24" s="265" t="n">
        <v>170836</v>
      </c>
      <c r="AC24" s="265" t="n">
        <v>172628</v>
      </c>
      <c r="AD24" s="265" t="n">
        <v>165317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-133034</v>
      </c>
      <c r="E25" s="265">
        <f>IF(E24="","",-1*E24)</f>
        <v>-133931</v>
      </c>
      <c r="F25" s="265">
        <f>IF(F24="","",-1*F24)</f>
        <v>-133841</v>
      </c>
      <c r="G25" s="265">
        <f>IF(G24="","",-1*G24)</f>
        <v>-132772</v>
      </c>
      <c r="I25" s="265">
        <f>IF(I24="","",-1*I24)</f>
        <v>-132389</v>
      </c>
      <c r="J25" s="265">
        <f>IF(J24="","",-1*J24)</f>
        <v>-134401</v>
      </c>
      <c r="K25" s="265">
        <f>IF(K24="","",-1*K24)</f>
        <v>-136931</v>
      </c>
      <c r="L25" s="265">
        <f>IF(L24="","",-1*L24)</f>
        <v>-131388</v>
      </c>
      <c r="N25" s="265">
        <f>IF(N24="","",-1*N24)</f>
        <v>-134485</v>
      </c>
      <c r="O25" s="265">
        <f>IF(O24="","",-1*O24)</f>
        <v>-134601</v>
      </c>
      <c r="P25" s="265">
        <f>IF(P24="","",-1*P24)</f>
        <v>-139047</v>
      </c>
      <c r="Q25" s="265">
        <f>IF(Q24="","",-1*Q24)</f>
        <v>-138037</v>
      </c>
      <c r="S25" s="265">
        <f>IF(S24="","",-1*S24)</f>
        <v>-140202</v>
      </c>
      <c r="T25" s="265">
        <f>IF(T24="","",-1*T24)</f>
        <v>-143482</v>
      </c>
      <c r="U25" s="265">
        <f>IF(U24="","",-1*U24)</f>
        <v>-148170</v>
      </c>
      <c r="V25" s="265">
        <f>IF(V24="","",-1*V24)</f>
        <v>-147684</v>
      </c>
      <c r="X25" s="265">
        <f>IF(X24="","",-1*X24)</f>
        <v>-155029</v>
      </c>
      <c r="Y25" s="265">
        <f>IF(Y24="","",-1*Y24)</f>
        <v>-159370</v>
      </c>
      <c r="Z25" s="265">
        <f>IF(Z24="","",-1*Z24)</f>
        <v>-189344</v>
      </c>
      <c r="AA25" s="265">
        <f>IF(AA24="","",-1*AA24)</f>
        <v>-170836</v>
      </c>
      <c r="AC25" s="265">
        <f>IF(AC24="","",-1*AC24)</f>
        <v>-172628</v>
      </c>
      <c r="AD25" s="265">
        <f>IF(AD24="","",-1*AD24)</f>
        <v>-165317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133034</v>
      </c>
      <c r="E26" s="265">
        <f>IF(E24="","",E24)</f>
        <v>133931</v>
      </c>
      <c r="F26" s="265">
        <f>IF(F24="","",F24)</f>
        <v>133841</v>
      </c>
      <c r="G26" s="265">
        <f>IF(G24="","",G24)</f>
        <v>132772</v>
      </c>
      <c r="I26" s="265">
        <f>IF(I24="","",I24)</f>
        <v>132389</v>
      </c>
      <c r="J26" s="265">
        <f>IF(J24="","",J24)</f>
        <v>134401</v>
      </c>
      <c r="K26" s="265">
        <f>IF(K24="","",K24)</f>
        <v>136931</v>
      </c>
      <c r="L26" s="265">
        <f>IF(L24="","",L24)</f>
        <v>131388</v>
      </c>
      <c r="N26" s="265">
        <f>IF(N24="","",N24)</f>
        <v>134485</v>
      </c>
      <c r="O26" s="265">
        <f>IF(O24="","",O24)</f>
        <v>134601</v>
      </c>
      <c r="P26" s="265">
        <f>IF(P24="","",P24)</f>
        <v>139047</v>
      </c>
      <c r="Q26" s="265">
        <f>IF(Q24="","",Q24)</f>
        <v>138037</v>
      </c>
      <c r="S26" s="265">
        <f>IF(S24="","",S24)</f>
        <v>140202</v>
      </c>
      <c r="T26" s="265">
        <f>IF(T24="","",T24)</f>
        <v>143482</v>
      </c>
      <c r="U26" s="265">
        <f>IF(U24="","",U24)</f>
        <v>148170</v>
      </c>
      <c r="V26" s="265">
        <f>IF(V24="","",V24)</f>
        <v>147684</v>
      </c>
      <c r="X26" s="265">
        <f>IF(X24="","",X24)</f>
        <v>155029</v>
      </c>
      <c r="Y26" s="265">
        <f>IF(Y24="","",Y24)</f>
        <v>159370</v>
      </c>
      <c r="Z26" s="265">
        <f>IF(Z24="","",Z24)</f>
        <v>189344</v>
      </c>
      <c r="AA26" s="265">
        <f>IF(AA24="","",AA24)</f>
        <v>170836</v>
      </c>
      <c r="AC26" s="265">
        <f>IF(AC24="","",AC24)</f>
        <v>172628</v>
      </c>
      <c r="AD26" s="265">
        <f>IF(AD24="","",AD24)</f>
        <v>165317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0</v>
      </c>
      <c r="E27" s="265" t="n">
        <v>0</v>
      </c>
      <c r="F27" s="265" t="n">
        <v>0</v>
      </c>
      <c r="G27" s="265" t="n">
        <v>0</v>
      </c>
      <c r="I27" s="265" t="n">
        <v>0</v>
      </c>
      <c r="J27" s="265" t="n">
        <v>0</v>
      </c>
      <c r="K27" s="265" t="n">
        <v>0</v>
      </c>
      <c r="L27" s="265" t="n">
        <v>0</v>
      </c>
      <c r="N27" s="265" t="n">
        <v>0</v>
      </c>
      <c r="O27" s="265" t="n">
        <v>0</v>
      </c>
      <c r="P27" s="265" t="n">
        <v>0</v>
      </c>
      <c r="Q27" s="265" t="n">
        <v>0</v>
      </c>
      <c r="S27" s="265" t="n">
        <v>0</v>
      </c>
      <c r="T27" s="265" t="n">
        <v>0</v>
      </c>
      <c r="U27" s="265" t="n">
        <v>0</v>
      </c>
      <c r="V27" s="265" t="n">
        <v>0</v>
      </c>
      <c r="X27" s="265" t="n">
        <v>0</v>
      </c>
      <c r="Y27" s="265" t="n">
        <v>0</v>
      </c>
      <c r="Z27" s="265" t="n">
        <v>0</v>
      </c>
      <c r="AA27" s="265" t="n">
        <v>0</v>
      </c>
      <c r="AC27" s="265" t="n">
        <v>0</v>
      </c>
      <c r="AD27" s="265" t="n">
        <v>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0</v>
      </c>
      <c r="E28" s="265">
        <f>IF(E27="","",-1*E27)</f>
        <v>0</v>
      </c>
      <c r="F28" s="265">
        <f>IF(F27="","",-1*F27)</f>
        <v>0</v>
      </c>
      <c r="G28" s="265">
        <f>IF(G27="","",-1*G27)</f>
        <v>0</v>
      </c>
      <c r="I28" s="265">
        <f>IF(I27="","",-1*I27)</f>
        <v>0</v>
      </c>
      <c r="J28" s="265">
        <f>IF(J27="","",-1*J27)</f>
        <v>0</v>
      </c>
      <c r="K28" s="265">
        <f>IF(K27="","",-1*K27)</f>
        <v>0</v>
      </c>
      <c r="L28" s="265">
        <f>IF(L27="","",-1*L27)</f>
        <v>0</v>
      </c>
      <c r="N28" s="265">
        <f>IF(N27="","",-1*N27)</f>
        <v>0</v>
      </c>
      <c r="O28" s="265">
        <f>IF(O27="","",-1*O27)</f>
        <v>0</v>
      </c>
      <c r="P28" s="265">
        <f>IF(P27="","",-1*P27)</f>
        <v>0</v>
      </c>
      <c r="Q28" s="265">
        <f>IF(Q27="","",-1*Q27)</f>
        <v>0</v>
      </c>
      <c r="S28" s="265">
        <f>IF(S27="","",-1*S27)</f>
        <v>0</v>
      </c>
      <c r="T28" s="265">
        <f>IF(T27="","",-1*T27)</f>
        <v>0</v>
      </c>
      <c r="U28" s="265">
        <f>IF(U27="","",-1*U27)</f>
        <v>0</v>
      </c>
      <c r="V28" s="265">
        <f>IF(V27="","",-1*V27)</f>
        <v>0</v>
      </c>
      <c r="X28" s="265">
        <f>IF(X27="","",-1*X27)</f>
        <v>0</v>
      </c>
      <c r="Y28" s="265">
        <f>IF(Y27="","",-1*Y27)</f>
        <v>0</v>
      </c>
      <c r="Z28" s="265">
        <f>IF(Z27="","",-1*Z27)</f>
        <v>0</v>
      </c>
      <c r="AA28" s="265">
        <f>IF(AA27="","",-1*AA27)</f>
        <v>0</v>
      </c>
      <c r="AC28" s="265">
        <f>IF(AC27="","",-1*AC27)</f>
        <v>0</v>
      </c>
      <c r="AD28" s="265">
        <f>IF(AD27="","",-1*AD27)</f>
        <v>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CashAndCashEquivalentsAtCarryingValue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217675</v>
      </c>
      <c r="E30" s="265" t="n">
        <v>301230</v>
      </c>
      <c r="F30" s="265" t="n">
        <v>413159</v>
      </c>
      <c r="G30" s="265" t="n">
        <v>310002</v>
      </c>
      <c r="I30" s="265" t="n">
        <v>211936</v>
      </c>
      <c r="J30" s="265" t="n">
        <v>369256</v>
      </c>
      <c r="K30" s="265" t="n">
        <v>793957</v>
      </c>
      <c r="L30" s="265" t="n">
        <v>636296</v>
      </c>
      <c r="N30" s="265" t="n">
        <v>462220</v>
      </c>
      <c r="O30" s="265" t="n">
        <v>997323</v>
      </c>
      <c r="P30" s="265" t="n">
        <v>1765286</v>
      </c>
      <c r="Q30" s="265" t="n">
        <v>1349757</v>
      </c>
      <c r="S30" s="265" t="n">
        <v>633292</v>
      </c>
      <c r="T30" s="265" t="n">
        <v>310128</v>
      </c>
      <c r="U30" s="265" t="n">
        <v>794865</v>
      </c>
      <c r="V30" s="265" t="n">
        <v>450491</v>
      </c>
      <c r="X30" s="265" t="n">
        <v>433300</v>
      </c>
      <c r="Y30" s="265" t="n">
        <v>323862</v>
      </c>
      <c r="Z30" s="265" t="n">
        <v>327826</v>
      </c>
      <c r="AA30" s="265" t="n">
        <v>374694</v>
      </c>
      <c r="AC30" s="265" t="n">
        <v>248472</v>
      </c>
      <c r="AD30" s="265" t="n">
        <v>497614</v>
      </c>
    </row>
    <row r="31">
      <c r="A31" t="inlineStr">
        <is>
          <t>AccountsNotesAndLoansReceivableNetCurrent · fonte · unid. moeda</t>
        </is>
      </c>
      <c r="B31" t="n">
        <v>12</v>
      </c>
      <c r="C31" t="inlineStr">
        <is>
          <t>Accounts receivable</t>
        </is>
      </c>
      <c r="D31" s="265" t="n">
        <v>2336920</v>
      </c>
      <c r="E31" s="265" t="n">
        <v>3191478</v>
      </c>
      <c r="F31" s="265" t="n">
        <v>2860884</v>
      </c>
      <c r="G31" s="265" t="n">
        <v>3579417</v>
      </c>
      <c r="I31" s="265" t="n">
        <v>3494888</v>
      </c>
      <c r="J31" s="265" t="n">
        <v>4093122</v>
      </c>
      <c r="K31" s="265" t="n">
        <v>3548315</v>
      </c>
      <c r="L31" s="265" t="n">
        <v>4276643</v>
      </c>
      <c r="N31" s="265" t="n">
        <v>3611016</v>
      </c>
      <c r="O31" s="265" t="n">
        <v>3839097</v>
      </c>
      <c r="P31" s="265" t="n">
        <v>3105811</v>
      </c>
      <c r="Q31" s="265" t="n">
        <v>3772527</v>
      </c>
      <c r="S31" s="265" t="n">
        <v>3369864</v>
      </c>
      <c r="T31" s="265" t="n">
        <v>3817151</v>
      </c>
      <c r="U31" s="265" t="n">
        <v>3549917</v>
      </c>
      <c r="V31" s="265" t="n">
        <v>3740766</v>
      </c>
      <c r="X31" s="265" t="n">
        <v>3392512</v>
      </c>
      <c r="Y31" s="265" t="n">
        <v>4197885</v>
      </c>
      <c r="Z31" s="265" t="n">
        <v>3686585</v>
      </c>
      <c r="AA31" s="265" t="n">
        <v>3988684</v>
      </c>
      <c r="AC31" s="265" t="n">
        <v>3603449</v>
      </c>
      <c r="AD31" s="265" t="n">
        <v>4542147</v>
      </c>
    </row>
    <row r="32">
      <c r="A32" t="inlineStr">
        <is>
          <t>InventoryNet · fonte · unid. moeda</t>
        </is>
      </c>
      <c r="B32" t="n">
        <v>13</v>
      </c>
      <c r="C32" t="inlineStr">
        <is>
          <t>Inventories</t>
        </is>
      </c>
      <c r="D32" s="265" t="n">
        <v>4246051</v>
      </c>
      <c r="E32" s="265" t="n">
        <v>3513871</v>
      </c>
      <c r="F32" s="265" t="n">
        <v>3334675</v>
      </c>
      <c r="G32" s="265" t="n">
        <v>4608816</v>
      </c>
      <c r="I32" s="265" t="n">
        <v>5304817</v>
      </c>
      <c r="J32" s="265" t="n">
        <v>4451695</v>
      </c>
      <c r="K32" s="265" t="n">
        <v>3652871</v>
      </c>
      <c r="L32" s="265" t="n">
        <v>5070104</v>
      </c>
      <c r="N32" s="265" t="n">
        <v>4858258</v>
      </c>
      <c r="O32" s="265" t="n">
        <v>3280822</v>
      </c>
      <c r="P32" s="265" t="n">
        <v>3215179</v>
      </c>
      <c r="Q32" s="265" t="n">
        <v>4251580</v>
      </c>
      <c r="S32" s="265" t="n">
        <v>3931631</v>
      </c>
      <c r="T32" s="265" t="n">
        <v>3305167</v>
      </c>
      <c r="U32" s="265" t="n">
        <v>3067415</v>
      </c>
      <c r="V32" s="265" t="n">
        <v>3901294</v>
      </c>
      <c r="X32" s="265" t="n">
        <v>4644319</v>
      </c>
      <c r="Y32" s="265" t="n">
        <v>3451379</v>
      </c>
      <c r="Z32" s="265" t="n">
        <v>3270350</v>
      </c>
      <c r="AA32" s="265" t="n">
        <v>4327585</v>
      </c>
      <c r="AC32" s="265" t="n">
        <v>4886738</v>
      </c>
      <c r="AD32" s="265" t="n">
        <v>3606271</v>
      </c>
    </row>
    <row r="33">
      <c r="A33" t="inlineStr">
        <is>
          <t>OtherAssetsCurrent · fonte · unid. moeda</t>
        </is>
      </c>
      <c r="B33" t="n">
        <v>16</v>
      </c>
      <c r="C33" t="inlineStr">
        <is>
          <t>Other current assets</t>
        </is>
      </c>
      <c r="D33" s="265" t="n">
        <v>2150250</v>
      </c>
      <c r="E33" s="265" t="n">
        <v>1896796</v>
      </c>
      <c r="F33" s="265" t="n">
        <v>1390233</v>
      </c>
      <c r="G33" s="265" t="n">
        <v>1498883</v>
      </c>
      <c r="I33" s="265" t="n">
        <v>2215421</v>
      </c>
      <c r="J33" s="265" t="n">
        <v>2061475</v>
      </c>
      <c r="K33" s="265" t="n">
        <v>1382704</v>
      </c>
      <c r="L33" s="265" t="n">
        <v>1481592</v>
      </c>
      <c r="N33" s="265" t="n">
        <v>1690433</v>
      </c>
      <c r="O33" s="265" t="n">
        <v>1269049</v>
      </c>
      <c r="P33" s="265" t="n">
        <v>1042373</v>
      </c>
      <c r="Q33" s="265" t="n">
        <v>1213331</v>
      </c>
      <c r="S33" s="265" t="n">
        <v>1388321</v>
      </c>
      <c r="T33" s="265" t="n">
        <v>1027818</v>
      </c>
      <c r="U33" s="265" t="n">
        <v>1296586</v>
      </c>
      <c r="V33" s="265" t="n">
        <v>1265673</v>
      </c>
      <c r="X33" s="265" t="n">
        <v>1226613</v>
      </c>
      <c r="Y33" s="265" t="n">
        <v>954021</v>
      </c>
      <c r="Z33" s="265" t="n">
        <v>801590</v>
      </c>
      <c r="AA33" s="265" t="n">
        <v>1209357</v>
      </c>
      <c r="AC33" s="265" t="n">
        <v>1517293</v>
      </c>
      <c r="AD33" s="265" t="n">
        <v>1297261</v>
      </c>
    </row>
    <row r="34">
      <c r="A34" t="inlineStr">
        <is>
          <t>PropertyPlantAndEquipmentNet · fonte · unid. moeda</t>
        </is>
      </c>
      <c r="B34" t="n">
        <v>18</v>
      </c>
      <c r="C34" t="inlineStr">
        <is>
          <t>PP&amp;E</t>
        </is>
      </c>
      <c r="D34" s="265" t="n">
        <v>4866751</v>
      </c>
      <c r="E34" s="265" t="n">
        <v>4827076</v>
      </c>
      <c r="F34" s="265" t="n">
        <v>4810005</v>
      </c>
      <c r="G34" s="265" t="n">
        <v>4738246</v>
      </c>
      <c r="I34" s="265" t="n">
        <v>4693339</v>
      </c>
      <c r="J34" s="265" t="n">
        <v>4685638</v>
      </c>
      <c r="K34" s="265" t="n">
        <v>4744959</v>
      </c>
      <c r="L34" s="265" t="n">
        <v>4728819</v>
      </c>
      <c r="N34" s="265" t="n">
        <v>4735335</v>
      </c>
      <c r="O34" s="265" t="n">
        <v>4757169</v>
      </c>
      <c r="P34" s="265" t="n">
        <v>4869373</v>
      </c>
      <c r="Q34" s="265" t="n">
        <v>4877071</v>
      </c>
      <c r="S34" s="265" t="n">
        <v>4961507</v>
      </c>
      <c r="T34" s="265" t="n">
        <v>5032713</v>
      </c>
      <c r="U34" s="265" t="n">
        <v>5177355</v>
      </c>
      <c r="V34" s="265" t="n">
        <v>5239387</v>
      </c>
      <c r="X34" s="265" t="n">
        <v>5417114</v>
      </c>
      <c r="Y34" s="265" t="n">
        <v>5454678</v>
      </c>
      <c r="Z34" s="265" t="n">
        <v>5501294</v>
      </c>
      <c r="AA34" s="265" t="n">
        <v>5464180</v>
      </c>
      <c r="AC34" s="265" t="n">
        <v>0</v>
      </c>
      <c r="AD34" s="265" t="n">
        <v>0</v>
      </c>
    </row>
    <row r="35">
      <c r="A35" t="inlineStr">
        <is>
          <t>PropertyPlantAndEquipmentAndFinanceLeaseRightOfUseAssetAfterAccumulatedDepreciationAndAmortization · fonte · unid. moeda</t>
        </is>
      </c>
      <c r="B35" t="n">
        <v>18</v>
      </c>
      <c r="C35" t="inlineStr">
        <is>
          <t>PP&amp;E</t>
        </is>
      </c>
      <c r="D35" s="265" t="n">
        <v>0</v>
      </c>
      <c r="E35" s="265" t="n">
        <v>0</v>
      </c>
      <c r="F35" s="265" t="n">
        <v>0</v>
      </c>
      <c r="G35" s="265" t="n">
        <v>0</v>
      </c>
      <c r="I35" s="265" t="n">
        <v>0</v>
      </c>
      <c r="J35" s="265" t="n">
        <v>0</v>
      </c>
      <c r="K35" s="265" t="n">
        <v>0</v>
      </c>
      <c r="L35" s="265" t="n">
        <v>0</v>
      </c>
      <c r="N35" s="265" t="n">
        <v>0</v>
      </c>
      <c r="O35" s="265" t="n">
        <v>0</v>
      </c>
      <c r="P35" s="265" t="n">
        <v>0</v>
      </c>
      <c r="Q35" s="265" t="n">
        <v>0</v>
      </c>
      <c r="S35" s="265" t="n">
        <v>0</v>
      </c>
      <c r="T35" s="265" t="n">
        <v>0</v>
      </c>
      <c r="U35" s="265" t="n">
        <v>0</v>
      </c>
      <c r="V35" s="265" t="n">
        <v>0</v>
      </c>
      <c r="X35" s="265" t="n">
        <v>0</v>
      </c>
      <c r="Y35" s="265" t="n">
        <v>0</v>
      </c>
      <c r="Z35" s="265" t="n">
        <v>0</v>
      </c>
      <c r="AA35" s="265" t="n">
        <v>0</v>
      </c>
      <c r="AC35" s="265" t="n">
        <v>5431747</v>
      </c>
      <c r="AD35" s="265" t="n">
        <v>5410727</v>
      </c>
    </row>
    <row r="36">
      <c r="A36" t="inlineStr">
        <is>
          <t>Investments · fonte · unid. moeda</t>
        </is>
      </c>
      <c r="B36" t="n">
        <v>22</v>
      </c>
      <c r="C36" t="inlineStr">
        <is>
          <t>Other non-current assets</t>
        </is>
      </c>
      <c r="D36" s="265" t="n">
        <v>3639453</v>
      </c>
      <c r="E36" s="265" t="n">
        <v>3763936</v>
      </c>
      <c r="F36" s="265" t="n">
        <v>3669111</v>
      </c>
      <c r="G36" s="265" t="n">
        <v>3809509</v>
      </c>
      <c r="I36" s="265" t="n">
        <v>3788710</v>
      </c>
      <c r="J36" s="265" t="n">
        <v>4023095</v>
      </c>
      <c r="K36" s="265" t="n">
        <v>3728006</v>
      </c>
      <c r="L36" s="265" t="n">
        <v>3890624</v>
      </c>
      <c r="N36" s="265" t="n">
        <v>3790655</v>
      </c>
      <c r="O36" s="265" t="n">
        <v>3905734</v>
      </c>
      <c r="P36" s="265" t="n">
        <v>3828872</v>
      </c>
      <c r="Q36" s="265" t="n">
        <v>3831854</v>
      </c>
      <c r="S36" s="265" t="n">
        <v>3780129</v>
      </c>
      <c r="T36" s="265" t="n">
        <v>3893649</v>
      </c>
      <c r="U36" s="265" t="n">
        <v>3780967</v>
      </c>
      <c r="V36" s="265" t="n">
        <v>3864186</v>
      </c>
      <c r="X36" s="265" t="n">
        <v>3768144</v>
      </c>
      <c r="Y36" s="265" t="n">
        <v>3901119</v>
      </c>
      <c r="Z36" s="265" t="n">
        <v>3846062</v>
      </c>
      <c r="AA36" s="265" t="n">
        <v>3927380</v>
      </c>
      <c r="AC36" s="265" t="n">
        <v>3767436</v>
      </c>
      <c r="AD36" s="265" t="n">
        <v>3959651</v>
      </c>
    </row>
    <row r="37">
      <c r="A37" t="inlineStr">
        <is>
          <t>OtherAssetsNoncurrent · fonte · unid. moeda</t>
        </is>
      </c>
      <c r="B37" t="n">
        <v>22</v>
      </c>
      <c r="C37" t="inlineStr">
        <is>
          <t>Other non-current assets</t>
        </is>
      </c>
      <c r="D37" s="265" t="n">
        <v>1109043</v>
      </c>
      <c r="E37" s="265" t="n">
        <v>1106239</v>
      </c>
      <c r="F37" s="265" t="n">
        <v>1098208</v>
      </c>
      <c r="G37" s="265" t="n">
        <v>1070105</v>
      </c>
      <c r="I37" s="265" t="n">
        <v>1038190</v>
      </c>
      <c r="J37" s="265" t="n">
        <v>1024762</v>
      </c>
      <c r="K37" s="265" t="n">
        <v>973995</v>
      </c>
      <c r="L37" s="265" t="n">
        <v>989186</v>
      </c>
      <c r="N37" s="265" t="n">
        <v>1023097</v>
      </c>
      <c r="O37" s="265" t="n">
        <v>1145257</v>
      </c>
      <c r="P37" s="265" t="n">
        <v>1130524</v>
      </c>
      <c r="Q37" s="265" t="n">
        <v>1136765</v>
      </c>
      <c r="S37" s="265" t="n">
        <v>1099558</v>
      </c>
      <c r="T37" s="265" t="n">
        <v>1071289</v>
      </c>
      <c r="U37" s="265" t="n">
        <v>1047970</v>
      </c>
      <c r="V37" s="265" t="n">
        <v>1114291</v>
      </c>
      <c r="X37" s="265" t="n">
        <v>1217359</v>
      </c>
      <c r="Y37" s="265" t="n">
        <v>1403738</v>
      </c>
      <c r="Z37" s="265" t="n">
        <v>1430142</v>
      </c>
      <c r="AA37" s="265" t="n">
        <v>1451733</v>
      </c>
      <c r="AC37" s="265" t="n">
        <v>1453399</v>
      </c>
      <c r="AD37" s="265" t="n">
        <v>1464190</v>
      </c>
    </row>
    <row r="38">
      <c r="A38" t="inlineStr">
        <is>
          <t>AccountsPayableCurrent · fonte · unid. moeda</t>
        </is>
      </c>
      <c r="B38" t="n">
        <v>23</v>
      </c>
      <c r="C38" t="inlineStr">
        <is>
          <t>Accounts payable</t>
        </is>
      </c>
      <c r="D38" s="265" t="n">
        <v>2042475</v>
      </c>
      <c r="E38" s="265" t="n">
        <v>2378812</v>
      </c>
      <c r="F38" s="265" t="n">
        <v>2616052</v>
      </c>
      <c r="G38" s="265" t="n">
        <v>4219458</v>
      </c>
      <c r="I38" s="265" t="n">
        <v>3194682</v>
      </c>
      <c r="J38" s="265" t="n">
        <v>3373338</v>
      </c>
      <c r="K38" s="265" t="n">
        <v>3063310</v>
      </c>
      <c r="L38" s="265" t="n">
        <v>4604819</v>
      </c>
      <c r="N38" s="265" t="n">
        <v>3044269</v>
      </c>
      <c r="O38" s="265" t="n">
        <v>3145954</v>
      </c>
      <c r="P38" s="265" t="n">
        <v>2930607</v>
      </c>
      <c r="Q38" s="265" t="n">
        <v>4331301</v>
      </c>
      <c r="S38" s="265" t="n">
        <v>2767797</v>
      </c>
      <c r="T38" s="265" t="n">
        <v>2696898</v>
      </c>
      <c r="U38" s="265" t="n">
        <v>2697290</v>
      </c>
      <c r="V38" s="265" t="n">
        <v>3495276</v>
      </c>
      <c r="X38" s="265" t="n">
        <v>2543654</v>
      </c>
      <c r="Y38" s="265" t="n">
        <v>2707401</v>
      </c>
      <c r="Z38" s="265" t="n">
        <v>2717648</v>
      </c>
      <c r="AA38" s="265" t="n">
        <v>3641125</v>
      </c>
      <c r="AC38" s="265" t="n">
        <v>2890513</v>
      </c>
      <c r="AD38" s="265" t="n">
        <v>3062902</v>
      </c>
    </row>
    <row r="39">
      <c r="A39" t="inlineStr">
        <is>
          <t>AccruedLiabilitiesCurrent · fonte · unid. moeda</t>
        </is>
      </c>
      <c r="B39" t="n">
        <v>24</v>
      </c>
      <c r="C39" t="inlineStr">
        <is>
          <t>Accrued expenses</t>
        </is>
      </c>
      <c r="D39" s="265" t="n">
        <v>451593</v>
      </c>
      <c r="E39" s="265" t="n">
        <v>595660</v>
      </c>
      <c r="F39" s="265" t="n">
        <v>622723</v>
      </c>
      <c r="G39" s="265" t="n">
        <v>475729</v>
      </c>
      <c r="I39" s="265" t="n">
        <v>561762</v>
      </c>
      <c r="J39" s="265" t="n">
        <v>796338</v>
      </c>
      <c r="K39" s="265" t="n">
        <v>784317</v>
      </c>
      <c r="L39" s="265" t="n">
        <v>666614</v>
      </c>
      <c r="N39" s="265" t="n">
        <v>665469</v>
      </c>
      <c r="O39" s="265" t="n">
        <v>863298</v>
      </c>
      <c r="P39" s="265" t="n">
        <v>773054</v>
      </c>
      <c r="Q39" s="265" t="n">
        <v>597196</v>
      </c>
      <c r="S39" s="265" t="n">
        <v>644982</v>
      </c>
      <c r="T39" s="265" t="n">
        <v>864484</v>
      </c>
      <c r="U39" s="265" t="n">
        <v>783945</v>
      </c>
      <c r="V39" s="265" t="n">
        <v>603629</v>
      </c>
      <c r="X39" s="265" t="n">
        <v>591747</v>
      </c>
      <c r="Y39" s="265" t="n">
        <v>694107</v>
      </c>
      <c r="Z39" s="265" t="n">
        <v>695965</v>
      </c>
      <c r="AA39" s="265" t="n">
        <v>602387</v>
      </c>
      <c r="AC39" s="265" t="n">
        <v>603720</v>
      </c>
      <c r="AD39" s="265" t="n">
        <v>770272</v>
      </c>
    </row>
    <row r="40">
      <c r="A40" t="inlineStr">
        <is>
          <t>ShortTermBankLoansAndNotesPayable · fonte · unid. moeda</t>
        </is>
      </c>
      <c r="B40" t="n">
        <v>26</v>
      </c>
      <c r="C40" t="inlineStr">
        <is>
          <t>Other current liabilities (non-debt)</t>
        </is>
      </c>
      <c r="D40" s="265" t="n">
        <v>2952392</v>
      </c>
      <c r="E40" s="265" t="n">
        <v>2776812</v>
      </c>
      <c r="F40" s="265" t="n">
        <v>0</v>
      </c>
      <c r="G40" s="265" t="n">
        <v>1905371</v>
      </c>
      <c r="I40" s="265" t="n">
        <v>2688004</v>
      </c>
      <c r="J40" s="265" t="n">
        <v>2028859</v>
      </c>
      <c r="K40" s="265" t="n">
        <v>606719</v>
      </c>
      <c r="L40" s="265" t="n">
        <v>773447</v>
      </c>
      <c r="N40" s="265" t="n">
        <v>1093091</v>
      </c>
      <c r="O40" s="265" t="n">
        <v>605955</v>
      </c>
      <c r="P40" s="265" t="n">
        <v>547923</v>
      </c>
      <c r="Q40" s="265" t="n">
        <v>421580</v>
      </c>
      <c r="S40" s="265" t="n">
        <v>412800</v>
      </c>
      <c r="T40" s="265" t="n">
        <v>337538</v>
      </c>
      <c r="U40" s="265" t="n">
        <v>306831</v>
      </c>
      <c r="V40" s="265" t="n">
        <v>331689</v>
      </c>
      <c r="X40" s="265" t="n">
        <v>1751386</v>
      </c>
      <c r="Y40" s="265" t="n">
        <v>1849828</v>
      </c>
      <c r="Z40" s="265" t="n">
        <v>1152457</v>
      </c>
      <c r="AA40" s="265" t="n">
        <v>1859159</v>
      </c>
      <c r="AC40" s="265" t="n">
        <v>1995108</v>
      </c>
      <c r="AD40" s="265" t="n">
        <v>1589756</v>
      </c>
    </row>
    <row r="41">
      <c r="A41" t="inlineStr">
        <is>
          <t>OtherLiabilitiesCurrent · fonte · unid. moeda</t>
        </is>
      </c>
      <c r="B41" t="n">
        <v>26</v>
      </c>
      <c r="C41" t="inlineStr">
        <is>
          <t>Other current liabilities (non-debt)</t>
        </is>
      </c>
      <c r="D41" s="265" t="n">
        <v>0</v>
      </c>
      <c r="E41" s="265" t="n">
        <v>0</v>
      </c>
      <c r="F41" s="265" t="n">
        <v>1307929</v>
      </c>
      <c r="G41" s="265" t="n">
        <v>0</v>
      </c>
      <c r="I41" s="265" t="n">
        <v>0</v>
      </c>
      <c r="J41" s="265" t="n">
        <v>0</v>
      </c>
      <c r="K41" s="265" t="n">
        <v>0</v>
      </c>
      <c r="L41" s="265" t="n">
        <v>0</v>
      </c>
      <c r="N41" s="265" t="n">
        <v>0</v>
      </c>
      <c r="O41" s="265" t="n">
        <v>0</v>
      </c>
      <c r="P41" s="265" t="n">
        <v>0</v>
      </c>
      <c r="Q41" s="265" t="n">
        <v>0</v>
      </c>
      <c r="S41" s="265" t="n">
        <v>0</v>
      </c>
      <c r="T41" s="265" t="n">
        <v>0</v>
      </c>
      <c r="U41" s="265" t="n">
        <v>0</v>
      </c>
      <c r="V41" s="265" t="n">
        <v>0</v>
      </c>
      <c r="X41" s="265" t="n">
        <v>0</v>
      </c>
      <c r="Y41" s="265" t="n">
        <v>0</v>
      </c>
      <c r="Z41" s="265" t="n">
        <v>0</v>
      </c>
      <c r="AA41" s="265" t="n">
        <v>0</v>
      </c>
      <c r="AC41" s="265" t="n">
        <v>0</v>
      </c>
      <c r="AD41" s="265" t="n">
        <v>1198728</v>
      </c>
    </row>
    <row r="42">
      <c r="A42" t="inlineStr">
        <is>
          <t>DividendsAndEquitiesPayable · fonte · unid. moeda</t>
        </is>
      </c>
      <c r="B42" t="n">
        <v>26</v>
      </c>
      <c r="C42" t="inlineStr">
        <is>
          <t>Other current liabilities (non-debt)</t>
        </is>
      </c>
      <c r="D42" s="265" t="n">
        <v>0</v>
      </c>
      <c r="E42" s="265" t="n">
        <v>0</v>
      </c>
      <c r="F42" s="265" t="n">
        <v>0</v>
      </c>
      <c r="G42" s="265" t="n">
        <v>0</v>
      </c>
      <c r="I42" s="265" t="n">
        <v>0</v>
      </c>
      <c r="J42" s="265" t="n">
        <v>0</v>
      </c>
      <c r="K42" s="265" t="n">
        <v>0</v>
      </c>
      <c r="L42" s="265" t="n">
        <v>0</v>
      </c>
      <c r="N42" s="265" t="n">
        <v>0</v>
      </c>
      <c r="O42" s="265" t="n">
        <v>0</v>
      </c>
      <c r="P42" s="265" t="n">
        <v>0</v>
      </c>
      <c r="Q42" s="265" t="n">
        <v>0</v>
      </c>
      <c r="S42" s="265" t="n">
        <v>0</v>
      </c>
      <c r="T42" s="265" t="n">
        <v>0</v>
      </c>
      <c r="U42" s="265" t="n">
        <v>0</v>
      </c>
      <c r="V42" s="265" t="n">
        <v>0</v>
      </c>
      <c r="X42" s="265" t="n">
        <v>0</v>
      </c>
      <c r="Y42" s="265" t="n">
        <v>0</v>
      </c>
      <c r="Z42" s="265" t="n">
        <v>0</v>
      </c>
      <c r="AA42" s="265" t="n">
        <v>0</v>
      </c>
      <c r="AC42" s="265" t="n">
        <v>0</v>
      </c>
      <c r="AD42" s="265" t="n">
        <v>0</v>
      </c>
    </row>
    <row r="43">
      <c r="A43" t="inlineStr">
        <is>
          <t>OtherLiabilities · fonte · unid. moeda</t>
        </is>
      </c>
      <c r="B43" t="n">
        <v>26</v>
      </c>
      <c r="C43" t="inlineStr">
        <is>
          <t>Other current liabilities (non-debt)</t>
        </is>
      </c>
      <c r="D43" s="265" t="n">
        <v>1948781</v>
      </c>
      <c r="E43" s="265" t="n">
        <v>1444716</v>
      </c>
      <c r="F43" s="265" t="n">
        <v>0</v>
      </c>
      <c r="G43" s="265" t="n">
        <v>1466985</v>
      </c>
      <c r="I43" s="265" t="n">
        <v>2356397</v>
      </c>
      <c r="J43" s="265" t="n">
        <v>2194482</v>
      </c>
      <c r="K43" s="265" t="n">
        <v>2207018</v>
      </c>
      <c r="L43" s="265" t="n">
        <v>2153474</v>
      </c>
      <c r="N43" s="265" t="n">
        <v>2521995</v>
      </c>
      <c r="O43" s="265" t="n">
        <v>1868361</v>
      </c>
      <c r="P43" s="265" t="n">
        <v>1639771</v>
      </c>
      <c r="Q43" s="265" t="n">
        <v>1608546</v>
      </c>
      <c r="S43" s="265" t="n">
        <v>1924365</v>
      </c>
      <c r="T43" s="265" t="n">
        <v>1153091</v>
      </c>
      <c r="U43" s="265" t="n">
        <v>1275482</v>
      </c>
      <c r="V43" s="265" t="n">
        <v>1301413</v>
      </c>
      <c r="X43" s="265" t="n">
        <v>1708156</v>
      </c>
      <c r="Y43" s="265" t="n">
        <v>918958</v>
      </c>
      <c r="Z43" s="265" t="n">
        <v>625969</v>
      </c>
      <c r="AA43" s="265" t="n">
        <v>775942</v>
      </c>
      <c r="AC43" s="265" t="n">
        <v>1443038</v>
      </c>
      <c r="AD43" s="265" t="n">
        <v>0</v>
      </c>
    </row>
    <row r="44">
      <c r="A44" t="inlineStr">
        <is>
          <t>LongTermDebtAndCapitalLeaseObligationsCurrent · fonte · unid. moeda</t>
        </is>
      </c>
      <c r="B44" t="n">
        <v>27</v>
      </c>
      <c r="C44" t="inlineStr">
        <is>
          <t>Current portion of long-term debt</t>
        </is>
      </c>
      <c r="D44" s="265" t="n">
        <v>0</v>
      </c>
      <c r="E44" s="265" t="n">
        <v>0</v>
      </c>
      <c r="F44" s="265" t="n">
        <v>38450</v>
      </c>
      <c r="G44" s="265" t="n">
        <v>0</v>
      </c>
      <c r="I44" s="265" t="n">
        <v>0</v>
      </c>
      <c r="J44" s="265" t="n">
        <v>0</v>
      </c>
      <c r="K44" s="265" t="n">
        <v>0</v>
      </c>
      <c r="L44" s="265" t="n">
        <v>0</v>
      </c>
      <c r="N44" s="265" t="n">
        <v>0</v>
      </c>
      <c r="O44" s="265" t="n">
        <v>0</v>
      </c>
      <c r="P44" s="265" t="n">
        <v>0</v>
      </c>
      <c r="Q44" s="265" t="n">
        <v>0</v>
      </c>
      <c r="S44" s="265" t="n">
        <v>0</v>
      </c>
      <c r="T44" s="265" t="n">
        <v>0</v>
      </c>
      <c r="U44" s="265" t="n">
        <v>0</v>
      </c>
      <c r="V44" s="265" t="n">
        <v>0</v>
      </c>
      <c r="X44" s="265" t="n">
        <v>0</v>
      </c>
      <c r="Y44" s="265" t="n">
        <v>0</v>
      </c>
      <c r="Z44" s="265" t="n">
        <v>0</v>
      </c>
      <c r="AA44" s="265" t="n">
        <v>0</v>
      </c>
      <c r="AC44" s="265" t="n">
        <v>149064</v>
      </c>
      <c r="AD44" s="265" t="n">
        <v>149663</v>
      </c>
    </row>
    <row r="45">
      <c r="A45" t="inlineStr">
        <is>
          <t>LongTermDebtCurrent · fonte · unid. moeda</t>
        </is>
      </c>
      <c r="B45" t="n">
        <v>27</v>
      </c>
      <c r="C45" t="inlineStr">
        <is>
          <t>Current portion of long-term debt</t>
        </is>
      </c>
      <c r="D45" s="265" t="n">
        <v>167792</v>
      </c>
      <c r="E45" s="265" t="n">
        <v>198147</v>
      </c>
      <c r="F45" s="265" t="n">
        <v>0</v>
      </c>
      <c r="G45" s="265" t="n">
        <v>38343</v>
      </c>
      <c r="I45" s="265" t="n">
        <v>9522</v>
      </c>
      <c r="J45" s="265" t="n">
        <v>161308</v>
      </c>
      <c r="K45" s="265" t="n">
        <v>290605</v>
      </c>
      <c r="L45" s="265" t="n">
        <v>289888</v>
      </c>
      <c r="N45" s="265" t="n">
        <v>137465</v>
      </c>
      <c r="O45" s="265" t="n">
        <v>137402</v>
      </c>
      <c r="P45" s="265" t="n">
        <v>7839</v>
      </c>
      <c r="Q45" s="265" t="n">
        <v>7795</v>
      </c>
      <c r="S45" s="265" t="n">
        <v>157394</v>
      </c>
      <c r="T45" s="265" t="n">
        <v>157181</v>
      </c>
      <c r="U45" s="265" t="n">
        <v>337266</v>
      </c>
      <c r="V45" s="265" t="n">
        <v>337380</v>
      </c>
      <c r="X45" s="265" t="n">
        <v>187873</v>
      </c>
      <c r="Y45" s="265" t="n">
        <v>190075</v>
      </c>
      <c r="Z45" s="265" t="n">
        <v>90447</v>
      </c>
      <c r="AA45" s="265" t="n">
        <v>89882</v>
      </c>
      <c r="AC45" s="265" t="n">
        <v>0</v>
      </c>
      <c r="AD45" s="265" t="n">
        <v>0</v>
      </c>
    </row>
    <row r="46">
      <c r="A46" t="inlineStr">
        <is>
          <t>LongTermDebtAndCapitalLeaseObligations · fonte · unid. moeda</t>
        </is>
      </c>
      <c r="B46" t="n">
        <v>30</v>
      </c>
      <c r="C46" t="inlineStr">
        <is>
          <t>Long term debt</t>
        </is>
      </c>
      <c r="D46" s="265" t="n">
        <v>0</v>
      </c>
      <c r="E46" s="265" t="n">
        <v>0</v>
      </c>
      <c r="F46" s="265" t="n">
        <v>1579911</v>
      </c>
      <c r="G46" s="265" t="n">
        <v>0</v>
      </c>
      <c r="I46" s="265" t="n">
        <v>0</v>
      </c>
      <c r="J46" s="265" t="n">
        <v>0</v>
      </c>
      <c r="K46" s="265" t="n">
        <v>0</v>
      </c>
      <c r="L46" s="265" t="n">
        <v>0</v>
      </c>
      <c r="N46" s="265" t="n">
        <v>0</v>
      </c>
      <c r="O46" s="265" t="n">
        <v>0</v>
      </c>
      <c r="P46" s="265" t="n">
        <v>0</v>
      </c>
      <c r="Q46" s="265" t="n">
        <v>0</v>
      </c>
      <c r="S46" s="265" t="n">
        <v>0</v>
      </c>
      <c r="T46" s="265" t="n">
        <v>0</v>
      </c>
      <c r="U46" s="265" t="n">
        <v>0</v>
      </c>
      <c r="V46" s="265" t="n">
        <v>0</v>
      </c>
      <c r="X46" s="265" t="n">
        <v>0</v>
      </c>
      <c r="Y46" s="265" t="n">
        <v>0</v>
      </c>
      <c r="Z46" s="265" t="n">
        <v>0</v>
      </c>
      <c r="AA46" s="265" t="n">
        <v>0</v>
      </c>
      <c r="AC46" s="265" t="n">
        <v>1983616</v>
      </c>
      <c r="AD46" s="265" t="n">
        <v>1983919</v>
      </c>
    </row>
    <row r="47">
      <c r="A47" t="inlineStr">
        <is>
          <t>LongTermDebtNoncurrent · fonte · unid. moeda</t>
        </is>
      </c>
      <c r="B47" t="n">
        <v>30</v>
      </c>
      <c r="C47" t="inlineStr">
        <is>
          <t>Long term debt</t>
        </is>
      </c>
      <c r="D47" s="265" t="n">
        <v>1604313</v>
      </c>
      <c r="E47" s="265" t="n">
        <v>1571644</v>
      </c>
      <c r="F47" s="265" t="n">
        <v>0</v>
      </c>
      <c r="G47" s="265" t="n">
        <v>1576769</v>
      </c>
      <c r="I47" s="265" t="n">
        <v>1955205</v>
      </c>
      <c r="J47" s="265" t="n">
        <v>1800779</v>
      </c>
      <c r="K47" s="265" t="n">
        <v>1668209</v>
      </c>
      <c r="L47" s="265" t="n">
        <v>1668158</v>
      </c>
      <c r="N47" s="265" t="n">
        <v>1816654</v>
      </c>
      <c r="O47" s="265" t="n">
        <v>1814854</v>
      </c>
      <c r="P47" s="265" t="n">
        <v>1819819</v>
      </c>
      <c r="Q47" s="265" t="n">
        <v>1817770</v>
      </c>
      <c r="S47" s="265" t="n">
        <v>1671241</v>
      </c>
      <c r="T47" s="265" t="n">
        <v>1669212</v>
      </c>
      <c r="U47" s="265" t="n">
        <v>1824194</v>
      </c>
      <c r="V47" s="265" t="n">
        <v>1821746</v>
      </c>
      <c r="X47" s="265" t="n">
        <v>1828641</v>
      </c>
      <c r="Y47" s="265" t="n">
        <v>1826072</v>
      </c>
      <c r="Z47" s="265" t="n">
        <v>1745386</v>
      </c>
      <c r="AA47" s="265" t="n">
        <v>1740200</v>
      </c>
      <c r="AC47" s="265" t="n">
        <v>0</v>
      </c>
      <c r="AD47" s="265" t="n">
        <v>0</v>
      </c>
    </row>
    <row r="48">
      <c r="A48" t="inlineStr">
        <is>
          <t>OtherLiabilitiesNoncurrent · fonte · unid. moeda</t>
        </is>
      </c>
      <c r="B48" t="n">
        <v>34</v>
      </c>
      <c r="C48" t="inlineStr">
        <is>
          <t>Other non-current liabilities</t>
        </is>
      </c>
      <c r="D48" s="265" t="n">
        <v>679014</v>
      </c>
      <c r="E48" s="265" t="n">
        <v>683642</v>
      </c>
      <c r="F48" s="265" t="n">
        <v>653025</v>
      </c>
      <c r="G48" s="265" t="n">
        <v>682397</v>
      </c>
      <c r="I48" s="265" t="n">
        <v>613285</v>
      </c>
      <c r="J48" s="265" t="n">
        <v>612761</v>
      </c>
      <c r="K48" s="265" t="n">
        <v>743363</v>
      </c>
      <c r="L48" s="265" t="n">
        <v>1188019</v>
      </c>
      <c r="N48" s="265" t="n">
        <v>1062752</v>
      </c>
      <c r="O48" s="265" t="n">
        <v>675249</v>
      </c>
      <c r="P48" s="265" t="n">
        <v>786016</v>
      </c>
      <c r="Q48" s="265" t="n">
        <v>951308</v>
      </c>
      <c r="S48" s="265" t="n">
        <v>818160</v>
      </c>
      <c r="T48" s="265" t="n">
        <v>665194</v>
      </c>
      <c r="U48" s="265" t="n">
        <v>728143</v>
      </c>
      <c r="V48" s="265" t="n">
        <v>866567</v>
      </c>
      <c r="X48" s="265" t="n">
        <v>773776</v>
      </c>
      <c r="Y48" s="265" t="n">
        <v>711980</v>
      </c>
      <c r="Z48" s="265" t="n">
        <v>755803</v>
      </c>
      <c r="AA48" s="265" t="n">
        <v>828096</v>
      </c>
      <c r="AC48" s="265" t="n">
        <v>783180</v>
      </c>
      <c r="AD48" s="265" t="n">
        <v>817040</v>
      </c>
    </row>
    <row r="49">
      <c r="A49" t="inlineStr">
        <is>
          <t>EquityCertificates · fonte · unid. moeda</t>
        </is>
      </c>
      <c r="B49" t="n">
        <v>34</v>
      </c>
      <c r="C49" t="inlineStr">
        <is>
          <t>Other non-current liabilities</t>
        </is>
      </c>
      <c r="D49" s="265" t="n">
        <v>5159756</v>
      </c>
      <c r="E49" s="265" t="n">
        <v>5133465</v>
      </c>
      <c r="F49" s="265" t="n">
        <v>5247238</v>
      </c>
      <c r="G49" s="265" t="n">
        <v>5166786</v>
      </c>
      <c r="I49" s="265" t="n">
        <v>5122930</v>
      </c>
      <c r="J49" s="265" t="n">
        <v>5000593</v>
      </c>
      <c r="K49" s="265" t="n">
        <v>5391236</v>
      </c>
      <c r="L49" s="265" t="n">
        <v>5182720</v>
      </c>
      <c r="N49" s="265" t="n">
        <v>5106845</v>
      </c>
      <c r="O49" s="265" t="n">
        <v>4965745</v>
      </c>
      <c r="P49" s="265" t="n">
        <v>5911649</v>
      </c>
      <c r="Q49" s="265" t="n">
        <v>5818526</v>
      </c>
      <c r="S49" s="265" t="n">
        <v>5788203</v>
      </c>
      <c r="T49" s="265" t="n">
        <v>5736833</v>
      </c>
      <c r="U49" s="265" t="n">
        <v>5982369</v>
      </c>
      <c r="V49" s="265" t="n">
        <v>5933353</v>
      </c>
      <c r="X49" s="265" t="n">
        <v>5914479</v>
      </c>
      <c r="Y49" s="265" t="n">
        <v>5806451</v>
      </c>
      <c r="Z49" s="265" t="n">
        <v>6103605</v>
      </c>
      <c r="AA49" s="265" t="n">
        <v>6066677</v>
      </c>
      <c r="AC49" s="265" t="n">
        <v>6084911</v>
      </c>
      <c r="AD49" s="265" t="n">
        <v>6038937</v>
      </c>
    </row>
    <row r="50">
      <c r="A50" t="inlineStr">
        <is>
          <t>MinorityInterest · fonte · unid. moeda</t>
        </is>
      </c>
      <c r="B50" t="n">
        <v>35</v>
      </c>
      <c r="C50" t="inlineStr">
        <is>
          <t>Minority interest</t>
        </is>
      </c>
      <c r="D50" s="265" t="n">
        <v>8545</v>
      </c>
      <c r="E50" s="265" t="n">
        <v>8565</v>
      </c>
      <c r="F50" s="265" t="n">
        <v>8465</v>
      </c>
      <c r="G50" s="265" t="n">
        <v>7606</v>
      </c>
      <c r="I50" s="265" t="n">
        <v>6903</v>
      </c>
      <c r="J50" s="265" t="n">
        <v>6279</v>
      </c>
      <c r="K50" s="265" t="n">
        <v>5645</v>
      </c>
      <c r="L50" s="265" t="n">
        <v>5938</v>
      </c>
      <c r="N50" s="265" t="n">
        <v>5092</v>
      </c>
      <c r="O50" s="265" t="n">
        <v>4920</v>
      </c>
      <c r="P50" s="265" t="n">
        <v>4611</v>
      </c>
      <c r="Q50" s="265" t="n">
        <v>5926</v>
      </c>
      <c r="S50" s="265" t="n">
        <v>5780</v>
      </c>
      <c r="T50" s="265" t="n">
        <v>5692</v>
      </c>
      <c r="U50" s="265" t="n">
        <v>6533</v>
      </c>
      <c r="V50" s="265" t="n">
        <v>5969</v>
      </c>
      <c r="X50" s="265" t="n">
        <v>5205</v>
      </c>
      <c r="Y50" s="265" t="n">
        <v>3436</v>
      </c>
      <c r="Z50" s="265" t="n">
        <v>3479</v>
      </c>
      <c r="AA50" s="265" t="n">
        <v>3477</v>
      </c>
      <c r="AC50" s="265" t="n">
        <v>3349</v>
      </c>
      <c r="AD50" s="265" t="n">
        <v>3462</v>
      </c>
    </row>
    <row r="51">
      <c r="A51" t="inlineStr">
        <is>
          <t>AccumulatedOtherComprehensiveIncomeLossNetOfTax · fonte · unid. moeda</t>
        </is>
      </c>
      <c r="B51" t="n">
        <v>39</v>
      </c>
      <c r="C51" t="inlineStr">
        <is>
          <t>Comprehensive (accumulated) loss</t>
        </is>
      </c>
      <c r="D51" s="265" t="n">
        <v>-222458</v>
      </c>
      <c r="E51" s="265" t="n">
        <v>-215343</v>
      </c>
      <c r="F51" s="265" t="n">
        <v>-216391</v>
      </c>
      <c r="G51" s="265" t="n">
        <v>-231809</v>
      </c>
      <c r="I51" s="265" t="n">
        <v>-221855</v>
      </c>
      <c r="J51" s="265" t="n">
        <v>-240076</v>
      </c>
      <c r="K51" s="265" t="n">
        <v>-255335</v>
      </c>
      <c r="L51" s="265" t="n">
        <v>-268953</v>
      </c>
      <c r="N51" s="265" t="n">
        <v>-257163</v>
      </c>
      <c r="O51" s="265" t="n">
        <v>-260271</v>
      </c>
      <c r="P51" s="265" t="n">
        <v>-265395</v>
      </c>
      <c r="Q51" s="265" t="n">
        <v>-272697</v>
      </c>
      <c r="S51" s="265" t="n">
        <v>-267269</v>
      </c>
      <c r="T51" s="265" t="n">
        <v>-270861</v>
      </c>
      <c r="U51" s="265" t="n">
        <v>-296542</v>
      </c>
      <c r="V51" s="265" t="n">
        <v>-304802</v>
      </c>
      <c r="X51" s="265" t="n">
        <v>-302352</v>
      </c>
      <c r="Y51" s="265" t="n">
        <v>-303363</v>
      </c>
      <c r="Z51" s="265" t="n">
        <v>-306372</v>
      </c>
      <c r="AA51" s="265" t="n">
        <v>-290357</v>
      </c>
      <c r="AC51" s="265" t="n">
        <v>-274638</v>
      </c>
      <c r="AD51" s="265" t="n">
        <v>-272639</v>
      </c>
    </row>
    <row r="52">
      <c r="A52" t="inlineStr">
        <is>
          <t>PreferredStockValue · fonte · unid. moeda</t>
        </is>
      </c>
      <c r="B52" t="n">
        <v>40</v>
      </c>
      <c r="C52" t="inlineStr">
        <is>
          <t>Other equity account</t>
        </is>
      </c>
      <c r="D52" s="265" t="n">
        <v>2264038</v>
      </c>
      <c r="E52" s="265" t="n">
        <v>2264038</v>
      </c>
      <c r="F52" s="265" t="n">
        <v>2264038</v>
      </c>
      <c r="G52" s="265" t="n">
        <v>2264038</v>
      </c>
      <c r="I52" s="265" t="n">
        <v>2264038</v>
      </c>
      <c r="J52" s="265" t="n">
        <v>2264038</v>
      </c>
      <c r="K52" s="265" t="n">
        <v>2264038</v>
      </c>
      <c r="L52" s="265" t="n">
        <v>2264038</v>
      </c>
      <c r="N52" s="265" t="n">
        <v>2264038</v>
      </c>
      <c r="O52" s="265" t="n">
        <v>2264038</v>
      </c>
      <c r="P52" s="265" t="n">
        <v>2264038</v>
      </c>
      <c r="Q52" s="265" t="n">
        <v>2264038</v>
      </c>
      <c r="S52" s="265" t="n">
        <v>2264038</v>
      </c>
      <c r="T52" s="265" t="n">
        <v>2264038</v>
      </c>
      <c r="U52" s="265" t="n">
        <v>2264038</v>
      </c>
      <c r="V52" s="265" t="n">
        <v>2264038</v>
      </c>
      <c r="X52" s="265" t="n">
        <v>2264038</v>
      </c>
      <c r="Y52" s="265" t="n">
        <v>2264038</v>
      </c>
      <c r="Z52" s="265" t="n">
        <v>2264038</v>
      </c>
      <c r="AA52" s="265" t="n">
        <v>2264038</v>
      </c>
      <c r="AC52" s="265" t="n">
        <v>2264038</v>
      </c>
      <c r="AD52" s="265" t="n">
        <v>2264038</v>
      </c>
    </row>
    <row r="53">
      <c r="A53" t="inlineStr">
        <is>
          <t>RetainedEarningsAccumulatedDeficit · fonte · unid. moeda</t>
        </is>
      </c>
      <c r="B53" t="n">
        <v>41</v>
      </c>
      <c r="C53" t="inlineStr">
        <is>
          <t>Retained earnings</t>
        </is>
      </c>
      <c r="D53" s="265" t="n">
        <v>1509902</v>
      </c>
      <c r="E53" s="265" t="n">
        <v>1760468</v>
      </c>
      <c r="F53" s="265" t="n">
        <v>1713976</v>
      </c>
      <c r="G53" s="265" t="n">
        <v>2043305</v>
      </c>
      <c r="I53" s="265" t="n">
        <v>2196428</v>
      </c>
      <c r="J53" s="265" t="n">
        <v>2710344</v>
      </c>
      <c r="K53" s="265" t="n">
        <v>2055682</v>
      </c>
      <c r="L53" s="265" t="n">
        <v>2545102</v>
      </c>
      <c r="N53" s="265" t="n">
        <v>2710507</v>
      </c>
      <c r="O53" s="265" t="n">
        <v>3108946</v>
      </c>
      <c r="P53" s="265" t="n">
        <v>2537486</v>
      </c>
      <c r="Q53" s="265" t="n">
        <v>2881596</v>
      </c>
      <c r="S53" s="265" t="n">
        <v>2976811</v>
      </c>
      <c r="T53" s="265" t="n">
        <v>3178615</v>
      </c>
      <c r="U53" s="265" t="n">
        <v>2805526</v>
      </c>
      <c r="V53" s="265" t="n">
        <v>2919830</v>
      </c>
      <c r="X53" s="265" t="n">
        <v>2832758</v>
      </c>
      <c r="Y53" s="265" t="n">
        <v>3017699</v>
      </c>
      <c r="Z53" s="265" t="n">
        <v>3015424</v>
      </c>
      <c r="AA53" s="265" t="n">
        <v>3162987</v>
      </c>
      <c r="AC53" s="265" t="n">
        <v>2982635</v>
      </c>
      <c r="AD53" s="265" t="n">
        <v>3171783</v>
      </c>
    </row>
    <row r="54">
      <c r="A54" t="inlineStr">
        <is>
          <t>[vazio] IR diferido ativo: não aparece como linha própria nas demonstrações (zero) · derivada · unid. moeda</t>
        </is>
      </c>
      <c r="B54" t="n">
        <v>14</v>
      </c>
      <c r="C54" t="inlineStr">
        <is>
          <t>Deferred income taxes</t>
        </is>
      </c>
      <c r="D54" s="265" t="n">
        <v>0</v>
      </c>
      <c r="E54" s="265" t="n">
        <v>0</v>
      </c>
      <c r="F54" s="265" t="n">
        <v>0</v>
      </c>
      <c r="G54" s="265" t="n">
        <v>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[vazio] Despesas antecipadas: não aparece como linha própria nas demonstrações (zero) · derivada · unid. moeda</t>
        </is>
      </c>
      <c r="B55" t="n">
        <v>15</v>
      </c>
      <c r="C55" t="inlineStr">
        <is>
          <t>Prepaid expenses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[vazio] Investimentos em coligadas: não aparece como linha própria nas demonstrações (zero) · derivada · unid. moeda</t>
        </is>
      </c>
      <c r="B56" t="n">
        <v>17</v>
      </c>
      <c r="C56" t="inlineStr">
        <is>
          <t>Equity in affiliates</t>
        </is>
      </c>
      <c r="D56" s="265" t="n">
        <v>0</v>
      </c>
      <c r="E56" s="265" t="n">
        <v>0</v>
      </c>
      <c r="F56" s="265" t="n">
        <v>0</v>
      </c>
      <c r="G56" s="265" t="n">
        <v>0</v>
      </c>
      <c r="I56" s="265" t="n">
        <v>0</v>
      </c>
      <c r="J56" s="265" t="n">
        <v>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[vazio] Direito de uso: não aparece como linha própria nas demonstrações (zero) · derivada · unid. moeda</t>
        </is>
      </c>
      <c r="B57" t="n">
        <v>19</v>
      </c>
      <c r="C57" t="inlineStr">
        <is>
          <t>Right-of-use-assets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Goodwill: não aparece como linha própria nas demonstrações (zero) · derivada · unid. moeda</t>
        </is>
      </c>
      <c r="B58" t="n">
        <v>20</v>
      </c>
      <c r="C58" t="inlineStr">
        <is>
          <t>Goodwill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Intangíveis: não aparece como linha própria nas demonstrações (zero) · derivada · unid. moeda</t>
        </is>
      </c>
      <c r="B59" t="n">
        <v>21</v>
      </c>
      <c r="C59" t="inlineStr">
        <is>
          <t>Intangibles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Impostos a pagar: não aparece como linha própria nas demonstrações (zero) · derivada · unid. moeda</t>
        </is>
      </c>
      <c r="B60" t="n">
        <v>25</v>
      </c>
      <c r="C60" t="inlineStr">
        <is>
          <t>Taxes payable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Revolving: não aparece como linha própria nas demonstrações (zero) · derivada · unid. moeda</t>
        </is>
      </c>
      <c r="B61" t="n">
        <v>28</v>
      </c>
      <c r="C61" t="inlineStr">
        <is>
          <t>Short term debt (Revolving credit facility)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Arrendamento CP: não aparece como linha própria nas demonstrações (zero) · derivada · unid. moeda</t>
        </is>
      </c>
      <c r="B62" t="n">
        <v>29</v>
      </c>
      <c r="C62" t="inlineStr">
        <is>
          <t>Short term operating leases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[vazio] Arrendamento LP: não aparece como linha própria nas demonstrações (zero) · derivada · unid. moeda</t>
        </is>
      </c>
      <c r="B63" t="n">
        <v>31</v>
      </c>
      <c r="C63" t="inlineStr">
        <is>
          <t>Long term operating leases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[vazio] Dívida conversível: não aparece como linha própria nas demonstrações (zero) · derivada · unid. moeda</t>
        </is>
      </c>
      <c r="B64" t="n">
        <v>32</v>
      </c>
      <c r="C64" t="inlineStr">
        <is>
          <t>Convertible debt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[vazio] IR diferido passivo: não aparece como linha própria nas demonstrações (zero) · derivada · unid. moeda</t>
        </is>
      </c>
      <c r="B65" t="n">
        <v>33</v>
      </c>
      <c r="C65" t="inlineStr">
        <is>
          <t>Deferred income taxes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Capital + APIC: não aparece como linha própria nas demonstrações (zero) · derivada · unid. moeda</t>
        </is>
      </c>
      <c r="B66" t="n">
        <v>37</v>
      </c>
      <c r="C66" t="inlineStr">
        <is>
          <t>Common Stock and APIC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Tesouraria: não aparece como linha própria nas demonstrações (zero) · derivada · unid. moeda</t>
        </is>
      </c>
      <c r="B67" t="n">
        <v>38</v>
      </c>
      <c r="C67" t="inlineStr">
        <is>
          <t>Treasury stock (contra account)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Linhas de face do passivo circulante sem tag própria (subtotal divulgado - soma das linhas) · derivada · unid. moeda</t>
        </is>
      </c>
      <c r="B68" t="n">
        <v>26</v>
      </c>
      <c r="C68" t="inlineStr">
        <is>
          <t>Other current liabilities (non-debt)</t>
        </is>
      </c>
      <c r="D68" s="265" t="n">
        <v>0</v>
      </c>
      <c r="E68" s="265" t="n">
        <v>0</v>
      </c>
      <c r="F68" s="265" t="n">
        <v>1740859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BALANÇO - totais divulgados (memória)</t>
        </is>
      </c>
      <c r="C69" t="inlineStr">
        <is>
          <t>[linha bruta, sem código; lançada nas linhas abaixo]</t>
        </is>
      </c>
      <c r="D69" s="265" t="n"/>
      <c r="E69" s="265" t="n"/>
      <c r="F69" s="265" t="n"/>
      <c r="G69" s="265" t="n"/>
      <c r="I69" s="265" t="n"/>
      <c r="J69" s="265" t="n"/>
      <c r="K69" s="265" t="n"/>
      <c r="L69" s="265" t="n"/>
      <c r="N69" s="265" t="n"/>
      <c r="O69" s="265" t="n"/>
      <c r="P69" s="265" t="n"/>
      <c r="Q69" s="265" t="n"/>
      <c r="S69" s="265" t="n"/>
      <c r="T69" s="265" t="n"/>
      <c r="U69" s="265" t="n"/>
      <c r="V69" s="265" t="n"/>
      <c r="X69" s="265" t="n"/>
      <c r="Y69" s="265" t="n"/>
      <c r="Z69" s="265" t="n"/>
      <c r="AA69" s="265" t="n"/>
      <c r="AC69" s="265" t="n"/>
      <c r="AD69" s="265" t="n"/>
    </row>
    <row r="70">
      <c r="A70" t="inlineStr">
        <is>
          <t>Total do ativo [us-gaap:Assets] · memoria · unid. moeda</t>
        </is>
      </c>
      <c r="C70" t="inlineStr">
        <is>
          <t>[linha bruta, sem código; lançada nas linhas abaixo]</t>
        </is>
      </c>
      <c r="D70" s="265" t="n">
        <v>18566143</v>
      </c>
      <c r="E70" s="265" t="n">
        <v>18600626</v>
      </c>
      <c r="F70" s="265" t="n">
        <v>17576275</v>
      </c>
      <c r="G70" s="265" t="n">
        <v>19614978</v>
      </c>
      <c r="I70" s="265" t="n">
        <v>20747301</v>
      </c>
      <c r="J70" s="265" t="n">
        <v>20709043</v>
      </c>
      <c r="K70" s="265" t="n">
        <v>18824807</v>
      </c>
      <c r="L70" s="265" t="n">
        <v>21073264</v>
      </c>
      <c r="N70" s="265" t="n">
        <v>20171014</v>
      </c>
      <c r="O70" s="265" t="n">
        <v>19194451</v>
      </c>
      <c r="P70" s="265" t="n">
        <v>18957418</v>
      </c>
      <c r="Q70" s="265" t="n">
        <v>20432885</v>
      </c>
      <c r="S70" s="265" t="n">
        <v>19164302</v>
      </c>
      <c r="T70" s="265" t="n">
        <v>18457915</v>
      </c>
      <c r="U70" s="265" t="n">
        <v>18715075</v>
      </c>
      <c r="V70" s="265" t="n">
        <v>19576088</v>
      </c>
      <c r="X70" s="265" t="n">
        <v>20099361</v>
      </c>
      <c r="Y70" s="265" t="n">
        <v>19686682</v>
      </c>
      <c r="Z70" s="265" t="n">
        <v>18863849</v>
      </c>
      <c r="AA70" s="265" t="n">
        <v>20743613</v>
      </c>
      <c r="AC70" s="265" t="n">
        <v>20908534</v>
      </c>
      <c r="AD70" s="265" t="n">
        <v>20777861</v>
      </c>
    </row>
    <row r="71">
      <c r="A71" t="inlineStr">
        <is>
          <t>Total do passivo + PL [us-gaap:LiabilitiesAndStockholdersEquity] · memoria · unid. moeda</t>
        </is>
      </c>
      <c r="C71" t="inlineStr">
        <is>
          <t>[linha bruta, sem código; lançada nas linhas abaixo]</t>
        </is>
      </c>
      <c r="D71" s="265" t="n">
        <v>18566143</v>
      </c>
      <c r="E71" s="265" t="n">
        <v>18600626</v>
      </c>
      <c r="F71" s="265" t="n">
        <v>17576275</v>
      </c>
      <c r="G71" s="265" t="n">
        <v>19614978</v>
      </c>
      <c r="I71" s="265" t="n">
        <v>20747301</v>
      </c>
      <c r="J71" s="265" t="n">
        <v>20709043</v>
      </c>
      <c r="K71" s="265" t="n">
        <v>18824807</v>
      </c>
      <c r="L71" s="265" t="n">
        <v>21073264</v>
      </c>
      <c r="N71" s="265" t="n">
        <v>20171014</v>
      </c>
      <c r="O71" s="265" t="n">
        <v>19194451</v>
      </c>
      <c r="P71" s="265" t="n">
        <v>18957418</v>
      </c>
      <c r="Q71" s="265" t="n">
        <v>20432885</v>
      </c>
      <c r="S71" s="265" t="n">
        <v>19164302</v>
      </c>
      <c r="T71" s="265" t="n">
        <v>18457915</v>
      </c>
      <c r="U71" s="265" t="n">
        <v>18715075</v>
      </c>
      <c r="V71" s="265" t="n">
        <v>19576088</v>
      </c>
      <c r="X71" s="265" t="n">
        <v>20099361</v>
      </c>
      <c r="Y71" s="265" t="n">
        <v>19686682</v>
      </c>
      <c r="Z71" s="265" t="n">
        <v>18863849</v>
      </c>
      <c r="AA71" s="265" t="n">
        <v>20743613</v>
      </c>
      <c r="AC71" s="265" t="n">
        <v>20908534</v>
      </c>
      <c r="AD71" s="265" t="n">
        <v>20777861</v>
      </c>
    </row>
    <row r="72">
      <c r="A72" t="inlineStr">
        <is>
          <t>CHECKS (devem ser 0)</t>
        </is>
      </c>
      <c r="C72" t="inlineStr">
        <is>
          <t>[linha bruta, sem código; lançada nas linhas abaixo]</t>
        </is>
      </c>
      <c r="D72" s="265" t="n"/>
      <c r="E72" s="265" t="n"/>
      <c r="F72" s="265" t="n"/>
      <c r="G72" s="265" t="n"/>
      <c r="I72" s="265" t="n"/>
      <c r="J72" s="265" t="n"/>
      <c r="K72" s="265" t="n"/>
      <c r="L72" s="265" t="n"/>
      <c r="N72" s="265" t="n"/>
      <c r="O72" s="265" t="n"/>
      <c r="P72" s="265" t="n"/>
      <c r="Q72" s="265" t="n"/>
      <c r="S72" s="265" t="n"/>
      <c r="T72" s="265" t="n"/>
      <c r="U72" s="265" t="n"/>
      <c r="V72" s="265" t="n"/>
      <c r="X72" s="265" t="n"/>
      <c r="Y72" s="265" t="n"/>
      <c r="Z72" s="265" t="n"/>
      <c r="AA72" s="265" t="n"/>
      <c r="AC72" s="265" t="n"/>
      <c r="AD72" s="265" t="n"/>
    </row>
    <row r="73">
      <c r="A73" t="inlineStr">
        <is>
          <t>CHECK: contas de ativo - ativo total (USD, arredondado a 100 mil) · derivada · unid. moeda</t>
        </is>
      </c>
      <c r="C73" t="inlineStr">
        <is>
          <t>[linha bruta, sem código; lançada nas linhas abaixo]</t>
        </is>
      </c>
      <c r="D73" s="265">
        <f>ROUND(N(D30)+N(D31)+N(D32)+N(D33)+N(D34)+N(D35)+N(D36)+N(D37)-N(D70),-2)</f>
        <v>0</v>
      </c>
      <c r="E73" s="265">
        <f>ROUND(N(E30)+N(E31)+N(E32)+N(E33)+N(E34)+N(E35)+N(E36)+N(E37)-N(E70),-2)</f>
        <v>0</v>
      </c>
      <c r="F73" s="265">
        <f>ROUND(N(F30)+N(F31)+N(F32)+N(F33)+N(F34)+N(F35)+N(F36)+N(F37)-N(F70),-2)</f>
        <v>0</v>
      </c>
      <c r="G73" s="265">
        <f>ROUND(N(G30)+N(G31)+N(G32)+N(G33)+N(G34)+N(G35)+N(G36)+N(G37)-N(G70),-2)</f>
        <v>0</v>
      </c>
      <c r="I73" s="265">
        <f>ROUND(N(I30)+N(I31)+N(I32)+N(I33)+N(I34)+N(I35)+N(I36)+N(I37)-N(I70),-2)</f>
        <v>0</v>
      </c>
      <c r="J73" s="265">
        <f>ROUND(N(J30)+N(J31)+N(J32)+N(J33)+N(J34)+N(J35)+N(J36)+N(J37)-N(J70),-2)</f>
        <v>0</v>
      </c>
      <c r="K73" s="265">
        <f>ROUND(N(K30)+N(K31)+N(K32)+N(K33)+N(K34)+N(K35)+N(K36)+N(K37)-N(K70),-2)</f>
        <v>0</v>
      </c>
      <c r="L73" s="265">
        <f>ROUND(N(L30)+N(L31)+N(L32)+N(L33)+N(L34)+N(L35)+N(L36)+N(L37)-N(L70),-2)</f>
        <v>0</v>
      </c>
      <c r="N73" s="265">
        <f>ROUND(N(N30)+N(N31)+N(N32)+N(N33)+N(N34)+N(N35)+N(N36)+N(N37)-N(N70),-2)</f>
        <v>0</v>
      </c>
      <c r="O73" s="265">
        <f>ROUND(N(O30)+N(O31)+N(O32)+N(O33)+N(O34)+N(O35)+N(O36)+N(O37)-N(O70),-2)</f>
        <v>0</v>
      </c>
      <c r="P73" s="265">
        <f>ROUND(N(P30)+N(P31)+N(P32)+N(P33)+N(P34)+N(P35)+N(P36)+N(P37)-N(P70),-2)</f>
        <v>0</v>
      </c>
      <c r="Q73" s="265">
        <f>ROUND(N(Q30)+N(Q31)+N(Q32)+N(Q33)+N(Q34)+N(Q35)+N(Q36)+N(Q37)-N(Q70),-2)</f>
        <v>0</v>
      </c>
      <c r="S73" s="265">
        <f>ROUND(N(S30)+N(S31)+N(S32)+N(S33)+N(S34)+N(S35)+N(S36)+N(S37)-N(S70),-2)</f>
        <v>0</v>
      </c>
      <c r="T73" s="265">
        <f>ROUND(N(T30)+N(T31)+N(T32)+N(T33)+N(T34)+N(T35)+N(T36)+N(T37)-N(T70),-2)</f>
        <v>0</v>
      </c>
      <c r="U73" s="265">
        <f>ROUND(N(U30)+N(U31)+N(U32)+N(U33)+N(U34)+N(U35)+N(U36)+N(U37)-N(U70),-2)</f>
        <v>0</v>
      </c>
      <c r="V73" s="265">
        <f>ROUND(N(V30)+N(V31)+N(V32)+N(V33)+N(V34)+N(V35)+N(V36)+N(V37)-N(V70),-2)</f>
        <v>0</v>
      </c>
      <c r="X73" s="265">
        <f>ROUND(N(X30)+N(X31)+N(X32)+N(X33)+N(X34)+N(X35)+N(X36)+N(X37)-N(X70),-2)</f>
        <v>0</v>
      </c>
      <c r="Y73" s="265">
        <f>ROUND(N(Y30)+N(Y31)+N(Y32)+N(Y33)+N(Y34)+N(Y35)+N(Y36)+N(Y37)-N(Y70),-2)</f>
        <v>0</v>
      </c>
      <c r="Z73" s="265">
        <f>ROUND(N(Z30)+N(Z31)+N(Z32)+N(Z33)+N(Z34)+N(Z35)+N(Z36)+N(Z37)-N(Z70),-2)</f>
        <v>0</v>
      </c>
      <c r="AA73" s="265">
        <f>ROUND(N(AA30)+N(AA31)+N(AA32)+N(AA33)+N(AA34)+N(AA35)+N(AA36)+N(AA37)-N(AA70),-2)</f>
        <v>0</v>
      </c>
      <c r="AC73" s="265">
        <f>ROUND(N(AC30)+N(AC31)+N(AC32)+N(AC33)+N(AC34)+N(AC35)+N(AC36)+N(AC37)-N(AC70),-2)</f>
        <v>0</v>
      </c>
      <c r="AD73" s="265">
        <f>ROUND(N(AD30)+N(AD31)+N(AD32)+N(AD33)+N(AD34)+N(AD35)+N(AD36)+N(AD37)-N(AD70),-2)</f>
        <v>0</v>
      </c>
    </row>
    <row r="74">
      <c r="A74" t="inlineStr">
        <is>
          <t>CHECK: passivo + PL (contas) - passivo + PL total · derivada · unid. moeda</t>
        </is>
      </c>
      <c r="C74" t="inlineStr">
        <is>
          <t>[linha bruta, sem código; lançada nas linhas abaixo]</t>
        </is>
      </c>
      <c r="D74" s="265">
        <f>ROUND(N(D38)+N(D39)+N(D40)+N(D41)+N(D42)+N(D43)+N(D44)+N(D45)+N(D46)+N(D47)+N(D48)+N(D49)+N(D50)+N(D51)+N(D52)+N(D53)+N(D68)-N(D71),-2)</f>
        <v>0</v>
      </c>
      <c r="E74" s="265">
        <f>ROUND(N(E38)+N(E39)+N(E40)+N(E41)+N(E42)+N(E43)+N(E44)+N(E45)+N(E46)+N(E47)+N(E48)+N(E49)+N(E50)+N(E51)+N(E52)+N(E53)+N(E68)-N(E71),-2)</f>
        <v>0</v>
      </c>
      <c r="F74" s="265">
        <f>ROUND(N(F38)+N(F39)+N(F40)+N(F41)+N(F42)+N(F43)+N(F44)+N(F45)+N(F46)+N(F47)+N(F48)+N(F49)+N(F50)+N(F51)+N(F52)+N(F53)+N(F68)-N(F71),-2)</f>
        <v>0</v>
      </c>
      <c r="G74" s="265">
        <f>ROUND(N(G38)+N(G39)+N(G40)+N(G41)+N(G42)+N(G43)+N(G44)+N(G45)+N(G46)+N(G47)+N(G48)+N(G49)+N(G50)+N(G51)+N(G52)+N(G53)+N(G68)-N(G71),-2)</f>
        <v>0</v>
      </c>
      <c r="I74" s="265">
        <f>ROUND(N(I38)+N(I39)+N(I40)+N(I41)+N(I42)+N(I43)+N(I44)+N(I45)+N(I46)+N(I47)+N(I48)+N(I49)+N(I50)+N(I51)+N(I52)+N(I53)+N(I68)-N(I71),-2)</f>
        <v>0</v>
      </c>
      <c r="J74" s="265">
        <f>ROUND(N(J38)+N(J39)+N(J40)+N(J41)+N(J42)+N(J43)+N(J44)+N(J45)+N(J46)+N(J47)+N(J48)+N(J49)+N(J50)+N(J51)+N(J52)+N(J53)+N(J68)-N(J71),-2)</f>
        <v>0</v>
      </c>
      <c r="K74" s="265">
        <f>ROUND(N(K38)+N(K39)+N(K40)+N(K41)+N(K42)+N(K43)+N(K44)+N(K45)+N(K46)+N(K47)+N(K48)+N(K49)+N(K50)+N(K51)+N(K52)+N(K53)+N(K68)-N(K71),-2)</f>
        <v>0</v>
      </c>
      <c r="L74" s="265">
        <f>ROUND(N(L38)+N(L39)+N(L40)+N(L41)+N(L42)+N(L43)+N(L44)+N(L45)+N(L46)+N(L47)+N(L48)+N(L49)+N(L50)+N(L51)+N(L52)+N(L53)+N(L68)-N(L71),-2)</f>
        <v>0</v>
      </c>
      <c r="N74" s="265">
        <f>ROUND(N(N38)+N(N39)+N(N40)+N(N41)+N(N42)+N(N43)+N(N44)+N(N45)+N(N46)+N(N47)+N(N48)+N(N49)+N(N50)+N(N51)+N(N52)+N(N53)+N(N68)-N(N71),-2)</f>
        <v>0</v>
      </c>
      <c r="O74" s="265">
        <f>ROUND(N(O38)+N(O39)+N(O40)+N(O41)+N(O42)+N(O43)+N(O44)+N(O45)+N(O46)+N(O47)+N(O48)+N(O49)+N(O50)+N(O51)+N(O52)+N(O53)+N(O68)-N(O71),-2)</f>
        <v>0</v>
      </c>
      <c r="P74" s="265">
        <f>ROUND(N(P38)+N(P39)+N(P40)+N(P41)+N(P42)+N(P43)+N(P44)+N(P45)+N(P46)+N(P47)+N(P48)+N(P49)+N(P50)+N(P51)+N(P52)+N(P53)+N(P68)-N(P71),-2)</f>
        <v>0</v>
      </c>
      <c r="Q74" s="265">
        <f>ROUND(N(Q38)+N(Q39)+N(Q40)+N(Q41)+N(Q42)+N(Q43)+N(Q44)+N(Q45)+N(Q46)+N(Q47)+N(Q48)+N(Q49)+N(Q50)+N(Q51)+N(Q52)+N(Q53)+N(Q68)-N(Q71),-2)</f>
        <v>0</v>
      </c>
      <c r="S74" s="265">
        <f>ROUND(N(S38)+N(S39)+N(S40)+N(S41)+N(S42)+N(S43)+N(S44)+N(S45)+N(S46)+N(S47)+N(S48)+N(S49)+N(S50)+N(S51)+N(S52)+N(S53)+N(S68)-N(S71),-2)</f>
        <v>0</v>
      </c>
      <c r="T74" s="265">
        <f>ROUND(N(T38)+N(T39)+N(T40)+N(T41)+N(T42)+N(T43)+N(T44)+N(T45)+N(T46)+N(T47)+N(T48)+N(T49)+N(T50)+N(T51)+N(T52)+N(T53)+N(T68)-N(T71),-2)</f>
        <v>0</v>
      </c>
      <c r="U74" s="265">
        <f>ROUND(N(U38)+N(U39)+N(U40)+N(U41)+N(U42)+N(U43)+N(U44)+N(U45)+N(U46)+N(U47)+N(U48)+N(U49)+N(U50)+N(U51)+N(U52)+N(U53)+N(U68)-N(U71),-2)</f>
        <v>0</v>
      </c>
      <c r="V74" s="265">
        <f>ROUND(N(V38)+N(V39)+N(V40)+N(V41)+N(V42)+N(V43)+N(V44)+N(V45)+N(V46)+N(V47)+N(V48)+N(V49)+N(V50)+N(V51)+N(V52)+N(V53)+N(V68)-N(V71),-2)</f>
        <v>0</v>
      </c>
      <c r="X74" s="265">
        <f>ROUND(N(X38)+N(X39)+N(X40)+N(X41)+N(X42)+N(X43)+N(X44)+N(X45)+N(X46)+N(X47)+N(X48)+N(X49)+N(X50)+N(X51)+N(X52)+N(X53)+N(X68)-N(X71),-2)</f>
        <v>0</v>
      </c>
      <c r="Y74" s="265">
        <f>ROUND(N(Y38)+N(Y39)+N(Y40)+N(Y41)+N(Y42)+N(Y43)+N(Y44)+N(Y45)+N(Y46)+N(Y47)+N(Y48)+N(Y49)+N(Y50)+N(Y51)+N(Y52)+N(Y53)+N(Y68)-N(Y71),-2)</f>
        <v>0</v>
      </c>
      <c r="Z74" s="265">
        <f>ROUND(N(Z38)+N(Z39)+N(Z40)+N(Z41)+N(Z42)+N(Z43)+N(Z44)+N(Z45)+N(Z46)+N(Z47)+N(Z48)+N(Z49)+N(Z50)+N(Z51)+N(Z52)+N(Z53)+N(Z68)-N(Z71),-2)</f>
        <v>0</v>
      </c>
      <c r="AA74" s="265">
        <f>ROUND(N(AA38)+N(AA39)+N(AA40)+N(AA41)+N(AA42)+N(AA43)+N(AA44)+N(AA45)+N(AA46)+N(AA47)+N(AA48)+N(AA49)+N(AA50)+N(AA51)+N(AA52)+N(AA53)+N(AA68)-N(AA71),-2)</f>
        <v>0</v>
      </c>
      <c r="AC74" s="265">
        <f>ROUND(N(AC38)+N(AC39)+N(AC40)+N(AC41)+N(AC42)+N(AC43)+N(AC44)+N(AC45)+N(AC46)+N(AC47)+N(AC48)+N(AC49)+N(AC50)+N(AC51)+N(AC52)+N(AC53)+N(AC68)-N(AC71),-2)</f>
        <v>0</v>
      </c>
      <c r="AD74" s="265">
        <f>ROUND(N(AD38)+N(AD39)+N(AD40)+N(AD41)+N(AD42)+N(AD43)+N(AD44)+N(AD45)+N(AD46)+N(AD47)+N(AD48)+N(AD49)+N(AD50)+N(AD51)+N(AD52)+N(AD53)+N(AD68)-N(AD71),-2)</f>
        <v>0</v>
      </c>
    </row>
    <row r="75">
      <c r="A75" t="inlineStr">
        <is>
          <t>CHECK: receita - custo - despesas + não operacional - IR - minoritários + outros após IR - lucro (deve ser 0) · derivada</t>
        </is>
      </c>
      <c r="C75" t="inlineStr">
        <is>
          <t>[linha bruta, sem código; lançada nas linhas abaixo]</t>
        </is>
      </c>
      <c r="D75" s="265">
        <f>ROUND(N(D5)-N(D6)-N(D9)+N(D12)-N(D16)-N(D18)+N(D21)-N(D22),-2)</f>
        <v>0</v>
      </c>
      <c r="E75" s="265">
        <f>ROUND(N(E5)-N(E6)-N(E9)+N(E12)-N(E16)-N(E18)+N(E21)-N(E22),-2)</f>
        <v>0</v>
      </c>
      <c r="F75" s="265">
        <f>ROUND(N(F5)-N(F6)-N(F9)+N(F12)-N(F16)-N(F18)+N(F21)-N(F22),-2)</f>
        <v>0</v>
      </c>
      <c r="G75" s="265">
        <f>ROUND(N(G5)-N(G6)-N(G9)+N(G12)-N(G16)-N(G18)+N(G21)-N(G22),-2)</f>
        <v>0</v>
      </c>
      <c r="I75" s="265">
        <f>ROUND(N(I5)-N(I6)-N(I9)+N(I12)-N(I16)-N(I18)+N(I21)-N(I22),-2)</f>
        <v>0</v>
      </c>
      <c r="J75" s="265">
        <f>ROUND(N(J5)-N(J6)-N(J9)+N(J12)-N(J16)-N(J18)+N(J21)-N(J22),-2)</f>
        <v>0</v>
      </c>
      <c r="K75" s="265">
        <f>ROUND(N(K5)-N(K6)-N(K9)+N(K12)-N(K16)-N(K18)+N(K21)-N(K22),-2)</f>
        <v>0</v>
      </c>
      <c r="L75" s="265">
        <f>ROUND(N(L5)-N(L6)-N(L9)+N(L12)-N(L16)-N(L18)+N(L21)-N(L22),-2)</f>
        <v>0</v>
      </c>
      <c r="N75" s="265">
        <f>ROUND(N(N5)-N(N6)-N(N9)+N(N12)-N(N16)-N(N18)+N(N21)-N(N22),-2)</f>
        <v>0</v>
      </c>
      <c r="O75" s="265">
        <f>ROUND(N(O5)-N(O6)-N(O9)+N(O12)-N(O16)-N(O18)+N(O21)-N(O22),-2)</f>
        <v>0</v>
      </c>
      <c r="P75" s="265">
        <f>ROUND(N(P5)-N(P6)-N(P9)+N(P12)-N(P16)-N(P18)+N(P21)-N(P22),-2)</f>
        <v>0</v>
      </c>
      <c r="Q75" s="265">
        <f>ROUND(N(Q5)-N(Q6)-N(Q9)+N(Q12)-N(Q16)-N(Q18)+N(Q21)-N(Q22),-2)</f>
        <v>0</v>
      </c>
      <c r="S75" s="265">
        <f>ROUND(N(S5)-N(S6)-N(S9)+N(S12)-N(S16)-N(S18)+N(S21)-N(S22),-2)</f>
        <v>0</v>
      </c>
      <c r="T75" s="265">
        <f>ROUND(N(T5)-N(T6)-N(T9)+N(T12)-N(T16)-N(T18)+N(T21)-N(T22),-2)</f>
        <v>0</v>
      </c>
      <c r="U75" s="265">
        <f>ROUND(N(U5)-N(U6)-N(U9)+N(U12)-N(U16)-N(U18)+N(U21)-N(U22),-2)</f>
        <v>0</v>
      </c>
      <c r="V75" s="265">
        <f>ROUND(N(V5)-N(V6)-N(V9)+N(V12)-N(V16)-N(V18)+N(V21)-N(V22),-2)</f>
        <v>0</v>
      </c>
      <c r="X75" s="265">
        <f>ROUND(N(X5)-N(X6)-N(X9)+N(X12)-N(X16)-N(X18)+N(X21)-N(X22),-2)</f>
        <v>0</v>
      </c>
      <c r="Y75" s="265">
        <f>ROUND(N(Y5)-N(Y6)-N(Y9)+N(Y12)-N(Y16)-N(Y18)+N(Y21)-N(Y22),-2)</f>
        <v>0</v>
      </c>
      <c r="Z75" s="265">
        <f>ROUND(N(Z5)-N(Z6)-N(Z9)+N(Z12)-N(Z16)-N(Z18)+N(Z21)-N(Z22),-2)</f>
        <v>0</v>
      </c>
      <c r="AA75" s="265">
        <f>ROUND(N(AA5)-N(AA6)-N(AA9)+N(AA12)-N(AA16)-N(AA18)+N(AA21)-N(AA22),-2)</f>
        <v>0</v>
      </c>
      <c r="AC75" s="265">
        <f>ROUND(N(AC5)-N(AC6)-N(AC9)+N(AC12)-N(AC16)-N(AC18)+N(AC21)-N(AC22),-2)</f>
        <v>0</v>
      </c>
      <c r="AD75" s="265">
        <f>ROUND(N(AD5)-N(AD6)-N(AD9)+N(AD12)-N(AD16)-N(AD18)+N(AD21)-N(AD22),-2)</f>
        <v>0</v>
      </c>
    </row>
    <row r="76">
      <c r="A76" t="inlineStr">
        <is>
          <t>[vazio] Sem 10-Q/10-K para: 1Q20, 2Q20</t>
        </is>
      </c>
      <c r="C76" t="inlineStr">
        <is>
          <t>[linha bruta, sem código; lançada nas linhas abaixo]</t>
        </is>
      </c>
      <c r="D76" s="265" t="n"/>
      <c r="E76" s="265" t="n"/>
      <c r="F76" s="265" t="n"/>
      <c r="G76" s="265" t="n"/>
      <c r="I76" s="265" t="n"/>
      <c r="J76" s="265" t="n"/>
      <c r="K76" s="265" t="n"/>
      <c r="L76" s="265" t="n"/>
      <c r="N76" s="265" t="n"/>
      <c r="O76" s="265" t="n"/>
      <c r="P76" s="265" t="n"/>
      <c r="Q76" s="265" t="n"/>
      <c r="S76" s="265" t="n"/>
      <c r="T76" s="265" t="n"/>
      <c r="U76" s="265" t="n"/>
      <c r="V76" s="265" t="n"/>
      <c r="X76" s="265" t="n"/>
      <c r="Y76" s="265" t="n"/>
      <c r="Z76" s="265" t="n"/>
      <c r="AA76" s="265" t="n"/>
      <c r="AC76" s="265" t="n"/>
      <c r="AD76" s="265" t="n"/>
    </row>
    <row r="77"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DRIVERS DE RECEITA (codigos 45+): segmentos Energy, Ag (até o ano fiscal 2025), Grains e Agronomy (desde o ano fiscal 2026), Nitrogen Production e Corporate &amp; Other — receita e lucro antes do IR por segmento - SEC XBRL (USD, fator 0,000001).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Energy - receita (USD) · fonte · unid. moeda</t>
        </is>
      </c>
      <c r="B79" t="n">
        <v>45</v>
      </c>
      <c r="C79" t="inlineStr">
        <is>
          <t>Energy - receita (USD)</t>
        </is>
      </c>
      <c r="D79" s="265" t="n">
        <v>1372158</v>
      </c>
      <c r="E79" s="265" t="n">
        <v>1704798</v>
      </c>
      <c r="F79" s="265" t="n">
        <v>2040458</v>
      </c>
      <c r="G79" s="265" t="n">
        <v>2303987</v>
      </c>
      <c r="I79" s="265" t="n">
        <v>2027999</v>
      </c>
      <c r="J79" s="265" t="n">
        <v>2775942</v>
      </c>
      <c r="K79" s="265" t="n">
        <v>3186846</v>
      </c>
      <c r="L79" s="265" t="n">
        <v>3119306</v>
      </c>
      <c r="N79" s="265" t="n">
        <v>2168901</v>
      </c>
      <c r="O79" s="265" t="n">
        <v>2264087</v>
      </c>
      <c r="P79" s="265" t="n">
        <v>2544619</v>
      </c>
      <c r="Q79" s="265" t="n">
        <v>2717940</v>
      </c>
      <c r="S79" s="265" t="n">
        <v>1756722</v>
      </c>
      <c r="T79" s="265" t="n">
        <v>2067178</v>
      </c>
      <c r="U79" s="265" t="n">
        <v>2224655</v>
      </c>
      <c r="V79" s="265" t="n">
        <v>2131159</v>
      </c>
      <c r="X79" s="265" t="n">
        <v>1917397</v>
      </c>
      <c r="Y79" s="265" t="n">
        <v>1917878</v>
      </c>
      <c r="Z79" s="265" t="n">
        <v>2026885</v>
      </c>
      <c r="AA79" s="265" t="n">
        <v>2364877</v>
      </c>
      <c r="AC79" s="265" t="n">
        <v>2110316</v>
      </c>
      <c r="AD79" s="265" t="n">
        <v>3324889</v>
      </c>
    </row>
    <row r="80">
      <c r="A80" t="inlineStr">
        <is>
          <t>Energy - lucro do segmento (USD) · fonte · unid. moeda</t>
        </is>
      </c>
      <c r="B80" t="n">
        <v>46</v>
      </c>
      <c r="C80" t="inlineStr">
        <is>
          <t>Energy - lucro do segmento (USD)</t>
        </is>
      </c>
      <c r="D80" s="265" t="n">
        <v>-54690</v>
      </c>
      <c r="E80" s="265" t="n">
        <v>4959</v>
      </c>
      <c r="F80" s="265" t="n">
        <v>106312</v>
      </c>
      <c r="G80" s="265" t="n">
        <v>69190</v>
      </c>
      <c r="I80" s="265" t="n">
        <v>10832</v>
      </c>
      <c r="J80" s="265" t="n">
        <v>163241</v>
      </c>
      <c r="K80" s="265" t="n">
        <v>373289</v>
      </c>
      <c r="L80" s="265" t="n">
        <v>396594</v>
      </c>
      <c r="N80" s="265" t="n">
        <v>264822</v>
      </c>
      <c r="O80" s="265" t="n">
        <v>198995</v>
      </c>
      <c r="P80" s="265" t="n">
        <v>215032</v>
      </c>
      <c r="Q80" s="265" t="n">
        <v>266835</v>
      </c>
      <c r="S80" s="265" t="n">
        <v>51579</v>
      </c>
      <c r="T80" s="265" t="n">
        <v>97850</v>
      </c>
      <c r="U80" s="265" t="n">
        <v>12789</v>
      </c>
      <c r="V80" s="265" t="n">
        <v>15724</v>
      </c>
      <c r="X80" s="265" t="n">
        <v>-79466</v>
      </c>
      <c r="Y80" s="265" t="n">
        <v>-56515</v>
      </c>
      <c r="Z80" s="265" t="n">
        <v>113215</v>
      </c>
      <c r="AA80" s="265" t="n">
        <v>152347</v>
      </c>
      <c r="AC80" s="265" t="n">
        <v>-133642</v>
      </c>
      <c r="AD80" s="265" t="n">
        <v>10099</v>
      </c>
    </row>
    <row r="81">
      <c r="A81" t="inlineStr">
        <is>
          <t>Ag (estrutura até FY25) - receita (USD) · fonte · unid. moeda</t>
        </is>
      </c>
      <c r="B81" t="n">
        <v>47</v>
      </c>
      <c r="C81" t="inlineStr">
        <is>
          <t>Ag (estrutura até FY25) - receita (USD)</t>
        </is>
      </c>
      <c r="D81" s="265" t="n">
        <v>6938212</v>
      </c>
      <c r="E81" s="265" t="n">
        <v>9216204</v>
      </c>
      <c r="F81" s="265" t="n">
        <v>8435524</v>
      </c>
      <c r="G81" s="265" t="n">
        <v>8569259</v>
      </c>
      <c r="I81" s="265" t="n">
        <v>8295931</v>
      </c>
      <c r="J81" s="265" t="n">
        <v>10352369</v>
      </c>
      <c r="K81" s="265" t="n">
        <v>10242652</v>
      </c>
      <c r="L81" s="265" t="n">
        <v>9633244</v>
      </c>
      <c r="N81" s="265" t="n">
        <v>9120470</v>
      </c>
      <c r="O81" s="265" t="n">
        <v>9743976</v>
      </c>
      <c r="P81" s="265" t="n">
        <v>6927514</v>
      </c>
      <c r="Q81" s="265" t="n">
        <v>8652165</v>
      </c>
      <c r="S81" s="265" t="n">
        <v>7311111</v>
      </c>
      <c r="T81" s="265" t="n">
        <v>7523656</v>
      </c>
      <c r="U81" s="265" t="n">
        <v>6929927</v>
      </c>
      <c r="V81" s="265" t="n">
        <v>7142114</v>
      </c>
      <c r="X81" s="265" t="n">
        <v>6085467</v>
      </c>
      <c r="Y81" s="265" t="n">
        <v>7962254</v>
      </c>
      <c r="Z81" s="265" t="n">
        <v>6558646</v>
      </c>
      <c r="AA81" s="265" t="n"/>
      <c r="AC81" s="265" t="n"/>
      <c r="AD81" s="265" t="n"/>
    </row>
    <row r="82">
      <c r="A82" t="inlineStr">
        <is>
          <t>Ag (estrutura até FY25) - lucro do segmento (USD) · fonte · unid. moeda</t>
        </is>
      </c>
      <c r="B82" t="n">
        <v>48</v>
      </c>
      <c r="C82" t="inlineStr">
        <is>
          <t>Ag (estrutura até FY25) - lucro do segmento (USD)</t>
        </is>
      </c>
      <c r="D82" s="265" t="n">
        <v>14044</v>
      </c>
      <c r="E82" s="265" t="n">
        <v>140131</v>
      </c>
      <c r="F82" s="265" t="n">
        <v>60911</v>
      </c>
      <c r="G82" s="265" t="n">
        <v>286425</v>
      </c>
      <c r="I82" s="265" t="n">
        <v>55181</v>
      </c>
      <c r="J82" s="265" t="n">
        <v>273688</v>
      </c>
      <c r="K82" s="265" t="n">
        <v>42292</v>
      </c>
      <c r="L82" s="265" t="n">
        <v>287299</v>
      </c>
      <c r="N82" s="265" t="n">
        <v>-81566</v>
      </c>
      <c r="O82" s="265" t="n">
        <v>233515</v>
      </c>
      <c r="P82" s="265" t="n">
        <v>-27440</v>
      </c>
      <c r="Q82" s="265" t="n">
        <v>169720</v>
      </c>
      <c r="S82" s="265" t="n">
        <v>56851</v>
      </c>
      <c r="T82" s="265" t="n">
        <v>108535</v>
      </c>
      <c r="U82" s="265" t="n">
        <v>7571</v>
      </c>
      <c r="V82" s="265" t="n">
        <v>166652</v>
      </c>
      <c r="X82" s="265" t="n">
        <v>-45552</v>
      </c>
      <c r="Y82" s="265" t="n">
        <v>151040</v>
      </c>
      <c r="Z82" s="265" t="n">
        <v>-26480</v>
      </c>
      <c r="AA82" s="265" t="n"/>
      <c r="AC82" s="265" t="n"/>
      <c r="AD82" s="265" t="n"/>
    </row>
    <row r="83">
      <c r="A83" t="inlineStr">
        <is>
          <t>Grains (estrutura FY26) - receita (USD) · fonte · unid. moeda</t>
        </is>
      </c>
      <c r="B83" t="n">
        <v>49</v>
      </c>
      <c r="C83" t="inlineStr">
        <is>
          <t>Grains (estrutura FY26) - receita (USD)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/>
      <c r="O83" s="265" t="n"/>
      <c r="P83" s="265" t="n"/>
      <c r="Q83" s="265" t="n"/>
      <c r="S83" s="265" t="n"/>
      <c r="T83" s="265" t="n"/>
      <c r="U83" s="265" t="n"/>
      <c r="V83" s="265" t="n"/>
      <c r="X83" s="265" t="n"/>
      <c r="Y83" s="265" t="n"/>
      <c r="Z83" s="265" t="n"/>
      <c r="AA83" s="265" t="n">
        <v>5215354</v>
      </c>
      <c r="AC83" s="265" t="n">
        <v>5179956</v>
      </c>
      <c r="AD83" s="265" t="n">
        <v>5663682</v>
      </c>
    </row>
    <row r="84">
      <c r="A84" t="inlineStr">
        <is>
          <t>Grains (estrutura FY26) - lucro do segmento (USD) · fonte · unid. moeda</t>
        </is>
      </c>
      <c r="B84" t="n">
        <v>50</v>
      </c>
      <c r="C84" t="inlineStr">
        <is>
          <t>Grains (estrutura FY26) - lucro do segmento (USD)</t>
        </is>
      </c>
      <c r="D84" s="265" t="n"/>
      <c r="E84" s="265" t="n"/>
      <c r="F84" s="265" t="n"/>
      <c r="G84" s="265" t="n"/>
      <c r="I84" s="265" t="n"/>
      <c r="J84" s="265" t="n"/>
      <c r="K84" s="265" t="n"/>
      <c r="L84" s="265" t="n"/>
      <c r="N84" s="265" t="n"/>
      <c r="O84" s="265" t="n"/>
      <c r="P84" s="265" t="n"/>
      <c r="Q84" s="265" t="n"/>
      <c r="S84" s="265" t="n"/>
      <c r="T84" s="265" t="n"/>
      <c r="U84" s="265" t="n"/>
      <c r="V84" s="265" t="n"/>
      <c r="X84" s="265" t="n"/>
      <c r="Y84" s="265" t="n"/>
      <c r="Z84" s="265" t="n"/>
      <c r="AA84" s="265" t="n">
        <v>36242</v>
      </c>
      <c r="AC84" s="265" t="n">
        <v>-17936</v>
      </c>
      <c r="AD84" s="265" t="n">
        <v>-33564</v>
      </c>
    </row>
    <row r="85">
      <c r="A85" t="inlineStr">
        <is>
          <t>Agronomy (estrutura FY26) - receita (USD) · fonte · unid. moeda</t>
        </is>
      </c>
      <c r="B85" t="n">
        <v>51</v>
      </c>
      <c r="C85" t="inlineStr">
        <is>
          <t>Agronomy (estrutura FY26) - receita (USD)</t>
        </is>
      </c>
      <c r="D85" s="265" t="n"/>
      <c r="E85" s="265" t="n"/>
      <c r="F85" s="265" t="n"/>
      <c r="G85" s="265" t="n"/>
      <c r="I85" s="265" t="n"/>
      <c r="J85" s="265" t="n"/>
      <c r="K85" s="265" t="n"/>
      <c r="L85" s="265" t="n"/>
      <c r="N85" s="265" t="n"/>
      <c r="O85" s="265" t="n"/>
      <c r="P85" s="265" t="n"/>
      <c r="Q85" s="265" t="n"/>
      <c r="S85" s="265" t="n"/>
      <c r="T85" s="265" t="n"/>
      <c r="U85" s="265" t="n"/>
      <c r="V85" s="265" t="n"/>
      <c r="X85" s="265" t="n"/>
      <c r="Y85" s="265" t="n"/>
      <c r="Z85" s="265" t="n"/>
      <c r="AA85" s="265" t="n">
        <v>1238005</v>
      </c>
      <c r="AC85" s="265" t="n">
        <v>1043541</v>
      </c>
      <c r="AD85" s="265" t="n">
        <v>2566572</v>
      </c>
    </row>
    <row r="86">
      <c r="A86" t="inlineStr">
        <is>
          <t>Agronomy (estrutura FY26) - lucro do segmento (USD) · fonte · unid. moeda</t>
        </is>
      </c>
      <c r="B86" t="n">
        <v>52</v>
      </c>
      <c r="C86" t="inlineStr">
        <is>
          <t>Agronomy (estrutura FY26) - lucro do segmento (USD)</t>
        </is>
      </c>
      <c r="D86" s="265" t="n"/>
      <c r="E86" s="265" t="n"/>
      <c r="F86" s="265" t="n"/>
      <c r="G86" s="265" t="n"/>
      <c r="I86" s="265" t="n"/>
      <c r="J86" s="265" t="n"/>
      <c r="K86" s="265" t="n"/>
      <c r="L86" s="265" t="n"/>
      <c r="N86" s="265" t="n"/>
      <c r="O86" s="265" t="n"/>
      <c r="P86" s="265" t="n"/>
      <c r="Q86" s="265" t="n"/>
      <c r="S86" s="265" t="n"/>
      <c r="T86" s="265" t="n"/>
      <c r="U86" s="265" t="n"/>
      <c r="V86" s="265" t="n"/>
      <c r="X86" s="265" t="n"/>
      <c r="Y86" s="265" t="n"/>
      <c r="Z86" s="265" t="n"/>
      <c r="AA86" s="265" t="n">
        <v>36804</v>
      </c>
      <c r="AC86" s="265" t="n">
        <v>-11492</v>
      </c>
      <c r="AD86" s="265" t="n">
        <v>275044</v>
      </c>
    </row>
    <row r="87">
      <c r="A87" t="inlineStr">
        <is>
          <t>Nitrogen Production (até FY25; sem receita, só equivalência) - receita (USD) · fonte · unid. moeda</t>
        </is>
      </c>
      <c r="B87" t="n">
        <v>53</v>
      </c>
      <c r="C87" t="inlineStr">
        <is>
          <t>Nitrogen Production (até FY25; sem receita, só equivalência)</t>
        </is>
      </c>
      <c r="D87" s="265" t="n"/>
      <c r="E87" s="265" t="n"/>
      <c r="F87" s="265" t="n"/>
      <c r="G87" s="265" t="n"/>
      <c r="I87" s="265" t="n"/>
      <c r="J87" s="265" t="n"/>
      <c r="K87" s="265" t="n"/>
      <c r="L87" s="265" t="n"/>
      <c r="N87" s="265" t="n"/>
      <c r="O87" s="265" t="n"/>
      <c r="P87" s="265" t="n"/>
      <c r="Q87" s="265" t="n"/>
      <c r="S87" s="265" t="n"/>
      <c r="T87" s="265" t="n"/>
      <c r="U87" s="265" t="n"/>
      <c r="V87" s="265" t="n"/>
      <c r="X87" s="265" t="n"/>
      <c r="Y87" s="265" t="n"/>
      <c r="Z87" s="265" t="n"/>
      <c r="AA87" s="265" t="n"/>
      <c r="AC87" s="265" t="n"/>
      <c r="AD87" s="265" t="n"/>
    </row>
    <row r="88">
      <c r="A88" t="inlineStr">
        <is>
          <t>Nitrogen Production (até FY25; sem receita, só equivalência) - lucro do segmento (USD) · fonte · unid. moeda</t>
        </is>
      </c>
      <c r="B88" t="n">
        <v>54</v>
      </c>
      <c r="C88" t="inlineStr">
        <is>
          <t>Nitrogen Production (até FY25; sem receita, só equivalência)</t>
        </is>
      </c>
      <c r="D88" s="265" t="n">
        <v>11165</v>
      </c>
      <c r="E88" s="265" t="n">
        <v>46635</v>
      </c>
      <c r="F88" s="265" t="n">
        <v>58765</v>
      </c>
      <c r="G88" s="265" t="n">
        <v>96583</v>
      </c>
      <c r="I88" s="265" t="n">
        <v>154257</v>
      </c>
      <c r="J88" s="265" t="n">
        <v>178212</v>
      </c>
      <c r="K88" s="265" t="n">
        <v>48933</v>
      </c>
      <c r="L88" s="265" t="n">
        <v>96873</v>
      </c>
      <c r="N88" s="265" t="n">
        <v>81733</v>
      </c>
      <c r="O88" s="265" t="n">
        <v>56263</v>
      </c>
      <c r="P88" s="265" t="n">
        <v>25891</v>
      </c>
      <c r="Q88" s="265" t="n">
        <v>36459</v>
      </c>
      <c r="S88" s="265" t="n">
        <v>37009</v>
      </c>
      <c r="T88" s="265" t="n">
        <v>52366</v>
      </c>
      <c r="U88" s="265" t="n">
        <v>25401</v>
      </c>
      <c r="V88" s="265" t="n">
        <v>25241</v>
      </c>
      <c r="X88" s="265" t="n">
        <v>20344</v>
      </c>
      <c r="Y88" s="265" t="n">
        <v>54610</v>
      </c>
      <c r="Z88" s="265" t="n">
        <v>59346</v>
      </c>
      <c r="AA88" s="265" t="n"/>
      <c r="AC88" s="265" t="n"/>
      <c r="AD88" s="265" t="n"/>
    </row>
    <row r="89">
      <c r="A89" t="inlineStr">
        <is>
          <t>Corporate &amp; Other / demais segmentos - receita (USD) · fonte · unid. moeda</t>
        </is>
      </c>
      <c r="B89" t="n">
        <v>55</v>
      </c>
      <c r="C89" t="inlineStr">
        <is>
          <t>Corporate &amp; Other / demais segmentos - receita (USD)</t>
        </is>
      </c>
      <c r="D89" s="265" t="n">
        <v>9789</v>
      </c>
      <c r="E89" s="265" t="n">
        <v>8974</v>
      </c>
      <c r="F89" s="265" t="n">
        <v>6273</v>
      </c>
      <c r="G89" s="265" t="n">
        <v>7511</v>
      </c>
      <c r="I89" s="265" t="n">
        <v>8658</v>
      </c>
      <c r="J89" s="265" t="n">
        <v>9413</v>
      </c>
      <c r="K89" s="265" t="n">
        <v>11099</v>
      </c>
      <c r="L89" s="265" t="n">
        <v>13289</v>
      </c>
      <c r="N89" s="265" t="n">
        <v>17477</v>
      </c>
      <c r="O89" s="265" t="n">
        <v>17988</v>
      </c>
      <c r="P89" s="265" t="n">
        <v>19133</v>
      </c>
      <c r="Q89" s="265" t="n">
        <v>20553</v>
      </c>
      <c r="S89" s="265" t="n">
        <v>19647</v>
      </c>
      <c r="T89" s="265" t="n">
        <v>18149</v>
      </c>
      <c r="U89" s="265" t="n">
        <v>19526</v>
      </c>
      <c r="V89" s="265" t="n">
        <v>20839</v>
      </c>
      <c r="X89" s="265" t="n">
        <v>19484</v>
      </c>
      <c r="Y89" s="265" t="n">
        <v>18418</v>
      </c>
      <c r="Z89" s="265" t="n">
        <v>20353</v>
      </c>
      <c r="AA89" s="265" t="n"/>
      <c r="AC89" s="265" t="n">
        <v>96381</v>
      </c>
      <c r="AD89" s="265" t="n">
        <v>90965</v>
      </c>
    </row>
    <row r="90">
      <c r="A90" t="inlineStr">
        <is>
          <t>Corporate &amp; Other / demais segmentos - lucro do segmento (USD) · fonte · unid. moeda</t>
        </is>
      </c>
      <c r="B90" t="n">
        <v>56</v>
      </c>
      <c r="C90" t="inlineStr">
        <is>
          <t>Corporate &amp; Other / demais segmentos - lucro do segmento (US</t>
        </is>
      </c>
      <c r="D90" s="265" t="n">
        <v>22791</v>
      </c>
      <c r="E90" s="265" t="n">
        <v>64478</v>
      </c>
      <c r="F90" s="265" t="n">
        <v>-73123</v>
      </c>
      <c r="G90" s="265" t="n">
        <v>14465</v>
      </c>
      <c r="I90" s="265" t="n">
        <v>10557</v>
      </c>
      <c r="J90" s="265" t="n">
        <v>23596</v>
      </c>
      <c r="K90" s="265" t="n">
        <v>9276</v>
      </c>
      <c r="L90" s="265" t="n">
        <v>36704</v>
      </c>
      <c r="N90" s="265" t="n">
        <v>48033</v>
      </c>
      <c r="O90" s="265" t="n">
        <v>69347</v>
      </c>
      <c r="P90" s="265" t="n">
        <v>105684</v>
      </c>
      <c r="Q90" s="265" t="n">
        <v>43832</v>
      </c>
      <c r="S90" s="265" t="n">
        <v>40219</v>
      </c>
      <c r="T90" s="265" t="n">
        <v>51117</v>
      </c>
      <c r="U90" s="265" t="n">
        <v>39654</v>
      </c>
      <c r="V90" s="265" t="n">
        <v>47181</v>
      </c>
      <c r="X90" s="265" t="n">
        <v>23965</v>
      </c>
      <c r="Y90" s="265" t="n">
        <v>103293</v>
      </c>
      <c r="Z90" s="265" t="n">
        <v>42174</v>
      </c>
      <c r="AA90" s="265" t="n">
        <v>0</v>
      </c>
      <c r="AC90" s="265" t="n">
        <v>-1907</v>
      </c>
      <c r="AD90" s="265" t="n">
        <v>30634</v>
      </c>
    </row>
    <row r="91">
      <c r="A91" t="inlineStr">
        <is>
          <t>Notas: valores dimensionais das instâncias XBRL. CHS é uma cooperativa agrícola; o ano fiscal termina em 31/ago (nov -&gt; 4T, fev -&gt; 1T, mai -&gt; 2T, ago -&gt; 3T do calendário). A CHS mede os segmentos pelo lucro antes do IR (inclui equivalência, como a da CF Nitrogen no segmento Nitrogen Production, que não tem receita). A partir do ano fiscal 2026 (4T25 do calendário) Ag foi dividido em Grains e Agronomy e Nitrogen Production passou para "demais segmentos". A diferença para a receita do modelo são eliminações e itens de reconciliação.</t>
        </is>
      </c>
      <c r="C91" t="inlineStr">
        <is>
          <t>[linha bruta, sem código; lançada nas linhas abaixo]</t>
        </is>
      </c>
      <c r="D91" s="265" t="n"/>
      <c r="E91" s="265" t="n"/>
      <c r="F91" s="265" t="n"/>
      <c r="G91" s="265" t="n"/>
      <c r="I91" s="265" t="n"/>
      <c r="J91" s="265" t="n"/>
      <c r="K91" s="265" t="n"/>
      <c r="L91" s="265" t="n"/>
      <c r="N91" s="265" t="n"/>
      <c r="O91" s="265" t="n"/>
      <c r="P91" s="265" t="n"/>
      <c r="Q91" s="265" t="n"/>
      <c r="S91" s="265" t="n"/>
      <c r="T91" s="265" t="n"/>
      <c r="U91" s="265" t="n"/>
      <c r="V91" s="265" t="n"/>
      <c r="X91" s="265" t="n"/>
      <c r="Y91" s="265" t="n"/>
      <c r="Z91" s="265" t="n"/>
      <c r="AA91" s="265" t="n"/>
      <c r="AC91" s="265" t="n"/>
      <c r="AD91" s="265" t="n"/>
    </row>
    <row r="93">
      <c r="A93" t="inlineStr">
        <is>
          <t>Linhas de origem: 4 a 91. A Inputs (2) varre as linhas 4 a 150; as linhas 92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4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CHS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8320.159</v>
      </c>
      <c r="E4" s="11">
        <f>IF(E$3=0,"",SUMIFS(INDEX(Inputs!$D$4:$AG$150,0,MATCH(E$2,Inputs!$D$2:$AG$2,0)),Inputs!$B$4:$B$150,$B4)/1000)</f>
        <v>10929.976</v>
      </c>
      <c r="F4" s="11">
        <f>IF(F$3=0,"",SUMIFS(INDEX(Inputs!$D$4:$AG$150,0,MATCH(F$2,Inputs!$D$2:$AG$2,0)),Inputs!$B$4:$B$150,$B4)/1000)</f>
        <v>10482.255</v>
      </c>
      <c r="G4" s="11">
        <f>IF(G$3=0,"",SUMIFS(INDEX(Inputs!$D$4:$AG$150,0,MATCH(G$2,Inputs!$D$2:$AG$2,0)),Inputs!$B$4:$B$150,$B4)/1000)</f>
        <v>10880.757</v>
      </c>
      <c r="H4" s="12">
        <f>IF(COUNT(D4:G4)=4,SUM(D4:G4),"")</f>
        <v>40613.147</v>
      </c>
      <c r="I4" s="11">
        <f>IF(I$3=0,"",SUMIFS(INDEX(Inputs!$D$4:$AG$150,0,MATCH(I$2,Inputs!$D$2:$AG$2,0)),Inputs!$B$4:$B$150,$B4)/1000)</f>
        <v>10332.588</v>
      </c>
      <c r="J4" s="11">
        <f>IF(J$3=0,"",SUMIFS(INDEX(Inputs!$D$4:$AG$150,0,MATCH(J$2,Inputs!$D$2:$AG$2,0)),Inputs!$B$4:$B$150,$B4)/1000)</f>
        <v>13137.724</v>
      </c>
      <c r="K4" s="11">
        <f>IF(K$3=0,"",SUMIFS(INDEX(Inputs!$D$4:$AG$150,0,MATCH(K$2,Inputs!$D$2:$AG$2,0)),Inputs!$B$4:$B$150,$B4)/1000)</f>
        <v>13440.597</v>
      </c>
      <c r="L4" s="11">
        <f>IF(L$3=0,"",SUMIFS(INDEX(Inputs!$D$4:$AG$150,0,MATCH(L$2,Inputs!$D$2:$AG$2,0)),Inputs!$B$4:$B$150,$B4)/1000)</f>
        <v>12765.839</v>
      </c>
      <c r="M4" s="12">
        <f>IF(COUNT(I4:L4)=4,SUM(I4:L4),"")</f>
        <v>49676.748</v>
      </c>
      <c r="N4" s="11">
        <f>IF(N$3=0,"",SUMIFS(INDEX(Inputs!$D$4:$AG$150,0,MATCH(N$2,Inputs!$D$2:$AG$2,0)),Inputs!$B$4:$B$150,$B4)/1000)</f>
        <v>11306.848</v>
      </c>
      <c r="O4" s="11">
        <f>IF(O$3=0,"",SUMIFS(INDEX(Inputs!$D$4:$AG$150,0,MATCH(O$2,Inputs!$D$2:$AG$2,0)),Inputs!$B$4:$B$150,$B4)/1000)</f>
        <v>12026.051</v>
      </c>
      <c r="P4" s="11">
        <f>IF(P$3=0,"",SUMIFS(INDEX(Inputs!$D$4:$AG$150,0,MATCH(P$2,Inputs!$D$2:$AG$2,0)),Inputs!$B$4:$B$150,$B4)/1000)</f>
        <v>9491.266</v>
      </c>
      <c r="Q4" s="11">
        <f>IF(Q$3=0,"",SUMIFS(INDEX(Inputs!$D$4:$AG$150,0,MATCH(Q$2,Inputs!$D$2:$AG$2,0)),Inputs!$B$4:$B$150,$B4)/1000)</f>
        <v>11390.658</v>
      </c>
      <c r="R4" s="12">
        <f>IF(COUNT(N4:Q4)=4,SUM(N4:Q4),"")</f>
        <v>44214.823</v>
      </c>
      <c r="S4" s="11">
        <f>IF(S$3=0,"",SUMIFS(INDEX(Inputs!$D$4:$AG$150,0,MATCH(S$2,Inputs!$D$2:$AG$2,0)),Inputs!$B$4:$B$150,$B4)/1000)</f>
        <v>9087.48</v>
      </c>
      <c r="T4" s="11">
        <f>IF(T$3=0,"",SUMIFS(INDEX(Inputs!$D$4:$AG$150,0,MATCH(T$2,Inputs!$D$2:$AG$2,0)),Inputs!$B$4:$B$150,$B4)/1000)</f>
        <v>9608.983</v>
      </c>
      <c r="U4" s="11">
        <f>IF(U$3=0,"",SUMIFS(INDEX(Inputs!$D$4:$AG$150,0,MATCH(U$2,Inputs!$D$2:$AG$2,0)),Inputs!$B$4:$B$150,$B4)/1000)</f>
        <v>9174.108</v>
      </c>
      <c r="V4" s="11">
        <f>IF(V$3=0,"",SUMIFS(INDEX(Inputs!$D$4:$AG$150,0,MATCH(V$2,Inputs!$D$2:$AG$2,0)),Inputs!$B$4:$B$150,$B4)/1000)</f>
        <v>9294.112</v>
      </c>
      <c r="W4" s="12">
        <f>IF(COUNT(S4:V4)=4,SUM(S4:V4),"")</f>
        <v>37164.683</v>
      </c>
      <c r="X4" s="11">
        <f>IF(X$3=0,"",SUMIFS(INDEX(Inputs!$D$4:$AG$150,0,MATCH(X$2,Inputs!$D$2:$AG$2,0)),Inputs!$B$4:$B$150,$B4)/1000)</f>
        <v>7796.191</v>
      </c>
      <c r="Y4" s="11">
        <f>IF(Y$3=0,"",SUMIFS(INDEX(Inputs!$D$4:$AG$150,0,MATCH(Y$2,Inputs!$D$2:$AG$2,0)),Inputs!$B$4:$B$150,$B4)/1000)</f>
        <v>9766.421</v>
      </c>
      <c r="Z4" s="11">
        <f>IF(Z$3=0,"",SUMIFS(INDEX(Inputs!$D$4:$AG$150,0,MATCH(Z$2,Inputs!$D$2:$AG$2,0)),Inputs!$B$4:$B$150,$B4)/1000)</f>
        <v>8605.884</v>
      </c>
      <c r="AA4" s="11">
        <f>IF(AA$3=0,"",SUMIFS(INDEX(Inputs!$D$4:$AG$150,0,MATCH(AA$2,Inputs!$D$2:$AG$2,0)),Inputs!$B$4:$B$150,$B4)/1000)</f>
        <v>8864.104</v>
      </c>
      <c r="AB4" s="12">
        <f>IF(COUNT(X4:AA4)=4,SUM(X4:AA4),"")</f>
        <v>35032.6</v>
      </c>
      <c r="AC4" s="11">
        <f>IF(AC$3=0,"",SUMIFS(INDEX(Inputs!$D$4:$AG$150,0,MATCH(AC$2,Inputs!$D$2:$AG$2,0)),Inputs!$B$4:$B$150,$B4)/1000)</f>
        <v>8353.791</v>
      </c>
      <c r="AD4" s="11">
        <f>IF(AD$3=0,"",SUMIFS(INDEX(Inputs!$D$4:$AG$150,0,MATCH(AD$2,Inputs!$D$2:$AG$2,0)),Inputs!$B$4:$B$150,$B4)/1000)</f>
        <v>11582.089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-8218.439</v>
      </c>
      <c r="E5" s="11">
        <f>IF(E$3=0,"",SUMIFS(INDEX(Inputs!$D$4:$AG$150,0,MATCH(E$2,Inputs!$D$2:$AG$2,0)),Inputs!$B$4:$B$150,$B5)/1000)</f>
        <v>-10615.348</v>
      </c>
      <c r="F5" s="11">
        <f>IF(F$3=0,"",SUMIFS(INDEX(Inputs!$D$4:$AG$150,0,MATCH(F$2,Inputs!$D$2:$AG$2,0)),Inputs!$B$4:$B$150,$B5)/1000)</f>
        <v>-10125.308</v>
      </c>
      <c r="G5" s="11">
        <f>IF(G$3=0,"",SUMIFS(INDEX(Inputs!$D$4:$AG$150,0,MATCH(G$2,Inputs!$D$2:$AG$2,0)),Inputs!$B$4:$B$150,$B5)/1000)</f>
        <v>-10360.849</v>
      </c>
      <c r="H5" s="12">
        <f>IF(COUNT(D5:G5)=4,SUM(D5:G5),"")</f>
        <v>-39319.944</v>
      </c>
      <c r="I5" s="11">
        <f>IF(I$3=0,"",SUMIFS(INDEX(Inputs!$D$4:$AG$150,0,MATCH(I$2,Inputs!$D$2:$AG$2,0)),Inputs!$B$4:$B$150,$B5)/1000)</f>
        <v>-10063.59</v>
      </c>
      <c r="J5" s="11">
        <f>IF(J$3=0,"",SUMIFS(INDEX(Inputs!$D$4:$AG$150,0,MATCH(J$2,Inputs!$D$2:$AG$2,0)),Inputs!$B$4:$B$150,$B5)/1000)</f>
        <v>-12493.467</v>
      </c>
      <c r="K5" s="11">
        <f>IF(K$3=0,"",SUMIFS(INDEX(Inputs!$D$4:$AG$150,0,MATCH(K$2,Inputs!$D$2:$AG$2,0)),Inputs!$B$4:$B$150,$B5)/1000)</f>
        <v>-12746.839</v>
      </c>
      <c r="L5" s="11">
        <f>IF(L$3=0,"",SUMIFS(INDEX(Inputs!$D$4:$AG$150,0,MATCH(L$2,Inputs!$D$2:$AG$2,0)),Inputs!$B$4:$B$150,$B5)/1000)</f>
        <v>-11886.704</v>
      </c>
      <c r="M5" s="12">
        <f>IF(COUNT(I5:L5)=4,SUM(I5:L5),"")</f>
        <v>-47190.6</v>
      </c>
      <c r="N5" s="11">
        <f>IF(N$3=0,"",SUMIFS(INDEX(Inputs!$D$4:$AG$150,0,MATCH(N$2,Inputs!$D$2:$AG$2,0)),Inputs!$B$4:$B$150,$B5)/1000)</f>
        <v>-10922.581</v>
      </c>
      <c r="O5" s="11">
        <f>IF(O$3=0,"",SUMIFS(INDEX(Inputs!$D$4:$AG$150,0,MATCH(O$2,Inputs!$D$2:$AG$2,0)),Inputs!$B$4:$B$150,$B5)/1000)</f>
        <v>-11351.711</v>
      </c>
      <c r="P5" s="11">
        <f>IF(P$3=0,"",SUMIFS(INDEX(Inputs!$D$4:$AG$150,0,MATCH(P$2,Inputs!$D$2:$AG$2,0)),Inputs!$B$4:$B$150,$B5)/1000)</f>
        <v>-9052.743</v>
      </c>
      <c r="Q5" s="11">
        <f>IF(Q$3=0,"",SUMIFS(INDEX(Inputs!$D$4:$AG$150,0,MATCH(Q$2,Inputs!$D$2:$AG$2,0)),Inputs!$B$4:$B$150,$B5)/1000)</f>
        <v>-10745.708</v>
      </c>
      <c r="R5" s="12">
        <f>IF(COUNT(N5:Q5)=4,SUM(N5:Q5),"")</f>
        <v>-42072.743</v>
      </c>
      <c r="S5" s="11">
        <f>IF(S$3=0,"",SUMIFS(INDEX(Inputs!$D$4:$AG$150,0,MATCH(S$2,Inputs!$D$2:$AG$2,0)),Inputs!$B$4:$B$150,$B5)/1000)</f>
        <v>-8721.588</v>
      </c>
      <c r="T5" s="11">
        <f>IF(T$3=0,"",SUMIFS(INDEX(Inputs!$D$4:$AG$150,0,MATCH(T$2,Inputs!$D$2:$AG$2,0)),Inputs!$B$4:$B$150,$B5)/1000)</f>
        <v>-9141.188</v>
      </c>
      <c r="U5" s="11">
        <f>IF(U$3=0,"",SUMIFS(INDEX(Inputs!$D$4:$AG$150,0,MATCH(U$2,Inputs!$D$2:$AG$2,0)),Inputs!$B$4:$B$150,$B5)/1000)</f>
        <v>-8901.418</v>
      </c>
      <c r="V5" s="11">
        <f>IF(V$3=0,"",SUMIFS(INDEX(Inputs!$D$4:$AG$150,0,MATCH(V$2,Inputs!$D$2:$AG$2,0)),Inputs!$B$4:$B$150,$B5)/1000)</f>
        <v>-8893.436</v>
      </c>
      <c r="W5" s="12">
        <f>IF(COUNT(S5:V5)=4,SUM(S5:V5),"")</f>
        <v>-35657.63</v>
      </c>
      <c r="X5" s="11">
        <f>IF(X$3=0,"",SUMIFS(INDEX(Inputs!$D$4:$AG$150,0,MATCH(X$2,Inputs!$D$2:$AG$2,0)),Inputs!$B$4:$B$150,$B5)/1000)</f>
        <v>-7719.876</v>
      </c>
      <c r="Y5" s="11">
        <f>IF(Y$3=0,"",SUMIFS(INDEX(Inputs!$D$4:$AG$150,0,MATCH(Y$2,Inputs!$D$2:$AG$2,0)),Inputs!$B$4:$B$150,$B5)/1000)</f>
        <v>-9436.61</v>
      </c>
      <c r="Z5" s="11">
        <f>IF(Z$3=0,"",SUMIFS(INDEX(Inputs!$D$4:$AG$150,0,MATCH(Z$2,Inputs!$D$2:$AG$2,0)),Inputs!$B$4:$B$150,$B5)/1000)</f>
        <v>-8275.872</v>
      </c>
      <c r="AA5" s="11">
        <f>IF(AA$3=0,"",SUMIFS(INDEX(Inputs!$D$4:$AG$150,0,MATCH(AA$2,Inputs!$D$2:$AG$2,0)),Inputs!$B$4:$B$150,$B5)/1000)</f>
        <v>-8474.752</v>
      </c>
      <c r="AB5" s="12">
        <f>IF(COUNT(X5:AA5)=4,SUM(X5:AA5),"")</f>
        <v>-33907.11</v>
      </c>
      <c r="AC5" s="11">
        <f>IF(AC$3=0,"",SUMIFS(INDEX(Inputs!$D$4:$AG$150,0,MATCH(AC$2,Inputs!$D$2:$AG$2,0)),Inputs!$B$4:$B$150,$B5)/1000)</f>
        <v>-8327.973</v>
      </c>
      <c r="AD5" s="11">
        <f>IF(AD$3=0,"",SUMIFS(INDEX(Inputs!$D$4:$AG$150,0,MATCH(AD$2,Inputs!$D$2:$AG$2,0)),Inputs!$B$4:$B$150,$B5)/1000)</f>
        <v>-11171.469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-28.476</v>
      </c>
      <c r="E6" s="11">
        <f>IF(E$3=0,"",SUMIFS(INDEX(Inputs!$D$4:$AG$150,0,MATCH(E$2,Inputs!$D$2:$AG$2,0)),Inputs!$B$4:$B$150,$B6)/1000)</f>
        <v>-52.772</v>
      </c>
      <c r="F6" s="11">
        <f>IF(F$3=0,"",SUMIFS(INDEX(Inputs!$D$4:$AG$150,0,MATCH(F$2,Inputs!$D$2:$AG$2,0)),Inputs!$B$4:$B$150,$B6)/1000)</f>
        <v>-92.886</v>
      </c>
      <c r="G6" s="11">
        <f>IF(G$3=0,"",SUMIFS(INDEX(Inputs!$D$4:$AG$150,0,MATCH(G$2,Inputs!$D$2:$AG$2,0)),Inputs!$B$4:$B$150,$B6)/1000)</f>
        <v>-72.162</v>
      </c>
      <c r="H6" s="12">
        <f>IF(COUNT(D6:G6)=4,SUM(D6:G6),"")</f>
        <v>-246.296</v>
      </c>
      <c r="I6" s="11">
        <f>IF(I$3=0,"",SUMIFS(INDEX(Inputs!$D$4:$AG$150,0,MATCH(I$2,Inputs!$D$2:$AG$2,0)),Inputs!$B$4:$B$150,$B6)/1000)</f>
        <v>-111.936</v>
      </c>
      <c r="J6" s="11">
        <f>IF(J$3=0,"",SUMIFS(INDEX(Inputs!$D$4:$AG$150,0,MATCH(J$2,Inputs!$D$2:$AG$2,0)),Inputs!$B$4:$B$150,$B6)/1000)</f>
        <v>-108.735</v>
      </c>
      <c r="K6" s="11">
        <f>IF(K$3=0,"",SUMIFS(INDEX(Inputs!$D$4:$AG$150,0,MATCH(K$2,Inputs!$D$2:$AG$2,0)),Inputs!$B$4:$B$150,$B6)/1000)</f>
        <v>-168.509</v>
      </c>
      <c r="L6" s="11">
        <f>IF(L$3=0,"",SUMIFS(INDEX(Inputs!$D$4:$AG$150,0,MATCH(L$2,Inputs!$D$2:$AG$2,0)),Inputs!$B$4:$B$150,$B6)/1000)</f>
        <v>-103.278</v>
      </c>
      <c r="M6" s="12">
        <f>IF(COUNT(I6:L6)=4,SUM(I6:L6),"")</f>
        <v>-492.458</v>
      </c>
      <c r="N6" s="11">
        <f>IF(N$3=0,"",SUMIFS(INDEX(Inputs!$D$4:$AG$150,0,MATCH(N$2,Inputs!$D$2:$AG$2,0)),Inputs!$B$4:$B$150,$B6)/1000)</f>
        <v>-107.44</v>
      </c>
      <c r="O6" s="11">
        <f>IF(O$3=0,"",SUMIFS(INDEX(Inputs!$D$4:$AG$150,0,MATCH(O$2,Inputs!$D$2:$AG$2,0)),Inputs!$B$4:$B$150,$B6)/1000)</f>
        <v>-138.637</v>
      </c>
      <c r="P6" s="11">
        <f>IF(P$3=0,"",SUMIFS(INDEX(Inputs!$D$4:$AG$150,0,MATCH(P$2,Inputs!$D$2:$AG$2,0)),Inputs!$B$4:$B$150,$B6)/1000)</f>
        <v>-143.889</v>
      </c>
      <c r="Q6" s="11">
        <f>IF(Q$3=0,"",SUMIFS(INDEX(Inputs!$D$4:$AG$150,0,MATCH(Q$2,Inputs!$D$2:$AG$2,0)),Inputs!$B$4:$B$150,$B6)/1000)</f>
        <v>-114.019</v>
      </c>
      <c r="R6" s="12">
        <f>IF(COUNT(N6:Q6)=4,SUM(N6:Q6),"")</f>
        <v>-503.985</v>
      </c>
      <c r="S6" s="11">
        <f>IF(S$3=0,"",SUMIFS(INDEX(Inputs!$D$4:$AG$150,0,MATCH(S$2,Inputs!$D$2:$AG$2,0)),Inputs!$B$4:$B$150,$B6)/1000)</f>
        <v>-158.028</v>
      </c>
      <c r="T6" s="11">
        <f>IF(T$3=0,"",SUMIFS(INDEX(Inputs!$D$4:$AG$150,0,MATCH(T$2,Inputs!$D$2:$AG$2,0)),Inputs!$B$4:$B$150,$B6)/1000)</f>
        <v>-172.953</v>
      </c>
      <c r="U6" s="11">
        <f>IF(U$3=0,"",SUMIFS(INDEX(Inputs!$D$4:$AG$150,0,MATCH(U$2,Inputs!$D$2:$AG$2,0)),Inputs!$B$4:$B$150,$B6)/1000)</f>
        <v>-152.078</v>
      </c>
      <c r="V6" s="11">
        <f>IF(V$3=0,"",SUMIFS(INDEX(Inputs!$D$4:$AG$150,0,MATCH(V$2,Inputs!$D$2:$AG$2,0)),Inputs!$B$4:$B$150,$B6)/1000)</f>
        <v>-115.166</v>
      </c>
      <c r="W6" s="12">
        <f>IF(COUNT(S6:V6)=4,SUM(S6:V6),"")</f>
        <v>-598.225</v>
      </c>
      <c r="X6" s="11">
        <f>IF(X$3=0,"",SUMIFS(INDEX(Inputs!$D$4:$AG$150,0,MATCH(X$2,Inputs!$D$2:$AG$2,0)),Inputs!$B$4:$B$150,$B6)/1000)</f>
        <v>-93.239</v>
      </c>
      <c r="Y6" s="11">
        <f>IF(Y$3=0,"",SUMIFS(INDEX(Inputs!$D$4:$AG$150,0,MATCH(Y$2,Inputs!$D$2:$AG$2,0)),Inputs!$B$4:$B$150,$B6)/1000)</f>
        <v>-99.48</v>
      </c>
      <c r="Z6" s="11">
        <f>IF(Z$3=0,"",SUMIFS(INDEX(Inputs!$D$4:$AG$150,0,MATCH(Z$2,Inputs!$D$2:$AG$2,0)),Inputs!$B$4:$B$150,$B6)/1000)</f>
        <v>-86.747</v>
      </c>
      <c r="AA6" s="11">
        <f>IF(AA$3=0,"",SUMIFS(INDEX(Inputs!$D$4:$AG$150,0,MATCH(AA$2,Inputs!$D$2:$AG$2,0)),Inputs!$B$4:$B$150,$B6)/1000)</f>
        <v>-97.284</v>
      </c>
      <c r="AB6" s="12">
        <f>IF(COUNT(X6:AA6)=4,SUM(X6:AA6),"")</f>
        <v>-376.75</v>
      </c>
      <c r="AC6" s="11">
        <f>IF(AC$3=0,"",SUMIFS(INDEX(Inputs!$D$4:$AG$150,0,MATCH(AC$2,Inputs!$D$2:$AG$2,0)),Inputs!$B$4:$B$150,$B6)/1000)</f>
        <v>-94.981</v>
      </c>
      <c r="AD6" s="11">
        <f>IF(AD$3=0,"",SUMIFS(INDEX(Inputs!$D$4:$AG$150,0,MATCH(AD$2,Inputs!$D$2:$AG$2,0)),Inputs!$B$4:$B$150,$B6)/1000)</f>
        <v>-136.966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-133.034</v>
      </c>
      <c r="E7" s="11">
        <f>IF(E$3=0,"",SUMIFS(INDEX(Inputs!$D$4:$AG$150,0,MATCH(E$2,Inputs!$D$2:$AG$2,0)),Inputs!$B$4:$B$150,$B7)/1000)</f>
        <v>-133.931</v>
      </c>
      <c r="F7" s="11">
        <f>IF(F$3=0,"",SUMIFS(INDEX(Inputs!$D$4:$AG$150,0,MATCH(F$2,Inputs!$D$2:$AG$2,0)),Inputs!$B$4:$B$150,$B7)/1000)</f>
        <v>-133.841</v>
      </c>
      <c r="G7" s="11">
        <f>IF(G$3=0,"",SUMIFS(INDEX(Inputs!$D$4:$AG$150,0,MATCH(G$2,Inputs!$D$2:$AG$2,0)),Inputs!$B$4:$B$150,$B7)/1000)</f>
        <v>-132.772</v>
      </c>
      <c r="H7" s="12">
        <f>IF(COUNT(D7:G7)=4,SUM(D7:G7),"")</f>
        <v>-533.578</v>
      </c>
      <c r="I7" s="11">
        <f>IF(I$3=0,"",SUMIFS(INDEX(Inputs!$D$4:$AG$150,0,MATCH(I$2,Inputs!$D$2:$AG$2,0)),Inputs!$B$4:$B$150,$B7)/1000)</f>
        <v>-132.389</v>
      </c>
      <c r="J7" s="11">
        <f>IF(J$3=0,"",SUMIFS(INDEX(Inputs!$D$4:$AG$150,0,MATCH(J$2,Inputs!$D$2:$AG$2,0)),Inputs!$B$4:$B$150,$B7)/1000)</f>
        <v>-134.401</v>
      </c>
      <c r="K7" s="11">
        <f>IF(K$3=0,"",SUMIFS(INDEX(Inputs!$D$4:$AG$150,0,MATCH(K$2,Inputs!$D$2:$AG$2,0)),Inputs!$B$4:$B$150,$B7)/1000)</f>
        <v>-136.931</v>
      </c>
      <c r="L7" s="11">
        <f>IF(L$3=0,"",SUMIFS(INDEX(Inputs!$D$4:$AG$150,0,MATCH(L$2,Inputs!$D$2:$AG$2,0)),Inputs!$B$4:$B$150,$B7)/1000)</f>
        <v>-131.388</v>
      </c>
      <c r="M7" s="12">
        <f>IF(COUNT(I7:L7)=4,SUM(I7:L7),"")</f>
        <v>-535.109</v>
      </c>
      <c r="N7" s="11">
        <f>IF(N$3=0,"",SUMIFS(INDEX(Inputs!$D$4:$AG$150,0,MATCH(N$2,Inputs!$D$2:$AG$2,0)),Inputs!$B$4:$B$150,$B7)/1000)</f>
        <v>-134.485</v>
      </c>
      <c r="O7" s="11">
        <f>IF(O$3=0,"",SUMIFS(INDEX(Inputs!$D$4:$AG$150,0,MATCH(O$2,Inputs!$D$2:$AG$2,0)),Inputs!$B$4:$B$150,$B7)/1000)</f>
        <v>-134.601</v>
      </c>
      <c r="P7" s="11">
        <f>IF(P$3=0,"",SUMIFS(INDEX(Inputs!$D$4:$AG$150,0,MATCH(P$2,Inputs!$D$2:$AG$2,0)),Inputs!$B$4:$B$150,$B7)/1000)</f>
        <v>-139.047</v>
      </c>
      <c r="Q7" s="11">
        <f>IF(Q$3=0,"",SUMIFS(INDEX(Inputs!$D$4:$AG$150,0,MATCH(Q$2,Inputs!$D$2:$AG$2,0)),Inputs!$B$4:$B$150,$B7)/1000)</f>
        <v>-138.037</v>
      </c>
      <c r="R7" s="12">
        <f>IF(COUNT(N7:Q7)=4,SUM(N7:Q7),"")</f>
        <v>-546.17</v>
      </c>
      <c r="S7" s="11">
        <f>IF(S$3=0,"",SUMIFS(INDEX(Inputs!$D$4:$AG$150,0,MATCH(S$2,Inputs!$D$2:$AG$2,0)),Inputs!$B$4:$B$150,$B7)/1000)</f>
        <v>-140.202</v>
      </c>
      <c r="T7" s="11">
        <f>IF(T$3=0,"",SUMIFS(INDEX(Inputs!$D$4:$AG$150,0,MATCH(T$2,Inputs!$D$2:$AG$2,0)),Inputs!$B$4:$B$150,$B7)/1000)</f>
        <v>-143.482</v>
      </c>
      <c r="U7" s="11">
        <f>IF(U$3=0,"",SUMIFS(INDEX(Inputs!$D$4:$AG$150,0,MATCH(U$2,Inputs!$D$2:$AG$2,0)),Inputs!$B$4:$B$150,$B7)/1000)</f>
        <v>-148.17</v>
      </c>
      <c r="V7" s="11">
        <f>IF(V$3=0,"",SUMIFS(INDEX(Inputs!$D$4:$AG$150,0,MATCH(V$2,Inputs!$D$2:$AG$2,0)),Inputs!$B$4:$B$150,$B7)/1000)</f>
        <v>-147.684</v>
      </c>
      <c r="W7" s="12">
        <f>IF(COUNT(S7:V7)=4,SUM(S7:V7),"")</f>
        <v>-579.538</v>
      </c>
      <c r="X7" s="11">
        <f>IF(X$3=0,"",SUMIFS(INDEX(Inputs!$D$4:$AG$150,0,MATCH(X$2,Inputs!$D$2:$AG$2,0)),Inputs!$B$4:$B$150,$B7)/1000)</f>
        <v>-155.029</v>
      </c>
      <c r="Y7" s="11">
        <f>IF(Y$3=0,"",SUMIFS(INDEX(Inputs!$D$4:$AG$150,0,MATCH(Y$2,Inputs!$D$2:$AG$2,0)),Inputs!$B$4:$B$150,$B7)/1000)</f>
        <v>-159.37</v>
      </c>
      <c r="Z7" s="11">
        <f>IF(Z$3=0,"",SUMIFS(INDEX(Inputs!$D$4:$AG$150,0,MATCH(Z$2,Inputs!$D$2:$AG$2,0)),Inputs!$B$4:$B$150,$B7)/1000)</f>
        <v>-189.344</v>
      </c>
      <c r="AA7" s="11">
        <f>IF(AA$3=0,"",SUMIFS(INDEX(Inputs!$D$4:$AG$150,0,MATCH(AA$2,Inputs!$D$2:$AG$2,0)),Inputs!$B$4:$B$150,$B7)/1000)</f>
        <v>-170.836</v>
      </c>
      <c r="AB7" s="12">
        <f>IF(COUNT(X7:AA7)=4,SUM(X7:AA7),"")</f>
        <v>-674.579</v>
      </c>
      <c r="AC7" s="11">
        <f>IF(AC$3=0,"",SUMIFS(INDEX(Inputs!$D$4:$AG$150,0,MATCH(AC$2,Inputs!$D$2:$AG$2,0)),Inputs!$B$4:$B$150,$B7)/1000)</f>
        <v>-172.628</v>
      </c>
      <c r="AD7" s="11">
        <f>IF(AD$3=0,"",SUMIFS(INDEX(Inputs!$D$4:$AG$150,0,MATCH(AD$2,Inputs!$D$2:$AG$2,0)),Inputs!$B$4:$B$150,$B7)/1000)</f>
        <v>-165.317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-28.855</v>
      </c>
      <c r="E8" s="11">
        <f>IF(E$3=0,"",SUMIFS(INDEX(Inputs!$D$4:$AG$150,0,MATCH(E$2,Inputs!$D$2:$AG$2,0)),Inputs!$B$4:$B$150,$B8)/1000)</f>
        <v>-28.992</v>
      </c>
      <c r="F8" s="11">
        <f>IF(F$3=0,"",SUMIFS(INDEX(Inputs!$D$4:$AG$150,0,MATCH(F$2,Inputs!$D$2:$AG$2,0)),Inputs!$B$4:$B$150,$B8)/1000)</f>
        <v>-21.668</v>
      </c>
      <c r="G8" s="11">
        <f>IF(G$3=0,"",SUMIFS(INDEX(Inputs!$D$4:$AG$150,0,MATCH(G$2,Inputs!$D$2:$AG$2,0)),Inputs!$B$4:$B$150,$B8)/1000)</f>
        <v>-23.432</v>
      </c>
      <c r="H8" s="12">
        <f>IF(COUNT(D8:G8)=4,SUM(D8:G8),"")</f>
        <v>-102.947</v>
      </c>
      <c r="I8" s="11">
        <f>IF(I$3=0,"",SUMIFS(INDEX(Inputs!$D$4:$AG$150,0,MATCH(I$2,Inputs!$D$2:$AG$2,0)),Inputs!$B$4:$B$150,$B8)/1000)</f>
        <v>-25.174</v>
      </c>
      <c r="J8" s="11">
        <f>IF(J$3=0,"",SUMIFS(INDEX(Inputs!$D$4:$AG$150,0,MATCH(J$2,Inputs!$D$2:$AG$2,0)),Inputs!$B$4:$B$150,$B8)/1000)</f>
        <v>-32.099</v>
      </c>
      <c r="K8" s="11">
        <f>IF(K$3=0,"",SUMIFS(INDEX(Inputs!$D$4:$AG$150,0,MATCH(K$2,Inputs!$D$2:$AG$2,0)),Inputs!$B$4:$B$150,$B8)/1000)</f>
        <v>-33.451</v>
      </c>
      <c r="L8" s="11">
        <f>IF(L$3=0,"",SUMIFS(INDEX(Inputs!$D$4:$AG$150,0,MATCH(L$2,Inputs!$D$2:$AG$2,0)),Inputs!$B$4:$B$150,$B8)/1000)</f>
        <v>-33.25</v>
      </c>
      <c r="M8" s="12">
        <f>IF(COUNT(I8:L8)=4,SUM(I8:L8),"")</f>
        <v>-123.974</v>
      </c>
      <c r="N8" s="11">
        <f>IF(N$3=0,"",SUMIFS(INDEX(Inputs!$D$4:$AG$150,0,MATCH(N$2,Inputs!$D$2:$AG$2,0)),Inputs!$B$4:$B$150,$B8)/1000)</f>
        <v>-35.967</v>
      </c>
      <c r="O8" s="11">
        <f>IF(O$3=0,"",SUMIFS(INDEX(Inputs!$D$4:$AG$150,0,MATCH(O$2,Inputs!$D$2:$AG$2,0)),Inputs!$B$4:$B$150,$B8)/1000)</f>
        <v>-36.949</v>
      </c>
      <c r="P8" s="11">
        <f>IF(P$3=0,"",SUMIFS(INDEX(Inputs!$D$4:$AG$150,0,MATCH(P$2,Inputs!$D$2:$AG$2,0)),Inputs!$B$4:$B$150,$B8)/1000)</f>
        <v>-31.242</v>
      </c>
      <c r="Q8" s="11">
        <f>IF(Q$3=0,"",SUMIFS(INDEX(Inputs!$D$4:$AG$150,0,MATCH(Q$2,Inputs!$D$2:$AG$2,0)),Inputs!$B$4:$B$150,$B8)/1000)</f>
        <v>-29.628</v>
      </c>
      <c r="R8" s="12">
        <f>IF(COUNT(N8:Q8)=4,SUM(N8:Q8),"")</f>
        <v>-133.786</v>
      </c>
      <c r="S8" s="11">
        <f>IF(S$3=0,"",SUMIFS(INDEX(Inputs!$D$4:$AG$150,0,MATCH(S$2,Inputs!$D$2:$AG$2,0)),Inputs!$B$4:$B$150,$B8)/1000)</f>
        <v>-25.46</v>
      </c>
      <c r="T8" s="11">
        <f>IF(T$3=0,"",SUMIFS(INDEX(Inputs!$D$4:$AG$150,0,MATCH(T$2,Inputs!$D$2:$AG$2,0)),Inputs!$B$4:$B$150,$B8)/1000)</f>
        <v>-23.425</v>
      </c>
      <c r="U8" s="11">
        <f>IF(U$3=0,"",SUMIFS(INDEX(Inputs!$D$4:$AG$150,0,MATCH(U$2,Inputs!$D$2:$AG$2,0)),Inputs!$B$4:$B$150,$B8)/1000)</f>
        <v>-25.551</v>
      </c>
      <c r="V8" s="11">
        <f>IF(V$3=0,"",SUMIFS(INDEX(Inputs!$D$4:$AG$150,0,MATCH(V$2,Inputs!$D$2:$AG$2,0)),Inputs!$B$4:$B$150,$B8)/1000)</f>
        <v>-27.648</v>
      </c>
      <c r="W8" s="12">
        <f>IF(COUNT(S8:V8)=4,SUM(S8:V8),"")</f>
        <v>-102.084</v>
      </c>
      <c r="X8" s="11">
        <f>IF(X$3=0,"",SUMIFS(INDEX(Inputs!$D$4:$AG$150,0,MATCH(X$2,Inputs!$D$2:$AG$2,0)),Inputs!$B$4:$B$150,$B8)/1000)</f>
        <v>-25.205</v>
      </c>
      <c r="Y8" s="11">
        <f>IF(Y$3=0,"",SUMIFS(INDEX(Inputs!$D$4:$AG$150,0,MATCH(Y$2,Inputs!$D$2:$AG$2,0)),Inputs!$B$4:$B$150,$B8)/1000)</f>
        <v>-44.109</v>
      </c>
      <c r="Z8" s="11">
        <f>IF(Z$3=0,"",SUMIFS(INDEX(Inputs!$D$4:$AG$150,0,MATCH(Z$2,Inputs!$D$2:$AG$2,0)),Inputs!$B$4:$B$150,$B8)/1000)</f>
        <v>-49.117</v>
      </c>
      <c r="AA8" s="11">
        <f>IF(AA$3=0,"",SUMIFS(INDEX(Inputs!$D$4:$AG$150,0,MATCH(AA$2,Inputs!$D$2:$AG$2,0)),Inputs!$B$4:$B$150,$B8)/1000)</f>
        <v>-37.351</v>
      </c>
      <c r="AB8" s="12">
        <f>IF(COUNT(X8:AA8)=4,SUM(X8:AA8),"")</f>
        <v>-155.782</v>
      </c>
      <c r="AC8" s="11">
        <f>IF(AC$3=0,"",SUMIFS(INDEX(Inputs!$D$4:$AG$150,0,MATCH(AC$2,Inputs!$D$2:$AG$2,0)),Inputs!$B$4:$B$150,$B8)/1000)</f>
        <v>-43.757</v>
      </c>
      <c r="AD8" s="11">
        <f>IF(AD$3=0,"",SUMIFS(INDEX(Inputs!$D$4:$AG$150,0,MATCH(AD$2,Inputs!$D$2:$AG$2,0)),Inputs!$B$4:$B$150,$B8)/1000)</f>
        <v>-49.725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81.955</v>
      </c>
      <c r="E9" s="11">
        <f>IF(E$3=0,"",SUMIFS(INDEX(Inputs!$D$4:$AG$150,0,MATCH(E$2,Inputs!$D$2:$AG$2,0)),Inputs!$B$4:$B$150,$B9)/1000)</f>
        <v>157.27</v>
      </c>
      <c r="F9" s="11">
        <f>IF(F$3=0,"",SUMIFS(INDEX(Inputs!$D$4:$AG$150,0,MATCH(F$2,Inputs!$D$2:$AG$2,0)),Inputs!$B$4:$B$150,$B9)/1000)</f>
        <v>112.215</v>
      </c>
      <c r="G9" s="11">
        <f>IF(G$3=0,"",SUMIFS(INDEX(Inputs!$D$4:$AG$150,0,MATCH(G$2,Inputs!$D$2:$AG$2,0)),Inputs!$B$4:$B$150,$B9)/1000)</f>
        <v>175.121</v>
      </c>
      <c r="H9" s="12">
        <f>IF(COUNT(D9:G9)=4,SUM(D9:G9),"")</f>
        <v>526.561</v>
      </c>
      <c r="I9" s="11">
        <f>IF(I$3=0,"",SUMIFS(INDEX(Inputs!$D$4:$AG$150,0,MATCH(I$2,Inputs!$D$2:$AG$2,0)),Inputs!$B$4:$B$150,$B9)/1000)</f>
        <v>231.328</v>
      </c>
      <c r="J9" s="11">
        <f>IF(J$3=0,"",SUMIFS(INDEX(Inputs!$D$4:$AG$150,0,MATCH(J$2,Inputs!$D$2:$AG$2,0)),Inputs!$B$4:$B$150,$B9)/1000)</f>
        <v>269.715</v>
      </c>
      <c r="K9" s="11">
        <f>IF(K$3=0,"",SUMIFS(INDEX(Inputs!$D$4:$AG$150,0,MATCH(K$2,Inputs!$D$2:$AG$2,0)),Inputs!$B$4:$B$150,$B9)/1000)</f>
        <v>118.923</v>
      </c>
      <c r="L9" s="11">
        <f>IF(L$3=0,"",SUMIFS(INDEX(Inputs!$D$4:$AG$150,0,MATCH(L$2,Inputs!$D$2:$AG$2,0)),Inputs!$B$4:$B$150,$B9)/1000)</f>
        <v>206.251</v>
      </c>
      <c r="M9" s="12">
        <f>IF(COUNT(I9:L9)=4,SUM(I9:L9),"")</f>
        <v>826.217</v>
      </c>
      <c r="N9" s="11">
        <f>IF(N$3=0,"",SUMIFS(INDEX(Inputs!$D$4:$AG$150,0,MATCH(N$2,Inputs!$D$2:$AG$2,0)),Inputs!$B$4:$B$150,$B9)/1000)</f>
        <v>206.647</v>
      </c>
      <c r="O9" s="11">
        <f>IF(O$3=0,"",SUMIFS(INDEX(Inputs!$D$4:$AG$150,0,MATCH(O$2,Inputs!$D$2:$AG$2,0)),Inputs!$B$4:$B$150,$B9)/1000)</f>
        <v>193.967</v>
      </c>
      <c r="P9" s="11">
        <f>IF(P$3=0,"",SUMIFS(INDEX(Inputs!$D$4:$AG$150,0,MATCH(P$2,Inputs!$D$2:$AG$2,0)),Inputs!$B$4:$B$150,$B9)/1000)</f>
        <v>194.822</v>
      </c>
      <c r="Q9" s="11">
        <f>IF(Q$3=0,"",SUMIFS(INDEX(Inputs!$D$4:$AG$150,0,MATCH(Q$2,Inputs!$D$2:$AG$2,0)),Inputs!$B$4:$B$150,$B9)/1000)</f>
        <v>153.58</v>
      </c>
      <c r="R9" s="12">
        <f>IF(COUNT(N9:Q9)=4,SUM(N9:Q9),"")</f>
        <v>749.016</v>
      </c>
      <c r="S9" s="11">
        <f>IF(S$3=0,"",SUMIFS(INDEX(Inputs!$D$4:$AG$150,0,MATCH(S$2,Inputs!$D$2:$AG$2,0)),Inputs!$B$4:$B$150,$B9)/1000)</f>
        <v>143.456</v>
      </c>
      <c r="T9" s="11">
        <f>IF(T$3=0,"",SUMIFS(INDEX(Inputs!$D$4:$AG$150,0,MATCH(T$2,Inputs!$D$2:$AG$2,0)),Inputs!$B$4:$B$150,$B9)/1000)</f>
        <v>181.933</v>
      </c>
      <c r="U9" s="11">
        <f>IF(U$3=0,"",SUMIFS(INDEX(Inputs!$D$4:$AG$150,0,MATCH(U$2,Inputs!$D$2:$AG$2,0)),Inputs!$B$4:$B$150,$B9)/1000)</f>
        <v>138.524</v>
      </c>
      <c r="V9" s="11">
        <f>IF(V$3=0,"",SUMIFS(INDEX(Inputs!$D$4:$AG$150,0,MATCH(V$2,Inputs!$D$2:$AG$2,0)),Inputs!$B$4:$B$150,$B9)/1000)</f>
        <v>148.659</v>
      </c>
      <c r="W9" s="12">
        <f>IF(COUNT(S9:V9)=4,SUM(S9:V9),"")</f>
        <v>612.572</v>
      </c>
      <c r="X9" s="11">
        <f>IF(X$3=0,"",SUMIFS(INDEX(Inputs!$D$4:$AG$150,0,MATCH(X$2,Inputs!$D$2:$AG$2,0)),Inputs!$B$4:$B$150,$B9)/1000)</f>
        <v>112.446</v>
      </c>
      <c r="Y9" s="11">
        <f>IF(Y$3=0,"",SUMIFS(INDEX(Inputs!$D$4:$AG$150,0,MATCH(Y$2,Inputs!$D$2:$AG$2,0)),Inputs!$B$4:$B$150,$B9)/1000)</f>
        <v>232.003</v>
      </c>
      <c r="Z9" s="11">
        <f>IF(Z$3=0,"",SUMIFS(INDEX(Inputs!$D$4:$AG$150,0,MATCH(Z$2,Inputs!$D$2:$AG$2,0)),Inputs!$B$4:$B$150,$B9)/1000)</f>
        <v>176.988</v>
      </c>
      <c r="AA9" s="11">
        <f>IF(AA$3=0,"",SUMIFS(INDEX(Inputs!$D$4:$AG$150,0,MATCH(AA$2,Inputs!$D$2:$AG$2,0)),Inputs!$B$4:$B$150,$B9)/1000)</f>
        <v>188.307</v>
      </c>
      <c r="AB9" s="12">
        <f>IF(COUNT(X9:AA9)=4,SUM(X9:AA9),"")</f>
        <v>709.744</v>
      </c>
      <c r="AC9" s="11">
        <f>IF(AC$3=0,"",SUMIFS(INDEX(Inputs!$D$4:$AG$150,0,MATCH(AC$2,Inputs!$D$2:$AG$2,0)),Inputs!$B$4:$B$150,$B9)/1000)</f>
        <v>120.571</v>
      </c>
      <c r="AD9" s="11">
        <f>IF(AD$3=0,"",SUMIFS(INDEX(Inputs!$D$4:$AG$150,0,MATCH(AD$2,Inputs!$D$2:$AG$2,0)),Inputs!$B$4:$B$150,$B9)/1000)</f>
        <v>223.601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-31.668</v>
      </c>
      <c r="E10" s="11">
        <f>IF(E$3=0,"",SUMIFS(INDEX(Inputs!$D$4:$AG$150,0,MATCH(E$2,Inputs!$D$2:$AG$2,0)),Inputs!$B$4:$B$150,$B10)/1000)</f>
        <v>17.469</v>
      </c>
      <c r="F10" s="11">
        <f>IF(F$3=0,"",SUMIFS(INDEX(Inputs!$D$4:$AG$150,0,MATCH(F$2,Inputs!$D$2:$AG$2,0)),Inputs!$B$4:$B$150,$B10)/1000)</f>
        <v>28.119</v>
      </c>
      <c r="G10" s="11">
        <f>IF(G$3=0,"",SUMIFS(INDEX(Inputs!$D$4:$AG$150,0,MATCH(G$2,Inputs!$D$2:$AG$2,0)),Inputs!$B$4:$B$150,$B10)/1000)</f>
        <v>-14.72</v>
      </c>
      <c r="H10" s="12">
        <f>IF(COUNT(D10:G10)=4,SUM(D10:G10),"")</f>
        <v>-0.799999999999999</v>
      </c>
      <c r="I10" s="11">
        <f>IF(I$3=0,"",SUMIFS(INDEX(Inputs!$D$4:$AG$150,0,MATCH(I$2,Inputs!$D$2:$AG$2,0)),Inputs!$B$4:$B$150,$B10)/1000)</f>
        <v>-11.931</v>
      </c>
      <c r="J10" s="11">
        <f>IF(J$3=0,"",SUMIFS(INDEX(Inputs!$D$4:$AG$150,0,MATCH(J$2,Inputs!$D$2:$AG$2,0)),Inputs!$B$4:$B$150,$B10)/1000)</f>
        <v>-62.492</v>
      </c>
      <c r="K10" s="11">
        <f>IF(K$3=0,"",SUMIFS(INDEX(Inputs!$D$4:$AG$150,0,MATCH(K$2,Inputs!$D$2:$AG$2,0)),Inputs!$B$4:$B$150,$B10)/1000)</f>
        <v>-42.973</v>
      </c>
      <c r="L10" s="11">
        <f>IF(L$3=0,"",SUMIFS(INDEX(Inputs!$D$4:$AG$150,0,MATCH(L$2,Inputs!$D$2:$AG$2,0)),Inputs!$B$4:$B$150,$B10)/1000)</f>
        <v>-34.554</v>
      </c>
      <c r="M10" s="12">
        <f>IF(COUNT(I10:L10)=4,SUM(I10:L10),"")</f>
        <v>-151.95</v>
      </c>
      <c r="N10" s="11">
        <f>IF(N$3=0,"",SUMIFS(INDEX(Inputs!$D$4:$AG$150,0,MATCH(N$2,Inputs!$D$2:$AG$2,0)),Inputs!$B$4:$B$150,$B10)/1000)</f>
        <v>-20.974</v>
      </c>
      <c r="O10" s="11">
        <f>IF(O$3=0,"",SUMIFS(INDEX(Inputs!$D$4:$AG$150,0,MATCH(O$2,Inputs!$D$2:$AG$2,0)),Inputs!$B$4:$B$150,$B10)/1000)</f>
        <v>-10.777</v>
      </c>
      <c r="P10" s="11">
        <f>IF(P$3=0,"",SUMIFS(INDEX(Inputs!$D$4:$AG$150,0,MATCH(P$2,Inputs!$D$2:$AG$2,0)),Inputs!$B$4:$B$150,$B10)/1000)</f>
        <v>-41.35</v>
      </c>
      <c r="Q10" s="11">
        <f>IF(Q$3=0,"",SUMIFS(INDEX(Inputs!$D$4:$AG$150,0,MATCH(Q$2,Inputs!$D$2:$AG$2,0)),Inputs!$B$4:$B$150,$B10)/1000)</f>
        <v>6.522</v>
      </c>
      <c r="R10" s="12">
        <f>IF(COUNT(N10:Q10)=4,SUM(N10:Q10),"")</f>
        <v>-66.579</v>
      </c>
      <c r="S10" s="11">
        <f>IF(S$3=0,"",SUMIFS(INDEX(Inputs!$D$4:$AG$150,0,MATCH(S$2,Inputs!$D$2:$AG$2,0)),Inputs!$B$4:$B$150,$B10)/1000)</f>
        <v>-15.325</v>
      </c>
      <c r="T10" s="11">
        <f>IF(T$3=0,"",SUMIFS(INDEX(Inputs!$D$4:$AG$150,0,MATCH(T$2,Inputs!$D$2:$AG$2,0)),Inputs!$B$4:$B$150,$B10)/1000)</f>
        <v>-12.613</v>
      </c>
      <c r="U10" s="11">
        <f>IF(U$3=0,"",SUMIFS(INDEX(Inputs!$D$4:$AG$150,0,MATCH(U$2,Inputs!$D$2:$AG$2,0)),Inputs!$B$4:$B$150,$B10)/1000)</f>
        <v>26.288</v>
      </c>
      <c r="V10" s="11">
        <f>IF(V$3=0,"",SUMIFS(INDEX(Inputs!$D$4:$AG$150,0,MATCH(V$2,Inputs!$D$2:$AG$2,0)),Inputs!$B$4:$B$150,$B10)/1000)</f>
        <v>-13.244</v>
      </c>
      <c r="W10" s="12">
        <f>IF(COUNT(S10:V10)=4,SUM(S10:V10),"")</f>
        <v>-14.894</v>
      </c>
      <c r="X10" s="11">
        <f>IF(X$3=0,"",SUMIFS(INDEX(Inputs!$D$4:$AG$150,0,MATCH(X$2,Inputs!$D$2:$AG$2,0)),Inputs!$B$4:$B$150,$B10)/1000)</f>
        <v>8.709</v>
      </c>
      <c r="Y10" s="11">
        <f>IF(Y$3=0,"",SUMIFS(INDEX(Inputs!$D$4:$AG$150,0,MATCH(Y$2,Inputs!$D$2:$AG$2,0)),Inputs!$B$4:$B$150,$B10)/1000)</f>
        <v>-27.175</v>
      </c>
      <c r="Z10" s="11">
        <f>IF(Z$3=0,"",SUMIFS(INDEX(Inputs!$D$4:$AG$150,0,MATCH(Z$2,Inputs!$D$2:$AG$2,0)),Inputs!$B$4:$B$150,$B10)/1000)</f>
        <v>14.933</v>
      </c>
      <c r="AA10" s="11">
        <f>IF(AA$3=0,"",SUMIFS(INDEX(Inputs!$D$4:$AG$150,0,MATCH(AA$2,Inputs!$D$2:$AG$2,0)),Inputs!$B$4:$B$150,$B10)/1000)</f>
        <v>-11.731</v>
      </c>
      <c r="AB10" s="12">
        <f>IF(COUNT(X10:AA10)=4,SUM(X10:AA10),"")</f>
        <v>-15.264</v>
      </c>
      <c r="AC10" s="11">
        <f>IF(AC$3=0,"",SUMIFS(INDEX(Inputs!$D$4:$AG$150,0,MATCH(AC$2,Inputs!$D$2:$AG$2,0)),Inputs!$B$4:$B$150,$B10)/1000)</f>
        <v>17.787</v>
      </c>
      <c r="AD10" s="11">
        <f>IF(AD$3=0,"",SUMIFS(INDEX(Inputs!$D$4:$AG$150,0,MATCH(AD$2,Inputs!$D$2:$AG$2,0)),Inputs!$B$4:$B$150,$B10)/1000)</f>
        <v>-14.717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0.129</v>
      </c>
      <c r="E12" s="11">
        <f>IF(E$3=0,"",SUMIFS(INDEX(Inputs!$D$4:$AG$150,0,MATCH(E$2,Inputs!$D$2:$AG$2,0)),Inputs!$B$4:$B$150,$B12)/1000)</f>
        <v>-0.081</v>
      </c>
      <c r="F12" s="11">
        <f>IF(F$3=0,"",SUMIFS(INDEX(Inputs!$D$4:$AG$150,0,MATCH(F$2,Inputs!$D$2:$AG$2,0)),Inputs!$B$4:$B$150,$B12)/1000)</f>
        <v>0.033</v>
      </c>
      <c r="G12" s="11">
        <f>IF(G$3=0,"",SUMIFS(INDEX(Inputs!$D$4:$AG$150,0,MATCH(G$2,Inputs!$D$2:$AG$2,0)),Inputs!$B$4:$B$150,$B12)/1000)</f>
        <v>0.018</v>
      </c>
      <c r="H12" s="12">
        <f>IF(COUNT(D12:G12)=4,SUM(D12:G12),"")</f>
        <v>0.099</v>
      </c>
      <c r="I12" s="11">
        <f>IF(I$3=0,"",SUMIFS(INDEX(Inputs!$D$4:$AG$150,0,MATCH(I$2,Inputs!$D$2:$AG$2,0)),Inputs!$B$4:$B$150,$B12)/1000)</f>
        <v>0.104</v>
      </c>
      <c r="J12" s="11">
        <f>IF(J$3=0,"",SUMIFS(INDEX(Inputs!$D$4:$AG$150,0,MATCH(J$2,Inputs!$D$2:$AG$2,0)),Inputs!$B$4:$B$150,$B12)/1000)</f>
        <v>0.329</v>
      </c>
      <c r="K12" s="11">
        <f>IF(K$3=0,"",SUMIFS(INDEX(Inputs!$D$4:$AG$150,0,MATCH(K$2,Inputs!$D$2:$AG$2,0)),Inputs!$B$4:$B$150,$B12)/1000)</f>
        <v>0.41</v>
      </c>
      <c r="L12" s="11">
        <f>IF(L$3=0,"",SUMIFS(INDEX(Inputs!$D$4:$AG$150,0,MATCH(L$2,Inputs!$D$2:$AG$2,0)),Inputs!$B$4:$B$150,$B12)/1000)</f>
        <v>-0.318</v>
      </c>
      <c r="M12" s="12">
        <f>IF(COUNT(I12:L12)=4,SUM(I12:L12),"")</f>
        <v>0.525</v>
      </c>
      <c r="N12" s="11">
        <f>IF(N$3=0,"",SUMIFS(INDEX(Inputs!$D$4:$AG$150,0,MATCH(N$2,Inputs!$D$2:$AG$2,0)),Inputs!$B$4:$B$150,$B12)/1000)</f>
        <v>0.273</v>
      </c>
      <c r="O12" s="11">
        <f>IF(O$3=0,"",SUMIFS(INDEX(Inputs!$D$4:$AG$150,0,MATCH(O$2,Inputs!$D$2:$AG$2,0)),Inputs!$B$4:$B$150,$B12)/1000)</f>
        <v>0.156</v>
      </c>
      <c r="P12" s="11">
        <f>IF(P$3=0,"",SUMIFS(INDEX(Inputs!$D$4:$AG$150,0,MATCH(P$2,Inputs!$D$2:$AG$2,0)),Inputs!$B$4:$B$150,$B12)/1000)</f>
        <v>0.203</v>
      </c>
      <c r="Q12" s="11">
        <f>IF(Q$3=0,"",SUMIFS(INDEX(Inputs!$D$4:$AG$150,0,MATCH(Q$2,Inputs!$D$2:$AG$2,0)),Inputs!$B$4:$B$150,$B12)/1000)</f>
        <v>-0.445</v>
      </c>
      <c r="R12" s="12">
        <f>IF(COUNT(N12:Q12)=4,SUM(N12:Q12),"")</f>
        <v>0.187</v>
      </c>
      <c r="S12" s="11">
        <f>IF(S$3=0,"",SUMIFS(INDEX(Inputs!$D$4:$AG$150,0,MATCH(S$2,Inputs!$D$2:$AG$2,0)),Inputs!$B$4:$B$150,$B12)/1000)</f>
        <v>-0.026</v>
      </c>
      <c r="T12" s="11">
        <f>IF(T$3=0,"",SUMIFS(INDEX(Inputs!$D$4:$AG$150,0,MATCH(T$2,Inputs!$D$2:$AG$2,0)),Inputs!$B$4:$B$150,$B12)/1000)</f>
        <v>0.019</v>
      </c>
      <c r="U12" s="11">
        <f>IF(U$3=0,"",SUMIFS(INDEX(Inputs!$D$4:$AG$150,0,MATCH(U$2,Inputs!$D$2:$AG$2,0)),Inputs!$B$4:$B$150,$B12)/1000)</f>
        <v>0.112</v>
      </c>
      <c r="V12" s="11">
        <f>IF(V$3=0,"",SUMIFS(INDEX(Inputs!$D$4:$AG$150,0,MATCH(V$2,Inputs!$D$2:$AG$2,0)),Inputs!$B$4:$B$150,$B12)/1000)</f>
        <v>-0.803</v>
      </c>
      <c r="W12" s="12">
        <f>IF(COUNT(S12:V12)=4,SUM(S12:V12),"")</f>
        <v>-0.698</v>
      </c>
      <c r="X12" s="11">
        <f>IF(X$3=0,"",SUMIFS(INDEX(Inputs!$D$4:$AG$150,0,MATCH(X$2,Inputs!$D$2:$AG$2,0)),Inputs!$B$4:$B$150,$B12)/1000)</f>
        <v>0.249</v>
      </c>
      <c r="Y12" s="11">
        <f>IF(Y$3=0,"",SUMIFS(INDEX(Inputs!$D$4:$AG$150,0,MATCH(Y$2,Inputs!$D$2:$AG$2,0)),Inputs!$B$4:$B$150,$B12)/1000)</f>
        <v>0.504</v>
      </c>
      <c r="Z12" s="11">
        <f>IF(Z$3=0,"",SUMIFS(INDEX(Inputs!$D$4:$AG$150,0,MATCH(Z$2,Inputs!$D$2:$AG$2,0)),Inputs!$B$4:$B$150,$B12)/1000)</f>
        <v>-0.028</v>
      </c>
      <c r="AA12" s="11">
        <f>IF(AA$3=0,"",SUMIFS(INDEX(Inputs!$D$4:$AG$150,0,MATCH(AA$2,Inputs!$D$2:$AG$2,0)),Inputs!$B$4:$B$150,$B12)/1000)</f>
        <v>0.026</v>
      </c>
      <c r="AB12" s="12">
        <f>IF(COUNT(X12:AA12)=4,SUM(X12:AA12),"")</f>
        <v>0.751</v>
      </c>
      <c r="AC12" s="11">
        <f>IF(AC$3=0,"",SUMIFS(INDEX(Inputs!$D$4:$AG$150,0,MATCH(AC$2,Inputs!$D$2:$AG$2,0)),Inputs!$B$4:$B$150,$B12)/1000)</f>
        <v>0.138</v>
      </c>
      <c r="AD12" s="11">
        <f>IF(AD$3=0,"",SUMIFS(INDEX(Inputs!$D$4:$AG$150,0,MATCH(AD$2,Inputs!$D$2:$AG$2,0)),Inputs!$B$4:$B$150,$B12)/1000)</f>
        <v>-0.13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0</v>
      </c>
      <c r="E13" s="11">
        <f>IF(E$3=0,"",SUMIFS(INDEX(Inputs!$D$4:$AG$150,0,MATCH(E$2,Inputs!$D$2:$AG$2,0)),Inputs!$B$4:$B$150,$B13)/1000)</f>
        <v>0</v>
      </c>
      <c r="F13" s="11">
        <f>IF(F$3=0,"",SUMIFS(INDEX(Inputs!$D$4:$AG$150,0,MATCH(F$2,Inputs!$D$2:$AG$2,0)),Inputs!$B$4:$B$150,$B13)/1000)</f>
        <v>0</v>
      </c>
      <c r="G13" s="11">
        <f>IF(G$3=0,"",SUMIFS(INDEX(Inputs!$D$4:$AG$150,0,MATCH(G$2,Inputs!$D$2:$AG$2,0)),Inputs!$B$4:$B$150,$B13)/1000)</f>
        <v>0</v>
      </c>
      <c r="H13" s="12">
        <f>IF(COUNT(D13:G13)=4,SUM(D13:G13),"")</f>
        <v>0</v>
      </c>
      <c r="I13" s="11">
        <f>IF(I$3=0,"",SUMIFS(INDEX(Inputs!$D$4:$AG$150,0,MATCH(I$2,Inputs!$D$2:$AG$2,0)),Inputs!$B$4:$B$150,$B13)/1000)</f>
        <v>0</v>
      </c>
      <c r="J13" s="11">
        <f>IF(J$3=0,"",SUMIFS(INDEX(Inputs!$D$4:$AG$150,0,MATCH(J$2,Inputs!$D$2:$AG$2,0)),Inputs!$B$4:$B$150,$B13)/1000)</f>
        <v>0</v>
      </c>
      <c r="K13" s="11">
        <f>IF(K$3=0,"",SUMIFS(INDEX(Inputs!$D$4:$AG$150,0,MATCH(K$2,Inputs!$D$2:$AG$2,0)),Inputs!$B$4:$B$150,$B13)/1000)</f>
        <v>0</v>
      </c>
      <c r="L13" s="11">
        <f>IF(L$3=0,"",SUMIFS(INDEX(Inputs!$D$4:$AG$150,0,MATCH(L$2,Inputs!$D$2:$AG$2,0)),Inputs!$B$4:$B$150,$B13)/1000)</f>
        <v>0</v>
      </c>
      <c r="M13" s="12">
        <f>IF(COUNT(I13:L13)=4,SUM(I13:L13),"")</f>
        <v>0</v>
      </c>
      <c r="N13" s="11">
        <f>IF(N$3=0,"",SUMIFS(INDEX(Inputs!$D$4:$AG$150,0,MATCH(N$2,Inputs!$D$2:$AG$2,0)),Inputs!$B$4:$B$150,$B13)/1000)</f>
        <v>0</v>
      </c>
      <c r="O13" s="11">
        <f>IF(O$3=0,"",SUMIFS(INDEX(Inputs!$D$4:$AG$150,0,MATCH(O$2,Inputs!$D$2:$AG$2,0)),Inputs!$B$4:$B$150,$B13)/1000)</f>
        <v>0</v>
      </c>
      <c r="P13" s="11">
        <f>IF(P$3=0,"",SUMIFS(INDEX(Inputs!$D$4:$AG$150,0,MATCH(P$2,Inputs!$D$2:$AG$2,0)),Inputs!$B$4:$B$150,$B13)/1000)</f>
        <v>0</v>
      </c>
      <c r="Q13" s="11">
        <f>IF(Q$3=0,"",SUMIFS(INDEX(Inputs!$D$4:$AG$150,0,MATCH(Q$2,Inputs!$D$2:$AG$2,0)),Inputs!$B$4:$B$150,$B13)/1000)</f>
        <v>0</v>
      </c>
      <c r="R13" s="12">
        <f>IF(COUNT(N13:Q13)=4,SUM(N13:Q13),"")</f>
        <v>0</v>
      </c>
      <c r="S13" s="11">
        <f>IF(S$3=0,"",SUMIFS(INDEX(Inputs!$D$4:$AG$150,0,MATCH(S$2,Inputs!$D$2:$AG$2,0)),Inputs!$B$4:$B$150,$B13)/1000)</f>
        <v>0</v>
      </c>
      <c r="T13" s="11">
        <f>IF(T$3=0,"",SUMIFS(INDEX(Inputs!$D$4:$AG$150,0,MATCH(T$2,Inputs!$D$2:$AG$2,0)),Inputs!$B$4:$B$150,$B13)/1000)</f>
        <v>0</v>
      </c>
      <c r="U13" s="11">
        <f>IF(U$3=0,"",SUMIFS(INDEX(Inputs!$D$4:$AG$150,0,MATCH(U$2,Inputs!$D$2:$AG$2,0)),Inputs!$B$4:$B$150,$B13)/1000)</f>
        <v>0</v>
      </c>
      <c r="V13" s="11">
        <f>IF(V$3=0,"",SUMIFS(INDEX(Inputs!$D$4:$AG$150,0,MATCH(V$2,Inputs!$D$2:$AG$2,0)),Inputs!$B$4:$B$150,$B13)/1000)</f>
        <v>0</v>
      </c>
      <c r="W13" s="12">
        <f>IF(COUNT(S13:V13)=4,SUM(S13:V13),"")</f>
        <v>0</v>
      </c>
      <c r="X13" s="11">
        <f>IF(X$3=0,"",SUMIFS(INDEX(Inputs!$D$4:$AG$150,0,MATCH(X$2,Inputs!$D$2:$AG$2,0)),Inputs!$B$4:$B$150,$B13)/1000)</f>
        <v>0</v>
      </c>
      <c r="Y13" s="11">
        <f>IF(Y$3=0,"",SUMIFS(INDEX(Inputs!$D$4:$AG$150,0,MATCH(Y$2,Inputs!$D$2:$AG$2,0)),Inputs!$B$4:$B$150,$B13)/1000)</f>
        <v>0</v>
      </c>
      <c r="Z13" s="11">
        <f>IF(Z$3=0,"",SUMIFS(INDEX(Inputs!$D$4:$AG$150,0,MATCH(Z$2,Inputs!$D$2:$AG$2,0)),Inputs!$B$4:$B$150,$B13)/1000)</f>
        <v>0</v>
      </c>
      <c r="AA13" s="11">
        <f>IF(AA$3=0,"",SUMIFS(INDEX(Inputs!$D$4:$AG$150,0,MATCH(AA$2,Inputs!$D$2:$AG$2,0)),Inputs!$B$4:$B$150,$B13)/1000)</f>
        <v>0</v>
      </c>
      <c r="AB13" s="12">
        <f>IF(COUNT(X13:AA13)=4,SUM(X13:AA13),"")</f>
        <v>0</v>
      </c>
      <c r="AC13" s="11">
        <f>IF(AC$3=0,"",SUMIFS(INDEX(Inputs!$D$4:$AG$150,0,MATCH(AC$2,Inputs!$D$2:$AG$2,0)),Inputs!$B$4:$B$150,$B13)/1000)</f>
        <v>0</v>
      </c>
      <c r="AD13" s="11">
        <f>IF(AD$3=0,"",SUMIFS(INDEX(Inputs!$D$4:$AG$150,0,MATCH(AD$2,Inputs!$D$2:$AG$2,0)),Inputs!$B$4:$B$150,$B13)/1000)</f>
        <v>0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217.675</v>
      </c>
      <c r="E15" s="11">
        <f>IF(E$3=0,"",SUMIFS(INDEX(Inputs!$D$4:$AG$150,0,MATCH(E$2,Inputs!$D$2:$AG$2,0)),Inputs!$B$4:$B$150,$B15)/1000)</f>
        <v>301.23</v>
      </c>
      <c r="F15" s="11">
        <f>IF(F$3=0,"",SUMIFS(INDEX(Inputs!$D$4:$AG$150,0,MATCH(F$2,Inputs!$D$2:$AG$2,0)),Inputs!$B$4:$B$150,$B15)/1000)</f>
        <v>413.159</v>
      </c>
      <c r="G15" s="11">
        <f>IF(G$3=0,"",SUMIFS(INDEX(Inputs!$D$4:$AG$150,0,MATCH(G$2,Inputs!$D$2:$AG$2,0)),Inputs!$B$4:$B$150,$B15)/1000)</f>
        <v>310.002</v>
      </c>
      <c r="H15" s="12">
        <f>IF(G15="","",G15)</f>
        <v>310.002</v>
      </c>
      <c r="I15" s="11">
        <f>IF(I$3=0,"",SUMIFS(INDEX(Inputs!$D$4:$AG$150,0,MATCH(I$2,Inputs!$D$2:$AG$2,0)),Inputs!$B$4:$B$150,$B15)/1000)</f>
        <v>211.936</v>
      </c>
      <c r="J15" s="11">
        <f>IF(J$3=0,"",SUMIFS(INDEX(Inputs!$D$4:$AG$150,0,MATCH(J$2,Inputs!$D$2:$AG$2,0)),Inputs!$B$4:$B$150,$B15)/1000)</f>
        <v>369.256</v>
      </c>
      <c r="K15" s="11">
        <f>IF(K$3=0,"",SUMIFS(INDEX(Inputs!$D$4:$AG$150,0,MATCH(K$2,Inputs!$D$2:$AG$2,0)),Inputs!$B$4:$B$150,$B15)/1000)</f>
        <v>793.957</v>
      </c>
      <c r="L15" s="11">
        <f>IF(L$3=0,"",SUMIFS(INDEX(Inputs!$D$4:$AG$150,0,MATCH(L$2,Inputs!$D$2:$AG$2,0)),Inputs!$B$4:$B$150,$B15)/1000)</f>
        <v>636.296</v>
      </c>
      <c r="M15" s="12">
        <f>IF(L15="","",L15)</f>
        <v>636.296</v>
      </c>
      <c r="N15" s="11">
        <f>IF(N$3=0,"",SUMIFS(INDEX(Inputs!$D$4:$AG$150,0,MATCH(N$2,Inputs!$D$2:$AG$2,0)),Inputs!$B$4:$B$150,$B15)/1000)</f>
        <v>462.22</v>
      </c>
      <c r="O15" s="11">
        <f>IF(O$3=0,"",SUMIFS(INDEX(Inputs!$D$4:$AG$150,0,MATCH(O$2,Inputs!$D$2:$AG$2,0)),Inputs!$B$4:$B$150,$B15)/1000)</f>
        <v>997.323</v>
      </c>
      <c r="P15" s="11">
        <f>IF(P$3=0,"",SUMIFS(INDEX(Inputs!$D$4:$AG$150,0,MATCH(P$2,Inputs!$D$2:$AG$2,0)),Inputs!$B$4:$B$150,$B15)/1000)</f>
        <v>1765.286</v>
      </c>
      <c r="Q15" s="11">
        <f>IF(Q$3=0,"",SUMIFS(INDEX(Inputs!$D$4:$AG$150,0,MATCH(Q$2,Inputs!$D$2:$AG$2,0)),Inputs!$B$4:$B$150,$B15)/1000)</f>
        <v>1349.757</v>
      </c>
      <c r="R15" s="12">
        <f>IF(Q15="","",Q15)</f>
        <v>1349.757</v>
      </c>
      <c r="S15" s="11">
        <f>IF(S$3=0,"",SUMIFS(INDEX(Inputs!$D$4:$AG$150,0,MATCH(S$2,Inputs!$D$2:$AG$2,0)),Inputs!$B$4:$B$150,$B15)/1000)</f>
        <v>633.292</v>
      </c>
      <c r="T15" s="11">
        <f>IF(T$3=0,"",SUMIFS(INDEX(Inputs!$D$4:$AG$150,0,MATCH(T$2,Inputs!$D$2:$AG$2,0)),Inputs!$B$4:$B$150,$B15)/1000)</f>
        <v>310.128</v>
      </c>
      <c r="U15" s="11">
        <f>IF(U$3=0,"",SUMIFS(INDEX(Inputs!$D$4:$AG$150,0,MATCH(U$2,Inputs!$D$2:$AG$2,0)),Inputs!$B$4:$B$150,$B15)/1000)</f>
        <v>794.865</v>
      </c>
      <c r="V15" s="11">
        <f>IF(V$3=0,"",SUMIFS(INDEX(Inputs!$D$4:$AG$150,0,MATCH(V$2,Inputs!$D$2:$AG$2,0)),Inputs!$B$4:$B$150,$B15)/1000)</f>
        <v>450.491</v>
      </c>
      <c r="W15" s="12">
        <f>IF(V15="","",V15)</f>
        <v>450.491</v>
      </c>
      <c r="X15" s="11">
        <f>IF(X$3=0,"",SUMIFS(INDEX(Inputs!$D$4:$AG$150,0,MATCH(X$2,Inputs!$D$2:$AG$2,0)),Inputs!$B$4:$B$150,$B15)/1000)</f>
        <v>433.3</v>
      </c>
      <c r="Y15" s="11">
        <f>IF(Y$3=0,"",SUMIFS(INDEX(Inputs!$D$4:$AG$150,0,MATCH(Y$2,Inputs!$D$2:$AG$2,0)),Inputs!$B$4:$B$150,$B15)/1000)</f>
        <v>323.862</v>
      </c>
      <c r="Z15" s="11">
        <f>IF(Z$3=0,"",SUMIFS(INDEX(Inputs!$D$4:$AG$150,0,MATCH(Z$2,Inputs!$D$2:$AG$2,0)),Inputs!$B$4:$B$150,$B15)/1000)</f>
        <v>327.826</v>
      </c>
      <c r="AA15" s="11">
        <f>IF(AA$3=0,"",SUMIFS(INDEX(Inputs!$D$4:$AG$150,0,MATCH(AA$2,Inputs!$D$2:$AG$2,0)),Inputs!$B$4:$B$150,$B15)/1000)</f>
        <v>374.694</v>
      </c>
      <c r="AB15" s="12">
        <f>IF(AA15="","",AA15)</f>
        <v>374.694</v>
      </c>
      <c r="AC15" s="11">
        <f>IF(AC$3=0,"",SUMIFS(INDEX(Inputs!$D$4:$AG$150,0,MATCH(AC$2,Inputs!$D$2:$AG$2,0)),Inputs!$B$4:$B$150,$B15)/1000)</f>
        <v>248.472</v>
      </c>
      <c r="AD15" s="11">
        <f>IF(AD$3=0,"",SUMIFS(INDEX(Inputs!$D$4:$AG$150,0,MATCH(AD$2,Inputs!$D$2:$AG$2,0)),Inputs!$B$4:$B$150,$B15)/1000)</f>
        <v>497.614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2336.92</v>
      </c>
      <c r="E16" s="11">
        <f>IF(E$3=0,"",SUMIFS(INDEX(Inputs!$D$4:$AG$150,0,MATCH(E$2,Inputs!$D$2:$AG$2,0)),Inputs!$B$4:$B$150,$B16)/1000)</f>
        <v>3191.478</v>
      </c>
      <c r="F16" s="11">
        <f>IF(F$3=0,"",SUMIFS(INDEX(Inputs!$D$4:$AG$150,0,MATCH(F$2,Inputs!$D$2:$AG$2,0)),Inputs!$B$4:$B$150,$B16)/1000)</f>
        <v>2860.884</v>
      </c>
      <c r="G16" s="11">
        <f>IF(G$3=0,"",SUMIFS(INDEX(Inputs!$D$4:$AG$150,0,MATCH(G$2,Inputs!$D$2:$AG$2,0)),Inputs!$B$4:$B$150,$B16)/1000)</f>
        <v>3579.417</v>
      </c>
      <c r="H16" s="12">
        <f>IF(G16="","",G16)</f>
        <v>3579.417</v>
      </c>
      <c r="I16" s="11">
        <f>IF(I$3=0,"",SUMIFS(INDEX(Inputs!$D$4:$AG$150,0,MATCH(I$2,Inputs!$D$2:$AG$2,0)),Inputs!$B$4:$B$150,$B16)/1000)</f>
        <v>3494.888</v>
      </c>
      <c r="J16" s="11">
        <f>IF(J$3=0,"",SUMIFS(INDEX(Inputs!$D$4:$AG$150,0,MATCH(J$2,Inputs!$D$2:$AG$2,0)),Inputs!$B$4:$B$150,$B16)/1000)</f>
        <v>4093.122</v>
      </c>
      <c r="K16" s="11">
        <f>IF(K$3=0,"",SUMIFS(INDEX(Inputs!$D$4:$AG$150,0,MATCH(K$2,Inputs!$D$2:$AG$2,0)),Inputs!$B$4:$B$150,$B16)/1000)</f>
        <v>3548.315</v>
      </c>
      <c r="L16" s="11">
        <f>IF(L$3=0,"",SUMIFS(INDEX(Inputs!$D$4:$AG$150,0,MATCH(L$2,Inputs!$D$2:$AG$2,0)),Inputs!$B$4:$B$150,$B16)/1000)</f>
        <v>4276.643</v>
      </c>
      <c r="M16" s="12">
        <f>IF(L16="","",L16)</f>
        <v>4276.643</v>
      </c>
      <c r="N16" s="11">
        <f>IF(N$3=0,"",SUMIFS(INDEX(Inputs!$D$4:$AG$150,0,MATCH(N$2,Inputs!$D$2:$AG$2,0)),Inputs!$B$4:$B$150,$B16)/1000)</f>
        <v>3611.016</v>
      </c>
      <c r="O16" s="11">
        <f>IF(O$3=0,"",SUMIFS(INDEX(Inputs!$D$4:$AG$150,0,MATCH(O$2,Inputs!$D$2:$AG$2,0)),Inputs!$B$4:$B$150,$B16)/1000)</f>
        <v>3839.097</v>
      </c>
      <c r="P16" s="11">
        <f>IF(P$3=0,"",SUMIFS(INDEX(Inputs!$D$4:$AG$150,0,MATCH(P$2,Inputs!$D$2:$AG$2,0)),Inputs!$B$4:$B$150,$B16)/1000)</f>
        <v>3105.811</v>
      </c>
      <c r="Q16" s="11">
        <f>IF(Q$3=0,"",SUMIFS(INDEX(Inputs!$D$4:$AG$150,0,MATCH(Q$2,Inputs!$D$2:$AG$2,0)),Inputs!$B$4:$B$150,$B16)/1000)</f>
        <v>3772.527</v>
      </c>
      <c r="R16" s="12">
        <f>IF(Q16="","",Q16)</f>
        <v>3772.527</v>
      </c>
      <c r="S16" s="11">
        <f>IF(S$3=0,"",SUMIFS(INDEX(Inputs!$D$4:$AG$150,0,MATCH(S$2,Inputs!$D$2:$AG$2,0)),Inputs!$B$4:$B$150,$B16)/1000)</f>
        <v>3369.864</v>
      </c>
      <c r="T16" s="11">
        <f>IF(T$3=0,"",SUMIFS(INDEX(Inputs!$D$4:$AG$150,0,MATCH(T$2,Inputs!$D$2:$AG$2,0)),Inputs!$B$4:$B$150,$B16)/1000)</f>
        <v>3817.151</v>
      </c>
      <c r="U16" s="11">
        <f>IF(U$3=0,"",SUMIFS(INDEX(Inputs!$D$4:$AG$150,0,MATCH(U$2,Inputs!$D$2:$AG$2,0)),Inputs!$B$4:$B$150,$B16)/1000)</f>
        <v>3549.917</v>
      </c>
      <c r="V16" s="11">
        <f>IF(V$3=0,"",SUMIFS(INDEX(Inputs!$D$4:$AG$150,0,MATCH(V$2,Inputs!$D$2:$AG$2,0)),Inputs!$B$4:$B$150,$B16)/1000)</f>
        <v>3740.766</v>
      </c>
      <c r="W16" s="12">
        <f>IF(V16="","",V16)</f>
        <v>3740.766</v>
      </c>
      <c r="X16" s="11">
        <f>IF(X$3=0,"",SUMIFS(INDEX(Inputs!$D$4:$AG$150,0,MATCH(X$2,Inputs!$D$2:$AG$2,0)),Inputs!$B$4:$B$150,$B16)/1000)</f>
        <v>3392.512</v>
      </c>
      <c r="Y16" s="11">
        <f>IF(Y$3=0,"",SUMIFS(INDEX(Inputs!$D$4:$AG$150,0,MATCH(Y$2,Inputs!$D$2:$AG$2,0)),Inputs!$B$4:$B$150,$B16)/1000)</f>
        <v>4197.885</v>
      </c>
      <c r="Z16" s="11">
        <f>IF(Z$3=0,"",SUMIFS(INDEX(Inputs!$D$4:$AG$150,0,MATCH(Z$2,Inputs!$D$2:$AG$2,0)),Inputs!$B$4:$B$150,$B16)/1000)</f>
        <v>3686.585</v>
      </c>
      <c r="AA16" s="11">
        <f>IF(AA$3=0,"",SUMIFS(INDEX(Inputs!$D$4:$AG$150,0,MATCH(AA$2,Inputs!$D$2:$AG$2,0)),Inputs!$B$4:$B$150,$B16)/1000)</f>
        <v>3988.684</v>
      </c>
      <c r="AB16" s="12">
        <f>IF(AA16="","",AA16)</f>
        <v>3988.684</v>
      </c>
      <c r="AC16" s="11">
        <f>IF(AC$3=0,"",SUMIFS(INDEX(Inputs!$D$4:$AG$150,0,MATCH(AC$2,Inputs!$D$2:$AG$2,0)),Inputs!$B$4:$B$150,$B16)/1000)</f>
        <v>3603.449</v>
      </c>
      <c r="AD16" s="11">
        <f>IF(AD$3=0,"",SUMIFS(INDEX(Inputs!$D$4:$AG$150,0,MATCH(AD$2,Inputs!$D$2:$AG$2,0)),Inputs!$B$4:$B$150,$B16)/1000)</f>
        <v>4542.147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4246.051</v>
      </c>
      <c r="E17" s="11">
        <f>IF(E$3=0,"",SUMIFS(INDEX(Inputs!$D$4:$AG$150,0,MATCH(E$2,Inputs!$D$2:$AG$2,0)),Inputs!$B$4:$B$150,$B17)/1000)</f>
        <v>3513.871</v>
      </c>
      <c r="F17" s="11">
        <f>IF(F$3=0,"",SUMIFS(INDEX(Inputs!$D$4:$AG$150,0,MATCH(F$2,Inputs!$D$2:$AG$2,0)),Inputs!$B$4:$B$150,$B17)/1000)</f>
        <v>3334.675</v>
      </c>
      <c r="G17" s="11">
        <f>IF(G$3=0,"",SUMIFS(INDEX(Inputs!$D$4:$AG$150,0,MATCH(G$2,Inputs!$D$2:$AG$2,0)),Inputs!$B$4:$B$150,$B17)/1000)</f>
        <v>4608.816</v>
      </c>
      <c r="H17" s="12">
        <f>IF(G17="","",G17)</f>
        <v>4608.816</v>
      </c>
      <c r="I17" s="11">
        <f>IF(I$3=0,"",SUMIFS(INDEX(Inputs!$D$4:$AG$150,0,MATCH(I$2,Inputs!$D$2:$AG$2,0)),Inputs!$B$4:$B$150,$B17)/1000)</f>
        <v>5304.817</v>
      </c>
      <c r="J17" s="11">
        <f>IF(J$3=0,"",SUMIFS(INDEX(Inputs!$D$4:$AG$150,0,MATCH(J$2,Inputs!$D$2:$AG$2,0)),Inputs!$B$4:$B$150,$B17)/1000)</f>
        <v>4451.695</v>
      </c>
      <c r="K17" s="11">
        <f>IF(K$3=0,"",SUMIFS(INDEX(Inputs!$D$4:$AG$150,0,MATCH(K$2,Inputs!$D$2:$AG$2,0)),Inputs!$B$4:$B$150,$B17)/1000)</f>
        <v>3652.871</v>
      </c>
      <c r="L17" s="11">
        <f>IF(L$3=0,"",SUMIFS(INDEX(Inputs!$D$4:$AG$150,0,MATCH(L$2,Inputs!$D$2:$AG$2,0)),Inputs!$B$4:$B$150,$B17)/1000)</f>
        <v>5070.104</v>
      </c>
      <c r="M17" s="12">
        <f>IF(L17="","",L17)</f>
        <v>5070.104</v>
      </c>
      <c r="N17" s="11">
        <f>IF(N$3=0,"",SUMIFS(INDEX(Inputs!$D$4:$AG$150,0,MATCH(N$2,Inputs!$D$2:$AG$2,0)),Inputs!$B$4:$B$150,$B17)/1000)</f>
        <v>4858.258</v>
      </c>
      <c r="O17" s="11">
        <f>IF(O$3=0,"",SUMIFS(INDEX(Inputs!$D$4:$AG$150,0,MATCH(O$2,Inputs!$D$2:$AG$2,0)),Inputs!$B$4:$B$150,$B17)/1000)</f>
        <v>3280.822</v>
      </c>
      <c r="P17" s="11">
        <f>IF(P$3=0,"",SUMIFS(INDEX(Inputs!$D$4:$AG$150,0,MATCH(P$2,Inputs!$D$2:$AG$2,0)),Inputs!$B$4:$B$150,$B17)/1000)</f>
        <v>3215.179</v>
      </c>
      <c r="Q17" s="11">
        <f>IF(Q$3=0,"",SUMIFS(INDEX(Inputs!$D$4:$AG$150,0,MATCH(Q$2,Inputs!$D$2:$AG$2,0)),Inputs!$B$4:$B$150,$B17)/1000)</f>
        <v>4251.58</v>
      </c>
      <c r="R17" s="12">
        <f>IF(Q17="","",Q17)</f>
        <v>4251.58</v>
      </c>
      <c r="S17" s="11">
        <f>IF(S$3=0,"",SUMIFS(INDEX(Inputs!$D$4:$AG$150,0,MATCH(S$2,Inputs!$D$2:$AG$2,0)),Inputs!$B$4:$B$150,$B17)/1000)</f>
        <v>3931.631</v>
      </c>
      <c r="T17" s="11">
        <f>IF(T$3=0,"",SUMIFS(INDEX(Inputs!$D$4:$AG$150,0,MATCH(T$2,Inputs!$D$2:$AG$2,0)),Inputs!$B$4:$B$150,$B17)/1000)</f>
        <v>3305.167</v>
      </c>
      <c r="U17" s="11">
        <f>IF(U$3=0,"",SUMIFS(INDEX(Inputs!$D$4:$AG$150,0,MATCH(U$2,Inputs!$D$2:$AG$2,0)),Inputs!$B$4:$B$150,$B17)/1000)</f>
        <v>3067.415</v>
      </c>
      <c r="V17" s="11">
        <f>IF(V$3=0,"",SUMIFS(INDEX(Inputs!$D$4:$AG$150,0,MATCH(V$2,Inputs!$D$2:$AG$2,0)),Inputs!$B$4:$B$150,$B17)/1000)</f>
        <v>3901.294</v>
      </c>
      <c r="W17" s="12">
        <f>IF(V17="","",V17)</f>
        <v>3901.294</v>
      </c>
      <c r="X17" s="11">
        <f>IF(X$3=0,"",SUMIFS(INDEX(Inputs!$D$4:$AG$150,0,MATCH(X$2,Inputs!$D$2:$AG$2,0)),Inputs!$B$4:$B$150,$B17)/1000)</f>
        <v>4644.319</v>
      </c>
      <c r="Y17" s="11">
        <f>IF(Y$3=0,"",SUMIFS(INDEX(Inputs!$D$4:$AG$150,0,MATCH(Y$2,Inputs!$D$2:$AG$2,0)),Inputs!$B$4:$B$150,$B17)/1000)</f>
        <v>3451.379</v>
      </c>
      <c r="Z17" s="11">
        <f>IF(Z$3=0,"",SUMIFS(INDEX(Inputs!$D$4:$AG$150,0,MATCH(Z$2,Inputs!$D$2:$AG$2,0)),Inputs!$B$4:$B$150,$B17)/1000)</f>
        <v>3270.35</v>
      </c>
      <c r="AA17" s="11">
        <f>IF(AA$3=0,"",SUMIFS(INDEX(Inputs!$D$4:$AG$150,0,MATCH(AA$2,Inputs!$D$2:$AG$2,0)),Inputs!$B$4:$B$150,$B17)/1000)</f>
        <v>4327.585</v>
      </c>
      <c r="AB17" s="12">
        <f>IF(AA17="","",AA17)</f>
        <v>4327.585</v>
      </c>
      <c r="AC17" s="11">
        <f>IF(AC$3=0,"",SUMIFS(INDEX(Inputs!$D$4:$AG$150,0,MATCH(AC$2,Inputs!$D$2:$AG$2,0)),Inputs!$B$4:$B$150,$B17)/1000)</f>
        <v>4886.738</v>
      </c>
      <c r="AD17" s="11">
        <f>IF(AD$3=0,"",SUMIFS(INDEX(Inputs!$D$4:$AG$150,0,MATCH(AD$2,Inputs!$D$2:$AG$2,0)),Inputs!$B$4:$B$150,$B17)/1000)</f>
        <v>3606.271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2150.25</v>
      </c>
      <c r="E20" s="11">
        <f>IF(E$3=0,"",SUMIFS(INDEX(Inputs!$D$4:$AG$150,0,MATCH(E$2,Inputs!$D$2:$AG$2,0)),Inputs!$B$4:$B$150,$B20)/1000)</f>
        <v>1896.796</v>
      </c>
      <c r="F20" s="11">
        <f>IF(F$3=0,"",SUMIFS(INDEX(Inputs!$D$4:$AG$150,0,MATCH(F$2,Inputs!$D$2:$AG$2,0)),Inputs!$B$4:$B$150,$B20)/1000)</f>
        <v>1390.233</v>
      </c>
      <c r="G20" s="11">
        <f>IF(G$3=0,"",SUMIFS(INDEX(Inputs!$D$4:$AG$150,0,MATCH(G$2,Inputs!$D$2:$AG$2,0)),Inputs!$B$4:$B$150,$B20)/1000)</f>
        <v>1498.883</v>
      </c>
      <c r="H20" s="12">
        <f>IF(G20="","",G20)</f>
        <v>1498.883</v>
      </c>
      <c r="I20" s="11">
        <f>IF(I$3=0,"",SUMIFS(INDEX(Inputs!$D$4:$AG$150,0,MATCH(I$2,Inputs!$D$2:$AG$2,0)),Inputs!$B$4:$B$150,$B20)/1000)</f>
        <v>2215.421</v>
      </c>
      <c r="J20" s="11">
        <f>IF(J$3=0,"",SUMIFS(INDEX(Inputs!$D$4:$AG$150,0,MATCH(J$2,Inputs!$D$2:$AG$2,0)),Inputs!$B$4:$B$150,$B20)/1000)</f>
        <v>2061.475</v>
      </c>
      <c r="K20" s="11">
        <f>IF(K$3=0,"",SUMIFS(INDEX(Inputs!$D$4:$AG$150,0,MATCH(K$2,Inputs!$D$2:$AG$2,0)),Inputs!$B$4:$B$150,$B20)/1000)</f>
        <v>1382.704</v>
      </c>
      <c r="L20" s="11">
        <f>IF(L$3=0,"",SUMIFS(INDEX(Inputs!$D$4:$AG$150,0,MATCH(L$2,Inputs!$D$2:$AG$2,0)),Inputs!$B$4:$B$150,$B20)/1000)</f>
        <v>1481.592</v>
      </c>
      <c r="M20" s="12">
        <f>IF(L20="","",L20)</f>
        <v>1481.592</v>
      </c>
      <c r="N20" s="11">
        <f>IF(N$3=0,"",SUMIFS(INDEX(Inputs!$D$4:$AG$150,0,MATCH(N$2,Inputs!$D$2:$AG$2,0)),Inputs!$B$4:$B$150,$B20)/1000)</f>
        <v>1690.433</v>
      </c>
      <c r="O20" s="11">
        <f>IF(O$3=0,"",SUMIFS(INDEX(Inputs!$D$4:$AG$150,0,MATCH(O$2,Inputs!$D$2:$AG$2,0)),Inputs!$B$4:$B$150,$B20)/1000)</f>
        <v>1269.049</v>
      </c>
      <c r="P20" s="11">
        <f>IF(P$3=0,"",SUMIFS(INDEX(Inputs!$D$4:$AG$150,0,MATCH(P$2,Inputs!$D$2:$AG$2,0)),Inputs!$B$4:$B$150,$B20)/1000)</f>
        <v>1042.373</v>
      </c>
      <c r="Q20" s="11">
        <f>IF(Q$3=0,"",SUMIFS(INDEX(Inputs!$D$4:$AG$150,0,MATCH(Q$2,Inputs!$D$2:$AG$2,0)),Inputs!$B$4:$B$150,$B20)/1000)</f>
        <v>1213.331</v>
      </c>
      <c r="R20" s="12">
        <f>IF(Q20="","",Q20)</f>
        <v>1213.331</v>
      </c>
      <c r="S20" s="11">
        <f>IF(S$3=0,"",SUMIFS(INDEX(Inputs!$D$4:$AG$150,0,MATCH(S$2,Inputs!$D$2:$AG$2,0)),Inputs!$B$4:$B$150,$B20)/1000)</f>
        <v>1388.321</v>
      </c>
      <c r="T20" s="11">
        <f>IF(T$3=0,"",SUMIFS(INDEX(Inputs!$D$4:$AG$150,0,MATCH(T$2,Inputs!$D$2:$AG$2,0)),Inputs!$B$4:$B$150,$B20)/1000)</f>
        <v>1027.818</v>
      </c>
      <c r="U20" s="11">
        <f>IF(U$3=0,"",SUMIFS(INDEX(Inputs!$D$4:$AG$150,0,MATCH(U$2,Inputs!$D$2:$AG$2,0)),Inputs!$B$4:$B$150,$B20)/1000)</f>
        <v>1296.586</v>
      </c>
      <c r="V20" s="11">
        <f>IF(V$3=0,"",SUMIFS(INDEX(Inputs!$D$4:$AG$150,0,MATCH(V$2,Inputs!$D$2:$AG$2,0)),Inputs!$B$4:$B$150,$B20)/1000)</f>
        <v>1265.673</v>
      </c>
      <c r="W20" s="12">
        <f>IF(V20="","",V20)</f>
        <v>1265.673</v>
      </c>
      <c r="X20" s="11">
        <f>IF(X$3=0,"",SUMIFS(INDEX(Inputs!$D$4:$AG$150,0,MATCH(X$2,Inputs!$D$2:$AG$2,0)),Inputs!$B$4:$B$150,$B20)/1000)</f>
        <v>1226.613</v>
      </c>
      <c r="Y20" s="11">
        <f>IF(Y$3=0,"",SUMIFS(INDEX(Inputs!$D$4:$AG$150,0,MATCH(Y$2,Inputs!$D$2:$AG$2,0)),Inputs!$B$4:$B$150,$B20)/1000)</f>
        <v>954.021</v>
      </c>
      <c r="Z20" s="11">
        <f>IF(Z$3=0,"",SUMIFS(INDEX(Inputs!$D$4:$AG$150,0,MATCH(Z$2,Inputs!$D$2:$AG$2,0)),Inputs!$B$4:$B$150,$B20)/1000)</f>
        <v>801.59</v>
      </c>
      <c r="AA20" s="11">
        <f>IF(AA$3=0,"",SUMIFS(INDEX(Inputs!$D$4:$AG$150,0,MATCH(AA$2,Inputs!$D$2:$AG$2,0)),Inputs!$B$4:$B$150,$B20)/1000)</f>
        <v>1209.357</v>
      </c>
      <c r="AB20" s="12">
        <f>IF(AA20="","",AA20)</f>
        <v>1209.357</v>
      </c>
      <c r="AC20" s="11">
        <f>IF(AC$3=0,"",SUMIFS(INDEX(Inputs!$D$4:$AG$150,0,MATCH(AC$2,Inputs!$D$2:$AG$2,0)),Inputs!$B$4:$B$150,$B20)/1000)</f>
        <v>1517.293</v>
      </c>
      <c r="AD20" s="11">
        <f>IF(AD$3=0,"",SUMIFS(INDEX(Inputs!$D$4:$AG$150,0,MATCH(AD$2,Inputs!$D$2:$AG$2,0)),Inputs!$B$4:$B$150,$B20)/1000)</f>
        <v>1297.261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4866.751</v>
      </c>
      <c r="E22" s="11">
        <f>IF(E$3=0,"",SUMIFS(INDEX(Inputs!$D$4:$AG$150,0,MATCH(E$2,Inputs!$D$2:$AG$2,0)),Inputs!$B$4:$B$150,$B22)/1000)</f>
        <v>4827.076</v>
      </c>
      <c r="F22" s="11">
        <f>IF(F$3=0,"",SUMIFS(INDEX(Inputs!$D$4:$AG$150,0,MATCH(F$2,Inputs!$D$2:$AG$2,0)),Inputs!$B$4:$B$150,$B22)/1000)</f>
        <v>4810.005</v>
      </c>
      <c r="G22" s="11">
        <f>IF(G$3=0,"",SUMIFS(INDEX(Inputs!$D$4:$AG$150,0,MATCH(G$2,Inputs!$D$2:$AG$2,0)),Inputs!$B$4:$B$150,$B22)/1000)</f>
        <v>4738.246</v>
      </c>
      <c r="H22" s="12">
        <f>IF(G22="","",G22)</f>
        <v>4738.246</v>
      </c>
      <c r="I22" s="11">
        <f>IF(I$3=0,"",SUMIFS(INDEX(Inputs!$D$4:$AG$150,0,MATCH(I$2,Inputs!$D$2:$AG$2,0)),Inputs!$B$4:$B$150,$B22)/1000)</f>
        <v>4693.339</v>
      </c>
      <c r="J22" s="11">
        <f>IF(J$3=0,"",SUMIFS(INDEX(Inputs!$D$4:$AG$150,0,MATCH(J$2,Inputs!$D$2:$AG$2,0)),Inputs!$B$4:$B$150,$B22)/1000)</f>
        <v>4685.638</v>
      </c>
      <c r="K22" s="11">
        <f>IF(K$3=0,"",SUMIFS(INDEX(Inputs!$D$4:$AG$150,0,MATCH(K$2,Inputs!$D$2:$AG$2,0)),Inputs!$B$4:$B$150,$B22)/1000)</f>
        <v>4744.959</v>
      </c>
      <c r="L22" s="11">
        <f>IF(L$3=0,"",SUMIFS(INDEX(Inputs!$D$4:$AG$150,0,MATCH(L$2,Inputs!$D$2:$AG$2,0)),Inputs!$B$4:$B$150,$B22)/1000)</f>
        <v>4728.819</v>
      </c>
      <c r="M22" s="12">
        <f>IF(L22="","",L22)</f>
        <v>4728.819</v>
      </c>
      <c r="N22" s="11">
        <f>IF(N$3=0,"",SUMIFS(INDEX(Inputs!$D$4:$AG$150,0,MATCH(N$2,Inputs!$D$2:$AG$2,0)),Inputs!$B$4:$B$150,$B22)/1000)</f>
        <v>4735.335</v>
      </c>
      <c r="O22" s="11">
        <f>IF(O$3=0,"",SUMIFS(INDEX(Inputs!$D$4:$AG$150,0,MATCH(O$2,Inputs!$D$2:$AG$2,0)),Inputs!$B$4:$B$150,$B22)/1000)</f>
        <v>4757.169</v>
      </c>
      <c r="P22" s="11">
        <f>IF(P$3=0,"",SUMIFS(INDEX(Inputs!$D$4:$AG$150,0,MATCH(P$2,Inputs!$D$2:$AG$2,0)),Inputs!$B$4:$B$150,$B22)/1000)</f>
        <v>4869.373</v>
      </c>
      <c r="Q22" s="11">
        <f>IF(Q$3=0,"",SUMIFS(INDEX(Inputs!$D$4:$AG$150,0,MATCH(Q$2,Inputs!$D$2:$AG$2,0)),Inputs!$B$4:$B$150,$B22)/1000)</f>
        <v>4877.071</v>
      </c>
      <c r="R22" s="12">
        <f>IF(Q22="","",Q22)</f>
        <v>4877.071</v>
      </c>
      <c r="S22" s="11">
        <f>IF(S$3=0,"",SUMIFS(INDEX(Inputs!$D$4:$AG$150,0,MATCH(S$2,Inputs!$D$2:$AG$2,0)),Inputs!$B$4:$B$150,$B22)/1000)</f>
        <v>4961.507</v>
      </c>
      <c r="T22" s="11">
        <f>IF(T$3=0,"",SUMIFS(INDEX(Inputs!$D$4:$AG$150,0,MATCH(T$2,Inputs!$D$2:$AG$2,0)),Inputs!$B$4:$B$150,$B22)/1000)</f>
        <v>5032.713</v>
      </c>
      <c r="U22" s="11">
        <f>IF(U$3=0,"",SUMIFS(INDEX(Inputs!$D$4:$AG$150,0,MATCH(U$2,Inputs!$D$2:$AG$2,0)),Inputs!$B$4:$B$150,$B22)/1000)</f>
        <v>5177.355</v>
      </c>
      <c r="V22" s="11">
        <f>IF(V$3=0,"",SUMIFS(INDEX(Inputs!$D$4:$AG$150,0,MATCH(V$2,Inputs!$D$2:$AG$2,0)),Inputs!$B$4:$B$150,$B22)/1000)</f>
        <v>5239.387</v>
      </c>
      <c r="W22" s="12">
        <f>IF(V22="","",V22)</f>
        <v>5239.387</v>
      </c>
      <c r="X22" s="11">
        <f>IF(X$3=0,"",SUMIFS(INDEX(Inputs!$D$4:$AG$150,0,MATCH(X$2,Inputs!$D$2:$AG$2,0)),Inputs!$B$4:$B$150,$B22)/1000)</f>
        <v>5417.114</v>
      </c>
      <c r="Y22" s="11">
        <f>IF(Y$3=0,"",SUMIFS(INDEX(Inputs!$D$4:$AG$150,0,MATCH(Y$2,Inputs!$D$2:$AG$2,0)),Inputs!$B$4:$B$150,$B22)/1000)</f>
        <v>5454.678</v>
      </c>
      <c r="Z22" s="11">
        <f>IF(Z$3=0,"",SUMIFS(INDEX(Inputs!$D$4:$AG$150,0,MATCH(Z$2,Inputs!$D$2:$AG$2,0)),Inputs!$B$4:$B$150,$B22)/1000)</f>
        <v>5501.294</v>
      </c>
      <c r="AA22" s="11">
        <f>IF(AA$3=0,"",SUMIFS(INDEX(Inputs!$D$4:$AG$150,0,MATCH(AA$2,Inputs!$D$2:$AG$2,0)),Inputs!$B$4:$B$150,$B22)/1000)</f>
        <v>5464.18</v>
      </c>
      <c r="AB22" s="12">
        <f>IF(AA22="","",AA22)</f>
        <v>5464.18</v>
      </c>
      <c r="AC22" s="11">
        <f>IF(AC$3=0,"",SUMIFS(INDEX(Inputs!$D$4:$AG$150,0,MATCH(AC$2,Inputs!$D$2:$AG$2,0)),Inputs!$B$4:$B$150,$B22)/1000)</f>
        <v>5431.747</v>
      </c>
      <c r="AD22" s="11">
        <f>IF(AD$3=0,"",SUMIFS(INDEX(Inputs!$D$4:$AG$150,0,MATCH(AD$2,Inputs!$D$2:$AG$2,0)),Inputs!$B$4:$B$150,$B22)/1000)</f>
        <v>5410.727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0</v>
      </c>
      <c r="E24" s="11">
        <f>IF(E$3=0,"",SUMIFS(INDEX(Inputs!$D$4:$AG$150,0,MATCH(E$2,Inputs!$D$2:$AG$2,0)),Inputs!$B$4:$B$150,$B24)/1000)</f>
        <v>0</v>
      </c>
      <c r="F24" s="11">
        <f>IF(F$3=0,"",SUMIFS(INDEX(Inputs!$D$4:$AG$150,0,MATCH(F$2,Inputs!$D$2:$AG$2,0)),Inputs!$B$4:$B$150,$B24)/1000)</f>
        <v>0</v>
      </c>
      <c r="G24" s="11">
        <f>IF(G$3=0,"",SUMIFS(INDEX(Inputs!$D$4:$AG$150,0,MATCH(G$2,Inputs!$D$2:$AG$2,0)),Inputs!$B$4:$B$150,$B24)/1000)</f>
        <v>0</v>
      </c>
      <c r="H24" s="12">
        <f>IF(G24="","",G24)</f>
        <v>0</v>
      </c>
      <c r="I24" s="11">
        <f>IF(I$3=0,"",SUMIFS(INDEX(Inputs!$D$4:$AG$150,0,MATCH(I$2,Inputs!$D$2:$AG$2,0)),Inputs!$B$4:$B$150,$B24)/1000)</f>
        <v>0</v>
      </c>
      <c r="J24" s="11">
        <f>IF(J$3=0,"",SUMIFS(INDEX(Inputs!$D$4:$AG$150,0,MATCH(J$2,Inputs!$D$2:$AG$2,0)),Inputs!$B$4:$B$150,$B24)/1000)</f>
        <v>0</v>
      </c>
      <c r="K24" s="11">
        <f>IF(K$3=0,"",SUMIFS(INDEX(Inputs!$D$4:$AG$150,0,MATCH(K$2,Inputs!$D$2:$AG$2,0)),Inputs!$B$4:$B$150,$B24)/1000)</f>
        <v>0</v>
      </c>
      <c r="L24" s="11">
        <f>IF(L$3=0,"",SUMIFS(INDEX(Inputs!$D$4:$AG$150,0,MATCH(L$2,Inputs!$D$2:$AG$2,0)),Inputs!$B$4:$B$150,$B24)/1000)</f>
        <v>0</v>
      </c>
      <c r="M24" s="12">
        <f>IF(L24="","",L24)</f>
        <v>0</v>
      </c>
      <c r="N24" s="11">
        <f>IF(N$3=0,"",SUMIFS(INDEX(Inputs!$D$4:$AG$150,0,MATCH(N$2,Inputs!$D$2:$AG$2,0)),Inputs!$B$4:$B$150,$B24)/1000)</f>
        <v>0</v>
      </c>
      <c r="O24" s="11">
        <f>IF(O$3=0,"",SUMIFS(INDEX(Inputs!$D$4:$AG$150,0,MATCH(O$2,Inputs!$D$2:$AG$2,0)),Inputs!$B$4:$B$150,$B24)/1000)</f>
        <v>0</v>
      </c>
      <c r="P24" s="11">
        <f>IF(P$3=0,"",SUMIFS(INDEX(Inputs!$D$4:$AG$150,0,MATCH(P$2,Inputs!$D$2:$AG$2,0)),Inputs!$B$4:$B$150,$B24)/1000)</f>
        <v>0</v>
      </c>
      <c r="Q24" s="11">
        <f>IF(Q$3=0,"",SUMIFS(INDEX(Inputs!$D$4:$AG$150,0,MATCH(Q$2,Inputs!$D$2:$AG$2,0)),Inputs!$B$4:$B$150,$B24)/1000)</f>
        <v>0</v>
      </c>
      <c r="R24" s="12">
        <f>IF(Q24="","",Q24)</f>
        <v>0</v>
      </c>
      <c r="S24" s="11">
        <f>IF(S$3=0,"",SUMIFS(INDEX(Inputs!$D$4:$AG$150,0,MATCH(S$2,Inputs!$D$2:$AG$2,0)),Inputs!$B$4:$B$150,$B24)/1000)</f>
        <v>0</v>
      </c>
      <c r="T24" s="11">
        <f>IF(T$3=0,"",SUMIFS(INDEX(Inputs!$D$4:$AG$150,0,MATCH(T$2,Inputs!$D$2:$AG$2,0)),Inputs!$B$4:$B$150,$B24)/1000)</f>
        <v>0</v>
      </c>
      <c r="U24" s="11">
        <f>IF(U$3=0,"",SUMIFS(INDEX(Inputs!$D$4:$AG$150,0,MATCH(U$2,Inputs!$D$2:$AG$2,0)),Inputs!$B$4:$B$150,$B24)/1000)</f>
        <v>0</v>
      </c>
      <c r="V24" s="11">
        <f>IF(V$3=0,"",SUMIFS(INDEX(Inputs!$D$4:$AG$150,0,MATCH(V$2,Inputs!$D$2:$AG$2,0)),Inputs!$B$4:$B$150,$B24)/1000)</f>
        <v>0</v>
      </c>
      <c r="W24" s="12">
        <f>IF(V24="","",V24)</f>
        <v>0</v>
      </c>
      <c r="X24" s="11">
        <f>IF(X$3=0,"",SUMIFS(INDEX(Inputs!$D$4:$AG$150,0,MATCH(X$2,Inputs!$D$2:$AG$2,0)),Inputs!$B$4:$B$150,$B24)/1000)</f>
        <v>0</v>
      </c>
      <c r="Y24" s="11">
        <f>IF(Y$3=0,"",SUMIFS(INDEX(Inputs!$D$4:$AG$150,0,MATCH(Y$2,Inputs!$D$2:$AG$2,0)),Inputs!$B$4:$B$150,$B24)/1000)</f>
        <v>0</v>
      </c>
      <c r="Z24" s="11">
        <f>IF(Z$3=0,"",SUMIFS(INDEX(Inputs!$D$4:$AG$150,0,MATCH(Z$2,Inputs!$D$2:$AG$2,0)),Inputs!$B$4:$B$150,$B24)/1000)</f>
        <v>0</v>
      </c>
      <c r="AA24" s="11">
        <f>IF(AA$3=0,"",SUMIFS(INDEX(Inputs!$D$4:$AG$150,0,MATCH(AA$2,Inputs!$D$2:$AG$2,0)),Inputs!$B$4:$B$150,$B24)/1000)</f>
        <v>0</v>
      </c>
      <c r="AB24" s="12">
        <f>IF(AA24="","",AA24)</f>
        <v>0</v>
      </c>
      <c r="AC24" s="11">
        <f>IF(AC$3=0,"",SUMIFS(INDEX(Inputs!$D$4:$AG$150,0,MATCH(AC$2,Inputs!$D$2:$AG$2,0)),Inputs!$B$4:$B$150,$B24)/1000)</f>
        <v>0</v>
      </c>
      <c r="AD24" s="11">
        <f>IF(AD$3=0,"",SUMIFS(INDEX(Inputs!$D$4:$AG$150,0,MATCH(AD$2,Inputs!$D$2:$AG$2,0)),Inputs!$B$4:$B$150,$B24)/1000)</f>
        <v>0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0</v>
      </c>
      <c r="J25" s="11">
        <f>IF(J$3=0,"",SUMIFS(INDEX(Inputs!$D$4:$AG$150,0,MATCH(J$2,Inputs!$D$2:$AG$2,0)),Inputs!$B$4:$B$150,$B25)/1000)</f>
        <v>0</v>
      </c>
      <c r="K25" s="11">
        <f>IF(K$3=0,"",SUMIFS(INDEX(Inputs!$D$4:$AG$150,0,MATCH(K$2,Inputs!$D$2:$AG$2,0)),Inputs!$B$4:$B$150,$B25)/1000)</f>
        <v>0</v>
      </c>
      <c r="L25" s="11">
        <f>IF(L$3=0,"",SUMIFS(INDEX(Inputs!$D$4:$AG$150,0,MATCH(L$2,Inputs!$D$2:$AG$2,0)),Inputs!$B$4:$B$150,$B25)/1000)</f>
        <v>0</v>
      </c>
      <c r="M25" s="12">
        <f>IF(L25="","",L25)</f>
        <v>0</v>
      </c>
      <c r="N25" s="11">
        <f>IF(N$3=0,"",SUMIFS(INDEX(Inputs!$D$4:$AG$150,0,MATCH(N$2,Inputs!$D$2:$AG$2,0)),Inputs!$B$4:$B$150,$B25)/1000)</f>
        <v>0</v>
      </c>
      <c r="O25" s="11">
        <f>IF(O$3=0,"",SUMIFS(INDEX(Inputs!$D$4:$AG$150,0,MATCH(O$2,Inputs!$D$2:$AG$2,0)),Inputs!$B$4:$B$150,$B25)/1000)</f>
        <v>0</v>
      </c>
      <c r="P25" s="11">
        <f>IF(P$3=0,"",SUMIFS(INDEX(Inputs!$D$4:$AG$150,0,MATCH(P$2,Inputs!$D$2:$AG$2,0)),Inputs!$B$4:$B$150,$B25)/1000)</f>
        <v>0</v>
      </c>
      <c r="Q25" s="11">
        <f>IF(Q$3=0,"",SUMIFS(INDEX(Inputs!$D$4:$AG$150,0,MATCH(Q$2,Inputs!$D$2:$AG$2,0)),Inputs!$B$4:$B$150,$B25)/1000)</f>
        <v>0</v>
      </c>
      <c r="R25" s="12">
        <f>IF(Q25="","",Q25)</f>
        <v>0</v>
      </c>
      <c r="S25" s="11">
        <f>IF(S$3=0,"",SUMIFS(INDEX(Inputs!$D$4:$AG$150,0,MATCH(S$2,Inputs!$D$2:$AG$2,0)),Inputs!$B$4:$B$150,$B25)/1000)</f>
        <v>0</v>
      </c>
      <c r="T25" s="11">
        <f>IF(T$3=0,"",SUMIFS(INDEX(Inputs!$D$4:$AG$150,0,MATCH(T$2,Inputs!$D$2:$AG$2,0)),Inputs!$B$4:$B$150,$B25)/1000)</f>
        <v>0</v>
      </c>
      <c r="U25" s="11">
        <f>IF(U$3=0,"",SUMIFS(INDEX(Inputs!$D$4:$AG$150,0,MATCH(U$2,Inputs!$D$2:$AG$2,0)),Inputs!$B$4:$B$150,$B25)/1000)</f>
        <v>0</v>
      </c>
      <c r="V25" s="11">
        <f>IF(V$3=0,"",SUMIFS(INDEX(Inputs!$D$4:$AG$150,0,MATCH(V$2,Inputs!$D$2:$AG$2,0)),Inputs!$B$4:$B$150,$B25)/1000)</f>
        <v>0</v>
      </c>
      <c r="W25" s="12">
        <f>IF(V25="","",V25)</f>
        <v>0</v>
      </c>
      <c r="X25" s="11">
        <f>IF(X$3=0,"",SUMIFS(INDEX(Inputs!$D$4:$AG$150,0,MATCH(X$2,Inputs!$D$2:$AG$2,0)),Inputs!$B$4:$B$150,$B25)/1000)</f>
        <v>0</v>
      </c>
      <c r="Y25" s="11">
        <f>IF(Y$3=0,"",SUMIFS(INDEX(Inputs!$D$4:$AG$150,0,MATCH(Y$2,Inputs!$D$2:$AG$2,0)),Inputs!$B$4:$B$150,$B25)/1000)</f>
        <v>0</v>
      </c>
      <c r="Z25" s="11">
        <f>IF(Z$3=0,"",SUMIFS(INDEX(Inputs!$D$4:$AG$150,0,MATCH(Z$2,Inputs!$D$2:$AG$2,0)),Inputs!$B$4:$B$150,$B25)/1000)</f>
        <v>0</v>
      </c>
      <c r="AA25" s="11">
        <f>IF(AA$3=0,"",SUMIFS(INDEX(Inputs!$D$4:$AG$150,0,MATCH(AA$2,Inputs!$D$2:$AG$2,0)),Inputs!$B$4:$B$150,$B25)/1000)</f>
        <v>0</v>
      </c>
      <c r="AB25" s="12">
        <f>IF(AA25="","",AA25)</f>
        <v>0</v>
      </c>
      <c r="AC25" s="11">
        <f>IF(AC$3=0,"",SUMIFS(INDEX(Inputs!$D$4:$AG$150,0,MATCH(AC$2,Inputs!$D$2:$AG$2,0)),Inputs!$B$4:$B$150,$B25)/1000)</f>
        <v>0</v>
      </c>
      <c r="AD25" s="11">
        <f>IF(AD$3=0,"",SUMIFS(INDEX(Inputs!$D$4:$AG$150,0,MATCH(AD$2,Inputs!$D$2:$AG$2,0)),Inputs!$B$4:$B$150,$B25)/1000)</f>
        <v>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4748.496</v>
      </c>
      <c r="E26" s="11">
        <f>IF(E$3=0,"",SUMIFS(INDEX(Inputs!$D$4:$AG$150,0,MATCH(E$2,Inputs!$D$2:$AG$2,0)),Inputs!$B$4:$B$150,$B26)/1000)</f>
        <v>4870.175</v>
      </c>
      <c r="F26" s="11">
        <f>IF(F$3=0,"",SUMIFS(INDEX(Inputs!$D$4:$AG$150,0,MATCH(F$2,Inputs!$D$2:$AG$2,0)),Inputs!$B$4:$B$150,$B26)/1000)</f>
        <v>4767.319</v>
      </c>
      <c r="G26" s="11">
        <f>IF(G$3=0,"",SUMIFS(INDEX(Inputs!$D$4:$AG$150,0,MATCH(G$2,Inputs!$D$2:$AG$2,0)),Inputs!$B$4:$B$150,$B26)/1000)</f>
        <v>4879.614</v>
      </c>
      <c r="H26" s="12">
        <f>IF(G26="","",G26)</f>
        <v>4879.614</v>
      </c>
      <c r="I26" s="11">
        <f>IF(I$3=0,"",SUMIFS(INDEX(Inputs!$D$4:$AG$150,0,MATCH(I$2,Inputs!$D$2:$AG$2,0)),Inputs!$B$4:$B$150,$B26)/1000)</f>
        <v>4826.9</v>
      </c>
      <c r="J26" s="11">
        <f>IF(J$3=0,"",SUMIFS(INDEX(Inputs!$D$4:$AG$150,0,MATCH(J$2,Inputs!$D$2:$AG$2,0)),Inputs!$B$4:$B$150,$B26)/1000)</f>
        <v>5047.857</v>
      </c>
      <c r="K26" s="11">
        <f>IF(K$3=0,"",SUMIFS(INDEX(Inputs!$D$4:$AG$150,0,MATCH(K$2,Inputs!$D$2:$AG$2,0)),Inputs!$B$4:$B$150,$B26)/1000)</f>
        <v>4702.001</v>
      </c>
      <c r="L26" s="11">
        <f>IF(L$3=0,"",SUMIFS(INDEX(Inputs!$D$4:$AG$150,0,MATCH(L$2,Inputs!$D$2:$AG$2,0)),Inputs!$B$4:$B$150,$B26)/1000)</f>
        <v>4879.81</v>
      </c>
      <c r="M26" s="12">
        <f>IF(L26="","",L26)</f>
        <v>4879.81</v>
      </c>
      <c r="N26" s="11">
        <f>IF(N$3=0,"",SUMIFS(INDEX(Inputs!$D$4:$AG$150,0,MATCH(N$2,Inputs!$D$2:$AG$2,0)),Inputs!$B$4:$B$150,$B26)/1000)</f>
        <v>4813.752</v>
      </c>
      <c r="O26" s="11">
        <f>IF(O$3=0,"",SUMIFS(INDEX(Inputs!$D$4:$AG$150,0,MATCH(O$2,Inputs!$D$2:$AG$2,0)),Inputs!$B$4:$B$150,$B26)/1000)</f>
        <v>5050.991</v>
      </c>
      <c r="P26" s="11">
        <f>IF(P$3=0,"",SUMIFS(INDEX(Inputs!$D$4:$AG$150,0,MATCH(P$2,Inputs!$D$2:$AG$2,0)),Inputs!$B$4:$B$150,$B26)/1000)</f>
        <v>4959.396</v>
      </c>
      <c r="Q26" s="11">
        <f>IF(Q$3=0,"",SUMIFS(INDEX(Inputs!$D$4:$AG$150,0,MATCH(Q$2,Inputs!$D$2:$AG$2,0)),Inputs!$B$4:$B$150,$B26)/1000)</f>
        <v>4968.619</v>
      </c>
      <c r="R26" s="12">
        <f>IF(Q26="","",Q26)</f>
        <v>4968.619</v>
      </c>
      <c r="S26" s="11">
        <f>IF(S$3=0,"",SUMIFS(INDEX(Inputs!$D$4:$AG$150,0,MATCH(S$2,Inputs!$D$2:$AG$2,0)),Inputs!$B$4:$B$150,$B26)/1000)</f>
        <v>4879.687</v>
      </c>
      <c r="T26" s="11">
        <f>IF(T$3=0,"",SUMIFS(INDEX(Inputs!$D$4:$AG$150,0,MATCH(T$2,Inputs!$D$2:$AG$2,0)),Inputs!$B$4:$B$150,$B26)/1000)</f>
        <v>4964.938</v>
      </c>
      <c r="U26" s="11">
        <f>IF(U$3=0,"",SUMIFS(INDEX(Inputs!$D$4:$AG$150,0,MATCH(U$2,Inputs!$D$2:$AG$2,0)),Inputs!$B$4:$B$150,$B26)/1000)</f>
        <v>4828.937</v>
      </c>
      <c r="V26" s="11">
        <f>IF(V$3=0,"",SUMIFS(INDEX(Inputs!$D$4:$AG$150,0,MATCH(V$2,Inputs!$D$2:$AG$2,0)),Inputs!$B$4:$B$150,$B26)/1000)</f>
        <v>4978.477</v>
      </c>
      <c r="W26" s="12">
        <f>IF(V26="","",V26)</f>
        <v>4978.477</v>
      </c>
      <c r="X26" s="11">
        <f>IF(X$3=0,"",SUMIFS(INDEX(Inputs!$D$4:$AG$150,0,MATCH(X$2,Inputs!$D$2:$AG$2,0)),Inputs!$B$4:$B$150,$B26)/1000)</f>
        <v>4985.503</v>
      </c>
      <c r="Y26" s="11">
        <f>IF(Y$3=0,"",SUMIFS(INDEX(Inputs!$D$4:$AG$150,0,MATCH(Y$2,Inputs!$D$2:$AG$2,0)),Inputs!$B$4:$B$150,$B26)/1000)</f>
        <v>5304.857</v>
      </c>
      <c r="Z26" s="11">
        <f>IF(Z$3=0,"",SUMIFS(INDEX(Inputs!$D$4:$AG$150,0,MATCH(Z$2,Inputs!$D$2:$AG$2,0)),Inputs!$B$4:$B$150,$B26)/1000)</f>
        <v>5276.204</v>
      </c>
      <c r="AA26" s="11">
        <f>IF(AA$3=0,"",SUMIFS(INDEX(Inputs!$D$4:$AG$150,0,MATCH(AA$2,Inputs!$D$2:$AG$2,0)),Inputs!$B$4:$B$150,$B26)/1000)</f>
        <v>5379.113</v>
      </c>
      <c r="AB26" s="12">
        <f>IF(AA26="","",AA26)</f>
        <v>5379.113</v>
      </c>
      <c r="AC26" s="11">
        <f>IF(AC$3=0,"",SUMIFS(INDEX(Inputs!$D$4:$AG$150,0,MATCH(AC$2,Inputs!$D$2:$AG$2,0)),Inputs!$B$4:$B$150,$B26)/1000)</f>
        <v>5220.835</v>
      </c>
      <c r="AD26" s="11">
        <f>IF(AD$3=0,"",SUMIFS(INDEX(Inputs!$D$4:$AG$150,0,MATCH(AD$2,Inputs!$D$2:$AG$2,0)),Inputs!$B$4:$B$150,$B26)/1000)</f>
        <v>5423.841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2042.475</v>
      </c>
      <c r="E28" s="11">
        <f>IF(E$3=0,"",SUMIFS(INDEX(Inputs!$D$4:$AG$150,0,MATCH(E$2,Inputs!$D$2:$AG$2,0)),Inputs!$B$4:$B$150,$B28)/1000)</f>
        <v>2378.812</v>
      </c>
      <c r="F28" s="11">
        <f>IF(F$3=0,"",SUMIFS(INDEX(Inputs!$D$4:$AG$150,0,MATCH(F$2,Inputs!$D$2:$AG$2,0)),Inputs!$B$4:$B$150,$B28)/1000)</f>
        <v>2616.052</v>
      </c>
      <c r="G28" s="11">
        <f>IF(G$3=0,"",SUMIFS(INDEX(Inputs!$D$4:$AG$150,0,MATCH(G$2,Inputs!$D$2:$AG$2,0)),Inputs!$B$4:$B$150,$B28)/1000)</f>
        <v>4219.458</v>
      </c>
      <c r="H28" s="12">
        <f>IF(G28="","",G28)</f>
        <v>4219.458</v>
      </c>
      <c r="I28" s="11">
        <f>IF(I$3=0,"",SUMIFS(INDEX(Inputs!$D$4:$AG$150,0,MATCH(I$2,Inputs!$D$2:$AG$2,0)),Inputs!$B$4:$B$150,$B28)/1000)</f>
        <v>3194.682</v>
      </c>
      <c r="J28" s="11">
        <f>IF(J$3=0,"",SUMIFS(INDEX(Inputs!$D$4:$AG$150,0,MATCH(J$2,Inputs!$D$2:$AG$2,0)),Inputs!$B$4:$B$150,$B28)/1000)</f>
        <v>3373.338</v>
      </c>
      <c r="K28" s="11">
        <f>IF(K$3=0,"",SUMIFS(INDEX(Inputs!$D$4:$AG$150,0,MATCH(K$2,Inputs!$D$2:$AG$2,0)),Inputs!$B$4:$B$150,$B28)/1000)</f>
        <v>3063.31</v>
      </c>
      <c r="L28" s="11">
        <f>IF(L$3=0,"",SUMIFS(INDEX(Inputs!$D$4:$AG$150,0,MATCH(L$2,Inputs!$D$2:$AG$2,0)),Inputs!$B$4:$B$150,$B28)/1000)</f>
        <v>4604.819</v>
      </c>
      <c r="M28" s="12">
        <f>IF(L28="","",L28)</f>
        <v>4604.819</v>
      </c>
      <c r="N28" s="11">
        <f>IF(N$3=0,"",SUMIFS(INDEX(Inputs!$D$4:$AG$150,0,MATCH(N$2,Inputs!$D$2:$AG$2,0)),Inputs!$B$4:$B$150,$B28)/1000)</f>
        <v>3044.269</v>
      </c>
      <c r="O28" s="11">
        <f>IF(O$3=0,"",SUMIFS(INDEX(Inputs!$D$4:$AG$150,0,MATCH(O$2,Inputs!$D$2:$AG$2,0)),Inputs!$B$4:$B$150,$B28)/1000)</f>
        <v>3145.954</v>
      </c>
      <c r="P28" s="11">
        <f>IF(P$3=0,"",SUMIFS(INDEX(Inputs!$D$4:$AG$150,0,MATCH(P$2,Inputs!$D$2:$AG$2,0)),Inputs!$B$4:$B$150,$B28)/1000)</f>
        <v>2930.607</v>
      </c>
      <c r="Q28" s="11">
        <f>IF(Q$3=0,"",SUMIFS(INDEX(Inputs!$D$4:$AG$150,0,MATCH(Q$2,Inputs!$D$2:$AG$2,0)),Inputs!$B$4:$B$150,$B28)/1000)</f>
        <v>4331.301</v>
      </c>
      <c r="R28" s="12">
        <f>IF(Q28="","",Q28)</f>
        <v>4331.301</v>
      </c>
      <c r="S28" s="11">
        <f>IF(S$3=0,"",SUMIFS(INDEX(Inputs!$D$4:$AG$150,0,MATCH(S$2,Inputs!$D$2:$AG$2,0)),Inputs!$B$4:$B$150,$B28)/1000)</f>
        <v>2767.797</v>
      </c>
      <c r="T28" s="11">
        <f>IF(T$3=0,"",SUMIFS(INDEX(Inputs!$D$4:$AG$150,0,MATCH(T$2,Inputs!$D$2:$AG$2,0)),Inputs!$B$4:$B$150,$B28)/1000)</f>
        <v>2696.898</v>
      </c>
      <c r="U28" s="11">
        <f>IF(U$3=0,"",SUMIFS(INDEX(Inputs!$D$4:$AG$150,0,MATCH(U$2,Inputs!$D$2:$AG$2,0)),Inputs!$B$4:$B$150,$B28)/1000)</f>
        <v>2697.29</v>
      </c>
      <c r="V28" s="11">
        <f>IF(V$3=0,"",SUMIFS(INDEX(Inputs!$D$4:$AG$150,0,MATCH(V$2,Inputs!$D$2:$AG$2,0)),Inputs!$B$4:$B$150,$B28)/1000)</f>
        <v>3495.276</v>
      </c>
      <c r="W28" s="12">
        <f>IF(V28="","",V28)</f>
        <v>3495.276</v>
      </c>
      <c r="X28" s="11">
        <f>IF(X$3=0,"",SUMIFS(INDEX(Inputs!$D$4:$AG$150,0,MATCH(X$2,Inputs!$D$2:$AG$2,0)),Inputs!$B$4:$B$150,$B28)/1000)</f>
        <v>2543.654</v>
      </c>
      <c r="Y28" s="11">
        <f>IF(Y$3=0,"",SUMIFS(INDEX(Inputs!$D$4:$AG$150,0,MATCH(Y$2,Inputs!$D$2:$AG$2,0)),Inputs!$B$4:$B$150,$B28)/1000)</f>
        <v>2707.401</v>
      </c>
      <c r="Z28" s="11">
        <f>IF(Z$3=0,"",SUMIFS(INDEX(Inputs!$D$4:$AG$150,0,MATCH(Z$2,Inputs!$D$2:$AG$2,0)),Inputs!$B$4:$B$150,$B28)/1000)</f>
        <v>2717.648</v>
      </c>
      <c r="AA28" s="11">
        <f>IF(AA$3=0,"",SUMIFS(INDEX(Inputs!$D$4:$AG$150,0,MATCH(AA$2,Inputs!$D$2:$AG$2,0)),Inputs!$B$4:$B$150,$B28)/1000)</f>
        <v>3641.125</v>
      </c>
      <c r="AB28" s="12">
        <f>IF(AA28="","",AA28)</f>
        <v>3641.125</v>
      </c>
      <c r="AC28" s="11">
        <f>IF(AC$3=0,"",SUMIFS(INDEX(Inputs!$D$4:$AG$150,0,MATCH(AC$2,Inputs!$D$2:$AG$2,0)),Inputs!$B$4:$B$150,$B28)/1000)</f>
        <v>2890.513</v>
      </c>
      <c r="AD28" s="11">
        <f>IF(AD$3=0,"",SUMIFS(INDEX(Inputs!$D$4:$AG$150,0,MATCH(AD$2,Inputs!$D$2:$AG$2,0)),Inputs!$B$4:$B$150,$B28)/1000)</f>
        <v>3062.902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451.593</v>
      </c>
      <c r="E29" s="11">
        <f>IF(E$3=0,"",SUMIFS(INDEX(Inputs!$D$4:$AG$150,0,MATCH(E$2,Inputs!$D$2:$AG$2,0)),Inputs!$B$4:$B$150,$B29)/1000)</f>
        <v>595.66</v>
      </c>
      <c r="F29" s="11">
        <f>IF(F$3=0,"",SUMIFS(INDEX(Inputs!$D$4:$AG$150,0,MATCH(F$2,Inputs!$D$2:$AG$2,0)),Inputs!$B$4:$B$150,$B29)/1000)</f>
        <v>622.723</v>
      </c>
      <c r="G29" s="11">
        <f>IF(G$3=0,"",SUMIFS(INDEX(Inputs!$D$4:$AG$150,0,MATCH(G$2,Inputs!$D$2:$AG$2,0)),Inputs!$B$4:$B$150,$B29)/1000)</f>
        <v>475.729</v>
      </c>
      <c r="H29" s="12">
        <f>IF(G29="","",G29)</f>
        <v>475.729</v>
      </c>
      <c r="I29" s="11">
        <f>IF(I$3=0,"",SUMIFS(INDEX(Inputs!$D$4:$AG$150,0,MATCH(I$2,Inputs!$D$2:$AG$2,0)),Inputs!$B$4:$B$150,$B29)/1000)</f>
        <v>561.762</v>
      </c>
      <c r="J29" s="11">
        <f>IF(J$3=0,"",SUMIFS(INDEX(Inputs!$D$4:$AG$150,0,MATCH(J$2,Inputs!$D$2:$AG$2,0)),Inputs!$B$4:$B$150,$B29)/1000)</f>
        <v>796.338</v>
      </c>
      <c r="K29" s="11">
        <f>IF(K$3=0,"",SUMIFS(INDEX(Inputs!$D$4:$AG$150,0,MATCH(K$2,Inputs!$D$2:$AG$2,0)),Inputs!$B$4:$B$150,$B29)/1000)</f>
        <v>784.317</v>
      </c>
      <c r="L29" s="11">
        <f>IF(L$3=0,"",SUMIFS(INDEX(Inputs!$D$4:$AG$150,0,MATCH(L$2,Inputs!$D$2:$AG$2,0)),Inputs!$B$4:$B$150,$B29)/1000)</f>
        <v>666.614</v>
      </c>
      <c r="M29" s="12">
        <f>IF(L29="","",L29)</f>
        <v>666.614</v>
      </c>
      <c r="N29" s="11">
        <f>IF(N$3=0,"",SUMIFS(INDEX(Inputs!$D$4:$AG$150,0,MATCH(N$2,Inputs!$D$2:$AG$2,0)),Inputs!$B$4:$B$150,$B29)/1000)</f>
        <v>665.469</v>
      </c>
      <c r="O29" s="11">
        <f>IF(O$3=0,"",SUMIFS(INDEX(Inputs!$D$4:$AG$150,0,MATCH(O$2,Inputs!$D$2:$AG$2,0)),Inputs!$B$4:$B$150,$B29)/1000)</f>
        <v>863.298</v>
      </c>
      <c r="P29" s="11">
        <f>IF(P$3=0,"",SUMIFS(INDEX(Inputs!$D$4:$AG$150,0,MATCH(P$2,Inputs!$D$2:$AG$2,0)),Inputs!$B$4:$B$150,$B29)/1000)</f>
        <v>773.054</v>
      </c>
      <c r="Q29" s="11">
        <f>IF(Q$3=0,"",SUMIFS(INDEX(Inputs!$D$4:$AG$150,0,MATCH(Q$2,Inputs!$D$2:$AG$2,0)),Inputs!$B$4:$B$150,$B29)/1000)</f>
        <v>597.196</v>
      </c>
      <c r="R29" s="12">
        <f>IF(Q29="","",Q29)</f>
        <v>597.196</v>
      </c>
      <c r="S29" s="11">
        <f>IF(S$3=0,"",SUMIFS(INDEX(Inputs!$D$4:$AG$150,0,MATCH(S$2,Inputs!$D$2:$AG$2,0)),Inputs!$B$4:$B$150,$B29)/1000)</f>
        <v>644.982</v>
      </c>
      <c r="T29" s="11">
        <f>IF(T$3=0,"",SUMIFS(INDEX(Inputs!$D$4:$AG$150,0,MATCH(T$2,Inputs!$D$2:$AG$2,0)),Inputs!$B$4:$B$150,$B29)/1000)</f>
        <v>864.484</v>
      </c>
      <c r="U29" s="11">
        <f>IF(U$3=0,"",SUMIFS(INDEX(Inputs!$D$4:$AG$150,0,MATCH(U$2,Inputs!$D$2:$AG$2,0)),Inputs!$B$4:$B$150,$B29)/1000)</f>
        <v>783.945</v>
      </c>
      <c r="V29" s="11">
        <f>IF(V$3=0,"",SUMIFS(INDEX(Inputs!$D$4:$AG$150,0,MATCH(V$2,Inputs!$D$2:$AG$2,0)),Inputs!$B$4:$B$150,$B29)/1000)</f>
        <v>603.629</v>
      </c>
      <c r="W29" s="12">
        <f>IF(V29="","",V29)</f>
        <v>603.629</v>
      </c>
      <c r="X29" s="11">
        <f>IF(X$3=0,"",SUMIFS(INDEX(Inputs!$D$4:$AG$150,0,MATCH(X$2,Inputs!$D$2:$AG$2,0)),Inputs!$B$4:$B$150,$B29)/1000)</f>
        <v>591.747</v>
      </c>
      <c r="Y29" s="11">
        <f>IF(Y$3=0,"",SUMIFS(INDEX(Inputs!$D$4:$AG$150,0,MATCH(Y$2,Inputs!$D$2:$AG$2,0)),Inputs!$B$4:$B$150,$B29)/1000)</f>
        <v>694.107</v>
      </c>
      <c r="Z29" s="11">
        <f>IF(Z$3=0,"",SUMIFS(INDEX(Inputs!$D$4:$AG$150,0,MATCH(Z$2,Inputs!$D$2:$AG$2,0)),Inputs!$B$4:$B$150,$B29)/1000)</f>
        <v>695.965</v>
      </c>
      <c r="AA29" s="11">
        <f>IF(AA$3=0,"",SUMIFS(INDEX(Inputs!$D$4:$AG$150,0,MATCH(AA$2,Inputs!$D$2:$AG$2,0)),Inputs!$B$4:$B$150,$B29)/1000)</f>
        <v>602.387</v>
      </c>
      <c r="AB29" s="12">
        <f>IF(AA29="","",AA29)</f>
        <v>602.387</v>
      </c>
      <c r="AC29" s="11">
        <f>IF(AC$3=0,"",SUMIFS(INDEX(Inputs!$D$4:$AG$150,0,MATCH(AC$2,Inputs!$D$2:$AG$2,0)),Inputs!$B$4:$B$150,$B29)/1000)</f>
        <v>603.72</v>
      </c>
      <c r="AD29" s="11">
        <f>IF(AD$3=0,"",SUMIFS(INDEX(Inputs!$D$4:$AG$150,0,MATCH(AD$2,Inputs!$D$2:$AG$2,0)),Inputs!$B$4:$B$150,$B29)/1000)</f>
        <v>770.272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4901.173</v>
      </c>
      <c r="E31" s="11">
        <f>IF(E$3=0,"",SUMIFS(INDEX(Inputs!$D$4:$AG$150,0,MATCH(E$2,Inputs!$D$2:$AG$2,0)),Inputs!$B$4:$B$150,$B31)/1000)</f>
        <v>4221.528</v>
      </c>
      <c r="F31" s="11">
        <f>IF(F$3=0,"",SUMIFS(INDEX(Inputs!$D$4:$AG$150,0,MATCH(F$2,Inputs!$D$2:$AG$2,0)),Inputs!$B$4:$B$150,$B31)/1000)</f>
        <v>3048.788</v>
      </c>
      <c r="G31" s="11">
        <f>IF(G$3=0,"",SUMIFS(INDEX(Inputs!$D$4:$AG$150,0,MATCH(G$2,Inputs!$D$2:$AG$2,0)),Inputs!$B$4:$B$150,$B31)/1000)</f>
        <v>3372.356</v>
      </c>
      <c r="H31" s="12">
        <f>IF(G31="","",G31)</f>
        <v>3372.356</v>
      </c>
      <c r="I31" s="11">
        <f>IF(I$3=0,"",SUMIFS(INDEX(Inputs!$D$4:$AG$150,0,MATCH(I$2,Inputs!$D$2:$AG$2,0)),Inputs!$B$4:$B$150,$B31)/1000)</f>
        <v>5044.401</v>
      </c>
      <c r="J31" s="11">
        <f>IF(J$3=0,"",SUMIFS(INDEX(Inputs!$D$4:$AG$150,0,MATCH(J$2,Inputs!$D$2:$AG$2,0)),Inputs!$B$4:$B$150,$B31)/1000)</f>
        <v>4223.341</v>
      </c>
      <c r="K31" s="11">
        <f>IF(K$3=0,"",SUMIFS(INDEX(Inputs!$D$4:$AG$150,0,MATCH(K$2,Inputs!$D$2:$AG$2,0)),Inputs!$B$4:$B$150,$B31)/1000)</f>
        <v>2813.737</v>
      </c>
      <c r="L31" s="11">
        <f>IF(L$3=0,"",SUMIFS(INDEX(Inputs!$D$4:$AG$150,0,MATCH(L$2,Inputs!$D$2:$AG$2,0)),Inputs!$B$4:$B$150,$B31)/1000)</f>
        <v>2926.921</v>
      </c>
      <c r="M31" s="12">
        <f>IF(L31="","",L31)</f>
        <v>2926.921</v>
      </c>
      <c r="N31" s="11">
        <f>IF(N$3=0,"",SUMIFS(INDEX(Inputs!$D$4:$AG$150,0,MATCH(N$2,Inputs!$D$2:$AG$2,0)),Inputs!$B$4:$B$150,$B31)/1000)</f>
        <v>3615.086</v>
      </c>
      <c r="O31" s="11">
        <f>IF(O$3=0,"",SUMIFS(INDEX(Inputs!$D$4:$AG$150,0,MATCH(O$2,Inputs!$D$2:$AG$2,0)),Inputs!$B$4:$B$150,$B31)/1000)</f>
        <v>2474.316</v>
      </c>
      <c r="P31" s="11">
        <f>IF(P$3=0,"",SUMIFS(INDEX(Inputs!$D$4:$AG$150,0,MATCH(P$2,Inputs!$D$2:$AG$2,0)),Inputs!$B$4:$B$150,$B31)/1000)</f>
        <v>2187.694</v>
      </c>
      <c r="Q31" s="11">
        <f>IF(Q$3=0,"",SUMIFS(INDEX(Inputs!$D$4:$AG$150,0,MATCH(Q$2,Inputs!$D$2:$AG$2,0)),Inputs!$B$4:$B$150,$B31)/1000)</f>
        <v>2030.126</v>
      </c>
      <c r="R31" s="12">
        <f>IF(Q31="","",Q31)</f>
        <v>2030.126</v>
      </c>
      <c r="S31" s="11">
        <f>IF(S$3=0,"",SUMIFS(INDEX(Inputs!$D$4:$AG$150,0,MATCH(S$2,Inputs!$D$2:$AG$2,0)),Inputs!$B$4:$B$150,$B31)/1000)</f>
        <v>2337.165</v>
      </c>
      <c r="T31" s="11">
        <f>IF(T$3=0,"",SUMIFS(INDEX(Inputs!$D$4:$AG$150,0,MATCH(T$2,Inputs!$D$2:$AG$2,0)),Inputs!$B$4:$B$150,$B31)/1000)</f>
        <v>1490.629</v>
      </c>
      <c r="U31" s="11">
        <f>IF(U$3=0,"",SUMIFS(INDEX(Inputs!$D$4:$AG$150,0,MATCH(U$2,Inputs!$D$2:$AG$2,0)),Inputs!$B$4:$B$150,$B31)/1000)</f>
        <v>1582.313</v>
      </c>
      <c r="V31" s="11">
        <f>IF(V$3=0,"",SUMIFS(INDEX(Inputs!$D$4:$AG$150,0,MATCH(V$2,Inputs!$D$2:$AG$2,0)),Inputs!$B$4:$B$150,$B31)/1000)</f>
        <v>1633.102</v>
      </c>
      <c r="W31" s="12">
        <f>IF(V31="","",V31)</f>
        <v>1633.102</v>
      </c>
      <c r="X31" s="11">
        <f>IF(X$3=0,"",SUMIFS(INDEX(Inputs!$D$4:$AG$150,0,MATCH(X$2,Inputs!$D$2:$AG$2,0)),Inputs!$B$4:$B$150,$B31)/1000)</f>
        <v>3459.542</v>
      </c>
      <c r="Y31" s="11">
        <f>IF(Y$3=0,"",SUMIFS(INDEX(Inputs!$D$4:$AG$150,0,MATCH(Y$2,Inputs!$D$2:$AG$2,0)),Inputs!$B$4:$B$150,$B31)/1000)</f>
        <v>2768.786</v>
      </c>
      <c r="Z31" s="11">
        <f>IF(Z$3=0,"",SUMIFS(INDEX(Inputs!$D$4:$AG$150,0,MATCH(Z$2,Inputs!$D$2:$AG$2,0)),Inputs!$B$4:$B$150,$B31)/1000)</f>
        <v>1778.426</v>
      </c>
      <c r="AA31" s="11">
        <f>IF(AA$3=0,"",SUMIFS(INDEX(Inputs!$D$4:$AG$150,0,MATCH(AA$2,Inputs!$D$2:$AG$2,0)),Inputs!$B$4:$B$150,$B31)/1000)</f>
        <v>2635.101</v>
      </c>
      <c r="AB31" s="12">
        <f>IF(AA31="","",AA31)</f>
        <v>2635.101</v>
      </c>
      <c r="AC31" s="11">
        <f>IF(AC$3=0,"",SUMIFS(INDEX(Inputs!$D$4:$AG$150,0,MATCH(AC$2,Inputs!$D$2:$AG$2,0)),Inputs!$B$4:$B$150,$B31)/1000)</f>
        <v>3438.146</v>
      </c>
      <c r="AD31" s="11">
        <f>IF(AD$3=0,"",SUMIFS(INDEX(Inputs!$D$4:$AG$150,0,MATCH(AD$2,Inputs!$D$2:$AG$2,0)),Inputs!$B$4:$B$150,$B31)/1000)</f>
        <v>2788.484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167.792</v>
      </c>
      <c r="E32" s="11">
        <f>IF(E$3=0,"",SUMIFS(INDEX(Inputs!$D$4:$AG$150,0,MATCH(E$2,Inputs!$D$2:$AG$2,0)),Inputs!$B$4:$B$150,$B32)/1000)</f>
        <v>198.147</v>
      </c>
      <c r="F32" s="11">
        <f>IF(F$3=0,"",SUMIFS(INDEX(Inputs!$D$4:$AG$150,0,MATCH(F$2,Inputs!$D$2:$AG$2,0)),Inputs!$B$4:$B$150,$B32)/1000)</f>
        <v>38.45</v>
      </c>
      <c r="G32" s="11">
        <f>IF(G$3=0,"",SUMIFS(INDEX(Inputs!$D$4:$AG$150,0,MATCH(G$2,Inputs!$D$2:$AG$2,0)),Inputs!$B$4:$B$150,$B32)/1000)</f>
        <v>38.343</v>
      </c>
      <c r="H32" s="12">
        <f>IF(G32="","",G32)</f>
        <v>38.343</v>
      </c>
      <c r="I32" s="11">
        <f>IF(I$3=0,"",SUMIFS(INDEX(Inputs!$D$4:$AG$150,0,MATCH(I$2,Inputs!$D$2:$AG$2,0)),Inputs!$B$4:$B$150,$B32)/1000)</f>
        <v>9.522</v>
      </c>
      <c r="J32" s="11">
        <f>IF(J$3=0,"",SUMIFS(INDEX(Inputs!$D$4:$AG$150,0,MATCH(J$2,Inputs!$D$2:$AG$2,0)),Inputs!$B$4:$B$150,$B32)/1000)</f>
        <v>161.308</v>
      </c>
      <c r="K32" s="11">
        <f>IF(K$3=0,"",SUMIFS(INDEX(Inputs!$D$4:$AG$150,0,MATCH(K$2,Inputs!$D$2:$AG$2,0)),Inputs!$B$4:$B$150,$B32)/1000)</f>
        <v>290.605</v>
      </c>
      <c r="L32" s="11">
        <f>IF(L$3=0,"",SUMIFS(INDEX(Inputs!$D$4:$AG$150,0,MATCH(L$2,Inputs!$D$2:$AG$2,0)),Inputs!$B$4:$B$150,$B32)/1000)</f>
        <v>289.888</v>
      </c>
      <c r="M32" s="12">
        <f>IF(L32="","",L32)</f>
        <v>289.888</v>
      </c>
      <c r="N32" s="11">
        <f>IF(N$3=0,"",SUMIFS(INDEX(Inputs!$D$4:$AG$150,0,MATCH(N$2,Inputs!$D$2:$AG$2,0)),Inputs!$B$4:$B$150,$B32)/1000)</f>
        <v>137.465</v>
      </c>
      <c r="O32" s="11">
        <f>IF(O$3=0,"",SUMIFS(INDEX(Inputs!$D$4:$AG$150,0,MATCH(O$2,Inputs!$D$2:$AG$2,0)),Inputs!$B$4:$B$150,$B32)/1000)</f>
        <v>137.402</v>
      </c>
      <c r="P32" s="11">
        <f>IF(P$3=0,"",SUMIFS(INDEX(Inputs!$D$4:$AG$150,0,MATCH(P$2,Inputs!$D$2:$AG$2,0)),Inputs!$B$4:$B$150,$B32)/1000)</f>
        <v>7.839</v>
      </c>
      <c r="Q32" s="11">
        <f>IF(Q$3=0,"",SUMIFS(INDEX(Inputs!$D$4:$AG$150,0,MATCH(Q$2,Inputs!$D$2:$AG$2,0)),Inputs!$B$4:$B$150,$B32)/1000)</f>
        <v>7.795</v>
      </c>
      <c r="R32" s="12">
        <f>IF(Q32="","",Q32)</f>
        <v>7.795</v>
      </c>
      <c r="S32" s="11">
        <f>IF(S$3=0,"",SUMIFS(INDEX(Inputs!$D$4:$AG$150,0,MATCH(S$2,Inputs!$D$2:$AG$2,0)),Inputs!$B$4:$B$150,$B32)/1000)</f>
        <v>157.394</v>
      </c>
      <c r="T32" s="11">
        <f>IF(T$3=0,"",SUMIFS(INDEX(Inputs!$D$4:$AG$150,0,MATCH(T$2,Inputs!$D$2:$AG$2,0)),Inputs!$B$4:$B$150,$B32)/1000)</f>
        <v>157.181</v>
      </c>
      <c r="U32" s="11">
        <f>IF(U$3=0,"",SUMIFS(INDEX(Inputs!$D$4:$AG$150,0,MATCH(U$2,Inputs!$D$2:$AG$2,0)),Inputs!$B$4:$B$150,$B32)/1000)</f>
        <v>337.266</v>
      </c>
      <c r="V32" s="11">
        <f>IF(V$3=0,"",SUMIFS(INDEX(Inputs!$D$4:$AG$150,0,MATCH(V$2,Inputs!$D$2:$AG$2,0)),Inputs!$B$4:$B$150,$B32)/1000)</f>
        <v>337.38</v>
      </c>
      <c r="W32" s="12">
        <f>IF(V32="","",V32)</f>
        <v>337.38</v>
      </c>
      <c r="X32" s="11">
        <f>IF(X$3=0,"",SUMIFS(INDEX(Inputs!$D$4:$AG$150,0,MATCH(X$2,Inputs!$D$2:$AG$2,0)),Inputs!$B$4:$B$150,$B32)/1000)</f>
        <v>187.873</v>
      </c>
      <c r="Y32" s="11">
        <f>IF(Y$3=0,"",SUMIFS(INDEX(Inputs!$D$4:$AG$150,0,MATCH(Y$2,Inputs!$D$2:$AG$2,0)),Inputs!$B$4:$B$150,$B32)/1000)</f>
        <v>190.075</v>
      </c>
      <c r="Z32" s="11">
        <f>IF(Z$3=0,"",SUMIFS(INDEX(Inputs!$D$4:$AG$150,0,MATCH(Z$2,Inputs!$D$2:$AG$2,0)),Inputs!$B$4:$B$150,$B32)/1000)</f>
        <v>90.447</v>
      </c>
      <c r="AA32" s="11">
        <f>IF(AA$3=0,"",SUMIFS(INDEX(Inputs!$D$4:$AG$150,0,MATCH(AA$2,Inputs!$D$2:$AG$2,0)),Inputs!$B$4:$B$150,$B32)/1000)</f>
        <v>89.882</v>
      </c>
      <c r="AB32" s="12">
        <f>IF(AA32="","",AA32)</f>
        <v>89.882</v>
      </c>
      <c r="AC32" s="11">
        <f>IF(AC$3=0,"",SUMIFS(INDEX(Inputs!$D$4:$AG$150,0,MATCH(AC$2,Inputs!$D$2:$AG$2,0)),Inputs!$B$4:$B$150,$B32)/1000)</f>
        <v>149.064</v>
      </c>
      <c r="AD32" s="11">
        <f>IF(AD$3=0,"",SUMIFS(INDEX(Inputs!$D$4:$AG$150,0,MATCH(AD$2,Inputs!$D$2:$AG$2,0)),Inputs!$B$4:$B$150,$B32)/1000)</f>
        <v>149.663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1604.313</v>
      </c>
      <c r="E35" s="11">
        <f>IF(E$3=0,"",SUMIFS(INDEX(Inputs!$D$4:$AG$150,0,MATCH(E$2,Inputs!$D$2:$AG$2,0)),Inputs!$B$4:$B$150,$B35)/1000)</f>
        <v>1571.644</v>
      </c>
      <c r="F35" s="11">
        <f>IF(F$3=0,"",SUMIFS(INDEX(Inputs!$D$4:$AG$150,0,MATCH(F$2,Inputs!$D$2:$AG$2,0)),Inputs!$B$4:$B$150,$B35)/1000)</f>
        <v>1579.911</v>
      </c>
      <c r="G35" s="11">
        <f>IF(G$3=0,"",SUMIFS(INDEX(Inputs!$D$4:$AG$150,0,MATCH(G$2,Inputs!$D$2:$AG$2,0)),Inputs!$B$4:$B$150,$B35)/1000)</f>
        <v>1576.769</v>
      </c>
      <c r="H35" s="12">
        <f>IF(G35="","",G35)</f>
        <v>1576.769</v>
      </c>
      <c r="I35" s="11">
        <f>IF(I$3=0,"",SUMIFS(INDEX(Inputs!$D$4:$AG$150,0,MATCH(I$2,Inputs!$D$2:$AG$2,0)),Inputs!$B$4:$B$150,$B35)/1000)</f>
        <v>1955.205</v>
      </c>
      <c r="J35" s="11">
        <f>IF(J$3=0,"",SUMIFS(INDEX(Inputs!$D$4:$AG$150,0,MATCH(J$2,Inputs!$D$2:$AG$2,0)),Inputs!$B$4:$B$150,$B35)/1000)</f>
        <v>1800.779</v>
      </c>
      <c r="K35" s="11">
        <f>IF(K$3=0,"",SUMIFS(INDEX(Inputs!$D$4:$AG$150,0,MATCH(K$2,Inputs!$D$2:$AG$2,0)),Inputs!$B$4:$B$150,$B35)/1000)</f>
        <v>1668.209</v>
      </c>
      <c r="L35" s="11">
        <f>IF(L$3=0,"",SUMIFS(INDEX(Inputs!$D$4:$AG$150,0,MATCH(L$2,Inputs!$D$2:$AG$2,0)),Inputs!$B$4:$B$150,$B35)/1000)</f>
        <v>1668.158</v>
      </c>
      <c r="M35" s="12">
        <f>IF(L35="","",L35)</f>
        <v>1668.158</v>
      </c>
      <c r="N35" s="11">
        <f>IF(N$3=0,"",SUMIFS(INDEX(Inputs!$D$4:$AG$150,0,MATCH(N$2,Inputs!$D$2:$AG$2,0)),Inputs!$B$4:$B$150,$B35)/1000)</f>
        <v>1816.654</v>
      </c>
      <c r="O35" s="11">
        <f>IF(O$3=0,"",SUMIFS(INDEX(Inputs!$D$4:$AG$150,0,MATCH(O$2,Inputs!$D$2:$AG$2,0)),Inputs!$B$4:$B$150,$B35)/1000)</f>
        <v>1814.854</v>
      </c>
      <c r="P35" s="11">
        <f>IF(P$3=0,"",SUMIFS(INDEX(Inputs!$D$4:$AG$150,0,MATCH(P$2,Inputs!$D$2:$AG$2,0)),Inputs!$B$4:$B$150,$B35)/1000)</f>
        <v>1819.819</v>
      </c>
      <c r="Q35" s="11">
        <f>IF(Q$3=0,"",SUMIFS(INDEX(Inputs!$D$4:$AG$150,0,MATCH(Q$2,Inputs!$D$2:$AG$2,0)),Inputs!$B$4:$B$150,$B35)/1000)</f>
        <v>1817.77</v>
      </c>
      <c r="R35" s="12">
        <f>IF(Q35="","",Q35)</f>
        <v>1817.77</v>
      </c>
      <c r="S35" s="11">
        <f>IF(S$3=0,"",SUMIFS(INDEX(Inputs!$D$4:$AG$150,0,MATCH(S$2,Inputs!$D$2:$AG$2,0)),Inputs!$B$4:$B$150,$B35)/1000)</f>
        <v>1671.241</v>
      </c>
      <c r="T35" s="11">
        <f>IF(T$3=0,"",SUMIFS(INDEX(Inputs!$D$4:$AG$150,0,MATCH(T$2,Inputs!$D$2:$AG$2,0)),Inputs!$B$4:$B$150,$B35)/1000)</f>
        <v>1669.212</v>
      </c>
      <c r="U35" s="11">
        <f>IF(U$3=0,"",SUMIFS(INDEX(Inputs!$D$4:$AG$150,0,MATCH(U$2,Inputs!$D$2:$AG$2,0)),Inputs!$B$4:$B$150,$B35)/1000)</f>
        <v>1824.194</v>
      </c>
      <c r="V35" s="11">
        <f>IF(V$3=0,"",SUMIFS(INDEX(Inputs!$D$4:$AG$150,0,MATCH(V$2,Inputs!$D$2:$AG$2,0)),Inputs!$B$4:$B$150,$B35)/1000)</f>
        <v>1821.746</v>
      </c>
      <c r="W35" s="12">
        <f>IF(V35="","",V35)</f>
        <v>1821.746</v>
      </c>
      <c r="X35" s="11">
        <f>IF(X$3=0,"",SUMIFS(INDEX(Inputs!$D$4:$AG$150,0,MATCH(X$2,Inputs!$D$2:$AG$2,0)),Inputs!$B$4:$B$150,$B35)/1000)</f>
        <v>1828.641</v>
      </c>
      <c r="Y35" s="11">
        <f>IF(Y$3=0,"",SUMIFS(INDEX(Inputs!$D$4:$AG$150,0,MATCH(Y$2,Inputs!$D$2:$AG$2,0)),Inputs!$B$4:$B$150,$B35)/1000)</f>
        <v>1826.072</v>
      </c>
      <c r="Z35" s="11">
        <f>IF(Z$3=0,"",SUMIFS(INDEX(Inputs!$D$4:$AG$150,0,MATCH(Z$2,Inputs!$D$2:$AG$2,0)),Inputs!$B$4:$B$150,$B35)/1000)</f>
        <v>1745.386</v>
      </c>
      <c r="AA35" s="11">
        <f>IF(AA$3=0,"",SUMIFS(INDEX(Inputs!$D$4:$AG$150,0,MATCH(AA$2,Inputs!$D$2:$AG$2,0)),Inputs!$B$4:$B$150,$B35)/1000)</f>
        <v>1740.2</v>
      </c>
      <c r="AB35" s="12">
        <f>IF(AA35="","",AA35)</f>
        <v>1740.2</v>
      </c>
      <c r="AC35" s="11">
        <f>IF(AC$3=0,"",SUMIFS(INDEX(Inputs!$D$4:$AG$150,0,MATCH(AC$2,Inputs!$D$2:$AG$2,0)),Inputs!$B$4:$B$150,$B35)/1000)</f>
        <v>1983.616</v>
      </c>
      <c r="AD35" s="11">
        <f>IF(AD$3=0,"",SUMIFS(INDEX(Inputs!$D$4:$AG$150,0,MATCH(AD$2,Inputs!$D$2:$AG$2,0)),Inputs!$B$4:$B$150,$B35)/1000)</f>
        <v>1983.919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0</v>
      </c>
      <c r="J38" s="11">
        <f>IF(J$3=0,"",SUMIFS(INDEX(Inputs!$D$4:$AG$150,0,MATCH(J$2,Inputs!$D$2:$AG$2,0)),Inputs!$B$4:$B$150,$B38)/1000)</f>
        <v>0</v>
      </c>
      <c r="K38" s="11">
        <f>IF(K$3=0,"",SUMIFS(INDEX(Inputs!$D$4:$AG$150,0,MATCH(K$2,Inputs!$D$2:$AG$2,0)),Inputs!$B$4:$B$150,$B38)/1000)</f>
        <v>0</v>
      </c>
      <c r="L38" s="11">
        <f>IF(L$3=0,"",SUMIFS(INDEX(Inputs!$D$4:$AG$150,0,MATCH(L$2,Inputs!$D$2:$AG$2,0)),Inputs!$B$4:$B$150,$B38)/1000)</f>
        <v>0</v>
      </c>
      <c r="M38" s="12">
        <f>IF(L38="","",L38)</f>
        <v>0</v>
      </c>
      <c r="N38" s="11">
        <f>IF(N$3=0,"",SUMIFS(INDEX(Inputs!$D$4:$AG$150,0,MATCH(N$2,Inputs!$D$2:$AG$2,0)),Inputs!$B$4:$B$150,$B38)/1000)</f>
        <v>0</v>
      </c>
      <c r="O38" s="11">
        <f>IF(O$3=0,"",SUMIFS(INDEX(Inputs!$D$4:$AG$150,0,MATCH(O$2,Inputs!$D$2:$AG$2,0)),Inputs!$B$4:$B$150,$B38)/1000)</f>
        <v>0</v>
      </c>
      <c r="P38" s="11">
        <f>IF(P$3=0,"",SUMIFS(INDEX(Inputs!$D$4:$AG$150,0,MATCH(P$2,Inputs!$D$2:$AG$2,0)),Inputs!$B$4:$B$150,$B38)/1000)</f>
        <v>0</v>
      </c>
      <c r="Q38" s="11">
        <f>IF(Q$3=0,"",SUMIFS(INDEX(Inputs!$D$4:$AG$150,0,MATCH(Q$2,Inputs!$D$2:$AG$2,0)),Inputs!$B$4:$B$150,$B38)/1000)</f>
        <v>0</v>
      </c>
      <c r="R38" s="12">
        <f>IF(Q38="","",Q38)</f>
        <v>0</v>
      </c>
      <c r="S38" s="11">
        <f>IF(S$3=0,"",SUMIFS(INDEX(Inputs!$D$4:$AG$150,0,MATCH(S$2,Inputs!$D$2:$AG$2,0)),Inputs!$B$4:$B$150,$B38)/1000)</f>
        <v>0</v>
      </c>
      <c r="T38" s="11">
        <f>IF(T$3=0,"",SUMIFS(INDEX(Inputs!$D$4:$AG$150,0,MATCH(T$2,Inputs!$D$2:$AG$2,0)),Inputs!$B$4:$B$150,$B38)/1000)</f>
        <v>0</v>
      </c>
      <c r="U38" s="11">
        <f>IF(U$3=0,"",SUMIFS(INDEX(Inputs!$D$4:$AG$150,0,MATCH(U$2,Inputs!$D$2:$AG$2,0)),Inputs!$B$4:$B$150,$B38)/1000)</f>
        <v>0</v>
      </c>
      <c r="V38" s="11">
        <f>IF(V$3=0,"",SUMIFS(INDEX(Inputs!$D$4:$AG$150,0,MATCH(V$2,Inputs!$D$2:$AG$2,0)),Inputs!$B$4:$B$150,$B38)/1000)</f>
        <v>0</v>
      </c>
      <c r="W38" s="12">
        <f>IF(V38="","",V38)</f>
        <v>0</v>
      </c>
      <c r="X38" s="11">
        <f>IF(X$3=0,"",SUMIFS(INDEX(Inputs!$D$4:$AG$150,0,MATCH(X$2,Inputs!$D$2:$AG$2,0)),Inputs!$B$4:$B$150,$B38)/1000)</f>
        <v>0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5838.77</v>
      </c>
      <c r="E39" s="11">
        <f>IF(E$3=0,"",SUMIFS(INDEX(Inputs!$D$4:$AG$150,0,MATCH(E$2,Inputs!$D$2:$AG$2,0)),Inputs!$B$4:$B$150,$B39)/1000)</f>
        <v>5817.107</v>
      </c>
      <c r="F39" s="11">
        <f>IF(F$3=0,"",SUMIFS(INDEX(Inputs!$D$4:$AG$150,0,MATCH(F$2,Inputs!$D$2:$AG$2,0)),Inputs!$B$4:$B$150,$B39)/1000)</f>
        <v>5900.263</v>
      </c>
      <c r="G39" s="11">
        <f>IF(G$3=0,"",SUMIFS(INDEX(Inputs!$D$4:$AG$150,0,MATCH(G$2,Inputs!$D$2:$AG$2,0)),Inputs!$B$4:$B$150,$B39)/1000)</f>
        <v>5849.183</v>
      </c>
      <c r="H39" s="12">
        <f>IF(G39="","",G39)</f>
        <v>5849.183</v>
      </c>
      <c r="I39" s="11">
        <f>IF(I$3=0,"",SUMIFS(INDEX(Inputs!$D$4:$AG$150,0,MATCH(I$2,Inputs!$D$2:$AG$2,0)),Inputs!$B$4:$B$150,$B39)/1000)</f>
        <v>5736.215</v>
      </c>
      <c r="J39" s="11">
        <f>IF(J$3=0,"",SUMIFS(INDEX(Inputs!$D$4:$AG$150,0,MATCH(J$2,Inputs!$D$2:$AG$2,0)),Inputs!$B$4:$B$150,$B39)/1000)</f>
        <v>5613.354</v>
      </c>
      <c r="K39" s="11">
        <f>IF(K$3=0,"",SUMIFS(INDEX(Inputs!$D$4:$AG$150,0,MATCH(K$2,Inputs!$D$2:$AG$2,0)),Inputs!$B$4:$B$150,$B39)/1000)</f>
        <v>6134.599</v>
      </c>
      <c r="L39" s="11">
        <f>IF(L$3=0,"",SUMIFS(INDEX(Inputs!$D$4:$AG$150,0,MATCH(L$2,Inputs!$D$2:$AG$2,0)),Inputs!$B$4:$B$150,$B39)/1000)</f>
        <v>6370.739</v>
      </c>
      <c r="M39" s="12">
        <f>IF(L39="","",L39)</f>
        <v>6370.739</v>
      </c>
      <c r="N39" s="11">
        <f>IF(N$3=0,"",SUMIFS(INDEX(Inputs!$D$4:$AG$150,0,MATCH(N$2,Inputs!$D$2:$AG$2,0)),Inputs!$B$4:$B$150,$B39)/1000)</f>
        <v>6169.597</v>
      </c>
      <c r="O39" s="11">
        <f>IF(O$3=0,"",SUMIFS(INDEX(Inputs!$D$4:$AG$150,0,MATCH(O$2,Inputs!$D$2:$AG$2,0)),Inputs!$B$4:$B$150,$B39)/1000)</f>
        <v>5640.994</v>
      </c>
      <c r="P39" s="11">
        <f>IF(P$3=0,"",SUMIFS(INDEX(Inputs!$D$4:$AG$150,0,MATCH(P$2,Inputs!$D$2:$AG$2,0)),Inputs!$B$4:$B$150,$B39)/1000)</f>
        <v>6697.665</v>
      </c>
      <c r="Q39" s="11">
        <f>IF(Q$3=0,"",SUMIFS(INDEX(Inputs!$D$4:$AG$150,0,MATCH(Q$2,Inputs!$D$2:$AG$2,0)),Inputs!$B$4:$B$150,$B39)/1000)</f>
        <v>6769.834</v>
      </c>
      <c r="R39" s="12">
        <f>IF(Q39="","",Q39)</f>
        <v>6769.834</v>
      </c>
      <c r="S39" s="11">
        <f>IF(S$3=0,"",SUMIFS(INDEX(Inputs!$D$4:$AG$150,0,MATCH(S$2,Inputs!$D$2:$AG$2,0)),Inputs!$B$4:$B$150,$B39)/1000)</f>
        <v>6606.363</v>
      </c>
      <c r="T39" s="11">
        <f>IF(T$3=0,"",SUMIFS(INDEX(Inputs!$D$4:$AG$150,0,MATCH(T$2,Inputs!$D$2:$AG$2,0)),Inputs!$B$4:$B$150,$B39)/1000)</f>
        <v>6402.027</v>
      </c>
      <c r="U39" s="11">
        <f>IF(U$3=0,"",SUMIFS(INDEX(Inputs!$D$4:$AG$150,0,MATCH(U$2,Inputs!$D$2:$AG$2,0)),Inputs!$B$4:$B$150,$B39)/1000)</f>
        <v>6710.512</v>
      </c>
      <c r="V39" s="11">
        <f>IF(V$3=0,"",SUMIFS(INDEX(Inputs!$D$4:$AG$150,0,MATCH(V$2,Inputs!$D$2:$AG$2,0)),Inputs!$B$4:$B$150,$B39)/1000)</f>
        <v>6799.92</v>
      </c>
      <c r="W39" s="12">
        <f>IF(V39="","",V39)</f>
        <v>6799.92</v>
      </c>
      <c r="X39" s="11">
        <f>IF(X$3=0,"",SUMIFS(INDEX(Inputs!$D$4:$AG$150,0,MATCH(X$2,Inputs!$D$2:$AG$2,0)),Inputs!$B$4:$B$150,$B39)/1000)</f>
        <v>6688.255</v>
      </c>
      <c r="Y39" s="11">
        <f>IF(Y$3=0,"",SUMIFS(INDEX(Inputs!$D$4:$AG$150,0,MATCH(Y$2,Inputs!$D$2:$AG$2,0)),Inputs!$B$4:$B$150,$B39)/1000)</f>
        <v>6518.431</v>
      </c>
      <c r="Z39" s="11">
        <f>IF(Z$3=0,"",SUMIFS(INDEX(Inputs!$D$4:$AG$150,0,MATCH(Z$2,Inputs!$D$2:$AG$2,0)),Inputs!$B$4:$B$150,$B39)/1000)</f>
        <v>6859.408</v>
      </c>
      <c r="AA39" s="11">
        <f>IF(AA$3=0,"",SUMIFS(INDEX(Inputs!$D$4:$AG$150,0,MATCH(AA$2,Inputs!$D$2:$AG$2,0)),Inputs!$B$4:$B$150,$B39)/1000)</f>
        <v>6894.773</v>
      </c>
      <c r="AB39" s="12">
        <f>IF(AA39="","",AA39)</f>
        <v>6894.773</v>
      </c>
      <c r="AC39" s="11">
        <f>IF(AC$3=0,"",SUMIFS(INDEX(Inputs!$D$4:$AG$150,0,MATCH(AC$2,Inputs!$D$2:$AG$2,0)),Inputs!$B$4:$B$150,$B39)/1000)</f>
        <v>6868.091</v>
      </c>
      <c r="AD39" s="11">
        <f>IF(AD$3=0,"",SUMIFS(INDEX(Inputs!$D$4:$AG$150,0,MATCH(AD$2,Inputs!$D$2:$AG$2,0)),Inputs!$B$4:$B$150,$B39)/1000)</f>
        <v>6855.977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8.545</v>
      </c>
      <c r="E41" s="11">
        <f>IF(E$3=0,"",SUMIFS(INDEX(Inputs!$D$4:$AG$150,0,MATCH(E$2,Inputs!$D$2:$AG$2,0)),Inputs!$B$4:$B$150,$B41)/1000)</f>
        <v>8.565</v>
      </c>
      <c r="F41" s="11">
        <f>IF(F$3=0,"",SUMIFS(INDEX(Inputs!$D$4:$AG$150,0,MATCH(F$2,Inputs!$D$2:$AG$2,0)),Inputs!$B$4:$B$150,$B41)/1000)</f>
        <v>8.465</v>
      </c>
      <c r="G41" s="11">
        <f>IF(G$3=0,"",SUMIFS(INDEX(Inputs!$D$4:$AG$150,0,MATCH(G$2,Inputs!$D$2:$AG$2,0)),Inputs!$B$4:$B$150,$B41)/1000)</f>
        <v>7.606</v>
      </c>
      <c r="H41" s="12">
        <f>IF(G41="","",G41)</f>
        <v>7.606</v>
      </c>
      <c r="I41" s="11">
        <f>IF(I$3=0,"",SUMIFS(INDEX(Inputs!$D$4:$AG$150,0,MATCH(I$2,Inputs!$D$2:$AG$2,0)),Inputs!$B$4:$B$150,$B41)/1000)</f>
        <v>6.903</v>
      </c>
      <c r="J41" s="11">
        <f>IF(J$3=0,"",SUMIFS(INDEX(Inputs!$D$4:$AG$150,0,MATCH(J$2,Inputs!$D$2:$AG$2,0)),Inputs!$B$4:$B$150,$B41)/1000)</f>
        <v>6.279</v>
      </c>
      <c r="K41" s="11">
        <f>IF(K$3=0,"",SUMIFS(INDEX(Inputs!$D$4:$AG$150,0,MATCH(K$2,Inputs!$D$2:$AG$2,0)),Inputs!$B$4:$B$150,$B41)/1000)</f>
        <v>5.645</v>
      </c>
      <c r="L41" s="11">
        <f>IF(L$3=0,"",SUMIFS(INDEX(Inputs!$D$4:$AG$150,0,MATCH(L$2,Inputs!$D$2:$AG$2,0)),Inputs!$B$4:$B$150,$B41)/1000)</f>
        <v>5.938</v>
      </c>
      <c r="M41" s="12">
        <f>IF(L41="","",L41)</f>
        <v>5.938</v>
      </c>
      <c r="N41" s="11">
        <f>IF(N$3=0,"",SUMIFS(INDEX(Inputs!$D$4:$AG$150,0,MATCH(N$2,Inputs!$D$2:$AG$2,0)),Inputs!$B$4:$B$150,$B41)/1000)</f>
        <v>5.092</v>
      </c>
      <c r="O41" s="11">
        <f>IF(O$3=0,"",SUMIFS(INDEX(Inputs!$D$4:$AG$150,0,MATCH(O$2,Inputs!$D$2:$AG$2,0)),Inputs!$B$4:$B$150,$B41)/1000)</f>
        <v>4.92</v>
      </c>
      <c r="P41" s="11">
        <f>IF(P$3=0,"",SUMIFS(INDEX(Inputs!$D$4:$AG$150,0,MATCH(P$2,Inputs!$D$2:$AG$2,0)),Inputs!$B$4:$B$150,$B41)/1000)</f>
        <v>4.611</v>
      </c>
      <c r="Q41" s="11">
        <f>IF(Q$3=0,"",SUMIFS(INDEX(Inputs!$D$4:$AG$150,0,MATCH(Q$2,Inputs!$D$2:$AG$2,0)),Inputs!$B$4:$B$150,$B41)/1000)</f>
        <v>5.926</v>
      </c>
      <c r="R41" s="12">
        <f>IF(Q41="","",Q41)</f>
        <v>5.926</v>
      </c>
      <c r="S41" s="11">
        <f>IF(S$3=0,"",SUMIFS(INDEX(Inputs!$D$4:$AG$150,0,MATCH(S$2,Inputs!$D$2:$AG$2,0)),Inputs!$B$4:$B$150,$B41)/1000)</f>
        <v>5.78</v>
      </c>
      <c r="T41" s="11">
        <f>IF(T$3=0,"",SUMIFS(INDEX(Inputs!$D$4:$AG$150,0,MATCH(T$2,Inputs!$D$2:$AG$2,0)),Inputs!$B$4:$B$150,$B41)/1000)</f>
        <v>5.692</v>
      </c>
      <c r="U41" s="11">
        <f>IF(U$3=0,"",SUMIFS(INDEX(Inputs!$D$4:$AG$150,0,MATCH(U$2,Inputs!$D$2:$AG$2,0)),Inputs!$B$4:$B$150,$B41)/1000)</f>
        <v>6.533</v>
      </c>
      <c r="V41" s="11">
        <f>IF(V$3=0,"",SUMIFS(INDEX(Inputs!$D$4:$AG$150,0,MATCH(V$2,Inputs!$D$2:$AG$2,0)),Inputs!$B$4:$B$150,$B41)/1000)</f>
        <v>5.969</v>
      </c>
      <c r="W41" s="12">
        <f>IF(V41="","",V41)</f>
        <v>5.969</v>
      </c>
      <c r="X41" s="11">
        <f>IF(X$3=0,"",SUMIFS(INDEX(Inputs!$D$4:$AG$150,0,MATCH(X$2,Inputs!$D$2:$AG$2,0)),Inputs!$B$4:$B$150,$B41)/1000)</f>
        <v>5.205</v>
      </c>
      <c r="Y41" s="11">
        <f>IF(Y$3=0,"",SUMIFS(INDEX(Inputs!$D$4:$AG$150,0,MATCH(Y$2,Inputs!$D$2:$AG$2,0)),Inputs!$B$4:$B$150,$B41)/1000)</f>
        <v>3.436</v>
      </c>
      <c r="Z41" s="11">
        <f>IF(Z$3=0,"",SUMIFS(INDEX(Inputs!$D$4:$AG$150,0,MATCH(Z$2,Inputs!$D$2:$AG$2,0)),Inputs!$B$4:$B$150,$B41)/1000)</f>
        <v>3.479</v>
      </c>
      <c r="AA41" s="11">
        <f>IF(AA$3=0,"",SUMIFS(INDEX(Inputs!$D$4:$AG$150,0,MATCH(AA$2,Inputs!$D$2:$AG$2,0)),Inputs!$B$4:$B$150,$B41)/1000)</f>
        <v>3.477</v>
      </c>
      <c r="AB41" s="12">
        <f>IF(AA41="","",AA41)</f>
        <v>3.477</v>
      </c>
      <c r="AC41" s="11">
        <f>IF(AC$3=0,"",SUMIFS(INDEX(Inputs!$D$4:$AG$150,0,MATCH(AC$2,Inputs!$D$2:$AG$2,0)),Inputs!$B$4:$B$150,$B41)/1000)</f>
        <v>3.349</v>
      </c>
      <c r="AD41" s="11">
        <f>IF(AD$3=0,"",SUMIFS(INDEX(Inputs!$D$4:$AG$150,0,MATCH(AD$2,Inputs!$D$2:$AG$2,0)),Inputs!$B$4:$B$150,$B41)/1000)</f>
        <v>3.462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0</v>
      </c>
      <c r="E43" s="11">
        <f>IF(E$3=0,"",SUMIFS(INDEX(Inputs!$D$4:$AG$150,0,MATCH(E$2,Inputs!$D$2:$AG$2,0)),Inputs!$B$4:$B$150,$B43)/1000)</f>
        <v>0</v>
      </c>
      <c r="F43" s="11">
        <f>IF(F$3=0,"",SUMIFS(INDEX(Inputs!$D$4:$AG$150,0,MATCH(F$2,Inputs!$D$2:$AG$2,0)),Inputs!$B$4:$B$150,$B43)/1000)</f>
        <v>0</v>
      </c>
      <c r="G43" s="11">
        <f>IF(G$3=0,"",SUMIFS(INDEX(Inputs!$D$4:$AG$150,0,MATCH(G$2,Inputs!$D$2:$AG$2,0)),Inputs!$B$4:$B$150,$B43)/1000)</f>
        <v>0</v>
      </c>
      <c r="H43" s="12">
        <f>IF(G43="","",G43)</f>
        <v>0</v>
      </c>
      <c r="I43" s="11">
        <f>IF(I$3=0,"",SUMIFS(INDEX(Inputs!$D$4:$AG$150,0,MATCH(I$2,Inputs!$D$2:$AG$2,0)),Inputs!$B$4:$B$150,$B43)/1000)</f>
        <v>0</v>
      </c>
      <c r="J43" s="11">
        <f>IF(J$3=0,"",SUMIFS(INDEX(Inputs!$D$4:$AG$150,0,MATCH(J$2,Inputs!$D$2:$AG$2,0)),Inputs!$B$4:$B$150,$B43)/1000)</f>
        <v>0</v>
      </c>
      <c r="K43" s="11">
        <f>IF(K$3=0,"",SUMIFS(INDEX(Inputs!$D$4:$AG$150,0,MATCH(K$2,Inputs!$D$2:$AG$2,0)),Inputs!$B$4:$B$150,$B43)/1000)</f>
        <v>0</v>
      </c>
      <c r="L43" s="11">
        <f>IF(L$3=0,"",SUMIFS(INDEX(Inputs!$D$4:$AG$150,0,MATCH(L$2,Inputs!$D$2:$AG$2,0)),Inputs!$B$4:$B$150,$B43)/1000)</f>
        <v>0</v>
      </c>
      <c r="M43" s="12">
        <f>IF(L43="","",L43)</f>
        <v>0</v>
      </c>
      <c r="N43" s="11">
        <f>IF(N$3=0,"",SUMIFS(INDEX(Inputs!$D$4:$AG$150,0,MATCH(N$2,Inputs!$D$2:$AG$2,0)),Inputs!$B$4:$B$150,$B43)/1000)</f>
        <v>0</v>
      </c>
      <c r="O43" s="11">
        <f>IF(O$3=0,"",SUMIFS(INDEX(Inputs!$D$4:$AG$150,0,MATCH(O$2,Inputs!$D$2:$AG$2,0)),Inputs!$B$4:$B$150,$B43)/1000)</f>
        <v>0</v>
      </c>
      <c r="P43" s="11">
        <f>IF(P$3=0,"",SUMIFS(INDEX(Inputs!$D$4:$AG$150,0,MATCH(P$2,Inputs!$D$2:$AG$2,0)),Inputs!$B$4:$B$150,$B43)/1000)</f>
        <v>0</v>
      </c>
      <c r="Q43" s="11">
        <f>IF(Q$3=0,"",SUMIFS(INDEX(Inputs!$D$4:$AG$150,0,MATCH(Q$2,Inputs!$D$2:$AG$2,0)),Inputs!$B$4:$B$150,$B43)/1000)</f>
        <v>0</v>
      </c>
      <c r="R43" s="12">
        <f>IF(Q43="","",Q43)</f>
        <v>0</v>
      </c>
      <c r="S43" s="11">
        <f>IF(S$3=0,"",SUMIFS(INDEX(Inputs!$D$4:$AG$150,0,MATCH(S$2,Inputs!$D$2:$AG$2,0)),Inputs!$B$4:$B$150,$B43)/1000)</f>
        <v>0</v>
      </c>
      <c r="T43" s="11">
        <f>IF(T$3=0,"",SUMIFS(INDEX(Inputs!$D$4:$AG$150,0,MATCH(T$2,Inputs!$D$2:$AG$2,0)),Inputs!$B$4:$B$150,$B43)/1000)</f>
        <v>0</v>
      </c>
      <c r="U43" s="11">
        <f>IF(U$3=0,"",SUMIFS(INDEX(Inputs!$D$4:$AG$150,0,MATCH(U$2,Inputs!$D$2:$AG$2,0)),Inputs!$B$4:$B$150,$B43)/1000)</f>
        <v>0</v>
      </c>
      <c r="V43" s="11">
        <f>IF(V$3=0,"",SUMIFS(INDEX(Inputs!$D$4:$AG$150,0,MATCH(V$2,Inputs!$D$2:$AG$2,0)),Inputs!$B$4:$B$150,$B43)/1000)</f>
        <v>0</v>
      </c>
      <c r="W43" s="12">
        <f>IF(V43="","",V43)</f>
        <v>0</v>
      </c>
      <c r="X43" s="11">
        <f>IF(X$3=0,"",SUMIFS(INDEX(Inputs!$D$4:$AG$150,0,MATCH(X$2,Inputs!$D$2:$AG$2,0)),Inputs!$B$4:$B$150,$B43)/1000)</f>
        <v>0</v>
      </c>
      <c r="Y43" s="11">
        <f>IF(Y$3=0,"",SUMIFS(INDEX(Inputs!$D$4:$AG$150,0,MATCH(Y$2,Inputs!$D$2:$AG$2,0)),Inputs!$B$4:$B$150,$B43)/1000)</f>
        <v>0</v>
      </c>
      <c r="Z43" s="11">
        <f>IF(Z$3=0,"",SUMIFS(INDEX(Inputs!$D$4:$AG$150,0,MATCH(Z$2,Inputs!$D$2:$AG$2,0)),Inputs!$B$4:$B$150,$B43)/1000)</f>
        <v>0</v>
      </c>
      <c r="AA43" s="11">
        <f>IF(AA$3=0,"",SUMIFS(INDEX(Inputs!$D$4:$AG$150,0,MATCH(AA$2,Inputs!$D$2:$AG$2,0)),Inputs!$B$4:$B$150,$B43)/1000)</f>
        <v>0</v>
      </c>
      <c r="AB43" s="12">
        <f>IF(AA43="","",AA43)</f>
        <v>0</v>
      </c>
      <c r="AC43" s="11">
        <f>IF(AC$3=0,"",SUMIFS(INDEX(Inputs!$D$4:$AG$150,0,MATCH(AC$2,Inputs!$D$2:$AG$2,0)),Inputs!$B$4:$B$150,$B43)/1000)</f>
        <v>0</v>
      </c>
      <c r="AD43" s="11">
        <f>IF(AD$3=0,"",SUMIFS(INDEX(Inputs!$D$4:$AG$150,0,MATCH(AD$2,Inputs!$D$2:$AG$2,0)),Inputs!$B$4:$B$150,$B43)/1000)</f>
        <v>0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-222.458</v>
      </c>
      <c r="E45" s="11">
        <f>IF(E$3=0,"",SUMIFS(INDEX(Inputs!$D$4:$AG$150,0,MATCH(E$2,Inputs!$D$2:$AG$2,0)),Inputs!$B$4:$B$150,$B45)/1000)</f>
        <v>-215.343</v>
      </c>
      <c r="F45" s="11">
        <f>IF(F$3=0,"",SUMIFS(INDEX(Inputs!$D$4:$AG$150,0,MATCH(F$2,Inputs!$D$2:$AG$2,0)),Inputs!$B$4:$B$150,$B45)/1000)</f>
        <v>-216.391</v>
      </c>
      <c r="G45" s="11">
        <f>IF(G$3=0,"",SUMIFS(INDEX(Inputs!$D$4:$AG$150,0,MATCH(G$2,Inputs!$D$2:$AG$2,0)),Inputs!$B$4:$B$150,$B45)/1000)</f>
        <v>-231.809</v>
      </c>
      <c r="H45" s="12">
        <f>IF(G45="","",G45)</f>
        <v>-231.809</v>
      </c>
      <c r="I45" s="11">
        <f>IF(I$3=0,"",SUMIFS(INDEX(Inputs!$D$4:$AG$150,0,MATCH(I$2,Inputs!$D$2:$AG$2,0)),Inputs!$B$4:$B$150,$B45)/1000)</f>
        <v>-221.855</v>
      </c>
      <c r="J45" s="11">
        <f>IF(J$3=0,"",SUMIFS(INDEX(Inputs!$D$4:$AG$150,0,MATCH(J$2,Inputs!$D$2:$AG$2,0)),Inputs!$B$4:$B$150,$B45)/1000)</f>
        <v>-240.076</v>
      </c>
      <c r="K45" s="11">
        <f>IF(K$3=0,"",SUMIFS(INDEX(Inputs!$D$4:$AG$150,0,MATCH(K$2,Inputs!$D$2:$AG$2,0)),Inputs!$B$4:$B$150,$B45)/1000)</f>
        <v>-255.335</v>
      </c>
      <c r="L45" s="11">
        <f>IF(L$3=0,"",SUMIFS(INDEX(Inputs!$D$4:$AG$150,0,MATCH(L$2,Inputs!$D$2:$AG$2,0)),Inputs!$B$4:$B$150,$B45)/1000)</f>
        <v>-268.953</v>
      </c>
      <c r="M45" s="12">
        <f>IF(L45="","",L45)</f>
        <v>-268.953</v>
      </c>
      <c r="N45" s="11">
        <f>IF(N$3=0,"",SUMIFS(INDEX(Inputs!$D$4:$AG$150,0,MATCH(N$2,Inputs!$D$2:$AG$2,0)),Inputs!$B$4:$B$150,$B45)/1000)</f>
        <v>-257.163</v>
      </c>
      <c r="O45" s="11">
        <f>IF(O$3=0,"",SUMIFS(INDEX(Inputs!$D$4:$AG$150,0,MATCH(O$2,Inputs!$D$2:$AG$2,0)),Inputs!$B$4:$B$150,$B45)/1000)</f>
        <v>-260.271</v>
      </c>
      <c r="P45" s="11">
        <f>IF(P$3=0,"",SUMIFS(INDEX(Inputs!$D$4:$AG$150,0,MATCH(P$2,Inputs!$D$2:$AG$2,0)),Inputs!$B$4:$B$150,$B45)/1000)</f>
        <v>-265.395</v>
      </c>
      <c r="Q45" s="11">
        <f>IF(Q$3=0,"",SUMIFS(INDEX(Inputs!$D$4:$AG$150,0,MATCH(Q$2,Inputs!$D$2:$AG$2,0)),Inputs!$B$4:$B$150,$B45)/1000)</f>
        <v>-272.697</v>
      </c>
      <c r="R45" s="12">
        <f>IF(Q45="","",Q45)</f>
        <v>-272.697</v>
      </c>
      <c r="S45" s="11">
        <f>IF(S$3=0,"",SUMIFS(INDEX(Inputs!$D$4:$AG$150,0,MATCH(S$2,Inputs!$D$2:$AG$2,0)),Inputs!$B$4:$B$150,$B45)/1000)</f>
        <v>-267.269</v>
      </c>
      <c r="T45" s="11">
        <f>IF(T$3=0,"",SUMIFS(INDEX(Inputs!$D$4:$AG$150,0,MATCH(T$2,Inputs!$D$2:$AG$2,0)),Inputs!$B$4:$B$150,$B45)/1000)</f>
        <v>-270.861</v>
      </c>
      <c r="U45" s="11">
        <f>IF(U$3=0,"",SUMIFS(INDEX(Inputs!$D$4:$AG$150,0,MATCH(U$2,Inputs!$D$2:$AG$2,0)),Inputs!$B$4:$B$150,$B45)/1000)</f>
        <v>-296.542</v>
      </c>
      <c r="V45" s="11">
        <f>IF(V$3=0,"",SUMIFS(INDEX(Inputs!$D$4:$AG$150,0,MATCH(V$2,Inputs!$D$2:$AG$2,0)),Inputs!$B$4:$B$150,$B45)/1000)</f>
        <v>-304.802</v>
      </c>
      <c r="W45" s="12">
        <f>IF(V45="","",V45)</f>
        <v>-304.802</v>
      </c>
      <c r="X45" s="11">
        <f>IF(X$3=0,"",SUMIFS(INDEX(Inputs!$D$4:$AG$150,0,MATCH(X$2,Inputs!$D$2:$AG$2,0)),Inputs!$B$4:$B$150,$B45)/1000)</f>
        <v>-302.352</v>
      </c>
      <c r="Y45" s="11">
        <f>IF(Y$3=0,"",SUMIFS(INDEX(Inputs!$D$4:$AG$150,0,MATCH(Y$2,Inputs!$D$2:$AG$2,0)),Inputs!$B$4:$B$150,$B45)/1000)</f>
        <v>-303.363</v>
      </c>
      <c r="Z45" s="11">
        <f>IF(Z$3=0,"",SUMIFS(INDEX(Inputs!$D$4:$AG$150,0,MATCH(Z$2,Inputs!$D$2:$AG$2,0)),Inputs!$B$4:$B$150,$B45)/1000)</f>
        <v>-306.372</v>
      </c>
      <c r="AA45" s="11">
        <f>IF(AA$3=0,"",SUMIFS(INDEX(Inputs!$D$4:$AG$150,0,MATCH(AA$2,Inputs!$D$2:$AG$2,0)),Inputs!$B$4:$B$150,$B45)/1000)</f>
        <v>-290.357</v>
      </c>
      <c r="AB45" s="12">
        <f>IF(AA45="","",AA45)</f>
        <v>-290.357</v>
      </c>
      <c r="AC45" s="11">
        <f>IF(AC$3=0,"",SUMIFS(INDEX(Inputs!$D$4:$AG$150,0,MATCH(AC$2,Inputs!$D$2:$AG$2,0)),Inputs!$B$4:$B$150,$B45)/1000)</f>
        <v>-274.638</v>
      </c>
      <c r="AD45" s="11">
        <f>IF(AD$3=0,"",SUMIFS(INDEX(Inputs!$D$4:$AG$150,0,MATCH(AD$2,Inputs!$D$2:$AG$2,0)),Inputs!$B$4:$B$150,$B45)/1000)</f>
        <v>-272.639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2264.038</v>
      </c>
      <c r="E46" s="11">
        <f>IF(E$3=0,"",SUMIFS(INDEX(Inputs!$D$4:$AG$150,0,MATCH(E$2,Inputs!$D$2:$AG$2,0)),Inputs!$B$4:$B$150,$B46)/1000)</f>
        <v>2264.038</v>
      </c>
      <c r="F46" s="11">
        <f>IF(F$3=0,"",SUMIFS(INDEX(Inputs!$D$4:$AG$150,0,MATCH(F$2,Inputs!$D$2:$AG$2,0)),Inputs!$B$4:$B$150,$B46)/1000)</f>
        <v>2264.038</v>
      </c>
      <c r="G46" s="11">
        <f>IF(G$3=0,"",SUMIFS(INDEX(Inputs!$D$4:$AG$150,0,MATCH(G$2,Inputs!$D$2:$AG$2,0)),Inputs!$B$4:$B$150,$B46)/1000)</f>
        <v>2264.038</v>
      </c>
      <c r="H46" s="12">
        <f>IF(G46="","",G46)</f>
        <v>2264.038</v>
      </c>
      <c r="I46" s="11">
        <f>IF(I$3=0,"",SUMIFS(INDEX(Inputs!$D$4:$AG$150,0,MATCH(I$2,Inputs!$D$2:$AG$2,0)),Inputs!$B$4:$B$150,$B46)/1000)</f>
        <v>2264.038</v>
      </c>
      <c r="J46" s="11">
        <f>IF(J$3=0,"",SUMIFS(INDEX(Inputs!$D$4:$AG$150,0,MATCH(J$2,Inputs!$D$2:$AG$2,0)),Inputs!$B$4:$B$150,$B46)/1000)</f>
        <v>2264.038</v>
      </c>
      <c r="K46" s="11">
        <f>IF(K$3=0,"",SUMIFS(INDEX(Inputs!$D$4:$AG$150,0,MATCH(K$2,Inputs!$D$2:$AG$2,0)),Inputs!$B$4:$B$150,$B46)/1000)</f>
        <v>2264.038</v>
      </c>
      <c r="L46" s="11">
        <f>IF(L$3=0,"",SUMIFS(INDEX(Inputs!$D$4:$AG$150,0,MATCH(L$2,Inputs!$D$2:$AG$2,0)),Inputs!$B$4:$B$150,$B46)/1000)</f>
        <v>2264.038</v>
      </c>
      <c r="M46" s="12">
        <f>IF(L46="","",L46)</f>
        <v>2264.038</v>
      </c>
      <c r="N46" s="11">
        <f>IF(N$3=0,"",SUMIFS(INDEX(Inputs!$D$4:$AG$150,0,MATCH(N$2,Inputs!$D$2:$AG$2,0)),Inputs!$B$4:$B$150,$B46)/1000)</f>
        <v>2264.038</v>
      </c>
      <c r="O46" s="11">
        <f>IF(O$3=0,"",SUMIFS(INDEX(Inputs!$D$4:$AG$150,0,MATCH(O$2,Inputs!$D$2:$AG$2,0)),Inputs!$B$4:$B$150,$B46)/1000)</f>
        <v>2264.038</v>
      </c>
      <c r="P46" s="11">
        <f>IF(P$3=0,"",SUMIFS(INDEX(Inputs!$D$4:$AG$150,0,MATCH(P$2,Inputs!$D$2:$AG$2,0)),Inputs!$B$4:$B$150,$B46)/1000)</f>
        <v>2264.038</v>
      </c>
      <c r="Q46" s="11">
        <f>IF(Q$3=0,"",SUMIFS(INDEX(Inputs!$D$4:$AG$150,0,MATCH(Q$2,Inputs!$D$2:$AG$2,0)),Inputs!$B$4:$B$150,$B46)/1000)</f>
        <v>2264.038</v>
      </c>
      <c r="R46" s="12">
        <f>IF(Q46="","",Q46)</f>
        <v>2264.038</v>
      </c>
      <c r="S46" s="11">
        <f>IF(S$3=0,"",SUMIFS(INDEX(Inputs!$D$4:$AG$150,0,MATCH(S$2,Inputs!$D$2:$AG$2,0)),Inputs!$B$4:$B$150,$B46)/1000)</f>
        <v>2264.038</v>
      </c>
      <c r="T46" s="11">
        <f>IF(T$3=0,"",SUMIFS(INDEX(Inputs!$D$4:$AG$150,0,MATCH(T$2,Inputs!$D$2:$AG$2,0)),Inputs!$B$4:$B$150,$B46)/1000)</f>
        <v>2264.038</v>
      </c>
      <c r="U46" s="11">
        <f>IF(U$3=0,"",SUMIFS(INDEX(Inputs!$D$4:$AG$150,0,MATCH(U$2,Inputs!$D$2:$AG$2,0)),Inputs!$B$4:$B$150,$B46)/1000)</f>
        <v>2264.038</v>
      </c>
      <c r="V46" s="11">
        <f>IF(V$3=0,"",SUMIFS(INDEX(Inputs!$D$4:$AG$150,0,MATCH(V$2,Inputs!$D$2:$AG$2,0)),Inputs!$B$4:$B$150,$B46)/1000)</f>
        <v>2264.038</v>
      </c>
      <c r="W46" s="12">
        <f>IF(V46="","",V46)</f>
        <v>2264.038</v>
      </c>
      <c r="X46" s="11">
        <f>IF(X$3=0,"",SUMIFS(INDEX(Inputs!$D$4:$AG$150,0,MATCH(X$2,Inputs!$D$2:$AG$2,0)),Inputs!$B$4:$B$150,$B46)/1000)</f>
        <v>2264.038</v>
      </c>
      <c r="Y46" s="11">
        <f>IF(Y$3=0,"",SUMIFS(INDEX(Inputs!$D$4:$AG$150,0,MATCH(Y$2,Inputs!$D$2:$AG$2,0)),Inputs!$B$4:$B$150,$B46)/1000)</f>
        <v>2264.038</v>
      </c>
      <c r="Z46" s="11">
        <f>IF(Z$3=0,"",SUMIFS(INDEX(Inputs!$D$4:$AG$150,0,MATCH(Z$2,Inputs!$D$2:$AG$2,0)),Inputs!$B$4:$B$150,$B46)/1000)</f>
        <v>2264.038</v>
      </c>
      <c r="AA46" s="11">
        <f>IF(AA$3=0,"",SUMIFS(INDEX(Inputs!$D$4:$AG$150,0,MATCH(AA$2,Inputs!$D$2:$AG$2,0)),Inputs!$B$4:$B$150,$B46)/1000)</f>
        <v>2264.038</v>
      </c>
      <c r="AB46" s="12">
        <f>IF(AA46="","",AA46)</f>
        <v>2264.038</v>
      </c>
      <c r="AC46" s="11">
        <f>IF(AC$3=0,"",SUMIFS(INDEX(Inputs!$D$4:$AG$150,0,MATCH(AC$2,Inputs!$D$2:$AG$2,0)),Inputs!$B$4:$B$150,$B46)/1000)</f>
        <v>2264.038</v>
      </c>
      <c r="AD46" s="11">
        <f>IF(AD$3=0,"",SUMIFS(INDEX(Inputs!$D$4:$AG$150,0,MATCH(AD$2,Inputs!$D$2:$AG$2,0)),Inputs!$B$4:$B$150,$B46)/1000)</f>
        <v>2264.038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1509.902</v>
      </c>
      <c r="E47" s="11">
        <f>IF(E$3=0,"",SUMIFS(INDEX(Inputs!$D$4:$AG$150,0,MATCH(E$2,Inputs!$D$2:$AG$2,0)),Inputs!$B$4:$B$150,$B47)/1000)</f>
        <v>1760.468</v>
      </c>
      <c r="F47" s="11">
        <f>IF(F$3=0,"",SUMIFS(INDEX(Inputs!$D$4:$AG$150,0,MATCH(F$2,Inputs!$D$2:$AG$2,0)),Inputs!$B$4:$B$150,$B47)/1000)</f>
        <v>1713.976</v>
      </c>
      <c r="G47" s="11">
        <f>IF(G$3=0,"",SUMIFS(INDEX(Inputs!$D$4:$AG$150,0,MATCH(G$2,Inputs!$D$2:$AG$2,0)),Inputs!$B$4:$B$150,$B47)/1000)</f>
        <v>2043.305</v>
      </c>
      <c r="H47" s="12">
        <f>IF(G47="","",G47)</f>
        <v>2043.305</v>
      </c>
      <c r="I47" s="11">
        <f>IF(I$3=0,"",SUMIFS(INDEX(Inputs!$D$4:$AG$150,0,MATCH(I$2,Inputs!$D$2:$AG$2,0)),Inputs!$B$4:$B$150,$B47)/1000)</f>
        <v>2196.428</v>
      </c>
      <c r="J47" s="11">
        <f>IF(J$3=0,"",SUMIFS(INDEX(Inputs!$D$4:$AG$150,0,MATCH(J$2,Inputs!$D$2:$AG$2,0)),Inputs!$B$4:$B$150,$B47)/1000)</f>
        <v>2710.344</v>
      </c>
      <c r="K47" s="11">
        <f>IF(K$3=0,"",SUMIFS(INDEX(Inputs!$D$4:$AG$150,0,MATCH(K$2,Inputs!$D$2:$AG$2,0)),Inputs!$B$4:$B$150,$B47)/1000)</f>
        <v>2055.682</v>
      </c>
      <c r="L47" s="11">
        <f>IF(L$3=0,"",SUMIFS(INDEX(Inputs!$D$4:$AG$150,0,MATCH(L$2,Inputs!$D$2:$AG$2,0)),Inputs!$B$4:$B$150,$B47)/1000)</f>
        <v>2545.102</v>
      </c>
      <c r="M47" s="12">
        <f>IF(L47="","",L47)</f>
        <v>2545.102</v>
      </c>
      <c r="N47" s="11">
        <f>IF(N$3=0,"",SUMIFS(INDEX(Inputs!$D$4:$AG$150,0,MATCH(N$2,Inputs!$D$2:$AG$2,0)),Inputs!$B$4:$B$150,$B47)/1000)</f>
        <v>2710.507</v>
      </c>
      <c r="O47" s="11">
        <f>IF(O$3=0,"",SUMIFS(INDEX(Inputs!$D$4:$AG$150,0,MATCH(O$2,Inputs!$D$2:$AG$2,0)),Inputs!$B$4:$B$150,$B47)/1000)</f>
        <v>3108.946</v>
      </c>
      <c r="P47" s="11">
        <f>IF(P$3=0,"",SUMIFS(INDEX(Inputs!$D$4:$AG$150,0,MATCH(P$2,Inputs!$D$2:$AG$2,0)),Inputs!$B$4:$B$150,$B47)/1000)</f>
        <v>2537.486</v>
      </c>
      <c r="Q47" s="11">
        <f>IF(Q$3=0,"",SUMIFS(INDEX(Inputs!$D$4:$AG$150,0,MATCH(Q$2,Inputs!$D$2:$AG$2,0)),Inputs!$B$4:$B$150,$B47)/1000)</f>
        <v>2881.596</v>
      </c>
      <c r="R47" s="12">
        <f>IF(Q47="","",Q47)</f>
        <v>2881.596</v>
      </c>
      <c r="S47" s="11">
        <f>IF(S$3=0,"",SUMIFS(INDEX(Inputs!$D$4:$AG$150,0,MATCH(S$2,Inputs!$D$2:$AG$2,0)),Inputs!$B$4:$B$150,$B47)/1000)</f>
        <v>2976.811</v>
      </c>
      <c r="T47" s="11">
        <f>IF(T$3=0,"",SUMIFS(INDEX(Inputs!$D$4:$AG$150,0,MATCH(T$2,Inputs!$D$2:$AG$2,0)),Inputs!$B$4:$B$150,$B47)/1000)</f>
        <v>3178.615</v>
      </c>
      <c r="U47" s="11">
        <f>IF(U$3=0,"",SUMIFS(INDEX(Inputs!$D$4:$AG$150,0,MATCH(U$2,Inputs!$D$2:$AG$2,0)),Inputs!$B$4:$B$150,$B47)/1000)</f>
        <v>2805.526</v>
      </c>
      <c r="V47" s="11">
        <f>IF(V$3=0,"",SUMIFS(INDEX(Inputs!$D$4:$AG$150,0,MATCH(V$2,Inputs!$D$2:$AG$2,0)),Inputs!$B$4:$B$150,$B47)/1000)</f>
        <v>2919.83</v>
      </c>
      <c r="W47" s="12">
        <f>IF(V47="","",V47)</f>
        <v>2919.83</v>
      </c>
      <c r="X47" s="11">
        <f>IF(X$3=0,"",SUMIFS(INDEX(Inputs!$D$4:$AG$150,0,MATCH(X$2,Inputs!$D$2:$AG$2,0)),Inputs!$B$4:$B$150,$B47)/1000)</f>
        <v>2832.758</v>
      </c>
      <c r="Y47" s="11">
        <f>IF(Y$3=0,"",SUMIFS(INDEX(Inputs!$D$4:$AG$150,0,MATCH(Y$2,Inputs!$D$2:$AG$2,0)),Inputs!$B$4:$B$150,$B47)/1000)</f>
        <v>3017.699</v>
      </c>
      <c r="Z47" s="11">
        <f>IF(Z$3=0,"",SUMIFS(INDEX(Inputs!$D$4:$AG$150,0,MATCH(Z$2,Inputs!$D$2:$AG$2,0)),Inputs!$B$4:$B$150,$B47)/1000)</f>
        <v>3015.424</v>
      </c>
      <c r="AA47" s="11">
        <f>IF(AA$3=0,"",SUMIFS(INDEX(Inputs!$D$4:$AG$150,0,MATCH(AA$2,Inputs!$D$2:$AG$2,0)),Inputs!$B$4:$B$150,$B47)/1000)</f>
        <v>3162.987</v>
      </c>
      <c r="AB47" s="12">
        <f>IF(AA47="","",AA47)</f>
        <v>3162.987</v>
      </c>
      <c r="AC47" s="11">
        <f>IF(AC$3=0,"",SUMIFS(INDEX(Inputs!$D$4:$AG$150,0,MATCH(AC$2,Inputs!$D$2:$AG$2,0)),Inputs!$B$4:$B$150,$B47)/1000)</f>
        <v>2982.635</v>
      </c>
      <c r="AD47" s="11">
        <f>IF(AD$3=0,"",SUMIFS(INDEX(Inputs!$D$4:$AG$150,0,MATCH(AD$2,Inputs!$D$2:$AG$2,0)),Inputs!$B$4:$B$150,$B47)/1000)</f>
        <v>3171.783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-38.229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273.591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248.919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451.961</v>
      </c>
      <c r="H50" s="12">
        <f>IF(COUNT(D50:G50)=4,SUM(D50:G50),"")</f>
        <v>936.242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219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576.574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431.227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782.598</v>
      </c>
      <c r="M50" s="12">
        <f>IF(COUNT(I50:L50)=4,SUM(I50:L50),"")</f>
        <v>2009.399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292.321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547.499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278.02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522.923</v>
      </c>
      <c r="R50" s="12">
        <f>IF(COUNT(N50:Q50)=4,SUM(N50:Q50),"")</f>
        <v>1640.763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170.307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297.274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111.815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244.79</v>
      </c>
      <c r="W50" s="12">
        <f>IF(COUNT(S50:V50)=4,SUM(S50:V50),"")</f>
        <v>824.186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-75.754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232.184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196.697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260.483</v>
      </c>
      <c r="AB50" s="12">
        <f>IF(COUNT(X50:AA50)=4,SUM(X50:AA50),"")</f>
        <v>613.61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-147.052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267.366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Energy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1372.158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1704.798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2040.458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2303.987</v>
      </c>
      <c r="H53" s="12">
        <f>IF(COUNT(D53:G53)=4,SUM(D53:G53),"")</f>
        <v>7421.401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2027.999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2775.942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3186.846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3119.306</v>
      </c>
      <c r="M53" s="12">
        <f>IF(COUNT(I53:L53)=4,SUM(I53:L53),"")</f>
        <v>11110.093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2168.901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2264.087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2544.619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2717.94</v>
      </c>
      <c r="R53" s="12">
        <f>IF(COUNT(N53:Q53)=4,SUM(N53:Q53),"")</f>
        <v>9695.547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1756.722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2067.178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2224.655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2131.159</v>
      </c>
      <c r="W53" s="12">
        <f>IF(COUNT(S53:V53)=4,SUM(S53:V53),"")</f>
        <v>8179.714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1917.397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1917.878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2026.885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2364.877</v>
      </c>
      <c r="AB53" s="12">
        <f>IF(COUNT(X53:AA53)=4,SUM(X53:AA53),"")</f>
        <v>8227.037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2110.316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3324.889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Energy - lucro do segmento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-54.69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4.959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106.312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69.19</v>
      </c>
      <c r="H54" s="12">
        <f>IF(COUNT(D54:G54)=4,SUM(D54:G54),"")</f>
        <v>125.771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10.832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163.241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373.289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396.594</v>
      </c>
      <c r="M54" s="12">
        <f>IF(COUNT(I54:L54)=4,SUM(I54:L54),"")</f>
        <v>943.956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264.822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198.995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215.032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266.835</v>
      </c>
      <c r="R54" s="12">
        <f>IF(COUNT(N54:Q54)=4,SUM(N54:Q54),"")</f>
        <v>945.684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51.579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97.85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12.789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15.724</v>
      </c>
      <c r="W54" s="12">
        <f>IF(COUNT(S54:V54)=4,SUM(S54:V54),"")</f>
        <v>177.942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-79.466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-56.515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113.215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152.347</v>
      </c>
      <c r="AB54" s="12">
        <f>IF(COUNT(X54:AA54)=4,SUM(X54:AA54),"")</f>
        <v>129.581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-133.642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10.099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Ag (estrutura até FY25)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6938.212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9216.204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8435.524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8569.259</v>
      </c>
      <c r="H55" s="12">
        <f>IF(COUNT(D55:G55)=4,SUM(D55:G55),"")</f>
        <v>33159.199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8295.931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10352.369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10242.652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9633.244</v>
      </c>
      <c r="M55" s="12">
        <f>IF(COUNT(I55:L55)=4,SUM(I55:L55),"")</f>
        <v>38524.196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9120.47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9743.976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6927.514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8652.165</v>
      </c>
      <c r="R55" s="12">
        <f>IF(COUNT(N55:Q55)=4,SUM(N55:Q55),"")</f>
        <v>34444.125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7311.111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7523.656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6929.927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7142.114</v>
      </c>
      <c r="W55" s="12">
        <f>IF(COUNT(S55:V55)=4,SUM(S55:V55),"")</f>
        <v>28906.808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6085.467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7962.254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6558.646</v>
      </c>
      <c r="AA55" s="11" t="str">
        <f>IF(SUMPRODUCT((Inputs!$B$4:$B$150=$B55)*ISNUMBER(INDEX(Inputs!$D$4:$AG$150,0,MATCH(AA$2,Inputs!$D$2:$AG$2,0))))=0,"",SUMIFS(INDEX(Inputs!$D$4:$AG$150,0,MATCH(AA$2,Inputs!$D$2:$AG$2,0)),Inputs!$B$4:$B$150,$B55)/1000)</f>
        <v/>
      </c>
      <c r="AB55" s="12" t="str">
        <f>IF(COUNT(X55:AA55)=4,SUM(X55:AA55),"")</f>
        <v/>
      </c>
      <c r="AC55" s="11" t="str">
        <f>IF(SUMPRODUCT((Inputs!$B$4:$B$150=$B55)*ISNUMBER(INDEX(Inputs!$D$4:$AG$150,0,MATCH(AC$2,Inputs!$D$2:$AG$2,0))))=0,"",SUMIFS(INDEX(Inputs!$D$4:$AG$150,0,MATCH(AC$2,Inputs!$D$2:$AG$2,0)),Inputs!$B$4:$B$150,$B55)/1000)</f>
        <v/>
      </c>
      <c r="AD55" s="11" t="str">
        <f>IF(SUMPRODUCT((Inputs!$B$4:$B$150=$B55)*ISNUMBER(INDEX(Inputs!$D$4:$AG$150,0,MATCH(AD$2,Inputs!$D$2:$AG$2,0))))=0,"",SUMIFS(INDEX(Inputs!$D$4:$AG$150,0,MATCH(AD$2,Inputs!$D$2:$AG$2,0)),Inputs!$B$4:$B$150,$B55)/1000)</f>
        <v/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Ag (estrutura até FY25) - lucro do segmento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14.044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140.131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60.911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286.425</v>
      </c>
      <c r="H56" s="12">
        <f>IF(COUNT(D56:G56)=4,SUM(D56:G56),"")</f>
        <v>501.511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55.181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273.688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42.292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287.299</v>
      </c>
      <c r="M56" s="12">
        <f>IF(COUNT(I56:L56)=4,SUM(I56:L56),"")</f>
        <v>658.46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-81.566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233.515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-27.44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169.72</v>
      </c>
      <c r="R56" s="12">
        <f>IF(COUNT(N56:Q56)=4,SUM(N56:Q56),"")</f>
        <v>294.229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56.851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108.535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7.571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166.652</v>
      </c>
      <c r="W56" s="12">
        <f>IF(COUNT(S56:V56)=4,SUM(S56:V56),"")</f>
        <v>339.609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-45.552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151.04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-26.48</v>
      </c>
      <c r="AA56" s="11" t="str">
        <f>IF(SUMPRODUCT((Inputs!$B$4:$B$150=$B56)*ISNUMBER(INDEX(Inputs!$D$4:$AG$150,0,MATCH(AA$2,Inputs!$D$2:$AG$2,0))))=0,"",SUMIFS(INDEX(Inputs!$D$4:$AG$150,0,MATCH(AA$2,Inputs!$D$2:$AG$2,0)),Inputs!$B$4:$B$150,$B56)/1000)</f>
        <v/>
      </c>
      <c r="AB56" s="12" t="str">
        <f>IF(COUNT(X56:AA56)=4,SUM(X56:AA56),"")</f>
        <v/>
      </c>
      <c r="AC56" s="11" t="str">
        <f>IF(SUMPRODUCT((Inputs!$B$4:$B$150=$B56)*ISNUMBER(INDEX(Inputs!$D$4:$AG$150,0,MATCH(AC$2,Inputs!$D$2:$AG$2,0))))=0,"",SUMIFS(INDEX(Inputs!$D$4:$AG$150,0,MATCH(AC$2,Inputs!$D$2:$AG$2,0)),Inputs!$B$4:$B$150,$B56)/1000)</f>
        <v/>
      </c>
      <c r="AD56" s="11" t="str">
        <f>IF(SUMPRODUCT((Inputs!$B$4:$B$150=$B56)*ISNUMBER(INDEX(Inputs!$D$4:$AG$150,0,MATCH(AD$2,Inputs!$D$2:$AG$2,0))))=0,"",SUMIFS(INDEX(Inputs!$D$4:$AG$150,0,MATCH(AD$2,Inputs!$D$2:$AG$2,0)),Inputs!$B$4:$B$150,$B56)/1000)</f>
        <v/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Grains (estrutura FY26) - receita (USD)</t>
        </is>
      </c>
      <c r="D57" s="11" t="str">
        <f>IF(SUMPRODUCT((Inputs!$B$4:$B$150=$B57)*ISNUMBER(INDEX(Inputs!$D$4:$AG$150,0,MATCH(D$2,Inputs!$D$2:$AG$2,0))))=0,"",SUMIFS(INDEX(Inputs!$D$4:$AG$150,0,MATCH(D$2,Inputs!$D$2:$AG$2,0)),Inputs!$B$4:$B$150,$B57)/1000)</f>
        <v/>
      </c>
      <c r="E57" s="11" t="str">
        <f>IF(SUMPRODUCT((Inputs!$B$4:$B$150=$B57)*ISNUMBER(INDEX(Inputs!$D$4:$AG$150,0,MATCH(E$2,Inputs!$D$2:$AG$2,0))))=0,"",SUMIFS(INDEX(Inputs!$D$4:$AG$150,0,MATCH(E$2,Inputs!$D$2:$AG$2,0)),Inputs!$B$4:$B$150,$B57)/1000)</f>
        <v/>
      </c>
      <c r="F57" s="11" t="str">
        <f>IF(SUMPRODUCT((Inputs!$B$4:$B$150=$B57)*ISNUMBER(INDEX(Inputs!$D$4:$AG$150,0,MATCH(F$2,Inputs!$D$2:$AG$2,0))))=0,"",SUMIFS(INDEX(Inputs!$D$4:$AG$150,0,MATCH(F$2,Inputs!$D$2:$AG$2,0)),Inputs!$B$4:$B$150,$B57)/1000)</f>
        <v/>
      </c>
      <c r="G57" s="11" t="str">
        <f>IF(SUMPRODUCT((Inputs!$B$4:$B$150=$B57)*ISNUMBER(INDEX(Inputs!$D$4:$AG$150,0,MATCH(G$2,Inputs!$D$2:$AG$2,0))))=0,"",SUMIFS(INDEX(Inputs!$D$4:$AG$150,0,MATCH(G$2,Inputs!$D$2:$AG$2,0)),Inputs!$B$4:$B$150,$B57)/1000)</f>
        <v/>
      </c>
      <c r="H57" s="12" t="str">
        <f>IF(COUNT(D57:G57)=4,SUM(D57:G57),"")</f>
        <v/>
      </c>
      <c r="I57" s="11" t="str">
        <f>IF(SUMPRODUCT((Inputs!$B$4:$B$150=$B57)*ISNUMBER(INDEX(Inputs!$D$4:$AG$150,0,MATCH(I$2,Inputs!$D$2:$AG$2,0))))=0,"",SUMIFS(INDEX(Inputs!$D$4:$AG$150,0,MATCH(I$2,Inputs!$D$2:$AG$2,0)),Inputs!$B$4:$B$150,$B57)/1000)</f>
        <v/>
      </c>
      <c r="J57" s="11" t="str">
        <f>IF(SUMPRODUCT((Inputs!$B$4:$B$150=$B57)*ISNUMBER(INDEX(Inputs!$D$4:$AG$150,0,MATCH(J$2,Inputs!$D$2:$AG$2,0))))=0,"",SUMIFS(INDEX(Inputs!$D$4:$AG$150,0,MATCH(J$2,Inputs!$D$2:$AG$2,0)),Inputs!$B$4:$B$150,$B57)/1000)</f>
        <v/>
      </c>
      <c r="K57" s="11" t="str">
        <f>IF(SUMPRODUCT((Inputs!$B$4:$B$150=$B57)*ISNUMBER(INDEX(Inputs!$D$4:$AG$150,0,MATCH(K$2,Inputs!$D$2:$AG$2,0))))=0,"",SUMIFS(INDEX(Inputs!$D$4:$AG$150,0,MATCH(K$2,Inputs!$D$2:$AG$2,0)),Inputs!$B$4:$B$150,$B57)/1000)</f>
        <v/>
      </c>
      <c r="L57" s="11" t="str">
        <f>IF(SUMPRODUCT((Inputs!$B$4:$B$150=$B57)*ISNUMBER(INDEX(Inputs!$D$4:$AG$150,0,MATCH(L$2,Inputs!$D$2:$AG$2,0))))=0,"",SUMIFS(INDEX(Inputs!$D$4:$AG$150,0,MATCH(L$2,Inputs!$D$2:$AG$2,0)),Inputs!$B$4:$B$150,$B57)/1000)</f>
        <v/>
      </c>
      <c r="M57" s="12" t="str">
        <f>IF(COUNT(I57:L57)=4,SUM(I57:L57),"")</f>
        <v/>
      </c>
      <c r="N57" s="11" t="str">
        <f>IF(SUMPRODUCT((Inputs!$B$4:$B$150=$B57)*ISNUMBER(INDEX(Inputs!$D$4:$AG$150,0,MATCH(N$2,Inputs!$D$2:$AG$2,0))))=0,"",SUMIFS(INDEX(Inputs!$D$4:$AG$150,0,MATCH(N$2,Inputs!$D$2:$AG$2,0)),Inputs!$B$4:$B$150,$B57)/1000)</f>
        <v/>
      </c>
      <c r="O57" s="11" t="str">
        <f>IF(SUMPRODUCT((Inputs!$B$4:$B$150=$B57)*ISNUMBER(INDEX(Inputs!$D$4:$AG$150,0,MATCH(O$2,Inputs!$D$2:$AG$2,0))))=0,"",SUMIFS(INDEX(Inputs!$D$4:$AG$150,0,MATCH(O$2,Inputs!$D$2:$AG$2,0)),Inputs!$B$4:$B$150,$B57)/1000)</f>
        <v/>
      </c>
      <c r="P57" s="11" t="str">
        <f>IF(SUMPRODUCT((Inputs!$B$4:$B$150=$B57)*ISNUMBER(INDEX(Inputs!$D$4:$AG$150,0,MATCH(P$2,Inputs!$D$2:$AG$2,0))))=0,"",SUMIFS(INDEX(Inputs!$D$4:$AG$150,0,MATCH(P$2,Inputs!$D$2:$AG$2,0)),Inputs!$B$4:$B$150,$B57)/1000)</f>
        <v/>
      </c>
      <c r="Q57" s="11" t="str">
        <f>IF(SUMPRODUCT((Inputs!$B$4:$B$150=$B57)*ISNUMBER(INDEX(Inputs!$D$4:$AG$150,0,MATCH(Q$2,Inputs!$D$2:$AG$2,0))))=0,"",SUMIFS(INDEX(Inputs!$D$4:$AG$150,0,MATCH(Q$2,Inputs!$D$2:$AG$2,0)),Inputs!$B$4:$B$150,$B57)/1000)</f>
        <v/>
      </c>
      <c r="R57" s="12" t="str">
        <f>IF(COUNT(N57:Q57)=4,SUM(N57:Q57),"")</f>
        <v/>
      </c>
      <c r="S57" s="11" t="str">
        <f>IF(SUMPRODUCT((Inputs!$B$4:$B$150=$B57)*ISNUMBER(INDEX(Inputs!$D$4:$AG$150,0,MATCH(S$2,Inputs!$D$2:$AG$2,0))))=0,"",SUMIFS(INDEX(Inputs!$D$4:$AG$150,0,MATCH(S$2,Inputs!$D$2:$AG$2,0)),Inputs!$B$4:$B$150,$B57)/1000)</f>
        <v/>
      </c>
      <c r="T57" s="11" t="str">
        <f>IF(SUMPRODUCT((Inputs!$B$4:$B$150=$B57)*ISNUMBER(INDEX(Inputs!$D$4:$AG$150,0,MATCH(T$2,Inputs!$D$2:$AG$2,0))))=0,"",SUMIFS(INDEX(Inputs!$D$4:$AG$150,0,MATCH(T$2,Inputs!$D$2:$AG$2,0)),Inputs!$B$4:$B$150,$B57)/1000)</f>
        <v/>
      </c>
      <c r="U57" s="11" t="str">
        <f>IF(SUMPRODUCT((Inputs!$B$4:$B$150=$B57)*ISNUMBER(INDEX(Inputs!$D$4:$AG$150,0,MATCH(U$2,Inputs!$D$2:$AG$2,0))))=0,"",SUMIFS(INDEX(Inputs!$D$4:$AG$150,0,MATCH(U$2,Inputs!$D$2:$AG$2,0)),Inputs!$B$4:$B$150,$B57)/1000)</f>
        <v/>
      </c>
      <c r="V57" s="11" t="str">
        <f>IF(SUMPRODUCT((Inputs!$B$4:$B$150=$B57)*ISNUMBER(INDEX(Inputs!$D$4:$AG$150,0,MATCH(V$2,Inputs!$D$2:$AG$2,0))))=0,"",SUMIFS(INDEX(Inputs!$D$4:$AG$150,0,MATCH(V$2,Inputs!$D$2:$AG$2,0)),Inputs!$B$4:$B$150,$B57)/1000)</f>
        <v/>
      </c>
      <c r="W57" s="12" t="str">
        <f>IF(COUNT(S57:V57)=4,SUM(S57:V57),"")</f>
        <v/>
      </c>
      <c r="X57" s="11" t="str">
        <f>IF(SUMPRODUCT((Inputs!$B$4:$B$150=$B57)*ISNUMBER(INDEX(Inputs!$D$4:$AG$150,0,MATCH(X$2,Inputs!$D$2:$AG$2,0))))=0,"",SUMIFS(INDEX(Inputs!$D$4:$AG$150,0,MATCH(X$2,Inputs!$D$2:$AG$2,0)),Inputs!$B$4:$B$150,$B57)/1000)</f>
        <v/>
      </c>
      <c r="Y57" s="11" t="str">
        <f>IF(SUMPRODUCT((Inputs!$B$4:$B$150=$B57)*ISNUMBER(INDEX(Inputs!$D$4:$AG$150,0,MATCH(Y$2,Inputs!$D$2:$AG$2,0))))=0,"",SUMIFS(INDEX(Inputs!$D$4:$AG$150,0,MATCH(Y$2,Inputs!$D$2:$AG$2,0)),Inputs!$B$4:$B$150,$B57)/1000)</f>
        <v/>
      </c>
      <c r="Z57" s="11" t="str">
        <f>IF(SUMPRODUCT((Inputs!$B$4:$B$150=$B57)*ISNUMBER(INDEX(Inputs!$D$4:$AG$150,0,MATCH(Z$2,Inputs!$D$2:$AG$2,0))))=0,"",SUMIFS(INDEX(Inputs!$D$4:$AG$150,0,MATCH(Z$2,Inputs!$D$2:$AG$2,0)),Inputs!$B$4:$B$150,$B57)/1000)</f>
        <v/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5215.354</v>
      </c>
      <c r="AB57" s="12" t="str">
        <f>IF(COUNT(X57:AA57)=4,SUM(X57:AA57),"")</f>
        <v/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5179.956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5663.682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Grains (estrutura FY26) - lucro do segmento (USD)</t>
        </is>
      </c>
      <c r="D58" s="11" t="str">
        <f>IF(SUMPRODUCT((Inputs!$B$4:$B$150=$B58)*ISNUMBER(INDEX(Inputs!$D$4:$AG$150,0,MATCH(D$2,Inputs!$D$2:$AG$2,0))))=0,"",SUMIFS(INDEX(Inputs!$D$4:$AG$150,0,MATCH(D$2,Inputs!$D$2:$AG$2,0)),Inputs!$B$4:$B$150,$B58)/1000)</f>
        <v/>
      </c>
      <c r="E58" s="11" t="str">
        <f>IF(SUMPRODUCT((Inputs!$B$4:$B$150=$B58)*ISNUMBER(INDEX(Inputs!$D$4:$AG$150,0,MATCH(E$2,Inputs!$D$2:$AG$2,0))))=0,"",SUMIFS(INDEX(Inputs!$D$4:$AG$150,0,MATCH(E$2,Inputs!$D$2:$AG$2,0)),Inputs!$B$4:$B$150,$B58)/1000)</f>
        <v/>
      </c>
      <c r="F58" s="11" t="str">
        <f>IF(SUMPRODUCT((Inputs!$B$4:$B$150=$B58)*ISNUMBER(INDEX(Inputs!$D$4:$AG$150,0,MATCH(F$2,Inputs!$D$2:$AG$2,0))))=0,"",SUMIFS(INDEX(Inputs!$D$4:$AG$150,0,MATCH(F$2,Inputs!$D$2:$AG$2,0)),Inputs!$B$4:$B$150,$B58)/1000)</f>
        <v/>
      </c>
      <c r="G58" s="11" t="str">
        <f>IF(SUMPRODUCT((Inputs!$B$4:$B$150=$B58)*ISNUMBER(INDEX(Inputs!$D$4:$AG$150,0,MATCH(G$2,Inputs!$D$2:$AG$2,0))))=0,"",SUMIFS(INDEX(Inputs!$D$4:$AG$150,0,MATCH(G$2,Inputs!$D$2:$AG$2,0)),Inputs!$B$4:$B$150,$B58)/1000)</f>
        <v/>
      </c>
      <c r="H58" s="12" t="str">
        <f>IF(COUNT(D58:G58)=4,SUM(D58:G58),"")</f>
        <v/>
      </c>
      <c r="I58" s="11" t="str">
        <f>IF(SUMPRODUCT((Inputs!$B$4:$B$150=$B58)*ISNUMBER(INDEX(Inputs!$D$4:$AG$150,0,MATCH(I$2,Inputs!$D$2:$AG$2,0))))=0,"",SUMIFS(INDEX(Inputs!$D$4:$AG$150,0,MATCH(I$2,Inputs!$D$2:$AG$2,0)),Inputs!$B$4:$B$150,$B58)/1000)</f>
        <v/>
      </c>
      <c r="J58" s="11" t="str">
        <f>IF(SUMPRODUCT((Inputs!$B$4:$B$150=$B58)*ISNUMBER(INDEX(Inputs!$D$4:$AG$150,0,MATCH(J$2,Inputs!$D$2:$AG$2,0))))=0,"",SUMIFS(INDEX(Inputs!$D$4:$AG$150,0,MATCH(J$2,Inputs!$D$2:$AG$2,0)),Inputs!$B$4:$B$150,$B58)/1000)</f>
        <v/>
      </c>
      <c r="K58" s="11" t="str">
        <f>IF(SUMPRODUCT((Inputs!$B$4:$B$150=$B58)*ISNUMBER(INDEX(Inputs!$D$4:$AG$150,0,MATCH(K$2,Inputs!$D$2:$AG$2,0))))=0,"",SUMIFS(INDEX(Inputs!$D$4:$AG$150,0,MATCH(K$2,Inputs!$D$2:$AG$2,0)),Inputs!$B$4:$B$150,$B58)/1000)</f>
        <v/>
      </c>
      <c r="L58" s="11" t="str">
        <f>IF(SUMPRODUCT((Inputs!$B$4:$B$150=$B58)*ISNUMBER(INDEX(Inputs!$D$4:$AG$150,0,MATCH(L$2,Inputs!$D$2:$AG$2,0))))=0,"",SUMIFS(INDEX(Inputs!$D$4:$AG$150,0,MATCH(L$2,Inputs!$D$2:$AG$2,0)),Inputs!$B$4:$B$150,$B58)/1000)</f>
        <v/>
      </c>
      <c r="M58" s="12" t="str">
        <f>IF(COUNT(I58:L58)=4,SUM(I58:L58),"")</f>
        <v/>
      </c>
      <c r="N58" s="11" t="str">
        <f>IF(SUMPRODUCT((Inputs!$B$4:$B$150=$B58)*ISNUMBER(INDEX(Inputs!$D$4:$AG$150,0,MATCH(N$2,Inputs!$D$2:$AG$2,0))))=0,"",SUMIFS(INDEX(Inputs!$D$4:$AG$150,0,MATCH(N$2,Inputs!$D$2:$AG$2,0)),Inputs!$B$4:$B$150,$B58)/1000)</f>
        <v/>
      </c>
      <c r="O58" s="11" t="str">
        <f>IF(SUMPRODUCT((Inputs!$B$4:$B$150=$B58)*ISNUMBER(INDEX(Inputs!$D$4:$AG$150,0,MATCH(O$2,Inputs!$D$2:$AG$2,0))))=0,"",SUMIFS(INDEX(Inputs!$D$4:$AG$150,0,MATCH(O$2,Inputs!$D$2:$AG$2,0)),Inputs!$B$4:$B$150,$B58)/1000)</f>
        <v/>
      </c>
      <c r="P58" s="11" t="str">
        <f>IF(SUMPRODUCT((Inputs!$B$4:$B$150=$B58)*ISNUMBER(INDEX(Inputs!$D$4:$AG$150,0,MATCH(P$2,Inputs!$D$2:$AG$2,0))))=0,"",SUMIFS(INDEX(Inputs!$D$4:$AG$150,0,MATCH(P$2,Inputs!$D$2:$AG$2,0)),Inputs!$B$4:$B$150,$B58)/1000)</f>
        <v/>
      </c>
      <c r="Q58" s="11" t="str">
        <f>IF(SUMPRODUCT((Inputs!$B$4:$B$150=$B58)*ISNUMBER(INDEX(Inputs!$D$4:$AG$150,0,MATCH(Q$2,Inputs!$D$2:$AG$2,0))))=0,"",SUMIFS(INDEX(Inputs!$D$4:$AG$150,0,MATCH(Q$2,Inputs!$D$2:$AG$2,0)),Inputs!$B$4:$B$150,$B58)/1000)</f>
        <v/>
      </c>
      <c r="R58" s="12" t="str">
        <f>IF(COUNT(N58:Q58)=4,SUM(N58:Q58),"")</f>
        <v/>
      </c>
      <c r="S58" s="11" t="str">
        <f>IF(SUMPRODUCT((Inputs!$B$4:$B$150=$B58)*ISNUMBER(INDEX(Inputs!$D$4:$AG$150,0,MATCH(S$2,Inputs!$D$2:$AG$2,0))))=0,"",SUMIFS(INDEX(Inputs!$D$4:$AG$150,0,MATCH(S$2,Inputs!$D$2:$AG$2,0)),Inputs!$B$4:$B$150,$B58)/1000)</f>
        <v/>
      </c>
      <c r="T58" s="11" t="str">
        <f>IF(SUMPRODUCT((Inputs!$B$4:$B$150=$B58)*ISNUMBER(INDEX(Inputs!$D$4:$AG$150,0,MATCH(T$2,Inputs!$D$2:$AG$2,0))))=0,"",SUMIFS(INDEX(Inputs!$D$4:$AG$150,0,MATCH(T$2,Inputs!$D$2:$AG$2,0)),Inputs!$B$4:$B$150,$B58)/1000)</f>
        <v/>
      </c>
      <c r="U58" s="11" t="str">
        <f>IF(SUMPRODUCT((Inputs!$B$4:$B$150=$B58)*ISNUMBER(INDEX(Inputs!$D$4:$AG$150,0,MATCH(U$2,Inputs!$D$2:$AG$2,0))))=0,"",SUMIFS(INDEX(Inputs!$D$4:$AG$150,0,MATCH(U$2,Inputs!$D$2:$AG$2,0)),Inputs!$B$4:$B$150,$B58)/1000)</f>
        <v/>
      </c>
      <c r="V58" s="11" t="str">
        <f>IF(SUMPRODUCT((Inputs!$B$4:$B$150=$B58)*ISNUMBER(INDEX(Inputs!$D$4:$AG$150,0,MATCH(V$2,Inputs!$D$2:$AG$2,0))))=0,"",SUMIFS(INDEX(Inputs!$D$4:$AG$150,0,MATCH(V$2,Inputs!$D$2:$AG$2,0)),Inputs!$B$4:$B$150,$B58)/1000)</f>
        <v/>
      </c>
      <c r="W58" s="12" t="str">
        <f>IF(COUNT(S58:V58)=4,SUM(S58:V58),"")</f>
        <v/>
      </c>
      <c r="X58" s="11" t="str">
        <f>IF(SUMPRODUCT((Inputs!$B$4:$B$150=$B58)*ISNUMBER(INDEX(Inputs!$D$4:$AG$150,0,MATCH(X$2,Inputs!$D$2:$AG$2,0))))=0,"",SUMIFS(INDEX(Inputs!$D$4:$AG$150,0,MATCH(X$2,Inputs!$D$2:$AG$2,0)),Inputs!$B$4:$B$150,$B58)/1000)</f>
        <v/>
      </c>
      <c r="Y58" s="11" t="str">
        <f>IF(SUMPRODUCT((Inputs!$B$4:$B$150=$B58)*ISNUMBER(INDEX(Inputs!$D$4:$AG$150,0,MATCH(Y$2,Inputs!$D$2:$AG$2,0))))=0,"",SUMIFS(INDEX(Inputs!$D$4:$AG$150,0,MATCH(Y$2,Inputs!$D$2:$AG$2,0)),Inputs!$B$4:$B$150,$B58)/1000)</f>
        <v/>
      </c>
      <c r="Z58" s="11" t="str">
        <f>IF(SUMPRODUCT((Inputs!$B$4:$B$150=$B58)*ISNUMBER(INDEX(Inputs!$D$4:$AG$150,0,MATCH(Z$2,Inputs!$D$2:$AG$2,0))))=0,"",SUMIFS(INDEX(Inputs!$D$4:$AG$150,0,MATCH(Z$2,Inputs!$D$2:$AG$2,0)),Inputs!$B$4:$B$150,$B58)/1000)</f>
        <v/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36.242</v>
      </c>
      <c r="AB58" s="12" t="str">
        <f>IF(COUNT(X58:AA58)=4,SUM(X58:AA58),"")</f>
        <v/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-17.936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-33.564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Agronomy (estrutura FY26) - receita (USD)</t>
        </is>
      </c>
      <c r="D59" s="11" t="str">
        <f>IF(SUMPRODUCT((Inputs!$B$4:$B$150=$B59)*ISNUMBER(INDEX(Inputs!$D$4:$AG$150,0,MATCH(D$2,Inputs!$D$2:$AG$2,0))))=0,"",SUMIFS(INDEX(Inputs!$D$4:$AG$150,0,MATCH(D$2,Inputs!$D$2:$AG$2,0)),Inputs!$B$4:$B$150,$B59)/1000)</f>
        <v/>
      </c>
      <c r="E59" s="11" t="str">
        <f>IF(SUMPRODUCT((Inputs!$B$4:$B$150=$B59)*ISNUMBER(INDEX(Inputs!$D$4:$AG$150,0,MATCH(E$2,Inputs!$D$2:$AG$2,0))))=0,"",SUMIFS(INDEX(Inputs!$D$4:$AG$150,0,MATCH(E$2,Inputs!$D$2:$AG$2,0)),Inputs!$B$4:$B$150,$B59)/1000)</f>
        <v/>
      </c>
      <c r="F59" s="11" t="str">
        <f>IF(SUMPRODUCT((Inputs!$B$4:$B$150=$B59)*ISNUMBER(INDEX(Inputs!$D$4:$AG$150,0,MATCH(F$2,Inputs!$D$2:$AG$2,0))))=0,"",SUMIFS(INDEX(Inputs!$D$4:$AG$150,0,MATCH(F$2,Inputs!$D$2:$AG$2,0)),Inputs!$B$4:$B$150,$B59)/1000)</f>
        <v/>
      </c>
      <c r="G59" s="11" t="str">
        <f>IF(SUMPRODUCT((Inputs!$B$4:$B$150=$B59)*ISNUMBER(INDEX(Inputs!$D$4:$AG$150,0,MATCH(G$2,Inputs!$D$2:$AG$2,0))))=0,"",SUMIFS(INDEX(Inputs!$D$4:$AG$150,0,MATCH(G$2,Inputs!$D$2:$AG$2,0)),Inputs!$B$4:$B$150,$B59)/1000)</f>
        <v/>
      </c>
      <c r="H59" s="12" t="str">
        <f>IF(COUNT(D59:G59)=4,SUM(D59:G59),"")</f>
        <v/>
      </c>
      <c r="I59" s="11" t="str">
        <f>IF(SUMPRODUCT((Inputs!$B$4:$B$150=$B59)*ISNUMBER(INDEX(Inputs!$D$4:$AG$150,0,MATCH(I$2,Inputs!$D$2:$AG$2,0))))=0,"",SUMIFS(INDEX(Inputs!$D$4:$AG$150,0,MATCH(I$2,Inputs!$D$2:$AG$2,0)),Inputs!$B$4:$B$150,$B59)/1000)</f>
        <v/>
      </c>
      <c r="J59" s="11" t="str">
        <f>IF(SUMPRODUCT((Inputs!$B$4:$B$150=$B59)*ISNUMBER(INDEX(Inputs!$D$4:$AG$150,0,MATCH(J$2,Inputs!$D$2:$AG$2,0))))=0,"",SUMIFS(INDEX(Inputs!$D$4:$AG$150,0,MATCH(J$2,Inputs!$D$2:$AG$2,0)),Inputs!$B$4:$B$150,$B59)/1000)</f>
        <v/>
      </c>
      <c r="K59" s="11" t="str">
        <f>IF(SUMPRODUCT((Inputs!$B$4:$B$150=$B59)*ISNUMBER(INDEX(Inputs!$D$4:$AG$150,0,MATCH(K$2,Inputs!$D$2:$AG$2,0))))=0,"",SUMIFS(INDEX(Inputs!$D$4:$AG$150,0,MATCH(K$2,Inputs!$D$2:$AG$2,0)),Inputs!$B$4:$B$150,$B59)/1000)</f>
        <v/>
      </c>
      <c r="L59" s="11" t="str">
        <f>IF(SUMPRODUCT((Inputs!$B$4:$B$150=$B59)*ISNUMBER(INDEX(Inputs!$D$4:$AG$150,0,MATCH(L$2,Inputs!$D$2:$AG$2,0))))=0,"",SUMIFS(INDEX(Inputs!$D$4:$AG$150,0,MATCH(L$2,Inputs!$D$2:$AG$2,0)),Inputs!$B$4:$B$150,$B59)/1000)</f>
        <v/>
      </c>
      <c r="M59" s="12" t="str">
        <f>IF(COUNT(I59:L59)=4,SUM(I59:L59),"")</f>
        <v/>
      </c>
      <c r="N59" s="11" t="str">
        <f>IF(SUMPRODUCT((Inputs!$B$4:$B$150=$B59)*ISNUMBER(INDEX(Inputs!$D$4:$AG$150,0,MATCH(N$2,Inputs!$D$2:$AG$2,0))))=0,"",SUMIFS(INDEX(Inputs!$D$4:$AG$150,0,MATCH(N$2,Inputs!$D$2:$AG$2,0)),Inputs!$B$4:$B$150,$B59)/1000)</f>
        <v/>
      </c>
      <c r="O59" s="11" t="str">
        <f>IF(SUMPRODUCT((Inputs!$B$4:$B$150=$B59)*ISNUMBER(INDEX(Inputs!$D$4:$AG$150,0,MATCH(O$2,Inputs!$D$2:$AG$2,0))))=0,"",SUMIFS(INDEX(Inputs!$D$4:$AG$150,0,MATCH(O$2,Inputs!$D$2:$AG$2,0)),Inputs!$B$4:$B$150,$B59)/1000)</f>
        <v/>
      </c>
      <c r="P59" s="11" t="str">
        <f>IF(SUMPRODUCT((Inputs!$B$4:$B$150=$B59)*ISNUMBER(INDEX(Inputs!$D$4:$AG$150,0,MATCH(P$2,Inputs!$D$2:$AG$2,0))))=0,"",SUMIFS(INDEX(Inputs!$D$4:$AG$150,0,MATCH(P$2,Inputs!$D$2:$AG$2,0)),Inputs!$B$4:$B$150,$B59)/1000)</f>
        <v/>
      </c>
      <c r="Q59" s="11" t="str">
        <f>IF(SUMPRODUCT((Inputs!$B$4:$B$150=$B59)*ISNUMBER(INDEX(Inputs!$D$4:$AG$150,0,MATCH(Q$2,Inputs!$D$2:$AG$2,0))))=0,"",SUMIFS(INDEX(Inputs!$D$4:$AG$150,0,MATCH(Q$2,Inputs!$D$2:$AG$2,0)),Inputs!$B$4:$B$150,$B59)/1000)</f>
        <v/>
      </c>
      <c r="R59" s="12" t="str">
        <f>IF(COUNT(N59:Q59)=4,SUM(N59:Q59),"")</f>
        <v/>
      </c>
      <c r="S59" s="11" t="str">
        <f>IF(SUMPRODUCT((Inputs!$B$4:$B$150=$B59)*ISNUMBER(INDEX(Inputs!$D$4:$AG$150,0,MATCH(S$2,Inputs!$D$2:$AG$2,0))))=0,"",SUMIFS(INDEX(Inputs!$D$4:$AG$150,0,MATCH(S$2,Inputs!$D$2:$AG$2,0)),Inputs!$B$4:$B$150,$B59)/1000)</f>
        <v/>
      </c>
      <c r="T59" s="11" t="str">
        <f>IF(SUMPRODUCT((Inputs!$B$4:$B$150=$B59)*ISNUMBER(INDEX(Inputs!$D$4:$AG$150,0,MATCH(T$2,Inputs!$D$2:$AG$2,0))))=0,"",SUMIFS(INDEX(Inputs!$D$4:$AG$150,0,MATCH(T$2,Inputs!$D$2:$AG$2,0)),Inputs!$B$4:$B$150,$B59)/1000)</f>
        <v/>
      </c>
      <c r="U59" s="11" t="str">
        <f>IF(SUMPRODUCT((Inputs!$B$4:$B$150=$B59)*ISNUMBER(INDEX(Inputs!$D$4:$AG$150,0,MATCH(U$2,Inputs!$D$2:$AG$2,0))))=0,"",SUMIFS(INDEX(Inputs!$D$4:$AG$150,0,MATCH(U$2,Inputs!$D$2:$AG$2,0)),Inputs!$B$4:$B$150,$B59)/1000)</f>
        <v/>
      </c>
      <c r="V59" s="11" t="str">
        <f>IF(SUMPRODUCT((Inputs!$B$4:$B$150=$B59)*ISNUMBER(INDEX(Inputs!$D$4:$AG$150,0,MATCH(V$2,Inputs!$D$2:$AG$2,0))))=0,"",SUMIFS(INDEX(Inputs!$D$4:$AG$150,0,MATCH(V$2,Inputs!$D$2:$AG$2,0)),Inputs!$B$4:$B$150,$B59)/1000)</f>
        <v/>
      </c>
      <c r="W59" s="12" t="str">
        <f>IF(COUNT(S59:V59)=4,SUM(S59:V59),"")</f>
        <v/>
      </c>
      <c r="X59" s="11" t="str">
        <f>IF(SUMPRODUCT((Inputs!$B$4:$B$150=$B59)*ISNUMBER(INDEX(Inputs!$D$4:$AG$150,0,MATCH(X$2,Inputs!$D$2:$AG$2,0))))=0,"",SUMIFS(INDEX(Inputs!$D$4:$AG$150,0,MATCH(X$2,Inputs!$D$2:$AG$2,0)),Inputs!$B$4:$B$150,$B59)/1000)</f>
        <v/>
      </c>
      <c r="Y59" s="11" t="str">
        <f>IF(SUMPRODUCT((Inputs!$B$4:$B$150=$B59)*ISNUMBER(INDEX(Inputs!$D$4:$AG$150,0,MATCH(Y$2,Inputs!$D$2:$AG$2,0))))=0,"",SUMIFS(INDEX(Inputs!$D$4:$AG$150,0,MATCH(Y$2,Inputs!$D$2:$AG$2,0)),Inputs!$B$4:$B$150,$B59)/1000)</f>
        <v/>
      </c>
      <c r="Z59" s="11" t="str">
        <f>IF(SUMPRODUCT((Inputs!$B$4:$B$150=$B59)*ISNUMBER(INDEX(Inputs!$D$4:$AG$150,0,MATCH(Z$2,Inputs!$D$2:$AG$2,0))))=0,"",SUMIFS(INDEX(Inputs!$D$4:$AG$150,0,MATCH(Z$2,Inputs!$D$2:$AG$2,0)),Inputs!$B$4:$B$150,$B59)/1000)</f>
        <v/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1238.005</v>
      </c>
      <c r="AB59" s="12" t="str">
        <f>IF(COUNT(X59:AA59)=4,SUM(X59:AA59),"")</f>
        <v/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1043.541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2566.572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Agronomy (estrutura FY26) - lucro do segmento (USD)</t>
        </is>
      </c>
      <c r="D60" s="11" t="str">
        <f>IF(SUMPRODUCT((Inputs!$B$4:$B$150=$B60)*ISNUMBER(INDEX(Inputs!$D$4:$AG$150,0,MATCH(D$2,Inputs!$D$2:$AG$2,0))))=0,"",SUMIFS(INDEX(Inputs!$D$4:$AG$150,0,MATCH(D$2,Inputs!$D$2:$AG$2,0)),Inputs!$B$4:$B$150,$B60)/1000)</f>
        <v/>
      </c>
      <c r="E60" s="11" t="str">
        <f>IF(SUMPRODUCT((Inputs!$B$4:$B$150=$B60)*ISNUMBER(INDEX(Inputs!$D$4:$AG$150,0,MATCH(E$2,Inputs!$D$2:$AG$2,0))))=0,"",SUMIFS(INDEX(Inputs!$D$4:$AG$150,0,MATCH(E$2,Inputs!$D$2:$AG$2,0)),Inputs!$B$4:$B$150,$B60)/1000)</f>
        <v/>
      </c>
      <c r="F60" s="11" t="str">
        <f>IF(SUMPRODUCT((Inputs!$B$4:$B$150=$B60)*ISNUMBER(INDEX(Inputs!$D$4:$AG$150,0,MATCH(F$2,Inputs!$D$2:$AG$2,0))))=0,"",SUMIFS(INDEX(Inputs!$D$4:$AG$150,0,MATCH(F$2,Inputs!$D$2:$AG$2,0)),Inputs!$B$4:$B$150,$B60)/1000)</f>
        <v/>
      </c>
      <c r="G60" s="11" t="str">
        <f>IF(SUMPRODUCT((Inputs!$B$4:$B$150=$B60)*ISNUMBER(INDEX(Inputs!$D$4:$AG$150,0,MATCH(G$2,Inputs!$D$2:$AG$2,0))))=0,"",SUMIFS(INDEX(Inputs!$D$4:$AG$150,0,MATCH(G$2,Inputs!$D$2:$AG$2,0)),Inputs!$B$4:$B$150,$B60)/1000)</f>
        <v/>
      </c>
      <c r="H60" s="12" t="str">
        <f>IF(COUNT(D60:G60)=4,SUM(D60:G60),"")</f>
        <v/>
      </c>
      <c r="I60" s="11" t="str">
        <f>IF(SUMPRODUCT((Inputs!$B$4:$B$150=$B60)*ISNUMBER(INDEX(Inputs!$D$4:$AG$150,0,MATCH(I$2,Inputs!$D$2:$AG$2,0))))=0,"",SUMIFS(INDEX(Inputs!$D$4:$AG$150,0,MATCH(I$2,Inputs!$D$2:$AG$2,0)),Inputs!$B$4:$B$150,$B60)/1000)</f>
        <v/>
      </c>
      <c r="J60" s="11" t="str">
        <f>IF(SUMPRODUCT((Inputs!$B$4:$B$150=$B60)*ISNUMBER(INDEX(Inputs!$D$4:$AG$150,0,MATCH(J$2,Inputs!$D$2:$AG$2,0))))=0,"",SUMIFS(INDEX(Inputs!$D$4:$AG$150,0,MATCH(J$2,Inputs!$D$2:$AG$2,0)),Inputs!$B$4:$B$150,$B60)/1000)</f>
        <v/>
      </c>
      <c r="K60" s="11" t="str">
        <f>IF(SUMPRODUCT((Inputs!$B$4:$B$150=$B60)*ISNUMBER(INDEX(Inputs!$D$4:$AG$150,0,MATCH(K$2,Inputs!$D$2:$AG$2,0))))=0,"",SUMIFS(INDEX(Inputs!$D$4:$AG$150,0,MATCH(K$2,Inputs!$D$2:$AG$2,0)),Inputs!$B$4:$B$150,$B60)/1000)</f>
        <v/>
      </c>
      <c r="L60" s="11" t="str">
        <f>IF(SUMPRODUCT((Inputs!$B$4:$B$150=$B60)*ISNUMBER(INDEX(Inputs!$D$4:$AG$150,0,MATCH(L$2,Inputs!$D$2:$AG$2,0))))=0,"",SUMIFS(INDEX(Inputs!$D$4:$AG$150,0,MATCH(L$2,Inputs!$D$2:$AG$2,0)),Inputs!$B$4:$B$150,$B60)/1000)</f>
        <v/>
      </c>
      <c r="M60" s="12" t="str">
        <f>IF(COUNT(I60:L60)=4,SUM(I60:L60),"")</f>
        <v/>
      </c>
      <c r="N60" s="11" t="str">
        <f>IF(SUMPRODUCT((Inputs!$B$4:$B$150=$B60)*ISNUMBER(INDEX(Inputs!$D$4:$AG$150,0,MATCH(N$2,Inputs!$D$2:$AG$2,0))))=0,"",SUMIFS(INDEX(Inputs!$D$4:$AG$150,0,MATCH(N$2,Inputs!$D$2:$AG$2,0)),Inputs!$B$4:$B$150,$B60)/1000)</f>
        <v/>
      </c>
      <c r="O60" s="11" t="str">
        <f>IF(SUMPRODUCT((Inputs!$B$4:$B$150=$B60)*ISNUMBER(INDEX(Inputs!$D$4:$AG$150,0,MATCH(O$2,Inputs!$D$2:$AG$2,0))))=0,"",SUMIFS(INDEX(Inputs!$D$4:$AG$150,0,MATCH(O$2,Inputs!$D$2:$AG$2,0)),Inputs!$B$4:$B$150,$B60)/1000)</f>
        <v/>
      </c>
      <c r="P60" s="11" t="str">
        <f>IF(SUMPRODUCT((Inputs!$B$4:$B$150=$B60)*ISNUMBER(INDEX(Inputs!$D$4:$AG$150,0,MATCH(P$2,Inputs!$D$2:$AG$2,0))))=0,"",SUMIFS(INDEX(Inputs!$D$4:$AG$150,0,MATCH(P$2,Inputs!$D$2:$AG$2,0)),Inputs!$B$4:$B$150,$B60)/1000)</f>
        <v/>
      </c>
      <c r="Q60" s="11" t="str">
        <f>IF(SUMPRODUCT((Inputs!$B$4:$B$150=$B60)*ISNUMBER(INDEX(Inputs!$D$4:$AG$150,0,MATCH(Q$2,Inputs!$D$2:$AG$2,0))))=0,"",SUMIFS(INDEX(Inputs!$D$4:$AG$150,0,MATCH(Q$2,Inputs!$D$2:$AG$2,0)),Inputs!$B$4:$B$150,$B60)/1000)</f>
        <v/>
      </c>
      <c r="R60" s="12" t="str">
        <f>IF(COUNT(N60:Q60)=4,SUM(N60:Q60),"")</f>
        <v/>
      </c>
      <c r="S60" s="11" t="str">
        <f>IF(SUMPRODUCT((Inputs!$B$4:$B$150=$B60)*ISNUMBER(INDEX(Inputs!$D$4:$AG$150,0,MATCH(S$2,Inputs!$D$2:$AG$2,0))))=0,"",SUMIFS(INDEX(Inputs!$D$4:$AG$150,0,MATCH(S$2,Inputs!$D$2:$AG$2,0)),Inputs!$B$4:$B$150,$B60)/1000)</f>
        <v/>
      </c>
      <c r="T60" s="11" t="str">
        <f>IF(SUMPRODUCT((Inputs!$B$4:$B$150=$B60)*ISNUMBER(INDEX(Inputs!$D$4:$AG$150,0,MATCH(T$2,Inputs!$D$2:$AG$2,0))))=0,"",SUMIFS(INDEX(Inputs!$D$4:$AG$150,0,MATCH(T$2,Inputs!$D$2:$AG$2,0)),Inputs!$B$4:$B$150,$B60)/1000)</f>
        <v/>
      </c>
      <c r="U60" s="11" t="str">
        <f>IF(SUMPRODUCT((Inputs!$B$4:$B$150=$B60)*ISNUMBER(INDEX(Inputs!$D$4:$AG$150,0,MATCH(U$2,Inputs!$D$2:$AG$2,0))))=0,"",SUMIFS(INDEX(Inputs!$D$4:$AG$150,0,MATCH(U$2,Inputs!$D$2:$AG$2,0)),Inputs!$B$4:$B$150,$B60)/1000)</f>
        <v/>
      </c>
      <c r="V60" s="11" t="str">
        <f>IF(SUMPRODUCT((Inputs!$B$4:$B$150=$B60)*ISNUMBER(INDEX(Inputs!$D$4:$AG$150,0,MATCH(V$2,Inputs!$D$2:$AG$2,0))))=0,"",SUMIFS(INDEX(Inputs!$D$4:$AG$150,0,MATCH(V$2,Inputs!$D$2:$AG$2,0)),Inputs!$B$4:$B$150,$B60)/1000)</f>
        <v/>
      </c>
      <c r="W60" s="12" t="str">
        <f>IF(COUNT(S60:V60)=4,SUM(S60:V60),"")</f>
        <v/>
      </c>
      <c r="X60" s="11" t="str">
        <f>IF(SUMPRODUCT((Inputs!$B$4:$B$150=$B60)*ISNUMBER(INDEX(Inputs!$D$4:$AG$150,0,MATCH(X$2,Inputs!$D$2:$AG$2,0))))=0,"",SUMIFS(INDEX(Inputs!$D$4:$AG$150,0,MATCH(X$2,Inputs!$D$2:$AG$2,0)),Inputs!$B$4:$B$150,$B60)/1000)</f>
        <v/>
      </c>
      <c r="Y60" s="11" t="str">
        <f>IF(SUMPRODUCT((Inputs!$B$4:$B$150=$B60)*ISNUMBER(INDEX(Inputs!$D$4:$AG$150,0,MATCH(Y$2,Inputs!$D$2:$AG$2,0))))=0,"",SUMIFS(INDEX(Inputs!$D$4:$AG$150,0,MATCH(Y$2,Inputs!$D$2:$AG$2,0)),Inputs!$B$4:$B$150,$B60)/1000)</f>
        <v/>
      </c>
      <c r="Z60" s="11" t="str">
        <f>IF(SUMPRODUCT((Inputs!$B$4:$B$150=$B60)*ISNUMBER(INDEX(Inputs!$D$4:$AG$150,0,MATCH(Z$2,Inputs!$D$2:$AG$2,0))))=0,"",SUMIFS(INDEX(Inputs!$D$4:$AG$150,0,MATCH(Z$2,Inputs!$D$2:$AG$2,0)),Inputs!$B$4:$B$150,$B60)/1000)</f>
        <v/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36.804</v>
      </c>
      <c r="AB60" s="12" t="str">
        <f>IF(COUNT(X60:AA60)=4,SUM(X60:AA60),"")</f>
        <v/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-11.492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275.044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Nitrogen Production (até FY25; sem receita, só equivalência) - receita (USD)</t>
        </is>
      </c>
      <c r="D61" s="11" t="str">
        <f>IF(SUMPRODUCT((Inputs!$B$4:$B$150=$B61)*ISNUMBER(INDEX(Inputs!$D$4:$AG$150,0,MATCH(D$2,Inputs!$D$2:$AG$2,0))))=0,"",SUMIFS(INDEX(Inputs!$D$4:$AG$150,0,MATCH(D$2,Inputs!$D$2:$AG$2,0)),Inputs!$B$4:$B$150,$B61)/1000)</f>
        <v/>
      </c>
      <c r="E61" s="11" t="str">
        <f>IF(SUMPRODUCT((Inputs!$B$4:$B$150=$B61)*ISNUMBER(INDEX(Inputs!$D$4:$AG$150,0,MATCH(E$2,Inputs!$D$2:$AG$2,0))))=0,"",SUMIFS(INDEX(Inputs!$D$4:$AG$150,0,MATCH(E$2,Inputs!$D$2:$AG$2,0)),Inputs!$B$4:$B$150,$B61)/1000)</f>
        <v/>
      </c>
      <c r="F61" s="11" t="str">
        <f>IF(SUMPRODUCT((Inputs!$B$4:$B$150=$B61)*ISNUMBER(INDEX(Inputs!$D$4:$AG$150,0,MATCH(F$2,Inputs!$D$2:$AG$2,0))))=0,"",SUMIFS(INDEX(Inputs!$D$4:$AG$150,0,MATCH(F$2,Inputs!$D$2:$AG$2,0)),Inputs!$B$4:$B$150,$B61)/1000)</f>
        <v/>
      </c>
      <c r="G61" s="11" t="str">
        <f>IF(SUMPRODUCT((Inputs!$B$4:$B$150=$B61)*ISNUMBER(INDEX(Inputs!$D$4:$AG$150,0,MATCH(G$2,Inputs!$D$2:$AG$2,0))))=0,"",SUMIFS(INDEX(Inputs!$D$4:$AG$150,0,MATCH(G$2,Inputs!$D$2:$AG$2,0)),Inputs!$B$4:$B$150,$B61)/1000)</f>
        <v/>
      </c>
      <c r="H61" s="12" t="str">
        <f>IF(COUNT(D61:G61)=4,SUM(D61:G61),"")</f>
        <v/>
      </c>
      <c r="I61" s="11" t="str">
        <f>IF(SUMPRODUCT((Inputs!$B$4:$B$150=$B61)*ISNUMBER(INDEX(Inputs!$D$4:$AG$150,0,MATCH(I$2,Inputs!$D$2:$AG$2,0))))=0,"",SUMIFS(INDEX(Inputs!$D$4:$AG$150,0,MATCH(I$2,Inputs!$D$2:$AG$2,0)),Inputs!$B$4:$B$150,$B61)/1000)</f>
        <v/>
      </c>
      <c r="J61" s="11" t="str">
        <f>IF(SUMPRODUCT((Inputs!$B$4:$B$150=$B61)*ISNUMBER(INDEX(Inputs!$D$4:$AG$150,0,MATCH(J$2,Inputs!$D$2:$AG$2,0))))=0,"",SUMIFS(INDEX(Inputs!$D$4:$AG$150,0,MATCH(J$2,Inputs!$D$2:$AG$2,0)),Inputs!$B$4:$B$150,$B61)/1000)</f>
        <v/>
      </c>
      <c r="K61" s="11" t="str">
        <f>IF(SUMPRODUCT((Inputs!$B$4:$B$150=$B61)*ISNUMBER(INDEX(Inputs!$D$4:$AG$150,0,MATCH(K$2,Inputs!$D$2:$AG$2,0))))=0,"",SUMIFS(INDEX(Inputs!$D$4:$AG$150,0,MATCH(K$2,Inputs!$D$2:$AG$2,0)),Inputs!$B$4:$B$150,$B61)/1000)</f>
        <v/>
      </c>
      <c r="L61" s="11" t="str">
        <f>IF(SUMPRODUCT((Inputs!$B$4:$B$150=$B61)*ISNUMBER(INDEX(Inputs!$D$4:$AG$150,0,MATCH(L$2,Inputs!$D$2:$AG$2,0))))=0,"",SUMIFS(INDEX(Inputs!$D$4:$AG$150,0,MATCH(L$2,Inputs!$D$2:$AG$2,0)),Inputs!$B$4:$B$150,$B61)/1000)</f>
        <v/>
      </c>
      <c r="M61" s="12" t="str">
        <f>IF(COUNT(I61:L61)=4,SUM(I61:L61),"")</f>
        <v/>
      </c>
      <c r="N61" s="11" t="str">
        <f>IF(SUMPRODUCT((Inputs!$B$4:$B$150=$B61)*ISNUMBER(INDEX(Inputs!$D$4:$AG$150,0,MATCH(N$2,Inputs!$D$2:$AG$2,0))))=0,"",SUMIFS(INDEX(Inputs!$D$4:$AG$150,0,MATCH(N$2,Inputs!$D$2:$AG$2,0)),Inputs!$B$4:$B$150,$B61)/1000)</f>
        <v/>
      </c>
      <c r="O61" s="11" t="str">
        <f>IF(SUMPRODUCT((Inputs!$B$4:$B$150=$B61)*ISNUMBER(INDEX(Inputs!$D$4:$AG$150,0,MATCH(O$2,Inputs!$D$2:$AG$2,0))))=0,"",SUMIFS(INDEX(Inputs!$D$4:$AG$150,0,MATCH(O$2,Inputs!$D$2:$AG$2,0)),Inputs!$B$4:$B$150,$B61)/1000)</f>
        <v/>
      </c>
      <c r="P61" s="11" t="str">
        <f>IF(SUMPRODUCT((Inputs!$B$4:$B$150=$B61)*ISNUMBER(INDEX(Inputs!$D$4:$AG$150,0,MATCH(P$2,Inputs!$D$2:$AG$2,0))))=0,"",SUMIFS(INDEX(Inputs!$D$4:$AG$150,0,MATCH(P$2,Inputs!$D$2:$AG$2,0)),Inputs!$B$4:$B$150,$B61)/1000)</f>
        <v/>
      </c>
      <c r="Q61" s="11" t="str">
        <f>IF(SUMPRODUCT((Inputs!$B$4:$B$150=$B61)*ISNUMBER(INDEX(Inputs!$D$4:$AG$150,0,MATCH(Q$2,Inputs!$D$2:$AG$2,0))))=0,"",SUMIFS(INDEX(Inputs!$D$4:$AG$150,0,MATCH(Q$2,Inputs!$D$2:$AG$2,0)),Inputs!$B$4:$B$150,$B61)/1000)</f>
        <v/>
      </c>
      <c r="R61" s="12" t="str">
        <f>IF(COUNT(N61:Q61)=4,SUM(N61:Q61),"")</f>
        <v/>
      </c>
      <c r="S61" s="11" t="str">
        <f>IF(SUMPRODUCT((Inputs!$B$4:$B$150=$B61)*ISNUMBER(INDEX(Inputs!$D$4:$AG$150,0,MATCH(S$2,Inputs!$D$2:$AG$2,0))))=0,"",SUMIFS(INDEX(Inputs!$D$4:$AG$150,0,MATCH(S$2,Inputs!$D$2:$AG$2,0)),Inputs!$B$4:$B$150,$B61)/1000)</f>
        <v/>
      </c>
      <c r="T61" s="11" t="str">
        <f>IF(SUMPRODUCT((Inputs!$B$4:$B$150=$B61)*ISNUMBER(INDEX(Inputs!$D$4:$AG$150,0,MATCH(T$2,Inputs!$D$2:$AG$2,0))))=0,"",SUMIFS(INDEX(Inputs!$D$4:$AG$150,0,MATCH(T$2,Inputs!$D$2:$AG$2,0)),Inputs!$B$4:$B$150,$B61)/1000)</f>
        <v/>
      </c>
      <c r="U61" s="11" t="str">
        <f>IF(SUMPRODUCT((Inputs!$B$4:$B$150=$B61)*ISNUMBER(INDEX(Inputs!$D$4:$AG$150,0,MATCH(U$2,Inputs!$D$2:$AG$2,0))))=0,"",SUMIFS(INDEX(Inputs!$D$4:$AG$150,0,MATCH(U$2,Inputs!$D$2:$AG$2,0)),Inputs!$B$4:$B$150,$B61)/1000)</f>
        <v/>
      </c>
      <c r="V61" s="11" t="str">
        <f>IF(SUMPRODUCT((Inputs!$B$4:$B$150=$B61)*ISNUMBER(INDEX(Inputs!$D$4:$AG$150,0,MATCH(V$2,Inputs!$D$2:$AG$2,0))))=0,"",SUMIFS(INDEX(Inputs!$D$4:$AG$150,0,MATCH(V$2,Inputs!$D$2:$AG$2,0)),Inputs!$B$4:$B$150,$B61)/1000)</f>
        <v/>
      </c>
      <c r="W61" s="12" t="str">
        <f>IF(COUNT(S61:V61)=4,SUM(S61:V61),"")</f>
        <v/>
      </c>
      <c r="X61" s="11" t="str">
        <f>IF(SUMPRODUCT((Inputs!$B$4:$B$150=$B61)*ISNUMBER(INDEX(Inputs!$D$4:$AG$150,0,MATCH(X$2,Inputs!$D$2:$AG$2,0))))=0,"",SUMIFS(INDEX(Inputs!$D$4:$AG$150,0,MATCH(X$2,Inputs!$D$2:$AG$2,0)),Inputs!$B$4:$B$150,$B61)/1000)</f>
        <v/>
      </c>
      <c r="Y61" s="11" t="str">
        <f>IF(SUMPRODUCT((Inputs!$B$4:$B$150=$B61)*ISNUMBER(INDEX(Inputs!$D$4:$AG$150,0,MATCH(Y$2,Inputs!$D$2:$AG$2,0))))=0,"",SUMIFS(INDEX(Inputs!$D$4:$AG$150,0,MATCH(Y$2,Inputs!$D$2:$AG$2,0)),Inputs!$B$4:$B$150,$B61)/1000)</f>
        <v/>
      </c>
      <c r="Z61" s="11" t="str">
        <f>IF(SUMPRODUCT((Inputs!$B$4:$B$150=$B61)*ISNUMBER(INDEX(Inputs!$D$4:$AG$150,0,MATCH(Z$2,Inputs!$D$2:$AG$2,0))))=0,"",SUMIFS(INDEX(Inputs!$D$4:$AG$150,0,MATCH(Z$2,Inputs!$D$2:$AG$2,0)),Inputs!$B$4:$B$150,$B61)/1000)</f>
        <v/>
      </c>
      <c r="AA61" s="11" t="str">
        <f>IF(SUMPRODUCT((Inputs!$B$4:$B$150=$B61)*ISNUMBER(INDEX(Inputs!$D$4:$AG$150,0,MATCH(AA$2,Inputs!$D$2:$AG$2,0))))=0,"",SUMIFS(INDEX(Inputs!$D$4:$AG$150,0,MATCH(AA$2,Inputs!$D$2:$AG$2,0)),Inputs!$B$4:$B$150,$B61)/1000)</f>
        <v/>
      </c>
      <c r="AB61" s="12" t="str">
        <f>IF(COUNT(X61:AA61)=4,SUM(X61:AA61),"")</f>
        <v/>
      </c>
      <c r="AC61" s="11" t="str">
        <f>IF(SUMPRODUCT((Inputs!$B$4:$B$150=$B61)*ISNUMBER(INDEX(Inputs!$D$4:$AG$150,0,MATCH(AC$2,Inputs!$D$2:$AG$2,0))))=0,"",SUMIFS(INDEX(Inputs!$D$4:$AG$150,0,MATCH(AC$2,Inputs!$D$2:$AG$2,0)),Inputs!$B$4:$B$150,$B61)/1000)</f>
        <v/>
      </c>
      <c r="AD61" s="11" t="str">
        <f>IF(SUMPRODUCT((Inputs!$B$4:$B$150=$B61)*ISNUMBER(INDEX(Inputs!$D$4:$AG$150,0,MATCH(AD$2,Inputs!$D$2:$AG$2,0))))=0,"",SUMIFS(INDEX(Inputs!$D$4:$AG$150,0,MATCH(AD$2,Inputs!$D$2:$AG$2,0)),Inputs!$B$4:$B$150,$B61)/1000)</f>
        <v/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Nitrogen Production (até FY25; sem receita, só equivalência) - lucro do segmento (USD)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11.165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46.635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58.765</v>
      </c>
      <c r="G62" s="11">
        <f>IF(SUMPRODUCT((Inputs!$B$4:$B$150=$B62)*ISNUMBER(INDEX(Inputs!$D$4:$AG$150,0,MATCH(G$2,Inputs!$D$2:$AG$2,0))))=0,"",SUMIFS(INDEX(Inputs!$D$4:$AG$150,0,MATCH(G$2,Inputs!$D$2:$AG$2,0)),Inputs!$B$4:$B$150,$B62)/1000)</f>
        <v>96.583</v>
      </c>
      <c r="H62" s="12">
        <f>IF(COUNT(D62:G62)=4,SUM(D62:G62),"")</f>
        <v>213.148</v>
      </c>
      <c r="I62" s="11">
        <f>IF(SUMPRODUCT((Inputs!$B$4:$B$150=$B62)*ISNUMBER(INDEX(Inputs!$D$4:$AG$150,0,MATCH(I$2,Inputs!$D$2:$AG$2,0))))=0,"",SUMIFS(INDEX(Inputs!$D$4:$AG$150,0,MATCH(I$2,Inputs!$D$2:$AG$2,0)),Inputs!$B$4:$B$150,$B62)/1000)</f>
        <v>154.257</v>
      </c>
      <c r="J62" s="11">
        <f>IF(SUMPRODUCT((Inputs!$B$4:$B$150=$B62)*ISNUMBER(INDEX(Inputs!$D$4:$AG$150,0,MATCH(J$2,Inputs!$D$2:$AG$2,0))))=0,"",SUMIFS(INDEX(Inputs!$D$4:$AG$150,0,MATCH(J$2,Inputs!$D$2:$AG$2,0)),Inputs!$B$4:$B$150,$B62)/1000)</f>
        <v>178.212</v>
      </c>
      <c r="K62" s="11">
        <f>IF(SUMPRODUCT((Inputs!$B$4:$B$150=$B62)*ISNUMBER(INDEX(Inputs!$D$4:$AG$150,0,MATCH(K$2,Inputs!$D$2:$AG$2,0))))=0,"",SUMIFS(INDEX(Inputs!$D$4:$AG$150,0,MATCH(K$2,Inputs!$D$2:$AG$2,0)),Inputs!$B$4:$B$150,$B62)/1000)</f>
        <v>48.933</v>
      </c>
      <c r="L62" s="11">
        <f>IF(SUMPRODUCT((Inputs!$B$4:$B$150=$B62)*ISNUMBER(INDEX(Inputs!$D$4:$AG$150,0,MATCH(L$2,Inputs!$D$2:$AG$2,0))))=0,"",SUMIFS(INDEX(Inputs!$D$4:$AG$150,0,MATCH(L$2,Inputs!$D$2:$AG$2,0)),Inputs!$B$4:$B$150,$B62)/1000)</f>
        <v>96.873</v>
      </c>
      <c r="M62" s="12">
        <f>IF(COUNT(I62:L62)=4,SUM(I62:L62),"")</f>
        <v>478.275</v>
      </c>
      <c r="N62" s="11">
        <f>IF(SUMPRODUCT((Inputs!$B$4:$B$150=$B62)*ISNUMBER(INDEX(Inputs!$D$4:$AG$150,0,MATCH(N$2,Inputs!$D$2:$AG$2,0))))=0,"",SUMIFS(INDEX(Inputs!$D$4:$AG$150,0,MATCH(N$2,Inputs!$D$2:$AG$2,0)),Inputs!$B$4:$B$150,$B62)/1000)</f>
        <v>81.733</v>
      </c>
      <c r="O62" s="11">
        <f>IF(SUMPRODUCT((Inputs!$B$4:$B$150=$B62)*ISNUMBER(INDEX(Inputs!$D$4:$AG$150,0,MATCH(O$2,Inputs!$D$2:$AG$2,0))))=0,"",SUMIFS(INDEX(Inputs!$D$4:$AG$150,0,MATCH(O$2,Inputs!$D$2:$AG$2,0)),Inputs!$B$4:$B$150,$B62)/1000)</f>
        <v>56.263</v>
      </c>
      <c r="P62" s="11">
        <f>IF(SUMPRODUCT((Inputs!$B$4:$B$150=$B62)*ISNUMBER(INDEX(Inputs!$D$4:$AG$150,0,MATCH(P$2,Inputs!$D$2:$AG$2,0))))=0,"",SUMIFS(INDEX(Inputs!$D$4:$AG$150,0,MATCH(P$2,Inputs!$D$2:$AG$2,0)),Inputs!$B$4:$B$150,$B62)/1000)</f>
        <v>25.891</v>
      </c>
      <c r="Q62" s="11">
        <f>IF(SUMPRODUCT((Inputs!$B$4:$B$150=$B62)*ISNUMBER(INDEX(Inputs!$D$4:$AG$150,0,MATCH(Q$2,Inputs!$D$2:$AG$2,0))))=0,"",SUMIFS(INDEX(Inputs!$D$4:$AG$150,0,MATCH(Q$2,Inputs!$D$2:$AG$2,0)),Inputs!$B$4:$B$150,$B62)/1000)</f>
        <v>36.459</v>
      </c>
      <c r="R62" s="12">
        <f>IF(COUNT(N62:Q62)=4,SUM(N62:Q62),"")</f>
        <v>200.346</v>
      </c>
      <c r="S62" s="11">
        <f>IF(SUMPRODUCT((Inputs!$B$4:$B$150=$B62)*ISNUMBER(INDEX(Inputs!$D$4:$AG$150,0,MATCH(S$2,Inputs!$D$2:$AG$2,0))))=0,"",SUMIFS(INDEX(Inputs!$D$4:$AG$150,0,MATCH(S$2,Inputs!$D$2:$AG$2,0)),Inputs!$B$4:$B$150,$B62)/1000)</f>
        <v>37.009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52.366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25.401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25.241</v>
      </c>
      <c r="W62" s="12">
        <f>IF(COUNT(S62:V62)=4,SUM(S62:V62),"")</f>
        <v>140.017</v>
      </c>
      <c r="X62" s="11">
        <f>IF(SUMPRODUCT((Inputs!$B$4:$B$150=$B62)*ISNUMBER(INDEX(Inputs!$D$4:$AG$150,0,MATCH(X$2,Inputs!$D$2:$AG$2,0))))=0,"",SUMIFS(INDEX(Inputs!$D$4:$AG$150,0,MATCH(X$2,Inputs!$D$2:$AG$2,0)),Inputs!$B$4:$B$150,$B62)/1000)</f>
        <v>20.344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54.61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59.346</v>
      </c>
      <c r="AA62" s="11" t="str">
        <f>IF(SUMPRODUCT((Inputs!$B$4:$B$150=$B62)*ISNUMBER(INDEX(Inputs!$D$4:$AG$150,0,MATCH(AA$2,Inputs!$D$2:$AG$2,0))))=0,"",SUMIFS(INDEX(Inputs!$D$4:$AG$150,0,MATCH(AA$2,Inputs!$D$2:$AG$2,0)),Inputs!$B$4:$B$150,$B62)/1000)</f>
        <v/>
      </c>
      <c r="AB62" s="12" t="str">
        <f>IF(COUNT(X62:AA62)=4,SUM(X62:AA62),"")</f>
        <v/>
      </c>
      <c r="AC62" s="11" t="str">
        <f>IF(SUMPRODUCT((Inputs!$B$4:$B$150=$B62)*ISNUMBER(INDEX(Inputs!$D$4:$AG$150,0,MATCH(AC$2,Inputs!$D$2:$AG$2,0))))=0,"",SUMIFS(INDEX(Inputs!$D$4:$AG$150,0,MATCH(AC$2,Inputs!$D$2:$AG$2,0)),Inputs!$B$4:$B$150,$B62)/1000)</f>
        <v/>
      </c>
      <c r="AD62" s="11" t="str">
        <f>IF(SUMPRODUCT((Inputs!$B$4:$B$150=$B62)*ISNUMBER(INDEX(Inputs!$D$4:$AG$150,0,MATCH(AD$2,Inputs!$D$2:$AG$2,0))))=0,"",SUMIFS(INDEX(Inputs!$D$4:$AG$150,0,MATCH(AD$2,Inputs!$D$2:$AG$2,0)),Inputs!$B$4:$B$150,$B62)/1000)</f>
        <v/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Corporate &amp; Other / demais segmentos - receita (USD)</t>
        </is>
      </c>
      <c r="D63" s="11">
        <f>IF(SUMPRODUCT((Inputs!$B$4:$B$150=$B63)*ISNUMBER(INDEX(Inputs!$D$4:$AG$150,0,MATCH(D$2,Inputs!$D$2:$AG$2,0))))=0,"",SUMIFS(INDEX(Inputs!$D$4:$AG$150,0,MATCH(D$2,Inputs!$D$2:$AG$2,0)),Inputs!$B$4:$B$150,$B63)/1000)</f>
        <v>9.789</v>
      </c>
      <c r="E63" s="11">
        <f>IF(SUMPRODUCT((Inputs!$B$4:$B$150=$B63)*ISNUMBER(INDEX(Inputs!$D$4:$AG$150,0,MATCH(E$2,Inputs!$D$2:$AG$2,0))))=0,"",SUMIFS(INDEX(Inputs!$D$4:$AG$150,0,MATCH(E$2,Inputs!$D$2:$AG$2,0)),Inputs!$B$4:$B$150,$B63)/1000)</f>
        <v>8.974</v>
      </c>
      <c r="F63" s="11">
        <f>IF(SUMPRODUCT((Inputs!$B$4:$B$150=$B63)*ISNUMBER(INDEX(Inputs!$D$4:$AG$150,0,MATCH(F$2,Inputs!$D$2:$AG$2,0))))=0,"",SUMIFS(INDEX(Inputs!$D$4:$AG$150,0,MATCH(F$2,Inputs!$D$2:$AG$2,0)),Inputs!$B$4:$B$150,$B63)/1000)</f>
        <v>6.273</v>
      </c>
      <c r="G63" s="11">
        <f>IF(SUMPRODUCT((Inputs!$B$4:$B$150=$B63)*ISNUMBER(INDEX(Inputs!$D$4:$AG$150,0,MATCH(G$2,Inputs!$D$2:$AG$2,0))))=0,"",SUMIFS(INDEX(Inputs!$D$4:$AG$150,0,MATCH(G$2,Inputs!$D$2:$AG$2,0)),Inputs!$B$4:$B$150,$B63)/1000)</f>
        <v>7.511</v>
      </c>
      <c r="H63" s="12">
        <f>IF(COUNT(D63:G63)=4,SUM(D63:G63),"")</f>
        <v>32.547</v>
      </c>
      <c r="I63" s="11">
        <f>IF(SUMPRODUCT((Inputs!$B$4:$B$150=$B63)*ISNUMBER(INDEX(Inputs!$D$4:$AG$150,0,MATCH(I$2,Inputs!$D$2:$AG$2,0))))=0,"",SUMIFS(INDEX(Inputs!$D$4:$AG$150,0,MATCH(I$2,Inputs!$D$2:$AG$2,0)),Inputs!$B$4:$B$150,$B63)/1000)</f>
        <v>8.658</v>
      </c>
      <c r="J63" s="11">
        <f>IF(SUMPRODUCT((Inputs!$B$4:$B$150=$B63)*ISNUMBER(INDEX(Inputs!$D$4:$AG$150,0,MATCH(J$2,Inputs!$D$2:$AG$2,0))))=0,"",SUMIFS(INDEX(Inputs!$D$4:$AG$150,0,MATCH(J$2,Inputs!$D$2:$AG$2,0)),Inputs!$B$4:$B$150,$B63)/1000)</f>
        <v>9.413</v>
      </c>
      <c r="K63" s="11">
        <f>IF(SUMPRODUCT((Inputs!$B$4:$B$150=$B63)*ISNUMBER(INDEX(Inputs!$D$4:$AG$150,0,MATCH(K$2,Inputs!$D$2:$AG$2,0))))=0,"",SUMIFS(INDEX(Inputs!$D$4:$AG$150,0,MATCH(K$2,Inputs!$D$2:$AG$2,0)),Inputs!$B$4:$B$150,$B63)/1000)</f>
        <v>11.099</v>
      </c>
      <c r="L63" s="11">
        <f>IF(SUMPRODUCT((Inputs!$B$4:$B$150=$B63)*ISNUMBER(INDEX(Inputs!$D$4:$AG$150,0,MATCH(L$2,Inputs!$D$2:$AG$2,0))))=0,"",SUMIFS(INDEX(Inputs!$D$4:$AG$150,0,MATCH(L$2,Inputs!$D$2:$AG$2,0)),Inputs!$B$4:$B$150,$B63)/1000)</f>
        <v>13.289</v>
      </c>
      <c r="M63" s="12">
        <f>IF(COUNT(I63:L63)=4,SUM(I63:L63),"")</f>
        <v>42.459</v>
      </c>
      <c r="N63" s="11">
        <f>IF(SUMPRODUCT((Inputs!$B$4:$B$150=$B63)*ISNUMBER(INDEX(Inputs!$D$4:$AG$150,0,MATCH(N$2,Inputs!$D$2:$AG$2,0))))=0,"",SUMIFS(INDEX(Inputs!$D$4:$AG$150,0,MATCH(N$2,Inputs!$D$2:$AG$2,0)),Inputs!$B$4:$B$150,$B63)/1000)</f>
        <v>17.477</v>
      </c>
      <c r="O63" s="11">
        <f>IF(SUMPRODUCT((Inputs!$B$4:$B$150=$B63)*ISNUMBER(INDEX(Inputs!$D$4:$AG$150,0,MATCH(O$2,Inputs!$D$2:$AG$2,0))))=0,"",SUMIFS(INDEX(Inputs!$D$4:$AG$150,0,MATCH(O$2,Inputs!$D$2:$AG$2,0)),Inputs!$B$4:$B$150,$B63)/1000)</f>
        <v>17.988</v>
      </c>
      <c r="P63" s="11">
        <f>IF(SUMPRODUCT((Inputs!$B$4:$B$150=$B63)*ISNUMBER(INDEX(Inputs!$D$4:$AG$150,0,MATCH(P$2,Inputs!$D$2:$AG$2,0))))=0,"",SUMIFS(INDEX(Inputs!$D$4:$AG$150,0,MATCH(P$2,Inputs!$D$2:$AG$2,0)),Inputs!$B$4:$B$150,$B63)/1000)</f>
        <v>19.133</v>
      </c>
      <c r="Q63" s="11">
        <f>IF(SUMPRODUCT((Inputs!$B$4:$B$150=$B63)*ISNUMBER(INDEX(Inputs!$D$4:$AG$150,0,MATCH(Q$2,Inputs!$D$2:$AG$2,0))))=0,"",SUMIFS(INDEX(Inputs!$D$4:$AG$150,0,MATCH(Q$2,Inputs!$D$2:$AG$2,0)),Inputs!$B$4:$B$150,$B63)/1000)</f>
        <v>20.553</v>
      </c>
      <c r="R63" s="12">
        <f>IF(COUNT(N63:Q63)=4,SUM(N63:Q63),"")</f>
        <v>75.151</v>
      </c>
      <c r="S63" s="11">
        <f>IF(SUMPRODUCT((Inputs!$B$4:$B$150=$B63)*ISNUMBER(INDEX(Inputs!$D$4:$AG$150,0,MATCH(S$2,Inputs!$D$2:$AG$2,0))))=0,"",SUMIFS(INDEX(Inputs!$D$4:$AG$150,0,MATCH(S$2,Inputs!$D$2:$AG$2,0)),Inputs!$B$4:$B$150,$B63)/1000)</f>
        <v>19.647</v>
      </c>
      <c r="T63" s="11">
        <f>IF(SUMPRODUCT((Inputs!$B$4:$B$150=$B63)*ISNUMBER(INDEX(Inputs!$D$4:$AG$150,0,MATCH(T$2,Inputs!$D$2:$AG$2,0))))=0,"",SUMIFS(INDEX(Inputs!$D$4:$AG$150,0,MATCH(T$2,Inputs!$D$2:$AG$2,0)),Inputs!$B$4:$B$150,$B63)/1000)</f>
        <v>18.149</v>
      </c>
      <c r="U63" s="11">
        <f>IF(SUMPRODUCT((Inputs!$B$4:$B$150=$B63)*ISNUMBER(INDEX(Inputs!$D$4:$AG$150,0,MATCH(U$2,Inputs!$D$2:$AG$2,0))))=0,"",SUMIFS(INDEX(Inputs!$D$4:$AG$150,0,MATCH(U$2,Inputs!$D$2:$AG$2,0)),Inputs!$B$4:$B$150,$B63)/1000)</f>
        <v>19.526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20.839</v>
      </c>
      <c r="W63" s="12">
        <f>IF(COUNT(S63:V63)=4,SUM(S63:V63),"")</f>
        <v>78.161</v>
      </c>
      <c r="X63" s="11">
        <f>IF(SUMPRODUCT((Inputs!$B$4:$B$150=$B63)*ISNUMBER(INDEX(Inputs!$D$4:$AG$150,0,MATCH(X$2,Inputs!$D$2:$AG$2,0))))=0,"",SUMIFS(INDEX(Inputs!$D$4:$AG$150,0,MATCH(X$2,Inputs!$D$2:$AG$2,0)),Inputs!$B$4:$B$150,$B63)/1000)</f>
        <v>19.484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18.418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20.353</v>
      </c>
      <c r="AA63" s="11" t="str">
        <f>IF(SUMPRODUCT((Inputs!$B$4:$B$150=$B63)*ISNUMBER(INDEX(Inputs!$D$4:$AG$150,0,MATCH(AA$2,Inputs!$D$2:$AG$2,0))))=0,"",SUMIFS(INDEX(Inputs!$D$4:$AG$150,0,MATCH(AA$2,Inputs!$D$2:$AG$2,0)),Inputs!$B$4:$B$150,$B63)/1000)</f>
        <v/>
      </c>
      <c r="AB63" s="12" t="str">
        <f>IF(COUNT(X63:AA63)=4,SUM(X63:AA63),"")</f>
        <v/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96.381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90.965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Corporate &amp; Other / demais segmentos - lucro do segmento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22.791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64.478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-73.123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14.465</v>
      </c>
      <c r="H64" s="12">
        <f>IF(COUNT(D64:G64)=4,SUM(D64:G64),"")</f>
        <v>28.611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10.557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23.596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9.276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36.704</v>
      </c>
      <c r="M64" s="12">
        <f>IF(COUNT(I64:L64)=4,SUM(I64:L64),"")</f>
        <v>80.133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48.033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69.347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105.684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43.832</v>
      </c>
      <c r="R64" s="12">
        <f>IF(COUNT(N64:Q64)=4,SUM(N64:Q64),"")</f>
        <v>266.896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40.219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51.117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39.654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47.181</v>
      </c>
      <c r="W64" s="12">
        <f>IF(COUNT(S64:V64)=4,SUM(S64:V64),"")</f>
        <v>178.171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23.965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103.293</v>
      </c>
      <c r="Z64" s="11">
        <f>IF(SUMPRODUCT((Inputs!$B$4:$B$150=$B64)*ISNUMBER(INDEX(Inputs!$D$4:$AG$150,0,MATCH(Z$2,Inputs!$D$2:$AG$2,0))))=0,"",SUMIFS(INDEX(Inputs!$D$4:$AG$150,0,MATCH(Z$2,Inputs!$D$2:$AG$2,0)),Inputs!$B$4:$B$150,$B64)/1000)</f>
        <v>42.174</v>
      </c>
      <c r="AA64" s="11">
        <f>IF(SUMPRODUCT((Inputs!$B$4:$B$150=$B64)*ISNUMBER(INDEX(Inputs!$D$4:$AG$150,0,MATCH(AA$2,Inputs!$D$2:$AG$2,0))))=0,"",SUMIFS(INDEX(Inputs!$D$4:$AG$150,0,MATCH(AA$2,Inputs!$D$2:$AG$2,0)),Inputs!$B$4:$B$150,$B64)/1000)</f>
        <v>0</v>
      </c>
      <c r="AB64" s="12">
        <f>IF(COUNT(X64:AA64)=4,SUM(X64:AA64),"")</f>
        <v>169.432</v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-1.907</v>
      </c>
      <c r="AD64" s="11">
        <f>IF(SUMPRODUCT((Inputs!$B$4:$B$150=$B64)*ISNUMBER(INDEX(Inputs!$D$4:$AG$150,0,MATCH(AD$2,Inputs!$D$2:$AG$2,0))))=0,"",SUMIFS(INDEX(Inputs!$D$4:$AG$150,0,MATCH(AD$2,Inputs!$D$2:$AG$2,0)),Inputs!$B$4:$B$150,$B64)/1000)</f>
        <v>30.634</v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6.46593889541691e-13</v>
      </c>
      <c r="J1" s="12">
        <f>IF(J2="","",SUM(J2,J3))</f>
        <v>0</v>
      </c>
      <c r="K1" s="12">
        <f>IF(K2="","",SUM(K2,K3))</f>
        <v>1.70530256582424e-12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5.25801624462474e-13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3.97903932025656e-13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1.02318153949454e-12</v>
      </c>
      <c r="AG1" s="12">
        <f>IF(AG2="","",SUM(AG2,AG3))</f>
        <v>0</v>
      </c>
      <c r="AH1" s="12">
        <f>IF(AH2="","",SUM(AH2,AH3))</f>
        <v>6.82121026329696e-13</v>
      </c>
      <c r="AI1" s="12">
        <f>IF(AI2="","",SUM(AI2,AI3))</f>
        <v>0</v>
      </c>
      <c r="AJ1" s="12">
        <f>IF(AJ2="","",SUM(AJ2,AJ3))</f>
        <v>136.922466698539</v>
      </c>
      <c r="AK1" s="12">
        <f>IF(AK2="","",SUM(AK2,AK3))</f>
        <v>141.030832480705</v>
      </c>
      <c r="AL1" s="12">
        <f>IF(AL2="","",SUM(AL2,AL3))</f>
        <v>398.267299179244</v>
      </c>
      <c r="AM1" s="12">
        <f>IF(AM2="","",SUM(AM2,AM3))</f>
        <v>132.911583517051</v>
      </c>
      <c r="AN1" s="12">
        <f>IF(AN2="","",SUM(AN2,AN3))</f>
        <v>184.274874655761</v>
      </c>
      <c r="AO1" s="12">
        <f>IF(AO2="","",SUM(AO2,AO3))</f>
        <v>137.459109734617</v>
      </c>
      <c r="AP1" s="12">
        <f>IF(AP2="","",SUM(AP2,AP3))</f>
        <v>141.583577519179</v>
      </c>
      <c r="AQ1" s="12">
        <f>IF(AQ2="","",SUM(AQ2,AQ3))</f>
        <v>596.229145426607</v>
      </c>
      <c r="AR1" s="12">
        <f>IF(AR2="","",SUM(AR2,AR3))</f>
        <v>132.911583517051</v>
      </c>
      <c r="AS1" s="12">
        <f>IF(AS2="","",SUM(AS2,AS3))</f>
        <v>184.274874655761</v>
      </c>
      <c r="AT1" s="12">
        <f>IF(AT2="","",SUM(AT2,AT3))</f>
        <v>137.459109734617</v>
      </c>
      <c r="AU1" s="12">
        <f>IF(AU2="","",SUM(AU2,AU3))</f>
        <v>141.583577519179</v>
      </c>
      <c r="AV1" s="12">
        <f>IF(AV2="","",SUM(AV2,AV3))</f>
        <v>596.229145426607</v>
      </c>
      <c r="AW1" s="12">
        <f>IF(AW2="","",SUM(AW2,AW3))</f>
        <v>132.911583517051</v>
      </c>
      <c r="AX1" s="12">
        <f>IF(AX2="","",SUM(AX2,AX3))</f>
        <v>184.274874655761</v>
      </c>
      <c r="AY1" s="12">
        <f>IF(AY2="","",SUM(AY2,AY3))</f>
        <v>137.459109734617</v>
      </c>
      <c r="AZ1" s="12">
        <f>IF(AZ2="","",SUM(AZ2,AZ3))</f>
        <v>141.583577519179</v>
      </c>
      <c r="BA1" s="12">
        <f>IF(BA2="","",SUM(BA2,BA3))</f>
        <v>596.229145426607</v>
      </c>
      <c r="BB1" s="12">
        <f>IF(BB2="","",SUM(BB2,BB3))</f>
        <v>132.911583517051</v>
      </c>
      <c r="BC1" s="12">
        <f>IF(BC2="","",SUM(BC2,BC3))</f>
        <v>184.274874655761</v>
      </c>
      <c r="BD1" s="12">
        <f>IF(BD2="","",SUM(BD2,BD3))</f>
        <v>137.459109734617</v>
      </c>
      <c r="BE1" s="12">
        <f>IF(BE2="","",SUM(BE2,BE3))</f>
        <v>141.583577519179</v>
      </c>
      <c r="BF1" s="12">
        <f>IF(BF2="","",SUM(BF2,BF3))</f>
        <v>596.229145426607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</v>
      </c>
      <c r="T2" s="12">
        <f>IF(COUNT(T197,T273)&lt;2,"",ABS(T197-T273))</f>
        <v>0</v>
      </c>
      <c r="U2" s="12">
        <f>IF(COUNT(U197,U273)&lt;2,"",ABS(U197-U273))</f>
        <v>0</v>
      </c>
      <c r="V2" s="12">
        <f>IF(COUNT(V197,V273)&lt;2,"",ABS(V197-V273))</f>
        <v>0</v>
      </c>
      <c r="W2" s="12">
        <f>IF(COUNT(W197,W273)&lt;2,"",ABS(W197-W273))</f>
        <v>0</v>
      </c>
      <c r="X2" s="12">
        <f>IF(COUNT(X197,X273)&lt;2,"",ABS(X197-X273))</f>
        <v>0</v>
      </c>
      <c r="Y2" s="12">
        <f>IF(COUNT(Y197,Y273)&lt;2,"",ABS(Y197-Y273))</f>
        <v>0</v>
      </c>
      <c r="Z2" s="12">
        <f>IF(COUNT(Z197,Z273)&lt;2,"",ABS(Z197-Z273))</f>
        <v>0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6.46593889541691e-13</v>
      </c>
      <c r="J3" s="12">
        <f>IF(COUNT(J137,J4)&lt;2,"",ABS(J137-J4))</f>
        <v>0</v>
      </c>
      <c r="K3" s="12">
        <f>IF(COUNT(K137,K4)&lt;2,"",ABS(K137-K4))</f>
        <v>1.70530256582424e-12</v>
      </c>
      <c r="L3" s="12">
        <f>IF(COUNT(L137,L4)&lt;2,"",ABS(L137-L4))</f>
        <v>0</v>
      </c>
      <c r="M3" s="12">
        <f>IF(COUNT(M137,M4)&lt;2,"",ABS(M137-M4))</f>
        <v>0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</v>
      </c>
      <c r="Q3" s="12">
        <f>IF(COUNT(Q137,Q4)&lt;2,"",ABS(Q137-Q4))</f>
        <v>0</v>
      </c>
      <c r="R3" s="12">
        <f>IF(COUNT(R137,R4)&lt;2,"",ABS(R137-R4))</f>
        <v>0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</v>
      </c>
      <c r="V3" s="12">
        <f>IF(COUNT(V137,V4)&lt;2,"",ABS(V137-V4))</f>
        <v>0</v>
      </c>
      <c r="W3" s="12">
        <f>IF(COUNT(W137,W4)&lt;2,"",ABS(W137-W4))</f>
        <v>0</v>
      </c>
      <c r="X3" s="12">
        <f>IF(COUNT(X137,X4)&lt;2,"",ABS(X137-X4))</f>
        <v>0</v>
      </c>
      <c r="Y3" s="12">
        <f>IF(COUNT(Y137,Y4)&lt;2,"",ABS(Y137-Y4))</f>
        <v>0</v>
      </c>
      <c r="Z3" s="12">
        <f>IF(COUNT(Z137,Z4)&lt;2,"",ABS(Z137-Z4))</f>
        <v>5.25801624462474e-13</v>
      </c>
      <c r="AA3" s="12">
        <f>IF(COUNT(AA137,AA4)&lt;2,"",ABS(AA137-AA4))</f>
        <v>0</v>
      </c>
      <c r="AB3" s="12">
        <f>IF(COUNT(AB137,AB4)&lt;2,"",ABS(AB137-AB4))</f>
        <v>0</v>
      </c>
      <c r="AC3" s="12">
        <f>IF(COUNT(AC137,AC4)&lt;2,"",ABS(AC137-AC4))</f>
        <v>3.97903932025656e-13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1.02318153949454e-12</v>
      </c>
      <c r="AG3" s="12">
        <f>IF(COUNT(AG137,AG4)&lt;2,"",ABS(AG137-AG4))</f>
        <v>0</v>
      </c>
      <c r="AH3" s="12">
        <f>IF(COUNT(AH137,AH4)&lt;2,"",ABS(AH137-AH4))</f>
        <v>6.82121026329696e-13</v>
      </c>
      <c r="AI3" s="12">
        <f>IF(COUNT(AI137,AI4)&lt;2,"",ABS(AI137-AI4))</f>
        <v>0</v>
      </c>
      <c r="AJ3" s="12">
        <f>ABS(AJ137-AJ4)</f>
        <v>136.922466698539</v>
      </c>
      <c r="AK3" s="12">
        <f>ABS(AK137-AK4)</f>
        <v>141.030832480705</v>
      </c>
      <c r="AL3" s="12">
        <f>ABS(AL137-AL4)</f>
        <v>398.267299179244</v>
      </c>
      <c r="AM3" s="12">
        <f>ABS(AM137-AM4)</f>
        <v>132.911583517051</v>
      </c>
      <c r="AN3" s="12">
        <f>ABS(AN137-AN4)</f>
        <v>184.274874655761</v>
      </c>
      <c r="AO3" s="12">
        <f>ABS(AO137-AO4)</f>
        <v>137.459109734617</v>
      </c>
      <c r="AP3" s="12">
        <f>ABS(AP137-AP4)</f>
        <v>141.583577519179</v>
      </c>
      <c r="AQ3" s="12">
        <f>ABS(AQ137-AQ4)</f>
        <v>596.229145426607</v>
      </c>
      <c r="AR3" s="12">
        <f>ABS(AR137-AR4)</f>
        <v>132.911583517051</v>
      </c>
      <c r="AS3" s="12">
        <f>ABS(AS137-AS4)</f>
        <v>184.274874655761</v>
      </c>
      <c r="AT3" s="12">
        <f>ABS(AT137-AT4)</f>
        <v>137.459109734617</v>
      </c>
      <c r="AU3" s="12">
        <f>ABS(AU137-AU4)</f>
        <v>141.583577519179</v>
      </c>
      <c r="AV3" s="12">
        <f>ABS(AV137-AV4)</f>
        <v>596.229145426607</v>
      </c>
      <c r="AW3" s="12">
        <f>ABS(AW137-AW4)</f>
        <v>132.911583517051</v>
      </c>
      <c r="AX3" s="12">
        <f>ABS(AX137-AX4)</f>
        <v>184.274874655761</v>
      </c>
      <c r="AY3" s="12">
        <f>ABS(AY137-AY4)</f>
        <v>137.459109734617</v>
      </c>
      <c r="AZ3" s="12">
        <f>ABS(AZ137-AZ4)</f>
        <v>141.583577519179</v>
      </c>
      <c r="BA3" s="12">
        <f>ABS(BA137-BA4)</f>
        <v>596.229145426607</v>
      </c>
      <c r="BB3" s="12">
        <f>ABS(BB137-BB4)</f>
        <v>132.911583517051</v>
      </c>
      <c r="BC3" s="12">
        <f>ABS(BC137-BC4)</f>
        <v>184.274874655761</v>
      </c>
      <c r="BD3" s="12">
        <f>ABS(BD137-BD4)</f>
        <v>137.459109734617</v>
      </c>
      <c r="BE3" s="12">
        <f>ABS(BE137-BE4)</f>
        <v>141.583577519179</v>
      </c>
      <c r="BF3" s="12">
        <f>ABS(BF137-BF4)</f>
        <v>596.229145426607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-38.229</v>
      </c>
      <c r="J4">
        <f>IF(ISNUMBER('Inputs (2)'!E50),'Inputs (2)'!E50,"")</f>
        <v>273.591</v>
      </c>
      <c r="K4">
        <f>IF(ISNUMBER('Inputs (2)'!F50),'Inputs (2)'!F50,"")</f>
        <v>248.919</v>
      </c>
      <c r="L4">
        <f>IF(ISNUMBER('Inputs (2)'!G50),'Inputs (2)'!G50,"")</f>
        <v>451.961</v>
      </c>
      <c r="M4" s="11">
        <f>IF(COUNT(I4:L4)=4,SUM(I4:L4),"")</f>
        <v>936.242</v>
      </c>
      <c r="N4">
        <f>IF(ISNUMBER('Inputs (2)'!I50),'Inputs (2)'!I50,"")</f>
        <v>219</v>
      </c>
      <c r="O4">
        <f>IF(ISNUMBER('Inputs (2)'!J50),'Inputs (2)'!J50,"")</f>
        <v>576.574</v>
      </c>
      <c r="P4">
        <f>IF(ISNUMBER('Inputs (2)'!K50),'Inputs (2)'!K50,"")</f>
        <v>431.227</v>
      </c>
      <c r="Q4">
        <f>IF(ISNUMBER('Inputs (2)'!L50),'Inputs (2)'!L50,"")</f>
        <v>782.598</v>
      </c>
      <c r="R4" s="11">
        <f>IF(COUNT(N4:Q4)=4,SUM(N4:Q4),"")</f>
        <v>2009.399</v>
      </c>
      <c r="S4">
        <f>IF(ISNUMBER('Inputs (2)'!N50),'Inputs (2)'!N50,"")</f>
        <v>292.321</v>
      </c>
      <c r="T4">
        <f>IF(ISNUMBER('Inputs (2)'!O50),'Inputs (2)'!O50,"")</f>
        <v>547.499</v>
      </c>
      <c r="U4">
        <f>IF(ISNUMBER('Inputs (2)'!P50),'Inputs (2)'!P50,"")</f>
        <v>278.02</v>
      </c>
      <c r="V4">
        <f>IF(ISNUMBER('Inputs (2)'!Q50),'Inputs (2)'!Q50,"")</f>
        <v>522.923</v>
      </c>
      <c r="W4" s="11">
        <f>IF(COUNT(S4:V4)=4,SUM(S4:V4),"")</f>
        <v>1640.763</v>
      </c>
      <c r="X4">
        <f>IF(ISNUMBER('Inputs (2)'!S50),'Inputs (2)'!S50,"")</f>
        <v>170.307</v>
      </c>
      <c r="Y4">
        <f>IF(ISNUMBER('Inputs (2)'!T50),'Inputs (2)'!T50,"")</f>
        <v>297.274</v>
      </c>
      <c r="Z4">
        <f>IF(ISNUMBER('Inputs (2)'!U50),'Inputs (2)'!U50,"")</f>
        <v>111.815</v>
      </c>
      <c r="AA4">
        <f>IF(ISNUMBER('Inputs (2)'!V50),'Inputs (2)'!V50,"")</f>
        <v>244.79</v>
      </c>
      <c r="AB4" s="11">
        <f>IF(COUNT(X4:AA4)=4,SUM(X4:AA4),"")</f>
        <v>824.186</v>
      </c>
      <c r="AC4">
        <f>IF(ISNUMBER('Inputs (2)'!X50),'Inputs (2)'!X50,"")</f>
        <v>-75.754</v>
      </c>
      <c r="AD4">
        <f>IF(ISNUMBER('Inputs (2)'!Y50),'Inputs (2)'!Y50,"")</f>
        <v>232.184</v>
      </c>
      <c r="AE4">
        <f>IF(ISNUMBER('Inputs (2)'!Z50),'Inputs (2)'!Z50,"")</f>
        <v>196.697</v>
      </c>
      <c r="AF4">
        <f>IF(ISNUMBER('Inputs (2)'!AA50),'Inputs (2)'!AA50,"")</f>
        <v>260.483</v>
      </c>
      <c r="AG4" s="11">
        <f>IF(COUNT(AC4:AF4)=4,SUM(AC4:AF4),"")</f>
        <v>613.61</v>
      </c>
      <c r="AH4" s="11">
        <f>IF(ISNUMBER('Inputs (2)'!AC50),'Inputs (2)'!AC50,"")</f>
        <v>-147.052</v>
      </c>
      <c r="AI4" s="11">
        <f>IF(ISNUMBER('Inputs (2)'!AD50),'Inputs (2)'!AD50,"")</f>
        <v>267.366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8320.159</v>
      </c>
      <c r="J15" s="34">
        <f>'Inputs (2)'!E4</f>
        <v>10929.976</v>
      </c>
      <c r="K15" s="34">
        <f>'Inputs (2)'!F4</f>
        <v>10482.255</v>
      </c>
      <c r="L15" s="34">
        <f>'Inputs (2)'!G4</f>
        <v>10880.757</v>
      </c>
      <c r="M15" s="35">
        <f>'Inputs (2)'!H4</f>
        <v>40613.147</v>
      </c>
      <c r="N15" s="34">
        <f>'Inputs (2)'!I4</f>
        <v>10332.588</v>
      </c>
      <c r="O15" s="34">
        <f>'Inputs (2)'!J4</f>
        <v>13137.724</v>
      </c>
      <c r="P15" s="34">
        <f>'Inputs (2)'!K4</f>
        <v>13440.597</v>
      </c>
      <c r="Q15" s="34">
        <f>'Inputs (2)'!L4</f>
        <v>12765.839</v>
      </c>
      <c r="R15" s="35">
        <f>'Inputs (2)'!M4</f>
        <v>49676.748</v>
      </c>
      <c r="S15" s="34">
        <f>'Inputs (2)'!N4</f>
        <v>11306.848</v>
      </c>
      <c r="T15" s="34">
        <f>'Inputs (2)'!O4</f>
        <v>12026.051</v>
      </c>
      <c r="U15" s="34">
        <f>'Inputs (2)'!P4</f>
        <v>9491.266</v>
      </c>
      <c r="V15" s="34">
        <f>'Inputs (2)'!Q4</f>
        <v>11390.658</v>
      </c>
      <c r="W15" s="35">
        <f>'Inputs (2)'!R4</f>
        <v>44214.823</v>
      </c>
      <c r="X15" s="34">
        <f>'Inputs (2)'!S4</f>
        <v>9087.48</v>
      </c>
      <c r="Y15" s="34">
        <f>'Inputs (2)'!T4</f>
        <v>9608.983</v>
      </c>
      <c r="Z15" s="34">
        <f>'Inputs (2)'!U4</f>
        <v>9174.108</v>
      </c>
      <c r="AA15" s="34">
        <f>'Inputs (2)'!V4</f>
        <v>9294.112</v>
      </c>
      <c r="AB15" s="35">
        <f>'Inputs (2)'!W4</f>
        <v>37164.683</v>
      </c>
      <c r="AC15" s="34">
        <f>'Inputs (2)'!X4</f>
        <v>7796.191</v>
      </c>
      <c r="AD15" s="34">
        <f>'Inputs (2)'!Y4</f>
        <v>9766.421</v>
      </c>
      <c r="AE15" s="34">
        <f>'Inputs (2)'!Z4</f>
        <v>8605.884</v>
      </c>
      <c r="AF15" s="34">
        <f>'Inputs (2)'!AA4</f>
        <v>8864.104</v>
      </c>
      <c r="AG15" s="35">
        <f>'Inputs (2)'!AB4</f>
        <v>35032.6</v>
      </c>
      <c r="AH15" s="35">
        <f>'Inputs (2)'!AC4</f>
        <v>8353.791</v>
      </c>
      <c r="AI15" s="35">
        <f>'Inputs (2)'!AD4</f>
        <v>11582.089</v>
      </c>
      <c r="AJ15" s="35">
        <f>AE15*(1+AJ16)</f>
        <v>8639.6132179235</v>
      </c>
      <c r="AK15" s="35">
        <f>AF15*(1+AK16)</f>
        <v>8898.84526487326</v>
      </c>
      <c r="AL15" s="35">
        <f>SUM(AH15:AK15)</f>
        <v>37474.3384827968</v>
      </c>
      <c r="AM15" s="35">
        <f>AH15*(1+AM16)</f>
        <v>8386.53218465068</v>
      </c>
      <c r="AN15" s="35">
        <f>AI15*(1+AN16)</f>
        <v>11627.4829193104</v>
      </c>
      <c r="AO15" s="35">
        <f>AJ15*(1+AO16)</f>
        <v>8673.47463146359</v>
      </c>
      <c r="AP15" s="35">
        <f>AK15*(1+AP16)</f>
        <v>8933.72269189951</v>
      </c>
      <c r="AQ15" s="35">
        <f>SUM(AM15:AP15)</f>
        <v>37621.2124273242</v>
      </c>
      <c r="AR15" s="35">
        <f>AM15*(1+AR16)</f>
        <v>8386.53218465068</v>
      </c>
      <c r="AS15" s="35">
        <f>AN15*(1+AS16)</f>
        <v>11627.4829193104</v>
      </c>
      <c r="AT15" s="35">
        <f>AO15*(1+AT16)</f>
        <v>8673.47463146359</v>
      </c>
      <c r="AU15" s="35">
        <f>AP15*(1+AU16)</f>
        <v>8933.72269189951</v>
      </c>
      <c r="AV15" s="35">
        <f>SUM(AR15:AU15)</f>
        <v>37621.2124273242</v>
      </c>
      <c r="AW15" s="35">
        <f>AR15*(1+AW16)</f>
        <v>8386.53218465068</v>
      </c>
      <c r="AX15" s="35">
        <f>AS15*(1+AX16)</f>
        <v>11627.4829193104</v>
      </c>
      <c r="AY15" s="35">
        <f>AT15*(1+AY16)</f>
        <v>8673.47463146359</v>
      </c>
      <c r="AZ15" s="35">
        <f>AU15*(1+AZ16)</f>
        <v>8933.72269189951</v>
      </c>
      <c r="BA15" s="35">
        <f>SUM(AW15:AZ15)</f>
        <v>37621.2124273242</v>
      </c>
      <c r="BB15" s="35">
        <f>AW15*(1+BB16)</f>
        <v>8386.53218465068</v>
      </c>
      <c r="BC15" s="35">
        <f>AX15*(1+BC16)</f>
        <v>11627.4829193104</v>
      </c>
      <c r="BD15" s="35">
        <f>AY15*(1+BD16)</f>
        <v>8673.47463146359</v>
      </c>
      <c r="BE15" s="35">
        <f>AZ15*(1+BE16)</f>
        <v>8933.72269189951</v>
      </c>
      <c r="BF15" s="35">
        <f>SUM(BB15:BE15)</f>
        <v>37621.2124273242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0.241873863227854</v>
      </c>
      <c r="O16" s="40">
        <f>IFERROR(O15/J15-1,"")</f>
        <v>0.201990196501804</v>
      </c>
      <c r="P16" s="40">
        <f>IFERROR(P15/K15-1,"")</f>
        <v>0.282223815390868</v>
      </c>
      <c r="Q16" s="40">
        <f>IFERROR(Q15/L15-1,"")</f>
        <v>0.173249159042886</v>
      </c>
      <c r="R16" s="40">
        <f>IFERROR(R15/M15-1,"")</f>
        <v>0.223169137816382</v>
      </c>
      <c r="S16" s="40">
        <f>IFERROR(S15/N15-1,"")</f>
        <v>0.0942900268548403</v>
      </c>
      <c r="T16" s="40">
        <f>IFERROR(T15/O15-1,"")</f>
        <v>-0.0846168636211265</v>
      </c>
      <c r="U16" s="40">
        <f>IFERROR(U15/P15-1,"")</f>
        <v>-0.293835980648776</v>
      </c>
      <c r="V16" s="40">
        <f>IFERROR(V15/Q15-1,"")</f>
        <v>-0.107723511161311</v>
      </c>
      <c r="W16" s="40">
        <f>IFERROR(W15/R15-1,"")</f>
        <v>-0.109949326795707</v>
      </c>
      <c r="X16" s="40">
        <f>IFERROR(X15/S15-1,"")</f>
        <v>-0.196285295424507</v>
      </c>
      <c r="Y16" s="40">
        <f>IFERROR(Y15/T15-1,"")</f>
        <v>-0.200986009455639</v>
      </c>
      <c r="Z16" s="40">
        <f>IFERROR(Z15/U15-1,"")</f>
        <v>-0.0334157740389954</v>
      </c>
      <c r="AA16" s="40">
        <f>IFERROR(AA15/V15-1,"")</f>
        <v>-0.184058374854201</v>
      </c>
      <c r="AB16" s="40">
        <f>IFERROR(AB15/W15-1,"")</f>
        <v>-0.159451955738916</v>
      </c>
      <c r="AC16" s="40">
        <f>IFERROR(AC15/X15-1,"")</f>
        <v>-0.142095388380497</v>
      </c>
      <c r="AD16" s="40">
        <f>IFERROR(AD15/Y15-1,"")</f>
        <v>0.0163844602493313</v>
      </c>
      <c r="AE16" s="40">
        <f>IFERROR(AE15/Z15-1,"")</f>
        <v>-0.0619377927532573</v>
      </c>
      <c r="AF16" s="41">
        <f>IFERROR(AF15/AA15-1,"")</f>
        <v>-0.0462667116557235</v>
      </c>
      <c r="AG16" s="40">
        <f>IFERROR(AG15/AB15-1,"")</f>
        <v>-0.057368523767578</v>
      </c>
      <c r="AH16" s="41">
        <f>IFERROR(AH15/AC15-1,"")</f>
        <v>0.0715221061156659</v>
      </c>
      <c r="AI16" s="41">
        <f>IFERROR(AI15/AD15-1,"")</f>
        <v>0.185909249662696</v>
      </c>
      <c r="AJ16" s="41">
        <f>Control!$B$18</f>
        <v>0.00391932053970258</v>
      </c>
      <c r="AK16" s="41">
        <f>Control!$B$18</f>
        <v>0.00391932053970258</v>
      </c>
      <c r="AL16" s="42">
        <f>IFERROR(AL15/AG15-1,"")</f>
        <v>0.0696990369768946</v>
      </c>
      <c r="AM16" s="41">
        <f>Control!$C$18</f>
        <v>0.00391932053970258</v>
      </c>
      <c r="AN16" s="41">
        <f>Control!$C$18</f>
        <v>0.00391932053970258</v>
      </c>
      <c r="AO16" s="41">
        <f>Control!$C$18</f>
        <v>0.00391932053970258</v>
      </c>
      <c r="AP16" s="41">
        <f>Control!$C$18</f>
        <v>0.00391932053970258</v>
      </c>
      <c r="AQ16" s="42">
        <f>IFERROR(AQ15/AL15-1,"")</f>
        <v>0.00391932053970279</v>
      </c>
      <c r="AR16" s="41">
        <f>Control!$D$18</f>
        <v>0</v>
      </c>
      <c r="AS16" s="41">
        <f>Control!$D$18</f>
        <v>0</v>
      </c>
      <c r="AT16" s="41">
        <f>Control!$D$18</f>
        <v>0</v>
      </c>
      <c r="AU16" s="41">
        <f>Control!$D$18</f>
        <v>0</v>
      </c>
      <c r="AV16" s="42">
        <f>IFERROR(AV15/AQ15-1,"")</f>
        <v>0</v>
      </c>
      <c r="AW16" s="41">
        <f>Control!$E$18</f>
        <v>0</v>
      </c>
      <c r="AX16" s="41">
        <f>Control!$E$18</f>
        <v>0</v>
      </c>
      <c r="AY16" s="41">
        <f>Control!$E$18</f>
        <v>0</v>
      </c>
      <c r="AZ16" s="41">
        <f>Control!$E$18</f>
        <v>0</v>
      </c>
      <c r="BA16" s="42">
        <f>IFERROR(BA15/AV15-1,"")</f>
        <v>0</v>
      </c>
      <c r="BB16" s="41">
        <f>Control!$F$18</f>
        <v>0</v>
      </c>
      <c r="BC16" s="41">
        <f>Control!$F$18</f>
        <v>0</v>
      </c>
      <c r="BD16" s="41">
        <f>Control!$F$18</f>
        <v>0</v>
      </c>
      <c r="BE16" s="41">
        <f>Control!$F$18</f>
        <v>0</v>
      </c>
      <c r="BF16" s="42">
        <f>IFERROR(BF15/BA15-1,"")</f>
        <v>0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n"/>
      <c r="J17" s="40" t="n"/>
      <c r="K17" s="40" t="n"/>
      <c r="L17" s="40" t="n"/>
      <c r="M17" s="39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1" t="n"/>
      <c r="AI17" s="41" t="n"/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Energy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1372.158</v>
      </c>
      <c r="J19" s="269">
        <f>IFERROR(INDEX('Inputs (2)'!$D$53:$AL$53,MATCH(J$7&amp;"",'Inputs (2)'!$D$2:$AL$2,0)),"")</f>
        <v>1704.798</v>
      </c>
      <c r="K19" s="269">
        <f>IFERROR(INDEX('Inputs (2)'!$D$53:$AL$53,MATCH(K$7&amp;"",'Inputs (2)'!$D$2:$AL$2,0)),"")</f>
        <v>2040.458</v>
      </c>
      <c r="L19" s="269">
        <f>IFERROR(INDEX('Inputs (2)'!$D$53:$AL$53,MATCH(L$7&amp;"",'Inputs (2)'!$D$2:$AL$2,0)),"")</f>
        <v>2303.987</v>
      </c>
      <c r="M19" s="270">
        <f>IF(COUNT(I19:L19)=4,SUM(I19:L19),"")</f>
        <v>7421.401</v>
      </c>
      <c r="N19" s="269">
        <f>IFERROR(INDEX('Inputs (2)'!$D$53:$AL$53,MATCH(N$7&amp;"",'Inputs (2)'!$D$2:$AL$2,0)),"")</f>
        <v>2027.999</v>
      </c>
      <c r="O19" s="269">
        <f>IFERROR(INDEX('Inputs (2)'!$D$53:$AL$53,MATCH(O$7&amp;"",'Inputs (2)'!$D$2:$AL$2,0)),"")</f>
        <v>2775.942</v>
      </c>
      <c r="P19" s="269">
        <f>IFERROR(INDEX('Inputs (2)'!$D$53:$AL$53,MATCH(P$7&amp;"",'Inputs (2)'!$D$2:$AL$2,0)),"")</f>
        <v>3186.846</v>
      </c>
      <c r="Q19" s="269">
        <f>IFERROR(INDEX('Inputs (2)'!$D$53:$AL$53,MATCH(Q$7&amp;"",'Inputs (2)'!$D$2:$AL$2,0)),"")</f>
        <v>3119.306</v>
      </c>
      <c r="R19" s="270">
        <f>IF(COUNT(N19:Q19)=4,SUM(N19:Q19),"")</f>
        <v>11110.093</v>
      </c>
      <c r="S19" s="269">
        <f>IFERROR(INDEX('Inputs (2)'!$D$53:$AL$53,MATCH(S$7&amp;"",'Inputs (2)'!$D$2:$AL$2,0)),"")</f>
        <v>2168.901</v>
      </c>
      <c r="T19" s="269">
        <f>IFERROR(INDEX('Inputs (2)'!$D$53:$AL$53,MATCH(T$7&amp;"",'Inputs (2)'!$D$2:$AL$2,0)),"")</f>
        <v>2264.087</v>
      </c>
      <c r="U19" s="269">
        <f>IFERROR(INDEX('Inputs (2)'!$D$53:$AL$53,MATCH(U$7&amp;"",'Inputs (2)'!$D$2:$AL$2,0)),"")</f>
        <v>2544.619</v>
      </c>
      <c r="V19" s="269">
        <f>IFERROR(INDEX('Inputs (2)'!$D$53:$AL$53,MATCH(V$7&amp;"",'Inputs (2)'!$D$2:$AL$2,0)),"")</f>
        <v>2717.94</v>
      </c>
      <c r="W19" s="270">
        <f>IF(COUNT(S19:V19)=4,SUM(S19:V19),"")</f>
        <v>9695.547</v>
      </c>
      <c r="X19" s="269">
        <f>IFERROR(INDEX('Inputs (2)'!$D$53:$AL$53,MATCH(X$7&amp;"",'Inputs (2)'!$D$2:$AL$2,0)),"")</f>
        <v>1756.722</v>
      </c>
      <c r="Y19" s="269">
        <f>IFERROR(INDEX('Inputs (2)'!$D$53:$AL$53,MATCH(Y$7&amp;"",'Inputs (2)'!$D$2:$AL$2,0)),"")</f>
        <v>2067.178</v>
      </c>
      <c r="Z19" s="269">
        <f>IFERROR(INDEX('Inputs (2)'!$D$53:$AL$53,MATCH(Z$7&amp;"",'Inputs (2)'!$D$2:$AL$2,0)),"")</f>
        <v>2224.655</v>
      </c>
      <c r="AA19" s="269">
        <f>IFERROR(INDEX('Inputs (2)'!$D$53:$AL$53,MATCH(AA$7&amp;"",'Inputs (2)'!$D$2:$AL$2,0)),"")</f>
        <v>2131.159</v>
      </c>
      <c r="AB19" s="270">
        <f>IF(COUNT(X19:AA19)=4,SUM(X19:AA19),"")</f>
        <v>8179.714</v>
      </c>
      <c r="AC19" s="269">
        <f>IFERROR(INDEX('Inputs (2)'!$D$53:$AL$53,MATCH(AC$7&amp;"",'Inputs (2)'!$D$2:$AL$2,0)),"")</f>
        <v>1917.397</v>
      </c>
      <c r="AD19" s="269">
        <f>IFERROR(INDEX('Inputs (2)'!$D$53:$AL$53,MATCH(AD$7&amp;"",'Inputs (2)'!$D$2:$AL$2,0)),"")</f>
        <v>1917.878</v>
      </c>
      <c r="AE19" s="269">
        <f>IFERROR(INDEX('Inputs (2)'!$D$53:$AL$53,MATCH(AE$7&amp;"",'Inputs (2)'!$D$2:$AL$2,0)),"")</f>
        <v>2026.885</v>
      </c>
      <c r="AF19" s="269">
        <f>IFERROR(INDEX('Inputs (2)'!$D$53:$AL$53,MATCH(AF$7&amp;"",'Inputs (2)'!$D$2:$AL$2,0)),"")</f>
        <v>2364.877</v>
      </c>
      <c r="AG19" s="270">
        <f>IF(COUNT(AC19:AF19)=4,SUM(AC19:AF19),"")</f>
        <v>8227.037</v>
      </c>
      <c r="AH19" s="270">
        <f>IFERROR(INDEX('Inputs (2)'!$D$53:$AL$53,MATCH(AH$7&amp;"",'Inputs (2)'!$D$2:$AL$2,0)),"")</f>
        <v>2110.316</v>
      </c>
      <c r="AI19" s="270">
        <f>IFERROR(INDEX('Inputs (2)'!$D$53:$AL$53,MATCH(AI$7&amp;"",'Inputs (2)'!$D$2:$AL$2,0)),"")</f>
        <v>3324.889</v>
      </c>
    </row>
    <row r="20">
      <c r="C20" s="268" t="inlineStr">
        <is>
          <t xml:space="preserve">   Ag (estrutura até FY25)</t>
        </is>
      </c>
      <c r="D20" s="269" t="str">
        <f>IFERROR(INDEX('Inputs (2)'!$D$55:$AL$55,MATCH(D$7&amp;"",'Inputs (2)'!$D$2:$AL$2,0)),"")</f>
        <v/>
      </c>
      <c r="E20" s="269" t="str">
        <f>IFERROR(INDEX('Inputs (2)'!$D$55:$AL$55,MATCH(E$7&amp;"",'Inputs (2)'!$D$2:$AL$2,0)),"")</f>
        <v/>
      </c>
      <c r="F20" s="269" t="str">
        <f>IFERROR(INDEX('Inputs (2)'!$D$55:$AL$55,MATCH(F$7&amp;"",'Inputs (2)'!$D$2:$AL$2,0)),"")</f>
        <v/>
      </c>
      <c r="G20" s="269" t="str">
        <f>IFERROR(INDEX('Inputs (2)'!$D$55:$AL$55,MATCH(G$7&amp;"",'Inputs (2)'!$D$2:$AL$2,0)),"")</f>
        <v/>
      </c>
      <c r="H20" s="270" t="str">
        <f>IF(COUNT(D20:G20)=4,SUM(D20:G20),"")</f>
        <v/>
      </c>
      <c r="I20" s="269">
        <f>IFERROR(INDEX('Inputs (2)'!$D$55:$AL$55,MATCH(I$7&amp;"",'Inputs (2)'!$D$2:$AL$2,0)),"")</f>
        <v>6938.212</v>
      </c>
      <c r="J20" s="269">
        <f>IFERROR(INDEX('Inputs (2)'!$D$55:$AL$55,MATCH(J$7&amp;"",'Inputs (2)'!$D$2:$AL$2,0)),"")</f>
        <v>9216.204</v>
      </c>
      <c r="K20" s="269">
        <f>IFERROR(INDEX('Inputs (2)'!$D$55:$AL$55,MATCH(K$7&amp;"",'Inputs (2)'!$D$2:$AL$2,0)),"")</f>
        <v>8435.524</v>
      </c>
      <c r="L20" s="269">
        <f>IFERROR(INDEX('Inputs (2)'!$D$55:$AL$55,MATCH(L$7&amp;"",'Inputs (2)'!$D$2:$AL$2,0)),"")</f>
        <v>8569.259</v>
      </c>
      <c r="M20" s="270">
        <f>IF(COUNT(I20:L20)=4,SUM(I20:L20),"")</f>
        <v>33159.199</v>
      </c>
      <c r="N20" s="269">
        <f>IFERROR(INDEX('Inputs (2)'!$D$55:$AL$55,MATCH(N$7&amp;"",'Inputs (2)'!$D$2:$AL$2,0)),"")</f>
        <v>8295.931</v>
      </c>
      <c r="O20" s="269">
        <f>IFERROR(INDEX('Inputs (2)'!$D$55:$AL$55,MATCH(O$7&amp;"",'Inputs (2)'!$D$2:$AL$2,0)),"")</f>
        <v>10352.369</v>
      </c>
      <c r="P20" s="269">
        <f>IFERROR(INDEX('Inputs (2)'!$D$55:$AL$55,MATCH(P$7&amp;"",'Inputs (2)'!$D$2:$AL$2,0)),"")</f>
        <v>10242.652</v>
      </c>
      <c r="Q20" s="269">
        <f>IFERROR(INDEX('Inputs (2)'!$D$55:$AL$55,MATCH(Q$7&amp;"",'Inputs (2)'!$D$2:$AL$2,0)),"")</f>
        <v>9633.244</v>
      </c>
      <c r="R20" s="270">
        <f>IF(COUNT(N20:Q20)=4,SUM(N20:Q20),"")</f>
        <v>38524.196</v>
      </c>
      <c r="S20" s="269">
        <f>IFERROR(INDEX('Inputs (2)'!$D$55:$AL$55,MATCH(S$7&amp;"",'Inputs (2)'!$D$2:$AL$2,0)),"")</f>
        <v>9120.47</v>
      </c>
      <c r="T20" s="269">
        <f>IFERROR(INDEX('Inputs (2)'!$D$55:$AL$55,MATCH(T$7&amp;"",'Inputs (2)'!$D$2:$AL$2,0)),"")</f>
        <v>9743.976</v>
      </c>
      <c r="U20" s="269">
        <f>IFERROR(INDEX('Inputs (2)'!$D$55:$AL$55,MATCH(U$7&amp;"",'Inputs (2)'!$D$2:$AL$2,0)),"")</f>
        <v>6927.514</v>
      </c>
      <c r="V20" s="269">
        <f>IFERROR(INDEX('Inputs (2)'!$D$55:$AL$55,MATCH(V$7&amp;"",'Inputs (2)'!$D$2:$AL$2,0)),"")</f>
        <v>8652.165</v>
      </c>
      <c r="W20" s="270">
        <f>IF(COUNT(S20:V20)=4,SUM(S20:V20),"")</f>
        <v>34444.125</v>
      </c>
      <c r="X20" s="269">
        <f>IFERROR(INDEX('Inputs (2)'!$D$55:$AL$55,MATCH(X$7&amp;"",'Inputs (2)'!$D$2:$AL$2,0)),"")</f>
        <v>7311.111</v>
      </c>
      <c r="Y20" s="269">
        <f>IFERROR(INDEX('Inputs (2)'!$D$55:$AL$55,MATCH(Y$7&amp;"",'Inputs (2)'!$D$2:$AL$2,0)),"")</f>
        <v>7523.656</v>
      </c>
      <c r="Z20" s="269">
        <f>IFERROR(INDEX('Inputs (2)'!$D$55:$AL$55,MATCH(Z$7&amp;"",'Inputs (2)'!$D$2:$AL$2,0)),"")</f>
        <v>6929.927</v>
      </c>
      <c r="AA20" s="269">
        <f>IFERROR(INDEX('Inputs (2)'!$D$55:$AL$55,MATCH(AA$7&amp;"",'Inputs (2)'!$D$2:$AL$2,0)),"")</f>
        <v>7142.114</v>
      </c>
      <c r="AB20" s="270">
        <f>IF(COUNT(X20:AA20)=4,SUM(X20:AA20),"")</f>
        <v>28906.808</v>
      </c>
      <c r="AC20" s="269">
        <f>IFERROR(INDEX('Inputs (2)'!$D$55:$AL$55,MATCH(AC$7&amp;"",'Inputs (2)'!$D$2:$AL$2,0)),"")</f>
        <v>6085.467</v>
      </c>
      <c r="AD20" s="269">
        <f>IFERROR(INDEX('Inputs (2)'!$D$55:$AL$55,MATCH(AD$7&amp;"",'Inputs (2)'!$D$2:$AL$2,0)),"")</f>
        <v>7962.254</v>
      </c>
      <c r="AE20" s="269">
        <f>IFERROR(INDEX('Inputs (2)'!$D$55:$AL$55,MATCH(AE$7&amp;"",'Inputs (2)'!$D$2:$AL$2,0)),"")</f>
        <v>6558.646</v>
      </c>
      <c r="AF20" s="269" t="str">
        <f>IFERROR(INDEX('Inputs (2)'!$D$55:$AL$55,MATCH(AF$7&amp;"",'Inputs (2)'!$D$2:$AL$2,0)),"")</f>
        <v/>
      </c>
      <c r="AG20" s="270" t="str">
        <f>IF(COUNT(AC20:AF20)=4,SUM(AC20:AF20),"")</f>
        <v/>
      </c>
      <c r="AH20" s="270" t="str">
        <f>IFERROR(INDEX('Inputs (2)'!$D$55:$AL$55,MATCH(AH$7&amp;"",'Inputs (2)'!$D$2:$AL$2,0)),"")</f>
        <v/>
      </c>
      <c r="AI20" s="270" t="str">
        <f>IFERROR(INDEX('Inputs (2)'!$D$55:$AL$55,MATCH(AI$7&amp;"",'Inputs (2)'!$D$2:$AL$2,0)),"")</f>
        <v/>
      </c>
    </row>
    <row r="21">
      <c r="C21" s="268" t="inlineStr">
        <is>
          <t xml:space="preserve">   Grains (estrutura FY26)</t>
        </is>
      </c>
      <c r="D21" s="269" t="str">
        <f>IFERROR(INDEX('Inputs (2)'!$D$57:$AL$57,MATCH(D$7&amp;"",'Inputs (2)'!$D$2:$AL$2,0)),"")</f>
        <v/>
      </c>
      <c r="E21" s="269" t="str">
        <f>IFERROR(INDEX('Inputs (2)'!$D$57:$AL$57,MATCH(E$7&amp;"",'Inputs (2)'!$D$2:$AL$2,0)),"")</f>
        <v/>
      </c>
      <c r="F21" s="269" t="str">
        <f>IFERROR(INDEX('Inputs (2)'!$D$57:$AL$57,MATCH(F$7&amp;"",'Inputs (2)'!$D$2:$AL$2,0)),"")</f>
        <v/>
      </c>
      <c r="G21" s="269" t="str">
        <f>IFERROR(INDEX('Inputs (2)'!$D$57:$AL$57,MATCH(G$7&amp;"",'Inputs (2)'!$D$2:$AL$2,0)),"")</f>
        <v/>
      </c>
      <c r="H21" s="270" t="str">
        <f>IF(COUNT(D21:G21)=4,SUM(D21:G21),"")</f>
        <v/>
      </c>
      <c r="I21" s="269" t="str">
        <f>IFERROR(INDEX('Inputs (2)'!$D$57:$AL$57,MATCH(I$7&amp;"",'Inputs (2)'!$D$2:$AL$2,0)),"")</f>
        <v/>
      </c>
      <c r="J21" s="269" t="str">
        <f>IFERROR(INDEX('Inputs (2)'!$D$57:$AL$57,MATCH(J$7&amp;"",'Inputs (2)'!$D$2:$AL$2,0)),"")</f>
        <v/>
      </c>
      <c r="K21" s="269" t="str">
        <f>IFERROR(INDEX('Inputs (2)'!$D$57:$AL$57,MATCH(K$7&amp;"",'Inputs (2)'!$D$2:$AL$2,0)),"")</f>
        <v/>
      </c>
      <c r="L21" s="269" t="str">
        <f>IFERROR(INDEX('Inputs (2)'!$D$57:$AL$57,MATCH(L$7&amp;"",'Inputs (2)'!$D$2:$AL$2,0)),"")</f>
        <v/>
      </c>
      <c r="M21" s="270" t="str">
        <f>IF(COUNT(I21:L21)=4,SUM(I21:L21),"")</f>
        <v/>
      </c>
      <c r="N21" s="269" t="str">
        <f>IFERROR(INDEX('Inputs (2)'!$D$57:$AL$57,MATCH(N$7&amp;"",'Inputs (2)'!$D$2:$AL$2,0)),"")</f>
        <v/>
      </c>
      <c r="O21" s="269" t="str">
        <f>IFERROR(INDEX('Inputs (2)'!$D$57:$AL$57,MATCH(O$7&amp;"",'Inputs (2)'!$D$2:$AL$2,0)),"")</f>
        <v/>
      </c>
      <c r="P21" s="269" t="str">
        <f>IFERROR(INDEX('Inputs (2)'!$D$57:$AL$57,MATCH(P$7&amp;"",'Inputs (2)'!$D$2:$AL$2,0)),"")</f>
        <v/>
      </c>
      <c r="Q21" s="269" t="str">
        <f>IFERROR(INDEX('Inputs (2)'!$D$57:$AL$57,MATCH(Q$7&amp;"",'Inputs (2)'!$D$2:$AL$2,0)),"")</f>
        <v/>
      </c>
      <c r="R21" s="270" t="str">
        <f>IF(COUNT(N21:Q21)=4,SUM(N21:Q21),"")</f>
        <v/>
      </c>
      <c r="S21" s="269" t="str">
        <f>IFERROR(INDEX('Inputs (2)'!$D$57:$AL$57,MATCH(S$7&amp;"",'Inputs (2)'!$D$2:$AL$2,0)),"")</f>
        <v/>
      </c>
      <c r="T21" s="269" t="str">
        <f>IFERROR(INDEX('Inputs (2)'!$D$57:$AL$57,MATCH(T$7&amp;"",'Inputs (2)'!$D$2:$AL$2,0)),"")</f>
        <v/>
      </c>
      <c r="U21" s="269" t="str">
        <f>IFERROR(INDEX('Inputs (2)'!$D$57:$AL$57,MATCH(U$7&amp;"",'Inputs (2)'!$D$2:$AL$2,0)),"")</f>
        <v/>
      </c>
      <c r="V21" s="269" t="str">
        <f>IFERROR(INDEX('Inputs (2)'!$D$57:$AL$57,MATCH(V$7&amp;"",'Inputs (2)'!$D$2:$AL$2,0)),"")</f>
        <v/>
      </c>
      <c r="W21" s="270" t="str">
        <f>IF(COUNT(S21:V21)=4,SUM(S21:V21),"")</f>
        <v/>
      </c>
      <c r="X21" s="269" t="str">
        <f>IFERROR(INDEX('Inputs (2)'!$D$57:$AL$57,MATCH(X$7&amp;"",'Inputs (2)'!$D$2:$AL$2,0)),"")</f>
        <v/>
      </c>
      <c r="Y21" s="269" t="str">
        <f>IFERROR(INDEX('Inputs (2)'!$D$57:$AL$57,MATCH(Y$7&amp;"",'Inputs (2)'!$D$2:$AL$2,0)),"")</f>
        <v/>
      </c>
      <c r="Z21" s="269" t="str">
        <f>IFERROR(INDEX('Inputs (2)'!$D$57:$AL$57,MATCH(Z$7&amp;"",'Inputs (2)'!$D$2:$AL$2,0)),"")</f>
        <v/>
      </c>
      <c r="AA21" s="269" t="str">
        <f>IFERROR(INDEX('Inputs (2)'!$D$57:$AL$57,MATCH(AA$7&amp;"",'Inputs (2)'!$D$2:$AL$2,0)),"")</f>
        <v/>
      </c>
      <c r="AB21" s="270" t="str">
        <f>IF(COUNT(X21:AA21)=4,SUM(X21:AA21),"")</f>
        <v/>
      </c>
      <c r="AC21" s="269" t="str">
        <f>IFERROR(INDEX('Inputs (2)'!$D$57:$AL$57,MATCH(AC$7&amp;"",'Inputs (2)'!$D$2:$AL$2,0)),"")</f>
        <v/>
      </c>
      <c r="AD21" s="269" t="str">
        <f>IFERROR(INDEX('Inputs (2)'!$D$57:$AL$57,MATCH(AD$7&amp;"",'Inputs (2)'!$D$2:$AL$2,0)),"")</f>
        <v/>
      </c>
      <c r="AE21" s="269" t="str">
        <f>IFERROR(INDEX('Inputs (2)'!$D$57:$AL$57,MATCH(AE$7&amp;"",'Inputs (2)'!$D$2:$AL$2,0)),"")</f>
        <v/>
      </c>
      <c r="AF21" s="269">
        <f>IFERROR(INDEX('Inputs (2)'!$D$57:$AL$57,MATCH(AF$7&amp;"",'Inputs (2)'!$D$2:$AL$2,0)),"")</f>
        <v>5215.354</v>
      </c>
      <c r="AG21" s="270" t="str">
        <f>IF(COUNT(AC21:AF21)=4,SUM(AC21:AF21),"")</f>
        <v/>
      </c>
      <c r="AH21" s="270">
        <f>IFERROR(INDEX('Inputs (2)'!$D$57:$AL$57,MATCH(AH$7&amp;"",'Inputs (2)'!$D$2:$AL$2,0)),"")</f>
        <v>5179.956</v>
      </c>
      <c r="AI21" s="270">
        <f>IFERROR(INDEX('Inputs (2)'!$D$57:$AL$57,MATCH(AI$7&amp;"",'Inputs (2)'!$D$2:$AL$2,0)),"")</f>
        <v>5663.682</v>
      </c>
    </row>
    <row r="22">
      <c r="C22" s="268" t="inlineStr">
        <is>
          <t xml:space="preserve">   Agronomy (estrutura FY26)</t>
        </is>
      </c>
      <c r="D22" s="269" t="str">
        <f>IFERROR(INDEX('Inputs (2)'!$D$59:$AL$59,MATCH(D$7&amp;"",'Inputs (2)'!$D$2:$AL$2,0)),"")</f>
        <v/>
      </c>
      <c r="E22" s="269" t="str">
        <f>IFERROR(INDEX('Inputs (2)'!$D$59:$AL$59,MATCH(E$7&amp;"",'Inputs (2)'!$D$2:$AL$2,0)),"")</f>
        <v/>
      </c>
      <c r="F22" s="269" t="str">
        <f>IFERROR(INDEX('Inputs (2)'!$D$59:$AL$59,MATCH(F$7&amp;"",'Inputs (2)'!$D$2:$AL$2,0)),"")</f>
        <v/>
      </c>
      <c r="G22" s="269" t="str">
        <f>IFERROR(INDEX('Inputs (2)'!$D$59:$AL$59,MATCH(G$7&amp;"",'Inputs (2)'!$D$2:$AL$2,0)),"")</f>
        <v/>
      </c>
      <c r="H22" s="270" t="str">
        <f>IF(COUNT(D22:G22)=4,SUM(D22:G22),"")</f>
        <v/>
      </c>
      <c r="I22" s="269" t="str">
        <f>IFERROR(INDEX('Inputs (2)'!$D$59:$AL$59,MATCH(I$7&amp;"",'Inputs (2)'!$D$2:$AL$2,0)),"")</f>
        <v/>
      </c>
      <c r="J22" s="269" t="str">
        <f>IFERROR(INDEX('Inputs (2)'!$D$59:$AL$59,MATCH(J$7&amp;"",'Inputs (2)'!$D$2:$AL$2,0)),"")</f>
        <v/>
      </c>
      <c r="K22" s="269" t="str">
        <f>IFERROR(INDEX('Inputs (2)'!$D$59:$AL$59,MATCH(K$7&amp;"",'Inputs (2)'!$D$2:$AL$2,0)),"")</f>
        <v/>
      </c>
      <c r="L22" s="269" t="str">
        <f>IFERROR(INDEX('Inputs (2)'!$D$59:$AL$59,MATCH(L$7&amp;"",'Inputs (2)'!$D$2:$AL$2,0)),"")</f>
        <v/>
      </c>
      <c r="M22" s="270" t="str">
        <f>IF(COUNT(I22:L22)=4,SUM(I22:L22),"")</f>
        <v/>
      </c>
      <c r="N22" s="269" t="str">
        <f>IFERROR(INDEX('Inputs (2)'!$D$59:$AL$59,MATCH(N$7&amp;"",'Inputs (2)'!$D$2:$AL$2,0)),"")</f>
        <v/>
      </c>
      <c r="O22" s="269" t="str">
        <f>IFERROR(INDEX('Inputs (2)'!$D$59:$AL$59,MATCH(O$7&amp;"",'Inputs (2)'!$D$2:$AL$2,0)),"")</f>
        <v/>
      </c>
      <c r="P22" s="269" t="str">
        <f>IFERROR(INDEX('Inputs (2)'!$D$59:$AL$59,MATCH(P$7&amp;"",'Inputs (2)'!$D$2:$AL$2,0)),"")</f>
        <v/>
      </c>
      <c r="Q22" s="269" t="str">
        <f>IFERROR(INDEX('Inputs (2)'!$D$59:$AL$59,MATCH(Q$7&amp;"",'Inputs (2)'!$D$2:$AL$2,0)),"")</f>
        <v/>
      </c>
      <c r="R22" s="270" t="str">
        <f>IF(COUNT(N22:Q22)=4,SUM(N22:Q22),"")</f>
        <v/>
      </c>
      <c r="S22" s="269" t="str">
        <f>IFERROR(INDEX('Inputs (2)'!$D$59:$AL$59,MATCH(S$7&amp;"",'Inputs (2)'!$D$2:$AL$2,0)),"")</f>
        <v/>
      </c>
      <c r="T22" s="269" t="str">
        <f>IFERROR(INDEX('Inputs (2)'!$D$59:$AL$59,MATCH(T$7&amp;"",'Inputs (2)'!$D$2:$AL$2,0)),"")</f>
        <v/>
      </c>
      <c r="U22" s="269" t="str">
        <f>IFERROR(INDEX('Inputs (2)'!$D$59:$AL$59,MATCH(U$7&amp;"",'Inputs (2)'!$D$2:$AL$2,0)),"")</f>
        <v/>
      </c>
      <c r="V22" s="269" t="str">
        <f>IFERROR(INDEX('Inputs (2)'!$D$59:$AL$59,MATCH(V$7&amp;"",'Inputs (2)'!$D$2:$AL$2,0)),"")</f>
        <v/>
      </c>
      <c r="W22" s="270" t="str">
        <f>IF(COUNT(S22:V22)=4,SUM(S22:V22),"")</f>
        <v/>
      </c>
      <c r="X22" s="269" t="str">
        <f>IFERROR(INDEX('Inputs (2)'!$D$59:$AL$59,MATCH(X$7&amp;"",'Inputs (2)'!$D$2:$AL$2,0)),"")</f>
        <v/>
      </c>
      <c r="Y22" s="269" t="str">
        <f>IFERROR(INDEX('Inputs (2)'!$D$59:$AL$59,MATCH(Y$7&amp;"",'Inputs (2)'!$D$2:$AL$2,0)),"")</f>
        <v/>
      </c>
      <c r="Z22" s="269" t="str">
        <f>IFERROR(INDEX('Inputs (2)'!$D$59:$AL$59,MATCH(Z$7&amp;"",'Inputs (2)'!$D$2:$AL$2,0)),"")</f>
        <v/>
      </c>
      <c r="AA22" s="269" t="str">
        <f>IFERROR(INDEX('Inputs (2)'!$D$59:$AL$59,MATCH(AA$7&amp;"",'Inputs (2)'!$D$2:$AL$2,0)),"")</f>
        <v/>
      </c>
      <c r="AB22" s="270" t="str">
        <f>IF(COUNT(X22:AA22)=4,SUM(X22:AA22),"")</f>
        <v/>
      </c>
      <c r="AC22" s="269" t="str">
        <f>IFERROR(INDEX('Inputs (2)'!$D$59:$AL$59,MATCH(AC$7&amp;"",'Inputs (2)'!$D$2:$AL$2,0)),"")</f>
        <v/>
      </c>
      <c r="AD22" s="269" t="str">
        <f>IFERROR(INDEX('Inputs (2)'!$D$59:$AL$59,MATCH(AD$7&amp;"",'Inputs (2)'!$D$2:$AL$2,0)),"")</f>
        <v/>
      </c>
      <c r="AE22" s="269" t="str">
        <f>IFERROR(INDEX('Inputs (2)'!$D$59:$AL$59,MATCH(AE$7&amp;"",'Inputs (2)'!$D$2:$AL$2,0)),"")</f>
        <v/>
      </c>
      <c r="AF22" s="269">
        <f>IFERROR(INDEX('Inputs (2)'!$D$59:$AL$59,MATCH(AF$7&amp;"",'Inputs (2)'!$D$2:$AL$2,0)),"")</f>
        <v>1238.005</v>
      </c>
      <c r="AG22" s="270" t="str">
        <f>IF(COUNT(AC22:AF22)=4,SUM(AC22:AF22),"")</f>
        <v/>
      </c>
      <c r="AH22" s="270">
        <f>IFERROR(INDEX('Inputs (2)'!$D$59:$AL$59,MATCH(AH$7&amp;"",'Inputs (2)'!$D$2:$AL$2,0)),"")</f>
        <v>1043.541</v>
      </c>
      <c r="AI22" s="270">
        <f>IFERROR(INDEX('Inputs (2)'!$D$59:$AL$59,MATCH(AI$7&amp;"",'Inputs (2)'!$D$2:$AL$2,0)),"")</f>
        <v>2566.572</v>
      </c>
    </row>
    <row r="23">
      <c r="C23" s="268" t="inlineStr">
        <is>
          <t xml:space="preserve">   Nitrogen Production (até FY25; sem receita, só equivalência)</t>
        </is>
      </c>
      <c r="D23" s="269" t="str">
        <f>IFERROR(INDEX('Inputs (2)'!$D$61:$AL$61,MATCH(D$7&amp;"",'Inputs (2)'!$D$2:$AL$2,0)),"")</f>
        <v/>
      </c>
      <c r="E23" s="269" t="str">
        <f>IFERROR(INDEX('Inputs (2)'!$D$61:$AL$61,MATCH(E$7&amp;"",'Inputs (2)'!$D$2:$AL$2,0)),"")</f>
        <v/>
      </c>
      <c r="F23" s="269" t="str">
        <f>IFERROR(INDEX('Inputs (2)'!$D$61:$AL$61,MATCH(F$7&amp;"",'Inputs (2)'!$D$2:$AL$2,0)),"")</f>
        <v/>
      </c>
      <c r="G23" s="269" t="str">
        <f>IFERROR(INDEX('Inputs (2)'!$D$61:$AL$61,MATCH(G$7&amp;"",'Inputs (2)'!$D$2:$AL$2,0)),"")</f>
        <v/>
      </c>
      <c r="H23" s="270" t="str">
        <f>IF(COUNT(D23:G23)=4,SUM(D23:G23),"")</f>
        <v/>
      </c>
      <c r="I23" s="269" t="str">
        <f>IFERROR(INDEX('Inputs (2)'!$D$61:$AL$61,MATCH(I$7&amp;"",'Inputs (2)'!$D$2:$AL$2,0)),"")</f>
        <v/>
      </c>
      <c r="J23" s="269" t="str">
        <f>IFERROR(INDEX('Inputs (2)'!$D$61:$AL$61,MATCH(J$7&amp;"",'Inputs (2)'!$D$2:$AL$2,0)),"")</f>
        <v/>
      </c>
      <c r="K23" s="269" t="str">
        <f>IFERROR(INDEX('Inputs (2)'!$D$61:$AL$61,MATCH(K$7&amp;"",'Inputs (2)'!$D$2:$AL$2,0)),"")</f>
        <v/>
      </c>
      <c r="L23" s="269" t="str">
        <f>IFERROR(INDEX('Inputs (2)'!$D$61:$AL$61,MATCH(L$7&amp;"",'Inputs (2)'!$D$2:$AL$2,0)),"")</f>
        <v/>
      </c>
      <c r="M23" s="270" t="str">
        <f>IF(COUNT(I23:L23)=4,SUM(I23:L23),"")</f>
        <v/>
      </c>
      <c r="N23" s="269" t="str">
        <f>IFERROR(INDEX('Inputs (2)'!$D$61:$AL$61,MATCH(N$7&amp;"",'Inputs (2)'!$D$2:$AL$2,0)),"")</f>
        <v/>
      </c>
      <c r="O23" s="269" t="str">
        <f>IFERROR(INDEX('Inputs (2)'!$D$61:$AL$61,MATCH(O$7&amp;"",'Inputs (2)'!$D$2:$AL$2,0)),"")</f>
        <v/>
      </c>
      <c r="P23" s="269" t="str">
        <f>IFERROR(INDEX('Inputs (2)'!$D$61:$AL$61,MATCH(P$7&amp;"",'Inputs (2)'!$D$2:$AL$2,0)),"")</f>
        <v/>
      </c>
      <c r="Q23" s="269" t="str">
        <f>IFERROR(INDEX('Inputs (2)'!$D$61:$AL$61,MATCH(Q$7&amp;"",'Inputs (2)'!$D$2:$AL$2,0)),"")</f>
        <v/>
      </c>
      <c r="R23" s="270" t="str">
        <f>IF(COUNT(N23:Q23)=4,SUM(N23:Q23),"")</f>
        <v/>
      </c>
      <c r="S23" s="269" t="str">
        <f>IFERROR(INDEX('Inputs (2)'!$D$61:$AL$61,MATCH(S$7&amp;"",'Inputs (2)'!$D$2:$AL$2,0)),"")</f>
        <v/>
      </c>
      <c r="T23" s="269" t="str">
        <f>IFERROR(INDEX('Inputs (2)'!$D$61:$AL$61,MATCH(T$7&amp;"",'Inputs (2)'!$D$2:$AL$2,0)),"")</f>
        <v/>
      </c>
      <c r="U23" s="269" t="str">
        <f>IFERROR(INDEX('Inputs (2)'!$D$61:$AL$61,MATCH(U$7&amp;"",'Inputs (2)'!$D$2:$AL$2,0)),"")</f>
        <v/>
      </c>
      <c r="V23" s="269" t="str">
        <f>IFERROR(INDEX('Inputs (2)'!$D$61:$AL$61,MATCH(V$7&amp;"",'Inputs (2)'!$D$2:$AL$2,0)),"")</f>
        <v/>
      </c>
      <c r="W23" s="270" t="str">
        <f>IF(COUNT(S23:V23)=4,SUM(S23:V23),"")</f>
        <v/>
      </c>
      <c r="X23" s="269" t="str">
        <f>IFERROR(INDEX('Inputs (2)'!$D$61:$AL$61,MATCH(X$7&amp;"",'Inputs (2)'!$D$2:$AL$2,0)),"")</f>
        <v/>
      </c>
      <c r="Y23" s="269" t="str">
        <f>IFERROR(INDEX('Inputs (2)'!$D$61:$AL$61,MATCH(Y$7&amp;"",'Inputs (2)'!$D$2:$AL$2,0)),"")</f>
        <v/>
      </c>
      <c r="Z23" s="269" t="str">
        <f>IFERROR(INDEX('Inputs (2)'!$D$61:$AL$61,MATCH(Z$7&amp;"",'Inputs (2)'!$D$2:$AL$2,0)),"")</f>
        <v/>
      </c>
      <c r="AA23" s="269" t="str">
        <f>IFERROR(INDEX('Inputs (2)'!$D$61:$AL$61,MATCH(AA$7&amp;"",'Inputs (2)'!$D$2:$AL$2,0)),"")</f>
        <v/>
      </c>
      <c r="AB23" s="270" t="str">
        <f>IF(COUNT(X23:AA23)=4,SUM(X23:AA23),"")</f>
        <v/>
      </c>
      <c r="AC23" s="269" t="str">
        <f>IFERROR(INDEX('Inputs (2)'!$D$61:$AL$61,MATCH(AC$7&amp;"",'Inputs (2)'!$D$2:$AL$2,0)),"")</f>
        <v/>
      </c>
      <c r="AD23" s="269" t="str">
        <f>IFERROR(INDEX('Inputs (2)'!$D$61:$AL$61,MATCH(AD$7&amp;"",'Inputs (2)'!$D$2:$AL$2,0)),"")</f>
        <v/>
      </c>
      <c r="AE23" s="269" t="str">
        <f>IFERROR(INDEX('Inputs (2)'!$D$61:$AL$61,MATCH(AE$7&amp;"",'Inputs (2)'!$D$2:$AL$2,0)),"")</f>
        <v/>
      </c>
      <c r="AF23" s="269" t="str">
        <f>IFERROR(INDEX('Inputs (2)'!$D$61:$AL$61,MATCH(AF$7&amp;"",'Inputs (2)'!$D$2:$AL$2,0)),"")</f>
        <v/>
      </c>
      <c r="AG23" s="270" t="str">
        <f>IF(COUNT(AC23:AF23)=4,SUM(AC23:AF23),"")</f>
        <v/>
      </c>
      <c r="AH23" s="270" t="str">
        <f>IFERROR(INDEX('Inputs (2)'!$D$61:$AL$61,MATCH(AH$7&amp;"",'Inputs (2)'!$D$2:$AL$2,0)),"")</f>
        <v/>
      </c>
      <c r="AI23" s="270" t="str">
        <f>IFERROR(INDEX('Inputs (2)'!$D$61:$AL$61,MATCH(AI$7&amp;"",'Inputs (2)'!$D$2:$AL$2,0)),"")</f>
        <v/>
      </c>
    </row>
    <row r="24">
      <c r="C24" s="268" t="inlineStr">
        <is>
          <t xml:space="preserve">   Corporate &amp; Other / demais segmentos</t>
        </is>
      </c>
      <c r="D24" s="269" t="str">
        <f>IFERROR(INDEX('Inputs (2)'!$D$63:$AL$63,MATCH(D$7&amp;"",'Inputs (2)'!$D$2:$AL$2,0)),"")</f>
        <v/>
      </c>
      <c r="E24" s="269" t="str">
        <f>IFERROR(INDEX('Inputs (2)'!$D$63:$AL$63,MATCH(E$7&amp;"",'Inputs (2)'!$D$2:$AL$2,0)),"")</f>
        <v/>
      </c>
      <c r="F24" s="269" t="str">
        <f>IFERROR(INDEX('Inputs (2)'!$D$63:$AL$63,MATCH(F$7&amp;"",'Inputs (2)'!$D$2:$AL$2,0)),"")</f>
        <v/>
      </c>
      <c r="G24" s="269" t="str">
        <f>IFERROR(INDEX('Inputs (2)'!$D$63:$AL$63,MATCH(G$7&amp;"",'Inputs (2)'!$D$2:$AL$2,0)),"")</f>
        <v/>
      </c>
      <c r="H24" s="270" t="str">
        <f>IF(COUNT(D24:G24)=4,SUM(D24:G24),"")</f>
        <v/>
      </c>
      <c r="I24" s="269">
        <f>IFERROR(INDEX('Inputs (2)'!$D$63:$AL$63,MATCH(I$7&amp;"",'Inputs (2)'!$D$2:$AL$2,0)),"")</f>
        <v>9.789</v>
      </c>
      <c r="J24" s="269">
        <f>IFERROR(INDEX('Inputs (2)'!$D$63:$AL$63,MATCH(J$7&amp;"",'Inputs (2)'!$D$2:$AL$2,0)),"")</f>
        <v>8.974</v>
      </c>
      <c r="K24" s="269">
        <f>IFERROR(INDEX('Inputs (2)'!$D$63:$AL$63,MATCH(K$7&amp;"",'Inputs (2)'!$D$2:$AL$2,0)),"")</f>
        <v>6.273</v>
      </c>
      <c r="L24" s="269">
        <f>IFERROR(INDEX('Inputs (2)'!$D$63:$AL$63,MATCH(L$7&amp;"",'Inputs (2)'!$D$2:$AL$2,0)),"")</f>
        <v>7.511</v>
      </c>
      <c r="M24" s="270">
        <f>IF(COUNT(I24:L24)=4,SUM(I24:L24),"")</f>
        <v>32.547</v>
      </c>
      <c r="N24" s="269">
        <f>IFERROR(INDEX('Inputs (2)'!$D$63:$AL$63,MATCH(N$7&amp;"",'Inputs (2)'!$D$2:$AL$2,0)),"")</f>
        <v>8.658</v>
      </c>
      <c r="O24" s="269">
        <f>IFERROR(INDEX('Inputs (2)'!$D$63:$AL$63,MATCH(O$7&amp;"",'Inputs (2)'!$D$2:$AL$2,0)),"")</f>
        <v>9.413</v>
      </c>
      <c r="P24" s="269">
        <f>IFERROR(INDEX('Inputs (2)'!$D$63:$AL$63,MATCH(P$7&amp;"",'Inputs (2)'!$D$2:$AL$2,0)),"")</f>
        <v>11.099</v>
      </c>
      <c r="Q24" s="269">
        <f>IFERROR(INDEX('Inputs (2)'!$D$63:$AL$63,MATCH(Q$7&amp;"",'Inputs (2)'!$D$2:$AL$2,0)),"")</f>
        <v>13.289</v>
      </c>
      <c r="R24" s="270">
        <f>IF(COUNT(N24:Q24)=4,SUM(N24:Q24),"")</f>
        <v>42.459</v>
      </c>
      <c r="S24" s="269">
        <f>IFERROR(INDEX('Inputs (2)'!$D$63:$AL$63,MATCH(S$7&amp;"",'Inputs (2)'!$D$2:$AL$2,0)),"")</f>
        <v>17.477</v>
      </c>
      <c r="T24" s="269">
        <f>IFERROR(INDEX('Inputs (2)'!$D$63:$AL$63,MATCH(T$7&amp;"",'Inputs (2)'!$D$2:$AL$2,0)),"")</f>
        <v>17.988</v>
      </c>
      <c r="U24" s="269">
        <f>IFERROR(INDEX('Inputs (2)'!$D$63:$AL$63,MATCH(U$7&amp;"",'Inputs (2)'!$D$2:$AL$2,0)),"")</f>
        <v>19.133</v>
      </c>
      <c r="V24" s="269">
        <f>IFERROR(INDEX('Inputs (2)'!$D$63:$AL$63,MATCH(V$7&amp;"",'Inputs (2)'!$D$2:$AL$2,0)),"")</f>
        <v>20.553</v>
      </c>
      <c r="W24" s="270">
        <f>IF(COUNT(S24:V24)=4,SUM(S24:V24),"")</f>
        <v>75.151</v>
      </c>
      <c r="X24" s="269">
        <f>IFERROR(INDEX('Inputs (2)'!$D$63:$AL$63,MATCH(X$7&amp;"",'Inputs (2)'!$D$2:$AL$2,0)),"")</f>
        <v>19.647</v>
      </c>
      <c r="Y24" s="269">
        <f>IFERROR(INDEX('Inputs (2)'!$D$63:$AL$63,MATCH(Y$7&amp;"",'Inputs (2)'!$D$2:$AL$2,0)),"")</f>
        <v>18.149</v>
      </c>
      <c r="Z24" s="269">
        <f>IFERROR(INDEX('Inputs (2)'!$D$63:$AL$63,MATCH(Z$7&amp;"",'Inputs (2)'!$D$2:$AL$2,0)),"")</f>
        <v>19.526</v>
      </c>
      <c r="AA24" s="269">
        <f>IFERROR(INDEX('Inputs (2)'!$D$63:$AL$63,MATCH(AA$7&amp;"",'Inputs (2)'!$D$2:$AL$2,0)),"")</f>
        <v>20.839</v>
      </c>
      <c r="AB24" s="270">
        <f>IF(COUNT(X24:AA24)=4,SUM(X24:AA24),"")</f>
        <v>78.161</v>
      </c>
      <c r="AC24" s="269">
        <f>IFERROR(INDEX('Inputs (2)'!$D$63:$AL$63,MATCH(AC$7&amp;"",'Inputs (2)'!$D$2:$AL$2,0)),"")</f>
        <v>19.484</v>
      </c>
      <c r="AD24" s="269">
        <f>IFERROR(INDEX('Inputs (2)'!$D$63:$AL$63,MATCH(AD$7&amp;"",'Inputs (2)'!$D$2:$AL$2,0)),"")</f>
        <v>18.418</v>
      </c>
      <c r="AE24" s="269">
        <f>IFERROR(INDEX('Inputs (2)'!$D$63:$AL$63,MATCH(AE$7&amp;"",'Inputs (2)'!$D$2:$AL$2,0)),"")</f>
        <v>20.353</v>
      </c>
      <c r="AF24" s="269" t="str">
        <f>IFERROR(INDEX('Inputs (2)'!$D$63:$AL$63,MATCH(AF$7&amp;"",'Inputs (2)'!$D$2:$AL$2,0)),"")</f>
        <v/>
      </c>
      <c r="AG24" s="270" t="str">
        <f>IF(COUNT(AC24:AF24)=4,SUM(AC24:AF24),"")</f>
        <v/>
      </c>
      <c r="AH24" s="270">
        <f>IFERROR(INDEX('Inputs (2)'!$D$63:$AL$63,MATCH(AH$7&amp;"",'Inputs (2)'!$D$2:$AL$2,0)),"")</f>
        <v>96.381</v>
      </c>
      <c r="AI24" s="270">
        <f>IFERROR(INDEX('Inputs (2)'!$D$63:$AL$63,MATCH(AI$7&amp;"",'Inputs (2)'!$D$2:$AL$2,0)),"")</f>
        <v>90.965</v>
      </c>
    </row>
    <row r="25">
      <c r="C25" s="271" t="inlineStr">
        <is>
          <t>Receita (soma dos segmentos)</t>
        </is>
      </c>
      <c r="D25" s="269" t="str">
        <f>IF(COUNT(D19,D20,D21,D22,D23,D24)=0,"",N(D19)+N(D20)+N(D21)+N(D22)+N(D23)+N(D24))</f>
        <v/>
      </c>
      <c r="E25" s="269" t="str">
        <f>IF(COUNT(E19,E20,E21,E22,E23,E24)=0,"",N(E19)+N(E20)+N(E21)+N(E22)+N(E23)+N(E24))</f>
        <v/>
      </c>
      <c r="F25" s="269" t="str">
        <f>IF(COUNT(F19,F20,F21,F22,F23,F24)=0,"",N(F19)+N(F20)+N(F21)+N(F22)+N(F23)+N(F24))</f>
        <v/>
      </c>
      <c r="G25" s="269" t="str">
        <f>IF(COUNT(G19,G20,G21,G22,G23,G24)=0,"",N(G19)+N(G20)+N(G21)+N(G22)+N(G23)+N(G24))</f>
        <v/>
      </c>
      <c r="H25" s="270" t="str">
        <f>IF(COUNT(H19,H20,H21,H22,H23,H24)=0,"",N(H19)+N(H20)+N(H21)+N(H22)+N(H23)+N(H24))</f>
        <v/>
      </c>
      <c r="I25" s="269">
        <f>IF(COUNT(I19,I20,I21,I22,I23,I24)=0,"",N(I19)+N(I20)+N(I21)+N(I22)+N(I23)+N(I24))</f>
        <v>8320.159</v>
      </c>
      <c r="J25" s="269">
        <f>IF(COUNT(J19,J20,J21,J22,J23,J24)=0,"",N(J19)+N(J20)+N(J21)+N(J22)+N(J23)+N(J24))</f>
        <v>10929.976</v>
      </c>
      <c r="K25" s="269">
        <f>IF(COUNT(K19,K20,K21,K22,K23,K24)=0,"",N(K19)+N(K20)+N(K21)+N(K22)+N(K23)+N(K24))</f>
        <v>10482.255</v>
      </c>
      <c r="L25" s="269">
        <f>IF(COUNT(L19,L20,L21,L22,L23,L24)=0,"",N(L19)+N(L20)+N(L21)+N(L22)+N(L23)+N(L24))</f>
        <v>10880.757</v>
      </c>
      <c r="M25" s="270">
        <f>IF(COUNT(M19,M20,M21,M22,M23,M24)=0,"",N(M19)+N(M20)+N(M21)+N(M22)+N(M23)+N(M24))</f>
        <v>40613.147</v>
      </c>
      <c r="N25" s="269">
        <f>IF(COUNT(N19,N20,N21,N22,N23,N24)=0,"",N(N19)+N(N20)+N(N21)+N(N22)+N(N23)+N(N24))</f>
        <v>10332.588</v>
      </c>
      <c r="O25" s="269">
        <f>IF(COUNT(O19,O20,O21,O22,O23,O24)=0,"",N(O19)+N(O20)+N(O21)+N(O22)+N(O23)+N(O24))</f>
        <v>13137.724</v>
      </c>
      <c r="P25" s="269">
        <f>IF(COUNT(P19,P20,P21,P22,P23,P24)=0,"",N(P19)+N(P20)+N(P21)+N(P22)+N(P23)+N(P24))</f>
        <v>13440.597</v>
      </c>
      <c r="Q25" s="269">
        <f>IF(COUNT(Q19,Q20,Q21,Q22,Q23,Q24)=0,"",N(Q19)+N(Q20)+N(Q21)+N(Q22)+N(Q23)+N(Q24))</f>
        <v>12765.839</v>
      </c>
      <c r="R25" s="270">
        <f>IF(COUNT(R19,R20,R21,R22,R23,R24)=0,"",N(R19)+N(R20)+N(R21)+N(R22)+N(R23)+N(R24))</f>
        <v>49676.748</v>
      </c>
      <c r="S25" s="269">
        <f>IF(COUNT(S19,S20,S21,S22,S23,S24)=0,"",N(S19)+N(S20)+N(S21)+N(S22)+N(S23)+N(S24))</f>
        <v>11306.848</v>
      </c>
      <c r="T25" s="269">
        <f>IF(COUNT(T19,T20,T21,T22,T23,T24)=0,"",N(T19)+N(T20)+N(T21)+N(T22)+N(T23)+N(T24))</f>
        <v>12026.051</v>
      </c>
      <c r="U25" s="269">
        <f>IF(COUNT(U19,U20,U21,U22,U23,U24)=0,"",N(U19)+N(U20)+N(U21)+N(U22)+N(U23)+N(U24))</f>
        <v>9491.266</v>
      </c>
      <c r="V25" s="269">
        <f>IF(COUNT(V19,V20,V21,V22,V23,V24)=0,"",N(V19)+N(V20)+N(V21)+N(V22)+N(V23)+N(V24))</f>
        <v>11390.658</v>
      </c>
      <c r="W25" s="270">
        <f>IF(COUNT(W19,W20,W21,W22,W23,W24)=0,"",N(W19)+N(W20)+N(W21)+N(W22)+N(W23)+N(W24))</f>
        <v>44214.823</v>
      </c>
      <c r="X25" s="269">
        <f>IF(COUNT(X19,X20,X21,X22,X23,X24)=0,"",N(X19)+N(X20)+N(X21)+N(X22)+N(X23)+N(X24))</f>
        <v>9087.48</v>
      </c>
      <c r="Y25" s="269">
        <f>IF(COUNT(Y19,Y20,Y21,Y22,Y23,Y24)=0,"",N(Y19)+N(Y20)+N(Y21)+N(Y22)+N(Y23)+N(Y24))</f>
        <v>9608.983</v>
      </c>
      <c r="Z25" s="269">
        <f>IF(COUNT(Z19,Z20,Z21,Z22,Z23,Z24)=0,"",N(Z19)+N(Z20)+N(Z21)+N(Z22)+N(Z23)+N(Z24))</f>
        <v>9174.108</v>
      </c>
      <c r="AA25" s="269">
        <f>IF(COUNT(AA19,AA20,AA21,AA22,AA23,AA24)=0,"",N(AA19)+N(AA20)+N(AA21)+N(AA22)+N(AA23)+N(AA24))</f>
        <v>9294.112</v>
      </c>
      <c r="AB25" s="270">
        <f>IF(COUNT(AB19,AB20,AB21,AB22,AB23,AB24)=0,"",N(AB19)+N(AB20)+N(AB21)+N(AB22)+N(AB23)+N(AB24))</f>
        <v>37164.683</v>
      </c>
      <c r="AC25" s="269">
        <f>IF(COUNT(AC19,AC20,AC21,AC22,AC23,AC24)=0,"",N(AC19)+N(AC20)+N(AC21)+N(AC22)+N(AC23)+N(AC24))</f>
        <v>8022.348</v>
      </c>
      <c r="AD25" s="269">
        <f>IF(COUNT(AD19,AD20,AD21,AD22,AD23,AD24)=0,"",N(AD19)+N(AD20)+N(AD21)+N(AD22)+N(AD23)+N(AD24))</f>
        <v>9898.55</v>
      </c>
      <c r="AE25" s="269">
        <f>IF(COUNT(AE19,AE20,AE21,AE22,AE23,AE24)=0,"",N(AE19)+N(AE20)+N(AE21)+N(AE22)+N(AE23)+N(AE24))</f>
        <v>8605.884</v>
      </c>
      <c r="AF25" s="269">
        <f>IF(COUNT(AF19,AF20,AF21,AF22,AF23,AF24)=0,"",N(AF19)+N(AF20)+N(AF21)+N(AF22)+N(AF23)+N(AF24))</f>
        <v>8818.236</v>
      </c>
      <c r="AG25" s="270">
        <f>IF(COUNT(AG19,AG20,AG21,AG22,AG23,AG24)=0,"",N(AG19)+N(AG20)+N(AG21)+N(AG22)+N(AG23)+N(AG24))</f>
        <v>8227.037</v>
      </c>
      <c r="AH25" s="270">
        <f>IF(COUNT(AH19,AH20,AH21,AH22,AH23,AH24)=0,"",N(AH19)+N(AH20)+N(AH21)+N(AH22)+N(AH23)+N(AH24))</f>
        <v>8430.194</v>
      </c>
      <c r="AI25" s="270">
        <f>IF(COUNT(AI19,AI20,AI21,AI22,AI23,AI24)=0,"",N(AI19)+N(AI20)+N(AI21)+N(AI22)+N(AI23)+N(AI24))</f>
        <v>11646.108</v>
      </c>
    </row>
    <row r="26">
      <c r="C26" s="268" t="inlineStr">
        <is>
          <t>Receita não alocada aos segmentos (linha 15 - soma)</t>
        </is>
      </c>
      <c r="D26" s="269" t="str">
        <f>IF(COUNT(D25)=0,"",ROUND(D15-D25,1))</f>
        <v/>
      </c>
      <c r="E26" s="269" t="str">
        <f>IF(COUNT(E25)=0,"",ROUND(E15-E25,1))</f>
        <v/>
      </c>
      <c r="F26" s="269" t="str">
        <f>IF(COUNT(F25)=0,"",ROUND(F15-F25,1))</f>
        <v/>
      </c>
      <c r="G26" s="269" t="str">
        <f>IF(COUNT(G25)=0,"",ROUND(G15-G25,1))</f>
        <v/>
      </c>
      <c r="H26" s="270" t="str">
        <f>IF(COUNT(H25)=0,"",ROUND(H15-H25,1))</f>
        <v/>
      </c>
      <c r="I26" s="269">
        <f>IF(COUNT(I25)=0,"",ROUND(I15-I25,1))</f>
        <v>0</v>
      </c>
      <c r="J26" s="269">
        <f>IF(COUNT(J25)=0,"",ROUND(J15-J25,1))</f>
        <v>0</v>
      </c>
      <c r="K26" s="269">
        <f>IF(COUNT(K25)=0,"",ROUND(K15-K25,1))</f>
        <v>0</v>
      </c>
      <c r="L26" s="269">
        <f>IF(COUNT(L25)=0,"",ROUND(L15-L25,1))</f>
        <v>0</v>
      </c>
      <c r="M26" s="270">
        <f>IF(COUNT(M25)=0,"",ROUND(M15-M25,1))</f>
        <v>0</v>
      </c>
      <c r="N26" s="269">
        <f>IF(COUNT(N25)=0,"",ROUND(N15-N25,1))</f>
        <v>0</v>
      </c>
      <c r="O26" s="269">
        <f>IF(COUNT(O25)=0,"",ROUND(O15-O25,1))</f>
        <v>0</v>
      </c>
      <c r="P26" s="269">
        <f>IF(COUNT(P25)=0,"",ROUND(P15-P25,1))</f>
        <v>0</v>
      </c>
      <c r="Q26" s="269">
        <f>IF(COUNT(Q25)=0,"",ROUND(Q15-Q25,1))</f>
        <v>0</v>
      </c>
      <c r="R26" s="270">
        <f>IF(COUNT(R25)=0,"",ROUND(R15-R25,1))</f>
        <v>0</v>
      </c>
      <c r="S26" s="269">
        <f>IF(COUNT(S25)=0,"",ROUND(S15-S25,1))</f>
        <v>0</v>
      </c>
      <c r="T26" s="269">
        <f>IF(COUNT(T25)=0,"",ROUND(T15-T25,1))</f>
        <v>0</v>
      </c>
      <c r="U26" s="269">
        <f>IF(COUNT(U25)=0,"",ROUND(U15-U25,1))</f>
        <v>0</v>
      </c>
      <c r="V26" s="269">
        <f>IF(COUNT(V25)=0,"",ROUND(V15-V25,1))</f>
        <v>0</v>
      </c>
      <c r="W26" s="270">
        <f>IF(COUNT(W25)=0,"",ROUND(W15-W25,1))</f>
        <v>0</v>
      </c>
      <c r="X26" s="269">
        <f>IF(COUNT(X25)=0,"",ROUND(X15-X25,1))</f>
        <v>0</v>
      </c>
      <c r="Y26" s="269">
        <f>IF(COUNT(Y25)=0,"",ROUND(Y15-Y25,1))</f>
        <v>0</v>
      </c>
      <c r="Z26" s="269">
        <f>IF(COUNT(Z25)=0,"",ROUND(Z15-Z25,1))</f>
        <v>0</v>
      </c>
      <c r="AA26" s="269">
        <f>IF(COUNT(AA25)=0,"",ROUND(AA15-AA25,1))</f>
        <v>0</v>
      </c>
      <c r="AB26" s="270">
        <f>IF(COUNT(AB25)=0,"",ROUND(AB15-AB25,1))</f>
        <v>0</v>
      </c>
      <c r="AC26" s="269">
        <f>IF(COUNT(AC25)=0,"",ROUND(AC15-AC25,1))</f>
        <v>-226.2</v>
      </c>
      <c r="AD26" s="269">
        <f>IF(COUNT(AD25)=0,"",ROUND(AD15-AD25,1))</f>
        <v>-132.1</v>
      </c>
      <c r="AE26" s="269">
        <f>IF(COUNT(AE25)=0,"",ROUND(AE15-AE25,1))</f>
        <v>0</v>
      </c>
      <c r="AF26" s="269">
        <f>IF(COUNT(AF25)=0,"",ROUND(AF15-AF25,1))</f>
        <v>45.9</v>
      </c>
      <c r="AG26" s="270">
        <f>IF(COUNT(AG25)=0,"",ROUND(AG15-AG25,1))</f>
        <v>26805.6</v>
      </c>
      <c r="AH26" s="270">
        <f>IF(COUNT(AH25)=0,"",ROUND(AH15-AH25,1))</f>
        <v>-76.4</v>
      </c>
      <c r="AI26" s="270">
        <f>IF(COUNT(AI25)=0,"",ROUND(AI15-AI25,1))</f>
        <v>-64</v>
      </c>
    </row>
    <row r="27">
      <c r="C27" s="268" t="inlineStr">
        <is>
          <t xml:space="preserve">   % YoY Energy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IFERROR(I19/D19-1,"")</f>
        <v/>
      </c>
      <c r="J27" s="272" t="str">
        <f>IFERROR(J19/E19-1,"")</f>
        <v/>
      </c>
      <c r="K27" s="272" t="str">
        <f>IFERROR(K19/F19-1,"")</f>
        <v/>
      </c>
      <c r="L27" s="272" t="str">
        <f>IFERROR(L19/G19-1,"")</f>
        <v/>
      </c>
      <c r="M27" s="273" t="str">
        <f>IFERROR(M19/H19-1,"")</f>
        <v/>
      </c>
      <c r="N27" s="272">
        <f>IFERROR(N19/I19-1,"")</f>
        <v>0.477963179167414</v>
      </c>
      <c r="O27" s="272">
        <f>IFERROR(O19/J19-1,"")</f>
        <v>0.628311389384549</v>
      </c>
      <c r="P27" s="272">
        <f>IFERROR(P19/K19-1,"")</f>
        <v>0.561828765894716</v>
      </c>
      <c r="Q27" s="272">
        <f>IFERROR(Q19/L19-1,"")</f>
        <v>0.353873090429764</v>
      </c>
      <c r="R27" s="273">
        <f>IFERROR(R19/M19-1,"")</f>
        <v>0.497034454815203</v>
      </c>
      <c r="S27" s="272">
        <f>IFERROR(S19/N19-1,"")</f>
        <v>0.06947833800707</v>
      </c>
      <c r="T27" s="272">
        <f>IFERROR(T19/O19-1,"")</f>
        <v>-0.184389659438129</v>
      </c>
      <c r="U27" s="272">
        <f>IFERROR(U19/P19-1,"")</f>
        <v>-0.201524328442604</v>
      </c>
      <c r="V27" s="272">
        <f>IFERROR(V19/Q19-1,"")</f>
        <v>-0.128671569894073</v>
      </c>
      <c r="W27" s="273">
        <f>IFERROR(W19/R19-1,"")</f>
        <v>-0.127320806405491</v>
      </c>
      <c r="X27" s="272">
        <f>IFERROR(X19/S19-1,"")</f>
        <v>-0.190040485941959</v>
      </c>
      <c r="Y27" s="272">
        <f>IFERROR(Y19/T19-1,"")</f>
        <v>-0.0869705978613014</v>
      </c>
      <c r="Z27" s="272">
        <f>IFERROR(Z19/U19-1,"")</f>
        <v>-0.12574141747743</v>
      </c>
      <c r="AA27" s="272">
        <f>IFERROR(AA19/V19-1,"")</f>
        <v>-0.21589181512469</v>
      </c>
      <c r="AB27" s="273">
        <f>IFERROR(AB19/W19-1,"")</f>
        <v>-0.156343216117667</v>
      </c>
      <c r="AC27" s="272">
        <f>IFERROR(AC19/X19-1,"")</f>
        <v>0.0914629634057067</v>
      </c>
      <c r="AD27" s="272">
        <f>IFERROR(AD19/Y19-1,"")</f>
        <v>-0.072224065852094</v>
      </c>
      <c r="AE27" s="272">
        <f>IFERROR(AE19/Z19-1,"")</f>
        <v>-0.0888991776252948</v>
      </c>
      <c r="AF27" s="272">
        <f>IFERROR(AF19/AA19-1,"")</f>
        <v>0.109667087251585</v>
      </c>
      <c r="AG27" s="273">
        <f>IFERROR(AG19/AB19-1,"")</f>
        <v>0.00578541010113565</v>
      </c>
      <c r="AH27" s="273">
        <f>IFERROR(AH19/AC19-1,"")</f>
        <v>0.100615052594742</v>
      </c>
      <c r="AI27" s="273">
        <f>IFERROR(AI19/AD19-1,"")</f>
        <v>0.733629042097568</v>
      </c>
    </row>
    <row r="28">
      <c r="C28" s="268" t="inlineStr">
        <is>
          <t xml:space="preserve">   % YoY Ag (estrutura até FY25)</t>
        </is>
      </c>
      <c r="D28" s="272" t="str">
        <f>""</f>
        <v/>
      </c>
      <c r="E28" s="272" t="str">
        <f>""</f>
        <v/>
      </c>
      <c r="F28" s="272" t="str">
        <f>""</f>
        <v/>
      </c>
      <c r="G28" s="272" t="str">
        <f>""</f>
        <v/>
      </c>
      <c r="H28" s="273" t="str">
        <f>""</f>
        <v/>
      </c>
      <c r="I28" s="272" t="str">
        <f>IFERROR(I20/D20-1,"")</f>
        <v/>
      </c>
      <c r="J28" s="272" t="str">
        <f>IFERROR(J20/E20-1,"")</f>
        <v/>
      </c>
      <c r="K28" s="272" t="str">
        <f>IFERROR(K20/F20-1,"")</f>
        <v/>
      </c>
      <c r="L28" s="272" t="str">
        <f>IFERROR(L20/G20-1,"")</f>
        <v/>
      </c>
      <c r="M28" s="273" t="str">
        <f>IFERROR(M20/H20-1,"")</f>
        <v/>
      </c>
      <c r="N28" s="272">
        <f>IFERROR(N20/I20-1,"")</f>
        <v>0.195687159746632</v>
      </c>
      <c r="O28" s="272">
        <f>IFERROR(O20/J20-1,"")</f>
        <v>0.123279063701281</v>
      </c>
      <c r="P28" s="272">
        <f>IFERROR(P20/K20-1,"")</f>
        <v>0.214228304015258</v>
      </c>
      <c r="Q28" s="272">
        <f>IFERROR(Q20/L20-1,"")</f>
        <v>0.124163011060817</v>
      </c>
      <c r="R28" s="273">
        <f>IFERROR(R20/M20-1,"")</f>
        <v>0.161795132626696</v>
      </c>
      <c r="S28" s="272">
        <f>IFERROR(S20/N20-1,"")</f>
        <v>0.0993907736214295</v>
      </c>
      <c r="T28" s="272">
        <f>IFERROR(T20/O20-1,"")</f>
        <v>-0.0587684809148514</v>
      </c>
      <c r="U28" s="272">
        <f>IFERROR(U20/P20-1,"")</f>
        <v>-0.323660122397988</v>
      </c>
      <c r="V28" s="272">
        <f>IFERROR(V20/Q20-1,"")</f>
        <v>-0.101843055153591</v>
      </c>
      <c r="W28" s="273">
        <f>IFERROR(W20/R20-1,"")</f>
        <v>-0.105909309567421</v>
      </c>
      <c r="X28" s="272">
        <f>IFERROR(X20/S20-1,"")</f>
        <v>-0.198384403435349</v>
      </c>
      <c r="Y28" s="272">
        <f>IFERROR(Y20/T20-1,"")</f>
        <v>-0.227865914283861</v>
      </c>
      <c r="Z28" s="272">
        <f>IFERROR(Z20/U20-1,"")</f>
        <v>0.000348321201516066</v>
      </c>
      <c r="AA28" s="272">
        <f>IFERROR(AA20/V20-1,"")</f>
        <v>-0.174528687328547</v>
      </c>
      <c r="AB28" s="273">
        <f>IFERROR(AB20/W20-1,"")</f>
        <v>-0.160762307069783</v>
      </c>
      <c r="AC28" s="272">
        <f>IFERROR(AC20/X20-1,"")</f>
        <v>-0.167641279143484</v>
      </c>
      <c r="AD28" s="272">
        <f>IFERROR(AD20/Y20-1,"")</f>
        <v>0.0582958604167974</v>
      </c>
      <c r="AE28" s="272">
        <f>IFERROR(AE20/Z20-1,"")</f>
        <v>-0.053576466245604</v>
      </c>
      <c r="AF28" s="272" t="str">
        <f>IFERROR(AF20/AA20-1,"")</f>
        <v/>
      </c>
      <c r="AG28" s="273" t="str">
        <f>IFERROR(AG20/AB20-1,"")</f>
        <v/>
      </c>
      <c r="AH28" s="273" t="str">
        <f>IFERROR(AH20/AC20-1,"")</f>
        <v/>
      </c>
      <c r="AI28" s="273" t="str">
        <f>IFERROR(AI20/AD20-1,"")</f>
        <v/>
      </c>
    </row>
    <row r="29">
      <c r="C29" s="268" t="inlineStr">
        <is>
          <t xml:space="preserve">   % YoY Grains (estrutura FY26)</t>
        </is>
      </c>
      <c r="D29" s="272" t="str">
        <f>""</f>
        <v/>
      </c>
      <c r="E29" s="272" t="str">
        <f>""</f>
        <v/>
      </c>
      <c r="F29" s="272" t="str">
        <f>""</f>
        <v/>
      </c>
      <c r="G29" s="272" t="str">
        <f>""</f>
        <v/>
      </c>
      <c r="H29" s="273" t="str">
        <f>""</f>
        <v/>
      </c>
      <c r="I29" s="272" t="str">
        <f>IFERROR(I21/D21-1,"")</f>
        <v/>
      </c>
      <c r="J29" s="272" t="str">
        <f>IFERROR(J21/E21-1,"")</f>
        <v/>
      </c>
      <c r="K29" s="272" t="str">
        <f>IFERROR(K21/F21-1,"")</f>
        <v/>
      </c>
      <c r="L29" s="272" t="str">
        <f>IFERROR(L21/G21-1,"")</f>
        <v/>
      </c>
      <c r="M29" s="273" t="str">
        <f>IFERROR(M21/H21-1,"")</f>
        <v/>
      </c>
      <c r="N29" s="272" t="str">
        <f>IFERROR(N21/I21-1,"")</f>
        <v/>
      </c>
      <c r="O29" s="272" t="str">
        <f>IFERROR(O21/J21-1,"")</f>
        <v/>
      </c>
      <c r="P29" s="272" t="str">
        <f>IFERROR(P21/K21-1,"")</f>
        <v/>
      </c>
      <c r="Q29" s="272" t="str">
        <f>IFERROR(Q21/L21-1,"")</f>
        <v/>
      </c>
      <c r="R29" s="273" t="str">
        <f>IFERROR(R21/M21-1,"")</f>
        <v/>
      </c>
      <c r="S29" s="272" t="str">
        <f>IFERROR(S21/N21-1,"")</f>
        <v/>
      </c>
      <c r="T29" s="272" t="str">
        <f>IFERROR(T21/O21-1,"")</f>
        <v/>
      </c>
      <c r="U29" s="272" t="str">
        <f>IFERROR(U21/P21-1,"")</f>
        <v/>
      </c>
      <c r="V29" s="272" t="str">
        <f>IFERROR(V21/Q21-1,"")</f>
        <v/>
      </c>
      <c r="W29" s="273" t="str">
        <f>IFERROR(W21/R21-1,"")</f>
        <v/>
      </c>
      <c r="X29" s="272" t="str">
        <f>IFERROR(X21/S21-1,"")</f>
        <v/>
      </c>
      <c r="Y29" s="272" t="str">
        <f>IFERROR(Y21/T21-1,"")</f>
        <v/>
      </c>
      <c r="Z29" s="272" t="str">
        <f>IFERROR(Z21/U21-1,"")</f>
        <v/>
      </c>
      <c r="AA29" s="272" t="str">
        <f>IFERROR(AA21/V21-1,"")</f>
        <v/>
      </c>
      <c r="AB29" s="273" t="str">
        <f>IFERROR(AB21/W21-1,"")</f>
        <v/>
      </c>
      <c r="AC29" s="272" t="str">
        <f>IFERROR(AC21/X21-1,"")</f>
        <v/>
      </c>
      <c r="AD29" s="272" t="str">
        <f>IFERROR(AD21/Y21-1,"")</f>
        <v/>
      </c>
      <c r="AE29" s="272" t="str">
        <f>IFERROR(AE21/Z21-1,"")</f>
        <v/>
      </c>
      <c r="AF29" s="272" t="str">
        <f>IFERROR(AF21/AA21-1,"")</f>
        <v/>
      </c>
      <c r="AG29" s="273" t="str">
        <f>IFERROR(AG21/AB21-1,"")</f>
        <v/>
      </c>
      <c r="AH29" s="273" t="str">
        <f>IFERROR(AH21/AC21-1,"")</f>
        <v/>
      </c>
      <c r="AI29" s="273" t="str">
        <f>IFERROR(AI21/AD21-1,"")</f>
        <v/>
      </c>
    </row>
    <row r="30"/>
    <row r="31">
      <c r="C31" s="267" t="inlineStr">
        <is>
          <t>Segmentos - lucro e margem (USD milhões)</t>
        </is>
      </c>
      <c r="D31" s="267">
        <f>D7</f>
        <v>0</v>
      </c>
      <c r="E31" s="267">
        <f>E7</f>
        <v>0</v>
      </c>
      <c r="F31" s="267">
        <f>F7</f>
        <v>0</v>
      </c>
      <c r="G31" s="267">
        <f>G7</f>
        <v>0</v>
      </c>
      <c r="H31" s="267">
        <f>H7</f>
        <v>2020</v>
      </c>
      <c r="I31" s="267" t="str">
        <f>I7</f>
        <v>1Q21</v>
      </c>
      <c r="J31" s="267" t="str">
        <f>J7</f>
        <v>2Q21</v>
      </c>
      <c r="K31" s="267" t="str">
        <f>K7</f>
        <v>3Q21</v>
      </c>
      <c r="L31" s="267" t="str">
        <f>L7</f>
        <v>4Q21</v>
      </c>
      <c r="M31" s="267">
        <f>M7</f>
        <v>2021</v>
      </c>
      <c r="N31" s="267" t="str">
        <f>N7</f>
        <v>1Q22</v>
      </c>
      <c r="O31" s="267" t="str">
        <f>O7</f>
        <v>2Q22</v>
      </c>
      <c r="P31" s="267" t="str">
        <f>P7</f>
        <v>3Q22</v>
      </c>
      <c r="Q31" s="267" t="str">
        <f>Q7</f>
        <v>4Q22</v>
      </c>
      <c r="R31" s="267">
        <f>R7</f>
        <v>2022</v>
      </c>
      <c r="S31" s="267" t="str">
        <f>S7</f>
        <v>1Q23</v>
      </c>
      <c r="T31" s="267" t="str">
        <f>T7</f>
        <v>2Q23</v>
      </c>
      <c r="U31" s="267" t="str">
        <f>U7</f>
        <v>3Q23</v>
      </c>
      <c r="V31" s="267" t="str">
        <f>V7</f>
        <v>4Q23</v>
      </c>
      <c r="W31" s="267">
        <f>W7</f>
        <v>2023</v>
      </c>
      <c r="X31" s="267" t="str">
        <f>X7</f>
        <v>1Q24</v>
      </c>
      <c r="Y31" s="267" t="str">
        <f>Y7</f>
        <v>2Q24</v>
      </c>
      <c r="Z31" s="267" t="str">
        <f>Z7</f>
        <v>3Q24</v>
      </c>
      <c r="AA31" s="267" t="str">
        <f>AA7</f>
        <v>4Q24</v>
      </c>
      <c r="AB31" s="267">
        <f>AB7</f>
        <v>2024</v>
      </c>
      <c r="AC31" s="267" t="str">
        <f>AC7</f>
        <v>1Q25</v>
      </c>
      <c r="AD31" s="267" t="str">
        <f>AD7</f>
        <v>2Q25</v>
      </c>
      <c r="AE31" s="267" t="str">
        <f>AE7</f>
        <v>3Q25</v>
      </c>
      <c r="AF31" s="267" t="str">
        <f>AF7</f>
        <v>4Q25</v>
      </c>
      <c r="AG31" s="267">
        <f>AG7</f>
        <v>2025</v>
      </c>
      <c r="AH31" s="267" t="str">
        <f>AH7</f>
        <v>1Q26</v>
      </c>
      <c r="AI31" s="267" t="str">
        <f>AI7</f>
        <v>2Q26</v>
      </c>
    </row>
    <row r="32">
      <c r="C32" s="268" t="inlineStr">
        <is>
          <t xml:space="preserve">   Energy</t>
        </is>
      </c>
      <c r="D32" s="269" t="str">
        <f>IFERROR(INDEX('Inputs (2)'!$D$54:$AL$54,MATCH(D$7&amp;"",'Inputs (2)'!$D$2:$AL$2,0)),"")</f>
        <v/>
      </c>
      <c r="E32" s="269" t="str">
        <f>IFERROR(INDEX('Inputs (2)'!$D$54:$AL$54,MATCH(E$7&amp;"",'Inputs (2)'!$D$2:$AL$2,0)),"")</f>
        <v/>
      </c>
      <c r="F32" s="269" t="str">
        <f>IFERROR(INDEX('Inputs (2)'!$D$54:$AL$54,MATCH(F$7&amp;"",'Inputs (2)'!$D$2:$AL$2,0)),"")</f>
        <v/>
      </c>
      <c r="G32" s="269" t="str">
        <f>IFERROR(INDEX('Inputs (2)'!$D$54:$AL$54,MATCH(G$7&amp;"",'Inputs (2)'!$D$2:$AL$2,0)),"")</f>
        <v/>
      </c>
      <c r="H32" s="270" t="str">
        <f>IF(COUNT(D32:G32)=4,SUM(D32:G32),"")</f>
        <v/>
      </c>
      <c r="I32" s="269">
        <f>IFERROR(INDEX('Inputs (2)'!$D$54:$AL$54,MATCH(I$7&amp;"",'Inputs (2)'!$D$2:$AL$2,0)),"")</f>
        <v>-54.69</v>
      </c>
      <c r="J32" s="269">
        <f>IFERROR(INDEX('Inputs (2)'!$D$54:$AL$54,MATCH(J$7&amp;"",'Inputs (2)'!$D$2:$AL$2,0)),"")</f>
        <v>4.959</v>
      </c>
      <c r="K32" s="269">
        <f>IFERROR(INDEX('Inputs (2)'!$D$54:$AL$54,MATCH(K$7&amp;"",'Inputs (2)'!$D$2:$AL$2,0)),"")</f>
        <v>106.312</v>
      </c>
      <c r="L32" s="269">
        <f>IFERROR(INDEX('Inputs (2)'!$D$54:$AL$54,MATCH(L$7&amp;"",'Inputs (2)'!$D$2:$AL$2,0)),"")</f>
        <v>69.19</v>
      </c>
      <c r="M32" s="270">
        <f>IF(COUNT(I32:L32)=4,SUM(I32:L32),"")</f>
        <v>125.771</v>
      </c>
      <c r="N32" s="269">
        <f>IFERROR(INDEX('Inputs (2)'!$D$54:$AL$54,MATCH(N$7&amp;"",'Inputs (2)'!$D$2:$AL$2,0)),"")</f>
        <v>10.832</v>
      </c>
      <c r="O32" s="269">
        <f>IFERROR(INDEX('Inputs (2)'!$D$54:$AL$54,MATCH(O$7&amp;"",'Inputs (2)'!$D$2:$AL$2,0)),"")</f>
        <v>163.241</v>
      </c>
      <c r="P32" s="269">
        <f>IFERROR(INDEX('Inputs (2)'!$D$54:$AL$54,MATCH(P$7&amp;"",'Inputs (2)'!$D$2:$AL$2,0)),"")</f>
        <v>373.289</v>
      </c>
      <c r="Q32" s="269">
        <f>IFERROR(INDEX('Inputs (2)'!$D$54:$AL$54,MATCH(Q$7&amp;"",'Inputs (2)'!$D$2:$AL$2,0)),"")</f>
        <v>396.594</v>
      </c>
      <c r="R32" s="270">
        <f>IF(COUNT(N32:Q32)=4,SUM(N32:Q32),"")</f>
        <v>943.956</v>
      </c>
      <c r="S32" s="269">
        <f>IFERROR(INDEX('Inputs (2)'!$D$54:$AL$54,MATCH(S$7&amp;"",'Inputs (2)'!$D$2:$AL$2,0)),"")</f>
        <v>264.822</v>
      </c>
      <c r="T32" s="269">
        <f>IFERROR(INDEX('Inputs (2)'!$D$54:$AL$54,MATCH(T$7&amp;"",'Inputs (2)'!$D$2:$AL$2,0)),"")</f>
        <v>198.995</v>
      </c>
      <c r="U32" s="269">
        <f>IFERROR(INDEX('Inputs (2)'!$D$54:$AL$54,MATCH(U$7&amp;"",'Inputs (2)'!$D$2:$AL$2,0)),"")</f>
        <v>215.032</v>
      </c>
      <c r="V32" s="269">
        <f>IFERROR(INDEX('Inputs (2)'!$D$54:$AL$54,MATCH(V$7&amp;"",'Inputs (2)'!$D$2:$AL$2,0)),"")</f>
        <v>266.835</v>
      </c>
      <c r="W32" s="270">
        <f>IF(COUNT(S32:V32)=4,SUM(S32:V32),"")</f>
        <v>945.684</v>
      </c>
      <c r="X32" s="269">
        <f>IFERROR(INDEX('Inputs (2)'!$D$54:$AL$54,MATCH(X$7&amp;"",'Inputs (2)'!$D$2:$AL$2,0)),"")</f>
        <v>51.579</v>
      </c>
      <c r="Y32" s="269">
        <f>IFERROR(INDEX('Inputs (2)'!$D$54:$AL$54,MATCH(Y$7&amp;"",'Inputs (2)'!$D$2:$AL$2,0)),"")</f>
        <v>97.85</v>
      </c>
      <c r="Z32" s="269">
        <f>IFERROR(INDEX('Inputs (2)'!$D$54:$AL$54,MATCH(Z$7&amp;"",'Inputs (2)'!$D$2:$AL$2,0)),"")</f>
        <v>12.789</v>
      </c>
      <c r="AA32" s="269">
        <f>IFERROR(INDEX('Inputs (2)'!$D$54:$AL$54,MATCH(AA$7&amp;"",'Inputs (2)'!$D$2:$AL$2,0)),"")</f>
        <v>15.724</v>
      </c>
      <c r="AB32" s="270">
        <f>IF(COUNT(X32:AA32)=4,SUM(X32:AA32),"")</f>
        <v>177.942</v>
      </c>
      <c r="AC32" s="269">
        <f>IFERROR(INDEX('Inputs (2)'!$D$54:$AL$54,MATCH(AC$7&amp;"",'Inputs (2)'!$D$2:$AL$2,0)),"")</f>
        <v>-79.466</v>
      </c>
      <c r="AD32" s="269">
        <f>IFERROR(INDEX('Inputs (2)'!$D$54:$AL$54,MATCH(AD$7&amp;"",'Inputs (2)'!$D$2:$AL$2,0)),"")</f>
        <v>-56.515</v>
      </c>
      <c r="AE32" s="269">
        <f>IFERROR(INDEX('Inputs (2)'!$D$54:$AL$54,MATCH(AE$7&amp;"",'Inputs (2)'!$D$2:$AL$2,0)),"")</f>
        <v>113.215</v>
      </c>
      <c r="AF32" s="269">
        <f>IFERROR(INDEX('Inputs (2)'!$D$54:$AL$54,MATCH(AF$7&amp;"",'Inputs (2)'!$D$2:$AL$2,0)),"")</f>
        <v>152.347</v>
      </c>
      <c r="AG32" s="270">
        <f>IF(COUNT(AC32:AF32)=4,SUM(AC32:AF32),"")</f>
        <v>129.581</v>
      </c>
      <c r="AH32" s="270">
        <f>IFERROR(INDEX('Inputs (2)'!$D$54:$AL$54,MATCH(AH$7&amp;"",'Inputs (2)'!$D$2:$AL$2,0)),"")</f>
        <v>-133.642</v>
      </c>
      <c r="AI32" s="270">
        <f>IFERROR(INDEX('Inputs (2)'!$D$54:$AL$54,MATCH(AI$7&amp;"",'Inputs (2)'!$D$2:$AL$2,0)),"")</f>
        <v>10.099</v>
      </c>
    </row>
    <row r="33">
      <c r="C33" s="268" t="inlineStr">
        <is>
          <t xml:space="preserve">   Ag (estrutura até FY25)</t>
        </is>
      </c>
      <c r="D33" s="269" t="str">
        <f>IFERROR(INDEX('Inputs (2)'!$D$56:$AL$56,MATCH(D$7&amp;"",'Inputs (2)'!$D$2:$AL$2,0)),"")</f>
        <v/>
      </c>
      <c r="E33" s="269" t="str">
        <f>IFERROR(INDEX('Inputs (2)'!$D$56:$AL$56,MATCH(E$7&amp;"",'Inputs (2)'!$D$2:$AL$2,0)),"")</f>
        <v/>
      </c>
      <c r="F33" s="269" t="str">
        <f>IFERROR(INDEX('Inputs (2)'!$D$56:$AL$56,MATCH(F$7&amp;"",'Inputs (2)'!$D$2:$AL$2,0)),"")</f>
        <v/>
      </c>
      <c r="G33" s="269" t="str">
        <f>IFERROR(INDEX('Inputs (2)'!$D$56:$AL$56,MATCH(G$7&amp;"",'Inputs (2)'!$D$2:$AL$2,0)),"")</f>
        <v/>
      </c>
      <c r="H33" s="270" t="str">
        <f>IF(COUNT(D33:G33)=4,SUM(D33:G33),"")</f>
        <v/>
      </c>
      <c r="I33" s="269">
        <f>IFERROR(INDEX('Inputs (2)'!$D$56:$AL$56,MATCH(I$7&amp;"",'Inputs (2)'!$D$2:$AL$2,0)),"")</f>
        <v>14.044</v>
      </c>
      <c r="J33" s="269">
        <f>IFERROR(INDEX('Inputs (2)'!$D$56:$AL$56,MATCH(J$7&amp;"",'Inputs (2)'!$D$2:$AL$2,0)),"")</f>
        <v>140.131</v>
      </c>
      <c r="K33" s="269">
        <f>IFERROR(INDEX('Inputs (2)'!$D$56:$AL$56,MATCH(K$7&amp;"",'Inputs (2)'!$D$2:$AL$2,0)),"")</f>
        <v>60.911</v>
      </c>
      <c r="L33" s="269">
        <f>IFERROR(INDEX('Inputs (2)'!$D$56:$AL$56,MATCH(L$7&amp;"",'Inputs (2)'!$D$2:$AL$2,0)),"")</f>
        <v>286.425</v>
      </c>
      <c r="M33" s="270">
        <f>IF(COUNT(I33:L33)=4,SUM(I33:L33),"")</f>
        <v>501.511</v>
      </c>
      <c r="N33" s="269">
        <f>IFERROR(INDEX('Inputs (2)'!$D$56:$AL$56,MATCH(N$7&amp;"",'Inputs (2)'!$D$2:$AL$2,0)),"")</f>
        <v>55.181</v>
      </c>
      <c r="O33" s="269">
        <f>IFERROR(INDEX('Inputs (2)'!$D$56:$AL$56,MATCH(O$7&amp;"",'Inputs (2)'!$D$2:$AL$2,0)),"")</f>
        <v>273.688</v>
      </c>
      <c r="P33" s="269">
        <f>IFERROR(INDEX('Inputs (2)'!$D$56:$AL$56,MATCH(P$7&amp;"",'Inputs (2)'!$D$2:$AL$2,0)),"")</f>
        <v>42.292</v>
      </c>
      <c r="Q33" s="269">
        <f>IFERROR(INDEX('Inputs (2)'!$D$56:$AL$56,MATCH(Q$7&amp;"",'Inputs (2)'!$D$2:$AL$2,0)),"")</f>
        <v>287.299</v>
      </c>
      <c r="R33" s="270">
        <f>IF(COUNT(N33:Q33)=4,SUM(N33:Q33),"")</f>
        <v>658.46</v>
      </c>
      <c r="S33" s="269">
        <f>IFERROR(INDEX('Inputs (2)'!$D$56:$AL$56,MATCH(S$7&amp;"",'Inputs (2)'!$D$2:$AL$2,0)),"")</f>
        <v>-81.566</v>
      </c>
      <c r="T33" s="269">
        <f>IFERROR(INDEX('Inputs (2)'!$D$56:$AL$56,MATCH(T$7&amp;"",'Inputs (2)'!$D$2:$AL$2,0)),"")</f>
        <v>233.515</v>
      </c>
      <c r="U33" s="269">
        <f>IFERROR(INDEX('Inputs (2)'!$D$56:$AL$56,MATCH(U$7&amp;"",'Inputs (2)'!$D$2:$AL$2,0)),"")</f>
        <v>-27.44</v>
      </c>
      <c r="V33" s="269">
        <f>IFERROR(INDEX('Inputs (2)'!$D$56:$AL$56,MATCH(V$7&amp;"",'Inputs (2)'!$D$2:$AL$2,0)),"")</f>
        <v>169.72</v>
      </c>
      <c r="W33" s="270">
        <f>IF(COUNT(S33:V33)=4,SUM(S33:V33),"")</f>
        <v>294.229</v>
      </c>
      <c r="X33" s="269">
        <f>IFERROR(INDEX('Inputs (2)'!$D$56:$AL$56,MATCH(X$7&amp;"",'Inputs (2)'!$D$2:$AL$2,0)),"")</f>
        <v>56.851</v>
      </c>
      <c r="Y33" s="269">
        <f>IFERROR(INDEX('Inputs (2)'!$D$56:$AL$56,MATCH(Y$7&amp;"",'Inputs (2)'!$D$2:$AL$2,0)),"")</f>
        <v>108.535</v>
      </c>
      <c r="Z33" s="269">
        <f>IFERROR(INDEX('Inputs (2)'!$D$56:$AL$56,MATCH(Z$7&amp;"",'Inputs (2)'!$D$2:$AL$2,0)),"")</f>
        <v>7.571</v>
      </c>
      <c r="AA33" s="269">
        <f>IFERROR(INDEX('Inputs (2)'!$D$56:$AL$56,MATCH(AA$7&amp;"",'Inputs (2)'!$D$2:$AL$2,0)),"")</f>
        <v>166.652</v>
      </c>
      <c r="AB33" s="270">
        <f>IF(COUNT(X33:AA33)=4,SUM(X33:AA33),"")</f>
        <v>339.609</v>
      </c>
      <c r="AC33" s="269">
        <f>IFERROR(INDEX('Inputs (2)'!$D$56:$AL$56,MATCH(AC$7&amp;"",'Inputs (2)'!$D$2:$AL$2,0)),"")</f>
        <v>-45.552</v>
      </c>
      <c r="AD33" s="269">
        <f>IFERROR(INDEX('Inputs (2)'!$D$56:$AL$56,MATCH(AD$7&amp;"",'Inputs (2)'!$D$2:$AL$2,0)),"")</f>
        <v>151.04</v>
      </c>
      <c r="AE33" s="269">
        <f>IFERROR(INDEX('Inputs (2)'!$D$56:$AL$56,MATCH(AE$7&amp;"",'Inputs (2)'!$D$2:$AL$2,0)),"")</f>
        <v>-26.48</v>
      </c>
      <c r="AF33" s="269" t="str">
        <f>IFERROR(INDEX('Inputs (2)'!$D$56:$AL$56,MATCH(AF$7&amp;"",'Inputs (2)'!$D$2:$AL$2,0)),"")</f>
        <v/>
      </c>
      <c r="AG33" s="270" t="str">
        <f>IF(COUNT(AC33:AF33)=4,SUM(AC33:AF33),"")</f>
        <v/>
      </c>
      <c r="AH33" s="270" t="str">
        <f>IFERROR(INDEX('Inputs (2)'!$D$56:$AL$56,MATCH(AH$7&amp;"",'Inputs (2)'!$D$2:$AL$2,0)),"")</f>
        <v/>
      </c>
      <c r="AI33" s="270" t="str">
        <f>IFERROR(INDEX('Inputs (2)'!$D$56:$AL$56,MATCH(AI$7&amp;"",'Inputs (2)'!$D$2:$AL$2,0)),"")</f>
        <v/>
      </c>
    </row>
    <row r="34">
      <c r="C34" s="268" t="inlineStr">
        <is>
          <t xml:space="preserve">   Grains (estrutura FY26)</t>
        </is>
      </c>
      <c r="D34" s="269" t="str">
        <f>IFERROR(INDEX('Inputs (2)'!$D$58:$AL$58,MATCH(D$7&amp;"",'Inputs (2)'!$D$2:$AL$2,0)),"")</f>
        <v/>
      </c>
      <c r="E34" s="269" t="str">
        <f>IFERROR(INDEX('Inputs (2)'!$D$58:$AL$58,MATCH(E$7&amp;"",'Inputs (2)'!$D$2:$AL$2,0)),"")</f>
        <v/>
      </c>
      <c r="F34" s="269" t="str">
        <f>IFERROR(INDEX('Inputs (2)'!$D$58:$AL$58,MATCH(F$7&amp;"",'Inputs (2)'!$D$2:$AL$2,0)),"")</f>
        <v/>
      </c>
      <c r="G34" s="269" t="str">
        <f>IFERROR(INDEX('Inputs (2)'!$D$58:$AL$58,MATCH(G$7&amp;"",'Inputs (2)'!$D$2:$AL$2,0)),"")</f>
        <v/>
      </c>
      <c r="H34" s="270" t="str">
        <f>IF(COUNT(D34:G34)=4,SUM(D34:G34),"")</f>
        <v/>
      </c>
      <c r="I34" s="269" t="str">
        <f>IFERROR(INDEX('Inputs (2)'!$D$58:$AL$58,MATCH(I$7&amp;"",'Inputs (2)'!$D$2:$AL$2,0)),"")</f>
        <v/>
      </c>
      <c r="J34" s="269" t="str">
        <f>IFERROR(INDEX('Inputs (2)'!$D$58:$AL$58,MATCH(J$7&amp;"",'Inputs (2)'!$D$2:$AL$2,0)),"")</f>
        <v/>
      </c>
      <c r="K34" s="269" t="str">
        <f>IFERROR(INDEX('Inputs (2)'!$D$58:$AL$58,MATCH(K$7&amp;"",'Inputs (2)'!$D$2:$AL$2,0)),"")</f>
        <v/>
      </c>
      <c r="L34" s="269" t="str">
        <f>IFERROR(INDEX('Inputs (2)'!$D$58:$AL$58,MATCH(L$7&amp;"",'Inputs (2)'!$D$2:$AL$2,0)),"")</f>
        <v/>
      </c>
      <c r="M34" s="270" t="str">
        <f>IF(COUNT(I34:L34)=4,SUM(I34:L34),"")</f>
        <v/>
      </c>
      <c r="N34" s="269" t="str">
        <f>IFERROR(INDEX('Inputs (2)'!$D$58:$AL$58,MATCH(N$7&amp;"",'Inputs (2)'!$D$2:$AL$2,0)),"")</f>
        <v/>
      </c>
      <c r="O34" s="269" t="str">
        <f>IFERROR(INDEX('Inputs (2)'!$D$58:$AL$58,MATCH(O$7&amp;"",'Inputs (2)'!$D$2:$AL$2,0)),"")</f>
        <v/>
      </c>
      <c r="P34" s="269" t="str">
        <f>IFERROR(INDEX('Inputs (2)'!$D$58:$AL$58,MATCH(P$7&amp;"",'Inputs (2)'!$D$2:$AL$2,0)),"")</f>
        <v/>
      </c>
      <c r="Q34" s="269" t="str">
        <f>IFERROR(INDEX('Inputs (2)'!$D$58:$AL$58,MATCH(Q$7&amp;"",'Inputs (2)'!$D$2:$AL$2,0)),"")</f>
        <v/>
      </c>
      <c r="R34" s="270" t="str">
        <f>IF(COUNT(N34:Q34)=4,SUM(N34:Q34),"")</f>
        <v/>
      </c>
      <c r="S34" s="269" t="str">
        <f>IFERROR(INDEX('Inputs (2)'!$D$58:$AL$58,MATCH(S$7&amp;"",'Inputs (2)'!$D$2:$AL$2,0)),"")</f>
        <v/>
      </c>
      <c r="T34" s="269" t="str">
        <f>IFERROR(INDEX('Inputs (2)'!$D$58:$AL$58,MATCH(T$7&amp;"",'Inputs (2)'!$D$2:$AL$2,0)),"")</f>
        <v/>
      </c>
      <c r="U34" s="269" t="str">
        <f>IFERROR(INDEX('Inputs (2)'!$D$58:$AL$58,MATCH(U$7&amp;"",'Inputs (2)'!$D$2:$AL$2,0)),"")</f>
        <v/>
      </c>
      <c r="V34" s="269" t="str">
        <f>IFERROR(INDEX('Inputs (2)'!$D$58:$AL$58,MATCH(V$7&amp;"",'Inputs (2)'!$D$2:$AL$2,0)),"")</f>
        <v/>
      </c>
      <c r="W34" s="270" t="str">
        <f>IF(COUNT(S34:V34)=4,SUM(S34:V34),"")</f>
        <v/>
      </c>
      <c r="X34" s="269" t="str">
        <f>IFERROR(INDEX('Inputs (2)'!$D$58:$AL$58,MATCH(X$7&amp;"",'Inputs (2)'!$D$2:$AL$2,0)),"")</f>
        <v/>
      </c>
      <c r="Y34" s="269" t="str">
        <f>IFERROR(INDEX('Inputs (2)'!$D$58:$AL$58,MATCH(Y$7&amp;"",'Inputs (2)'!$D$2:$AL$2,0)),"")</f>
        <v/>
      </c>
      <c r="Z34" s="269" t="str">
        <f>IFERROR(INDEX('Inputs (2)'!$D$58:$AL$58,MATCH(Z$7&amp;"",'Inputs (2)'!$D$2:$AL$2,0)),"")</f>
        <v/>
      </c>
      <c r="AA34" s="269" t="str">
        <f>IFERROR(INDEX('Inputs (2)'!$D$58:$AL$58,MATCH(AA$7&amp;"",'Inputs (2)'!$D$2:$AL$2,0)),"")</f>
        <v/>
      </c>
      <c r="AB34" s="270" t="str">
        <f>IF(COUNT(X34:AA34)=4,SUM(X34:AA34),"")</f>
        <v/>
      </c>
      <c r="AC34" s="269" t="str">
        <f>IFERROR(INDEX('Inputs (2)'!$D$58:$AL$58,MATCH(AC$7&amp;"",'Inputs (2)'!$D$2:$AL$2,0)),"")</f>
        <v/>
      </c>
      <c r="AD34" s="269" t="str">
        <f>IFERROR(INDEX('Inputs (2)'!$D$58:$AL$58,MATCH(AD$7&amp;"",'Inputs (2)'!$D$2:$AL$2,0)),"")</f>
        <v/>
      </c>
      <c r="AE34" s="269" t="str">
        <f>IFERROR(INDEX('Inputs (2)'!$D$58:$AL$58,MATCH(AE$7&amp;"",'Inputs (2)'!$D$2:$AL$2,0)),"")</f>
        <v/>
      </c>
      <c r="AF34" s="269">
        <f>IFERROR(INDEX('Inputs (2)'!$D$58:$AL$58,MATCH(AF$7&amp;"",'Inputs (2)'!$D$2:$AL$2,0)),"")</f>
        <v>36.242</v>
      </c>
      <c r="AG34" s="270" t="str">
        <f>IF(COUNT(AC34:AF34)=4,SUM(AC34:AF34),"")</f>
        <v/>
      </c>
      <c r="AH34" s="270">
        <f>IFERROR(INDEX('Inputs (2)'!$D$58:$AL$58,MATCH(AH$7&amp;"",'Inputs (2)'!$D$2:$AL$2,0)),"")</f>
        <v>-17.936</v>
      </c>
      <c r="AI34" s="270">
        <f>IFERROR(INDEX('Inputs (2)'!$D$58:$AL$58,MATCH(AI$7&amp;"",'Inputs (2)'!$D$2:$AL$2,0)),"")</f>
        <v>-33.564</v>
      </c>
    </row>
    <row r="35">
      <c r="C35" s="268" t="inlineStr">
        <is>
          <t xml:space="preserve">   Agronomy (estrutura FY26)</t>
        </is>
      </c>
      <c r="D35" s="269" t="str">
        <f>IFERROR(INDEX('Inputs (2)'!$D$60:$AL$60,MATCH(D$7&amp;"",'Inputs (2)'!$D$2:$AL$2,0)),"")</f>
        <v/>
      </c>
      <c r="E35" s="269" t="str">
        <f>IFERROR(INDEX('Inputs (2)'!$D$60:$AL$60,MATCH(E$7&amp;"",'Inputs (2)'!$D$2:$AL$2,0)),"")</f>
        <v/>
      </c>
      <c r="F35" s="269" t="str">
        <f>IFERROR(INDEX('Inputs (2)'!$D$60:$AL$60,MATCH(F$7&amp;"",'Inputs (2)'!$D$2:$AL$2,0)),"")</f>
        <v/>
      </c>
      <c r="G35" s="269" t="str">
        <f>IFERROR(INDEX('Inputs (2)'!$D$60:$AL$60,MATCH(G$7&amp;"",'Inputs (2)'!$D$2:$AL$2,0)),"")</f>
        <v/>
      </c>
      <c r="H35" s="270" t="str">
        <f>IF(COUNT(D35:G35)=4,SUM(D35:G35),"")</f>
        <v/>
      </c>
      <c r="I35" s="269" t="str">
        <f>IFERROR(INDEX('Inputs (2)'!$D$60:$AL$60,MATCH(I$7&amp;"",'Inputs (2)'!$D$2:$AL$2,0)),"")</f>
        <v/>
      </c>
      <c r="J35" s="269" t="str">
        <f>IFERROR(INDEX('Inputs (2)'!$D$60:$AL$60,MATCH(J$7&amp;"",'Inputs (2)'!$D$2:$AL$2,0)),"")</f>
        <v/>
      </c>
      <c r="K35" s="269" t="str">
        <f>IFERROR(INDEX('Inputs (2)'!$D$60:$AL$60,MATCH(K$7&amp;"",'Inputs (2)'!$D$2:$AL$2,0)),"")</f>
        <v/>
      </c>
      <c r="L35" s="269" t="str">
        <f>IFERROR(INDEX('Inputs (2)'!$D$60:$AL$60,MATCH(L$7&amp;"",'Inputs (2)'!$D$2:$AL$2,0)),"")</f>
        <v/>
      </c>
      <c r="M35" s="270" t="str">
        <f>IF(COUNT(I35:L35)=4,SUM(I35:L35),"")</f>
        <v/>
      </c>
      <c r="N35" s="269" t="str">
        <f>IFERROR(INDEX('Inputs (2)'!$D$60:$AL$60,MATCH(N$7&amp;"",'Inputs (2)'!$D$2:$AL$2,0)),"")</f>
        <v/>
      </c>
      <c r="O35" s="269" t="str">
        <f>IFERROR(INDEX('Inputs (2)'!$D$60:$AL$60,MATCH(O$7&amp;"",'Inputs (2)'!$D$2:$AL$2,0)),"")</f>
        <v/>
      </c>
      <c r="P35" s="269" t="str">
        <f>IFERROR(INDEX('Inputs (2)'!$D$60:$AL$60,MATCH(P$7&amp;"",'Inputs (2)'!$D$2:$AL$2,0)),"")</f>
        <v/>
      </c>
      <c r="Q35" s="269" t="str">
        <f>IFERROR(INDEX('Inputs (2)'!$D$60:$AL$60,MATCH(Q$7&amp;"",'Inputs (2)'!$D$2:$AL$2,0)),"")</f>
        <v/>
      </c>
      <c r="R35" s="270" t="str">
        <f>IF(COUNT(N35:Q35)=4,SUM(N35:Q35),"")</f>
        <v/>
      </c>
      <c r="S35" s="269" t="str">
        <f>IFERROR(INDEX('Inputs (2)'!$D$60:$AL$60,MATCH(S$7&amp;"",'Inputs (2)'!$D$2:$AL$2,0)),"")</f>
        <v/>
      </c>
      <c r="T35" s="269" t="str">
        <f>IFERROR(INDEX('Inputs (2)'!$D$60:$AL$60,MATCH(T$7&amp;"",'Inputs (2)'!$D$2:$AL$2,0)),"")</f>
        <v/>
      </c>
      <c r="U35" s="269" t="str">
        <f>IFERROR(INDEX('Inputs (2)'!$D$60:$AL$60,MATCH(U$7&amp;"",'Inputs (2)'!$D$2:$AL$2,0)),"")</f>
        <v/>
      </c>
      <c r="V35" s="269" t="str">
        <f>IFERROR(INDEX('Inputs (2)'!$D$60:$AL$60,MATCH(V$7&amp;"",'Inputs (2)'!$D$2:$AL$2,0)),"")</f>
        <v/>
      </c>
      <c r="W35" s="270" t="str">
        <f>IF(COUNT(S35:V35)=4,SUM(S35:V35),"")</f>
        <v/>
      </c>
      <c r="X35" s="269" t="str">
        <f>IFERROR(INDEX('Inputs (2)'!$D$60:$AL$60,MATCH(X$7&amp;"",'Inputs (2)'!$D$2:$AL$2,0)),"")</f>
        <v/>
      </c>
      <c r="Y35" s="269" t="str">
        <f>IFERROR(INDEX('Inputs (2)'!$D$60:$AL$60,MATCH(Y$7&amp;"",'Inputs (2)'!$D$2:$AL$2,0)),"")</f>
        <v/>
      </c>
      <c r="Z35" s="269" t="str">
        <f>IFERROR(INDEX('Inputs (2)'!$D$60:$AL$60,MATCH(Z$7&amp;"",'Inputs (2)'!$D$2:$AL$2,0)),"")</f>
        <v/>
      </c>
      <c r="AA35" s="269" t="str">
        <f>IFERROR(INDEX('Inputs (2)'!$D$60:$AL$60,MATCH(AA$7&amp;"",'Inputs (2)'!$D$2:$AL$2,0)),"")</f>
        <v/>
      </c>
      <c r="AB35" s="270" t="str">
        <f>IF(COUNT(X35:AA35)=4,SUM(X35:AA35),"")</f>
        <v/>
      </c>
      <c r="AC35" s="269" t="str">
        <f>IFERROR(INDEX('Inputs (2)'!$D$60:$AL$60,MATCH(AC$7&amp;"",'Inputs (2)'!$D$2:$AL$2,0)),"")</f>
        <v/>
      </c>
      <c r="AD35" s="269" t="str">
        <f>IFERROR(INDEX('Inputs (2)'!$D$60:$AL$60,MATCH(AD$7&amp;"",'Inputs (2)'!$D$2:$AL$2,0)),"")</f>
        <v/>
      </c>
      <c r="AE35" s="269" t="str">
        <f>IFERROR(INDEX('Inputs (2)'!$D$60:$AL$60,MATCH(AE$7&amp;"",'Inputs (2)'!$D$2:$AL$2,0)),"")</f>
        <v/>
      </c>
      <c r="AF35" s="269">
        <f>IFERROR(INDEX('Inputs (2)'!$D$60:$AL$60,MATCH(AF$7&amp;"",'Inputs (2)'!$D$2:$AL$2,0)),"")</f>
        <v>36.804</v>
      </c>
      <c r="AG35" s="270" t="str">
        <f>IF(COUNT(AC35:AF35)=4,SUM(AC35:AF35),"")</f>
        <v/>
      </c>
      <c r="AH35" s="270">
        <f>IFERROR(INDEX('Inputs (2)'!$D$60:$AL$60,MATCH(AH$7&amp;"",'Inputs (2)'!$D$2:$AL$2,0)),"")</f>
        <v>-11.492</v>
      </c>
      <c r="AI35" s="270">
        <f>IFERROR(INDEX('Inputs (2)'!$D$60:$AL$60,MATCH(AI$7&amp;"",'Inputs (2)'!$D$2:$AL$2,0)),"")</f>
        <v>275.044</v>
      </c>
    </row>
    <row r="36">
      <c r="C36" s="268" t="inlineStr">
        <is>
          <t xml:space="preserve">   Nitrogen Production (até FY25; sem receita, só equivalência)</t>
        </is>
      </c>
      <c r="D36" s="269" t="str">
        <f>IFERROR(INDEX('Inputs (2)'!$D$62:$AL$62,MATCH(D$7&amp;"",'Inputs (2)'!$D$2:$AL$2,0)),"")</f>
        <v/>
      </c>
      <c r="E36" s="269" t="str">
        <f>IFERROR(INDEX('Inputs (2)'!$D$62:$AL$62,MATCH(E$7&amp;"",'Inputs (2)'!$D$2:$AL$2,0)),"")</f>
        <v/>
      </c>
      <c r="F36" s="269" t="str">
        <f>IFERROR(INDEX('Inputs (2)'!$D$62:$AL$62,MATCH(F$7&amp;"",'Inputs (2)'!$D$2:$AL$2,0)),"")</f>
        <v/>
      </c>
      <c r="G36" s="269" t="str">
        <f>IFERROR(INDEX('Inputs (2)'!$D$62:$AL$62,MATCH(G$7&amp;"",'Inputs (2)'!$D$2:$AL$2,0)),"")</f>
        <v/>
      </c>
      <c r="H36" s="270" t="str">
        <f>IF(COUNT(D36:G36)=4,SUM(D36:G36),"")</f>
        <v/>
      </c>
      <c r="I36" s="269">
        <f>IFERROR(INDEX('Inputs (2)'!$D$62:$AL$62,MATCH(I$7&amp;"",'Inputs (2)'!$D$2:$AL$2,0)),"")</f>
        <v>11.165</v>
      </c>
      <c r="J36" s="269">
        <f>IFERROR(INDEX('Inputs (2)'!$D$62:$AL$62,MATCH(J$7&amp;"",'Inputs (2)'!$D$2:$AL$2,0)),"")</f>
        <v>46.635</v>
      </c>
      <c r="K36" s="269">
        <f>IFERROR(INDEX('Inputs (2)'!$D$62:$AL$62,MATCH(K$7&amp;"",'Inputs (2)'!$D$2:$AL$2,0)),"")</f>
        <v>58.765</v>
      </c>
      <c r="L36" s="269">
        <f>IFERROR(INDEX('Inputs (2)'!$D$62:$AL$62,MATCH(L$7&amp;"",'Inputs (2)'!$D$2:$AL$2,0)),"")</f>
        <v>96.583</v>
      </c>
      <c r="M36" s="270">
        <f>IF(COUNT(I36:L36)=4,SUM(I36:L36),"")</f>
        <v>213.148</v>
      </c>
      <c r="N36" s="269">
        <f>IFERROR(INDEX('Inputs (2)'!$D$62:$AL$62,MATCH(N$7&amp;"",'Inputs (2)'!$D$2:$AL$2,0)),"")</f>
        <v>154.257</v>
      </c>
      <c r="O36" s="269">
        <f>IFERROR(INDEX('Inputs (2)'!$D$62:$AL$62,MATCH(O$7&amp;"",'Inputs (2)'!$D$2:$AL$2,0)),"")</f>
        <v>178.212</v>
      </c>
      <c r="P36" s="269">
        <f>IFERROR(INDEX('Inputs (2)'!$D$62:$AL$62,MATCH(P$7&amp;"",'Inputs (2)'!$D$2:$AL$2,0)),"")</f>
        <v>48.933</v>
      </c>
      <c r="Q36" s="269">
        <f>IFERROR(INDEX('Inputs (2)'!$D$62:$AL$62,MATCH(Q$7&amp;"",'Inputs (2)'!$D$2:$AL$2,0)),"")</f>
        <v>96.873</v>
      </c>
      <c r="R36" s="270">
        <f>IF(COUNT(N36:Q36)=4,SUM(N36:Q36),"")</f>
        <v>478.275</v>
      </c>
      <c r="S36" s="269">
        <f>IFERROR(INDEX('Inputs (2)'!$D$62:$AL$62,MATCH(S$7&amp;"",'Inputs (2)'!$D$2:$AL$2,0)),"")</f>
        <v>81.733</v>
      </c>
      <c r="T36" s="269">
        <f>IFERROR(INDEX('Inputs (2)'!$D$62:$AL$62,MATCH(T$7&amp;"",'Inputs (2)'!$D$2:$AL$2,0)),"")</f>
        <v>56.263</v>
      </c>
      <c r="U36" s="269">
        <f>IFERROR(INDEX('Inputs (2)'!$D$62:$AL$62,MATCH(U$7&amp;"",'Inputs (2)'!$D$2:$AL$2,0)),"")</f>
        <v>25.891</v>
      </c>
      <c r="V36" s="269">
        <f>IFERROR(INDEX('Inputs (2)'!$D$62:$AL$62,MATCH(V$7&amp;"",'Inputs (2)'!$D$2:$AL$2,0)),"")</f>
        <v>36.459</v>
      </c>
      <c r="W36" s="270">
        <f>IF(COUNT(S36:V36)=4,SUM(S36:V36),"")</f>
        <v>200.346</v>
      </c>
      <c r="X36" s="269">
        <f>IFERROR(INDEX('Inputs (2)'!$D$62:$AL$62,MATCH(X$7&amp;"",'Inputs (2)'!$D$2:$AL$2,0)),"")</f>
        <v>37.009</v>
      </c>
      <c r="Y36" s="269">
        <f>IFERROR(INDEX('Inputs (2)'!$D$62:$AL$62,MATCH(Y$7&amp;"",'Inputs (2)'!$D$2:$AL$2,0)),"")</f>
        <v>52.366</v>
      </c>
      <c r="Z36" s="269">
        <f>IFERROR(INDEX('Inputs (2)'!$D$62:$AL$62,MATCH(Z$7&amp;"",'Inputs (2)'!$D$2:$AL$2,0)),"")</f>
        <v>25.401</v>
      </c>
      <c r="AA36" s="269">
        <f>IFERROR(INDEX('Inputs (2)'!$D$62:$AL$62,MATCH(AA$7&amp;"",'Inputs (2)'!$D$2:$AL$2,0)),"")</f>
        <v>25.241</v>
      </c>
      <c r="AB36" s="270">
        <f>IF(COUNT(X36:AA36)=4,SUM(X36:AA36),"")</f>
        <v>140.017</v>
      </c>
      <c r="AC36" s="269">
        <f>IFERROR(INDEX('Inputs (2)'!$D$62:$AL$62,MATCH(AC$7&amp;"",'Inputs (2)'!$D$2:$AL$2,0)),"")</f>
        <v>20.344</v>
      </c>
      <c r="AD36" s="269">
        <f>IFERROR(INDEX('Inputs (2)'!$D$62:$AL$62,MATCH(AD$7&amp;"",'Inputs (2)'!$D$2:$AL$2,0)),"")</f>
        <v>54.61</v>
      </c>
      <c r="AE36" s="269">
        <f>IFERROR(INDEX('Inputs (2)'!$D$62:$AL$62,MATCH(AE$7&amp;"",'Inputs (2)'!$D$2:$AL$2,0)),"")</f>
        <v>59.346</v>
      </c>
      <c r="AF36" s="269" t="str">
        <f>IFERROR(INDEX('Inputs (2)'!$D$62:$AL$62,MATCH(AF$7&amp;"",'Inputs (2)'!$D$2:$AL$2,0)),"")</f>
        <v/>
      </c>
      <c r="AG36" s="270" t="str">
        <f>IF(COUNT(AC36:AF36)=4,SUM(AC36:AF36),"")</f>
        <v/>
      </c>
      <c r="AH36" s="270" t="str">
        <f>IFERROR(INDEX('Inputs (2)'!$D$62:$AL$62,MATCH(AH$7&amp;"",'Inputs (2)'!$D$2:$AL$2,0)),"")</f>
        <v/>
      </c>
      <c r="AI36" s="270" t="str">
        <f>IFERROR(INDEX('Inputs (2)'!$D$62:$AL$62,MATCH(AI$7&amp;"",'Inputs (2)'!$D$2:$AL$2,0)),"")</f>
        <v/>
      </c>
    </row>
    <row r="37">
      <c r="C37" s="268" t="inlineStr">
        <is>
          <t xml:space="preserve">   Corporate &amp; Other / demais segmentos</t>
        </is>
      </c>
      <c r="D37" s="269" t="str">
        <f>IFERROR(INDEX('Inputs (2)'!$D$64:$AL$64,MATCH(D$7&amp;"",'Inputs (2)'!$D$2:$AL$2,0)),"")</f>
        <v/>
      </c>
      <c r="E37" s="269" t="str">
        <f>IFERROR(INDEX('Inputs (2)'!$D$64:$AL$64,MATCH(E$7&amp;"",'Inputs (2)'!$D$2:$AL$2,0)),"")</f>
        <v/>
      </c>
      <c r="F37" s="269" t="str">
        <f>IFERROR(INDEX('Inputs (2)'!$D$64:$AL$64,MATCH(F$7&amp;"",'Inputs (2)'!$D$2:$AL$2,0)),"")</f>
        <v/>
      </c>
      <c r="G37" s="269" t="str">
        <f>IFERROR(INDEX('Inputs (2)'!$D$64:$AL$64,MATCH(G$7&amp;"",'Inputs (2)'!$D$2:$AL$2,0)),"")</f>
        <v/>
      </c>
      <c r="H37" s="270" t="str">
        <f>IF(COUNT(D37:G37)=4,SUM(D37:G37),"")</f>
        <v/>
      </c>
      <c r="I37" s="269">
        <f>IFERROR(INDEX('Inputs (2)'!$D$64:$AL$64,MATCH(I$7&amp;"",'Inputs (2)'!$D$2:$AL$2,0)),"")</f>
        <v>22.791</v>
      </c>
      <c r="J37" s="269">
        <f>IFERROR(INDEX('Inputs (2)'!$D$64:$AL$64,MATCH(J$7&amp;"",'Inputs (2)'!$D$2:$AL$2,0)),"")</f>
        <v>64.478</v>
      </c>
      <c r="K37" s="269">
        <f>IFERROR(INDEX('Inputs (2)'!$D$64:$AL$64,MATCH(K$7&amp;"",'Inputs (2)'!$D$2:$AL$2,0)),"")</f>
        <v>-73.123</v>
      </c>
      <c r="L37" s="269">
        <f>IFERROR(INDEX('Inputs (2)'!$D$64:$AL$64,MATCH(L$7&amp;"",'Inputs (2)'!$D$2:$AL$2,0)),"")</f>
        <v>14.465</v>
      </c>
      <c r="M37" s="270">
        <f>IF(COUNT(I37:L37)=4,SUM(I37:L37),"")</f>
        <v>28.611</v>
      </c>
      <c r="N37" s="269">
        <f>IFERROR(INDEX('Inputs (2)'!$D$64:$AL$64,MATCH(N$7&amp;"",'Inputs (2)'!$D$2:$AL$2,0)),"")</f>
        <v>10.557</v>
      </c>
      <c r="O37" s="269">
        <f>IFERROR(INDEX('Inputs (2)'!$D$64:$AL$64,MATCH(O$7&amp;"",'Inputs (2)'!$D$2:$AL$2,0)),"")</f>
        <v>23.596</v>
      </c>
      <c r="P37" s="269">
        <f>IFERROR(INDEX('Inputs (2)'!$D$64:$AL$64,MATCH(P$7&amp;"",'Inputs (2)'!$D$2:$AL$2,0)),"")</f>
        <v>9.276</v>
      </c>
      <c r="Q37" s="269">
        <f>IFERROR(INDEX('Inputs (2)'!$D$64:$AL$64,MATCH(Q$7&amp;"",'Inputs (2)'!$D$2:$AL$2,0)),"")</f>
        <v>36.704</v>
      </c>
      <c r="R37" s="270">
        <f>IF(COUNT(N37:Q37)=4,SUM(N37:Q37),"")</f>
        <v>80.133</v>
      </c>
      <c r="S37" s="269">
        <f>IFERROR(INDEX('Inputs (2)'!$D$64:$AL$64,MATCH(S$7&amp;"",'Inputs (2)'!$D$2:$AL$2,0)),"")</f>
        <v>48.033</v>
      </c>
      <c r="T37" s="269">
        <f>IFERROR(INDEX('Inputs (2)'!$D$64:$AL$64,MATCH(T$7&amp;"",'Inputs (2)'!$D$2:$AL$2,0)),"")</f>
        <v>69.347</v>
      </c>
      <c r="U37" s="269">
        <f>IFERROR(INDEX('Inputs (2)'!$D$64:$AL$64,MATCH(U$7&amp;"",'Inputs (2)'!$D$2:$AL$2,0)),"")</f>
        <v>105.684</v>
      </c>
      <c r="V37" s="269">
        <f>IFERROR(INDEX('Inputs (2)'!$D$64:$AL$64,MATCH(V$7&amp;"",'Inputs (2)'!$D$2:$AL$2,0)),"")</f>
        <v>43.832</v>
      </c>
      <c r="W37" s="270">
        <f>IF(COUNT(S37:V37)=4,SUM(S37:V37),"")</f>
        <v>266.896</v>
      </c>
      <c r="X37" s="269">
        <f>IFERROR(INDEX('Inputs (2)'!$D$64:$AL$64,MATCH(X$7&amp;"",'Inputs (2)'!$D$2:$AL$2,0)),"")</f>
        <v>40.219</v>
      </c>
      <c r="Y37" s="269">
        <f>IFERROR(INDEX('Inputs (2)'!$D$64:$AL$64,MATCH(Y$7&amp;"",'Inputs (2)'!$D$2:$AL$2,0)),"")</f>
        <v>51.117</v>
      </c>
      <c r="Z37" s="269">
        <f>IFERROR(INDEX('Inputs (2)'!$D$64:$AL$64,MATCH(Z$7&amp;"",'Inputs (2)'!$D$2:$AL$2,0)),"")</f>
        <v>39.654</v>
      </c>
      <c r="AA37" s="269">
        <f>IFERROR(INDEX('Inputs (2)'!$D$64:$AL$64,MATCH(AA$7&amp;"",'Inputs (2)'!$D$2:$AL$2,0)),"")</f>
        <v>47.181</v>
      </c>
      <c r="AB37" s="270">
        <f>IF(COUNT(X37:AA37)=4,SUM(X37:AA37),"")</f>
        <v>178.171</v>
      </c>
      <c r="AC37" s="269">
        <f>IFERROR(INDEX('Inputs (2)'!$D$64:$AL$64,MATCH(AC$7&amp;"",'Inputs (2)'!$D$2:$AL$2,0)),"")</f>
        <v>23.965</v>
      </c>
      <c r="AD37" s="269">
        <f>IFERROR(INDEX('Inputs (2)'!$D$64:$AL$64,MATCH(AD$7&amp;"",'Inputs (2)'!$D$2:$AL$2,0)),"")</f>
        <v>103.293</v>
      </c>
      <c r="AE37" s="269">
        <f>IFERROR(INDEX('Inputs (2)'!$D$64:$AL$64,MATCH(AE$7&amp;"",'Inputs (2)'!$D$2:$AL$2,0)),"")</f>
        <v>42.174</v>
      </c>
      <c r="AF37" s="269">
        <f>IFERROR(INDEX('Inputs (2)'!$D$64:$AL$64,MATCH(AF$7&amp;"",'Inputs (2)'!$D$2:$AL$2,0)),"")</f>
        <v>0</v>
      </c>
      <c r="AG37" s="270">
        <f>IF(COUNT(AC37:AF37)=4,SUM(AC37:AF37),"")</f>
        <v>169.432</v>
      </c>
      <c r="AH37" s="270">
        <f>IFERROR(INDEX('Inputs (2)'!$D$64:$AL$64,MATCH(AH$7&amp;"",'Inputs (2)'!$D$2:$AL$2,0)),"")</f>
        <v>-1.907</v>
      </c>
      <c r="AI37" s="270">
        <f>IFERROR(INDEX('Inputs (2)'!$D$64:$AL$64,MATCH(AI$7&amp;"",'Inputs (2)'!$D$2:$AL$2,0)),"")</f>
        <v>30.634</v>
      </c>
    </row>
    <row r="38">
      <c r="C38" s="268" t="inlineStr">
        <is>
          <t xml:space="preserve">   Margem Energy</t>
        </is>
      </c>
      <c r="D38" s="272" t="str">
        <f>IFERROR(D32/D19,"")</f>
        <v/>
      </c>
      <c r="E38" s="272" t="str">
        <f>IFERROR(E32/E19,"")</f>
        <v/>
      </c>
      <c r="F38" s="272" t="str">
        <f>IFERROR(F32/F19,"")</f>
        <v/>
      </c>
      <c r="G38" s="272" t="str">
        <f>IFERROR(G32/G19,"")</f>
        <v/>
      </c>
      <c r="H38" s="273" t="str">
        <f>IFERROR(H32/H19,"")</f>
        <v/>
      </c>
      <c r="I38" s="272">
        <f>IFERROR(I32/I19,"")</f>
        <v>-0.0398569260974319</v>
      </c>
      <c r="J38" s="272">
        <f>IFERROR(J32/J19,"")</f>
        <v>0.00290884902492847</v>
      </c>
      <c r="K38" s="272">
        <f>IFERROR(K32/K19,"")</f>
        <v>0.0521020280740892</v>
      </c>
      <c r="L38" s="272">
        <f>IFERROR(L32/L19,"")</f>
        <v>0.0300305513876597</v>
      </c>
      <c r="M38" s="273">
        <f>IFERROR(M32/M19,"")</f>
        <v>0.016947069697487</v>
      </c>
      <c r="N38" s="272">
        <f>IFERROR(N32/N19,"")</f>
        <v>0.00534122551342481</v>
      </c>
      <c r="O38" s="272">
        <f>IFERROR(O32/O19,"")</f>
        <v>0.0588056234604325</v>
      </c>
      <c r="P38" s="272">
        <f>IFERROR(P32/P19,"")</f>
        <v>0.117134307713645</v>
      </c>
      <c r="Q38" s="272">
        <f>IFERROR(Q32/Q19,"")</f>
        <v>0.12714174242604</v>
      </c>
      <c r="R38" s="273">
        <f>IFERROR(R32/R19,"")</f>
        <v>0.0849638252353063</v>
      </c>
      <c r="S38" s="272">
        <f>IFERROR(S32/S19,"")</f>
        <v>0.122099625570738</v>
      </c>
      <c r="T38" s="272">
        <f>IFERROR(T32/T19,"")</f>
        <v>0.087891940548221</v>
      </c>
      <c r="U38" s="272">
        <f>IFERROR(U32/U19,"")</f>
        <v>0.0845045957764208</v>
      </c>
      <c r="V38" s="272">
        <f>IFERROR(V32/V19,"")</f>
        <v>0.0981754564118413</v>
      </c>
      <c r="W38" s="273">
        <f>IFERROR(W32/W19,"")</f>
        <v>0.0975379728446471</v>
      </c>
      <c r="X38" s="272">
        <f>IFERROR(X32/X19,"")</f>
        <v>0.029360934740955</v>
      </c>
      <c r="Y38" s="272">
        <f>IFERROR(Y32/Y19,"")</f>
        <v>0.0473350625829029</v>
      </c>
      <c r="Z38" s="272">
        <f>IFERROR(Z32/Z19,"")</f>
        <v>0.00574875654876824</v>
      </c>
      <c r="AA38" s="272">
        <f>IFERROR(AA32/AA19,"")</f>
        <v>0.0073781449436668</v>
      </c>
      <c r="AB38" s="273">
        <f>IFERROR(AB32/AB19,"")</f>
        <v>0.0217540613278166</v>
      </c>
      <c r="AC38" s="272">
        <f>IFERROR(AC32/AC19,"")</f>
        <v>-0.041444729495248</v>
      </c>
      <c r="AD38" s="272">
        <f>IFERROR(AD32/AD19,"")</f>
        <v>-0.0294674635195774</v>
      </c>
      <c r="AE38" s="272">
        <f>IFERROR(AE32/AE19,"")</f>
        <v>0.0558566470224014</v>
      </c>
      <c r="AF38" s="272">
        <f>IFERROR(AF32/AF19,"")</f>
        <v>0.0644206865727055</v>
      </c>
      <c r="AG38" s="273">
        <f>IFERROR(AG32/AG19,"")</f>
        <v>0.0157506280815317</v>
      </c>
      <c r="AH38" s="273">
        <f>IFERROR(AH32/AH19,"")</f>
        <v>-0.0633279565714329</v>
      </c>
      <c r="AI38" s="273">
        <f>IFERROR(AI32/AI19,"")</f>
        <v>0.00303739463182079</v>
      </c>
    </row>
    <row r="39">
      <c r="C39" s="268" t="inlineStr">
        <is>
          <t xml:space="preserve">   Margem Ag (estrutura até FY25)</t>
        </is>
      </c>
      <c r="D39" s="272" t="str">
        <f>IFERROR(D33/D20,"")</f>
        <v/>
      </c>
      <c r="E39" s="272" t="str">
        <f>IFERROR(E33/E20,"")</f>
        <v/>
      </c>
      <c r="F39" s="272" t="str">
        <f>IFERROR(F33/F20,"")</f>
        <v/>
      </c>
      <c r="G39" s="272" t="str">
        <f>IFERROR(G33/G20,"")</f>
        <v/>
      </c>
      <c r="H39" s="273" t="str">
        <f>IFERROR(H33/H20,"")</f>
        <v/>
      </c>
      <c r="I39" s="272">
        <f>IFERROR(I33/I20,"")</f>
        <v>0.00202415262030045</v>
      </c>
      <c r="J39" s="272">
        <f>IFERROR(J33/J20,"")</f>
        <v>0.0152048500662529</v>
      </c>
      <c r="K39" s="272">
        <f>IFERROR(K33/K20,"")</f>
        <v>0.00722077253292149</v>
      </c>
      <c r="L39" s="272">
        <f>IFERROR(L33/L20,"")</f>
        <v>0.0334247103512684</v>
      </c>
      <c r="M39" s="273">
        <f>IFERROR(M33/M20,"")</f>
        <v>0.0151243400059211</v>
      </c>
      <c r="N39" s="272">
        <f>IFERROR(N33/N20,"")</f>
        <v>0.00665157412712328</v>
      </c>
      <c r="O39" s="272">
        <f>IFERROR(O33/O20,"")</f>
        <v>0.0264372338350768</v>
      </c>
      <c r="P39" s="272">
        <f>IFERROR(P33/P20,"")</f>
        <v>0.00412900877624272</v>
      </c>
      <c r="Q39" s="272">
        <f>IFERROR(Q33/Q20,"")</f>
        <v>0.0298237021713558</v>
      </c>
      <c r="R39" s="273">
        <f>IFERROR(R33/R20,"")</f>
        <v>0.0170921153033278</v>
      </c>
      <c r="S39" s="272">
        <f>IFERROR(S33/S20,"")</f>
        <v>-0.00894317946333906</v>
      </c>
      <c r="T39" s="272">
        <f>IFERROR(T33/T20,"")</f>
        <v>0.0239650631323394</v>
      </c>
      <c r="U39" s="272">
        <f>IFERROR(U33/U20,"")</f>
        <v>-0.00396101689581573</v>
      </c>
      <c r="V39" s="272">
        <f>IFERROR(V33/V20,"")</f>
        <v>0.0196158996043187</v>
      </c>
      <c r="W39" s="273">
        <f>IFERROR(W33/W20,"")</f>
        <v>0.00854221148018712</v>
      </c>
      <c r="X39" s="272">
        <f>IFERROR(X33/X20,"")</f>
        <v>0.00777597276255278</v>
      </c>
      <c r="Y39" s="272">
        <f>IFERROR(Y33/Y20,"")</f>
        <v>0.0144258323347054</v>
      </c>
      <c r="Z39" s="272">
        <f>IFERROR(Z33/Z20,"")</f>
        <v>0.00109250790087688</v>
      </c>
      <c r="AA39" s="272">
        <f>IFERROR(AA33/AA20,"")</f>
        <v>0.0233337076389428</v>
      </c>
      <c r="AB39" s="273">
        <f>IFERROR(AB33/AB20,"")</f>
        <v>0.0117484088869307</v>
      </c>
      <c r="AC39" s="272">
        <f>IFERROR(AC33/AC20,"")</f>
        <v>-0.00748537458176998</v>
      </c>
      <c r="AD39" s="272">
        <f>IFERROR(AD33/AD20,"")</f>
        <v>0.0189695028568544</v>
      </c>
      <c r="AE39" s="272">
        <f>IFERROR(AE33/AE20,"")</f>
        <v>-0.00403741869892048</v>
      </c>
      <c r="AF39" s="272" t="str">
        <f>IFERROR(AF33/AF20,"")</f>
        <v/>
      </c>
      <c r="AG39" s="273" t="str">
        <f>IFERROR(AG33/AG20,"")</f>
        <v/>
      </c>
      <c r="AH39" s="273" t="str">
        <f>IFERROR(AH33/AH20,"")</f>
        <v/>
      </c>
      <c r="AI39" s="273" t="str">
        <f>IFERROR(AI33/AI20,"")</f>
        <v/>
      </c>
    </row>
    <row r="40">
      <c r="C40" s="268" t="inlineStr">
        <is>
          <t xml:space="preserve">   Margem Grains (estrutura FY26)</t>
        </is>
      </c>
      <c r="D40" s="272" t="str">
        <f>IFERROR(D34/D21,"")</f>
        <v/>
      </c>
      <c r="E40" s="272" t="str">
        <f>IFERROR(E34/E21,"")</f>
        <v/>
      </c>
      <c r="F40" s="272" t="str">
        <f>IFERROR(F34/F21,"")</f>
        <v/>
      </c>
      <c r="G40" s="272" t="str">
        <f>IFERROR(G34/G21,"")</f>
        <v/>
      </c>
      <c r="H40" s="273" t="str">
        <f>IFERROR(H34/H21,"")</f>
        <v/>
      </c>
      <c r="I40" s="272" t="str">
        <f>IFERROR(I34/I21,"")</f>
        <v/>
      </c>
      <c r="J40" s="272" t="str">
        <f>IFERROR(J34/J21,"")</f>
        <v/>
      </c>
      <c r="K40" s="272" t="str">
        <f>IFERROR(K34/K21,"")</f>
        <v/>
      </c>
      <c r="L40" s="272" t="str">
        <f>IFERROR(L34/L21,"")</f>
        <v/>
      </c>
      <c r="M40" s="273" t="str">
        <f>IFERROR(M34/M21,"")</f>
        <v/>
      </c>
      <c r="N40" s="272" t="str">
        <f>IFERROR(N34/N21,"")</f>
        <v/>
      </c>
      <c r="O40" s="272" t="str">
        <f>IFERROR(O34/O21,"")</f>
        <v/>
      </c>
      <c r="P40" s="272" t="str">
        <f>IFERROR(P34/P21,"")</f>
        <v/>
      </c>
      <c r="Q40" s="272" t="str">
        <f>IFERROR(Q34/Q21,"")</f>
        <v/>
      </c>
      <c r="R40" s="273" t="str">
        <f>IFERROR(R34/R21,"")</f>
        <v/>
      </c>
      <c r="S40" s="272" t="str">
        <f>IFERROR(S34/S21,"")</f>
        <v/>
      </c>
      <c r="T40" s="272" t="str">
        <f>IFERROR(T34/T21,"")</f>
        <v/>
      </c>
      <c r="U40" s="272" t="str">
        <f>IFERROR(U34/U21,"")</f>
        <v/>
      </c>
      <c r="V40" s="272" t="str">
        <f>IFERROR(V34/V21,"")</f>
        <v/>
      </c>
      <c r="W40" s="273" t="str">
        <f>IFERROR(W34/W21,"")</f>
        <v/>
      </c>
      <c r="X40" s="272" t="str">
        <f>IFERROR(X34/X21,"")</f>
        <v/>
      </c>
      <c r="Y40" s="272" t="str">
        <f>IFERROR(Y34/Y21,"")</f>
        <v/>
      </c>
      <c r="Z40" s="272" t="str">
        <f>IFERROR(Z34/Z21,"")</f>
        <v/>
      </c>
      <c r="AA40" s="272" t="str">
        <f>IFERROR(AA34/AA21,"")</f>
        <v/>
      </c>
      <c r="AB40" s="273" t="str">
        <f>IFERROR(AB34/AB21,"")</f>
        <v/>
      </c>
      <c r="AC40" s="272" t="str">
        <f>IFERROR(AC34/AC21,"")</f>
        <v/>
      </c>
      <c r="AD40" s="272" t="str">
        <f>IFERROR(AD34/AD21,"")</f>
        <v/>
      </c>
      <c r="AE40" s="272" t="str">
        <f>IFERROR(AE34/AE21,"")</f>
        <v/>
      </c>
      <c r="AF40" s="272">
        <f>IFERROR(AF34/AF21,"")</f>
        <v>0.00694909683983101</v>
      </c>
      <c r="AG40" s="273" t="str">
        <f>IFERROR(AG34/AG21,"")</f>
        <v/>
      </c>
      <c r="AH40" s="273">
        <f>IFERROR(AH34/AH21,"")</f>
        <v>-0.00346257767440496</v>
      </c>
      <c r="AI40" s="273">
        <f>IFERROR(AI34/AI21,"")</f>
        <v>-0.00592618017748878</v>
      </c>
    </row>
    <row r="41">
      <c r="C41" s="268" t="inlineStr">
        <is>
          <t xml:space="preserve">   Margem Agronomy (estrutura FY26)</t>
        </is>
      </c>
      <c r="D41" s="272" t="str">
        <f>IFERROR(D35/D22,"")</f>
        <v/>
      </c>
      <c r="E41" s="272" t="str">
        <f>IFERROR(E35/E22,"")</f>
        <v/>
      </c>
      <c r="F41" s="272" t="str">
        <f>IFERROR(F35/F22,"")</f>
        <v/>
      </c>
      <c r="G41" s="272" t="str">
        <f>IFERROR(G35/G22,"")</f>
        <v/>
      </c>
      <c r="H41" s="273" t="str">
        <f>IFERROR(H35/H22,"")</f>
        <v/>
      </c>
      <c r="I41" s="272" t="str">
        <f>IFERROR(I35/I22,"")</f>
        <v/>
      </c>
      <c r="J41" s="272" t="str">
        <f>IFERROR(J35/J22,"")</f>
        <v/>
      </c>
      <c r="K41" s="272" t="str">
        <f>IFERROR(K35/K22,"")</f>
        <v/>
      </c>
      <c r="L41" s="272" t="str">
        <f>IFERROR(L35/L22,"")</f>
        <v/>
      </c>
      <c r="M41" s="273" t="str">
        <f>IFERROR(M35/M22,"")</f>
        <v/>
      </c>
      <c r="N41" s="272" t="str">
        <f>IFERROR(N35/N22,"")</f>
        <v/>
      </c>
      <c r="O41" s="272" t="str">
        <f>IFERROR(O35/O22,"")</f>
        <v/>
      </c>
      <c r="P41" s="272" t="str">
        <f>IFERROR(P35/P22,"")</f>
        <v/>
      </c>
      <c r="Q41" s="272" t="str">
        <f>IFERROR(Q35/Q22,"")</f>
        <v/>
      </c>
      <c r="R41" s="273" t="str">
        <f>IFERROR(R35/R22,"")</f>
        <v/>
      </c>
      <c r="S41" s="272" t="str">
        <f>IFERROR(S35/S22,"")</f>
        <v/>
      </c>
      <c r="T41" s="272" t="str">
        <f>IFERROR(T35/T22,"")</f>
        <v/>
      </c>
      <c r="U41" s="272" t="str">
        <f>IFERROR(U35/U22,"")</f>
        <v/>
      </c>
      <c r="V41" s="272" t="str">
        <f>IFERROR(V35/V22,"")</f>
        <v/>
      </c>
      <c r="W41" s="273" t="str">
        <f>IFERROR(W35/W22,"")</f>
        <v/>
      </c>
      <c r="X41" s="272" t="str">
        <f>IFERROR(X35/X22,"")</f>
        <v/>
      </c>
      <c r="Y41" s="272" t="str">
        <f>IFERROR(Y35/Y22,"")</f>
        <v/>
      </c>
      <c r="Z41" s="272" t="str">
        <f>IFERROR(Z35/Z22,"")</f>
        <v/>
      </c>
      <c r="AA41" s="272" t="str">
        <f>IFERROR(AA35/AA22,"")</f>
        <v/>
      </c>
      <c r="AB41" s="273" t="str">
        <f>IFERROR(AB35/AB22,"")</f>
        <v/>
      </c>
      <c r="AC41" s="272" t="str">
        <f>IFERROR(AC35/AC22,"")</f>
        <v/>
      </c>
      <c r="AD41" s="272" t="str">
        <f>IFERROR(AD35/AD22,"")</f>
        <v/>
      </c>
      <c r="AE41" s="272" t="str">
        <f>IFERROR(AE35/AE22,"")</f>
        <v/>
      </c>
      <c r="AF41" s="272">
        <f>IFERROR(AF35/AF22,"")</f>
        <v>0.0297284744407333</v>
      </c>
      <c r="AG41" s="273" t="str">
        <f>IFERROR(AG35/AG22,"")</f>
        <v/>
      </c>
      <c r="AH41" s="273">
        <f>IFERROR(AH35/AH22,"")</f>
        <v>-0.0110125045398312</v>
      </c>
      <c r="AI41" s="273">
        <f>IFERROR(AI35/AI22,"")</f>
        <v>0.107163952540587</v>
      </c>
    </row>
    <row r="42">
      <c r="C42" s="268" t="inlineStr">
        <is>
          <t xml:space="preserve">   Margem Nitrogen Production (até FY25; sem receita, só equivalência)</t>
        </is>
      </c>
      <c r="D42" s="272" t="str">
        <f>IFERROR(D36/D23,"")</f>
        <v/>
      </c>
      <c r="E42" s="272" t="str">
        <f>IFERROR(E36/E23,"")</f>
        <v/>
      </c>
      <c r="F42" s="272" t="str">
        <f>IFERROR(F36/F23,"")</f>
        <v/>
      </c>
      <c r="G42" s="272" t="str">
        <f>IFERROR(G36/G23,"")</f>
        <v/>
      </c>
      <c r="H42" s="273" t="str">
        <f>IFERROR(H36/H23,"")</f>
        <v/>
      </c>
      <c r="I42" s="272" t="str">
        <f>IFERROR(I36/I23,"")</f>
        <v/>
      </c>
      <c r="J42" s="272" t="str">
        <f>IFERROR(J36/J23,"")</f>
        <v/>
      </c>
      <c r="K42" s="272" t="str">
        <f>IFERROR(K36/K23,"")</f>
        <v/>
      </c>
      <c r="L42" s="272" t="str">
        <f>IFERROR(L36/L23,"")</f>
        <v/>
      </c>
      <c r="M42" s="273" t="str">
        <f>IFERROR(M36/M23,"")</f>
        <v/>
      </c>
      <c r="N42" s="272" t="str">
        <f>IFERROR(N36/N23,"")</f>
        <v/>
      </c>
      <c r="O42" s="272" t="str">
        <f>IFERROR(O36/O23,"")</f>
        <v/>
      </c>
      <c r="P42" s="272" t="str">
        <f>IFERROR(P36/P23,"")</f>
        <v/>
      </c>
      <c r="Q42" s="272" t="str">
        <f>IFERROR(Q36/Q23,"")</f>
        <v/>
      </c>
      <c r="R42" s="273" t="str">
        <f>IFERROR(R36/R23,"")</f>
        <v/>
      </c>
      <c r="S42" s="272" t="str">
        <f>IFERROR(S36/S23,"")</f>
        <v/>
      </c>
      <c r="T42" s="272" t="str">
        <f>IFERROR(T36/T23,"")</f>
        <v/>
      </c>
      <c r="U42" s="272" t="str">
        <f>IFERROR(U36/U23,"")</f>
        <v/>
      </c>
      <c r="V42" s="272" t="str">
        <f>IFERROR(V36/V23,"")</f>
        <v/>
      </c>
      <c r="W42" s="273" t="str">
        <f>IFERROR(W36/W23,"")</f>
        <v/>
      </c>
      <c r="X42" s="272" t="str">
        <f>IFERROR(X36/X23,"")</f>
        <v/>
      </c>
      <c r="Y42" s="272" t="str">
        <f>IFERROR(Y36/Y23,"")</f>
        <v/>
      </c>
      <c r="Z42" s="272" t="str">
        <f>IFERROR(Z36/Z23,"")</f>
        <v/>
      </c>
      <c r="AA42" s="272" t="str">
        <f>IFERROR(AA36/AA23,"")</f>
        <v/>
      </c>
      <c r="AB42" s="273" t="str">
        <f>IFERROR(AB36/AB23,"")</f>
        <v/>
      </c>
      <c r="AC42" s="272" t="str">
        <f>IFERROR(AC36/AC23,"")</f>
        <v/>
      </c>
      <c r="AD42" s="272" t="str">
        <f>IFERROR(AD36/AD23,"")</f>
        <v/>
      </c>
      <c r="AE42" s="272" t="str">
        <f>IFERROR(AE36/AE23,"")</f>
        <v/>
      </c>
      <c r="AF42" s="272" t="str">
        <f>IFERROR(AF36/AF23,"")</f>
        <v/>
      </c>
      <c r="AG42" s="273" t="str">
        <f>IFERROR(AG36/AG23,"")</f>
        <v/>
      </c>
      <c r="AH42" s="273" t="str">
        <f>IFERROR(AH36/AH23,"")</f>
        <v/>
      </c>
      <c r="AI42" s="273" t="str">
        <f>IFERROR(AI36/AI23,"")</f>
        <v/>
      </c>
    </row>
    <row r="43">
      <c r="C43" s="268" t="inlineStr">
        <is>
          <t xml:space="preserve">   Margem Corporate &amp; Other / demais segmentos</t>
        </is>
      </c>
      <c r="D43" s="272" t="str">
        <f>IFERROR(D37/D24,"")</f>
        <v/>
      </c>
      <c r="E43" s="272" t="str">
        <f>IFERROR(E37/E24,"")</f>
        <v/>
      </c>
      <c r="F43" s="272" t="str">
        <f>IFERROR(F37/F24,"")</f>
        <v/>
      </c>
      <c r="G43" s="272" t="str">
        <f>IFERROR(G37/G24,"")</f>
        <v/>
      </c>
      <c r="H43" s="273" t="str">
        <f>IFERROR(H37/H24,"")</f>
        <v/>
      </c>
      <c r="I43" s="272">
        <f>IFERROR(I37/I24,"")</f>
        <v>2.32822555930126</v>
      </c>
      <c r="J43" s="272">
        <f>IFERROR(J37/J24,"")</f>
        <v>7.18497882772454</v>
      </c>
      <c r="K43" s="272">
        <f>IFERROR(K37/K24,"")</f>
        <v>-11.6567830384186</v>
      </c>
      <c r="L43" s="272">
        <f>IFERROR(L37/L24,"")</f>
        <v>1.92584209825589</v>
      </c>
      <c r="M43" s="273">
        <f>IFERROR(M37/M24,"")</f>
        <v>0.879067195133192</v>
      </c>
      <c r="N43" s="272">
        <f>IFERROR(N37/N24,"")</f>
        <v>1.21933471933472</v>
      </c>
      <c r="O43" s="272">
        <f>IFERROR(O37/O24,"")</f>
        <v>2.50674598958887</v>
      </c>
      <c r="P43" s="272">
        <f>IFERROR(P37/P24,"")</f>
        <v>0.835750968555726</v>
      </c>
      <c r="Q43" s="272">
        <f>IFERROR(Q37/Q24,"")</f>
        <v>2.76198359545489</v>
      </c>
      <c r="R43" s="273">
        <f>IFERROR(R37/R24,"")</f>
        <v>1.88730304529075</v>
      </c>
      <c r="S43" s="272">
        <f>IFERROR(S37/S24,"")</f>
        <v>2.74835498083195</v>
      </c>
      <c r="T43" s="272">
        <f>IFERROR(T37/T24,"")</f>
        <v>3.8551812319324</v>
      </c>
      <c r="U43" s="272">
        <f>IFERROR(U37/U24,"")</f>
        <v>5.52365023780902</v>
      </c>
      <c r="V43" s="272">
        <f>IFERROR(V37/V24,"")</f>
        <v>2.13263270568773</v>
      </c>
      <c r="W43" s="273">
        <f>IFERROR(W37/W24,"")</f>
        <v>3.55146305438384</v>
      </c>
      <c r="X43" s="272">
        <f>IFERROR(X37/X24,"")</f>
        <v>2.04708097928437</v>
      </c>
      <c r="Y43" s="272">
        <f>IFERROR(Y37/Y24,"")</f>
        <v>2.81651881646372</v>
      </c>
      <c r="Z43" s="272">
        <f>IFERROR(Z37/Z24,"")</f>
        <v>2.03083068728874</v>
      </c>
      <c r="AA43" s="272">
        <f>IFERROR(AA37/AA24,"")</f>
        <v>2.26407217236912</v>
      </c>
      <c r="AB43" s="273">
        <f>IFERROR(AB37/AB24,"")</f>
        <v>2.27953838871048</v>
      </c>
      <c r="AC43" s="272">
        <f>IFERROR(AC37/AC24,"")</f>
        <v>1.22998357626771</v>
      </c>
      <c r="AD43" s="272">
        <f>IFERROR(AD37/AD24,"")</f>
        <v>5.60826365511999</v>
      </c>
      <c r="AE43" s="272">
        <f>IFERROR(AE37/AE24,"")</f>
        <v>2.07212695917064</v>
      </c>
      <c r="AF43" s="272" t="str">
        <f>IFERROR(AF37/AF24,"")</f>
        <v/>
      </c>
      <c r="AG43" s="273" t="str">
        <f>IFERROR(AG37/AG24,"")</f>
        <v/>
      </c>
      <c r="AH43" s="273">
        <f>IFERROR(AH37/AH24,"")</f>
        <v>-0.0197860574179558</v>
      </c>
      <c r="AI43" s="273">
        <f>IFERROR(AI37/AI24,"")</f>
        <v>0.336766888363656</v>
      </c>
    </row>
    <row r="44"/>
    <row r="45"/>
    <row r="46"/>
    <row r="47"/>
    <row r="48"/>
    <row r="49"/>
    <row r="50"/>
    <row r="51"/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-8218.439</v>
      </c>
      <c r="J54" s="46">
        <f>'Inputs (2)'!E5</f>
        <v>-10615.348</v>
      </c>
      <c r="K54" s="46">
        <f>'Inputs (2)'!F5</f>
        <v>-10125.308</v>
      </c>
      <c r="L54" s="46">
        <f>'Inputs (2)'!G5</f>
        <v>-10360.849</v>
      </c>
      <c r="M54" s="12">
        <f>'Inputs (2)'!H5</f>
        <v>-39319.944</v>
      </c>
      <c r="N54" s="46">
        <f>'Inputs (2)'!I5</f>
        <v>-10063.59</v>
      </c>
      <c r="O54" s="46">
        <f>'Inputs (2)'!J5</f>
        <v>-12493.467</v>
      </c>
      <c r="P54" s="46">
        <f>'Inputs (2)'!K5</f>
        <v>-12746.839</v>
      </c>
      <c r="Q54" s="46">
        <f>'Inputs (2)'!L5</f>
        <v>-11886.704</v>
      </c>
      <c r="R54" s="12">
        <f>'Inputs (2)'!M5</f>
        <v>-47190.6</v>
      </c>
      <c r="S54" s="46">
        <f>'Inputs (2)'!N5</f>
        <v>-10922.581</v>
      </c>
      <c r="T54" s="46">
        <f>'Inputs (2)'!O5</f>
        <v>-11351.711</v>
      </c>
      <c r="U54" s="46">
        <f>'Inputs (2)'!P5</f>
        <v>-9052.743</v>
      </c>
      <c r="V54" s="46">
        <f>'Inputs (2)'!Q5</f>
        <v>-10745.708</v>
      </c>
      <c r="W54" s="12">
        <f>'Inputs (2)'!R5</f>
        <v>-42072.743</v>
      </c>
      <c r="X54" s="46">
        <f>'Inputs (2)'!S5</f>
        <v>-8721.588</v>
      </c>
      <c r="Y54" s="46">
        <f>'Inputs (2)'!T5</f>
        <v>-9141.188</v>
      </c>
      <c r="Z54" s="46">
        <f>'Inputs (2)'!U5</f>
        <v>-8901.418</v>
      </c>
      <c r="AA54" s="46">
        <f>'Inputs (2)'!V5</f>
        <v>-8893.436</v>
      </c>
      <c r="AB54" s="12">
        <f>'Inputs (2)'!W5</f>
        <v>-35657.63</v>
      </c>
      <c r="AC54" s="46">
        <f>'Inputs (2)'!X5</f>
        <v>-7719.876</v>
      </c>
      <c r="AD54" s="46">
        <f>'Inputs (2)'!Y5</f>
        <v>-9436.61</v>
      </c>
      <c r="AE54" s="46">
        <f>'Inputs (2)'!Z5</f>
        <v>-8275.872</v>
      </c>
      <c r="AF54" s="46">
        <f>'Inputs (2)'!AA5</f>
        <v>-8474.752</v>
      </c>
      <c r="AG54" s="12">
        <f>'Inputs (2)'!AB5</f>
        <v>-33907.11</v>
      </c>
      <c r="AH54" s="12">
        <f>'Inputs (2)'!AC5</f>
        <v>-8327.973</v>
      </c>
      <c r="AI54" s="12">
        <f>'Inputs (2)'!AD5</f>
        <v>-11171.469</v>
      </c>
      <c r="AJ54" s="12">
        <f>-(1-AJ55)*AJ15</f>
        <v>-8402.92516049291</v>
      </c>
      <c r="AK54" s="12">
        <f>-(1-AK55)*AK15</f>
        <v>-8655.05536988714</v>
      </c>
      <c r="AL54" s="12">
        <f>SUM(AH54:AK54)</f>
        <v>-36557.4225303801</v>
      </c>
      <c r="AM54" s="12">
        <f>-(1-AM55)*AM15</f>
        <v>-8156.77745358864</v>
      </c>
      <c r="AN54" s="12">
        <f>-(1-AN55)*AN15</f>
        <v>-11308.9401471328</v>
      </c>
      <c r="AO54" s="12">
        <f>-(1-AO55)*AO15</f>
        <v>-8435.85891766801</v>
      </c>
      <c r="AP54" s="12">
        <f>-(1-AP55)*AP15</f>
        <v>-8688.9773061706</v>
      </c>
      <c r="AQ54" s="12">
        <f>SUM(AM54:AP54)</f>
        <v>-36590.5538245601</v>
      </c>
      <c r="AR54" s="12">
        <f>-(1-AR55)*AR15</f>
        <v>-8156.77745358864</v>
      </c>
      <c r="AS54" s="12">
        <f>-(1-AS55)*AS15</f>
        <v>-11308.9401471328</v>
      </c>
      <c r="AT54" s="12">
        <f>-(1-AT55)*AT15</f>
        <v>-8435.85891766801</v>
      </c>
      <c r="AU54" s="12">
        <f>-(1-AU55)*AU15</f>
        <v>-8688.9773061706</v>
      </c>
      <c r="AV54" s="12">
        <f>SUM(AR54:AU54)</f>
        <v>-36590.5538245601</v>
      </c>
      <c r="AW54" s="12">
        <f>-(1-AW55)*AW15</f>
        <v>-8156.77745358864</v>
      </c>
      <c r="AX54" s="12">
        <f>-(1-AX55)*AX15</f>
        <v>-11308.9401471328</v>
      </c>
      <c r="AY54" s="12">
        <f>-(1-AY55)*AY15</f>
        <v>-8435.85891766801</v>
      </c>
      <c r="AZ54" s="12">
        <f>-(1-AZ55)*AZ15</f>
        <v>-8688.9773061706</v>
      </c>
      <c r="BA54" s="12">
        <f>SUM(AW54:AZ54)</f>
        <v>-36590.5538245601</v>
      </c>
      <c r="BB54" s="12">
        <f>-(1-BB55)*BB15</f>
        <v>-8156.77745358864</v>
      </c>
      <c r="BC54" s="12">
        <f>-(1-BC55)*BC15</f>
        <v>-11308.9401471328</v>
      </c>
      <c r="BD54" s="12">
        <f>-(1-BD55)*BD15</f>
        <v>-8435.85891766801</v>
      </c>
      <c r="BE54" s="12">
        <f>-(1-BE55)*BE15</f>
        <v>-8688.9773061706</v>
      </c>
      <c r="BF54" s="12">
        <f>SUM(BB54:BE54)</f>
        <v>-36590.5538245601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0.012225727897748</v>
      </c>
      <c r="J55" s="48">
        <f>IFERROR((J15+J54)/J$15,"")</f>
        <v>0.0287857905634926</v>
      </c>
      <c r="K55" s="48">
        <f>IFERROR((K15+K54)/K$15,"")</f>
        <v>0.0340525011078244</v>
      </c>
      <c r="L55" s="48">
        <f>IFERROR((L15+L54)/L$15,"")</f>
        <v>0.0477823372031927</v>
      </c>
      <c r="M55" s="48">
        <f>IFERROR((M15+M54)/M$15,"")</f>
        <v>0.0318419796427003</v>
      </c>
      <c r="N55" s="48">
        <f>IFERROR((N15+N54)/N$15,"")</f>
        <v>0.0260339423191943</v>
      </c>
      <c r="O55" s="48">
        <f>IFERROR((O15+O54)/O$15,"")</f>
        <v>0.049038707161149</v>
      </c>
      <c r="P55" s="48">
        <f>IFERROR((P15+P54)/P$15,"")</f>
        <v>0.051616606018319</v>
      </c>
      <c r="Q55" s="48">
        <f>IFERROR((Q15+Q54)/Q$15,"")</f>
        <v>0.0688662139636886</v>
      </c>
      <c r="R55" s="48">
        <f>IFERROR((R15+R54)/R$15,"")</f>
        <v>0.0500465127065081</v>
      </c>
      <c r="S55" s="48">
        <f>IFERROR((S15+S54)/S$15,"")</f>
        <v>0.0339853334899346</v>
      </c>
      <c r="T55" s="48">
        <f>IFERROR((T15+T54)/T$15,"")</f>
        <v>0.0560732696044612</v>
      </c>
      <c r="U55" s="48">
        <f>IFERROR((U15+U54)/U$15,"")</f>
        <v>0.0462027931784863</v>
      </c>
      <c r="V55" s="48">
        <f>IFERROR((V15+V54)/V$15,"")</f>
        <v>0.0566209607908515</v>
      </c>
      <c r="W55" s="48">
        <f>IFERROR((W15+W54)/W$15,"")</f>
        <v>0.048447101100009</v>
      </c>
      <c r="X55" s="48">
        <f>IFERROR((X15+X54)/X$15,"")</f>
        <v>0.0402633073195209</v>
      </c>
      <c r="Y55" s="48">
        <f>IFERROR((Y15+Y54)/Y$15,"")</f>
        <v>0.048683091644558</v>
      </c>
      <c r="Z55" s="48">
        <f>IFERROR((Z15+Z54)/Z$15,"")</f>
        <v>0.029723870702198</v>
      </c>
      <c r="AA55" s="48">
        <f>IFERROR((AA15+AA54)/AA$15,"")</f>
        <v>0.0431107350546238</v>
      </c>
      <c r="AB55" s="48">
        <f>IFERROR((AB15+AB54)/AB$15,"")</f>
        <v>0.0405506754894156</v>
      </c>
      <c r="AC55" s="48">
        <f>IFERROR((AC15+AC54)/AC$15,"")</f>
        <v>0.00978875453410513</v>
      </c>
      <c r="AD55" s="48">
        <f>IFERROR((AD15+AD54)/AD$15,"")</f>
        <v>0.0337698938024482</v>
      </c>
      <c r="AE55" s="48">
        <f>IFERROR((AE15+AE54)/AE$15,"")</f>
        <v>0.0383472517175459</v>
      </c>
      <c r="AF55" s="41">
        <f>IFERROR((AF15+AF54)/AF$15,"")</f>
        <v>0.0439245748921717</v>
      </c>
      <c r="AG55" s="48">
        <f>IFERROR((AG15+AG54)/AG$15,"")</f>
        <v>0.0321269331993628</v>
      </c>
      <c r="AH55" s="49">
        <f>IFERROR((AH15+AH54)/AH$15,"")</f>
        <v>0.00309057289079884</v>
      </c>
      <c r="AI55" s="49">
        <f>IFERROR((AI15+AI54)/AI$15,"")</f>
        <v>0.0354530171543321</v>
      </c>
      <c r="AJ55" s="49">
        <f>Control!$B$19</f>
        <v>0.027395677498567</v>
      </c>
      <c r="AK55" s="49">
        <f>Control!$B$19</f>
        <v>0.027395677498567</v>
      </c>
      <c r="AL55" s="48">
        <f>IFERROR((AL15+AL54)/AL$15,"")</f>
        <v>0.0244678355786755</v>
      </c>
      <c r="AM55" s="49">
        <f>Control!$C$19</f>
        <v>0.027395677498567</v>
      </c>
      <c r="AN55" s="49">
        <f>Control!$C$19</f>
        <v>0.027395677498567</v>
      </c>
      <c r="AO55" s="49">
        <f>Control!$C$19</f>
        <v>0.027395677498567</v>
      </c>
      <c r="AP55" s="49">
        <f>Control!$C$19</f>
        <v>0.027395677498567</v>
      </c>
      <c r="AQ55" s="48">
        <f>IFERROR((AQ15+AQ54)/AQ$15,"")</f>
        <v>0.0273956774985671</v>
      </c>
      <c r="AR55" s="49">
        <f>Control!$D$19</f>
        <v>0.027395677498567</v>
      </c>
      <c r="AS55" s="49">
        <f>Control!$D$19</f>
        <v>0.027395677498567</v>
      </c>
      <c r="AT55" s="49">
        <f>Control!$D$19</f>
        <v>0.027395677498567</v>
      </c>
      <c r="AU55" s="49">
        <f>Control!$D$19</f>
        <v>0.027395677498567</v>
      </c>
      <c r="AV55" s="48">
        <f>IFERROR((AV15+AV54)/AV$15,"")</f>
        <v>0.0273956774985671</v>
      </c>
      <c r="AW55" s="49">
        <f>Control!$E$19</f>
        <v>0.027395677498567</v>
      </c>
      <c r="AX55" s="49">
        <f>Control!$E$19</f>
        <v>0.027395677498567</v>
      </c>
      <c r="AY55" s="49">
        <f>Control!$E$19</f>
        <v>0.027395677498567</v>
      </c>
      <c r="AZ55" s="49">
        <f>Control!$E$19</f>
        <v>0.027395677498567</v>
      </c>
      <c r="BA55" s="48">
        <f>IFERROR((BA15+BA54)/BA$15,"")</f>
        <v>0.0273956774985671</v>
      </c>
      <c r="BB55" s="49">
        <f>Control!$F$19</f>
        <v>0.027395677498567</v>
      </c>
      <c r="BC55" s="49">
        <f>Control!$F$19</f>
        <v>0.027395677498567</v>
      </c>
      <c r="BD55" s="49">
        <f>Control!$F$19</f>
        <v>0.027395677498567</v>
      </c>
      <c r="BE55" s="49">
        <f>Control!$F$19</f>
        <v>0.027395677498567</v>
      </c>
      <c r="BF55" s="48">
        <f>IFERROR((BF15+BF54)/BF$15,"")</f>
        <v>0.0273956774985671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-28.476</v>
      </c>
      <c r="J58" s="46">
        <f>'Inputs (2)'!E6</f>
        <v>-52.772</v>
      </c>
      <c r="K58" s="46">
        <f>'Inputs (2)'!F6</f>
        <v>-92.886</v>
      </c>
      <c r="L58" s="46">
        <f>'Inputs (2)'!G6</f>
        <v>-72.162</v>
      </c>
      <c r="M58" s="12">
        <f>'Inputs (2)'!H6</f>
        <v>-246.296</v>
      </c>
      <c r="N58" s="46">
        <f>'Inputs (2)'!I6</f>
        <v>-111.936</v>
      </c>
      <c r="O58" s="46">
        <f>'Inputs (2)'!J6</f>
        <v>-108.735</v>
      </c>
      <c r="P58" s="46">
        <f>'Inputs (2)'!K6</f>
        <v>-168.509</v>
      </c>
      <c r="Q58" s="46">
        <f>'Inputs (2)'!L6</f>
        <v>-103.278</v>
      </c>
      <c r="R58" s="12">
        <f>'Inputs (2)'!M6</f>
        <v>-492.458</v>
      </c>
      <c r="S58" s="46">
        <f>'Inputs (2)'!N6</f>
        <v>-107.44</v>
      </c>
      <c r="T58" s="46">
        <f>'Inputs (2)'!O6</f>
        <v>-138.637</v>
      </c>
      <c r="U58" s="46">
        <f>'Inputs (2)'!P6</f>
        <v>-143.889</v>
      </c>
      <c r="V58" s="46">
        <f>'Inputs (2)'!Q6</f>
        <v>-114.019</v>
      </c>
      <c r="W58" s="12">
        <f>'Inputs (2)'!R6</f>
        <v>-503.985</v>
      </c>
      <c r="X58" s="46">
        <f>'Inputs (2)'!S6</f>
        <v>-158.028</v>
      </c>
      <c r="Y58" s="46">
        <f>'Inputs (2)'!T6</f>
        <v>-172.953</v>
      </c>
      <c r="Z58" s="46">
        <f>'Inputs (2)'!U6</f>
        <v>-152.078</v>
      </c>
      <c r="AA58" s="46">
        <f>'Inputs (2)'!V6</f>
        <v>-115.166</v>
      </c>
      <c r="AB58" s="12">
        <f>'Inputs (2)'!W6</f>
        <v>-598.225</v>
      </c>
      <c r="AC58" s="46">
        <f>'Inputs (2)'!X6</f>
        <v>-93.239</v>
      </c>
      <c r="AD58" s="46">
        <f>'Inputs (2)'!Y6</f>
        <v>-99.48</v>
      </c>
      <c r="AE58" s="46">
        <f>'Inputs (2)'!Z6</f>
        <v>-86.747</v>
      </c>
      <c r="AF58" s="46">
        <f>'Inputs (2)'!AA6</f>
        <v>-97.284</v>
      </c>
      <c r="AG58" s="12">
        <f>'Inputs (2)'!AB6</f>
        <v>-376.75</v>
      </c>
      <c r="AH58" s="12">
        <f>'Inputs (2)'!AC6</f>
        <v>-94.981</v>
      </c>
      <c r="AI58" s="12">
        <f>'Inputs (2)'!AD6</f>
        <v>-136.966</v>
      </c>
      <c r="AJ58" s="12">
        <f>-AJ15*AJ59</f>
        <v>-95.6059265313553</v>
      </c>
      <c r="AK58" s="12">
        <f>-AK15*AK59</f>
        <v>-98.4745873625874</v>
      </c>
      <c r="AL58" s="12">
        <f>SUM(AH58:AK58)</f>
        <v>-426.027513893943</v>
      </c>
      <c r="AM58" s="12">
        <f>-AM15*AM59</f>
        <v>-92.8053327937371</v>
      </c>
      <c r="AN58" s="12">
        <f>-AN15*AN59</f>
        <v>-128.669681117433</v>
      </c>
      <c r="AO58" s="12">
        <f>-AO15*AO59</f>
        <v>-95.980636802927</v>
      </c>
      <c r="AP58" s="12">
        <f>-AP15*AP59</f>
        <v>-98.8605408354763</v>
      </c>
      <c r="AQ58" s="12">
        <f>SUM(AM58:AP58)</f>
        <v>-416.316191549573</v>
      </c>
      <c r="AR58" s="12">
        <f>-AR15*AR59</f>
        <v>-92.8053327937371</v>
      </c>
      <c r="AS58" s="12">
        <f>-AS15*AS59</f>
        <v>-128.669681117433</v>
      </c>
      <c r="AT58" s="12">
        <f>-AT15*AT59</f>
        <v>-95.980636802927</v>
      </c>
      <c r="AU58" s="12">
        <f>-AU15*AU59</f>
        <v>-98.8605408354763</v>
      </c>
      <c r="AV58" s="12">
        <f>SUM(AR58:AU58)</f>
        <v>-416.316191549573</v>
      </c>
      <c r="AW58" s="12">
        <f>-AW15*AW59</f>
        <v>-92.8053327937371</v>
      </c>
      <c r="AX58" s="12">
        <f>-AX15*AX59</f>
        <v>-128.669681117433</v>
      </c>
      <c r="AY58" s="12">
        <f>-AY15*AY59</f>
        <v>-95.980636802927</v>
      </c>
      <c r="AZ58" s="12">
        <f>-AZ15*AZ59</f>
        <v>-98.8605408354763</v>
      </c>
      <c r="BA58" s="12">
        <f>SUM(AW58:AZ58)</f>
        <v>-416.316191549573</v>
      </c>
      <c r="BB58" s="12">
        <f>-BB15*BB59</f>
        <v>-92.8053327937371</v>
      </c>
      <c r="BC58" s="12">
        <f>-BC15*BC59</f>
        <v>-128.669681117433</v>
      </c>
      <c r="BD58" s="12">
        <f>-BD15*BD59</f>
        <v>-95.980636802927</v>
      </c>
      <c r="BE58" s="12">
        <f>-BE15*BE59</f>
        <v>-98.8605408354763</v>
      </c>
      <c r="BF58" s="12">
        <f>SUM(BB58:BE58)</f>
        <v>-416.316191549573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0.00342253074730904</v>
      </c>
      <c r="J59" s="51">
        <f>IFERROR(-(J58/J$15),"")</f>
        <v>0.00482818992466223</v>
      </c>
      <c r="K59" s="51">
        <f>IFERROR(-(K58/K$15),"")</f>
        <v>0.0088612612457911</v>
      </c>
      <c r="L59" s="51">
        <f>IFERROR(-(L58/L$15),"")</f>
        <v>0.00663207532343568</v>
      </c>
      <c r="M59" s="51">
        <f>IFERROR(-(M58/M$15),"")</f>
        <v>0.0060644401676137</v>
      </c>
      <c r="N59" s="51">
        <f>IFERROR(-(N58/N$15),"")</f>
        <v>0.0108332975242989</v>
      </c>
      <c r="O59" s="51">
        <f>IFERROR(-(O58/O$15),"")</f>
        <v>0.00827654774906217</v>
      </c>
      <c r="P59" s="51">
        <f>IFERROR(-(P58/P$15),"")</f>
        <v>0.0125373151207495</v>
      </c>
      <c r="Q59" s="51">
        <f>IFERROR(-(Q58/Q$15),"")</f>
        <v>0.00809018506343375</v>
      </c>
      <c r="R59" s="51">
        <f>IFERROR(-(R58/R$15),"")</f>
        <v>0.00991324955490243</v>
      </c>
      <c r="S59" s="51">
        <f>IFERROR(-(S58/S$15),"")</f>
        <v>0.00950220609669468</v>
      </c>
      <c r="T59" s="51">
        <f>IFERROR(-(T58/T$15),"")</f>
        <v>0.0115280568825128</v>
      </c>
      <c r="U59" s="51">
        <f>IFERROR(-(U58/U$15),"")</f>
        <v>0.0151601482879102</v>
      </c>
      <c r="V59" s="51">
        <f>IFERROR(-(V58/V$15),"")</f>
        <v>0.0100098694912972</v>
      </c>
      <c r="W59" s="51">
        <f>IFERROR(-(W58/W$15),"")</f>
        <v>0.0113985529242082</v>
      </c>
      <c r="X59" s="51">
        <f>IFERROR(-(X58/X$15),"")</f>
        <v>0.0173896393719711</v>
      </c>
      <c r="Y59" s="51">
        <f>IFERROR(-(Y58/Y$15),"")</f>
        <v>0.0179990952216275</v>
      </c>
      <c r="Z59" s="51">
        <f>IFERROR(-(Z58/Z$15),"")</f>
        <v>0.0165768704706768</v>
      </c>
      <c r="AA59" s="51">
        <f>IFERROR(-(AA58/AA$15),"")</f>
        <v>0.0123912860098953</v>
      </c>
      <c r="AB59" s="51">
        <f>IFERROR(-(AB58/AB$15),"")</f>
        <v>0.0160965990211729</v>
      </c>
      <c r="AC59" s="51">
        <f>IFERROR(-(AC58/AC$15),"")</f>
        <v>0.0119595581996388</v>
      </c>
      <c r="AD59" s="51">
        <f>IFERROR(-(AD58/AD$15),"")</f>
        <v>0.0101859217414445</v>
      </c>
      <c r="AE59" s="51">
        <f>IFERROR(-(AE58/AE$15),"")</f>
        <v>0.0100799638944703</v>
      </c>
      <c r="AF59" s="41">
        <f>IFERROR(-(AF58/AF$15),"")</f>
        <v>0.0109750517367576</v>
      </c>
      <c r="AG59" s="51">
        <f>IFERROR(-(AG58/AG$15),"")</f>
        <v>0.0107542688809851</v>
      </c>
      <c r="AH59" s="52">
        <f>IFERROR(-(AH58/AH$15),"")</f>
        <v>0.0113698080308689</v>
      </c>
      <c r="AI59" s="52">
        <f>IFERROR(-(AI58/AI$15),"")</f>
        <v>0.0118256732442654</v>
      </c>
      <c r="AJ59" s="52">
        <f>Control!$B$20</f>
        <v>0.0110659961412409</v>
      </c>
      <c r="AK59" s="52">
        <f>Control!$B$20</f>
        <v>0.0110659961412409</v>
      </c>
      <c r="AL59" s="51">
        <f>IFERROR(-(AL58/AL$15),"")</f>
        <v>0.0113685132584667</v>
      </c>
      <c r="AM59" s="52">
        <f>Control!$C$20</f>
        <v>0.0110659961412409</v>
      </c>
      <c r="AN59" s="52">
        <f>Control!$C$20</f>
        <v>0.0110659961412409</v>
      </c>
      <c r="AO59" s="52">
        <f>Control!$C$20</f>
        <v>0.0110659961412409</v>
      </c>
      <c r="AP59" s="52">
        <f>Control!$C$20</f>
        <v>0.0110659961412409</v>
      </c>
      <c r="AQ59" s="51">
        <f>IFERROR(-(AQ58/AQ$15),"")</f>
        <v>0.0110659961412409</v>
      </c>
      <c r="AR59" s="52">
        <f>Control!$D$20</f>
        <v>0.0110659961412409</v>
      </c>
      <c r="AS59" s="52">
        <f>Control!$D$20</f>
        <v>0.0110659961412409</v>
      </c>
      <c r="AT59" s="52">
        <f>Control!$D$20</f>
        <v>0.0110659961412409</v>
      </c>
      <c r="AU59" s="52">
        <f>Control!$D$20</f>
        <v>0.0110659961412409</v>
      </c>
      <c r="AV59" s="51">
        <f>IFERROR(-(AV58/AV$15),"")</f>
        <v>0.0110659961412409</v>
      </c>
      <c r="AW59" s="52">
        <f>Control!$E$20</f>
        <v>0.0110659961412409</v>
      </c>
      <c r="AX59" s="52">
        <f>Control!$E$20</f>
        <v>0.0110659961412409</v>
      </c>
      <c r="AY59" s="52">
        <f>Control!$E$20</f>
        <v>0.0110659961412409</v>
      </c>
      <c r="AZ59" s="52">
        <f>Control!$E$20</f>
        <v>0.0110659961412409</v>
      </c>
      <c r="BA59" s="51">
        <f>IFERROR(-(BA58/BA$15),"")</f>
        <v>0.0110659961412409</v>
      </c>
      <c r="BB59" s="52">
        <f>Control!$F$20</f>
        <v>0.0110659961412409</v>
      </c>
      <c r="BC59" s="52">
        <f>Control!$F$20</f>
        <v>0.0110659961412409</v>
      </c>
      <c r="BD59" s="52">
        <f>Control!$F$20</f>
        <v>0.0110659961412409</v>
      </c>
      <c r="BE59" s="52">
        <f>Control!$F$20</f>
        <v>0.0110659961412409</v>
      </c>
      <c r="BF59" s="51">
        <f>IFERROR(-(BF58/BF$15),"")</f>
        <v>0.0110659961412409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73.2439999999994</v>
      </c>
      <c r="J69" s="35">
        <f>SUM(J15,J54,J58)</f>
        <v>261.856000000001</v>
      </c>
      <c r="K69" s="35">
        <f>SUM(K15,K54,K58)</f>
        <v>264.060999999998</v>
      </c>
      <c r="L69" s="35">
        <f>SUM(L15,L54,L58)</f>
        <v>447.745999999999</v>
      </c>
      <c r="M69" s="35">
        <f>SUM(I69:L69)</f>
        <v>1046.907</v>
      </c>
      <c r="N69" s="35">
        <f>SUM(N15,N54,N58)</f>
        <v>157.062</v>
      </c>
      <c r="O69" s="35">
        <f>SUM(O15,O54,O58)</f>
        <v>535.522</v>
      </c>
      <c r="P69" s="35">
        <f>SUM(P15,P54,P58)</f>
        <v>525.249</v>
      </c>
      <c r="Q69" s="35">
        <f>SUM(Q15,Q54,Q58)</f>
        <v>775.857</v>
      </c>
      <c r="R69" s="35">
        <f>SUM(N69:Q69)</f>
        <v>1993.69</v>
      </c>
      <c r="S69" s="35">
        <f>SUM(S15,S54,S58)</f>
        <v>276.827</v>
      </c>
      <c r="T69" s="35">
        <f>SUM(T15,T54,T58)</f>
        <v>535.703</v>
      </c>
      <c r="U69" s="35">
        <f>SUM(U15,U54,U58)</f>
        <v>294.633999999999</v>
      </c>
      <c r="V69" s="35">
        <f>SUM(V15,V54,V58)</f>
        <v>530.930999999999</v>
      </c>
      <c r="W69" s="35">
        <f>SUM(S69:V69)</f>
        <v>1638.095</v>
      </c>
      <c r="X69" s="35">
        <f>SUM(X15,X54,X58)</f>
        <v>207.864</v>
      </c>
      <c r="Y69" s="35">
        <f>SUM(Y15,Y54,Y58)</f>
        <v>294.842</v>
      </c>
      <c r="Z69" s="35">
        <f>SUM(Z15,Z54,Z58)</f>
        <v>120.612000000001</v>
      </c>
      <c r="AA69" s="35">
        <f>SUM(AA15,AA54,AA58)</f>
        <v>285.51</v>
      </c>
      <c r="AB69" s="35">
        <f>SUM(X69:AA69)</f>
        <v>908.828</v>
      </c>
      <c r="AC69" s="35">
        <f>SUM(AC15,AC54,AC58)</f>
        <v>-16.9240000000004</v>
      </c>
      <c r="AD69" s="35">
        <f>SUM(AD15,AD54,AD58)</f>
        <v>230.331</v>
      </c>
      <c r="AE69" s="35">
        <f>SUM(AE15,AE54,AE58)</f>
        <v>243.265000000001</v>
      </c>
      <c r="AF69" s="35">
        <f>SUM(AF15,AF54,AF58)</f>
        <v>292.067999999999</v>
      </c>
      <c r="AG69" s="35">
        <f>SUM(AC69:AF69)</f>
        <v>748.739999999999</v>
      </c>
      <c r="AH69" s="35">
        <f>SUM(AH15,AH54,AH58)</f>
        <v>-69.1630000000007</v>
      </c>
      <c r="AI69" s="35">
        <f>SUM(AI15,AI54,AI58)</f>
        <v>273.654000000001</v>
      </c>
      <c r="AJ69" s="35">
        <f>SUM(AJ15,AJ54,AJ58)</f>
        <v>141.082130899233</v>
      </c>
      <c r="AK69" s="35">
        <f>SUM(AK15,AK54,AK58)</f>
        <v>145.31530762353</v>
      </c>
      <c r="AL69" s="35">
        <f>SUM(AH69:AK69)</f>
        <v>490.888438522764</v>
      </c>
      <c r="AM69" s="35">
        <f>SUM(AM15,AM54,AM58)</f>
        <v>136.949398268305</v>
      </c>
      <c r="AN69" s="35">
        <f>SUM(AN15,AN54,AN58)</f>
        <v>189.87309106009</v>
      </c>
      <c r="AO69" s="35">
        <f>SUM(AO15,AO54,AO58)</f>
        <v>141.635076992651</v>
      </c>
      <c r="AP69" s="35">
        <f>SUM(AP15,AP54,AP58)</f>
        <v>145.884844893433</v>
      </c>
      <c r="AQ69" s="35">
        <f>SUM(AM69:AP69)</f>
        <v>614.342411214479</v>
      </c>
      <c r="AR69" s="35">
        <f>SUM(AR15,AR54,AR58)</f>
        <v>136.949398268305</v>
      </c>
      <c r="AS69" s="35">
        <f>SUM(AS15,AS54,AS58)</f>
        <v>189.87309106009</v>
      </c>
      <c r="AT69" s="35">
        <f>SUM(AT15,AT54,AT58)</f>
        <v>141.635076992651</v>
      </c>
      <c r="AU69" s="35">
        <f>SUM(AU15,AU54,AU58)</f>
        <v>145.884844893433</v>
      </c>
      <c r="AV69" s="35">
        <f>SUM(AR69:AU69)</f>
        <v>614.342411214479</v>
      </c>
      <c r="AW69" s="35">
        <f>SUM(AW15,AW54,AW58)</f>
        <v>136.949398268305</v>
      </c>
      <c r="AX69" s="35">
        <f>SUM(AX15,AX54,AX58)</f>
        <v>189.87309106009</v>
      </c>
      <c r="AY69" s="35">
        <f>SUM(AY15,AY54,AY58)</f>
        <v>141.635076992651</v>
      </c>
      <c r="AZ69" s="35">
        <f>SUM(AZ15,AZ54,AZ58)</f>
        <v>145.884844893433</v>
      </c>
      <c r="BA69" s="35">
        <f>SUM(AW69:AZ69)</f>
        <v>614.342411214479</v>
      </c>
      <c r="BB69" s="35">
        <f>SUM(BB15,BB54,BB58)</f>
        <v>136.949398268305</v>
      </c>
      <c r="BC69" s="35">
        <f>SUM(BC15,BC54,BC58)</f>
        <v>189.87309106009</v>
      </c>
      <c r="BD69" s="35">
        <f>SUM(BD15,BD54,BD58)</f>
        <v>141.635076992651</v>
      </c>
      <c r="BE69" s="35">
        <f>SUM(BE15,BE54,BE58)</f>
        <v>145.884844893433</v>
      </c>
      <c r="BF69" s="35">
        <f>SUM(BB69:BE69)</f>
        <v>614.342411214479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-133.034</v>
      </c>
      <c r="J70" s="46">
        <f>'Inputs (2)'!E7</f>
        <v>-133.931</v>
      </c>
      <c r="K70" s="46">
        <f>'Inputs (2)'!F7</f>
        <v>-133.841</v>
      </c>
      <c r="L70" s="46">
        <f>'Inputs (2)'!G7</f>
        <v>-132.772</v>
      </c>
      <c r="M70" s="12">
        <f>'Inputs (2)'!H7</f>
        <v>-533.578</v>
      </c>
      <c r="N70" s="46">
        <f>'Inputs (2)'!I7</f>
        <v>-132.389</v>
      </c>
      <c r="O70" s="46">
        <f>'Inputs (2)'!J7</f>
        <v>-134.401</v>
      </c>
      <c r="P70" s="46">
        <f>'Inputs (2)'!K7</f>
        <v>-136.931</v>
      </c>
      <c r="Q70" s="46">
        <f>'Inputs (2)'!L7</f>
        <v>-131.388</v>
      </c>
      <c r="R70" s="12">
        <f>'Inputs (2)'!M7</f>
        <v>-535.109</v>
      </c>
      <c r="S70" s="46">
        <f>'Inputs (2)'!N7</f>
        <v>-134.485</v>
      </c>
      <c r="T70" s="46">
        <f>'Inputs (2)'!O7</f>
        <v>-134.601</v>
      </c>
      <c r="U70" s="46">
        <f>'Inputs (2)'!P7</f>
        <v>-139.047</v>
      </c>
      <c r="V70" s="46">
        <f>'Inputs (2)'!Q7</f>
        <v>-138.037</v>
      </c>
      <c r="W70" s="12">
        <f>'Inputs (2)'!R7</f>
        <v>-546.17</v>
      </c>
      <c r="X70" s="46">
        <f>'Inputs (2)'!S7</f>
        <v>-140.202</v>
      </c>
      <c r="Y70" s="46">
        <f>'Inputs (2)'!T7</f>
        <v>-143.482</v>
      </c>
      <c r="Z70" s="46">
        <f>'Inputs (2)'!U7</f>
        <v>-148.17</v>
      </c>
      <c r="AA70" s="46">
        <f>'Inputs (2)'!V7</f>
        <v>-147.684</v>
      </c>
      <c r="AB70" s="12">
        <f>'Inputs (2)'!W7</f>
        <v>-579.538</v>
      </c>
      <c r="AC70" s="46">
        <f>'Inputs (2)'!X7</f>
        <v>-155.029</v>
      </c>
      <c r="AD70" s="46">
        <f>'Inputs (2)'!Y7</f>
        <v>-159.37</v>
      </c>
      <c r="AE70" s="46">
        <f>'Inputs (2)'!Z7</f>
        <v>-189.344</v>
      </c>
      <c r="AF70" s="46">
        <f>'Inputs (2)'!AA7</f>
        <v>-170.836</v>
      </c>
      <c r="AG70" s="12">
        <f>'Inputs (2)'!AB7</f>
        <v>-674.579</v>
      </c>
      <c r="AH70" s="12">
        <f>'Inputs (2)'!AC7</f>
        <v>-172.628</v>
      </c>
      <c r="AI70" s="12">
        <f>'Inputs (2)'!AD7</f>
        <v>-165.317</v>
      </c>
      <c r="AJ70" s="12">
        <f>-AJ71*AJ15</f>
        <v>-161.871786228807</v>
      </c>
      <c r="AK70" s="12">
        <f>-AK71*AK15</f>
        <v>-166.728757649757</v>
      </c>
      <c r="AL70" s="12">
        <f>SUM(AH70:AK70)</f>
        <v>-666.545543878564</v>
      </c>
      <c r="AM70" s="12">
        <f>-AM71*AM15</f>
        <v>-157.13006019511</v>
      </c>
      <c r="AN70" s="12">
        <f>-AN71*AN15</f>
        <v>-217.852510525476</v>
      </c>
      <c r="AO70" s="12">
        <f>-AO71*AO15</f>
        <v>-162.506213645372</v>
      </c>
      <c r="AP70" s="12">
        <f>-AP71*AP15</f>
        <v>-167.382221094172</v>
      </c>
      <c r="AQ70" s="12">
        <f>SUM(AM70:AP70)</f>
        <v>-704.871005460131</v>
      </c>
      <c r="AR70" s="12">
        <f>-AR71*AR15</f>
        <v>-157.13006019511</v>
      </c>
      <c r="AS70" s="12">
        <f>-AS71*AS15</f>
        <v>-217.852510525476</v>
      </c>
      <c r="AT70" s="12">
        <f>-AT71*AT15</f>
        <v>-162.506213645372</v>
      </c>
      <c r="AU70" s="12">
        <f>-AU71*AU15</f>
        <v>-167.382221094172</v>
      </c>
      <c r="AV70" s="12">
        <f>SUM(AR70:AU70)</f>
        <v>-704.871005460131</v>
      </c>
      <c r="AW70" s="12">
        <f>-AW71*AW15</f>
        <v>-157.13006019511</v>
      </c>
      <c r="AX70" s="12">
        <f>-AX71*AX15</f>
        <v>-217.852510525476</v>
      </c>
      <c r="AY70" s="12">
        <f>-AY71*AY15</f>
        <v>-162.506213645372</v>
      </c>
      <c r="AZ70" s="12">
        <f>-AZ71*AZ15</f>
        <v>-167.382221094172</v>
      </c>
      <c r="BA70" s="12">
        <f>SUM(AW70:AZ70)</f>
        <v>-704.871005460131</v>
      </c>
      <c r="BB70" s="12">
        <f>-BB71*BB15</f>
        <v>-157.13006019511</v>
      </c>
      <c r="BC70" s="12">
        <f>-BC71*BC15</f>
        <v>-217.852510525476</v>
      </c>
      <c r="BD70" s="12">
        <f>-BD71*BD15</f>
        <v>-162.506213645372</v>
      </c>
      <c r="BE70" s="12">
        <f>-BE71*BE15</f>
        <v>-167.382221094172</v>
      </c>
      <c r="BF70" s="12">
        <f>SUM(BB70:BE70)</f>
        <v>-704.871005460131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0.0159893578956844</v>
      </c>
      <c r="J71" s="53">
        <f>IFERROR(-J70/J15,"")</f>
        <v>0.0122535493216088</v>
      </c>
      <c r="K71" s="53">
        <f>IFERROR(-K70/K15,"")</f>
        <v>0.012768340400038</v>
      </c>
      <c r="L71" s="53">
        <f>IFERROR(-L70/L15,"")</f>
        <v>0.0122024598104709</v>
      </c>
      <c r="M71" s="53" t="n"/>
      <c r="N71" s="53">
        <f>IFERROR(-N70/N15,"")</f>
        <v>0.0128127628818646</v>
      </c>
      <c r="O71" s="53">
        <f>IFERROR(-O70/O15,"")</f>
        <v>0.010230158587591</v>
      </c>
      <c r="P71" s="53">
        <f>IFERROR(-P70/P15,"")</f>
        <v>0.0101878659110157</v>
      </c>
      <c r="Q71" s="53">
        <f>IFERROR(-Q70/Q15,"")</f>
        <v>0.0102921554940494</v>
      </c>
      <c r="R71" s="53" t="n"/>
      <c r="S71" s="53">
        <f>IFERROR(-S70/S15,"")</f>
        <v>0.0118941193867646</v>
      </c>
      <c r="T71" s="53">
        <f>IFERROR(-T70/T15,"")</f>
        <v>0.0111924521191537</v>
      </c>
      <c r="U71" s="53">
        <f>IFERROR(-U70/U15,"")</f>
        <v>0.0146499950586149</v>
      </c>
      <c r="V71" s="53">
        <f>IFERROR(-V70/V15,"")</f>
        <v>0.0121184395142054</v>
      </c>
      <c r="W71" s="53" t="n"/>
      <c r="X71" s="53">
        <f>IFERROR(-X70/X15,"")</f>
        <v>0.015428039456483</v>
      </c>
      <c r="Y71" s="53">
        <f>IFERROR(-Y70/Y15,"")</f>
        <v>0.0149320692939097</v>
      </c>
      <c r="Z71" s="53">
        <f>IFERROR(-Z70/Z15,"")</f>
        <v>0.0161508890019607</v>
      </c>
      <c r="AA71" s="53">
        <f>IFERROR(-AA70/AA15,"")</f>
        <v>0.0158900602876316</v>
      </c>
      <c r="AB71" s="53" t="n"/>
      <c r="AC71" s="53">
        <f>IFERROR(-AC70/AC15,"")</f>
        <v>0.0198852234379584</v>
      </c>
      <c r="AD71" s="53">
        <f>IFERROR(-AD70/AD15,"")</f>
        <v>0.0163181579004223</v>
      </c>
      <c r="AE71" s="53">
        <f>IFERROR(-AE70/AE15,"")</f>
        <v>0.0220016909361084</v>
      </c>
      <c r="AF71" s="55">
        <f>IFERROR(-AF70/AF15,"")</f>
        <v>0.0192727883156606</v>
      </c>
      <c r="AG71" s="53" t="n"/>
      <c r="AH71" s="55">
        <f>IFERROR(-AH70/AH15,"")</f>
        <v>0.0206646299865534</v>
      </c>
      <c r="AI71" s="55">
        <f>IFERROR(-AI70/AI15,"")</f>
        <v>0.014273504546546</v>
      </c>
      <c r="AJ71" s="55">
        <f>Control!$B$21</f>
        <v>0.0187359991872082</v>
      </c>
      <c r="AK71" s="55">
        <f>Control!$B$21</f>
        <v>0.0187359991872082</v>
      </c>
      <c r="AL71" s="53" t="n"/>
      <c r="AM71" s="55">
        <f>Control!$C$21</f>
        <v>0.0187359991872082</v>
      </c>
      <c r="AN71" s="55">
        <f>Control!$C$21</f>
        <v>0.0187359991872082</v>
      </c>
      <c r="AO71" s="55">
        <f>Control!$C$21</f>
        <v>0.0187359991872082</v>
      </c>
      <c r="AP71" s="55">
        <f>Control!$C$21</f>
        <v>0.0187359991872082</v>
      </c>
      <c r="AQ71" s="53" t="n"/>
      <c r="AR71" s="55">
        <f>Control!$D$21</f>
        <v>0.0187359991872082</v>
      </c>
      <c r="AS71" s="55">
        <f>Control!$D$21</f>
        <v>0.0187359991872082</v>
      </c>
      <c r="AT71" s="55">
        <f>Control!$D$21</f>
        <v>0.0187359991872082</v>
      </c>
      <c r="AU71" s="55">
        <f>Control!$D$21</f>
        <v>0.0187359991872082</v>
      </c>
      <c r="AV71" s="53" t="n"/>
      <c r="AW71" s="55">
        <f>Control!$E$21</f>
        <v>0.0187359991872082</v>
      </c>
      <c r="AX71" s="55">
        <f>Control!$E$21</f>
        <v>0.0187359991872082</v>
      </c>
      <c r="AY71" s="55">
        <f>Control!$E$21</f>
        <v>0.0187359991872082</v>
      </c>
      <c r="AZ71" s="55">
        <f>Control!$E$21</f>
        <v>0.0187359991872082</v>
      </c>
      <c r="BA71" s="53" t="n"/>
      <c r="BB71" s="55">
        <f>Control!$F$21</f>
        <v>0.0187359991872082</v>
      </c>
      <c r="BC71" s="55">
        <f>Control!$F$21</f>
        <v>0.0187359991872082</v>
      </c>
      <c r="BD71" s="55">
        <f>Control!$F$21</f>
        <v>0.0187359991872082</v>
      </c>
      <c r="BE71" s="55">
        <f>Control!$F$21</f>
        <v>0.0187359991872082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-59.7900000000006</v>
      </c>
      <c r="J73" s="35">
        <f>SUM(J69,J70)</f>
        <v>127.925000000001</v>
      </c>
      <c r="K73" s="35">
        <f>SUM(K69,K70)</f>
        <v>130.219999999998</v>
      </c>
      <c r="L73" s="35">
        <f>SUM(L69,L70)</f>
        <v>314.973999999999</v>
      </c>
      <c r="M73" s="35">
        <f>SUM(I73:L73)</f>
        <v>513.328999999998</v>
      </c>
      <c r="N73" s="35">
        <f>SUM(N69,N70)</f>
        <v>24.6729999999996</v>
      </c>
      <c r="O73" s="35">
        <f>SUM(O69,O70)</f>
        <v>401.121</v>
      </c>
      <c r="P73" s="35">
        <f>SUM(P69,P70)</f>
        <v>388.318</v>
      </c>
      <c r="Q73" s="35">
        <f>SUM(Q69,Q70)</f>
        <v>644.469</v>
      </c>
      <c r="R73" s="35">
        <f>SUM(N73:Q73)</f>
        <v>1458.581</v>
      </c>
      <c r="S73" s="35">
        <f>SUM(S69,S70)</f>
        <v>142.342</v>
      </c>
      <c r="T73" s="35">
        <f>SUM(T69,T70)</f>
        <v>401.102</v>
      </c>
      <c r="U73" s="35">
        <f>SUM(U69,U70)</f>
        <v>155.586999999999</v>
      </c>
      <c r="V73" s="35">
        <f>SUM(V69,V70)</f>
        <v>392.893999999999</v>
      </c>
      <c r="W73" s="35">
        <f>SUM(S73:V73)</f>
        <v>1091.925</v>
      </c>
      <c r="X73" s="35">
        <f>SUM(X69,X70)</f>
        <v>67.6619999999998</v>
      </c>
      <c r="Y73" s="35">
        <f>SUM(Y69,Y70)</f>
        <v>151.36</v>
      </c>
      <c r="Z73" s="35">
        <f>SUM(Z69,Z70)</f>
        <v>-27.5579999999995</v>
      </c>
      <c r="AA73" s="35">
        <f>SUM(AA69,AA70)</f>
        <v>137.825999999999</v>
      </c>
      <c r="AB73" s="35">
        <f>SUM(X73:AA73)</f>
        <v>329.29</v>
      </c>
      <c r="AC73" s="35">
        <f>SUM(AC69,AC70)</f>
        <v>-171.953</v>
      </c>
      <c r="AD73" s="35">
        <f>SUM(AD69,AD70)</f>
        <v>70.9609999999997</v>
      </c>
      <c r="AE73" s="35">
        <f>SUM(AE69,AE70)</f>
        <v>53.9210000000006</v>
      </c>
      <c r="AF73" s="35">
        <f>SUM(AF69,AF70)</f>
        <v>121.231999999999</v>
      </c>
      <c r="AG73" s="35">
        <f>SUM(AC73:AF73)</f>
        <v>74.1609999999988</v>
      </c>
      <c r="AH73" s="35">
        <f>SUM(AH69,AH70)</f>
        <v>-241.791000000001</v>
      </c>
      <c r="AI73" s="35">
        <f>SUM(AI69,AI70)</f>
        <v>108.337000000001</v>
      </c>
      <c r="AJ73" s="35">
        <f>SUM(AJ69,AJ70)</f>
        <v>-20.7896553295741</v>
      </c>
      <c r="AK73" s="35">
        <f>SUM(AK69,AK70)</f>
        <v>-21.4134500262265</v>
      </c>
      <c r="AL73" s="35">
        <f>SUM(AL69,AL70)</f>
        <v>-175.6571053558</v>
      </c>
      <c r="AM73" s="35">
        <f>SUM(AM69,AM70)</f>
        <v>-20.1806619268052</v>
      </c>
      <c r="AN73" s="35">
        <f>SUM(AN69,AN70)</f>
        <v>-27.9794194653855</v>
      </c>
      <c r="AO73" s="35">
        <f>SUM(AO69,AO70)</f>
        <v>-20.8711366527214</v>
      </c>
      <c r="AP73" s="35">
        <f>SUM(AP69,AP70)</f>
        <v>-21.4973762007393</v>
      </c>
      <c r="AQ73" s="35">
        <f>SUM(AQ69,AQ70)</f>
        <v>-90.5285942456516</v>
      </c>
      <c r="AR73" s="35">
        <f>SUM(AR69,AR70)</f>
        <v>-20.1806619268052</v>
      </c>
      <c r="AS73" s="35">
        <f>SUM(AS69,AS70)</f>
        <v>-27.9794194653855</v>
      </c>
      <c r="AT73" s="35">
        <f>SUM(AT69,AT70)</f>
        <v>-20.8711366527214</v>
      </c>
      <c r="AU73" s="35">
        <f>SUM(AU69,AU70)</f>
        <v>-21.4973762007393</v>
      </c>
      <c r="AV73" s="35">
        <f>SUM(AV69,AV70)</f>
        <v>-90.5285942456516</v>
      </c>
      <c r="AW73" s="35">
        <f>SUM(AW69,AW70)</f>
        <v>-20.1806619268052</v>
      </c>
      <c r="AX73" s="35">
        <f>SUM(AX69,AX70)</f>
        <v>-27.9794194653855</v>
      </c>
      <c r="AY73" s="35">
        <f>SUM(AY69,AY70)</f>
        <v>-20.8711366527214</v>
      </c>
      <c r="AZ73" s="35">
        <f>SUM(AZ69,AZ70)</f>
        <v>-21.4973762007393</v>
      </c>
      <c r="BA73" s="35">
        <f>SUM(BA69,BA70)</f>
        <v>-90.5285942456516</v>
      </c>
      <c r="BB73" s="35">
        <f>SUM(BB69,BB70)</f>
        <v>-20.1806619268052</v>
      </c>
      <c r="BC73" s="35">
        <f>SUM(BC69,BC70)</f>
        <v>-27.9794194653855</v>
      </c>
      <c r="BD73" s="35">
        <f>SUM(BD69,BD70)</f>
        <v>-20.8711366527214</v>
      </c>
      <c r="BE73" s="35">
        <f>SUM(BE69,BE70)</f>
        <v>-21.4973762007393</v>
      </c>
      <c r="BF73" s="35">
        <f>SUM(BF69,BF70)</f>
        <v>-90.5285942456516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-28.855</v>
      </c>
      <c r="J74" s="46">
        <f>'Inputs (2)'!E8</f>
        <v>-28.992</v>
      </c>
      <c r="K74" s="46">
        <f>'Inputs (2)'!F8</f>
        <v>-21.668</v>
      </c>
      <c r="L74" s="46">
        <f>'Inputs (2)'!G8</f>
        <v>-23.432</v>
      </c>
      <c r="M74" s="12">
        <f>'Inputs (2)'!H8</f>
        <v>-102.947</v>
      </c>
      <c r="N74" s="46">
        <f>'Inputs (2)'!I8</f>
        <v>-25.174</v>
      </c>
      <c r="O74" s="46">
        <f>'Inputs (2)'!J8</f>
        <v>-32.099</v>
      </c>
      <c r="P74" s="46">
        <f>'Inputs (2)'!K8</f>
        <v>-33.451</v>
      </c>
      <c r="Q74" s="46">
        <f>'Inputs (2)'!L8</f>
        <v>-33.25</v>
      </c>
      <c r="R74" s="12">
        <f>'Inputs (2)'!M8</f>
        <v>-123.974</v>
      </c>
      <c r="S74" s="46">
        <f>'Inputs (2)'!N8</f>
        <v>-35.967</v>
      </c>
      <c r="T74" s="46">
        <f>'Inputs (2)'!O8</f>
        <v>-36.949</v>
      </c>
      <c r="U74" s="46">
        <f>'Inputs (2)'!P8</f>
        <v>-31.242</v>
      </c>
      <c r="V74" s="46">
        <f>'Inputs (2)'!Q8</f>
        <v>-29.628</v>
      </c>
      <c r="W74" s="12">
        <f>'Inputs (2)'!R8</f>
        <v>-133.786</v>
      </c>
      <c r="X74" s="46">
        <f>'Inputs (2)'!S8</f>
        <v>-25.46</v>
      </c>
      <c r="Y74" s="46">
        <f>'Inputs (2)'!T8</f>
        <v>-23.425</v>
      </c>
      <c r="Z74" s="46">
        <f>'Inputs (2)'!U8</f>
        <v>-25.551</v>
      </c>
      <c r="AA74" s="46">
        <f>'Inputs (2)'!V8</f>
        <v>-27.648</v>
      </c>
      <c r="AB74" s="12">
        <f>'Inputs (2)'!W8</f>
        <v>-102.084</v>
      </c>
      <c r="AC74" s="46">
        <f>'Inputs (2)'!X8</f>
        <v>-25.205</v>
      </c>
      <c r="AD74" s="46">
        <f>'Inputs (2)'!Y8</f>
        <v>-44.109</v>
      </c>
      <c r="AE74" s="46">
        <f>'Inputs (2)'!Z8</f>
        <v>-49.117</v>
      </c>
      <c r="AF74" s="46">
        <f>'Inputs (2)'!AA8</f>
        <v>-37.351</v>
      </c>
      <c r="AG74" s="12">
        <f>'Inputs (2)'!AB8</f>
        <v>-155.782</v>
      </c>
      <c r="AH74" s="12">
        <f>'Inputs (2)'!AC8</f>
        <v>-43.757</v>
      </c>
      <c r="AI74" s="12">
        <f>'Inputs (2)'!AD8</f>
        <v>-49.725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-93.482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0.0162828952009051</v>
      </c>
      <c r="J75" s="53">
        <f>IFERROR(-J74/SUM(J212+J217),"")</f>
        <v>0.0163815953409188</v>
      </c>
      <c r="K75" s="53">
        <f>IFERROR(-K74/SUM(K212+K217),"")</f>
        <v>0.0133888545262769</v>
      </c>
      <c r="L75" s="53">
        <f>IFERROR(-L74/SUM(L212+L217),"")</f>
        <v>0.0145079722025469</v>
      </c>
      <c r="M75" s="12" t="n"/>
      <c r="N75" s="53">
        <f>IFERROR(-N74/SUM(N212+N217),"")</f>
        <v>0.0128129760521436</v>
      </c>
      <c r="O75" s="53">
        <f>IFERROR(-O74/SUM(O212+O217),"")</f>
        <v>0.0163596211584909</v>
      </c>
      <c r="P75" s="53">
        <f>IFERROR(-P74/SUM(P212+P217),"")</f>
        <v>0.0170771701652122</v>
      </c>
      <c r="Q75" s="53">
        <f>IFERROR(-Q74/SUM(Q212+Q217),"")</f>
        <v>0.0169812149459206</v>
      </c>
      <c r="R75" s="12" t="n"/>
      <c r="S75" s="53">
        <f>IFERROR(-S74/SUM(S212+S217),"")</f>
        <v>0.0184057368051792</v>
      </c>
      <c r="T75" s="53">
        <f>IFERROR(-T74/SUM(T212+T217),"")</f>
        <v>0.0189263088447417</v>
      </c>
      <c r="U75" s="53">
        <f>IFERROR(-U74/SUM(U212+U217),"")</f>
        <v>0.0170940077410544</v>
      </c>
      <c r="V75" s="53">
        <f>IFERROR(-V74/SUM(V212+V217),"")</f>
        <v>0.0162294960738182</v>
      </c>
      <c r="W75" s="12" t="n"/>
      <c r="X75" s="53">
        <f>IFERROR(-X74/SUM(X212+X217),"")</f>
        <v>0.0139229534598211</v>
      </c>
      <c r="Y75" s="53">
        <f>IFERROR(-Y74/SUM(Y212+Y217),"")</f>
        <v>0.0128258266430062</v>
      </c>
      <c r="Z75" s="53">
        <f>IFERROR(-Z74/SUM(Z212+Z217),"")</f>
        <v>0.0118211764270447</v>
      </c>
      <c r="AA75" s="53">
        <f>IFERROR(-AA74/SUM(AA212+AA217),"")</f>
        <v>0.0128051813557893</v>
      </c>
      <c r="AB75" s="12" t="n"/>
      <c r="AC75" s="53">
        <f>IFERROR(-AC74/SUM(AC212+AC217),"")</f>
        <v>0.0124992933349335</v>
      </c>
      <c r="AD75" s="53">
        <f>IFERROR(-AD74/SUM(AD212+AD217),"")</f>
        <v>0.0218778690244313</v>
      </c>
      <c r="AE75" s="53">
        <f>IFERROR(-AE74/SUM(AE212+AE217),"")</f>
        <v>0.0267546122114593</v>
      </c>
      <c r="AF75" s="55">
        <f>IFERROR(-AF74/SUM(AF212+AF217),"")</f>
        <v>0.0204094679910518</v>
      </c>
      <c r="AG75" s="12" t="n"/>
      <c r="AH75" s="11">
        <f>IFERROR(-AH74/SUM(AH212+AH217),"")</f>
        <v>0.0205173771967665</v>
      </c>
      <c r="AI75" s="11">
        <f>IFERROR(-AI74/SUM(AI212+AI217),"")</f>
        <v>0.0233058771586937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81.955</v>
      </c>
      <c r="J123" s="46">
        <f>'Inputs (2)'!E9</f>
        <v>157.27</v>
      </c>
      <c r="K123" s="46">
        <f>'Inputs (2)'!F9</f>
        <v>112.215</v>
      </c>
      <c r="L123" s="46">
        <f>'Inputs (2)'!G9</f>
        <v>175.121</v>
      </c>
      <c r="M123" s="12">
        <f>'Inputs (2)'!H9</f>
        <v>526.561</v>
      </c>
      <c r="N123" s="46">
        <f>'Inputs (2)'!I9</f>
        <v>231.328</v>
      </c>
      <c r="O123" s="46">
        <f>'Inputs (2)'!J9</f>
        <v>269.715</v>
      </c>
      <c r="P123" s="46">
        <f>'Inputs (2)'!K9</f>
        <v>118.923</v>
      </c>
      <c r="Q123" s="46">
        <f>'Inputs (2)'!L9</f>
        <v>206.251</v>
      </c>
      <c r="R123" s="12">
        <f>'Inputs (2)'!M9</f>
        <v>826.217</v>
      </c>
      <c r="S123" s="46">
        <f>'Inputs (2)'!N9</f>
        <v>206.647</v>
      </c>
      <c r="T123" s="46">
        <f>'Inputs (2)'!O9</f>
        <v>193.967</v>
      </c>
      <c r="U123" s="46">
        <f>'Inputs (2)'!P9</f>
        <v>194.822</v>
      </c>
      <c r="V123" s="46">
        <f>'Inputs (2)'!Q9</f>
        <v>153.58</v>
      </c>
      <c r="W123" s="12">
        <f>'Inputs (2)'!R9</f>
        <v>749.016</v>
      </c>
      <c r="X123" s="46">
        <f>'Inputs (2)'!S9</f>
        <v>143.456</v>
      </c>
      <c r="Y123" s="46">
        <f>'Inputs (2)'!T9</f>
        <v>181.933</v>
      </c>
      <c r="Z123" s="46">
        <f>'Inputs (2)'!U9</f>
        <v>138.524</v>
      </c>
      <c r="AA123" s="46">
        <f>'Inputs (2)'!V9</f>
        <v>148.659</v>
      </c>
      <c r="AB123" s="12">
        <f>'Inputs (2)'!W9</f>
        <v>612.572</v>
      </c>
      <c r="AC123" s="46">
        <f>'Inputs (2)'!X9</f>
        <v>112.446</v>
      </c>
      <c r="AD123" s="46">
        <f>'Inputs (2)'!Y9</f>
        <v>232.003</v>
      </c>
      <c r="AE123" s="46">
        <f>'Inputs (2)'!Z9</f>
        <v>176.988</v>
      </c>
      <c r="AF123" s="46">
        <f>'Inputs (2)'!AA9</f>
        <v>188.307</v>
      </c>
      <c r="AG123" s="12">
        <f>'Inputs (2)'!AB9</f>
        <v>709.744</v>
      </c>
      <c r="AH123" s="12">
        <f>'Inputs (2)'!AC9</f>
        <v>120.571</v>
      </c>
      <c r="AI123" s="12">
        <f>'Inputs (2)'!AD9</f>
        <v>223.601</v>
      </c>
      <c r="AJ123" s="12">
        <f>AJ15*Control!$B$23</f>
        <v>165.648142429644</v>
      </c>
      <c r="AK123" s="12">
        <f>AK15*Control!$B$23</f>
        <v>170.618423616119</v>
      </c>
      <c r="AL123" s="12">
        <f>SUM(AH123:AK123)</f>
        <v>680.438566045763</v>
      </c>
      <c r="AM123" s="12">
        <f>AM15*Control!$C$23</f>
        <v>160.79579522516</v>
      </c>
      <c r="AN123" s="12">
        <f>AN15*Control!$C$23</f>
        <v>222.934858093</v>
      </c>
      <c r="AO123" s="12">
        <f>AO15*Control!$C$23</f>
        <v>166.297370596633</v>
      </c>
      <c r="AP123" s="12">
        <f>AP15*Control!$C$23</f>
        <v>171.287131908249</v>
      </c>
      <c r="AQ123" s="12">
        <f>SUM(AM123:AP123)</f>
        <v>721.315155823042</v>
      </c>
      <c r="AR123" s="12">
        <f>AR15*Control!$D$23</f>
        <v>160.79579522516</v>
      </c>
      <c r="AS123" s="12">
        <f>AS15*Control!$D$23</f>
        <v>222.934858093</v>
      </c>
      <c r="AT123" s="12">
        <f>AT15*Control!$D$23</f>
        <v>166.297370596633</v>
      </c>
      <c r="AU123" s="12">
        <f>AU15*Control!$D$23</f>
        <v>171.287131908249</v>
      </c>
      <c r="AV123" s="12">
        <f>SUM(AR123:AU123)</f>
        <v>721.315155823042</v>
      </c>
      <c r="AW123" s="12">
        <f>AW15*Control!$E$23</f>
        <v>160.79579522516</v>
      </c>
      <c r="AX123" s="12">
        <f>AX15*Control!$E$23</f>
        <v>222.934858093</v>
      </c>
      <c r="AY123" s="12">
        <f>AY15*Control!$E$23</f>
        <v>166.297370596633</v>
      </c>
      <c r="AZ123" s="12">
        <f>AZ15*Control!$E$23</f>
        <v>171.287131908249</v>
      </c>
      <c r="BA123" s="12">
        <f>SUM(AW123:AZ123)</f>
        <v>721.315155823042</v>
      </c>
      <c r="BB123" s="12">
        <f>BB15*Control!$F$23</f>
        <v>160.79579522516</v>
      </c>
      <c r="BC123" s="12">
        <f>BC15*Control!$F$23</f>
        <v>222.934858093</v>
      </c>
      <c r="BD123" s="12">
        <f>BD15*Control!$F$23</f>
        <v>166.297370596633</v>
      </c>
      <c r="BE123" s="12">
        <f>BE15*Control!$F$23</f>
        <v>171.287131908249</v>
      </c>
      <c r="BF123" s="12">
        <f>SUM(BB123:BE123)</f>
        <v>721.315155823042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-6.69000000000065</v>
      </c>
      <c r="J130" s="35">
        <f>SUM(J73,J74,J123)</f>
        <v>256.203000000001</v>
      </c>
      <c r="K130" s="35">
        <f>SUM(K73,K74,K123)</f>
        <v>220.766999999998</v>
      </c>
      <c r="L130" s="35">
        <f>SUM(L73,L74,L123)</f>
        <v>466.662999999999</v>
      </c>
      <c r="M130" s="35">
        <f>SUM(I130:L130)</f>
        <v>936.942999999998</v>
      </c>
      <c r="N130" s="35">
        <f>SUM(N73,N74,N123)</f>
        <v>230.827</v>
      </c>
      <c r="O130" s="35">
        <f>SUM(O73,O74,O123)</f>
        <v>638.737</v>
      </c>
      <c r="P130" s="35">
        <f>SUM(P73,P74,P123)</f>
        <v>473.79</v>
      </c>
      <c r="Q130" s="35">
        <f>SUM(Q73,Q74,Q123)</f>
        <v>817.47</v>
      </c>
      <c r="R130" s="35">
        <f>SUM(N130:Q130)</f>
        <v>2160.824</v>
      </c>
      <c r="S130" s="35">
        <f>SUM(S73,S74,S123)</f>
        <v>313.022</v>
      </c>
      <c r="T130" s="35">
        <f>SUM(T73,T74,T123)</f>
        <v>558.12</v>
      </c>
      <c r="U130" s="35">
        <f>SUM(U73,U74,U123)</f>
        <v>319.166999999999</v>
      </c>
      <c r="V130" s="35">
        <f>SUM(V73,V74,V123)</f>
        <v>516.845999999999</v>
      </c>
      <c r="W130" s="35">
        <f>SUM(S130:V130)</f>
        <v>1707.155</v>
      </c>
      <c r="X130" s="35">
        <f>SUM(X73,X74,X123)</f>
        <v>185.658</v>
      </c>
      <c r="Y130" s="35">
        <f>SUM(Y73,Y74,Y123)</f>
        <v>309.868</v>
      </c>
      <c r="Z130" s="35">
        <f>SUM(Z73,Z74,Z123)</f>
        <v>85.4150000000005</v>
      </c>
      <c r="AA130" s="35">
        <f>SUM(AA73,AA74,AA123)</f>
        <v>258.837</v>
      </c>
      <c r="AB130" s="35">
        <f>SUM(X130:AA130)</f>
        <v>839.778</v>
      </c>
      <c r="AC130" s="35">
        <f>SUM(AC73,AC74,AC123)</f>
        <v>-84.7120000000004</v>
      </c>
      <c r="AD130" s="35">
        <f>SUM(AD73,AD74,AD123)</f>
        <v>258.855</v>
      </c>
      <c r="AE130" s="35">
        <f>SUM(AE73,AE74,AE123)</f>
        <v>181.792000000001</v>
      </c>
      <c r="AF130" s="35">
        <f>SUM(AF73,AF74,AF123)</f>
        <v>272.187999999999</v>
      </c>
      <c r="AG130" s="35">
        <f>SUM(AC130:AF130)</f>
        <v>628.122999999999</v>
      </c>
      <c r="AH130" s="35">
        <f>SUM(AH73,AH74,AH123)</f>
        <v>-164.977000000001</v>
      </c>
      <c r="AI130" s="35">
        <f>SUM(AI73,AI74,AI123)</f>
        <v>282.213000000001</v>
      </c>
      <c r="AJ130" s="35">
        <f>SUM(AJ73,AJ74,AJ123:AJ128)</f>
        <v>144.85848710007</v>
      </c>
      <c r="AK130" s="35">
        <f>SUM(AK73,AK74,AK123:AK128)</f>
        <v>149.204973589893</v>
      </c>
      <c r="AL130" s="35">
        <f>SUM(AH130:AK130)</f>
        <v>411.299460689963</v>
      </c>
      <c r="AM130" s="35">
        <f>SUM(AM73,AM74,AM123:AM128)</f>
        <v>140.615133298355</v>
      </c>
      <c r="AN130" s="35">
        <f>SUM(AN73,AN74,AN123:AN128)</f>
        <v>194.955438627614</v>
      </c>
      <c r="AO130" s="35">
        <f>SUM(AO73,AO74,AO123:AO128)</f>
        <v>145.426233943911</v>
      </c>
      <c r="AP130" s="35">
        <f>SUM(AP73,AP74,AP123:AP128)</f>
        <v>149.78975570751</v>
      </c>
      <c r="AQ130" s="35">
        <f>SUM(AM130:AP130)</f>
        <v>630.78656157739</v>
      </c>
      <c r="AR130" s="35">
        <f>SUM(AR73,AR74,AR123:AR128)</f>
        <v>140.615133298355</v>
      </c>
      <c r="AS130" s="35">
        <f>SUM(AS73,AS74,AS123:AS128)</f>
        <v>194.955438627614</v>
      </c>
      <c r="AT130" s="35">
        <f>SUM(AT73,AT74,AT123:AT128)</f>
        <v>145.426233943911</v>
      </c>
      <c r="AU130" s="35">
        <f>SUM(AU73,AU74,AU123:AU128)</f>
        <v>149.78975570751</v>
      </c>
      <c r="AV130" s="35">
        <f>SUM(AR130:AU130)</f>
        <v>630.78656157739</v>
      </c>
      <c r="AW130" s="35">
        <f>SUM(AW73,AW74,AW123:AW128)</f>
        <v>140.615133298355</v>
      </c>
      <c r="AX130" s="35">
        <f>SUM(AX73,AX74,AX123:AX128)</f>
        <v>194.955438627614</v>
      </c>
      <c r="AY130" s="35">
        <f>SUM(AY73,AY74,AY123:AY128)</f>
        <v>145.426233943911</v>
      </c>
      <c r="AZ130" s="35">
        <f>SUM(AZ73,AZ74,AZ123:AZ128)</f>
        <v>149.78975570751</v>
      </c>
      <c r="BA130" s="35">
        <f>SUM(AW130:AZ130)</f>
        <v>630.78656157739</v>
      </c>
      <c r="BB130" s="35">
        <f>SUM(BB73,BB74,BB123:BB128)</f>
        <v>140.615133298355</v>
      </c>
      <c r="BC130" s="35">
        <f>SUM(BC73,BC74,BC123:BC128)</f>
        <v>194.955438627614</v>
      </c>
      <c r="BD130" s="35">
        <f>SUM(BD73,BD74,BD123:BD128)</f>
        <v>145.426233943911</v>
      </c>
      <c r="BE130" s="35">
        <f>SUM(BE73,BE74,BE123:BE128)</f>
        <v>149.78975570751</v>
      </c>
      <c r="BF130" s="35">
        <f>SUM(BB130:BE130)</f>
        <v>630.78656157739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-31.668</v>
      </c>
      <c r="J131" s="46">
        <f>'Inputs (2)'!E10</f>
        <v>17.469</v>
      </c>
      <c r="K131" s="46">
        <f>'Inputs (2)'!F10</f>
        <v>28.119</v>
      </c>
      <c r="L131" s="46">
        <f>'Inputs (2)'!G10</f>
        <v>-14.72</v>
      </c>
      <c r="M131" s="12">
        <f>'Inputs (2)'!H10</f>
        <v>-0.799999999999999</v>
      </c>
      <c r="N131" s="46">
        <f>'Inputs (2)'!I10</f>
        <v>-11.931</v>
      </c>
      <c r="O131" s="46">
        <f>'Inputs (2)'!J10</f>
        <v>-62.492</v>
      </c>
      <c r="P131" s="46">
        <f>'Inputs (2)'!K10</f>
        <v>-42.973</v>
      </c>
      <c r="Q131" s="46">
        <f>'Inputs (2)'!L10</f>
        <v>-34.554</v>
      </c>
      <c r="R131" s="12">
        <f>'Inputs (2)'!M10</f>
        <v>-151.95</v>
      </c>
      <c r="S131" s="46">
        <f>'Inputs (2)'!N10</f>
        <v>-20.974</v>
      </c>
      <c r="T131" s="46">
        <f>'Inputs (2)'!O10</f>
        <v>-10.777</v>
      </c>
      <c r="U131" s="46">
        <f>'Inputs (2)'!P10</f>
        <v>-41.35</v>
      </c>
      <c r="V131" s="46">
        <f>'Inputs (2)'!Q10</f>
        <v>6.522</v>
      </c>
      <c r="W131" s="12">
        <f>'Inputs (2)'!R10</f>
        <v>-66.579</v>
      </c>
      <c r="X131" s="46">
        <f>'Inputs (2)'!S10</f>
        <v>-15.325</v>
      </c>
      <c r="Y131" s="46">
        <f>'Inputs (2)'!T10</f>
        <v>-12.613</v>
      </c>
      <c r="Z131" s="46">
        <f>'Inputs (2)'!U10</f>
        <v>26.288</v>
      </c>
      <c r="AA131" s="46">
        <f>'Inputs (2)'!V10</f>
        <v>-13.244</v>
      </c>
      <c r="AB131" s="12">
        <f>'Inputs (2)'!W10</f>
        <v>-14.894</v>
      </c>
      <c r="AC131" s="46">
        <f>'Inputs (2)'!X10</f>
        <v>8.709</v>
      </c>
      <c r="AD131" s="46">
        <f>'Inputs (2)'!Y10</f>
        <v>-27.175</v>
      </c>
      <c r="AE131" s="46">
        <f>'Inputs (2)'!Z10</f>
        <v>14.933</v>
      </c>
      <c r="AF131" s="46">
        <f>'Inputs (2)'!AA10</f>
        <v>-11.731</v>
      </c>
      <c r="AG131" s="12">
        <f>'Inputs (2)'!AB10</f>
        <v>-15.264</v>
      </c>
      <c r="AH131" s="12">
        <f>'Inputs (2)'!AC10</f>
        <v>17.787</v>
      </c>
      <c r="AI131" s="12">
        <f>'Inputs (2)'!AD10</f>
        <v>-14.717</v>
      </c>
      <c r="AJ131" s="12">
        <f>-AJ130*AJ132</f>
        <v>-7.93602040153137</v>
      </c>
      <c r="AK131" s="12">
        <f>-AK130*AK132</f>
        <v>-8.17414110918711</v>
      </c>
      <c r="AL131" s="12">
        <f>SUM(AH131:AK131)</f>
        <v>-13.0401615107185</v>
      </c>
      <c r="AM131" s="12">
        <f>-AM130*AM132</f>
        <v>-7.70354978130415</v>
      </c>
      <c r="AN131" s="12">
        <f>-AN130*AN132</f>
        <v>-10.6805639718537</v>
      </c>
      <c r="AO131" s="12">
        <f>-AO130*AO132</f>
        <v>-7.96712420929455</v>
      </c>
      <c r="AP131" s="12">
        <f>-AP130*AP132</f>
        <v>-8.20617818833082</v>
      </c>
      <c r="AQ131" s="12">
        <f>SUM(AM131:AP131)</f>
        <v>-34.5574161507832</v>
      </c>
      <c r="AR131" s="12">
        <f>-AR130*AR132</f>
        <v>-7.70354978130415</v>
      </c>
      <c r="AS131" s="12">
        <f>-AS130*AS132</f>
        <v>-10.6805639718537</v>
      </c>
      <c r="AT131" s="12">
        <f>-AT130*AT132</f>
        <v>-7.96712420929455</v>
      </c>
      <c r="AU131" s="12">
        <f>-AU130*AU132</f>
        <v>-8.20617818833082</v>
      </c>
      <c r="AV131" s="12">
        <f>SUM(AR131:AU131)</f>
        <v>-34.5574161507832</v>
      </c>
      <c r="AW131" s="12">
        <f>-AW130*AW132</f>
        <v>-7.70354978130415</v>
      </c>
      <c r="AX131" s="12">
        <f>-AX130*AX132</f>
        <v>-10.6805639718537</v>
      </c>
      <c r="AY131" s="12">
        <f>-AY130*AY132</f>
        <v>-7.96712420929455</v>
      </c>
      <c r="AZ131" s="12">
        <f>-AZ130*AZ132</f>
        <v>-8.20617818833082</v>
      </c>
      <c r="BA131" s="12">
        <f>SUM(AW131:AZ131)</f>
        <v>-34.5574161507832</v>
      </c>
      <c r="BB131" s="12">
        <f>-BB130*BB132</f>
        <v>-7.70354978130415</v>
      </c>
      <c r="BC131" s="12">
        <f>-BC130*BC132</f>
        <v>-10.6805639718537</v>
      </c>
      <c r="BD131" s="12">
        <f>-BD130*BD132</f>
        <v>-7.96712420929455</v>
      </c>
      <c r="BE131" s="12">
        <f>-BE130*BE132</f>
        <v>-8.20617818833082</v>
      </c>
      <c r="BF131" s="12">
        <f>SUM(BB131:BE131)</f>
        <v>-34.5574161507832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-4.73363228699506</v>
      </c>
      <c r="J132" s="53">
        <f>IFERROR(-J131/J130,"")</f>
        <v>-0.0681842132996099</v>
      </c>
      <c r="K132" s="53">
        <f>IFERROR(-K131/K130,"")</f>
        <v>-0.127369579692618</v>
      </c>
      <c r="L132" s="53">
        <f>IFERROR(-L131/L130,"")</f>
        <v>0.0315431049815392</v>
      </c>
      <c r="M132" s="53">
        <f>IFERROR(-M131/M130,"")</f>
        <v>0.000853840628512088</v>
      </c>
      <c r="N132" s="53">
        <f>IFERROR(-N131/N130,"")</f>
        <v>0.0516880607554576</v>
      </c>
      <c r="O132" s="53">
        <f>IFERROR(-O131/O130,"")</f>
        <v>0.0978368248590579</v>
      </c>
      <c r="P132" s="53">
        <f>IFERROR(-P131/P130,"")</f>
        <v>0.0907005213280146</v>
      </c>
      <c r="Q132" s="53">
        <f>IFERROR(-Q131/Q130,"")</f>
        <v>0.0422694410804066</v>
      </c>
      <c r="R132" s="53">
        <f>IFERROR(-R131/R130,"")</f>
        <v>0.0703203962932659</v>
      </c>
      <c r="S132" s="53">
        <f>IFERROR(-S131/S130,"")</f>
        <v>0.0670048750567053</v>
      </c>
      <c r="T132" s="53">
        <f>IFERROR(-T131/T130,"")</f>
        <v>0.0193094674980291</v>
      </c>
      <c r="U132" s="53">
        <f>IFERROR(-U131/U130,"")</f>
        <v>0.129556000463707</v>
      </c>
      <c r="V132" s="53">
        <f>IFERROR(-V131/V130,"")</f>
        <v>-0.0126188458457645</v>
      </c>
      <c r="W132" s="53">
        <f>IFERROR(-W131/W130,"")</f>
        <v>0.0389999736403549</v>
      </c>
      <c r="X132" s="53">
        <f>IFERROR(-X131/X130,"")</f>
        <v>0.0825442480259403</v>
      </c>
      <c r="Y132" s="53">
        <f>IFERROR(-Y131/Y130,"")</f>
        <v>0.0407044289826636</v>
      </c>
      <c r="Z132" s="53">
        <f>IFERROR(-Z131/Z130,"")</f>
        <v>-0.307767956447929</v>
      </c>
      <c r="AA132" s="53">
        <f>IFERROR(-AA131/AA130,"")</f>
        <v>0.0511673369726895</v>
      </c>
      <c r="AB132" s="53">
        <f>IFERROR(-AB131/AB130,"")</f>
        <v>0.0177356396571475</v>
      </c>
      <c r="AC132" s="53">
        <f>IFERROR(-AC131/AC130,"")</f>
        <v>0.102807158371895</v>
      </c>
      <c r="AD132" s="53">
        <f>IFERROR(-AD131/AD130,"")</f>
        <v>0.104981553379305</v>
      </c>
      <c r="AE132" s="53">
        <f>IFERROR(-AE131/AE130,"")</f>
        <v>-0.0821433286393238</v>
      </c>
      <c r="AF132" s="41">
        <f>IFERROR(-AF131/AF130,"")</f>
        <v>0.0430988875336166</v>
      </c>
      <c r="AG132" s="53">
        <f>IFERROR(-AG131/AG130,"")</f>
        <v>0.0243009728986202</v>
      </c>
      <c r="AH132" s="41">
        <f>IFERROR(-AH131/AH130,"")</f>
        <v>0.107815028761585</v>
      </c>
      <c r="AI132" s="41">
        <f>IFERROR(-AI131/AI130,"")</f>
        <v>0.0521485544606378</v>
      </c>
      <c r="AJ132" s="41">
        <f>Control!$B$22</f>
        <v>0.0547846423112859</v>
      </c>
      <c r="AK132" s="41">
        <f>Control!$B$22</f>
        <v>0.0547846423112859</v>
      </c>
      <c r="AL132" s="53">
        <f>IFERROR(-AL131/AL130,"")</f>
        <v>0.0317047863103038</v>
      </c>
      <c r="AM132" s="41">
        <f>Control!$C$22</f>
        <v>0.0547846423112859</v>
      </c>
      <c r="AN132" s="41">
        <f>Control!$C$22</f>
        <v>0.0547846423112859</v>
      </c>
      <c r="AO132" s="41">
        <f>Control!$C$22</f>
        <v>0.0547846423112859</v>
      </c>
      <c r="AP132" s="41">
        <f>Control!$C$22</f>
        <v>0.0547846423112859</v>
      </c>
      <c r="AQ132" s="53">
        <f>IFERROR(-AQ131/AQ130,"")</f>
        <v>0.0547846423112859</v>
      </c>
      <c r="AR132" s="41">
        <f>Control!$D$22</f>
        <v>0.0547846423112859</v>
      </c>
      <c r="AS132" s="41">
        <f>Control!$D$22</f>
        <v>0.0547846423112859</v>
      </c>
      <c r="AT132" s="41">
        <f>Control!$D$22</f>
        <v>0.0547846423112859</v>
      </c>
      <c r="AU132" s="41">
        <f>Control!$D$22</f>
        <v>0.0547846423112859</v>
      </c>
      <c r="AV132" s="53">
        <f>IFERROR(-AV131/AV130,"")</f>
        <v>0.0547846423112859</v>
      </c>
      <c r="AW132" s="41">
        <f>Control!$E$22</f>
        <v>0.0547846423112859</v>
      </c>
      <c r="AX132" s="41">
        <f>Control!$E$22</f>
        <v>0.0547846423112859</v>
      </c>
      <c r="AY132" s="41">
        <f>Control!$E$22</f>
        <v>0.0547846423112859</v>
      </c>
      <c r="AZ132" s="41">
        <f>Control!$E$22</f>
        <v>0.0547846423112859</v>
      </c>
      <c r="BA132" s="53">
        <f>IFERROR(-BA131/BA130,"")</f>
        <v>0.0547846423112859</v>
      </c>
      <c r="BB132" s="41">
        <f>Control!$F$22</f>
        <v>0.0547846423112859</v>
      </c>
      <c r="BC132" s="41">
        <f>Control!$F$22</f>
        <v>0.0547846423112859</v>
      </c>
      <c r="BD132" s="41">
        <f>Control!$F$22</f>
        <v>0.0547846423112859</v>
      </c>
      <c r="BE132" s="41">
        <f>Control!$F$22</f>
        <v>0.0547846423112859</v>
      </c>
      <c r="BF132" s="53">
        <f>IFERROR(-BF131/BF130,"")</f>
        <v>0.0547846423112859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0</v>
      </c>
      <c r="J135" s="46">
        <f>'Inputs (2)'!E11</f>
        <v>0</v>
      </c>
      <c r="K135" s="46">
        <f>'Inputs (2)'!F11</f>
        <v>0</v>
      </c>
      <c r="L135" s="46">
        <f>'Inputs (2)'!G11</f>
        <v>0</v>
      </c>
      <c r="M135" s="12">
        <f>'Inputs (2)'!H11</f>
        <v>0</v>
      </c>
      <c r="N135" s="46">
        <f>'Inputs (2)'!I11</f>
        <v>0</v>
      </c>
      <c r="O135" s="46">
        <f>'Inputs (2)'!J11</f>
        <v>0</v>
      </c>
      <c r="P135" s="46">
        <f>'Inputs (2)'!K11</f>
        <v>0</v>
      </c>
      <c r="Q135" s="46">
        <f>'Inputs (2)'!L11</f>
        <v>0</v>
      </c>
      <c r="R135" s="12">
        <f>'Inputs (2)'!M11</f>
        <v>0</v>
      </c>
      <c r="S135" s="46">
        <f>'Inputs (2)'!N11</f>
        <v>0</v>
      </c>
      <c r="T135" s="46">
        <f>'Inputs (2)'!O11</f>
        <v>0</v>
      </c>
      <c r="U135" s="46">
        <f>'Inputs (2)'!P11</f>
        <v>0</v>
      </c>
      <c r="V135" s="46">
        <f>'Inputs (2)'!Q11</f>
        <v>0</v>
      </c>
      <c r="W135" s="12">
        <f>'Inputs (2)'!R11</f>
        <v>0</v>
      </c>
      <c r="X135" s="46">
        <f>'Inputs (2)'!S11</f>
        <v>0</v>
      </c>
      <c r="Y135" s="46">
        <f>'Inputs (2)'!T11</f>
        <v>0</v>
      </c>
      <c r="Z135" s="46">
        <f>'Inputs (2)'!U11</f>
        <v>0</v>
      </c>
      <c r="AA135" s="46">
        <f>'Inputs (2)'!V11</f>
        <v>0</v>
      </c>
      <c r="AB135" s="12">
        <f>'Inputs (2)'!W11</f>
        <v>0</v>
      </c>
      <c r="AC135" s="46">
        <f>'Inputs (2)'!X11</f>
        <v>0</v>
      </c>
      <c r="AD135" s="46">
        <f>'Inputs (2)'!Y11</f>
        <v>0</v>
      </c>
      <c r="AE135" s="46">
        <f>'Inputs (2)'!Z11</f>
        <v>0</v>
      </c>
      <c r="AF135" s="46">
        <f>'Inputs (2)'!AA11</f>
        <v>0</v>
      </c>
      <c r="AG135" s="12">
        <f>'Inputs (2)'!AB11</f>
        <v>0</v>
      </c>
      <c r="AH135" s="12">
        <f>'Inputs (2)'!AC11</f>
        <v>0</v>
      </c>
      <c r="AI135" s="12">
        <f>'Inputs (2)'!AD11</f>
        <v>0</v>
      </c>
      <c r="AJ135" s="12">
        <f>0</f>
        <v>0</v>
      </c>
      <c r="AK135" s="12">
        <f>0</f>
        <v>0</v>
      </c>
      <c r="AL135" s="12">
        <f>SUM(AH135:AK135)</f>
        <v>0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0.129</v>
      </c>
      <c r="J136" s="46">
        <f>'Inputs (2)'!E12</f>
        <v>-0.081</v>
      </c>
      <c r="K136" s="46">
        <f>'Inputs (2)'!F12</f>
        <v>0.033</v>
      </c>
      <c r="L136" s="46">
        <f>'Inputs (2)'!G12</f>
        <v>0.018</v>
      </c>
      <c r="M136" s="12">
        <f>'Inputs (2)'!H12</f>
        <v>0.099</v>
      </c>
      <c r="N136" s="46">
        <f>'Inputs (2)'!I12</f>
        <v>0.104</v>
      </c>
      <c r="O136" s="46">
        <f>'Inputs (2)'!J12</f>
        <v>0.329</v>
      </c>
      <c r="P136" s="46">
        <f>'Inputs (2)'!K12</f>
        <v>0.41</v>
      </c>
      <c r="Q136" s="46">
        <f>'Inputs (2)'!L12</f>
        <v>-0.318</v>
      </c>
      <c r="R136" s="12">
        <f>'Inputs (2)'!M12</f>
        <v>0.525</v>
      </c>
      <c r="S136" s="46">
        <f>'Inputs (2)'!N12</f>
        <v>0.273</v>
      </c>
      <c r="T136" s="46">
        <f>'Inputs (2)'!O12</f>
        <v>0.156</v>
      </c>
      <c r="U136" s="46">
        <f>'Inputs (2)'!P12</f>
        <v>0.203</v>
      </c>
      <c r="V136" s="46">
        <f>'Inputs (2)'!Q12</f>
        <v>-0.445</v>
      </c>
      <c r="W136" s="12">
        <f>'Inputs (2)'!R12</f>
        <v>0.187</v>
      </c>
      <c r="X136" s="46">
        <f>'Inputs (2)'!S12</f>
        <v>-0.026</v>
      </c>
      <c r="Y136" s="46">
        <f>'Inputs (2)'!T12</f>
        <v>0.019</v>
      </c>
      <c r="Z136" s="46">
        <f>'Inputs (2)'!U12</f>
        <v>0.112</v>
      </c>
      <c r="AA136" s="46">
        <f>'Inputs (2)'!V12</f>
        <v>-0.803</v>
      </c>
      <c r="AB136" s="12">
        <f>'Inputs (2)'!W12</f>
        <v>-0.698</v>
      </c>
      <c r="AC136" s="46">
        <f>'Inputs (2)'!X12</f>
        <v>0.249</v>
      </c>
      <c r="AD136" s="46">
        <f>'Inputs (2)'!Y12</f>
        <v>0.504</v>
      </c>
      <c r="AE136" s="46">
        <f>'Inputs (2)'!Z12</f>
        <v>-0.028</v>
      </c>
      <c r="AF136" s="46">
        <f>'Inputs (2)'!AA12</f>
        <v>0.026</v>
      </c>
      <c r="AG136" s="12">
        <f>'Inputs (2)'!AB12</f>
        <v>0.751</v>
      </c>
      <c r="AH136" s="12">
        <f>'Inputs (2)'!AC12</f>
        <v>0.138</v>
      </c>
      <c r="AI136" s="12">
        <f>'Inputs (2)'!AD12</f>
        <v>-0.13</v>
      </c>
      <c r="AJ136" s="12">
        <f>0</f>
        <v>0</v>
      </c>
      <c r="AK136" s="12">
        <f>0</f>
        <v>0</v>
      </c>
      <c r="AL136" s="12">
        <f>SUM(AH136:AK136)</f>
        <v>0.00800000000000001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-38.2290000000006</v>
      </c>
      <c r="J137" s="35">
        <f>SUM(J130,J131,J135,J136)</f>
        <v>273.591000000001</v>
      </c>
      <c r="K137" s="35">
        <f>SUM(K130,K131,K135,K136)</f>
        <v>248.918999999998</v>
      </c>
      <c r="L137" s="35">
        <f>SUM(L130,L131,L135,L136)</f>
        <v>451.960999999999</v>
      </c>
      <c r="M137" s="35">
        <f>SUM(I137:L137)</f>
        <v>936.241999999998</v>
      </c>
      <c r="N137" s="35">
        <f>SUM(N130,N131,N135,N136)</f>
        <v>219</v>
      </c>
      <c r="O137" s="35">
        <f>SUM(O130,O131,O135,O136)</f>
        <v>576.574</v>
      </c>
      <c r="P137" s="35">
        <f>SUM(P130,P131,P135,P136)</f>
        <v>431.227</v>
      </c>
      <c r="Q137" s="35">
        <f>SUM(Q130,Q131,Q135,Q136)</f>
        <v>782.598</v>
      </c>
      <c r="R137" s="35">
        <f>SUM(N137:Q137)</f>
        <v>2009.399</v>
      </c>
      <c r="S137" s="35">
        <f>SUM(S130,S131,S135,S136)</f>
        <v>292.321</v>
      </c>
      <c r="T137" s="35">
        <f>SUM(T130,T131,T135,T136)</f>
        <v>547.499</v>
      </c>
      <c r="U137" s="35">
        <f>SUM(U130,U131,U135,U136)</f>
        <v>278.019999999999</v>
      </c>
      <c r="V137" s="35">
        <f>SUM(V130,V131,V135,V136)</f>
        <v>522.922999999999</v>
      </c>
      <c r="W137" s="35">
        <f>SUM(S137:V137)</f>
        <v>1640.763</v>
      </c>
      <c r="X137" s="35">
        <f>SUM(X130,X131,X135,X136)</f>
        <v>170.307</v>
      </c>
      <c r="Y137" s="35">
        <f>SUM(Y130,Y131,Y135,Y136)</f>
        <v>297.274</v>
      </c>
      <c r="Z137" s="35">
        <f>SUM(Z130,Z131,Z135,Z136)</f>
        <v>111.815000000001</v>
      </c>
      <c r="AA137" s="35">
        <f>SUM(AA130,AA131,AA135,AA136)</f>
        <v>244.789999999999</v>
      </c>
      <c r="AB137" s="35">
        <f>SUM(X137:AA137)</f>
        <v>824.186</v>
      </c>
      <c r="AC137" s="35">
        <f>SUM(AC130,AC131,AC135,AC136)</f>
        <v>-75.7540000000004</v>
      </c>
      <c r="AD137" s="35">
        <f>SUM(AD130,AD131,AD135,AD136)</f>
        <v>232.184</v>
      </c>
      <c r="AE137" s="35">
        <f>SUM(AE130,AE131,AE135,AE136)</f>
        <v>196.697000000001</v>
      </c>
      <c r="AF137" s="35">
        <f>SUM(AF130,AF131,AF135,AF136)</f>
        <v>260.482999999999</v>
      </c>
      <c r="AG137" s="35">
        <f>SUM(AC137:AF137)</f>
        <v>613.609999999999</v>
      </c>
      <c r="AH137" s="35">
        <f>SUM(AH130,AH131,AH135,AH136)</f>
        <v>-147.052000000001</v>
      </c>
      <c r="AI137" s="35">
        <f>SUM(AI130,AI131,AI135,AI136)</f>
        <v>267.366000000001</v>
      </c>
      <c r="AJ137" s="35">
        <f>SUM(AJ130,AJ131,AJ135,AJ136)</f>
        <v>136.922466698539</v>
      </c>
      <c r="AK137" s="35">
        <f>SUM(AK130,AK131,AK135,AK136)</f>
        <v>141.030832480705</v>
      </c>
      <c r="AL137" s="35">
        <f>SUM(AH137:AK137)</f>
        <v>398.267299179244</v>
      </c>
      <c r="AM137" s="35">
        <f>SUM(AM130,AM131,AM135,AM136)</f>
        <v>132.911583517051</v>
      </c>
      <c r="AN137" s="35">
        <f>SUM(AN130,AN131,AN135,AN136)</f>
        <v>184.274874655761</v>
      </c>
      <c r="AO137" s="35">
        <f>SUM(AO130,AO131,AO135,AO136)</f>
        <v>137.459109734617</v>
      </c>
      <c r="AP137" s="35">
        <f>SUM(AP130,AP131,AP135,AP136)</f>
        <v>141.583577519179</v>
      </c>
      <c r="AQ137" s="35">
        <f>SUM(AM137:AP137)</f>
        <v>596.229145426607</v>
      </c>
      <c r="AR137" s="35">
        <f>SUM(AR130,AR131,AR135,AR136)</f>
        <v>132.911583517051</v>
      </c>
      <c r="AS137" s="35">
        <f>SUM(AS130,AS131,AS135,AS136)</f>
        <v>184.274874655761</v>
      </c>
      <c r="AT137" s="35">
        <f>SUM(AT130,AT131,AT135,AT136)</f>
        <v>137.459109734617</v>
      </c>
      <c r="AU137" s="35">
        <f>SUM(AU130,AU131,AU135,AU136)</f>
        <v>141.583577519179</v>
      </c>
      <c r="AV137" s="35">
        <f>SUM(AR137:AU137)</f>
        <v>596.229145426607</v>
      </c>
      <c r="AW137" s="35">
        <f>SUM(AW130,AW131,AW135,AW136)</f>
        <v>132.911583517051</v>
      </c>
      <c r="AX137" s="35">
        <f>SUM(AX130,AX131,AX135,AX136)</f>
        <v>184.274874655761</v>
      </c>
      <c r="AY137" s="35">
        <f>SUM(AY130,AY131,AY135,AY136)</f>
        <v>137.459109734617</v>
      </c>
      <c r="AZ137" s="35">
        <f>SUM(AZ130,AZ131,AZ135,AZ136)</f>
        <v>141.583577519179</v>
      </c>
      <c r="BA137" s="35">
        <f>SUM(AW137:AZ137)</f>
        <v>596.229145426607</v>
      </c>
      <c r="BB137" s="35">
        <f>SUM(BB130,BB131,BB135,BB136)</f>
        <v>132.911583517051</v>
      </c>
      <c r="BC137" s="35">
        <f>SUM(BC130,BC131,BC135,BC136)</f>
        <v>184.274874655761</v>
      </c>
      <c r="BD137" s="35">
        <f>SUM(BD130,BD131,BD135,BD136)</f>
        <v>137.459109734617</v>
      </c>
      <c r="BE137" s="35">
        <f>SUM(BE130,BE131,BE135,BE136)</f>
        <v>141.583577519179</v>
      </c>
      <c r="BF137" s="35">
        <f>SUM(BB137:BE137)</f>
        <v>596.229145426607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0</v>
      </c>
      <c r="J138" s="46">
        <f>'Inputs (2)'!E13</f>
        <v>0</v>
      </c>
      <c r="K138" s="46">
        <f>'Inputs (2)'!F13</f>
        <v>0</v>
      </c>
      <c r="L138" s="46">
        <f>'Inputs (2)'!G13</f>
        <v>0</v>
      </c>
      <c r="M138" s="12">
        <f>'Inputs (2)'!H13</f>
        <v>0</v>
      </c>
      <c r="N138" s="46">
        <f>'Inputs (2)'!I13</f>
        <v>0</v>
      </c>
      <c r="O138" s="46">
        <f>'Inputs (2)'!J13</f>
        <v>0</v>
      </c>
      <c r="P138" s="46">
        <f>'Inputs (2)'!K13</f>
        <v>0</v>
      </c>
      <c r="Q138" s="46">
        <f>'Inputs (2)'!L13</f>
        <v>0</v>
      </c>
      <c r="R138" s="12">
        <f>'Inputs (2)'!M13</f>
        <v>0</v>
      </c>
      <c r="S138" s="46">
        <f>'Inputs (2)'!N13</f>
        <v>0</v>
      </c>
      <c r="T138" s="46">
        <f>'Inputs (2)'!O13</f>
        <v>0</v>
      </c>
      <c r="U138" s="46">
        <f>'Inputs (2)'!P13</f>
        <v>0</v>
      </c>
      <c r="V138" s="46">
        <f>'Inputs (2)'!Q13</f>
        <v>0</v>
      </c>
      <c r="W138" s="12">
        <f>'Inputs (2)'!R13</f>
        <v>0</v>
      </c>
      <c r="X138" s="46">
        <f>'Inputs (2)'!S13</f>
        <v>0</v>
      </c>
      <c r="Y138" s="46">
        <f>'Inputs (2)'!T13</f>
        <v>0</v>
      </c>
      <c r="Z138" s="46">
        <f>'Inputs (2)'!U13</f>
        <v>0</v>
      </c>
      <c r="AA138" s="46">
        <f>'Inputs (2)'!V13</f>
        <v>0</v>
      </c>
      <c r="AB138" s="12">
        <f>'Inputs (2)'!W13</f>
        <v>0</v>
      </c>
      <c r="AC138" s="46">
        <f>'Inputs (2)'!X13</f>
        <v>0</v>
      </c>
      <c r="AD138" s="46">
        <f>'Inputs (2)'!Y13</f>
        <v>0</v>
      </c>
      <c r="AE138" s="46">
        <f>'Inputs (2)'!Z13</f>
        <v>0</v>
      </c>
      <c r="AF138" s="46">
        <f>'Inputs (2)'!AA13</f>
        <v>0</v>
      </c>
      <c r="AG138" s="12">
        <f>'Inputs (2)'!AB13</f>
        <v>0</v>
      </c>
      <c r="AH138" s="12">
        <f>'Inputs (2)'!AC13</f>
        <v>0</v>
      </c>
      <c r="AI138" s="12">
        <f>'Inputs (2)'!AD13</f>
        <v>0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0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</v>
      </c>
      <c r="J139" s="58">
        <f>IF(J137=0,"",-J138/J137)</f>
        <v>0</v>
      </c>
      <c r="K139" s="58">
        <f>IF(K137=0,"",-K138/K137)</f>
        <v>0</v>
      </c>
      <c r="L139" s="58">
        <f>IF(L137=0,"",-L138/L137)</f>
        <v>0</v>
      </c>
      <c r="M139" s="58">
        <f>IF(M137=0,"",-M138/M137)</f>
        <v>0</v>
      </c>
      <c r="N139" s="58">
        <f>IF(N137=0,"",-N138/N137)</f>
        <v>0</v>
      </c>
      <c r="O139" s="58">
        <f>IF(O137=0,"",-O138/O137)</f>
        <v>0</v>
      </c>
      <c r="P139" s="58">
        <f>IF(P137=0,"",-P138/P137)</f>
        <v>0</v>
      </c>
      <c r="Q139" s="58">
        <f>IF(Q137=0,"",-Q138/Q137)</f>
        <v>0</v>
      </c>
      <c r="R139" s="58">
        <f>IF(R137=0,"",-R138/R137)</f>
        <v>0</v>
      </c>
      <c r="S139" s="58">
        <f>IF(S137=0,"",-S138/S137)</f>
        <v>0</v>
      </c>
      <c r="T139" s="58">
        <f>IF(T137=0,"",-T138/T137)</f>
        <v>0</v>
      </c>
      <c r="U139" s="58">
        <f>IF(U137=0,"",-U138/U137)</f>
        <v>0</v>
      </c>
      <c r="V139" s="58">
        <f>IF(V137=0,"",-V138/V137)</f>
        <v>0</v>
      </c>
      <c r="W139" s="58">
        <f>IF(W137=0,"",-W138/W137)</f>
        <v>0</v>
      </c>
      <c r="X139" s="58">
        <f>IF(X137=0,"",-X138/X137)</f>
        <v>0</v>
      </c>
      <c r="Y139" s="58">
        <f>IF(Y137=0,"",-Y138/Y137)</f>
        <v>0</v>
      </c>
      <c r="Z139" s="58">
        <f>IF(Z137=0,"",-Z138/Z137)</f>
        <v>0</v>
      </c>
      <c r="AA139" s="58">
        <f>IF(AA137=0,"",-AA138/AA137)</f>
        <v>0</v>
      </c>
      <c r="AB139" s="58">
        <f>IF(AB137=0,"",-AB138/AB137)</f>
        <v>0</v>
      </c>
      <c r="AC139" s="58">
        <f>IF(AC137=0,"",-AC138/AC137)</f>
        <v>0</v>
      </c>
      <c r="AD139" s="58">
        <f>IF(AD137=0,"",-AD138/AD137)</f>
        <v>0</v>
      </c>
      <c r="AE139" s="58">
        <f>IF(AE137=0,"",-AE138/AE137)</f>
        <v>0</v>
      </c>
      <c r="AF139" s="41">
        <f>IF(AF137=0,"",-AF138/AF137)</f>
        <v>0</v>
      </c>
      <c r="AG139" s="12">
        <f>IF(AG137=0,"",-AG138/AG137)</f>
        <v>0</v>
      </c>
      <c r="AH139" s="41">
        <f>IF(AH137=0,"",-AH138/AH137)</f>
        <v>0</v>
      </c>
      <c r="AI139" s="41">
        <f>IF(AI137=0,"",-AI138/AI137)</f>
        <v>0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0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217.675</v>
      </c>
      <c r="J144" s="46">
        <f>'Inputs (2)'!E15</f>
        <v>301.23</v>
      </c>
      <c r="K144" s="46">
        <f>'Inputs (2)'!F15</f>
        <v>413.159</v>
      </c>
      <c r="L144" s="46">
        <f>'Inputs (2)'!G15</f>
        <v>310.002</v>
      </c>
      <c r="M144" s="12">
        <f>'Inputs (2)'!H15</f>
        <v>310.002</v>
      </c>
      <c r="N144" s="46">
        <f>'Inputs (2)'!I15</f>
        <v>211.936</v>
      </c>
      <c r="O144" s="46">
        <f>'Inputs (2)'!J15</f>
        <v>369.256</v>
      </c>
      <c r="P144" s="46">
        <f>'Inputs (2)'!K15</f>
        <v>793.957</v>
      </c>
      <c r="Q144" s="46">
        <f>'Inputs (2)'!L15</f>
        <v>636.296</v>
      </c>
      <c r="R144" s="12">
        <f>'Inputs (2)'!M15</f>
        <v>636.296</v>
      </c>
      <c r="S144" s="46">
        <f>'Inputs (2)'!N15</f>
        <v>462.22</v>
      </c>
      <c r="T144" s="46">
        <f>'Inputs (2)'!O15</f>
        <v>997.323</v>
      </c>
      <c r="U144" s="46">
        <f>'Inputs (2)'!P15</f>
        <v>1765.286</v>
      </c>
      <c r="V144" s="46">
        <f>'Inputs (2)'!Q15</f>
        <v>1349.757</v>
      </c>
      <c r="W144" s="12">
        <f>'Inputs (2)'!R15</f>
        <v>1349.757</v>
      </c>
      <c r="X144" s="46">
        <f>'Inputs (2)'!S15</f>
        <v>633.292</v>
      </c>
      <c r="Y144" s="46">
        <f>'Inputs (2)'!T15</f>
        <v>310.128</v>
      </c>
      <c r="Z144" s="46">
        <f>'Inputs (2)'!U15</f>
        <v>794.865</v>
      </c>
      <c r="AA144" s="46">
        <f>'Inputs (2)'!V15</f>
        <v>450.491</v>
      </c>
      <c r="AB144" s="12">
        <f>'Inputs (2)'!W15</f>
        <v>450.491</v>
      </c>
      <c r="AC144" s="46">
        <f>'Inputs (2)'!X15</f>
        <v>433.3</v>
      </c>
      <c r="AD144" s="46">
        <f>'Inputs (2)'!Y15</f>
        <v>323.862</v>
      </c>
      <c r="AE144" s="46">
        <f>'Inputs (2)'!Z15</f>
        <v>327.826</v>
      </c>
      <c r="AF144" s="46">
        <f>'Inputs (2)'!AA15</f>
        <v>374.694</v>
      </c>
      <c r="AG144" s="12">
        <f>'Inputs (2)'!AB15</f>
        <v>374.694</v>
      </c>
      <c r="AH144" s="12">
        <f>'Inputs (2)'!AC15</f>
        <v>248.472</v>
      </c>
      <c r="AI144" s="12">
        <f>'Inputs (2)'!AD15</f>
        <v>497.614</v>
      </c>
      <c r="AJ144" s="12">
        <f>AJ273-SUM(AJ145,AJ149,AJ153,AJ154,AJ155,AJ161,AJ166,AJ176,AJ179,AJ180,AJ189)</f>
        <v>957.973328786335</v>
      </c>
      <c r="AK144" s="12">
        <f>AK273-SUM(AK145,AK149,AK153,AK154,AK155,AK161,AK166,AK176,AK179,AK180,AK189)</f>
        <v>934.857122071349</v>
      </c>
      <c r="AL144" s="12">
        <f>AK144</f>
        <v>934.857122071349</v>
      </c>
      <c r="AM144" s="12">
        <f>AM273-SUM(AM145,AM149,AM153,AM154,AM155,AM161,AM166,AM176,AM179,AM180,AM189)</f>
        <v>1226.178767513</v>
      </c>
      <c r="AN144" s="12">
        <f>AN273-SUM(AN145,AN149,AN153,AN154,AN155,AN161,AN166,AN176,AN179,AN180,AN189)</f>
        <v>-365.347596241147</v>
      </c>
      <c r="AO144" s="12">
        <f>AO273-SUM(AO145,AO149,AO153,AO154,AO155,AO161,AO166,AO176,AO179,AO180,AO189)</f>
        <v>1441.97847126964</v>
      </c>
      <c r="AP144" s="12">
        <f>AP273-SUM(AP145,AP149,AP153,AP154,AP155,AP161,AP166,AP176,AP179,AP180,AP189)</f>
        <v>1418.80758053423</v>
      </c>
      <c r="AQ144" s="12">
        <f>AP144</f>
        <v>1418.80758053423</v>
      </c>
      <c r="AR144" s="12">
        <f>AR273-SUM(AR145,AR149,AR153,AR154,AR155,AR161,AR166,AR176,AR179,AR180,AR189)</f>
        <v>1777.92067723142</v>
      </c>
      <c r="AS144" s="12">
        <f>AS273-SUM(AS145,AS149,AS153,AS154,AS155,AS161,AS166,AS176,AS179,AS180,AS189)</f>
        <v>131.644252640475</v>
      </c>
      <c r="AT144" s="12">
        <f>AT273-SUM(AT145,AT149,AT153,AT154,AT155,AT161,AT166,AT176,AT179,AT180,AT189)</f>
        <v>1935.90376948835</v>
      </c>
      <c r="AU144" s="12">
        <f>AU273-SUM(AU145,AU149,AU153,AU154,AU155,AU161,AU166,AU176,AU179,AU180,AU189)</f>
        <v>1909.65430929502</v>
      </c>
      <c r="AV144" s="12">
        <f>AU144</f>
        <v>1909.65430929502</v>
      </c>
      <c r="AW144" s="12">
        <f>AW273-SUM(AW145,AW149,AW153,AW154,AW155,AW161,AW166,AW176,AW179,AW180,AW189)</f>
        <v>2217.07192394494</v>
      </c>
      <c r="AX144" s="12">
        <f>AX273-SUM(AX145,AX149,AX153,AX154,AX155,AX161,AX166,AX176,AX179,AX180,AX189)</f>
        <v>622.490981401268</v>
      </c>
      <c r="AY144" s="12">
        <f>AY273-SUM(AY145,AY149,AY153,AY154,AY155,AY161,AY166,AY176,AY179,AY180,AY189)</f>
        <v>2426.75049824914</v>
      </c>
      <c r="AZ144" s="12">
        <f>AZ273-SUM(AZ145,AZ149,AZ153,AZ154,AZ155,AZ161,AZ166,AZ176,AZ179,AZ180,AZ189)</f>
        <v>2400.50103805581</v>
      </c>
      <c r="BA144" s="12">
        <f>AZ144</f>
        <v>2400.50103805581</v>
      </c>
      <c r="BB144" s="12">
        <f>BB273-SUM(BB145,BB149,BB153,BB154,BB155,BB161,BB166,BB176,BB179,BB180,BB189)</f>
        <v>2707.91865270573</v>
      </c>
      <c r="BC144" s="12">
        <f>BC273-SUM(BC145,BC149,BC153,BC154,BC155,BC161,BC166,BC176,BC179,BC180,BC189)</f>
        <v>1113.33771016206</v>
      </c>
      <c r="BD144" s="12">
        <f>BD273-SUM(BD145,BD149,BD153,BD154,BD155,BD161,BD166,BD176,BD179,BD180,BD189)</f>
        <v>2917.59722700993</v>
      </c>
      <c r="BE144" s="12">
        <f>BE273-SUM(BE145,BE149,BE153,BE154,BE155,BE161,BE166,BE176,BE179,BE180,BE189)</f>
        <v>2891.3477668166</v>
      </c>
      <c r="BF144" s="12">
        <f>BE144</f>
        <v>2891.3477668166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2336.92</v>
      </c>
      <c r="J145" s="46">
        <f>'Inputs (2)'!E16</f>
        <v>3191.478</v>
      </c>
      <c r="K145" s="46">
        <f>'Inputs (2)'!F16</f>
        <v>2860.884</v>
      </c>
      <c r="L145" s="46">
        <f>'Inputs (2)'!G16</f>
        <v>3579.417</v>
      </c>
      <c r="M145" s="12">
        <f>'Inputs (2)'!H16</f>
        <v>3579.417</v>
      </c>
      <c r="N145" s="46">
        <f>'Inputs (2)'!I16</f>
        <v>3494.888</v>
      </c>
      <c r="O145" s="46">
        <f>'Inputs (2)'!J16</f>
        <v>4093.122</v>
      </c>
      <c r="P145" s="46">
        <f>'Inputs (2)'!K16</f>
        <v>3548.315</v>
      </c>
      <c r="Q145" s="46">
        <f>'Inputs (2)'!L16</f>
        <v>4276.643</v>
      </c>
      <c r="R145" s="12">
        <f>'Inputs (2)'!M16</f>
        <v>4276.643</v>
      </c>
      <c r="S145" s="46">
        <f>'Inputs (2)'!N16</f>
        <v>3611.016</v>
      </c>
      <c r="T145" s="46">
        <f>'Inputs (2)'!O16</f>
        <v>3839.097</v>
      </c>
      <c r="U145" s="46">
        <f>'Inputs (2)'!P16</f>
        <v>3105.811</v>
      </c>
      <c r="V145" s="46">
        <f>'Inputs (2)'!Q16</f>
        <v>3772.527</v>
      </c>
      <c r="W145" s="12">
        <f>'Inputs (2)'!R16</f>
        <v>3772.527</v>
      </c>
      <c r="X145" s="46">
        <f>'Inputs (2)'!S16</f>
        <v>3369.864</v>
      </c>
      <c r="Y145" s="46">
        <f>'Inputs (2)'!T16</f>
        <v>3817.151</v>
      </c>
      <c r="Z145" s="46">
        <f>'Inputs (2)'!U16</f>
        <v>3549.917</v>
      </c>
      <c r="AA145" s="46">
        <f>'Inputs (2)'!V16</f>
        <v>3740.766</v>
      </c>
      <c r="AB145" s="12">
        <f>'Inputs (2)'!W16</f>
        <v>3740.766</v>
      </c>
      <c r="AC145" s="46">
        <f>'Inputs (2)'!X16</f>
        <v>3392.512</v>
      </c>
      <c r="AD145" s="46">
        <f>'Inputs (2)'!Y16</f>
        <v>4197.885</v>
      </c>
      <c r="AE145" s="46">
        <f>'Inputs (2)'!Z16</f>
        <v>3686.585</v>
      </c>
      <c r="AF145" s="46">
        <f>'Inputs (2)'!AA16</f>
        <v>3988.684</v>
      </c>
      <c r="AG145" s="12">
        <f>'Inputs (2)'!AB16</f>
        <v>3988.684</v>
      </c>
      <c r="AH145" s="12">
        <f>'Inputs (2)'!AC16</f>
        <v>3603.449</v>
      </c>
      <c r="AI145" s="12">
        <f>'Inputs (2)'!AD16</f>
        <v>4542.147</v>
      </c>
      <c r="AJ145" s="12">
        <f>(AJ146/(AJ$5-AI$5))*AJ$15</f>
        <v>3656.12963321957</v>
      </c>
      <c r="AK145" s="12">
        <f>(AK146/(AK$5-AJ$5))*AK$15</f>
        <v>3765.83199428904</v>
      </c>
      <c r="AL145" s="12">
        <f>AK145</f>
        <v>3765.83199428904</v>
      </c>
      <c r="AM145" s="12">
        <f>(AM146/(AM$5-AL$5))*AM$15</f>
        <v>3627.89761036843</v>
      </c>
      <c r="AN145" s="12">
        <f>(AN146/(AN$5-AM$5))*AN$15</f>
        <v>4974.61449374618</v>
      </c>
      <c r="AO145" s="12">
        <f>(AO146/(AO$5-AN$5))*AO$15</f>
        <v>3670.45917718686</v>
      </c>
      <c r="AP145" s="12">
        <f>(AP146/(AP$5-AO$5))*AP$15</f>
        <v>3780.59149697332</v>
      </c>
      <c r="AQ145" s="12">
        <f>AP145</f>
        <v>3780.59149697332</v>
      </c>
      <c r="AR145" s="12">
        <f>(AR146/(AR$5-AQ$5))*AR$15</f>
        <v>3588.03060366108</v>
      </c>
      <c r="AS145" s="12">
        <f>(AS146/(AS$5-AR$5))*AS$15</f>
        <v>4974.61449374618</v>
      </c>
      <c r="AT145" s="12">
        <f>(AT146/(AT$5-AS$5))*AT$15</f>
        <v>3670.45917718686</v>
      </c>
      <c r="AU145" s="12">
        <f>(AU146/(AU$5-AT$5))*AU$15</f>
        <v>3780.59149697332</v>
      </c>
      <c r="AV145" s="12">
        <f>AU145</f>
        <v>3780.59149697332</v>
      </c>
      <c r="AW145" s="12">
        <f>(AW146/(AW$5-AV$5))*AW$15</f>
        <v>3627.89761036843</v>
      </c>
      <c r="AX145" s="12">
        <f>(AX146/(AX$5-AW$5))*AX$15</f>
        <v>4974.61449374618</v>
      </c>
      <c r="AY145" s="12">
        <f>(AY146/(AY$5-AX$5))*AY$15</f>
        <v>3670.45917718686</v>
      </c>
      <c r="AZ145" s="12">
        <f>(AZ146/(AZ$5-AY$5))*AZ$15</f>
        <v>3780.59149697332</v>
      </c>
      <c r="BA145" s="12">
        <f>AZ145</f>
        <v>3780.59149697332</v>
      </c>
      <c r="BB145" s="12">
        <f>(BB146/(BB$5-BA$5))*BB$15</f>
        <v>3627.89761036843</v>
      </c>
      <c r="BC145" s="12">
        <f>(BC146/(BC$5-BB$5))*BC$15</f>
        <v>4974.61449374618</v>
      </c>
      <c r="BD145" s="12">
        <f>(BD146/(BD$5-BC$5))*BD$15</f>
        <v>3670.45917718686</v>
      </c>
      <c r="BE145" s="12">
        <f>(BE146/(BE$5-BD$5))*BE$15</f>
        <v>3780.59149697332</v>
      </c>
      <c r="BF145" s="12">
        <f>BE145</f>
        <v>3780.59149697332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25.2786996017744</v>
      </c>
      <c r="J146" s="12">
        <f>IFERROR((J145/J$15)*(J$5-I$5),"")</f>
        <v>26.5713756370554</v>
      </c>
      <c r="K146" s="12">
        <f>IFERROR((K145/K$15)*(K$5-J$5),"")</f>
        <v>25.1092277377339</v>
      </c>
      <c r="L146" s="12">
        <f>IFERROR((L145/L$15)*(L$5-K$5),"")</f>
        <v>30.2650232883613</v>
      </c>
      <c r="M146" s="12" t="n"/>
      <c r="N146" s="12">
        <f>IFERROR((N145/N$15)*(N$5-M$5),"")</f>
        <v>30.4415428157979</v>
      </c>
      <c r="O146" s="12">
        <f>IFERROR((O145/O$15)*(O$5-N$5),"")</f>
        <v>28.3514939117308</v>
      </c>
      <c r="P146" s="12">
        <f>IFERROR((P145/P$15)*(P$5-O$5),"")</f>
        <v>24.287982148412</v>
      </c>
      <c r="Q146" s="12">
        <f>IFERROR((Q145/Q$15)*(Q$5-P$5),"")</f>
        <v>30.8206265173797</v>
      </c>
      <c r="R146" s="12" t="n"/>
      <c r="S146" s="12">
        <f>IFERROR((S145/S$15)*(S$5-R$5),"")</f>
        <v>28.7428857273044</v>
      </c>
      <c r="T146" s="12">
        <f>IFERROR((T145/T$15)*(T$5-S$5),"")</f>
        <v>29.050086932111</v>
      </c>
      <c r="U146" s="12">
        <f>IFERROR((U145/U$15)*(U$5-T$5),"")</f>
        <v>30.1050051700163</v>
      </c>
      <c r="V146" s="12">
        <f>IFERROR((V145/V$15)*(V$5-U$5),"")</f>
        <v>30.4699240377509</v>
      </c>
      <c r="W146" s="12" t="n"/>
      <c r="X146" s="12">
        <f>IFERROR((X145/X$15)*(X$5-W$5),"")</f>
        <v>33.7450672793778</v>
      </c>
      <c r="Y146" s="12">
        <f>IFERROR((Y145/Y$15)*(Y$5-X$5),"")</f>
        <v>36.1495843004405</v>
      </c>
      <c r="Z146" s="12">
        <f>IFERROR((Z145/Z$15)*(Z$5-Y$5),"")</f>
        <v>35.5993589785514</v>
      </c>
      <c r="AA146" s="12">
        <f>IFERROR((AA145/AA$15)*(AA$5-Z$5),"")</f>
        <v>37.0288707517189</v>
      </c>
      <c r="AB146" s="12" t="n"/>
      <c r="AC146" s="12">
        <f>IFERROR((AC145/AC$15)*(AC$5-AB$5),"")</f>
        <v>39.1634940703736</v>
      </c>
      <c r="AD146" s="12">
        <f>IFERROR((AD145/AD$15)*(AD$5-AC$5),"")</f>
        <v>39.114383354967</v>
      </c>
      <c r="AE146" s="12">
        <f>IFERROR((AE145/AE$15)*(AE$5-AD$5),"")</f>
        <v>39.4109216438428</v>
      </c>
      <c r="AF146" s="11">
        <f>IFERROR((AF145/AF$15)*(AF$5-AE$5),"")</f>
        <v>41.3983103086336</v>
      </c>
      <c r="AG146" s="12" t="n"/>
      <c r="AH146" s="11">
        <f>IFERROR((AH145/AH$15)*(AH$5-AG$5),"")</f>
        <v>38.8219444321746</v>
      </c>
      <c r="AI146" s="11">
        <f>IFERROR((AI145/AI$15)*(AI$5-AH$5),"")</f>
        <v>35.687463375562</v>
      </c>
      <c r="AJ146" s="11">
        <f>Control!$B$25</f>
        <v>38.9327528642589</v>
      </c>
      <c r="AK146" s="11">
        <f>Control!$B$25</f>
        <v>38.9327528642589</v>
      </c>
      <c r="AL146" s="12" t="n"/>
      <c r="AM146" s="11">
        <f>Control!$C$25</f>
        <v>38.9327528642589</v>
      </c>
      <c r="AN146" s="11">
        <f>Control!$C$25</f>
        <v>38.9327528642589</v>
      </c>
      <c r="AO146" s="11">
        <f>Control!$C$25</f>
        <v>38.9327528642589</v>
      </c>
      <c r="AP146" s="11">
        <f>Control!$C$25</f>
        <v>38.9327528642589</v>
      </c>
      <c r="AQ146" s="12" t="n"/>
      <c r="AR146" s="11">
        <f>Control!$D$25</f>
        <v>38.9327528642589</v>
      </c>
      <c r="AS146" s="11">
        <f>Control!$D$25</f>
        <v>38.9327528642589</v>
      </c>
      <c r="AT146" s="11">
        <f>Control!$D$25</f>
        <v>38.9327528642589</v>
      </c>
      <c r="AU146" s="11">
        <f>Control!$D$25</f>
        <v>38.9327528642589</v>
      </c>
      <c r="AV146" s="12" t="n"/>
      <c r="AW146" s="11">
        <f>Control!$E$25</f>
        <v>38.9327528642589</v>
      </c>
      <c r="AX146" s="11">
        <f>Control!$E$25</f>
        <v>38.9327528642589</v>
      </c>
      <c r="AY146" s="11">
        <f>Control!$E$25</f>
        <v>38.9327528642589</v>
      </c>
      <c r="AZ146" s="11">
        <f>Control!$E$25</f>
        <v>38.9327528642589</v>
      </c>
      <c r="BA146" s="12" t="n"/>
      <c r="BB146" s="11">
        <f>Control!$F$25</f>
        <v>38.9327528642589</v>
      </c>
      <c r="BC146" s="11">
        <f>Control!$F$25</f>
        <v>38.9327528642589</v>
      </c>
      <c r="BD146" s="11">
        <f>Control!$F$25</f>
        <v>38.9327528642589</v>
      </c>
      <c r="BE146" s="11">
        <f>Control!$F$25</f>
        <v>38.9327528642589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4246.051</v>
      </c>
      <c r="J149" s="46">
        <f>'Inputs (2)'!E17</f>
        <v>3513.871</v>
      </c>
      <c r="K149" s="46">
        <f>'Inputs (2)'!F17</f>
        <v>3334.675</v>
      </c>
      <c r="L149" s="46">
        <f>'Inputs (2)'!G17</f>
        <v>4608.816</v>
      </c>
      <c r="M149" s="12">
        <f>'Inputs (2)'!H17</f>
        <v>4608.816</v>
      </c>
      <c r="N149" s="46">
        <f>'Inputs (2)'!I17</f>
        <v>5304.817</v>
      </c>
      <c r="O149" s="46">
        <f>'Inputs (2)'!J17</f>
        <v>4451.695</v>
      </c>
      <c r="P149" s="46">
        <f>'Inputs (2)'!K17</f>
        <v>3652.871</v>
      </c>
      <c r="Q149" s="46">
        <f>'Inputs (2)'!L17</f>
        <v>5070.104</v>
      </c>
      <c r="R149" s="12">
        <f>'Inputs (2)'!M17</f>
        <v>5070.104</v>
      </c>
      <c r="S149" s="46">
        <f>'Inputs (2)'!N17</f>
        <v>4858.258</v>
      </c>
      <c r="T149" s="46">
        <f>'Inputs (2)'!O17</f>
        <v>3280.822</v>
      </c>
      <c r="U149" s="46">
        <f>'Inputs (2)'!P17</f>
        <v>3215.179</v>
      </c>
      <c r="V149" s="46">
        <f>'Inputs (2)'!Q17</f>
        <v>4251.58</v>
      </c>
      <c r="W149" s="12">
        <f>'Inputs (2)'!R17</f>
        <v>4251.58</v>
      </c>
      <c r="X149" s="46">
        <f>'Inputs (2)'!S17</f>
        <v>3931.631</v>
      </c>
      <c r="Y149" s="46">
        <f>'Inputs (2)'!T17</f>
        <v>3305.167</v>
      </c>
      <c r="Z149" s="46">
        <f>'Inputs (2)'!U17</f>
        <v>3067.415</v>
      </c>
      <c r="AA149" s="46">
        <f>'Inputs (2)'!V17</f>
        <v>3901.294</v>
      </c>
      <c r="AB149" s="12">
        <f>'Inputs (2)'!W17</f>
        <v>3901.294</v>
      </c>
      <c r="AC149" s="46">
        <f>'Inputs (2)'!X17</f>
        <v>4644.319</v>
      </c>
      <c r="AD149" s="46">
        <f>'Inputs (2)'!Y17</f>
        <v>3451.379</v>
      </c>
      <c r="AE149" s="46">
        <f>'Inputs (2)'!Z17</f>
        <v>3270.35</v>
      </c>
      <c r="AF149" s="46">
        <f>'Inputs (2)'!AA17</f>
        <v>4327.585</v>
      </c>
      <c r="AG149" s="12">
        <f>'Inputs (2)'!AB17</f>
        <v>4327.585</v>
      </c>
      <c r="AH149" s="12">
        <f>'Inputs (2)'!AC17</f>
        <v>4886.738</v>
      </c>
      <c r="AI149" s="12">
        <f>'Inputs (2)'!AD17</f>
        <v>3606.271</v>
      </c>
      <c r="AJ149" s="12">
        <f>(AJ150/(AJ$5-AI$5))*-AJ$54</f>
        <v>3850.55377577259</v>
      </c>
      <c r="AK149" s="12">
        <f>(AK150/(AK$5-AJ$5))*-AK$54</f>
        <v>3966.08984341886</v>
      </c>
      <c r="AL149" s="12">
        <f>AK149</f>
        <v>3966.08984341886</v>
      </c>
      <c r="AM149" s="12">
        <f>(AM150/(AM$5-AL$5))*-AM$54</f>
        <v>3820.82044214037</v>
      </c>
      <c r="AN149" s="12">
        <f>(AN150/(AN$5-AM$5))*-AN$54</f>
        <v>5239.15247639608</v>
      </c>
      <c r="AO149" s="12">
        <f>(AO150/(AO$5-AN$5))*-AO$54</f>
        <v>3865.6453302752</v>
      </c>
      <c r="AP149" s="12">
        <f>(AP150/(AP$5-AO$5))*-AP$54</f>
        <v>3981.63422080448</v>
      </c>
      <c r="AQ149" s="12">
        <f>AP149</f>
        <v>3981.63422080448</v>
      </c>
      <c r="AR149" s="12">
        <f>(AR150/(AR$5-AQ$5))*-AR$54</f>
        <v>3778.83340431465</v>
      </c>
      <c r="AS149" s="12">
        <f>(AS150/(AS$5-AR$5))*-AS$54</f>
        <v>5239.15247639608</v>
      </c>
      <c r="AT149" s="12">
        <f>(AT150/(AT$5-AS$5))*-AT$54</f>
        <v>3865.6453302752</v>
      </c>
      <c r="AU149" s="12">
        <f>(AU150/(AU$5-AT$5))*-AU$54</f>
        <v>3981.63422080448</v>
      </c>
      <c r="AV149" s="12">
        <f>AU149</f>
        <v>3981.63422080448</v>
      </c>
      <c r="AW149" s="12">
        <f>(AW150/(AW$5-AV$5))*-AW$54</f>
        <v>3820.82044214037</v>
      </c>
      <c r="AX149" s="12">
        <f>(AX150/(AX$5-AW$5))*-AX$54</f>
        <v>5239.15247639608</v>
      </c>
      <c r="AY149" s="12">
        <f>(AY150/(AY$5-AX$5))*-AY$54</f>
        <v>3865.6453302752</v>
      </c>
      <c r="AZ149" s="12">
        <f>(AZ150/(AZ$5-AY$5))*-AZ$54</f>
        <v>3981.63422080448</v>
      </c>
      <c r="BA149" s="12">
        <f>AZ149</f>
        <v>3981.63422080448</v>
      </c>
      <c r="BB149" s="12">
        <f>(BB150/(BB$5-BA$5))*-BB$54</f>
        <v>3820.82044214037</v>
      </c>
      <c r="BC149" s="12">
        <f>(BC150/(BC$5-BB$5))*-BC$54</f>
        <v>5239.15247639608</v>
      </c>
      <c r="BD149" s="12">
        <f>(BD150/(BD$5-BC$5))*-BD$54</f>
        <v>3865.6453302752</v>
      </c>
      <c r="BE149" s="12">
        <f>(BE150/(BE$5-BD$5))*-BE$54</f>
        <v>3981.63422080448</v>
      </c>
      <c r="BF149" s="12">
        <f>BE149</f>
        <v>3981.63422080448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46.4984396671923</v>
      </c>
      <c r="J150" s="12">
        <f>IFERROR(((J149/J$54)*(J$5-I$5))*-1,"")</f>
        <v>30.1226357345986</v>
      </c>
      <c r="K150" s="12">
        <f>IFERROR(((K149/K$54)*(K$5-J$5))*-1,"")</f>
        <v>30.2993350918313</v>
      </c>
      <c r="L150" s="12">
        <f>IFERROR(((L149/L$54)*(L$5-K$5))*-1,"")</f>
        <v>40.9243559094433</v>
      </c>
      <c r="M150" s="12" t="n"/>
      <c r="N150" s="12">
        <f>IFERROR(((N149/N$54)*(N$5-M$5))*-1,"")</f>
        <v>47.4416714114943</v>
      </c>
      <c r="O150" s="12">
        <f>IFERROR(((O149/O$54)*(O$5-N$5))*-1,"")</f>
        <v>32.4252863516588</v>
      </c>
      <c r="P150" s="12">
        <f>IFERROR(((P149/P$54)*(P$5-O$5))*-1,"")</f>
        <v>26.3645074673023</v>
      </c>
      <c r="Q150" s="12">
        <f>IFERROR(((Q149/Q$54)*(Q$5-P$5))*-1,"")</f>
        <v>39.2412874081831</v>
      </c>
      <c r="R150" s="12" t="n"/>
      <c r="S150" s="12">
        <f>IFERROR(((S149/S$54)*(S$5-R$5))*-1,"")</f>
        <v>40.0311263427573</v>
      </c>
      <c r="T150" s="12">
        <f>IFERROR(((T149/T$54)*(T$5-S$5))*-1,"")</f>
        <v>26.3004230815954</v>
      </c>
      <c r="U150" s="12">
        <f>IFERROR(((U149/U$54)*(U$5-T$5))*-1,"")</f>
        <v>32.674789066695</v>
      </c>
      <c r="V150" s="12">
        <f>IFERROR(((V149/V$54)*(V$5-U$5))*-1,"")</f>
        <v>36.4001478543806</v>
      </c>
      <c r="W150" s="12" t="n"/>
      <c r="X150" s="12">
        <f>IFERROR(((X149/X$54)*(X$5-W$5))*-1,"")</f>
        <v>41.022164885569</v>
      </c>
      <c r="Y150" s="12">
        <f>IFERROR(((Y149/Y$54)*(Y$5-X$5))*-1,"")</f>
        <v>32.9027471046433</v>
      </c>
      <c r="Z150" s="12">
        <f>IFERROR(((Z149/Z$54)*(Z$5-Y$5))*-1,"")</f>
        <v>31.703058995769</v>
      </c>
      <c r="AA150" s="12">
        <f>IFERROR(((AA149/AA$54)*(AA$5-Z$5))*-1,"")</f>
        <v>40.3577478940648</v>
      </c>
      <c r="AB150" s="12" t="n"/>
      <c r="AC150" s="12">
        <f>IFERROR(((AC149/AC$54)*(AC$5-AB$5))*-1,"")</f>
        <v>54.14448496323</v>
      </c>
      <c r="AD150" s="12">
        <f>IFERROR(((AD149/AD$54)*(AD$5-AC$5))*-1,"")</f>
        <v>33.2826607224416</v>
      </c>
      <c r="AE150" s="12">
        <f>IFERROR(((AE149/AE$54)*(AE$5-AD$5))*-1,"")</f>
        <v>36.3553472069167</v>
      </c>
      <c r="AF150" s="11">
        <f>IFERROR(((AF149/AF$54)*(AF$5-AE$5))*-1,"")</f>
        <v>46.9792885974716</v>
      </c>
      <c r="AG150" s="12" t="n"/>
      <c r="AH150" s="11">
        <f>IFERROR(((AH149/AH$54)*(AH$5-AG$5))*-1,"")</f>
        <v>52.8107403806425</v>
      </c>
      <c r="AI150" s="11">
        <f>IFERROR(((AI149/AI$54)*(AI$5-AH$5))*-1,"")</f>
        <v>29.3757840620602</v>
      </c>
      <c r="AJ150" s="11">
        <f>Control!$B$26</f>
        <v>42.1580509887938</v>
      </c>
      <c r="AK150" s="11">
        <f>Control!$B$26</f>
        <v>42.1580509887938</v>
      </c>
      <c r="AL150" s="12" t="n"/>
      <c r="AM150" s="11">
        <f>Control!$C$26</f>
        <v>42.1580509887938</v>
      </c>
      <c r="AN150" s="11">
        <f>Control!$C$26</f>
        <v>42.1580509887938</v>
      </c>
      <c r="AO150" s="11">
        <f>Control!$C$26</f>
        <v>42.1580509887938</v>
      </c>
      <c r="AP150" s="11">
        <f>Control!$C$26</f>
        <v>42.1580509887938</v>
      </c>
      <c r="AQ150" s="12" t="n"/>
      <c r="AR150" s="11">
        <f>Control!$D$26</f>
        <v>42.1580509887938</v>
      </c>
      <c r="AS150" s="11">
        <f>Control!$D$26</f>
        <v>42.1580509887938</v>
      </c>
      <c r="AT150" s="11">
        <f>Control!$D$26</f>
        <v>42.1580509887938</v>
      </c>
      <c r="AU150" s="11">
        <f>Control!$D$26</f>
        <v>42.1580509887938</v>
      </c>
      <c r="AV150" s="12" t="n"/>
      <c r="AW150" s="11">
        <f>Control!$E$26</f>
        <v>42.1580509887938</v>
      </c>
      <c r="AX150" s="11">
        <f>Control!$E$26</f>
        <v>42.1580509887938</v>
      </c>
      <c r="AY150" s="11">
        <f>Control!$E$26</f>
        <v>42.1580509887938</v>
      </c>
      <c r="AZ150" s="11">
        <f>Control!$E$26</f>
        <v>42.1580509887938</v>
      </c>
      <c r="BA150" s="12" t="n"/>
      <c r="BB150" s="11">
        <f>Control!$F$26</f>
        <v>42.1580509887938</v>
      </c>
      <c r="BC150" s="11">
        <f>Control!$F$26</f>
        <v>42.1580509887938</v>
      </c>
      <c r="BD150" s="11">
        <f>Control!$F$26</f>
        <v>42.1580509887938</v>
      </c>
      <c r="BE150" s="11">
        <f>Control!$F$26</f>
        <v>42.1580509887938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0</v>
      </c>
      <c r="J153" s="46">
        <f>'Inputs (2)'!E18</f>
        <v>0</v>
      </c>
      <c r="K153" s="46">
        <f>'Inputs (2)'!F18</f>
        <v>0</v>
      </c>
      <c r="L153" s="46">
        <f>'Inputs (2)'!G18</f>
        <v>0</v>
      </c>
      <c r="M153" s="12">
        <f>'Inputs (2)'!H18</f>
        <v>0</v>
      </c>
      <c r="N153" s="46">
        <f>'Inputs (2)'!I18</f>
        <v>0</v>
      </c>
      <c r="O153" s="46">
        <f>'Inputs (2)'!J18</f>
        <v>0</v>
      </c>
      <c r="P153" s="46">
        <f>'Inputs (2)'!K18</f>
        <v>0</v>
      </c>
      <c r="Q153" s="46">
        <f>'Inputs (2)'!L18</f>
        <v>0</v>
      </c>
      <c r="R153" s="12">
        <f>'Inputs (2)'!M18</f>
        <v>0</v>
      </c>
      <c r="S153" s="46">
        <f>'Inputs (2)'!N18</f>
        <v>0</v>
      </c>
      <c r="T153" s="46">
        <f>'Inputs (2)'!O18</f>
        <v>0</v>
      </c>
      <c r="U153" s="46">
        <f>'Inputs (2)'!P18</f>
        <v>0</v>
      </c>
      <c r="V153" s="46">
        <f>'Inputs (2)'!Q18</f>
        <v>0</v>
      </c>
      <c r="W153" s="12">
        <f>'Inputs (2)'!R18</f>
        <v>0</v>
      </c>
      <c r="X153" s="46">
        <f>'Inputs (2)'!S18</f>
        <v>0</v>
      </c>
      <c r="Y153" s="46">
        <f>'Inputs (2)'!T18</f>
        <v>0</v>
      </c>
      <c r="Z153" s="46">
        <f>'Inputs (2)'!U18</f>
        <v>0</v>
      </c>
      <c r="AA153" s="46">
        <f>'Inputs (2)'!V18</f>
        <v>0</v>
      </c>
      <c r="AB153" s="12">
        <f>'Inputs (2)'!W18</f>
        <v>0</v>
      </c>
      <c r="AC153" s="46">
        <f>'Inputs (2)'!X18</f>
        <v>0</v>
      </c>
      <c r="AD153" s="46">
        <f>'Inputs (2)'!Y18</f>
        <v>0</v>
      </c>
      <c r="AE153" s="46">
        <f>'Inputs (2)'!Z18</f>
        <v>0</v>
      </c>
      <c r="AF153" s="46">
        <f>'Inputs (2)'!AA18</f>
        <v>0</v>
      </c>
      <c r="AG153" s="12">
        <f>'Inputs (2)'!AB18</f>
        <v>0</v>
      </c>
      <c r="AH153" s="12">
        <f>'Inputs (2)'!AC18</f>
        <v>0</v>
      </c>
      <c r="AI153" s="12">
        <f>'Inputs (2)'!AD18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>
        <f>AL153</f>
        <v>0</v>
      </c>
      <c r="AN153" s="12">
        <f>AM153</f>
        <v>0</v>
      </c>
      <c r="AO153" s="12">
        <f>AN153</f>
        <v>0</v>
      </c>
      <c r="AP153" s="12">
        <f>AO153</f>
        <v>0</v>
      </c>
      <c r="AQ153" s="12">
        <f>AP153</f>
        <v>0</v>
      </c>
      <c r="AR153" s="12">
        <f>AQ153</f>
        <v>0</v>
      </c>
      <c r="AS153" s="12">
        <f>AR153</f>
        <v>0</v>
      </c>
      <c r="AT153" s="12">
        <f>AS153</f>
        <v>0</v>
      </c>
      <c r="AU153" s="12">
        <f>AT153</f>
        <v>0</v>
      </c>
      <c r="AV153" s="12">
        <f>AU153</f>
        <v>0</v>
      </c>
      <c r="AW153" s="12">
        <f>AV153</f>
        <v>0</v>
      </c>
      <c r="AX153" s="12">
        <f>AW153</f>
        <v>0</v>
      </c>
      <c r="AY153" s="12">
        <f>AX153</f>
        <v>0</v>
      </c>
      <c r="AZ153" s="12">
        <f>AY153</f>
        <v>0</v>
      </c>
      <c r="BA153" s="12">
        <f>AZ153</f>
        <v>0</v>
      </c>
      <c r="BB153" s="12">
        <f>BA153</f>
        <v>0</v>
      </c>
      <c r="BC153" s="12">
        <f>BB153</f>
        <v>0</v>
      </c>
      <c r="BD153" s="12">
        <f>BC153</f>
        <v>0</v>
      </c>
      <c r="BE153" s="12">
        <f>BD153</f>
        <v>0</v>
      </c>
      <c r="BF153" s="12">
        <f>BE153</f>
        <v>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2150.25</v>
      </c>
      <c r="J155" s="46">
        <f>'Inputs (2)'!E20</f>
        <v>1896.796</v>
      </c>
      <c r="K155" s="46">
        <f>'Inputs (2)'!F20</f>
        <v>1390.233</v>
      </c>
      <c r="L155" s="46">
        <f>'Inputs (2)'!G20</f>
        <v>1498.883</v>
      </c>
      <c r="M155" s="12">
        <f>'Inputs (2)'!H20</f>
        <v>1498.883</v>
      </c>
      <c r="N155" s="46">
        <f>'Inputs (2)'!I20</f>
        <v>2215.421</v>
      </c>
      <c r="O155" s="46">
        <f>'Inputs (2)'!J20</f>
        <v>2061.475</v>
      </c>
      <c r="P155" s="46">
        <f>'Inputs (2)'!K20</f>
        <v>1382.704</v>
      </c>
      <c r="Q155" s="46">
        <f>'Inputs (2)'!L20</f>
        <v>1481.592</v>
      </c>
      <c r="R155" s="12">
        <f>'Inputs (2)'!M20</f>
        <v>1481.592</v>
      </c>
      <c r="S155" s="46">
        <f>'Inputs (2)'!N20</f>
        <v>1690.433</v>
      </c>
      <c r="T155" s="46">
        <f>'Inputs (2)'!O20</f>
        <v>1269.049</v>
      </c>
      <c r="U155" s="46">
        <f>'Inputs (2)'!P20</f>
        <v>1042.373</v>
      </c>
      <c r="V155" s="46">
        <f>'Inputs (2)'!Q20</f>
        <v>1213.331</v>
      </c>
      <c r="W155" s="12">
        <f>'Inputs (2)'!R20</f>
        <v>1213.331</v>
      </c>
      <c r="X155" s="46">
        <f>'Inputs (2)'!S20</f>
        <v>1388.321</v>
      </c>
      <c r="Y155" s="46">
        <f>'Inputs (2)'!T20</f>
        <v>1027.818</v>
      </c>
      <c r="Z155" s="46">
        <f>'Inputs (2)'!U20</f>
        <v>1296.586</v>
      </c>
      <c r="AA155" s="46">
        <f>'Inputs (2)'!V20</f>
        <v>1265.673</v>
      </c>
      <c r="AB155" s="12">
        <f>'Inputs (2)'!W20</f>
        <v>1265.673</v>
      </c>
      <c r="AC155" s="46">
        <f>'Inputs (2)'!X20</f>
        <v>1226.613</v>
      </c>
      <c r="AD155" s="46">
        <f>'Inputs (2)'!Y20</f>
        <v>954.021</v>
      </c>
      <c r="AE155" s="46">
        <f>'Inputs (2)'!Z20</f>
        <v>801.59</v>
      </c>
      <c r="AF155" s="46">
        <f>'Inputs (2)'!AA20</f>
        <v>1209.357</v>
      </c>
      <c r="AG155" s="12">
        <f>'Inputs (2)'!AB20</f>
        <v>1209.357</v>
      </c>
      <c r="AH155" s="12">
        <f>'Inputs (2)'!AC20</f>
        <v>1517.293</v>
      </c>
      <c r="AI155" s="12">
        <f>'Inputs (2)'!AD20</f>
        <v>1297.261</v>
      </c>
      <c r="AJ155" s="12">
        <f>AI155</f>
        <v>1297.261</v>
      </c>
      <c r="AK155" s="12">
        <f>AJ155</f>
        <v>1297.261</v>
      </c>
      <c r="AL155" s="12">
        <f>AK155</f>
        <v>1297.261</v>
      </c>
      <c r="AM155" s="12">
        <f>AL155</f>
        <v>1297.261</v>
      </c>
      <c r="AN155" s="12">
        <f>AM155</f>
        <v>1297.261</v>
      </c>
      <c r="AO155" s="12">
        <f>AN155</f>
        <v>1297.261</v>
      </c>
      <c r="AP155" s="12">
        <f>AO155</f>
        <v>1297.261</v>
      </c>
      <c r="AQ155" s="12">
        <f>AP155</f>
        <v>1297.261</v>
      </c>
      <c r="AR155" s="12">
        <f>AQ155</f>
        <v>1297.261</v>
      </c>
      <c r="AS155" s="12">
        <f>AR155</f>
        <v>1297.261</v>
      </c>
      <c r="AT155" s="12">
        <f>AS155</f>
        <v>1297.261</v>
      </c>
      <c r="AU155" s="12">
        <f>AT155</f>
        <v>1297.261</v>
      </c>
      <c r="AV155" s="12">
        <f>AU155</f>
        <v>1297.261</v>
      </c>
      <c r="AW155" s="12">
        <f>AV155</f>
        <v>1297.261</v>
      </c>
      <c r="AX155" s="12">
        <f>AW155</f>
        <v>1297.261</v>
      </c>
      <c r="AY155" s="12">
        <f>AX155</f>
        <v>1297.261</v>
      </c>
      <c r="AZ155" s="12">
        <f>AY155</f>
        <v>1297.261</v>
      </c>
      <c r="BA155" s="12">
        <f>AZ155</f>
        <v>1297.261</v>
      </c>
      <c r="BB155" s="12">
        <f>BA155</f>
        <v>1297.261</v>
      </c>
      <c r="BC155" s="12">
        <f>BB155</f>
        <v>1297.261</v>
      </c>
      <c r="BD155" s="12">
        <f>BC155</f>
        <v>1297.261</v>
      </c>
      <c r="BE155" s="12">
        <f>BD155</f>
        <v>1297.261</v>
      </c>
      <c r="BF155" s="12">
        <f>BE155</f>
        <v>1297.261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-0.11787187536333</v>
      </c>
      <c r="K156" s="40">
        <f>IFERROR(IF(J155=0,"",K155/J155-1),"")</f>
        <v>-0.267062456901006</v>
      </c>
      <c r="L156" s="40">
        <f>IFERROR(IF(K155=0,"",L155/K155-1),"")</f>
        <v>0.0781523672650557</v>
      </c>
      <c r="M156" s="12">
        <f>IFERROR(IF(L155=0,"",M155/L155-1),"")</f>
        <v>0</v>
      </c>
      <c r="N156" s="40">
        <f>IFERROR(IF(M155=0,"",N155/M155-1),"")</f>
        <v>0.478047986400539</v>
      </c>
      <c r="O156" s="40">
        <f>IFERROR(IF(N155=0,"",O155/N155-1),"")</f>
        <v>-0.0694883726388799</v>
      </c>
      <c r="P156" s="40">
        <f>IFERROR(IF(O155=0,"",P155/O155-1),"")</f>
        <v>-0.329264725499945</v>
      </c>
      <c r="Q156" s="40">
        <f>IFERROR(IF(P155=0,"",Q155/P155-1),"")</f>
        <v>0.0715178375125842</v>
      </c>
      <c r="R156" s="12">
        <f>IFERROR(IF(Q155=0,"",R155/Q155-1),"")</f>
        <v>0</v>
      </c>
      <c r="S156" s="40">
        <f>IFERROR(IF(R155=0,"",S155/R155-1),"")</f>
        <v>0.140957159595894</v>
      </c>
      <c r="T156" s="40">
        <f>IFERROR(IF(S155=0,"",T155/S155-1),"")</f>
        <v>-0.249275777271267</v>
      </c>
      <c r="U156" s="40">
        <f>IFERROR(IF(T155=0,"",U155/T155-1),"")</f>
        <v>-0.178618792497374</v>
      </c>
      <c r="V156" s="40">
        <f>IFERROR(IF(U155=0,"",V155/U155-1),"")</f>
        <v>0.164008469137247</v>
      </c>
      <c r="W156" s="12">
        <f>IFERROR(IF(V155=0,"",W155/V155-1),"")</f>
        <v>0</v>
      </c>
      <c r="X156" s="40">
        <f>IFERROR(IF(W155=0,"",X155/W155-1),"")</f>
        <v>0.144222804824075</v>
      </c>
      <c r="Y156" s="40">
        <f>IFERROR(IF(X155=0,"",Y155/X155-1),"")</f>
        <v>-0.259668333188074</v>
      </c>
      <c r="Z156" s="40">
        <f>IFERROR(IF(Y155=0,"",Z155/Y155-1),"")</f>
        <v>0.261493766406115</v>
      </c>
      <c r="AA156" s="40">
        <f>IFERROR(IF(Z155=0,"",AA155/Z155-1),"")</f>
        <v>-0.0238418431172325</v>
      </c>
      <c r="AB156" s="12">
        <f>IFERROR(IF(AA155=0,"",AB155/AA155-1),"")</f>
        <v>0</v>
      </c>
      <c r="AC156" s="40">
        <f>IFERROR(IF(AB155=0,"",AC155/AB155-1),"")</f>
        <v>-0.030861051788258</v>
      </c>
      <c r="AD156" s="40">
        <f>IFERROR(IF(AC155=0,"",AD155/AC155-1),"")</f>
        <v>-0.222231461756887</v>
      </c>
      <c r="AE156" s="40">
        <f>IFERROR(IF(AD155=0,"",AE155/AD155-1),"")</f>
        <v>-0.15977740531917</v>
      </c>
      <c r="AF156" s="55">
        <f>IFERROR(IF(AE155=0,"",AF155/AE155-1),"")</f>
        <v>0.508697713294827</v>
      </c>
      <c r="AG156" s="12">
        <f>IFERROR(IF(AF155=0,"",AG155/AF155-1),"")</f>
        <v>0</v>
      </c>
      <c r="AH156" s="12">
        <f>IFERROR(IF(AG155=0,"",AH155/AG155-1),"")</f>
        <v>0.254627872497534</v>
      </c>
      <c r="AI156" s="12">
        <f>IFERROR(IF(AH155=0,"",AI155/AH155-1),"")</f>
        <v>-0.145016157063929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0</v>
      </c>
      <c r="J161" s="46">
        <f>'Inputs (2)'!E21</f>
        <v>0</v>
      </c>
      <c r="K161" s="46">
        <f>'Inputs (2)'!F21</f>
        <v>0</v>
      </c>
      <c r="L161" s="46">
        <f>'Inputs (2)'!G21</f>
        <v>0</v>
      </c>
      <c r="M161" s="12">
        <f>'Inputs (2)'!H21</f>
        <v>0</v>
      </c>
      <c r="N161" s="46">
        <f>'Inputs (2)'!I21</f>
        <v>0</v>
      </c>
      <c r="O161" s="46">
        <f>'Inputs (2)'!J21</f>
        <v>0</v>
      </c>
      <c r="P161" s="46">
        <f>'Inputs (2)'!K21</f>
        <v>0</v>
      </c>
      <c r="Q161" s="46">
        <f>'Inputs (2)'!L21</f>
        <v>0</v>
      </c>
      <c r="R161" s="12">
        <f>'Inputs (2)'!M21</f>
        <v>0</v>
      </c>
      <c r="S161" s="46">
        <f>'Inputs (2)'!N21</f>
        <v>0</v>
      </c>
      <c r="T161" s="46">
        <f>'Inputs (2)'!O21</f>
        <v>0</v>
      </c>
      <c r="U161" s="46">
        <f>'Inputs (2)'!P21</f>
        <v>0</v>
      </c>
      <c r="V161" s="46">
        <f>'Inputs (2)'!Q21</f>
        <v>0</v>
      </c>
      <c r="W161" s="12">
        <f>'Inputs (2)'!R21</f>
        <v>0</v>
      </c>
      <c r="X161" s="46">
        <f>'Inputs (2)'!S21</f>
        <v>0</v>
      </c>
      <c r="Y161" s="46">
        <f>'Inputs (2)'!T21</f>
        <v>0</v>
      </c>
      <c r="Z161" s="46">
        <f>'Inputs (2)'!U21</f>
        <v>0</v>
      </c>
      <c r="AA161" s="46">
        <f>'Inputs (2)'!V21</f>
        <v>0</v>
      </c>
      <c r="AB161" s="12">
        <f>'Inputs (2)'!W21</f>
        <v>0</v>
      </c>
      <c r="AC161" s="46">
        <f>'Inputs (2)'!X21</f>
        <v>0</v>
      </c>
      <c r="AD161" s="46">
        <f>'Inputs (2)'!Y21</f>
        <v>0</v>
      </c>
      <c r="AE161" s="46">
        <f>'Inputs (2)'!Z21</f>
        <v>0</v>
      </c>
      <c r="AF161" s="46">
        <f>'Inputs (2)'!AA21</f>
        <v>0</v>
      </c>
      <c r="AG161" s="12">
        <f>'Inputs (2)'!AB21</f>
        <v>0</v>
      </c>
      <c r="AH161" s="12">
        <f>'Inputs (2)'!AC21</f>
        <v>0</v>
      </c>
      <c r="AI161" s="12">
        <f>'Inputs (2)'!AD21</f>
        <v>0</v>
      </c>
      <c r="AJ161" s="12">
        <f>AI161+AJ135</f>
        <v>0</v>
      </c>
      <c r="AK161" s="12">
        <f>AJ161+AK135</f>
        <v>0</v>
      </c>
      <c r="AL161" s="12">
        <f>AK161</f>
        <v>0</v>
      </c>
      <c r="AM161" s="12">
        <f>AL161+AM135</f>
        <v>0</v>
      </c>
      <c r="AN161" s="12">
        <f>AM161+AN135</f>
        <v>0</v>
      </c>
      <c r="AO161" s="12">
        <f>AN161+AO135</f>
        <v>0</v>
      </c>
      <c r="AP161" s="12">
        <f>AO161+AP135</f>
        <v>0</v>
      </c>
      <c r="AQ161" s="12">
        <f>AP161</f>
        <v>0</v>
      </c>
      <c r="AR161" s="12">
        <f>AQ161+AR135</f>
        <v>0</v>
      </c>
      <c r="AS161" s="12">
        <f>AR161+AS135</f>
        <v>0</v>
      </c>
      <c r="AT161" s="12">
        <f>AS161+AT135</f>
        <v>0</v>
      </c>
      <c r="AU161" s="12">
        <f>AT161+AU135</f>
        <v>0</v>
      </c>
      <c r="AV161" s="12">
        <f>AU161</f>
        <v>0</v>
      </c>
      <c r="AW161" s="12">
        <f>AV161+AW135</f>
        <v>0</v>
      </c>
      <c r="AX161" s="12">
        <f>AW161+AX135</f>
        <v>0</v>
      </c>
      <c r="AY161" s="12">
        <f>AX161+AY135</f>
        <v>0</v>
      </c>
      <c r="AZ161" s="12">
        <f>AY161+AZ135</f>
        <v>0</v>
      </c>
      <c r="BA161" s="12">
        <f>AZ161</f>
        <v>0</v>
      </c>
      <c r="BB161" s="12">
        <f>BA161+BB135</f>
        <v>0</v>
      </c>
      <c r="BC161" s="12">
        <f>BB161+BC135</f>
        <v>0</v>
      </c>
      <c r="BD161" s="12">
        <f>BC161+BD135</f>
        <v>0</v>
      </c>
      <c r="BE161" s="12">
        <f>BD161+BE135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</v>
      </c>
      <c r="O163" s="12">
        <f>IF(J135=0,0,O135/J135-1)</f>
        <v>0</v>
      </c>
      <c r="P163" s="12">
        <f>IF(K135=0,0,P135/K135-1)</f>
        <v>0</v>
      </c>
      <c r="Q163" s="12">
        <f>IF(L135=0,0,Q135/L135-1)</f>
        <v>0</v>
      </c>
      <c r="R163" s="12" t="n"/>
      <c r="S163" s="12">
        <f>IF(N135=0,0,S135/N135-1)</f>
        <v>0</v>
      </c>
      <c r="T163" s="12">
        <f>IF(O135=0,0,T135/O135-1)</f>
        <v>0</v>
      </c>
      <c r="U163" s="12">
        <f>IF(P135=0,0,U135/P135-1)</f>
        <v>0</v>
      </c>
      <c r="V163" s="12">
        <f>IF(Q135=0,0,V135/Q135-1)</f>
        <v>0</v>
      </c>
      <c r="W163" s="12" t="n"/>
      <c r="X163" s="12">
        <f>IF(S135=0,0,X135/S135-1)</f>
        <v>0</v>
      </c>
      <c r="Y163" s="12">
        <f>IF(T135=0,0,Y135/T135-1)</f>
        <v>0</v>
      </c>
      <c r="Z163" s="12">
        <f>IF(U135=0,0,Z135/U135-1)</f>
        <v>0</v>
      </c>
      <c r="AA163" s="12">
        <f>IF(V135=0,0,AA135/V135-1)</f>
        <v>0</v>
      </c>
      <c r="AB163" s="12" t="n"/>
      <c r="AC163" s="12">
        <f>IF(X135=0,0,AC135/X135-1)</f>
        <v>0</v>
      </c>
      <c r="AD163" s="12">
        <f>IF(Y135=0,0,AD135/Y135-1)</f>
        <v>0</v>
      </c>
      <c r="AE163" s="12">
        <f>IF(Z135=0,0,AE135/Z135-1)</f>
        <v>0</v>
      </c>
      <c r="AF163" s="12">
        <f>IF(AA135=0,0,AF135/AA135-1)</f>
        <v>0</v>
      </c>
      <c r="AG163" s="12" t="n"/>
      <c r="AH163" s="11">
        <f>IF(AC135=0,0,AH135/AC135-1)</f>
        <v>0</v>
      </c>
      <c r="AI163" s="11">
        <f>IF(AD135=0,0,AI135/AD135-1)</f>
        <v>0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4866.751</v>
      </c>
      <c r="J166" s="46">
        <f>'Inputs (2)'!E22</f>
        <v>4827.076</v>
      </c>
      <c r="K166" s="46">
        <f>'Inputs (2)'!F22</f>
        <v>4810.005</v>
      </c>
      <c r="L166" s="46">
        <f>'Inputs (2)'!G22</f>
        <v>4738.246</v>
      </c>
      <c r="M166" s="12">
        <f>'Inputs (2)'!H22</f>
        <v>4738.246</v>
      </c>
      <c r="N166" s="46">
        <f>'Inputs (2)'!I22</f>
        <v>4693.339</v>
      </c>
      <c r="O166" s="46">
        <f>'Inputs (2)'!J22</f>
        <v>4685.638</v>
      </c>
      <c r="P166" s="46">
        <f>'Inputs (2)'!K22</f>
        <v>4744.959</v>
      </c>
      <c r="Q166" s="46">
        <f>'Inputs (2)'!L22</f>
        <v>4728.819</v>
      </c>
      <c r="R166" s="12">
        <f>'Inputs (2)'!M22</f>
        <v>4728.819</v>
      </c>
      <c r="S166" s="46">
        <f>'Inputs (2)'!N22</f>
        <v>4735.335</v>
      </c>
      <c r="T166" s="46">
        <f>'Inputs (2)'!O22</f>
        <v>4757.169</v>
      </c>
      <c r="U166" s="46">
        <f>'Inputs (2)'!P22</f>
        <v>4869.373</v>
      </c>
      <c r="V166" s="46">
        <f>'Inputs (2)'!Q22</f>
        <v>4877.071</v>
      </c>
      <c r="W166" s="12">
        <f>'Inputs (2)'!R22</f>
        <v>4877.071</v>
      </c>
      <c r="X166" s="46">
        <f>'Inputs (2)'!S22</f>
        <v>4961.507</v>
      </c>
      <c r="Y166" s="46">
        <f>'Inputs (2)'!T22</f>
        <v>5032.713</v>
      </c>
      <c r="Z166" s="46">
        <f>'Inputs (2)'!U22</f>
        <v>5177.355</v>
      </c>
      <c r="AA166" s="46">
        <f>'Inputs (2)'!V22</f>
        <v>5239.387</v>
      </c>
      <c r="AB166" s="12">
        <f>'Inputs (2)'!W22</f>
        <v>5239.387</v>
      </c>
      <c r="AC166" s="46">
        <f>'Inputs (2)'!X22</f>
        <v>5417.114</v>
      </c>
      <c r="AD166" s="46">
        <f>'Inputs (2)'!Y22</f>
        <v>5454.678</v>
      </c>
      <c r="AE166" s="46">
        <f>'Inputs (2)'!Z22</f>
        <v>5501.294</v>
      </c>
      <c r="AF166" s="46">
        <f>'Inputs (2)'!AA22</f>
        <v>5464.18</v>
      </c>
      <c r="AG166" s="12">
        <f>'Inputs (2)'!AB22</f>
        <v>5464.18</v>
      </c>
      <c r="AH166" s="12">
        <f>'Inputs (2)'!AC22</f>
        <v>5431.747</v>
      </c>
      <c r="AI166" s="12">
        <f>'Inputs (2)'!AD22</f>
        <v>5410.727</v>
      </c>
      <c r="AJ166" s="12">
        <f>AJ171</f>
        <v>5434.92779687016</v>
      </c>
      <c r="AK166" s="12">
        <f>AK171</f>
        <v>5459.85473991749</v>
      </c>
      <c r="AL166" s="12">
        <f>AK166</f>
        <v>5459.85473991749</v>
      </c>
      <c r="AM166" s="12">
        <f>AM171</f>
        <v>5483.34662048278</v>
      </c>
      <c r="AN166" s="12">
        <f>AN171</f>
        <v>5515.91686930569</v>
      </c>
      <c r="AO166" s="12">
        <f>AO171</f>
        <v>5540.2125168561</v>
      </c>
      <c r="AP166" s="12">
        <f>AP171</f>
        <v>5565.23715658331</v>
      </c>
      <c r="AQ166" s="12">
        <f>AP166</f>
        <v>5565.23715658331</v>
      </c>
      <c r="AR166" s="12">
        <f>AR171</f>
        <v>5588.7290371486</v>
      </c>
      <c r="AS166" s="12">
        <f>AS171</f>
        <v>5621.2992859715</v>
      </c>
      <c r="AT166" s="12">
        <f>AT171</f>
        <v>5645.59493352191</v>
      </c>
      <c r="AU166" s="12">
        <f>AU171</f>
        <v>5670.61957324912</v>
      </c>
      <c r="AV166" s="12">
        <f>AU166</f>
        <v>5670.61957324912</v>
      </c>
      <c r="AW166" s="12">
        <f>AW171</f>
        <v>5694.11145381441</v>
      </c>
      <c r="AX166" s="12">
        <f>AX171</f>
        <v>5726.68170263732</v>
      </c>
      <c r="AY166" s="12">
        <f>AY171</f>
        <v>5750.97735018773</v>
      </c>
      <c r="AZ166" s="12">
        <f>AZ171</f>
        <v>5776.00198991494</v>
      </c>
      <c r="BA166" s="12">
        <f>AZ166</f>
        <v>5776.00198991494</v>
      </c>
      <c r="BB166" s="12">
        <f>BB171</f>
        <v>5799.49387048023</v>
      </c>
      <c r="BC166" s="12">
        <f>BC171</f>
        <v>5832.06411930314</v>
      </c>
      <c r="BD166" s="12">
        <f>BD171</f>
        <v>5856.35976685354</v>
      </c>
      <c r="BE166" s="12">
        <f>BE171</f>
        <v>5881.38440658075</v>
      </c>
      <c r="BF166" s="12">
        <f>BE166</f>
        <v>5881.38440658075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94.2559999999998</v>
      </c>
      <c r="K168" s="12">
        <f>K166-J166-K70</f>
        <v>116.77</v>
      </c>
      <c r="L168" s="12">
        <f>L166-K166-L70</f>
        <v>61.013</v>
      </c>
      <c r="M168" s="12" t="n"/>
      <c r="N168" s="12">
        <f>N166-M166-N70</f>
        <v>87.4819999999999</v>
      </c>
      <c r="O168" s="12">
        <f>O166-N166-O70</f>
        <v>126.7</v>
      </c>
      <c r="P168" s="12">
        <f>P166-O166-P70</f>
        <v>196.252</v>
      </c>
      <c r="Q168" s="12">
        <f>Q166-P166-Q70</f>
        <v>115.248000000001</v>
      </c>
      <c r="R168" s="12" t="n"/>
      <c r="S168" s="12">
        <f>S166-R166-S70</f>
        <v>141.001</v>
      </c>
      <c r="T168" s="12">
        <f>T166-S166-T70</f>
        <v>156.435</v>
      </c>
      <c r="U168" s="12">
        <f>U166-T166-U70</f>
        <v>251.251</v>
      </c>
      <c r="V168" s="12">
        <f>V166-U166-V70</f>
        <v>145.735</v>
      </c>
      <c r="W168" s="12" t="n"/>
      <c r="X168" s="12">
        <f>X166-W166-X70</f>
        <v>224.638</v>
      </c>
      <c r="Y168" s="12">
        <f>Y166-X166-Y70</f>
        <v>214.688</v>
      </c>
      <c r="Z168" s="12">
        <f>Z166-Y166-Z70</f>
        <v>292.812</v>
      </c>
      <c r="AA168" s="12">
        <f>AA166-Z166-AA70</f>
        <v>209.716</v>
      </c>
      <c r="AB168" s="12" t="n"/>
      <c r="AC168" s="12">
        <f>AC166-AB166-AC70</f>
        <v>332.756</v>
      </c>
      <c r="AD168" s="12">
        <f>AD166-AC166-AD70</f>
        <v>196.934</v>
      </c>
      <c r="AE168" s="12">
        <f>AE166-AD166-AE70</f>
        <v>235.96</v>
      </c>
      <c r="AF168" s="11">
        <f>AF166-AE166-AF70</f>
        <v>133.722</v>
      </c>
      <c r="AG168" s="12">
        <f>SUM(AC168:AF168)</f>
        <v>899.372000000001</v>
      </c>
      <c r="AH168" s="11">
        <f>AH166-AG166-AH70</f>
        <v>140.195</v>
      </c>
      <c r="AI168" s="11">
        <f>AI166-AH166-AI70</f>
        <v>144.297</v>
      </c>
      <c r="AJ168" s="11">
        <f>AJ15*Control!$B$24</f>
        <v>186.072583098965</v>
      </c>
      <c r="AK168" s="11">
        <f>AK15*Control!$B$24</f>
        <v>191.655700697089</v>
      </c>
      <c r="AL168" s="12" t="n"/>
      <c r="AM168" s="11">
        <f>AM15*Control!$C$24</f>
        <v>180.621940760401</v>
      </c>
      <c r="AN168" s="11">
        <f>AN15*Control!$C$24</f>
        <v>250.422759348384</v>
      </c>
      <c r="AO168" s="11">
        <f>AO15*Control!$C$24</f>
        <v>186.80186119578</v>
      </c>
      <c r="AP168" s="11">
        <f>AP15*Control!$C$24</f>
        <v>192.406860821382</v>
      </c>
      <c r="AQ168" s="12" t="n"/>
      <c r="AR168" s="11">
        <f>AR15*Control!$D$24</f>
        <v>180.621940760401</v>
      </c>
      <c r="AS168" s="11">
        <f>AS15*Control!$D$24</f>
        <v>250.422759348384</v>
      </c>
      <c r="AT168" s="11">
        <f>AT15*Control!$D$24</f>
        <v>186.80186119578</v>
      </c>
      <c r="AU168" s="11">
        <f>AU15*Control!$D$24</f>
        <v>192.406860821382</v>
      </c>
      <c r="AV168" s="12" t="n"/>
      <c r="AW168" s="11">
        <f>AW15*Control!$E$24</f>
        <v>180.621940760401</v>
      </c>
      <c r="AX168" s="11">
        <f>AX15*Control!$E$24</f>
        <v>250.422759348384</v>
      </c>
      <c r="AY168" s="11">
        <f>AY15*Control!$E$24</f>
        <v>186.80186119578</v>
      </c>
      <c r="AZ168" s="11">
        <f>AZ15*Control!$E$24</f>
        <v>192.406860821382</v>
      </c>
      <c r="BA168" s="12" t="n"/>
      <c r="BB168" s="11">
        <f>BB15*Control!$F$24</f>
        <v>180.621940760401</v>
      </c>
      <c r="BC168" s="11">
        <f>BC15*Control!$F$24</f>
        <v>250.422759348384</v>
      </c>
      <c r="BD168" s="11">
        <f>BD15*Control!$F$24</f>
        <v>186.80186119578</v>
      </c>
      <c r="BE168" s="11">
        <f>BE15*Control!$F$24</f>
        <v>192.406860821382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-133.034</v>
      </c>
      <c r="J170" s="12">
        <f>J70</f>
        <v>-133.931</v>
      </c>
      <c r="K170" s="12">
        <f>K70</f>
        <v>-133.841</v>
      </c>
      <c r="L170" s="12">
        <f>L70</f>
        <v>-132.772</v>
      </c>
      <c r="M170" s="12" t="n"/>
      <c r="N170" s="12">
        <f>N70</f>
        <v>-132.389</v>
      </c>
      <c r="O170" s="12">
        <f>O70</f>
        <v>-134.401</v>
      </c>
      <c r="P170" s="12">
        <f>P70</f>
        <v>-136.931</v>
      </c>
      <c r="Q170" s="12">
        <f>Q70</f>
        <v>-131.388</v>
      </c>
      <c r="R170" s="12" t="n"/>
      <c r="S170" s="12">
        <f>S70</f>
        <v>-134.485</v>
      </c>
      <c r="T170" s="12">
        <f>T70</f>
        <v>-134.601</v>
      </c>
      <c r="U170" s="12">
        <f>U70</f>
        <v>-139.047</v>
      </c>
      <c r="V170" s="12">
        <f>V70</f>
        <v>-138.037</v>
      </c>
      <c r="W170" s="12" t="n"/>
      <c r="X170" s="12">
        <f>X70</f>
        <v>-140.202</v>
      </c>
      <c r="Y170" s="12">
        <f>Y70</f>
        <v>-143.482</v>
      </c>
      <c r="Z170" s="12">
        <f>Z70</f>
        <v>-148.17</v>
      </c>
      <c r="AA170" s="12">
        <f>AA70</f>
        <v>-147.684</v>
      </c>
      <c r="AB170" s="12" t="n"/>
      <c r="AC170" s="12">
        <f>AC70</f>
        <v>-155.029</v>
      </c>
      <c r="AD170" s="12">
        <f>AD70</f>
        <v>-159.37</v>
      </c>
      <c r="AE170" s="12">
        <f>AE70</f>
        <v>-189.344</v>
      </c>
      <c r="AF170" s="12">
        <f>AF70</f>
        <v>-170.836</v>
      </c>
      <c r="AG170" s="12" t="n"/>
      <c r="AH170" s="12">
        <f>AH70</f>
        <v>-172.628</v>
      </c>
      <c r="AI170" s="12">
        <f>AI70</f>
        <v>-165.317</v>
      </c>
      <c r="AJ170" s="12">
        <f>AJ70</f>
        <v>-161.871786228807</v>
      </c>
      <c r="AK170" s="12">
        <f>AK70</f>
        <v>-166.728757649757</v>
      </c>
      <c r="AL170" s="12" t="n"/>
      <c r="AM170" s="12">
        <f>AM70</f>
        <v>-157.13006019511</v>
      </c>
      <c r="AN170" s="12">
        <f>AN70</f>
        <v>-217.852510525476</v>
      </c>
      <c r="AO170" s="12">
        <f>AO70</f>
        <v>-162.506213645372</v>
      </c>
      <c r="AP170" s="12">
        <f>AP70</f>
        <v>-167.382221094172</v>
      </c>
      <c r="AQ170" s="12" t="n"/>
      <c r="AR170" s="12">
        <f>AR70</f>
        <v>-157.13006019511</v>
      </c>
      <c r="AS170" s="12">
        <f>AS70</f>
        <v>-217.852510525476</v>
      </c>
      <c r="AT170" s="12">
        <f>AT70</f>
        <v>-162.506213645372</v>
      </c>
      <c r="AU170" s="12">
        <f>AU70</f>
        <v>-167.382221094172</v>
      </c>
      <c r="AV170" s="12" t="n"/>
      <c r="AW170" s="12">
        <f>AW70</f>
        <v>-157.13006019511</v>
      </c>
      <c r="AX170" s="12">
        <f>AX70</f>
        <v>-217.852510525476</v>
      </c>
      <c r="AY170" s="12">
        <f>AY70</f>
        <v>-162.506213645372</v>
      </c>
      <c r="AZ170" s="12">
        <f>AZ70</f>
        <v>-167.382221094172</v>
      </c>
      <c r="BA170" s="12" t="n"/>
      <c r="BB170" s="12">
        <f>BB70</f>
        <v>-157.13006019511</v>
      </c>
      <c r="BC170" s="12">
        <f>BC70</f>
        <v>-217.852510525476</v>
      </c>
      <c r="BD170" s="12">
        <f>BD70</f>
        <v>-162.506213645372</v>
      </c>
      <c r="BE170" s="12">
        <f>BE70</f>
        <v>-167.382221094172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4866.751</v>
      </c>
      <c r="J171" s="12">
        <f>J166</f>
        <v>4827.076</v>
      </c>
      <c r="K171" s="12">
        <f>K166</f>
        <v>4810.005</v>
      </c>
      <c r="L171" s="12">
        <f>L166</f>
        <v>4738.246</v>
      </c>
      <c r="M171" s="12" t="n"/>
      <c r="N171" s="12">
        <f>N166</f>
        <v>4693.339</v>
      </c>
      <c r="O171" s="12">
        <f>O166</f>
        <v>4685.638</v>
      </c>
      <c r="P171" s="12">
        <f>P166</f>
        <v>4744.959</v>
      </c>
      <c r="Q171" s="12">
        <f>Q166</f>
        <v>4728.819</v>
      </c>
      <c r="R171" s="12" t="n"/>
      <c r="S171" s="12">
        <f>S166</f>
        <v>4735.335</v>
      </c>
      <c r="T171" s="12">
        <f>T166</f>
        <v>4757.169</v>
      </c>
      <c r="U171" s="12">
        <f>U166</f>
        <v>4869.373</v>
      </c>
      <c r="V171" s="12">
        <f>V166</f>
        <v>4877.071</v>
      </c>
      <c r="W171" s="12" t="n"/>
      <c r="X171" s="12">
        <f>X166</f>
        <v>4961.507</v>
      </c>
      <c r="Y171" s="12">
        <f>Y166</f>
        <v>5032.713</v>
      </c>
      <c r="Z171" s="12">
        <f>Z166</f>
        <v>5177.355</v>
      </c>
      <c r="AA171" s="12">
        <f>Y171+SUM(AA168:AA170)</f>
        <v>5094.745</v>
      </c>
      <c r="AB171" s="12" t="n"/>
      <c r="AC171" s="12">
        <f>AC166</f>
        <v>5417.114</v>
      </c>
      <c r="AD171" s="12">
        <f>AD166</f>
        <v>5454.678</v>
      </c>
      <c r="AE171" s="12">
        <f>AE166</f>
        <v>5501.294</v>
      </c>
      <c r="AF171" s="12">
        <f>AF166</f>
        <v>5464.18</v>
      </c>
      <c r="AG171" s="12" t="n"/>
      <c r="AH171" s="12">
        <f>AH166</f>
        <v>5431.747</v>
      </c>
      <c r="AI171" s="12">
        <f>AI166</f>
        <v>5410.727</v>
      </c>
      <c r="AJ171" s="12">
        <f>AI171+SUM(AJ168:AJ170)</f>
        <v>5434.92779687016</v>
      </c>
      <c r="AK171" s="12">
        <f>AJ171+SUM(AK168:AK170)</f>
        <v>5459.85473991749</v>
      </c>
      <c r="AL171" s="12" t="n"/>
      <c r="AM171" s="12">
        <f>AK171+SUM(AM168:AM170)</f>
        <v>5483.34662048278</v>
      </c>
      <c r="AN171" s="12">
        <f>AM171+SUM(AN168:AN170)</f>
        <v>5515.91686930569</v>
      </c>
      <c r="AO171" s="12">
        <f>AN171+SUM(AO168:AO170)</f>
        <v>5540.2125168561</v>
      </c>
      <c r="AP171" s="12">
        <f>AO171+SUM(AP168:AP170)</f>
        <v>5565.23715658331</v>
      </c>
      <c r="AQ171" s="12" t="n"/>
      <c r="AR171" s="12">
        <f>AP171+SUM(AR168:AR170)</f>
        <v>5588.7290371486</v>
      </c>
      <c r="AS171" s="12">
        <f>AR171+SUM(AS168:AS170)</f>
        <v>5621.2992859715</v>
      </c>
      <c r="AT171" s="12">
        <f>AS171+SUM(AT168:AT170)</f>
        <v>5645.59493352191</v>
      </c>
      <c r="AU171" s="12">
        <f>AT171+SUM(AU168:AU170)</f>
        <v>5670.61957324912</v>
      </c>
      <c r="AV171" s="12" t="n"/>
      <c r="AW171" s="12">
        <f>AU171+SUM(AW168:AW170)</f>
        <v>5694.11145381441</v>
      </c>
      <c r="AX171" s="12">
        <f>AW171+SUM(AX168:AX170)</f>
        <v>5726.68170263732</v>
      </c>
      <c r="AY171" s="12">
        <f>AX171+SUM(AY168:AY170)</f>
        <v>5750.97735018773</v>
      </c>
      <c r="AZ171" s="12">
        <f>AY171+SUM(AZ168:AZ170)</f>
        <v>5776.00198991494</v>
      </c>
      <c r="BA171" s="12" t="n"/>
      <c r="BB171" s="12">
        <f>AZ171+SUM(BB168:BB170)</f>
        <v>5799.49387048023</v>
      </c>
      <c r="BC171" s="12">
        <f>BB171+SUM(BC168:BC170)</f>
        <v>5832.06411930314</v>
      </c>
      <c r="BD171" s="12">
        <f>BC171+SUM(BD168:BD170)</f>
        <v>5856.35976685354</v>
      </c>
      <c r="BE171" s="12">
        <f>BD171+SUM(BE168:BE170)</f>
        <v>5881.38440658075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0.0215371427407125</v>
      </c>
      <c r="AK172" s="12">
        <f>IF(AK15=0,"",AK168/AK15)</f>
        <v>0.0215371427407125</v>
      </c>
      <c r="AL172" s="12" t="n"/>
      <c r="AM172" s="12">
        <f>IF(AM15=0,"",AM168/AM15)</f>
        <v>0.0215371427407125</v>
      </c>
      <c r="AN172" s="12">
        <f>IF(AN15=0,"",AN168/AN15)</f>
        <v>0.0215371427407125</v>
      </c>
      <c r="AO172" s="12">
        <f>IF(AO15=0,"",AO168/AO15)</f>
        <v>0.0215371427407125</v>
      </c>
      <c r="AP172" s="12">
        <f>IF(AP15=0,"",AP168/AP15)</f>
        <v>0.0215371427407125</v>
      </c>
      <c r="AQ172" s="12" t="n"/>
      <c r="AR172" s="12">
        <f>IF(AR15=0,"",AR168/AR15)</f>
        <v>0.0215371427407125</v>
      </c>
      <c r="AS172" s="12">
        <f>IF(AS15=0,"",AS168/AS15)</f>
        <v>0.0215371427407125</v>
      </c>
      <c r="AT172" s="12">
        <f>IF(AT15=0,"",AT168/AT15)</f>
        <v>0.0215371427407125</v>
      </c>
      <c r="AU172" s="12">
        <f>IF(AU15=0,"",AU168/AU15)</f>
        <v>0.0215371427407125</v>
      </c>
      <c r="AV172" s="12" t="n"/>
      <c r="AW172" s="12">
        <f>IF(AW15=0,"",AW168/AW15)</f>
        <v>0.0215371427407125</v>
      </c>
      <c r="AX172" s="12">
        <f>IF(AX15=0,"",AX168/AX15)</f>
        <v>0.0215371427407125</v>
      </c>
      <c r="AY172" s="12">
        <f>IF(AY15=0,"",AY168/AY15)</f>
        <v>0.0215371427407125</v>
      </c>
      <c r="AZ172" s="12">
        <f>IF(AZ15=0,"",AZ168/AZ15)</f>
        <v>0.0215371427407125</v>
      </c>
      <c r="BA172" s="12" t="n"/>
      <c r="BB172" s="12">
        <f>IF(BB15=0,"",BB168/BB15)</f>
        <v>0.0215371427407125</v>
      </c>
      <c r="BC172" s="12">
        <f>IF(BC15=0,"",BC168/BC15)</f>
        <v>0.0215371427407125</v>
      </c>
      <c r="BD172" s="12">
        <f>IF(BD15=0,"",BD168/BD15)</f>
        <v>0.0215371427407125</v>
      </c>
      <c r="BE172" s="12">
        <f>IF(BE15=0,"",BE168/BE15)</f>
        <v>0.0215371427407125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0.0150857887046452</v>
      </c>
      <c r="AG173" s="58">
        <f>IFERROR(AG168/AG15,"")</f>
        <v>0.0256724308215776</v>
      </c>
      <c r="AH173" s="58">
        <f>IFERROR(AH168/AH15,"")</f>
        <v>0.0167822010390253</v>
      </c>
      <c r="AI173" s="58">
        <f>IFERROR(AI168/AI15,"")</f>
        <v>0.0124586333259915</v>
      </c>
      <c r="AJ173" s="58">
        <f>IFERROR(AJ168/AJ15,"")</f>
        <v>0.0215371427407125</v>
      </c>
      <c r="AK173" s="58">
        <f>IFERROR(AK168/AK15,"")</f>
        <v>0.0215371427407125</v>
      </c>
      <c r="AL173" s="58">
        <f>IFERROR(AL168/AL15,"")</f>
        <v>0</v>
      </c>
      <c r="AM173" s="58">
        <f>IFERROR(AM168/AM15,"")</f>
        <v>0.0215371427407125</v>
      </c>
      <c r="AN173" s="58">
        <f>IFERROR(AN168/AN15,"")</f>
        <v>0.0215371427407125</v>
      </c>
      <c r="AO173" s="58">
        <f>IFERROR(AO168/AO15,"")</f>
        <v>0.0215371427407125</v>
      </c>
      <c r="AP173" s="58">
        <f>IFERROR(AP168/AP15,"")</f>
        <v>0.0215371427407125</v>
      </c>
      <c r="AQ173" s="58">
        <f>IFERROR(AQ168/AQ15,"")</f>
        <v>0</v>
      </c>
      <c r="AR173" s="58">
        <f>IFERROR(AR168/AR15,"")</f>
        <v>0.0215371427407125</v>
      </c>
      <c r="AS173" s="58">
        <f>IFERROR(AS168/AS15,"")</f>
        <v>0.0215371427407125</v>
      </c>
      <c r="AT173" s="58">
        <f>IFERROR(AT168/AT15,"")</f>
        <v>0.0215371427407125</v>
      </c>
      <c r="AU173" s="58">
        <f>IFERROR(AU168/AU15,"")</f>
        <v>0.0215371427407125</v>
      </c>
      <c r="AV173" s="58">
        <f>IFERROR(AV168/AV15,"")</f>
        <v>0</v>
      </c>
      <c r="AW173" s="58">
        <f>IFERROR(AW168/AW15,"")</f>
        <v>0.0215371427407125</v>
      </c>
      <c r="AX173" s="58">
        <f>IFERROR(AX168/AX15,"")</f>
        <v>0.0215371427407125</v>
      </c>
      <c r="AY173" s="58">
        <f>IFERROR(AY168/AY15,"")</f>
        <v>0.0215371427407125</v>
      </c>
      <c r="AZ173" s="58">
        <f>IFERROR(AZ168/AZ15,"")</f>
        <v>0.0215371427407125</v>
      </c>
      <c r="BA173" s="58">
        <f>IFERROR(BA168/BA15,"")</f>
        <v>0</v>
      </c>
      <c r="BB173" s="58">
        <f>IFERROR(BB168/BB15,"")</f>
        <v>0.0215371427407125</v>
      </c>
      <c r="BC173" s="58">
        <f>IFERROR(BC168/BC15,"")</f>
        <v>0.0215371427407125</v>
      </c>
      <c r="BD173" s="58">
        <f>IFERROR(BD168/BD15,"")</f>
        <v>0.0215371427407125</v>
      </c>
      <c r="BE173" s="58">
        <f>IFERROR(BE168/BE15,"")</f>
        <v>0.0215371427407125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0</v>
      </c>
      <c r="J176" s="46">
        <f>'Inputs (2)'!E23</f>
        <v>0</v>
      </c>
      <c r="K176" s="46">
        <f>'Inputs (2)'!F23</f>
        <v>0</v>
      </c>
      <c r="L176" s="46">
        <f>'Inputs (2)'!G23</f>
        <v>0</v>
      </c>
      <c r="M176" s="12">
        <f>'Inputs (2)'!H23</f>
        <v>0</v>
      </c>
      <c r="N176" s="46">
        <f>'Inputs (2)'!I23</f>
        <v>0</v>
      </c>
      <c r="O176" s="46">
        <f>'Inputs (2)'!J23</f>
        <v>0</v>
      </c>
      <c r="P176" s="46">
        <f>'Inputs (2)'!K23</f>
        <v>0</v>
      </c>
      <c r="Q176" s="46">
        <f>'Inputs (2)'!L23</f>
        <v>0</v>
      </c>
      <c r="R176" s="12">
        <f>'Inputs (2)'!M23</f>
        <v>0</v>
      </c>
      <c r="S176" s="46">
        <f>'Inputs (2)'!N23</f>
        <v>0</v>
      </c>
      <c r="T176" s="46">
        <f>'Inputs (2)'!O23</f>
        <v>0</v>
      </c>
      <c r="U176" s="46">
        <f>'Inputs (2)'!P23</f>
        <v>0</v>
      </c>
      <c r="V176" s="46">
        <f>'Inputs (2)'!Q23</f>
        <v>0</v>
      </c>
      <c r="W176" s="12">
        <f>'Inputs (2)'!R23</f>
        <v>0</v>
      </c>
      <c r="X176" s="46">
        <f>'Inputs (2)'!S23</f>
        <v>0</v>
      </c>
      <c r="Y176" s="46">
        <f>'Inputs (2)'!T23</f>
        <v>0</v>
      </c>
      <c r="Z176" s="46">
        <f>'Inputs (2)'!U23</f>
        <v>0</v>
      </c>
      <c r="AA176" s="46">
        <f>'Inputs (2)'!V23</f>
        <v>0</v>
      </c>
      <c r="AB176" s="12">
        <f>'Inputs (2)'!W23</f>
        <v>0</v>
      </c>
      <c r="AC176" s="46">
        <f>'Inputs (2)'!X23</f>
        <v>0</v>
      </c>
      <c r="AD176" s="46">
        <f>'Inputs (2)'!Y23</f>
        <v>0</v>
      </c>
      <c r="AE176" s="46">
        <f>'Inputs (2)'!Z23</f>
        <v>0</v>
      </c>
      <c r="AF176" s="46">
        <f>'Inputs (2)'!AA23</f>
        <v>0</v>
      </c>
      <c r="AG176" s="12">
        <f>'Inputs (2)'!AB23</f>
        <v>0</v>
      </c>
      <c r="AH176" s="12">
        <f>'Inputs (2)'!AC23</f>
        <v>0</v>
      </c>
      <c r="AI176" s="12">
        <f>'Inputs (2)'!AD23</f>
        <v>0</v>
      </c>
      <c r="AJ176" s="12">
        <f>AI176</f>
        <v>0</v>
      </c>
      <c r="AK176" s="12">
        <f>AJ176</f>
        <v>0</v>
      </c>
      <c r="AL176" s="12">
        <f>AK176</f>
        <v>0</v>
      </c>
      <c r="AM176" s="12">
        <f>AL176</f>
        <v>0</v>
      </c>
      <c r="AN176" s="12">
        <f>AM176</f>
        <v>0</v>
      </c>
      <c r="AO176" s="12">
        <f>AN176</f>
        <v>0</v>
      </c>
      <c r="AP176" s="12">
        <f>AO176</f>
        <v>0</v>
      </c>
      <c r="AQ176" s="12">
        <f>AP176</f>
        <v>0</v>
      </c>
      <c r="AR176" s="12">
        <f>AQ176</f>
        <v>0</v>
      </c>
      <c r="AS176" s="12">
        <f>AR176</f>
        <v>0</v>
      </c>
      <c r="AT176" s="12">
        <f>AS176</f>
        <v>0</v>
      </c>
      <c r="AU176" s="12">
        <f>AT176</f>
        <v>0</v>
      </c>
      <c r="AV176" s="12">
        <f>AU176</f>
        <v>0</v>
      </c>
      <c r="AW176" s="12">
        <f>AV176</f>
        <v>0</v>
      </c>
      <c r="AX176" s="12">
        <f>AW176</f>
        <v>0</v>
      </c>
      <c r="AY176" s="12">
        <f>AX176</f>
        <v>0</v>
      </c>
      <c r="AZ176" s="12">
        <f>AY176</f>
        <v>0</v>
      </c>
      <c r="BA176" s="12">
        <f>AZ176</f>
        <v>0</v>
      </c>
      <c r="BB176" s="12">
        <f>BA176</f>
        <v>0</v>
      </c>
      <c r="BC176" s="12">
        <f>BB176</f>
        <v>0</v>
      </c>
      <c r="BD176" s="12">
        <f>BC176</f>
        <v>0</v>
      </c>
      <c r="BE176" s="12">
        <f>BD176</f>
        <v>0</v>
      </c>
      <c r="BF176" s="12">
        <f>BE176</f>
        <v>0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 t="str">
        <f>IFERROR(IF(I176=0,"",J176/I176-1),"")</f>
        <v/>
      </c>
      <c r="K177" s="40" t="str">
        <f>IFERROR(IF(J176=0,"",K176/J176-1),"")</f>
        <v/>
      </c>
      <c r="L177" s="40" t="str">
        <f>IFERROR(IF(K176=0,"",L176/K176-1),"")</f>
        <v/>
      </c>
      <c r="M177" s="12" t="str">
        <f>IFERROR(IF(L176=0,"",M176/L176-1),"")</f>
        <v/>
      </c>
      <c r="N177" s="40" t="str">
        <f>IFERROR(IF(M176=0,"",N176/M176-1),"")</f>
        <v/>
      </c>
      <c r="O177" s="40" t="str">
        <f>IFERROR(IF(N176=0,"",O176/N176-1),"")</f>
        <v/>
      </c>
      <c r="P177" s="40" t="str">
        <f>IFERROR(IF(O176=0,"",P176/O176-1),"")</f>
        <v/>
      </c>
      <c r="Q177" s="40" t="str">
        <f>IFERROR(IF(P176=0,"",Q176/P176-1),"")</f>
        <v/>
      </c>
      <c r="R177" s="12" t="str">
        <f>IFERROR(IF(Q176=0,"",R176/Q176-1),"")</f>
        <v/>
      </c>
      <c r="S177" s="40" t="str">
        <f>IFERROR(IF(R176=0,"",S176/R176-1),"")</f>
        <v/>
      </c>
      <c r="T177" s="40" t="str">
        <f>IFERROR(IF(S176=0,"",T176/S176-1),"")</f>
        <v/>
      </c>
      <c r="U177" s="40" t="str">
        <f>IFERROR(IF(T176=0,"",U176/T176-1),"")</f>
        <v/>
      </c>
      <c r="V177" s="40" t="str">
        <f>IFERROR(IF(U176=0,"",V176/U176-1),"")</f>
        <v/>
      </c>
      <c r="W177" s="12" t="str">
        <f>IFERROR(IF(V176=0,"",W176/V176-1),"")</f>
        <v/>
      </c>
      <c r="X177" s="40" t="str">
        <f>IFERROR(IF(W176=0,"",X176/W176-1),"")</f>
        <v/>
      </c>
      <c r="Y177" s="40" t="str">
        <f>IFERROR(IF(X176=0,"",Y176/X176-1),"")</f>
        <v/>
      </c>
      <c r="Z177" s="40" t="str">
        <f>IFERROR(IF(Y176=0,"",Z176/Y176-1),"")</f>
        <v/>
      </c>
      <c r="AA177" s="40" t="str">
        <f>IFERROR(IF(Z176=0,"",AA176/Z176-1),"")</f>
        <v/>
      </c>
      <c r="AB177" s="12" t="str">
        <f>IFERROR(IF(AA176=0,"",AB176/AA176-1),"")</f>
        <v/>
      </c>
      <c r="AC177" s="40" t="str">
        <f>IFERROR(IF(AB176=0,"",AC176/AB176-1),"")</f>
        <v/>
      </c>
      <c r="AD177" s="40" t="str">
        <f>IFERROR(IF(AC176=0,"",AD176/AC176-1),"")</f>
        <v/>
      </c>
      <c r="AE177" s="40" t="str">
        <f>IFERROR(IF(AD176=0,"",AE176/AD176-1),"")</f>
        <v/>
      </c>
      <c r="AF177" s="55" t="str">
        <f>IFERROR(IF(AE176=0,"",AF176/AE176-1),"")</f>
        <v/>
      </c>
      <c r="AG177" s="12" t="str">
        <f>IFERROR(IF(AF176=0,"",AG176/AF176-1),"")</f>
        <v/>
      </c>
      <c r="AH177" s="55" t="str">
        <f>IFERROR(IF(AG176=0,"",AH176/AG176-1),"")</f>
        <v/>
      </c>
      <c r="AI177" s="55" t="str">
        <f>IFERROR(IF(AH176=0,"",AI176/AH176-1),"")</f>
        <v/>
      </c>
      <c r="AJ177" s="55" t="str">
        <f>IFERROR(IF(AI176=0,"",AJ176/AI176-1),"")</f>
        <v/>
      </c>
      <c r="AK177" s="55" t="str">
        <f>IFERROR(IF(AJ176=0,"",AK176/AJ176-1),"")</f>
        <v/>
      </c>
      <c r="AL177" s="12" t="str">
        <f>IFERROR(IF(AK176=0,"",AL176/AK176-1),"")</f>
        <v/>
      </c>
      <c r="AM177" s="55" t="str">
        <f>IFERROR(IF(AL176=0,"",AM176/AL176-1),"")</f>
        <v/>
      </c>
      <c r="AN177" s="55" t="str">
        <f>IFERROR(IF(AM176=0,"",AN176/AM176-1),"")</f>
        <v/>
      </c>
      <c r="AO177" s="55" t="str">
        <f>IFERROR(IF(AN176=0,"",AO176/AN176-1),"")</f>
        <v/>
      </c>
      <c r="AP177" s="55" t="str">
        <f>IFERROR(IF(AO176=0,"",AP176/AO176-1),"")</f>
        <v/>
      </c>
      <c r="AQ177" s="12" t="str">
        <f>IFERROR(IF(AP176=0,"",AQ176/AP176-1),"")</f>
        <v/>
      </c>
      <c r="AR177" s="55" t="str">
        <f>IFERROR(IF(AQ176=0,"",AR176/AQ176-1),"")</f>
        <v/>
      </c>
      <c r="AS177" s="55" t="str">
        <f>IFERROR(IF(AR176=0,"",AS176/AR176-1),"")</f>
        <v/>
      </c>
      <c r="AT177" s="55" t="str">
        <f>IFERROR(IF(AS176=0,"",AT176/AS176-1),"")</f>
        <v/>
      </c>
      <c r="AU177" s="55" t="str">
        <f>IFERROR(IF(AT176=0,"",AU176/AT176-1),"")</f>
        <v/>
      </c>
      <c r="AV177" s="12" t="str">
        <f>IFERROR(IF(AU176=0,"",AV176/AU176-1),"")</f>
        <v/>
      </c>
      <c r="AW177" s="55" t="str">
        <f>IFERROR(IF(AV176=0,"",AW176/AV176-1),"")</f>
        <v/>
      </c>
      <c r="AX177" s="55" t="str">
        <f>IFERROR(IF(AW176=0,"",AX176/AW176-1),"")</f>
        <v/>
      </c>
      <c r="AY177" s="55" t="str">
        <f>IFERROR(IF(AX176=0,"",AY176/AX176-1),"")</f>
        <v/>
      </c>
      <c r="AZ177" s="55" t="str">
        <f>IFERROR(IF(AY176=0,"",AZ176/AY176-1),"")</f>
        <v/>
      </c>
      <c r="BA177" s="12" t="str">
        <f>IFERROR(IF(AZ176=0,"",BA176/AZ176-1),"")</f>
        <v/>
      </c>
      <c r="BB177" s="55" t="str">
        <f>IFERROR(IF(BA176=0,"",BB176/BA176-1),"")</f>
        <v/>
      </c>
      <c r="BC177" s="55" t="str">
        <f>IFERROR(IF(BB176=0,"",BC176/BB176-1),"")</f>
        <v/>
      </c>
      <c r="BD177" s="55" t="str">
        <f>IFERROR(IF(BC176=0,"",BD176/BC176-1),"")</f>
        <v/>
      </c>
      <c r="BE177" s="55" t="str">
        <f>IFERROR(IF(BD176=0,"",BE176/BD176-1),"")</f>
        <v/>
      </c>
      <c r="BF177" s="12" t="str">
        <f>IFERROR(IF(BE176=0,"",BF176/BE176-1),"")</f>
        <v/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0</v>
      </c>
      <c r="J179" s="46">
        <f>'Inputs (2)'!E24</f>
        <v>0</v>
      </c>
      <c r="K179" s="46">
        <f>'Inputs (2)'!F24</f>
        <v>0</v>
      </c>
      <c r="L179" s="46">
        <f>'Inputs (2)'!G24</f>
        <v>0</v>
      </c>
      <c r="M179" s="12">
        <f>'Inputs (2)'!H24</f>
        <v>0</v>
      </c>
      <c r="N179" s="46">
        <f>'Inputs (2)'!I24</f>
        <v>0</v>
      </c>
      <c r="O179" s="46">
        <f>'Inputs (2)'!J24</f>
        <v>0</v>
      </c>
      <c r="P179" s="46">
        <f>'Inputs (2)'!K24</f>
        <v>0</v>
      </c>
      <c r="Q179" s="46">
        <f>'Inputs (2)'!L24</f>
        <v>0</v>
      </c>
      <c r="R179" s="12">
        <f>'Inputs (2)'!M24</f>
        <v>0</v>
      </c>
      <c r="S179" s="46">
        <f>'Inputs (2)'!N24</f>
        <v>0</v>
      </c>
      <c r="T179" s="46">
        <f>'Inputs (2)'!O24</f>
        <v>0</v>
      </c>
      <c r="U179" s="46">
        <f>'Inputs (2)'!P24</f>
        <v>0</v>
      </c>
      <c r="V179" s="46">
        <f>'Inputs (2)'!Q24</f>
        <v>0</v>
      </c>
      <c r="W179" s="12">
        <f>'Inputs (2)'!R24</f>
        <v>0</v>
      </c>
      <c r="X179" s="46">
        <f>'Inputs (2)'!S24</f>
        <v>0</v>
      </c>
      <c r="Y179" s="46">
        <f>'Inputs (2)'!T24</f>
        <v>0</v>
      </c>
      <c r="Z179" s="46">
        <f>'Inputs (2)'!U24</f>
        <v>0</v>
      </c>
      <c r="AA179" s="46">
        <f>'Inputs (2)'!V24</f>
        <v>0</v>
      </c>
      <c r="AB179" s="12">
        <f>'Inputs (2)'!W24</f>
        <v>0</v>
      </c>
      <c r="AC179" s="46">
        <f>'Inputs (2)'!X24</f>
        <v>0</v>
      </c>
      <c r="AD179" s="46">
        <f>'Inputs (2)'!Y24</f>
        <v>0</v>
      </c>
      <c r="AE179" s="46">
        <f>'Inputs (2)'!Z24</f>
        <v>0</v>
      </c>
      <c r="AF179" s="46">
        <f>'Inputs (2)'!AA24</f>
        <v>0</v>
      </c>
      <c r="AG179" s="12">
        <f>'Inputs (2)'!AB24</f>
        <v>0</v>
      </c>
      <c r="AH179" s="12">
        <f>'Inputs (2)'!AC24</f>
        <v>0</v>
      </c>
      <c r="AI179" s="12">
        <f>'Inputs (2)'!AD24</f>
        <v>0</v>
      </c>
      <c r="AJ179" s="12">
        <f>AI179</f>
        <v>0</v>
      </c>
      <c r="AK179" s="12">
        <f>AJ179</f>
        <v>0</v>
      </c>
      <c r="AL179" s="12">
        <f>AK179</f>
        <v>0</v>
      </c>
      <c r="AM179" s="12">
        <f>AL179</f>
        <v>0</v>
      </c>
      <c r="AN179" s="12">
        <f>AM179</f>
        <v>0</v>
      </c>
      <c r="AO179" s="12">
        <f>AN179</f>
        <v>0</v>
      </c>
      <c r="AP179" s="12">
        <f>AO179</f>
        <v>0</v>
      </c>
      <c r="AQ179" s="12">
        <f>AP179</f>
        <v>0</v>
      </c>
      <c r="AR179" s="12">
        <f>AQ179</f>
        <v>0</v>
      </c>
      <c r="AS179" s="12">
        <f>AR179</f>
        <v>0</v>
      </c>
      <c r="AT179" s="12">
        <f>AS179</f>
        <v>0</v>
      </c>
      <c r="AU179" s="12">
        <f>AT179</f>
        <v>0</v>
      </c>
      <c r="AV179" s="12">
        <f>AU179</f>
        <v>0</v>
      </c>
      <c r="AW179" s="12">
        <f>AV179</f>
        <v>0</v>
      </c>
      <c r="AX179" s="12">
        <f>AW179</f>
        <v>0</v>
      </c>
      <c r="AY179" s="12">
        <f>AX179</f>
        <v>0</v>
      </c>
      <c r="AZ179" s="12">
        <f>AY179</f>
        <v>0</v>
      </c>
      <c r="BA179" s="12">
        <f>AZ179</f>
        <v>0</v>
      </c>
      <c r="BB179" s="12">
        <f>BA179</f>
        <v>0</v>
      </c>
      <c r="BC179" s="12">
        <f>BB179</f>
        <v>0</v>
      </c>
      <c r="BD179" s="12">
        <f>BC179</f>
        <v>0</v>
      </c>
      <c r="BE179" s="12">
        <f>BD179</f>
        <v>0</v>
      </c>
      <c r="BF179" s="12">
        <f>BE179</f>
        <v>0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0</v>
      </c>
      <c r="J180" s="46">
        <f>'Inputs (2)'!E25</f>
        <v>0</v>
      </c>
      <c r="K180" s="46">
        <f>'Inputs (2)'!F25</f>
        <v>0</v>
      </c>
      <c r="L180" s="46">
        <f>'Inputs (2)'!G25</f>
        <v>0</v>
      </c>
      <c r="M180" s="12">
        <f>'Inputs (2)'!H25</f>
        <v>0</v>
      </c>
      <c r="N180" s="46">
        <f>'Inputs (2)'!I25</f>
        <v>0</v>
      </c>
      <c r="O180" s="46">
        <f>'Inputs (2)'!J25</f>
        <v>0</v>
      </c>
      <c r="P180" s="46">
        <f>'Inputs (2)'!K25</f>
        <v>0</v>
      </c>
      <c r="Q180" s="46">
        <f>'Inputs (2)'!L25</f>
        <v>0</v>
      </c>
      <c r="R180" s="12">
        <f>'Inputs (2)'!M25</f>
        <v>0</v>
      </c>
      <c r="S180" s="46">
        <f>'Inputs (2)'!N25</f>
        <v>0</v>
      </c>
      <c r="T180" s="46">
        <f>'Inputs (2)'!O25</f>
        <v>0</v>
      </c>
      <c r="U180" s="46">
        <f>'Inputs (2)'!P25</f>
        <v>0</v>
      </c>
      <c r="V180" s="46">
        <f>'Inputs (2)'!Q25</f>
        <v>0</v>
      </c>
      <c r="W180" s="12">
        <f>'Inputs (2)'!R25</f>
        <v>0</v>
      </c>
      <c r="X180" s="46">
        <f>'Inputs (2)'!S25</f>
        <v>0</v>
      </c>
      <c r="Y180" s="46">
        <f>'Inputs (2)'!T25</f>
        <v>0</v>
      </c>
      <c r="Z180" s="46">
        <f>'Inputs (2)'!U25</f>
        <v>0</v>
      </c>
      <c r="AA180" s="46">
        <f>'Inputs (2)'!V25</f>
        <v>0</v>
      </c>
      <c r="AB180" s="12">
        <f>'Inputs (2)'!W25</f>
        <v>0</v>
      </c>
      <c r="AC180" s="46">
        <f>'Inputs (2)'!X25</f>
        <v>0</v>
      </c>
      <c r="AD180" s="46">
        <f>'Inputs (2)'!Y25</f>
        <v>0</v>
      </c>
      <c r="AE180" s="46">
        <f>'Inputs (2)'!Z25</f>
        <v>0</v>
      </c>
      <c r="AF180" s="46">
        <f>'Inputs (2)'!AA25</f>
        <v>0</v>
      </c>
      <c r="AG180" s="12">
        <f>'Inputs (2)'!AB25</f>
        <v>0</v>
      </c>
      <c r="AH180" s="12">
        <f>'Inputs (2)'!AC25</f>
        <v>0</v>
      </c>
      <c r="AI180" s="12">
        <f>'Inputs (2)'!AD25</f>
        <v>0</v>
      </c>
      <c r="AJ180" s="12">
        <f>AI180</f>
        <v>0</v>
      </c>
      <c r="AK180" s="12">
        <f>AJ180</f>
        <v>0</v>
      </c>
      <c r="AL180" s="12">
        <f>AK180</f>
        <v>0</v>
      </c>
      <c r="AM180" s="16">
        <f>AL180</f>
        <v>0</v>
      </c>
      <c r="AN180" s="12">
        <f>AM180</f>
        <v>0</v>
      </c>
      <c r="AO180" s="12">
        <f>AN180</f>
        <v>0</v>
      </c>
      <c r="AP180" s="12">
        <f>AO180</f>
        <v>0</v>
      </c>
      <c r="AQ180" s="12">
        <f>AP180</f>
        <v>0</v>
      </c>
      <c r="AR180" s="16">
        <f>AQ180</f>
        <v>0</v>
      </c>
      <c r="AS180" s="12">
        <f>AR180</f>
        <v>0</v>
      </c>
      <c r="AT180" s="12">
        <f>AS180</f>
        <v>0</v>
      </c>
      <c r="AU180" s="12">
        <f>AT180</f>
        <v>0</v>
      </c>
      <c r="AV180" s="12">
        <f>AU180</f>
        <v>0</v>
      </c>
      <c r="AW180" s="16">
        <f>AV180</f>
        <v>0</v>
      </c>
      <c r="AX180" s="12">
        <f>AW180</f>
        <v>0</v>
      </c>
      <c r="AY180" s="12">
        <f>AX180</f>
        <v>0</v>
      </c>
      <c r="AZ180" s="12">
        <f>AY180</f>
        <v>0</v>
      </c>
      <c r="BA180" s="12">
        <f>AZ180</f>
        <v>0</v>
      </c>
      <c r="BB180" s="16">
        <f>BA180</f>
        <v>0</v>
      </c>
      <c r="BC180" s="12">
        <f>BB180</f>
        <v>0</v>
      </c>
      <c r="BD180" s="12">
        <f>BC180</f>
        <v>0</v>
      </c>
      <c r="BE180" s="12">
        <f>BD180</f>
        <v>0</v>
      </c>
      <c r="BF180" s="12">
        <f>BE180</f>
        <v>0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0</v>
      </c>
      <c r="K182" s="12">
        <f>K180-J180-K84</f>
        <v>0</v>
      </c>
      <c r="L182" s="12">
        <f>L180-K180-L84</f>
        <v>0</v>
      </c>
      <c r="M182" s="12" t="n"/>
      <c r="N182" s="12">
        <f>N180-M180-N84</f>
        <v>0</v>
      </c>
      <c r="O182" s="12">
        <f>O180-N180-O84</f>
        <v>0</v>
      </c>
      <c r="P182" s="12">
        <f>P180-O180-P84</f>
        <v>0</v>
      </c>
      <c r="Q182" s="12">
        <f>Q180-P180-Q84</f>
        <v>0</v>
      </c>
      <c r="R182" s="12" t="n"/>
      <c r="S182" s="12">
        <f>S180-R180-S84</f>
        <v>0</v>
      </c>
      <c r="T182" s="12">
        <f>T180-S180-T84</f>
        <v>0</v>
      </c>
      <c r="U182" s="12">
        <f>U180-T180-U84</f>
        <v>0</v>
      </c>
      <c r="V182" s="12">
        <f>V180-U180-V84</f>
        <v>0</v>
      </c>
      <c r="W182" s="12" t="n"/>
      <c r="X182" s="12">
        <f>X180-W180-X84</f>
        <v>0</v>
      </c>
      <c r="Y182" s="12">
        <f>Y180-X180-Y84</f>
        <v>0</v>
      </c>
      <c r="Z182" s="12">
        <f>Z180-Y180-Z84</f>
        <v>0</v>
      </c>
      <c r="AA182" s="12">
        <f>AA180-Z180-AA84</f>
        <v>0</v>
      </c>
      <c r="AB182" s="12" t="n"/>
      <c r="AC182" s="12">
        <f>AC180-AB180-AC84</f>
        <v>0</v>
      </c>
      <c r="AD182" s="12">
        <f>AD180-AC180-AD84</f>
        <v>0</v>
      </c>
      <c r="AE182" s="12">
        <f>AE180-AD180-AE84</f>
        <v>0</v>
      </c>
      <c r="AF182" s="12">
        <f>AF180-AE180-AF84</f>
        <v>0</v>
      </c>
      <c r="AG182" s="12" t="n"/>
      <c r="AH182" s="11">
        <f>AH180-AG180-AH84</f>
        <v>0</v>
      </c>
      <c r="AI182" s="11">
        <f>AI180-AH180-AI84</f>
        <v>0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0</v>
      </c>
      <c r="J184" s="12">
        <f>J180</f>
        <v>0</v>
      </c>
      <c r="K184" s="12">
        <f>K180</f>
        <v>0</v>
      </c>
      <c r="L184" s="12">
        <f>L180</f>
        <v>0</v>
      </c>
      <c r="M184" s="12">
        <f>M180</f>
        <v>0</v>
      </c>
      <c r="N184" s="12">
        <f>N180</f>
        <v>0</v>
      </c>
      <c r="O184" s="12">
        <f>O180</f>
        <v>0</v>
      </c>
      <c r="P184" s="12">
        <f>P180</f>
        <v>0</v>
      </c>
      <c r="Q184" s="12">
        <f>Q180</f>
        <v>0</v>
      </c>
      <c r="R184" s="12">
        <f>R180</f>
        <v>0</v>
      </c>
      <c r="S184" s="12">
        <f>S180</f>
        <v>0</v>
      </c>
      <c r="T184" s="12">
        <f>T180</f>
        <v>0</v>
      </c>
      <c r="U184" s="12">
        <f>U180</f>
        <v>0</v>
      </c>
      <c r="V184" s="12">
        <f>V180</f>
        <v>0</v>
      </c>
      <c r="W184" s="12">
        <f>W180</f>
        <v>0</v>
      </c>
      <c r="X184" s="12">
        <f>X180</f>
        <v>0</v>
      </c>
      <c r="Y184" s="12">
        <f>Y180</f>
        <v>0</v>
      </c>
      <c r="Z184" s="12">
        <f>Z180</f>
        <v>0</v>
      </c>
      <c r="AA184" s="12">
        <f>AA180</f>
        <v>0</v>
      </c>
      <c r="AB184" s="12">
        <f>AB180</f>
        <v>0</v>
      </c>
      <c r="AC184" s="12">
        <f>AC180</f>
        <v>0</v>
      </c>
      <c r="AD184" s="12">
        <f>AD180</f>
        <v>0</v>
      </c>
      <c r="AE184" s="12">
        <f>AE180</f>
        <v>0</v>
      </c>
      <c r="AF184" s="12">
        <f>AF180</f>
        <v>0</v>
      </c>
      <c r="AG184" s="12">
        <f>AG180</f>
        <v>0</v>
      </c>
      <c r="AH184" s="12">
        <f>AH180</f>
        <v>0</v>
      </c>
      <c r="AI184" s="12">
        <f>AI180</f>
        <v>0</v>
      </c>
      <c r="AJ184" s="12">
        <f>AJ180</f>
        <v>0</v>
      </c>
      <c r="AK184" s="12">
        <f>AK180</f>
        <v>0</v>
      </c>
      <c r="AL184" s="12" t="n"/>
      <c r="AM184" s="12">
        <f>AM180</f>
        <v>0</v>
      </c>
      <c r="AN184" s="12">
        <f>AN180</f>
        <v>0</v>
      </c>
      <c r="AO184" s="12">
        <f>AO180</f>
        <v>0</v>
      </c>
      <c r="AP184" s="12">
        <f>AP180</f>
        <v>0</v>
      </c>
      <c r="AQ184" s="12" t="n"/>
      <c r="AR184" s="12">
        <f>AR180</f>
        <v>0</v>
      </c>
      <c r="AS184" s="12">
        <f>AS180</f>
        <v>0</v>
      </c>
      <c r="AT184" s="12">
        <f>AT180</f>
        <v>0</v>
      </c>
      <c r="AU184" s="12">
        <f>AU180</f>
        <v>0</v>
      </c>
      <c r="AV184" s="12" t="n"/>
      <c r="AW184" s="12">
        <f>AW180</f>
        <v>0</v>
      </c>
      <c r="AX184" s="12">
        <f>AX180</f>
        <v>0</v>
      </c>
      <c r="AY184" s="12">
        <f>AY180</f>
        <v>0</v>
      </c>
      <c r="AZ184" s="12">
        <f>AZ180</f>
        <v>0</v>
      </c>
      <c r="BA184" s="12" t="n"/>
      <c r="BB184" s="12">
        <f>BB180</f>
        <v>0</v>
      </c>
      <c r="BC184" s="12">
        <f>BC180</f>
        <v>0</v>
      </c>
      <c r="BD184" s="12">
        <f>BD180</f>
        <v>0</v>
      </c>
      <c r="BE184" s="12">
        <f>BE180</f>
        <v>0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4748.496</v>
      </c>
      <c r="J189" s="46">
        <f>'Inputs (2)'!E26</f>
        <v>4870.175</v>
      </c>
      <c r="K189" s="46">
        <f>'Inputs (2)'!F26</f>
        <v>4767.319</v>
      </c>
      <c r="L189" s="46">
        <f>'Inputs (2)'!G26</f>
        <v>4879.614</v>
      </c>
      <c r="M189" s="12">
        <f>'Inputs (2)'!H26</f>
        <v>4879.614</v>
      </c>
      <c r="N189" s="46">
        <f>'Inputs (2)'!I26</f>
        <v>4826.9</v>
      </c>
      <c r="O189" s="46">
        <f>'Inputs (2)'!J26</f>
        <v>5047.857</v>
      </c>
      <c r="P189" s="46">
        <f>'Inputs (2)'!K26</f>
        <v>4702.001</v>
      </c>
      <c r="Q189" s="46">
        <f>'Inputs (2)'!L26</f>
        <v>4879.81</v>
      </c>
      <c r="R189" s="12">
        <f>'Inputs (2)'!M26</f>
        <v>4879.81</v>
      </c>
      <c r="S189" s="46">
        <f>'Inputs (2)'!N26</f>
        <v>4813.752</v>
      </c>
      <c r="T189" s="46">
        <f>'Inputs (2)'!O26</f>
        <v>5050.991</v>
      </c>
      <c r="U189" s="46">
        <f>'Inputs (2)'!P26</f>
        <v>4959.396</v>
      </c>
      <c r="V189" s="46">
        <f>'Inputs (2)'!Q26</f>
        <v>4968.619</v>
      </c>
      <c r="W189" s="12">
        <f>'Inputs (2)'!R26</f>
        <v>4968.619</v>
      </c>
      <c r="X189" s="46">
        <f>'Inputs (2)'!S26</f>
        <v>4879.687</v>
      </c>
      <c r="Y189" s="46">
        <f>'Inputs (2)'!T26</f>
        <v>4964.938</v>
      </c>
      <c r="Z189" s="46">
        <f>'Inputs (2)'!U26</f>
        <v>4828.937</v>
      </c>
      <c r="AA189" s="46">
        <f>'Inputs (2)'!V26</f>
        <v>4978.477</v>
      </c>
      <c r="AB189" s="12">
        <f>'Inputs (2)'!W26</f>
        <v>4978.477</v>
      </c>
      <c r="AC189" s="46">
        <f>'Inputs (2)'!X26</f>
        <v>4985.503</v>
      </c>
      <c r="AD189" s="46">
        <f>'Inputs (2)'!Y26</f>
        <v>5304.857</v>
      </c>
      <c r="AE189" s="46">
        <f>'Inputs (2)'!Z26</f>
        <v>5276.204</v>
      </c>
      <c r="AF189" s="46">
        <f>'Inputs (2)'!AA26</f>
        <v>5379.113</v>
      </c>
      <c r="AG189" s="12">
        <f>'Inputs (2)'!AB26</f>
        <v>5379.113</v>
      </c>
      <c r="AH189" s="12">
        <f>'Inputs (2)'!AC26</f>
        <v>5220.835</v>
      </c>
      <c r="AI189" s="12">
        <f>'Inputs (2)'!AD26</f>
        <v>5423.841</v>
      </c>
      <c r="AJ189" s="12">
        <f>AI189</f>
        <v>5423.841</v>
      </c>
      <c r="AK189" s="12">
        <f>AJ189</f>
        <v>5423.841</v>
      </c>
      <c r="AL189" s="12">
        <f>AK189</f>
        <v>5423.841</v>
      </c>
      <c r="AM189" s="12">
        <f>AL189</f>
        <v>5423.841</v>
      </c>
      <c r="AN189" s="12">
        <f>AM189</f>
        <v>5423.841</v>
      </c>
      <c r="AO189" s="12">
        <f>AN189</f>
        <v>5423.841</v>
      </c>
      <c r="AP189" s="12">
        <f>AO189</f>
        <v>5423.841</v>
      </c>
      <c r="AQ189" s="12">
        <f>AP189</f>
        <v>5423.841</v>
      </c>
      <c r="AR189" s="12">
        <f>AQ189</f>
        <v>5423.841</v>
      </c>
      <c r="AS189" s="12">
        <f>AR189</f>
        <v>5423.841</v>
      </c>
      <c r="AT189" s="12">
        <f>AS189</f>
        <v>5423.841</v>
      </c>
      <c r="AU189" s="12">
        <f>AT189</f>
        <v>5423.841</v>
      </c>
      <c r="AV189" s="12">
        <f>AU189</f>
        <v>5423.841</v>
      </c>
      <c r="AW189" s="12">
        <f>AV189</f>
        <v>5423.841</v>
      </c>
      <c r="AX189" s="12">
        <f>AW189</f>
        <v>5423.841</v>
      </c>
      <c r="AY189" s="12">
        <f>AX189</f>
        <v>5423.841</v>
      </c>
      <c r="AZ189" s="12">
        <f>AY189</f>
        <v>5423.841</v>
      </c>
      <c r="BA189" s="12">
        <f>AZ189</f>
        <v>5423.841</v>
      </c>
      <c r="BB189" s="12">
        <f>BA189</f>
        <v>5423.841</v>
      </c>
      <c r="BC189" s="12">
        <f>BB189</f>
        <v>5423.841</v>
      </c>
      <c r="BD189" s="12">
        <f>BC189</f>
        <v>5423.841</v>
      </c>
      <c r="BE189" s="12">
        <f>BD189</f>
        <v>5423.841</v>
      </c>
      <c r="BF189" s="12">
        <f>BE189</f>
        <v>5423.841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0.0256247451824747</v>
      </c>
      <c r="K190" s="40">
        <f>IF(J189=0,"",K189/J189-1)</f>
        <v>-0.0211195696253215</v>
      </c>
      <c r="L190" s="40">
        <f>IF(K189=0,"",L189/K189-1)</f>
        <v>0.0235551680095247</v>
      </c>
      <c r="M190" s="12">
        <f>IF(L189=0,"",M189/L189-1)</f>
        <v>0</v>
      </c>
      <c r="N190" s="40">
        <f>IF(M189=0,"",N189/M189-1)</f>
        <v>-0.0108029036722986</v>
      </c>
      <c r="O190" s="40">
        <f>IF(N189=0,"",O189/N189-1)</f>
        <v>0.0457761710414553</v>
      </c>
      <c r="P190" s="40">
        <f>IF(O189=0,"",P189/O189-1)</f>
        <v>-0.0685154115895121</v>
      </c>
      <c r="Q190" s="40">
        <f>IF(P189=0,"",Q189/P189-1)</f>
        <v>0.0378156023361118</v>
      </c>
      <c r="R190" s="12">
        <f>IF(Q189=0,"",R189/Q189-1)</f>
        <v>0</v>
      </c>
      <c r="S190" s="40">
        <f>IF(R189=0,"",S189/R189-1)</f>
        <v>-0.0135370024652599</v>
      </c>
      <c r="T190" s="40">
        <f>IF(S189=0,"",T189/S189-1)</f>
        <v>0.0492835941693712</v>
      </c>
      <c r="U190" s="40">
        <f>IF(T189=0,"",U189/T189-1)</f>
        <v>-0.0181340651765169</v>
      </c>
      <c r="V190" s="40">
        <f>IF(U189=0,"",V189/U189-1)</f>
        <v>0.00185970227019583</v>
      </c>
      <c r="W190" s="12">
        <f>IF(V189=0,"",W189/V189-1)</f>
        <v>0</v>
      </c>
      <c r="X190" s="40">
        <f>IF(W189=0,"",X189/W189-1)</f>
        <v>-0.0178987360471793</v>
      </c>
      <c r="Y190" s="40">
        <f>IF(X189=0,"",Y189/X189-1)</f>
        <v>0.017470587765158</v>
      </c>
      <c r="Z190" s="40">
        <f>IF(Y189=0,"",Z189/Y189-1)</f>
        <v>-0.0273922856639902</v>
      </c>
      <c r="AA190" s="40">
        <f>IF(Z189=0,"",AA189/Z189-1)</f>
        <v>0.0309674779356202</v>
      </c>
      <c r="AB190" s="12">
        <f>IF(AA189=0,"",AB189/AA189-1)</f>
        <v>0</v>
      </c>
      <c r="AC190" s="40">
        <f>IF(AB189=0,"",AC189/AB189-1)</f>
        <v>0.00141127497425408</v>
      </c>
      <c r="AD190" s="40">
        <f>IF(AC189=0,"",AD189/AC189-1)</f>
        <v>0.0640565254900058</v>
      </c>
      <c r="AE190" s="40">
        <f>IF(AD189=0,"",AE189/AD189-1)</f>
        <v>-0.00540127660368606</v>
      </c>
      <c r="AF190" s="55">
        <f>IF(AE189=0,"",AF189/AE189-1)</f>
        <v>0.0195043633642673</v>
      </c>
      <c r="AG190" s="12">
        <f>IF(AF189=0,"",AG189/AF189-1)</f>
        <v>0</v>
      </c>
      <c r="AH190" s="55">
        <f>IF(AG189=0,"",AH189/AG189-1)</f>
        <v>-0.0294245538251381</v>
      </c>
      <c r="AI190" s="55">
        <f>IF(AH189=0,"",AI189/AH189-1)</f>
        <v>0.0388838183930349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18566.143</v>
      </c>
      <c r="J197" s="35">
        <f>SUM(J144,J145,J149,J153,J154,J155,J161,J166,J176,J179,J180,J189)</f>
        <v>18600.626</v>
      </c>
      <c r="K197" s="35">
        <f>SUM(K144,K145,K149,K153,K154,K155,K161,K166,K176,K179,K180,K189)</f>
        <v>17576.275</v>
      </c>
      <c r="L197" s="35">
        <f>SUM(L144,L145,L149,L153,L154,L155,L161,L166,L176,L179,L180,L189)</f>
        <v>19614.978</v>
      </c>
      <c r="M197" s="35">
        <f>SUM(M144,M145,M149,M153,M154,M155,M161,M166,M176,M179,M180,M189)</f>
        <v>19614.978</v>
      </c>
      <c r="N197" s="35">
        <f>SUM(N144,N145,N149,N153,N154,N155,N161,N166,N176,N179,N180,N189)</f>
        <v>20747.301</v>
      </c>
      <c r="O197" s="35">
        <f>SUM(O144,O145,O149,O153,O154,O155,O161,O166,O176,O179,O180,O189)</f>
        <v>20709.043</v>
      </c>
      <c r="P197" s="35">
        <f>SUM(P144,P145,P149,P153,P154,P155,P161,P166,P176,P179,P180,P189)</f>
        <v>18824.807</v>
      </c>
      <c r="Q197" s="35">
        <f>SUM(Q144,Q145,Q149,Q153,Q154,Q155,Q161,Q166,Q176,Q179,Q180,Q189)</f>
        <v>21073.264</v>
      </c>
      <c r="R197" s="35">
        <f>SUM(R144,R145,R149,R153,R154,R155,R161,R166,R176,R179,R180,R189)</f>
        <v>21073.264</v>
      </c>
      <c r="S197" s="35">
        <f>SUM(S144,S145,S149,S153,S154,S155,S161,S166,S176,S179,S180,S189)</f>
        <v>20171.014</v>
      </c>
      <c r="T197" s="35">
        <f>SUM(T144,T145,T149,T153,T154,T155,T161,T166,T176,T179,T180,T189)</f>
        <v>19194.451</v>
      </c>
      <c r="U197" s="35">
        <f>SUM(U144,U145,U149,U153,U154,U155,U161,U166,U176,U179,U180,U189)</f>
        <v>18957.418</v>
      </c>
      <c r="V197" s="35">
        <f>SUM(V144,V145,V149,V153,V154,V155,V161,V166,V176,V179,V180,V189)</f>
        <v>20432.885</v>
      </c>
      <c r="W197" s="35">
        <f>SUM(W144,W145,W149,W153,W154,W155,W161,W166,W176,W179,W180,W189)</f>
        <v>20432.885</v>
      </c>
      <c r="X197" s="35">
        <f>SUM(X144,X145,X149,X153,X154,X155,X161,X166,X176,X179,X180,X189)</f>
        <v>19164.302</v>
      </c>
      <c r="Y197" s="35">
        <f>SUM(Y144,Y145,Y149,Y153,Y154,Y155,Y161,Y166,Y176,Y179,Y180,Y189)</f>
        <v>18457.915</v>
      </c>
      <c r="Z197" s="35">
        <f>SUM(Z144,Z145,Z149,Z153,Z154,Z155,Z161,Z166,Z176,Z179,Z180,Z189)</f>
        <v>18715.075</v>
      </c>
      <c r="AA197" s="35">
        <f>SUM(AA144,AA145,AA149,AA153,AA154,AA155,AA161,AA166,AA176,AA179,AA180,AA189)</f>
        <v>19576.088</v>
      </c>
      <c r="AB197" s="35">
        <f>SUM(AB144,AB145,AB149,AB153,AB154,AB155,AB161,AB166,AB176,AB179,AB180,AB189)</f>
        <v>19576.088</v>
      </c>
      <c r="AC197" s="35">
        <f>SUM(AC144,AC145,AC149,AC153,AC154,AC155,AC161,AC166,AC176,AC179,AC180,AC189)</f>
        <v>20099.361</v>
      </c>
      <c r="AD197" s="35">
        <f>SUM(AD144,AD145,AD149,AD153,AD154,AD155,AD161,AD166,AD176,AD179,AD180,AD189)</f>
        <v>19686.682</v>
      </c>
      <c r="AE197" s="35">
        <f>SUM(AE144,AE145,AE149,AE153,AE154,AE155,AE161,AE166,AE176,AE179,AE180,AE189)</f>
        <v>18863.849</v>
      </c>
      <c r="AF197" s="35">
        <f>SUM(AF144,AF145,AF149,AF153,AF154,AF155,AF161,AF166,AF176,AF179,AF180,AF189)</f>
        <v>20743.613</v>
      </c>
      <c r="AG197" s="35">
        <f>SUM(AG144,AG145,AG149,AG153,AG154,AG155,AG161,AG166,AG176,AG179,AG180,AG189)</f>
        <v>20743.613</v>
      </c>
      <c r="AH197" s="35">
        <f>SUM(AH144,AH145,AH149,AH153,AH154,AH155,AH161,AH166,AH176,AH179,AH180,AH189)</f>
        <v>20908.534</v>
      </c>
      <c r="AI197" s="35">
        <f>SUM(AI144,AI145,AI149,AI153,AI154,AI155,AI161,AI166,AI176,AI179,AI180,AI189)</f>
        <v>20777.861</v>
      </c>
      <c r="AJ197" s="35">
        <f>SUM(AJ144,AJ145,AJ149,AJ153,AJ154,AJ155,AJ161,AJ166,AJ176,AJ179,AJ180,AJ189)</f>
        <v>20620.6865346487</v>
      </c>
      <c r="AK197" s="35">
        <f>SUM(AK144,AK145,AK149,AK153,AK154,AK155,AK161,AK166,AK176,AK179,AK180,AK189)</f>
        <v>20847.7356996967</v>
      </c>
      <c r="AL197" s="35">
        <f>SUM(AL144,AL145,AL149,AL153,AL154,AL155,AL161,AL166,AL176,AL179,AL180,AL189)</f>
        <v>20847.7356996967</v>
      </c>
      <c r="AM197" s="35">
        <f>SUM(AM144,AM145,AM149,AM153,AM154,AM155,AM161,AM166,AM176,AM179,AM180,AM189)</f>
        <v>20879.3454405046</v>
      </c>
      <c r="AN197" s="35">
        <f>SUM(AN144,AN145,AN149,AN153,AN154,AN155,AN161,AN166,AN176,AN179,AN180,AN189)</f>
        <v>22085.4382432068</v>
      </c>
      <c r="AO197" s="35">
        <f>SUM(AO144,AO145,AO149,AO153,AO154,AO155,AO161,AO166,AO176,AO179,AO180,AO189)</f>
        <v>21239.3974955878</v>
      </c>
      <c r="AP197" s="35">
        <f>SUM(AP144,AP145,AP149,AP153,AP154,AP155,AP161,AP166,AP176,AP179,AP180,AP189)</f>
        <v>21467.3724548953</v>
      </c>
      <c r="AQ197" s="35">
        <f>SUM(AQ144,AQ145,AQ149,AQ153,AQ154,AQ155,AQ161,AQ166,AQ176,AQ179,AQ180,AQ189)</f>
        <v>21467.3724548953</v>
      </c>
      <c r="AR197" s="35">
        <f>SUM(AR144,AR145,AR149,AR153,AR154,AR155,AR161,AR166,AR176,AR179,AR180,AR189)</f>
        <v>21454.6157223558</v>
      </c>
      <c r="AS197" s="35">
        <f>SUM(AS144,AS145,AS149,AS153,AS154,AS155,AS161,AS166,AS176,AS179,AS180,AS189)</f>
        <v>22687.8125087542</v>
      </c>
      <c r="AT197" s="35">
        <f>SUM(AT144,AT145,AT149,AT153,AT154,AT155,AT161,AT166,AT176,AT179,AT180,AT189)</f>
        <v>21838.7052104723</v>
      </c>
      <c r="AU197" s="35">
        <f>SUM(AU144,AU145,AU149,AU153,AU154,AU155,AU161,AU166,AU176,AU179,AU180,AU189)</f>
        <v>22063.6016003219</v>
      </c>
      <c r="AV197" s="35">
        <f>SUM(AV144,AV145,AV149,AV153,AV154,AV155,AV161,AV166,AV176,AV179,AV180,AV189)</f>
        <v>22063.6016003219</v>
      </c>
      <c r="AW197" s="35">
        <f>SUM(AW144,AW145,AW149,AW153,AW154,AW155,AW161,AW166,AW176,AW179,AW180,AW189)</f>
        <v>22081.0034302682</v>
      </c>
      <c r="AX197" s="35">
        <f>SUM(AX144,AX145,AX149,AX153,AX154,AX155,AX161,AX166,AX176,AX179,AX180,AX189)</f>
        <v>23284.0416541808</v>
      </c>
      <c r="AY197" s="35">
        <f>SUM(AY144,AY145,AY149,AY153,AY154,AY155,AY161,AY166,AY176,AY179,AY180,AY189)</f>
        <v>22434.9343558989</v>
      </c>
      <c r="AZ197" s="35">
        <f>SUM(AZ144,AZ145,AZ149,AZ153,AZ154,AZ155,AZ161,AZ166,AZ176,AZ179,AZ180,AZ189)</f>
        <v>22659.8307457486</v>
      </c>
      <c r="BA197" s="35">
        <f>SUM(BA144,BA145,BA149,BA153,BA154,BA155,BA161,BA166,BA176,BA179,BA180,BA189)</f>
        <v>22659.8307457486</v>
      </c>
      <c r="BB197" s="35">
        <f>SUM(BB144,BB145,BB149,BB153,BB154,BB155,BB161,BB166,BB176,BB179,BB180,BB189)</f>
        <v>22677.2325756948</v>
      </c>
      <c r="BC197" s="35">
        <f>SUM(BC144,BC145,BC149,BC153,BC154,BC155,BC161,BC166,BC176,BC179,BC180,BC189)</f>
        <v>23880.2707996075</v>
      </c>
      <c r="BD197" s="35">
        <f>SUM(BD144,BD145,BD149,BD153,BD154,BD155,BD161,BD166,BD176,BD179,BD180,BD189)</f>
        <v>23031.1635013255</v>
      </c>
      <c r="BE197" s="35">
        <f>SUM(BE144,BE145,BE149,BE153,BE154,BE155,BE161,BE166,BE176,BE179,BE180,BE189)</f>
        <v>23256.0598911752</v>
      </c>
      <c r="BF197" s="35">
        <f>SUM(BF144,BF145,BF149,BF153,BF154,BF155,BF161,BF166,BF176,BF179,BF180,BF189)</f>
        <v>23256.0598911752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2042.475</v>
      </c>
      <c r="J198" s="46">
        <f>'Inputs (2)'!E28</f>
        <v>2378.812</v>
      </c>
      <c r="K198" s="46">
        <f>'Inputs (2)'!F28</f>
        <v>2616.052</v>
      </c>
      <c r="L198" s="46">
        <f>'Inputs (2)'!G28</f>
        <v>4219.458</v>
      </c>
      <c r="M198" s="12">
        <f>'Inputs (2)'!H28</f>
        <v>4219.458</v>
      </c>
      <c r="N198" s="46">
        <f>'Inputs (2)'!I28</f>
        <v>3194.682</v>
      </c>
      <c r="O198" s="46">
        <f>'Inputs (2)'!J28</f>
        <v>3373.338</v>
      </c>
      <c r="P198" s="46">
        <f>'Inputs (2)'!K28</f>
        <v>3063.31</v>
      </c>
      <c r="Q198" s="46">
        <f>'Inputs (2)'!L28</f>
        <v>4604.819</v>
      </c>
      <c r="R198" s="12">
        <f>'Inputs (2)'!M28</f>
        <v>4604.819</v>
      </c>
      <c r="S198" s="46">
        <f>'Inputs (2)'!N28</f>
        <v>3044.269</v>
      </c>
      <c r="T198" s="46">
        <f>'Inputs (2)'!O28</f>
        <v>3145.954</v>
      </c>
      <c r="U198" s="46">
        <f>'Inputs (2)'!P28</f>
        <v>2930.607</v>
      </c>
      <c r="V198" s="46">
        <f>'Inputs (2)'!Q28</f>
        <v>4331.301</v>
      </c>
      <c r="W198" s="12">
        <f>'Inputs (2)'!R28</f>
        <v>4331.301</v>
      </c>
      <c r="X198" s="46">
        <f>'Inputs (2)'!S28</f>
        <v>2767.797</v>
      </c>
      <c r="Y198" s="46">
        <f>'Inputs (2)'!T28</f>
        <v>2696.898</v>
      </c>
      <c r="Z198" s="46">
        <f>'Inputs (2)'!U28</f>
        <v>2697.29</v>
      </c>
      <c r="AA198" s="46">
        <f>'Inputs (2)'!V28</f>
        <v>3495.276</v>
      </c>
      <c r="AB198" s="12">
        <f>'Inputs (2)'!W28</f>
        <v>3495.276</v>
      </c>
      <c r="AC198" s="46">
        <f>'Inputs (2)'!X28</f>
        <v>2543.654</v>
      </c>
      <c r="AD198" s="46">
        <f>'Inputs (2)'!Y28</f>
        <v>2707.401</v>
      </c>
      <c r="AE198" s="46">
        <f>'Inputs (2)'!Z28</f>
        <v>2717.648</v>
      </c>
      <c r="AF198" s="46">
        <f>'Inputs (2)'!AA28</f>
        <v>3641.125</v>
      </c>
      <c r="AG198" s="12">
        <f>'Inputs (2)'!AB28</f>
        <v>3641.125</v>
      </c>
      <c r="AH198" s="12">
        <f>'Inputs (2)'!AC28</f>
        <v>2890.513</v>
      </c>
      <c r="AI198" s="12">
        <f>'Inputs (2)'!AD28</f>
        <v>3062.902</v>
      </c>
      <c r="AJ198" s="12">
        <f>(AJ199/(AJ$5-AI$5))*-AJ$54</f>
        <v>2765.78612507935</v>
      </c>
      <c r="AK198" s="12">
        <f>(AK199/(AK$5-AJ$5))*-AK$54</f>
        <v>2848.77368257118</v>
      </c>
      <c r="AL198" s="12">
        <f>AK198</f>
        <v>2848.77368257118</v>
      </c>
      <c r="AM198" s="12">
        <f>(AM199/(AM$5-AL$5))*-AM$54</f>
        <v>2744.4291862074</v>
      </c>
      <c r="AN198" s="12">
        <f>(AN199/(AN$5-AM$5))*-AN$54</f>
        <v>3763.19253546433</v>
      </c>
      <c r="AO198" s="12">
        <f>(AO199/(AO$5-AN$5))*-AO$54</f>
        <v>2776.6261274478</v>
      </c>
      <c r="AP198" s="12">
        <f>(AP199/(AP$5-AO$5))*-AP$54</f>
        <v>2859.93893977824</v>
      </c>
      <c r="AQ198" s="12">
        <f>AP198</f>
        <v>2859.93893977824</v>
      </c>
      <c r="AR198" s="12">
        <f>(AR199/(AR$5-AQ$5))*-AR$54</f>
        <v>2714.2706237216</v>
      </c>
      <c r="AS198" s="12">
        <f>(AS199/(AS$5-AR$5))*-AS$54</f>
        <v>3763.19253546433</v>
      </c>
      <c r="AT198" s="12">
        <f>(AT199/(AT$5-AS$5))*-AT$54</f>
        <v>2776.6261274478</v>
      </c>
      <c r="AU198" s="12">
        <f>(AU199/(AU$5-AT$5))*-AU$54</f>
        <v>2859.93893977824</v>
      </c>
      <c r="AV198" s="12">
        <f>AU198</f>
        <v>2859.93893977824</v>
      </c>
      <c r="AW198" s="12">
        <f>(AW199/(AW$5-AV$5))*-AW$54</f>
        <v>2744.4291862074</v>
      </c>
      <c r="AX198" s="12">
        <f>(AX199/(AX$5-AW$5))*-AX$54</f>
        <v>3763.19253546433</v>
      </c>
      <c r="AY198" s="12">
        <f>(AY199/(AY$5-AX$5))*-AY$54</f>
        <v>2776.6261274478</v>
      </c>
      <c r="AZ198" s="12">
        <f>(AZ199/(AZ$5-AY$5))*-AZ$54</f>
        <v>2859.93893977824</v>
      </c>
      <c r="BA198" s="12">
        <f>AZ198</f>
        <v>2859.93893977824</v>
      </c>
      <c r="BB198" s="12">
        <f>(BB199/(BB$5-BA$5))*-BB$54</f>
        <v>2744.4291862074</v>
      </c>
      <c r="BC198" s="12">
        <f>(BC199/(BC$5-BB$5))*-BC$54</f>
        <v>3763.19253546433</v>
      </c>
      <c r="BD198" s="12">
        <f>(BD199/(BD$5-BC$5))*-BD$54</f>
        <v>2776.6261274478</v>
      </c>
      <c r="BE198" s="12">
        <f>(BE199/(BE$5-BD$5))*-BE$54</f>
        <v>2859.93893977824</v>
      </c>
      <c r="BF198" s="12">
        <f>BE198</f>
        <v>2859.93893977824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22.3671125380379</v>
      </c>
      <c r="J199" s="12">
        <f>IFERROR(-(J198/J$54)*(J$5-I$5),"")</f>
        <v>20.3923500199899</v>
      </c>
      <c r="K199" s="12">
        <f>IFERROR(-(K198/K$54)*(K$5-J$5),"")</f>
        <v>23.7698234957396</v>
      </c>
      <c r="L199" s="12">
        <f>IFERROR(-(L198/L$54)*(L$5-K$5),"")</f>
        <v>37.4670199324399</v>
      </c>
      <c r="M199" s="12" t="n"/>
      <c r="N199" s="12">
        <f>IFERROR(-(N198/N$54)*(N$5-M$5),"")</f>
        <v>28.5704584546866</v>
      </c>
      <c r="O199" s="12">
        <f>IFERROR(-(O198/O$54)*(O$5-N$5),"")</f>
        <v>24.5707422927519</v>
      </c>
      <c r="P199" s="12">
        <f>IFERROR(-(P198/P$54)*(P$5-O$5),"")</f>
        <v>22.1093653100977</v>
      </c>
      <c r="Q199" s="12">
        <f>IFERROR(-(Q198/Q$54)*(Q$5-P$5),"")</f>
        <v>35.6401024203177</v>
      </c>
      <c r="R199" s="12" t="n"/>
      <c r="S199" s="12">
        <f>IFERROR(-(S198/S$54)*(S$5-R$5),"")</f>
        <v>25.0842003368984</v>
      </c>
      <c r="T199" s="12">
        <f>IFERROR(-(T198/T$54)*(T$5-S$5),"")</f>
        <v>25.2192655362703</v>
      </c>
      <c r="U199" s="12">
        <f>IFERROR(-(U198/U$54)*(U$5-T$5),"")</f>
        <v>29.78277898754</v>
      </c>
      <c r="V199" s="12">
        <f>IFERROR(-(V198/V$54)*(V$5-U$5),"")</f>
        <v>37.0826838026866</v>
      </c>
      <c r="W199" s="12" t="n"/>
      <c r="X199" s="12">
        <f>IFERROR(-(X198/X$54)*(X$5-W$5),"")</f>
        <v>28.8788609367927</v>
      </c>
      <c r="Y199" s="12">
        <f>IFERROR(-(Y198/Y$54)*(Y$5-X$5),"")</f>
        <v>26.8474642464415</v>
      </c>
      <c r="Z199" s="12">
        <f>IFERROR(-(Z198/Z$54)*(Z$5-Y$5),"")</f>
        <v>27.8776572451715</v>
      </c>
      <c r="AA199" s="12">
        <f>IFERROR(-(AA198/AA$54)*(AA$5-Z$5),"")</f>
        <v>36.1576101745152</v>
      </c>
      <c r="AB199" s="12" t="n"/>
      <c r="AC199" s="12">
        <f>IFERROR(-(AC198/AC$54)*(AC$5-AB$5),"")</f>
        <v>29.6544737247075</v>
      </c>
      <c r="AD199" s="12">
        <f>IFERROR(-(AD198/AD$54)*(AD$5-AC$5),"")</f>
        <v>26.1082625010465</v>
      </c>
      <c r="AE199" s="12">
        <f>IFERROR(-(AE198/AE$54)*(AE$5-AD$5),"")</f>
        <v>30.2111506799525</v>
      </c>
      <c r="AF199" s="11">
        <f>IFERROR(-(AF198/AF$54)*(AF$5-AE$5),"")</f>
        <v>39.527233363289</v>
      </c>
      <c r="AG199" s="12" t="n"/>
      <c r="AH199" s="11">
        <f>IFERROR(-(AH198/AH$54)*(AH$5-AG$5),"")</f>
        <v>31.2376336954983</v>
      </c>
      <c r="AI199" s="11">
        <f>IFERROR(-(AI198/AI$54)*(AI$5-AH$5),"")</f>
        <v>24.949635719349</v>
      </c>
      <c r="AJ199" s="11">
        <f>Control!$B$27</f>
        <v>30.2813982806405</v>
      </c>
      <c r="AK199" s="11">
        <f>Control!$B$27</f>
        <v>30.2813982806405</v>
      </c>
      <c r="AL199" s="12" t="n"/>
      <c r="AM199" s="11">
        <f>Control!$C$27</f>
        <v>30.2813982806405</v>
      </c>
      <c r="AN199" s="11">
        <f>Control!$C$27</f>
        <v>30.2813982806405</v>
      </c>
      <c r="AO199" s="11">
        <f>Control!$C$27</f>
        <v>30.2813982806405</v>
      </c>
      <c r="AP199" s="11">
        <f>Control!$C$27</f>
        <v>30.2813982806405</v>
      </c>
      <c r="AQ199" s="12" t="n"/>
      <c r="AR199" s="11">
        <f>Control!$D$27</f>
        <v>30.2813982806405</v>
      </c>
      <c r="AS199" s="11">
        <f>Control!$D$27</f>
        <v>30.2813982806405</v>
      </c>
      <c r="AT199" s="11">
        <f>Control!$D$27</f>
        <v>30.2813982806405</v>
      </c>
      <c r="AU199" s="11">
        <f>Control!$D$27</f>
        <v>30.2813982806405</v>
      </c>
      <c r="AV199" s="12" t="n"/>
      <c r="AW199" s="11">
        <f>Control!$E$27</f>
        <v>30.2813982806405</v>
      </c>
      <c r="AX199" s="11">
        <f>Control!$E$27</f>
        <v>30.2813982806405</v>
      </c>
      <c r="AY199" s="11">
        <f>Control!$E$27</f>
        <v>30.2813982806405</v>
      </c>
      <c r="AZ199" s="11">
        <f>Control!$E$27</f>
        <v>30.2813982806405</v>
      </c>
      <c r="BA199" s="12" t="n"/>
      <c r="BB199" s="11">
        <f>Control!$F$27</f>
        <v>30.2813982806405</v>
      </c>
      <c r="BC199" s="11">
        <f>Control!$F$27</f>
        <v>30.2813982806405</v>
      </c>
      <c r="BD199" s="11">
        <f>Control!$F$27</f>
        <v>30.2813982806405</v>
      </c>
      <c r="BE199" s="11">
        <f>Control!$F$27</f>
        <v>30.2813982806405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451.593</v>
      </c>
      <c r="J202" s="46">
        <f>'Inputs (2)'!E29</f>
        <v>595.66</v>
      </c>
      <c r="K202" s="46">
        <f>'Inputs (2)'!F29</f>
        <v>622.723</v>
      </c>
      <c r="L202" s="46">
        <f>'Inputs (2)'!G29</f>
        <v>475.729</v>
      </c>
      <c r="M202" s="12">
        <f>'Inputs (2)'!H29</f>
        <v>475.729</v>
      </c>
      <c r="N202" s="46">
        <f>'Inputs (2)'!I29</f>
        <v>561.762</v>
      </c>
      <c r="O202" s="46">
        <f>'Inputs (2)'!J29</f>
        <v>796.338</v>
      </c>
      <c r="P202" s="46">
        <f>'Inputs (2)'!K29</f>
        <v>784.317</v>
      </c>
      <c r="Q202" s="46">
        <f>'Inputs (2)'!L29</f>
        <v>666.614</v>
      </c>
      <c r="R202" s="12">
        <f>'Inputs (2)'!M29</f>
        <v>666.614</v>
      </c>
      <c r="S202" s="46">
        <f>'Inputs (2)'!N29</f>
        <v>665.469</v>
      </c>
      <c r="T202" s="46">
        <f>'Inputs (2)'!O29</f>
        <v>863.298</v>
      </c>
      <c r="U202" s="46">
        <f>'Inputs (2)'!P29</f>
        <v>773.054</v>
      </c>
      <c r="V202" s="46">
        <f>'Inputs (2)'!Q29</f>
        <v>597.196</v>
      </c>
      <c r="W202" s="12">
        <f>'Inputs (2)'!R29</f>
        <v>597.196</v>
      </c>
      <c r="X202" s="46">
        <f>'Inputs (2)'!S29</f>
        <v>644.982</v>
      </c>
      <c r="Y202" s="46">
        <f>'Inputs (2)'!T29</f>
        <v>864.484</v>
      </c>
      <c r="Z202" s="46">
        <f>'Inputs (2)'!U29</f>
        <v>783.945</v>
      </c>
      <c r="AA202" s="46">
        <f>'Inputs (2)'!V29</f>
        <v>603.629</v>
      </c>
      <c r="AB202" s="12">
        <f>'Inputs (2)'!W29</f>
        <v>603.629</v>
      </c>
      <c r="AC202" s="46">
        <f>'Inputs (2)'!X29</f>
        <v>591.747</v>
      </c>
      <c r="AD202" s="46">
        <f>'Inputs (2)'!Y29</f>
        <v>694.107</v>
      </c>
      <c r="AE202" s="46">
        <f>'Inputs (2)'!Z29</f>
        <v>695.965</v>
      </c>
      <c r="AF202" s="46">
        <f>'Inputs (2)'!AA29</f>
        <v>602.387</v>
      </c>
      <c r="AG202" s="12">
        <f>'Inputs (2)'!AB29</f>
        <v>602.387</v>
      </c>
      <c r="AH202" s="12">
        <f>'Inputs (2)'!AC29</f>
        <v>603.72</v>
      </c>
      <c r="AI202" s="12">
        <f>'Inputs (2)'!AD29</f>
        <v>770.272</v>
      </c>
      <c r="AJ202" s="12">
        <f>AI202*(1+AJ16)</f>
        <v>773.290942870758</v>
      </c>
      <c r="AK202" s="12">
        <f>AJ202*(1+AK16)</f>
        <v>776.321717946317</v>
      </c>
      <c r="AL202" s="12">
        <f>AK202</f>
        <v>776.321717946317</v>
      </c>
      <c r="AM202" s="12">
        <f>AL202*(1+AM16)</f>
        <v>779.364371600881</v>
      </c>
      <c r="AN202" s="12">
        <f>AM202*(1+AN16)</f>
        <v>782.418950390409</v>
      </c>
      <c r="AO202" s="12">
        <f>AN202*(1+AO16)</f>
        <v>785.485501053327</v>
      </c>
      <c r="AP202" s="12">
        <f>AO202*(1+AP16)</f>
        <v>788.564070511244</v>
      </c>
      <c r="AQ202" s="12">
        <f>AP202</f>
        <v>788.564070511244</v>
      </c>
      <c r="AR202" s="12">
        <f>AQ202*(1+AR16)</f>
        <v>788.564070511244</v>
      </c>
      <c r="AS202" s="12">
        <f>AR202*(1+AS16)</f>
        <v>788.564070511244</v>
      </c>
      <c r="AT202" s="12">
        <f>AS202*(1+AT16)</f>
        <v>788.564070511244</v>
      </c>
      <c r="AU202" s="12">
        <f>AT202*(1+AU16)</f>
        <v>788.564070511244</v>
      </c>
      <c r="AV202" s="12">
        <f>AU202</f>
        <v>788.564070511244</v>
      </c>
      <c r="AW202" s="12">
        <f>AV202*(1+AW16)</f>
        <v>788.564070511244</v>
      </c>
      <c r="AX202" s="12">
        <f>AW202*(1+AX16)</f>
        <v>788.564070511244</v>
      </c>
      <c r="AY202" s="12">
        <f>AX202*(1+AY16)</f>
        <v>788.564070511244</v>
      </c>
      <c r="AZ202" s="12">
        <f>AY202*(1+AZ16)</f>
        <v>788.564070511244</v>
      </c>
      <c r="BA202" s="12">
        <f>AZ202</f>
        <v>788.564070511244</v>
      </c>
      <c r="BB202" s="12">
        <f>BA202*(1+BB16)</f>
        <v>788.564070511244</v>
      </c>
      <c r="BC202" s="12">
        <f>BB202*(1+BC16)</f>
        <v>788.564070511244</v>
      </c>
      <c r="BD202" s="12">
        <f>BC202*(1+BD16)</f>
        <v>788.564070511244</v>
      </c>
      <c r="BE202" s="12">
        <f>BD202*(1+BE16)</f>
        <v>788.564070511244</v>
      </c>
      <c r="BF202" s="12">
        <f>BE202</f>
        <v>788.564070511244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>
        <f>IFERROR(IF(I202=0,"",J202/I202-1),"")</f>
        <v>0.319019559647736</v>
      </c>
      <c r="K203" s="40">
        <f>IFERROR(IF(J202=0,"",K202/J202-1),"")</f>
        <v>0.0454336366383508</v>
      </c>
      <c r="L203" s="40">
        <f>IFERROR(IF(K202=0,"",L202/K202-1),"")</f>
        <v>-0.236050378739825</v>
      </c>
      <c r="M203" s="12">
        <f>IF(L202=0,"",M202/L202-1)</f>
        <v>0</v>
      </c>
      <c r="N203" s="40">
        <f>IFERROR(IF(M202=0,"",N202/M202-1),"")</f>
        <v>0.180844556459665</v>
      </c>
      <c r="O203" s="40">
        <f>IFERROR(IF(N202=0,"",O202/N202-1),"")</f>
        <v>0.417571854272806</v>
      </c>
      <c r="P203" s="40">
        <f>IFERROR(IF(O202=0,"",P202/O202-1),"")</f>
        <v>-0.0150953489598638</v>
      </c>
      <c r="Q203" s="40">
        <f>IFERROR(IF(P202=0,"",Q202/P202-1),"")</f>
        <v>-0.150070698454834</v>
      </c>
      <c r="R203" s="12">
        <f>IF(Q202=0,"",R202/Q202-1)</f>
        <v>0</v>
      </c>
      <c r="S203" s="40">
        <f>IFERROR(IF(R202=0,"",S202/R202-1),"")</f>
        <v>-0.0017176356932197</v>
      </c>
      <c r="T203" s="40">
        <f>IFERROR(IF(S202=0,"",T202/S202-1),"")</f>
        <v>0.297277559134986</v>
      </c>
      <c r="U203" s="40">
        <f>IFERROR(IF(T202=0,"",U202/T202-1),"")</f>
        <v>-0.104534007955538</v>
      </c>
      <c r="V203" s="40">
        <f>IFERROR(IF(U202=0,"",V202/U202-1),"")</f>
        <v>-0.22748475526936</v>
      </c>
      <c r="W203" s="12">
        <f>IF(V202=0,"",W202/V202-1)</f>
        <v>0</v>
      </c>
      <c r="X203" s="40">
        <f>IFERROR(IF(W202=0,"",X202/W202-1),"")</f>
        <v>0.0800172807587458</v>
      </c>
      <c r="Y203" s="40">
        <f>IFERROR(IF(X202=0,"",Y202/X202-1),"")</f>
        <v>0.340322675671569</v>
      </c>
      <c r="Z203" s="40">
        <f>IFERROR(IF(Y202=0,"",Z202/Y202-1),"")</f>
        <v>-0.0931642459548123</v>
      </c>
      <c r="AA203" s="40">
        <f>IFERROR(IF(Z202=0,"",AA202/Z202-1),"")</f>
        <v>-0.23001103393733</v>
      </c>
      <c r="AB203" s="12">
        <f>IF(AA202=0,"",AB202/AA202-1)</f>
        <v>0</v>
      </c>
      <c r="AC203" s="40">
        <f>IFERROR(IF(AB202=0,"",AC202/AB202-1),"")</f>
        <v>-0.0196842762690329</v>
      </c>
      <c r="AD203" s="40">
        <f>IFERROR(IF(AC202=0,"",AD202/AC202-1),"")</f>
        <v>0.172979330693692</v>
      </c>
      <c r="AE203" s="40">
        <f>IFERROR(IF(AD202=0,"",AE202/AD202-1),"")</f>
        <v>0.00267682072072462</v>
      </c>
      <c r="AF203" s="55">
        <f>IFERROR(IF(AE202=0,"",AF202/AE202-1),"")</f>
        <v>-0.134457910958166</v>
      </c>
      <c r="AG203" s="12">
        <f>IF(AF202=0,"",AG202/AF202-1)</f>
        <v>0</v>
      </c>
      <c r="AH203" s="55">
        <f>IFERROR(IF(AG202=0,"",AH202/AG202-1),"")</f>
        <v>0.00221286315939762</v>
      </c>
      <c r="AI203" s="55">
        <f>IFERROR(IF(AH202=0,"",AI202/AH202-1),"")</f>
        <v>0.275876234015769</v>
      </c>
      <c r="AJ203" s="55">
        <f>IFERROR(IF(AI202=0,"",AJ202/AI202-1),"")</f>
        <v>0.00391932053970256</v>
      </c>
      <c r="AK203" s="55">
        <f>IF(AJ202=0,"",AK202/AJ202-1)</f>
        <v>0.00391932053970256</v>
      </c>
      <c r="AL203" s="12">
        <f>IF(AK202=0,"",AL202/AK202-1)</f>
        <v>0</v>
      </c>
      <c r="AM203" s="55">
        <f>IF(AL202=0,"",AM202/AL202-1)</f>
        <v>0.00391932053970256</v>
      </c>
      <c r="AN203" s="55">
        <f>IF(AM202=0,"",AN202/AM202-1)</f>
        <v>0.00391932053970256</v>
      </c>
      <c r="AO203" s="55">
        <f>IF(AN202=0,"",AO202/AN202-1)</f>
        <v>0.00391932053970256</v>
      </c>
      <c r="AP203" s="55">
        <f>IF(AO202=0,"",AP202/AO202-1)</f>
        <v>0.00391932053970256</v>
      </c>
      <c r="AQ203" s="12">
        <f>IF(AP202=0,"",AQ202/AP202-1)</f>
        <v>0</v>
      </c>
      <c r="AR203" s="55">
        <f>IF(AQ202=0,"",AR202/AQ202-1)</f>
        <v>0</v>
      </c>
      <c r="AS203" s="55">
        <f>IF(AR202=0,"",AS202/AR202-1)</f>
        <v>0</v>
      </c>
      <c r="AT203" s="55">
        <f>IF(AS202=0,"",AT202/AS202-1)</f>
        <v>0</v>
      </c>
      <c r="AU203" s="55">
        <f>IF(AT202=0,"",AU202/AT202-1)</f>
        <v>0</v>
      </c>
      <c r="AV203" s="12">
        <f>IF(AU202=0,"",AV202/AU202-1)</f>
        <v>0</v>
      </c>
      <c r="AW203" s="55">
        <f>IF(AV202=0,"",AW202/AV202-1)</f>
        <v>0</v>
      </c>
      <c r="AX203" s="55">
        <f>IF(AW202=0,"",AX202/AW202-1)</f>
        <v>0</v>
      </c>
      <c r="AY203" s="55">
        <f>IF(AX202=0,"",AY202/AX202-1)</f>
        <v>0</v>
      </c>
      <c r="AZ203" s="55">
        <f>IF(AY202=0,"",AZ202/AY202-1)</f>
        <v>0</v>
      </c>
      <c r="BA203" s="12">
        <f>IF(AZ202=0,"",BA202/AZ202-1)</f>
        <v>0</v>
      </c>
      <c r="BB203" s="55">
        <f>IF(BA202=0,"",BB202/BA202-1)</f>
        <v>0</v>
      </c>
      <c r="BC203" s="55">
        <f>IF(BB202=0,"",BC202/BB202-1)</f>
        <v>0</v>
      </c>
      <c r="BD203" s="55">
        <f>IF(BC202=0,"",BD202/BC202-1)</f>
        <v>0</v>
      </c>
      <c r="BE203" s="55">
        <f>IF(BD202=0,"",BE202/BD202-1)</f>
        <v>0</v>
      </c>
      <c r="BF203" s="12">
        <f>IF(BE202=0,"",BF202/BE202-1)</f>
        <v>0</v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0</v>
      </c>
      <c r="J204" s="46">
        <f>'Inputs (2)'!E30</f>
        <v>0</v>
      </c>
      <c r="K204" s="46">
        <f>'Inputs (2)'!F30</f>
        <v>0</v>
      </c>
      <c r="L204" s="46">
        <f>'Inputs (2)'!G30</f>
        <v>0</v>
      </c>
      <c r="M204" s="12">
        <f>'Inputs (2)'!H30</f>
        <v>0</v>
      </c>
      <c r="N204" s="46">
        <f>'Inputs (2)'!I30</f>
        <v>0</v>
      </c>
      <c r="O204" s="46">
        <f>'Inputs (2)'!J30</f>
        <v>0</v>
      </c>
      <c r="P204" s="46">
        <f>'Inputs (2)'!K30</f>
        <v>0</v>
      </c>
      <c r="Q204" s="46">
        <f>'Inputs (2)'!L30</f>
        <v>0</v>
      </c>
      <c r="R204" s="12">
        <f>'Inputs (2)'!M30</f>
        <v>0</v>
      </c>
      <c r="S204" s="46">
        <f>'Inputs (2)'!N30</f>
        <v>0</v>
      </c>
      <c r="T204" s="46">
        <f>'Inputs (2)'!O30</f>
        <v>0</v>
      </c>
      <c r="U204" s="46">
        <f>'Inputs (2)'!P30</f>
        <v>0</v>
      </c>
      <c r="V204" s="46">
        <f>'Inputs (2)'!Q30</f>
        <v>0</v>
      </c>
      <c r="W204" s="12">
        <f>'Inputs (2)'!R30</f>
        <v>0</v>
      </c>
      <c r="X204" s="46">
        <f>'Inputs (2)'!S30</f>
        <v>0</v>
      </c>
      <c r="Y204" s="46">
        <f>'Inputs (2)'!T30</f>
        <v>0</v>
      </c>
      <c r="Z204" s="46">
        <f>'Inputs (2)'!U30</f>
        <v>0</v>
      </c>
      <c r="AA204" s="46">
        <f>'Inputs (2)'!V30</f>
        <v>0</v>
      </c>
      <c r="AB204" s="12">
        <f>'Inputs (2)'!W30</f>
        <v>0</v>
      </c>
      <c r="AC204" s="46">
        <f>'Inputs (2)'!X30</f>
        <v>0</v>
      </c>
      <c r="AD204" s="46">
        <f>'Inputs (2)'!Y30</f>
        <v>0</v>
      </c>
      <c r="AE204" s="46">
        <f>'Inputs (2)'!Z30</f>
        <v>0</v>
      </c>
      <c r="AF204" s="46">
        <f>'Inputs (2)'!AA30</f>
        <v>0</v>
      </c>
      <c r="AG204" s="12">
        <f>'Inputs (2)'!AB30</f>
        <v>0</v>
      </c>
      <c r="AH204" s="12">
        <f>'Inputs (2)'!AC30</f>
        <v>0</v>
      </c>
      <c r="AI204" s="12">
        <f>'Inputs (2)'!AD30</f>
        <v>0</v>
      </c>
      <c r="AJ204" s="12">
        <f>AI204*(1+AJ16)</f>
        <v>0</v>
      </c>
      <c r="AK204" s="12">
        <f>AJ204*(1+AK16)</f>
        <v>0</v>
      </c>
      <c r="AL204" s="12">
        <f>AK204</f>
        <v>0</v>
      </c>
      <c r="AM204" s="12">
        <f>AL204*(1+AM16)</f>
        <v>0</v>
      </c>
      <c r="AN204" s="12">
        <f>AM204*(1+AN16)</f>
        <v>0</v>
      </c>
      <c r="AO204" s="12">
        <f>AN204*(1+AO16)</f>
        <v>0</v>
      </c>
      <c r="AP204" s="12">
        <f>AO204*(1+AP16)</f>
        <v>0</v>
      </c>
      <c r="AQ204" s="12">
        <f>AP204</f>
        <v>0</v>
      </c>
      <c r="AR204" s="12">
        <f>AQ204*(1+AR16)</f>
        <v>0</v>
      </c>
      <c r="AS204" s="12">
        <f>AR204*(1+AS16)</f>
        <v>0</v>
      </c>
      <c r="AT204" s="12">
        <f>AS204*(1+AT16)</f>
        <v>0</v>
      </c>
      <c r="AU204" s="12">
        <f>AT204*(1+AU16)</f>
        <v>0</v>
      </c>
      <c r="AV204" s="12">
        <f>AU204</f>
        <v>0</v>
      </c>
      <c r="AW204" s="12">
        <f>AV204*(1+AW16)</f>
        <v>0</v>
      </c>
      <c r="AX204" s="12">
        <f>AW204*(1+AX16)</f>
        <v>0</v>
      </c>
      <c r="AY204" s="12">
        <f>AX204*(1+AY16)</f>
        <v>0</v>
      </c>
      <c r="AZ204" s="12">
        <f>AY204*(1+AZ16)</f>
        <v>0</v>
      </c>
      <c r="BA204" s="12">
        <f>AZ204</f>
        <v>0</v>
      </c>
      <c r="BB204" s="12">
        <f>BA204*(1+BB16)</f>
        <v>0</v>
      </c>
      <c r="BC204" s="12">
        <f>BB204*(1+BC16)</f>
        <v>0</v>
      </c>
      <c r="BD204" s="12">
        <f>BC204*(1+BD16)</f>
        <v>0</v>
      </c>
      <c r="BE204" s="12">
        <f>BD204*(1+BE16)</f>
        <v>0</v>
      </c>
      <c r="BF204" s="12">
        <f>BE204</f>
        <v>0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4901.173</v>
      </c>
      <c r="J205" s="46">
        <f>'Inputs (2)'!E31</f>
        <v>4221.528</v>
      </c>
      <c r="K205" s="46">
        <f>'Inputs (2)'!F31</f>
        <v>3048.788</v>
      </c>
      <c r="L205" s="46">
        <f>'Inputs (2)'!G31</f>
        <v>3372.356</v>
      </c>
      <c r="M205" s="12">
        <f>'Inputs (2)'!H31</f>
        <v>3372.356</v>
      </c>
      <c r="N205" s="46">
        <f>'Inputs (2)'!I31</f>
        <v>5044.401</v>
      </c>
      <c r="O205" s="46">
        <f>'Inputs (2)'!J31</f>
        <v>4223.341</v>
      </c>
      <c r="P205" s="46">
        <f>'Inputs (2)'!K31</f>
        <v>2813.737</v>
      </c>
      <c r="Q205" s="46">
        <f>'Inputs (2)'!L31</f>
        <v>2926.921</v>
      </c>
      <c r="R205" s="12">
        <f>'Inputs (2)'!M31</f>
        <v>2926.921</v>
      </c>
      <c r="S205" s="46">
        <f>'Inputs (2)'!N31</f>
        <v>3615.086</v>
      </c>
      <c r="T205" s="46">
        <f>'Inputs (2)'!O31</f>
        <v>2474.316</v>
      </c>
      <c r="U205" s="46">
        <f>'Inputs (2)'!P31</f>
        <v>2187.694</v>
      </c>
      <c r="V205" s="46">
        <f>'Inputs (2)'!Q31</f>
        <v>2030.126</v>
      </c>
      <c r="W205" s="12">
        <f>'Inputs (2)'!R31</f>
        <v>2030.126</v>
      </c>
      <c r="X205" s="46">
        <f>'Inputs (2)'!S31</f>
        <v>2337.165</v>
      </c>
      <c r="Y205" s="46">
        <f>'Inputs (2)'!T31</f>
        <v>1490.629</v>
      </c>
      <c r="Z205" s="46">
        <f>'Inputs (2)'!U31</f>
        <v>1582.313</v>
      </c>
      <c r="AA205" s="46">
        <f>'Inputs (2)'!V31</f>
        <v>1633.102</v>
      </c>
      <c r="AB205" s="12">
        <f>'Inputs (2)'!W31</f>
        <v>1633.102</v>
      </c>
      <c r="AC205" s="46">
        <f>'Inputs (2)'!X31</f>
        <v>3459.542</v>
      </c>
      <c r="AD205" s="46">
        <f>'Inputs (2)'!Y31</f>
        <v>2768.786</v>
      </c>
      <c r="AE205" s="46">
        <f>'Inputs (2)'!Z31</f>
        <v>1778.426</v>
      </c>
      <c r="AF205" s="46">
        <f>'Inputs (2)'!AA31</f>
        <v>2635.101</v>
      </c>
      <c r="AG205" s="12">
        <f>'Inputs (2)'!AB31</f>
        <v>2635.101</v>
      </c>
      <c r="AH205" s="12">
        <f>'Inputs (2)'!AC31</f>
        <v>3438.146</v>
      </c>
      <c r="AI205" s="12">
        <f>'Inputs (2)'!AD31</f>
        <v>2788.484</v>
      </c>
      <c r="AJ205" s="12">
        <f>AI205</f>
        <v>2788.484</v>
      </c>
      <c r="AK205" s="12">
        <f>AJ205</f>
        <v>2788.484</v>
      </c>
      <c r="AL205" s="12">
        <f>AK205</f>
        <v>2788.484</v>
      </c>
      <c r="AM205" s="12">
        <f>AL205</f>
        <v>2788.484</v>
      </c>
      <c r="AN205" s="12">
        <f>AM205</f>
        <v>2788.484</v>
      </c>
      <c r="AO205" s="12">
        <f>AN205</f>
        <v>2788.484</v>
      </c>
      <c r="AP205" s="12">
        <f>AO205</f>
        <v>2788.484</v>
      </c>
      <c r="AQ205" s="12">
        <f>AP205</f>
        <v>2788.484</v>
      </c>
      <c r="AR205" s="12">
        <f>AQ205</f>
        <v>2788.484</v>
      </c>
      <c r="AS205" s="12">
        <f>AR205</f>
        <v>2788.484</v>
      </c>
      <c r="AT205" s="12">
        <f>AS205</f>
        <v>2788.484</v>
      </c>
      <c r="AU205" s="12">
        <f>AT205</f>
        <v>2788.484</v>
      </c>
      <c r="AV205" s="12">
        <f>AU205</f>
        <v>2788.484</v>
      </c>
      <c r="AW205" s="12">
        <f>AV205</f>
        <v>2788.484</v>
      </c>
      <c r="AX205" s="12">
        <f>AW205</f>
        <v>2788.484</v>
      </c>
      <c r="AY205" s="12">
        <f>AX205</f>
        <v>2788.484</v>
      </c>
      <c r="AZ205" s="12">
        <f>AY205</f>
        <v>2788.484</v>
      </c>
      <c r="BA205" s="12">
        <f>AZ205</f>
        <v>2788.484</v>
      </c>
      <c r="BB205" s="12">
        <f>BA205</f>
        <v>2788.484</v>
      </c>
      <c r="BC205" s="12">
        <f>BB205</f>
        <v>2788.484</v>
      </c>
      <c r="BD205" s="12">
        <f>BC205</f>
        <v>2788.484</v>
      </c>
      <c r="BE205" s="12">
        <f>BD205</f>
        <v>2788.484</v>
      </c>
      <c r="BF205" s="12">
        <f>BE205</f>
        <v>2788.484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-0.138669865356722</v>
      </c>
      <c r="K206" s="40">
        <f>IFERROR(IF(J205=0,"",K205/J205-1),"")</f>
        <v>-0.277799886676104</v>
      </c>
      <c r="L206" s="40">
        <f>IFERROR(IF(K205=0,"",L205/K205-1),"")</f>
        <v>0.106130042495575</v>
      </c>
      <c r="M206" s="12">
        <f>IF(L205=0,"",M205/L205-1)</f>
        <v>0</v>
      </c>
      <c r="N206" s="40">
        <f>IFERROR(IF(M205=0,"",N205/M205-1),"")</f>
        <v>0.495809161310372</v>
      </c>
      <c r="O206" s="40">
        <f>IFERROR(IF(N205=0,"",O205/N205-1),"")</f>
        <v>-0.162766600038339</v>
      </c>
      <c r="P206" s="40">
        <f>IFERROR(IF(O205=0,"",P205/O205-1),"")</f>
        <v>-0.33376513996857</v>
      </c>
      <c r="Q206" s="40">
        <f>IFERROR(IF(P205=0,"",Q205/P205-1),"")</f>
        <v>0.0402255079277132</v>
      </c>
      <c r="R206" s="12">
        <f>IF(Q205=0,"",R205/Q205-1)</f>
        <v>0</v>
      </c>
      <c r="S206" s="40">
        <f>IFERROR(IF(R205=0,"",S205/R205-1),"")</f>
        <v>0.235115672749623</v>
      </c>
      <c r="T206" s="40">
        <f>IFERROR(IF(S205=0,"",T205/S205-1),"")</f>
        <v>-0.315558191423385</v>
      </c>
      <c r="U206" s="40">
        <f>IFERROR(IF(T205=0,"",U205/T205-1),"")</f>
        <v>-0.115838882341625</v>
      </c>
      <c r="V206" s="40">
        <f>IFERROR(IF(U205=0,"",V205/U205-1),"")</f>
        <v>-0.0720246981524838</v>
      </c>
      <c r="W206" s="12">
        <f>IF(V205=0,"",W205/V205-1)</f>
        <v>0</v>
      </c>
      <c r="X206" s="40">
        <f>IFERROR(IF(W205=0,"",X205/W205-1),"")</f>
        <v>0.151241351522024</v>
      </c>
      <c r="Y206" s="40">
        <f>IFERROR(IF(X205=0,"",Y205/X205-1),"")</f>
        <v>-0.362206348289488</v>
      </c>
      <c r="Z206" s="40">
        <f>IFERROR(IF(Y205=0,"",Z205/Y205-1),"")</f>
        <v>0.0615069209038601</v>
      </c>
      <c r="AA206" s="40">
        <f>IFERROR(IF(Z205=0,"",AA205/Z205-1),"")</f>
        <v>0.0320979477511718</v>
      </c>
      <c r="AB206" s="12">
        <f>IF(AA205=0,"",AB205/AA205-1)</f>
        <v>0</v>
      </c>
      <c r="AC206" s="40">
        <f>IFERROR(IF(AB205=0,"",AC205/AB205-1),"")</f>
        <v>1.1183869715425</v>
      </c>
      <c r="AD206" s="40">
        <f>IFERROR(IF(AC205=0,"",AD205/AC205-1),"")</f>
        <v>-0.199666892322741</v>
      </c>
      <c r="AE206" s="40">
        <f>IFERROR(IF(AD205=0,"",AE205/AD205-1),"")</f>
        <v>-0.357687448578547</v>
      </c>
      <c r="AF206" s="55">
        <f>IFERROR(IF(AE205=0,"",AF205/AE205-1),"")</f>
        <v>0.481704046162168</v>
      </c>
      <c r="AG206" s="12">
        <f>IF(AF205=0,"",AG205/AF205-1)</f>
        <v>0</v>
      </c>
      <c r="AH206" s="55">
        <f>IFERROR(IF(AG205=0,"",AH205/AG205-1),"")</f>
        <v>0.304749229725919</v>
      </c>
      <c r="AI206" s="55">
        <f>IFERROR(IF(AH205=0,"",AI205/AH205-1),"")</f>
        <v>-0.188957071631048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167.792</v>
      </c>
      <c r="J212" s="46">
        <f>'Inputs (2)'!E32</f>
        <v>198.147</v>
      </c>
      <c r="K212" s="46">
        <f>'Inputs (2)'!F32</f>
        <v>38.45</v>
      </c>
      <c r="L212" s="46">
        <f>'Inputs (2)'!G32</f>
        <v>38.343</v>
      </c>
      <c r="M212" s="12">
        <f>'Inputs (2)'!H32</f>
        <v>38.343</v>
      </c>
      <c r="N212" s="46">
        <f>'Inputs (2)'!I32</f>
        <v>9.522</v>
      </c>
      <c r="O212" s="46">
        <f>'Inputs (2)'!J32</f>
        <v>161.308</v>
      </c>
      <c r="P212" s="46">
        <f>'Inputs (2)'!K32</f>
        <v>290.605</v>
      </c>
      <c r="Q212" s="46">
        <f>'Inputs (2)'!L32</f>
        <v>289.888</v>
      </c>
      <c r="R212" s="12">
        <f>'Inputs (2)'!M32</f>
        <v>289.888</v>
      </c>
      <c r="S212" s="46">
        <f>'Inputs (2)'!N32</f>
        <v>137.465</v>
      </c>
      <c r="T212" s="46">
        <f>'Inputs (2)'!O32</f>
        <v>137.402</v>
      </c>
      <c r="U212" s="46">
        <f>'Inputs (2)'!P32</f>
        <v>7.839</v>
      </c>
      <c r="V212" s="46">
        <f>'Inputs (2)'!Q32</f>
        <v>7.795</v>
      </c>
      <c r="W212" s="12">
        <f>'Inputs (2)'!R32</f>
        <v>7.795</v>
      </c>
      <c r="X212" s="46">
        <f>'Inputs (2)'!S32</f>
        <v>157.394</v>
      </c>
      <c r="Y212" s="46">
        <f>'Inputs (2)'!T32</f>
        <v>157.181</v>
      </c>
      <c r="Z212" s="46">
        <f>'Inputs (2)'!U32</f>
        <v>337.266</v>
      </c>
      <c r="AA212" s="46">
        <f>'Inputs (2)'!V32</f>
        <v>337.38</v>
      </c>
      <c r="AB212" s="12">
        <f>'Inputs (2)'!W32</f>
        <v>337.38</v>
      </c>
      <c r="AC212" s="46">
        <f>'Inputs (2)'!X32</f>
        <v>187.873</v>
      </c>
      <c r="AD212" s="46">
        <f>'Inputs (2)'!Y32</f>
        <v>190.075</v>
      </c>
      <c r="AE212" s="46">
        <f>'Inputs (2)'!Z32</f>
        <v>90.447</v>
      </c>
      <c r="AF212" s="46">
        <f>'Inputs (2)'!AA32</f>
        <v>89.882</v>
      </c>
      <c r="AG212" s="12">
        <f>'Inputs (2)'!AB32</f>
        <v>89.882</v>
      </c>
      <c r="AH212" s="12">
        <f>'Inputs (2)'!AC32</f>
        <v>149.064</v>
      </c>
      <c r="AI212" s="12">
        <f>'Inputs (2)'!AD32</f>
        <v>149.663</v>
      </c>
      <c r="AJ212" s="12">
        <f>AI212</f>
        <v>149.663</v>
      </c>
      <c r="AK212" s="12">
        <f>AJ212</f>
        <v>149.663</v>
      </c>
      <c r="AL212" s="12">
        <f>AK212</f>
        <v>149.663</v>
      </c>
      <c r="AM212" s="12">
        <f>AL212</f>
        <v>149.663</v>
      </c>
      <c r="AN212" s="12">
        <f>AM212</f>
        <v>149.663</v>
      </c>
      <c r="AO212" s="12">
        <f>AN212</f>
        <v>149.663</v>
      </c>
      <c r="AP212" s="12">
        <f>AO212</f>
        <v>149.663</v>
      </c>
      <c r="AQ212" s="12">
        <f>AP212</f>
        <v>149.663</v>
      </c>
      <c r="AR212" s="12">
        <f>AQ212</f>
        <v>149.663</v>
      </c>
      <c r="AS212" s="12">
        <f>AR212</f>
        <v>149.663</v>
      </c>
      <c r="AT212" s="12">
        <f>AS212</f>
        <v>149.663</v>
      </c>
      <c r="AU212" s="12">
        <f>AT212</f>
        <v>149.663</v>
      </c>
      <c r="AV212" s="12">
        <f>AU212</f>
        <v>149.663</v>
      </c>
      <c r="AW212" s="12">
        <f>AV212</f>
        <v>149.663</v>
      </c>
      <c r="AX212" s="12">
        <f>AW212</f>
        <v>149.663</v>
      </c>
      <c r="AY212" s="12">
        <f>AX212</f>
        <v>149.663</v>
      </c>
      <c r="AZ212" s="12">
        <f>AY212</f>
        <v>149.663</v>
      </c>
      <c r="BA212" s="12">
        <f>AZ212</f>
        <v>149.663</v>
      </c>
      <c r="BB212" s="12">
        <f>BA212</f>
        <v>149.663</v>
      </c>
      <c r="BC212" s="12">
        <f>BB212</f>
        <v>149.663</v>
      </c>
      <c r="BD212" s="12">
        <f>BC212</f>
        <v>149.663</v>
      </c>
      <c r="BE212" s="12">
        <f>BD212</f>
        <v>149.663</v>
      </c>
      <c r="BF212" s="12">
        <f>BE212</f>
        <v>149.663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0</v>
      </c>
      <c r="J214" s="46">
        <f>'Inputs (2)'!E34</f>
        <v>0</v>
      </c>
      <c r="K214" s="46">
        <f>'Inputs (2)'!F34</f>
        <v>0</v>
      </c>
      <c r="L214" s="46">
        <f>'Inputs (2)'!G34</f>
        <v>0</v>
      </c>
      <c r="M214" s="12">
        <f>'Inputs (2)'!H34</f>
        <v>0</v>
      </c>
      <c r="N214" s="46">
        <f>'Inputs (2)'!I34</f>
        <v>0</v>
      </c>
      <c r="O214" s="46">
        <f>'Inputs (2)'!J34</f>
        <v>0</v>
      </c>
      <c r="P214" s="46">
        <f>'Inputs (2)'!K34</f>
        <v>0</v>
      </c>
      <c r="Q214" s="46">
        <f>'Inputs (2)'!L34</f>
        <v>0</v>
      </c>
      <c r="R214" s="12">
        <f>'Inputs (2)'!M34</f>
        <v>0</v>
      </c>
      <c r="S214" s="46">
        <f>'Inputs (2)'!N34</f>
        <v>0</v>
      </c>
      <c r="T214" s="46">
        <f>'Inputs (2)'!O34</f>
        <v>0</v>
      </c>
      <c r="U214" s="46">
        <f>'Inputs (2)'!P34</f>
        <v>0</v>
      </c>
      <c r="V214" s="46">
        <f>'Inputs (2)'!Q34</f>
        <v>0</v>
      </c>
      <c r="W214" s="12">
        <f>'Inputs (2)'!R34</f>
        <v>0</v>
      </c>
      <c r="X214" s="46">
        <f>'Inputs (2)'!S34</f>
        <v>0</v>
      </c>
      <c r="Y214" s="46">
        <f>'Inputs (2)'!T34</f>
        <v>0</v>
      </c>
      <c r="Z214" s="46">
        <f>'Inputs (2)'!U34</f>
        <v>0</v>
      </c>
      <c r="AA214" s="46">
        <f>'Inputs (2)'!V34</f>
        <v>0</v>
      </c>
      <c r="AB214" s="12">
        <f>'Inputs (2)'!W34</f>
        <v>0</v>
      </c>
      <c r="AC214" s="46">
        <f>'Inputs (2)'!X34</f>
        <v>0</v>
      </c>
      <c r="AD214" s="46">
        <f>'Inputs (2)'!Y34</f>
        <v>0</v>
      </c>
      <c r="AE214" s="46">
        <f>'Inputs (2)'!Z34</f>
        <v>0</v>
      </c>
      <c r="AF214" s="46">
        <f>'Inputs (2)'!AA34</f>
        <v>0</v>
      </c>
      <c r="AG214" s="12">
        <f>'Inputs (2)'!AB34</f>
        <v>0</v>
      </c>
      <c r="AH214" s="12">
        <f>'Inputs (2)'!AC34</f>
        <v>0</v>
      </c>
      <c r="AI214" s="12">
        <f>'Inputs (2)'!AD34</f>
        <v>0</v>
      </c>
      <c r="AJ214" s="12">
        <f>AI214</f>
        <v>0</v>
      </c>
      <c r="AK214" s="12">
        <f>AJ214</f>
        <v>0</v>
      </c>
      <c r="AL214" s="12">
        <f>AK214</f>
        <v>0</v>
      </c>
      <c r="AM214" s="12">
        <f>AL214</f>
        <v>0</v>
      </c>
      <c r="AN214" s="12">
        <f>AM214</f>
        <v>0</v>
      </c>
      <c r="AO214" s="12">
        <f>AN214</f>
        <v>0</v>
      </c>
      <c r="AP214" s="12">
        <f>AO214</f>
        <v>0</v>
      </c>
      <c r="AQ214" s="12">
        <f>AP214</f>
        <v>0</v>
      </c>
      <c r="AR214" s="12">
        <f>AQ214</f>
        <v>0</v>
      </c>
      <c r="AS214" s="12">
        <f>AR214</f>
        <v>0</v>
      </c>
      <c r="AT214" s="12">
        <f>AS214</f>
        <v>0</v>
      </c>
      <c r="AU214" s="12">
        <f>AT214</f>
        <v>0</v>
      </c>
      <c r="AV214" s="12">
        <f>AU214</f>
        <v>0</v>
      </c>
      <c r="AW214" s="12">
        <f>AV214</f>
        <v>0</v>
      </c>
      <c r="AX214" s="12">
        <f>AW214</f>
        <v>0</v>
      </c>
      <c r="AY214" s="12">
        <f>AX214</f>
        <v>0</v>
      </c>
      <c r="AZ214" s="12">
        <f>AY214</f>
        <v>0</v>
      </c>
      <c r="BA214" s="12">
        <f>AZ214</f>
        <v>0</v>
      </c>
      <c r="BB214" s="12">
        <f>BA214</f>
        <v>0</v>
      </c>
      <c r="BC214" s="12">
        <f>BB214</f>
        <v>0</v>
      </c>
      <c r="BD214" s="12">
        <f>BC214</f>
        <v>0</v>
      </c>
      <c r="BE214" s="12">
        <f>BD214</f>
        <v>0</v>
      </c>
      <c r="BF214" s="12">
        <f>BE214</f>
        <v>0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 t="str">
        <f>IFERROR(IF(I214=0,"",J214/I214-1),"")</f>
        <v/>
      </c>
      <c r="K215" s="40" t="str">
        <f>IFERROR(IF(J214=0,"",K214/J214-1),"")</f>
        <v/>
      </c>
      <c r="L215" s="40" t="str">
        <f>IFERROR(IF(K214=0,"",L214/K214-1),"")</f>
        <v/>
      </c>
      <c r="M215" s="12" t="str">
        <f>IF(L214=0,"",M214/L214-1)</f>
        <v/>
      </c>
      <c r="N215" s="40" t="str">
        <f>IFERROR(IF(M214=0,"",N214/M214-1),"")</f>
        <v/>
      </c>
      <c r="O215" s="40" t="str">
        <f>IFERROR(IF(N214=0,"",O214/N214-1),"")</f>
        <v/>
      </c>
      <c r="P215" s="40" t="str">
        <f>IFERROR(IF(O214=0,"",P214/O214-1),"")</f>
        <v/>
      </c>
      <c r="Q215" s="40" t="str">
        <f>IFERROR(IF(P214=0,"",Q214/P214-1),"")</f>
        <v/>
      </c>
      <c r="R215" s="12" t="str">
        <f>IF(Q214=0,"",R214/Q214-1)</f>
        <v/>
      </c>
      <c r="S215" s="40" t="str">
        <f>IFERROR(IF(R214=0,"",S214/R214-1),"")</f>
        <v/>
      </c>
      <c r="T215" s="40" t="str">
        <f>IFERROR(IF(S214=0,"",T214/S214-1),"")</f>
        <v/>
      </c>
      <c r="U215" s="40" t="str">
        <f>IFERROR(IF(T214=0,"",U214/T214-1),"")</f>
        <v/>
      </c>
      <c r="V215" s="40" t="str">
        <f>IFERROR(IF(U214=0,"",V214/U214-1),"")</f>
        <v/>
      </c>
      <c r="W215" s="12" t="str">
        <f>IF(V214=0,"",W214/V214-1)</f>
        <v/>
      </c>
      <c r="X215" s="40" t="str">
        <f>IFERROR(IF(W214=0,"",X214/W214-1),"")</f>
        <v/>
      </c>
      <c r="Y215" s="40" t="str">
        <f>IFERROR(IF(X214=0,"",Y214/X214-1),"")</f>
        <v/>
      </c>
      <c r="Z215" s="40" t="str">
        <f>IFERROR(IF(Y214=0,"",Z214/Y214-1),"")</f>
        <v/>
      </c>
      <c r="AA215" s="40" t="str">
        <f>IFERROR(IF(Z214=0,"",AA214/Z214-1),"")</f>
        <v/>
      </c>
      <c r="AB215" s="12" t="str">
        <f>IF(AA214=0,"",AB214/AA214-1)</f>
        <v/>
      </c>
      <c r="AC215" s="40" t="str">
        <f>IFERROR(IF(AB214=0,"",AC214/AB214-1),"")</f>
        <v/>
      </c>
      <c r="AD215" s="40" t="str">
        <f>IFERROR(IF(AC214=0,"",AD214/AC214-1),"")</f>
        <v/>
      </c>
      <c r="AE215" s="40" t="str">
        <f>IFERROR(IF(AD214=0,"",AE214/AD214-1),"")</f>
        <v/>
      </c>
      <c r="AF215" s="11" t="str">
        <f>IFERROR(IF(AE214=0,"",AF214/AE214-1),"")</f>
        <v/>
      </c>
      <c r="AG215" s="12" t="str">
        <f>IF(AF214=0,"",AG214/AF214-1)</f>
        <v/>
      </c>
      <c r="AH215" s="11" t="str">
        <f>IFERROR(IF(AG214=0,"",AH214/AG214-1),"")</f>
        <v/>
      </c>
      <c r="AI215" s="11" t="str">
        <f>IFERROR(IF(AH214=0,"",AI214/AH214-1),"")</f>
        <v/>
      </c>
      <c r="AJ215" s="11" t="str">
        <f>IFERROR(IF(AI214=0,"",AJ214/AI214-1),"")</f>
        <v/>
      </c>
      <c r="AK215" s="11" t="str">
        <f>IFERROR(IF(AJ214=0,"",AK214/AJ214-1),"")</f>
        <v/>
      </c>
      <c r="AL215" s="12" t="str">
        <f>IFERROR(IF(AK214=0,"",AL214/AK214-1),"")</f>
        <v/>
      </c>
      <c r="AM215" s="11" t="str">
        <f>IFERROR(IF(AL214=0,"",AM214/AL214-1),"")</f>
        <v/>
      </c>
      <c r="AN215" s="11" t="str">
        <f>IFERROR(IF(AM214=0,"",AN214/AM214-1),"")</f>
        <v/>
      </c>
      <c r="AO215" s="11" t="str">
        <f>IFERROR(IF(AN214=0,"",AO214/AN214-1),"")</f>
        <v/>
      </c>
      <c r="AP215" s="11" t="str">
        <f>IFERROR(IF(AO214=0,"",AP214/AO214-1),"")</f>
        <v/>
      </c>
      <c r="AQ215" s="12" t="str">
        <f>IFERROR(IF(AP214=0,"",AQ214/AP214-1),"")</f>
        <v/>
      </c>
      <c r="AR215" s="11" t="str">
        <f>IFERROR(IF(AQ214=0,"",AR214/AQ214-1),"")</f>
        <v/>
      </c>
      <c r="AS215" s="11" t="str">
        <f>IFERROR(IF(AR214=0,"",AS214/AR214-1),"")</f>
        <v/>
      </c>
      <c r="AT215" s="11" t="str">
        <f>IFERROR(IF(AS214=0,"",AT214/AS214-1),"")</f>
        <v/>
      </c>
      <c r="AU215" s="11" t="str">
        <f>IFERROR(IF(AT214=0,"",AU214/AT214-1),"")</f>
        <v/>
      </c>
      <c r="AV215" s="12" t="str">
        <f>IFERROR(IF(AU214=0,"",AV214/AU214-1),"")</f>
        <v/>
      </c>
      <c r="AW215" s="11" t="str">
        <f>IFERROR(IF(AV214=0,"",AW214/AV214-1),"")</f>
        <v/>
      </c>
      <c r="AX215" s="11" t="str">
        <f>IFERROR(IF(AW214=0,"",AX214/AW214-1),"")</f>
        <v/>
      </c>
      <c r="AY215" s="11" t="str">
        <f>IFERROR(IF(AX214=0,"",AY214/AX214-1),"")</f>
        <v/>
      </c>
      <c r="AZ215" s="11" t="str">
        <f>IFERROR(IF(AY214=0,"",AZ214/AY214-1),"")</f>
        <v/>
      </c>
      <c r="BA215" s="12" t="str">
        <f>IFERROR(IF(AZ214=0,"",BA214/AZ214-1),"")</f>
        <v/>
      </c>
      <c r="BB215" s="11" t="str">
        <f>IFERROR(IF(BA214=0,"",BB214/BA214-1),"")</f>
        <v/>
      </c>
      <c r="BC215" s="11" t="str">
        <f>IFERROR(IF(BB214=0,"",BC214/BB214-1),"")</f>
        <v/>
      </c>
      <c r="BD215" s="11" t="str">
        <f>IFERROR(IF(BC214=0,"",BD214/BC214-1),"")</f>
        <v/>
      </c>
      <c r="BE215" s="11" t="str">
        <f>IFERROR(IF(BD214=0,"",BE214/BD214-1),"")</f>
        <v/>
      </c>
      <c r="BF215" s="12" t="str">
        <f>IFERROR(IF(BE214=0,"",BF214/BE214-1),"")</f>
        <v/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1604.313</v>
      </c>
      <c r="J217" s="46">
        <f>'Inputs (2)'!E35</f>
        <v>1571.644</v>
      </c>
      <c r="K217" s="46">
        <f>'Inputs (2)'!F35</f>
        <v>1579.911</v>
      </c>
      <c r="L217" s="46">
        <f>'Inputs (2)'!G35</f>
        <v>1576.769</v>
      </c>
      <c r="M217" s="12">
        <f>'Inputs (2)'!H35</f>
        <v>1576.769</v>
      </c>
      <c r="N217" s="46">
        <f>'Inputs (2)'!I35</f>
        <v>1955.205</v>
      </c>
      <c r="O217" s="46">
        <f>'Inputs (2)'!J35</f>
        <v>1800.779</v>
      </c>
      <c r="P217" s="46">
        <f>'Inputs (2)'!K35</f>
        <v>1668.209</v>
      </c>
      <c r="Q217" s="46">
        <f>'Inputs (2)'!L35</f>
        <v>1668.158</v>
      </c>
      <c r="R217" s="12">
        <f>'Inputs (2)'!M35</f>
        <v>1668.158</v>
      </c>
      <c r="S217" s="46">
        <f>'Inputs (2)'!N35</f>
        <v>1816.654</v>
      </c>
      <c r="T217" s="46">
        <f>'Inputs (2)'!O35</f>
        <v>1814.854</v>
      </c>
      <c r="U217" s="46">
        <f>'Inputs (2)'!P35</f>
        <v>1819.819</v>
      </c>
      <c r="V217" s="46">
        <f>'Inputs (2)'!Q35</f>
        <v>1817.77</v>
      </c>
      <c r="W217" s="12">
        <f>'Inputs (2)'!R35</f>
        <v>1817.77</v>
      </c>
      <c r="X217" s="46">
        <f>'Inputs (2)'!S35</f>
        <v>1671.241</v>
      </c>
      <c r="Y217" s="46">
        <f>'Inputs (2)'!T35</f>
        <v>1669.212</v>
      </c>
      <c r="Z217" s="46">
        <f>'Inputs (2)'!U35</f>
        <v>1824.194</v>
      </c>
      <c r="AA217" s="46">
        <f>'Inputs (2)'!V35</f>
        <v>1821.746</v>
      </c>
      <c r="AB217" s="12">
        <f>'Inputs (2)'!W35</f>
        <v>1821.746</v>
      </c>
      <c r="AC217" s="46">
        <f>'Inputs (2)'!X35</f>
        <v>1828.641</v>
      </c>
      <c r="AD217" s="46">
        <f>'Inputs (2)'!Y35</f>
        <v>1826.072</v>
      </c>
      <c r="AE217" s="46">
        <f>'Inputs (2)'!Z35</f>
        <v>1745.386</v>
      </c>
      <c r="AF217" s="46">
        <f>'Inputs (2)'!AA35</f>
        <v>1740.2</v>
      </c>
      <c r="AG217" s="12">
        <f>'Inputs (2)'!AB35</f>
        <v>1740.2</v>
      </c>
      <c r="AH217" s="12">
        <f>'Inputs (2)'!AC35</f>
        <v>1983.616</v>
      </c>
      <c r="AI217" s="12">
        <f>'Inputs (2)'!AD35</f>
        <v>1983.919</v>
      </c>
      <c r="AJ217" s="12">
        <f>AJ223</f>
        <v>1983.919</v>
      </c>
      <c r="AK217" s="12">
        <f>AK223</f>
        <v>1983.919</v>
      </c>
      <c r="AL217" s="12">
        <f>AK217</f>
        <v>1983.919</v>
      </c>
      <c r="AM217" s="12">
        <f>AM223</f>
        <v>1983.919</v>
      </c>
      <c r="AN217" s="12">
        <f>AN223</f>
        <v>1983.919</v>
      </c>
      <c r="AO217" s="12">
        <f>AO223</f>
        <v>1983.919</v>
      </c>
      <c r="AP217" s="12">
        <f>AP223</f>
        <v>1983.919</v>
      </c>
      <c r="AQ217" s="12">
        <f>AP217</f>
        <v>1983.919</v>
      </c>
      <c r="AR217" s="12">
        <f>AR223</f>
        <v>1983.919</v>
      </c>
      <c r="AS217" s="12">
        <f>AS223</f>
        <v>1983.919</v>
      </c>
      <c r="AT217" s="12">
        <f>AT223</f>
        <v>1983.919</v>
      </c>
      <c r="AU217" s="12">
        <f>AU223</f>
        <v>1983.919</v>
      </c>
      <c r="AV217" s="12">
        <f>AU217</f>
        <v>1983.919</v>
      </c>
      <c r="AW217" s="12">
        <f>AW223</f>
        <v>1983.919</v>
      </c>
      <c r="AX217" s="12">
        <f>AX223</f>
        <v>1983.919</v>
      </c>
      <c r="AY217" s="12">
        <f>AY223</f>
        <v>1983.919</v>
      </c>
      <c r="AZ217" s="12">
        <f>AZ223</f>
        <v>1983.919</v>
      </c>
      <c r="BA217" s="12">
        <f>AZ217</f>
        <v>1983.919</v>
      </c>
      <c r="BB217" s="12">
        <f>BB223</f>
        <v>1983.919</v>
      </c>
      <c r="BC217" s="12">
        <f>BC223</f>
        <v>1983.919</v>
      </c>
      <c r="BD217" s="12">
        <f>BD223</f>
        <v>1983.919</v>
      </c>
      <c r="BE217" s="12">
        <f>BE223</f>
        <v>1983.919</v>
      </c>
      <c r="BF217" s="12">
        <f>BE217</f>
        <v>1983.919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89.882</v>
      </c>
      <c r="AI219" s="62" t="n"/>
      <c r="AJ219" s="62" t="n"/>
      <c r="AK219" s="62" t="n"/>
      <c r="AL219" s="12" t="n"/>
      <c r="AM219" s="12">
        <f>AK212</f>
        <v>149.663</v>
      </c>
      <c r="AN219" s="62" t="n"/>
      <c r="AO219" s="62" t="n"/>
      <c r="AP219" s="62" t="n"/>
      <c r="AQ219" s="12" t="n"/>
      <c r="AR219" s="12">
        <f>AP212</f>
        <v>149.663</v>
      </c>
      <c r="AS219" s="62" t="n"/>
      <c r="AT219" s="62" t="n"/>
      <c r="AU219" s="62" t="n"/>
      <c r="AV219" s="12" t="n"/>
      <c r="AW219" s="12">
        <f>AU212</f>
        <v>149.663</v>
      </c>
      <c r="AX219" s="62" t="n"/>
      <c r="AY219" s="62" t="n"/>
      <c r="AZ219" s="62" t="n"/>
      <c r="BA219" s="12" t="n"/>
      <c r="BB219" s="12">
        <f>AZ212</f>
        <v>149.663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1983.616</v>
      </c>
      <c r="AI223" s="12">
        <f>AI217</f>
        <v>1983.919</v>
      </c>
      <c r="AJ223" s="12">
        <f>AI223+SUM(AJ221:AJ222)</f>
        <v>1983.919</v>
      </c>
      <c r="AK223" s="12">
        <f>AJ223+SUM(AK221:AK222)</f>
        <v>1983.919</v>
      </c>
      <c r="AL223" s="12" t="n"/>
      <c r="AM223" s="12">
        <f>AK223+SUM(AM221:AM222)</f>
        <v>1983.919</v>
      </c>
      <c r="AN223" s="12">
        <f>AM223+SUM(AN221:AN222)</f>
        <v>1983.919</v>
      </c>
      <c r="AO223" s="12">
        <f>AN223+SUM(AO221:AO222)</f>
        <v>1983.919</v>
      </c>
      <c r="AP223" s="12">
        <f>AO223+SUM(AP221:AP222)</f>
        <v>1983.919</v>
      </c>
      <c r="AQ223" s="12" t="n"/>
      <c r="AR223" s="12">
        <f>AP223+SUM(AR221:AR222)</f>
        <v>1983.919</v>
      </c>
      <c r="AS223" s="12">
        <f>AR223+SUM(AS221:AS222)</f>
        <v>1983.919</v>
      </c>
      <c r="AT223" s="12">
        <f>AS223+SUM(AT221:AT222)</f>
        <v>1983.919</v>
      </c>
      <c r="AU223" s="12">
        <f>AT223+SUM(AU221:AU222)</f>
        <v>1983.919</v>
      </c>
      <c r="AV223" s="12" t="n"/>
      <c r="AW223" s="12">
        <f>AU223+SUM(AW221:AW222)</f>
        <v>1983.919</v>
      </c>
      <c r="AX223" s="12">
        <f>AW223+SUM(AX221:AX222)</f>
        <v>1983.919</v>
      </c>
      <c r="AY223" s="12">
        <f>AX223+SUM(AY221:AY222)</f>
        <v>1983.919</v>
      </c>
      <c r="AZ223" s="12">
        <f>AY223+SUM(AZ221:AZ222)</f>
        <v>1983.919</v>
      </c>
      <c r="BA223" s="12" t="n"/>
      <c r="BB223" s="12">
        <f>AZ223+SUM(BB221:BB222)</f>
        <v>1983.919</v>
      </c>
      <c r="BC223" s="12">
        <f>BB223+SUM(BC221:BC222)</f>
        <v>1983.919</v>
      </c>
      <c r="BD223" s="12">
        <f>BC223+SUM(BD221:BD222)</f>
        <v>1983.919</v>
      </c>
      <c r="BE223" s="12">
        <f>BD223+SUM(BE221:BE222)</f>
        <v>1983.919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374.694</v>
      </c>
      <c r="AI229" s="12" t="n"/>
      <c r="AJ229" s="12" t="n"/>
      <c r="AK229" s="12" t="n"/>
      <c r="AL229" s="12" t="n"/>
      <c r="AM229" s="63">
        <f>AL144</f>
        <v>934.857122071349</v>
      </c>
      <c r="AN229" s="12" t="n"/>
      <c r="AO229" s="12" t="n"/>
      <c r="AP229" s="12" t="n"/>
      <c r="AQ229" s="12" t="n"/>
      <c r="AR229" s="63">
        <f>AQ144</f>
        <v>1418.80758053423</v>
      </c>
      <c r="AS229" s="12" t="n"/>
      <c r="AT229" s="12" t="n"/>
      <c r="AU229" s="12" t="n"/>
      <c r="AV229" s="12" t="n"/>
      <c r="AW229" s="63">
        <f>AV144</f>
        <v>1909.65430929502</v>
      </c>
      <c r="AX229" s="12" t="n"/>
      <c r="AY229" s="12" t="n"/>
      <c r="AZ229" s="12" t="n"/>
      <c r="BA229" s="12" t="n"/>
      <c r="BB229" s="63">
        <f>BA144</f>
        <v>2400.50103805581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113.887000000001</v>
      </c>
      <c r="AI230" s="64">
        <f>(AI292+AI299)+SUM(AI302:AI308)</f>
        <v>-291.226000000002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488.581000000001</v>
      </c>
      <c r="AI232" s="3">
        <f>AI229+AI230-AI231-AG219+AI221+AI225</f>
        <v>-291.226000000002</v>
      </c>
      <c r="AJ232" s="3">
        <f>AJ229+AJ230-AJ231-AH219+AJ221+AJ225</f>
        <v>-89.882</v>
      </c>
      <c r="AK232" s="3">
        <f>AK229+AK230-AK231-AI219+AK221+AK225</f>
        <v>0</v>
      </c>
      <c r="AL232" s="12" t="n"/>
      <c r="AM232" s="3">
        <f>AM229+AM230-AM231-AK219+AM221+AM225</f>
        <v>934.857122071349</v>
      </c>
      <c r="AN232" s="3">
        <f>AN229+AN230-AN231-AL219+AN221+AN225</f>
        <v>0</v>
      </c>
      <c r="AO232" s="3">
        <f>AO229+AO230-AO231-AM219+AO221+AO225</f>
        <v>-149.663</v>
      </c>
      <c r="AP232" s="3">
        <f>AP229+AP230-AP231-AN219+AP221+AP225</f>
        <v>0</v>
      </c>
      <c r="AQ232" s="12" t="n"/>
      <c r="AR232" s="3">
        <f>AR229+AR230-AR231-AP219+AR221+AR225</f>
        <v>1418.80758053423</v>
      </c>
      <c r="AS232" s="3">
        <f>AS229+AS230-AS231-AQ219+AS221+AS225</f>
        <v>0</v>
      </c>
      <c r="AT232" s="3">
        <f>AT229+AT230-AT231-AR219+AT221+AT225</f>
        <v>-149.663</v>
      </c>
      <c r="AU232" s="3">
        <f>AU229+AU230-AU231-AS219+AU221+AU225</f>
        <v>0</v>
      </c>
      <c r="AV232" s="12" t="n"/>
      <c r="AW232" s="3">
        <f>AW229+AW230-AW231-AU219+AW221+AW225</f>
        <v>1909.65430929502</v>
      </c>
      <c r="AX232" s="3">
        <f>AX229+AX230-AX231-AV219+AX221+AX225</f>
        <v>0</v>
      </c>
      <c r="AY232" s="3">
        <f>AY229+AY230-AY231-AW219+AY221+AY225</f>
        <v>-149.663</v>
      </c>
      <c r="AZ232" s="3">
        <f>AZ229+AZ230-AZ231-AX219+AZ221+AZ225</f>
        <v>0</v>
      </c>
      <c r="BA232" s="12" t="n"/>
      <c r="BB232" s="3">
        <f>BB229+BB230-BB231-AZ219+BB221+BB225</f>
        <v>2400.50103805581</v>
      </c>
      <c r="BC232" s="3">
        <f>BC229+BC230-BC231-BA219+BC221+BC225</f>
        <v>0</v>
      </c>
      <c r="BD232" s="3">
        <f>BD229+BD230-BD231-BB219+BD221+BD225</f>
        <v>-149.663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291.226000000002</v>
      </c>
      <c r="AJ233" s="12">
        <f>MAX(0,AI233-AJ232)</f>
        <v>381.108000000002</v>
      </c>
      <c r="AK233" s="12">
        <f>MAX(0,AJ233-AK232)</f>
        <v>381.108000000002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149.663</v>
      </c>
      <c r="AP233" s="12">
        <f>MAX(0,AO233-AP232)</f>
        <v>149.663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149.663</v>
      </c>
      <c r="AU233" s="12">
        <f>MAX(0,AT233-AU232)</f>
        <v>149.663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149.663</v>
      </c>
      <c r="AZ233" s="12">
        <f>MAX(0,AY233-AZ232)</f>
        <v>149.663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149.663</v>
      </c>
      <c r="BE233" s="12">
        <f>MAX(0,BD233-BE232)</f>
        <v>149.663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0</v>
      </c>
      <c r="J235" s="46">
        <f>'Inputs (2)'!E36</f>
        <v>0</v>
      </c>
      <c r="K235" s="46">
        <f>'Inputs (2)'!F36</f>
        <v>0</v>
      </c>
      <c r="L235" s="46">
        <f>'Inputs (2)'!G36</f>
        <v>0</v>
      </c>
      <c r="M235" s="12">
        <f>'Inputs (2)'!H36</f>
        <v>0</v>
      </c>
      <c r="N235" s="46">
        <f>'Inputs (2)'!I36</f>
        <v>0</v>
      </c>
      <c r="O235" s="46">
        <f>'Inputs (2)'!J36</f>
        <v>0</v>
      </c>
      <c r="P235" s="46">
        <f>'Inputs (2)'!K36</f>
        <v>0</v>
      </c>
      <c r="Q235" s="46">
        <f>'Inputs (2)'!L36</f>
        <v>0</v>
      </c>
      <c r="R235" s="12">
        <f>'Inputs (2)'!M36</f>
        <v>0</v>
      </c>
      <c r="S235" s="46">
        <f>'Inputs (2)'!N36</f>
        <v>0</v>
      </c>
      <c r="T235" s="46">
        <f>'Inputs (2)'!O36</f>
        <v>0</v>
      </c>
      <c r="U235" s="46">
        <f>'Inputs (2)'!P36</f>
        <v>0</v>
      </c>
      <c r="V235" s="46">
        <f>'Inputs (2)'!Q36</f>
        <v>0</v>
      </c>
      <c r="W235" s="12">
        <f>'Inputs (2)'!R36</f>
        <v>0</v>
      </c>
      <c r="X235" s="46">
        <f>'Inputs (2)'!S36</f>
        <v>0</v>
      </c>
      <c r="Y235" s="46">
        <f>'Inputs (2)'!T36</f>
        <v>0</v>
      </c>
      <c r="Z235" s="46">
        <f>'Inputs (2)'!U36</f>
        <v>0</v>
      </c>
      <c r="AA235" s="46">
        <f>'Inputs (2)'!V36</f>
        <v>0</v>
      </c>
      <c r="AB235" s="12">
        <f>'Inputs (2)'!W36</f>
        <v>0</v>
      </c>
      <c r="AC235" s="46">
        <f>'Inputs (2)'!X36</f>
        <v>0</v>
      </c>
      <c r="AD235" s="46">
        <f>'Inputs (2)'!Y36</f>
        <v>0</v>
      </c>
      <c r="AE235" s="46">
        <f>'Inputs (2)'!Z36</f>
        <v>0</v>
      </c>
      <c r="AF235" s="46">
        <f>'Inputs (2)'!AA36</f>
        <v>0</v>
      </c>
      <c r="AG235" s="12">
        <f>'Inputs (2)'!AB36</f>
        <v>0</v>
      </c>
      <c r="AH235" s="12">
        <f>'Inputs (2)'!AC36</f>
        <v>0</v>
      </c>
      <c r="AI235" s="12">
        <f>'Inputs (2)'!AD36</f>
        <v>0</v>
      </c>
      <c r="AJ235" s="12">
        <f>AI235</f>
        <v>0</v>
      </c>
      <c r="AK235" s="12">
        <f>AJ235</f>
        <v>0</v>
      </c>
      <c r="AL235" s="12">
        <f>AK235</f>
        <v>0</v>
      </c>
      <c r="AM235" s="12">
        <f>AL235</f>
        <v>0</v>
      </c>
      <c r="AN235" s="12">
        <f>AM235</f>
        <v>0</v>
      </c>
      <c r="AO235" s="12">
        <f>AN235</f>
        <v>0</v>
      </c>
      <c r="AP235" s="12">
        <f>AO235</f>
        <v>0</v>
      </c>
      <c r="AQ235" s="12">
        <f>AP235</f>
        <v>0</v>
      </c>
      <c r="AR235" s="12">
        <f>AQ235</f>
        <v>0</v>
      </c>
      <c r="AS235" s="12">
        <f>AR235</f>
        <v>0</v>
      </c>
      <c r="AT235" s="12">
        <f>AS235</f>
        <v>0</v>
      </c>
      <c r="AU235" s="12">
        <f>AT235</f>
        <v>0</v>
      </c>
      <c r="AV235" s="12">
        <f>AU235</f>
        <v>0</v>
      </c>
      <c r="AW235" s="12">
        <f>AV235</f>
        <v>0</v>
      </c>
      <c r="AX235" s="12">
        <f>AW235</f>
        <v>0</v>
      </c>
      <c r="AY235" s="12">
        <f>AX235</f>
        <v>0</v>
      </c>
      <c r="AZ235" s="12">
        <f>AY235</f>
        <v>0</v>
      </c>
      <c r="BA235" s="12">
        <f>AZ235</f>
        <v>0</v>
      </c>
      <c r="BB235" s="12">
        <f>BA235</f>
        <v>0</v>
      </c>
      <c r="BC235" s="12">
        <f>BB235</f>
        <v>0</v>
      </c>
      <c r="BD235" s="12">
        <f>BC235</f>
        <v>0</v>
      </c>
      <c r="BE235" s="12">
        <f>BD235</f>
        <v>0</v>
      </c>
      <c r="BF235" s="12">
        <f>BE235</f>
        <v>0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 t="str">
        <f>IFERROR(IF(I235=0,"",J235/I235-1),"")</f>
        <v/>
      </c>
      <c r="K236" s="40" t="str">
        <f>IFERROR(IF(J235=0,"",K235/J235-1),"")</f>
        <v/>
      </c>
      <c r="L236" s="40" t="str">
        <f>IFERROR(IF(K235=0,"",L235/K235-1),"")</f>
        <v/>
      </c>
      <c r="M236" s="12" t="str">
        <f>IF(L235=0,"",M235/L235-1)</f>
        <v/>
      </c>
      <c r="N236" s="40" t="str">
        <f>IFERROR(IF(M235=0,"",N235/M235-1),"")</f>
        <v/>
      </c>
      <c r="O236" s="40" t="str">
        <f>IFERROR(IF(N235=0,"",O235/N235-1),"")</f>
        <v/>
      </c>
      <c r="P236" s="40" t="str">
        <f>IFERROR(IF(O235=0,"",P235/O235-1),"")</f>
        <v/>
      </c>
      <c r="Q236" s="40" t="str">
        <f>IFERROR(IF(P235=0,"",Q235/P235-1),"")</f>
        <v/>
      </c>
      <c r="R236" s="12" t="str">
        <f>IF(Q235=0,"",R235/Q235-1)</f>
        <v/>
      </c>
      <c r="S236" s="40" t="str">
        <f>IFERROR(IF(R235=0,"",S235/R235-1),"")</f>
        <v/>
      </c>
      <c r="T236" s="40" t="str">
        <f>IFERROR(IF(S235=0,"",T235/S235-1),"")</f>
        <v/>
      </c>
      <c r="U236" s="40" t="str">
        <f>IFERROR(IF(T235=0,"",U235/T235-1),"")</f>
        <v/>
      </c>
      <c r="V236" s="40" t="str">
        <f>IFERROR(IF(U235=0,"",V235/U235-1),"")</f>
        <v/>
      </c>
      <c r="W236" s="12" t="str">
        <f>IF(V235=0,"",W235/V235-1)</f>
        <v/>
      </c>
      <c r="X236" s="40" t="str">
        <f>IFERROR(IF(W235=0,"",X235/W235-1),"")</f>
        <v/>
      </c>
      <c r="Y236" s="40" t="str">
        <f>IFERROR(IF(X235=0,"",Y235/X235-1),"")</f>
        <v/>
      </c>
      <c r="Z236" s="40" t="str">
        <f>IFERROR(IF(Y235=0,"",Z235/Y235-1),"")</f>
        <v/>
      </c>
      <c r="AA236" s="40" t="str">
        <f>IFERROR(IF(Z235=0,"",AA235/Z235-1),"")</f>
        <v/>
      </c>
      <c r="AB236" s="12" t="str">
        <f>IF(AA235=0,"",AB235/AA235-1)</f>
        <v/>
      </c>
      <c r="AC236" s="40" t="str">
        <f>IFERROR(IF(AB235=0,"",AC235/AB235-1),"")</f>
        <v/>
      </c>
      <c r="AD236" s="40" t="str">
        <f>IFERROR(IF(AC235=0,"",AD235/AC235-1),"")</f>
        <v/>
      </c>
      <c r="AE236" s="40" t="str">
        <f>IFERROR(IF(AD235=0,"",AE235/AD235-1),"")</f>
        <v/>
      </c>
      <c r="AF236" s="41" t="str">
        <f>IFERROR(IF(AE235=0,"",AF235/AE235-1),"")</f>
        <v/>
      </c>
      <c r="AG236" s="12" t="str">
        <f>IF(AF235=0,"",AG235/AF235-1)</f>
        <v/>
      </c>
      <c r="AH236" s="11" t="str">
        <f>IFERROR(IF(AG235=0,"",AH235/AG235-1),"")</f>
        <v/>
      </c>
      <c r="AI236" s="11" t="str">
        <f>IFERROR(IF(AH235=0,"",AI235/AH235-1),"")</f>
        <v/>
      </c>
      <c r="AJ236" s="11" t="str">
        <f>IFERROR(IF(AI235=0,"",AJ235/AI235-1),"")</f>
        <v/>
      </c>
      <c r="AK236" s="11" t="str">
        <f>IFERROR(IF(AJ235=0,"",AK235/AJ235-1),"")</f>
        <v/>
      </c>
      <c r="AL236" s="12" t="str">
        <f>IFERROR(IF(AK235=0,"",AL235/AK235-1),"")</f>
        <v/>
      </c>
      <c r="AM236" s="11" t="str">
        <f>IFERROR(IF(AL235=0,"",AM235/AL235-1),"")</f>
        <v/>
      </c>
      <c r="AN236" s="11" t="str">
        <f>IFERROR(IF(AM235=0,"",AN235/AM235-1),"")</f>
        <v/>
      </c>
      <c r="AO236" s="11" t="str">
        <f>IFERROR(IF(AN235=0,"",AO235/AN235-1),"")</f>
        <v/>
      </c>
      <c r="AP236" s="11" t="str">
        <f>IFERROR(IF(AO235=0,"",AP235/AO235-1),"")</f>
        <v/>
      </c>
      <c r="AQ236" s="12" t="str">
        <f>IFERROR(IF(AP235=0,"",AQ235/AP235-1),"")</f>
        <v/>
      </c>
      <c r="AR236" s="11" t="str">
        <f>IFERROR(IF(AQ235=0,"",AR235/AQ235-1),"")</f>
        <v/>
      </c>
      <c r="AS236" s="11" t="str">
        <f>IFERROR(IF(AR235=0,"",AS235/AR235-1),"")</f>
        <v/>
      </c>
      <c r="AT236" s="11" t="str">
        <f>IFERROR(IF(AS235=0,"",AT235/AS235-1),"")</f>
        <v/>
      </c>
      <c r="AU236" s="11" t="str">
        <f>IFERROR(IF(AT235=0,"",AU235/AT235-1),"")</f>
        <v/>
      </c>
      <c r="AV236" s="12" t="str">
        <f>IFERROR(IF(AU235=0,"",AV235/AU235-1),"")</f>
        <v/>
      </c>
      <c r="AW236" s="11" t="str">
        <f>IFERROR(IF(AV235=0,"",AW235/AV235-1),"")</f>
        <v/>
      </c>
      <c r="AX236" s="11" t="str">
        <f>IFERROR(IF(AW235=0,"",AX235/AW235-1),"")</f>
        <v/>
      </c>
      <c r="AY236" s="11" t="str">
        <f>IFERROR(IF(AX235=0,"",AY235/AX235-1),"")</f>
        <v/>
      </c>
      <c r="AZ236" s="11" t="str">
        <f>IFERROR(IF(AY235=0,"",AZ235/AY235-1),"")</f>
        <v/>
      </c>
      <c r="BA236" s="12" t="str">
        <f>IFERROR(IF(AZ235=0,"",BA235/AZ235-1),"")</f>
        <v/>
      </c>
      <c r="BB236" s="11" t="str">
        <f>IFERROR(IF(BA235=0,"",BB235/BA235-1),"")</f>
        <v/>
      </c>
      <c r="BC236" s="11" t="str">
        <f>IFERROR(IF(BB235=0,"",BC235/BB235-1),"")</f>
        <v/>
      </c>
      <c r="BD236" s="11" t="str">
        <f>IFERROR(IF(BC235=0,"",BD235/BC235-1),"")</f>
        <v/>
      </c>
      <c r="BE236" s="11" t="str">
        <f>IFERROR(IF(BD235=0,"",BE235/BD235-1),"")</f>
        <v/>
      </c>
      <c r="BF236" s="12" t="str">
        <f>IFERROR(IF(BE235=0,"",BF235/BE235-1),"")</f>
        <v/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0</v>
      </c>
      <c r="J239" s="46">
        <f>'Inputs (2)'!E38</f>
        <v>0</v>
      </c>
      <c r="K239" s="46">
        <f>'Inputs (2)'!F38</f>
        <v>0</v>
      </c>
      <c r="L239" s="46">
        <f>'Inputs (2)'!G38</f>
        <v>0</v>
      </c>
      <c r="M239" s="12">
        <f>'Inputs (2)'!H38</f>
        <v>0</v>
      </c>
      <c r="N239" s="46">
        <f>'Inputs (2)'!I38</f>
        <v>0</v>
      </c>
      <c r="O239" s="46">
        <f>'Inputs (2)'!J38</f>
        <v>0</v>
      </c>
      <c r="P239" s="46">
        <f>'Inputs (2)'!K38</f>
        <v>0</v>
      </c>
      <c r="Q239" s="46">
        <f>'Inputs (2)'!L38</f>
        <v>0</v>
      </c>
      <c r="R239" s="12">
        <f>'Inputs (2)'!M38</f>
        <v>0</v>
      </c>
      <c r="S239" s="46">
        <f>'Inputs (2)'!N38</f>
        <v>0</v>
      </c>
      <c r="T239" s="46">
        <f>'Inputs (2)'!O38</f>
        <v>0</v>
      </c>
      <c r="U239" s="46">
        <f>'Inputs (2)'!P38</f>
        <v>0</v>
      </c>
      <c r="V239" s="46">
        <f>'Inputs (2)'!Q38</f>
        <v>0</v>
      </c>
      <c r="W239" s="12">
        <f>'Inputs (2)'!R38</f>
        <v>0</v>
      </c>
      <c r="X239" s="46">
        <f>'Inputs (2)'!S38</f>
        <v>0</v>
      </c>
      <c r="Y239" s="46">
        <f>'Inputs (2)'!T38</f>
        <v>0</v>
      </c>
      <c r="Z239" s="46">
        <f>'Inputs (2)'!U38</f>
        <v>0</v>
      </c>
      <c r="AA239" s="46">
        <f>'Inputs (2)'!V38</f>
        <v>0</v>
      </c>
      <c r="AB239" s="12">
        <f>'Inputs (2)'!W38</f>
        <v>0</v>
      </c>
      <c r="AC239" s="46">
        <f>'Inputs (2)'!X38</f>
        <v>0</v>
      </c>
      <c r="AD239" s="46">
        <f>'Inputs (2)'!Y38</f>
        <v>0</v>
      </c>
      <c r="AE239" s="46">
        <f>'Inputs (2)'!Z38</f>
        <v>0</v>
      </c>
      <c r="AF239" s="46">
        <f>'Inputs (2)'!AA38</f>
        <v>0</v>
      </c>
      <c r="AG239" s="12">
        <f>'Inputs (2)'!AB38</f>
        <v>0</v>
      </c>
      <c r="AH239" s="12">
        <f>'Inputs (2)'!AC38</f>
        <v>0</v>
      </c>
      <c r="AI239" s="12">
        <f>'Inputs (2)'!AD38</f>
        <v>0</v>
      </c>
      <c r="AJ239" s="12">
        <f>AI239</f>
        <v>0</v>
      </c>
      <c r="AK239" s="12">
        <f>AJ239</f>
        <v>0</v>
      </c>
      <c r="AL239" s="12">
        <f>AK239</f>
        <v>0</v>
      </c>
      <c r="AM239" s="12">
        <f>AL239</f>
        <v>0</v>
      </c>
      <c r="AN239" s="12">
        <f>AM239</f>
        <v>0</v>
      </c>
      <c r="AO239" s="12">
        <f>AN239</f>
        <v>0</v>
      </c>
      <c r="AP239" s="12">
        <f>AO239</f>
        <v>0</v>
      </c>
      <c r="AQ239" s="12">
        <f>AP239</f>
        <v>0</v>
      </c>
      <c r="AR239" s="12">
        <f>AQ239</f>
        <v>0</v>
      </c>
      <c r="AS239" s="12">
        <f>AR239</f>
        <v>0</v>
      </c>
      <c r="AT239" s="12">
        <f>AS239</f>
        <v>0</v>
      </c>
      <c r="AU239" s="12">
        <f>AT239</f>
        <v>0</v>
      </c>
      <c r="AV239" s="12">
        <f>AU239</f>
        <v>0</v>
      </c>
      <c r="AW239" s="12">
        <f>AV239</f>
        <v>0</v>
      </c>
      <c r="AX239" s="12">
        <f>AW239</f>
        <v>0</v>
      </c>
      <c r="AY239" s="12">
        <f>AX239</f>
        <v>0</v>
      </c>
      <c r="AZ239" s="12">
        <f>AY239</f>
        <v>0</v>
      </c>
      <c r="BA239" s="12">
        <f>AZ239</f>
        <v>0</v>
      </c>
      <c r="BB239" s="12">
        <f>BA239</f>
        <v>0</v>
      </c>
      <c r="BC239" s="12">
        <f>BB239</f>
        <v>0</v>
      </c>
      <c r="BD239" s="12">
        <f>BC239</f>
        <v>0</v>
      </c>
      <c r="BE239" s="12">
        <f>BD239</f>
        <v>0</v>
      </c>
      <c r="BF239" s="12">
        <f>BE239</f>
        <v>0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5838.77</v>
      </c>
      <c r="J240" s="46">
        <f>'Inputs (2)'!E39</f>
        <v>5817.107</v>
      </c>
      <c r="K240" s="46">
        <f>'Inputs (2)'!F39</f>
        <v>5900.263</v>
      </c>
      <c r="L240" s="46">
        <f>'Inputs (2)'!G39</f>
        <v>5849.183</v>
      </c>
      <c r="M240" s="12">
        <f>'Inputs (2)'!H39</f>
        <v>5849.183</v>
      </c>
      <c r="N240" s="46">
        <f>'Inputs (2)'!I39</f>
        <v>5736.215</v>
      </c>
      <c r="O240" s="46">
        <f>'Inputs (2)'!J39</f>
        <v>5613.354</v>
      </c>
      <c r="P240" s="46">
        <f>'Inputs (2)'!K39</f>
        <v>6134.599</v>
      </c>
      <c r="Q240" s="46">
        <f>'Inputs (2)'!L39</f>
        <v>6370.739</v>
      </c>
      <c r="R240" s="12">
        <f>'Inputs (2)'!M39</f>
        <v>6370.739</v>
      </c>
      <c r="S240" s="46">
        <f>'Inputs (2)'!N39</f>
        <v>6169.597</v>
      </c>
      <c r="T240" s="46">
        <f>'Inputs (2)'!O39</f>
        <v>5640.994</v>
      </c>
      <c r="U240" s="46">
        <f>'Inputs (2)'!P39</f>
        <v>6697.665</v>
      </c>
      <c r="V240" s="46">
        <f>'Inputs (2)'!Q39</f>
        <v>6769.834</v>
      </c>
      <c r="W240" s="12">
        <f>'Inputs (2)'!R39</f>
        <v>6769.834</v>
      </c>
      <c r="X240" s="46">
        <f>'Inputs (2)'!S39</f>
        <v>6606.363</v>
      </c>
      <c r="Y240" s="46">
        <f>'Inputs (2)'!T39</f>
        <v>6402.027</v>
      </c>
      <c r="Z240" s="46">
        <f>'Inputs (2)'!U39</f>
        <v>6710.512</v>
      </c>
      <c r="AA240" s="46">
        <f>'Inputs (2)'!V39</f>
        <v>6799.92</v>
      </c>
      <c r="AB240" s="12">
        <f>'Inputs (2)'!W39</f>
        <v>6799.92</v>
      </c>
      <c r="AC240" s="46">
        <f>'Inputs (2)'!X39</f>
        <v>6688.255</v>
      </c>
      <c r="AD240" s="46">
        <f>'Inputs (2)'!Y39</f>
        <v>6518.431</v>
      </c>
      <c r="AE240" s="46">
        <f>'Inputs (2)'!Z39</f>
        <v>6859.408</v>
      </c>
      <c r="AF240" s="46">
        <f>'Inputs (2)'!AA39</f>
        <v>6894.773</v>
      </c>
      <c r="AG240" s="12">
        <f>'Inputs (2)'!AB39</f>
        <v>6894.773</v>
      </c>
      <c r="AH240" s="12">
        <f>'Inputs (2)'!AC39</f>
        <v>6868.091</v>
      </c>
      <c r="AI240" s="12">
        <f>'Inputs (2)'!AD39</f>
        <v>6855.977</v>
      </c>
      <c r="AJ240" s="12">
        <f>AI240</f>
        <v>6855.977</v>
      </c>
      <c r="AK240" s="12">
        <f>AJ240</f>
        <v>6855.977</v>
      </c>
      <c r="AL240" s="12">
        <f>AK240</f>
        <v>6855.977</v>
      </c>
      <c r="AM240" s="12">
        <f>AL240</f>
        <v>6855.977</v>
      </c>
      <c r="AN240" s="12">
        <f>AM240</f>
        <v>6855.977</v>
      </c>
      <c r="AO240" s="12">
        <f>AN240</f>
        <v>6855.977</v>
      </c>
      <c r="AP240" s="12">
        <f>AO240</f>
        <v>6855.977</v>
      </c>
      <c r="AQ240" s="12">
        <f>AP240</f>
        <v>6855.977</v>
      </c>
      <c r="AR240" s="12">
        <f>AQ240</f>
        <v>6855.977</v>
      </c>
      <c r="AS240" s="12">
        <f>AR240</f>
        <v>6855.977</v>
      </c>
      <c r="AT240" s="12">
        <f>AS240</f>
        <v>6855.977</v>
      </c>
      <c r="AU240" s="12">
        <f>AT240</f>
        <v>6855.977</v>
      </c>
      <c r="AV240" s="12">
        <f>AU240</f>
        <v>6855.977</v>
      </c>
      <c r="AW240" s="12">
        <f>AV240</f>
        <v>6855.977</v>
      </c>
      <c r="AX240" s="12">
        <f>AW240</f>
        <v>6855.977</v>
      </c>
      <c r="AY240" s="12">
        <f>AX240</f>
        <v>6855.977</v>
      </c>
      <c r="AZ240" s="12">
        <f>AY240</f>
        <v>6855.977</v>
      </c>
      <c r="BA240" s="12">
        <f>AZ240</f>
        <v>6855.977</v>
      </c>
      <c r="BB240" s="12">
        <f>BA240</f>
        <v>6855.977</v>
      </c>
      <c r="BC240" s="12">
        <f>BB240</f>
        <v>6855.977</v>
      </c>
      <c r="BD240" s="12">
        <f>BC240</f>
        <v>6855.977</v>
      </c>
      <c r="BE240" s="12">
        <f>BD240</f>
        <v>6855.977</v>
      </c>
      <c r="BF240" s="12">
        <f>BE240</f>
        <v>6855.977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-0.0037101992371682</v>
      </c>
      <c r="K241" s="40">
        <f>IF(J240=0,"",K240/J240-1)</f>
        <v>0.0142950782923539</v>
      </c>
      <c r="L241" s="40">
        <f>IF(K240=0,"",L240/K240-1)</f>
        <v>-0.00865724121111211</v>
      </c>
      <c r="M241" s="12">
        <f>IF(L240=0,"",M240/L240-1)</f>
        <v>0</v>
      </c>
      <c r="N241" s="40">
        <f>IF(M240=0,"",N240/M240-1)</f>
        <v>-0.0193134665131866</v>
      </c>
      <c r="O241" s="40">
        <f>IF(N240=0,"",O240/N240-1)</f>
        <v>-0.0214184789098735</v>
      </c>
      <c r="P241" s="40">
        <f>IF(O240=0,"",P240/O240-1)</f>
        <v>0.0928580310452538</v>
      </c>
      <c r="Q241" s="40">
        <f>IF(P240=0,"",Q240/P240-1)</f>
        <v>0.0384931435616247</v>
      </c>
      <c r="R241" s="12">
        <f>IF(Q240=0,"",R240/Q240-1)</f>
        <v>0</v>
      </c>
      <c r="S241" s="40">
        <f>IF(R240=0,"",S240/R240-1)</f>
        <v>-0.0315727892792344</v>
      </c>
      <c r="T241" s="40">
        <f>IF(S240=0,"",T240/S240-1)</f>
        <v>-0.0856786918173099</v>
      </c>
      <c r="U241" s="40">
        <f>IF(T240=0,"",U240/T240-1)</f>
        <v>0.187320000694913</v>
      </c>
      <c r="V241" s="40">
        <f>IF(U240=0,"",V240/U240-1)</f>
        <v>0.010775247791581</v>
      </c>
      <c r="W241" s="12">
        <f>IF(V240=0,"",W240/V240-1)</f>
        <v>0</v>
      </c>
      <c r="X241" s="40">
        <f>IF(W240=0,"",X240/W240-1)</f>
        <v>-0.0241469731754131</v>
      </c>
      <c r="Y241" s="40">
        <f>IF(X240=0,"",Y240/X240-1)</f>
        <v>-0.0309301804941691</v>
      </c>
      <c r="Z241" s="40">
        <f>IF(Y240=0,"",Z240/Y240-1)</f>
        <v>0.0481855199923398</v>
      </c>
      <c r="AA241" s="40">
        <f>IF(Z240=0,"",AA240/Z240-1)</f>
        <v>0.0133235735216628</v>
      </c>
      <c r="AB241" s="12">
        <f>IF(AA240=0,"",AB240/AA240-1)</f>
        <v>0</v>
      </c>
      <c r="AC241" s="40">
        <f>IF(AB240=0,"",AC240/AB240-1)</f>
        <v>-0.0164215167237262</v>
      </c>
      <c r="AD241" s="40">
        <f>IF(AC240=0,"",AD240/AC240-1)</f>
        <v>-0.0253913763754523</v>
      </c>
      <c r="AE241" s="40">
        <f>IF(AD240=0,"",AE240/AD240-1)</f>
        <v>0.0523096739077242</v>
      </c>
      <c r="AF241" s="41">
        <f>IF(AE240=0,"",AF240/AE240-1)</f>
        <v>0.00515569273616623</v>
      </c>
      <c r="AG241" s="12">
        <f>IF(AF240=0,"",AG240/AF240-1)</f>
        <v>0</v>
      </c>
      <c r="AH241" s="41">
        <f>IF(AG240=0,"",AH240/AG240-1)</f>
        <v>-0.0038698881021898</v>
      </c>
      <c r="AI241" s="41">
        <f>IF(AH240=0,"",AI240/AH240-1)</f>
        <v>-0.00176380889536854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15006.116</v>
      </c>
      <c r="J247" s="35">
        <f>SUM(J198+J202+J204+J205+J212+J213+J214+J217+J235+J238+J239+J240)</f>
        <v>14782.898</v>
      </c>
      <c r="K247" s="35">
        <f>SUM(K198+K202+K204+K205+K212+K213+K214+K217+K235+K238+K239+K240)</f>
        <v>13806.187</v>
      </c>
      <c r="L247" s="35">
        <f>SUM(L198+L202+L204+L205+L212+L213+L214+L217+L235+L238+L239+L240)</f>
        <v>15531.838</v>
      </c>
      <c r="M247" s="35">
        <f>SUM(M198,M202,M204,M205,M212,M213,M217,M214,M235,M238,M239,M240)</f>
        <v>15531.838</v>
      </c>
      <c r="N247" s="35">
        <f>SUM(N198+N202+N204+N205+N212+N213+N214+N217+N235+N238+N239+N240)</f>
        <v>16501.787</v>
      </c>
      <c r="O247" s="35">
        <f>SUM(O198+O202+O204+O205+O212+O213+O214+O217+O235+O238+O239+O240)</f>
        <v>15968.458</v>
      </c>
      <c r="P247" s="35">
        <f>SUM(P198+P202+P204+P205+P212+P213+P214+P217+P235+P238+P239+P240)</f>
        <v>14754.777</v>
      </c>
      <c r="Q247" s="35">
        <f>SUM(Q198+Q202+Q204+Q205+Q212+Q213+Q214+Q217+Q235+Q238+Q239+Q240)</f>
        <v>16527.139</v>
      </c>
      <c r="R247" s="35">
        <f>SUM(R198,R202,R204,R205,R212,R213,R217,R214,R235,R238,R239,R240)</f>
        <v>16527.139</v>
      </c>
      <c r="S247" s="35">
        <f>SUM(S198+S202+S204+S205+S212+S213+S214+S217+S235+S238+S239+S240)</f>
        <v>15448.54</v>
      </c>
      <c r="T247" s="35">
        <f>SUM(T198+T202+T204+T205+T212+T213+T214+T217+T235+T238+T239+T240)</f>
        <v>14076.818</v>
      </c>
      <c r="U247" s="35">
        <f>SUM(U198+U202+U204+U205+U212+U213+U214+U217+U235+U238+U239+U240)</f>
        <v>14416.678</v>
      </c>
      <c r="V247" s="35">
        <f>SUM(V198+V202+V204+V205+V212+V213+V214+V217+V235+V238+V239+V240)</f>
        <v>15554.022</v>
      </c>
      <c r="W247" s="35">
        <f>SUM(W198,W202,W204,W205,W212,W213,W217,W214,W235,W238,W239,W240)</f>
        <v>15554.022</v>
      </c>
      <c r="X247" s="35">
        <f>SUM(X198+X202+X204+X205+X212+X213+X214+X217+X235+X238+X239+X240)</f>
        <v>14184.942</v>
      </c>
      <c r="Y247" s="35">
        <f>SUM(Y198+Y202+Y204+Y205+Y212+Y213+Y214+Y217+Y235+Y238+Y239+Y240)</f>
        <v>13280.431</v>
      </c>
      <c r="Z247" s="35">
        <f>SUM(Z198+Z202+Z204+Z205+Z212+Z213+Z214+Z217+Z235+Z238+Z239+Z240)</f>
        <v>13935.52</v>
      </c>
      <c r="AA247" s="35">
        <f>SUM(AA198+AA202+AA204+AA205+AA212+AA213+AA214+AA217+AA235+AA238+AA239+AA240)</f>
        <v>14691.053</v>
      </c>
      <c r="AB247" s="35">
        <f>SUM(AB198,AB202,AB204,AB205,AB212,AB213,AB217,AB214,AB235,AB238,AB239,AB240)</f>
        <v>14691.053</v>
      </c>
      <c r="AC247" s="35">
        <f>SUM(AC198+AC202+AC204+AC205+AC212+AC213+AC214+AC217+AC235+AC238+AC239+AC240)</f>
        <v>15299.712</v>
      </c>
      <c r="AD247" s="35">
        <f>SUM(AD198+AD202+AD204+AD205+AD212+AD213+AD214+AD217+AD235+AD238+AD239+AD240)</f>
        <v>14704.872</v>
      </c>
      <c r="AE247" s="35">
        <f>SUM(AE198+AE202+AE204+AE205+AE212+AE213+AE214+AE217+AE235+AE238+AE239+AE240)</f>
        <v>13887.28</v>
      </c>
      <c r="AF247" s="35">
        <f>SUM(AF198+AF202+AF204+AF205+AF212+AF213+AF214+AF217+AF235+AF238+AF239+AF240)</f>
        <v>15603.468</v>
      </c>
      <c r="AG247" s="35">
        <f>SUM(AG198,AG202,AG204,AG205,AG212,AG213,AG217,AG214,AG235,AG238,AG239,AG240)</f>
        <v>15603.468</v>
      </c>
      <c r="AH247" s="35">
        <f>SUM(AH198+AH202+AH204+AH205+AH212+AH213+AH214+AH217+AH235+AH238+AH239+AH240)</f>
        <v>15933.15</v>
      </c>
      <c r="AI247" s="35">
        <f>SUM(AI198+AI202+AI204+AI205+AI212+AI213+AI214+AI217+AI235+AI238+AI239+AI240)</f>
        <v>15611.217</v>
      </c>
      <c r="AJ247" s="35">
        <f>SUM(AJ198+AJ202+AJ204+AJ205+AJ212+AJ213+AJ214+AJ217+AJ235+AJ238+AJ239+AJ240)</f>
        <v>15317.1200679501</v>
      </c>
      <c r="AK247" s="35">
        <f>SUM(AK198+AK202+AK204+AK205+AK212+AK213+AK214+AK217+AK235+AK238+AK239+AK240)</f>
        <v>15403.1384005175</v>
      </c>
      <c r="AL247" s="35">
        <f>SUM(AL198,AL202,AL204,AL205,AL212,AL213,AL217,AL214,AL235,AL238,AL239,AL240)</f>
        <v>15403.1384005175</v>
      </c>
      <c r="AM247" s="35">
        <f>SUM(AM198+AM202+AM204+AM205+AM212+AM213+AM214+AM217+AM235+AM238+AM239+AM240)</f>
        <v>15301.8365578083</v>
      </c>
      <c r="AN247" s="35">
        <f>SUM(AN198+AN202+AN204+AN205+AN212+AN213+AN214+AN217+AN235+AN238+AN239+AN240)</f>
        <v>16323.6544858547</v>
      </c>
      <c r="AO247" s="35">
        <f>SUM(AO198+AO202+AO204+AO205+AO212+AO213+AO214+AO217+AO235+AO238+AO239+AO240)</f>
        <v>15340.1546285011</v>
      </c>
      <c r="AP247" s="35">
        <f>SUM(AP198+AP202+AP204+AP205+AP212+AP213+AP214+AP217+AP235+AP238+AP239+AP240)</f>
        <v>15426.5460102895</v>
      </c>
      <c r="AQ247" s="35">
        <f>SUM(AQ198,AQ202,AQ204,AQ205,AQ212,AQ213,AQ217,AQ214,AQ235,AQ238,AQ239,AQ240)</f>
        <v>15426.5460102895</v>
      </c>
      <c r="AR247" s="35">
        <f>SUM(AR198+AR202+AR204+AR205+AR212+AR213+AR214+AR217+AR235+AR238+AR239+AR240)</f>
        <v>15280.8776942328</v>
      </c>
      <c r="AS247" s="35">
        <f>SUM(AS198+AS202+AS204+AS205+AS212+AS213+AS214+AS217+AS235+AS238+AS239+AS240)</f>
        <v>16329.7996059756</v>
      </c>
      <c r="AT247" s="35">
        <f>SUM(AT198+AT202+AT204+AT205+AT212+AT213+AT214+AT217+AT235+AT238+AT239+AT240)</f>
        <v>15343.233197959</v>
      </c>
      <c r="AU247" s="35">
        <f>SUM(AU198+AU202+AU204+AU205+AU212+AU213+AU214+AU217+AU235+AU238+AU239+AU240)</f>
        <v>15426.5460102895</v>
      </c>
      <c r="AV247" s="35">
        <f>SUM(AV198,AV202,AV204,AV205,AV212,AV213,AV217,AV214,AV235,AV238,AV239,AV240)</f>
        <v>15426.5460102895</v>
      </c>
      <c r="AW247" s="35">
        <f>SUM(AW198+AW202+AW204+AW205+AW212+AW213+AW214+AW217+AW235+AW238+AW239+AW240)</f>
        <v>15311.0362567186</v>
      </c>
      <c r="AX247" s="35">
        <f>SUM(AX198+AX202+AX204+AX205+AX212+AX213+AX214+AX217+AX235+AX238+AX239+AX240)</f>
        <v>16329.7996059756</v>
      </c>
      <c r="AY247" s="35">
        <f>SUM(AY198+AY202+AY204+AY205+AY212+AY213+AY214+AY217+AY235+AY238+AY239+AY240)</f>
        <v>15343.233197959</v>
      </c>
      <c r="AZ247" s="35">
        <f>SUM(AZ198+AZ202+AZ204+AZ205+AZ212+AZ213+AZ214+AZ217+AZ235+AZ238+AZ239+AZ240)</f>
        <v>15426.5460102895</v>
      </c>
      <c r="BA247" s="35">
        <f>SUM(BA198,BA202,BA204,BA205,BA212,BA213,BA217,BA214,BA235,BA238,BA239,BA240)</f>
        <v>15426.5460102895</v>
      </c>
      <c r="BB247" s="35">
        <f>SUM(BB198+BB202+BB204+BB205+BB212+BB213+BB214+BB217+BB235+BB238+BB239+BB240)</f>
        <v>15311.0362567186</v>
      </c>
      <c r="BC247" s="35">
        <f>SUM(BC198+BC202+BC204+BC205+BC212+BC213+BC214+BC217+BC235+BC238+BC239+BC240)</f>
        <v>16329.7996059756</v>
      </c>
      <c r="BD247" s="35">
        <f>SUM(BD198+BD202+BD204+BD205+BD212+BD213+BD214+BD217+BD235+BD238+BD239+BD240)</f>
        <v>15343.233197959</v>
      </c>
      <c r="BE247" s="35">
        <f>SUM(BE198+BE202+BE204+BE205+BE212+BE213+BE214+BE217+BE235+BE238+BE239+BE240)</f>
        <v>15426.5460102895</v>
      </c>
      <c r="BF247" s="35">
        <f>SUM(BF198,BF202,BF204,BF205,BF212,BF213,BF217,BF214,BF235,BF238,BF239,BF240)</f>
        <v>15426.5460102895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8.545</v>
      </c>
      <c r="J248" s="46">
        <f>'Inputs (2)'!E41</f>
        <v>8.565</v>
      </c>
      <c r="K248" s="46">
        <f>'Inputs (2)'!F41</f>
        <v>8.465</v>
      </c>
      <c r="L248" s="46">
        <f>'Inputs (2)'!G41</f>
        <v>7.606</v>
      </c>
      <c r="M248" s="12">
        <f>'Inputs (2)'!H41</f>
        <v>7.606</v>
      </c>
      <c r="N248" s="46">
        <f>'Inputs (2)'!I41</f>
        <v>6.903</v>
      </c>
      <c r="O248" s="46">
        <f>'Inputs (2)'!J41</f>
        <v>6.279</v>
      </c>
      <c r="P248" s="46">
        <f>'Inputs (2)'!K41</f>
        <v>5.645</v>
      </c>
      <c r="Q248" s="46">
        <f>'Inputs (2)'!L41</f>
        <v>5.938</v>
      </c>
      <c r="R248" s="12">
        <f>'Inputs (2)'!M41</f>
        <v>5.938</v>
      </c>
      <c r="S248" s="46">
        <f>'Inputs (2)'!N41</f>
        <v>5.092</v>
      </c>
      <c r="T248" s="46">
        <f>'Inputs (2)'!O41</f>
        <v>4.92</v>
      </c>
      <c r="U248" s="46">
        <f>'Inputs (2)'!P41</f>
        <v>4.611</v>
      </c>
      <c r="V248" s="46">
        <f>'Inputs (2)'!Q41</f>
        <v>5.926</v>
      </c>
      <c r="W248" s="12">
        <f>'Inputs (2)'!R41</f>
        <v>5.926</v>
      </c>
      <c r="X248" s="46">
        <f>'Inputs (2)'!S41</f>
        <v>5.78</v>
      </c>
      <c r="Y248" s="46">
        <f>'Inputs (2)'!T41</f>
        <v>5.692</v>
      </c>
      <c r="Z248" s="46">
        <f>'Inputs (2)'!U41</f>
        <v>6.533</v>
      </c>
      <c r="AA248" s="46">
        <f>'Inputs (2)'!V41</f>
        <v>5.969</v>
      </c>
      <c r="AB248" s="12">
        <f>'Inputs (2)'!W41</f>
        <v>5.969</v>
      </c>
      <c r="AC248" s="46">
        <f>'Inputs (2)'!X41</f>
        <v>5.205</v>
      </c>
      <c r="AD248" s="46">
        <f>'Inputs (2)'!Y41</f>
        <v>3.436</v>
      </c>
      <c r="AE248" s="46">
        <f>'Inputs (2)'!Z41</f>
        <v>3.479</v>
      </c>
      <c r="AF248" s="46">
        <f>'Inputs (2)'!AA41</f>
        <v>3.477</v>
      </c>
      <c r="AG248" s="12">
        <f>'Inputs (2)'!AB41</f>
        <v>3.477</v>
      </c>
      <c r="AH248" s="12">
        <f>'Inputs (2)'!AC41</f>
        <v>3.349</v>
      </c>
      <c r="AI248" s="12">
        <f>'Inputs (2)'!AD41</f>
        <v>3.462</v>
      </c>
      <c r="AJ248" s="12">
        <f>AI248</f>
        <v>3.462</v>
      </c>
      <c r="AK248" s="12">
        <f>AJ248</f>
        <v>3.462</v>
      </c>
      <c r="AL248" s="12">
        <f>AK248</f>
        <v>3.462</v>
      </c>
      <c r="AM248" s="12">
        <f>AL248</f>
        <v>3.462</v>
      </c>
      <c r="AN248" s="12">
        <f>AM248</f>
        <v>3.462</v>
      </c>
      <c r="AO248" s="12">
        <f>AN248</f>
        <v>3.462</v>
      </c>
      <c r="AP248" s="12">
        <f>AO248</f>
        <v>3.462</v>
      </c>
      <c r="AQ248" s="12">
        <f>AP248</f>
        <v>3.462</v>
      </c>
      <c r="AR248" s="12">
        <f>AQ248</f>
        <v>3.462</v>
      </c>
      <c r="AS248" s="12">
        <f>AR248</f>
        <v>3.462</v>
      </c>
      <c r="AT248" s="12">
        <f>AS248</f>
        <v>3.462</v>
      </c>
      <c r="AU248" s="12">
        <f>AT248</f>
        <v>3.462</v>
      </c>
      <c r="AV248" s="12">
        <f>AU248</f>
        <v>3.462</v>
      </c>
      <c r="AW248" s="12">
        <f>AV248</f>
        <v>3.462</v>
      </c>
      <c r="AX248" s="12">
        <f>AW248</f>
        <v>3.462</v>
      </c>
      <c r="AY248" s="12">
        <f>AX248</f>
        <v>3.462</v>
      </c>
      <c r="AZ248" s="12">
        <f>AY248</f>
        <v>3.462</v>
      </c>
      <c r="BA248" s="12">
        <f>AZ248</f>
        <v>3.462</v>
      </c>
      <c r="BB248" s="12">
        <f>BA248</f>
        <v>3.462</v>
      </c>
      <c r="BC248" s="12">
        <f>BB248</f>
        <v>3.462</v>
      </c>
      <c r="BD248" s="12">
        <f>BC248</f>
        <v>3.462</v>
      </c>
      <c r="BE248" s="12">
        <f>BD248</f>
        <v>3.462</v>
      </c>
      <c r="BF248" s="12">
        <f>BE248</f>
        <v>3.462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0</v>
      </c>
      <c r="K250" s="42" t="n"/>
      <c r="L250" s="42" t="n"/>
      <c r="M250" s="58" t="n"/>
      <c r="N250" s="58">
        <f>IF(I135=0,0,N135/I135-1)</f>
        <v>0</v>
      </c>
      <c r="O250" s="58">
        <f>IF(J135=0,0,O135/J135-1)</f>
        <v>0</v>
      </c>
      <c r="P250" s="58">
        <f>IF(K135=0,0,P135/K135-1)</f>
        <v>0</v>
      </c>
      <c r="Q250" s="58">
        <f>IF(L135=0,0,Q135/L135-1)</f>
        <v>0</v>
      </c>
      <c r="R250" s="58" t="n"/>
      <c r="S250" s="58">
        <f>IF(N135=0,0,S135/N135-1)</f>
        <v>0</v>
      </c>
      <c r="T250" s="58">
        <f>IF(O135=0,0,T135/O135-1)</f>
        <v>0</v>
      </c>
      <c r="U250" s="58">
        <f>IF(P135=0,0,U135/P135-1)</f>
        <v>0</v>
      </c>
      <c r="V250" s="58">
        <f>IF(Q135=0,0,V135/Q135-1)</f>
        <v>0</v>
      </c>
      <c r="W250" s="58">
        <f>IF(R136=0,0,W136/R136-1)</f>
        <v>-0.643809523809524</v>
      </c>
      <c r="X250" s="58">
        <f>IF(S135=0,0,X135/S135-1)</f>
        <v>0</v>
      </c>
      <c r="Y250" s="58">
        <f>IF(T135=0,0,Y135/T135-1)</f>
        <v>0</v>
      </c>
      <c r="Z250" s="58">
        <f>IF(U135=0,0,Z135/U135-1)</f>
        <v>0</v>
      </c>
      <c r="AA250" s="58">
        <f>IF(V135=0,0,AA135/V135-1)</f>
        <v>0</v>
      </c>
      <c r="AB250" s="58">
        <f>IF(W136=0,0,AB136/W136-1)</f>
        <v>-4.73262032085562</v>
      </c>
      <c r="AC250" s="58">
        <f>IF(X135=0,0,AC135/X135-1)</f>
        <v>0</v>
      </c>
      <c r="AD250" s="58">
        <f>IF(Y135=0,0,AD135/Y135-1)</f>
        <v>0</v>
      </c>
      <c r="AE250" s="58">
        <f>IF(Z135=0,0,AE135/Z135-1)</f>
        <v>0</v>
      </c>
      <c r="AF250" s="58">
        <f>IF(AA135=0,0,AF135/AA135-1)</f>
        <v>0</v>
      </c>
      <c r="AG250" s="58">
        <f>IF(AB136=0,0,AG136/AB136-1)</f>
        <v>-2.07593123209169</v>
      </c>
      <c r="AH250" s="62">
        <f>IF(AC135=0,0,AH135/AC135-1)</f>
        <v>0</v>
      </c>
      <c r="AI250" s="62">
        <f>IF(AD135=0,0,AI135/AD135-1)</f>
        <v>0</v>
      </c>
      <c r="AJ250" s="62" t="n"/>
      <c r="AK250" s="62" t="n"/>
      <c r="AL250" s="58">
        <f>IF(AG136=0,0,AL136/AG136-1)</f>
        <v>-0.989347536617843</v>
      </c>
      <c r="AM250" s="62" t="n"/>
      <c r="AN250" s="62" t="n"/>
      <c r="AO250" s="62" t="n"/>
      <c r="AP250" s="62" t="n"/>
      <c r="AQ250" s="58">
        <f>IF(AL136=0,0,AQ136/AL136-1)</f>
        <v>-1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0</v>
      </c>
      <c r="J254" s="46">
        <f>'Inputs (2)'!E43</f>
        <v>0</v>
      </c>
      <c r="K254" s="46">
        <f>'Inputs (2)'!F43</f>
        <v>0</v>
      </c>
      <c r="L254" s="46">
        <f>'Inputs (2)'!G43</f>
        <v>0</v>
      </c>
      <c r="M254" s="12">
        <f>'Inputs (2)'!H43</f>
        <v>0</v>
      </c>
      <c r="N254" s="46">
        <f>'Inputs (2)'!I43</f>
        <v>0</v>
      </c>
      <c r="O254" s="46">
        <f>'Inputs (2)'!J43</f>
        <v>0</v>
      </c>
      <c r="P254" s="46">
        <f>'Inputs (2)'!K43</f>
        <v>0</v>
      </c>
      <c r="Q254" s="46">
        <f>'Inputs (2)'!L43</f>
        <v>0</v>
      </c>
      <c r="R254" s="12">
        <f>'Inputs (2)'!M43</f>
        <v>0</v>
      </c>
      <c r="S254" s="46">
        <f>'Inputs (2)'!N43</f>
        <v>0</v>
      </c>
      <c r="T254" s="46">
        <f>'Inputs (2)'!O43</f>
        <v>0</v>
      </c>
      <c r="U254" s="46">
        <f>'Inputs (2)'!P43</f>
        <v>0</v>
      </c>
      <c r="V254" s="46">
        <f>'Inputs (2)'!Q43</f>
        <v>0</v>
      </c>
      <c r="W254" s="12">
        <f>'Inputs (2)'!R43</f>
        <v>0</v>
      </c>
      <c r="X254" s="46">
        <f>'Inputs (2)'!S43</f>
        <v>0</v>
      </c>
      <c r="Y254" s="46">
        <f>'Inputs (2)'!T43</f>
        <v>0</v>
      </c>
      <c r="Z254" s="46">
        <f>'Inputs (2)'!U43</f>
        <v>0</v>
      </c>
      <c r="AA254" s="46">
        <f>'Inputs (2)'!V43</f>
        <v>0</v>
      </c>
      <c r="AB254" s="12">
        <f>'Inputs (2)'!W43</f>
        <v>0</v>
      </c>
      <c r="AC254" s="46">
        <f>'Inputs (2)'!X43</f>
        <v>0</v>
      </c>
      <c r="AD254" s="46">
        <f>'Inputs (2)'!Y43</f>
        <v>0</v>
      </c>
      <c r="AE254" s="46">
        <f>'Inputs (2)'!Z43</f>
        <v>0</v>
      </c>
      <c r="AF254" s="46">
        <f>'Inputs (2)'!AA43</f>
        <v>0</v>
      </c>
      <c r="AG254" s="12">
        <f>'Inputs (2)'!AB43</f>
        <v>0</v>
      </c>
      <c r="AH254" s="12">
        <f>'Inputs (2)'!AC43</f>
        <v>0</v>
      </c>
      <c r="AI254" s="12">
        <f>'Inputs (2)'!AD43</f>
        <v>0</v>
      </c>
      <c r="AJ254" s="12">
        <f>AI254+AJ258</f>
        <v>0</v>
      </c>
      <c r="AK254" s="12">
        <f>AJ254+AK258</f>
        <v>0</v>
      </c>
      <c r="AL254" s="12">
        <f>AK254</f>
        <v>0</v>
      </c>
      <c r="AM254" s="12">
        <f>AL254+AM258</f>
        <v>0</v>
      </c>
      <c r="AN254" s="12">
        <f>AM254+AN258</f>
        <v>0</v>
      </c>
      <c r="AO254" s="12">
        <f>AN254+AO258</f>
        <v>0</v>
      </c>
      <c r="AP254" s="12">
        <f>AO254+AP258</f>
        <v>0</v>
      </c>
      <c r="AQ254" s="12">
        <f>AP254</f>
        <v>0</v>
      </c>
      <c r="AR254" s="12">
        <f>AQ254+AR258</f>
        <v>0</v>
      </c>
      <c r="AS254" s="12">
        <f>AR254+AS258</f>
        <v>0</v>
      </c>
      <c r="AT254" s="12">
        <f>AS254+AT258</f>
        <v>0</v>
      </c>
      <c r="AU254" s="12">
        <f>AT254+AU258</f>
        <v>0</v>
      </c>
      <c r="AV254" s="12">
        <f>AU254</f>
        <v>0</v>
      </c>
      <c r="AW254" s="12">
        <f>AV254+AW258</f>
        <v>0</v>
      </c>
      <c r="AX254" s="12">
        <f>AW254+AX258</f>
        <v>0</v>
      </c>
      <c r="AY254" s="12">
        <f>AX254+AY258</f>
        <v>0</v>
      </c>
      <c r="AZ254" s="12">
        <f>AY254+AZ258</f>
        <v>0</v>
      </c>
      <c r="BA254" s="12">
        <f>AZ254</f>
        <v>0</v>
      </c>
      <c r="BB254" s="12">
        <f>BA254+BB258</f>
        <v>0</v>
      </c>
      <c r="BC254" s="12">
        <f>BB254+BC258</f>
        <v>0</v>
      </c>
      <c r="BD254" s="12">
        <f>BC254+BD258</f>
        <v>0</v>
      </c>
      <c r="BE254" s="12">
        <f>BD254+BE258</f>
        <v>0</v>
      </c>
      <c r="BF254" s="12">
        <f>BE254</f>
        <v>0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0</v>
      </c>
      <c r="J267" s="46">
        <f>'Inputs (2)'!E44</f>
        <v>0</v>
      </c>
      <c r="K267" s="46">
        <f>'Inputs (2)'!F44</f>
        <v>0</v>
      </c>
      <c r="L267" s="46">
        <f>'Inputs (2)'!G44</f>
        <v>0</v>
      </c>
      <c r="M267" s="12">
        <f>'Inputs (2)'!H44</f>
        <v>0</v>
      </c>
      <c r="N267" s="46">
        <f>'Inputs (2)'!I44</f>
        <v>0</v>
      </c>
      <c r="O267" s="46">
        <f>'Inputs (2)'!J44</f>
        <v>0</v>
      </c>
      <c r="P267" s="46">
        <f>'Inputs (2)'!K44</f>
        <v>0</v>
      </c>
      <c r="Q267" s="46">
        <f>'Inputs (2)'!L44</f>
        <v>0</v>
      </c>
      <c r="R267" s="12">
        <f>'Inputs (2)'!M44</f>
        <v>0</v>
      </c>
      <c r="S267" s="46">
        <f>'Inputs (2)'!N44</f>
        <v>0</v>
      </c>
      <c r="T267" s="46">
        <f>'Inputs (2)'!O44</f>
        <v>0</v>
      </c>
      <c r="U267" s="46">
        <f>'Inputs (2)'!P44</f>
        <v>0</v>
      </c>
      <c r="V267" s="46">
        <f>'Inputs (2)'!Q44</f>
        <v>0</v>
      </c>
      <c r="W267" s="12">
        <f>'Inputs (2)'!R44</f>
        <v>0</v>
      </c>
      <c r="X267" s="46">
        <f>'Inputs (2)'!S44</f>
        <v>0</v>
      </c>
      <c r="Y267" s="46">
        <f>'Inputs (2)'!T44</f>
        <v>0</v>
      </c>
      <c r="Z267" s="46">
        <f>'Inputs (2)'!U44</f>
        <v>0</v>
      </c>
      <c r="AA267" s="46">
        <f>'Inputs (2)'!V44</f>
        <v>0</v>
      </c>
      <c r="AB267" s="12">
        <f>'Inputs (2)'!W44</f>
        <v>0</v>
      </c>
      <c r="AC267" s="46">
        <f>'Inputs (2)'!X44</f>
        <v>0</v>
      </c>
      <c r="AD267" s="46">
        <f>'Inputs (2)'!Y44</f>
        <v>0</v>
      </c>
      <c r="AE267" s="46">
        <f>'Inputs (2)'!Z44</f>
        <v>0</v>
      </c>
      <c r="AF267" s="46">
        <f>'Inputs (2)'!AA44</f>
        <v>0</v>
      </c>
      <c r="AG267" s="12">
        <f>'Inputs (2)'!AB44</f>
        <v>0</v>
      </c>
      <c r="AH267" s="12">
        <f>'Inputs (2)'!AC44</f>
        <v>0</v>
      </c>
      <c r="AI267" s="12">
        <f>'Inputs (2)'!AD44</f>
        <v>0</v>
      </c>
      <c r="AJ267" s="12">
        <f>AI267</f>
        <v>0</v>
      </c>
      <c r="AK267" s="12">
        <f>AJ267</f>
        <v>0</v>
      </c>
      <c r="AL267" s="12">
        <f>AK267</f>
        <v>0</v>
      </c>
      <c r="AM267" s="12">
        <f>AL267</f>
        <v>0</v>
      </c>
      <c r="AN267" s="12">
        <f>AM267</f>
        <v>0</v>
      </c>
      <c r="AO267" s="12">
        <f>AN267</f>
        <v>0</v>
      </c>
      <c r="AP267" s="12">
        <f>AO267</f>
        <v>0</v>
      </c>
      <c r="AQ267" s="12">
        <f>AP267</f>
        <v>0</v>
      </c>
      <c r="AR267" s="12">
        <f>AQ267</f>
        <v>0</v>
      </c>
      <c r="AS267" s="12">
        <f>AR267</f>
        <v>0</v>
      </c>
      <c r="AT267" s="12">
        <f>AS267</f>
        <v>0</v>
      </c>
      <c r="AU267" s="12">
        <f>AT267</f>
        <v>0</v>
      </c>
      <c r="AV267" s="12">
        <f>AU267</f>
        <v>0</v>
      </c>
      <c r="AW267" s="12">
        <f>AV267</f>
        <v>0</v>
      </c>
      <c r="AX267" s="12">
        <f>AW267</f>
        <v>0</v>
      </c>
      <c r="AY267" s="12">
        <f>AX267</f>
        <v>0</v>
      </c>
      <c r="AZ267" s="12">
        <f>AY267</f>
        <v>0</v>
      </c>
      <c r="BA267" s="12">
        <f>AZ267</f>
        <v>0</v>
      </c>
      <c r="BB267" s="12">
        <f>BA267</f>
        <v>0</v>
      </c>
      <c r="BC267" s="12">
        <f>BB267</f>
        <v>0</v>
      </c>
      <c r="BD267" s="12">
        <f>BC267</f>
        <v>0</v>
      </c>
      <c r="BE267" s="12">
        <f>BD267</f>
        <v>0</v>
      </c>
      <c r="BF267" s="12">
        <f>BE267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-222.458</v>
      </c>
      <c r="J268" s="46">
        <f>'Inputs (2)'!E45</f>
        <v>-215.343</v>
      </c>
      <c r="K268" s="46">
        <f>'Inputs (2)'!F45</f>
        <v>-216.391</v>
      </c>
      <c r="L268" s="46">
        <f>'Inputs (2)'!G45</f>
        <v>-231.809</v>
      </c>
      <c r="M268" s="12">
        <f>'Inputs (2)'!H45</f>
        <v>-231.809</v>
      </c>
      <c r="N268" s="46">
        <f>'Inputs (2)'!I45</f>
        <v>-221.855</v>
      </c>
      <c r="O268" s="46">
        <f>'Inputs (2)'!J45</f>
        <v>-240.076</v>
      </c>
      <c r="P268" s="46">
        <f>'Inputs (2)'!K45</f>
        <v>-255.335</v>
      </c>
      <c r="Q268" s="46">
        <f>'Inputs (2)'!L45</f>
        <v>-268.953</v>
      </c>
      <c r="R268" s="12">
        <f>'Inputs (2)'!M45</f>
        <v>-268.953</v>
      </c>
      <c r="S268" s="46">
        <f>'Inputs (2)'!N45</f>
        <v>-257.163</v>
      </c>
      <c r="T268" s="46">
        <f>'Inputs (2)'!O45</f>
        <v>-260.271</v>
      </c>
      <c r="U268" s="46">
        <f>'Inputs (2)'!P45</f>
        <v>-265.395</v>
      </c>
      <c r="V268" s="46">
        <f>'Inputs (2)'!Q45</f>
        <v>-272.697</v>
      </c>
      <c r="W268" s="12">
        <f>'Inputs (2)'!R45</f>
        <v>-272.697</v>
      </c>
      <c r="X268" s="46">
        <f>'Inputs (2)'!S45</f>
        <v>-267.269</v>
      </c>
      <c r="Y268" s="46">
        <f>'Inputs (2)'!T45</f>
        <v>-270.861</v>
      </c>
      <c r="Z268" s="46">
        <f>'Inputs (2)'!U45</f>
        <v>-296.542</v>
      </c>
      <c r="AA268" s="46">
        <f>'Inputs (2)'!V45</f>
        <v>-304.802</v>
      </c>
      <c r="AB268" s="12">
        <f>'Inputs (2)'!W45</f>
        <v>-304.802</v>
      </c>
      <c r="AC268" s="46">
        <f>'Inputs (2)'!X45</f>
        <v>-302.352</v>
      </c>
      <c r="AD268" s="46">
        <f>'Inputs (2)'!Y45</f>
        <v>-303.363</v>
      </c>
      <c r="AE268" s="46">
        <f>'Inputs (2)'!Z45</f>
        <v>-306.372</v>
      </c>
      <c r="AF268" s="46">
        <f>'Inputs (2)'!AA45</f>
        <v>-290.357</v>
      </c>
      <c r="AG268" s="12">
        <f>'Inputs (2)'!AB45</f>
        <v>-290.357</v>
      </c>
      <c r="AH268" s="12">
        <f>'Inputs (2)'!AC45</f>
        <v>-274.638</v>
      </c>
      <c r="AI268" s="12">
        <f>'Inputs (2)'!AD45</f>
        <v>-272.639</v>
      </c>
      <c r="AJ268" s="12">
        <f>AI268</f>
        <v>-272.639</v>
      </c>
      <c r="AK268" s="12">
        <f>AJ268</f>
        <v>-272.639</v>
      </c>
      <c r="AL268" s="12">
        <f>AK268</f>
        <v>-272.639</v>
      </c>
      <c r="AM268" s="12">
        <f>AL268</f>
        <v>-272.639</v>
      </c>
      <c r="AN268" s="12">
        <f>AM268</f>
        <v>-272.639</v>
      </c>
      <c r="AO268" s="12">
        <f>AN268</f>
        <v>-272.639</v>
      </c>
      <c r="AP268" s="12">
        <f>AO268</f>
        <v>-272.639</v>
      </c>
      <c r="AQ268" s="12">
        <f>AP268</f>
        <v>-272.639</v>
      </c>
      <c r="AR268" s="12">
        <f>AQ268</f>
        <v>-272.639</v>
      </c>
      <c r="AS268" s="12">
        <f>AR268</f>
        <v>-272.639</v>
      </c>
      <c r="AT268" s="12">
        <f>AS268</f>
        <v>-272.639</v>
      </c>
      <c r="AU268" s="12">
        <f>AT268</f>
        <v>-272.639</v>
      </c>
      <c r="AV268" s="12">
        <f>AU268</f>
        <v>-272.639</v>
      </c>
      <c r="AW268" s="12">
        <f>AV268</f>
        <v>-272.639</v>
      </c>
      <c r="AX268" s="12">
        <f>AW268</f>
        <v>-272.639</v>
      </c>
      <c r="AY268" s="12">
        <f>AX268</f>
        <v>-272.639</v>
      </c>
      <c r="AZ268" s="12">
        <f>AY268</f>
        <v>-272.639</v>
      </c>
      <c r="BA268" s="12">
        <f>AZ268</f>
        <v>-272.639</v>
      </c>
      <c r="BB268" s="12">
        <f>BA268</f>
        <v>-272.639</v>
      </c>
      <c r="BC268" s="12">
        <f>BB268</f>
        <v>-272.639</v>
      </c>
      <c r="BD268" s="12">
        <f>BC268</f>
        <v>-272.639</v>
      </c>
      <c r="BE268" s="12">
        <f>BD268</f>
        <v>-272.639</v>
      </c>
      <c r="BF268" s="12">
        <f>BE268</f>
        <v>-272.639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2264.038</v>
      </c>
      <c r="J269" s="46">
        <f>'Inputs (2)'!E46</f>
        <v>2264.038</v>
      </c>
      <c r="K269" s="46">
        <f>'Inputs (2)'!F46</f>
        <v>2264.038</v>
      </c>
      <c r="L269" s="46">
        <f>'Inputs (2)'!G46</f>
        <v>2264.038</v>
      </c>
      <c r="M269" s="12">
        <f>'Inputs (2)'!H46</f>
        <v>2264.038</v>
      </c>
      <c r="N269" s="46">
        <f>'Inputs (2)'!I46</f>
        <v>2264.038</v>
      </c>
      <c r="O269" s="46">
        <f>'Inputs (2)'!J46</f>
        <v>2264.038</v>
      </c>
      <c r="P269" s="46">
        <f>'Inputs (2)'!K46</f>
        <v>2264.038</v>
      </c>
      <c r="Q269" s="46">
        <f>'Inputs (2)'!L46</f>
        <v>2264.038</v>
      </c>
      <c r="R269" s="12">
        <f>'Inputs (2)'!M46</f>
        <v>2264.038</v>
      </c>
      <c r="S269" s="46">
        <f>'Inputs (2)'!N46</f>
        <v>2264.038</v>
      </c>
      <c r="T269" s="46">
        <f>'Inputs (2)'!O46</f>
        <v>2264.038</v>
      </c>
      <c r="U269" s="46">
        <f>'Inputs (2)'!P46</f>
        <v>2264.038</v>
      </c>
      <c r="V269" s="46">
        <f>'Inputs (2)'!Q46</f>
        <v>2264.038</v>
      </c>
      <c r="W269" s="12">
        <f>'Inputs (2)'!R46</f>
        <v>2264.038</v>
      </c>
      <c r="X269" s="46">
        <f>'Inputs (2)'!S46</f>
        <v>2264.038</v>
      </c>
      <c r="Y269" s="46">
        <f>'Inputs (2)'!T46</f>
        <v>2264.038</v>
      </c>
      <c r="Z269" s="46">
        <f>'Inputs (2)'!U46</f>
        <v>2264.038</v>
      </c>
      <c r="AA269" s="46">
        <f>'Inputs (2)'!V46</f>
        <v>2264.038</v>
      </c>
      <c r="AB269" s="12">
        <f>'Inputs (2)'!W46</f>
        <v>2264.038</v>
      </c>
      <c r="AC269" s="46">
        <f>'Inputs (2)'!X46</f>
        <v>2264.038</v>
      </c>
      <c r="AD269" s="46">
        <f>'Inputs (2)'!Y46</f>
        <v>2264.038</v>
      </c>
      <c r="AE269" s="46">
        <f>'Inputs (2)'!Z46</f>
        <v>2264.038</v>
      </c>
      <c r="AF269" s="46">
        <f>'Inputs (2)'!AA46</f>
        <v>2264.038</v>
      </c>
      <c r="AG269" s="12">
        <f>'Inputs (2)'!AB46</f>
        <v>2264.038</v>
      </c>
      <c r="AH269" s="12">
        <f>'Inputs (2)'!AC46</f>
        <v>2264.038</v>
      </c>
      <c r="AI269" s="12">
        <f>'Inputs (2)'!AD46</f>
        <v>2264.038</v>
      </c>
      <c r="AJ269" s="12">
        <f>AI269</f>
        <v>2264.038</v>
      </c>
      <c r="AK269" s="12">
        <f>AJ269</f>
        <v>2264.038</v>
      </c>
      <c r="AL269" s="12">
        <f>AK269</f>
        <v>2264.038</v>
      </c>
      <c r="AM269" s="12">
        <f>AL269</f>
        <v>2264.038</v>
      </c>
      <c r="AN269" s="12">
        <f>AM269</f>
        <v>2264.038</v>
      </c>
      <c r="AO269" s="12">
        <f>AN269</f>
        <v>2264.038</v>
      </c>
      <c r="AP269" s="12">
        <f>AO269</f>
        <v>2264.038</v>
      </c>
      <c r="AQ269" s="12">
        <f>AP269</f>
        <v>2264.038</v>
      </c>
      <c r="AR269" s="12">
        <f>AQ269</f>
        <v>2264.038</v>
      </c>
      <c r="AS269" s="12">
        <f>AR269</f>
        <v>2264.038</v>
      </c>
      <c r="AT269" s="12">
        <f>AS269</f>
        <v>2264.038</v>
      </c>
      <c r="AU269" s="12">
        <f>AT269</f>
        <v>2264.038</v>
      </c>
      <c r="AV269" s="12">
        <f>AU269</f>
        <v>2264.038</v>
      </c>
      <c r="AW269" s="12">
        <f>AV269</f>
        <v>2264.038</v>
      </c>
      <c r="AX269" s="12">
        <f>AW269</f>
        <v>2264.038</v>
      </c>
      <c r="AY269" s="12">
        <f>AX269</f>
        <v>2264.038</v>
      </c>
      <c r="AZ269" s="12">
        <f>AY269</f>
        <v>2264.038</v>
      </c>
      <c r="BA269" s="12">
        <f>AZ269</f>
        <v>2264.038</v>
      </c>
      <c r="BB269" s="12">
        <f>BA269</f>
        <v>2264.038</v>
      </c>
      <c r="BC269" s="12">
        <f>BB269</f>
        <v>2264.038</v>
      </c>
      <c r="BD269" s="12">
        <f>BC269</f>
        <v>2264.038</v>
      </c>
      <c r="BE269" s="12">
        <f>BD269</f>
        <v>2264.038</v>
      </c>
      <c r="BF269" s="12">
        <f>BE269</f>
        <v>2264.038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1509.902</v>
      </c>
      <c r="J270" s="46">
        <f>'Inputs (2)'!E47</f>
        <v>1760.468</v>
      </c>
      <c r="K270" s="46">
        <f>'Inputs (2)'!F47</f>
        <v>1713.976</v>
      </c>
      <c r="L270" s="46">
        <f>'Inputs (2)'!G47</f>
        <v>2043.305</v>
      </c>
      <c r="M270" s="12">
        <f>'Inputs (2)'!H47</f>
        <v>2043.305</v>
      </c>
      <c r="N270" s="46">
        <f>'Inputs (2)'!I47</f>
        <v>2196.428</v>
      </c>
      <c r="O270" s="46">
        <f>'Inputs (2)'!J47</f>
        <v>2710.344</v>
      </c>
      <c r="P270" s="46">
        <f>'Inputs (2)'!K47</f>
        <v>2055.682</v>
      </c>
      <c r="Q270" s="46">
        <f>'Inputs (2)'!L47</f>
        <v>2545.102</v>
      </c>
      <c r="R270" s="12">
        <f>'Inputs (2)'!M47</f>
        <v>2545.102</v>
      </c>
      <c r="S270" s="46">
        <f>'Inputs (2)'!N47</f>
        <v>2710.507</v>
      </c>
      <c r="T270" s="46">
        <f>'Inputs (2)'!O47</f>
        <v>3108.946</v>
      </c>
      <c r="U270" s="46">
        <f>'Inputs (2)'!P47</f>
        <v>2537.486</v>
      </c>
      <c r="V270" s="46">
        <f>'Inputs (2)'!Q47</f>
        <v>2881.596</v>
      </c>
      <c r="W270" s="12">
        <f>'Inputs (2)'!R47</f>
        <v>2881.596</v>
      </c>
      <c r="X270" s="46">
        <f>'Inputs (2)'!S47</f>
        <v>2976.811</v>
      </c>
      <c r="Y270" s="46">
        <f>'Inputs (2)'!T47</f>
        <v>3178.615</v>
      </c>
      <c r="Z270" s="46">
        <f>'Inputs (2)'!U47</f>
        <v>2805.526</v>
      </c>
      <c r="AA270" s="46">
        <f>'Inputs (2)'!V47</f>
        <v>2919.83</v>
      </c>
      <c r="AB270" s="12">
        <f>'Inputs (2)'!W47</f>
        <v>2919.83</v>
      </c>
      <c r="AC270" s="46">
        <f>'Inputs (2)'!X47</f>
        <v>2832.758</v>
      </c>
      <c r="AD270" s="46">
        <f>'Inputs (2)'!Y47</f>
        <v>3017.699</v>
      </c>
      <c r="AE270" s="46">
        <f>'Inputs (2)'!Z47</f>
        <v>3015.424</v>
      </c>
      <c r="AF270" s="46">
        <f>'Inputs (2)'!AA47</f>
        <v>3162.987</v>
      </c>
      <c r="AG270" s="12">
        <f>'Inputs (2)'!AB47</f>
        <v>3162.987</v>
      </c>
      <c r="AH270" s="12">
        <f>'Inputs (2)'!AC47</f>
        <v>2982.635</v>
      </c>
      <c r="AI270" s="12">
        <f>'Inputs (2)'!AD47</f>
        <v>3171.783</v>
      </c>
      <c r="AJ270" s="12">
        <f>AI270+AJ137+AJ138</f>
        <v>3308.70546669854</v>
      </c>
      <c r="AK270" s="12">
        <f>AJ270+AK137+AK138</f>
        <v>3449.73629917924</v>
      </c>
      <c r="AL270" s="12">
        <f>AK270</f>
        <v>3449.73629917924</v>
      </c>
      <c r="AM270" s="12">
        <f>AL270+AM137+AM138</f>
        <v>3582.6478826963</v>
      </c>
      <c r="AN270" s="12">
        <f>AM270+AN137+AN138</f>
        <v>3766.92275735206</v>
      </c>
      <c r="AO270" s="12">
        <f>AN270+AO137+AO138</f>
        <v>3904.38186708667</v>
      </c>
      <c r="AP270" s="12">
        <f>AO270+AP137+AP138</f>
        <v>4045.96544460585</v>
      </c>
      <c r="AQ270" s="12">
        <f>AP270</f>
        <v>4045.96544460585</v>
      </c>
      <c r="AR270" s="12">
        <f>AQ270+AR137+AR138</f>
        <v>4178.8770281229</v>
      </c>
      <c r="AS270" s="12">
        <f>AR270+AS137+AS138</f>
        <v>4363.15190277866</v>
      </c>
      <c r="AT270" s="12">
        <f>AS270+AT137+AT138</f>
        <v>4500.61101251328</v>
      </c>
      <c r="AU270" s="12">
        <f>AT270+AU137+AU138</f>
        <v>4642.19459003246</v>
      </c>
      <c r="AV270" s="12">
        <f>AU270</f>
        <v>4642.19459003246</v>
      </c>
      <c r="AW270" s="12">
        <f>AV270+AW137+AW138</f>
        <v>4775.10617354951</v>
      </c>
      <c r="AX270" s="12">
        <f>AW270+AX137+AX138</f>
        <v>4959.38104820527</v>
      </c>
      <c r="AY270" s="12">
        <f>AX270+AY137+AY138</f>
        <v>5096.84015793989</v>
      </c>
      <c r="AZ270" s="12">
        <f>AY270+AZ137+AZ138</f>
        <v>5238.42373545907</v>
      </c>
      <c r="BA270" s="12">
        <f>AZ270</f>
        <v>5238.42373545907</v>
      </c>
      <c r="BB270" s="12">
        <f>BA270+BB137+BB138</f>
        <v>5371.33531897612</v>
      </c>
      <c r="BC270" s="12">
        <f>BB270+BC137+BC138</f>
        <v>5555.61019363188</v>
      </c>
      <c r="BD270" s="12">
        <f>BC270+BD137+BD138</f>
        <v>5693.06930336649</v>
      </c>
      <c r="BE270" s="12">
        <f>BD270+BE137+BE138</f>
        <v>5834.65288088567</v>
      </c>
      <c r="BF270" s="12">
        <f>BE270</f>
        <v>5834.65288088567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3560.027</v>
      </c>
      <c r="J271" s="35">
        <f>SUM(J248+J253+J254+J267+J268+J269+J270)</f>
        <v>3817.728</v>
      </c>
      <c r="K271" s="35">
        <f>SUM(K248+K253+K254+K267+K268+K269+K270)</f>
        <v>3770.088</v>
      </c>
      <c r="L271" s="35">
        <f>SUM(L248+L253+L254+L267+L268+L269+L270)</f>
        <v>4083.14</v>
      </c>
      <c r="M271" s="35">
        <f>SUM(M248,M253,M254,M267,M268,M269,M270)</f>
        <v>4083.14</v>
      </c>
      <c r="N271" s="35">
        <f>SUM(N248+N253+N254+N267+N268+N269+N270)</f>
        <v>4245.514</v>
      </c>
      <c r="O271" s="35">
        <f>SUM(O248+O253+O254+O267+O268+O269+O270)</f>
        <v>4740.585</v>
      </c>
      <c r="P271" s="35">
        <f>SUM(P248+P253+P254+P267+P268+P269+P270)</f>
        <v>4070.03</v>
      </c>
      <c r="Q271" s="35">
        <f>SUM(Q248+Q253+Q254+Q267+Q268+Q269+Q270)</f>
        <v>4546.125</v>
      </c>
      <c r="R271" s="35">
        <f>SUM(R248,R253,R254,R267,R268,R269,R270)</f>
        <v>4546.125</v>
      </c>
      <c r="S271" s="35">
        <f>SUM(S248+S253+S254+S267+S268+S269+S270)</f>
        <v>4722.474</v>
      </c>
      <c r="T271" s="35">
        <f>SUM(T248+T253+T254+T267+T268+T269+T270)</f>
        <v>5117.633</v>
      </c>
      <c r="U271" s="35">
        <f>SUM(U248+U253+U254+U267+U268+U269+U270)</f>
        <v>4540.74</v>
      </c>
      <c r="V271" s="35">
        <f>SUM(V248+V253+V254+V267+V268+V269+V270)</f>
        <v>4878.863</v>
      </c>
      <c r="W271" s="35">
        <f>SUM(W248,W253,W254,W267,W268,W269,W270)</f>
        <v>4878.863</v>
      </c>
      <c r="X271" s="35">
        <f>SUM(X248+X253+X254+X267+X268+X269+X270)</f>
        <v>4979.36</v>
      </c>
      <c r="Y271" s="35">
        <f>SUM(Y248+Y253+Y254+Y267+Y268+Y269+Y270)</f>
        <v>5177.484</v>
      </c>
      <c r="Z271" s="35">
        <f>SUM(Z248+Z253+Z254+Z267+Z268+Z269+Z270)</f>
        <v>4779.555</v>
      </c>
      <c r="AA271" s="35">
        <f>SUM(AA248+AA253+AA254+AA267+AA268+AA269+AA270)</f>
        <v>4885.035</v>
      </c>
      <c r="AB271" s="35">
        <f>SUM(AB248,AB253,AB254,AB267,AB268,AB269,AB270)</f>
        <v>4885.035</v>
      </c>
      <c r="AC271" s="35">
        <f>SUM(AC248+AC253+AC254+AC267+AC268+AC269+AC270)</f>
        <v>4799.649</v>
      </c>
      <c r="AD271" s="35">
        <f>SUM(AD248+AD253+AD254+AD267+AD268+AD269+AD270)</f>
        <v>4981.81</v>
      </c>
      <c r="AE271" s="35">
        <f>SUM(AE248+AE253+AE254+AE267+AE268+AE269+AE270)</f>
        <v>4976.569</v>
      </c>
      <c r="AF271" s="35">
        <f>SUM(AF248+AF253+AF254+AF267+AF268+AF269+AF270)</f>
        <v>5140.145</v>
      </c>
      <c r="AG271" s="35">
        <f>SUM(AG248,AG253,AG254,AG267,AG268,AG269,AG270)</f>
        <v>5140.145</v>
      </c>
      <c r="AH271" s="35">
        <f>SUM(AH248+AH253+AH254+AH267+AH268+AH269+AH270)</f>
        <v>4975.384</v>
      </c>
      <c r="AI271" s="35">
        <f>SUM(AI248+AI253+AI254+AI267+AI268+AI269+AI270)</f>
        <v>5166.644</v>
      </c>
      <c r="AJ271" s="35">
        <f>SUM(AJ248+AJ253+AJ254+AJ267+AJ268+AJ269+AJ270)</f>
        <v>5303.56646669854</v>
      </c>
      <c r="AK271" s="35">
        <f>SUM(AK248+AK253+AK254+AK267+AK268+AK269+AK270)</f>
        <v>5444.59729917924</v>
      </c>
      <c r="AL271" s="35">
        <f>SUM(AL248,AL253,AL254,AL267,AL268,AL269,AL270)</f>
        <v>5444.59729917924</v>
      </c>
      <c r="AM271" s="35">
        <f>SUM(AM248+AM253+AM254+AM267+AM268+AM269+AM270)</f>
        <v>5577.5088826963</v>
      </c>
      <c r="AN271" s="35">
        <f>SUM(AN248+AN253+AN254+AN267+AN268+AN269+AN270)</f>
        <v>5761.78375735206</v>
      </c>
      <c r="AO271" s="35">
        <f>SUM(AO248+AO253+AO254+AO267+AO268+AO269+AO270)</f>
        <v>5899.24286708667</v>
      </c>
      <c r="AP271" s="35">
        <f>SUM(AP248+AP253+AP254+AP267+AP268+AP269+AP270)</f>
        <v>6040.82644460585</v>
      </c>
      <c r="AQ271" s="35">
        <f>SUM(AQ248,AQ253,AQ254,AQ267,AQ268,AQ269,AQ270)</f>
        <v>6040.82644460585</v>
      </c>
      <c r="AR271" s="35">
        <f>SUM(AR248+AR253+AR254+AR267+AR268+AR269+AR270)</f>
        <v>6173.7380281229</v>
      </c>
      <c r="AS271" s="35">
        <f>SUM(AS248+AS253+AS254+AS267+AS268+AS269+AS270)</f>
        <v>6358.01290277866</v>
      </c>
      <c r="AT271" s="35">
        <f>SUM(AT248+AT253+AT254+AT267+AT268+AT269+AT270)</f>
        <v>6495.47201251328</v>
      </c>
      <c r="AU271" s="35">
        <f>SUM(AU248+AU253+AU254+AU267+AU268+AU269+AU270)</f>
        <v>6637.05559003246</v>
      </c>
      <c r="AV271" s="35">
        <f>SUM(AV248,AV253,AV254,AV267,AV268,AV269,AV270)</f>
        <v>6637.05559003246</v>
      </c>
      <c r="AW271" s="35">
        <f>SUM(AW248+AW253+AW254+AW267+AW268+AW269+AW270)</f>
        <v>6769.96717354951</v>
      </c>
      <c r="AX271" s="35">
        <f>SUM(AX248+AX253+AX254+AX267+AX268+AX269+AX270)</f>
        <v>6954.24204820527</v>
      </c>
      <c r="AY271" s="35">
        <f>SUM(AY248+AY253+AY254+AY267+AY268+AY269+AY270)</f>
        <v>7091.70115793989</v>
      </c>
      <c r="AZ271" s="35">
        <f>SUM(AZ248+AZ253+AZ254+AZ267+AZ268+AZ269+AZ270)</f>
        <v>7233.28473545907</v>
      </c>
      <c r="BA271" s="35">
        <f>SUM(BA248,BA253,BA254,BA267,BA268,BA269,BA270)</f>
        <v>7233.28473545907</v>
      </c>
      <c r="BB271" s="35">
        <f>SUM(BB248+BB253+BB254+BB267+BB268+BB269+BB270)</f>
        <v>7366.19631897612</v>
      </c>
      <c r="BC271" s="35">
        <f>SUM(BC248+BC253+BC254+BC267+BC268+BC269+BC270)</f>
        <v>7550.47119363188</v>
      </c>
      <c r="BD271" s="35">
        <f>SUM(BD248+BD253+BD254+BD267+BD268+BD269+BD270)</f>
        <v>7687.93030336649</v>
      </c>
      <c r="BE271" s="35">
        <f>SUM(BE248+BE253+BE254+BE267+BE268+BE269+BE270)</f>
        <v>7829.51388088567</v>
      </c>
      <c r="BF271" s="35">
        <f>SUM(BF248,BF253,BF254,BF267,BF268,BF269,BF270)</f>
        <v>7829.51388088567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18566.143</v>
      </c>
      <c r="J273" s="35">
        <f>J271+J247</f>
        <v>18600.626</v>
      </c>
      <c r="K273" s="35">
        <f>K271+K247</f>
        <v>17576.275</v>
      </c>
      <c r="L273" s="35">
        <f>L271+L247</f>
        <v>19614.978</v>
      </c>
      <c r="M273" s="35">
        <f>M271+M247</f>
        <v>19614.978</v>
      </c>
      <c r="N273" s="35">
        <f>N271+N247</f>
        <v>20747.301</v>
      </c>
      <c r="O273" s="35">
        <f>O271+O247</f>
        <v>20709.043</v>
      </c>
      <c r="P273" s="35">
        <f>P271+P247</f>
        <v>18824.807</v>
      </c>
      <c r="Q273" s="35">
        <f>Q271+Q247</f>
        <v>21073.264</v>
      </c>
      <c r="R273" s="35">
        <f>R271+R247</f>
        <v>21073.264</v>
      </c>
      <c r="S273" s="35">
        <f>S271+S247</f>
        <v>20171.014</v>
      </c>
      <c r="T273" s="35">
        <f>T271+T247</f>
        <v>19194.451</v>
      </c>
      <c r="U273" s="35">
        <f>U271+U247</f>
        <v>18957.418</v>
      </c>
      <c r="V273" s="35">
        <f>V271+V247</f>
        <v>20432.885</v>
      </c>
      <c r="W273" s="35">
        <f>W271+W247</f>
        <v>20432.885</v>
      </c>
      <c r="X273" s="35">
        <f>X271+X247</f>
        <v>19164.302</v>
      </c>
      <c r="Y273" s="35">
        <f>Y271+Y247</f>
        <v>18457.915</v>
      </c>
      <c r="Z273" s="35">
        <f>Z271+Z247</f>
        <v>18715.075</v>
      </c>
      <c r="AA273" s="35">
        <f>AA271+AA247</f>
        <v>19576.088</v>
      </c>
      <c r="AB273" s="35">
        <f>AB271+AB247</f>
        <v>19576.088</v>
      </c>
      <c r="AC273" s="35">
        <f>AC271+AC247</f>
        <v>20099.361</v>
      </c>
      <c r="AD273" s="35">
        <f>AD271+AD247</f>
        <v>19686.682</v>
      </c>
      <c r="AE273" s="35">
        <f>AE271+AE247</f>
        <v>18863.849</v>
      </c>
      <c r="AF273" s="35">
        <f>AF271+AF247</f>
        <v>20743.613</v>
      </c>
      <c r="AG273" s="35">
        <f>AG271+AG247</f>
        <v>20743.613</v>
      </c>
      <c r="AH273" s="35">
        <f>AH271+AH247</f>
        <v>20908.534</v>
      </c>
      <c r="AI273" s="35">
        <f>AI271+AI247</f>
        <v>20777.861</v>
      </c>
      <c r="AJ273" s="35">
        <f>AJ271+AJ247</f>
        <v>20620.6865346487</v>
      </c>
      <c r="AK273" s="35">
        <f>AK271+AK247</f>
        <v>20847.7356996967</v>
      </c>
      <c r="AL273" s="35">
        <f>AL271+AL247</f>
        <v>20847.7356996967</v>
      </c>
      <c r="AM273" s="35">
        <f>AM271+AM247</f>
        <v>20879.3454405046</v>
      </c>
      <c r="AN273" s="35">
        <f>AN271+AN247</f>
        <v>22085.4382432068</v>
      </c>
      <c r="AO273" s="35">
        <f>AO271+AO247</f>
        <v>21239.3974955878</v>
      </c>
      <c r="AP273" s="35">
        <f>AP271+AP247</f>
        <v>21467.3724548953</v>
      </c>
      <c r="AQ273" s="35">
        <f>AQ271+AQ247</f>
        <v>21467.3724548953</v>
      </c>
      <c r="AR273" s="35">
        <f>AR271+AR247</f>
        <v>21454.6157223558</v>
      </c>
      <c r="AS273" s="35">
        <f>AS271+AS247</f>
        <v>22687.8125087542</v>
      </c>
      <c r="AT273" s="35">
        <f>AT271+AT247</f>
        <v>21838.7052104723</v>
      </c>
      <c r="AU273" s="35">
        <f>AU271+AU247</f>
        <v>22063.6016003219</v>
      </c>
      <c r="AV273" s="35">
        <f>AV271+AV247</f>
        <v>22063.6016003219</v>
      </c>
      <c r="AW273" s="35">
        <f>AW271+AW247</f>
        <v>22081.0034302682</v>
      </c>
      <c r="AX273" s="35">
        <f>AX271+AX247</f>
        <v>23284.0416541808</v>
      </c>
      <c r="AY273" s="35">
        <f>AY271+AY247</f>
        <v>22434.9343558989</v>
      </c>
      <c r="AZ273" s="35">
        <f>AZ271+AZ247</f>
        <v>22659.8307457486</v>
      </c>
      <c r="BA273" s="35">
        <f>BA271+BA247</f>
        <v>22659.8307457486</v>
      </c>
      <c r="BB273" s="35">
        <f>BB271+BB247</f>
        <v>22677.2325756948</v>
      </c>
      <c r="BC273" s="35">
        <f>BC271+BC247</f>
        <v>23880.2707996075</v>
      </c>
      <c r="BD273" s="35">
        <f>BD271+BD247</f>
        <v>23031.1635013255</v>
      </c>
      <c r="BE273" s="35">
        <f>BE271+BE247</f>
        <v>23256.0598911752</v>
      </c>
      <c r="BF273" s="35">
        <f>BF271+BF247</f>
        <v>23256.0598911752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273.591000000001</v>
      </c>
      <c r="K277" s="12">
        <f>K137</f>
        <v>248.918999999998</v>
      </c>
      <c r="L277" s="12">
        <f>L137</f>
        <v>451.960999999999</v>
      </c>
      <c r="M277" s="12" t="n"/>
      <c r="N277" s="12">
        <f>N137</f>
        <v>219</v>
      </c>
      <c r="O277" s="12">
        <f>O137</f>
        <v>576.574</v>
      </c>
      <c r="P277" s="12">
        <f>P137</f>
        <v>431.227</v>
      </c>
      <c r="Q277" s="12">
        <f>Q137</f>
        <v>782.598</v>
      </c>
      <c r="R277" s="12">
        <f>SUM(N277:Q277)</f>
        <v>2009.399</v>
      </c>
      <c r="S277" s="12">
        <f>S137</f>
        <v>292.321</v>
      </c>
      <c r="T277" s="12">
        <f>T137</f>
        <v>547.499</v>
      </c>
      <c r="U277" s="12">
        <f>U137</f>
        <v>278.019999999999</v>
      </c>
      <c r="V277" s="12">
        <f>V137</f>
        <v>522.922999999999</v>
      </c>
      <c r="W277" s="12">
        <f>SUM(S277:V277)</f>
        <v>1640.763</v>
      </c>
      <c r="X277" s="12">
        <f>X137</f>
        <v>170.307</v>
      </c>
      <c r="Y277" s="12">
        <f>Y137</f>
        <v>297.274</v>
      </c>
      <c r="Z277" s="12">
        <f>Z137</f>
        <v>111.815000000001</v>
      </c>
      <c r="AA277" s="12">
        <f>AA137</f>
        <v>244.789999999999</v>
      </c>
      <c r="AB277" s="12">
        <f>SUM(X277:AA277)</f>
        <v>824.186</v>
      </c>
      <c r="AC277" s="12">
        <f>AC137</f>
        <v>-75.7540000000004</v>
      </c>
      <c r="AD277" s="12">
        <f>AD137</f>
        <v>232.184</v>
      </c>
      <c r="AE277" s="12">
        <f>AE137</f>
        <v>196.697000000001</v>
      </c>
      <c r="AF277" s="12">
        <f>AF137</f>
        <v>260.482999999999</v>
      </c>
      <c r="AG277" s="12">
        <f>SUM(AC277:AF277)</f>
        <v>613.609999999999</v>
      </c>
      <c r="AH277" s="12">
        <f>AH137</f>
        <v>-147.052000000001</v>
      </c>
      <c r="AI277" s="12">
        <f>AI137</f>
        <v>267.366000000001</v>
      </c>
      <c r="AJ277" s="12">
        <f>AJ137</f>
        <v>136.922466698539</v>
      </c>
      <c r="AK277" s="12">
        <f>AK137</f>
        <v>141.030832480705</v>
      </c>
      <c r="AL277" s="12">
        <f>SUM(AH277:AK277)</f>
        <v>398.267299179244</v>
      </c>
      <c r="AM277" s="12">
        <f>AM137</f>
        <v>132.911583517051</v>
      </c>
      <c r="AN277" s="12">
        <f>AN137</f>
        <v>184.274874655761</v>
      </c>
      <c r="AO277" s="12">
        <f>AO137</f>
        <v>137.459109734617</v>
      </c>
      <c r="AP277" s="12">
        <f>AP137</f>
        <v>141.583577519179</v>
      </c>
      <c r="AQ277" s="12">
        <f>SUM(AM277:AP277)</f>
        <v>596.229145426607</v>
      </c>
      <c r="AR277" s="12">
        <f>AR137</f>
        <v>132.911583517051</v>
      </c>
      <c r="AS277" s="12">
        <f>AS137</f>
        <v>184.274874655761</v>
      </c>
      <c r="AT277" s="12">
        <f>AT137</f>
        <v>137.459109734617</v>
      </c>
      <c r="AU277" s="12">
        <f>AU137</f>
        <v>141.583577519179</v>
      </c>
      <c r="AV277" s="12">
        <f>SUM(AR277:AU277)</f>
        <v>596.229145426607</v>
      </c>
      <c r="AW277" s="12">
        <f>AW137</f>
        <v>132.911583517051</v>
      </c>
      <c r="AX277" s="12">
        <f>AX137</f>
        <v>184.274874655761</v>
      </c>
      <c r="AY277" s="12">
        <f>AY137</f>
        <v>137.459109734617</v>
      </c>
      <c r="AZ277" s="12">
        <f>AZ137</f>
        <v>141.583577519179</v>
      </c>
      <c r="BA277" s="12">
        <f>SUM(AW277:AZ277)</f>
        <v>596.229145426607</v>
      </c>
      <c r="BB277" s="12">
        <f>BB137</f>
        <v>132.911583517051</v>
      </c>
      <c r="BC277" s="12">
        <f>BC137</f>
        <v>184.274874655761</v>
      </c>
      <c r="BD277" s="12">
        <f>BD137</f>
        <v>137.459109734617</v>
      </c>
      <c r="BE277" s="12">
        <f>BE137</f>
        <v>141.583577519179</v>
      </c>
      <c r="BF277" s="12">
        <f>SUM(BB277:BE277)</f>
        <v>596.229145426607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133.931</v>
      </c>
      <c r="K278" s="12">
        <f>-K70</f>
        <v>133.841</v>
      </c>
      <c r="L278" s="12">
        <f>-L70</f>
        <v>132.772</v>
      </c>
      <c r="M278" s="12" t="n"/>
      <c r="N278" s="12">
        <f>-N70</f>
        <v>132.389</v>
      </c>
      <c r="O278" s="12">
        <f>-O70</f>
        <v>134.401</v>
      </c>
      <c r="P278" s="12">
        <f>-P70</f>
        <v>136.931</v>
      </c>
      <c r="Q278" s="12">
        <f>-Q70</f>
        <v>131.388</v>
      </c>
      <c r="R278" s="12">
        <f>SUM(N278:Q278)</f>
        <v>535.109</v>
      </c>
      <c r="S278" s="12">
        <f>-S70</f>
        <v>134.485</v>
      </c>
      <c r="T278" s="12">
        <f>-T70</f>
        <v>134.601</v>
      </c>
      <c r="U278" s="12">
        <f>-U70</f>
        <v>139.047</v>
      </c>
      <c r="V278" s="12">
        <f>-V70</f>
        <v>138.037</v>
      </c>
      <c r="W278" s="12">
        <f>SUM(S278:V278)</f>
        <v>546.17</v>
      </c>
      <c r="X278" s="12">
        <f>-X70</f>
        <v>140.202</v>
      </c>
      <c r="Y278" s="12">
        <f>-Y70</f>
        <v>143.482</v>
      </c>
      <c r="Z278" s="12">
        <f>-Z70</f>
        <v>148.17</v>
      </c>
      <c r="AA278" s="12">
        <f>-AA70</f>
        <v>147.684</v>
      </c>
      <c r="AB278" s="12">
        <f>SUM(X278:AA278)</f>
        <v>579.538</v>
      </c>
      <c r="AC278" s="12">
        <f>-AC70</f>
        <v>155.029</v>
      </c>
      <c r="AD278" s="12">
        <f>-AD70</f>
        <v>159.37</v>
      </c>
      <c r="AE278" s="12">
        <f>-AE70</f>
        <v>189.344</v>
      </c>
      <c r="AF278" s="12">
        <f>-AF70</f>
        <v>170.836</v>
      </c>
      <c r="AG278" s="12">
        <f>SUM(AC278:AF278)</f>
        <v>674.579</v>
      </c>
      <c r="AH278" s="12">
        <f>-AH70</f>
        <v>172.628</v>
      </c>
      <c r="AI278" s="12">
        <f>-AI70</f>
        <v>165.317</v>
      </c>
      <c r="AJ278" s="12">
        <f>-AJ70</f>
        <v>161.871786228807</v>
      </c>
      <c r="AK278" s="12">
        <f>-AK70</f>
        <v>166.728757649757</v>
      </c>
      <c r="AL278" s="12">
        <f>SUM(AH278:AK278)</f>
        <v>666.545543878564</v>
      </c>
      <c r="AM278" s="12">
        <f>-AM70</f>
        <v>157.13006019511</v>
      </c>
      <c r="AN278" s="12">
        <f>-AN70</f>
        <v>217.852510525476</v>
      </c>
      <c r="AO278" s="12">
        <f>-AO70</f>
        <v>162.506213645372</v>
      </c>
      <c r="AP278" s="12">
        <f>-AP70</f>
        <v>167.382221094172</v>
      </c>
      <c r="AQ278" s="12">
        <f>SUM(AM278:AP278)</f>
        <v>704.871005460131</v>
      </c>
      <c r="AR278" s="12">
        <f>-AR70</f>
        <v>157.13006019511</v>
      </c>
      <c r="AS278" s="12">
        <f>-AS70</f>
        <v>217.852510525476</v>
      </c>
      <c r="AT278" s="12">
        <f>-AT70</f>
        <v>162.506213645372</v>
      </c>
      <c r="AU278" s="12">
        <f>-AU70</f>
        <v>167.382221094172</v>
      </c>
      <c r="AV278" s="12">
        <f>SUM(AR278:AU278)</f>
        <v>704.871005460131</v>
      </c>
      <c r="AW278" s="12">
        <f>-AW70</f>
        <v>157.13006019511</v>
      </c>
      <c r="AX278" s="12">
        <f>-AX70</f>
        <v>217.852510525476</v>
      </c>
      <c r="AY278" s="12">
        <f>-AY70</f>
        <v>162.506213645372</v>
      </c>
      <c r="AZ278" s="12">
        <f>-AZ70</f>
        <v>167.382221094172</v>
      </c>
      <c r="BA278" s="12">
        <f>SUM(AW278:AZ278)</f>
        <v>704.871005460131</v>
      </c>
      <c r="BB278" s="12">
        <f>-BB70</f>
        <v>157.13006019511</v>
      </c>
      <c r="BC278" s="12">
        <f>-BC70</f>
        <v>217.852510525476</v>
      </c>
      <c r="BD278" s="12">
        <f>-BD70</f>
        <v>162.506213645372</v>
      </c>
      <c r="BE278" s="12">
        <f>-BE70</f>
        <v>167.382221094172</v>
      </c>
      <c r="BF278" s="12">
        <f>SUM(BB278:BE278)</f>
        <v>704.871005460131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-68.1649999999993</v>
      </c>
      <c r="K279" s="12">
        <f>SUM(K280:K289)</f>
        <v>107.916</v>
      </c>
      <c r="L279" s="12">
        <f>SUM(L280:L289)</f>
        <v>-321.344</v>
      </c>
      <c r="M279" s="12" t="n"/>
      <c r="N279" s="12">
        <f>SUM(N280:N289)</f>
        <v>-594.708</v>
      </c>
      <c r="O279" s="12">
        <f>SUM(O280:O289)</f>
        <v>1.00600000000122</v>
      </c>
      <c r="P279" s="12">
        <f>SUM(P280:P289)</f>
        <v>290.748999999999</v>
      </c>
      <c r="Q279" s="12">
        <f>SUM(Q280:Q289)</f>
        <v>-707.459</v>
      </c>
      <c r="R279" s="12">
        <f>SUM(N279:Q279)</f>
        <v>-1010.412</v>
      </c>
      <c r="S279" s="12">
        <f>SUM(S280:S289)</f>
        <v>-204.898</v>
      </c>
      <c r="T279" s="12">
        <f>SUM(T280:T289)</f>
        <v>929.483</v>
      </c>
      <c r="U279" s="12">
        <f>SUM(U280:U289)</f>
        <v>433.392</v>
      </c>
      <c r="V279" s="12">
        <f>SUM(V280:V289)</f>
        <v>-806.806999999999</v>
      </c>
      <c r="W279" s="12">
        <f>SUM(S279:V279)</f>
        <v>351.17</v>
      </c>
      <c r="X279" s="12">
        <f>SUM(X280:X289)</f>
        <v>-661.057</v>
      </c>
      <c r="Y279" s="12">
        <f>SUM(Y280:Y289)</f>
        <v>-158.253</v>
      </c>
      <c r="Z279" s="12">
        <f>SUM(Z280:Z289)</f>
        <v>247.755</v>
      </c>
      <c r="AA279" s="12">
        <f>SUM(AA280:AA289)</f>
        <v>-325.356</v>
      </c>
      <c r="AB279" s="12">
        <f>SUM(X279:AA279)</f>
        <v>-896.911000000001</v>
      </c>
      <c r="AC279" s="12">
        <f>SUM(AC280:AC289)</f>
        <v>507.224999999999</v>
      </c>
      <c r="AD279" s="12">
        <f>SUM(AD280:AD289)</f>
        <v>235.510000000001</v>
      </c>
      <c r="AE279" s="12">
        <f>SUM(AE280:AE289)</f>
        <v>-133.495</v>
      </c>
      <c r="AF279" s="12">
        <f>SUM(AF280:AF289)</f>
        <v>-80.5270000000003</v>
      </c>
      <c r="AG279" s="12">
        <f>SUM(AC279:AF279)</f>
        <v>528.713</v>
      </c>
      <c r="AH279" s="12">
        <f>SUM(AH280:AH289)</f>
        <v>-428.088</v>
      </c>
      <c r="AI279" s="12">
        <f>SUM(AI280:AI289)</f>
        <v>251.08</v>
      </c>
      <c r="AJ279" s="12">
        <f>SUM(AJ280:AJ289)</f>
        <v>347.637658957953</v>
      </c>
      <c r="AK279" s="12">
        <f>SUM(AK280:AK289)</f>
        <v>-139.220096148356</v>
      </c>
      <c r="AL279" s="12">
        <f>SUM(AH279:AK279)</f>
        <v>31.4095628095971</v>
      </c>
      <c r="AM279" s="12">
        <f>SUM(AM280:AM289)</f>
        <v>181.901942489886</v>
      </c>
      <c r="AN279" s="12">
        <f>SUM(AN280:AN289)</f>
        <v>-1743.230989587</v>
      </c>
      <c r="AO279" s="12">
        <f>SUM(AO280:AO289)</f>
        <v>1694.16260532658</v>
      </c>
      <c r="AP279" s="12">
        <f>SUM(AP280:AP289)</f>
        <v>-139.729828527378</v>
      </c>
      <c r="AQ279" s="12">
        <f>SUM(AM279:AP279)</f>
        <v>-6.89627029791234</v>
      </c>
      <c r="AR279" s="12">
        <f>SUM(AR280:AR289)</f>
        <v>249.693393745428</v>
      </c>
      <c r="AS279" s="12">
        <f>SUM(AS280:AS289)</f>
        <v>-1797.98105042379</v>
      </c>
      <c r="AT279" s="12">
        <f>SUM(AT280:AT289)</f>
        <v>1691.09605466366</v>
      </c>
      <c r="AU279" s="12">
        <f>SUM(AU280:AU289)</f>
        <v>-142.808397985295</v>
      </c>
      <c r="AV279" s="12">
        <f>SUM(AR279:AU279)</f>
        <v>0</v>
      </c>
      <c r="AW279" s="12">
        <f>SUM(AW280:AW289)</f>
        <v>197.99791169816</v>
      </c>
      <c r="AX279" s="12">
        <f>SUM(AX280:AX289)</f>
        <v>-1746.28556837653</v>
      </c>
      <c r="AY279" s="12">
        <f>SUM(AY280:AY289)</f>
        <v>1691.09605466366</v>
      </c>
      <c r="AZ279" s="12">
        <f>SUM(AZ280:AZ289)</f>
        <v>-142.808397985295</v>
      </c>
      <c r="BA279" s="12">
        <f>SUM(AW279:AZ279)</f>
        <v>0</v>
      </c>
      <c r="BB279" s="12">
        <f>SUM(BB280:BB289)</f>
        <v>197.99791169816</v>
      </c>
      <c r="BC279" s="12">
        <f>SUM(BC280:BC289)</f>
        <v>-1746.28556837653</v>
      </c>
      <c r="BD279" s="12">
        <f>SUM(BD280:BD289)</f>
        <v>1691.09605466366</v>
      </c>
      <c r="BE279" s="12">
        <f>SUM(BE280:BE289)</f>
        <v>-142.808397985295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-854.558</v>
      </c>
      <c r="K280" s="12">
        <f>(K145-J145)*-1</f>
        <v>330.594</v>
      </c>
      <c r="L280" s="12">
        <f>(L145-K145)*-1</f>
        <v>-718.533</v>
      </c>
      <c r="M280" s="12" t="n"/>
      <c r="N280" s="12">
        <f>(N145-M145)*-1</f>
        <v>84.529</v>
      </c>
      <c r="O280" s="12">
        <f>(O145-N145)*-1</f>
        <v>-598.234</v>
      </c>
      <c r="P280" s="12">
        <f>(P145-O145)*-1</f>
        <v>544.807</v>
      </c>
      <c r="Q280" s="12">
        <f>(Q145-P145)*-1</f>
        <v>-728.328</v>
      </c>
      <c r="R280" s="12">
        <f>SUM(N280:Q280)</f>
        <v>-697.226</v>
      </c>
      <c r="S280" s="12">
        <f>(S145-R145)*-1</f>
        <v>665.627</v>
      </c>
      <c r="T280" s="12">
        <f>(T145-S145)*-1</f>
        <v>-228.081</v>
      </c>
      <c r="U280" s="12">
        <f>(U145-T145)*-1</f>
        <v>733.286</v>
      </c>
      <c r="V280" s="12">
        <f>(V145-U145)*-1</f>
        <v>-666.716</v>
      </c>
      <c r="W280" s="12">
        <f>SUM(S280:V280)</f>
        <v>504.116</v>
      </c>
      <c r="X280" s="12">
        <f>(X145-W145)*-1</f>
        <v>402.663</v>
      </c>
      <c r="Y280" s="12">
        <f>(Y145-X145)*-1</f>
        <v>-447.287</v>
      </c>
      <c r="Z280" s="12">
        <f>(Z145-Y145)*-1</f>
        <v>267.234</v>
      </c>
      <c r="AA280" s="12">
        <f>(AA145-Z145)*-1</f>
        <v>-190.849</v>
      </c>
      <c r="AB280" s="12">
        <f>SUM(X280:AA280)</f>
        <v>31.761</v>
      </c>
      <c r="AC280" s="12">
        <f>(AC145-AB145)*-1</f>
        <v>348.254</v>
      </c>
      <c r="AD280" s="12">
        <f>(AD145-AC145)*-1</f>
        <v>-805.373</v>
      </c>
      <c r="AE280" s="12">
        <f>(AE145-AD145)*-1</f>
        <v>511.3</v>
      </c>
      <c r="AF280" s="12">
        <f>(AF145-AE145)*-1</f>
        <v>-302.099</v>
      </c>
      <c r="AG280" s="12">
        <f>SUM(AC280:AF280)</f>
        <v>-247.918</v>
      </c>
      <c r="AH280" s="12">
        <f>(AH145-AG145)*-1</f>
        <v>385.235</v>
      </c>
      <c r="AI280" s="12">
        <f>(AI145-AH145)*-1</f>
        <v>-938.698</v>
      </c>
      <c r="AJ280" s="12">
        <f>(AJ145-AI145)*-1</f>
        <v>886.017366780432</v>
      </c>
      <c r="AK280" s="12">
        <f>(AK145-AJ145)*-1</f>
        <v>-109.702361069467</v>
      </c>
      <c r="AL280" s="12">
        <f>SUM(AH280:AK280)</f>
        <v>222.852005710965</v>
      </c>
      <c r="AM280" s="12">
        <f>(AM145-AL145)*-1</f>
        <v>137.934383920609</v>
      </c>
      <c r="AN280" s="12">
        <f>(AN145-AM145)*-1</f>
        <v>-1346.71688337775</v>
      </c>
      <c r="AO280" s="12">
        <f>(AO145-AN145)*-1</f>
        <v>1304.15531655932</v>
      </c>
      <c r="AP280" s="12">
        <f>(AP145-AO145)*-1</f>
        <v>-110.132319786461</v>
      </c>
      <c r="AQ280" s="12">
        <f>SUM(AM280:AP280)</f>
        <v>-14.7595026842864</v>
      </c>
      <c r="AR280" s="12">
        <f>(AR145-AQ145)*-1</f>
        <v>192.56089331224</v>
      </c>
      <c r="AS280" s="12">
        <f>(AS145-AR145)*-1</f>
        <v>-1386.5838900851</v>
      </c>
      <c r="AT280" s="12">
        <f>(AT145-AS145)*-1</f>
        <v>1304.15531655932</v>
      </c>
      <c r="AU280" s="12">
        <f>(AU145-AT145)*-1</f>
        <v>-110.132319786461</v>
      </c>
      <c r="AV280" s="12">
        <f>SUM(AR280:AU280)</f>
        <v>0</v>
      </c>
      <c r="AW280" s="12">
        <f>(AW145-AV145)*-1</f>
        <v>152.693886604895</v>
      </c>
      <c r="AX280" s="12">
        <f>(AX145-AW145)*-1</f>
        <v>-1346.71688337775</v>
      </c>
      <c r="AY280" s="12">
        <f>(AY145-AX145)*-1</f>
        <v>1304.15531655932</v>
      </c>
      <c r="AZ280" s="12">
        <f>(AZ145-AY145)*-1</f>
        <v>-110.132319786461</v>
      </c>
      <c r="BA280" s="12">
        <f>SUM(AW280:AZ280)</f>
        <v>0</v>
      </c>
      <c r="BB280" s="12">
        <f>(BB145-BA145)*-1</f>
        <v>152.693886604895</v>
      </c>
      <c r="BC280" s="12">
        <f>(BC145-BB145)*-1</f>
        <v>-1346.71688337775</v>
      </c>
      <c r="BD280" s="12">
        <f>(BD145-BC145)*-1</f>
        <v>1304.15531655932</v>
      </c>
      <c r="BE280" s="12">
        <f>(BE145-BD145)*-1</f>
        <v>-110.132319786461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732.18</v>
      </c>
      <c r="K281" s="12">
        <f>(K149-J149)*-1</f>
        <v>179.196</v>
      </c>
      <c r="L281" s="12">
        <f>(L149-K149)*-1</f>
        <v>-1274.141</v>
      </c>
      <c r="M281" s="12" t="n"/>
      <c r="N281" s="12">
        <f>(N149-M149)*-1</f>
        <v>-696.001</v>
      </c>
      <c r="O281" s="12">
        <f>(O149-N149)*-1</f>
        <v>853.122</v>
      </c>
      <c r="P281" s="12">
        <f>(P149-O149)*-1</f>
        <v>798.824</v>
      </c>
      <c r="Q281" s="12">
        <f>(Q149-P149)*-1</f>
        <v>-1417.233</v>
      </c>
      <c r="R281" s="12">
        <f>SUM(N281:Q281)</f>
        <v>-461.288</v>
      </c>
      <c r="S281" s="12">
        <f>(S149-R149)*-1</f>
        <v>211.846</v>
      </c>
      <c r="T281" s="12">
        <f>(T149-S149)*-1</f>
        <v>1577.436</v>
      </c>
      <c r="U281" s="12">
        <f>(U149-T149)*-1</f>
        <v>65.643</v>
      </c>
      <c r="V281" s="12">
        <f>(V149-U149)*-1</f>
        <v>-1036.401</v>
      </c>
      <c r="W281" s="12">
        <f>SUM(S281:V281)</f>
        <v>818.524</v>
      </c>
      <c r="X281" s="12">
        <f>(X149-W149)*-1</f>
        <v>319.949</v>
      </c>
      <c r="Y281" s="12">
        <f>(Y149-X149)*-1</f>
        <v>626.464</v>
      </c>
      <c r="Z281" s="12">
        <f>(Z149-Y149)*-1</f>
        <v>237.752</v>
      </c>
      <c r="AA281" s="12">
        <f>(AA149-Z149)*-1</f>
        <v>-833.879</v>
      </c>
      <c r="AB281" s="12">
        <f>SUM(X281:AA281)</f>
        <v>350.286</v>
      </c>
      <c r="AC281" s="12">
        <f>(AC149-AB149)*-1</f>
        <v>-743.025000000001</v>
      </c>
      <c r="AD281" s="12">
        <f>(AD149-AC149)*-1</f>
        <v>1192.94</v>
      </c>
      <c r="AE281" s="12">
        <f>(AE149-AD149)*-1</f>
        <v>181.029</v>
      </c>
      <c r="AF281" s="12">
        <f>(AF149-AE149)*-1</f>
        <v>-1057.235</v>
      </c>
      <c r="AG281" s="12">
        <f>SUM(AC281:AF281)</f>
        <v>-426.291</v>
      </c>
      <c r="AH281" s="12">
        <f>(AH149-AG149)*-1</f>
        <v>-559.153</v>
      </c>
      <c r="AI281" s="12">
        <f>(AI149-AH149)*-1</f>
        <v>1280.467</v>
      </c>
      <c r="AJ281" s="12">
        <f>(AJ149-AI149)*-1</f>
        <v>-244.282775772589</v>
      </c>
      <c r="AK281" s="12">
        <f>(AK149-AJ149)*-1</f>
        <v>-115.536067646275</v>
      </c>
      <c r="AL281" s="12">
        <f>SUM(AH281:AK281)</f>
        <v>361.495156581137</v>
      </c>
      <c r="AM281" s="12">
        <f>(AM149-AL149)*-1</f>
        <v>145.269401278494</v>
      </c>
      <c r="AN281" s="12">
        <f>(AN149-AM149)*-1</f>
        <v>-1418.33203425571</v>
      </c>
      <c r="AO281" s="12">
        <f>(AO149-AN149)*-1</f>
        <v>1373.50714612088</v>
      </c>
      <c r="AP281" s="12">
        <f>(AP149-AO149)*-1</f>
        <v>-115.988890529277</v>
      </c>
      <c r="AQ281" s="12">
        <f>SUM(AM281:AP281)</f>
        <v>-15.5443773856173</v>
      </c>
      <c r="AR281" s="12">
        <f>(AR149-AQ149)*-1</f>
        <v>202.800816489829</v>
      </c>
      <c r="AS281" s="12">
        <f>(AS149-AR149)*-1</f>
        <v>-1460.31907208143</v>
      </c>
      <c r="AT281" s="12">
        <f>(AT149-AS149)*-1</f>
        <v>1373.50714612088</v>
      </c>
      <c r="AU281" s="12">
        <f>(AU149-AT149)*-1</f>
        <v>-115.988890529277</v>
      </c>
      <c r="AV281" s="12">
        <f>SUM(AR281:AU281)</f>
        <v>0</v>
      </c>
      <c r="AW281" s="12">
        <f>(AW149-AV149)*-1</f>
        <v>160.813778664111</v>
      </c>
      <c r="AX281" s="12">
        <f>(AX149-AW149)*-1</f>
        <v>-1418.33203425571</v>
      </c>
      <c r="AY281" s="12">
        <f>(AY149-AX149)*-1</f>
        <v>1373.50714612088</v>
      </c>
      <c r="AZ281" s="12">
        <f>(AZ149-AY149)*-1</f>
        <v>-115.988890529277</v>
      </c>
      <c r="BA281" s="12">
        <f>SUM(AW281:AZ281)</f>
        <v>0</v>
      </c>
      <c r="BB281" s="12">
        <f>(BB149-BA149)*-1</f>
        <v>160.813778664111</v>
      </c>
      <c r="BC281" s="12">
        <f>(BC149-BB149)*-1</f>
        <v>-1418.33203425571</v>
      </c>
      <c r="BD281" s="12">
        <f>(BD149-BC149)*-1</f>
        <v>1373.50714612088</v>
      </c>
      <c r="BE281" s="12">
        <f>(BE149-BD149)*-1</f>
        <v>-115.988890529277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0</v>
      </c>
      <c r="K282" s="12">
        <f>(K153-J153)*-1</f>
        <v>0</v>
      </c>
      <c r="L282" s="12">
        <f>(L153-K153)*-1</f>
        <v>0</v>
      </c>
      <c r="M282" s="12" t="n"/>
      <c r="N282" s="12">
        <f>(N153-M153)*-1</f>
        <v>0</v>
      </c>
      <c r="O282" s="12">
        <f>(O153-N153)*-1</f>
        <v>0</v>
      </c>
      <c r="P282" s="12">
        <f>(P153-O153)*-1</f>
        <v>0</v>
      </c>
      <c r="Q282" s="12">
        <f>(Q153-P153)*-1</f>
        <v>0</v>
      </c>
      <c r="R282" s="12">
        <f>SUM(N282:Q282)</f>
        <v>0</v>
      </c>
      <c r="S282" s="12">
        <f>(S153-R153)*-1</f>
        <v>0</v>
      </c>
      <c r="T282" s="12">
        <f>(T153-S153)*-1</f>
        <v>0</v>
      </c>
      <c r="U282" s="12">
        <f>(U153-T153)*-1</f>
        <v>0</v>
      </c>
      <c r="V282" s="12">
        <f>(V153-U153)*-1</f>
        <v>0</v>
      </c>
      <c r="W282" s="12">
        <f>SUM(S282:V282)</f>
        <v>0</v>
      </c>
      <c r="X282" s="12">
        <f>(X153-W153)*-1</f>
        <v>0</v>
      </c>
      <c r="Y282" s="12">
        <f>(Y153-X153)*-1</f>
        <v>0</v>
      </c>
      <c r="Z282" s="12">
        <f>(Z153-Y153)*-1</f>
        <v>0</v>
      </c>
      <c r="AA282" s="12">
        <f>(AA153-Z153)*-1</f>
        <v>0</v>
      </c>
      <c r="AB282" s="12">
        <f>SUM(X282:AA282)</f>
        <v>0</v>
      </c>
      <c r="AC282" s="12">
        <f>(AC153-AB153)*-1</f>
        <v>0</v>
      </c>
      <c r="AD282" s="12">
        <f>(AD153-AC153)*-1</f>
        <v>0</v>
      </c>
      <c r="AE282" s="12">
        <f>(AE153-AD153)*-1</f>
        <v>0</v>
      </c>
      <c r="AF282" s="12">
        <f>(AF153-AE153)*-1</f>
        <v>0</v>
      </c>
      <c r="AG282" s="12">
        <f>SUM(AC282:AF282)</f>
        <v>0</v>
      </c>
      <c r="AH282" s="12">
        <f>(AH153-AG153)*-1</f>
        <v>0</v>
      </c>
      <c r="AI282" s="12">
        <f>(AI153-AH153)*-1</f>
        <v>0</v>
      </c>
      <c r="AJ282" s="12">
        <f>(AJ153-AI153)*-1</f>
        <v>0</v>
      </c>
      <c r="AK282" s="12">
        <f>(AK153-AJ153)*-1</f>
        <v>0</v>
      </c>
      <c r="AL282" s="12">
        <f>SUM(AH282:AK282)</f>
        <v>0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253.454</v>
      </c>
      <c r="K284" s="12">
        <f>(K155-J155)*-1</f>
        <v>506.563</v>
      </c>
      <c r="L284" s="12">
        <f>(L155-K155)*-1</f>
        <v>-108.65</v>
      </c>
      <c r="M284" s="12" t="n"/>
      <c r="N284" s="12">
        <f>(N155-M155)*-1</f>
        <v>-716.538</v>
      </c>
      <c r="O284" s="12">
        <f>(O155-N155)*-1</f>
        <v>153.946</v>
      </c>
      <c r="P284" s="12">
        <f>(P155-O155)*-1</f>
        <v>678.771</v>
      </c>
      <c r="Q284" s="12">
        <f>(Q155-P155)*-1</f>
        <v>-98.8880000000002</v>
      </c>
      <c r="R284" s="12">
        <f>SUM(N284:Q284)</f>
        <v>17.2909999999999</v>
      </c>
      <c r="S284" s="12">
        <f>(S155-R155)*-1</f>
        <v>-208.841</v>
      </c>
      <c r="T284" s="12">
        <f>(T155-S155)*-1</f>
        <v>421.384</v>
      </c>
      <c r="U284" s="12">
        <f>(U155-T155)*-1</f>
        <v>226.676</v>
      </c>
      <c r="V284" s="12">
        <f>(V155-U155)*-1</f>
        <v>-170.958</v>
      </c>
      <c r="W284" s="12">
        <f>SUM(S284:V284)</f>
        <v>268.261</v>
      </c>
      <c r="X284" s="12">
        <f>(X155-W155)*-1</f>
        <v>-174.99</v>
      </c>
      <c r="Y284" s="12">
        <f>(Y155-X155)*-1</f>
        <v>360.503</v>
      </c>
      <c r="Z284" s="12">
        <f>(Z155-Y155)*-1</f>
        <v>-268.768</v>
      </c>
      <c r="AA284" s="12">
        <f>(AA155-Z155)*-1</f>
        <v>30.913</v>
      </c>
      <c r="AB284" s="12">
        <f>SUM(X284:AA284)</f>
        <v>-52.3420000000001</v>
      </c>
      <c r="AC284" s="12">
        <f>(AC155-AB155)*-1</f>
        <v>39.0599999999999</v>
      </c>
      <c r="AD284" s="12">
        <f>(AD155-AC155)*-1</f>
        <v>272.592</v>
      </c>
      <c r="AE284" s="12">
        <f>(AE155-AD155)*-1</f>
        <v>152.431</v>
      </c>
      <c r="AF284" s="12">
        <f>(AF155-AE155)*-1</f>
        <v>-407.767</v>
      </c>
      <c r="AG284" s="12">
        <f>SUM(AC284:AF284)</f>
        <v>56.316</v>
      </c>
      <c r="AH284" s="12">
        <f>(AH155-AG155)*-1</f>
        <v>-307.936</v>
      </c>
      <c r="AI284" s="12">
        <f>(AI155-AH155)*-1</f>
        <v>220.032</v>
      </c>
      <c r="AJ284" s="12">
        <f>(AJ155-AI155)*-1</f>
        <v>0</v>
      </c>
      <c r="AK284" s="12">
        <f>(AK155-AJ155)*-1</f>
        <v>0</v>
      </c>
      <c r="AL284" s="12">
        <f>SUM(AH284:AK284)</f>
        <v>-87.904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336.337</v>
      </c>
      <c r="K285" s="12">
        <f>K198-J198</f>
        <v>237.24</v>
      </c>
      <c r="L285" s="12">
        <f>L198-K198</f>
        <v>1603.406</v>
      </c>
      <c r="M285" s="12" t="n"/>
      <c r="N285" s="12">
        <f>N198-M198</f>
        <v>-1024.776</v>
      </c>
      <c r="O285" s="12">
        <f>O198-N198</f>
        <v>178.656</v>
      </c>
      <c r="P285" s="12">
        <f>P198-O198</f>
        <v>-310.028</v>
      </c>
      <c r="Q285" s="12">
        <f>Q198-P198</f>
        <v>1541.509</v>
      </c>
      <c r="R285" s="12">
        <f>SUM(N285:Q285)</f>
        <v>385.361000000001</v>
      </c>
      <c r="S285" s="12">
        <f>S198-R198</f>
        <v>-1560.55</v>
      </c>
      <c r="T285" s="12">
        <f>T198-S198</f>
        <v>101.685</v>
      </c>
      <c r="U285" s="12">
        <f>U198-T198</f>
        <v>-215.347</v>
      </c>
      <c r="V285" s="12">
        <f>V198-U198</f>
        <v>1400.694</v>
      </c>
      <c r="W285" s="12">
        <f>SUM(S285:V285)</f>
        <v>-273.518</v>
      </c>
      <c r="X285" s="12">
        <f>X198-W198</f>
        <v>-1563.504</v>
      </c>
      <c r="Y285" s="12">
        <f>Y198-X198</f>
        <v>-70.8989999999999</v>
      </c>
      <c r="Z285" s="12">
        <f>Z198-Y198</f>
        <v>0.391999999999825</v>
      </c>
      <c r="AA285" s="12">
        <f>AA198-Z198</f>
        <v>797.986</v>
      </c>
      <c r="AB285" s="12">
        <f>SUM(X285:AA285)</f>
        <v>-836.025000000001</v>
      </c>
      <c r="AC285" s="12">
        <f>AC198-AB198</f>
        <v>-951.622</v>
      </c>
      <c r="AD285" s="12">
        <f>AD198-AC198</f>
        <v>163.747</v>
      </c>
      <c r="AE285" s="12">
        <f>AE198-AD198</f>
        <v>10.2470000000003</v>
      </c>
      <c r="AF285" s="12">
        <f>AF198-AE198</f>
        <v>923.477</v>
      </c>
      <c r="AG285" s="12">
        <f>SUM(AC285:AF285)</f>
        <v>145.849</v>
      </c>
      <c r="AH285" s="12">
        <f>AH198-AG198</f>
        <v>-750.612</v>
      </c>
      <c r="AI285" s="12">
        <f>AI198-AH198</f>
        <v>172.389</v>
      </c>
      <c r="AJ285" s="12">
        <f>AJ198-AI198</f>
        <v>-297.115874920648</v>
      </c>
      <c r="AK285" s="12">
        <f>AK198-AJ198</f>
        <v>82.9875574918265</v>
      </c>
      <c r="AL285" s="12">
        <f>SUM(AH285:AK285)</f>
        <v>-792.351317428821</v>
      </c>
      <c r="AM285" s="12">
        <f>AM198-AL198</f>
        <v>-104.34449636378</v>
      </c>
      <c r="AN285" s="12">
        <f>AN198-AM198</f>
        <v>1018.76334925693</v>
      </c>
      <c r="AO285" s="12">
        <f>AO198-AN198</f>
        <v>-986.566408016532</v>
      </c>
      <c r="AP285" s="12">
        <f>AP198-AO198</f>
        <v>83.3128123304437</v>
      </c>
      <c r="AQ285" s="12">
        <f>SUM(AM285:AP285)</f>
        <v>11.1652572070652</v>
      </c>
      <c r="AR285" s="12">
        <f>AR198-AQ198</f>
        <v>-145.668316056641</v>
      </c>
      <c r="AS285" s="12">
        <f>AS198-AR198</f>
        <v>1048.92191174273</v>
      </c>
      <c r="AT285" s="12">
        <f>AT198-AS198</f>
        <v>-986.566408016532</v>
      </c>
      <c r="AU285" s="12">
        <f>AU198-AT198</f>
        <v>83.3128123304437</v>
      </c>
      <c r="AV285" s="12">
        <f>SUM(AR285:AU285)</f>
        <v>0</v>
      </c>
      <c r="AW285" s="12">
        <f>AW198-AV198</f>
        <v>-115.509753570846</v>
      </c>
      <c r="AX285" s="12">
        <f>AX198-AW198</f>
        <v>1018.76334925693</v>
      </c>
      <c r="AY285" s="12">
        <f>AY198-AX198</f>
        <v>-986.566408016532</v>
      </c>
      <c r="AZ285" s="12">
        <f>AZ198-AY198</f>
        <v>83.3128123304437</v>
      </c>
      <c r="BA285" s="12">
        <f>SUM(AW285:AZ285)</f>
        <v>0</v>
      </c>
      <c r="BB285" s="12">
        <f>BB198-BA198</f>
        <v>-115.509753570846</v>
      </c>
      <c r="BC285" s="12">
        <f>BC198-BB198</f>
        <v>1018.76334925693</v>
      </c>
      <c r="BD285" s="12">
        <f>BD198-BC198</f>
        <v>-986.566408016532</v>
      </c>
      <c r="BE285" s="12">
        <f>BE198-BD198</f>
        <v>83.3128123304437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144.067</v>
      </c>
      <c r="K286" s="12">
        <f>K202-J202</f>
        <v>27.063</v>
      </c>
      <c r="L286" s="12">
        <f>L202-K202</f>
        <v>-146.994</v>
      </c>
      <c r="M286" s="12" t="n"/>
      <c r="N286" s="12">
        <f>N202-M202</f>
        <v>86.033</v>
      </c>
      <c r="O286" s="12">
        <f>O202-N202</f>
        <v>234.576</v>
      </c>
      <c r="P286" s="12">
        <f>P202-O202</f>
        <v>-12.021</v>
      </c>
      <c r="Q286" s="12">
        <f>Q202-P202</f>
        <v>-117.703</v>
      </c>
      <c r="R286" s="12">
        <f>SUM(N286:Q286)</f>
        <v>190.885</v>
      </c>
      <c r="S286" s="12">
        <f>S202-R202</f>
        <v>-1.14499999999998</v>
      </c>
      <c r="T286" s="12">
        <f>T202-S202</f>
        <v>197.829</v>
      </c>
      <c r="U286" s="12">
        <f>U202-T202</f>
        <v>-90.244</v>
      </c>
      <c r="V286" s="12">
        <f>V202-U202</f>
        <v>-175.858</v>
      </c>
      <c r="W286" s="12">
        <f>SUM(S286:V286)</f>
        <v>-69.418</v>
      </c>
      <c r="X286" s="12">
        <f>X202-W202</f>
        <v>47.7859999999999</v>
      </c>
      <c r="Y286" s="12">
        <f>Y202-X202</f>
        <v>219.502</v>
      </c>
      <c r="Z286" s="12">
        <f>Z202-Y202</f>
        <v>-80.539</v>
      </c>
      <c r="AA286" s="12">
        <f>AA202-Z202</f>
        <v>-180.316</v>
      </c>
      <c r="AB286" s="12">
        <f>SUM(X286:AA286)</f>
        <v>6.43299999999999</v>
      </c>
      <c r="AC286" s="12">
        <f>AC202-AB202</f>
        <v>-11.8820000000001</v>
      </c>
      <c r="AD286" s="12">
        <f>AD202-AC202</f>
        <v>102.36</v>
      </c>
      <c r="AE286" s="12">
        <f>AE202-AD202</f>
        <v>1.85800000000006</v>
      </c>
      <c r="AF286" s="12">
        <f>AF202-AE202</f>
        <v>-93.5780000000001</v>
      </c>
      <c r="AG286" s="12">
        <f>SUM(AC286:AF286)</f>
        <v>-1.24200000000008</v>
      </c>
      <c r="AH286" s="12">
        <f>AH202-AG202</f>
        <v>1.33300000000008</v>
      </c>
      <c r="AI286" s="12">
        <f>AI202-AH202</f>
        <v>166.552</v>
      </c>
      <c r="AJ286" s="12">
        <f>AJ202-AI202</f>
        <v>3.01894287075777</v>
      </c>
      <c r="AK286" s="12">
        <f>AK202-AJ202</f>
        <v>3.03077507555929</v>
      </c>
      <c r="AL286" s="12">
        <f>SUM(AH286:AK286)</f>
        <v>173.934717946317</v>
      </c>
      <c r="AM286" s="12">
        <f>AM202-AL202</f>
        <v>3.04265365456422</v>
      </c>
      <c r="AN286" s="12">
        <f>AN202-AM202</f>
        <v>3.05457878952768</v>
      </c>
      <c r="AO286" s="12">
        <f>AO202-AN202</f>
        <v>3.06655066291762</v>
      </c>
      <c r="AP286" s="12">
        <f>AP202-AO202</f>
        <v>3.07856945791684</v>
      </c>
      <c r="AQ286" s="12">
        <f>SUM(AM286:AP286)</f>
        <v>12.2423525649264</v>
      </c>
      <c r="AR286" s="12">
        <f>AR202-AQ202</f>
        <v>0</v>
      </c>
      <c r="AS286" s="12">
        <f>AS202-AR202</f>
        <v>0</v>
      </c>
      <c r="AT286" s="12">
        <f>AT202-AS202</f>
        <v>0</v>
      </c>
      <c r="AU286" s="12">
        <f>AU202-AT202</f>
        <v>0</v>
      </c>
      <c r="AV286" s="12">
        <f>SUM(AR286:AU286)</f>
        <v>0</v>
      </c>
      <c r="AW286" s="12">
        <f>AW202-AV202</f>
        <v>0</v>
      </c>
      <c r="AX286" s="12">
        <f>AX202-AW202</f>
        <v>0</v>
      </c>
      <c r="AY286" s="12">
        <f>AY202-AX202</f>
        <v>0</v>
      </c>
      <c r="AZ286" s="12">
        <f>AZ202-AY202</f>
        <v>0</v>
      </c>
      <c r="BA286" s="12">
        <f>SUM(AW286:AZ286)</f>
        <v>0</v>
      </c>
      <c r="BB286" s="12">
        <f>BB202-BA202</f>
        <v>0</v>
      </c>
      <c r="BC286" s="12">
        <f>BC202-BB202</f>
        <v>0</v>
      </c>
      <c r="BD286" s="12">
        <f>BD202-BC202</f>
        <v>0</v>
      </c>
      <c r="BE286" s="12">
        <f>BE202-BD202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0</v>
      </c>
      <c r="K287" s="12">
        <f>K204-J204</f>
        <v>0</v>
      </c>
      <c r="L287" s="12">
        <f>L204-K204</f>
        <v>0</v>
      </c>
      <c r="M287" s="12" t="n"/>
      <c r="N287" s="12">
        <f>N204-M204</f>
        <v>0</v>
      </c>
      <c r="O287" s="12">
        <f>O204-N204</f>
        <v>0</v>
      </c>
      <c r="P287" s="12">
        <f>P204-O204</f>
        <v>0</v>
      </c>
      <c r="Q287" s="12">
        <f>Q204-P204</f>
        <v>0</v>
      </c>
      <c r="R287" s="12">
        <f>SUM(N287:Q287)</f>
        <v>0</v>
      </c>
      <c r="S287" s="12">
        <f>S204-R204</f>
        <v>0</v>
      </c>
      <c r="T287" s="12">
        <f>T204-S204</f>
        <v>0</v>
      </c>
      <c r="U287" s="12">
        <f>U204-T204</f>
        <v>0</v>
      </c>
      <c r="V287" s="12">
        <f>V204-U204</f>
        <v>0</v>
      </c>
      <c r="W287" s="12">
        <f>SUM(S287:V287)</f>
        <v>0</v>
      </c>
      <c r="X287" s="12">
        <f>X204-W204</f>
        <v>0</v>
      </c>
      <c r="Y287" s="12">
        <f>Y204-X204</f>
        <v>0</v>
      </c>
      <c r="Z287" s="12">
        <f>Z204-Y204</f>
        <v>0</v>
      </c>
      <c r="AA287" s="12">
        <f>AA204-Z204</f>
        <v>0</v>
      </c>
      <c r="AB287" s="12">
        <f>SUM(X287:AA287)</f>
        <v>0</v>
      </c>
      <c r="AC287" s="12">
        <f>AC204-AB204</f>
        <v>0</v>
      </c>
      <c r="AD287" s="12">
        <f>AD204-AC204</f>
        <v>0</v>
      </c>
      <c r="AE287" s="12">
        <f>AE204-AD204</f>
        <v>0</v>
      </c>
      <c r="AF287" s="12">
        <f>AF204-AE204</f>
        <v>0</v>
      </c>
      <c r="AG287" s="12">
        <f>SUM(AC287:AF287)</f>
        <v>0</v>
      </c>
      <c r="AH287" s="12">
        <f>AH204-AG204</f>
        <v>0</v>
      </c>
      <c r="AI287" s="12">
        <f>AI204-AH204</f>
        <v>0</v>
      </c>
      <c r="AJ287" s="12">
        <f>AJ204-AI204</f>
        <v>0</v>
      </c>
      <c r="AK287" s="12">
        <f>AK204-AJ204</f>
        <v>0</v>
      </c>
      <c r="AL287" s="12">
        <f>SUM(AH287:AK287)</f>
        <v>0</v>
      </c>
      <c r="AM287" s="12">
        <f>AM204-AL204</f>
        <v>0</v>
      </c>
      <c r="AN287" s="12">
        <f>AN204-AM204</f>
        <v>0</v>
      </c>
      <c r="AO287" s="12">
        <f>AO204-AN204</f>
        <v>0</v>
      </c>
      <c r="AP287" s="12">
        <f>AP204-AO204</f>
        <v>0</v>
      </c>
      <c r="AQ287" s="12">
        <f>SUM(AM287:AP287)</f>
        <v>0</v>
      </c>
      <c r="AR287" s="12">
        <f>AR204-AQ204</f>
        <v>0</v>
      </c>
      <c r="AS287" s="12">
        <f>AS204-AR204</f>
        <v>0</v>
      </c>
      <c r="AT287" s="12">
        <f>AT204-AS204</f>
        <v>0</v>
      </c>
      <c r="AU287" s="12">
        <f>AU204-AT204</f>
        <v>0</v>
      </c>
      <c r="AV287" s="12">
        <f>SUM(AR287:AU287)</f>
        <v>0</v>
      </c>
      <c r="AW287" s="12">
        <f>AW204-AV204</f>
        <v>0</v>
      </c>
      <c r="AX287" s="12">
        <f>AX204-AW204</f>
        <v>0</v>
      </c>
      <c r="AY287" s="12">
        <f>AY204-AX204</f>
        <v>0</v>
      </c>
      <c r="AZ287" s="12">
        <f>AZ204-AY204</f>
        <v>0</v>
      </c>
      <c r="BA287" s="12">
        <f>SUM(AW287:AZ287)</f>
        <v>0</v>
      </c>
      <c r="BB287" s="12">
        <f>BB204-BA204</f>
        <v>0</v>
      </c>
      <c r="BC287" s="12">
        <f>BC204-BB204</f>
        <v>0</v>
      </c>
      <c r="BD287" s="12">
        <f>BD204-BC204</f>
        <v>0</v>
      </c>
      <c r="BE287" s="12">
        <f>BE204-BD204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-679.645</v>
      </c>
      <c r="K288" s="12">
        <f>K205-J205</f>
        <v>-1172.74</v>
      </c>
      <c r="L288" s="12">
        <f>L205-K205</f>
        <v>323.568</v>
      </c>
      <c r="M288" s="12" t="n"/>
      <c r="N288" s="12">
        <f>N205-M205</f>
        <v>1672.045</v>
      </c>
      <c r="O288" s="12">
        <f>O205-N205</f>
        <v>-821.06</v>
      </c>
      <c r="P288" s="12">
        <f>P205-O205</f>
        <v>-1409.604</v>
      </c>
      <c r="Q288" s="12">
        <f>Q205-P205</f>
        <v>113.184</v>
      </c>
      <c r="R288" s="12">
        <f>SUM(N288:Q288)</f>
        <v>-445.435</v>
      </c>
      <c r="S288" s="12">
        <f>S205-R205</f>
        <v>688.165</v>
      </c>
      <c r="T288" s="12">
        <f>T205-S205</f>
        <v>-1140.77</v>
      </c>
      <c r="U288" s="12">
        <f>U205-T205</f>
        <v>-286.622</v>
      </c>
      <c r="V288" s="12">
        <f>V205-U205</f>
        <v>-157.568</v>
      </c>
      <c r="W288" s="12">
        <f>SUM(S288:V288)</f>
        <v>-896.795</v>
      </c>
      <c r="X288" s="12">
        <f>X205-W205</f>
        <v>307.039</v>
      </c>
      <c r="Y288" s="12">
        <f>Y205-X205</f>
        <v>-846.536</v>
      </c>
      <c r="Z288" s="12">
        <f>Z205-Y205</f>
        <v>91.6840000000002</v>
      </c>
      <c r="AA288" s="12">
        <f>AA205-Z205</f>
        <v>50.789</v>
      </c>
      <c r="AB288" s="12">
        <f>SUM(X288:AA288)</f>
        <v>-397.024</v>
      </c>
      <c r="AC288" s="12">
        <f>AC205-AB205</f>
        <v>1826.44</v>
      </c>
      <c r="AD288" s="12">
        <f>AD205-AC205</f>
        <v>-690.756</v>
      </c>
      <c r="AE288" s="12">
        <f>AE205-AD205</f>
        <v>-990.36</v>
      </c>
      <c r="AF288" s="12">
        <f>AF205-AE205</f>
        <v>856.675</v>
      </c>
      <c r="AG288" s="12">
        <f>SUM(AC288:AF288)</f>
        <v>1001.999</v>
      </c>
      <c r="AH288" s="12">
        <f>AH205-AG205</f>
        <v>803.045</v>
      </c>
      <c r="AI288" s="12">
        <f>AI205-AH205</f>
        <v>-649.662</v>
      </c>
      <c r="AJ288" s="12">
        <f>AJ205-AI205</f>
        <v>0</v>
      </c>
      <c r="AK288" s="12">
        <f>AK205-AJ205</f>
        <v>0</v>
      </c>
      <c r="AL288" s="12">
        <f>SUM(AH288:AK288)</f>
        <v>153.383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0</v>
      </c>
      <c r="K289" s="12">
        <f>K239-J239</f>
        <v>0</v>
      </c>
      <c r="L289" s="12">
        <f>L239-K239</f>
        <v>0</v>
      </c>
      <c r="M289" s="12" t="n"/>
      <c r="N289" s="12">
        <f>N239-M239</f>
        <v>0</v>
      </c>
      <c r="O289" s="12">
        <f>O239-N239</f>
        <v>0</v>
      </c>
      <c r="P289" s="12">
        <f>P239-O239</f>
        <v>0</v>
      </c>
      <c r="Q289" s="12">
        <f>Q239-P239</f>
        <v>0</v>
      </c>
      <c r="R289" s="12">
        <f>SUM(N289:Q289)</f>
        <v>0</v>
      </c>
      <c r="S289" s="12">
        <f>S239-R239</f>
        <v>0</v>
      </c>
      <c r="T289" s="12">
        <f>T239-S239</f>
        <v>0</v>
      </c>
      <c r="U289" s="12">
        <f>U239-T239</f>
        <v>0</v>
      </c>
      <c r="V289" s="12">
        <f>V239-U239</f>
        <v>0</v>
      </c>
      <c r="W289" s="12">
        <f>SUM(S289:V289)</f>
        <v>0</v>
      </c>
      <c r="X289" s="12">
        <f>X239-W239</f>
        <v>0</v>
      </c>
      <c r="Y289" s="12">
        <f>Y239-X239</f>
        <v>0</v>
      </c>
      <c r="Z289" s="12">
        <f>Z239-Y239</f>
        <v>0</v>
      </c>
      <c r="AA289" s="12">
        <f>AA239-Z239</f>
        <v>0</v>
      </c>
      <c r="AB289" s="12">
        <f>SUM(X289:AA289)</f>
        <v>0</v>
      </c>
      <c r="AC289" s="12">
        <f>AC239-AB239</f>
        <v>0</v>
      </c>
      <c r="AD289" s="12">
        <f>AD239-AC239</f>
        <v>0</v>
      </c>
      <c r="AE289" s="12">
        <f>AE239-AD239</f>
        <v>0</v>
      </c>
      <c r="AF289" s="12">
        <f>AF239-AE239</f>
        <v>0</v>
      </c>
      <c r="AG289" s="12">
        <f>SUM(AC289:AF289)</f>
        <v>0</v>
      </c>
      <c r="AH289" s="12">
        <f>AH239-AG239</f>
        <v>0</v>
      </c>
      <c r="AI289" s="12">
        <f>AI239-AH239</f>
        <v>0</v>
      </c>
      <c r="AJ289" s="12">
        <f>AJ239-AI239</f>
        <v>0</v>
      </c>
      <c r="AK289" s="12">
        <f>AK239-AJ239</f>
        <v>0</v>
      </c>
      <c r="AL289" s="12">
        <f>SUM(AH289:AK289)</f>
        <v>0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0</v>
      </c>
      <c r="K290" s="12">
        <f>(K161-J161)*-1</f>
        <v>0</v>
      </c>
      <c r="L290" s="12">
        <f>(L161-K161)*-1</f>
        <v>0</v>
      </c>
      <c r="M290" s="12" t="n"/>
      <c r="N290" s="12">
        <f>(N161-M161)*-1</f>
        <v>0</v>
      </c>
      <c r="O290" s="12">
        <f>(O161-N161)*-1</f>
        <v>0</v>
      </c>
      <c r="P290" s="12">
        <f>(P161-O161)*-1</f>
        <v>0</v>
      </c>
      <c r="Q290" s="12">
        <f>(Q161-P161)*-1</f>
        <v>0</v>
      </c>
      <c r="R290" s="12">
        <f>SUM(N290:Q290)</f>
        <v>0</v>
      </c>
      <c r="S290" s="12">
        <f>(S161-R161)*-1</f>
        <v>0</v>
      </c>
      <c r="T290" s="12">
        <f>(T161-S161)*-1</f>
        <v>0</v>
      </c>
      <c r="U290" s="12">
        <f>(U161-T161)*-1</f>
        <v>0</v>
      </c>
      <c r="V290" s="12">
        <f>(V161-U161)*-1</f>
        <v>0</v>
      </c>
      <c r="W290" s="12">
        <f>SUM(S290:V290)</f>
        <v>0</v>
      </c>
      <c r="X290" s="12">
        <f>(X161-W161)*-1</f>
        <v>0</v>
      </c>
      <c r="Y290" s="12">
        <f>(Y161-X161)*-1</f>
        <v>0</v>
      </c>
      <c r="Z290" s="12">
        <f>(Z161-Y161)*-1</f>
        <v>0</v>
      </c>
      <c r="AA290" s="12">
        <f>(AA161-Z161)*-1</f>
        <v>0</v>
      </c>
      <c r="AB290" s="12">
        <f>SUM(X290:AA290)</f>
        <v>0</v>
      </c>
      <c r="AC290" s="12">
        <f>(AC161-AB161)*-1</f>
        <v>0</v>
      </c>
      <c r="AD290" s="12">
        <f>(AD161-AC161)*-1</f>
        <v>0</v>
      </c>
      <c r="AE290" s="12">
        <f>(AE161-AD161)*-1</f>
        <v>0</v>
      </c>
      <c r="AF290" s="12">
        <f>(AF161-AE161)*-1</f>
        <v>0</v>
      </c>
      <c r="AG290" s="12">
        <f>SUM(AC290:AF290)</f>
        <v>0</v>
      </c>
      <c r="AH290" s="12">
        <f>(AH161-AG161)*-1</f>
        <v>0</v>
      </c>
      <c r="AI290" s="12">
        <f>(AI161-AH161)*-1</f>
        <v>0</v>
      </c>
      <c r="AJ290" s="12">
        <f>(AJ161-AI161)*-1</f>
        <v>0</v>
      </c>
      <c r="AK290" s="12">
        <f>(AK161-AJ161)*-1</f>
        <v>0</v>
      </c>
      <c r="AL290" s="12">
        <f>SUM(AH290:AK290)</f>
        <v>0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0.081</v>
      </c>
      <c r="K292" s="12">
        <f>-K136</f>
        <v>-0.033</v>
      </c>
      <c r="L292" s="12">
        <f>-L136</f>
        <v>-0.018</v>
      </c>
      <c r="M292" s="12" t="n"/>
      <c r="N292" s="12">
        <f>-N136</f>
        <v>-0.104</v>
      </c>
      <c r="O292" s="12">
        <f>-O136</f>
        <v>-0.329</v>
      </c>
      <c r="P292" s="12">
        <f>-P136</f>
        <v>-0.41</v>
      </c>
      <c r="Q292" s="12">
        <f>-Q136</f>
        <v>0.318</v>
      </c>
      <c r="R292" s="12">
        <f>SUM(N292:Q292)</f>
        <v>-0.525</v>
      </c>
      <c r="S292" s="12">
        <f>-S136</f>
        <v>-0.273</v>
      </c>
      <c r="T292" s="12">
        <f>-T136</f>
        <v>-0.156</v>
      </c>
      <c r="U292" s="12">
        <f>-U136</f>
        <v>-0.203</v>
      </c>
      <c r="V292" s="12">
        <f>-V136</f>
        <v>0.445</v>
      </c>
      <c r="W292" s="12">
        <f>SUM(S292:V292)</f>
        <v>-0.187</v>
      </c>
      <c r="X292" s="12">
        <f>-X136</f>
        <v>0.026</v>
      </c>
      <c r="Y292" s="12">
        <f>-Y136</f>
        <v>-0.019</v>
      </c>
      <c r="Z292" s="12">
        <f>-Z136</f>
        <v>-0.112</v>
      </c>
      <c r="AA292" s="12">
        <f>-AA136</f>
        <v>0.803</v>
      </c>
      <c r="AB292" s="12">
        <f>SUM(X292:AA292)</f>
        <v>0.698</v>
      </c>
      <c r="AC292" s="12">
        <f>-AC136</f>
        <v>-0.249</v>
      </c>
      <c r="AD292" s="12">
        <f>-AD136</f>
        <v>-0.504</v>
      </c>
      <c r="AE292" s="12">
        <f>-AE136</f>
        <v>0.028</v>
      </c>
      <c r="AF292" s="12">
        <f>-AF136</f>
        <v>-0.026</v>
      </c>
      <c r="AG292" s="12">
        <f>SUM(AC292:AF292)</f>
        <v>-0.751</v>
      </c>
      <c r="AH292" s="12">
        <f>-AH136</f>
        <v>-0.138</v>
      </c>
      <c r="AI292" s="12">
        <f>-AI136</f>
        <v>0.13</v>
      </c>
      <c r="AJ292" s="12">
        <f>-AJ136</f>
        <v>0</v>
      </c>
      <c r="AK292" s="12">
        <f>-AK136</f>
        <v>0</v>
      </c>
      <c r="AL292" s="12">
        <f>SUM(AH292:AK292)</f>
        <v>-0.00800000000000001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339.438000000001</v>
      </c>
      <c r="K293" s="12">
        <f>SUM(K277,K278,K279,K290,K291,K292)</f>
        <v>490.642999999999</v>
      </c>
      <c r="L293" s="12">
        <f>SUM(L277,L278,L279,L290,L291,L292)</f>
        <v>263.371</v>
      </c>
      <c r="M293" s="12" t="n"/>
      <c r="N293" s="12">
        <f>SUM(N277,N278,N279,N290,N291,N292)</f>
        <v>-243.423000000001</v>
      </c>
      <c r="O293" s="12">
        <f>SUM(O277,O278,O279,O290,O291,O292)</f>
        <v>711.652000000001</v>
      </c>
      <c r="P293" s="12">
        <f>SUM(P277,P278,P279,P290,P291,P292)</f>
        <v>858.496999999999</v>
      </c>
      <c r="Q293" s="12">
        <f>SUM(Q277,Q278,Q279,Q290,Q291,Q292)</f>
        <v>206.845</v>
      </c>
      <c r="R293" s="12">
        <f>SUM(R277,R278,R279,R290,R291,R292)</f>
        <v>1533.571</v>
      </c>
      <c r="S293" s="12">
        <f>SUM(S277,S278,S279,S290,S291,S292)</f>
        <v>221.635</v>
      </c>
      <c r="T293" s="12">
        <f>SUM(T277,T278,T279,T290,T291,T292)</f>
        <v>1611.427</v>
      </c>
      <c r="U293" s="12">
        <f>SUM(U277,U278,U279,U290,U291,U292)</f>
        <v>850.255999999999</v>
      </c>
      <c r="V293" s="12">
        <f>SUM(V277,V278,V279,V290,V291,V292)</f>
        <v>-145.402</v>
      </c>
      <c r="W293" s="12">
        <f>SUM(W277,W278,W279,W290,W291,W292)</f>
        <v>2537.916</v>
      </c>
      <c r="X293" s="12">
        <f>SUM(X277,X278,X279,X290,X291,X292)</f>
        <v>-350.522000000001</v>
      </c>
      <c r="Y293" s="12">
        <f>SUM(Y277,Y278,Y279,Y290,Y291,Y292)</f>
        <v>282.484</v>
      </c>
      <c r="Z293" s="12">
        <f>SUM(Z277,Z278,Z279,Z290,Z291,Z292)</f>
        <v>507.628</v>
      </c>
      <c r="AA293" s="12">
        <f>SUM(AA277,AA278,AA279,AA290,AA291,AA292)</f>
        <v>67.9209999999993</v>
      </c>
      <c r="AB293" s="12">
        <f>SUM(AB277,AB278,AB279,AB290,AB291,AB292)</f>
        <v>507.510999999999</v>
      </c>
      <c r="AC293" s="12">
        <f>SUM(AC277,AC278,AC279,AC290,AC291,AC292)</f>
        <v>586.250999999999</v>
      </c>
      <c r="AD293" s="12">
        <f>SUM(AD277,AD278,AD279,AD290,AD291,AD292)</f>
        <v>626.56</v>
      </c>
      <c r="AE293" s="12">
        <f>SUM(AE277,AE278,AE279,AE290,AE291,AE292)</f>
        <v>252.574000000001</v>
      </c>
      <c r="AF293" s="12">
        <f>SUM(AF277,AF278,AF279,AF290,AF291,AF292)</f>
        <v>350.765999999999</v>
      </c>
      <c r="AG293" s="12">
        <f>SUM(AG277,AG278,AG279,AG290,AG291,AG292)</f>
        <v>1816.151</v>
      </c>
      <c r="AH293" s="12">
        <f>SUM(AH277,AH278,AH279,AH290,AH291,AH292)</f>
        <v>-402.650000000001</v>
      </c>
      <c r="AI293" s="12">
        <f>SUM(AI277,AI278,AI279,AI290,AI291,AI292)</f>
        <v>683.893000000001</v>
      </c>
      <c r="AJ293" s="12">
        <f>SUM(AJ277,AJ278,AJ279,AJ290,AJ291,AJ292)</f>
        <v>646.4319118853</v>
      </c>
      <c r="AK293" s="12">
        <f>SUM(AK277,AK278,AK279,AK290,AK291,AK292)</f>
        <v>168.539493982106</v>
      </c>
      <c r="AL293" s="12">
        <f>SUM(AL277,AL278,AL279,AL290,AL291,AL292)</f>
        <v>1096.21440586741</v>
      </c>
      <c r="AM293" s="12">
        <f>SUM(AM277,AM278,AM279,AM290,AM291,AM292)</f>
        <v>471.943586202047</v>
      </c>
      <c r="AN293" s="12">
        <f>SUM(AN277,AN278,AN279,AN290,AN291,AN292)</f>
        <v>-1341.10360440576</v>
      </c>
      <c r="AO293" s="12">
        <f>SUM(AO277,AO278,AO279,AO290,AO291,AO292)</f>
        <v>1994.12792870657</v>
      </c>
      <c r="AP293" s="12">
        <f>SUM(AP277,AP278,AP279,AP290,AP291,AP292)</f>
        <v>169.235970085974</v>
      </c>
      <c r="AQ293" s="12">
        <f>SUM(AQ277,AQ278,AQ279,AQ290,AQ291,AQ292)</f>
        <v>1294.20388058883</v>
      </c>
      <c r="AR293" s="12">
        <f>SUM(AR277,AR278,AR279,AR290,AR291,AR292)</f>
        <v>539.735037457589</v>
      </c>
      <c r="AS293" s="12">
        <f>SUM(AS277,AS278,AS279,AS290,AS291,AS292)</f>
        <v>-1395.85366524256</v>
      </c>
      <c r="AT293" s="12">
        <f>SUM(AT277,AT278,AT279,AT290,AT291,AT292)</f>
        <v>1991.06137804365</v>
      </c>
      <c r="AU293" s="12">
        <f>SUM(AU277,AU278,AU279,AU290,AU291,AU292)</f>
        <v>166.157400628057</v>
      </c>
      <c r="AV293" s="12">
        <f>SUM(AV277,AV278,AV279,AV290,AV291,AV292)</f>
        <v>1301.10015088674</v>
      </c>
      <c r="AW293" s="12">
        <f>SUM(AW277,AW278,AW279,AW290,AW291,AW292)</f>
        <v>488.039555410321</v>
      </c>
      <c r="AX293" s="12">
        <f>SUM(AX277,AX278,AX279,AX290,AX291,AX292)</f>
        <v>-1344.15818319529</v>
      </c>
      <c r="AY293" s="12">
        <f>SUM(AY277,AY278,AY279,AY290,AY291,AY292)</f>
        <v>1991.06137804365</v>
      </c>
      <c r="AZ293" s="12">
        <f>SUM(AZ277,AZ278,AZ279,AZ290,AZ291,AZ292)</f>
        <v>166.157400628057</v>
      </c>
      <c r="BA293" s="12">
        <f>SUM(BA277,BA278,BA279,BA290,BA291,BA292)</f>
        <v>1301.10015088674</v>
      </c>
      <c r="BB293" s="12">
        <f>SUM(BB277,BB278,BB279,BB290,BB291,BB292)</f>
        <v>488.039555410321</v>
      </c>
      <c r="BC293" s="12">
        <f>SUM(BC277,BC278,BC279,BC290,BC291,BC292)</f>
        <v>-1344.15818319529</v>
      </c>
      <c r="BD293" s="12">
        <f>SUM(BD277,BD278,BD279,BD290,BD291,BD292)</f>
        <v>1991.06137804365</v>
      </c>
      <c r="BE293" s="12">
        <f>SUM(BE277,BE278,BE279,BE290,BE291,BE292)</f>
        <v>166.157400628057</v>
      </c>
      <c r="BF293" s="12">
        <f>SUM(BF277,BF278,BF279,BF290,BF291,BF292)</f>
        <v>1301.10015088674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-94.2559999999998</v>
      </c>
      <c r="K295" s="12">
        <f>-K168</f>
        <v>-116.77</v>
      </c>
      <c r="L295" s="12">
        <f>-L168</f>
        <v>-61.013</v>
      </c>
      <c r="M295" s="12" t="n"/>
      <c r="N295" s="12">
        <f>-N168</f>
        <v>-87.4819999999999</v>
      </c>
      <c r="O295" s="12">
        <f>-O168</f>
        <v>-126.7</v>
      </c>
      <c r="P295" s="12">
        <f>-P168</f>
        <v>-196.252</v>
      </c>
      <c r="Q295" s="12">
        <f>-Q168</f>
        <v>-115.248000000001</v>
      </c>
      <c r="R295" s="12">
        <f>SUM(N295:Q295)</f>
        <v>-525.682</v>
      </c>
      <c r="S295" s="12">
        <f>-S168</f>
        <v>-141.001</v>
      </c>
      <c r="T295" s="12">
        <f>-T168</f>
        <v>-156.435</v>
      </c>
      <c r="U295" s="12">
        <f>-U168</f>
        <v>-251.251</v>
      </c>
      <c r="V295" s="12">
        <f>-V168</f>
        <v>-145.735</v>
      </c>
      <c r="W295" s="12">
        <f>SUM(S295:V295)</f>
        <v>-694.422</v>
      </c>
      <c r="X295" s="12">
        <f>-X168</f>
        <v>-224.638</v>
      </c>
      <c r="Y295" s="12">
        <f>-Y168</f>
        <v>-214.688</v>
      </c>
      <c r="Z295" s="12">
        <f>-Z168</f>
        <v>-292.812</v>
      </c>
      <c r="AA295" s="12">
        <f>-AA168</f>
        <v>-209.716</v>
      </c>
      <c r="AB295" s="12">
        <f>SUM(X295:AA295)</f>
        <v>-941.854</v>
      </c>
      <c r="AC295" s="12">
        <f>-AC168</f>
        <v>-332.756</v>
      </c>
      <c r="AD295" s="12">
        <f>-AD168</f>
        <v>-196.934</v>
      </c>
      <c r="AE295" s="12">
        <f>-AE168</f>
        <v>-235.96</v>
      </c>
      <c r="AF295" s="12">
        <f>-AF168</f>
        <v>-133.722</v>
      </c>
      <c r="AG295" s="12">
        <f>SUM(AC295:AF295)</f>
        <v>-899.372000000001</v>
      </c>
      <c r="AH295" s="12">
        <f>-AH168</f>
        <v>-140.195</v>
      </c>
      <c r="AI295" s="12">
        <f>-AI168</f>
        <v>-144.297</v>
      </c>
      <c r="AJ295" s="12">
        <f>-AJ168</f>
        <v>-186.072583098965</v>
      </c>
      <c r="AK295" s="12">
        <f>-AK168</f>
        <v>-191.655700697089</v>
      </c>
      <c r="AL295" s="12">
        <f>SUM(AH295:AK295)</f>
        <v>-662.220283796053</v>
      </c>
      <c r="AM295" s="12">
        <f>-AM168</f>
        <v>-180.621940760401</v>
      </c>
      <c r="AN295" s="12">
        <f>-AN168</f>
        <v>-250.422759348384</v>
      </c>
      <c r="AO295" s="12">
        <f>-AO168</f>
        <v>-186.80186119578</v>
      </c>
      <c r="AP295" s="12">
        <f>-AP168</f>
        <v>-192.406860821382</v>
      </c>
      <c r="AQ295" s="12">
        <f>SUM(AM295:AP295)</f>
        <v>-810.253422125947</v>
      </c>
      <c r="AR295" s="12">
        <f>-AR168</f>
        <v>-180.621940760401</v>
      </c>
      <c r="AS295" s="12">
        <f>-AS168</f>
        <v>-250.422759348384</v>
      </c>
      <c r="AT295" s="12">
        <f>-AT168</f>
        <v>-186.80186119578</v>
      </c>
      <c r="AU295" s="12">
        <f>-AU168</f>
        <v>-192.406860821382</v>
      </c>
      <c r="AV295" s="12">
        <f>SUM(AR295:AU295)</f>
        <v>-810.253422125947</v>
      </c>
      <c r="AW295" s="12">
        <f>-AW168</f>
        <v>-180.621940760401</v>
      </c>
      <c r="AX295" s="12">
        <f>-AX168</f>
        <v>-250.422759348384</v>
      </c>
      <c r="AY295" s="12">
        <f>-AY168</f>
        <v>-186.80186119578</v>
      </c>
      <c r="AZ295" s="12">
        <f>-AZ168</f>
        <v>-192.406860821382</v>
      </c>
      <c r="BA295" s="12">
        <f>SUM(AW295:AZ295)</f>
        <v>-810.253422125947</v>
      </c>
      <c r="BB295" s="12">
        <f>-BB168</f>
        <v>-180.621940760401</v>
      </c>
      <c r="BC295" s="12">
        <f>-BC168</f>
        <v>-250.422759348384</v>
      </c>
      <c r="BD295" s="12">
        <f>-BD168</f>
        <v>-186.80186119578</v>
      </c>
      <c r="BE295" s="12">
        <f>-BE168</f>
        <v>-192.406860821382</v>
      </c>
      <c r="BF295" s="12">
        <f>SUM(BB295:BE295)</f>
        <v>-810.253422125947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0</v>
      </c>
      <c r="K297" s="12">
        <f>(K176-J176)*-1</f>
        <v>0</v>
      </c>
      <c r="L297" s="12">
        <f>(L176-K176)*-1</f>
        <v>0</v>
      </c>
      <c r="M297" s="12" t="n"/>
      <c r="N297" s="12">
        <f>(N176-M176)*-1</f>
        <v>0</v>
      </c>
      <c r="O297" s="12">
        <f>(O176-N176)*-1</f>
        <v>0</v>
      </c>
      <c r="P297" s="12">
        <f>(P176-O176)*-1</f>
        <v>0</v>
      </c>
      <c r="Q297" s="12">
        <f>(Q176-P176)*-1</f>
        <v>0</v>
      </c>
      <c r="R297" s="12">
        <f>SUM(N297:Q297)</f>
        <v>0</v>
      </c>
      <c r="S297" s="12">
        <f>(S176-R176)*-1</f>
        <v>0</v>
      </c>
      <c r="T297" s="12">
        <f>(T176-S176)*-1</f>
        <v>0</v>
      </c>
      <c r="U297" s="12">
        <f>(U176-T176)*-1</f>
        <v>0</v>
      </c>
      <c r="V297" s="12">
        <f>(V176-U176)*-1</f>
        <v>0</v>
      </c>
      <c r="W297" s="12">
        <f>SUM(S297:V297)</f>
        <v>0</v>
      </c>
      <c r="X297" s="12">
        <f>(X176-W176)*-1</f>
        <v>0</v>
      </c>
      <c r="Y297" s="12">
        <f>(Y176-X176)*-1</f>
        <v>0</v>
      </c>
      <c r="Z297" s="12">
        <f>(Z176-Y176)*-1</f>
        <v>0</v>
      </c>
      <c r="AA297" s="12">
        <f>(AA176-Z176)*-1</f>
        <v>0</v>
      </c>
      <c r="AB297" s="12">
        <f>SUM(X297:AA297)</f>
        <v>0</v>
      </c>
      <c r="AC297" s="12">
        <f>(AC176-AB176)*-1</f>
        <v>0</v>
      </c>
      <c r="AD297" s="12">
        <f>(AD176-AC176)*-1</f>
        <v>0</v>
      </c>
      <c r="AE297" s="12">
        <f>(AE176-AD176)*-1</f>
        <v>0</v>
      </c>
      <c r="AF297" s="12">
        <f>(AF176-AE176)*-1</f>
        <v>0</v>
      </c>
      <c r="AG297" s="12">
        <f>SUM(AC297:AF297)</f>
        <v>0</v>
      </c>
      <c r="AH297" s="12">
        <f>(AH176-AG176)*-1</f>
        <v>0</v>
      </c>
      <c r="AI297" s="12">
        <f>(AI176-AH176)*-1</f>
        <v>0</v>
      </c>
      <c r="AJ297" s="12">
        <f>(AJ176-AI176)*-1</f>
        <v>0</v>
      </c>
      <c r="AK297" s="12">
        <f>(AK176-AJ176)*-1</f>
        <v>0</v>
      </c>
      <c r="AL297" s="12">
        <f>SUM(AH297:AK297)</f>
        <v>0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0</v>
      </c>
      <c r="K298" s="12">
        <f>((K180-J180)*-1)+((K179-J179)*-1)</f>
        <v>0</v>
      </c>
      <c r="L298" s="12">
        <f>((L180-K180)*-1)+((L179-K179)*-1)</f>
        <v>0</v>
      </c>
      <c r="M298" s="12" t="n"/>
      <c r="N298" s="12">
        <f>((N180-M180)*-1)+((N179-M179)*-1)</f>
        <v>0</v>
      </c>
      <c r="O298" s="12">
        <f>((O180-N180)*-1)+((O179-N179)*-1)</f>
        <v>0</v>
      </c>
      <c r="P298" s="12">
        <f>((P180-O180)*-1)+((P179-O179)*-1)</f>
        <v>0</v>
      </c>
      <c r="Q298" s="12">
        <f>((Q180-P180)*-1)+((Q179-P179)*-1)</f>
        <v>0</v>
      </c>
      <c r="R298" s="12">
        <f>SUM(N298:Q298)</f>
        <v>0</v>
      </c>
      <c r="S298" s="12">
        <f>((S180-R180)*-1)+((S179-R179)*-1)</f>
        <v>0</v>
      </c>
      <c r="T298" s="12">
        <f>((T180-S180)*-1)+((T179-S179)*-1)</f>
        <v>0</v>
      </c>
      <c r="U298" s="12">
        <f>((U180-T180)*-1)+((U179-T179)*-1)</f>
        <v>0</v>
      </c>
      <c r="V298" s="12">
        <f>((V180-U180)*-1)+((V179-U179)*-1)</f>
        <v>0</v>
      </c>
      <c r="W298" s="12">
        <f>SUM(S298:V298)</f>
        <v>0</v>
      </c>
      <c r="X298" s="12">
        <f>((X180-W180)*-1)+((X179-W179)*-1)</f>
        <v>0</v>
      </c>
      <c r="Y298" s="12">
        <f>((Y180-X180)*-1)+((Y179-X179)*-1)</f>
        <v>0</v>
      </c>
      <c r="Z298" s="12">
        <f>((Z180-Y180)*-1)+((Z179-Y179)*-1)</f>
        <v>0</v>
      </c>
      <c r="AA298" s="12">
        <f>((AA180-Z180)*-1)+((AA179-Z179)*-1)</f>
        <v>0</v>
      </c>
      <c r="AB298" s="12">
        <f>SUM(X298:AA298)</f>
        <v>0</v>
      </c>
      <c r="AC298" s="12">
        <f>((AC180-AB180)*-1)+((AC179-AB179)*-1)</f>
        <v>0</v>
      </c>
      <c r="AD298" s="12">
        <f>((AD180-AC180)*-1)+((AD179-AC179)*-1)</f>
        <v>0</v>
      </c>
      <c r="AE298" s="12">
        <f>((AE180-AD180)*-1)+((AE179-AD179)*-1)</f>
        <v>0</v>
      </c>
      <c r="AF298" s="12">
        <f>((AF180-AE180)*-1)+((AF179-AE179)*-1)</f>
        <v>0</v>
      </c>
      <c r="AG298" s="12">
        <f>SUM(AC298:AF298)</f>
        <v>0</v>
      </c>
      <c r="AH298" s="12">
        <f>((AH180-AG180)*-1)+((AH179-AG179)*-1)</f>
        <v>0</v>
      </c>
      <c r="AI298" s="12">
        <f>((AI180-AH180)*-1)+((AI179-AH179)*-1)</f>
        <v>0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0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-143.342000000001</v>
      </c>
      <c r="K299" s="12">
        <f>((K189-J189)*-1)+(K240-J240)</f>
        <v>186.012</v>
      </c>
      <c r="L299" s="12">
        <f>((L189-K189)*-1)+(L240-K240)</f>
        <v>-163.374999999999</v>
      </c>
      <c r="M299" s="12" t="n"/>
      <c r="N299" s="12">
        <f>((N189-M189)*-1)+(N240-M240)</f>
        <v>-60.2539999999999</v>
      </c>
      <c r="O299" s="12">
        <f>((O189-N189)*-1)+(O240-N240)</f>
        <v>-343.818</v>
      </c>
      <c r="P299" s="12">
        <f>((P189-O189)*-1)+(P240-O240)</f>
        <v>867.101</v>
      </c>
      <c r="Q299" s="12">
        <f>((Q189-P189)*-1)+(Q240-P240)</f>
        <v>58.3309999999992</v>
      </c>
      <c r="R299" s="12">
        <f>SUM(N299:Q299)</f>
        <v>521.359999999999</v>
      </c>
      <c r="S299" s="12">
        <f>((S189-R189)*-1)+(S240-R240)</f>
        <v>-135.084</v>
      </c>
      <c r="T299" s="12">
        <f>((T189-S189)*-1)+(T240-S240)</f>
        <v>-765.842</v>
      </c>
      <c r="U299" s="12">
        <f>((U189-T189)*-1)+(U240-T240)</f>
        <v>1148.266</v>
      </c>
      <c r="V299" s="12">
        <f>((V189-U189)*-1)+(V240-U240)</f>
        <v>62.9459999999999</v>
      </c>
      <c r="W299" s="12">
        <f>SUM(S299:V299)</f>
        <v>310.286000000001</v>
      </c>
      <c r="X299" s="12">
        <f>((X189-W189)*-1)+(X240-W240)</f>
        <v>-74.5389999999998</v>
      </c>
      <c r="Y299" s="12">
        <f>((Y189-X189)*-1)+(Y240-X240)</f>
        <v>-289.587</v>
      </c>
      <c r="Z299" s="12">
        <f>((Z189-Y189)*-1)+(Z240-Y240)</f>
        <v>444.486</v>
      </c>
      <c r="AA299" s="12">
        <f>((AA189-Z189)*-1)+(AA240-Z240)</f>
        <v>-60.1319999999996</v>
      </c>
      <c r="AB299" s="12">
        <f>SUM(X299:AA299)</f>
        <v>20.2280000000001</v>
      </c>
      <c r="AC299" s="12">
        <f>((AC189-AB189)*-1)+(AC240-AB240)</f>
        <v>-118.691</v>
      </c>
      <c r="AD299" s="12">
        <f>((AD189-AC189)*-1)+(AD240-AC240)</f>
        <v>-489.178000000001</v>
      </c>
      <c r="AE299" s="12">
        <f>((AE189-AD189)*-1)+(AE240-AD240)</f>
        <v>369.630000000001</v>
      </c>
      <c r="AF299" s="12">
        <f>((AF189-AE189)*-1)+(AF240-AE240)</f>
        <v>-67.5440000000008</v>
      </c>
      <c r="AG299" s="12">
        <f>SUM(AC299:AF299)</f>
        <v>-305.783</v>
      </c>
      <c r="AH299" s="12">
        <f>((AH189-AG189)*-1)+(AH240-AG240)</f>
        <v>131.596</v>
      </c>
      <c r="AI299" s="12">
        <f>((AI189-AH189)*-1)+(AI240-AH240)</f>
        <v>-215.120000000001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-83.5240000000003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-237.598</v>
      </c>
      <c r="K300" s="12">
        <f>SUM(K295,K296,K298,K299,K297)</f>
        <v>69.2419999999996</v>
      </c>
      <c r="L300" s="12">
        <f>SUM(L295,L296,L298,L299,L297)</f>
        <v>-224.387999999999</v>
      </c>
      <c r="M300" s="12" t="n"/>
      <c r="N300" s="12">
        <f>SUM(N295,N296,N298,N299,N297)</f>
        <v>-147.736</v>
      </c>
      <c r="O300" s="12">
        <f>SUM(O295,O296,O298,O299,O297)</f>
        <v>-470.518</v>
      </c>
      <c r="P300" s="12">
        <f>SUM(P295,P296,P298,P299,P297)</f>
        <v>670.849</v>
      </c>
      <c r="Q300" s="12">
        <f>SUM(Q295,Q296,Q298,Q299,Q297)</f>
        <v>-56.9170000000014</v>
      </c>
      <c r="R300" s="12">
        <f>SUM(R295,R296,R298,R299)</f>
        <v>-4.32200000000159</v>
      </c>
      <c r="S300" s="12">
        <f>SUM(S295,S296,S298,S299,S297)</f>
        <v>-276.084999999999</v>
      </c>
      <c r="T300" s="12">
        <f>SUM(T295,T296,T298,T299,T297)</f>
        <v>-922.277</v>
      </c>
      <c r="U300" s="12">
        <f>SUM(U295,U296,U298,U299,U297)</f>
        <v>897.015000000001</v>
      </c>
      <c r="V300" s="12">
        <f>SUM(V295,V296,V298,V299,V297)</f>
        <v>-82.7890000000004</v>
      </c>
      <c r="W300" s="12">
        <f>SUM(W295,W296,W298,W299)</f>
        <v>-384.135999999999</v>
      </c>
      <c r="X300" s="12">
        <f>SUM(X295,X296,X298,X299,X297)</f>
        <v>-299.176999999999</v>
      </c>
      <c r="Y300" s="12">
        <f>SUM(Y295,Y296,Y298,Y299,Y297)</f>
        <v>-504.275000000001</v>
      </c>
      <c r="Z300" s="12">
        <f>SUM(Z295,Z296,Z298,Z299,Z297)</f>
        <v>151.674</v>
      </c>
      <c r="AA300" s="12">
        <f>SUM(AA295,AA296,AA298,AA299,AA297)</f>
        <v>-269.848</v>
      </c>
      <c r="AB300" s="12">
        <f>SUM(AB295,AB296,AB298,AB299)</f>
        <v>-921.626</v>
      </c>
      <c r="AC300" s="12">
        <f>SUM(AC295,AC296,AC298,AC299,AC297)</f>
        <v>-451.447</v>
      </c>
      <c r="AD300" s="12">
        <f>SUM(AD295,AD296,AD298,AD299,AD297)</f>
        <v>-686.112000000001</v>
      </c>
      <c r="AE300" s="12">
        <f>SUM(AE295,AE296,AE298,AE299,AE297)</f>
        <v>133.670000000001</v>
      </c>
      <c r="AF300" s="12">
        <f>SUM(AF295,AF296,AF298,AF299,AF297)</f>
        <v>-201.266000000001</v>
      </c>
      <c r="AG300" s="12">
        <f>SUM(AG295,AG296,AG298,AG299)</f>
        <v>-1205.155</v>
      </c>
      <c r="AH300" s="12">
        <f>SUM(AH295,AH296,AH298,AH299,AH297)</f>
        <v>-8.59899999999954</v>
      </c>
      <c r="AI300" s="12">
        <f>SUM(AI295,AI296,AI298,AI299,AI297)</f>
        <v>-359.417</v>
      </c>
      <c r="AJ300" s="12">
        <f>SUM(AJ295,AJ296,AJ298,AJ299,AJ297)</f>
        <v>-186.072583098965</v>
      </c>
      <c r="AK300" s="12">
        <f>SUM(AK295,AK296,AK298,AK299,AK297)</f>
        <v>-191.655700697089</v>
      </c>
      <c r="AL300" s="12">
        <f>SUM(AL295,AL296,AL298,AL299)</f>
        <v>-745.744283796054</v>
      </c>
      <c r="AM300" s="12">
        <f>SUM(AM295,AM296,AM298,AM299,AM297)</f>
        <v>-180.621940760401</v>
      </c>
      <c r="AN300" s="12">
        <f>SUM(AN295,AN296,AN298,AN299,AN297)</f>
        <v>-250.422759348384</v>
      </c>
      <c r="AO300" s="12">
        <f>SUM(AO295,AO296,AO298,AO299,AO297)</f>
        <v>-186.80186119578</v>
      </c>
      <c r="AP300" s="12">
        <f>SUM(AP295,AP296,AP298,AP299,AP297)</f>
        <v>-192.406860821382</v>
      </c>
      <c r="AQ300" s="12">
        <f>SUM(AQ295,AQ296,AQ298,AQ299)</f>
        <v>-810.253422125947</v>
      </c>
      <c r="AR300" s="12">
        <f>SUM(AR295,AR296,AR298,AR299,AR297)</f>
        <v>-180.621940760401</v>
      </c>
      <c r="AS300" s="12">
        <f>SUM(AS295,AS296,AS298,AS299,AS297)</f>
        <v>-250.422759348384</v>
      </c>
      <c r="AT300" s="12">
        <f>SUM(AT295,AT296,AT298,AT299,AT297)</f>
        <v>-186.80186119578</v>
      </c>
      <c r="AU300" s="12">
        <f>SUM(AU295,AU296,AU298,AU299,AU297)</f>
        <v>-192.406860821382</v>
      </c>
      <c r="AV300" s="12">
        <f>SUM(AV295,AV296,AV298,AV299)</f>
        <v>-810.253422125947</v>
      </c>
      <c r="AW300" s="12">
        <f>SUM(AW295,AW296,AW298,AW299,AW297)</f>
        <v>-180.621940760401</v>
      </c>
      <c r="AX300" s="12">
        <f>SUM(AX295,AX296,AX298,AX299,AX297)</f>
        <v>-250.422759348384</v>
      </c>
      <c r="AY300" s="12">
        <f>SUM(AY295,AY296,AY298,AY299,AY297)</f>
        <v>-186.80186119578</v>
      </c>
      <c r="AZ300" s="12">
        <f>SUM(AZ295,AZ296,AZ298,AZ299,AZ297)</f>
        <v>-192.406860821382</v>
      </c>
      <c r="BA300" s="12">
        <f>SUM(BA295,BA296,BA298,BA299)</f>
        <v>-810.253422125947</v>
      </c>
      <c r="BB300" s="12">
        <f>SUM(BB295,BB296,BB298,BB299,BB297)</f>
        <v>-180.621940760401</v>
      </c>
      <c r="BC300" s="12">
        <f>SUM(BC295,BC296,BC298,BC299,BC297)</f>
        <v>-250.422759348384</v>
      </c>
      <c r="BD300" s="12">
        <f>SUM(BD295,BD296,BD298,BD299,BD297)</f>
        <v>-186.80186119578</v>
      </c>
      <c r="BE300" s="12">
        <f>SUM(BE295,BE296,BE298,BE299,BE297)</f>
        <v>-192.406860821382</v>
      </c>
      <c r="BF300" s="12">
        <f>SUM(BF295,BF296,BF298,BF299)</f>
        <v>-810.253422125947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0</v>
      </c>
      <c r="K303" s="12">
        <f>K254-J254</f>
        <v>0</v>
      </c>
      <c r="L303" s="12">
        <f>L254-K254</f>
        <v>0</v>
      </c>
      <c r="M303" s="12" t="n"/>
      <c r="N303" s="12">
        <f>N254-M254</f>
        <v>0</v>
      </c>
      <c r="O303" s="12">
        <f>O254-N254</f>
        <v>0</v>
      </c>
      <c r="P303" s="12">
        <f>P254-O254</f>
        <v>0</v>
      </c>
      <c r="Q303" s="12">
        <f>Q254-P254</f>
        <v>0</v>
      </c>
      <c r="R303" s="12">
        <f>SUM(N303:Q303)</f>
        <v>0</v>
      </c>
      <c r="S303" s="12">
        <f>S254-R254</f>
        <v>0</v>
      </c>
      <c r="T303" s="12">
        <f>T254-S254</f>
        <v>0</v>
      </c>
      <c r="U303" s="12">
        <f>U254-T254</f>
        <v>0</v>
      </c>
      <c r="V303" s="12">
        <f>V254-U254</f>
        <v>0</v>
      </c>
      <c r="W303" s="12">
        <f>SUM(S303:V303)</f>
        <v>0</v>
      </c>
      <c r="X303" s="12">
        <f>X254-W254</f>
        <v>0</v>
      </c>
      <c r="Y303" s="12">
        <f>Y254-X254</f>
        <v>0</v>
      </c>
      <c r="Z303" s="12">
        <f>Z254-Y254</f>
        <v>0</v>
      </c>
      <c r="AA303" s="12">
        <f>AA254-Z254</f>
        <v>0</v>
      </c>
      <c r="AB303" s="12">
        <f>SUM(X303:AA303)</f>
        <v>0</v>
      </c>
      <c r="AC303" s="12">
        <f>AC254-AB254</f>
        <v>0</v>
      </c>
      <c r="AD303" s="12">
        <f>AD254-AC254</f>
        <v>0</v>
      </c>
      <c r="AE303" s="12">
        <f>AE254-AD254</f>
        <v>0</v>
      </c>
      <c r="AF303" s="12">
        <f>AF254-AE254</f>
        <v>0</v>
      </c>
      <c r="AG303" s="12">
        <f>SUM(AC303:AF303)</f>
        <v>0</v>
      </c>
      <c r="AH303" s="12">
        <f>AH254-AG254</f>
        <v>0</v>
      </c>
      <c r="AI303" s="12">
        <f>AI254-AH254</f>
        <v>0</v>
      </c>
      <c r="AJ303" s="12">
        <f>AJ254-AI254</f>
        <v>0</v>
      </c>
      <c r="AK303" s="12">
        <f>AK254-AJ254</f>
        <v>0</v>
      </c>
      <c r="AL303" s="12">
        <f>SUM(AH303:AK303)</f>
        <v>0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0</v>
      </c>
      <c r="K304" s="12">
        <f>K267-J267</f>
        <v>0</v>
      </c>
      <c r="L304" s="12">
        <f>L267-K267</f>
        <v>0</v>
      </c>
      <c r="M304" s="12" t="n"/>
      <c r="N304" s="12">
        <f>N267-M267</f>
        <v>0</v>
      </c>
      <c r="O304" s="12">
        <f>O267-N267</f>
        <v>0</v>
      </c>
      <c r="P304" s="12">
        <f>P267-O267</f>
        <v>0</v>
      </c>
      <c r="Q304" s="12">
        <f>Q267-P267</f>
        <v>0</v>
      </c>
      <c r="R304" s="12">
        <f>SUM(N304:Q304)</f>
        <v>0</v>
      </c>
      <c r="S304" s="12">
        <f>S267-R267</f>
        <v>0</v>
      </c>
      <c r="T304" s="12">
        <f>T267-S267</f>
        <v>0</v>
      </c>
      <c r="U304" s="12">
        <f>U267-T267</f>
        <v>0</v>
      </c>
      <c r="V304" s="12">
        <f>V267-U267</f>
        <v>0</v>
      </c>
      <c r="W304" s="12">
        <f>SUM(S304:V304)</f>
        <v>0</v>
      </c>
      <c r="X304" s="12">
        <f>X267-W267</f>
        <v>0</v>
      </c>
      <c r="Y304" s="12">
        <f>Y267-X267</f>
        <v>0</v>
      </c>
      <c r="Z304" s="12">
        <f>Z267-Y267</f>
        <v>0</v>
      </c>
      <c r="AA304" s="12">
        <f>AA267-Z267</f>
        <v>0</v>
      </c>
      <c r="AB304" s="12">
        <f>SUM(X304:AA304)</f>
        <v>0</v>
      </c>
      <c r="AC304" s="12">
        <f>AC267-AB267</f>
        <v>0</v>
      </c>
      <c r="AD304" s="12">
        <f>AD267-AC267</f>
        <v>0</v>
      </c>
      <c r="AE304" s="12">
        <f>AE267-AD267</f>
        <v>0</v>
      </c>
      <c r="AF304" s="12">
        <f>AF267-AE267</f>
        <v>0</v>
      </c>
      <c r="AG304" s="12">
        <f>SUM(AC304:AF304)</f>
        <v>0</v>
      </c>
      <c r="AH304" s="12">
        <f>AH267-AG267</f>
        <v>0</v>
      </c>
      <c r="AI304" s="12">
        <f>AI267-AH267</f>
        <v>0</v>
      </c>
      <c r="AJ304" s="12">
        <f>AJ267-AI267</f>
        <v>0</v>
      </c>
      <c r="AK304" s="12">
        <f>AK267-AJ267</f>
        <v>0</v>
      </c>
      <c r="AL304" s="12">
        <f>SUM(AH304:AK304)</f>
        <v>0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7.11500000000001</v>
      </c>
      <c r="K305" s="12">
        <f>K268-J268</f>
        <v>-1.048</v>
      </c>
      <c r="L305" s="12">
        <f>L268-K268</f>
        <v>-15.418</v>
      </c>
      <c r="M305" s="12" t="n"/>
      <c r="N305" s="12">
        <f>N268-M268</f>
        <v>9.95400000000001</v>
      </c>
      <c r="O305" s="12">
        <f>O268-N268</f>
        <v>-18.221</v>
      </c>
      <c r="P305" s="12">
        <f>P268-O268</f>
        <v>-15.259</v>
      </c>
      <c r="Q305" s="12">
        <f>Q268-P268</f>
        <v>-13.618</v>
      </c>
      <c r="R305" s="12">
        <f>SUM(N305:Q305)</f>
        <v>-37.144</v>
      </c>
      <c r="S305" s="12">
        <f>S268-R268</f>
        <v>11.79</v>
      </c>
      <c r="T305" s="12">
        <f>T268-S268</f>
        <v>-3.108</v>
      </c>
      <c r="U305" s="12">
        <f>U268-T268</f>
        <v>-5.12399999999997</v>
      </c>
      <c r="V305" s="12">
        <f>V268-U268</f>
        <v>-7.30200000000002</v>
      </c>
      <c r="W305" s="12">
        <f>SUM(S305:V305)</f>
        <v>-3.74400000000003</v>
      </c>
      <c r="X305" s="12">
        <f>X268-W268</f>
        <v>5.428</v>
      </c>
      <c r="Y305" s="12">
        <f>Y268-X268</f>
        <v>-3.59199999999998</v>
      </c>
      <c r="Z305" s="12">
        <f>Z268-Y268</f>
        <v>-25.681</v>
      </c>
      <c r="AA305" s="12">
        <f>AA268-Z268</f>
        <v>-8.26000000000005</v>
      </c>
      <c r="AB305" s="12">
        <f>SUM(X305:AA305)</f>
        <v>-32.105</v>
      </c>
      <c r="AC305" s="12">
        <f>AC268-AB268</f>
        <v>2.45000000000005</v>
      </c>
      <c r="AD305" s="12">
        <f>AD268-AC268</f>
        <v>-1.01100000000002</v>
      </c>
      <c r="AE305" s="12">
        <f>AE268-AD268</f>
        <v>-3.00900000000001</v>
      </c>
      <c r="AF305" s="12">
        <f>AF268-AE268</f>
        <v>16.015</v>
      </c>
      <c r="AG305" s="12">
        <f>SUM(AC305:AF305)</f>
        <v>14.445</v>
      </c>
      <c r="AH305" s="12">
        <f>AH268-AG268</f>
        <v>15.7190000000001</v>
      </c>
      <c r="AI305" s="12">
        <f>AI268-AH268</f>
        <v>1.99899999999997</v>
      </c>
      <c r="AJ305" s="12">
        <f>AJ268-AI268</f>
        <v>0</v>
      </c>
      <c r="AK305" s="12">
        <f>AK268-AJ268</f>
        <v>0</v>
      </c>
      <c r="AL305" s="12">
        <f>SUM(AH305:AK305)</f>
        <v>17.718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-23.0250000000005</v>
      </c>
      <c r="K307" s="12">
        <f>(K270-J270)-K277</f>
        <v>-295.410999999998</v>
      </c>
      <c r="L307" s="12">
        <f>(L270-K270)-L277</f>
        <v>-122.632</v>
      </c>
      <c r="M307" s="12" t="n"/>
      <c r="N307" s="12">
        <f>(N270-M270)-N277</f>
        <v>-65.8769999999998</v>
      </c>
      <c r="O307" s="12">
        <f>(O270-N270)-O277</f>
        <v>-62.6579999999993</v>
      </c>
      <c r="P307" s="12">
        <f>(P270-O270)-P277</f>
        <v>-1085.889</v>
      </c>
      <c r="Q307" s="12">
        <f>(Q270-P270)-Q277</f>
        <v>-293.178</v>
      </c>
      <c r="R307" s="12">
        <f>SUM(N307:Q307)</f>
        <v>-1507.602</v>
      </c>
      <c r="S307" s="12">
        <f>(S270-R270)-S277</f>
        <v>-126.916</v>
      </c>
      <c r="T307" s="12">
        <f>(T270-S270)-T277</f>
        <v>-149.06</v>
      </c>
      <c r="U307" s="12">
        <f>(U270-T270)-U277</f>
        <v>-849.479999999999</v>
      </c>
      <c r="V307" s="12">
        <f>(V270-U270)-V277</f>
        <v>-178.812999999999</v>
      </c>
      <c r="W307" s="12">
        <f>SUM(S307:V307)</f>
        <v>-1304.269</v>
      </c>
      <c r="X307" s="12">
        <f>(X270-W270)-X277</f>
        <v>-75.0919999999997</v>
      </c>
      <c r="Y307" s="12">
        <f>(Y270-X270)-Y277</f>
        <v>-95.4700000000005</v>
      </c>
      <c r="Z307" s="12">
        <f>(Z270-Y270)-Z277</f>
        <v>-484.904</v>
      </c>
      <c r="AA307" s="12">
        <f>(AA270-Z270)-AA277</f>
        <v>-130.485999999999</v>
      </c>
      <c r="AB307" s="12">
        <f>SUM(X307:AA307)</f>
        <v>-785.952</v>
      </c>
      <c r="AC307" s="12">
        <f>(AC270-AB270)-AC277</f>
        <v>-11.3179999999997</v>
      </c>
      <c r="AD307" s="12">
        <f>(AD270-AC270)-AD277</f>
        <v>-47.2429999999994</v>
      </c>
      <c r="AE307" s="12">
        <f>(AE270-AD270)-AE277</f>
        <v>-198.972000000001</v>
      </c>
      <c r="AF307" s="12">
        <f>(AF270-AE270)-AF277</f>
        <v>-112.919999999999</v>
      </c>
      <c r="AG307" s="12">
        <f>SUM(AC307:AF307)</f>
        <v>-370.452999999999</v>
      </c>
      <c r="AH307" s="12">
        <f>(AH270-AG270)-AH277</f>
        <v>-33.2999999999992</v>
      </c>
      <c r="AI307" s="12">
        <f>(AI270-AH270)-AI277</f>
        <v>-78.2180000000011</v>
      </c>
      <c r="AJ307" s="12">
        <f>(AJ270-AI270)-AJ277</f>
        <v>0</v>
      </c>
      <c r="AK307" s="12">
        <f>(AK270-AJ270)-AK277</f>
        <v>0</v>
      </c>
      <c r="AL307" s="12">
        <f>SUM(AH307:AK307)</f>
        <v>-111.518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-0.0610000000000004</v>
      </c>
      <c r="K308" s="12">
        <f>(K248-J248)+K136</f>
        <v>-0.0669999999999996</v>
      </c>
      <c r="L308" s="12">
        <f>(L248-K248)+L136</f>
        <v>-0.841</v>
      </c>
      <c r="M308" s="12" t="n"/>
      <c r="N308" s="12">
        <f>(N248-M248)+N136</f>
        <v>-0.599</v>
      </c>
      <c r="O308" s="12">
        <f>(O248-N248)+O136</f>
        <v>-0.295</v>
      </c>
      <c r="P308" s="12">
        <f>(P248-O248)+P136</f>
        <v>-0.224</v>
      </c>
      <c r="Q308" s="12">
        <f>(Q248-P248)+Q136</f>
        <v>-0.0249999999999999</v>
      </c>
      <c r="R308" s="12">
        <f>SUM(N308:Q308)</f>
        <v>-1.143</v>
      </c>
      <c r="S308" s="12">
        <f>(S248-R248)+S136</f>
        <v>-0.573</v>
      </c>
      <c r="T308" s="12">
        <f>(T248-S248)+T136</f>
        <v>-0.0159999999999997</v>
      </c>
      <c r="U308" s="12">
        <f>(U248-T248)+U136</f>
        <v>-0.106</v>
      </c>
      <c r="V308" s="12">
        <f>(V248-U248)+V136</f>
        <v>0.87</v>
      </c>
      <c r="W308" s="12">
        <f>SUM(S308:V308)</f>
        <v>0.175</v>
      </c>
      <c r="X308" s="12">
        <f>(X248-W248)+X136</f>
        <v>-0.172</v>
      </c>
      <c r="Y308" s="12">
        <f>(Y248-X248)+Y136</f>
        <v>-0.0690000000000001</v>
      </c>
      <c r="Z308" s="12">
        <f>(Z248-Y248)+Z136</f>
        <v>0.953</v>
      </c>
      <c r="AA308" s="12">
        <f>(AA248-Z248)+AA136</f>
        <v>-1.367</v>
      </c>
      <c r="AB308" s="12">
        <f>SUM(X308:AA308)</f>
        <v>-0.655</v>
      </c>
      <c r="AC308" s="12">
        <f>(AC248-AB248)+AC136</f>
        <v>-0.515</v>
      </c>
      <c r="AD308" s="12">
        <f>(AD248-AC248)+AD136</f>
        <v>-1.265</v>
      </c>
      <c r="AE308" s="12">
        <f>(AE248-AD248)+AE136</f>
        <v>0.0150000000000001</v>
      </c>
      <c r="AF308" s="12">
        <f>(AF248-AE248)+AF136</f>
        <v>0.0239999999999998</v>
      </c>
      <c r="AG308" s="12">
        <f>SUM(AC308:AF308)</f>
        <v>-1.741</v>
      </c>
      <c r="AH308" s="12">
        <f>(AH248-AG248)+AH136</f>
        <v>0.0100000000000003</v>
      </c>
      <c r="AI308" s="12">
        <f>(AI248-AH248)+AI136</f>
        <v>-0.017</v>
      </c>
      <c r="AJ308" s="12">
        <f>(AJ248-AI248)+AJ136</f>
        <v>0</v>
      </c>
      <c r="AK308" s="12">
        <f>(AK248-AJ248)+AK136</f>
        <v>0</v>
      </c>
      <c r="AL308" s="12">
        <f>SUM(AH308:AK308)</f>
        <v>-0.00699999999999967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-2.31400000000008</v>
      </c>
      <c r="K309" s="12">
        <f>SUM(K212:K214,K217,K238,K235)-SUM(J212:J214,J217,J238,J235)</f>
        <v>-151.43</v>
      </c>
      <c r="L309" s="12">
        <f>SUM(L212:L214,L217,L238,L235)-SUM(K212:K214,K217,K238,K235)</f>
        <v>-3.24900000000002</v>
      </c>
      <c r="M309" s="12" t="n"/>
      <c r="N309" s="12">
        <f>SUM(N212:N214,N217,N238,N235)-SUM(M212:M214,M217,M238,M235)</f>
        <v>349.615</v>
      </c>
      <c r="O309" s="12">
        <f>SUM(O212:O214,O217,O238,O235)-SUM(N212:N214,N217,N238,N235)</f>
        <v>-2.63999999999987</v>
      </c>
      <c r="P309" s="12">
        <f>SUM(P212:P214,P217,P238,P235)-SUM(O212:O214,O217,O238,O235)</f>
        <v>-3.27299999999991</v>
      </c>
      <c r="Q309" s="12">
        <f>SUM(Q212:Q214,Q217,Q238,Q235)-SUM(P212:P214,P217,P238,P235)</f>
        <v>-0.768000000000257</v>
      </c>
      <c r="R309" s="12">
        <f>SUM(N309:Q309)</f>
        <v>342.934</v>
      </c>
      <c r="S309" s="12">
        <f>SUM(S212:S214,S217,S238,S235)-SUM(R212:R214,R217,R238,R235)</f>
        <v>-3.92699999999991</v>
      </c>
      <c r="T309" s="12">
        <f>SUM(T212:T214,T217,T238,T235)-SUM(S212:S214,S217,S238,S235)</f>
        <v>-1.86299999999983</v>
      </c>
      <c r="U309" s="12">
        <f>SUM(U212:U214,U217,U238,U235)-SUM(T212:T214,T217,T238,T235)</f>
        <v>-124.598</v>
      </c>
      <c r="V309" s="12">
        <f>SUM(V212:V214,V217,V238,V235)-SUM(U212:U214,U217,U238,U235)</f>
        <v>-2.09299999999985</v>
      </c>
      <c r="W309" s="12">
        <f>SUM(S309:V309)</f>
        <v>-132.481</v>
      </c>
      <c r="X309" s="12">
        <f>SUM(X212:X214,X217,X238,X235)-SUM(W212:W214,W217,W238,W235)</f>
        <v>3.06999999999994</v>
      </c>
      <c r="Y309" s="12">
        <f>SUM(Y212:Y214,Y217,Y238,Y235)-SUM(X212:X214,X217,X238,X235)</f>
        <v>-2.24199999999996</v>
      </c>
      <c r="Z309" s="12">
        <f>SUM(Z212:Z214,Z217,Z238,Z235)-SUM(Y212:Y214,Y217,Y238,Y235)</f>
        <v>335.067</v>
      </c>
      <c r="AA309" s="12">
        <f>SUM(AA212:AA214,AA217,AA238,AA235)-SUM(Z212:Z214,Z217,Z238,Z235)</f>
        <v>-2.33399999999983</v>
      </c>
      <c r="AB309" s="12">
        <f>SUM(X309:AA309)</f>
        <v>333.561</v>
      </c>
      <c r="AC309" s="12">
        <f>SUM(AC212:AC214,AC217,AC238,AC235)-SUM(AB212:AB214,AB217,AB238,AB235)</f>
        <v>-142.612</v>
      </c>
      <c r="AD309" s="12">
        <f>SUM(AD212:AD214,AD217,AD238,AD235)-SUM(AC212:AC214,AC217,AC238,AC235)</f>
        <v>-0.367000000000189</v>
      </c>
      <c r="AE309" s="12">
        <f>SUM(AE212:AE214,AE217,AE238,AE235)-SUM(AD212:AD214,AD217,AD238,AD235)</f>
        <v>-180.314</v>
      </c>
      <c r="AF309" s="12">
        <f>SUM(AF212:AF214,AF217,AF238,AF235)-SUM(AE212:AE214,AE217,AE238,AE235)</f>
        <v>-5.75099999999998</v>
      </c>
      <c r="AG309" s="12">
        <f>SUM(AC309:AF309)</f>
        <v>-329.044</v>
      </c>
      <c r="AH309" s="12">
        <f>SUM(AH212:AH214,AH217,AH238,AH235)-SUM(AG212:AG214,AG217,AG238,AG235)</f>
        <v>302.598</v>
      </c>
      <c r="AI309" s="12">
        <f>SUM(AI212:AI214,AI217,AI238,AI235)-SUM(AH212:AH214,AH217,AH238,AH235)</f>
        <v>0.902000000000498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303.5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-18.2850000000006</v>
      </c>
      <c r="K310" s="12">
        <f>SUM(K302,K303,K304,K305,K306,K307,K308,K309)</f>
        <v>-447.955999999998</v>
      </c>
      <c r="L310" s="12">
        <f>SUM(L302,L303,L304,L305,L306,L307,L308,L309)</f>
        <v>-142.14</v>
      </c>
      <c r="M310" s="12" t="n"/>
      <c r="N310" s="12">
        <f>SUM(N302,N303,N304,N305,N306,N307,N308,N309)</f>
        <v>293.093</v>
      </c>
      <c r="O310" s="12">
        <f>SUM(O302,O303,O304,O305,O306,O307,O308,O309)</f>
        <v>-83.8139999999992</v>
      </c>
      <c r="P310" s="12">
        <f>SUM(P302,P303,P304,P305,P306,P307,P308,P309)</f>
        <v>-1104.645</v>
      </c>
      <c r="Q310" s="12">
        <f>SUM(Q302,Q303,Q304,Q305,Q306,Q307,Q308,Q309)</f>
        <v>-307.589</v>
      </c>
      <c r="R310" s="12">
        <f>SUM(R302,R303,R304,R305,R306,R307,R308,R309)</f>
        <v>-1202.955</v>
      </c>
      <c r="S310" s="12">
        <f>SUM(S302,S303,S304,S305,S306,S307,S308,S309)</f>
        <v>-119.626</v>
      </c>
      <c r="T310" s="12">
        <f>SUM(T302,T303,T304,T305,T306,T307,T308,T309)</f>
        <v>-154.047</v>
      </c>
      <c r="U310" s="12">
        <f>SUM(U302,U303,U304,U305,U306,U307,U308,U309)</f>
        <v>-979.308</v>
      </c>
      <c r="V310" s="12">
        <f>SUM(V302,V303,V304,V305,V306,V307,V308,V309)</f>
        <v>-187.337999999999</v>
      </c>
      <c r="W310" s="12">
        <f>SUM(W302,W303,W304,W305,W306,W307,W308,W309)</f>
        <v>-1440.319</v>
      </c>
      <c r="X310" s="12">
        <f>SUM(X302,X303,X304,X305,X306,X307,X308,X309)</f>
        <v>-66.7659999999997</v>
      </c>
      <c r="Y310" s="12">
        <f>SUM(Y302,Y303,Y304,Y305,Y306,Y307,Y308,Y309)</f>
        <v>-101.373</v>
      </c>
      <c r="Z310" s="12">
        <f>SUM(Z302,Z303,Z304,Z305,Z306,Z307,Z308,Z309)</f>
        <v>-174.565</v>
      </c>
      <c r="AA310" s="12">
        <f>SUM(AA302,AA303,AA304,AA305,AA306,AA307,AA308,AA309)</f>
        <v>-142.446999999999</v>
      </c>
      <c r="AB310" s="12">
        <f>SUM(AB302,AB303,AB304,AB305,AB306,AB307,AB308,AB309)</f>
        <v>-485.151</v>
      </c>
      <c r="AC310" s="12">
        <f>SUM(AC302,AC303,AC304,AC305,AC306,AC307,AC308,AC309)</f>
        <v>-151.995</v>
      </c>
      <c r="AD310" s="12">
        <f>SUM(AD302,AD303,AD304,AD305,AD306,AD307,AD308,AD309)</f>
        <v>-49.8859999999996</v>
      </c>
      <c r="AE310" s="12">
        <f>SUM(AE302,AE303,AE304,AE305,AE306,AE307,AE308,AE309)</f>
        <v>-382.280000000001</v>
      </c>
      <c r="AF310" s="12">
        <f>SUM(AF302,AF303,AF304,AF305,AF306,AF307,AF308,AF309)</f>
        <v>-102.631999999999</v>
      </c>
      <c r="AG310" s="12">
        <f>SUM(AG302,AG303,AG304,AG305,AG306,AG307,AG308,AG309)</f>
        <v>-686.792999999999</v>
      </c>
      <c r="AH310" s="12">
        <f>SUM(AH302,AH303,AH304,AH305,AH306,AH307,AH308,AH309)</f>
        <v>285.027000000001</v>
      </c>
      <c r="AI310" s="12">
        <f>SUM(AI302,AI303,AI304,AI305,AI306,AI307,AI308,AI309)</f>
        <v>-75.3340000000006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209.693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0</v>
      </c>
      <c r="K312" s="12">
        <f>K144-J144-SUM(K293,K300,K310)</f>
        <v>0</v>
      </c>
      <c r="L312" s="12">
        <f>L144-K144-SUM(L293,L300,L310)</f>
        <v>-1.02318153949454e-12</v>
      </c>
      <c r="M312" s="12" t="n"/>
      <c r="N312" s="12">
        <f>N144-M144-SUM(N293,N300,N310)</f>
        <v>0</v>
      </c>
      <c r="O312" s="12">
        <f>O144-N144-SUM(O293,O300,O310)</f>
        <v>-1.33582034322899e-12</v>
      </c>
      <c r="P312" s="12">
        <f>P144-O144-SUM(P293,P300,P310)</f>
        <v>1.70530256582424e-12</v>
      </c>
      <c r="Q312" s="12">
        <f>Q144-P144-SUM(Q293,Q300,Q310)</f>
        <v>1.62003743753303e-12</v>
      </c>
      <c r="R312" s="12">
        <f>SUM(N312:Q312)</f>
        <v>1.98951966012828e-12</v>
      </c>
      <c r="S312" s="12">
        <f>S144-R144-SUM(S293,S300,S310)</f>
        <v>-6.82121026329696e-13</v>
      </c>
      <c r="T312" s="12">
        <f>T144-S144-SUM(T293,T300,T310)</f>
        <v>0</v>
      </c>
      <c r="U312" s="12">
        <f>U144-T144-SUM(U293,U300,U310)</f>
        <v>0</v>
      </c>
      <c r="V312" s="12">
        <f>V144-U144-SUM(V293,V300,V310)</f>
        <v>0</v>
      </c>
      <c r="W312" s="12">
        <f>SUM(S312:V312)</f>
        <v>-6.82121026329696e-13</v>
      </c>
      <c r="X312" s="12">
        <f>X144-W144-SUM(X293,X300,X310)</f>
        <v>0</v>
      </c>
      <c r="Y312" s="12">
        <f>Y144-X144-SUM(Y293,Y300,Y310)</f>
        <v>0</v>
      </c>
      <c r="Z312" s="12">
        <f>Z144-Y144-SUM(Z293,Z300,Z310)</f>
        <v>0</v>
      </c>
      <c r="AA312" s="12">
        <f>AA144-Z144-SUM(AA293,AA300,AA310)</f>
        <v>0</v>
      </c>
      <c r="AB312" s="12">
        <f>SUM(X312:AA312)</f>
        <v>0</v>
      </c>
      <c r="AC312" s="12">
        <f>AC144-AB144-SUM(AC293,AC300,AC310)</f>
        <v>5.96855898038484e-13</v>
      </c>
      <c r="AD312" s="12">
        <f>AD144-AC144-SUM(AD293,AD300,AD310)</f>
        <v>4.68958205601666e-13</v>
      </c>
      <c r="AE312" s="12">
        <f>AE144-AD144-SUM(AE293,AE300,AE310)</f>
        <v>-1.3926637620898e-12</v>
      </c>
      <c r="AF312" s="12">
        <f>AF144-AE144-SUM(AF293,AF300,AF310)</f>
        <v>1.36424205265939e-12</v>
      </c>
      <c r="AG312" s="12">
        <f>SUM(AC312:AF312)</f>
        <v>1.03739239420975e-12</v>
      </c>
      <c r="AH312" s="12">
        <f>AH144-AG144-SUM(AH293,AH300,AH310)</f>
        <v>0</v>
      </c>
      <c r="AI312" s="12">
        <f>AI144-AH144-SUM(AI293,AI300,AI310)</f>
        <v>0</v>
      </c>
      <c r="AJ312" s="12">
        <f>AJ144-AI144-SUM(AJ293,AJ300,AJ310)</f>
        <v>0</v>
      </c>
      <c r="AK312" s="12">
        <f>AK144-AJ144-SUM(AK293,AK300,AK310)</f>
        <v>-2.1316282072803e-12</v>
      </c>
      <c r="AL312" s="12">
        <f>SUM(AH312:AK312)</f>
        <v>-2.1316282072803e-12</v>
      </c>
      <c r="AM312" s="12">
        <f>AM144-AL144-SUM(AM293,AM300,AM310)</f>
        <v>4.77484718430787e-12</v>
      </c>
      <c r="AN312" s="12">
        <f>AN144-AM144-SUM(AN293,AN300,AN310)</f>
        <v>0</v>
      </c>
      <c r="AO312" s="12">
        <f>AO144-AN144-SUM(AO293,AO300,AO310)</f>
        <v>0</v>
      </c>
      <c r="AP312" s="12">
        <f>AP144-AO144-SUM(AP293,AP300,AP310)</f>
        <v>5.11590769747272e-13</v>
      </c>
      <c r="AQ312" s="12">
        <f>SUM(AM312:AP312)</f>
        <v>5.28643795405515e-12</v>
      </c>
      <c r="AR312" s="12">
        <f>AR144-AQ144-SUM(AR293,AR300,AR310)</f>
        <v>2.38742359215394e-12</v>
      </c>
      <c r="AS312" s="12">
        <f>AS144-AR144-SUM(AS293,AS300,AS310)</f>
        <v>0</v>
      </c>
      <c r="AT312" s="12">
        <f>AT144-AS144-SUM(AT293,AT300,AT310)</f>
        <v>0</v>
      </c>
      <c r="AU312" s="12">
        <f>AU144-AT144-SUM(AU293,AU300,AU310)</f>
        <v>-3.46744855050929e-12</v>
      </c>
      <c r="AV312" s="12">
        <f>SUM(AR312:AU312)</f>
        <v>-1.08002495835535e-12</v>
      </c>
      <c r="AW312" s="12">
        <f>AW144-AV144-SUM(AW293,AW300,AW310)</f>
        <v>2.95585778076202e-12</v>
      </c>
      <c r="AX312" s="12">
        <f>AX144-AW144-SUM(AX293,AX300,AX310)</f>
        <v>0</v>
      </c>
      <c r="AY312" s="12">
        <f>AY144-AX144-SUM(AY293,AY300,AY310)</f>
        <v>0</v>
      </c>
      <c r="AZ312" s="12">
        <f>AZ144-AY144-SUM(AZ293,AZ300,AZ310)</f>
        <v>-3.46744855050929e-12</v>
      </c>
      <c r="BA312" s="12">
        <f>SUM(AW312:AZ312)</f>
        <v>-5.11590769747272e-13</v>
      </c>
      <c r="BB312" s="12">
        <f>BB144-BA144-SUM(BB293,BB300,BB310)</f>
        <v>2.95585778076202e-12</v>
      </c>
      <c r="BC312" s="12">
        <f>BC144-BB144-SUM(BC293,BC300,BC310)</f>
        <v>0</v>
      </c>
      <c r="BD312" s="12">
        <f>BD144-BC144-SUM(BD293,BD300,BD310)</f>
        <v>0</v>
      </c>
      <c r="BE312" s="12">
        <f>BE144-BD144-SUM(BE293,BE300,BE310)</f>
        <v>1.70530256582424e-13</v>
      </c>
      <c r="BF312" s="12">
        <f>SUM(BB312:BE312)</f>
        <v>3.12638803734444e-12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83.5550000000003</v>
      </c>
      <c r="K314" s="12">
        <f>SUM(K293,K300,K310,K312)</f>
        <v>111.929</v>
      </c>
      <c r="L314" s="12">
        <f>SUM(L293,L300,L310,L312)</f>
        <v>-103.157</v>
      </c>
      <c r="M314" s="12" t="n"/>
      <c r="N314" s="12">
        <f>SUM(N293,N300,N310,N312)</f>
        <v>-98.0660000000003</v>
      </c>
      <c r="O314" s="12">
        <f>SUM(O293,O300,O310,O312)</f>
        <v>157.32</v>
      </c>
      <c r="P314" s="12">
        <f>SUM(P293,P300,P310,P312)</f>
        <v>424.701</v>
      </c>
      <c r="Q314" s="12">
        <f>SUM(Q293,Q300,Q310,Q312)</f>
        <v>-157.661</v>
      </c>
      <c r="R314" s="12">
        <f>SUM(N314:Q314)</f>
        <v>326.294</v>
      </c>
      <c r="S314" s="12">
        <f>SUM(S293,S300,S310,S312)</f>
        <v>-174.076</v>
      </c>
      <c r="T314" s="12">
        <f>SUM(T293,T300,T310,T312)</f>
        <v>535.103</v>
      </c>
      <c r="U314" s="12">
        <f>SUM(U293,U300,U310,U312)</f>
        <v>767.963</v>
      </c>
      <c r="V314" s="12">
        <f>SUM(V293,V300,V310,V312)</f>
        <v>-415.528999999999</v>
      </c>
      <c r="W314" s="12">
        <f>SUM(S314:V314)</f>
        <v>713.461000000001</v>
      </c>
      <c r="X314" s="12">
        <f>SUM(X293,X300,X310,X312)</f>
        <v>-716.465</v>
      </c>
      <c r="Y314" s="12">
        <f>SUM(Y293,Y300,Y310,Y312)</f>
        <v>-323.164000000001</v>
      </c>
      <c r="Z314" s="12">
        <f>SUM(Z293,Z300,Z310,Z312)</f>
        <v>484.737</v>
      </c>
      <c r="AA314" s="12">
        <f>SUM(AA293,AA300,AA310,AA312)</f>
        <v>-344.374</v>
      </c>
      <c r="AB314" s="12">
        <f>SUM(X314:AA314)</f>
        <v>-899.266</v>
      </c>
      <c r="AC314" s="12">
        <f>SUM(AC293,AC300,AC310,AC312)</f>
        <v>-17.191</v>
      </c>
      <c r="AD314" s="12">
        <f>SUM(AD293,AD300,AD310,AD312)</f>
        <v>-109.438</v>
      </c>
      <c r="AE314" s="12">
        <f>SUM(AE293,AE300,AE310,AE312)</f>
        <v>3.964</v>
      </c>
      <c r="AF314" s="12">
        <f>SUM(AF293,AF300,AF310,AF312)</f>
        <v>46.868</v>
      </c>
      <c r="AG314" s="12">
        <f>SUM(AC314:AF314)</f>
        <v>-75.797</v>
      </c>
      <c r="AH314" s="12">
        <f>SUM(AH293,AH300,AH310,AH312)</f>
        <v>-126.222</v>
      </c>
      <c r="AI314" s="12">
        <f>SUM(AI293,AI300,AI310,AI312)</f>
        <v>249.142</v>
      </c>
      <c r="AJ314" s="12">
        <f>SUM(AJ293,AJ300,AJ310,AJ312)</f>
        <v>460.359328786335</v>
      </c>
      <c r="AK314" s="12">
        <f>SUM(AK293,AK300,AK310,AK312)</f>
        <v>-23.1162067149853</v>
      </c>
      <c r="AL314" s="12">
        <f>SUM(AH314:AK314)</f>
        <v>560.16312207135</v>
      </c>
      <c r="AM314" s="12">
        <f>SUM(AM293,AM300,AM310,AM312)</f>
        <v>291.321645441651</v>
      </c>
      <c r="AN314" s="12">
        <f>SUM(AN293,AN300,AN310,AN312)</f>
        <v>-1591.52636375415</v>
      </c>
      <c r="AO314" s="12">
        <f>SUM(AO293,AO300,AO310,AO312)</f>
        <v>1807.32606751079</v>
      </c>
      <c r="AP314" s="12">
        <f>SUM(AP293,AP300,AP310,AP312)</f>
        <v>-23.1708907354077</v>
      </c>
      <c r="AQ314" s="12">
        <f>SUM(AM314:AP314)</f>
        <v>483.950458462884</v>
      </c>
      <c r="AR314" s="12">
        <f>SUM(AR293,AR300,AR310,AR312)</f>
        <v>359.113096697191</v>
      </c>
      <c r="AS314" s="12">
        <f>SUM(AS293,AS300,AS310,AS312)</f>
        <v>-1646.27642459094</v>
      </c>
      <c r="AT314" s="12">
        <f>SUM(AT293,AT300,AT310,AT312)</f>
        <v>1804.25951684787</v>
      </c>
      <c r="AU314" s="12">
        <f>SUM(AU293,AU300,AU310,AU312)</f>
        <v>-26.2494601933286</v>
      </c>
      <c r="AV314" s="12">
        <f>SUM(AR314:AU314)</f>
        <v>490.84672876079</v>
      </c>
      <c r="AW314" s="12">
        <f>SUM(AW293,AW300,AW310,AW312)</f>
        <v>307.417614649923</v>
      </c>
      <c r="AX314" s="12">
        <f>SUM(AX293,AX300,AX310,AX312)</f>
        <v>-1594.58094254367</v>
      </c>
      <c r="AY314" s="12">
        <f>SUM(AY293,AY300,AY310,AY312)</f>
        <v>1804.25951684787</v>
      </c>
      <c r="AZ314" s="12">
        <f>SUM(AZ293,AZ300,AZ310,AZ312)</f>
        <v>-26.2494601933286</v>
      </c>
      <c r="BA314" s="12">
        <f>SUM(AW314:AZ314)</f>
        <v>490.84672876079</v>
      </c>
      <c r="BB314" s="12">
        <f>SUM(BB293,BB300,BB310,BB312)</f>
        <v>307.417614649923</v>
      </c>
      <c r="BC314" s="12">
        <f>SUM(BC293,BC300,BC310,BC312)</f>
        <v>-1594.58094254367</v>
      </c>
      <c r="BD314" s="12">
        <f>SUM(BD293,BD300,BD310,BD312)</f>
        <v>1804.25951684787</v>
      </c>
      <c r="BE314" s="12">
        <f>SUM(BE293,BE300,BE310,BE312)</f>
        <v>-26.2494601933249</v>
      </c>
      <c r="BF314" s="12">
        <f>SUM(BB314:BE314)</f>
        <v>490.846728760794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-2.27373675443232e-12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0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0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0.241873863227854</v>
      </c>
      <c r="O321" s="257">
        <f>IFERROR(IF(AND(ISNUMBER(O15),ISNUMBER(J15),J15&lt;&gt;0),O15/J15-1,""),"")</f>
        <v>0.201990196501804</v>
      </c>
      <c r="P321" s="257">
        <f>IFERROR(IF(AND(ISNUMBER(P15),ISNUMBER(K15),K15&lt;&gt;0),P15/K15-1,""),"")</f>
        <v>0.282223815390868</v>
      </c>
      <c r="Q321" s="257">
        <f>IFERROR(IF(AND(ISNUMBER(Q15),ISNUMBER(L15),L15&lt;&gt;0),Q15/L15-1,""),"")</f>
        <v>0.173249159042886</v>
      </c>
      <c r="R321" s="257">
        <f>IFERROR(IF(AND(ISNUMBER(R15),ISNUMBER(M15),M15&lt;&gt;0),R15/M15-1,""),"")</f>
        <v>0.223169137816382</v>
      </c>
      <c r="S321" s="257">
        <f>IFERROR(IF(AND(ISNUMBER(S15),ISNUMBER(N15),N15&lt;&gt;0),S15/N15-1,""),"")</f>
        <v>0.0942900268548403</v>
      </c>
      <c r="T321" s="257">
        <f>IFERROR(IF(AND(ISNUMBER(T15),ISNUMBER(O15),O15&lt;&gt;0),T15/O15-1,""),"")</f>
        <v>-0.0846168636211265</v>
      </c>
      <c r="U321" s="257">
        <f>IFERROR(IF(AND(ISNUMBER(U15),ISNUMBER(P15),P15&lt;&gt;0),U15/P15-1,""),"")</f>
        <v>-0.293835980648776</v>
      </c>
      <c r="V321" s="257">
        <f>IFERROR(IF(AND(ISNUMBER(V15),ISNUMBER(Q15),Q15&lt;&gt;0),V15/Q15-1,""),"")</f>
        <v>-0.107723511161311</v>
      </c>
      <c r="W321" s="257">
        <f>IFERROR(IF(AND(ISNUMBER(W15),ISNUMBER(R15),R15&lt;&gt;0),W15/R15-1,""),"")</f>
        <v>-0.109949326795707</v>
      </c>
      <c r="X321" s="257">
        <f>IFERROR(IF(AND(ISNUMBER(X15),ISNUMBER(S15),S15&lt;&gt;0),X15/S15-1,""),"")</f>
        <v>-0.196285295424507</v>
      </c>
      <c r="Y321" s="257">
        <f>IFERROR(IF(AND(ISNUMBER(Y15),ISNUMBER(T15),T15&lt;&gt;0),Y15/T15-1,""),"")</f>
        <v>-0.200986009455639</v>
      </c>
      <c r="Z321" s="257">
        <f>IFERROR(IF(AND(ISNUMBER(Z15),ISNUMBER(U15),U15&lt;&gt;0),Z15/U15-1,""),"")</f>
        <v>-0.0334157740389954</v>
      </c>
      <c r="AA321" s="257">
        <f>IFERROR(IF(AND(ISNUMBER(AA15),ISNUMBER(V15),V15&lt;&gt;0),AA15/V15-1,""),"")</f>
        <v>-0.184058374854201</v>
      </c>
      <c r="AB321" s="257">
        <f>IFERROR(IF(AND(ISNUMBER(AB15),ISNUMBER(W15),W15&lt;&gt;0),AB15/W15-1,""),"")</f>
        <v>-0.159451955738916</v>
      </c>
      <c r="AC321" s="257">
        <f>IFERROR(IF(AND(ISNUMBER(AC15),ISNUMBER(X15),X15&lt;&gt;0),AC15/X15-1,""),"")</f>
        <v>-0.142095388380497</v>
      </c>
      <c r="AD321" s="257">
        <f>IFERROR(IF(AND(ISNUMBER(AD15),ISNUMBER(Y15),Y15&lt;&gt;0),AD15/Y15-1,""),"")</f>
        <v>0.0163844602493313</v>
      </c>
      <c r="AE321" s="257">
        <f>IFERROR(IF(AND(ISNUMBER(AE15),ISNUMBER(Z15),Z15&lt;&gt;0),AE15/Z15-1,""),"")</f>
        <v>-0.0619377927532573</v>
      </c>
      <c r="AF321" s="257">
        <f>IFERROR(IF(AND(ISNUMBER(AF15),ISNUMBER(AA15),AA15&lt;&gt;0),AF15/AA15-1,""),"")</f>
        <v>-0.0462667116557235</v>
      </c>
      <c r="AG321" s="257">
        <f>IFERROR(IF(AND(ISNUMBER(AG15),ISNUMBER(AB15),AB15&lt;&gt;0),AG15/AB15-1,""),"")</f>
        <v>-0.057368523767578</v>
      </c>
      <c r="AH321" s="257">
        <f>IFERROR(IF(AND(ISNUMBER(AH15),ISNUMBER(AC15),AC15&lt;&gt;0),AH15/AC15-1,""),"")</f>
        <v>0.0715221061156659</v>
      </c>
      <c r="AI321" s="257">
        <f>IFERROR(IF(AND(ISNUMBER(AI15),ISNUMBER(AD15),AD15&lt;&gt;0),AI15/AD15-1,""),"")</f>
        <v>0.185909249662696</v>
      </c>
      <c r="AJ321" s="257">
        <f>IFERROR(IF(AND(ISNUMBER(AJ15),ISNUMBER(AE15),AE15&lt;&gt;0),AJ15/AE15-1,""),"")</f>
        <v>0.00391932053970256</v>
      </c>
      <c r="AK321" s="257">
        <f>IFERROR(IF(AND(ISNUMBER(AK15),ISNUMBER(AF15),AF15&lt;&gt;0),AK15/AF15-1,""),"")</f>
        <v>0.00391932053970256</v>
      </c>
      <c r="AL321" s="257">
        <f>IFERROR(IF(AND(ISNUMBER(AL15),ISNUMBER(AG15),AG15&lt;&gt;0),AL15/AG15-1,""),"")</f>
        <v>0.0696990369768946</v>
      </c>
      <c r="AM321" s="257">
        <f>IFERROR(IF(AND(ISNUMBER(AM15),ISNUMBER(AH15),AH15&lt;&gt;0),AM15/AH15-1,""),"")</f>
        <v>0.00391932053970256</v>
      </c>
      <c r="AN321" s="257">
        <f>IFERROR(IF(AND(ISNUMBER(AN15),ISNUMBER(AI15),AI15&lt;&gt;0),AN15/AI15-1,""),"")</f>
        <v>0.00391932053970256</v>
      </c>
      <c r="AO321" s="257">
        <f>IFERROR(IF(AND(ISNUMBER(AO15),ISNUMBER(AJ15),AJ15&lt;&gt;0),AO15/AJ15-1,""),"")</f>
        <v>0.00391932053970256</v>
      </c>
      <c r="AP321" s="257">
        <f>IFERROR(IF(AND(ISNUMBER(AP15),ISNUMBER(AK15),AK15&lt;&gt;0),AP15/AK15-1,""),"")</f>
        <v>0.00391932053970256</v>
      </c>
      <c r="AQ321" s="257">
        <f>IFERROR(IF(AND(ISNUMBER(AQ15),ISNUMBER(AL15),AL15&lt;&gt;0),AQ15/AL15-1,""),"")</f>
        <v>0.00391932053970279</v>
      </c>
      <c r="AR321" s="257">
        <f>IFERROR(IF(AND(ISNUMBER(AR15),ISNUMBER(AM15),AM15&lt;&gt;0),AR15/AM15-1,""),"")</f>
        <v>0</v>
      </c>
      <c r="AS321" s="257">
        <f>IFERROR(IF(AND(ISNUMBER(AS15),ISNUMBER(AN15),AN15&lt;&gt;0),AS15/AN15-1,""),"")</f>
        <v>0</v>
      </c>
      <c r="AT321" s="257">
        <f>IFERROR(IF(AND(ISNUMBER(AT15),ISNUMBER(AO15),AO15&lt;&gt;0),AT15/AO15-1,""),"")</f>
        <v>0</v>
      </c>
      <c r="AU321" s="257">
        <f>IFERROR(IF(AND(ISNUMBER(AU15),ISNUMBER(AP15),AP15&lt;&gt;0),AU15/AP15-1,""),"")</f>
        <v>0</v>
      </c>
      <c r="AV321" s="257">
        <f>IFERROR(IF(AND(ISNUMBER(AV15),ISNUMBER(AQ15),AQ15&lt;&gt;0),AV15/AQ15-1,""),"")</f>
        <v>0</v>
      </c>
      <c r="AW321" s="257">
        <f>IFERROR(IF(AND(ISNUMBER(AW15),ISNUMBER(AR15),AR15&lt;&gt;0),AW15/AR15-1,""),"")</f>
        <v>0</v>
      </c>
      <c r="AX321" s="257">
        <f>IFERROR(IF(AND(ISNUMBER(AX15),ISNUMBER(AS15),AS15&lt;&gt;0),AX15/AS15-1,""),"")</f>
        <v>0</v>
      </c>
      <c r="AY321" s="257">
        <f>IFERROR(IF(AND(ISNUMBER(AY15),ISNUMBER(AT15),AT15&lt;&gt;0),AY15/AT15-1,""),"")</f>
        <v>0</v>
      </c>
      <c r="AZ321" s="257">
        <f>IFERROR(IF(AND(ISNUMBER(AZ15),ISNUMBER(AU15),AU15&lt;&gt;0),AZ15/AU15-1,""),"")</f>
        <v>0</v>
      </c>
      <c r="BA321" s="257">
        <f>IFERROR(IF(AND(ISNUMBER(BA15),ISNUMBER(AV15),AV15&lt;&gt;0),BA15/AV15-1,""),"")</f>
        <v>0</v>
      </c>
      <c r="BB321" s="257">
        <f>IFERROR(IF(AND(ISNUMBER(BB15),ISNUMBER(AW15),AW15&lt;&gt;0),BB15/AW15-1,""),"")</f>
        <v>0</v>
      </c>
      <c r="BC321" s="257">
        <f>IFERROR(IF(AND(ISNUMBER(BC15),ISNUMBER(AX15),AX15&lt;&gt;0),BC15/AX15-1,""),"")</f>
        <v>0</v>
      </c>
      <c r="BD321" s="257">
        <f>IFERROR(IF(AND(ISNUMBER(BD15),ISNUMBER(AY15),AY15&lt;&gt;0),BD15/AY15-1,""),"")</f>
        <v>0</v>
      </c>
      <c r="BE321" s="257">
        <f>IFERROR(IF(AND(ISNUMBER(BE15),ISNUMBER(AZ15),AZ15&lt;&gt;0),BE15/AZ15-1,""),"")</f>
        <v>0</v>
      </c>
      <c r="BF321" s="257">
        <f>IFERROR(IF(AND(ISNUMBER(BF15),ISNUMBER(BA15),BA15&lt;&gt;0),BF15/BA15-1,""),"")</f>
        <v>0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0.012225727897748</v>
      </c>
      <c r="J322" s="258">
        <f>IFERROR(IF(N(J15)&lt;&gt;0,(J15+J54)/J15,""),"")</f>
        <v>0.0287857905634926</v>
      </c>
      <c r="K322" s="258">
        <f>IFERROR(IF(N(K15)&lt;&gt;0,(K15+K54)/K15,""),"")</f>
        <v>0.0340525011078244</v>
      </c>
      <c r="L322" s="258">
        <f>IFERROR(IF(N(L15)&lt;&gt;0,(L15+L54)/L15,""),"")</f>
        <v>0.0477823372031927</v>
      </c>
      <c r="M322" s="258">
        <f>IFERROR(IF(N(M15)&lt;&gt;0,(M15+M54)/M15,""),"")</f>
        <v>0.0318419796427003</v>
      </c>
      <c r="N322" s="258">
        <f>IFERROR(IF(N(N15)&lt;&gt;0,(N15+N54)/N15,""),"")</f>
        <v>0.0260339423191943</v>
      </c>
      <c r="O322" s="258">
        <f>IFERROR(IF(N(O15)&lt;&gt;0,(O15+O54)/O15,""),"")</f>
        <v>0.049038707161149</v>
      </c>
      <c r="P322" s="258">
        <f>IFERROR(IF(N(P15)&lt;&gt;0,(P15+P54)/P15,""),"")</f>
        <v>0.051616606018319</v>
      </c>
      <c r="Q322" s="258">
        <f>IFERROR(IF(N(Q15)&lt;&gt;0,(Q15+Q54)/Q15,""),"")</f>
        <v>0.0688662139636886</v>
      </c>
      <c r="R322" s="258">
        <f>IFERROR(IF(N(R15)&lt;&gt;0,(R15+R54)/R15,""),"")</f>
        <v>0.0500465127065081</v>
      </c>
      <c r="S322" s="258">
        <f>IFERROR(IF(N(S15)&lt;&gt;0,(S15+S54)/S15,""),"")</f>
        <v>0.0339853334899346</v>
      </c>
      <c r="T322" s="258">
        <f>IFERROR(IF(N(T15)&lt;&gt;0,(T15+T54)/T15,""),"")</f>
        <v>0.0560732696044612</v>
      </c>
      <c r="U322" s="258">
        <f>IFERROR(IF(N(U15)&lt;&gt;0,(U15+U54)/U15,""),"")</f>
        <v>0.0462027931784863</v>
      </c>
      <c r="V322" s="258">
        <f>IFERROR(IF(N(V15)&lt;&gt;0,(V15+V54)/V15,""),"")</f>
        <v>0.0566209607908515</v>
      </c>
      <c r="W322" s="258">
        <f>IFERROR(IF(N(W15)&lt;&gt;0,(W15+W54)/W15,""),"")</f>
        <v>0.048447101100009</v>
      </c>
      <c r="X322" s="258">
        <f>IFERROR(IF(N(X15)&lt;&gt;0,(X15+X54)/X15,""),"")</f>
        <v>0.0402633073195209</v>
      </c>
      <c r="Y322" s="258">
        <f>IFERROR(IF(N(Y15)&lt;&gt;0,(Y15+Y54)/Y15,""),"")</f>
        <v>0.048683091644558</v>
      </c>
      <c r="Z322" s="258">
        <f>IFERROR(IF(N(Z15)&lt;&gt;0,(Z15+Z54)/Z15,""),"")</f>
        <v>0.029723870702198</v>
      </c>
      <c r="AA322" s="258">
        <f>IFERROR(IF(N(AA15)&lt;&gt;0,(AA15+AA54)/AA15,""),"")</f>
        <v>0.0431107350546238</v>
      </c>
      <c r="AB322" s="258">
        <f>IFERROR(IF(N(AB15)&lt;&gt;0,(AB15+AB54)/AB15,""),"")</f>
        <v>0.0405506754894156</v>
      </c>
      <c r="AC322" s="258">
        <f>IFERROR(IF(N(AC15)&lt;&gt;0,(AC15+AC54)/AC15,""),"")</f>
        <v>0.00978875453410513</v>
      </c>
      <c r="AD322" s="258">
        <f>IFERROR(IF(N(AD15)&lt;&gt;0,(AD15+AD54)/AD15,""),"")</f>
        <v>0.0337698938024482</v>
      </c>
      <c r="AE322" s="258">
        <f>IFERROR(IF(N(AE15)&lt;&gt;0,(AE15+AE54)/AE15,""),"")</f>
        <v>0.0383472517175459</v>
      </c>
      <c r="AF322" s="258">
        <f>IFERROR(IF(N(AF15)&lt;&gt;0,(AF15+AF54)/AF15,""),"")</f>
        <v>0.0439245748921717</v>
      </c>
      <c r="AG322" s="258">
        <f>IFERROR(IF(N(AG15)&lt;&gt;0,(AG15+AG54)/AG15,""),"")</f>
        <v>0.0321269331993628</v>
      </c>
      <c r="AH322" s="258">
        <f>IFERROR(IF(N(AH15)&lt;&gt;0,(AH15+AH54)/AH15,""),"")</f>
        <v>0.00309057289079884</v>
      </c>
      <c r="AI322" s="258">
        <f>IFERROR(IF(N(AI15)&lt;&gt;0,(AI15+AI54)/AI15,""),"")</f>
        <v>0.0354530171543321</v>
      </c>
      <c r="AJ322" s="258">
        <f>IFERROR(IF(N(AJ15)&lt;&gt;0,(AJ15+AJ54)/AJ15,""),"")</f>
        <v>0.027395677498567</v>
      </c>
      <c r="AK322" s="258">
        <f>IFERROR(IF(N(AK15)&lt;&gt;0,(AK15+AK54)/AK15,""),"")</f>
        <v>0.027395677498567</v>
      </c>
      <c r="AL322" s="258">
        <f>IFERROR(IF(N(AL15)&lt;&gt;0,(AL15+AL54)/AL15,""),"")</f>
        <v>0.0244678355786755</v>
      </c>
      <c r="AM322" s="258">
        <f>IFERROR(IF(N(AM15)&lt;&gt;0,(AM15+AM54)/AM15,""),"")</f>
        <v>0.0273956774985669</v>
      </c>
      <c r="AN322" s="258">
        <f>IFERROR(IF(N(AN15)&lt;&gt;0,(AN15+AN54)/AN15,""),"")</f>
        <v>0.027395677498567</v>
      </c>
      <c r="AO322" s="258">
        <f>IFERROR(IF(N(AO15)&lt;&gt;0,(AO15+AO54)/AO15,""),"")</f>
        <v>0.0273956774985669</v>
      </c>
      <c r="AP322" s="258">
        <f>IFERROR(IF(N(AP15)&lt;&gt;0,(AP15+AP54)/AP15,""),"")</f>
        <v>0.027395677498567</v>
      </c>
      <c r="AQ322" s="258">
        <f>IFERROR(IF(N(AQ15)&lt;&gt;0,(AQ15+AQ54)/AQ15,""),"")</f>
        <v>0.0273956774985671</v>
      </c>
      <c r="AR322" s="258">
        <f>IFERROR(IF(N(AR15)&lt;&gt;0,(AR15+AR54)/AR15,""),"")</f>
        <v>0.0273956774985669</v>
      </c>
      <c r="AS322" s="258">
        <f>IFERROR(IF(N(AS15)&lt;&gt;0,(AS15+AS54)/AS15,""),"")</f>
        <v>0.027395677498567</v>
      </c>
      <c r="AT322" s="258">
        <f>IFERROR(IF(N(AT15)&lt;&gt;0,(AT15+AT54)/AT15,""),"")</f>
        <v>0.0273956774985669</v>
      </c>
      <c r="AU322" s="258">
        <f>IFERROR(IF(N(AU15)&lt;&gt;0,(AU15+AU54)/AU15,""),"")</f>
        <v>0.027395677498567</v>
      </c>
      <c r="AV322" s="258">
        <f>IFERROR(IF(N(AV15)&lt;&gt;0,(AV15+AV54)/AV15,""),"")</f>
        <v>0.0273956774985671</v>
      </c>
      <c r="AW322" s="258">
        <f>IFERROR(IF(N(AW15)&lt;&gt;0,(AW15+AW54)/AW15,""),"")</f>
        <v>0.0273956774985669</v>
      </c>
      <c r="AX322" s="258">
        <f>IFERROR(IF(N(AX15)&lt;&gt;0,(AX15+AX54)/AX15,""),"")</f>
        <v>0.027395677498567</v>
      </c>
      <c r="AY322" s="258">
        <f>IFERROR(IF(N(AY15)&lt;&gt;0,(AY15+AY54)/AY15,""),"")</f>
        <v>0.0273956774985669</v>
      </c>
      <c r="AZ322" s="258">
        <f>IFERROR(IF(N(AZ15)&lt;&gt;0,(AZ15+AZ54)/AZ15,""),"")</f>
        <v>0.027395677498567</v>
      </c>
      <c r="BA322" s="258">
        <f>IFERROR(IF(N(BA15)&lt;&gt;0,(BA15+BA54)/BA15,""),"")</f>
        <v>0.0273956774985671</v>
      </c>
      <c r="BB322" s="258">
        <f>IFERROR(IF(N(BB15)&lt;&gt;0,(BB15+BB54)/BB15,""),"")</f>
        <v>0.0273956774985669</v>
      </c>
      <c r="BC322" s="258">
        <f>IFERROR(IF(N(BC15)&lt;&gt;0,(BC15+BC54)/BC15,""),"")</f>
        <v>0.027395677498567</v>
      </c>
      <c r="BD322" s="258">
        <f>IFERROR(IF(N(BD15)&lt;&gt;0,(BD15+BD54)/BD15,""),"")</f>
        <v>0.0273956774985669</v>
      </c>
      <c r="BE322" s="258">
        <f>IFERROR(IF(N(BE15)&lt;&gt;0,(BE15+BE54)/BE15,""),"")</f>
        <v>0.027395677498567</v>
      </c>
      <c r="BF322" s="258">
        <f>IFERROR(IF(N(BF15)&lt;&gt;0,(BF15+BF54)/BF15,""),"")</f>
        <v>0.0273956774985671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-0.00718616074524545</v>
      </c>
      <c r="J323" s="257">
        <f>IFERROR(IF(N(J15)&lt;&gt;0,J73/J15,""),"")</f>
        <v>0.0117040513172216</v>
      </c>
      <c r="K323" s="257">
        <f>IFERROR(IF(N(K15)&lt;&gt;0,K73/K15,""),"")</f>
        <v>0.0124228994619954</v>
      </c>
      <c r="L323" s="257">
        <f>IFERROR(IF(N(L15)&lt;&gt;0,L73/L15,""),"")</f>
        <v>0.0289478020692861</v>
      </c>
      <c r="M323" s="258">
        <f>IFERROR(IF(N(M15)&lt;&gt;0,M73/M15,""),"")</f>
        <v>0.0126394785412713</v>
      </c>
      <c r="N323" s="257">
        <f>IFERROR(IF(N(N15)&lt;&gt;0,N73/N15,""),"")</f>
        <v>0.00238788191303085</v>
      </c>
      <c r="O323" s="257">
        <f>IFERROR(IF(N(O15)&lt;&gt;0,O73/O15,""),"")</f>
        <v>0.0305320008244959</v>
      </c>
      <c r="P323" s="257">
        <f>IFERROR(IF(N(P15)&lt;&gt;0,P73/P15,""),"")</f>
        <v>0.0288914249865538</v>
      </c>
      <c r="Q323" s="257">
        <f>IFERROR(IF(N(Q15)&lt;&gt;0,Q73/Q15,""),"")</f>
        <v>0.0504838734062054</v>
      </c>
      <c r="R323" s="258">
        <f>IFERROR(IF(N(R15)&lt;&gt;0,R73/R15,""),"")</f>
        <v>0.0293614429028245</v>
      </c>
      <c r="S323" s="257">
        <f>IFERROR(IF(N(S15)&lt;&gt;0,S73/S15,""),"")</f>
        <v>0.0125890080064754</v>
      </c>
      <c r="T323" s="257">
        <f>IFERROR(IF(N(T15)&lt;&gt;0,T73/T15,""),"")</f>
        <v>0.0333527606027947</v>
      </c>
      <c r="U323" s="257">
        <f>IFERROR(IF(N(U15)&lt;&gt;0,U73/U15,""),"")</f>
        <v>0.0163926498319612</v>
      </c>
      <c r="V323" s="257">
        <f>IFERROR(IF(N(V15)&lt;&gt;0,V73/V15,""),"")</f>
        <v>0.0344926517853489</v>
      </c>
      <c r="W323" s="258">
        <f>IFERROR(IF(N(W15)&lt;&gt;0,W73/W15,""),"")</f>
        <v>0.0246959034530116</v>
      </c>
      <c r="X323" s="257">
        <f>IFERROR(IF(N(X15)&lt;&gt;0,X73/X15,""),"")</f>
        <v>0.00744562849106681</v>
      </c>
      <c r="Y323" s="257">
        <f>IFERROR(IF(N(Y15)&lt;&gt;0,Y73/Y15,""),"")</f>
        <v>0.0157519271290208</v>
      </c>
      <c r="Z323" s="257">
        <f>IFERROR(IF(N(Z15)&lt;&gt;0,Z73/Z15,""),"")</f>
        <v>-0.00300388877043953</v>
      </c>
      <c r="AA323" s="257">
        <f>IFERROR(IF(N(AA15)&lt;&gt;0,AA73/AA15,""),"")</f>
        <v>0.0148293887570969</v>
      </c>
      <c r="AB323" s="258">
        <f>IFERROR(IF(N(AB15)&lt;&gt;0,AB73/AB15,""),"")</f>
        <v>0.00886029352113672</v>
      </c>
      <c r="AC323" s="257">
        <f>IFERROR(IF(N(AC15)&lt;&gt;0,AC73/AC15,""),"")</f>
        <v>-0.022056027103492</v>
      </c>
      <c r="AD323" s="257">
        <f>IFERROR(IF(N(AD15)&lt;&gt;0,AD73/AD15,""),"")</f>
        <v>0.00726581416058141</v>
      </c>
      <c r="AE323" s="257">
        <f>IFERROR(IF(N(AE15)&lt;&gt;0,AE73/AE15,""),"")</f>
        <v>0.00626559688696718</v>
      </c>
      <c r="AF323" s="257">
        <f>IFERROR(IF(N(AF15)&lt;&gt;0,AF73/AF15,""),"")</f>
        <v>0.0136767348397536</v>
      </c>
      <c r="AG323" s="258">
        <f>IFERROR(IF(N(AG15)&lt;&gt;0,AG73/AG15,""),"")</f>
        <v>0.00211691396013995</v>
      </c>
      <c r="AH323" s="257">
        <f>IFERROR(IF(N(AH15)&lt;&gt;0,AH73/AH15,""),"")</f>
        <v>-0.0289438651266234</v>
      </c>
      <c r="AI323" s="257">
        <f>IFERROR(IF(N(AI15)&lt;&gt;0,AI73/AI15,""),"")</f>
        <v>0.00935383936352076</v>
      </c>
      <c r="AJ323" s="257">
        <f>IFERROR(IF(N(AJ15)&lt;&gt;0,AJ73/AJ15,""),"")</f>
        <v>-0.00240631782988206</v>
      </c>
      <c r="AK323" s="257">
        <f>IFERROR(IF(N(AK15)&lt;&gt;0,AK73/AK15,""),"")</f>
        <v>-0.00240631782988211</v>
      </c>
      <c r="AL323" s="258">
        <f>IFERROR(IF(N(AL15)&lt;&gt;0,AL73/AL15,""),"")</f>
        <v>-0.00468739709538673</v>
      </c>
      <c r="AM323" s="257">
        <f>IFERROR(IF(N(AM15)&lt;&gt;0,AM73/AM15,""),"")</f>
        <v>-0.00240631782988212</v>
      </c>
      <c r="AN323" s="257">
        <f>IFERROR(IF(N(AN15)&lt;&gt;0,AN73/AN15,""),"")</f>
        <v>-0.00240631782988205</v>
      </c>
      <c r="AO323" s="257">
        <f>IFERROR(IF(N(AO15)&lt;&gt;0,AO73/AO15,""),"")</f>
        <v>-0.00240631782988216</v>
      </c>
      <c r="AP323" s="257">
        <f>IFERROR(IF(N(AP15)&lt;&gt;0,AP73/AP15,""),"")</f>
        <v>-0.00240631782988201</v>
      </c>
      <c r="AQ323" s="258">
        <f>IFERROR(IF(N(AQ15)&lt;&gt;0,AQ73/AQ15,""),"")</f>
        <v>-0.00240631782988208</v>
      </c>
      <c r="AR323" s="257">
        <f>IFERROR(IF(N(AR15)&lt;&gt;0,AR73/AR15,""),"")</f>
        <v>-0.00240631782988212</v>
      </c>
      <c r="AS323" s="257">
        <f>IFERROR(IF(N(AS15)&lt;&gt;0,AS73/AS15,""),"")</f>
        <v>-0.00240631782988205</v>
      </c>
      <c r="AT323" s="257">
        <f>IFERROR(IF(N(AT15)&lt;&gt;0,AT73/AT15,""),"")</f>
        <v>-0.00240631782988216</v>
      </c>
      <c r="AU323" s="257">
        <f>IFERROR(IF(N(AU15)&lt;&gt;0,AU73/AU15,""),"")</f>
        <v>-0.00240631782988201</v>
      </c>
      <c r="AV323" s="258">
        <f>IFERROR(IF(N(AV15)&lt;&gt;0,AV73/AV15,""),"")</f>
        <v>-0.00240631782988208</v>
      </c>
      <c r="AW323" s="257">
        <f>IFERROR(IF(N(AW15)&lt;&gt;0,AW73/AW15,""),"")</f>
        <v>-0.00240631782988212</v>
      </c>
      <c r="AX323" s="257">
        <f>IFERROR(IF(N(AX15)&lt;&gt;0,AX73/AX15,""),"")</f>
        <v>-0.00240631782988205</v>
      </c>
      <c r="AY323" s="257">
        <f>IFERROR(IF(N(AY15)&lt;&gt;0,AY73/AY15,""),"")</f>
        <v>-0.00240631782988216</v>
      </c>
      <c r="AZ323" s="257">
        <f>IFERROR(IF(N(AZ15)&lt;&gt;0,AZ73/AZ15,""),"")</f>
        <v>-0.00240631782988201</v>
      </c>
      <c r="BA323" s="258">
        <f>IFERROR(IF(N(BA15)&lt;&gt;0,BA73/BA15,""),"")</f>
        <v>-0.00240631782988208</v>
      </c>
      <c r="BB323" s="257">
        <f>IFERROR(IF(N(BB15)&lt;&gt;0,BB73/BB15,""),"")</f>
        <v>-0.00240631782988212</v>
      </c>
      <c r="BC323" s="257">
        <f>IFERROR(IF(N(BC15)&lt;&gt;0,BC73/BC15,""),"")</f>
        <v>-0.00240631782988205</v>
      </c>
      <c r="BD323" s="257">
        <f>IFERROR(IF(N(BD15)&lt;&gt;0,BD73/BD15,""),"")</f>
        <v>-0.00240631782988216</v>
      </c>
      <c r="BE323" s="257">
        <f>IFERROR(IF(N(BE15)&lt;&gt;0,BE73/BE15,""),"")</f>
        <v>-0.00240631782988201</v>
      </c>
      <c r="BF323" s="258">
        <f>IFERROR(IF(N(BF15)&lt;&gt;0,BF73/BF15,""),"")</f>
        <v>-0.00240631782988208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0.00880319715043899</v>
      </c>
      <c r="J324" s="257">
        <f>IFERROR(IF(N(J15)&lt;&gt;0,J69/J15,""),"")</f>
        <v>0.0239576006388304</v>
      </c>
      <c r="K324" s="257">
        <f>IFERROR(IF(N(K15)&lt;&gt;0,K69/K15,""),"")</f>
        <v>0.0251912398620333</v>
      </c>
      <c r="L324" s="257">
        <f>IFERROR(IF(N(L15)&lt;&gt;0,L69/L15,""),"")</f>
        <v>0.041150261879757</v>
      </c>
      <c r="M324" s="258">
        <f>IFERROR(IF(N(M15)&lt;&gt;0,M69/M15,""),"")</f>
        <v>0.0257775394750867</v>
      </c>
      <c r="N324" s="257">
        <f>IFERROR(IF(N(N15)&lt;&gt;0,N69/N15,""),"")</f>
        <v>0.0152006447948955</v>
      </c>
      <c r="O324" s="257">
        <f>IFERROR(IF(N(O15)&lt;&gt;0,O69/O15,""),"")</f>
        <v>0.0407621594120869</v>
      </c>
      <c r="P324" s="257">
        <f>IFERROR(IF(N(P15)&lt;&gt;0,P69/P15,""),"")</f>
        <v>0.0390792908975695</v>
      </c>
      <c r="Q324" s="257">
        <f>IFERROR(IF(N(Q15)&lt;&gt;0,Q69/Q15,""),"")</f>
        <v>0.0607760289002548</v>
      </c>
      <c r="R324" s="258">
        <f>IFERROR(IF(N(R15)&lt;&gt;0,R69/R15,""),"")</f>
        <v>0.0401332631516056</v>
      </c>
      <c r="S324" s="257">
        <f>IFERROR(IF(N(S15)&lt;&gt;0,S69/S15,""),"")</f>
        <v>0.0244831273932399</v>
      </c>
      <c r="T324" s="257">
        <f>IFERROR(IF(N(T15)&lt;&gt;0,T69/T15,""),"")</f>
        <v>0.0445452127219484</v>
      </c>
      <c r="U324" s="257">
        <f>IFERROR(IF(N(U15)&lt;&gt;0,U69/U15,""),"")</f>
        <v>0.0310426448905762</v>
      </c>
      <c r="V324" s="257">
        <f>IFERROR(IF(N(V15)&lt;&gt;0,V69/V15,""),"")</f>
        <v>0.0466110912995543</v>
      </c>
      <c r="W324" s="258">
        <f>IFERROR(IF(N(W15)&lt;&gt;0,W69/W15,""),"")</f>
        <v>0.0370485481758006</v>
      </c>
      <c r="X324" s="257">
        <f>IFERROR(IF(N(X15)&lt;&gt;0,X69/X15,""),"")</f>
        <v>0.0228736679475498</v>
      </c>
      <c r="Y324" s="257">
        <f>IFERROR(IF(N(Y15)&lt;&gt;0,Y69/Y15,""),"")</f>
        <v>0.0306839964229305</v>
      </c>
      <c r="Z324" s="257">
        <f>IFERROR(IF(N(Z15)&lt;&gt;0,Z69/Z15,""),"")</f>
        <v>0.0131470002315212</v>
      </c>
      <c r="AA324" s="257">
        <f>IFERROR(IF(N(AA15)&lt;&gt;0,AA69/AA15,""),"")</f>
        <v>0.0307194490447285</v>
      </c>
      <c r="AB324" s="258">
        <f>IFERROR(IF(N(AB15)&lt;&gt;0,AB69/AB15,""),"")</f>
        <v>0.0244540764682427</v>
      </c>
      <c r="AC324" s="257">
        <f>IFERROR(IF(N(AC15)&lt;&gt;0,AC69/AC15,""),"")</f>
        <v>-0.00217080366553364</v>
      </c>
      <c r="AD324" s="257">
        <f>IFERROR(IF(N(AD15)&lt;&gt;0,AD69/AD15,""),"")</f>
        <v>0.0235839720610037</v>
      </c>
      <c r="AE324" s="257">
        <f>IFERROR(IF(N(AE15)&lt;&gt;0,AE69/AE15,""),"")</f>
        <v>0.0282672878230755</v>
      </c>
      <c r="AF324" s="257">
        <f>IFERROR(IF(N(AF15)&lt;&gt;0,AF69/AF15,""),"")</f>
        <v>0.0329495231554141</v>
      </c>
      <c r="AG324" s="258">
        <f>IFERROR(IF(N(AG15)&lt;&gt;0,AG69/AG15,""),"")</f>
        <v>0.0213726643183777</v>
      </c>
      <c r="AH324" s="257">
        <f>IFERROR(IF(N(AH15)&lt;&gt;0,AH69/AH15,""),"")</f>
        <v>-0.00827923514007002</v>
      </c>
      <c r="AI324" s="257">
        <f>IFERROR(IF(N(AI15)&lt;&gt;0,AI69/AI15,""),"")</f>
        <v>0.0236273439100667</v>
      </c>
      <c r="AJ324" s="257">
        <f>IFERROR(IF(N(AJ15)&lt;&gt;0,AJ69/AJ15,""),"")</f>
        <v>0.0163296813573261</v>
      </c>
      <c r="AK324" s="257">
        <f>IFERROR(IF(N(AK15)&lt;&gt;0,AK69/AK15,""),"")</f>
        <v>0.016329681357326</v>
      </c>
      <c r="AL324" s="258">
        <f>IFERROR(IF(N(AL15)&lt;&gt;0,AL69/AL15,""),"")</f>
        <v>0.0130993223202089</v>
      </c>
      <c r="AM324" s="257">
        <f>IFERROR(IF(N(AM15)&lt;&gt;0,AM69/AM15,""),"")</f>
        <v>0.016329681357326</v>
      </c>
      <c r="AN324" s="257">
        <f>IFERROR(IF(N(AN15)&lt;&gt;0,AN69/AN15,""),"")</f>
        <v>0.0163296813573261</v>
      </c>
      <c r="AO324" s="257">
        <f>IFERROR(IF(N(AO15)&lt;&gt;0,AO69/AO15,""),"")</f>
        <v>0.016329681357326</v>
      </c>
      <c r="AP324" s="257">
        <f>IFERROR(IF(N(AP15)&lt;&gt;0,AP69/AP15,""),"")</f>
        <v>0.0163296813573261</v>
      </c>
      <c r="AQ324" s="258">
        <f>IFERROR(IF(N(AQ15)&lt;&gt;0,AQ69/AQ15,""),"")</f>
        <v>0.0163296813573261</v>
      </c>
      <c r="AR324" s="257">
        <f>IFERROR(IF(N(AR15)&lt;&gt;0,AR69/AR15,""),"")</f>
        <v>0.016329681357326</v>
      </c>
      <c r="AS324" s="257">
        <f>IFERROR(IF(N(AS15)&lt;&gt;0,AS69/AS15,""),"")</f>
        <v>0.0163296813573261</v>
      </c>
      <c r="AT324" s="257">
        <f>IFERROR(IF(N(AT15)&lt;&gt;0,AT69/AT15,""),"")</f>
        <v>0.016329681357326</v>
      </c>
      <c r="AU324" s="257">
        <f>IFERROR(IF(N(AU15)&lt;&gt;0,AU69/AU15,""),"")</f>
        <v>0.0163296813573261</v>
      </c>
      <c r="AV324" s="258">
        <f>IFERROR(IF(N(AV15)&lt;&gt;0,AV69/AV15,""),"")</f>
        <v>0.0163296813573261</v>
      </c>
      <c r="AW324" s="257">
        <f>IFERROR(IF(N(AW15)&lt;&gt;0,AW69/AW15,""),"")</f>
        <v>0.016329681357326</v>
      </c>
      <c r="AX324" s="257">
        <f>IFERROR(IF(N(AX15)&lt;&gt;0,AX69/AX15,""),"")</f>
        <v>0.0163296813573261</v>
      </c>
      <c r="AY324" s="257">
        <f>IFERROR(IF(N(AY15)&lt;&gt;0,AY69/AY15,""),"")</f>
        <v>0.016329681357326</v>
      </c>
      <c r="AZ324" s="257">
        <f>IFERROR(IF(N(AZ15)&lt;&gt;0,AZ69/AZ15,""),"")</f>
        <v>0.0163296813573261</v>
      </c>
      <c r="BA324" s="258">
        <f>IFERROR(IF(N(BA15)&lt;&gt;0,BA69/BA15,""),"")</f>
        <v>0.0163296813573261</v>
      </c>
      <c r="BB324" s="257">
        <f>IFERROR(IF(N(BB15)&lt;&gt;0,BB69/BB15,""),"")</f>
        <v>0.016329681357326</v>
      </c>
      <c r="BC324" s="257">
        <f>IFERROR(IF(N(BC15)&lt;&gt;0,BC69/BC15,""),"")</f>
        <v>0.0163296813573261</v>
      </c>
      <c r="BD324" s="257">
        <f>IFERROR(IF(N(BD15)&lt;&gt;0,BD69/BD15,""),"")</f>
        <v>0.016329681357326</v>
      </c>
      <c r="BE324" s="257">
        <f>IFERROR(IF(N(BE15)&lt;&gt;0,BE69/BE15,""),"")</f>
        <v>0.0163296813573261</v>
      </c>
      <c r="BF324" s="258">
        <f>IFERROR(IF(N(BF15)&lt;&gt;0,BF69/BF15,""),"")</f>
        <v>0.0163296813573261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-4.73363228699506</v>
      </c>
      <c r="J325" s="257">
        <f>IFERROR(IF(N(J130)&lt;&gt;0,-J131/J130,""),"")</f>
        <v>-0.0681842132996099</v>
      </c>
      <c r="K325" s="257">
        <f>IFERROR(IF(N(K130)&lt;&gt;0,-K131/K130,""),"")</f>
        <v>-0.127369579692618</v>
      </c>
      <c r="L325" s="257">
        <f>IFERROR(IF(N(L130)&lt;&gt;0,-L131/L130,""),"")</f>
        <v>0.0315431049815392</v>
      </c>
      <c r="M325" s="258">
        <f>IFERROR(IF(N(M130)&lt;&gt;0,-M131/M130,""),"")</f>
        <v>0.000853840628512088</v>
      </c>
      <c r="N325" s="257">
        <f>IFERROR(IF(N(N130)&lt;&gt;0,-N131/N130,""),"")</f>
        <v>0.0516880607554576</v>
      </c>
      <c r="O325" s="257">
        <f>IFERROR(IF(N(O130)&lt;&gt;0,-O131/O130,""),"")</f>
        <v>0.0978368248590579</v>
      </c>
      <c r="P325" s="257">
        <f>IFERROR(IF(N(P130)&lt;&gt;0,-P131/P130,""),"")</f>
        <v>0.0907005213280146</v>
      </c>
      <c r="Q325" s="257">
        <f>IFERROR(IF(N(Q130)&lt;&gt;0,-Q131/Q130,""),"")</f>
        <v>0.0422694410804066</v>
      </c>
      <c r="R325" s="258">
        <f>IFERROR(IF(N(R130)&lt;&gt;0,-R131/R130,""),"")</f>
        <v>0.0703203962932659</v>
      </c>
      <c r="S325" s="257">
        <f>IFERROR(IF(N(S130)&lt;&gt;0,-S131/S130,""),"")</f>
        <v>0.0670048750567053</v>
      </c>
      <c r="T325" s="257">
        <f>IFERROR(IF(N(T130)&lt;&gt;0,-T131/T130,""),"")</f>
        <v>0.0193094674980291</v>
      </c>
      <c r="U325" s="257">
        <f>IFERROR(IF(N(U130)&lt;&gt;0,-U131/U130,""),"")</f>
        <v>0.129556000463707</v>
      </c>
      <c r="V325" s="257">
        <f>IFERROR(IF(N(V130)&lt;&gt;0,-V131/V130,""),"")</f>
        <v>-0.0126188458457645</v>
      </c>
      <c r="W325" s="258">
        <f>IFERROR(IF(N(W130)&lt;&gt;0,-W131/W130,""),"")</f>
        <v>0.0389999736403549</v>
      </c>
      <c r="X325" s="257">
        <f>IFERROR(IF(N(X130)&lt;&gt;0,-X131/X130,""),"")</f>
        <v>0.0825442480259403</v>
      </c>
      <c r="Y325" s="257">
        <f>IFERROR(IF(N(Y130)&lt;&gt;0,-Y131/Y130,""),"")</f>
        <v>0.0407044289826636</v>
      </c>
      <c r="Z325" s="257">
        <f>IFERROR(IF(N(Z130)&lt;&gt;0,-Z131/Z130,""),"")</f>
        <v>-0.307767956447929</v>
      </c>
      <c r="AA325" s="257">
        <f>IFERROR(IF(N(AA130)&lt;&gt;0,-AA131/AA130,""),"")</f>
        <v>0.0511673369726895</v>
      </c>
      <c r="AB325" s="258">
        <f>IFERROR(IF(N(AB130)&lt;&gt;0,-AB131/AB130,""),"")</f>
        <v>0.0177356396571475</v>
      </c>
      <c r="AC325" s="257">
        <f>IFERROR(IF(N(AC130)&lt;&gt;0,-AC131/AC130,""),"")</f>
        <v>0.102807158371895</v>
      </c>
      <c r="AD325" s="257">
        <f>IFERROR(IF(N(AD130)&lt;&gt;0,-AD131/AD130,""),"")</f>
        <v>0.104981553379305</v>
      </c>
      <c r="AE325" s="257">
        <f>IFERROR(IF(N(AE130)&lt;&gt;0,-AE131/AE130,""),"")</f>
        <v>-0.0821433286393238</v>
      </c>
      <c r="AF325" s="257">
        <f>IFERROR(IF(N(AF130)&lt;&gt;0,-AF131/AF130,""),"")</f>
        <v>0.0430988875336166</v>
      </c>
      <c r="AG325" s="258">
        <f>IFERROR(IF(N(AG130)&lt;&gt;0,-AG131/AG130,""),"")</f>
        <v>0.0243009728986202</v>
      </c>
      <c r="AH325" s="257">
        <f>IFERROR(IF(N(AH130)&lt;&gt;0,-AH131/AH130,""),"")</f>
        <v>0.107815028761585</v>
      </c>
      <c r="AI325" s="257">
        <f>IFERROR(IF(N(AI130)&lt;&gt;0,-AI131/AI130,""),"")</f>
        <v>0.0521485544606378</v>
      </c>
      <c r="AJ325" s="257">
        <f>IFERROR(IF(N(AJ130)&lt;&gt;0,-AJ131/AJ130,""),"")</f>
        <v>0.0547846423112859</v>
      </c>
      <c r="AK325" s="257">
        <f>IFERROR(IF(N(AK130)&lt;&gt;0,-AK131/AK130,""),"")</f>
        <v>0.0547846423112858</v>
      </c>
      <c r="AL325" s="258">
        <f>IFERROR(IF(N(AL130)&lt;&gt;0,-AL131/AL130,""),"")</f>
        <v>0.0317047863103038</v>
      </c>
      <c r="AM325" s="257">
        <f>IFERROR(IF(N(AM130)&lt;&gt;0,-AM131/AM130,""),"")</f>
        <v>0.0547846423112859</v>
      </c>
      <c r="AN325" s="257">
        <f>IFERROR(IF(N(AN130)&lt;&gt;0,-AN131/AN130,""),"")</f>
        <v>0.0547846423112859</v>
      </c>
      <c r="AO325" s="257">
        <f>IFERROR(IF(N(AO130)&lt;&gt;0,-AO131/AO130,""),"")</f>
        <v>0.0547846423112859</v>
      </c>
      <c r="AP325" s="257">
        <f>IFERROR(IF(N(AP130)&lt;&gt;0,-AP131/AP130,""),"")</f>
        <v>0.0547846423112859</v>
      </c>
      <c r="AQ325" s="258">
        <f>IFERROR(IF(N(AQ130)&lt;&gt;0,-AQ131/AQ130,""),"")</f>
        <v>0.0547846423112859</v>
      </c>
      <c r="AR325" s="257">
        <f>IFERROR(IF(N(AR130)&lt;&gt;0,-AR131/AR130,""),"")</f>
        <v>0.0547846423112859</v>
      </c>
      <c r="AS325" s="257">
        <f>IFERROR(IF(N(AS130)&lt;&gt;0,-AS131/AS130,""),"")</f>
        <v>0.0547846423112859</v>
      </c>
      <c r="AT325" s="257">
        <f>IFERROR(IF(N(AT130)&lt;&gt;0,-AT131/AT130,""),"")</f>
        <v>0.0547846423112859</v>
      </c>
      <c r="AU325" s="257">
        <f>IFERROR(IF(N(AU130)&lt;&gt;0,-AU131/AU130,""),"")</f>
        <v>0.0547846423112859</v>
      </c>
      <c r="AV325" s="258">
        <f>IFERROR(IF(N(AV130)&lt;&gt;0,-AV131/AV130,""),"")</f>
        <v>0.0547846423112859</v>
      </c>
      <c r="AW325" s="257">
        <f>IFERROR(IF(N(AW130)&lt;&gt;0,-AW131/AW130,""),"")</f>
        <v>0.0547846423112859</v>
      </c>
      <c r="AX325" s="257">
        <f>IFERROR(IF(N(AX130)&lt;&gt;0,-AX131/AX130,""),"")</f>
        <v>0.0547846423112859</v>
      </c>
      <c r="AY325" s="257">
        <f>IFERROR(IF(N(AY130)&lt;&gt;0,-AY131/AY130,""),"")</f>
        <v>0.0547846423112859</v>
      </c>
      <c r="AZ325" s="257">
        <f>IFERROR(IF(N(AZ130)&lt;&gt;0,-AZ131/AZ130,""),"")</f>
        <v>0.0547846423112859</v>
      </c>
      <c r="BA325" s="258">
        <f>IFERROR(IF(N(BA130)&lt;&gt;0,-BA131/BA130,""),"")</f>
        <v>0.0547846423112859</v>
      </c>
      <c r="BB325" s="257">
        <f>IFERROR(IF(N(BB130)&lt;&gt;0,-BB131/BB130,""),"")</f>
        <v>0.0547846423112859</v>
      </c>
      <c r="BC325" s="257">
        <f>IFERROR(IF(N(BC130)&lt;&gt;0,-BC131/BC130,""),"")</f>
        <v>0.0547846423112859</v>
      </c>
      <c r="BD325" s="257">
        <f>IFERROR(IF(N(BD130)&lt;&gt;0,-BD131/BD130,""),"")</f>
        <v>0.0547846423112859</v>
      </c>
      <c r="BE325" s="257">
        <f>IFERROR(IF(N(BE130)&lt;&gt;0,-BE131/BE130,""),"")</f>
        <v>0.0547846423112859</v>
      </c>
      <c r="BF325" s="258">
        <f>IFERROR(IF(N(BF130)&lt;&gt;0,-BF131/BF130,""),"")</f>
        <v>0.0547846423112859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0.497778528084197</v>
      </c>
      <c r="J328" s="262">
        <f>IFERROR(IF(N(J271)&lt;&gt;0,(N(J212)+N(J213)+N(J214)+N(J217)+N(J235)+N(J238))/J271,""),"")</f>
        <v>0.463571789294575</v>
      </c>
      <c r="K328" s="262">
        <f>IFERROR(IF(N(K271)&lt;&gt;0,(N(K212)+N(K213)+N(K214)+N(K217)+N(K235)+N(K238))/K271,""),"")</f>
        <v>0.429263454858348</v>
      </c>
      <c r="L328" s="262">
        <f>IFERROR(IF(N(L271)&lt;&gt;0,(N(L212)+N(L213)+N(L214)+N(L217)+N(L235)+N(L238))/L271,""),"")</f>
        <v>0.395556361035869</v>
      </c>
      <c r="M328" s="262">
        <f>IFERROR(IF(N(M271)&lt;&gt;0,(N(M212)+N(M213)+N(M214)+N(M217)+N(M235)+N(M238))/M271,""),"")</f>
        <v>0.39555636103587</v>
      </c>
      <c r="N328" s="262">
        <f>IFERROR(IF(N(N271)&lt;&gt;0,(N(N212)+N(N213)+N(N214)+N(N217)+N(N235)+N(N238))/N271,""),"")</f>
        <v>0.462777180807789</v>
      </c>
      <c r="O328" s="262">
        <f>IFERROR(IF(N(O271)&lt;&gt;0,(N(O212)+N(O213)+N(O214)+N(O217)+N(O235)+N(O238))/O271,""),"")</f>
        <v>0.413891323539183</v>
      </c>
      <c r="P328" s="262">
        <f>IFERROR(IF(N(P271)&lt;&gt;0,(N(P212)+N(P213)+N(P214)+N(P217)+N(P235)+N(P238))/P271,""),"")</f>
        <v>0.481277533580834</v>
      </c>
      <c r="Q328" s="262">
        <f>IFERROR(IF(N(Q271)&lt;&gt;0,(N(Q212)+N(Q213)+N(Q214)+N(Q217)+N(Q235)+N(Q238))/Q271,""),"")</f>
        <v>0.43070659077786</v>
      </c>
      <c r="R328" s="262">
        <f>IFERROR(IF(N(R271)&lt;&gt;0,(N(R212)+N(R213)+N(R214)+N(R217)+N(R235)+N(R238))/R271,""),"")</f>
        <v>0.43070659077786</v>
      </c>
      <c r="S328" s="262">
        <f>IFERROR(IF(N(S271)&lt;&gt;0,(N(S212)+N(S213)+N(S214)+N(S217)+N(S235)+N(S238))/S271,""),"")</f>
        <v>0.413791372911741</v>
      </c>
      <c r="T328" s="262">
        <f>IFERROR(IF(N(T271)&lt;&gt;0,(N(T212)+N(T213)+N(T214)+N(T217)+N(T235)+N(T238))/T271,""),"")</f>
        <v>0.381476358308617</v>
      </c>
      <c r="U328" s="262">
        <f>IFERROR(IF(N(U271)&lt;&gt;0,(N(U212)+N(U213)+N(U214)+N(U217)+N(U235)+N(U238))/U271,""),"")</f>
        <v>0.402502235318472</v>
      </c>
      <c r="V328" s="262">
        <f>IFERROR(IF(N(V271)&lt;&gt;0,(N(V212)+N(V213)+N(V214)+N(V217)+N(V235)+N(V238))/V271,""),"")</f>
        <v>0.374178369017535</v>
      </c>
      <c r="W328" s="262">
        <f>IFERROR(IF(N(W271)&lt;&gt;0,(N(W212)+N(W213)+N(W214)+N(W217)+N(W235)+N(W238))/W271,""),"")</f>
        <v>0.374178369017535</v>
      </c>
      <c r="X328" s="262">
        <f>IFERROR(IF(N(X271)&lt;&gt;0,(N(X212)+N(X213)+N(X214)+N(X217)+N(X235)+N(X238))/X271,""),"")</f>
        <v>0.367242979017384</v>
      </c>
      <c r="Y328" s="262">
        <f>IFERROR(IF(N(Y271)&lt;&gt;0,(N(Y212)+N(Y213)+N(Y214)+N(Y217)+N(Y235)+N(Y238))/Y271,""),"")</f>
        <v>0.352756860281944</v>
      </c>
      <c r="Z328" s="262">
        <f>IFERROR(IF(N(Z271)&lt;&gt;0,(N(Z212)+N(Z213)+N(Z214)+N(Z217)+N(Z235)+N(Z238))/Z271,""),"")</f>
        <v>0.452230385464756</v>
      </c>
      <c r="AA328" s="262">
        <f>IFERROR(IF(N(AA271)&lt;&gt;0,(N(AA212)+N(AA213)+N(AA214)+N(AA217)+N(AA235)+N(AA238))/AA271,""),"")</f>
        <v>0.441987826085177</v>
      </c>
      <c r="AB328" s="262">
        <f>IFERROR(IF(N(AB271)&lt;&gt;0,(N(AB212)+N(AB213)+N(AB214)+N(AB217)+N(AB235)+N(AB238))/AB271,""),"")</f>
        <v>0.441987826085177</v>
      </c>
      <c r="AC328" s="262">
        <f>IFERROR(IF(N(AC271)&lt;&gt;0,(N(AC212)+N(AC213)+N(AC214)+N(AC217)+N(AC235)+N(AC238))/AC271,""),"")</f>
        <v>0.420137805910391</v>
      </c>
      <c r="AD328" s="262">
        <f>IFERROR(IF(N(AD271)&lt;&gt;0,(N(AD212)+N(AD213)+N(AD214)+N(AD217)+N(AD235)+N(AD238))/AD271,""),"")</f>
        <v>0.40470170480207</v>
      </c>
      <c r="AE328" s="262">
        <f>IFERROR(IF(N(AE271)&lt;&gt;0,(N(AE212)+N(AE213)+N(AE214)+N(AE217)+N(AE235)+N(AE238))/AE271,""),"")</f>
        <v>0.36889531723563</v>
      </c>
      <c r="AF328" s="262">
        <f>IFERROR(IF(N(AF271)&lt;&gt;0,(N(AF212)+N(AF213)+N(AF214)+N(AF217)+N(AF235)+N(AF238))/AF271,""),"")</f>
        <v>0.356037037865663</v>
      </c>
      <c r="AG328" s="262">
        <f>IFERROR(IF(N(AG271)&lt;&gt;0,(N(AG212)+N(AG213)+N(AG214)+N(AG217)+N(AG235)+N(AG238))/AG271,""),"")</f>
        <v>0.356037037865663</v>
      </c>
      <c r="AH328" s="262">
        <f>IFERROR(IF(N(AH271)&lt;&gt;0,(N(AH212)+N(AH213)+N(AH214)+N(AH217)+N(AH235)+N(AH238))/AH271,""),"")</f>
        <v>0.42864631152088</v>
      </c>
      <c r="AI328" s="262">
        <f>IFERROR(IF(N(AI271)&lt;&gt;0,(N(AI212)+N(AI213)+N(AI214)+N(AI217)+N(AI235)+N(AI238))/AI271,""),"")</f>
        <v>0.412953166504214</v>
      </c>
      <c r="AJ328" s="262">
        <f>IFERROR(IF(N(AJ271)&lt;&gt;0,(N(AJ212)+N(AJ213)+N(AJ214)+N(AJ217)+N(AJ235)+N(AJ238))/AJ271,""),"")</f>
        <v>0.40229193192862</v>
      </c>
      <c r="AK328" s="262">
        <f>IFERROR(IF(N(AK271)&lt;&gt;0,(N(AK212)+N(AK213)+N(AK214)+N(AK217)+N(AK235)+N(AK238))/AK271,""),"")</f>
        <v>0.391871406232676</v>
      </c>
      <c r="AL328" s="262">
        <f>IFERROR(IF(N(AL271)&lt;&gt;0,(N(AL212)+N(AL213)+N(AL214)+N(AL217)+N(AL235)+N(AL238))/AL271,""),"")</f>
        <v>0.391871406232676</v>
      </c>
      <c r="AM328" s="262">
        <f>IFERROR(IF(N(AM271)&lt;&gt;0,(N(AM212)+N(AM213)+N(AM214)+N(AM217)+N(AM235)+N(AM238))/AM271,""),"")</f>
        <v>0.38253314246065</v>
      </c>
      <c r="AN328" s="262">
        <f>IFERROR(IF(N(AN271)&lt;&gt;0,(N(AN212)+N(AN213)+N(AN214)+N(AN217)+N(AN235)+N(AN238))/AN271,""),"")</f>
        <v>0.370298867477896</v>
      </c>
      <c r="AO328" s="262">
        <f>IFERROR(IF(N(AO271)&lt;&gt;0,(N(AO212)+N(AO213)+N(AO214)+N(AO217)+N(AO235)+N(AO238))/AO271,""),"")</f>
        <v>0.361670480105808</v>
      </c>
      <c r="AP328" s="262">
        <f>IFERROR(IF(N(AP271)&lt;&gt;0,(N(AP212)+N(AP213)+N(AP214)+N(AP217)+N(AP235)+N(AP238))/AP271,""),"")</f>
        <v>0.353193725985156</v>
      </c>
      <c r="AQ328" s="262">
        <f>IFERROR(IF(N(AQ271)&lt;&gt;0,(N(AQ212)+N(AQ213)+N(AQ214)+N(AQ217)+N(AQ235)+N(AQ238))/AQ271,""),"")</f>
        <v>0.353193725985156</v>
      </c>
      <c r="AR328" s="262">
        <f>IFERROR(IF(N(AR271)&lt;&gt;0,(N(AR212)+N(AR213)+N(AR214)+N(AR217)+N(AR235)+N(AR238))/AR271,""),"")</f>
        <v>0.345589979730434</v>
      </c>
      <c r="AS328" s="262">
        <f>IFERROR(IF(N(AS271)&lt;&gt;0,(N(AS212)+N(AS213)+N(AS214)+N(AS217)+N(AS235)+N(AS238))/AS271,""),"")</f>
        <v>0.335573713458108</v>
      </c>
      <c r="AT328" s="262">
        <f>IFERROR(IF(N(AT271)&lt;&gt;0,(N(AT212)+N(AT213)+N(AT214)+N(AT217)+N(AT235)+N(AT238))/AT271,""),"")</f>
        <v>0.328472202772906</v>
      </c>
      <c r="AU328" s="262">
        <f>IFERROR(IF(N(AU271)&lt;&gt;0,(N(AU212)+N(AU213)+N(AU214)+N(AU217)+N(AU235)+N(AU238))/AU271,""),"")</f>
        <v>0.321465139331395</v>
      </c>
      <c r="AV328" s="262">
        <f>IFERROR(IF(N(AV271)&lt;&gt;0,(N(AV212)+N(AV213)+N(AV214)+N(AV217)+N(AV235)+N(AV238))/AV271,""),"")</f>
        <v>0.321465139331395</v>
      </c>
      <c r="AW328" s="262">
        <f>IFERROR(IF(N(AW271)&lt;&gt;0,(N(AW212)+N(AW213)+N(AW214)+N(AW217)+N(AW235)+N(AW238))/AW271,""),"")</f>
        <v>0.315153965345058</v>
      </c>
      <c r="AX328" s="262">
        <f>IFERROR(IF(N(AX271)&lt;&gt;0,(N(AX212)+N(AX213)+N(AX214)+N(AX217)+N(AX235)+N(AX238))/AX271,""),"")</f>
        <v>0.306802953536918</v>
      </c>
      <c r="AY328" s="262">
        <f>IFERROR(IF(N(AY271)&lt;&gt;0,(N(AY212)+N(AY213)+N(AY214)+N(AY217)+N(AY235)+N(AY238))/AY271,""),"")</f>
        <v>0.300856163067621</v>
      </c>
      <c r="AZ328" s="262">
        <f>IFERROR(IF(N(AZ271)&lt;&gt;0,(N(AZ212)+N(AZ213)+N(AZ214)+N(AZ217)+N(AZ235)+N(AZ238))/AZ271,""),"")</f>
        <v>0.294967235223126</v>
      </c>
      <c r="BA328" s="262">
        <f>IFERROR(IF(N(BA271)&lt;&gt;0,(N(BA212)+N(BA213)+N(BA214)+N(BA217)+N(BA235)+N(BA238))/BA271,""),"")</f>
        <v>0.294967235223126</v>
      </c>
      <c r="BB328" s="262">
        <f>IFERROR(IF(N(BB271)&lt;&gt;0,(N(BB212)+N(BB213)+N(BB214)+N(BB217)+N(BB235)+N(BB238))/BB271,""),"")</f>
        <v>0.289645009121419</v>
      </c>
      <c r="BC328" s="262">
        <f>IFERROR(IF(N(BC271)&lt;&gt;0,(N(BC212)+N(BC213)+N(BC214)+N(BC217)+N(BC235)+N(BC238))/BC271,""),"")</f>
        <v>0.282576006885435</v>
      </c>
      <c r="BD328" s="262">
        <f>IFERROR(IF(N(BD271)&lt;&gt;0,(N(BD212)+N(BD213)+N(BD214)+N(BD217)+N(BD235)+N(BD238))/BD271,""),"")</f>
        <v>0.2775235877289</v>
      </c>
      <c r="BE328" s="262">
        <f>IFERROR(IF(N(BE271)&lt;&gt;0,(N(BE212)+N(BE213)+N(BE214)+N(BE217)+N(BE235)+N(BE238))/BE271,""),"")</f>
        <v>0.272505040856847</v>
      </c>
      <c r="BF328" s="262">
        <f>IFERROR(IF(N(BF271)&lt;&gt;0,(N(BF212)+N(BF213)+N(BF214)+N(BF217)+N(BF235)+N(BF238))/BF271,""),"")</f>
        <v>0.272505040856847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0.303928647752831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0.27780565913063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0.242237537912363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0.242214076926646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0.242214076926646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0.292214383896784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0.251496348889762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0.22251807918681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0.225251901241932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0.225251901241932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0.24007232909901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0.15725362227434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0.0135499635898496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0.0888584938271651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0.0888584938271651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0.193587124757255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0.226519548312911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0.222349763673194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0.259132622651725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0.259132622651725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0.248041356989802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0.253560220524281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0.2325529070829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0.220662681848457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0.220662681848457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0.274682225998281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0.240491152516122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0.181444187908229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0.180440575659467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0.180440575659467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0.139925293723329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0.302507724124597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0.104933947356033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0.105804714317443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0.105804714317443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0.0544707565972389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0.239467651322372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0.0295344080640737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0.0326378423532483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0.0326378423532483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-0.0124863842092456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0.178503433553528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-0.0431223196127843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-0.0383153927958883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-0.0383153927958883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-0.0845625028971067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0.119038403713863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-0.113560960460666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-0.10715395325083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-0.10715395325083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10.1693784180209</v>
      </c>
      <c r="M332" s="262">
        <f>IFERROR(IF(AND(COUNT(I69,J69,K69,L69)=4,(I74+J74+K74+L74)&lt;&gt;0),(I69+J69+K69+L69)/-(I74+J74+K74+L74),""),"")</f>
        <v>10.1693784180209</v>
      </c>
      <c r="N332" s="262">
        <f>IFERROR(IF(AND(COUNT(J69,K69,L69,N69)=4,(J74+K74+L74+N74)&lt;&gt;0),(J69+K69+L69+N69)/-(J74+K74+L74+N74),""),"")</f>
        <v>11.390858904358</v>
      </c>
      <c r="O332" s="262">
        <f>IFERROR(IF(AND(COUNT(K69,L69,N69,O69)=4,(K74+L74+N74+O74)&lt;&gt;0),(K69+L69+N69+O69)/-(K74+L74+N74+O74),""),"")</f>
        <v>13.7183730085081</v>
      </c>
      <c r="P332" s="262">
        <f>IFERROR(IF(AND(COUNT(L69,N69,O69,P69)=4,(L74+N74+O74+P74)&lt;&gt;0),(L69+N69+O69+P69)/-(L74+N74+O74+P74),""),"")</f>
        <v>14.5903763271313</v>
      </c>
      <c r="Q332" s="262">
        <f>IFERROR(IF(AND(COUNT(N69,O69,P69,Q69)=4,(N74+O74+P74+Q74)&lt;&gt;0),(N69+O69+P69+Q69)/-(N74+O74+P74+Q74),""),"")</f>
        <v>16.0815170922935</v>
      </c>
      <c r="R332" s="262">
        <f>IFERROR(IF(AND(COUNT(N69,O69,P69,Q69)=4,(N74+O74+P74+Q74)&lt;&gt;0),(N69+O69+P69+Q69)/-(N74+O74+P74+Q74),""),"")</f>
        <v>16.0815170922935</v>
      </c>
      <c r="S332" s="262">
        <f>IFERROR(IF(AND(COUNT(O69,P69,Q69,S69)=4,(O74+P74+Q74+S74)&lt;&gt;0),(O69+P69+Q69+S69)/-(O74+P74+Q74+S74),""),"")</f>
        <v>15.6822886908516</v>
      </c>
      <c r="T332" s="262">
        <f>IFERROR(IF(AND(COUNT(P69,Q69,S69,T69)=4,(P74+Q74+S74+T74)&lt;&gt;0),(P69+Q69+S69+T69)/-(P74+Q74+S74+T74),""),"")</f>
        <v>15.1388154737604</v>
      </c>
      <c r="U332" s="262">
        <f>IFERROR(IF(AND(COUNT(Q69,S69,T69,U69)=4,(Q74+S74+T74+U74)&lt;&gt;0),(Q69+S69+T69+U69)/-(Q74+S74+T74+U74),""),"")</f>
        <v>13.7038673148579</v>
      </c>
      <c r="V332" s="262">
        <f>IFERROR(IF(AND(COUNT(S69,T69,U69,V69)=4,(S74+T74+U74+V74)&lt;&gt;0),(S69+T69+U69+V69)/-(S74+T74+U74+V74),""),"")</f>
        <v>12.2441436323681</v>
      </c>
      <c r="W332" s="262">
        <f>IFERROR(IF(AND(COUNT(S69,T69,U69,V69)=4,(S74+T74+U74+V74)&lt;&gt;0),(S69+T69+U69+V69)/-(S74+T74+U74+V74),""),"")</f>
        <v>12.2441436323681</v>
      </c>
      <c r="X332" s="262">
        <f>IFERROR(IF(AND(COUNT(T69,U69,V69,X69)=4,(T74+U74+V74+X74)&lt;&gt;0),(T69+U69+V69+X69)/-(T74+U74+V74+X74),""),"")</f>
        <v>12.7282992237121</v>
      </c>
      <c r="Y332" s="262">
        <f>IFERROR(IF(AND(COUNT(U69,V69,X69,Y69)=4,(U74+V74+X74+Y74)&lt;&gt;0),(U69+V69+X69+Y69)/-(U74+V74+X74+Y74),""),"")</f>
        <v>12.1021456881235</v>
      </c>
      <c r="Z332" s="262">
        <f>IFERROR(IF(AND(COUNT(V69,X69,Y69,Z69)=4,(V74+X74+Y74+Z74)&lt;&gt;0),(V69+X69+Y69+Z69)/-(V74+X74+Y74+Z74),""),"")</f>
        <v>11.091722401599</v>
      </c>
      <c r="AA332" s="262">
        <f>IFERROR(IF(AND(COUNT(X69,Y69,Z69,AA69)=4,(X74+Y74+Z74+AA74)&lt;&gt;0),(X69+Y69+Z69+AA69)/-(X74+Y74+Z74+AA74),""),"")</f>
        <v>8.9027467575722</v>
      </c>
      <c r="AB332" s="262">
        <f>IFERROR(IF(AND(COUNT(X69,Y69,Z69,AA69)=4,(X74+Y74+Z74+AA74)&lt;&gt;0),(X69+Y69+Z69+AA69)/-(X74+Y74+Z74+AA74),""),"")</f>
        <v>8.9027467575722</v>
      </c>
      <c r="AC332" s="262">
        <f>IFERROR(IF(AND(COUNT(Y69,Z69,AA69,AC69)=4,(Y74+Z74+AA74+AC74)&lt;&gt;0),(Y69+Z69+AA69+AC69)/-(Y74+Z74+AA74+AC74),""),"")</f>
        <v>6.71753626177218</v>
      </c>
      <c r="AD332" s="262">
        <f>IFERROR(IF(AND(COUNT(Z69,AA69,AC69,AD69)=4,(Z74+AA74+AC74+AD74)&lt;&gt;0),(Z69+AA69+AC69+AD69)/-(Z74+AA74+AC74+AD74),""),"")</f>
        <v>5.05684294727906</v>
      </c>
      <c r="AE332" s="262">
        <f>IFERROR(IF(AND(COUNT(AA69,AC69,AD69,AE69)=4,(AA74+AC74+AD74+AE74)&lt;&gt;0),(AA69+AC69+AD69+AE69)/-(AA74+AC74+AD74+AE74),""),"")</f>
        <v>5.08068921610909</v>
      </c>
      <c r="AF332" s="262">
        <f>IFERROR(IF(AND(COUNT(AB69,AD69,AE69,AF69)=4,(AB74+AD74+AE74+AF74)&lt;&gt;0),(AB69+AD69+AE69+AF69)/-(AB74+AD74+AE74+AF74),""),"")</f>
        <v>7.19713230838</v>
      </c>
      <c r="AG332" s="262">
        <f>IFERROR(IF(AND(COUNT(AC69,AD69,AE69,AF69)=4,(AC74+AD74+AE74+AF74)&lt;&gt;0),(AC69+AD69+AE69+AF69)/-(AC74+AD74+AE74+AF74),""),"")</f>
        <v>4.8063319253829</v>
      </c>
      <c r="AH332" s="262">
        <f>IFERROR(IF(AND(COUNT(AD69,AF69,AG69,AH69)=4,(AD74+AF74+AG74+AH74)&lt;&gt;0),(AD69+AF69+AG69+AH69)/-(AD74+AF74+AG74+AH74),""),"")</f>
        <v>4.2775098843768</v>
      </c>
      <c r="AI332" s="262">
        <f>IFERROR(IF(AND(COUNT(AE69,AG69,AH69,AI69)=4,(AE74+AG74+AH74+AI74)&lt;&gt;0),(AE69+AG69+AH69+AI69)/-(AE74+AG74+AH74+AI74),""),"")</f>
        <v>4.00996041973182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7.52686333744546</v>
      </c>
      <c r="M333" s="262">
        <f>IFERROR(IF(AND(COUNT(I69,J69,K69,L69)=4,(I74+J74+K74+L74)&lt;&gt;0),((I69+J69+K69+L69)-(I168+J168+K168+L168))/-(I74+J74+K74+L74),""),"")</f>
        <v>7.52686333744546</v>
      </c>
      <c r="N333" s="262">
        <f>IFERROR(IF(AND(COUNT(J69,K69,L69,N69)=4,(J74+K74+L74+N74)&lt;&gt;0),((J69+K69+L69+N69)-(J168+K168+L168+N168))/-(J74+K74+L74+N74),""),"")</f>
        <v>7.76906493663488</v>
      </c>
      <c r="O333" s="262">
        <f>IFERROR(IF(AND(COUNT(K69,L69,N69,O69)=4,(K74+L74+N74+O74)&lt;&gt;0),((K69+L69+N69+O69)-(K168+L168+N168+O168))/-(K74+L74+N74+O74),""),"")</f>
        <v>9.8895802604202</v>
      </c>
      <c r="P333" s="262">
        <f>IFERROR(IF(AND(COUNT(L69,N69,O69,P69)=4,(L74+N74+O74+P74)&lt;&gt;0),((L69+N69+O69+P69)-(L168+N168+O168+P168))/-(L74+N74+O74+P74),""),"")</f>
        <v>10.4605276989383</v>
      </c>
      <c r="Q333" s="262">
        <f>IFERROR(IF(AND(COUNT(N69,O69,P69,Q69)=4,(N74+O74+P74+Q74)&lt;&gt;0),((N69+O69+P69+Q69)-(N168+O168+P168+Q168))/-(N74+O74+P74+Q74),""),"")</f>
        <v>11.841257037766</v>
      </c>
      <c r="R333" s="262">
        <f>IFERROR(IF(AND(COUNT(N69,O69,P69,Q69)=4,(N74+O74+P74+Q74)&lt;&gt;0),((N69+O69+P69+Q69)-(N168+O168+P168+Q168))/-(N74+O74+P74+Q74),""),"")</f>
        <v>11.841257037766</v>
      </c>
      <c r="S333" s="262">
        <f>IFERROR(IF(AND(COUNT(O69,P69,Q69,S69)=4,(O74+P74+Q74+S74)&lt;&gt;0),((O69+P69+Q69+S69)-(O168+P168+Q168+S168))/-(O74+P74+Q74+S74),""),"")</f>
        <v>11.3844932364748</v>
      </c>
      <c r="T333" s="262">
        <f>IFERROR(IF(AND(COUNT(P69,Q69,S69,T69)=4,(P74+Q74+S74+T74)&lt;&gt;0),((P69+Q69+S69+T69)-(P168+Q168+S168+T168))/-(P74+Q74+S74+T74),""),"")</f>
        <v>10.7773408682324</v>
      </c>
      <c r="U333" s="262">
        <f>IFERROR(IF(AND(COUNT(Q69,S69,T69,U69)=4,(Q74+S74+T74+U74)&lt;&gt;0),((Q69+S69+T69+U69)-(Q168+S168+T168+U168))/-(Q74+S74+T74+U74),""),"")</f>
        <v>8.87201618537494</v>
      </c>
      <c r="V333" s="262">
        <f>IFERROR(IF(AND(COUNT(S69,T69,U69,V69)=4,(S74+T74+U74+V74)&lt;&gt;0),((S69+T69+U69+V69)-(S168+T168+U168+V168))/-(S74+T74+U74+V74),""),"")</f>
        <v>7.0536005262135</v>
      </c>
      <c r="W333" s="262">
        <f>IFERROR(IF(AND(COUNT(S69,T69,U69,V69)=4,(S74+T74+U74+V74)&lt;&gt;0),((S69+T69+U69+V69)-(S168+T168+U168+V168))/-(S74+T74+U74+V74),""),"")</f>
        <v>7.0536005262135</v>
      </c>
      <c r="X333" s="262">
        <f>IFERROR(IF(AND(COUNT(T69,U69,V69,X69)=4,(T74+U74+V74+X74)&lt;&gt;0),((T69+U69+V69+X69)-(T168+U168+V168+X168))/-(T74+U74+V74+X74),""),"")</f>
        <v>6.41693232424013</v>
      </c>
      <c r="Y333" s="262">
        <f>IFERROR(IF(AND(COUNT(U69,V69,X69,Y69)=4,(U74+V74+X74+Y74)&lt;&gt;0),((U69+V69+X69+Y69)-(U168+V168+X168+Y168))/-(U74+V74+X74+Y74),""),"")</f>
        <v>4.48233793449044</v>
      </c>
      <c r="Z333" s="262">
        <f>IFERROR(IF(AND(COUNT(V69,X69,Y69,Z69)=4,(V74+X74+Y74+Z74)&lt;&gt;0),((V69+X69+Y69+Z69)-(V168+X168+Y168+Z168))/-(V74+X74+Y74+Z74),""),"")</f>
        <v>2.65582718327183</v>
      </c>
      <c r="AA333" s="262">
        <f>IFERROR(IF(AND(COUNT(X69,Y69,Z69,AA69)=4,(X74+Y74+Z74+AA74)&lt;&gt;0),((X69+Y69+Z69+AA69)-(X168+Y168+Z168+AA168))/-(X74+Y74+Z74+AA74),""),"")</f>
        <v>-0.323517887230122</v>
      </c>
      <c r="AB333" s="262">
        <f>IFERROR(IF(AND(COUNT(X69,Y69,Z69,AA69)=4,(X74+Y74+Z74+AA74)&lt;&gt;0),((X69+Y69+Z69+AA69)-(X168+Y168+Z168+AA168))/-(X74+Y74+Z74+AA74),""),"")</f>
        <v>-0.323517887230122</v>
      </c>
      <c r="AC333" s="262">
        <f>IFERROR(IF(AND(COUNT(Y69,Z69,AA69,AC69)=4,(Y74+Z74+AA74+AC74)&lt;&gt;0),((Y69+Z69+AA69+AC69)-(Y168+Z168+AA168+AC168))/-(Y74+Z74+AA74+AC74),""),"")</f>
        <v>-3.59359318072455</v>
      </c>
      <c r="AD333" s="262">
        <f>IFERROR(IF(AND(COUNT(Z69,AA69,AC69,AD69)=4,(Z74+AA74+AC74+AD74)&lt;&gt;0),((Z69+AA69+AC69+AD69)-(Z168+AA168+AC168+AD168))/-(Z74+AA74+AC74+AD74),""),"")</f>
        <v>-3.36853231901921</v>
      </c>
      <c r="AE333" s="262">
        <f>IFERROR(IF(AND(COUNT(AA69,AC69,AD69,AE69)=4,(AA74+AC74+AD74+AE74)&lt;&gt;0),((AA69+AC69+AD69+AE69)-(AA168+AC168+AD168+AE168))/-(AA74+AC74+AD74+AE74),""),"")</f>
        <v>-1.59628694062802</v>
      </c>
      <c r="AF333" s="262">
        <f>IFERROR(IF(AND(COUNT(AB69,AD69,AE69,AF69)=4,(AB74+AD74+AE74+AF74)&lt;&gt;0),((AB69+AD69+AE69+AF69)-(AB168+AD168+AE168+AF168))/-(AB74+AD74+AE74+AF74),""),"")</f>
        <v>4.76176067325421</v>
      </c>
      <c r="AG333" s="262">
        <f>IFERROR(IF(AND(COUNT(AC69,AD69,AE69,AF69)=4,(AC74+AD74+AE74+AF74)&lt;&gt;0),((AC69+AD69+AE69+AF69)-(AC168+AD168+AE168+AF168))/-(AC74+AD74+AE74+AF74),""),"")</f>
        <v>-0.966940981628183</v>
      </c>
      <c r="AH333" s="262">
        <f>IFERROR(IF(AND(COUNT(AD69,AF69,AG69,AH69)=4,(AD74+AF74+AG74+AH74)&lt;&gt;0),((AD69+AF69+AG69+AH69)-(AD168+AF168+AG168+AH168))/-(AD74+AF74+AG74+AH74),""),"")</f>
        <v>-0.598745903010347</v>
      </c>
      <c r="AI333" s="262">
        <f>IFERROR(IF(AND(COUNT(AE69,AG69,AH69,AI69)=4,(AE74+AG74+AH74+AI74)&lt;&gt;0),((AE69+AG69+AH69+AI69)-(AE168+AG168+AH168+AI168))/-(AE74+AG74+AH74+AI74),""),"")</f>
        <v>-0.748465887573272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1.54274639485647</v>
      </c>
      <c r="M334" s="262">
        <f>IFERROR(IF(AND(COUNT(I69,J69,K69,L69)=4,(I69+J69+K69+L69)&lt;&gt;0),(N(M212)+N(M213)+N(M214)+N(M217)+N(M235)+N(M238))/(I69+J69+K69+L69),""),"")</f>
        <v>1.54274639485647</v>
      </c>
      <c r="N334" s="262">
        <f>IFERROR(IF(AND(COUNT(J69,K69,L69,N69)=4,(J69+K69+L69+N69)&lt;&gt;0),(N(N212)+N(N213)+N(N214)+N(N217)+N(N235)+N(N238))/(J69+K69+L69+N69),""),"")</f>
        <v>1.73758164009817</v>
      </c>
      <c r="O334" s="262">
        <f>IFERROR(IF(AND(COUNT(K69,L69,N69,O69)=4,(K69+L69+N69+O69)&lt;&gt;0),(N(O212)+N(O213)+N(O214)+N(O217)+N(O235)+N(O238))/(K69+L69+N69+O69),""),"")</f>
        <v>1.39710878238326</v>
      </c>
      <c r="P334" s="262">
        <f>IFERROR(IF(AND(COUNT(L69,N69,O69,P69)=4,(L69+N69+O69+P69)&lt;&gt;0),(N(P212)+N(P213)+N(P214)+N(P217)+N(P235)+N(P238))/(L69+N69+O69+P69),""),"")</f>
        <v>1.17605589407648</v>
      </c>
      <c r="Q334" s="262">
        <f>IFERROR(IF(AND(COUNT(N69,O69,P69,Q69)=4,(N69+O69+P69+Q69)&lt;&gt;0),(N(Q212)+N(Q213)+N(Q214)+N(Q217)+N(Q235)+N(Q238))/(N69+O69+P69+Q69),""),"")</f>
        <v>0.982121593627896</v>
      </c>
      <c r="R334" s="262">
        <f>IFERROR(IF(AND(COUNT(N69,O69,P69,Q69)=4,(N69+O69+P69+Q69)&lt;&gt;0),(N(R212)+N(R213)+N(R214)+N(R217)+N(R235)+N(R238))/(N69+O69+P69+Q69),""),"")</f>
        <v>0.982121593627896</v>
      </c>
      <c r="S334" s="262">
        <f>IFERROR(IF(AND(COUNT(O69,P69,Q69,S69)=4,(O69+P69+Q69+S69)&lt;&gt;0),(N(S212)+N(S213)+N(S214)+N(S217)+N(S235)+N(S238))/(O69+P69+Q69+S69),""),"")</f>
        <v>0.924608756751386</v>
      </c>
      <c r="T334" s="262">
        <f>IFERROR(IF(AND(COUNT(P69,Q69,S69,T69)=4,(P69+Q69+S69+T69)&lt;&gt;0),(N(T212)+N(T213)+N(T214)+N(T217)+N(T235)+N(T238))/(P69+Q69+S69+T69),""),"")</f>
        <v>0.92364815890721</v>
      </c>
      <c r="U334" s="262">
        <f>IFERROR(IF(AND(COUNT(Q69,S69,T69,U69)=4,(Q69+S69+T69+U69)&lt;&gt;0),(N(U212)+N(U213)+N(U214)+N(U217)+N(U235)+N(U238))/(Q69+S69+T69+U69),""),"")</f>
        <v>0.97059884090512</v>
      </c>
      <c r="V334" s="262">
        <f>IFERROR(IF(AND(COUNT(S69,T69,U69,V69)=4,(S69+T69+U69+V69)&lt;&gt;0),(N(V212)+N(V213)+N(V214)+N(V217)+N(V235)+N(V238))/(S69+T69+U69+V69),""),"")</f>
        <v>1.11444391198313</v>
      </c>
      <c r="W334" s="262">
        <f>IFERROR(IF(AND(COUNT(S69,T69,U69,V69)=4,(S69+T69+U69+V69)&lt;&gt;0),(N(W212)+N(W213)+N(W214)+N(W217)+N(W235)+N(W238))/(S69+T69+U69+V69),""),"")</f>
        <v>1.11444391198313</v>
      </c>
      <c r="X334" s="262">
        <f>IFERROR(IF(AND(COUNT(T69,U69,V69,X69)=4,(T69+U69+V69+X69)&lt;&gt;0),(N(X212)+N(X213)+N(X214)+N(X217)+N(X235)+N(X238))/(T69+U69+V69+X69),""),"")</f>
        <v>1.16537996803328</v>
      </c>
      <c r="Y334" s="262">
        <f>IFERROR(IF(AND(COUNT(U69,V69,X69,Y69)=4,(U69+V69+X69+Y69)&lt;&gt;0),(N(Y212)+N(Y213)+N(Y214)+N(Y217)+N(Y235)+N(Y238))/(U69+V69+X69+Y69),""),"")</f>
        <v>1.37501533949021</v>
      </c>
      <c r="Z334" s="262">
        <f>IFERROR(IF(AND(COUNT(V69,X69,Y69,Z69)=4,(V69+X69+Y69+Z69)&lt;&gt;0),(N(Z212)+N(Z213)+N(Z214)+N(Z217)+N(Z235)+N(Z238))/(V69+X69+Y69+Z69),""),"")</f>
        <v>1.87261154222356</v>
      </c>
      <c r="AA334" s="262">
        <f>IFERROR(IF(AND(COUNT(X69,Y69,Z69,AA69)=4,(X69+Y69+Z69+AA69)&lt;&gt;0),(N(AA212)+N(AA213)+N(AA214)+N(AA217)+N(AA235)+N(AA238))/(X69+Y69+Z69+AA69),""),"")</f>
        <v>2.37572565986083</v>
      </c>
      <c r="AB334" s="262">
        <f>IFERROR(IF(AND(COUNT(X69,Y69,Z69,AA69)=4,(X69+Y69+Z69+AA69)&lt;&gt;0),(N(AB212)+N(AB213)+N(AB214)+N(AB217)+N(AB235)+N(AB238))/(X69+Y69+Z69+AA69),""),"")</f>
        <v>2.37572565986083</v>
      </c>
      <c r="AC334" s="262">
        <f>IFERROR(IF(AND(COUNT(Y69,Z69,AA69,AC69)=4,(Y69+Z69+AA69+AC69)&lt;&gt;0),(N(AC212)+N(AC213)+N(AC214)+N(AC217)+N(AC235)+N(AC238))/(Y69+Z69+AA69+AC69),""),"")</f>
        <v>2.94794748845097</v>
      </c>
      <c r="AD334" s="262">
        <f>IFERROR(IF(AND(COUNT(Z69,AA69,AC69,AD69)=4,(Z69+AA69+AC69+AD69)&lt;&gt;0),(N(AD212)+N(AD213)+N(AD214)+N(AD217)+N(AD235)+N(AD238))/(Z69+AA69+AC69+AD69),""),"")</f>
        <v>3.25432223511733</v>
      </c>
      <c r="AE334" s="262">
        <f>IFERROR(IF(AND(COUNT(AA69,AC69,AD69,AE69)=4,(AA69+AC69+AD69+AE69)&lt;&gt;0),(N(AE212)+N(AE213)+N(AE214)+N(AE217)+N(AE235)+N(AE238))/(AA69+AC69+AD69+AE69),""),"")</f>
        <v>2.47356174092069</v>
      </c>
      <c r="AF334" s="262">
        <f>IFERROR(IF(AND(COUNT(AB69,AD69,AE69,AF69)=4,(AB69+AD69+AE69+AF69)&lt;&gt;0),(N(AF212)+N(AF213)+N(AF214)+N(AF217)+N(AF235)+N(AF238))/(AB69+AD69+AE69+AF69),""),"")</f>
        <v>1.09291773266161</v>
      </c>
      <c r="AG334" s="262">
        <f>IFERROR(IF(AND(COUNT(AC69,AD69,AE69,AF69)=4,(AC69+AD69+AE69+AF69)&lt;&gt;0),(N(AG212)+N(AG213)+N(AG214)+N(AG217)+N(AG235)+N(AG238))/(AC69+AD69+AE69+AF69),""),"")</f>
        <v>2.44421561556749</v>
      </c>
      <c r="AH334" s="262">
        <f>IFERROR(IF(AND(COUNT(AD69,AF69,AG69,AH69)=4,(AD69+AF69+AG69+AH69)&lt;&gt;0),(N(AH212)+N(AH213)+N(AH214)+N(AH217)+N(AH235)+N(AH238))/(AD69+AF69+AG69+AH69),""),"")</f>
        <v>1.77431163351016</v>
      </c>
      <c r="AI334" s="262">
        <f>IFERROR(IF(AND(COUNT(AE69,AG69,AH69,AI69)=4,(AE69+AG69+AH69+AI69)&lt;&gt;0),(N(AI212)+N(AI213)+N(AI214)+N(AI217)+N(AI235)+N(AI238))/(AE69+AG69+AH69+AI69),""),"")</f>
        <v>1.78319192040759</v>
      </c>
      <c r="AJ334" s="262">
        <f>IFERROR(IF(AND(COUNT(AF69,AH69,AI69,AJ69)=4,(AF69+AH69+AI69+AJ69)&lt;&gt;0),(N(AJ212)+N(AJ213)+N(AJ214)+N(AJ217)+N(AJ235)+N(AJ238))/(AF69+AH69+AI69+AJ69),""),"")</f>
        <v>3.34605453853192</v>
      </c>
      <c r="AK334" s="262">
        <f>IFERROR(IF(AND(COUNT(AH69,AI69,AJ69,AK69)=4,(AH69+AI69+AJ69+AK69)&lt;&gt;0),(N(AK212)+N(AK213)+N(AK214)+N(AK217)+N(AK235)+N(AK238))/(AH69+AI69+AJ69+AK69),""),"")</f>
        <v>4.34636840586552</v>
      </c>
      <c r="AL334" s="262">
        <f>IFERROR(IF(AND(COUNT(AH69,AI69,AJ69,AK69)=4,(AH69+AI69+AJ69+AK69)&lt;&gt;0),(N(AL212)+N(AL213)+N(AL214)+N(AL217)+N(AL235)+N(AL238))/(AH69+AI69+AJ69+AK69),""),"")</f>
        <v>4.34636840586552</v>
      </c>
      <c r="AM334" s="262">
        <f>IFERROR(IF(AND(COUNT(AI69,AJ69,AK69,AM69)=4,(AI69+AJ69+AK69+AM69)&lt;&gt;0),(N(AM212)+N(AM213)+N(AM214)+N(AM217)+N(AM235)+N(AM238))/(AI69+AJ69+AK69+AM69),""),"")</f>
        <v>3.06108958178992</v>
      </c>
      <c r="AN334" s="262">
        <f>IFERROR(IF(AND(COUNT(AJ69,AK69,AM69,AN69)=4,(AJ69+AK69+AM69+AN69)&lt;&gt;0),(N(AN212)+N(AN213)+N(AN214)+N(AN217)+N(AN235)+N(AN238))/(AJ69+AK69+AM69+AN69),""),"")</f>
        <v>3.47930962954268</v>
      </c>
      <c r="AO334" s="262">
        <f>IFERROR(IF(AND(COUNT(AK69,AM69,AN69,AO69)=4,(AK69+AM69+AN69+AO69)&lt;&gt;0),(N(AO212)+N(AO213)+N(AO214)+N(AO217)+N(AO235)+N(AO238))/(AK69+AM69+AN69+AO69),""),"")</f>
        <v>3.47617513020405</v>
      </c>
      <c r="AP334" s="262">
        <f>IFERROR(IF(AND(COUNT(AM69,AN69,AO69,AP69)=4,(AM69+AN69+AO69+AP69)&lt;&gt;0),(N(AP212)+N(AP213)+N(AP214)+N(AP217)+N(AP235)+N(AP238))/(AM69+AN69+AO69+AP69),""),"")</f>
        <v>3.47295247902904</v>
      </c>
      <c r="AQ334" s="262">
        <f>IFERROR(IF(AND(COUNT(AM69,AN69,AO69,AP69)=4,(AM69+AN69+AO69+AP69)&lt;&gt;0),(N(AQ212)+N(AQ213)+N(AQ214)+N(AQ217)+N(AQ235)+N(AQ238))/(AM69+AN69+AO69+AP69),""),"")</f>
        <v>3.47295247902904</v>
      </c>
      <c r="AR334" s="262">
        <f>IFERROR(IF(AND(COUNT(AN69,AO69,AP69,AR69)=4,(AN69+AO69+AP69+AR69)&lt;&gt;0),(N(AR212)+N(AR213)+N(AR214)+N(AR217)+N(AR235)+N(AR238))/(AN69+AO69+AP69+AR69),""),"")</f>
        <v>3.47295247902904</v>
      </c>
      <c r="AS334" s="262">
        <f>IFERROR(IF(AND(COUNT(AO69,AP69,AR69,AS69)=4,(AO69+AP69+AR69+AS69)&lt;&gt;0),(N(AS212)+N(AS213)+N(AS214)+N(AS217)+N(AS235)+N(AS238))/(AO69+AP69+AR69+AS69),""),"")</f>
        <v>3.47295247902904</v>
      </c>
      <c r="AT334" s="262">
        <f>IFERROR(IF(AND(COUNT(AP69,AR69,AS69,AT69)=4,(AP69+AR69+AS69+AT69)&lt;&gt;0),(N(AT212)+N(AT213)+N(AT214)+N(AT217)+N(AT235)+N(AT238))/(AP69+AR69+AS69+AT69),""),"")</f>
        <v>3.47295247902904</v>
      </c>
      <c r="AU334" s="262">
        <f>IFERROR(IF(AND(COUNT(AR69,AS69,AT69,AU69)=4,(AR69+AS69+AT69+AU69)&lt;&gt;0),(N(AU212)+N(AU213)+N(AU214)+N(AU217)+N(AU235)+N(AU238))/(AR69+AS69+AT69+AU69),""),"")</f>
        <v>3.47295247902904</v>
      </c>
      <c r="AV334" s="262">
        <f>IFERROR(IF(AND(COUNT(AR69,AS69,AT69,AU69)=4,(AR69+AS69+AT69+AU69)&lt;&gt;0),(N(AV212)+N(AV213)+N(AV214)+N(AV217)+N(AV235)+N(AV238))/(AR69+AS69+AT69+AU69),""),"")</f>
        <v>3.47295247902904</v>
      </c>
      <c r="AW334" s="262">
        <f>IFERROR(IF(AND(COUNT(AS69,AT69,AU69,AW69)=4,(AS69+AT69+AU69+AW69)&lt;&gt;0),(N(AW212)+N(AW213)+N(AW214)+N(AW217)+N(AW235)+N(AW238))/(AS69+AT69+AU69+AW69),""),"")</f>
        <v>3.47295247902904</v>
      </c>
      <c r="AX334" s="262">
        <f>IFERROR(IF(AND(COUNT(AT69,AU69,AW69,AX69)=4,(AT69+AU69+AW69+AX69)&lt;&gt;0),(N(AX212)+N(AX213)+N(AX214)+N(AX217)+N(AX235)+N(AX238))/(AT69+AU69+AW69+AX69),""),"")</f>
        <v>3.47295247902904</v>
      </c>
      <c r="AY334" s="262">
        <f>IFERROR(IF(AND(COUNT(AU69,AW69,AX69,AY69)=4,(AU69+AW69+AX69+AY69)&lt;&gt;0),(N(AY212)+N(AY213)+N(AY214)+N(AY217)+N(AY235)+N(AY238))/(AU69+AW69+AX69+AY69),""),"")</f>
        <v>3.47295247902904</v>
      </c>
      <c r="AZ334" s="262">
        <f>IFERROR(IF(AND(COUNT(AW69,AX69,AY69,AZ69)=4,(AW69+AX69+AY69+AZ69)&lt;&gt;0),(N(AZ212)+N(AZ213)+N(AZ214)+N(AZ217)+N(AZ235)+N(AZ238))/(AW69+AX69+AY69+AZ69),""),"")</f>
        <v>3.47295247902904</v>
      </c>
      <c r="BA334" s="262">
        <f>IFERROR(IF(AND(COUNT(AW69,AX69,AY69,AZ69)=4,(AW69+AX69+AY69+AZ69)&lt;&gt;0),(N(BA212)+N(BA213)+N(BA214)+N(BA217)+N(BA235)+N(BA238))/(AW69+AX69+AY69+AZ69),""),"")</f>
        <v>3.47295247902904</v>
      </c>
      <c r="BB334" s="262">
        <f>IFERROR(IF(AND(COUNT(AX69,AY69,AZ69,BB69)=4,(AX69+AY69+AZ69+BB69)&lt;&gt;0),(N(BB212)+N(BB213)+N(BB214)+N(BB217)+N(BB235)+N(BB238))/(AX69+AY69+AZ69+BB69),""),"")</f>
        <v>3.47295247902904</v>
      </c>
      <c r="BC334" s="262">
        <f>IFERROR(IF(AND(COUNT(AY69,AZ69,BB69,BC69)=4,(AY69+AZ69+BB69+BC69)&lt;&gt;0),(N(BC212)+N(BC213)+N(BC214)+N(BC217)+N(BC235)+N(BC238))/(AY69+AZ69+BB69+BC69),""),"")</f>
        <v>3.47295247902904</v>
      </c>
      <c r="BD334" s="262">
        <f>IFERROR(IF(AND(COUNT(AZ69,BB69,BC69,BD69)=4,(AZ69+BB69+BC69+BD69)&lt;&gt;0),(N(BD212)+N(BD213)+N(BD214)+N(BD217)+N(BD235)+N(BD238))/(AZ69+BB69+BC69+BD69),""),"")</f>
        <v>3.47295247902904</v>
      </c>
      <c r="BE334" s="262">
        <f>IFERROR(IF(AND(COUNT(BB69,BC69,BD69,BE69)=4,(BB69+BC69+BD69+BE69)&lt;&gt;0),(N(BE212)+N(BE213)+N(BE214)+N(BE217)+N(BE235)+N(BE238))/(BB69+BC69+BD69+BE69),""),"")</f>
        <v>3.47295247902904</v>
      </c>
      <c r="BF334" s="262">
        <f>IFERROR(IF(AND(COUNT(BB69,BC69,BD69,BE69)=4,(BB69+BC69+BD69+BE69)&lt;&gt;0),(N(BF212)+N(BF213)+N(BF214)+N(BF217)+N(BF235)+N(BF238))/(BB69+BC69+BD69+BE69),""),"")</f>
        <v>3.47295247902904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0.332344548109462</v>
      </c>
      <c r="J335" s="258">
        <f>IFERROR(IF(((N(J212)+N(J213)+N(J214)+N(J217)+N(J235)+N(J238))+N(J271))&lt;&gt;0,(N(J212)+N(J213)+N(J214)+N(J217)+N(J235)+N(J238))/((N(J212)+N(J213)+N(J214)+N(J217)+N(J235)+N(J238))+J271),""),"")</f>
        <v>0.316740041510373</v>
      </c>
      <c r="K335" s="258">
        <f>IFERROR(IF(((N(K212)+N(K213)+N(K214)+N(K217)+N(K235)+N(K238))+N(K271))&lt;&gt;0,(N(K212)+N(K213)+N(K214)+N(K217)+N(K235)+N(K238))/((N(K212)+N(K213)+N(K214)+N(K217)+N(K235)+N(K238))+K271),""),"")</f>
        <v>0.300338928697293</v>
      </c>
      <c r="L335" s="258">
        <f>IFERROR(IF(((N(L212)+N(L213)+N(L214)+N(L217)+N(L235)+N(L238))+N(L271))&lt;&gt;0,(N(L212)+N(L213)+N(L214)+N(L217)+N(L235)+N(L238))/((N(L212)+N(L213)+N(L214)+N(L217)+N(L235)+N(L238))+L271),""),"")</f>
        <v>0.283439904026709</v>
      </c>
      <c r="M335" s="258">
        <f>IFERROR(IF(((N(M212)+N(M213)+N(M214)+N(M217)+N(M235)+N(M238))+N(M271))&lt;&gt;0,(N(M212)+N(M213)+N(M214)+N(M217)+N(M235)+N(M238))/((N(M212)+N(M213)+N(M214)+N(M217)+N(M235)+N(M238))+M271),""),"")</f>
        <v>0.283439904026709</v>
      </c>
      <c r="N335" s="258">
        <f>IFERROR(IF(((N(N212)+N(N213)+N(N214)+N(N217)+N(N235)+N(N238))+N(N271))&lt;&gt;0,(N(N212)+N(N213)+N(N214)+N(N217)+N(N235)+N(N238))/((N(N212)+N(N213)+N(N214)+N(N217)+N(N235)+N(N238))+N271),""),"")</f>
        <v>0.316368881658538</v>
      </c>
      <c r="O335" s="258">
        <f>IFERROR(IF(((N(O212)+N(O213)+N(O214)+N(O217)+N(O235)+N(O238))+N(O271))&lt;&gt;0,(N(O212)+N(O213)+N(O214)+N(O217)+N(O235)+N(O238))/((N(O212)+N(O213)+N(O214)+N(O217)+N(O235)+N(O238))+O271),""),"")</f>
        <v>0.2927320626759</v>
      </c>
      <c r="P335" s="258">
        <f>IFERROR(IF(((N(P212)+N(P213)+N(P214)+N(P217)+N(P235)+N(P238))+N(P271))&lt;&gt;0,(N(P212)+N(P213)+N(P214)+N(P217)+N(P235)+N(P238))/((N(P212)+N(P213)+N(P214)+N(P217)+N(P235)+N(P238))+P271),""),"")</f>
        <v>0.324907063443672</v>
      </c>
      <c r="Q335" s="258">
        <f>IFERROR(IF(((N(Q212)+N(Q213)+N(Q214)+N(Q217)+N(Q235)+N(Q238))+N(Q271))&lt;&gt;0,(N(Q212)+N(Q213)+N(Q214)+N(Q217)+N(Q235)+N(Q238))/((N(Q212)+N(Q213)+N(Q214)+N(Q217)+N(Q235)+N(Q238))+Q271),""),"")</f>
        <v>0.301044668106051</v>
      </c>
      <c r="R335" s="258">
        <f>IFERROR(IF(((N(R212)+N(R213)+N(R214)+N(R217)+N(R235)+N(R238))+N(R271))&lt;&gt;0,(N(R212)+N(R213)+N(R214)+N(R217)+N(R235)+N(R238))/((N(R212)+N(R213)+N(R214)+N(R217)+N(R235)+N(R238))+R271),""),"")</f>
        <v>0.301044668106051</v>
      </c>
      <c r="S335" s="258">
        <f>IFERROR(IF(((N(S212)+N(S213)+N(S214)+N(S217)+N(S235)+N(S238))+N(S271))&lt;&gt;0,(N(S212)+N(S213)+N(S214)+N(S217)+N(S235)+N(S238))/((N(S212)+N(S213)+N(S214)+N(S217)+N(S235)+N(S238))+S271),""),"")</f>
        <v>0.292682061045207</v>
      </c>
      <c r="T335" s="258">
        <f>IFERROR(IF(((N(T212)+N(T213)+N(T214)+N(T217)+N(T235)+N(T238))+N(T271))&lt;&gt;0,(N(T212)+N(T213)+N(T214)+N(T217)+N(T235)+N(T238))/((N(T212)+N(T213)+N(T214)+N(T217)+N(T235)+N(T238))+T271),""),"")</f>
        <v>0.276136725767547</v>
      </c>
      <c r="U335" s="258">
        <f>IFERROR(IF(((N(U212)+N(U213)+N(U214)+N(U217)+N(U235)+N(U238))+N(U271))&lt;&gt;0,(N(U212)+N(U213)+N(U214)+N(U217)+N(U235)+N(U238))/((N(U212)+N(U213)+N(U214)+N(U217)+N(U235)+N(U238))+U271),""),"")</f>
        <v>0.286988658686219</v>
      </c>
      <c r="V335" s="258">
        <f>IFERROR(IF(((N(V212)+N(V213)+N(V214)+N(V217)+N(V235)+N(V238))+N(V271))&lt;&gt;0,(N(V212)+N(V213)+N(V214)+N(V217)+N(V235)+N(V238))/((N(V212)+N(V213)+N(V214)+N(V217)+N(V235)+N(V238))+V271),""),"")</f>
        <v>0.272292431211134</v>
      </c>
      <c r="W335" s="258">
        <f>IFERROR(IF(((N(W212)+N(W213)+N(W214)+N(W217)+N(W235)+N(W238))+N(W271))&lt;&gt;0,(N(W212)+N(W213)+N(W214)+N(W217)+N(W235)+N(W238))/((N(W212)+N(W213)+N(W214)+N(W217)+N(W235)+N(W238))+W271),""),"")</f>
        <v>0.272292431211134</v>
      </c>
      <c r="X335" s="258">
        <f>IFERROR(IF(((N(X212)+N(X213)+N(X214)+N(X217)+N(X235)+N(X238))+N(X271))&lt;&gt;0,(N(X212)+N(X213)+N(X214)+N(X217)+N(X235)+N(X238))/((N(X212)+N(X213)+N(X214)+N(X217)+N(X235)+N(X238))+X271),""),"")</f>
        <v>0.268601107962036</v>
      </c>
      <c r="Y335" s="258">
        <f>IFERROR(IF(((N(Y212)+N(Y213)+N(Y214)+N(Y217)+N(Y235)+N(Y238))+N(Y271))&lt;&gt;0,(N(Y212)+N(Y213)+N(Y214)+N(Y217)+N(Y235)+N(Y238))/((N(Y212)+N(Y213)+N(Y214)+N(Y217)+N(Y235)+N(Y238))+Y271),""),"")</f>
        <v>0.26076885702019</v>
      </c>
      <c r="Z335" s="258">
        <f>IFERROR(IF(((N(Z212)+N(Z213)+N(Z214)+N(Z217)+N(Z235)+N(Z238))+N(Z271))&lt;&gt;0,(N(Z212)+N(Z213)+N(Z214)+N(Z217)+N(Z235)+N(Z238))/((N(Z212)+N(Z213)+N(Z214)+N(Z217)+N(Z235)+N(Z238))+Z271),""),"")</f>
        <v>0.311404023763095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0.306512869311193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0.306512869311193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0.295842983801884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0.288105085527105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0.269483950007648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0.262557015718426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0.262557015718426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0.300036690721974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0.292262458723881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0.286881727526831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0.281542823911685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0.281542823911685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0.276690034193186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0.270232192601494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0.265607931867411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0.261007510752404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0.261007510752404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0.256831564545142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0.251258099853755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0.247255608425445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0.243264184399176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0.243264184399176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0.239632753008026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0.23477369155506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0.231275502710581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0.22777968986397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0.22777968986397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0.224592819785921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0.220319111981233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0.217235587972402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0.214148496161048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0.214148496161048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1.24663413273577</v>
      </c>
      <c r="M336" s="262">
        <f>IFERROR(IF(AND(COUNT(I69,J69,K69,L69)=4,(I69+J69+K69+L69)&lt;&gt;0),((N(M212)+N(M213)+N(M214)+N(M217)+N(M235)+N(M238))-N(M144))/(I69+J69+K69+L69),""),"")</f>
        <v>1.24663413273577</v>
      </c>
      <c r="N336" s="262">
        <f>IFERROR(IF(AND(COUNT(J69,K69,L69,N69)=4,(J69+K69+L69+N69)&lt;&gt;0),((N(N212)+N(N213)+N(N214)+N(N217)+N(N235)+N(N238))-N(N144))/(J69+K69+L69+N69),""),"")</f>
        <v>1.55014791394902</v>
      </c>
      <c r="O336" s="262">
        <f>IFERROR(IF(AND(COUNT(K69,L69,N69,O69)=4,(K69+L69+N69+O69)&lt;&gt;0),((N(O212)+N(O213)+N(O214)+N(O217)+N(O235)+N(O238))-N(O144))/(K69+L69+N69+O69),""),"")</f>
        <v>1.13417915665937</v>
      </c>
      <c r="P336" s="262">
        <f>IFERROR(IF(AND(COUNT(L69,N69,O69,P69)=4,(L69+N69+O69+P69)&lt;&gt;0),((N(P212)+N(P213)+N(P214)+N(P217)+N(P235)+N(P238))-N(P144))/(L69+N69+O69+P69),""),"")</f>
        <v>0.699370609259604</v>
      </c>
      <c r="Q336" s="262">
        <f>IFERROR(IF(AND(COUNT(N69,O69,P69,Q69)=4,(N69+O69+P69+Q69)&lt;&gt;0),((N(Q212)+N(Q213)+N(Q214)+N(Q217)+N(Q235)+N(Q238))-N(Q144))/(N69+O69+P69+Q69),""),"")</f>
        <v>0.662966659811706</v>
      </c>
      <c r="R336" s="262">
        <f>IFERROR(IF(AND(COUNT(N69,O69,P69,Q69)=4,(N69+O69+P69+Q69)&lt;&gt;0),((N(R212)+N(R213)+N(R214)+N(R217)+N(R235)+N(R238))-N(R144))/(N69+O69+P69+Q69),""),"")</f>
        <v>0.662966659811706</v>
      </c>
      <c r="S336" s="262">
        <f>IFERROR(IF(AND(COUNT(O69,P69,Q69,S69)=4,(O69+P69+Q69+S69)&lt;&gt;0),((N(S212)+N(S213)+N(S214)+N(S217)+N(S235)+N(S238))-N(S144))/(O69+P69+Q69+S69),""),"")</f>
        <v>0.705905259397527</v>
      </c>
      <c r="T336" s="262">
        <f>IFERROR(IF(AND(COUNT(P69,Q69,S69,T69)=4,(P69+Q69+S69+T69)&lt;&gt;0),((N(T212)+N(T213)+N(T214)+N(T217)+N(T235)+N(T238))-N(T144))/(P69+Q69+S69+T69),""),"")</f>
        <v>0.451796335792918</v>
      </c>
      <c r="U336" s="262">
        <f>IFERROR(IF(AND(COUNT(Q69,S69,T69,U69)=4,(Q69+S69+T69+U69)&lt;&gt;0),((N(U212)+N(U213)+N(U214)+N(U217)+N(U235)+N(U238))-N(U144))/(Q69+S69+T69+U69),""),"")</f>
        <v>0.033123369309211</v>
      </c>
      <c r="V336" s="262">
        <f>IFERROR(IF(AND(COUNT(S69,T69,U69,V69)=4,(S69+T69+U69+V69)&lt;&gt;0),((N(V212)+N(V213)+N(V214)+N(V217)+N(V235)+N(V238))-N(V144))/(S69+T69+U69+V69),""),"")</f>
        <v>0.29046422826515</v>
      </c>
      <c r="W336" s="262">
        <f>IFERROR(IF(AND(COUNT(S69,T69,U69,V69)=4,(S69+T69+U69+V69)&lt;&gt;0),((N(W212)+N(W213)+N(W214)+N(W217)+N(W235)+N(W238))-N(W144))/(S69+T69+U69+V69),""),"")</f>
        <v>0.29046422826515</v>
      </c>
      <c r="X336" s="262">
        <f>IFERROR(IF(AND(COUNT(T69,U69,V69,X69)=4,(T69+U69+V69+X69)&lt;&gt;0),((N(X212)+N(X213)+N(X214)+N(X217)+N(X235)+N(X238))-N(X144))/(T69+U69+V69+X69),""),"")</f>
        <v>0.761786133990003</v>
      </c>
      <c r="Y336" s="262">
        <f>IFERROR(IF(AND(COUNT(U69,V69,X69,Y69)=4,(U69+V69+X69+Y69)&lt;&gt;0),((N(Y212)+N(Y213)+N(Y214)+N(Y217)+N(Y235)+N(Y238))-N(Y144))/(U69+V69+X69+Y69),""),"")</f>
        <v>1.14153286490483</v>
      </c>
      <c r="Z336" s="262">
        <f>IFERROR(IF(AND(COUNT(V69,X69,Y69,Z69)=4,(V69+X69+Y69+Z69)&lt;&gt;0),((N(Z212)+N(Z213)+N(Z214)+N(Z217)+N(Z235)+N(Z238))-N(Z144))/(V69+X69+Y69+Z69),""),"")</f>
        <v>1.18396897030017</v>
      </c>
      <c r="AA336" s="262">
        <f>IFERROR(IF(AND(COUNT(X69,Y69,Z69,AA69)=4,(X69+Y69+Z69+AA69)&lt;&gt;0),((N(AA212)+N(AA213)+N(AA214)+N(AA217)+N(AA235)+N(AA238))-N(AA144))/(X69+Y69+Z69+AA69),""),"")</f>
        <v>1.88004220820661</v>
      </c>
      <c r="AB336" s="262">
        <f>IFERROR(IF(AND(COUNT(X69,Y69,Z69,AA69)=4,(X69+Y69+Z69+AA69)&lt;&gt;0),((N(AB212)+N(AB213)+N(AB214)+N(AB217)+N(AB235)+N(AB238))-N(AB144))/(X69+Y69+Z69+AA69),""),"")</f>
        <v>1.88004220820661</v>
      </c>
      <c r="AC336" s="262">
        <f>IFERROR(IF(AND(COUNT(Y69,Z69,AA69,AC69)=4,(Y69+Z69+AA69+AC69)&lt;&gt;0),((N(AC212)+N(AC213)+N(AC214)+N(AC217)+N(AC235)+N(AC238))-N(AC144))/(Y69+Z69+AA69+AC69),""),"")</f>
        <v>2.31450499970762</v>
      </c>
      <c r="AD336" s="262">
        <f>IFERROR(IF(AND(COUNT(Z69,AA69,AC69,AD69)=4,(Z69+AA69+AC69+AD69)&lt;&gt;0),((N(AD212)+N(AD213)+N(AD214)+N(AD217)+N(AD235)+N(AD238))-N(AD144))/(Z69+AA69+AC69+AD69),""),"")</f>
        <v>2.73156704528763</v>
      </c>
      <c r="AE336" s="262">
        <f>IFERROR(IF(AND(COUNT(AA69,AC69,AD69,AE69)=4,(AA69+AC69+AD69+AE69)&lt;&gt;0),((N(AE212)+N(AE213)+N(AE214)+N(AE217)+N(AE235)+N(AE238))-N(AE144))/(AA69+AC69+AD69+AE69),""),"")</f>
        <v>2.03185606764918</v>
      </c>
      <c r="AF336" s="262">
        <f>IFERROR(IF(AND(COUNT(AB69,AD69,AE69,AF69)=4,(AB69+AD69+AE69+AF69)&lt;&gt;0),((N(AF212)+N(AF213)+N(AF214)+N(AF217)+N(AF235)+N(AF238))-N(AF144))/(AB69+AD69+AE69+AF69),""),"")</f>
        <v>0.869151957728076</v>
      </c>
      <c r="AG336" s="262">
        <f>IFERROR(IF(AND(COUNT(AC69,AD69,AE69,AF69)=4,(AC69+AD69+AE69+AF69)&lt;&gt;0),((N(AG212)+N(AG213)+N(AG214)+N(AG217)+N(AG235)+N(AG238))-N(AG144))/(AC69+AD69+AE69+AF69),""),"")</f>
        <v>1.94378288858616</v>
      </c>
      <c r="AH336" s="262">
        <f>IFERROR(IF(AND(COUNT(AD69,AF69,AG69,AH69)=4,(AD69+AF69+AG69+AH69)&lt;&gt;0),((N(AH212)+N(AH213)+N(AH214)+N(AH217)+N(AH235)+N(AH238))-N(AH144))/(AD69+AF69+AG69+AH69),""),"")</f>
        <v>1.56759203178766</v>
      </c>
      <c r="AI336" s="262">
        <f>IFERROR(IF(AND(COUNT(AE69,AG69,AH69,AI69)=4,(AE69+AG69+AH69+AI69)&lt;&gt;0),((N(AI212)+N(AI213)+N(AI214)+N(AI217)+N(AI235)+N(AI238))-N(AI144))/(AE69+AG69+AH69+AI69),""),"")</f>
        <v>1.36729918027306</v>
      </c>
      <c r="AJ336" s="262">
        <f>IFERROR(IF(AND(COUNT(AF69,AH69,AI69,AJ69)=4,(AF69+AH69+AI69+AJ69)&lt;&gt;0),((N(AJ212)+N(AJ213)+N(AJ214)+N(AJ217)+N(AJ235)+N(AJ238))-N(AJ144))/(AF69+AH69+AI69+AJ69),""),"")</f>
        <v>1.8436838752164</v>
      </c>
      <c r="AK336" s="262">
        <f>IFERROR(IF(AND(COUNT(AH69,AI69,AJ69,AK69)=4,(AH69+AI69+AJ69+AK69)&lt;&gt;0),((N(AK212)+N(AK213)+N(AK214)+N(AK217)+N(AK235)+N(AK238))-N(AK144))/(AH69+AI69+AJ69+AK69),""),"")</f>
        <v>2.44194970559092</v>
      </c>
      <c r="AL336" s="262">
        <f>IFERROR(IF(AND(COUNT(AH69,AI69,AJ69,AK69)=4,(AH69+AI69+AJ69+AK69)&lt;&gt;0),((N(AL212)+N(AL213)+N(AL214)+N(AL217)+N(AL235)+N(AL238))-N(AL144))/(AH69+AI69+AJ69+AK69),""),"")</f>
        <v>2.44194970559092</v>
      </c>
      <c r="AM336" s="262">
        <f>IFERROR(IF(AND(COUNT(AI69,AJ69,AK69,AM69)=4,(AI69+AJ69+AK69+AM69)&lt;&gt;0),((N(AM212)+N(AM213)+N(AM214)+N(AM217)+N(AM235)+N(AM238))-N(AM144))/(AI69+AJ69+AK69+AM69),""),"")</f>
        <v>1.30186821104061</v>
      </c>
      <c r="AN336" s="262">
        <f>IFERROR(IF(AND(COUNT(AJ69,AK69,AM69,AN69)=4,(AJ69+AK69+AM69+AN69)&lt;&gt;0),((N(AN212)+N(AN213)+N(AN214)+N(AN217)+N(AN235)+N(AN238))-N(AN144))/(AJ69+AK69+AM69+AN69),""),"")</f>
        <v>4.07509521909681</v>
      </c>
      <c r="AO336" s="262">
        <f>IFERROR(IF(AND(COUNT(AK69,AM69,AN69,AO69)=4,(AK69+AM69+AN69+AO69)&lt;&gt;0),((N(AO212)+N(AO213)+N(AO214)+N(AO217)+N(AO235)+N(AO238))-N(AO144))/(AK69+AM69+AN69+AO69),""),"")</f>
        <v>1.12680693150479</v>
      </c>
      <c r="AP336" s="262">
        <f>IFERROR(IF(AND(COUNT(AM69,AN69,AO69,AP69)=4,(AM69+AN69+AO69+AP69)&lt;&gt;0),((N(AP212)+N(AP213)+N(AP214)+N(AP217)+N(AP235)+N(AP238))-N(AP144))/(AM69+AN69+AO69+AP69),""),"")</f>
        <v>1.1634788782574</v>
      </c>
      <c r="AQ336" s="262">
        <f>IFERROR(IF(AND(COUNT(AM69,AN69,AO69,AP69)=4,(AM69+AN69+AO69+AP69)&lt;&gt;0),((N(AQ212)+N(AQ213)+N(AQ214)+N(AQ217)+N(AQ235)+N(AQ238))-N(AQ144))/(AM69+AN69+AO69+AP69),""),"")</f>
        <v>1.1634788782574</v>
      </c>
      <c r="AR336" s="262">
        <f>IFERROR(IF(AND(COUNT(AN69,AO69,AP69,AR69)=4,(AN69+AO69+AP69+AR69)&lt;&gt;0),((N(AR212)+N(AR213)+N(AR214)+N(AR217)+N(AR235)+N(AR238))-N(AR144))/(AN69+AO69+AP69+AR69),""),"")</f>
        <v>0.578930114991542</v>
      </c>
      <c r="AS336" s="262">
        <f>IFERROR(IF(AND(COUNT(AO69,AP69,AR69,AS69)=4,(AO69+AP69+AR69+AS69)&lt;&gt;0),((N(AS212)+N(AS213)+N(AS214)+N(AS217)+N(AS235)+N(AS238))-N(AS144))/(AO69+AP69+AR69+AS69),""),"")</f>
        <v>3.25866765962314</v>
      </c>
      <c r="AT336" s="262">
        <f>IFERROR(IF(AND(COUNT(AP69,AR69,AS69,AT69)=4,(AP69+AR69+AS69+AT69)&lt;&gt;0),((N(AT212)+N(AT213)+N(AT214)+N(AT217)+N(AT235)+N(AT238))-N(AT144))/(AP69+AR69+AS69+AT69),""),"")</f>
        <v>0.32177207189858</v>
      </c>
      <c r="AU336" s="262">
        <f>IFERROR(IF(AND(COUNT(AR69,AS69,AT69,AU69)=4,(AR69+AS69+AT69+AU69)&lt;&gt;0),((N(AU212)+N(AU213)+N(AU214)+N(AU217)+N(AU235)+N(AU238))-N(AU144))/(AR69+AS69+AT69+AU69),""),"")</f>
        <v>0.364499807627319</v>
      </c>
      <c r="AV336" s="262">
        <f>IFERROR(IF(AND(COUNT(AR69,AS69,AT69,AU69)=4,(AR69+AS69+AT69+AU69)&lt;&gt;0),((N(AV212)+N(AV213)+N(AV214)+N(AV217)+N(AV235)+N(AV238))-N(AV144))/(AR69+AS69+AT69+AU69),""),"")</f>
        <v>0.364499807627319</v>
      </c>
      <c r="AW336" s="262">
        <f>IFERROR(IF(AND(COUNT(AS69,AT69,AU69,AW69)=4,(AS69+AT69+AU69+AW69)&lt;&gt;0),((N(AW212)+N(AW213)+N(AW214)+N(AW217)+N(AW235)+N(AW238))-N(AW144))/(AS69+AT69+AU69+AW69),""),"")</f>
        <v>-0.135901286352497</v>
      </c>
      <c r="AX336" s="262">
        <f>IFERROR(IF(AND(COUNT(AT69,AU69,AW69,AX69)=4,(AT69+AU69+AW69+AX69)&lt;&gt;0),((N(AX212)+N(AX213)+N(AX214)+N(AX217)+N(AX235)+N(AX238))-N(AX144))/(AT69+AU69+AW69+AX69),""),"")</f>
        <v>2.45968858899305</v>
      </c>
      <c r="AY336" s="262">
        <f>IFERROR(IF(AND(COUNT(AU69,AW69,AX69,AY69)=4,(AU69+AW69+AX69+AY69)&lt;&gt;0),((N(AY212)+N(AY213)+N(AY214)+N(AY217)+N(AY235)+N(AY238))-N(AY144))/(AU69+AW69+AX69+AY69),""),"")</f>
        <v>-0.477206998731504</v>
      </c>
      <c r="AZ336" s="262">
        <f>IFERROR(IF(AND(COUNT(AW69,AX69,AY69,AZ69)=4,(AW69+AX69+AY69+AZ69)&lt;&gt;0),((N(AZ212)+N(AZ213)+N(AZ214)+N(AZ217)+N(AZ235)+N(AZ238))-N(AZ144))/(AW69+AX69+AY69+AZ69),""),"")</f>
        <v>-0.434479263002765</v>
      </c>
      <c r="BA336" s="262">
        <f>IFERROR(IF(AND(COUNT(AW69,AX69,AY69,AZ69)=4,(AW69+AX69+AY69+AZ69)&lt;&gt;0),((N(BA212)+N(BA213)+N(BA214)+N(BA217)+N(BA235)+N(BA238))-N(BA144))/(AW69+AX69+AY69+AZ69),""),"")</f>
        <v>-0.434479263002765</v>
      </c>
      <c r="BB336" s="262">
        <f>IFERROR(IF(AND(COUNT(AX69,AY69,AZ69,BB69)=4,(AX69+AY69+AZ69+BB69)&lt;&gt;0),((N(BB212)+N(BB213)+N(BB214)+N(BB217)+N(BB235)+N(BB238))-N(BB144))/(AX69+AY69+AZ69+BB69),""),"")</f>
        <v>-0.934880356982581</v>
      </c>
      <c r="BC336" s="262">
        <f>IFERROR(IF(AND(COUNT(AY69,AZ69,BB69,BC69)=4,(AY69+AZ69+BB69+BC69)&lt;&gt;0),((N(BC212)+N(BC213)+N(BC214)+N(BC217)+N(BC235)+N(BC238))-N(BC144))/(AY69+AZ69+BB69+BC69),""),"")</f>
        <v>1.66070951836296</v>
      </c>
      <c r="BD336" s="262">
        <f>IFERROR(IF(AND(COUNT(AZ69,BB69,BC69,BD69)=4,(AZ69+BB69+BC69+BD69)&lt;&gt;0),((N(BD212)+N(BD213)+N(BD214)+N(BD217)+N(BD235)+N(BD238))-N(BD144))/(AZ69+BB69+BC69+BD69),""),"")</f>
        <v>-1.27618606936159</v>
      </c>
      <c r="BE336" s="262">
        <f>IFERROR(IF(AND(COUNT(BB69,BC69,BD69,BE69)=4,(BB69+BC69+BD69+BE69)&lt;&gt;0),((N(BE212)+N(BE213)+N(BE214)+N(BE217)+N(BE235)+N(BE238))-N(BE144))/(BB69+BC69+BD69+BE69),""),"")</f>
        <v>-1.23345833363285</v>
      </c>
      <c r="BF336" s="262">
        <f>IFERROR(IF(AND(COUNT(BB69,BC69,BD69,BE69)=4,(BB69+BC69+BD69+BE69)&lt;&gt;0),((N(BF212)+N(BF213)+N(BF214)+N(BF217)+N(BF235)+N(BF238))-N(BF144))/(BB69+BC69+BD69+BE69),""),"")</f>
        <v>-1.23345833363285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1.24663413273577</v>
      </c>
      <c r="M337" s="262">
        <f>IFERROR(IF(AND(COUNT(I69,J69,K69,L69)=4,(I69+J69+K69+L69)&lt;&gt;0),((N(M212)+N(M213)+N(M217)+N(M238))-N(M144))/(I69+J69+K69+L69),""),"")</f>
        <v>1.24663413273577</v>
      </c>
      <c r="N337" s="262">
        <f>IFERROR(IF(AND(COUNT(J69,K69,L69,N69)=4,(J69+K69+L69+N69)&lt;&gt;0),((N(N212)+N(N213)+N(N217)+N(N238))-N(N144))/(J69+K69+L69+N69),""),"")</f>
        <v>1.55014791394902</v>
      </c>
      <c r="O337" s="262">
        <f>IFERROR(IF(AND(COUNT(K69,L69,N69,O69)=4,(K69+L69+N69+O69)&lt;&gt;0),((N(O212)+N(O213)+N(O217)+N(O238))-N(O144))/(K69+L69+N69+O69),""),"")</f>
        <v>1.13417915665937</v>
      </c>
      <c r="P337" s="262">
        <f>IFERROR(IF(AND(COUNT(L69,N69,O69,P69)=4,(L69+N69+O69+P69)&lt;&gt;0),((N(P212)+N(P213)+N(P217)+N(P238))-N(P144))/(L69+N69+O69+P69),""),"")</f>
        <v>0.699370609259604</v>
      </c>
      <c r="Q337" s="262">
        <f>IFERROR(IF(AND(COUNT(N69,O69,P69,Q69)=4,(N69+O69+P69+Q69)&lt;&gt;0),((N(Q212)+N(Q213)+N(Q217)+N(Q238))-N(Q144))/(N69+O69+P69+Q69),""),"")</f>
        <v>0.662966659811706</v>
      </c>
      <c r="R337" s="262">
        <f>IFERROR(IF(AND(COUNT(N69,O69,P69,Q69)=4,(N69+O69+P69+Q69)&lt;&gt;0),((N(R212)+N(R213)+N(R217)+N(R238))-N(R144))/(N69+O69+P69+Q69),""),"")</f>
        <v>0.662966659811706</v>
      </c>
      <c r="S337" s="262">
        <f>IFERROR(IF(AND(COUNT(O69,P69,Q69,S69)=4,(O69+P69+Q69+S69)&lt;&gt;0),((N(S212)+N(S213)+N(S217)+N(S238))-N(S144))/(O69+P69+Q69+S69),""),"")</f>
        <v>0.705905259397527</v>
      </c>
      <c r="T337" s="262">
        <f>IFERROR(IF(AND(COUNT(P69,Q69,S69,T69)=4,(P69+Q69+S69+T69)&lt;&gt;0),((N(T212)+N(T213)+N(T217)+N(T238))-N(T144))/(P69+Q69+S69+T69),""),"")</f>
        <v>0.451796335792918</v>
      </c>
      <c r="U337" s="262">
        <f>IFERROR(IF(AND(COUNT(Q69,S69,T69,U69)=4,(Q69+S69+T69+U69)&lt;&gt;0),((N(U212)+N(U213)+N(U217)+N(U238))-N(U144))/(Q69+S69+T69+U69),""),"")</f>
        <v>0.033123369309211</v>
      </c>
      <c r="V337" s="262">
        <f>IFERROR(IF(AND(COUNT(S69,T69,U69,V69)=4,(S69+T69+U69+V69)&lt;&gt;0),((N(V212)+N(V213)+N(V217)+N(V238))-N(V144))/(S69+T69+U69+V69),""),"")</f>
        <v>0.29046422826515</v>
      </c>
      <c r="W337" s="262">
        <f>IFERROR(IF(AND(COUNT(S69,T69,U69,V69)=4,(S69+T69+U69+V69)&lt;&gt;0),((N(W212)+N(W213)+N(W217)+N(W238))-N(W144))/(S69+T69+U69+V69),""),"")</f>
        <v>0.29046422826515</v>
      </c>
      <c r="X337" s="262">
        <f>IFERROR(IF(AND(COUNT(T69,U69,V69,X69)=4,(T69+U69+V69+X69)&lt;&gt;0),((N(X212)+N(X213)+N(X217)+N(X238))-N(X144))/(T69+U69+V69+X69),""),"")</f>
        <v>0.761786133990003</v>
      </c>
      <c r="Y337" s="262">
        <f>IFERROR(IF(AND(COUNT(U69,V69,X69,Y69)=4,(U69+V69+X69+Y69)&lt;&gt;0),((N(Y212)+N(Y213)+N(Y217)+N(Y238))-N(Y144))/(U69+V69+X69+Y69),""),"")</f>
        <v>1.14153286490483</v>
      </c>
      <c r="Z337" s="262">
        <f>IFERROR(IF(AND(COUNT(V69,X69,Y69,Z69)=4,(V69+X69+Y69+Z69)&lt;&gt;0),((N(Z212)+N(Z213)+N(Z217)+N(Z238))-N(Z144))/(V69+X69+Y69+Z69),""),"")</f>
        <v>1.18396897030017</v>
      </c>
      <c r="AA337" s="262">
        <f>IFERROR(IF(AND(COUNT(X69,Y69,Z69,AA69)=4,(X69+Y69+Z69+AA69)&lt;&gt;0),((N(AA212)+N(AA213)+N(AA217)+N(AA238))-N(AA144))/(X69+Y69+Z69+AA69),""),"")</f>
        <v>1.88004220820661</v>
      </c>
      <c r="AB337" s="262">
        <f>IFERROR(IF(AND(COUNT(X69,Y69,Z69,AA69)=4,(X69+Y69+Z69+AA69)&lt;&gt;0),((N(AB212)+N(AB213)+N(AB217)+N(AB238))-N(AB144))/(X69+Y69+Z69+AA69),""),"")</f>
        <v>1.88004220820661</v>
      </c>
      <c r="AC337" s="262">
        <f>IFERROR(IF(AND(COUNT(Y69,Z69,AA69,AC69)=4,(Y69+Z69+AA69+AC69)&lt;&gt;0),((N(AC212)+N(AC213)+N(AC217)+N(AC238))-N(AC144))/(Y69+Z69+AA69+AC69),""),"")</f>
        <v>2.31450499970762</v>
      </c>
      <c r="AD337" s="262">
        <f>IFERROR(IF(AND(COUNT(Z69,AA69,AC69,AD69)=4,(Z69+AA69+AC69+AD69)&lt;&gt;0),((N(AD212)+N(AD213)+N(AD217)+N(AD238))-N(AD144))/(Z69+AA69+AC69+AD69),""),"")</f>
        <v>2.73156704528763</v>
      </c>
      <c r="AE337" s="262">
        <f>IFERROR(IF(AND(COUNT(AA69,AC69,AD69,AE69)=4,(AA69+AC69+AD69+AE69)&lt;&gt;0),((N(AE212)+N(AE213)+N(AE217)+N(AE238))-N(AE144))/(AA69+AC69+AD69+AE69),""),"")</f>
        <v>2.03185606764918</v>
      </c>
      <c r="AF337" s="262">
        <f>IFERROR(IF(AND(COUNT(AB69,AD69,AE69,AF69)=4,(AB69+AD69+AE69+AF69)&lt;&gt;0),((N(AF212)+N(AF213)+N(AF217)+N(AF238))-N(AF144))/(AB69+AD69+AE69+AF69),""),"")</f>
        <v>0.869151957728076</v>
      </c>
      <c r="AG337" s="262">
        <f>IFERROR(IF(AND(COUNT(AC69,AD69,AE69,AF69)=4,(AC69+AD69+AE69+AF69)&lt;&gt;0),((N(AG212)+N(AG213)+N(AG217)+N(AG238))-N(AG144))/(AC69+AD69+AE69+AF69),""),"")</f>
        <v>1.94378288858616</v>
      </c>
      <c r="AH337" s="262">
        <f>IFERROR(IF(AND(COUNT(AD69,AF69,AG69,AH69)=4,(AD69+AF69+AG69+AH69)&lt;&gt;0),((N(AH212)+N(AH213)+N(AH217)+N(AH238))-N(AH144))/(AD69+AF69+AG69+AH69),""),"")</f>
        <v>1.56759203178766</v>
      </c>
      <c r="AI337" s="262">
        <f>IFERROR(IF(AND(COUNT(AE69,AG69,AH69,AI69)=4,(AE69+AG69+AH69+AI69)&lt;&gt;0),((N(AI212)+N(AI213)+N(AI217)+N(AI238))-N(AI144))/(AE69+AG69+AH69+AI69),""),"")</f>
        <v>1.36729918027306</v>
      </c>
      <c r="AJ337" s="262">
        <f>IFERROR(IF(AND(COUNT(AF69,AH69,AI69,AJ69)=4,(AF69+AH69+AI69+AJ69)&lt;&gt;0),((N(AJ212)+N(AJ213)+N(AJ217)+N(AJ238))-N(AJ144))/(AF69+AH69+AI69+AJ69),""),"")</f>
        <v>1.8436838752164</v>
      </c>
      <c r="AK337" s="262">
        <f>IFERROR(IF(AND(COUNT(AH69,AI69,AJ69,AK69)=4,(AH69+AI69+AJ69+AK69)&lt;&gt;0),((N(AK212)+N(AK213)+N(AK217)+N(AK238))-N(AK144))/(AH69+AI69+AJ69+AK69),""),"")</f>
        <v>2.44194970559092</v>
      </c>
      <c r="AL337" s="262">
        <f>IFERROR(IF(AND(COUNT(AH69,AI69,AJ69,AK69)=4,(AH69+AI69+AJ69+AK69)&lt;&gt;0),((N(AL212)+N(AL213)+N(AL217)+N(AL238))-N(AL144))/(AH69+AI69+AJ69+AK69),""),"")</f>
        <v>2.44194970559092</v>
      </c>
      <c r="AM337" s="262">
        <f>IFERROR(IF(AND(COUNT(AI69,AJ69,AK69,AM69)=4,(AI69+AJ69+AK69+AM69)&lt;&gt;0),((N(AM212)+N(AM213)+N(AM217)+N(AM238))-N(AM144))/(AI69+AJ69+AK69+AM69),""),"")</f>
        <v>1.30186821104061</v>
      </c>
      <c r="AN337" s="262">
        <f>IFERROR(IF(AND(COUNT(AJ69,AK69,AM69,AN69)=4,(AJ69+AK69+AM69+AN69)&lt;&gt;0),((N(AN212)+N(AN213)+N(AN217)+N(AN238))-N(AN144))/(AJ69+AK69+AM69+AN69),""),"")</f>
        <v>4.07509521909681</v>
      </c>
      <c r="AO337" s="262">
        <f>IFERROR(IF(AND(COUNT(AK69,AM69,AN69,AO69)=4,(AK69+AM69+AN69+AO69)&lt;&gt;0),((N(AO212)+N(AO213)+N(AO217)+N(AO238))-N(AO144))/(AK69+AM69+AN69+AO69),""),"")</f>
        <v>1.12680693150479</v>
      </c>
      <c r="AP337" s="262">
        <f>IFERROR(IF(AND(COUNT(AM69,AN69,AO69,AP69)=4,(AM69+AN69+AO69+AP69)&lt;&gt;0),((N(AP212)+N(AP213)+N(AP217)+N(AP238))-N(AP144))/(AM69+AN69+AO69+AP69),""),"")</f>
        <v>1.1634788782574</v>
      </c>
      <c r="AQ337" s="262">
        <f>IFERROR(IF(AND(COUNT(AM69,AN69,AO69,AP69)=4,(AM69+AN69+AO69+AP69)&lt;&gt;0),((N(AQ212)+N(AQ213)+N(AQ217)+N(AQ238))-N(AQ144))/(AM69+AN69+AO69+AP69),""),"")</f>
        <v>1.1634788782574</v>
      </c>
      <c r="AR337" s="262">
        <f>IFERROR(IF(AND(COUNT(AN69,AO69,AP69,AR69)=4,(AN69+AO69+AP69+AR69)&lt;&gt;0),((N(AR212)+N(AR213)+N(AR217)+N(AR238))-N(AR144))/(AN69+AO69+AP69+AR69),""),"")</f>
        <v>0.578930114991542</v>
      </c>
      <c r="AS337" s="262">
        <f>IFERROR(IF(AND(COUNT(AO69,AP69,AR69,AS69)=4,(AO69+AP69+AR69+AS69)&lt;&gt;0),((N(AS212)+N(AS213)+N(AS217)+N(AS238))-N(AS144))/(AO69+AP69+AR69+AS69),""),"")</f>
        <v>3.25866765962314</v>
      </c>
      <c r="AT337" s="262">
        <f>IFERROR(IF(AND(COUNT(AP69,AR69,AS69,AT69)=4,(AP69+AR69+AS69+AT69)&lt;&gt;0),((N(AT212)+N(AT213)+N(AT217)+N(AT238))-N(AT144))/(AP69+AR69+AS69+AT69),""),"")</f>
        <v>0.32177207189858</v>
      </c>
      <c r="AU337" s="262">
        <f>IFERROR(IF(AND(COUNT(AR69,AS69,AT69,AU69)=4,(AR69+AS69+AT69+AU69)&lt;&gt;0),((N(AU212)+N(AU213)+N(AU217)+N(AU238))-N(AU144))/(AR69+AS69+AT69+AU69),""),"")</f>
        <v>0.364499807627319</v>
      </c>
      <c r="AV337" s="262">
        <f>IFERROR(IF(AND(COUNT(AR69,AS69,AT69,AU69)=4,(AR69+AS69+AT69+AU69)&lt;&gt;0),((N(AV212)+N(AV213)+N(AV217)+N(AV238))-N(AV144))/(AR69+AS69+AT69+AU69),""),"")</f>
        <v>0.364499807627319</v>
      </c>
      <c r="AW337" s="262">
        <f>IFERROR(IF(AND(COUNT(AS69,AT69,AU69,AW69)=4,(AS69+AT69+AU69+AW69)&lt;&gt;0),((N(AW212)+N(AW213)+N(AW217)+N(AW238))-N(AW144))/(AS69+AT69+AU69+AW69),""),"")</f>
        <v>-0.135901286352497</v>
      </c>
      <c r="AX337" s="262">
        <f>IFERROR(IF(AND(COUNT(AT69,AU69,AW69,AX69)=4,(AT69+AU69+AW69+AX69)&lt;&gt;0),((N(AX212)+N(AX213)+N(AX217)+N(AX238))-N(AX144))/(AT69+AU69+AW69+AX69),""),"")</f>
        <v>2.45968858899305</v>
      </c>
      <c r="AY337" s="262">
        <f>IFERROR(IF(AND(COUNT(AU69,AW69,AX69,AY69)=4,(AU69+AW69+AX69+AY69)&lt;&gt;0),((N(AY212)+N(AY213)+N(AY217)+N(AY238))-N(AY144))/(AU69+AW69+AX69+AY69),""),"")</f>
        <v>-0.477206998731504</v>
      </c>
      <c r="AZ337" s="262">
        <f>IFERROR(IF(AND(COUNT(AW69,AX69,AY69,AZ69)=4,(AW69+AX69+AY69+AZ69)&lt;&gt;0),((N(AZ212)+N(AZ213)+N(AZ217)+N(AZ238))-N(AZ144))/(AW69+AX69+AY69+AZ69),""),"")</f>
        <v>-0.434479263002765</v>
      </c>
      <c r="BA337" s="262">
        <f>IFERROR(IF(AND(COUNT(AW69,AX69,AY69,AZ69)=4,(AW69+AX69+AY69+AZ69)&lt;&gt;0),((N(BA212)+N(BA213)+N(BA217)+N(BA238))-N(BA144))/(AW69+AX69+AY69+AZ69),""),"")</f>
        <v>-0.434479263002765</v>
      </c>
      <c r="BB337" s="262">
        <f>IFERROR(IF(AND(COUNT(AX69,AY69,AZ69,BB69)=4,(AX69+AY69+AZ69+BB69)&lt;&gt;0),((N(BB212)+N(BB213)+N(BB217)+N(BB238))-N(BB144))/(AX69+AY69+AZ69+BB69),""),"")</f>
        <v>-0.934880356982581</v>
      </c>
      <c r="BC337" s="262">
        <f>IFERROR(IF(AND(COUNT(AY69,AZ69,BB69,BC69)=4,(AY69+AZ69+BB69+BC69)&lt;&gt;0),((N(BC212)+N(BC213)+N(BC217)+N(BC238))-N(BC144))/(AY69+AZ69+BB69+BC69),""),"")</f>
        <v>1.66070951836296</v>
      </c>
      <c r="BD337" s="262">
        <f>IFERROR(IF(AND(COUNT(AZ69,BB69,BC69,BD69)=4,(AZ69+BB69+BC69+BD69)&lt;&gt;0),((N(BD212)+N(BD213)+N(BD217)+N(BD238))-N(BD144))/(AZ69+BB69+BC69+BD69),""),"")</f>
        <v>-1.27618606936159</v>
      </c>
      <c r="BE337" s="262">
        <f>IFERROR(IF(AND(COUNT(BB69,BC69,BD69,BE69)=4,(BB69+BC69+BD69+BE69)&lt;&gt;0),((N(BE212)+N(BE213)+N(BE217)+N(BE238))-N(BE144))/(BB69+BC69+BD69+BE69),""),"")</f>
        <v>-1.23345833363285</v>
      </c>
      <c r="BF337" s="262">
        <f>IFERROR(IF(AND(COUNT(BB69,BC69,BD69,BE69)=4,(BB69+BC69+BD69+BE69)&lt;&gt;0),((N(BF212)+N(BF213)+N(BF217)+N(BF238))-N(BF144))/(BB69+BC69+BD69+BE69),""),"")</f>
        <v>-1.23345833363285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4.98634248691072</v>
      </c>
      <c r="M338" s="262">
        <f>IFERROR(IF(AND(COUNT(I73,J73,K73,L73)=4,(I74+J74+K74+L74)&lt;&gt;0),(I73+J73+K73+L73)/-(I74+J74+K74+L74),""),"")</f>
        <v>4.98634248691072</v>
      </c>
      <c r="N338" s="262">
        <f>IFERROR(IF(AND(COUNT(J73,K73,L73,N73)=4,(J74+K74+L74+N74)&lt;&gt;0),(J73+K73+L73+N73)/-(J74+K74+L74+N74),""),"")</f>
        <v>6.02212237825638</v>
      </c>
      <c r="O338" s="262">
        <f>IFERROR(IF(AND(COUNT(K73,L73,N73,O73)=4,(K74+L74+N74+O74)&lt;&gt;0),(K73+L73+N73+O73)/-(K74+L74+N74+O74),""),"")</f>
        <v>8.50798550399028</v>
      </c>
      <c r="P338" s="262">
        <f>IFERROR(IF(AND(COUNT(L73,N73,O73,P73)=4,(L74+N74+O74+P74)&lt;&gt;0),(L73+N73+O73+P73)/-(L74+N74+O74+P74),""),"")</f>
        <v>9.89072847682118</v>
      </c>
      <c r="Q338" s="262">
        <f>IFERROR(IF(AND(COUNT(N73,O73,P73,Q73)=4,(N74+O74+P74+Q74)&lt;&gt;0),(N73+O73+P73+Q73)/-(N74+O74+P74+Q74),""),"")</f>
        <v>11.7652169003178</v>
      </c>
      <c r="R338" s="262">
        <f>IFERROR(IF(AND(COUNT(N73,O73,P73,Q73)=4,(N74+O74+P74+Q74)&lt;&gt;0),(N73+O73+P73+Q73)/-(N74+O74+P74+Q74),""),"")</f>
        <v>11.7652169003178</v>
      </c>
      <c r="S338" s="262">
        <f>IFERROR(IF(AND(COUNT(O73,P73,Q73,S73)=4,(O74+P74+Q74+S74)&lt;&gt;0),(O73+P73+Q73+S73)/-(O74+P74+Q74+S74),""),"")</f>
        <v>11.6961125498082</v>
      </c>
      <c r="T338" s="262">
        <f>IFERROR(IF(AND(COUNT(P73,Q73,S73,T73)=4,(P74+Q74+S74+T74)&lt;&gt;0),(P73+Q73+S73+T73)/-(P74+Q74+S74+T74),""),"")</f>
        <v>11.2896781910512</v>
      </c>
      <c r="U338" s="262">
        <f>IFERROR(IF(AND(COUNT(Q73,S73,T73,U73)=4,(Q74+S74+T74+U74)&lt;&gt;0),(Q73+S73+T73+U73)/-(Q74+S74+T74+U74),""),"")</f>
        <v>9.77745109455053</v>
      </c>
      <c r="V338" s="262">
        <f>IFERROR(IF(AND(COUNT(S73,T73,U73,V73)=4,(S74+T74+U74+V74)&lt;&gt;0),(S73+T73+U73+V73)/-(S74+T74+U74+V74),""),"")</f>
        <v>8.16172843197344</v>
      </c>
      <c r="W338" s="262">
        <f>IFERROR(IF(AND(COUNT(S73,T73,U73,V73)=4,(S74+T74+U74+V74)&lt;&gt;0),(S73+T73+U73+V73)/-(S74+T74+U74+V74),""),"")</f>
        <v>8.16172843197344</v>
      </c>
      <c r="X338" s="262">
        <f>IFERROR(IF(AND(COUNT(T73,U73,V73,X73)=4,(T74+U74+V74+X74)&lt;&gt;0),(T73+U73+V73+X73)/-(T74+U74+V74+X74),""),"")</f>
        <v>8.25156758247551</v>
      </c>
      <c r="Y338" s="262">
        <f>IFERROR(IF(AND(COUNT(U73,V73,X73,Y73)=4,(U74+V74+X74+Y74)&lt;&gt;0),(U73+V73+X73+Y73)/-(U74+V74+X74+Y74),""),"")</f>
        <v>6.99287503986149</v>
      </c>
      <c r="Z338" s="262">
        <f>IFERROR(IF(AND(COUNT(V73,X73,Y73,Z73)=4,(V74+X74+Y74+Z74)&lt;&gt;0),(V73+X73+Y73+Z73)/-(V74+X74+Y74+Z74),""),"")</f>
        <v>5.61537130996309</v>
      </c>
      <c r="AA338" s="262">
        <f>IFERROR(IF(AND(COUNT(X73,Y73,Z73,AA73)=4,(X74+Y74+Z74+AA74)&lt;&gt;0),(X73+Y73+Z73+AA73)/-(X74+Y74+Z74+AA74),""),"")</f>
        <v>3.22567689353865</v>
      </c>
      <c r="AB338" s="262">
        <f>IFERROR(IF(AND(COUNT(X73,Y73,Z73,AA73)=4,(X74+Y74+Z74+AA74)&lt;&gt;0),(X73+Y73+Z73+AA73)/-(X74+Y74+Z74+AA74),""),"")</f>
        <v>3.22567689353865</v>
      </c>
      <c r="AC338" s="262">
        <f>IFERROR(IF(AND(COUNT(Y73,Z73,AA73,AC73)=4,(Y74+Z74+AA74+AC74)&lt;&gt;0),(Y73+Z73+AA73+AC73)/-(Y74+Z74+AA74+AC74),""),"")</f>
        <v>0.88064303881998</v>
      </c>
      <c r="AD338" s="262">
        <f>IFERROR(IF(AND(COUNT(Z73,AA73,AC73,AD73)=4,(Z74+AA74+AC74+AD74)&lt;&gt;0),(Z73+AA73+AC73+AD73)/-(Z74+AA74+AC74+AD74),""),"")</f>
        <v>0.0757144139805512</v>
      </c>
      <c r="AE338" s="262">
        <f>IFERROR(IF(AND(COUNT(AA73,AC73,AD73,AE73)=4,(AA74+AC74+AD74+AE74)&lt;&gt;0),(AA73+AC73+AD73+AE73)/-(AA74+AC74+AD74+AE74),""),"")</f>
        <v>0.621273420546412</v>
      </c>
      <c r="AF338" s="262">
        <f>IFERROR(IF(AND(COUNT(AB73,AD73,AE73,AF73)=4,(AB74+AD74+AE74+AF74)&lt;&gt;0),(AB73+AD73+AE73+AF73)/-(AB74+AD74+AE74+AF74),""),"")</f>
        <v>2.47314332870571</v>
      </c>
      <c r="AG338" s="262">
        <f>IFERROR(IF(AND(COUNT(AC73,AD73,AE73,AF73)=4,(AC74+AD74+AE74+AF74)&lt;&gt;0),(AC73+AD73+AE73+AF73)/-(AC74+AD74+AE74+AF74),""),"")</f>
        <v>0.476056283781174</v>
      </c>
      <c r="AH338" s="262">
        <f>IFERROR(IF(AND(COUNT(AD73,AF73,AG73,AH73)=4,(AD74+AF74+AG74+AH74)&lt;&gt;0),(AD73+AF73+AG73+AH73)/-(AD74+AF74+AG74+AH74),""),"")</f>
        <v>0.0874131224666164</v>
      </c>
      <c r="AI338" s="262">
        <f>IFERROR(IF(AND(COUNT(AE73,AG73,AH73,AI73)=4,(AE74+AG74+AH74+AI74)&lt;&gt;0),(AE73+AG73+AH73+AI73)/-(AE74+AG74+AH74+AI74),""),"")</f>
        <v>-0.0180038273214462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1.18350614098868</v>
      </c>
      <c r="J341" s="262">
        <f>IFERROR(IF((N(J198)+N(J202)+N(J204)+N(J205)+N(J212)+N(J213)+N(J214))&lt;&gt;0,(N(J144)+(N(J145)+N(J149)+N(J153)+N(J154)+N(J155)))/(N(J198)+N(J202)+N(J204)+N(J205)+N(J212)+N(J213)+N(J214)),""),"")</f>
        <v>1.20411117063266</v>
      </c>
      <c r="K341" s="262">
        <f>IFERROR(IF((N(K198)+N(K202)+N(K204)+N(K205)+N(K212)+N(K213)+N(K214))&lt;&gt;0,(N(K144)+(N(K145)+N(K149)+N(K153)+N(K154)+N(K155)))/(N(K198)+N(K202)+N(K204)+N(K205)+N(K212)+N(K213)+N(K214)),""),"")</f>
        <v>1.26445377206781</v>
      </c>
      <c r="L341" s="262">
        <f>IFERROR(IF((N(L198)+N(L202)+N(L204)+N(L205)+N(L212)+N(L213)+N(L214))&lt;&gt;0,(N(L144)+(N(L145)+N(L149)+N(L153)+N(L154)+N(L155)))/(N(L198)+N(L202)+N(L204)+N(L205)+N(L212)+N(L213)+N(L214)),""),"")</f>
        <v>1.23331588921927</v>
      </c>
      <c r="M341" s="262">
        <f>IFERROR(IF((N(M198)+N(M202)+N(M204)+N(M205)+N(M212)+N(M213)+N(M214))&lt;&gt;0,(N(M144)+(N(M145)+N(M149)+N(M153)+N(M154)+N(M155)))/(N(M198)+N(M202)+N(M204)+N(M205)+N(M212)+N(M213)+N(M214)),""),"")</f>
        <v>1.23331588921927</v>
      </c>
      <c r="N341" s="262">
        <f>IFERROR(IF((N(N198)+N(N202)+N(N204)+N(N205)+N(N212)+N(N213)+N(N214))&lt;&gt;0,(N(N144)+(N(N145)+N(N149)+N(N153)+N(N154)+N(N155)))/(N(N198)+N(N202)+N(N204)+N(N205)+N(N212)+N(N213)+N(N214)),""),"")</f>
        <v>1.27430128620068</v>
      </c>
      <c r="O341" s="262">
        <f>IFERROR(IF((N(O198)+N(O202)+N(O204)+N(O205)+N(O212)+N(O213)+N(O214))&lt;&gt;0,(N(O144)+(N(O145)+N(O149)+N(O153)+N(O154)+N(O155)))/(N(O198)+N(O202)+N(O204)+N(O205)+N(O212)+N(O213)+N(O214)),""),"")</f>
        <v>1.28304080099833</v>
      </c>
      <c r="P341" s="262">
        <f>IFERROR(IF((N(P198)+N(P202)+N(P204)+N(P205)+N(P212)+N(P213)+N(P214))&lt;&gt;0,(N(P144)+(N(P145)+N(P149)+N(P153)+N(P154)+N(P155)))/(N(P198)+N(P202)+N(P204)+N(P205)+N(P212)+N(P213)+N(P214)),""),"")</f>
        <v>1.34894833391806</v>
      </c>
      <c r="Q341" s="262">
        <f>IFERROR(IF((N(Q198)+N(Q202)+N(Q204)+N(Q205)+N(Q212)+N(Q213)+N(Q214))&lt;&gt;0,(N(Q144)+(N(Q145)+N(Q149)+N(Q153)+N(Q154)+N(Q155)))/(N(Q198)+N(Q202)+N(Q204)+N(Q205)+N(Q212)+N(Q213)+N(Q214)),""),"")</f>
        <v>1.35064893295926</v>
      </c>
      <c r="R341" s="262">
        <f>IFERROR(IF((N(R198)+N(R202)+N(R204)+N(R205)+N(R212)+N(R213)+N(R214))&lt;&gt;0,(N(R144)+(N(R145)+N(R149)+N(R153)+N(R154)+N(R155)))/(N(R198)+N(R202)+N(R204)+N(R205)+N(R212)+N(R213)+N(R214)),""),"")</f>
        <v>1.35064893295926</v>
      </c>
      <c r="S341" s="262">
        <f>IFERROR(IF((N(S198)+N(S202)+N(S204)+N(S205)+N(S212)+N(S213)+N(S214))&lt;&gt;0,(N(S144)+(N(S145)+N(S149)+N(S153)+N(S154)+N(S155)))/(N(S198)+N(S202)+N(S204)+N(S205)+N(S212)+N(S213)+N(S214)),""),"")</f>
        <v>1.42341404896004</v>
      </c>
      <c r="T341" s="262">
        <f>IFERROR(IF((N(T198)+N(T202)+N(T204)+N(T205)+N(T212)+N(T213)+N(T214))&lt;&gt;0,(N(T144)+(N(T145)+N(T149)+N(T153)+N(T154)+N(T155)))/(N(T198)+N(T202)+N(T204)+N(T205)+N(T212)+N(T213)+N(T214)),""),"")</f>
        <v>1.41766100737505</v>
      </c>
      <c r="U341" s="262">
        <f>IFERROR(IF((N(U198)+N(U202)+N(U204)+N(U205)+N(U212)+N(U213)+N(U214))&lt;&gt;0,(N(U144)+(N(U145)+N(U149)+N(U153)+N(U154)+N(U155)))/(N(U198)+N(U202)+N(U204)+N(U205)+N(U212)+N(U213)+N(U214)),""),"")</f>
        <v>1.54744004011395</v>
      </c>
      <c r="V341" s="262">
        <f>IFERROR(IF((N(V198)+N(V202)+N(V204)+N(V205)+N(V212)+N(V213)+N(V214))&lt;&gt;0,(N(V144)+(N(V145)+N(V149)+N(V153)+N(V154)+N(V155)))/(N(V198)+N(V202)+N(V204)+N(V205)+N(V212)+N(V213)+N(V214)),""),"")</f>
        <v>1.51974730772687</v>
      </c>
      <c r="W341" s="262">
        <f>IFERROR(IF((N(W198)+N(W202)+N(W204)+N(W205)+N(W212)+N(W213)+N(W214))&lt;&gt;0,(N(W144)+(N(W145)+N(W149)+N(W153)+N(W154)+N(W155)))/(N(W198)+N(W202)+N(W204)+N(W205)+N(W212)+N(W213)+N(W214)),""),"")</f>
        <v>1.51974730772687</v>
      </c>
      <c r="X341" s="262">
        <f>IFERROR(IF((N(X198)+N(X202)+N(X204)+N(X205)+N(X212)+N(X213)+N(X214))&lt;&gt;0,(N(X144)+(N(X145)+N(X149)+N(X153)+N(X154)+N(X155)))/(N(X198)+N(X202)+N(X204)+N(X205)+N(X212)+N(X213)+N(X214)),""),"")</f>
        <v>1.57822491281183</v>
      </c>
      <c r="Y341" s="262">
        <f>IFERROR(IF((N(Y198)+N(Y202)+N(Y204)+N(Y205)+N(Y212)+N(Y213)+N(Y214))&lt;&gt;0,(N(Y144)+(N(Y145)+N(Y149)+N(Y153)+N(Y154)+N(Y155)))/(N(Y198)+N(Y202)+N(Y204)+N(Y205)+N(Y212)+N(Y213)+N(Y214)),""),"")</f>
        <v>1.62410293189424</v>
      </c>
      <c r="Z341" s="262">
        <f>IFERROR(IF((N(Z198)+N(Z202)+N(Z204)+N(Z205)+N(Z212)+N(Z213)+N(Z214))&lt;&gt;0,(N(Z144)+(N(Z145)+N(Z149)+N(Z153)+N(Z154)+N(Z155)))/(N(Z198)+N(Z202)+N(Z204)+N(Z205)+N(Z212)+N(Z213)+N(Z214)),""),"")</f>
        <v>1.61249452397361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1.5418730095807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1.5418730095807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1.42960445926883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1.40355803256069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1.53078512654837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1.42072570906631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1.42072570906631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1.44828561071522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1.46844212525148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1.50711441126166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1.51815815289614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1.51815815289614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1.5432141058574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1.4893158825165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1.58075925374389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1.59083817751712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1.59083817751712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1.6211885362998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1.55444887348003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1.65596046293435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1.66535963045511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1.66535963045511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1.69414516476774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1.61998332553482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1.73143659369915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1.73988108339309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1.73988108339309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1.76999682448894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1.6855177775896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1.80691272446396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1.81440253633108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1.81440253633108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0.0287814425773364</v>
      </c>
      <c r="J342" s="262">
        <f>IFERROR(IF((N(J198)+N(J202)+N(J204)+N(J205)+N(J212)+N(J213)+N(J214))&lt;&gt;0,N(J144)/(N(J198)+N(J202)+N(J204)+N(J205)+N(J212)+N(J213)+N(J214)),""),"")</f>
        <v>0.0407389790871077</v>
      </c>
      <c r="K342" s="262">
        <f>IFERROR(IF((N(K198)+N(K202)+N(K204)+N(K205)+N(K212)+N(K213)+N(K214))&lt;&gt;0,N(K144)/(N(K198)+N(K202)+N(K204)+N(K205)+N(K212)+N(K213)+N(K214)),""),"")</f>
        <v>0.0653111209224515</v>
      </c>
      <c r="L342" s="262">
        <f>IFERROR(IF((N(L198)+N(L202)+N(L204)+N(L205)+N(L212)+N(L213)+N(L214))&lt;&gt;0,N(L144)/(N(L198)+N(L202)+N(L204)+N(L205)+N(L212)+N(L213)+N(L214)),""),"")</f>
        <v>0.0382440611674035</v>
      </c>
      <c r="M342" s="262">
        <f>IFERROR(IF((N(M198)+N(M202)+N(M204)+N(M205)+N(M212)+N(M213)+N(M214))&lt;&gt;0,N(M144)/(N(M198)+N(M202)+N(M204)+N(M205)+N(M212)+N(M213)+N(M214)),""),"")</f>
        <v>0.0382440611674035</v>
      </c>
      <c r="N342" s="262">
        <f>IFERROR(IF((N(N198)+N(N202)+N(N204)+N(N205)+N(N212)+N(N213)+N(N214))&lt;&gt;0,N(N144)/(N(N198)+N(N202)+N(N204)+N(N205)+N(N212)+N(N213)+N(N214)),""),"")</f>
        <v>0.0240552975829497</v>
      </c>
      <c r="O342" s="262">
        <f>IFERROR(IF((N(O198)+N(O202)+N(O204)+N(O205)+N(O212)+N(O213)+N(O214))&lt;&gt;0,N(O144)/(N(O198)+N(O202)+N(O204)+N(O205)+N(O212)+N(O213)+N(O214)),""),"")</f>
        <v>0.0431660008241445</v>
      </c>
      <c r="P342" s="262">
        <f>IFERROR(IF((N(P198)+N(P202)+N(P204)+N(P205)+N(P212)+N(P213)+N(P214))&lt;&gt;0,N(P144)/(N(P198)+N(P202)+N(P204)+N(P205)+N(P212)+N(P213)+N(P214)),""),"")</f>
        <v>0.114206061620816</v>
      </c>
      <c r="Q342" s="262">
        <f>IFERROR(IF((N(Q198)+N(Q202)+N(Q204)+N(Q205)+N(Q212)+N(Q213)+N(Q214))&lt;&gt;0,N(Q144)/(N(Q198)+N(Q202)+N(Q204)+N(Q205)+N(Q212)+N(Q213)+N(Q214)),""),"")</f>
        <v>0.0749620475005307</v>
      </c>
      <c r="R342" s="262">
        <f>IFERROR(IF((N(R198)+N(R202)+N(R204)+N(R205)+N(R212)+N(R213)+N(R214))&lt;&gt;0,N(R144)/(N(R198)+N(R202)+N(R204)+N(R205)+N(R212)+N(R213)+N(R214)),""),"")</f>
        <v>0.0749620475005307</v>
      </c>
      <c r="S342" s="262">
        <f>IFERROR(IF((N(S198)+N(S202)+N(S204)+N(S205)+N(S212)+N(S213)+N(S214))&lt;&gt;0,N(S144)/(N(S198)+N(S202)+N(S204)+N(S205)+N(S212)+N(S213)+N(S214)),""),"")</f>
        <v>0.0619407798331048</v>
      </c>
      <c r="T342" s="262">
        <f>IFERROR(IF((N(T198)+N(T202)+N(T204)+N(T205)+N(T212)+N(T213)+N(T214))&lt;&gt;0,N(T144)/(N(T198)+N(T202)+N(T204)+N(T205)+N(T212)+N(T213)+N(T214)),""),"")</f>
        <v>0.150630949845717</v>
      </c>
      <c r="U342" s="262">
        <f>IFERROR(IF((N(U198)+N(U202)+N(U204)+N(U205)+N(U212)+N(U213)+N(U214))&lt;&gt;0,N(U144)/(N(U198)+N(U202)+N(U204)+N(U205)+N(U212)+N(U213)+N(U214)),""),"")</f>
        <v>0.299241896435344</v>
      </c>
      <c r="V342" s="262">
        <f>IFERROR(IF((N(V198)+N(V202)+N(V204)+N(V205)+N(V212)+N(V213)+N(V214))&lt;&gt;0,N(V144)/(N(V198)+N(V202)+N(V204)+N(V205)+N(V212)+N(V213)+N(V214)),""),"")</f>
        <v>0.193751939662535</v>
      </c>
      <c r="W342" s="262">
        <f>IFERROR(IF((N(W198)+N(W202)+N(W204)+N(W205)+N(W212)+N(W213)+N(W214))&lt;&gt;0,N(W144)/(N(W198)+N(W202)+N(W204)+N(W205)+N(W212)+N(W213)+N(W214)),""),"")</f>
        <v>0.193751939662535</v>
      </c>
      <c r="X342" s="262">
        <f>IFERROR(IF((N(X198)+N(X202)+N(X204)+N(X205)+N(X212)+N(X213)+N(X214))&lt;&gt;0,N(X144)/(N(X198)+N(X202)+N(X204)+N(X205)+N(X212)+N(X213)+N(X214)),""),"")</f>
        <v>0.107204294049198</v>
      </c>
      <c r="Y342" s="262">
        <f>IFERROR(IF((N(Y198)+N(Y202)+N(Y204)+N(Y205)+N(Y212)+N(Y213)+N(Y214))&lt;&gt;0,N(Y144)/(N(Y198)+N(Y202)+N(Y204)+N(Y205)+N(Y212)+N(Y213)+N(Y214)),""),"")</f>
        <v>0.0595347608611854</v>
      </c>
      <c r="Z342" s="262">
        <f>IFERROR(IF((N(Z198)+N(Z202)+N(Z204)+N(Z205)+N(Z212)+N(Z213)+N(Z214))&lt;&gt;0,N(Z144)/(N(Z198)+N(Z202)+N(Z204)+N(Z205)+N(Z212)+N(Z213)+N(Z214)),""),"")</f>
        <v>0.147175036948134</v>
      </c>
      <c r="AA342" s="262">
        <f>IFERROR(IF((N(AA198)+N(AA202)+N(AA204)+N(AA205)+N(AA212)+N(AA213)+N(AA214))&lt;&gt;0,N(AA144)/(N(AA198)+N(AA202)+N(AA204)+N(AA205)+N(AA212)+N(AA213)+N(AA214)),""),"")</f>
        <v>0.0742234759457586</v>
      </c>
      <c r="AB342" s="262">
        <f>IFERROR(IF((N(AB198)+N(AB202)+N(AB204)+N(AB205)+N(AB212)+N(AB213)+N(AB214))&lt;&gt;0,N(AB144)/(N(AB198)+N(AB202)+N(AB204)+N(AB205)+N(AB212)+N(AB213)+N(AB214)),""),"")</f>
        <v>0.0742234759457586</v>
      </c>
      <c r="AC342" s="262">
        <f>IFERROR(IF((N(AC198)+N(AC202)+N(AC204)+N(AC205)+N(AC212)+N(AC213)+N(AC214))&lt;&gt;0,N(AC144)/(N(AC198)+N(AC202)+N(AC204)+N(AC205)+N(AC212)+N(AC213)+N(AC214)),""),"")</f>
        <v>0.0638820218623062</v>
      </c>
      <c r="AD342" s="262">
        <f>IFERROR(IF((N(AD198)+N(AD202)+N(AD204)+N(AD205)+N(AD212)+N(AD213)+N(AD214))&lt;&gt;0,N(AD144)/(N(AD198)+N(AD202)+N(AD204)+N(AD205)+N(AD212)+N(AD213)+N(AD214)),""),"")</f>
        <v>0.0509187438653324</v>
      </c>
      <c r="AE342" s="262">
        <f>IFERROR(IF((N(AE198)+N(AE202)+N(AE204)+N(AE205)+N(AE212)+N(AE213)+N(AE214))&lt;&gt;0,N(AE144)/(N(AE198)+N(AE202)+N(AE204)+N(AE205)+N(AE212)+N(AE213)+N(AE214)),""),"")</f>
        <v>0.0620590381119798</v>
      </c>
      <c r="AF342" s="262">
        <f>IFERROR(IF((N(AF198)+N(AF202)+N(AF204)+N(AF205)+N(AF212)+N(AF213)+N(AF214))&lt;&gt;0,N(AF144)/(N(AF198)+N(AF202)+N(AF204)+N(AF205)+N(AF212)+N(AF213)+N(AF214)),""),"")</f>
        <v>0.053769716416529</v>
      </c>
      <c r="AG342" s="262">
        <f>IFERROR(IF((N(AG198)+N(AG202)+N(AG204)+N(AG205)+N(AG212)+N(AG213)+N(AG214))&lt;&gt;0,N(AG144)/(N(AG198)+N(AG202)+N(AG204)+N(AG205)+N(AG212)+N(AG213)+N(AG214)),""),"")</f>
        <v>0.053769716416529</v>
      </c>
      <c r="AH342" s="262">
        <f>IFERROR(IF((N(AH198)+N(AH202)+N(AH204)+N(AH205)+N(AH212)+N(AH213)+N(AH214))&lt;&gt;0,N(AH144)/(N(AH198)+N(AH202)+N(AH204)+N(AH205)+N(AH212)+N(AH213)+N(AH214)),""),"")</f>
        <v>0.0350877638921898</v>
      </c>
      <c r="AI342" s="262">
        <f>IFERROR(IF((N(AI198)+N(AI202)+N(AI204)+N(AI205)+N(AI212)+N(AI213)+N(AI214))&lt;&gt;0,N(AI144)/(N(AI198)+N(AI202)+N(AI204)+N(AI205)+N(AI212)+N(AI213)+N(AI214)),""),"")</f>
        <v>0.0734884670214276</v>
      </c>
      <c r="AJ342" s="262">
        <f>IFERROR(IF((N(AJ198)+N(AJ202)+N(AJ204)+N(AJ205)+N(AJ212)+N(AJ213)+N(AJ214))&lt;&gt;0,N(AJ144)/(N(AJ198)+N(AJ202)+N(AJ204)+N(AJ205)+N(AJ212)+N(AJ213)+N(AJ214)),""),"")</f>
        <v>0.147898747787107</v>
      </c>
      <c r="AK342" s="262">
        <f>IFERROR(IF((N(AK198)+N(AK202)+N(AK204)+N(AK205)+N(AK212)+N(AK213)+N(AK214))&lt;&gt;0,N(AK144)/(N(AK198)+N(AK202)+N(AK204)+N(AK205)+N(AK212)+N(AK213)+N(AK214)),""),"")</f>
        <v>0.142438304883824</v>
      </c>
      <c r="AL342" s="262">
        <f>IFERROR(IF((N(AL198)+N(AL202)+N(AL204)+N(AL205)+N(AL212)+N(AL213)+N(AL214))&lt;&gt;0,N(AL144)/(N(AL198)+N(AL202)+N(AL204)+N(AL205)+N(AL212)+N(AL213)+N(AL214)),""),"")</f>
        <v>0.142438304883824</v>
      </c>
      <c r="AM342" s="262">
        <f>IFERROR(IF((N(AM198)+N(AM202)+N(AM204)+N(AM205)+N(AM212)+N(AM213)+N(AM214))&lt;&gt;0,N(AM144)/(N(AM198)+N(AM202)+N(AM204)+N(AM205)+N(AM212)+N(AM213)+N(AM214)),""),"")</f>
        <v>0.189753953405119</v>
      </c>
      <c r="AN342" s="262">
        <f>IFERROR(IF((N(AN198)+N(AN202)+N(AN204)+N(AN205)+N(AN212)+N(AN213)+N(AN214))&lt;&gt;0,N(AN144)/(N(AN198)+N(AN202)+N(AN204)+N(AN205)+N(AN212)+N(AN213)+N(AN214)),""),"")</f>
        <v>-0.0488187315146126</v>
      </c>
      <c r="AO342" s="262">
        <f>IFERROR(IF((N(AO198)+N(AO202)+N(AO204)+N(AO205)+N(AO212)+N(AO213)+N(AO214))&lt;&gt;0,N(AO144)/(N(AO198)+N(AO202)+N(AO204)+N(AO205)+N(AO212)+N(AO213)+N(AO214)),""),"")</f>
        <v>0.221834015180122</v>
      </c>
      <c r="AP342" s="262">
        <f>IFERROR(IF((N(AP198)+N(AP202)+N(AP204)+N(AP205)+N(AP212)+N(AP213)+N(AP214))&lt;&gt;0,N(AP144)/(N(AP198)+N(AP202)+N(AP204)+N(AP205)+N(AP212)+N(AP213)+N(AP214)),""),"")</f>
        <v>0.215406553910988</v>
      </c>
      <c r="AQ342" s="262">
        <f>IFERROR(IF((N(AQ198)+N(AQ202)+N(AQ204)+N(AQ205)+N(AQ212)+N(AQ213)+N(AQ214))&lt;&gt;0,N(AQ144)/(N(AQ198)+N(AQ202)+N(AQ204)+N(AQ205)+N(AQ212)+N(AQ213)+N(AQ214)),""),"")</f>
        <v>0.215406553910988</v>
      </c>
      <c r="AR342" s="262">
        <f>IFERROR(IF((N(AR198)+N(AR202)+N(AR204)+N(AR205)+N(AR212)+N(AR213)+N(AR214))&lt;&gt;0,N(AR144)/(N(AR198)+N(AR202)+N(AR204)+N(AR205)+N(AR212)+N(AR213)+N(AR214)),""),"")</f>
        <v>0.276032561748055</v>
      </c>
      <c r="AS342" s="262">
        <f>IFERROR(IF((N(AS198)+N(AS202)+N(AS204)+N(AS205)+N(AS212)+N(AS213)+N(AS214))&lt;&gt;0,N(AS144)/(N(AS198)+N(AS202)+N(AS204)+N(AS205)+N(AS212)+N(AS213)+N(AS214)),""),"")</f>
        <v>0.0175762278883599</v>
      </c>
      <c r="AT342" s="262">
        <f>IFERROR(IF((N(AT198)+N(AT202)+N(AT204)+N(AT205)+N(AT212)+N(AT213)+N(AT214))&lt;&gt;0,N(AT144)/(N(AT198)+N(AT202)+N(AT204)+N(AT205)+N(AT212)+N(AT213)+N(AT214)),""),"")</f>
        <v>0.297678516515474</v>
      </c>
      <c r="AU342" s="262">
        <f>IFERROR(IF((N(AU198)+N(AU202)+N(AU204)+N(AU205)+N(AU212)+N(AU213)+N(AU214))&lt;&gt;0,N(AU144)/(N(AU198)+N(AU202)+N(AU204)+N(AU205)+N(AU212)+N(AU213)+N(AU214)),""),"")</f>
        <v>0.289928006848976</v>
      </c>
      <c r="AV342" s="262">
        <f>IFERROR(IF((N(AV198)+N(AV202)+N(AV204)+N(AV205)+N(AV212)+N(AV213)+N(AV214))&lt;&gt;0,N(AV144)/(N(AV198)+N(AV202)+N(AV204)+N(AV205)+N(AV212)+N(AV213)+N(AV214)),""),"")</f>
        <v>0.289928006848976</v>
      </c>
      <c r="AW342" s="262">
        <f>IFERROR(IF((N(AW198)+N(AW202)+N(AW204)+N(AW205)+N(AW212)+N(AW213)+N(AW214))&lt;&gt;0,N(AW144)/(N(AW198)+N(AW202)+N(AW204)+N(AW205)+N(AW212)+N(AW213)+N(AW214)),""),"")</f>
        <v>0.342609159435708</v>
      </c>
      <c r="AX342" s="262">
        <f>IFERROR(IF((N(AX198)+N(AX202)+N(AX204)+N(AX205)+N(AX212)+N(AX213)+N(AX214))&lt;&gt;0,N(AX144)/(N(AX198)+N(AX202)+N(AX204)+N(AX205)+N(AX212)+N(AX213)+N(AX214)),""),"")</f>
        <v>0.0831106799431483</v>
      </c>
      <c r="AY342" s="262">
        <f>IFERROR(IF((N(AY198)+N(AY202)+N(AY204)+N(AY205)+N(AY212)+N(AY213)+N(AY214))&lt;&gt;0,N(AY144)/(N(AY198)+N(AY202)+N(AY204)+N(AY205)+N(AY212)+N(AY213)+N(AY214)),""),"")</f>
        <v>0.373154647280281</v>
      </c>
      <c r="AZ342" s="262">
        <f>IFERROR(IF((N(AZ198)+N(AZ202)+N(AZ204)+N(AZ205)+N(AZ212)+N(AZ213)+N(AZ214))&lt;&gt;0,N(AZ144)/(N(AZ198)+N(AZ202)+N(AZ204)+N(AZ205)+N(AZ212)+N(AZ213)+N(AZ214)),""),"")</f>
        <v>0.364449459786965</v>
      </c>
      <c r="BA342" s="262">
        <f>IFERROR(IF((N(BA198)+N(BA202)+N(BA204)+N(BA205)+N(BA212)+N(BA213)+N(BA214))&lt;&gt;0,N(BA144)/(N(BA198)+N(BA202)+N(BA204)+N(BA205)+N(BA212)+N(BA213)+N(BA214)),""),"")</f>
        <v>0.364449459786965</v>
      </c>
      <c r="BB342" s="262">
        <f>IFERROR(IF((N(BB198)+N(BB202)+N(BB204)+N(BB205)+N(BB212)+N(BB213)+N(BB214))&lt;&gt;0,N(BB144)/(N(BB198)+N(BB202)+N(BB204)+N(BB205)+N(BB212)+N(BB213)+N(BB214)),""),"")</f>
        <v>0.418460819156909</v>
      </c>
      <c r="BC342" s="262">
        <f>IFERROR(IF((N(BC198)+N(BC202)+N(BC204)+N(BC205)+N(BC212)+N(BC213)+N(BC214))&lt;&gt;0,N(BC144)/(N(BC198)+N(BC202)+N(BC204)+N(BC205)+N(BC212)+N(BC213)+N(BC214)),""),"")</f>
        <v>0.148645131997937</v>
      </c>
      <c r="BD342" s="262">
        <f>IFERROR(IF((N(BD198)+N(BD202)+N(BD204)+N(BD205)+N(BD212)+N(BD213)+N(BD214))&lt;&gt;0,N(BD144)/(N(BD198)+N(BD202)+N(BD204)+N(BD205)+N(BD212)+N(BD213)+N(BD214)),""),"")</f>
        <v>0.448630778045088</v>
      </c>
      <c r="BE342" s="262">
        <f>IFERROR(IF((N(BE198)+N(BE202)+N(BE204)+N(BE205)+N(BE212)+N(BE213)+N(BE214))&lt;&gt;0,N(BE144)/(N(BE198)+N(BE202)+N(BE204)+N(BE205)+N(BE212)+N(BE213)+N(BE214)),""),"")</f>
        <v>0.438970912724954</v>
      </c>
      <c r="BF342" s="262">
        <f>IFERROR(IF((N(BF198)+N(BF202)+N(BF204)+N(BF205)+N(BF212)+N(BF213)+N(BF214))&lt;&gt;0,N(BF144)/(N(BF198)+N(BF202)+N(BF204)+N(BF205)+N(BF212)+N(BF213)+N(BF214)),""),"")</f>
        <v>0.438970912724954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0.0934243478033763</v>
      </c>
      <c r="M345" s="257">
        <f>IFERROR(IF(AND(COUNT(I347,J347,K347,L347)=4,N(M350)&lt;&gt;0),(I347+J347+K347+L347)/M350,""),"")</f>
        <v>0.0934243478033763</v>
      </c>
      <c r="N345" s="257">
        <f>IFERROR(IF(AND(COUNT(J347,K347,L347,N347)=4,N(N350)&lt;&gt;0),(J347+K347+L347+N347)/N350,""),"")</f>
        <v>0.0977911997686885</v>
      </c>
      <c r="O345" s="257">
        <f>IFERROR(IF(AND(COUNT(K347,L347,N347,O347)=4,N(O350)&lt;&gt;0),(K347+L347+N347+O347)/O350,""),"")</f>
        <v>0.129556156978198</v>
      </c>
      <c r="P345" s="257">
        <f>IFERROR(IF(AND(COUNT(L347,N347,O347,P347)=4,N(P350)&lt;&gt;0),(L347+N347+O347+P347)/P350,""),"")</f>
        <v>0.199318608493972</v>
      </c>
      <c r="Q345" s="257">
        <f>IFERROR(IF(AND(COUNT(N347,O347,P347,Q347)=4,N(Q350)&lt;&gt;0),(N347+O347+P347+Q347)/Q350,""),"")</f>
        <v>0.231020481177256</v>
      </c>
      <c r="R345" s="257">
        <f>IFERROR(IF(AND(COUNT(N347,O347,P347,Q347)=4,N(R350)&lt;&gt;0),(N347+O347+P347+Q347)/R350,""),"")</f>
        <v>0.231020481177256</v>
      </c>
      <c r="S345" s="257">
        <f>IFERROR(IF(AND(COUNT(O347,P347,Q347,S347)=4,N(S350)&lt;&gt;0),(O347+P347+Q347+S347)/S350,""),"")</f>
        <v>0.235744780299748</v>
      </c>
      <c r="T345" s="257">
        <f>IFERROR(IF(AND(COUNT(P347,Q347,S347,T347)=4,N(T350)&lt;&gt;0),(P347+Q347+S347+T347)/T350,""),"")</f>
        <v>0.246433935271775</v>
      </c>
      <c r="U345" s="257">
        <f>IFERROR(IF(AND(COUNT(Q347,S347,T347,U347)=4,N(U350)&lt;&gt;0),(Q347+S347+T347+U347)/U350,""),"")</f>
        <v>0.277816127909659</v>
      </c>
      <c r="V345" s="257">
        <f>IFERROR(IF(AND(COUNT(S347,T347,U347,V347)=4,N(V350)&lt;&gt;0),(S347+T347+U347+V347)/V350,""),"")</f>
        <v>0.196928083274983</v>
      </c>
      <c r="W345" s="257">
        <f>IFERROR(IF(AND(COUNT(S347,T347,U347,V347)=4,N(W350)&lt;&gt;0),(S347+T347+U347+V347)/W350,""),"")</f>
        <v>0.196928083274983</v>
      </c>
      <c r="X345" s="257">
        <f>IFERROR(IF(AND(COUNT(T347,U347,V347,X347)=4,N(X350)&lt;&gt;0),(T347+U347+V347+X347)/X350,""),"")</f>
        <v>0.15932063382053</v>
      </c>
      <c r="Y345" s="257">
        <f>IFERROR(IF(AND(COUNT(U347,V347,X347,Y347)=4,N(Y350)&lt;&gt;0),(U347+V347+X347+Y347)/Y350,""),"")</f>
        <v>0.109893519950495</v>
      </c>
      <c r="Z345" s="257">
        <f>IFERROR(IF(AND(COUNT(V347,X347,Y347,Z347)=4,N(Z350)&lt;&gt;0),(V347+X347+Y347+Z347)/Z350,""),"")</f>
        <v>0.0931659443260012</v>
      </c>
      <c r="AA345" s="257">
        <f>IFERROR(IF(AND(COUNT(X347,Y347,Z347,AA347)=4,N(AA350)&lt;&gt;0),(X347+Y347+Z347+AA347)/AA350,""),"")</f>
        <v>0.0470893568124663</v>
      </c>
      <c r="AB345" s="257">
        <f>IFERROR(IF(AND(COUNT(X347,Y347,Z347,AA347)=4,N(AB350)&lt;&gt;0),(X347+Y347+Z347+AA347)/AB350,""),"")</f>
        <v>0.0470893568124663</v>
      </c>
      <c r="AC345" s="257">
        <f>IFERROR(IF(AND(COUNT(Y347,Z347,AA347,AC347)=4,N(AC350)&lt;&gt;0),(Y347+Z347+AA347+AC347)/AC350,""),"")</f>
        <v>0.0147488341120761</v>
      </c>
      <c r="AD345" s="257">
        <f>IFERROR(IF(AND(COUNT(Z347,AA347,AC347,AD347)=4,N(AD350)&lt;&gt;0),(Z347+AA347+AC347+AD347)/AD350,""),"")</f>
        <v>0.00186575317081568</v>
      </c>
      <c r="AE345" s="257">
        <f>IFERROR(IF(AND(COUNT(AA347,AC347,AD347,AE347)=4,N(AE350)&lt;&gt;0),(AA347+AC347+AD347+AE347)/AE350,""),"")</f>
        <v>0.0144853285563428</v>
      </c>
      <c r="AF345" s="257">
        <f>IFERROR(IF(AND(COUNT(AB347,AD347,AE347,AF347)=4,N(AF350)&lt;&gt;0),(AB347+AD347+AE347+AF347)/AF350,""),"")</f>
        <v>0.0844343089291605</v>
      </c>
      <c r="AG345" s="257">
        <f>IFERROR(IF(AND(COUNT(AC347,AD347,AE347,AF347)=4,N(AG350)&lt;&gt;0),(AC347+AD347+AE347+AF347)/AG350,""),"")</f>
        <v>0.0120027356334503</v>
      </c>
      <c r="AH345" s="257">
        <f>IFERROR(IF(AND(COUNT(AD347,AF347,AG347,AH347)=4,N(AH350)&lt;&gt;0),(AD347+AF347+AG347+AH347)/AH350,""),"")</f>
        <v>0.00527071563809194</v>
      </c>
      <c r="AI345" s="257">
        <f>IFERROR(IF(AND(COUNT(AE347,AG347,AH347,AI347)=4,N(AI350)&lt;&gt;0),(AE347+AG347+AH347+AI347)/AI350,""),"")</f>
        <v>0.001947031702463</v>
      </c>
      <c r="AJ345" s="257">
        <f>IFERROR(IF(AND(COUNT(AF347,AH347,AI347,AJ347)=4,N(AJ350)&lt;&gt;0),(AF347+AH347+AI347+AJ347)/AJ350,""),"")</f>
        <v>-0.00257418263935506</v>
      </c>
      <c r="AK345" s="257">
        <f>IFERROR(IF(AND(COUNT(AH347,AI347,AJ347,AK347)=4,N(AK350)&lt;&gt;0),(AH347+AI347+AJ347+AK347)/AK350,""),"")</f>
        <v>-0.0230194974100055</v>
      </c>
      <c r="AL345" s="257">
        <f>IFERROR(IF(AND(COUNT(AH347,AI347,AJ347,AK347)=4,N(AL350)&lt;&gt;0),(AH347+AI347+AJ347+AK347)/AL350,""),"")</f>
        <v>-0.0230194974100055</v>
      </c>
      <c r="AM345" s="257">
        <f>IFERROR(IF(AND(COUNT(AI347,AJ347,AK347,AM347)=4,N(AM350)&lt;&gt;0),(AI347+AJ347+AK347+AM347)/AM350,""),"")</f>
        <v>0.00674200149097397</v>
      </c>
      <c r="AN345" s="257">
        <f>IFERROR(IF(AND(COUNT(AJ347,AK347,AM347,AN347)=4,N(AN350)&lt;&gt;0),(AJ347+AK347+AM347+AN347)/AN350,""),"")</f>
        <v>-0.0103396242222522</v>
      </c>
      <c r="AO345" s="257">
        <f>IFERROR(IF(AND(COUNT(AK347,AM347,AN347,AO347)=4,N(AO350)&lt;&gt;0),(AK347+AM347+AN347+AO347)/AO350,""),"")</f>
        <v>-0.0129709727928351</v>
      </c>
      <c r="AP345" s="257">
        <f>IFERROR(IF(AND(COUNT(AM347,AN347,AO347,AP347)=4,N(AP350)&lt;&gt;0),(AM347+AN347+AO347+AP347)/AP350,""),"")</f>
        <v>-0.0126663814681596</v>
      </c>
      <c r="AQ345" s="257">
        <f>IFERROR(IF(AND(COUNT(AM347,AN347,AO347,AP347)=4,N(AQ350)&lt;&gt;0),(AM347+AN347+AO347+AP347)/AQ350,""),"")</f>
        <v>-0.0126663814681596</v>
      </c>
      <c r="AR345" s="257">
        <f>IFERROR(IF(AND(COUNT(AN347,AO347,AP347,AR347)=4,N(AR350)&lt;&gt;0),(AN347+AO347+AP347+AR347)/AR350,""),"")</f>
        <v>-0.0131051897720541</v>
      </c>
      <c r="AS345" s="257">
        <f>IFERROR(IF(AND(COUNT(AO347,AP347,AR347,AS347)=4,N(AS350)&lt;&gt;0),(AO347+AP347+AR347+AS347)/AS350,""),"")</f>
        <v>-0.0102355888416094</v>
      </c>
      <c r="AT345" s="257">
        <f>IFERROR(IF(AND(COUNT(AP347,AR347,AS347,AT347)=4,N(AT350)&lt;&gt;0),(AP347+AR347+AS347+AT347)/AT350,""),"")</f>
        <v>-0.0127845654862048</v>
      </c>
      <c r="AU345" s="257">
        <f>IFERROR(IF(AND(COUNT(AR347,AS347,AT347,AU347)=4,N(AU350)&lt;&gt;0),(AR347+AS347+AT347+AU347)/AU350,""),"")</f>
        <v>-0.0124718300700716</v>
      </c>
      <c r="AV345" s="257">
        <f>IFERROR(IF(AND(COUNT(AR347,AS347,AT347,AU347)=4,N(AV350)&lt;&gt;0),(AR347+AS347+AT347+AU347)/AV350,""),"")</f>
        <v>-0.0124718300700716</v>
      </c>
      <c r="AW345" s="257">
        <f>IFERROR(IF(AND(COUNT(AS347,AT347,AU347,AW347)=4,N(AW350)&lt;&gt;0),(AS347+AT347+AU347+AW347)/AW350,""),"")</f>
        <v>-0.0127973242705672</v>
      </c>
      <c r="AX345" s="257">
        <f>IFERROR(IF(AND(COUNT(AT347,AU347,AW347,AX347)=4,N(AX350)&lt;&gt;0),(AT347+AU347+AW347+AX347)/AX350,""),"")</f>
        <v>-0.0101081690366692</v>
      </c>
      <c r="AY345" s="257">
        <f>IFERROR(IF(AND(COUNT(AU347,AW347,AX347,AY347)=4,N(AY350)&lt;&gt;0),(AU347+AW347+AX347+AY347)/AY350,""),"")</f>
        <v>-0.0125863950170171</v>
      </c>
      <c r="AZ345" s="257">
        <f>IFERROR(IF(AND(COUNT(AW347,AX347,AY347,AZ347)=4,N(AZ350)&lt;&gt;0),(AW347+AX347+AY347+AZ347)/AZ350,""),"")</f>
        <v>-0.0122831647530155</v>
      </c>
      <c r="BA345" s="257">
        <f>IFERROR(IF(AND(COUNT(AW347,AX347,AY347,AZ347)=4,N(BA350)&lt;&gt;0),(AW347+AX347+AY347+AZ347)/BA350,""),"")</f>
        <v>-0.0122831647530155</v>
      </c>
      <c r="BB345" s="257">
        <f>IFERROR(IF(AND(COUNT(AX347,AY347,AZ347,BB347)=4,N(BB350)&lt;&gt;0),(AX347+AY347+AZ347+BB347)/BB350,""),"")</f>
        <v>-0.0125987611339956</v>
      </c>
      <c r="BC345" s="257">
        <f>IFERROR(IF(AND(COUNT(AY347,AZ347,BB347,BC347)=4,N(BC350)&lt;&gt;0),(AY347+AZ347+BB347+BC347)/BC350,""),"")</f>
        <v>-0.00998388264737002</v>
      </c>
      <c r="BD345" s="257">
        <f>IFERROR(IF(AND(COUNT(AZ347,BB347,BC347,BD347)=4,N(BD350)&lt;&gt;0),(AZ347+BB347+BC347+BD347)/BD350,""),"")</f>
        <v>-0.0123942743565898</v>
      </c>
      <c r="BE345" s="257">
        <f>IFERROR(IF(AND(COUNT(BB347,BC347,BD347,BE347)=4,N(BE350)&lt;&gt;0),(BB347+BC347+BD347+BE347)/BE350,""),"")</f>
        <v>-0.0121001223757846</v>
      </c>
      <c r="BF345" s="257">
        <f>IFERROR(IF(AND(COUNT(BB347,BC347,BD347,BE347)=4,N(BF350)&lt;&gt;0),(BB347+BC347+BD347+BE347)/BF350,""),"")</f>
        <v>-0.0121001223757846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0.0934243478033763</v>
      </c>
      <c r="M346" s="257">
        <f>IFERROR(IF(AND(COUNT(I347,J347,K347,L347)=4,N(M351)&lt;&gt;0),(I347+J347+K347+L347)/M351,""),"")</f>
        <v>0.0934243478033763</v>
      </c>
      <c r="N346" s="257">
        <f>IFERROR(IF(AND(COUNT(J347,K347,L347,N347)=4,N(N351)&lt;&gt;0),(J347+K347+L347+N347)/N351,""),"")</f>
        <v>0.0977911997686885</v>
      </c>
      <c r="O346" s="257">
        <f>IFERROR(IF(AND(COUNT(K347,L347,N347,O347)=4,N(O351)&lt;&gt;0),(K347+L347+N347+O347)/O351,""),"")</f>
        <v>0.129556156978198</v>
      </c>
      <c r="P346" s="257">
        <f>IFERROR(IF(AND(COUNT(L347,N347,O347,P347)=4,N(P351)&lt;&gt;0),(L347+N347+O347+P347)/P351,""),"")</f>
        <v>0.199318608493972</v>
      </c>
      <c r="Q346" s="257">
        <f>IFERROR(IF(AND(COUNT(N347,O347,P347,Q347)=4,N(Q351)&lt;&gt;0),(N347+O347+P347+Q347)/Q351,""),"")</f>
        <v>0.231020481177256</v>
      </c>
      <c r="R346" s="257">
        <f>IFERROR(IF(AND(COUNT(N347,O347,P347,Q347)=4,N(R351)&lt;&gt;0),(N347+O347+P347+Q347)/R351,""),"")</f>
        <v>0.231020481177256</v>
      </c>
      <c r="S346" s="257">
        <f>IFERROR(IF(AND(COUNT(O347,P347,Q347,S347)=4,N(S351)&lt;&gt;0),(O347+P347+Q347+S347)/S351,""),"")</f>
        <v>0.235744780299748</v>
      </c>
      <c r="T346" s="257">
        <f>IFERROR(IF(AND(COUNT(P347,Q347,S347,T347)=4,N(T351)&lt;&gt;0),(P347+Q347+S347+T347)/T351,""),"")</f>
        <v>0.246433935271775</v>
      </c>
      <c r="U346" s="257">
        <f>IFERROR(IF(AND(COUNT(Q347,S347,T347,U347)=4,N(U351)&lt;&gt;0),(Q347+S347+T347+U347)/U351,""),"")</f>
        <v>0.277816127909659</v>
      </c>
      <c r="V346" s="257">
        <f>IFERROR(IF(AND(COUNT(S347,T347,U347,V347)=4,N(V351)&lt;&gt;0),(S347+T347+U347+V347)/V351,""),"")</f>
        <v>0.196928083274983</v>
      </c>
      <c r="W346" s="257">
        <f>IFERROR(IF(AND(COUNT(S347,T347,U347,V347)=4,N(W351)&lt;&gt;0),(S347+T347+U347+V347)/W351,""),"")</f>
        <v>0.196928083274983</v>
      </c>
      <c r="X346" s="257">
        <f>IFERROR(IF(AND(COUNT(T347,U347,V347,X347)=4,N(X351)&lt;&gt;0),(T347+U347+V347+X347)/X351,""),"")</f>
        <v>0.15932063382053</v>
      </c>
      <c r="Y346" s="257">
        <f>IFERROR(IF(AND(COUNT(U347,V347,X347,Y347)=4,N(Y351)&lt;&gt;0),(U347+V347+X347+Y347)/Y351,""),"")</f>
        <v>0.109893519950495</v>
      </c>
      <c r="Z346" s="257">
        <f>IFERROR(IF(AND(COUNT(V347,X347,Y347,Z347)=4,N(Z351)&lt;&gt;0),(V347+X347+Y347+Z347)/Z351,""),"")</f>
        <v>0.0931659443260012</v>
      </c>
      <c r="AA346" s="257">
        <f>IFERROR(IF(AND(COUNT(X347,Y347,Z347,AA347)=4,N(AA351)&lt;&gt;0),(X347+Y347+Z347+AA347)/AA351,""),"")</f>
        <v>0.0470893568124663</v>
      </c>
      <c r="AB346" s="257">
        <f>IFERROR(IF(AND(COUNT(X347,Y347,Z347,AA347)=4,N(AB351)&lt;&gt;0),(X347+Y347+Z347+AA347)/AB351,""),"")</f>
        <v>0.0470893568124663</v>
      </c>
      <c r="AC346" s="257">
        <f>IFERROR(IF(AND(COUNT(Y347,Z347,AA347,AC347)=4,N(AC351)&lt;&gt;0),(Y347+Z347+AA347+AC347)/AC351,""),"")</f>
        <v>0.0147488341120761</v>
      </c>
      <c r="AD346" s="257">
        <f>IFERROR(IF(AND(COUNT(Z347,AA347,AC347,AD347)=4,N(AD351)&lt;&gt;0),(Z347+AA347+AC347+AD347)/AD351,""),"")</f>
        <v>0.00186575317081568</v>
      </c>
      <c r="AE346" s="257">
        <f>IFERROR(IF(AND(COUNT(AA347,AC347,AD347,AE347)=4,N(AE351)&lt;&gt;0),(AA347+AC347+AD347+AE347)/AE351,""),"")</f>
        <v>0.0144853285563428</v>
      </c>
      <c r="AF346" s="257">
        <f>IFERROR(IF(AND(COUNT(AB347,AD347,AE347,AF347)=4,N(AF351)&lt;&gt;0),(AB347+AD347+AE347+AF347)/AF351,""),"")</f>
        <v>0.0844343089291605</v>
      </c>
      <c r="AG346" s="257">
        <f>IFERROR(IF(AND(COUNT(AC347,AD347,AE347,AF347)=4,N(AG351)&lt;&gt;0),(AC347+AD347+AE347+AF347)/AG351,""),"")</f>
        <v>0.0120027356334503</v>
      </c>
      <c r="AH346" s="257">
        <f>IFERROR(IF(AND(COUNT(AD347,AF347,AG347,AH347)=4,N(AH351)&lt;&gt;0),(AD347+AF347+AG347+AH347)/AH351,""),"")</f>
        <v>0.00527071563809194</v>
      </c>
      <c r="AI346" s="257">
        <f>IFERROR(IF(AND(COUNT(AE347,AG347,AH347,AI347)=4,N(AI351)&lt;&gt;0),(AE347+AG347+AH347+AI347)/AI351,""),"")</f>
        <v>0.001947031702463</v>
      </c>
      <c r="AJ346" s="257">
        <f>IFERROR(IF(AND(COUNT(AF347,AH347,AI347,AJ347)=4,N(AJ351)&lt;&gt;0),(AF347+AH347+AI347+AJ347)/AJ351,""),"")</f>
        <v>-0.00257418263935506</v>
      </c>
      <c r="AK346" s="257">
        <f>IFERROR(IF(AND(COUNT(AH347,AI347,AJ347,AK347)=4,N(AK351)&lt;&gt;0),(AH347+AI347+AJ347+AK347)/AK351,""),"")</f>
        <v>-0.0230194974100055</v>
      </c>
      <c r="AL346" s="257">
        <f>IFERROR(IF(AND(COUNT(AH347,AI347,AJ347,AK347)=4,N(AL351)&lt;&gt;0),(AH347+AI347+AJ347+AK347)/AL351,""),"")</f>
        <v>-0.0230194974100055</v>
      </c>
      <c r="AM346" s="257">
        <f>IFERROR(IF(AND(COUNT(AI347,AJ347,AK347,AM347)=4,N(AM351)&lt;&gt;0),(AI347+AJ347+AK347+AM347)/AM351,""),"")</f>
        <v>0.00674200149097397</v>
      </c>
      <c r="AN346" s="257">
        <f>IFERROR(IF(AND(COUNT(AJ347,AK347,AM347,AN347)=4,N(AN351)&lt;&gt;0),(AJ347+AK347+AM347+AN347)/AN351,""),"")</f>
        <v>-0.0103396242222522</v>
      </c>
      <c r="AO346" s="257">
        <f>IFERROR(IF(AND(COUNT(AK347,AM347,AN347,AO347)=4,N(AO351)&lt;&gt;0),(AK347+AM347+AN347+AO347)/AO351,""),"")</f>
        <v>-0.0129709727928351</v>
      </c>
      <c r="AP346" s="257">
        <f>IFERROR(IF(AND(COUNT(AM347,AN347,AO347,AP347)=4,N(AP351)&lt;&gt;0),(AM347+AN347+AO347+AP347)/AP351,""),"")</f>
        <v>-0.0126663814681596</v>
      </c>
      <c r="AQ346" s="257">
        <f>IFERROR(IF(AND(COUNT(AM347,AN347,AO347,AP347)=4,N(AQ351)&lt;&gt;0),(AM347+AN347+AO347+AP347)/AQ351,""),"")</f>
        <v>-0.0126663814681596</v>
      </c>
      <c r="AR346" s="257">
        <f>IFERROR(IF(AND(COUNT(AN347,AO347,AP347,AR347)=4,N(AR351)&lt;&gt;0),(AN347+AO347+AP347+AR347)/AR351,""),"")</f>
        <v>-0.0131051897720541</v>
      </c>
      <c r="AS346" s="257">
        <f>IFERROR(IF(AND(COUNT(AO347,AP347,AR347,AS347)=4,N(AS351)&lt;&gt;0),(AO347+AP347+AR347+AS347)/AS351,""),"")</f>
        <v>-0.0102355888416094</v>
      </c>
      <c r="AT346" s="257">
        <f>IFERROR(IF(AND(COUNT(AP347,AR347,AS347,AT347)=4,N(AT351)&lt;&gt;0),(AP347+AR347+AS347+AT347)/AT351,""),"")</f>
        <v>-0.0127845654862048</v>
      </c>
      <c r="AU346" s="257">
        <f>IFERROR(IF(AND(COUNT(AR347,AS347,AT347,AU347)=4,N(AU351)&lt;&gt;0),(AR347+AS347+AT347+AU347)/AU351,""),"")</f>
        <v>-0.0124718300700716</v>
      </c>
      <c r="AV346" s="257">
        <f>IFERROR(IF(AND(COUNT(AR347,AS347,AT347,AU347)=4,N(AV351)&lt;&gt;0),(AR347+AS347+AT347+AU347)/AV351,""),"")</f>
        <v>-0.0124718300700716</v>
      </c>
      <c r="AW346" s="257">
        <f>IFERROR(IF(AND(COUNT(AS347,AT347,AU347,AW347)=4,N(AW351)&lt;&gt;0),(AS347+AT347+AU347+AW347)/AW351,""),"")</f>
        <v>-0.0127973242705672</v>
      </c>
      <c r="AX346" s="257">
        <f>IFERROR(IF(AND(COUNT(AT347,AU347,AW347,AX347)=4,N(AX351)&lt;&gt;0),(AT347+AU347+AW347+AX347)/AX351,""),"")</f>
        <v>-0.0101081690366692</v>
      </c>
      <c r="AY346" s="257">
        <f>IFERROR(IF(AND(COUNT(AU347,AW347,AX347,AY347)=4,N(AY351)&lt;&gt;0),(AU347+AW347+AX347+AY347)/AY351,""),"")</f>
        <v>-0.0125863950170171</v>
      </c>
      <c r="AZ346" s="257">
        <f>IFERROR(IF(AND(COUNT(AW347,AX347,AY347,AZ347)=4,N(AZ351)&lt;&gt;0),(AW347+AX347+AY347+AZ347)/AZ351,""),"")</f>
        <v>-0.0122831647530155</v>
      </c>
      <c r="BA346" s="257">
        <f>IFERROR(IF(AND(COUNT(AW347,AX347,AY347,AZ347)=4,N(BA351)&lt;&gt;0),(AW347+AX347+AY347+AZ347)/BA351,""),"")</f>
        <v>-0.0122831647530155</v>
      </c>
      <c r="BB346" s="257">
        <f>IFERROR(IF(AND(COUNT(AX347,AY347,AZ347,BB347)=4,N(BB351)&lt;&gt;0),(AX347+AY347+AZ347+BB347)/BB351,""),"")</f>
        <v>-0.0125987611339956</v>
      </c>
      <c r="BC346" s="257">
        <f>IFERROR(IF(AND(COUNT(AY347,AZ347,BB347,BC347)=4,N(BC351)&lt;&gt;0),(AY347+AZ347+BB347+BC347)/BC351,""),"")</f>
        <v>-0.00998388264737002</v>
      </c>
      <c r="BD346" s="257">
        <f>IFERROR(IF(AND(COUNT(AZ347,BB347,BC347,BD347)=4,N(BD351)&lt;&gt;0),(AZ347+BB347+BC347+BD347)/BD351,""),"")</f>
        <v>-0.0123942743565898</v>
      </c>
      <c r="BE346" s="257">
        <f>IFERROR(IF(AND(COUNT(BB347,BC347,BD347,BE347)=4,N(BE351)&lt;&gt;0),(BB347+BC347+BD347+BE347)/BE351,""),"")</f>
        <v>-0.0121001223757846</v>
      </c>
      <c r="BF346" s="257">
        <f>IFERROR(IF(AND(COUNT(BB347,BC347,BD347,BE347)=4,N(BF351)&lt;&gt;0),(BB347+BC347+BD347+BE347)/BF351,""),"")</f>
        <v>-0.0121001223757846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-59.7900000000006</v>
      </c>
      <c r="J347" s="263">
        <f>IFERROR(J348*(1-N(J349)),0)</f>
        <v>127.925000000001</v>
      </c>
      <c r="K347" s="263">
        <f>IFERROR(K348*(1-N(K349)),0)</f>
        <v>130.219999999998</v>
      </c>
      <c r="L347" s="263">
        <f>IFERROR(L348*(1-N(L349)),0)</f>
        <v>305.038742051544</v>
      </c>
      <c r="M347" s="263">
        <f>IFERROR(M348*(1-N(M349)),0)</f>
        <v>512.890698844004</v>
      </c>
      <c r="N347" s="263">
        <f>IFERROR(N348*(1-N(N349)),0)</f>
        <v>23.3977004769802</v>
      </c>
      <c r="O347" s="263">
        <f>IFERROR(O348*(1-N(O349)),0)</f>
        <v>361.876594975709</v>
      </c>
      <c r="P347" s="263">
        <f>IFERROR(P348*(1-N(P349)),0)</f>
        <v>353.097354958948</v>
      </c>
      <c r="Q347" s="263">
        <f>IFERROR(Q348*(1-N(Q349)),0)</f>
        <v>617.227655576352</v>
      </c>
      <c r="R347" s="263">
        <f>IFERROR(R348*(1-N(R349)),0)</f>
        <v>1356.01300605417</v>
      </c>
      <c r="S347" s="263">
        <f>IFERROR(S348*(1-N(S349)),0)</f>
        <v>132.804392074678</v>
      </c>
      <c r="T347" s="263">
        <f>IFERROR(T348*(1-N(T349)),0)</f>
        <v>393.356933967606</v>
      </c>
      <c r="U347" s="263">
        <f>IFERROR(U348*(1-N(U349)),0)</f>
        <v>135.429770555852</v>
      </c>
      <c r="V347" s="263">
        <f>IFERROR(V348*(1-N(V349)),0)</f>
        <v>392.893999999999</v>
      </c>
      <c r="W347" s="263">
        <f>IFERROR(W348*(1-N(W349)),0)</f>
        <v>1049.33995378275</v>
      </c>
      <c r="X347" s="263">
        <f>IFERROR(X348*(1-N(X349)),0)</f>
        <v>62.0768910900687</v>
      </c>
      <c r="Y347" s="263">
        <f>IFERROR(Y348*(1-N(Y349)),0)</f>
        <v>145.198977629184</v>
      </c>
      <c r="Z347" s="263">
        <f>IFERROR(Z348*(1-N(Z349)),0)</f>
        <v>-27.5579999999995</v>
      </c>
      <c r="AA347" s="263">
        <f>IFERROR(AA348*(1-N(AA349)),0)</f>
        <v>130.773810614402</v>
      </c>
      <c r="AB347" s="263">
        <f>IFERROR(AB348*(1-N(AB349)),0)</f>
        <v>323.449831217298</v>
      </c>
      <c r="AC347" s="263">
        <f>IFERROR(AC348*(1-N(AC349)),0)</f>
        <v>-154.275000696478</v>
      </c>
      <c r="AD347" s="263">
        <f>IFERROR(AD348*(1-N(AD349)),0)</f>
        <v>63.5114039906508</v>
      </c>
      <c r="AE347" s="263">
        <f>IFERROR(AE348*(1-N(AE349)),0)</f>
        <v>53.9210000000006</v>
      </c>
      <c r="AF347" s="263">
        <f>IFERROR(AF348*(1-N(AF349)),0)</f>
        <v>116.007035666524</v>
      </c>
      <c r="AG347" s="263">
        <f>IFERROR(AG348*(1-N(AG349)),0)</f>
        <v>72.3588155488643</v>
      </c>
      <c r="AH347" s="263">
        <f>IFERROR(AH348*(1-N(AH349)),0)</f>
        <v>-215.722296380708</v>
      </c>
      <c r="AI347" s="263">
        <f>IFERROR(AI348*(1-N(AI349)),0)</f>
        <v>102.687382055399</v>
      </c>
      <c r="AJ347" s="263">
        <f>IFERROR(AJ348*(1-N(AJ349)),0)</f>
        <v>-19.6507014985684</v>
      </c>
      <c r="AK347" s="263">
        <f>IFERROR(AK348*(1-N(AK349)),0)</f>
        <v>-20.2403218258891</v>
      </c>
      <c r="AL347" s="263">
        <f>IFERROR(AL348*(1-N(AL349)),0)</f>
        <v>-170.087934366608</v>
      </c>
      <c r="AM347" s="263">
        <f>IFERROR(AM348*(1-N(AM349)),0)</f>
        <v>-19.0750715815402</v>
      </c>
      <c r="AN347" s="263">
        <f>IFERROR(AN348*(1-N(AN349)),0)</f>
        <v>-26.4465769778969</v>
      </c>
      <c r="AO347" s="263">
        <f>IFERROR(AO348*(1-N(AO349)),0)</f>
        <v>-19.7277188965721</v>
      </c>
      <c r="AP347" s="263">
        <f>IFERROR(AP348*(1-N(AP349)),0)</f>
        <v>-20.3196501349507</v>
      </c>
      <c r="AQ347" s="263">
        <f>IFERROR(AQ348*(1-N(AQ349)),0)</f>
        <v>-85.56901759096</v>
      </c>
      <c r="AR347" s="263">
        <f>IFERROR(AR348*(1-N(AR349)),0)</f>
        <v>-19.0750715815402</v>
      </c>
      <c r="AS347" s="263">
        <f>IFERROR(AS348*(1-N(AS349)),0)</f>
        <v>-26.4465769778969</v>
      </c>
      <c r="AT347" s="263">
        <f>IFERROR(AT348*(1-N(AT349)),0)</f>
        <v>-19.7277188965721</v>
      </c>
      <c r="AU347" s="263">
        <f>IFERROR(AU348*(1-N(AU349)),0)</f>
        <v>-20.3196501349507</v>
      </c>
      <c r="AV347" s="263">
        <f>IFERROR(AV348*(1-N(AV349)),0)</f>
        <v>-85.56901759096</v>
      </c>
      <c r="AW347" s="263">
        <f>IFERROR(AW348*(1-N(AW349)),0)</f>
        <v>-19.0750715815402</v>
      </c>
      <c r="AX347" s="263">
        <f>IFERROR(AX348*(1-N(AX349)),0)</f>
        <v>-26.4465769778969</v>
      </c>
      <c r="AY347" s="263">
        <f>IFERROR(AY348*(1-N(AY349)),0)</f>
        <v>-19.7277188965721</v>
      </c>
      <c r="AZ347" s="263">
        <f>IFERROR(AZ348*(1-N(AZ349)),0)</f>
        <v>-20.3196501349507</v>
      </c>
      <c r="BA347" s="263">
        <f>IFERROR(BA348*(1-N(BA349)),0)</f>
        <v>-85.56901759096</v>
      </c>
      <c r="BB347" s="263">
        <f>IFERROR(BB348*(1-N(BB349)),0)</f>
        <v>-19.0750715815402</v>
      </c>
      <c r="BC347" s="263">
        <f>IFERROR(BC348*(1-N(BC349)),0)</f>
        <v>-26.4465769778969</v>
      </c>
      <c r="BD347" s="263">
        <f>IFERROR(BD348*(1-N(BD349)),0)</f>
        <v>-19.7277188965721</v>
      </c>
      <c r="BE347" s="263">
        <f>IFERROR(BE348*(1-N(BE349)),0)</f>
        <v>-20.3196501349507</v>
      </c>
      <c r="BF347" s="263">
        <f>IFERROR(BF348*(1-N(BF349)),0)</f>
        <v>-85.56901759096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-59.7900000000006</v>
      </c>
      <c r="J348" s="263">
        <f>IFERROR(J73,0)</f>
        <v>127.925000000001</v>
      </c>
      <c r="K348" s="263">
        <f>IFERROR(K73,0)</f>
        <v>130.219999999998</v>
      </c>
      <c r="L348" s="263">
        <f>IFERROR(L73,0)</f>
        <v>314.973999999999</v>
      </c>
      <c r="M348" s="263">
        <f>IFERROR(M73,0)</f>
        <v>513.328999999998</v>
      </c>
      <c r="N348" s="263">
        <f>IFERROR(N73,0)</f>
        <v>24.6729999999996</v>
      </c>
      <c r="O348" s="263">
        <f>IFERROR(O73,0)</f>
        <v>401.121</v>
      </c>
      <c r="P348" s="263">
        <f>IFERROR(P73,0)</f>
        <v>388.318</v>
      </c>
      <c r="Q348" s="263">
        <f>IFERROR(Q73,0)</f>
        <v>644.469</v>
      </c>
      <c r="R348" s="263">
        <f>IFERROR(R73,0)</f>
        <v>1458.581</v>
      </c>
      <c r="S348" s="263">
        <f>IFERROR(S73,0)</f>
        <v>142.342</v>
      </c>
      <c r="T348" s="263">
        <f>IFERROR(T73,0)</f>
        <v>401.102</v>
      </c>
      <c r="U348" s="263">
        <f>IFERROR(U73,0)</f>
        <v>155.586999999999</v>
      </c>
      <c r="V348" s="263">
        <f>IFERROR(V73,0)</f>
        <v>392.893999999999</v>
      </c>
      <c r="W348" s="263">
        <f>IFERROR(W73,0)</f>
        <v>1091.925</v>
      </c>
      <c r="X348" s="263">
        <f>IFERROR(X73,0)</f>
        <v>67.6619999999998</v>
      </c>
      <c r="Y348" s="263">
        <f>IFERROR(Y73,0)</f>
        <v>151.36</v>
      </c>
      <c r="Z348" s="263">
        <f>IFERROR(Z73,0)</f>
        <v>-27.5579999999995</v>
      </c>
      <c r="AA348" s="263">
        <f>IFERROR(AA73,0)</f>
        <v>137.825999999999</v>
      </c>
      <c r="AB348" s="263">
        <f>IFERROR(AB73,0)</f>
        <v>329.29</v>
      </c>
      <c r="AC348" s="263">
        <f>IFERROR(AC73,0)</f>
        <v>-171.953</v>
      </c>
      <c r="AD348" s="263">
        <f>IFERROR(AD73,0)</f>
        <v>70.9609999999997</v>
      </c>
      <c r="AE348" s="263">
        <f>IFERROR(AE73,0)</f>
        <v>53.9210000000006</v>
      </c>
      <c r="AF348" s="263">
        <f>IFERROR(AF73,0)</f>
        <v>121.231999999999</v>
      </c>
      <c r="AG348" s="263">
        <f>IFERROR(AG73,0)</f>
        <v>74.1609999999988</v>
      </c>
      <c r="AH348" s="263">
        <f>IFERROR(AH73,0)</f>
        <v>-241.791000000001</v>
      </c>
      <c r="AI348" s="263">
        <f>IFERROR(AI73,0)</f>
        <v>108.337000000001</v>
      </c>
      <c r="AJ348" s="263">
        <f>IFERROR(AJ73,0)</f>
        <v>-20.7896553295741</v>
      </c>
      <c r="AK348" s="263">
        <f>IFERROR(AK73,0)</f>
        <v>-21.4134500262265</v>
      </c>
      <c r="AL348" s="263">
        <f>IFERROR(AL73,0)</f>
        <v>-175.6571053558</v>
      </c>
      <c r="AM348" s="263">
        <f>IFERROR(AM73,0)</f>
        <v>-20.1806619268052</v>
      </c>
      <c r="AN348" s="263">
        <f>IFERROR(AN73,0)</f>
        <v>-27.9794194653855</v>
      </c>
      <c r="AO348" s="263">
        <f>IFERROR(AO73,0)</f>
        <v>-20.8711366527214</v>
      </c>
      <c r="AP348" s="263">
        <f>IFERROR(AP73,0)</f>
        <v>-21.4973762007393</v>
      </c>
      <c r="AQ348" s="263">
        <f>IFERROR(AQ73,0)</f>
        <v>-90.5285942456516</v>
      </c>
      <c r="AR348" s="263">
        <f>IFERROR(AR73,0)</f>
        <v>-20.1806619268052</v>
      </c>
      <c r="AS348" s="263">
        <f>IFERROR(AS73,0)</f>
        <v>-27.9794194653855</v>
      </c>
      <c r="AT348" s="263">
        <f>IFERROR(AT73,0)</f>
        <v>-20.8711366527214</v>
      </c>
      <c r="AU348" s="263">
        <f>IFERROR(AU73,0)</f>
        <v>-21.4973762007393</v>
      </c>
      <c r="AV348" s="263">
        <f>IFERROR(AV73,0)</f>
        <v>-90.5285942456516</v>
      </c>
      <c r="AW348" s="263">
        <f>IFERROR(AW73,0)</f>
        <v>-20.1806619268052</v>
      </c>
      <c r="AX348" s="263">
        <f>IFERROR(AX73,0)</f>
        <v>-27.9794194653855</v>
      </c>
      <c r="AY348" s="263">
        <f>IFERROR(AY73,0)</f>
        <v>-20.8711366527214</v>
      </c>
      <c r="AZ348" s="263">
        <f>IFERROR(AZ73,0)</f>
        <v>-21.4973762007393</v>
      </c>
      <c r="BA348" s="263">
        <f>IFERROR(BA73,0)</f>
        <v>-90.5285942456516</v>
      </c>
      <c r="BB348" s="263">
        <f>IFERROR(BB73,0)</f>
        <v>-20.1806619268052</v>
      </c>
      <c r="BC348" s="263">
        <f>IFERROR(BC73,0)</f>
        <v>-27.9794194653855</v>
      </c>
      <c r="BD348" s="263">
        <f>IFERROR(BD73,0)</f>
        <v>-20.8711366527214</v>
      </c>
      <c r="BE348" s="263">
        <f>IFERROR(BE73,0)</f>
        <v>-21.4973762007393</v>
      </c>
      <c r="BF348" s="263">
        <f>IFERROR(BF73,0)</f>
        <v>-90.5285942456516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</v>
      </c>
      <c r="J349" s="258">
        <f>IFERROR(IF(N(J130)&lt;&gt;0,MAX(0,MIN(1,-J131/J130)),""),"")</f>
        <v>0</v>
      </c>
      <c r="K349" s="258">
        <f>IFERROR(IF(N(K130)&lt;&gt;0,MAX(0,MIN(1,-K131/K130)),""),"")</f>
        <v>0</v>
      </c>
      <c r="L349" s="258">
        <f>IFERROR(IF(N(L130)&lt;&gt;0,MAX(0,MIN(1,-L131/L130)),""),"")</f>
        <v>0.0315431049815392</v>
      </c>
      <c r="M349" s="258">
        <f>IFERROR(IF(N(M130)&lt;&gt;0,MAX(0,MIN(1,-M131/M130)),""),"")</f>
        <v>0.000853840628512088</v>
      </c>
      <c r="N349" s="258">
        <f>IFERROR(IF(N(N130)&lt;&gt;0,MAX(0,MIN(1,-N131/N130)),""),"")</f>
        <v>0.0516880607554576</v>
      </c>
      <c r="O349" s="258">
        <f>IFERROR(IF(N(O130)&lt;&gt;0,MAX(0,MIN(1,-O131/O130)),""),"")</f>
        <v>0.0978368248590579</v>
      </c>
      <c r="P349" s="258">
        <f>IFERROR(IF(N(P130)&lt;&gt;0,MAX(0,MIN(1,-P131/P130)),""),"")</f>
        <v>0.0907005213280146</v>
      </c>
      <c r="Q349" s="258">
        <f>IFERROR(IF(N(Q130)&lt;&gt;0,MAX(0,MIN(1,-Q131/Q130)),""),"")</f>
        <v>0.0422694410804066</v>
      </c>
      <c r="R349" s="258">
        <f>IFERROR(IF(N(R130)&lt;&gt;0,MAX(0,MIN(1,-R131/R130)),""),"")</f>
        <v>0.0703203962932659</v>
      </c>
      <c r="S349" s="258">
        <f>IFERROR(IF(N(S130)&lt;&gt;0,MAX(0,MIN(1,-S131/S130)),""),"")</f>
        <v>0.0670048750567053</v>
      </c>
      <c r="T349" s="258">
        <f>IFERROR(IF(N(T130)&lt;&gt;0,MAX(0,MIN(1,-T131/T130)),""),"")</f>
        <v>0.0193094674980291</v>
      </c>
      <c r="U349" s="258">
        <f>IFERROR(IF(N(U130)&lt;&gt;0,MAX(0,MIN(1,-U131/U130)),""),"")</f>
        <v>0.129556000463707</v>
      </c>
      <c r="V349" s="258">
        <f>IFERROR(IF(N(V130)&lt;&gt;0,MAX(0,MIN(1,-V131/V130)),""),"")</f>
        <v>0</v>
      </c>
      <c r="W349" s="258">
        <f>IFERROR(IF(N(W130)&lt;&gt;0,MAX(0,MIN(1,-W131/W130)),""),"")</f>
        <v>0.0389999736403549</v>
      </c>
      <c r="X349" s="258">
        <f>IFERROR(IF(N(X130)&lt;&gt;0,MAX(0,MIN(1,-X131/X130)),""),"")</f>
        <v>0.0825442480259403</v>
      </c>
      <c r="Y349" s="258">
        <f>IFERROR(IF(N(Y130)&lt;&gt;0,MAX(0,MIN(1,-Y131/Y130)),""),"")</f>
        <v>0.0407044289826636</v>
      </c>
      <c r="Z349" s="258">
        <f>IFERROR(IF(N(Z130)&lt;&gt;0,MAX(0,MIN(1,-Z131/Z130)),""),"")</f>
        <v>0</v>
      </c>
      <c r="AA349" s="258">
        <f>IFERROR(IF(N(AA130)&lt;&gt;0,MAX(0,MIN(1,-AA131/AA130)),""),"")</f>
        <v>0.0511673369726895</v>
      </c>
      <c r="AB349" s="258">
        <f>IFERROR(IF(N(AB130)&lt;&gt;0,MAX(0,MIN(1,-AB131/AB130)),""),"")</f>
        <v>0.0177356396571475</v>
      </c>
      <c r="AC349" s="258">
        <f>IFERROR(IF(N(AC130)&lt;&gt;0,MAX(0,MIN(1,-AC131/AC130)),""),"")</f>
        <v>0.102807158371895</v>
      </c>
      <c r="AD349" s="258">
        <f>IFERROR(IF(N(AD130)&lt;&gt;0,MAX(0,MIN(1,-AD131/AD130)),""),"")</f>
        <v>0.104981553379305</v>
      </c>
      <c r="AE349" s="258">
        <f>IFERROR(IF(N(AE130)&lt;&gt;0,MAX(0,MIN(1,-AE131/AE130)),""),"")</f>
        <v>0</v>
      </c>
      <c r="AF349" s="258">
        <f>IFERROR(IF(N(AF130)&lt;&gt;0,MAX(0,MIN(1,-AF131/AF130)),""),"")</f>
        <v>0.0430988875336166</v>
      </c>
      <c r="AG349" s="258">
        <f>IFERROR(IF(N(AG130)&lt;&gt;0,MAX(0,MIN(1,-AG131/AG130)),""),"")</f>
        <v>0.0243009728986202</v>
      </c>
      <c r="AH349" s="258">
        <f>IFERROR(IF(N(AH130)&lt;&gt;0,MAX(0,MIN(1,-AH131/AH130)),""),"")</f>
        <v>0.107815028761585</v>
      </c>
      <c r="AI349" s="258">
        <f>IFERROR(IF(N(AI130)&lt;&gt;0,MAX(0,MIN(1,-AI131/AI130)),""),"")</f>
        <v>0.0521485544606378</v>
      </c>
      <c r="AJ349" s="258">
        <f>IFERROR(IF(N(AJ130)&lt;&gt;0,MAX(0,MIN(1,-AJ131/AJ130)),""),"")</f>
        <v>0.0547846423112859</v>
      </c>
      <c r="AK349" s="258">
        <f>IFERROR(IF(N(AK130)&lt;&gt;0,MAX(0,MIN(1,-AK131/AK130)),""),"")</f>
        <v>0.0547846423112858</v>
      </c>
      <c r="AL349" s="258">
        <f>IFERROR(IF(N(AL130)&lt;&gt;0,MAX(0,MIN(1,-AL131/AL130)),""),"")</f>
        <v>0.0317047863103038</v>
      </c>
      <c r="AM349" s="258">
        <f>IFERROR(IF(N(AM130)&lt;&gt;0,MAX(0,MIN(1,-AM131/AM130)),""),"")</f>
        <v>0.0547846423112859</v>
      </c>
      <c r="AN349" s="258">
        <f>IFERROR(IF(N(AN130)&lt;&gt;0,MAX(0,MIN(1,-AN131/AN130)),""),"")</f>
        <v>0.0547846423112859</v>
      </c>
      <c r="AO349" s="258">
        <f>IFERROR(IF(N(AO130)&lt;&gt;0,MAX(0,MIN(1,-AO131/AO130)),""),"")</f>
        <v>0.0547846423112859</v>
      </c>
      <c r="AP349" s="258">
        <f>IFERROR(IF(N(AP130)&lt;&gt;0,MAX(0,MIN(1,-AP131/AP130)),""),"")</f>
        <v>0.0547846423112859</v>
      </c>
      <c r="AQ349" s="258">
        <f>IFERROR(IF(N(AQ130)&lt;&gt;0,MAX(0,MIN(1,-AQ131/AQ130)),""),"")</f>
        <v>0.0547846423112859</v>
      </c>
      <c r="AR349" s="258">
        <f>IFERROR(IF(N(AR130)&lt;&gt;0,MAX(0,MIN(1,-AR131/AR130)),""),"")</f>
        <v>0.0547846423112859</v>
      </c>
      <c r="AS349" s="258">
        <f>IFERROR(IF(N(AS130)&lt;&gt;0,MAX(0,MIN(1,-AS131/AS130)),""),"")</f>
        <v>0.0547846423112859</v>
      </c>
      <c r="AT349" s="258">
        <f>IFERROR(IF(N(AT130)&lt;&gt;0,MAX(0,MIN(1,-AT131/AT130)),""),"")</f>
        <v>0.0547846423112859</v>
      </c>
      <c r="AU349" s="258">
        <f>IFERROR(IF(N(AU130)&lt;&gt;0,MAX(0,MIN(1,-AU131/AU130)),""),"")</f>
        <v>0.0547846423112859</v>
      </c>
      <c r="AV349" s="258">
        <f>IFERROR(IF(N(AV130)&lt;&gt;0,MAX(0,MIN(1,-AV131/AV130)),""),"")</f>
        <v>0.0547846423112859</v>
      </c>
      <c r="AW349" s="258">
        <f>IFERROR(IF(N(AW130)&lt;&gt;0,MAX(0,MIN(1,-AW131/AW130)),""),"")</f>
        <v>0.0547846423112859</v>
      </c>
      <c r="AX349" s="258">
        <f>IFERROR(IF(N(AX130)&lt;&gt;0,MAX(0,MIN(1,-AX131/AX130)),""),"")</f>
        <v>0.0547846423112859</v>
      </c>
      <c r="AY349" s="258">
        <f>IFERROR(IF(N(AY130)&lt;&gt;0,MAX(0,MIN(1,-AY131/AY130)),""),"")</f>
        <v>0.0547846423112859</v>
      </c>
      <c r="AZ349" s="258">
        <f>IFERROR(IF(N(AZ130)&lt;&gt;0,MAX(0,MIN(1,-AZ131/AZ130)),""),"")</f>
        <v>0.0547846423112859</v>
      </c>
      <c r="BA349" s="258">
        <f>IFERROR(IF(N(BA130)&lt;&gt;0,MAX(0,MIN(1,-BA131/BA130)),""),"")</f>
        <v>0.0547846423112859</v>
      </c>
      <c r="BB349" s="258">
        <f>IFERROR(IF(N(BB130)&lt;&gt;0,MAX(0,MIN(1,-BB131/BB130)),""),"")</f>
        <v>0.0547846423112859</v>
      </c>
      <c r="BC349" s="258">
        <f>IFERROR(IF(N(BC130)&lt;&gt;0,MAX(0,MIN(1,-BC131/BC130)),""),"")</f>
        <v>0.0547846423112859</v>
      </c>
      <c r="BD349" s="258">
        <f>IFERROR(IF(N(BD130)&lt;&gt;0,MAX(0,MIN(1,-BD131/BD130)),""),"")</f>
        <v>0.0547846423112859</v>
      </c>
      <c r="BE349" s="258">
        <f>IFERROR(IF(N(BE130)&lt;&gt;0,MAX(0,MIN(1,-BE131/BE130)),""),"")</f>
        <v>0.0547846423112859</v>
      </c>
      <c r="BF349" s="258">
        <f>IFERROR(IF(N(BF130)&lt;&gt;0,MAX(0,MIN(1,-BF131/BF130)),""),"")</f>
        <v>0.0547846423112859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5114.457</v>
      </c>
      <c r="J350" s="263">
        <f>IFERROR(J352+J355,0)</f>
        <v>5286.289</v>
      </c>
      <c r="K350" s="263">
        <f>IFERROR(K352+K355,0)</f>
        <v>4975.29</v>
      </c>
      <c r="L350" s="263">
        <f>IFERROR(L352+L355,0)</f>
        <v>5388.25</v>
      </c>
      <c r="M350" s="263">
        <f>IFERROR(M352+M355,0)</f>
        <v>5388.25</v>
      </c>
      <c r="N350" s="263">
        <f>IFERROR(N352+N355,0)</f>
        <v>5998.305</v>
      </c>
      <c r="O350" s="263">
        <f>IFERROR(O352+O355,0)</f>
        <v>6333.416</v>
      </c>
      <c r="P350" s="263">
        <f>IFERROR(P352+P355,0)</f>
        <v>5234.887</v>
      </c>
      <c r="Q350" s="263">
        <f>IFERROR(Q352+Q355,0)</f>
        <v>5867.875</v>
      </c>
      <c r="R350" s="263">
        <f>IFERROR(R352+R355,0)</f>
        <v>5867.875</v>
      </c>
      <c r="S350" s="263">
        <f>IFERROR(S352+S355,0)</f>
        <v>6214.373</v>
      </c>
      <c r="T350" s="263">
        <f>IFERROR(T352+T355,0)</f>
        <v>6072.566</v>
      </c>
      <c r="U350" s="263">
        <f>IFERROR(U352+U355,0)</f>
        <v>4603.112</v>
      </c>
      <c r="V350" s="263">
        <f>IFERROR(V352+V355,0)</f>
        <v>5354.671</v>
      </c>
      <c r="W350" s="263">
        <f>IFERROR(W352+W355,0)</f>
        <v>5354.671</v>
      </c>
      <c r="X350" s="263">
        <f>IFERROR(X352+X355,0)</f>
        <v>6174.703</v>
      </c>
      <c r="Y350" s="263">
        <f>IFERROR(Y352+Y355,0)</f>
        <v>6693.749</v>
      </c>
      <c r="Z350" s="263">
        <f>IFERROR(Z352+Z355,0)</f>
        <v>6146.15</v>
      </c>
      <c r="AA350" s="263">
        <f>IFERROR(AA352+AA355,0)</f>
        <v>6593.67</v>
      </c>
      <c r="AB350" s="263">
        <f>IFERROR(AB352+AB355,0)</f>
        <v>6593.67</v>
      </c>
      <c r="AC350" s="263">
        <f>IFERROR(AC352+AC355,0)</f>
        <v>6382.863</v>
      </c>
      <c r="AD350" s="263">
        <f>IFERROR(AD352+AD355,0)</f>
        <v>6674.095</v>
      </c>
      <c r="AE350" s="263">
        <f>IFERROR(AE352+AE355,0)</f>
        <v>6484.576</v>
      </c>
      <c r="AF350" s="263">
        <f>IFERROR(AF352+AF355,0)</f>
        <v>6595.533</v>
      </c>
      <c r="AG350" s="263">
        <f>IFERROR(AG352+AG355,0)</f>
        <v>6595.533</v>
      </c>
      <c r="AH350" s="263">
        <f>IFERROR(AH352+AH355,0)</f>
        <v>6859.592</v>
      </c>
      <c r="AI350" s="263">
        <f>IFERROR(AI352+AI355,0)</f>
        <v>6802.612</v>
      </c>
      <c r="AJ350" s="263">
        <f>IFERROR(AJ352+AJ355,0)</f>
        <v>6479.1751379122</v>
      </c>
      <c r="AK350" s="263">
        <f>IFERROR(AK352+AK355,0)</f>
        <v>6643.32217710789</v>
      </c>
      <c r="AL350" s="263">
        <f>IFERROR(AL352+AL355,0)</f>
        <v>6643.32217710789</v>
      </c>
      <c r="AM350" s="263">
        <f>IFERROR(AM352+AM355,0)</f>
        <v>6484.9121151833</v>
      </c>
      <c r="AN350" s="263">
        <f>IFERROR(AN352+AN355,0)</f>
        <v>8260.7133535932</v>
      </c>
      <c r="AO350" s="263">
        <f>IFERROR(AO352+AO355,0)</f>
        <v>6590.84639581703</v>
      </c>
      <c r="AP350" s="263">
        <f>IFERROR(AP352+AP355,0)</f>
        <v>6755.60086407162</v>
      </c>
      <c r="AQ350" s="263">
        <f>IFERROR(AQ352+AQ355,0)</f>
        <v>6755.60086407162</v>
      </c>
      <c r="AR350" s="263">
        <f>IFERROR(AR352+AR355,0)</f>
        <v>6529.39935089148</v>
      </c>
      <c r="AS350" s="263">
        <f>IFERROR(AS352+AS355,0)</f>
        <v>8359.95065013819</v>
      </c>
      <c r="AT350" s="263">
        <f>IFERROR(AT352+AT355,0)</f>
        <v>6693.15024302493</v>
      </c>
      <c r="AU350" s="263">
        <f>IFERROR(AU352+AU355,0)</f>
        <v>6860.98328073744</v>
      </c>
      <c r="AV350" s="263">
        <f>IFERROR(AV352+AV355,0)</f>
        <v>6860.98328073744</v>
      </c>
      <c r="AW350" s="263">
        <f>IFERROR(AW352+AW355,0)</f>
        <v>6686.47724960457</v>
      </c>
      <c r="AX350" s="263">
        <f>IFERROR(AX352+AX355,0)</f>
        <v>8465.333066804</v>
      </c>
      <c r="AY350" s="263">
        <f>IFERROR(AY352+AY355,0)</f>
        <v>6798.53265969075</v>
      </c>
      <c r="AZ350" s="263">
        <f>IFERROR(AZ352+AZ355,0)</f>
        <v>6966.36569740325</v>
      </c>
      <c r="BA350" s="263">
        <f>IFERROR(BA352+BA355,0)</f>
        <v>6966.36569740325</v>
      </c>
      <c r="BB350" s="263">
        <f>IFERROR(BB352+BB355,0)</f>
        <v>6791.85966627039</v>
      </c>
      <c r="BC350" s="263">
        <f>IFERROR(BC352+BC355,0)</f>
        <v>8570.71548346982</v>
      </c>
      <c r="BD350" s="263">
        <f>IFERROR(BD352+BD355,0)</f>
        <v>6903.91507635656</v>
      </c>
      <c r="BE350" s="263">
        <f>IFERROR(BE352+BE355,0)</f>
        <v>7071.74811406907</v>
      </c>
      <c r="BF350" s="263">
        <f>IFERROR(BF352+BF355,0)</f>
        <v>7071.74811406907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5114.457</v>
      </c>
      <c r="J351" s="263">
        <f>IFERROR(J350-N(J179),0)</f>
        <v>5286.289</v>
      </c>
      <c r="K351" s="263">
        <f>IFERROR(K350-N(K179),0)</f>
        <v>4975.29</v>
      </c>
      <c r="L351" s="263">
        <f>IFERROR(L350-N(L179),0)</f>
        <v>5388.25</v>
      </c>
      <c r="M351" s="263">
        <f>IFERROR(M350-N(M179),0)</f>
        <v>5388.25</v>
      </c>
      <c r="N351" s="263">
        <f>IFERROR(N350-N(N179),0)</f>
        <v>5998.305</v>
      </c>
      <c r="O351" s="263">
        <f>IFERROR(O350-N(O179),0)</f>
        <v>6333.416</v>
      </c>
      <c r="P351" s="263">
        <f>IFERROR(P350-N(P179),0)</f>
        <v>5234.887</v>
      </c>
      <c r="Q351" s="263">
        <f>IFERROR(Q350-N(Q179),0)</f>
        <v>5867.875</v>
      </c>
      <c r="R351" s="263">
        <f>IFERROR(R350-N(R179),0)</f>
        <v>5867.875</v>
      </c>
      <c r="S351" s="263">
        <f>IFERROR(S350-N(S179),0)</f>
        <v>6214.373</v>
      </c>
      <c r="T351" s="263">
        <f>IFERROR(T350-N(T179),0)</f>
        <v>6072.566</v>
      </c>
      <c r="U351" s="263">
        <f>IFERROR(U350-N(U179),0)</f>
        <v>4603.112</v>
      </c>
      <c r="V351" s="263">
        <f>IFERROR(V350-N(V179),0)</f>
        <v>5354.671</v>
      </c>
      <c r="W351" s="263">
        <f>IFERROR(W350-N(W179),0)</f>
        <v>5354.671</v>
      </c>
      <c r="X351" s="263">
        <f>IFERROR(X350-N(X179),0)</f>
        <v>6174.703</v>
      </c>
      <c r="Y351" s="263">
        <f>IFERROR(Y350-N(Y179),0)</f>
        <v>6693.749</v>
      </c>
      <c r="Z351" s="263">
        <f>IFERROR(Z350-N(Z179),0)</f>
        <v>6146.15</v>
      </c>
      <c r="AA351" s="263">
        <f>IFERROR(AA350-N(AA179),0)</f>
        <v>6593.67</v>
      </c>
      <c r="AB351" s="263">
        <f>IFERROR(AB350-N(AB179),0)</f>
        <v>6593.67</v>
      </c>
      <c r="AC351" s="263">
        <f>IFERROR(AC350-N(AC179),0)</f>
        <v>6382.863</v>
      </c>
      <c r="AD351" s="263">
        <f>IFERROR(AD350-N(AD179),0)</f>
        <v>6674.095</v>
      </c>
      <c r="AE351" s="263">
        <f>IFERROR(AE350-N(AE179),0)</f>
        <v>6484.576</v>
      </c>
      <c r="AF351" s="263">
        <f>IFERROR(AF350-N(AF179),0)</f>
        <v>6595.533</v>
      </c>
      <c r="AG351" s="263">
        <f>IFERROR(AG350-N(AG179),0)</f>
        <v>6595.533</v>
      </c>
      <c r="AH351" s="263">
        <f>IFERROR(AH350-N(AH179),0)</f>
        <v>6859.592</v>
      </c>
      <c r="AI351" s="263">
        <f>IFERROR(AI350-N(AI179),0)</f>
        <v>6802.612</v>
      </c>
      <c r="AJ351" s="263">
        <f>IFERROR(AJ350-N(AJ179),0)</f>
        <v>6479.1751379122</v>
      </c>
      <c r="AK351" s="263">
        <f>IFERROR(AK350-N(AK179),0)</f>
        <v>6643.32217710789</v>
      </c>
      <c r="AL351" s="263">
        <f>IFERROR(AL350-N(AL179),0)</f>
        <v>6643.32217710789</v>
      </c>
      <c r="AM351" s="263">
        <f>IFERROR(AM350-N(AM179),0)</f>
        <v>6484.9121151833</v>
      </c>
      <c r="AN351" s="263">
        <f>IFERROR(AN350-N(AN179),0)</f>
        <v>8260.7133535932</v>
      </c>
      <c r="AO351" s="263">
        <f>IFERROR(AO350-N(AO179),0)</f>
        <v>6590.84639581703</v>
      </c>
      <c r="AP351" s="263">
        <f>IFERROR(AP350-N(AP179),0)</f>
        <v>6755.60086407162</v>
      </c>
      <c r="AQ351" s="263">
        <f>IFERROR(AQ350-N(AQ179),0)</f>
        <v>6755.60086407162</v>
      </c>
      <c r="AR351" s="263">
        <f>IFERROR(AR350-N(AR179),0)</f>
        <v>6529.39935089148</v>
      </c>
      <c r="AS351" s="263">
        <f>IFERROR(AS350-N(AS179),0)</f>
        <v>8359.95065013819</v>
      </c>
      <c r="AT351" s="263">
        <f>IFERROR(AT350-N(AT179),0)</f>
        <v>6693.15024302493</v>
      </c>
      <c r="AU351" s="263">
        <f>IFERROR(AU350-N(AU179),0)</f>
        <v>6860.98328073744</v>
      </c>
      <c r="AV351" s="263">
        <f>IFERROR(AV350-N(AV179),0)</f>
        <v>6860.98328073744</v>
      </c>
      <c r="AW351" s="263">
        <f>IFERROR(AW350-N(AW179),0)</f>
        <v>6686.47724960457</v>
      </c>
      <c r="AX351" s="263">
        <f>IFERROR(AX350-N(AX179),0)</f>
        <v>8465.333066804</v>
      </c>
      <c r="AY351" s="263">
        <f>IFERROR(AY350-N(AY179),0)</f>
        <v>6798.53265969075</v>
      </c>
      <c r="AZ351" s="263">
        <f>IFERROR(AZ350-N(AZ179),0)</f>
        <v>6966.36569740325</v>
      </c>
      <c r="BA351" s="263">
        <f>IFERROR(BA350-N(BA179),0)</f>
        <v>6966.36569740325</v>
      </c>
      <c r="BB351" s="263">
        <f>IFERROR(BB350-N(BB179),0)</f>
        <v>6791.85966627039</v>
      </c>
      <c r="BC351" s="263">
        <f>IFERROR(BC350-N(BC179),0)</f>
        <v>8570.71548346982</v>
      </c>
      <c r="BD351" s="263">
        <f>IFERROR(BD350-N(BD179),0)</f>
        <v>6903.91507635656</v>
      </c>
      <c r="BE351" s="263">
        <f>IFERROR(BE350-N(BE179),0)</f>
        <v>7071.74811406907</v>
      </c>
      <c r="BF351" s="263">
        <f>IFERROR(BF350-N(BF179),0)</f>
        <v>7071.74811406907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1337.98</v>
      </c>
      <c r="J352" s="263">
        <f>IFERROR(J353-J354,0)</f>
        <v>1406.145</v>
      </c>
      <c r="K352" s="263">
        <f>IFERROR(K353-K354,0)</f>
        <v>1298.229</v>
      </c>
      <c r="L352" s="263">
        <f>IFERROR(L353-L354,0)</f>
        <v>1619.573</v>
      </c>
      <c r="M352" s="263">
        <f>IFERROR(M353-M354,0)</f>
        <v>1619.573</v>
      </c>
      <c r="N352" s="263">
        <f>IFERROR(N353-N354,0)</f>
        <v>2214.281</v>
      </c>
      <c r="O352" s="263">
        <f>IFERROR(O353-O354,0)</f>
        <v>2213.275</v>
      </c>
      <c r="P352" s="263">
        <f>IFERROR(P353-P354,0)</f>
        <v>1922.526</v>
      </c>
      <c r="Q352" s="263">
        <f>IFERROR(Q353-Q354,0)</f>
        <v>2629.985</v>
      </c>
      <c r="R352" s="263">
        <f>IFERROR(R353-R354,0)</f>
        <v>2629.985</v>
      </c>
      <c r="S352" s="263">
        <f>IFERROR(S353-S354,0)</f>
        <v>2834.883</v>
      </c>
      <c r="T352" s="263">
        <f>IFERROR(T353-T354,0)</f>
        <v>1905.4</v>
      </c>
      <c r="U352" s="263">
        <f>IFERROR(U353-U354,0)</f>
        <v>1472.008</v>
      </c>
      <c r="V352" s="263">
        <f>IFERROR(V353-V354,0)</f>
        <v>2278.815</v>
      </c>
      <c r="W352" s="263">
        <f>IFERROR(W353-W354,0)</f>
        <v>2278.815</v>
      </c>
      <c r="X352" s="263">
        <f>IFERROR(X353-X354,0)</f>
        <v>2939.872</v>
      </c>
      <c r="Y352" s="263">
        <f>IFERROR(Y353-Y354,0)</f>
        <v>3098.125</v>
      </c>
      <c r="Z352" s="263">
        <f>IFERROR(Z353-Z354,0)</f>
        <v>2850.37</v>
      </c>
      <c r="AA352" s="263">
        <f>IFERROR(AA353-AA354,0)</f>
        <v>3175.726</v>
      </c>
      <c r="AB352" s="263">
        <f>IFERROR(AB353-AB354,0)</f>
        <v>3175.726</v>
      </c>
      <c r="AC352" s="263">
        <f>IFERROR(AC353-AC354,0)</f>
        <v>2668.501</v>
      </c>
      <c r="AD352" s="263">
        <f>IFERROR(AD353-AD354,0)</f>
        <v>2432.991</v>
      </c>
      <c r="AE352" s="263">
        <f>IFERROR(AE353-AE354,0)</f>
        <v>2566.486</v>
      </c>
      <c r="AF352" s="263">
        <f>IFERROR(AF353-AF354,0)</f>
        <v>2647.013</v>
      </c>
      <c r="AG352" s="263">
        <f>IFERROR(AG353-AG354,0)</f>
        <v>2647.013</v>
      </c>
      <c r="AH352" s="263">
        <f>IFERROR(AH353-AH354,0)</f>
        <v>3075.101</v>
      </c>
      <c r="AI352" s="263">
        <f>IFERROR(AI353-AI354,0)</f>
        <v>2824.021</v>
      </c>
      <c r="AJ352" s="263">
        <f>IFERROR(AJ353-AJ354,0)</f>
        <v>2476.38334104205</v>
      </c>
      <c r="AK352" s="263">
        <f>IFERROR(AK353-AK354,0)</f>
        <v>2615.6034371904</v>
      </c>
      <c r="AL352" s="263">
        <f>IFERROR(AL353-AL354,0)</f>
        <v>2615.6034371904</v>
      </c>
      <c r="AM352" s="263">
        <f>IFERROR(AM353-AM354,0)</f>
        <v>2433.70149470052</v>
      </c>
      <c r="AN352" s="263">
        <f>IFERROR(AN353-AN354,0)</f>
        <v>4176.93248428752</v>
      </c>
      <c r="AO352" s="263">
        <f>IFERROR(AO353-AO354,0)</f>
        <v>2482.76987896094</v>
      </c>
      <c r="AP352" s="263">
        <f>IFERROR(AP353-AP354,0)</f>
        <v>2622.49970748832</v>
      </c>
      <c r="AQ352" s="263">
        <f>IFERROR(AQ353-AQ354,0)</f>
        <v>2622.49970748832</v>
      </c>
      <c r="AR352" s="263">
        <f>IFERROR(AR353-AR354,0)</f>
        <v>2372.80631374289</v>
      </c>
      <c r="AS352" s="263">
        <f>IFERROR(AS353-AS354,0)</f>
        <v>4170.78736416668</v>
      </c>
      <c r="AT352" s="263">
        <f>IFERROR(AT353-AT354,0)</f>
        <v>2479.69130950302</v>
      </c>
      <c r="AU352" s="263">
        <f>IFERROR(AU353-AU354,0)</f>
        <v>2622.49970748832</v>
      </c>
      <c r="AV352" s="263">
        <f>IFERROR(AV353-AV354,0)</f>
        <v>2622.49970748832</v>
      </c>
      <c r="AW352" s="263">
        <f>IFERROR(AW353-AW354,0)</f>
        <v>2424.50179579016</v>
      </c>
      <c r="AX352" s="263">
        <f>IFERROR(AX353-AX354,0)</f>
        <v>4170.78736416668</v>
      </c>
      <c r="AY352" s="263">
        <f>IFERROR(AY353-AY354,0)</f>
        <v>2479.69130950302</v>
      </c>
      <c r="AZ352" s="263">
        <f>IFERROR(AZ353-AZ354,0)</f>
        <v>2622.49970748832</v>
      </c>
      <c r="BA352" s="263">
        <f>IFERROR(BA353-BA354,0)</f>
        <v>2622.49970748832</v>
      </c>
      <c r="BB352" s="263">
        <f>IFERROR(BB353-BB354,0)</f>
        <v>2424.50179579016</v>
      </c>
      <c r="BC352" s="263">
        <f>IFERROR(BC353-BC354,0)</f>
        <v>4170.78736416668</v>
      </c>
      <c r="BD352" s="263">
        <f>IFERROR(BD353-BD354,0)</f>
        <v>2479.69130950302</v>
      </c>
      <c r="BE352" s="263">
        <f>IFERROR(BE353-BE354,0)</f>
        <v>2622.49970748832</v>
      </c>
      <c r="BF352" s="263">
        <f>IFERROR(BF353-BF354,0)</f>
        <v>2622.49970748832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8733.221</v>
      </c>
      <c r="J353" s="263">
        <f>IFERROR((N(J145)+N(J149)+N(J153)+N(J154)+N(J155)),0)</f>
        <v>8602.145</v>
      </c>
      <c r="K353" s="263">
        <f>IFERROR((N(K145)+N(K149)+N(K153)+N(K154)+N(K155)),0)</f>
        <v>7585.792</v>
      </c>
      <c r="L353" s="263">
        <f>IFERROR((N(L145)+N(L149)+N(L153)+N(L154)+N(L155)),0)</f>
        <v>9687.116</v>
      </c>
      <c r="M353" s="263">
        <f>IFERROR((N(M145)+N(M149)+N(M153)+N(M154)+N(M155)),0)</f>
        <v>9687.116</v>
      </c>
      <c r="N353" s="263">
        <f>IFERROR((N(N145)+N(N149)+N(N153)+N(N154)+N(N155)),0)</f>
        <v>11015.126</v>
      </c>
      <c r="O353" s="263">
        <f>IFERROR((N(O145)+N(O149)+N(O153)+N(O154)+N(O155)),0)</f>
        <v>10606.292</v>
      </c>
      <c r="P353" s="263">
        <f>IFERROR((N(P145)+N(P149)+N(P153)+N(P154)+N(P155)),0)</f>
        <v>8583.89</v>
      </c>
      <c r="Q353" s="263">
        <f>IFERROR((N(Q145)+N(Q149)+N(Q153)+N(Q154)+N(Q155)),0)</f>
        <v>10828.339</v>
      </c>
      <c r="R353" s="263">
        <f>IFERROR((N(R145)+N(R149)+N(R153)+N(R154)+N(R155)),0)</f>
        <v>10828.339</v>
      </c>
      <c r="S353" s="263">
        <f>IFERROR((N(S145)+N(S149)+N(S153)+N(S154)+N(S155)),0)</f>
        <v>10159.707</v>
      </c>
      <c r="T353" s="263">
        <f>IFERROR((N(T145)+N(T149)+N(T153)+N(T154)+N(T155)),0)</f>
        <v>8388.968</v>
      </c>
      <c r="U353" s="263">
        <f>IFERROR((N(U145)+N(U149)+N(U153)+N(U154)+N(U155)),0)</f>
        <v>7363.363</v>
      </c>
      <c r="V353" s="263">
        <f>IFERROR((N(V145)+N(V149)+N(V153)+N(V154)+N(V155)),0)</f>
        <v>9237.438</v>
      </c>
      <c r="W353" s="263">
        <f>IFERROR((N(W145)+N(W149)+N(W153)+N(W154)+N(W155)),0)</f>
        <v>9237.438</v>
      </c>
      <c r="X353" s="263">
        <f>IFERROR((N(X145)+N(X149)+N(X153)+N(X154)+N(X155)),0)</f>
        <v>8689.816</v>
      </c>
      <c r="Y353" s="263">
        <f>IFERROR((N(Y145)+N(Y149)+N(Y153)+N(Y154)+N(Y155)),0)</f>
        <v>8150.136</v>
      </c>
      <c r="Z353" s="263">
        <f>IFERROR((N(Z145)+N(Z149)+N(Z153)+N(Z154)+N(Z155)),0)</f>
        <v>7913.918</v>
      </c>
      <c r="AA353" s="263">
        <f>IFERROR((N(AA145)+N(AA149)+N(AA153)+N(AA154)+N(AA155)),0)</f>
        <v>8907.733</v>
      </c>
      <c r="AB353" s="263">
        <f>IFERROR((N(AB145)+N(AB149)+N(AB153)+N(AB154)+N(AB155)),0)</f>
        <v>8907.733</v>
      </c>
      <c r="AC353" s="263">
        <f>IFERROR((N(AC145)+N(AC149)+N(AC153)+N(AC154)+N(AC155)),0)</f>
        <v>9263.444</v>
      </c>
      <c r="AD353" s="263">
        <f>IFERROR((N(AD145)+N(AD149)+N(AD153)+N(AD154)+N(AD155)),0)</f>
        <v>8603.285</v>
      </c>
      <c r="AE353" s="263">
        <f>IFERROR((N(AE145)+N(AE149)+N(AE153)+N(AE154)+N(AE155)),0)</f>
        <v>7758.525</v>
      </c>
      <c r="AF353" s="263">
        <f>IFERROR((N(AF145)+N(AF149)+N(AF153)+N(AF154)+N(AF155)),0)</f>
        <v>9525.626</v>
      </c>
      <c r="AG353" s="263">
        <f>IFERROR((N(AG145)+N(AG149)+N(AG153)+N(AG154)+N(AG155)),0)</f>
        <v>9525.626</v>
      </c>
      <c r="AH353" s="263">
        <f>IFERROR((N(AH145)+N(AH149)+N(AH153)+N(AH154)+N(AH155)),0)</f>
        <v>10007.48</v>
      </c>
      <c r="AI353" s="263">
        <f>IFERROR((N(AI145)+N(AI149)+N(AI153)+N(AI154)+N(AI155)),0)</f>
        <v>9445.679</v>
      </c>
      <c r="AJ353" s="263">
        <f>IFERROR((N(AJ145)+N(AJ149)+N(AJ153)+N(AJ154)+N(AJ155)),0)</f>
        <v>8803.94440899216</v>
      </c>
      <c r="AK353" s="263">
        <f>IFERROR((N(AK145)+N(AK149)+N(AK153)+N(AK154)+N(AK155)),0)</f>
        <v>9029.1828377079</v>
      </c>
      <c r="AL353" s="263">
        <f>IFERROR((N(AL145)+N(AL149)+N(AL153)+N(AL154)+N(AL155)),0)</f>
        <v>9029.1828377079</v>
      </c>
      <c r="AM353" s="263">
        <f>IFERROR((N(AM145)+N(AM149)+N(AM153)+N(AM154)+N(AM155)),0)</f>
        <v>8745.9790525088</v>
      </c>
      <c r="AN353" s="263">
        <f>IFERROR((N(AN145)+N(AN149)+N(AN153)+N(AN154)+N(AN155)),0)</f>
        <v>11511.0279701423</v>
      </c>
      <c r="AO353" s="263">
        <f>IFERROR((N(AO145)+N(AO149)+N(AO153)+N(AO154)+N(AO155)),0)</f>
        <v>8833.36550746206</v>
      </c>
      <c r="AP353" s="263">
        <f>IFERROR((N(AP145)+N(AP149)+N(AP153)+N(AP154)+N(AP155)),0)</f>
        <v>9059.4867177778</v>
      </c>
      <c r="AQ353" s="263">
        <f>IFERROR((N(AQ145)+N(AQ149)+N(AQ153)+N(AQ154)+N(AQ155)),0)</f>
        <v>9059.4867177778</v>
      </c>
      <c r="AR353" s="263">
        <f>IFERROR((N(AR145)+N(AR149)+N(AR153)+N(AR154)+N(AR155)),0)</f>
        <v>8664.12500797573</v>
      </c>
      <c r="AS353" s="263">
        <f>IFERROR((N(AS145)+N(AS149)+N(AS153)+N(AS154)+N(AS155)),0)</f>
        <v>11511.0279701423</v>
      </c>
      <c r="AT353" s="263">
        <f>IFERROR((N(AT145)+N(AT149)+N(AT153)+N(AT154)+N(AT155)),0)</f>
        <v>8833.36550746206</v>
      </c>
      <c r="AU353" s="263">
        <f>IFERROR((N(AU145)+N(AU149)+N(AU153)+N(AU154)+N(AU155)),0)</f>
        <v>9059.4867177778</v>
      </c>
      <c r="AV353" s="263">
        <f>IFERROR((N(AV145)+N(AV149)+N(AV153)+N(AV154)+N(AV155)),0)</f>
        <v>9059.4867177778</v>
      </c>
      <c r="AW353" s="263">
        <f>IFERROR((N(AW145)+N(AW149)+N(AW153)+N(AW154)+N(AW155)),0)</f>
        <v>8745.9790525088</v>
      </c>
      <c r="AX353" s="263">
        <f>IFERROR((N(AX145)+N(AX149)+N(AX153)+N(AX154)+N(AX155)),0)</f>
        <v>11511.0279701423</v>
      </c>
      <c r="AY353" s="263">
        <f>IFERROR((N(AY145)+N(AY149)+N(AY153)+N(AY154)+N(AY155)),0)</f>
        <v>8833.36550746206</v>
      </c>
      <c r="AZ353" s="263">
        <f>IFERROR((N(AZ145)+N(AZ149)+N(AZ153)+N(AZ154)+N(AZ155)),0)</f>
        <v>9059.4867177778</v>
      </c>
      <c r="BA353" s="263">
        <f>IFERROR((N(BA145)+N(BA149)+N(BA153)+N(BA154)+N(BA155)),0)</f>
        <v>9059.4867177778</v>
      </c>
      <c r="BB353" s="263">
        <f>IFERROR((N(BB145)+N(BB149)+N(BB153)+N(BB154)+N(BB155)),0)</f>
        <v>8745.9790525088</v>
      </c>
      <c r="BC353" s="263">
        <f>IFERROR((N(BC145)+N(BC149)+N(BC153)+N(BC154)+N(BC155)),0)</f>
        <v>11511.0279701423</v>
      </c>
      <c r="BD353" s="263">
        <f>IFERROR((N(BD145)+N(BD149)+N(BD153)+N(BD154)+N(BD155)),0)</f>
        <v>8833.36550746206</v>
      </c>
      <c r="BE353" s="263">
        <f>IFERROR((N(BE145)+N(BE149)+N(BE153)+N(BE154)+N(BE155)),0)</f>
        <v>9059.4867177778</v>
      </c>
      <c r="BF353" s="263">
        <f>IFERROR((N(BF145)+N(BF149)+N(BF153)+N(BF154)+N(BF155)),0)</f>
        <v>9059.4867177778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7395.241</v>
      </c>
      <c r="J354" s="263">
        <f>IFERROR((N(J198)+N(J202)+N(J204)+N(J205)),0)</f>
        <v>7196</v>
      </c>
      <c r="K354" s="263">
        <f>IFERROR((N(K198)+N(K202)+N(K204)+N(K205)),0)</f>
        <v>6287.563</v>
      </c>
      <c r="L354" s="263">
        <f>IFERROR((N(L198)+N(L202)+N(L204)+N(L205)),0)</f>
        <v>8067.543</v>
      </c>
      <c r="M354" s="263">
        <f>IFERROR((N(M198)+N(M202)+N(M204)+N(M205)),0)</f>
        <v>8067.543</v>
      </c>
      <c r="N354" s="263">
        <f>IFERROR((N(N198)+N(N202)+N(N204)+N(N205)),0)</f>
        <v>8800.845</v>
      </c>
      <c r="O354" s="263">
        <f>IFERROR((N(O198)+N(O202)+N(O204)+N(O205)),0)</f>
        <v>8393.017</v>
      </c>
      <c r="P354" s="263">
        <f>IFERROR((N(P198)+N(P202)+N(P204)+N(P205)),0)</f>
        <v>6661.364</v>
      </c>
      <c r="Q354" s="263">
        <f>IFERROR((N(Q198)+N(Q202)+N(Q204)+N(Q205)),0)</f>
        <v>8198.354</v>
      </c>
      <c r="R354" s="263">
        <f>IFERROR((N(R198)+N(R202)+N(R204)+N(R205)),0)</f>
        <v>8198.354</v>
      </c>
      <c r="S354" s="263">
        <f>IFERROR((N(S198)+N(S202)+N(S204)+N(S205)),0)</f>
        <v>7324.824</v>
      </c>
      <c r="T354" s="263">
        <f>IFERROR((N(T198)+N(T202)+N(T204)+N(T205)),0)</f>
        <v>6483.568</v>
      </c>
      <c r="U354" s="263">
        <f>IFERROR((N(U198)+N(U202)+N(U204)+N(U205)),0)</f>
        <v>5891.355</v>
      </c>
      <c r="V354" s="263">
        <f>IFERROR((N(V198)+N(V202)+N(V204)+N(V205)),0)</f>
        <v>6958.623</v>
      </c>
      <c r="W354" s="263">
        <f>IFERROR((N(W198)+N(W202)+N(W204)+N(W205)),0)</f>
        <v>6958.623</v>
      </c>
      <c r="X354" s="263">
        <f>IFERROR((N(X198)+N(X202)+N(X204)+N(X205)),0)</f>
        <v>5749.944</v>
      </c>
      <c r="Y354" s="263">
        <f>IFERROR((N(Y198)+N(Y202)+N(Y204)+N(Y205)),0)</f>
        <v>5052.011</v>
      </c>
      <c r="Z354" s="263">
        <f>IFERROR((N(Z198)+N(Z202)+N(Z204)+N(Z205)),0)</f>
        <v>5063.548</v>
      </c>
      <c r="AA354" s="263">
        <f>IFERROR((N(AA198)+N(AA202)+N(AA204)+N(AA205)),0)</f>
        <v>5732.007</v>
      </c>
      <c r="AB354" s="263">
        <f>IFERROR((N(AB198)+N(AB202)+N(AB204)+N(AB205)),0)</f>
        <v>5732.007</v>
      </c>
      <c r="AC354" s="263">
        <f>IFERROR((N(AC198)+N(AC202)+N(AC204)+N(AC205)),0)</f>
        <v>6594.943</v>
      </c>
      <c r="AD354" s="263">
        <f>IFERROR((N(AD198)+N(AD202)+N(AD204)+N(AD205)),0)</f>
        <v>6170.294</v>
      </c>
      <c r="AE354" s="263">
        <f>IFERROR((N(AE198)+N(AE202)+N(AE204)+N(AE205)),0)</f>
        <v>5192.039</v>
      </c>
      <c r="AF354" s="263">
        <f>IFERROR((N(AF198)+N(AF202)+N(AF204)+N(AF205)),0)</f>
        <v>6878.613</v>
      </c>
      <c r="AG354" s="263">
        <f>IFERROR((N(AG198)+N(AG202)+N(AG204)+N(AG205)),0)</f>
        <v>6878.613</v>
      </c>
      <c r="AH354" s="263">
        <f>IFERROR((N(AH198)+N(AH202)+N(AH204)+N(AH205)),0)</f>
        <v>6932.379</v>
      </c>
      <c r="AI354" s="263">
        <f>IFERROR((N(AI198)+N(AI202)+N(AI204)+N(AI205)),0)</f>
        <v>6621.658</v>
      </c>
      <c r="AJ354" s="263">
        <f>IFERROR((N(AJ198)+N(AJ202)+N(AJ204)+N(AJ205)),0)</f>
        <v>6327.56106795011</v>
      </c>
      <c r="AK354" s="263">
        <f>IFERROR((N(AK198)+N(AK202)+N(AK204)+N(AK205)),0)</f>
        <v>6413.5794005175</v>
      </c>
      <c r="AL354" s="263">
        <f>IFERROR((N(AL198)+N(AL202)+N(AL204)+N(AL205)),0)</f>
        <v>6413.5794005175</v>
      </c>
      <c r="AM354" s="263">
        <f>IFERROR((N(AM198)+N(AM202)+N(AM204)+N(AM205)),0)</f>
        <v>6312.27755780828</v>
      </c>
      <c r="AN354" s="263">
        <f>IFERROR((N(AN198)+N(AN202)+N(AN204)+N(AN205)),0)</f>
        <v>7334.09548585474</v>
      </c>
      <c r="AO354" s="263">
        <f>IFERROR((N(AO198)+N(AO202)+N(AO204)+N(AO205)),0)</f>
        <v>6350.59562850113</v>
      </c>
      <c r="AP354" s="263">
        <f>IFERROR((N(AP198)+N(AP202)+N(AP204)+N(AP205)),0)</f>
        <v>6436.98701028949</v>
      </c>
      <c r="AQ354" s="263">
        <f>IFERROR((N(AQ198)+N(AQ202)+N(AQ204)+N(AQ205)),0)</f>
        <v>6436.98701028949</v>
      </c>
      <c r="AR354" s="263">
        <f>IFERROR((N(AR198)+N(AR202)+N(AR204)+N(AR205)),0)</f>
        <v>6291.31869423285</v>
      </c>
      <c r="AS354" s="263">
        <f>IFERROR((N(AS198)+N(AS202)+N(AS204)+N(AS205)),0)</f>
        <v>7340.24060597558</v>
      </c>
      <c r="AT354" s="263">
        <f>IFERROR((N(AT198)+N(AT202)+N(AT204)+N(AT205)),0)</f>
        <v>6353.67419795904</v>
      </c>
      <c r="AU354" s="263">
        <f>IFERROR((N(AU198)+N(AU202)+N(AU204)+N(AU205)),0)</f>
        <v>6436.98701028949</v>
      </c>
      <c r="AV354" s="263">
        <f>IFERROR((N(AV198)+N(AV202)+N(AV204)+N(AV205)),0)</f>
        <v>6436.98701028949</v>
      </c>
      <c r="AW354" s="263">
        <f>IFERROR((N(AW198)+N(AW202)+N(AW204)+N(AW205)),0)</f>
        <v>6321.47725671864</v>
      </c>
      <c r="AX354" s="263">
        <f>IFERROR((N(AX198)+N(AX202)+N(AX204)+N(AX205)),0)</f>
        <v>7340.24060597558</v>
      </c>
      <c r="AY354" s="263">
        <f>IFERROR((N(AY198)+N(AY202)+N(AY204)+N(AY205)),0)</f>
        <v>6353.67419795904</v>
      </c>
      <c r="AZ354" s="263">
        <f>IFERROR((N(AZ198)+N(AZ202)+N(AZ204)+N(AZ205)),0)</f>
        <v>6436.98701028949</v>
      </c>
      <c r="BA354" s="263">
        <f>IFERROR((N(BA198)+N(BA202)+N(BA204)+N(BA205)),0)</f>
        <v>6436.98701028949</v>
      </c>
      <c r="BB354" s="263">
        <f>IFERROR((N(BB198)+N(BB202)+N(BB204)+N(BB205)),0)</f>
        <v>6321.47725671864</v>
      </c>
      <c r="BC354" s="263">
        <f>IFERROR((N(BC198)+N(BC202)+N(BC204)+N(BC205)),0)</f>
        <v>7340.24060597558</v>
      </c>
      <c r="BD354" s="263">
        <f>IFERROR((N(BD198)+N(BD202)+N(BD204)+N(BD205)),0)</f>
        <v>6353.67419795904</v>
      </c>
      <c r="BE354" s="263">
        <f>IFERROR((N(BE198)+N(BE202)+N(BE204)+N(BE205)),0)</f>
        <v>6436.98701028949</v>
      </c>
      <c r="BF354" s="263">
        <f>IFERROR((N(BF198)+N(BF202)+N(BF204)+N(BF205)),0)</f>
        <v>6436.98701028949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3776.477</v>
      </c>
      <c r="J355" s="263">
        <f>IFERROR((N(J166)+N(J176)+N(J179)+N(J180)+N(J189))-N(J240),0)</f>
        <v>3880.144</v>
      </c>
      <c r="K355" s="263">
        <f>IFERROR((N(K166)+N(K176)+N(K179)+N(K180)+N(K189))-N(K240),0)</f>
        <v>3677.061</v>
      </c>
      <c r="L355" s="263">
        <f>IFERROR((N(L166)+N(L176)+N(L179)+N(L180)+N(L189))-N(L240),0)</f>
        <v>3768.677</v>
      </c>
      <c r="M355" s="263">
        <f>IFERROR((N(M166)+N(M176)+N(M179)+N(M180)+N(M189))-N(M240),0)</f>
        <v>3768.677</v>
      </c>
      <c r="N355" s="263">
        <f>IFERROR((N(N166)+N(N176)+N(N179)+N(N180)+N(N189))-N(N240),0)</f>
        <v>3784.024</v>
      </c>
      <c r="O355" s="263">
        <f>IFERROR((N(O166)+N(O176)+N(O179)+N(O180)+N(O189))-N(O240),0)</f>
        <v>4120.141</v>
      </c>
      <c r="P355" s="263">
        <f>IFERROR((N(P166)+N(P176)+N(P179)+N(P180)+N(P189))-N(P240),0)</f>
        <v>3312.361</v>
      </c>
      <c r="Q355" s="263">
        <f>IFERROR((N(Q166)+N(Q176)+N(Q179)+N(Q180)+N(Q189))-N(Q240),0)</f>
        <v>3237.89</v>
      </c>
      <c r="R355" s="263">
        <f>IFERROR((N(R166)+N(R176)+N(R179)+N(R180)+N(R189))-N(R240),0)</f>
        <v>3237.89</v>
      </c>
      <c r="S355" s="263">
        <f>IFERROR((N(S166)+N(S176)+N(S179)+N(S180)+N(S189))-N(S240),0)</f>
        <v>3379.49</v>
      </c>
      <c r="T355" s="263">
        <f>IFERROR((N(T166)+N(T176)+N(T179)+N(T180)+N(T189))-N(T240),0)</f>
        <v>4167.166</v>
      </c>
      <c r="U355" s="263">
        <f>IFERROR((N(U166)+N(U176)+N(U179)+N(U180)+N(U189))-N(U240),0)</f>
        <v>3131.104</v>
      </c>
      <c r="V355" s="263">
        <f>IFERROR((N(V166)+N(V176)+N(V179)+N(V180)+N(V189))-N(V240),0)</f>
        <v>3075.856</v>
      </c>
      <c r="W355" s="263">
        <f>IFERROR((N(W166)+N(W176)+N(W179)+N(W180)+N(W189))-N(W240),0)</f>
        <v>3075.856</v>
      </c>
      <c r="X355" s="263">
        <f>IFERROR((N(X166)+N(X176)+N(X179)+N(X180)+N(X189))-N(X240),0)</f>
        <v>3234.831</v>
      </c>
      <c r="Y355" s="263">
        <f>IFERROR((N(Y166)+N(Y176)+N(Y179)+N(Y180)+N(Y189))-N(Y240),0)</f>
        <v>3595.624</v>
      </c>
      <c r="Z355" s="263">
        <f>IFERROR((N(Z166)+N(Z176)+N(Z179)+N(Z180)+N(Z189))-N(Z240),0)</f>
        <v>3295.78</v>
      </c>
      <c r="AA355" s="263">
        <f>IFERROR((N(AA166)+N(AA176)+N(AA179)+N(AA180)+N(AA189))-N(AA240),0)</f>
        <v>3417.944</v>
      </c>
      <c r="AB355" s="263">
        <f>IFERROR((N(AB166)+N(AB176)+N(AB179)+N(AB180)+N(AB189))-N(AB240),0)</f>
        <v>3417.944</v>
      </c>
      <c r="AC355" s="263">
        <f>IFERROR((N(AC166)+N(AC176)+N(AC179)+N(AC180)+N(AC189))-N(AC240),0)</f>
        <v>3714.362</v>
      </c>
      <c r="AD355" s="263">
        <f>IFERROR((N(AD166)+N(AD176)+N(AD179)+N(AD180)+N(AD189))-N(AD240),0)</f>
        <v>4241.104</v>
      </c>
      <c r="AE355" s="263">
        <f>IFERROR((N(AE166)+N(AE176)+N(AE179)+N(AE180)+N(AE189))-N(AE240),0)</f>
        <v>3918.09</v>
      </c>
      <c r="AF355" s="263">
        <f>IFERROR((N(AF166)+N(AF176)+N(AF179)+N(AF180)+N(AF189))-N(AF240),0)</f>
        <v>3948.52</v>
      </c>
      <c r="AG355" s="263">
        <f>IFERROR((N(AG166)+N(AG176)+N(AG179)+N(AG180)+N(AG189))-N(AG240),0)</f>
        <v>3948.52</v>
      </c>
      <c r="AH355" s="263">
        <f>IFERROR((N(AH166)+N(AH176)+N(AH179)+N(AH180)+N(AH189))-N(AH240),0)</f>
        <v>3784.491</v>
      </c>
      <c r="AI355" s="263">
        <f>IFERROR((N(AI166)+N(AI176)+N(AI179)+N(AI180)+N(AI189))-N(AI240),0)</f>
        <v>3978.591</v>
      </c>
      <c r="AJ355" s="263">
        <f>IFERROR((N(AJ166)+N(AJ176)+N(AJ179)+N(AJ180)+N(AJ189))-N(AJ240),0)</f>
        <v>4002.79179687016</v>
      </c>
      <c r="AK355" s="263">
        <f>IFERROR((N(AK166)+N(AK176)+N(AK179)+N(AK180)+N(AK189))-N(AK240),0)</f>
        <v>4027.71873991749</v>
      </c>
      <c r="AL355" s="263">
        <f>IFERROR((N(AL166)+N(AL176)+N(AL179)+N(AL180)+N(AL189))-N(AL240),0)</f>
        <v>4027.71873991749</v>
      </c>
      <c r="AM355" s="263">
        <f>IFERROR((N(AM166)+N(AM176)+N(AM179)+N(AM180)+N(AM189))-N(AM240),0)</f>
        <v>4051.21062048278</v>
      </c>
      <c r="AN355" s="263">
        <f>IFERROR((N(AN166)+N(AN176)+N(AN179)+N(AN180)+N(AN189))-N(AN240),0)</f>
        <v>4083.78086930569</v>
      </c>
      <c r="AO355" s="263">
        <f>IFERROR((N(AO166)+N(AO176)+N(AO179)+N(AO180)+N(AO189))-N(AO240),0)</f>
        <v>4108.0765168561</v>
      </c>
      <c r="AP355" s="263">
        <f>IFERROR((N(AP166)+N(AP176)+N(AP179)+N(AP180)+N(AP189))-N(AP240),0)</f>
        <v>4133.10115658331</v>
      </c>
      <c r="AQ355" s="263">
        <f>IFERROR((N(AQ166)+N(AQ176)+N(AQ179)+N(AQ180)+N(AQ189))-N(AQ240),0)</f>
        <v>4133.10115658331</v>
      </c>
      <c r="AR355" s="263">
        <f>IFERROR((N(AR166)+N(AR176)+N(AR179)+N(AR180)+N(AR189))-N(AR240),0)</f>
        <v>4156.5930371486</v>
      </c>
      <c r="AS355" s="263">
        <f>IFERROR((N(AS166)+N(AS176)+N(AS179)+N(AS180)+N(AS189))-N(AS240),0)</f>
        <v>4189.16328597151</v>
      </c>
      <c r="AT355" s="263">
        <f>IFERROR((N(AT166)+N(AT176)+N(AT179)+N(AT180)+N(AT189))-N(AT240),0)</f>
        <v>4213.45893352191</v>
      </c>
      <c r="AU355" s="263">
        <f>IFERROR((N(AU166)+N(AU176)+N(AU179)+N(AU180)+N(AU189))-N(AU240),0)</f>
        <v>4238.48357324912</v>
      </c>
      <c r="AV355" s="263">
        <f>IFERROR((N(AV166)+N(AV176)+N(AV179)+N(AV180)+N(AV189))-N(AV240),0)</f>
        <v>4238.48357324912</v>
      </c>
      <c r="AW355" s="263">
        <f>IFERROR((N(AW166)+N(AW176)+N(AW179)+N(AW180)+N(AW189))-N(AW240),0)</f>
        <v>4261.97545381441</v>
      </c>
      <c r="AX355" s="263">
        <f>IFERROR((N(AX166)+N(AX176)+N(AX179)+N(AX180)+N(AX189))-N(AX240),0)</f>
        <v>4294.54570263732</v>
      </c>
      <c r="AY355" s="263">
        <f>IFERROR((N(AY166)+N(AY176)+N(AY179)+N(AY180)+N(AY189))-N(AY240),0)</f>
        <v>4318.84135018773</v>
      </c>
      <c r="AZ355" s="263">
        <f>IFERROR((N(AZ166)+N(AZ176)+N(AZ179)+N(AZ180)+N(AZ189))-N(AZ240),0)</f>
        <v>4343.86598991494</v>
      </c>
      <c r="BA355" s="263">
        <f>IFERROR((N(BA166)+N(BA176)+N(BA179)+N(BA180)+N(BA189))-N(BA240),0)</f>
        <v>4343.86598991494</v>
      </c>
      <c r="BB355" s="263">
        <f>IFERROR((N(BB166)+N(BB176)+N(BB179)+N(BB180)+N(BB189))-N(BB240),0)</f>
        <v>4367.35787048023</v>
      </c>
      <c r="BC355" s="263">
        <f>IFERROR((N(BC166)+N(BC176)+N(BC179)+N(BC180)+N(BC189))-N(BC240),0)</f>
        <v>4399.92811930314</v>
      </c>
      <c r="BD355" s="263">
        <f>IFERROR((N(BD166)+N(BD176)+N(BD179)+N(BD180)+N(BD189))-N(BD240),0)</f>
        <v>4424.22376685354</v>
      </c>
      <c r="BE355" s="263">
        <f>IFERROR((N(BE166)+N(BE176)+N(BE179)+N(BE180)+N(BE189))-N(BE240),0)</f>
        <v>4449.24840658075</v>
      </c>
      <c r="BF355" s="263">
        <f>IFERROR((N(BF166)+N(BF176)+N(BF179)+N(BF180)+N(BF189))-N(BF240),0)</f>
        <v>4449.24840658075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0.023052682915707</v>
      </c>
      <c r="M364" s="258">
        <f>IFERROR(IF(AND(COUNT(I137,J137,K137,L137)=4,(I15+J15+K15+L15)&lt;&gt;0),(I137+J137+K137+L137)/(I15+J15+K15+L15),""),"")</f>
        <v>0.023052682915707</v>
      </c>
      <c r="N364" s="257">
        <f>IFERROR(IF(AND(COUNT(J137,K137,L137,N137)=4,(J15+K15+L15+N15)&lt;&gt;0),(J137+K137+L137+N137)/(J15+K15+L15+N15),""),"")</f>
        <v>0.0279989412928988</v>
      </c>
      <c r="O364" s="257">
        <f>IFERROR(IF(AND(COUNT(K137,L137,N137,O137)=4,(K15+L15+N15+O15)&lt;&gt;0),(K137+L137+N137+O137)/(K15+L15+N15+O15),""),"")</f>
        <v>0.0333781630824428</v>
      </c>
      <c r="P364" s="257">
        <f>IFERROR(IF(AND(COUNT(L137,N137,O137,P137)=4,(L15+N15+O15+P15)&lt;&gt;0),(L137+N137+O137+P137)/(L15+N15+O15+P15),""),"")</f>
        <v>0.0351266683191165</v>
      </c>
      <c r="Q364" s="257">
        <f>IFERROR(IF(AND(COUNT(N137,O137,P137,Q137)=4,(N15+O15+P15+Q15)&lt;&gt;0),(N137+O137+P137+Q137)/(N15+O15+P15+Q15),""),"")</f>
        <v>0.0404494875550227</v>
      </c>
      <c r="R364" s="258">
        <f>IFERROR(IF(AND(COUNT(N137,O137,P137,Q137)=4,(N15+O15+P15+Q15)&lt;&gt;0),(N137+O137+P137+Q137)/(N15+O15+P15+Q15),""),"")</f>
        <v>0.0404494875550227</v>
      </c>
      <c r="S364" s="257">
        <f>IFERROR(IF(AND(COUNT(O137,P137,Q137,S137)=4,(O15+P15+Q15+S15)&lt;&gt;0),(O137+P137+Q137+S137)/(O15+P15+Q15+S15),""),"")</f>
        <v>0.041119023731966</v>
      </c>
      <c r="T364" s="257">
        <f>IFERROR(IF(AND(COUNT(P137,Q137,S137,T137)=4,(P15+Q15+S15+T15)&lt;&gt;0),(P137+Q137+S137+T137)/(P15+Q15+S15+T15),""),"")</f>
        <v>0.0414548358390358</v>
      </c>
      <c r="U364" s="257">
        <f>IFERROR(IF(AND(COUNT(Q137,S137,T137,U137)=4,(Q15+S15+T15+U15)&lt;&gt;0),(Q137+S137+T137+U137)/(Q15+S15+T15+U15),""),"")</f>
        <v>0.0416854098104488</v>
      </c>
      <c r="V364" s="257">
        <f>IFERROR(IF(AND(COUNT(S137,T137,U137,V137)=4,(S15+T15+U15+V15)&lt;&gt;0),(S137+T137+U137+V137)/(S15+T15+U15+V15),""),"")</f>
        <v>0.0371088899304199</v>
      </c>
      <c r="W364" s="258">
        <f>IFERROR(IF(AND(COUNT(S137,T137,U137,V137)=4,(S15+T15+U15+V15)&lt;&gt;0),(S137+T137+U137+V137)/(S15+T15+U15+V15),""),"")</f>
        <v>0.0371088899304199</v>
      </c>
      <c r="X364" s="257">
        <f>IFERROR(IF(AND(COUNT(T137,U137,V137,X137)=4,(T15+U15+V15+X15)&lt;&gt;0),(T137+U137+V137+X137)/(T15+U15+V15+X15),""),"")</f>
        <v>0.0361646040029808</v>
      </c>
      <c r="Y364" s="257">
        <f>IFERROR(IF(AND(COUNT(U137,V137,X137,Y137)=4,(U15+V15+X15+Y15)&lt;&gt;0),(U137+V137+X137+Y137)/(U15+V15+X15+Y15),""),"")</f>
        <v>0.0320509271891247</v>
      </c>
      <c r="Z364" s="257">
        <f>IFERROR(IF(AND(COUNT(V137,X137,Y137,Z137)=4,(V15+X15+Y15+Z15)&lt;&gt;0),(V137+X137+Y137+Z137)/(V15+X15+Y15+Z15),""),"")</f>
        <v>0.0280765281188727</v>
      </c>
      <c r="AA364" s="257">
        <f>IFERROR(IF(AND(COUNT(X137,Y137,Z137,AA137)=4,(X15+Y15+Z15+AA15)&lt;&gt;0),(X137+Y137+Z137+AA137)/(X15+Y15+Z15+AA15),""),"")</f>
        <v>0.022176591685176</v>
      </c>
      <c r="AB364" s="258">
        <f>IFERROR(IF(AND(COUNT(X137,Y137,Z137,AA137)=4,(X15+Y15+Z15+AA15)&lt;&gt;0),(X137+Y137+Z137+AA137)/(X15+Y15+Z15+AA15),""),"")</f>
        <v>0.022176591685176</v>
      </c>
      <c r="AC364" s="257">
        <f>IFERROR(IF(AND(COUNT(Y137,Z137,AA137,AC137)=4,(Y15+Z15+AA15+AC15)&lt;&gt;0),(Y137+Z137+AA137+AC137)/(Y15+Z15+AA15+AC15),""),"")</f>
        <v>0.0161157040228756</v>
      </c>
      <c r="AD364" s="257">
        <f>IFERROR(IF(AND(COUNT(Z137,AA137,AC137,AD137)=4,(Z15+AA15+AC15+AD15)&lt;&gt;0),(Z137+AA137+AC137+AD137)/(Z15+AA15+AC15+AD15),""),"")</f>
        <v>0.0142387775003364</v>
      </c>
      <c r="AE364" s="257">
        <f>IFERROR(IF(AND(COUNT(AA137,AC137,AD137,AE137)=4,(AA15+AC15+AD15+AE15)&lt;&gt;0),(AA137+AC137+AD137+AE137)/(AA15+AC15+AD15+AE15),""),"")</f>
        <v>0.0168604914787993</v>
      </c>
      <c r="AF364" s="257">
        <f>IFERROR(IF(AND(COUNT(AB137,AD137,AE137,AF137)=4,(AB15+AD15+AE15+AF15)&lt;&gt;0),(AB137+AD137+AE137+AF137)/(AB15+AD15+AE15+AF15),""),"")</f>
        <v>0.0235019306815481</v>
      </c>
      <c r="AG364" s="258">
        <f>IFERROR(IF(AND(COUNT(AC137,AD137,AE137,AF137)=4,(AC15+AD15+AE15+AF15)&lt;&gt;0),(AC137+AD137+AE137+AF137)/(AC15+AD15+AE15+AF15),""),"")</f>
        <v>0.0175153999417685</v>
      </c>
      <c r="AH364" s="257">
        <f>IFERROR(IF(AND(COUNT(AD137,AF137,AG137,AH137)=4,(AD15+AF15+AG15+AH15)&lt;&gt;0),(AD137+AF137+AG137+AH137)/(AD15+AF15+AG15+AH15),""),"")</f>
        <v>0.0154671509302397</v>
      </c>
      <c r="AI364" s="257">
        <f>IFERROR(IF(AND(COUNT(AE137,AG137,AH137,AI137)=4,(AE15+AG15+AH15+AI15)&lt;&gt;0),(AE137+AG137+AH137+AI137)/(AE15+AG15+AH15+AI15),""),"")</f>
        <v>0.0146383060945761</v>
      </c>
      <c r="AJ364" s="257">
        <f>IFERROR(IF(AND(COUNT(AF137,AH137,AI137,AJ137)=4,(AF15+AH15+AI15+AJ15)&lt;&gt;0),(AF137+AH137+AI137+AJ137)/(AF15+AH15+AI15+AJ15),""),"")</f>
        <v>0.0138281259727519</v>
      </c>
      <c r="AK364" s="257">
        <f>IFERROR(IF(AND(COUNT(AH137,AI137,AJ137,AK137)=4,(AH15+AI15+AJ15+AK15)&lt;&gt;0),(AH137+AI137+AJ137+AK137)/(AH15+AI15+AJ15+AK15),""),"")</f>
        <v>0.0106277339455125</v>
      </c>
      <c r="AL364" s="258">
        <f>IFERROR(IF(AND(COUNT(AH137,AI137,AJ137,AK137)=4,(AH15+AI15+AJ15+AK15)&lt;&gt;0),(AH137+AI137+AJ137+AK137)/(AH15+AI15+AJ15+AK15),""),"")</f>
        <v>0.0106277339455125</v>
      </c>
      <c r="AM364" s="257">
        <f>IFERROR(IF(AND(COUNT(AI137,AJ137,AK137,AM137)=4,(AI15+AJ15+AK15+AM15)&lt;&gt;0),(AI137+AJ137+AK137+AM137)/(AI15+AJ15+AK15+AM15),""),"")</f>
        <v>0.0180827430103799</v>
      </c>
      <c r="AN364" s="257">
        <f>IFERROR(IF(AND(COUNT(AJ137,AK137,AM137,AN137)=4,(AJ15+AK15+AM15+AN15)&lt;&gt;0),(AJ137+AK137+AM137+AN137)/(AJ15+AK15+AM15+AN15),""),"")</f>
        <v>0.0158482171880662</v>
      </c>
      <c r="AO364" s="257">
        <f>IFERROR(IF(AND(COUNT(AK137,AM137,AN137,AO137)=4,(AK15+AM15+AN15+AO15)&lt;&gt;0),(AK137+AM137+AN137+AO137)/(AK15+AM15+AN15+AO15),""),"")</f>
        <v>0.0158482171880661</v>
      </c>
      <c r="AP364" s="257">
        <f>IFERROR(IF(AND(COUNT(AM137,AN137,AO137,AP137)=4,(AM15+AN15+AO15+AP15)&lt;&gt;0),(AM137+AN137+AO137+AP137)/(AM15+AN15+AO15+AP15),""),"")</f>
        <v>0.0158482171880662</v>
      </c>
      <c r="AQ364" s="258">
        <f>IFERROR(IF(AND(COUNT(AM137,AN137,AO137,AP137)=4,(AM15+AN15+AO15+AP15)&lt;&gt;0),(AM137+AN137+AO137+AP137)/(AM15+AN15+AO15+AP15),""),"")</f>
        <v>0.0158482171880662</v>
      </c>
      <c r="AR364" s="257">
        <f>IFERROR(IF(AND(COUNT(AN137,AO137,AP137,AR137)=4,(AN15+AO15+AP15+AR15)&lt;&gt;0),(AN137+AO137+AP137+AR137)/(AN15+AO15+AP15+AR15),""),"")</f>
        <v>0.0158482171880662</v>
      </c>
      <c r="AS364" s="257">
        <f>IFERROR(IF(AND(COUNT(AO137,AP137,AR137,AS137)=4,(AO15+AP15+AR15+AS15)&lt;&gt;0),(AO137+AP137+AR137+AS137)/(AO15+AP15+AR15+AS15),""),"")</f>
        <v>0.0158482171880662</v>
      </c>
      <c r="AT364" s="257">
        <f>IFERROR(IF(AND(COUNT(AP137,AR137,AS137,AT137)=4,(AP15+AR15+AS15+AT15)&lt;&gt;0),(AP137+AR137+AS137+AT137)/(AP15+AR15+AS15+AT15),""),"")</f>
        <v>0.0158482171880662</v>
      </c>
      <c r="AU364" s="257">
        <f>IFERROR(IF(AND(COUNT(AR137,AS137,AT137,AU137)=4,(AR15+AS15+AT15+AU15)&lt;&gt;0),(AR137+AS137+AT137+AU137)/(AR15+AS15+AT15+AU15),""),"")</f>
        <v>0.0158482171880662</v>
      </c>
      <c r="AV364" s="258">
        <f>IFERROR(IF(AND(COUNT(AR137,AS137,AT137,AU137)=4,(AR15+AS15+AT15+AU15)&lt;&gt;0),(AR137+AS137+AT137+AU137)/(AR15+AS15+AT15+AU15),""),"")</f>
        <v>0.0158482171880662</v>
      </c>
      <c r="AW364" s="257">
        <f>IFERROR(IF(AND(COUNT(AS137,AT137,AU137,AW137)=4,(AS15+AT15+AU15+AW15)&lt;&gt;0),(AS137+AT137+AU137+AW137)/(AS15+AT15+AU15+AW15),""),"")</f>
        <v>0.0158482171880662</v>
      </c>
      <c r="AX364" s="257">
        <f>IFERROR(IF(AND(COUNT(AT137,AU137,AW137,AX137)=4,(AT15+AU15+AW15+AX15)&lt;&gt;0),(AT137+AU137+AW137+AX137)/(AT15+AU15+AW15+AX15),""),"")</f>
        <v>0.0158482171880662</v>
      </c>
      <c r="AY364" s="257">
        <f>IFERROR(IF(AND(COUNT(AU137,AW137,AX137,AY137)=4,(AU15+AW15+AX15+AY15)&lt;&gt;0),(AU137+AW137+AX137+AY137)/(AU15+AW15+AX15+AY15),""),"")</f>
        <v>0.0158482171880662</v>
      </c>
      <c r="AZ364" s="257">
        <f>IFERROR(IF(AND(COUNT(AW137,AX137,AY137,AZ137)=4,(AW15+AX15+AY15+AZ15)&lt;&gt;0),(AW137+AX137+AY137+AZ137)/(AW15+AX15+AY15+AZ15),""),"")</f>
        <v>0.0158482171880662</v>
      </c>
      <c r="BA364" s="258">
        <f>IFERROR(IF(AND(COUNT(AW137,AX137,AY137,AZ137)=4,(AW15+AX15+AY15+AZ15)&lt;&gt;0),(AW137+AX137+AY137+AZ137)/(AW15+AX15+AY15+AZ15),""),"")</f>
        <v>0.0158482171880662</v>
      </c>
      <c r="BB364" s="257">
        <f>IFERROR(IF(AND(COUNT(AX137,AY137,AZ137,BB137)=4,(AX15+AY15+AZ15+BB15)&lt;&gt;0),(AX137+AY137+AZ137+BB137)/(AX15+AY15+AZ15+BB15),""),"")</f>
        <v>0.0158482171880662</v>
      </c>
      <c r="BC364" s="257">
        <f>IFERROR(IF(AND(COUNT(AY137,AZ137,BB137,BC137)=4,(AY15+AZ15+BB15+BC15)&lt;&gt;0),(AY137+AZ137+BB137+BC137)/(AY15+AZ15+BB15+BC15),""),"")</f>
        <v>0.0158482171880662</v>
      </c>
      <c r="BD364" s="257">
        <f>IFERROR(IF(AND(COUNT(AZ137,BB137,BC137,BD137)=4,(AZ15+BB15+BC15+BD15)&lt;&gt;0),(AZ137+BB137+BC137+BD137)/(AZ15+BB15+BC15+BD15),""),"")</f>
        <v>0.0158482171880662</v>
      </c>
      <c r="BE364" s="257">
        <f>IFERROR(IF(AND(COUNT(BB137,BC137,BD137,BE137)=4,(BB15+BC15+BD15+BE15)&lt;&gt;0),(BB137+BC137+BD137+BE137)/(BB15+BC15+BD15+BE15),""),"")</f>
        <v>0.0158482171880662</v>
      </c>
      <c r="BF364" s="258">
        <f>IFERROR(IF(AND(COUNT(BB137,BC137,BD137,BE137)=4,(BB15+BC15+BD15+BE15)&lt;&gt;0),(BB137+BC137+BD137+BE137)/(BB15+BC15+BD15+BE15),""),"")</f>
        <v>0.0158482171880662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2.07051708138546</v>
      </c>
      <c r="M365" s="262">
        <f>IFERROR(IF(AND(COUNT(I15,J15,K15,L15)=4,N(M197)&lt;&gt;0),(I15+J15+K15+L15)/M197,""),"")</f>
        <v>2.07051708138546</v>
      </c>
      <c r="N365" s="264">
        <f>IFERROR(IF(AND(COUNT(J15,K15,L15,N15)=4,N(N197)&lt;&gt;0),(J15+K15+L15+N15)/N197,""),"")</f>
        <v>2.05451186156696</v>
      </c>
      <c r="O365" s="264">
        <f>IFERROR(IF(AND(COUNT(K15,L15,N15,O15)=4,N(O197)&lt;&gt;0),(K15+L15+N15+O15)/O197,""),"")</f>
        <v>2.16491529811397</v>
      </c>
      <c r="P365" s="264">
        <f>IFERROR(IF(AND(COUNT(L15,N15,O15,P15)=4,N(P197)&lt;&gt;0),(L15+N15+O15+P15)/P197,""),"")</f>
        <v>2.5387599458523</v>
      </c>
      <c r="Q365" s="264">
        <f>IFERROR(IF(AND(COUNT(N15,O15,P15,Q15)=4,N(Q197)&lt;&gt;0),(N15+O15+P15+Q15)/Q197,""),"")</f>
        <v>2.35733524716437</v>
      </c>
      <c r="R365" s="262">
        <f>IFERROR(IF(AND(COUNT(N15,O15,P15,Q15)=4,N(R197)&lt;&gt;0),(N15+O15+P15+Q15)/R197,""),"")</f>
        <v>2.35733524716437</v>
      </c>
      <c r="S365" s="264">
        <f>IFERROR(IF(AND(COUNT(O15,P15,Q15,S15)=4,N(S197)&lt;&gt;0),(O15+P15+Q15+S15)/S197,""),"")</f>
        <v>2.51107891750013</v>
      </c>
      <c r="T365" s="264">
        <f>IFERROR(IF(AND(COUNT(P15,Q15,S15,T15)=4,N(T197)&lt;&gt;0),(P15+Q15+S15+T15)/T197,""),"")</f>
        <v>2.5809196105687</v>
      </c>
      <c r="U365" s="264">
        <f>IFERROR(IF(AND(COUNT(Q15,S15,T15,U15)=4,N(U197)&lt;&gt;0),(Q15+S15+T15+U15)/U197,""),"")</f>
        <v>2.40486357372085</v>
      </c>
      <c r="V365" s="264">
        <f>IFERROR(IF(AND(COUNT(S15,T15,U15,V15)=4,N(V197)&lt;&gt;0),(S15+T15+U15+V15)/V197,""),"")</f>
        <v>2.16390504816133</v>
      </c>
      <c r="W365" s="262">
        <f>IFERROR(IF(AND(COUNT(S15,T15,U15,V15)=4,N(W197)&lt;&gt;0),(S15+T15+U15+V15)/W197,""),"")</f>
        <v>2.16390504816133</v>
      </c>
      <c r="X365" s="264">
        <f>IFERROR(IF(AND(COUNT(T15,U15,V15,X15)=4,N(X197)&lt;&gt;0),(T15+U15+V15+X15)/X197,""),"")</f>
        <v>2.19133757128227</v>
      </c>
      <c r="Y365" s="264">
        <f>IFERROR(IF(AND(COUNT(U15,V15,X15,Y15)=4,N(Y197)&lt;&gt;0),(U15+V15+X15+Y15)/Y197,""),"")</f>
        <v>2.14425014959707</v>
      </c>
      <c r="Z365" s="264">
        <f>IFERROR(IF(AND(COUNT(V15,X15,Y15,Z15)=4,N(Z197)&lt;&gt;0),(V15+X15+Y15+Z15)/Z197,""),"")</f>
        <v>2.09783978958139</v>
      </c>
      <c r="AA365" s="264">
        <f>IFERROR(IF(AND(COUNT(X15,Y15,Z15,AA15)=4,N(AA197)&lt;&gt;0),(X15+Y15+Z15+AA15)/AA197,""),"")</f>
        <v>1.89847343350725</v>
      </c>
      <c r="AB365" s="262">
        <f>IFERROR(IF(AND(COUNT(X15,Y15,Z15,AA15)=4,N(AB197)&lt;&gt;0),(X15+Y15+Z15+AA15)/AB197,""),"")</f>
        <v>1.89847343350725</v>
      </c>
      <c r="AC365" s="264">
        <f>IFERROR(IF(AND(COUNT(Y15,Z15,AA15,AC15)=4,N(AC197)&lt;&gt;0),(Y15+Z15+AA15+AC15)/AC197,""),"")</f>
        <v>1.78480271089215</v>
      </c>
      <c r="AD365" s="264">
        <f>IFERROR(IF(AND(COUNT(Z15,AA15,AC15,AD15)=4,N(AD197)&lt;&gt;0),(Z15+AA15+AC15+AD15)/AD197,""),"")</f>
        <v>1.83021354233283</v>
      </c>
      <c r="AE365" s="264">
        <f>IFERROR(IF(AND(COUNT(AA15,AC15,AD15,AE15)=4,N(AE197)&lt;&gt;0),(AA15+AC15+AD15+AE15)/AE197,""),"")</f>
        <v>1.87992429328712</v>
      </c>
      <c r="AF365" s="264">
        <f>IFERROR(IF(AND(COUNT(AB15,AD15,AE15,AF15)=4,N(AF197)&lt;&gt;0),(AB15+AD15+AE15+AF15)/AF197,""),"")</f>
        <v>3.10462270965044</v>
      </c>
      <c r="AG365" s="262">
        <f>IFERROR(IF(AND(COUNT(AC15,AD15,AE15,AF15)=4,N(AG197)&lt;&gt;0),(AC15+AD15+AE15+AF15)/AG197,""),"")</f>
        <v>1.68883790880595</v>
      </c>
      <c r="AH365" s="264">
        <f>IFERROR(IF(AND(COUNT(AD15,AF15,AG15,AH15)=4,N(AH197)&lt;&gt;0),(AD15+AF15+AG15+AH15)/AH197,""),"")</f>
        <v>2.96610541896433</v>
      </c>
      <c r="AI365" s="264">
        <f>IFERROR(IF(AND(COUNT(AE15,AG15,AH15,AI15)=4,N(AI197)&lt;&gt;0),(AE15+AG15+AH15+AI15)/AI197,""),"")</f>
        <v>3.05971649343501</v>
      </c>
      <c r="AJ365" s="264">
        <f>IFERROR(IF(AND(COUNT(AF15,AH15,AI15,AJ15)=4,N(AJ197)&lt;&gt;0),(AF15+AH15+AI15+AJ15)/AJ197,""),"")</f>
        <v>1.81563291576225</v>
      </c>
      <c r="AK365" s="264">
        <f>IFERROR(IF(AND(COUNT(AH15,AI15,AJ15,AK15)=4,N(AK197)&lt;&gt;0),(AH15+AI15+AJ15+AK15)/AK197,""),"")</f>
        <v>1.79752559331141</v>
      </c>
      <c r="AL365" s="262">
        <f>IFERROR(IF(AND(COUNT(AH15,AI15,AJ15,AK15)=4,N(AL197)&lt;&gt;0),(AH15+AI15+AJ15+AK15)/AL197,""),"")</f>
        <v>1.79752559331141</v>
      </c>
      <c r="AM365" s="264">
        <f>IFERROR(IF(AND(COUNT(AI15,AJ15,AK15,AM15)=4,N(AM197)&lt;&gt;0),(AI15+AJ15+AK15+AM15)/AM197,""),"")</f>
        <v>1.79637238984926</v>
      </c>
      <c r="AN365" s="264">
        <f>IFERROR(IF(AND(COUNT(AJ15,AK15,AM15,AN15)=4,N(AN197)&lt;&gt;0),(AJ15+AK15+AM15+AN15)/AN197,""),"")</f>
        <v>1.70032730042423</v>
      </c>
      <c r="AO365" s="264">
        <f>IFERROR(IF(AND(COUNT(AK15,AM15,AN15,AO15)=4,N(AO197)&lt;&gt;0),(AK15+AM15+AN15+AO15)/AO197,""),"")</f>
        <v>1.76965165834417</v>
      </c>
      <c r="AP365" s="264">
        <f>IFERROR(IF(AND(COUNT(AM15,AN15,AO15,AP15)=4,N(AP197)&lt;&gt;0),(AM15+AN15+AO15+AP15)/AP197,""),"")</f>
        <v>1.75248333285172</v>
      </c>
      <c r="AQ365" s="262">
        <f>IFERROR(IF(AND(COUNT(AM15,AN15,AO15,AP15)=4,N(AQ197)&lt;&gt;0),(AM15+AN15+AO15+AP15)/AQ197,""),"")</f>
        <v>1.75248333285172</v>
      </c>
      <c r="AR365" s="264">
        <f>IFERROR(IF(AND(COUNT(AN15,AO15,AP15,AR15)=4,N(AR197)&lt;&gt;0),(AN15+AO15+AP15+AR15)/AR197,""),"")</f>
        <v>1.75352534457761</v>
      </c>
      <c r="AS365" s="264">
        <f>IFERROR(IF(AND(COUNT(AO15,AP15,AR15,AS15)=4,N(AS197)&lt;&gt;0),(AO15+AP15+AR15+AS15)/AS197,""),"")</f>
        <v>1.65821241747338</v>
      </c>
      <c r="AT365" s="264">
        <f>IFERROR(IF(AND(COUNT(AP15,AR15,AS15,AT15)=4,N(AT197)&lt;&gt;0),(AP15+AR15+AS15+AT15)/AT197,""),"")</f>
        <v>1.72268511639067</v>
      </c>
      <c r="AU365" s="264">
        <f>IFERROR(IF(AND(COUNT(AR15,AS15,AT15,AU15)=4,N(AU197)&lt;&gt;0),(AR15+AS15+AT15+AU15)/AU197,""),"")</f>
        <v>1.70512562313377</v>
      </c>
      <c r="AV365" s="262">
        <f>IFERROR(IF(AND(COUNT(AR15,AS15,AT15,AU15)=4,N(AV197)&lt;&gt;0),(AR15+AS15+AT15+AU15)/AV197,""),"")</f>
        <v>1.70512562313377</v>
      </c>
      <c r="AW365" s="264">
        <f>IFERROR(IF(AND(COUNT(AS15,AT15,AU15,AW15)=4,N(AW197)&lt;&gt;0),(AS15+AT15+AU15+AW15)/AW197,""),"")</f>
        <v>1.70378182975842</v>
      </c>
      <c r="AX365" s="264">
        <f>IFERROR(IF(AND(COUNT(AT15,AU15,AW15,AX15)=4,N(AX197)&lt;&gt;0),(AT15+AU15+AW15+AX15)/AX197,""),"")</f>
        <v>1.61575095020365</v>
      </c>
      <c r="AY365" s="264">
        <f>IFERROR(IF(AND(COUNT(AU15,AW15,AX15,AY15)=4,N(AY197)&lt;&gt;0),(AU15+AW15+AX15+AY15)/AY197,""),"")</f>
        <v>1.67690316497103</v>
      </c>
      <c r="AZ365" s="264">
        <f>IFERROR(IF(AND(COUNT(AW15,AX15,AY15,AZ15)=4,N(AZ197)&lt;&gt;0),(AW15+AX15+AY15+AZ15)/AZ197,""),"")</f>
        <v>1.66026008090915</v>
      </c>
      <c r="BA365" s="262">
        <f>IFERROR(IF(AND(COUNT(AW15,AX15,AY15,AZ15)=4,N(BA197)&lt;&gt;0),(AW15+AX15+AY15+AZ15)/BA197,""),"")</f>
        <v>1.66026008090915</v>
      </c>
      <c r="BB365" s="264">
        <f>IFERROR(IF(AND(COUNT(AX15,AY15,AZ15,BB15)=4,N(BB197)&lt;&gt;0),(AX15+AY15+AZ15+BB15)/BB197,""),"")</f>
        <v>1.65898604698557</v>
      </c>
      <c r="BC365" s="264">
        <f>IFERROR(IF(AND(COUNT(AY15,AZ15,BB15,BC15)=4,N(BC197)&lt;&gt;0),(AY15+AZ15+BB15+BC15)/BC197,""),"")</f>
        <v>1.57540979091169</v>
      </c>
      <c r="BD365" s="264">
        <f>IFERROR(IF(AND(COUNT(AZ15,BB15,BC15,BD15)=4,N(BD197)&lt;&gt;0),(AZ15+BB15+BC15+BD15)/BD197,""),"")</f>
        <v>1.63349161344623</v>
      </c>
      <c r="BE365" s="264">
        <f>IFERROR(IF(AND(COUNT(BB15,BC15,BD15,BE15)=4,N(BE197)&lt;&gt;0),(BB15+BC15+BD15+BE15)/BE197,""),"")</f>
        <v>1.61769502673151</v>
      </c>
      <c r="BF365" s="262">
        <f>IFERROR(IF(AND(COUNT(BB15,BC15,BD15,BE15)=4,N(BF197)&lt;&gt;0),(BB15+BC15+BD15+BE15)/BF197,""),"")</f>
        <v>1.61769502673151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5.21516915461596</v>
      </c>
      <c r="J366" s="264">
        <f>IFERROR(IF(N(J271)&lt;&gt;0,J197/J271,""),"")</f>
        <v>4.87217161620734</v>
      </c>
      <c r="K366" s="264">
        <f>IFERROR(IF(N(K271)&lt;&gt;0,K197/K271,""),"")</f>
        <v>4.66203308782182</v>
      </c>
      <c r="L366" s="264">
        <f>IFERROR(IF(N(L271)&lt;&gt;0,L197/L271,""),"")</f>
        <v>4.80389553138026</v>
      </c>
      <c r="M366" s="262">
        <f>IFERROR(IF(N(M271)&lt;&gt;0,M197/M271,""),"")</f>
        <v>4.80389553138026</v>
      </c>
      <c r="N366" s="264">
        <f>IFERROR(IF(N(N271)&lt;&gt;0,N197/N271,""),"")</f>
        <v>4.8868761238333</v>
      </c>
      <c r="O366" s="264">
        <f>IFERROR(IF(N(O271)&lt;&gt;0,O197/O271,""),"")</f>
        <v>4.36845726845948</v>
      </c>
      <c r="P366" s="264">
        <f>IFERROR(IF(N(P271)&lt;&gt;0,P197/P271,""),"")</f>
        <v>4.62522561258762</v>
      </c>
      <c r="Q366" s="264">
        <f>IFERROR(IF(N(Q271)&lt;&gt;0,Q197/Q271,""),"")</f>
        <v>4.63543435343287</v>
      </c>
      <c r="R366" s="262">
        <f>IFERROR(IF(N(R271)&lt;&gt;0,R197/R271,""),"")</f>
        <v>4.63543435343287</v>
      </c>
      <c r="S366" s="264">
        <f>IFERROR(IF(N(S271)&lt;&gt;0,S197/S271,""),"")</f>
        <v>4.27128111239998</v>
      </c>
      <c r="T366" s="264">
        <f>IFERROR(IF(N(T271)&lt;&gt;0,T197/T271,""),"")</f>
        <v>3.75065015408491</v>
      </c>
      <c r="U366" s="264">
        <f>IFERROR(IF(N(U271)&lt;&gt;0,U197/U271,""),"")</f>
        <v>4.17496223082581</v>
      </c>
      <c r="V366" s="264">
        <f>IFERROR(IF(N(V271)&lt;&gt;0,V197/V271,""),"")</f>
        <v>4.18804237790649</v>
      </c>
      <c r="W366" s="262">
        <f>IFERROR(IF(N(W271)&lt;&gt;0,W197/W271,""),"")</f>
        <v>4.18804237790649</v>
      </c>
      <c r="X366" s="264">
        <f>IFERROR(IF(N(X271)&lt;&gt;0,X197/X271,""),"")</f>
        <v>3.84874803187558</v>
      </c>
      <c r="Y366" s="264">
        <f>IFERROR(IF(N(Y271)&lt;&gt;0,Y197/Y271,""),"")</f>
        <v>3.56503564279484</v>
      </c>
      <c r="Z366" s="264">
        <f>IFERROR(IF(N(Z271)&lt;&gt;0,Z197/Z271,""),"")</f>
        <v>3.91565218937746</v>
      </c>
      <c r="AA366" s="264">
        <f>IFERROR(IF(N(AA271)&lt;&gt;0,AA197/AA271,""),"")</f>
        <v>4.00735880090931</v>
      </c>
      <c r="AB366" s="262">
        <f>IFERROR(IF(N(AB271)&lt;&gt;0,AB197/AB271,""),"")</f>
        <v>4.00735880090931</v>
      </c>
      <c r="AC366" s="264">
        <f>IFERROR(IF(N(AC271)&lt;&gt;0,AC197/AC271,""),"")</f>
        <v>4.18767309859534</v>
      </c>
      <c r="AD366" s="264">
        <f>IFERROR(IF(N(AD271)&lt;&gt;0,AD197/AD271,""),"")</f>
        <v>3.95171273091507</v>
      </c>
      <c r="AE366" s="264">
        <f>IFERROR(IF(N(AE271)&lt;&gt;0,AE197/AE271,""),"")</f>
        <v>3.79053299572456</v>
      </c>
      <c r="AF366" s="264">
        <f>IFERROR(IF(N(AF271)&lt;&gt;0,AF197/AF271,""),"")</f>
        <v>4.03560852855318</v>
      </c>
      <c r="AG366" s="262">
        <f>IFERROR(IF(N(AG271)&lt;&gt;0,AG197/AG271,""),"")</f>
        <v>4.03560852855318</v>
      </c>
      <c r="AH366" s="264">
        <f>IFERROR(IF(N(AH271)&lt;&gt;0,AH197/AH271,""),"")</f>
        <v>4.20239603616525</v>
      </c>
      <c r="AI366" s="264">
        <f>IFERROR(IF(N(AI271)&lt;&gt;0,AI197/AI271,""),"")</f>
        <v>4.0215391267523</v>
      </c>
      <c r="AJ366" s="264">
        <f>IFERROR(IF(N(AJ271)&lt;&gt;0,AJ197/AJ271,""),"")</f>
        <v>3.88807921313467</v>
      </c>
      <c r="AK366" s="264">
        <f>IFERROR(IF(N(AK271)&lt;&gt;0,AK197/AK271,""),"")</f>
        <v>3.82906844236937</v>
      </c>
      <c r="AL366" s="262">
        <f>IFERROR(IF(N(AL271)&lt;&gt;0,AL197/AL271,""),"")</f>
        <v>3.82906844236937</v>
      </c>
      <c r="AM366" s="264">
        <f>IFERROR(IF(N(AM271)&lt;&gt;0,AM197/AM271,""),"")</f>
        <v>3.74348941070821</v>
      </c>
      <c r="AN366" s="264">
        <f>IFERROR(IF(N(AN271)&lt;&gt;0,AN197/AN271,""),"")</f>
        <v>3.83309044096383</v>
      </c>
      <c r="AO366" s="264">
        <f>IFERROR(IF(N(AO271)&lt;&gt;0,AO197/AO271,""),"")</f>
        <v>3.60035990619875</v>
      </c>
      <c r="AP366" s="264">
        <f>IFERROR(IF(N(AP271)&lt;&gt;0,AP197/AP271,""),"")</f>
        <v>3.55371448786856</v>
      </c>
      <c r="AQ366" s="262">
        <f>IFERROR(IF(N(AQ271)&lt;&gt;0,AQ197/AQ271,""),"")</f>
        <v>3.55371448786856</v>
      </c>
      <c r="AR366" s="264">
        <f>IFERROR(IF(N(AR271)&lt;&gt;0,AR197/AR271,""),"")</f>
        <v>3.4751419034343</v>
      </c>
      <c r="AS366" s="264">
        <f>IFERROR(IF(N(AS271)&lt;&gt;0,AS197/AS271,""),"")</f>
        <v>3.56838101080904</v>
      </c>
      <c r="AT366" s="264">
        <f>IFERROR(IF(N(AT271)&lt;&gt;0,AT197/AT271,""),"")</f>
        <v>3.3621429156189</v>
      </c>
      <c r="AU366" s="264">
        <f>IFERROR(IF(N(AU271)&lt;&gt;0,AU197/AU271,""),"")</f>
        <v>3.3243056805878</v>
      </c>
      <c r="AV366" s="262">
        <f>IFERROR(IF(N(AV271)&lt;&gt;0,AV197/AV271,""),"")</f>
        <v>3.3243056805878</v>
      </c>
      <c r="AW366" s="264">
        <f>IFERROR(IF(N(AW271)&lt;&gt;0,AW197/AW271,""),"")</f>
        <v>3.26161159488917</v>
      </c>
      <c r="AX366" s="264">
        <f>IFERROR(IF(N(AX271)&lt;&gt;0,AX197/AX271,""),"")</f>
        <v>3.34817820443709</v>
      </c>
      <c r="AY366" s="264">
        <f>IFERROR(IF(N(AY271)&lt;&gt;0,AY197/AY271,""),"")</f>
        <v>3.16354762506888</v>
      </c>
      <c r="AZ366" s="264">
        <f>IFERROR(IF(N(AZ271)&lt;&gt;0,AZ197/AZ271,""),"")</f>
        <v>3.13271654227371</v>
      </c>
      <c r="BA366" s="262">
        <f>IFERROR(IF(N(BA271)&lt;&gt;0,BA197/BA271,""),"")</f>
        <v>3.13271654227371</v>
      </c>
      <c r="BB366" s="264">
        <f>IFERROR(IF(N(BB271)&lt;&gt;0,BB197/BB271,""),"")</f>
        <v>3.07855392304381</v>
      </c>
      <c r="BC366" s="264">
        <f>IFERROR(IF(N(BC271)&lt;&gt;0,BC197/BC271,""),"")</f>
        <v>3.16275238818847</v>
      </c>
      <c r="BD366" s="264">
        <f>IFERROR(IF(N(BD271)&lt;&gt;0,BD197/BD271,""),"")</f>
        <v>2.99575602177875</v>
      </c>
      <c r="BE366" s="264">
        <f>IFERROR(IF(N(BE271)&lt;&gt;0,BE197/BE271,""),"")</f>
        <v>2.9703070005343</v>
      </c>
      <c r="BF366" s="262">
        <f>IFERROR(IF(N(BF271)&lt;&gt;0,BF197/BF271,""),"")</f>
        <v>2.9703070005343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0.229294611499972</v>
      </c>
      <c r="M367" s="258">
        <f>IFERROR(IF(COUNT(M364,M365,M366)=3,M364*M365*M366,""),"")</f>
        <v>0.229294611499973</v>
      </c>
      <c r="N367" s="257">
        <f>IFERROR(IF(COUNT(N364,N365,N366)=3,N364*N365*N366,""),"")</f>
        <v>0.2811134293751</v>
      </c>
      <c r="O367" s="257">
        <f>IFERROR(IF(COUNT(O364,O365,O366)=3,O364*O365*O366,""),"")</f>
        <v>0.315668635832919</v>
      </c>
      <c r="P367" s="257">
        <f>IFERROR(IF(COUNT(P364,P365,P366)=3,P364*P365*P366,""),"")</f>
        <v>0.412469195558755</v>
      </c>
      <c r="Q367" s="257">
        <f>IFERROR(IF(COUNT(Q364,Q365,Q366)=3,Q364*Q365*Q366,""),"")</f>
        <v>0.442002584618768</v>
      </c>
      <c r="R367" s="258">
        <f>IFERROR(IF(COUNT(R364,R365,R366)=3,R364*R365*R366,""),"")</f>
        <v>0.442002584618768</v>
      </c>
      <c r="S367" s="257">
        <f>IFERROR(IF(COUNT(S364,S365,S366)=3,S364*S365*S366,""),"")</f>
        <v>0.441023073922694</v>
      </c>
      <c r="T367" s="257">
        <f>IFERROR(IF(COUNT(T364,T365,T366)=3,T364*T365*T366,""),"")</f>
        <v>0.401288056412017</v>
      </c>
      <c r="U367" s="257">
        <f>IFERROR(IF(COUNT(U364,U365,U366)=3,U364*U365*U366,""),"")</f>
        <v>0.418530459792897</v>
      </c>
      <c r="V367" s="257">
        <f>IFERROR(IF(COUNT(V364,V365,V366)=3,V364*V365*V366,""),"")</f>
        <v>0.336300281438523</v>
      </c>
      <c r="W367" s="258">
        <f>IFERROR(IF(COUNT(W364,W365,W366)=3,W364*W365*W366,""),"")</f>
        <v>0.336300281438523</v>
      </c>
      <c r="X367" s="257">
        <f>IFERROR(IF(COUNT(X364,X365,X366)=3,X364*X365*X366,""),"")</f>
        <v>0.305008876642781</v>
      </c>
      <c r="Y367" s="257">
        <f>IFERROR(IF(COUNT(Y364,Y365,Y366)=3,Y364*Y365*Y366,""),"")</f>
        <v>0.245007806880716</v>
      </c>
      <c r="Z367" s="257">
        <f>IFERROR(IF(COUNT(Z364,Z365,Z366)=3,Z364*Z365*Z366,""),"")</f>
        <v>0.230632140439853</v>
      </c>
      <c r="AA367" s="257">
        <f>IFERROR(IF(COUNT(AA364,AA365,AA366)=3,AA364*AA365*AA366,""),"")</f>
        <v>0.168716498448834</v>
      </c>
      <c r="AB367" s="258">
        <f>IFERROR(IF(COUNT(AB364,AB365,AB366)=3,AB364*AB365*AB366,""),"")</f>
        <v>0.168716498448834</v>
      </c>
      <c r="AC367" s="257">
        <f>IFERROR(IF(COUNT(AC364,AC365,AC366)=3,AC364*AC365*AC366,""),"")</f>
        <v>0.120451516350466</v>
      </c>
      <c r="AD367" s="257">
        <f>IFERROR(IF(COUNT(AD364,AD365,AD366)=3,AD364*AD365*AD366,""),"")</f>
        <v>0.102981647232632</v>
      </c>
      <c r="AE367" s="257">
        <f>IFERROR(IF(COUNT(AE364,AE365,AE366)=3,AE364*AE365*AE366,""),"")</f>
        <v>0.120146430201209</v>
      </c>
      <c r="AF367" s="257">
        <f>IFERROR(IF(COUNT(AF364,AF365,AF366)=3,AF364*AF365*AF366,""),"")</f>
        <v>0.294456673887604</v>
      </c>
      <c r="AG367" s="258">
        <f>IFERROR(IF(COUNT(AG364,AG365,AG366)=3,AG364*AG365*AG366,""),"")</f>
        <v>0.119376009820734</v>
      </c>
      <c r="AH367" s="257">
        <f>IFERROR(IF(COUNT(AH364,AH365,AH366)=3,AH364*AH365*AH366,""),"")</f>
        <v>0.192794164229333</v>
      </c>
      <c r="AI367" s="257">
        <f>IFERROR(IF(COUNT(AI364,AI365,AI366)=3,AI364*AI365*AI366,""),"")</f>
        <v>0.180120983756574</v>
      </c>
      <c r="AJ367" s="257">
        <f>IFERROR(IF(COUNT(AJ364,AJ365,AJ366)=3,AJ364*AJ365*AJ366,""),"")</f>
        <v>0.0976172298300275</v>
      </c>
      <c r="AK367" s="257">
        <f>IFERROR(IF(COUNT(AK364,AK365,AK366)=3,AK364*AK365*AK366,""),"")</f>
        <v>0.0731490828971469</v>
      </c>
      <c r="AL367" s="258">
        <f>IFERROR(IF(COUNT(AL364,AL365,AL366)=3,AL364*AL365*AL366,""),"")</f>
        <v>0.0731490828971469</v>
      </c>
      <c r="AM367" s="257">
        <f>IFERROR(IF(COUNT(AM364,AM365,AM366)=3,AM364*AM365*AM366,""),"")</f>
        <v>0.121601040349832</v>
      </c>
      <c r="AN367" s="257">
        <f>IFERROR(IF(COUNT(AN364,AN365,AN366)=3,AN364*AN365*AN366,""),"")</f>
        <v>0.103290887408375</v>
      </c>
      <c r="AO367" s="257">
        <f>IFERROR(IF(COUNT(AO364,AO365,AO366)=3,AO364*AO365*AO366,""),"")</f>
        <v>0.10097505964902</v>
      </c>
      <c r="AP367" s="257">
        <f>IFERROR(IF(COUNT(AP364,AP365,AP366)=3,AP364*AP365*AP366,""),"")</f>
        <v>0.0986999297023356</v>
      </c>
      <c r="AQ367" s="258">
        <f>IFERROR(IF(COUNT(AQ364,AQ365,AQ366)=3,AQ364*AQ365*AQ366,""),"")</f>
        <v>0.0986999297023356</v>
      </c>
      <c r="AR367" s="257">
        <f>IFERROR(IF(COUNT(AR364,AR365,AR366)=3,AR364*AR365*AR366,""),"")</f>
        <v>0.0965750640391017</v>
      </c>
      <c r="AS367" s="257">
        <f>IFERROR(IF(COUNT(AS364,AS365,AS366)=3,AS364*AS365*AS366,""),"")</f>
        <v>0.0937760200464575</v>
      </c>
      <c r="AT367" s="257">
        <f>IFERROR(IF(COUNT(AT364,AT365,AT366)=3,AT364*AT365*AT366,""),"")</f>
        <v>0.0917915040320387</v>
      </c>
      <c r="AU367" s="257">
        <f>IFERROR(IF(COUNT(AU364,AU365,AU366)=3,AU364*AU365*AU366,""),"")</f>
        <v>0.0898333812846204</v>
      </c>
      <c r="AV367" s="258">
        <f>IFERROR(IF(COUNT(AV364,AV365,AV366)=3,AV364*AV365*AV366,""),"")</f>
        <v>0.0898333812846204</v>
      </c>
      <c r="AW367" s="257">
        <f>IFERROR(IF(COUNT(AW364,AW365,AW366)=3,AW364*AW365*AW366,""),"")</f>
        <v>0.0880697247330969</v>
      </c>
      <c r="AX367" s="257">
        <f>IFERROR(IF(COUNT(AX364,AX365,AX366)=3,AX364*AX365*AX366,""),"")</f>
        <v>0.0857360358316087</v>
      </c>
      <c r="AY367" s="257">
        <f>IFERROR(IF(COUNT(AY364,AY365,AY366)=3,AY364*AY365*AY366,""),"")</f>
        <v>0.0840742061950915</v>
      </c>
      <c r="AZ367" s="257">
        <f>IFERROR(IF(COUNT(AZ364,AZ365,AZ366)=3,AZ364*AZ365*AZ366,""),"")</f>
        <v>0.0824285462597329</v>
      </c>
      <c r="BA367" s="258">
        <f>IFERROR(IF(COUNT(BA364,BA365,BA366)=3,BA364*BA365*BA366,""),"")</f>
        <v>0.0824285462597329</v>
      </c>
      <c r="BB367" s="257">
        <f>IFERROR(IF(COUNT(BB364,BB365,BB366)=3,BB364*BB365*BB366,""),"")</f>
        <v>0.0809412510349007</v>
      </c>
      <c r="BC367" s="257">
        <f>IFERROR(IF(COUNT(BC364,BC365,BC366)=3,BC364*BC365*BC366,""),"")</f>
        <v>0.0789658195013672</v>
      </c>
      <c r="BD367" s="257">
        <f>IFERROR(IF(COUNT(BD364,BD365,BD366)=3,BD364*BD365*BD366,""),"")</f>
        <v>0.0775539217838021</v>
      </c>
      <c r="BE367" s="257">
        <f>IFERROR(IF(COUNT(BE364,BE365,BE366)=3,BE364*BE365*BE366,""),"")</f>
        <v>0.0761514896706668</v>
      </c>
      <c r="BF367" s="258">
        <f>IFERROR(IF(COUNT(BF364,BF365,BF366)=3,BF364*BF365*BF366,""),"")</f>
        <v>0.0761514896706668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0.229294611499972</v>
      </c>
      <c r="M368" s="258">
        <f>IFERROR(IF(AND(COUNT(I137,J137,K137,L137)=4,N(M271)&lt;&gt;0),(I137+J137+K137+L137)/M271,""),"")</f>
        <v>0.229294611499973</v>
      </c>
      <c r="N368" s="257">
        <f>IFERROR(IF(AND(COUNT(J137,K137,L137,N137)=4,N(N271)&lt;&gt;0),(J137+K137+L137+N137)/N271,""),"")</f>
        <v>0.2811134293751</v>
      </c>
      <c r="O368" s="257">
        <f>IFERROR(IF(AND(COUNT(K137,L137,N137,O137)=4,N(O271)&lt;&gt;0),(K137+L137+N137+O137)/O271,""),"")</f>
        <v>0.315668635832919</v>
      </c>
      <c r="P368" s="257">
        <f>IFERROR(IF(AND(COUNT(L137,N137,O137,P137)=4,N(P271)&lt;&gt;0),(L137+N137+O137+P137)/P271,""),"")</f>
        <v>0.412469195558755</v>
      </c>
      <c r="Q368" s="257">
        <f>IFERROR(IF(AND(COUNT(N137,O137,P137,Q137)=4,N(Q271)&lt;&gt;0),(N137+O137+P137+Q137)/Q271,""),"")</f>
        <v>0.442002584618769</v>
      </c>
      <c r="R368" s="258">
        <f>IFERROR(IF(AND(COUNT(N137,O137,P137,Q137)=4,N(R271)&lt;&gt;0),(N137+O137+P137+Q137)/R271,""),"")</f>
        <v>0.442002584618769</v>
      </c>
      <c r="S368" s="257">
        <f>IFERROR(IF(AND(COUNT(O137,P137,Q137,S137)=4,N(S271)&lt;&gt;0),(O137+P137+Q137+S137)/S271,""),"")</f>
        <v>0.441023073922694</v>
      </c>
      <c r="T368" s="257">
        <f>IFERROR(IF(AND(COUNT(P137,Q137,S137,T137)=4,N(T271)&lt;&gt;0),(P137+Q137+S137+T137)/T271,""),"")</f>
        <v>0.401288056412017</v>
      </c>
      <c r="U368" s="257">
        <f>IFERROR(IF(AND(COUNT(Q137,S137,T137,U137)=4,N(U271)&lt;&gt;0),(Q137+S137+T137+U137)/U271,""),"")</f>
        <v>0.418530459792897</v>
      </c>
      <c r="V368" s="257">
        <f>IFERROR(IF(AND(COUNT(S137,T137,U137,V137)=4,N(V271)&lt;&gt;0),(S137+T137+U137+V137)/V271,""),"")</f>
        <v>0.336300281438523</v>
      </c>
      <c r="W368" s="258">
        <f>IFERROR(IF(AND(COUNT(S137,T137,U137,V137)=4,N(W271)&lt;&gt;0),(S137+T137+U137+V137)/W271,""),"")</f>
        <v>0.336300281438523</v>
      </c>
      <c r="X368" s="257">
        <f>IFERROR(IF(AND(COUNT(T137,U137,V137,X137)=4,N(X271)&lt;&gt;0),(T137+U137+V137+X137)/X271,""),"")</f>
        <v>0.305008876642781</v>
      </c>
      <c r="Y368" s="257">
        <f>IFERROR(IF(AND(COUNT(U137,V137,X137,Y137)=4,N(Y271)&lt;&gt;0),(U137+V137+X137+Y137)/Y271,""),"")</f>
        <v>0.245007806880716</v>
      </c>
      <c r="Z368" s="257">
        <f>IFERROR(IF(AND(COUNT(V137,X137,Y137,Z137)=4,N(Z271)&lt;&gt;0),(V137+X137+Y137+Z137)/Z271,""),"")</f>
        <v>0.230632140439853</v>
      </c>
      <c r="AA368" s="257">
        <f>IFERROR(IF(AND(COUNT(X137,Y137,Z137,AA137)=4,N(AA271)&lt;&gt;0),(X137+Y137+Z137+AA137)/AA271,""),"")</f>
        <v>0.168716498448834</v>
      </c>
      <c r="AB368" s="258">
        <f>IFERROR(IF(AND(COUNT(X137,Y137,Z137,AA137)=4,N(AB271)&lt;&gt;0),(X137+Y137+Z137+AA137)/AB271,""),"")</f>
        <v>0.168716498448834</v>
      </c>
      <c r="AC368" s="257">
        <f>IFERROR(IF(AND(COUNT(Y137,Z137,AA137,AC137)=4,N(AC271)&lt;&gt;0),(Y137+Z137+AA137+AC137)/AC271,""),"")</f>
        <v>0.120451516350466</v>
      </c>
      <c r="AD368" s="257">
        <f>IFERROR(IF(AND(COUNT(Z137,AA137,AC137,AD137)=4,N(AD271)&lt;&gt;0),(Z137+AA137+AC137+AD137)/AD271,""),"")</f>
        <v>0.102981647232632</v>
      </c>
      <c r="AE368" s="257">
        <f>IFERROR(IF(AND(COUNT(AA137,AC137,AD137,AE137)=4,N(AE271)&lt;&gt;0),(AA137+AC137+AD137+AE137)/AE271,""),"")</f>
        <v>0.120146430201209</v>
      </c>
      <c r="AF368" s="257">
        <f>IFERROR(IF(AND(COUNT(AB137,AD137,AE137,AF137)=4,N(AF271)&lt;&gt;0),(AB137+AD137+AE137+AF137)/AF271,""),"")</f>
        <v>0.294456673887604</v>
      </c>
      <c r="AG368" s="258">
        <f>IFERROR(IF(AND(COUNT(AC137,AD137,AE137,AF137)=4,N(AG271)&lt;&gt;0),(AC137+AD137+AE137+AF137)/AG271,""),"")</f>
        <v>0.119376009820734</v>
      </c>
      <c r="AH368" s="257">
        <f>IFERROR(IF(AND(COUNT(AD137,AF137,AG137,AH137)=4,N(AH271)&lt;&gt;0),(AD137+AF137+AG137+AH137)/AH271,""),"")</f>
        <v>0.192794164229333</v>
      </c>
      <c r="AI368" s="257">
        <f>IFERROR(IF(AND(COUNT(AE137,AG137,AH137,AI137)=4,N(AI271)&lt;&gt;0),(AE137+AG137+AH137+AI137)/AI271,""),"")</f>
        <v>0.180120983756574</v>
      </c>
      <c r="AJ368" s="257">
        <f>IFERROR(IF(AND(COUNT(AF137,AH137,AI137,AJ137)=4,N(AJ271)&lt;&gt;0),(AF137+AH137+AI137+AJ137)/AJ271,""),"")</f>
        <v>0.0976172298300275</v>
      </c>
      <c r="AK368" s="257">
        <f>IFERROR(IF(AND(COUNT(AH137,AI137,AJ137,AK137)=4,N(AK271)&lt;&gt;0),(AH137+AI137+AJ137+AK137)/AK271,""),"")</f>
        <v>0.0731490828971469</v>
      </c>
      <c r="AL368" s="258">
        <f>IFERROR(IF(AND(COUNT(AH137,AI137,AJ137,AK137)=4,N(AL271)&lt;&gt;0),(AH137+AI137+AJ137+AK137)/AL271,""),"")</f>
        <v>0.0731490828971469</v>
      </c>
      <c r="AM368" s="257">
        <f>IFERROR(IF(AND(COUNT(AI137,AJ137,AK137,AM137)=4,N(AM271)&lt;&gt;0),(AI137+AJ137+AK137+AM137)/AM271,""),"")</f>
        <v>0.121601040349832</v>
      </c>
      <c r="AN368" s="257">
        <f>IFERROR(IF(AND(COUNT(AJ137,AK137,AM137,AN137)=4,N(AN271)&lt;&gt;0),(AJ137+AK137+AM137+AN137)/AN271,""),"")</f>
        <v>0.103290887408375</v>
      </c>
      <c r="AO368" s="257">
        <f>IFERROR(IF(AND(COUNT(AK137,AM137,AN137,AO137)=4,N(AO271)&lt;&gt;0),(AK137+AM137+AN137+AO137)/AO271,""),"")</f>
        <v>0.10097505964902</v>
      </c>
      <c r="AP368" s="257">
        <f>IFERROR(IF(AND(COUNT(AM137,AN137,AO137,AP137)=4,N(AP271)&lt;&gt;0),(AM137+AN137+AO137+AP137)/AP271,""),"")</f>
        <v>0.0986999297023356</v>
      </c>
      <c r="AQ368" s="258">
        <f>IFERROR(IF(AND(COUNT(AM137,AN137,AO137,AP137)=4,N(AQ271)&lt;&gt;0),(AM137+AN137+AO137+AP137)/AQ271,""),"")</f>
        <v>0.0986999297023356</v>
      </c>
      <c r="AR368" s="257">
        <f>IFERROR(IF(AND(COUNT(AN137,AO137,AP137,AR137)=4,N(AR271)&lt;&gt;0),(AN137+AO137+AP137+AR137)/AR271,""),"")</f>
        <v>0.0965750640391018</v>
      </c>
      <c r="AS368" s="257">
        <f>IFERROR(IF(AND(COUNT(AO137,AP137,AR137,AS137)=4,N(AS271)&lt;&gt;0),(AO137+AP137+AR137+AS137)/AS271,""),"")</f>
        <v>0.0937760200464575</v>
      </c>
      <c r="AT368" s="257">
        <f>IFERROR(IF(AND(COUNT(AP137,AR137,AS137,AT137)=4,N(AT271)&lt;&gt;0),(AP137+AR137+AS137+AT137)/AT271,""),"")</f>
        <v>0.0917915040320387</v>
      </c>
      <c r="AU368" s="257">
        <f>IFERROR(IF(AND(COUNT(AR137,AS137,AT137,AU137)=4,N(AU271)&lt;&gt;0),(AR137+AS137+AT137+AU137)/AU271,""),"")</f>
        <v>0.0898333812846204</v>
      </c>
      <c r="AV368" s="258">
        <f>IFERROR(IF(AND(COUNT(AR137,AS137,AT137,AU137)=4,N(AV271)&lt;&gt;0),(AR137+AS137+AT137+AU137)/AV271,""),"")</f>
        <v>0.0898333812846204</v>
      </c>
      <c r="AW368" s="257">
        <f>IFERROR(IF(AND(COUNT(AS137,AT137,AU137,AW137)=4,N(AW271)&lt;&gt;0),(AS137+AT137+AU137+AW137)/AW271,""),"")</f>
        <v>0.0880697247330969</v>
      </c>
      <c r="AX368" s="257">
        <f>IFERROR(IF(AND(COUNT(AT137,AU137,AW137,AX137)=4,N(AX271)&lt;&gt;0),(AT137+AU137+AW137+AX137)/AX271,""),"")</f>
        <v>0.0857360358316087</v>
      </c>
      <c r="AY368" s="257">
        <f>IFERROR(IF(AND(COUNT(AU137,AW137,AX137,AY137)=4,N(AY271)&lt;&gt;0),(AU137+AW137+AX137+AY137)/AY271,""),"")</f>
        <v>0.0840742061950915</v>
      </c>
      <c r="AZ368" s="257">
        <f>IFERROR(IF(AND(COUNT(AW137,AX137,AY137,AZ137)=4,N(AZ271)&lt;&gt;0),(AW137+AX137+AY137+AZ137)/AZ271,""),"")</f>
        <v>0.0824285462597329</v>
      </c>
      <c r="BA368" s="258">
        <f>IFERROR(IF(AND(COUNT(AW137,AX137,AY137,AZ137)=4,N(BA271)&lt;&gt;0),(AW137+AX137+AY137+AZ137)/BA271,""),"")</f>
        <v>0.0824285462597329</v>
      </c>
      <c r="BB368" s="257">
        <f>IFERROR(IF(AND(COUNT(AX137,AY137,AZ137,BB137)=4,N(BB271)&lt;&gt;0),(AX137+AY137+AZ137+BB137)/BB271,""),"")</f>
        <v>0.0809412510349007</v>
      </c>
      <c r="BC368" s="257">
        <f>IFERROR(IF(AND(COUNT(AY137,AZ137,BB137,BC137)=4,N(BC271)&lt;&gt;0),(AY137+AZ137+BB137+BC137)/BC271,""),"")</f>
        <v>0.0789658195013672</v>
      </c>
      <c r="BD368" s="257">
        <f>IFERROR(IF(AND(COUNT(AZ137,BB137,BC137,BD137)=4,N(BD271)&lt;&gt;0),(AZ137+BB137+BC137+BD137)/BD271,""),"")</f>
        <v>0.0775539217838021</v>
      </c>
      <c r="BE368" s="257">
        <f>IFERROR(IF(AND(COUNT(BB137,BC137,BD137,BE137)=4,N(BE271)&lt;&gt;0),(BB137+BC137+BD137+BE137)/BE271,""),"")</f>
        <v>0.0761514896706668</v>
      </c>
      <c r="BF368" s="258">
        <f>IFERROR(IF(AND(COUNT(BB137,BC137,BD137,BE137)=4,N(BF271)&lt;&gt;0),(BB137+BC137+BD137+BE137)/BF271,""),"")</f>
        <v>0.0761514896706668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CHSCP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44214.823</v>
      </c>
      <c r="E18" s="113">
        <f>IFERROR(Model!AB15,"")</f>
        <v>37164.683</v>
      </c>
      <c r="F18" s="113">
        <f>IFERROR(Model!AG15,"")</f>
        <v>35032.6</v>
      </c>
      <c r="G18" s="113">
        <f>IFERROR(Model!AL15,"")</f>
        <v>37474.3384827968</v>
      </c>
      <c r="H18" s="113">
        <f>IFERROR(Model!AQ15,"")</f>
        <v>37621.2124273242</v>
      </c>
      <c r="I18" s="113">
        <f>IFERROR(Model!AV15,"")</f>
        <v>37621.2124273242</v>
      </c>
      <c r="J18" s="113">
        <f>IFERROR(Model!BA15,"")</f>
        <v>37621.2124273242</v>
      </c>
      <c r="K18" s="113">
        <f>IFERROR(Model!BF15,"")</f>
        <v>37621.2124273242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-0.159451955738916</v>
      </c>
      <c r="F19" s="117">
        <f>IFERROR(IF(E18=0,"",F18/E18-1),"")</f>
        <v>-0.057368523767578</v>
      </c>
      <c r="G19" s="117">
        <f>IFERROR(IF(F18=0,"",G18/F18-1),"")</f>
        <v>0.0696990369768946</v>
      </c>
      <c r="H19" s="117">
        <f>IFERROR(IF(G18=0,"",H18/G18-1),"")</f>
        <v>0.00391932053970279</v>
      </c>
      <c r="I19" s="117">
        <f>IFERROR(IF(H18=0,"",I18/H18-1),"")</f>
        <v>0</v>
      </c>
      <c r="J19" s="117">
        <f>IFERROR(IF(I18=0,"",J18/I18-1),"")</f>
        <v>0</v>
      </c>
      <c r="K19" s="117">
        <f>IFERROR(IF(J18=0,"",K18/J18-1),"")</f>
        <v>0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1638.095</v>
      </c>
      <c r="E20" s="113">
        <f>IFERROR(Model!AB69,"")</f>
        <v>908.828</v>
      </c>
      <c r="F20" s="113">
        <f>IFERROR(Model!AG69,"")</f>
        <v>748.739999999999</v>
      </c>
      <c r="G20" s="113">
        <f>IFERROR(Model!AL69,"")</f>
        <v>490.888438522764</v>
      </c>
      <c r="H20" s="113">
        <f>IFERROR(Model!AQ69,"")</f>
        <v>614.342411214479</v>
      </c>
      <c r="I20" s="113">
        <f>IFERROR(Model!AV69,"")</f>
        <v>614.342411214479</v>
      </c>
      <c r="J20" s="113">
        <f>IFERROR(Model!BA69,"")</f>
        <v>614.342411214479</v>
      </c>
      <c r="K20" s="113">
        <f>IFERROR(Model!BF69,"")</f>
        <v>614.342411214479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0.0370485481758006</v>
      </c>
      <c r="E21" s="122">
        <f>IFERROR(IF(E18=0,"",E20/E18),"")</f>
        <v>0.0244540764682427</v>
      </c>
      <c r="F21" s="122">
        <f>IFERROR(IF(F18=0,"",F20/F18),"")</f>
        <v>0.0213726643183777</v>
      </c>
      <c r="G21" s="122">
        <f>IFERROR(IF(G18=0,"",G20/G18),"")</f>
        <v>0.0130993223202089</v>
      </c>
      <c r="H21" s="122">
        <f>IFERROR(IF(H18=0,"",H20/H18),"")</f>
        <v>0.0163296813573261</v>
      </c>
      <c r="I21" s="122">
        <f>IFERROR(IF(I18=0,"",I20/I18),"")</f>
        <v>0.0163296813573261</v>
      </c>
      <c r="J21" s="122">
        <f>IFERROR(IF(J18=0,"",J20/J18),"")</f>
        <v>0.0163296813573261</v>
      </c>
      <c r="K21" s="122">
        <f>IFERROR(IF(K18=0,"",K20/K18),"")</f>
        <v>0.0163296813573261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1091.925</v>
      </c>
      <c r="E22" s="113">
        <f>IFERROR(Model!AB73,"")</f>
        <v>329.29</v>
      </c>
      <c r="F22" s="113">
        <f>IFERROR(Model!AG73,"")</f>
        <v>74.1609999999988</v>
      </c>
      <c r="G22" s="113">
        <f>IFERROR(Model!AL73,"")</f>
        <v>-175.6571053558</v>
      </c>
      <c r="H22" s="113">
        <f>IFERROR(Model!AQ73,"")</f>
        <v>-90.5285942456516</v>
      </c>
      <c r="I22" s="113">
        <f>IFERROR(Model!AV73,"")</f>
        <v>-90.5285942456516</v>
      </c>
      <c r="J22" s="113">
        <f>IFERROR(Model!BA73,"")</f>
        <v>-90.5285942456516</v>
      </c>
      <c r="K22" s="113">
        <f>IFERROR(Model!BF73,"")</f>
        <v>-90.5285942456516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0.0246959034530116</v>
      </c>
      <c r="E23" s="122">
        <f>IFERROR(IF(E18=0,"",E22/E18),"")</f>
        <v>0.00886029352113672</v>
      </c>
      <c r="F23" s="122">
        <f>IFERROR(IF(F18=0,"",F22/F18),"")</f>
        <v>0.00211691396013995</v>
      </c>
      <c r="G23" s="122">
        <f>IFERROR(IF(G18=0,"",G22/G18),"")</f>
        <v>-0.00468739709538673</v>
      </c>
      <c r="H23" s="122">
        <f>IFERROR(IF(H18=0,"",H22/H18),"")</f>
        <v>-0.00240631782988208</v>
      </c>
      <c r="I23" s="122">
        <f>IFERROR(IF(I18=0,"",I22/I18),"")</f>
        <v>-0.00240631782988208</v>
      </c>
      <c r="J23" s="122">
        <f>IFERROR(IF(J18=0,"",J22/J18),"")</f>
        <v>-0.00240631782988208</v>
      </c>
      <c r="K23" s="122">
        <f>IFERROR(IF(K18=0,"",K22/K18),"")</f>
        <v>-0.00240631782988208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0.0389999736403549</v>
      </c>
      <c r="E24" s="125">
        <f>IFERROR(Model!AB132,"")</f>
        <v>0.0177356396571475</v>
      </c>
      <c r="F24" s="125">
        <f>IFERROR(Model!AG132,"")</f>
        <v>0.0243009728986202</v>
      </c>
      <c r="G24" s="125">
        <f>IFERROR(Model!AL132,"")</f>
        <v>0.0317047863103038</v>
      </c>
      <c r="H24" s="125">
        <f>IFERROR(Model!AQ132,"")</f>
        <v>0.0547846423112859</v>
      </c>
      <c r="I24" s="125">
        <f>IFERROR(Model!AV132,"")</f>
        <v>0.0547846423112859</v>
      </c>
      <c r="J24" s="125">
        <f>IFERROR(Model!BA132,"")</f>
        <v>0.0547846423112859</v>
      </c>
      <c r="K24" s="125">
        <f>IFERROR(Model!BF132,"")</f>
        <v>0.0547846423112859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1049.33995378275</v>
      </c>
      <c r="E25" s="127">
        <f>IFERROR(E22*(1-E24),"")</f>
        <v>323.449831217298</v>
      </c>
      <c r="F25" s="127">
        <f>IFERROR(F22*(1-F24),"")</f>
        <v>72.3588155488643</v>
      </c>
      <c r="G25" s="127">
        <f>IFERROR(G22*(1-G24),"")</f>
        <v>-170.087934366608</v>
      </c>
      <c r="H25" s="127">
        <f>IFERROR(H22*(1-H24),"")</f>
        <v>-85.56901759096</v>
      </c>
      <c r="I25" s="127">
        <f>IFERROR(I22*(1-I24),"")</f>
        <v>-85.56901759096</v>
      </c>
      <c r="J25" s="127">
        <f>IFERROR(J22*(1-J24),"")</f>
        <v>-85.56901759096</v>
      </c>
      <c r="K25" s="127">
        <f>IFERROR(K22*(1-K24),"")</f>
        <v>-85.56901759096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546.17</v>
      </c>
      <c r="E26" s="130">
        <f>IFERROR(-Model!AB70,"")</f>
        <v>579.538</v>
      </c>
      <c r="F26" s="130">
        <f>IFERROR(-Model!AG70,"")</f>
        <v>674.579</v>
      </c>
      <c r="G26" s="130">
        <f>IFERROR(-Model!AL70,"")</f>
        <v>666.545543878564</v>
      </c>
      <c r="H26" s="130">
        <f>IFERROR(-Model!AQ70,"")</f>
        <v>704.871005460131</v>
      </c>
      <c r="I26" s="130">
        <f>IFERROR(-Model!AV70,"")</f>
        <v>704.871005460131</v>
      </c>
      <c r="J26" s="130">
        <f>IFERROR(-Model!BA70,"")</f>
        <v>704.871005460131</v>
      </c>
      <c r="K26" s="130">
        <f>IFERROR(-Model!BF70,"")</f>
        <v>704.871005460131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351.17</v>
      </c>
      <c r="E27" s="133">
        <f>IFERROR(Model!AB279,"")</f>
        <v>-896.911000000001</v>
      </c>
      <c r="F27" s="133">
        <f>IFERROR(Model!AG279,"")</f>
        <v>528.713</v>
      </c>
      <c r="G27" s="133">
        <f>IFERROR(Model!AL279,"")</f>
        <v>31.4095628095971</v>
      </c>
      <c r="H27" s="133">
        <f>IFERROR(Model!AQ279,"")</f>
        <v>-6.89627029791234</v>
      </c>
      <c r="I27" s="133">
        <f>IFERROR(Model!AV279,"")</f>
        <v>0</v>
      </c>
      <c r="J27" s="133">
        <f>IFERROR(Model!BA279,"")</f>
        <v>0</v>
      </c>
      <c r="K27" s="133">
        <f>IFERROR(Model!BF279,"")</f>
        <v>0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504.116</v>
      </c>
      <c r="E28" s="136">
        <f>IFERROR(Model!AB280,"")</f>
        <v>31.761</v>
      </c>
      <c r="F28" s="136">
        <f>IFERROR(Model!AG280,"")</f>
        <v>-247.918</v>
      </c>
      <c r="G28" s="136">
        <f>IFERROR(Model!AL280,"")</f>
        <v>222.852005710965</v>
      </c>
      <c r="H28" s="136">
        <f>IFERROR(Model!AQ280,"")</f>
        <v>-14.7595026842864</v>
      </c>
      <c r="I28" s="136">
        <f>IFERROR(Model!AV280,"")</f>
        <v>0</v>
      </c>
      <c r="J28" s="136">
        <f>IFERROR(Model!BA280,"")</f>
        <v>0</v>
      </c>
      <c r="K28" s="136">
        <f>IFERROR(Model!BF280,"")</f>
        <v>0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818.524</v>
      </c>
      <c r="E29" s="136">
        <f>IFERROR(Model!AB281,"")</f>
        <v>350.286</v>
      </c>
      <c r="F29" s="136">
        <f>IFERROR(Model!AG281,"")</f>
        <v>-426.291</v>
      </c>
      <c r="G29" s="136">
        <f>IFERROR(Model!AL281,"")</f>
        <v>361.495156581137</v>
      </c>
      <c r="H29" s="136">
        <f>IFERROR(Model!AQ281,"")</f>
        <v>-15.5443773856173</v>
      </c>
      <c r="I29" s="136">
        <f>IFERROR(Model!AV281,"")</f>
        <v>0</v>
      </c>
      <c r="J29" s="136">
        <f>IFERROR(Model!BA281,"")</f>
        <v>0</v>
      </c>
      <c r="K29" s="136">
        <f>IFERROR(Model!BF281,"")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0</v>
      </c>
      <c r="E30" s="136">
        <f>IFERROR(Model!AB282,"")</f>
        <v>0</v>
      </c>
      <c r="F30" s="136">
        <f>IFERROR(Model!AG282,"")</f>
        <v>0</v>
      </c>
      <c r="G30" s="136">
        <f>IFERROR(Model!AL282,"")</f>
        <v>0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268.261</v>
      </c>
      <c r="E32" s="136">
        <f>IFERROR(Model!AB284,"")</f>
        <v>-52.3420000000001</v>
      </c>
      <c r="F32" s="136">
        <f>IFERROR(Model!AG284,"")</f>
        <v>56.316</v>
      </c>
      <c r="G32" s="136">
        <f>IFERROR(Model!AL284,"")</f>
        <v>-87.904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-273.518</v>
      </c>
      <c r="E33" s="136">
        <f>IFERROR(Model!AB285,"")</f>
        <v>-836.025000000001</v>
      </c>
      <c r="F33" s="136">
        <f>IFERROR(Model!AG285,"")</f>
        <v>145.849</v>
      </c>
      <c r="G33" s="136">
        <f>IFERROR(Model!AL285,"")</f>
        <v>-792.351317428821</v>
      </c>
      <c r="H33" s="136">
        <f>IFERROR(Model!AQ285,"")</f>
        <v>11.1652572070652</v>
      </c>
      <c r="I33" s="136">
        <f>IFERROR(Model!AV285,"")</f>
        <v>0</v>
      </c>
      <c r="J33" s="136">
        <f>IFERROR(Model!BA285,"")</f>
        <v>0</v>
      </c>
      <c r="K33" s="136">
        <f>IFERROR(Model!BF285,"")</f>
        <v>0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-69.418</v>
      </c>
      <c r="E34" s="136">
        <f>IFERROR(Model!AB286,"")</f>
        <v>6.43299999999999</v>
      </c>
      <c r="F34" s="136">
        <f>IFERROR(Model!AG286,"")</f>
        <v>-1.24200000000008</v>
      </c>
      <c r="G34" s="136">
        <f>IFERROR(Model!AL286,"")</f>
        <v>173.934717946317</v>
      </c>
      <c r="H34" s="136">
        <f>IFERROR(Model!AQ286,"")</f>
        <v>12.2423525649264</v>
      </c>
      <c r="I34" s="136">
        <f>IFERROR(Model!AV286,"")</f>
        <v>0</v>
      </c>
      <c r="J34" s="136">
        <f>IFERROR(Model!BA286,"")</f>
        <v>0</v>
      </c>
      <c r="K34" s="136">
        <f>IFERROR(Model!BF286,"")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0</v>
      </c>
      <c r="E35" s="136">
        <f>IFERROR(Model!AB287,"")</f>
        <v>0</v>
      </c>
      <c r="F35" s="136">
        <f>IFERROR(Model!AG287,"")</f>
        <v>0</v>
      </c>
      <c r="G35" s="136">
        <f>IFERROR(Model!AL287,"")</f>
        <v>0</v>
      </c>
      <c r="H35" s="136">
        <f>IFERROR(Model!AQ287,"")</f>
        <v>0</v>
      </c>
      <c r="I35" s="136">
        <f>IFERROR(Model!AV287,"")</f>
        <v>0</v>
      </c>
      <c r="J35" s="136">
        <f>IFERROR(Model!BA287,"")</f>
        <v>0</v>
      </c>
      <c r="K35" s="136">
        <f>IFERROR(Model!BF287,"")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-896.795</v>
      </c>
      <c r="E36" s="136">
        <f>IFERROR(Model!AB288,"")</f>
        <v>-397.024</v>
      </c>
      <c r="F36" s="136">
        <f>IFERROR(Model!AG288,"")</f>
        <v>1001.999</v>
      </c>
      <c r="G36" s="136">
        <f>IFERROR(Model!AL288,"")</f>
        <v>153.383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0</v>
      </c>
      <c r="E37" s="136">
        <f>IFERROR(Model!AB289,"")</f>
        <v>0</v>
      </c>
      <c r="F37" s="136">
        <f>IFERROR(Model!AG289,"")</f>
        <v>0</v>
      </c>
      <c r="G37" s="136">
        <f>IFERROR(Model!AL289,"")</f>
        <v>0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-88.8089999999993</v>
      </c>
      <c r="E38" s="136">
        <f>IFERROR((Model!AB189-Model!W189)*-1,"")</f>
        <v>-9.85800000000018</v>
      </c>
      <c r="F38" s="136">
        <f>IFERROR((Model!AG189-Model!AB189)*-1,"")</f>
        <v>-400.636</v>
      </c>
      <c r="G38" s="136">
        <f>IFERROR((Model!AL189-Model!AG189)*-1,"")</f>
        <v>-44.7280000000001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399.095</v>
      </c>
      <c r="E39" s="136">
        <f>IFERROR(Model!AB240-Model!W240,"")</f>
        <v>30.0860000000002</v>
      </c>
      <c r="F39" s="136">
        <f>IFERROR(Model!AG240-Model!AB240,"")</f>
        <v>94.8530000000001</v>
      </c>
      <c r="G39" s="136">
        <f>IFERROR(Model!AL240-Model!AG240,"")</f>
        <v>-38.7960000000003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-694.422</v>
      </c>
      <c r="E40" s="136">
        <f>IFERROR(Model!AB295,"")</f>
        <v>-941.854</v>
      </c>
      <c r="F40" s="136">
        <f>IFERROR(Model!AG295,"")</f>
        <v>-899.372000000001</v>
      </c>
      <c r="G40" s="136">
        <f>IFERROR(Model!AL295,"")</f>
        <v>-662.220283796053</v>
      </c>
      <c r="H40" s="136">
        <f>IFERROR(Model!AQ295,"")</f>
        <v>-810.253422125947</v>
      </c>
      <c r="I40" s="136">
        <f>IFERROR(Model!AV295,"")</f>
        <v>-810.253422125947</v>
      </c>
      <c r="J40" s="136">
        <f>IFERROR(Model!BA295,"")</f>
        <v>-810.253422125947</v>
      </c>
      <c r="K40" s="136">
        <f>IFERROR(Model!BF295,"")</f>
        <v>-810.253422125947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202.918000000001</v>
      </c>
      <c r="E44" s="133">
        <f>IFERROR(SUM(E27,E40:E42,E26),"")</f>
        <v>-1259.227</v>
      </c>
      <c r="F44" s="133">
        <f>IFERROR(SUM(F27,F40:F42,F26),"")</f>
        <v>303.919999999999</v>
      </c>
      <c r="G44" s="133">
        <f>IFERROR(SUM(G27,G40:G42,G26),"")</f>
        <v>35.7348228921079</v>
      </c>
      <c r="H44" s="133">
        <f>IFERROR(SUM(H27,H40:H42,H26),"")</f>
        <v>-112.278686963729</v>
      </c>
      <c r="I44" s="133">
        <f>IFERROR(SUM(I27,I40:I42,I26),"")</f>
        <v>-105.382416665816</v>
      </c>
      <c r="J44" s="133">
        <f>IFERROR(SUM(J27,J40:J42,J26),"")</f>
        <v>-105.382416665816</v>
      </c>
      <c r="K44" s="133">
        <f>IFERROR(SUM(K27,K40:K42,K26),"")</f>
        <v>-105.382416665816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5354.671</v>
      </c>
      <c r="E46" s="136">
        <f>IFERROR(Model!AB350,"")</f>
        <v>6593.67</v>
      </c>
      <c r="F46" s="136">
        <f>IFERROR(Model!AG350,"")</f>
        <v>6595.533</v>
      </c>
      <c r="G46" s="136">
        <f>IFERROR(Model!AL350,"")</f>
        <v>6643.32217710789</v>
      </c>
      <c r="H46" s="136">
        <f>IFERROR(Model!AQ350,"")</f>
        <v>6755.60086407162</v>
      </c>
      <c r="I46" s="136">
        <f>IFERROR(Model!AV350,"")</f>
        <v>6860.98328073744</v>
      </c>
      <c r="J46" s="136">
        <f>IFERROR(Model!BA350,"")</f>
        <v>6966.36569740325</v>
      </c>
      <c r="K46" s="136">
        <f>IFERROR(Model!BF350,"")</f>
        <v>7071.74811406907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5354.671</v>
      </c>
      <c r="E47" s="136">
        <f>IFERROR(Model!AB351,"")</f>
        <v>6593.67</v>
      </c>
      <c r="F47" s="136">
        <f>IFERROR(Model!AG351,"")</f>
        <v>6595.533</v>
      </c>
      <c r="G47" s="136">
        <f>IFERROR(Model!AL351,"")</f>
        <v>6643.32217710789</v>
      </c>
      <c r="H47" s="136">
        <f>IFERROR(Model!AQ351,"")</f>
        <v>6755.60086407162</v>
      </c>
      <c r="I47" s="136">
        <f>IFERROR(Model!AV351,"")</f>
        <v>6860.98328073744</v>
      </c>
      <c r="J47" s="136">
        <f>IFERROR(Model!BA351,"")</f>
        <v>6966.36569740325</v>
      </c>
      <c r="K47" s="136">
        <f>IFERROR(Model!BF351,"")</f>
        <v>7071.74811406907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0.121105788436606</v>
      </c>
      <c r="E48" s="122">
        <f>IFERROR(IF(E18=0,"",E46/E18),"")</f>
        <v>0.177417630603764</v>
      </c>
      <c r="F48" s="122">
        <f>IFERROR(IF(F18=0,"",F46/F18),"")</f>
        <v>0.188268441394587</v>
      </c>
      <c r="G48" s="122">
        <f>IFERROR(IF(G18=0,"",G46/G18),"")</f>
        <v>0.17727656967601</v>
      </c>
      <c r="H48" s="122">
        <f>IFERROR(IF(H18=0,"",H46/H18),"")</f>
        <v>0.179568930084907</v>
      </c>
      <c r="I48" s="122">
        <f>IFERROR(IF(I18=0,"",I46/I18),"")</f>
        <v>0.182370073638412</v>
      </c>
      <c r="J48" s="122">
        <f>IFERROR(IF(J18=0,"",J46/J18),"")</f>
        <v>0.185171217191916</v>
      </c>
      <c r="K48" s="122">
        <f>IFERROR(IF(K18=0,"",K46/K18),"")</f>
        <v>0.18797236074542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0.195967213257874</v>
      </c>
      <c r="E50" s="150">
        <f>IFERROR(IF(E46=0,"",E25/E46),"")</f>
        <v>0.0490545980034333</v>
      </c>
      <c r="F50" s="150">
        <f>IFERROR(IF(F46=0,"",F25/F46),"")</f>
        <v>0.0109708821938825</v>
      </c>
      <c r="G50" s="150">
        <f>IFERROR(IF(G46=0,"",G25/G46),"")</f>
        <v>-0.0256028429499794</v>
      </c>
      <c r="H50" s="150">
        <f>IFERROR(IF(H46=0,"",H25/H46),"")</f>
        <v>-0.0126663814681596</v>
      </c>
      <c r="I50" s="150">
        <f>IFERROR(IF(I46=0,"",I25/I46),"")</f>
        <v>-0.0124718300700716</v>
      </c>
      <c r="J50" s="150">
        <f>IFERROR(IF(J46=0,"",J25/J46),"")</f>
        <v>-0.0122831647530155</v>
      </c>
      <c r="K50" s="150">
        <f>IFERROR(IF(K46=0,"",K25/K46),"")</f>
        <v>-0.0121001223757846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8.25724362897366</v>
      </c>
      <c r="E51" s="154">
        <f>IFERROR(IF(E46=0,"",E18/E46),"")</f>
        <v>5.63641841341772</v>
      </c>
      <c r="F51" s="154">
        <f>IFERROR(IF(F46=0,"",F18/F46),"")</f>
        <v>5.31156466050583</v>
      </c>
      <c r="G51" s="154">
        <f>IFERROR(IF(G46=0,"",G18/G46),"")</f>
        <v>5.64090337390665</v>
      </c>
      <c r="H51" s="154">
        <f>IFERROR(IF(H46=0,"",H18/H46),"")</f>
        <v>5.56889212141076</v>
      </c>
      <c r="I51" s="154">
        <f>IFERROR(IF(I46=0,"",I18/I46),"")</f>
        <v>5.4833557943433</v>
      </c>
      <c r="J51" s="154">
        <f>IFERROR(IF(J46=0,"",J18/J46),"")</f>
        <v>5.40040733740803</v>
      </c>
      <c r="K51" s="154">
        <f>IFERROR(IF(K46=0,"",K18/K46),"")</f>
        <v>5.31993105813224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1252.25795378275</v>
      </c>
      <c r="E53" s="155">
        <f>IFERROR(E25+E44,"")</f>
        <v>-935.777168782703</v>
      </c>
      <c r="F53" s="155">
        <f>IFERROR(F25+F44,"")</f>
        <v>376.278815548864</v>
      </c>
      <c r="G53" s="156">
        <f>IFERROR(G25+G44,"")</f>
        <v>-134.3531114745</v>
      </c>
      <c r="H53" s="155">
        <f>IFERROR(H25+H44,"")</f>
        <v>-197.847704554689</v>
      </c>
      <c r="I53" s="155">
        <f>IFERROR(I25+I44,"")</f>
        <v>-190.951434256776</v>
      </c>
      <c r="J53" s="155">
        <f>IFERROR(J25+J44,"")</f>
        <v>-190.951434256776</v>
      </c>
      <c r="K53" s="155">
        <f>IFERROR(K25+K44,"")</f>
        <v>-190.951434256776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-0.0121001223757846</v>
      </c>
      <c r="E64" s="157" t="inlineStr">
        <is>
          <t>Current portion of long-term debt</t>
        </is>
      </c>
      <c r="H64" s="137">
        <f>IFERROR(INDEX(Model!$I$212:$BF$212,1,MATCH(Control!$B$7,Model!$I$5:$BF$5,0)),"")</f>
        <v>149.663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1983.919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3.462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-497.614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614.342411214479</v>
      </c>
      <c r="E73" s="157" t="inlineStr">
        <is>
          <t>Less: Equity investments</t>
        </is>
      </c>
      <c r="H73" s="137">
        <f>IFERROR(-INDEX(Model!$I$161:$BF$161,1,MATCH(Control!$B$7,Model!$I$5:$BF$5,0)),"")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1639.43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1639.43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1639.43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CHSCP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CHS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CHSCP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0.00391932053970258</v>
      </c>
      <c r="C18" s="247">
        <f>IF(B18="","",B18)</f>
        <v>0.00391932053970258</v>
      </c>
      <c r="D18" s="247">
        <f>IF(C18="","",MAX(0,C18-0.5%))</f>
        <v>0</v>
      </c>
      <c r="E18" s="247">
        <f>IF(D18="","",MAX(0,D18-0.5%))</f>
        <v>0</v>
      </c>
      <c r="F18" s="247">
        <f>IF(E18="","",MAX(0,E18-0.5%))</f>
        <v>0</v>
      </c>
    </row>
    <row r="19" ht="15" customHeight="1">
      <c r="A19" t="inlineStr">
        <is>
          <t>Gross margin</t>
        </is>
      </c>
      <c r="B19" s="247">
        <f>IFERROR(AVERAGE(Model!AC55:AF55,Model!AH55:AI55),"")</f>
        <v>0.027395677498567</v>
      </c>
      <c r="C19" s="247">
        <f>IF(B19="","",B19)</f>
        <v>0.027395677498567</v>
      </c>
      <c r="D19" s="247">
        <f>IF(C19="","",C19)</f>
        <v>0.027395677498567</v>
      </c>
      <c r="E19" s="247">
        <f>IF(D19="","",D19)</f>
        <v>0.027395677498567</v>
      </c>
      <c r="F19" s="247">
        <f>IF(E19="","",E19)</f>
        <v>0.027395677498567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0.0110659961412409</v>
      </c>
      <c r="C20" s="247">
        <f>IF(B20="","",B20)</f>
        <v>0.0110659961412409</v>
      </c>
      <c r="D20" s="247">
        <f>IF(C20="","",C20)</f>
        <v>0.0110659961412409</v>
      </c>
      <c r="E20" s="247">
        <f>IF(D20="","",D20)</f>
        <v>0.0110659961412409</v>
      </c>
      <c r="F20" s="247">
        <f>IF(E20="","",E20)</f>
        <v>0.0110659961412409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0.0187359991872082</v>
      </c>
      <c r="C21" s="247">
        <f>IF(B21="","",B21)</f>
        <v>0.0187359991872082</v>
      </c>
      <c r="D21" s="247">
        <f>IF(C21="","",C21)</f>
        <v>0.0187359991872082</v>
      </c>
      <c r="E21" s="247">
        <f>IF(D21="","",D21)</f>
        <v>0.0187359991872082</v>
      </c>
      <c r="F21" s="247">
        <f>IF(E21="","",E21)</f>
        <v>0.0187359991872082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0.0547846423112859</v>
      </c>
      <c r="C22" s="247">
        <f>IF(B22="","",B22)</f>
        <v>0.0547846423112859</v>
      </c>
      <c r="D22" s="247">
        <f>IF(C22="","",C22)</f>
        <v>0.0547846423112859</v>
      </c>
      <c r="E22" s="247">
        <f>IF(D22="","",D22)</f>
        <v>0.0547846423112859</v>
      </c>
      <c r="F22" s="247">
        <f>IF(E22="","",E22)</f>
        <v>0.0547846423112859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0.0191730970185095</v>
      </c>
      <c r="C23" s="247">
        <f>IF(B23="","",B23)</f>
        <v>0.0191730970185095</v>
      </c>
      <c r="D23" s="247">
        <f>IF(C23="","",C23)</f>
        <v>0.0191730970185095</v>
      </c>
      <c r="E23" s="247">
        <f>IF(D23="","",D23)</f>
        <v>0.0191730970185095</v>
      </c>
      <c r="F23" s="247">
        <f>IF(E23="","",E23)</f>
        <v>0.0191730970185095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0.0215371427407125</v>
      </c>
      <c r="C24" s="247">
        <f>IF(B24="","",B24)</f>
        <v>0.0215371427407125</v>
      </c>
      <c r="D24" s="247">
        <f>IF(C24="","",C24)</f>
        <v>0.0215371427407125</v>
      </c>
      <c r="E24" s="247">
        <f>IF(D24="","",D24)</f>
        <v>0.0215371427407125</v>
      </c>
      <c r="F24" s="247">
        <f>IF(E24="","",E24)</f>
        <v>0.0215371427407125</v>
      </c>
    </row>
    <row r="25" ht="15" customHeight="1">
      <c r="A25" t="inlineStr">
        <is>
          <t>DSO</t>
        </is>
      </c>
      <c r="B25" s="249">
        <f>IFERROR(AVERAGE(Model!AC146:AF146,Model!AH146:AI146),0)</f>
        <v>38.9327528642589</v>
      </c>
      <c r="C25" s="249">
        <f>IF(B25="","",B25)</f>
        <v>38.9327528642589</v>
      </c>
      <c r="D25" s="249">
        <f>IF(C25="","",C25)</f>
        <v>38.9327528642589</v>
      </c>
      <c r="E25" s="249">
        <f>IF(D25="","",D25)</f>
        <v>38.9327528642589</v>
      </c>
      <c r="F25" s="249">
        <f>IF(E25="","",E25)</f>
        <v>38.9327528642589</v>
      </c>
    </row>
    <row r="26" ht="15" customHeight="1">
      <c r="A26" t="inlineStr">
        <is>
          <t>DIO</t>
        </is>
      </c>
      <c r="B26" s="249">
        <f>IFERROR(AVERAGE(Model!AC150:AF150,Model!AH150:AI150),0)</f>
        <v>42.1580509887938</v>
      </c>
      <c r="C26" s="249">
        <f>IF(B26="","",B26)</f>
        <v>42.1580509887938</v>
      </c>
      <c r="D26" s="249">
        <f>IF(C26="","",C26)</f>
        <v>42.1580509887938</v>
      </c>
      <c r="E26" s="249">
        <f>IF(D26="","",D26)</f>
        <v>42.1580509887938</v>
      </c>
      <c r="F26" s="249">
        <f>IF(E26="","",E26)</f>
        <v>42.1580509887938</v>
      </c>
    </row>
    <row r="27" ht="15" customHeight="1">
      <c r="A27" t="inlineStr">
        <is>
          <t>DPO</t>
        </is>
      </c>
      <c r="B27" s="249">
        <f>IFERROR(AVERAGE(Model!AC199:AF199,Model!AH199:AI199),0)</f>
        <v>30.2813982806405</v>
      </c>
      <c r="C27" s="249">
        <f>IF(B27="","",B27)</f>
        <v>30.2813982806405</v>
      </c>
      <c r="D27" s="249">
        <f>IF(C27="","",C27)</f>
        <v>30.2813982806405</v>
      </c>
      <c r="E27" s="249">
        <f>IF(D27="","",D27)</f>
        <v>30.2813982806405</v>
      </c>
      <c r="F27" s="249">
        <f>IF(E27="","",E27)</f>
        <v>30.2813982806405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CHS Inc. (CHSCP, CIK 823277) - fonte: SEC EDGAR XBRL (instâncias dos 10-Q/10-K). Moeda: USD. Brutos em USD unidades (fator 0,000001 -&gt; milhões). Colunas = trimestres-CALENDÁRIO (cada fechamento vai para o fim de trimestre mais próximo); ano fiscal te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2026-10-16T15:36:25Z</dcterms:modified>
  <cp:lastModifiedBy>Lucas Nascimento</cp:lastModifiedBy>
  <cp:revision>0</cp:revision>
</cp:coreProperties>
</file>