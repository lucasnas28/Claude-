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b val="1"/>
      <sz val="10"/>
    </font>
    <font>
      <name val="Verdana"/>
      <family val="2"/>
      <b val="1"/>
      <color theme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5" fillId="17" borderId="0" applyAlignment="1" pivotButton="0" quotePrefix="0" xfId="0">
      <alignment horizontal="center"/>
    </xf>
    <xf numFmtId="3" fontId="25" fillId="0" borderId="0" applyAlignment="1" pivotButton="0" quotePrefix="0" xfId="0">
      <alignment horizontal="center"/>
    </xf>
    <xf numFmtId="0" fontId="25" fillId="16" borderId="0" pivotButton="0" quotePrefix="0" xfId="0"/>
    <xf numFmtId="171" fontId="25" fillId="17" borderId="0" applyAlignment="1" pivotButton="0" quotePrefix="0" xfId="0">
      <alignment horizontal="center"/>
    </xf>
    <xf numFmtId="171" fontId="25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2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26171000</v>
      </c>
      <c r="E5" s="265" t="n">
        <v>29077000</v>
      </c>
      <c r="F5" s="265" t="n">
        <v>29010000</v>
      </c>
      <c r="G5" s="265" t="n">
        <v>33671000</v>
      </c>
      <c r="I5" s="265" t="n">
        <v>27908000</v>
      </c>
      <c r="J5" s="265" t="n">
        <v>28822000</v>
      </c>
      <c r="K5" s="265" t="n">
        <v>27714000</v>
      </c>
      <c r="L5" s="265" t="n">
        <v>32165000</v>
      </c>
      <c r="N5" s="265" t="n">
        <v>28645000</v>
      </c>
      <c r="O5" s="265" t="n">
        <v>31999000</v>
      </c>
      <c r="P5" s="265" t="n">
        <v>34146000</v>
      </c>
      <c r="Q5" s="265" t="n">
        <v>40111000</v>
      </c>
      <c r="S5" s="265" t="n">
        <v>36455000</v>
      </c>
      <c r="T5" s="265" t="n">
        <v>39071000</v>
      </c>
      <c r="U5" s="265" t="n">
        <v>40589000</v>
      </c>
      <c r="V5" s="265" t="n">
        <v>48385000</v>
      </c>
      <c r="X5" s="265" t="n">
        <v>42314000</v>
      </c>
      <c r="Y5" s="265" t="n">
        <v>47516000</v>
      </c>
      <c r="Z5" s="265" t="n">
        <v>51242000</v>
      </c>
      <c r="AA5" s="265" t="n">
        <v>59893000</v>
      </c>
      <c r="AC5" s="265" t="n">
        <v>56311000</v>
      </c>
      <c r="AD5" s="265" t="n">
        <v>60801000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5131000</v>
      </c>
      <c r="E6" s="265" t="n">
        <v>5399000</v>
      </c>
      <c r="F6" s="265" t="n">
        <v>5771000</v>
      </c>
      <c r="G6" s="265" t="n">
        <v>6348000</v>
      </c>
      <c r="I6" s="265" t="n">
        <v>6005000</v>
      </c>
      <c r="J6" s="265" t="n">
        <v>5192000</v>
      </c>
      <c r="K6" s="265" t="n">
        <v>5716000</v>
      </c>
      <c r="L6" s="265" t="n">
        <v>8336000</v>
      </c>
      <c r="N6" s="265" t="n">
        <v>6108000</v>
      </c>
      <c r="O6" s="265" t="n">
        <v>5945000</v>
      </c>
      <c r="P6" s="265" t="n">
        <v>6210000</v>
      </c>
      <c r="Q6" s="265" t="n">
        <v>7695000</v>
      </c>
      <c r="S6" s="265" t="n">
        <v>6640000</v>
      </c>
      <c r="T6" s="265" t="n">
        <v>7308000</v>
      </c>
      <c r="U6" s="265" t="n">
        <v>7375000</v>
      </c>
      <c r="V6" s="265" t="n">
        <v>8839000</v>
      </c>
      <c r="X6" s="265" t="n">
        <v>7572000</v>
      </c>
      <c r="Y6" s="265" t="n">
        <v>8491000</v>
      </c>
      <c r="Z6" s="265" t="n">
        <v>9206000</v>
      </c>
      <c r="AA6" s="265" t="n">
        <v>10906000</v>
      </c>
      <c r="AC6" s="265" t="n">
        <v>10218000</v>
      </c>
      <c r="AD6" s="265" t="n">
        <v>11330000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-5131000</v>
      </c>
      <c r="E7" s="265">
        <f>IF(E6="","",-1*E6)</f>
        <v>-5399000</v>
      </c>
      <c r="F7" s="265">
        <f>IF(F6="","",-1*F6)</f>
        <v>-5771000</v>
      </c>
      <c r="G7" s="265">
        <f>IF(G6="","",-1*G6)</f>
        <v>-6348000</v>
      </c>
      <c r="I7" s="265">
        <f>IF(I6="","",-1*I6)</f>
        <v>-6005000</v>
      </c>
      <c r="J7" s="265">
        <f>IF(J6="","",-1*J6)</f>
        <v>-5192000</v>
      </c>
      <c r="K7" s="265">
        <f>IF(K6="","",-1*K6)</f>
        <v>-5716000</v>
      </c>
      <c r="L7" s="265">
        <f>IF(L6="","",-1*L6)</f>
        <v>-8336000</v>
      </c>
      <c r="N7" s="265">
        <f>IF(N6="","",-1*N6)</f>
        <v>-6108000</v>
      </c>
      <c r="O7" s="265">
        <f>IF(O6="","",-1*O6)</f>
        <v>-5945000</v>
      </c>
      <c r="P7" s="265">
        <f>IF(P6="","",-1*P6)</f>
        <v>-6210000</v>
      </c>
      <c r="Q7" s="265">
        <f>IF(Q6="","",-1*Q6)</f>
        <v>-7695000</v>
      </c>
      <c r="S7" s="265">
        <f>IF(S6="","",-1*S6)</f>
        <v>-6640000</v>
      </c>
      <c r="T7" s="265">
        <f>IF(T6="","",-1*T6)</f>
        <v>-7308000</v>
      </c>
      <c r="U7" s="265">
        <f>IF(U6="","",-1*U6)</f>
        <v>-7375000</v>
      </c>
      <c r="V7" s="265">
        <f>IF(V6="","",-1*V6)</f>
        <v>-8839000</v>
      </c>
      <c r="X7" s="265">
        <f>IF(X6="","",-1*X6)</f>
        <v>-7572000</v>
      </c>
      <c r="Y7" s="265">
        <f>IF(Y6="","",-1*Y6)</f>
        <v>-8491000</v>
      </c>
      <c r="Z7" s="265">
        <f>IF(Z6="","",-1*Z6)</f>
        <v>-9206000</v>
      </c>
      <c r="AA7" s="265">
        <f>IF(AA6="","",-1*AA6)</f>
        <v>-10906000</v>
      </c>
      <c r="AC7" s="265">
        <f>IF(AC6="","",-1*AC6)</f>
        <v>-10218000</v>
      </c>
      <c r="AD7" s="265">
        <f>IF(AD6="","",-1*AD6)</f>
        <v>-11330000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11378000</v>
      </c>
      <c r="E8" s="265" t="n">
        <v>12367000</v>
      </c>
      <c r="F8" s="265" t="n">
        <v>10423000</v>
      </c>
      <c r="G8" s="265" t="n">
        <v>12585000</v>
      </c>
      <c r="I8" s="265" t="n">
        <v>8524000</v>
      </c>
      <c r="J8" s="265" t="n">
        <v>8358000</v>
      </c>
      <c r="K8" s="265" t="n">
        <v>5664000</v>
      </c>
      <c r="L8" s="265" t="n">
        <v>6399000</v>
      </c>
      <c r="N8" s="265" t="n">
        <v>7227000</v>
      </c>
      <c r="O8" s="265" t="n">
        <v>9392000</v>
      </c>
      <c r="P8" s="265" t="n">
        <v>13748000</v>
      </c>
      <c r="Q8" s="265" t="n">
        <v>16384000</v>
      </c>
      <c r="S8" s="265" t="n">
        <v>13818000</v>
      </c>
      <c r="T8" s="265" t="n">
        <v>14847000</v>
      </c>
      <c r="U8" s="265" t="n">
        <v>17350000</v>
      </c>
      <c r="V8" s="265" t="n">
        <v>23364000</v>
      </c>
      <c r="X8" s="265" t="n">
        <v>17555000</v>
      </c>
      <c r="Y8" s="265" t="n">
        <v>20441000</v>
      </c>
      <c r="Z8" s="265" t="n">
        <v>20535000</v>
      </c>
      <c r="AA8" s="265" t="n">
        <v>24745000</v>
      </c>
      <c r="AC8" s="265" t="n">
        <v>22872000</v>
      </c>
      <c r="AD8" s="265" t="n">
        <v>18775000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9662000</v>
      </c>
      <c r="E9" s="265">
        <f>N(E5)-N(E6)-N(E8)</f>
        <v>11311000</v>
      </c>
      <c r="F9" s="265">
        <f>N(F5)-N(F6)-N(F8)</f>
        <v>12816000</v>
      </c>
      <c r="G9" s="265">
        <f>N(G5)-N(G6)-N(G8)</f>
        <v>14738000</v>
      </c>
      <c r="I9" s="265">
        <f>N(I5)-N(I6)-N(I8)</f>
        <v>13379000</v>
      </c>
      <c r="J9" s="265">
        <f>N(J5)-N(J6)-N(J8)</f>
        <v>15272000</v>
      </c>
      <c r="K9" s="265">
        <f>N(K5)-N(K6)-N(K8)</f>
        <v>16334000</v>
      </c>
      <c r="L9" s="265">
        <f>N(L5)-N(L6)-N(L8)</f>
        <v>17430000</v>
      </c>
      <c r="N9" s="265">
        <f>N(N5)-N(N6)-N(N8)</f>
        <v>15310000</v>
      </c>
      <c r="O9" s="265">
        <f>N(O5)-N(O6)-N(O8)</f>
        <v>16662000</v>
      </c>
      <c r="P9" s="265">
        <f>N(P5)-N(P6)-N(P8)</f>
        <v>14188000</v>
      </c>
      <c r="Q9" s="265">
        <f>N(Q5)-N(Q6)-N(Q8)</f>
        <v>16032000</v>
      </c>
      <c r="S9" s="265">
        <f>N(S5)-N(S6)-N(S8)</f>
        <v>15997000</v>
      </c>
      <c r="T9" s="265">
        <f>N(T5)-N(T6)-N(T8)</f>
        <v>16916000</v>
      </c>
      <c r="U9" s="265">
        <f>N(U5)-N(U6)-N(U8)</f>
        <v>15864000</v>
      </c>
      <c r="V9" s="265">
        <f>N(V5)-N(V6)-N(V8)</f>
        <v>16182000</v>
      </c>
      <c r="X9" s="265">
        <f>N(X5)-N(X6)-N(X8)</f>
        <v>17187000</v>
      </c>
      <c r="Y9" s="265">
        <f>N(Y5)-N(Y6)-N(Y8)</f>
        <v>18584000</v>
      </c>
      <c r="Z9" s="265">
        <f>N(Z5)-N(Z6)-N(Z8)</f>
        <v>21501000</v>
      </c>
      <c r="AA9" s="265">
        <f>N(AA5)-N(AA6)-N(AA8)</f>
        <v>24242000</v>
      </c>
      <c r="AC9" s="265">
        <f>N(AC5)-N(AC6)-N(AC8)</f>
        <v>23221000</v>
      </c>
      <c r="AD9" s="265">
        <f>N(AD5)-N(AD6)-N(AD8)</f>
        <v>30696000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-9662000</v>
      </c>
      <c r="E10" s="265">
        <f>IF(E9="","",-1*E9)</f>
        <v>-11311000</v>
      </c>
      <c r="F10" s="265">
        <f>IF(F9="","",-1*F9)</f>
        <v>-12816000</v>
      </c>
      <c r="G10" s="265">
        <f>IF(G9="","",-1*G9)</f>
        <v>-14738000</v>
      </c>
      <c r="I10" s="265">
        <f>IF(I9="","",-1*I9)</f>
        <v>-13379000</v>
      </c>
      <c r="J10" s="265">
        <f>IF(J9="","",-1*J9)</f>
        <v>-15272000</v>
      </c>
      <c r="K10" s="265">
        <f>IF(K9="","",-1*K9)</f>
        <v>-16334000</v>
      </c>
      <c r="L10" s="265">
        <f>IF(L9="","",-1*L9)</f>
        <v>-17430000</v>
      </c>
      <c r="N10" s="265">
        <f>IF(N9="","",-1*N9)</f>
        <v>-15310000</v>
      </c>
      <c r="O10" s="265">
        <f>IF(O9="","",-1*O9)</f>
        <v>-16662000</v>
      </c>
      <c r="P10" s="265">
        <f>IF(P9="","",-1*P9)</f>
        <v>-14188000</v>
      </c>
      <c r="Q10" s="265">
        <f>IF(Q9="","",-1*Q9)</f>
        <v>-16032000</v>
      </c>
      <c r="S10" s="265">
        <f>IF(S9="","",-1*S9)</f>
        <v>-15997000</v>
      </c>
      <c r="T10" s="265">
        <f>IF(T9="","",-1*T9)</f>
        <v>-16916000</v>
      </c>
      <c r="U10" s="265">
        <f>IF(U9="","",-1*U9)</f>
        <v>-15864000</v>
      </c>
      <c r="V10" s="265">
        <f>IF(V9="","",-1*V9)</f>
        <v>-16182000</v>
      </c>
      <c r="X10" s="265">
        <f>IF(X9="","",-1*X9)</f>
        <v>-17187000</v>
      </c>
      <c r="Y10" s="265">
        <f>IF(Y9="","",-1*Y9)</f>
        <v>-18584000</v>
      </c>
      <c r="Z10" s="265">
        <f>IF(Z9="","",-1*Z9)</f>
        <v>-21501000</v>
      </c>
      <c r="AA10" s="265">
        <f>IF(AA9="","",-1*AA9)</f>
        <v>-24242000</v>
      </c>
      <c r="AC10" s="265">
        <f>IF(AC9="","",-1*AC9)</f>
        <v>-23221000</v>
      </c>
      <c r="AD10" s="265">
        <f>IF(AD9="","",-1*AD9)</f>
        <v>-30696000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11503000</v>
      </c>
      <c r="E11" s="265" t="n">
        <v>12513000</v>
      </c>
      <c r="F11" s="265" t="n">
        <v>10565000</v>
      </c>
      <c r="G11" s="265" t="n">
        <v>12703000</v>
      </c>
      <c r="I11" s="265" t="n">
        <v>8908000</v>
      </c>
      <c r="J11" s="265" t="n">
        <v>8186000</v>
      </c>
      <c r="K11" s="265" t="n">
        <v>5576000</v>
      </c>
      <c r="L11" s="265" t="n">
        <v>6149000</v>
      </c>
      <c r="N11" s="265" t="n">
        <v>7307000</v>
      </c>
      <c r="O11" s="265" t="n">
        <v>9293000</v>
      </c>
      <c r="P11" s="265" t="n">
        <v>14020000</v>
      </c>
      <c r="Q11" s="265" t="n">
        <v>16807000</v>
      </c>
      <c r="S11" s="265" t="n">
        <v>14183000</v>
      </c>
      <c r="T11" s="265" t="n">
        <v>15106000</v>
      </c>
      <c r="U11" s="265" t="n">
        <v>17822000</v>
      </c>
      <c r="V11" s="265" t="n">
        <v>23552000</v>
      </c>
      <c r="X11" s="265" t="n">
        <v>18382000</v>
      </c>
      <c r="Y11" s="265" t="n">
        <v>20534000</v>
      </c>
      <c r="Z11" s="265" t="n">
        <v>21663000</v>
      </c>
      <c r="AA11" s="265" t="n">
        <v>25354000</v>
      </c>
      <c r="AC11" s="265" t="n">
        <v>21752000</v>
      </c>
      <c r="AD11" s="265" t="n">
        <v>18756000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125000</v>
      </c>
      <c r="E12" s="265">
        <f>N(E11)-N(E8)</f>
        <v>146000</v>
      </c>
      <c r="F12" s="265">
        <f>N(F11)-N(F8)</f>
        <v>142000</v>
      </c>
      <c r="G12" s="265">
        <f>N(G11)-N(G8)</f>
        <v>118000</v>
      </c>
      <c r="I12" s="265">
        <f>N(I11)-N(I8)</f>
        <v>384000</v>
      </c>
      <c r="J12" s="265">
        <f>N(J11)-N(J8)</f>
        <v>-172000</v>
      </c>
      <c r="K12" s="265">
        <f>N(K11)-N(K8)</f>
        <v>-88000</v>
      </c>
      <c r="L12" s="265">
        <f>N(L11)-N(L8)</f>
        <v>-250000</v>
      </c>
      <c r="N12" s="265">
        <f>N(N11)-N(N8)</f>
        <v>80000</v>
      </c>
      <c r="O12" s="265">
        <f>N(O11)-N(O8)</f>
        <v>-99000</v>
      </c>
      <c r="P12" s="265">
        <f>N(P11)-N(P8)</f>
        <v>272000</v>
      </c>
      <c r="Q12" s="265">
        <f>N(Q11)-N(Q8)</f>
        <v>423000</v>
      </c>
      <c r="S12" s="265">
        <f>N(S11)-N(S8)</f>
        <v>365000</v>
      </c>
      <c r="T12" s="265">
        <f>N(T11)-N(T8)</f>
        <v>259000</v>
      </c>
      <c r="U12" s="265">
        <f>N(U11)-N(U8)</f>
        <v>472000</v>
      </c>
      <c r="V12" s="265">
        <f>N(V11)-N(V8)</f>
        <v>188000</v>
      </c>
      <c r="X12" s="265">
        <f>N(X11)-N(X8)</f>
        <v>827000</v>
      </c>
      <c r="Y12" s="265">
        <f>N(Y11)-N(Y8)</f>
        <v>93000</v>
      </c>
      <c r="Z12" s="265">
        <f>N(Z11)-N(Z8)</f>
        <v>1128000</v>
      </c>
      <c r="AA12" s="265">
        <f>N(AA11)-N(AA8)</f>
        <v>609000</v>
      </c>
      <c r="AC12" s="265">
        <f>N(AC11)-N(AC8)</f>
        <v>-1120000</v>
      </c>
      <c r="AD12" s="265">
        <f>N(AD11)-N(AD8)</f>
        <v>-19000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0</v>
      </c>
      <c r="E13" s="265" t="n">
        <v>0</v>
      </c>
      <c r="F13" s="265" t="n">
        <v>0</v>
      </c>
      <c r="G13" s="265" t="n">
        <v>0</v>
      </c>
      <c r="I13" s="265" t="n">
        <v>0</v>
      </c>
      <c r="J13" s="265" t="n">
        <v>0</v>
      </c>
      <c r="K13" s="265" t="n">
        <v>0</v>
      </c>
      <c r="L13" s="265" t="n">
        <v>0</v>
      </c>
      <c r="N13" s="265" t="n">
        <v>49000</v>
      </c>
      <c r="O13" s="265" t="n">
        <v>110000</v>
      </c>
      <c r="P13" s="265" t="n">
        <v>132000</v>
      </c>
      <c r="Q13" s="265" t="n">
        <v>155000</v>
      </c>
      <c r="S13" s="265" t="n">
        <v>0</v>
      </c>
      <c r="T13" s="265" t="n">
        <v>0</v>
      </c>
      <c r="U13" s="265" t="n">
        <v>200000</v>
      </c>
      <c r="V13" s="265" t="n">
        <v>275000</v>
      </c>
      <c r="X13" s="265" t="n">
        <v>0</v>
      </c>
      <c r="Y13" s="265" t="n">
        <v>232000</v>
      </c>
      <c r="Z13" s="265" t="n">
        <v>0</v>
      </c>
      <c r="AA13" s="265" t="n">
        <v>0</v>
      </c>
      <c r="AC13" s="265" t="n">
        <v>0</v>
      </c>
      <c r="AD13" s="265" t="n">
        <v>754000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0</v>
      </c>
      <c r="E14" s="265">
        <f>IF(E13="","",-1*E13)</f>
        <v>0</v>
      </c>
      <c r="F14" s="265">
        <f>IF(F13="","",-1*F13)</f>
        <v>0</v>
      </c>
      <c r="G14" s="265">
        <f>IF(G13="","",-1*G13)</f>
        <v>0</v>
      </c>
      <c r="I14" s="265">
        <f>IF(I13="","",-1*I13)</f>
        <v>0</v>
      </c>
      <c r="J14" s="265">
        <f>IF(J13="","",-1*J13)</f>
        <v>0</v>
      </c>
      <c r="K14" s="265">
        <f>IF(K13="","",-1*K13)</f>
        <v>0</v>
      </c>
      <c r="L14" s="265">
        <f>IF(L13="","",-1*L13)</f>
        <v>0</v>
      </c>
      <c r="N14" s="265">
        <f>IF(N13="","",-1*N13)</f>
        <v>-49000</v>
      </c>
      <c r="O14" s="265">
        <f>IF(O13="","",-1*O13)</f>
        <v>-110000</v>
      </c>
      <c r="P14" s="265">
        <f>IF(P13="","",-1*P13)</f>
        <v>-132000</v>
      </c>
      <c r="Q14" s="265">
        <f>IF(Q13="","",-1*Q13)</f>
        <v>-155000</v>
      </c>
      <c r="S14" s="265">
        <f>IF(S13="","",-1*S13)</f>
        <v>0</v>
      </c>
      <c r="T14" s="265">
        <f>IF(T13="","",-1*T13)</f>
        <v>0</v>
      </c>
      <c r="U14" s="265">
        <f>IF(U13="","",-1*U13)</f>
        <v>-200000</v>
      </c>
      <c r="V14" s="265">
        <f>IF(V13="","",-1*V13)</f>
        <v>-275000</v>
      </c>
      <c r="X14" s="265">
        <f>IF(X13="","",-1*X13)</f>
        <v>0</v>
      </c>
      <c r="Y14" s="265">
        <f>IF(Y13="","",-1*Y13)</f>
        <v>-232000</v>
      </c>
      <c r="Z14" s="265">
        <f>IF(Z13="","",-1*Z13)</f>
        <v>0</v>
      </c>
      <c r="AA14" s="265">
        <f>IF(AA13="","",-1*AA13)</f>
        <v>0</v>
      </c>
      <c r="AC14" s="265">
        <f>IF(AC13="","",-1*AC13)</f>
        <v>0</v>
      </c>
      <c r="AD14" s="265">
        <f>IF(AD13="","",-1*AD13)</f>
        <v>-754000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0</v>
      </c>
      <c r="E15" s="265">
        <f>IF(E13="","",E13)</f>
        <v>0</v>
      </c>
      <c r="F15" s="265">
        <f>IF(F13="","",F13)</f>
        <v>0</v>
      </c>
      <c r="G15" s="265">
        <f>IF(G13="","",G13)</f>
        <v>0</v>
      </c>
      <c r="I15" s="265">
        <f>IF(I13="","",I13)</f>
        <v>0</v>
      </c>
      <c r="J15" s="265">
        <f>IF(J13="","",J13)</f>
        <v>0</v>
      </c>
      <c r="K15" s="265">
        <f>IF(K13="","",K13)</f>
        <v>0</v>
      </c>
      <c r="L15" s="265">
        <f>IF(L13="","",L13)</f>
        <v>0</v>
      </c>
      <c r="N15" s="265">
        <f>IF(N13="","",N13)</f>
        <v>49000</v>
      </c>
      <c r="O15" s="265">
        <f>IF(O13="","",O13)</f>
        <v>110000</v>
      </c>
      <c r="P15" s="265">
        <f>IF(P13="","",P13)</f>
        <v>132000</v>
      </c>
      <c r="Q15" s="265">
        <f>IF(Q13="","",Q13)</f>
        <v>155000</v>
      </c>
      <c r="S15" s="265">
        <f>IF(S13="","",S13)</f>
        <v>0</v>
      </c>
      <c r="T15" s="265">
        <f>IF(T13="","",T13)</f>
        <v>0</v>
      </c>
      <c r="U15" s="265">
        <f>IF(U13="","",U13)</f>
        <v>200000</v>
      </c>
      <c r="V15" s="265">
        <f>IF(V13="","",V13)</f>
        <v>275000</v>
      </c>
      <c r="X15" s="265">
        <f>IF(X13="","",X13)</f>
        <v>0</v>
      </c>
      <c r="Y15" s="265">
        <f>IF(Y13="","",Y13)</f>
        <v>232000</v>
      </c>
      <c r="Z15" s="265">
        <f>IF(Z13="","",Z13)</f>
        <v>0</v>
      </c>
      <c r="AA15" s="265">
        <f>IF(AA13="","",AA13)</f>
        <v>0</v>
      </c>
      <c r="AC15" s="265">
        <f>IF(AC13="","",AC13)</f>
        <v>0</v>
      </c>
      <c r="AD15" s="265">
        <f>IF(AD13="","",AD13)</f>
        <v>754000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2006000</v>
      </c>
      <c r="E16" s="265" t="n">
        <v>2119000</v>
      </c>
      <c r="F16" s="265" t="n">
        <v>1371000</v>
      </c>
      <c r="G16" s="265" t="n">
        <v>2418000</v>
      </c>
      <c r="I16" s="265" t="n">
        <v>1443000</v>
      </c>
      <c r="J16" s="265" t="n">
        <v>1499000</v>
      </c>
      <c r="K16" s="265" t="n">
        <v>1181000</v>
      </c>
      <c r="L16" s="265" t="n">
        <v>1496000</v>
      </c>
      <c r="N16" s="265" t="n">
        <v>1598000</v>
      </c>
      <c r="O16" s="265" t="n">
        <v>1505000</v>
      </c>
      <c r="P16" s="265" t="n">
        <v>2437000</v>
      </c>
      <c r="Q16" s="265" t="n">
        <v>2790000</v>
      </c>
      <c r="S16" s="265" t="n">
        <v>1814000</v>
      </c>
      <c r="T16" s="265" t="n">
        <v>1641000</v>
      </c>
      <c r="U16" s="265" t="n">
        <v>2134000</v>
      </c>
      <c r="V16" s="265" t="n">
        <v>2714000</v>
      </c>
      <c r="X16" s="265" t="n">
        <v>1738000</v>
      </c>
      <c r="Y16" s="265" t="n">
        <v>2197000</v>
      </c>
      <c r="Z16" s="265" t="n">
        <v>18954000</v>
      </c>
      <c r="AA16" s="265" t="n">
        <v>2586000</v>
      </c>
      <c r="AC16" s="265" t="n">
        <v>-5021000</v>
      </c>
      <c r="AD16" s="265" t="n">
        <v>2908000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-2006000</v>
      </c>
      <c r="E17" s="265">
        <f>IF(E16="","",-1*E16)</f>
        <v>-2119000</v>
      </c>
      <c r="F17" s="265">
        <f>IF(F16="","",-1*F16)</f>
        <v>-1371000</v>
      </c>
      <c r="G17" s="265">
        <f>IF(G16="","",-1*G16)</f>
        <v>-2418000</v>
      </c>
      <c r="I17" s="265">
        <f>IF(I16="","",-1*I16)</f>
        <v>-1443000</v>
      </c>
      <c r="J17" s="265">
        <f>IF(J16="","",-1*J16)</f>
        <v>-1499000</v>
      </c>
      <c r="K17" s="265">
        <f>IF(K16="","",-1*K16)</f>
        <v>-1181000</v>
      </c>
      <c r="L17" s="265">
        <f>IF(L16="","",-1*L16)</f>
        <v>-1496000</v>
      </c>
      <c r="N17" s="265">
        <f>IF(N16="","",-1*N16)</f>
        <v>-1598000</v>
      </c>
      <c r="O17" s="265">
        <f>IF(O16="","",-1*O16)</f>
        <v>-1505000</v>
      </c>
      <c r="P17" s="265">
        <f>IF(P16="","",-1*P16)</f>
        <v>-2437000</v>
      </c>
      <c r="Q17" s="265">
        <f>IF(Q16="","",-1*Q16)</f>
        <v>-2790000</v>
      </c>
      <c r="S17" s="265">
        <f>IF(S16="","",-1*S16)</f>
        <v>-1814000</v>
      </c>
      <c r="T17" s="265">
        <f>IF(T16="","",-1*T16)</f>
        <v>-1641000</v>
      </c>
      <c r="U17" s="265">
        <f>IF(U16="","",-1*U16)</f>
        <v>-2134000</v>
      </c>
      <c r="V17" s="265">
        <f>IF(V16="","",-1*V16)</f>
        <v>-2714000</v>
      </c>
      <c r="X17" s="265">
        <f>IF(X16="","",-1*X16)</f>
        <v>-1738000</v>
      </c>
      <c r="Y17" s="265">
        <f>IF(Y16="","",-1*Y16)</f>
        <v>-2197000</v>
      </c>
      <c r="Z17" s="265">
        <f>IF(Z16="","",-1*Z16)</f>
        <v>-18954000</v>
      </c>
      <c r="AA17" s="265">
        <f>IF(AA16="","",-1*AA16)</f>
        <v>-2586000</v>
      </c>
      <c r="AC17" s="265">
        <f>IF(AC16="","",-1*AC16)</f>
        <v>5021000</v>
      </c>
      <c r="AD17" s="265">
        <f>IF(AD16="","",-1*AD16)</f>
        <v>-2908000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>
        <v>9497000</v>
      </c>
      <c r="E18" s="265" t="n">
        <v>10394000</v>
      </c>
      <c r="F18" s="265" t="n">
        <v>9194000</v>
      </c>
      <c r="G18" s="265" t="n">
        <v>10285000</v>
      </c>
      <c r="I18" s="265" t="n">
        <v>7465000</v>
      </c>
      <c r="J18" s="265" t="n">
        <v>6687000</v>
      </c>
      <c r="K18" s="265" t="n">
        <v>4395000</v>
      </c>
      <c r="L18" s="265" t="n">
        <v>4653000</v>
      </c>
      <c r="N18" s="265" t="n">
        <v>5709000</v>
      </c>
      <c r="O18" s="265" t="n">
        <v>7788000</v>
      </c>
      <c r="P18" s="265" t="n">
        <v>11583000</v>
      </c>
      <c r="Q18" s="265" t="n">
        <v>14017000</v>
      </c>
      <c r="S18" s="265" t="n">
        <v>12369000</v>
      </c>
      <c r="T18" s="265" t="n">
        <v>13465000</v>
      </c>
      <c r="U18" s="265" t="n">
        <v>15688000</v>
      </c>
      <c r="V18" s="265" t="n">
        <v>20838000</v>
      </c>
      <c r="X18" s="265" t="n">
        <v>16644000</v>
      </c>
      <c r="Y18" s="265" t="n">
        <v>18337000</v>
      </c>
      <c r="Z18" s="265" t="n">
        <v>2709000</v>
      </c>
      <c r="AA18" s="265" t="n">
        <v>22768000</v>
      </c>
      <c r="AC18" s="265" t="n">
        <v>26773000</v>
      </c>
      <c r="AD18" s="265" t="n">
        <v>15848000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9497000</v>
      </c>
      <c r="E20" s="265">
        <f>N(E18)</f>
        <v>10394000</v>
      </c>
      <c r="F20" s="265">
        <f>N(F18)</f>
        <v>9194000</v>
      </c>
      <c r="G20" s="265">
        <f>N(G18)</f>
        <v>10285000</v>
      </c>
      <c r="I20" s="265">
        <f>N(I18)</f>
        <v>7465000</v>
      </c>
      <c r="J20" s="265">
        <f>N(J18)</f>
        <v>6687000</v>
      </c>
      <c r="K20" s="265">
        <f>N(K18)</f>
        <v>4395000</v>
      </c>
      <c r="L20" s="265">
        <f>N(L18)</f>
        <v>4653000</v>
      </c>
      <c r="N20" s="265">
        <f>N(N18)</f>
        <v>5709000</v>
      </c>
      <c r="O20" s="265">
        <f>N(O18)</f>
        <v>7788000</v>
      </c>
      <c r="P20" s="265">
        <f>N(P18)</f>
        <v>11583000</v>
      </c>
      <c r="Q20" s="265">
        <f>N(Q18)</f>
        <v>14017000</v>
      </c>
      <c r="S20" s="265">
        <f>N(S18)</f>
        <v>12369000</v>
      </c>
      <c r="T20" s="265">
        <f>N(T18)</f>
        <v>13465000</v>
      </c>
      <c r="U20" s="265">
        <f>N(U18)</f>
        <v>15688000</v>
      </c>
      <c r="V20" s="265">
        <f>N(V18)</f>
        <v>20838000</v>
      </c>
      <c r="X20" s="265">
        <f>N(X18)</f>
        <v>16644000</v>
      </c>
      <c r="Y20" s="265">
        <f>N(Y18)</f>
        <v>18337000</v>
      </c>
      <c r="Z20" s="265">
        <f>N(Z18)</f>
        <v>2709000</v>
      </c>
      <c r="AA20" s="265">
        <f>N(AA18)</f>
        <v>22768000</v>
      </c>
      <c r="AC20" s="265">
        <f>N(AC18)</f>
        <v>26773000</v>
      </c>
      <c r="AD20" s="265">
        <f>N(AD18)</f>
        <v>15848000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[us-gaap:DepreciationDepletionAndAmortization/DepreciationAmortizationAndAccretionNet] · fonte · unid. moeda</t>
        </is>
      </c>
      <c r="C22" t="inlineStr">
        <is>
          <t>[linha bruta, sem código; lançada nas linhas abaixo]</t>
        </is>
      </c>
      <c r="D22" s="265" t="n">
        <v>1972000</v>
      </c>
      <c r="E22" s="265" t="n">
        <v>1986000</v>
      </c>
      <c r="F22" s="265" t="n">
        <v>1995000</v>
      </c>
      <c r="G22" s="265" t="n">
        <v>2014000</v>
      </c>
      <c r="I22" s="265" t="n">
        <v>2156000</v>
      </c>
      <c r="J22" s="265" t="n">
        <v>1979000</v>
      </c>
      <c r="K22" s="265" t="n">
        <v>2175000</v>
      </c>
      <c r="L22" s="265" t="n">
        <v>2376000</v>
      </c>
      <c r="N22" s="265" t="n">
        <v>2524000</v>
      </c>
      <c r="O22" s="265" t="n">
        <v>2623000</v>
      </c>
      <c r="P22" s="265" t="n">
        <v>2859000</v>
      </c>
      <c r="Q22" s="265" t="n">
        <v>3172000</v>
      </c>
      <c r="S22" s="265" t="n">
        <v>3374000</v>
      </c>
      <c r="T22" s="265" t="n">
        <v>3637000</v>
      </c>
      <c r="U22" s="265" t="n">
        <v>4027000</v>
      </c>
      <c r="V22" s="265" t="n">
        <v>4460000</v>
      </c>
      <c r="X22" s="265" t="n">
        <v>3900000</v>
      </c>
      <c r="Y22" s="265" t="n">
        <v>4342000</v>
      </c>
      <c r="Z22" s="265" t="n">
        <v>4963000</v>
      </c>
      <c r="AA22" s="265" t="n">
        <v>5411000</v>
      </c>
      <c r="AC22" s="265" t="n">
        <v>5999000</v>
      </c>
      <c r="AD22" s="265" t="n">
        <v>6356000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-1972000</v>
      </c>
      <c r="E23" s="265">
        <f>IF(E22="","",-1*E22)</f>
        <v>-1986000</v>
      </c>
      <c r="F23" s="265">
        <f>IF(F22="","",-1*F22)</f>
        <v>-1995000</v>
      </c>
      <c r="G23" s="265">
        <f>IF(G22="","",-1*G22)</f>
        <v>-2014000</v>
      </c>
      <c r="I23" s="265">
        <f>IF(I22="","",-1*I22)</f>
        <v>-2156000</v>
      </c>
      <c r="J23" s="265">
        <f>IF(J22="","",-1*J22)</f>
        <v>-1979000</v>
      </c>
      <c r="K23" s="265">
        <f>IF(K22="","",-1*K22)</f>
        <v>-2175000</v>
      </c>
      <c r="L23" s="265">
        <f>IF(L22="","",-1*L22)</f>
        <v>-2376000</v>
      </c>
      <c r="N23" s="265">
        <f>IF(N22="","",-1*N22)</f>
        <v>-2524000</v>
      </c>
      <c r="O23" s="265">
        <f>IF(O22="","",-1*O22)</f>
        <v>-2623000</v>
      </c>
      <c r="P23" s="265">
        <f>IF(P22="","",-1*P22)</f>
        <v>-2859000</v>
      </c>
      <c r="Q23" s="265">
        <f>IF(Q22="","",-1*Q22)</f>
        <v>-3172000</v>
      </c>
      <c r="S23" s="265">
        <f>IF(S22="","",-1*S22)</f>
        <v>-3374000</v>
      </c>
      <c r="T23" s="265">
        <f>IF(T22="","",-1*T22)</f>
        <v>-3637000</v>
      </c>
      <c r="U23" s="265">
        <f>IF(U22="","",-1*U22)</f>
        <v>-4027000</v>
      </c>
      <c r="V23" s="265">
        <f>IF(V22="","",-1*V22)</f>
        <v>-4460000</v>
      </c>
      <c r="X23" s="265">
        <f>IF(X22="","",-1*X22)</f>
        <v>-3900000</v>
      </c>
      <c r="Y23" s="265">
        <f>IF(Y22="","",-1*Y22)</f>
        <v>-4342000</v>
      </c>
      <c r="Z23" s="265">
        <f>IF(Z22="","",-1*Z22)</f>
        <v>-4963000</v>
      </c>
      <c r="AA23" s="265">
        <f>IF(AA22="","",-1*AA22)</f>
        <v>-5411000</v>
      </c>
      <c r="AC23" s="265">
        <f>IF(AC22="","",-1*AC22)</f>
        <v>-5999000</v>
      </c>
      <c r="AD23" s="265">
        <f>IF(AD22="","",-1*AD22)</f>
        <v>-6356000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1972000</v>
      </c>
      <c r="E24" s="265">
        <f>IF(E22="","",E22)</f>
        <v>1986000</v>
      </c>
      <c r="F24" s="265">
        <f>IF(F22="","",F22)</f>
        <v>1995000</v>
      </c>
      <c r="G24" s="265">
        <f>IF(G22="","",G22)</f>
        <v>2014000</v>
      </c>
      <c r="I24" s="265">
        <f>IF(I22="","",I22)</f>
        <v>2156000</v>
      </c>
      <c r="J24" s="265">
        <f>IF(J22="","",J22)</f>
        <v>1979000</v>
      </c>
      <c r="K24" s="265">
        <f>IF(K22="","",K22)</f>
        <v>2175000</v>
      </c>
      <c r="L24" s="265">
        <f>IF(L22="","",L22)</f>
        <v>2376000</v>
      </c>
      <c r="N24" s="265">
        <f>IF(N22="","",N22)</f>
        <v>2524000</v>
      </c>
      <c r="O24" s="265">
        <f>IF(O22="","",O22)</f>
        <v>2623000</v>
      </c>
      <c r="P24" s="265">
        <f>IF(P22="","",P22)</f>
        <v>2859000</v>
      </c>
      <c r="Q24" s="265">
        <f>IF(Q22="","",Q22)</f>
        <v>3172000</v>
      </c>
      <c r="S24" s="265">
        <f>IF(S22="","",S22)</f>
        <v>3374000</v>
      </c>
      <c r="T24" s="265">
        <f>IF(T22="","",T22)</f>
        <v>3637000</v>
      </c>
      <c r="U24" s="265">
        <f>IF(U22="","",U22)</f>
        <v>4027000</v>
      </c>
      <c r="V24" s="265">
        <f>IF(V22="","",V22)</f>
        <v>4460000</v>
      </c>
      <c r="X24" s="265">
        <f>IF(X22="","",X22)</f>
        <v>3900000</v>
      </c>
      <c r="Y24" s="265">
        <f>IF(Y22="","",Y22)</f>
        <v>4342000</v>
      </c>
      <c r="Z24" s="265">
        <f>IF(Z22="","",Z22)</f>
        <v>4963000</v>
      </c>
      <c r="AA24" s="265">
        <f>IF(AA22="","",AA22)</f>
        <v>5411000</v>
      </c>
      <c r="AC24" s="265">
        <f>IF(AC22="","",AC22)</f>
        <v>5999000</v>
      </c>
      <c r="AD24" s="265">
        <f>IF(AD22="","",AD22)</f>
        <v>6356000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0</v>
      </c>
      <c r="E25" s="265" t="n">
        <v>0</v>
      </c>
      <c r="F25" s="265" t="n">
        <v>0</v>
      </c>
      <c r="G25" s="265" t="n">
        <v>0</v>
      </c>
      <c r="I25" s="265" t="n">
        <v>0</v>
      </c>
      <c r="J25" s="265" t="n">
        <v>0</v>
      </c>
      <c r="K25" s="265" t="n">
        <v>0</v>
      </c>
      <c r="L25" s="265" t="n">
        <v>0</v>
      </c>
      <c r="N25" s="265" t="n">
        <v>0</v>
      </c>
      <c r="O25" s="265" t="n">
        <v>0</v>
      </c>
      <c r="P25" s="265" t="n">
        <v>0</v>
      </c>
      <c r="Q25" s="265" t="n">
        <v>0</v>
      </c>
      <c r="S25" s="265" t="n">
        <v>1273000</v>
      </c>
      <c r="T25" s="265" t="n">
        <v>1266000</v>
      </c>
      <c r="U25" s="265" t="n">
        <v>1263000</v>
      </c>
      <c r="V25" s="265" t="n">
        <v>1267000</v>
      </c>
      <c r="X25" s="265" t="n">
        <v>1329000</v>
      </c>
      <c r="Y25" s="265" t="n">
        <v>1327000</v>
      </c>
      <c r="Z25" s="265" t="n">
        <v>1330000</v>
      </c>
      <c r="AA25" s="265" t="n">
        <v>1328000</v>
      </c>
      <c r="AC25" s="265" t="n">
        <v>1346000</v>
      </c>
      <c r="AD25" s="265" t="n">
        <v>1353000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0</v>
      </c>
      <c r="E26" s="265">
        <f>IF(E25="","",-1*E25)</f>
        <v>0</v>
      </c>
      <c r="F26" s="265">
        <f>IF(F25="","",-1*F25)</f>
        <v>0</v>
      </c>
      <c r="G26" s="265">
        <f>IF(G25="","",-1*G25)</f>
        <v>0</v>
      </c>
      <c r="I26" s="265">
        <f>IF(I25="","",-1*I25)</f>
        <v>0</v>
      </c>
      <c r="J26" s="265">
        <f>IF(J25="","",-1*J25)</f>
        <v>0</v>
      </c>
      <c r="K26" s="265">
        <f>IF(K25="","",-1*K25)</f>
        <v>0</v>
      </c>
      <c r="L26" s="265">
        <f>IF(L25="","",-1*L25)</f>
        <v>0</v>
      </c>
      <c r="N26" s="265">
        <f>IF(N25="","",-1*N25)</f>
        <v>0</v>
      </c>
      <c r="O26" s="265">
        <f>IF(O25="","",-1*O25)</f>
        <v>0</v>
      </c>
      <c r="P26" s="265">
        <f>IF(P25="","",-1*P25)</f>
        <v>0</v>
      </c>
      <c r="Q26" s="265">
        <f>IF(Q25="","",-1*Q25)</f>
        <v>0</v>
      </c>
      <c r="S26" s="265">
        <f>IF(S25="","",-1*S25)</f>
        <v>-1273000</v>
      </c>
      <c r="T26" s="265">
        <f>IF(T25="","",-1*T25)</f>
        <v>-1266000</v>
      </c>
      <c r="U26" s="265">
        <f>IF(U25="","",-1*U25)</f>
        <v>-1263000</v>
      </c>
      <c r="V26" s="265">
        <f>IF(V25="","",-1*V25)</f>
        <v>-1267000</v>
      </c>
      <c r="X26" s="265">
        <f>IF(X25="","",-1*X25)</f>
        <v>-1329000</v>
      </c>
      <c r="Y26" s="265">
        <f>IF(Y25="","",-1*Y25)</f>
        <v>-1327000</v>
      </c>
      <c r="Z26" s="265">
        <f>IF(Z25="","",-1*Z25)</f>
        <v>-1330000</v>
      </c>
      <c r="AA26" s="265">
        <f>IF(AA25="","",-1*AA25)</f>
        <v>-1328000</v>
      </c>
      <c r="AC26" s="265">
        <f>IF(AC25="","",-1*AC25)</f>
        <v>-1346000</v>
      </c>
      <c r="AD26" s="265">
        <f>IF(AD25="","",-1*AD25)</f>
        <v>-1353000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19513000</v>
      </c>
      <c r="E28" s="265" t="n">
        <v>16186000</v>
      </c>
      <c r="F28" s="265" t="n">
        <v>14496000</v>
      </c>
      <c r="G28" s="265" t="n">
        <v>16601000</v>
      </c>
      <c r="I28" s="265" t="n">
        <v>14886000</v>
      </c>
      <c r="J28" s="265" t="n">
        <v>12681000</v>
      </c>
      <c r="K28" s="265" t="n">
        <v>14308000</v>
      </c>
      <c r="L28" s="265" t="n">
        <v>14681000</v>
      </c>
      <c r="N28" s="265" t="n">
        <v>11551000</v>
      </c>
      <c r="O28" s="265" t="n">
        <v>28785000</v>
      </c>
      <c r="P28" s="265" t="n">
        <v>36890000</v>
      </c>
      <c r="Q28" s="265" t="n">
        <v>41862000</v>
      </c>
      <c r="S28" s="265" t="n">
        <v>32307000</v>
      </c>
      <c r="T28" s="265" t="n">
        <v>32045000</v>
      </c>
      <c r="U28" s="265" t="n">
        <v>43852000</v>
      </c>
      <c r="V28" s="265" t="n">
        <v>43889000</v>
      </c>
      <c r="X28" s="265" t="n">
        <v>28750000</v>
      </c>
      <c r="Y28" s="265" t="n">
        <v>12005000</v>
      </c>
      <c r="Z28" s="265" t="n">
        <v>10187000</v>
      </c>
      <c r="AA28" s="265" t="n">
        <v>35873000</v>
      </c>
      <c r="AC28" s="265" t="n">
        <v>23426000</v>
      </c>
      <c r="AD28" s="265" t="n">
        <v>15462000</v>
      </c>
    </row>
    <row r="29">
      <c r="A29" t="inlineStr">
        <is>
          <t>AvailableForSaleSecuritiesDebtSecuritiesCurrent · fonte · unid. moeda</t>
        </is>
      </c>
      <c r="B29" t="n">
        <v>11</v>
      </c>
      <c r="C29" t="inlineStr">
        <is>
          <t>Cash and equivalents (inc. investment securities)</t>
        </is>
      </c>
      <c r="D29" s="265" t="n">
        <v>44706000</v>
      </c>
      <c r="E29" s="265" t="n">
        <v>47894000</v>
      </c>
      <c r="F29" s="265" t="n">
        <v>43579000</v>
      </c>
      <c r="G29" s="265" t="n">
        <v>31397000</v>
      </c>
      <c r="I29" s="265" t="n">
        <v>29004000</v>
      </c>
      <c r="J29" s="265" t="n">
        <v>0</v>
      </c>
      <c r="K29" s="265" t="n">
        <v>0</v>
      </c>
      <c r="L29" s="265" t="n">
        <v>0</v>
      </c>
      <c r="N29" s="265" t="n">
        <v>0</v>
      </c>
      <c r="O29" s="265" t="n">
        <v>0</v>
      </c>
      <c r="P29" s="265" t="n">
        <v>0</v>
      </c>
      <c r="Q29" s="265" t="n">
        <v>0</v>
      </c>
      <c r="S29" s="265" t="n">
        <v>0</v>
      </c>
      <c r="T29" s="265" t="n">
        <v>0</v>
      </c>
      <c r="U29" s="265" t="n">
        <v>0</v>
      </c>
      <c r="V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C29" s="265" t="n">
        <v>0</v>
      </c>
      <c r="AD29" s="265" t="n">
        <v>0</v>
      </c>
    </row>
    <row r="30">
      <c r="A30" t="inlineStr">
        <is>
          <t>MarketableSecuritiesCurrent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0</v>
      </c>
      <c r="E30" s="265" t="n">
        <v>0</v>
      </c>
      <c r="F30" s="265" t="n">
        <v>0</v>
      </c>
      <c r="G30" s="265" t="n">
        <v>0</v>
      </c>
      <c r="I30" s="265" t="n">
        <v>0</v>
      </c>
      <c r="J30" s="265" t="n">
        <v>27808000</v>
      </c>
      <c r="K30" s="265" t="n">
        <v>27468000</v>
      </c>
      <c r="L30" s="265" t="n">
        <v>26057000</v>
      </c>
      <c r="N30" s="265" t="n">
        <v>25888000</v>
      </c>
      <c r="O30" s="265" t="n">
        <v>24661000</v>
      </c>
      <c r="P30" s="265" t="n">
        <v>24233000</v>
      </c>
      <c r="Q30" s="265" t="n">
        <v>23541000</v>
      </c>
      <c r="S30" s="265" t="n">
        <v>25813000</v>
      </c>
      <c r="T30" s="265" t="n">
        <v>26035000</v>
      </c>
      <c r="U30" s="265" t="n">
        <v>27048000</v>
      </c>
      <c r="V30" s="265" t="n">
        <v>33926000</v>
      </c>
      <c r="X30" s="265" t="n">
        <v>41480000</v>
      </c>
      <c r="Y30" s="265" t="n">
        <v>35066000</v>
      </c>
      <c r="Z30" s="265" t="n">
        <v>34261000</v>
      </c>
      <c r="AA30" s="265" t="n">
        <v>45719000</v>
      </c>
      <c r="AC30" s="265" t="n">
        <v>57754000</v>
      </c>
      <c r="AD30" s="265" t="n">
        <v>74798000</v>
      </c>
    </row>
    <row r="31">
      <c r="A31" t="inlineStr">
        <is>
          <t>AccountsReceivableNetCurrent · fonte · unid. moeda</t>
        </is>
      </c>
      <c r="B31" t="n">
        <v>12</v>
      </c>
      <c r="C31" t="inlineStr">
        <is>
          <t>Accounts receivable</t>
        </is>
      </c>
      <c r="D31" s="265" t="n">
        <v>10276000</v>
      </c>
      <c r="E31" s="265" t="n">
        <v>11698000</v>
      </c>
      <c r="F31" s="265" t="n">
        <v>12088000</v>
      </c>
      <c r="G31" s="265" t="n">
        <v>14039000</v>
      </c>
      <c r="I31" s="265" t="n">
        <v>11390000</v>
      </c>
      <c r="J31" s="265" t="n">
        <v>11525000</v>
      </c>
      <c r="K31" s="265" t="n">
        <v>11227000</v>
      </c>
      <c r="L31" s="265" t="n">
        <v>13466000</v>
      </c>
      <c r="N31" s="265" t="n">
        <v>11044000</v>
      </c>
      <c r="O31" s="265" t="n">
        <v>12511000</v>
      </c>
      <c r="P31" s="265" t="n">
        <v>12944000</v>
      </c>
      <c r="Q31" s="265" t="n">
        <v>16169000</v>
      </c>
      <c r="S31" s="265" t="n">
        <v>13430000</v>
      </c>
      <c r="T31" s="265" t="n">
        <v>14505000</v>
      </c>
      <c r="U31" s="265" t="n">
        <v>14700000</v>
      </c>
      <c r="V31" s="265" t="n">
        <v>16994000</v>
      </c>
      <c r="X31" s="265" t="n">
        <v>14514000</v>
      </c>
      <c r="Y31" s="265" t="n">
        <v>16561000</v>
      </c>
      <c r="Z31" s="265" t="n">
        <v>17297000</v>
      </c>
      <c r="AA31" s="265" t="n">
        <v>19769000</v>
      </c>
      <c r="AC31" s="265" t="n">
        <v>17470000</v>
      </c>
      <c r="AD31" s="265" t="n">
        <v>21752000</v>
      </c>
    </row>
    <row r="32">
      <c r="A32" t="inlineStr">
        <is>
          <t>PrepaidExpenseAndOtherAssetsCurrent · fonte · unid. moeda</t>
        </is>
      </c>
      <c r="B32" t="n">
        <v>16</v>
      </c>
      <c r="C32" t="inlineStr">
        <is>
          <t>Other current assets</t>
        </is>
      </c>
      <c r="D32" s="265" t="n">
        <v>2827000</v>
      </c>
      <c r="E32" s="265" t="n">
        <v>4919000</v>
      </c>
      <c r="F32" s="265" t="n">
        <v>5258000</v>
      </c>
      <c r="G32" s="265" t="n">
        <v>4629000</v>
      </c>
      <c r="I32" s="265" t="n">
        <v>3985000</v>
      </c>
      <c r="J32" s="265" t="n">
        <v>3973000</v>
      </c>
      <c r="K32" s="265" t="n">
        <v>5312000</v>
      </c>
      <c r="L32" s="265" t="n">
        <v>5345000</v>
      </c>
      <c r="N32" s="265" t="n">
        <v>4000000</v>
      </c>
      <c r="O32" s="265" t="n">
        <v>3603000</v>
      </c>
      <c r="P32" s="265" t="n">
        <v>4311000</v>
      </c>
      <c r="Q32" s="265" t="n">
        <v>3793000</v>
      </c>
      <c r="S32" s="265" t="n">
        <v>3780000</v>
      </c>
      <c r="T32" s="265" t="n">
        <v>3846000</v>
      </c>
      <c r="U32" s="265" t="n">
        <v>5467000</v>
      </c>
      <c r="V32" s="265" t="n">
        <v>5236000</v>
      </c>
      <c r="X32" s="265" t="n">
        <v>5483000</v>
      </c>
      <c r="Y32" s="265" t="n">
        <v>9981000</v>
      </c>
      <c r="Z32" s="265" t="n">
        <v>11373000</v>
      </c>
      <c r="AA32" s="265" t="n">
        <v>7361000</v>
      </c>
      <c r="AC32" s="265" t="n">
        <v>11115000</v>
      </c>
      <c r="AD32" s="265" t="n">
        <v>13463000</v>
      </c>
    </row>
    <row r="33">
      <c r="A33" t="inlineStr">
        <is>
          <t>PropertyPlantAndEquipmentNet · fonte · unid. moeda</t>
        </is>
      </c>
      <c r="B33" t="n">
        <v>18</v>
      </c>
      <c r="C33" t="inlineStr">
        <is>
          <t>PP&amp;E</t>
        </is>
      </c>
      <c r="D33" s="265" t="n">
        <v>0</v>
      </c>
      <c r="E33" s="265" t="n">
        <v>0</v>
      </c>
      <c r="F33" s="265" t="n">
        <v>0</v>
      </c>
      <c r="G33" s="265" t="n">
        <v>0</v>
      </c>
      <c r="I33" s="265" t="n">
        <v>0</v>
      </c>
      <c r="J33" s="265" t="n">
        <v>0</v>
      </c>
      <c r="K33" s="265" t="n">
        <v>0</v>
      </c>
      <c r="L33" s="265" t="n">
        <v>0</v>
      </c>
      <c r="N33" s="265" t="n">
        <v>0</v>
      </c>
      <c r="O33" s="265" t="n">
        <v>0</v>
      </c>
      <c r="P33" s="265" t="n">
        <v>0</v>
      </c>
      <c r="Q33" s="265" t="n">
        <v>0</v>
      </c>
      <c r="S33" s="265" t="n">
        <v>0</v>
      </c>
      <c r="T33" s="265" t="n">
        <v>0</v>
      </c>
      <c r="U33" s="265" t="n">
        <v>0</v>
      </c>
      <c r="V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C33" s="265" t="n">
        <v>0</v>
      </c>
      <c r="AD33" s="265" t="n">
        <v>0</v>
      </c>
    </row>
    <row r="34">
      <c r="A34" t="inlineStr">
        <is>
          <t>PropertyPlantAndEquipmentAndFinanceLeaseRightOfUseAssetAfterAccumulatedDepreciationAndAmortization · fonte · unid. moeda</t>
        </is>
      </c>
      <c r="B34" t="n">
        <v>18</v>
      </c>
      <c r="C34" t="inlineStr">
        <is>
          <t>PP&amp;E</t>
        </is>
      </c>
      <c r="D34" s="265" t="n">
        <v>47720000</v>
      </c>
      <c r="E34" s="265" t="n">
        <v>50909000</v>
      </c>
      <c r="F34" s="265" t="n">
        <v>53726000</v>
      </c>
      <c r="G34" s="265" t="n">
        <v>57809000</v>
      </c>
      <c r="I34" s="265" t="n">
        <v>61582000</v>
      </c>
      <c r="J34" s="265" t="n">
        <v>67588000</v>
      </c>
      <c r="K34" s="265" t="n">
        <v>73738000</v>
      </c>
      <c r="L34" s="265" t="n">
        <v>79518000</v>
      </c>
      <c r="N34" s="265" t="n">
        <v>84156000</v>
      </c>
      <c r="O34" s="265" t="n">
        <v>87949000</v>
      </c>
      <c r="P34" s="265" t="n">
        <v>91772000</v>
      </c>
      <c r="Q34" s="265" t="n">
        <v>96587000</v>
      </c>
      <c r="S34" s="265" t="n">
        <v>98908000</v>
      </c>
      <c r="T34" s="265" t="n">
        <v>102959000</v>
      </c>
      <c r="U34" s="265" t="n">
        <v>112162000</v>
      </c>
      <c r="V34" s="265" t="n">
        <v>121346000</v>
      </c>
      <c r="X34" s="265" t="n">
        <v>133567000</v>
      </c>
      <c r="Y34" s="265" t="n">
        <v>147039000</v>
      </c>
      <c r="Z34" s="265" t="n">
        <v>160270000</v>
      </c>
      <c r="AA34" s="265" t="n">
        <v>176400000</v>
      </c>
      <c r="AC34" s="265" t="n">
        <v>194776000</v>
      </c>
      <c r="AD34" s="265" t="n">
        <v>225724000</v>
      </c>
    </row>
    <row r="35">
      <c r="A35" t="inlineStr">
        <is>
          <t>OperatingLeaseRightOfUseAsset · fonte · unid. moeda</t>
        </is>
      </c>
      <c r="B35" t="n">
        <v>19</v>
      </c>
      <c r="C35" t="inlineStr">
        <is>
          <t>Right-of-use-assets</t>
        </is>
      </c>
      <c r="D35" s="265" t="n">
        <v>10202000</v>
      </c>
      <c r="E35" s="265" t="n">
        <v>10525000</v>
      </c>
      <c r="F35" s="265" t="n">
        <v>11063000</v>
      </c>
      <c r="G35" s="265" t="n">
        <v>12155000</v>
      </c>
      <c r="I35" s="265" t="n">
        <v>12241000</v>
      </c>
      <c r="J35" s="265" t="n">
        <v>14130000</v>
      </c>
      <c r="K35" s="265" t="n">
        <v>13641000</v>
      </c>
      <c r="L35" s="265" t="n">
        <v>12673000</v>
      </c>
      <c r="N35" s="265" t="n">
        <v>12899000</v>
      </c>
      <c r="O35" s="265" t="n">
        <v>12955000</v>
      </c>
      <c r="P35" s="265" t="n">
        <v>13033000</v>
      </c>
      <c r="Q35" s="265" t="n">
        <v>13294000</v>
      </c>
      <c r="S35" s="265" t="n">
        <v>13555000</v>
      </c>
      <c r="T35" s="265" t="n">
        <v>14058000</v>
      </c>
      <c r="U35" s="265" t="n">
        <v>14812000</v>
      </c>
      <c r="V35" s="265" t="n">
        <v>14922000</v>
      </c>
      <c r="X35" s="265" t="n">
        <v>15505000</v>
      </c>
      <c r="Y35" s="265" t="n">
        <v>15662000</v>
      </c>
      <c r="Z35" s="265" t="n">
        <v>17372000</v>
      </c>
      <c r="AA35" s="265" t="n">
        <v>20404000</v>
      </c>
      <c r="AC35" s="265" t="n">
        <v>23268000</v>
      </c>
      <c r="AD35" s="265" t="n">
        <v>23985000</v>
      </c>
    </row>
    <row r="36">
      <c r="A36" t="inlineStr">
        <is>
          <t>Goodwill · fonte · unid. moeda</t>
        </is>
      </c>
      <c r="B36" t="n">
        <v>20</v>
      </c>
      <c r="C36" t="inlineStr">
        <is>
          <t>Goodwill</t>
        </is>
      </c>
      <c r="D36" s="265" t="n">
        <v>19056000</v>
      </c>
      <c r="E36" s="265" t="n">
        <v>19219000</v>
      </c>
      <c r="F36" s="265" t="n">
        <v>19065000</v>
      </c>
      <c r="G36" s="265" t="n">
        <v>19197000</v>
      </c>
      <c r="I36" s="265" t="n">
        <v>19923000</v>
      </c>
      <c r="J36" s="265" t="n">
        <v>20229000</v>
      </c>
      <c r="K36" s="265" t="n">
        <v>20268000</v>
      </c>
      <c r="L36" s="265" t="n">
        <v>20306000</v>
      </c>
      <c r="N36" s="265" t="n">
        <v>20649000</v>
      </c>
      <c r="O36" s="265" t="n">
        <v>20659000</v>
      </c>
      <c r="P36" s="265" t="n">
        <v>20668000</v>
      </c>
      <c r="Q36" s="265" t="n">
        <v>20654000</v>
      </c>
      <c r="S36" s="265" t="n">
        <v>20654000</v>
      </c>
      <c r="T36" s="265" t="n">
        <v>20654000</v>
      </c>
      <c r="U36" s="265" t="n">
        <v>20654000</v>
      </c>
      <c r="V36" s="265" t="n">
        <v>20654000</v>
      </c>
      <c r="X36" s="265" t="n">
        <v>20654000</v>
      </c>
      <c r="Y36" s="265" t="n">
        <v>20654000</v>
      </c>
      <c r="Z36" s="265" t="n">
        <v>21158000</v>
      </c>
      <c r="AA36" s="265" t="n">
        <v>24534000</v>
      </c>
      <c r="AC36" s="265" t="n">
        <v>24748000</v>
      </c>
      <c r="AD36" s="265" t="n">
        <v>23406000</v>
      </c>
    </row>
    <row r="37">
      <c r="A37" t="inlineStr">
        <is>
          <t>IntangibleAssetsNetExcludingGoodwill · fonte · unid. moeda</t>
        </is>
      </c>
      <c r="B37" t="n">
        <v>21</v>
      </c>
      <c r="C37" t="inlineStr">
        <is>
          <t>Intangibles</t>
        </is>
      </c>
      <c r="D37" s="265" t="n">
        <v>505000</v>
      </c>
      <c r="E37" s="265" t="n">
        <v>514000</v>
      </c>
      <c r="F37" s="265" t="n">
        <v>365000</v>
      </c>
      <c r="G37" s="265" t="n">
        <v>634000</v>
      </c>
      <c r="I37" s="265" t="n">
        <v>910000</v>
      </c>
      <c r="J37" s="265" t="n">
        <v>965000</v>
      </c>
      <c r="K37" s="265" t="n">
        <v>875000</v>
      </c>
      <c r="L37" s="265" t="n">
        <v>897000</v>
      </c>
      <c r="N37" s="265" t="n">
        <v>949000</v>
      </c>
      <c r="O37" s="265" t="n">
        <v>856000</v>
      </c>
      <c r="P37" s="265" t="n">
        <v>813000</v>
      </c>
      <c r="Q37" s="265" t="n">
        <v>788000</v>
      </c>
      <c r="S37" s="265" t="n">
        <v>0</v>
      </c>
      <c r="T37" s="265" t="n">
        <v>0</v>
      </c>
      <c r="U37" s="265" t="n">
        <v>0</v>
      </c>
      <c r="V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OtherAssetsNoncurrent · fonte · unid. moeda</t>
        </is>
      </c>
      <c r="B38" t="n">
        <v>22</v>
      </c>
      <c r="C38" t="inlineStr">
        <is>
          <t>Other non-current assets</t>
        </is>
      </c>
      <c r="D38" s="265" t="n">
        <v>2376000</v>
      </c>
      <c r="E38" s="265" t="n">
        <v>2352000</v>
      </c>
      <c r="F38" s="265" t="n">
        <v>3187000</v>
      </c>
      <c r="G38" s="265" t="n">
        <v>2751000</v>
      </c>
      <c r="I38" s="265" t="n">
        <v>3522000</v>
      </c>
      <c r="J38" s="265" t="n">
        <v>4344000</v>
      </c>
      <c r="K38" s="265" t="n">
        <v>5529000</v>
      </c>
      <c r="L38" s="265" t="n">
        <v>6583000</v>
      </c>
      <c r="N38" s="265" t="n">
        <v>7188000</v>
      </c>
      <c r="O38" s="265" t="n">
        <v>8501000</v>
      </c>
      <c r="P38" s="265" t="n">
        <v>5468000</v>
      </c>
      <c r="Q38" s="265" t="n">
        <v>6794000</v>
      </c>
      <c r="S38" s="265" t="n">
        <v>8179000</v>
      </c>
      <c r="T38" s="265" t="n">
        <v>9929000</v>
      </c>
      <c r="U38" s="265" t="n">
        <v>11642000</v>
      </c>
      <c r="V38" s="265" t="n">
        <v>13017000</v>
      </c>
      <c r="X38" s="265" t="n">
        <v>14092000</v>
      </c>
      <c r="Y38" s="265" t="n">
        <v>15788000</v>
      </c>
      <c r="Z38" s="265" t="n">
        <v>6852000</v>
      </c>
      <c r="AA38" s="265" t="n">
        <v>8437000</v>
      </c>
      <c r="AC38" s="265" t="n">
        <v>14283000</v>
      </c>
      <c r="AD38" s="265" t="n">
        <v>21209000</v>
      </c>
    </row>
    <row r="39">
      <c r="A39" t="inlineStr">
        <is>
          <t>EquitySecuritiesWithoutReadilyDeterminableFairValueAmount · fonte · unid. moeda</t>
        </is>
      </c>
      <c r="B39" t="n">
        <v>22</v>
      </c>
      <c r="C39" t="inlineStr">
        <is>
          <t>Other non-current assets</t>
        </is>
      </c>
      <c r="D39" s="265" t="n">
        <v>6342000</v>
      </c>
      <c r="E39" s="265" t="n">
        <v>6393000</v>
      </c>
      <c r="F39" s="265" t="n">
        <v>6758000</v>
      </c>
      <c r="G39" s="265" t="n">
        <v>0</v>
      </c>
      <c r="I39" s="265" t="n">
        <v>0</v>
      </c>
      <c r="J39" s="265" t="n">
        <v>0</v>
      </c>
      <c r="K39" s="265" t="n">
        <v>0</v>
      </c>
      <c r="L39" s="265" t="n">
        <v>0</v>
      </c>
      <c r="N39" s="265" t="n">
        <v>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0</v>
      </c>
      <c r="X39" s="265" t="n">
        <v>0</v>
      </c>
      <c r="Y39" s="265" t="n">
        <v>0</v>
      </c>
      <c r="Z39" s="265" t="n">
        <v>0</v>
      </c>
      <c r="AA39" s="265" t="n">
        <v>0</v>
      </c>
      <c r="AC39" s="265" t="n">
        <v>0</v>
      </c>
      <c r="AD39" s="265" t="n">
        <v>0</v>
      </c>
    </row>
    <row r="40">
      <c r="A40" t="inlineStr">
        <is>
          <t>NonmarketableEquitySecuritiesCarryingValue · fonte · unid. moeda</t>
        </is>
      </c>
      <c r="B40" t="n">
        <v>22</v>
      </c>
      <c r="C40" t="inlineStr">
        <is>
          <t>Other non-current assets</t>
        </is>
      </c>
      <c r="D40" s="265" t="n">
        <v>0</v>
      </c>
      <c r="E40" s="265" t="n">
        <v>0</v>
      </c>
      <c r="F40" s="265" t="n">
        <v>0</v>
      </c>
      <c r="G40" s="265" t="n">
        <v>6775000</v>
      </c>
      <c r="I40" s="265" t="n">
        <v>6775000</v>
      </c>
      <c r="J40" s="265" t="n">
        <v>6536000</v>
      </c>
      <c r="K40" s="265" t="n">
        <v>6528000</v>
      </c>
      <c r="L40" s="265" t="n">
        <v>6201000</v>
      </c>
      <c r="N40" s="265" t="n">
        <v>6167000</v>
      </c>
      <c r="O40" s="265" t="n">
        <v>6208000</v>
      </c>
      <c r="P40" s="265" t="n">
        <v>6142000</v>
      </c>
      <c r="Q40" s="265" t="n">
        <v>6141000</v>
      </c>
      <c r="S40" s="265" t="n">
        <v>6218000</v>
      </c>
      <c r="T40" s="265" t="n">
        <v>6207000</v>
      </c>
      <c r="U40" s="265" t="n">
        <v>6071000</v>
      </c>
      <c r="V40" s="265" t="n">
        <v>6070000</v>
      </c>
      <c r="X40" s="265" t="n">
        <v>6168000</v>
      </c>
      <c r="Y40" s="265" t="n">
        <v>21988000</v>
      </c>
      <c r="Z40" s="265" t="n">
        <v>25074000</v>
      </c>
      <c r="AA40" s="265" t="n">
        <v>27524000</v>
      </c>
      <c r="AC40" s="265" t="n">
        <v>28410000</v>
      </c>
      <c r="AD40" s="265" t="n">
        <v>30157000</v>
      </c>
    </row>
    <row r="41">
      <c r="A41" t="inlineStr">
        <is>
          <t>AccountsPayableCurrent · fonte · unid. moeda</t>
        </is>
      </c>
      <c r="B41" t="n">
        <v>23</v>
      </c>
      <c r="C41" t="inlineStr">
        <is>
          <t>Accounts payable</t>
        </is>
      </c>
      <c r="D41" s="265" t="n">
        <v>0</v>
      </c>
      <c r="E41" s="265" t="n">
        <v>0</v>
      </c>
      <c r="F41" s="265" t="n">
        <v>0</v>
      </c>
      <c r="G41" s="265" t="n">
        <v>0</v>
      </c>
      <c r="I41" s="265" t="n">
        <v>0</v>
      </c>
      <c r="J41" s="265" t="n">
        <v>0</v>
      </c>
      <c r="K41" s="265" t="n">
        <v>0</v>
      </c>
      <c r="L41" s="265" t="n">
        <v>0</v>
      </c>
      <c r="N41" s="265" t="n">
        <v>0</v>
      </c>
      <c r="O41" s="265" t="n">
        <v>0</v>
      </c>
      <c r="P41" s="265" t="n">
        <v>0</v>
      </c>
      <c r="Q41" s="265" t="n">
        <v>0</v>
      </c>
      <c r="S41" s="265" t="n">
        <v>0</v>
      </c>
      <c r="T41" s="265" t="n">
        <v>0</v>
      </c>
      <c r="U41" s="265" t="n">
        <v>0</v>
      </c>
      <c r="V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C41" s="265" t="n">
        <v>0</v>
      </c>
      <c r="AD41" s="265" t="n">
        <v>15889000</v>
      </c>
    </row>
    <row r="42">
      <c r="A42" t="inlineStr">
        <is>
          <t>AccountsPayableTradeCurrent · fonte · unid. moeda</t>
        </is>
      </c>
      <c r="B42" t="n">
        <v>23</v>
      </c>
      <c r="C42" t="inlineStr">
        <is>
          <t>Accounts payable</t>
        </is>
      </c>
      <c r="D42" s="265" t="n">
        <v>878000</v>
      </c>
      <c r="E42" s="265" t="n">
        <v>973000</v>
      </c>
      <c r="F42" s="265" t="n">
        <v>2195000</v>
      </c>
      <c r="G42" s="265" t="n">
        <v>4083000</v>
      </c>
      <c r="I42" s="265" t="n">
        <v>3246000</v>
      </c>
      <c r="J42" s="265" t="n">
        <v>4008000</v>
      </c>
      <c r="K42" s="265" t="n">
        <v>3871000</v>
      </c>
      <c r="L42" s="265" t="n">
        <v>4990000</v>
      </c>
      <c r="N42" s="265" t="n">
        <v>3672000</v>
      </c>
      <c r="O42" s="265" t="n">
        <v>3093000</v>
      </c>
      <c r="P42" s="265" t="n">
        <v>4372000</v>
      </c>
      <c r="Q42" s="265" t="n">
        <v>4849000</v>
      </c>
      <c r="S42" s="265" t="n">
        <v>3785000</v>
      </c>
      <c r="T42" s="265" t="n">
        <v>3173000</v>
      </c>
      <c r="U42" s="265" t="n">
        <v>7656000</v>
      </c>
      <c r="V42" s="265" t="n">
        <v>7687000</v>
      </c>
      <c r="X42" s="265" t="n">
        <v>8512000</v>
      </c>
      <c r="Y42" s="265" t="n">
        <v>10271000</v>
      </c>
      <c r="Z42" s="265" t="n">
        <v>7798000</v>
      </c>
      <c r="AA42" s="265" t="n">
        <v>8894000</v>
      </c>
      <c r="AC42" s="265" t="n">
        <v>13326000</v>
      </c>
      <c r="AD42" s="265" t="n">
        <v>0</v>
      </c>
    </row>
    <row r="43">
      <c r="A43" t="inlineStr">
        <is>
          <t>AccruedLiabilitiesCurrent · fonte · unid. moeda</t>
        </is>
      </c>
      <c r="B43" t="n">
        <v>24</v>
      </c>
      <c r="C43" t="inlineStr">
        <is>
          <t>Accrued expenses</t>
        </is>
      </c>
      <c r="D43" s="265" t="n">
        <v>9411000</v>
      </c>
      <c r="E43" s="265" t="n">
        <v>11510000</v>
      </c>
      <c r="F43" s="265" t="n">
        <v>13158000</v>
      </c>
      <c r="G43" s="265" t="n">
        <v>14312000</v>
      </c>
      <c r="I43" s="265" t="n">
        <v>15226000</v>
      </c>
      <c r="J43" s="265" t="n">
        <v>15420000</v>
      </c>
      <c r="K43" s="265" t="n">
        <v>16036000</v>
      </c>
      <c r="L43" s="265" t="n">
        <v>19552000</v>
      </c>
      <c r="N43" s="265" t="n">
        <v>19345000</v>
      </c>
      <c r="O43" s="265" t="n">
        <v>24660000</v>
      </c>
      <c r="P43" s="265" t="n">
        <v>23929000</v>
      </c>
      <c r="Q43" s="265" t="n">
        <v>24625000</v>
      </c>
      <c r="S43" s="265" t="n">
        <v>22640000</v>
      </c>
      <c r="T43" s="265" t="n">
        <v>21914000</v>
      </c>
      <c r="U43" s="265" t="n">
        <v>23658000</v>
      </c>
      <c r="V43" s="265" t="n">
        <v>23967000</v>
      </c>
      <c r="X43" s="265" t="n">
        <v>23402000</v>
      </c>
      <c r="Y43" s="265" t="n">
        <v>25057000</v>
      </c>
      <c r="Z43" s="265" t="n">
        <v>27047000</v>
      </c>
      <c r="AA43" s="265" t="n">
        <v>30729000</v>
      </c>
      <c r="AC43" s="265" t="n">
        <v>31013000</v>
      </c>
      <c r="AD43" s="265" t="n">
        <v>38065000</v>
      </c>
    </row>
    <row r="44">
      <c r="A44" t="inlineStr">
        <is>
          <t>ContractWithCustomerLiabilityCurrent · fonte · unid. moeda</t>
        </is>
      </c>
      <c r="B44" t="n">
        <v>26</v>
      </c>
      <c r="C44" t="inlineStr">
        <is>
          <t>Other current liabilities (non-debt)</t>
        </is>
      </c>
      <c r="D44" s="265" t="n">
        <v>0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AccountsPayableAndOtherAccruedLiabilitiesCurrent · fonte · unid. moeda</t>
        </is>
      </c>
      <c r="B45" t="n">
        <v>26</v>
      </c>
      <c r="C45" t="inlineStr">
        <is>
          <t>Other current liabilities (non-debt)</t>
        </is>
      </c>
      <c r="D45" s="265" t="n">
        <v>0</v>
      </c>
      <c r="E45" s="265" t="n">
        <v>0</v>
      </c>
      <c r="F45" s="265" t="n">
        <v>0</v>
      </c>
      <c r="G45" s="265" t="n">
        <v>0</v>
      </c>
      <c r="I45" s="265" t="n">
        <v>0</v>
      </c>
      <c r="J45" s="265" t="n">
        <v>0</v>
      </c>
      <c r="K45" s="265" t="n">
        <v>0</v>
      </c>
      <c r="L45" s="265" t="n">
        <v>0</v>
      </c>
      <c r="N45" s="265" t="n">
        <v>0</v>
      </c>
      <c r="O45" s="265" t="n">
        <v>0</v>
      </c>
      <c r="P45" s="265" t="n">
        <v>0</v>
      </c>
      <c r="Q45" s="265" t="n">
        <v>0</v>
      </c>
      <c r="S45" s="265" t="n">
        <v>0</v>
      </c>
      <c r="T45" s="265" t="n">
        <v>0</v>
      </c>
      <c r="U45" s="265" t="n">
        <v>0</v>
      </c>
      <c r="V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C45" s="265" t="n">
        <v>0</v>
      </c>
      <c r="AD45" s="265" t="n">
        <v>0</v>
      </c>
    </row>
    <row r="46">
      <c r="A46" t="inlineStr">
        <is>
          <t>AccountsPayableOtherCurrent · fonte · unid. moeda</t>
        </is>
      </c>
      <c r="B46" t="n">
        <v>26</v>
      </c>
      <c r="C46" t="inlineStr">
        <is>
          <t>Other current liabilities (non-debt)</t>
        </is>
      </c>
      <c r="D46" s="265" t="n">
        <v>1006000</v>
      </c>
      <c r="E46" s="265" t="n">
        <v>949000</v>
      </c>
      <c r="F46" s="265" t="n">
        <v>909000</v>
      </c>
      <c r="G46" s="265" t="n">
        <v>1052000</v>
      </c>
      <c r="I46" s="265" t="n">
        <v>935000</v>
      </c>
      <c r="J46" s="265" t="n">
        <v>982000</v>
      </c>
      <c r="K46" s="265" t="n">
        <v>975000</v>
      </c>
      <c r="L46" s="265" t="n">
        <v>1117000</v>
      </c>
      <c r="N46" s="265" t="n">
        <v>885000</v>
      </c>
      <c r="O46" s="265" t="n">
        <v>772000</v>
      </c>
      <c r="P46" s="265" t="n">
        <v>770000</v>
      </c>
      <c r="Q46" s="265" t="n">
        <v>863000</v>
      </c>
      <c r="S46" s="265" t="n">
        <v>0</v>
      </c>
      <c r="T46" s="265" t="n">
        <v>0</v>
      </c>
      <c r="U46" s="265" t="n">
        <v>0</v>
      </c>
      <c r="V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C46" s="265" t="n">
        <v>0</v>
      </c>
      <c r="AD46" s="265" t="n">
        <v>0</v>
      </c>
    </row>
    <row r="47">
      <c r="A47" t="inlineStr">
        <is>
          <t>ContractWithCustomerLiabilityAndUnusedDeposits · fonte · unid. moeda</t>
        </is>
      </c>
      <c r="B47" t="n">
        <v>26</v>
      </c>
      <c r="C47" t="inlineStr">
        <is>
          <t>Other current liabilities (non-debt)</t>
        </is>
      </c>
      <c r="D47" s="265" t="n">
        <v>382000</v>
      </c>
      <c r="E47" s="265" t="n">
        <v>391000</v>
      </c>
      <c r="F47" s="265" t="n">
        <v>464000</v>
      </c>
      <c r="G47" s="265" t="n">
        <v>561000</v>
      </c>
      <c r="I47" s="265" t="n">
        <v>520000</v>
      </c>
      <c r="J47" s="265" t="n">
        <v>532000</v>
      </c>
      <c r="K47" s="265" t="n">
        <v>514000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OperatingLeaseLiabilityCurrent · fonte · unid. moeda</t>
        </is>
      </c>
      <c r="B48" t="n">
        <v>29</v>
      </c>
      <c r="C48" t="inlineStr">
        <is>
          <t>Short term operating leases</t>
        </is>
      </c>
      <c r="D48" s="265" t="n">
        <v>1040000</v>
      </c>
      <c r="E48" s="265" t="n">
        <v>1051000</v>
      </c>
      <c r="F48" s="265" t="n">
        <v>1086000</v>
      </c>
      <c r="G48" s="265" t="n">
        <v>1127000</v>
      </c>
      <c r="I48" s="265" t="n">
        <v>1159000</v>
      </c>
      <c r="J48" s="265" t="n">
        <v>1275000</v>
      </c>
      <c r="K48" s="265" t="n">
        <v>1291000</v>
      </c>
      <c r="L48" s="265" t="n">
        <v>1367000</v>
      </c>
      <c r="N48" s="265" t="n">
        <v>1479000</v>
      </c>
      <c r="O48" s="265" t="n">
        <v>1396000</v>
      </c>
      <c r="P48" s="265" t="n">
        <v>1460000</v>
      </c>
      <c r="Q48" s="265" t="n">
        <v>1623000</v>
      </c>
      <c r="S48" s="265" t="n">
        <v>1676000</v>
      </c>
      <c r="T48" s="265" t="n">
        <v>1917000</v>
      </c>
      <c r="U48" s="265" t="n">
        <v>2016000</v>
      </c>
      <c r="V48" s="265" t="n">
        <v>1942000</v>
      </c>
      <c r="X48" s="265" t="n">
        <v>1976000</v>
      </c>
      <c r="Y48" s="265" t="n">
        <v>1977000</v>
      </c>
      <c r="Z48" s="265" t="n">
        <v>2113000</v>
      </c>
      <c r="AA48" s="265" t="n">
        <v>2213000</v>
      </c>
      <c r="AC48" s="265" t="n">
        <v>2414000</v>
      </c>
      <c r="AD48" s="265" t="n">
        <v>2425000</v>
      </c>
    </row>
    <row r="49">
      <c r="A49" t="inlineStr">
        <is>
          <t>LongTermDebtNoncurrent · fonte · unid. moeda</t>
        </is>
      </c>
      <c r="B49" t="n">
        <v>30</v>
      </c>
      <c r="C49" t="inlineStr">
        <is>
          <t>Long term debt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9922000</v>
      </c>
      <c r="L49" s="265" t="n">
        <v>9923000</v>
      </c>
      <c r="N49" s="265" t="n">
        <v>9925000</v>
      </c>
      <c r="O49" s="265" t="n">
        <v>18382000</v>
      </c>
      <c r="P49" s="265" t="n">
        <v>18383000</v>
      </c>
      <c r="Q49" s="265" t="n">
        <v>18385000</v>
      </c>
      <c r="S49" s="265" t="n">
        <v>18387000</v>
      </c>
      <c r="T49" s="265" t="n">
        <v>18389000</v>
      </c>
      <c r="U49" s="265" t="n">
        <v>28823000</v>
      </c>
      <c r="V49" s="265" t="n">
        <v>28826000</v>
      </c>
      <c r="X49" s="265" t="n">
        <v>28829000</v>
      </c>
      <c r="Y49" s="265" t="n">
        <v>28832000</v>
      </c>
      <c r="Z49" s="265" t="n">
        <v>28834000</v>
      </c>
      <c r="AA49" s="265" t="n">
        <v>58744000</v>
      </c>
      <c r="AC49" s="265" t="n">
        <v>58748000</v>
      </c>
      <c r="AD49" s="265" t="n">
        <v>83664000</v>
      </c>
    </row>
    <row r="50">
      <c r="A50" t="inlineStr">
        <is>
          <t>OperatingLeaseLiabilityNoncurrent · fonte · unid. moeda</t>
        </is>
      </c>
      <c r="B50" t="n">
        <v>31</v>
      </c>
      <c r="C50" t="inlineStr">
        <is>
          <t>Long term operating leases</t>
        </is>
      </c>
      <c r="D50" s="265" t="n">
        <v>10574000</v>
      </c>
      <c r="E50" s="265" t="n">
        <v>10956000</v>
      </c>
      <c r="F50" s="265" t="n">
        <v>11554000</v>
      </c>
      <c r="G50" s="265" t="n">
        <v>12746000</v>
      </c>
      <c r="I50" s="265" t="n">
        <v>12894000</v>
      </c>
      <c r="J50" s="265" t="n">
        <v>14792000</v>
      </c>
      <c r="K50" s="265" t="n">
        <v>14687000</v>
      </c>
      <c r="L50" s="265" t="n">
        <v>15301000</v>
      </c>
      <c r="N50" s="265" t="n">
        <v>16171000</v>
      </c>
      <c r="O50" s="265" t="n">
        <v>16440000</v>
      </c>
      <c r="P50" s="265" t="n">
        <v>16374000</v>
      </c>
      <c r="Q50" s="265" t="n">
        <v>17226000</v>
      </c>
      <c r="S50" s="265" t="n">
        <v>17570000</v>
      </c>
      <c r="T50" s="265" t="n">
        <v>17685000</v>
      </c>
      <c r="U50" s="265" t="n">
        <v>18208000</v>
      </c>
      <c r="V50" s="265" t="n">
        <v>18292000</v>
      </c>
      <c r="X50" s="265" t="n">
        <v>18714000</v>
      </c>
      <c r="Y50" s="265" t="n">
        <v>18751000</v>
      </c>
      <c r="Z50" s="265" t="n">
        <v>20113000</v>
      </c>
      <c r="AA50" s="265" t="n">
        <v>22940000</v>
      </c>
      <c r="AC50" s="265" t="n">
        <v>25607000</v>
      </c>
      <c r="AD50" s="265" t="n">
        <v>26229000</v>
      </c>
    </row>
    <row r="51">
      <c r="A51" t="inlineStr">
        <is>
          <t>OtherLiabilitiesNoncurrent · fonte · unid. moeda</t>
        </is>
      </c>
      <c r="B51" t="n">
        <v>34</v>
      </c>
      <c r="C51" t="inlineStr">
        <is>
          <t>Other non-current liabilities</t>
        </is>
      </c>
      <c r="D51" s="265" t="n">
        <v>6575000</v>
      </c>
      <c r="E51" s="265" t="n">
        <v>6552000</v>
      </c>
      <c r="F51" s="265" t="n">
        <v>6859000</v>
      </c>
      <c r="G51" s="265" t="n">
        <v>7227000</v>
      </c>
      <c r="I51" s="265" t="n">
        <v>7010000</v>
      </c>
      <c r="J51" s="265" t="n">
        <v>7003000</v>
      </c>
      <c r="K51" s="265" t="n">
        <v>7504000</v>
      </c>
      <c r="L51" s="265" t="n">
        <v>7764000</v>
      </c>
      <c r="N51" s="265" t="n">
        <v>8219000</v>
      </c>
      <c r="O51" s="265" t="n">
        <v>7912000</v>
      </c>
      <c r="P51" s="265" t="n">
        <v>8113000</v>
      </c>
      <c r="Q51" s="265" t="n">
        <v>8884000</v>
      </c>
      <c r="S51" s="265" t="n">
        <v>1462000</v>
      </c>
      <c r="T51" s="265" t="n">
        <v>2500000</v>
      </c>
      <c r="U51" s="265" t="n">
        <v>2347000</v>
      </c>
      <c r="V51" s="265" t="n">
        <v>2716000</v>
      </c>
      <c r="X51" s="265" t="n">
        <v>2760000</v>
      </c>
      <c r="Y51" s="265" t="n">
        <v>2740000</v>
      </c>
      <c r="Z51" s="265" t="n">
        <v>12135000</v>
      </c>
      <c r="AA51" s="265" t="n">
        <v>4253000</v>
      </c>
      <c r="AC51" s="265" t="n">
        <v>3612000</v>
      </c>
      <c r="AD51" s="265" t="n">
        <v>4137000</v>
      </c>
    </row>
    <row r="52">
      <c r="A52" t="inlineStr">
        <is>
          <t>AccruedIncomeTaxesNoncurrent · fonte · unid. moeda</t>
        </is>
      </c>
      <c r="B52" t="n">
        <v>34</v>
      </c>
      <c r="C52" t="inlineStr">
        <is>
          <t>Other non-current liabilities</t>
        </is>
      </c>
      <c r="D52" s="265" t="n">
        <v>0</v>
      </c>
      <c r="E52" s="265" t="n">
        <v>0</v>
      </c>
      <c r="F52" s="265" t="n">
        <v>0</v>
      </c>
      <c r="G52" s="265" t="n">
        <v>0</v>
      </c>
      <c r="I52" s="265" t="n">
        <v>0</v>
      </c>
      <c r="J52" s="265" t="n">
        <v>0</v>
      </c>
      <c r="K52" s="265" t="n">
        <v>0</v>
      </c>
      <c r="L52" s="265" t="n">
        <v>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7795000</v>
      </c>
      <c r="T52" s="265" t="n">
        <v>7897000</v>
      </c>
      <c r="U52" s="265" t="n">
        <v>9171000</v>
      </c>
      <c r="V52" s="265" t="n">
        <v>9987000</v>
      </c>
      <c r="X52" s="265" t="n">
        <v>10991000</v>
      </c>
      <c r="Y52" s="265" t="n">
        <v>12046000</v>
      </c>
      <c r="Z52" s="265" t="n">
        <v>11738000</v>
      </c>
      <c r="AA52" s="265" t="n">
        <v>21005000</v>
      </c>
      <c r="AC52" s="265" t="n">
        <v>16849000</v>
      </c>
      <c r="AD52" s="265" t="n">
        <v>18326000</v>
      </c>
    </row>
    <row r="53">
      <c r="A53" t="inlineStr">
        <is>
          <t>CommonStockValue · fonte · unid. moeda</t>
        </is>
      </c>
      <c r="B53" t="n">
        <v>37</v>
      </c>
      <c r="C53" t="inlineStr">
        <is>
          <t>Common Stock and APIC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AdditionalPaidInCapital · fonte · unid. moeda</t>
        </is>
      </c>
      <c r="B54" t="n">
        <v>37</v>
      </c>
      <c r="C54" t="inlineStr">
        <is>
          <t>Common Stock and APIC</t>
        </is>
      </c>
      <c r="D54" s="265" t="n">
        <v>51160000</v>
      </c>
      <c r="E54" s="265" t="n">
        <v>52845000</v>
      </c>
      <c r="F54" s="265" t="n">
        <v>54334000</v>
      </c>
      <c r="G54" s="265" t="n">
        <v>55811000</v>
      </c>
      <c r="I54" s="265" t="n">
        <v>57512000</v>
      </c>
      <c r="J54" s="265" t="n">
        <v>59929000</v>
      </c>
      <c r="K54" s="265" t="n">
        <v>62092000</v>
      </c>
      <c r="L54" s="265" t="n">
        <v>64444000</v>
      </c>
      <c r="N54" s="265" t="n">
        <v>66535000</v>
      </c>
      <c r="O54" s="265" t="n">
        <v>69159000</v>
      </c>
      <c r="P54" s="265" t="n">
        <v>71224000</v>
      </c>
      <c r="Q54" s="265" t="n">
        <v>73253000</v>
      </c>
      <c r="S54" s="265" t="n">
        <v>75391000</v>
      </c>
      <c r="T54" s="265" t="n">
        <v>78270000</v>
      </c>
      <c r="U54" s="265" t="n">
        <v>80749000</v>
      </c>
      <c r="V54" s="265" t="n">
        <v>83228000</v>
      </c>
      <c r="X54" s="265" t="n">
        <v>85568000</v>
      </c>
      <c r="Y54" s="265" t="n">
        <v>88496000</v>
      </c>
      <c r="Z54" s="265" t="n">
        <v>92330000</v>
      </c>
      <c r="AA54" s="265" t="n">
        <v>95793000</v>
      </c>
      <c r="AC54" s="265" t="n">
        <v>0</v>
      </c>
      <c r="AD54" s="265" t="n">
        <v>0</v>
      </c>
    </row>
    <row r="55">
      <c r="A55" t="inlineStr">
        <is>
          <t>CommonStocksIncludingAdditionalPaidInCapital · fonte · unid. moeda</t>
        </is>
      </c>
      <c r="B55" t="n">
        <v>37</v>
      </c>
      <c r="C55" t="inlineStr">
        <is>
          <t>Common Stock and APIC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99337000</v>
      </c>
      <c r="AD55" s="265" t="n">
        <v>103981000</v>
      </c>
    </row>
    <row r="56">
      <c r="A56" t="inlineStr">
        <is>
          <t>AccumulatedOtherComprehensiveIncomeLossNetOfTax · fonte · unid. moeda</t>
        </is>
      </c>
      <c r="B56" t="n">
        <v>39</v>
      </c>
      <c r="C56" t="inlineStr">
        <is>
          <t>Comprehensive (accumulated) loss</t>
        </is>
      </c>
      <c r="D56" s="265" t="n">
        <v>154000</v>
      </c>
      <c r="E56" s="265" t="n">
        <v>285000</v>
      </c>
      <c r="F56" s="265" t="n">
        <v>-207000</v>
      </c>
      <c r="G56" s="265" t="n">
        <v>-693000</v>
      </c>
      <c r="I56" s="265" t="n">
        <v>-1996000</v>
      </c>
      <c r="J56" s="265" t="n">
        <v>-3411000</v>
      </c>
      <c r="K56" s="265" t="n">
        <v>-5054000</v>
      </c>
      <c r="L56" s="265" t="n">
        <v>-3530000</v>
      </c>
      <c r="N56" s="265" t="n">
        <v>-2981000</v>
      </c>
      <c r="O56" s="265" t="n">
        <v>-3106000</v>
      </c>
      <c r="P56" s="265" t="n">
        <v>-3556000</v>
      </c>
      <c r="Q56" s="265" t="n">
        <v>-2155000</v>
      </c>
      <c r="S56" s="265" t="n">
        <v>-2655000</v>
      </c>
      <c r="T56" s="265" t="n">
        <v>-2695000</v>
      </c>
      <c r="U56" s="265" t="n">
        <v>-1192000</v>
      </c>
      <c r="V56" s="265" t="n">
        <v>-3097000</v>
      </c>
      <c r="X56" s="265" t="n">
        <v>-1865000</v>
      </c>
      <c r="Y56" s="265" t="n">
        <v>229000</v>
      </c>
      <c r="Z56" s="265" t="n">
        <v>159000</v>
      </c>
      <c r="AA56" s="265" t="n">
        <v>271000</v>
      </c>
      <c r="AC56" s="265" t="n">
        <v>-303000</v>
      </c>
      <c r="AD56" s="265" t="n">
        <v>-603000</v>
      </c>
    </row>
    <row r="57">
      <c r="A57" t="inlineStr">
        <is>
          <t>RetainedEarningsAccumulatedDeficit · fonte · unid. moeda</t>
        </is>
      </c>
      <c r="B57" t="n">
        <v>41</v>
      </c>
      <c r="C57" t="inlineStr">
        <is>
          <t>Retained earnings</t>
        </is>
      </c>
      <c r="D57" s="265" t="n">
        <v>82343000</v>
      </c>
      <c r="E57" s="265" t="n">
        <v>85097000</v>
      </c>
      <c r="F57" s="265" t="n">
        <v>79233000</v>
      </c>
      <c r="G57" s="265" t="n">
        <v>69761000</v>
      </c>
      <c r="I57" s="265" t="n">
        <v>67712000</v>
      </c>
      <c r="J57" s="265" t="n">
        <v>69249000</v>
      </c>
      <c r="K57" s="265" t="n">
        <v>67056000</v>
      </c>
      <c r="L57" s="265" t="n">
        <v>64799000</v>
      </c>
      <c r="N57" s="265" t="n">
        <v>61241000</v>
      </c>
      <c r="O57" s="265" t="n">
        <v>67980000</v>
      </c>
      <c r="P57" s="265" t="n">
        <v>75205000</v>
      </c>
      <c r="Q57" s="265" t="n">
        <v>82070000</v>
      </c>
      <c r="S57" s="265" t="n">
        <v>76793000</v>
      </c>
      <c r="T57" s="265" t="n">
        <v>81188000</v>
      </c>
      <c r="U57" s="265" t="n">
        <v>84972000</v>
      </c>
      <c r="V57" s="265" t="n">
        <v>102506000</v>
      </c>
      <c r="X57" s="265" t="n">
        <v>101326000</v>
      </c>
      <c r="Y57" s="265" t="n">
        <v>106345000</v>
      </c>
      <c r="Z57" s="265" t="n">
        <v>101577000</v>
      </c>
      <c r="AA57" s="265" t="n">
        <v>121179000</v>
      </c>
      <c r="AC57" s="265" t="n">
        <v>144647000</v>
      </c>
      <c r="AD57" s="265" t="n">
        <v>157843000</v>
      </c>
    </row>
    <row r="58">
      <c r="A58" t="inlineStr">
        <is>
          <t>[vazio] Minoritários (DRE): não aparece como linha própria nas demonstrações (zero) · derivada · unid. moeda</t>
        </is>
      </c>
      <c r="B58" t="n">
        <v>9</v>
      </c>
      <c r="C58" t="inlineStr">
        <is>
          <t>Minority Interest Expense, after tax (enter as - )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Estoques: não aparece como linha própria nas demonstrações (zero) · derivada · unid. moeda</t>
        </is>
      </c>
      <c r="B59" t="n">
        <v>13</v>
      </c>
      <c r="C59" t="inlineStr">
        <is>
          <t>Inventories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IR diferido ativo: não aparece como linha própria nas demonstrações (zero) · derivada · unid. moeda</t>
        </is>
      </c>
      <c r="B60" t="n">
        <v>14</v>
      </c>
      <c r="C60" t="inlineStr">
        <is>
          <t>Deferred income taxes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Despesas antecipadas: não aparece como linha própria nas demonstrações (zero) · derivada · unid. moeda</t>
        </is>
      </c>
      <c r="B61" t="n">
        <v>15</v>
      </c>
      <c r="C61" t="inlineStr">
        <is>
          <t>Prepaid expenses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Investimentos em coligadas: não aparece como linha própria nas demonstrações (zero) · derivada · unid. moeda</t>
        </is>
      </c>
      <c r="B62" t="n">
        <v>17</v>
      </c>
      <c r="C62" t="inlineStr">
        <is>
          <t>Equity in affiliates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Impostos a pagar: não aparece como linha própria nas demonstrações (zero) · derivada · unid. moeda</t>
        </is>
      </c>
      <c r="B63" t="n">
        <v>25</v>
      </c>
      <c r="C63" t="inlineStr">
        <is>
          <t>Taxes payable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Dívida CP: não aparece como linha própria nas demonstrações (zero) · derivada · unid. moeda</t>
        </is>
      </c>
      <c r="B64" t="n">
        <v>27</v>
      </c>
      <c r="C64" t="inlineStr">
        <is>
          <t>Current portion of long-term debt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Revolving: não aparece como linha própria nas demonstrações (zero) · derivada · unid. moeda</t>
        </is>
      </c>
      <c r="B65" t="n">
        <v>28</v>
      </c>
      <c r="C65" t="inlineStr">
        <is>
          <t>Short term debt (Revolving credit facility)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Dívida conversível: não aparece como linha própria nas demonstrações (zero) · derivada · unid. moeda</t>
        </is>
      </c>
      <c r="B66" t="n">
        <v>32</v>
      </c>
      <c r="C66" t="inlineStr">
        <is>
          <t>Convertible debt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IR diferido passivo: não aparece como linha própria nas demonstrações (zero) · derivada · unid. moeda</t>
        </is>
      </c>
      <c r="B67" t="n">
        <v>33</v>
      </c>
      <c r="C67" t="inlineStr">
        <is>
          <t>Deferred income taxes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Participação de minoritários (balanço): não aparece como linha própria nas demonstrações (zero) · derivada · unid. moeda</t>
        </is>
      </c>
      <c r="B68" t="n">
        <v>35</v>
      </c>
      <c r="C68" t="inlineStr">
        <is>
          <t>Minority interest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Tesouraria: não aparece como linha própria nas demonstrações (zero) · derivada · unid. moeda</t>
        </is>
      </c>
      <c r="B69" t="n">
        <v>38</v>
      </c>
      <c r="C69" t="inlineStr">
        <is>
          <t>Treasury stock (contra account)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Outras contas do PL: não aparece como linha própria nas demonstrações (zero) · derivada · unid. moeda</t>
        </is>
      </c>
      <c r="B70" t="n">
        <v>40</v>
      </c>
      <c r="C70" t="inlineStr">
        <is>
          <t>Other equity account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BALANÇO - totais divulgados (memória)</t>
        </is>
      </c>
      <c r="C71" t="inlineStr">
        <is>
          <t>[linha bruta, sem código; lançada nas linhas abaixo]</t>
        </is>
      </c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Total do ativo [us-gaap:Assets] · memoria · unid. moeda</t>
        </is>
      </c>
      <c r="C72" t="inlineStr">
        <is>
          <t>[linha bruta, sem código; lançada nas linhas abaixo]</t>
        </is>
      </c>
      <c r="D72" s="265" t="n">
        <v>163523000</v>
      </c>
      <c r="E72" s="265" t="n">
        <v>170609000</v>
      </c>
      <c r="F72" s="265" t="n">
        <v>169585000</v>
      </c>
      <c r="G72" s="265" t="n">
        <v>165987000</v>
      </c>
      <c r="I72" s="265" t="n">
        <v>164218000</v>
      </c>
      <c r="J72" s="265" t="n">
        <v>169779000</v>
      </c>
      <c r="K72" s="265" t="n">
        <v>178894000</v>
      </c>
      <c r="L72" s="265" t="n">
        <v>185727000</v>
      </c>
      <c r="N72" s="265" t="n">
        <v>184491000</v>
      </c>
      <c r="O72" s="265" t="n">
        <v>206688000</v>
      </c>
      <c r="P72" s="265" t="n">
        <v>216274000</v>
      </c>
      <c r="Q72" s="265" t="n">
        <v>229623000</v>
      </c>
      <c r="S72" s="265" t="n">
        <v>222844000</v>
      </c>
      <c r="T72" s="265" t="n">
        <v>230238000</v>
      </c>
      <c r="U72" s="265" t="n">
        <v>256408000</v>
      </c>
      <c r="V72" s="265" t="n">
        <v>276054000</v>
      </c>
      <c r="X72" s="265" t="n">
        <v>280213000</v>
      </c>
      <c r="Y72" s="265" t="n">
        <v>294744000</v>
      </c>
      <c r="Z72" s="265" t="n">
        <v>303844000</v>
      </c>
      <c r="AA72" s="265" t="n">
        <v>366021000</v>
      </c>
      <c r="AC72" s="265" t="n">
        <v>395250000</v>
      </c>
      <c r="AD72" s="265" t="n">
        <v>449956000</v>
      </c>
    </row>
    <row r="73">
      <c r="A73" t="inlineStr">
        <is>
          <t>Total do passivo + PL [us-gaap:LiabilitiesAndStockholdersEquity] · memoria · unid. moeda</t>
        </is>
      </c>
      <c r="C73" t="inlineStr">
        <is>
          <t>[linha bruta, sem código; lançada nas linhas abaixo]</t>
        </is>
      </c>
      <c r="D73" s="265" t="n">
        <v>163523000</v>
      </c>
      <c r="E73" s="265" t="n">
        <v>170609000</v>
      </c>
      <c r="F73" s="265" t="n">
        <v>169585000</v>
      </c>
      <c r="G73" s="265" t="n">
        <v>165987000</v>
      </c>
      <c r="I73" s="265" t="n">
        <v>164218000</v>
      </c>
      <c r="J73" s="265" t="n">
        <v>169779000</v>
      </c>
      <c r="K73" s="265" t="n">
        <v>178894000</v>
      </c>
      <c r="L73" s="265" t="n">
        <v>185727000</v>
      </c>
      <c r="N73" s="265" t="n">
        <v>184491000</v>
      </c>
      <c r="O73" s="265" t="n">
        <v>206688000</v>
      </c>
      <c r="P73" s="265" t="n">
        <v>216274000</v>
      </c>
      <c r="Q73" s="265" t="n">
        <v>229623000</v>
      </c>
      <c r="S73" s="265" t="n">
        <v>222844000</v>
      </c>
      <c r="T73" s="265" t="n">
        <v>230238000</v>
      </c>
      <c r="U73" s="265" t="n">
        <v>256408000</v>
      </c>
      <c r="V73" s="265" t="n">
        <v>276054000</v>
      </c>
      <c r="X73" s="265" t="n">
        <v>280213000</v>
      </c>
      <c r="Y73" s="265" t="n">
        <v>294744000</v>
      </c>
      <c r="Z73" s="265" t="n">
        <v>303844000</v>
      </c>
      <c r="AA73" s="265" t="n">
        <v>366021000</v>
      </c>
      <c r="AC73" s="265" t="n">
        <v>395250000</v>
      </c>
      <c r="AD73" s="265" t="n">
        <v>449956000</v>
      </c>
    </row>
    <row r="74">
      <c r="A74" t="inlineStr">
        <is>
          <t>CHECKS (devem ser 0)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CHECK: contas de ativo - ativo total (USD, arredondado a 100 mil) · derivada · unid. moeda</t>
        </is>
      </c>
      <c r="C75" t="inlineStr">
        <is>
          <t>[linha bruta, sem código; lançada nas linhas abaixo]</t>
        </is>
      </c>
      <c r="D75" s="265">
        <f>ROUND(N(D28)+N(D29)+N(D30)+N(D31)+N(D32)+N(D33)+N(D34)+N(D35)+N(D36)+N(D37)+N(D38)+N(D39)+N(D40)-N(D72),-2)</f>
        <v>0</v>
      </c>
      <c r="E75" s="265">
        <f>ROUND(N(E28)+N(E29)+N(E30)+N(E31)+N(E32)+N(E33)+N(E34)+N(E35)+N(E36)+N(E37)+N(E38)+N(E39)+N(E40)-N(E72),-2)</f>
        <v>0</v>
      </c>
      <c r="F75" s="265">
        <f>ROUND(N(F28)+N(F29)+N(F30)+N(F31)+N(F32)+N(F33)+N(F34)+N(F35)+N(F36)+N(F37)+N(F38)+N(F39)+N(F40)-N(F72),-2)</f>
        <v>0</v>
      </c>
      <c r="G75" s="265">
        <f>ROUND(N(G28)+N(G29)+N(G30)+N(G31)+N(G32)+N(G33)+N(G34)+N(G35)+N(G36)+N(G37)+N(G38)+N(G39)+N(G40)-N(G72),-2)</f>
        <v>0</v>
      </c>
      <c r="I75" s="265">
        <f>ROUND(N(I28)+N(I29)+N(I30)+N(I31)+N(I32)+N(I33)+N(I34)+N(I35)+N(I36)+N(I37)+N(I38)+N(I39)+N(I40)-N(I72),-2)</f>
        <v>0</v>
      </c>
      <c r="J75" s="265">
        <f>ROUND(N(J28)+N(J29)+N(J30)+N(J31)+N(J32)+N(J33)+N(J34)+N(J35)+N(J36)+N(J37)+N(J38)+N(J39)+N(J40)-N(J72),-2)</f>
        <v>0</v>
      </c>
      <c r="K75" s="265">
        <f>ROUND(N(K28)+N(K29)+N(K30)+N(K31)+N(K32)+N(K33)+N(K34)+N(K35)+N(K36)+N(K37)+N(K38)+N(K39)+N(K40)-N(K72),-2)</f>
        <v>0</v>
      </c>
      <c r="L75" s="265">
        <f>ROUND(N(L28)+N(L29)+N(L30)+N(L31)+N(L32)+N(L33)+N(L34)+N(L35)+N(L36)+N(L37)+N(L38)+N(L39)+N(L40)-N(L72),-2)</f>
        <v>0</v>
      </c>
      <c r="N75" s="265">
        <f>ROUND(N(N28)+N(N29)+N(N30)+N(N31)+N(N32)+N(N33)+N(N34)+N(N35)+N(N36)+N(N37)+N(N38)+N(N39)+N(N40)-N(N72),-2)</f>
        <v>0</v>
      </c>
      <c r="O75" s="265">
        <f>ROUND(N(O28)+N(O29)+N(O30)+N(O31)+N(O32)+N(O33)+N(O34)+N(O35)+N(O36)+N(O37)+N(O38)+N(O39)+N(O40)-N(O72),-2)</f>
        <v>0</v>
      </c>
      <c r="P75" s="265">
        <f>ROUND(N(P28)+N(P29)+N(P30)+N(P31)+N(P32)+N(P33)+N(P34)+N(P35)+N(P36)+N(P37)+N(P38)+N(P39)+N(P40)-N(P72),-2)</f>
        <v>0</v>
      </c>
      <c r="Q75" s="265">
        <f>ROUND(N(Q28)+N(Q29)+N(Q30)+N(Q31)+N(Q32)+N(Q33)+N(Q34)+N(Q35)+N(Q36)+N(Q37)+N(Q38)+N(Q39)+N(Q40)-N(Q72),-2)</f>
        <v>0</v>
      </c>
      <c r="S75" s="265">
        <f>ROUND(N(S28)+N(S29)+N(S30)+N(S31)+N(S32)+N(S33)+N(S34)+N(S35)+N(S36)+N(S37)+N(S38)+N(S39)+N(S40)-N(S72),-2)</f>
        <v>0</v>
      </c>
      <c r="T75" s="265">
        <f>ROUND(N(T28)+N(T29)+N(T30)+N(T31)+N(T32)+N(T33)+N(T34)+N(T35)+N(T36)+N(T37)+N(T38)+N(T39)+N(T40)-N(T72),-2)</f>
        <v>0</v>
      </c>
      <c r="U75" s="265">
        <f>ROUND(N(U28)+N(U29)+N(U30)+N(U31)+N(U32)+N(U33)+N(U34)+N(U35)+N(U36)+N(U37)+N(U38)+N(U39)+N(U40)-N(U72),-2)</f>
        <v>0</v>
      </c>
      <c r="V75" s="265">
        <f>ROUND(N(V28)+N(V29)+N(V30)+N(V31)+N(V32)+N(V33)+N(V34)+N(V35)+N(V36)+N(V37)+N(V38)+N(V39)+N(V40)-N(V72),-2)</f>
        <v>0</v>
      </c>
      <c r="X75" s="265">
        <f>ROUND(N(X28)+N(X29)+N(X30)+N(X31)+N(X32)+N(X33)+N(X34)+N(X35)+N(X36)+N(X37)+N(X38)+N(X39)+N(X40)-N(X72),-2)</f>
        <v>0</v>
      </c>
      <c r="Y75" s="265">
        <f>ROUND(N(Y28)+N(Y29)+N(Y30)+N(Y31)+N(Y32)+N(Y33)+N(Y34)+N(Y35)+N(Y36)+N(Y37)+N(Y38)+N(Y39)+N(Y40)-N(Y72),-2)</f>
        <v>0</v>
      </c>
      <c r="Z75" s="265">
        <f>ROUND(N(Z28)+N(Z29)+N(Z30)+N(Z31)+N(Z32)+N(Z33)+N(Z34)+N(Z35)+N(Z36)+N(Z37)+N(Z38)+N(Z39)+N(Z40)-N(Z72),-2)</f>
        <v>0</v>
      </c>
      <c r="AA75" s="265">
        <f>ROUND(N(AA28)+N(AA29)+N(AA30)+N(AA31)+N(AA32)+N(AA33)+N(AA34)+N(AA35)+N(AA36)+N(AA37)+N(AA38)+N(AA39)+N(AA40)-N(AA72),-2)</f>
        <v>0</v>
      </c>
      <c r="AC75" s="265">
        <f>ROUND(N(AC28)+N(AC29)+N(AC30)+N(AC31)+N(AC32)+N(AC33)+N(AC34)+N(AC35)+N(AC36)+N(AC37)+N(AC38)+N(AC39)+N(AC40)-N(AC72),-2)</f>
        <v>0</v>
      </c>
      <c r="AD75" s="265">
        <f>ROUND(N(AD28)+N(AD29)+N(AD30)+N(AD31)+N(AD32)+N(AD33)+N(AD34)+N(AD35)+N(AD36)+N(AD37)+N(AD38)+N(AD39)+N(AD40)-N(AD72),-2)</f>
        <v>0</v>
      </c>
    </row>
    <row r="76">
      <c r="A76" t="inlineStr">
        <is>
          <t>CHECK: passivo + PL (contas) - passivo + PL total · derivada · unid. moeda</t>
        </is>
      </c>
      <c r="C76" t="inlineStr">
        <is>
          <t>[linha bruta, sem código; lançada nas linhas abaixo]</t>
        </is>
      </c>
      <c r="D76" s="265">
        <f>ROUND(N(D41)+N(D42)+N(D43)+N(D44)+N(D45)+N(D46)+N(D47)+N(D48)+N(D49)+N(D50)+N(D51)+N(D52)+N(D53)+N(D54)+N(D55)+N(D56)+N(D57)-N(D73),-2)</f>
        <v>0</v>
      </c>
      <c r="E76" s="265">
        <f>ROUND(N(E41)+N(E42)+N(E43)+N(E44)+N(E45)+N(E46)+N(E47)+N(E48)+N(E49)+N(E50)+N(E51)+N(E52)+N(E53)+N(E54)+N(E55)+N(E56)+N(E57)-N(E73),-2)</f>
        <v>0</v>
      </c>
      <c r="F76" s="265">
        <f>ROUND(N(F41)+N(F42)+N(F43)+N(F44)+N(F45)+N(F46)+N(F47)+N(F48)+N(F49)+N(F50)+N(F51)+N(F52)+N(F53)+N(F54)+N(F55)+N(F56)+N(F57)-N(F73),-2)</f>
        <v>0</v>
      </c>
      <c r="G76" s="265">
        <f>ROUND(N(G41)+N(G42)+N(G43)+N(G44)+N(G45)+N(G46)+N(G47)+N(G48)+N(G49)+N(G50)+N(G51)+N(G52)+N(G53)+N(G54)+N(G55)+N(G56)+N(G57)-N(G73),-2)</f>
        <v>0</v>
      </c>
      <c r="I76" s="265">
        <f>ROUND(N(I41)+N(I42)+N(I43)+N(I44)+N(I45)+N(I46)+N(I47)+N(I48)+N(I49)+N(I50)+N(I51)+N(I52)+N(I53)+N(I54)+N(I55)+N(I56)+N(I57)-N(I73),-2)</f>
        <v>0</v>
      </c>
      <c r="J76" s="265">
        <f>ROUND(N(J41)+N(J42)+N(J43)+N(J44)+N(J45)+N(J46)+N(J47)+N(J48)+N(J49)+N(J50)+N(J51)+N(J52)+N(J53)+N(J54)+N(J55)+N(J56)+N(J57)-N(J73),-2)</f>
        <v>0</v>
      </c>
      <c r="K76" s="265">
        <f>ROUND(N(K41)+N(K42)+N(K43)+N(K44)+N(K45)+N(K46)+N(K47)+N(K48)+N(K49)+N(K50)+N(K51)+N(K52)+N(K53)+N(K54)+N(K55)+N(K56)+N(K57)-N(K73),-2)</f>
        <v>0</v>
      </c>
      <c r="L76" s="265">
        <f>ROUND(N(L41)+N(L42)+N(L43)+N(L44)+N(L45)+N(L46)+N(L47)+N(L48)+N(L49)+N(L50)+N(L51)+N(L52)+N(L53)+N(L54)+N(L55)+N(L56)+N(L57)-N(L73),-2)</f>
        <v>0</v>
      </c>
      <c r="N76" s="265">
        <f>ROUND(N(N41)+N(N42)+N(N43)+N(N44)+N(N45)+N(N46)+N(N47)+N(N48)+N(N49)+N(N50)+N(N51)+N(N52)+N(N53)+N(N54)+N(N55)+N(N56)+N(N57)-N(N73),-2)</f>
        <v>0</v>
      </c>
      <c r="O76" s="265">
        <f>ROUND(N(O41)+N(O42)+N(O43)+N(O44)+N(O45)+N(O46)+N(O47)+N(O48)+N(O49)+N(O50)+N(O51)+N(O52)+N(O53)+N(O54)+N(O55)+N(O56)+N(O57)-N(O73),-2)</f>
        <v>0</v>
      </c>
      <c r="P76" s="265">
        <f>ROUND(N(P41)+N(P42)+N(P43)+N(P44)+N(P45)+N(P46)+N(P47)+N(P48)+N(P49)+N(P50)+N(P51)+N(P52)+N(P53)+N(P54)+N(P55)+N(P56)+N(P57)-N(P73),-2)</f>
        <v>0</v>
      </c>
      <c r="Q76" s="265">
        <f>ROUND(N(Q41)+N(Q42)+N(Q43)+N(Q44)+N(Q45)+N(Q46)+N(Q47)+N(Q48)+N(Q49)+N(Q50)+N(Q51)+N(Q52)+N(Q53)+N(Q54)+N(Q55)+N(Q56)+N(Q57)-N(Q73),-2)</f>
        <v>0</v>
      </c>
      <c r="S76" s="265">
        <f>ROUND(N(S41)+N(S42)+N(S43)+N(S44)+N(S45)+N(S46)+N(S47)+N(S48)+N(S49)+N(S50)+N(S51)+N(S52)+N(S53)+N(S54)+N(S55)+N(S56)+N(S57)-N(S73),-2)</f>
        <v>0</v>
      </c>
      <c r="T76" s="265">
        <f>ROUND(N(T41)+N(T42)+N(T43)+N(T44)+N(T45)+N(T46)+N(T47)+N(T48)+N(T49)+N(T50)+N(T51)+N(T52)+N(T53)+N(T54)+N(T55)+N(T56)+N(T57)-N(T73),-2)</f>
        <v>0</v>
      </c>
      <c r="U76" s="265">
        <f>ROUND(N(U41)+N(U42)+N(U43)+N(U44)+N(U45)+N(U46)+N(U47)+N(U48)+N(U49)+N(U50)+N(U51)+N(U52)+N(U53)+N(U54)+N(U55)+N(U56)+N(U57)-N(U73),-2)</f>
        <v>0</v>
      </c>
      <c r="V76" s="265">
        <f>ROUND(N(V41)+N(V42)+N(V43)+N(V44)+N(V45)+N(V46)+N(V47)+N(V48)+N(V49)+N(V50)+N(V51)+N(V52)+N(V53)+N(V54)+N(V55)+N(V56)+N(V57)-N(V73),-2)</f>
        <v>0</v>
      </c>
      <c r="X76" s="265">
        <f>ROUND(N(X41)+N(X42)+N(X43)+N(X44)+N(X45)+N(X46)+N(X47)+N(X48)+N(X49)+N(X50)+N(X51)+N(X52)+N(X53)+N(X54)+N(X55)+N(X56)+N(X57)-N(X73),-2)</f>
        <v>0</v>
      </c>
      <c r="Y76" s="265">
        <f>ROUND(N(Y41)+N(Y42)+N(Y43)+N(Y44)+N(Y45)+N(Y46)+N(Y47)+N(Y48)+N(Y49)+N(Y50)+N(Y51)+N(Y52)+N(Y53)+N(Y54)+N(Y55)+N(Y56)+N(Y57)-N(Y73),-2)</f>
        <v>0</v>
      </c>
      <c r="Z76" s="265">
        <f>ROUND(N(Z41)+N(Z42)+N(Z43)+N(Z44)+N(Z45)+N(Z46)+N(Z47)+N(Z48)+N(Z49)+N(Z50)+N(Z51)+N(Z52)+N(Z53)+N(Z54)+N(Z55)+N(Z56)+N(Z57)-N(Z73),-2)</f>
        <v>0</v>
      </c>
      <c r="AA76" s="265">
        <f>ROUND(N(AA41)+N(AA42)+N(AA43)+N(AA44)+N(AA45)+N(AA46)+N(AA47)+N(AA48)+N(AA49)+N(AA50)+N(AA51)+N(AA52)+N(AA53)+N(AA54)+N(AA55)+N(AA56)+N(AA57)-N(AA73),-2)</f>
        <v>0</v>
      </c>
      <c r="AC76" s="265">
        <f>ROUND(N(AC41)+N(AC42)+N(AC43)+N(AC44)+N(AC45)+N(AC46)+N(AC47)+N(AC48)+N(AC49)+N(AC50)+N(AC51)+N(AC52)+N(AC53)+N(AC54)+N(AC55)+N(AC56)+N(AC57)-N(AC73),-2)</f>
        <v>0</v>
      </c>
      <c r="AD76" s="265">
        <f>ROUND(N(AD41)+N(AD42)+N(AD43)+N(AD44)+N(AD45)+N(AD46)+N(AD47)+N(AD48)+N(AD49)+N(AD50)+N(AD51)+N(AD52)+N(AD53)+N(AD54)+N(AD55)+N(AD56)+N(AD57)-N(AD73),-2)</f>
        <v>0</v>
      </c>
    </row>
    <row r="77">
      <c r="A77" t="inlineStr">
        <is>
          <t>CHECK: receita - custo - despesas + não operacional - IR - minoritários + outros após IR - lucro (deve ser 0) · derivada</t>
        </is>
      </c>
      <c r="C77" t="inlineStr">
        <is>
          <t>[linha bruta, sem código; lançada nas linhas abaixo]</t>
        </is>
      </c>
      <c r="D77" s="265">
        <f>ROUND(N(D5)-N(D6)-N(D9)+N(D12)-N(D16)+N(D19)-N(D20),-2)</f>
        <v>0</v>
      </c>
      <c r="E77" s="265">
        <f>ROUND(N(E5)-N(E6)-N(E9)+N(E12)-N(E16)+N(E19)-N(E20),-2)</f>
        <v>0</v>
      </c>
      <c r="F77" s="265">
        <f>ROUND(N(F5)-N(F6)-N(F9)+N(F12)-N(F16)+N(F19)-N(F20),-2)</f>
        <v>0</v>
      </c>
      <c r="G77" s="265">
        <f>ROUND(N(G5)-N(G6)-N(G9)+N(G12)-N(G16)+N(G19)-N(G20),-2)</f>
        <v>0</v>
      </c>
      <c r="I77" s="265">
        <f>ROUND(N(I5)-N(I6)-N(I9)+N(I12)-N(I16)+N(I19)-N(I20),-2)</f>
        <v>0</v>
      </c>
      <c r="J77" s="265">
        <f>ROUND(N(J5)-N(J6)-N(J9)+N(J12)-N(J16)+N(J19)-N(J20),-2)</f>
        <v>0</v>
      </c>
      <c r="K77" s="265">
        <f>ROUND(N(K5)-N(K6)-N(K9)+N(K12)-N(K16)+N(K19)-N(K20),-2)</f>
        <v>0</v>
      </c>
      <c r="L77" s="265">
        <f>ROUND(N(L5)-N(L6)-N(L9)+N(L12)-N(L16)+N(L19)-N(L20),-2)</f>
        <v>0</v>
      </c>
      <c r="N77" s="265">
        <f>ROUND(N(N5)-N(N6)-N(N9)+N(N12)-N(N16)+N(N19)-N(N20),-2)</f>
        <v>0</v>
      </c>
      <c r="O77" s="265">
        <f>ROUND(N(O5)-N(O6)-N(O9)+N(O12)-N(O16)+N(O19)-N(O20),-2)</f>
        <v>0</v>
      </c>
      <c r="P77" s="265">
        <f>ROUND(N(P5)-N(P6)-N(P9)+N(P12)-N(P16)+N(P19)-N(P20),-2)</f>
        <v>0</v>
      </c>
      <c r="Q77" s="265">
        <f>ROUND(N(Q5)-N(Q6)-N(Q9)+N(Q12)-N(Q16)+N(Q19)-N(Q20),-2)</f>
        <v>0</v>
      </c>
      <c r="S77" s="265">
        <f>ROUND(N(S5)-N(S6)-N(S9)+N(S12)-N(S16)+N(S19)-N(S20),-2)</f>
        <v>0</v>
      </c>
      <c r="T77" s="265">
        <f>ROUND(N(T5)-N(T6)-N(T9)+N(T12)-N(T16)+N(T19)-N(T20),-2)</f>
        <v>0</v>
      </c>
      <c r="U77" s="265">
        <f>ROUND(N(U5)-N(U6)-N(U9)+N(U12)-N(U16)+N(U19)-N(U20),-2)</f>
        <v>0</v>
      </c>
      <c r="V77" s="265">
        <f>ROUND(N(V5)-N(V6)-N(V9)+N(V12)-N(V16)+N(V19)-N(V20),-2)</f>
        <v>0</v>
      </c>
      <c r="X77" s="265">
        <f>ROUND(N(X5)-N(X6)-N(X9)+N(X12)-N(X16)+N(X19)-N(X20),-2)</f>
        <v>0</v>
      </c>
      <c r="Y77" s="265">
        <f>ROUND(N(Y5)-N(Y6)-N(Y9)+N(Y12)-N(Y16)+N(Y19)-N(Y20),-2)</f>
        <v>0</v>
      </c>
      <c r="Z77" s="265">
        <f>ROUND(N(Z5)-N(Z6)-N(Z9)+N(Z12)-N(Z16)+N(Z19)-N(Z20),-2)</f>
        <v>0</v>
      </c>
      <c r="AA77" s="265">
        <f>ROUND(N(AA5)-N(AA6)-N(AA9)+N(AA12)-N(AA16)+N(AA19)-N(AA20),-2)</f>
        <v>0</v>
      </c>
      <c r="AC77" s="265">
        <f>ROUND(N(AC5)-N(AC6)-N(AC9)+N(AC12)-N(AC16)+N(AC19)-N(AC20),-2)</f>
        <v>0</v>
      </c>
      <c r="AD77" s="265">
        <f>ROUND(N(AD5)-N(AD6)-N(AD9)+N(AD12)-N(AD16)+N(AD19)-N(AD20),-2)</f>
        <v>0</v>
      </c>
    </row>
    <row r="78"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DRIVERS DE RECEITA (codigos 45+): publicidade x outras receitas, segmentos Family of Apps e Reality Labs (receita e lucro operacional) e regiões - SEC XBRL (USD, fator 0,000001).</t>
        </is>
      </c>
      <c r="C79" t="inlineStr">
        <is>
          <t>[linha bruta, sem código; lançada nas linhas abaixo]</t>
        </is>
      </c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A80" t="inlineStr">
        <is>
          <t>Receita de publicidade (USD) · fonte · unid. moeda</t>
        </is>
      </c>
      <c r="B80" t="n">
        <v>45</v>
      </c>
      <c r="C80" t="inlineStr">
        <is>
          <t>Receita de publicidade (USD)</t>
        </is>
      </c>
      <c r="D80" s="265" t="n">
        <v>25439000</v>
      </c>
      <c r="E80" s="265" t="n">
        <v>28580000</v>
      </c>
      <c r="F80" s="265" t="n">
        <v>28276000</v>
      </c>
      <c r="G80" s="265" t="n">
        <v>32640000</v>
      </c>
      <c r="I80" s="265" t="n">
        <v>26998000</v>
      </c>
      <c r="J80" s="265" t="n">
        <v>28152000</v>
      </c>
      <c r="K80" s="265" t="n">
        <v>27237000</v>
      </c>
      <c r="L80" s="265" t="n">
        <v>31255000</v>
      </c>
      <c r="N80" s="265" t="n">
        <v>28101000</v>
      </c>
      <c r="O80" s="265" t="n">
        <v>31498000</v>
      </c>
      <c r="P80" s="265" t="n">
        <v>33643000</v>
      </c>
      <c r="Q80" s="265" t="n">
        <v>38706000</v>
      </c>
      <c r="S80" s="265" t="n">
        <v>35635000</v>
      </c>
      <c r="T80" s="265" t="n">
        <v>38329000</v>
      </c>
      <c r="U80" s="265" t="n">
        <v>39885000</v>
      </c>
      <c r="V80" s="265" t="n">
        <v>46783000</v>
      </c>
      <c r="X80" s="265" t="n">
        <v>41392000</v>
      </c>
      <c r="Y80" s="265" t="n">
        <v>46563000</v>
      </c>
      <c r="Z80" s="265" t="n">
        <v>50082000</v>
      </c>
      <c r="AA80" s="265" t="n">
        <v>58138000</v>
      </c>
      <c r="AC80" s="265" t="n">
        <v>55024000</v>
      </c>
      <c r="AD80" s="265" t="n">
        <v>59363000</v>
      </c>
    </row>
    <row r="81">
      <c r="A81" t="inlineStr">
        <is>
          <t>Outras receitas Family of Apps (USD; até 3T20 inclui hardware, antes da criação do segmento Reality Labs) · fonte · unid. moeda</t>
        </is>
      </c>
      <c r="B81" t="n">
        <v>46</v>
      </c>
      <c r="C81" t="inlineStr">
        <is>
          <t>Outras receitas Family of Apps (USD; até 3T20 inclui hardwar</t>
        </is>
      </c>
      <c r="D81" s="265" t="n">
        <v>198000</v>
      </c>
      <c r="E81" s="265" t="n">
        <v>192000</v>
      </c>
      <c r="F81" s="265" t="n">
        <v>176000</v>
      </c>
      <c r="G81" s="265" t="n">
        <v>154000</v>
      </c>
      <c r="I81" s="265" t="n">
        <v>215000</v>
      </c>
      <c r="J81" s="265" t="n">
        <v>218000</v>
      </c>
      <c r="K81" s="265" t="n">
        <v>192000</v>
      </c>
      <c r="L81" s="265" t="n">
        <v>184000</v>
      </c>
      <c r="N81" s="265" t="n">
        <v>205000</v>
      </c>
      <c r="O81" s="265" t="n">
        <v>225000</v>
      </c>
      <c r="P81" s="265" t="n">
        <v>293000</v>
      </c>
      <c r="Q81" s="265" t="n">
        <v>334000</v>
      </c>
      <c r="S81" s="265" t="n">
        <v>380000</v>
      </c>
      <c r="T81" s="265" t="n">
        <v>389000</v>
      </c>
      <c r="U81" s="265" t="n">
        <v>434000</v>
      </c>
      <c r="V81" s="265" t="n">
        <v>519000</v>
      </c>
      <c r="X81" s="265" t="n">
        <v>510000</v>
      </c>
      <c r="Y81" s="265" t="n">
        <v>583000</v>
      </c>
      <c r="Z81" s="265" t="n">
        <v>690000</v>
      </c>
      <c r="AA81" s="265" t="n">
        <v>800000</v>
      </c>
      <c r="AC81" s="265" t="n">
        <v>885000</v>
      </c>
      <c r="AD81" s="265" t="n">
        <v>1007000</v>
      </c>
    </row>
    <row r="82">
      <c r="A82" t="inlineStr">
        <is>
          <t>Reality Labs - receita (USD) · fonte · unid. moeda</t>
        </is>
      </c>
      <c r="B82" t="n">
        <v>47</v>
      </c>
      <c r="C82" t="inlineStr">
        <is>
          <t>Reality Labs - receita (USD)</t>
        </is>
      </c>
      <c r="D82" s="265" t="n">
        <v>534000</v>
      </c>
      <c r="E82" s="265" t="n">
        <v>305000</v>
      </c>
      <c r="F82" s="265" t="n">
        <v>558000</v>
      </c>
      <c r="G82" s="265" t="n">
        <v>877000</v>
      </c>
      <c r="I82" s="265" t="n">
        <v>695000</v>
      </c>
      <c r="J82" s="265" t="n">
        <v>452000</v>
      </c>
      <c r="K82" s="265" t="n">
        <v>285000</v>
      </c>
      <c r="L82" s="265" t="n">
        <v>726000</v>
      </c>
      <c r="N82" s="265" t="n">
        <v>339000</v>
      </c>
      <c r="O82" s="265" t="n">
        <v>276000</v>
      </c>
      <c r="P82" s="265" t="n">
        <v>210000</v>
      </c>
      <c r="Q82" s="265" t="n">
        <v>1071000</v>
      </c>
      <c r="S82" s="265" t="n">
        <v>440000</v>
      </c>
      <c r="T82" s="265" t="n">
        <v>353000</v>
      </c>
      <c r="U82" s="265" t="n">
        <v>270000</v>
      </c>
      <c r="V82" s="265" t="n">
        <v>1083000</v>
      </c>
      <c r="X82" s="265" t="n">
        <v>412000</v>
      </c>
      <c r="Y82" s="265" t="n">
        <v>370000</v>
      </c>
      <c r="Z82" s="265" t="n">
        <v>470000</v>
      </c>
      <c r="AA82" s="265" t="n">
        <v>955000</v>
      </c>
      <c r="AC82" s="265" t="n">
        <v>402000</v>
      </c>
      <c r="AD82" s="265" t="n">
        <v>431000</v>
      </c>
    </row>
    <row r="83">
      <c r="A83" t="inlineStr">
        <is>
          <t>Family of Apps - receita (USD) · fonte · unid. moeda</t>
        </is>
      </c>
      <c r="B83" t="n">
        <v>48</v>
      </c>
      <c r="C83" t="inlineStr">
        <is>
          <t>Family of Apps - receita (USD)</t>
        </is>
      </c>
      <c r="D83" s="265" t="n">
        <v>25637000</v>
      </c>
      <c r="E83" s="265" t="n">
        <v>28772000</v>
      </c>
      <c r="F83" s="265" t="n">
        <v>28452000</v>
      </c>
      <c r="G83" s="265" t="n">
        <v>32794000</v>
      </c>
      <c r="I83" s="265" t="n">
        <v>27213000</v>
      </c>
      <c r="J83" s="265" t="n">
        <v>28370000</v>
      </c>
      <c r="K83" s="265" t="n">
        <v>27429000</v>
      </c>
      <c r="L83" s="265" t="n">
        <v>31439000</v>
      </c>
      <c r="N83" s="265" t="n">
        <v>28306000</v>
      </c>
      <c r="O83" s="265" t="n">
        <v>31723000</v>
      </c>
      <c r="P83" s="265" t="n">
        <v>33936000</v>
      </c>
      <c r="Q83" s="265" t="n">
        <v>39040000</v>
      </c>
      <c r="S83" s="265" t="n">
        <v>36015000</v>
      </c>
      <c r="T83" s="265" t="n">
        <v>38718000</v>
      </c>
      <c r="U83" s="265" t="n">
        <v>40319000</v>
      </c>
      <c r="V83" s="265" t="n">
        <v>47302000</v>
      </c>
      <c r="X83" s="265" t="n">
        <v>41902000</v>
      </c>
      <c r="Y83" s="265" t="n">
        <v>47146000</v>
      </c>
      <c r="Z83" s="265" t="n">
        <v>50772000</v>
      </c>
      <c r="AA83" s="265" t="n">
        <v>58938000</v>
      </c>
      <c r="AC83" s="265" t="n">
        <v>55909000</v>
      </c>
      <c r="AD83" s="265" t="n">
        <v>60370000</v>
      </c>
    </row>
    <row r="84">
      <c r="A84" t="inlineStr">
        <is>
          <t>Family of Apps - lucro operacional (USD) · fonte · unid. moeda</t>
        </is>
      </c>
      <c r="B84" t="n">
        <v>49</v>
      </c>
      <c r="C84" t="inlineStr">
        <is>
          <t>Family of Apps - lucro operacional (USD)</t>
        </is>
      </c>
      <c r="D84" s="265" t="n">
        <v>13205000</v>
      </c>
      <c r="E84" s="265" t="n">
        <v>14799000</v>
      </c>
      <c r="F84" s="265" t="n">
        <v>13054000</v>
      </c>
      <c r="G84" s="265" t="n">
        <v>15888000</v>
      </c>
      <c r="I84" s="265" t="n">
        <v>11484000</v>
      </c>
      <c r="J84" s="265" t="n">
        <v>11164000</v>
      </c>
      <c r="K84" s="265" t="n">
        <v>9336000</v>
      </c>
      <c r="L84" s="265" t="n">
        <v>10678000</v>
      </c>
      <c r="N84" s="265" t="n">
        <v>11219000</v>
      </c>
      <c r="O84" s="265" t="n">
        <v>13131000</v>
      </c>
      <c r="P84" s="265" t="n">
        <v>17490000</v>
      </c>
      <c r="Q84" s="265" t="n">
        <v>21030000</v>
      </c>
      <c r="S84" s="265" t="n">
        <v>17664000</v>
      </c>
      <c r="T84" s="265" t="n">
        <v>19335000</v>
      </c>
      <c r="U84" s="265" t="n">
        <v>21778000</v>
      </c>
      <c r="V84" s="265" t="n">
        <v>28331000</v>
      </c>
      <c r="X84" s="265" t="n">
        <v>21765000</v>
      </c>
      <c r="Y84" s="265" t="n">
        <v>24971000</v>
      </c>
      <c r="Z84" s="265" t="n">
        <v>24967000</v>
      </c>
      <c r="AA84" s="265" t="n">
        <v>30767000</v>
      </c>
      <c r="AC84" s="265" t="n">
        <v>26900000</v>
      </c>
      <c r="AD84" s="265" t="n">
        <v>23394000</v>
      </c>
    </row>
    <row r="85">
      <c r="A85" t="inlineStr">
        <is>
          <t>Reality Labs - lucro operacional (USD) · fonte · unid. moeda</t>
        </is>
      </c>
      <c r="B85" t="n">
        <v>50</v>
      </c>
      <c r="C85" t="inlineStr">
        <is>
          <t>Reality Labs - lucro operacional (USD)</t>
        </is>
      </c>
      <c r="D85" s="265" t="n">
        <v>-1827000</v>
      </c>
      <c r="E85" s="265" t="n">
        <v>-2432000</v>
      </c>
      <c r="F85" s="265" t="n">
        <v>-2631000</v>
      </c>
      <c r="G85" s="265" t="n">
        <v>-3303000</v>
      </c>
      <c r="I85" s="265" t="n">
        <v>-2960000</v>
      </c>
      <c r="J85" s="265" t="n">
        <v>-2806000</v>
      </c>
      <c r="K85" s="265" t="n">
        <v>-3672000</v>
      </c>
      <c r="L85" s="265" t="n">
        <v>-4279000</v>
      </c>
      <c r="N85" s="265" t="n">
        <v>-3992000</v>
      </c>
      <c r="O85" s="265" t="n">
        <v>-3739000</v>
      </c>
      <c r="P85" s="265" t="n">
        <v>-3742000</v>
      </c>
      <c r="Q85" s="265" t="n">
        <v>-4646000</v>
      </c>
      <c r="S85" s="265" t="n">
        <v>-3846000</v>
      </c>
      <c r="T85" s="265" t="n">
        <v>-4488000</v>
      </c>
      <c r="U85" s="265" t="n">
        <v>-4428000</v>
      </c>
      <c r="V85" s="265" t="n">
        <v>-4967000</v>
      </c>
      <c r="X85" s="265" t="n">
        <v>-4210000</v>
      </c>
      <c r="Y85" s="265" t="n">
        <v>-4530000</v>
      </c>
      <c r="Z85" s="265" t="n">
        <v>-4432000</v>
      </c>
      <c r="AA85" s="265" t="n">
        <v>-6022000</v>
      </c>
      <c r="AC85" s="265" t="n">
        <v>-4028000</v>
      </c>
      <c r="AD85" s="265" t="n">
        <v>-4619000</v>
      </c>
    </row>
    <row r="86">
      <c r="A86" t="inlineStr">
        <is>
          <t>Receita EUA e Canadá (USD) · fonte · unid. moeda</t>
        </is>
      </c>
      <c r="B86" t="n">
        <v>51</v>
      </c>
      <c r="C86" t="inlineStr">
        <is>
          <t>Receita EUA e Canadá (USD)</t>
        </is>
      </c>
      <c r="D86" s="265" t="n">
        <v>11436000</v>
      </c>
      <c r="E86" s="265" t="n">
        <v>12612000</v>
      </c>
      <c r="F86" s="265" t="n">
        <v>12668000</v>
      </c>
      <c r="G86" s="265" t="n">
        <v>14825000</v>
      </c>
      <c r="I86" s="265" t="n">
        <v>11780000</v>
      </c>
      <c r="J86" s="265" t="n">
        <v>12186000</v>
      </c>
      <c r="K86" s="265" t="n">
        <v>11966000</v>
      </c>
      <c r="L86" s="265" t="n">
        <v>14219000</v>
      </c>
      <c r="N86" s="265" t="n">
        <v>11449000</v>
      </c>
      <c r="O86" s="265" t="n">
        <v>12404000</v>
      </c>
      <c r="P86" s="265" t="n">
        <v>12908000</v>
      </c>
      <c r="Q86" s="265" t="n">
        <v>16127000</v>
      </c>
      <c r="S86" s="265" t="n">
        <v>13646000</v>
      </c>
      <c r="T86" s="265" t="n">
        <v>14640000</v>
      </c>
      <c r="U86" s="265" t="n">
        <v>15619000</v>
      </c>
      <c r="V86" s="265" t="n">
        <v>19301000</v>
      </c>
      <c r="X86" s="265" t="n">
        <v>16869000</v>
      </c>
      <c r="Y86" s="265" t="n">
        <v>18454000</v>
      </c>
      <c r="Z86" s="265" t="n">
        <v>19708000</v>
      </c>
      <c r="AA86" s="265" t="n">
        <v>23835000</v>
      </c>
      <c r="AC86" s="265" t="n">
        <v>21267000</v>
      </c>
      <c r="AD86" s="265" t="n">
        <v>23863000</v>
      </c>
    </row>
    <row r="87">
      <c r="A87" t="inlineStr">
        <is>
          <t>Receita Europa (USD) · fonte · unid. moeda</t>
        </is>
      </c>
      <c r="B87" t="n">
        <v>52</v>
      </c>
      <c r="C87" t="inlineStr">
        <is>
          <t>Receita Europa (USD)</t>
        </is>
      </c>
      <c r="D87" s="265" t="n">
        <v>6384000</v>
      </c>
      <c r="E87" s="265" t="n">
        <v>7220000</v>
      </c>
      <c r="F87" s="265" t="n">
        <v>7018000</v>
      </c>
      <c r="G87" s="265" t="n">
        <v>8435000</v>
      </c>
      <c r="I87" s="265" t="n">
        <v>6638000</v>
      </c>
      <c r="J87" s="265" t="n">
        <v>6650000</v>
      </c>
      <c r="K87" s="265" t="n">
        <v>5996000</v>
      </c>
      <c r="L87" s="265" t="n">
        <v>7397000</v>
      </c>
      <c r="N87" s="265" t="n">
        <v>6759000</v>
      </c>
      <c r="O87" s="265" t="n">
        <v>7515000</v>
      </c>
      <c r="P87" s="265" t="n">
        <v>7578000</v>
      </c>
      <c r="Q87" s="265" t="n">
        <v>9358000</v>
      </c>
      <c r="S87" s="265" t="n">
        <v>8404000</v>
      </c>
      <c r="T87" s="265" t="n">
        <v>9153000</v>
      </c>
      <c r="U87" s="265" t="n">
        <v>9205000</v>
      </c>
      <c r="V87" s="265" t="n">
        <v>11599000</v>
      </c>
      <c r="X87" s="265" t="n">
        <v>9621000</v>
      </c>
      <c r="Y87" s="265" t="n">
        <v>11128000</v>
      </c>
      <c r="Z87" s="265" t="n">
        <v>11566000</v>
      </c>
      <c r="AA87" s="265" t="n">
        <v>14254000</v>
      </c>
      <c r="AC87" s="265" t="n">
        <v>13240000</v>
      </c>
      <c r="AD87" s="265" t="n">
        <v>14009000</v>
      </c>
    </row>
    <row r="88">
      <c r="A88" t="inlineStr">
        <is>
          <t>Receita Ásia-Pacífico (USD) · fonte · unid. moeda</t>
        </is>
      </c>
      <c r="B88" t="n">
        <v>53</v>
      </c>
      <c r="C88" t="inlineStr">
        <is>
          <t>Receita Ásia-Pacífico (USD)</t>
        </is>
      </c>
      <c r="D88" s="265" t="n">
        <v>6101000</v>
      </c>
      <c r="E88" s="265" t="n">
        <v>6677000</v>
      </c>
      <c r="F88" s="265" t="n">
        <v>6592000</v>
      </c>
      <c r="G88" s="265" t="n">
        <v>7369000</v>
      </c>
      <c r="I88" s="265" t="n">
        <v>6722000</v>
      </c>
      <c r="J88" s="265" t="n">
        <v>6960000</v>
      </c>
      <c r="K88" s="265" t="n">
        <v>6797000</v>
      </c>
      <c r="L88" s="265" t="n">
        <v>7280000</v>
      </c>
      <c r="N88" s="265" t="n">
        <v>7292000</v>
      </c>
      <c r="O88" s="265" t="n">
        <v>8551000</v>
      </c>
      <c r="P88" s="265" t="n">
        <v>9790000</v>
      </c>
      <c r="Q88" s="265" t="n">
        <v>10520000</v>
      </c>
      <c r="S88" s="265" t="n">
        <v>10312000</v>
      </c>
      <c r="T88" s="265" t="n">
        <v>10967000</v>
      </c>
      <c r="U88" s="265" t="n">
        <v>11243000</v>
      </c>
      <c r="V88" s="265" t="n">
        <v>12487000</v>
      </c>
      <c r="X88" s="265" t="n">
        <v>11239000</v>
      </c>
      <c r="Y88" s="265" t="n">
        <v>12858000</v>
      </c>
      <c r="Z88" s="265" t="n">
        <v>14304000</v>
      </c>
      <c r="AA88" s="265" t="n">
        <v>15416000</v>
      </c>
      <c r="AC88" s="265" t="n">
        <v>15445000</v>
      </c>
      <c r="AD88" s="265" t="n">
        <v>16073000</v>
      </c>
    </row>
    <row r="89">
      <c r="A89" t="inlineStr">
        <is>
          <t>Receita resto do mundo (USD) · fonte · unid. moeda</t>
        </is>
      </c>
      <c r="B89" t="n">
        <v>54</v>
      </c>
      <c r="C89" t="inlineStr">
        <is>
          <t>Receita resto do mundo (USD)</t>
        </is>
      </c>
      <c r="D89" s="265" t="n">
        <v>2250000</v>
      </c>
      <c r="E89" s="265" t="n">
        <v>2568000</v>
      </c>
      <c r="F89" s="265" t="n">
        <v>2732000</v>
      </c>
      <c r="G89" s="265" t="n">
        <v>3042000</v>
      </c>
      <c r="I89" s="265" t="n">
        <v>2768000</v>
      </c>
      <c r="J89" s="265" t="n">
        <v>3026000</v>
      </c>
      <c r="K89" s="265" t="n">
        <v>2955000</v>
      </c>
      <c r="L89" s="265" t="n">
        <v>3269000</v>
      </c>
      <c r="N89" s="265" t="n">
        <v>3145000</v>
      </c>
      <c r="O89" s="265" t="n">
        <v>3529000</v>
      </c>
      <c r="P89" s="265" t="n">
        <v>3870000</v>
      </c>
      <c r="Q89" s="265" t="n">
        <v>4106000</v>
      </c>
      <c r="S89" s="265" t="n">
        <v>4093000</v>
      </c>
      <c r="T89" s="265" t="n">
        <v>4311000</v>
      </c>
      <c r="U89" s="265" t="n">
        <v>4522000</v>
      </c>
      <c r="V89" s="265" t="n">
        <v>4998000</v>
      </c>
      <c r="X89" s="265" t="n">
        <v>4585000</v>
      </c>
      <c r="Y89" s="265" t="n">
        <v>5076000</v>
      </c>
      <c r="Z89" s="265" t="n">
        <v>5664000</v>
      </c>
      <c r="AA89" s="265" t="n">
        <v>6388000</v>
      </c>
      <c r="AC89" s="265" t="n">
        <v>6359000</v>
      </c>
      <c r="AD89" s="265" t="n">
        <v>6856000</v>
      </c>
    </row>
    <row r="90">
      <c r="A90" t="inlineStr">
        <is>
          <t>Notas: valores dimensionais das instâncias XBRL. Segmentos (FoA e RL) só existem a partir do 4T20; antes a Meta abria só publicidade e outras receitas. Membros fb: (até 2021) e meta: costurados.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2">
      <c r="A92" t="inlineStr">
        <is>
          <t>Linhas de origem: 4 a 90. A Inputs (2) varre as linhas 4 a 150; as linhas 91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2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Meta Platforms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26171</v>
      </c>
      <c r="E4" s="11">
        <f>IF(E$3=0,"",SUMIFS(INDEX(Inputs!$D$4:$AG$150,0,MATCH(E$2,Inputs!$D$2:$AG$2,0)),Inputs!$B$4:$B$150,$B4)/1000)</f>
        <v>29077</v>
      </c>
      <c r="F4" s="11">
        <f>IF(F$3=0,"",SUMIFS(INDEX(Inputs!$D$4:$AG$150,0,MATCH(F$2,Inputs!$D$2:$AG$2,0)),Inputs!$B$4:$B$150,$B4)/1000)</f>
        <v>29010</v>
      </c>
      <c r="G4" s="11">
        <f>IF(G$3=0,"",SUMIFS(INDEX(Inputs!$D$4:$AG$150,0,MATCH(G$2,Inputs!$D$2:$AG$2,0)),Inputs!$B$4:$B$150,$B4)/1000)</f>
        <v>33671</v>
      </c>
      <c r="H4" s="12">
        <f>IF(COUNT(D4:G4)=4,SUM(D4:G4),"")</f>
        <v>117929</v>
      </c>
      <c r="I4" s="11">
        <f>IF(I$3=0,"",SUMIFS(INDEX(Inputs!$D$4:$AG$150,0,MATCH(I$2,Inputs!$D$2:$AG$2,0)),Inputs!$B$4:$B$150,$B4)/1000)</f>
        <v>27908</v>
      </c>
      <c r="J4" s="11">
        <f>IF(J$3=0,"",SUMIFS(INDEX(Inputs!$D$4:$AG$150,0,MATCH(J$2,Inputs!$D$2:$AG$2,0)),Inputs!$B$4:$B$150,$B4)/1000)</f>
        <v>28822</v>
      </c>
      <c r="K4" s="11">
        <f>IF(K$3=0,"",SUMIFS(INDEX(Inputs!$D$4:$AG$150,0,MATCH(K$2,Inputs!$D$2:$AG$2,0)),Inputs!$B$4:$B$150,$B4)/1000)</f>
        <v>27714</v>
      </c>
      <c r="L4" s="11">
        <f>IF(L$3=0,"",SUMIFS(INDEX(Inputs!$D$4:$AG$150,0,MATCH(L$2,Inputs!$D$2:$AG$2,0)),Inputs!$B$4:$B$150,$B4)/1000)</f>
        <v>32165</v>
      </c>
      <c r="M4" s="12">
        <f>IF(COUNT(I4:L4)=4,SUM(I4:L4),"")</f>
        <v>116609</v>
      </c>
      <c r="N4" s="11">
        <f>IF(N$3=0,"",SUMIFS(INDEX(Inputs!$D$4:$AG$150,0,MATCH(N$2,Inputs!$D$2:$AG$2,0)),Inputs!$B$4:$B$150,$B4)/1000)</f>
        <v>28645</v>
      </c>
      <c r="O4" s="11">
        <f>IF(O$3=0,"",SUMIFS(INDEX(Inputs!$D$4:$AG$150,0,MATCH(O$2,Inputs!$D$2:$AG$2,0)),Inputs!$B$4:$B$150,$B4)/1000)</f>
        <v>31999</v>
      </c>
      <c r="P4" s="11">
        <f>IF(P$3=0,"",SUMIFS(INDEX(Inputs!$D$4:$AG$150,0,MATCH(P$2,Inputs!$D$2:$AG$2,0)),Inputs!$B$4:$B$150,$B4)/1000)</f>
        <v>34146</v>
      </c>
      <c r="Q4" s="11">
        <f>IF(Q$3=0,"",SUMIFS(INDEX(Inputs!$D$4:$AG$150,0,MATCH(Q$2,Inputs!$D$2:$AG$2,0)),Inputs!$B$4:$B$150,$B4)/1000)</f>
        <v>40111</v>
      </c>
      <c r="R4" s="12">
        <f>IF(COUNT(N4:Q4)=4,SUM(N4:Q4),"")</f>
        <v>134901</v>
      </c>
      <c r="S4" s="11">
        <f>IF(S$3=0,"",SUMIFS(INDEX(Inputs!$D$4:$AG$150,0,MATCH(S$2,Inputs!$D$2:$AG$2,0)),Inputs!$B$4:$B$150,$B4)/1000)</f>
        <v>36455</v>
      </c>
      <c r="T4" s="11">
        <f>IF(T$3=0,"",SUMIFS(INDEX(Inputs!$D$4:$AG$150,0,MATCH(T$2,Inputs!$D$2:$AG$2,0)),Inputs!$B$4:$B$150,$B4)/1000)</f>
        <v>39071</v>
      </c>
      <c r="U4" s="11">
        <f>IF(U$3=0,"",SUMIFS(INDEX(Inputs!$D$4:$AG$150,0,MATCH(U$2,Inputs!$D$2:$AG$2,0)),Inputs!$B$4:$B$150,$B4)/1000)</f>
        <v>40589</v>
      </c>
      <c r="V4" s="11">
        <f>IF(V$3=0,"",SUMIFS(INDEX(Inputs!$D$4:$AG$150,0,MATCH(V$2,Inputs!$D$2:$AG$2,0)),Inputs!$B$4:$B$150,$B4)/1000)</f>
        <v>48385</v>
      </c>
      <c r="W4" s="12">
        <f>IF(COUNT(S4:V4)=4,SUM(S4:V4),"")</f>
        <v>164500</v>
      </c>
      <c r="X4" s="11">
        <f>IF(X$3=0,"",SUMIFS(INDEX(Inputs!$D$4:$AG$150,0,MATCH(X$2,Inputs!$D$2:$AG$2,0)),Inputs!$B$4:$B$150,$B4)/1000)</f>
        <v>42314</v>
      </c>
      <c r="Y4" s="11">
        <f>IF(Y$3=0,"",SUMIFS(INDEX(Inputs!$D$4:$AG$150,0,MATCH(Y$2,Inputs!$D$2:$AG$2,0)),Inputs!$B$4:$B$150,$B4)/1000)</f>
        <v>47516</v>
      </c>
      <c r="Z4" s="11">
        <f>IF(Z$3=0,"",SUMIFS(INDEX(Inputs!$D$4:$AG$150,0,MATCH(Z$2,Inputs!$D$2:$AG$2,0)),Inputs!$B$4:$B$150,$B4)/1000)</f>
        <v>51242</v>
      </c>
      <c r="AA4" s="11">
        <f>IF(AA$3=0,"",SUMIFS(INDEX(Inputs!$D$4:$AG$150,0,MATCH(AA$2,Inputs!$D$2:$AG$2,0)),Inputs!$B$4:$B$150,$B4)/1000)</f>
        <v>59893</v>
      </c>
      <c r="AB4" s="12">
        <f>IF(COUNT(X4:AA4)=4,SUM(X4:AA4),"")</f>
        <v>200965</v>
      </c>
      <c r="AC4" s="11">
        <f>IF(AC$3=0,"",SUMIFS(INDEX(Inputs!$D$4:$AG$150,0,MATCH(AC$2,Inputs!$D$2:$AG$2,0)),Inputs!$B$4:$B$150,$B4)/1000)</f>
        <v>56311</v>
      </c>
      <c r="AD4" s="11">
        <f>IF(AD$3=0,"",SUMIFS(INDEX(Inputs!$D$4:$AG$150,0,MATCH(AD$2,Inputs!$D$2:$AG$2,0)),Inputs!$B$4:$B$150,$B4)/1000)</f>
        <v>60801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-5131</v>
      </c>
      <c r="E5" s="11">
        <f>IF(E$3=0,"",SUMIFS(INDEX(Inputs!$D$4:$AG$150,0,MATCH(E$2,Inputs!$D$2:$AG$2,0)),Inputs!$B$4:$B$150,$B5)/1000)</f>
        <v>-5399</v>
      </c>
      <c r="F5" s="11">
        <f>IF(F$3=0,"",SUMIFS(INDEX(Inputs!$D$4:$AG$150,0,MATCH(F$2,Inputs!$D$2:$AG$2,0)),Inputs!$B$4:$B$150,$B5)/1000)</f>
        <v>-5771</v>
      </c>
      <c r="G5" s="11">
        <f>IF(G$3=0,"",SUMIFS(INDEX(Inputs!$D$4:$AG$150,0,MATCH(G$2,Inputs!$D$2:$AG$2,0)),Inputs!$B$4:$B$150,$B5)/1000)</f>
        <v>-6348</v>
      </c>
      <c r="H5" s="12">
        <f>IF(COUNT(D5:G5)=4,SUM(D5:G5),"")</f>
        <v>-22649</v>
      </c>
      <c r="I5" s="11">
        <f>IF(I$3=0,"",SUMIFS(INDEX(Inputs!$D$4:$AG$150,0,MATCH(I$2,Inputs!$D$2:$AG$2,0)),Inputs!$B$4:$B$150,$B5)/1000)</f>
        <v>-6005</v>
      </c>
      <c r="J5" s="11">
        <f>IF(J$3=0,"",SUMIFS(INDEX(Inputs!$D$4:$AG$150,0,MATCH(J$2,Inputs!$D$2:$AG$2,0)),Inputs!$B$4:$B$150,$B5)/1000)</f>
        <v>-5192</v>
      </c>
      <c r="K5" s="11">
        <f>IF(K$3=0,"",SUMIFS(INDEX(Inputs!$D$4:$AG$150,0,MATCH(K$2,Inputs!$D$2:$AG$2,0)),Inputs!$B$4:$B$150,$B5)/1000)</f>
        <v>-5716</v>
      </c>
      <c r="L5" s="11">
        <f>IF(L$3=0,"",SUMIFS(INDEX(Inputs!$D$4:$AG$150,0,MATCH(L$2,Inputs!$D$2:$AG$2,0)),Inputs!$B$4:$B$150,$B5)/1000)</f>
        <v>-8336</v>
      </c>
      <c r="M5" s="12">
        <f>IF(COUNT(I5:L5)=4,SUM(I5:L5),"")</f>
        <v>-25249</v>
      </c>
      <c r="N5" s="11">
        <f>IF(N$3=0,"",SUMIFS(INDEX(Inputs!$D$4:$AG$150,0,MATCH(N$2,Inputs!$D$2:$AG$2,0)),Inputs!$B$4:$B$150,$B5)/1000)</f>
        <v>-6108</v>
      </c>
      <c r="O5" s="11">
        <f>IF(O$3=0,"",SUMIFS(INDEX(Inputs!$D$4:$AG$150,0,MATCH(O$2,Inputs!$D$2:$AG$2,0)),Inputs!$B$4:$B$150,$B5)/1000)</f>
        <v>-5945</v>
      </c>
      <c r="P5" s="11">
        <f>IF(P$3=0,"",SUMIFS(INDEX(Inputs!$D$4:$AG$150,0,MATCH(P$2,Inputs!$D$2:$AG$2,0)),Inputs!$B$4:$B$150,$B5)/1000)</f>
        <v>-6210</v>
      </c>
      <c r="Q5" s="11">
        <f>IF(Q$3=0,"",SUMIFS(INDEX(Inputs!$D$4:$AG$150,0,MATCH(Q$2,Inputs!$D$2:$AG$2,0)),Inputs!$B$4:$B$150,$B5)/1000)</f>
        <v>-7695</v>
      </c>
      <c r="R5" s="12">
        <f>IF(COUNT(N5:Q5)=4,SUM(N5:Q5),"")</f>
        <v>-25958</v>
      </c>
      <c r="S5" s="11">
        <f>IF(S$3=0,"",SUMIFS(INDEX(Inputs!$D$4:$AG$150,0,MATCH(S$2,Inputs!$D$2:$AG$2,0)),Inputs!$B$4:$B$150,$B5)/1000)</f>
        <v>-6640</v>
      </c>
      <c r="T5" s="11">
        <f>IF(T$3=0,"",SUMIFS(INDEX(Inputs!$D$4:$AG$150,0,MATCH(T$2,Inputs!$D$2:$AG$2,0)),Inputs!$B$4:$B$150,$B5)/1000)</f>
        <v>-7308</v>
      </c>
      <c r="U5" s="11">
        <f>IF(U$3=0,"",SUMIFS(INDEX(Inputs!$D$4:$AG$150,0,MATCH(U$2,Inputs!$D$2:$AG$2,0)),Inputs!$B$4:$B$150,$B5)/1000)</f>
        <v>-7375</v>
      </c>
      <c r="V5" s="11">
        <f>IF(V$3=0,"",SUMIFS(INDEX(Inputs!$D$4:$AG$150,0,MATCH(V$2,Inputs!$D$2:$AG$2,0)),Inputs!$B$4:$B$150,$B5)/1000)</f>
        <v>-8839</v>
      </c>
      <c r="W5" s="12">
        <f>IF(COUNT(S5:V5)=4,SUM(S5:V5),"")</f>
        <v>-30162</v>
      </c>
      <c r="X5" s="11">
        <f>IF(X$3=0,"",SUMIFS(INDEX(Inputs!$D$4:$AG$150,0,MATCH(X$2,Inputs!$D$2:$AG$2,0)),Inputs!$B$4:$B$150,$B5)/1000)</f>
        <v>-7572</v>
      </c>
      <c r="Y5" s="11">
        <f>IF(Y$3=0,"",SUMIFS(INDEX(Inputs!$D$4:$AG$150,0,MATCH(Y$2,Inputs!$D$2:$AG$2,0)),Inputs!$B$4:$B$150,$B5)/1000)</f>
        <v>-8491</v>
      </c>
      <c r="Z5" s="11">
        <f>IF(Z$3=0,"",SUMIFS(INDEX(Inputs!$D$4:$AG$150,0,MATCH(Z$2,Inputs!$D$2:$AG$2,0)),Inputs!$B$4:$B$150,$B5)/1000)</f>
        <v>-9206</v>
      </c>
      <c r="AA5" s="11">
        <f>IF(AA$3=0,"",SUMIFS(INDEX(Inputs!$D$4:$AG$150,0,MATCH(AA$2,Inputs!$D$2:$AG$2,0)),Inputs!$B$4:$B$150,$B5)/1000)</f>
        <v>-10906</v>
      </c>
      <c r="AB5" s="12">
        <f>IF(COUNT(X5:AA5)=4,SUM(X5:AA5),"")</f>
        <v>-36175</v>
      </c>
      <c r="AC5" s="11">
        <f>IF(AC$3=0,"",SUMIFS(INDEX(Inputs!$D$4:$AG$150,0,MATCH(AC$2,Inputs!$D$2:$AG$2,0)),Inputs!$B$4:$B$150,$B5)/1000)</f>
        <v>-10218</v>
      </c>
      <c r="AD5" s="11">
        <f>IF(AD$3=0,"",SUMIFS(INDEX(Inputs!$D$4:$AG$150,0,MATCH(AD$2,Inputs!$D$2:$AG$2,0)),Inputs!$B$4:$B$150,$B5)/1000)</f>
        <v>-11330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-7690</v>
      </c>
      <c r="E6" s="11">
        <f>IF(E$3=0,"",SUMIFS(INDEX(Inputs!$D$4:$AG$150,0,MATCH(E$2,Inputs!$D$2:$AG$2,0)),Inputs!$B$4:$B$150,$B6)/1000)</f>
        <v>-9325</v>
      </c>
      <c r="F6" s="11">
        <f>IF(F$3=0,"",SUMIFS(INDEX(Inputs!$D$4:$AG$150,0,MATCH(F$2,Inputs!$D$2:$AG$2,0)),Inputs!$B$4:$B$150,$B6)/1000)</f>
        <v>-10821</v>
      </c>
      <c r="G6" s="11">
        <f>IF(G$3=0,"",SUMIFS(INDEX(Inputs!$D$4:$AG$150,0,MATCH(G$2,Inputs!$D$2:$AG$2,0)),Inputs!$B$4:$B$150,$B6)/1000)</f>
        <v>-12724</v>
      </c>
      <c r="H6" s="12">
        <f>IF(COUNT(D6:G6)=4,SUM(D6:G6),"")</f>
        <v>-40560</v>
      </c>
      <c r="I6" s="11">
        <f>IF(I$3=0,"",SUMIFS(INDEX(Inputs!$D$4:$AG$150,0,MATCH(I$2,Inputs!$D$2:$AG$2,0)),Inputs!$B$4:$B$150,$B6)/1000)</f>
        <v>-11223</v>
      </c>
      <c r="J6" s="11">
        <f>IF(J$3=0,"",SUMIFS(INDEX(Inputs!$D$4:$AG$150,0,MATCH(J$2,Inputs!$D$2:$AG$2,0)),Inputs!$B$4:$B$150,$B6)/1000)</f>
        <v>-13293</v>
      </c>
      <c r="K6" s="11">
        <f>IF(K$3=0,"",SUMIFS(INDEX(Inputs!$D$4:$AG$150,0,MATCH(K$2,Inputs!$D$2:$AG$2,0)),Inputs!$B$4:$B$150,$B6)/1000)</f>
        <v>-14159</v>
      </c>
      <c r="L6" s="11">
        <f>IF(L$3=0,"",SUMIFS(INDEX(Inputs!$D$4:$AG$150,0,MATCH(L$2,Inputs!$D$2:$AG$2,0)),Inputs!$B$4:$B$150,$B6)/1000)</f>
        <v>-15054</v>
      </c>
      <c r="M6" s="12">
        <f>IF(COUNT(I6:L6)=4,SUM(I6:L6),"")</f>
        <v>-53729</v>
      </c>
      <c r="N6" s="11">
        <f>IF(N$3=0,"",SUMIFS(INDEX(Inputs!$D$4:$AG$150,0,MATCH(N$2,Inputs!$D$2:$AG$2,0)),Inputs!$B$4:$B$150,$B6)/1000)</f>
        <v>-12786</v>
      </c>
      <c r="O6" s="11">
        <f>IF(O$3=0,"",SUMIFS(INDEX(Inputs!$D$4:$AG$150,0,MATCH(O$2,Inputs!$D$2:$AG$2,0)),Inputs!$B$4:$B$150,$B6)/1000)</f>
        <v>-14039</v>
      </c>
      <c r="P6" s="11">
        <f>IF(P$3=0,"",SUMIFS(INDEX(Inputs!$D$4:$AG$150,0,MATCH(P$2,Inputs!$D$2:$AG$2,0)),Inputs!$B$4:$B$150,$B6)/1000)</f>
        <v>-11329</v>
      </c>
      <c r="Q6" s="11">
        <f>IF(Q$3=0,"",SUMIFS(INDEX(Inputs!$D$4:$AG$150,0,MATCH(Q$2,Inputs!$D$2:$AG$2,0)),Inputs!$B$4:$B$150,$B6)/1000)</f>
        <v>-12860</v>
      </c>
      <c r="R6" s="12">
        <f>IF(COUNT(N6:Q6)=4,SUM(N6:Q6),"")</f>
        <v>-51014</v>
      </c>
      <c r="S6" s="11">
        <f>IF(S$3=0,"",SUMIFS(INDEX(Inputs!$D$4:$AG$150,0,MATCH(S$2,Inputs!$D$2:$AG$2,0)),Inputs!$B$4:$B$150,$B6)/1000)</f>
        <v>-12623</v>
      </c>
      <c r="T6" s="11">
        <f>IF(T$3=0,"",SUMIFS(INDEX(Inputs!$D$4:$AG$150,0,MATCH(T$2,Inputs!$D$2:$AG$2,0)),Inputs!$B$4:$B$150,$B6)/1000)</f>
        <v>-13279</v>
      </c>
      <c r="U6" s="11">
        <f>IF(U$3=0,"",SUMIFS(INDEX(Inputs!$D$4:$AG$150,0,MATCH(U$2,Inputs!$D$2:$AG$2,0)),Inputs!$B$4:$B$150,$B6)/1000)</f>
        <v>-11837</v>
      </c>
      <c r="V6" s="11">
        <f>IF(V$3=0,"",SUMIFS(INDEX(Inputs!$D$4:$AG$150,0,MATCH(V$2,Inputs!$D$2:$AG$2,0)),Inputs!$B$4:$B$150,$B6)/1000)</f>
        <v>-11722</v>
      </c>
      <c r="W6" s="12">
        <f>IF(COUNT(S6:V6)=4,SUM(S6:V6),"")</f>
        <v>-49461</v>
      </c>
      <c r="X6" s="11">
        <f>IF(X$3=0,"",SUMIFS(INDEX(Inputs!$D$4:$AG$150,0,MATCH(X$2,Inputs!$D$2:$AG$2,0)),Inputs!$B$4:$B$150,$B6)/1000)</f>
        <v>-13287</v>
      </c>
      <c r="Y6" s="11">
        <f>IF(Y$3=0,"",SUMIFS(INDEX(Inputs!$D$4:$AG$150,0,MATCH(Y$2,Inputs!$D$2:$AG$2,0)),Inputs!$B$4:$B$150,$B6)/1000)</f>
        <v>-14242</v>
      </c>
      <c r="Z6" s="11">
        <f>IF(Z$3=0,"",SUMIFS(INDEX(Inputs!$D$4:$AG$150,0,MATCH(Z$2,Inputs!$D$2:$AG$2,0)),Inputs!$B$4:$B$150,$B6)/1000)</f>
        <v>-16538</v>
      </c>
      <c r="AA6" s="11">
        <f>IF(AA$3=0,"",SUMIFS(INDEX(Inputs!$D$4:$AG$150,0,MATCH(AA$2,Inputs!$D$2:$AG$2,0)),Inputs!$B$4:$B$150,$B6)/1000)</f>
        <v>-18831</v>
      </c>
      <c r="AB6" s="12">
        <f>IF(COUNT(X6:AA6)=4,SUM(X6:AA6),"")</f>
        <v>-62898</v>
      </c>
      <c r="AC6" s="11">
        <f>IF(AC$3=0,"",SUMIFS(INDEX(Inputs!$D$4:$AG$150,0,MATCH(AC$2,Inputs!$D$2:$AG$2,0)),Inputs!$B$4:$B$150,$B6)/1000)</f>
        <v>-17222</v>
      </c>
      <c r="AD6" s="11">
        <f>IF(AD$3=0,"",SUMIFS(INDEX(Inputs!$D$4:$AG$150,0,MATCH(AD$2,Inputs!$D$2:$AG$2,0)),Inputs!$B$4:$B$150,$B6)/1000)</f>
        <v>-24340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-1972</v>
      </c>
      <c r="E7" s="11">
        <f>IF(E$3=0,"",SUMIFS(INDEX(Inputs!$D$4:$AG$150,0,MATCH(E$2,Inputs!$D$2:$AG$2,0)),Inputs!$B$4:$B$150,$B7)/1000)</f>
        <v>-1986</v>
      </c>
      <c r="F7" s="11">
        <f>IF(F$3=0,"",SUMIFS(INDEX(Inputs!$D$4:$AG$150,0,MATCH(F$2,Inputs!$D$2:$AG$2,0)),Inputs!$B$4:$B$150,$B7)/1000)</f>
        <v>-1995</v>
      </c>
      <c r="G7" s="11">
        <f>IF(G$3=0,"",SUMIFS(INDEX(Inputs!$D$4:$AG$150,0,MATCH(G$2,Inputs!$D$2:$AG$2,0)),Inputs!$B$4:$B$150,$B7)/1000)</f>
        <v>-2014</v>
      </c>
      <c r="H7" s="12">
        <f>IF(COUNT(D7:G7)=4,SUM(D7:G7),"")</f>
        <v>-7967</v>
      </c>
      <c r="I7" s="11">
        <f>IF(I$3=0,"",SUMIFS(INDEX(Inputs!$D$4:$AG$150,0,MATCH(I$2,Inputs!$D$2:$AG$2,0)),Inputs!$B$4:$B$150,$B7)/1000)</f>
        <v>-2156</v>
      </c>
      <c r="J7" s="11">
        <f>IF(J$3=0,"",SUMIFS(INDEX(Inputs!$D$4:$AG$150,0,MATCH(J$2,Inputs!$D$2:$AG$2,0)),Inputs!$B$4:$B$150,$B7)/1000)</f>
        <v>-1979</v>
      </c>
      <c r="K7" s="11">
        <f>IF(K$3=0,"",SUMIFS(INDEX(Inputs!$D$4:$AG$150,0,MATCH(K$2,Inputs!$D$2:$AG$2,0)),Inputs!$B$4:$B$150,$B7)/1000)</f>
        <v>-2175</v>
      </c>
      <c r="L7" s="11">
        <f>IF(L$3=0,"",SUMIFS(INDEX(Inputs!$D$4:$AG$150,0,MATCH(L$2,Inputs!$D$2:$AG$2,0)),Inputs!$B$4:$B$150,$B7)/1000)</f>
        <v>-2376</v>
      </c>
      <c r="M7" s="12">
        <f>IF(COUNT(I7:L7)=4,SUM(I7:L7),"")</f>
        <v>-8686</v>
      </c>
      <c r="N7" s="11">
        <f>IF(N$3=0,"",SUMIFS(INDEX(Inputs!$D$4:$AG$150,0,MATCH(N$2,Inputs!$D$2:$AG$2,0)),Inputs!$B$4:$B$150,$B7)/1000)</f>
        <v>-2524</v>
      </c>
      <c r="O7" s="11">
        <f>IF(O$3=0,"",SUMIFS(INDEX(Inputs!$D$4:$AG$150,0,MATCH(O$2,Inputs!$D$2:$AG$2,0)),Inputs!$B$4:$B$150,$B7)/1000)</f>
        <v>-2623</v>
      </c>
      <c r="P7" s="11">
        <f>IF(P$3=0,"",SUMIFS(INDEX(Inputs!$D$4:$AG$150,0,MATCH(P$2,Inputs!$D$2:$AG$2,0)),Inputs!$B$4:$B$150,$B7)/1000)</f>
        <v>-2859</v>
      </c>
      <c r="Q7" s="11">
        <f>IF(Q$3=0,"",SUMIFS(INDEX(Inputs!$D$4:$AG$150,0,MATCH(Q$2,Inputs!$D$2:$AG$2,0)),Inputs!$B$4:$B$150,$B7)/1000)</f>
        <v>-3172</v>
      </c>
      <c r="R7" s="12">
        <f>IF(COUNT(N7:Q7)=4,SUM(N7:Q7),"")</f>
        <v>-11178</v>
      </c>
      <c r="S7" s="11">
        <f>IF(S$3=0,"",SUMIFS(INDEX(Inputs!$D$4:$AG$150,0,MATCH(S$2,Inputs!$D$2:$AG$2,0)),Inputs!$B$4:$B$150,$B7)/1000)</f>
        <v>-3374</v>
      </c>
      <c r="T7" s="11">
        <f>IF(T$3=0,"",SUMIFS(INDEX(Inputs!$D$4:$AG$150,0,MATCH(T$2,Inputs!$D$2:$AG$2,0)),Inputs!$B$4:$B$150,$B7)/1000)</f>
        <v>-3637</v>
      </c>
      <c r="U7" s="11">
        <f>IF(U$3=0,"",SUMIFS(INDEX(Inputs!$D$4:$AG$150,0,MATCH(U$2,Inputs!$D$2:$AG$2,0)),Inputs!$B$4:$B$150,$B7)/1000)</f>
        <v>-4027</v>
      </c>
      <c r="V7" s="11">
        <f>IF(V$3=0,"",SUMIFS(INDEX(Inputs!$D$4:$AG$150,0,MATCH(V$2,Inputs!$D$2:$AG$2,0)),Inputs!$B$4:$B$150,$B7)/1000)</f>
        <v>-4460</v>
      </c>
      <c r="W7" s="12">
        <f>IF(COUNT(S7:V7)=4,SUM(S7:V7),"")</f>
        <v>-15498</v>
      </c>
      <c r="X7" s="11">
        <f>IF(X$3=0,"",SUMIFS(INDEX(Inputs!$D$4:$AG$150,0,MATCH(X$2,Inputs!$D$2:$AG$2,0)),Inputs!$B$4:$B$150,$B7)/1000)</f>
        <v>-3900</v>
      </c>
      <c r="Y7" s="11">
        <f>IF(Y$3=0,"",SUMIFS(INDEX(Inputs!$D$4:$AG$150,0,MATCH(Y$2,Inputs!$D$2:$AG$2,0)),Inputs!$B$4:$B$150,$B7)/1000)</f>
        <v>-4342</v>
      </c>
      <c r="Z7" s="11">
        <f>IF(Z$3=0,"",SUMIFS(INDEX(Inputs!$D$4:$AG$150,0,MATCH(Z$2,Inputs!$D$2:$AG$2,0)),Inputs!$B$4:$B$150,$B7)/1000)</f>
        <v>-4963</v>
      </c>
      <c r="AA7" s="11">
        <f>IF(AA$3=0,"",SUMIFS(INDEX(Inputs!$D$4:$AG$150,0,MATCH(AA$2,Inputs!$D$2:$AG$2,0)),Inputs!$B$4:$B$150,$B7)/1000)</f>
        <v>-5411</v>
      </c>
      <c r="AB7" s="12">
        <f>IF(COUNT(X7:AA7)=4,SUM(X7:AA7),"")</f>
        <v>-18616</v>
      </c>
      <c r="AC7" s="11">
        <f>IF(AC$3=0,"",SUMIFS(INDEX(Inputs!$D$4:$AG$150,0,MATCH(AC$2,Inputs!$D$2:$AG$2,0)),Inputs!$B$4:$B$150,$B7)/1000)</f>
        <v>-5999</v>
      </c>
      <c r="AD7" s="11">
        <f>IF(AD$3=0,"",SUMIFS(INDEX(Inputs!$D$4:$AG$150,0,MATCH(AD$2,Inputs!$D$2:$AG$2,0)),Inputs!$B$4:$B$150,$B7)/1000)</f>
        <v>-6356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-49</v>
      </c>
      <c r="O8" s="11">
        <f>IF(O$3=0,"",SUMIFS(INDEX(Inputs!$D$4:$AG$150,0,MATCH(O$2,Inputs!$D$2:$AG$2,0)),Inputs!$B$4:$B$150,$B8)/1000)</f>
        <v>-110</v>
      </c>
      <c r="P8" s="11">
        <f>IF(P$3=0,"",SUMIFS(INDEX(Inputs!$D$4:$AG$150,0,MATCH(P$2,Inputs!$D$2:$AG$2,0)),Inputs!$B$4:$B$150,$B8)/1000)</f>
        <v>-132</v>
      </c>
      <c r="Q8" s="11">
        <f>IF(Q$3=0,"",SUMIFS(INDEX(Inputs!$D$4:$AG$150,0,MATCH(Q$2,Inputs!$D$2:$AG$2,0)),Inputs!$B$4:$B$150,$B8)/1000)</f>
        <v>-155</v>
      </c>
      <c r="R8" s="12">
        <f>IF(COUNT(N8:Q8)=4,SUM(N8:Q8),"")</f>
        <v>-446</v>
      </c>
      <c r="S8" s="11">
        <f>IF(S$3=0,"",SUMIFS(INDEX(Inputs!$D$4:$AG$150,0,MATCH(S$2,Inputs!$D$2:$AG$2,0)),Inputs!$B$4:$B$150,$B8)/1000)</f>
        <v>0</v>
      </c>
      <c r="T8" s="11">
        <f>IF(T$3=0,"",SUMIFS(INDEX(Inputs!$D$4:$AG$150,0,MATCH(T$2,Inputs!$D$2:$AG$2,0)),Inputs!$B$4:$B$150,$B8)/1000)</f>
        <v>0</v>
      </c>
      <c r="U8" s="11">
        <f>IF(U$3=0,"",SUMIFS(INDEX(Inputs!$D$4:$AG$150,0,MATCH(U$2,Inputs!$D$2:$AG$2,0)),Inputs!$B$4:$B$150,$B8)/1000)</f>
        <v>-200</v>
      </c>
      <c r="V8" s="11">
        <f>IF(V$3=0,"",SUMIFS(INDEX(Inputs!$D$4:$AG$150,0,MATCH(V$2,Inputs!$D$2:$AG$2,0)),Inputs!$B$4:$B$150,$B8)/1000)</f>
        <v>-275</v>
      </c>
      <c r="W8" s="12">
        <f>IF(COUNT(S8:V8)=4,SUM(S8:V8),"")</f>
        <v>-475</v>
      </c>
      <c r="X8" s="11">
        <f>IF(X$3=0,"",SUMIFS(INDEX(Inputs!$D$4:$AG$150,0,MATCH(X$2,Inputs!$D$2:$AG$2,0)),Inputs!$B$4:$B$150,$B8)/1000)</f>
        <v>0</v>
      </c>
      <c r="Y8" s="11">
        <f>IF(Y$3=0,"",SUMIFS(INDEX(Inputs!$D$4:$AG$150,0,MATCH(Y$2,Inputs!$D$2:$AG$2,0)),Inputs!$B$4:$B$150,$B8)/1000)</f>
        <v>-232</v>
      </c>
      <c r="Z8" s="11">
        <f>IF(Z$3=0,"",SUMIFS(INDEX(Inputs!$D$4:$AG$150,0,MATCH(Z$2,Inputs!$D$2:$AG$2,0)),Inputs!$B$4:$B$150,$B8)/1000)</f>
        <v>0</v>
      </c>
      <c r="AA8" s="11">
        <f>IF(AA$3=0,"",SUMIFS(INDEX(Inputs!$D$4:$AG$150,0,MATCH(AA$2,Inputs!$D$2:$AG$2,0)),Inputs!$B$4:$B$150,$B8)/1000)</f>
        <v>0</v>
      </c>
      <c r="AB8" s="12">
        <f>IF(COUNT(X8:AA8)=4,SUM(X8:AA8),"")</f>
        <v>-232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-754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125</v>
      </c>
      <c r="E9" s="11">
        <f>IF(E$3=0,"",SUMIFS(INDEX(Inputs!$D$4:$AG$150,0,MATCH(E$2,Inputs!$D$2:$AG$2,0)),Inputs!$B$4:$B$150,$B9)/1000)</f>
        <v>146</v>
      </c>
      <c r="F9" s="11">
        <f>IF(F$3=0,"",SUMIFS(INDEX(Inputs!$D$4:$AG$150,0,MATCH(F$2,Inputs!$D$2:$AG$2,0)),Inputs!$B$4:$B$150,$B9)/1000)</f>
        <v>142</v>
      </c>
      <c r="G9" s="11">
        <f>IF(G$3=0,"",SUMIFS(INDEX(Inputs!$D$4:$AG$150,0,MATCH(G$2,Inputs!$D$2:$AG$2,0)),Inputs!$B$4:$B$150,$B9)/1000)</f>
        <v>118</v>
      </c>
      <c r="H9" s="12">
        <f>IF(COUNT(D9:G9)=4,SUM(D9:G9),"")</f>
        <v>531</v>
      </c>
      <c r="I9" s="11">
        <f>IF(I$3=0,"",SUMIFS(INDEX(Inputs!$D$4:$AG$150,0,MATCH(I$2,Inputs!$D$2:$AG$2,0)),Inputs!$B$4:$B$150,$B9)/1000)</f>
        <v>384</v>
      </c>
      <c r="J9" s="11">
        <f>IF(J$3=0,"",SUMIFS(INDEX(Inputs!$D$4:$AG$150,0,MATCH(J$2,Inputs!$D$2:$AG$2,0)),Inputs!$B$4:$B$150,$B9)/1000)</f>
        <v>-172</v>
      </c>
      <c r="K9" s="11">
        <f>IF(K$3=0,"",SUMIFS(INDEX(Inputs!$D$4:$AG$150,0,MATCH(K$2,Inputs!$D$2:$AG$2,0)),Inputs!$B$4:$B$150,$B9)/1000)</f>
        <v>-88</v>
      </c>
      <c r="L9" s="11">
        <f>IF(L$3=0,"",SUMIFS(INDEX(Inputs!$D$4:$AG$150,0,MATCH(L$2,Inputs!$D$2:$AG$2,0)),Inputs!$B$4:$B$150,$B9)/1000)</f>
        <v>-250</v>
      </c>
      <c r="M9" s="12">
        <f>IF(COUNT(I9:L9)=4,SUM(I9:L9),"")</f>
        <v>-126</v>
      </c>
      <c r="N9" s="11">
        <f>IF(N$3=0,"",SUMIFS(INDEX(Inputs!$D$4:$AG$150,0,MATCH(N$2,Inputs!$D$2:$AG$2,0)),Inputs!$B$4:$B$150,$B9)/1000)</f>
        <v>129</v>
      </c>
      <c r="O9" s="11">
        <f>IF(O$3=0,"",SUMIFS(INDEX(Inputs!$D$4:$AG$150,0,MATCH(O$2,Inputs!$D$2:$AG$2,0)),Inputs!$B$4:$B$150,$B9)/1000)</f>
        <v>11</v>
      </c>
      <c r="P9" s="11">
        <f>IF(P$3=0,"",SUMIFS(INDEX(Inputs!$D$4:$AG$150,0,MATCH(P$2,Inputs!$D$2:$AG$2,0)),Inputs!$B$4:$B$150,$B9)/1000)</f>
        <v>404</v>
      </c>
      <c r="Q9" s="11">
        <f>IF(Q$3=0,"",SUMIFS(INDEX(Inputs!$D$4:$AG$150,0,MATCH(Q$2,Inputs!$D$2:$AG$2,0)),Inputs!$B$4:$B$150,$B9)/1000)</f>
        <v>578</v>
      </c>
      <c r="R9" s="12">
        <f>IF(COUNT(N9:Q9)=4,SUM(N9:Q9),"")</f>
        <v>1122</v>
      </c>
      <c r="S9" s="11">
        <f>IF(S$3=0,"",SUMIFS(INDEX(Inputs!$D$4:$AG$150,0,MATCH(S$2,Inputs!$D$2:$AG$2,0)),Inputs!$B$4:$B$150,$B9)/1000)</f>
        <v>365</v>
      </c>
      <c r="T9" s="11">
        <f>IF(T$3=0,"",SUMIFS(INDEX(Inputs!$D$4:$AG$150,0,MATCH(T$2,Inputs!$D$2:$AG$2,0)),Inputs!$B$4:$B$150,$B9)/1000)</f>
        <v>259</v>
      </c>
      <c r="U9" s="11">
        <f>IF(U$3=0,"",SUMIFS(INDEX(Inputs!$D$4:$AG$150,0,MATCH(U$2,Inputs!$D$2:$AG$2,0)),Inputs!$B$4:$B$150,$B9)/1000)</f>
        <v>672</v>
      </c>
      <c r="V9" s="11">
        <f>IF(V$3=0,"",SUMIFS(INDEX(Inputs!$D$4:$AG$150,0,MATCH(V$2,Inputs!$D$2:$AG$2,0)),Inputs!$B$4:$B$150,$B9)/1000)</f>
        <v>463</v>
      </c>
      <c r="W9" s="12">
        <f>IF(COUNT(S9:V9)=4,SUM(S9:V9),"")</f>
        <v>1759</v>
      </c>
      <c r="X9" s="11">
        <f>IF(X$3=0,"",SUMIFS(INDEX(Inputs!$D$4:$AG$150,0,MATCH(X$2,Inputs!$D$2:$AG$2,0)),Inputs!$B$4:$B$150,$B9)/1000)</f>
        <v>827</v>
      </c>
      <c r="Y9" s="11">
        <f>IF(Y$3=0,"",SUMIFS(INDEX(Inputs!$D$4:$AG$150,0,MATCH(Y$2,Inputs!$D$2:$AG$2,0)),Inputs!$B$4:$B$150,$B9)/1000)</f>
        <v>325</v>
      </c>
      <c r="Z9" s="11">
        <f>IF(Z$3=0,"",SUMIFS(INDEX(Inputs!$D$4:$AG$150,0,MATCH(Z$2,Inputs!$D$2:$AG$2,0)),Inputs!$B$4:$B$150,$B9)/1000)</f>
        <v>1128</v>
      </c>
      <c r="AA9" s="11">
        <f>IF(AA$3=0,"",SUMIFS(INDEX(Inputs!$D$4:$AG$150,0,MATCH(AA$2,Inputs!$D$2:$AG$2,0)),Inputs!$B$4:$B$150,$B9)/1000)</f>
        <v>609</v>
      </c>
      <c r="AB9" s="12">
        <f>IF(COUNT(X9:AA9)=4,SUM(X9:AA9),"")</f>
        <v>2889</v>
      </c>
      <c r="AC9" s="11">
        <f>IF(AC$3=0,"",SUMIFS(INDEX(Inputs!$D$4:$AG$150,0,MATCH(AC$2,Inputs!$D$2:$AG$2,0)),Inputs!$B$4:$B$150,$B9)/1000)</f>
        <v>-1120</v>
      </c>
      <c r="AD9" s="11">
        <f>IF(AD$3=0,"",SUMIFS(INDEX(Inputs!$D$4:$AG$150,0,MATCH(AD$2,Inputs!$D$2:$AG$2,0)),Inputs!$B$4:$B$150,$B9)/1000)</f>
        <v>735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-2006</v>
      </c>
      <c r="E10" s="11">
        <f>IF(E$3=0,"",SUMIFS(INDEX(Inputs!$D$4:$AG$150,0,MATCH(E$2,Inputs!$D$2:$AG$2,0)),Inputs!$B$4:$B$150,$B10)/1000)</f>
        <v>-2119</v>
      </c>
      <c r="F10" s="11">
        <f>IF(F$3=0,"",SUMIFS(INDEX(Inputs!$D$4:$AG$150,0,MATCH(F$2,Inputs!$D$2:$AG$2,0)),Inputs!$B$4:$B$150,$B10)/1000)</f>
        <v>-1371</v>
      </c>
      <c r="G10" s="11">
        <f>IF(G$3=0,"",SUMIFS(INDEX(Inputs!$D$4:$AG$150,0,MATCH(G$2,Inputs!$D$2:$AG$2,0)),Inputs!$B$4:$B$150,$B10)/1000)</f>
        <v>-2418</v>
      </c>
      <c r="H10" s="12">
        <f>IF(COUNT(D10:G10)=4,SUM(D10:G10),"")</f>
        <v>-7914</v>
      </c>
      <c r="I10" s="11">
        <f>IF(I$3=0,"",SUMIFS(INDEX(Inputs!$D$4:$AG$150,0,MATCH(I$2,Inputs!$D$2:$AG$2,0)),Inputs!$B$4:$B$150,$B10)/1000)</f>
        <v>-1443</v>
      </c>
      <c r="J10" s="11">
        <f>IF(J$3=0,"",SUMIFS(INDEX(Inputs!$D$4:$AG$150,0,MATCH(J$2,Inputs!$D$2:$AG$2,0)),Inputs!$B$4:$B$150,$B10)/1000)</f>
        <v>-1499</v>
      </c>
      <c r="K10" s="11">
        <f>IF(K$3=0,"",SUMIFS(INDEX(Inputs!$D$4:$AG$150,0,MATCH(K$2,Inputs!$D$2:$AG$2,0)),Inputs!$B$4:$B$150,$B10)/1000)</f>
        <v>-1181</v>
      </c>
      <c r="L10" s="11">
        <f>IF(L$3=0,"",SUMIFS(INDEX(Inputs!$D$4:$AG$150,0,MATCH(L$2,Inputs!$D$2:$AG$2,0)),Inputs!$B$4:$B$150,$B10)/1000)</f>
        <v>-1496</v>
      </c>
      <c r="M10" s="12">
        <f>IF(COUNT(I10:L10)=4,SUM(I10:L10),"")</f>
        <v>-5619</v>
      </c>
      <c r="N10" s="11">
        <f>IF(N$3=0,"",SUMIFS(INDEX(Inputs!$D$4:$AG$150,0,MATCH(N$2,Inputs!$D$2:$AG$2,0)),Inputs!$B$4:$B$150,$B10)/1000)</f>
        <v>-1598</v>
      </c>
      <c r="O10" s="11">
        <f>IF(O$3=0,"",SUMIFS(INDEX(Inputs!$D$4:$AG$150,0,MATCH(O$2,Inputs!$D$2:$AG$2,0)),Inputs!$B$4:$B$150,$B10)/1000)</f>
        <v>-1505</v>
      </c>
      <c r="P10" s="11">
        <f>IF(P$3=0,"",SUMIFS(INDEX(Inputs!$D$4:$AG$150,0,MATCH(P$2,Inputs!$D$2:$AG$2,0)),Inputs!$B$4:$B$150,$B10)/1000)</f>
        <v>-2437</v>
      </c>
      <c r="Q10" s="11">
        <f>IF(Q$3=0,"",SUMIFS(INDEX(Inputs!$D$4:$AG$150,0,MATCH(Q$2,Inputs!$D$2:$AG$2,0)),Inputs!$B$4:$B$150,$B10)/1000)</f>
        <v>-2790</v>
      </c>
      <c r="R10" s="12">
        <f>IF(COUNT(N10:Q10)=4,SUM(N10:Q10),"")</f>
        <v>-8330</v>
      </c>
      <c r="S10" s="11">
        <f>IF(S$3=0,"",SUMIFS(INDEX(Inputs!$D$4:$AG$150,0,MATCH(S$2,Inputs!$D$2:$AG$2,0)),Inputs!$B$4:$B$150,$B10)/1000)</f>
        <v>-1814</v>
      </c>
      <c r="T10" s="11">
        <f>IF(T$3=0,"",SUMIFS(INDEX(Inputs!$D$4:$AG$150,0,MATCH(T$2,Inputs!$D$2:$AG$2,0)),Inputs!$B$4:$B$150,$B10)/1000)</f>
        <v>-1641</v>
      </c>
      <c r="U10" s="11">
        <f>IF(U$3=0,"",SUMIFS(INDEX(Inputs!$D$4:$AG$150,0,MATCH(U$2,Inputs!$D$2:$AG$2,0)),Inputs!$B$4:$B$150,$B10)/1000)</f>
        <v>-2134</v>
      </c>
      <c r="V10" s="11">
        <f>IF(V$3=0,"",SUMIFS(INDEX(Inputs!$D$4:$AG$150,0,MATCH(V$2,Inputs!$D$2:$AG$2,0)),Inputs!$B$4:$B$150,$B10)/1000)</f>
        <v>-2714</v>
      </c>
      <c r="W10" s="12">
        <f>IF(COUNT(S10:V10)=4,SUM(S10:V10),"")</f>
        <v>-8303</v>
      </c>
      <c r="X10" s="11">
        <f>IF(X$3=0,"",SUMIFS(INDEX(Inputs!$D$4:$AG$150,0,MATCH(X$2,Inputs!$D$2:$AG$2,0)),Inputs!$B$4:$B$150,$B10)/1000)</f>
        <v>-1738</v>
      </c>
      <c r="Y10" s="11">
        <f>IF(Y$3=0,"",SUMIFS(INDEX(Inputs!$D$4:$AG$150,0,MATCH(Y$2,Inputs!$D$2:$AG$2,0)),Inputs!$B$4:$B$150,$B10)/1000)</f>
        <v>-2197</v>
      </c>
      <c r="Z10" s="11">
        <f>IF(Z$3=0,"",SUMIFS(INDEX(Inputs!$D$4:$AG$150,0,MATCH(Z$2,Inputs!$D$2:$AG$2,0)),Inputs!$B$4:$B$150,$B10)/1000)</f>
        <v>-18954</v>
      </c>
      <c r="AA10" s="11">
        <f>IF(AA$3=0,"",SUMIFS(INDEX(Inputs!$D$4:$AG$150,0,MATCH(AA$2,Inputs!$D$2:$AG$2,0)),Inputs!$B$4:$B$150,$B10)/1000)</f>
        <v>-2586</v>
      </c>
      <c r="AB10" s="12">
        <f>IF(COUNT(X10:AA10)=4,SUM(X10:AA10),"")</f>
        <v>-25475</v>
      </c>
      <c r="AC10" s="11">
        <f>IF(AC$3=0,"",SUMIFS(INDEX(Inputs!$D$4:$AG$150,0,MATCH(AC$2,Inputs!$D$2:$AG$2,0)),Inputs!$B$4:$B$150,$B10)/1000)</f>
        <v>5021</v>
      </c>
      <c r="AD10" s="11">
        <f>IF(AD$3=0,"",SUMIFS(INDEX(Inputs!$D$4:$AG$150,0,MATCH(AD$2,Inputs!$D$2:$AG$2,0)),Inputs!$B$4:$B$150,$B10)/1000)</f>
        <v>-2908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-1273</v>
      </c>
      <c r="T13" s="11">
        <f>IF(T$3=0,"",SUMIFS(INDEX(Inputs!$D$4:$AG$150,0,MATCH(T$2,Inputs!$D$2:$AG$2,0)),Inputs!$B$4:$B$150,$B13)/1000)</f>
        <v>-1266</v>
      </c>
      <c r="U13" s="11">
        <f>IF(U$3=0,"",SUMIFS(INDEX(Inputs!$D$4:$AG$150,0,MATCH(U$2,Inputs!$D$2:$AG$2,0)),Inputs!$B$4:$B$150,$B13)/1000)</f>
        <v>-1263</v>
      </c>
      <c r="V13" s="11">
        <f>IF(V$3=0,"",SUMIFS(INDEX(Inputs!$D$4:$AG$150,0,MATCH(V$2,Inputs!$D$2:$AG$2,0)),Inputs!$B$4:$B$150,$B13)/1000)</f>
        <v>-1267</v>
      </c>
      <c r="W13" s="12">
        <f>IF(COUNT(S13:V13)=4,SUM(S13:V13),"")</f>
        <v>-5069</v>
      </c>
      <c r="X13" s="11">
        <f>IF(X$3=0,"",SUMIFS(INDEX(Inputs!$D$4:$AG$150,0,MATCH(X$2,Inputs!$D$2:$AG$2,0)),Inputs!$B$4:$B$150,$B13)/1000)</f>
        <v>-1329</v>
      </c>
      <c r="Y13" s="11">
        <f>IF(Y$3=0,"",SUMIFS(INDEX(Inputs!$D$4:$AG$150,0,MATCH(Y$2,Inputs!$D$2:$AG$2,0)),Inputs!$B$4:$B$150,$B13)/1000)</f>
        <v>-1327</v>
      </c>
      <c r="Z13" s="11">
        <f>IF(Z$3=0,"",SUMIFS(INDEX(Inputs!$D$4:$AG$150,0,MATCH(Z$2,Inputs!$D$2:$AG$2,0)),Inputs!$B$4:$B$150,$B13)/1000)</f>
        <v>-1330</v>
      </c>
      <c r="AA13" s="11">
        <f>IF(AA$3=0,"",SUMIFS(INDEX(Inputs!$D$4:$AG$150,0,MATCH(AA$2,Inputs!$D$2:$AG$2,0)),Inputs!$B$4:$B$150,$B13)/1000)</f>
        <v>-1328</v>
      </c>
      <c r="AB13" s="12">
        <f>IF(COUNT(X13:AA13)=4,SUM(X13:AA13),"")</f>
        <v>-5314</v>
      </c>
      <c r="AC13" s="11">
        <f>IF(AC$3=0,"",SUMIFS(INDEX(Inputs!$D$4:$AG$150,0,MATCH(AC$2,Inputs!$D$2:$AG$2,0)),Inputs!$B$4:$B$150,$B13)/1000)</f>
        <v>-1346</v>
      </c>
      <c r="AD13" s="11">
        <f>IF(AD$3=0,"",SUMIFS(INDEX(Inputs!$D$4:$AG$150,0,MATCH(AD$2,Inputs!$D$2:$AG$2,0)),Inputs!$B$4:$B$150,$B13)/1000)</f>
        <v>-1353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64219</v>
      </c>
      <c r="E15" s="11">
        <f>IF(E$3=0,"",SUMIFS(INDEX(Inputs!$D$4:$AG$150,0,MATCH(E$2,Inputs!$D$2:$AG$2,0)),Inputs!$B$4:$B$150,$B15)/1000)</f>
        <v>64080</v>
      </c>
      <c r="F15" s="11">
        <f>IF(F$3=0,"",SUMIFS(INDEX(Inputs!$D$4:$AG$150,0,MATCH(F$2,Inputs!$D$2:$AG$2,0)),Inputs!$B$4:$B$150,$B15)/1000)</f>
        <v>58075</v>
      </c>
      <c r="G15" s="11">
        <f>IF(G$3=0,"",SUMIFS(INDEX(Inputs!$D$4:$AG$150,0,MATCH(G$2,Inputs!$D$2:$AG$2,0)),Inputs!$B$4:$B$150,$B15)/1000)</f>
        <v>47998</v>
      </c>
      <c r="H15" s="12">
        <f>IF(G15="","",G15)</f>
        <v>47998</v>
      </c>
      <c r="I15" s="11">
        <f>IF(I$3=0,"",SUMIFS(INDEX(Inputs!$D$4:$AG$150,0,MATCH(I$2,Inputs!$D$2:$AG$2,0)),Inputs!$B$4:$B$150,$B15)/1000)</f>
        <v>43890</v>
      </c>
      <c r="J15" s="11">
        <f>IF(J$3=0,"",SUMIFS(INDEX(Inputs!$D$4:$AG$150,0,MATCH(J$2,Inputs!$D$2:$AG$2,0)),Inputs!$B$4:$B$150,$B15)/1000)</f>
        <v>40489</v>
      </c>
      <c r="K15" s="11">
        <f>IF(K$3=0,"",SUMIFS(INDEX(Inputs!$D$4:$AG$150,0,MATCH(K$2,Inputs!$D$2:$AG$2,0)),Inputs!$B$4:$B$150,$B15)/1000)</f>
        <v>41776</v>
      </c>
      <c r="L15" s="11">
        <f>IF(L$3=0,"",SUMIFS(INDEX(Inputs!$D$4:$AG$150,0,MATCH(L$2,Inputs!$D$2:$AG$2,0)),Inputs!$B$4:$B$150,$B15)/1000)</f>
        <v>40738</v>
      </c>
      <c r="M15" s="12">
        <f>IF(L15="","",L15)</f>
        <v>40738</v>
      </c>
      <c r="N15" s="11">
        <f>IF(N$3=0,"",SUMIFS(INDEX(Inputs!$D$4:$AG$150,0,MATCH(N$2,Inputs!$D$2:$AG$2,0)),Inputs!$B$4:$B$150,$B15)/1000)</f>
        <v>37439</v>
      </c>
      <c r="O15" s="11">
        <f>IF(O$3=0,"",SUMIFS(INDEX(Inputs!$D$4:$AG$150,0,MATCH(O$2,Inputs!$D$2:$AG$2,0)),Inputs!$B$4:$B$150,$B15)/1000)</f>
        <v>53446</v>
      </c>
      <c r="P15" s="11">
        <f>IF(P$3=0,"",SUMIFS(INDEX(Inputs!$D$4:$AG$150,0,MATCH(P$2,Inputs!$D$2:$AG$2,0)),Inputs!$B$4:$B$150,$B15)/1000)</f>
        <v>61123</v>
      </c>
      <c r="Q15" s="11">
        <f>IF(Q$3=0,"",SUMIFS(INDEX(Inputs!$D$4:$AG$150,0,MATCH(Q$2,Inputs!$D$2:$AG$2,0)),Inputs!$B$4:$B$150,$B15)/1000)</f>
        <v>65403</v>
      </c>
      <c r="R15" s="12">
        <f>IF(Q15="","",Q15)</f>
        <v>65403</v>
      </c>
      <c r="S15" s="11">
        <f>IF(S$3=0,"",SUMIFS(INDEX(Inputs!$D$4:$AG$150,0,MATCH(S$2,Inputs!$D$2:$AG$2,0)),Inputs!$B$4:$B$150,$B15)/1000)</f>
        <v>58120</v>
      </c>
      <c r="T15" s="11">
        <f>IF(T$3=0,"",SUMIFS(INDEX(Inputs!$D$4:$AG$150,0,MATCH(T$2,Inputs!$D$2:$AG$2,0)),Inputs!$B$4:$B$150,$B15)/1000)</f>
        <v>58080</v>
      </c>
      <c r="U15" s="11">
        <f>IF(U$3=0,"",SUMIFS(INDEX(Inputs!$D$4:$AG$150,0,MATCH(U$2,Inputs!$D$2:$AG$2,0)),Inputs!$B$4:$B$150,$B15)/1000)</f>
        <v>70900</v>
      </c>
      <c r="V15" s="11">
        <f>IF(V$3=0,"",SUMIFS(INDEX(Inputs!$D$4:$AG$150,0,MATCH(V$2,Inputs!$D$2:$AG$2,0)),Inputs!$B$4:$B$150,$B15)/1000)</f>
        <v>77815</v>
      </c>
      <c r="W15" s="12">
        <f>IF(V15="","",V15)</f>
        <v>77815</v>
      </c>
      <c r="X15" s="11">
        <f>IF(X$3=0,"",SUMIFS(INDEX(Inputs!$D$4:$AG$150,0,MATCH(X$2,Inputs!$D$2:$AG$2,0)),Inputs!$B$4:$B$150,$B15)/1000)</f>
        <v>70230</v>
      </c>
      <c r="Y15" s="11">
        <f>IF(Y$3=0,"",SUMIFS(INDEX(Inputs!$D$4:$AG$150,0,MATCH(Y$2,Inputs!$D$2:$AG$2,0)),Inputs!$B$4:$B$150,$B15)/1000)</f>
        <v>47071</v>
      </c>
      <c r="Z15" s="11">
        <f>IF(Z$3=0,"",SUMIFS(INDEX(Inputs!$D$4:$AG$150,0,MATCH(Z$2,Inputs!$D$2:$AG$2,0)),Inputs!$B$4:$B$150,$B15)/1000)</f>
        <v>44448</v>
      </c>
      <c r="AA15" s="11">
        <f>IF(AA$3=0,"",SUMIFS(INDEX(Inputs!$D$4:$AG$150,0,MATCH(AA$2,Inputs!$D$2:$AG$2,0)),Inputs!$B$4:$B$150,$B15)/1000)</f>
        <v>81592</v>
      </c>
      <c r="AB15" s="12">
        <f>IF(AA15="","",AA15)</f>
        <v>81592</v>
      </c>
      <c r="AC15" s="11">
        <f>IF(AC$3=0,"",SUMIFS(INDEX(Inputs!$D$4:$AG$150,0,MATCH(AC$2,Inputs!$D$2:$AG$2,0)),Inputs!$B$4:$B$150,$B15)/1000)</f>
        <v>81180</v>
      </c>
      <c r="AD15" s="11">
        <f>IF(AD$3=0,"",SUMIFS(INDEX(Inputs!$D$4:$AG$150,0,MATCH(AD$2,Inputs!$D$2:$AG$2,0)),Inputs!$B$4:$B$150,$B15)/1000)</f>
        <v>90260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10276</v>
      </c>
      <c r="E16" s="11">
        <f>IF(E$3=0,"",SUMIFS(INDEX(Inputs!$D$4:$AG$150,0,MATCH(E$2,Inputs!$D$2:$AG$2,0)),Inputs!$B$4:$B$150,$B16)/1000)</f>
        <v>11698</v>
      </c>
      <c r="F16" s="11">
        <f>IF(F$3=0,"",SUMIFS(INDEX(Inputs!$D$4:$AG$150,0,MATCH(F$2,Inputs!$D$2:$AG$2,0)),Inputs!$B$4:$B$150,$B16)/1000)</f>
        <v>12088</v>
      </c>
      <c r="G16" s="11">
        <f>IF(G$3=0,"",SUMIFS(INDEX(Inputs!$D$4:$AG$150,0,MATCH(G$2,Inputs!$D$2:$AG$2,0)),Inputs!$B$4:$B$150,$B16)/1000)</f>
        <v>14039</v>
      </c>
      <c r="H16" s="12">
        <f>IF(G16="","",G16)</f>
        <v>14039</v>
      </c>
      <c r="I16" s="11">
        <f>IF(I$3=0,"",SUMIFS(INDEX(Inputs!$D$4:$AG$150,0,MATCH(I$2,Inputs!$D$2:$AG$2,0)),Inputs!$B$4:$B$150,$B16)/1000)</f>
        <v>11390</v>
      </c>
      <c r="J16" s="11">
        <f>IF(J$3=0,"",SUMIFS(INDEX(Inputs!$D$4:$AG$150,0,MATCH(J$2,Inputs!$D$2:$AG$2,0)),Inputs!$B$4:$B$150,$B16)/1000)</f>
        <v>11525</v>
      </c>
      <c r="K16" s="11">
        <f>IF(K$3=0,"",SUMIFS(INDEX(Inputs!$D$4:$AG$150,0,MATCH(K$2,Inputs!$D$2:$AG$2,0)),Inputs!$B$4:$B$150,$B16)/1000)</f>
        <v>11227</v>
      </c>
      <c r="L16" s="11">
        <f>IF(L$3=0,"",SUMIFS(INDEX(Inputs!$D$4:$AG$150,0,MATCH(L$2,Inputs!$D$2:$AG$2,0)),Inputs!$B$4:$B$150,$B16)/1000)</f>
        <v>13466</v>
      </c>
      <c r="M16" s="12">
        <f>IF(L16="","",L16)</f>
        <v>13466</v>
      </c>
      <c r="N16" s="11">
        <f>IF(N$3=0,"",SUMIFS(INDEX(Inputs!$D$4:$AG$150,0,MATCH(N$2,Inputs!$D$2:$AG$2,0)),Inputs!$B$4:$B$150,$B16)/1000)</f>
        <v>11044</v>
      </c>
      <c r="O16" s="11">
        <f>IF(O$3=0,"",SUMIFS(INDEX(Inputs!$D$4:$AG$150,0,MATCH(O$2,Inputs!$D$2:$AG$2,0)),Inputs!$B$4:$B$150,$B16)/1000)</f>
        <v>12511</v>
      </c>
      <c r="P16" s="11">
        <f>IF(P$3=0,"",SUMIFS(INDEX(Inputs!$D$4:$AG$150,0,MATCH(P$2,Inputs!$D$2:$AG$2,0)),Inputs!$B$4:$B$150,$B16)/1000)</f>
        <v>12944</v>
      </c>
      <c r="Q16" s="11">
        <f>IF(Q$3=0,"",SUMIFS(INDEX(Inputs!$D$4:$AG$150,0,MATCH(Q$2,Inputs!$D$2:$AG$2,0)),Inputs!$B$4:$B$150,$B16)/1000)</f>
        <v>16169</v>
      </c>
      <c r="R16" s="12">
        <f>IF(Q16="","",Q16)</f>
        <v>16169</v>
      </c>
      <c r="S16" s="11">
        <f>IF(S$3=0,"",SUMIFS(INDEX(Inputs!$D$4:$AG$150,0,MATCH(S$2,Inputs!$D$2:$AG$2,0)),Inputs!$B$4:$B$150,$B16)/1000)</f>
        <v>13430</v>
      </c>
      <c r="T16" s="11">
        <f>IF(T$3=0,"",SUMIFS(INDEX(Inputs!$D$4:$AG$150,0,MATCH(T$2,Inputs!$D$2:$AG$2,0)),Inputs!$B$4:$B$150,$B16)/1000)</f>
        <v>14505</v>
      </c>
      <c r="U16" s="11">
        <f>IF(U$3=0,"",SUMIFS(INDEX(Inputs!$D$4:$AG$150,0,MATCH(U$2,Inputs!$D$2:$AG$2,0)),Inputs!$B$4:$B$150,$B16)/1000)</f>
        <v>14700</v>
      </c>
      <c r="V16" s="11">
        <f>IF(V$3=0,"",SUMIFS(INDEX(Inputs!$D$4:$AG$150,0,MATCH(V$2,Inputs!$D$2:$AG$2,0)),Inputs!$B$4:$B$150,$B16)/1000)</f>
        <v>16994</v>
      </c>
      <c r="W16" s="12">
        <f>IF(V16="","",V16)</f>
        <v>16994</v>
      </c>
      <c r="X16" s="11">
        <f>IF(X$3=0,"",SUMIFS(INDEX(Inputs!$D$4:$AG$150,0,MATCH(X$2,Inputs!$D$2:$AG$2,0)),Inputs!$B$4:$B$150,$B16)/1000)</f>
        <v>14514</v>
      </c>
      <c r="Y16" s="11">
        <f>IF(Y$3=0,"",SUMIFS(INDEX(Inputs!$D$4:$AG$150,0,MATCH(Y$2,Inputs!$D$2:$AG$2,0)),Inputs!$B$4:$B$150,$B16)/1000)</f>
        <v>16561</v>
      </c>
      <c r="Z16" s="11">
        <f>IF(Z$3=0,"",SUMIFS(INDEX(Inputs!$D$4:$AG$150,0,MATCH(Z$2,Inputs!$D$2:$AG$2,0)),Inputs!$B$4:$B$150,$B16)/1000)</f>
        <v>17297</v>
      </c>
      <c r="AA16" s="11">
        <f>IF(AA$3=0,"",SUMIFS(INDEX(Inputs!$D$4:$AG$150,0,MATCH(AA$2,Inputs!$D$2:$AG$2,0)),Inputs!$B$4:$B$150,$B16)/1000)</f>
        <v>19769</v>
      </c>
      <c r="AB16" s="12">
        <f>IF(AA16="","",AA16)</f>
        <v>19769</v>
      </c>
      <c r="AC16" s="11">
        <f>IF(AC$3=0,"",SUMIFS(INDEX(Inputs!$D$4:$AG$150,0,MATCH(AC$2,Inputs!$D$2:$AG$2,0)),Inputs!$B$4:$B$150,$B16)/1000)</f>
        <v>17470</v>
      </c>
      <c r="AD16" s="11">
        <f>IF(AD$3=0,"",SUMIFS(INDEX(Inputs!$D$4:$AG$150,0,MATCH(AD$2,Inputs!$D$2:$AG$2,0)),Inputs!$B$4:$B$150,$B16)/1000)</f>
        <v>21752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2827</v>
      </c>
      <c r="E20" s="11">
        <f>IF(E$3=0,"",SUMIFS(INDEX(Inputs!$D$4:$AG$150,0,MATCH(E$2,Inputs!$D$2:$AG$2,0)),Inputs!$B$4:$B$150,$B20)/1000)</f>
        <v>4919</v>
      </c>
      <c r="F20" s="11">
        <f>IF(F$3=0,"",SUMIFS(INDEX(Inputs!$D$4:$AG$150,0,MATCH(F$2,Inputs!$D$2:$AG$2,0)),Inputs!$B$4:$B$150,$B20)/1000)</f>
        <v>5258</v>
      </c>
      <c r="G20" s="11">
        <f>IF(G$3=0,"",SUMIFS(INDEX(Inputs!$D$4:$AG$150,0,MATCH(G$2,Inputs!$D$2:$AG$2,0)),Inputs!$B$4:$B$150,$B20)/1000)</f>
        <v>4629</v>
      </c>
      <c r="H20" s="12">
        <f>IF(G20="","",G20)</f>
        <v>4629</v>
      </c>
      <c r="I20" s="11">
        <f>IF(I$3=0,"",SUMIFS(INDEX(Inputs!$D$4:$AG$150,0,MATCH(I$2,Inputs!$D$2:$AG$2,0)),Inputs!$B$4:$B$150,$B20)/1000)</f>
        <v>3985</v>
      </c>
      <c r="J20" s="11">
        <f>IF(J$3=0,"",SUMIFS(INDEX(Inputs!$D$4:$AG$150,0,MATCH(J$2,Inputs!$D$2:$AG$2,0)),Inputs!$B$4:$B$150,$B20)/1000)</f>
        <v>3973</v>
      </c>
      <c r="K20" s="11">
        <f>IF(K$3=0,"",SUMIFS(INDEX(Inputs!$D$4:$AG$150,0,MATCH(K$2,Inputs!$D$2:$AG$2,0)),Inputs!$B$4:$B$150,$B20)/1000)</f>
        <v>5312</v>
      </c>
      <c r="L20" s="11">
        <f>IF(L$3=0,"",SUMIFS(INDEX(Inputs!$D$4:$AG$150,0,MATCH(L$2,Inputs!$D$2:$AG$2,0)),Inputs!$B$4:$B$150,$B20)/1000)</f>
        <v>5345</v>
      </c>
      <c r="M20" s="12">
        <f>IF(L20="","",L20)</f>
        <v>5345</v>
      </c>
      <c r="N20" s="11">
        <f>IF(N$3=0,"",SUMIFS(INDEX(Inputs!$D$4:$AG$150,0,MATCH(N$2,Inputs!$D$2:$AG$2,0)),Inputs!$B$4:$B$150,$B20)/1000)</f>
        <v>4000</v>
      </c>
      <c r="O20" s="11">
        <f>IF(O$3=0,"",SUMIFS(INDEX(Inputs!$D$4:$AG$150,0,MATCH(O$2,Inputs!$D$2:$AG$2,0)),Inputs!$B$4:$B$150,$B20)/1000)</f>
        <v>3603</v>
      </c>
      <c r="P20" s="11">
        <f>IF(P$3=0,"",SUMIFS(INDEX(Inputs!$D$4:$AG$150,0,MATCH(P$2,Inputs!$D$2:$AG$2,0)),Inputs!$B$4:$B$150,$B20)/1000)</f>
        <v>4311</v>
      </c>
      <c r="Q20" s="11">
        <f>IF(Q$3=0,"",SUMIFS(INDEX(Inputs!$D$4:$AG$150,0,MATCH(Q$2,Inputs!$D$2:$AG$2,0)),Inputs!$B$4:$B$150,$B20)/1000)</f>
        <v>3793</v>
      </c>
      <c r="R20" s="12">
        <f>IF(Q20="","",Q20)</f>
        <v>3793</v>
      </c>
      <c r="S20" s="11">
        <f>IF(S$3=0,"",SUMIFS(INDEX(Inputs!$D$4:$AG$150,0,MATCH(S$2,Inputs!$D$2:$AG$2,0)),Inputs!$B$4:$B$150,$B20)/1000)</f>
        <v>3780</v>
      </c>
      <c r="T20" s="11">
        <f>IF(T$3=0,"",SUMIFS(INDEX(Inputs!$D$4:$AG$150,0,MATCH(T$2,Inputs!$D$2:$AG$2,0)),Inputs!$B$4:$B$150,$B20)/1000)</f>
        <v>3846</v>
      </c>
      <c r="U20" s="11">
        <f>IF(U$3=0,"",SUMIFS(INDEX(Inputs!$D$4:$AG$150,0,MATCH(U$2,Inputs!$D$2:$AG$2,0)),Inputs!$B$4:$B$150,$B20)/1000)</f>
        <v>5467</v>
      </c>
      <c r="V20" s="11">
        <f>IF(V$3=0,"",SUMIFS(INDEX(Inputs!$D$4:$AG$150,0,MATCH(V$2,Inputs!$D$2:$AG$2,0)),Inputs!$B$4:$B$150,$B20)/1000)</f>
        <v>5236</v>
      </c>
      <c r="W20" s="12">
        <f>IF(V20="","",V20)</f>
        <v>5236</v>
      </c>
      <c r="X20" s="11">
        <f>IF(X$3=0,"",SUMIFS(INDEX(Inputs!$D$4:$AG$150,0,MATCH(X$2,Inputs!$D$2:$AG$2,0)),Inputs!$B$4:$B$150,$B20)/1000)</f>
        <v>5483</v>
      </c>
      <c r="Y20" s="11">
        <f>IF(Y$3=0,"",SUMIFS(INDEX(Inputs!$D$4:$AG$150,0,MATCH(Y$2,Inputs!$D$2:$AG$2,0)),Inputs!$B$4:$B$150,$B20)/1000)</f>
        <v>9981</v>
      </c>
      <c r="Z20" s="11">
        <f>IF(Z$3=0,"",SUMIFS(INDEX(Inputs!$D$4:$AG$150,0,MATCH(Z$2,Inputs!$D$2:$AG$2,0)),Inputs!$B$4:$B$150,$B20)/1000)</f>
        <v>11373</v>
      </c>
      <c r="AA20" s="11">
        <f>IF(AA$3=0,"",SUMIFS(INDEX(Inputs!$D$4:$AG$150,0,MATCH(AA$2,Inputs!$D$2:$AG$2,0)),Inputs!$B$4:$B$150,$B20)/1000)</f>
        <v>7361</v>
      </c>
      <c r="AB20" s="12">
        <f>IF(AA20="","",AA20)</f>
        <v>7361</v>
      </c>
      <c r="AC20" s="11">
        <f>IF(AC$3=0,"",SUMIFS(INDEX(Inputs!$D$4:$AG$150,0,MATCH(AC$2,Inputs!$D$2:$AG$2,0)),Inputs!$B$4:$B$150,$B20)/1000)</f>
        <v>11115</v>
      </c>
      <c r="AD20" s="11">
        <f>IF(AD$3=0,"",SUMIFS(INDEX(Inputs!$D$4:$AG$150,0,MATCH(AD$2,Inputs!$D$2:$AG$2,0)),Inputs!$B$4:$B$150,$B20)/1000)</f>
        <v>13463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47720</v>
      </c>
      <c r="E22" s="11">
        <f>IF(E$3=0,"",SUMIFS(INDEX(Inputs!$D$4:$AG$150,0,MATCH(E$2,Inputs!$D$2:$AG$2,0)),Inputs!$B$4:$B$150,$B22)/1000)</f>
        <v>50909</v>
      </c>
      <c r="F22" s="11">
        <f>IF(F$3=0,"",SUMIFS(INDEX(Inputs!$D$4:$AG$150,0,MATCH(F$2,Inputs!$D$2:$AG$2,0)),Inputs!$B$4:$B$150,$B22)/1000)</f>
        <v>53726</v>
      </c>
      <c r="G22" s="11">
        <f>IF(G$3=0,"",SUMIFS(INDEX(Inputs!$D$4:$AG$150,0,MATCH(G$2,Inputs!$D$2:$AG$2,0)),Inputs!$B$4:$B$150,$B22)/1000)</f>
        <v>57809</v>
      </c>
      <c r="H22" s="12">
        <f>IF(G22="","",G22)</f>
        <v>57809</v>
      </c>
      <c r="I22" s="11">
        <f>IF(I$3=0,"",SUMIFS(INDEX(Inputs!$D$4:$AG$150,0,MATCH(I$2,Inputs!$D$2:$AG$2,0)),Inputs!$B$4:$B$150,$B22)/1000)</f>
        <v>61582</v>
      </c>
      <c r="J22" s="11">
        <f>IF(J$3=0,"",SUMIFS(INDEX(Inputs!$D$4:$AG$150,0,MATCH(J$2,Inputs!$D$2:$AG$2,0)),Inputs!$B$4:$B$150,$B22)/1000)</f>
        <v>67588</v>
      </c>
      <c r="K22" s="11">
        <f>IF(K$3=0,"",SUMIFS(INDEX(Inputs!$D$4:$AG$150,0,MATCH(K$2,Inputs!$D$2:$AG$2,0)),Inputs!$B$4:$B$150,$B22)/1000)</f>
        <v>73738</v>
      </c>
      <c r="L22" s="11">
        <f>IF(L$3=0,"",SUMIFS(INDEX(Inputs!$D$4:$AG$150,0,MATCH(L$2,Inputs!$D$2:$AG$2,0)),Inputs!$B$4:$B$150,$B22)/1000)</f>
        <v>79518</v>
      </c>
      <c r="M22" s="12">
        <f>IF(L22="","",L22)</f>
        <v>79518</v>
      </c>
      <c r="N22" s="11">
        <f>IF(N$3=0,"",SUMIFS(INDEX(Inputs!$D$4:$AG$150,0,MATCH(N$2,Inputs!$D$2:$AG$2,0)),Inputs!$B$4:$B$150,$B22)/1000)</f>
        <v>84156</v>
      </c>
      <c r="O22" s="11">
        <f>IF(O$3=0,"",SUMIFS(INDEX(Inputs!$D$4:$AG$150,0,MATCH(O$2,Inputs!$D$2:$AG$2,0)),Inputs!$B$4:$B$150,$B22)/1000)</f>
        <v>87949</v>
      </c>
      <c r="P22" s="11">
        <f>IF(P$3=0,"",SUMIFS(INDEX(Inputs!$D$4:$AG$150,0,MATCH(P$2,Inputs!$D$2:$AG$2,0)),Inputs!$B$4:$B$150,$B22)/1000)</f>
        <v>91772</v>
      </c>
      <c r="Q22" s="11">
        <f>IF(Q$3=0,"",SUMIFS(INDEX(Inputs!$D$4:$AG$150,0,MATCH(Q$2,Inputs!$D$2:$AG$2,0)),Inputs!$B$4:$B$150,$B22)/1000)</f>
        <v>96587</v>
      </c>
      <c r="R22" s="12">
        <f>IF(Q22="","",Q22)</f>
        <v>96587</v>
      </c>
      <c r="S22" s="11">
        <f>IF(S$3=0,"",SUMIFS(INDEX(Inputs!$D$4:$AG$150,0,MATCH(S$2,Inputs!$D$2:$AG$2,0)),Inputs!$B$4:$B$150,$B22)/1000)</f>
        <v>98908</v>
      </c>
      <c r="T22" s="11">
        <f>IF(T$3=0,"",SUMIFS(INDEX(Inputs!$D$4:$AG$150,0,MATCH(T$2,Inputs!$D$2:$AG$2,0)),Inputs!$B$4:$B$150,$B22)/1000)</f>
        <v>102959</v>
      </c>
      <c r="U22" s="11">
        <f>IF(U$3=0,"",SUMIFS(INDEX(Inputs!$D$4:$AG$150,0,MATCH(U$2,Inputs!$D$2:$AG$2,0)),Inputs!$B$4:$B$150,$B22)/1000)</f>
        <v>112162</v>
      </c>
      <c r="V22" s="11">
        <f>IF(V$3=0,"",SUMIFS(INDEX(Inputs!$D$4:$AG$150,0,MATCH(V$2,Inputs!$D$2:$AG$2,0)),Inputs!$B$4:$B$150,$B22)/1000)</f>
        <v>121346</v>
      </c>
      <c r="W22" s="12">
        <f>IF(V22="","",V22)</f>
        <v>121346</v>
      </c>
      <c r="X22" s="11">
        <f>IF(X$3=0,"",SUMIFS(INDEX(Inputs!$D$4:$AG$150,0,MATCH(X$2,Inputs!$D$2:$AG$2,0)),Inputs!$B$4:$B$150,$B22)/1000)</f>
        <v>133567</v>
      </c>
      <c r="Y22" s="11">
        <f>IF(Y$3=0,"",SUMIFS(INDEX(Inputs!$D$4:$AG$150,0,MATCH(Y$2,Inputs!$D$2:$AG$2,0)),Inputs!$B$4:$B$150,$B22)/1000)</f>
        <v>147039</v>
      </c>
      <c r="Z22" s="11">
        <f>IF(Z$3=0,"",SUMIFS(INDEX(Inputs!$D$4:$AG$150,0,MATCH(Z$2,Inputs!$D$2:$AG$2,0)),Inputs!$B$4:$B$150,$B22)/1000)</f>
        <v>160270</v>
      </c>
      <c r="AA22" s="11">
        <f>IF(AA$3=0,"",SUMIFS(INDEX(Inputs!$D$4:$AG$150,0,MATCH(AA$2,Inputs!$D$2:$AG$2,0)),Inputs!$B$4:$B$150,$B22)/1000)</f>
        <v>176400</v>
      </c>
      <c r="AB22" s="12">
        <f>IF(AA22="","",AA22)</f>
        <v>176400</v>
      </c>
      <c r="AC22" s="11">
        <f>IF(AC$3=0,"",SUMIFS(INDEX(Inputs!$D$4:$AG$150,0,MATCH(AC$2,Inputs!$D$2:$AG$2,0)),Inputs!$B$4:$B$150,$B22)/1000)</f>
        <v>194776</v>
      </c>
      <c r="AD22" s="11">
        <f>IF(AD$3=0,"",SUMIFS(INDEX(Inputs!$D$4:$AG$150,0,MATCH(AD$2,Inputs!$D$2:$AG$2,0)),Inputs!$B$4:$B$150,$B22)/1000)</f>
        <v>225724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10202</v>
      </c>
      <c r="E23" s="11">
        <f>IF(E$3=0,"",SUMIFS(INDEX(Inputs!$D$4:$AG$150,0,MATCH(E$2,Inputs!$D$2:$AG$2,0)),Inputs!$B$4:$B$150,$B23)/1000)</f>
        <v>10525</v>
      </c>
      <c r="F23" s="11">
        <f>IF(F$3=0,"",SUMIFS(INDEX(Inputs!$D$4:$AG$150,0,MATCH(F$2,Inputs!$D$2:$AG$2,0)),Inputs!$B$4:$B$150,$B23)/1000)</f>
        <v>11063</v>
      </c>
      <c r="G23" s="11">
        <f>IF(G$3=0,"",SUMIFS(INDEX(Inputs!$D$4:$AG$150,0,MATCH(G$2,Inputs!$D$2:$AG$2,0)),Inputs!$B$4:$B$150,$B23)/1000)</f>
        <v>12155</v>
      </c>
      <c r="H23" s="12">
        <f>IF(G23="","",G23)</f>
        <v>12155</v>
      </c>
      <c r="I23" s="11">
        <f>IF(I$3=0,"",SUMIFS(INDEX(Inputs!$D$4:$AG$150,0,MATCH(I$2,Inputs!$D$2:$AG$2,0)),Inputs!$B$4:$B$150,$B23)/1000)</f>
        <v>12241</v>
      </c>
      <c r="J23" s="11">
        <f>IF(J$3=0,"",SUMIFS(INDEX(Inputs!$D$4:$AG$150,0,MATCH(J$2,Inputs!$D$2:$AG$2,0)),Inputs!$B$4:$B$150,$B23)/1000)</f>
        <v>14130</v>
      </c>
      <c r="K23" s="11">
        <f>IF(K$3=0,"",SUMIFS(INDEX(Inputs!$D$4:$AG$150,0,MATCH(K$2,Inputs!$D$2:$AG$2,0)),Inputs!$B$4:$B$150,$B23)/1000)</f>
        <v>13641</v>
      </c>
      <c r="L23" s="11">
        <f>IF(L$3=0,"",SUMIFS(INDEX(Inputs!$D$4:$AG$150,0,MATCH(L$2,Inputs!$D$2:$AG$2,0)),Inputs!$B$4:$B$150,$B23)/1000)</f>
        <v>12673</v>
      </c>
      <c r="M23" s="12">
        <f>IF(L23="","",L23)</f>
        <v>12673</v>
      </c>
      <c r="N23" s="11">
        <f>IF(N$3=0,"",SUMIFS(INDEX(Inputs!$D$4:$AG$150,0,MATCH(N$2,Inputs!$D$2:$AG$2,0)),Inputs!$B$4:$B$150,$B23)/1000)</f>
        <v>12899</v>
      </c>
      <c r="O23" s="11">
        <f>IF(O$3=0,"",SUMIFS(INDEX(Inputs!$D$4:$AG$150,0,MATCH(O$2,Inputs!$D$2:$AG$2,0)),Inputs!$B$4:$B$150,$B23)/1000)</f>
        <v>12955</v>
      </c>
      <c r="P23" s="11">
        <f>IF(P$3=0,"",SUMIFS(INDEX(Inputs!$D$4:$AG$150,0,MATCH(P$2,Inputs!$D$2:$AG$2,0)),Inputs!$B$4:$B$150,$B23)/1000)</f>
        <v>13033</v>
      </c>
      <c r="Q23" s="11">
        <f>IF(Q$3=0,"",SUMIFS(INDEX(Inputs!$D$4:$AG$150,0,MATCH(Q$2,Inputs!$D$2:$AG$2,0)),Inputs!$B$4:$B$150,$B23)/1000)</f>
        <v>13294</v>
      </c>
      <c r="R23" s="12">
        <f>IF(Q23="","",Q23)</f>
        <v>13294</v>
      </c>
      <c r="S23" s="11">
        <f>IF(S$3=0,"",SUMIFS(INDEX(Inputs!$D$4:$AG$150,0,MATCH(S$2,Inputs!$D$2:$AG$2,0)),Inputs!$B$4:$B$150,$B23)/1000)</f>
        <v>13555</v>
      </c>
      <c r="T23" s="11">
        <f>IF(T$3=0,"",SUMIFS(INDEX(Inputs!$D$4:$AG$150,0,MATCH(T$2,Inputs!$D$2:$AG$2,0)),Inputs!$B$4:$B$150,$B23)/1000)</f>
        <v>14058</v>
      </c>
      <c r="U23" s="11">
        <f>IF(U$3=0,"",SUMIFS(INDEX(Inputs!$D$4:$AG$150,0,MATCH(U$2,Inputs!$D$2:$AG$2,0)),Inputs!$B$4:$B$150,$B23)/1000)</f>
        <v>14812</v>
      </c>
      <c r="V23" s="11">
        <f>IF(V$3=0,"",SUMIFS(INDEX(Inputs!$D$4:$AG$150,0,MATCH(V$2,Inputs!$D$2:$AG$2,0)),Inputs!$B$4:$B$150,$B23)/1000)</f>
        <v>14922</v>
      </c>
      <c r="W23" s="12">
        <f>IF(V23="","",V23)</f>
        <v>14922</v>
      </c>
      <c r="X23" s="11">
        <f>IF(X$3=0,"",SUMIFS(INDEX(Inputs!$D$4:$AG$150,0,MATCH(X$2,Inputs!$D$2:$AG$2,0)),Inputs!$B$4:$B$150,$B23)/1000)</f>
        <v>15505</v>
      </c>
      <c r="Y23" s="11">
        <f>IF(Y$3=0,"",SUMIFS(INDEX(Inputs!$D$4:$AG$150,0,MATCH(Y$2,Inputs!$D$2:$AG$2,0)),Inputs!$B$4:$B$150,$B23)/1000)</f>
        <v>15662</v>
      </c>
      <c r="Z23" s="11">
        <f>IF(Z$3=0,"",SUMIFS(INDEX(Inputs!$D$4:$AG$150,0,MATCH(Z$2,Inputs!$D$2:$AG$2,0)),Inputs!$B$4:$B$150,$B23)/1000)</f>
        <v>17372</v>
      </c>
      <c r="AA23" s="11">
        <f>IF(AA$3=0,"",SUMIFS(INDEX(Inputs!$D$4:$AG$150,0,MATCH(AA$2,Inputs!$D$2:$AG$2,0)),Inputs!$B$4:$B$150,$B23)/1000)</f>
        <v>20404</v>
      </c>
      <c r="AB23" s="12">
        <f>IF(AA23="","",AA23)</f>
        <v>20404</v>
      </c>
      <c r="AC23" s="11">
        <f>IF(AC$3=0,"",SUMIFS(INDEX(Inputs!$D$4:$AG$150,0,MATCH(AC$2,Inputs!$D$2:$AG$2,0)),Inputs!$B$4:$B$150,$B23)/1000)</f>
        <v>23268</v>
      </c>
      <c r="AD23" s="11">
        <f>IF(AD$3=0,"",SUMIFS(INDEX(Inputs!$D$4:$AG$150,0,MATCH(AD$2,Inputs!$D$2:$AG$2,0)),Inputs!$B$4:$B$150,$B23)/1000)</f>
        <v>23985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19056</v>
      </c>
      <c r="E24" s="11">
        <f>IF(E$3=0,"",SUMIFS(INDEX(Inputs!$D$4:$AG$150,0,MATCH(E$2,Inputs!$D$2:$AG$2,0)),Inputs!$B$4:$B$150,$B24)/1000)</f>
        <v>19219</v>
      </c>
      <c r="F24" s="11">
        <f>IF(F$3=0,"",SUMIFS(INDEX(Inputs!$D$4:$AG$150,0,MATCH(F$2,Inputs!$D$2:$AG$2,0)),Inputs!$B$4:$B$150,$B24)/1000)</f>
        <v>19065</v>
      </c>
      <c r="G24" s="11">
        <f>IF(G$3=0,"",SUMIFS(INDEX(Inputs!$D$4:$AG$150,0,MATCH(G$2,Inputs!$D$2:$AG$2,0)),Inputs!$B$4:$B$150,$B24)/1000)</f>
        <v>19197</v>
      </c>
      <c r="H24" s="12">
        <f>IF(G24="","",G24)</f>
        <v>19197</v>
      </c>
      <c r="I24" s="11">
        <f>IF(I$3=0,"",SUMIFS(INDEX(Inputs!$D$4:$AG$150,0,MATCH(I$2,Inputs!$D$2:$AG$2,0)),Inputs!$B$4:$B$150,$B24)/1000)</f>
        <v>19923</v>
      </c>
      <c r="J24" s="11">
        <f>IF(J$3=0,"",SUMIFS(INDEX(Inputs!$D$4:$AG$150,0,MATCH(J$2,Inputs!$D$2:$AG$2,0)),Inputs!$B$4:$B$150,$B24)/1000)</f>
        <v>20229</v>
      </c>
      <c r="K24" s="11">
        <f>IF(K$3=0,"",SUMIFS(INDEX(Inputs!$D$4:$AG$150,0,MATCH(K$2,Inputs!$D$2:$AG$2,0)),Inputs!$B$4:$B$150,$B24)/1000)</f>
        <v>20268</v>
      </c>
      <c r="L24" s="11">
        <f>IF(L$3=0,"",SUMIFS(INDEX(Inputs!$D$4:$AG$150,0,MATCH(L$2,Inputs!$D$2:$AG$2,0)),Inputs!$B$4:$B$150,$B24)/1000)</f>
        <v>20306</v>
      </c>
      <c r="M24" s="12">
        <f>IF(L24="","",L24)</f>
        <v>20306</v>
      </c>
      <c r="N24" s="11">
        <f>IF(N$3=0,"",SUMIFS(INDEX(Inputs!$D$4:$AG$150,0,MATCH(N$2,Inputs!$D$2:$AG$2,0)),Inputs!$B$4:$B$150,$B24)/1000)</f>
        <v>20649</v>
      </c>
      <c r="O24" s="11">
        <f>IF(O$3=0,"",SUMIFS(INDEX(Inputs!$D$4:$AG$150,0,MATCH(O$2,Inputs!$D$2:$AG$2,0)),Inputs!$B$4:$B$150,$B24)/1000)</f>
        <v>20659</v>
      </c>
      <c r="P24" s="11">
        <f>IF(P$3=0,"",SUMIFS(INDEX(Inputs!$D$4:$AG$150,0,MATCH(P$2,Inputs!$D$2:$AG$2,0)),Inputs!$B$4:$B$150,$B24)/1000)</f>
        <v>20668</v>
      </c>
      <c r="Q24" s="11">
        <f>IF(Q$3=0,"",SUMIFS(INDEX(Inputs!$D$4:$AG$150,0,MATCH(Q$2,Inputs!$D$2:$AG$2,0)),Inputs!$B$4:$B$150,$B24)/1000)</f>
        <v>20654</v>
      </c>
      <c r="R24" s="12">
        <f>IF(Q24="","",Q24)</f>
        <v>20654</v>
      </c>
      <c r="S24" s="11">
        <f>IF(S$3=0,"",SUMIFS(INDEX(Inputs!$D$4:$AG$150,0,MATCH(S$2,Inputs!$D$2:$AG$2,0)),Inputs!$B$4:$B$150,$B24)/1000)</f>
        <v>20654</v>
      </c>
      <c r="T24" s="11">
        <f>IF(T$3=0,"",SUMIFS(INDEX(Inputs!$D$4:$AG$150,0,MATCH(T$2,Inputs!$D$2:$AG$2,0)),Inputs!$B$4:$B$150,$B24)/1000)</f>
        <v>20654</v>
      </c>
      <c r="U24" s="11">
        <f>IF(U$3=0,"",SUMIFS(INDEX(Inputs!$D$4:$AG$150,0,MATCH(U$2,Inputs!$D$2:$AG$2,0)),Inputs!$B$4:$B$150,$B24)/1000)</f>
        <v>20654</v>
      </c>
      <c r="V24" s="11">
        <f>IF(V$3=0,"",SUMIFS(INDEX(Inputs!$D$4:$AG$150,0,MATCH(V$2,Inputs!$D$2:$AG$2,0)),Inputs!$B$4:$B$150,$B24)/1000)</f>
        <v>20654</v>
      </c>
      <c r="W24" s="12">
        <f>IF(V24="","",V24)</f>
        <v>20654</v>
      </c>
      <c r="X24" s="11">
        <f>IF(X$3=0,"",SUMIFS(INDEX(Inputs!$D$4:$AG$150,0,MATCH(X$2,Inputs!$D$2:$AG$2,0)),Inputs!$B$4:$B$150,$B24)/1000)</f>
        <v>20654</v>
      </c>
      <c r="Y24" s="11">
        <f>IF(Y$3=0,"",SUMIFS(INDEX(Inputs!$D$4:$AG$150,0,MATCH(Y$2,Inputs!$D$2:$AG$2,0)),Inputs!$B$4:$B$150,$B24)/1000)</f>
        <v>20654</v>
      </c>
      <c r="Z24" s="11">
        <f>IF(Z$3=0,"",SUMIFS(INDEX(Inputs!$D$4:$AG$150,0,MATCH(Z$2,Inputs!$D$2:$AG$2,0)),Inputs!$B$4:$B$150,$B24)/1000)</f>
        <v>21158</v>
      </c>
      <c r="AA24" s="11">
        <f>IF(AA$3=0,"",SUMIFS(INDEX(Inputs!$D$4:$AG$150,0,MATCH(AA$2,Inputs!$D$2:$AG$2,0)),Inputs!$B$4:$B$150,$B24)/1000)</f>
        <v>24534</v>
      </c>
      <c r="AB24" s="12">
        <f>IF(AA24="","",AA24)</f>
        <v>24534</v>
      </c>
      <c r="AC24" s="11">
        <f>IF(AC$3=0,"",SUMIFS(INDEX(Inputs!$D$4:$AG$150,0,MATCH(AC$2,Inputs!$D$2:$AG$2,0)),Inputs!$B$4:$B$150,$B24)/1000)</f>
        <v>24748</v>
      </c>
      <c r="AD24" s="11">
        <f>IF(AD$3=0,"",SUMIFS(INDEX(Inputs!$D$4:$AG$150,0,MATCH(AD$2,Inputs!$D$2:$AG$2,0)),Inputs!$B$4:$B$150,$B24)/1000)</f>
        <v>23406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505</v>
      </c>
      <c r="E25" s="11">
        <f>IF(E$3=0,"",SUMIFS(INDEX(Inputs!$D$4:$AG$150,0,MATCH(E$2,Inputs!$D$2:$AG$2,0)),Inputs!$B$4:$B$150,$B25)/1000)</f>
        <v>514</v>
      </c>
      <c r="F25" s="11">
        <f>IF(F$3=0,"",SUMIFS(INDEX(Inputs!$D$4:$AG$150,0,MATCH(F$2,Inputs!$D$2:$AG$2,0)),Inputs!$B$4:$B$150,$B25)/1000)</f>
        <v>365</v>
      </c>
      <c r="G25" s="11">
        <f>IF(G$3=0,"",SUMIFS(INDEX(Inputs!$D$4:$AG$150,0,MATCH(G$2,Inputs!$D$2:$AG$2,0)),Inputs!$B$4:$B$150,$B25)/1000)</f>
        <v>634</v>
      </c>
      <c r="H25" s="12">
        <f>IF(G25="","",G25)</f>
        <v>634</v>
      </c>
      <c r="I25" s="11">
        <f>IF(I$3=0,"",SUMIFS(INDEX(Inputs!$D$4:$AG$150,0,MATCH(I$2,Inputs!$D$2:$AG$2,0)),Inputs!$B$4:$B$150,$B25)/1000)</f>
        <v>910</v>
      </c>
      <c r="J25" s="11">
        <f>IF(J$3=0,"",SUMIFS(INDEX(Inputs!$D$4:$AG$150,0,MATCH(J$2,Inputs!$D$2:$AG$2,0)),Inputs!$B$4:$B$150,$B25)/1000)</f>
        <v>965</v>
      </c>
      <c r="K25" s="11">
        <f>IF(K$3=0,"",SUMIFS(INDEX(Inputs!$D$4:$AG$150,0,MATCH(K$2,Inputs!$D$2:$AG$2,0)),Inputs!$B$4:$B$150,$B25)/1000)</f>
        <v>875</v>
      </c>
      <c r="L25" s="11">
        <f>IF(L$3=0,"",SUMIFS(INDEX(Inputs!$D$4:$AG$150,0,MATCH(L$2,Inputs!$D$2:$AG$2,0)),Inputs!$B$4:$B$150,$B25)/1000)</f>
        <v>897</v>
      </c>
      <c r="M25" s="12">
        <f>IF(L25="","",L25)</f>
        <v>897</v>
      </c>
      <c r="N25" s="11">
        <f>IF(N$3=0,"",SUMIFS(INDEX(Inputs!$D$4:$AG$150,0,MATCH(N$2,Inputs!$D$2:$AG$2,0)),Inputs!$B$4:$B$150,$B25)/1000)</f>
        <v>949</v>
      </c>
      <c r="O25" s="11">
        <f>IF(O$3=0,"",SUMIFS(INDEX(Inputs!$D$4:$AG$150,0,MATCH(O$2,Inputs!$D$2:$AG$2,0)),Inputs!$B$4:$B$150,$B25)/1000)</f>
        <v>856</v>
      </c>
      <c r="P25" s="11">
        <f>IF(P$3=0,"",SUMIFS(INDEX(Inputs!$D$4:$AG$150,0,MATCH(P$2,Inputs!$D$2:$AG$2,0)),Inputs!$B$4:$B$150,$B25)/1000)</f>
        <v>813</v>
      </c>
      <c r="Q25" s="11">
        <f>IF(Q$3=0,"",SUMIFS(INDEX(Inputs!$D$4:$AG$150,0,MATCH(Q$2,Inputs!$D$2:$AG$2,0)),Inputs!$B$4:$B$150,$B25)/1000)</f>
        <v>788</v>
      </c>
      <c r="R25" s="12">
        <f>IF(Q25="","",Q25)</f>
        <v>788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8718</v>
      </c>
      <c r="E26" s="11">
        <f>IF(E$3=0,"",SUMIFS(INDEX(Inputs!$D$4:$AG$150,0,MATCH(E$2,Inputs!$D$2:$AG$2,0)),Inputs!$B$4:$B$150,$B26)/1000)</f>
        <v>8745</v>
      </c>
      <c r="F26" s="11">
        <f>IF(F$3=0,"",SUMIFS(INDEX(Inputs!$D$4:$AG$150,0,MATCH(F$2,Inputs!$D$2:$AG$2,0)),Inputs!$B$4:$B$150,$B26)/1000)</f>
        <v>9945</v>
      </c>
      <c r="G26" s="11">
        <f>IF(G$3=0,"",SUMIFS(INDEX(Inputs!$D$4:$AG$150,0,MATCH(G$2,Inputs!$D$2:$AG$2,0)),Inputs!$B$4:$B$150,$B26)/1000)</f>
        <v>9526</v>
      </c>
      <c r="H26" s="12">
        <f>IF(G26="","",G26)</f>
        <v>9526</v>
      </c>
      <c r="I26" s="11">
        <f>IF(I$3=0,"",SUMIFS(INDEX(Inputs!$D$4:$AG$150,0,MATCH(I$2,Inputs!$D$2:$AG$2,0)),Inputs!$B$4:$B$150,$B26)/1000)</f>
        <v>10297</v>
      </c>
      <c r="J26" s="11">
        <f>IF(J$3=0,"",SUMIFS(INDEX(Inputs!$D$4:$AG$150,0,MATCH(J$2,Inputs!$D$2:$AG$2,0)),Inputs!$B$4:$B$150,$B26)/1000)</f>
        <v>10880</v>
      </c>
      <c r="K26" s="11">
        <f>IF(K$3=0,"",SUMIFS(INDEX(Inputs!$D$4:$AG$150,0,MATCH(K$2,Inputs!$D$2:$AG$2,0)),Inputs!$B$4:$B$150,$B26)/1000)</f>
        <v>12057</v>
      </c>
      <c r="L26" s="11">
        <f>IF(L$3=0,"",SUMIFS(INDEX(Inputs!$D$4:$AG$150,0,MATCH(L$2,Inputs!$D$2:$AG$2,0)),Inputs!$B$4:$B$150,$B26)/1000)</f>
        <v>12784</v>
      </c>
      <c r="M26" s="12">
        <f>IF(L26="","",L26)</f>
        <v>12784</v>
      </c>
      <c r="N26" s="11">
        <f>IF(N$3=0,"",SUMIFS(INDEX(Inputs!$D$4:$AG$150,0,MATCH(N$2,Inputs!$D$2:$AG$2,0)),Inputs!$B$4:$B$150,$B26)/1000)</f>
        <v>13355</v>
      </c>
      <c r="O26" s="11">
        <f>IF(O$3=0,"",SUMIFS(INDEX(Inputs!$D$4:$AG$150,0,MATCH(O$2,Inputs!$D$2:$AG$2,0)),Inputs!$B$4:$B$150,$B26)/1000)</f>
        <v>14709</v>
      </c>
      <c r="P26" s="11">
        <f>IF(P$3=0,"",SUMIFS(INDEX(Inputs!$D$4:$AG$150,0,MATCH(P$2,Inputs!$D$2:$AG$2,0)),Inputs!$B$4:$B$150,$B26)/1000)</f>
        <v>11610</v>
      </c>
      <c r="Q26" s="11">
        <f>IF(Q$3=0,"",SUMIFS(INDEX(Inputs!$D$4:$AG$150,0,MATCH(Q$2,Inputs!$D$2:$AG$2,0)),Inputs!$B$4:$B$150,$B26)/1000)</f>
        <v>12935</v>
      </c>
      <c r="R26" s="12">
        <f>IF(Q26="","",Q26)</f>
        <v>12935</v>
      </c>
      <c r="S26" s="11">
        <f>IF(S$3=0,"",SUMIFS(INDEX(Inputs!$D$4:$AG$150,0,MATCH(S$2,Inputs!$D$2:$AG$2,0)),Inputs!$B$4:$B$150,$B26)/1000)</f>
        <v>14397</v>
      </c>
      <c r="T26" s="11">
        <f>IF(T$3=0,"",SUMIFS(INDEX(Inputs!$D$4:$AG$150,0,MATCH(T$2,Inputs!$D$2:$AG$2,0)),Inputs!$B$4:$B$150,$B26)/1000)</f>
        <v>16136</v>
      </c>
      <c r="U26" s="11">
        <f>IF(U$3=0,"",SUMIFS(INDEX(Inputs!$D$4:$AG$150,0,MATCH(U$2,Inputs!$D$2:$AG$2,0)),Inputs!$B$4:$B$150,$B26)/1000)</f>
        <v>17713</v>
      </c>
      <c r="V26" s="11">
        <f>IF(V$3=0,"",SUMIFS(INDEX(Inputs!$D$4:$AG$150,0,MATCH(V$2,Inputs!$D$2:$AG$2,0)),Inputs!$B$4:$B$150,$B26)/1000)</f>
        <v>19087</v>
      </c>
      <c r="W26" s="12">
        <f>IF(V26="","",V26)</f>
        <v>19087</v>
      </c>
      <c r="X26" s="11">
        <f>IF(X$3=0,"",SUMIFS(INDEX(Inputs!$D$4:$AG$150,0,MATCH(X$2,Inputs!$D$2:$AG$2,0)),Inputs!$B$4:$B$150,$B26)/1000)</f>
        <v>20260</v>
      </c>
      <c r="Y26" s="11">
        <f>IF(Y$3=0,"",SUMIFS(INDEX(Inputs!$D$4:$AG$150,0,MATCH(Y$2,Inputs!$D$2:$AG$2,0)),Inputs!$B$4:$B$150,$B26)/1000)</f>
        <v>37776</v>
      </c>
      <c r="Z26" s="11">
        <f>IF(Z$3=0,"",SUMIFS(INDEX(Inputs!$D$4:$AG$150,0,MATCH(Z$2,Inputs!$D$2:$AG$2,0)),Inputs!$B$4:$B$150,$B26)/1000)</f>
        <v>31926</v>
      </c>
      <c r="AA26" s="11">
        <f>IF(AA$3=0,"",SUMIFS(INDEX(Inputs!$D$4:$AG$150,0,MATCH(AA$2,Inputs!$D$2:$AG$2,0)),Inputs!$B$4:$B$150,$B26)/1000)</f>
        <v>35961</v>
      </c>
      <c r="AB26" s="12">
        <f>IF(AA26="","",AA26)</f>
        <v>35961</v>
      </c>
      <c r="AC26" s="11">
        <f>IF(AC$3=0,"",SUMIFS(INDEX(Inputs!$D$4:$AG$150,0,MATCH(AC$2,Inputs!$D$2:$AG$2,0)),Inputs!$B$4:$B$150,$B26)/1000)</f>
        <v>42693</v>
      </c>
      <c r="AD26" s="11">
        <f>IF(AD$3=0,"",SUMIFS(INDEX(Inputs!$D$4:$AG$150,0,MATCH(AD$2,Inputs!$D$2:$AG$2,0)),Inputs!$B$4:$B$150,$B26)/1000)</f>
        <v>51366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878</v>
      </c>
      <c r="E28" s="11">
        <f>IF(E$3=0,"",SUMIFS(INDEX(Inputs!$D$4:$AG$150,0,MATCH(E$2,Inputs!$D$2:$AG$2,0)),Inputs!$B$4:$B$150,$B28)/1000)</f>
        <v>973</v>
      </c>
      <c r="F28" s="11">
        <f>IF(F$3=0,"",SUMIFS(INDEX(Inputs!$D$4:$AG$150,0,MATCH(F$2,Inputs!$D$2:$AG$2,0)),Inputs!$B$4:$B$150,$B28)/1000)</f>
        <v>2195</v>
      </c>
      <c r="G28" s="11">
        <f>IF(G$3=0,"",SUMIFS(INDEX(Inputs!$D$4:$AG$150,0,MATCH(G$2,Inputs!$D$2:$AG$2,0)),Inputs!$B$4:$B$150,$B28)/1000)</f>
        <v>4083</v>
      </c>
      <c r="H28" s="12">
        <f>IF(G28="","",G28)</f>
        <v>4083</v>
      </c>
      <c r="I28" s="11">
        <f>IF(I$3=0,"",SUMIFS(INDEX(Inputs!$D$4:$AG$150,0,MATCH(I$2,Inputs!$D$2:$AG$2,0)),Inputs!$B$4:$B$150,$B28)/1000)</f>
        <v>3246</v>
      </c>
      <c r="J28" s="11">
        <f>IF(J$3=0,"",SUMIFS(INDEX(Inputs!$D$4:$AG$150,0,MATCH(J$2,Inputs!$D$2:$AG$2,0)),Inputs!$B$4:$B$150,$B28)/1000)</f>
        <v>4008</v>
      </c>
      <c r="K28" s="11">
        <f>IF(K$3=0,"",SUMIFS(INDEX(Inputs!$D$4:$AG$150,0,MATCH(K$2,Inputs!$D$2:$AG$2,0)),Inputs!$B$4:$B$150,$B28)/1000)</f>
        <v>3871</v>
      </c>
      <c r="L28" s="11">
        <f>IF(L$3=0,"",SUMIFS(INDEX(Inputs!$D$4:$AG$150,0,MATCH(L$2,Inputs!$D$2:$AG$2,0)),Inputs!$B$4:$B$150,$B28)/1000)</f>
        <v>4990</v>
      </c>
      <c r="M28" s="12">
        <f>IF(L28="","",L28)</f>
        <v>4990</v>
      </c>
      <c r="N28" s="11">
        <f>IF(N$3=0,"",SUMIFS(INDEX(Inputs!$D$4:$AG$150,0,MATCH(N$2,Inputs!$D$2:$AG$2,0)),Inputs!$B$4:$B$150,$B28)/1000)</f>
        <v>3672</v>
      </c>
      <c r="O28" s="11">
        <f>IF(O$3=0,"",SUMIFS(INDEX(Inputs!$D$4:$AG$150,0,MATCH(O$2,Inputs!$D$2:$AG$2,0)),Inputs!$B$4:$B$150,$B28)/1000)</f>
        <v>3093</v>
      </c>
      <c r="P28" s="11">
        <f>IF(P$3=0,"",SUMIFS(INDEX(Inputs!$D$4:$AG$150,0,MATCH(P$2,Inputs!$D$2:$AG$2,0)),Inputs!$B$4:$B$150,$B28)/1000)</f>
        <v>4372</v>
      </c>
      <c r="Q28" s="11">
        <f>IF(Q$3=0,"",SUMIFS(INDEX(Inputs!$D$4:$AG$150,0,MATCH(Q$2,Inputs!$D$2:$AG$2,0)),Inputs!$B$4:$B$150,$B28)/1000)</f>
        <v>4849</v>
      </c>
      <c r="R28" s="12">
        <f>IF(Q28="","",Q28)</f>
        <v>4849</v>
      </c>
      <c r="S28" s="11">
        <f>IF(S$3=0,"",SUMIFS(INDEX(Inputs!$D$4:$AG$150,0,MATCH(S$2,Inputs!$D$2:$AG$2,0)),Inputs!$B$4:$B$150,$B28)/1000)</f>
        <v>3785</v>
      </c>
      <c r="T28" s="11">
        <f>IF(T$3=0,"",SUMIFS(INDEX(Inputs!$D$4:$AG$150,0,MATCH(T$2,Inputs!$D$2:$AG$2,0)),Inputs!$B$4:$B$150,$B28)/1000)</f>
        <v>3173</v>
      </c>
      <c r="U28" s="11">
        <f>IF(U$3=0,"",SUMIFS(INDEX(Inputs!$D$4:$AG$150,0,MATCH(U$2,Inputs!$D$2:$AG$2,0)),Inputs!$B$4:$B$150,$B28)/1000)</f>
        <v>7656</v>
      </c>
      <c r="V28" s="11">
        <f>IF(V$3=0,"",SUMIFS(INDEX(Inputs!$D$4:$AG$150,0,MATCH(V$2,Inputs!$D$2:$AG$2,0)),Inputs!$B$4:$B$150,$B28)/1000)</f>
        <v>7687</v>
      </c>
      <c r="W28" s="12">
        <f>IF(V28="","",V28)</f>
        <v>7687</v>
      </c>
      <c r="X28" s="11">
        <f>IF(X$3=0,"",SUMIFS(INDEX(Inputs!$D$4:$AG$150,0,MATCH(X$2,Inputs!$D$2:$AG$2,0)),Inputs!$B$4:$B$150,$B28)/1000)</f>
        <v>8512</v>
      </c>
      <c r="Y28" s="11">
        <f>IF(Y$3=0,"",SUMIFS(INDEX(Inputs!$D$4:$AG$150,0,MATCH(Y$2,Inputs!$D$2:$AG$2,0)),Inputs!$B$4:$B$150,$B28)/1000)</f>
        <v>10271</v>
      </c>
      <c r="Z28" s="11">
        <f>IF(Z$3=0,"",SUMIFS(INDEX(Inputs!$D$4:$AG$150,0,MATCH(Z$2,Inputs!$D$2:$AG$2,0)),Inputs!$B$4:$B$150,$B28)/1000)</f>
        <v>7798</v>
      </c>
      <c r="AA28" s="11">
        <f>IF(AA$3=0,"",SUMIFS(INDEX(Inputs!$D$4:$AG$150,0,MATCH(AA$2,Inputs!$D$2:$AG$2,0)),Inputs!$B$4:$B$150,$B28)/1000)</f>
        <v>8894</v>
      </c>
      <c r="AB28" s="12">
        <f>IF(AA28="","",AA28)</f>
        <v>8894</v>
      </c>
      <c r="AC28" s="11">
        <f>IF(AC$3=0,"",SUMIFS(INDEX(Inputs!$D$4:$AG$150,0,MATCH(AC$2,Inputs!$D$2:$AG$2,0)),Inputs!$B$4:$B$150,$B28)/1000)</f>
        <v>13326</v>
      </c>
      <c r="AD28" s="11">
        <f>IF(AD$3=0,"",SUMIFS(INDEX(Inputs!$D$4:$AG$150,0,MATCH(AD$2,Inputs!$D$2:$AG$2,0)),Inputs!$B$4:$B$150,$B28)/1000)</f>
        <v>15889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9411</v>
      </c>
      <c r="E29" s="11">
        <f>IF(E$3=0,"",SUMIFS(INDEX(Inputs!$D$4:$AG$150,0,MATCH(E$2,Inputs!$D$2:$AG$2,0)),Inputs!$B$4:$B$150,$B29)/1000)</f>
        <v>11510</v>
      </c>
      <c r="F29" s="11">
        <f>IF(F$3=0,"",SUMIFS(INDEX(Inputs!$D$4:$AG$150,0,MATCH(F$2,Inputs!$D$2:$AG$2,0)),Inputs!$B$4:$B$150,$B29)/1000)</f>
        <v>13158</v>
      </c>
      <c r="G29" s="11">
        <f>IF(G$3=0,"",SUMIFS(INDEX(Inputs!$D$4:$AG$150,0,MATCH(G$2,Inputs!$D$2:$AG$2,0)),Inputs!$B$4:$B$150,$B29)/1000)</f>
        <v>14312</v>
      </c>
      <c r="H29" s="12">
        <f>IF(G29="","",G29)</f>
        <v>14312</v>
      </c>
      <c r="I29" s="11">
        <f>IF(I$3=0,"",SUMIFS(INDEX(Inputs!$D$4:$AG$150,0,MATCH(I$2,Inputs!$D$2:$AG$2,0)),Inputs!$B$4:$B$150,$B29)/1000)</f>
        <v>15226</v>
      </c>
      <c r="J29" s="11">
        <f>IF(J$3=0,"",SUMIFS(INDEX(Inputs!$D$4:$AG$150,0,MATCH(J$2,Inputs!$D$2:$AG$2,0)),Inputs!$B$4:$B$150,$B29)/1000)</f>
        <v>15420</v>
      </c>
      <c r="K29" s="11">
        <f>IF(K$3=0,"",SUMIFS(INDEX(Inputs!$D$4:$AG$150,0,MATCH(K$2,Inputs!$D$2:$AG$2,0)),Inputs!$B$4:$B$150,$B29)/1000)</f>
        <v>16036</v>
      </c>
      <c r="L29" s="11">
        <f>IF(L$3=0,"",SUMIFS(INDEX(Inputs!$D$4:$AG$150,0,MATCH(L$2,Inputs!$D$2:$AG$2,0)),Inputs!$B$4:$B$150,$B29)/1000)</f>
        <v>19552</v>
      </c>
      <c r="M29" s="12">
        <f>IF(L29="","",L29)</f>
        <v>19552</v>
      </c>
      <c r="N29" s="11">
        <f>IF(N$3=0,"",SUMIFS(INDEX(Inputs!$D$4:$AG$150,0,MATCH(N$2,Inputs!$D$2:$AG$2,0)),Inputs!$B$4:$B$150,$B29)/1000)</f>
        <v>19345</v>
      </c>
      <c r="O29" s="11">
        <f>IF(O$3=0,"",SUMIFS(INDEX(Inputs!$D$4:$AG$150,0,MATCH(O$2,Inputs!$D$2:$AG$2,0)),Inputs!$B$4:$B$150,$B29)/1000)</f>
        <v>24660</v>
      </c>
      <c r="P29" s="11">
        <f>IF(P$3=0,"",SUMIFS(INDEX(Inputs!$D$4:$AG$150,0,MATCH(P$2,Inputs!$D$2:$AG$2,0)),Inputs!$B$4:$B$150,$B29)/1000)</f>
        <v>23929</v>
      </c>
      <c r="Q29" s="11">
        <f>IF(Q$3=0,"",SUMIFS(INDEX(Inputs!$D$4:$AG$150,0,MATCH(Q$2,Inputs!$D$2:$AG$2,0)),Inputs!$B$4:$B$150,$B29)/1000)</f>
        <v>24625</v>
      </c>
      <c r="R29" s="12">
        <f>IF(Q29="","",Q29)</f>
        <v>24625</v>
      </c>
      <c r="S29" s="11">
        <f>IF(S$3=0,"",SUMIFS(INDEX(Inputs!$D$4:$AG$150,0,MATCH(S$2,Inputs!$D$2:$AG$2,0)),Inputs!$B$4:$B$150,$B29)/1000)</f>
        <v>22640</v>
      </c>
      <c r="T29" s="11">
        <f>IF(T$3=0,"",SUMIFS(INDEX(Inputs!$D$4:$AG$150,0,MATCH(T$2,Inputs!$D$2:$AG$2,0)),Inputs!$B$4:$B$150,$B29)/1000)</f>
        <v>21914</v>
      </c>
      <c r="U29" s="11">
        <f>IF(U$3=0,"",SUMIFS(INDEX(Inputs!$D$4:$AG$150,0,MATCH(U$2,Inputs!$D$2:$AG$2,0)),Inputs!$B$4:$B$150,$B29)/1000)</f>
        <v>23658</v>
      </c>
      <c r="V29" s="11">
        <f>IF(V$3=0,"",SUMIFS(INDEX(Inputs!$D$4:$AG$150,0,MATCH(V$2,Inputs!$D$2:$AG$2,0)),Inputs!$B$4:$B$150,$B29)/1000)</f>
        <v>23967</v>
      </c>
      <c r="W29" s="12">
        <f>IF(V29="","",V29)</f>
        <v>23967</v>
      </c>
      <c r="X29" s="11">
        <f>IF(X$3=0,"",SUMIFS(INDEX(Inputs!$D$4:$AG$150,0,MATCH(X$2,Inputs!$D$2:$AG$2,0)),Inputs!$B$4:$B$150,$B29)/1000)</f>
        <v>23402</v>
      </c>
      <c r="Y29" s="11">
        <f>IF(Y$3=0,"",SUMIFS(INDEX(Inputs!$D$4:$AG$150,0,MATCH(Y$2,Inputs!$D$2:$AG$2,0)),Inputs!$B$4:$B$150,$B29)/1000)</f>
        <v>25057</v>
      </c>
      <c r="Z29" s="11">
        <f>IF(Z$3=0,"",SUMIFS(INDEX(Inputs!$D$4:$AG$150,0,MATCH(Z$2,Inputs!$D$2:$AG$2,0)),Inputs!$B$4:$B$150,$B29)/1000)</f>
        <v>27047</v>
      </c>
      <c r="AA29" s="11">
        <f>IF(AA$3=0,"",SUMIFS(INDEX(Inputs!$D$4:$AG$150,0,MATCH(AA$2,Inputs!$D$2:$AG$2,0)),Inputs!$B$4:$B$150,$B29)/1000)</f>
        <v>30729</v>
      </c>
      <c r="AB29" s="12">
        <f>IF(AA29="","",AA29)</f>
        <v>30729</v>
      </c>
      <c r="AC29" s="11">
        <f>IF(AC$3=0,"",SUMIFS(INDEX(Inputs!$D$4:$AG$150,0,MATCH(AC$2,Inputs!$D$2:$AG$2,0)),Inputs!$B$4:$B$150,$B29)/1000)</f>
        <v>31013</v>
      </c>
      <c r="AD29" s="11">
        <f>IF(AD$3=0,"",SUMIFS(INDEX(Inputs!$D$4:$AG$150,0,MATCH(AD$2,Inputs!$D$2:$AG$2,0)),Inputs!$B$4:$B$150,$B29)/1000)</f>
        <v>38065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1388</v>
      </c>
      <c r="E31" s="11">
        <f>IF(E$3=0,"",SUMIFS(INDEX(Inputs!$D$4:$AG$150,0,MATCH(E$2,Inputs!$D$2:$AG$2,0)),Inputs!$B$4:$B$150,$B31)/1000)</f>
        <v>1340</v>
      </c>
      <c r="F31" s="11">
        <f>IF(F$3=0,"",SUMIFS(INDEX(Inputs!$D$4:$AG$150,0,MATCH(F$2,Inputs!$D$2:$AG$2,0)),Inputs!$B$4:$B$150,$B31)/1000)</f>
        <v>1373</v>
      </c>
      <c r="G31" s="11">
        <f>IF(G$3=0,"",SUMIFS(INDEX(Inputs!$D$4:$AG$150,0,MATCH(G$2,Inputs!$D$2:$AG$2,0)),Inputs!$B$4:$B$150,$B31)/1000)</f>
        <v>1613</v>
      </c>
      <c r="H31" s="12">
        <f>IF(G31="","",G31)</f>
        <v>1613</v>
      </c>
      <c r="I31" s="11">
        <f>IF(I$3=0,"",SUMIFS(INDEX(Inputs!$D$4:$AG$150,0,MATCH(I$2,Inputs!$D$2:$AG$2,0)),Inputs!$B$4:$B$150,$B31)/1000)</f>
        <v>1455</v>
      </c>
      <c r="J31" s="11">
        <f>IF(J$3=0,"",SUMIFS(INDEX(Inputs!$D$4:$AG$150,0,MATCH(J$2,Inputs!$D$2:$AG$2,0)),Inputs!$B$4:$B$150,$B31)/1000)</f>
        <v>1514</v>
      </c>
      <c r="K31" s="11">
        <f>IF(K$3=0,"",SUMIFS(INDEX(Inputs!$D$4:$AG$150,0,MATCH(K$2,Inputs!$D$2:$AG$2,0)),Inputs!$B$4:$B$150,$B31)/1000)</f>
        <v>1489</v>
      </c>
      <c r="L31" s="11">
        <f>IF(L$3=0,"",SUMIFS(INDEX(Inputs!$D$4:$AG$150,0,MATCH(L$2,Inputs!$D$2:$AG$2,0)),Inputs!$B$4:$B$150,$B31)/1000)</f>
        <v>1117</v>
      </c>
      <c r="M31" s="12">
        <f>IF(L31="","",L31)</f>
        <v>1117</v>
      </c>
      <c r="N31" s="11">
        <f>IF(N$3=0,"",SUMIFS(INDEX(Inputs!$D$4:$AG$150,0,MATCH(N$2,Inputs!$D$2:$AG$2,0)),Inputs!$B$4:$B$150,$B31)/1000)</f>
        <v>885</v>
      </c>
      <c r="O31" s="11">
        <f>IF(O$3=0,"",SUMIFS(INDEX(Inputs!$D$4:$AG$150,0,MATCH(O$2,Inputs!$D$2:$AG$2,0)),Inputs!$B$4:$B$150,$B31)/1000)</f>
        <v>772</v>
      </c>
      <c r="P31" s="11">
        <f>IF(P$3=0,"",SUMIFS(INDEX(Inputs!$D$4:$AG$150,0,MATCH(P$2,Inputs!$D$2:$AG$2,0)),Inputs!$B$4:$B$150,$B31)/1000)</f>
        <v>770</v>
      </c>
      <c r="Q31" s="11">
        <f>IF(Q$3=0,"",SUMIFS(INDEX(Inputs!$D$4:$AG$150,0,MATCH(Q$2,Inputs!$D$2:$AG$2,0)),Inputs!$B$4:$B$150,$B31)/1000)</f>
        <v>863</v>
      </c>
      <c r="R31" s="12">
        <f>IF(Q31="","",Q31)</f>
        <v>863</v>
      </c>
      <c r="S31" s="11">
        <f>IF(S$3=0,"",SUMIFS(INDEX(Inputs!$D$4:$AG$150,0,MATCH(S$2,Inputs!$D$2:$AG$2,0)),Inputs!$B$4:$B$150,$B31)/1000)</f>
        <v>0</v>
      </c>
      <c r="T31" s="11">
        <f>IF(T$3=0,"",SUMIFS(INDEX(Inputs!$D$4:$AG$150,0,MATCH(T$2,Inputs!$D$2:$AG$2,0)),Inputs!$B$4:$B$150,$B31)/1000)</f>
        <v>0</v>
      </c>
      <c r="U31" s="11">
        <f>IF(U$3=0,"",SUMIFS(INDEX(Inputs!$D$4:$AG$150,0,MATCH(U$2,Inputs!$D$2:$AG$2,0)),Inputs!$B$4:$B$150,$B31)/1000)</f>
        <v>0</v>
      </c>
      <c r="V31" s="11">
        <f>IF(V$3=0,"",SUMIFS(INDEX(Inputs!$D$4:$AG$150,0,MATCH(V$2,Inputs!$D$2:$AG$2,0)),Inputs!$B$4:$B$150,$B31)/1000)</f>
        <v>0</v>
      </c>
      <c r="W31" s="12">
        <f>IF(V31="","",V31)</f>
        <v>0</v>
      </c>
      <c r="X31" s="11">
        <f>IF(X$3=0,"",SUMIFS(INDEX(Inputs!$D$4:$AG$150,0,MATCH(X$2,Inputs!$D$2:$AG$2,0)),Inputs!$B$4:$B$150,$B31)/1000)</f>
        <v>0</v>
      </c>
      <c r="Y31" s="11">
        <f>IF(Y$3=0,"",SUMIFS(INDEX(Inputs!$D$4:$AG$150,0,MATCH(Y$2,Inputs!$D$2:$AG$2,0)),Inputs!$B$4:$B$150,$B31)/1000)</f>
        <v>0</v>
      </c>
      <c r="Z31" s="11">
        <f>IF(Z$3=0,"",SUMIFS(INDEX(Inputs!$D$4:$AG$150,0,MATCH(Z$2,Inputs!$D$2:$AG$2,0)),Inputs!$B$4:$B$150,$B31)/1000)</f>
        <v>0</v>
      </c>
      <c r="AA31" s="11">
        <f>IF(AA$3=0,"",SUMIFS(INDEX(Inputs!$D$4:$AG$150,0,MATCH(AA$2,Inputs!$D$2:$AG$2,0)),Inputs!$B$4:$B$150,$B31)/1000)</f>
        <v>0</v>
      </c>
      <c r="AB31" s="12">
        <f>IF(AA31="","",AA31)</f>
        <v>0</v>
      </c>
      <c r="AC31" s="11">
        <f>IF(AC$3=0,"",SUMIFS(INDEX(Inputs!$D$4:$AG$150,0,MATCH(AC$2,Inputs!$D$2:$AG$2,0)),Inputs!$B$4:$B$150,$B31)/1000)</f>
        <v>0</v>
      </c>
      <c r="AD31" s="11">
        <f>IF(AD$3=0,"",SUMIFS(INDEX(Inputs!$D$4:$AG$150,0,MATCH(AD$2,Inputs!$D$2:$AG$2,0)),Inputs!$B$4:$B$150,$B31)/1000)</f>
        <v>0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1040</v>
      </c>
      <c r="E34" s="11">
        <f>IF(E$3=0,"",SUMIFS(INDEX(Inputs!$D$4:$AG$150,0,MATCH(E$2,Inputs!$D$2:$AG$2,0)),Inputs!$B$4:$B$150,$B34)/1000)</f>
        <v>1051</v>
      </c>
      <c r="F34" s="11">
        <f>IF(F$3=0,"",SUMIFS(INDEX(Inputs!$D$4:$AG$150,0,MATCH(F$2,Inputs!$D$2:$AG$2,0)),Inputs!$B$4:$B$150,$B34)/1000)</f>
        <v>1086</v>
      </c>
      <c r="G34" s="11">
        <f>IF(G$3=0,"",SUMIFS(INDEX(Inputs!$D$4:$AG$150,0,MATCH(G$2,Inputs!$D$2:$AG$2,0)),Inputs!$B$4:$B$150,$B34)/1000)</f>
        <v>1127</v>
      </c>
      <c r="H34" s="12">
        <f>IF(G34="","",G34)</f>
        <v>1127</v>
      </c>
      <c r="I34" s="11">
        <f>IF(I$3=0,"",SUMIFS(INDEX(Inputs!$D$4:$AG$150,0,MATCH(I$2,Inputs!$D$2:$AG$2,0)),Inputs!$B$4:$B$150,$B34)/1000)</f>
        <v>1159</v>
      </c>
      <c r="J34" s="11">
        <f>IF(J$3=0,"",SUMIFS(INDEX(Inputs!$D$4:$AG$150,0,MATCH(J$2,Inputs!$D$2:$AG$2,0)),Inputs!$B$4:$B$150,$B34)/1000)</f>
        <v>1275</v>
      </c>
      <c r="K34" s="11">
        <f>IF(K$3=0,"",SUMIFS(INDEX(Inputs!$D$4:$AG$150,0,MATCH(K$2,Inputs!$D$2:$AG$2,0)),Inputs!$B$4:$B$150,$B34)/1000)</f>
        <v>1291</v>
      </c>
      <c r="L34" s="11">
        <f>IF(L$3=0,"",SUMIFS(INDEX(Inputs!$D$4:$AG$150,0,MATCH(L$2,Inputs!$D$2:$AG$2,0)),Inputs!$B$4:$B$150,$B34)/1000)</f>
        <v>1367</v>
      </c>
      <c r="M34" s="12">
        <f>IF(L34="","",L34)</f>
        <v>1367</v>
      </c>
      <c r="N34" s="11">
        <f>IF(N$3=0,"",SUMIFS(INDEX(Inputs!$D$4:$AG$150,0,MATCH(N$2,Inputs!$D$2:$AG$2,0)),Inputs!$B$4:$B$150,$B34)/1000)</f>
        <v>1479</v>
      </c>
      <c r="O34" s="11">
        <f>IF(O$3=0,"",SUMIFS(INDEX(Inputs!$D$4:$AG$150,0,MATCH(O$2,Inputs!$D$2:$AG$2,0)),Inputs!$B$4:$B$150,$B34)/1000)</f>
        <v>1396</v>
      </c>
      <c r="P34" s="11">
        <f>IF(P$3=0,"",SUMIFS(INDEX(Inputs!$D$4:$AG$150,0,MATCH(P$2,Inputs!$D$2:$AG$2,0)),Inputs!$B$4:$B$150,$B34)/1000)</f>
        <v>1460</v>
      </c>
      <c r="Q34" s="11">
        <f>IF(Q$3=0,"",SUMIFS(INDEX(Inputs!$D$4:$AG$150,0,MATCH(Q$2,Inputs!$D$2:$AG$2,0)),Inputs!$B$4:$B$150,$B34)/1000)</f>
        <v>1623</v>
      </c>
      <c r="R34" s="12">
        <f>IF(Q34="","",Q34)</f>
        <v>1623</v>
      </c>
      <c r="S34" s="11">
        <f>IF(S$3=0,"",SUMIFS(INDEX(Inputs!$D$4:$AG$150,0,MATCH(S$2,Inputs!$D$2:$AG$2,0)),Inputs!$B$4:$B$150,$B34)/1000)</f>
        <v>1676</v>
      </c>
      <c r="T34" s="11">
        <f>IF(T$3=0,"",SUMIFS(INDEX(Inputs!$D$4:$AG$150,0,MATCH(T$2,Inputs!$D$2:$AG$2,0)),Inputs!$B$4:$B$150,$B34)/1000)</f>
        <v>1917</v>
      </c>
      <c r="U34" s="11">
        <f>IF(U$3=0,"",SUMIFS(INDEX(Inputs!$D$4:$AG$150,0,MATCH(U$2,Inputs!$D$2:$AG$2,0)),Inputs!$B$4:$B$150,$B34)/1000)</f>
        <v>2016</v>
      </c>
      <c r="V34" s="11">
        <f>IF(V$3=0,"",SUMIFS(INDEX(Inputs!$D$4:$AG$150,0,MATCH(V$2,Inputs!$D$2:$AG$2,0)),Inputs!$B$4:$B$150,$B34)/1000)</f>
        <v>1942</v>
      </c>
      <c r="W34" s="12">
        <f>IF(V34="","",V34)</f>
        <v>1942</v>
      </c>
      <c r="X34" s="11">
        <f>IF(X$3=0,"",SUMIFS(INDEX(Inputs!$D$4:$AG$150,0,MATCH(X$2,Inputs!$D$2:$AG$2,0)),Inputs!$B$4:$B$150,$B34)/1000)</f>
        <v>1976</v>
      </c>
      <c r="Y34" s="11">
        <f>IF(Y$3=0,"",SUMIFS(INDEX(Inputs!$D$4:$AG$150,0,MATCH(Y$2,Inputs!$D$2:$AG$2,0)),Inputs!$B$4:$B$150,$B34)/1000)</f>
        <v>1977</v>
      </c>
      <c r="Z34" s="11">
        <f>IF(Z$3=0,"",SUMIFS(INDEX(Inputs!$D$4:$AG$150,0,MATCH(Z$2,Inputs!$D$2:$AG$2,0)),Inputs!$B$4:$B$150,$B34)/1000)</f>
        <v>2113</v>
      </c>
      <c r="AA34" s="11">
        <f>IF(AA$3=0,"",SUMIFS(INDEX(Inputs!$D$4:$AG$150,0,MATCH(AA$2,Inputs!$D$2:$AG$2,0)),Inputs!$B$4:$B$150,$B34)/1000)</f>
        <v>2213</v>
      </c>
      <c r="AB34" s="12">
        <f>IF(AA34="","",AA34)</f>
        <v>2213</v>
      </c>
      <c r="AC34" s="11">
        <f>IF(AC$3=0,"",SUMIFS(INDEX(Inputs!$D$4:$AG$150,0,MATCH(AC$2,Inputs!$D$2:$AG$2,0)),Inputs!$B$4:$B$150,$B34)/1000)</f>
        <v>2414</v>
      </c>
      <c r="AD34" s="11">
        <f>IF(AD$3=0,"",SUMIFS(INDEX(Inputs!$D$4:$AG$150,0,MATCH(AD$2,Inputs!$D$2:$AG$2,0)),Inputs!$B$4:$B$150,$B34)/1000)</f>
        <v>2425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9922</v>
      </c>
      <c r="L35" s="11">
        <f>IF(L$3=0,"",SUMIFS(INDEX(Inputs!$D$4:$AG$150,0,MATCH(L$2,Inputs!$D$2:$AG$2,0)),Inputs!$B$4:$B$150,$B35)/1000)</f>
        <v>9923</v>
      </c>
      <c r="M35" s="12">
        <f>IF(L35="","",L35)</f>
        <v>9923</v>
      </c>
      <c r="N35" s="11">
        <f>IF(N$3=0,"",SUMIFS(INDEX(Inputs!$D$4:$AG$150,0,MATCH(N$2,Inputs!$D$2:$AG$2,0)),Inputs!$B$4:$B$150,$B35)/1000)</f>
        <v>9925</v>
      </c>
      <c r="O35" s="11">
        <f>IF(O$3=0,"",SUMIFS(INDEX(Inputs!$D$4:$AG$150,0,MATCH(O$2,Inputs!$D$2:$AG$2,0)),Inputs!$B$4:$B$150,$B35)/1000)</f>
        <v>18382</v>
      </c>
      <c r="P35" s="11">
        <f>IF(P$3=0,"",SUMIFS(INDEX(Inputs!$D$4:$AG$150,0,MATCH(P$2,Inputs!$D$2:$AG$2,0)),Inputs!$B$4:$B$150,$B35)/1000)</f>
        <v>18383</v>
      </c>
      <c r="Q35" s="11">
        <f>IF(Q$3=0,"",SUMIFS(INDEX(Inputs!$D$4:$AG$150,0,MATCH(Q$2,Inputs!$D$2:$AG$2,0)),Inputs!$B$4:$B$150,$B35)/1000)</f>
        <v>18385</v>
      </c>
      <c r="R35" s="12">
        <f>IF(Q35="","",Q35)</f>
        <v>18385</v>
      </c>
      <c r="S35" s="11">
        <f>IF(S$3=0,"",SUMIFS(INDEX(Inputs!$D$4:$AG$150,0,MATCH(S$2,Inputs!$D$2:$AG$2,0)),Inputs!$B$4:$B$150,$B35)/1000)</f>
        <v>18387</v>
      </c>
      <c r="T35" s="11">
        <f>IF(T$3=0,"",SUMIFS(INDEX(Inputs!$D$4:$AG$150,0,MATCH(T$2,Inputs!$D$2:$AG$2,0)),Inputs!$B$4:$B$150,$B35)/1000)</f>
        <v>18389</v>
      </c>
      <c r="U35" s="11">
        <f>IF(U$3=0,"",SUMIFS(INDEX(Inputs!$D$4:$AG$150,0,MATCH(U$2,Inputs!$D$2:$AG$2,0)),Inputs!$B$4:$B$150,$B35)/1000)</f>
        <v>28823</v>
      </c>
      <c r="V35" s="11">
        <f>IF(V$3=0,"",SUMIFS(INDEX(Inputs!$D$4:$AG$150,0,MATCH(V$2,Inputs!$D$2:$AG$2,0)),Inputs!$B$4:$B$150,$B35)/1000)</f>
        <v>28826</v>
      </c>
      <c r="W35" s="12">
        <f>IF(V35="","",V35)</f>
        <v>28826</v>
      </c>
      <c r="X35" s="11">
        <f>IF(X$3=0,"",SUMIFS(INDEX(Inputs!$D$4:$AG$150,0,MATCH(X$2,Inputs!$D$2:$AG$2,0)),Inputs!$B$4:$B$150,$B35)/1000)</f>
        <v>28829</v>
      </c>
      <c r="Y35" s="11">
        <f>IF(Y$3=0,"",SUMIFS(INDEX(Inputs!$D$4:$AG$150,0,MATCH(Y$2,Inputs!$D$2:$AG$2,0)),Inputs!$B$4:$B$150,$B35)/1000)</f>
        <v>28832</v>
      </c>
      <c r="Z35" s="11">
        <f>IF(Z$3=0,"",SUMIFS(INDEX(Inputs!$D$4:$AG$150,0,MATCH(Z$2,Inputs!$D$2:$AG$2,0)),Inputs!$B$4:$B$150,$B35)/1000)</f>
        <v>28834</v>
      </c>
      <c r="AA35" s="11">
        <f>IF(AA$3=0,"",SUMIFS(INDEX(Inputs!$D$4:$AG$150,0,MATCH(AA$2,Inputs!$D$2:$AG$2,0)),Inputs!$B$4:$B$150,$B35)/1000)</f>
        <v>58744</v>
      </c>
      <c r="AB35" s="12">
        <f>IF(AA35="","",AA35)</f>
        <v>58744</v>
      </c>
      <c r="AC35" s="11">
        <f>IF(AC$3=0,"",SUMIFS(INDEX(Inputs!$D$4:$AG$150,0,MATCH(AC$2,Inputs!$D$2:$AG$2,0)),Inputs!$B$4:$B$150,$B35)/1000)</f>
        <v>58748</v>
      </c>
      <c r="AD35" s="11">
        <f>IF(AD$3=0,"",SUMIFS(INDEX(Inputs!$D$4:$AG$150,0,MATCH(AD$2,Inputs!$D$2:$AG$2,0)),Inputs!$B$4:$B$150,$B35)/1000)</f>
        <v>83664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10574</v>
      </c>
      <c r="E36" s="11">
        <f>IF(E$3=0,"",SUMIFS(INDEX(Inputs!$D$4:$AG$150,0,MATCH(E$2,Inputs!$D$2:$AG$2,0)),Inputs!$B$4:$B$150,$B36)/1000)</f>
        <v>10956</v>
      </c>
      <c r="F36" s="11">
        <f>IF(F$3=0,"",SUMIFS(INDEX(Inputs!$D$4:$AG$150,0,MATCH(F$2,Inputs!$D$2:$AG$2,0)),Inputs!$B$4:$B$150,$B36)/1000)</f>
        <v>11554</v>
      </c>
      <c r="G36" s="11">
        <f>IF(G$3=0,"",SUMIFS(INDEX(Inputs!$D$4:$AG$150,0,MATCH(G$2,Inputs!$D$2:$AG$2,0)),Inputs!$B$4:$B$150,$B36)/1000)</f>
        <v>12746</v>
      </c>
      <c r="H36" s="12">
        <f>IF(G36="","",G36)</f>
        <v>12746</v>
      </c>
      <c r="I36" s="11">
        <f>IF(I$3=0,"",SUMIFS(INDEX(Inputs!$D$4:$AG$150,0,MATCH(I$2,Inputs!$D$2:$AG$2,0)),Inputs!$B$4:$B$150,$B36)/1000)</f>
        <v>12894</v>
      </c>
      <c r="J36" s="11">
        <f>IF(J$3=0,"",SUMIFS(INDEX(Inputs!$D$4:$AG$150,0,MATCH(J$2,Inputs!$D$2:$AG$2,0)),Inputs!$B$4:$B$150,$B36)/1000)</f>
        <v>14792</v>
      </c>
      <c r="K36" s="11">
        <f>IF(K$3=0,"",SUMIFS(INDEX(Inputs!$D$4:$AG$150,0,MATCH(K$2,Inputs!$D$2:$AG$2,0)),Inputs!$B$4:$B$150,$B36)/1000)</f>
        <v>14687</v>
      </c>
      <c r="L36" s="11">
        <f>IF(L$3=0,"",SUMIFS(INDEX(Inputs!$D$4:$AG$150,0,MATCH(L$2,Inputs!$D$2:$AG$2,0)),Inputs!$B$4:$B$150,$B36)/1000)</f>
        <v>15301</v>
      </c>
      <c r="M36" s="12">
        <f>IF(L36="","",L36)</f>
        <v>15301</v>
      </c>
      <c r="N36" s="11">
        <f>IF(N$3=0,"",SUMIFS(INDEX(Inputs!$D$4:$AG$150,0,MATCH(N$2,Inputs!$D$2:$AG$2,0)),Inputs!$B$4:$B$150,$B36)/1000)</f>
        <v>16171</v>
      </c>
      <c r="O36" s="11">
        <f>IF(O$3=0,"",SUMIFS(INDEX(Inputs!$D$4:$AG$150,0,MATCH(O$2,Inputs!$D$2:$AG$2,0)),Inputs!$B$4:$B$150,$B36)/1000)</f>
        <v>16440</v>
      </c>
      <c r="P36" s="11">
        <f>IF(P$3=0,"",SUMIFS(INDEX(Inputs!$D$4:$AG$150,0,MATCH(P$2,Inputs!$D$2:$AG$2,0)),Inputs!$B$4:$B$150,$B36)/1000)</f>
        <v>16374</v>
      </c>
      <c r="Q36" s="11">
        <f>IF(Q$3=0,"",SUMIFS(INDEX(Inputs!$D$4:$AG$150,0,MATCH(Q$2,Inputs!$D$2:$AG$2,0)),Inputs!$B$4:$B$150,$B36)/1000)</f>
        <v>17226</v>
      </c>
      <c r="R36" s="12">
        <f>IF(Q36="","",Q36)</f>
        <v>17226</v>
      </c>
      <c r="S36" s="11">
        <f>IF(S$3=0,"",SUMIFS(INDEX(Inputs!$D$4:$AG$150,0,MATCH(S$2,Inputs!$D$2:$AG$2,0)),Inputs!$B$4:$B$150,$B36)/1000)</f>
        <v>17570</v>
      </c>
      <c r="T36" s="11">
        <f>IF(T$3=0,"",SUMIFS(INDEX(Inputs!$D$4:$AG$150,0,MATCH(T$2,Inputs!$D$2:$AG$2,0)),Inputs!$B$4:$B$150,$B36)/1000)</f>
        <v>17685</v>
      </c>
      <c r="U36" s="11">
        <f>IF(U$3=0,"",SUMIFS(INDEX(Inputs!$D$4:$AG$150,0,MATCH(U$2,Inputs!$D$2:$AG$2,0)),Inputs!$B$4:$B$150,$B36)/1000)</f>
        <v>18208</v>
      </c>
      <c r="V36" s="11">
        <f>IF(V$3=0,"",SUMIFS(INDEX(Inputs!$D$4:$AG$150,0,MATCH(V$2,Inputs!$D$2:$AG$2,0)),Inputs!$B$4:$B$150,$B36)/1000)</f>
        <v>18292</v>
      </c>
      <c r="W36" s="12">
        <f>IF(V36="","",V36)</f>
        <v>18292</v>
      </c>
      <c r="X36" s="11">
        <f>IF(X$3=0,"",SUMIFS(INDEX(Inputs!$D$4:$AG$150,0,MATCH(X$2,Inputs!$D$2:$AG$2,0)),Inputs!$B$4:$B$150,$B36)/1000)</f>
        <v>18714</v>
      </c>
      <c r="Y36" s="11">
        <f>IF(Y$3=0,"",SUMIFS(INDEX(Inputs!$D$4:$AG$150,0,MATCH(Y$2,Inputs!$D$2:$AG$2,0)),Inputs!$B$4:$B$150,$B36)/1000)</f>
        <v>18751</v>
      </c>
      <c r="Z36" s="11">
        <f>IF(Z$3=0,"",SUMIFS(INDEX(Inputs!$D$4:$AG$150,0,MATCH(Z$2,Inputs!$D$2:$AG$2,0)),Inputs!$B$4:$B$150,$B36)/1000)</f>
        <v>20113</v>
      </c>
      <c r="AA36" s="11">
        <f>IF(AA$3=0,"",SUMIFS(INDEX(Inputs!$D$4:$AG$150,0,MATCH(AA$2,Inputs!$D$2:$AG$2,0)),Inputs!$B$4:$B$150,$B36)/1000)</f>
        <v>22940</v>
      </c>
      <c r="AB36" s="12">
        <f>IF(AA36="","",AA36)</f>
        <v>22940</v>
      </c>
      <c r="AC36" s="11">
        <f>IF(AC$3=0,"",SUMIFS(INDEX(Inputs!$D$4:$AG$150,0,MATCH(AC$2,Inputs!$D$2:$AG$2,0)),Inputs!$B$4:$B$150,$B36)/1000)</f>
        <v>25607</v>
      </c>
      <c r="AD36" s="11">
        <f>IF(AD$3=0,"",SUMIFS(INDEX(Inputs!$D$4:$AG$150,0,MATCH(AD$2,Inputs!$D$2:$AG$2,0)),Inputs!$B$4:$B$150,$B36)/1000)</f>
        <v>26229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6575</v>
      </c>
      <c r="E39" s="11">
        <f>IF(E$3=0,"",SUMIFS(INDEX(Inputs!$D$4:$AG$150,0,MATCH(E$2,Inputs!$D$2:$AG$2,0)),Inputs!$B$4:$B$150,$B39)/1000)</f>
        <v>6552</v>
      </c>
      <c r="F39" s="11">
        <f>IF(F$3=0,"",SUMIFS(INDEX(Inputs!$D$4:$AG$150,0,MATCH(F$2,Inputs!$D$2:$AG$2,0)),Inputs!$B$4:$B$150,$B39)/1000)</f>
        <v>6859</v>
      </c>
      <c r="G39" s="11">
        <f>IF(G$3=0,"",SUMIFS(INDEX(Inputs!$D$4:$AG$150,0,MATCH(G$2,Inputs!$D$2:$AG$2,0)),Inputs!$B$4:$B$150,$B39)/1000)</f>
        <v>7227</v>
      </c>
      <c r="H39" s="12">
        <f>IF(G39="","",G39)</f>
        <v>7227</v>
      </c>
      <c r="I39" s="11">
        <f>IF(I$3=0,"",SUMIFS(INDEX(Inputs!$D$4:$AG$150,0,MATCH(I$2,Inputs!$D$2:$AG$2,0)),Inputs!$B$4:$B$150,$B39)/1000)</f>
        <v>7010</v>
      </c>
      <c r="J39" s="11">
        <f>IF(J$3=0,"",SUMIFS(INDEX(Inputs!$D$4:$AG$150,0,MATCH(J$2,Inputs!$D$2:$AG$2,0)),Inputs!$B$4:$B$150,$B39)/1000)</f>
        <v>7003</v>
      </c>
      <c r="K39" s="11">
        <f>IF(K$3=0,"",SUMIFS(INDEX(Inputs!$D$4:$AG$150,0,MATCH(K$2,Inputs!$D$2:$AG$2,0)),Inputs!$B$4:$B$150,$B39)/1000)</f>
        <v>7504</v>
      </c>
      <c r="L39" s="11">
        <f>IF(L$3=0,"",SUMIFS(INDEX(Inputs!$D$4:$AG$150,0,MATCH(L$2,Inputs!$D$2:$AG$2,0)),Inputs!$B$4:$B$150,$B39)/1000)</f>
        <v>7764</v>
      </c>
      <c r="M39" s="12">
        <f>IF(L39="","",L39)</f>
        <v>7764</v>
      </c>
      <c r="N39" s="11">
        <f>IF(N$3=0,"",SUMIFS(INDEX(Inputs!$D$4:$AG$150,0,MATCH(N$2,Inputs!$D$2:$AG$2,0)),Inputs!$B$4:$B$150,$B39)/1000)</f>
        <v>8219</v>
      </c>
      <c r="O39" s="11">
        <f>IF(O$3=0,"",SUMIFS(INDEX(Inputs!$D$4:$AG$150,0,MATCH(O$2,Inputs!$D$2:$AG$2,0)),Inputs!$B$4:$B$150,$B39)/1000)</f>
        <v>7912</v>
      </c>
      <c r="P39" s="11">
        <f>IF(P$3=0,"",SUMIFS(INDEX(Inputs!$D$4:$AG$150,0,MATCH(P$2,Inputs!$D$2:$AG$2,0)),Inputs!$B$4:$B$150,$B39)/1000)</f>
        <v>8113</v>
      </c>
      <c r="Q39" s="11">
        <f>IF(Q$3=0,"",SUMIFS(INDEX(Inputs!$D$4:$AG$150,0,MATCH(Q$2,Inputs!$D$2:$AG$2,0)),Inputs!$B$4:$B$150,$B39)/1000)</f>
        <v>8884</v>
      </c>
      <c r="R39" s="12">
        <f>IF(Q39="","",Q39)</f>
        <v>8884</v>
      </c>
      <c r="S39" s="11">
        <f>IF(S$3=0,"",SUMIFS(INDEX(Inputs!$D$4:$AG$150,0,MATCH(S$2,Inputs!$D$2:$AG$2,0)),Inputs!$B$4:$B$150,$B39)/1000)</f>
        <v>9257</v>
      </c>
      <c r="T39" s="11">
        <f>IF(T$3=0,"",SUMIFS(INDEX(Inputs!$D$4:$AG$150,0,MATCH(T$2,Inputs!$D$2:$AG$2,0)),Inputs!$B$4:$B$150,$B39)/1000)</f>
        <v>10397</v>
      </c>
      <c r="U39" s="11">
        <f>IF(U$3=0,"",SUMIFS(INDEX(Inputs!$D$4:$AG$150,0,MATCH(U$2,Inputs!$D$2:$AG$2,0)),Inputs!$B$4:$B$150,$B39)/1000)</f>
        <v>11518</v>
      </c>
      <c r="V39" s="11">
        <f>IF(V$3=0,"",SUMIFS(INDEX(Inputs!$D$4:$AG$150,0,MATCH(V$2,Inputs!$D$2:$AG$2,0)),Inputs!$B$4:$B$150,$B39)/1000)</f>
        <v>12703</v>
      </c>
      <c r="W39" s="12">
        <f>IF(V39="","",V39)</f>
        <v>12703</v>
      </c>
      <c r="X39" s="11">
        <f>IF(X$3=0,"",SUMIFS(INDEX(Inputs!$D$4:$AG$150,0,MATCH(X$2,Inputs!$D$2:$AG$2,0)),Inputs!$B$4:$B$150,$B39)/1000)</f>
        <v>13751</v>
      </c>
      <c r="Y39" s="11">
        <f>IF(Y$3=0,"",SUMIFS(INDEX(Inputs!$D$4:$AG$150,0,MATCH(Y$2,Inputs!$D$2:$AG$2,0)),Inputs!$B$4:$B$150,$B39)/1000)</f>
        <v>14786</v>
      </c>
      <c r="Z39" s="11">
        <f>IF(Z$3=0,"",SUMIFS(INDEX(Inputs!$D$4:$AG$150,0,MATCH(Z$2,Inputs!$D$2:$AG$2,0)),Inputs!$B$4:$B$150,$B39)/1000)</f>
        <v>23873</v>
      </c>
      <c r="AA39" s="11">
        <f>IF(AA$3=0,"",SUMIFS(INDEX(Inputs!$D$4:$AG$150,0,MATCH(AA$2,Inputs!$D$2:$AG$2,0)),Inputs!$B$4:$B$150,$B39)/1000)</f>
        <v>25258</v>
      </c>
      <c r="AB39" s="12">
        <f>IF(AA39="","",AA39)</f>
        <v>25258</v>
      </c>
      <c r="AC39" s="11">
        <f>IF(AC$3=0,"",SUMIFS(INDEX(Inputs!$D$4:$AG$150,0,MATCH(AC$2,Inputs!$D$2:$AG$2,0)),Inputs!$B$4:$B$150,$B39)/1000)</f>
        <v>20461</v>
      </c>
      <c r="AD39" s="11">
        <f>IF(AD$3=0,"",SUMIFS(INDEX(Inputs!$D$4:$AG$150,0,MATCH(AD$2,Inputs!$D$2:$AG$2,0)),Inputs!$B$4:$B$150,$B39)/1000)</f>
        <v>22463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51160</v>
      </c>
      <c r="E43" s="11">
        <f>IF(E$3=0,"",SUMIFS(INDEX(Inputs!$D$4:$AG$150,0,MATCH(E$2,Inputs!$D$2:$AG$2,0)),Inputs!$B$4:$B$150,$B43)/1000)</f>
        <v>52845</v>
      </c>
      <c r="F43" s="11">
        <f>IF(F$3=0,"",SUMIFS(INDEX(Inputs!$D$4:$AG$150,0,MATCH(F$2,Inputs!$D$2:$AG$2,0)),Inputs!$B$4:$B$150,$B43)/1000)</f>
        <v>54334</v>
      </c>
      <c r="G43" s="11">
        <f>IF(G$3=0,"",SUMIFS(INDEX(Inputs!$D$4:$AG$150,0,MATCH(G$2,Inputs!$D$2:$AG$2,0)),Inputs!$B$4:$B$150,$B43)/1000)</f>
        <v>55811</v>
      </c>
      <c r="H43" s="12">
        <f>IF(G43="","",G43)</f>
        <v>55811</v>
      </c>
      <c r="I43" s="11">
        <f>IF(I$3=0,"",SUMIFS(INDEX(Inputs!$D$4:$AG$150,0,MATCH(I$2,Inputs!$D$2:$AG$2,0)),Inputs!$B$4:$B$150,$B43)/1000)</f>
        <v>57512</v>
      </c>
      <c r="J43" s="11">
        <f>IF(J$3=0,"",SUMIFS(INDEX(Inputs!$D$4:$AG$150,0,MATCH(J$2,Inputs!$D$2:$AG$2,0)),Inputs!$B$4:$B$150,$B43)/1000)</f>
        <v>59929</v>
      </c>
      <c r="K43" s="11">
        <f>IF(K$3=0,"",SUMIFS(INDEX(Inputs!$D$4:$AG$150,0,MATCH(K$2,Inputs!$D$2:$AG$2,0)),Inputs!$B$4:$B$150,$B43)/1000)</f>
        <v>62092</v>
      </c>
      <c r="L43" s="11">
        <f>IF(L$3=0,"",SUMIFS(INDEX(Inputs!$D$4:$AG$150,0,MATCH(L$2,Inputs!$D$2:$AG$2,0)),Inputs!$B$4:$B$150,$B43)/1000)</f>
        <v>64444</v>
      </c>
      <c r="M43" s="12">
        <f>IF(L43="","",L43)</f>
        <v>64444</v>
      </c>
      <c r="N43" s="11">
        <f>IF(N$3=0,"",SUMIFS(INDEX(Inputs!$D$4:$AG$150,0,MATCH(N$2,Inputs!$D$2:$AG$2,0)),Inputs!$B$4:$B$150,$B43)/1000)</f>
        <v>66535</v>
      </c>
      <c r="O43" s="11">
        <f>IF(O$3=0,"",SUMIFS(INDEX(Inputs!$D$4:$AG$150,0,MATCH(O$2,Inputs!$D$2:$AG$2,0)),Inputs!$B$4:$B$150,$B43)/1000)</f>
        <v>69159</v>
      </c>
      <c r="P43" s="11">
        <f>IF(P$3=0,"",SUMIFS(INDEX(Inputs!$D$4:$AG$150,0,MATCH(P$2,Inputs!$D$2:$AG$2,0)),Inputs!$B$4:$B$150,$B43)/1000)</f>
        <v>71224</v>
      </c>
      <c r="Q43" s="11">
        <f>IF(Q$3=0,"",SUMIFS(INDEX(Inputs!$D$4:$AG$150,0,MATCH(Q$2,Inputs!$D$2:$AG$2,0)),Inputs!$B$4:$B$150,$B43)/1000)</f>
        <v>73253</v>
      </c>
      <c r="R43" s="12">
        <f>IF(Q43="","",Q43)</f>
        <v>73253</v>
      </c>
      <c r="S43" s="11">
        <f>IF(S$3=0,"",SUMIFS(INDEX(Inputs!$D$4:$AG$150,0,MATCH(S$2,Inputs!$D$2:$AG$2,0)),Inputs!$B$4:$B$150,$B43)/1000)</f>
        <v>75391</v>
      </c>
      <c r="T43" s="11">
        <f>IF(T$3=0,"",SUMIFS(INDEX(Inputs!$D$4:$AG$150,0,MATCH(T$2,Inputs!$D$2:$AG$2,0)),Inputs!$B$4:$B$150,$B43)/1000)</f>
        <v>78270</v>
      </c>
      <c r="U43" s="11">
        <f>IF(U$3=0,"",SUMIFS(INDEX(Inputs!$D$4:$AG$150,0,MATCH(U$2,Inputs!$D$2:$AG$2,0)),Inputs!$B$4:$B$150,$B43)/1000)</f>
        <v>80749</v>
      </c>
      <c r="V43" s="11">
        <f>IF(V$3=0,"",SUMIFS(INDEX(Inputs!$D$4:$AG$150,0,MATCH(V$2,Inputs!$D$2:$AG$2,0)),Inputs!$B$4:$B$150,$B43)/1000)</f>
        <v>83228</v>
      </c>
      <c r="W43" s="12">
        <f>IF(V43="","",V43)</f>
        <v>83228</v>
      </c>
      <c r="X43" s="11">
        <f>IF(X$3=0,"",SUMIFS(INDEX(Inputs!$D$4:$AG$150,0,MATCH(X$2,Inputs!$D$2:$AG$2,0)),Inputs!$B$4:$B$150,$B43)/1000)</f>
        <v>85568</v>
      </c>
      <c r="Y43" s="11">
        <f>IF(Y$3=0,"",SUMIFS(INDEX(Inputs!$D$4:$AG$150,0,MATCH(Y$2,Inputs!$D$2:$AG$2,0)),Inputs!$B$4:$B$150,$B43)/1000)</f>
        <v>88496</v>
      </c>
      <c r="Z43" s="11">
        <f>IF(Z$3=0,"",SUMIFS(INDEX(Inputs!$D$4:$AG$150,0,MATCH(Z$2,Inputs!$D$2:$AG$2,0)),Inputs!$B$4:$B$150,$B43)/1000)</f>
        <v>92330</v>
      </c>
      <c r="AA43" s="11">
        <f>IF(AA$3=0,"",SUMIFS(INDEX(Inputs!$D$4:$AG$150,0,MATCH(AA$2,Inputs!$D$2:$AG$2,0)),Inputs!$B$4:$B$150,$B43)/1000)</f>
        <v>95793</v>
      </c>
      <c r="AB43" s="12">
        <f>IF(AA43="","",AA43)</f>
        <v>95793</v>
      </c>
      <c r="AC43" s="11">
        <f>IF(AC$3=0,"",SUMIFS(INDEX(Inputs!$D$4:$AG$150,0,MATCH(AC$2,Inputs!$D$2:$AG$2,0)),Inputs!$B$4:$B$150,$B43)/1000)</f>
        <v>99337</v>
      </c>
      <c r="AD43" s="11">
        <f>IF(AD$3=0,"",SUMIFS(INDEX(Inputs!$D$4:$AG$150,0,MATCH(AD$2,Inputs!$D$2:$AG$2,0)),Inputs!$B$4:$B$150,$B43)/1000)</f>
        <v>103981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154</v>
      </c>
      <c r="E45" s="11">
        <f>IF(E$3=0,"",SUMIFS(INDEX(Inputs!$D$4:$AG$150,0,MATCH(E$2,Inputs!$D$2:$AG$2,0)),Inputs!$B$4:$B$150,$B45)/1000)</f>
        <v>285</v>
      </c>
      <c r="F45" s="11">
        <f>IF(F$3=0,"",SUMIFS(INDEX(Inputs!$D$4:$AG$150,0,MATCH(F$2,Inputs!$D$2:$AG$2,0)),Inputs!$B$4:$B$150,$B45)/1000)</f>
        <v>-207</v>
      </c>
      <c r="G45" s="11">
        <f>IF(G$3=0,"",SUMIFS(INDEX(Inputs!$D$4:$AG$150,0,MATCH(G$2,Inputs!$D$2:$AG$2,0)),Inputs!$B$4:$B$150,$B45)/1000)</f>
        <v>-693</v>
      </c>
      <c r="H45" s="12">
        <f>IF(G45="","",G45)</f>
        <v>-693</v>
      </c>
      <c r="I45" s="11">
        <f>IF(I$3=0,"",SUMIFS(INDEX(Inputs!$D$4:$AG$150,0,MATCH(I$2,Inputs!$D$2:$AG$2,0)),Inputs!$B$4:$B$150,$B45)/1000)</f>
        <v>-1996</v>
      </c>
      <c r="J45" s="11">
        <f>IF(J$3=0,"",SUMIFS(INDEX(Inputs!$D$4:$AG$150,0,MATCH(J$2,Inputs!$D$2:$AG$2,0)),Inputs!$B$4:$B$150,$B45)/1000)</f>
        <v>-3411</v>
      </c>
      <c r="K45" s="11">
        <f>IF(K$3=0,"",SUMIFS(INDEX(Inputs!$D$4:$AG$150,0,MATCH(K$2,Inputs!$D$2:$AG$2,0)),Inputs!$B$4:$B$150,$B45)/1000)</f>
        <v>-5054</v>
      </c>
      <c r="L45" s="11">
        <f>IF(L$3=0,"",SUMIFS(INDEX(Inputs!$D$4:$AG$150,0,MATCH(L$2,Inputs!$D$2:$AG$2,0)),Inputs!$B$4:$B$150,$B45)/1000)</f>
        <v>-3530</v>
      </c>
      <c r="M45" s="12">
        <f>IF(L45="","",L45)</f>
        <v>-3530</v>
      </c>
      <c r="N45" s="11">
        <f>IF(N$3=0,"",SUMIFS(INDEX(Inputs!$D$4:$AG$150,0,MATCH(N$2,Inputs!$D$2:$AG$2,0)),Inputs!$B$4:$B$150,$B45)/1000)</f>
        <v>-2981</v>
      </c>
      <c r="O45" s="11">
        <f>IF(O$3=0,"",SUMIFS(INDEX(Inputs!$D$4:$AG$150,0,MATCH(O$2,Inputs!$D$2:$AG$2,0)),Inputs!$B$4:$B$150,$B45)/1000)</f>
        <v>-3106</v>
      </c>
      <c r="P45" s="11">
        <f>IF(P$3=0,"",SUMIFS(INDEX(Inputs!$D$4:$AG$150,0,MATCH(P$2,Inputs!$D$2:$AG$2,0)),Inputs!$B$4:$B$150,$B45)/1000)</f>
        <v>-3556</v>
      </c>
      <c r="Q45" s="11">
        <f>IF(Q$3=0,"",SUMIFS(INDEX(Inputs!$D$4:$AG$150,0,MATCH(Q$2,Inputs!$D$2:$AG$2,0)),Inputs!$B$4:$B$150,$B45)/1000)</f>
        <v>-2155</v>
      </c>
      <c r="R45" s="12">
        <f>IF(Q45="","",Q45)</f>
        <v>-2155</v>
      </c>
      <c r="S45" s="11">
        <f>IF(S$3=0,"",SUMIFS(INDEX(Inputs!$D$4:$AG$150,0,MATCH(S$2,Inputs!$D$2:$AG$2,0)),Inputs!$B$4:$B$150,$B45)/1000)</f>
        <v>-2655</v>
      </c>
      <c r="T45" s="11">
        <f>IF(T$3=0,"",SUMIFS(INDEX(Inputs!$D$4:$AG$150,0,MATCH(T$2,Inputs!$D$2:$AG$2,0)),Inputs!$B$4:$B$150,$B45)/1000)</f>
        <v>-2695</v>
      </c>
      <c r="U45" s="11">
        <f>IF(U$3=0,"",SUMIFS(INDEX(Inputs!$D$4:$AG$150,0,MATCH(U$2,Inputs!$D$2:$AG$2,0)),Inputs!$B$4:$B$150,$B45)/1000)</f>
        <v>-1192</v>
      </c>
      <c r="V45" s="11">
        <f>IF(V$3=0,"",SUMIFS(INDEX(Inputs!$D$4:$AG$150,0,MATCH(V$2,Inputs!$D$2:$AG$2,0)),Inputs!$B$4:$B$150,$B45)/1000)</f>
        <v>-3097</v>
      </c>
      <c r="W45" s="12">
        <f>IF(V45="","",V45)</f>
        <v>-3097</v>
      </c>
      <c r="X45" s="11">
        <f>IF(X$3=0,"",SUMIFS(INDEX(Inputs!$D$4:$AG$150,0,MATCH(X$2,Inputs!$D$2:$AG$2,0)),Inputs!$B$4:$B$150,$B45)/1000)</f>
        <v>-1865</v>
      </c>
      <c r="Y45" s="11">
        <f>IF(Y$3=0,"",SUMIFS(INDEX(Inputs!$D$4:$AG$150,0,MATCH(Y$2,Inputs!$D$2:$AG$2,0)),Inputs!$B$4:$B$150,$B45)/1000)</f>
        <v>229</v>
      </c>
      <c r="Z45" s="11">
        <f>IF(Z$3=0,"",SUMIFS(INDEX(Inputs!$D$4:$AG$150,0,MATCH(Z$2,Inputs!$D$2:$AG$2,0)),Inputs!$B$4:$B$150,$B45)/1000)</f>
        <v>159</v>
      </c>
      <c r="AA45" s="11">
        <f>IF(AA$3=0,"",SUMIFS(INDEX(Inputs!$D$4:$AG$150,0,MATCH(AA$2,Inputs!$D$2:$AG$2,0)),Inputs!$B$4:$B$150,$B45)/1000)</f>
        <v>271</v>
      </c>
      <c r="AB45" s="12">
        <f>IF(AA45="","",AA45)</f>
        <v>271</v>
      </c>
      <c r="AC45" s="11">
        <f>IF(AC$3=0,"",SUMIFS(INDEX(Inputs!$D$4:$AG$150,0,MATCH(AC$2,Inputs!$D$2:$AG$2,0)),Inputs!$B$4:$B$150,$B45)/1000)</f>
        <v>-303</v>
      </c>
      <c r="AD45" s="11">
        <f>IF(AD$3=0,"",SUMIFS(INDEX(Inputs!$D$4:$AG$150,0,MATCH(AD$2,Inputs!$D$2:$AG$2,0)),Inputs!$B$4:$B$150,$B45)/1000)</f>
        <v>-603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82343</v>
      </c>
      <c r="E47" s="11">
        <f>IF(E$3=0,"",SUMIFS(INDEX(Inputs!$D$4:$AG$150,0,MATCH(E$2,Inputs!$D$2:$AG$2,0)),Inputs!$B$4:$B$150,$B47)/1000)</f>
        <v>85097</v>
      </c>
      <c r="F47" s="11">
        <f>IF(F$3=0,"",SUMIFS(INDEX(Inputs!$D$4:$AG$150,0,MATCH(F$2,Inputs!$D$2:$AG$2,0)),Inputs!$B$4:$B$150,$B47)/1000)</f>
        <v>79233</v>
      </c>
      <c r="G47" s="11">
        <f>IF(G$3=0,"",SUMIFS(INDEX(Inputs!$D$4:$AG$150,0,MATCH(G$2,Inputs!$D$2:$AG$2,0)),Inputs!$B$4:$B$150,$B47)/1000)</f>
        <v>69761</v>
      </c>
      <c r="H47" s="12">
        <f>IF(G47="","",G47)</f>
        <v>69761</v>
      </c>
      <c r="I47" s="11">
        <f>IF(I$3=0,"",SUMIFS(INDEX(Inputs!$D$4:$AG$150,0,MATCH(I$2,Inputs!$D$2:$AG$2,0)),Inputs!$B$4:$B$150,$B47)/1000)</f>
        <v>67712</v>
      </c>
      <c r="J47" s="11">
        <f>IF(J$3=0,"",SUMIFS(INDEX(Inputs!$D$4:$AG$150,0,MATCH(J$2,Inputs!$D$2:$AG$2,0)),Inputs!$B$4:$B$150,$B47)/1000)</f>
        <v>69249</v>
      </c>
      <c r="K47" s="11">
        <f>IF(K$3=0,"",SUMIFS(INDEX(Inputs!$D$4:$AG$150,0,MATCH(K$2,Inputs!$D$2:$AG$2,0)),Inputs!$B$4:$B$150,$B47)/1000)</f>
        <v>67056</v>
      </c>
      <c r="L47" s="11">
        <f>IF(L$3=0,"",SUMIFS(INDEX(Inputs!$D$4:$AG$150,0,MATCH(L$2,Inputs!$D$2:$AG$2,0)),Inputs!$B$4:$B$150,$B47)/1000)</f>
        <v>64799</v>
      </c>
      <c r="M47" s="12">
        <f>IF(L47="","",L47)</f>
        <v>64799</v>
      </c>
      <c r="N47" s="11">
        <f>IF(N$3=0,"",SUMIFS(INDEX(Inputs!$D$4:$AG$150,0,MATCH(N$2,Inputs!$D$2:$AG$2,0)),Inputs!$B$4:$B$150,$B47)/1000)</f>
        <v>61241</v>
      </c>
      <c r="O47" s="11">
        <f>IF(O$3=0,"",SUMIFS(INDEX(Inputs!$D$4:$AG$150,0,MATCH(O$2,Inputs!$D$2:$AG$2,0)),Inputs!$B$4:$B$150,$B47)/1000)</f>
        <v>67980</v>
      </c>
      <c r="P47" s="11">
        <f>IF(P$3=0,"",SUMIFS(INDEX(Inputs!$D$4:$AG$150,0,MATCH(P$2,Inputs!$D$2:$AG$2,0)),Inputs!$B$4:$B$150,$B47)/1000)</f>
        <v>75205</v>
      </c>
      <c r="Q47" s="11">
        <f>IF(Q$3=0,"",SUMIFS(INDEX(Inputs!$D$4:$AG$150,0,MATCH(Q$2,Inputs!$D$2:$AG$2,0)),Inputs!$B$4:$B$150,$B47)/1000)</f>
        <v>82070</v>
      </c>
      <c r="R47" s="12">
        <f>IF(Q47="","",Q47)</f>
        <v>82070</v>
      </c>
      <c r="S47" s="11">
        <f>IF(S$3=0,"",SUMIFS(INDEX(Inputs!$D$4:$AG$150,0,MATCH(S$2,Inputs!$D$2:$AG$2,0)),Inputs!$B$4:$B$150,$B47)/1000)</f>
        <v>76793</v>
      </c>
      <c r="T47" s="11">
        <f>IF(T$3=0,"",SUMIFS(INDEX(Inputs!$D$4:$AG$150,0,MATCH(T$2,Inputs!$D$2:$AG$2,0)),Inputs!$B$4:$B$150,$B47)/1000)</f>
        <v>81188</v>
      </c>
      <c r="U47" s="11">
        <f>IF(U$3=0,"",SUMIFS(INDEX(Inputs!$D$4:$AG$150,0,MATCH(U$2,Inputs!$D$2:$AG$2,0)),Inputs!$B$4:$B$150,$B47)/1000)</f>
        <v>84972</v>
      </c>
      <c r="V47" s="11">
        <f>IF(V$3=0,"",SUMIFS(INDEX(Inputs!$D$4:$AG$150,0,MATCH(V$2,Inputs!$D$2:$AG$2,0)),Inputs!$B$4:$B$150,$B47)/1000)</f>
        <v>102506</v>
      </c>
      <c r="W47" s="12">
        <f>IF(V47="","",V47)</f>
        <v>102506</v>
      </c>
      <c r="X47" s="11">
        <f>IF(X$3=0,"",SUMIFS(INDEX(Inputs!$D$4:$AG$150,0,MATCH(X$2,Inputs!$D$2:$AG$2,0)),Inputs!$B$4:$B$150,$B47)/1000)</f>
        <v>101326</v>
      </c>
      <c r="Y47" s="11">
        <f>IF(Y$3=0,"",SUMIFS(INDEX(Inputs!$D$4:$AG$150,0,MATCH(Y$2,Inputs!$D$2:$AG$2,0)),Inputs!$B$4:$B$150,$B47)/1000)</f>
        <v>106345</v>
      </c>
      <c r="Z47" s="11">
        <f>IF(Z$3=0,"",SUMIFS(INDEX(Inputs!$D$4:$AG$150,0,MATCH(Z$2,Inputs!$D$2:$AG$2,0)),Inputs!$B$4:$B$150,$B47)/1000)</f>
        <v>101577</v>
      </c>
      <c r="AA47" s="11">
        <f>IF(AA$3=0,"",SUMIFS(INDEX(Inputs!$D$4:$AG$150,0,MATCH(AA$2,Inputs!$D$2:$AG$2,0)),Inputs!$B$4:$B$150,$B47)/1000)</f>
        <v>121179</v>
      </c>
      <c r="AB47" s="12">
        <f>IF(AA47="","",AA47)</f>
        <v>121179</v>
      </c>
      <c r="AC47" s="11">
        <f>IF(AC$3=0,"",SUMIFS(INDEX(Inputs!$D$4:$AG$150,0,MATCH(AC$2,Inputs!$D$2:$AG$2,0)),Inputs!$B$4:$B$150,$B47)/1000)</f>
        <v>144647</v>
      </c>
      <c r="AD47" s="11">
        <f>IF(AD$3=0,"",SUMIFS(INDEX(Inputs!$D$4:$AG$150,0,MATCH(AD$2,Inputs!$D$2:$AG$2,0)),Inputs!$B$4:$B$150,$B47)/1000)</f>
        <v>157843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9497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10394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9194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10285</v>
      </c>
      <c r="H50" s="12">
        <f>IF(COUNT(D50:G50)=4,SUM(D50:G50),"")</f>
        <v>39370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7465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6687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4395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4653</v>
      </c>
      <c r="M50" s="12">
        <f>IF(COUNT(I50:L50)=4,SUM(I50:L50),"")</f>
        <v>23200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5709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7788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11583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14017</v>
      </c>
      <c r="R50" s="12">
        <f>IF(COUNT(N50:Q50)=4,SUM(N50:Q50),"")</f>
        <v>39097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12369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13465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15688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20838</v>
      </c>
      <c r="W50" s="12">
        <f>IF(COUNT(S50:V50)=4,SUM(S50:V50),"")</f>
        <v>62360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16644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18337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2709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22768</v>
      </c>
      <c r="AB50" s="12">
        <f>IF(COUNT(X50:AA50)=4,SUM(X50:AA50),"")</f>
        <v>60458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26773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15848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de publicidade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25439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28580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28276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32640</v>
      </c>
      <c r="H53" s="12">
        <f>IF(COUNT(D53:G53)=4,SUM(D53:G53),"")</f>
        <v>114935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26998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28152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27237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31255</v>
      </c>
      <c r="M53" s="12">
        <f>IF(COUNT(I53:L53)=4,SUM(I53:L53),"")</f>
        <v>113642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28101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31498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33643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38706</v>
      </c>
      <c r="R53" s="12">
        <f>IF(COUNT(N53:Q53)=4,SUM(N53:Q53),"")</f>
        <v>131948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35635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38329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39885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46783</v>
      </c>
      <c r="W53" s="12">
        <f>IF(COUNT(S53:V53)=4,SUM(S53:V53),"")</f>
        <v>160632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41392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46563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50082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58138</v>
      </c>
      <c r="AB53" s="12">
        <f>IF(COUNT(X53:AA53)=4,SUM(X53:AA53),"")</f>
        <v>196175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55024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59363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Outras receitas Family of Apps (USD; até 3T20 inclui hardware, antes da criação do segmento Reality Labs)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198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192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176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154</v>
      </c>
      <c r="H54" s="12">
        <f>IF(COUNT(D54:G54)=4,SUM(D54:G54),"")</f>
        <v>720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215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218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192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184</v>
      </c>
      <c r="M54" s="12">
        <f>IF(COUNT(I54:L54)=4,SUM(I54:L54),"")</f>
        <v>809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205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225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293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334</v>
      </c>
      <c r="R54" s="12">
        <f>IF(COUNT(N54:Q54)=4,SUM(N54:Q54),"")</f>
        <v>1057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380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389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434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519</v>
      </c>
      <c r="W54" s="12">
        <f>IF(COUNT(S54:V54)=4,SUM(S54:V54),"")</f>
        <v>1722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510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583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690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800</v>
      </c>
      <c r="AB54" s="12">
        <f>IF(COUNT(X54:AA54)=4,SUM(X54:AA54),"")</f>
        <v>2583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885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1007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Reality Labs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534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305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558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877</v>
      </c>
      <c r="H55" s="12">
        <f>IF(COUNT(D55:G55)=4,SUM(D55:G55),"")</f>
        <v>2274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695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452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285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726</v>
      </c>
      <c r="M55" s="12">
        <f>IF(COUNT(I55:L55)=4,SUM(I55:L55),"")</f>
        <v>2158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339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276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210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1071</v>
      </c>
      <c r="R55" s="12">
        <f>IF(COUNT(N55:Q55)=4,SUM(N55:Q55),"")</f>
        <v>1896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440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353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270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1083</v>
      </c>
      <c r="W55" s="12">
        <f>IF(COUNT(S55:V55)=4,SUM(S55:V55),"")</f>
        <v>2146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412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370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470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955</v>
      </c>
      <c r="AB55" s="12">
        <f>IF(COUNT(X55:AA55)=4,SUM(X55:AA55),"")</f>
        <v>2207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402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431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Family of Apps - receita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25637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28772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28452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32794</v>
      </c>
      <c r="H56" s="12">
        <f>IF(COUNT(D56:G56)=4,SUM(D56:G56),"")</f>
        <v>115655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27213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28370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27429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31439</v>
      </c>
      <c r="M56" s="12">
        <f>IF(COUNT(I56:L56)=4,SUM(I56:L56),"")</f>
        <v>114451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28306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31723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33936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39040</v>
      </c>
      <c r="R56" s="12">
        <f>IF(COUNT(N56:Q56)=4,SUM(N56:Q56),"")</f>
        <v>133005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36015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38718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40319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47302</v>
      </c>
      <c r="W56" s="12">
        <f>IF(COUNT(S56:V56)=4,SUM(S56:V56),"")</f>
        <v>162354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41902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47146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50772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58938</v>
      </c>
      <c r="AB56" s="12">
        <f>IF(COUNT(X56:AA56)=4,SUM(X56:AA56),"")</f>
        <v>198758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55909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60370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Family of Apps - lucro operacional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13205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14799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13054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15888</v>
      </c>
      <c r="H57" s="12">
        <f>IF(COUNT(D57:G57)=4,SUM(D57:G57),"")</f>
        <v>56946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11484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11164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9336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10678</v>
      </c>
      <c r="M57" s="12">
        <f>IF(COUNT(I57:L57)=4,SUM(I57:L57),"")</f>
        <v>42662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11219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13131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17490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21030</v>
      </c>
      <c r="R57" s="12">
        <f>IF(COUNT(N57:Q57)=4,SUM(N57:Q57),"")</f>
        <v>62870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17664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19335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21778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28331</v>
      </c>
      <c r="W57" s="12">
        <f>IF(COUNT(S57:V57)=4,SUM(S57:V57),"")</f>
        <v>87108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21765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24971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24967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30767</v>
      </c>
      <c r="AB57" s="12">
        <f>IF(COUNT(X57:AA57)=4,SUM(X57:AA57),"")</f>
        <v>102470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26900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23394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Reality Labs - lucro operacional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-1827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-2432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-2631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-3303</v>
      </c>
      <c r="H58" s="12">
        <f>IF(COUNT(D58:G58)=4,SUM(D58:G58),"")</f>
        <v>-10193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-2960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-2806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-3672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-4279</v>
      </c>
      <c r="M58" s="12">
        <f>IF(COUNT(I58:L58)=4,SUM(I58:L58),"")</f>
        <v>-13717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-3992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-3739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-3742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-4646</v>
      </c>
      <c r="R58" s="12">
        <f>IF(COUNT(N58:Q58)=4,SUM(N58:Q58),"")</f>
        <v>-16119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-3846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-4488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-4428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-4967</v>
      </c>
      <c r="W58" s="12">
        <f>IF(COUNT(S58:V58)=4,SUM(S58:V58),"")</f>
        <v>-17729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-4210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-4530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-4432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-6022</v>
      </c>
      <c r="AB58" s="12">
        <f>IF(COUNT(X58:AA58)=4,SUM(X58:AA58),"")</f>
        <v>-19194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-4028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-4619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EUA e Canadá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11436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12612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12668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14825</v>
      </c>
      <c r="H59" s="12">
        <f>IF(COUNT(D59:G59)=4,SUM(D59:G59),"")</f>
        <v>51541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11780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12186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11966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14219</v>
      </c>
      <c r="M59" s="12">
        <f>IF(COUNT(I59:L59)=4,SUM(I59:L59),"")</f>
        <v>50151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11449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12404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12908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16127</v>
      </c>
      <c r="R59" s="12">
        <f>IF(COUNT(N59:Q59)=4,SUM(N59:Q59),"")</f>
        <v>52888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13646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14640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15619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19301</v>
      </c>
      <c r="W59" s="12">
        <f>IF(COUNT(S59:V59)=4,SUM(S59:V59),"")</f>
        <v>63206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16869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18454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19708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23835</v>
      </c>
      <c r="AB59" s="12">
        <f>IF(COUNT(X59:AA59)=4,SUM(X59:AA59),"")</f>
        <v>78866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21267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23863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Receita Europa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6384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7220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7018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8435</v>
      </c>
      <c r="H60" s="12">
        <f>IF(COUNT(D60:G60)=4,SUM(D60:G60),"")</f>
        <v>29057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6638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6650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5996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7397</v>
      </c>
      <c r="M60" s="12">
        <f>IF(COUNT(I60:L60)=4,SUM(I60:L60),"")</f>
        <v>26681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6759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7515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7578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9358</v>
      </c>
      <c r="R60" s="12">
        <f>IF(COUNT(N60:Q60)=4,SUM(N60:Q60),"")</f>
        <v>31210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8404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9153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9205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11599</v>
      </c>
      <c r="W60" s="12">
        <f>IF(COUNT(S60:V60)=4,SUM(S60:V60),"")</f>
        <v>38361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9621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11128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11566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14254</v>
      </c>
      <c r="AB60" s="12">
        <f>IF(COUNT(X60:AA60)=4,SUM(X60:AA60),"")</f>
        <v>46569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13240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14009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Ásia-Pacífico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6101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6677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6592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7369</v>
      </c>
      <c r="H61" s="12">
        <f>IF(COUNT(D61:G61)=4,SUM(D61:G61),"")</f>
        <v>26739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6722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6960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6797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7280</v>
      </c>
      <c r="M61" s="12">
        <f>IF(COUNT(I61:L61)=4,SUM(I61:L61),"")</f>
        <v>27759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7292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8551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9790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10520</v>
      </c>
      <c r="R61" s="12">
        <f>IF(COUNT(N61:Q61)=4,SUM(N61:Q61),"")</f>
        <v>36153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10312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10967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11243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12487</v>
      </c>
      <c r="W61" s="12">
        <f>IF(COUNT(S61:V61)=4,SUM(S61:V61),"")</f>
        <v>45009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11239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12858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14304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15416</v>
      </c>
      <c r="AB61" s="12">
        <f>IF(COUNT(X61:AA61)=4,SUM(X61:AA61),"")</f>
        <v>53817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15445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16073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resto do mundo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2250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2568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2732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3042</v>
      </c>
      <c r="H62" s="12">
        <f>IF(COUNT(D62:G62)=4,SUM(D62:G62),"")</f>
        <v>10592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2768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3026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2955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3269</v>
      </c>
      <c r="M62" s="12">
        <f>IF(COUNT(I62:L62)=4,SUM(I62:L62),"")</f>
        <v>12018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3145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3529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3870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4106</v>
      </c>
      <c r="R62" s="12">
        <f>IF(COUNT(N62:Q62)=4,SUM(N62:Q62),"")</f>
        <v>14650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4093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4311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4522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4998</v>
      </c>
      <c r="W62" s="12">
        <f>IF(COUNT(S62:V62)=4,SUM(S62:V62),"")</f>
        <v>17924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4585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5076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5664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6388</v>
      </c>
      <c r="AB62" s="12">
        <f>IF(COUNT(X62:AA62)=4,SUM(X62:AA62),"")</f>
        <v>21713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6359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6856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3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21061.6829850057</v>
      </c>
      <c r="AK1" s="12">
        <f>IF(AK2="","",SUM(AK2,AK3))</f>
        <v>24617.4501194517</v>
      </c>
      <c r="AL1" s="12">
        <f>IF(AL2="","",SUM(AL2,AL3))</f>
        <v>88300.1331044574</v>
      </c>
      <c r="AM1" s="12">
        <f>IF(AM2="","",SUM(AM2,AM3))</f>
        <v>23145.1627682107</v>
      </c>
      <c r="AN1" s="12">
        <f>IF(AN2="","",SUM(AN2,AN3))</f>
        <v>24990.6597551097</v>
      </c>
      <c r="AO1" s="12">
        <f>IF(AO2="","",SUM(AO2,AO3))</f>
        <v>26283.3836691313</v>
      </c>
      <c r="AP1" s="12">
        <f>IF(AP2="","",SUM(AP2,AP3))</f>
        <v>30720.7114885305</v>
      </c>
      <c r="AQ1" s="12">
        <f>IF(AQ2="","",SUM(AQ2,AQ3))</f>
        <v>105139.917680982</v>
      </c>
      <c r="AR1" s="12">
        <f>IF(AR2="","",SUM(AR2,AR3))</f>
        <v>28767.6826751417</v>
      </c>
      <c r="AS1" s="12">
        <f>IF(AS2="","",SUM(AS2,AS3))</f>
        <v>31061.495521857</v>
      </c>
      <c r="AT1" s="12">
        <f>IF(AT2="","",SUM(AT2,AT3))</f>
        <v>32668.2533449741</v>
      </c>
      <c r="AU1" s="12">
        <f>IF(AU2="","",SUM(AU2,AU3))</f>
        <v>38183.5154285651</v>
      </c>
      <c r="AV1" s="12">
        <f>IF(AV2="","",SUM(AV2,AV3))</f>
        <v>130680.946970538</v>
      </c>
      <c r="AW1" s="12">
        <f>IF(AW2="","",SUM(AW2,AW3))</f>
        <v>35612.2102601858</v>
      </c>
      <c r="AX1" s="12">
        <f>IF(AX2="","",SUM(AX2,AX3))</f>
        <v>38451.7766693818</v>
      </c>
      <c r="AY1" s="12">
        <f>IF(AY2="","",SUM(AY2,AY3))</f>
        <v>40440.8210453297</v>
      </c>
      <c r="AZ1" s="12">
        <f>IF(AZ2="","",SUM(AZ2,AZ3))</f>
        <v>47268.2973901864</v>
      </c>
      <c r="BA1" s="12">
        <f>IF(BA2="","",SUM(BA2,BA3))</f>
        <v>161773.105365084</v>
      </c>
      <c r="BB1" s="12">
        <f>IF(BB2="","",SUM(BB2,BB3))</f>
        <v>43907.1554722937</v>
      </c>
      <c r="BC1" s="12">
        <f>IF(BC2="","",SUM(BC2,BC3))</f>
        <v>47408.1255859588</v>
      </c>
      <c r="BD1" s="12">
        <f>IF(BD2="","",SUM(BD2,BD3))</f>
        <v>49860.466511107</v>
      </c>
      <c r="BE1" s="12">
        <f>IF(BE2="","",SUM(BE2,BE3))</f>
        <v>58278.2272501021</v>
      </c>
      <c r="BF1" s="12">
        <f>IF(BF2="","",SUM(BF2,BF3))</f>
        <v>199453.974819462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IF(COUNT(I188,I264)&lt;2,"",ABS(I188-I264))</f>
        <v>0</v>
      </c>
      <c r="J2" s="12">
        <f>IF(COUNT(J188,J264)&lt;2,"",ABS(J188-J264))</f>
        <v>0</v>
      </c>
      <c r="K2" s="12">
        <f>IF(COUNT(K188,K264)&lt;2,"",ABS(K188-K264))</f>
        <v>0</v>
      </c>
      <c r="L2" s="12">
        <f>IF(COUNT(L188,L264)&lt;2,"",ABS(L188-L264))</f>
        <v>0</v>
      </c>
      <c r="M2" s="12">
        <f>IF(COUNT(M188,M264)&lt;2,"",ABS(M188-M264))</f>
        <v>0</v>
      </c>
      <c r="N2" s="12">
        <f>IF(COUNT(N188,N264)&lt;2,"",ABS(N188-N264))</f>
        <v>0</v>
      </c>
      <c r="O2" s="12">
        <f>IF(COUNT(O188,O264)&lt;2,"",ABS(O188-O264))</f>
        <v>0</v>
      </c>
      <c r="P2" s="12">
        <f>IF(COUNT(P188,P264)&lt;2,"",ABS(P188-P264))</f>
        <v>0</v>
      </c>
      <c r="Q2" s="12">
        <f>IF(COUNT(Q188,Q264)&lt;2,"",ABS(Q188-Q264))</f>
        <v>0</v>
      </c>
      <c r="R2" s="12">
        <f>IF(COUNT(R188,R264)&lt;2,"",ABS(R188-R264))</f>
        <v>0</v>
      </c>
      <c r="S2" s="12">
        <f>IF(COUNT(S188,S264)&lt;2,"",ABS(S188-S264))</f>
        <v>0</v>
      </c>
      <c r="T2" s="12">
        <f>IF(COUNT(T188,T264)&lt;2,"",ABS(T188-T264))</f>
        <v>0</v>
      </c>
      <c r="U2" s="12">
        <f>IF(COUNT(U188,U264)&lt;2,"",ABS(U188-U264))</f>
        <v>0</v>
      </c>
      <c r="V2" s="12">
        <f>IF(COUNT(V188,V264)&lt;2,"",ABS(V188-V264))</f>
        <v>0</v>
      </c>
      <c r="W2" s="12">
        <f>IF(COUNT(W188,W264)&lt;2,"",ABS(W188-W264))</f>
        <v>0</v>
      </c>
      <c r="X2" s="12">
        <f>IF(COUNT(X188,X264)&lt;2,"",ABS(X188-X264))</f>
        <v>0</v>
      </c>
      <c r="Y2" s="12">
        <f>IF(COUNT(Y188,Y264)&lt;2,"",ABS(Y188-Y264))</f>
        <v>0</v>
      </c>
      <c r="Z2" s="12">
        <f>IF(COUNT(Z188,Z264)&lt;2,"",ABS(Z188-Z264))</f>
        <v>0</v>
      </c>
      <c r="AA2" s="12">
        <f>IF(COUNT(AA188,AA264)&lt;2,"",ABS(AA188-AA264))</f>
        <v>0</v>
      </c>
      <c r="AB2" s="12">
        <f>IF(COUNT(AB188,AB264)&lt;2,"",ABS(AB188-AB264))</f>
        <v>0</v>
      </c>
      <c r="AC2" s="12">
        <f>IF(COUNT(AC188,AC264)&lt;2,"",ABS(AC188-AC264))</f>
        <v>0</v>
      </c>
      <c r="AD2" s="12">
        <f>IF(COUNT(AD188,AD264)&lt;2,"",ABS(AD188-AD264))</f>
        <v>0</v>
      </c>
      <c r="AE2" s="12">
        <f>IF(COUNT(AE188,AE264)&lt;2,"",ABS(AE188-AE264))</f>
        <v>0</v>
      </c>
      <c r="AF2" s="12">
        <f>IF(COUNT(AF188,AF264)&lt;2,"",ABS(AF188-AF264))</f>
        <v>0</v>
      </c>
      <c r="AG2" s="12">
        <f>IF(COUNT(AG188,AG264)&lt;2,"",ABS(AG188-AG264))</f>
        <v>0</v>
      </c>
      <c r="AH2" s="12">
        <f>IF(COUNT(AH188,AH264)&lt;2,"",ABS(AH188-AH264))</f>
        <v>0</v>
      </c>
      <c r="AI2" s="12">
        <f>IF(COUNT(AI188,AI264)&lt;2,"",ABS(AI188-AI264))</f>
        <v>0</v>
      </c>
      <c r="AJ2" s="12">
        <f>IF(COUNT(AJ188,AJ264)&lt;2,"",ABS(AJ188-AJ264))</f>
        <v>0</v>
      </c>
      <c r="AK2" s="12">
        <f>IF(COUNT(AK188,AK264)&lt;2,"",ABS(AK188-AK264))</f>
        <v>0</v>
      </c>
      <c r="AL2" s="12">
        <f>IF(COUNT(AL188,AL264)&lt;2,"",ABS(AL188-AL264))</f>
        <v>0</v>
      </c>
      <c r="AM2" s="12">
        <f>IF(COUNT(AM188,AM264)&lt;2,"",ABS(AM188-AM264))</f>
        <v>0</v>
      </c>
      <c r="AN2" s="12">
        <f>IF(COUNT(AN188,AN264)&lt;2,"",ABS(AN188-AN264))</f>
        <v>0</v>
      </c>
      <c r="AO2" s="12">
        <f>IF(COUNT(AO188,AO264)&lt;2,"",ABS(AO188-AO264))</f>
        <v>0</v>
      </c>
      <c r="AP2" s="12">
        <f>IF(COUNT(AP188,AP264)&lt;2,"",ABS(AP188-AP264))</f>
        <v>0</v>
      </c>
      <c r="AQ2" s="12">
        <f>IF(COUNT(AQ188,AQ264)&lt;2,"",ABS(AQ188-AQ264))</f>
        <v>0</v>
      </c>
      <c r="AR2" s="12">
        <f>IF(COUNT(AR188,AR264)&lt;2,"",ABS(AR188-AR264))</f>
        <v>0</v>
      </c>
      <c r="AS2" s="12">
        <f>IF(COUNT(AS188,AS264)&lt;2,"",ABS(AS188-AS264))</f>
        <v>0</v>
      </c>
      <c r="AT2" s="12">
        <f>IF(COUNT(AT188,AT264)&lt;2,"",ABS(AT188-AT264))</f>
        <v>0</v>
      </c>
      <c r="AU2" s="12">
        <f>IF(COUNT(AU188,AU264)&lt;2,"",ABS(AU188-AU264))</f>
        <v>0</v>
      </c>
      <c r="AV2" s="12">
        <f>IF(COUNT(AV188,AV264)&lt;2,"",ABS(AV188-AV264))</f>
        <v>0</v>
      </c>
      <c r="AW2" s="12">
        <f>IF(COUNT(AW188,AW264)&lt;2,"",ABS(AW188-AW264))</f>
        <v>0</v>
      </c>
      <c r="AX2" s="12">
        <f>IF(COUNT(AX188,AX264)&lt;2,"",ABS(AX188-AX264))</f>
        <v>0</v>
      </c>
      <c r="AY2" s="12">
        <f>IF(COUNT(AY188,AY264)&lt;2,"",ABS(AY188-AY264))</f>
        <v>0</v>
      </c>
      <c r="AZ2" s="12">
        <f>IF(COUNT(AZ188,AZ264)&lt;2,"",ABS(AZ188-AZ264))</f>
        <v>0</v>
      </c>
      <c r="BA2" s="12">
        <f>IF(COUNT(BA188,BA264)&lt;2,"",ABS(BA188-BA264))</f>
        <v>0</v>
      </c>
      <c r="BB2" s="12">
        <f>IF(COUNT(BB188,BB264)&lt;2,"",ABS(BB188-BB264))</f>
        <v>0</v>
      </c>
      <c r="BC2" s="12">
        <f>IF(COUNT(BC188,BC264)&lt;2,"",ABS(BC188-BC264))</f>
        <v>0</v>
      </c>
      <c r="BD2" s="12">
        <f>IF(COUNT(BD188,BD264)&lt;2,"",ABS(BD188-BD264))</f>
        <v>0</v>
      </c>
      <c r="BE2" s="12">
        <f>IF(COUNT(BE188,BE264)&lt;2,"",ABS(BE188-BE264))</f>
        <v>0</v>
      </c>
      <c r="BF2" s="12">
        <f>IF(COUNT(BF188,BF264)&lt;2,"",ABS(BF188-BF264))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IF(COUNT(I128,I4)&lt;2,"",ABS(I128-I4))</f>
        <v>0</v>
      </c>
      <c r="J3" s="12">
        <f>IF(COUNT(J128,J4)&lt;2,"",ABS(J128-J4))</f>
        <v>0</v>
      </c>
      <c r="K3" s="12">
        <f>IF(COUNT(K128,K4)&lt;2,"",ABS(K128-K4))</f>
        <v>0</v>
      </c>
      <c r="L3" s="12">
        <f>IF(COUNT(L128,L4)&lt;2,"",ABS(L128-L4))</f>
        <v>0</v>
      </c>
      <c r="M3" s="12">
        <f>IF(COUNT(M128,M4)&lt;2,"",ABS(M128-M4))</f>
        <v>0</v>
      </c>
      <c r="N3" s="12">
        <f>IF(COUNT(N128,N4)&lt;2,"",ABS(N128-N4))</f>
        <v>0</v>
      </c>
      <c r="O3" s="12">
        <f>IF(COUNT(O128,O4)&lt;2,"",ABS(O128-O4))</f>
        <v>0</v>
      </c>
      <c r="P3" s="12">
        <f>IF(COUNT(P128,P4)&lt;2,"",ABS(P128-P4))</f>
        <v>0</v>
      </c>
      <c r="Q3" s="12">
        <f>IF(COUNT(Q128,Q4)&lt;2,"",ABS(Q128-Q4))</f>
        <v>0</v>
      </c>
      <c r="R3" s="12">
        <f>IF(COUNT(R128,R4)&lt;2,"",ABS(R128-R4))</f>
        <v>0</v>
      </c>
      <c r="S3" s="12">
        <f>IF(COUNT(S128,S4)&lt;2,"",ABS(S128-S4))</f>
        <v>0</v>
      </c>
      <c r="T3" s="12">
        <f>IF(COUNT(T128,T4)&lt;2,"",ABS(T128-T4))</f>
        <v>0</v>
      </c>
      <c r="U3" s="12">
        <f>IF(COUNT(U128,U4)&lt;2,"",ABS(U128-U4))</f>
        <v>0</v>
      </c>
      <c r="V3" s="12">
        <f>IF(COUNT(V128,V4)&lt;2,"",ABS(V128-V4))</f>
        <v>0</v>
      </c>
      <c r="W3" s="12">
        <f>IF(COUNT(W128,W4)&lt;2,"",ABS(W128-W4))</f>
        <v>0</v>
      </c>
      <c r="X3" s="12">
        <f>IF(COUNT(X128,X4)&lt;2,"",ABS(X128-X4))</f>
        <v>0</v>
      </c>
      <c r="Y3" s="12">
        <f>IF(COUNT(Y128,Y4)&lt;2,"",ABS(Y128-Y4))</f>
        <v>0</v>
      </c>
      <c r="Z3" s="12">
        <f>IF(COUNT(Z128,Z4)&lt;2,"",ABS(Z128-Z4))</f>
        <v>0</v>
      </c>
      <c r="AA3" s="12">
        <f>IF(COUNT(AA128,AA4)&lt;2,"",ABS(AA128-AA4))</f>
        <v>0</v>
      </c>
      <c r="AB3" s="12">
        <f>IF(COUNT(AB128,AB4)&lt;2,"",ABS(AB128-AB4))</f>
        <v>0</v>
      </c>
      <c r="AC3" s="12">
        <f>IF(COUNT(AC128,AC4)&lt;2,"",ABS(AC128-AC4))</f>
        <v>0</v>
      </c>
      <c r="AD3" s="12">
        <f>IF(COUNT(AD128,AD4)&lt;2,"",ABS(AD128-AD4))</f>
        <v>0</v>
      </c>
      <c r="AE3" s="12">
        <f>IF(COUNT(AE128,AE4)&lt;2,"",ABS(AE128-AE4))</f>
        <v>0</v>
      </c>
      <c r="AF3" s="12">
        <f>IF(COUNT(AF128,AF4)&lt;2,"",ABS(AF128-AF4))</f>
        <v>0</v>
      </c>
      <c r="AG3" s="12">
        <f>IF(COUNT(AG128,AG4)&lt;2,"",ABS(AG128-AG4))</f>
        <v>0</v>
      </c>
      <c r="AH3" s="12">
        <f>IF(COUNT(AH128,AH4)&lt;2,"",ABS(AH128-AH4))</f>
        <v>0</v>
      </c>
      <c r="AI3" s="12">
        <f>IF(COUNT(AI128,AI4)&lt;2,"",ABS(AI128-AI4))</f>
        <v>0</v>
      </c>
      <c r="AJ3" s="12">
        <f>ABS(AJ128-AJ4)</f>
        <v>21061.6829850057</v>
      </c>
      <c r="AK3" s="12">
        <f>ABS(AK128-AK4)</f>
        <v>24617.4501194517</v>
      </c>
      <c r="AL3" s="12">
        <f>ABS(AL128-AL4)</f>
        <v>88300.1331044574</v>
      </c>
      <c r="AM3" s="12">
        <f>ABS(AM128-AM4)</f>
        <v>23145.1627682107</v>
      </c>
      <c r="AN3" s="12">
        <f>ABS(AN128-AN4)</f>
        <v>24990.6597551097</v>
      </c>
      <c r="AO3" s="12">
        <f>ABS(AO128-AO4)</f>
        <v>26283.3836691313</v>
      </c>
      <c r="AP3" s="12">
        <f>ABS(AP128-AP4)</f>
        <v>30720.7114885305</v>
      </c>
      <c r="AQ3" s="12">
        <f>ABS(AQ128-AQ4)</f>
        <v>105139.917680982</v>
      </c>
      <c r="AR3" s="12">
        <f>ABS(AR128-AR4)</f>
        <v>28767.6826751417</v>
      </c>
      <c r="AS3" s="12">
        <f>ABS(AS128-AS4)</f>
        <v>31061.495521857</v>
      </c>
      <c r="AT3" s="12">
        <f>ABS(AT128-AT4)</f>
        <v>32668.2533449741</v>
      </c>
      <c r="AU3" s="12">
        <f>ABS(AU128-AU4)</f>
        <v>38183.5154285651</v>
      </c>
      <c r="AV3" s="12">
        <f>ABS(AV128-AV4)</f>
        <v>130680.946970538</v>
      </c>
      <c r="AW3" s="12">
        <f>ABS(AW128-AW4)</f>
        <v>35612.2102601858</v>
      </c>
      <c r="AX3" s="12">
        <f>ABS(AX128-AX4)</f>
        <v>38451.7766693818</v>
      </c>
      <c r="AY3" s="12">
        <f>ABS(AY128-AY4)</f>
        <v>40440.8210453297</v>
      </c>
      <c r="AZ3" s="12">
        <f>ABS(AZ128-AZ4)</f>
        <v>47268.2973901864</v>
      </c>
      <c r="BA3" s="12">
        <f>ABS(BA128-BA4)</f>
        <v>161773.105365084</v>
      </c>
      <c r="BB3" s="12">
        <f>ABS(BB128-BB4)</f>
        <v>43907.1554722937</v>
      </c>
      <c r="BC3" s="12">
        <f>ABS(BC128-BC4)</f>
        <v>47408.1255859588</v>
      </c>
      <c r="BD3" s="12">
        <f>ABS(BD128-BD4)</f>
        <v>49860.466511107</v>
      </c>
      <c r="BE3" s="12">
        <f>ABS(BE128-BE4)</f>
        <v>58278.2272501021</v>
      </c>
      <c r="BF3" s="12">
        <f>ABS(BF128-BF4)</f>
        <v>199453.974819462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9497</v>
      </c>
      <c r="J4">
        <f>IF(ISNUMBER('Inputs (2)'!E50),'Inputs (2)'!E50,"")</f>
        <v>10394</v>
      </c>
      <c r="K4">
        <f>IF(ISNUMBER('Inputs (2)'!F50),'Inputs (2)'!F50,"")</f>
        <v>9194</v>
      </c>
      <c r="L4">
        <f>IF(ISNUMBER('Inputs (2)'!G50),'Inputs (2)'!G50,"")</f>
        <v>10285</v>
      </c>
      <c r="M4" s="11">
        <f>IF(COUNT(I4:L4)=4,SUM(I4:L4),"")</f>
        <v>39370</v>
      </c>
      <c r="N4">
        <f>IF(ISNUMBER('Inputs (2)'!I50),'Inputs (2)'!I50,"")</f>
        <v>7465</v>
      </c>
      <c r="O4">
        <f>IF(ISNUMBER('Inputs (2)'!J50),'Inputs (2)'!J50,"")</f>
        <v>6687</v>
      </c>
      <c r="P4">
        <f>IF(ISNUMBER('Inputs (2)'!K50),'Inputs (2)'!K50,"")</f>
        <v>4395</v>
      </c>
      <c r="Q4">
        <f>IF(ISNUMBER('Inputs (2)'!L50),'Inputs (2)'!L50,"")</f>
        <v>4653</v>
      </c>
      <c r="R4" s="11">
        <f>IF(COUNT(N4:Q4)=4,SUM(N4:Q4),"")</f>
        <v>23200</v>
      </c>
      <c r="S4">
        <f>IF(ISNUMBER('Inputs (2)'!N50),'Inputs (2)'!N50,"")</f>
        <v>5709</v>
      </c>
      <c r="T4">
        <f>IF(ISNUMBER('Inputs (2)'!O50),'Inputs (2)'!O50,"")</f>
        <v>7788</v>
      </c>
      <c r="U4">
        <f>IF(ISNUMBER('Inputs (2)'!P50),'Inputs (2)'!P50,"")</f>
        <v>11583</v>
      </c>
      <c r="V4">
        <f>IF(ISNUMBER('Inputs (2)'!Q50),'Inputs (2)'!Q50,"")</f>
        <v>14017</v>
      </c>
      <c r="W4" s="11">
        <f>IF(COUNT(S4:V4)=4,SUM(S4:V4),"")</f>
        <v>39097</v>
      </c>
      <c r="X4">
        <f>IF(ISNUMBER('Inputs (2)'!S50),'Inputs (2)'!S50,"")</f>
        <v>12369</v>
      </c>
      <c r="Y4">
        <f>IF(ISNUMBER('Inputs (2)'!T50),'Inputs (2)'!T50,"")</f>
        <v>13465</v>
      </c>
      <c r="Z4">
        <f>IF(ISNUMBER('Inputs (2)'!U50),'Inputs (2)'!U50,"")</f>
        <v>15688</v>
      </c>
      <c r="AA4">
        <f>IF(ISNUMBER('Inputs (2)'!V50),'Inputs (2)'!V50,"")</f>
        <v>20838</v>
      </c>
      <c r="AB4" s="11">
        <f>IF(COUNT(X4:AA4)=4,SUM(X4:AA4),"")</f>
        <v>62360</v>
      </c>
      <c r="AC4">
        <f>IF(ISNUMBER('Inputs (2)'!X50),'Inputs (2)'!X50,"")</f>
        <v>16644</v>
      </c>
      <c r="AD4">
        <f>IF(ISNUMBER('Inputs (2)'!Y50),'Inputs (2)'!Y50,"")</f>
        <v>18337</v>
      </c>
      <c r="AE4">
        <f>IF(ISNUMBER('Inputs (2)'!Z50),'Inputs (2)'!Z50,"")</f>
        <v>2709</v>
      </c>
      <c r="AF4">
        <f>IF(ISNUMBER('Inputs (2)'!AA50),'Inputs (2)'!AA50,"")</f>
        <v>22768</v>
      </c>
      <c r="AG4" s="11">
        <f>IF(COUNT(AC4:AF4)=4,SUM(AC4:AF4),"")</f>
        <v>60458</v>
      </c>
      <c r="AH4" s="11">
        <f>IF(ISNUMBER('Inputs (2)'!AC50),'Inputs (2)'!AC50,"")</f>
        <v>26773</v>
      </c>
      <c r="AI4" s="11">
        <f>IF(ISNUMBER('Inputs (2)'!AD50),'Inputs (2)'!AD50,"")</f>
        <v>15848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26171</v>
      </c>
      <c r="J15" s="34">
        <f>'Inputs (2)'!E4</f>
        <v>29077</v>
      </c>
      <c r="K15" s="34">
        <f>'Inputs (2)'!F4</f>
        <v>29010</v>
      </c>
      <c r="L15" s="34">
        <f>'Inputs (2)'!G4</f>
        <v>33671</v>
      </c>
      <c r="M15" s="35">
        <f>'Inputs (2)'!H4</f>
        <v>117929</v>
      </c>
      <c r="N15" s="34">
        <f>'Inputs (2)'!I4</f>
        <v>27908</v>
      </c>
      <c r="O15" s="34">
        <f>'Inputs (2)'!J4</f>
        <v>28822</v>
      </c>
      <c r="P15" s="34">
        <f>'Inputs (2)'!K4</f>
        <v>27714</v>
      </c>
      <c r="Q15" s="34">
        <f>'Inputs (2)'!L4</f>
        <v>32165</v>
      </c>
      <c r="R15" s="35">
        <f>'Inputs (2)'!M4</f>
        <v>116609</v>
      </c>
      <c r="S15" s="34">
        <f>'Inputs (2)'!N4</f>
        <v>28645</v>
      </c>
      <c r="T15" s="34">
        <f>'Inputs (2)'!O4</f>
        <v>31999</v>
      </c>
      <c r="U15" s="34">
        <f>'Inputs (2)'!P4</f>
        <v>34146</v>
      </c>
      <c r="V15" s="34">
        <f>'Inputs (2)'!Q4</f>
        <v>40111</v>
      </c>
      <c r="W15" s="35">
        <f>'Inputs (2)'!R4</f>
        <v>134901</v>
      </c>
      <c r="X15" s="34">
        <f>'Inputs (2)'!S4</f>
        <v>36455</v>
      </c>
      <c r="Y15" s="34">
        <f>'Inputs (2)'!T4</f>
        <v>39071</v>
      </c>
      <c r="Z15" s="34">
        <f>'Inputs (2)'!U4</f>
        <v>40589</v>
      </c>
      <c r="AA15" s="34">
        <f>'Inputs (2)'!V4</f>
        <v>48385</v>
      </c>
      <c r="AB15" s="35">
        <f>'Inputs (2)'!W4</f>
        <v>164500</v>
      </c>
      <c r="AC15" s="34">
        <f>'Inputs (2)'!X4</f>
        <v>42314</v>
      </c>
      <c r="AD15" s="34">
        <f>'Inputs (2)'!Y4</f>
        <v>47516</v>
      </c>
      <c r="AE15" s="34">
        <f>'Inputs (2)'!Z4</f>
        <v>51242</v>
      </c>
      <c r="AF15" s="34">
        <f>'Inputs (2)'!AA4</f>
        <v>59893</v>
      </c>
      <c r="AG15" s="35">
        <f>'Inputs (2)'!AB4</f>
        <v>200965</v>
      </c>
      <c r="AH15" s="35">
        <f>'Inputs (2)'!AC4</f>
        <v>56311</v>
      </c>
      <c r="AI15" s="35">
        <f>'Inputs (2)'!AD4</f>
        <v>60801</v>
      </c>
      <c r="AJ15" s="35">
        <f>AE15*(1+AJ16)</f>
        <v>63946.1313197267</v>
      </c>
      <c r="AK15" s="35">
        <f>AF15*(1+AK16)</f>
        <v>74741.9234833221</v>
      </c>
      <c r="AL15" s="35">
        <f>SUM(AH15:AK15)</f>
        <v>255800.054803049</v>
      </c>
      <c r="AM15" s="35">
        <f>AH15*(1+AM16)</f>
        <v>70271.8590364375</v>
      </c>
      <c r="AN15" s="35">
        <f>AI15*(1+AN16)</f>
        <v>75875.0386474123</v>
      </c>
      <c r="AO15" s="35">
        <f>AJ15*(1+AO16)</f>
        <v>79799.9241005373</v>
      </c>
      <c r="AP15" s="35">
        <f>AK15*(1+AP16)</f>
        <v>93272.2542865907</v>
      </c>
      <c r="AQ15" s="35">
        <f>SUM(AM15:AP15)</f>
        <v>319219.076070978</v>
      </c>
      <c r="AR15" s="35">
        <f>AM15*(1+AR16)</f>
        <v>87342.593439398</v>
      </c>
      <c r="AS15" s="35">
        <f>AN15*(1+AS16)</f>
        <v>94306.9209161414</v>
      </c>
      <c r="AT15" s="35">
        <f>AO15*(1+AT16)</f>
        <v>99185.2559869518</v>
      </c>
      <c r="AU15" s="35">
        <f>AP15*(1+AU16)</f>
        <v>115930.341064488</v>
      </c>
      <c r="AV15" s="35">
        <f>SUM(AR15:AU15)</f>
        <v>396765.111406979</v>
      </c>
      <c r="AW15" s="35">
        <f>AR15*(1+AW16)</f>
        <v>108123.509194626</v>
      </c>
      <c r="AX15" s="35">
        <f>AS15*(1+AX16)</f>
        <v>116744.818641872</v>
      </c>
      <c r="AY15" s="35">
        <f>AT15*(1+AY16)</f>
        <v>122783.827630645</v>
      </c>
      <c r="AZ15" s="35">
        <f>AU15*(1+AZ16)</f>
        <v>143512.973503809</v>
      </c>
      <c r="BA15" s="35">
        <f>SUM(AW15:AZ15)</f>
        <v>491165.128970952</v>
      </c>
      <c r="BB15" s="35">
        <f>AW15*(1+BB16)</f>
        <v>133308.089942566</v>
      </c>
      <c r="BC15" s="35">
        <f>AX15*(1+BC16)</f>
        <v>143937.510905471</v>
      </c>
      <c r="BD15" s="35">
        <f>AY15*(1+BD16)</f>
        <v>151383.151168498</v>
      </c>
      <c r="BE15" s="35">
        <f>AZ15*(1+BE16)</f>
        <v>176940.61654375</v>
      </c>
      <c r="BF15" s="35">
        <f>SUM(BB15:BE15)</f>
        <v>605569.368560284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0.0663711742004509</v>
      </c>
      <c r="O16" s="40">
        <f>IFERROR(O15/J15-1,"")</f>
        <v>-0.00876981806926436</v>
      </c>
      <c r="P16" s="40">
        <f>IFERROR(P15/K15-1,"")</f>
        <v>-0.0446742502585316</v>
      </c>
      <c r="Q16" s="40">
        <f>IFERROR(Q15/L15-1,"")</f>
        <v>-0.0447269163375011</v>
      </c>
      <c r="R16" s="40">
        <f>IFERROR(R15/M15-1,"")</f>
        <v>-0.0111931755547829</v>
      </c>
      <c r="S16" s="40">
        <f>IFERROR(S15/N15-1,"")</f>
        <v>0.02640819836606</v>
      </c>
      <c r="T16" s="40">
        <f>IFERROR(T15/O15-1,"")</f>
        <v>0.110228297828048</v>
      </c>
      <c r="U16" s="40">
        <f>IFERROR(U15/P15-1,"")</f>
        <v>0.232084866854297</v>
      </c>
      <c r="V16" s="40">
        <f>IFERROR(V15/Q15-1,"")</f>
        <v>0.247038706668739</v>
      </c>
      <c r="W16" s="40">
        <f>IFERROR(W15/R15-1,"")</f>
        <v>0.156866108104863</v>
      </c>
      <c r="X16" s="40">
        <f>IFERROR(X15/S15-1,"")</f>
        <v>0.272647931576191</v>
      </c>
      <c r="Y16" s="40">
        <f>IFERROR(Y15/T15-1,"")</f>
        <v>0.221006906465827</v>
      </c>
      <c r="Z16" s="40">
        <f>IFERROR(Z15/U15-1,"")</f>
        <v>0.188689744040297</v>
      </c>
      <c r="AA16" s="40">
        <f>IFERROR(AA15/V15-1,"")</f>
        <v>0.206277579716287</v>
      </c>
      <c r="AB16" s="40">
        <f>IFERROR(AB15/W15-1,"")</f>
        <v>0.219412754538513</v>
      </c>
      <c r="AC16" s="40">
        <f>IFERROR(AC15/X15-1,"")</f>
        <v>0.16071869428062</v>
      </c>
      <c r="AD16" s="40">
        <f>IFERROR(AD15/Y15-1,"")</f>
        <v>0.216144966855212</v>
      </c>
      <c r="AE16" s="40">
        <f>IFERROR(AE15/Z15-1,"")</f>
        <v>0.26246027248762</v>
      </c>
      <c r="AF16" s="41">
        <f>IFERROR(AF15/AA15-1,"")</f>
        <v>0.237842306499948</v>
      </c>
      <c r="AG16" s="40">
        <f>IFERROR(AG15/AB15-1,"")</f>
        <v>0.221671732522796</v>
      </c>
      <c r="AH16" s="41">
        <f>IFERROR(AH15/AC15-1,"")</f>
        <v>0.3307888642057</v>
      </c>
      <c r="AI16" s="41">
        <f>IFERROR(AI15/AD15-1,"")</f>
        <v>0.279590032831046</v>
      </c>
      <c r="AJ16" s="41">
        <f>Control!$B$18</f>
        <v>0.247924189526691</v>
      </c>
      <c r="AK16" s="41">
        <f>Control!$B$18</f>
        <v>0.247924189526691</v>
      </c>
      <c r="AL16" s="42">
        <f>IFERROR(AL15/AG15-1,"")</f>
        <v>0.272858730639907</v>
      </c>
      <c r="AM16" s="41">
        <f>Control!$C$18</f>
        <v>0.247924189526691</v>
      </c>
      <c r="AN16" s="41">
        <f>Control!$C$18</f>
        <v>0.247924189526691</v>
      </c>
      <c r="AO16" s="41">
        <f>Control!$C$18</f>
        <v>0.247924189526691</v>
      </c>
      <c r="AP16" s="41">
        <f>Control!$C$18</f>
        <v>0.247924189526691</v>
      </c>
      <c r="AQ16" s="42">
        <f>IFERROR(AQ15/AL15-1,"")</f>
        <v>0.247924189526691</v>
      </c>
      <c r="AR16" s="41">
        <f>Control!$D$18</f>
        <v>0.242924189526691</v>
      </c>
      <c r="AS16" s="41">
        <f>Control!$D$18</f>
        <v>0.242924189526691</v>
      </c>
      <c r="AT16" s="41">
        <f>Control!$D$18</f>
        <v>0.242924189526691</v>
      </c>
      <c r="AU16" s="41">
        <f>Control!$D$18</f>
        <v>0.242924189526691</v>
      </c>
      <c r="AV16" s="42">
        <f>IFERROR(AV15/AQ15-1,"")</f>
        <v>0.242924189526691</v>
      </c>
      <c r="AW16" s="41">
        <f>Control!$E$18</f>
        <v>0.237924189526691</v>
      </c>
      <c r="AX16" s="41">
        <f>Control!$E$18</f>
        <v>0.237924189526691</v>
      </c>
      <c r="AY16" s="41">
        <f>Control!$E$18</f>
        <v>0.237924189526691</v>
      </c>
      <c r="AZ16" s="41">
        <f>Control!$E$18</f>
        <v>0.237924189526691</v>
      </c>
      <c r="BA16" s="42">
        <f>IFERROR(BA15/AV15-1,"")</f>
        <v>0.237924189526691</v>
      </c>
      <c r="BB16" s="41">
        <f>Control!$F$18</f>
        <v>0.232924189526691</v>
      </c>
      <c r="BC16" s="41">
        <f>Control!$F$18</f>
        <v>0.232924189526691</v>
      </c>
      <c r="BD16" s="41">
        <f>Control!$F$18</f>
        <v>0.232924189526691</v>
      </c>
      <c r="BE16" s="41">
        <f>Control!$F$18</f>
        <v>0.232924189526691</v>
      </c>
      <c r="BF16" s="42">
        <f>IFERROR(BF15/BA15-1,"")</f>
        <v>0.232924189526691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IF(ISNUMBER(I23),I23,"")</f>
        <v>0</v>
      </c>
      <c r="J17" s="40">
        <f>IF(ISNUMBER(J23),J23,"")</f>
        <v>0</v>
      </c>
      <c r="K17" s="40">
        <f>IF(ISNUMBER(K23),K23,"")</f>
        <v>0</v>
      </c>
      <c r="L17" s="40">
        <f>IF(ISNUMBER(L23),L23,"")</f>
        <v>0</v>
      </c>
      <c r="M17" s="39">
        <f>IF(ISNUMBER(M23),M23,"")</f>
        <v>0</v>
      </c>
      <c r="N17" s="40">
        <f>IF(ISNUMBER(N23),N23,"")</f>
        <v>0</v>
      </c>
      <c r="O17" s="40">
        <f>IF(ISNUMBER(O23),O23,"")</f>
        <v>0</v>
      </c>
      <c r="P17" s="40">
        <f>IF(ISNUMBER(P23),P23,"")</f>
        <v>0</v>
      </c>
      <c r="Q17" s="40">
        <f>IF(ISNUMBER(Q23),Q23,"")</f>
        <v>0</v>
      </c>
      <c r="R17" s="40">
        <f>IF(ISNUMBER(R23),R23,"")</f>
        <v>0</v>
      </c>
      <c r="S17" s="40">
        <f>IF(ISNUMBER(S23),S23,"")</f>
        <v>0</v>
      </c>
      <c r="T17" s="40">
        <f>IF(ISNUMBER(T23),T23,"")</f>
        <v>0</v>
      </c>
      <c r="U17" s="40">
        <f>IF(ISNUMBER(U23),U23,"")</f>
        <v>0</v>
      </c>
      <c r="V17" s="40">
        <f>IF(ISNUMBER(V23),V23,"")</f>
        <v>0</v>
      </c>
      <c r="W17" s="40">
        <f>IF(ISNUMBER(W23),W23,"")</f>
        <v>0</v>
      </c>
      <c r="X17" s="40">
        <f>IF(ISNUMBER(X23),X23,"")</f>
        <v>0</v>
      </c>
      <c r="Y17" s="40">
        <f>IF(ISNUMBER(Y23),Y23,"")</f>
        <v>0</v>
      </c>
      <c r="Z17" s="40">
        <f>IF(ISNUMBER(Z23),Z23,"")</f>
        <v>0</v>
      </c>
      <c r="AA17" s="40">
        <f>IF(ISNUMBER(AA23),AA23,"")</f>
        <v>0</v>
      </c>
      <c r="AB17" s="40">
        <f>IF(ISNUMBER(AB23),AB23,"")</f>
        <v>0</v>
      </c>
      <c r="AC17" s="40">
        <f>IF(ISNUMBER(AC23),AC23,"")</f>
        <v>0</v>
      </c>
      <c r="AD17" s="40">
        <f>IF(ISNUMBER(AD23),AD23,"")</f>
        <v>0</v>
      </c>
      <c r="AE17" s="40">
        <f>IF(ISNUMBER(AE23),AE23,"")</f>
        <v>0</v>
      </c>
      <c r="AF17" s="40">
        <f>IF(ISNUMBER(AF23),AF23,"")</f>
        <v>0</v>
      </c>
      <c r="AG17" s="40">
        <f>IF(ISNUMBER(AG23),AG23,"")</f>
        <v>0</v>
      </c>
      <c r="AH17" s="41">
        <f>IF(ISNUMBER(AH23),AH23,"")</f>
        <v>0</v>
      </c>
      <c r="AI17" s="41">
        <f>IF(ISNUMBER(AI23),AI23,"")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- como a Meta divulga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>Publicidade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25439</v>
      </c>
      <c r="J19" s="269">
        <f>IFERROR(INDEX('Inputs (2)'!$D$53:$AL$53,MATCH(J$7&amp;"",'Inputs (2)'!$D$2:$AL$2,0)),"")</f>
        <v>28580</v>
      </c>
      <c r="K19" s="269">
        <f>IFERROR(INDEX('Inputs (2)'!$D$53:$AL$53,MATCH(K$7&amp;"",'Inputs (2)'!$D$2:$AL$2,0)),"")</f>
        <v>28276</v>
      </c>
      <c r="L19" s="269">
        <f>IFERROR(INDEX('Inputs (2)'!$D$53:$AL$53,MATCH(L$7&amp;"",'Inputs (2)'!$D$2:$AL$2,0)),"")</f>
        <v>32640</v>
      </c>
      <c r="M19" s="270">
        <f>IF(COUNT(I19:L19)=4,SUM(I19:L19),"")</f>
        <v>114935</v>
      </c>
      <c r="N19" s="269">
        <f>IFERROR(INDEX('Inputs (2)'!$D$53:$AL$53,MATCH(N$7&amp;"",'Inputs (2)'!$D$2:$AL$2,0)),"")</f>
        <v>26998</v>
      </c>
      <c r="O19" s="269">
        <f>IFERROR(INDEX('Inputs (2)'!$D$53:$AL$53,MATCH(O$7&amp;"",'Inputs (2)'!$D$2:$AL$2,0)),"")</f>
        <v>28152</v>
      </c>
      <c r="P19" s="269">
        <f>IFERROR(INDEX('Inputs (2)'!$D$53:$AL$53,MATCH(P$7&amp;"",'Inputs (2)'!$D$2:$AL$2,0)),"")</f>
        <v>27237</v>
      </c>
      <c r="Q19" s="269">
        <f>IFERROR(INDEX('Inputs (2)'!$D$53:$AL$53,MATCH(Q$7&amp;"",'Inputs (2)'!$D$2:$AL$2,0)),"")</f>
        <v>31255</v>
      </c>
      <c r="R19" s="270">
        <f>IF(COUNT(N19:Q19)=4,SUM(N19:Q19),"")</f>
        <v>113642</v>
      </c>
      <c r="S19" s="269">
        <f>IFERROR(INDEX('Inputs (2)'!$D$53:$AL$53,MATCH(S$7&amp;"",'Inputs (2)'!$D$2:$AL$2,0)),"")</f>
        <v>28101</v>
      </c>
      <c r="T19" s="269">
        <f>IFERROR(INDEX('Inputs (2)'!$D$53:$AL$53,MATCH(T$7&amp;"",'Inputs (2)'!$D$2:$AL$2,0)),"")</f>
        <v>31498</v>
      </c>
      <c r="U19" s="269">
        <f>IFERROR(INDEX('Inputs (2)'!$D$53:$AL$53,MATCH(U$7&amp;"",'Inputs (2)'!$D$2:$AL$2,0)),"")</f>
        <v>33643</v>
      </c>
      <c r="V19" s="269">
        <f>IFERROR(INDEX('Inputs (2)'!$D$53:$AL$53,MATCH(V$7&amp;"",'Inputs (2)'!$D$2:$AL$2,0)),"")</f>
        <v>38706</v>
      </c>
      <c r="W19" s="270">
        <f>IF(COUNT(S19:V19)=4,SUM(S19:V19),"")</f>
        <v>131948</v>
      </c>
      <c r="X19" s="269">
        <f>IFERROR(INDEX('Inputs (2)'!$D$53:$AL$53,MATCH(X$7&amp;"",'Inputs (2)'!$D$2:$AL$2,0)),"")</f>
        <v>35635</v>
      </c>
      <c r="Y19" s="269">
        <f>IFERROR(INDEX('Inputs (2)'!$D$53:$AL$53,MATCH(Y$7&amp;"",'Inputs (2)'!$D$2:$AL$2,0)),"")</f>
        <v>38329</v>
      </c>
      <c r="Z19" s="269">
        <f>IFERROR(INDEX('Inputs (2)'!$D$53:$AL$53,MATCH(Z$7&amp;"",'Inputs (2)'!$D$2:$AL$2,0)),"")</f>
        <v>39885</v>
      </c>
      <c r="AA19" s="269">
        <f>IFERROR(INDEX('Inputs (2)'!$D$53:$AL$53,MATCH(AA$7&amp;"",'Inputs (2)'!$D$2:$AL$2,0)),"")</f>
        <v>46783</v>
      </c>
      <c r="AB19" s="270">
        <f>IF(COUNT(X19:AA19)=4,SUM(X19:AA19),"")</f>
        <v>160632</v>
      </c>
      <c r="AC19" s="269">
        <f>IFERROR(INDEX('Inputs (2)'!$D$53:$AL$53,MATCH(AC$7&amp;"",'Inputs (2)'!$D$2:$AL$2,0)),"")</f>
        <v>41392</v>
      </c>
      <c r="AD19" s="269">
        <f>IFERROR(INDEX('Inputs (2)'!$D$53:$AL$53,MATCH(AD$7&amp;"",'Inputs (2)'!$D$2:$AL$2,0)),"")</f>
        <v>46563</v>
      </c>
      <c r="AE19" s="269">
        <f>IFERROR(INDEX('Inputs (2)'!$D$53:$AL$53,MATCH(AE$7&amp;"",'Inputs (2)'!$D$2:$AL$2,0)),"")</f>
        <v>50082</v>
      </c>
      <c r="AF19" s="269">
        <f>IFERROR(INDEX('Inputs (2)'!$D$53:$AL$53,MATCH(AF$7&amp;"",'Inputs (2)'!$D$2:$AL$2,0)),"")</f>
        <v>58138</v>
      </c>
      <c r="AG19" s="270">
        <f>IF(COUNT(AC19:AF19)=4,SUM(AC19:AF19),"")</f>
        <v>196175</v>
      </c>
      <c r="AH19" s="270">
        <f>IFERROR(INDEX('Inputs (2)'!$D$53:$AL$53,MATCH(AH$7&amp;"",'Inputs (2)'!$D$2:$AL$2,0)),"")</f>
        <v>55024</v>
      </c>
      <c r="AI19" s="270">
        <f>IFERROR(INDEX('Inputs (2)'!$D$53:$AL$53,MATCH(AI$7&amp;"",'Inputs (2)'!$D$2:$AL$2,0)),"")</f>
        <v>59363</v>
      </c>
    </row>
    <row r="20">
      <c r="C20" s="271" t="inlineStr">
        <is>
          <t xml:space="preserve">   Outras receitas (Family of Apps)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198</v>
      </c>
      <c r="J20" s="269">
        <f>IFERROR(INDEX('Inputs (2)'!$D$54:$AL$54,MATCH(J$7&amp;"",'Inputs (2)'!$D$2:$AL$2,0)),"")</f>
        <v>192</v>
      </c>
      <c r="K20" s="269">
        <f>IFERROR(INDEX('Inputs (2)'!$D$54:$AL$54,MATCH(K$7&amp;"",'Inputs (2)'!$D$2:$AL$2,0)),"")</f>
        <v>176</v>
      </c>
      <c r="L20" s="269">
        <f>IFERROR(INDEX('Inputs (2)'!$D$54:$AL$54,MATCH(L$7&amp;"",'Inputs (2)'!$D$2:$AL$2,0)),"")</f>
        <v>154</v>
      </c>
      <c r="M20" s="270">
        <f>IF(COUNT(I20:L20)=4,SUM(I20:L20),"")</f>
        <v>720</v>
      </c>
      <c r="N20" s="269">
        <f>IFERROR(INDEX('Inputs (2)'!$D$54:$AL$54,MATCH(N$7&amp;"",'Inputs (2)'!$D$2:$AL$2,0)),"")</f>
        <v>215</v>
      </c>
      <c r="O20" s="269">
        <f>IFERROR(INDEX('Inputs (2)'!$D$54:$AL$54,MATCH(O$7&amp;"",'Inputs (2)'!$D$2:$AL$2,0)),"")</f>
        <v>218</v>
      </c>
      <c r="P20" s="269">
        <f>IFERROR(INDEX('Inputs (2)'!$D$54:$AL$54,MATCH(P$7&amp;"",'Inputs (2)'!$D$2:$AL$2,0)),"")</f>
        <v>192</v>
      </c>
      <c r="Q20" s="269">
        <f>IFERROR(INDEX('Inputs (2)'!$D$54:$AL$54,MATCH(Q$7&amp;"",'Inputs (2)'!$D$2:$AL$2,0)),"")</f>
        <v>184</v>
      </c>
      <c r="R20" s="270">
        <f>IF(COUNT(N20:Q20)=4,SUM(N20:Q20),"")</f>
        <v>809</v>
      </c>
      <c r="S20" s="269">
        <f>IFERROR(INDEX('Inputs (2)'!$D$54:$AL$54,MATCH(S$7&amp;"",'Inputs (2)'!$D$2:$AL$2,0)),"")</f>
        <v>205</v>
      </c>
      <c r="T20" s="269">
        <f>IFERROR(INDEX('Inputs (2)'!$D$54:$AL$54,MATCH(T$7&amp;"",'Inputs (2)'!$D$2:$AL$2,0)),"")</f>
        <v>225</v>
      </c>
      <c r="U20" s="269">
        <f>IFERROR(INDEX('Inputs (2)'!$D$54:$AL$54,MATCH(U$7&amp;"",'Inputs (2)'!$D$2:$AL$2,0)),"")</f>
        <v>293</v>
      </c>
      <c r="V20" s="269">
        <f>IFERROR(INDEX('Inputs (2)'!$D$54:$AL$54,MATCH(V$7&amp;"",'Inputs (2)'!$D$2:$AL$2,0)),"")</f>
        <v>334</v>
      </c>
      <c r="W20" s="270">
        <f>IF(COUNT(S20:V20)=4,SUM(S20:V20),"")</f>
        <v>1057</v>
      </c>
      <c r="X20" s="269">
        <f>IFERROR(INDEX('Inputs (2)'!$D$54:$AL$54,MATCH(X$7&amp;"",'Inputs (2)'!$D$2:$AL$2,0)),"")</f>
        <v>380</v>
      </c>
      <c r="Y20" s="269">
        <f>IFERROR(INDEX('Inputs (2)'!$D$54:$AL$54,MATCH(Y$7&amp;"",'Inputs (2)'!$D$2:$AL$2,0)),"")</f>
        <v>389</v>
      </c>
      <c r="Z20" s="269">
        <f>IFERROR(INDEX('Inputs (2)'!$D$54:$AL$54,MATCH(Z$7&amp;"",'Inputs (2)'!$D$2:$AL$2,0)),"")</f>
        <v>434</v>
      </c>
      <c r="AA20" s="269">
        <f>IFERROR(INDEX('Inputs (2)'!$D$54:$AL$54,MATCH(AA$7&amp;"",'Inputs (2)'!$D$2:$AL$2,0)),"")</f>
        <v>519</v>
      </c>
      <c r="AB20" s="270">
        <f>IF(COUNT(X20:AA20)=4,SUM(X20:AA20),"")</f>
        <v>1722</v>
      </c>
      <c r="AC20" s="269">
        <f>IFERROR(INDEX('Inputs (2)'!$D$54:$AL$54,MATCH(AC$7&amp;"",'Inputs (2)'!$D$2:$AL$2,0)),"")</f>
        <v>510</v>
      </c>
      <c r="AD20" s="269">
        <f>IFERROR(INDEX('Inputs (2)'!$D$54:$AL$54,MATCH(AD$7&amp;"",'Inputs (2)'!$D$2:$AL$2,0)),"")</f>
        <v>583</v>
      </c>
      <c r="AE20" s="269">
        <f>IFERROR(INDEX('Inputs (2)'!$D$54:$AL$54,MATCH(AE$7&amp;"",'Inputs (2)'!$D$2:$AL$2,0)),"")</f>
        <v>690</v>
      </c>
      <c r="AF20" s="269">
        <f>IFERROR(INDEX('Inputs (2)'!$D$54:$AL$54,MATCH(AF$7&amp;"",'Inputs (2)'!$D$2:$AL$2,0)),"")</f>
        <v>800</v>
      </c>
      <c r="AG20" s="270">
        <f>IF(COUNT(AC20:AF20)=4,SUM(AC20:AF20),"")</f>
        <v>2583</v>
      </c>
      <c r="AH20" s="270">
        <f>IFERROR(INDEX('Inputs (2)'!$D$54:$AL$54,MATCH(AH$7&amp;"",'Inputs (2)'!$D$2:$AL$2,0)),"")</f>
        <v>885</v>
      </c>
      <c r="AI20" s="270">
        <f>IFERROR(INDEX('Inputs (2)'!$D$54:$AL$54,MATCH(AI$7&amp;"",'Inputs (2)'!$D$2:$AL$2,0)),"")</f>
        <v>1007</v>
      </c>
    </row>
    <row r="21">
      <c r="C21" s="271" t="inlineStr">
        <is>
          <t xml:space="preserve">   Reality Labs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534</v>
      </c>
      <c r="J21" s="269">
        <f>IFERROR(INDEX('Inputs (2)'!$D$55:$AL$55,MATCH(J$7&amp;"",'Inputs (2)'!$D$2:$AL$2,0)),"")</f>
        <v>305</v>
      </c>
      <c r="K21" s="269">
        <f>IFERROR(INDEX('Inputs (2)'!$D$55:$AL$55,MATCH(K$7&amp;"",'Inputs (2)'!$D$2:$AL$2,0)),"")</f>
        <v>558</v>
      </c>
      <c r="L21" s="269">
        <f>IFERROR(INDEX('Inputs (2)'!$D$55:$AL$55,MATCH(L$7&amp;"",'Inputs (2)'!$D$2:$AL$2,0)),"")</f>
        <v>877</v>
      </c>
      <c r="M21" s="270">
        <f>IF(COUNT(I21:L21)=4,SUM(I21:L21),"")</f>
        <v>2274</v>
      </c>
      <c r="N21" s="269">
        <f>IFERROR(INDEX('Inputs (2)'!$D$55:$AL$55,MATCH(N$7&amp;"",'Inputs (2)'!$D$2:$AL$2,0)),"")</f>
        <v>695</v>
      </c>
      <c r="O21" s="269">
        <f>IFERROR(INDEX('Inputs (2)'!$D$55:$AL$55,MATCH(O$7&amp;"",'Inputs (2)'!$D$2:$AL$2,0)),"")</f>
        <v>452</v>
      </c>
      <c r="P21" s="269">
        <f>IFERROR(INDEX('Inputs (2)'!$D$55:$AL$55,MATCH(P$7&amp;"",'Inputs (2)'!$D$2:$AL$2,0)),"")</f>
        <v>285</v>
      </c>
      <c r="Q21" s="269">
        <f>IFERROR(INDEX('Inputs (2)'!$D$55:$AL$55,MATCH(Q$7&amp;"",'Inputs (2)'!$D$2:$AL$2,0)),"")</f>
        <v>726</v>
      </c>
      <c r="R21" s="270">
        <f>IF(COUNT(N21:Q21)=4,SUM(N21:Q21),"")</f>
        <v>2158</v>
      </c>
      <c r="S21" s="269">
        <f>IFERROR(INDEX('Inputs (2)'!$D$55:$AL$55,MATCH(S$7&amp;"",'Inputs (2)'!$D$2:$AL$2,0)),"")</f>
        <v>339</v>
      </c>
      <c r="T21" s="269">
        <f>IFERROR(INDEX('Inputs (2)'!$D$55:$AL$55,MATCH(T$7&amp;"",'Inputs (2)'!$D$2:$AL$2,0)),"")</f>
        <v>276</v>
      </c>
      <c r="U21" s="269">
        <f>IFERROR(INDEX('Inputs (2)'!$D$55:$AL$55,MATCH(U$7&amp;"",'Inputs (2)'!$D$2:$AL$2,0)),"")</f>
        <v>210</v>
      </c>
      <c r="V21" s="269">
        <f>IFERROR(INDEX('Inputs (2)'!$D$55:$AL$55,MATCH(V$7&amp;"",'Inputs (2)'!$D$2:$AL$2,0)),"")</f>
        <v>1071</v>
      </c>
      <c r="W21" s="270">
        <f>IF(COUNT(S21:V21)=4,SUM(S21:V21),"")</f>
        <v>1896</v>
      </c>
      <c r="X21" s="269">
        <f>IFERROR(INDEX('Inputs (2)'!$D$55:$AL$55,MATCH(X$7&amp;"",'Inputs (2)'!$D$2:$AL$2,0)),"")</f>
        <v>440</v>
      </c>
      <c r="Y21" s="269">
        <f>IFERROR(INDEX('Inputs (2)'!$D$55:$AL$55,MATCH(Y$7&amp;"",'Inputs (2)'!$D$2:$AL$2,0)),"")</f>
        <v>353</v>
      </c>
      <c r="Z21" s="269">
        <f>IFERROR(INDEX('Inputs (2)'!$D$55:$AL$55,MATCH(Z$7&amp;"",'Inputs (2)'!$D$2:$AL$2,0)),"")</f>
        <v>270</v>
      </c>
      <c r="AA21" s="269">
        <f>IFERROR(INDEX('Inputs (2)'!$D$55:$AL$55,MATCH(AA$7&amp;"",'Inputs (2)'!$D$2:$AL$2,0)),"")</f>
        <v>1083</v>
      </c>
      <c r="AB21" s="270">
        <f>IF(COUNT(X21:AA21)=4,SUM(X21:AA21),"")</f>
        <v>2146</v>
      </c>
      <c r="AC21" s="269">
        <f>IFERROR(INDEX('Inputs (2)'!$D$55:$AL$55,MATCH(AC$7&amp;"",'Inputs (2)'!$D$2:$AL$2,0)),"")</f>
        <v>412</v>
      </c>
      <c r="AD21" s="269">
        <f>IFERROR(INDEX('Inputs (2)'!$D$55:$AL$55,MATCH(AD$7&amp;"",'Inputs (2)'!$D$2:$AL$2,0)),"")</f>
        <v>370</v>
      </c>
      <c r="AE21" s="269">
        <f>IFERROR(INDEX('Inputs (2)'!$D$55:$AL$55,MATCH(AE$7&amp;"",'Inputs (2)'!$D$2:$AL$2,0)),"")</f>
        <v>470</v>
      </c>
      <c r="AF21" s="269">
        <f>IFERROR(INDEX('Inputs (2)'!$D$55:$AL$55,MATCH(AF$7&amp;"",'Inputs (2)'!$D$2:$AL$2,0)),"")</f>
        <v>955</v>
      </c>
      <c r="AG21" s="270">
        <f>IF(COUNT(AC21:AF21)=4,SUM(AC21:AF21),"")</f>
        <v>2207</v>
      </c>
      <c r="AH21" s="270">
        <f>IFERROR(INDEX('Inputs (2)'!$D$55:$AL$55,MATCH(AH$7&amp;"",'Inputs (2)'!$D$2:$AL$2,0)),"")</f>
        <v>402</v>
      </c>
      <c r="AI21" s="270">
        <f>IFERROR(INDEX('Inputs (2)'!$D$55:$AL$55,MATCH(AI$7&amp;"",'Inputs (2)'!$D$2:$AL$2,0)),"")</f>
        <v>431</v>
      </c>
    </row>
    <row r="22">
      <c r="C22" s="268" t="inlineStr">
        <is>
          <t>Receita (soma)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26171</v>
      </c>
      <c r="J22" s="269">
        <f>IF(COUNT(J19,J20,J21)=0,"",N(J19)+N(J20)+N(J21))</f>
        <v>29077</v>
      </c>
      <c r="K22" s="269">
        <f>IF(COUNT(K19,K20,K21)=0,"",N(K19)+N(K20)+N(K21))</f>
        <v>29010</v>
      </c>
      <c r="L22" s="269">
        <f>IF(COUNT(L19,L20,L21)=0,"",N(L19)+N(L20)+N(L21))</f>
        <v>33671</v>
      </c>
      <c r="M22" s="270">
        <f>IF(COUNT(M19,M20,M21)=0,"",N(M19)+N(M20)+N(M21))</f>
        <v>117929</v>
      </c>
      <c r="N22" s="269">
        <f>IF(COUNT(N19,N20,N21)=0,"",N(N19)+N(N20)+N(N21))</f>
        <v>27908</v>
      </c>
      <c r="O22" s="269">
        <f>IF(COUNT(O19,O20,O21)=0,"",N(O19)+N(O20)+N(O21))</f>
        <v>28822</v>
      </c>
      <c r="P22" s="269">
        <f>IF(COUNT(P19,P20,P21)=0,"",N(P19)+N(P20)+N(P21))</f>
        <v>27714</v>
      </c>
      <c r="Q22" s="269">
        <f>IF(COUNT(Q19,Q20,Q21)=0,"",N(Q19)+N(Q20)+N(Q21))</f>
        <v>32165</v>
      </c>
      <c r="R22" s="270">
        <f>IF(COUNT(R19,R20,R21)=0,"",N(R19)+N(R20)+N(R21))</f>
        <v>116609</v>
      </c>
      <c r="S22" s="269">
        <f>IF(COUNT(S19,S20,S21)=0,"",N(S19)+N(S20)+N(S21))</f>
        <v>28645</v>
      </c>
      <c r="T22" s="269">
        <f>IF(COUNT(T19,T20,T21)=0,"",N(T19)+N(T20)+N(T21))</f>
        <v>31999</v>
      </c>
      <c r="U22" s="269">
        <f>IF(COUNT(U19,U20,U21)=0,"",N(U19)+N(U20)+N(U21))</f>
        <v>34146</v>
      </c>
      <c r="V22" s="269">
        <f>IF(COUNT(V19,V20,V21)=0,"",N(V19)+N(V20)+N(V21))</f>
        <v>40111</v>
      </c>
      <c r="W22" s="270">
        <f>IF(COUNT(W19,W20,W21)=0,"",N(W19)+N(W20)+N(W21))</f>
        <v>134901</v>
      </c>
      <c r="X22" s="269">
        <f>IF(COUNT(X19,X20,X21)=0,"",N(X19)+N(X20)+N(X21))</f>
        <v>36455</v>
      </c>
      <c r="Y22" s="269">
        <f>IF(COUNT(Y19,Y20,Y21)=0,"",N(Y19)+N(Y20)+N(Y21))</f>
        <v>39071</v>
      </c>
      <c r="Z22" s="269">
        <f>IF(COUNT(Z19,Z20,Z21)=0,"",N(Z19)+N(Z20)+N(Z21))</f>
        <v>40589</v>
      </c>
      <c r="AA22" s="269">
        <f>IF(COUNT(AA19,AA20,AA21)=0,"",N(AA19)+N(AA20)+N(AA21))</f>
        <v>48385</v>
      </c>
      <c r="AB22" s="270">
        <f>IF(COUNT(AB19,AB20,AB21)=0,"",N(AB19)+N(AB20)+N(AB21))</f>
        <v>164500</v>
      </c>
      <c r="AC22" s="269">
        <f>IF(COUNT(AC19,AC20,AC21)=0,"",N(AC19)+N(AC20)+N(AC21))</f>
        <v>42314</v>
      </c>
      <c r="AD22" s="269">
        <f>IF(COUNT(AD19,AD20,AD21)=0,"",N(AD19)+N(AD20)+N(AD21))</f>
        <v>47516</v>
      </c>
      <c r="AE22" s="269">
        <f>IF(COUNT(AE19,AE20,AE21)=0,"",N(AE19)+N(AE20)+N(AE21))</f>
        <v>51242</v>
      </c>
      <c r="AF22" s="269">
        <f>IF(COUNT(AF19,AF20,AF21)=0,"",N(AF19)+N(AF20)+N(AF21))</f>
        <v>59893</v>
      </c>
      <c r="AG22" s="270">
        <f>IF(COUNT(AG19,AG20,AG21)=0,"",N(AG19)+N(AG20)+N(AG21))</f>
        <v>200965</v>
      </c>
      <c r="AH22" s="270">
        <f>IF(COUNT(AH19,AH20,AH21)=0,"",N(AH19)+N(AH20)+N(AH21))</f>
        <v>56311</v>
      </c>
      <c r="AI22" s="270">
        <f>IF(COUNT(AI19,AI20,AI21)=0,"",N(AI19)+N(AI20)+N(AI21))</f>
        <v>60801</v>
      </c>
    </row>
    <row r="23">
      <c r="C23" s="271" t="inlineStr">
        <is>
          <t>Check vs Net Revenues (linha 15)</t>
        </is>
      </c>
      <c r="D23" s="269" t="str">
        <f>IF(COUNT(D22)=0,"",ROUND(D15-D22,1))</f>
        <v/>
      </c>
      <c r="E23" s="269" t="str">
        <f>IF(COUNT(E22)=0,"",ROUND(E15-E22,1))</f>
        <v/>
      </c>
      <c r="F23" s="269" t="str">
        <f>IF(COUNT(F22)=0,"",ROUND(F15-F22,1))</f>
        <v/>
      </c>
      <c r="G23" s="269" t="str">
        <f>IF(COUNT(G22)=0,"",ROUND(G15-G22,1))</f>
        <v/>
      </c>
      <c r="H23" s="270" t="str">
        <f>IF(COUNT(H22)=0,"",ROUND(H15-H22,1))</f>
        <v/>
      </c>
      <c r="I23" s="269">
        <f>IF(COUNT(I22)=0,"",ROUND(I15-I22,1))</f>
        <v>0</v>
      </c>
      <c r="J23" s="269">
        <f>IF(COUNT(J22)=0,"",ROUND(J15-J22,1))</f>
        <v>0</v>
      </c>
      <c r="K23" s="269">
        <f>IF(COUNT(K22)=0,"",ROUND(K15-K22,1))</f>
        <v>0</v>
      </c>
      <c r="L23" s="269">
        <f>IF(COUNT(L22)=0,"",ROUND(L15-L22,1))</f>
        <v>0</v>
      </c>
      <c r="M23" s="270">
        <f>IF(COUNT(M22)=0,"",ROUND(M15-M22,1))</f>
        <v>0</v>
      </c>
      <c r="N23" s="269">
        <f>IF(COUNT(N22)=0,"",ROUND(N15-N22,1))</f>
        <v>0</v>
      </c>
      <c r="O23" s="269">
        <f>IF(COUNT(O22)=0,"",ROUND(O15-O22,1))</f>
        <v>0</v>
      </c>
      <c r="P23" s="269">
        <f>IF(COUNT(P22)=0,"",ROUND(P15-P22,1))</f>
        <v>0</v>
      </c>
      <c r="Q23" s="269">
        <f>IF(COUNT(Q22)=0,"",ROUND(Q15-Q22,1))</f>
        <v>0</v>
      </c>
      <c r="R23" s="270">
        <f>IF(COUNT(R22)=0,"",ROUND(R15-R22,1))</f>
        <v>0</v>
      </c>
      <c r="S23" s="269">
        <f>IF(COUNT(S22)=0,"",ROUND(S15-S22,1))</f>
        <v>0</v>
      </c>
      <c r="T23" s="269">
        <f>IF(COUNT(T22)=0,"",ROUND(T15-T22,1))</f>
        <v>0</v>
      </c>
      <c r="U23" s="269">
        <f>IF(COUNT(U22)=0,"",ROUND(U15-U22,1))</f>
        <v>0</v>
      </c>
      <c r="V23" s="269">
        <f>IF(COUNT(V22)=0,"",ROUND(V15-V22,1))</f>
        <v>0</v>
      </c>
      <c r="W23" s="270">
        <f>IF(COUNT(W22)=0,"",ROUND(W15-W22,1))</f>
        <v>0</v>
      </c>
      <c r="X23" s="269">
        <f>IF(COUNT(X22)=0,"",ROUND(X15-X22,1))</f>
        <v>0</v>
      </c>
      <c r="Y23" s="269">
        <f>IF(COUNT(Y22)=0,"",ROUND(Y15-Y22,1))</f>
        <v>0</v>
      </c>
      <c r="Z23" s="269">
        <f>IF(COUNT(Z22)=0,"",ROUND(Z15-Z22,1))</f>
        <v>0</v>
      </c>
      <c r="AA23" s="269">
        <f>IF(COUNT(AA22)=0,"",ROUND(AA15-AA22,1))</f>
        <v>0</v>
      </c>
      <c r="AB23" s="270">
        <f>IF(COUNT(AB22)=0,"",ROUND(AB15-AB22,1))</f>
        <v>0</v>
      </c>
      <c r="AC23" s="269">
        <f>IF(COUNT(AC22)=0,"",ROUND(AC15-AC22,1))</f>
        <v>0</v>
      </c>
      <c r="AD23" s="269">
        <f>IF(COUNT(AD22)=0,"",ROUND(AD15-AD22,1))</f>
        <v>0</v>
      </c>
      <c r="AE23" s="269">
        <f>IF(COUNT(AE22)=0,"",ROUND(AE15-AE22,1))</f>
        <v>0</v>
      </c>
      <c r="AF23" s="269">
        <f>IF(COUNT(AF22)=0,"",ROUND(AF15-AF22,1))</f>
        <v>0</v>
      </c>
      <c r="AG23" s="270">
        <f>IF(COUNT(AG22)=0,"",ROUND(AG15-AG22,1))</f>
        <v>0</v>
      </c>
      <c r="AH23" s="270">
        <f>IF(COUNT(AH22)=0,"",ROUND(AH15-AH22,1))</f>
        <v>0</v>
      </c>
      <c r="AI23" s="270">
        <f>IF(COUNT(AI22)=0,"",ROUND(AI15-AI22,1))</f>
        <v>0</v>
      </c>
    </row>
    <row r="24">
      <c r="C24" s="271" t="inlineStr">
        <is>
          <t xml:space="preserve">   % YoY publicidade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IFERROR(I19/D19-1,"")</f>
        <v/>
      </c>
      <c r="J24" s="272" t="str">
        <f>IFERROR(J19/E19-1,"")</f>
        <v/>
      </c>
      <c r="K24" s="272" t="str">
        <f>IFERROR(K19/F19-1,"")</f>
        <v/>
      </c>
      <c r="L24" s="272" t="str">
        <f>IFERROR(L19/G19-1,"")</f>
        <v/>
      </c>
      <c r="M24" s="273" t="str">
        <f>IFERROR(M19/H19-1,"")</f>
        <v/>
      </c>
      <c r="N24" s="272">
        <f>IFERROR(N19/I19-1,"")</f>
        <v>0.0612838554974646</v>
      </c>
      <c r="O24" s="272">
        <f>IFERROR(O19/J19-1,"")</f>
        <v>-0.0149755073477956</v>
      </c>
      <c r="P24" s="272">
        <f>IFERROR(P19/K19-1,"")</f>
        <v>-0.0367449427075965</v>
      </c>
      <c r="Q24" s="272">
        <f>IFERROR(Q19/L19-1,"")</f>
        <v>-0.0424325980392157</v>
      </c>
      <c r="R24" s="273">
        <f>IFERROR(R19/M19-1,"")</f>
        <v>-0.0112498368643146</v>
      </c>
      <c r="S24" s="272">
        <f>IFERROR(S19/N19-1,"")</f>
        <v>0.0408548781391214</v>
      </c>
      <c r="T24" s="272">
        <f>IFERROR(T19/O19-1,"")</f>
        <v>0.118854788292128</v>
      </c>
      <c r="U24" s="272">
        <f>IFERROR(U19/P19-1,"")</f>
        <v>0.235194771817748</v>
      </c>
      <c r="V24" s="272">
        <f>IFERROR(V19/Q19-1,"")</f>
        <v>0.238393856982883</v>
      </c>
      <c r="W24" s="273">
        <f>IFERROR(W19/R19-1,"")</f>
        <v>0.161084810193414</v>
      </c>
      <c r="X24" s="272">
        <f>IFERROR(X19/S19-1,"")</f>
        <v>0.268104337923917</v>
      </c>
      <c r="Y24" s="272">
        <f>IFERROR(Y19/T19-1,"")</f>
        <v>0.216870912438885</v>
      </c>
      <c r="Z24" s="272">
        <f>IFERROR(Z19/U19-1,"")</f>
        <v>0.185536367149184</v>
      </c>
      <c r="AA24" s="272">
        <f>IFERROR(AA19/V19-1,"")</f>
        <v>0.208675657520798</v>
      </c>
      <c r="AB24" s="273">
        <f>IFERROR(AB19/W19-1,"")</f>
        <v>0.217388668263255</v>
      </c>
      <c r="AC24" s="272">
        <f>IFERROR(AC19/X19-1,"")</f>
        <v>0.161554651325944</v>
      </c>
      <c r="AD24" s="272">
        <f>IFERROR(AD19/Y19-1,"")</f>
        <v>0.214824284484333</v>
      </c>
      <c r="AE24" s="272">
        <f>IFERROR(AE19/Z19-1,"")</f>
        <v>0.255660022564874</v>
      </c>
      <c r="AF24" s="272">
        <f>IFERROR(AF19/AA19-1,"")</f>
        <v>0.242716371331467</v>
      </c>
      <c r="AG24" s="273">
        <f>IFERROR(AG19/AB19-1,"")</f>
        <v>0.221269734548533</v>
      </c>
      <c r="AH24" s="273">
        <f>IFERROR(AH19/AC19-1,"")</f>
        <v>0.329339002705837</v>
      </c>
      <c r="AI24" s="273">
        <f>IFERROR(AI19/AD19-1,"")</f>
        <v>0.274896376951657</v>
      </c>
    </row>
    <row r="25">
      <c r="C25" s="271" t="inlineStr">
        <is>
          <t xml:space="preserve">   % publicidade na receita</t>
        </is>
      </c>
      <c r="D25" s="272" t="str">
        <f>IFERROR(D19/D22,"")</f>
        <v/>
      </c>
      <c r="E25" s="272" t="str">
        <f>IFERROR(E19/E22,"")</f>
        <v/>
      </c>
      <c r="F25" s="272" t="str">
        <f>IFERROR(F19/F22,"")</f>
        <v/>
      </c>
      <c r="G25" s="272" t="str">
        <f>IFERROR(G19/G22,"")</f>
        <v/>
      </c>
      <c r="H25" s="273" t="str">
        <f>IFERROR(H19/H22,"")</f>
        <v/>
      </c>
      <c r="I25" s="272">
        <f>IFERROR(I19/I22,"")</f>
        <v>0.972030109663368</v>
      </c>
      <c r="J25" s="272">
        <f>IFERROR(J19/J22,"")</f>
        <v>0.982907452625787</v>
      </c>
      <c r="K25" s="272">
        <f>IFERROR(K19/K22,"")</f>
        <v>0.974698379869011</v>
      </c>
      <c r="L25" s="272">
        <f>IFERROR(L19/L22,"")</f>
        <v>0.969380178788869</v>
      </c>
      <c r="M25" s="273">
        <f>IFERROR(M19/M22,"")</f>
        <v>0.974611842718924</v>
      </c>
      <c r="N25" s="272">
        <f>IFERROR(N19/N22,"")</f>
        <v>0.967392862261717</v>
      </c>
      <c r="O25" s="272">
        <f>IFERROR(O19/O22,"")</f>
        <v>0.976753868572618</v>
      </c>
      <c r="P25" s="272">
        <f>IFERROR(P19/P22,"")</f>
        <v>0.982788482355488</v>
      </c>
      <c r="Q25" s="272">
        <f>IFERROR(Q19/Q22,"")</f>
        <v>0.97170837867247</v>
      </c>
      <c r="R25" s="273">
        <f>IFERROR(R19/R22,"")</f>
        <v>0.974555994820297</v>
      </c>
      <c r="S25" s="272">
        <f>IFERROR(S19/S22,"")</f>
        <v>0.981008902077151</v>
      </c>
      <c r="T25" s="272">
        <f>IFERROR(T19/T22,"")</f>
        <v>0.984343260726898</v>
      </c>
      <c r="U25" s="272">
        <f>IFERROR(U19/U22,"")</f>
        <v>0.98526913840567</v>
      </c>
      <c r="V25" s="272">
        <f>IFERROR(V19/V22,"")</f>
        <v>0.964972202139064</v>
      </c>
      <c r="W25" s="273">
        <f>IFERROR(W19/W22,"")</f>
        <v>0.978109873166248</v>
      </c>
      <c r="X25" s="272">
        <f>IFERROR(X19/X22,"")</f>
        <v>0.977506514881361</v>
      </c>
      <c r="Y25" s="272">
        <f>IFERROR(Y19/Y22,"")</f>
        <v>0.981008932456298</v>
      </c>
      <c r="Z25" s="272">
        <f>IFERROR(Z19/Z22,"")</f>
        <v>0.982655399246101</v>
      </c>
      <c r="AA25" s="272">
        <f>IFERROR(AA19/AA22,"")</f>
        <v>0.966890565257828</v>
      </c>
      <c r="AB25" s="273">
        <f>IFERROR(AB19/AB22,"")</f>
        <v>0.97648632218845</v>
      </c>
      <c r="AC25" s="272">
        <f>IFERROR(AC19/AC22,"")</f>
        <v>0.978210521340455</v>
      </c>
      <c r="AD25" s="272">
        <f>IFERROR(AD19/AD22,"")</f>
        <v>0.979943597945955</v>
      </c>
      <c r="AE25" s="272">
        <f>IFERROR(AE19/AE22,"")</f>
        <v>0.977362319971898</v>
      </c>
      <c r="AF25" s="272">
        <f>IFERROR(AF19/AF22,"")</f>
        <v>0.970697744310687</v>
      </c>
      <c r="AG25" s="273">
        <f>IFERROR(AG19/AG22,"")</f>
        <v>0.976165003856393</v>
      </c>
      <c r="AH25" s="273">
        <f>IFERROR(AH19/AH22,"")</f>
        <v>0.977144785210705</v>
      </c>
      <c r="AI25" s="273">
        <f>IFERROR(AI19/AI22,"")</f>
        <v>0.976349073206033</v>
      </c>
    </row>
    <row r="26"/>
    <row r="27">
      <c r="C27" s="267" t="inlineStr">
        <is>
          <t>Segmentos (USD milhões; a partir do 4T20)</t>
        </is>
      </c>
      <c r="D27" s="267">
        <f>D7</f>
        <v>0</v>
      </c>
      <c r="E27" s="267">
        <f>E7</f>
        <v>0</v>
      </c>
      <c r="F27" s="267">
        <f>F7</f>
        <v>0</v>
      </c>
      <c r="G27" s="267">
        <f>G7</f>
        <v>0</v>
      </c>
      <c r="H27" s="267">
        <f>H7</f>
        <v>2020</v>
      </c>
      <c r="I27" s="267" t="str">
        <f>I7</f>
        <v>1Q21</v>
      </c>
      <c r="J27" s="267" t="str">
        <f>J7</f>
        <v>2Q21</v>
      </c>
      <c r="K27" s="267" t="str">
        <f>K7</f>
        <v>3Q21</v>
      </c>
      <c r="L27" s="267" t="str">
        <f>L7</f>
        <v>4Q21</v>
      </c>
      <c r="M27" s="267">
        <f>M7</f>
        <v>2021</v>
      </c>
      <c r="N27" s="267" t="str">
        <f>N7</f>
        <v>1Q22</v>
      </c>
      <c r="O27" s="267" t="str">
        <f>O7</f>
        <v>2Q22</v>
      </c>
      <c r="P27" s="267" t="str">
        <f>P7</f>
        <v>3Q22</v>
      </c>
      <c r="Q27" s="267" t="str">
        <f>Q7</f>
        <v>4Q22</v>
      </c>
      <c r="R27" s="267">
        <f>R7</f>
        <v>2022</v>
      </c>
      <c r="S27" s="267" t="str">
        <f>S7</f>
        <v>1Q23</v>
      </c>
      <c r="T27" s="267" t="str">
        <f>T7</f>
        <v>2Q23</v>
      </c>
      <c r="U27" s="267" t="str">
        <f>U7</f>
        <v>3Q23</v>
      </c>
      <c r="V27" s="267" t="str">
        <f>V7</f>
        <v>4Q23</v>
      </c>
      <c r="W27" s="267">
        <f>W7</f>
        <v>2023</v>
      </c>
      <c r="X27" s="267" t="str">
        <f>X7</f>
        <v>1Q24</v>
      </c>
      <c r="Y27" s="267" t="str">
        <f>Y7</f>
        <v>2Q24</v>
      </c>
      <c r="Z27" s="267" t="str">
        <f>Z7</f>
        <v>3Q24</v>
      </c>
      <c r="AA27" s="267" t="str">
        <f>AA7</f>
        <v>4Q24</v>
      </c>
      <c r="AB27" s="267">
        <f>AB7</f>
        <v>2024</v>
      </c>
      <c r="AC27" s="267" t="str">
        <f>AC7</f>
        <v>1Q25</v>
      </c>
      <c r="AD27" s="267" t="str">
        <f>AD7</f>
        <v>2Q25</v>
      </c>
      <c r="AE27" s="267" t="str">
        <f>AE7</f>
        <v>3Q25</v>
      </c>
      <c r="AF27" s="267" t="str">
        <f>AF7</f>
        <v>4Q25</v>
      </c>
      <c r="AG27" s="267">
        <f>AG7</f>
        <v>2025</v>
      </c>
      <c r="AH27" s="267" t="str">
        <f>AH7</f>
        <v>1Q26</v>
      </c>
      <c r="AI27" s="267" t="str">
        <f>AI7</f>
        <v>2Q26</v>
      </c>
    </row>
    <row r="28">
      <c r="C28" s="271" t="inlineStr">
        <is>
          <t xml:space="preserve">   Receita Family of Apps</t>
        </is>
      </c>
      <c r="D28" s="269" t="str">
        <f>IFERROR(INDEX('Inputs (2)'!$D$56:$AL$56,MATCH(D$7&amp;"",'Inputs (2)'!$D$2:$AL$2,0)),"")</f>
        <v/>
      </c>
      <c r="E28" s="269" t="str">
        <f>IFERROR(INDEX('Inputs (2)'!$D$56:$AL$56,MATCH(E$7&amp;"",'Inputs (2)'!$D$2:$AL$2,0)),"")</f>
        <v/>
      </c>
      <c r="F28" s="269" t="str">
        <f>IFERROR(INDEX('Inputs (2)'!$D$56:$AL$56,MATCH(F$7&amp;"",'Inputs (2)'!$D$2:$AL$2,0)),"")</f>
        <v/>
      </c>
      <c r="G28" s="269" t="str">
        <f>IFERROR(INDEX('Inputs (2)'!$D$56:$AL$56,MATCH(G$7&amp;"",'Inputs (2)'!$D$2:$AL$2,0)),"")</f>
        <v/>
      </c>
      <c r="H28" s="270" t="str">
        <f>IF(COUNT(D28:G28)=4,SUM(D28:G28),"")</f>
        <v/>
      </c>
      <c r="I28" s="269">
        <f>IFERROR(INDEX('Inputs (2)'!$D$56:$AL$56,MATCH(I$7&amp;"",'Inputs (2)'!$D$2:$AL$2,0)),"")</f>
        <v>25637</v>
      </c>
      <c r="J28" s="269">
        <f>IFERROR(INDEX('Inputs (2)'!$D$56:$AL$56,MATCH(J$7&amp;"",'Inputs (2)'!$D$2:$AL$2,0)),"")</f>
        <v>28772</v>
      </c>
      <c r="K28" s="269">
        <f>IFERROR(INDEX('Inputs (2)'!$D$56:$AL$56,MATCH(K$7&amp;"",'Inputs (2)'!$D$2:$AL$2,0)),"")</f>
        <v>28452</v>
      </c>
      <c r="L28" s="269">
        <f>IFERROR(INDEX('Inputs (2)'!$D$56:$AL$56,MATCH(L$7&amp;"",'Inputs (2)'!$D$2:$AL$2,0)),"")</f>
        <v>32794</v>
      </c>
      <c r="M28" s="270">
        <f>IF(COUNT(I28:L28)=4,SUM(I28:L28),"")</f>
        <v>115655</v>
      </c>
      <c r="N28" s="269">
        <f>IFERROR(INDEX('Inputs (2)'!$D$56:$AL$56,MATCH(N$7&amp;"",'Inputs (2)'!$D$2:$AL$2,0)),"")</f>
        <v>27213</v>
      </c>
      <c r="O28" s="269">
        <f>IFERROR(INDEX('Inputs (2)'!$D$56:$AL$56,MATCH(O$7&amp;"",'Inputs (2)'!$D$2:$AL$2,0)),"")</f>
        <v>28370</v>
      </c>
      <c r="P28" s="269">
        <f>IFERROR(INDEX('Inputs (2)'!$D$56:$AL$56,MATCH(P$7&amp;"",'Inputs (2)'!$D$2:$AL$2,0)),"")</f>
        <v>27429</v>
      </c>
      <c r="Q28" s="269">
        <f>IFERROR(INDEX('Inputs (2)'!$D$56:$AL$56,MATCH(Q$7&amp;"",'Inputs (2)'!$D$2:$AL$2,0)),"")</f>
        <v>31439</v>
      </c>
      <c r="R28" s="270">
        <f>IF(COUNT(N28:Q28)=4,SUM(N28:Q28),"")</f>
        <v>114451</v>
      </c>
      <c r="S28" s="269">
        <f>IFERROR(INDEX('Inputs (2)'!$D$56:$AL$56,MATCH(S$7&amp;"",'Inputs (2)'!$D$2:$AL$2,0)),"")</f>
        <v>28306</v>
      </c>
      <c r="T28" s="269">
        <f>IFERROR(INDEX('Inputs (2)'!$D$56:$AL$56,MATCH(T$7&amp;"",'Inputs (2)'!$D$2:$AL$2,0)),"")</f>
        <v>31723</v>
      </c>
      <c r="U28" s="269">
        <f>IFERROR(INDEX('Inputs (2)'!$D$56:$AL$56,MATCH(U$7&amp;"",'Inputs (2)'!$D$2:$AL$2,0)),"")</f>
        <v>33936</v>
      </c>
      <c r="V28" s="269">
        <f>IFERROR(INDEX('Inputs (2)'!$D$56:$AL$56,MATCH(V$7&amp;"",'Inputs (2)'!$D$2:$AL$2,0)),"")</f>
        <v>39040</v>
      </c>
      <c r="W28" s="270">
        <f>IF(COUNT(S28:V28)=4,SUM(S28:V28),"")</f>
        <v>133005</v>
      </c>
      <c r="X28" s="269">
        <f>IFERROR(INDEX('Inputs (2)'!$D$56:$AL$56,MATCH(X$7&amp;"",'Inputs (2)'!$D$2:$AL$2,0)),"")</f>
        <v>36015</v>
      </c>
      <c r="Y28" s="269">
        <f>IFERROR(INDEX('Inputs (2)'!$D$56:$AL$56,MATCH(Y$7&amp;"",'Inputs (2)'!$D$2:$AL$2,0)),"")</f>
        <v>38718</v>
      </c>
      <c r="Z28" s="269">
        <f>IFERROR(INDEX('Inputs (2)'!$D$56:$AL$56,MATCH(Z$7&amp;"",'Inputs (2)'!$D$2:$AL$2,0)),"")</f>
        <v>40319</v>
      </c>
      <c r="AA28" s="269">
        <f>IFERROR(INDEX('Inputs (2)'!$D$56:$AL$56,MATCH(AA$7&amp;"",'Inputs (2)'!$D$2:$AL$2,0)),"")</f>
        <v>47302</v>
      </c>
      <c r="AB28" s="270">
        <f>IF(COUNT(X28:AA28)=4,SUM(X28:AA28),"")</f>
        <v>162354</v>
      </c>
      <c r="AC28" s="269">
        <f>IFERROR(INDEX('Inputs (2)'!$D$56:$AL$56,MATCH(AC$7&amp;"",'Inputs (2)'!$D$2:$AL$2,0)),"")</f>
        <v>41902</v>
      </c>
      <c r="AD28" s="269">
        <f>IFERROR(INDEX('Inputs (2)'!$D$56:$AL$56,MATCH(AD$7&amp;"",'Inputs (2)'!$D$2:$AL$2,0)),"")</f>
        <v>47146</v>
      </c>
      <c r="AE28" s="269">
        <f>IFERROR(INDEX('Inputs (2)'!$D$56:$AL$56,MATCH(AE$7&amp;"",'Inputs (2)'!$D$2:$AL$2,0)),"")</f>
        <v>50772</v>
      </c>
      <c r="AF28" s="269">
        <f>IFERROR(INDEX('Inputs (2)'!$D$56:$AL$56,MATCH(AF$7&amp;"",'Inputs (2)'!$D$2:$AL$2,0)),"")</f>
        <v>58938</v>
      </c>
      <c r="AG28" s="270">
        <f>IF(COUNT(AC28:AF28)=4,SUM(AC28:AF28),"")</f>
        <v>198758</v>
      </c>
      <c r="AH28" s="270">
        <f>IFERROR(INDEX('Inputs (2)'!$D$56:$AL$56,MATCH(AH$7&amp;"",'Inputs (2)'!$D$2:$AL$2,0)),"")</f>
        <v>55909</v>
      </c>
      <c r="AI28" s="270">
        <f>IFERROR(INDEX('Inputs (2)'!$D$56:$AL$56,MATCH(AI$7&amp;"",'Inputs (2)'!$D$2:$AL$2,0)),"")</f>
        <v>60370</v>
      </c>
    </row>
    <row r="29">
      <c r="C29" s="271" t="inlineStr">
        <is>
          <t xml:space="preserve">   Lucro operacional Family of Apps</t>
        </is>
      </c>
      <c r="D29" s="269" t="str">
        <f>IFERROR(INDEX('Inputs (2)'!$D$57:$AL$57,MATCH(D$7&amp;"",'Inputs (2)'!$D$2:$AL$2,0)),"")</f>
        <v/>
      </c>
      <c r="E29" s="269" t="str">
        <f>IFERROR(INDEX('Inputs (2)'!$D$57:$AL$57,MATCH(E$7&amp;"",'Inputs (2)'!$D$2:$AL$2,0)),"")</f>
        <v/>
      </c>
      <c r="F29" s="269" t="str">
        <f>IFERROR(INDEX('Inputs (2)'!$D$57:$AL$57,MATCH(F$7&amp;"",'Inputs (2)'!$D$2:$AL$2,0)),"")</f>
        <v/>
      </c>
      <c r="G29" s="269" t="str">
        <f>IFERROR(INDEX('Inputs (2)'!$D$57:$AL$57,MATCH(G$7&amp;"",'Inputs (2)'!$D$2:$AL$2,0)),"")</f>
        <v/>
      </c>
      <c r="H29" s="270" t="str">
        <f>IF(COUNT(D29:G29)=4,SUM(D29:G29),"")</f>
        <v/>
      </c>
      <c r="I29" s="269">
        <f>IFERROR(INDEX('Inputs (2)'!$D$57:$AL$57,MATCH(I$7&amp;"",'Inputs (2)'!$D$2:$AL$2,0)),"")</f>
        <v>13205</v>
      </c>
      <c r="J29" s="269">
        <f>IFERROR(INDEX('Inputs (2)'!$D$57:$AL$57,MATCH(J$7&amp;"",'Inputs (2)'!$D$2:$AL$2,0)),"")</f>
        <v>14799</v>
      </c>
      <c r="K29" s="269">
        <f>IFERROR(INDEX('Inputs (2)'!$D$57:$AL$57,MATCH(K$7&amp;"",'Inputs (2)'!$D$2:$AL$2,0)),"")</f>
        <v>13054</v>
      </c>
      <c r="L29" s="269">
        <f>IFERROR(INDEX('Inputs (2)'!$D$57:$AL$57,MATCH(L$7&amp;"",'Inputs (2)'!$D$2:$AL$2,0)),"")</f>
        <v>15888</v>
      </c>
      <c r="M29" s="270">
        <f>IF(COUNT(I29:L29)=4,SUM(I29:L29),"")</f>
        <v>56946</v>
      </c>
      <c r="N29" s="269">
        <f>IFERROR(INDEX('Inputs (2)'!$D$57:$AL$57,MATCH(N$7&amp;"",'Inputs (2)'!$D$2:$AL$2,0)),"")</f>
        <v>11484</v>
      </c>
      <c r="O29" s="269">
        <f>IFERROR(INDEX('Inputs (2)'!$D$57:$AL$57,MATCH(O$7&amp;"",'Inputs (2)'!$D$2:$AL$2,0)),"")</f>
        <v>11164</v>
      </c>
      <c r="P29" s="269">
        <f>IFERROR(INDEX('Inputs (2)'!$D$57:$AL$57,MATCH(P$7&amp;"",'Inputs (2)'!$D$2:$AL$2,0)),"")</f>
        <v>9336</v>
      </c>
      <c r="Q29" s="269">
        <f>IFERROR(INDEX('Inputs (2)'!$D$57:$AL$57,MATCH(Q$7&amp;"",'Inputs (2)'!$D$2:$AL$2,0)),"")</f>
        <v>10678</v>
      </c>
      <c r="R29" s="270">
        <f>IF(COUNT(N29:Q29)=4,SUM(N29:Q29),"")</f>
        <v>42662</v>
      </c>
      <c r="S29" s="269">
        <f>IFERROR(INDEX('Inputs (2)'!$D$57:$AL$57,MATCH(S$7&amp;"",'Inputs (2)'!$D$2:$AL$2,0)),"")</f>
        <v>11219</v>
      </c>
      <c r="T29" s="269">
        <f>IFERROR(INDEX('Inputs (2)'!$D$57:$AL$57,MATCH(T$7&amp;"",'Inputs (2)'!$D$2:$AL$2,0)),"")</f>
        <v>13131</v>
      </c>
      <c r="U29" s="269">
        <f>IFERROR(INDEX('Inputs (2)'!$D$57:$AL$57,MATCH(U$7&amp;"",'Inputs (2)'!$D$2:$AL$2,0)),"")</f>
        <v>17490</v>
      </c>
      <c r="V29" s="269">
        <f>IFERROR(INDEX('Inputs (2)'!$D$57:$AL$57,MATCH(V$7&amp;"",'Inputs (2)'!$D$2:$AL$2,0)),"")</f>
        <v>21030</v>
      </c>
      <c r="W29" s="270">
        <f>IF(COUNT(S29:V29)=4,SUM(S29:V29),"")</f>
        <v>62870</v>
      </c>
      <c r="X29" s="269">
        <f>IFERROR(INDEX('Inputs (2)'!$D$57:$AL$57,MATCH(X$7&amp;"",'Inputs (2)'!$D$2:$AL$2,0)),"")</f>
        <v>17664</v>
      </c>
      <c r="Y29" s="269">
        <f>IFERROR(INDEX('Inputs (2)'!$D$57:$AL$57,MATCH(Y$7&amp;"",'Inputs (2)'!$D$2:$AL$2,0)),"")</f>
        <v>19335</v>
      </c>
      <c r="Z29" s="269">
        <f>IFERROR(INDEX('Inputs (2)'!$D$57:$AL$57,MATCH(Z$7&amp;"",'Inputs (2)'!$D$2:$AL$2,0)),"")</f>
        <v>21778</v>
      </c>
      <c r="AA29" s="269">
        <f>IFERROR(INDEX('Inputs (2)'!$D$57:$AL$57,MATCH(AA$7&amp;"",'Inputs (2)'!$D$2:$AL$2,0)),"")</f>
        <v>28331</v>
      </c>
      <c r="AB29" s="270">
        <f>IF(COUNT(X29:AA29)=4,SUM(X29:AA29),"")</f>
        <v>87108</v>
      </c>
      <c r="AC29" s="269">
        <f>IFERROR(INDEX('Inputs (2)'!$D$57:$AL$57,MATCH(AC$7&amp;"",'Inputs (2)'!$D$2:$AL$2,0)),"")</f>
        <v>21765</v>
      </c>
      <c r="AD29" s="269">
        <f>IFERROR(INDEX('Inputs (2)'!$D$57:$AL$57,MATCH(AD$7&amp;"",'Inputs (2)'!$D$2:$AL$2,0)),"")</f>
        <v>24971</v>
      </c>
      <c r="AE29" s="269">
        <f>IFERROR(INDEX('Inputs (2)'!$D$57:$AL$57,MATCH(AE$7&amp;"",'Inputs (2)'!$D$2:$AL$2,0)),"")</f>
        <v>24967</v>
      </c>
      <c r="AF29" s="269">
        <f>IFERROR(INDEX('Inputs (2)'!$D$57:$AL$57,MATCH(AF$7&amp;"",'Inputs (2)'!$D$2:$AL$2,0)),"")</f>
        <v>30767</v>
      </c>
      <c r="AG29" s="270">
        <f>IF(COUNT(AC29:AF29)=4,SUM(AC29:AF29),"")</f>
        <v>102470</v>
      </c>
      <c r="AH29" s="270">
        <f>IFERROR(INDEX('Inputs (2)'!$D$57:$AL$57,MATCH(AH$7&amp;"",'Inputs (2)'!$D$2:$AL$2,0)),"")</f>
        <v>26900</v>
      </c>
      <c r="AI29" s="270">
        <f>IFERROR(INDEX('Inputs (2)'!$D$57:$AL$57,MATCH(AI$7&amp;"",'Inputs (2)'!$D$2:$AL$2,0)),"")</f>
        <v>23394</v>
      </c>
    </row>
    <row r="30">
      <c r="C30" s="271" t="inlineStr">
        <is>
          <t xml:space="preserve">   Lucro (prejuízo) operacional Reality Labs</t>
        </is>
      </c>
      <c r="D30" s="269" t="str">
        <f>IFERROR(INDEX('Inputs (2)'!$D$58:$AL$58,MATCH(D$7&amp;"",'Inputs (2)'!$D$2:$AL$2,0)),"")</f>
        <v/>
      </c>
      <c r="E30" s="269" t="str">
        <f>IFERROR(INDEX('Inputs (2)'!$D$58:$AL$58,MATCH(E$7&amp;"",'Inputs (2)'!$D$2:$AL$2,0)),"")</f>
        <v/>
      </c>
      <c r="F30" s="269" t="str">
        <f>IFERROR(INDEX('Inputs (2)'!$D$58:$AL$58,MATCH(F$7&amp;"",'Inputs (2)'!$D$2:$AL$2,0)),"")</f>
        <v/>
      </c>
      <c r="G30" s="269" t="str">
        <f>IFERROR(INDEX('Inputs (2)'!$D$58:$AL$58,MATCH(G$7&amp;"",'Inputs (2)'!$D$2:$AL$2,0)),"")</f>
        <v/>
      </c>
      <c r="H30" s="270" t="str">
        <f>IF(COUNT(D30:G30)=4,SUM(D30:G30),"")</f>
        <v/>
      </c>
      <c r="I30" s="269">
        <f>IFERROR(INDEX('Inputs (2)'!$D$58:$AL$58,MATCH(I$7&amp;"",'Inputs (2)'!$D$2:$AL$2,0)),"")</f>
        <v>-1827</v>
      </c>
      <c r="J30" s="269">
        <f>IFERROR(INDEX('Inputs (2)'!$D$58:$AL$58,MATCH(J$7&amp;"",'Inputs (2)'!$D$2:$AL$2,0)),"")</f>
        <v>-2432</v>
      </c>
      <c r="K30" s="269">
        <f>IFERROR(INDEX('Inputs (2)'!$D$58:$AL$58,MATCH(K$7&amp;"",'Inputs (2)'!$D$2:$AL$2,0)),"")</f>
        <v>-2631</v>
      </c>
      <c r="L30" s="269">
        <f>IFERROR(INDEX('Inputs (2)'!$D$58:$AL$58,MATCH(L$7&amp;"",'Inputs (2)'!$D$2:$AL$2,0)),"")</f>
        <v>-3303</v>
      </c>
      <c r="M30" s="270">
        <f>IF(COUNT(I30:L30)=4,SUM(I30:L30),"")</f>
        <v>-10193</v>
      </c>
      <c r="N30" s="269">
        <f>IFERROR(INDEX('Inputs (2)'!$D$58:$AL$58,MATCH(N$7&amp;"",'Inputs (2)'!$D$2:$AL$2,0)),"")</f>
        <v>-2960</v>
      </c>
      <c r="O30" s="269">
        <f>IFERROR(INDEX('Inputs (2)'!$D$58:$AL$58,MATCH(O$7&amp;"",'Inputs (2)'!$D$2:$AL$2,0)),"")</f>
        <v>-2806</v>
      </c>
      <c r="P30" s="269">
        <f>IFERROR(INDEX('Inputs (2)'!$D$58:$AL$58,MATCH(P$7&amp;"",'Inputs (2)'!$D$2:$AL$2,0)),"")</f>
        <v>-3672</v>
      </c>
      <c r="Q30" s="269">
        <f>IFERROR(INDEX('Inputs (2)'!$D$58:$AL$58,MATCH(Q$7&amp;"",'Inputs (2)'!$D$2:$AL$2,0)),"")</f>
        <v>-4279</v>
      </c>
      <c r="R30" s="270">
        <f>IF(COUNT(N30:Q30)=4,SUM(N30:Q30),"")</f>
        <v>-13717</v>
      </c>
      <c r="S30" s="269">
        <f>IFERROR(INDEX('Inputs (2)'!$D$58:$AL$58,MATCH(S$7&amp;"",'Inputs (2)'!$D$2:$AL$2,0)),"")</f>
        <v>-3992</v>
      </c>
      <c r="T30" s="269">
        <f>IFERROR(INDEX('Inputs (2)'!$D$58:$AL$58,MATCH(T$7&amp;"",'Inputs (2)'!$D$2:$AL$2,0)),"")</f>
        <v>-3739</v>
      </c>
      <c r="U30" s="269">
        <f>IFERROR(INDEX('Inputs (2)'!$D$58:$AL$58,MATCH(U$7&amp;"",'Inputs (2)'!$D$2:$AL$2,0)),"")</f>
        <v>-3742</v>
      </c>
      <c r="V30" s="269">
        <f>IFERROR(INDEX('Inputs (2)'!$D$58:$AL$58,MATCH(V$7&amp;"",'Inputs (2)'!$D$2:$AL$2,0)),"")</f>
        <v>-4646</v>
      </c>
      <c r="W30" s="270">
        <f>IF(COUNT(S30:V30)=4,SUM(S30:V30),"")</f>
        <v>-16119</v>
      </c>
      <c r="X30" s="269">
        <f>IFERROR(INDEX('Inputs (2)'!$D$58:$AL$58,MATCH(X$7&amp;"",'Inputs (2)'!$D$2:$AL$2,0)),"")</f>
        <v>-3846</v>
      </c>
      <c r="Y30" s="269">
        <f>IFERROR(INDEX('Inputs (2)'!$D$58:$AL$58,MATCH(Y$7&amp;"",'Inputs (2)'!$D$2:$AL$2,0)),"")</f>
        <v>-4488</v>
      </c>
      <c r="Z30" s="269">
        <f>IFERROR(INDEX('Inputs (2)'!$D$58:$AL$58,MATCH(Z$7&amp;"",'Inputs (2)'!$D$2:$AL$2,0)),"")</f>
        <v>-4428</v>
      </c>
      <c r="AA30" s="269">
        <f>IFERROR(INDEX('Inputs (2)'!$D$58:$AL$58,MATCH(AA$7&amp;"",'Inputs (2)'!$D$2:$AL$2,0)),"")</f>
        <v>-4967</v>
      </c>
      <c r="AB30" s="270">
        <f>IF(COUNT(X30:AA30)=4,SUM(X30:AA30),"")</f>
        <v>-17729</v>
      </c>
      <c r="AC30" s="269">
        <f>IFERROR(INDEX('Inputs (2)'!$D$58:$AL$58,MATCH(AC$7&amp;"",'Inputs (2)'!$D$2:$AL$2,0)),"")</f>
        <v>-4210</v>
      </c>
      <c r="AD30" s="269">
        <f>IFERROR(INDEX('Inputs (2)'!$D$58:$AL$58,MATCH(AD$7&amp;"",'Inputs (2)'!$D$2:$AL$2,0)),"")</f>
        <v>-4530</v>
      </c>
      <c r="AE30" s="269">
        <f>IFERROR(INDEX('Inputs (2)'!$D$58:$AL$58,MATCH(AE$7&amp;"",'Inputs (2)'!$D$2:$AL$2,0)),"")</f>
        <v>-4432</v>
      </c>
      <c r="AF30" s="269">
        <f>IFERROR(INDEX('Inputs (2)'!$D$58:$AL$58,MATCH(AF$7&amp;"",'Inputs (2)'!$D$2:$AL$2,0)),"")</f>
        <v>-6022</v>
      </c>
      <c r="AG30" s="270">
        <f>IF(COUNT(AC30:AF30)=4,SUM(AC30:AF30),"")</f>
        <v>-19194</v>
      </c>
      <c r="AH30" s="270">
        <f>IFERROR(INDEX('Inputs (2)'!$D$58:$AL$58,MATCH(AH$7&amp;"",'Inputs (2)'!$D$2:$AL$2,0)),"")</f>
        <v>-4028</v>
      </c>
      <c r="AI30" s="270">
        <f>IFERROR(INDEX('Inputs (2)'!$D$58:$AL$58,MATCH(AI$7&amp;"",'Inputs (2)'!$D$2:$AL$2,0)),"")</f>
        <v>-4619</v>
      </c>
    </row>
    <row r="31">
      <c r="C31" s="271" t="inlineStr">
        <is>
          <t xml:space="preserve">   Margem operacional Family of Apps</t>
        </is>
      </c>
      <c r="D31" s="272" t="str">
        <f>IFERROR(D29/D28,"")</f>
        <v/>
      </c>
      <c r="E31" s="272" t="str">
        <f>IFERROR(E29/E28,"")</f>
        <v/>
      </c>
      <c r="F31" s="272" t="str">
        <f>IFERROR(F29/F28,"")</f>
        <v/>
      </c>
      <c r="G31" s="272" t="str">
        <f>IFERROR(G29/G28,"")</f>
        <v/>
      </c>
      <c r="H31" s="273" t="str">
        <f>IFERROR(H29/H28,"")</f>
        <v/>
      </c>
      <c r="I31" s="272">
        <f>IFERROR(I29/I28,"")</f>
        <v>0.515075866911105</v>
      </c>
      <c r="J31" s="272">
        <f>IFERROR(J29/J28,"")</f>
        <v>0.514354233282358</v>
      </c>
      <c r="K31" s="272">
        <f>IFERROR(K29/K28,"")</f>
        <v>0.458807816673696</v>
      </c>
      <c r="L31" s="272">
        <f>IFERROR(L29/L28,"")</f>
        <v>0.484478868085625</v>
      </c>
      <c r="M31" s="273">
        <f>IFERROR(M29/M28,"")</f>
        <v>0.492378193765942</v>
      </c>
      <c r="N31" s="272">
        <f>IFERROR(N29/N28,"")</f>
        <v>0.422004189174292</v>
      </c>
      <c r="O31" s="272">
        <f>IFERROR(O29/O28,"")</f>
        <v>0.393514275643285</v>
      </c>
      <c r="P31" s="272">
        <f>IFERROR(P29/P28,"")</f>
        <v>0.340369681723723</v>
      </c>
      <c r="Q31" s="272">
        <f>IFERROR(Q29/Q28,"")</f>
        <v>0.339641846114698</v>
      </c>
      <c r="R31" s="273">
        <f>IFERROR(R29/R28,"")</f>
        <v>0.372753405387458</v>
      </c>
      <c r="S31" s="272">
        <f>IFERROR(S29/S28,"")</f>
        <v>0.396347064226666</v>
      </c>
      <c r="T31" s="272">
        <f>IFERROR(T29/T28,"")</f>
        <v>0.413926803896227</v>
      </c>
      <c r="U31" s="272">
        <f>IFERROR(U29/U28,"")</f>
        <v>0.51538189533239</v>
      </c>
      <c r="V31" s="272">
        <f>IFERROR(V29/V28,"")</f>
        <v>0.538678278688525</v>
      </c>
      <c r="W31" s="273">
        <f>IFERROR(W29/W28,"")</f>
        <v>0.472688996654261</v>
      </c>
      <c r="X31" s="272">
        <f>IFERROR(X29/X28,"")</f>
        <v>0.490462307371928</v>
      </c>
      <c r="Y31" s="272">
        <f>IFERROR(Y29/Y28,"")</f>
        <v>0.499380133271347</v>
      </c>
      <c r="Z31" s="272">
        <f>IFERROR(Z29/Z28,"")</f>
        <v>0.54014236464198</v>
      </c>
      <c r="AA31" s="272">
        <f>IFERROR(AA29/AA28,"")</f>
        <v>0.598938734091582</v>
      </c>
      <c r="AB31" s="273">
        <f>IFERROR(AB29/AB28,"")</f>
        <v>0.536531283491629</v>
      </c>
      <c r="AC31" s="272">
        <f>IFERROR(AC29/AC28,"")</f>
        <v>0.519426280368479</v>
      </c>
      <c r="AD31" s="272">
        <f>IFERROR(AD29/AD28,"")</f>
        <v>0.529652568616638</v>
      </c>
      <c r="AE31" s="272">
        <f>IFERROR(AE29/AE28,"")</f>
        <v>0.491747419837706</v>
      </c>
      <c r="AF31" s="272">
        <f>IFERROR(AF29/AF28,"")</f>
        <v>0.522023142963793</v>
      </c>
      <c r="AG31" s="273">
        <f>IFERROR(AG29/AG28,"")</f>
        <v>0.515551575282504</v>
      </c>
      <c r="AH31" s="273">
        <f>IFERROR(AH29/AH28,"")</f>
        <v>0.481138993721941</v>
      </c>
      <c r="AI31" s="273">
        <f>IFERROR(AI29/AI28,"")</f>
        <v>0.38751035282425</v>
      </c>
    </row>
    <row r="32"/>
    <row r="33">
      <c r="C33" s="267" t="inlineStr">
        <is>
          <t>Receita por região (USD milhões; pela localização do usuário)</t>
        </is>
      </c>
      <c r="D33" s="267">
        <f>D7</f>
        <v>0</v>
      </c>
      <c r="E33" s="267">
        <f>E7</f>
        <v>0</v>
      </c>
      <c r="F33" s="267">
        <f>F7</f>
        <v>0</v>
      </c>
      <c r="G33" s="267">
        <f>G7</f>
        <v>0</v>
      </c>
      <c r="H33" s="267">
        <f>H7</f>
        <v>2020</v>
      </c>
      <c r="I33" s="267" t="str">
        <f>I7</f>
        <v>1Q21</v>
      </c>
      <c r="J33" s="267" t="str">
        <f>J7</f>
        <v>2Q21</v>
      </c>
      <c r="K33" s="267" t="str">
        <f>K7</f>
        <v>3Q21</v>
      </c>
      <c r="L33" s="267" t="str">
        <f>L7</f>
        <v>4Q21</v>
      </c>
      <c r="M33" s="267">
        <f>M7</f>
        <v>2021</v>
      </c>
      <c r="N33" s="267" t="str">
        <f>N7</f>
        <v>1Q22</v>
      </c>
      <c r="O33" s="267" t="str">
        <f>O7</f>
        <v>2Q22</v>
      </c>
      <c r="P33" s="267" t="str">
        <f>P7</f>
        <v>3Q22</v>
      </c>
      <c r="Q33" s="267" t="str">
        <f>Q7</f>
        <v>4Q22</v>
      </c>
      <c r="R33" s="267">
        <f>R7</f>
        <v>2022</v>
      </c>
      <c r="S33" s="267" t="str">
        <f>S7</f>
        <v>1Q23</v>
      </c>
      <c r="T33" s="267" t="str">
        <f>T7</f>
        <v>2Q23</v>
      </c>
      <c r="U33" s="267" t="str">
        <f>U7</f>
        <v>3Q23</v>
      </c>
      <c r="V33" s="267" t="str">
        <f>V7</f>
        <v>4Q23</v>
      </c>
      <c r="W33" s="267">
        <f>W7</f>
        <v>2023</v>
      </c>
      <c r="X33" s="267" t="str">
        <f>X7</f>
        <v>1Q24</v>
      </c>
      <c r="Y33" s="267" t="str">
        <f>Y7</f>
        <v>2Q24</v>
      </c>
      <c r="Z33" s="267" t="str">
        <f>Z7</f>
        <v>3Q24</v>
      </c>
      <c r="AA33" s="267" t="str">
        <f>AA7</f>
        <v>4Q24</v>
      </c>
      <c r="AB33" s="267">
        <f>AB7</f>
        <v>2024</v>
      </c>
      <c r="AC33" s="267" t="str">
        <f>AC7</f>
        <v>1Q25</v>
      </c>
      <c r="AD33" s="267" t="str">
        <f>AD7</f>
        <v>2Q25</v>
      </c>
      <c r="AE33" s="267" t="str">
        <f>AE7</f>
        <v>3Q25</v>
      </c>
      <c r="AF33" s="267" t="str">
        <f>AF7</f>
        <v>4Q25</v>
      </c>
      <c r="AG33" s="267">
        <f>AG7</f>
        <v>2025</v>
      </c>
      <c r="AH33" s="267" t="str">
        <f>AH7</f>
        <v>1Q26</v>
      </c>
      <c r="AI33" s="267" t="str">
        <f>AI7</f>
        <v>2Q26</v>
      </c>
    </row>
    <row r="34">
      <c r="C34" s="271" t="inlineStr">
        <is>
          <t xml:space="preserve">   EUA e Canadá</t>
        </is>
      </c>
      <c r="D34" s="269" t="str">
        <f>IFERROR(INDEX('Inputs (2)'!$D$59:$AL$59,MATCH(D$7&amp;"",'Inputs (2)'!$D$2:$AL$2,0)),"")</f>
        <v/>
      </c>
      <c r="E34" s="269" t="str">
        <f>IFERROR(INDEX('Inputs (2)'!$D$59:$AL$59,MATCH(E$7&amp;"",'Inputs (2)'!$D$2:$AL$2,0)),"")</f>
        <v/>
      </c>
      <c r="F34" s="269" t="str">
        <f>IFERROR(INDEX('Inputs (2)'!$D$59:$AL$59,MATCH(F$7&amp;"",'Inputs (2)'!$D$2:$AL$2,0)),"")</f>
        <v/>
      </c>
      <c r="G34" s="269" t="str">
        <f>IFERROR(INDEX('Inputs (2)'!$D$59:$AL$59,MATCH(G$7&amp;"",'Inputs (2)'!$D$2:$AL$2,0)),"")</f>
        <v/>
      </c>
      <c r="H34" s="270" t="str">
        <f>IF(COUNT(D34:G34)=4,SUM(D34:G34),"")</f>
        <v/>
      </c>
      <c r="I34" s="269">
        <f>IFERROR(INDEX('Inputs (2)'!$D$59:$AL$59,MATCH(I$7&amp;"",'Inputs (2)'!$D$2:$AL$2,0)),"")</f>
        <v>11436</v>
      </c>
      <c r="J34" s="269">
        <f>IFERROR(INDEX('Inputs (2)'!$D$59:$AL$59,MATCH(J$7&amp;"",'Inputs (2)'!$D$2:$AL$2,0)),"")</f>
        <v>12612</v>
      </c>
      <c r="K34" s="269">
        <f>IFERROR(INDEX('Inputs (2)'!$D$59:$AL$59,MATCH(K$7&amp;"",'Inputs (2)'!$D$2:$AL$2,0)),"")</f>
        <v>12668</v>
      </c>
      <c r="L34" s="269">
        <f>IFERROR(INDEX('Inputs (2)'!$D$59:$AL$59,MATCH(L$7&amp;"",'Inputs (2)'!$D$2:$AL$2,0)),"")</f>
        <v>14825</v>
      </c>
      <c r="M34" s="270">
        <f>IF(COUNT(I34:L34)=4,SUM(I34:L34),"")</f>
        <v>51541</v>
      </c>
      <c r="N34" s="269">
        <f>IFERROR(INDEX('Inputs (2)'!$D$59:$AL$59,MATCH(N$7&amp;"",'Inputs (2)'!$D$2:$AL$2,0)),"")</f>
        <v>11780</v>
      </c>
      <c r="O34" s="269">
        <f>IFERROR(INDEX('Inputs (2)'!$D$59:$AL$59,MATCH(O$7&amp;"",'Inputs (2)'!$D$2:$AL$2,0)),"")</f>
        <v>12186</v>
      </c>
      <c r="P34" s="269">
        <f>IFERROR(INDEX('Inputs (2)'!$D$59:$AL$59,MATCH(P$7&amp;"",'Inputs (2)'!$D$2:$AL$2,0)),"")</f>
        <v>11966</v>
      </c>
      <c r="Q34" s="269">
        <f>IFERROR(INDEX('Inputs (2)'!$D$59:$AL$59,MATCH(Q$7&amp;"",'Inputs (2)'!$D$2:$AL$2,0)),"")</f>
        <v>14219</v>
      </c>
      <c r="R34" s="270">
        <f>IF(COUNT(N34:Q34)=4,SUM(N34:Q34),"")</f>
        <v>50151</v>
      </c>
      <c r="S34" s="269">
        <f>IFERROR(INDEX('Inputs (2)'!$D$59:$AL$59,MATCH(S$7&amp;"",'Inputs (2)'!$D$2:$AL$2,0)),"")</f>
        <v>11449</v>
      </c>
      <c r="T34" s="269">
        <f>IFERROR(INDEX('Inputs (2)'!$D$59:$AL$59,MATCH(T$7&amp;"",'Inputs (2)'!$D$2:$AL$2,0)),"")</f>
        <v>12404</v>
      </c>
      <c r="U34" s="269">
        <f>IFERROR(INDEX('Inputs (2)'!$D$59:$AL$59,MATCH(U$7&amp;"",'Inputs (2)'!$D$2:$AL$2,0)),"")</f>
        <v>12908</v>
      </c>
      <c r="V34" s="269">
        <f>IFERROR(INDEX('Inputs (2)'!$D$59:$AL$59,MATCH(V$7&amp;"",'Inputs (2)'!$D$2:$AL$2,0)),"")</f>
        <v>16127</v>
      </c>
      <c r="W34" s="270">
        <f>IF(COUNT(S34:V34)=4,SUM(S34:V34),"")</f>
        <v>52888</v>
      </c>
      <c r="X34" s="269">
        <f>IFERROR(INDEX('Inputs (2)'!$D$59:$AL$59,MATCH(X$7&amp;"",'Inputs (2)'!$D$2:$AL$2,0)),"")</f>
        <v>13646</v>
      </c>
      <c r="Y34" s="269">
        <f>IFERROR(INDEX('Inputs (2)'!$D$59:$AL$59,MATCH(Y$7&amp;"",'Inputs (2)'!$D$2:$AL$2,0)),"")</f>
        <v>14640</v>
      </c>
      <c r="Z34" s="269">
        <f>IFERROR(INDEX('Inputs (2)'!$D$59:$AL$59,MATCH(Z$7&amp;"",'Inputs (2)'!$D$2:$AL$2,0)),"")</f>
        <v>15619</v>
      </c>
      <c r="AA34" s="269">
        <f>IFERROR(INDEX('Inputs (2)'!$D$59:$AL$59,MATCH(AA$7&amp;"",'Inputs (2)'!$D$2:$AL$2,0)),"")</f>
        <v>19301</v>
      </c>
      <c r="AB34" s="270">
        <f>IF(COUNT(X34:AA34)=4,SUM(X34:AA34),"")</f>
        <v>63206</v>
      </c>
      <c r="AC34" s="269">
        <f>IFERROR(INDEX('Inputs (2)'!$D$59:$AL$59,MATCH(AC$7&amp;"",'Inputs (2)'!$D$2:$AL$2,0)),"")</f>
        <v>16869</v>
      </c>
      <c r="AD34" s="269">
        <f>IFERROR(INDEX('Inputs (2)'!$D$59:$AL$59,MATCH(AD$7&amp;"",'Inputs (2)'!$D$2:$AL$2,0)),"")</f>
        <v>18454</v>
      </c>
      <c r="AE34" s="269">
        <f>IFERROR(INDEX('Inputs (2)'!$D$59:$AL$59,MATCH(AE$7&amp;"",'Inputs (2)'!$D$2:$AL$2,0)),"")</f>
        <v>19708</v>
      </c>
      <c r="AF34" s="269">
        <f>IFERROR(INDEX('Inputs (2)'!$D$59:$AL$59,MATCH(AF$7&amp;"",'Inputs (2)'!$D$2:$AL$2,0)),"")</f>
        <v>23835</v>
      </c>
      <c r="AG34" s="270">
        <f>IF(COUNT(AC34:AF34)=4,SUM(AC34:AF34),"")</f>
        <v>78866</v>
      </c>
      <c r="AH34" s="270">
        <f>IFERROR(INDEX('Inputs (2)'!$D$59:$AL$59,MATCH(AH$7&amp;"",'Inputs (2)'!$D$2:$AL$2,0)),"")</f>
        <v>21267</v>
      </c>
      <c r="AI34" s="270">
        <f>IFERROR(INDEX('Inputs (2)'!$D$59:$AL$59,MATCH(AI$7&amp;"",'Inputs (2)'!$D$2:$AL$2,0)),"")</f>
        <v>23863</v>
      </c>
    </row>
    <row r="35">
      <c r="C35" s="271" t="inlineStr">
        <is>
          <t xml:space="preserve">   Europa</t>
        </is>
      </c>
      <c r="D35" s="269" t="str">
        <f>IFERROR(INDEX('Inputs (2)'!$D$60:$AL$60,MATCH(D$7&amp;"",'Inputs (2)'!$D$2:$AL$2,0)),"")</f>
        <v/>
      </c>
      <c r="E35" s="269" t="str">
        <f>IFERROR(INDEX('Inputs (2)'!$D$60:$AL$60,MATCH(E$7&amp;"",'Inputs (2)'!$D$2:$AL$2,0)),"")</f>
        <v/>
      </c>
      <c r="F35" s="269" t="str">
        <f>IFERROR(INDEX('Inputs (2)'!$D$60:$AL$60,MATCH(F$7&amp;"",'Inputs (2)'!$D$2:$AL$2,0)),"")</f>
        <v/>
      </c>
      <c r="G35" s="269" t="str">
        <f>IFERROR(INDEX('Inputs (2)'!$D$60:$AL$60,MATCH(G$7&amp;"",'Inputs (2)'!$D$2:$AL$2,0)),"")</f>
        <v/>
      </c>
      <c r="H35" s="270" t="str">
        <f>IF(COUNT(D35:G35)=4,SUM(D35:G35),"")</f>
        <v/>
      </c>
      <c r="I35" s="269">
        <f>IFERROR(INDEX('Inputs (2)'!$D$60:$AL$60,MATCH(I$7&amp;"",'Inputs (2)'!$D$2:$AL$2,0)),"")</f>
        <v>6384</v>
      </c>
      <c r="J35" s="269">
        <f>IFERROR(INDEX('Inputs (2)'!$D$60:$AL$60,MATCH(J$7&amp;"",'Inputs (2)'!$D$2:$AL$2,0)),"")</f>
        <v>7220</v>
      </c>
      <c r="K35" s="269">
        <f>IFERROR(INDEX('Inputs (2)'!$D$60:$AL$60,MATCH(K$7&amp;"",'Inputs (2)'!$D$2:$AL$2,0)),"")</f>
        <v>7018</v>
      </c>
      <c r="L35" s="269">
        <f>IFERROR(INDEX('Inputs (2)'!$D$60:$AL$60,MATCH(L$7&amp;"",'Inputs (2)'!$D$2:$AL$2,0)),"")</f>
        <v>8435</v>
      </c>
      <c r="M35" s="270">
        <f>IF(COUNT(I35:L35)=4,SUM(I35:L35),"")</f>
        <v>29057</v>
      </c>
      <c r="N35" s="269">
        <f>IFERROR(INDEX('Inputs (2)'!$D$60:$AL$60,MATCH(N$7&amp;"",'Inputs (2)'!$D$2:$AL$2,0)),"")</f>
        <v>6638</v>
      </c>
      <c r="O35" s="269">
        <f>IFERROR(INDEX('Inputs (2)'!$D$60:$AL$60,MATCH(O$7&amp;"",'Inputs (2)'!$D$2:$AL$2,0)),"")</f>
        <v>6650</v>
      </c>
      <c r="P35" s="269">
        <f>IFERROR(INDEX('Inputs (2)'!$D$60:$AL$60,MATCH(P$7&amp;"",'Inputs (2)'!$D$2:$AL$2,0)),"")</f>
        <v>5996</v>
      </c>
      <c r="Q35" s="269">
        <f>IFERROR(INDEX('Inputs (2)'!$D$60:$AL$60,MATCH(Q$7&amp;"",'Inputs (2)'!$D$2:$AL$2,0)),"")</f>
        <v>7397</v>
      </c>
      <c r="R35" s="270">
        <f>IF(COUNT(N35:Q35)=4,SUM(N35:Q35),"")</f>
        <v>26681</v>
      </c>
      <c r="S35" s="269">
        <f>IFERROR(INDEX('Inputs (2)'!$D$60:$AL$60,MATCH(S$7&amp;"",'Inputs (2)'!$D$2:$AL$2,0)),"")</f>
        <v>6759</v>
      </c>
      <c r="T35" s="269">
        <f>IFERROR(INDEX('Inputs (2)'!$D$60:$AL$60,MATCH(T$7&amp;"",'Inputs (2)'!$D$2:$AL$2,0)),"")</f>
        <v>7515</v>
      </c>
      <c r="U35" s="269">
        <f>IFERROR(INDEX('Inputs (2)'!$D$60:$AL$60,MATCH(U$7&amp;"",'Inputs (2)'!$D$2:$AL$2,0)),"")</f>
        <v>7578</v>
      </c>
      <c r="V35" s="269">
        <f>IFERROR(INDEX('Inputs (2)'!$D$60:$AL$60,MATCH(V$7&amp;"",'Inputs (2)'!$D$2:$AL$2,0)),"")</f>
        <v>9358</v>
      </c>
      <c r="W35" s="270">
        <f>IF(COUNT(S35:V35)=4,SUM(S35:V35),"")</f>
        <v>31210</v>
      </c>
      <c r="X35" s="269">
        <f>IFERROR(INDEX('Inputs (2)'!$D$60:$AL$60,MATCH(X$7&amp;"",'Inputs (2)'!$D$2:$AL$2,0)),"")</f>
        <v>8404</v>
      </c>
      <c r="Y35" s="269">
        <f>IFERROR(INDEX('Inputs (2)'!$D$60:$AL$60,MATCH(Y$7&amp;"",'Inputs (2)'!$D$2:$AL$2,0)),"")</f>
        <v>9153</v>
      </c>
      <c r="Z35" s="269">
        <f>IFERROR(INDEX('Inputs (2)'!$D$60:$AL$60,MATCH(Z$7&amp;"",'Inputs (2)'!$D$2:$AL$2,0)),"")</f>
        <v>9205</v>
      </c>
      <c r="AA35" s="269">
        <f>IFERROR(INDEX('Inputs (2)'!$D$60:$AL$60,MATCH(AA$7&amp;"",'Inputs (2)'!$D$2:$AL$2,0)),"")</f>
        <v>11599</v>
      </c>
      <c r="AB35" s="270">
        <f>IF(COUNT(X35:AA35)=4,SUM(X35:AA35),"")</f>
        <v>38361</v>
      </c>
      <c r="AC35" s="269">
        <f>IFERROR(INDEX('Inputs (2)'!$D$60:$AL$60,MATCH(AC$7&amp;"",'Inputs (2)'!$D$2:$AL$2,0)),"")</f>
        <v>9621</v>
      </c>
      <c r="AD35" s="269">
        <f>IFERROR(INDEX('Inputs (2)'!$D$60:$AL$60,MATCH(AD$7&amp;"",'Inputs (2)'!$D$2:$AL$2,0)),"")</f>
        <v>11128</v>
      </c>
      <c r="AE35" s="269">
        <f>IFERROR(INDEX('Inputs (2)'!$D$60:$AL$60,MATCH(AE$7&amp;"",'Inputs (2)'!$D$2:$AL$2,0)),"")</f>
        <v>11566</v>
      </c>
      <c r="AF35" s="269">
        <f>IFERROR(INDEX('Inputs (2)'!$D$60:$AL$60,MATCH(AF$7&amp;"",'Inputs (2)'!$D$2:$AL$2,0)),"")</f>
        <v>14254</v>
      </c>
      <c r="AG35" s="270">
        <f>IF(COUNT(AC35:AF35)=4,SUM(AC35:AF35),"")</f>
        <v>46569</v>
      </c>
      <c r="AH35" s="270">
        <f>IFERROR(INDEX('Inputs (2)'!$D$60:$AL$60,MATCH(AH$7&amp;"",'Inputs (2)'!$D$2:$AL$2,0)),"")</f>
        <v>13240</v>
      </c>
      <c r="AI35" s="270">
        <f>IFERROR(INDEX('Inputs (2)'!$D$60:$AL$60,MATCH(AI$7&amp;"",'Inputs (2)'!$D$2:$AL$2,0)),"")</f>
        <v>14009</v>
      </c>
    </row>
    <row r="36">
      <c r="C36" s="271" t="inlineStr">
        <is>
          <t xml:space="preserve">   Ásia-Pacífico</t>
        </is>
      </c>
      <c r="D36" s="269" t="str">
        <f>IFERROR(INDEX('Inputs (2)'!$D$61:$AL$61,MATCH(D$7&amp;"",'Inputs (2)'!$D$2:$AL$2,0)),"")</f>
        <v/>
      </c>
      <c r="E36" s="269" t="str">
        <f>IFERROR(INDEX('Inputs (2)'!$D$61:$AL$61,MATCH(E$7&amp;"",'Inputs (2)'!$D$2:$AL$2,0)),"")</f>
        <v/>
      </c>
      <c r="F36" s="269" t="str">
        <f>IFERROR(INDEX('Inputs (2)'!$D$61:$AL$61,MATCH(F$7&amp;"",'Inputs (2)'!$D$2:$AL$2,0)),"")</f>
        <v/>
      </c>
      <c r="G36" s="269" t="str">
        <f>IFERROR(INDEX('Inputs (2)'!$D$61:$AL$61,MATCH(G$7&amp;"",'Inputs (2)'!$D$2:$AL$2,0)),"")</f>
        <v/>
      </c>
      <c r="H36" s="270" t="str">
        <f>IF(COUNT(D36:G36)=4,SUM(D36:G36),"")</f>
        <v/>
      </c>
      <c r="I36" s="269">
        <f>IFERROR(INDEX('Inputs (2)'!$D$61:$AL$61,MATCH(I$7&amp;"",'Inputs (2)'!$D$2:$AL$2,0)),"")</f>
        <v>6101</v>
      </c>
      <c r="J36" s="269">
        <f>IFERROR(INDEX('Inputs (2)'!$D$61:$AL$61,MATCH(J$7&amp;"",'Inputs (2)'!$D$2:$AL$2,0)),"")</f>
        <v>6677</v>
      </c>
      <c r="K36" s="269">
        <f>IFERROR(INDEX('Inputs (2)'!$D$61:$AL$61,MATCH(K$7&amp;"",'Inputs (2)'!$D$2:$AL$2,0)),"")</f>
        <v>6592</v>
      </c>
      <c r="L36" s="269">
        <f>IFERROR(INDEX('Inputs (2)'!$D$61:$AL$61,MATCH(L$7&amp;"",'Inputs (2)'!$D$2:$AL$2,0)),"")</f>
        <v>7369</v>
      </c>
      <c r="M36" s="270">
        <f>IF(COUNT(I36:L36)=4,SUM(I36:L36),"")</f>
        <v>26739</v>
      </c>
      <c r="N36" s="269">
        <f>IFERROR(INDEX('Inputs (2)'!$D$61:$AL$61,MATCH(N$7&amp;"",'Inputs (2)'!$D$2:$AL$2,0)),"")</f>
        <v>6722</v>
      </c>
      <c r="O36" s="269">
        <f>IFERROR(INDEX('Inputs (2)'!$D$61:$AL$61,MATCH(O$7&amp;"",'Inputs (2)'!$D$2:$AL$2,0)),"")</f>
        <v>6960</v>
      </c>
      <c r="P36" s="269">
        <f>IFERROR(INDEX('Inputs (2)'!$D$61:$AL$61,MATCH(P$7&amp;"",'Inputs (2)'!$D$2:$AL$2,0)),"")</f>
        <v>6797</v>
      </c>
      <c r="Q36" s="269">
        <f>IFERROR(INDEX('Inputs (2)'!$D$61:$AL$61,MATCH(Q$7&amp;"",'Inputs (2)'!$D$2:$AL$2,0)),"")</f>
        <v>7280</v>
      </c>
      <c r="R36" s="270">
        <f>IF(COUNT(N36:Q36)=4,SUM(N36:Q36),"")</f>
        <v>27759</v>
      </c>
      <c r="S36" s="269">
        <f>IFERROR(INDEX('Inputs (2)'!$D$61:$AL$61,MATCH(S$7&amp;"",'Inputs (2)'!$D$2:$AL$2,0)),"")</f>
        <v>7292</v>
      </c>
      <c r="T36" s="269">
        <f>IFERROR(INDEX('Inputs (2)'!$D$61:$AL$61,MATCH(T$7&amp;"",'Inputs (2)'!$D$2:$AL$2,0)),"")</f>
        <v>8551</v>
      </c>
      <c r="U36" s="269">
        <f>IFERROR(INDEX('Inputs (2)'!$D$61:$AL$61,MATCH(U$7&amp;"",'Inputs (2)'!$D$2:$AL$2,0)),"")</f>
        <v>9790</v>
      </c>
      <c r="V36" s="269">
        <f>IFERROR(INDEX('Inputs (2)'!$D$61:$AL$61,MATCH(V$7&amp;"",'Inputs (2)'!$D$2:$AL$2,0)),"")</f>
        <v>10520</v>
      </c>
      <c r="W36" s="270">
        <f>IF(COUNT(S36:V36)=4,SUM(S36:V36),"")</f>
        <v>36153</v>
      </c>
      <c r="X36" s="269">
        <f>IFERROR(INDEX('Inputs (2)'!$D$61:$AL$61,MATCH(X$7&amp;"",'Inputs (2)'!$D$2:$AL$2,0)),"")</f>
        <v>10312</v>
      </c>
      <c r="Y36" s="269">
        <f>IFERROR(INDEX('Inputs (2)'!$D$61:$AL$61,MATCH(Y$7&amp;"",'Inputs (2)'!$D$2:$AL$2,0)),"")</f>
        <v>10967</v>
      </c>
      <c r="Z36" s="269">
        <f>IFERROR(INDEX('Inputs (2)'!$D$61:$AL$61,MATCH(Z$7&amp;"",'Inputs (2)'!$D$2:$AL$2,0)),"")</f>
        <v>11243</v>
      </c>
      <c r="AA36" s="269">
        <f>IFERROR(INDEX('Inputs (2)'!$D$61:$AL$61,MATCH(AA$7&amp;"",'Inputs (2)'!$D$2:$AL$2,0)),"")</f>
        <v>12487</v>
      </c>
      <c r="AB36" s="270">
        <f>IF(COUNT(X36:AA36)=4,SUM(X36:AA36),"")</f>
        <v>45009</v>
      </c>
      <c r="AC36" s="269">
        <f>IFERROR(INDEX('Inputs (2)'!$D$61:$AL$61,MATCH(AC$7&amp;"",'Inputs (2)'!$D$2:$AL$2,0)),"")</f>
        <v>11239</v>
      </c>
      <c r="AD36" s="269">
        <f>IFERROR(INDEX('Inputs (2)'!$D$61:$AL$61,MATCH(AD$7&amp;"",'Inputs (2)'!$D$2:$AL$2,0)),"")</f>
        <v>12858</v>
      </c>
      <c r="AE36" s="269">
        <f>IFERROR(INDEX('Inputs (2)'!$D$61:$AL$61,MATCH(AE$7&amp;"",'Inputs (2)'!$D$2:$AL$2,0)),"")</f>
        <v>14304</v>
      </c>
      <c r="AF36" s="269">
        <f>IFERROR(INDEX('Inputs (2)'!$D$61:$AL$61,MATCH(AF$7&amp;"",'Inputs (2)'!$D$2:$AL$2,0)),"")</f>
        <v>15416</v>
      </c>
      <c r="AG36" s="270">
        <f>IF(COUNT(AC36:AF36)=4,SUM(AC36:AF36),"")</f>
        <v>53817</v>
      </c>
      <c r="AH36" s="270">
        <f>IFERROR(INDEX('Inputs (2)'!$D$61:$AL$61,MATCH(AH$7&amp;"",'Inputs (2)'!$D$2:$AL$2,0)),"")</f>
        <v>15445</v>
      </c>
      <c r="AI36" s="270">
        <f>IFERROR(INDEX('Inputs (2)'!$D$61:$AL$61,MATCH(AI$7&amp;"",'Inputs (2)'!$D$2:$AL$2,0)),"")</f>
        <v>16073</v>
      </c>
    </row>
    <row r="37">
      <c r="C37" s="271" t="inlineStr">
        <is>
          <t xml:space="preserve">   Resto do mundo</t>
        </is>
      </c>
      <c r="D37" s="269" t="str">
        <f>IFERROR(INDEX('Inputs (2)'!$D$62:$AL$62,MATCH(D$7&amp;"",'Inputs (2)'!$D$2:$AL$2,0)),"")</f>
        <v/>
      </c>
      <c r="E37" s="269" t="str">
        <f>IFERROR(INDEX('Inputs (2)'!$D$62:$AL$62,MATCH(E$7&amp;"",'Inputs (2)'!$D$2:$AL$2,0)),"")</f>
        <v/>
      </c>
      <c r="F37" s="269" t="str">
        <f>IFERROR(INDEX('Inputs (2)'!$D$62:$AL$62,MATCH(F$7&amp;"",'Inputs (2)'!$D$2:$AL$2,0)),"")</f>
        <v/>
      </c>
      <c r="G37" s="269" t="str">
        <f>IFERROR(INDEX('Inputs (2)'!$D$62:$AL$62,MATCH(G$7&amp;"",'Inputs (2)'!$D$2:$AL$2,0)),"")</f>
        <v/>
      </c>
      <c r="H37" s="270" t="str">
        <f>IF(COUNT(D37:G37)=4,SUM(D37:G37),"")</f>
        <v/>
      </c>
      <c r="I37" s="269">
        <f>IFERROR(INDEX('Inputs (2)'!$D$62:$AL$62,MATCH(I$7&amp;"",'Inputs (2)'!$D$2:$AL$2,0)),"")</f>
        <v>2250</v>
      </c>
      <c r="J37" s="269">
        <f>IFERROR(INDEX('Inputs (2)'!$D$62:$AL$62,MATCH(J$7&amp;"",'Inputs (2)'!$D$2:$AL$2,0)),"")</f>
        <v>2568</v>
      </c>
      <c r="K37" s="269">
        <f>IFERROR(INDEX('Inputs (2)'!$D$62:$AL$62,MATCH(K$7&amp;"",'Inputs (2)'!$D$2:$AL$2,0)),"")</f>
        <v>2732</v>
      </c>
      <c r="L37" s="269">
        <f>IFERROR(INDEX('Inputs (2)'!$D$62:$AL$62,MATCH(L$7&amp;"",'Inputs (2)'!$D$2:$AL$2,0)),"")</f>
        <v>3042</v>
      </c>
      <c r="M37" s="270">
        <f>IF(COUNT(I37:L37)=4,SUM(I37:L37),"")</f>
        <v>10592</v>
      </c>
      <c r="N37" s="269">
        <f>IFERROR(INDEX('Inputs (2)'!$D$62:$AL$62,MATCH(N$7&amp;"",'Inputs (2)'!$D$2:$AL$2,0)),"")</f>
        <v>2768</v>
      </c>
      <c r="O37" s="269">
        <f>IFERROR(INDEX('Inputs (2)'!$D$62:$AL$62,MATCH(O$7&amp;"",'Inputs (2)'!$D$2:$AL$2,0)),"")</f>
        <v>3026</v>
      </c>
      <c r="P37" s="269">
        <f>IFERROR(INDEX('Inputs (2)'!$D$62:$AL$62,MATCH(P$7&amp;"",'Inputs (2)'!$D$2:$AL$2,0)),"")</f>
        <v>2955</v>
      </c>
      <c r="Q37" s="269">
        <f>IFERROR(INDEX('Inputs (2)'!$D$62:$AL$62,MATCH(Q$7&amp;"",'Inputs (2)'!$D$2:$AL$2,0)),"")</f>
        <v>3269</v>
      </c>
      <c r="R37" s="270">
        <f>IF(COUNT(N37:Q37)=4,SUM(N37:Q37),"")</f>
        <v>12018</v>
      </c>
      <c r="S37" s="269">
        <f>IFERROR(INDEX('Inputs (2)'!$D$62:$AL$62,MATCH(S$7&amp;"",'Inputs (2)'!$D$2:$AL$2,0)),"")</f>
        <v>3145</v>
      </c>
      <c r="T37" s="269">
        <f>IFERROR(INDEX('Inputs (2)'!$D$62:$AL$62,MATCH(T$7&amp;"",'Inputs (2)'!$D$2:$AL$2,0)),"")</f>
        <v>3529</v>
      </c>
      <c r="U37" s="269">
        <f>IFERROR(INDEX('Inputs (2)'!$D$62:$AL$62,MATCH(U$7&amp;"",'Inputs (2)'!$D$2:$AL$2,0)),"")</f>
        <v>3870</v>
      </c>
      <c r="V37" s="269">
        <f>IFERROR(INDEX('Inputs (2)'!$D$62:$AL$62,MATCH(V$7&amp;"",'Inputs (2)'!$D$2:$AL$2,0)),"")</f>
        <v>4106</v>
      </c>
      <c r="W37" s="270">
        <f>IF(COUNT(S37:V37)=4,SUM(S37:V37),"")</f>
        <v>14650</v>
      </c>
      <c r="X37" s="269">
        <f>IFERROR(INDEX('Inputs (2)'!$D$62:$AL$62,MATCH(X$7&amp;"",'Inputs (2)'!$D$2:$AL$2,0)),"")</f>
        <v>4093</v>
      </c>
      <c r="Y37" s="269">
        <f>IFERROR(INDEX('Inputs (2)'!$D$62:$AL$62,MATCH(Y$7&amp;"",'Inputs (2)'!$D$2:$AL$2,0)),"")</f>
        <v>4311</v>
      </c>
      <c r="Z37" s="269">
        <f>IFERROR(INDEX('Inputs (2)'!$D$62:$AL$62,MATCH(Z$7&amp;"",'Inputs (2)'!$D$2:$AL$2,0)),"")</f>
        <v>4522</v>
      </c>
      <c r="AA37" s="269">
        <f>IFERROR(INDEX('Inputs (2)'!$D$62:$AL$62,MATCH(AA$7&amp;"",'Inputs (2)'!$D$2:$AL$2,0)),"")</f>
        <v>4998</v>
      </c>
      <c r="AB37" s="270">
        <f>IF(COUNT(X37:AA37)=4,SUM(X37:AA37),"")</f>
        <v>17924</v>
      </c>
      <c r="AC37" s="269">
        <f>IFERROR(INDEX('Inputs (2)'!$D$62:$AL$62,MATCH(AC$7&amp;"",'Inputs (2)'!$D$2:$AL$2,0)),"")</f>
        <v>4585</v>
      </c>
      <c r="AD37" s="269">
        <f>IFERROR(INDEX('Inputs (2)'!$D$62:$AL$62,MATCH(AD$7&amp;"",'Inputs (2)'!$D$2:$AL$2,0)),"")</f>
        <v>5076</v>
      </c>
      <c r="AE37" s="269">
        <f>IFERROR(INDEX('Inputs (2)'!$D$62:$AL$62,MATCH(AE$7&amp;"",'Inputs (2)'!$D$2:$AL$2,0)),"")</f>
        <v>5664</v>
      </c>
      <c r="AF37" s="269">
        <f>IFERROR(INDEX('Inputs (2)'!$D$62:$AL$62,MATCH(AF$7&amp;"",'Inputs (2)'!$D$2:$AL$2,0)),"")</f>
        <v>6388</v>
      </c>
      <c r="AG37" s="270">
        <f>IF(COUNT(AC37:AF37)=4,SUM(AC37:AF37),"")</f>
        <v>21713</v>
      </c>
      <c r="AH37" s="270">
        <f>IFERROR(INDEX('Inputs (2)'!$D$62:$AL$62,MATCH(AH$7&amp;"",'Inputs (2)'!$D$2:$AL$2,0)),"")</f>
        <v>6359</v>
      </c>
      <c r="AI37" s="270">
        <f>IFERROR(INDEX('Inputs (2)'!$D$62:$AL$62,MATCH(AI$7&amp;"",'Inputs (2)'!$D$2:$AL$2,0)),"")</f>
        <v>6856</v>
      </c>
    </row>
    <row r="38">
      <c r="C38" s="271" t="inlineStr">
        <is>
          <t xml:space="preserve">   % YoY Ásia-Pacífico</t>
        </is>
      </c>
      <c r="D38" s="272" t="str">
        <f>""</f>
        <v/>
      </c>
      <c r="E38" s="272" t="str">
        <f>""</f>
        <v/>
      </c>
      <c r="F38" s="272" t="str">
        <f>""</f>
        <v/>
      </c>
      <c r="G38" s="272" t="str">
        <f>""</f>
        <v/>
      </c>
      <c r="H38" s="273" t="str">
        <f>""</f>
        <v/>
      </c>
      <c r="I38" s="272" t="str">
        <f>IFERROR(I36/D36-1,"")</f>
        <v/>
      </c>
      <c r="J38" s="272" t="str">
        <f>IFERROR(J36/E36-1,"")</f>
        <v/>
      </c>
      <c r="K38" s="272" t="str">
        <f>IFERROR(K36/F36-1,"")</f>
        <v/>
      </c>
      <c r="L38" s="272" t="str">
        <f>IFERROR(L36/G36-1,"")</f>
        <v/>
      </c>
      <c r="M38" s="273" t="str">
        <f>IFERROR(M36/H36-1,"")</f>
        <v/>
      </c>
      <c r="N38" s="272">
        <f>IFERROR(N36/I36-1,"")</f>
        <v>0.101786592361908</v>
      </c>
      <c r="O38" s="272">
        <f>IFERROR(O36/J36-1,"")</f>
        <v>0.0423843043282912</v>
      </c>
      <c r="P38" s="272">
        <f>IFERROR(P36/K36-1,"")</f>
        <v>0.0310983009708739</v>
      </c>
      <c r="Q38" s="272">
        <f>IFERROR(Q36/L36-1,"")</f>
        <v>-0.01207762247252</v>
      </c>
      <c r="R38" s="273">
        <f>IFERROR(R36/M36-1,"")</f>
        <v>0.0381465275440367</v>
      </c>
      <c r="S38" s="272">
        <f>IFERROR(S36/N36-1,"")</f>
        <v>0.08479619160964</v>
      </c>
      <c r="T38" s="272">
        <f>IFERROR(T36/O36-1,"")</f>
        <v>0.228591954022989</v>
      </c>
      <c r="U38" s="272">
        <f>IFERROR(U36/P36-1,"")</f>
        <v>0.440341327056054</v>
      </c>
      <c r="V38" s="272">
        <f>IFERROR(V36/Q36-1,"")</f>
        <v>0.445054945054945</v>
      </c>
      <c r="W38" s="273">
        <f>IFERROR(W36/R36-1,"")</f>
        <v>0.302388414568248</v>
      </c>
      <c r="X38" s="272">
        <f>IFERROR(X36/S36-1,"")</f>
        <v>0.414152495885902</v>
      </c>
      <c r="Y38" s="272">
        <f>IFERROR(Y36/T36-1,"")</f>
        <v>0.282540053794878</v>
      </c>
      <c r="Z38" s="272">
        <f>IFERROR(Z36/U36-1,"")</f>
        <v>0.148416751787538</v>
      </c>
      <c r="AA38" s="272">
        <f>IFERROR(AA36/V36-1,"")</f>
        <v>0.186977186311787</v>
      </c>
      <c r="AB38" s="273">
        <f>IFERROR(AB36/W36-1,"")</f>
        <v>0.244958924570575</v>
      </c>
      <c r="AC38" s="272">
        <f>IFERROR(AC36/X36-1,"")</f>
        <v>0.0898952676493405</v>
      </c>
      <c r="AD38" s="272">
        <f>IFERROR(AD36/Y36-1,"")</f>
        <v>0.172426370019148</v>
      </c>
      <c r="AE38" s="272">
        <f>IFERROR(AE36/Z36-1,"")</f>
        <v>0.272258294049631</v>
      </c>
      <c r="AF38" s="272">
        <f>IFERROR(AF36/AA36-1,"")</f>
        <v>0.234563946504365</v>
      </c>
      <c r="AG38" s="273">
        <f>IFERROR(AG36/AB36-1,"")</f>
        <v>0.195694194494434</v>
      </c>
      <c r="AH38" s="273">
        <f>IFERROR(AH36/AC36-1,"")</f>
        <v>0.374232582970015</v>
      </c>
      <c r="AI38" s="273">
        <f>IFERROR(AI36/AD36-1,"")</f>
        <v>0.250038886296469</v>
      </c>
    </row>
    <row r="39"/>
    <row r="40"/>
    <row r="41"/>
    <row r="42"/>
    <row r="43" hidden="1" outlineLevel="1" customFormat="1" s="43">
      <c r="A43" s="36" t="n"/>
      <c r="B43" s="37" t="n"/>
      <c r="C43" s="45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</row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collapsed="1">
      <c r="C45" s="13" t="inlineStr">
        <is>
          <t>COGS (cash)</t>
        </is>
      </c>
      <c r="D45" s="46" t="n"/>
      <c r="E45" s="46" t="n"/>
      <c r="F45" s="46" t="n"/>
      <c r="G45" s="46" t="n"/>
      <c r="H45" s="12" t="n"/>
      <c r="I45" s="46">
        <f>'Inputs (2)'!D5</f>
        <v>-5131</v>
      </c>
      <c r="J45" s="46">
        <f>'Inputs (2)'!E5</f>
        <v>-5399</v>
      </c>
      <c r="K45" s="46">
        <f>'Inputs (2)'!F5</f>
        <v>-5771</v>
      </c>
      <c r="L45" s="46">
        <f>'Inputs (2)'!G5</f>
        <v>-6348</v>
      </c>
      <c r="M45" s="12">
        <f>'Inputs (2)'!H5</f>
        <v>-22649</v>
      </c>
      <c r="N45" s="46">
        <f>'Inputs (2)'!I5</f>
        <v>-6005</v>
      </c>
      <c r="O45" s="46">
        <f>'Inputs (2)'!J5</f>
        <v>-5192</v>
      </c>
      <c r="P45" s="46">
        <f>'Inputs (2)'!K5</f>
        <v>-5716</v>
      </c>
      <c r="Q45" s="46">
        <f>'Inputs (2)'!L5</f>
        <v>-8336</v>
      </c>
      <c r="R45" s="12">
        <f>'Inputs (2)'!M5</f>
        <v>-25249</v>
      </c>
      <c r="S45" s="46">
        <f>'Inputs (2)'!N5</f>
        <v>-6108</v>
      </c>
      <c r="T45" s="46">
        <f>'Inputs (2)'!O5</f>
        <v>-5945</v>
      </c>
      <c r="U45" s="46">
        <f>'Inputs (2)'!P5</f>
        <v>-6210</v>
      </c>
      <c r="V45" s="46">
        <f>'Inputs (2)'!Q5</f>
        <v>-7695</v>
      </c>
      <c r="W45" s="12">
        <f>'Inputs (2)'!R5</f>
        <v>-25958</v>
      </c>
      <c r="X45" s="46">
        <f>'Inputs (2)'!S5</f>
        <v>-6640</v>
      </c>
      <c r="Y45" s="46">
        <f>'Inputs (2)'!T5</f>
        <v>-7308</v>
      </c>
      <c r="Z45" s="46">
        <f>'Inputs (2)'!U5</f>
        <v>-7375</v>
      </c>
      <c r="AA45" s="46">
        <f>'Inputs (2)'!V5</f>
        <v>-8839</v>
      </c>
      <c r="AB45" s="12">
        <f>'Inputs (2)'!W5</f>
        <v>-30162</v>
      </c>
      <c r="AC45" s="46">
        <f>'Inputs (2)'!X5</f>
        <v>-7572</v>
      </c>
      <c r="AD45" s="46">
        <f>'Inputs (2)'!Y5</f>
        <v>-8491</v>
      </c>
      <c r="AE45" s="46">
        <f>'Inputs (2)'!Z5</f>
        <v>-9206</v>
      </c>
      <c r="AF45" s="46">
        <f>'Inputs (2)'!AA5</f>
        <v>-10906</v>
      </c>
      <c r="AG45" s="12">
        <f>'Inputs (2)'!AB5</f>
        <v>-36175</v>
      </c>
      <c r="AH45" s="12">
        <f>'Inputs (2)'!AC5</f>
        <v>-10218</v>
      </c>
      <c r="AI45" s="12">
        <f>'Inputs (2)'!AD5</f>
        <v>-11330</v>
      </c>
      <c r="AJ45" s="12">
        <f>-(1-AJ46)*AJ15</f>
        <v>-11587.0011556809</v>
      </c>
      <c r="AK45" s="12">
        <f>-(1-AK46)*AK15</f>
        <v>-13543.1923074274</v>
      </c>
      <c r="AL45" s="12">
        <f>SUM(AH45:AK45)</f>
        <v>-46678.1934631083</v>
      </c>
      <c r="AM45" s="12">
        <f>-(1-AM46)*AM15</f>
        <v>-12733.2192747657</v>
      </c>
      <c r="AN45" s="12">
        <f>-(1-AN46)*AN15</f>
        <v>-13748.5121046515</v>
      </c>
      <c r="AO45" s="12">
        <f>-(1-AO46)*AO15</f>
        <v>-14459.6990262479</v>
      </c>
      <c r="AP45" s="12">
        <f>-(1-AP46)*AP15</f>
        <v>-16900.8772838505</v>
      </c>
      <c r="AQ45" s="12">
        <f>SUM(AM45:AP45)</f>
        <v>-57842.3076895156</v>
      </c>
      <c r="AR45" s="12">
        <f>-(1-AR46)*AR15</f>
        <v>-15826.4262471539</v>
      </c>
      <c r="AS45" s="12">
        <f>-(1-AS46)*AS15</f>
        <v>-17088.3582648719</v>
      </c>
      <c r="AT45" s="12">
        <f>-(1-AT46)*AT15</f>
        <v>-17972.3096929991</v>
      </c>
      <c r="AU45" s="12">
        <f>-(1-AU46)*AU15</f>
        <v>-21006.5092003199</v>
      </c>
      <c r="AV45" s="12">
        <f>SUM(AR45:AU45)</f>
        <v>-71893.6034053447</v>
      </c>
      <c r="AW45" s="12">
        <f>-(1-AW46)*AW15</f>
        <v>-19591.9158851119</v>
      </c>
      <c r="AX45" s="12">
        <f>-(1-AX46)*AX15</f>
        <v>-21154.0920553833</v>
      </c>
      <c r="AY45" s="12">
        <f>-(1-AY46)*AY15</f>
        <v>-22248.3569106286</v>
      </c>
      <c r="AZ45" s="12">
        <f>-(1-AZ46)*AZ15</f>
        <v>-26004.465876591</v>
      </c>
      <c r="BA45" s="12">
        <f>SUM(AW45:AZ45)</f>
        <v>-88998.8307277147</v>
      </c>
      <c r="BB45" s="12">
        <f>-(1-BB46)*BB15</f>
        <v>-24155.3470139267</v>
      </c>
      <c r="BC45" s="12">
        <f>-(1-BC46)*BC15</f>
        <v>-26081.3918025565</v>
      </c>
      <c r="BD45" s="12">
        <f>-(1-BD46)*BD15</f>
        <v>-27430.5374123373</v>
      </c>
      <c r="BE45" s="12">
        <f>-(1-BE46)*BE15</f>
        <v>-32061.5350149705</v>
      </c>
      <c r="BF45" s="12">
        <f>SUM(BB45:BE45)</f>
        <v>-109728.811243791</v>
      </c>
      <c r="BG45" s="12" t="n"/>
      <c r="BH45" s="12" t="n"/>
      <c r="BI45" s="12" t="n"/>
      <c r="BJ45" s="12" t="n"/>
      <c r="BK45" s="12" t="n"/>
      <c r="BL45" s="12" t="n"/>
      <c r="BM45" s="12" t="n"/>
      <c r="BN45" s="12" t="n"/>
      <c r="BO45" s="12" t="n"/>
      <c r="BP45" s="12" t="n"/>
      <c r="BQ45" s="12" t="n"/>
      <c r="BR45" s="12" t="n"/>
      <c r="BS45" s="12" t="n"/>
      <c r="BT45" s="12" t="n"/>
      <c r="BU45" s="12" t="n"/>
      <c r="BV45" s="12" t="n"/>
      <c r="BW45" s="12" t="n"/>
      <c r="BX45" s="12" t="n"/>
      <c r="BY45" s="12" t="n"/>
      <c r="BZ45" s="12" t="n"/>
      <c r="CA45" s="12" t="n"/>
      <c r="CB45" s="12" t="n"/>
      <c r="CC45" s="12" t="n"/>
      <c r="CD45" s="12" t="n"/>
      <c r="CE45" s="12" t="n"/>
      <c r="CF45" s="12" t="n"/>
      <c r="CG45" s="12" t="n"/>
      <c r="CH45" s="12" t="n"/>
      <c r="CI45" s="12" t="n"/>
      <c r="CJ45" s="12" t="n"/>
      <c r="CK45" s="12" t="n"/>
      <c r="CL45" s="12" t="n"/>
      <c r="CM45" s="12" t="n"/>
      <c r="CN45" s="12" t="n"/>
      <c r="CO45" s="12" t="n"/>
      <c r="CP45" s="12" t="n"/>
      <c r="CQ45" s="12" t="n"/>
      <c r="CR45" s="12" t="n"/>
      <c r="CS45" s="12" t="n"/>
      <c r="CT45" s="12" t="n"/>
      <c r="CU45" s="12" t="n"/>
      <c r="CV45" s="12" t="n"/>
      <c r="CW45" s="12" t="n"/>
      <c r="CX45" s="12" t="n"/>
      <c r="CY45" s="12" t="n"/>
    </row>
    <row r="46" hidden="1" outlineLevel="1" customFormat="1" s="3">
      <c r="C46" s="47" t="inlineStr">
        <is>
          <t>% Gross Margin</t>
        </is>
      </c>
      <c r="D46" s="48" t="n"/>
      <c r="E46" s="48" t="n"/>
      <c r="F46" s="48" t="n"/>
      <c r="G46" s="48" t="n"/>
      <c r="H46" s="48" t="n"/>
      <c r="I46" s="48">
        <f>IFERROR((I15+I45)/I$15,"")</f>
        <v>0.803943296014673</v>
      </c>
      <c r="J46" s="48">
        <f>IFERROR((J15+J45)/J$15,"")</f>
        <v>0.814320597035458</v>
      </c>
      <c r="K46" s="48">
        <f>IFERROR((K15+K45)/K$15,"")</f>
        <v>0.801068597035505</v>
      </c>
      <c r="L46" s="48">
        <f>IFERROR((L15+L45)/L$15,"")</f>
        <v>0.81146981081643</v>
      </c>
      <c r="M46" s="48">
        <f>IFERROR((M15+M45)/M$15,"")</f>
        <v>0.807943762772516</v>
      </c>
      <c r="N46" s="48">
        <f>IFERROR((N15+N45)/N$15,"")</f>
        <v>0.784828722946825</v>
      </c>
      <c r="O46" s="48">
        <f>IFERROR((O15+O45)/O$15,"")</f>
        <v>0.819859829297065</v>
      </c>
      <c r="P46" s="48">
        <f>IFERROR((P15+P45)/P$15,"")</f>
        <v>0.793750451035578</v>
      </c>
      <c r="Q46" s="48">
        <f>IFERROR((Q15+Q45)/Q$15,"")</f>
        <v>0.740836312762319</v>
      </c>
      <c r="R46" s="48">
        <f>IFERROR((R15+R45)/R$15,"")</f>
        <v>0.783472973784185</v>
      </c>
      <c r="S46" s="48">
        <f>IFERROR((S15+S45)/S$15,"")</f>
        <v>0.786769069645662</v>
      </c>
      <c r="T46" s="48">
        <f>IFERROR((T15+T45)/T$15,"")</f>
        <v>0.814212944154505</v>
      </c>
      <c r="U46" s="48">
        <f>IFERROR((U15+U45)/U$15,"")</f>
        <v>0.818133895624671</v>
      </c>
      <c r="V46" s="48">
        <f>IFERROR((V15+V45)/V$15,"")</f>
        <v>0.808157363316796</v>
      </c>
      <c r="W46" s="48">
        <f>IFERROR((W15+W45)/W$15,"")</f>
        <v>0.807577408618172</v>
      </c>
      <c r="X46" s="48">
        <f>IFERROR((X15+X45)/X$15,"")</f>
        <v>0.817857632697847</v>
      </c>
      <c r="Y46" s="48">
        <f>IFERROR((Y15+Y45)/Y$15,"")</f>
        <v>0.812955900795987</v>
      </c>
      <c r="Z46" s="48">
        <f>IFERROR((Z15+Z45)/Z$15,"")</f>
        <v>0.818300524772722</v>
      </c>
      <c r="AA46" s="48">
        <f>IFERROR((AA15+AA45)/AA$15,"")</f>
        <v>0.817319417174744</v>
      </c>
      <c r="AB46" s="48">
        <f>IFERROR((AB15+AB45)/AB$15,"")</f>
        <v>0.816644376899696</v>
      </c>
      <c r="AC46" s="48">
        <f>IFERROR((AC15+AC45)/AC$15,"")</f>
        <v>0.82105213404547</v>
      </c>
      <c r="AD46" s="48">
        <f>IFERROR((AD15+AD45)/AD$15,"")</f>
        <v>0.821302298173247</v>
      </c>
      <c r="AE46" s="48">
        <f>IFERROR((AE15+AE45)/AE$15,"")</f>
        <v>0.820342687639046</v>
      </c>
      <c r="AF46" s="41">
        <f>IFERROR((AF15+AF45)/AF$15,"")</f>
        <v>0.817908603676557</v>
      </c>
      <c r="AG46" s="48">
        <f>IFERROR((AG15+AG45)/AG$15,"")</f>
        <v>0.819993531211903</v>
      </c>
      <c r="AH46" s="49">
        <f>IFERROR((AH15+AH45)/AH$15,"")</f>
        <v>0.818543446218323</v>
      </c>
      <c r="AI46" s="49">
        <f>IFERROR((AI15+AI45)/AI$15,"")</f>
        <v>0.813654380684528</v>
      </c>
      <c r="AJ46" s="49">
        <f>Control!$B$19</f>
        <v>0.818800591739529</v>
      </c>
      <c r="AK46" s="49">
        <f>Control!$B$19</f>
        <v>0.818800591739529</v>
      </c>
      <c r="AL46" s="48">
        <f>IFERROR((AL15+AL45)/AL$15,"")</f>
        <v>0.817520783961333</v>
      </c>
      <c r="AM46" s="49">
        <f>Control!$C$19</f>
        <v>0.818800591739529</v>
      </c>
      <c r="AN46" s="49">
        <f>Control!$C$19</f>
        <v>0.818800591739529</v>
      </c>
      <c r="AO46" s="49">
        <f>Control!$C$19</f>
        <v>0.818800591739529</v>
      </c>
      <c r="AP46" s="49">
        <f>Control!$C$19</f>
        <v>0.818800591739529</v>
      </c>
      <c r="AQ46" s="48">
        <f>IFERROR((AQ15+AQ45)/AQ$15,"")</f>
        <v>0.818800591739529</v>
      </c>
      <c r="AR46" s="49">
        <f>Control!$D$19</f>
        <v>0.818800591739529</v>
      </c>
      <c r="AS46" s="49">
        <f>Control!$D$19</f>
        <v>0.818800591739529</v>
      </c>
      <c r="AT46" s="49">
        <f>Control!$D$19</f>
        <v>0.818800591739529</v>
      </c>
      <c r="AU46" s="49">
        <f>Control!$D$19</f>
        <v>0.818800591739529</v>
      </c>
      <c r="AV46" s="48">
        <f>IFERROR((AV15+AV45)/AV$15,"")</f>
        <v>0.818800591739529</v>
      </c>
      <c r="AW46" s="49">
        <f>Control!$E$19</f>
        <v>0.818800591739529</v>
      </c>
      <c r="AX46" s="49">
        <f>Control!$E$19</f>
        <v>0.818800591739529</v>
      </c>
      <c r="AY46" s="49">
        <f>Control!$E$19</f>
        <v>0.818800591739529</v>
      </c>
      <c r="AZ46" s="49">
        <f>Control!$E$19</f>
        <v>0.818800591739529</v>
      </c>
      <c r="BA46" s="48">
        <f>IFERROR((BA15+BA45)/BA$15,"")</f>
        <v>0.818800591739529</v>
      </c>
      <c r="BB46" s="49">
        <f>Control!$F$19</f>
        <v>0.818800591739529</v>
      </c>
      <c r="BC46" s="49">
        <f>Control!$F$19</f>
        <v>0.818800591739529</v>
      </c>
      <c r="BD46" s="49">
        <f>Control!$F$19</f>
        <v>0.818800591739529</v>
      </c>
      <c r="BE46" s="49">
        <f>Control!$F$19</f>
        <v>0.818800591739529</v>
      </c>
      <c r="BF46" s="48">
        <f>IFERROR((BF15+BF45)/BF$15,"")</f>
        <v>0.818800591739528</v>
      </c>
      <c r="BG46" s="49" t="n"/>
      <c r="BH46" s="49" t="n"/>
      <c r="BI46" s="49" t="n"/>
      <c r="BJ46" s="49" t="n"/>
      <c r="BK46" s="48" t="n"/>
      <c r="BL46" s="49" t="n"/>
      <c r="BM46" s="49" t="n"/>
      <c r="BN46" s="49" t="n"/>
      <c r="BO46" s="49" t="n"/>
      <c r="BP46" s="48" t="n"/>
      <c r="BQ46" s="49" t="n"/>
      <c r="BR46" s="49" t="n"/>
      <c r="BS46" s="49" t="n"/>
      <c r="BT46" s="49" t="n"/>
      <c r="BU46" s="48" t="n"/>
      <c r="BV46" s="49" t="n"/>
      <c r="BW46" s="49" t="n"/>
      <c r="BX46" s="49" t="n"/>
      <c r="BY46" s="49" t="n"/>
      <c r="BZ46" s="48" t="n"/>
      <c r="CA46" s="49" t="n"/>
      <c r="CB46" s="49" t="n"/>
      <c r="CC46" s="49" t="n"/>
      <c r="CD46" s="49" t="n"/>
      <c r="CE46" s="48" t="n"/>
      <c r="CF46" s="49" t="n"/>
      <c r="CG46" s="49" t="n"/>
      <c r="CH46" s="49" t="n"/>
      <c r="CI46" s="49" t="n"/>
      <c r="CJ46" s="48" t="n"/>
      <c r="CK46" s="49" t="n"/>
      <c r="CL46" s="49" t="n"/>
      <c r="CM46" s="49" t="n"/>
      <c r="CN46" s="49" t="n"/>
      <c r="CO46" s="48" t="n"/>
      <c r="CP46" s="49" t="n"/>
      <c r="CQ46" s="49" t="n"/>
      <c r="CR46" s="49" t="n"/>
      <c r="CS46" s="49" t="n"/>
      <c r="CT46" s="48" t="n"/>
      <c r="CU46" s="49" t="n"/>
      <c r="CV46" s="49" t="n"/>
      <c r="CW46" s="49" t="n"/>
      <c r="CX46" s="49" t="n"/>
      <c r="CY46" s="48" t="n"/>
    </row>
    <row r="47" hidden="1" outlineLevel="1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collapsed="1">
      <c r="C49" s="13" t="inlineStr">
        <is>
          <t>SG&amp;A and Other (cash)</t>
        </is>
      </c>
      <c r="D49" s="46" t="n"/>
      <c r="E49" s="46" t="n"/>
      <c r="F49" s="46" t="n"/>
      <c r="G49" s="46" t="n"/>
      <c r="H49" s="12" t="n"/>
      <c r="I49" s="46">
        <f>'Inputs (2)'!D6</f>
        <v>-7690</v>
      </c>
      <c r="J49" s="46">
        <f>'Inputs (2)'!E6</f>
        <v>-9325</v>
      </c>
      <c r="K49" s="46">
        <f>'Inputs (2)'!F6</f>
        <v>-10821</v>
      </c>
      <c r="L49" s="46">
        <f>'Inputs (2)'!G6</f>
        <v>-12724</v>
      </c>
      <c r="M49" s="12">
        <f>'Inputs (2)'!H6</f>
        <v>-40560</v>
      </c>
      <c r="N49" s="46">
        <f>'Inputs (2)'!I6</f>
        <v>-11223</v>
      </c>
      <c r="O49" s="46">
        <f>'Inputs (2)'!J6</f>
        <v>-13293</v>
      </c>
      <c r="P49" s="46">
        <f>'Inputs (2)'!K6</f>
        <v>-14159</v>
      </c>
      <c r="Q49" s="46">
        <f>'Inputs (2)'!L6</f>
        <v>-15054</v>
      </c>
      <c r="R49" s="12">
        <f>'Inputs (2)'!M6</f>
        <v>-53729</v>
      </c>
      <c r="S49" s="46">
        <f>'Inputs (2)'!N6</f>
        <v>-12786</v>
      </c>
      <c r="T49" s="46">
        <f>'Inputs (2)'!O6</f>
        <v>-14039</v>
      </c>
      <c r="U49" s="46">
        <f>'Inputs (2)'!P6</f>
        <v>-11329</v>
      </c>
      <c r="V49" s="46">
        <f>'Inputs (2)'!Q6</f>
        <v>-12860</v>
      </c>
      <c r="W49" s="12">
        <f>'Inputs (2)'!R6</f>
        <v>-51014</v>
      </c>
      <c r="X49" s="46">
        <f>'Inputs (2)'!S6</f>
        <v>-12623</v>
      </c>
      <c r="Y49" s="46">
        <f>'Inputs (2)'!T6</f>
        <v>-13279</v>
      </c>
      <c r="Z49" s="46">
        <f>'Inputs (2)'!U6</f>
        <v>-11837</v>
      </c>
      <c r="AA49" s="46">
        <f>'Inputs (2)'!V6</f>
        <v>-11722</v>
      </c>
      <c r="AB49" s="12">
        <f>'Inputs (2)'!W6</f>
        <v>-49461</v>
      </c>
      <c r="AC49" s="46">
        <f>'Inputs (2)'!X6</f>
        <v>-13287</v>
      </c>
      <c r="AD49" s="46">
        <f>'Inputs (2)'!Y6</f>
        <v>-14242</v>
      </c>
      <c r="AE49" s="46">
        <f>'Inputs (2)'!Z6</f>
        <v>-16538</v>
      </c>
      <c r="AF49" s="46">
        <f>'Inputs (2)'!AA6</f>
        <v>-18831</v>
      </c>
      <c r="AG49" s="12">
        <f>'Inputs (2)'!AB6</f>
        <v>-62898</v>
      </c>
      <c r="AH49" s="12">
        <f>'Inputs (2)'!AC6</f>
        <v>-17222</v>
      </c>
      <c r="AI49" s="12">
        <f>'Inputs (2)'!AD6</f>
        <v>-24340</v>
      </c>
      <c r="AJ49" s="12">
        <f>-AJ15*AJ50</f>
        <v>-20857.6668413888</v>
      </c>
      <c r="AK49" s="12">
        <f>-AK15*AK50</f>
        <v>-24378.9906742769</v>
      </c>
      <c r="AL49" s="12">
        <f>SUM(AH49:AK49)</f>
        <v>-86798.6575156657</v>
      </c>
      <c r="AM49" s="12">
        <f>-AM15*AM50</f>
        <v>-22920.9647848531</v>
      </c>
      <c r="AN49" s="12">
        <f>-AN15*AN50</f>
        <v>-24748.5851766769</v>
      </c>
      <c r="AO49" s="12">
        <f>-AO15*AO50</f>
        <v>-26028.7869884578</v>
      </c>
      <c r="AP49" s="12">
        <f>-AP15*AP50</f>
        <v>-30423.1321786758</v>
      </c>
      <c r="AQ49" s="12">
        <f>SUM(AM49:AP49)</f>
        <v>-104121.469128664</v>
      </c>
      <c r="AR49" s="12">
        <f>-AR15*AR50</f>
        <v>-28489.0215783834</v>
      </c>
      <c r="AS49" s="12">
        <f>-AS15*AS50</f>
        <v>-30760.6151726534</v>
      </c>
      <c r="AT49" s="12">
        <f>-AT15*AT50</f>
        <v>-32351.8089719918</v>
      </c>
      <c r="AU49" s="12">
        <f>-AU15*AU50</f>
        <v>-37813.646906044</v>
      </c>
      <c r="AV49" s="12">
        <f>SUM(AR49:AU49)</f>
        <v>-129415.092629073</v>
      </c>
      <c r="AW49" s="12">
        <f>-AW15*AW50</f>
        <v>-35267.2489478287</v>
      </c>
      <c r="AX49" s="12">
        <f>-AX15*AX50</f>
        <v>-38079.3096069495</v>
      </c>
      <c r="AY49" s="12">
        <f>-AY15*AY50</f>
        <v>-40049.0869013753</v>
      </c>
      <c r="AZ49" s="12">
        <f>-AZ15*AZ50</f>
        <v>-46810.428199213</v>
      </c>
      <c r="BA49" s="12">
        <f>SUM(AW49:AZ49)</f>
        <v>-160206.073655367</v>
      </c>
      <c r="BB49" s="12">
        <f>-BB15*BB50</f>
        <v>-43481.8443258377</v>
      </c>
      <c r="BC49" s="12">
        <f>-BC15*BC50</f>
        <v>-46948.9019348841</v>
      </c>
      <c r="BD49" s="12">
        <f>-BD15*BD50</f>
        <v>-49377.4880091622</v>
      </c>
      <c r="BE49" s="12">
        <f>-BE15*BE50</f>
        <v>-57713.7092489121</v>
      </c>
      <c r="BF49" s="12">
        <f>SUM(BB49:BE49)</f>
        <v>-197521.943518796</v>
      </c>
      <c r="BG49" s="12" t="n"/>
      <c r="BH49" s="12" t="n"/>
      <c r="BI49" s="12" t="n"/>
      <c r="BJ49" s="12" t="n"/>
      <c r="BK49" s="12" t="n"/>
      <c r="BL49" s="12" t="n"/>
      <c r="BM49" s="12" t="n"/>
      <c r="BN49" s="12" t="n"/>
      <c r="BO49" s="12" t="n"/>
      <c r="BP49" s="12" t="n"/>
      <c r="BQ49" s="12" t="n"/>
      <c r="BR49" s="12" t="n"/>
      <c r="BS49" s="12" t="n"/>
      <c r="BT49" s="12" t="n"/>
      <c r="BU49" s="12" t="n"/>
      <c r="BV49" s="12" t="n"/>
      <c r="BW49" s="12" t="n"/>
      <c r="BX49" s="12" t="n"/>
      <c r="BY49" s="12" t="n"/>
      <c r="BZ49" s="12" t="n"/>
      <c r="CA49" s="12" t="n"/>
      <c r="CB49" s="12" t="n"/>
      <c r="CC49" s="12" t="n"/>
      <c r="CD49" s="12" t="n"/>
      <c r="CE49" s="12" t="n"/>
      <c r="CF49" s="12" t="n"/>
      <c r="CG49" s="12" t="n"/>
      <c r="CH49" s="12" t="n"/>
      <c r="CI49" s="12" t="n"/>
      <c r="CJ49" s="12" t="n"/>
      <c r="CK49" s="12" t="n"/>
      <c r="CL49" s="12" t="n"/>
      <c r="CM49" s="12" t="n"/>
      <c r="CN49" s="12" t="n"/>
      <c r="CO49" s="12" t="n"/>
      <c r="CP49" s="12" t="n"/>
      <c r="CQ49" s="12" t="n"/>
      <c r="CR49" s="12" t="n"/>
      <c r="CS49" s="12" t="n"/>
      <c r="CT49" s="12" t="n"/>
      <c r="CU49" s="12" t="n"/>
      <c r="CV49" s="12" t="n"/>
      <c r="CW49" s="12" t="n"/>
      <c r="CX49" s="12" t="n"/>
      <c r="CY49" s="12" t="n"/>
    </row>
    <row r="50" hidden="1" outlineLevel="1">
      <c r="C50" s="38" t="inlineStr">
        <is>
          <t>% SG&amp;A and Other Margin</t>
        </is>
      </c>
      <c r="D50" s="51" t="n"/>
      <c r="E50" s="51" t="n"/>
      <c r="F50" s="51" t="n"/>
      <c r="G50" s="51" t="n"/>
      <c r="H50" s="51" t="n"/>
      <c r="I50" s="51">
        <f>IFERROR(-(I49/I$15),"")</f>
        <v>0.293836689465439</v>
      </c>
      <c r="J50" s="51">
        <f>IFERROR(-(J49/J$15),"")</f>
        <v>0.320700209787805</v>
      </c>
      <c r="K50" s="51">
        <f>IFERROR(-(K49/K$15),"")</f>
        <v>0.373009307135471</v>
      </c>
      <c r="L50" s="51">
        <f>IFERROR(-(L49/L$15),"")</f>
        <v>0.377891954500906</v>
      </c>
      <c r="M50" s="51">
        <f>IFERROR(-(M49/M$15),"")</f>
        <v>0.343935757956058</v>
      </c>
      <c r="N50" s="51">
        <f>IFERROR(-(N49/N$15),"")</f>
        <v>0.402142754765659</v>
      </c>
      <c r="O50" s="51">
        <f>IFERROR(-(O49/O$15),"")</f>
        <v>0.461210186662966</v>
      </c>
      <c r="P50" s="51">
        <f>IFERROR(-(P49/P$15),"")</f>
        <v>0.510897019556903</v>
      </c>
      <c r="Q50" s="51">
        <f>IFERROR(-(Q49/Q$15),"")</f>
        <v>0.468024249961138</v>
      </c>
      <c r="R50" s="51">
        <f>IFERROR(-(R49/R$15),"")</f>
        <v>0.460762033805281</v>
      </c>
      <c r="S50" s="51">
        <f>IFERROR(-(S49/S$15),"")</f>
        <v>0.446360621399895</v>
      </c>
      <c r="T50" s="51">
        <f>IFERROR(-(T49/T$15),"")</f>
        <v>0.438732460389387</v>
      </c>
      <c r="U50" s="51">
        <f>IFERROR(-(U49/U$15),"")</f>
        <v>0.331781174954607</v>
      </c>
      <c r="V50" s="51">
        <f>IFERROR(-(V49/V$15),"")</f>
        <v>0.320610306399741</v>
      </c>
      <c r="W50" s="51">
        <f>IFERROR(-(W49/W$15),"")</f>
        <v>0.378158797933299</v>
      </c>
      <c r="X50" s="51">
        <f>IFERROR(-(X49/X$15),"")</f>
        <v>0.346262515429982</v>
      </c>
      <c r="Y50" s="51">
        <f>IFERROR(-(Y49/Y$15),"")</f>
        <v>0.339868444626449</v>
      </c>
      <c r="Z50" s="51">
        <f>IFERROR(-(Z49/Z$15),"")</f>
        <v>0.291630737391904</v>
      </c>
      <c r="AA50" s="51">
        <f>IFERROR(-(AA49/AA$15),"")</f>
        <v>0.242265164823809</v>
      </c>
      <c r="AB50" s="51">
        <f>IFERROR(-(AB49/AB$15),"")</f>
        <v>0.300674772036474</v>
      </c>
      <c r="AC50" s="51">
        <f>IFERROR(-(AC49/AC$15),"")</f>
        <v>0.314009547667439</v>
      </c>
      <c r="AD50" s="51">
        <f>IFERROR(-(AD49/AD$15),"")</f>
        <v>0.299730617055308</v>
      </c>
      <c r="AE50" s="51">
        <f>IFERROR(-(AE49/AE$15),"")</f>
        <v>0.322743062331681</v>
      </c>
      <c r="AF50" s="41">
        <f>IFERROR(-(AF49/AF$15),"")</f>
        <v>0.314410699080026</v>
      </c>
      <c r="AG50" s="51">
        <f>IFERROR(-(AG49/AG$15),"")</f>
        <v>0.312979872117035</v>
      </c>
      <c r="AH50" s="52">
        <f>IFERROR(-(AH49/AH$15),"")</f>
        <v>0.30583722540889</v>
      </c>
      <c r="AI50" s="52">
        <f>IFERROR(-(AI49/AI$15),"")</f>
        <v>0.400322363119028</v>
      </c>
      <c r="AJ50" s="52">
        <f>Control!$B$20</f>
        <v>0.326175585777062</v>
      </c>
      <c r="AK50" s="52">
        <f>Control!$B$20</f>
        <v>0.326175585777062</v>
      </c>
      <c r="AL50" s="51">
        <f>IFERROR(-(AL49/AL$15),"")</f>
        <v>0.339322278810674</v>
      </c>
      <c r="AM50" s="52">
        <f>Control!$C$20</f>
        <v>0.326175585777062</v>
      </c>
      <c r="AN50" s="52">
        <f>Control!$C$20</f>
        <v>0.326175585777062</v>
      </c>
      <c r="AO50" s="52">
        <f>Control!$C$20</f>
        <v>0.326175585777062</v>
      </c>
      <c r="AP50" s="52">
        <f>Control!$C$20</f>
        <v>0.326175585777062</v>
      </c>
      <c r="AQ50" s="51">
        <f>IFERROR(-(AQ49/AQ$15),"")</f>
        <v>0.326175585777062</v>
      </c>
      <c r="AR50" s="52">
        <f>Control!$D$20</f>
        <v>0.326175585777062</v>
      </c>
      <c r="AS50" s="52">
        <f>Control!$D$20</f>
        <v>0.326175585777062</v>
      </c>
      <c r="AT50" s="52">
        <f>Control!$D$20</f>
        <v>0.326175585777062</v>
      </c>
      <c r="AU50" s="52">
        <f>Control!$D$20</f>
        <v>0.326175585777062</v>
      </c>
      <c r="AV50" s="51">
        <f>IFERROR(-(AV49/AV$15),"")</f>
        <v>0.326175585777062</v>
      </c>
      <c r="AW50" s="52">
        <f>Control!$E$20</f>
        <v>0.326175585777062</v>
      </c>
      <c r="AX50" s="52">
        <f>Control!$E$20</f>
        <v>0.326175585777062</v>
      </c>
      <c r="AY50" s="52">
        <f>Control!$E$20</f>
        <v>0.326175585777062</v>
      </c>
      <c r="AZ50" s="52">
        <f>Control!$E$20</f>
        <v>0.326175585777062</v>
      </c>
      <c r="BA50" s="51">
        <f>IFERROR(-(BA49/BA$15),"")</f>
        <v>0.326175585777062</v>
      </c>
      <c r="BB50" s="52">
        <f>Control!$F$20</f>
        <v>0.326175585777062</v>
      </c>
      <c r="BC50" s="52">
        <f>Control!$F$20</f>
        <v>0.326175585777062</v>
      </c>
      <c r="BD50" s="52">
        <f>Control!$F$20</f>
        <v>0.326175585777062</v>
      </c>
      <c r="BE50" s="52">
        <f>Control!$F$20</f>
        <v>0.326175585777062</v>
      </c>
      <c r="BF50" s="51">
        <f>IFERROR(-(BF49/BF$15),"")</f>
        <v>0.326175585777062</v>
      </c>
      <c r="BG50" s="52" t="n"/>
      <c r="BH50" s="52" t="n"/>
      <c r="BI50" s="52" t="n"/>
      <c r="BJ50" s="52" t="n"/>
      <c r="BK50" s="51" t="n"/>
      <c r="BL50" s="52" t="n"/>
      <c r="BM50" s="52" t="n"/>
      <c r="BN50" s="52" t="n"/>
      <c r="BO50" s="52" t="n"/>
      <c r="BP50" s="51" t="n"/>
      <c r="BQ50" s="52" t="n"/>
      <c r="BR50" s="52" t="n"/>
      <c r="BS50" s="52" t="n"/>
      <c r="BT50" s="52" t="n"/>
      <c r="BU50" s="51" t="n"/>
      <c r="BV50" s="52" t="n"/>
      <c r="BW50" s="52" t="n"/>
      <c r="BX50" s="52" t="n"/>
      <c r="BY50" s="52" t="n"/>
      <c r="BZ50" s="51" t="n"/>
      <c r="CA50" s="52" t="n"/>
      <c r="CB50" s="52" t="n"/>
      <c r="CC50" s="52" t="n"/>
      <c r="CD50" s="52" t="n"/>
      <c r="CE50" s="51" t="n"/>
      <c r="CF50" s="52" t="n"/>
      <c r="CG50" s="52" t="n"/>
      <c r="CH50" s="52" t="n"/>
      <c r="CI50" s="52" t="n"/>
      <c r="CJ50" s="51" t="n"/>
      <c r="CK50" s="52" t="n"/>
      <c r="CL50" s="52" t="n"/>
      <c r="CM50" s="52" t="n"/>
      <c r="CN50" s="52" t="n"/>
      <c r="CO50" s="51" t="n"/>
      <c r="CP50" s="52" t="n"/>
      <c r="CQ50" s="52" t="n"/>
      <c r="CR50" s="52" t="n"/>
      <c r="CS50" s="52" t="n"/>
      <c r="CT50" s="51" t="n"/>
      <c r="CU50" s="52" t="n"/>
      <c r="CV50" s="52" t="n"/>
      <c r="CW50" s="52" t="n"/>
      <c r="CX50" s="52" t="n"/>
      <c r="CY50" s="51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inlineStr">
        <is>
          <t>Com Vendas</t>
        </is>
      </c>
      <c r="D52" s="11" t="n"/>
      <c r="E52" s="11" t="n"/>
      <c r="F52" s="11" t="n"/>
      <c r="G52" s="11" t="n"/>
      <c r="H52" s="50" t="n"/>
      <c r="I52" s="11" t="n"/>
      <c r="J52" s="11" t="n"/>
      <c r="K52" s="11" t="n"/>
      <c r="L52" s="11" t="n"/>
      <c r="M52" s="50" t="n"/>
      <c r="N52" s="11" t="n"/>
      <c r="O52" s="11" t="n"/>
      <c r="P52" s="11" t="n"/>
      <c r="Q52" s="11" t="n"/>
      <c r="R52" s="50" t="n"/>
      <c r="S52" s="11" t="n"/>
      <c r="T52" s="11" t="n"/>
      <c r="U52" s="11" t="n"/>
      <c r="V52" s="11" t="n"/>
      <c r="W52" s="50" t="n"/>
      <c r="X52" s="11" t="n"/>
      <c r="Y52" s="11" t="n"/>
      <c r="Z52" s="11" t="n"/>
      <c r="AA52" s="11" t="n"/>
      <c r="AB52" s="50" t="n"/>
      <c r="AC52" s="11" t="n"/>
      <c r="AD52" s="11" t="n"/>
      <c r="AE52" s="11" t="n"/>
      <c r="AF52" s="11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Gerais &amp; Administrativas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Outras Receitas (Despesas) Operacionais, Líquidas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inlineStr">
        <is>
          <t>Com Vendas (%)</t>
        </is>
      </c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Gerais &amp; Administrativas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Outras Receitas (Despesas) Operacionais, Líquidas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 customFormat="1" s="32">
      <c r="A60" s="30" t="n"/>
      <c r="B60" s="3" t="n"/>
      <c r="C60" s="33" t="inlineStr">
        <is>
          <t>EBITDA</t>
        </is>
      </c>
      <c r="D60" s="35" t="n"/>
      <c r="E60" s="35" t="n"/>
      <c r="F60" s="35" t="n"/>
      <c r="G60" s="35" t="n"/>
      <c r="H60" s="35" t="n"/>
      <c r="I60" s="35">
        <f>SUM(I15,I45,I49)</f>
        <v>13350</v>
      </c>
      <c r="J60" s="35">
        <f>SUM(J15,J45,J49)</f>
        <v>14353</v>
      </c>
      <c r="K60" s="35">
        <f>SUM(K15,K45,K49)</f>
        <v>12418</v>
      </c>
      <c r="L60" s="35">
        <f>SUM(L15,L45,L49)</f>
        <v>14599</v>
      </c>
      <c r="M60" s="35">
        <f>SUM(I60:L60)</f>
        <v>54720</v>
      </c>
      <c r="N60" s="35">
        <f>SUM(N15,N45,N49)</f>
        <v>10680</v>
      </c>
      <c r="O60" s="35">
        <f>SUM(O15,O45,O49)</f>
        <v>10337</v>
      </c>
      <c r="P60" s="35">
        <f>SUM(P15,P45,P49)</f>
        <v>7839</v>
      </c>
      <c r="Q60" s="35">
        <f>SUM(Q15,Q45,Q49)</f>
        <v>8775</v>
      </c>
      <c r="R60" s="35">
        <f>SUM(N60:Q60)</f>
        <v>37631</v>
      </c>
      <c r="S60" s="35">
        <f>SUM(S15,S45,S49)</f>
        <v>9751</v>
      </c>
      <c r="T60" s="35">
        <f>SUM(T15,T45,T49)</f>
        <v>12015</v>
      </c>
      <c r="U60" s="35">
        <f>SUM(U15,U45,U49)</f>
        <v>16607</v>
      </c>
      <c r="V60" s="35">
        <f>SUM(V15,V45,V49)</f>
        <v>19556</v>
      </c>
      <c r="W60" s="35">
        <f>SUM(S60:V60)</f>
        <v>57929</v>
      </c>
      <c r="X60" s="35">
        <f>SUM(X15,X45,X49)</f>
        <v>17192</v>
      </c>
      <c r="Y60" s="35">
        <f>SUM(Y15,Y45,Y49)</f>
        <v>18484</v>
      </c>
      <c r="Z60" s="35">
        <f>SUM(Z15,Z45,Z49)</f>
        <v>21377</v>
      </c>
      <c r="AA60" s="35">
        <f>SUM(AA15,AA45,AA49)</f>
        <v>27824</v>
      </c>
      <c r="AB60" s="35">
        <f>SUM(X60:AA60)</f>
        <v>84877</v>
      </c>
      <c r="AC60" s="35">
        <f>SUM(AC15,AC45,AC49)</f>
        <v>21455</v>
      </c>
      <c r="AD60" s="35">
        <f>SUM(AD15,AD45,AD49)</f>
        <v>24783</v>
      </c>
      <c r="AE60" s="35">
        <f>SUM(AE15,AE45,AE49)</f>
        <v>25498</v>
      </c>
      <c r="AF60" s="35">
        <f>SUM(AF15,AF45,AF49)</f>
        <v>30156</v>
      </c>
      <c r="AG60" s="35">
        <f>SUM(AC60:AF60)</f>
        <v>101892</v>
      </c>
      <c r="AH60" s="35">
        <f>SUM(AH15,AH45,AH49)</f>
        <v>28871</v>
      </c>
      <c r="AI60" s="35">
        <f>SUM(AI15,AI45,AI49)</f>
        <v>25131</v>
      </c>
      <c r="AJ60" s="35">
        <f>SUM(AJ15,AJ45,AJ49)</f>
        <v>31501.463322657</v>
      </c>
      <c r="AK60" s="35">
        <f>SUM(AK15,AK45,AK49)</f>
        <v>36819.7405016178</v>
      </c>
      <c r="AL60" s="35">
        <f>SUM(AH60:AK60)</f>
        <v>122323.203824275</v>
      </c>
      <c r="AM60" s="35">
        <f>SUM(AM15,AM45,AM49)</f>
        <v>34617.6749768186</v>
      </c>
      <c r="AN60" s="35">
        <f>SUM(AN15,AN45,AN49)</f>
        <v>37377.9413660839</v>
      </c>
      <c r="AO60" s="35">
        <f>SUM(AO15,AO45,AO49)</f>
        <v>39311.4380858316</v>
      </c>
      <c r="AP60" s="35">
        <f>SUM(AP15,AP45,AP49)</f>
        <v>45948.2448240644</v>
      </c>
      <c r="AQ60" s="35">
        <f>SUM(AM60:AP60)</f>
        <v>157255.299252799</v>
      </c>
      <c r="AR60" s="35">
        <f>SUM(AR15,AR45,AR49)</f>
        <v>43027.1456138607</v>
      </c>
      <c r="AS60" s="35">
        <f>SUM(AS15,AS45,AS49)</f>
        <v>46457.947478616</v>
      </c>
      <c r="AT60" s="35">
        <f>SUM(AT15,AT45,AT49)</f>
        <v>48861.1373219609</v>
      </c>
      <c r="AU60" s="35">
        <f>SUM(AU15,AU45,AU49)</f>
        <v>57110.1849581243</v>
      </c>
      <c r="AV60" s="35">
        <f>SUM(AR60:AU60)</f>
        <v>195456.415372562</v>
      </c>
      <c r="AW60" s="35">
        <f>SUM(AW15,AW45,AW49)</f>
        <v>53264.3443616855</v>
      </c>
      <c r="AX60" s="35">
        <f>SUM(AX15,AX45,AX49)</f>
        <v>57511.4169795393</v>
      </c>
      <c r="AY60" s="35">
        <f>SUM(AY15,AY45,AY49)</f>
        <v>60486.3838186408</v>
      </c>
      <c r="AZ60" s="35">
        <f>SUM(AZ15,AZ45,AZ49)</f>
        <v>70698.0794280054</v>
      </c>
      <c r="BA60" s="35">
        <f>SUM(AW60:AZ60)</f>
        <v>241960.224587871</v>
      </c>
      <c r="BB60" s="35">
        <f>SUM(BB15,BB45,BB49)</f>
        <v>65670.8986028016</v>
      </c>
      <c r="BC60" s="35">
        <f>SUM(BC15,BC45,BC49)</f>
        <v>70907.2171680301</v>
      </c>
      <c r="BD60" s="35">
        <f>SUM(BD15,BD45,BD49)</f>
        <v>74575.1257469981</v>
      </c>
      <c r="BE60" s="35">
        <f>SUM(BE15,BE45,BE49)</f>
        <v>87165.3722798672</v>
      </c>
      <c r="BF60" s="35">
        <f>SUM(BB60:BE60)</f>
        <v>298318.613797697</v>
      </c>
      <c r="BG60" s="35" t="n"/>
      <c r="BH60" s="35" t="n"/>
      <c r="BI60" s="35" t="n"/>
      <c r="BJ60" s="35" t="n"/>
      <c r="BK60" s="35" t="n"/>
      <c r="BL60" s="35" t="n"/>
      <c r="BM60" s="35" t="n"/>
      <c r="BN60" s="35" t="n"/>
      <c r="BO60" s="35" t="n"/>
      <c r="BP60" s="35" t="n"/>
      <c r="BQ60" s="35" t="n"/>
      <c r="BR60" s="35" t="n"/>
      <c r="BS60" s="35" t="n"/>
      <c r="BT60" s="35" t="n"/>
      <c r="BU60" s="35" t="n"/>
      <c r="BV60" s="35" t="n"/>
      <c r="BW60" s="35" t="n"/>
      <c r="BX60" s="35" t="n"/>
      <c r="BY60" s="35" t="n"/>
      <c r="BZ60" s="35" t="n"/>
      <c r="CA60" s="35" t="n"/>
      <c r="CB60" s="35" t="n"/>
      <c r="CC60" s="35" t="n"/>
      <c r="CD60" s="35" t="n"/>
      <c r="CE60" s="35" t="n"/>
      <c r="CF60" s="35" t="n"/>
      <c r="CG60" s="35" t="n"/>
      <c r="CH60" s="35" t="n"/>
      <c r="CI60" s="35" t="n"/>
      <c r="CJ60" s="35" t="n"/>
      <c r="CK60" s="35" t="n"/>
      <c r="CL60" s="35" t="n"/>
      <c r="CM60" s="35" t="n"/>
      <c r="CN60" s="35" t="n"/>
      <c r="CO60" s="35" t="n"/>
      <c r="CP60" s="35" t="n"/>
      <c r="CQ60" s="35" t="n"/>
      <c r="CR60" s="35" t="n"/>
      <c r="CS60" s="35" t="n"/>
      <c r="CT60" s="35" t="n"/>
      <c r="CU60" s="35" t="n"/>
      <c r="CV60" s="35" t="n"/>
      <c r="CW60" s="35" t="n"/>
      <c r="CX60" s="35" t="n"/>
      <c r="CY60" s="35" t="n"/>
    </row>
    <row r="61" ht="13.5" customHeight="1">
      <c r="C61" s="13" t="inlineStr">
        <is>
          <t>D&amp;A</t>
        </is>
      </c>
      <c r="D61" s="46" t="n"/>
      <c r="E61" s="46" t="n"/>
      <c r="F61" s="46" t="n"/>
      <c r="G61" s="46" t="n"/>
      <c r="H61" s="12" t="n"/>
      <c r="I61" s="46">
        <f>'Inputs (2)'!D7</f>
        <v>-1972</v>
      </c>
      <c r="J61" s="46">
        <f>'Inputs (2)'!E7</f>
        <v>-1986</v>
      </c>
      <c r="K61" s="46">
        <f>'Inputs (2)'!F7</f>
        <v>-1995</v>
      </c>
      <c r="L61" s="46">
        <f>'Inputs (2)'!G7</f>
        <v>-2014</v>
      </c>
      <c r="M61" s="12">
        <f>'Inputs (2)'!H7</f>
        <v>-7967</v>
      </c>
      <c r="N61" s="46">
        <f>'Inputs (2)'!I7</f>
        <v>-2156</v>
      </c>
      <c r="O61" s="46">
        <f>'Inputs (2)'!J7</f>
        <v>-1979</v>
      </c>
      <c r="P61" s="46">
        <f>'Inputs (2)'!K7</f>
        <v>-2175</v>
      </c>
      <c r="Q61" s="46">
        <f>'Inputs (2)'!L7</f>
        <v>-2376</v>
      </c>
      <c r="R61" s="12">
        <f>'Inputs (2)'!M7</f>
        <v>-8686</v>
      </c>
      <c r="S61" s="46">
        <f>'Inputs (2)'!N7</f>
        <v>-2524</v>
      </c>
      <c r="T61" s="46">
        <f>'Inputs (2)'!O7</f>
        <v>-2623</v>
      </c>
      <c r="U61" s="46">
        <f>'Inputs (2)'!P7</f>
        <v>-2859</v>
      </c>
      <c r="V61" s="46">
        <f>'Inputs (2)'!Q7</f>
        <v>-3172</v>
      </c>
      <c r="W61" s="12">
        <f>'Inputs (2)'!R7</f>
        <v>-11178</v>
      </c>
      <c r="X61" s="46">
        <f>'Inputs (2)'!S7</f>
        <v>-3374</v>
      </c>
      <c r="Y61" s="46">
        <f>'Inputs (2)'!T7</f>
        <v>-3637</v>
      </c>
      <c r="Z61" s="46">
        <f>'Inputs (2)'!U7</f>
        <v>-4027</v>
      </c>
      <c r="AA61" s="46">
        <f>'Inputs (2)'!V7</f>
        <v>-4460</v>
      </c>
      <c r="AB61" s="12">
        <f>'Inputs (2)'!W7</f>
        <v>-15498</v>
      </c>
      <c r="AC61" s="46">
        <f>'Inputs (2)'!X7</f>
        <v>-3900</v>
      </c>
      <c r="AD61" s="46">
        <f>'Inputs (2)'!Y7</f>
        <v>-4342</v>
      </c>
      <c r="AE61" s="46">
        <f>'Inputs (2)'!Z7</f>
        <v>-4963</v>
      </c>
      <c r="AF61" s="46">
        <f>'Inputs (2)'!AA7</f>
        <v>-5411</v>
      </c>
      <c r="AG61" s="12">
        <f>'Inputs (2)'!AB7</f>
        <v>-18616</v>
      </c>
      <c r="AH61" s="12">
        <f>'Inputs (2)'!AC7</f>
        <v>-5999</v>
      </c>
      <c r="AI61" s="12">
        <f>'Inputs (2)'!AD7</f>
        <v>-6356</v>
      </c>
      <c r="AJ61" s="12">
        <f>-AJ62*AJ15</f>
        <v>-6200.82999660499</v>
      </c>
      <c r="AK61" s="12">
        <f>-AK62*AK15</f>
        <v>-7247.69351287348</v>
      </c>
      <c r="AL61" s="12">
        <f>SUM(AH61:AK61)</f>
        <v>-25803.5235094785</v>
      </c>
      <c r="AM61" s="12">
        <f>-AM62*AM15</f>
        <v>-6814.2332059409</v>
      </c>
      <c r="AN61" s="12">
        <f>-AN62*AN15</f>
        <v>-7357.5712232852</v>
      </c>
      <c r="AO61" s="12">
        <f>-AO62*AO15</f>
        <v>-7738.16574790608</v>
      </c>
      <c r="AP61" s="12">
        <f>-AP62*AP15</f>
        <v>-9044.57205299049</v>
      </c>
      <c r="AQ61" s="12">
        <f>SUM(AM61:AP61)</f>
        <v>-30954.5422301227</v>
      </c>
      <c r="AR61" s="12">
        <f>-AR62*AR15</f>
        <v>-8469.57528473996</v>
      </c>
      <c r="AS61" s="12">
        <f>-AS62*AS15</f>
        <v>-9144.90324958666</v>
      </c>
      <c r="AT61" s="12">
        <f>-AT62*AT15</f>
        <v>-9617.95339063937</v>
      </c>
      <c r="AU61" s="12">
        <f>-AU62*AU15</f>
        <v>-11241.717388579</v>
      </c>
      <c r="AV61" s="12">
        <f>SUM(AR61:AU61)</f>
        <v>-38474.149313545</v>
      </c>
      <c r="AW61" s="12">
        <f>-AW62*AW15</f>
        <v>-10484.692119997</v>
      </c>
      <c r="AX61" s="12">
        <f>-AX62*AX15</f>
        <v>-11320.6969435446</v>
      </c>
      <c r="AY61" s="12">
        <f>-AY62*AY15</f>
        <v>-11906.2971560127</v>
      </c>
      <c r="AZ61" s="12">
        <f>-AZ62*AZ15</f>
        <v>-13916.3938871447</v>
      </c>
      <c r="BA61" s="12">
        <f>SUM(AW61:AZ61)</f>
        <v>-47628.0801066991</v>
      </c>
      <c r="BB61" s="12">
        <f>-BB62*BB15</f>
        <v>-12926.8305344842</v>
      </c>
      <c r="BC61" s="12">
        <f>-BC62*BC15</f>
        <v>-13957.561103997</v>
      </c>
      <c r="BD61" s="12">
        <f>-BD62*BD15</f>
        <v>-14679.5617713409</v>
      </c>
      <c r="BE61" s="12">
        <f>-BE62*BE15</f>
        <v>-17157.8586544421</v>
      </c>
      <c r="BF61" s="12">
        <f>SUM(BB61:BE61)</f>
        <v>-58721.8120642642</v>
      </c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 customFormat="1" s="56">
      <c r="A62" s="53" t="n"/>
      <c r="B62" s="53" t="n"/>
      <c r="C62" s="54" t="inlineStr">
        <is>
          <t>% of Revenue</t>
        </is>
      </c>
      <c r="D62" s="53" t="n"/>
      <c r="E62" s="53" t="n"/>
      <c r="F62" s="53" t="n"/>
      <c r="G62" s="53" t="n"/>
      <c r="H62" s="53" t="n"/>
      <c r="I62" s="53">
        <f>IFERROR(-I61/I15,"")</f>
        <v>0.0753505788850254</v>
      </c>
      <c r="J62" s="53">
        <f>IFERROR(-J61/J15,"")</f>
        <v>0.0683014066100354</v>
      </c>
      <c r="K62" s="53">
        <f>IFERROR(-K61/K15,"")</f>
        <v>0.0687693898655636</v>
      </c>
      <c r="L62" s="53">
        <f>IFERROR(-L61/L15,"")</f>
        <v>0.0598140833358083</v>
      </c>
      <c r="M62" s="53" t="n"/>
      <c r="N62" s="53">
        <f>IFERROR(-N61/N15,"")</f>
        <v>0.0772538340260857</v>
      </c>
      <c r="O62" s="53">
        <f>IFERROR(-O61/O15,"")</f>
        <v>0.0686628270071473</v>
      </c>
      <c r="P62" s="53">
        <f>IFERROR(-P61/P15,"")</f>
        <v>0.078480190517428</v>
      </c>
      <c r="Q62" s="53">
        <f>IFERROR(-Q61/Q15,"")</f>
        <v>0.073869112389243</v>
      </c>
      <c r="R62" s="53" t="n"/>
      <c r="S62" s="53">
        <f>IFERROR(-S61/S15,"")</f>
        <v>0.0881131087449817</v>
      </c>
      <c r="T62" s="53">
        <f>IFERROR(-T61/T15,"")</f>
        <v>0.0819713116034876</v>
      </c>
      <c r="U62" s="53">
        <f>IFERROR(-U61/U15,"")</f>
        <v>0.0837286944298014</v>
      </c>
      <c r="V62" s="53">
        <f>IFERROR(-V61/V15,"")</f>
        <v>0.0790805514696717</v>
      </c>
      <c r="W62" s="53" t="n"/>
      <c r="X62" s="53">
        <f>IFERROR(-X61/X15,"")</f>
        <v>0.0925524619393773</v>
      </c>
      <c r="Y62" s="53">
        <f>IFERROR(-Y61/Y15,"")</f>
        <v>0.0930869442809245</v>
      </c>
      <c r="Z62" s="53">
        <f>IFERROR(-Z61/Z15,"")</f>
        <v>0.099214072778339</v>
      </c>
      <c r="AA62" s="53">
        <f>IFERROR(-AA61/AA15,"")</f>
        <v>0.0921773276841996</v>
      </c>
      <c r="AB62" s="53" t="n"/>
      <c r="AC62" s="53">
        <f>IFERROR(-AC61/AC15,"")</f>
        <v>0.092168076759465</v>
      </c>
      <c r="AD62" s="53">
        <f>IFERROR(-AD61/AD15,"")</f>
        <v>0.091379745769846</v>
      </c>
      <c r="AE62" s="53">
        <f>IFERROR(-AE61/AE15,"")</f>
        <v>0.09685414308575</v>
      </c>
      <c r="AF62" s="55">
        <f>IFERROR(-AF61/AF15,"")</f>
        <v>0.0903444475982168</v>
      </c>
      <c r="AG62" s="53" t="n"/>
      <c r="AH62" s="55">
        <f>IFERROR(-AH61/AH15,"")</f>
        <v>0.106533359379162</v>
      </c>
      <c r="AI62" s="55">
        <f>IFERROR(-AI61/AI15,"")</f>
        <v>0.104537754313251</v>
      </c>
      <c r="AJ62" s="55">
        <f>Control!$B$21</f>
        <v>0.0969695878176152</v>
      </c>
      <c r="AK62" s="55">
        <f>Control!$B$21</f>
        <v>0.0969695878176152</v>
      </c>
      <c r="AL62" s="53" t="n"/>
      <c r="AM62" s="55">
        <f>Control!$C$21</f>
        <v>0.0969695878176152</v>
      </c>
      <c r="AN62" s="55">
        <f>Control!$C$21</f>
        <v>0.0969695878176152</v>
      </c>
      <c r="AO62" s="55">
        <f>Control!$C$21</f>
        <v>0.0969695878176152</v>
      </c>
      <c r="AP62" s="55">
        <f>Control!$C$21</f>
        <v>0.0969695878176152</v>
      </c>
      <c r="AQ62" s="53" t="n"/>
      <c r="AR62" s="55">
        <f>Control!$D$21</f>
        <v>0.0969695878176152</v>
      </c>
      <c r="AS62" s="55">
        <f>Control!$D$21</f>
        <v>0.0969695878176152</v>
      </c>
      <c r="AT62" s="55">
        <f>Control!$D$21</f>
        <v>0.0969695878176152</v>
      </c>
      <c r="AU62" s="55">
        <f>Control!$D$21</f>
        <v>0.0969695878176152</v>
      </c>
      <c r="AV62" s="53" t="n"/>
      <c r="AW62" s="55">
        <f>Control!$E$21</f>
        <v>0.0969695878176152</v>
      </c>
      <c r="AX62" s="55">
        <f>Control!$E$21</f>
        <v>0.0969695878176152</v>
      </c>
      <c r="AY62" s="55">
        <f>Control!$E$21</f>
        <v>0.0969695878176152</v>
      </c>
      <c r="AZ62" s="55">
        <f>Control!$E$21</f>
        <v>0.0969695878176152</v>
      </c>
      <c r="BA62" s="53" t="n"/>
      <c r="BB62" s="55">
        <f>Control!$F$21</f>
        <v>0.0969695878176152</v>
      </c>
      <c r="BC62" s="55">
        <f>Control!$F$21</f>
        <v>0.0969695878176152</v>
      </c>
      <c r="BD62" s="55">
        <f>Control!$F$21</f>
        <v>0.0969695878176152</v>
      </c>
      <c r="BE62" s="55">
        <f>Control!$F$21</f>
        <v>0.0969695878176152</v>
      </c>
      <c r="BF62" s="53" t="n"/>
      <c r="BG62" s="55" t="n"/>
      <c r="BH62" s="55" t="n"/>
      <c r="BI62" s="55" t="n"/>
      <c r="BJ62" s="55" t="n"/>
      <c r="BK62" s="53" t="n"/>
      <c r="BL62" s="55" t="n"/>
      <c r="BM62" s="55" t="n"/>
      <c r="BN62" s="55" t="n"/>
      <c r="BO62" s="55" t="n"/>
      <c r="BP62" s="53" t="n"/>
      <c r="BQ62" s="55" t="n"/>
      <c r="BR62" s="55" t="n"/>
      <c r="BS62" s="55" t="n"/>
      <c r="BT62" s="55" t="n"/>
      <c r="BU62" s="53" t="n"/>
      <c r="BV62" s="55" t="n"/>
      <c r="BW62" s="55" t="n"/>
      <c r="BX62" s="55" t="n"/>
      <c r="BY62" s="55" t="n"/>
      <c r="BZ62" s="53" t="n"/>
      <c r="CA62" s="55" t="n"/>
      <c r="CB62" s="55" t="n"/>
      <c r="CC62" s="55" t="n"/>
      <c r="CD62" s="55" t="n"/>
      <c r="CE62" s="53" t="n"/>
      <c r="CF62" s="55" t="n"/>
      <c r="CG62" s="55" t="n"/>
      <c r="CH62" s="55" t="n"/>
      <c r="CI62" s="55" t="n"/>
      <c r="CJ62" s="53" t="n"/>
      <c r="CK62" s="55" t="n"/>
      <c r="CL62" s="55" t="n"/>
      <c r="CM62" s="55" t="n"/>
      <c r="CN62" s="55" t="n"/>
      <c r="CO62" s="53" t="n"/>
      <c r="CP62" s="55" t="n"/>
      <c r="CQ62" s="55" t="n"/>
      <c r="CR62" s="55" t="n"/>
      <c r="CS62" s="55" t="n"/>
      <c r="CT62" s="53" t="n"/>
      <c r="CU62" s="55" t="n"/>
      <c r="CV62" s="55" t="n"/>
      <c r="CW62" s="55" t="n"/>
      <c r="CX62" s="55" t="n"/>
      <c r="CY62" s="53" t="n"/>
    </row>
    <row r="63" hidden="1" outlineLevel="1">
      <c r="C63" s="50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collapsed="1" customFormat="1" s="32">
      <c r="A64" s="30" t="n"/>
      <c r="B64" s="3" t="n"/>
      <c r="C64" s="33" t="inlineStr">
        <is>
          <t>Operating Profit - EBIT</t>
        </is>
      </c>
      <c r="D64" s="35" t="n"/>
      <c r="E64" s="35" t="n"/>
      <c r="F64" s="35" t="n"/>
      <c r="G64" s="35" t="n"/>
      <c r="H64" s="35" t="n"/>
      <c r="I64" s="35">
        <f>SUM(I60,I61)</f>
        <v>11378</v>
      </c>
      <c r="J64" s="35">
        <f>SUM(J60,J61)</f>
        <v>12367</v>
      </c>
      <c r="K64" s="35">
        <f>SUM(K60,K61)</f>
        <v>10423</v>
      </c>
      <c r="L64" s="35">
        <f>SUM(L60,L61)</f>
        <v>12585</v>
      </c>
      <c r="M64" s="35">
        <f>SUM(I64:L64)</f>
        <v>46753</v>
      </c>
      <c r="N64" s="35">
        <f>SUM(N60,N61)</f>
        <v>8524</v>
      </c>
      <c r="O64" s="35">
        <f>SUM(O60,O61)</f>
        <v>8358</v>
      </c>
      <c r="P64" s="35">
        <f>SUM(P60,P61)</f>
        <v>5664</v>
      </c>
      <c r="Q64" s="35">
        <f>SUM(Q60,Q61)</f>
        <v>6399</v>
      </c>
      <c r="R64" s="35">
        <f>SUM(N64:Q64)</f>
        <v>28945</v>
      </c>
      <c r="S64" s="35">
        <f>SUM(S60,S61)</f>
        <v>7227</v>
      </c>
      <c r="T64" s="35">
        <f>SUM(T60,T61)</f>
        <v>9392</v>
      </c>
      <c r="U64" s="35">
        <f>SUM(U60,U61)</f>
        <v>13748</v>
      </c>
      <c r="V64" s="35">
        <f>SUM(V60,V61)</f>
        <v>16384</v>
      </c>
      <c r="W64" s="35">
        <f>SUM(S64:V64)</f>
        <v>46751</v>
      </c>
      <c r="X64" s="35">
        <f>SUM(X60,X61)</f>
        <v>13818</v>
      </c>
      <c r="Y64" s="35">
        <f>SUM(Y60,Y61)</f>
        <v>14847</v>
      </c>
      <c r="Z64" s="35">
        <f>SUM(Z60,Z61)</f>
        <v>17350</v>
      </c>
      <c r="AA64" s="35">
        <f>SUM(AA60,AA61)</f>
        <v>23364</v>
      </c>
      <c r="AB64" s="35">
        <f>SUM(X64:AA64)</f>
        <v>69379</v>
      </c>
      <c r="AC64" s="35">
        <f>SUM(AC60,AC61)</f>
        <v>17555</v>
      </c>
      <c r="AD64" s="35">
        <f>SUM(AD60,AD61)</f>
        <v>20441</v>
      </c>
      <c r="AE64" s="35">
        <f>SUM(AE60,AE61)</f>
        <v>20535</v>
      </c>
      <c r="AF64" s="35">
        <f>SUM(AF60,AF61)</f>
        <v>24745</v>
      </c>
      <c r="AG64" s="35">
        <f>SUM(AC64:AF64)</f>
        <v>83276</v>
      </c>
      <c r="AH64" s="35">
        <f>SUM(AH60,AH61)</f>
        <v>22872</v>
      </c>
      <c r="AI64" s="35">
        <f>SUM(AI60,AI61)</f>
        <v>18775</v>
      </c>
      <c r="AJ64" s="35">
        <f>SUM(AJ60,AJ61)</f>
        <v>25300.633326052</v>
      </c>
      <c r="AK64" s="35">
        <f>SUM(AK60,AK61)</f>
        <v>29572.0469887443</v>
      </c>
      <c r="AL64" s="35">
        <f>SUM(AL60,AL61)</f>
        <v>96519.6803147964</v>
      </c>
      <c r="AM64" s="35">
        <f>SUM(AM60,AM61)</f>
        <v>27803.4417708777</v>
      </c>
      <c r="AN64" s="35">
        <f>SUM(AN60,AN61)</f>
        <v>30020.3701427987</v>
      </c>
      <c r="AO64" s="35">
        <f>SUM(AO60,AO61)</f>
        <v>31573.2723379255</v>
      </c>
      <c r="AP64" s="35">
        <f>SUM(AP60,AP61)</f>
        <v>36903.672771074</v>
      </c>
      <c r="AQ64" s="35">
        <f>SUM(AQ60,AQ61)</f>
        <v>126300.757022676</v>
      </c>
      <c r="AR64" s="35">
        <f>SUM(AR60,AR61)</f>
        <v>34557.5703291208</v>
      </c>
      <c r="AS64" s="35">
        <f>SUM(AS60,AS61)</f>
        <v>37313.0442290293</v>
      </c>
      <c r="AT64" s="35">
        <f>SUM(AT60,AT61)</f>
        <v>39243.1839313215</v>
      </c>
      <c r="AU64" s="35">
        <f>SUM(AU60,AU61)</f>
        <v>45868.4675695453</v>
      </c>
      <c r="AV64" s="35">
        <f>SUM(AV60,AV61)</f>
        <v>156982.266059017</v>
      </c>
      <c r="AW64" s="35">
        <f>SUM(AW60,AW61)</f>
        <v>42779.6522416885</v>
      </c>
      <c r="AX64" s="35">
        <f>SUM(AX60,AX61)</f>
        <v>46190.7200359947</v>
      </c>
      <c r="AY64" s="35">
        <f>SUM(AY60,AY61)</f>
        <v>48580.0866626281</v>
      </c>
      <c r="AZ64" s="35">
        <f>SUM(AZ60,AZ61)</f>
        <v>56781.6855408607</v>
      </c>
      <c r="BA64" s="35">
        <f>SUM(BA60,BA61)</f>
        <v>194332.144481172</v>
      </c>
      <c r="BB64" s="35">
        <f>SUM(BB60,BB61)</f>
        <v>52744.0680683174</v>
      </c>
      <c r="BC64" s="35">
        <f>SUM(BC60,BC61)</f>
        <v>56949.6560640331</v>
      </c>
      <c r="BD64" s="35">
        <f>SUM(BD60,BD61)</f>
        <v>59895.5639756572</v>
      </c>
      <c r="BE64" s="35">
        <f>SUM(BE60,BE61)</f>
        <v>70007.5136254251</v>
      </c>
      <c r="BF64" s="35">
        <f>SUM(BF60,BF61)</f>
        <v>239596.801733433</v>
      </c>
      <c r="BG64" s="35" t="n"/>
      <c r="BH64" s="35" t="n"/>
      <c r="BI64" s="35" t="n"/>
      <c r="BJ64" s="35" t="n"/>
      <c r="BK64" s="35" t="n"/>
      <c r="BL64" s="35" t="n"/>
      <c r="BM64" s="35" t="n"/>
      <c r="BN64" s="35" t="n"/>
      <c r="BO64" s="35" t="n"/>
      <c r="BP64" s="35" t="n"/>
      <c r="BQ64" s="35" t="n"/>
      <c r="BR64" s="35" t="n"/>
      <c r="BS64" s="35" t="n"/>
      <c r="BT64" s="35" t="n"/>
      <c r="BU64" s="35" t="n"/>
      <c r="BV64" s="35" t="n"/>
      <c r="BW64" s="35" t="n"/>
      <c r="BX64" s="35" t="n"/>
      <c r="BY64" s="35" t="n"/>
      <c r="BZ64" s="35" t="n"/>
      <c r="CA64" s="35" t="n"/>
      <c r="CB64" s="35" t="n"/>
      <c r="CC64" s="35" t="n"/>
      <c r="CD64" s="35" t="n"/>
      <c r="CE64" s="35" t="n"/>
      <c r="CF64" s="35" t="n"/>
      <c r="CG64" s="35" t="n"/>
      <c r="CH64" s="35" t="n"/>
      <c r="CI64" s="35" t="n"/>
      <c r="CJ64" s="35" t="n"/>
      <c r="CK64" s="35" t="n"/>
      <c r="CL64" s="35" t="n"/>
      <c r="CM64" s="35" t="n"/>
      <c r="CN64" s="35" t="n"/>
      <c r="CO64" s="35" t="n"/>
      <c r="CP64" s="35" t="n"/>
      <c r="CQ64" s="35" t="n"/>
      <c r="CR64" s="35" t="n"/>
      <c r="CS64" s="35" t="n"/>
      <c r="CT64" s="35" t="n"/>
      <c r="CU64" s="35" t="n"/>
      <c r="CV64" s="35" t="n"/>
      <c r="CW64" s="35" t="n"/>
      <c r="CX64" s="35" t="n"/>
      <c r="CY64" s="35" t="n"/>
    </row>
    <row r="65">
      <c r="C65" s="14" t="inlineStr">
        <is>
          <t>Interest Expense</t>
        </is>
      </c>
      <c r="D65" s="46" t="n"/>
      <c r="E65" s="46" t="n"/>
      <c r="F65" s="46" t="n"/>
      <c r="G65" s="46" t="n"/>
      <c r="H65" s="12" t="n"/>
      <c r="I65" s="46">
        <f>'Inputs (2)'!D8</f>
        <v>0</v>
      </c>
      <c r="J65" s="46">
        <f>'Inputs (2)'!E8</f>
        <v>0</v>
      </c>
      <c r="K65" s="46">
        <f>'Inputs (2)'!F8</f>
        <v>0</v>
      </c>
      <c r="L65" s="46">
        <f>'Inputs (2)'!G8</f>
        <v>0</v>
      </c>
      <c r="M65" s="12">
        <f>'Inputs (2)'!H8</f>
        <v>0</v>
      </c>
      <c r="N65" s="46">
        <f>'Inputs (2)'!I8</f>
        <v>0</v>
      </c>
      <c r="O65" s="46">
        <f>'Inputs (2)'!J8</f>
        <v>0</v>
      </c>
      <c r="P65" s="46">
        <f>'Inputs (2)'!K8</f>
        <v>0</v>
      </c>
      <c r="Q65" s="46">
        <f>'Inputs (2)'!L8</f>
        <v>0</v>
      </c>
      <c r="R65" s="12">
        <f>'Inputs (2)'!M8</f>
        <v>0</v>
      </c>
      <c r="S65" s="46">
        <f>'Inputs (2)'!N8</f>
        <v>-49</v>
      </c>
      <c r="T65" s="46">
        <f>'Inputs (2)'!O8</f>
        <v>-110</v>
      </c>
      <c r="U65" s="46">
        <f>'Inputs (2)'!P8</f>
        <v>-132</v>
      </c>
      <c r="V65" s="46">
        <f>'Inputs (2)'!Q8</f>
        <v>-155</v>
      </c>
      <c r="W65" s="12">
        <f>'Inputs (2)'!R8</f>
        <v>-446</v>
      </c>
      <c r="X65" s="46">
        <f>'Inputs (2)'!S8</f>
        <v>0</v>
      </c>
      <c r="Y65" s="46">
        <f>'Inputs (2)'!T8</f>
        <v>0</v>
      </c>
      <c r="Z65" s="46">
        <f>'Inputs (2)'!U8</f>
        <v>-200</v>
      </c>
      <c r="AA65" s="46">
        <f>'Inputs (2)'!V8</f>
        <v>-275</v>
      </c>
      <c r="AB65" s="12">
        <f>'Inputs (2)'!W8</f>
        <v>-475</v>
      </c>
      <c r="AC65" s="46">
        <f>'Inputs (2)'!X8</f>
        <v>0</v>
      </c>
      <c r="AD65" s="46">
        <f>'Inputs (2)'!Y8</f>
        <v>-232</v>
      </c>
      <c r="AE65" s="46">
        <f>'Inputs (2)'!Z8</f>
        <v>0</v>
      </c>
      <c r="AF65" s="46">
        <f>'Inputs (2)'!AA8</f>
        <v>0</v>
      </c>
      <c r="AG65" s="12">
        <f>'Inputs (2)'!AB8</f>
        <v>-232</v>
      </c>
      <c r="AH65" s="12">
        <f>'Inputs (2)'!AC8</f>
        <v>0</v>
      </c>
      <c r="AI65" s="12">
        <f>'Inputs (2)'!AD8</f>
        <v>-754</v>
      </c>
      <c r="AJ65" s="12" t="str">
        <f>IF(Control!$E$9="","",-AI83*Control!$E$9/4)</f>
        <v/>
      </c>
      <c r="AK65" s="12" t="str">
        <f>IF(Control!$E$9="","",-AJ83*Control!$E$9/4)</f>
        <v/>
      </c>
      <c r="AL65" s="12">
        <f>SUM(AH65:AK65)</f>
        <v>-754</v>
      </c>
      <c r="AM65" s="12" t="str">
        <f>IF(Control!$E$9="","",-AL83*Control!$E$9/4)</f>
        <v/>
      </c>
      <c r="AN65" s="12" t="str">
        <f>IF(Control!$E$9="","",-AM83*Control!$E$9/4)</f>
        <v/>
      </c>
      <c r="AO65" s="12" t="str">
        <f>IF(Control!$E$9="","",-AN83*Control!$E$9/4)</f>
        <v/>
      </c>
      <c r="AP65" s="12" t="str">
        <f>IF(Control!$E$9="","",-AO83*Control!$E$9/4)</f>
        <v/>
      </c>
      <c r="AQ65" s="12">
        <f>SUM(AM65:AP65)</f>
        <v>0</v>
      </c>
      <c r="AR65" s="12" t="str">
        <f>IF(Control!$E$9="","",-AQ83*Control!$E$9/4)</f>
        <v/>
      </c>
      <c r="AS65" s="12" t="str">
        <f>IF(Control!$E$9="","",-AR83*Control!$E$9/4)</f>
        <v/>
      </c>
      <c r="AT65" s="12" t="str">
        <f>IF(Control!$E$9="","",-AS83*Control!$E$9/4)</f>
        <v/>
      </c>
      <c r="AU65" s="12" t="str">
        <f>IF(Control!$E$9="","",-AT83*Control!$E$9/4)</f>
        <v/>
      </c>
      <c r="AV65" s="12">
        <f>SUM(AR65:AU65)</f>
        <v>0</v>
      </c>
      <c r="AW65" s="12" t="str">
        <f>IF(Control!$E$9="","",-AV83*Control!$E$9/4)</f>
        <v/>
      </c>
      <c r="AX65" s="12" t="str">
        <f>IF(Control!$E$9="","",-AW83*Control!$E$9/4)</f>
        <v/>
      </c>
      <c r="AY65" s="12" t="str">
        <f>IF(Control!$E$9="","",-AX83*Control!$E$9/4)</f>
        <v/>
      </c>
      <c r="AZ65" s="12" t="str">
        <f>IF(Control!$E$9="","",-AY83*Control!$E$9/4)</f>
        <v/>
      </c>
      <c r="BA65" s="12">
        <f>SUM(AW65:AZ65)</f>
        <v>0</v>
      </c>
      <c r="BB65" s="12" t="str">
        <f>IF(Control!$E$9="","",-BA83*Control!$E$9/4)</f>
        <v/>
      </c>
      <c r="BC65" s="12" t="str">
        <f>IF(Control!$E$9="","",-BB83*Control!$E$9/4)</f>
        <v/>
      </c>
      <c r="BD65" s="12" t="str">
        <f>IF(Control!$E$9="","",-BC83*Control!$E$9/4)</f>
        <v/>
      </c>
      <c r="BE65" s="12" t="str">
        <f>IF(Control!$E$9="","",-BD83*Control!$E$9/4)</f>
        <v/>
      </c>
      <c r="BF65" s="12">
        <f>SUM(BB65:BE65)</f>
        <v>0</v>
      </c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0" t="inlineStr">
        <is>
          <t>% of Debt</t>
        </is>
      </c>
      <c r="D66" s="53" t="n"/>
      <c r="E66" s="53" t="n"/>
      <c r="F66" s="53" t="n"/>
      <c r="G66" s="53" t="n"/>
      <c r="H66" s="12" t="n"/>
      <c r="I66" s="53" t="str">
        <f>IFERROR(-I65/SUM(I203+I208),"")</f>
        <v/>
      </c>
      <c r="J66" s="53" t="str">
        <f>IFERROR(-J65/SUM(J203+J208),"")</f>
        <v/>
      </c>
      <c r="K66" s="53" t="str">
        <f>IFERROR(-K65/SUM(K203+K208),"")</f>
        <v/>
      </c>
      <c r="L66" s="53" t="str">
        <f>IFERROR(-L65/SUM(L203+L208),"")</f>
        <v/>
      </c>
      <c r="M66" s="12" t="n"/>
      <c r="N66" s="53" t="str">
        <f>IFERROR(-N65/SUM(N203+N208),"")</f>
        <v/>
      </c>
      <c r="O66" s="53" t="str">
        <f>IFERROR(-O65/SUM(O203+O208),"")</f>
        <v/>
      </c>
      <c r="P66" s="53">
        <f>IFERROR(-P65/SUM(P203+P208),"")</f>
        <v>0</v>
      </c>
      <c r="Q66" s="53">
        <f>IFERROR(-Q65/SUM(Q203+Q208),"")</f>
        <v>0</v>
      </c>
      <c r="R66" s="12" t="n"/>
      <c r="S66" s="53">
        <f>IFERROR(-S65/SUM(S203+S208),"")</f>
        <v>0.00493702770780856</v>
      </c>
      <c r="T66" s="53">
        <f>IFERROR(-T65/SUM(T203+T208),"")</f>
        <v>0.00598411489500598</v>
      </c>
      <c r="U66" s="53">
        <f>IFERROR(-U65/SUM(U203+U208),"")</f>
        <v>0.00718054724473699</v>
      </c>
      <c r="V66" s="53">
        <f>IFERROR(-V65/SUM(V203+V208),"")</f>
        <v>0.00843078596682078</v>
      </c>
      <c r="W66" s="12" t="n"/>
      <c r="X66" s="53">
        <f>IFERROR(-X65/SUM(X203+X208),"")</f>
        <v>0</v>
      </c>
      <c r="Y66" s="53">
        <f>IFERROR(-Y65/SUM(Y203+Y208),"")</f>
        <v>0</v>
      </c>
      <c r="Z66" s="53">
        <f>IFERROR(-Z65/SUM(Z203+Z208),"")</f>
        <v>0.00693890295944211</v>
      </c>
      <c r="AA66" s="53">
        <f>IFERROR(-AA65/SUM(AA203+AA208),"")</f>
        <v>0.00953999861236384</v>
      </c>
      <c r="AB66" s="12" t="n"/>
      <c r="AC66" s="53">
        <f>IFERROR(-AC65/SUM(AC203+AC208),"")</f>
        <v>0</v>
      </c>
      <c r="AD66" s="53">
        <f>IFERROR(-AD65/SUM(AD203+AD208),"")</f>
        <v>0.00804661487236404</v>
      </c>
      <c r="AE66" s="53">
        <f>IFERROR(-AE65/SUM(AE203+AE208),"")</f>
        <v>0</v>
      </c>
      <c r="AF66" s="55">
        <f>IFERROR(-AF65/SUM(AF203+AF208),"")</f>
        <v>0</v>
      </c>
      <c r="AG66" s="12" t="n"/>
      <c r="AH66" s="11">
        <f>IFERROR(-AH65/SUM(AH203+AH208),"")</f>
        <v>0</v>
      </c>
      <c r="AI66" s="11">
        <f>IFERROR(-AI65/SUM(AI203+AI208),"")</f>
        <v>0.00901223943392618</v>
      </c>
      <c r="AJ66" s="11" t="str">
        <f>IFERROR(Control!$E$9,0)</f>
        <v/>
      </c>
      <c r="AK66" s="11" t="str">
        <f>IFERROR(Control!$E$9,0)</f>
        <v/>
      </c>
      <c r="AL66" s="12" t="n"/>
      <c r="AM66" s="11" t="str">
        <f>IFERROR(Control!$E$9,0)</f>
        <v/>
      </c>
      <c r="AN66" s="11" t="str">
        <f>IFERROR(Control!$E$9,0)</f>
        <v/>
      </c>
      <c r="AO66" s="11" t="str">
        <f>IFERROR(Control!$E$9,0)</f>
        <v/>
      </c>
      <c r="AP66" s="11" t="str">
        <f>IFERROR(Control!$E$9,0)</f>
        <v/>
      </c>
      <c r="AQ66" s="12" t="n"/>
      <c r="AR66" s="11" t="str">
        <f>IFERROR(Control!$E$9,0)</f>
        <v/>
      </c>
      <c r="AS66" s="11" t="str">
        <f>IFERROR(Control!$E$9,0)</f>
        <v/>
      </c>
      <c r="AT66" s="11" t="str">
        <f>IFERROR(Control!$E$9,0)</f>
        <v/>
      </c>
      <c r="AU66" s="11" t="str">
        <f>IFERROR(Control!$E$9,0)</f>
        <v/>
      </c>
      <c r="AV66" s="12" t="n"/>
      <c r="AW66" s="11" t="str">
        <f>IFERROR(Control!$E$9,0)</f>
        <v/>
      </c>
      <c r="AX66" s="11" t="str">
        <f>IFERROR(Control!$E$9,0)</f>
        <v/>
      </c>
      <c r="AY66" s="11" t="str">
        <f>IFERROR(Control!$E$9,0)</f>
        <v/>
      </c>
      <c r="AZ66" s="11" t="str">
        <f>IFERROR(Control!$E$9,0)</f>
        <v/>
      </c>
      <c r="BA66" s="12" t="n"/>
      <c r="BB66" s="11" t="str">
        <f>IFERROR(Control!$E$9,0)</f>
        <v/>
      </c>
      <c r="BC66" s="11" t="str">
        <f>IFERROR(Control!$E$9,0)</f>
        <v/>
      </c>
      <c r="BD66" s="11" t="str">
        <f>IFERROR(Control!$E$9,0)</f>
        <v/>
      </c>
      <c r="BE66" s="11" t="str">
        <f>IFERROR(Control!$E$9,0)</f>
        <v/>
      </c>
      <c r="BF66" s="12" t="n"/>
      <c r="BG66" s="11" t="n"/>
      <c r="BH66" s="11" t="n"/>
      <c r="BI66" s="11" t="n"/>
      <c r="BJ66" s="11" t="n"/>
      <c r="BK66" s="12" t="n"/>
      <c r="BL66" s="11" t="n"/>
      <c r="BM66" s="11" t="n"/>
      <c r="BN66" s="11" t="n"/>
      <c r="BO66" s="11" t="n"/>
      <c r="BP66" s="12" t="n"/>
      <c r="BQ66" s="11" t="n"/>
      <c r="BR66" s="11" t="n"/>
      <c r="BS66" s="11" t="n"/>
      <c r="BT66" s="11" t="n"/>
      <c r="BU66" s="12" t="n"/>
      <c r="BV66" s="11" t="n"/>
      <c r="BW66" s="11" t="n"/>
      <c r="BX66" s="11" t="n"/>
      <c r="BY66" s="11" t="n"/>
      <c r="BZ66" s="12" t="n"/>
      <c r="CA66" s="11" t="n"/>
      <c r="CB66" s="11" t="n"/>
      <c r="CC66" s="11" t="n"/>
      <c r="CD66" s="11" t="n"/>
      <c r="CE66" s="12" t="n"/>
      <c r="CF66" s="11" t="n"/>
      <c r="CG66" s="11" t="n"/>
      <c r="CH66" s="11" t="n"/>
      <c r="CI66" s="11" t="n"/>
      <c r="CJ66" s="12" t="n"/>
      <c r="CK66" s="11" t="n"/>
      <c r="CL66" s="11" t="n"/>
      <c r="CM66" s="11" t="n"/>
      <c r="CN66" s="11" t="n"/>
      <c r="CO66" s="12" t="n"/>
      <c r="CP66" s="11" t="n"/>
      <c r="CQ66" s="11" t="n"/>
      <c r="CR66" s="11" t="n"/>
      <c r="CS66" s="11" t="n"/>
      <c r="CT66" s="12" t="n"/>
      <c r="CU66" s="11" t="n"/>
      <c r="CV66" s="11" t="n"/>
      <c r="CW66" s="11" t="n"/>
      <c r="CX66" s="11" t="n"/>
      <c r="CY66" s="12" t="n"/>
    </row>
    <row r="67" hidden="1" outlineLevel="1">
      <c r="C67" s="50" t="inlineStr">
        <is>
          <t>%CDI</t>
        </is>
      </c>
      <c r="D67" s="11" t="n"/>
      <c r="E67" s="11" t="n"/>
      <c r="F67" s="11" t="n"/>
      <c r="G67" s="11" t="n"/>
      <c r="H67" s="12" t="n"/>
      <c r="I67" s="11" t="n"/>
      <c r="J67" s="11" t="n"/>
      <c r="K67" s="11" t="n"/>
      <c r="L67" s="11" t="n"/>
      <c r="M67" s="12" t="n"/>
      <c r="N67" s="11" t="n"/>
      <c r="O67" s="11" t="n"/>
      <c r="P67" s="11" t="n"/>
      <c r="Q67" s="11" t="n"/>
      <c r="R67" s="12" t="n"/>
      <c r="S67" s="11" t="n"/>
      <c r="T67" s="11" t="n"/>
      <c r="U67" s="11" t="n"/>
      <c r="V67" s="11" t="n"/>
      <c r="W67" s="12" t="n"/>
      <c r="X67" s="11" t="n"/>
      <c r="Y67" s="11" t="n"/>
      <c r="Z67" s="11" t="n"/>
      <c r="AA67" s="11" t="n"/>
      <c r="AB67" s="12" t="n"/>
      <c r="AC67" s="11" t="n"/>
      <c r="AD67" s="11" t="n"/>
      <c r="AE67" s="11" t="n"/>
      <c r="AF67" s="11" t="n"/>
      <c r="AG67" s="12" t="n"/>
      <c r="AH67" s="11" t="n"/>
      <c r="AI67" s="11" t="n"/>
      <c r="AJ67" s="11" t="n"/>
      <c r="AK67" s="11" t="n"/>
      <c r="AL67" s="12" t="n"/>
      <c r="AM67" s="11" t="n"/>
      <c r="AN67" s="11" t="n"/>
      <c r="AO67" s="11" t="n"/>
      <c r="AP67" s="11" t="n"/>
      <c r="AQ67" s="12" t="n"/>
      <c r="AR67" s="11" t="n"/>
      <c r="AS67" s="11" t="n"/>
      <c r="AT67" s="11" t="n"/>
      <c r="AU67" s="11" t="n"/>
      <c r="AV67" s="12" t="n"/>
      <c r="AW67" s="11" t="n"/>
      <c r="AX67" s="11" t="n"/>
      <c r="AY67" s="11" t="n"/>
      <c r="AZ67" s="11" t="n"/>
      <c r="BA67" s="12" t="n"/>
      <c r="BB67" s="11" t="n"/>
      <c r="BC67" s="11" t="n"/>
      <c r="BD67" s="11" t="n"/>
      <c r="BE67" s="11" t="n"/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7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RECEITA FINANCEIRA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DESPESA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OUTROS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Cash and equivalents (inc. investment securities)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Interest on cash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Average interest rate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% CDI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Current portion of long-term debt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Short term debt (Revolving credit facility)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Long term debt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Convertible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Total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Interest expense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Average interest rate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Stake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PRE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CDI+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Spread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PRE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CDI+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RECEITAS FINANCEIRAS - Rendimentos de aplicações financeiras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Variação cambial ativa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Atualização de contas a pagar por aquisição de empresas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Resultado positivo com instrumentos derivativos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Descontos obtidos de fornecedores por antecipação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Atualização monetária sobre Exclusão ICMS da base de PIS/COFINS (nota explicativa nº 7)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Outras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DESPESAS FINANCEIRAS - Encargos sobre empréstimos, financiamentos e debêntures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Variação cambial passiva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Resultado negativo com instrumentos derivativos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Juros sobre arrendamento - IFRS16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Despesas bancárias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com obtenção de empréstimos e financiamentos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Atualização de contas a pagar por aquisição de empresas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Outras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CHECK [EX IFRS-16]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collapsed="1">
      <c r="C114" s="14" t="inlineStr">
        <is>
          <t>Nonoperating Income / (Loss)</t>
        </is>
      </c>
      <c r="D114" s="46" t="n"/>
      <c r="E114" s="46" t="n"/>
      <c r="F114" s="46" t="n"/>
      <c r="G114" s="46" t="n"/>
      <c r="H114" s="12" t="n"/>
      <c r="I114" s="46">
        <f>'Inputs (2)'!D9</f>
        <v>125</v>
      </c>
      <c r="J114" s="46">
        <f>'Inputs (2)'!E9</f>
        <v>146</v>
      </c>
      <c r="K114" s="46">
        <f>'Inputs (2)'!F9</f>
        <v>142</v>
      </c>
      <c r="L114" s="46">
        <f>'Inputs (2)'!G9</f>
        <v>118</v>
      </c>
      <c r="M114" s="12">
        <f>'Inputs (2)'!H9</f>
        <v>531</v>
      </c>
      <c r="N114" s="46">
        <f>'Inputs (2)'!I9</f>
        <v>384</v>
      </c>
      <c r="O114" s="46">
        <f>'Inputs (2)'!J9</f>
        <v>-172</v>
      </c>
      <c r="P114" s="46">
        <f>'Inputs (2)'!K9</f>
        <v>-88</v>
      </c>
      <c r="Q114" s="46">
        <f>'Inputs (2)'!L9</f>
        <v>-250</v>
      </c>
      <c r="R114" s="12">
        <f>'Inputs (2)'!M9</f>
        <v>-126</v>
      </c>
      <c r="S114" s="46">
        <f>'Inputs (2)'!N9</f>
        <v>129</v>
      </c>
      <c r="T114" s="46">
        <f>'Inputs (2)'!O9</f>
        <v>11</v>
      </c>
      <c r="U114" s="46">
        <f>'Inputs (2)'!P9</f>
        <v>404</v>
      </c>
      <c r="V114" s="46">
        <f>'Inputs (2)'!Q9</f>
        <v>578</v>
      </c>
      <c r="W114" s="12">
        <f>'Inputs (2)'!R9</f>
        <v>1122</v>
      </c>
      <c r="X114" s="46">
        <f>'Inputs (2)'!S9</f>
        <v>365</v>
      </c>
      <c r="Y114" s="46">
        <f>'Inputs (2)'!T9</f>
        <v>259</v>
      </c>
      <c r="Z114" s="46">
        <f>'Inputs (2)'!U9</f>
        <v>672</v>
      </c>
      <c r="AA114" s="46">
        <f>'Inputs (2)'!V9</f>
        <v>463</v>
      </c>
      <c r="AB114" s="12">
        <f>'Inputs (2)'!W9</f>
        <v>1759</v>
      </c>
      <c r="AC114" s="46">
        <f>'Inputs (2)'!X9</f>
        <v>827</v>
      </c>
      <c r="AD114" s="46">
        <f>'Inputs (2)'!Y9</f>
        <v>325</v>
      </c>
      <c r="AE114" s="46">
        <f>'Inputs (2)'!Z9</f>
        <v>1128</v>
      </c>
      <c r="AF114" s="46">
        <f>'Inputs (2)'!AA9</f>
        <v>609</v>
      </c>
      <c r="AG114" s="12">
        <f>'Inputs (2)'!AB9</f>
        <v>2889</v>
      </c>
      <c r="AH114" s="12">
        <f>'Inputs (2)'!AC9</f>
        <v>-1120</v>
      </c>
      <c r="AI114" s="12">
        <f>'Inputs (2)'!AD9</f>
        <v>735</v>
      </c>
      <c r="AJ114" s="12">
        <f>AJ15*Control!$B$23</f>
        <v>503.403618697975</v>
      </c>
      <c r="AK114" s="12">
        <f>AK15*Control!$B$23</f>
        <v>588.391415922052</v>
      </c>
      <c r="AL114" s="12">
        <f>SUM(AH114:AK114)</f>
        <v>706.795034620027</v>
      </c>
      <c r="AM114" s="12">
        <f>AM15*Control!$C$23</f>
        <v>553.201693386317</v>
      </c>
      <c r="AN114" s="12">
        <f>AN15*Control!$C$23</f>
        <v>597.311647095265</v>
      </c>
      <c r="AO114" s="12">
        <f>AO15*Control!$C$23</f>
        <v>628.209552868473</v>
      </c>
      <c r="AP114" s="12">
        <f>AP15*Control!$C$23</f>
        <v>734.267880838989</v>
      </c>
      <c r="AQ114" s="12">
        <f>SUM(AM114:AP114)</f>
        <v>2512.99077418904</v>
      </c>
      <c r="AR114" s="12">
        <f>AR15*Control!$D$23</f>
        <v>687.587766396981</v>
      </c>
      <c r="AS114" s="12">
        <f>AS15*Control!$D$23</f>
        <v>742.413094860735</v>
      </c>
      <c r="AT114" s="12">
        <f>AT15*Control!$D$23</f>
        <v>780.816849351972</v>
      </c>
      <c r="AU114" s="12">
        <f>AU15*Control!$D$23</f>
        <v>912.639310687281</v>
      </c>
      <c r="AV114" s="12">
        <f>SUM(AR114:AU114)</f>
        <v>3123.45702129697</v>
      </c>
      <c r="AW114" s="12">
        <f>AW15*Control!$E$23</f>
        <v>851.181528445451</v>
      </c>
      <c r="AX114" s="12">
        <f>AX15*Control!$E$23</f>
        <v>919.051128749478</v>
      </c>
      <c r="AY114" s="12">
        <f>AY15*Control!$E$23</f>
        <v>966.592065402825</v>
      </c>
      <c r="AZ114" s="12">
        <f>AZ15*Control!$E$23</f>
        <v>1129.77827901275</v>
      </c>
      <c r="BA114" s="12">
        <f>SUM(AW114:AZ114)</f>
        <v>3866.6030016105</v>
      </c>
      <c r="BB114" s="12">
        <f>BB15*Control!$F$23</f>
        <v>1049.4422960987</v>
      </c>
      <c r="BC114" s="12">
        <f>BC15*Control!$F$23</f>
        <v>1133.12036804704</v>
      </c>
      <c r="BD114" s="12">
        <f>BD15*Control!$F$23</f>
        <v>1191.73473883971</v>
      </c>
      <c r="BE114" s="12">
        <f>BE15*Control!$F$23</f>
        <v>1392.93096899666</v>
      </c>
      <c r="BF114" s="12">
        <f>SUM(BB114:BE114)</f>
        <v>4767.2283719821</v>
      </c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0" t="inlineStr">
        <is>
          <t>Resultado Não Recorrente</t>
        </is>
      </c>
      <c r="D116" s="11" t="n"/>
      <c r="E116" s="11" t="n"/>
      <c r="F116" s="11" t="n"/>
      <c r="G116" s="11" t="n"/>
      <c r="H116" s="12" t="n"/>
      <c r="I116" s="11" t="n"/>
      <c r="J116" s="11" t="n"/>
      <c r="K116" s="11" t="n"/>
      <c r="L116" s="11" t="n"/>
      <c r="M116" s="12" t="n"/>
      <c r="N116" s="11" t="n"/>
      <c r="O116" s="11" t="n"/>
      <c r="P116" s="11" t="n"/>
      <c r="Q116" s="11" t="n"/>
      <c r="R116" s="12" t="n"/>
      <c r="S116" s="11" t="n"/>
      <c r="T116" s="11" t="n"/>
      <c r="U116" s="11" t="n"/>
      <c r="V116" s="11" t="n"/>
      <c r="W116" s="12" t="n"/>
      <c r="X116" s="11" t="n"/>
      <c r="Y116" s="11" t="n"/>
      <c r="Z116" s="11" t="n"/>
      <c r="AA116" s="11" t="n"/>
      <c r="AB116" s="12" t="n"/>
      <c r="AC116" s="11" t="n"/>
      <c r="AD116" s="11" t="n"/>
      <c r="AE116" s="11" t="n"/>
      <c r="AF116" s="11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Plano de Opção de Compra de Ações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Baixa Imobilizado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collapsed="1" customFormat="1" s="32">
      <c r="A121" s="30" t="n"/>
      <c r="B121" s="3" t="n"/>
      <c r="C121" s="33" t="inlineStr">
        <is>
          <t>Pretax Income - EBT</t>
        </is>
      </c>
      <c r="D121" s="35" t="n"/>
      <c r="E121" s="35" t="n"/>
      <c r="F121" s="35" t="n"/>
      <c r="G121" s="35" t="n"/>
      <c r="H121" s="35" t="n"/>
      <c r="I121" s="35">
        <f>SUM(I64,I65,I114)</f>
        <v>11503</v>
      </c>
      <c r="J121" s="35">
        <f>SUM(J64,J65,J114)</f>
        <v>12513</v>
      </c>
      <c r="K121" s="35">
        <f>SUM(K64,K65,K114)</f>
        <v>10565</v>
      </c>
      <c r="L121" s="35">
        <f>SUM(L64,L65,L114)</f>
        <v>12703</v>
      </c>
      <c r="M121" s="35">
        <f>SUM(I121:L121)</f>
        <v>47284</v>
      </c>
      <c r="N121" s="35">
        <f>SUM(N64,N65,N114)</f>
        <v>8908</v>
      </c>
      <c r="O121" s="35">
        <f>SUM(O64,O65,O114)</f>
        <v>8186</v>
      </c>
      <c r="P121" s="35">
        <f>SUM(P64,P65,P114)</f>
        <v>5576</v>
      </c>
      <c r="Q121" s="35">
        <f>SUM(Q64,Q65,Q114)</f>
        <v>6149</v>
      </c>
      <c r="R121" s="35">
        <f>SUM(N121:Q121)</f>
        <v>28819</v>
      </c>
      <c r="S121" s="35">
        <f>SUM(S64,S65,S114)</f>
        <v>7307</v>
      </c>
      <c r="T121" s="35">
        <f>SUM(T64,T65,T114)</f>
        <v>9293</v>
      </c>
      <c r="U121" s="35">
        <f>SUM(U64,U65,U114)</f>
        <v>14020</v>
      </c>
      <c r="V121" s="35">
        <f>SUM(V64,V65,V114)</f>
        <v>16807</v>
      </c>
      <c r="W121" s="35">
        <f>SUM(S121:V121)</f>
        <v>47427</v>
      </c>
      <c r="X121" s="35">
        <f>SUM(X64,X65,X114)</f>
        <v>14183</v>
      </c>
      <c r="Y121" s="35">
        <f>SUM(Y64,Y65,Y114)</f>
        <v>15106</v>
      </c>
      <c r="Z121" s="35">
        <f>SUM(Z64,Z65,Z114)</f>
        <v>17822</v>
      </c>
      <c r="AA121" s="35">
        <f>SUM(AA64,AA65,AA114)</f>
        <v>23552</v>
      </c>
      <c r="AB121" s="35">
        <f>SUM(X121:AA121)</f>
        <v>70663</v>
      </c>
      <c r="AC121" s="35">
        <f>SUM(AC64,AC65,AC114)</f>
        <v>18382</v>
      </c>
      <c r="AD121" s="35">
        <f>SUM(AD64,AD65,AD114)</f>
        <v>20534</v>
      </c>
      <c r="AE121" s="35">
        <f>SUM(AE64,AE65,AE114)</f>
        <v>21663</v>
      </c>
      <c r="AF121" s="35">
        <f>SUM(AF64,AF65,AF114)</f>
        <v>25354</v>
      </c>
      <c r="AG121" s="35">
        <f>SUM(AC121:AF121)</f>
        <v>85933</v>
      </c>
      <c r="AH121" s="35">
        <f>SUM(AH64,AH65,AH114)</f>
        <v>21752</v>
      </c>
      <c r="AI121" s="35">
        <f>SUM(AI64,AI65,AI114)</f>
        <v>18756</v>
      </c>
      <c r="AJ121" s="35">
        <f>SUM(AJ64,AJ65,AJ114:AJ119)</f>
        <v>25804.03694475</v>
      </c>
      <c r="AK121" s="35">
        <f>SUM(AK64,AK65,AK114:AK119)</f>
        <v>30160.4384046664</v>
      </c>
      <c r="AL121" s="35">
        <f>SUM(AH121:AK121)</f>
        <v>96472.4753494164</v>
      </c>
      <c r="AM121" s="35">
        <f>SUM(AM64,AM65,AM114:AM119)</f>
        <v>28356.6434642641</v>
      </c>
      <c r="AN121" s="35">
        <f>SUM(AN64,AN65,AN114:AN119)</f>
        <v>30617.6817898939</v>
      </c>
      <c r="AO121" s="35">
        <f>SUM(AO64,AO65,AO114:AO119)</f>
        <v>32201.481890794</v>
      </c>
      <c r="AP121" s="35">
        <f>SUM(AP64,AP65,AP114:AP119)</f>
        <v>37637.9406519129</v>
      </c>
      <c r="AQ121" s="35">
        <f>SUM(AM121:AP121)</f>
        <v>128813.747796865</v>
      </c>
      <c r="AR121" s="35">
        <f>SUM(AR64,AR65,AR114:AR119)</f>
        <v>35245.1580955177</v>
      </c>
      <c r="AS121" s="35">
        <f>SUM(AS64,AS65,AS114:AS119)</f>
        <v>38055.4573238901</v>
      </c>
      <c r="AT121" s="35">
        <f>SUM(AT64,AT65,AT114:AT119)</f>
        <v>40024.0007806735</v>
      </c>
      <c r="AU121" s="35">
        <f>SUM(AU64,AU65,AU114:AU119)</f>
        <v>46781.1068802326</v>
      </c>
      <c r="AV121" s="35">
        <f>SUM(AR121:AU121)</f>
        <v>160105.723080314</v>
      </c>
      <c r="AW121" s="35">
        <f>SUM(AW64,AW65,AW114:AW119)</f>
        <v>43630.8337701339</v>
      </c>
      <c r="AX121" s="35">
        <f>SUM(AX64,AX65,AX114:AX119)</f>
        <v>47109.7711647442</v>
      </c>
      <c r="AY121" s="35">
        <f>SUM(AY64,AY65,AY114:AY119)</f>
        <v>49546.6787280309</v>
      </c>
      <c r="AZ121" s="35">
        <f>SUM(AZ64,AZ65,AZ114:AZ119)</f>
        <v>57911.4638198735</v>
      </c>
      <c r="BA121" s="35">
        <f>SUM(AW121:AZ121)</f>
        <v>198198.747482782</v>
      </c>
      <c r="BB121" s="35">
        <f>SUM(BB64,BB65,BB114:BB119)</f>
        <v>53793.5103644161</v>
      </c>
      <c r="BC121" s="35">
        <f>SUM(BC64,BC65,BC114:BC119)</f>
        <v>58082.7764320801</v>
      </c>
      <c r="BD121" s="35">
        <f>SUM(BD64,BD65,BD114:BD119)</f>
        <v>61087.2987144969</v>
      </c>
      <c r="BE121" s="35">
        <f>SUM(BE64,BE65,BE114:BE119)</f>
        <v>71400.4445944218</v>
      </c>
      <c r="BF121" s="35">
        <f>SUM(BB121:BE121)</f>
        <v>244364.030105415</v>
      </c>
      <c r="BG121" s="35" t="n"/>
      <c r="BH121" s="35" t="n"/>
      <c r="BI121" s="35" t="n"/>
      <c r="BJ121" s="35" t="n"/>
      <c r="BK121" s="35" t="n"/>
      <c r="BL121" s="35" t="n"/>
      <c r="BM121" s="35" t="n"/>
      <c r="BN121" s="35" t="n"/>
      <c r="BO121" s="35" t="n"/>
      <c r="BP121" s="35" t="n"/>
      <c r="BQ121" s="35" t="n"/>
      <c r="BR121" s="35" t="n"/>
      <c r="BS121" s="35" t="n"/>
      <c r="BT121" s="35" t="n"/>
      <c r="BU121" s="35" t="n"/>
      <c r="BV121" s="35" t="n"/>
      <c r="BW121" s="35" t="n"/>
      <c r="BX121" s="35" t="n"/>
      <c r="BY121" s="35" t="n"/>
      <c r="BZ121" s="35" t="n"/>
      <c r="CA121" s="35" t="n"/>
      <c r="CB121" s="35" t="n"/>
      <c r="CC121" s="35" t="n"/>
      <c r="CD121" s="35" t="n"/>
      <c r="CE121" s="35" t="n"/>
      <c r="CF121" s="35" t="n"/>
      <c r="CG121" s="35" t="n"/>
      <c r="CH121" s="35" t="n"/>
      <c r="CI121" s="35" t="n"/>
      <c r="CJ121" s="35" t="n"/>
      <c r="CK121" s="35" t="n"/>
      <c r="CL121" s="35" t="n"/>
      <c r="CM121" s="35" t="n"/>
      <c r="CN121" s="35" t="n"/>
      <c r="CO121" s="35" t="n"/>
      <c r="CP121" s="35" t="n"/>
      <c r="CQ121" s="35" t="n"/>
      <c r="CR121" s="35" t="n"/>
      <c r="CS121" s="35" t="n"/>
      <c r="CT121" s="35" t="n"/>
      <c r="CU121" s="35" t="n"/>
      <c r="CV121" s="35" t="n"/>
      <c r="CW121" s="35" t="n"/>
      <c r="CX121" s="35" t="n"/>
      <c r="CY121" s="35" t="n"/>
    </row>
    <row r="122">
      <c r="C122" s="14" t="inlineStr">
        <is>
          <t>Taxes</t>
        </is>
      </c>
      <c r="D122" s="46" t="n"/>
      <c r="E122" s="46" t="n"/>
      <c r="F122" s="46" t="n"/>
      <c r="G122" s="46" t="n"/>
      <c r="H122" s="12" t="n"/>
      <c r="I122" s="46">
        <f>'Inputs (2)'!D10</f>
        <v>-2006</v>
      </c>
      <c r="J122" s="46">
        <f>'Inputs (2)'!E10</f>
        <v>-2119</v>
      </c>
      <c r="K122" s="46">
        <f>'Inputs (2)'!F10</f>
        <v>-1371</v>
      </c>
      <c r="L122" s="46">
        <f>'Inputs (2)'!G10</f>
        <v>-2418</v>
      </c>
      <c r="M122" s="12">
        <f>'Inputs (2)'!H10</f>
        <v>-7914</v>
      </c>
      <c r="N122" s="46">
        <f>'Inputs (2)'!I10</f>
        <v>-1443</v>
      </c>
      <c r="O122" s="46">
        <f>'Inputs (2)'!J10</f>
        <v>-1499</v>
      </c>
      <c r="P122" s="46">
        <f>'Inputs (2)'!K10</f>
        <v>-1181</v>
      </c>
      <c r="Q122" s="46">
        <f>'Inputs (2)'!L10</f>
        <v>-1496</v>
      </c>
      <c r="R122" s="12">
        <f>'Inputs (2)'!M10</f>
        <v>-5619</v>
      </c>
      <c r="S122" s="46">
        <f>'Inputs (2)'!N10</f>
        <v>-1598</v>
      </c>
      <c r="T122" s="46">
        <f>'Inputs (2)'!O10</f>
        <v>-1505</v>
      </c>
      <c r="U122" s="46">
        <f>'Inputs (2)'!P10</f>
        <v>-2437</v>
      </c>
      <c r="V122" s="46">
        <f>'Inputs (2)'!Q10</f>
        <v>-2790</v>
      </c>
      <c r="W122" s="12">
        <f>'Inputs (2)'!R10</f>
        <v>-8330</v>
      </c>
      <c r="X122" s="46">
        <f>'Inputs (2)'!S10</f>
        <v>-1814</v>
      </c>
      <c r="Y122" s="46">
        <f>'Inputs (2)'!T10</f>
        <v>-1641</v>
      </c>
      <c r="Z122" s="46">
        <f>'Inputs (2)'!U10</f>
        <v>-2134</v>
      </c>
      <c r="AA122" s="46">
        <f>'Inputs (2)'!V10</f>
        <v>-2714</v>
      </c>
      <c r="AB122" s="12">
        <f>'Inputs (2)'!W10</f>
        <v>-8303</v>
      </c>
      <c r="AC122" s="46">
        <f>'Inputs (2)'!X10</f>
        <v>-1738</v>
      </c>
      <c r="AD122" s="46">
        <f>'Inputs (2)'!Y10</f>
        <v>-2197</v>
      </c>
      <c r="AE122" s="46">
        <f>'Inputs (2)'!Z10</f>
        <v>-18954</v>
      </c>
      <c r="AF122" s="46">
        <f>'Inputs (2)'!AA10</f>
        <v>-2586</v>
      </c>
      <c r="AG122" s="12">
        <f>'Inputs (2)'!AB10</f>
        <v>-25475</v>
      </c>
      <c r="AH122" s="12">
        <f>'Inputs (2)'!AC10</f>
        <v>5021</v>
      </c>
      <c r="AI122" s="12">
        <f>'Inputs (2)'!AD10</f>
        <v>-2908</v>
      </c>
      <c r="AJ122" s="12">
        <f>-AJ121*AJ123</f>
        <v>-4742.35395974435</v>
      </c>
      <c r="AK122" s="12">
        <f>-AK121*AK123</f>
        <v>-5542.98828521464</v>
      </c>
      <c r="AL122" s="12">
        <f>SUM(AH122:AK122)</f>
        <v>-8172.34224495899</v>
      </c>
      <c r="AM122" s="12">
        <f>-AM121*AM123</f>
        <v>-5211.48069605332</v>
      </c>
      <c r="AN122" s="12">
        <f>-AN121*AN123</f>
        <v>-5627.02203478429</v>
      </c>
      <c r="AO122" s="12">
        <f>-AO121*AO123</f>
        <v>-5918.09822166267</v>
      </c>
      <c r="AP122" s="12">
        <f>-AP121*AP123</f>
        <v>-6917.22916338242</v>
      </c>
      <c r="AQ122" s="12">
        <f>SUM(AM122:AP122)</f>
        <v>-23673.8301158827</v>
      </c>
      <c r="AR122" s="12">
        <f>-AR121*AR123</f>
        <v>-6477.47542037607</v>
      </c>
      <c r="AS122" s="12">
        <f>-AS121*AS123</f>
        <v>-6993.96180203309</v>
      </c>
      <c r="AT122" s="12">
        <f>-AT121*AT123</f>
        <v>-7355.74743569942</v>
      </c>
      <c r="AU122" s="12">
        <f>-AU121*AU123</f>
        <v>-8597.59145166749</v>
      </c>
      <c r="AV122" s="12">
        <f>SUM(AR122:AU122)</f>
        <v>-29424.7761097761</v>
      </c>
      <c r="AW122" s="12">
        <f>-AW121*AW123</f>
        <v>-8018.62350994811</v>
      </c>
      <c r="AX122" s="12">
        <f>-AX121*AX123</f>
        <v>-8657.99449536245</v>
      </c>
      <c r="AY122" s="12">
        <f>-AY121*AY123</f>
        <v>-9105.85768270125</v>
      </c>
      <c r="AZ122" s="12">
        <f>-AZ121*AZ123</f>
        <v>-10643.1664296871</v>
      </c>
      <c r="BA122" s="12">
        <f>SUM(AW122:AZ122)</f>
        <v>-36425.6421176989</v>
      </c>
      <c r="BB122" s="12">
        <f>-BB121*BB123</f>
        <v>-9886.35489212245</v>
      </c>
      <c r="BC122" s="12">
        <f>-BC121*BC123</f>
        <v>-10674.6508461213</v>
      </c>
      <c r="BD122" s="12">
        <f>-BD121*BD123</f>
        <v>-11226.8322033898</v>
      </c>
      <c r="BE122" s="12">
        <f>-BE121*BE123</f>
        <v>-13122.2173443196</v>
      </c>
      <c r="BF122" s="12">
        <f>SUM(BB122:BE122)</f>
        <v>-44910.0552859532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% ETR</t>
        </is>
      </c>
      <c r="D123" s="53" t="n"/>
      <c r="E123" s="53" t="n"/>
      <c r="F123" s="53" t="n"/>
      <c r="G123" s="53" t="n"/>
      <c r="H123" s="53" t="n"/>
      <c r="I123" s="53">
        <f>IFERROR(-I122/I121,"")</f>
        <v>0.1743892897505</v>
      </c>
      <c r="J123" s="53">
        <f>IFERROR(-J122/J121,"")</f>
        <v>0.169343882362343</v>
      </c>
      <c r="K123" s="53">
        <f>IFERROR(-K122/K121,"")</f>
        <v>0.129768102224326</v>
      </c>
      <c r="L123" s="53">
        <f>IFERROR(-L122/L121,"")</f>
        <v>0.190348736518933</v>
      </c>
      <c r="M123" s="53">
        <f>IFERROR(-M122/M121,"")</f>
        <v>0.167371626765925</v>
      </c>
      <c r="N123" s="53">
        <f>IFERROR(-N122/N121,"")</f>
        <v>0.161989223170184</v>
      </c>
      <c r="O123" s="53">
        <f>IFERROR(-O122/O121,"")</f>
        <v>0.183117517713169</v>
      </c>
      <c r="P123" s="53">
        <f>IFERROR(-P122/P121,"")</f>
        <v>0.211800573888092</v>
      </c>
      <c r="Q123" s="53">
        <f>IFERROR(-Q122/Q121,"")</f>
        <v>0.243291592128801</v>
      </c>
      <c r="R123" s="53">
        <f>IFERROR(-R122/R121,"")</f>
        <v>0.194975536972136</v>
      </c>
      <c r="S123" s="53">
        <f>IFERROR(-S122/S121,"")</f>
        <v>0.218694402627617</v>
      </c>
      <c r="T123" s="53">
        <f>IFERROR(-T122/T121,"")</f>
        <v>0.161949854729366</v>
      </c>
      <c r="U123" s="53">
        <f>IFERROR(-U122/U121,"")</f>
        <v>0.173823109843081</v>
      </c>
      <c r="V123" s="53">
        <f>IFERROR(-V122/V121,"")</f>
        <v>0.166002260962694</v>
      </c>
      <c r="W123" s="53">
        <f>IFERROR(-W122/W121,"")</f>
        <v>0.175638349463386</v>
      </c>
      <c r="X123" s="53">
        <f>IFERROR(-X122/X121,"")</f>
        <v>0.127899598110414</v>
      </c>
      <c r="Y123" s="53">
        <f>IFERROR(-Y122/Y121,"")</f>
        <v>0.108632331523898</v>
      </c>
      <c r="Z123" s="53">
        <f>IFERROR(-Z122/Z121,"")</f>
        <v>0.119739647626529</v>
      </c>
      <c r="AA123" s="53">
        <f>IFERROR(-AA122/AA121,"")</f>
        <v>0.115234375</v>
      </c>
      <c r="AB123" s="53">
        <f>IFERROR(-AB122/AB121,"")</f>
        <v>0.117501379788574</v>
      </c>
      <c r="AC123" s="53">
        <f>IFERROR(-AC122/AC121,"")</f>
        <v>0.0945490153410946</v>
      </c>
      <c r="AD123" s="53">
        <f>IFERROR(-AD122/AD121,"")</f>
        <v>0.106993279438979</v>
      </c>
      <c r="AE123" s="53">
        <f>IFERROR(-AE122/AE121,"")</f>
        <v>0.874948068134607</v>
      </c>
      <c r="AF123" s="41">
        <f>IFERROR(-AF122/AF121,"")</f>
        <v>0.10199574031711</v>
      </c>
      <c r="AG123" s="53">
        <f>IFERROR(-AG122/AG121,"")</f>
        <v>0.29645188693517</v>
      </c>
      <c r="AH123" s="41">
        <f>IFERROR(-AH122/AH121,"")</f>
        <v>-0.230829349025377</v>
      </c>
      <c r="AI123" s="41">
        <f>IFERROR(-AI122/AI121,"")</f>
        <v>0.155043719343144</v>
      </c>
      <c r="AJ123" s="41">
        <f>Control!$B$22</f>
        <v>0.18378341225826</v>
      </c>
      <c r="AK123" s="41">
        <f>Control!$B$22</f>
        <v>0.18378341225826</v>
      </c>
      <c r="AL123" s="53">
        <f>IFERROR(-AL122/AL121,"")</f>
        <v>0.0847116466677087</v>
      </c>
      <c r="AM123" s="41">
        <f>Control!$C$22</f>
        <v>0.18378341225826</v>
      </c>
      <c r="AN123" s="41">
        <f>Control!$C$22</f>
        <v>0.18378341225826</v>
      </c>
      <c r="AO123" s="41">
        <f>Control!$C$22</f>
        <v>0.18378341225826</v>
      </c>
      <c r="AP123" s="41">
        <f>Control!$C$22</f>
        <v>0.18378341225826</v>
      </c>
      <c r="AQ123" s="53">
        <f>IFERROR(-AQ122/AQ121,"")</f>
        <v>0.18378341225826</v>
      </c>
      <c r="AR123" s="41">
        <f>Control!$D$22</f>
        <v>0.18378341225826</v>
      </c>
      <c r="AS123" s="41">
        <f>Control!$D$22</f>
        <v>0.18378341225826</v>
      </c>
      <c r="AT123" s="41">
        <f>Control!$D$22</f>
        <v>0.18378341225826</v>
      </c>
      <c r="AU123" s="41">
        <f>Control!$D$22</f>
        <v>0.18378341225826</v>
      </c>
      <c r="AV123" s="53">
        <f>IFERROR(-AV122/AV121,"")</f>
        <v>0.18378341225826</v>
      </c>
      <c r="AW123" s="41">
        <f>Control!$E$22</f>
        <v>0.18378341225826</v>
      </c>
      <c r="AX123" s="41">
        <f>Control!$E$22</f>
        <v>0.18378341225826</v>
      </c>
      <c r="AY123" s="41">
        <f>Control!$E$22</f>
        <v>0.18378341225826</v>
      </c>
      <c r="AZ123" s="41">
        <f>Control!$E$22</f>
        <v>0.18378341225826</v>
      </c>
      <c r="BA123" s="53">
        <f>IFERROR(-BA122/BA121,"")</f>
        <v>0.18378341225826</v>
      </c>
      <c r="BB123" s="41">
        <f>Control!$F$22</f>
        <v>0.18378341225826</v>
      </c>
      <c r="BC123" s="41">
        <f>Control!$F$22</f>
        <v>0.18378341225826</v>
      </c>
      <c r="BD123" s="41">
        <f>Control!$F$22</f>
        <v>0.18378341225826</v>
      </c>
      <c r="BE123" s="41">
        <f>Control!$F$22</f>
        <v>0.18378341225826</v>
      </c>
      <c r="BF123" s="53">
        <f>IFERROR(-BF122/BF121,"")</f>
        <v>0.18378341225826</v>
      </c>
      <c r="BG123" s="41" t="n"/>
      <c r="BH123" s="41" t="n"/>
      <c r="BI123" s="41" t="n"/>
      <c r="BJ123" s="41" t="n"/>
      <c r="BK123" s="53" t="n"/>
      <c r="BL123" s="41" t="n"/>
      <c r="BM123" s="41" t="n"/>
      <c r="BN123" s="41" t="n"/>
      <c r="BO123" s="41" t="n"/>
      <c r="BP123" s="53" t="n"/>
      <c r="BQ123" s="41" t="n"/>
      <c r="BR123" s="41" t="n"/>
      <c r="BS123" s="41" t="n"/>
      <c r="BT123" s="41" t="n"/>
      <c r="BU123" s="53" t="n"/>
      <c r="BV123" s="41" t="n"/>
      <c r="BW123" s="41" t="n"/>
      <c r="BX123" s="41" t="n"/>
      <c r="BY123" s="41" t="n"/>
      <c r="BZ123" s="53" t="n"/>
      <c r="CA123" s="41" t="n"/>
      <c r="CB123" s="41" t="n"/>
      <c r="CC123" s="41" t="n"/>
      <c r="CD123" s="41" t="n"/>
      <c r="CE123" s="53" t="n"/>
      <c r="CF123" s="41" t="n"/>
      <c r="CG123" s="41" t="n"/>
      <c r="CH123" s="41" t="n"/>
      <c r="CI123" s="41" t="n"/>
      <c r="CJ123" s="53" t="n"/>
      <c r="CK123" s="41" t="n"/>
      <c r="CL123" s="41" t="n"/>
      <c r="CM123" s="41" t="n"/>
      <c r="CN123" s="41" t="n"/>
      <c r="CO123" s="53" t="n"/>
      <c r="CP123" s="41" t="n"/>
      <c r="CQ123" s="41" t="n"/>
      <c r="CR123" s="41" t="n"/>
      <c r="CS123" s="41" t="n"/>
      <c r="CT123" s="53" t="n"/>
      <c r="CU123" s="41" t="n"/>
      <c r="CV123" s="41" t="n"/>
      <c r="CW123" s="41" t="n"/>
      <c r="CX123" s="41" t="n"/>
      <c r="CY123" s="53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collapsed="1">
      <c r="C126" s="14" t="inlineStr">
        <is>
          <t>Equity in Income of Affiliates, after tax (enter as +)</t>
        </is>
      </c>
      <c r="D126" s="46" t="n"/>
      <c r="E126" s="46" t="n"/>
      <c r="F126" s="46" t="n"/>
      <c r="G126" s="46" t="n"/>
      <c r="H126" s="12" t="n"/>
      <c r="I126" s="46">
        <f>'Inputs (2)'!D11</f>
        <v>0</v>
      </c>
      <c r="J126" s="46">
        <f>'Inputs (2)'!E11</f>
        <v>0</v>
      </c>
      <c r="K126" s="46">
        <f>'Inputs (2)'!F11</f>
        <v>0</v>
      </c>
      <c r="L126" s="46">
        <f>'Inputs (2)'!G11</f>
        <v>0</v>
      </c>
      <c r="M126" s="12">
        <f>'Inputs (2)'!H11</f>
        <v>0</v>
      </c>
      <c r="N126" s="46">
        <f>'Inputs (2)'!I11</f>
        <v>0</v>
      </c>
      <c r="O126" s="46">
        <f>'Inputs (2)'!J11</f>
        <v>0</v>
      </c>
      <c r="P126" s="46">
        <f>'Inputs (2)'!K11</f>
        <v>0</v>
      </c>
      <c r="Q126" s="46">
        <f>'Inputs (2)'!L11</f>
        <v>0</v>
      </c>
      <c r="R126" s="12">
        <f>'Inputs (2)'!M11</f>
        <v>0</v>
      </c>
      <c r="S126" s="46">
        <f>'Inputs (2)'!N11</f>
        <v>0</v>
      </c>
      <c r="T126" s="46">
        <f>'Inputs (2)'!O11</f>
        <v>0</v>
      </c>
      <c r="U126" s="46">
        <f>'Inputs (2)'!P11</f>
        <v>0</v>
      </c>
      <c r="V126" s="46">
        <f>'Inputs (2)'!Q11</f>
        <v>0</v>
      </c>
      <c r="W126" s="12">
        <f>'Inputs (2)'!R11</f>
        <v>0</v>
      </c>
      <c r="X126" s="46">
        <f>'Inputs (2)'!S11</f>
        <v>0</v>
      </c>
      <c r="Y126" s="46">
        <f>'Inputs (2)'!T11</f>
        <v>0</v>
      </c>
      <c r="Z126" s="46">
        <f>'Inputs (2)'!U11</f>
        <v>0</v>
      </c>
      <c r="AA126" s="46">
        <f>'Inputs (2)'!V11</f>
        <v>0</v>
      </c>
      <c r="AB126" s="12">
        <f>'Inputs (2)'!W11</f>
        <v>0</v>
      </c>
      <c r="AC126" s="46">
        <f>'Inputs (2)'!X11</f>
        <v>0</v>
      </c>
      <c r="AD126" s="46">
        <f>'Inputs (2)'!Y11</f>
        <v>0</v>
      </c>
      <c r="AE126" s="46">
        <f>'Inputs (2)'!Z11</f>
        <v>0</v>
      </c>
      <c r="AF126" s="46">
        <f>'Inputs (2)'!AA11</f>
        <v>0</v>
      </c>
      <c r="AG126" s="12">
        <f>'Inputs (2)'!AB11</f>
        <v>0</v>
      </c>
      <c r="AH126" s="12">
        <f>'Inputs (2)'!AC11</f>
        <v>0</v>
      </c>
      <c r="AI126" s="12">
        <f>'Inputs (2)'!AD11</f>
        <v>0</v>
      </c>
      <c r="AJ126" s="12">
        <f>0</f>
        <v>0</v>
      </c>
      <c r="AK126" s="12">
        <f>0</f>
        <v>0</v>
      </c>
      <c r="AL126" s="12">
        <f>SUM(AH126:AK126)</f>
        <v>0</v>
      </c>
      <c r="AM126" s="12">
        <f>0</f>
        <v>0</v>
      </c>
      <c r="AN126" s="12">
        <f>0</f>
        <v>0</v>
      </c>
      <c r="AO126" s="12">
        <f>0</f>
        <v>0</v>
      </c>
      <c r="AP126" s="12">
        <f>0</f>
        <v>0</v>
      </c>
      <c r="AQ126" s="12">
        <f>SUM(AM126:AP126)</f>
        <v>0</v>
      </c>
      <c r="AR126" s="12">
        <f>0</f>
        <v>0</v>
      </c>
      <c r="AS126" s="12">
        <f>0</f>
        <v>0</v>
      </c>
      <c r="AT126" s="12">
        <f>0</f>
        <v>0</v>
      </c>
      <c r="AU126" s="12">
        <f>0</f>
        <v>0</v>
      </c>
      <c r="AV126" s="12">
        <f>SUM(AR126:AU126)</f>
        <v>0</v>
      </c>
      <c r="AW126" s="12">
        <f>0</f>
        <v>0</v>
      </c>
      <c r="AX126" s="12">
        <f>0</f>
        <v>0</v>
      </c>
      <c r="AY126" s="12">
        <f>0</f>
        <v>0</v>
      </c>
      <c r="AZ126" s="12">
        <f>0</f>
        <v>0</v>
      </c>
      <c r="BA126" s="12">
        <f>SUM(AW126:AZ126)</f>
        <v>0</v>
      </c>
      <c r="BB126" s="12">
        <f>0</f>
        <v>0</v>
      </c>
      <c r="BC126" s="12">
        <f>0</f>
        <v>0</v>
      </c>
      <c r="BD126" s="12">
        <f>0</f>
        <v>0</v>
      </c>
      <c r="BE126" s="12">
        <f>0</f>
        <v>0</v>
      </c>
      <c r="BF126" s="12">
        <f>SUM(BB126:BE126)</f>
        <v>0</v>
      </c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>
      <c r="C127" s="14" t="inlineStr">
        <is>
          <t>Minority Interest Expense, after tax (enter as - )</t>
        </is>
      </c>
      <c r="D127" s="46" t="n"/>
      <c r="E127" s="46" t="n"/>
      <c r="F127" s="46" t="n"/>
      <c r="G127" s="46" t="n"/>
      <c r="H127" s="12" t="n"/>
      <c r="I127" s="46">
        <f>'Inputs (2)'!D12</f>
        <v>0</v>
      </c>
      <c r="J127" s="46">
        <f>'Inputs (2)'!E12</f>
        <v>0</v>
      </c>
      <c r="K127" s="46">
        <f>'Inputs (2)'!F12</f>
        <v>0</v>
      </c>
      <c r="L127" s="46">
        <f>'Inputs (2)'!G12</f>
        <v>0</v>
      </c>
      <c r="M127" s="12">
        <f>'Inputs (2)'!H12</f>
        <v>0</v>
      </c>
      <c r="N127" s="46">
        <f>'Inputs (2)'!I12</f>
        <v>0</v>
      </c>
      <c r="O127" s="46">
        <f>'Inputs (2)'!J12</f>
        <v>0</v>
      </c>
      <c r="P127" s="46">
        <f>'Inputs (2)'!K12</f>
        <v>0</v>
      </c>
      <c r="Q127" s="46">
        <f>'Inputs (2)'!L12</f>
        <v>0</v>
      </c>
      <c r="R127" s="12">
        <f>'Inputs (2)'!M12</f>
        <v>0</v>
      </c>
      <c r="S127" s="46">
        <f>'Inputs (2)'!N12</f>
        <v>0</v>
      </c>
      <c r="T127" s="46">
        <f>'Inputs (2)'!O12</f>
        <v>0</v>
      </c>
      <c r="U127" s="46">
        <f>'Inputs (2)'!P12</f>
        <v>0</v>
      </c>
      <c r="V127" s="46">
        <f>'Inputs (2)'!Q12</f>
        <v>0</v>
      </c>
      <c r="W127" s="12">
        <f>'Inputs (2)'!R12</f>
        <v>0</v>
      </c>
      <c r="X127" s="46">
        <f>'Inputs (2)'!S12</f>
        <v>0</v>
      </c>
      <c r="Y127" s="46">
        <f>'Inputs (2)'!T12</f>
        <v>0</v>
      </c>
      <c r="Z127" s="46">
        <f>'Inputs (2)'!U12</f>
        <v>0</v>
      </c>
      <c r="AA127" s="46">
        <f>'Inputs (2)'!V12</f>
        <v>0</v>
      </c>
      <c r="AB127" s="12">
        <f>'Inputs (2)'!W12</f>
        <v>0</v>
      </c>
      <c r="AC127" s="46">
        <f>'Inputs (2)'!X12</f>
        <v>0</v>
      </c>
      <c r="AD127" s="46">
        <f>'Inputs (2)'!Y12</f>
        <v>0</v>
      </c>
      <c r="AE127" s="46">
        <f>'Inputs (2)'!Z12</f>
        <v>0</v>
      </c>
      <c r="AF127" s="46">
        <f>'Inputs (2)'!AA12</f>
        <v>0</v>
      </c>
      <c r="AG127" s="12">
        <f>'Inputs (2)'!AB12</f>
        <v>0</v>
      </c>
      <c r="AH127" s="12">
        <f>'Inputs (2)'!AC12</f>
        <v>0</v>
      </c>
      <c r="AI127" s="12">
        <f>'Inputs (2)'!AD12</f>
        <v>0</v>
      </c>
      <c r="AJ127" s="12">
        <f>0</f>
        <v>0</v>
      </c>
      <c r="AK127" s="12">
        <f>0</f>
        <v>0</v>
      </c>
      <c r="AL127" s="12">
        <f>SUM(AH127:AK127)</f>
        <v>0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customFormat="1" s="32">
      <c r="A128" s="30" t="n"/>
      <c r="B128" s="3" t="n"/>
      <c r="C128" s="33" t="inlineStr">
        <is>
          <t>Net Income</t>
        </is>
      </c>
      <c r="D128" s="35" t="n"/>
      <c r="E128" s="35" t="n"/>
      <c r="F128" s="35" t="n"/>
      <c r="G128" s="35" t="n"/>
      <c r="H128" s="35" t="n"/>
      <c r="I128" s="35">
        <f>SUM(I121,I122,I126,I127)</f>
        <v>9497</v>
      </c>
      <c r="J128" s="35">
        <f>SUM(J121,J122,J126,J127)</f>
        <v>10394</v>
      </c>
      <c r="K128" s="35">
        <f>SUM(K121,K122,K126,K127)</f>
        <v>9194</v>
      </c>
      <c r="L128" s="35">
        <f>SUM(L121,L122,L126,L127)</f>
        <v>10285</v>
      </c>
      <c r="M128" s="35">
        <f>SUM(I128:L128)</f>
        <v>39370</v>
      </c>
      <c r="N128" s="35">
        <f>SUM(N121,N122,N126,N127)</f>
        <v>7465</v>
      </c>
      <c r="O128" s="35">
        <f>SUM(O121,O122,O126,O127)</f>
        <v>6687</v>
      </c>
      <c r="P128" s="35">
        <f>SUM(P121,P122,P126,P127)</f>
        <v>4395</v>
      </c>
      <c r="Q128" s="35">
        <f>SUM(Q121,Q122,Q126,Q127)</f>
        <v>4653</v>
      </c>
      <c r="R128" s="35">
        <f>SUM(N128:Q128)</f>
        <v>23200</v>
      </c>
      <c r="S128" s="35">
        <f>SUM(S121,S122,S126,S127)</f>
        <v>5709</v>
      </c>
      <c r="T128" s="35">
        <f>SUM(T121,T122,T126,T127)</f>
        <v>7788</v>
      </c>
      <c r="U128" s="35">
        <f>SUM(U121,U122,U126,U127)</f>
        <v>11583</v>
      </c>
      <c r="V128" s="35">
        <f>SUM(V121,V122,V126,V127)</f>
        <v>14017</v>
      </c>
      <c r="W128" s="35">
        <f>SUM(S128:V128)</f>
        <v>39097</v>
      </c>
      <c r="X128" s="35">
        <f>SUM(X121,X122,X126,X127)</f>
        <v>12369</v>
      </c>
      <c r="Y128" s="35">
        <f>SUM(Y121,Y122,Y126,Y127)</f>
        <v>13465</v>
      </c>
      <c r="Z128" s="35">
        <f>SUM(Z121,Z122,Z126,Z127)</f>
        <v>15688</v>
      </c>
      <c r="AA128" s="35">
        <f>SUM(AA121,AA122,AA126,AA127)</f>
        <v>20838</v>
      </c>
      <c r="AB128" s="35">
        <f>SUM(X128:AA128)</f>
        <v>62360</v>
      </c>
      <c r="AC128" s="35">
        <f>SUM(AC121,AC122,AC126,AC127)</f>
        <v>16644</v>
      </c>
      <c r="AD128" s="35">
        <f>SUM(AD121,AD122,AD126,AD127)</f>
        <v>18337</v>
      </c>
      <c r="AE128" s="35">
        <f>SUM(AE121,AE122,AE126,AE127)</f>
        <v>2709</v>
      </c>
      <c r="AF128" s="35">
        <f>SUM(AF121,AF122,AF126,AF127)</f>
        <v>22768</v>
      </c>
      <c r="AG128" s="35">
        <f>SUM(AC128:AF128)</f>
        <v>60458</v>
      </c>
      <c r="AH128" s="35">
        <f>SUM(AH121,AH122,AH126,AH127)</f>
        <v>26773</v>
      </c>
      <c r="AI128" s="35">
        <f>SUM(AI121,AI122,AI126,AI127)</f>
        <v>15848</v>
      </c>
      <c r="AJ128" s="35">
        <f>SUM(AJ121,AJ122,AJ126,AJ127)</f>
        <v>21061.6829850057</v>
      </c>
      <c r="AK128" s="35">
        <f>SUM(AK121,AK122,AK126,AK127)</f>
        <v>24617.4501194517</v>
      </c>
      <c r="AL128" s="35">
        <f>SUM(AH128:AK128)</f>
        <v>88300.1331044574</v>
      </c>
      <c r="AM128" s="35">
        <f>SUM(AM121,AM122,AM126,AM127)</f>
        <v>23145.1627682107</v>
      </c>
      <c r="AN128" s="35">
        <f>SUM(AN121,AN122,AN126,AN127)</f>
        <v>24990.6597551097</v>
      </c>
      <c r="AO128" s="35">
        <f>SUM(AO121,AO122,AO126,AO127)</f>
        <v>26283.3836691313</v>
      </c>
      <c r="AP128" s="35">
        <f>SUM(AP121,AP122,AP126,AP127)</f>
        <v>30720.7114885305</v>
      </c>
      <c r="AQ128" s="35">
        <f>SUM(AM128:AP128)</f>
        <v>105139.917680982</v>
      </c>
      <c r="AR128" s="35">
        <f>SUM(AR121,AR122,AR126,AR127)</f>
        <v>28767.6826751417</v>
      </c>
      <c r="AS128" s="35">
        <f>SUM(AS121,AS122,AS126,AS127)</f>
        <v>31061.495521857</v>
      </c>
      <c r="AT128" s="35">
        <f>SUM(AT121,AT122,AT126,AT127)</f>
        <v>32668.2533449741</v>
      </c>
      <c r="AU128" s="35">
        <f>SUM(AU121,AU122,AU126,AU127)</f>
        <v>38183.5154285651</v>
      </c>
      <c r="AV128" s="35">
        <f>SUM(AR128:AU128)</f>
        <v>130680.946970538</v>
      </c>
      <c r="AW128" s="35">
        <f>SUM(AW121,AW122,AW126,AW127)</f>
        <v>35612.2102601858</v>
      </c>
      <c r="AX128" s="35">
        <f>SUM(AX121,AX122,AX126,AX127)</f>
        <v>38451.7766693818</v>
      </c>
      <c r="AY128" s="35">
        <f>SUM(AY121,AY122,AY126,AY127)</f>
        <v>40440.8210453297</v>
      </c>
      <c r="AZ128" s="35">
        <f>SUM(AZ121,AZ122,AZ126,AZ127)</f>
        <v>47268.2973901864</v>
      </c>
      <c r="BA128" s="35">
        <f>SUM(AW128:AZ128)</f>
        <v>161773.105365084</v>
      </c>
      <c r="BB128" s="35">
        <f>SUM(BB121,BB122,BB126,BB127)</f>
        <v>43907.1554722937</v>
      </c>
      <c r="BC128" s="35">
        <f>SUM(BC121,BC122,BC126,BC127)</f>
        <v>47408.1255859588</v>
      </c>
      <c r="BD128" s="35">
        <f>SUM(BD121,BD122,BD126,BD127)</f>
        <v>49860.466511107</v>
      </c>
      <c r="BE128" s="35">
        <f>SUM(BE121,BE122,BE126,BE127)</f>
        <v>58278.2272501021</v>
      </c>
      <c r="BF128" s="35">
        <f>SUM(BB128:BE128)</f>
        <v>199453.974819462</v>
      </c>
      <c r="BG128" s="35" t="n"/>
      <c r="BH128" s="35" t="n"/>
      <c r="BI128" s="35" t="n"/>
      <c r="BJ128" s="35" t="n"/>
      <c r="BK128" s="35" t="n"/>
      <c r="BL128" s="35" t="n"/>
      <c r="BM128" s="35" t="n"/>
      <c r="BN128" s="35" t="n"/>
      <c r="BO128" s="35" t="n"/>
      <c r="BP128" s="35" t="n"/>
      <c r="BQ128" s="35" t="n"/>
      <c r="BR128" s="35" t="n"/>
      <c r="BS128" s="35" t="n"/>
      <c r="BT128" s="35" t="n"/>
      <c r="BU128" s="35" t="n"/>
      <c r="BV128" s="35" t="n"/>
      <c r="BW128" s="35" t="n"/>
      <c r="BX128" s="35" t="n"/>
      <c r="BY128" s="35" t="n"/>
      <c r="BZ128" s="35" t="n"/>
      <c r="CA128" s="35" t="n"/>
      <c r="CB128" s="35" t="n"/>
      <c r="CC128" s="35" t="n"/>
      <c r="CD128" s="35" t="n"/>
      <c r="CE128" s="35" t="n"/>
      <c r="CF128" s="35" t="n"/>
      <c r="CG128" s="35" t="n"/>
      <c r="CH128" s="35" t="n"/>
      <c r="CI128" s="35" t="n"/>
      <c r="CJ128" s="35" t="n"/>
      <c r="CK128" s="35" t="n"/>
      <c r="CL128" s="35" t="n"/>
      <c r="CM128" s="35" t="n"/>
      <c r="CN128" s="35" t="n"/>
      <c r="CO128" s="35" t="n"/>
      <c r="CP128" s="35" t="n"/>
      <c r="CQ128" s="35" t="n"/>
      <c r="CR128" s="35" t="n"/>
      <c r="CS128" s="35" t="n"/>
      <c r="CT128" s="35" t="n"/>
      <c r="CU128" s="35" t="n"/>
      <c r="CV128" s="35" t="n"/>
      <c r="CW128" s="35" t="n"/>
      <c r="CX128" s="35" t="n"/>
      <c r="CY128" s="35" t="n"/>
    </row>
    <row r="129">
      <c r="C129" s="13" t="inlineStr">
        <is>
          <t>Common Dividends</t>
        </is>
      </c>
      <c r="D129" s="46" t="n"/>
      <c r="E129" s="46" t="n"/>
      <c r="F129" s="46" t="n"/>
      <c r="G129" s="46" t="n"/>
      <c r="H129" s="12" t="n"/>
      <c r="I129" s="46">
        <f>'Inputs (2)'!D13</f>
        <v>0</v>
      </c>
      <c r="J129" s="46">
        <f>'Inputs (2)'!E13</f>
        <v>0</v>
      </c>
      <c r="K129" s="46">
        <f>'Inputs (2)'!F13</f>
        <v>0</v>
      </c>
      <c r="L129" s="46">
        <f>'Inputs (2)'!G13</f>
        <v>0</v>
      </c>
      <c r="M129" s="12">
        <f>'Inputs (2)'!H13</f>
        <v>0</v>
      </c>
      <c r="N129" s="46">
        <f>'Inputs (2)'!I13</f>
        <v>0</v>
      </c>
      <c r="O129" s="46">
        <f>'Inputs (2)'!J13</f>
        <v>0</v>
      </c>
      <c r="P129" s="46">
        <f>'Inputs (2)'!K13</f>
        <v>0</v>
      </c>
      <c r="Q129" s="46">
        <f>'Inputs (2)'!L13</f>
        <v>0</v>
      </c>
      <c r="R129" s="12">
        <f>'Inputs (2)'!M13</f>
        <v>0</v>
      </c>
      <c r="S129" s="46">
        <f>'Inputs (2)'!N13</f>
        <v>0</v>
      </c>
      <c r="T129" s="46">
        <f>'Inputs (2)'!O13</f>
        <v>0</v>
      </c>
      <c r="U129" s="46">
        <f>'Inputs (2)'!P13</f>
        <v>0</v>
      </c>
      <c r="V129" s="46">
        <f>'Inputs (2)'!Q13</f>
        <v>0</v>
      </c>
      <c r="W129" s="12">
        <f>'Inputs (2)'!R13</f>
        <v>0</v>
      </c>
      <c r="X129" s="46">
        <f>'Inputs (2)'!S13</f>
        <v>-1273</v>
      </c>
      <c r="Y129" s="46">
        <f>'Inputs (2)'!T13</f>
        <v>-1266</v>
      </c>
      <c r="Z129" s="46">
        <f>'Inputs (2)'!U13</f>
        <v>-1263</v>
      </c>
      <c r="AA129" s="46">
        <f>'Inputs (2)'!V13</f>
        <v>-1267</v>
      </c>
      <c r="AB129" s="12">
        <f>'Inputs (2)'!W13</f>
        <v>-5069</v>
      </c>
      <c r="AC129" s="46">
        <f>'Inputs (2)'!X13</f>
        <v>-1329</v>
      </c>
      <c r="AD129" s="46">
        <f>'Inputs (2)'!Y13</f>
        <v>-1327</v>
      </c>
      <c r="AE129" s="46">
        <f>'Inputs (2)'!Z13</f>
        <v>-1330</v>
      </c>
      <c r="AF129" s="46">
        <f>'Inputs (2)'!AA13</f>
        <v>-1328</v>
      </c>
      <c r="AG129" s="12">
        <f>'Inputs (2)'!AB13</f>
        <v>-5314</v>
      </c>
      <c r="AH129" s="12">
        <f>'Inputs (2)'!AC13</f>
        <v>-1346</v>
      </c>
      <c r="AI129" s="12">
        <f>'Inputs (2)'!AD13</f>
        <v>-1353</v>
      </c>
      <c r="AJ129" s="12">
        <f>-MAX(0,AJ128)*Control!$E$15</f>
        <v>0</v>
      </c>
      <c r="AK129" s="12">
        <f>-MAX(0,AK128)*Control!$E$15</f>
        <v>0</v>
      </c>
      <c r="AL129" s="12">
        <f>SUM(AH129:AK129)</f>
        <v>-2699</v>
      </c>
      <c r="AM129" s="12">
        <f>-MAX(0,AM128)*Control!$E$15</f>
        <v>0</v>
      </c>
      <c r="AN129" s="12">
        <f>-MAX(0,AN128)*Control!$E$15</f>
        <v>0</v>
      </c>
      <c r="AO129" s="12">
        <f>-MAX(0,AO128)*Control!$E$15</f>
        <v>0</v>
      </c>
      <c r="AP129" s="12">
        <f>-MAX(0,AP128)*Control!$E$15</f>
        <v>0</v>
      </c>
      <c r="AQ129" s="12">
        <f>SUM(AM129:AP129)</f>
        <v>0</v>
      </c>
      <c r="AR129" s="12">
        <f>-MAX(0,AR128)*Control!$E$15</f>
        <v>0</v>
      </c>
      <c r="AS129" s="12">
        <f>-MAX(0,AS128)*Control!$E$15</f>
        <v>0</v>
      </c>
      <c r="AT129" s="12">
        <f>-MAX(0,AT128)*Control!$E$15</f>
        <v>0</v>
      </c>
      <c r="AU129" s="12">
        <f>-MAX(0,AU128)*Control!$E$15</f>
        <v>0</v>
      </c>
      <c r="AV129" s="12">
        <f>SUM(AR129:AU129)</f>
        <v>0</v>
      </c>
      <c r="AW129" s="12">
        <f>-MAX(0,AW128)*Control!$E$15</f>
        <v>0</v>
      </c>
      <c r="AX129" s="12">
        <f>-MAX(0,AX128)*Control!$E$15</f>
        <v>0</v>
      </c>
      <c r="AY129" s="12">
        <f>-MAX(0,AY128)*Control!$E$15</f>
        <v>0</v>
      </c>
      <c r="AZ129" s="12">
        <f>-MAX(0,AZ128)*Control!$E$15</f>
        <v>0</v>
      </c>
      <c r="BA129" s="12">
        <f>SUM(AW129:AZ129)</f>
        <v>0</v>
      </c>
      <c r="BB129" s="12">
        <f>-MAX(0,BB128)*Control!$E$15</f>
        <v>0</v>
      </c>
      <c r="BC129" s="12">
        <f>-MAX(0,BC128)*Control!$E$15</f>
        <v>0</v>
      </c>
      <c r="BD129" s="12">
        <f>-MAX(0,BD128)*Control!$E$15</f>
        <v>0</v>
      </c>
      <c r="BE129" s="12">
        <f>-MAX(0,BE128)*Control!$E$15</f>
        <v>0</v>
      </c>
      <c r="BF129" s="12">
        <f>SUM(BB129:BE129)</f>
        <v>0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0" t="inlineStr">
        <is>
          <t>% DVD Payout</t>
        </is>
      </c>
      <c r="D130" s="58" t="n"/>
      <c r="E130" s="58" t="n"/>
      <c r="F130" s="58" t="n"/>
      <c r="G130" s="58" t="n"/>
      <c r="H130" s="58" t="n"/>
      <c r="I130" s="58">
        <f>IF(I128=0,"",-I129/I128)</f>
        <v>0</v>
      </c>
      <c r="J130" s="58">
        <f>IF(J128=0,"",-J129/J128)</f>
        <v>0</v>
      </c>
      <c r="K130" s="58">
        <f>IF(K128=0,"",-K129/K128)</f>
        <v>0</v>
      </c>
      <c r="L130" s="58">
        <f>IF(L128=0,"",-L129/L128)</f>
        <v>0</v>
      </c>
      <c r="M130" s="58">
        <f>IF(M128=0,"",-M129/M128)</f>
        <v>0</v>
      </c>
      <c r="N130" s="58">
        <f>IF(N128=0,"",-N129/N128)</f>
        <v>0</v>
      </c>
      <c r="O130" s="58">
        <f>IF(O128=0,"",-O129/O128)</f>
        <v>0</v>
      </c>
      <c r="P130" s="58">
        <f>IF(P128=0,"",-P129/P128)</f>
        <v>0</v>
      </c>
      <c r="Q130" s="58">
        <f>IF(Q128=0,"",-Q129/Q128)</f>
        <v>0</v>
      </c>
      <c r="R130" s="58">
        <f>IF(R128=0,"",-R129/R128)</f>
        <v>0</v>
      </c>
      <c r="S130" s="58">
        <f>IF(S128=0,"",-S129/S128)</f>
        <v>0</v>
      </c>
      <c r="T130" s="58">
        <f>IF(T128=0,"",-T129/T128)</f>
        <v>0</v>
      </c>
      <c r="U130" s="58">
        <f>IF(U128=0,"",-U129/U128)</f>
        <v>0</v>
      </c>
      <c r="V130" s="58">
        <f>IF(V128=0,"",-V129/V128)</f>
        <v>0</v>
      </c>
      <c r="W130" s="58">
        <f>IF(W128=0,"",-W129/W128)</f>
        <v>0</v>
      </c>
      <c r="X130" s="58">
        <f>IF(X128=0,"",-X129/X128)</f>
        <v>0.102918586789555</v>
      </c>
      <c r="Y130" s="58">
        <f>IF(Y128=0,"",-Y129/Y128)</f>
        <v>0.0940215373189751</v>
      </c>
      <c r="Z130" s="58">
        <f>IF(Z128=0,"",-Z129/Z128)</f>
        <v>0.0805073941866395</v>
      </c>
      <c r="AA130" s="58">
        <f>IF(AA128=0,"",-AA129/AA128)</f>
        <v>0.0608023802668202</v>
      </c>
      <c r="AB130" s="58">
        <f>IF(AB128=0,"",-AB129/AB128)</f>
        <v>0.0812860808210391</v>
      </c>
      <c r="AC130" s="58">
        <f>IF(AC128=0,"",-AC129/AC128)</f>
        <v>0.0798485940879596</v>
      </c>
      <c r="AD130" s="58">
        <f>IF(AD128=0,"",-AD129/AD128)</f>
        <v>0.0723673447128756</v>
      </c>
      <c r="AE130" s="58">
        <f>IF(AE128=0,"",-AE129/AE128)</f>
        <v>0.490956072351421</v>
      </c>
      <c r="AF130" s="41">
        <f>IF(AF128=0,"",-AF129/AF128)</f>
        <v>0.0583274771609276</v>
      </c>
      <c r="AG130" s="12">
        <f>IF(AG128=0,"",-AG129/AG128)</f>
        <v>0.0878957292665983</v>
      </c>
      <c r="AH130" s="41">
        <f>IF(AH128=0,"",-AH129/AH128)</f>
        <v>0.0502745303103873</v>
      </c>
      <c r="AI130" s="41">
        <f>IF(AI128=0,"",-AI129/AI128)</f>
        <v>0.0853735487127713</v>
      </c>
      <c r="AJ130" s="41">
        <f>IF(AJ128=0,"",-AJ129/AJ128)</f>
        <v>0</v>
      </c>
      <c r="AK130" s="41">
        <f>IF(AK128=0,"",-AK129/AK128)</f>
        <v>0</v>
      </c>
      <c r="AL130" s="12">
        <f>IF(AL128=0,"",-AL129/AL128)</f>
        <v>0.0305662053397715</v>
      </c>
      <c r="AM130" s="41">
        <f>IF(AM128=0,"",-AM129/AM128)</f>
        <v>0</v>
      </c>
      <c r="AN130" s="41">
        <f>IF(AN128=0,"",-AN129/AN128)</f>
        <v>0</v>
      </c>
      <c r="AO130" s="41">
        <f>IF(AO128=0,"",-AO129/AO128)</f>
        <v>0</v>
      </c>
      <c r="AP130" s="41">
        <f>IF(AP128=0,"",-AP129/AP128)</f>
        <v>0</v>
      </c>
      <c r="AQ130" s="12">
        <f>IF(AQ128=0,"",-AQ129/AQ128)</f>
        <v>0</v>
      </c>
      <c r="AR130" s="41">
        <f>IF(AR128=0,"",-AR129/AR128)</f>
        <v>0</v>
      </c>
      <c r="AS130" s="41">
        <f>IF(AS128=0,"",-AS129/AS128)</f>
        <v>0</v>
      </c>
      <c r="AT130" s="41">
        <f>IF(AT128=0,"",-AT129/AT128)</f>
        <v>0</v>
      </c>
      <c r="AU130" s="41">
        <f>IF(AU128=0,"",-AU129/AU128)</f>
        <v>0</v>
      </c>
      <c r="AV130" s="12">
        <f>IF(AV128=0,"",-AV129/AV128)</f>
        <v>0</v>
      </c>
      <c r="AW130" s="41">
        <f>IF(AW128=0,"",-AW129/AW128)</f>
        <v>0</v>
      </c>
      <c r="AX130" s="41">
        <f>IF(AX128=0,"",-AX129/AX128)</f>
        <v>0</v>
      </c>
      <c r="AY130" s="41">
        <f>IF(AY128=0,"",-AY129/AY128)</f>
        <v>0</v>
      </c>
      <c r="AZ130" s="41">
        <f>IF(AZ128=0,"",-AZ129/AZ128)</f>
        <v>0</v>
      </c>
      <c r="BA130" s="12">
        <f>IF(BA128=0,"",-BA129/BA128)</f>
        <v>0</v>
      </c>
      <c r="BB130" s="41">
        <f>IF(BB128=0,"",-BB129/BB128)</f>
        <v>0</v>
      </c>
      <c r="BC130" s="41">
        <f>IF(BC128=0,"",-BC129/BC128)</f>
        <v>0</v>
      </c>
      <c r="BD130" s="41">
        <f>IF(BD128=0,"",-BD129/BD128)</f>
        <v>0</v>
      </c>
      <c r="BE130" s="41">
        <f>IF(BE128=0,"",-BE129/BE128)</f>
        <v>0</v>
      </c>
      <c r="BF130" s="12">
        <f>IF(BF128=0,"",-BF129/BF128)</f>
        <v>0</v>
      </c>
      <c r="BG130" s="41" t="n"/>
      <c r="BH130" s="41" t="n"/>
      <c r="BI130" s="41" t="n"/>
      <c r="BJ130" s="41" t="n"/>
      <c r="BK130" s="12" t="n"/>
      <c r="BL130" s="41" t="n"/>
      <c r="BM130" s="41" t="n"/>
      <c r="BN130" s="41" t="n"/>
      <c r="BO130" s="41" t="n"/>
      <c r="BP130" s="12" t="n"/>
      <c r="BQ130" s="41" t="n"/>
      <c r="BR130" s="41" t="n"/>
      <c r="BS130" s="41" t="n"/>
      <c r="BT130" s="41" t="n"/>
      <c r="BU130" s="12" t="n"/>
      <c r="BV130" s="41" t="n"/>
      <c r="BW130" s="41" t="n"/>
      <c r="BX130" s="41" t="n"/>
      <c r="BY130" s="41" t="n"/>
      <c r="BZ130" s="12" t="n"/>
      <c r="CA130" s="41" t="n"/>
      <c r="CB130" s="41" t="n"/>
      <c r="CC130" s="41" t="n"/>
      <c r="CD130" s="41" t="n"/>
      <c r="CE130" s="12" t="n"/>
      <c r="CF130" s="41" t="n"/>
      <c r="CG130" s="41" t="n"/>
      <c r="CH130" s="41" t="n"/>
      <c r="CI130" s="41" t="n"/>
      <c r="CJ130" s="12" t="n"/>
      <c r="CK130" s="41" t="n"/>
      <c r="CL130" s="41" t="n"/>
      <c r="CM130" s="41" t="n"/>
      <c r="CN130" s="41" t="n"/>
      <c r="CO130" s="12" t="n"/>
      <c r="CP130" s="41" t="n"/>
      <c r="CQ130" s="41" t="n"/>
      <c r="CR130" s="41" t="n"/>
      <c r="CS130" s="41" t="n"/>
      <c r="CT130" s="12" t="n"/>
      <c r="CU130" s="41" t="n"/>
      <c r="CV130" s="41" t="n"/>
      <c r="CW130" s="41" t="n"/>
      <c r="CX130" s="41" t="n"/>
      <c r="CY130" s="12" t="n"/>
    </row>
    <row r="131" hidden="1" outlineLevel="1">
      <c r="C131" s="18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collapsed="1" ht="11.25" customHeight="1">
      <c r="C133" s="31" t="inlineStr">
        <is>
          <t>Balance Sheet</t>
        </is>
      </c>
      <c r="D133" s="31" t="n"/>
      <c r="E133" s="31" t="n"/>
      <c r="F133" s="31" t="n"/>
      <c r="G133" s="31" t="n"/>
      <c r="H133" s="31" t="n"/>
      <c r="I133" s="31" t="str">
        <f>I13</f>
        <v>1Q21</v>
      </c>
      <c r="J133" s="31" t="str">
        <f>J13</f>
        <v>2Q21</v>
      </c>
      <c r="K133" s="31" t="str">
        <f>K13</f>
        <v>3Q21</v>
      </c>
      <c r="L133" s="31" t="str">
        <f>L13</f>
        <v>4Q21</v>
      </c>
      <c r="M133" s="31">
        <f>M13</f>
        <v>2021</v>
      </c>
      <c r="N133" s="31" t="str">
        <f>N13</f>
        <v>1Q22</v>
      </c>
      <c r="O133" s="31" t="str">
        <f>O13</f>
        <v>2Q22</v>
      </c>
      <c r="P133" s="31" t="str">
        <f>P13</f>
        <v>3Q22</v>
      </c>
      <c r="Q133" s="31" t="str">
        <f>Q13</f>
        <v>4Q22</v>
      </c>
      <c r="R133" s="31">
        <f>R13</f>
        <v>2022</v>
      </c>
      <c r="S133" s="31" t="str">
        <f>S13</f>
        <v>1Q23</v>
      </c>
      <c r="T133" s="31" t="str">
        <f>T13</f>
        <v>2Q23</v>
      </c>
      <c r="U133" s="31" t="str">
        <f>U13</f>
        <v>3Q23</v>
      </c>
      <c r="V133" s="31" t="str">
        <f>V13</f>
        <v>4Q23</v>
      </c>
      <c r="W133" s="31">
        <f>W13</f>
        <v>2023</v>
      </c>
      <c r="X133" s="31" t="str">
        <f>X13</f>
        <v>1Q24</v>
      </c>
      <c r="Y133" s="31" t="str">
        <f>Y13</f>
        <v>2Q24</v>
      </c>
      <c r="Z133" s="31" t="str">
        <f>Z13</f>
        <v>3Q24</v>
      </c>
      <c r="AA133" s="31" t="str">
        <f>AA13</f>
        <v>4Q24</v>
      </c>
      <c r="AB133" s="31">
        <f>AB13</f>
        <v>2024</v>
      </c>
      <c r="AC133" s="31" t="str">
        <f>AC13</f>
        <v>1Q25</v>
      </c>
      <c r="AD133" s="31" t="str">
        <f>AD13</f>
        <v>2Q25</v>
      </c>
      <c r="AE133" s="31" t="str">
        <f>AE13</f>
        <v>3Q25</v>
      </c>
      <c r="AF133" s="31" t="str">
        <f>AF13</f>
        <v>4Q25</v>
      </c>
      <c r="AG133" s="31">
        <f>AG13</f>
        <v>2025</v>
      </c>
      <c r="AH133" s="31" t="str">
        <f>AH13</f>
        <v>1Q26</v>
      </c>
      <c r="AI133" s="31" t="str">
        <f>AI13</f>
        <v>2Q26</v>
      </c>
      <c r="AJ133" s="31" t="str">
        <f>AJ13</f>
        <v>3Q26</v>
      </c>
      <c r="AK133" s="31" t="str">
        <f>AK13</f>
        <v>4Q26</v>
      </c>
      <c r="AL133" s="31">
        <f>AL13</f>
        <v>2026</v>
      </c>
      <c r="AM133" s="31" t="str">
        <f>AM13</f>
        <v>1Q27</v>
      </c>
      <c r="AN133" s="31" t="str">
        <f>AN13</f>
        <v>2Q27</v>
      </c>
      <c r="AO133" s="31" t="str">
        <f>AO13</f>
        <v>3Q27</v>
      </c>
      <c r="AP133" s="31" t="str">
        <f>AP13</f>
        <v>4Q27</v>
      </c>
      <c r="AQ133" s="31">
        <f>AQ13</f>
        <v>2027</v>
      </c>
      <c r="AR133" s="31" t="str">
        <f>AR13</f>
        <v>1Q28</v>
      </c>
      <c r="AS133" s="31" t="str">
        <f>AS13</f>
        <v>2Q28</v>
      </c>
      <c r="AT133" s="31" t="str">
        <f>AT13</f>
        <v>3Q28</v>
      </c>
      <c r="AU133" s="31" t="str">
        <f>AU13</f>
        <v>4Q28</v>
      </c>
      <c r="AV133" s="31">
        <f>AV13</f>
        <v>2028</v>
      </c>
      <c r="AW133" s="31" t="str">
        <f>AW13</f>
        <v>1Q29</v>
      </c>
      <c r="AX133" s="31" t="str">
        <f>AX13</f>
        <v>2Q29</v>
      </c>
      <c r="AY133" s="31" t="str">
        <f>AY13</f>
        <v>3Q29</v>
      </c>
      <c r="AZ133" s="31" t="str">
        <f>AZ13</f>
        <v>4Q29</v>
      </c>
      <c r="BA133" s="31">
        <f>BA13</f>
        <v>2029</v>
      </c>
      <c r="BB133" s="31" t="str">
        <f>BB13</f>
        <v>1Q30</v>
      </c>
      <c r="BC133" s="31" t="str">
        <f>BC13</f>
        <v>2Q30</v>
      </c>
      <c r="BD133" s="31" t="str">
        <f>BD13</f>
        <v>3Q30</v>
      </c>
      <c r="BE133" s="31" t="str">
        <f>BE13</f>
        <v>4Q30</v>
      </c>
      <c r="BF133" s="31">
        <f>BF13</f>
        <v>2030</v>
      </c>
      <c r="BG133" s="31" t="n"/>
      <c r="BH133" s="31" t="n"/>
      <c r="BI133" s="31" t="n"/>
      <c r="BJ133" s="31" t="n"/>
      <c r="BK133" s="31" t="n"/>
      <c r="BL133" s="31" t="n"/>
      <c r="BM133" s="31" t="n"/>
      <c r="BN133" s="31" t="n"/>
      <c r="BO133" s="31" t="n"/>
      <c r="BP133" s="31" t="n"/>
      <c r="BQ133" s="31" t="n"/>
      <c r="BR133" s="31" t="n"/>
      <c r="BS133" s="31" t="n"/>
      <c r="BT133" s="31" t="n"/>
      <c r="BU133" s="31" t="n"/>
      <c r="BV133" s="31" t="n"/>
      <c r="BW133" s="31" t="n"/>
      <c r="BX133" s="31" t="n"/>
      <c r="BY133" s="31" t="n"/>
      <c r="BZ133" s="31" t="n"/>
      <c r="CA133" s="31" t="n"/>
      <c r="CB133" s="31" t="n"/>
      <c r="CC133" s="31" t="n"/>
      <c r="CD133" s="31" t="n"/>
      <c r="CE133" s="31" t="n"/>
      <c r="CF133" s="31" t="n"/>
      <c r="CG133" s="31" t="n"/>
      <c r="CH133" s="31" t="n"/>
      <c r="CI133" s="31" t="n"/>
      <c r="CJ133" s="31" t="n"/>
      <c r="CK133" s="31" t="n"/>
      <c r="CL133" s="31" t="n"/>
      <c r="CM133" s="31" t="n"/>
      <c r="CN133" s="31" t="n"/>
      <c r="CO133" s="31" t="n"/>
      <c r="CP133" s="31" t="n"/>
      <c r="CQ133" s="31" t="n"/>
      <c r="CR133" s="31" t="n"/>
      <c r="CS133" s="31" t="n"/>
      <c r="CT133" s="31" t="n"/>
      <c r="CU133" s="31" t="n"/>
      <c r="CV133" s="31" t="n"/>
      <c r="CW133" s="31" t="n"/>
      <c r="CX133" s="31" t="n"/>
      <c r="CY133" s="31" t="n"/>
    </row>
    <row r="134">
      <c r="C134" s="18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>
      <c r="C135" s="13" t="inlineStr">
        <is>
          <t>Cash and equivalents (inc. investment securities)</t>
        </is>
      </c>
      <c r="D135" s="46" t="n"/>
      <c r="E135" s="46" t="n"/>
      <c r="F135" s="46" t="n"/>
      <c r="G135" s="46" t="n"/>
      <c r="H135" s="12" t="n"/>
      <c r="I135" s="46">
        <f>'Inputs (2)'!D15</f>
        <v>64219</v>
      </c>
      <c r="J135" s="46">
        <f>'Inputs (2)'!E15</f>
        <v>64080</v>
      </c>
      <c r="K135" s="46">
        <f>'Inputs (2)'!F15</f>
        <v>58075</v>
      </c>
      <c r="L135" s="46">
        <f>'Inputs (2)'!G15</f>
        <v>47998</v>
      </c>
      <c r="M135" s="12">
        <f>'Inputs (2)'!H15</f>
        <v>47998</v>
      </c>
      <c r="N135" s="46">
        <f>'Inputs (2)'!I15</f>
        <v>43890</v>
      </c>
      <c r="O135" s="46">
        <f>'Inputs (2)'!J15</f>
        <v>40489</v>
      </c>
      <c r="P135" s="46">
        <f>'Inputs (2)'!K15</f>
        <v>41776</v>
      </c>
      <c r="Q135" s="46">
        <f>'Inputs (2)'!L15</f>
        <v>40738</v>
      </c>
      <c r="R135" s="12">
        <f>'Inputs (2)'!M15</f>
        <v>40738</v>
      </c>
      <c r="S135" s="46">
        <f>'Inputs (2)'!N15</f>
        <v>37439</v>
      </c>
      <c r="T135" s="46">
        <f>'Inputs (2)'!O15</f>
        <v>53446</v>
      </c>
      <c r="U135" s="46">
        <f>'Inputs (2)'!P15</f>
        <v>61123</v>
      </c>
      <c r="V135" s="46">
        <f>'Inputs (2)'!Q15</f>
        <v>65403</v>
      </c>
      <c r="W135" s="12">
        <f>'Inputs (2)'!R15</f>
        <v>65403</v>
      </c>
      <c r="X135" s="46">
        <f>'Inputs (2)'!S15</f>
        <v>58120</v>
      </c>
      <c r="Y135" s="46">
        <f>'Inputs (2)'!T15</f>
        <v>58080</v>
      </c>
      <c r="Z135" s="46">
        <f>'Inputs (2)'!U15</f>
        <v>70900</v>
      </c>
      <c r="AA135" s="46">
        <f>'Inputs (2)'!V15</f>
        <v>77815</v>
      </c>
      <c r="AB135" s="12">
        <f>'Inputs (2)'!W15</f>
        <v>77815</v>
      </c>
      <c r="AC135" s="46">
        <f>'Inputs (2)'!X15</f>
        <v>70230</v>
      </c>
      <c r="AD135" s="46">
        <f>'Inputs (2)'!Y15</f>
        <v>47071</v>
      </c>
      <c r="AE135" s="46">
        <f>'Inputs (2)'!Z15</f>
        <v>44448</v>
      </c>
      <c r="AF135" s="46">
        <f>'Inputs (2)'!AA15</f>
        <v>81592</v>
      </c>
      <c r="AG135" s="12">
        <f>'Inputs (2)'!AB15</f>
        <v>81592</v>
      </c>
      <c r="AH135" s="12">
        <f>'Inputs (2)'!AC15</f>
        <v>81180</v>
      </c>
      <c r="AI135" s="12">
        <f>'Inputs (2)'!AD15</f>
        <v>90260</v>
      </c>
      <c r="AJ135" s="12">
        <f>AJ264-SUM(AJ136,AJ140,AJ144,AJ145,AJ146,AJ152,AJ157,AJ167,AJ170,AJ171,AJ180)</f>
        <v>97028.1000296955</v>
      </c>
      <c r="AK135" s="12">
        <f>AK264-SUM(AK136,AK140,AK144,AK145,AK146,AK152,AK157,AK167,AK170,AK171,AK180)</f>
        <v>107416.58313245</v>
      </c>
      <c r="AL135" s="12">
        <f>AK135</f>
        <v>107416.58313245</v>
      </c>
      <c r="AM135" s="12">
        <f>AM264-SUM(AM136,AM140,AM144,AM145,AM146,AM152,AM157,AM167,AM170,AM171,AM180)</f>
        <v>122560.880790288</v>
      </c>
      <c r="AN135" s="12">
        <f>AN264-SUM(AN136,AN140,AN144,AN145,AN146,AN152,AN157,AN167,AN170,AN171,AN180)</f>
        <v>140308.510405266</v>
      </c>
      <c r="AO135" s="12">
        <f>AO264-SUM(AO136,AO140,AO144,AO145,AO146,AO152,AO157,AO167,AO170,AO171,AO180)</f>
        <v>162845.886286728</v>
      </c>
      <c r="AP135" s="12">
        <f>AP264-SUM(AP136,AP140,AP144,AP145,AP146,AP152,AP157,AP167,AP170,AP171,AP180)</f>
        <v>189674.992902814</v>
      </c>
      <c r="AQ135" s="12">
        <f>AP135</f>
        <v>189674.992902814</v>
      </c>
      <c r="AR135" s="12">
        <f>AR264-SUM(AR136,AR140,AR144,AR145,AR146,AR152,AR157,AR167,AR170,AR171,AR180)</f>
        <v>225337.289618636</v>
      </c>
      <c r="AS135" s="12">
        <f>AS264-SUM(AS136,AS140,AS144,AS145,AS146,AS152,AS157,AS167,AS170,AS171,AS180)</f>
        <v>267876.85265545</v>
      </c>
      <c r="AT135" s="12">
        <f>AT264-SUM(AT136,AT140,AT144,AT145,AT146,AT152,AT157,AT167,AT170,AT171,AT180)</f>
        <v>321394.665448053</v>
      </c>
      <c r="AU135" s="12">
        <f>AU264-SUM(AU136,AU140,AU144,AU145,AU146,AU152,AU157,AU167,AU170,AU171,AU180)</f>
        <v>386300.45556804</v>
      </c>
      <c r="AV135" s="12">
        <f>AU135</f>
        <v>386300.45556804</v>
      </c>
      <c r="AW135" s="12">
        <f>AW264-SUM(AW136,AW140,AW144,AW145,AW146,AW152,AW157,AW167,AW170,AW171,AW180)</f>
        <v>468748.001640961</v>
      </c>
      <c r="AX135" s="12">
        <f>AX264-SUM(AX136,AX140,AX144,AX145,AX146,AX152,AX157,AX167,AX170,AX171,AX180)</f>
        <v>568892.870084643</v>
      </c>
      <c r="AY135" s="12">
        <f>AY264-SUM(AY136,AY140,AY144,AY145,AY146,AY152,AY157,AY167,AY170,AY171,AY180)</f>
        <v>693455.083091409</v>
      </c>
      <c r="AZ135" s="12">
        <f>AZ264-SUM(AZ136,AZ140,AZ144,AZ145,AZ146,AZ152,AZ157,AZ167,AZ170,AZ171,AZ180)</f>
        <v>845654.449747292</v>
      </c>
      <c r="BA135" s="12">
        <f>AZ135</f>
        <v>845654.449747292</v>
      </c>
      <c r="BB135" s="12">
        <f>BB264-SUM(BB136,BB140,BB144,BB145,BB146,BB152,BB157,BB167,BB170,BB171,BB180)</f>
        <v>1034417.80931717</v>
      </c>
      <c r="BC135" s="12">
        <f>BC264-SUM(BC136,BC140,BC144,BC145,BC146,BC152,BC157,BC167,BC170,BC171,BC180)</f>
        <v>1264691.88714035</v>
      </c>
      <c r="BD135" s="12">
        <f>BD264-SUM(BD136,BD140,BD144,BD145,BD146,BD152,BD157,BD167,BD170,BD171,BD180)</f>
        <v>1549324.73499705</v>
      </c>
      <c r="BE135" s="12">
        <f>BE264-SUM(BE136,BE140,BE144,BE145,BE146,BE152,BE157,BE167,BE170,BE171,BE180)</f>
        <v>1897787.26339338</v>
      </c>
      <c r="BF135" s="12">
        <f>BE135</f>
        <v>1897787.26339338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>
      <c r="C136" s="14" t="inlineStr">
        <is>
          <t>Accounts receivable</t>
        </is>
      </c>
      <c r="D136" s="46" t="n"/>
      <c r="E136" s="46" t="n"/>
      <c r="F136" s="46" t="n"/>
      <c r="G136" s="46" t="n"/>
      <c r="H136" s="12" t="n"/>
      <c r="I136" s="46">
        <f>'Inputs (2)'!D16</f>
        <v>10276</v>
      </c>
      <c r="J136" s="46">
        <f>'Inputs (2)'!E16</f>
        <v>11698</v>
      </c>
      <c r="K136" s="46">
        <f>'Inputs (2)'!F16</f>
        <v>12088</v>
      </c>
      <c r="L136" s="46">
        <f>'Inputs (2)'!G16</f>
        <v>14039</v>
      </c>
      <c r="M136" s="12">
        <f>'Inputs (2)'!H16</f>
        <v>14039</v>
      </c>
      <c r="N136" s="46">
        <f>'Inputs (2)'!I16</f>
        <v>11390</v>
      </c>
      <c r="O136" s="46">
        <f>'Inputs (2)'!J16</f>
        <v>11525</v>
      </c>
      <c r="P136" s="46">
        <f>'Inputs (2)'!K16</f>
        <v>11227</v>
      </c>
      <c r="Q136" s="46">
        <f>'Inputs (2)'!L16</f>
        <v>13466</v>
      </c>
      <c r="R136" s="12">
        <f>'Inputs (2)'!M16</f>
        <v>13466</v>
      </c>
      <c r="S136" s="46">
        <f>'Inputs (2)'!N16</f>
        <v>11044</v>
      </c>
      <c r="T136" s="46">
        <f>'Inputs (2)'!O16</f>
        <v>12511</v>
      </c>
      <c r="U136" s="46">
        <f>'Inputs (2)'!P16</f>
        <v>12944</v>
      </c>
      <c r="V136" s="46">
        <f>'Inputs (2)'!Q16</f>
        <v>16169</v>
      </c>
      <c r="W136" s="12">
        <f>'Inputs (2)'!R16</f>
        <v>16169</v>
      </c>
      <c r="X136" s="46">
        <f>'Inputs (2)'!S16</f>
        <v>13430</v>
      </c>
      <c r="Y136" s="46">
        <f>'Inputs (2)'!T16</f>
        <v>14505</v>
      </c>
      <c r="Z136" s="46">
        <f>'Inputs (2)'!U16</f>
        <v>14700</v>
      </c>
      <c r="AA136" s="46">
        <f>'Inputs (2)'!V16</f>
        <v>16994</v>
      </c>
      <c r="AB136" s="12">
        <f>'Inputs (2)'!W16</f>
        <v>16994</v>
      </c>
      <c r="AC136" s="46">
        <f>'Inputs (2)'!X16</f>
        <v>14514</v>
      </c>
      <c r="AD136" s="46">
        <f>'Inputs (2)'!Y16</f>
        <v>16561</v>
      </c>
      <c r="AE136" s="46">
        <f>'Inputs (2)'!Z16</f>
        <v>17297</v>
      </c>
      <c r="AF136" s="46">
        <f>'Inputs (2)'!AA16</f>
        <v>19769</v>
      </c>
      <c r="AG136" s="12">
        <f>'Inputs (2)'!AB16</f>
        <v>19769</v>
      </c>
      <c r="AH136" s="12">
        <f>'Inputs (2)'!AC16</f>
        <v>17470</v>
      </c>
      <c r="AI136" s="12">
        <f>'Inputs (2)'!AD16</f>
        <v>21752</v>
      </c>
      <c r="AJ136" s="12">
        <f>(AJ137/(AJ$5-AI$5))*AJ$15</f>
        <v>21371.7544977518</v>
      </c>
      <c r="AK136" s="12">
        <f>(AK137/(AK$5-AJ$5))*AK$15</f>
        <v>24979.8698749825</v>
      </c>
      <c r="AL136" s="12">
        <f>AK136</f>
        <v>24979.8698749825</v>
      </c>
      <c r="AM136" s="12">
        <f>(AM137/(AM$5-AL$5))*AM$15</f>
        <v>24007.8164639482</v>
      </c>
      <c r="AN136" s="12">
        <f>(AN137/(AN$5-AM$5))*AN$15</f>
        <v>25637.2395755453</v>
      </c>
      <c r="AO136" s="12">
        <f>(AO137/(AO$5-AN$5))*AO$15</f>
        <v>26670.3294103704</v>
      </c>
      <c r="AP136" s="12">
        <f>(AP137/(AP$5-AO$5))*AP$15</f>
        <v>31172.9838682197</v>
      </c>
      <c r="AQ136" s="12">
        <f>AP136</f>
        <v>31172.9838682197</v>
      </c>
      <c r="AR136" s="12">
        <f>(AR137/(AR$5-AQ$5))*AR$15</f>
        <v>29511.9848776732</v>
      </c>
      <c r="AS136" s="12">
        <f>(AS137/(AS$5-AR$5))*AS$15</f>
        <v>31865.1452211363</v>
      </c>
      <c r="AT136" s="12">
        <f>(AT137/(AT$5-AS$5))*AT$15</f>
        <v>33149.1975667945</v>
      </c>
      <c r="AU136" s="12">
        <f>(AU137/(AU$5-AT$5))*AU$15</f>
        <v>38745.6557095356</v>
      </c>
      <c r="AV136" s="12">
        <f>AU136</f>
        <v>38745.6557095356</v>
      </c>
      <c r="AW136" s="12">
        <f>(AW137/(AW$5-AV$5))*AW$15</f>
        <v>36939.5288494733</v>
      </c>
      <c r="AX136" s="12">
        <f>(AX137/(AX$5-AW$5))*AX$15</f>
        <v>39446.6340720255</v>
      </c>
      <c r="AY136" s="12">
        <f>(AY137/(AY$5-AX$5))*AY$15</f>
        <v>41036.1935313342</v>
      </c>
      <c r="AZ136" s="12">
        <f>(AZ137/(AZ$5-AY$5))*AZ$15</f>
        <v>47964.1844419071</v>
      </c>
      <c r="BA136" s="12">
        <f>AZ136</f>
        <v>47964.1844419071</v>
      </c>
      <c r="BB136" s="12">
        <f>(BB137/(BB$5-BA$5))*BB$15</f>
        <v>45543.6386682346</v>
      </c>
      <c r="BC136" s="12">
        <f>(BC137/(BC$5-BB$5))*BC$15</f>
        <v>48634.7093428079</v>
      </c>
      <c r="BD136" s="12">
        <f>(BD137/(BD$5-BC$5))*BD$15</f>
        <v>50594.5156508807</v>
      </c>
      <c r="BE136" s="12">
        <f>(BE137/(BE$5-BD$5))*BE$15</f>
        <v>59136.203229347</v>
      </c>
      <c r="BF136" s="12">
        <f>BE136</f>
        <v>59136.203229347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7" t="inlineStr">
        <is>
          <t>DSO</t>
        </is>
      </c>
      <c r="D137" s="12" t="n"/>
      <c r="E137" s="12" t="n"/>
      <c r="F137" s="12" t="n"/>
      <c r="G137" s="12" t="n"/>
      <c r="H137" s="12" t="n"/>
      <c r="I137" s="12">
        <f>IFERROR((I136/I$15)*(I$5-H$5),"")</f>
        <v>35.3383516105613</v>
      </c>
      <c r="J137" s="12">
        <f>IFERROR((J136/J$15)*(J$5-I$5),"")</f>
        <v>36.610310554734</v>
      </c>
      <c r="K137" s="12">
        <f>IFERROR((K136/K$15)*(K$5-J$5),"")</f>
        <v>38.3349189934505</v>
      </c>
      <c r="L137" s="12">
        <f>IFERROR((L136/L$15)*(L$5-K$5),"")</f>
        <v>38.3590626949007</v>
      </c>
      <c r="M137" s="12" t="n"/>
      <c r="N137" s="12">
        <f>IFERROR((N136/N$15)*(N$5-M$5),"")</f>
        <v>36.7314031818833</v>
      </c>
      <c r="O137" s="12">
        <f>IFERROR((O136/O$15)*(O$5-N$5),"")</f>
        <v>36.388002220526</v>
      </c>
      <c r="P137" s="12">
        <f>IFERROR((P136/P$15)*(P$5-O$5),"")</f>
        <v>37.2693945298405</v>
      </c>
      <c r="Q137" s="12">
        <f>IFERROR((Q136/Q$15)*(Q$5-P$5),"")</f>
        <v>38.5161510959117</v>
      </c>
      <c r="R137" s="12" t="n"/>
      <c r="S137" s="12">
        <f>IFERROR((S136/S$15)*(S$5-R$5),"")</f>
        <v>34.6992494327108</v>
      </c>
      <c r="T137" s="12">
        <f>IFERROR((T136/T$15)*(T$5-S$5),"")</f>
        <v>35.5792681021282</v>
      </c>
      <c r="U137" s="12">
        <f>IFERROR((U136/U$15)*(U$5-T$5),"")</f>
        <v>34.8751830375447</v>
      </c>
      <c r="V137" s="12">
        <f>IFERROR((V136/V$15)*(V$5-U$5),"")</f>
        <v>37.0857869412381</v>
      </c>
      <c r="W137" s="12" t="n"/>
      <c r="X137" s="12">
        <f>IFERROR((X136/X$15)*(X$5-W$5),"")</f>
        <v>33.524345082979</v>
      </c>
      <c r="Y137" s="12">
        <f>IFERROR((Y136/Y$15)*(Y$5-X$5),"")</f>
        <v>33.7834967111157</v>
      </c>
      <c r="Z137" s="12">
        <f>IFERROR((Z136/Z$15)*(Z$5-Y$5),"")</f>
        <v>33.3193722437114</v>
      </c>
      <c r="AA137" s="12">
        <f>IFERROR((AA136/AA$15)*(AA$5-Z$5),"")</f>
        <v>32.3126588818849</v>
      </c>
      <c r="AB137" s="12" t="n"/>
      <c r="AC137" s="12">
        <f>IFERROR((AC136/AC$15)*(AC$5-AB$5),"")</f>
        <v>30.870633832774</v>
      </c>
      <c r="AD137" s="12">
        <f>IFERROR((AD136/AD$15)*(AD$5-AC$5),"")</f>
        <v>31.7167059516794</v>
      </c>
      <c r="AE137" s="12">
        <f>IFERROR((AE136/AE$15)*(AE$5-AD$5),"")</f>
        <v>31.0550720112408</v>
      </c>
      <c r="AF137" s="11">
        <f>IFERROR((AF136/AF$15)*(AF$5-AE$5),"")</f>
        <v>30.3666204731772</v>
      </c>
      <c r="AG137" s="12" t="n"/>
      <c r="AH137" s="11">
        <f>IFERROR((AH136/AH$15)*(AH$5-AG$5),"")</f>
        <v>27.9217204453837</v>
      </c>
      <c r="AI137" s="11">
        <f>IFERROR((AI136/AI$15)*(AI$5-AH$5),"")</f>
        <v>32.5559119093436</v>
      </c>
      <c r="AJ137" s="11">
        <f>Control!$B$25</f>
        <v>30.7477774372664</v>
      </c>
      <c r="AK137" s="11">
        <f>Control!$B$25</f>
        <v>30.7477774372664</v>
      </c>
      <c r="AL137" s="12" t="n"/>
      <c r="AM137" s="11">
        <f>Control!$C$25</f>
        <v>30.7477774372664</v>
      </c>
      <c r="AN137" s="11">
        <f>Control!$C$25</f>
        <v>30.7477774372664</v>
      </c>
      <c r="AO137" s="11">
        <f>Control!$C$25</f>
        <v>30.7477774372664</v>
      </c>
      <c r="AP137" s="11">
        <f>Control!$C$25</f>
        <v>30.7477774372664</v>
      </c>
      <c r="AQ137" s="12" t="n"/>
      <c r="AR137" s="11">
        <f>Control!$D$25</f>
        <v>30.7477774372664</v>
      </c>
      <c r="AS137" s="11">
        <f>Control!$D$25</f>
        <v>30.7477774372664</v>
      </c>
      <c r="AT137" s="11">
        <f>Control!$D$25</f>
        <v>30.7477774372664</v>
      </c>
      <c r="AU137" s="11">
        <f>Control!$D$25</f>
        <v>30.7477774372664</v>
      </c>
      <c r="AV137" s="12" t="n"/>
      <c r="AW137" s="11">
        <f>Control!$E$25</f>
        <v>30.7477774372664</v>
      </c>
      <c r="AX137" s="11">
        <f>Control!$E$25</f>
        <v>30.7477774372664</v>
      </c>
      <c r="AY137" s="11">
        <f>Control!$E$25</f>
        <v>30.7477774372664</v>
      </c>
      <c r="AZ137" s="11">
        <f>Control!$E$25</f>
        <v>30.7477774372664</v>
      </c>
      <c r="BA137" s="12" t="n"/>
      <c r="BB137" s="11">
        <f>Control!$F$25</f>
        <v>30.7477774372664</v>
      </c>
      <c r="BC137" s="11">
        <f>Control!$F$25</f>
        <v>30.7477774372664</v>
      </c>
      <c r="BD137" s="11">
        <f>Control!$F$25</f>
        <v>30.7477774372664</v>
      </c>
      <c r="BE137" s="11">
        <f>Control!$F$25</f>
        <v>30.7477774372664</v>
      </c>
      <c r="BF137" s="12" t="n"/>
      <c r="BG137" s="11" t="n"/>
      <c r="BH137" s="11" t="n"/>
      <c r="BI137" s="11" t="n"/>
      <c r="BJ137" s="11" t="n"/>
      <c r="BK137" s="12" t="n"/>
      <c r="BL137" s="11" t="n"/>
      <c r="BM137" s="11" t="n"/>
      <c r="BN137" s="11" t="n"/>
      <c r="BO137" s="11" t="n"/>
      <c r="BP137" s="12" t="n"/>
      <c r="BQ137" s="11" t="n"/>
      <c r="BR137" s="11" t="n"/>
      <c r="BS137" s="11" t="n"/>
      <c r="BT137" s="11" t="n"/>
      <c r="BU137" s="12" t="n"/>
      <c r="BV137" s="11" t="n"/>
      <c r="BW137" s="11" t="n"/>
      <c r="BX137" s="11" t="n"/>
      <c r="BY137" s="11" t="n"/>
      <c r="BZ137" s="12" t="n"/>
      <c r="CA137" s="11" t="n"/>
      <c r="CB137" s="11" t="n"/>
      <c r="CC137" s="11" t="n"/>
      <c r="CD137" s="11" t="n"/>
      <c r="CE137" s="12" t="n"/>
      <c r="CF137" s="11" t="n"/>
      <c r="CG137" s="11" t="n"/>
      <c r="CH137" s="11" t="n"/>
      <c r="CI137" s="11" t="n"/>
      <c r="CJ137" s="12" t="n"/>
      <c r="CK137" s="11" t="n"/>
      <c r="CL137" s="11" t="n"/>
      <c r="CM137" s="11" t="n"/>
      <c r="CN137" s="11" t="n"/>
      <c r="CO137" s="12" t="n"/>
      <c r="CP137" s="11" t="n"/>
      <c r="CQ137" s="11" t="n"/>
      <c r="CR137" s="11" t="n"/>
      <c r="CS137" s="11" t="n"/>
      <c r="CT137" s="12" t="n"/>
      <c r="CU137" s="11" t="n"/>
      <c r="CV137" s="11" t="n"/>
      <c r="CW137" s="11" t="n"/>
      <c r="CX137" s="11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collapsed="1">
      <c r="C140" s="14" t="inlineStr">
        <is>
          <t>Inventories</t>
        </is>
      </c>
      <c r="D140" s="46" t="n"/>
      <c r="E140" s="46" t="n"/>
      <c r="F140" s="46" t="n"/>
      <c r="G140" s="46" t="n"/>
      <c r="H140" s="12" t="n"/>
      <c r="I140" s="46">
        <f>'Inputs (2)'!D17</f>
        <v>0</v>
      </c>
      <c r="J140" s="46">
        <f>'Inputs (2)'!E17</f>
        <v>0</v>
      </c>
      <c r="K140" s="46">
        <f>'Inputs (2)'!F17</f>
        <v>0</v>
      </c>
      <c r="L140" s="46">
        <f>'Inputs (2)'!G17</f>
        <v>0</v>
      </c>
      <c r="M140" s="12">
        <f>'Inputs (2)'!H17</f>
        <v>0</v>
      </c>
      <c r="N140" s="46">
        <f>'Inputs (2)'!I17</f>
        <v>0</v>
      </c>
      <c r="O140" s="46">
        <f>'Inputs (2)'!J17</f>
        <v>0</v>
      </c>
      <c r="P140" s="46">
        <f>'Inputs (2)'!K17</f>
        <v>0</v>
      </c>
      <c r="Q140" s="46">
        <f>'Inputs (2)'!L17</f>
        <v>0</v>
      </c>
      <c r="R140" s="12">
        <f>'Inputs (2)'!M17</f>
        <v>0</v>
      </c>
      <c r="S140" s="46">
        <f>'Inputs (2)'!N17</f>
        <v>0</v>
      </c>
      <c r="T140" s="46">
        <f>'Inputs (2)'!O17</f>
        <v>0</v>
      </c>
      <c r="U140" s="46">
        <f>'Inputs (2)'!P17</f>
        <v>0</v>
      </c>
      <c r="V140" s="46">
        <f>'Inputs (2)'!Q17</f>
        <v>0</v>
      </c>
      <c r="W140" s="12">
        <f>'Inputs (2)'!R17</f>
        <v>0</v>
      </c>
      <c r="X140" s="46">
        <f>'Inputs (2)'!S17</f>
        <v>0</v>
      </c>
      <c r="Y140" s="46">
        <f>'Inputs (2)'!T17</f>
        <v>0</v>
      </c>
      <c r="Z140" s="46">
        <f>'Inputs (2)'!U17</f>
        <v>0</v>
      </c>
      <c r="AA140" s="46">
        <f>'Inputs (2)'!V17</f>
        <v>0</v>
      </c>
      <c r="AB140" s="12">
        <f>'Inputs (2)'!W17</f>
        <v>0</v>
      </c>
      <c r="AC140" s="46">
        <f>'Inputs (2)'!X17</f>
        <v>0</v>
      </c>
      <c r="AD140" s="46">
        <f>'Inputs (2)'!Y17</f>
        <v>0</v>
      </c>
      <c r="AE140" s="46">
        <f>'Inputs (2)'!Z17</f>
        <v>0</v>
      </c>
      <c r="AF140" s="46">
        <f>'Inputs (2)'!AA17</f>
        <v>0</v>
      </c>
      <c r="AG140" s="12">
        <f>'Inputs (2)'!AB17</f>
        <v>0</v>
      </c>
      <c r="AH140" s="12">
        <f>'Inputs (2)'!AC17</f>
        <v>0</v>
      </c>
      <c r="AI140" s="12">
        <f>'Inputs (2)'!AD17</f>
        <v>0</v>
      </c>
      <c r="AJ140" s="12">
        <f>(AJ141/(AJ$5-AI$5))*-AJ$45</f>
        <v>0</v>
      </c>
      <c r="AK140" s="12">
        <f>(AK141/(AK$5-AJ$5))*-AK$45</f>
        <v>0</v>
      </c>
      <c r="AL140" s="12">
        <f>AK140</f>
        <v>0</v>
      </c>
      <c r="AM140" s="12">
        <f>(AM141/(AM$5-AL$5))*-AM$45</f>
        <v>0</v>
      </c>
      <c r="AN140" s="12">
        <f>(AN141/(AN$5-AM$5))*-AN$45</f>
        <v>0</v>
      </c>
      <c r="AO140" s="12">
        <f>(AO141/(AO$5-AN$5))*-AO$45</f>
        <v>0</v>
      </c>
      <c r="AP140" s="12">
        <f>(AP141/(AP$5-AO$5))*-AP$45</f>
        <v>0</v>
      </c>
      <c r="AQ140" s="12">
        <f>AP140</f>
        <v>0</v>
      </c>
      <c r="AR140" s="12">
        <f>(AR141/(AR$5-AQ$5))*-AR$45</f>
        <v>0</v>
      </c>
      <c r="AS140" s="12">
        <f>(AS141/(AS$5-AR$5))*-AS$45</f>
        <v>0</v>
      </c>
      <c r="AT140" s="12">
        <f>(AT141/(AT$5-AS$5))*-AT$45</f>
        <v>0</v>
      </c>
      <c r="AU140" s="12">
        <f>(AU141/(AU$5-AT$5))*-AU$45</f>
        <v>0</v>
      </c>
      <c r="AV140" s="12">
        <f>AU140</f>
        <v>0</v>
      </c>
      <c r="AW140" s="12">
        <f>(AW141/(AW$5-AV$5))*-AW$45</f>
        <v>0</v>
      </c>
      <c r="AX140" s="12">
        <f>(AX141/(AX$5-AW$5))*-AX$45</f>
        <v>0</v>
      </c>
      <c r="AY140" s="12">
        <f>(AY141/(AY$5-AX$5))*-AY$45</f>
        <v>0</v>
      </c>
      <c r="AZ140" s="12">
        <f>(AZ141/(AZ$5-AY$5))*-AZ$45</f>
        <v>0</v>
      </c>
      <c r="BA140" s="12">
        <f>AZ140</f>
        <v>0</v>
      </c>
      <c r="BB140" s="12">
        <f>(BB141/(BB$5-BA$5))*-BB$45</f>
        <v>0</v>
      </c>
      <c r="BC140" s="12">
        <f>(BC141/(BC$5-BB$5))*-BC$45</f>
        <v>0</v>
      </c>
      <c r="BD140" s="12">
        <f>(BD141/(BD$5-BC$5))*-BD$45</f>
        <v>0</v>
      </c>
      <c r="BE140" s="12">
        <f>(BE141/(BE$5-BD$5))*-BE$45</f>
        <v>0</v>
      </c>
      <c r="BF140" s="12">
        <f>BE140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7" t="inlineStr">
        <is>
          <t>DIO</t>
        </is>
      </c>
      <c r="D141" s="12" t="n"/>
      <c r="E141" s="12" t="n"/>
      <c r="F141" s="12" t="n"/>
      <c r="G141" s="12" t="n"/>
      <c r="H141" s="12" t="n"/>
      <c r="I141" s="12">
        <f>IFERROR(((I140/I$45)*(I$5-H$5))*-1,"")</f>
        <v>0</v>
      </c>
      <c r="J141" s="12">
        <f>IFERROR(((J140/J$45)*(J$5-I$5))*-1,"")</f>
        <v>0</v>
      </c>
      <c r="K141" s="12">
        <f>IFERROR(((K140/K$45)*(K$5-J$5))*-1,"")</f>
        <v>0</v>
      </c>
      <c r="L141" s="12">
        <f>IFERROR(((L140/L$45)*(L$5-K$5))*-1,"")</f>
        <v>0</v>
      </c>
      <c r="M141" s="12" t="n"/>
      <c r="N141" s="12">
        <f>IFERROR(((N140/N$45)*(N$5-M$5))*-1,"")</f>
        <v>0</v>
      </c>
      <c r="O141" s="12">
        <f>IFERROR(((O140/O$45)*(O$5-N$5))*-1,"")</f>
        <v>0</v>
      </c>
      <c r="P141" s="12">
        <f>IFERROR(((P140/P$45)*(P$5-O$5))*-1,"")</f>
        <v>0</v>
      </c>
      <c r="Q141" s="12">
        <f>IFERROR(((Q140/Q$45)*(Q$5-P$5))*-1,"")</f>
        <v>0</v>
      </c>
      <c r="R141" s="12" t="n"/>
      <c r="S141" s="12">
        <f>IFERROR(((S140/S$45)*(S$5-R$5))*-1,"")</f>
        <v>0</v>
      </c>
      <c r="T141" s="12">
        <f>IFERROR(((T140/T$45)*(T$5-S$5))*-1,"")</f>
        <v>0</v>
      </c>
      <c r="U141" s="12">
        <f>IFERROR(((U140/U$45)*(U$5-T$5))*-1,"")</f>
        <v>0</v>
      </c>
      <c r="V141" s="12">
        <f>IFERROR(((V140/V$45)*(V$5-U$5))*-1,"")</f>
        <v>0</v>
      </c>
      <c r="W141" s="12" t="n"/>
      <c r="X141" s="12">
        <f>IFERROR(((X140/X$45)*(X$5-W$5))*-1,"")</f>
        <v>0</v>
      </c>
      <c r="Y141" s="12">
        <f>IFERROR(((Y140/Y$45)*(Y$5-X$5))*-1,"")</f>
        <v>0</v>
      </c>
      <c r="Z141" s="12">
        <f>IFERROR(((Z140/Z$45)*(Z$5-Y$5))*-1,"")</f>
        <v>0</v>
      </c>
      <c r="AA141" s="12">
        <f>IFERROR(((AA140/AA$45)*(AA$5-Z$5))*-1,"")</f>
        <v>0</v>
      </c>
      <c r="AB141" s="12" t="n"/>
      <c r="AC141" s="12">
        <f>IFERROR(((AC140/AC$45)*(AC$5-AB$5))*-1,"")</f>
        <v>0</v>
      </c>
      <c r="AD141" s="12">
        <f>IFERROR(((AD140/AD$45)*(AD$5-AC$5))*-1,"")</f>
        <v>0</v>
      </c>
      <c r="AE141" s="12">
        <f>IFERROR(((AE140/AE$45)*(AE$5-AD$5))*-1,"")</f>
        <v>0</v>
      </c>
      <c r="AF141" s="11">
        <f>IFERROR(((AF140/AF$45)*(AF$5-AE$5))*-1,"")</f>
        <v>0</v>
      </c>
      <c r="AG141" s="12" t="n"/>
      <c r="AH141" s="11">
        <f>IFERROR(((AH140/AH$45)*(AH$5-AG$5))*-1,"")</f>
        <v>0</v>
      </c>
      <c r="AI141" s="11">
        <f>IFERROR(((AI140/AI$45)*(AI$5-AH$5))*-1,"")</f>
        <v>0</v>
      </c>
      <c r="AJ141" s="11">
        <f>Control!$B$26</f>
        <v>0</v>
      </c>
      <c r="AK141" s="11">
        <f>Control!$B$26</f>
        <v>0</v>
      </c>
      <c r="AL141" s="12" t="n"/>
      <c r="AM141" s="11">
        <f>Control!$C$26</f>
        <v>0</v>
      </c>
      <c r="AN141" s="11">
        <f>Control!$C$26</f>
        <v>0</v>
      </c>
      <c r="AO141" s="11">
        <f>Control!$C$26</f>
        <v>0</v>
      </c>
      <c r="AP141" s="11">
        <f>Control!$C$26</f>
        <v>0</v>
      </c>
      <c r="AQ141" s="12" t="n"/>
      <c r="AR141" s="11">
        <f>Control!$D$26</f>
        <v>0</v>
      </c>
      <c r="AS141" s="11">
        <f>Control!$D$26</f>
        <v>0</v>
      </c>
      <c r="AT141" s="11">
        <f>Control!$D$26</f>
        <v>0</v>
      </c>
      <c r="AU141" s="11">
        <f>Control!$D$26</f>
        <v>0</v>
      </c>
      <c r="AV141" s="12" t="n"/>
      <c r="AW141" s="11">
        <f>Control!$E$26</f>
        <v>0</v>
      </c>
      <c r="AX141" s="11">
        <f>Control!$E$26</f>
        <v>0</v>
      </c>
      <c r="AY141" s="11">
        <f>Control!$E$26</f>
        <v>0</v>
      </c>
      <c r="AZ141" s="11">
        <f>Control!$E$26</f>
        <v>0</v>
      </c>
      <c r="BA141" s="12" t="n"/>
      <c r="BB141" s="11">
        <f>Control!$F$26</f>
        <v>0</v>
      </c>
      <c r="BC141" s="11">
        <f>Control!$F$26</f>
        <v>0</v>
      </c>
      <c r="BD141" s="11">
        <f>Control!$F$26</f>
        <v>0</v>
      </c>
      <c r="BE141" s="11">
        <f>Control!$F$26</f>
        <v>0</v>
      </c>
      <c r="BF141" s="12" t="n"/>
      <c r="BG141" s="11" t="n"/>
      <c r="BH141" s="11" t="n"/>
      <c r="BI141" s="11" t="n"/>
      <c r="BJ141" s="11" t="n"/>
      <c r="BK141" s="12" t="n"/>
      <c r="BL141" s="11" t="n"/>
      <c r="BM141" s="11" t="n"/>
      <c r="BN141" s="11" t="n"/>
      <c r="BO141" s="11" t="n"/>
      <c r="BP141" s="12" t="n"/>
      <c r="BQ141" s="11" t="n"/>
      <c r="BR141" s="11" t="n"/>
      <c r="BS141" s="11" t="n"/>
      <c r="BT141" s="11" t="n"/>
      <c r="BU141" s="12" t="n"/>
      <c r="BV141" s="11" t="n"/>
      <c r="BW141" s="11" t="n"/>
      <c r="BX141" s="11" t="n"/>
      <c r="BY141" s="11" t="n"/>
      <c r="BZ141" s="12" t="n"/>
      <c r="CA141" s="11" t="n"/>
      <c r="CB141" s="11" t="n"/>
      <c r="CC141" s="11" t="n"/>
      <c r="CD141" s="11" t="n"/>
      <c r="CE141" s="12" t="n"/>
      <c r="CF141" s="11" t="n"/>
      <c r="CG141" s="11" t="n"/>
      <c r="CH141" s="11" t="n"/>
      <c r="CI141" s="11" t="n"/>
      <c r="CJ141" s="12" t="n"/>
      <c r="CK141" s="11" t="n"/>
      <c r="CL141" s="11" t="n"/>
      <c r="CM141" s="11" t="n"/>
      <c r="CN141" s="11" t="n"/>
      <c r="CO141" s="12" t="n"/>
      <c r="CP141" s="11" t="n"/>
      <c r="CQ141" s="11" t="n"/>
      <c r="CR141" s="11" t="n"/>
      <c r="CS141" s="11" t="n"/>
      <c r="CT141" s="12" t="n"/>
      <c r="CU141" s="11" t="n"/>
      <c r="CV141" s="11" t="n"/>
      <c r="CW141" s="11" t="n"/>
      <c r="CX141" s="11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>
      <c r="C144" s="14" t="inlineStr">
        <is>
          <t>Deferred income taxes</t>
        </is>
      </c>
      <c r="D144" s="46" t="n"/>
      <c r="E144" s="46" t="n"/>
      <c r="F144" s="46" t="n"/>
      <c r="G144" s="46" t="n"/>
      <c r="H144" s="12" t="n"/>
      <c r="I144" s="46">
        <f>'Inputs (2)'!D18</f>
        <v>0</v>
      </c>
      <c r="J144" s="46">
        <f>'Inputs (2)'!E18</f>
        <v>0</v>
      </c>
      <c r="K144" s="46">
        <f>'Inputs (2)'!F18</f>
        <v>0</v>
      </c>
      <c r="L144" s="46">
        <f>'Inputs (2)'!G18</f>
        <v>0</v>
      </c>
      <c r="M144" s="12">
        <f>'Inputs (2)'!H18</f>
        <v>0</v>
      </c>
      <c r="N144" s="46">
        <f>'Inputs (2)'!I18</f>
        <v>0</v>
      </c>
      <c r="O144" s="46">
        <f>'Inputs (2)'!J18</f>
        <v>0</v>
      </c>
      <c r="P144" s="46">
        <f>'Inputs (2)'!K18</f>
        <v>0</v>
      </c>
      <c r="Q144" s="46">
        <f>'Inputs (2)'!L18</f>
        <v>0</v>
      </c>
      <c r="R144" s="12">
        <f>'Inputs (2)'!M18</f>
        <v>0</v>
      </c>
      <c r="S144" s="46">
        <f>'Inputs (2)'!N18</f>
        <v>0</v>
      </c>
      <c r="T144" s="46">
        <f>'Inputs (2)'!O18</f>
        <v>0</v>
      </c>
      <c r="U144" s="46">
        <f>'Inputs (2)'!P18</f>
        <v>0</v>
      </c>
      <c r="V144" s="46">
        <f>'Inputs (2)'!Q18</f>
        <v>0</v>
      </c>
      <c r="W144" s="12">
        <f>'Inputs (2)'!R18</f>
        <v>0</v>
      </c>
      <c r="X144" s="46">
        <f>'Inputs (2)'!S18</f>
        <v>0</v>
      </c>
      <c r="Y144" s="46">
        <f>'Inputs (2)'!T18</f>
        <v>0</v>
      </c>
      <c r="Z144" s="46">
        <f>'Inputs (2)'!U18</f>
        <v>0</v>
      </c>
      <c r="AA144" s="46">
        <f>'Inputs (2)'!V18</f>
        <v>0</v>
      </c>
      <c r="AB144" s="12">
        <f>'Inputs (2)'!W18</f>
        <v>0</v>
      </c>
      <c r="AC144" s="46">
        <f>'Inputs (2)'!X18</f>
        <v>0</v>
      </c>
      <c r="AD144" s="46">
        <f>'Inputs (2)'!Y18</f>
        <v>0</v>
      </c>
      <c r="AE144" s="46">
        <f>'Inputs (2)'!Z18</f>
        <v>0</v>
      </c>
      <c r="AF144" s="46">
        <f>'Inputs (2)'!AA18</f>
        <v>0</v>
      </c>
      <c r="AG144" s="12">
        <f>'Inputs (2)'!AB18</f>
        <v>0</v>
      </c>
      <c r="AH144" s="12">
        <f>'Inputs (2)'!AC18</f>
        <v>0</v>
      </c>
      <c r="AI144" s="12">
        <f>'Inputs (2)'!AD18</f>
        <v>0</v>
      </c>
      <c r="AJ144" s="12">
        <f>AI144</f>
        <v>0</v>
      </c>
      <c r="AK144" s="12">
        <f>AJ144</f>
        <v>0</v>
      </c>
      <c r="AL144" s="12">
        <f>AK144</f>
        <v>0</v>
      </c>
      <c r="AM144" s="12">
        <f>AL144</f>
        <v>0</v>
      </c>
      <c r="AN144" s="12">
        <f>AM144</f>
        <v>0</v>
      </c>
      <c r="AO144" s="12">
        <f>AN144</f>
        <v>0</v>
      </c>
      <c r="AP144" s="12">
        <f>AO144</f>
        <v>0</v>
      </c>
      <c r="AQ144" s="12">
        <f>AP144</f>
        <v>0</v>
      </c>
      <c r="AR144" s="12">
        <f>AQ144</f>
        <v>0</v>
      </c>
      <c r="AS144" s="12">
        <f>AR144</f>
        <v>0</v>
      </c>
      <c r="AT144" s="12">
        <f>AS144</f>
        <v>0</v>
      </c>
      <c r="AU144" s="12">
        <f>AT144</f>
        <v>0</v>
      </c>
      <c r="AV144" s="12">
        <f>AU144</f>
        <v>0</v>
      </c>
      <c r="AW144" s="12">
        <f>AV144</f>
        <v>0</v>
      </c>
      <c r="AX144" s="12">
        <f>AW144</f>
        <v>0</v>
      </c>
      <c r="AY144" s="12">
        <f>AX144</f>
        <v>0</v>
      </c>
      <c r="AZ144" s="12">
        <f>AY144</f>
        <v>0</v>
      </c>
      <c r="BA144" s="12">
        <f>AZ144</f>
        <v>0</v>
      </c>
      <c r="BB144" s="12">
        <f>BA144</f>
        <v>0</v>
      </c>
      <c r="BC144" s="12">
        <f>BB144</f>
        <v>0</v>
      </c>
      <c r="BD144" s="12">
        <f>BC144</f>
        <v>0</v>
      </c>
      <c r="BE144" s="12">
        <f>BD144</f>
        <v>0</v>
      </c>
      <c r="BF144" s="12">
        <f>BE144</f>
        <v>0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>
      <c r="C145" s="14" t="inlineStr">
        <is>
          <t>Prepaid expenses</t>
        </is>
      </c>
      <c r="D145" s="46" t="n"/>
      <c r="E145" s="46" t="n"/>
      <c r="F145" s="46" t="n"/>
      <c r="G145" s="46" t="n"/>
      <c r="H145" s="12" t="n"/>
      <c r="I145" s="46">
        <f>'Inputs (2)'!D19</f>
        <v>0</v>
      </c>
      <c r="J145" s="46">
        <f>'Inputs (2)'!E19</f>
        <v>0</v>
      </c>
      <c r="K145" s="46">
        <f>'Inputs (2)'!F19</f>
        <v>0</v>
      </c>
      <c r="L145" s="46">
        <f>'Inputs (2)'!G19</f>
        <v>0</v>
      </c>
      <c r="M145" s="12">
        <f>'Inputs (2)'!H19</f>
        <v>0</v>
      </c>
      <c r="N145" s="46">
        <f>'Inputs (2)'!I19</f>
        <v>0</v>
      </c>
      <c r="O145" s="46">
        <f>'Inputs (2)'!J19</f>
        <v>0</v>
      </c>
      <c r="P145" s="46">
        <f>'Inputs (2)'!K19</f>
        <v>0</v>
      </c>
      <c r="Q145" s="46">
        <f>'Inputs (2)'!L19</f>
        <v>0</v>
      </c>
      <c r="R145" s="12">
        <f>'Inputs (2)'!M19</f>
        <v>0</v>
      </c>
      <c r="S145" s="46">
        <f>'Inputs (2)'!N19</f>
        <v>0</v>
      </c>
      <c r="T145" s="46">
        <f>'Inputs (2)'!O19</f>
        <v>0</v>
      </c>
      <c r="U145" s="46">
        <f>'Inputs (2)'!P19</f>
        <v>0</v>
      </c>
      <c r="V145" s="46">
        <f>'Inputs (2)'!Q19</f>
        <v>0</v>
      </c>
      <c r="W145" s="12">
        <f>'Inputs (2)'!R19</f>
        <v>0</v>
      </c>
      <c r="X145" s="46">
        <f>'Inputs (2)'!S19</f>
        <v>0</v>
      </c>
      <c r="Y145" s="46">
        <f>'Inputs (2)'!T19</f>
        <v>0</v>
      </c>
      <c r="Z145" s="46">
        <f>'Inputs (2)'!U19</f>
        <v>0</v>
      </c>
      <c r="AA145" s="46">
        <f>'Inputs (2)'!V19</f>
        <v>0</v>
      </c>
      <c r="AB145" s="12">
        <f>'Inputs (2)'!W19</f>
        <v>0</v>
      </c>
      <c r="AC145" s="46">
        <f>'Inputs (2)'!X19</f>
        <v>0</v>
      </c>
      <c r="AD145" s="46">
        <f>'Inputs (2)'!Y19</f>
        <v>0</v>
      </c>
      <c r="AE145" s="46">
        <f>'Inputs (2)'!Z19</f>
        <v>0</v>
      </c>
      <c r="AF145" s="46">
        <f>'Inputs (2)'!AA19</f>
        <v>0</v>
      </c>
      <c r="AG145" s="12">
        <f>'Inputs (2)'!AB19</f>
        <v>0</v>
      </c>
      <c r="AH145" s="12">
        <f>'Inputs (2)'!AC19</f>
        <v>0</v>
      </c>
      <c r="AI145" s="12">
        <f>'Inputs (2)'!AD19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>
        <f>AL145</f>
        <v>0</v>
      </c>
      <c r="AN145" s="12">
        <f>AM145</f>
        <v>0</v>
      </c>
      <c r="AO145" s="12">
        <f>AN145</f>
        <v>0</v>
      </c>
      <c r="AP145" s="12">
        <f>AO145</f>
        <v>0</v>
      </c>
      <c r="AQ145" s="12">
        <f>AP145</f>
        <v>0</v>
      </c>
      <c r="AR145" s="12">
        <f>AQ145</f>
        <v>0</v>
      </c>
      <c r="AS145" s="12">
        <f>AR145</f>
        <v>0</v>
      </c>
      <c r="AT145" s="12">
        <f>AS145</f>
        <v>0</v>
      </c>
      <c r="AU145" s="12">
        <f>AT145</f>
        <v>0</v>
      </c>
      <c r="AV145" s="12">
        <f>AU145</f>
        <v>0</v>
      </c>
      <c r="AW145" s="12">
        <f>AV145</f>
        <v>0</v>
      </c>
      <c r="AX145" s="12">
        <f>AW145</f>
        <v>0</v>
      </c>
      <c r="AY145" s="12">
        <f>AX145</f>
        <v>0</v>
      </c>
      <c r="AZ145" s="12">
        <f>AY145</f>
        <v>0</v>
      </c>
      <c r="BA145" s="12">
        <f>AZ145</f>
        <v>0</v>
      </c>
      <c r="BB145" s="12">
        <f>BA145</f>
        <v>0</v>
      </c>
      <c r="BC145" s="12">
        <f>BB145</f>
        <v>0</v>
      </c>
      <c r="BD145" s="12">
        <f>BC145</f>
        <v>0</v>
      </c>
      <c r="BE145" s="12">
        <f>BD145</f>
        <v>0</v>
      </c>
      <c r="BF145" s="12">
        <f>BE145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Other current assets</t>
        </is>
      </c>
      <c r="D146" s="46" t="n"/>
      <c r="E146" s="46" t="n"/>
      <c r="F146" s="46" t="n"/>
      <c r="G146" s="46" t="n"/>
      <c r="H146" s="12" t="n"/>
      <c r="I146" s="46">
        <f>'Inputs (2)'!D20</f>
        <v>2827</v>
      </c>
      <c r="J146" s="46">
        <f>'Inputs (2)'!E20</f>
        <v>4919</v>
      </c>
      <c r="K146" s="46">
        <f>'Inputs (2)'!F20</f>
        <v>5258</v>
      </c>
      <c r="L146" s="46">
        <f>'Inputs (2)'!G20</f>
        <v>4629</v>
      </c>
      <c r="M146" s="12">
        <f>'Inputs (2)'!H20</f>
        <v>4629</v>
      </c>
      <c r="N146" s="46">
        <f>'Inputs (2)'!I20</f>
        <v>3985</v>
      </c>
      <c r="O146" s="46">
        <f>'Inputs (2)'!J20</f>
        <v>3973</v>
      </c>
      <c r="P146" s="46">
        <f>'Inputs (2)'!K20</f>
        <v>5312</v>
      </c>
      <c r="Q146" s="46">
        <f>'Inputs (2)'!L20</f>
        <v>5345</v>
      </c>
      <c r="R146" s="12">
        <f>'Inputs (2)'!M20</f>
        <v>5345</v>
      </c>
      <c r="S146" s="46">
        <f>'Inputs (2)'!N20</f>
        <v>4000</v>
      </c>
      <c r="T146" s="46">
        <f>'Inputs (2)'!O20</f>
        <v>3603</v>
      </c>
      <c r="U146" s="46">
        <f>'Inputs (2)'!P20</f>
        <v>4311</v>
      </c>
      <c r="V146" s="46">
        <f>'Inputs (2)'!Q20</f>
        <v>3793</v>
      </c>
      <c r="W146" s="12">
        <f>'Inputs (2)'!R20</f>
        <v>3793</v>
      </c>
      <c r="X146" s="46">
        <f>'Inputs (2)'!S20</f>
        <v>3780</v>
      </c>
      <c r="Y146" s="46">
        <f>'Inputs (2)'!T20</f>
        <v>3846</v>
      </c>
      <c r="Z146" s="46">
        <f>'Inputs (2)'!U20</f>
        <v>5467</v>
      </c>
      <c r="AA146" s="46">
        <f>'Inputs (2)'!V20</f>
        <v>5236</v>
      </c>
      <c r="AB146" s="12">
        <f>'Inputs (2)'!W20</f>
        <v>5236</v>
      </c>
      <c r="AC146" s="46">
        <f>'Inputs (2)'!X20</f>
        <v>5483</v>
      </c>
      <c r="AD146" s="46">
        <f>'Inputs (2)'!Y20</f>
        <v>9981</v>
      </c>
      <c r="AE146" s="46">
        <f>'Inputs (2)'!Z20</f>
        <v>11373</v>
      </c>
      <c r="AF146" s="46">
        <f>'Inputs (2)'!AA20</f>
        <v>7361</v>
      </c>
      <c r="AG146" s="12">
        <f>'Inputs (2)'!AB20</f>
        <v>7361</v>
      </c>
      <c r="AH146" s="12">
        <f>'Inputs (2)'!AC20</f>
        <v>11115</v>
      </c>
      <c r="AI146" s="12">
        <f>'Inputs (2)'!AD20</f>
        <v>13463</v>
      </c>
      <c r="AJ146" s="12">
        <f>AI146</f>
        <v>13463</v>
      </c>
      <c r="AK146" s="12">
        <f>AJ146</f>
        <v>13463</v>
      </c>
      <c r="AL146" s="12">
        <f>AK146</f>
        <v>13463</v>
      </c>
      <c r="AM146" s="12">
        <f>AL146</f>
        <v>13463</v>
      </c>
      <c r="AN146" s="12">
        <f>AM146</f>
        <v>13463</v>
      </c>
      <c r="AO146" s="12">
        <f>AN146</f>
        <v>13463</v>
      </c>
      <c r="AP146" s="12">
        <f>AO146</f>
        <v>13463</v>
      </c>
      <c r="AQ146" s="12">
        <f>AP146</f>
        <v>13463</v>
      </c>
      <c r="AR146" s="12">
        <f>AQ146</f>
        <v>13463</v>
      </c>
      <c r="AS146" s="12">
        <f>AR146</f>
        <v>13463</v>
      </c>
      <c r="AT146" s="12">
        <f>AS146</f>
        <v>13463</v>
      </c>
      <c r="AU146" s="12">
        <f>AT146</f>
        <v>13463</v>
      </c>
      <c r="AV146" s="12">
        <f>AU146</f>
        <v>13463</v>
      </c>
      <c r="AW146" s="12">
        <f>AV146</f>
        <v>13463</v>
      </c>
      <c r="AX146" s="12">
        <f>AW146</f>
        <v>13463</v>
      </c>
      <c r="AY146" s="12">
        <f>AX146</f>
        <v>13463</v>
      </c>
      <c r="AZ146" s="12">
        <f>AY146</f>
        <v>13463</v>
      </c>
      <c r="BA146" s="12">
        <f>AZ146</f>
        <v>13463</v>
      </c>
      <c r="BB146" s="12">
        <f>BA146</f>
        <v>13463</v>
      </c>
      <c r="BC146" s="12">
        <f>BB146</f>
        <v>13463</v>
      </c>
      <c r="BD146" s="12">
        <f>BC146</f>
        <v>13463</v>
      </c>
      <c r="BE146" s="12">
        <f>BD146</f>
        <v>13463</v>
      </c>
      <c r="BF146" s="12">
        <f>BE146</f>
        <v>13463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9" t="inlineStr">
        <is>
          <t>%(Var.)</t>
        </is>
      </c>
      <c r="D147" s="12" t="n"/>
      <c r="E147" s="40" t="n"/>
      <c r="F147" s="40" t="n"/>
      <c r="G147" s="40" t="n"/>
      <c r="H147" s="12" t="n"/>
      <c r="I147" s="40" t="str">
        <f>""</f>
        <v/>
      </c>
      <c r="J147" s="40">
        <f>IFERROR(IF(I146=0,"",J146/I146-1),"")</f>
        <v>0.740007074637425</v>
      </c>
      <c r="K147" s="40">
        <f>IFERROR(IF(J146=0,"",K146/J146-1),"")</f>
        <v>0.0689164464322016</v>
      </c>
      <c r="L147" s="40">
        <f>IFERROR(IF(K146=0,"",L146/K146-1),"")</f>
        <v>-0.119627234689996</v>
      </c>
      <c r="M147" s="12">
        <f>IFERROR(IF(L146=0,"",M146/L146-1),"")</f>
        <v>0</v>
      </c>
      <c r="N147" s="40">
        <f>IFERROR(IF(M146=0,"",N146/M146-1),"")</f>
        <v>-0.139122920717218</v>
      </c>
      <c r="O147" s="40">
        <f>IFERROR(IF(N146=0,"",O146/N146-1),"")</f>
        <v>-0.0030112923462986</v>
      </c>
      <c r="P147" s="40">
        <f>IFERROR(IF(O146=0,"",P146/O146-1),"")</f>
        <v>0.337024918197835</v>
      </c>
      <c r="Q147" s="40">
        <f>IFERROR(IF(P146=0,"",Q146/P146-1),"")</f>
        <v>0.0062123493975903</v>
      </c>
      <c r="R147" s="12">
        <f>IFERROR(IF(Q146=0,"",R146/Q146-1),"")</f>
        <v>0</v>
      </c>
      <c r="S147" s="40">
        <f>IFERROR(IF(R146=0,"",S146/R146-1),"")</f>
        <v>-0.251637043966324</v>
      </c>
      <c r="T147" s="40">
        <f>IFERROR(IF(S146=0,"",T146/S146-1),"")</f>
        <v>-0.09925</v>
      </c>
      <c r="U147" s="40">
        <f>IFERROR(IF(T146=0,"",U146/T146-1),"")</f>
        <v>0.196502914238135</v>
      </c>
      <c r="V147" s="40">
        <f>IFERROR(IF(U146=0,"",V146/U146-1),"")</f>
        <v>-0.120157736024124</v>
      </c>
      <c r="W147" s="12">
        <f>IFERROR(IF(V146=0,"",W146/V146-1),"")</f>
        <v>0</v>
      </c>
      <c r="X147" s="40">
        <f>IFERROR(IF(W146=0,"",X146/W146-1),"")</f>
        <v>-0.00342736620089634</v>
      </c>
      <c r="Y147" s="40">
        <f>IFERROR(IF(X146=0,"",Y146/X146-1),"")</f>
        <v>0.0174603174603174</v>
      </c>
      <c r="Z147" s="40">
        <f>IFERROR(IF(Y146=0,"",Z146/Y146-1),"")</f>
        <v>0.421476859074363</v>
      </c>
      <c r="AA147" s="40">
        <f>IFERROR(IF(Z146=0,"",AA146/Z146-1),"")</f>
        <v>-0.0422535211267606</v>
      </c>
      <c r="AB147" s="12">
        <f>IFERROR(IF(AA146=0,"",AB146/AA146-1),"")</f>
        <v>0</v>
      </c>
      <c r="AC147" s="40">
        <f>IFERROR(IF(AB146=0,"",AC146/AB146-1),"")</f>
        <v>0.0471734148204737</v>
      </c>
      <c r="AD147" s="40">
        <f>IFERROR(IF(AC146=0,"",AD146/AC146-1),"")</f>
        <v>0.820353820900967</v>
      </c>
      <c r="AE147" s="40">
        <f>IFERROR(IF(AD146=0,"",AE146/AD146-1),"")</f>
        <v>0.13946498346859</v>
      </c>
      <c r="AF147" s="55">
        <f>IFERROR(IF(AE146=0,"",AF146/AE146-1),"")</f>
        <v>-0.352765321375187</v>
      </c>
      <c r="AG147" s="12">
        <f>IFERROR(IF(AF146=0,"",AG146/AF146-1),"")</f>
        <v>0</v>
      </c>
      <c r="AH147" s="12">
        <f>IFERROR(IF(AG146=0,"",AH146/AG146-1),"")</f>
        <v>0.50998505637821</v>
      </c>
      <c r="AI147" s="12">
        <f>IFERROR(IF(AH146=0,"",AI146/AH146-1),"")</f>
        <v>0.211246063877643</v>
      </c>
      <c r="AJ147" s="12">
        <f>IFERROR(IF(AI146=0,"",AJ146/AI146-1),"")</f>
        <v>0</v>
      </c>
      <c r="AK147" s="12">
        <f>IFERROR(IF(AJ146=0,"",AK146/AJ146-1),"")</f>
        <v>0</v>
      </c>
      <c r="AL147" s="12">
        <f>IFERROR(IF(AK146=0,"",AL146/AK146-1),"")</f>
        <v>0</v>
      </c>
      <c r="AM147" s="12">
        <f>IFERROR(IF(AL146=0,"",AM146/AL146-1),"")</f>
        <v>0</v>
      </c>
      <c r="AN147" s="12">
        <f>IFERROR(IF(AM146=0,"",AN146/AM146-1),"")</f>
        <v>0</v>
      </c>
      <c r="AO147" s="12">
        <f>IFERROR(IF(AN146=0,"",AO146/AN146-1),"")</f>
        <v>0</v>
      </c>
      <c r="AP147" s="12">
        <f>IFERROR(IF(AO146=0,"",AP146/AO146-1),"")</f>
        <v>0</v>
      </c>
      <c r="AQ147" s="12">
        <f>IFERROR(IF(AP146=0,"",AQ146/AP146-1),"")</f>
        <v>0</v>
      </c>
      <c r="AR147" s="12">
        <f>IFERROR(IF(AQ146=0,"",AR146/AQ146-1),"")</f>
        <v>0</v>
      </c>
      <c r="AS147" s="12">
        <f>IFERROR(IF(AR146=0,"",AS146/AR146-1),"")</f>
        <v>0</v>
      </c>
      <c r="AT147" s="12">
        <f>IFERROR(IF(AS146=0,"",AT146/AS146-1),"")</f>
        <v>0</v>
      </c>
      <c r="AU147" s="12">
        <f>IFERROR(IF(AT146=0,"",AU146/AT146-1),"")</f>
        <v>0</v>
      </c>
      <c r="AV147" s="12">
        <f>IFERROR(IF(AU146=0,"",AV146/AU146-1),"")</f>
        <v>0</v>
      </c>
      <c r="AW147" s="12">
        <f>IFERROR(IF(AV146=0,"",AW146/AV146-1),"")</f>
        <v>0</v>
      </c>
      <c r="AX147" s="12">
        <f>IFERROR(IF(AW146=0,"",AX146/AW146-1),"")</f>
        <v>0</v>
      </c>
      <c r="AY147" s="12">
        <f>IFERROR(IF(AX146=0,"",AY146/AX146-1),"")</f>
        <v>0</v>
      </c>
      <c r="AZ147" s="12">
        <f>IFERROR(IF(AY146=0,"",AZ146/AY146-1),"")</f>
        <v>0</v>
      </c>
      <c r="BA147" s="12">
        <f>IFERROR(IF(AZ146=0,"",BA146/AZ146-1),"")</f>
        <v>0</v>
      </c>
      <c r="BB147" s="12">
        <f>IFERROR(IF(BA146=0,"",BB146/BA146-1),"")</f>
        <v>0</v>
      </c>
      <c r="BC147" s="12">
        <f>IFERROR(IF(BB146=0,"",BC146/BB146-1),"")</f>
        <v>0</v>
      </c>
      <c r="BD147" s="12">
        <f>IFERROR(IF(BC146=0,"",BD146/BC146-1),"")</f>
        <v>0</v>
      </c>
      <c r="BE147" s="12">
        <f>IFERROR(IF(BD146=0,"",BE146/BD146-1),"")</f>
        <v>0</v>
      </c>
      <c r="BF147" s="12">
        <f>IFERROR(IF(BE146=0,"",BF146/BE146-1),"")</f>
        <v>0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40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60" t="inlineStr">
        <is>
          <t xml:space="preserve">Impostos e Contribuições a Recuperar </t>
        </is>
      </c>
      <c r="D149" s="11" t="n"/>
      <c r="E149" s="11" t="n"/>
      <c r="F149" s="11" t="n"/>
      <c r="G149" s="11" t="n"/>
      <c r="H149" s="12" t="n"/>
      <c r="I149" s="11" t="n"/>
      <c r="J149" s="11" t="n"/>
      <c r="K149" s="11" t="n"/>
      <c r="L149" s="11" t="n"/>
      <c r="M149" s="12" t="n"/>
      <c r="N149" s="11" t="n"/>
      <c r="O149" s="11" t="n"/>
      <c r="P149" s="11" t="n"/>
      <c r="Q149" s="11" t="n"/>
      <c r="R149" s="12" t="n"/>
      <c r="S149" s="11" t="n"/>
      <c r="T149" s="11" t="n"/>
      <c r="U149" s="11" t="n"/>
      <c r="V149" s="11" t="n"/>
      <c r="W149" s="12" t="n"/>
      <c r="X149" s="11" t="n"/>
      <c r="Y149" s="11" t="n"/>
      <c r="Z149" s="11" t="n"/>
      <c r="AA149" s="11" t="n"/>
      <c r="AB149" s="12" t="n"/>
      <c r="AC149" s="11" t="n"/>
      <c r="AD149" s="11" t="n"/>
      <c r="AE149" s="11" t="n"/>
      <c r="AF149" s="11" t="n"/>
      <c r="AG149" s="12">
        <f>AF149</f>
        <v>0</v>
      </c>
      <c r="AH149" s="61">
        <f>IFERROR(AG149*AH15/AG15,"")</f>
        <v>0</v>
      </c>
      <c r="AI149" s="61">
        <f>IFERROR(AH149*AI15/AH15,"")</f>
        <v>0</v>
      </c>
      <c r="AJ149" s="61">
        <f>IFERROR(AI149*AJ15/AI15,"")</f>
        <v>0</v>
      </c>
      <c r="AK149" s="61">
        <f>IFERROR(AJ149*AK15/AJ15,"")</f>
        <v>0</v>
      </c>
      <c r="AL149" s="12">
        <f>IFERROR(AK149,"")</f>
        <v>0</v>
      </c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>Outros Créditos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12">
        <f>AG150</f>
        <v>0</v>
      </c>
      <c r="AI150" s="12">
        <f>AH150</f>
        <v>0</v>
      </c>
      <c r="AJ150" s="12">
        <f>AI150</f>
        <v>0</v>
      </c>
      <c r="AK150" s="12">
        <f>AJ150</f>
        <v>0</v>
      </c>
      <c r="AL150" s="12">
        <f>AK150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collapsed="1">
      <c r="C152" s="14" t="inlineStr">
        <is>
          <t>Equity in affiliates</t>
        </is>
      </c>
      <c r="D152" s="46" t="n"/>
      <c r="E152" s="46" t="n"/>
      <c r="F152" s="46" t="n"/>
      <c r="G152" s="46" t="n"/>
      <c r="H152" s="12" t="n"/>
      <c r="I152" s="46">
        <f>'Inputs (2)'!D21</f>
        <v>0</v>
      </c>
      <c r="J152" s="46">
        <f>'Inputs (2)'!E21</f>
        <v>0</v>
      </c>
      <c r="K152" s="46">
        <f>'Inputs (2)'!F21</f>
        <v>0</v>
      </c>
      <c r="L152" s="46">
        <f>'Inputs (2)'!G21</f>
        <v>0</v>
      </c>
      <c r="M152" s="12">
        <f>'Inputs (2)'!H21</f>
        <v>0</v>
      </c>
      <c r="N152" s="46">
        <f>'Inputs (2)'!I21</f>
        <v>0</v>
      </c>
      <c r="O152" s="46">
        <f>'Inputs (2)'!J21</f>
        <v>0</v>
      </c>
      <c r="P152" s="46">
        <f>'Inputs (2)'!K21</f>
        <v>0</v>
      </c>
      <c r="Q152" s="46">
        <f>'Inputs (2)'!L21</f>
        <v>0</v>
      </c>
      <c r="R152" s="12">
        <f>'Inputs (2)'!M21</f>
        <v>0</v>
      </c>
      <c r="S152" s="46">
        <f>'Inputs (2)'!N21</f>
        <v>0</v>
      </c>
      <c r="T152" s="46">
        <f>'Inputs (2)'!O21</f>
        <v>0</v>
      </c>
      <c r="U152" s="46">
        <f>'Inputs (2)'!P21</f>
        <v>0</v>
      </c>
      <c r="V152" s="46">
        <f>'Inputs (2)'!Q21</f>
        <v>0</v>
      </c>
      <c r="W152" s="12">
        <f>'Inputs (2)'!R21</f>
        <v>0</v>
      </c>
      <c r="X152" s="46">
        <f>'Inputs (2)'!S21</f>
        <v>0</v>
      </c>
      <c r="Y152" s="46">
        <f>'Inputs (2)'!T21</f>
        <v>0</v>
      </c>
      <c r="Z152" s="46">
        <f>'Inputs (2)'!U21</f>
        <v>0</v>
      </c>
      <c r="AA152" s="46">
        <f>'Inputs (2)'!V21</f>
        <v>0</v>
      </c>
      <c r="AB152" s="12">
        <f>'Inputs (2)'!W21</f>
        <v>0</v>
      </c>
      <c r="AC152" s="46">
        <f>'Inputs (2)'!X21</f>
        <v>0</v>
      </c>
      <c r="AD152" s="46">
        <f>'Inputs (2)'!Y21</f>
        <v>0</v>
      </c>
      <c r="AE152" s="46">
        <f>'Inputs (2)'!Z21</f>
        <v>0</v>
      </c>
      <c r="AF152" s="46">
        <f>'Inputs (2)'!AA21</f>
        <v>0</v>
      </c>
      <c r="AG152" s="12">
        <f>'Inputs (2)'!AB21</f>
        <v>0</v>
      </c>
      <c r="AH152" s="12">
        <f>'Inputs (2)'!AC21</f>
        <v>0</v>
      </c>
      <c r="AI152" s="12">
        <f>'Inputs (2)'!AD21</f>
        <v>0</v>
      </c>
      <c r="AJ152" s="12">
        <f>AI152+AJ126</f>
        <v>0</v>
      </c>
      <c r="AK152" s="12">
        <f>AJ152+AK126</f>
        <v>0</v>
      </c>
      <c r="AL152" s="12">
        <f>AK152</f>
        <v>0</v>
      </c>
      <c r="AM152" s="12">
        <f>AL152+AM126</f>
        <v>0</v>
      </c>
      <c r="AN152" s="12">
        <f>AM152+AN126</f>
        <v>0</v>
      </c>
      <c r="AO152" s="12">
        <f>AN152+AO126</f>
        <v>0</v>
      </c>
      <c r="AP152" s="12">
        <f>AO152+AP126</f>
        <v>0</v>
      </c>
      <c r="AQ152" s="12">
        <f>AP152</f>
        <v>0</v>
      </c>
      <c r="AR152" s="12">
        <f>AQ152+AR126</f>
        <v>0</v>
      </c>
      <c r="AS152" s="12">
        <f>AR152+AS126</f>
        <v>0</v>
      </c>
      <c r="AT152" s="12">
        <f>AS152+AT126</f>
        <v>0</v>
      </c>
      <c r="AU152" s="12">
        <f>AT152+AU126</f>
        <v>0</v>
      </c>
      <c r="AV152" s="12">
        <f>AU152</f>
        <v>0</v>
      </c>
      <c r="AW152" s="12">
        <f>AV152+AW126</f>
        <v>0</v>
      </c>
      <c r="AX152" s="12">
        <f>AW152+AX126</f>
        <v>0</v>
      </c>
      <c r="AY152" s="12">
        <f>AX152+AY126</f>
        <v>0</v>
      </c>
      <c r="AZ152" s="12">
        <f>AY152+AZ126</f>
        <v>0</v>
      </c>
      <c r="BA152" s="12">
        <f>AZ152</f>
        <v>0</v>
      </c>
      <c r="BB152" s="12">
        <f>BA152+BB126</f>
        <v>0</v>
      </c>
      <c r="BC152" s="12">
        <f>BB152+BC126</f>
        <v>0</v>
      </c>
      <c r="BD152" s="12">
        <f>BC152+BD126</f>
        <v>0</v>
      </c>
      <c r="BE152" s="12">
        <f>BD152+BE126</f>
        <v>0</v>
      </c>
      <c r="BF152" s="12">
        <f>BE152</f>
        <v>0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inlineStr">
        <is>
          <t>Equity in Income - % YoY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>
        <f>IF(I126=0,0,N126/I126-1)</f>
        <v>0</v>
      </c>
      <c r="O154" s="12">
        <f>IF(J126=0,0,O126/J126-1)</f>
        <v>0</v>
      </c>
      <c r="P154" s="12">
        <f>IF(K126=0,0,P126/K126-1)</f>
        <v>0</v>
      </c>
      <c r="Q154" s="12">
        <f>IF(L126=0,0,Q126/L126-1)</f>
        <v>0</v>
      </c>
      <c r="R154" s="12" t="n"/>
      <c r="S154" s="12">
        <f>IF(N126=0,0,S126/N126-1)</f>
        <v>0</v>
      </c>
      <c r="T154" s="12">
        <f>IF(O126=0,0,T126/O126-1)</f>
        <v>0</v>
      </c>
      <c r="U154" s="12">
        <f>IF(P126=0,0,U126/P126-1)</f>
        <v>0</v>
      </c>
      <c r="V154" s="12">
        <f>IF(Q126=0,0,V126/Q126-1)</f>
        <v>0</v>
      </c>
      <c r="W154" s="12" t="n"/>
      <c r="X154" s="12">
        <f>IF(S126=0,0,X126/S126-1)</f>
        <v>0</v>
      </c>
      <c r="Y154" s="12">
        <f>IF(T126=0,0,Y126/T126-1)</f>
        <v>0</v>
      </c>
      <c r="Z154" s="12">
        <f>IF(U126=0,0,Z126/U126-1)</f>
        <v>0</v>
      </c>
      <c r="AA154" s="12">
        <f>IF(V126=0,0,AA126/V126-1)</f>
        <v>0</v>
      </c>
      <c r="AB154" s="12" t="n"/>
      <c r="AC154" s="12">
        <f>IF(X126=0,0,AC126/X126-1)</f>
        <v>0</v>
      </c>
      <c r="AD154" s="12">
        <f>IF(Y126=0,0,AD126/Y126-1)</f>
        <v>0</v>
      </c>
      <c r="AE154" s="12">
        <f>IF(Z126=0,0,AE126/Z126-1)</f>
        <v>0</v>
      </c>
      <c r="AF154" s="12">
        <f>IF(AA126=0,0,AF126/AA126-1)</f>
        <v>0</v>
      </c>
      <c r="AG154" s="12" t="n"/>
      <c r="AH154" s="11">
        <f>IF(AC126=0,0,AH126/AC126-1)</f>
        <v>0</v>
      </c>
      <c r="AI154" s="11">
        <f>IF(AD126=0,0,AI126/AD126-1)</f>
        <v>0</v>
      </c>
      <c r="AJ154" s="11" t="n"/>
      <c r="AK154" s="11" t="n"/>
      <c r="AL154" s="12" t="n"/>
      <c r="AM154" s="11" t="n"/>
      <c r="AN154" s="11" t="n"/>
      <c r="AO154" s="11" t="n"/>
      <c r="AP154" s="11" t="n"/>
      <c r="AQ154" s="12" t="n"/>
      <c r="AR154" s="11" t="n"/>
      <c r="AS154" s="11" t="n"/>
      <c r="AT154" s="11" t="n"/>
      <c r="AU154" s="11" t="n"/>
      <c r="AV154" s="12" t="n"/>
      <c r="AW154" s="11" t="n"/>
      <c r="AX154" s="11" t="n"/>
      <c r="AY154" s="11" t="n"/>
      <c r="AZ154" s="11" t="n"/>
      <c r="BA154" s="12" t="n"/>
      <c r="BB154" s="11" t="n"/>
      <c r="BC154" s="11" t="n"/>
      <c r="BD154" s="11" t="n"/>
      <c r="BE154" s="11" t="n"/>
      <c r="BF154" s="12" t="n"/>
      <c r="BG154" s="11" t="n"/>
      <c r="BH154" s="11" t="n"/>
      <c r="BI154" s="11" t="n"/>
      <c r="BJ154" s="11" t="n"/>
      <c r="BK154" s="12" t="n"/>
      <c r="BL154" s="11" t="n"/>
      <c r="BM154" s="11" t="n"/>
      <c r="BN154" s="11" t="n"/>
      <c r="BO154" s="11" t="n"/>
      <c r="BP154" s="12" t="n"/>
      <c r="BQ154" s="11" t="n"/>
      <c r="BR154" s="11" t="n"/>
      <c r="BS154" s="11" t="n"/>
      <c r="BT154" s="11" t="n"/>
      <c r="BU154" s="12" t="n"/>
      <c r="BV154" s="11" t="n"/>
      <c r="BW154" s="11" t="n"/>
      <c r="BX154" s="11" t="n"/>
      <c r="BY154" s="11" t="n"/>
      <c r="BZ154" s="12" t="n"/>
      <c r="CA154" s="11" t="n"/>
      <c r="CB154" s="11" t="n"/>
      <c r="CC154" s="11" t="n"/>
      <c r="CD154" s="11" t="n"/>
      <c r="CE154" s="12" t="n"/>
      <c r="CF154" s="11" t="n"/>
      <c r="CG154" s="11" t="n"/>
      <c r="CH154" s="11" t="n"/>
      <c r="CI154" s="11" t="n"/>
      <c r="CJ154" s="12" t="n"/>
      <c r="CK154" s="11" t="n"/>
      <c r="CL154" s="11" t="n"/>
      <c r="CM154" s="11" t="n"/>
      <c r="CN154" s="11" t="n"/>
      <c r="CO154" s="12" t="n"/>
      <c r="CP154" s="11" t="n"/>
      <c r="CQ154" s="11" t="n"/>
      <c r="CR154" s="11" t="n"/>
      <c r="CS154" s="11" t="n"/>
      <c r="CT154" s="12" t="n"/>
      <c r="CU154" s="11" t="n"/>
      <c r="CV154" s="11" t="n"/>
      <c r="CW154" s="11" t="n"/>
      <c r="CX154" s="11" t="n"/>
      <c r="CY154" s="12" t="n"/>
    </row>
    <row r="155" hidden="1" outlineLevel="1">
      <c r="C155" s="57" t="inlineStr">
        <is>
          <t>Dividends (enter as -)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1" t="n"/>
      <c r="AI155" s="11" t="n"/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collapsed="1">
      <c r="C157" s="14" t="inlineStr">
        <is>
          <t>PP&amp;E</t>
        </is>
      </c>
      <c r="D157" s="46" t="n"/>
      <c r="E157" s="46" t="n"/>
      <c r="F157" s="46" t="n"/>
      <c r="G157" s="46" t="n"/>
      <c r="H157" s="12" t="n"/>
      <c r="I157" s="46">
        <f>'Inputs (2)'!D22</f>
        <v>47720</v>
      </c>
      <c r="J157" s="46">
        <f>'Inputs (2)'!E22</f>
        <v>50909</v>
      </c>
      <c r="K157" s="46">
        <f>'Inputs (2)'!F22</f>
        <v>53726</v>
      </c>
      <c r="L157" s="46">
        <f>'Inputs (2)'!G22</f>
        <v>57809</v>
      </c>
      <c r="M157" s="12">
        <f>'Inputs (2)'!H22</f>
        <v>57809</v>
      </c>
      <c r="N157" s="46">
        <f>'Inputs (2)'!I22</f>
        <v>61582</v>
      </c>
      <c r="O157" s="46">
        <f>'Inputs (2)'!J22</f>
        <v>67588</v>
      </c>
      <c r="P157" s="46">
        <f>'Inputs (2)'!K22</f>
        <v>73738</v>
      </c>
      <c r="Q157" s="46">
        <f>'Inputs (2)'!L22</f>
        <v>79518</v>
      </c>
      <c r="R157" s="12">
        <f>'Inputs (2)'!M22</f>
        <v>79518</v>
      </c>
      <c r="S157" s="46">
        <f>'Inputs (2)'!N22</f>
        <v>84156</v>
      </c>
      <c r="T157" s="46">
        <f>'Inputs (2)'!O22</f>
        <v>87949</v>
      </c>
      <c r="U157" s="46">
        <f>'Inputs (2)'!P22</f>
        <v>91772</v>
      </c>
      <c r="V157" s="46">
        <f>'Inputs (2)'!Q22</f>
        <v>96587</v>
      </c>
      <c r="W157" s="12">
        <f>'Inputs (2)'!R22</f>
        <v>96587</v>
      </c>
      <c r="X157" s="46">
        <f>'Inputs (2)'!S22</f>
        <v>98908</v>
      </c>
      <c r="Y157" s="46">
        <f>'Inputs (2)'!T22</f>
        <v>102959</v>
      </c>
      <c r="Z157" s="46">
        <f>'Inputs (2)'!U22</f>
        <v>112162</v>
      </c>
      <c r="AA157" s="46">
        <f>'Inputs (2)'!V22</f>
        <v>121346</v>
      </c>
      <c r="AB157" s="12">
        <f>'Inputs (2)'!W22</f>
        <v>121346</v>
      </c>
      <c r="AC157" s="46">
        <f>'Inputs (2)'!X22</f>
        <v>133567</v>
      </c>
      <c r="AD157" s="46">
        <f>'Inputs (2)'!Y22</f>
        <v>147039</v>
      </c>
      <c r="AE157" s="46">
        <f>'Inputs (2)'!Z22</f>
        <v>160270</v>
      </c>
      <c r="AF157" s="46">
        <f>'Inputs (2)'!AA22</f>
        <v>176400</v>
      </c>
      <c r="AG157" s="12">
        <f>'Inputs (2)'!AB22</f>
        <v>176400</v>
      </c>
      <c r="AH157" s="12">
        <f>'Inputs (2)'!AC22</f>
        <v>194776</v>
      </c>
      <c r="AI157" s="12">
        <f>'Inputs (2)'!AD22</f>
        <v>225724</v>
      </c>
      <c r="AJ157" s="12">
        <f>AJ162</f>
        <v>246733.703704334</v>
      </c>
      <c r="AK157" s="12">
        <f>AK162</f>
        <v>271290.399070708</v>
      </c>
      <c r="AL157" s="12">
        <f>AK157</f>
        <v>271290.399070708</v>
      </c>
      <c r="AM157" s="12">
        <f>AM162</f>
        <v>294378.440624409</v>
      </c>
      <c r="AN157" s="12">
        <f>AN162</f>
        <v>319307.424561945</v>
      </c>
      <c r="AO157" s="12">
        <f>AO162</f>
        <v>345525.942029373</v>
      </c>
      <c r="AP157" s="12">
        <f>AP162</f>
        <v>376170.836191908</v>
      </c>
      <c r="AQ157" s="12">
        <f>AP157</f>
        <v>376170.836191908</v>
      </c>
      <c r="AR157" s="12">
        <f>AR162</f>
        <v>404867.521527801</v>
      </c>
      <c r="AS157" s="12">
        <f>AS162</f>
        <v>435852.358684087</v>
      </c>
      <c r="AT157" s="12">
        <f>AT162</f>
        <v>468439.988257881</v>
      </c>
      <c r="AU157" s="12">
        <f>AU162</f>
        <v>506529.268497981</v>
      </c>
      <c r="AV157" s="12">
        <f>AU157</f>
        <v>506529.268497981</v>
      </c>
      <c r="AW157" s="12">
        <f>AW162</f>
        <v>542053.589434519</v>
      </c>
      <c r="AX157" s="12">
        <f>AX162</f>
        <v>580410.468858831</v>
      </c>
      <c r="AY157" s="12">
        <f>AY162</f>
        <v>620751.483787565</v>
      </c>
      <c r="AZ157" s="12">
        <f>AZ162</f>
        <v>667903.125158446</v>
      </c>
      <c r="BA157" s="12">
        <f>AZ157</f>
        <v>667903.125158446</v>
      </c>
      <c r="BB157" s="12">
        <f>BB162</f>
        <v>711701.919757613</v>
      </c>
      <c r="BC157" s="12">
        <f>BC162</f>
        <v>758993.044234606</v>
      </c>
      <c r="BD157" s="12">
        <f>BD162</f>
        <v>808730.4573703</v>
      </c>
      <c r="BE157" s="12">
        <f>BE162</f>
        <v>866864.856592347</v>
      </c>
      <c r="BF157" s="12">
        <f>BE157</f>
        <v>866864.856592347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inlineStr">
        <is>
          <t>Capital expenditures</t>
        </is>
      </c>
      <c r="D159" s="12" t="n"/>
      <c r="E159" s="12" t="n"/>
      <c r="F159" s="12" t="n"/>
      <c r="G159" s="12" t="n"/>
      <c r="H159" s="12" t="n"/>
      <c r="I159" s="12" t="n"/>
      <c r="J159" s="12">
        <f>J157-I157-J61</f>
        <v>5175</v>
      </c>
      <c r="K159" s="12">
        <f>K157-J157-K61</f>
        <v>4812</v>
      </c>
      <c r="L159" s="12">
        <f>L157-K157-L61</f>
        <v>6097</v>
      </c>
      <c r="M159" s="12" t="n"/>
      <c r="N159" s="12">
        <f>N157-M157-N61</f>
        <v>5929</v>
      </c>
      <c r="O159" s="12">
        <f>O157-N157-O61</f>
        <v>7985</v>
      </c>
      <c r="P159" s="12">
        <f>P157-O157-P61</f>
        <v>8325</v>
      </c>
      <c r="Q159" s="12">
        <f>Q157-P157-Q61</f>
        <v>8156</v>
      </c>
      <c r="R159" s="12" t="n"/>
      <c r="S159" s="12">
        <f>S157-R157-S61</f>
        <v>7162</v>
      </c>
      <c r="T159" s="12">
        <f>T157-S157-T61</f>
        <v>6416</v>
      </c>
      <c r="U159" s="12">
        <f>U157-T157-U61</f>
        <v>6682</v>
      </c>
      <c r="V159" s="12">
        <f>V157-U157-V61</f>
        <v>7987</v>
      </c>
      <c r="W159" s="12" t="n"/>
      <c r="X159" s="12">
        <f>X157-W157-X61</f>
        <v>5695</v>
      </c>
      <c r="Y159" s="12">
        <f>Y157-X157-Y61</f>
        <v>7688</v>
      </c>
      <c r="Z159" s="12">
        <f>Z157-Y157-Z61</f>
        <v>13230</v>
      </c>
      <c r="AA159" s="12">
        <f>AA157-Z157-AA61</f>
        <v>13644</v>
      </c>
      <c r="AB159" s="12" t="n"/>
      <c r="AC159" s="12">
        <f>AC157-AB157-AC61</f>
        <v>16121</v>
      </c>
      <c r="AD159" s="12">
        <f>AD157-AC157-AD61</f>
        <v>17814</v>
      </c>
      <c r="AE159" s="12">
        <f>AE157-AD157-AE61</f>
        <v>18194</v>
      </c>
      <c r="AF159" s="11">
        <f>AF157-AE157-AF61</f>
        <v>21541</v>
      </c>
      <c r="AG159" s="12">
        <f>SUM(AC159:AF159)</f>
        <v>73670</v>
      </c>
      <c r="AH159" s="11">
        <f>AH157-AG157-AH61</f>
        <v>24375</v>
      </c>
      <c r="AI159" s="11">
        <f>AI157-AH157-AI61</f>
        <v>37304</v>
      </c>
      <c r="AJ159" s="11">
        <f>AJ15*Control!$B$24</f>
        <v>27210.5337009394</v>
      </c>
      <c r="AK159" s="11">
        <f>AK15*Control!$B$24</f>
        <v>31804.3888792467</v>
      </c>
      <c r="AL159" s="12" t="n"/>
      <c r="AM159" s="11">
        <f>AM15*Control!$C$24</f>
        <v>29902.2747596424</v>
      </c>
      <c r="AN159" s="11">
        <f>AN15*Control!$C$24</f>
        <v>32286.5551608215</v>
      </c>
      <c r="AO159" s="11">
        <f>AO15*Control!$C$24</f>
        <v>33956.6832153335</v>
      </c>
      <c r="AP159" s="11">
        <f>AP15*Control!$C$24</f>
        <v>39689.4662155257</v>
      </c>
      <c r="AQ159" s="12" t="n"/>
      <c r="AR159" s="11">
        <f>AR15*Control!$D$24</f>
        <v>37166.260620633</v>
      </c>
      <c r="AS159" s="11">
        <f>AS15*Control!$D$24</f>
        <v>40129.7404058728</v>
      </c>
      <c r="AT159" s="11">
        <f>AT15*Control!$D$24</f>
        <v>42205.582964433</v>
      </c>
      <c r="AU159" s="11">
        <f>AU15*Control!$D$24</f>
        <v>49330.9976286793</v>
      </c>
      <c r="AV159" s="12" t="n"/>
      <c r="AW159" s="11">
        <f>AW15*Control!$E$24</f>
        <v>46009.0130565349</v>
      </c>
      <c r="AX159" s="11">
        <f>AX15*Control!$E$24</f>
        <v>49677.5763678567</v>
      </c>
      <c r="AY159" s="11">
        <f>AY15*Control!$E$24</f>
        <v>52247.3120847472</v>
      </c>
      <c r="AZ159" s="11">
        <f>AZ15*Control!$E$24</f>
        <v>61068.0352580259</v>
      </c>
      <c r="BA159" s="12" t="n"/>
      <c r="BB159" s="11">
        <f>BB15*Control!$F$24</f>
        <v>56725.6251336512</v>
      </c>
      <c r="BC159" s="11">
        <f>BC15*Control!$F$24</f>
        <v>61248.68558099</v>
      </c>
      <c r="BD159" s="11">
        <f>BD15*Control!$F$24</f>
        <v>64416.974907035</v>
      </c>
      <c r="BE159" s="11">
        <f>BE15*Control!$F$24</f>
        <v>75292.257876489</v>
      </c>
      <c r="BF159" s="12" t="n"/>
      <c r="BG159" s="11" t="n"/>
      <c r="BH159" s="11" t="n"/>
      <c r="BI159" s="11" t="n"/>
      <c r="BJ159" s="11" t="n"/>
      <c r="BK159" s="12" t="n"/>
      <c r="BL159" s="11" t="n"/>
      <c r="BM159" s="11" t="n"/>
      <c r="BN159" s="11" t="n"/>
      <c r="BO159" s="11" t="n"/>
      <c r="BP159" s="12" t="n"/>
      <c r="BQ159" s="11" t="n"/>
      <c r="BR159" s="11" t="n"/>
      <c r="BS159" s="11" t="n"/>
      <c r="BT159" s="11" t="n"/>
      <c r="BU159" s="12" t="n"/>
      <c r="BV159" s="11" t="n"/>
      <c r="BW159" s="11" t="n"/>
      <c r="BX159" s="11" t="n"/>
      <c r="BY159" s="11" t="n"/>
      <c r="BZ159" s="12" t="n"/>
      <c r="CA159" s="11" t="n"/>
      <c r="CB159" s="11" t="n"/>
      <c r="CC159" s="11" t="n"/>
      <c r="CD159" s="11" t="n"/>
      <c r="CE159" s="12" t="n"/>
      <c r="CF159" s="11" t="n"/>
      <c r="CG159" s="11" t="n"/>
      <c r="CH159" s="11" t="n"/>
      <c r="CI159" s="11" t="n"/>
      <c r="CJ159" s="12" t="n"/>
      <c r="CK159" s="11" t="n"/>
      <c r="CL159" s="11" t="n"/>
      <c r="CM159" s="11" t="n"/>
      <c r="CN159" s="11" t="n"/>
      <c r="CO159" s="12" t="n"/>
      <c r="CP159" s="11" t="n"/>
      <c r="CQ159" s="11" t="n"/>
      <c r="CR159" s="11" t="n"/>
      <c r="CS159" s="11" t="n"/>
      <c r="CT159" s="12" t="n"/>
      <c r="CU159" s="11" t="n"/>
      <c r="CV159" s="11" t="n"/>
      <c r="CW159" s="11" t="n"/>
      <c r="CX159" s="11" t="n"/>
      <c r="CY159" s="12" t="n"/>
    </row>
    <row r="160" hidden="1" outlineLevel="1">
      <c r="C160" s="57" t="inlineStr">
        <is>
          <t>Recurring asset sales (enter as -)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>
        <f>SUM(I160:L160)</f>
        <v>0</v>
      </c>
      <c r="N160" s="12" t="n"/>
      <c r="O160" s="12" t="n"/>
      <c r="P160" s="12" t="n"/>
      <c r="Q160" s="12" t="n"/>
      <c r="R160" s="12">
        <f>SUM(N160:Q160)</f>
        <v>0</v>
      </c>
      <c r="S160" s="12" t="n"/>
      <c r="T160" s="12" t="n"/>
      <c r="U160" s="12" t="n"/>
      <c r="V160" s="12" t="n"/>
      <c r="W160" s="12">
        <f>SUM(S160:V160)</f>
        <v>0</v>
      </c>
      <c r="X160" s="12" t="n"/>
      <c r="Y160" s="12" t="n"/>
      <c r="Z160" s="12" t="n"/>
      <c r="AA160" s="12" t="n"/>
      <c r="AB160" s="12">
        <f>SUM(X160:AA160)</f>
        <v>0</v>
      </c>
      <c r="AC160" s="12" t="n"/>
      <c r="AD160" s="12" t="n"/>
      <c r="AE160" s="12" t="n"/>
      <c r="AF160" s="11" t="n"/>
      <c r="AG160" s="12">
        <f>SUM(AC160:AF160)</f>
        <v>0</v>
      </c>
      <c r="AH160" s="11" t="n"/>
      <c r="AI160" s="11" t="n"/>
      <c r="AJ160" s="11">
        <f>0</f>
        <v>0</v>
      </c>
      <c r="AK160" s="11">
        <f>0</f>
        <v>0</v>
      </c>
      <c r="AL160" s="12" t="n"/>
      <c r="AM160" s="11">
        <f>0</f>
        <v>0</v>
      </c>
      <c r="AN160" s="11">
        <f>0</f>
        <v>0</v>
      </c>
      <c r="AO160" s="11">
        <f>0</f>
        <v>0</v>
      </c>
      <c r="AP160" s="11">
        <f>0</f>
        <v>0</v>
      </c>
      <c r="AQ160" s="12" t="n"/>
      <c r="AR160" s="11">
        <f>0</f>
        <v>0</v>
      </c>
      <c r="AS160" s="11">
        <f>0</f>
        <v>0</v>
      </c>
      <c r="AT160" s="11">
        <f>0</f>
        <v>0</v>
      </c>
      <c r="AU160" s="11">
        <f>0</f>
        <v>0</v>
      </c>
      <c r="AV160" s="12" t="n"/>
      <c r="AW160" s="11">
        <f>0</f>
        <v>0</v>
      </c>
      <c r="AX160" s="11">
        <f>0</f>
        <v>0</v>
      </c>
      <c r="AY160" s="11">
        <f>0</f>
        <v>0</v>
      </c>
      <c r="AZ160" s="11">
        <f>0</f>
        <v>0</v>
      </c>
      <c r="BA160" s="12" t="n"/>
      <c r="BB160" s="11">
        <f>0</f>
        <v>0</v>
      </c>
      <c r="BC160" s="11">
        <f>0</f>
        <v>0</v>
      </c>
      <c r="BD160" s="11">
        <f>0</f>
        <v>0</v>
      </c>
      <c r="BE160" s="11">
        <f>0</f>
        <v>0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Depreciation</t>
        </is>
      </c>
      <c r="D161" s="12" t="n"/>
      <c r="E161" s="12" t="n"/>
      <c r="F161" s="12" t="n"/>
      <c r="G161" s="12" t="n"/>
      <c r="H161" s="12" t="n"/>
      <c r="I161" s="12">
        <f>I61</f>
        <v>-1972</v>
      </c>
      <c r="J161" s="12">
        <f>J61</f>
        <v>-1986</v>
      </c>
      <c r="K161" s="12">
        <f>K61</f>
        <v>-1995</v>
      </c>
      <c r="L161" s="12">
        <f>L61</f>
        <v>-2014</v>
      </c>
      <c r="M161" s="12" t="n"/>
      <c r="N161" s="12">
        <f>N61</f>
        <v>-2156</v>
      </c>
      <c r="O161" s="12">
        <f>O61</f>
        <v>-1979</v>
      </c>
      <c r="P161" s="12">
        <f>P61</f>
        <v>-2175</v>
      </c>
      <c r="Q161" s="12">
        <f>Q61</f>
        <v>-2376</v>
      </c>
      <c r="R161" s="12" t="n"/>
      <c r="S161" s="12">
        <f>S61</f>
        <v>-2524</v>
      </c>
      <c r="T161" s="12">
        <f>T61</f>
        <v>-2623</v>
      </c>
      <c r="U161" s="12">
        <f>U61</f>
        <v>-2859</v>
      </c>
      <c r="V161" s="12">
        <f>V61</f>
        <v>-3172</v>
      </c>
      <c r="W161" s="12" t="n"/>
      <c r="X161" s="12">
        <f>X61</f>
        <v>-3374</v>
      </c>
      <c r="Y161" s="12">
        <f>Y61</f>
        <v>-3637</v>
      </c>
      <c r="Z161" s="12">
        <f>Z61</f>
        <v>-4027</v>
      </c>
      <c r="AA161" s="12">
        <f>AA61</f>
        <v>-4460</v>
      </c>
      <c r="AB161" s="12" t="n"/>
      <c r="AC161" s="12">
        <f>AC61</f>
        <v>-3900</v>
      </c>
      <c r="AD161" s="12">
        <f>AD61</f>
        <v>-4342</v>
      </c>
      <c r="AE161" s="12">
        <f>AE61</f>
        <v>-4963</v>
      </c>
      <c r="AF161" s="12">
        <f>AF61</f>
        <v>-5411</v>
      </c>
      <c r="AG161" s="12" t="n"/>
      <c r="AH161" s="12">
        <f>AH61</f>
        <v>-5999</v>
      </c>
      <c r="AI161" s="12">
        <f>AI61</f>
        <v>-6356</v>
      </c>
      <c r="AJ161" s="12">
        <f>AJ61</f>
        <v>-6200.82999660499</v>
      </c>
      <c r="AK161" s="12">
        <f>AK61</f>
        <v>-7247.69351287348</v>
      </c>
      <c r="AL161" s="12" t="n"/>
      <c r="AM161" s="12">
        <f>AM61</f>
        <v>-6814.2332059409</v>
      </c>
      <c r="AN161" s="12">
        <f>AN61</f>
        <v>-7357.5712232852</v>
      </c>
      <c r="AO161" s="12">
        <f>AO61</f>
        <v>-7738.16574790608</v>
      </c>
      <c r="AP161" s="12">
        <f>AP61</f>
        <v>-9044.57205299049</v>
      </c>
      <c r="AQ161" s="12" t="n"/>
      <c r="AR161" s="12">
        <f>AR61</f>
        <v>-8469.57528473996</v>
      </c>
      <c r="AS161" s="12">
        <f>AS61</f>
        <v>-9144.90324958666</v>
      </c>
      <c r="AT161" s="12">
        <f>AT61</f>
        <v>-9617.95339063937</v>
      </c>
      <c r="AU161" s="12">
        <f>AU61</f>
        <v>-11241.717388579</v>
      </c>
      <c r="AV161" s="12" t="n"/>
      <c r="AW161" s="12">
        <f>AW61</f>
        <v>-10484.692119997</v>
      </c>
      <c r="AX161" s="12">
        <f>AX61</f>
        <v>-11320.6969435446</v>
      </c>
      <c r="AY161" s="12">
        <f>AY61</f>
        <v>-11906.2971560127</v>
      </c>
      <c r="AZ161" s="12">
        <f>AZ61</f>
        <v>-13916.3938871447</v>
      </c>
      <c r="BA161" s="12" t="n"/>
      <c r="BB161" s="12">
        <f>BB61</f>
        <v>-12926.8305344842</v>
      </c>
      <c r="BC161" s="12">
        <f>BC61</f>
        <v>-13957.561103997</v>
      </c>
      <c r="BD161" s="12">
        <f>BD61</f>
        <v>-14679.5617713409</v>
      </c>
      <c r="BE161" s="12">
        <f>BE61</f>
        <v>-17157.8586544421</v>
      </c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PP&amp;E</t>
        </is>
      </c>
      <c r="D162" s="12" t="n"/>
      <c r="E162" s="12" t="n"/>
      <c r="F162" s="12" t="n"/>
      <c r="G162" s="12" t="n"/>
      <c r="H162" s="12" t="n"/>
      <c r="I162" s="12">
        <f>I157</f>
        <v>47720</v>
      </c>
      <c r="J162" s="12">
        <f>J157</f>
        <v>50909</v>
      </c>
      <c r="K162" s="12">
        <f>K157</f>
        <v>53726</v>
      </c>
      <c r="L162" s="12">
        <f>L157</f>
        <v>57809</v>
      </c>
      <c r="M162" s="12" t="n"/>
      <c r="N162" s="12">
        <f>N157</f>
        <v>61582</v>
      </c>
      <c r="O162" s="12">
        <f>O157</f>
        <v>67588</v>
      </c>
      <c r="P162" s="12">
        <f>P157</f>
        <v>73738</v>
      </c>
      <c r="Q162" s="12">
        <f>Q157</f>
        <v>79518</v>
      </c>
      <c r="R162" s="12" t="n"/>
      <c r="S162" s="12">
        <f>S157</f>
        <v>84156</v>
      </c>
      <c r="T162" s="12">
        <f>T157</f>
        <v>87949</v>
      </c>
      <c r="U162" s="12">
        <f>U157</f>
        <v>91772</v>
      </c>
      <c r="V162" s="12">
        <f>V157</f>
        <v>96587</v>
      </c>
      <c r="W162" s="12" t="n"/>
      <c r="X162" s="12">
        <f>X157</f>
        <v>98908</v>
      </c>
      <c r="Y162" s="12">
        <f>Y157</f>
        <v>102959</v>
      </c>
      <c r="Z162" s="12">
        <f>Z157</f>
        <v>112162</v>
      </c>
      <c r="AA162" s="12">
        <f>Y162+SUM(AA159:AA161)</f>
        <v>112143</v>
      </c>
      <c r="AB162" s="12" t="n"/>
      <c r="AC162" s="12">
        <f>AC157</f>
        <v>133567</v>
      </c>
      <c r="AD162" s="12">
        <f>AD157</f>
        <v>147039</v>
      </c>
      <c r="AE162" s="12">
        <f>AE157</f>
        <v>160270</v>
      </c>
      <c r="AF162" s="12">
        <f>AF157</f>
        <v>176400</v>
      </c>
      <c r="AG162" s="12" t="n"/>
      <c r="AH162" s="12">
        <f>AH157</f>
        <v>194776</v>
      </c>
      <c r="AI162" s="12">
        <f>AI157</f>
        <v>225724</v>
      </c>
      <c r="AJ162" s="12">
        <f>AI162+SUM(AJ159:AJ161)</f>
        <v>246733.703704334</v>
      </c>
      <c r="AK162" s="12">
        <f>AJ162+SUM(AK159:AK161)</f>
        <v>271290.399070708</v>
      </c>
      <c r="AL162" s="12" t="n"/>
      <c r="AM162" s="12">
        <f>AK162+SUM(AM159:AM161)</f>
        <v>294378.440624409</v>
      </c>
      <c r="AN162" s="12">
        <f>AM162+SUM(AN159:AN161)</f>
        <v>319307.424561945</v>
      </c>
      <c r="AO162" s="12">
        <f>AN162+SUM(AO159:AO161)</f>
        <v>345525.942029373</v>
      </c>
      <c r="AP162" s="12">
        <f>AO162+SUM(AP159:AP161)</f>
        <v>376170.836191908</v>
      </c>
      <c r="AQ162" s="12" t="n"/>
      <c r="AR162" s="12">
        <f>AP162+SUM(AR159:AR161)</f>
        <v>404867.521527801</v>
      </c>
      <c r="AS162" s="12">
        <f>AR162+SUM(AS159:AS161)</f>
        <v>435852.358684087</v>
      </c>
      <c r="AT162" s="12">
        <f>AS162+SUM(AT159:AT161)</f>
        <v>468439.988257881</v>
      </c>
      <c r="AU162" s="12">
        <f>AT162+SUM(AU159:AU161)</f>
        <v>506529.268497981</v>
      </c>
      <c r="AV162" s="12" t="n"/>
      <c r="AW162" s="12">
        <f>AU162+SUM(AW159:AW161)</f>
        <v>542053.589434519</v>
      </c>
      <c r="AX162" s="12">
        <f>AW162+SUM(AX159:AX161)</f>
        <v>580410.468858831</v>
      </c>
      <c r="AY162" s="12">
        <f>AX162+SUM(AY159:AY161)</f>
        <v>620751.483787565</v>
      </c>
      <c r="AZ162" s="12">
        <f>AY162+SUM(AZ159:AZ161)</f>
        <v>667903.125158446</v>
      </c>
      <c r="BA162" s="12" t="n"/>
      <c r="BB162" s="12">
        <f>AZ162+SUM(BB159:BB161)</f>
        <v>711701.919757613</v>
      </c>
      <c r="BC162" s="12">
        <f>BB162+SUM(BC159:BC161)</f>
        <v>758993.044234606</v>
      </c>
      <c r="BD162" s="12">
        <f>BC162+SUM(BD159:BD161)</f>
        <v>808730.4573703</v>
      </c>
      <c r="BE162" s="12">
        <f>BD162+SUM(BE159:BE161)</f>
        <v>866864.856592347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>
        <f>IF(AJ15=0,"",AJ159/AJ15)</f>
        <v>0.425522750780471</v>
      </c>
      <c r="AK163" s="12">
        <f>IF(AK15=0,"",AK159/AK15)</f>
        <v>0.425522750780471</v>
      </c>
      <c r="AL163" s="12" t="n"/>
      <c r="AM163" s="12">
        <f>IF(AM15=0,"",AM159/AM15)</f>
        <v>0.425522750780471</v>
      </c>
      <c r="AN163" s="12">
        <f>IF(AN15=0,"",AN159/AN15)</f>
        <v>0.425522750780471</v>
      </c>
      <c r="AO163" s="12">
        <f>IF(AO15=0,"",AO159/AO15)</f>
        <v>0.425522750780471</v>
      </c>
      <c r="AP163" s="12">
        <f>IF(AP15=0,"",AP159/AP15)</f>
        <v>0.425522750780471</v>
      </c>
      <c r="AQ163" s="12" t="n"/>
      <c r="AR163" s="12">
        <f>IF(AR15=0,"",AR159/AR15)</f>
        <v>0.425522750780471</v>
      </c>
      <c r="AS163" s="12">
        <f>IF(AS15=0,"",AS159/AS15)</f>
        <v>0.425522750780471</v>
      </c>
      <c r="AT163" s="12">
        <f>IF(AT15=0,"",AT159/AT15)</f>
        <v>0.425522750780471</v>
      </c>
      <c r="AU163" s="12">
        <f>IF(AU15=0,"",AU159/AU15)</f>
        <v>0.425522750780471</v>
      </c>
      <c r="AV163" s="12" t="n"/>
      <c r="AW163" s="12">
        <f>IF(AW15=0,"",AW159/AW15)</f>
        <v>0.425522750780471</v>
      </c>
      <c r="AX163" s="12">
        <f>IF(AX15=0,"",AX159/AX15)</f>
        <v>0.425522750780471</v>
      </c>
      <c r="AY163" s="12">
        <f>IF(AY15=0,"",AY159/AY15)</f>
        <v>0.425522750780471</v>
      </c>
      <c r="AZ163" s="12">
        <f>IF(AZ15=0,"",AZ159/AZ15)</f>
        <v>0.425522750780471</v>
      </c>
      <c r="BA163" s="12" t="n"/>
      <c r="BB163" s="12">
        <f>IF(BB15=0,"",BB159/BB15)</f>
        <v>0.425522750780471</v>
      </c>
      <c r="BC163" s="12">
        <f>IF(BC15=0,"",BC159/BC15)</f>
        <v>0.425522750780471</v>
      </c>
      <c r="BD163" s="12">
        <f>IF(BD15=0,"",BD159/BD15)</f>
        <v>0.425522750780471</v>
      </c>
      <c r="BE163" s="12">
        <f>IF(BE15=0,"",BE159/BE15)</f>
        <v>0.425522750780471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inlineStr">
        <is>
          <t>Capital expenditures (% Net Revenues)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58">
        <f>IFERROR(AF159/AF15,"")</f>
        <v>0.359658056868081</v>
      </c>
      <c r="AG164" s="58">
        <f>IFERROR(AG159/AG15,"")</f>
        <v>0.366581245490508</v>
      </c>
      <c r="AH164" s="58">
        <f>IFERROR(AH159/AH15,"")</f>
        <v>0.432863916463924</v>
      </c>
      <c r="AI164" s="58">
        <f>IFERROR(AI159/AI15,"")</f>
        <v>0.613542540418743</v>
      </c>
      <c r="AJ164" s="58">
        <f>IFERROR(AJ159/AJ15,"")</f>
        <v>0.425522750780471</v>
      </c>
      <c r="AK164" s="58">
        <f>IFERROR(AK159/AK15,"")</f>
        <v>0.425522750780471</v>
      </c>
      <c r="AL164" s="58">
        <f>IFERROR(AL159/AL15,"")</f>
        <v>0</v>
      </c>
      <c r="AM164" s="58">
        <f>IFERROR(AM159/AM15,"")</f>
        <v>0.425522750780471</v>
      </c>
      <c r="AN164" s="58">
        <f>IFERROR(AN159/AN15,"")</f>
        <v>0.425522750780471</v>
      </c>
      <c r="AO164" s="58">
        <f>IFERROR(AO159/AO15,"")</f>
        <v>0.425522750780471</v>
      </c>
      <c r="AP164" s="58">
        <f>IFERROR(AP159/AP15,"")</f>
        <v>0.425522750780471</v>
      </c>
      <c r="AQ164" s="58">
        <f>IFERROR(AQ159/AQ15,"")</f>
        <v>0</v>
      </c>
      <c r="AR164" s="58">
        <f>IFERROR(AR159/AR15,"")</f>
        <v>0.425522750780471</v>
      </c>
      <c r="AS164" s="58">
        <f>IFERROR(AS159/AS15,"")</f>
        <v>0.425522750780471</v>
      </c>
      <c r="AT164" s="58">
        <f>IFERROR(AT159/AT15,"")</f>
        <v>0.425522750780471</v>
      </c>
      <c r="AU164" s="58">
        <f>IFERROR(AU159/AU15,"")</f>
        <v>0.425522750780471</v>
      </c>
      <c r="AV164" s="58">
        <f>IFERROR(AV159/AV15,"")</f>
        <v>0</v>
      </c>
      <c r="AW164" s="58">
        <f>IFERROR(AW159/AW15,"")</f>
        <v>0.425522750780471</v>
      </c>
      <c r="AX164" s="58">
        <f>IFERROR(AX159/AX15,"")</f>
        <v>0.425522750780471</v>
      </c>
      <c r="AY164" s="58">
        <f>IFERROR(AY159/AY15,"")</f>
        <v>0.425522750780471</v>
      </c>
      <c r="AZ164" s="58">
        <f>IFERROR(AZ159/AZ15,"")</f>
        <v>0.425522750780471</v>
      </c>
      <c r="BA164" s="58">
        <f>IFERROR(BA159/BA15,"")</f>
        <v>0</v>
      </c>
      <c r="BB164" s="58">
        <f>IFERROR(BB159/BB15,"")</f>
        <v>0.425522750780471</v>
      </c>
      <c r="BC164" s="58">
        <f>IFERROR(BC159/BC15,"")</f>
        <v>0.425522750780471</v>
      </c>
      <c r="BD164" s="58">
        <f>IFERROR(BD159/BD15,"")</f>
        <v>0.425522750780471</v>
      </c>
      <c r="BE164" s="58">
        <f>IFERROR(BE159/BE15,"")</f>
        <v>0.425522750780471</v>
      </c>
      <c r="BF164" s="58">
        <f>IFERROR(BF159/BF15,"")</f>
        <v>0</v>
      </c>
      <c r="BG164" s="58" t="n"/>
      <c r="BH164" s="58" t="n"/>
      <c r="BI164" s="58" t="n"/>
      <c r="BJ164" s="58" t="n"/>
      <c r="BK164" s="58" t="n"/>
      <c r="BL164" s="58" t="n"/>
      <c r="BM164" s="58" t="n"/>
      <c r="BN164" s="58" t="n"/>
      <c r="BO164" s="58" t="n"/>
      <c r="BP164" s="58" t="n"/>
      <c r="BQ164" s="58" t="n"/>
      <c r="BR164" s="58" t="n"/>
      <c r="BS164" s="58" t="n"/>
      <c r="BT164" s="58" t="n"/>
      <c r="BU164" s="58" t="n"/>
      <c r="BV164" s="58" t="n"/>
      <c r="BW164" s="58" t="n"/>
      <c r="BX164" s="58" t="n"/>
      <c r="BY164" s="58" t="n"/>
      <c r="BZ164" s="58" t="n"/>
      <c r="CA164" s="58" t="n"/>
      <c r="CB164" s="58" t="n"/>
      <c r="CC164" s="58" t="n"/>
      <c r="CD164" s="58" t="n"/>
      <c r="CE164" s="58" t="n"/>
      <c r="CF164" s="58" t="n"/>
      <c r="CG164" s="58" t="n"/>
      <c r="CH164" s="58" t="n"/>
      <c r="CI164" s="58" t="n"/>
      <c r="CJ164" s="58" t="n"/>
      <c r="CK164" s="58" t="n"/>
      <c r="CL164" s="58" t="n"/>
      <c r="CM164" s="58" t="n"/>
      <c r="CN164" s="58" t="n"/>
      <c r="CO164" s="58" t="n"/>
      <c r="CP164" s="58" t="n"/>
      <c r="CQ164" s="58" t="n"/>
      <c r="CR164" s="58" t="n"/>
      <c r="CS164" s="58" t="n"/>
      <c r="CT164" s="58" t="n"/>
      <c r="CU164" s="58" t="n"/>
      <c r="CV164" s="58" t="n"/>
      <c r="CW164" s="58" t="n"/>
      <c r="CX164" s="58" t="n"/>
      <c r="CY164" s="58" t="n"/>
    </row>
    <row r="165" hidden="1" outlineLevel="1">
      <c r="C165" s="57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collapsed="1">
      <c r="C167" s="14" t="inlineStr">
        <is>
          <t>Right-of-use-assets</t>
        </is>
      </c>
      <c r="D167" s="46" t="n"/>
      <c r="E167" s="46" t="n"/>
      <c r="F167" s="46" t="n"/>
      <c r="G167" s="46" t="n"/>
      <c r="H167" s="12" t="n"/>
      <c r="I167" s="46">
        <f>'Inputs (2)'!D23</f>
        <v>10202</v>
      </c>
      <c r="J167" s="46">
        <f>'Inputs (2)'!E23</f>
        <v>10525</v>
      </c>
      <c r="K167" s="46">
        <f>'Inputs (2)'!F23</f>
        <v>11063</v>
      </c>
      <c r="L167" s="46">
        <f>'Inputs (2)'!G23</f>
        <v>12155</v>
      </c>
      <c r="M167" s="12">
        <f>'Inputs (2)'!H23</f>
        <v>12155</v>
      </c>
      <c r="N167" s="46">
        <f>'Inputs (2)'!I23</f>
        <v>12241</v>
      </c>
      <c r="O167" s="46">
        <f>'Inputs (2)'!J23</f>
        <v>14130</v>
      </c>
      <c r="P167" s="46">
        <f>'Inputs (2)'!K23</f>
        <v>13641</v>
      </c>
      <c r="Q167" s="46">
        <f>'Inputs (2)'!L23</f>
        <v>12673</v>
      </c>
      <c r="R167" s="12">
        <f>'Inputs (2)'!M23</f>
        <v>12673</v>
      </c>
      <c r="S167" s="46">
        <f>'Inputs (2)'!N23</f>
        <v>12899</v>
      </c>
      <c r="T167" s="46">
        <f>'Inputs (2)'!O23</f>
        <v>12955</v>
      </c>
      <c r="U167" s="46">
        <f>'Inputs (2)'!P23</f>
        <v>13033</v>
      </c>
      <c r="V167" s="46">
        <f>'Inputs (2)'!Q23</f>
        <v>13294</v>
      </c>
      <c r="W167" s="12">
        <f>'Inputs (2)'!R23</f>
        <v>13294</v>
      </c>
      <c r="X167" s="46">
        <f>'Inputs (2)'!S23</f>
        <v>13555</v>
      </c>
      <c r="Y167" s="46">
        <f>'Inputs (2)'!T23</f>
        <v>14058</v>
      </c>
      <c r="Z167" s="46">
        <f>'Inputs (2)'!U23</f>
        <v>14812</v>
      </c>
      <c r="AA167" s="46">
        <f>'Inputs (2)'!V23</f>
        <v>14922</v>
      </c>
      <c r="AB167" s="12">
        <f>'Inputs (2)'!W23</f>
        <v>14922</v>
      </c>
      <c r="AC167" s="46">
        <f>'Inputs (2)'!X23</f>
        <v>15505</v>
      </c>
      <c r="AD167" s="46">
        <f>'Inputs (2)'!Y23</f>
        <v>15662</v>
      </c>
      <c r="AE167" s="46">
        <f>'Inputs (2)'!Z23</f>
        <v>17372</v>
      </c>
      <c r="AF167" s="46">
        <f>'Inputs (2)'!AA23</f>
        <v>20404</v>
      </c>
      <c r="AG167" s="12">
        <f>'Inputs (2)'!AB23</f>
        <v>20404</v>
      </c>
      <c r="AH167" s="12">
        <f>'Inputs (2)'!AC23</f>
        <v>23268</v>
      </c>
      <c r="AI167" s="12">
        <f>'Inputs (2)'!AD23</f>
        <v>23985</v>
      </c>
      <c r="AJ167" s="12">
        <f>AI167</f>
        <v>23985</v>
      </c>
      <c r="AK167" s="12">
        <f>AJ167</f>
        <v>23985</v>
      </c>
      <c r="AL167" s="12">
        <f>AK167</f>
        <v>23985</v>
      </c>
      <c r="AM167" s="12">
        <f>AL167</f>
        <v>23985</v>
      </c>
      <c r="AN167" s="12">
        <f>AM167</f>
        <v>23985</v>
      </c>
      <c r="AO167" s="12">
        <f>AN167</f>
        <v>23985</v>
      </c>
      <c r="AP167" s="12">
        <f>AO167</f>
        <v>23985</v>
      </c>
      <c r="AQ167" s="12">
        <f>AP167</f>
        <v>23985</v>
      </c>
      <c r="AR167" s="12">
        <f>AQ167</f>
        <v>23985</v>
      </c>
      <c r="AS167" s="12">
        <f>AR167</f>
        <v>23985</v>
      </c>
      <c r="AT167" s="12">
        <f>AS167</f>
        <v>23985</v>
      </c>
      <c r="AU167" s="12">
        <f>AT167</f>
        <v>23985</v>
      </c>
      <c r="AV167" s="12">
        <f>AU167</f>
        <v>23985</v>
      </c>
      <c r="AW167" s="12">
        <f>AV167</f>
        <v>23985</v>
      </c>
      <c r="AX167" s="12">
        <f>AW167</f>
        <v>23985</v>
      </c>
      <c r="AY167" s="12">
        <f>AX167</f>
        <v>23985</v>
      </c>
      <c r="AZ167" s="12">
        <f>AY167</f>
        <v>23985</v>
      </c>
      <c r="BA167" s="12">
        <f>AZ167</f>
        <v>23985</v>
      </c>
      <c r="BB167" s="12">
        <f>BA167</f>
        <v>23985</v>
      </c>
      <c r="BC167" s="12">
        <f>BB167</f>
        <v>23985</v>
      </c>
      <c r="BD167" s="12">
        <f>BC167</f>
        <v>23985</v>
      </c>
      <c r="BE167" s="12">
        <f>BD167</f>
        <v>23985</v>
      </c>
      <c r="BF167" s="12">
        <f>BE167</f>
        <v>23985</v>
      </c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9" t="inlineStr">
        <is>
          <t>%(Var.)</t>
        </is>
      </c>
      <c r="D168" s="12" t="n"/>
      <c r="E168" s="40" t="n"/>
      <c r="F168" s="40" t="n"/>
      <c r="G168" s="40" t="n"/>
      <c r="H168" s="12" t="n"/>
      <c r="I168" s="40" t="str">
        <f>""</f>
        <v/>
      </c>
      <c r="J168" s="40">
        <f>IFERROR(IF(I167=0,"",J167/I167-1),"")</f>
        <v>0.0316604587335816</v>
      </c>
      <c r="K168" s="40">
        <f>IFERROR(IF(J167=0,"",K167/J167-1),"")</f>
        <v>0.0511163895486937</v>
      </c>
      <c r="L168" s="40">
        <f>IFERROR(IF(K167=0,"",L167/K167-1),"")</f>
        <v>0.0987074030552291</v>
      </c>
      <c r="M168" s="12">
        <f>IFERROR(IF(L167=0,"",M167/L167-1),"")</f>
        <v>0</v>
      </c>
      <c r="N168" s="40">
        <f>IFERROR(IF(M167=0,"",N167/M167-1),"")</f>
        <v>0.00707527766351301</v>
      </c>
      <c r="O168" s="40">
        <f>IFERROR(IF(N167=0,"",O167/N167-1),"")</f>
        <v>0.154317457724042</v>
      </c>
      <c r="P168" s="40">
        <f>IFERROR(IF(O167=0,"",P167/O167-1),"")</f>
        <v>-0.0346072186836518</v>
      </c>
      <c r="Q168" s="40">
        <f>IFERROR(IF(P167=0,"",Q167/P167-1),"")</f>
        <v>-0.0709625394032696</v>
      </c>
      <c r="R168" s="12">
        <f>IFERROR(IF(Q167=0,"",R167/Q167-1),"")</f>
        <v>0</v>
      </c>
      <c r="S168" s="40">
        <f>IFERROR(IF(R167=0,"",S167/R167-1),"")</f>
        <v>0.0178331886688234</v>
      </c>
      <c r="T168" s="40">
        <f>IFERROR(IF(S167=0,"",T167/S167-1),"")</f>
        <v>0.00434142181564456</v>
      </c>
      <c r="U168" s="40">
        <f>IFERROR(IF(T167=0,"",U167/T167-1),"")</f>
        <v>0.00602084137398684</v>
      </c>
      <c r="V168" s="40">
        <f>IFERROR(IF(U167=0,"",V167/U167-1),"")</f>
        <v>0.0200260876237244</v>
      </c>
      <c r="W168" s="12">
        <f>IFERROR(IF(V167=0,"",W167/V167-1),"")</f>
        <v>0</v>
      </c>
      <c r="X168" s="40">
        <f>IFERROR(IF(W167=0,"",X167/W167-1),"")</f>
        <v>0.019632917105461</v>
      </c>
      <c r="Y168" s="40">
        <f>IFERROR(IF(X167=0,"",Y167/X167-1),"")</f>
        <v>0.0371080781999262</v>
      </c>
      <c r="Z168" s="40">
        <f>IFERROR(IF(Y167=0,"",Z167/Y167-1),"")</f>
        <v>0.0536349409588846</v>
      </c>
      <c r="AA168" s="40">
        <f>IFERROR(IF(Z167=0,"",AA167/Z167-1),"")</f>
        <v>0.00742641101809349</v>
      </c>
      <c r="AB168" s="12">
        <f>IFERROR(IF(AA167=0,"",AB167/AA167-1),"")</f>
        <v>0</v>
      </c>
      <c r="AC168" s="40">
        <f>IFERROR(IF(AB167=0,"",AC167/AB167-1),"")</f>
        <v>0.0390698297815306</v>
      </c>
      <c r="AD168" s="40">
        <f>IFERROR(IF(AC167=0,"",AD167/AC167-1),"")</f>
        <v>0.0101257658819736</v>
      </c>
      <c r="AE168" s="40">
        <f>IFERROR(IF(AD167=0,"",AE167/AD167-1),"")</f>
        <v>0.10918145830673</v>
      </c>
      <c r="AF168" s="55">
        <f>IFERROR(IF(AE167=0,"",AF167/AE167-1),"")</f>
        <v>0.174533732443012</v>
      </c>
      <c r="AG168" s="12">
        <f>IFERROR(IF(AF167=0,"",AG167/AF167-1),"")</f>
        <v>0</v>
      </c>
      <c r="AH168" s="55">
        <f>IFERROR(IF(AG167=0,"",AH167/AG167-1),"")</f>
        <v>0.140364634385415</v>
      </c>
      <c r="AI168" s="55">
        <f>IFERROR(IF(AH167=0,"",AI167/AH167-1),"")</f>
        <v>0.0308148530170191</v>
      </c>
      <c r="AJ168" s="55">
        <f>IFERROR(IF(AI167=0,"",AJ167/AI167-1),"")</f>
        <v>0</v>
      </c>
      <c r="AK168" s="55">
        <f>IFERROR(IF(AJ167=0,"",AK167/AJ167-1),"")</f>
        <v>0</v>
      </c>
      <c r="AL168" s="12">
        <f>IFERROR(IF(AK167=0,"",AL167/AK167-1),"")</f>
        <v>0</v>
      </c>
      <c r="AM168" s="55">
        <f>IFERROR(IF(AL167=0,"",AM167/AL167-1),"")</f>
        <v>0</v>
      </c>
      <c r="AN168" s="55">
        <f>IFERROR(IF(AM167=0,"",AN167/AM167-1),"")</f>
        <v>0</v>
      </c>
      <c r="AO168" s="55">
        <f>IFERROR(IF(AN167=0,"",AO167/AN167-1),"")</f>
        <v>0</v>
      </c>
      <c r="AP168" s="55">
        <f>IFERROR(IF(AO167=0,"",AP167/AO167-1),"")</f>
        <v>0</v>
      </c>
      <c r="AQ168" s="12">
        <f>IFERROR(IF(AP167=0,"",AQ167/AP167-1),"")</f>
        <v>0</v>
      </c>
      <c r="AR168" s="55">
        <f>IFERROR(IF(AQ167=0,"",AR167/AQ167-1),"")</f>
        <v>0</v>
      </c>
      <c r="AS168" s="55">
        <f>IFERROR(IF(AR167=0,"",AS167/AR167-1),"")</f>
        <v>0</v>
      </c>
      <c r="AT168" s="55">
        <f>IFERROR(IF(AS167=0,"",AT167/AS167-1),"")</f>
        <v>0</v>
      </c>
      <c r="AU168" s="55">
        <f>IFERROR(IF(AT167=0,"",AU167/AT167-1),"")</f>
        <v>0</v>
      </c>
      <c r="AV168" s="12">
        <f>IFERROR(IF(AU167=0,"",AV167/AU167-1),"")</f>
        <v>0</v>
      </c>
      <c r="AW168" s="55">
        <f>IFERROR(IF(AV167=0,"",AW167/AV167-1),"")</f>
        <v>0</v>
      </c>
      <c r="AX168" s="55">
        <f>IFERROR(IF(AW167=0,"",AX167/AW167-1),"")</f>
        <v>0</v>
      </c>
      <c r="AY168" s="55">
        <f>IFERROR(IF(AX167=0,"",AY167/AX167-1),"")</f>
        <v>0</v>
      </c>
      <c r="AZ168" s="55">
        <f>IFERROR(IF(AY167=0,"",AZ167/AY167-1),"")</f>
        <v>0</v>
      </c>
      <c r="BA168" s="12">
        <f>IFERROR(IF(AZ167=0,"",BA167/AZ167-1),"")</f>
        <v>0</v>
      </c>
      <c r="BB168" s="55">
        <f>IFERROR(IF(BA167=0,"",BB167/BA167-1),"")</f>
        <v>0</v>
      </c>
      <c r="BC168" s="55">
        <f>IFERROR(IF(BB167=0,"",BC167/BB167-1),"")</f>
        <v>0</v>
      </c>
      <c r="BD168" s="55">
        <f>IFERROR(IF(BC167=0,"",BD167/BC167-1),"")</f>
        <v>0</v>
      </c>
      <c r="BE168" s="55">
        <f>IFERROR(IF(BD167=0,"",BE167/BD167-1),"")</f>
        <v>0</v>
      </c>
      <c r="BF168" s="12">
        <f>IFERROR(IF(BE167=0,"",BF167/BE167-1),"")</f>
        <v>0</v>
      </c>
      <c r="BG168" s="55" t="n"/>
      <c r="BH168" s="55" t="n"/>
      <c r="BI168" s="55" t="n"/>
      <c r="BJ168" s="55" t="n"/>
      <c r="BK168" s="12" t="n"/>
      <c r="BL168" s="55" t="n"/>
      <c r="BM168" s="55" t="n"/>
      <c r="BN168" s="55" t="n"/>
      <c r="BO168" s="55" t="n"/>
      <c r="BP168" s="12" t="n"/>
      <c r="BQ168" s="55" t="n"/>
      <c r="BR168" s="55" t="n"/>
      <c r="BS168" s="55" t="n"/>
      <c r="BT168" s="55" t="n"/>
      <c r="BU168" s="12" t="n"/>
      <c r="BV168" s="55" t="n"/>
      <c r="BW168" s="55" t="n"/>
      <c r="BX168" s="55" t="n"/>
      <c r="BY168" s="55" t="n"/>
      <c r="BZ168" s="12" t="n"/>
      <c r="CA168" s="55" t="n"/>
      <c r="CB168" s="55" t="n"/>
      <c r="CC168" s="55" t="n"/>
      <c r="CD168" s="55" t="n"/>
      <c r="CE168" s="12" t="n"/>
      <c r="CF168" s="55" t="n"/>
      <c r="CG168" s="55" t="n"/>
      <c r="CH168" s="55" t="n"/>
      <c r="CI168" s="55" t="n"/>
      <c r="CJ168" s="12" t="n"/>
      <c r="CK168" s="55" t="n"/>
      <c r="CL168" s="55" t="n"/>
      <c r="CM168" s="55" t="n"/>
      <c r="CN168" s="55" t="n"/>
      <c r="CO168" s="12" t="n"/>
      <c r="CP168" s="55" t="n"/>
      <c r="CQ168" s="55" t="n"/>
      <c r="CR168" s="55" t="n"/>
      <c r="CS168" s="55" t="n"/>
      <c r="CT168" s="12" t="n"/>
      <c r="CU168" s="55" t="n"/>
      <c r="CV168" s="55" t="n"/>
      <c r="CW168" s="55" t="n"/>
      <c r="CX168" s="55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collapsed="1">
      <c r="C170" s="14" t="inlineStr">
        <is>
          <t>Goodwill</t>
        </is>
      </c>
      <c r="D170" s="46" t="n"/>
      <c r="E170" s="46" t="n"/>
      <c r="F170" s="46" t="n"/>
      <c r="G170" s="46" t="n"/>
      <c r="H170" s="12" t="n"/>
      <c r="I170" s="46">
        <f>'Inputs (2)'!D24</f>
        <v>19056</v>
      </c>
      <c r="J170" s="46">
        <f>'Inputs (2)'!E24</f>
        <v>19219</v>
      </c>
      <c r="K170" s="46">
        <f>'Inputs (2)'!F24</f>
        <v>19065</v>
      </c>
      <c r="L170" s="46">
        <f>'Inputs (2)'!G24</f>
        <v>19197</v>
      </c>
      <c r="M170" s="12">
        <f>'Inputs (2)'!H24</f>
        <v>19197</v>
      </c>
      <c r="N170" s="46">
        <f>'Inputs (2)'!I24</f>
        <v>19923</v>
      </c>
      <c r="O170" s="46">
        <f>'Inputs (2)'!J24</f>
        <v>20229</v>
      </c>
      <c r="P170" s="46">
        <f>'Inputs (2)'!K24</f>
        <v>20268</v>
      </c>
      <c r="Q170" s="46">
        <f>'Inputs (2)'!L24</f>
        <v>20306</v>
      </c>
      <c r="R170" s="12">
        <f>'Inputs (2)'!M24</f>
        <v>20306</v>
      </c>
      <c r="S170" s="46">
        <f>'Inputs (2)'!N24</f>
        <v>20649</v>
      </c>
      <c r="T170" s="46">
        <f>'Inputs (2)'!O24</f>
        <v>20659</v>
      </c>
      <c r="U170" s="46">
        <f>'Inputs (2)'!P24</f>
        <v>20668</v>
      </c>
      <c r="V170" s="46">
        <f>'Inputs (2)'!Q24</f>
        <v>20654</v>
      </c>
      <c r="W170" s="12">
        <f>'Inputs (2)'!R24</f>
        <v>20654</v>
      </c>
      <c r="X170" s="46">
        <f>'Inputs (2)'!S24</f>
        <v>20654</v>
      </c>
      <c r="Y170" s="46">
        <f>'Inputs (2)'!T24</f>
        <v>20654</v>
      </c>
      <c r="Z170" s="46">
        <f>'Inputs (2)'!U24</f>
        <v>20654</v>
      </c>
      <c r="AA170" s="46">
        <f>'Inputs (2)'!V24</f>
        <v>20654</v>
      </c>
      <c r="AB170" s="12">
        <f>'Inputs (2)'!W24</f>
        <v>20654</v>
      </c>
      <c r="AC170" s="46">
        <f>'Inputs (2)'!X24</f>
        <v>20654</v>
      </c>
      <c r="AD170" s="46">
        <f>'Inputs (2)'!Y24</f>
        <v>20654</v>
      </c>
      <c r="AE170" s="46">
        <f>'Inputs (2)'!Z24</f>
        <v>21158</v>
      </c>
      <c r="AF170" s="46">
        <f>'Inputs (2)'!AA24</f>
        <v>24534</v>
      </c>
      <c r="AG170" s="12">
        <f>'Inputs (2)'!AB24</f>
        <v>24534</v>
      </c>
      <c r="AH170" s="12">
        <f>'Inputs (2)'!AC24</f>
        <v>24748</v>
      </c>
      <c r="AI170" s="12">
        <f>'Inputs (2)'!AD24</f>
        <v>23406</v>
      </c>
      <c r="AJ170" s="12">
        <f>AI170</f>
        <v>23406</v>
      </c>
      <c r="AK170" s="12">
        <f>AJ170</f>
        <v>23406</v>
      </c>
      <c r="AL170" s="12">
        <f>AK170</f>
        <v>23406</v>
      </c>
      <c r="AM170" s="12">
        <f>AL170</f>
        <v>23406</v>
      </c>
      <c r="AN170" s="12">
        <f>AM170</f>
        <v>23406</v>
      </c>
      <c r="AO170" s="12">
        <f>AN170</f>
        <v>23406</v>
      </c>
      <c r="AP170" s="12">
        <f>AO170</f>
        <v>23406</v>
      </c>
      <c r="AQ170" s="12">
        <f>AP170</f>
        <v>23406</v>
      </c>
      <c r="AR170" s="12">
        <f>AQ170</f>
        <v>23406</v>
      </c>
      <c r="AS170" s="12">
        <f>AR170</f>
        <v>23406</v>
      </c>
      <c r="AT170" s="12">
        <f>AS170</f>
        <v>23406</v>
      </c>
      <c r="AU170" s="12">
        <f>AT170</f>
        <v>23406</v>
      </c>
      <c r="AV170" s="12">
        <f>AU170</f>
        <v>23406</v>
      </c>
      <c r="AW170" s="12">
        <f>AV170</f>
        <v>23406</v>
      </c>
      <c r="AX170" s="12">
        <f>AW170</f>
        <v>23406</v>
      </c>
      <c r="AY170" s="12">
        <f>AX170</f>
        <v>23406</v>
      </c>
      <c r="AZ170" s="12">
        <f>AY170</f>
        <v>23406</v>
      </c>
      <c r="BA170" s="12">
        <f>AZ170</f>
        <v>23406</v>
      </c>
      <c r="BB170" s="12">
        <f>BA170</f>
        <v>23406</v>
      </c>
      <c r="BC170" s="12">
        <f>BB170</f>
        <v>23406</v>
      </c>
      <c r="BD170" s="12">
        <f>BC170</f>
        <v>23406</v>
      </c>
      <c r="BE170" s="12">
        <f>BD170</f>
        <v>23406</v>
      </c>
      <c r="BF170" s="12">
        <f>BE170</f>
        <v>23406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>
      <c r="C171" s="14" t="inlineStr">
        <is>
          <t>Intangibles</t>
        </is>
      </c>
      <c r="D171" s="46" t="n"/>
      <c r="E171" s="46" t="n"/>
      <c r="F171" s="46" t="n"/>
      <c r="G171" s="46" t="n"/>
      <c r="H171" s="12" t="n"/>
      <c r="I171" s="46">
        <f>'Inputs (2)'!D25</f>
        <v>505</v>
      </c>
      <c r="J171" s="46">
        <f>'Inputs (2)'!E25</f>
        <v>514</v>
      </c>
      <c r="K171" s="46">
        <f>'Inputs (2)'!F25</f>
        <v>365</v>
      </c>
      <c r="L171" s="46">
        <f>'Inputs (2)'!G25</f>
        <v>634</v>
      </c>
      <c r="M171" s="12">
        <f>'Inputs (2)'!H25</f>
        <v>634</v>
      </c>
      <c r="N171" s="46">
        <f>'Inputs (2)'!I25</f>
        <v>910</v>
      </c>
      <c r="O171" s="46">
        <f>'Inputs (2)'!J25</f>
        <v>965</v>
      </c>
      <c r="P171" s="46">
        <f>'Inputs (2)'!K25</f>
        <v>875</v>
      </c>
      <c r="Q171" s="46">
        <f>'Inputs (2)'!L25</f>
        <v>897</v>
      </c>
      <c r="R171" s="12">
        <f>'Inputs (2)'!M25</f>
        <v>897</v>
      </c>
      <c r="S171" s="46">
        <f>'Inputs (2)'!N25</f>
        <v>949</v>
      </c>
      <c r="T171" s="46">
        <f>'Inputs (2)'!O25</f>
        <v>856</v>
      </c>
      <c r="U171" s="46">
        <f>'Inputs (2)'!P25</f>
        <v>813</v>
      </c>
      <c r="V171" s="46">
        <f>'Inputs (2)'!Q25</f>
        <v>788</v>
      </c>
      <c r="W171" s="12">
        <f>'Inputs (2)'!R25</f>
        <v>788</v>
      </c>
      <c r="X171" s="46">
        <f>'Inputs (2)'!S25</f>
        <v>0</v>
      </c>
      <c r="Y171" s="46">
        <f>'Inputs (2)'!T25</f>
        <v>0</v>
      </c>
      <c r="Z171" s="46">
        <f>'Inputs (2)'!U25</f>
        <v>0</v>
      </c>
      <c r="AA171" s="46">
        <f>'Inputs (2)'!V25</f>
        <v>0</v>
      </c>
      <c r="AB171" s="12">
        <f>'Inputs (2)'!W25</f>
        <v>0</v>
      </c>
      <c r="AC171" s="46">
        <f>'Inputs (2)'!X25</f>
        <v>0</v>
      </c>
      <c r="AD171" s="46">
        <f>'Inputs (2)'!Y25</f>
        <v>0</v>
      </c>
      <c r="AE171" s="46">
        <f>'Inputs (2)'!Z25</f>
        <v>0</v>
      </c>
      <c r="AF171" s="46">
        <f>'Inputs (2)'!AA25</f>
        <v>0</v>
      </c>
      <c r="AG171" s="12">
        <f>'Inputs (2)'!AB25</f>
        <v>0</v>
      </c>
      <c r="AH171" s="12">
        <f>'Inputs (2)'!AC25</f>
        <v>0</v>
      </c>
      <c r="AI171" s="12">
        <f>'Inputs (2)'!AD25</f>
        <v>0</v>
      </c>
      <c r="AJ171" s="12">
        <f>AI171</f>
        <v>0</v>
      </c>
      <c r="AK171" s="12">
        <f>AJ171</f>
        <v>0</v>
      </c>
      <c r="AL171" s="12">
        <f>AK171</f>
        <v>0</v>
      </c>
      <c r="AM171" s="16">
        <f>AL171</f>
        <v>0</v>
      </c>
      <c r="AN171" s="12">
        <f>AM171</f>
        <v>0</v>
      </c>
      <c r="AO171" s="12">
        <f>AN171</f>
        <v>0</v>
      </c>
      <c r="AP171" s="12">
        <f>AO171</f>
        <v>0</v>
      </c>
      <c r="AQ171" s="12">
        <f>AP171</f>
        <v>0</v>
      </c>
      <c r="AR171" s="16">
        <f>AQ171</f>
        <v>0</v>
      </c>
      <c r="AS171" s="12">
        <f>AR171</f>
        <v>0</v>
      </c>
      <c r="AT171" s="12">
        <f>AS171</f>
        <v>0</v>
      </c>
      <c r="AU171" s="12">
        <f>AT171</f>
        <v>0</v>
      </c>
      <c r="AV171" s="12">
        <f>AU171</f>
        <v>0</v>
      </c>
      <c r="AW171" s="16">
        <f>AV171</f>
        <v>0</v>
      </c>
      <c r="AX171" s="12">
        <f>AW171</f>
        <v>0</v>
      </c>
      <c r="AY171" s="12">
        <f>AX171</f>
        <v>0</v>
      </c>
      <c r="AZ171" s="12">
        <f>AY171</f>
        <v>0</v>
      </c>
      <c r="BA171" s="12">
        <f>AZ171</f>
        <v>0</v>
      </c>
      <c r="BB171" s="16">
        <f>BA171</f>
        <v>0</v>
      </c>
      <c r="BC171" s="12">
        <f>BB171</f>
        <v>0</v>
      </c>
      <c r="BD171" s="12">
        <f>BC171</f>
        <v>0</v>
      </c>
      <c r="BE171" s="12">
        <f>BD171</f>
        <v>0</v>
      </c>
      <c r="BF171" s="12">
        <f>BE171</f>
        <v>0</v>
      </c>
      <c r="BH171" s="12" t="n"/>
      <c r="BI171" s="12" t="n"/>
      <c r="BJ171" s="12" t="n"/>
      <c r="BK171" s="12" t="n"/>
      <c r="BM171" s="12" t="n"/>
      <c r="BN171" s="12" t="n"/>
      <c r="BO171" s="12" t="n"/>
      <c r="BP171" s="12" t="n"/>
      <c r="BR171" s="12" t="n"/>
      <c r="BS171" s="12" t="n"/>
      <c r="BT171" s="12" t="n"/>
      <c r="BU171" s="12" t="n"/>
      <c r="BW171" s="12" t="n"/>
      <c r="BX171" s="12" t="n"/>
      <c r="BY171" s="12" t="n"/>
      <c r="BZ171" s="12" t="n"/>
      <c r="CB171" s="12" t="n"/>
      <c r="CC171" s="12" t="n"/>
      <c r="CD171" s="12" t="n"/>
      <c r="CE171" s="12" t="n"/>
      <c r="CG171" s="12" t="n"/>
      <c r="CH171" s="12" t="n"/>
      <c r="CI171" s="12" t="n"/>
      <c r="CJ171" s="12" t="n"/>
      <c r="CL171" s="12" t="n"/>
      <c r="CM171" s="12" t="n"/>
      <c r="CN171" s="12" t="n"/>
      <c r="CO171" s="12" t="n"/>
      <c r="CQ171" s="12" t="n"/>
      <c r="CR171" s="12" t="n"/>
      <c r="CS171" s="12" t="n"/>
      <c r="CT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Purchase of intangible assets</t>
        </is>
      </c>
      <c r="D173" s="12" t="n"/>
      <c r="E173" s="12" t="n"/>
      <c r="F173" s="12" t="n"/>
      <c r="G173" s="12" t="n"/>
      <c r="H173" s="12" t="n"/>
      <c r="I173" s="12" t="str">
        <f>IF(COUNT(H171)=0,"",I171-H171-I75)</f>
        <v/>
      </c>
      <c r="J173" s="12">
        <f>J171-I171-J75</f>
        <v>9</v>
      </c>
      <c r="K173" s="12">
        <f>K171-J171-K75</f>
        <v>-149</v>
      </c>
      <c r="L173" s="12">
        <f>L171-K171-L75</f>
        <v>269</v>
      </c>
      <c r="M173" s="12" t="n"/>
      <c r="N173" s="12">
        <f>N171-M171-N75</f>
        <v>276</v>
      </c>
      <c r="O173" s="12">
        <f>O171-N171-O75</f>
        <v>55</v>
      </c>
      <c r="P173" s="12">
        <f>P171-O171-P75</f>
        <v>-90</v>
      </c>
      <c r="Q173" s="12">
        <f>Q171-P171-Q75</f>
        <v>22</v>
      </c>
      <c r="R173" s="12" t="n"/>
      <c r="S173" s="12">
        <f>S171-R171-S75</f>
        <v>52</v>
      </c>
      <c r="T173" s="12">
        <f>T171-S171-T75</f>
        <v>-93</v>
      </c>
      <c r="U173" s="12">
        <f>U171-T171-U75</f>
        <v>-43</v>
      </c>
      <c r="V173" s="12">
        <f>V171-U171-V75</f>
        <v>-25</v>
      </c>
      <c r="W173" s="12" t="n"/>
      <c r="X173" s="12">
        <f>X171-W171-X75</f>
        <v>-788</v>
      </c>
      <c r="Y173" s="12">
        <f>Y171-X171-Y75</f>
        <v>0</v>
      </c>
      <c r="Z173" s="12">
        <f>Z171-Y171-Z75</f>
        <v>0</v>
      </c>
      <c r="AA173" s="12">
        <f>AA171-Z171-AA75</f>
        <v>0</v>
      </c>
      <c r="AB173" s="12" t="n"/>
      <c r="AC173" s="12">
        <f>AC171-AB171-AC75</f>
        <v>0</v>
      </c>
      <c r="AD173" s="12">
        <f>AD171-AC171-AD75</f>
        <v>0</v>
      </c>
      <c r="AE173" s="12">
        <f>AE171-AD171-AE75</f>
        <v>0</v>
      </c>
      <c r="AF173" s="12">
        <f>AF171-AE171-AF75</f>
        <v>0</v>
      </c>
      <c r="AG173" s="12" t="n"/>
      <c r="AH173" s="11">
        <f>AH171-AG171-AH75</f>
        <v>0</v>
      </c>
      <c r="AI173" s="11">
        <f>AI171-AH171-AI75</f>
        <v>0</v>
      </c>
      <c r="AJ173" s="11" t="n"/>
      <c r="AK173" s="11" t="n"/>
      <c r="AL173" s="12" t="n"/>
      <c r="AM173" s="11" t="n"/>
      <c r="AN173" s="11" t="n"/>
      <c r="AO173" s="11" t="n"/>
      <c r="AP173" s="11" t="n"/>
      <c r="AQ173" s="12" t="n"/>
      <c r="AR173" s="11" t="n"/>
      <c r="AS173" s="11" t="n"/>
      <c r="AT173" s="11" t="n"/>
      <c r="AU173" s="11" t="n"/>
      <c r="AV173" s="12" t="n"/>
      <c r="AW173" s="11" t="n"/>
      <c r="AX173" s="11" t="n"/>
      <c r="AY173" s="11" t="n"/>
      <c r="AZ173" s="11" t="n"/>
      <c r="BA173" s="12" t="n"/>
      <c r="BB173" s="11" t="n"/>
      <c r="BC173" s="11" t="n"/>
      <c r="BD173" s="11" t="n"/>
      <c r="BE173" s="11" t="n"/>
      <c r="BF173" s="12" t="n"/>
      <c r="BG173" s="11" t="n"/>
      <c r="BH173" s="11" t="n"/>
      <c r="BI173" s="11" t="n"/>
      <c r="BJ173" s="11" t="n"/>
      <c r="BK173" s="12" t="n"/>
      <c r="BL173" s="11" t="n"/>
      <c r="BM173" s="11" t="n"/>
      <c r="BN173" s="11" t="n"/>
      <c r="BO173" s="11" t="n"/>
      <c r="BP173" s="12" t="n"/>
      <c r="BQ173" s="11" t="n"/>
      <c r="BR173" s="11" t="n"/>
      <c r="BS173" s="11" t="n"/>
      <c r="BT173" s="11" t="n"/>
      <c r="BU173" s="12" t="n"/>
      <c r="BV173" s="11" t="n"/>
      <c r="BW173" s="11" t="n"/>
      <c r="BX173" s="11" t="n"/>
      <c r="BY173" s="11" t="n"/>
      <c r="BZ173" s="12" t="n"/>
      <c r="CA173" s="11" t="n"/>
      <c r="CB173" s="11" t="n"/>
      <c r="CC173" s="11" t="n"/>
      <c r="CD173" s="11" t="n"/>
      <c r="CE173" s="12" t="n"/>
      <c r="CF173" s="11" t="n"/>
      <c r="CG173" s="11" t="n"/>
      <c r="CH173" s="11" t="n"/>
      <c r="CI173" s="11" t="n"/>
      <c r="CJ173" s="12" t="n"/>
      <c r="CK173" s="11" t="n"/>
      <c r="CL173" s="11" t="n"/>
      <c r="CM173" s="11" t="n"/>
      <c r="CN173" s="11" t="n"/>
      <c r="CO173" s="12" t="n"/>
      <c r="CP173" s="11" t="n"/>
      <c r="CQ173" s="11" t="n"/>
      <c r="CR173" s="11" t="n"/>
      <c r="CS173" s="11" t="n"/>
      <c r="CT173" s="12" t="n"/>
      <c r="CU173" s="11" t="n"/>
      <c r="CV173" s="11" t="n"/>
      <c r="CW173" s="11" t="n"/>
      <c r="CX173" s="11" t="n"/>
      <c r="CY173" s="12" t="n"/>
    </row>
    <row r="174" hidden="1" outlineLevel="1">
      <c r="C174" s="57" t="inlineStr">
        <is>
          <t>Amortization (enter as -)</t>
        </is>
      </c>
      <c r="D174" s="12" t="n"/>
      <c r="E174" s="12" t="n"/>
      <c r="F174" s="12" t="n"/>
      <c r="G174" s="12" t="n"/>
      <c r="H174" s="12" t="n"/>
      <c r="I174" s="12">
        <f>I74</f>
        <v>0</v>
      </c>
      <c r="J174" s="12">
        <f>J74</f>
        <v>0</v>
      </c>
      <c r="K174" s="12">
        <f>K74</f>
        <v>0</v>
      </c>
      <c r="L174" s="12">
        <f>L74</f>
        <v>0</v>
      </c>
      <c r="M174" s="12" t="n"/>
      <c r="N174" s="12">
        <f>N74</f>
        <v>0</v>
      </c>
      <c r="O174" s="12">
        <f>O74</f>
        <v>0</v>
      </c>
      <c r="P174" s="12">
        <f>P74</f>
        <v>0</v>
      </c>
      <c r="Q174" s="12">
        <f>Q74</f>
        <v>0</v>
      </c>
      <c r="R174" s="12" t="n"/>
      <c r="S174" s="12">
        <f>S74</f>
        <v>0</v>
      </c>
      <c r="T174" s="12">
        <f>T74</f>
        <v>0</v>
      </c>
      <c r="U174" s="12">
        <f>U74</f>
        <v>0</v>
      </c>
      <c r="V174" s="12">
        <f>V74</f>
        <v>0</v>
      </c>
      <c r="W174" s="12" t="n"/>
      <c r="X174" s="12">
        <f>X74</f>
        <v>0</v>
      </c>
      <c r="Y174" s="12">
        <f>Y74</f>
        <v>0</v>
      </c>
      <c r="Z174" s="12">
        <f>Z74</f>
        <v>0</v>
      </c>
      <c r="AA174" s="12">
        <f>AA74</f>
        <v>0</v>
      </c>
      <c r="AB174" s="12" t="n"/>
      <c r="AC174" s="12">
        <f>AC74</f>
        <v>0</v>
      </c>
      <c r="AD174" s="12">
        <f>AD74</f>
        <v>0</v>
      </c>
      <c r="AE174" s="12">
        <f>AE74</f>
        <v>0</v>
      </c>
      <c r="AF174" s="12">
        <f>AF74</f>
        <v>0</v>
      </c>
      <c r="AG174" s="12" t="n"/>
      <c r="AH174" s="12">
        <f>AH74</f>
        <v>0</v>
      </c>
      <c r="AI174" s="11">
        <f>AI74</f>
        <v>0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Intangibles</t>
        </is>
      </c>
      <c r="D175" s="12" t="n"/>
      <c r="E175" s="12" t="n"/>
      <c r="F175" s="12" t="n"/>
      <c r="G175" s="12" t="n"/>
      <c r="H175" s="12" t="n"/>
      <c r="I175" s="12">
        <f>I171</f>
        <v>505</v>
      </c>
      <c r="J175" s="12">
        <f>J171</f>
        <v>514</v>
      </c>
      <c r="K175" s="12">
        <f>K171</f>
        <v>365</v>
      </c>
      <c r="L175" s="12">
        <f>L171</f>
        <v>634</v>
      </c>
      <c r="M175" s="12">
        <f>M171</f>
        <v>634</v>
      </c>
      <c r="N175" s="12">
        <f>N171</f>
        <v>910</v>
      </c>
      <c r="O175" s="12">
        <f>O171</f>
        <v>965</v>
      </c>
      <c r="P175" s="12">
        <f>P171</f>
        <v>875</v>
      </c>
      <c r="Q175" s="12">
        <f>Q171</f>
        <v>897</v>
      </c>
      <c r="R175" s="12">
        <f>R171</f>
        <v>897</v>
      </c>
      <c r="S175" s="12">
        <f>S171</f>
        <v>949</v>
      </c>
      <c r="T175" s="12">
        <f>T171</f>
        <v>856</v>
      </c>
      <c r="U175" s="12">
        <f>U171</f>
        <v>813</v>
      </c>
      <c r="V175" s="12">
        <f>V171</f>
        <v>788</v>
      </c>
      <c r="W175" s="12">
        <f>W171</f>
        <v>788</v>
      </c>
      <c r="X175" s="12">
        <f>X171</f>
        <v>0</v>
      </c>
      <c r="Y175" s="12">
        <f>Y171</f>
        <v>0</v>
      </c>
      <c r="Z175" s="12">
        <f>Z171</f>
        <v>0</v>
      </c>
      <c r="AA175" s="12">
        <f>AA171</f>
        <v>0</v>
      </c>
      <c r="AB175" s="12">
        <f>AB171</f>
        <v>0</v>
      </c>
      <c r="AC175" s="12">
        <f>AC171</f>
        <v>0</v>
      </c>
      <c r="AD175" s="12">
        <f>AD171</f>
        <v>0</v>
      </c>
      <c r="AE175" s="12">
        <f>AE171</f>
        <v>0</v>
      </c>
      <c r="AF175" s="12">
        <f>AF171</f>
        <v>0</v>
      </c>
      <c r="AG175" s="12">
        <f>AG171</f>
        <v>0</v>
      </c>
      <c r="AH175" s="12">
        <f>AH171</f>
        <v>0</v>
      </c>
      <c r="AI175" s="12">
        <f>AI171</f>
        <v>0</v>
      </c>
      <c r="AJ175" s="12">
        <f>AJ171</f>
        <v>0</v>
      </c>
      <c r="AK175" s="12">
        <f>AK171</f>
        <v>0</v>
      </c>
      <c r="AL175" s="12" t="n"/>
      <c r="AM175" s="12">
        <f>AM171</f>
        <v>0</v>
      </c>
      <c r="AN175" s="12">
        <f>AN171</f>
        <v>0</v>
      </c>
      <c r="AO175" s="12">
        <f>AO171</f>
        <v>0</v>
      </c>
      <c r="AP175" s="12">
        <f>AP171</f>
        <v>0</v>
      </c>
      <c r="AQ175" s="12" t="n"/>
      <c r="AR175" s="12">
        <f>AR171</f>
        <v>0</v>
      </c>
      <c r="AS175" s="12">
        <f>AS171</f>
        <v>0</v>
      </c>
      <c r="AT175" s="12">
        <f>AT171</f>
        <v>0</v>
      </c>
      <c r="AU175" s="12">
        <f>AU171</f>
        <v>0</v>
      </c>
      <c r="AV175" s="12" t="n"/>
      <c r="AW175" s="12">
        <f>AW171</f>
        <v>0</v>
      </c>
      <c r="AX175" s="12">
        <f>AX171</f>
        <v>0</v>
      </c>
      <c r="AY175" s="12">
        <f>AY171</f>
        <v>0</v>
      </c>
      <c r="AZ175" s="12">
        <f>AZ171</f>
        <v>0</v>
      </c>
      <c r="BA175" s="12" t="n"/>
      <c r="BB175" s="12">
        <f>BB171</f>
        <v>0</v>
      </c>
      <c r="BC175" s="12">
        <f>BC171</f>
        <v>0</v>
      </c>
      <c r="BD175" s="12">
        <f>BD171</f>
        <v>0</v>
      </c>
      <c r="BE175" s="12">
        <f>BE171</f>
        <v>0</v>
      </c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Definir % do D&amp;A No PPE and Intagibles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collapsed="1">
      <c r="C180" s="14" t="inlineStr">
        <is>
          <t>Other non-current assets</t>
        </is>
      </c>
      <c r="D180" s="46" t="n"/>
      <c r="E180" s="46" t="n"/>
      <c r="F180" s="46" t="n"/>
      <c r="G180" s="46" t="n"/>
      <c r="H180" s="12" t="n"/>
      <c r="I180" s="46">
        <f>'Inputs (2)'!D26</f>
        <v>8718</v>
      </c>
      <c r="J180" s="46">
        <f>'Inputs (2)'!E26</f>
        <v>8745</v>
      </c>
      <c r="K180" s="46">
        <f>'Inputs (2)'!F26</f>
        <v>9945</v>
      </c>
      <c r="L180" s="46">
        <f>'Inputs (2)'!G26</f>
        <v>9526</v>
      </c>
      <c r="M180" s="12">
        <f>'Inputs (2)'!H26</f>
        <v>9526</v>
      </c>
      <c r="N180" s="46">
        <f>'Inputs (2)'!I26</f>
        <v>10297</v>
      </c>
      <c r="O180" s="46">
        <f>'Inputs (2)'!J26</f>
        <v>10880</v>
      </c>
      <c r="P180" s="46">
        <f>'Inputs (2)'!K26</f>
        <v>12057</v>
      </c>
      <c r="Q180" s="46">
        <f>'Inputs (2)'!L26</f>
        <v>12784</v>
      </c>
      <c r="R180" s="12">
        <f>'Inputs (2)'!M26</f>
        <v>12784</v>
      </c>
      <c r="S180" s="46">
        <f>'Inputs (2)'!N26</f>
        <v>13355</v>
      </c>
      <c r="T180" s="46">
        <f>'Inputs (2)'!O26</f>
        <v>14709</v>
      </c>
      <c r="U180" s="46">
        <f>'Inputs (2)'!P26</f>
        <v>11610</v>
      </c>
      <c r="V180" s="46">
        <f>'Inputs (2)'!Q26</f>
        <v>12935</v>
      </c>
      <c r="W180" s="12">
        <f>'Inputs (2)'!R26</f>
        <v>12935</v>
      </c>
      <c r="X180" s="46">
        <f>'Inputs (2)'!S26</f>
        <v>14397</v>
      </c>
      <c r="Y180" s="46">
        <f>'Inputs (2)'!T26</f>
        <v>16136</v>
      </c>
      <c r="Z180" s="46">
        <f>'Inputs (2)'!U26</f>
        <v>17713</v>
      </c>
      <c r="AA180" s="46">
        <f>'Inputs (2)'!V26</f>
        <v>19087</v>
      </c>
      <c r="AB180" s="12">
        <f>'Inputs (2)'!W26</f>
        <v>19087</v>
      </c>
      <c r="AC180" s="46">
        <f>'Inputs (2)'!X26</f>
        <v>20260</v>
      </c>
      <c r="AD180" s="46">
        <f>'Inputs (2)'!Y26</f>
        <v>37776</v>
      </c>
      <c r="AE180" s="46">
        <f>'Inputs (2)'!Z26</f>
        <v>31926</v>
      </c>
      <c r="AF180" s="46">
        <f>'Inputs (2)'!AA26</f>
        <v>35961</v>
      </c>
      <c r="AG180" s="12">
        <f>'Inputs (2)'!AB26</f>
        <v>35961</v>
      </c>
      <c r="AH180" s="12">
        <f>'Inputs (2)'!AC26</f>
        <v>42693</v>
      </c>
      <c r="AI180" s="12">
        <f>'Inputs (2)'!AD26</f>
        <v>51366</v>
      </c>
      <c r="AJ180" s="12">
        <f>AI180</f>
        <v>51366</v>
      </c>
      <c r="AK180" s="12">
        <f>AJ180</f>
        <v>51366</v>
      </c>
      <c r="AL180" s="12">
        <f>AK180</f>
        <v>51366</v>
      </c>
      <c r="AM180" s="12">
        <f>AL180</f>
        <v>51366</v>
      </c>
      <c r="AN180" s="12">
        <f>AM180</f>
        <v>51366</v>
      </c>
      <c r="AO180" s="12">
        <f>AN180</f>
        <v>51366</v>
      </c>
      <c r="AP180" s="12">
        <f>AO180</f>
        <v>51366</v>
      </c>
      <c r="AQ180" s="12">
        <f>AP180</f>
        <v>51366</v>
      </c>
      <c r="AR180" s="12">
        <f>AQ180</f>
        <v>51366</v>
      </c>
      <c r="AS180" s="12">
        <f>AR180</f>
        <v>51366</v>
      </c>
      <c r="AT180" s="12">
        <f>AS180</f>
        <v>51366</v>
      </c>
      <c r="AU180" s="12">
        <f>AT180</f>
        <v>51366</v>
      </c>
      <c r="AV180" s="12">
        <f>AU180</f>
        <v>51366</v>
      </c>
      <c r="AW180" s="12">
        <f>AV180</f>
        <v>51366</v>
      </c>
      <c r="AX180" s="12">
        <f>AW180</f>
        <v>51366</v>
      </c>
      <c r="AY180" s="12">
        <f>AX180</f>
        <v>51366</v>
      </c>
      <c r="AZ180" s="12">
        <f>AY180</f>
        <v>51366</v>
      </c>
      <c r="BA180" s="12">
        <f>AZ180</f>
        <v>51366</v>
      </c>
      <c r="BB180" s="12">
        <f>BA180</f>
        <v>51366</v>
      </c>
      <c r="BC180" s="12">
        <f>BB180</f>
        <v>51366</v>
      </c>
      <c r="BD180" s="12">
        <f>BC180</f>
        <v>51366</v>
      </c>
      <c r="BE180" s="12">
        <f>BD180</f>
        <v>51366</v>
      </c>
      <c r="BF180" s="12">
        <f>BE180</f>
        <v>51366</v>
      </c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9" t="inlineStr">
        <is>
          <t>%(Var.)</t>
        </is>
      </c>
      <c r="D181" s="12" t="n"/>
      <c r="E181" s="40" t="n"/>
      <c r="F181" s="40" t="n"/>
      <c r="G181" s="40" t="n"/>
      <c r="H181" s="12" t="n"/>
      <c r="I181" s="40" t="str">
        <f>""</f>
        <v/>
      </c>
      <c r="J181" s="40">
        <f>IF(I180=0,"",J180/I180-1)</f>
        <v>0.00309704060564342</v>
      </c>
      <c r="K181" s="40">
        <f>IF(J180=0,"",K180/J180-1)</f>
        <v>0.137221269296741</v>
      </c>
      <c r="L181" s="40">
        <f>IF(K180=0,"",L180/K180-1)</f>
        <v>-0.0421317244846656</v>
      </c>
      <c r="M181" s="12">
        <f>IF(L180=0,"",M180/L180-1)</f>
        <v>0</v>
      </c>
      <c r="N181" s="40">
        <f>IF(M180=0,"",N180/M180-1)</f>
        <v>0.0809363846315347</v>
      </c>
      <c r="O181" s="40">
        <f>IF(N180=0,"",O180/N180-1)</f>
        <v>0.0566184325531709</v>
      </c>
      <c r="P181" s="40">
        <f>IF(O180=0,"",P180/O180-1)</f>
        <v>0.108180147058824</v>
      </c>
      <c r="Q181" s="40">
        <f>IF(P180=0,"",Q180/P180-1)</f>
        <v>0.060296922949324</v>
      </c>
      <c r="R181" s="12">
        <f>IF(Q180=0,"",R180/Q180-1)</f>
        <v>0</v>
      </c>
      <c r="S181" s="40">
        <f>IF(R180=0,"",S180/R180-1)</f>
        <v>0.0446652065081352</v>
      </c>
      <c r="T181" s="40">
        <f>IF(S180=0,"",T180/S180-1)</f>
        <v>0.101385248970423</v>
      </c>
      <c r="U181" s="40">
        <f>IF(T180=0,"",U180/T180-1)</f>
        <v>-0.210687334285132</v>
      </c>
      <c r="V181" s="40">
        <f>IF(U180=0,"",V180/U180-1)</f>
        <v>0.114125753660637</v>
      </c>
      <c r="W181" s="12">
        <f>IF(V180=0,"",W180/V180-1)</f>
        <v>0</v>
      </c>
      <c r="X181" s="40">
        <f>IF(W180=0,"",X180/W180-1)</f>
        <v>0.113026671820642</v>
      </c>
      <c r="Y181" s="40">
        <f>IF(X180=0,"",Y180/X180-1)</f>
        <v>0.120789053274988</v>
      </c>
      <c r="Z181" s="40">
        <f>IF(Y180=0,"",Z180/Y180-1)</f>
        <v>0.0977317798710957</v>
      </c>
      <c r="AA181" s="40">
        <f>IF(Z180=0,"",AA180/Z180-1)</f>
        <v>0.0775701462202902</v>
      </c>
      <c r="AB181" s="12">
        <f>IF(AA180=0,"",AB180/AA180-1)</f>
        <v>0</v>
      </c>
      <c r="AC181" s="40">
        <f>IF(AB180=0,"",AC180/AB180-1)</f>
        <v>0.0614554408759889</v>
      </c>
      <c r="AD181" s="40">
        <f>IF(AC180=0,"",AD180/AC180-1)</f>
        <v>0.864560710760119</v>
      </c>
      <c r="AE181" s="40">
        <f>IF(AD180=0,"",AE180/AD180-1)</f>
        <v>-0.154860228716646</v>
      </c>
      <c r="AF181" s="55">
        <f>IF(AE180=0,"",AF180/AE180-1)</f>
        <v>0.126386017665852</v>
      </c>
      <c r="AG181" s="12">
        <f>IF(AF180=0,"",AG180/AF180-1)</f>
        <v>0</v>
      </c>
      <c r="AH181" s="55">
        <f>IF(AG180=0,"",AH180/AG180-1)</f>
        <v>0.187202803036623</v>
      </c>
      <c r="AI181" s="55">
        <f>IF(AH180=0,"",AI180/AH180-1)</f>
        <v>0.203148057058534</v>
      </c>
      <c r="AJ181" s="55">
        <f>IF(AI180=0,"",AJ180/AI180-1)</f>
        <v>0</v>
      </c>
      <c r="AK181" s="55">
        <f>IF(AJ180=0,"",AK180/AJ180-1)</f>
        <v>0</v>
      </c>
      <c r="AL181" s="12">
        <f>IF(AK180=0,"",AL180/AK180-1)</f>
        <v>0</v>
      </c>
      <c r="AM181" s="55">
        <f>IF(AL180=0,"",AM180/AL180-1)</f>
        <v>0</v>
      </c>
      <c r="AN181" s="55">
        <f>IF(AM180=0,"",AN180/AM180-1)</f>
        <v>0</v>
      </c>
      <c r="AO181" s="55">
        <f>IF(AN180=0,"",AO180/AN180-1)</f>
        <v>0</v>
      </c>
      <c r="AP181" s="55">
        <f>IF(AO180=0,"",AP180/AO180-1)</f>
        <v>0</v>
      </c>
      <c r="AQ181" s="12">
        <f>IF(AP180=0,"",AQ180/AP180-1)</f>
        <v>0</v>
      </c>
      <c r="AR181" s="55">
        <f>IF(AQ180=0,"",AR180/AQ180-1)</f>
        <v>0</v>
      </c>
      <c r="AS181" s="55">
        <f>IF(AR180=0,"",AS180/AR180-1)</f>
        <v>0</v>
      </c>
      <c r="AT181" s="55">
        <f>IF(AS180=0,"",AT180/AS180-1)</f>
        <v>0</v>
      </c>
      <c r="AU181" s="55">
        <f>IF(AT180=0,"",AU180/AT180-1)</f>
        <v>0</v>
      </c>
      <c r="AV181" s="12">
        <f>IF(AU180=0,"",AV180/AU180-1)</f>
        <v>0</v>
      </c>
      <c r="AW181" s="55">
        <f>IF(AV180=0,"",AW180/AV180-1)</f>
        <v>0</v>
      </c>
      <c r="AX181" s="55">
        <f>IF(AW180=0,"",AX180/AW180-1)</f>
        <v>0</v>
      </c>
      <c r="AY181" s="55">
        <f>IF(AX180=0,"",AY180/AX180-1)</f>
        <v>0</v>
      </c>
      <c r="AZ181" s="55">
        <f>IF(AY180=0,"",AZ180/AY180-1)</f>
        <v>0</v>
      </c>
      <c r="BA181" s="12">
        <f>IF(AZ180=0,"",BA180/AZ180-1)</f>
        <v>0</v>
      </c>
      <c r="BB181" s="55">
        <f>IF(BA180=0,"",BB180/BA180-1)</f>
        <v>0</v>
      </c>
      <c r="BC181" s="55">
        <f>IF(BB180=0,"",BC180/BB180-1)</f>
        <v>0</v>
      </c>
      <c r="BD181" s="55">
        <f>IF(BC180=0,"",BD180/BC180-1)</f>
        <v>0</v>
      </c>
      <c r="BE181" s="55">
        <f>IF(BD180=0,"",BE180/BD180-1)</f>
        <v>0</v>
      </c>
      <c r="BF181" s="12">
        <f>IF(BE180=0,"",BF180/BE180-1)</f>
        <v>0</v>
      </c>
      <c r="BG181" s="55" t="n"/>
      <c r="BH181" s="55" t="n"/>
      <c r="BI181" s="55" t="n"/>
      <c r="BJ181" s="55" t="n"/>
      <c r="BK181" s="12" t="n"/>
      <c r="BL181" s="55" t="n"/>
      <c r="BM181" s="55" t="n"/>
      <c r="BN181" s="55" t="n"/>
      <c r="BO181" s="55" t="n"/>
      <c r="BP181" s="12" t="n"/>
      <c r="BQ181" s="55" t="n"/>
      <c r="BR181" s="55" t="n"/>
      <c r="BS181" s="55" t="n"/>
      <c r="BT181" s="55" t="n"/>
      <c r="BU181" s="12" t="n"/>
      <c r="BV181" s="55" t="n"/>
      <c r="BW181" s="55" t="n"/>
      <c r="BX181" s="55" t="n"/>
      <c r="BY181" s="55" t="n"/>
      <c r="BZ181" s="12" t="n"/>
      <c r="CA181" s="55" t="n"/>
      <c r="CB181" s="55" t="n"/>
      <c r="CC181" s="55" t="n"/>
      <c r="CD181" s="55" t="n"/>
      <c r="CE181" s="12" t="n"/>
      <c r="CF181" s="55" t="n"/>
      <c r="CG181" s="55" t="n"/>
      <c r="CH181" s="55" t="n"/>
      <c r="CI181" s="55" t="n"/>
      <c r="CJ181" s="12" t="n"/>
      <c r="CK181" s="55" t="n"/>
      <c r="CL181" s="55" t="n"/>
      <c r="CM181" s="55" t="n"/>
      <c r="CN181" s="55" t="n"/>
      <c r="CO181" s="12" t="n"/>
      <c r="CP181" s="55" t="n"/>
      <c r="CQ181" s="55" t="n"/>
      <c r="CR181" s="55" t="n"/>
      <c r="CS181" s="55" t="n"/>
      <c r="CT181" s="12" t="n"/>
      <c r="CU181" s="55" t="n"/>
      <c r="CV181" s="55" t="n"/>
      <c r="CW181" s="55" t="n"/>
      <c r="CX181" s="55" t="n"/>
      <c r="CY181" s="12" t="n"/>
    </row>
    <row r="182" hidden="1" outlineLevel="1">
      <c r="C182" s="57" t="n"/>
      <c r="D182" s="12" t="n"/>
      <c r="E182" s="40" t="n"/>
      <c r="F182" s="40" t="n"/>
      <c r="G182" s="40" t="n"/>
      <c r="H182" s="12" t="n"/>
      <c r="I182" s="40" t="n"/>
      <c r="J182" s="40" t="n"/>
      <c r="K182" s="40" t="n"/>
      <c r="L182" s="40" t="n"/>
      <c r="M182" s="12" t="n"/>
      <c r="N182" s="40" t="n"/>
      <c r="O182" s="40" t="n"/>
      <c r="P182" s="40" t="n"/>
      <c r="Q182" s="40" t="n"/>
      <c r="R182" s="12" t="n"/>
      <c r="S182" s="40" t="n"/>
      <c r="T182" s="40" t="n"/>
      <c r="U182" s="40" t="n"/>
      <c r="V182" s="40" t="n"/>
      <c r="W182" s="12" t="n"/>
      <c r="X182" s="40" t="n"/>
      <c r="Y182" s="40" t="n"/>
      <c r="Z182" s="40" t="n"/>
      <c r="AA182" s="40" t="n"/>
      <c r="AB182" s="12" t="n"/>
      <c r="AC182" s="40" t="n"/>
      <c r="AD182" s="40" t="n"/>
      <c r="AE182" s="40" t="n"/>
      <c r="AF182" s="55" t="n"/>
      <c r="AG182" s="12" t="n"/>
      <c r="AH182" s="55" t="n"/>
      <c r="AI182" s="55" t="n"/>
      <c r="AJ182" s="55" t="n"/>
      <c r="AK182" s="55" t="n"/>
      <c r="AL182" s="12" t="n"/>
      <c r="AM182" s="55" t="n"/>
      <c r="AN182" s="55" t="n"/>
      <c r="AO182" s="55" t="n"/>
      <c r="AP182" s="55" t="n"/>
      <c r="AQ182" s="12" t="n"/>
      <c r="AR182" s="55" t="n"/>
      <c r="AS182" s="55" t="n"/>
      <c r="AT182" s="55" t="n"/>
      <c r="AU182" s="55" t="n"/>
      <c r="AV182" s="12" t="n"/>
      <c r="AW182" s="55" t="n"/>
      <c r="AX182" s="55" t="n"/>
      <c r="AY182" s="55" t="n"/>
      <c r="AZ182" s="55" t="n"/>
      <c r="BA182" s="12" t="n"/>
      <c r="BB182" s="55" t="n"/>
      <c r="BC182" s="55" t="n"/>
      <c r="BD182" s="55" t="n"/>
      <c r="BE182" s="55" t="n"/>
      <c r="BF182" s="12" t="n"/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60" t="inlineStr">
        <is>
          <t>Outros Créditos - LP</t>
        </is>
      </c>
      <c r="D183" s="11" t="n"/>
      <c r="E183" s="11" t="n"/>
      <c r="F183" s="11" t="n"/>
      <c r="G183" s="11" t="n"/>
      <c r="H183" s="12" t="n"/>
      <c r="I183" s="11" t="n"/>
      <c r="J183" s="11" t="n"/>
      <c r="K183" s="11" t="n"/>
      <c r="L183" s="11" t="n"/>
      <c r="M183" s="12" t="n"/>
      <c r="N183" s="11" t="n"/>
      <c r="O183" s="11" t="n"/>
      <c r="P183" s="11" t="n"/>
      <c r="Q183" s="11" t="n"/>
      <c r="R183" s="12" t="n"/>
      <c r="S183" s="11" t="n"/>
      <c r="T183" s="11" t="n"/>
      <c r="U183" s="11" t="n"/>
      <c r="V183" s="11" t="n"/>
      <c r="W183" s="12" t="n"/>
      <c r="X183" s="11" t="n"/>
      <c r="Y183" s="11" t="n"/>
      <c r="Z183" s="11" t="n"/>
      <c r="AA183" s="11" t="n"/>
      <c r="AB183" s="12" t="n"/>
      <c r="AC183" s="11" t="n"/>
      <c r="AD183" s="11" t="n"/>
      <c r="AE183" s="11" t="n"/>
      <c r="AF183" s="11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60" t="inlineStr">
        <is>
          <t xml:space="preserve">Impostos e Contribuições a Recuperar 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 de Renda e Contribuição Social Diferidos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collapsed="1" customFormat="1" s="32">
      <c r="A188" s="30" t="n"/>
      <c r="B188" s="3" t="n"/>
      <c r="C188" s="33" t="inlineStr">
        <is>
          <t>Total Assets</t>
        </is>
      </c>
      <c r="D188" s="35" t="n"/>
      <c r="E188" s="35" t="n"/>
      <c r="F188" s="35" t="n"/>
      <c r="G188" s="35" t="n"/>
      <c r="H188" s="35" t="n"/>
      <c r="I188" s="35">
        <f>SUM(I135,I136,I140,I144,I145,I146,I152,I157,I167,I170,I171,I180)</f>
        <v>163523</v>
      </c>
      <c r="J188" s="35">
        <f>SUM(J135,J136,J140,J144,J145,J146,J152,J157,J167,J170,J171,J180)</f>
        <v>170609</v>
      </c>
      <c r="K188" s="35">
        <f>SUM(K135,K136,K140,K144,K145,K146,K152,K157,K167,K170,K171,K180)</f>
        <v>169585</v>
      </c>
      <c r="L188" s="35">
        <f>SUM(L135,L136,L140,L144,L145,L146,L152,L157,L167,L170,L171,L180)</f>
        <v>165987</v>
      </c>
      <c r="M188" s="35">
        <f>SUM(M135,M136,M140,M144,M145,M146,M152,M157,M167,M170,M171,M180)</f>
        <v>165987</v>
      </c>
      <c r="N188" s="35">
        <f>SUM(N135,N136,N140,N144,N145,N146,N152,N157,N167,N170,N171,N180)</f>
        <v>164218</v>
      </c>
      <c r="O188" s="35">
        <f>SUM(O135,O136,O140,O144,O145,O146,O152,O157,O167,O170,O171,O180)</f>
        <v>169779</v>
      </c>
      <c r="P188" s="35">
        <f>SUM(P135,P136,P140,P144,P145,P146,P152,P157,P167,P170,P171,P180)</f>
        <v>178894</v>
      </c>
      <c r="Q188" s="35">
        <f>SUM(Q135,Q136,Q140,Q144,Q145,Q146,Q152,Q157,Q167,Q170,Q171,Q180)</f>
        <v>185727</v>
      </c>
      <c r="R188" s="35">
        <f>SUM(R135,R136,R140,R144,R145,R146,R152,R157,R167,R170,R171,R180)</f>
        <v>185727</v>
      </c>
      <c r="S188" s="35">
        <f>SUM(S135,S136,S140,S144,S145,S146,S152,S157,S167,S170,S171,S180)</f>
        <v>184491</v>
      </c>
      <c r="T188" s="35">
        <f>SUM(T135,T136,T140,T144,T145,T146,T152,T157,T167,T170,T171,T180)</f>
        <v>206688</v>
      </c>
      <c r="U188" s="35">
        <f>SUM(U135,U136,U140,U144,U145,U146,U152,U157,U167,U170,U171,U180)</f>
        <v>216274</v>
      </c>
      <c r="V188" s="35">
        <f>SUM(V135,V136,V140,V144,V145,V146,V152,V157,V167,V170,V171,V180)</f>
        <v>229623</v>
      </c>
      <c r="W188" s="35">
        <f>SUM(W135,W136,W140,W144,W145,W146,W152,W157,W167,W170,W171,W180)</f>
        <v>229623</v>
      </c>
      <c r="X188" s="35">
        <f>SUM(X135,X136,X140,X144,X145,X146,X152,X157,X167,X170,X171,X180)</f>
        <v>222844</v>
      </c>
      <c r="Y188" s="35">
        <f>SUM(Y135,Y136,Y140,Y144,Y145,Y146,Y152,Y157,Y167,Y170,Y171,Y180)</f>
        <v>230238</v>
      </c>
      <c r="Z188" s="35">
        <f>SUM(Z135,Z136,Z140,Z144,Z145,Z146,Z152,Z157,Z167,Z170,Z171,Z180)</f>
        <v>256408</v>
      </c>
      <c r="AA188" s="35">
        <f>SUM(AA135,AA136,AA140,AA144,AA145,AA146,AA152,AA157,AA167,AA170,AA171,AA180)</f>
        <v>276054</v>
      </c>
      <c r="AB188" s="35">
        <f>SUM(AB135,AB136,AB140,AB144,AB145,AB146,AB152,AB157,AB167,AB170,AB171,AB180)</f>
        <v>276054</v>
      </c>
      <c r="AC188" s="35">
        <f>SUM(AC135,AC136,AC140,AC144,AC145,AC146,AC152,AC157,AC167,AC170,AC171,AC180)</f>
        <v>280213</v>
      </c>
      <c r="AD188" s="35">
        <f>SUM(AD135,AD136,AD140,AD144,AD145,AD146,AD152,AD157,AD167,AD170,AD171,AD180)</f>
        <v>294744</v>
      </c>
      <c r="AE188" s="35">
        <f>SUM(AE135,AE136,AE140,AE144,AE145,AE146,AE152,AE157,AE167,AE170,AE171,AE180)</f>
        <v>303844</v>
      </c>
      <c r="AF188" s="35">
        <f>SUM(AF135,AF136,AF140,AF144,AF145,AF146,AF152,AF157,AF167,AF170,AF171,AF180)</f>
        <v>366021</v>
      </c>
      <c r="AG188" s="35">
        <f>SUM(AG135,AG136,AG140,AG144,AG145,AG146,AG152,AG157,AG167,AG170,AG171,AG180)</f>
        <v>366021</v>
      </c>
      <c r="AH188" s="35">
        <f>SUM(AH135,AH136,AH140,AH144,AH145,AH146,AH152,AH157,AH167,AH170,AH171,AH180)</f>
        <v>395250</v>
      </c>
      <c r="AI188" s="35">
        <f>SUM(AI135,AI136,AI140,AI144,AI145,AI146,AI152,AI157,AI167,AI170,AI171,AI180)</f>
        <v>449956</v>
      </c>
      <c r="AJ188" s="35">
        <f>SUM(AJ135,AJ136,AJ140,AJ144,AJ145,AJ146,AJ152,AJ157,AJ167,AJ170,AJ171,AJ180)</f>
        <v>477353.558231782</v>
      </c>
      <c r="AK188" s="35">
        <f>SUM(AK135,AK136,AK140,AK144,AK145,AK146,AK152,AK157,AK167,AK170,AK171,AK180)</f>
        <v>515906.85207814</v>
      </c>
      <c r="AL188" s="35">
        <f>SUM(AL135,AL136,AL140,AL144,AL145,AL146,AL152,AL157,AL167,AL170,AL171,AL180)</f>
        <v>515906.85207814</v>
      </c>
      <c r="AM188" s="35">
        <f>SUM(AM135,AM136,AM140,AM144,AM145,AM146,AM152,AM157,AM167,AM170,AM171,AM180)</f>
        <v>553167.137878645</v>
      </c>
      <c r="AN188" s="35">
        <f>SUM(AN135,AN136,AN140,AN144,AN145,AN146,AN152,AN157,AN167,AN170,AN171,AN180)</f>
        <v>597473.174542756</v>
      </c>
      <c r="AO188" s="35">
        <f>SUM(AO135,AO136,AO140,AO144,AO145,AO146,AO152,AO157,AO167,AO170,AO171,AO180)</f>
        <v>647262.157726471</v>
      </c>
      <c r="AP188" s="35">
        <f>SUM(AP135,AP136,AP140,AP144,AP145,AP146,AP152,AP157,AP167,AP170,AP171,AP180)</f>
        <v>709238.812962942</v>
      </c>
      <c r="AQ188" s="35">
        <f>SUM(AQ135,AQ136,AQ140,AQ144,AQ145,AQ146,AQ152,AQ157,AQ167,AQ170,AQ171,AQ180)</f>
        <v>709238.812962942</v>
      </c>
      <c r="AR188" s="35">
        <f>SUM(AR135,AR136,AR140,AR144,AR145,AR146,AR152,AR157,AR167,AR170,AR171,AR180)</f>
        <v>771936.79602411</v>
      </c>
      <c r="AS188" s="35">
        <f>SUM(AS135,AS136,AS140,AS144,AS145,AS146,AS152,AS157,AS167,AS170,AS171,AS180)</f>
        <v>847814.356560673</v>
      </c>
      <c r="AT188" s="35">
        <f>SUM(AT135,AT136,AT140,AT144,AT145,AT146,AT152,AT157,AT167,AT170,AT171,AT180)</f>
        <v>935203.851272729</v>
      </c>
      <c r="AU188" s="35">
        <f>SUM(AU135,AU136,AU140,AU144,AU145,AU146,AU152,AU157,AU167,AU170,AU171,AU180)</f>
        <v>1043795.37977556</v>
      </c>
      <c r="AV188" s="35">
        <f>SUM(AV135,AV136,AV140,AV144,AV145,AV146,AV152,AV157,AV167,AV170,AV171,AV180)</f>
        <v>1043795.37977556</v>
      </c>
      <c r="AW188" s="35">
        <f>SUM(AW135,AW136,AW140,AW144,AW145,AW146,AW152,AW157,AW167,AW170,AW171,AW180)</f>
        <v>1159961.11992495</v>
      </c>
      <c r="AX188" s="35">
        <f>SUM(AX135,AX136,AX140,AX144,AX145,AX146,AX152,AX157,AX167,AX170,AX171,AX180)</f>
        <v>1300969.9730155</v>
      </c>
      <c r="AY188" s="35">
        <f>SUM(AY135,AY136,AY140,AY144,AY145,AY146,AY152,AY157,AY167,AY170,AY171,AY180)</f>
        <v>1467462.76041031</v>
      </c>
      <c r="AZ188" s="35">
        <f>SUM(AZ135,AZ136,AZ140,AZ144,AZ145,AZ146,AZ152,AZ157,AZ167,AZ170,AZ171,AZ180)</f>
        <v>1673741.75934765</v>
      </c>
      <c r="BA188" s="35">
        <f>SUM(BA135,BA136,BA140,BA144,BA145,BA146,BA152,BA157,BA167,BA170,BA171,BA180)</f>
        <v>1673741.75934765</v>
      </c>
      <c r="BB188" s="35">
        <f>SUM(BB135,BB136,BB140,BB144,BB145,BB146,BB152,BB157,BB167,BB170,BB171,BB180)</f>
        <v>1903883.36774302</v>
      </c>
      <c r="BC188" s="35">
        <f>SUM(BC135,BC136,BC140,BC144,BC145,BC146,BC152,BC157,BC167,BC170,BC171,BC180)</f>
        <v>2184539.64071776</v>
      </c>
      <c r="BD188" s="35">
        <f>SUM(BD135,BD136,BD140,BD144,BD145,BD146,BD152,BD157,BD167,BD170,BD171,BD180)</f>
        <v>2520869.70801823</v>
      </c>
      <c r="BE188" s="35">
        <f>SUM(BE135,BE136,BE140,BE144,BE145,BE146,BE152,BE157,BE167,BE170,BE171,BE180)</f>
        <v>2936008.32321508</v>
      </c>
      <c r="BF188" s="35">
        <f>SUM(BF135,BF136,BF140,BF144,BF145,BF146,BF152,BF157,BF167,BF170,BF171,BF180)</f>
        <v>2936008.32321508</v>
      </c>
      <c r="BG188" s="35" t="n"/>
      <c r="BH188" s="35" t="n"/>
      <c r="BI188" s="35" t="n"/>
      <c r="BJ188" s="35" t="n"/>
      <c r="BK188" s="35" t="n"/>
      <c r="BL188" s="35" t="n"/>
      <c r="BM188" s="35" t="n"/>
      <c r="BN188" s="35" t="n"/>
      <c r="BO188" s="35" t="n"/>
      <c r="BP188" s="35" t="n"/>
      <c r="BQ188" s="35" t="n"/>
      <c r="BR188" s="35" t="n"/>
      <c r="BS188" s="35" t="n"/>
      <c r="BT188" s="35" t="n"/>
      <c r="BU188" s="35" t="n"/>
      <c r="BV188" s="35" t="n"/>
      <c r="BW188" s="35" t="n"/>
      <c r="BX188" s="35" t="n"/>
      <c r="BY188" s="35" t="n"/>
      <c r="BZ188" s="35" t="n"/>
      <c r="CA188" s="35" t="n"/>
      <c r="CB188" s="35" t="n"/>
      <c r="CC188" s="35" t="n"/>
      <c r="CD188" s="35" t="n"/>
      <c r="CE188" s="35" t="n"/>
      <c r="CF188" s="35" t="n"/>
      <c r="CG188" s="35" t="n"/>
      <c r="CH188" s="35" t="n"/>
      <c r="CI188" s="35" t="n"/>
      <c r="CJ188" s="35" t="n"/>
      <c r="CK188" s="35" t="n"/>
      <c r="CL188" s="35" t="n"/>
      <c r="CM188" s="35" t="n"/>
      <c r="CN188" s="35" t="n"/>
      <c r="CO188" s="35" t="n"/>
      <c r="CP188" s="35" t="n"/>
      <c r="CQ188" s="35" t="n"/>
      <c r="CR188" s="35" t="n"/>
      <c r="CS188" s="35" t="n"/>
      <c r="CT188" s="35" t="n"/>
      <c r="CU188" s="35" t="n"/>
      <c r="CV188" s="35" t="n"/>
      <c r="CW188" s="35" t="n"/>
      <c r="CX188" s="35" t="n"/>
      <c r="CY188" s="35" t="n"/>
    </row>
    <row r="189">
      <c r="C189" s="14" t="inlineStr">
        <is>
          <t>Accounts payable</t>
        </is>
      </c>
      <c r="D189" s="46" t="n"/>
      <c r="E189" s="46" t="n"/>
      <c r="F189" s="46" t="n"/>
      <c r="G189" s="46" t="n"/>
      <c r="H189" s="12" t="n"/>
      <c r="I189" s="46">
        <f>'Inputs (2)'!D28</f>
        <v>878</v>
      </c>
      <c r="J189" s="46">
        <f>'Inputs (2)'!E28</f>
        <v>973</v>
      </c>
      <c r="K189" s="46">
        <f>'Inputs (2)'!F28</f>
        <v>2195</v>
      </c>
      <c r="L189" s="46">
        <f>'Inputs (2)'!G28</f>
        <v>4083</v>
      </c>
      <c r="M189" s="12">
        <f>'Inputs (2)'!H28</f>
        <v>4083</v>
      </c>
      <c r="N189" s="46">
        <f>'Inputs (2)'!I28</f>
        <v>3246</v>
      </c>
      <c r="O189" s="46">
        <f>'Inputs (2)'!J28</f>
        <v>4008</v>
      </c>
      <c r="P189" s="46">
        <f>'Inputs (2)'!K28</f>
        <v>3871</v>
      </c>
      <c r="Q189" s="46">
        <f>'Inputs (2)'!L28</f>
        <v>4990</v>
      </c>
      <c r="R189" s="12">
        <f>'Inputs (2)'!M28</f>
        <v>4990</v>
      </c>
      <c r="S189" s="46">
        <f>'Inputs (2)'!N28</f>
        <v>3672</v>
      </c>
      <c r="T189" s="46">
        <f>'Inputs (2)'!O28</f>
        <v>3093</v>
      </c>
      <c r="U189" s="46">
        <f>'Inputs (2)'!P28</f>
        <v>4372</v>
      </c>
      <c r="V189" s="46">
        <f>'Inputs (2)'!Q28</f>
        <v>4849</v>
      </c>
      <c r="W189" s="12">
        <f>'Inputs (2)'!R28</f>
        <v>4849</v>
      </c>
      <c r="X189" s="46">
        <f>'Inputs (2)'!S28</f>
        <v>3785</v>
      </c>
      <c r="Y189" s="46">
        <f>'Inputs (2)'!T28</f>
        <v>3173</v>
      </c>
      <c r="Z189" s="46">
        <f>'Inputs (2)'!U28</f>
        <v>7656</v>
      </c>
      <c r="AA189" s="46">
        <f>'Inputs (2)'!V28</f>
        <v>7687</v>
      </c>
      <c r="AB189" s="12">
        <f>'Inputs (2)'!W28</f>
        <v>7687</v>
      </c>
      <c r="AC189" s="46">
        <f>'Inputs (2)'!X28</f>
        <v>8512</v>
      </c>
      <c r="AD189" s="46">
        <f>'Inputs (2)'!Y28</f>
        <v>10271</v>
      </c>
      <c r="AE189" s="46">
        <f>'Inputs (2)'!Z28</f>
        <v>7798</v>
      </c>
      <c r="AF189" s="46">
        <f>'Inputs (2)'!AA28</f>
        <v>8894</v>
      </c>
      <c r="AG189" s="12">
        <f>'Inputs (2)'!AB28</f>
        <v>8894</v>
      </c>
      <c r="AH189" s="12">
        <f>'Inputs (2)'!AC28</f>
        <v>13326</v>
      </c>
      <c r="AI189" s="12">
        <f>'Inputs (2)'!AD28</f>
        <v>15889</v>
      </c>
      <c r="AJ189" s="12">
        <f>(AJ190/(AJ$5-AI$5))*-AJ$45</f>
        <v>12787.6409724426</v>
      </c>
      <c r="AK189" s="12">
        <f>(AK190/(AK$5-AJ$5))*-AK$45</f>
        <v>14946.5317661782</v>
      </c>
      <c r="AL189" s="12">
        <f>AK189</f>
        <v>14946.5317661782</v>
      </c>
      <c r="AM189" s="12">
        <f>(AM190/(AM$5-AL$5))*-AM$45</f>
        <v>14364.910354251</v>
      </c>
      <c r="AN189" s="12">
        <f>(AN190/(AN$5-AM$5))*-AN$45</f>
        <v>15339.8643640164</v>
      </c>
      <c r="AO189" s="12">
        <f>(AO190/(AO$5-AN$5))*-AO$45</f>
        <v>15958.0064964937</v>
      </c>
      <c r="AP189" s="12">
        <f>(AP190/(AP$5-AO$5))*-AP$45</f>
        <v>18652.1385405429</v>
      </c>
      <c r="AQ189" s="12">
        <f>AP189</f>
        <v>18652.1385405429</v>
      </c>
      <c r="AR189" s="12">
        <f>(AR190/(AR$5-AQ$5))*-AR$45</f>
        <v>17658.2913227614</v>
      </c>
      <c r="AS189" s="12">
        <f>(AS190/(AS$5-AR$5))*-AS$45</f>
        <v>19066.2884820944</v>
      </c>
      <c r="AT189" s="12">
        <f>(AT190/(AT$5-AS$5))*-AT$45</f>
        <v>19834.5922911161</v>
      </c>
      <c r="AU189" s="12">
        <f>(AU190/(AU$5-AT$5))*-AU$45</f>
        <v>23183.1941784438</v>
      </c>
      <c r="AV189" s="12">
        <f>AU189</f>
        <v>23183.1941784438</v>
      </c>
      <c r="AW189" s="12">
        <f>(AW190/(AW$5-AV$5))*-AW$45</f>
        <v>22102.5107072018</v>
      </c>
      <c r="AX189" s="12">
        <f>(AX190/(AX$5-AW$5))*-AX$45</f>
        <v>23602.6197164788</v>
      </c>
      <c r="AY189" s="12">
        <f>(AY190/(AY$5-AX$5))*-AY$45</f>
        <v>24553.7215865723</v>
      </c>
      <c r="AZ189" s="12">
        <f>(AZ190/(AZ$5-AY$5))*-AZ$45</f>
        <v>28699.03686399</v>
      </c>
      <c r="BA189" s="12">
        <f>AZ189</f>
        <v>28699.03686399</v>
      </c>
      <c r="BB189" s="12">
        <f>(BB190/(BB$5-BA$5))*-BB$45</f>
        <v>27250.7201001818</v>
      </c>
      <c r="BC189" s="12">
        <f>(BC190/(BC$5-BB$5))*-BC$45</f>
        <v>29100.2407846463</v>
      </c>
      <c r="BD189" s="12">
        <f>(BD190/(BD$5-BC$5))*-BD$45</f>
        <v>30272.8772869886</v>
      </c>
      <c r="BE189" s="12">
        <f>(BE190/(BE$5-BD$5))*-BE$45</f>
        <v>35383.7367657314</v>
      </c>
      <c r="BF189" s="12">
        <f>BE189</f>
        <v>35383.7367657314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inlineStr">
        <is>
          <t>DPO</t>
        </is>
      </c>
      <c r="D190" s="12" t="n"/>
      <c r="E190" s="12" t="n"/>
      <c r="F190" s="12" t="n"/>
      <c r="G190" s="12" t="n"/>
      <c r="H190" s="12" t="n"/>
      <c r="I190" s="12">
        <f>IFERROR(-(I189/I$45)*(I$5-H$5),"")</f>
        <v>15.4005067238355</v>
      </c>
      <c r="J190" s="12">
        <f>IFERROR(-(J189/J$45)*(J$5-I$5),"")</f>
        <v>16.3998888683089</v>
      </c>
      <c r="K190" s="12">
        <f>IFERROR(-(K189/K$45)*(K$5-J$5),"")</f>
        <v>34.9922023912667</v>
      </c>
      <c r="L190" s="12">
        <f>IFERROR(-(L189/L$45)*(L$5-K$5),"")</f>
        <v>59.1739130434783</v>
      </c>
      <c r="M190" s="12" t="n"/>
      <c r="N190" s="12">
        <f>IFERROR(-(N189/N$45)*(N$5-M$5),"")</f>
        <v>48.6494587843464</v>
      </c>
      <c r="O190" s="12">
        <f>IFERROR(-(O189/O$45)*(O$5-N$5),"")</f>
        <v>70.2480739599384</v>
      </c>
      <c r="P190" s="12">
        <f>IFERROR(-(P189/P$45)*(P$5-O$5),"")</f>
        <v>62.3044086773968</v>
      </c>
      <c r="Q190" s="12">
        <f>IFERROR(-(Q189/Q$45)*(Q$5-P$5),"")</f>
        <v>55.0719769673704</v>
      </c>
      <c r="R190" s="12" t="n"/>
      <c r="S190" s="12">
        <f>IFERROR(-(S189/S$45)*(S$5-R$5),"")</f>
        <v>54.1060903732809</v>
      </c>
      <c r="T190" s="12">
        <f>IFERROR(-(T189/T$45)*(T$5-S$5),"")</f>
        <v>47.3444911690496</v>
      </c>
      <c r="U190" s="12">
        <f>IFERROR(-(U189/U$45)*(U$5-T$5),"")</f>
        <v>64.7703703703704</v>
      </c>
      <c r="V190" s="12">
        <f>IFERROR(-(V189/V$45)*(V$5-U$5),"")</f>
        <v>57.9737491877843</v>
      </c>
      <c r="W190" s="12" t="n"/>
      <c r="X190" s="12">
        <f>IFERROR(-(X189/X$45)*(X$5-W$5),"")</f>
        <v>51.8727409638554</v>
      </c>
      <c r="Y190" s="12">
        <f>IFERROR(-(Y189/Y$45)*(Y$5-X$5),"")</f>
        <v>39.5105363984674</v>
      </c>
      <c r="Z190" s="12">
        <f>IFERROR(-(Z189/Z$45)*(Z$5-Y$5),"")</f>
        <v>95.5053559322034</v>
      </c>
      <c r="AA190" s="12">
        <f>IFERROR(-(AA189/AA$45)*(AA$5-Z$5),"")</f>
        <v>80.0095033374816</v>
      </c>
      <c r="AB190" s="12" t="n"/>
      <c r="AC190" s="12">
        <f>IFERROR(-(AC189/AC$45)*(AC$5-AB$5),"")</f>
        <v>101.172741679873</v>
      </c>
      <c r="AD190" s="12">
        <f>IFERROR(-(AD189/AD$45)*(AD$5-AC$5),"")</f>
        <v>110.076669414674</v>
      </c>
      <c r="AE190" s="12">
        <f>IFERROR(-(AE189/AE$45)*(AE$5-AD$5),"")</f>
        <v>77.9291766239409</v>
      </c>
      <c r="AF190" s="11">
        <f>IFERROR(-(AF189/AF$45)*(AF$5-AE$5),"")</f>
        <v>75.0273244085824</v>
      </c>
      <c r="AG190" s="12" t="n"/>
      <c r="AH190" s="11">
        <f>IFERROR(-(AH189/AH$45)*(AH$5-AG$5),"")</f>
        <v>117.375220199648</v>
      </c>
      <c r="AI190" s="11">
        <f>IFERROR(-(AI189/AI$45)*(AI$5-AH$5),"")</f>
        <v>127.616857899382</v>
      </c>
      <c r="AJ190" s="11">
        <f>Control!$B$27</f>
        <v>101.532998371017</v>
      </c>
      <c r="AK190" s="11">
        <f>Control!$B$27</f>
        <v>101.532998371017</v>
      </c>
      <c r="AL190" s="12" t="n"/>
      <c r="AM190" s="11">
        <f>Control!$C$27</f>
        <v>101.532998371017</v>
      </c>
      <c r="AN190" s="11">
        <f>Control!$C$27</f>
        <v>101.532998371017</v>
      </c>
      <c r="AO190" s="11">
        <f>Control!$C$27</f>
        <v>101.532998371017</v>
      </c>
      <c r="AP190" s="11">
        <f>Control!$C$27</f>
        <v>101.532998371017</v>
      </c>
      <c r="AQ190" s="12" t="n"/>
      <c r="AR190" s="11">
        <f>Control!$D$27</f>
        <v>101.532998371017</v>
      </c>
      <c r="AS190" s="11">
        <f>Control!$D$27</f>
        <v>101.532998371017</v>
      </c>
      <c r="AT190" s="11">
        <f>Control!$D$27</f>
        <v>101.532998371017</v>
      </c>
      <c r="AU190" s="11">
        <f>Control!$D$27</f>
        <v>101.532998371017</v>
      </c>
      <c r="AV190" s="12" t="n"/>
      <c r="AW190" s="11">
        <f>Control!$E$27</f>
        <v>101.532998371017</v>
      </c>
      <c r="AX190" s="11">
        <f>Control!$E$27</f>
        <v>101.532998371017</v>
      </c>
      <c r="AY190" s="11">
        <f>Control!$E$27</f>
        <v>101.532998371017</v>
      </c>
      <c r="AZ190" s="11">
        <f>Control!$E$27</f>
        <v>101.532998371017</v>
      </c>
      <c r="BA190" s="12" t="n"/>
      <c r="BB190" s="11">
        <f>Control!$F$27</f>
        <v>101.532998371017</v>
      </c>
      <c r="BC190" s="11">
        <f>Control!$F$27</f>
        <v>101.532998371017</v>
      </c>
      <c r="BD190" s="11">
        <f>Control!$F$27</f>
        <v>101.532998371017</v>
      </c>
      <c r="BE190" s="11">
        <f>Control!$F$27</f>
        <v>101.532998371017</v>
      </c>
      <c r="BF190" s="12" t="n"/>
      <c r="BG190" s="11" t="n"/>
      <c r="BH190" s="11" t="n"/>
      <c r="BI190" s="11" t="n"/>
      <c r="BJ190" s="11" t="n"/>
      <c r="BK190" s="12" t="n"/>
      <c r="BL190" s="11" t="n"/>
      <c r="BM190" s="11" t="n"/>
      <c r="BN190" s="11" t="n"/>
      <c r="BO190" s="11" t="n"/>
      <c r="BP190" s="12" t="n"/>
      <c r="BQ190" s="11" t="n"/>
      <c r="BR190" s="11" t="n"/>
      <c r="BS190" s="11" t="n"/>
      <c r="BT190" s="11" t="n"/>
      <c r="BU190" s="12" t="n"/>
      <c r="BV190" s="11" t="n"/>
      <c r="BW190" s="11" t="n"/>
      <c r="BX190" s="11" t="n"/>
      <c r="BY190" s="11" t="n"/>
      <c r="BZ190" s="12" t="n"/>
      <c r="CA190" s="11" t="n"/>
      <c r="CB190" s="11" t="n"/>
      <c r="CC190" s="11" t="n"/>
      <c r="CD190" s="11" t="n"/>
      <c r="CE190" s="12" t="n"/>
      <c r="CF190" s="11" t="n"/>
      <c r="CG190" s="11" t="n"/>
      <c r="CH190" s="11" t="n"/>
      <c r="CI190" s="11" t="n"/>
      <c r="CJ190" s="12" t="n"/>
      <c r="CK190" s="11" t="n"/>
      <c r="CL190" s="11" t="n"/>
      <c r="CM190" s="11" t="n"/>
      <c r="CN190" s="11" t="n"/>
      <c r="CO190" s="12" t="n"/>
      <c r="CP190" s="11" t="n"/>
      <c r="CQ190" s="11" t="n"/>
      <c r="CR190" s="11" t="n"/>
      <c r="CS190" s="11" t="n"/>
      <c r="CT190" s="12" t="n"/>
      <c r="CU190" s="11" t="n"/>
      <c r="CV190" s="11" t="n"/>
      <c r="CW190" s="11" t="n"/>
      <c r="CX190" s="11" t="n"/>
      <c r="CY190" s="12" t="n"/>
    </row>
    <row r="191" hidden="1" outlineLevel="1">
      <c r="C191" s="57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collapsed="1">
      <c r="C193" s="14" t="inlineStr">
        <is>
          <t>Accrued expenses</t>
        </is>
      </c>
      <c r="D193" s="46" t="n"/>
      <c r="E193" s="46" t="n"/>
      <c r="F193" s="46" t="n"/>
      <c r="G193" s="46" t="n"/>
      <c r="H193" s="12" t="n"/>
      <c r="I193" s="46">
        <f>'Inputs (2)'!D29</f>
        <v>9411</v>
      </c>
      <c r="J193" s="46">
        <f>'Inputs (2)'!E29</f>
        <v>11510</v>
      </c>
      <c r="K193" s="46">
        <f>'Inputs (2)'!F29</f>
        <v>13158</v>
      </c>
      <c r="L193" s="46">
        <f>'Inputs (2)'!G29</f>
        <v>14312</v>
      </c>
      <c r="M193" s="12">
        <f>'Inputs (2)'!H29</f>
        <v>14312</v>
      </c>
      <c r="N193" s="46">
        <f>'Inputs (2)'!I29</f>
        <v>15226</v>
      </c>
      <c r="O193" s="46">
        <f>'Inputs (2)'!J29</f>
        <v>15420</v>
      </c>
      <c r="P193" s="46">
        <f>'Inputs (2)'!K29</f>
        <v>16036</v>
      </c>
      <c r="Q193" s="46">
        <f>'Inputs (2)'!L29</f>
        <v>19552</v>
      </c>
      <c r="R193" s="12">
        <f>'Inputs (2)'!M29</f>
        <v>19552</v>
      </c>
      <c r="S193" s="46">
        <f>'Inputs (2)'!N29</f>
        <v>19345</v>
      </c>
      <c r="T193" s="46">
        <f>'Inputs (2)'!O29</f>
        <v>24660</v>
      </c>
      <c r="U193" s="46">
        <f>'Inputs (2)'!P29</f>
        <v>23929</v>
      </c>
      <c r="V193" s="46">
        <f>'Inputs (2)'!Q29</f>
        <v>24625</v>
      </c>
      <c r="W193" s="12">
        <f>'Inputs (2)'!R29</f>
        <v>24625</v>
      </c>
      <c r="X193" s="46">
        <f>'Inputs (2)'!S29</f>
        <v>22640</v>
      </c>
      <c r="Y193" s="46">
        <f>'Inputs (2)'!T29</f>
        <v>21914</v>
      </c>
      <c r="Z193" s="46">
        <f>'Inputs (2)'!U29</f>
        <v>23658</v>
      </c>
      <c r="AA193" s="46">
        <f>'Inputs (2)'!V29</f>
        <v>23967</v>
      </c>
      <c r="AB193" s="12">
        <f>'Inputs (2)'!W29</f>
        <v>23967</v>
      </c>
      <c r="AC193" s="46">
        <f>'Inputs (2)'!X29</f>
        <v>23402</v>
      </c>
      <c r="AD193" s="46">
        <f>'Inputs (2)'!Y29</f>
        <v>25057</v>
      </c>
      <c r="AE193" s="46">
        <f>'Inputs (2)'!Z29</f>
        <v>27047</v>
      </c>
      <c r="AF193" s="46">
        <f>'Inputs (2)'!AA29</f>
        <v>30729</v>
      </c>
      <c r="AG193" s="12">
        <f>'Inputs (2)'!AB29</f>
        <v>30729</v>
      </c>
      <c r="AH193" s="12">
        <f>'Inputs (2)'!AC29</f>
        <v>31013</v>
      </c>
      <c r="AI193" s="12">
        <f>'Inputs (2)'!AD29</f>
        <v>38065</v>
      </c>
      <c r="AJ193" s="12">
        <f>AI193*(1+AJ16)</f>
        <v>47502.2342743335</v>
      </c>
      <c r="AK193" s="12">
        <f>AJ193*(1+AK16)</f>
        <v>59279.1872075046</v>
      </c>
      <c r="AL193" s="12">
        <f>AK193</f>
        <v>59279.1872075046</v>
      </c>
      <c r="AM193" s="12">
        <f>AL193*(1+AM16)</f>
        <v>73975.9316517262</v>
      </c>
      <c r="AN193" s="12">
        <f>AM193*(1+AN16)</f>
        <v>92316.3545509623</v>
      </c>
      <c r="AO193" s="12">
        <f>AN193*(1+AO16)</f>
        <v>115203.811933068</v>
      </c>
      <c r="AP193" s="12">
        <f>AO193*(1+AP16)</f>
        <v>143765.62363696</v>
      </c>
      <c r="AQ193" s="12">
        <f>AP193</f>
        <v>143765.62363696</v>
      </c>
      <c r="AR193" s="12">
        <f>AQ193*(1+AR16)</f>
        <v>178689.771240767</v>
      </c>
      <c r="AS193" s="12">
        <f>AR193*(1+AS16)</f>
        <v>222097.839096141</v>
      </c>
      <c r="AT193" s="12">
        <f>AS193*(1+AT16)</f>
        <v>276050.7766542</v>
      </c>
      <c r="AU193" s="12">
        <f>AT193*(1+AU16)</f>
        <v>343110.187841135</v>
      </c>
      <c r="AV193" s="12">
        <f>AU193</f>
        <v>343110.187841135</v>
      </c>
      <c r="AW193" s="12">
        <f>AV193*(1+AW16)</f>
        <v>424744.401201588</v>
      </c>
      <c r="AX193" s="12">
        <f>AW193*(1+AX16)</f>
        <v>525801.368613476</v>
      </c>
      <c r="AY193" s="12">
        <f>AX193*(1+AY16)</f>
        <v>650902.233092862</v>
      </c>
      <c r="AZ193" s="12">
        <f>AY193*(1+AZ16)</f>
        <v>805767.619362595</v>
      </c>
      <c r="BA193" s="12">
        <f>AZ193</f>
        <v>805767.619362595</v>
      </c>
      <c r="BB193" s="12">
        <f>BA193*(1+BB16)</f>
        <v>993450.389049479</v>
      </c>
      <c r="BC193" s="12">
        <f>BB193*(1+BC16)</f>
        <v>1224849.0157538</v>
      </c>
      <c r="BD193" s="12">
        <f>BC193*(1+BD16)</f>
        <v>1510145.98004082</v>
      </c>
      <c r="BE193" s="12">
        <f>BD193*(1+BE16)</f>
        <v>1861895.50850882</v>
      </c>
      <c r="BF193" s="12">
        <f>BE193</f>
        <v>1861895.50850882</v>
      </c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9" t="inlineStr">
        <is>
          <t>%(Var.)</t>
        </is>
      </c>
      <c r="D194" s="12" t="n"/>
      <c r="E194" s="40" t="n"/>
      <c r="F194" s="40" t="n"/>
      <c r="G194" s="40" t="n"/>
      <c r="H194" s="12" t="n"/>
      <c r="I194" s="40" t="str">
        <f>""</f>
        <v/>
      </c>
      <c r="J194" s="40">
        <f>IFERROR(IF(I193=0,"",J193/I193-1),"")</f>
        <v>0.223036871745829</v>
      </c>
      <c r="K194" s="40">
        <f>IFERROR(IF(J193=0,"",K193/J193-1),"")</f>
        <v>0.143179843614248</v>
      </c>
      <c r="L194" s="40">
        <f>IFERROR(IF(K193=0,"",L193/K193-1),"")</f>
        <v>0.087703298373613</v>
      </c>
      <c r="M194" s="12">
        <f>IF(L193=0,"",M193/L193-1)</f>
        <v>0</v>
      </c>
      <c r="N194" s="40">
        <f>IFERROR(IF(M193=0,"",N193/M193-1),"")</f>
        <v>0.0638624930128564</v>
      </c>
      <c r="O194" s="40">
        <f>IFERROR(IF(N193=0,"",O193/N193-1),"")</f>
        <v>0.0127413634572442</v>
      </c>
      <c r="P194" s="40">
        <f>IFERROR(IF(O193=0,"",P193/O193-1),"")</f>
        <v>0.0399481193255513</v>
      </c>
      <c r="Q194" s="40">
        <f>IFERROR(IF(P193=0,"",Q193/P193-1),"")</f>
        <v>0.219256672486905</v>
      </c>
      <c r="R194" s="12">
        <f>IF(Q193=0,"",R193/Q193-1)</f>
        <v>0</v>
      </c>
      <c r="S194" s="40">
        <f>IFERROR(IF(R193=0,"",S193/R193-1),"")</f>
        <v>-0.0105871522094927</v>
      </c>
      <c r="T194" s="40">
        <f>IFERROR(IF(S193=0,"",T193/S193-1),"")</f>
        <v>0.274747996898423</v>
      </c>
      <c r="U194" s="40">
        <f>IFERROR(IF(T193=0,"",U193/T193-1),"")</f>
        <v>-0.0296431467964314</v>
      </c>
      <c r="V194" s="40">
        <f>IFERROR(IF(U193=0,"",V193/U193-1),"")</f>
        <v>0.0290860462200677</v>
      </c>
      <c r="W194" s="12">
        <f>IF(V193=0,"",W193/V193-1)</f>
        <v>0</v>
      </c>
      <c r="X194" s="40">
        <f>IFERROR(IF(W193=0,"",X193/W193-1),"")</f>
        <v>-0.0806091370558376</v>
      </c>
      <c r="Y194" s="40">
        <f>IFERROR(IF(X193=0,"",Y193/X193-1),"")</f>
        <v>-0.0320671378091872</v>
      </c>
      <c r="Z194" s="40">
        <f>IFERROR(IF(Y193=0,"",Z193/Y193-1),"")</f>
        <v>0.0795838276900611</v>
      </c>
      <c r="AA194" s="40">
        <f>IFERROR(IF(Z193=0,"",AA193/Z193-1),"")</f>
        <v>0.0130611209738778</v>
      </c>
      <c r="AB194" s="12">
        <f>IF(AA193=0,"",AB193/AA193-1)</f>
        <v>0</v>
      </c>
      <c r="AC194" s="40">
        <f>IFERROR(IF(AB193=0,"",AC193/AB193-1),"")</f>
        <v>-0.0235740810280802</v>
      </c>
      <c r="AD194" s="40">
        <f>IFERROR(IF(AC193=0,"",AD193/AC193-1),"")</f>
        <v>0.0707204512434834</v>
      </c>
      <c r="AE194" s="40">
        <f>IFERROR(IF(AD193=0,"",AE193/AD193-1),"")</f>
        <v>0.0794189248513391</v>
      </c>
      <c r="AF194" s="55">
        <f>IFERROR(IF(AE193=0,"",AF193/AE193-1),"")</f>
        <v>0.136133397419307</v>
      </c>
      <c r="AG194" s="12">
        <f>IF(AF193=0,"",AG193/AF193-1)</f>
        <v>0</v>
      </c>
      <c r="AH194" s="55">
        <f>IFERROR(IF(AG193=0,"",AH193/AG193-1),"")</f>
        <v>0.0092420840248626</v>
      </c>
      <c r="AI194" s="55">
        <f>IFERROR(IF(AH193=0,"",AI193/AH193-1),"")</f>
        <v>0.227388514493922</v>
      </c>
      <c r="AJ194" s="55">
        <f>IFERROR(IF(AI193=0,"",AJ193/AI193-1),"")</f>
        <v>0.247924189526691</v>
      </c>
      <c r="AK194" s="55">
        <f>IF(AJ193=0,"",AK193/AJ193-1)</f>
        <v>0.247924189526691</v>
      </c>
      <c r="AL194" s="12">
        <f>IF(AK193=0,"",AL193/AK193-1)</f>
        <v>0</v>
      </c>
      <c r="AM194" s="55">
        <f>IF(AL193=0,"",AM193/AL193-1)</f>
        <v>0.247924189526691</v>
      </c>
      <c r="AN194" s="55">
        <f>IF(AM193=0,"",AN193/AM193-1)</f>
        <v>0.247924189526691</v>
      </c>
      <c r="AO194" s="55">
        <f>IF(AN193=0,"",AO193/AN193-1)</f>
        <v>0.247924189526691</v>
      </c>
      <c r="AP194" s="55">
        <f>IF(AO193=0,"",AP193/AO193-1)</f>
        <v>0.247924189526691</v>
      </c>
      <c r="AQ194" s="12">
        <f>IF(AP193=0,"",AQ193/AP193-1)</f>
        <v>0</v>
      </c>
      <c r="AR194" s="55">
        <f>IF(AQ193=0,"",AR193/AQ193-1)</f>
        <v>0.242924189526691</v>
      </c>
      <c r="AS194" s="55">
        <f>IF(AR193=0,"",AS193/AR193-1)</f>
        <v>0.242924189526691</v>
      </c>
      <c r="AT194" s="55">
        <f>IF(AS193=0,"",AT193/AS193-1)</f>
        <v>0.242924189526691</v>
      </c>
      <c r="AU194" s="55">
        <f>IF(AT193=0,"",AU193/AT193-1)</f>
        <v>0.242924189526691</v>
      </c>
      <c r="AV194" s="12">
        <f>IF(AU193=0,"",AV193/AU193-1)</f>
        <v>0</v>
      </c>
      <c r="AW194" s="55">
        <f>IF(AV193=0,"",AW193/AV193-1)</f>
        <v>0.237924189526691</v>
      </c>
      <c r="AX194" s="55">
        <f>IF(AW193=0,"",AX193/AW193-1)</f>
        <v>0.237924189526691</v>
      </c>
      <c r="AY194" s="55">
        <f>IF(AX193=0,"",AY193/AX193-1)</f>
        <v>0.237924189526691</v>
      </c>
      <c r="AZ194" s="55">
        <f>IF(AY193=0,"",AZ193/AY193-1)</f>
        <v>0.237924189526691</v>
      </c>
      <c r="BA194" s="12">
        <f>IF(AZ193=0,"",BA193/AZ193-1)</f>
        <v>0</v>
      </c>
      <c r="BB194" s="55">
        <f>IF(BA193=0,"",BB193/BA193-1)</f>
        <v>0.232924189526691</v>
      </c>
      <c r="BC194" s="55">
        <f>IF(BB193=0,"",BC193/BB193-1)</f>
        <v>0.232924189526691</v>
      </c>
      <c r="BD194" s="55">
        <f>IF(BC193=0,"",BD193/BC193-1)</f>
        <v>0.232924189526691</v>
      </c>
      <c r="BE194" s="55">
        <f>IF(BD193=0,"",BE193/BD193-1)</f>
        <v>0.232924189526691</v>
      </c>
      <c r="BF194" s="12">
        <f>IF(BE193=0,"",BF193/BE193-1)</f>
        <v>0</v>
      </c>
      <c r="BG194" s="55" t="n"/>
      <c r="BH194" s="55" t="n"/>
      <c r="BI194" s="55" t="n"/>
      <c r="BJ194" s="55" t="n"/>
      <c r="BK194" s="12" t="n"/>
      <c r="BL194" s="55" t="n"/>
      <c r="BM194" s="55" t="n"/>
      <c r="BN194" s="55" t="n"/>
      <c r="BO194" s="55" t="n"/>
      <c r="BP194" s="12" t="n"/>
      <c r="BQ194" s="55" t="n"/>
      <c r="BR194" s="55" t="n"/>
      <c r="BS194" s="55" t="n"/>
      <c r="BT194" s="55" t="n"/>
      <c r="BU194" s="12" t="n"/>
      <c r="BV194" s="55" t="n"/>
      <c r="BW194" s="55" t="n"/>
      <c r="BX194" s="55" t="n"/>
      <c r="BY194" s="55" t="n"/>
      <c r="BZ194" s="12" t="n"/>
      <c r="CA194" s="55" t="n"/>
      <c r="CB194" s="55" t="n"/>
      <c r="CC194" s="55" t="n"/>
      <c r="CD194" s="55" t="n"/>
      <c r="CE194" s="12" t="n"/>
      <c r="CF194" s="55" t="n"/>
      <c r="CG194" s="55" t="n"/>
      <c r="CH194" s="55" t="n"/>
      <c r="CI194" s="55" t="n"/>
      <c r="CJ194" s="12" t="n"/>
      <c r="CK194" s="55" t="n"/>
      <c r="CL194" s="55" t="n"/>
      <c r="CM194" s="55" t="n"/>
      <c r="CN194" s="55" t="n"/>
      <c r="CO194" s="12" t="n"/>
      <c r="CP194" s="55" t="n"/>
      <c r="CQ194" s="55" t="n"/>
      <c r="CR194" s="55" t="n"/>
      <c r="CS194" s="55" t="n"/>
      <c r="CT194" s="12" t="n"/>
      <c r="CU194" s="55" t="n"/>
      <c r="CV194" s="55" t="n"/>
      <c r="CW194" s="55" t="n"/>
      <c r="CX194" s="55" t="n"/>
      <c r="CY194" s="12" t="n"/>
    </row>
    <row r="195" collapsed="1">
      <c r="C195" s="14" t="inlineStr">
        <is>
          <t>Taxes payable</t>
        </is>
      </c>
      <c r="D195" s="46" t="n"/>
      <c r="E195" s="46" t="n"/>
      <c r="F195" s="46" t="n"/>
      <c r="G195" s="46" t="n"/>
      <c r="H195" s="12" t="n"/>
      <c r="I195" s="46">
        <f>'Inputs (2)'!D30</f>
        <v>0</v>
      </c>
      <c r="J195" s="46">
        <f>'Inputs (2)'!E30</f>
        <v>0</v>
      </c>
      <c r="K195" s="46">
        <f>'Inputs (2)'!F30</f>
        <v>0</v>
      </c>
      <c r="L195" s="46">
        <f>'Inputs (2)'!G30</f>
        <v>0</v>
      </c>
      <c r="M195" s="12">
        <f>'Inputs (2)'!H30</f>
        <v>0</v>
      </c>
      <c r="N195" s="46">
        <f>'Inputs (2)'!I30</f>
        <v>0</v>
      </c>
      <c r="O195" s="46">
        <f>'Inputs (2)'!J30</f>
        <v>0</v>
      </c>
      <c r="P195" s="46">
        <f>'Inputs (2)'!K30</f>
        <v>0</v>
      </c>
      <c r="Q195" s="46">
        <f>'Inputs (2)'!L30</f>
        <v>0</v>
      </c>
      <c r="R195" s="12">
        <f>'Inputs (2)'!M30</f>
        <v>0</v>
      </c>
      <c r="S195" s="46">
        <f>'Inputs (2)'!N30</f>
        <v>0</v>
      </c>
      <c r="T195" s="46">
        <f>'Inputs (2)'!O30</f>
        <v>0</v>
      </c>
      <c r="U195" s="46">
        <f>'Inputs (2)'!P30</f>
        <v>0</v>
      </c>
      <c r="V195" s="46">
        <f>'Inputs (2)'!Q30</f>
        <v>0</v>
      </c>
      <c r="W195" s="12">
        <f>'Inputs (2)'!R30</f>
        <v>0</v>
      </c>
      <c r="X195" s="46">
        <f>'Inputs (2)'!S30</f>
        <v>0</v>
      </c>
      <c r="Y195" s="46">
        <f>'Inputs (2)'!T30</f>
        <v>0</v>
      </c>
      <c r="Z195" s="46">
        <f>'Inputs (2)'!U30</f>
        <v>0</v>
      </c>
      <c r="AA195" s="46">
        <f>'Inputs (2)'!V30</f>
        <v>0</v>
      </c>
      <c r="AB195" s="12">
        <f>'Inputs (2)'!W30</f>
        <v>0</v>
      </c>
      <c r="AC195" s="46">
        <f>'Inputs (2)'!X30</f>
        <v>0</v>
      </c>
      <c r="AD195" s="46">
        <f>'Inputs (2)'!Y30</f>
        <v>0</v>
      </c>
      <c r="AE195" s="46">
        <f>'Inputs (2)'!Z30</f>
        <v>0</v>
      </c>
      <c r="AF195" s="46">
        <f>'Inputs (2)'!AA30</f>
        <v>0</v>
      </c>
      <c r="AG195" s="12">
        <f>'Inputs (2)'!AB30</f>
        <v>0</v>
      </c>
      <c r="AH195" s="12">
        <f>'Inputs (2)'!AC30</f>
        <v>0</v>
      </c>
      <c r="AI195" s="12">
        <f>'Inputs (2)'!AD30</f>
        <v>0</v>
      </c>
      <c r="AJ195" s="12">
        <f>AI195*(1+AJ16)</f>
        <v>0</v>
      </c>
      <c r="AK195" s="12">
        <f>AJ195*(1+AK16)</f>
        <v>0</v>
      </c>
      <c r="AL195" s="12">
        <f>AK195</f>
        <v>0</v>
      </c>
      <c r="AM195" s="12">
        <f>AL195*(1+AM16)</f>
        <v>0</v>
      </c>
      <c r="AN195" s="12">
        <f>AM195*(1+AN16)</f>
        <v>0</v>
      </c>
      <c r="AO195" s="12">
        <f>AN195*(1+AO16)</f>
        <v>0</v>
      </c>
      <c r="AP195" s="12">
        <f>AO195*(1+AP16)</f>
        <v>0</v>
      </c>
      <c r="AQ195" s="12">
        <f>AP195</f>
        <v>0</v>
      </c>
      <c r="AR195" s="12">
        <f>AQ195*(1+AR16)</f>
        <v>0</v>
      </c>
      <c r="AS195" s="12">
        <f>AR195*(1+AS16)</f>
        <v>0</v>
      </c>
      <c r="AT195" s="12">
        <f>AS195*(1+AT16)</f>
        <v>0</v>
      </c>
      <c r="AU195" s="12">
        <f>AT195*(1+AU16)</f>
        <v>0</v>
      </c>
      <c r="AV195" s="12">
        <f>AU195</f>
        <v>0</v>
      </c>
      <c r="AW195" s="12">
        <f>AV195*(1+AW16)</f>
        <v>0</v>
      </c>
      <c r="AX195" s="12">
        <f>AW195*(1+AX16)</f>
        <v>0</v>
      </c>
      <c r="AY195" s="12">
        <f>AX195*(1+AY16)</f>
        <v>0</v>
      </c>
      <c r="AZ195" s="12">
        <f>AY195*(1+AZ16)</f>
        <v>0</v>
      </c>
      <c r="BA195" s="12">
        <f>AZ195</f>
        <v>0</v>
      </c>
      <c r="BB195" s="12">
        <f>BA195*(1+BB16)</f>
        <v>0</v>
      </c>
      <c r="BC195" s="12">
        <f>BB195*(1+BC16)</f>
        <v>0</v>
      </c>
      <c r="BD195" s="12">
        <f>BC195*(1+BD16)</f>
        <v>0</v>
      </c>
      <c r="BE195" s="12">
        <f>BD195*(1+BE16)</f>
        <v>0</v>
      </c>
      <c r="BF195" s="12">
        <f>BE195</f>
        <v>0</v>
      </c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>
      <c r="C196" s="14" t="inlineStr">
        <is>
          <t>Other current liabilities (non-debt)</t>
        </is>
      </c>
      <c r="D196" s="46" t="n"/>
      <c r="E196" s="46" t="n"/>
      <c r="F196" s="46" t="n"/>
      <c r="G196" s="46" t="n"/>
      <c r="H196" s="12" t="n"/>
      <c r="I196" s="46">
        <f>'Inputs (2)'!D31</f>
        <v>1388</v>
      </c>
      <c r="J196" s="46">
        <f>'Inputs (2)'!E31</f>
        <v>1340</v>
      </c>
      <c r="K196" s="46">
        <f>'Inputs (2)'!F31</f>
        <v>1373</v>
      </c>
      <c r="L196" s="46">
        <f>'Inputs (2)'!G31</f>
        <v>1613</v>
      </c>
      <c r="M196" s="12">
        <f>'Inputs (2)'!H31</f>
        <v>1613</v>
      </c>
      <c r="N196" s="46">
        <f>'Inputs (2)'!I31</f>
        <v>1455</v>
      </c>
      <c r="O196" s="46">
        <f>'Inputs (2)'!J31</f>
        <v>1514</v>
      </c>
      <c r="P196" s="46">
        <f>'Inputs (2)'!K31</f>
        <v>1489</v>
      </c>
      <c r="Q196" s="46">
        <f>'Inputs (2)'!L31</f>
        <v>1117</v>
      </c>
      <c r="R196" s="12">
        <f>'Inputs (2)'!M31</f>
        <v>1117</v>
      </c>
      <c r="S196" s="46">
        <f>'Inputs (2)'!N31</f>
        <v>885</v>
      </c>
      <c r="T196" s="46">
        <f>'Inputs (2)'!O31</f>
        <v>772</v>
      </c>
      <c r="U196" s="46">
        <f>'Inputs (2)'!P31</f>
        <v>770</v>
      </c>
      <c r="V196" s="46">
        <f>'Inputs (2)'!Q31</f>
        <v>863</v>
      </c>
      <c r="W196" s="12">
        <f>'Inputs (2)'!R31</f>
        <v>863</v>
      </c>
      <c r="X196" s="46">
        <f>'Inputs (2)'!S31</f>
        <v>0</v>
      </c>
      <c r="Y196" s="46">
        <f>'Inputs (2)'!T31</f>
        <v>0</v>
      </c>
      <c r="Z196" s="46">
        <f>'Inputs (2)'!U31</f>
        <v>0</v>
      </c>
      <c r="AA196" s="46">
        <f>'Inputs (2)'!V31</f>
        <v>0</v>
      </c>
      <c r="AB196" s="12">
        <f>'Inputs (2)'!W31</f>
        <v>0</v>
      </c>
      <c r="AC196" s="46">
        <f>'Inputs (2)'!X31</f>
        <v>0</v>
      </c>
      <c r="AD196" s="46">
        <f>'Inputs (2)'!Y31</f>
        <v>0</v>
      </c>
      <c r="AE196" s="46">
        <f>'Inputs (2)'!Z31</f>
        <v>0</v>
      </c>
      <c r="AF196" s="46">
        <f>'Inputs (2)'!AA31</f>
        <v>0</v>
      </c>
      <c r="AG196" s="12">
        <f>'Inputs (2)'!AB31</f>
        <v>0</v>
      </c>
      <c r="AH196" s="12">
        <f>'Inputs (2)'!AC31</f>
        <v>0</v>
      </c>
      <c r="AI196" s="12">
        <f>'Inputs (2)'!AD31</f>
        <v>0</v>
      </c>
      <c r="AJ196" s="12">
        <f>AI196</f>
        <v>0</v>
      </c>
      <c r="AK196" s="12">
        <f>AJ196</f>
        <v>0</v>
      </c>
      <c r="AL196" s="12">
        <f>AK196</f>
        <v>0</v>
      </c>
      <c r="AM196" s="12">
        <f>AL196</f>
        <v>0</v>
      </c>
      <c r="AN196" s="12">
        <f>AM196</f>
        <v>0</v>
      </c>
      <c r="AO196" s="12">
        <f>AN196</f>
        <v>0</v>
      </c>
      <c r="AP196" s="12">
        <f>AO196</f>
        <v>0</v>
      </c>
      <c r="AQ196" s="12">
        <f>AP196</f>
        <v>0</v>
      </c>
      <c r="AR196" s="12">
        <f>AQ196</f>
        <v>0</v>
      </c>
      <c r="AS196" s="12">
        <f>AR196</f>
        <v>0</v>
      </c>
      <c r="AT196" s="12">
        <f>AS196</f>
        <v>0</v>
      </c>
      <c r="AU196" s="12">
        <f>AT196</f>
        <v>0</v>
      </c>
      <c r="AV196" s="12">
        <f>AU196</f>
        <v>0</v>
      </c>
      <c r="AW196" s="12">
        <f>AV196</f>
        <v>0</v>
      </c>
      <c r="AX196" s="12">
        <f>AW196</f>
        <v>0</v>
      </c>
      <c r="AY196" s="12">
        <f>AX196</f>
        <v>0</v>
      </c>
      <c r="AZ196" s="12">
        <f>AY196</f>
        <v>0</v>
      </c>
      <c r="BA196" s="12">
        <f>AZ196</f>
        <v>0</v>
      </c>
      <c r="BB196" s="12">
        <f>BA196</f>
        <v>0</v>
      </c>
      <c r="BC196" s="12">
        <f>BB196</f>
        <v>0</v>
      </c>
      <c r="BD196" s="12">
        <f>BC196</f>
        <v>0</v>
      </c>
      <c r="BE196" s="12">
        <f>BD196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9" t="inlineStr">
        <is>
          <t>%(Var.)</t>
        </is>
      </c>
      <c r="D197" s="12" t="n"/>
      <c r="E197" s="40" t="n"/>
      <c r="F197" s="40" t="n"/>
      <c r="G197" s="40" t="n"/>
      <c r="H197" s="12" t="n"/>
      <c r="I197" s="40" t="str">
        <f>""</f>
        <v/>
      </c>
      <c r="J197" s="40">
        <f>IFERROR(IF(I196=0,"",J196/I196-1),"")</f>
        <v>-0.0345821325648416</v>
      </c>
      <c r="K197" s="40">
        <f>IFERROR(IF(J196=0,"",K196/J196-1),"")</f>
        <v>0.0246268656716417</v>
      </c>
      <c r="L197" s="40">
        <f>IFERROR(IF(K196=0,"",L196/K196-1),"")</f>
        <v>0.174799708667152</v>
      </c>
      <c r="M197" s="12">
        <f>IF(L196=0,"",M196/L196-1)</f>
        <v>0</v>
      </c>
      <c r="N197" s="40">
        <f>IFERROR(IF(M196=0,"",N196/M196-1),"")</f>
        <v>-0.0979541227526348</v>
      </c>
      <c r="O197" s="40">
        <f>IFERROR(IF(N196=0,"",O196/N196-1),"")</f>
        <v>0.0405498281786942</v>
      </c>
      <c r="P197" s="40">
        <f>IFERROR(IF(O196=0,"",P196/O196-1),"")</f>
        <v>-0.0165125495376486</v>
      </c>
      <c r="Q197" s="40">
        <f>IFERROR(IF(P196=0,"",Q196/P196-1),"")</f>
        <v>-0.249832102081934</v>
      </c>
      <c r="R197" s="12">
        <f>IF(Q196=0,"",R196/Q196-1)</f>
        <v>0</v>
      </c>
      <c r="S197" s="40">
        <f>IFERROR(IF(R196=0,"",S196/R196-1),"")</f>
        <v>-0.207699194270367</v>
      </c>
      <c r="T197" s="40">
        <f>IFERROR(IF(S196=0,"",T196/S196-1),"")</f>
        <v>-0.127683615819209</v>
      </c>
      <c r="U197" s="40">
        <f>IFERROR(IF(T196=0,"",U196/T196-1),"")</f>
        <v>-0.00259067357512954</v>
      </c>
      <c r="V197" s="40">
        <f>IFERROR(IF(U196=0,"",V196/U196-1),"")</f>
        <v>0.120779220779221</v>
      </c>
      <c r="W197" s="12">
        <f>IF(V196=0,"",W196/V196-1)</f>
        <v>0</v>
      </c>
      <c r="X197" s="40">
        <f>IFERROR(IF(W196=0,"",X196/W196-1),"")</f>
        <v>-1</v>
      </c>
      <c r="Y197" s="40" t="str">
        <f>IFERROR(IF(X196=0,"",Y196/X196-1),"")</f>
        <v/>
      </c>
      <c r="Z197" s="40" t="str">
        <f>IFERROR(IF(Y196=0,"",Z196/Y196-1),"")</f>
        <v/>
      </c>
      <c r="AA197" s="40" t="str">
        <f>IFERROR(IF(Z196=0,"",AA196/Z196-1),"")</f>
        <v/>
      </c>
      <c r="AB197" s="12" t="str">
        <f>IF(AA196=0,"",AB196/AA196-1)</f>
        <v/>
      </c>
      <c r="AC197" s="40" t="str">
        <f>IFERROR(IF(AB196=0,"",AC196/AB196-1),"")</f>
        <v/>
      </c>
      <c r="AD197" s="40" t="str">
        <f>IFERROR(IF(AC196=0,"",AD196/AC196-1),"")</f>
        <v/>
      </c>
      <c r="AE197" s="40" t="str">
        <f>IFERROR(IF(AD196=0,"",AE196/AD196-1),"")</f>
        <v/>
      </c>
      <c r="AF197" s="55" t="str">
        <f>IFERROR(IF(AE196=0,"",AF196/AE196-1),"")</f>
        <v/>
      </c>
      <c r="AG197" s="12" t="str">
        <f>IF(AF196=0,"",AG196/AF196-1)</f>
        <v/>
      </c>
      <c r="AH197" s="55" t="str">
        <f>IFERROR(IF(AG196=0,"",AH196/AG196-1),"")</f>
        <v/>
      </c>
      <c r="AI197" s="55" t="str">
        <f>IFERROR(IF(AH196=0,"",AI196/AH196-1),"")</f>
        <v/>
      </c>
      <c r="AJ197" s="55" t="str">
        <f>IFERROR(IF(AI196=0,"",AJ196/AI196-1),"")</f>
        <v/>
      </c>
      <c r="AK197" s="55" t="str">
        <f>IFERROR(IF(AJ196=0,"",AK196/AJ196-1),"")</f>
        <v/>
      </c>
      <c r="AL197" s="12" t="str">
        <f>IFERROR(IF(AK196=0,"",AL196/AK196-1),"")</f>
        <v/>
      </c>
      <c r="AM197" s="55" t="str">
        <f>IFERROR(IF(AL196=0,"",AM196/AL196-1),"")</f>
        <v/>
      </c>
      <c r="AN197" s="55" t="str">
        <f>IFERROR(IF(AM196=0,"",AN196/AM196-1),"")</f>
        <v/>
      </c>
      <c r="AO197" s="55" t="str">
        <f>IFERROR(IF(AN196=0,"",AO196/AN196-1),"")</f>
        <v/>
      </c>
      <c r="AP197" s="55" t="str">
        <f>IFERROR(IF(AO196=0,"",AP196/AO196-1),"")</f>
        <v/>
      </c>
      <c r="AQ197" s="12" t="str">
        <f>IFERROR(IF(AP196=0,"",AQ196/AP196-1),"")</f>
        <v/>
      </c>
      <c r="AR197" s="55" t="str">
        <f>IFERROR(IF(AQ196=0,"",AR196/AQ196-1),"")</f>
        <v/>
      </c>
      <c r="AS197" s="55" t="str">
        <f>IFERROR(IF(AR196=0,"",AS196/AR196-1),"")</f>
        <v/>
      </c>
      <c r="AT197" s="55" t="str">
        <f>IFERROR(IF(AS196=0,"",AT196/AS196-1),"")</f>
        <v/>
      </c>
      <c r="AU197" s="55" t="str">
        <f>IFERROR(IF(AT196=0,"",AU196/AT196-1),"")</f>
        <v/>
      </c>
      <c r="AV197" s="12" t="str">
        <f>IFERROR(IF(AU196=0,"",AV196/AU196-1),"")</f>
        <v/>
      </c>
      <c r="AW197" s="55" t="str">
        <f>IFERROR(IF(AV196=0,"",AW196/AV196-1),"")</f>
        <v/>
      </c>
      <c r="AX197" s="55" t="str">
        <f>IFERROR(IF(AW196=0,"",AX196/AW196-1),"")</f>
        <v/>
      </c>
      <c r="AY197" s="55" t="str">
        <f>IFERROR(IF(AX196=0,"",AY196/AX196-1),"")</f>
        <v/>
      </c>
      <c r="AZ197" s="55" t="str">
        <f>IFERROR(IF(AY196=0,"",AZ196/AY196-1),"")</f>
        <v/>
      </c>
      <c r="BA197" s="12" t="str">
        <f>IFERROR(IF(AZ196=0,"",BA196/AZ196-1),"")</f>
        <v/>
      </c>
      <c r="BB197" s="55" t="str">
        <f>IFERROR(IF(BA196=0,"",BB196/BA196-1),"")</f>
        <v/>
      </c>
      <c r="BC197" s="55" t="str">
        <f>IFERROR(IF(BB196=0,"",BC196/BB196-1),"")</f>
        <v/>
      </c>
      <c r="BD197" s="55" t="str">
        <f>IFERROR(IF(BC196=0,"",BD196/BC196-1),"")</f>
        <v/>
      </c>
      <c r="BE197" s="55" t="str">
        <f>IFERROR(IF(BD196=0,"",BE196/BD196-1),"")</f>
        <v/>
      </c>
      <c r="BF197" s="12" t="str">
        <f>IFERROR(IF(BE196=0,"",BF196/BE196-1),"")</f>
        <v/>
      </c>
      <c r="BG197" s="55" t="n"/>
      <c r="BH197" s="55" t="n"/>
      <c r="BI197" s="55" t="n"/>
      <c r="BJ197" s="55" t="n"/>
      <c r="BK197" s="12" t="n"/>
      <c r="BL197" s="55" t="n"/>
      <c r="BM197" s="55" t="n"/>
      <c r="BN197" s="55" t="n"/>
      <c r="BO197" s="55" t="n"/>
      <c r="BP197" s="12" t="n"/>
      <c r="BQ197" s="55" t="n"/>
      <c r="BR197" s="55" t="n"/>
      <c r="BS197" s="55" t="n"/>
      <c r="BT197" s="55" t="n"/>
      <c r="BU197" s="12" t="n"/>
      <c r="BV197" s="55" t="n"/>
      <c r="BW197" s="55" t="n"/>
      <c r="BX197" s="55" t="n"/>
      <c r="BY197" s="55" t="n"/>
      <c r="BZ197" s="12" t="n"/>
      <c r="CA197" s="55" t="n"/>
      <c r="CB197" s="55" t="n"/>
      <c r="CC197" s="55" t="n"/>
      <c r="CD197" s="55" t="n"/>
      <c r="CE197" s="12" t="n"/>
      <c r="CF197" s="55" t="n"/>
      <c r="CG197" s="55" t="n"/>
      <c r="CH197" s="55" t="n"/>
      <c r="CI197" s="55" t="n"/>
      <c r="CJ197" s="12" t="n"/>
      <c r="CK197" s="55" t="n"/>
      <c r="CL197" s="55" t="n"/>
      <c r="CM197" s="55" t="n"/>
      <c r="CN197" s="55" t="n"/>
      <c r="CO197" s="12" t="n"/>
      <c r="CP197" s="55" t="n"/>
      <c r="CQ197" s="55" t="n"/>
      <c r="CR197" s="55" t="n"/>
      <c r="CS197" s="55" t="n"/>
      <c r="CT197" s="12" t="n"/>
      <c r="CU197" s="55" t="n"/>
      <c r="CV197" s="55" t="n"/>
      <c r="CW197" s="55" t="n"/>
      <c r="CX197" s="55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7" t="inlineStr">
        <is>
          <t xml:space="preserve">Dividendos a Pagar </t>
        </is>
      </c>
      <c r="D199" s="11" t="n"/>
      <c r="E199" s="11" t="n"/>
      <c r="F199" s="11" t="n"/>
      <c r="G199" s="11" t="n"/>
      <c r="H199" s="12" t="n"/>
      <c r="I199" s="11" t="n"/>
      <c r="J199" s="11" t="n"/>
      <c r="K199" s="11" t="n"/>
      <c r="L199" s="11" t="n"/>
      <c r="M199" s="12" t="n"/>
      <c r="N199" s="11" t="n"/>
      <c r="O199" s="11" t="n"/>
      <c r="P199" s="11" t="n"/>
      <c r="Q199" s="11" t="n"/>
      <c r="R199" s="12" t="n"/>
      <c r="S199" s="11" t="n"/>
      <c r="T199" s="11" t="n"/>
      <c r="U199" s="11" t="n"/>
      <c r="V199" s="11" t="n"/>
      <c r="W199" s="12" t="n"/>
      <c r="X199" s="11" t="n"/>
      <c r="Y199" s="11" t="n"/>
      <c r="Z199" s="11" t="n"/>
      <c r="AA199" s="11" t="n"/>
      <c r="AB199" s="12" t="n"/>
      <c r="AC199" s="11" t="n"/>
      <c r="AD199" s="11" t="n"/>
      <c r="AE199" s="11" t="n"/>
      <c r="AF199" s="11" t="n"/>
      <c r="AG199" s="12" t="n"/>
      <c r="AH199" s="11" t="n"/>
      <c r="AI199" s="11" t="n"/>
      <c r="AJ199" s="11" t="n"/>
      <c r="AK199" s="11" t="n"/>
      <c r="AL199" s="12" t="n"/>
      <c r="AM199" s="11" t="n"/>
      <c r="AN199" s="11" t="n"/>
      <c r="AO199" s="11" t="n"/>
      <c r="AP199" s="11" t="n"/>
      <c r="AQ199" s="12" t="n"/>
      <c r="AR199" s="11" t="n"/>
      <c r="AS199" s="11" t="n"/>
      <c r="AT199" s="11" t="n"/>
      <c r="AU199" s="11" t="n"/>
      <c r="AV199" s="12" t="n"/>
      <c r="AW199" s="11" t="n"/>
      <c r="AX199" s="11" t="n"/>
      <c r="AY199" s="11" t="n"/>
      <c r="AZ199" s="11" t="n"/>
      <c r="BA199" s="12" t="n"/>
      <c r="BB199" s="11" t="n"/>
      <c r="BC199" s="11" t="n"/>
      <c r="BD199" s="11" t="n"/>
      <c r="BE199" s="11" t="n"/>
      <c r="BF199" s="12" t="n"/>
      <c r="BG199" s="11" t="n"/>
      <c r="BH199" s="11" t="n"/>
      <c r="BI199" s="11" t="n"/>
      <c r="BJ199" s="11" t="n"/>
      <c r="BK199" s="12" t="n"/>
      <c r="BL199" s="11" t="n"/>
      <c r="BM199" s="11" t="n"/>
      <c r="BN199" s="11" t="n"/>
      <c r="BO199" s="11" t="n"/>
      <c r="BP199" s="12" t="n"/>
      <c r="BQ199" s="11" t="n"/>
      <c r="BR199" s="11" t="n"/>
      <c r="BS199" s="11" t="n"/>
      <c r="BT199" s="11" t="n"/>
      <c r="BU199" s="12" t="n"/>
      <c r="BV199" s="11" t="n"/>
      <c r="BW199" s="11" t="n"/>
      <c r="BX199" s="11" t="n"/>
      <c r="BY199" s="11" t="n"/>
      <c r="BZ199" s="12" t="n"/>
      <c r="CA199" s="11" t="n"/>
      <c r="CB199" s="11" t="n"/>
      <c r="CC199" s="11" t="n"/>
      <c r="CD199" s="11" t="n"/>
      <c r="CE199" s="12" t="n"/>
      <c r="CF199" s="11" t="n"/>
      <c r="CG199" s="11" t="n"/>
      <c r="CH199" s="11" t="n"/>
      <c r="CI199" s="11" t="n"/>
      <c r="CJ199" s="12" t="n"/>
      <c r="CK199" s="11" t="n"/>
      <c r="CL199" s="11" t="n"/>
      <c r="CM199" s="11" t="n"/>
      <c r="CN199" s="11" t="n"/>
      <c r="CO199" s="12" t="n"/>
      <c r="CP199" s="11" t="n"/>
      <c r="CQ199" s="11" t="n"/>
      <c r="CR199" s="11" t="n"/>
      <c r="CS199" s="11" t="n"/>
      <c r="CT199" s="12" t="n"/>
      <c r="CU199" s="11" t="n"/>
      <c r="CV199" s="11" t="n"/>
      <c r="CW199" s="11" t="n"/>
      <c r="CX199" s="11" t="n"/>
      <c r="CY199" s="12" t="n"/>
    </row>
    <row r="200" hidden="1" outlineLevel="1">
      <c r="C200" s="57" t="inlineStr">
        <is>
          <t>Contas a pagar pela aquisição de controladas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Outros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collapsed="1">
      <c r="C203" s="14" t="inlineStr">
        <is>
          <t>Current portion of long-term debt</t>
        </is>
      </c>
      <c r="D203" s="46" t="n"/>
      <c r="E203" s="46" t="n"/>
      <c r="F203" s="46" t="n"/>
      <c r="G203" s="46" t="n"/>
      <c r="H203" s="12" t="n"/>
      <c r="I203" s="46">
        <f>'Inputs (2)'!D32</f>
        <v>0</v>
      </c>
      <c r="J203" s="46">
        <f>'Inputs (2)'!E32</f>
        <v>0</v>
      </c>
      <c r="K203" s="46">
        <f>'Inputs (2)'!F32</f>
        <v>0</v>
      </c>
      <c r="L203" s="46">
        <f>'Inputs (2)'!G32</f>
        <v>0</v>
      </c>
      <c r="M203" s="12">
        <f>'Inputs (2)'!H32</f>
        <v>0</v>
      </c>
      <c r="N203" s="46">
        <f>'Inputs (2)'!I32</f>
        <v>0</v>
      </c>
      <c r="O203" s="46">
        <f>'Inputs (2)'!J32</f>
        <v>0</v>
      </c>
      <c r="P203" s="46">
        <f>'Inputs (2)'!K32</f>
        <v>0</v>
      </c>
      <c r="Q203" s="46">
        <f>'Inputs (2)'!L32</f>
        <v>0</v>
      </c>
      <c r="R203" s="12">
        <f>'Inputs (2)'!M32</f>
        <v>0</v>
      </c>
      <c r="S203" s="46">
        <f>'Inputs (2)'!N32</f>
        <v>0</v>
      </c>
      <c r="T203" s="46">
        <f>'Inputs (2)'!O32</f>
        <v>0</v>
      </c>
      <c r="U203" s="46">
        <f>'Inputs (2)'!P32</f>
        <v>0</v>
      </c>
      <c r="V203" s="46">
        <f>'Inputs (2)'!Q32</f>
        <v>0</v>
      </c>
      <c r="W203" s="12">
        <f>'Inputs (2)'!R32</f>
        <v>0</v>
      </c>
      <c r="X203" s="46">
        <f>'Inputs (2)'!S32</f>
        <v>0</v>
      </c>
      <c r="Y203" s="46">
        <f>'Inputs (2)'!T32</f>
        <v>0</v>
      </c>
      <c r="Z203" s="46">
        <f>'Inputs (2)'!U32</f>
        <v>0</v>
      </c>
      <c r="AA203" s="46">
        <f>'Inputs (2)'!V32</f>
        <v>0</v>
      </c>
      <c r="AB203" s="12">
        <f>'Inputs (2)'!W32</f>
        <v>0</v>
      </c>
      <c r="AC203" s="46">
        <f>'Inputs (2)'!X32</f>
        <v>0</v>
      </c>
      <c r="AD203" s="46">
        <f>'Inputs (2)'!Y32</f>
        <v>0</v>
      </c>
      <c r="AE203" s="46">
        <f>'Inputs (2)'!Z32</f>
        <v>0</v>
      </c>
      <c r="AF203" s="46">
        <f>'Inputs (2)'!AA32</f>
        <v>0</v>
      </c>
      <c r="AG203" s="12">
        <f>'Inputs (2)'!AB32</f>
        <v>0</v>
      </c>
      <c r="AH203" s="12">
        <f>'Inputs (2)'!AC32</f>
        <v>0</v>
      </c>
      <c r="AI203" s="12">
        <f>'Inputs (2)'!AD32</f>
        <v>0</v>
      </c>
      <c r="AJ203" s="12">
        <f>AI203</f>
        <v>0</v>
      </c>
      <c r="AK203" s="12">
        <f>AJ203</f>
        <v>0</v>
      </c>
      <c r="AL203" s="12">
        <f>AK203</f>
        <v>0</v>
      </c>
      <c r="AM203" s="12">
        <f>AL203</f>
        <v>0</v>
      </c>
      <c r="AN203" s="12">
        <f>AM203</f>
        <v>0</v>
      </c>
      <c r="AO203" s="12">
        <f>AN203</f>
        <v>0</v>
      </c>
      <c r="AP203" s="12">
        <f>AO203</f>
        <v>0</v>
      </c>
      <c r="AQ203" s="12">
        <f>AP203</f>
        <v>0</v>
      </c>
      <c r="AR203" s="12">
        <f>AQ203</f>
        <v>0</v>
      </c>
      <c r="AS203" s="12">
        <f>AR203</f>
        <v>0</v>
      </c>
      <c r="AT203" s="12">
        <f>AS203</f>
        <v>0</v>
      </c>
      <c r="AU203" s="12">
        <f>AT203</f>
        <v>0</v>
      </c>
      <c r="AV203" s="12">
        <f>AU203</f>
        <v>0</v>
      </c>
      <c r="AW203" s="12">
        <f>AV203</f>
        <v>0</v>
      </c>
      <c r="AX203" s="12">
        <f>AW203</f>
        <v>0</v>
      </c>
      <c r="AY203" s="12">
        <f>AX203</f>
        <v>0</v>
      </c>
      <c r="AZ203" s="12">
        <f>AY203</f>
        <v>0</v>
      </c>
      <c r="BA203" s="12">
        <f>AZ203</f>
        <v>0</v>
      </c>
      <c r="BB203" s="12">
        <f>BA203</f>
        <v>0</v>
      </c>
      <c r="BC203" s="12">
        <f>BB203</f>
        <v>0</v>
      </c>
      <c r="BD203" s="12">
        <f>BC203</f>
        <v>0</v>
      </c>
      <c r="BE203" s="12">
        <f>BD203</f>
        <v>0</v>
      </c>
      <c r="BF203" s="12">
        <f>BE203</f>
        <v>0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>
      <c r="C204" s="14" t="inlineStr">
        <is>
          <t>Short term debt (Revolving credit facility)</t>
        </is>
      </c>
      <c r="D204" s="46" t="n"/>
      <c r="E204" s="46" t="n"/>
      <c r="F204" s="46" t="n"/>
      <c r="G204" s="46" t="n"/>
      <c r="H204" s="12" t="n"/>
      <c r="I204" s="46">
        <f>'Inputs (2)'!D33</f>
        <v>0</v>
      </c>
      <c r="J204" s="46">
        <f>'Inputs (2)'!E33</f>
        <v>0</v>
      </c>
      <c r="K204" s="46">
        <f>'Inputs (2)'!F33</f>
        <v>0</v>
      </c>
      <c r="L204" s="46">
        <f>'Inputs (2)'!G33</f>
        <v>0</v>
      </c>
      <c r="M204" s="12">
        <f>'Inputs (2)'!H33</f>
        <v>0</v>
      </c>
      <c r="N204" s="46">
        <f>'Inputs (2)'!I33</f>
        <v>0</v>
      </c>
      <c r="O204" s="46">
        <f>'Inputs (2)'!J33</f>
        <v>0</v>
      </c>
      <c r="P204" s="46">
        <f>'Inputs (2)'!K33</f>
        <v>0</v>
      </c>
      <c r="Q204" s="46">
        <f>'Inputs (2)'!L33</f>
        <v>0</v>
      </c>
      <c r="R204" s="12">
        <f>'Inputs (2)'!M33</f>
        <v>0</v>
      </c>
      <c r="S204" s="46">
        <f>'Inputs (2)'!N33</f>
        <v>0</v>
      </c>
      <c r="T204" s="46">
        <f>'Inputs (2)'!O33</f>
        <v>0</v>
      </c>
      <c r="U204" s="46">
        <f>'Inputs (2)'!P33</f>
        <v>0</v>
      </c>
      <c r="V204" s="46">
        <f>'Inputs (2)'!Q33</f>
        <v>0</v>
      </c>
      <c r="W204" s="12">
        <f>'Inputs (2)'!R33</f>
        <v>0</v>
      </c>
      <c r="X204" s="46">
        <f>'Inputs (2)'!S33</f>
        <v>0</v>
      </c>
      <c r="Y204" s="46">
        <f>'Inputs (2)'!T33</f>
        <v>0</v>
      </c>
      <c r="Z204" s="46">
        <f>'Inputs (2)'!U33</f>
        <v>0</v>
      </c>
      <c r="AA204" s="46">
        <f>'Inputs (2)'!V33</f>
        <v>0</v>
      </c>
      <c r="AB204" s="12">
        <f>'Inputs (2)'!W33</f>
        <v>0</v>
      </c>
      <c r="AC204" s="46">
        <f>'Inputs (2)'!X33</f>
        <v>0</v>
      </c>
      <c r="AD204" s="46">
        <f>'Inputs (2)'!Y33</f>
        <v>0</v>
      </c>
      <c r="AE204" s="46">
        <f>'Inputs (2)'!Z33</f>
        <v>0</v>
      </c>
      <c r="AF204" s="46">
        <f>'Inputs (2)'!AA33</f>
        <v>0</v>
      </c>
      <c r="AG204" s="12">
        <f>'Inputs (2)'!AB33</f>
        <v>0</v>
      </c>
      <c r="AH204" s="12">
        <f>'Inputs (2)'!AC33</f>
        <v>0</v>
      </c>
      <c r="AI204" s="12">
        <f>'Inputs (2)'!AD33</f>
        <v>0</v>
      </c>
      <c r="AJ204" s="12">
        <f>AI204</f>
        <v>0</v>
      </c>
      <c r="AK204" s="12">
        <f>AJ204</f>
        <v>0</v>
      </c>
      <c r="AL204" s="12">
        <f>AK204</f>
        <v>0</v>
      </c>
      <c r="AM204" s="12">
        <f>AL204</f>
        <v>0</v>
      </c>
      <c r="AN204" s="12">
        <f>AM204</f>
        <v>0</v>
      </c>
      <c r="AO204" s="12">
        <f>AN204</f>
        <v>0</v>
      </c>
      <c r="AP204" s="12">
        <f>AO204</f>
        <v>0</v>
      </c>
      <c r="AQ204" s="12">
        <f>AP204</f>
        <v>0</v>
      </c>
      <c r="AR204" s="12">
        <f>AQ204</f>
        <v>0</v>
      </c>
      <c r="AS204" s="12">
        <f>AR204</f>
        <v>0</v>
      </c>
      <c r="AT204" s="12">
        <f>AS204</f>
        <v>0</v>
      </c>
      <c r="AU204" s="12">
        <f>AT204</f>
        <v>0</v>
      </c>
      <c r="AV204" s="12">
        <f>AU204</f>
        <v>0</v>
      </c>
      <c r="AW204" s="12">
        <f>AV204</f>
        <v>0</v>
      </c>
      <c r="AX204" s="12">
        <f>AW204</f>
        <v>0</v>
      </c>
      <c r="AY204" s="12">
        <f>AX204</f>
        <v>0</v>
      </c>
      <c r="AZ204" s="12">
        <f>AY204</f>
        <v>0</v>
      </c>
      <c r="BA204" s="12">
        <f>AZ204</f>
        <v>0</v>
      </c>
      <c r="BB204" s="12">
        <f>BA204</f>
        <v>0</v>
      </c>
      <c r="BC204" s="12">
        <f>BB204</f>
        <v>0</v>
      </c>
      <c r="BD204" s="12">
        <f>BC204</f>
        <v>0</v>
      </c>
      <c r="BE204" s="12">
        <f>BD204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operating leases</t>
        </is>
      </c>
      <c r="D205" s="46" t="n"/>
      <c r="E205" s="46" t="n"/>
      <c r="F205" s="46" t="n"/>
      <c r="G205" s="46" t="n"/>
      <c r="H205" s="12" t="n"/>
      <c r="I205" s="46">
        <f>'Inputs (2)'!D34</f>
        <v>1040</v>
      </c>
      <c r="J205" s="46">
        <f>'Inputs (2)'!E34</f>
        <v>1051</v>
      </c>
      <c r="K205" s="46">
        <f>'Inputs (2)'!F34</f>
        <v>1086</v>
      </c>
      <c r="L205" s="46">
        <f>'Inputs (2)'!G34</f>
        <v>1127</v>
      </c>
      <c r="M205" s="12">
        <f>'Inputs (2)'!H34</f>
        <v>1127</v>
      </c>
      <c r="N205" s="46">
        <f>'Inputs (2)'!I34</f>
        <v>1159</v>
      </c>
      <c r="O205" s="46">
        <f>'Inputs (2)'!J34</f>
        <v>1275</v>
      </c>
      <c r="P205" s="46">
        <f>'Inputs (2)'!K34</f>
        <v>1291</v>
      </c>
      <c r="Q205" s="46">
        <f>'Inputs (2)'!L34</f>
        <v>1367</v>
      </c>
      <c r="R205" s="12">
        <f>'Inputs (2)'!M34</f>
        <v>1367</v>
      </c>
      <c r="S205" s="46">
        <f>'Inputs (2)'!N34</f>
        <v>1479</v>
      </c>
      <c r="T205" s="46">
        <f>'Inputs (2)'!O34</f>
        <v>1396</v>
      </c>
      <c r="U205" s="46">
        <f>'Inputs (2)'!P34</f>
        <v>1460</v>
      </c>
      <c r="V205" s="46">
        <f>'Inputs (2)'!Q34</f>
        <v>1623</v>
      </c>
      <c r="W205" s="12">
        <f>'Inputs (2)'!R34</f>
        <v>1623</v>
      </c>
      <c r="X205" s="46">
        <f>'Inputs (2)'!S34</f>
        <v>1676</v>
      </c>
      <c r="Y205" s="46">
        <f>'Inputs (2)'!T34</f>
        <v>1917</v>
      </c>
      <c r="Z205" s="46">
        <f>'Inputs (2)'!U34</f>
        <v>2016</v>
      </c>
      <c r="AA205" s="46">
        <f>'Inputs (2)'!V34</f>
        <v>1942</v>
      </c>
      <c r="AB205" s="12">
        <f>'Inputs (2)'!W34</f>
        <v>1942</v>
      </c>
      <c r="AC205" s="46">
        <f>'Inputs (2)'!X34</f>
        <v>1976</v>
      </c>
      <c r="AD205" s="46">
        <f>'Inputs (2)'!Y34</f>
        <v>1977</v>
      </c>
      <c r="AE205" s="46">
        <f>'Inputs (2)'!Z34</f>
        <v>2113</v>
      </c>
      <c r="AF205" s="46">
        <f>'Inputs (2)'!AA34</f>
        <v>2213</v>
      </c>
      <c r="AG205" s="12">
        <f>'Inputs (2)'!AB34</f>
        <v>2213</v>
      </c>
      <c r="AH205" s="12">
        <f>'Inputs (2)'!AC34</f>
        <v>2414</v>
      </c>
      <c r="AI205" s="12">
        <f>'Inputs (2)'!AD34</f>
        <v>2425</v>
      </c>
      <c r="AJ205" s="12">
        <f>AI205</f>
        <v>2425</v>
      </c>
      <c r="AK205" s="12">
        <f>AJ205</f>
        <v>2425</v>
      </c>
      <c r="AL205" s="12">
        <f>AK205</f>
        <v>2425</v>
      </c>
      <c r="AM205" s="12">
        <f>AL205</f>
        <v>2425</v>
      </c>
      <c r="AN205" s="12">
        <f>AM205</f>
        <v>2425</v>
      </c>
      <c r="AO205" s="12">
        <f>AN205</f>
        <v>2425</v>
      </c>
      <c r="AP205" s="12">
        <f>AO205</f>
        <v>2425</v>
      </c>
      <c r="AQ205" s="12">
        <f>AP205</f>
        <v>2425</v>
      </c>
      <c r="AR205" s="12">
        <f>AQ205</f>
        <v>2425</v>
      </c>
      <c r="AS205" s="12">
        <f>AR205</f>
        <v>2425</v>
      </c>
      <c r="AT205" s="12">
        <f>AS205</f>
        <v>2425</v>
      </c>
      <c r="AU205" s="12">
        <f>AT205</f>
        <v>2425</v>
      </c>
      <c r="AV205" s="12">
        <f>AU205</f>
        <v>2425</v>
      </c>
      <c r="AW205" s="12">
        <f>AV205</f>
        <v>2425</v>
      </c>
      <c r="AX205" s="12">
        <f>AW205</f>
        <v>2425</v>
      </c>
      <c r="AY205" s="12">
        <f>AX205</f>
        <v>2425</v>
      </c>
      <c r="AZ205" s="12">
        <f>AY205</f>
        <v>2425</v>
      </c>
      <c r="BA205" s="12">
        <f>AZ205</f>
        <v>2425</v>
      </c>
      <c r="BB205" s="12">
        <f>BA205</f>
        <v>2425</v>
      </c>
      <c r="BC205" s="12">
        <f>BB205</f>
        <v>2425</v>
      </c>
      <c r="BD205" s="12">
        <f>BC205</f>
        <v>2425</v>
      </c>
      <c r="BE205" s="12">
        <f>BD205</f>
        <v>2425</v>
      </c>
      <c r="BF205" s="12">
        <f>BE205</f>
        <v>2425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9" t="inlineStr">
        <is>
          <t>%(Var.)</t>
        </is>
      </c>
      <c r="D206" s="12" t="n"/>
      <c r="E206" s="40" t="n"/>
      <c r="F206" s="40" t="n"/>
      <c r="G206" s="40" t="n"/>
      <c r="H206" s="12" t="n"/>
      <c r="I206" s="40" t="str">
        <f>""</f>
        <v/>
      </c>
      <c r="J206" s="40">
        <f>IFERROR(IF(I205=0,"",J205/I205-1),"")</f>
        <v>0.010576923076923</v>
      </c>
      <c r="K206" s="40">
        <f>IFERROR(IF(J205=0,"",K205/J205-1),"")</f>
        <v>0.0333016175071361</v>
      </c>
      <c r="L206" s="40">
        <f>IFERROR(IF(K205=0,"",L205/K205-1),"")</f>
        <v>0.0377532228360957</v>
      </c>
      <c r="M206" s="12">
        <f>IF(L205=0,"",M205/L205-1)</f>
        <v>0</v>
      </c>
      <c r="N206" s="40">
        <f>IFERROR(IF(M205=0,"",N205/M205-1),"")</f>
        <v>0.0283939662821651</v>
      </c>
      <c r="O206" s="40">
        <f>IFERROR(IF(N205=0,"",O205/N205-1),"")</f>
        <v>0.100086281276963</v>
      </c>
      <c r="P206" s="40">
        <f>IFERROR(IF(O205=0,"",P205/O205-1),"")</f>
        <v>0.012549019607843</v>
      </c>
      <c r="Q206" s="40">
        <f>IFERROR(IF(P205=0,"",Q205/P205-1),"")</f>
        <v>0.0588690937257939</v>
      </c>
      <c r="R206" s="12">
        <f>IF(Q205=0,"",R205/Q205-1)</f>
        <v>0</v>
      </c>
      <c r="S206" s="40">
        <f>IFERROR(IF(R205=0,"",S205/R205-1),"")</f>
        <v>0.0819312362838331</v>
      </c>
      <c r="T206" s="40">
        <f>IFERROR(IF(S205=0,"",T205/S205-1),"")</f>
        <v>-0.0561189993238674</v>
      </c>
      <c r="U206" s="40">
        <f>IFERROR(IF(T205=0,"",U205/T205-1),"")</f>
        <v>0.0458452722063036</v>
      </c>
      <c r="V206" s="40">
        <f>IFERROR(IF(U205=0,"",V205/U205-1),"")</f>
        <v>0.111643835616438</v>
      </c>
      <c r="W206" s="12">
        <f>IF(V205=0,"",W205/V205-1)</f>
        <v>0</v>
      </c>
      <c r="X206" s="40">
        <f>IFERROR(IF(W205=0,"",X205/W205-1),"")</f>
        <v>0.0326555760936538</v>
      </c>
      <c r="Y206" s="40">
        <f>IFERROR(IF(X205=0,"",Y205/X205-1),"")</f>
        <v>0.143794749403341</v>
      </c>
      <c r="Z206" s="40">
        <f>IFERROR(IF(Y205=0,"",Z205/Y205-1),"")</f>
        <v>0.051643192488263</v>
      </c>
      <c r="AA206" s="40">
        <f>IFERROR(IF(Z205=0,"",AA205/Z205-1),"")</f>
        <v>-0.0367063492063492</v>
      </c>
      <c r="AB206" s="12">
        <f>IF(AA205=0,"",AB205/AA205-1)</f>
        <v>0</v>
      </c>
      <c r="AC206" s="40">
        <f>IFERROR(IF(AB205=0,"",AC205/AB205-1),"")</f>
        <v>0.0175077239958805</v>
      </c>
      <c r="AD206" s="40">
        <f>IFERROR(IF(AC205=0,"",AD205/AC205-1),"")</f>
        <v>0.00050607287449389</v>
      </c>
      <c r="AE206" s="40">
        <f>IFERROR(IF(AD205=0,"",AE205/AD205-1),"")</f>
        <v>0.0687910976226607</v>
      </c>
      <c r="AF206" s="11">
        <f>IFERROR(IF(AE205=0,"",AF205/AE205-1),"")</f>
        <v>0.0473260766682442</v>
      </c>
      <c r="AG206" s="12">
        <f>IF(AF205=0,"",AG205/AF205-1)</f>
        <v>0</v>
      </c>
      <c r="AH206" s="11">
        <f>IFERROR(IF(AG205=0,"",AH205/AG205-1),"")</f>
        <v>0.0908269317668324</v>
      </c>
      <c r="AI206" s="11">
        <f>IFERROR(IF(AH205=0,"",AI205/AH205-1),"")</f>
        <v>0.00455675227837604</v>
      </c>
      <c r="AJ206" s="11">
        <f>IFERROR(IF(AI205=0,"",AJ205/AI205-1),"")</f>
        <v>0</v>
      </c>
      <c r="AK206" s="11">
        <f>IFERROR(IF(AJ205=0,"",AK205/AJ205-1),"")</f>
        <v>0</v>
      </c>
      <c r="AL206" s="12">
        <f>IFERROR(IF(AK205=0,"",AL205/AK205-1),"")</f>
        <v>0</v>
      </c>
      <c r="AM206" s="11">
        <f>IFERROR(IF(AL205=0,"",AM205/AL205-1),"")</f>
        <v>0</v>
      </c>
      <c r="AN206" s="11">
        <f>IFERROR(IF(AM205=0,"",AN205/AM205-1),"")</f>
        <v>0</v>
      </c>
      <c r="AO206" s="11">
        <f>IFERROR(IF(AN205=0,"",AO205/AN205-1),"")</f>
        <v>0</v>
      </c>
      <c r="AP206" s="11">
        <f>IFERROR(IF(AO205=0,"",AP205/AO205-1),"")</f>
        <v>0</v>
      </c>
      <c r="AQ206" s="12">
        <f>IFERROR(IF(AP205=0,"",AQ205/AP205-1),"")</f>
        <v>0</v>
      </c>
      <c r="AR206" s="11">
        <f>IFERROR(IF(AQ205=0,"",AR205/AQ205-1),"")</f>
        <v>0</v>
      </c>
      <c r="AS206" s="11">
        <f>IFERROR(IF(AR205=0,"",AS205/AR205-1),"")</f>
        <v>0</v>
      </c>
      <c r="AT206" s="11">
        <f>IFERROR(IF(AS205=0,"",AT205/AS205-1),"")</f>
        <v>0</v>
      </c>
      <c r="AU206" s="11">
        <f>IFERROR(IF(AT205=0,"",AU205/AT205-1),"")</f>
        <v>0</v>
      </c>
      <c r="AV206" s="12">
        <f>IFERROR(IF(AU205=0,"",AV205/AU205-1),"")</f>
        <v>0</v>
      </c>
      <c r="AW206" s="11">
        <f>IFERROR(IF(AV205=0,"",AW205/AV205-1),"")</f>
        <v>0</v>
      </c>
      <c r="AX206" s="11">
        <f>IFERROR(IF(AW205=0,"",AX205/AW205-1),"")</f>
        <v>0</v>
      </c>
      <c r="AY206" s="11">
        <f>IFERROR(IF(AX205=0,"",AY205/AX205-1),"")</f>
        <v>0</v>
      </c>
      <c r="AZ206" s="11">
        <f>IFERROR(IF(AY205=0,"",AZ205/AY205-1),"")</f>
        <v>0</v>
      </c>
      <c r="BA206" s="12">
        <f>IFERROR(IF(AZ205=0,"",BA205/AZ205-1),"")</f>
        <v>0</v>
      </c>
      <c r="BB206" s="11">
        <f>IFERROR(IF(BA205=0,"",BB205/BA205-1),"")</f>
        <v>0</v>
      </c>
      <c r="BC206" s="11">
        <f>IFERROR(IF(BB205=0,"",BC205/BB205-1),"")</f>
        <v>0</v>
      </c>
      <c r="BD206" s="11">
        <f>IFERROR(IF(BC205=0,"",BD205/BC205-1),"")</f>
        <v>0</v>
      </c>
      <c r="BE206" s="11">
        <f>IFERROR(IF(BD205=0,"",BE205/BD205-1),"")</f>
        <v>0</v>
      </c>
      <c r="BF206" s="12">
        <f>IFERROR(IF(BE205=0,"",BF205/BE205-1),"")</f>
        <v>0</v>
      </c>
      <c r="BG206" s="11" t="n"/>
      <c r="BH206" s="11" t="n"/>
      <c r="BI206" s="11" t="n"/>
      <c r="BJ206" s="11" t="n"/>
      <c r="BK206" s="12" t="n"/>
      <c r="BL206" s="11" t="n"/>
      <c r="BM206" s="11" t="n"/>
      <c r="BN206" s="11" t="n"/>
      <c r="BO206" s="11" t="n"/>
      <c r="BP206" s="12" t="n"/>
      <c r="BQ206" s="11" t="n"/>
      <c r="BR206" s="11" t="n"/>
      <c r="BS206" s="11" t="n"/>
      <c r="BT206" s="11" t="n"/>
      <c r="BU206" s="12" t="n"/>
      <c r="BV206" s="11" t="n"/>
      <c r="BW206" s="11" t="n"/>
      <c r="BX206" s="11" t="n"/>
      <c r="BY206" s="11" t="n"/>
      <c r="BZ206" s="12" t="n"/>
      <c r="CA206" s="11" t="n"/>
      <c r="CB206" s="11" t="n"/>
      <c r="CC206" s="11" t="n"/>
      <c r="CD206" s="11" t="n"/>
      <c r="CE206" s="12" t="n"/>
      <c r="CF206" s="11" t="n"/>
      <c r="CG206" s="11" t="n"/>
      <c r="CH206" s="11" t="n"/>
      <c r="CI206" s="11" t="n"/>
      <c r="CJ206" s="12" t="n"/>
      <c r="CK206" s="11" t="n"/>
      <c r="CL206" s="11" t="n"/>
      <c r="CM206" s="11" t="n"/>
      <c r="CN206" s="11" t="n"/>
      <c r="CO206" s="12" t="n"/>
      <c r="CP206" s="11" t="n"/>
      <c r="CQ206" s="11" t="n"/>
      <c r="CR206" s="11" t="n"/>
      <c r="CS206" s="11" t="n"/>
      <c r="CT206" s="12" t="n"/>
      <c r="CU206" s="11" t="n"/>
      <c r="CV206" s="11" t="n"/>
      <c r="CW206" s="11" t="n"/>
      <c r="CX206" s="11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collapsed="1">
      <c r="C208" s="14" t="inlineStr">
        <is>
          <t>Long term debt</t>
        </is>
      </c>
      <c r="D208" s="46" t="n"/>
      <c r="E208" s="46" t="n"/>
      <c r="F208" s="46" t="n"/>
      <c r="G208" s="46" t="n"/>
      <c r="H208" s="12" t="n"/>
      <c r="I208" s="46">
        <f>'Inputs (2)'!D35</f>
        <v>0</v>
      </c>
      <c r="J208" s="46">
        <f>'Inputs (2)'!E35</f>
        <v>0</v>
      </c>
      <c r="K208" s="46">
        <f>'Inputs (2)'!F35</f>
        <v>0</v>
      </c>
      <c r="L208" s="46">
        <f>'Inputs (2)'!G35</f>
        <v>0</v>
      </c>
      <c r="M208" s="12">
        <f>'Inputs (2)'!H35</f>
        <v>0</v>
      </c>
      <c r="N208" s="46">
        <f>'Inputs (2)'!I35</f>
        <v>0</v>
      </c>
      <c r="O208" s="46">
        <f>'Inputs (2)'!J35</f>
        <v>0</v>
      </c>
      <c r="P208" s="46">
        <f>'Inputs (2)'!K35</f>
        <v>9922</v>
      </c>
      <c r="Q208" s="46">
        <f>'Inputs (2)'!L35</f>
        <v>9923</v>
      </c>
      <c r="R208" s="12">
        <f>'Inputs (2)'!M35</f>
        <v>9923</v>
      </c>
      <c r="S208" s="46">
        <f>'Inputs (2)'!N35</f>
        <v>9925</v>
      </c>
      <c r="T208" s="46">
        <f>'Inputs (2)'!O35</f>
        <v>18382</v>
      </c>
      <c r="U208" s="46">
        <f>'Inputs (2)'!P35</f>
        <v>18383</v>
      </c>
      <c r="V208" s="46">
        <f>'Inputs (2)'!Q35</f>
        <v>18385</v>
      </c>
      <c r="W208" s="12">
        <f>'Inputs (2)'!R35</f>
        <v>18385</v>
      </c>
      <c r="X208" s="46">
        <f>'Inputs (2)'!S35</f>
        <v>18387</v>
      </c>
      <c r="Y208" s="46">
        <f>'Inputs (2)'!T35</f>
        <v>18389</v>
      </c>
      <c r="Z208" s="46">
        <f>'Inputs (2)'!U35</f>
        <v>28823</v>
      </c>
      <c r="AA208" s="46">
        <f>'Inputs (2)'!V35</f>
        <v>28826</v>
      </c>
      <c r="AB208" s="12">
        <f>'Inputs (2)'!W35</f>
        <v>28826</v>
      </c>
      <c r="AC208" s="46">
        <f>'Inputs (2)'!X35</f>
        <v>28829</v>
      </c>
      <c r="AD208" s="46">
        <f>'Inputs (2)'!Y35</f>
        <v>28832</v>
      </c>
      <c r="AE208" s="46">
        <f>'Inputs (2)'!Z35</f>
        <v>28834</v>
      </c>
      <c r="AF208" s="46">
        <f>'Inputs (2)'!AA35</f>
        <v>58744</v>
      </c>
      <c r="AG208" s="12">
        <f>'Inputs (2)'!AB35</f>
        <v>58744</v>
      </c>
      <c r="AH208" s="12">
        <f>'Inputs (2)'!AC35</f>
        <v>58748</v>
      </c>
      <c r="AI208" s="12">
        <f>'Inputs (2)'!AD35</f>
        <v>83664</v>
      </c>
      <c r="AJ208" s="12">
        <f>AJ214</f>
        <v>83664</v>
      </c>
      <c r="AK208" s="12">
        <f>AK214</f>
        <v>83664</v>
      </c>
      <c r="AL208" s="12">
        <f>AK208</f>
        <v>83664</v>
      </c>
      <c r="AM208" s="12">
        <f>AM214</f>
        <v>83664</v>
      </c>
      <c r="AN208" s="12">
        <f>AN214</f>
        <v>83664</v>
      </c>
      <c r="AO208" s="12">
        <f>AO214</f>
        <v>83664</v>
      </c>
      <c r="AP208" s="12">
        <f>AP214</f>
        <v>83664</v>
      </c>
      <c r="AQ208" s="12">
        <f>AP208</f>
        <v>83664</v>
      </c>
      <c r="AR208" s="12">
        <f>AR214</f>
        <v>83664</v>
      </c>
      <c r="AS208" s="12">
        <f>AS214</f>
        <v>83664</v>
      </c>
      <c r="AT208" s="12">
        <f>AT214</f>
        <v>83664</v>
      </c>
      <c r="AU208" s="12">
        <f>AU214</f>
        <v>83664</v>
      </c>
      <c r="AV208" s="12">
        <f>AU208</f>
        <v>83664</v>
      </c>
      <c r="AW208" s="12">
        <f>AW214</f>
        <v>83664</v>
      </c>
      <c r="AX208" s="12">
        <f>AX214</f>
        <v>83664</v>
      </c>
      <c r="AY208" s="12">
        <f>AY214</f>
        <v>83664</v>
      </c>
      <c r="AZ208" s="12">
        <f>AZ214</f>
        <v>83664</v>
      </c>
      <c r="BA208" s="12">
        <f>AZ208</f>
        <v>83664</v>
      </c>
      <c r="BB208" s="12">
        <f>BB214</f>
        <v>83664</v>
      </c>
      <c r="BC208" s="12">
        <f>BC214</f>
        <v>83664</v>
      </c>
      <c r="BD208" s="12">
        <f>BD214</f>
        <v>83664</v>
      </c>
      <c r="BE208" s="12">
        <f>BE214</f>
        <v>83664</v>
      </c>
      <c r="BF208" s="12">
        <f>BE208</f>
        <v>83664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>Current portion of LTD</t>
        </is>
      </c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>
        <f>AF203</f>
        <v>0</v>
      </c>
      <c r="AI210" s="62" t="n"/>
      <c r="AJ210" s="62" t="n"/>
      <c r="AK210" s="62" t="n"/>
      <c r="AL210" s="12" t="n"/>
      <c r="AM210" s="12">
        <f>AK203</f>
        <v>0</v>
      </c>
      <c r="AN210" s="62" t="n"/>
      <c r="AO210" s="62" t="n"/>
      <c r="AP210" s="62" t="n"/>
      <c r="AQ210" s="12" t="n"/>
      <c r="AR210" s="12">
        <f>AP203</f>
        <v>0</v>
      </c>
      <c r="AS210" s="62" t="n"/>
      <c r="AT210" s="62" t="n"/>
      <c r="AU210" s="62" t="n"/>
      <c r="AV210" s="12" t="n"/>
      <c r="AW210" s="12">
        <f>AU203</f>
        <v>0</v>
      </c>
      <c r="AX210" s="62" t="n"/>
      <c r="AY210" s="62" t="n"/>
      <c r="AZ210" s="62" t="n"/>
      <c r="BA210" s="12" t="n"/>
      <c r="BB210" s="12">
        <f>AZ203</f>
        <v>0</v>
      </c>
      <c r="BC210" s="62" t="n"/>
      <c r="BD210" s="62" t="n"/>
      <c r="BE210" s="62" t="n"/>
      <c r="BF210" s="12" t="n"/>
      <c r="BG210" s="12" t="n"/>
      <c r="BH210" s="62" t="n"/>
      <c r="BI210" s="62" t="n"/>
      <c r="BJ210" s="62" t="n"/>
      <c r="BK210" s="12" t="n"/>
      <c r="BL210" s="12" t="n"/>
      <c r="BM210" s="62" t="n"/>
      <c r="BN210" s="62" t="n"/>
      <c r="BO210" s="62" t="n"/>
      <c r="BP210" s="12" t="n"/>
      <c r="BQ210" s="12" t="n"/>
      <c r="BR210" s="62" t="n"/>
      <c r="BS210" s="62" t="n"/>
      <c r="BT210" s="62" t="n"/>
      <c r="BU210" s="12" t="n"/>
      <c r="BV210" s="12" t="n"/>
      <c r="BW210" s="62" t="n"/>
      <c r="BX210" s="62" t="n"/>
      <c r="BY210" s="62" t="n"/>
      <c r="BZ210" s="12" t="n"/>
      <c r="CA210" s="12" t="n"/>
      <c r="CB210" s="62" t="n"/>
      <c r="CC210" s="62" t="n"/>
      <c r="CD210" s="62" t="n"/>
      <c r="CE210" s="12" t="n"/>
      <c r="CF210" s="12" t="n"/>
      <c r="CG210" s="62" t="n"/>
      <c r="CH210" s="62" t="n"/>
      <c r="CI210" s="62" t="n"/>
      <c r="CJ210" s="12" t="n"/>
      <c r="CK210" s="12" t="n"/>
      <c r="CL210" s="62" t="n"/>
      <c r="CM210" s="62" t="n"/>
      <c r="CN210" s="62" t="n"/>
      <c r="CO210" s="12" t="n"/>
      <c r="CP210" s="12" t="n"/>
      <c r="CQ210" s="62" t="n"/>
      <c r="CR210" s="62" t="n"/>
      <c r="CS210" s="62" t="n"/>
      <c r="CT210" s="12" t="n"/>
      <c r="CU210" s="12" t="n"/>
      <c r="CV210" s="62" t="n"/>
      <c r="CW210" s="62" t="n"/>
      <c r="CX210" s="62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Reclassification of LTD to CP of LTD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>
        <f>-AI210</f>
        <v>0</v>
      </c>
      <c r="AJ212" s="12">
        <f>-AJ210</f>
        <v>0</v>
      </c>
      <c r="AK212" s="12">
        <f>-AK210</f>
        <v>0</v>
      </c>
      <c r="AL212" s="12" t="n"/>
      <c r="AM212" s="12" t="n"/>
      <c r="AN212" s="12">
        <f>-AN210</f>
        <v>0</v>
      </c>
      <c r="AO212" s="12">
        <f>-AO210</f>
        <v>0</v>
      </c>
      <c r="AP212" s="12">
        <f>-AP210</f>
        <v>0</v>
      </c>
      <c r="AQ212" s="12" t="n"/>
      <c r="AR212" s="12" t="n"/>
      <c r="AS212" s="12">
        <f>-AS210</f>
        <v>0</v>
      </c>
      <c r="AT212" s="12">
        <f>-AT210</f>
        <v>0</v>
      </c>
      <c r="AU212" s="12">
        <f>-AU210</f>
        <v>0</v>
      </c>
      <c r="AV212" s="12" t="n"/>
      <c r="AW212" s="12" t="n"/>
      <c r="AX212" s="12">
        <f>-AX210</f>
        <v>0</v>
      </c>
      <c r="AY212" s="12">
        <f>-AY210</f>
        <v>0</v>
      </c>
      <c r="AZ212" s="12">
        <f>-AZ210</f>
        <v>0</v>
      </c>
      <c r="BA212" s="12" t="n"/>
      <c r="BB212" s="12" t="n"/>
      <c r="BC212" s="12">
        <f>-BC210</f>
        <v>0</v>
      </c>
      <c r="BD212" s="12">
        <f>-BD210</f>
        <v>0</v>
      </c>
      <c r="BE212" s="12">
        <f>-BE210</f>
        <v>0</v>
      </c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Discretionary (paydown)/borrowing of long term debt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62" t="n"/>
      <c r="AI213" s="62" t="n"/>
      <c r="AJ213" s="62" t="n"/>
      <c r="AK213" s="62" t="n"/>
      <c r="AL213" s="12" t="n"/>
      <c r="AM213" s="62" t="n"/>
      <c r="AN213" s="62" t="n"/>
      <c r="AO213" s="62" t="n"/>
      <c r="AP213" s="62" t="n"/>
      <c r="AQ213" s="12" t="n"/>
      <c r="AR213" s="62" t="n"/>
      <c r="AS213" s="62" t="n"/>
      <c r="AT213" s="62" t="n"/>
      <c r="AU213" s="62" t="n"/>
      <c r="AV213" s="12" t="n"/>
      <c r="AW213" s="62" t="n"/>
      <c r="AX213" s="62" t="n"/>
      <c r="AY213" s="62" t="n"/>
      <c r="AZ213" s="62" t="n"/>
      <c r="BA213" s="12" t="n"/>
      <c r="BB213" s="62" t="n"/>
      <c r="BC213" s="62" t="n"/>
      <c r="BD213" s="62" t="n"/>
      <c r="BE213" s="62" t="n"/>
      <c r="BF213" s="12" t="n"/>
      <c r="BG213" s="62" t="n"/>
      <c r="BH213" s="62" t="n"/>
      <c r="BI213" s="62" t="n"/>
      <c r="BJ213" s="62" t="n"/>
      <c r="BK213" s="12" t="n"/>
      <c r="BL213" s="62" t="n"/>
      <c r="BM213" s="62" t="n"/>
      <c r="BN213" s="62" t="n"/>
      <c r="BO213" s="62" t="n"/>
      <c r="BP213" s="12" t="n"/>
      <c r="BQ213" s="62" t="n"/>
      <c r="BR213" s="62" t="n"/>
      <c r="BS213" s="62" t="n"/>
      <c r="BT213" s="62" t="n"/>
      <c r="BU213" s="12" t="n"/>
      <c r="BV213" s="62" t="n"/>
      <c r="BW213" s="62" t="n"/>
      <c r="BX213" s="62" t="n"/>
      <c r="BY213" s="62" t="n"/>
      <c r="BZ213" s="12" t="n"/>
      <c r="CA213" s="62" t="n"/>
      <c r="CB213" s="62" t="n"/>
      <c r="CC213" s="62" t="n"/>
      <c r="CD213" s="62" t="n"/>
      <c r="CE213" s="12" t="n"/>
      <c r="CF213" s="62" t="n"/>
      <c r="CG213" s="62" t="n"/>
      <c r="CH213" s="62" t="n"/>
      <c r="CI213" s="62" t="n"/>
      <c r="CJ213" s="12" t="n"/>
      <c r="CK213" s="62" t="n"/>
      <c r="CL213" s="62" t="n"/>
      <c r="CM213" s="62" t="n"/>
      <c r="CN213" s="62" t="n"/>
      <c r="CO213" s="12" t="n"/>
      <c r="CP213" s="62" t="n"/>
      <c r="CQ213" s="62" t="n"/>
      <c r="CR213" s="62" t="n"/>
      <c r="CS213" s="62" t="n"/>
      <c r="CT213" s="12" t="n"/>
      <c r="CU213" s="62" t="n"/>
      <c r="CV213" s="62" t="n"/>
      <c r="CW213" s="62" t="n"/>
      <c r="CX213" s="62" t="n"/>
      <c r="CY213" s="12" t="n"/>
    </row>
    <row r="214" hidden="1" outlineLevel="1">
      <c r="C214" s="57" t="inlineStr">
        <is>
          <t>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>
        <f>AH208</f>
        <v>58748</v>
      </c>
      <c r="AI214" s="12">
        <f>AI208</f>
        <v>83664</v>
      </c>
      <c r="AJ214" s="12">
        <f>AI214+SUM(AJ212:AJ213)</f>
        <v>83664</v>
      </c>
      <c r="AK214" s="12">
        <f>AJ214+SUM(AK212:AK213)</f>
        <v>83664</v>
      </c>
      <c r="AL214" s="12" t="n"/>
      <c r="AM214" s="12">
        <f>AK214+SUM(AM212:AM213)</f>
        <v>83664</v>
      </c>
      <c r="AN214" s="12">
        <f>AM214+SUM(AN212:AN213)</f>
        <v>83664</v>
      </c>
      <c r="AO214" s="12">
        <f>AN214+SUM(AO212:AO213)</f>
        <v>83664</v>
      </c>
      <c r="AP214" s="12">
        <f>AO214+SUM(AP212:AP213)</f>
        <v>83664</v>
      </c>
      <c r="AQ214" s="12" t="n"/>
      <c r="AR214" s="12">
        <f>AP214+SUM(AR212:AR213)</f>
        <v>83664</v>
      </c>
      <c r="AS214" s="12">
        <f>AR214+SUM(AS212:AS213)</f>
        <v>83664</v>
      </c>
      <c r="AT214" s="12">
        <f>AS214+SUM(AT212:AT213)</f>
        <v>83664</v>
      </c>
      <c r="AU214" s="12">
        <f>AT214+SUM(AU212:AU213)</f>
        <v>83664</v>
      </c>
      <c r="AV214" s="12" t="n"/>
      <c r="AW214" s="12">
        <f>AU214+SUM(AW212:AW213)</f>
        <v>83664</v>
      </c>
      <c r="AX214" s="12">
        <f>AW214+SUM(AX212:AX213)</f>
        <v>83664</v>
      </c>
      <c r="AY214" s="12">
        <f>AX214+SUM(AY212:AY213)</f>
        <v>83664</v>
      </c>
      <c r="AZ214" s="12">
        <f>AY214+SUM(AZ212:AZ213)</f>
        <v>83664</v>
      </c>
      <c r="BA214" s="12" t="n"/>
      <c r="BB214" s="12">
        <f>AZ214+SUM(BB212:BB213)</f>
        <v>83664</v>
      </c>
      <c r="BC214" s="12">
        <f>BB214+SUM(BC212:BC213)</f>
        <v>83664</v>
      </c>
      <c r="BD214" s="12">
        <f>BC214+SUM(BD212:BD213)</f>
        <v>83664</v>
      </c>
      <c r="BE214" s="12">
        <f>BD214+SUM(BE212:BE213)</f>
        <v>83664</v>
      </c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Discretionary (paydown)/borrowing of convertible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62" t="n"/>
      <c r="AI216" s="62" t="n"/>
      <c r="AJ216" s="62" t="n"/>
      <c r="AK216" s="62" t="n"/>
      <c r="AL216" s="12" t="n"/>
      <c r="AM216" s="62" t="n"/>
      <c r="AN216" s="62" t="n"/>
      <c r="AO216" s="62" t="n"/>
      <c r="AP216" s="62" t="n"/>
      <c r="AQ216" s="12" t="n"/>
      <c r="AR216" s="62" t="n"/>
      <c r="AS216" s="62" t="n"/>
      <c r="AT216" s="62" t="n"/>
      <c r="AU216" s="62" t="n"/>
      <c r="AV216" s="12" t="n"/>
      <c r="AW216" s="62" t="n"/>
      <c r="AX216" s="62" t="n"/>
      <c r="AY216" s="62" t="n"/>
      <c r="AZ216" s="62" t="n"/>
      <c r="BA216" s="12" t="n"/>
      <c r="BB216" s="62" t="n"/>
      <c r="BC216" s="62" t="n"/>
      <c r="BD216" s="62" t="n"/>
      <c r="BE216" s="62" t="n"/>
      <c r="BF216" s="12" t="n"/>
      <c r="BG216" s="62" t="n"/>
      <c r="BH216" s="62" t="n"/>
      <c r="BI216" s="62" t="n"/>
      <c r="BJ216" s="62" t="n"/>
      <c r="BK216" s="12" t="n"/>
      <c r="BL216" s="62" t="n"/>
      <c r="BM216" s="62" t="n"/>
      <c r="BN216" s="62" t="n"/>
      <c r="BO216" s="62" t="n"/>
      <c r="BP216" s="12" t="n"/>
      <c r="BQ216" s="62" t="n"/>
      <c r="BR216" s="62" t="n"/>
      <c r="BS216" s="62" t="n"/>
      <c r="BT216" s="62" t="n"/>
      <c r="BU216" s="12" t="n"/>
      <c r="BV216" s="62" t="n"/>
      <c r="BW216" s="62" t="n"/>
      <c r="BX216" s="62" t="n"/>
      <c r="BY216" s="62" t="n"/>
      <c r="BZ216" s="12" t="n"/>
      <c r="CA216" s="62" t="n"/>
      <c r="CB216" s="62" t="n"/>
      <c r="CC216" s="62" t="n"/>
      <c r="CD216" s="62" t="n"/>
      <c r="CE216" s="12" t="n"/>
      <c r="CF216" s="62" t="n"/>
      <c r="CG216" s="62" t="n"/>
      <c r="CH216" s="62" t="n"/>
      <c r="CI216" s="62" t="n"/>
      <c r="CJ216" s="12" t="n"/>
      <c r="CK216" s="62" t="n"/>
      <c r="CL216" s="62" t="n"/>
      <c r="CM216" s="62" t="n"/>
      <c r="CN216" s="62" t="n"/>
      <c r="CO216" s="12" t="n"/>
      <c r="CP216" s="62" t="n"/>
      <c r="CQ216" s="62" t="n"/>
      <c r="CR216" s="62" t="n"/>
      <c r="CS216" s="62" t="n"/>
      <c r="CT216" s="12" t="n"/>
      <c r="CU216" s="62" t="n"/>
      <c r="CV216" s="62" t="n"/>
      <c r="CW216" s="62" t="n"/>
      <c r="CX216" s="62" t="n"/>
      <c r="CY216" s="12" t="n"/>
    </row>
    <row r="217" hidden="1" outlineLevel="1">
      <c r="C217" s="57" t="inlineStr">
        <is>
          <t>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>
        <f>AH229</f>
        <v>0</v>
      </c>
      <c r="AI217" s="12">
        <f>AH217+SUM(AI216)</f>
        <v>0</v>
      </c>
      <c r="AJ217" s="12">
        <f>AI217+SUM(AJ216)</f>
        <v>0</v>
      </c>
      <c r="AK217" s="12">
        <f>AJ217+SUM(AK216)</f>
        <v>0</v>
      </c>
      <c r="AL217" s="12" t="n"/>
      <c r="AM217" s="12">
        <f>AM229</f>
        <v>0</v>
      </c>
      <c r="AN217" s="12">
        <f>AM217+SUM(AN216)</f>
        <v>0</v>
      </c>
      <c r="AO217" s="12">
        <f>AN217+SUM(AO216)</f>
        <v>0</v>
      </c>
      <c r="AP217" s="12">
        <f>AO217+SUM(AP216)</f>
        <v>0</v>
      </c>
      <c r="AQ217" s="12" t="n"/>
      <c r="AR217" s="12">
        <f>AR229</f>
        <v>0</v>
      </c>
      <c r="AS217" s="12">
        <f>AR217+SUM(AS216)</f>
        <v>0</v>
      </c>
      <c r="AT217" s="12">
        <f>AS217+SUM(AT216)</f>
        <v>0</v>
      </c>
      <c r="AU217" s="12">
        <f>AT217+SUM(AU216)</f>
        <v>0</v>
      </c>
      <c r="AV217" s="12" t="n"/>
      <c r="AW217" s="12">
        <f>AW229</f>
        <v>0</v>
      </c>
      <c r="AX217" s="12">
        <f>AW217+SUM(AX216)</f>
        <v>0</v>
      </c>
      <c r="AY217" s="12">
        <f>AX217+SUM(AY216)</f>
        <v>0</v>
      </c>
      <c r="AZ217" s="12">
        <f>AY217+SUM(AZ216)</f>
        <v>0</v>
      </c>
      <c r="BA217" s="12" t="n"/>
      <c r="BB217" s="12">
        <f>BB229</f>
        <v>0</v>
      </c>
      <c r="BC217" s="12">
        <f>BB217+SUM(BC216)</f>
        <v>0</v>
      </c>
      <c r="BD217" s="12">
        <f>BC217+SUM(BD216)</f>
        <v>0</v>
      </c>
      <c r="BE217" s="12">
        <f>BD217+SUM(BE216)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I218" s="12" t="n"/>
      <c r="AJ218" s="12" t="n"/>
      <c r="AK218" s="12" t="n"/>
      <c r="AL218" s="12" t="n"/>
      <c r="AN218" s="12" t="n"/>
      <c r="AO218" s="12" t="n"/>
      <c r="AP218" s="12" t="n"/>
      <c r="AQ218" s="12" t="n"/>
      <c r="AS218" s="12" t="n"/>
      <c r="AT218" s="12" t="n"/>
      <c r="AU218" s="12" t="n"/>
      <c r="AV218" s="12" t="n"/>
      <c r="AX218" s="12" t="n"/>
      <c r="AY218" s="12" t="n"/>
      <c r="AZ218" s="12" t="n"/>
      <c r="BA218" s="12" t="n"/>
      <c r="BC218" s="12" t="n"/>
      <c r="BD218" s="12" t="n"/>
      <c r="BE218" s="12" t="n"/>
      <c r="BF218" s="12" t="n"/>
      <c r="BH218" s="12" t="n"/>
      <c r="BI218" s="12" t="n"/>
      <c r="BJ218" s="12" t="n"/>
      <c r="BK218" s="12" t="n"/>
      <c r="BM218" s="12" t="n"/>
      <c r="BN218" s="12" t="n"/>
      <c r="BO218" s="12" t="n"/>
      <c r="BP218" s="12" t="n"/>
      <c r="BR218" s="12" t="n"/>
      <c r="BS218" s="12" t="n"/>
      <c r="BT218" s="12" t="n"/>
      <c r="BU218" s="12" t="n"/>
      <c r="BW218" s="12" t="n"/>
      <c r="BX218" s="12" t="n"/>
      <c r="BY218" s="12" t="n"/>
      <c r="BZ218" s="12" t="n"/>
      <c r="CB218" s="12" t="n"/>
      <c r="CC218" s="12" t="n"/>
      <c r="CD218" s="12" t="n"/>
      <c r="CE218" s="12" t="n"/>
      <c r="CG218" s="12" t="n"/>
      <c r="CH218" s="12" t="n"/>
      <c r="CI218" s="12" t="n"/>
      <c r="CJ218" s="12" t="n"/>
      <c r="CL218" s="12" t="n"/>
      <c r="CM218" s="12" t="n"/>
      <c r="CN218" s="12" t="n"/>
      <c r="CO218" s="12" t="n"/>
      <c r="CQ218" s="12" t="n"/>
      <c r="CR218" s="12" t="n"/>
      <c r="CS218" s="12" t="n"/>
      <c r="CT218" s="12" t="n"/>
      <c r="CV218" s="12" t="n"/>
      <c r="CW218" s="12" t="n"/>
      <c r="CX218" s="12" t="n"/>
      <c r="CY218" s="12" t="n"/>
    </row>
    <row r="219" hidden="1" outlineLevel="1">
      <c r="C219" s="57" t="inlineStr">
        <is>
          <t>Calculation of short term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Cash @ beginning of the period (end of last period)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63">
        <f>AG135</f>
        <v>81592</v>
      </c>
      <c r="AI220" s="12" t="n"/>
      <c r="AJ220" s="12" t="n"/>
      <c r="AK220" s="12" t="n"/>
      <c r="AL220" s="12" t="n"/>
      <c r="AM220" s="63">
        <f>AL135</f>
        <v>107416.58313245</v>
      </c>
      <c r="AN220" s="12" t="n"/>
      <c r="AO220" s="12" t="n"/>
      <c r="AP220" s="12" t="n"/>
      <c r="AQ220" s="12" t="n"/>
      <c r="AR220" s="63">
        <f>AQ135</f>
        <v>189674.992902814</v>
      </c>
      <c r="AS220" s="12" t="n"/>
      <c r="AT220" s="12" t="n"/>
      <c r="AU220" s="12" t="n"/>
      <c r="AV220" s="12" t="n"/>
      <c r="AW220" s="63">
        <f>AV135</f>
        <v>386300.45556804</v>
      </c>
      <c r="AX220" s="12" t="n"/>
      <c r="AY220" s="12" t="n"/>
      <c r="AZ220" s="12" t="n"/>
      <c r="BA220" s="12" t="n"/>
      <c r="BB220" s="63">
        <f>BA135</f>
        <v>845654.449747292</v>
      </c>
      <c r="BC220" s="12" t="n"/>
      <c r="BD220" s="12" t="n"/>
      <c r="BE220" s="12" t="n"/>
      <c r="BF220" s="12" t="n"/>
      <c r="BG220" s="63" t="n"/>
      <c r="BH220" s="12" t="n"/>
      <c r="BI220" s="12" t="n"/>
      <c r="BJ220" s="12" t="n"/>
      <c r="BK220" s="12" t="n"/>
      <c r="BL220" s="63" t="n"/>
      <c r="BM220" s="12" t="n"/>
      <c r="BN220" s="12" t="n"/>
      <c r="BO220" s="12" t="n"/>
      <c r="BP220" s="12" t="n"/>
      <c r="BQ220" s="63" t="n"/>
      <c r="BR220" s="12" t="n"/>
      <c r="BS220" s="12" t="n"/>
      <c r="BT220" s="12" t="n"/>
      <c r="BU220" s="12" t="n"/>
      <c r="BV220" s="63" t="n"/>
      <c r="BW220" s="12" t="n"/>
      <c r="BX220" s="12" t="n"/>
      <c r="BY220" s="12" t="n"/>
      <c r="BZ220" s="12" t="n"/>
      <c r="CA220" s="63" t="n"/>
      <c r="CB220" s="12" t="n"/>
      <c r="CC220" s="12" t="n"/>
      <c r="CD220" s="12" t="n"/>
      <c r="CE220" s="12" t="n"/>
      <c r="CF220" s="63" t="n"/>
      <c r="CG220" s="12" t="n"/>
      <c r="CH220" s="12" t="n"/>
      <c r="CI220" s="12" t="n"/>
      <c r="CJ220" s="12" t="n"/>
      <c r="CK220" s="63" t="n"/>
      <c r="CL220" s="12" t="n"/>
      <c r="CM220" s="12" t="n"/>
      <c r="CN220" s="12" t="n"/>
      <c r="CO220" s="12" t="n"/>
      <c r="CP220" s="63" t="n"/>
      <c r="CQ220" s="12" t="n"/>
      <c r="CR220" s="12" t="n"/>
      <c r="CS220" s="12" t="n"/>
      <c r="CT220" s="12" t="n"/>
      <c r="CU220" s="63" t="n"/>
      <c r="CV220" s="12" t="n"/>
      <c r="CW220" s="12" t="n"/>
      <c r="CX220" s="12" t="n"/>
      <c r="CY220" s="12" t="n"/>
    </row>
    <row r="221" hidden="1" outlineLevel="1">
      <c r="C221" s="57" t="inlineStr">
        <is>
          <t>Plus: Free cash flows prior to debt during period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inlineStr">
        <is>
          <t>% of sales</t>
        </is>
      </c>
      <c r="AH221" s="64">
        <f>(AH283+AH290)+SUM(AH293:AH299)</f>
        <v>-11864</v>
      </c>
      <c r="AI221" s="64">
        <f>(AI283+AI290)+SUM(AI293:AI299)</f>
        <v>-4979</v>
      </c>
      <c r="AJ221" s="64">
        <f>(AJ283+AJ290)+SUM(AJ293:AJ299)</f>
        <v>0</v>
      </c>
      <c r="AK221" s="64">
        <f>(AK283+AK290)+SUM(AK293:AK299)</f>
        <v>0</v>
      </c>
      <c r="AL221" s="12" t="n"/>
      <c r="AM221" s="64">
        <f>(AM283+AM290)+SUM(AM293:AM299)</f>
        <v>0</v>
      </c>
      <c r="AN221" s="64">
        <f>(AN283+AN290)+SUM(AN293:AN299)</f>
        <v>0</v>
      </c>
      <c r="AO221" s="64">
        <f>(AO283+AO290)+SUM(AO293:AO299)</f>
        <v>0</v>
      </c>
      <c r="AP221" s="64">
        <f>(AP283+AP290)+SUM(AP293:AP299)</f>
        <v>0</v>
      </c>
      <c r="AQ221" s="12" t="n"/>
      <c r="AR221" s="64">
        <f>(AR283+AR290)+SUM(AR293:AR299)</f>
        <v>0</v>
      </c>
      <c r="AS221" s="64">
        <f>(AS283+AS290)+SUM(AS293:AS299)</f>
        <v>0</v>
      </c>
      <c r="AT221" s="64">
        <f>(AT283+AT290)+SUM(AT293:AT299)</f>
        <v>0</v>
      </c>
      <c r="AU221" s="64">
        <f>(AU283+AU290)+SUM(AU293:AU299)</f>
        <v>0</v>
      </c>
      <c r="AV221" s="12" t="n"/>
      <c r="AW221" s="64">
        <f>(AW283+AW290)+SUM(AW293:AW299)</f>
        <v>0</v>
      </c>
      <c r="AX221" s="64">
        <f>(AX283+AX290)+SUM(AX293:AX299)</f>
        <v>0</v>
      </c>
      <c r="AY221" s="64">
        <f>(AY283+AY290)+SUM(AY293:AY299)</f>
        <v>0</v>
      </c>
      <c r="AZ221" s="64">
        <f>(AZ283+AZ290)+SUM(AZ293:AZ299)</f>
        <v>0</v>
      </c>
      <c r="BA221" s="12" t="n"/>
      <c r="BB221" s="64">
        <f>(BB283+BB290)+SUM(BB293:BB299)</f>
        <v>0</v>
      </c>
      <c r="BC221" s="64">
        <f>(BC283+BC290)+SUM(BC293:BC299)</f>
        <v>0</v>
      </c>
      <c r="BD221" s="64">
        <f>(BD283+BD290)+SUM(BD293:BD299)</f>
        <v>0</v>
      </c>
      <c r="BE221" s="64">
        <f>(BE283+BE290)+SUM(BE293:BE299)</f>
        <v>0</v>
      </c>
      <c r="BF221" s="12" t="n"/>
      <c r="BG221" s="64" t="n"/>
      <c r="BH221" s="64" t="n"/>
      <c r="BI221" s="64" t="n"/>
      <c r="BJ221" s="64" t="n"/>
      <c r="BK221" s="12" t="n"/>
      <c r="BL221" s="64" t="n"/>
      <c r="BM221" s="64" t="n"/>
      <c r="BN221" s="64" t="n"/>
      <c r="BO221" s="64" t="n"/>
      <c r="BP221" s="12" t="n"/>
      <c r="BQ221" s="64" t="n"/>
      <c r="BR221" s="64" t="n"/>
      <c r="BS221" s="64" t="n"/>
      <c r="BT221" s="64" t="n"/>
      <c r="BU221" s="12" t="n"/>
      <c r="BV221" s="64" t="n"/>
      <c r="BW221" s="64" t="n"/>
      <c r="BX221" s="64" t="n"/>
      <c r="BY221" s="64" t="n"/>
      <c r="BZ221" s="12" t="n"/>
      <c r="CA221" s="64" t="n"/>
      <c r="CB221" s="64" t="n"/>
      <c r="CC221" s="64" t="n"/>
      <c r="CD221" s="64" t="n"/>
      <c r="CE221" s="12" t="n"/>
      <c r="CF221" s="64" t="n"/>
      <c r="CG221" s="64" t="n"/>
      <c r="CH221" s="64" t="n"/>
      <c r="CI221" s="64" t="n"/>
      <c r="CJ221" s="12" t="n"/>
      <c r="CK221" s="64" t="n"/>
      <c r="CL221" s="64" t="n"/>
      <c r="CM221" s="64" t="n"/>
      <c r="CN221" s="64" t="n"/>
      <c r="CO221" s="12" t="n"/>
      <c r="CP221" s="64" t="n"/>
      <c r="CQ221" s="64" t="n"/>
      <c r="CR221" s="64" t="n"/>
      <c r="CS221" s="64" t="n"/>
      <c r="CT221" s="12" t="n"/>
      <c r="CU221" s="64" t="n"/>
      <c r="CV221" s="64" t="n"/>
      <c r="CW221" s="64" t="n"/>
      <c r="CX221" s="64" t="n"/>
      <c r="CY221" s="12" t="n"/>
    </row>
    <row r="222" hidden="1" outlineLevel="1">
      <c r="C222" s="57" t="inlineStr">
        <is>
          <t>Less: Minimum cash balance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52" t="n"/>
      <c r="AH222" s="12">
        <f>($AG$222*AH15)</f>
        <v>0</v>
      </c>
      <c r="AI222" s="12">
        <f>($AG$222*AI15)</f>
        <v>0</v>
      </c>
      <c r="AJ222" s="12">
        <f>($AG$222*AJ15)</f>
        <v>0</v>
      </c>
      <c r="AK222" s="12">
        <f>($AG$222*AK15)</f>
        <v>0</v>
      </c>
      <c r="AL222" s="12" t="n"/>
      <c r="AM222" s="12">
        <f>($AG$222*AM15)</f>
        <v>0</v>
      </c>
      <c r="AN222" s="12">
        <f>($AG$222*AN15)</f>
        <v>0</v>
      </c>
      <c r="AO222" s="12">
        <f>($AG$222*AO15)</f>
        <v>0</v>
      </c>
      <c r="AP222" s="12">
        <f>($AG$222*AP15)</f>
        <v>0</v>
      </c>
      <c r="AQ222" s="12" t="n"/>
      <c r="AR222" s="12">
        <f>($AG$222*AR15)</f>
        <v>0</v>
      </c>
      <c r="AS222" s="12">
        <f>($AG$222*AS15)</f>
        <v>0</v>
      </c>
      <c r="AT222" s="12">
        <f>($AG$222*AT15)</f>
        <v>0</v>
      </c>
      <c r="AU222" s="12">
        <f>($AG$222*AU15)</f>
        <v>0</v>
      </c>
      <c r="AV222" s="12" t="n"/>
      <c r="AW222" s="12">
        <f>($AG$222*AW15)</f>
        <v>0</v>
      </c>
      <c r="AX222" s="12">
        <f>($AG$222*AX15)</f>
        <v>0</v>
      </c>
      <c r="AY222" s="12">
        <f>($AG$222*AY15)</f>
        <v>0</v>
      </c>
      <c r="AZ222" s="12">
        <f>($AG$222*AZ15)</f>
        <v>0</v>
      </c>
      <c r="BA222" s="12" t="n"/>
      <c r="BB222" s="12">
        <f>($AG$222*BB15)</f>
        <v>0</v>
      </c>
      <c r="BC222" s="12">
        <f>($AG$222*BC15)</f>
        <v>0</v>
      </c>
      <c r="BD222" s="12">
        <f>($AG$222*BD15)</f>
        <v>0</v>
      </c>
      <c r="BE222" s="12">
        <f>($AG$222*BE15)</f>
        <v>0</v>
      </c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Total cash available / (debt required) for short term debt paydown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3">
        <f>AH220+AH221-AH222-AF210+AH212+AH216</f>
        <v>69728</v>
      </c>
      <c r="AI223" s="3">
        <f>AI220+AI221-AI222-AG210+AI212+AI216</f>
        <v>-4979</v>
      </c>
      <c r="AJ223" s="3">
        <f>AJ220+AJ221-AJ222-AH210+AJ212+AJ216</f>
        <v>0</v>
      </c>
      <c r="AK223" s="3">
        <f>AK220+AK221-AK222-AI210+AK212+AK216</f>
        <v>0</v>
      </c>
      <c r="AL223" s="12" t="n"/>
      <c r="AM223" s="3">
        <f>AM220+AM221-AM222-AK210+AM212+AM216</f>
        <v>107416.58313245</v>
      </c>
      <c r="AN223" s="3">
        <f>AN220+AN221-AN222-AL210+AN212+AN216</f>
        <v>0</v>
      </c>
      <c r="AO223" s="3">
        <f>AO220+AO221-AO222-AM210+AO212+AO216</f>
        <v>0</v>
      </c>
      <c r="AP223" s="3">
        <f>AP220+AP221-AP222-AN210+AP212+AP216</f>
        <v>0</v>
      </c>
      <c r="AQ223" s="12" t="n"/>
      <c r="AR223" s="3">
        <f>AR220+AR221-AR222-AP210+AR212+AR216</f>
        <v>189674.992902814</v>
      </c>
      <c r="AS223" s="3">
        <f>AS220+AS221-AS222-AQ210+AS212+AS216</f>
        <v>0</v>
      </c>
      <c r="AT223" s="3">
        <f>AT220+AT221-AT222-AR210+AT212+AT216</f>
        <v>0</v>
      </c>
      <c r="AU223" s="3">
        <f>AU220+AU221-AU222-AS210+AU212+AU216</f>
        <v>0</v>
      </c>
      <c r="AV223" s="12" t="n"/>
      <c r="AW223" s="3">
        <f>AW220+AW221-AW222-AU210+AW212+AW216</f>
        <v>386300.45556804</v>
      </c>
      <c r="AX223" s="3">
        <f>AX220+AX221-AX222-AV210+AX212+AX216</f>
        <v>0</v>
      </c>
      <c r="AY223" s="3">
        <f>AY220+AY221-AY222-AW210+AY212+AY216</f>
        <v>0</v>
      </c>
      <c r="AZ223" s="3">
        <f>AZ220+AZ221-AZ222-AX210+AZ212+AZ216</f>
        <v>0</v>
      </c>
      <c r="BA223" s="12" t="n"/>
      <c r="BB223" s="3">
        <f>BB220+BB221-BB222-AZ210+BB212+BB216</f>
        <v>845654.449747292</v>
      </c>
      <c r="BC223" s="3">
        <f>BC220+BC221-BC222-BA210+BC212+BC216</f>
        <v>0</v>
      </c>
      <c r="BD223" s="3">
        <f>BD220+BD221-BD222-BB210+BD212+BD216</f>
        <v>0</v>
      </c>
      <c r="BE223" s="3">
        <f>BE220+BE221-BE222-BC210+BE212+BE216</f>
        <v>0</v>
      </c>
      <c r="BF223" s="12" t="n"/>
      <c r="BG223" s="3" t="n"/>
      <c r="BH223" s="3" t="n"/>
      <c r="BI223" s="3" t="n"/>
      <c r="BJ223" s="3" t="n"/>
      <c r="BK223" s="12" t="n"/>
      <c r="BL223" s="3" t="n"/>
      <c r="BM223" s="3" t="n"/>
      <c r="BN223" s="3" t="n"/>
      <c r="BO223" s="3" t="n"/>
      <c r="BP223" s="12" t="n"/>
      <c r="BQ223" s="3" t="n"/>
      <c r="BR223" s="3" t="n"/>
      <c r="BS223" s="3" t="n"/>
      <c r="BT223" s="3" t="n"/>
      <c r="BU223" s="12" t="n"/>
      <c r="BV223" s="3" t="n"/>
      <c r="BW223" s="3" t="n"/>
      <c r="BX223" s="3" t="n"/>
      <c r="BY223" s="3" t="n"/>
      <c r="BZ223" s="12" t="n"/>
      <c r="CA223" s="3" t="n"/>
      <c r="CB223" s="3" t="n"/>
      <c r="CC223" s="3" t="n"/>
      <c r="CD223" s="3" t="n"/>
      <c r="CE223" s="12" t="n"/>
      <c r="CF223" s="3" t="n"/>
      <c r="CG223" s="3" t="n"/>
      <c r="CH223" s="3" t="n"/>
      <c r="CI223" s="3" t="n"/>
      <c r="CJ223" s="12" t="n"/>
      <c r="CK223" s="3" t="n"/>
      <c r="CL223" s="3" t="n"/>
      <c r="CM223" s="3" t="n"/>
      <c r="CN223" s="3" t="n"/>
      <c r="CO223" s="12" t="n"/>
      <c r="CP223" s="3" t="n"/>
      <c r="CQ223" s="3" t="n"/>
      <c r="CR223" s="3" t="n"/>
      <c r="CS223" s="3" t="n"/>
      <c r="CT223" s="12" t="n"/>
      <c r="CU223" s="3" t="n"/>
      <c r="CV223" s="3" t="n"/>
      <c r="CW223" s="3" t="n"/>
      <c r="CX223" s="3" t="n"/>
      <c r="CY223" s="12" t="n"/>
    </row>
    <row r="224" hidden="1" outlineLevel="1">
      <c r="C224" s="57" t="inlineStr">
        <is>
          <t>Short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>
        <f>AH204</f>
        <v>0</v>
      </c>
      <c r="AI224" s="12">
        <f>MAX(0,AH224-AI223)</f>
        <v>4979</v>
      </c>
      <c r="AJ224" s="12">
        <f>MAX(0,AI224-AJ223)</f>
        <v>4979</v>
      </c>
      <c r="AK224" s="12">
        <f>MAX(0,AJ224-AK223)</f>
        <v>4979</v>
      </c>
      <c r="AL224" s="12" t="n"/>
      <c r="AM224" s="12">
        <f>AM204</f>
        <v>0</v>
      </c>
      <c r="AN224" s="12">
        <f>MAX(0,AM224-AN223)</f>
        <v>0</v>
      </c>
      <c r="AO224" s="12">
        <f>MAX(0,AN224-AO223)</f>
        <v>0</v>
      </c>
      <c r="AP224" s="12">
        <f>MAX(0,AO224-AP223)</f>
        <v>0</v>
      </c>
      <c r="AQ224" s="12" t="n"/>
      <c r="AR224" s="12">
        <f>AR204</f>
        <v>0</v>
      </c>
      <c r="AS224" s="12">
        <f>MAX(0,AR224-AS223)</f>
        <v>0</v>
      </c>
      <c r="AT224" s="12">
        <f>MAX(0,AS224-AT223)</f>
        <v>0</v>
      </c>
      <c r="AU224" s="12">
        <f>MAX(0,AT224-AU223)</f>
        <v>0</v>
      </c>
      <c r="AV224" s="12" t="n"/>
      <c r="AW224" s="12">
        <f>AW204</f>
        <v>0</v>
      </c>
      <c r="AX224" s="12">
        <f>MAX(0,AW224-AX223)</f>
        <v>0</v>
      </c>
      <c r="AY224" s="12">
        <f>MAX(0,AX224-AY223)</f>
        <v>0</v>
      </c>
      <c r="AZ224" s="12">
        <f>MAX(0,AY224-AZ223)</f>
        <v>0</v>
      </c>
      <c r="BA224" s="12" t="n"/>
      <c r="BB224" s="12">
        <f>BB204</f>
        <v>0</v>
      </c>
      <c r="BC224" s="12">
        <f>MAX(0,BB224-BC223)</f>
        <v>0</v>
      </c>
      <c r="BD224" s="12">
        <f>MAX(0,BC224-BD223)</f>
        <v>0</v>
      </c>
      <c r="BE224" s="12">
        <f>MAX(0,BD224-BE223)</f>
        <v>0</v>
      </c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collapsed="1">
      <c r="C226" s="14" t="inlineStr">
        <is>
          <t>Long term operating leases</t>
        </is>
      </c>
      <c r="D226" s="46" t="n"/>
      <c r="E226" s="46" t="n"/>
      <c r="F226" s="46" t="n"/>
      <c r="G226" s="46" t="n"/>
      <c r="H226" s="12" t="n"/>
      <c r="I226" s="46">
        <f>'Inputs (2)'!D36</f>
        <v>10574</v>
      </c>
      <c r="J226" s="46">
        <f>'Inputs (2)'!E36</f>
        <v>10956</v>
      </c>
      <c r="K226" s="46">
        <f>'Inputs (2)'!F36</f>
        <v>11554</v>
      </c>
      <c r="L226" s="46">
        <f>'Inputs (2)'!G36</f>
        <v>12746</v>
      </c>
      <c r="M226" s="12">
        <f>'Inputs (2)'!H36</f>
        <v>12746</v>
      </c>
      <c r="N226" s="46">
        <f>'Inputs (2)'!I36</f>
        <v>12894</v>
      </c>
      <c r="O226" s="46">
        <f>'Inputs (2)'!J36</f>
        <v>14792</v>
      </c>
      <c r="P226" s="46">
        <f>'Inputs (2)'!K36</f>
        <v>14687</v>
      </c>
      <c r="Q226" s="46">
        <f>'Inputs (2)'!L36</f>
        <v>15301</v>
      </c>
      <c r="R226" s="12">
        <f>'Inputs (2)'!M36</f>
        <v>15301</v>
      </c>
      <c r="S226" s="46">
        <f>'Inputs (2)'!N36</f>
        <v>16171</v>
      </c>
      <c r="T226" s="46">
        <f>'Inputs (2)'!O36</f>
        <v>16440</v>
      </c>
      <c r="U226" s="46">
        <f>'Inputs (2)'!P36</f>
        <v>16374</v>
      </c>
      <c r="V226" s="46">
        <f>'Inputs (2)'!Q36</f>
        <v>17226</v>
      </c>
      <c r="W226" s="12">
        <f>'Inputs (2)'!R36</f>
        <v>17226</v>
      </c>
      <c r="X226" s="46">
        <f>'Inputs (2)'!S36</f>
        <v>17570</v>
      </c>
      <c r="Y226" s="46">
        <f>'Inputs (2)'!T36</f>
        <v>17685</v>
      </c>
      <c r="Z226" s="46">
        <f>'Inputs (2)'!U36</f>
        <v>18208</v>
      </c>
      <c r="AA226" s="46">
        <f>'Inputs (2)'!V36</f>
        <v>18292</v>
      </c>
      <c r="AB226" s="12">
        <f>'Inputs (2)'!W36</f>
        <v>18292</v>
      </c>
      <c r="AC226" s="46">
        <f>'Inputs (2)'!X36</f>
        <v>18714</v>
      </c>
      <c r="AD226" s="46">
        <f>'Inputs (2)'!Y36</f>
        <v>18751</v>
      </c>
      <c r="AE226" s="46">
        <f>'Inputs (2)'!Z36</f>
        <v>20113</v>
      </c>
      <c r="AF226" s="46">
        <f>'Inputs (2)'!AA36</f>
        <v>22940</v>
      </c>
      <c r="AG226" s="12">
        <f>'Inputs (2)'!AB36</f>
        <v>22940</v>
      </c>
      <c r="AH226" s="12">
        <f>'Inputs (2)'!AC36</f>
        <v>25607</v>
      </c>
      <c r="AI226" s="12">
        <f>'Inputs (2)'!AD36</f>
        <v>26229</v>
      </c>
      <c r="AJ226" s="12">
        <f>AI226</f>
        <v>26229</v>
      </c>
      <c r="AK226" s="12">
        <f>AJ226</f>
        <v>26229</v>
      </c>
      <c r="AL226" s="12">
        <f>AK226</f>
        <v>26229</v>
      </c>
      <c r="AM226" s="12">
        <f>AL226</f>
        <v>26229</v>
      </c>
      <c r="AN226" s="12">
        <f>AM226</f>
        <v>26229</v>
      </c>
      <c r="AO226" s="12">
        <f>AN226</f>
        <v>26229</v>
      </c>
      <c r="AP226" s="12">
        <f>AO226</f>
        <v>26229</v>
      </c>
      <c r="AQ226" s="12">
        <f>AP226</f>
        <v>26229</v>
      </c>
      <c r="AR226" s="12">
        <f>AQ226</f>
        <v>26229</v>
      </c>
      <c r="AS226" s="12">
        <f>AR226</f>
        <v>26229</v>
      </c>
      <c r="AT226" s="12">
        <f>AS226</f>
        <v>26229</v>
      </c>
      <c r="AU226" s="12">
        <f>AT226</f>
        <v>26229</v>
      </c>
      <c r="AV226" s="12">
        <f>AU226</f>
        <v>26229</v>
      </c>
      <c r="AW226" s="12">
        <f>AV226</f>
        <v>26229</v>
      </c>
      <c r="AX226" s="12">
        <f>AW226</f>
        <v>26229</v>
      </c>
      <c r="AY226" s="12">
        <f>AX226</f>
        <v>26229</v>
      </c>
      <c r="AZ226" s="12">
        <f>AY226</f>
        <v>26229</v>
      </c>
      <c r="BA226" s="12">
        <f>AZ226</f>
        <v>26229</v>
      </c>
      <c r="BB226" s="12">
        <f>BA226</f>
        <v>26229</v>
      </c>
      <c r="BC226" s="12">
        <f>BB226</f>
        <v>26229</v>
      </c>
      <c r="BD226" s="12">
        <f>BC226</f>
        <v>26229</v>
      </c>
      <c r="BE226" s="12">
        <f>BD226</f>
        <v>26229</v>
      </c>
      <c r="BF226" s="12">
        <f>BE226</f>
        <v>26229</v>
      </c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9" t="inlineStr">
        <is>
          <t>%(Var.)</t>
        </is>
      </c>
      <c r="D227" s="12" t="n"/>
      <c r="E227" s="40" t="n"/>
      <c r="F227" s="40" t="n"/>
      <c r="G227" s="40" t="n"/>
      <c r="H227" s="12" t="n"/>
      <c r="I227" s="40" t="str">
        <f>""</f>
        <v/>
      </c>
      <c r="J227" s="40">
        <f>IFERROR(IF(I226=0,"",J226/I226-1),"")</f>
        <v>0.0361263476451674</v>
      </c>
      <c r="K227" s="40">
        <f>IFERROR(IF(J226=0,"",K226/J226-1),"")</f>
        <v>0.0545819642205185</v>
      </c>
      <c r="L227" s="40">
        <f>IFERROR(IF(K226=0,"",L226/K226-1),"")</f>
        <v>0.103167734118054</v>
      </c>
      <c r="M227" s="12">
        <f>IF(L226=0,"",M226/L226-1)</f>
        <v>0</v>
      </c>
      <c r="N227" s="40">
        <f>IFERROR(IF(M226=0,"",N226/M226-1),"")</f>
        <v>0.0116114859563785</v>
      </c>
      <c r="O227" s="40">
        <f>IFERROR(IF(N226=0,"",O226/N226-1),"")</f>
        <v>0.147200248177447</v>
      </c>
      <c r="P227" s="40">
        <f>IFERROR(IF(O226=0,"",P226/O226-1),"")</f>
        <v>-0.0070984315846403</v>
      </c>
      <c r="Q227" s="40">
        <f>IFERROR(IF(P226=0,"",Q226/P226-1),"")</f>
        <v>0.0418056784911827</v>
      </c>
      <c r="R227" s="12">
        <f>IF(Q226=0,"",R226/Q226-1)</f>
        <v>0</v>
      </c>
      <c r="S227" s="40">
        <f>IFERROR(IF(R226=0,"",S226/R226-1),"")</f>
        <v>0.0568590288216457</v>
      </c>
      <c r="T227" s="40">
        <f>IFERROR(IF(S226=0,"",T226/S226-1),"")</f>
        <v>0.0166347164677509</v>
      </c>
      <c r="U227" s="40">
        <f>IFERROR(IF(T226=0,"",U226/T226-1),"")</f>
        <v>-0.00401459854014596</v>
      </c>
      <c r="V227" s="40">
        <f>IFERROR(IF(U226=0,"",V226/U226-1),"")</f>
        <v>0.0520337119824112</v>
      </c>
      <c r="W227" s="12">
        <f>IF(V226=0,"",W226/V226-1)</f>
        <v>0</v>
      </c>
      <c r="X227" s="40">
        <f>IFERROR(IF(W226=0,"",X226/W226-1),"")</f>
        <v>0.0199698130732613</v>
      </c>
      <c r="Y227" s="40">
        <f>IFERROR(IF(X226=0,"",Y226/X226-1),"")</f>
        <v>0.00654524758110409</v>
      </c>
      <c r="Z227" s="40">
        <f>IFERROR(IF(Y226=0,"",Z226/Y226-1),"")</f>
        <v>0.0295730845349167</v>
      </c>
      <c r="AA227" s="40">
        <f>IFERROR(IF(Z226=0,"",AA226/Z226-1),"")</f>
        <v>0.00461335676625652</v>
      </c>
      <c r="AB227" s="12">
        <f>IF(AA226=0,"",AB226/AA226-1)</f>
        <v>0</v>
      </c>
      <c r="AC227" s="40">
        <f>IFERROR(IF(AB226=0,"",AC226/AB226-1),"")</f>
        <v>0.0230701946205991</v>
      </c>
      <c r="AD227" s="40">
        <f>IFERROR(IF(AC226=0,"",AD226/AC226-1),"")</f>
        <v>0.00197712942182315</v>
      </c>
      <c r="AE227" s="40">
        <f>IFERROR(IF(AD226=0,"",AE226/AD226-1),"")</f>
        <v>0.0726361260732762</v>
      </c>
      <c r="AF227" s="41">
        <f>IFERROR(IF(AE226=0,"",AF226/AE226-1),"")</f>
        <v>0.140555859394422</v>
      </c>
      <c r="AG227" s="12">
        <f>IF(AF226=0,"",AG226/AF226-1)</f>
        <v>0</v>
      </c>
      <c r="AH227" s="11">
        <f>IFERROR(IF(AG226=0,"",AH226/AG226-1),"")</f>
        <v>0.116259808195292</v>
      </c>
      <c r="AI227" s="11">
        <f>IFERROR(IF(AH226=0,"",AI226/AH226-1),"")</f>
        <v>0.024290233139376</v>
      </c>
      <c r="AJ227" s="11">
        <f>IFERROR(IF(AI226=0,"",AJ226/AI226-1),"")</f>
        <v>0</v>
      </c>
      <c r="AK227" s="11">
        <f>IFERROR(IF(AJ226=0,"",AK226/AJ226-1),"")</f>
        <v>0</v>
      </c>
      <c r="AL227" s="12">
        <f>IFERROR(IF(AK226=0,"",AL226/AK226-1),"")</f>
        <v>0</v>
      </c>
      <c r="AM227" s="11">
        <f>IFERROR(IF(AL226=0,"",AM226/AL226-1),"")</f>
        <v>0</v>
      </c>
      <c r="AN227" s="11">
        <f>IFERROR(IF(AM226=0,"",AN226/AM226-1),"")</f>
        <v>0</v>
      </c>
      <c r="AO227" s="11">
        <f>IFERROR(IF(AN226=0,"",AO226/AN226-1),"")</f>
        <v>0</v>
      </c>
      <c r="AP227" s="11">
        <f>IFERROR(IF(AO226=0,"",AP226/AO226-1),"")</f>
        <v>0</v>
      </c>
      <c r="AQ227" s="12">
        <f>IFERROR(IF(AP226=0,"",AQ226/AP226-1),"")</f>
        <v>0</v>
      </c>
      <c r="AR227" s="11">
        <f>IFERROR(IF(AQ226=0,"",AR226/AQ226-1),"")</f>
        <v>0</v>
      </c>
      <c r="AS227" s="11">
        <f>IFERROR(IF(AR226=0,"",AS226/AR226-1),"")</f>
        <v>0</v>
      </c>
      <c r="AT227" s="11">
        <f>IFERROR(IF(AS226=0,"",AT226/AS226-1),"")</f>
        <v>0</v>
      </c>
      <c r="AU227" s="11">
        <f>IFERROR(IF(AT226=0,"",AU226/AT226-1),"")</f>
        <v>0</v>
      </c>
      <c r="AV227" s="12">
        <f>IFERROR(IF(AU226=0,"",AV226/AU226-1),"")</f>
        <v>0</v>
      </c>
      <c r="AW227" s="11">
        <f>IFERROR(IF(AV226=0,"",AW226/AV226-1),"")</f>
        <v>0</v>
      </c>
      <c r="AX227" s="11">
        <f>IFERROR(IF(AW226=0,"",AX226/AW226-1),"")</f>
        <v>0</v>
      </c>
      <c r="AY227" s="11">
        <f>IFERROR(IF(AX226=0,"",AY226/AX226-1),"")</f>
        <v>0</v>
      </c>
      <c r="AZ227" s="11">
        <f>IFERROR(IF(AY226=0,"",AZ226/AY226-1),"")</f>
        <v>0</v>
      </c>
      <c r="BA227" s="12">
        <f>IFERROR(IF(AZ226=0,"",BA226/AZ226-1),"")</f>
        <v>0</v>
      </c>
      <c r="BB227" s="11">
        <f>IFERROR(IF(BA226=0,"",BB226/BA226-1),"")</f>
        <v>0</v>
      </c>
      <c r="BC227" s="11">
        <f>IFERROR(IF(BB226=0,"",BC226/BB226-1),"")</f>
        <v>0</v>
      </c>
      <c r="BD227" s="11">
        <f>IFERROR(IF(BC226=0,"",BD226/BC226-1),"")</f>
        <v>0</v>
      </c>
      <c r="BE227" s="11">
        <f>IFERROR(IF(BD226=0,"",BE226/BD226-1),"")</f>
        <v>0</v>
      </c>
      <c r="BF227" s="12">
        <f>IFERROR(IF(BE226=0,"",BF226/BE226-1),"")</f>
        <v>0</v>
      </c>
      <c r="BG227" s="11" t="n"/>
      <c r="BH227" s="11" t="n"/>
      <c r="BI227" s="11" t="n"/>
      <c r="BJ227" s="11" t="n"/>
      <c r="BK227" s="12" t="n"/>
      <c r="BL227" s="11" t="n"/>
      <c r="BM227" s="11" t="n"/>
      <c r="BN227" s="11" t="n"/>
      <c r="BO227" s="11" t="n"/>
      <c r="BP227" s="12" t="n"/>
      <c r="BQ227" s="11" t="n"/>
      <c r="BR227" s="11" t="n"/>
      <c r="BS227" s="11" t="n"/>
      <c r="BT227" s="11" t="n"/>
      <c r="BU227" s="12" t="n"/>
      <c r="BV227" s="11" t="n"/>
      <c r="BW227" s="11" t="n"/>
      <c r="BX227" s="11" t="n"/>
      <c r="BY227" s="11" t="n"/>
      <c r="BZ227" s="12" t="n"/>
      <c r="CA227" s="11" t="n"/>
      <c r="CB227" s="11" t="n"/>
      <c r="CC227" s="11" t="n"/>
      <c r="CD227" s="11" t="n"/>
      <c r="CE227" s="12" t="n"/>
      <c r="CF227" s="11" t="n"/>
      <c r="CG227" s="11" t="n"/>
      <c r="CH227" s="11" t="n"/>
      <c r="CI227" s="11" t="n"/>
      <c r="CJ227" s="12" t="n"/>
      <c r="CK227" s="11" t="n"/>
      <c r="CL227" s="11" t="n"/>
      <c r="CM227" s="11" t="n"/>
      <c r="CN227" s="11" t="n"/>
      <c r="CO227" s="12" t="n"/>
      <c r="CP227" s="11" t="n"/>
      <c r="CQ227" s="11" t="n"/>
      <c r="CR227" s="11" t="n"/>
      <c r="CS227" s="11" t="n"/>
      <c r="CT227" s="12" t="n"/>
      <c r="CU227" s="11" t="n"/>
      <c r="CV227" s="11" t="n"/>
      <c r="CW227" s="11" t="n"/>
      <c r="CX227" s="11" t="n"/>
      <c r="CY227" s="12" t="n"/>
    </row>
    <row r="228" hidden="1" outlineLevel="1">
      <c r="C228" s="57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collapsed="1">
      <c r="C229" s="14" t="inlineStr">
        <is>
          <t>Convertible debt</t>
        </is>
      </c>
      <c r="D229" s="46" t="n"/>
      <c r="E229" s="46" t="n"/>
      <c r="F229" s="46" t="n"/>
      <c r="G229" s="46" t="n"/>
      <c r="H229" s="12" t="n"/>
      <c r="I229" s="46">
        <f>'Inputs (2)'!D37</f>
        <v>0</v>
      </c>
      <c r="J229" s="46">
        <f>'Inputs (2)'!E37</f>
        <v>0</v>
      </c>
      <c r="K229" s="46">
        <f>'Inputs (2)'!F37</f>
        <v>0</v>
      </c>
      <c r="L229" s="46">
        <f>'Inputs (2)'!G37</f>
        <v>0</v>
      </c>
      <c r="M229" s="12">
        <f>'Inputs (2)'!H37</f>
        <v>0</v>
      </c>
      <c r="N229" s="46">
        <f>'Inputs (2)'!I37</f>
        <v>0</v>
      </c>
      <c r="O229" s="46">
        <f>'Inputs (2)'!J37</f>
        <v>0</v>
      </c>
      <c r="P229" s="46">
        <f>'Inputs (2)'!K37</f>
        <v>0</v>
      </c>
      <c r="Q229" s="46">
        <f>'Inputs (2)'!L37</f>
        <v>0</v>
      </c>
      <c r="R229" s="12">
        <f>'Inputs (2)'!M37</f>
        <v>0</v>
      </c>
      <c r="S229" s="46">
        <f>'Inputs (2)'!N37</f>
        <v>0</v>
      </c>
      <c r="T229" s="46">
        <f>'Inputs (2)'!O37</f>
        <v>0</v>
      </c>
      <c r="U229" s="46">
        <f>'Inputs (2)'!P37</f>
        <v>0</v>
      </c>
      <c r="V229" s="46">
        <f>'Inputs (2)'!Q37</f>
        <v>0</v>
      </c>
      <c r="W229" s="12">
        <f>'Inputs (2)'!R37</f>
        <v>0</v>
      </c>
      <c r="X229" s="46">
        <f>'Inputs (2)'!S37</f>
        <v>0</v>
      </c>
      <c r="Y229" s="46">
        <f>'Inputs (2)'!T37</f>
        <v>0</v>
      </c>
      <c r="Z229" s="46">
        <f>'Inputs (2)'!U37</f>
        <v>0</v>
      </c>
      <c r="AA229" s="46">
        <f>'Inputs (2)'!V37</f>
        <v>0</v>
      </c>
      <c r="AB229" s="12">
        <f>'Inputs (2)'!W37</f>
        <v>0</v>
      </c>
      <c r="AC229" s="46">
        <f>'Inputs (2)'!X37</f>
        <v>0</v>
      </c>
      <c r="AD229" s="46">
        <f>'Inputs (2)'!Y37</f>
        <v>0</v>
      </c>
      <c r="AE229" s="46">
        <f>'Inputs (2)'!Z37</f>
        <v>0</v>
      </c>
      <c r="AF229" s="46">
        <f>'Inputs (2)'!AA37</f>
        <v>0</v>
      </c>
      <c r="AG229" s="12">
        <f>'Inputs (2)'!AB37</f>
        <v>0</v>
      </c>
      <c r="AH229" s="12">
        <f>'Inputs (2)'!AC37</f>
        <v>0</v>
      </c>
      <c r="AI229" s="12">
        <f>'Inputs (2)'!AD37</f>
        <v>0</v>
      </c>
      <c r="AJ229" s="12">
        <f>AI229</f>
        <v>0</v>
      </c>
      <c r="AK229" s="12">
        <f>AJ229</f>
        <v>0</v>
      </c>
      <c r="AL229" s="12">
        <f>AK229</f>
        <v>0</v>
      </c>
      <c r="AM229" s="12">
        <f>AL229</f>
        <v>0</v>
      </c>
      <c r="AN229" s="12">
        <f>AM229</f>
        <v>0</v>
      </c>
      <c r="AO229" s="12">
        <f>AN229</f>
        <v>0</v>
      </c>
      <c r="AP229" s="12">
        <f>AO229</f>
        <v>0</v>
      </c>
      <c r="AQ229" s="12">
        <f>AP229</f>
        <v>0</v>
      </c>
      <c r="AR229" s="12">
        <f>AQ229</f>
        <v>0</v>
      </c>
      <c r="AS229" s="12">
        <f>AR229</f>
        <v>0</v>
      </c>
      <c r="AT229" s="12">
        <f>AS229</f>
        <v>0</v>
      </c>
      <c r="AU229" s="12">
        <f>AT229</f>
        <v>0</v>
      </c>
      <c r="AV229" s="12">
        <f>AU229</f>
        <v>0</v>
      </c>
      <c r="AW229" s="12">
        <f>AV229</f>
        <v>0</v>
      </c>
      <c r="AX229" s="12">
        <f>AW229</f>
        <v>0</v>
      </c>
      <c r="AY229" s="12">
        <f>AX229</f>
        <v>0</v>
      </c>
      <c r="AZ229" s="12">
        <f>AY229</f>
        <v>0</v>
      </c>
      <c r="BA229" s="12">
        <f>AZ229</f>
        <v>0</v>
      </c>
      <c r="BB229" s="12">
        <f>BA229</f>
        <v>0</v>
      </c>
      <c r="BC229" s="12">
        <f>BB229</f>
        <v>0</v>
      </c>
      <c r="BD229" s="12">
        <f>BC229</f>
        <v>0</v>
      </c>
      <c r="BE229" s="12">
        <f>BD229</f>
        <v>0</v>
      </c>
      <c r="BF229" s="12">
        <f>BE229</f>
        <v>0</v>
      </c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>
      <c r="C230" s="14" t="inlineStr">
        <is>
          <t>Deferred income taxes</t>
        </is>
      </c>
      <c r="D230" s="46" t="n"/>
      <c r="E230" s="46" t="n"/>
      <c r="F230" s="46" t="n"/>
      <c r="G230" s="46" t="n"/>
      <c r="H230" s="12" t="n"/>
      <c r="I230" s="46">
        <f>'Inputs (2)'!D38</f>
        <v>0</v>
      </c>
      <c r="J230" s="46">
        <f>'Inputs (2)'!E38</f>
        <v>0</v>
      </c>
      <c r="K230" s="46">
        <f>'Inputs (2)'!F38</f>
        <v>0</v>
      </c>
      <c r="L230" s="46">
        <f>'Inputs (2)'!G38</f>
        <v>0</v>
      </c>
      <c r="M230" s="12">
        <f>'Inputs (2)'!H38</f>
        <v>0</v>
      </c>
      <c r="N230" s="46">
        <f>'Inputs (2)'!I38</f>
        <v>0</v>
      </c>
      <c r="O230" s="46">
        <f>'Inputs (2)'!J38</f>
        <v>0</v>
      </c>
      <c r="P230" s="46">
        <f>'Inputs (2)'!K38</f>
        <v>0</v>
      </c>
      <c r="Q230" s="46">
        <f>'Inputs (2)'!L38</f>
        <v>0</v>
      </c>
      <c r="R230" s="12">
        <f>'Inputs (2)'!M38</f>
        <v>0</v>
      </c>
      <c r="S230" s="46">
        <f>'Inputs (2)'!N38</f>
        <v>0</v>
      </c>
      <c r="T230" s="46">
        <f>'Inputs (2)'!O38</f>
        <v>0</v>
      </c>
      <c r="U230" s="46">
        <f>'Inputs (2)'!P38</f>
        <v>0</v>
      </c>
      <c r="V230" s="46">
        <f>'Inputs (2)'!Q38</f>
        <v>0</v>
      </c>
      <c r="W230" s="12">
        <f>'Inputs (2)'!R38</f>
        <v>0</v>
      </c>
      <c r="X230" s="46">
        <f>'Inputs (2)'!S38</f>
        <v>0</v>
      </c>
      <c r="Y230" s="46">
        <f>'Inputs (2)'!T38</f>
        <v>0</v>
      </c>
      <c r="Z230" s="46">
        <f>'Inputs (2)'!U38</f>
        <v>0</v>
      </c>
      <c r="AA230" s="46">
        <f>'Inputs (2)'!V38</f>
        <v>0</v>
      </c>
      <c r="AB230" s="12">
        <f>'Inputs (2)'!W38</f>
        <v>0</v>
      </c>
      <c r="AC230" s="46">
        <f>'Inputs (2)'!X38</f>
        <v>0</v>
      </c>
      <c r="AD230" s="46">
        <f>'Inputs (2)'!Y38</f>
        <v>0</v>
      </c>
      <c r="AE230" s="46">
        <f>'Inputs (2)'!Z38</f>
        <v>0</v>
      </c>
      <c r="AF230" s="46">
        <f>'Inputs (2)'!AA38</f>
        <v>0</v>
      </c>
      <c r="AG230" s="12">
        <f>'Inputs (2)'!AB38</f>
        <v>0</v>
      </c>
      <c r="AH230" s="12">
        <f>'Inputs (2)'!AC38</f>
        <v>0</v>
      </c>
      <c r="AI230" s="12">
        <f>'Inputs (2)'!AD38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Other non-current liabilities</t>
        </is>
      </c>
      <c r="D231" s="46" t="n"/>
      <c r="E231" s="46" t="n"/>
      <c r="F231" s="46" t="n"/>
      <c r="G231" s="46" t="n"/>
      <c r="H231" s="12" t="n"/>
      <c r="I231" s="46">
        <f>'Inputs (2)'!D39</f>
        <v>6575</v>
      </c>
      <c r="J231" s="46">
        <f>'Inputs (2)'!E39</f>
        <v>6552</v>
      </c>
      <c r="K231" s="46">
        <f>'Inputs (2)'!F39</f>
        <v>6859</v>
      </c>
      <c r="L231" s="46">
        <f>'Inputs (2)'!G39</f>
        <v>7227</v>
      </c>
      <c r="M231" s="12">
        <f>'Inputs (2)'!H39</f>
        <v>7227</v>
      </c>
      <c r="N231" s="46">
        <f>'Inputs (2)'!I39</f>
        <v>7010</v>
      </c>
      <c r="O231" s="46">
        <f>'Inputs (2)'!J39</f>
        <v>7003</v>
      </c>
      <c r="P231" s="46">
        <f>'Inputs (2)'!K39</f>
        <v>7504</v>
      </c>
      <c r="Q231" s="46">
        <f>'Inputs (2)'!L39</f>
        <v>7764</v>
      </c>
      <c r="R231" s="12">
        <f>'Inputs (2)'!M39</f>
        <v>7764</v>
      </c>
      <c r="S231" s="46">
        <f>'Inputs (2)'!N39</f>
        <v>8219</v>
      </c>
      <c r="T231" s="46">
        <f>'Inputs (2)'!O39</f>
        <v>7912</v>
      </c>
      <c r="U231" s="46">
        <f>'Inputs (2)'!P39</f>
        <v>8113</v>
      </c>
      <c r="V231" s="46">
        <f>'Inputs (2)'!Q39</f>
        <v>8884</v>
      </c>
      <c r="W231" s="12">
        <f>'Inputs (2)'!R39</f>
        <v>8884</v>
      </c>
      <c r="X231" s="46">
        <f>'Inputs (2)'!S39</f>
        <v>9257</v>
      </c>
      <c r="Y231" s="46">
        <f>'Inputs (2)'!T39</f>
        <v>10397</v>
      </c>
      <c r="Z231" s="46">
        <f>'Inputs (2)'!U39</f>
        <v>11518</v>
      </c>
      <c r="AA231" s="46">
        <f>'Inputs (2)'!V39</f>
        <v>12703</v>
      </c>
      <c r="AB231" s="12">
        <f>'Inputs (2)'!W39</f>
        <v>12703</v>
      </c>
      <c r="AC231" s="46">
        <f>'Inputs (2)'!X39</f>
        <v>13751</v>
      </c>
      <c r="AD231" s="46">
        <f>'Inputs (2)'!Y39</f>
        <v>14786</v>
      </c>
      <c r="AE231" s="46">
        <f>'Inputs (2)'!Z39</f>
        <v>23873</v>
      </c>
      <c r="AF231" s="46">
        <f>'Inputs (2)'!AA39</f>
        <v>25258</v>
      </c>
      <c r="AG231" s="12">
        <f>'Inputs (2)'!AB39</f>
        <v>25258</v>
      </c>
      <c r="AH231" s="12">
        <f>'Inputs (2)'!AC39</f>
        <v>20461</v>
      </c>
      <c r="AI231" s="12">
        <f>'Inputs (2)'!AD39</f>
        <v>22463</v>
      </c>
      <c r="AJ231" s="12">
        <f>AI231</f>
        <v>22463</v>
      </c>
      <c r="AK231" s="12">
        <f>AJ231</f>
        <v>22463</v>
      </c>
      <c r="AL231" s="12">
        <f>AK231</f>
        <v>22463</v>
      </c>
      <c r="AM231" s="12">
        <f>AL231</f>
        <v>22463</v>
      </c>
      <c r="AN231" s="12">
        <f>AM231</f>
        <v>22463</v>
      </c>
      <c r="AO231" s="12">
        <f>AN231</f>
        <v>22463</v>
      </c>
      <c r="AP231" s="12">
        <f>AO231</f>
        <v>22463</v>
      </c>
      <c r="AQ231" s="12">
        <f>AP231</f>
        <v>22463</v>
      </c>
      <c r="AR231" s="12">
        <f>AQ231</f>
        <v>22463</v>
      </c>
      <c r="AS231" s="12">
        <f>AR231</f>
        <v>22463</v>
      </c>
      <c r="AT231" s="12">
        <f>AS231</f>
        <v>22463</v>
      </c>
      <c r="AU231" s="12">
        <f>AT231</f>
        <v>22463</v>
      </c>
      <c r="AV231" s="12">
        <f>AU231</f>
        <v>22463</v>
      </c>
      <c r="AW231" s="12">
        <f>AV231</f>
        <v>22463</v>
      </c>
      <c r="AX231" s="12">
        <f>AW231</f>
        <v>22463</v>
      </c>
      <c r="AY231" s="12">
        <f>AX231</f>
        <v>22463</v>
      </c>
      <c r="AZ231" s="12">
        <f>AY231</f>
        <v>22463</v>
      </c>
      <c r="BA231" s="12">
        <f>AZ231</f>
        <v>22463</v>
      </c>
      <c r="BB231" s="12">
        <f>BA231</f>
        <v>22463</v>
      </c>
      <c r="BC231" s="12">
        <f>BB231</f>
        <v>22463</v>
      </c>
      <c r="BD231" s="12">
        <f>BC231</f>
        <v>22463</v>
      </c>
      <c r="BE231" s="12">
        <f>BD231</f>
        <v>22463</v>
      </c>
      <c r="BF231" s="12">
        <f>BE231</f>
        <v>22463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 ht="12" customHeight="1">
      <c r="C232" s="59" t="inlineStr">
        <is>
          <t>%(Var.)</t>
        </is>
      </c>
      <c r="D232" s="12" t="n"/>
      <c r="E232" s="40" t="n"/>
      <c r="F232" s="40" t="n"/>
      <c r="G232" s="40" t="n"/>
      <c r="H232" s="12" t="n"/>
      <c r="I232" s="40" t="str">
        <f>""</f>
        <v/>
      </c>
      <c r="J232" s="40">
        <f>IF(I231=0,"",J231/I231-1)</f>
        <v>-0.00349809885931562</v>
      </c>
      <c r="K232" s="40">
        <f>IF(J231=0,"",K231/J231-1)</f>
        <v>0.0468559218559219</v>
      </c>
      <c r="L232" s="40">
        <f>IF(K231=0,"",L231/K231-1)</f>
        <v>0.0536521358798658</v>
      </c>
      <c r="M232" s="12">
        <f>IF(L231=0,"",M231/L231-1)</f>
        <v>0</v>
      </c>
      <c r="N232" s="40">
        <f>IF(M231=0,"",N231/M231-1)</f>
        <v>-0.0300262903002629</v>
      </c>
      <c r="O232" s="40">
        <f>IF(N231=0,"",O231/N231-1)</f>
        <v>-0.000998573466476471</v>
      </c>
      <c r="P232" s="40">
        <f>IF(O231=0,"",P231/O231-1)</f>
        <v>0.071540768242182</v>
      </c>
      <c r="Q232" s="40">
        <f>IF(P231=0,"",Q231/P231-1)</f>
        <v>0.0346481876332623</v>
      </c>
      <c r="R232" s="12">
        <f>IF(Q231=0,"",R231/Q231-1)</f>
        <v>0</v>
      </c>
      <c r="S232" s="40">
        <f>IF(R231=0,"",S231/R231-1)</f>
        <v>0.0586038124678001</v>
      </c>
      <c r="T232" s="40">
        <f>IF(S231=0,"",T231/S231-1)</f>
        <v>-0.0373524759703127</v>
      </c>
      <c r="U232" s="40">
        <f>IF(T231=0,"",U231/T231-1)</f>
        <v>0.0254044489383216</v>
      </c>
      <c r="V232" s="40">
        <f>IF(U231=0,"",V231/U231-1)</f>
        <v>0.0950326636262788</v>
      </c>
      <c r="W232" s="12">
        <f>IF(V231=0,"",W231/V231-1)</f>
        <v>0</v>
      </c>
      <c r="X232" s="40">
        <f>IF(W231=0,"",X231/W231-1)</f>
        <v>0.0419855920756416</v>
      </c>
      <c r="Y232" s="40">
        <f>IF(X231=0,"",Y231/X231-1)</f>
        <v>0.123150048611861</v>
      </c>
      <c r="Z232" s="40">
        <f>IF(Y231=0,"",Z231/Y231-1)</f>
        <v>0.107819563335578</v>
      </c>
      <c r="AA232" s="40">
        <f>IF(Z231=0,"",AA231/Z231-1)</f>
        <v>0.102882444868901</v>
      </c>
      <c r="AB232" s="12">
        <f>IF(AA231=0,"",AB231/AA231-1)</f>
        <v>0</v>
      </c>
      <c r="AC232" s="40">
        <f>IF(AB231=0,"",AC231/AB231-1)</f>
        <v>0.0825001968039045</v>
      </c>
      <c r="AD232" s="40">
        <f>IF(AC231=0,"",AD231/AC231-1)</f>
        <v>0.0752672532906697</v>
      </c>
      <c r="AE232" s="40">
        <f>IF(AD231=0,"",AE231/AD231-1)</f>
        <v>0.614567834437982</v>
      </c>
      <c r="AF232" s="41">
        <f>IF(AE231=0,"",AF231/AE231-1)</f>
        <v>0.0580153311272149</v>
      </c>
      <c r="AG232" s="12">
        <f>IF(AF231=0,"",AG231/AF231-1)</f>
        <v>0</v>
      </c>
      <c r="AH232" s="41">
        <f>IF(AG231=0,"",AH231/AG231-1)</f>
        <v>-0.189920025338507</v>
      </c>
      <c r="AI232" s="41">
        <f>IF(AH231=0,"",AI231/AH231-1)</f>
        <v>0.0978446801231612</v>
      </c>
      <c r="AJ232" s="41">
        <f>IF(AI231=0,"",AJ231/AI231-1)</f>
        <v>0</v>
      </c>
      <c r="AK232" s="41">
        <f>IF(AJ231=0,"",AK231/AJ231-1)</f>
        <v>0</v>
      </c>
      <c r="AL232" s="12">
        <f>IF(AK231=0,"",AL231/AK231-1)</f>
        <v>0</v>
      </c>
      <c r="AM232" s="41">
        <f>IF(AL231=0,"",AM231/AL231-1)</f>
        <v>0</v>
      </c>
      <c r="AN232" s="41">
        <f>IF(AM231=0,"",AN231/AM231-1)</f>
        <v>0</v>
      </c>
      <c r="AO232" s="41">
        <f>IF(AN231=0,"",AO231/AN231-1)</f>
        <v>0</v>
      </c>
      <c r="AP232" s="41">
        <f>IF(AO231=0,"",AP231/AO231-1)</f>
        <v>0</v>
      </c>
      <c r="AQ232" s="12">
        <f>IF(AP231=0,"",AQ231/AP231-1)</f>
        <v>0</v>
      </c>
      <c r="AR232" s="41">
        <f>IF(AQ231=0,"",AR231/AQ231-1)</f>
        <v>0</v>
      </c>
      <c r="AS232" s="41">
        <f>IF(AR231=0,"",AS231/AR231-1)</f>
        <v>0</v>
      </c>
      <c r="AT232" s="41">
        <f>IF(AS231=0,"",AT231/AS231-1)</f>
        <v>0</v>
      </c>
      <c r="AU232" s="41">
        <f>IF(AT231=0,"",AU231/AT231-1)</f>
        <v>0</v>
      </c>
      <c r="AV232" s="12">
        <f>IF(AU231=0,"",AV231/AU231-1)</f>
        <v>0</v>
      </c>
      <c r="AW232" s="41">
        <f>IF(AV231=0,"",AW231/AV231-1)</f>
        <v>0</v>
      </c>
      <c r="AX232" s="41">
        <f>IF(AW231=0,"",AX231/AW231-1)</f>
        <v>0</v>
      </c>
      <c r="AY232" s="41">
        <f>IF(AX231=0,"",AY231/AX231-1)</f>
        <v>0</v>
      </c>
      <c r="AZ232" s="41">
        <f>IF(AY231=0,"",AZ231/AY231-1)</f>
        <v>0</v>
      </c>
      <c r="BA232" s="12">
        <f>IF(AZ231=0,"",BA231/AZ231-1)</f>
        <v>0</v>
      </c>
      <c r="BB232" s="41">
        <f>IF(BA231=0,"",BB231/BA231-1)</f>
        <v>0</v>
      </c>
      <c r="BC232" s="41">
        <f>IF(BB231=0,"",BC231/BB231-1)</f>
        <v>0</v>
      </c>
      <c r="BD232" s="41">
        <f>IF(BC231=0,"",BD231/BC231-1)</f>
        <v>0</v>
      </c>
      <c r="BE232" s="41">
        <f>IF(BD231=0,"",BE231/BD231-1)</f>
        <v>0</v>
      </c>
      <c r="BF232" s="12">
        <f>IF(BE231=0,"",BF231/BE231-1)</f>
        <v>0</v>
      </c>
      <c r="BG232" s="41" t="n"/>
      <c r="BH232" s="41" t="n"/>
      <c r="BI232" s="41" t="n"/>
      <c r="BJ232" s="41" t="n"/>
      <c r="BK232" s="12" t="n"/>
      <c r="BL232" s="41" t="n"/>
      <c r="BM232" s="41" t="n"/>
      <c r="BN232" s="41" t="n"/>
      <c r="BO232" s="41" t="n"/>
      <c r="BP232" s="12" t="n"/>
      <c r="BQ232" s="41" t="n"/>
      <c r="BR232" s="41" t="n"/>
      <c r="BS232" s="41" t="n"/>
      <c r="BT232" s="41" t="n"/>
      <c r="BU232" s="12" t="n"/>
      <c r="BV232" s="41" t="n"/>
      <c r="BW232" s="41" t="n"/>
      <c r="BX232" s="41" t="n"/>
      <c r="BY232" s="41" t="n"/>
      <c r="BZ232" s="12" t="n"/>
      <c r="CA232" s="41" t="n"/>
      <c r="CB232" s="41" t="n"/>
      <c r="CC232" s="41" t="n"/>
      <c r="CD232" s="41" t="n"/>
      <c r="CE232" s="12" t="n"/>
      <c r="CF232" s="41" t="n"/>
      <c r="CG232" s="41" t="n"/>
      <c r="CH232" s="41" t="n"/>
      <c r="CI232" s="41" t="n"/>
      <c r="CJ232" s="12" t="n"/>
      <c r="CK232" s="41" t="n"/>
      <c r="CL232" s="41" t="n"/>
      <c r="CM232" s="41" t="n"/>
      <c r="CN232" s="41" t="n"/>
      <c r="CO232" s="12" t="n"/>
      <c r="CP232" s="41" t="n"/>
      <c r="CQ232" s="41" t="n"/>
      <c r="CR232" s="41" t="n"/>
      <c r="CS232" s="41" t="n"/>
      <c r="CT232" s="12" t="n"/>
      <c r="CU232" s="41" t="n"/>
      <c r="CV232" s="41" t="n"/>
      <c r="CW232" s="41" t="n"/>
      <c r="CX232" s="41" t="n"/>
      <c r="CY232" s="12" t="n"/>
    </row>
    <row r="233" hidden="1" outlineLevel="1" ht="12" customHeight="1">
      <c r="C233" s="59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Contas a pagar pela aquisição de controladas</t>
        </is>
      </c>
      <c r="D234" s="11" t="n"/>
      <c r="E234" s="11" t="n"/>
      <c r="F234" s="11" t="n"/>
      <c r="G234" s="11" t="n"/>
      <c r="H234" s="12" t="n"/>
      <c r="I234" s="11" t="n"/>
      <c r="J234" s="11" t="n"/>
      <c r="K234" s="11" t="n"/>
      <c r="L234" s="11" t="n"/>
      <c r="M234" s="12" t="n"/>
      <c r="N234" s="11" t="n"/>
      <c r="O234" s="11" t="n"/>
      <c r="P234" s="11" t="n"/>
      <c r="Q234" s="11" t="n"/>
      <c r="R234" s="12" t="n"/>
      <c r="S234" s="11" t="n"/>
      <c r="T234" s="11" t="n"/>
      <c r="U234" s="11" t="n"/>
      <c r="V234" s="11" t="n"/>
      <c r="W234" s="12" t="n"/>
      <c r="X234" s="11" t="n"/>
      <c r="Y234" s="11" t="n"/>
      <c r="Z234" s="11" t="n"/>
      <c r="AA234" s="11" t="n"/>
      <c r="AB234" s="12" t="n"/>
      <c r="AC234" s="11" t="n"/>
      <c r="AD234" s="11" t="n"/>
      <c r="AE234" s="11" t="n"/>
      <c r="AF234" s="11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 xml:space="preserve">Outras Obrigações 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Provisão de Risco Cíveis, Trabalhistas e Tributários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collapsed="1" customFormat="1" s="32">
      <c r="A238" s="30" t="n"/>
      <c r="B238" s="30" t="n"/>
      <c r="C238" s="65" t="inlineStr">
        <is>
          <t>Total Liabilities</t>
        </is>
      </c>
      <c r="D238" s="35" t="n"/>
      <c r="E238" s="35" t="n"/>
      <c r="F238" s="35" t="n"/>
      <c r="G238" s="35" t="n"/>
      <c r="H238" s="35" t="n"/>
      <c r="I238" s="35">
        <f>SUM(I189+I193+I195+I196+I203+I204+I205+I208+I226+I229+I230+I231)</f>
        <v>29866</v>
      </c>
      <c r="J238" s="35">
        <f>SUM(J189+J193+J195+J196+J203+J204+J205+J208+J226+J229+J230+J231)</f>
        <v>32382</v>
      </c>
      <c r="K238" s="35">
        <f>SUM(K189+K193+K195+K196+K203+K204+K205+K208+K226+K229+K230+K231)</f>
        <v>36225</v>
      </c>
      <c r="L238" s="35">
        <f>SUM(L189+L193+L195+L196+L203+L204+L205+L208+L226+L229+L230+L231)</f>
        <v>41108</v>
      </c>
      <c r="M238" s="35">
        <f>SUM(M189,M193,M195,M196,M203,M204,M208,M205,M226,M229,M230,M231)</f>
        <v>41108</v>
      </c>
      <c r="N238" s="35">
        <f>SUM(N189+N193+N195+N196+N203+N204+N205+N208+N226+N229+N230+N231)</f>
        <v>40990</v>
      </c>
      <c r="O238" s="35">
        <f>SUM(O189+O193+O195+O196+O203+O204+O205+O208+O226+O229+O230+O231)</f>
        <v>44012</v>
      </c>
      <c r="P238" s="35">
        <f>SUM(P189+P193+P195+P196+P203+P204+P205+P208+P226+P229+P230+P231)</f>
        <v>54800</v>
      </c>
      <c r="Q238" s="35">
        <f>SUM(Q189+Q193+Q195+Q196+Q203+Q204+Q205+Q208+Q226+Q229+Q230+Q231)</f>
        <v>60014</v>
      </c>
      <c r="R238" s="35">
        <f>SUM(R189,R193,R195,R196,R203,R204,R208,R205,R226,R229,R230,R231)</f>
        <v>60014</v>
      </c>
      <c r="S238" s="35">
        <f>SUM(S189+S193+S195+S196+S203+S204+S205+S208+S226+S229+S230+S231)</f>
        <v>59696</v>
      </c>
      <c r="T238" s="35">
        <f>SUM(T189+T193+T195+T196+T203+T204+T205+T208+T226+T229+T230+T231)</f>
        <v>72655</v>
      </c>
      <c r="U238" s="35">
        <f>SUM(U189+U193+U195+U196+U203+U204+U205+U208+U226+U229+U230+U231)</f>
        <v>73401</v>
      </c>
      <c r="V238" s="35">
        <f>SUM(V189+V193+V195+V196+V203+V204+V205+V208+V226+V229+V230+V231)</f>
        <v>76455</v>
      </c>
      <c r="W238" s="35">
        <f>SUM(W189,W193,W195,W196,W203,W204,W208,W205,W226,W229,W230,W231)</f>
        <v>76455</v>
      </c>
      <c r="X238" s="35">
        <f>SUM(X189+X193+X195+X196+X203+X204+X205+X208+X226+X229+X230+X231)</f>
        <v>73315</v>
      </c>
      <c r="Y238" s="35">
        <f>SUM(Y189+Y193+Y195+Y196+Y203+Y204+Y205+Y208+Y226+Y229+Y230+Y231)</f>
        <v>73475</v>
      </c>
      <c r="Z238" s="35">
        <f>SUM(Z189+Z193+Z195+Z196+Z203+Z204+Z205+Z208+Z226+Z229+Z230+Z231)</f>
        <v>91879</v>
      </c>
      <c r="AA238" s="35">
        <f>SUM(AA189+AA193+AA195+AA196+AA203+AA204+AA205+AA208+AA226+AA229+AA230+AA231)</f>
        <v>93417</v>
      </c>
      <c r="AB238" s="35">
        <f>SUM(AB189,AB193,AB195,AB196,AB203,AB204,AB208,AB205,AB226,AB229,AB230,AB231)</f>
        <v>93417</v>
      </c>
      <c r="AC238" s="35">
        <f>SUM(AC189+AC193+AC195+AC196+AC203+AC204+AC205+AC208+AC226+AC229+AC230+AC231)</f>
        <v>95184</v>
      </c>
      <c r="AD238" s="35">
        <f>SUM(AD189+AD193+AD195+AD196+AD203+AD204+AD205+AD208+AD226+AD229+AD230+AD231)</f>
        <v>99674</v>
      </c>
      <c r="AE238" s="35">
        <f>SUM(AE189+AE193+AE195+AE196+AE203+AE204+AE205+AE208+AE226+AE229+AE230+AE231)</f>
        <v>109778</v>
      </c>
      <c r="AF238" s="35">
        <f>SUM(AF189+AF193+AF195+AF196+AF203+AF204+AF205+AF208+AF226+AF229+AF230+AF231)</f>
        <v>148778</v>
      </c>
      <c r="AG238" s="35">
        <f>SUM(AG189,AG193,AG195,AG196,AG203,AG204,AG208,AG205,AG226,AG229,AG230,AG231)</f>
        <v>148778</v>
      </c>
      <c r="AH238" s="35">
        <f>SUM(AH189+AH193+AH195+AH196+AH203+AH204+AH205+AH208+AH226+AH229+AH230+AH231)</f>
        <v>151569</v>
      </c>
      <c r="AI238" s="35">
        <f>SUM(AI189+AI193+AI195+AI196+AI203+AI204+AI205+AI208+AI226+AI229+AI230+AI231)</f>
        <v>188735</v>
      </c>
      <c r="AJ238" s="35">
        <f>SUM(AJ189+AJ193+AJ195+AJ196+AJ203+AJ204+AJ205+AJ208+AJ226+AJ229+AJ230+AJ231)</f>
        <v>195070.875246776</v>
      </c>
      <c r="AK238" s="35">
        <f>SUM(AK189+AK193+AK195+AK196+AK203+AK204+AK205+AK208+AK226+AK229+AK230+AK231)</f>
        <v>209006.718973683</v>
      </c>
      <c r="AL238" s="35">
        <f>SUM(AL189,AL193,AL195,AL196,AL203,AL204,AL208,AL205,AL226,AL229,AL230,AL231)</f>
        <v>209006.718973683</v>
      </c>
      <c r="AM238" s="35">
        <f>SUM(AM189+AM193+AM195+AM196+AM203+AM204+AM205+AM208+AM226+AM229+AM230+AM231)</f>
        <v>223121.842005977</v>
      </c>
      <c r="AN238" s="35">
        <f>SUM(AN189+AN193+AN195+AN196+AN203+AN204+AN205+AN208+AN226+AN229+AN230+AN231)</f>
        <v>242437.218914979</v>
      </c>
      <c r="AO238" s="35">
        <f>SUM(AO189+AO193+AO195+AO196+AO203+AO204+AO205+AO208+AO226+AO229+AO230+AO231)</f>
        <v>265942.818429562</v>
      </c>
      <c r="AP238" s="35">
        <f>SUM(AP189+AP193+AP195+AP196+AP203+AP204+AP205+AP208+AP226+AP229+AP230+AP231)</f>
        <v>297198.762177503</v>
      </c>
      <c r="AQ238" s="35">
        <f>SUM(AQ189,AQ193,AQ195,AQ196,AQ203,AQ204,AQ208,AQ205,AQ226,AQ229,AQ230,AQ231)</f>
        <v>297198.762177503</v>
      </c>
      <c r="AR238" s="35">
        <f>SUM(AR189+AR193+AR195+AR196+AR203+AR204+AR205+AR208+AR226+AR229+AR230+AR231)</f>
        <v>331129.062563529</v>
      </c>
      <c r="AS238" s="35">
        <f>SUM(AS189+AS193+AS195+AS196+AS203+AS204+AS205+AS208+AS226+AS229+AS230+AS231)</f>
        <v>375945.127578235</v>
      </c>
      <c r="AT238" s="35">
        <f>SUM(AT189+AT193+AT195+AT196+AT203+AT204+AT205+AT208+AT226+AT229+AT230+AT231)</f>
        <v>430666.368945316</v>
      </c>
      <c r="AU238" s="35">
        <f>SUM(AU189+AU193+AU195+AU196+AU203+AU204+AU205+AU208+AU226+AU229+AU230+AU231)</f>
        <v>501074.382019579</v>
      </c>
      <c r="AV238" s="35">
        <f>SUM(AV189,AV193,AV195,AV196,AV203,AV204,AV208,AV205,AV226,AV229,AV230,AV231)</f>
        <v>501074.382019579</v>
      </c>
      <c r="AW238" s="35">
        <f>SUM(AW189+AW193+AW195+AW196+AW203+AW204+AW205+AW208+AW226+AW229+AW230+AW231)</f>
        <v>581627.91190879</v>
      </c>
      <c r="AX238" s="35">
        <f>SUM(AX189+AX193+AX195+AX196+AX203+AX204+AX205+AX208+AX226+AX229+AX230+AX231)</f>
        <v>684184.988329955</v>
      </c>
      <c r="AY238" s="35">
        <f>SUM(AY189+AY193+AY195+AY196+AY203+AY204+AY205+AY208+AY226+AY229+AY230+AY231)</f>
        <v>810236.954679434</v>
      </c>
      <c r="AZ238" s="35">
        <f>SUM(AZ189+AZ193+AZ195+AZ196+AZ203+AZ204+AZ205+AZ208+AZ226+AZ229+AZ230+AZ231)</f>
        <v>969247.656226585</v>
      </c>
      <c r="BA238" s="35">
        <f>SUM(BA189,BA193,BA195,BA196,BA203,BA204,BA208,BA205,BA226,BA229,BA230,BA231)</f>
        <v>969247.656226585</v>
      </c>
      <c r="BB238" s="35">
        <f>SUM(BB189+BB193+BB195+BB196+BB203+BB204+BB205+BB208+BB226+BB229+BB230+BB231)</f>
        <v>1155482.10914966</v>
      </c>
      <c r="BC238" s="35">
        <f>SUM(BC189+BC193+BC195+BC196+BC203+BC204+BC205+BC208+BC226+BC229+BC230+BC231)</f>
        <v>1388730.25653845</v>
      </c>
      <c r="BD238" s="35">
        <f>SUM(BD189+BD193+BD195+BD196+BD203+BD204+BD205+BD208+BD226+BD229+BD230+BD231)</f>
        <v>1675199.85732781</v>
      </c>
      <c r="BE238" s="35">
        <f>SUM(BE189+BE193+BE195+BE196+BE203+BE204+BE205+BE208+BE226+BE229+BE230+BE231)</f>
        <v>2032060.24527456</v>
      </c>
      <c r="BF238" s="35">
        <f>SUM(BF189,BF193,BF195,BF196,BF203,BF204,BF208,BF205,BF226,BF229,BF230,BF231)</f>
        <v>2032060.24527456</v>
      </c>
      <c r="BG238" s="35" t="n"/>
      <c r="BH238" s="35" t="n"/>
      <c r="BI238" s="35" t="n"/>
      <c r="BJ238" s="35" t="n"/>
      <c r="BK238" s="35" t="n"/>
      <c r="BL238" s="35" t="n"/>
      <c r="BM238" s="35" t="n"/>
      <c r="BN238" s="35" t="n"/>
      <c r="BO238" s="35" t="n"/>
      <c r="BP238" s="35" t="n"/>
      <c r="BQ238" s="35" t="n"/>
      <c r="BR238" s="35" t="n"/>
      <c r="BS238" s="35" t="n"/>
      <c r="BT238" s="35" t="n"/>
      <c r="BU238" s="35" t="n"/>
      <c r="BV238" s="35" t="n"/>
      <c r="BW238" s="35" t="n"/>
      <c r="BX238" s="35" t="n"/>
      <c r="BY238" s="35" t="n"/>
      <c r="BZ238" s="35" t="n"/>
      <c r="CA238" s="35" t="n"/>
      <c r="CB238" s="35" t="n"/>
      <c r="CC238" s="35" t="n"/>
      <c r="CD238" s="35" t="n"/>
      <c r="CE238" s="35" t="n"/>
      <c r="CF238" s="35" t="n"/>
      <c r="CG238" s="35" t="n"/>
      <c r="CH238" s="35" t="n"/>
      <c r="CI238" s="35" t="n"/>
      <c r="CJ238" s="35" t="n"/>
      <c r="CK238" s="35" t="n"/>
      <c r="CL238" s="35" t="n"/>
      <c r="CM238" s="35" t="n"/>
      <c r="CN238" s="35" t="n"/>
      <c r="CO238" s="35" t="n"/>
      <c r="CP238" s="35" t="n"/>
      <c r="CQ238" s="35" t="n"/>
      <c r="CR238" s="35" t="n"/>
      <c r="CS238" s="35" t="n"/>
      <c r="CT238" s="35" t="n"/>
      <c r="CU238" s="35" t="n"/>
      <c r="CV238" s="35" t="n"/>
      <c r="CW238" s="35" t="n"/>
      <c r="CX238" s="35" t="n"/>
      <c r="CY238" s="35" t="n"/>
    </row>
    <row r="239">
      <c r="C239" s="14" t="inlineStr">
        <is>
          <t>Minority interest</t>
        </is>
      </c>
      <c r="D239" s="46" t="n"/>
      <c r="E239" s="46" t="n"/>
      <c r="F239" s="46" t="n"/>
      <c r="G239" s="46" t="n"/>
      <c r="H239" s="12" t="n"/>
      <c r="I239" s="46">
        <f>'Inputs (2)'!D41</f>
        <v>0</v>
      </c>
      <c r="J239" s="46">
        <f>'Inputs (2)'!E41</f>
        <v>0</v>
      </c>
      <c r="K239" s="46">
        <f>'Inputs (2)'!F41</f>
        <v>0</v>
      </c>
      <c r="L239" s="46">
        <f>'Inputs (2)'!G41</f>
        <v>0</v>
      </c>
      <c r="M239" s="12">
        <f>'Inputs (2)'!H41</f>
        <v>0</v>
      </c>
      <c r="N239" s="46">
        <f>'Inputs (2)'!I41</f>
        <v>0</v>
      </c>
      <c r="O239" s="46">
        <f>'Inputs (2)'!J41</f>
        <v>0</v>
      </c>
      <c r="P239" s="46">
        <f>'Inputs (2)'!K41</f>
        <v>0</v>
      </c>
      <c r="Q239" s="46">
        <f>'Inputs (2)'!L41</f>
        <v>0</v>
      </c>
      <c r="R239" s="12">
        <f>'Inputs (2)'!M41</f>
        <v>0</v>
      </c>
      <c r="S239" s="46">
        <f>'Inputs (2)'!N41</f>
        <v>0</v>
      </c>
      <c r="T239" s="46">
        <f>'Inputs (2)'!O41</f>
        <v>0</v>
      </c>
      <c r="U239" s="46">
        <f>'Inputs (2)'!P41</f>
        <v>0</v>
      </c>
      <c r="V239" s="46">
        <f>'Inputs (2)'!Q41</f>
        <v>0</v>
      </c>
      <c r="W239" s="12">
        <f>'Inputs (2)'!R41</f>
        <v>0</v>
      </c>
      <c r="X239" s="46">
        <f>'Inputs (2)'!S41</f>
        <v>0</v>
      </c>
      <c r="Y239" s="46">
        <f>'Inputs (2)'!T41</f>
        <v>0</v>
      </c>
      <c r="Z239" s="46">
        <f>'Inputs (2)'!U41</f>
        <v>0</v>
      </c>
      <c r="AA239" s="46">
        <f>'Inputs (2)'!V41</f>
        <v>0</v>
      </c>
      <c r="AB239" s="12">
        <f>'Inputs (2)'!W41</f>
        <v>0</v>
      </c>
      <c r="AC239" s="46">
        <f>'Inputs (2)'!X41</f>
        <v>0</v>
      </c>
      <c r="AD239" s="46">
        <f>'Inputs (2)'!Y41</f>
        <v>0</v>
      </c>
      <c r="AE239" s="46">
        <f>'Inputs (2)'!Z41</f>
        <v>0</v>
      </c>
      <c r="AF239" s="46">
        <f>'Inputs (2)'!AA41</f>
        <v>0</v>
      </c>
      <c r="AG239" s="12">
        <f>'Inputs (2)'!AB41</f>
        <v>0</v>
      </c>
      <c r="AH239" s="12">
        <f>'Inputs (2)'!AC41</f>
        <v>0</v>
      </c>
      <c r="AI239" s="12">
        <f>'Inputs (2)'!AD41</f>
        <v>0</v>
      </c>
      <c r="AJ239" s="12">
        <f>AI239</f>
        <v>0</v>
      </c>
      <c r="AK239" s="12">
        <f>AJ239</f>
        <v>0</v>
      </c>
      <c r="AL239" s="12">
        <f>AK239</f>
        <v>0</v>
      </c>
      <c r="AM239" s="12">
        <f>AL239</f>
        <v>0</v>
      </c>
      <c r="AN239" s="12">
        <f>AM239</f>
        <v>0</v>
      </c>
      <c r="AO239" s="12">
        <f>AN239</f>
        <v>0</v>
      </c>
      <c r="AP239" s="12">
        <f>AO239</f>
        <v>0</v>
      </c>
      <c r="AQ239" s="12">
        <f>AP239</f>
        <v>0</v>
      </c>
      <c r="AR239" s="12">
        <f>AQ239</f>
        <v>0</v>
      </c>
      <c r="AS239" s="12">
        <f>AR239</f>
        <v>0</v>
      </c>
      <c r="AT239" s="12">
        <f>AS239</f>
        <v>0</v>
      </c>
      <c r="AU239" s="12">
        <f>AT239</f>
        <v>0</v>
      </c>
      <c r="AV239" s="12">
        <f>AU239</f>
        <v>0</v>
      </c>
      <c r="AW239" s="12">
        <f>AV239</f>
        <v>0</v>
      </c>
      <c r="AX239" s="12">
        <f>AW239</f>
        <v>0</v>
      </c>
      <c r="AY239" s="12">
        <f>AX239</f>
        <v>0</v>
      </c>
      <c r="AZ239" s="12">
        <f>AY239</f>
        <v>0</v>
      </c>
      <c r="BA239" s="12">
        <f>AZ239</f>
        <v>0</v>
      </c>
      <c r="BB239" s="12">
        <f>BA239</f>
        <v>0</v>
      </c>
      <c r="BC239" s="12">
        <f>BB239</f>
        <v>0</v>
      </c>
      <c r="BD239" s="12">
        <f>BC239</f>
        <v>0</v>
      </c>
      <c r="BE239" s="12">
        <f>BD239</f>
        <v>0</v>
      </c>
      <c r="BF239" s="12">
        <f>BE239</f>
        <v>0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 customFormat="1" s="66">
      <c r="A240" s="37" t="n"/>
      <c r="B240" s="37" t="n"/>
      <c r="C240" s="59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  <c r="BL240" s="42" t="n"/>
      <c r="BM240" s="42" t="n"/>
      <c r="BN240" s="42" t="n"/>
      <c r="BO240" s="42" t="n"/>
      <c r="BP240" s="42" t="n"/>
      <c r="BQ240" s="42" t="n"/>
      <c r="BR240" s="42" t="n"/>
      <c r="BS240" s="42" t="n"/>
      <c r="BT240" s="42" t="n"/>
      <c r="BU240" s="42" t="n"/>
      <c r="BV240" s="42" t="n"/>
      <c r="BW240" s="42" t="n"/>
      <c r="BX240" s="42" t="n"/>
      <c r="BY240" s="42" t="n"/>
      <c r="BZ240" s="42" t="n"/>
      <c r="CA240" s="42" t="n"/>
      <c r="CB240" s="42" t="n"/>
      <c r="CC240" s="42" t="n"/>
      <c r="CD240" s="42" t="n"/>
      <c r="CE240" s="42" t="n"/>
      <c r="CF240" s="42" t="n"/>
      <c r="CG240" s="42" t="n"/>
      <c r="CH240" s="42" t="n"/>
      <c r="CI240" s="42" t="n"/>
      <c r="CJ240" s="42" t="n"/>
      <c r="CK240" s="42" t="n"/>
      <c r="CL240" s="42" t="n"/>
      <c r="CM240" s="42" t="n"/>
      <c r="CN240" s="42" t="n"/>
      <c r="CO240" s="42" t="n"/>
      <c r="CP240" s="42" t="n"/>
      <c r="CQ240" s="42" t="n"/>
      <c r="CR240" s="42" t="n"/>
      <c r="CS240" s="42" t="n"/>
      <c r="CT240" s="42" t="n"/>
      <c r="CU240" s="42" t="n"/>
      <c r="CV240" s="42" t="n"/>
      <c r="CW240" s="42" t="n"/>
      <c r="CX240" s="42" t="n"/>
      <c r="CY240" s="42" t="n"/>
    </row>
    <row r="241" hidden="1" outlineLevel="1" customFormat="1" s="66">
      <c r="A241" s="37" t="n"/>
      <c r="B241" s="37" t="n"/>
      <c r="C241" s="57" t="inlineStr">
        <is>
          <t>Minority Interest Expense - % YoY</t>
        </is>
      </c>
      <c r="D241" s="42" t="n"/>
      <c r="E241" s="58" t="n"/>
      <c r="F241" s="42" t="n"/>
      <c r="G241" s="42" t="n"/>
      <c r="H241" s="58" t="n"/>
      <c r="I241" s="42" t="n"/>
      <c r="J241" s="58">
        <f>IF(I126=0,0,J126/I126-1)</f>
        <v>0</v>
      </c>
      <c r="K241" s="42" t="n"/>
      <c r="L241" s="42" t="n"/>
      <c r="M241" s="58" t="n"/>
      <c r="N241" s="58">
        <f>IF(I126=0,0,N126/I126-1)</f>
        <v>0</v>
      </c>
      <c r="O241" s="58">
        <f>IF(J126=0,0,O126/J126-1)</f>
        <v>0</v>
      </c>
      <c r="P241" s="58">
        <f>IF(K126=0,0,P126/K126-1)</f>
        <v>0</v>
      </c>
      <c r="Q241" s="58">
        <f>IF(L126=0,0,Q126/L126-1)</f>
        <v>0</v>
      </c>
      <c r="R241" s="58" t="n"/>
      <c r="S241" s="58">
        <f>IF(N126=0,0,S126/N126-1)</f>
        <v>0</v>
      </c>
      <c r="T241" s="58">
        <f>IF(O126=0,0,T126/O126-1)</f>
        <v>0</v>
      </c>
      <c r="U241" s="58">
        <f>IF(P126=0,0,U126/P126-1)</f>
        <v>0</v>
      </c>
      <c r="V241" s="58">
        <f>IF(Q126=0,0,V126/Q126-1)</f>
        <v>0</v>
      </c>
      <c r="W241" s="58">
        <f>IF(R127=0,0,W127/R127-1)</f>
        <v>0</v>
      </c>
      <c r="X241" s="58">
        <f>IF(S126=0,0,X126/S126-1)</f>
        <v>0</v>
      </c>
      <c r="Y241" s="58">
        <f>IF(T126=0,0,Y126/T126-1)</f>
        <v>0</v>
      </c>
      <c r="Z241" s="58">
        <f>IF(U126=0,0,Z126/U126-1)</f>
        <v>0</v>
      </c>
      <c r="AA241" s="58">
        <f>IF(V126=0,0,AA126/V126-1)</f>
        <v>0</v>
      </c>
      <c r="AB241" s="58">
        <f>IF(W127=0,0,AB127/W127-1)</f>
        <v>0</v>
      </c>
      <c r="AC241" s="58">
        <f>IF(X126=0,0,AC126/X126-1)</f>
        <v>0</v>
      </c>
      <c r="AD241" s="58">
        <f>IF(Y126=0,0,AD126/Y126-1)</f>
        <v>0</v>
      </c>
      <c r="AE241" s="58">
        <f>IF(Z126=0,0,AE126/Z126-1)</f>
        <v>0</v>
      </c>
      <c r="AF241" s="58">
        <f>IF(AA126=0,0,AF126/AA126-1)</f>
        <v>0</v>
      </c>
      <c r="AG241" s="58">
        <f>IF(AB127=0,0,AG127/AB127-1)</f>
        <v>0</v>
      </c>
      <c r="AH241" s="62">
        <f>IF(AC126=0,0,AH126/AC126-1)</f>
        <v>0</v>
      </c>
      <c r="AI241" s="62">
        <f>IF(AD126=0,0,AI126/AD126-1)</f>
        <v>0</v>
      </c>
      <c r="AJ241" s="62" t="n"/>
      <c r="AK241" s="62" t="n"/>
      <c r="AL241" s="58">
        <f>IF(AG127=0,0,AL127/AG127-1)</f>
        <v>0</v>
      </c>
      <c r="AM241" s="62" t="n"/>
      <c r="AN241" s="62" t="n"/>
      <c r="AO241" s="62" t="n"/>
      <c r="AP241" s="62" t="n"/>
      <c r="AQ241" s="58">
        <f>IF(AL127=0,0,AQ127/AL127-1)</f>
        <v>0</v>
      </c>
      <c r="AR241" s="62" t="n"/>
      <c r="AS241" s="62" t="n"/>
      <c r="AT241" s="62" t="n"/>
      <c r="AU241" s="62" t="n"/>
      <c r="AV241" s="58">
        <f>IF(AQ127=0,0,AV127/AQ127-1)</f>
        <v>0</v>
      </c>
      <c r="AW241" s="62" t="n"/>
      <c r="AX241" s="62" t="n"/>
      <c r="AY241" s="62" t="n"/>
      <c r="AZ241" s="62" t="n"/>
      <c r="BA241" s="58">
        <f>IF(AV127=0,0,BA127/AV127-1)</f>
        <v>0</v>
      </c>
      <c r="BB241" s="62" t="n"/>
      <c r="BC241" s="62" t="n"/>
      <c r="BD241" s="62" t="n"/>
      <c r="BE241" s="62" t="n"/>
      <c r="BF241" s="58">
        <f>IF(BA127=0,0,BF127/BA127-1)</f>
        <v>0</v>
      </c>
      <c r="BG241" s="62" t="n"/>
      <c r="BH241" s="62" t="n"/>
      <c r="BI241" s="62" t="n"/>
      <c r="BJ241" s="62" t="n"/>
      <c r="BK241" s="58" t="n"/>
      <c r="BL241" s="62" t="n"/>
      <c r="BM241" s="62" t="n"/>
      <c r="BN241" s="62" t="n"/>
      <c r="BO241" s="62" t="n"/>
      <c r="BP241" s="58" t="n"/>
      <c r="BQ241" s="62" t="n"/>
      <c r="BR241" s="62" t="n"/>
      <c r="BS241" s="62" t="n"/>
      <c r="BT241" s="62" t="n"/>
      <c r="BU241" s="58" t="n"/>
      <c r="BV241" s="62" t="n"/>
      <c r="BW241" s="62" t="n"/>
      <c r="BX241" s="62" t="n"/>
      <c r="BY241" s="62" t="n"/>
      <c r="BZ241" s="58" t="n"/>
      <c r="CA241" s="62" t="n"/>
      <c r="CB241" s="62" t="n"/>
      <c r="CC241" s="62" t="n"/>
      <c r="CD241" s="62" t="n"/>
      <c r="CE241" s="58" t="n"/>
      <c r="CF241" s="62" t="n"/>
      <c r="CG241" s="62" t="n"/>
      <c r="CH241" s="62" t="n"/>
      <c r="CI241" s="62" t="n"/>
      <c r="CJ241" s="58" t="n"/>
      <c r="CK241" s="62" t="n"/>
      <c r="CL241" s="62" t="n"/>
      <c r="CM241" s="62" t="n"/>
      <c r="CN241" s="62" t="n"/>
      <c r="CO241" s="58" t="n"/>
      <c r="CP241" s="62" t="n"/>
      <c r="CQ241" s="62" t="n"/>
      <c r="CR241" s="62" t="n"/>
      <c r="CS241" s="62" t="n"/>
      <c r="CT241" s="58" t="n"/>
      <c r="CU241" s="62" t="n"/>
      <c r="CV241" s="62" t="n"/>
      <c r="CW241" s="62" t="n"/>
      <c r="CX241" s="62" t="n"/>
      <c r="CY241" s="58" t="n"/>
    </row>
    <row r="242" hidden="1" outlineLevel="1" customFormat="1" s="66">
      <c r="A242" s="37" t="n"/>
      <c r="B242" s="37" t="n"/>
      <c r="C242" s="57" t="inlineStr">
        <is>
          <t>Dividends (enter as -)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62" t="n"/>
      <c r="AI242" s="62" t="n"/>
      <c r="AJ242" s="62" t="n"/>
      <c r="AK242" s="62" t="n"/>
      <c r="AL242" s="42" t="n"/>
      <c r="AM242" s="62" t="n"/>
      <c r="AN242" s="62" t="n"/>
      <c r="AO242" s="62" t="n"/>
      <c r="AP242" s="62" t="n"/>
      <c r="AQ242" s="42" t="n"/>
      <c r="AR242" s="62" t="n"/>
      <c r="AS242" s="62" t="n"/>
      <c r="AT242" s="62" t="n"/>
      <c r="AU242" s="62" t="n"/>
      <c r="AV242" s="42" t="n"/>
      <c r="AW242" s="62" t="n"/>
      <c r="AX242" s="62" t="n"/>
      <c r="AY242" s="62" t="n"/>
      <c r="AZ242" s="62" t="n"/>
      <c r="BA242" s="42" t="n"/>
      <c r="BB242" s="62" t="n"/>
      <c r="BC242" s="62" t="n"/>
      <c r="BD242" s="62" t="n"/>
      <c r="BE242" s="62" t="n"/>
      <c r="BF242" s="42" t="n"/>
      <c r="BG242" s="62" t="n"/>
      <c r="BH242" s="62" t="n"/>
      <c r="BI242" s="62" t="n"/>
      <c r="BJ242" s="62" t="n"/>
      <c r="BK242" s="42" t="n"/>
      <c r="BL242" s="62" t="n"/>
      <c r="BM242" s="62" t="n"/>
      <c r="BN242" s="62" t="n"/>
      <c r="BO242" s="62" t="n"/>
      <c r="BP242" s="42" t="n"/>
      <c r="BQ242" s="62" t="n"/>
      <c r="BR242" s="62" t="n"/>
      <c r="BS242" s="62" t="n"/>
      <c r="BT242" s="62" t="n"/>
      <c r="BU242" s="42" t="n"/>
      <c r="BV242" s="62" t="n"/>
      <c r="BW242" s="62" t="n"/>
      <c r="BX242" s="62" t="n"/>
      <c r="BY242" s="62" t="n"/>
      <c r="BZ242" s="42" t="n"/>
      <c r="CA242" s="62" t="n"/>
      <c r="CB242" s="62" t="n"/>
      <c r="CC242" s="62" t="n"/>
      <c r="CD242" s="62" t="n"/>
      <c r="CE242" s="42" t="n"/>
      <c r="CF242" s="62" t="n"/>
      <c r="CG242" s="62" t="n"/>
      <c r="CH242" s="62" t="n"/>
      <c r="CI242" s="62" t="n"/>
      <c r="CJ242" s="42" t="n"/>
      <c r="CK242" s="62" t="n"/>
      <c r="CL242" s="62" t="n"/>
      <c r="CM242" s="62" t="n"/>
      <c r="CN242" s="62" t="n"/>
      <c r="CO242" s="42" t="n"/>
      <c r="CP242" s="62" t="n"/>
      <c r="CQ242" s="62" t="n"/>
      <c r="CR242" s="62" t="n"/>
      <c r="CS242" s="62" t="n"/>
      <c r="CT242" s="42" t="n"/>
      <c r="CU242" s="62" t="n"/>
      <c r="CV242" s="62" t="n"/>
      <c r="CW242" s="62" t="n"/>
      <c r="CX242" s="62" t="n"/>
      <c r="CY242" s="42" t="n"/>
    </row>
    <row r="243" hidden="1" outlineLevel="1" customFormat="1" s="66">
      <c r="A243" s="37" t="n"/>
      <c r="B243" s="37" t="n"/>
      <c r="C243" s="59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  <c r="BL243" s="42" t="n"/>
      <c r="BM243" s="42" t="n"/>
      <c r="BN243" s="42" t="n"/>
      <c r="BO243" s="42" t="n"/>
      <c r="BP243" s="42" t="n"/>
      <c r="BQ243" s="42" t="n"/>
      <c r="BR243" s="42" t="n"/>
      <c r="BS243" s="42" t="n"/>
      <c r="BT243" s="42" t="n"/>
      <c r="BU243" s="42" t="n"/>
      <c r="BV243" s="42" t="n"/>
      <c r="BW243" s="42" t="n"/>
      <c r="BX243" s="42" t="n"/>
      <c r="BY243" s="42" t="n"/>
      <c r="BZ243" s="42" t="n"/>
      <c r="CA243" s="42" t="n"/>
      <c r="CB243" s="42" t="n"/>
      <c r="CC243" s="42" t="n"/>
      <c r="CD243" s="42" t="n"/>
      <c r="CE243" s="42" t="n"/>
      <c r="CF243" s="42" t="n"/>
      <c r="CG243" s="42" t="n"/>
      <c r="CH243" s="42" t="n"/>
      <c r="CI243" s="42" t="n"/>
      <c r="CJ243" s="42" t="n"/>
      <c r="CK243" s="42" t="n"/>
      <c r="CL243" s="42" t="n"/>
      <c r="CM243" s="42" t="n"/>
      <c r="CN243" s="42" t="n"/>
      <c r="CO243" s="42" t="n"/>
      <c r="CP243" s="42" t="n"/>
      <c r="CQ243" s="42" t="n"/>
      <c r="CR243" s="42" t="n"/>
      <c r="CS243" s="42" t="n"/>
      <c r="CT243" s="42" t="n"/>
      <c r="CU243" s="42" t="n"/>
      <c r="CV243" s="42" t="n"/>
      <c r="CW243" s="42" t="n"/>
      <c r="CX243" s="42" t="n"/>
      <c r="CY243" s="42" t="n"/>
    </row>
    <row r="244" collapsed="1">
      <c r="C244" s="14" t="inlineStr">
        <is>
          <t>Convertible Preferred Stock</t>
        </is>
      </c>
      <c r="D244" s="46" t="n"/>
      <c r="E244" s="46" t="n"/>
      <c r="F244" s="46" t="n"/>
      <c r="G244" s="46" t="n"/>
      <c r="H244" s="12" t="n"/>
      <c r="I244" s="46">
        <f>'Inputs (2)'!D42</f>
        <v>0</v>
      </c>
      <c r="J244" s="46">
        <f>'Inputs (2)'!E42</f>
        <v>0</v>
      </c>
      <c r="K244" s="46">
        <f>'Inputs (2)'!F42</f>
        <v>0</v>
      </c>
      <c r="L244" s="46">
        <f>'Inputs (2)'!G42</f>
        <v>0</v>
      </c>
      <c r="M244" s="12">
        <f>'Inputs (2)'!H42</f>
        <v>0</v>
      </c>
      <c r="N244" s="46">
        <f>'Inputs (2)'!I42</f>
        <v>0</v>
      </c>
      <c r="O244" s="46">
        <f>'Inputs (2)'!J42</f>
        <v>0</v>
      </c>
      <c r="P244" s="46">
        <f>'Inputs (2)'!K42</f>
        <v>0</v>
      </c>
      <c r="Q244" s="46">
        <f>'Inputs (2)'!L42</f>
        <v>0</v>
      </c>
      <c r="R244" s="12">
        <f>'Inputs (2)'!M42</f>
        <v>0</v>
      </c>
      <c r="S244" s="46">
        <f>'Inputs (2)'!N42</f>
        <v>0</v>
      </c>
      <c r="T244" s="46">
        <f>'Inputs (2)'!O42</f>
        <v>0</v>
      </c>
      <c r="U244" s="46">
        <f>'Inputs (2)'!P42</f>
        <v>0</v>
      </c>
      <c r="V244" s="46">
        <f>'Inputs (2)'!Q42</f>
        <v>0</v>
      </c>
      <c r="W244" s="12">
        <f>'Inputs (2)'!R42</f>
        <v>0</v>
      </c>
      <c r="X244" s="46">
        <f>'Inputs (2)'!S42</f>
        <v>0</v>
      </c>
      <c r="Y244" s="46">
        <f>'Inputs (2)'!T42</f>
        <v>0</v>
      </c>
      <c r="Z244" s="46">
        <f>'Inputs (2)'!U42</f>
        <v>0</v>
      </c>
      <c r="AA244" s="46">
        <f>'Inputs (2)'!V42</f>
        <v>0</v>
      </c>
      <c r="AB244" s="12">
        <f>'Inputs (2)'!W42</f>
        <v>0</v>
      </c>
      <c r="AC244" s="46">
        <f>'Inputs (2)'!X42</f>
        <v>0</v>
      </c>
      <c r="AD244" s="46">
        <f>'Inputs (2)'!Y42</f>
        <v>0</v>
      </c>
      <c r="AE244" s="46">
        <f>'Inputs (2)'!Z42</f>
        <v>0</v>
      </c>
      <c r="AF244" s="46">
        <f>'Inputs (2)'!AA42</f>
        <v>0</v>
      </c>
      <c r="AG244" s="12">
        <f>'Inputs (2)'!AB42</f>
        <v>0</v>
      </c>
      <c r="AH244" s="12">
        <f>'Inputs (2)'!AC42</f>
        <v>0</v>
      </c>
      <c r="AI244" s="12">
        <f>'Inputs (2)'!AD42</f>
        <v>0</v>
      </c>
      <c r="AJ244" s="12">
        <f>AI244</f>
        <v>0</v>
      </c>
      <c r="AK244" s="12">
        <f>AJ244</f>
        <v>0</v>
      </c>
      <c r="AL244" s="12">
        <f>AK244</f>
        <v>0</v>
      </c>
      <c r="AM244" s="12">
        <f>AL244</f>
        <v>0</v>
      </c>
      <c r="AN244" s="12">
        <f>AM244</f>
        <v>0</v>
      </c>
      <c r="AO244" s="12">
        <f>AN244</f>
        <v>0</v>
      </c>
      <c r="AP244" s="12">
        <f>AO244</f>
        <v>0</v>
      </c>
      <c r="AQ244" s="12">
        <f>AP244</f>
        <v>0</v>
      </c>
      <c r="AR244" s="12">
        <f>AQ244</f>
        <v>0</v>
      </c>
      <c r="AS244" s="12">
        <f>AR244</f>
        <v>0</v>
      </c>
      <c r="AT244" s="12">
        <f>AS244</f>
        <v>0</v>
      </c>
      <c r="AU244" s="12">
        <f>AT244</f>
        <v>0</v>
      </c>
      <c r="AV244" s="12">
        <f>AU244</f>
        <v>0</v>
      </c>
      <c r="AW244" s="12">
        <f>AV244</f>
        <v>0</v>
      </c>
      <c r="AX244" s="12">
        <f>AW244</f>
        <v>0</v>
      </c>
      <c r="AY244" s="12">
        <f>AX244</f>
        <v>0</v>
      </c>
      <c r="AZ244" s="12">
        <f>AY244</f>
        <v>0</v>
      </c>
      <c r="BA244" s="12">
        <f>AZ244</f>
        <v>0</v>
      </c>
      <c r="BB244" s="12">
        <f>BA244</f>
        <v>0</v>
      </c>
      <c r="BC244" s="12">
        <f>BB244</f>
        <v>0</v>
      </c>
      <c r="BD244" s="12">
        <f>BC244</f>
        <v>0</v>
      </c>
      <c r="BE244" s="12">
        <f>BD244</f>
        <v>0</v>
      </c>
      <c r="BF244" s="12">
        <f>BE244</f>
        <v>0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>
      <c r="C245" s="13" t="inlineStr">
        <is>
          <t>Common Stock and APIC</t>
        </is>
      </c>
      <c r="D245" s="46" t="n"/>
      <c r="E245" s="46" t="n"/>
      <c r="F245" s="46" t="n"/>
      <c r="G245" s="46" t="n"/>
      <c r="H245" s="12" t="n"/>
      <c r="I245" s="46">
        <f>'Inputs (2)'!D43</f>
        <v>51160</v>
      </c>
      <c r="J245" s="46">
        <f>'Inputs (2)'!E43</f>
        <v>52845</v>
      </c>
      <c r="K245" s="46">
        <f>'Inputs (2)'!F43</f>
        <v>54334</v>
      </c>
      <c r="L245" s="46">
        <f>'Inputs (2)'!G43</f>
        <v>55811</v>
      </c>
      <c r="M245" s="12">
        <f>'Inputs (2)'!H43</f>
        <v>55811</v>
      </c>
      <c r="N245" s="46">
        <f>'Inputs (2)'!I43</f>
        <v>57512</v>
      </c>
      <c r="O245" s="46">
        <f>'Inputs (2)'!J43</f>
        <v>59929</v>
      </c>
      <c r="P245" s="46">
        <f>'Inputs (2)'!K43</f>
        <v>62092</v>
      </c>
      <c r="Q245" s="46">
        <f>'Inputs (2)'!L43</f>
        <v>64444</v>
      </c>
      <c r="R245" s="12">
        <f>'Inputs (2)'!M43</f>
        <v>64444</v>
      </c>
      <c r="S245" s="46">
        <f>'Inputs (2)'!N43</f>
        <v>66535</v>
      </c>
      <c r="T245" s="46">
        <f>'Inputs (2)'!O43</f>
        <v>69159</v>
      </c>
      <c r="U245" s="46">
        <f>'Inputs (2)'!P43</f>
        <v>71224</v>
      </c>
      <c r="V245" s="46">
        <f>'Inputs (2)'!Q43</f>
        <v>73253</v>
      </c>
      <c r="W245" s="12">
        <f>'Inputs (2)'!R43</f>
        <v>73253</v>
      </c>
      <c r="X245" s="46">
        <f>'Inputs (2)'!S43</f>
        <v>75391</v>
      </c>
      <c r="Y245" s="46">
        <f>'Inputs (2)'!T43</f>
        <v>78270</v>
      </c>
      <c r="Z245" s="46">
        <f>'Inputs (2)'!U43</f>
        <v>80749</v>
      </c>
      <c r="AA245" s="46">
        <f>'Inputs (2)'!V43</f>
        <v>83228</v>
      </c>
      <c r="AB245" s="12">
        <f>'Inputs (2)'!W43</f>
        <v>83228</v>
      </c>
      <c r="AC245" s="46">
        <f>'Inputs (2)'!X43</f>
        <v>85568</v>
      </c>
      <c r="AD245" s="46">
        <f>'Inputs (2)'!Y43</f>
        <v>88496</v>
      </c>
      <c r="AE245" s="46">
        <f>'Inputs (2)'!Z43</f>
        <v>92330</v>
      </c>
      <c r="AF245" s="46">
        <f>'Inputs (2)'!AA43</f>
        <v>95793</v>
      </c>
      <c r="AG245" s="12">
        <f>'Inputs (2)'!AB43</f>
        <v>95793</v>
      </c>
      <c r="AH245" s="12">
        <f>'Inputs (2)'!AC43</f>
        <v>99337</v>
      </c>
      <c r="AI245" s="12">
        <f>'Inputs (2)'!AD43</f>
        <v>103981</v>
      </c>
      <c r="AJ245" s="12">
        <f>AI245+AJ249</f>
        <v>103981</v>
      </c>
      <c r="AK245" s="12">
        <f>AJ245+AK249</f>
        <v>103981</v>
      </c>
      <c r="AL245" s="12">
        <f>AK245</f>
        <v>103981</v>
      </c>
      <c r="AM245" s="12">
        <f>AL245+AM249</f>
        <v>103981</v>
      </c>
      <c r="AN245" s="12">
        <f>AM245+AN249</f>
        <v>103981</v>
      </c>
      <c r="AO245" s="12">
        <f>AN245+AO249</f>
        <v>103981</v>
      </c>
      <c r="AP245" s="12">
        <f>AO245+AP249</f>
        <v>103981</v>
      </c>
      <c r="AQ245" s="12">
        <f>AP245</f>
        <v>103981</v>
      </c>
      <c r="AR245" s="12">
        <f>AQ245+AR249</f>
        <v>103981</v>
      </c>
      <c r="AS245" s="12">
        <f>AR245+AS249</f>
        <v>103981</v>
      </c>
      <c r="AT245" s="12">
        <f>AS245+AT249</f>
        <v>103981</v>
      </c>
      <c r="AU245" s="12">
        <f>AT245+AU249</f>
        <v>103981</v>
      </c>
      <c r="AV245" s="12">
        <f>AU245</f>
        <v>103981</v>
      </c>
      <c r="AW245" s="12">
        <f>AV245+AW249</f>
        <v>103981</v>
      </c>
      <c r="AX245" s="12">
        <f>AW245+AX249</f>
        <v>103981</v>
      </c>
      <c r="AY245" s="12">
        <f>AX245+AY249</f>
        <v>103981</v>
      </c>
      <c r="AZ245" s="12">
        <f>AY245+AZ249</f>
        <v>103981</v>
      </c>
      <c r="BA245" s="12">
        <f>AZ245</f>
        <v>103981</v>
      </c>
      <c r="BB245" s="12">
        <f>BA245+BB249</f>
        <v>103981</v>
      </c>
      <c r="BC245" s="12">
        <f>BB245+BC249</f>
        <v>103981</v>
      </c>
      <c r="BD245" s="12">
        <f>BC245+BD249</f>
        <v>103981</v>
      </c>
      <c r="BE245" s="12">
        <f>BD245+BE249</f>
        <v>103981</v>
      </c>
      <c r="BF245" s="12">
        <f>BE245</f>
        <v>103981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 customFormat="1" s="66">
      <c r="A246" s="37" t="n"/>
      <c r="B246" s="37" t="n"/>
      <c r="C246" s="67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  <c r="BL246" s="42" t="n"/>
      <c r="BM246" s="42" t="n"/>
      <c r="BN246" s="42" t="n"/>
      <c r="BO246" s="42" t="n"/>
      <c r="BP246" s="42" t="n"/>
      <c r="BQ246" s="42" t="n"/>
      <c r="BR246" s="42" t="n"/>
      <c r="BS246" s="42" t="n"/>
      <c r="BT246" s="42" t="n"/>
      <c r="BU246" s="42" t="n"/>
      <c r="BV246" s="42" t="n"/>
      <c r="BW246" s="42" t="n"/>
      <c r="BX246" s="42" t="n"/>
      <c r="BY246" s="42" t="n"/>
      <c r="BZ246" s="42" t="n"/>
      <c r="CA246" s="42" t="n"/>
      <c r="CB246" s="42" t="n"/>
      <c r="CC246" s="42" t="n"/>
      <c r="CD246" s="42" t="n"/>
      <c r="CE246" s="42" t="n"/>
      <c r="CF246" s="42" t="n"/>
      <c r="CG246" s="42" t="n"/>
      <c r="CH246" s="42" t="n"/>
      <c r="CI246" s="42" t="n"/>
      <c r="CJ246" s="42" t="n"/>
      <c r="CK246" s="42" t="n"/>
      <c r="CL246" s="42" t="n"/>
      <c r="CM246" s="42" t="n"/>
      <c r="CN246" s="42" t="n"/>
      <c r="CO246" s="42" t="n"/>
      <c r="CP246" s="42" t="n"/>
      <c r="CQ246" s="42" t="n"/>
      <c r="CR246" s="42" t="n"/>
      <c r="CS246" s="42" t="n"/>
      <c r="CT246" s="42" t="n"/>
      <c r="CU246" s="42" t="n"/>
      <c r="CV246" s="42" t="n"/>
      <c r="CW246" s="42" t="n"/>
      <c r="CX246" s="42" t="n"/>
      <c r="CY246" s="42" t="n"/>
    </row>
    <row r="247" hidden="1" outlineLevel="1" customFormat="1" s="66">
      <c r="A247" s="37" t="n"/>
      <c r="B247" s="37" t="n"/>
      <c r="C247" s="67" t="inlineStr">
        <is>
          <t>Diluted Shares outstanding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Treasury share $ repurchases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11" t="n"/>
      <c r="AI248" s="11" t="n"/>
      <c r="AJ248" s="11" t="n"/>
      <c r="AK248" s="11" t="n"/>
      <c r="AL248" s="42" t="n"/>
      <c r="AM248" s="11" t="n"/>
      <c r="AN248" s="11" t="n"/>
      <c r="AO248" s="11" t="n"/>
      <c r="AP248" s="11" t="n"/>
      <c r="AQ248" s="42" t="n"/>
      <c r="AR248" s="11" t="n"/>
      <c r="AS248" s="11" t="n"/>
      <c r="AT248" s="11" t="n"/>
      <c r="AU248" s="11" t="n"/>
      <c r="AV248" s="42" t="n"/>
      <c r="AW248" s="11" t="n"/>
      <c r="AX248" s="11" t="n"/>
      <c r="AY248" s="11" t="n"/>
      <c r="AZ248" s="11" t="n"/>
      <c r="BA248" s="42" t="n"/>
      <c r="BB248" s="11" t="n"/>
      <c r="BC248" s="11" t="n"/>
      <c r="BD248" s="11" t="n"/>
      <c r="BE248" s="11" t="n"/>
      <c r="BF248" s="42" t="n"/>
      <c r="BG248" s="11" t="n"/>
      <c r="BH248" s="11" t="n"/>
      <c r="BI248" s="11" t="n"/>
      <c r="BJ248" s="11" t="n"/>
      <c r="BK248" s="42" t="n"/>
      <c r="BL248" s="11" t="n"/>
      <c r="BM248" s="11" t="n"/>
      <c r="BN248" s="11" t="n"/>
      <c r="BO248" s="11" t="n"/>
      <c r="BP248" s="42" t="n"/>
      <c r="BQ248" s="11" t="n"/>
      <c r="BR248" s="11" t="n"/>
      <c r="BS248" s="11" t="n"/>
      <c r="BT248" s="11" t="n"/>
      <c r="BU248" s="42" t="n"/>
      <c r="BV248" s="11" t="n"/>
      <c r="BW248" s="11" t="n"/>
      <c r="BX248" s="11" t="n"/>
      <c r="BY248" s="11" t="n"/>
      <c r="BZ248" s="42" t="n"/>
      <c r="CA248" s="11" t="n"/>
      <c r="CB248" s="11" t="n"/>
      <c r="CC248" s="11" t="n"/>
      <c r="CD248" s="11" t="n"/>
      <c r="CE248" s="42" t="n"/>
      <c r="CF248" s="11" t="n"/>
      <c r="CG248" s="11" t="n"/>
      <c r="CH248" s="11" t="n"/>
      <c r="CI248" s="11" t="n"/>
      <c r="CJ248" s="42" t="n"/>
      <c r="CK248" s="11" t="n"/>
      <c r="CL248" s="11" t="n"/>
      <c r="CM248" s="11" t="n"/>
      <c r="CN248" s="11" t="n"/>
      <c r="CO248" s="42" t="n"/>
      <c r="CP248" s="11" t="n"/>
      <c r="CQ248" s="11" t="n"/>
      <c r="CR248" s="11" t="n"/>
      <c r="CS248" s="11" t="n"/>
      <c r="CT248" s="42" t="n"/>
      <c r="CU248" s="11" t="n"/>
      <c r="CV248" s="11" t="n"/>
      <c r="CW248" s="11" t="n"/>
      <c r="CX248" s="11" t="n"/>
      <c r="CY248" s="42" t="n"/>
    </row>
    <row r="249" hidden="1" outlineLevel="1" customFormat="1" s="66">
      <c r="A249" s="37" t="n"/>
      <c r="B249" s="37" t="n"/>
      <c r="C249" s="67" t="inlineStr">
        <is>
          <t>Value of shares issued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Expected average share price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68">
        <f>AF250*(1+AH251)</f>
        <v>0</v>
      </c>
      <c r="AI250" s="68">
        <f>AH250*(1+AI251)</f>
        <v>0</v>
      </c>
      <c r="AJ250" s="68">
        <f>AH250*(1+AJ251)</f>
        <v>0</v>
      </c>
      <c r="AK250" s="68">
        <f>AJ250*(1+AK251)</f>
        <v>0</v>
      </c>
      <c r="AL250" s="42" t="n"/>
      <c r="AM250" s="68">
        <f>AK250*(1+AM251)</f>
        <v>0</v>
      </c>
      <c r="AN250" s="68">
        <f>AM250*(1+AN251)</f>
        <v>0</v>
      </c>
      <c r="AO250" s="68">
        <f>AM250*(1+AO251)</f>
        <v>0</v>
      </c>
      <c r="AP250" s="68">
        <f>AO250*(1+AP251)</f>
        <v>0</v>
      </c>
      <c r="AQ250" s="42" t="n"/>
      <c r="AR250" s="68">
        <f>AP250*(1+AR251)</f>
        <v>0</v>
      </c>
      <c r="AS250" s="68">
        <f>AR250*(1+AS251)</f>
        <v>0</v>
      </c>
      <c r="AT250" s="68">
        <f>AR250*(1+AT251)</f>
        <v>0</v>
      </c>
      <c r="AU250" s="68">
        <f>AT250*(1+AU251)</f>
        <v>0</v>
      </c>
      <c r="AV250" s="42" t="n"/>
      <c r="AW250" s="68">
        <f>AU250*(1+AW251)</f>
        <v>0</v>
      </c>
      <c r="AX250" s="68">
        <f>AW250*(1+AX251)</f>
        <v>0</v>
      </c>
      <c r="AY250" s="68">
        <f>AW250*(1+AY251)</f>
        <v>0</v>
      </c>
      <c r="AZ250" s="68">
        <f>AY250*(1+AZ251)</f>
        <v>0</v>
      </c>
      <c r="BA250" s="42" t="n"/>
      <c r="BB250" s="68">
        <f>AZ250*(1+BB251)</f>
        <v>0</v>
      </c>
      <c r="BC250" s="68">
        <f>BB250*(1+BC251)</f>
        <v>0</v>
      </c>
      <c r="BD250" s="68">
        <f>BB250*(1+BD251)</f>
        <v>0</v>
      </c>
      <c r="BE250" s="68">
        <f>BD250*(1+BE251)</f>
        <v>0</v>
      </c>
      <c r="BF250" s="42" t="n"/>
      <c r="BG250" s="68" t="n"/>
      <c r="BH250" s="68" t="n"/>
      <c r="BI250" s="68" t="n"/>
      <c r="BJ250" s="68" t="n"/>
      <c r="BK250" s="42" t="n"/>
      <c r="BL250" s="68" t="n"/>
      <c r="BM250" s="68" t="n"/>
      <c r="BN250" s="68" t="n"/>
      <c r="BO250" s="68" t="n"/>
      <c r="BP250" s="42" t="n"/>
      <c r="BQ250" s="68" t="n"/>
      <c r="BR250" s="68" t="n"/>
      <c r="BS250" s="68" t="n"/>
      <c r="BT250" s="68" t="n"/>
      <c r="BU250" s="42" t="n"/>
      <c r="BV250" s="68" t="n"/>
      <c r="BW250" s="68" t="n"/>
      <c r="BX250" s="68" t="n"/>
      <c r="BY250" s="68" t="n"/>
      <c r="BZ250" s="42" t="n"/>
      <c r="CA250" s="68" t="n"/>
      <c r="CB250" s="68" t="n"/>
      <c r="CC250" s="68" t="n"/>
      <c r="CD250" s="68" t="n"/>
      <c r="CE250" s="42" t="n"/>
      <c r="CF250" s="68" t="n"/>
      <c r="CG250" s="68" t="n"/>
      <c r="CH250" s="68" t="n"/>
      <c r="CI250" s="68" t="n"/>
      <c r="CJ250" s="42" t="n"/>
      <c r="CK250" s="68" t="n"/>
      <c r="CL250" s="68" t="n"/>
      <c r="CM250" s="68" t="n"/>
      <c r="CN250" s="68" t="n"/>
      <c r="CO250" s="42" t="n"/>
      <c r="CP250" s="68" t="n"/>
      <c r="CQ250" s="68" t="n"/>
      <c r="CR250" s="68" t="n"/>
      <c r="CS250" s="68" t="n"/>
      <c r="CT250" s="42" t="n"/>
      <c r="CU250" s="68" t="n"/>
      <c r="CV250" s="68" t="n"/>
      <c r="CW250" s="68" t="n"/>
      <c r="CX250" s="68" t="n"/>
      <c r="CY250" s="42" t="n"/>
    </row>
    <row r="251" hidden="1" outlineLevel="1" customFormat="1" s="66">
      <c r="A251" s="37" t="n"/>
      <c r="B251" s="37" t="n"/>
      <c r="C251" s="67" t="inlineStr">
        <is>
          <t>Consensus EPS growth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58">
        <f>$AL$256</f>
        <v>0</v>
      </c>
      <c r="AI251" s="58">
        <f>$AL$256</f>
        <v>0</v>
      </c>
      <c r="AJ251" s="58">
        <f>$AL$256</f>
        <v>0</v>
      </c>
      <c r="AK251" s="58">
        <f>$AL$256</f>
        <v>0</v>
      </c>
      <c r="AL251" s="42" t="n"/>
      <c r="AM251" s="58">
        <f>$AL$256</f>
        <v>0</v>
      </c>
      <c r="AN251" s="58">
        <f>$AL$256</f>
        <v>0</v>
      </c>
      <c r="AO251" s="58">
        <f>$AL$256</f>
        <v>0</v>
      </c>
      <c r="AP251" s="58">
        <f>$AL$256</f>
        <v>0</v>
      </c>
      <c r="AQ251" s="42" t="n"/>
      <c r="AR251" s="58">
        <f>$AL$256</f>
        <v>0</v>
      </c>
      <c r="AS251" s="58">
        <f>$AL$256</f>
        <v>0</v>
      </c>
      <c r="AT251" s="58">
        <f>$AL$256</f>
        <v>0</v>
      </c>
      <c r="AU251" s="58">
        <f>$AL$256</f>
        <v>0</v>
      </c>
      <c r="AV251" s="42" t="n"/>
      <c r="AW251" s="58">
        <f>$AL$256</f>
        <v>0</v>
      </c>
      <c r="AX251" s="58">
        <f>$AL$256</f>
        <v>0</v>
      </c>
      <c r="AY251" s="58">
        <f>$AL$256</f>
        <v>0</v>
      </c>
      <c r="AZ251" s="58">
        <f>$AL$256</f>
        <v>0</v>
      </c>
      <c r="BA251" s="42" t="n"/>
      <c r="BB251" s="58">
        <f>$AL$256</f>
        <v>0</v>
      </c>
      <c r="BC251" s="58">
        <f>$AL$256</f>
        <v>0</v>
      </c>
      <c r="BD251" s="58">
        <f>$AL$256</f>
        <v>0</v>
      </c>
      <c r="BE251" s="58">
        <f>$AL$256</f>
        <v>0</v>
      </c>
      <c r="BF251" s="42" t="n"/>
      <c r="BG251" s="58" t="n"/>
      <c r="BH251" s="58" t="n"/>
      <c r="BI251" s="58" t="n"/>
      <c r="BJ251" s="58" t="n"/>
      <c r="BK251" s="42" t="n"/>
      <c r="BL251" s="58" t="n"/>
      <c r="BM251" s="58" t="n"/>
      <c r="BN251" s="58" t="n"/>
      <c r="BO251" s="58" t="n"/>
      <c r="BP251" s="42" t="n"/>
      <c r="BQ251" s="58" t="n"/>
      <c r="BR251" s="58" t="n"/>
      <c r="BS251" s="58" t="n"/>
      <c r="BT251" s="58" t="n"/>
      <c r="BU251" s="42" t="n"/>
      <c r="BV251" s="58" t="n"/>
      <c r="BW251" s="58" t="n"/>
      <c r="BX251" s="58" t="n"/>
      <c r="BY251" s="58" t="n"/>
      <c r="BZ251" s="42" t="n"/>
      <c r="CA251" s="58" t="n"/>
      <c r="CB251" s="58" t="n"/>
      <c r="CC251" s="58" t="n"/>
      <c r="CD251" s="58" t="n"/>
      <c r="CE251" s="42" t="n"/>
      <c r="CF251" s="58" t="n"/>
      <c r="CG251" s="58" t="n"/>
      <c r="CH251" s="58" t="n"/>
      <c r="CI251" s="58" t="n"/>
      <c r="CJ251" s="42" t="n"/>
      <c r="CK251" s="58" t="n"/>
      <c r="CL251" s="58" t="n"/>
      <c r="CM251" s="58" t="n"/>
      <c r="CN251" s="58" t="n"/>
      <c r="CO251" s="42" t="n"/>
      <c r="CP251" s="58" t="n"/>
      <c r="CQ251" s="58" t="n"/>
      <c r="CR251" s="58" t="n"/>
      <c r="CS251" s="58" t="n"/>
      <c r="CT251" s="42" t="n"/>
      <c r="CU251" s="58" t="n"/>
      <c r="CV251" s="58" t="n"/>
      <c r="CW251" s="58" t="n"/>
      <c r="CX251" s="58" t="n"/>
      <c r="CY251" s="42" t="n"/>
    </row>
    <row r="252" hidden="1" outlineLevel="1" customFormat="1" s="66">
      <c r="A252" s="37" t="n"/>
      <c r="B252" s="37" t="n"/>
      <c r="C252" s="67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12" t="n"/>
      <c r="AI252" s="12" t="n"/>
      <c r="AJ252" s="12" t="n"/>
      <c r="AK252" s="12" t="n"/>
      <c r="AL252" s="42" t="n"/>
      <c r="AM252" s="12" t="n"/>
      <c r="AN252" s="12" t="n"/>
      <c r="AO252" s="12" t="n"/>
      <c r="AP252" s="12" t="n"/>
      <c r="AQ252" s="42" t="n"/>
      <c r="AR252" s="12" t="n"/>
      <c r="AS252" s="12" t="n"/>
      <c r="AT252" s="12" t="n"/>
      <c r="AU252" s="12" t="n"/>
      <c r="AV252" s="42" t="n"/>
      <c r="AW252" s="12" t="n"/>
      <c r="AX252" s="12" t="n"/>
      <c r="AY252" s="12" t="n"/>
      <c r="AZ252" s="12" t="n"/>
      <c r="BA252" s="42" t="n"/>
      <c r="BB252" s="12" t="n"/>
      <c r="BC252" s="12" t="n"/>
      <c r="BD252" s="12" t="n"/>
      <c r="BE252" s="12" t="n"/>
      <c r="BF252" s="42" t="n"/>
      <c r="BG252" s="12" t="n"/>
      <c r="BH252" s="12" t="n"/>
      <c r="BI252" s="12" t="n"/>
      <c r="BJ252" s="12" t="n"/>
      <c r="BK252" s="42" t="n"/>
      <c r="BL252" s="12" t="n"/>
      <c r="BM252" s="12" t="n"/>
      <c r="BN252" s="12" t="n"/>
      <c r="BO252" s="12" t="n"/>
      <c r="BP252" s="42" t="n"/>
      <c r="BQ252" s="12" t="n"/>
      <c r="BR252" s="12" t="n"/>
      <c r="BS252" s="12" t="n"/>
      <c r="BT252" s="12" t="n"/>
      <c r="BU252" s="42" t="n"/>
      <c r="BV252" s="12" t="n"/>
      <c r="BW252" s="12" t="n"/>
      <c r="BX252" s="12" t="n"/>
      <c r="BY252" s="12" t="n"/>
      <c r="BZ252" s="42" t="n"/>
      <c r="CA252" s="12" t="n"/>
      <c r="CB252" s="12" t="n"/>
      <c r="CC252" s="12" t="n"/>
      <c r="CD252" s="12" t="n"/>
      <c r="CE252" s="42" t="n"/>
      <c r="CF252" s="12" t="n"/>
      <c r="CG252" s="12" t="n"/>
      <c r="CH252" s="12" t="n"/>
      <c r="CI252" s="12" t="n"/>
      <c r="CJ252" s="42" t="n"/>
      <c r="CK252" s="12" t="n"/>
      <c r="CL252" s="12" t="n"/>
      <c r="CM252" s="12" t="n"/>
      <c r="CN252" s="12" t="n"/>
      <c r="CO252" s="42" t="n"/>
      <c r="CP252" s="12" t="n"/>
      <c r="CQ252" s="12" t="n"/>
      <c r="CR252" s="12" t="n"/>
      <c r="CS252" s="12" t="n"/>
      <c r="CT252" s="42" t="n"/>
      <c r="CU252" s="12" t="n"/>
      <c r="CV252" s="12" t="n"/>
      <c r="CW252" s="12" t="n"/>
      <c r="CX252" s="12" t="n"/>
      <c r="CY252" s="42" t="n"/>
    </row>
    <row r="253" hidden="1" outlineLevel="1" customFormat="1" s="66">
      <c r="A253" s="37" t="n"/>
      <c r="B253" s="37" t="n"/>
      <c r="C253" s="67" t="inlineStr">
        <is>
          <t>Shares repurchased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9" t="str">
        <f>IFERROR(-AH248/AH250,"")</f>
        <v/>
      </c>
      <c r="AI253" s="69" t="str">
        <f>IFERROR(-AI248/AI250,"")</f>
        <v/>
      </c>
      <c r="AJ253" s="69" t="str">
        <f>IFERROR(-AJ248/AJ250,"")</f>
        <v/>
      </c>
      <c r="AK253" s="69" t="str">
        <f>IFERROR(-AK248/AK250,"")</f>
        <v/>
      </c>
      <c r="AL253" s="42" t="n"/>
      <c r="AM253" s="69" t="str">
        <f>IFERROR(-AM248/AM250,"")</f>
        <v/>
      </c>
      <c r="AN253" s="69" t="str">
        <f>IFERROR(-AN248/AN250,"")</f>
        <v/>
      </c>
      <c r="AO253" s="69" t="str">
        <f>IFERROR(-AO248/AO250,"")</f>
        <v/>
      </c>
      <c r="AP253" s="69" t="str">
        <f>IFERROR(-AP248/AP250,"")</f>
        <v/>
      </c>
      <c r="AQ253" s="42" t="n"/>
      <c r="AR253" s="69" t="str">
        <f>IFERROR(-AR248/AR250,"")</f>
        <v/>
      </c>
      <c r="AS253" s="69" t="str">
        <f>IFERROR(-AS248/AS250,"")</f>
        <v/>
      </c>
      <c r="AT253" s="69" t="str">
        <f>IFERROR(-AT248/AT250,"")</f>
        <v/>
      </c>
      <c r="AU253" s="69" t="str">
        <f>IFERROR(-AU248/AU250,"")</f>
        <v/>
      </c>
      <c r="AV253" s="42" t="n"/>
      <c r="AW253" s="69" t="str">
        <f>IFERROR(-AW248/AW250,"")</f>
        <v/>
      </c>
      <c r="AX253" s="69" t="str">
        <f>IFERROR(-AX248/AX250,"")</f>
        <v/>
      </c>
      <c r="AY253" s="69" t="str">
        <f>IFERROR(-AY248/AY250,"")</f>
        <v/>
      </c>
      <c r="AZ253" s="69" t="str">
        <f>IFERROR(-AZ248/AZ250,"")</f>
        <v/>
      </c>
      <c r="BA253" s="42" t="n"/>
      <c r="BB253" s="69" t="str">
        <f>IFERROR(-BB248/BB250,"")</f>
        <v/>
      </c>
      <c r="BC253" s="69" t="str">
        <f>IFERROR(-BC248/BC250,"")</f>
        <v/>
      </c>
      <c r="BD253" s="69" t="str">
        <f>IFERROR(-BD248/BD250,"")</f>
        <v/>
      </c>
      <c r="BE253" s="69" t="str">
        <f>IFERROR(-BE248/BE250,"")</f>
        <v/>
      </c>
      <c r="BF253" s="42" t="n"/>
      <c r="BG253" s="69" t="n"/>
      <c r="BH253" s="69" t="n"/>
      <c r="BI253" s="69" t="n"/>
      <c r="BJ253" s="69" t="n"/>
      <c r="BK253" s="42" t="n"/>
      <c r="BL253" s="69" t="n"/>
      <c r="BM253" s="69" t="n"/>
      <c r="BN253" s="69" t="n"/>
      <c r="BO253" s="69" t="n"/>
      <c r="BP253" s="42" t="n"/>
      <c r="BQ253" s="69" t="n"/>
      <c r="BR253" s="69" t="n"/>
      <c r="BS253" s="69" t="n"/>
      <c r="BT253" s="69" t="n"/>
      <c r="BU253" s="42" t="n"/>
      <c r="BV253" s="69" t="n"/>
      <c r="BW253" s="69" t="n"/>
      <c r="BX253" s="69" t="n"/>
      <c r="BY253" s="69" t="n"/>
      <c r="BZ253" s="42" t="n"/>
      <c r="CA253" s="69" t="n"/>
      <c r="CB253" s="69" t="n"/>
      <c r="CC253" s="69" t="n"/>
      <c r="CD253" s="69" t="n"/>
      <c r="CE253" s="42" t="n"/>
      <c r="CF253" s="69" t="n"/>
      <c r="CG253" s="69" t="n"/>
      <c r="CH253" s="69" t="n"/>
      <c r="CI253" s="69" t="n"/>
      <c r="CJ253" s="42" t="n"/>
      <c r="CK253" s="69" t="n"/>
      <c r="CL253" s="69" t="n"/>
      <c r="CM253" s="69" t="n"/>
      <c r="CN253" s="69" t="n"/>
      <c r="CO253" s="42" t="n"/>
      <c r="CP253" s="69" t="n"/>
      <c r="CQ253" s="69" t="n"/>
      <c r="CR253" s="69" t="n"/>
      <c r="CS253" s="69" t="n"/>
      <c r="CT253" s="42" t="n"/>
      <c r="CU253" s="69" t="n"/>
      <c r="CV253" s="69" t="n"/>
      <c r="CW253" s="69" t="n"/>
      <c r="CX253" s="69" t="n"/>
      <c r="CY253" s="42" t="n"/>
    </row>
    <row r="254" hidden="1" outlineLevel="1" customFormat="1" s="66">
      <c r="A254" s="37" t="n"/>
      <c r="B254" s="37" t="n"/>
      <c r="C254" s="67" t="inlineStr">
        <is>
          <t>Shares issued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9" t="n"/>
      <c r="AG254" s="42" t="n"/>
      <c r="AH254" s="69" t="str">
        <f>IFERROR(AH249/AH250,"")</f>
        <v/>
      </c>
      <c r="AI254" s="69" t="str">
        <f>IFERROR(AI249/AI250,"")</f>
        <v/>
      </c>
      <c r="AJ254" s="69" t="str">
        <f>IFERROR(AJ249/AJ250,"")</f>
        <v/>
      </c>
      <c r="AK254" s="69" t="str">
        <f>IFERROR(AK249/AK250,"")</f>
        <v/>
      </c>
      <c r="AL254" s="42" t="n"/>
      <c r="AM254" s="69" t="str">
        <f>IFERROR(AM249/AM250,"")</f>
        <v/>
      </c>
      <c r="AN254" s="69" t="str">
        <f>IFERROR(AN249/AN250,"")</f>
        <v/>
      </c>
      <c r="AO254" s="69" t="str">
        <f>IFERROR(AO249/AO250,"")</f>
        <v/>
      </c>
      <c r="AP254" s="69" t="str">
        <f>IFERROR(AP249/AP250,"")</f>
        <v/>
      </c>
      <c r="AQ254" s="42" t="n"/>
      <c r="AR254" s="69" t="str">
        <f>IFERROR(AR249/AR250,"")</f>
        <v/>
      </c>
      <c r="AS254" s="69" t="str">
        <f>IFERROR(AS249/AS250,"")</f>
        <v/>
      </c>
      <c r="AT254" s="69" t="str">
        <f>IFERROR(AT249/AT250,"")</f>
        <v/>
      </c>
      <c r="AU254" s="69" t="str">
        <f>IFERROR(AU249/AU250,"")</f>
        <v/>
      </c>
      <c r="AV254" s="42" t="n"/>
      <c r="AW254" s="69" t="str">
        <f>IFERROR(AW249/AW250,"")</f>
        <v/>
      </c>
      <c r="AX254" s="69" t="str">
        <f>IFERROR(AX249/AX250,"")</f>
        <v/>
      </c>
      <c r="AY254" s="69" t="str">
        <f>IFERROR(AY249/AY250,"")</f>
        <v/>
      </c>
      <c r="AZ254" s="69" t="str">
        <f>IFERROR(AZ249/AZ250,"")</f>
        <v/>
      </c>
      <c r="BA254" s="42" t="n"/>
      <c r="BB254" s="69" t="str">
        <f>IFERROR(BB249/BB250,"")</f>
        <v/>
      </c>
      <c r="BC254" s="69" t="str">
        <f>IFERROR(BC249/BC250,"")</f>
        <v/>
      </c>
      <c r="BD254" s="69" t="str">
        <f>IFERROR(BD249/BD250,"")</f>
        <v/>
      </c>
      <c r="BE254" s="69" t="str">
        <f>IFERROR(BE249/BE250,"")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End of period basic shares outstanding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3" t="str">
        <f>IFERROR(AG255+AH254-AH253,"")</f>
        <v/>
      </c>
      <c r="AI255" s="3" t="str">
        <f>IFERROR(AH255+AI254-AI253,"")</f>
        <v/>
      </c>
      <c r="AJ255" s="69" t="str">
        <f>IFERROR(AH255+AJ254-AJ253,"")</f>
        <v/>
      </c>
      <c r="AK255" s="69" t="str">
        <f>IFERROR(AJ255+AK254-AK253,"")</f>
        <v/>
      </c>
      <c r="AL255" s="42" t="n"/>
      <c r="AM255" s="3" t="str">
        <f>IFERROR(AK255+AM254-AM253,"")</f>
        <v/>
      </c>
      <c r="AN255" s="3" t="str">
        <f>IFERROR(AM255+AN254-AN253,"")</f>
        <v/>
      </c>
      <c r="AO255" s="69" t="str">
        <f>IFERROR(AM255+AO254-AO253,"")</f>
        <v/>
      </c>
      <c r="AP255" s="69" t="str">
        <f>IFERROR(AO255+AP254-AP253,"")</f>
        <v/>
      </c>
      <c r="AQ255" s="42" t="n"/>
      <c r="AR255" s="3" t="str">
        <f>IFERROR(AP255+AR254-AR253,"")</f>
        <v/>
      </c>
      <c r="AS255" s="3" t="str">
        <f>IFERROR(AR255+AS254-AS253,"")</f>
        <v/>
      </c>
      <c r="AT255" s="69" t="str">
        <f>IFERROR(AR255+AT254-AT253,"")</f>
        <v/>
      </c>
      <c r="AU255" s="69" t="str">
        <f>IFERROR(AT255+AU254-AU253,"")</f>
        <v/>
      </c>
      <c r="AV255" s="42" t="n"/>
      <c r="AW255" s="3" t="str">
        <f>IFERROR(AU255+AW254-AW253,"")</f>
        <v/>
      </c>
      <c r="AX255" s="3" t="str">
        <f>IFERROR(AW255+AX254-AX253,"")</f>
        <v/>
      </c>
      <c r="AY255" s="69" t="str">
        <f>IFERROR(AW255+AY254-AY253,"")</f>
        <v/>
      </c>
      <c r="AZ255" s="69" t="str">
        <f>IFERROR(AY255+AZ254-AZ253,"")</f>
        <v/>
      </c>
      <c r="BA255" s="42" t="n"/>
      <c r="BB255" s="3" t="str">
        <f>IFERROR(AZ255+BB254-BB253,"")</f>
        <v/>
      </c>
      <c r="BC255" s="3" t="str">
        <f>IFERROR(BB255+BC254-BC253,"")</f>
        <v/>
      </c>
      <c r="BD255" s="69" t="str">
        <f>IFERROR(BB255+BD254-BD253,"")</f>
        <v/>
      </c>
      <c r="BE255" s="69" t="str">
        <f>IFERROR(BD255+BE254-BE253,"")</f>
        <v/>
      </c>
      <c r="BF255" s="42" t="n"/>
      <c r="BG255" s="3" t="n"/>
      <c r="BH255" s="3" t="n"/>
      <c r="BI255" s="69" t="n"/>
      <c r="BJ255" s="69" t="n"/>
      <c r="BK255" s="42" t="n"/>
      <c r="BL255" s="3" t="n"/>
      <c r="BM255" s="3" t="n"/>
      <c r="BN255" s="69" t="n"/>
      <c r="BO255" s="69" t="n"/>
      <c r="BP255" s="42" t="n"/>
      <c r="BQ255" s="3" t="n"/>
      <c r="BR255" s="3" t="n"/>
      <c r="BS255" s="69" t="n"/>
      <c r="BT255" s="69" t="n"/>
      <c r="BU255" s="42" t="n"/>
      <c r="BV255" s="3" t="n"/>
      <c r="BW255" s="3" t="n"/>
      <c r="BX255" s="69" t="n"/>
      <c r="BY255" s="69" t="n"/>
      <c r="BZ255" s="42" t="n"/>
      <c r="CA255" s="3" t="n"/>
      <c r="CB255" s="3" t="n"/>
      <c r="CC255" s="69" t="n"/>
      <c r="CD255" s="69" t="n"/>
      <c r="CE255" s="42" t="n"/>
      <c r="CF255" s="3" t="n"/>
      <c r="CG255" s="3" t="n"/>
      <c r="CH255" s="69" t="n"/>
      <c r="CI255" s="69" t="n"/>
      <c r="CJ255" s="42" t="n"/>
      <c r="CK255" s="3" t="n"/>
      <c r="CL255" s="3" t="n"/>
      <c r="CM255" s="69" t="n"/>
      <c r="CN255" s="69" t="n"/>
      <c r="CO255" s="42" t="n"/>
      <c r="CP255" s="3" t="n"/>
      <c r="CQ255" s="3" t="n"/>
      <c r="CR255" s="69" t="n"/>
      <c r="CS255" s="69" t="n"/>
      <c r="CT255" s="42" t="n"/>
      <c r="CU255" s="3" t="n"/>
      <c r="CV255" s="3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Weighted average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69" t="str">
        <f>IFERROR(AVERAGE(AG255,AH255),"")</f>
        <v/>
      </c>
      <c r="AI256" s="69" t="str">
        <f>IFERROR(AVERAGE(AH255,AI255),"")</f>
        <v/>
      </c>
      <c r="AJ256" s="69" t="str">
        <f>IFERROR(AVERAGE(AH255,AJ255),"")</f>
        <v/>
      </c>
      <c r="AK256" s="69" t="str">
        <f>IFERROR(AVERAGE(AJ255,AK255),"")</f>
        <v/>
      </c>
      <c r="AL256" s="42" t="n"/>
      <c r="AM256" s="69" t="str">
        <f>IFERROR(AVERAGE(AL255,AM255),"")</f>
        <v/>
      </c>
      <c r="AN256" s="69" t="str">
        <f>IFERROR(AVERAGE(AM255,AN255),"")</f>
        <v/>
      </c>
      <c r="AO256" s="69" t="str">
        <f>IFERROR(AVERAGE(AM255,AO255),"")</f>
        <v/>
      </c>
      <c r="AP256" s="69" t="str">
        <f>IFERROR(AVERAGE(AO255,AP255),"")</f>
        <v/>
      </c>
      <c r="AQ256" s="42" t="n"/>
      <c r="AR256" s="69" t="str">
        <f>IFERROR(AVERAGE(AQ255,AR255),"")</f>
        <v/>
      </c>
      <c r="AS256" s="69" t="str">
        <f>IFERROR(AVERAGE(AR255,AS255),"")</f>
        <v/>
      </c>
      <c r="AT256" s="69" t="str">
        <f>IFERROR(AVERAGE(AR255,AT255),"")</f>
        <v/>
      </c>
      <c r="AU256" s="69" t="str">
        <f>IFERROR(AVERAGE(AT255,AU255),"")</f>
        <v/>
      </c>
      <c r="AV256" s="42" t="n"/>
      <c r="AW256" s="69" t="str">
        <f>IFERROR(AVERAGE(AV255,AW255),"")</f>
        <v/>
      </c>
      <c r="AX256" s="69" t="str">
        <f>IFERROR(AVERAGE(AW255,AX255),"")</f>
        <v/>
      </c>
      <c r="AY256" s="69" t="str">
        <f>IFERROR(AVERAGE(AW255,AY255),"")</f>
        <v/>
      </c>
      <c r="AZ256" s="69" t="str">
        <f>IFERROR(AVERAGE(AY255,AZ255),"")</f>
        <v/>
      </c>
      <c r="BA256" s="42" t="n"/>
      <c r="BB256" s="69" t="str">
        <f>IFERROR(AVERAGE(BA255,BB255),"")</f>
        <v/>
      </c>
      <c r="BC256" s="69" t="str">
        <f>IFERROR(AVERAGE(BB255,BC255),"")</f>
        <v/>
      </c>
      <c r="BD256" s="69" t="str">
        <f>IFERROR(AVERAGE(BB255,BD255),"")</f>
        <v/>
      </c>
      <c r="BE256" s="69" t="str">
        <f>IFERROR(AVERAGE(BD255,BE255),"")</f>
        <v/>
      </c>
      <c r="BF256" s="42" t="n"/>
      <c r="BG256" s="69" t="n"/>
      <c r="BH256" s="69" t="n"/>
      <c r="BI256" s="69" t="n"/>
      <c r="BJ256" s="69" t="n"/>
      <c r="BK256" s="42" t="n"/>
      <c r="BL256" s="69" t="n"/>
      <c r="BM256" s="69" t="n"/>
      <c r="BN256" s="69" t="n"/>
      <c r="BO256" s="69" t="n"/>
      <c r="BP256" s="42" t="n"/>
      <c r="BQ256" s="69" t="n"/>
      <c r="BR256" s="69" t="n"/>
      <c r="BS256" s="69" t="n"/>
      <c r="BT256" s="69" t="n"/>
      <c r="BU256" s="42" t="n"/>
      <c r="BV256" s="69" t="n"/>
      <c r="BW256" s="69" t="n"/>
      <c r="BX256" s="69" t="n"/>
      <c r="BY256" s="69" t="n"/>
      <c r="BZ256" s="42" t="n"/>
      <c r="CA256" s="69" t="n"/>
      <c r="CB256" s="69" t="n"/>
      <c r="CC256" s="69" t="n"/>
      <c r="CD256" s="69" t="n"/>
      <c r="CE256" s="42" t="n"/>
      <c r="CF256" s="69" t="n"/>
      <c r="CG256" s="69" t="n"/>
      <c r="CH256" s="69" t="n"/>
      <c r="CI256" s="69" t="n"/>
      <c r="CJ256" s="42" t="n"/>
      <c r="CK256" s="69" t="n"/>
      <c r="CL256" s="69" t="n"/>
      <c r="CM256" s="69" t="n"/>
      <c r="CN256" s="69" t="n"/>
      <c r="CO256" s="42" t="n"/>
      <c r="CP256" s="69" t="n"/>
      <c r="CQ256" s="69" t="n"/>
      <c r="CR256" s="69" t="n"/>
      <c r="CS256" s="69" t="n"/>
      <c r="CT256" s="42" t="n"/>
      <c r="CU256" s="69" t="n"/>
      <c r="CV256" s="69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12" t="n"/>
      <c r="I257" s="42" t="n"/>
      <c r="J257" s="42" t="n"/>
      <c r="K257" s="42" t="n"/>
      <c r="L257" s="42" t="n"/>
      <c r="M257" s="12" t="n"/>
      <c r="N257" s="42" t="n"/>
      <c r="O257" s="42" t="n"/>
      <c r="P257" s="42" t="n"/>
      <c r="Q257" s="42" t="n"/>
      <c r="R257" s="12" t="n"/>
      <c r="S257" s="42" t="n"/>
      <c r="T257" s="42" t="n"/>
      <c r="U257" s="42" t="n"/>
      <c r="V257" s="42" t="n"/>
      <c r="W257" s="12" t="n"/>
      <c r="X257" s="42" t="n"/>
      <c r="Y257" s="42" t="n"/>
      <c r="Z257" s="42" t="n"/>
      <c r="AA257" s="42" t="n"/>
      <c r="AB257" s="12" t="n"/>
      <c r="AC257" s="42" t="n"/>
      <c r="AD257" s="42" t="n"/>
      <c r="AE257" s="42" t="n"/>
      <c r="AF257" s="42" t="n"/>
      <c r="AG257" s="12" t="n"/>
      <c r="AH257" s="42" t="n"/>
      <c r="AI257" s="42" t="n"/>
      <c r="AJ257" s="42" t="n"/>
      <c r="AK257" s="42" t="n"/>
      <c r="AL257" s="12" t="n"/>
      <c r="AM257" s="42" t="n"/>
      <c r="AN257" s="42" t="n"/>
      <c r="AO257" s="42" t="n"/>
      <c r="AP257" s="42" t="n"/>
      <c r="AQ257" s="12" t="n"/>
      <c r="AR257" s="42" t="n"/>
      <c r="AS257" s="42" t="n"/>
      <c r="AT257" s="42" t="n"/>
      <c r="AU257" s="42" t="n"/>
      <c r="AV257" s="12" t="n"/>
      <c r="AW257" s="42" t="n"/>
      <c r="AX257" s="42" t="n"/>
      <c r="AY257" s="42" t="n"/>
      <c r="AZ257" s="42" t="n"/>
      <c r="BA257" s="12" t="n"/>
      <c r="BB257" s="42" t="n"/>
      <c r="BC257" s="42" t="n"/>
      <c r="BD257" s="42" t="n"/>
      <c r="BE257" s="42" t="n"/>
      <c r="BF257" s="12" t="n"/>
      <c r="BG257" s="42" t="n"/>
      <c r="BH257" s="42" t="n"/>
      <c r="BI257" s="42" t="n"/>
      <c r="BJ257" s="42" t="n"/>
      <c r="BK257" s="12" t="n"/>
      <c r="BL257" s="42" t="n"/>
      <c r="BM257" s="42" t="n"/>
      <c r="BN257" s="42" t="n"/>
      <c r="BO257" s="42" t="n"/>
      <c r="BP257" s="12" t="n"/>
      <c r="BQ257" s="42" t="n"/>
      <c r="BR257" s="42" t="n"/>
      <c r="BS257" s="42" t="n"/>
      <c r="BT257" s="42" t="n"/>
      <c r="BU257" s="12" t="n"/>
      <c r="BV257" s="42" t="n"/>
      <c r="BW257" s="42" t="n"/>
      <c r="BX257" s="42" t="n"/>
      <c r="BY257" s="42" t="n"/>
      <c r="BZ257" s="12" t="n"/>
      <c r="CA257" s="42" t="n"/>
      <c r="CB257" s="42" t="n"/>
      <c r="CC257" s="42" t="n"/>
      <c r="CD257" s="42" t="n"/>
      <c r="CE257" s="12" t="n"/>
      <c r="CF257" s="42" t="n"/>
      <c r="CG257" s="42" t="n"/>
      <c r="CH257" s="42" t="n"/>
      <c r="CI257" s="42" t="n"/>
      <c r="CJ257" s="12" t="n"/>
      <c r="CK257" s="42" t="n"/>
      <c r="CL257" s="42" t="n"/>
      <c r="CM257" s="42" t="n"/>
      <c r="CN257" s="42" t="n"/>
      <c r="CO257" s="12" t="n"/>
      <c r="CP257" s="42" t="n"/>
      <c r="CQ257" s="42" t="n"/>
      <c r="CR257" s="42" t="n"/>
      <c r="CS257" s="42" t="n"/>
      <c r="CT257" s="12" t="n"/>
      <c r="CU257" s="42" t="n"/>
      <c r="CV257" s="42" t="n"/>
      <c r="CW257" s="42" t="n"/>
      <c r="CX257" s="42" t="n"/>
      <c r="CY257" s="12" t="n"/>
    </row>
    <row r="258" collapsed="1">
      <c r="C258" s="14" t="inlineStr">
        <is>
          <t>Treasury stock (contra account)</t>
        </is>
      </c>
      <c r="D258" s="46" t="n"/>
      <c r="E258" s="46" t="n"/>
      <c r="F258" s="46" t="n"/>
      <c r="G258" s="46" t="n"/>
      <c r="H258" s="12" t="n"/>
      <c r="I258" s="46">
        <f>'Inputs (2)'!D44</f>
        <v>0</v>
      </c>
      <c r="J258" s="46">
        <f>'Inputs (2)'!E44</f>
        <v>0</v>
      </c>
      <c r="K258" s="46">
        <f>'Inputs (2)'!F44</f>
        <v>0</v>
      </c>
      <c r="L258" s="46">
        <f>'Inputs (2)'!G44</f>
        <v>0</v>
      </c>
      <c r="M258" s="12">
        <f>'Inputs (2)'!H44</f>
        <v>0</v>
      </c>
      <c r="N258" s="46">
        <f>'Inputs (2)'!I44</f>
        <v>0</v>
      </c>
      <c r="O258" s="46">
        <f>'Inputs (2)'!J44</f>
        <v>0</v>
      </c>
      <c r="P258" s="46">
        <f>'Inputs (2)'!K44</f>
        <v>0</v>
      </c>
      <c r="Q258" s="46">
        <f>'Inputs (2)'!L44</f>
        <v>0</v>
      </c>
      <c r="R258" s="12">
        <f>'Inputs (2)'!M44</f>
        <v>0</v>
      </c>
      <c r="S258" s="46">
        <f>'Inputs (2)'!N44</f>
        <v>0</v>
      </c>
      <c r="T258" s="46">
        <f>'Inputs (2)'!O44</f>
        <v>0</v>
      </c>
      <c r="U258" s="46">
        <f>'Inputs (2)'!P44</f>
        <v>0</v>
      </c>
      <c r="V258" s="46">
        <f>'Inputs (2)'!Q44</f>
        <v>0</v>
      </c>
      <c r="W258" s="12">
        <f>'Inputs (2)'!R44</f>
        <v>0</v>
      </c>
      <c r="X258" s="46">
        <f>'Inputs (2)'!S44</f>
        <v>0</v>
      </c>
      <c r="Y258" s="46">
        <f>'Inputs (2)'!T44</f>
        <v>0</v>
      </c>
      <c r="Z258" s="46">
        <f>'Inputs (2)'!U44</f>
        <v>0</v>
      </c>
      <c r="AA258" s="46">
        <f>'Inputs (2)'!V44</f>
        <v>0</v>
      </c>
      <c r="AB258" s="12">
        <f>'Inputs (2)'!W44</f>
        <v>0</v>
      </c>
      <c r="AC258" s="46">
        <f>'Inputs (2)'!X44</f>
        <v>0</v>
      </c>
      <c r="AD258" s="46">
        <f>'Inputs (2)'!Y44</f>
        <v>0</v>
      </c>
      <c r="AE258" s="46">
        <f>'Inputs (2)'!Z44</f>
        <v>0</v>
      </c>
      <c r="AF258" s="46">
        <f>'Inputs (2)'!AA44</f>
        <v>0</v>
      </c>
      <c r="AG258" s="12">
        <f>'Inputs (2)'!AB44</f>
        <v>0</v>
      </c>
      <c r="AH258" s="12">
        <f>'Inputs (2)'!AC44</f>
        <v>0</v>
      </c>
      <c r="AI258" s="12">
        <f>'Inputs (2)'!AD44</f>
        <v>0</v>
      </c>
      <c r="AJ258" s="12">
        <f>AI258</f>
        <v>0</v>
      </c>
      <c r="AK258" s="12">
        <f>AJ258</f>
        <v>0</v>
      </c>
      <c r="AL258" s="12">
        <f>AK258</f>
        <v>0</v>
      </c>
      <c r="AM258" s="12">
        <f>AL258</f>
        <v>0</v>
      </c>
      <c r="AN258" s="12">
        <f>AM258</f>
        <v>0</v>
      </c>
      <c r="AO258" s="12">
        <f>AN258</f>
        <v>0</v>
      </c>
      <c r="AP258" s="12">
        <f>AO258</f>
        <v>0</v>
      </c>
      <c r="AQ258" s="12">
        <f>AP258</f>
        <v>0</v>
      </c>
      <c r="AR258" s="12">
        <f>AQ258</f>
        <v>0</v>
      </c>
      <c r="AS258" s="12">
        <f>AR258</f>
        <v>0</v>
      </c>
      <c r="AT258" s="12">
        <f>AS258</f>
        <v>0</v>
      </c>
      <c r="AU258" s="12">
        <f>AT258</f>
        <v>0</v>
      </c>
      <c r="AV258" s="12">
        <f>AU258</f>
        <v>0</v>
      </c>
      <c r="AW258" s="12">
        <f>AV258</f>
        <v>0</v>
      </c>
      <c r="AX258" s="12">
        <f>AW258</f>
        <v>0</v>
      </c>
      <c r="AY258" s="12">
        <f>AX258</f>
        <v>0</v>
      </c>
      <c r="AZ258" s="12">
        <f>AY258</f>
        <v>0</v>
      </c>
      <c r="BA258" s="12">
        <f>AZ258</f>
        <v>0</v>
      </c>
      <c r="BB258" s="12">
        <f>BA258</f>
        <v>0</v>
      </c>
      <c r="BC258" s="12">
        <f>BB258</f>
        <v>0</v>
      </c>
      <c r="BD258" s="12">
        <f>BC258</f>
        <v>0</v>
      </c>
      <c r="BE258" s="12">
        <f>BD258</f>
        <v>0</v>
      </c>
      <c r="BF258" s="12">
        <f>BE258</f>
        <v>0</v>
      </c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>
      <c r="C259" s="14" t="inlineStr">
        <is>
          <t>Comprehensive (accumulated) loss</t>
        </is>
      </c>
      <c r="D259" s="46" t="n"/>
      <c r="E259" s="46" t="n"/>
      <c r="F259" s="46" t="n"/>
      <c r="G259" s="46" t="n"/>
      <c r="H259" s="12" t="n"/>
      <c r="I259" s="46">
        <f>'Inputs (2)'!D45</f>
        <v>154</v>
      </c>
      <c r="J259" s="46">
        <f>'Inputs (2)'!E45</f>
        <v>285</v>
      </c>
      <c r="K259" s="46">
        <f>'Inputs (2)'!F45</f>
        <v>-207</v>
      </c>
      <c r="L259" s="46">
        <f>'Inputs (2)'!G45</f>
        <v>-693</v>
      </c>
      <c r="M259" s="12">
        <f>'Inputs (2)'!H45</f>
        <v>-693</v>
      </c>
      <c r="N259" s="46">
        <f>'Inputs (2)'!I45</f>
        <v>-1996</v>
      </c>
      <c r="O259" s="46">
        <f>'Inputs (2)'!J45</f>
        <v>-3411</v>
      </c>
      <c r="P259" s="46">
        <f>'Inputs (2)'!K45</f>
        <v>-5054</v>
      </c>
      <c r="Q259" s="46">
        <f>'Inputs (2)'!L45</f>
        <v>-3530</v>
      </c>
      <c r="R259" s="12">
        <f>'Inputs (2)'!M45</f>
        <v>-3530</v>
      </c>
      <c r="S259" s="46">
        <f>'Inputs (2)'!N45</f>
        <v>-2981</v>
      </c>
      <c r="T259" s="46">
        <f>'Inputs (2)'!O45</f>
        <v>-3106</v>
      </c>
      <c r="U259" s="46">
        <f>'Inputs (2)'!P45</f>
        <v>-3556</v>
      </c>
      <c r="V259" s="46">
        <f>'Inputs (2)'!Q45</f>
        <v>-2155</v>
      </c>
      <c r="W259" s="12">
        <f>'Inputs (2)'!R45</f>
        <v>-2155</v>
      </c>
      <c r="X259" s="46">
        <f>'Inputs (2)'!S45</f>
        <v>-2655</v>
      </c>
      <c r="Y259" s="46">
        <f>'Inputs (2)'!T45</f>
        <v>-2695</v>
      </c>
      <c r="Z259" s="46">
        <f>'Inputs (2)'!U45</f>
        <v>-1192</v>
      </c>
      <c r="AA259" s="46">
        <f>'Inputs (2)'!V45</f>
        <v>-3097</v>
      </c>
      <c r="AB259" s="12">
        <f>'Inputs (2)'!W45</f>
        <v>-3097</v>
      </c>
      <c r="AC259" s="46">
        <f>'Inputs (2)'!X45</f>
        <v>-1865</v>
      </c>
      <c r="AD259" s="46">
        <f>'Inputs (2)'!Y45</f>
        <v>229</v>
      </c>
      <c r="AE259" s="46">
        <f>'Inputs (2)'!Z45</f>
        <v>159</v>
      </c>
      <c r="AF259" s="46">
        <f>'Inputs (2)'!AA45</f>
        <v>271</v>
      </c>
      <c r="AG259" s="12">
        <f>'Inputs (2)'!AB45</f>
        <v>271</v>
      </c>
      <c r="AH259" s="12">
        <f>'Inputs (2)'!AC45</f>
        <v>-303</v>
      </c>
      <c r="AI259" s="12">
        <f>'Inputs (2)'!AD45</f>
        <v>-603</v>
      </c>
      <c r="AJ259" s="12">
        <f>AI259</f>
        <v>-603</v>
      </c>
      <c r="AK259" s="12">
        <f>AJ259</f>
        <v>-603</v>
      </c>
      <c r="AL259" s="12">
        <f>AK259</f>
        <v>-603</v>
      </c>
      <c r="AM259" s="12">
        <f>AL259</f>
        <v>-603</v>
      </c>
      <c r="AN259" s="12">
        <f>AM259</f>
        <v>-603</v>
      </c>
      <c r="AO259" s="12">
        <f>AN259</f>
        <v>-603</v>
      </c>
      <c r="AP259" s="12">
        <f>AO259</f>
        <v>-603</v>
      </c>
      <c r="AQ259" s="12">
        <f>AP259</f>
        <v>-603</v>
      </c>
      <c r="AR259" s="12">
        <f>AQ259</f>
        <v>-603</v>
      </c>
      <c r="AS259" s="12">
        <f>AR259</f>
        <v>-603</v>
      </c>
      <c r="AT259" s="12">
        <f>AS259</f>
        <v>-603</v>
      </c>
      <c r="AU259" s="12">
        <f>AT259</f>
        <v>-603</v>
      </c>
      <c r="AV259" s="12">
        <f>AU259</f>
        <v>-603</v>
      </c>
      <c r="AW259" s="12">
        <f>AV259</f>
        <v>-603</v>
      </c>
      <c r="AX259" s="12">
        <f>AW259</f>
        <v>-603</v>
      </c>
      <c r="AY259" s="12">
        <f>AX259</f>
        <v>-603</v>
      </c>
      <c r="AZ259" s="12">
        <f>AY259</f>
        <v>-603</v>
      </c>
      <c r="BA259" s="12">
        <f>AZ259</f>
        <v>-603</v>
      </c>
      <c r="BB259" s="12">
        <f>BA259</f>
        <v>-603</v>
      </c>
      <c r="BC259" s="12">
        <f>BB259</f>
        <v>-603</v>
      </c>
      <c r="BD259" s="12">
        <f>BC259</f>
        <v>-603</v>
      </c>
      <c r="BE259" s="12">
        <f>BD259</f>
        <v>-603</v>
      </c>
      <c r="BF259" s="12">
        <f>BE259</f>
        <v>-603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Other equity account</t>
        </is>
      </c>
      <c r="D260" s="46" t="n"/>
      <c r="E260" s="46" t="n"/>
      <c r="F260" s="46" t="n"/>
      <c r="G260" s="46" t="n"/>
      <c r="H260" s="12" t="n"/>
      <c r="I260" s="46">
        <f>'Inputs (2)'!D46</f>
        <v>0</v>
      </c>
      <c r="J260" s="46">
        <f>'Inputs (2)'!E46</f>
        <v>0</v>
      </c>
      <c r="K260" s="46">
        <f>'Inputs (2)'!F46</f>
        <v>0</v>
      </c>
      <c r="L260" s="46">
        <f>'Inputs (2)'!G46</f>
        <v>0</v>
      </c>
      <c r="M260" s="12">
        <f>'Inputs (2)'!H46</f>
        <v>0</v>
      </c>
      <c r="N260" s="46">
        <f>'Inputs (2)'!I46</f>
        <v>0</v>
      </c>
      <c r="O260" s="46">
        <f>'Inputs (2)'!J46</f>
        <v>0</v>
      </c>
      <c r="P260" s="46">
        <f>'Inputs (2)'!K46</f>
        <v>0</v>
      </c>
      <c r="Q260" s="46">
        <f>'Inputs (2)'!L46</f>
        <v>0</v>
      </c>
      <c r="R260" s="12">
        <f>'Inputs (2)'!M46</f>
        <v>0</v>
      </c>
      <c r="S260" s="46">
        <f>'Inputs (2)'!N46</f>
        <v>0</v>
      </c>
      <c r="T260" s="46">
        <f>'Inputs (2)'!O46</f>
        <v>0</v>
      </c>
      <c r="U260" s="46">
        <f>'Inputs (2)'!P46</f>
        <v>0</v>
      </c>
      <c r="V260" s="46">
        <f>'Inputs (2)'!Q46</f>
        <v>0</v>
      </c>
      <c r="W260" s="12">
        <f>'Inputs (2)'!R46</f>
        <v>0</v>
      </c>
      <c r="X260" s="46">
        <f>'Inputs (2)'!S46</f>
        <v>0</v>
      </c>
      <c r="Y260" s="46">
        <f>'Inputs (2)'!T46</f>
        <v>0</v>
      </c>
      <c r="Z260" s="46">
        <f>'Inputs (2)'!U46</f>
        <v>0</v>
      </c>
      <c r="AA260" s="46">
        <f>'Inputs (2)'!V46</f>
        <v>0</v>
      </c>
      <c r="AB260" s="12">
        <f>'Inputs (2)'!W46</f>
        <v>0</v>
      </c>
      <c r="AC260" s="46">
        <f>'Inputs (2)'!X46</f>
        <v>0</v>
      </c>
      <c r="AD260" s="46">
        <f>'Inputs (2)'!Y46</f>
        <v>0</v>
      </c>
      <c r="AE260" s="46">
        <f>'Inputs (2)'!Z46</f>
        <v>0</v>
      </c>
      <c r="AF260" s="46">
        <f>'Inputs (2)'!AA46</f>
        <v>0</v>
      </c>
      <c r="AG260" s="12">
        <f>'Inputs (2)'!AB46</f>
        <v>0</v>
      </c>
      <c r="AH260" s="12">
        <f>'Inputs (2)'!AC46</f>
        <v>0</v>
      </c>
      <c r="AI260" s="12">
        <f>'Inputs (2)'!AD46</f>
        <v>0</v>
      </c>
      <c r="AJ260" s="12">
        <f>AI260</f>
        <v>0</v>
      </c>
      <c r="AK260" s="12">
        <f>AJ260</f>
        <v>0</v>
      </c>
      <c r="AL260" s="12">
        <f>AK260</f>
        <v>0</v>
      </c>
      <c r="AM260" s="12">
        <f>AL260</f>
        <v>0</v>
      </c>
      <c r="AN260" s="12">
        <f>AM260</f>
        <v>0</v>
      </c>
      <c r="AO260" s="12">
        <f>AN260</f>
        <v>0</v>
      </c>
      <c r="AP260" s="12">
        <f>AO260</f>
        <v>0</v>
      </c>
      <c r="AQ260" s="12">
        <f>AP260</f>
        <v>0</v>
      </c>
      <c r="AR260" s="12">
        <f>AQ260</f>
        <v>0</v>
      </c>
      <c r="AS260" s="12">
        <f>AR260</f>
        <v>0</v>
      </c>
      <c r="AT260" s="12">
        <f>AS260</f>
        <v>0</v>
      </c>
      <c r="AU260" s="12">
        <f>AT260</f>
        <v>0</v>
      </c>
      <c r="AV260" s="12">
        <f>AU260</f>
        <v>0</v>
      </c>
      <c r="AW260" s="12">
        <f>AV260</f>
        <v>0</v>
      </c>
      <c r="AX260" s="12">
        <f>AW260</f>
        <v>0</v>
      </c>
      <c r="AY260" s="12">
        <f>AX260</f>
        <v>0</v>
      </c>
      <c r="AZ260" s="12">
        <f>AY260</f>
        <v>0</v>
      </c>
      <c r="BA260" s="12">
        <f>AZ260</f>
        <v>0</v>
      </c>
      <c r="BB260" s="12">
        <f>BA260</f>
        <v>0</v>
      </c>
      <c r="BC260" s="12">
        <f>BB260</f>
        <v>0</v>
      </c>
      <c r="BD260" s="12">
        <f>BC260</f>
        <v>0</v>
      </c>
      <c r="BE260" s="12">
        <f>BD260</f>
        <v>0</v>
      </c>
      <c r="BF260" s="12">
        <f>BE260</f>
        <v>0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5" t="inlineStr">
        <is>
          <t>Retained earnings</t>
        </is>
      </c>
      <c r="D261" s="46" t="n"/>
      <c r="E261" s="46" t="n"/>
      <c r="F261" s="46" t="n"/>
      <c r="G261" s="46" t="n"/>
      <c r="H261" s="12" t="n"/>
      <c r="I261" s="46">
        <f>'Inputs (2)'!D47</f>
        <v>82343</v>
      </c>
      <c r="J261" s="46">
        <f>'Inputs (2)'!E47</f>
        <v>85097</v>
      </c>
      <c r="K261" s="46">
        <f>'Inputs (2)'!F47</f>
        <v>79233</v>
      </c>
      <c r="L261" s="46">
        <f>'Inputs (2)'!G47</f>
        <v>69761</v>
      </c>
      <c r="M261" s="12">
        <f>'Inputs (2)'!H47</f>
        <v>69761</v>
      </c>
      <c r="N261" s="46">
        <f>'Inputs (2)'!I47</f>
        <v>67712</v>
      </c>
      <c r="O261" s="46">
        <f>'Inputs (2)'!J47</f>
        <v>69249</v>
      </c>
      <c r="P261" s="46">
        <f>'Inputs (2)'!K47</f>
        <v>67056</v>
      </c>
      <c r="Q261" s="46">
        <f>'Inputs (2)'!L47</f>
        <v>64799</v>
      </c>
      <c r="R261" s="12">
        <f>'Inputs (2)'!M47</f>
        <v>64799</v>
      </c>
      <c r="S261" s="46">
        <f>'Inputs (2)'!N47</f>
        <v>61241</v>
      </c>
      <c r="T261" s="46">
        <f>'Inputs (2)'!O47</f>
        <v>67980</v>
      </c>
      <c r="U261" s="46">
        <f>'Inputs (2)'!P47</f>
        <v>75205</v>
      </c>
      <c r="V261" s="46">
        <f>'Inputs (2)'!Q47</f>
        <v>82070</v>
      </c>
      <c r="W261" s="12">
        <f>'Inputs (2)'!R47</f>
        <v>82070</v>
      </c>
      <c r="X261" s="46">
        <f>'Inputs (2)'!S47</f>
        <v>76793</v>
      </c>
      <c r="Y261" s="46">
        <f>'Inputs (2)'!T47</f>
        <v>81188</v>
      </c>
      <c r="Z261" s="46">
        <f>'Inputs (2)'!U47</f>
        <v>84972</v>
      </c>
      <c r="AA261" s="46">
        <f>'Inputs (2)'!V47</f>
        <v>102506</v>
      </c>
      <c r="AB261" s="12">
        <f>'Inputs (2)'!W47</f>
        <v>102506</v>
      </c>
      <c r="AC261" s="46">
        <f>'Inputs (2)'!X47</f>
        <v>101326</v>
      </c>
      <c r="AD261" s="46">
        <f>'Inputs (2)'!Y47</f>
        <v>106345</v>
      </c>
      <c r="AE261" s="46">
        <f>'Inputs (2)'!Z47</f>
        <v>101577</v>
      </c>
      <c r="AF261" s="46">
        <f>'Inputs (2)'!AA47</f>
        <v>121179</v>
      </c>
      <c r="AG261" s="12">
        <f>'Inputs (2)'!AB47</f>
        <v>121179</v>
      </c>
      <c r="AH261" s="12">
        <f>'Inputs (2)'!AC47</f>
        <v>144647</v>
      </c>
      <c r="AI261" s="12">
        <f>'Inputs (2)'!AD47</f>
        <v>157843</v>
      </c>
      <c r="AJ261" s="12">
        <f>AI261+AJ128+AJ129</f>
        <v>178904.682985006</v>
      </c>
      <c r="AK261" s="12">
        <f>AJ261+AK128+AK129</f>
        <v>203522.133104457</v>
      </c>
      <c r="AL261" s="12">
        <f>AK261</f>
        <v>203522.133104457</v>
      </c>
      <c r="AM261" s="12">
        <f>AL261+AM128+AM129</f>
        <v>226667.295872668</v>
      </c>
      <c r="AN261" s="12">
        <f>AM261+AN128+AN129</f>
        <v>251657.955627778</v>
      </c>
      <c r="AO261" s="12">
        <f>AN261+AO128+AO129</f>
        <v>277941.339296909</v>
      </c>
      <c r="AP261" s="12">
        <f>AO261+AP128+AP129</f>
        <v>308662.05078544</v>
      </c>
      <c r="AQ261" s="12">
        <f>AP261</f>
        <v>308662.05078544</v>
      </c>
      <c r="AR261" s="12">
        <f>AQ261+AR128+AR129</f>
        <v>337429.733460581</v>
      </c>
      <c r="AS261" s="12">
        <f>AR261+AS128+AS129</f>
        <v>368491.228982438</v>
      </c>
      <c r="AT261" s="12">
        <f>AS261+AT128+AT129</f>
        <v>401159.482327412</v>
      </c>
      <c r="AU261" s="12">
        <f>AT261+AU128+AU129</f>
        <v>439342.997755977</v>
      </c>
      <c r="AV261" s="12">
        <f>AU261</f>
        <v>439342.997755977</v>
      </c>
      <c r="AW261" s="12">
        <f>AV261+AW128+AW129</f>
        <v>474955.208016163</v>
      </c>
      <c r="AX261" s="12">
        <f>AW261+AX128+AX129</f>
        <v>513406.984685545</v>
      </c>
      <c r="AY261" s="12">
        <f>AX261+AY128+AY129</f>
        <v>553847.805730875</v>
      </c>
      <c r="AZ261" s="12">
        <f>AY261+AZ128+AZ129</f>
        <v>601116.103121061</v>
      </c>
      <c r="BA261" s="12">
        <f>AZ261</f>
        <v>601116.103121061</v>
      </c>
      <c r="BB261" s="12">
        <f>BA261+BB128+BB129</f>
        <v>645023.258593355</v>
      </c>
      <c r="BC261" s="12">
        <f>BB261+BC128+BC129</f>
        <v>692431.384179313</v>
      </c>
      <c r="BD261" s="12">
        <f>BC261+BD128+BD129</f>
        <v>742291.850690421</v>
      </c>
      <c r="BE261" s="12">
        <f>BD261+BE128+BE129</f>
        <v>800570.077940523</v>
      </c>
      <c r="BF261" s="12">
        <f>BE261</f>
        <v>800570.077940523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 customFormat="1" s="32">
      <c r="A262" s="30" t="inlineStr">
        <is>
          <t xml:space="preserve"> </t>
        </is>
      </c>
      <c r="B262" s="30" t="n"/>
      <c r="C262" s="65" t="inlineStr">
        <is>
          <t>Total Shareholders' Equity</t>
        </is>
      </c>
      <c r="D262" s="35" t="n"/>
      <c r="E262" s="35" t="n"/>
      <c r="F262" s="35" t="n"/>
      <c r="G262" s="35" t="n"/>
      <c r="H262" s="35" t="n"/>
      <c r="I262" s="35">
        <f>SUM(I239+I244+I245+I258+I259+I260+I261)</f>
        <v>133657</v>
      </c>
      <c r="J262" s="35">
        <f>SUM(J239+J244+J245+J258+J259+J260+J261)</f>
        <v>138227</v>
      </c>
      <c r="K262" s="35">
        <f>SUM(K239+K244+K245+K258+K259+K260+K261)</f>
        <v>133360</v>
      </c>
      <c r="L262" s="35">
        <f>SUM(L239+L244+L245+L258+L259+L260+L261)</f>
        <v>124879</v>
      </c>
      <c r="M262" s="35">
        <f>SUM(M239,M244,M245,M258,M259,M260,M261)</f>
        <v>124879</v>
      </c>
      <c r="N262" s="35">
        <f>SUM(N239+N244+N245+N258+N259+N260+N261)</f>
        <v>123228</v>
      </c>
      <c r="O262" s="35">
        <f>SUM(O239+O244+O245+O258+O259+O260+O261)</f>
        <v>125767</v>
      </c>
      <c r="P262" s="35">
        <f>SUM(P239+P244+P245+P258+P259+P260+P261)</f>
        <v>124094</v>
      </c>
      <c r="Q262" s="35">
        <f>SUM(Q239+Q244+Q245+Q258+Q259+Q260+Q261)</f>
        <v>125713</v>
      </c>
      <c r="R262" s="35">
        <f>SUM(R239,R244,R245,R258,R259,R260,R261)</f>
        <v>125713</v>
      </c>
      <c r="S262" s="35">
        <f>SUM(S239+S244+S245+S258+S259+S260+S261)</f>
        <v>124795</v>
      </c>
      <c r="T262" s="35">
        <f>SUM(T239+T244+T245+T258+T259+T260+T261)</f>
        <v>134033</v>
      </c>
      <c r="U262" s="35">
        <f>SUM(U239+U244+U245+U258+U259+U260+U261)</f>
        <v>142873</v>
      </c>
      <c r="V262" s="35">
        <f>SUM(V239+V244+V245+V258+V259+V260+V261)</f>
        <v>153168</v>
      </c>
      <c r="W262" s="35">
        <f>SUM(W239,W244,W245,W258,W259,W260,W261)</f>
        <v>153168</v>
      </c>
      <c r="X262" s="35">
        <f>SUM(X239+X244+X245+X258+X259+X260+X261)</f>
        <v>149529</v>
      </c>
      <c r="Y262" s="35">
        <f>SUM(Y239+Y244+Y245+Y258+Y259+Y260+Y261)</f>
        <v>156763</v>
      </c>
      <c r="Z262" s="35">
        <f>SUM(Z239+Z244+Z245+Z258+Z259+Z260+Z261)</f>
        <v>164529</v>
      </c>
      <c r="AA262" s="35">
        <f>SUM(AA239+AA244+AA245+AA258+AA259+AA260+AA261)</f>
        <v>182637</v>
      </c>
      <c r="AB262" s="35">
        <f>SUM(AB239,AB244,AB245,AB258,AB259,AB260,AB261)</f>
        <v>182637</v>
      </c>
      <c r="AC262" s="35">
        <f>SUM(AC239+AC244+AC245+AC258+AC259+AC260+AC261)</f>
        <v>185029</v>
      </c>
      <c r="AD262" s="35">
        <f>SUM(AD239+AD244+AD245+AD258+AD259+AD260+AD261)</f>
        <v>195070</v>
      </c>
      <c r="AE262" s="35">
        <f>SUM(AE239+AE244+AE245+AE258+AE259+AE260+AE261)</f>
        <v>194066</v>
      </c>
      <c r="AF262" s="35">
        <f>SUM(AF239+AF244+AF245+AF258+AF259+AF260+AF261)</f>
        <v>217243</v>
      </c>
      <c r="AG262" s="35">
        <f>SUM(AG239,AG244,AG245,AG258,AG259,AG260,AG261)</f>
        <v>217243</v>
      </c>
      <c r="AH262" s="35">
        <f>SUM(AH239+AH244+AH245+AH258+AH259+AH260+AH261)</f>
        <v>243681</v>
      </c>
      <c r="AI262" s="35">
        <f>SUM(AI239+AI244+AI245+AI258+AI259+AI260+AI261)</f>
        <v>261221</v>
      </c>
      <c r="AJ262" s="35">
        <f>SUM(AJ239+AJ244+AJ245+AJ258+AJ259+AJ260+AJ261)</f>
        <v>282282.682985006</v>
      </c>
      <c r="AK262" s="35">
        <f>SUM(AK239+AK244+AK245+AK258+AK259+AK260+AK261)</f>
        <v>306900.133104457</v>
      </c>
      <c r="AL262" s="35">
        <f>SUM(AL239,AL244,AL245,AL258,AL259,AL260,AL261)</f>
        <v>306900.133104457</v>
      </c>
      <c r="AM262" s="35">
        <f>SUM(AM239+AM244+AM245+AM258+AM259+AM260+AM261)</f>
        <v>330045.295872668</v>
      </c>
      <c r="AN262" s="35">
        <f>SUM(AN239+AN244+AN245+AN258+AN259+AN260+AN261)</f>
        <v>355035.955627778</v>
      </c>
      <c r="AO262" s="35">
        <f>SUM(AO239+AO244+AO245+AO258+AO259+AO260+AO261)</f>
        <v>381319.339296909</v>
      </c>
      <c r="AP262" s="35">
        <f>SUM(AP239+AP244+AP245+AP258+AP259+AP260+AP261)</f>
        <v>412040.05078544</v>
      </c>
      <c r="AQ262" s="35">
        <f>SUM(AQ239,AQ244,AQ245,AQ258,AQ259,AQ260,AQ261)</f>
        <v>412040.05078544</v>
      </c>
      <c r="AR262" s="35">
        <f>SUM(AR239+AR244+AR245+AR258+AR259+AR260+AR261)</f>
        <v>440807.733460581</v>
      </c>
      <c r="AS262" s="35">
        <f>SUM(AS239+AS244+AS245+AS258+AS259+AS260+AS261)</f>
        <v>471869.228982438</v>
      </c>
      <c r="AT262" s="35">
        <f>SUM(AT239+AT244+AT245+AT258+AT259+AT260+AT261)</f>
        <v>504537.482327412</v>
      </c>
      <c r="AU262" s="35">
        <f>SUM(AU239+AU244+AU245+AU258+AU259+AU260+AU261)</f>
        <v>542720.997755977</v>
      </c>
      <c r="AV262" s="35">
        <f>SUM(AV239,AV244,AV245,AV258,AV259,AV260,AV261)</f>
        <v>542720.997755977</v>
      </c>
      <c r="AW262" s="35">
        <f>SUM(AW239+AW244+AW245+AW258+AW259+AW260+AW261)</f>
        <v>578333.208016163</v>
      </c>
      <c r="AX262" s="35">
        <f>SUM(AX239+AX244+AX245+AX258+AX259+AX260+AX261)</f>
        <v>616784.984685545</v>
      </c>
      <c r="AY262" s="35">
        <f>SUM(AY239+AY244+AY245+AY258+AY259+AY260+AY261)</f>
        <v>657225.805730875</v>
      </c>
      <c r="AZ262" s="35">
        <f>SUM(AZ239+AZ244+AZ245+AZ258+AZ259+AZ260+AZ261)</f>
        <v>704494.103121061</v>
      </c>
      <c r="BA262" s="35">
        <f>SUM(BA239,BA244,BA245,BA258,BA259,BA260,BA261)</f>
        <v>704494.103121061</v>
      </c>
      <c r="BB262" s="35">
        <f>SUM(BB239+BB244+BB245+BB258+BB259+BB260+BB261)</f>
        <v>748401.258593355</v>
      </c>
      <c r="BC262" s="35">
        <f>SUM(BC239+BC244+BC245+BC258+BC259+BC260+BC261)</f>
        <v>795809.384179313</v>
      </c>
      <c r="BD262" s="35">
        <f>SUM(BD239+BD244+BD245+BD258+BD259+BD260+BD261)</f>
        <v>845669.850690421</v>
      </c>
      <c r="BE262" s="35">
        <f>SUM(BE239+BE244+BE245+BE258+BE259+BE260+BE261)</f>
        <v>903948.077940523</v>
      </c>
      <c r="BF262" s="35">
        <f>SUM(BF239,BF244,BF245,BF258,BF259,BF260,BF261)</f>
        <v>903948.077940523</v>
      </c>
      <c r="BG262" s="35" t="n"/>
      <c r="BH262" s="35" t="n"/>
      <c r="BI262" s="35" t="n"/>
      <c r="BJ262" s="35" t="n"/>
      <c r="BK262" s="35" t="n"/>
      <c r="BL262" s="35" t="n"/>
      <c r="BM262" s="35" t="n"/>
      <c r="BN262" s="35" t="n"/>
      <c r="BO262" s="35" t="n"/>
      <c r="BP262" s="35" t="n"/>
      <c r="BQ262" s="35" t="n"/>
      <c r="BR262" s="35" t="n"/>
      <c r="BS262" s="35" t="n"/>
      <c r="BT262" s="35" t="n"/>
      <c r="BU262" s="35" t="n"/>
      <c r="BV262" s="35" t="n"/>
      <c r="BW262" s="35" t="n"/>
      <c r="BX262" s="35" t="n"/>
      <c r="BY262" s="35" t="n"/>
      <c r="BZ262" s="35" t="n"/>
      <c r="CA262" s="35" t="n"/>
      <c r="CB262" s="35" t="n"/>
      <c r="CC262" s="35" t="n"/>
      <c r="CD262" s="35" t="n"/>
      <c r="CE262" s="35" t="n"/>
      <c r="CF262" s="35" t="n"/>
      <c r="CG262" s="35" t="n"/>
      <c r="CH262" s="35" t="n"/>
      <c r="CI262" s="35" t="n"/>
      <c r="CJ262" s="35" t="n"/>
      <c r="CK262" s="35" t="n"/>
      <c r="CL262" s="35" t="n"/>
      <c r="CM262" s="35" t="n"/>
      <c r="CN262" s="35" t="n"/>
      <c r="CO262" s="35" t="n"/>
      <c r="CP262" s="35" t="n"/>
      <c r="CQ262" s="35" t="n"/>
      <c r="CR262" s="35" t="n"/>
      <c r="CS262" s="35" t="n"/>
      <c r="CT262" s="35" t="n"/>
      <c r="CU262" s="35" t="n"/>
      <c r="CV262" s="35" t="n"/>
      <c r="CW262" s="35" t="n"/>
      <c r="CX262" s="35" t="n"/>
      <c r="CY262" s="35" t="n"/>
    </row>
    <row r="263">
      <c r="C263" s="10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 customFormat="1" s="32">
      <c r="A264" s="30" t="n"/>
      <c r="B264" s="3" t="n"/>
      <c r="C264" s="33" t="inlineStr">
        <is>
          <t>Total Liabilities + Shareholders' Equity</t>
        </is>
      </c>
      <c r="D264" s="35" t="n"/>
      <c r="E264" s="35" t="n"/>
      <c r="F264" s="35" t="n"/>
      <c r="G264" s="35" t="n"/>
      <c r="H264" s="35" t="n"/>
      <c r="I264" s="35">
        <f>I262+I238</f>
        <v>163523</v>
      </c>
      <c r="J264" s="35">
        <f>J262+J238</f>
        <v>170609</v>
      </c>
      <c r="K264" s="35">
        <f>K262+K238</f>
        <v>169585</v>
      </c>
      <c r="L264" s="35">
        <f>L262+L238</f>
        <v>165987</v>
      </c>
      <c r="M264" s="35">
        <f>M262+M238</f>
        <v>165987</v>
      </c>
      <c r="N264" s="35">
        <f>N262+N238</f>
        <v>164218</v>
      </c>
      <c r="O264" s="35">
        <f>O262+O238</f>
        <v>169779</v>
      </c>
      <c r="P264" s="35">
        <f>P262+P238</f>
        <v>178894</v>
      </c>
      <c r="Q264" s="35">
        <f>Q262+Q238</f>
        <v>185727</v>
      </c>
      <c r="R264" s="35">
        <f>R262+R238</f>
        <v>185727</v>
      </c>
      <c r="S264" s="35">
        <f>S262+S238</f>
        <v>184491</v>
      </c>
      <c r="T264" s="35">
        <f>T262+T238</f>
        <v>206688</v>
      </c>
      <c r="U264" s="35">
        <f>U262+U238</f>
        <v>216274</v>
      </c>
      <c r="V264" s="35">
        <f>V262+V238</f>
        <v>229623</v>
      </c>
      <c r="W264" s="35">
        <f>W262+W238</f>
        <v>229623</v>
      </c>
      <c r="X264" s="35">
        <f>X262+X238</f>
        <v>222844</v>
      </c>
      <c r="Y264" s="35">
        <f>Y262+Y238</f>
        <v>230238</v>
      </c>
      <c r="Z264" s="35">
        <f>Z262+Z238</f>
        <v>256408</v>
      </c>
      <c r="AA264" s="35">
        <f>AA262+AA238</f>
        <v>276054</v>
      </c>
      <c r="AB264" s="35">
        <f>AB262+AB238</f>
        <v>276054</v>
      </c>
      <c r="AC264" s="35">
        <f>AC262+AC238</f>
        <v>280213</v>
      </c>
      <c r="AD264" s="35">
        <f>AD262+AD238</f>
        <v>294744</v>
      </c>
      <c r="AE264" s="35">
        <f>AE262+AE238</f>
        <v>303844</v>
      </c>
      <c r="AF264" s="35">
        <f>AF262+AF238</f>
        <v>366021</v>
      </c>
      <c r="AG264" s="35">
        <f>AG262+AG238</f>
        <v>366021</v>
      </c>
      <c r="AH264" s="35">
        <f>AH262+AH238</f>
        <v>395250</v>
      </c>
      <c r="AI264" s="35">
        <f>AI262+AI238</f>
        <v>449956</v>
      </c>
      <c r="AJ264" s="35">
        <f>AJ262+AJ238</f>
        <v>477353.558231782</v>
      </c>
      <c r="AK264" s="35">
        <f>AK262+AK238</f>
        <v>515906.85207814</v>
      </c>
      <c r="AL264" s="35">
        <f>AL262+AL238</f>
        <v>515906.85207814</v>
      </c>
      <c r="AM264" s="35">
        <f>AM262+AM238</f>
        <v>553167.137878645</v>
      </c>
      <c r="AN264" s="35">
        <f>AN262+AN238</f>
        <v>597473.174542756</v>
      </c>
      <c r="AO264" s="35">
        <f>AO262+AO238</f>
        <v>647262.157726471</v>
      </c>
      <c r="AP264" s="35">
        <f>AP262+AP238</f>
        <v>709238.812962942</v>
      </c>
      <c r="AQ264" s="35">
        <f>AQ262+AQ238</f>
        <v>709238.812962942</v>
      </c>
      <c r="AR264" s="35">
        <f>AR262+AR238</f>
        <v>771936.79602411</v>
      </c>
      <c r="AS264" s="35">
        <f>AS262+AS238</f>
        <v>847814.356560673</v>
      </c>
      <c r="AT264" s="35">
        <f>AT262+AT238</f>
        <v>935203.851272729</v>
      </c>
      <c r="AU264" s="35">
        <f>AU262+AU238</f>
        <v>1043795.37977556</v>
      </c>
      <c r="AV264" s="35">
        <f>AV262+AV238</f>
        <v>1043795.37977556</v>
      </c>
      <c r="AW264" s="35">
        <f>AW262+AW238</f>
        <v>1159961.11992495</v>
      </c>
      <c r="AX264" s="35">
        <f>AX262+AX238</f>
        <v>1300969.9730155</v>
      </c>
      <c r="AY264" s="35">
        <f>AY262+AY238</f>
        <v>1467462.76041031</v>
      </c>
      <c r="AZ264" s="35">
        <f>AZ262+AZ238</f>
        <v>1673741.75934765</v>
      </c>
      <c r="BA264" s="35">
        <f>BA262+BA238</f>
        <v>1673741.75934765</v>
      </c>
      <c r="BB264" s="35">
        <f>BB262+BB238</f>
        <v>1903883.36774302</v>
      </c>
      <c r="BC264" s="35">
        <f>BC262+BC238</f>
        <v>2184539.64071776</v>
      </c>
      <c r="BD264" s="35">
        <f>BD262+BD238</f>
        <v>2520869.70801823</v>
      </c>
      <c r="BE264" s="35">
        <f>BE262+BE238</f>
        <v>2936008.32321508</v>
      </c>
      <c r="BF264" s="35">
        <f>BF262+BF238</f>
        <v>2936008.32321508</v>
      </c>
      <c r="BG264" s="35" t="n"/>
      <c r="BH264" s="35" t="n"/>
      <c r="BI264" s="35" t="n"/>
      <c r="BJ264" s="35" t="n"/>
      <c r="BK264" s="35" t="n"/>
      <c r="BL264" s="35" t="n"/>
      <c r="BM264" s="35" t="n"/>
      <c r="BN264" s="35" t="n"/>
      <c r="BO264" s="35" t="n"/>
      <c r="BP264" s="35" t="n"/>
      <c r="BQ264" s="35" t="n"/>
      <c r="BR264" s="35" t="n"/>
      <c r="BS264" s="35" t="n"/>
      <c r="BT264" s="35" t="n"/>
      <c r="BU264" s="35" t="n"/>
      <c r="BV264" s="35" t="n"/>
      <c r="BW264" s="35" t="n"/>
      <c r="BX264" s="35" t="n"/>
      <c r="BY264" s="35" t="n"/>
      <c r="BZ264" s="35" t="n"/>
      <c r="CA264" s="35" t="n"/>
      <c r="CB264" s="35" t="n"/>
      <c r="CC264" s="35" t="n"/>
      <c r="CD264" s="35" t="n"/>
      <c r="CE264" s="35" t="n"/>
      <c r="CF264" s="35" t="n"/>
      <c r="CG264" s="35" t="n"/>
      <c r="CH264" s="35" t="n"/>
      <c r="CI264" s="35" t="n"/>
      <c r="CJ264" s="35" t="n"/>
      <c r="CK264" s="35" t="n"/>
      <c r="CL264" s="35" t="n"/>
      <c r="CM264" s="35" t="n"/>
      <c r="CN264" s="35" t="n"/>
      <c r="CO264" s="35" t="n"/>
      <c r="CP264" s="35" t="n"/>
      <c r="CQ264" s="35" t="n"/>
      <c r="CR264" s="35" t="n"/>
      <c r="CS264" s="35" t="n"/>
      <c r="CT264" s="35" t="n"/>
      <c r="CU264" s="35" t="n"/>
      <c r="CV264" s="35" t="n"/>
      <c r="CW264" s="35" t="n"/>
      <c r="CX264" s="35" t="n"/>
      <c r="CY264" s="35" t="n"/>
    </row>
    <row r="265">
      <c r="C265" s="18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n"/>
      <c r="BE265" s="3" t="n"/>
      <c r="BF265" s="3" t="n"/>
      <c r="BG265" s="3" t="n"/>
      <c r="BH265" s="3" t="n"/>
      <c r="BI265" s="3" t="n"/>
      <c r="BJ265" s="3" t="n"/>
      <c r="BK265" s="3" t="n"/>
      <c r="BL265" s="3" t="n"/>
      <c r="BM265" s="3" t="n"/>
      <c r="BN265" s="3" t="n"/>
      <c r="BO265" s="3" t="n"/>
      <c r="BP265" s="3" t="n"/>
      <c r="BQ265" s="3" t="n"/>
      <c r="BR265" s="3" t="n"/>
      <c r="BS265" s="3" t="n"/>
      <c r="BT265" s="3" t="n"/>
      <c r="BU265" s="3" t="n"/>
      <c r="BV265" s="3" t="n"/>
      <c r="BW265" s="3" t="n"/>
      <c r="BX265" s="3" t="n"/>
      <c r="BY265" s="3" t="n"/>
      <c r="BZ265" s="3" t="n"/>
      <c r="CA265" s="3" t="n"/>
      <c r="CB265" s="3" t="n"/>
      <c r="CC265" s="3" t="n"/>
      <c r="CD265" s="3" t="n"/>
      <c r="CE265" s="3" t="n"/>
      <c r="CF265" s="3" t="n"/>
      <c r="CG265" s="3" t="n"/>
      <c r="CH265" s="3" t="n"/>
      <c r="CI265" s="3" t="n"/>
      <c r="CJ265" s="3" t="n"/>
      <c r="CK265" s="3" t="n"/>
      <c r="CL265" s="3" t="n"/>
      <c r="CM265" s="3" t="n"/>
      <c r="CN265" s="3" t="n"/>
      <c r="CO265" s="3" t="n"/>
      <c r="CP265" s="3" t="n"/>
      <c r="CQ265" s="3" t="n"/>
      <c r="CR265" s="3" t="n"/>
      <c r="CS265" s="3" t="n"/>
      <c r="CT265" s="3" t="n"/>
      <c r="CU265" s="3" t="n"/>
      <c r="CV265" s="3" t="n"/>
      <c r="CW265" s="3" t="n"/>
      <c r="CX265" s="3" t="n"/>
      <c r="CY265" s="3" t="n"/>
    </row>
    <row r="266" customFormat="1" s="32">
      <c r="A266" s="30" t="n"/>
      <c r="B266" s="30" t="n"/>
      <c r="C266" s="31" t="inlineStr">
        <is>
          <t>Cash Flow Statement</t>
        </is>
      </c>
      <c r="D266" s="70" t="n"/>
      <c r="E266" s="70" t="n"/>
      <c r="F266" s="70" t="n"/>
      <c r="G266" s="70" t="n"/>
      <c r="H266" s="70" t="n"/>
      <c r="I266" s="70" t="str">
        <f>I133</f>
        <v>1Q21</v>
      </c>
      <c r="J266" s="70" t="str">
        <f>J133</f>
        <v>2Q21</v>
      </c>
      <c r="K266" s="70" t="str">
        <f>K133</f>
        <v>3Q21</v>
      </c>
      <c r="L266" s="70" t="str">
        <f>L133</f>
        <v>4Q21</v>
      </c>
      <c r="M266" s="70">
        <f>M133</f>
        <v>2021</v>
      </c>
      <c r="N266" s="70" t="str">
        <f>N133</f>
        <v>1Q22</v>
      </c>
      <c r="O266" s="70" t="str">
        <f>O133</f>
        <v>2Q22</v>
      </c>
      <c r="P266" s="70" t="str">
        <f>P133</f>
        <v>3Q22</v>
      </c>
      <c r="Q266" s="70" t="str">
        <f>Q133</f>
        <v>4Q22</v>
      </c>
      <c r="R266" s="70">
        <f>R133</f>
        <v>2022</v>
      </c>
      <c r="S266" s="70" t="str">
        <f>S133</f>
        <v>1Q23</v>
      </c>
      <c r="T266" s="70" t="str">
        <f>T133</f>
        <v>2Q23</v>
      </c>
      <c r="U266" s="70" t="str">
        <f>U133</f>
        <v>3Q23</v>
      </c>
      <c r="V266" s="70" t="str">
        <f>V133</f>
        <v>4Q23</v>
      </c>
      <c r="W266" s="70">
        <f>W133</f>
        <v>2023</v>
      </c>
      <c r="X266" s="70" t="str">
        <f>X133</f>
        <v>1Q24</v>
      </c>
      <c r="Y266" s="70" t="str">
        <f>Y133</f>
        <v>2Q24</v>
      </c>
      <c r="Z266" s="70" t="str">
        <f>Z133</f>
        <v>3Q24</v>
      </c>
      <c r="AA266" s="70" t="str">
        <f>AA133</f>
        <v>4Q24</v>
      </c>
      <c r="AB266" s="70">
        <f>AB133</f>
        <v>2024</v>
      </c>
      <c r="AC266" s="70" t="str">
        <f>AC133</f>
        <v>1Q25</v>
      </c>
      <c r="AD266" s="70" t="str">
        <f>AD133</f>
        <v>2Q25</v>
      </c>
      <c r="AE266" s="70" t="str">
        <f>AE133</f>
        <v>3Q25</v>
      </c>
      <c r="AF266" s="70" t="str">
        <f>AF133</f>
        <v>4Q25</v>
      </c>
      <c r="AG266" s="70">
        <f>AG133</f>
        <v>2025</v>
      </c>
      <c r="AH266" s="70" t="str">
        <f>AH133</f>
        <v>1Q26</v>
      </c>
      <c r="AI266" s="70" t="str">
        <f>AI133</f>
        <v>2Q26</v>
      </c>
      <c r="AJ266" s="70" t="str">
        <f>AJ133</f>
        <v>3Q26</v>
      </c>
      <c r="AK266" s="70" t="str">
        <f>AK133</f>
        <v>4Q26</v>
      </c>
      <c r="AL266" s="70">
        <f>AL133</f>
        <v>2026</v>
      </c>
      <c r="AM266" s="70" t="str">
        <f>AM133</f>
        <v>1Q27</v>
      </c>
      <c r="AN266" s="70" t="str">
        <f>AN133</f>
        <v>2Q27</v>
      </c>
      <c r="AO266" s="70" t="str">
        <f>AO133</f>
        <v>3Q27</v>
      </c>
      <c r="AP266" s="70" t="str">
        <f>AP133</f>
        <v>4Q27</v>
      </c>
      <c r="AQ266" s="70">
        <f>AQ133</f>
        <v>2027</v>
      </c>
      <c r="AR266" s="70" t="str">
        <f>AR133</f>
        <v>1Q28</v>
      </c>
      <c r="AS266" s="70" t="str">
        <f>AS133</f>
        <v>2Q28</v>
      </c>
      <c r="AT266" s="70" t="str">
        <f>AT133</f>
        <v>3Q28</v>
      </c>
      <c r="AU266" s="70" t="str">
        <f>AU133</f>
        <v>4Q28</v>
      </c>
      <c r="AV266" s="70">
        <f>AV133</f>
        <v>2028</v>
      </c>
      <c r="AW266" s="70" t="str">
        <f>AW133</f>
        <v>1Q29</v>
      </c>
      <c r="AX266" s="70" t="str">
        <f>AX133</f>
        <v>2Q29</v>
      </c>
      <c r="AY266" s="70" t="str">
        <f>AY133</f>
        <v>3Q29</v>
      </c>
      <c r="AZ266" s="70" t="str">
        <f>AZ133</f>
        <v>4Q29</v>
      </c>
      <c r="BA266" s="70">
        <f>BA133</f>
        <v>2029</v>
      </c>
      <c r="BB266" s="70" t="str">
        <f>BB133</f>
        <v>1Q30</v>
      </c>
      <c r="BC266" s="70" t="str">
        <f>BC133</f>
        <v>2Q30</v>
      </c>
      <c r="BD266" s="70" t="str">
        <f>BD133</f>
        <v>3Q30</v>
      </c>
      <c r="BE266" s="70" t="str">
        <f>BE133</f>
        <v>4Q30</v>
      </c>
      <c r="BF266" s="70">
        <f>BF133</f>
        <v>2030</v>
      </c>
      <c r="BG266" s="70" t="n"/>
      <c r="BH266" s="70" t="n"/>
      <c r="BI266" s="70" t="n"/>
      <c r="BJ266" s="70" t="n"/>
      <c r="BK266" s="70" t="n"/>
      <c r="BL266" s="70" t="n"/>
      <c r="BM266" s="70" t="n"/>
      <c r="BN266" s="70" t="n"/>
      <c r="BO266" s="70" t="n"/>
      <c r="BP266" s="70" t="n"/>
      <c r="BQ266" s="70" t="n"/>
      <c r="BR266" s="70" t="n"/>
      <c r="BS266" s="70" t="n"/>
      <c r="BT266" s="70" t="n"/>
      <c r="BU266" s="70" t="n"/>
      <c r="BV266" s="70" t="n"/>
      <c r="BW266" s="70" t="n"/>
      <c r="BX266" s="70" t="n"/>
      <c r="BY266" s="70" t="n"/>
      <c r="BZ266" s="70" t="n"/>
      <c r="CA266" s="70" t="n"/>
      <c r="CB266" s="70" t="n"/>
      <c r="CC266" s="70" t="n"/>
      <c r="CD266" s="70" t="n"/>
      <c r="CE266" s="70" t="n"/>
      <c r="CF266" s="70" t="n"/>
      <c r="CG266" s="70" t="n"/>
      <c r="CH266" s="70" t="n"/>
      <c r="CI266" s="70" t="n"/>
      <c r="CJ266" s="70" t="n"/>
      <c r="CK266" s="70" t="n"/>
      <c r="CL266" s="70" t="n"/>
      <c r="CM266" s="70" t="n"/>
      <c r="CN266" s="70" t="n"/>
      <c r="CO266" s="70" t="n"/>
      <c r="CP266" s="70" t="n"/>
      <c r="CQ266" s="70" t="n"/>
      <c r="CR266" s="70" t="n"/>
      <c r="CS266" s="70" t="n"/>
      <c r="CT266" s="70" t="n"/>
      <c r="CU266" s="70" t="n"/>
      <c r="CV266" s="70" t="n"/>
      <c r="CW266" s="70" t="n"/>
      <c r="CX266" s="70" t="n"/>
      <c r="CY266" s="70" t="n"/>
    </row>
    <row r="267">
      <c r="C267" s="18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10" t="inlineStr">
        <is>
          <t>Net Income</t>
        </is>
      </c>
      <c r="D268" s="12" t="n"/>
      <c r="E268" s="12" t="n"/>
      <c r="F268" s="12" t="n"/>
      <c r="G268" s="12" t="n"/>
      <c r="H268" s="12" t="n"/>
      <c r="I268" s="12" t="n"/>
      <c r="J268" s="12">
        <f>J128</f>
        <v>10394</v>
      </c>
      <c r="K268" s="12">
        <f>K128</f>
        <v>9194</v>
      </c>
      <c r="L268" s="12">
        <f>L128</f>
        <v>10285</v>
      </c>
      <c r="M268" s="12" t="n"/>
      <c r="N268" s="12">
        <f>N128</f>
        <v>7465</v>
      </c>
      <c r="O268" s="12">
        <f>O128</f>
        <v>6687</v>
      </c>
      <c r="P268" s="12">
        <f>P128</f>
        <v>4395</v>
      </c>
      <c r="Q268" s="12">
        <f>Q128</f>
        <v>4653</v>
      </c>
      <c r="R268" s="12">
        <f>SUM(N268:Q268)</f>
        <v>23200</v>
      </c>
      <c r="S268" s="12">
        <f>S128</f>
        <v>5709</v>
      </c>
      <c r="T268" s="12">
        <f>T128</f>
        <v>7788</v>
      </c>
      <c r="U268" s="12">
        <f>U128</f>
        <v>11583</v>
      </c>
      <c r="V268" s="12">
        <f>V128</f>
        <v>14017</v>
      </c>
      <c r="W268" s="12">
        <f>SUM(S268:V268)</f>
        <v>39097</v>
      </c>
      <c r="X268" s="12">
        <f>X128</f>
        <v>12369</v>
      </c>
      <c r="Y268" s="12">
        <f>Y128</f>
        <v>13465</v>
      </c>
      <c r="Z268" s="12">
        <f>Z128</f>
        <v>15688</v>
      </c>
      <c r="AA268" s="12">
        <f>AA128</f>
        <v>20838</v>
      </c>
      <c r="AB268" s="12">
        <f>SUM(X268:AA268)</f>
        <v>62360</v>
      </c>
      <c r="AC268" s="12">
        <f>AC128</f>
        <v>16644</v>
      </c>
      <c r="AD268" s="12">
        <f>AD128</f>
        <v>18337</v>
      </c>
      <c r="AE268" s="12">
        <f>AE128</f>
        <v>2709</v>
      </c>
      <c r="AF268" s="12">
        <f>AF128</f>
        <v>22768</v>
      </c>
      <c r="AG268" s="12">
        <f>SUM(AC268:AF268)</f>
        <v>60458</v>
      </c>
      <c r="AH268" s="12">
        <f>AH128</f>
        <v>26773</v>
      </c>
      <c r="AI268" s="12">
        <f>AI128</f>
        <v>15848</v>
      </c>
      <c r="AJ268" s="12">
        <f>AJ128</f>
        <v>21061.6829850057</v>
      </c>
      <c r="AK268" s="12">
        <f>AK128</f>
        <v>24617.4501194517</v>
      </c>
      <c r="AL268" s="12">
        <f>SUM(AH268:AK268)</f>
        <v>88300.1331044574</v>
      </c>
      <c r="AM268" s="12">
        <f>AM128</f>
        <v>23145.1627682107</v>
      </c>
      <c r="AN268" s="12">
        <f>AN128</f>
        <v>24990.6597551097</v>
      </c>
      <c r="AO268" s="12">
        <f>AO128</f>
        <v>26283.3836691313</v>
      </c>
      <c r="AP268" s="12">
        <f>AP128</f>
        <v>30720.7114885305</v>
      </c>
      <c r="AQ268" s="12">
        <f>SUM(AM268:AP268)</f>
        <v>105139.917680982</v>
      </c>
      <c r="AR268" s="12">
        <f>AR128</f>
        <v>28767.6826751417</v>
      </c>
      <c r="AS268" s="12">
        <f>AS128</f>
        <v>31061.495521857</v>
      </c>
      <c r="AT268" s="12">
        <f>AT128</f>
        <v>32668.2533449741</v>
      </c>
      <c r="AU268" s="12">
        <f>AU128</f>
        <v>38183.5154285651</v>
      </c>
      <c r="AV268" s="12">
        <f>SUM(AR268:AU268)</f>
        <v>130680.946970538</v>
      </c>
      <c r="AW268" s="12">
        <f>AW128</f>
        <v>35612.2102601858</v>
      </c>
      <c r="AX268" s="12">
        <f>AX128</f>
        <v>38451.7766693818</v>
      </c>
      <c r="AY268" s="12">
        <f>AY128</f>
        <v>40440.8210453297</v>
      </c>
      <c r="AZ268" s="12">
        <f>AZ128</f>
        <v>47268.2973901864</v>
      </c>
      <c r="BA268" s="12">
        <f>SUM(AW268:AZ268)</f>
        <v>161773.105365084</v>
      </c>
      <c r="BB268" s="12">
        <f>BB128</f>
        <v>43907.1554722937</v>
      </c>
      <c r="BC268" s="12">
        <f>BC128</f>
        <v>47408.1255859588</v>
      </c>
      <c r="BD268" s="12">
        <f>BD128</f>
        <v>49860.466511107</v>
      </c>
      <c r="BE268" s="12">
        <f>BE128</f>
        <v>58278.2272501021</v>
      </c>
      <c r="BF268" s="12">
        <f>SUM(BB268:BE268)</f>
        <v>199453.974819462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0" t="inlineStr">
        <is>
          <t>Depreciation &amp; amortization</t>
        </is>
      </c>
      <c r="D269" s="12" t="n"/>
      <c r="E269" s="12" t="n"/>
      <c r="F269" s="12" t="n"/>
      <c r="G269" s="12" t="n"/>
      <c r="H269" s="12" t="n"/>
      <c r="I269" s="12" t="n"/>
      <c r="J269" s="12">
        <f>-J61</f>
        <v>1986</v>
      </c>
      <c r="K269" s="12">
        <f>-K61</f>
        <v>1995</v>
      </c>
      <c r="L269" s="12">
        <f>-L61</f>
        <v>2014</v>
      </c>
      <c r="M269" s="12" t="n"/>
      <c r="N269" s="12">
        <f>-N61</f>
        <v>2156</v>
      </c>
      <c r="O269" s="12">
        <f>-O61</f>
        <v>1979</v>
      </c>
      <c r="P269" s="12">
        <f>-P61</f>
        <v>2175</v>
      </c>
      <c r="Q269" s="12">
        <f>-Q61</f>
        <v>2376</v>
      </c>
      <c r="R269" s="12">
        <f>SUM(N269:Q269)</f>
        <v>8686</v>
      </c>
      <c r="S269" s="12">
        <f>-S61</f>
        <v>2524</v>
      </c>
      <c r="T269" s="12">
        <f>-T61</f>
        <v>2623</v>
      </c>
      <c r="U269" s="12">
        <f>-U61</f>
        <v>2859</v>
      </c>
      <c r="V269" s="12">
        <f>-V61</f>
        <v>3172</v>
      </c>
      <c r="W269" s="12">
        <f>SUM(S269:V269)</f>
        <v>11178</v>
      </c>
      <c r="X269" s="12">
        <f>-X61</f>
        <v>3374</v>
      </c>
      <c r="Y269" s="12">
        <f>-Y61</f>
        <v>3637</v>
      </c>
      <c r="Z269" s="12">
        <f>-Z61</f>
        <v>4027</v>
      </c>
      <c r="AA269" s="12">
        <f>-AA61</f>
        <v>4460</v>
      </c>
      <c r="AB269" s="12">
        <f>SUM(X269:AA269)</f>
        <v>15498</v>
      </c>
      <c r="AC269" s="12">
        <f>-AC61</f>
        <v>3900</v>
      </c>
      <c r="AD269" s="12">
        <f>-AD61</f>
        <v>4342</v>
      </c>
      <c r="AE269" s="12">
        <f>-AE61</f>
        <v>4963</v>
      </c>
      <c r="AF269" s="12">
        <f>-AF61</f>
        <v>5411</v>
      </c>
      <c r="AG269" s="12">
        <f>SUM(AC269:AF269)</f>
        <v>18616</v>
      </c>
      <c r="AH269" s="12">
        <f>-AH61</f>
        <v>5999</v>
      </c>
      <c r="AI269" s="12">
        <f>-AI61</f>
        <v>6356</v>
      </c>
      <c r="AJ269" s="12">
        <f>-AJ61</f>
        <v>6200.82999660499</v>
      </c>
      <c r="AK269" s="12">
        <f>-AK61</f>
        <v>7247.69351287348</v>
      </c>
      <c r="AL269" s="12">
        <f>SUM(AH269:AK269)</f>
        <v>25803.5235094785</v>
      </c>
      <c r="AM269" s="12">
        <f>-AM61</f>
        <v>6814.2332059409</v>
      </c>
      <c r="AN269" s="12">
        <f>-AN61</f>
        <v>7357.5712232852</v>
      </c>
      <c r="AO269" s="12">
        <f>-AO61</f>
        <v>7738.16574790608</v>
      </c>
      <c r="AP269" s="12">
        <f>-AP61</f>
        <v>9044.57205299049</v>
      </c>
      <c r="AQ269" s="12">
        <f>SUM(AM269:AP269)</f>
        <v>30954.5422301227</v>
      </c>
      <c r="AR269" s="12">
        <f>-AR61</f>
        <v>8469.57528473996</v>
      </c>
      <c r="AS269" s="12">
        <f>-AS61</f>
        <v>9144.90324958666</v>
      </c>
      <c r="AT269" s="12">
        <f>-AT61</f>
        <v>9617.95339063937</v>
      </c>
      <c r="AU269" s="12">
        <f>-AU61</f>
        <v>11241.717388579</v>
      </c>
      <c r="AV269" s="12">
        <f>SUM(AR269:AU269)</f>
        <v>38474.149313545</v>
      </c>
      <c r="AW269" s="12">
        <f>-AW61</f>
        <v>10484.692119997</v>
      </c>
      <c r="AX269" s="12">
        <f>-AX61</f>
        <v>11320.6969435446</v>
      </c>
      <c r="AY269" s="12">
        <f>-AY61</f>
        <v>11906.2971560127</v>
      </c>
      <c r="AZ269" s="12">
        <f>-AZ61</f>
        <v>13916.3938871447</v>
      </c>
      <c r="BA269" s="12">
        <f>SUM(AW269:AZ269)</f>
        <v>47628.0801066991</v>
      </c>
      <c r="BB269" s="12">
        <f>-BB61</f>
        <v>12926.8305344842</v>
      </c>
      <c r="BC269" s="12">
        <f>-BC61</f>
        <v>13957.561103997</v>
      </c>
      <c r="BD269" s="12">
        <f>-BD61</f>
        <v>14679.5617713409</v>
      </c>
      <c r="BE269" s="12">
        <f>-BE61</f>
        <v>17157.8586544421</v>
      </c>
      <c r="BF269" s="12">
        <f>SUM(BB269:BE269)</f>
        <v>58721.8120642642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 xml:space="preserve">Changes in working capital </t>
        </is>
      </c>
      <c r="D270" s="12" t="n"/>
      <c r="E270" s="12" t="n"/>
      <c r="F270" s="12" t="n"/>
      <c r="G270" s="12" t="n"/>
      <c r="H270" s="12" t="n"/>
      <c r="I270" s="12" t="n"/>
      <c r="J270" s="12">
        <f>SUM(J271:J280)</f>
        <v>-1368</v>
      </c>
      <c r="K270" s="12">
        <f>SUM(K271:K280)</f>
        <v>2174</v>
      </c>
      <c r="L270" s="12">
        <f>SUM(L271:L280)</f>
        <v>1960</v>
      </c>
      <c r="M270" s="12" t="n"/>
      <c r="N270" s="12">
        <f>SUM(N271:N280)</f>
        <v>3212</v>
      </c>
      <c r="O270" s="12">
        <f>SUM(O271:O280)</f>
        <v>892</v>
      </c>
      <c r="P270" s="12">
        <f>SUM(P271:P280)</f>
        <v>-587</v>
      </c>
      <c r="Q270" s="12">
        <f>SUM(Q271:Q280)</f>
        <v>1991</v>
      </c>
      <c r="R270" s="12">
        <f>SUM(N270:Q270)</f>
        <v>5508</v>
      </c>
      <c r="S270" s="12">
        <f>SUM(S271:S280)</f>
        <v>2010</v>
      </c>
      <c r="T270" s="12">
        <f>SUM(T271:T280)</f>
        <v>3553</v>
      </c>
      <c r="U270" s="12">
        <f>SUM(U271:U280)</f>
        <v>-595</v>
      </c>
      <c r="V270" s="12">
        <f>SUM(V271:V280)</f>
        <v>-1441</v>
      </c>
      <c r="W270" s="12">
        <f>SUM(S270:V270)</f>
        <v>3527</v>
      </c>
      <c r="X270" s="12">
        <f>SUM(X271:X280)</f>
        <v>-1160</v>
      </c>
      <c r="Y270" s="12">
        <f>SUM(Y271:Y280)</f>
        <v>-2479</v>
      </c>
      <c r="Z270" s="12">
        <f>SUM(Z271:Z280)</f>
        <v>4411</v>
      </c>
      <c r="AA270" s="12">
        <f>SUM(AA271:AA280)</f>
        <v>-1723</v>
      </c>
      <c r="AB270" s="12">
        <f>SUM(X270:AA270)</f>
        <v>-951</v>
      </c>
      <c r="AC270" s="12">
        <f>SUM(AC271:AC280)</f>
        <v>2493</v>
      </c>
      <c r="AD270" s="12">
        <f>SUM(AD271:AD280)</f>
        <v>-3131</v>
      </c>
      <c r="AE270" s="12">
        <f>SUM(AE271:AE280)</f>
        <v>-2611</v>
      </c>
      <c r="AF270" s="12">
        <f>SUM(AF271:AF280)</f>
        <v>6318</v>
      </c>
      <c r="AG270" s="12">
        <f>SUM(AC270:AF270)</f>
        <v>3069</v>
      </c>
      <c r="AH270" s="12">
        <f>SUM(AH271:AH280)</f>
        <v>3261</v>
      </c>
      <c r="AI270" s="12">
        <f>SUM(AI271:AI280)</f>
        <v>2985</v>
      </c>
      <c r="AJ270" s="12">
        <f>SUM(AJ271:AJ280)</f>
        <v>6716.12074902423</v>
      </c>
      <c r="AK270" s="12">
        <f>SUM(AK271:AK280)</f>
        <v>10327.7283496761</v>
      </c>
      <c r="AL270" s="12">
        <f>SUM(AH270:AK270)</f>
        <v>23289.8490987004</v>
      </c>
      <c r="AM270" s="12">
        <f>SUM(AM271:AM280)</f>
        <v>15087.1764433286</v>
      </c>
      <c r="AN270" s="12">
        <f>SUM(AN271:AN280)</f>
        <v>17685.9537974044</v>
      </c>
      <c r="AO270" s="12">
        <f>SUM(AO271:AO280)</f>
        <v>22472.5096797583</v>
      </c>
      <c r="AP270" s="12">
        <f>SUM(AP271:AP280)</f>
        <v>26753.2892900912</v>
      </c>
      <c r="AQ270" s="12">
        <f>SUM(AM270:AP270)</f>
        <v>81998.9292105824</v>
      </c>
      <c r="AR270" s="12">
        <f>SUM(AR271:AR280)</f>
        <v>35591.2993765728</v>
      </c>
      <c r="AS270" s="12">
        <f>SUM(AS271:AS280)</f>
        <v>42462.9046712431</v>
      </c>
      <c r="AT270" s="12">
        <f>SUM(AT271:AT280)</f>
        <v>53437.189021423</v>
      </c>
      <c r="AU270" s="12">
        <f>SUM(AU271:AU280)</f>
        <v>64811.5549315218</v>
      </c>
      <c r="AV270" s="12">
        <f>SUM(AR270:AU270)</f>
        <v>196302.948000761</v>
      </c>
      <c r="AW270" s="12">
        <f>SUM(AW271:AW280)</f>
        <v>82359.6567492732</v>
      </c>
      <c r="AX270" s="12">
        <f>SUM(AX271:AX280)</f>
        <v>100049.971198612</v>
      </c>
      <c r="AY270" s="12">
        <f>SUM(AY271:AY280)</f>
        <v>124462.406890171</v>
      </c>
      <c r="AZ270" s="12">
        <f>SUM(AZ271:AZ280)</f>
        <v>152082.710636578</v>
      </c>
      <c r="BA270" s="12">
        <f>SUM(AW270:AZ270)</f>
        <v>458954.745474634</v>
      </c>
      <c r="BB270" s="12">
        <f>SUM(BB271:BB280)</f>
        <v>188654.998696748</v>
      </c>
      <c r="BC270" s="12">
        <f>SUM(BC271:BC280)</f>
        <v>230157.076714217</v>
      </c>
      <c r="BD270" s="12">
        <f>SUM(BD271:BD280)</f>
        <v>284509.79448129</v>
      </c>
      <c r="BE270" s="12">
        <f>SUM(BE271:BE280)</f>
        <v>348318.700368276</v>
      </c>
      <c r="BF270" s="12">
        <f>SUM(BB270:BE270)</f>
        <v>1051640.57026053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Accounts receivable</t>
        </is>
      </c>
      <c r="D271" s="12" t="n"/>
      <c r="E271" s="12" t="n"/>
      <c r="F271" s="12" t="n"/>
      <c r="G271" s="12" t="n"/>
      <c r="H271" s="12" t="n"/>
      <c r="I271" s="12" t="n"/>
      <c r="J271" s="12">
        <f>(J136-I136)*-1</f>
        <v>-1422</v>
      </c>
      <c r="K271" s="12">
        <f>(K136-J136)*-1</f>
        <v>-390</v>
      </c>
      <c r="L271" s="12">
        <f>(L136-K136)*-1</f>
        <v>-1951</v>
      </c>
      <c r="M271" s="12" t="n"/>
      <c r="N271" s="12">
        <f>(N136-M136)*-1</f>
        <v>2649</v>
      </c>
      <c r="O271" s="12">
        <f>(O136-N136)*-1</f>
        <v>-135</v>
      </c>
      <c r="P271" s="12">
        <f>(P136-O136)*-1</f>
        <v>298</v>
      </c>
      <c r="Q271" s="12">
        <f>(Q136-P136)*-1</f>
        <v>-2239</v>
      </c>
      <c r="R271" s="12">
        <f>SUM(N271:Q271)</f>
        <v>573</v>
      </c>
      <c r="S271" s="12">
        <f>(S136-R136)*-1</f>
        <v>2422</v>
      </c>
      <c r="T271" s="12">
        <f>(T136-S136)*-1</f>
        <v>-1467</v>
      </c>
      <c r="U271" s="12">
        <f>(U136-T136)*-1</f>
        <v>-433</v>
      </c>
      <c r="V271" s="12">
        <f>(V136-U136)*-1</f>
        <v>-3225</v>
      </c>
      <c r="W271" s="12">
        <f>SUM(S271:V271)</f>
        <v>-2703</v>
      </c>
      <c r="X271" s="12">
        <f>(X136-W136)*-1</f>
        <v>2739</v>
      </c>
      <c r="Y271" s="12">
        <f>(Y136-X136)*-1</f>
        <v>-1075</v>
      </c>
      <c r="Z271" s="12">
        <f>(Z136-Y136)*-1</f>
        <v>-195</v>
      </c>
      <c r="AA271" s="12">
        <f>(AA136-Z136)*-1</f>
        <v>-2294</v>
      </c>
      <c r="AB271" s="12">
        <f>SUM(X271:AA271)</f>
        <v>-825</v>
      </c>
      <c r="AC271" s="12">
        <f>(AC136-AB136)*-1</f>
        <v>2480</v>
      </c>
      <c r="AD271" s="12">
        <f>(AD136-AC136)*-1</f>
        <v>-2047</v>
      </c>
      <c r="AE271" s="12">
        <f>(AE136-AD136)*-1</f>
        <v>-736</v>
      </c>
      <c r="AF271" s="12">
        <f>(AF136-AE136)*-1</f>
        <v>-2472</v>
      </c>
      <c r="AG271" s="12">
        <f>SUM(AC271:AF271)</f>
        <v>-2775</v>
      </c>
      <c r="AH271" s="12">
        <f>(AH136-AG136)*-1</f>
        <v>2299</v>
      </c>
      <c r="AI271" s="12">
        <f>(AI136-AH136)*-1</f>
        <v>-4282</v>
      </c>
      <c r="AJ271" s="12">
        <f>(AJ136-AI136)*-1</f>
        <v>380.245502248155</v>
      </c>
      <c r="AK271" s="12">
        <f>(AK136-AJ136)*-1</f>
        <v>-3608.11537723062</v>
      </c>
      <c r="AL271" s="12">
        <f>SUM(AH271:AK271)</f>
        <v>-5210.86987498247</v>
      </c>
      <c r="AM271" s="12">
        <f>(AM136-AL136)*-1</f>
        <v>972.053411034231</v>
      </c>
      <c r="AN271" s="12">
        <f>(AN136-AM136)*-1</f>
        <v>-1629.42311159709</v>
      </c>
      <c r="AO271" s="12">
        <f>(AO136-AN136)*-1</f>
        <v>-1033.08983482506</v>
      </c>
      <c r="AP271" s="12">
        <f>(AP136-AO136)*-1</f>
        <v>-4502.65445784931</v>
      </c>
      <c r="AQ271" s="12">
        <f>SUM(AM271:AP271)</f>
        <v>-6193.11399323723</v>
      </c>
      <c r="AR271" s="12">
        <f>(AR136-AQ136)*-1</f>
        <v>1660.99899054654</v>
      </c>
      <c r="AS271" s="12">
        <f>(AS136-AR136)*-1</f>
        <v>-2353.16034346313</v>
      </c>
      <c r="AT271" s="12">
        <f>(AT136-AS136)*-1</f>
        <v>-1284.05234565821</v>
      </c>
      <c r="AU271" s="12">
        <f>(AU136-AT136)*-1</f>
        <v>-5596.45814274109</v>
      </c>
      <c r="AV271" s="12">
        <f>SUM(AR271:AU271)</f>
        <v>-7572.67184131589</v>
      </c>
      <c r="AW271" s="12">
        <f>(AW136-AV136)*-1</f>
        <v>1806.12686006232</v>
      </c>
      <c r="AX271" s="12">
        <f>(AX136-AW136)*-1</f>
        <v>-2507.1052225522</v>
      </c>
      <c r="AY271" s="12">
        <f>(AY136-AX136)*-1</f>
        <v>-1589.55945930877</v>
      </c>
      <c r="AZ271" s="12">
        <f>(AZ136-AY136)*-1</f>
        <v>-6927.99091057282</v>
      </c>
      <c r="BA271" s="12">
        <f>SUM(AW271:AZ271)</f>
        <v>-9218.52873237147</v>
      </c>
      <c r="BB271" s="12">
        <f>(BB136-BA136)*-1</f>
        <v>2420.54577367241</v>
      </c>
      <c r="BC271" s="12">
        <f>(BC136-BB136)*-1</f>
        <v>-3091.0706745733</v>
      </c>
      <c r="BD271" s="12">
        <f>(BD136-BC136)*-1</f>
        <v>-1959.80630807276</v>
      </c>
      <c r="BE271" s="12">
        <f>(BE136-BD136)*-1</f>
        <v>-8541.68757846628</v>
      </c>
      <c r="BF271" s="12">
        <f>SUM(BB271:BE271)</f>
        <v>-11172.0187874399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Inventories</t>
        </is>
      </c>
      <c r="D272" s="12" t="n"/>
      <c r="E272" s="12" t="n"/>
      <c r="F272" s="12" t="n"/>
      <c r="G272" s="12" t="n"/>
      <c r="H272" s="12" t="n"/>
      <c r="I272" s="12" t="n"/>
      <c r="J272" s="12">
        <f>(J140-I140)*-1</f>
        <v>0</v>
      </c>
      <c r="K272" s="12">
        <f>(K140-J140)*-1</f>
        <v>0</v>
      </c>
      <c r="L272" s="12">
        <f>(L140-K140)*-1</f>
        <v>0</v>
      </c>
      <c r="M272" s="12" t="n"/>
      <c r="N272" s="12">
        <f>(N140-M140)*-1</f>
        <v>0</v>
      </c>
      <c r="O272" s="12">
        <f>(O140-N140)*-1</f>
        <v>0</v>
      </c>
      <c r="P272" s="12">
        <f>(P140-O140)*-1</f>
        <v>0</v>
      </c>
      <c r="Q272" s="12">
        <f>(Q140-P140)*-1</f>
        <v>0</v>
      </c>
      <c r="R272" s="12">
        <f>SUM(N272:Q272)</f>
        <v>0</v>
      </c>
      <c r="S272" s="12">
        <f>(S140-R140)*-1</f>
        <v>0</v>
      </c>
      <c r="T272" s="12">
        <f>(T140-S140)*-1</f>
        <v>0</v>
      </c>
      <c r="U272" s="12">
        <f>(U140-T140)*-1</f>
        <v>0</v>
      </c>
      <c r="V272" s="12">
        <f>(V140-U140)*-1</f>
        <v>0</v>
      </c>
      <c r="W272" s="12">
        <f>SUM(S272:V272)</f>
        <v>0</v>
      </c>
      <c r="X272" s="12">
        <f>(X140-W140)*-1</f>
        <v>0</v>
      </c>
      <c r="Y272" s="12">
        <f>(Y140-X140)*-1</f>
        <v>0</v>
      </c>
      <c r="Z272" s="12">
        <f>(Z140-Y140)*-1</f>
        <v>0</v>
      </c>
      <c r="AA272" s="12">
        <f>(AA140-Z140)*-1</f>
        <v>0</v>
      </c>
      <c r="AB272" s="12">
        <f>SUM(X272:AA272)</f>
        <v>0</v>
      </c>
      <c r="AC272" s="12">
        <f>(AC140-AB140)*-1</f>
        <v>0</v>
      </c>
      <c r="AD272" s="12">
        <f>(AD140-AC140)*-1</f>
        <v>0</v>
      </c>
      <c r="AE272" s="12">
        <f>(AE140-AD140)*-1</f>
        <v>0</v>
      </c>
      <c r="AF272" s="12">
        <f>(AF140-AE140)*-1</f>
        <v>0</v>
      </c>
      <c r="AG272" s="12">
        <f>SUM(AC272:AF272)</f>
        <v>0</v>
      </c>
      <c r="AH272" s="12">
        <f>(AH140-AG140)*-1</f>
        <v>0</v>
      </c>
      <c r="AI272" s="12">
        <f>(AI140-AH140)*-1</f>
        <v>0</v>
      </c>
      <c r="AJ272" s="12">
        <f>(AJ140-AI140)*-1</f>
        <v>0</v>
      </c>
      <c r="AK272" s="12">
        <f>(AK140-AJ140)*-1</f>
        <v>0</v>
      </c>
      <c r="AL272" s="12">
        <f>SUM(AH272:AK272)</f>
        <v>0</v>
      </c>
      <c r="AM272" s="12">
        <f>(AM140-AL140)*-1</f>
        <v>0</v>
      </c>
      <c r="AN272" s="12">
        <f>(AN140-AM140)*-1</f>
        <v>0</v>
      </c>
      <c r="AO272" s="12">
        <f>(AO140-AN140)*-1</f>
        <v>0</v>
      </c>
      <c r="AP272" s="12">
        <f>(AP140-AO140)*-1</f>
        <v>0</v>
      </c>
      <c r="AQ272" s="12">
        <f>SUM(AM272:AP272)</f>
        <v>0</v>
      </c>
      <c r="AR272" s="12">
        <f>(AR140-AQ140)*-1</f>
        <v>0</v>
      </c>
      <c r="AS272" s="12">
        <f>(AS140-AR140)*-1</f>
        <v>0</v>
      </c>
      <c r="AT272" s="12">
        <f>(AT140-AS140)*-1</f>
        <v>0</v>
      </c>
      <c r="AU272" s="12">
        <f>(AU140-AT140)*-1</f>
        <v>0</v>
      </c>
      <c r="AV272" s="12">
        <f>SUM(AR272:AU272)</f>
        <v>0</v>
      </c>
      <c r="AW272" s="12">
        <f>(AW140-AV140)*-1</f>
        <v>0</v>
      </c>
      <c r="AX272" s="12">
        <f>(AX140-AW140)*-1</f>
        <v>0</v>
      </c>
      <c r="AY272" s="12">
        <f>(AY140-AX140)*-1</f>
        <v>0</v>
      </c>
      <c r="AZ272" s="12">
        <f>(AZ140-AY140)*-1</f>
        <v>0</v>
      </c>
      <c r="BA272" s="12">
        <f>SUM(AW272:AZ272)</f>
        <v>0</v>
      </c>
      <c r="BB272" s="12">
        <f>(BB140-BA140)*-1</f>
        <v>0</v>
      </c>
      <c r="BC272" s="12">
        <f>(BC140-BB140)*-1</f>
        <v>0</v>
      </c>
      <c r="BD272" s="12">
        <f>(BD140-BC140)*-1</f>
        <v>0</v>
      </c>
      <c r="BE272" s="12">
        <f>(BE140-BD140)*-1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Deferred income taxes</t>
        </is>
      </c>
      <c r="D273" s="12" t="n"/>
      <c r="E273" s="12" t="n"/>
      <c r="F273" s="12" t="n"/>
      <c r="G273" s="12" t="n"/>
      <c r="H273" s="12" t="n"/>
      <c r="I273" s="12" t="n"/>
      <c r="J273" s="12">
        <f>(J144-I144)*-1</f>
        <v>0</v>
      </c>
      <c r="K273" s="12">
        <f>(K144-J144)*-1</f>
        <v>0</v>
      </c>
      <c r="L273" s="12">
        <f>(L144-K144)*-1</f>
        <v>0</v>
      </c>
      <c r="M273" s="12" t="n"/>
      <c r="N273" s="12">
        <f>(N144-M144)*-1</f>
        <v>0</v>
      </c>
      <c r="O273" s="12">
        <f>(O144-N144)*-1</f>
        <v>0</v>
      </c>
      <c r="P273" s="12">
        <f>(P144-O144)*-1</f>
        <v>0</v>
      </c>
      <c r="Q273" s="12">
        <f>(Q144-P144)*-1</f>
        <v>0</v>
      </c>
      <c r="R273" s="12">
        <f>SUM(N273:Q273)</f>
        <v>0</v>
      </c>
      <c r="S273" s="12">
        <f>(S144-R144)*-1</f>
        <v>0</v>
      </c>
      <c r="T273" s="12">
        <f>(T144-S144)*-1</f>
        <v>0</v>
      </c>
      <c r="U273" s="12">
        <f>(U144-T144)*-1</f>
        <v>0</v>
      </c>
      <c r="V273" s="12">
        <f>(V144-U144)*-1</f>
        <v>0</v>
      </c>
      <c r="W273" s="12">
        <f>SUM(S273:V273)</f>
        <v>0</v>
      </c>
      <c r="X273" s="12">
        <f>(X144-W144)*-1</f>
        <v>0</v>
      </c>
      <c r="Y273" s="12">
        <f>(Y144-X144)*-1</f>
        <v>0</v>
      </c>
      <c r="Z273" s="12">
        <f>(Z144-Y144)*-1</f>
        <v>0</v>
      </c>
      <c r="AA273" s="12">
        <f>(AA144-Z144)*-1</f>
        <v>0</v>
      </c>
      <c r="AB273" s="12">
        <f>SUM(X273:AA273)</f>
        <v>0</v>
      </c>
      <c r="AC273" s="12">
        <f>(AC144-AB144)*-1</f>
        <v>0</v>
      </c>
      <c r="AD273" s="12">
        <f>(AD144-AC144)*-1</f>
        <v>0</v>
      </c>
      <c r="AE273" s="12">
        <f>(AE144-AD144)*-1</f>
        <v>0</v>
      </c>
      <c r="AF273" s="12">
        <f>(AF144-AE144)*-1</f>
        <v>0</v>
      </c>
      <c r="AG273" s="12">
        <f>SUM(AC273:AF273)</f>
        <v>0</v>
      </c>
      <c r="AH273" s="12">
        <f>(AH144-AG144)*-1</f>
        <v>0</v>
      </c>
      <c r="AI273" s="12">
        <f>(AI144-AH144)*-1</f>
        <v>0</v>
      </c>
      <c r="AJ273" s="12">
        <f>(AJ144-AI144)*-1</f>
        <v>0</v>
      </c>
      <c r="AK273" s="12">
        <f>(AK144-AJ144)*-1</f>
        <v>0</v>
      </c>
      <c r="AL273" s="12">
        <f>SUM(AH273:AK273)</f>
        <v>0</v>
      </c>
      <c r="AM273" s="12">
        <f>(AM144-AL144)*-1</f>
        <v>0</v>
      </c>
      <c r="AN273" s="12">
        <f>(AN144-AM144)*-1</f>
        <v>0</v>
      </c>
      <c r="AO273" s="12">
        <f>(AO144-AN144)*-1</f>
        <v>0</v>
      </c>
      <c r="AP273" s="12">
        <f>(AP144-AO144)*-1</f>
        <v>0</v>
      </c>
      <c r="AQ273" s="12">
        <f>SUM(AM273:AP273)</f>
        <v>0</v>
      </c>
      <c r="AR273" s="12">
        <f>(AR144-AQ144)*-1</f>
        <v>0</v>
      </c>
      <c r="AS273" s="12">
        <f>(AS144-AR144)*-1</f>
        <v>0</v>
      </c>
      <c r="AT273" s="12">
        <f>(AT144-AS144)*-1</f>
        <v>0</v>
      </c>
      <c r="AU273" s="12">
        <f>(AU144-AT144)*-1</f>
        <v>0</v>
      </c>
      <c r="AV273" s="12">
        <f>SUM(AR273:AU273)</f>
        <v>0</v>
      </c>
      <c r="AW273" s="12">
        <f>(AW144-AV144)*-1</f>
        <v>0</v>
      </c>
      <c r="AX273" s="12">
        <f>(AX144-AW144)*-1</f>
        <v>0</v>
      </c>
      <c r="AY273" s="12">
        <f>(AY144-AX144)*-1</f>
        <v>0</v>
      </c>
      <c r="AZ273" s="12">
        <f>(AZ144-AY144)*-1</f>
        <v>0</v>
      </c>
      <c r="BA273" s="12">
        <f>SUM(AW273:AZ273)</f>
        <v>0</v>
      </c>
      <c r="BB273" s="12">
        <f>(BB144-BA144)*-1</f>
        <v>0</v>
      </c>
      <c r="BC273" s="12">
        <f>(BC144-BB144)*-1</f>
        <v>0</v>
      </c>
      <c r="BD273" s="12">
        <f>(BD144-BC144)*-1</f>
        <v>0</v>
      </c>
      <c r="BE273" s="12">
        <f>(BE144-BD144)*-1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Prepaid expenses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0</v>
      </c>
      <c r="K274" s="12">
        <f>(K145-J145)*-1</f>
        <v>0</v>
      </c>
      <c r="L274" s="12">
        <f>(L145-K145)*-1</f>
        <v>0</v>
      </c>
      <c r="M274" s="12" t="n"/>
      <c r="N274" s="12">
        <f>(N145-M145)*-1</f>
        <v>0</v>
      </c>
      <c r="O274" s="12">
        <f>(O145-N145)*-1</f>
        <v>0</v>
      </c>
      <c r="P274" s="12">
        <f>(P145-O145)*-1</f>
        <v>0</v>
      </c>
      <c r="Q274" s="12">
        <f>(Q145-P145)*-1</f>
        <v>0</v>
      </c>
      <c r="R274" s="12">
        <f>SUM(N274:Q274)</f>
        <v>0</v>
      </c>
      <c r="S274" s="12">
        <f>(S145-R145)*-1</f>
        <v>0</v>
      </c>
      <c r="T274" s="12">
        <f>(T145-S145)*-1</f>
        <v>0</v>
      </c>
      <c r="U274" s="12">
        <f>(U145-T145)*-1</f>
        <v>0</v>
      </c>
      <c r="V274" s="12">
        <f>(V145-U145)*-1</f>
        <v>0</v>
      </c>
      <c r="W274" s="12">
        <f>SUM(S274:V274)</f>
        <v>0</v>
      </c>
      <c r="X274" s="12">
        <f>(X145-W145)*-1</f>
        <v>0</v>
      </c>
      <c r="Y274" s="12">
        <f>(Y145-X145)*-1</f>
        <v>0</v>
      </c>
      <c r="Z274" s="12">
        <f>(Z145-Y145)*-1</f>
        <v>0</v>
      </c>
      <c r="AA274" s="12">
        <f>(AA145-Z145)*-1</f>
        <v>0</v>
      </c>
      <c r="AB274" s="12">
        <f>SUM(X274:AA274)</f>
        <v>0</v>
      </c>
      <c r="AC274" s="12">
        <f>(AC145-AB145)*-1</f>
        <v>0</v>
      </c>
      <c r="AD274" s="12">
        <f>(AD145-AC145)*-1</f>
        <v>0</v>
      </c>
      <c r="AE274" s="12">
        <f>(AE145-AD145)*-1</f>
        <v>0</v>
      </c>
      <c r="AF274" s="12">
        <f>(AF145-AE145)*-1</f>
        <v>0</v>
      </c>
      <c r="AG274" s="12">
        <f>SUM(AC274:AF274)</f>
        <v>0</v>
      </c>
      <c r="AH274" s="12">
        <f>(AH145-AG145)*-1</f>
        <v>0</v>
      </c>
      <c r="AI274" s="12">
        <f>(AI145-AH145)*-1</f>
        <v>0</v>
      </c>
      <c r="AJ274" s="12">
        <f>(AJ145-AI145)*-1</f>
        <v>0</v>
      </c>
      <c r="AK274" s="12">
        <f>(AK145-AJ145)*-1</f>
        <v>0</v>
      </c>
      <c r="AL274" s="12">
        <f>SUM(AH274:AK274)</f>
        <v>0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Other current assets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-2092</v>
      </c>
      <c r="K275" s="12">
        <f>(K146-J146)*-1</f>
        <v>-339</v>
      </c>
      <c r="L275" s="12">
        <f>(L146-K146)*-1</f>
        <v>629</v>
      </c>
      <c r="M275" s="12" t="n"/>
      <c r="N275" s="12">
        <f>(N146-M146)*-1</f>
        <v>644</v>
      </c>
      <c r="O275" s="12">
        <f>(O146-N146)*-1</f>
        <v>12</v>
      </c>
      <c r="P275" s="12">
        <f>(P146-O146)*-1</f>
        <v>-1339</v>
      </c>
      <c r="Q275" s="12">
        <f>(Q146-P146)*-1</f>
        <v>-33</v>
      </c>
      <c r="R275" s="12">
        <f>SUM(N275:Q275)</f>
        <v>-716</v>
      </c>
      <c r="S275" s="12">
        <f>(S146-R146)*-1</f>
        <v>1345</v>
      </c>
      <c r="T275" s="12">
        <f>(T146-S146)*-1</f>
        <v>397</v>
      </c>
      <c r="U275" s="12">
        <f>(U146-T146)*-1</f>
        <v>-708</v>
      </c>
      <c r="V275" s="12">
        <f>(V146-U146)*-1</f>
        <v>518</v>
      </c>
      <c r="W275" s="12">
        <f>SUM(S275:V275)</f>
        <v>1552</v>
      </c>
      <c r="X275" s="12">
        <f>(X146-W146)*-1</f>
        <v>13</v>
      </c>
      <c r="Y275" s="12">
        <f>(Y146-X146)*-1</f>
        <v>-66</v>
      </c>
      <c r="Z275" s="12">
        <f>(Z146-Y146)*-1</f>
        <v>-1621</v>
      </c>
      <c r="AA275" s="12">
        <f>(AA146-Z146)*-1</f>
        <v>231</v>
      </c>
      <c r="AB275" s="12">
        <f>SUM(X275:AA275)</f>
        <v>-1443</v>
      </c>
      <c r="AC275" s="12">
        <f>(AC146-AB146)*-1</f>
        <v>-247</v>
      </c>
      <c r="AD275" s="12">
        <f>(AD146-AC146)*-1</f>
        <v>-4498</v>
      </c>
      <c r="AE275" s="12">
        <f>(AE146-AD146)*-1</f>
        <v>-1392</v>
      </c>
      <c r="AF275" s="12">
        <f>(AF146-AE146)*-1</f>
        <v>4012</v>
      </c>
      <c r="AG275" s="12">
        <f>SUM(AC275:AF275)</f>
        <v>-2125</v>
      </c>
      <c r="AH275" s="12">
        <f>(AH146-AG146)*-1</f>
        <v>-3754</v>
      </c>
      <c r="AI275" s="12">
        <f>(AI146-AH146)*-1</f>
        <v>-2348</v>
      </c>
      <c r="AJ275" s="12">
        <f>(AJ146-AI146)*-1</f>
        <v>0</v>
      </c>
      <c r="AK275" s="12">
        <f>(AK146-AJ146)*-1</f>
        <v>0</v>
      </c>
      <c r="AL275" s="12">
        <f>SUM(AH275:AK275)</f>
        <v>-6102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Accounts payable</t>
        </is>
      </c>
      <c r="D276" s="12" t="n"/>
      <c r="E276" s="12" t="n"/>
      <c r="F276" s="12" t="n"/>
      <c r="G276" s="12" t="n"/>
      <c r="H276" s="12" t="n"/>
      <c r="I276" s="12" t="n"/>
      <c r="J276" s="12">
        <f>J189-I189</f>
        <v>95</v>
      </c>
      <c r="K276" s="12">
        <f>K189-J189</f>
        <v>1222</v>
      </c>
      <c r="L276" s="12">
        <f>L189-K189</f>
        <v>1888</v>
      </c>
      <c r="M276" s="12" t="n"/>
      <c r="N276" s="12">
        <f>N189-M189</f>
        <v>-837</v>
      </c>
      <c r="O276" s="12">
        <f>O189-N189</f>
        <v>762</v>
      </c>
      <c r="P276" s="12">
        <f>P189-O189</f>
        <v>-137</v>
      </c>
      <c r="Q276" s="12">
        <f>Q189-P189</f>
        <v>1119</v>
      </c>
      <c r="R276" s="12">
        <f>SUM(N276:Q276)</f>
        <v>907</v>
      </c>
      <c r="S276" s="12">
        <f>S189-R189</f>
        <v>-1318</v>
      </c>
      <c r="T276" s="12">
        <f>T189-S189</f>
        <v>-579</v>
      </c>
      <c r="U276" s="12">
        <f>U189-T189</f>
        <v>1279</v>
      </c>
      <c r="V276" s="12">
        <f>V189-U189</f>
        <v>477</v>
      </c>
      <c r="W276" s="12">
        <f>SUM(S276:V276)</f>
        <v>-141</v>
      </c>
      <c r="X276" s="12">
        <f>X189-W189</f>
        <v>-1064</v>
      </c>
      <c r="Y276" s="12">
        <f>Y189-X189</f>
        <v>-612</v>
      </c>
      <c r="Z276" s="12">
        <f>Z189-Y189</f>
        <v>4483</v>
      </c>
      <c r="AA276" s="12">
        <f>AA189-Z189</f>
        <v>31</v>
      </c>
      <c r="AB276" s="12">
        <f>SUM(X276:AA276)</f>
        <v>2838</v>
      </c>
      <c r="AC276" s="12">
        <f>AC189-AB189</f>
        <v>825</v>
      </c>
      <c r="AD276" s="12">
        <f>AD189-AC189</f>
        <v>1759</v>
      </c>
      <c r="AE276" s="12">
        <f>AE189-AD189</f>
        <v>-2473</v>
      </c>
      <c r="AF276" s="12">
        <f>AF189-AE189</f>
        <v>1096</v>
      </c>
      <c r="AG276" s="12">
        <f>SUM(AC276:AF276)</f>
        <v>1207</v>
      </c>
      <c r="AH276" s="12">
        <f>AH189-AG189</f>
        <v>4432</v>
      </c>
      <c r="AI276" s="12">
        <f>AI189-AH189</f>
        <v>2563</v>
      </c>
      <c r="AJ276" s="12">
        <f>AJ189-AI189</f>
        <v>-3101.35902755743</v>
      </c>
      <c r="AK276" s="12">
        <f>AK189-AJ189</f>
        <v>2158.89079373562</v>
      </c>
      <c r="AL276" s="12">
        <f>SUM(AH276:AK276)</f>
        <v>6052.5317661782</v>
      </c>
      <c r="AM276" s="12">
        <f>AM189-AL189</f>
        <v>-581.621411927199</v>
      </c>
      <c r="AN276" s="12">
        <f>AN189-AM189</f>
        <v>974.954009765354</v>
      </c>
      <c r="AO276" s="12">
        <f>AO189-AN189</f>
        <v>618.142132477355</v>
      </c>
      <c r="AP276" s="12">
        <f>AP189-AO189</f>
        <v>2694.13204404916</v>
      </c>
      <c r="AQ276" s="12">
        <f>SUM(AM276:AP276)</f>
        <v>3705.60677436467</v>
      </c>
      <c r="AR276" s="12">
        <f>AR189-AQ189</f>
        <v>-993.847217781444</v>
      </c>
      <c r="AS276" s="12">
        <f>AS189-AR189</f>
        <v>1407.99715933297</v>
      </c>
      <c r="AT276" s="12">
        <f>AT189-AS189</f>
        <v>768.30380902172</v>
      </c>
      <c r="AU276" s="12">
        <f>AU189-AT189</f>
        <v>3348.60188732769</v>
      </c>
      <c r="AV276" s="12">
        <f>SUM(AR276:AU276)</f>
        <v>4531.05563790094</v>
      </c>
      <c r="AW276" s="12">
        <f>AW189-AV189</f>
        <v>-1080.68347124199</v>
      </c>
      <c r="AX276" s="12">
        <f>AX189-AW189</f>
        <v>1500.10900927697</v>
      </c>
      <c r="AY276" s="12">
        <f>AY189-AX189</f>
        <v>951.101870093484</v>
      </c>
      <c r="AZ276" s="12">
        <f>AZ189-AY189</f>
        <v>4145.31527741768</v>
      </c>
      <c r="BA276" s="12">
        <f>SUM(AW276:AZ276)</f>
        <v>5515.84268554615</v>
      </c>
      <c r="BB276" s="12">
        <f>BB189-BA189</f>
        <v>-1448.31676380814</v>
      </c>
      <c r="BC276" s="12">
        <f>BC189-BB189</f>
        <v>1849.5206844645</v>
      </c>
      <c r="BD276" s="12">
        <f>BD189-BC189</f>
        <v>1172.63650234232</v>
      </c>
      <c r="BE276" s="12">
        <f>BE189-BD189</f>
        <v>5110.85947874281</v>
      </c>
      <c r="BF276" s="12">
        <f>SUM(BB276:BE276)</f>
        <v>6684.69990174149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Accrued expenses</t>
        </is>
      </c>
      <c r="D277" s="12" t="n"/>
      <c r="E277" s="12" t="n"/>
      <c r="F277" s="12" t="n"/>
      <c r="G277" s="12" t="n"/>
      <c r="H277" s="12" t="n"/>
      <c r="I277" s="12" t="n"/>
      <c r="J277" s="12">
        <f>J193-I193</f>
        <v>2099</v>
      </c>
      <c r="K277" s="12">
        <f>K193-J193</f>
        <v>1648</v>
      </c>
      <c r="L277" s="12">
        <f>L193-K193</f>
        <v>1154</v>
      </c>
      <c r="M277" s="12" t="n"/>
      <c r="N277" s="12">
        <f>N193-M193</f>
        <v>914</v>
      </c>
      <c r="O277" s="12">
        <f>O193-N193</f>
        <v>194</v>
      </c>
      <c r="P277" s="12">
        <f>P193-O193</f>
        <v>616</v>
      </c>
      <c r="Q277" s="12">
        <f>Q193-P193</f>
        <v>3516</v>
      </c>
      <c r="R277" s="12">
        <f>SUM(N277:Q277)</f>
        <v>5240</v>
      </c>
      <c r="S277" s="12">
        <f>S193-R193</f>
        <v>-207</v>
      </c>
      <c r="T277" s="12">
        <f>T193-S193</f>
        <v>5315</v>
      </c>
      <c r="U277" s="12">
        <f>U193-T193</f>
        <v>-731</v>
      </c>
      <c r="V277" s="12">
        <f>V193-U193</f>
        <v>696</v>
      </c>
      <c r="W277" s="12">
        <f>SUM(S277:V277)</f>
        <v>5073</v>
      </c>
      <c r="X277" s="12">
        <f>X193-W193</f>
        <v>-1985</v>
      </c>
      <c r="Y277" s="12">
        <f>Y193-X193</f>
        <v>-726</v>
      </c>
      <c r="Z277" s="12">
        <f>Z193-Y193</f>
        <v>1744</v>
      </c>
      <c r="AA277" s="12">
        <f>AA193-Z193</f>
        <v>309</v>
      </c>
      <c r="AB277" s="12">
        <f>SUM(X277:AA277)</f>
        <v>-658</v>
      </c>
      <c r="AC277" s="12">
        <f>AC193-AB193</f>
        <v>-565</v>
      </c>
      <c r="AD277" s="12">
        <f>AD193-AC193</f>
        <v>1655</v>
      </c>
      <c r="AE277" s="12">
        <f>AE193-AD193</f>
        <v>1990</v>
      </c>
      <c r="AF277" s="12">
        <f>AF193-AE193</f>
        <v>3682</v>
      </c>
      <c r="AG277" s="12">
        <f>SUM(AC277:AF277)</f>
        <v>6762</v>
      </c>
      <c r="AH277" s="12">
        <f>AH193-AG193</f>
        <v>284</v>
      </c>
      <c r="AI277" s="12">
        <f>AI193-AH193</f>
        <v>7052</v>
      </c>
      <c r="AJ277" s="12">
        <f>AJ193-AI193</f>
        <v>9437.2342743335</v>
      </c>
      <c r="AK277" s="12">
        <f>AK193-AJ193</f>
        <v>11776.9529331711</v>
      </c>
      <c r="AL277" s="12">
        <f>SUM(AH277:AK277)</f>
        <v>28550.1872075046</v>
      </c>
      <c r="AM277" s="12">
        <f>AM193-AL193</f>
        <v>14696.7444442216</v>
      </c>
      <c r="AN277" s="12">
        <f>AN193-AM193</f>
        <v>18340.4228992361</v>
      </c>
      <c r="AO277" s="12">
        <f>AO193-AN193</f>
        <v>22887.457382106</v>
      </c>
      <c r="AP277" s="12">
        <f>AP193-AO193</f>
        <v>28561.8117038913</v>
      </c>
      <c r="AQ277" s="12">
        <f>SUM(AM277:AP277)</f>
        <v>84486.436429455</v>
      </c>
      <c r="AR277" s="12">
        <f>AR193-AQ193</f>
        <v>34924.1476038077</v>
      </c>
      <c r="AS277" s="12">
        <f>AS193-AR193</f>
        <v>43408.0678553733</v>
      </c>
      <c r="AT277" s="12">
        <f>AT193-AS193</f>
        <v>53952.9375580594</v>
      </c>
      <c r="AU277" s="12">
        <f>AU193-AT193</f>
        <v>67059.4111869352</v>
      </c>
      <c r="AV277" s="12">
        <f>SUM(AR277:AU277)</f>
        <v>199344.564204176</v>
      </c>
      <c r="AW277" s="12">
        <f>AW193-AV193</f>
        <v>81634.2133604529</v>
      </c>
      <c r="AX277" s="12">
        <f>AX193-AW193</f>
        <v>101056.967411888</v>
      </c>
      <c r="AY277" s="12">
        <f>AY193-AX193</f>
        <v>125100.864479386</v>
      </c>
      <c r="AZ277" s="12">
        <f>AZ193-AY193</f>
        <v>154865.386269733</v>
      </c>
      <c r="BA277" s="12">
        <f>SUM(AW277:AZ277)</f>
        <v>462657.43152146</v>
      </c>
      <c r="BB277" s="12">
        <f>BB193-BA193</f>
        <v>187682.769686884</v>
      </c>
      <c r="BC277" s="12">
        <f>BC193-BB193</f>
        <v>231398.626704326</v>
      </c>
      <c r="BD277" s="12">
        <f>BD193-BC193</f>
        <v>285296.96428702</v>
      </c>
      <c r="BE277" s="12">
        <f>BE193-BD193</f>
        <v>351749.528468</v>
      </c>
      <c r="BF277" s="12">
        <f>SUM(BB277:BE277)</f>
        <v>1056127.88914623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Taxes payable</t>
        </is>
      </c>
      <c r="D278" s="12" t="n"/>
      <c r="E278" s="12" t="n"/>
      <c r="F278" s="12" t="n"/>
      <c r="G278" s="12" t="n"/>
      <c r="H278" s="12" t="n"/>
      <c r="I278" s="12" t="n"/>
      <c r="J278" s="12">
        <f>J195-I195</f>
        <v>0</v>
      </c>
      <c r="K278" s="12">
        <f>K195-J195</f>
        <v>0</v>
      </c>
      <c r="L278" s="12">
        <f>L195-K195</f>
        <v>0</v>
      </c>
      <c r="M278" s="12" t="n"/>
      <c r="N278" s="12">
        <f>N195-M195</f>
        <v>0</v>
      </c>
      <c r="O278" s="12">
        <f>O195-N195</f>
        <v>0</v>
      </c>
      <c r="P278" s="12">
        <f>P195-O195</f>
        <v>0</v>
      </c>
      <c r="Q278" s="12">
        <f>Q195-P195</f>
        <v>0</v>
      </c>
      <c r="R278" s="12">
        <f>SUM(N278:Q278)</f>
        <v>0</v>
      </c>
      <c r="S278" s="12">
        <f>S195-R195</f>
        <v>0</v>
      </c>
      <c r="T278" s="12">
        <f>T195-S195</f>
        <v>0</v>
      </c>
      <c r="U278" s="12">
        <f>U195-T195</f>
        <v>0</v>
      </c>
      <c r="V278" s="12">
        <f>V195-U195</f>
        <v>0</v>
      </c>
      <c r="W278" s="12">
        <f>SUM(S278:V278)</f>
        <v>0</v>
      </c>
      <c r="X278" s="12">
        <f>X195-W195</f>
        <v>0</v>
      </c>
      <c r="Y278" s="12">
        <f>Y195-X195</f>
        <v>0</v>
      </c>
      <c r="Z278" s="12">
        <f>Z195-Y195</f>
        <v>0</v>
      </c>
      <c r="AA278" s="12">
        <f>AA195-Z195</f>
        <v>0</v>
      </c>
      <c r="AB278" s="12">
        <f>SUM(X278:AA278)</f>
        <v>0</v>
      </c>
      <c r="AC278" s="12">
        <f>AC195-AB195</f>
        <v>0</v>
      </c>
      <c r="AD278" s="12">
        <f>AD195-AC195</f>
        <v>0</v>
      </c>
      <c r="AE278" s="12">
        <f>AE195-AD195</f>
        <v>0</v>
      </c>
      <c r="AF278" s="12">
        <f>AF195-AE195</f>
        <v>0</v>
      </c>
      <c r="AG278" s="12">
        <f>SUM(AC278:AF278)</f>
        <v>0</v>
      </c>
      <c r="AH278" s="12">
        <f>AH195-AG195</f>
        <v>0</v>
      </c>
      <c r="AI278" s="12">
        <f>AI195-AH195</f>
        <v>0</v>
      </c>
      <c r="AJ278" s="12">
        <f>AJ195-AI195</f>
        <v>0</v>
      </c>
      <c r="AK278" s="12">
        <f>AK195-AJ195</f>
        <v>0</v>
      </c>
      <c r="AL278" s="12">
        <f>SUM(AH278:AK278)</f>
        <v>0</v>
      </c>
      <c r="AM278" s="12">
        <f>AM195-AL195</f>
        <v>0</v>
      </c>
      <c r="AN278" s="12">
        <f>AN195-AM195</f>
        <v>0</v>
      </c>
      <c r="AO278" s="12">
        <f>AO195-AN195</f>
        <v>0</v>
      </c>
      <c r="AP278" s="12">
        <f>AP195-AO195</f>
        <v>0</v>
      </c>
      <c r="AQ278" s="12">
        <f>SUM(AM278:AP278)</f>
        <v>0</v>
      </c>
      <c r="AR278" s="12">
        <f>AR195-AQ195</f>
        <v>0</v>
      </c>
      <c r="AS278" s="12">
        <f>AS195-AR195</f>
        <v>0</v>
      </c>
      <c r="AT278" s="12">
        <f>AT195-AS195</f>
        <v>0</v>
      </c>
      <c r="AU278" s="12">
        <f>AU195-AT195</f>
        <v>0</v>
      </c>
      <c r="AV278" s="12">
        <f>SUM(AR278:AU278)</f>
        <v>0</v>
      </c>
      <c r="AW278" s="12">
        <f>AW195-AV195</f>
        <v>0</v>
      </c>
      <c r="AX278" s="12">
        <f>AX195-AW195</f>
        <v>0</v>
      </c>
      <c r="AY278" s="12">
        <f>AY195-AX195</f>
        <v>0</v>
      </c>
      <c r="AZ278" s="12">
        <f>AZ195-AY195</f>
        <v>0</v>
      </c>
      <c r="BA278" s="12">
        <f>SUM(AW278:AZ278)</f>
        <v>0</v>
      </c>
      <c r="BB278" s="12">
        <f>BB195-BA195</f>
        <v>0</v>
      </c>
      <c r="BC278" s="12">
        <f>BC195-BB195</f>
        <v>0</v>
      </c>
      <c r="BD278" s="12">
        <f>BD195-BC195</f>
        <v>0</v>
      </c>
      <c r="BE278" s="12">
        <f>BE195-BD195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Other current liabilities (non-debt)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-48</v>
      </c>
      <c r="K279" s="12">
        <f>K196-J196</f>
        <v>33</v>
      </c>
      <c r="L279" s="12">
        <f>L196-K196</f>
        <v>240</v>
      </c>
      <c r="M279" s="12" t="n"/>
      <c r="N279" s="12">
        <f>N196-M196</f>
        <v>-158</v>
      </c>
      <c r="O279" s="12">
        <f>O196-N196</f>
        <v>59</v>
      </c>
      <c r="P279" s="12">
        <f>P196-O196</f>
        <v>-25</v>
      </c>
      <c r="Q279" s="12">
        <f>Q196-P196</f>
        <v>-372</v>
      </c>
      <c r="R279" s="12">
        <f>SUM(N279:Q279)</f>
        <v>-496</v>
      </c>
      <c r="S279" s="12">
        <f>S196-R196</f>
        <v>-232</v>
      </c>
      <c r="T279" s="12">
        <f>T196-S196</f>
        <v>-113</v>
      </c>
      <c r="U279" s="12">
        <f>U196-T196</f>
        <v>-2</v>
      </c>
      <c r="V279" s="12">
        <f>V196-U196</f>
        <v>93</v>
      </c>
      <c r="W279" s="12">
        <f>SUM(S279:V279)</f>
        <v>-254</v>
      </c>
      <c r="X279" s="12">
        <f>X196-W196</f>
        <v>-863</v>
      </c>
      <c r="Y279" s="12">
        <f>Y196-X196</f>
        <v>0</v>
      </c>
      <c r="Z279" s="12">
        <f>Z196-Y196</f>
        <v>0</v>
      </c>
      <c r="AA279" s="12">
        <f>AA196-Z196</f>
        <v>0</v>
      </c>
      <c r="AB279" s="12">
        <f>SUM(X279:AA279)</f>
        <v>-863</v>
      </c>
      <c r="AC279" s="12">
        <f>AC196-AB196</f>
        <v>0</v>
      </c>
      <c r="AD279" s="12">
        <f>AD196-AC196</f>
        <v>0</v>
      </c>
      <c r="AE279" s="12">
        <f>AE196-AD196</f>
        <v>0</v>
      </c>
      <c r="AF279" s="12">
        <f>AF196-AE196</f>
        <v>0</v>
      </c>
      <c r="AG279" s="12">
        <f>SUM(AC279:AF279)</f>
        <v>0</v>
      </c>
      <c r="AH279" s="12">
        <f>AH196-AG196</f>
        <v>0</v>
      </c>
      <c r="AI279" s="12">
        <f>AI196-AH196</f>
        <v>0</v>
      </c>
      <c r="AJ279" s="12">
        <f>AJ196-AI196</f>
        <v>0</v>
      </c>
      <c r="AK279" s="12">
        <f>AK196-AJ196</f>
        <v>0</v>
      </c>
      <c r="AL279" s="12">
        <f>SUM(AH279:AK279)</f>
        <v>0</v>
      </c>
      <c r="AM279" s="12">
        <f>AM196-AL196</f>
        <v>0</v>
      </c>
      <c r="AN279" s="12">
        <f>AN196-AM196</f>
        <v>0</v>
      </c>
      <c r="AO279" s="12">
        <f>AO196-AN196</f>
        <v>0</v>
      </c>
      <c r="AP279" s="12">
        <f>AP196-AO196</f>
        <v>0</v>
      </c>
      <c r="AQ279" s="12">
        <f>SUM(AM279:AP279)</f>
        <v>0</v>
      </c>
      <c r="AR279" s="12">
        <f>AR196-AQ196</f>
        <v>0</v>
      </c>
      <c r="AS279" s="12">
        <f>AS196-AR196</f>
        <v>0</v>
      </c>
      <c r="AT279" s="12">
        <f>AT196-AS196</f>
        <v>0</v>
      </c>
      <c r="AU279" s="12">
        <f>AU196-AT196</f>
        <v>0</v>
      </c>
      <c r="AV279" s="12">
        <f>SUM(AR279:AU279)</f>
        <v>0</v>
      </c>
      <c r="AW279" s="12">
        <f>AW196-AV196</f>
        <v>0</v>
      </c>
      <c r="AX279" s="12">
        <f>AX196-AW196</f>
        <v>0</v>
      </c>
      <c r="AY279" s="12">
        <f>AY196-AX196</f>
        <v>0</v>
      </c>
      <c r="AZ279" s="12">
        <f>AZ196-AY196</f>
        <v>0</v>
      </c>
      <c r="BA279" s="12">
        <f>SUM(AW279:AZ279)</f>
        <v>0</v>
      </c>
      <c r="BB279" s="12">
        <f>BB196-BA196</f>
        <v>0</v>
      </c>
      <c r="BC279" s="12">
        <f>BC196-BB196</f>
        <v>0</v>
      </c>
      <c r="BD279" s="12">
        <f>BD196-BC196</f>
        <v>0</v>
      </c>
      <c r="BE279" s="12">
        <f>BE196-BD196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Deferred income taxes</t>
        </is>
      </c>
      <c r="D280" s="12" t="n"/>
      <c r="E280" s="12" t="n"/>
      <c r="F280" s="12" t="n"/>
      <c r="G280" s="12" t="n"/>
      <c r="H280" s="12" t="n"/>
      <c r="I280" s="12" t="n"/>
      <c r="J280" s="12">
        <f>J230-I230</f>
        <v>0</v>
      </c>
      <c r="K280" s="12">
        <f>K230-J230</f>
        <v>0</v>
      </c>
      <c r="L280" s="12">
        <f>L230-K230</f>
        <v>0</v>
      </c>
      <c r="M280" s="12" t="n"/>
      <c r="N280" s="12">
        <f>N230-M230</f>
        <v>0</v>
      </c>
      <c r="O280" s="12">
        <f>O230-N230</f>
        <v>0</v>
      </c>
      <c r="P280" s="12">
        <f>P230-O230</f>
        <v>0</v>
      </c>
      <c r="Q280" s="12">
        <f>Q230-P230</f>
        <v>0</v>
      </c>
      <c r="R280" s="12">
        <f>SUM(N280:Q280)</f>
        <v>0</v>
      </c>
      <c r="S280" s="12">
        <f>S230-R230</f>
        <v>0</v>
      </c>
      <c r="T280" s="12">
        <f>T230-S230</f>
        <v>0</v>
      </c>
      <c r="U280" s="12">
        <f>U230-T230</f>
        <v>0</v>
      </c>
      <c r="V280" s="12">
        <f>V230-U230</f>
        <v>0</v>
      </c>
      <c r="W280" s="12">
        <f>SUM(S280:V280)</f>
        <v>0</v>
      </c>
      <c r="X280" s="12">
        <f>X230-W230</f>
        <v>0</v>
      </c>
      <c r="Y280" s="12">
        <f>Y230-X230</f>
        <v>0</v>
      </c>
      <c r="Z280" s="12">
        <f>Z230-Y230</f>
        <v>0</v>
      </c>
      <c r="AA280" s="12">
        <f>AA230-Z230</f>
        <v>0</v>
      </c>
      <c r="AB280" s="12">
        <f>SUM(X280:AA280)</f>
        <v>0</v>
      </c>
      <c r="AC280" s="12">
        <f>AC230-AB230</f>
        <v>0</v>
      </c>
      <c r="AD280" s="12">
        <f>AD230-AC230</f>
        <v>0</v>
      </c>
      <c r="AE280" s="12">
        <f>AE230-AD230</f>
        <v>0</v>
      </c>
      <c r="AF280" s="12">
        <f>AF230-AE230</f>
        <v>0</v>
      </c>
      <c r="AG280" s="12">
        <f>SUM(AC280:AF280)</f>
        <v>0</v>
      </c>
      <c r="AH280" s="12">
        <f>AH230-AG230</f>
        <v>0</v>
      </c>
      <c r="AI280" s="12">
        <f>AI230-AH230</f>
        <v>0</v>
      </c>
      <c r="AJ280" s="12">
        <f>AJ230-AI230</f>
        <v>0</v>
      </c>
      <c r="AK280" s="12">
        <f>AK230-AJ230</f>
        <v>0</v>
      </c>
      <c r="AL280" s="12">
        <f>SUM(AH280:AK280)</f>
        <v>0</v>
      </c>
      <c r="AM280" s="12">
        <f>AM230-AL230</f>
        <v>0</v>
      </c>
      <c r="AN280" s="12">
        <f>AN230-AM230</f>
        <v>0</v>
      </c>
      <c r="AO280" s="12">
        <f>AO230-AN230</f>
        <v>0</v>
      </c>
      <c r="AP280" s="12">
        <f>AP230-AO230</f>
        <v>0</v>
      </c>
      <c r="AQ280" s="12">
        <f>SUM(AM280:AP280)</f>
        <v>0</v>
      </c>
      <c r="AR280" s="12">
        <f>AR230-AQ230</f>
        <v>0</v>
      </c>
      <c r="AS280" s="12">
        <f>AS230-AR230</f>
        <v>0</v>
      </c>
      <c r="AT280" s="12">
        <f>AT230-AS230</f>
        <v>0</v>
      </c>
      <c r="AU280" s="12">
        <f>AU230-AT230</f>
        <v>0</v>
      </c>
      <c r="AV280" s="12">
        <f>SUM(AR280:AU280)</f>
        <v>0</v>
      </c>
      <c r="AW280" s="12">
        <f>AW230-AV230</f>
        <v>0</v>
      </c>
      <c r="AX280" s="12">
        <f>AX230-AW230</f>
        <v>0</v>
      </c>
      <c r="AY280" s="12">
        <f>AY230-AX230</f>
        <v>0</v>
      </c>
      <c r="AZ280" s="12">
        <f>AZ230-AY230</f>
        <v>0</v>
      </c>
      <c r="BA280" s="12">
        <f>SUM(AW280:AZ280)</f>
        <v>0</v>
      </c>
      <c r="BB280" s="12">
        <f>BB230-BA230</f>
        <v>0</v>
      </c>
      <c r="BC280" s="12">
        <f>BC230-BB230</f>
        <v>0</v>
      </c>
      <c r="BD280" s="12">
        <f>BD230-BC230</f>
        <v>0</v>
      </c>
      <c r="BE280" s="12">
        <f>BE230-BD230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collapsed="1">
      <c r="C281" s="10" t="inlineStr">
        <is>
          <t>Equity income in affiliates</t>
        </is>
      </c>
      <c r="D281" s="12" t="n"/>
      <c r="E281" s="12" t="n"/>
      <c r="F281" s="12" t="n"/>
      <c r="G281" s="12" t="n"/>
      <c r="H281" s="12" t="n"/>
      <c r="I281" s="12" t="n"/>
      <c r="J281" s="12">
        <f>(J152-I152)*-1</f>
        <v>0</v>
      </c>
      <c r="K281" s="12">
        <f>(K152-J152)*-1</f>
        <v>0</v>
      </c>
      <c r="L281" s="12">
        <f>(L152-K152)*-1</f>
        <v>0</v>
      </c>
      <c r="M281" s="12" t="n"/>
      <c r="N281" s="12">
        <f>(N152-M152)*-1</f>
        <v>0</v>
      </c>
      <c r="O281" s="12">
        <f>(O152-N152)*-1</f>
        <v>0</v>
      </c>
      <c r="P281" s="12">
        <f>(P152-O152)*-1</f>
        <v>0</v>
      </c>
      <c r="Q281" s="12">
        <f>(Q152-P152)*-1</f>
        <v>0</v>
      </c>
      <c r="R281" s="12">
        <f>SUM(N281:Q281)</f>
        <v>0</v>
      </c>
      <c r="S281" s="12">
        <f>(S152-R152)*-1</f>
        <v>0</v>
      </c>
      <c r="T281" s="12">
        <f>(T152-S152)*-1</f>
        <v>0</v>
      </c>
      <c r="U281" s="12">
        <f>(U152-T152)*-1</f>
        <v>0</v>
      </c>
      <c r="V281" s="12">
        <f>(V152-U152)*-1</f>
        <v>0</v>
      </c>
      <c r="W281" s="12">
        <f>SUM(S281:V281)</f>
        <v>0</v>
      </c>
      <c r="X281" s="12">
        <f>(X152-W152)*-1</f>
        <v>0</v>
      </c>
      <c r="Y281" s="12">
        <f>(Y152-X152)*-1</f>
        <v>0</v>
      </c>
      <c r="Z281" s="12">
        <f>(Z152-Y152)*-1</f>
        <v>0</v>
      </c>
      <c r="AA281" s="12">
        <f>(AA152-Z152)*-1</f>
        <v>0</v>
      </c>
      <c r="AB281" s="12">
        <f>SUM(X281:AA281)</f>
        <v>0</v>
      </c>
      <c r="AC281" s="12">
        <f>(AC152-AB152)*-1</f>
        <v>0</v>
      </c>
      <c r="AD281" s="12">
        <f>(AD152-AC152)*-1</f>
        <v>0</v>
      </c>
      <c r="AE281" s="12">
        <f>(AE152-AD152)*-1</f>
        <v>0</v>
      </c>
      <c r="AF281" s="12">
        <f>(AF152-AE152)*-1</f>
        <v>0</v>
      </c>
      <c r="AG281" s="12">
        <f>SUM(AC281:AF281)</f>
        <v>0</v>
      </c>
      <c r="AH281" s="12">
        <f>(AH152-AG152)*-1</f>
        <v>0</v>
      </c>
      <c r="AI281" s="12">
        <f>(AI152-AH152)*-1</f>
        <v>0</v>
      </c>
      <c r="AJ281" s="12">
        <f>(AJ152-AI152)*-1</f>
        <v>0</v>
      </c>
      <c r="AK281" s="12">
        <f>(AK152-AJ152)*-1</f>
        <v>0</v>
      </c>
      <c r="AL281" s="12">
        <f>SUM(AH281:AK281)</f>
        <v>0</v>
      </c>
      <c r="AM281" s="12">
        <f>(AM152-AL152)*-1</f>
        <v>0</v>
      </c>
      <c r="AN281" s="12">
        <f>(AN152-AM152)*-1</f>
        <v>0</v>
      </c>
      <c r="AO281" s="12">
        <f>(AO152-AN152)*-1</f>
        <v>0</v>
      </c>
      <c r="AP281" s="12">
        <f>(AP152-AO152)*-1</f>
        <v>0</v>
      </c>
      <c r="AQ281" s="12">
        <f>SUM(AM281:AP281)</f>
        <v>0</v>
      </c>
      <c r="AR281" s="12">
        <f>(AR152-AQ152)*-1</f>
        <v>0</v>
      </c>
      <c r="AS281" s="12">
        <f>(AS152-AR152)*-1</f>
        <v>0</v>
      </c>
      <c r="AT281" s="12">
        <f>(AT152-AS152)*-1</f>
        <v>0</v>
      </c>
      <c r="AU281" s="12">
        <f>(AU152-AT152)*-1</f>
        <v>0</v>
      </c>
      <c r="AV281" s="12">
        <f>SUM(AR281:AU281)</f>
        <v>0</v>
      </c>
      <c r="AW281" s="12">
        <f>(AW152-AV152)*-1</f>
        <v>0</v>
      </c>
      <c r="AX281" s="12">
        <f>(AX152-AW152)*-1</f>
        <v>0</v>
      </c>
      <c r="AY281" s="12">
        <f>(AY152-AX152)*-1</f>
        <v>0</v>
      </c>
      <c r="AZ281" s="12">
        <f>(AZ152-AY152)*-1</f>
        <v>0</v>
      </c>
      <c r="BA281" s="12">
        <f>SUM(AW281:AZ281)</f>
        <v>0</v>
      </c>
      <c r="BB281" s="12">
        <f>(BB152-BA152)*-1</f>
        <v>0</v>
      </c>
      <c r="BC281" s="12">
        <f>(BC152-BB152)*-1</f>
        <v>0</v>
      </c>
      <c r="BD281" s="12">
        <f>(BD152-BC152)*-1</f>
        <v>0</v>
      </c>
      <c r="BE281" s="12">
        <f>(BE152-BD152)*-1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>
      <c r="C282" s="10" t="inlineStr">
        <is>
          <t>Dividends received from affiliates</t>
        </is>
      </c>
      <c r="D282" s="12" t="n"/>
      <c r="E282" s="12" t="n"/>
      <c r="F282" s="12" t="n"/>
      <c r="G282" s="12" t="n"/>
      <c r="H282" s="12" t="n"/>
      <c r="I282" s="12" t="n"/>
      <c r="J282" s="12">
        <f>-J155</f>
        <v>0</v>
      </c>
      <c r="K282" s="12">
        <f>-K155</f>
        <v>0</v>
      </c>
      <c r="L282" s="12">
        <f>-L155</f>
        <v>0</v>
      </c>
      <c r="M282" s="12" t="n"/>
      <c r="N282" s="12">
        <f>-N155</f>
        <v>0</v>
      </c>
      <c r="O282" s="12">
        <f>-O155</f>
        <v>0</v>
      </c>
      <c r="P282" s="12">
        <f>-P155</f>
        <v>0</v>
      </c>
      <c r="Q282" s="12">
        <f>-Q155</f>
        <v>0</v>
      </c>
      <c r="R282" s="12">
        <f>SUM(N282:Q282)</f>
        <v>0</v>
      </c>
      <c r="S282" s="12">
        <f>-S155</f>
        <v>0</v>
      </c>
      <c r="T282" s="12">
        <f>-T155</f>
        <v>0</v>
      </c>
      <c r="U282" s="12">
        <f>-U155</f>
        <v>0</v>
      </c>
      <c r="V282" s="12">
        <f>-V155</f>
        <v>0</v>
      </c>
      <c r="W282" s="12">
        <f>SUM(S282:V282)</f>
        <v>0</v>
      </c>
      <c r="X282" s="12">
        <f>-X155</f>
        <v>0</v>
      </c>
      <c r="Y282" s="12">
        <f>-Y155</f>
        <v>0</v>
      </c>
      <c r="Z282" s="12">
        <f>-Z155</f>
        <v>0</v>
      </c>
      <c r="AA282" s="12">
        <f>-AA155</f>
        <v>0</v>
      </c>
      <c r="AB282" s="12">
        <f>SUM(X282:AA282)</f>
        <v>0</v>
      </c>
      <c r="AC282" s="12">
        <f>-AC155</f>
        <v>0</v>
      </c>
      <c r="AD282" s="12">
        <f>-AD155</f>
        <v>0</v>
      </c>
      <c r="AE282" s="12">
        <f>-AE155</f>
        <v>0</v>
      </c>
      <c r="AF282" s="12">
        <f>-AF155</f>
        <v>0</v>
      </c>
      <c r="AG282" s="12">
        <f>SUM(AC282:AF282)</f>
        <v>0</v>
      </c>
      <c r="AH282" s="12">
        <f>-AH155</f>
        <v>0</v>
      </c>
      <c r="AI282" s="12">
        <f>-AI155</f>
        <v>0</v>
      </c>
      <c r="AJ282" s="12">
        <f>-AJ155</f>
        <v>0</v>
      </c>
      <c r="AK282" s="12">
        <f>-AK155</f>
        <v>0</v>
      </c>
      <c r="AL282" s="12">
        <f>SUM(AH282:AK282)</f>
        <v>0</v>
      </c>
      <c r="AM282" s="12">
        <f>-AM155</f>
        <v>0</v>
      </c>
      <c r="AN282" s="12">
        <f>-AN155</f>
        <v>0</v>
      </c>
      <c r="AO282" s="12">
        <f>-AO155</f>
        <v>0</v>
      </c>
      <c r="AP282" s="12">
        <f>-AP155</f>
        <v>0</v>
      </c>
      <c r="AQ282" s="12">
        <f>SUM(AM282:AP282)</f>
        <v>0</v>
      </c>
      <c r="AR282" s="12">
        <f>-AR155</f>
        <v>0</v>
      </c>
      <c r="AS282" s="12">
        <f>-AS155</f>
        <v>0</v>
      </c>
      <c r="AT282" s="12">
        <f>-AT155</f>
        <v>0</v>
      </c>
      <c r="AU282" s="12">
        <f>-AU155</f>
        <v>0</v>
      </c>
      <c r="AV282" s="12">
        <f>SUM(AR282:AU282)</f>
        <v>0</v>
      </c>
      <c r="AW282" s="12">
        <f>-AW155</f>
        <v>0</v>
      </c>
      <c r="AX282" s="12">
        <f>-AX155</f>
        <v>0</v>
      </c>
      <c r="AY282" s="12">
        <f>-AY155</f>
        <v>0</v>
      </c>
      <c r="AZ282" s="12">
        <f>-AZ155</f>
        <v>0</v>
      </c>
      <c r="BA282" s="12">
        <f>SUM(AW282:AZ282)</f>
        <v>0</v>
      </c>
      <c r="BB282" s="12">
        <f>-BB155</f>
        <v>0</v>
      </c>
      <c r="BC282" s="12">
        <f>-BC155</f>
        <v>0</v>
      </c>
      <c r="BD282" s="12">
        <f>-BD155</f>
        <v>0</v>
      </c>
      <c r="BE282" s="12">
        <f>-BE155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71" t="inlineStr">
        <is>
          <t>Minority interest expense</t>
        </is>
      </c>
      <c r="D283" s="12" t="n"/>
      <c r="E283" s="12" t="n"/>
      <c r="F283" s="12" t="n"/>
      <c r="G283" s="12" t="n"/>
      <c r="H283" s="12" t="n"/>
      <c r="I283" s="12" t="n"/>
      <c r="J283" s="12">
        <f>-J127</f>
        <v>0</v>
      </c>
      <c r="K283" s="12">
        <f>-K127</f>
        <v>0</v>
      </c>
      <c r="L283" s="12">
        <f>-L127</f>
        <v>0</v>
      </c>
      <c r="M283" s="12" t="n"/>
      <c r="N283" s="12">
        <f>-N127</f>
        <v>0</v>
      </c>
      <c r="O283" s="12">
        <f>-O127</f>
        <v>0</v>
      </c>
      <c r="P283" s="12">
        <f>-P127</f>
        <v>0</v>
      </c>
      <c r="Q283" s="12">
        <f>-Q127</f>
        <v>0</v>
      </c>
      <c r="R283" s="12">
        <f>SUM(N283:Q283)</f>
        <v>0</v>
      </c>
      <c r="S283" s="12">
        <f>-S127</f>
        <v>0</v>
      </c>
      <c r="T283" s="12">
        <f>-T127</f>
        <v>0</v>
      </c>
      <c r="U283" s="12">
        <f>-U127</f>
        <v>0</v>
      </c>
      <c r="V283" s="12">
        <f>-V127</f>
        <v>0</v>
      </c>
      <c r="W283" s="12">
        <f>SUM(S283:V283)</f>
        <v>0</v>
      </c>
      <c r="X283" s="12">
        <f>-X127</f>
        <v>0</v>
      </c>
      <c r="Y283" s="12">
        <f>-Y127</f>
        <v>0</v>
      </c>
      <c r="Z283" s="12">
        <f>-Z127</f>
        <v>0</v>
      </c>
      <c r="AA283" s="12">
        <f>-AA127</f>
        <v>0</v>
      </c>
      <c r="AB283" s="12">
        <f>SUM(X283:AA283)</f>
        <v>0</v>
      </c>
      <c r="AC283" s="12">
        <f>-AC127</f>
        <v>0</v>
      </c>
      <c r="AD283" s="12">
        <f>-AD127</f>
        <v>0</v>
      </c>
      <c r="AE283" s="12">
        <f>-AE127</f>
        <v>0</v>
      </c>
      <c r="AF283" s="12">
        <f>-AF127</f>
        <v>0</v>
      </c>
      <c r="AG283" s="12">
        <f>SUM(AC283:AF283)</f>
        <v>0</v>
      </c>
      <c r="AH283" s="12">
        <f>-AH127</f>
        <v>0</v>
      </c>
      <c r="AI283" s="12">
        <f>-AI127</f>
        <v>0</v>
      </c>
      <c r="AJ283" s="12">
        <f>-AJ127</f>
        <v>0</v>
      </c>
      <c r="AK283" s="12">
        <f>-AK127</f>
        <v>0</v>
      </c>
      <c r="AL283" s="12">
        <f>SUM(AH283:AK283)</f>
        <v>0</v>
      </c>
      <c r="AM283" s="12">
        <f>-AM127</f>
        <v>0</v>
      </c>
      <c r="AN283" s="12">
        <f>-AN127</f>
        <v>0</v>
      </c>
      <c r="AO283" s="12">
        <f>-AO127</f>
        <v>0</v>
      </c>
      <c r="AP283" s="12">
        <f>-AP127</f>
        <v>0</v>
      </c>
      <c r="AQ283" s="12">
        <f>SUM(AM283:AP283)</f>
        <v>0</v>
      </c>
      <c r="AR283" s="12">
        <f>-AR127</f>
        <v>0</v>
      </c>
      <c r="AS283" s="12">
        <f>-AS127</f>
        <v>0</v>
      </c>
      <c r="AT283" s="12">
        <f>-AT127</f>
        <v>0</v>
      </c>
      <c r="AU283" s="12">
        <f>-AU127</f>
        <v>0</v>
      </c>
      <c r="AV283" s="12">
        <f>SUM(AR283:AU283)</f>
        <v>0</v>
      </c>
      <c r="AW283" s="12">
        <f>-AW127</f>
        <v>0</v>
      </c>
      <c r="AX283" s="12">
        <f>-AX127</f>
        <v>0</v>
      </c>
      <c r="AY283" s="12">
        <f>-AY127</f>
        <v>0</v>
      </c>
      <c r="AZ283" s="12">
        <f>-AZ127</f>
        <v>0</v>
      </c>
      <c r="BA283" s="12">
        <f>SUM(AW283:AZ283)</f>
        <v>0</v>
      </c>
      <c r="BB283" s="12">
        <f>-BB127</f>
        <v>0</v>
      </c>
      <c r="BC283" s="12">
        <f>-BC127</f>
        <v>0</v>
      </c>
      <c r="BD283" s="12">
        <f>-BD127</f>
        <v>0</v>
      </c>
      <c r="BE283" s="12">
        <f>-BE127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4" t="inlineStr">
        <is>
          <t>Cash from operations</t>
        </is>
      </c>
      <c r="D284" s="12" t="n"/>
      <c r="E284" s="12" t="n"/>
      <c r="F284" s="12" t="n"/>
      <c r="G284" s="12" t="n"/>
      <c r="H284" s="12" t="n"/>
      <c r="I284" s="12" t="n"/>
      <c r="J284" s="12">
        <f>SUM(J268,J269,J270,J281,J282,J283)</f>
        <v>11012</v>
      </c>
      <c r="K284" s="12">
        <f>SUM(K268,K269,K270,K281,K282,K283)</f>
        <v>13363</v>
      </c>
      <c r="L284" s="12">
        <f>SUM(L268,L269,L270,L281,L282,L283)</f>
        <v>14259</v>
      </c>
      <c r="M284" s="12" t="n"/>
      <c r="N284" s="12">
        <f>SUM(N268,N269,N270,N281,N282,N283)</f>
        <v>12833</v>
      </c>
      <c r="O284" s="12">
        <f>SUM(O268,O269,O270,O281,O282,O283)</f>
        <v>9558</v>
      </c>
      <c r="P284" s="12">
        <f>SUM(P268,P269,P270,P281,P282,P283)</f>
        <v>5983</v>
      </c>
      <c r="Q284" s="12">
        <f>SUM(Q268,Q269,Q270,Q281,Q282,Q283)</f>
        <v>9020</v>
      </c>
      <c r="R284" s="12">
        <f>SUM(R268,R269,R270,R281,R282,R283)</f>
        <v>37394</v>
      </c>
      <c r="S284" s="12">
        <f>SUM(S268,S269,S270,S281,S282,S283)</f>
        <v>10243</v>
      </c>
      <c r="T284" s="12">
        <f>SUM(T268,T269,T270,T281,T282,T283)</f>
        <v>13964</v>
      </c>
      <c r="U284" s="12">
        <f>SUM(U268,U269,U270,U281,U282,U283)</f>
        <v>13847</v>
      </c>
      <c r="V284" s="12">
        <f>SUM(V268,V269,V270,V281,V282,V283)</f>
        <v>15748</v>
      </c>
      <c r="W284" s="12">
        <f>SUM(W268,W269,W270,W281,W282,W283)</f>
        <v>53802</v>
      </c>
      <c r="X284" s="12">
        <f>SUM(X268,X269,X270,X281,X282,X283)</f>
        <v>14583</v>
      </c>
      <c r="Y284" s="12">
        <f>SUM(Y268,Y269,Y270,Y281,Y282,Y283)</f>
        <v>14623</v>
      </c>
      <c r="Z284" s="12">
        <f>SUM(Z268,Z269,Z270,Z281,Z282,Z283)</f>
        <v>24126</v>
      </c>
      <c r="AA284" s="12">
        <f>SUM(AA268,AA269,AA270,AA281,AA282,AA283)</f>
        <v>23575</v>
      </c>
      <c r="AB284" s="12">
        <f>SUM(AB268,AB269,AB270,AB281,AB282,AB283)</f>
        <v>76907</v>
      </c>
      <c r="AC284" s="12">
        <f>SUM(AC268,AC269,AC270,AC281,AC282,AC283)</f>
        <v>23037</v>
      </c>
      <c r="AD284" s="12">
        <f>SUM(AD268,AD269,AD270,AD281,AD282,AD283)</f>
        <v>19548</v>
      </c>
      <c r="AE284" s="12">
        <f>SUM(AE268,AE269,AE270,AE281,AE282,AE283)</f>
        <v>5061</v>
      </c>
      <c r="AF284" s="12">
        <f>SUM(AF268,AF269,AF270,AF281,AF282,AF283)</f>
        <v>34497</v>
      </c>
      <c r="AG284" s="12">
        <f>SUM(AG268,AG269,AG270,AG281,AG282,AG283)</f>
        <v>82143</v>
      </c>
      <c r="AH284" s="12">
        <f>SUM(AH268,AH269,AH270,AH281,AH282,AH283)</f>
        <v>36033</v>
      </c>
      <c r="AI284" s="12">
        <f>SUM(AI268,AI269,AI270,AI281,AI282,AI283)</f>
        <v>25189</v>
      </c>
      <c r="AJ284" s="12">
        <f>SUM(AJ268,AJ269,AJ270,AJ281,AJ282,AJ283)</f>
        <v>33978.6337306349</v>
      </c>
      <c r="AK284" s="12">
        <f>SUM(AK268,AK269,AK270,AK281,AK282,AK283)</f>
        <v>42192.8719820013</v>
      </c>
      <c r="AL284" s="12">
        <f>SUM(AL268,AL269,AL270,AL281,AL282,AL283)</f>
        <v>137393.505712636</v>
      </c>
      <c r="AM284" s="12">
        <f>SUM(AM268,AM269,AM270,AM281,AM282,AM283)</f>
        <v>45046.5724174802</v>
      </c>
      <c r="AN284" s="12">
        <f>SUM(AN268,AN269,AN270,AN281,AN282,AN283)</f>
        <v>50034.1847757992</v>
      </c>
      <c r="AO284" s="12">
        <f>SUM(AO268,AO269,AO270,AO281,AO282,AO283)</f>
        <v>56494.0590967957</v>
      </c>
      <c r="AP284" s="12">
        <f>SUM(AP268,AP269,AP270,AP281,AP282,AP283)</f>
        <v>66518.5728316122</v>
      </c>
      <c r="AQ284" s="12">
        <f>SUM(AQ268,AQ269,AQ270,AQ281,AQ282,AQ283)</f>
        <v>218093.389121687</v>
      </c>
      <c r="AR284" s="12">
        <f>SUM(AR268,AR269,AR270,AR281,AR282,AR283)</f>
        <v>72828.5573364545</v>
      </c>
      <c r="AS284" s="12">
        <f>SUM(AS268,AS269,AS270,AS281,AS282,AS283)</f>
        <v>82669.3034426867</v>
      </c>
      <c r="AT284" s="12">
        <f>SUM(AT268,AT269,AT270,AT281,AT282,AT283)</f>
        <v>95723.3957570364</v>
      </c>
      <c r="AU284" s="12">
        <f>SUM(AU268,AU269,AU270,AU281,AU282,AU283)</f>
        <v>114236.787748666</v>
      </c>
      <c r="AV284" s="12">
        <f>SUM(AV268,AV269,AV270,AV281,AV282,AV283)</f>
        <v>365458.044284844</v>
      </c>
      <c r="AW284" s="12">
        <f>SUM(AW268,AW269,AW270,AW281,AW282,AW283)</f>
        <v>128456.559129456</v>
      </c>
      <c r="AX284" s="12">
        <f>SUM(AX268,AX269,AX270,AX281,AX282,AX283)</f>
        <v>149822.444811539</v>
      </c>
      <c r="AY284" s="12">
        <f>SUM(AY268,AY269,AY270,AY281,AY282,AY283)</f>
        <v>176809.525091513</v>
      </c>
      <c r="AZ284" s="12">
        <f>SUM(AZ268,AZ269,AZ270,AZ281,AZ282,AZ283)</f>
        <v>213267.401913909</v>
      </c>
      <c r="BA284" s="12">
        <f>SUM(BA268,BA269,BA270,BA281,BA282,BA283)</f>
        <v>668355.930946417</v>
      </c>
      <c r="BB284" s="12">
        <f>SUM(BB268,BB269,BB270,BB281,BB282,BB283)</f>
        <v>245488.984703526</v>
      </c>
      <c r="BC284" s="12">
        <f>SUM(BC268,BC269,BC270,BC281,BC282,BC283)</f>
        <v>291522.763404173</v>
      </c>
      <c r="BD284" s="12">
        <f>SUM(BD268,BD269,BD270,BD281,BD282,BD283)</f>
        <v>349049.822763738</v>
      </c>
      <c r="BE284" s="12">
        <f>SUM(BE268,BE269,BE270,BE281,BE282,BE283)</f>
        <v>423754.786272821</v>
      </c>
      <c r="BF284" s="12">
        <f>SUM(BF268,BF269,BF270,BF281,BF282,BF283)</f>
        <v>1309816.35714426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0" t="inlineStr">
        <is>
          <t>Purchase of fixed assets (capital expenditures)</t>
        </is>
      </c>
      <c r="D286" s="12" t="n"/>
      <c r="E286" s="12" t="n"/>
      <c r="F286" s="12" t="n"/>
      <c r="G286" s="12" t="n"/>
      <c r="H286" s="12" t="n"/>
      <c r="I286" s="12" t="n"/>
      <c r="J286" s="12">
        <f>-J159</f>
        <v>-5175</v>
      </c>
      <c r="K286" s="12">
        <f>-K159</f>
        <v>-4812</v>
      </c>
      <c r="L286" s="12">
        <f>-L159</f>
        <v>-6097</v>
      </c>
      <c r="M286" s="12" t="n"/>
      <c r="N286" s="12">
        <f>-N159</f>
        <v>-5929</v>
      </c>
      <c r="O286" s="12">
        <f>-O159</f>
        <v>-7985</v>
      </c>
      <c r="P286" s="12">
        <f>-P159</f>
        <v>-8325</v>
      </c>
      <c r="Q286" s="12">
        <f>-Q159</f>
        <v>-8156</v>
      </c>
      <c r="R286" s="12">
        <f>SUM(N286:Q286)</f>
        <v>-30395</v>
      </c>
      <c r="S286" s="12">
        <f>-S159</f>
        <v>-7162</v>
      </c>
      <c r="T286" s="12">
        <f>-T159</f>
        <v>-6416</v>
      </c>
      <c r="U286" s="12">
        <f>-U159</f>
        <v>-6682</v>
      </c>
      <c r="V286" s="12">
        <f>-V159</f>
        <v>-7987</v>
      </c>
      <c r="W286" s="12">
        <f>SUM(S286:V286)</f>
        <v>-28247</v>
      </c>
      <c r="X286" s="12">
        <f>-X159</f>
        <v>-5695</v>
      </c>
      <c r="Y286" s="12">
        <f>-Y159</f>
        <v>-7688</v>
      </c>
      <c r="Z286" s="12">
        <f>-Z159</f>
        <v>-13230</v>
      </c>
      <c r="AA286" s="12">
        <f>-AA159</f>
        <v>-13644</v>
      </c>
      <c r="AB286" s="12">
        <f>SUM(X286:AA286)</f>
        <v>-40257</v>
      </c>
      <c r="AC286" s="12">
        <f>-AC159</f>
        <v>-16121</v>
      </c>
      <c r="AD286" s="12">
        <f>-AD159</f>
        <v>-17814</v>
      </c>
      <c r="AE286" s="12">
        <f>-AE159</f>
        <v>-18194</v>
      </c>
      <c r="AF286" s="12">
        <f>-AF159</f>
        <v>-21541</v>
      </c>
      <c r="AG286" s="12">
        <f>SUM(AC286:AF286)</f>
        <v>-73670</v>
      </c>
      <c r="AH286" s="12">
        <f>-AH159</f>
        <v>-24375</v>
      </c>
      <c r="AI286" s="12">
        <f>-AI159</f>
        <v>-37304</v>
      </c>
      <c r="AJ286" s="12">
        <f>-AJ159</f>
        <v>-27210.5337009394</v>
      </c>
      <c r="AK286" s="12">
        <f>-AK159</f>
        <v>-31804.3888792467</v>
      </c>
      <c r="AL286" s="12">
        <f>SUM(AH286:AK286)</f>
        <v>-120693.922580186</v>
      </c>
      <c r="AM286" s="12">
        <f>-AM159</f>
        <v>-29902.2747596424</v>
      </c>
      <c r="AN286" s="12">
        <f>-AN159</f>
        <v>-32286.5551608215</v>
      </c>
      <c r="AO286" s="12">
        <f>-AO159</f>
        <v>-33956.6832153335</v>
      </c>
      <c r="AP286" s="12">
        <f>-AP159</f>
        <v>-39689.4662155257</v>
      </c>
      <c r="AQ286" s="12">
        <f>SUM(AM286:AP286)</f>
        <v>-135834.979351323</v>
      </c>
      <c r="AR286" s="12">
        <f>-AR159</f>
        <v>-37166.260620633</v>
      </c>
      <c r="AS286" s="12">
        <f>-AS159</f>
        <v>-40129.7404058728</v>
      </c>
      <c r="AT286" s="12">
        <f>-AT159</f>
        <v>-42205.582964433</v>
      </c>
      <c r="AU286" s="12">
        <f>-AU159</f>
        <v>-49330.9976286793</v>
      </c>
      <c r="AV286" s="12">
        <f>SUM(AR286:AU286)</f>
        <v>-168832.581619618</v>
      </c>
      <c r="AW286" s="12">
        <f>-AW159</f>
        <v>-46009.0130565349</v>
      </c>
      <c r="AX286" s="12">
        <f>-AX159</f>
        <v>-49677.5763678567</v>
      </c>
      <c r="AY286" s="12">
        <f>-AY159</f>
        <v>-52247.3120847472</v>
      </c>
      <c r="AZ286" s="12">
        <f>-AZ159</f>
        <v>-61068.0352580259</v>
      </c>
      <c r="BA286" s="12">
        <f>SUM(AW286:AZ286)</f>
        <v>-209001.936767165</v>
      </c>
      <c r="BB286" s="12">
        <f>-BB159</f>
        <v>-56725.6251336512</v>
      </c>
      <c r="BC286" s="12">
        <f>-BC159</f>
        <v>-61248.68558099</v>
      </c>
      <c r="BD286" s="12">
        <f>-BD159</f>
        <v>-64416.974907035</v>
      </c>
      <c r="BE286" s="12">
        <f>-BE159</f>
        <v>-75292.257876489</v>
      </c>
      <c r="BF286" s="12">
        <f>SUM(BB286:BE286)</f>
        <v>-257683.543498165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Proceeds from sale of fixed assets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0</v>
      </c>
      <c r="K287" s="12">
        <f>-K160</f>
        <v>0</v>
      </c>
      <c r="L287" s="12">
        <f>-L160</f>
        <v>0</v>
      </c>
      <c r="M287" s="12" t="n"/>
      <c r="N287" s="12">
        <f>-N160</f>
        <v>0</v>
      </c>
      <c r="O287" s="12">
        <f>-O160</f>
        <v>0</v>
      </c>
      <c r="P287" s="12">
        <f>-P160</f>
        <v>0</v>
      </c>
      <c r="Q287" s="12">
        <f>-Q160</f>
        <v>0</v>
      </c>
      <c r="R287" s="12">
        <f>SUM(N287:Q287)</f>
        <v>0</v>
      </c>
      <c r="S287" s="12">
        <f>-S160</f>
        <v>0</v>
      </c>
      <c r="T287" s="12">
        <f>-T160</f>
        <v>0</v>
      </c>
      <c r="U287" s="12">
        <f>-U160</f>
        <v>0</v>
      </c>
      <c r="V287" s="12">
        <f>-V160</f>
        <v>0</v>
      </c>
      <c r="W287" s="12">
        <f>SUM(S287:V287)</f>
        <v>0</v>
      </c>
      <c r="X287" s="12">
        <f>-X160</f>
        <v>0</v>
      </c>
      <c r="Y287" s="12">
        <f>-Y160</f>
        <v>0</v>
      </c>
      <c r="Z287" s="12">
        <f>-Z160</f>
        <v>0</v>
      </c>
      <c r="AA287" s="12">
        <f>-AA160</f>
        <v>0</v>
      </c>
      <c r="AB287" s="12">
        <f>SUM(X287:AA287)</f>
        <v>0</v>
      </c>
      <c r="AC287" s="12">
        <f>-AC160</f>
        <v>0</v>
      </c>
      <c r="AD287" s="12">
        <f>-AD160</f>
        <v>0</v>
      </c>
      <c r="AE287" s="12">
        <f>-AE160</f>
        <v>0</v>
      </c>
      <c r="AF287" s="12">
        <f>-AF160</f>
        <v>0</v>
      </c>
      <c r="AG287" s="12">
        <f>SUM(AC287:AF287)</f>
        <v>0</v>
      </c>
      <c r="AH287" s="12">
        <f>-AH160</f>
        <v>0</v>
      </c>
      <c r="AI287" s="12">
        <f>-AI160</f>
        <v>0</v>
      </c>
      <c r="AJ287" s="12">
        <f>-AJ160</f>
        <v>0</v>
      </c>
      <c r="AK287" s="12">
        <f>-AK160</f>
        <v>0</v>
      </c>
      <c r="AL287" s="12">
        <f>SUM(AH287:AK287)</f>
        <v>0</v>
      </c>
      <c r="AM287" s="12">
        <f>-AM160</f>
        <v>0</v>
      </c>
      <c r="AN287" s="12">
        <f>-AN160</f>
        <v>0</v>
      </c>
      <c r="AO287" s="12">
        <f>-AO160</f>
        <v>0</v>
      </c>
      <c r="AP287" s="12">
        <f>-AP160</f>
        <v>0</v>
      </c>
      <c r="AQ287" s="12">
        <f>SUM(AM287:AP287)</f>
        <v>0</v>
      </c>
      <c r="AR287" s="12">
        <f>-AR160</f>
        <v>0</v>
      </c>
      <c r="AS287" s="12">
        <f>-AS160</f>
        <v>0</v>
      </c>
      <c r="AT287" s="12">
        <f>-AT160</f>
        <v>0</v>
      </c>
      <c r="AU287" s="12">
        <f>-AU160</f>
        <v>0</v>
      </c>
      <c r="AV287" s="12">
        <f>SUM(AR287:AU287)</f>
        <v>0</v>
      </c>
      <c r="AW287" s="12">
        <f>-AW160</f>
        <v>0</v>
      </c>
      <c r="AX287" s="12">
        <f>-AX160</f>
        <v>0</v>
      </c>
      <c r="AY287" s="12">
        <f>-AY160</f>
        <v>0</v>
      </c>
      <c r="AZ287" s="12">
        <f>-AZ160</f>
        <v>0</v>
      </c>
      <c r="BA287" s="12">
        <f>SUM(AW287:AZ287)</f>
        <v>0</v>
      </c>
      <c r="BB287" s="12">
        <f>-BB160</f>
        <v>0</v>
      </c>
      <c r="BC287" s="12">
        <f>-BC160</f>
        <v>0</v>
      </c>
      <c r="BD287" s="12">
        <f>-BD160</f>
        <v>0</v>
      </c>
      <c r="BE287" s="12">
        <f>-BE160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Var.Right-of-use-assets</t>
        </is>
      </c>
      <c r="D288" s="12" t="n"/>
      <c r="E288" s="12" t="n"/>
      <c r="F288" s="12" t="n"/>
      <c r="G288" s="12" t="n"/>
      <c r="H288" s="12" t="n"/>
      <c r="I288" s="12" t="n"/>
      <c r="J288" s="12">
        <f>(J167-I167)*-1</f>
        <v>-323</v>
      </c>
      <c r="K288" s="12">
        <f>(K167-J167)*-1</f>
        <v>-538</v>
      </c>
      <c r="L288" s="12">
        <f>(L167-K167)*-1</f>
        <v>-1092</v>
      </c>
      <c r="M288" s="12" t="n"/>
      <c r="N288" s="12">
        <f>(N167-M167)*-1</f>
        <v>-86</v>
      </c>
      <c r="O288" s="12">
        <f>(O167-N167)*-1</f>
        <v>-1889</v>
      </c>
      <c r="P288" s="12">
        <f>(P167-O167)*-1</f>
        <v>489</v>
      </c>
      <c r="Q288" s="12">
        <f>(Q167-P167)*-1</f>
        <v>968</v>
      </c>
      <c r="R288" s="12">
        <f>SUM(N288:Q288)</f>
        <v>-518</v>
      </c>
      <c r="S288" s="12">
        <f>(S167-R167)*-1</f>
        <v>-226</v>
      </c>
      <c r="T288" s="12">
        <f>(T167-S167)*-1</f>
        <v>-56</v>
      </c>
      <c r="U288" s="12">
        <f>(U167-T167)*-1</f>
        <v>-78</v>
      </c>
      <c r="V288" s="12">
        <f>(V167-U167)*-1</f>
        <v>-261</v>
      </c>
      <c r="W288" s="12">
        <f>SUM(S288:V288)</f>
        <v>-621</v>
      </c>
      <c r="X288" s="12">
        <f>(X167-W167)*-1</f>
        <v>-261</v>
      </c>
      <c r="Y288" s="12">
        <f>(Y167-X167)*-1</f>
        <v>-503</v>
      </c>
      <c r="Z288" s="12">
        <f>(Z167-Y167)*-1</f>
        <v>-754</v>
      </c>
      <c r="AA288" s="12">
        <f>(AA167-Z167)*-1</f>
        <v>-110</v>
      </c>
      <c r="AB288" s="12">
        <f>SUM(X288:AA288)</f>
        <v>-1628</v>
      </c>
      <c r="AC288" s="12">
        <f>(AC167-AB167)*-1</f>
        <v>-583</v>
      </c>
      <c r="AD288" s="12">
        <f>(AD167-AC167)*-1</f>
        <v>-157</v>
      </c>
      <c r="AE288" s="12">
        <f>(AE167-AD167)*-1</f>
        <v>-1710</v>
      </c>
      <c r="AF288" s="12">
        <f>(AF167-AE167)*-1</f>
        <v>-3032</v>
      </c>
      <c r="AG288" s="12">
        <f>SUM(AC288:AF288)</f>
        <v>-5482</v>
      </c>
      <c r="AH288" s="12">
        <f>(AH167-AG167)*-1</f>
        <v>-2864</v>
      </c>
      <c r="AI288" s="12">
        <f>(AI167-AH167)*-1</f>
        <v>-717</v>
      </c>
      <c r="AJ288" s="12">
        <f>(AJ167-AI167)*-1</f>
        <v>0</v>
      </c>
      <c r="AK288" s="12">
        <f>(AK167-AJ167)*-1</f>
        <v>0</v>
      </c>
      <c r="AL288" s="12">
        <f>SUM(AH288:AK288)</f>
        <v>-3581</v>
      </c>
      <c r="AM288" s="12">
        <f>(AM167-AL167)*-1</f>
        <v>0</v>
      </c>
      <c r="AN288" s="12">
        <f>(AN167-AM167)*-1</f>
        <v>0</v>
      </c>
      <c r="AO288" s="12">
        <f>(AO167-AN167)*-1</f>
        <v>0</v>
      </c>
      <c r="AP288" s="12">
        <f>(AP167-AO167)*-1</f>
        <v>0</v>
      </c>
      <c r="AQ288" s="12">
        <f>SUM(AM288:AP288)</f>
        <v>0</v>
      </c>
      <c r="AR288" s="12">
        <f>(AR167-AQ167)*-1</f>
        <v>0</v>
      </c>
      <c r="AS288" s="12">
        <f>(AS167-AR167)*-1</f>
        <v>0</v>
      </c>
      <c r="AT288" s="12">
        <f>(AT167-AS167)*-1</f>
        <v>0</v>
      </c>
      <c r="AU288" s="12">
        <f>(AU167-AT167)*-1</f>
        <v>0</v>
      </c>
      <c r="AV288" s="12">
        <f>SUM(AR288:AU288)</f>
        <v>0</v>
      </c>
      <c r="AW288" s="12">
        <f>(AW167-AV167)*-1</f>
        <v>0</v>
      </c>
      <c r="AX288" s="12">
        <f>(AX167-AW167)*-1</f>
        <v>0</v>
      </c>
      <c r="AY288" s="12">
        <f>(AY167-AX167)*-1</f>
        <v>0</v>
      </c>
      <c r="AZ288" s="12">
        <f>(AZ167-AY167)*-1</f>
        <v>0</v>
      </c>
      <c r="BA288" s="12">
        <f>SUM(AW288:AZ288)</f>
        <v>0</v>
      </c>
      <c r="BB288" s="12">
        <f>(BB167-BA167)*-1</f>
        <v>0</v>
      </c>
      <c r="BC288" s="12">
        <f>(BC167-BB167)*-1</f>
        <v>0</v>
      </c>
      <c r="BD288" s="12">
        <f>(BD167-BC167)*-1</f>
        <v>0</v>
      </c>
      <c r="BE288" s="12">
        <f>(BE167-BD167)*-1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  <c r="CZ288" s="12" t="n"/>
      <c r="DA288" s="12" t="n"/>
      <c r="DB288" s="12" t="n"/>
      <c r="DC288" s="12" t="n"/>
    </row>
    <row r="289">
      <c r="C289" s="10" t="inlineStr">
        <is>
          <t>Purchases of intangible assets</t>
        </is>
      </c>
      <c r="D289" s="12" t="n"/>
      <c r="E289" s="12" t="n"/>
      <c r="F289" s="12" t="n"/>
      <c r="G289" s="12" t="n"/>
      <c r="H289" s="12" t="n"/>
      <c r="I289" s="12" t="n"/>
      <c r="J289" s="12">
        <f>((J171-I171)*-1)+((J170-I170)*-1)</f>
        <v>-172</v>
      </c>
      <c r="K289" s="12">
        <f>((K171-J171)*-1)+((K170-J170)*-1)</f>
        <v>303</v>
      </c>
      <c r="L289" s="12">
        <f>((L171-K171)*-1)+((L170-K170)*-1)</f>
        <v>-401</v>
      </c>
      <c r="M289" s="12" t="n"/>
      <c r="N289" s="12">
        <f>((N171-M171)*-1)+((N170-M170)*-1)</f>
        <v>-1002</v>
      </c>
      <c r="O289" s="12">
        <f>((O171-N171)*-1)+((O170-N170)*-1)</f>
        <v>-361</v>
      </c>
      <c r="P289" s="12">
        <f>((P171-O171)*-1)+((P170-O170)*-1)</f>
        <v>51</v>
      </c>
      <c r="Q289" s="12">
        <f>((Q171-P171)*-1)+((Q170-P170)*-1)</f>
        <v>-60</v>
      </c>
      <c r="R289" s="12">
        <f>SUM(N289:Q289)</f>
        <v>-1372</v>
      </c>
      <c r="S289" s="12">
        <f>((S171-R171)*-1)+((S170-R170)*-1)</f>
        <v>-395</v>
      </c>
      <c r="T289" s="12">
        <f>((T171-S171)*-1)+((T170-S170)*-1)</f>
        <v>83</v>
      </c>
      <c r="U289" s="12">
        <f>((U171-T171)*-1)+((U170-T170)*-1)</f>
        <v>34</v>
      </c>
      <c r="V289" s="12">
        <f>((V171-U171)*-1)+((V170-U170)*-1)</f>
        <v>39</v>
      </c>
      <c r="W289" s="12">
        <f>SUM(S289:V289)</f>
        <v>-239</v>
      </c>
      <c r="X289" s="12">
        <f>((X171-W171)*-1)+((X170-W170)*-1)</f>
        <v>788</v>
      </c>
      <c r="Y289" s="12">
        <f>((Y171-X171)*-1)+((Y170-X170)*-1)</f>
        <v>0</v>
      </c>
      <c r="Z289" s="12">
        <f>((Z171-Y171)*-1)+((Z170-Y170)*-1)</f>
        <v>0</v>
      </c>
      <c r="AA289" s="12">
        <f>((AA171-Z171)*-1)+((AA170-Z170)*-1)</f>
        <v>0</v>
      </c>
      <c r="AB289" s="12">
        <f>SUM(X289:AA289)</f>
        <v>788</v>
      </c>
      <c r="AC289" s="12">
        <f>((AC171-AB171)*-1)+((AC170-AB170)*-1)</f>
        <v>0</v>
      </c>
      <c r="AD289" s="12">
        <f>((AD171-AC171)*-1)+((AD170-AC170)*-1)</f>
        <v>0</v>
      </c>
      <c r="AE289" s="12">
        <f>((AE171-AD171)*-1)+((AE170-AD170)*-1)</f>
        <v>-504</v>
      </c>
      <c r="AF289" s="12">
        <f>((AF171-AE171)*-1)+((AF170-AE170)*-1)</f>
        <v>-3376</v>
      </c>
      <c r="AG289" s="12">
        <f>SUM(AC289:AF289)</f>
        <v>-3880</v>
      </c>
      <c r="AH289" s="12">
        <f>((AH171-AG171)*-1)+((AH170-AG170)*-1)</f>
        <v>-214</v>
      </c>
      <c r="AI289" s="12">
        <f>((AI171-AH171)*-1)+((AI170-AH170)*-1)</f>
        <v>1342</v>
      </c>
      <c r="AJ289" s="12">
        <f>((AJ171-AI171)*-1)+((AJ170-AI170)*-1)</f>
        <v>0</v>
      </c>
      <c r="AK289" s="12">
        <f>((AK171-AJ171)*-1)+((AK170-AJ170)*-1)</f>
        <v>0</v>
      </c>
      <c r="AL289" s="12">
        <f>SUM(AH289:AK289)</f>
        <v>1128</v>
      </c>
      <c r="AM289" s="12">
        <f>((AM171-AL171)*-1)+((AM170-AL170)*-1)</f>
        <v>0</v>
      </c>
      <c r="AN289" s="12">
        <f>((AN171-AM171)*-1)+((AN170-AM170)*-1)</f>
        <v>0</v>
      </c>
      <c r="AO289" s="12">
        <f>((AO171-AN171)*-1)+((AO170-AN170)*-1)</f>
        <v>0</v>
      </c>
      <c r="AP289" s="12">
        <f>((AP171-AO171)*-1)+((AP170-AO170)*-1)</f>
        <v>0</v>
      </c>
      <c r="AQ289" s="12">
        <f>SUM(AM289:AP289)</f>
        <v>0</v>
      </c>
      <c r="AR289" s="12">
        <f>((AR171-AQ171)*-1)+((AR170-AQ170)*-1)</f>
        <v>0</v>
      </c>
      <c r="AS289" s="12">
        <f>((AS171-AR171)*-1)+((AS170-AR170)*-1)</f>
        <v>0</v>
      </c>
      <c r="AT289" s="12">
        <f>((AT171-AS171)*-1)+((AT170-AS170)*-1)</f>
        <v>0</v>
      </c>
      <c r="AU289" s="12">
        <f>((AU171-AT171)*-1)+((AU170-AT170)*-1)</f>
        <v>0</v>
      </c>
      <c r="AV289" s="12">
        <f>SUM(AR289:AU289)</f>
        <v>0</v>
      </c>
      <c r="AW289" s="12">
        <f>((AW171-AV171)*-1)+((AW170-AV170)*-1)</f>
        <v>0</v>
      </c>
      <c r="AX289" s="12">
        <f>((AX171-AW171)*-1)+((AX170-AW170)*-1)</f>
        <v>0</v>
      </c>
      <c r="AY289" s="12">
        <f>((AY171-AX171)*-1)+((AY170-AX170)*-1)</f>
        <v>0</v>
      </c>
      <c r="AZ289" s="12">
        <f>((AZ171-AY171)*-1)+((AZ170-AY170)*-1)</f>
        <v>0</v>
      </c>
      <c r="BA289" s="12">
        <f>SUM(AW289:AZ289)</f>
        <v>0</v>
      </c>
      <c r="BB289" s="12">
        <f>((BB171-BA171)*-1)+((BB170-BA170)*-1)</f>
        <v>0</v>
      </c>
      <c r="BC289" s="12">
        <f>((BC171-BB171)*-1)+((BC170-BB170)*-1)</f>
        <v>0</v>
      </c>
      <c r="BD289" s="12">
        <f>((BD171-BC171)*-1)+((BD170-BC170)*-1)</f>
        <v>0</v>
      </c>
      <c r="BE289" s="12">
        <f>((BE171-BD171)*-1)+((BE170-BD170)*-1)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71" t="inlineStr">
        <is>
          <t>Purchases/Proceeds from other long-term assets</t>
        </is>
      </c>
      <c r="D290" s="12" t="n"/>
      <c r="E290" s="12" t="n"/>
      <c r="F290" s="12" t="n"/>
      <c r="G290" s="12" t="n"/>
      <c r="H290" s="12" t="n"/>
      <c r="I290" s="12" t="n"/>
      <c r="J290" s="12">
        <f>((J180-I180)*-1)+(J231-I231)</f>
        <v>-50</v>
      </c>
      <c r="K290" s="12">
        <f>((K180-J180)*-1)+(K231-J231)</f>
        <v>-893</v>
      </c>
      <c r="L290" s="12">
        <f>((L180-K180)*-1)+(L231-K231)</f>
        <v>787</v>
      </c>
      <c r="M290" s="12" t="n"/>
      <c r="N290" s="12">
        <f>((N180-M180)*-1)+(N231-M231)</f>
        <v>-988</v>
      </c>
      <c r="O290" s="12">
        <f>((O180-N180)*-1)+(O231-N231)</f>
        <v>-590</v>
      </c>
      <c r="P290" s="12">
        <f>((P180-O180)*-1)+(P231-O231)</f>
        <v>-676</v>
      </c>
      <c r="Q290" s="12">
        <f>((Q180-P180)*-1)+(Q231-P231)</f>
        <v>-467</v>
      </c>
      <c r="R290" s="12">
        <f>SUM(N290:Q290)</f>
        <v>-2721</v>
      </c>
      <c r="S290" s="12">
        <f>((S180-R180)*-1)+(S231-R231)</f>
        <v>-116</v>
      </c>
      <c r="T290" s="12">
        <f>((T180-S180)*-1)+(T231-S231)</f>
        <v>-1661</v>
      </c>
      <c r="U290" s="12">
        <f>((U180-T180)*-1)+(U231-T231)</f>
        <v>3300</v>
      </c>
      <c r="V290" s="12">
        <f>((V180-U180)*-1)+(V231-U231)</f>
        <v>-554</v>
      </c>
      <c r="W290" s="12">
        <f>SUM(S290:V290)</f>
        <v>969</v>
      </c>
      <c r="X290" s="12">
        <f>((X180-W180)*-1)+(X231-W231)</f>
        <v>-1089</v>
      </c>
      <c r="Y290" s="12">
        <f>((Y180-X180)*-1)+(Y231-X231)</f>
        <v>-599</v>
      </c>
      <c r="Z290" s="12">
        <f>((Z180-Y180)*-1)+(Z231-Y231)</f>
        <v>-456</v>
      </c>
      <c r="AA290" s="12">
        <f>((AA180-Z180)*-1)+(AA231-Z231)</f>
        <v>-189</v>
      </c>
      <c r="AB290" s="12">
        <f>SUM(X290:AA290)</f>
        <v>-2333</v>
      </c>
      <c r="AC290" s="12">
        <f>((AC180-AB180)*-1)+(AC231-AB231)</f>
        <v>-125</v>
      </c>
      <c r="AD290" s="12">
        <f>((AD180-AC180)*-1)+(AD231-AC231)</f>
        <v>-16481</v>
      </c>
      <c r="AE290" s="12">
        <f>((AE180-AD180)*-1)+(AE231-AD231)</f>
        <v>14937</v>
      </c>
      <c r="AF290" s="12">
        <f>((AF180-AE180)*-1)+(AF231-AE231)</f>
        <v>-2650</v>
      </c>
      <c r="AG290" s="12">
        <f>SUM(AC290:AF290)</f>
        <v>-4319</v>
      </c>
      <c r="AH290" s="12">
        <f>((AH180-AG180)*-1)+(AH231-AG231)</f>
        <v>-11529</v>
      </c>
      <c r="AI290" s="12">
        <f>((AI180-AH180)*-1)+(AI231-AH231)</f>
        <v>-6671</v>
      </c>
      <c r="AJ290" s="12">
        <f>((AJ180-AI180)*-1)+(AJ231-AI231)</f>
        <v>0</v>
      </c>
      <c r="AK290" s="12">
        <f>((AK180-AJ180)*-1)+(AK231-AJ231)</f>
        <v>0</v>
      </c>
      <c r="AL290" s="12">
        <f>SUM(AH290:AK290)</f>
        <v>-18200</v>
      </c>
      <c r="AM290" s="12">
        <f>((AM180-AL180)*-1)+(AM231-AL231)</f>
        <v>0</v>
      </c>
      <c r="AN290" s="12">
        <f>((AN180-AM180)*-1)+(AN231-AM231)</f>
        <v>0</v>
      </c>
      <c r="AO290" s="12">
        <f>((AO180-AN180)*-1)+(AO231-AN231)</f>
        <v>0</v>
      </c>
      <c r="AP290" s="12">
        <f>((AP180-AO180)*-1)+(AP231-AO231)</f>
        <v>0</v>
      </c>
      <c r="AQ290" s="12">
        <f>SUM(AM290:AP290)</f>
        <v>0</v>
      </c>
      <c r="AR290" s="12">
        <f>((AR180-AQ180)*-1)+(AR231-AQ231)</f>
        <v>0</v>
      </c>
      <c r="AS290" s="12">
        <f>((AS180-AR180)*-1)+(AS231-AR231)</f>
        <v>0</v>
      </c>
      <c r="AT290" s="12">
        <f>((AT180-AS180)*-1)+(AT231-AS231)</f>
        <v>0</v>
      </c>
      <c r="AU290" s="12">
        <f>((AU180-AT180)*-1)+(AU231-AT231)</f>
        <v>0</v>
      </c>
      <c r="AV290" s="12">
        <f>SUM(AR290:AU290)</f>
        <v>0</v>
      </c>
      <c r="AW290" s="12">
        <f>((AW180-AV180)*-1)+(AW231-AV231)</f>
        <v>0</v>
      </c>
      <c r="AX290" s="12">
        <f>((AX180-AW180)*-1)+(AX231-AW231)</f>
        <v>0</v>
      </c>
      <c r="AY290" s="12">
        <f>((AY180-AX180)*-1)+(AY231-AX231)</f>
        <v>0</v>
      </c>
      <c r="AZ290" s="12">
        <f>((AZ180-AY180)*-1)+(AZ231-AY231)</f>
        <v>0</v>
      </c>
      <c r="BA290" s="12">
        <f>SUM(AW290:AZ290)</f>
        <v>0</v>
      </c>
      <c r="BB290" s="12">
        <f>((BB180-BA180)*-1)+(BB231-BA231)</f>
        <v>0</v>
      </c>
      <c r="BC290" s="12">
        <f>((BC180-BB180)*-1)+(BC231-BB231)</f>
        <v>0</v>
      </c>
      <c r="BD290" s="12">
        <f>((BD180-BC180)*-1)+(BD231-BC231)</f>
        <v>0</v>
      </c>
      <c r="BE290" s="12">
        <f>((BE180-BD180)*-1)+(BE231-BD231)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Cash from investing</t>
        </is>
      </c>
      <c r="D291" s="12" t="n"/>
      <c r="E291" s="12" t="n"/>
      <c r="F291" s="12" t="n"/>
      <c r="G291" s="12" t="n"/>
      <c r="H291" s="12" t="n"/>
      <c r="I291" s="12" t="n"/>
      <c r="J291" s="12">
        <f>SUM(J286,J287,J289,J290,J288)</f>
        <v>-5720</v>
      </c>
      <c r="K291" s="12">
        <f>SUM(K286,K287,K289,K290,K288)</f>
        <v>-5940</v>
      </c>
      <c r="L291" s="12">
        <f>SUM(L286,L287,L289,L290,L288)</f>
        <v>-6803</v>
      </c>
      <c r="M291" s="12" t="n"/>
      <c r="N291" s="12">
        <f>SUM(N286,N287,N289,N290,N288)</f>
        <v>-8005</v>
      </c>
      <c r="O291" s="12">
        <f>SUM(O286,O287,O289,O290,O288)</f>
        <v>-10825</v>
      </c>
      <c r="P291" s="12">
        <f>SUM(P286,P287,P289,P290,P288)</f>
        <v>-8461</v>
      </c>
      <c r="Q291" s="12">
        <f>SUM(Q286,Q287,Q289,Q290,Q288)</f>
        <v>-7715</v>
      </c>
      <c r="R291" s="12">
        <f>SUM(R286,R287,R289,R290)</f>
        <v>-34488</v>
      </c>
      <c r="S291" s="12">
        <f>SUM(S286,S287,S289,S290,S288)</f>
        <v>-7899</v>
      </c>
      <c r="T291" s="12">
        <f>SUM(T286,T287,T289,T290,T288)</f>
        <v>-8050</v>
      </c>
      <c r="U291" s="12">
        <f>SUM(U286,U287,U289,U290,U288)</f>
        <v>-3426</v>
      </c>
      <c r="V291" s="12">
        <f>SUM(V286,V287,V289,V290,V288)</f>
        <v>-8763</v>
      </c>
      <c r="W291" s="12">
        <f>SUM(W286,W287,W289,W290)</f>
        <v>-27517</v>
      </c>
      <c r="X291" s="12">
        <f>SUM(X286,X287,X289,X290,X288)</f>
        <v>-6257</v>
      </c>
      <c r="Y291" s="12">
        <f>SUM(Y286,Y287,Y289,Y290,Y288)</f>
        <v>-8790</v>
      </c>
      <c r="Z291" s="12">
        <f>SUM(Z286,Z287,Z289,Z290,Z288)</f>
        <v>-14440</v>
      </c>
      <c r="AA291" s="12">
        <f>SUM(AA286,AA287,AA289,AA290,AA288)</f>
        <v>-13943</v>
      </c>
      <c r="AB291" s="12">
        <f>SUM(AB286,AB287,AB289,AB290)</f>
        <v>-41802</v>
      </c>
      <c r="AC291" s="12">
        <f>SUM(AC286,AC287,AC289,AC290,AC288)</f>
        <v>-16829</v>
      </c>
      <c r="AD291" s="12">
        <f>SUM(AD286,AD287,AD289,AD290,AD288)</f>
        <v>-34452</v>
      </c>
      <c r="AE291" s="12">
        <f>SUM(AE286,AE287,AE289,AE290,AE288)</f>
        <v>-5471</v>
      </c>
      <c r="AF291" s="12">
        <f>SUM(AF286,AF287,AF289,AF290,AF288)</f>
        <v>-30599</v>
      </c>
      <c r="AG291" s="12">
        <f>SUM(AG286,AG287,AG289,AG290)</f>
        <v>-81869</v>
      </c>
      <c r="AH291" s="12">
        <f>SUM(AH286,AH287,AH289,AH290,AH288)</f>
        <v>-38982</v>
      </c>
      <c r="AI291" s="12">
        <f>SUM(AI286,AI287,AI289,AI290,AI288)</f>
        <v>-43350</v>
      </c>
      <c r="AJ291" s="12">
        <f>SUM(AJ286,AJ287,AJ289,AJ290,AJ288)</f>
        <v>-27210.5337009394</v>
      </c>
      <c r="AK291" s="12">
        <f>SUM(AK286,AK287,AK289,AK290,AK288)</f>
        <v>-31804.3888792467</v>
      </c>
      <c r="AL291" s="12">
        <f>SUM(AL286,AL287,AL289,AL290)</f>
        <v>-137765.922580186</v>
      </c>
      <c r="AM291" s="12">
        <f>SUM(AM286,AM287,AM289,AM290,AM288)</f>
        <v>-29902.2747596424</v>
      </c>
      <c r="AN291" s="12">
        <f>SUM(AN286,AN287,AN289,AN290,AN288)</f>
        <v>-32286.5551608215</v>
      </c>
      <c r="AO291" s="12">
        <f>SUM(AO286,AO287,AO289,AO290,AO288)</f>
        <v>-33956.6832153335</v>
      </c>
      <c r="AP291" s="12">
        <f>SUM(AP286,AP287,AP289,AP290,AP288)</f>
        <v>-39689.4662155257</v>
      </c>
      <c r="AQ291" s="12">
        <f>SUM(AQ286,AQ287,AQ289,AQ290)</f>
        <v>-135834.979351323</v>
      </c>
      <c r="AR291" s="12">
        <f>SUM(AR286,AR287,AR289,AR290,AR288)</f>
        <v>-37166.260620633</v>
      </c>
      <c r="AS291" s="12">
        <f>SUM(AS286,AS287,AS289,AS290,AS288)</f>
        <v>-40129.7404058728</v>
      </c>
      <c r="AT291" s="12">
        <f>SUM(AT286,AT287,AT289,AT290,AT288)</f>
        <v>-42205.582964433</v>
      </c>
      <c r="AU291" s="12">
        <f>SUM(AU286,AU287,AU289,AU290,AU288)</f>
        <v>-49330.9976286793</v>
      </c>
      <c r="AV291" s="12">
        <f>SUM(AV286,AV287,AV289,AV290)</f>
        <v>-168832.581619618</v>
      </c>
      <c r="AW291" s="12">
        <f>SUM(AW286,AW287,AW289,AW290,AW288)</f>
        <v>-46009.0130565349</v>
      </c>
      <c r="AX291" s="12">
        <f>SUM(AX286,AX287,AX289,AX290,AX288)</f>
        <v>-49677.5763678567</v>
      </c>
      <c r="AY291" s="12">
        <f>SUM(AY286,AY287,AY289,AY290,AY288)</f>
        <v>-52247.3120847472</v>
      </c>
      <c r="AZ291" s="12">
        <f>SUM(AZ286,AZ287,AZ289,AZ290,AZ288)</f>
        <v>-61068.0352580259</v>
      </c>
      <c r="BA291" s="12">
        <f>SUM(BA286,BA287,BA289,BA290)</f>
        <v>-209001.936767165</v>
      </c>
      <c r="BB291" s="12">
        <f>SUM(BB286,BB287,BB289,BB290,BB288)</f>
        <v>-56725.6251336512</v>
      </c>
      <c r="BC291" s="12">
        <f>SUM(BC286,BC287,BC289,BC290,BC288)</f>
        <v>-61248.68558099</v>
      </c>
      <c r="BD291" s="12">
        <f>SUM(BD286,BD287,BD289,BD290,BD288)</f>
        <v>-64416.974907035</v>
      </c>
      <c r="BE291" s="12">
        <f>SUM(BE286,BE287,BE289,BE290,BE288)</f>
        <v>-75292.257876489</v>
      </c>
      <c r="BF291" s="12">
        <f>SUM(BF286,BF287,BF289,BF290)</f>
        <v>-257683.543498165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inlineStr">
        <is>
          <t>Convertible preferred stock</t>
        </is>
      </c>
      <c r="D293" s="12" t="n"/>
      <c r="E293" s="12" t="n"/>
      <c r="F293" s="12" t="n"/>
      <c r="G293" s="12" t="n"/>
      <c r="H293" s="12" t="n"/>
      <c r="I293" s="12" t="n"/>
      <c r="J293" s="12">
        <f>J244-I244</f>
        <v>0</v>
      </c>
      <c r="K293" s="12">
        <f>K244-J244</f>
        <v>0</v>
      </c>
      <c r="L293" s="12">
        <f>L244-K244</f>
        <v>0</v>
      </c>
      <c r="M293" s="12" t="n"/>
      <c r="N293" s="12">
        <f>N244-M244</f>
        <v>0</v>
      </c>
      <c r="O293" s="12">
        <f>O244-N244</f>
        <v>0</v>
      </c>
      <c r="P293" s="12">
        <f>P244-O244</f>
        <v>0</v>
      </c>
      <c r="Q293" s="12">
        <f>Q244-P244</f>
        <v>0</v>
      </c>
      <c r="R293" s="12">
        <f>SUM(N293:Q293)</f>
        <v>0</v>
      </c>
      <c r="S293" s="12">
        <f>S244-R244</f>
        <v>0</v>
      </c>
      <c r="T293" s="12">
        <f>T244-S244</f>
        <v>0</v>
      </c>
      <c r="U293" s="12">
        <f>U244-T244</f>
        <v>0</v>
      </c>
      <c r="V293" s="12">
        <f>V244-U244</f>
        <v>0</v>
      </c>
      <c r="W293" s="12">
        <f>SUM(S293:V293)</f>
        <v>0</v>
      </c>
      <c r="X293" s="12">
        <f>X244-W244</f>
        <v>0</v>
      </c>
      <c r="Y293" s="12">
        <f>Y244-X244</f>
        <v>0</v>
      </c>
      <c r="Z293" s="12">
        <f>Z244-Y244</f>
        <v>0</v>
      </c>
      <c r="AA293" s="12">
        <f>AA244-Z244</f>
        <v>0</v>
      </c>
      <c r="AB293" s="12">
        <f>SUM(X293:AA293)</f>
        <v>0</v>
      </c>
      <c r="AC293" s="12">
        <f>AC244-AB244</f>
        <v>0</v>
      </c>
      <c r="AD293" s="12">
        <f>AD244-AC244</f>
        <v>0</v>
      </c>
      <c r="AE293" s="12">
        <f>AE244-AD244</f>
        <v>0</v>
      </c>
      <c r="AF293" s="12">
        <f>AF244-AE244</f>
        <v>0</v>
      </c>
      <c r="AG293" s="12">
        <f>SUM(AC293:AF293)</f>
        <v>0</v>
      </c>
      <c r="AH293" s="12">
        <f>AH244-AG244</f>
        <v>0</v>
      </c>
      <c r="AI293" s="12">
        <f>AI244-AH244</f>
        <v>0</v>
      </c>
      <c r="AJ293" s="12">
        <f>AJ244-AI244</f>
        <v>0</v>
      </c>
      <c r="AK293" s="12">
        <f>AK244-AJ244</f>
        <v>0</v>
      </c>
      <c r="AL293" s="12">
        <f>SUM(AH293:AK293)</f>
        <v>0</v>
      </c>
      <c r="AM293" s="12">
        <f>AM244-AL244</f>
        <v>0</v>
      </c>
      <c r="AN293" s="12">
        <f>AN244-AM244</f>
        <v>0</v>
      </c>
      <c r="AO293" s="12">
        <f>AO244-AN244</f>
        <v>0</v>
      </c>
      <c r="AP293" s="12">
        <f>AP244-AO244</f>
        <v>0</v>
      </c>
      <c r="AQ293" s="12">
        <f>SUM(AM293:AP293)</f>
        <v>0</v>
      </c>
      <c r="AR293" s="12">
        <f>AR244-AQ244</f>
        <v>0</v>
      </c>
      <c r="AS293" s="12">
        <f>AS244-AR244</f>
        <v>0</v>
      </c>
      <c r="AT293" s="12">
        <f>AT244-AS244</f>
        <v>0</v>
      </c>
      <c r="AU293" s="12">
        <f>AU244-AT244</f>
        <v>0</v>
      </c>
      <c r="AV293" s="12">
        <f>SUM(AR293:AU293)</f>
        <v>0</v>
      </c>
      <c r="AW293" s="12">
        <f>AW244-AV244</f>
        <v>0</v>
      </c>
      <c r="AX293" s="12">
        <f>AX244-AW244</f>
        <v>0</v>
      </c>
      <c r="AY293" s="12">
        <f>AY244-AX244</f>
        <v>0</v>
      </c>
      <c r="AZ293" s="12">
        <f>AZ244-AY244</f>
        <v>0</v>
      </c>
      <c r="BA293" s="12">
        <f>SUM(AW293:AZ293)</f>
        <v>0</v>
      </c>
      <c r="BB293" s="12">
        <f>BB244-BA244</f>
        <v>0</v>
      </c>
      <c r="BC293" s="12">
        <f>BC244-BB244</f>
        <v>0</v>
      </c>
      <c r="BD293" s="12">
        <f>BD244-BC244</f>
        <v>0</v>
      </c>
      <c r="BE293" s="12">
        <f>BE244-BD244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Common stock and APIC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1685</v>
      </c>
      <c r="K294" s="12">
        <f>K245-J245</f>
        <v>1489</v>
      </c>
      <c r="L294" s="12">
        <f>L245-K245</f>
        <v>1477</v>
      </c>
      <c r="M294" s="12" t="n"/>
      <c r="N294" s="12">
        <f>N245-M245</f>
        <v>1701</v>
      </c>
      <c r="O294" s="12">
        <f>O245-N245</f>
        <v>2417</v>
      </c>
      <c r="P294" s="12">
        <f>P245-O245</f>
        <v>2163</v>
      </c>
      <c r="Q294" s="12">
        <f>Q245-P245</f>
        <v>2352</v>
      </c>
      <c r="R294" s="12">
        <f>SUM(N294:Q294)</f>
        <v>8633</v>
      </c>
      <c r="S294" s="12">
        <f>S245-R245</f>
        <v>2091</v>
      </c>
      <c r="T294" s="12">
        <f>T245-S245</f>
        <v>2624</v>
      </c>
      <c r="U294" s="12">
        <f>U245-T245</f>
        <v>2065</v>
      </c>
      <c r="V294" s="12">
        <f>V245-U245</f>
        <v>2029</v>
      </c>
      <c r="W294" s="12">
        <f>SUM(S294:V294)</f>
        <v>8809</v>
      </c>
      <c r="X294" s="12">
        <f>X245-W245</f>
        <v>2138</v>
      </c>
      <c r="Y294" s="12">
        <f>Y245-X245</f>
        <v>2879</v>
      </c>
      <c r="Z294" s="12">
        <f>Z245-Y245</f>
        <v>2479</v>
      </c>
      <c r="AA294" s="12">
        <f>AA245-Z245</f>
        <v>2479</v>
      </c>
      <c r="AB294" s="12">
        <f>SUM(X294:AA294)</f>
        <v>9975</v>
      </c>
      <c r="AC294" s="12">
        <f>AC245-AB245</f>
        <v>2340</v>
      </c>
      <c r="AD294" s="12">
        <f>AD245-AC245</f>
        <v>2928</v>
      </c>
      <c r="AE294" s="12">
        <f>AE245-AD245</f>
        <v>3834</v>
      </c>
      <c r="AF294" s="12">
        <f>AF245-AE245</f>
        <v>3463</v>
      </c>
      <c r="AG294" s="12">
        <f>SUM(AC294:AF294)</f>
        <v>12565</v>
      </c>
      <c r="AH294" s="12">
        <f>AH245-AG245</f>
        <v>3544</v>
      </c>
      <c r="AI294" s="12">
        <f>AI245-AH245</f>
        <v>4644</v>
      </c>
      <c r="AJ294" s="12">
        <f>AJ245-AI245</f>
        <v>0</v>
      </c>
      <c r="AK294" s="12">
        <f>AK245-AJ245</f>
        <v>0</v>
      </c>
      <c r="AL294" s="12">
        <f>SUM(AH294:AK294)</f>
        <v>8188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Treasury stock repurchases</t>
        </is>
      </c>
      <c r="D295" s="12" t="n"/>
      <c r="E295" s="12" t="n"/>
      <c r="F295" s="12" t="n"/>
      <c r="G295" s="12" t="n"/>
      <c r="H295" s="12" t="n"/>
      <c r="I295" s="12" t="n"/>
      <c r="J295" s="12">
        <f>J258-I258</f>
        <v>0</v>
      </c>
      <c r="K295" s="12">
        <f>K258-J258</f>
        <v>0</v>
      </c>
      <c r="L295" s="12">
        <f>L258-K258</f>
        <v>0</v>
      </c>
      <c r="M295" s="12" t="n"/>
      <c r="N295" s="12">
        <f>N258-M258</f>
        <v>0</v>
      </c>
      <c r="O295" s="12">
        <f>O258-N258</f>
        <v>0</v>
      </c>
      <c r="P295" s="12">
        <f>P258-O258</f>
        <v>0</v>
      </c>
      <c r="Q295" s="12">
        <f>Q258-P258</f>
        <v>0</v>
      </c>
      <c r="R295" s="12">
        <f>SUM(N295:Q295)</f>
        <v>0</v>
      </c>
      <c r="S295" s="12">
        <f>S258-R258</f>
        <v>0</v>
      </c>
      <c r="T295" s="12">
        <f>T258-S258</f>
        <v>0</v>
      </c>
      <c r="U295" s="12">
        <f>U258-T258</f>
        <v>0</v>
      </c>
      <c r="V295" s="12">
        <f>V258-U258</f>
        <v>0</v>
      </c>
      <c r="W295" s="12">
        <f>SUM(S295:V295)</f>
        <v>0</v>
      </c>
      <c r="X295" s="12">
        <f>X258-W258</f>
        <v>0</v>
      </c>
      <c r="Y295" s="12">
        <f>Y258-X258</f>
        <v>0</v>
      </c>
      <c r="Z295" s="12">
        <f>Z258-Y258</f>
        <v>0</v>
      </c>
      <c r="AA295" s="12">
        <f>AA258-Z258</f>
        <v>0</v>
      </c>
      <c r="AB295" s="12">
        <f>SUM(X295:AA295)</f>
        <v>0</v>
      </c>
      <c r="AC295" s="12">
        <f>AC258-AB258</f>
        <v>0</v>
      </c>
      <c r="AD295" s="12">
        <f>AD258-AC258</f>
        <v>0</v>
      </c>
      <c r="AE295" s="12">
        <f>AE258-AD258</f>
        <v>0</v>
      </c>
      <c r="AF295" s="12">
        <f>AF258-AE258</f>
        <v>0</v>
      </c>
      <c r="AG295" s="12">
        <f>SUM(AC295:AF295)</f>
        <v>0</v>
      </c>
      <c r="AH295" s="12">
        <f>AH258-AG258</f>
        <v>0</v>
      </c>
      <c r="AI295" s="12">
        <f>AI258-AH258</f>
        <v>0</v>
      </c>
      <c r="AJ295" s="12">
        <f>AJ258-AI258</f>
        <v>0</v>
      </c>
      <c r="AK295" s="12">
        <f>AK258-AJ258</f>
        <v>0</v>
      </c>
      <c r="AL295" s="12">
        <f>SUM(AH295:AK295)</f>
        <v>0</v>
      </c>
      <c r="AM295" s="12">
        <f>AM258-AL258</f>
        <v>0</v>
      </c>
      <c r="AN295" s="12">
        <f>AN258-AM258</f>
        <v>0</v>
      </c>
      <c r="AO295" s="12">
        <f>AO258-AN258</f>
        <v>0</v>
      </c>
      <c r="AP295" s="12">
        <f>AP258-AO258</f>
        <v>0</v>
      </c>
      <c r="AQ295" s="12">
        <f>SUM(AM295:AP295)</f>
        <v>0</v>
      </c>
      <c r="AR295" s="12">
        <f>AR258-AQ258</f>
        <v>0</v>
      </c>
      <c r="AS295" s="12">
        <f>AS258-AR258</f>
        <v>0</v>
      </c>
      <c r="AT295" s="12">
        <f>AT258-AS258</f>
        <v>0</v>
      </c>
      <c r="AU295" s="12">
        <f>AU258-AT258</f>
        <v>0</v>
      </c>
      <c r="AV295" s="12">
        <f>SUM(AR295:AU295)</f>
        <v>0</v>
      </c>
      <c r="AW295" s="12">
        <f>AW258-AV258</f>
        <v>0</v>
      </c>
      <c r="AX295" s="12">
        <f>AX258-AW258</f>
        <v>0</v>
      </c>
      <c r="AY295" s="12">
        <f>AY258-AX258</f>
        <v>0</v>
      </c>
      <c r="AZ295" s="12">
        <f>AZ258-AY258</f>
        <v>0</v>
      </c>
      <c r="BA295" s="12">
        <f>SUM(AW295:AZ295)</f>
        <v>0</v>
      </c>
      <c r="BB295" s="12">
        <f>BB258-BA258</f>
        <v>0</v>
      </c>
      <c r="BC295" s="12">
        <f>BC258-BB258</f>
        <v>0</v>
      </c>
      <c r="BD295" s="12">
        <f>BD258-BC258</f>
        <v>0</v>
      </c>
      <c r="BE295" s="12">
        <f>BE258-BD258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Comprehensive accumulated loss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131</v>
      </c>
      <c r="K296" s="12">
        <f>K259-J259</f>
        <v>-492</v>
      </c>
      <c r="L296" s="12">
        <f>L259-K259</f>
        <v>-486</v>
      </c>
      <c r="M296" s="12" t="n"/>
      <c r="N296" s="12">
        <f>N259-M259</f>
        <v>-1303</v>
      </c>
      <c r="O296" s="12">
        <f>O259-N259</f>
        <v>-1415</v>
      </c>
      <c r="P296" s="12">
        <f>P259-O259</f>
        <v>-1643</v>
      </c>
      <c r="Q296" s="12">
        <f>Q259-P259</f>
        <v>1524</v>
      </c>
      <c r="R296" s="12">
        <f>SUM(N296:Q296)</f>
        <v>-2837</v>
      </c>
      <c r="S296" s="12">
        <f>S259-R259</f>
        <v>549</v>
      </c>
      <c r="T296" s="12">
        <f>T259-S259</f>
        <v>-125</v>
      </c>
      <c r="U296" s="12">
        <f>U259-T259</f>
        <v>-450</v>
      </c>
      <c r="V296" s="12">
        <f>V259-U259</f>
        <v>1401</v>
      </c>
      <c r="W296" s="12">
        <f>SUM(S296:V296)</f>
        <v>1375</v>
      </c>
      <c r="X296" s="12">
        <f>X259-W259</f>
        <v>-500</v>
      </c>
      <c r="Y296" s="12">
        <f>Y259-X259</f>
        <v>-40</v>
      </c>
      <c r="Z296" s="12">
        <f>Z259-Y259</f>
        <v>1503</v>
      </c>
      <c r="AA296" s="12">
        <f>AA259-Z259</f>
        <v>-1905</v>
      </c>
      <c r="AB296" s="12">
        <f>SUM(X296:AA296)</f>
        <v>-942</v>
      </c>
      <c r="AC296" s="12">
        <f>AC259-AB259</f>
        <v>1232</v>
      </c>
      <c r="AD296" s="12">
        <f>AD259-AC259</f>
        <v>2094</v>
      </c>
      <c r="AE296" s="12">
        <f>AE259-AD259</f>
        <v>-70</v>
      </c>
      <c r="AF296" s="12">
        <f>AF259-AE259</f>
        <v>112</v>
      </c>
      <c r="AG296" s="12">
        <f>SUM(AC296:AF296)</f>
        <v>3368</v>
      </c>
      <c r="AH296" s="12">
        <f>AH259-AG259</f>
        <v>-574</v>
      </c>
      <c r="AI296" s="12">
        <f>AI259-AH259</f>
        <v>-300</v>
      </c>
      <c r="AJ296" s="12">
        <f>AJ259-AI259</f>
        <v>0</v>
      </c>
      <c r="AK296" s="12">
        <f>AK259-AJ259</f>
        <v>0</v>
      </c>
      <c r="AL296" s="12">
        <f>SUM(AH296:AK296)</f>
        <v>-874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Other equity account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0</v>
      </c>
      <c r="K297" s="12">
        <f>K260-J260</f>
        <v>0</v>
      </c>
      <c r="L297" s="12">
        <f>L260-K260</f>
        <v>0</v>
      </c>
      <c r="M297" s="12" t="n"/>
      <c r="N297" s="12">
        <f>N260-M260</f>
        <v>0</v>
      </c>
      <c r="O297" s="12">
        <f>O260-N260</f>
        <v>0</v>
      </c>
      <c r="P297" s="12">
        <f>P260-O260</f>
        <v>0</v>
      </c>
      <c r="Q297" s="12">
        <f>Q260-P260</f>
        <v>0</v>
      </c>
      <c r="R297" s="12">
        <f>SUM(N297:Q297)</f>
        <v>0</v>
      </c>
      <c r="S297" s="12">
        <f>S260-R260</f>
        <v>0</v>
      </c>
      <c r="T297" s="12">
        <f>T260-S260</f>
        <v>0</v>
      </c>
      <c r="U297" s="12">
        <f>U260-T260</f>
        <v>0</v>
      </c>
      <c r="V297" s="12">
        <f>V260-U260</f>
        <v>0</v>
      </c>
      <c r="W297" s="12">
        <f>SUM(S297:V297)</f>
        <v>0</v>
      </c>
      <c r="X297" s="12">
        <f>X260-W260</f>
        <v>0</v>
      </c>
      <c r="Y297" s="12">
        <f>Y260-X260</f>
        <v>0</v>
      </c>
      <c r="Z297" s="12">
        <f>Z260-Y260</f>
        <v>0</v>
      </c>
      <c r="AA297" s="12">
        <f>AA260-Z260</f>
        <v>0</v>
      </c>
      <c r="AB297" s="12">
        <f>SUM(X297:AA297)</f>
        <v>0</v>
      </c>
      <c r="AC297" s="12">
        <f>AC260-AB260</f>
        <v>0</v>
      </c>
      <c r="AD297" s="12">
        <f>AD260-AC260</f>
        <v>0</v>
      </c>
      <c r="AE297" s="12">
        <f>AE260-AD260</f>
        <v>0</v>
      </c>
      <c r="AF297" s="12">
        <f>AF260-AE260</f>
        <v>0</v>
      </c>
      <c r="AG297" s="12">
        <f>SUM(AC297:AF297)</f>
        <v>0</v>
      </c>
      <c r="AH297" s="12">
        <f>AH260-AG260</f>
        <v>0</v>
      </c>
      <c r="AI297" s="12">
        <f>AI260-AH260</f>
        <v>0</v>
      </c>
      <c r="AJ297" s="12">
        <f>AJ260-AI260</f>
        <v>0</v>
      </c>
      <c r="AK297" s="12">
        <f>AK260-AJ260</f>
        <v>0</v>
      </c>
      <c r="AL297" s="12">
        <f>SUM(AH297:AK297)</f>
        <v>0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Common and preferred dividends</t>
        </is>
      </c>
      <c r="D298" s="12" t="n"/>
      <c r="E298" s="12" t="n"/>
      <c r="F298" s="12" t="n"/>
      <c r="G298" s="12" t="n"/>
      <c r="H298" s="12" t="n"/>
      <c r="I298" s="12" t="n"/>
      <c r="J298" s="12">
        <f>(J261-I261)-J268</f>
        <v>-7640</v>
      </c>
      <c r="K298" s="12">
        <f>(K261-J261)-K268</f>
        <v>-15058</v>
      </c>
      <c r="L298" s="12">
        <f>(L261-K261)-L268</f>
        <v>-19757</v>
      </c>
      <c r="M298" s="12" t="n"/>
      <c r="N298" s="12">
        <f>(N261-M261)-N268</f>
        <v>-9514</v>
      </c>
      <c r="O298" s="12">
        <f>(O261-N261)-O268</f>
        <v>-5150</v>
      </c>
      <c r="P298" s="12">
        <f>(P261-O261)-P268</f>
        <v>-6588</v>
      </c>
      <c r="Q298" s="12">
        <f>(Q261-P261)-Q268</f>
        <v>-6910</v>
      </c>
      <c r="R298" s="12">
        <f>SUM(N298:Q298)</f>
        <v>-28162</v>
      </c>
      <c r="S298" s="12">
        <f>(S261-R261)-S268</f>
        <v>-9267</v>
      </c>
      <c r="T298" s="12">
        <f>(T261-S261)-T268</f>
        <v>-1049</v>
      </c>
      <c r="U298" s="12">
        <f>(U261-T261)-U268</f>
        <v>-4358</v>
      </c>
      <c r="V298" s="12">
        <f>(V261-U261)-V268</f>
        <v>-7152</v>
      </c>
      <c r="W298" s="12">
        <f>SUM(S298:V298)</f>
        <v>-21826</v>
      </c>
      <c r="X298" s="12">
        <f>(X261-W261)-X268</f>
        <v>-17646</v>
      </c>
      <c r="Y298" s="12">
        <f>(Y261-X261)-Y268</f>
        <v>-9070</v>
      </c>
      <c r="Z298" s="12">
        <f>(Z261-Y261)-Z268</f>
        <v>-11904</v>
      </c>
      <c r="AA298" s="12">
        <f>(AA261-Z261)-AA268</f>
        <v>-3304</v>
      </c>
      <c r="AB298" s="12">
        <f>SUM(X298:AA298)</f>
        <v>-41924</v>
      </c>
      <c r="AC298" s="12">
        <f>(AC261-AB261)-AC268</f>
        <v>-17824</v>
      </c>
      <c r="AD298" s="12">
        <f>(AD261-AC261)-AD268</f>
        <v>-13318</v>
      </c>
      <c r="AE298" s="12">
        <f>(AE261-AD261)-AE268</f>
        <v>-7477</v>
      </c>
      <c r="AF298" s="12">
        <f>(AF261-AE261)-AF268</f>
        <v>-3166</v>
      </c>
      <c r="AG298" s="12">
        <f>SUM(AC298:AF298)</f>
        <v>-41785</v>
      </c>
      <c r="AH298" s="12">
        <f>(AH261-AG261)-AH268</f>
        <v>-3305</v>
      </c>
      <c r="AI298" s="12">
        <f>(AI261-AH261)-AI268</f>
        <v>-2652</v>
      </c>
      <c r="AJ298" s="12">
        <f>(AJ261-AI261)-AJ268</f>
        <v>0</v>
      </c>
      <c r="AK298" s="12">
        <f>(AK261-AJ261)-AK268</f>
        <v>0</v>
      </c>
      <c r="AL298" s="12">
        <f>SUM(AH298:AK298)</f>
        <v>-5957</v>
      </c>
      <c r="AM298" s="12">
        <f>(AM261-AL261)-AM268</f>
        <v>0</v>
      </c>
      <c r="AN298" s="12">
        <f>(AN261-AM261)-AN268</f>
        <v>0</v>
      </c>
      <c r="AO298" s="12">
        <f>(AO261-AN261)-AO268</f>
        <v>0</v>
      </c>
      <c r="AP298" s="12">
        <f>(AP261-AO261)-AP268</f>
        <v>0</v>
      </c>
      <c r="AQ298" s="12">
        <f>SUM(AM298:AP298)</f>
        <v>0</v>
      </c>
      <c r="AR298" s="12">
        <f>(AR261-AQ261)-AR268</f>
        <v>0</v>
      </c>
      <c r="AS298" s="12">
        <f>(AS261-AR261)-AS268</f>
        <v>0</v>
      </c>
      <c r="AT298" s="12">
        <f>(AT261-AS261)-AT268</f>
        <v>0</v>
      </c>
      <c r="AU298" s="12">
        <f>(AU261-AT261)-AU268</f>
        <v>0</v>
      </c>
      <c r="AV298" s="12">
        <f>SUM(AR298:AU298)</f>
        <v>0</v>
      </c>
      <c r="AW298" s="12">
        <f>(AW261-AV261)-AW268</f>
        <v>0</v>
      </c>
      <c r="AX298" s="12">
        <f>(AX261-AW261)-AX268</f>
        <v>0</v>
      </c>
      <c r="AY298" s="12">
        <f>(AY261-AX261)-AY268</f>
        <v>0</v>
      </c>
      <c r="AZ298" s="12">
        <f>(AZ261-AY261)-AZ268</f>
        <v>0</v>
      </c>
      <c r="BA298" s="12">
        <f>SUM(AW298:AZ298)</f>
        <v>0</v>
      </c>
      <c r="BB298" s="12">
        <f>(BB261-BA261)-BB268</f>
        <v>0</v>
      </c>
      <c r="BC298" s="12">
        <f>(BC261-BB261)-BC268</f>
        <v>0</v>
      </c>
      <c r="BD298" s="12">
        <f>(BD261-BC261)-BD268</f>
        <v>0</v>
      </c>
      <c r="BE298" s="12">
        <f>(BE261-BD261)-BE268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Dividends to minority interests</t>
        </is>
      </c>
      <c r="D299" s="12" t="n"/>
      <c r="E299" s="12" t="n"/>
      <c r="F299" s="12" t="n"/>
      <c r="G299" s="12" t="n"/>
      <c r="H299" s="12" t="n"/>
      <c r="I299" s="12" t="n"/>
      <c r="J299" s="12">
        <f>(J239-I239)+J127</f>
        <v>0</v>
      </c>
      <c r="K299" s="12">
        <f>(K239-J239)+K127</f>
        <v>0</v>
      </c>
      <c r="L299" s="12">
        <f>(L239-K239)+L127</f>
        <v>0</v>
      </c>
      <c r="M299" s="12" t="n"/>
      <c r="N299" s="12">
        <f>(N239-M239)+N127</f>
        <v>0</v>
      </c>
      <c r="O299" s="12">
        <f>(O239-N239)+O127</f>
        <v>0</v>
      </c>
      <c r="P299" s="12">
        <f>(P239-O239)+P127</f>
        <v>0</v>
      </c>
      <c r="Q299" s="12">
        <f>(Q239-P239)+Q127</f>
        <v>0</v>
      </c>
      <c r="R299" s="12">
        <f>SUM(N299:Q299)</f>
        <v>0</v>
      </c>
      <c r="S299" s="12">
        <f>(S239-R239)+S127</f>
        <v>0</v>
      </c>
      <c r="T299" s="12">
        <f>(T239-S239)+T127</f>
        <v>0</v>
      </c>
      <c r="U299" s="12">
        <f>(U239-T239)+U127</f>
        <v>0</v>
      </c>
      <c r="V299" s="12">
        <f>(V239-U239)+V127</f>
        <v>0</v>
      </c>
      <c r="W299" s="12">
        <f>SUM(S299:V299)</f>
        <v>0</v>
      </c>
      <c r="X299" s="12">
        <f>(X239-W239)+X127</f>
        <v>0</v>
      </c>
      <c r="Y299" s="12">
        <f>(Y239-X239)+Y127</f>
        <v>0</v>
      </c>
      <c r="Z299" s="12">
        <f>(Z239-Y239)+Z127</f>
        <v>0</v>
      </c>
      <c r="AA299" s="12">
        <f>(AA239-Z239)+AA127</f>
        <v>0</v>
      </c>
      <c r="AB299" s="12">
        <f>SUM(X299:AA299)</f>
        <v>0</v>
      </c>
      <c r="AC299" s="12">
        <f>(AC239-AB239)+AC127</f>
        <v>0</v>
      </c>
      <c r="AD299" s="12">
        <f>(AD239-AC239)+AD127</f>
        <v>0</v>
      </c>
      <c r="AE299" s="12">
        <f>(AE239-AD239)+AE127</f>
        <v>0</v>
      </c>
      <c r="AF299" s="12">
        <f>(AF239-AE239)+AF127</f>
        <v>0</v>
      </c>
      <c r="AG299" s="12">
        <f>SUM(AC299:AF299)</f>
        <v>0</v>
      </c>
      <c r="AH299" s="12">
        <f>(AH239-AG239)+AH127</f>
        <v>0</v>
      </c>
      <c r="AI299" s="12">
        <f>(AI239-AH239)+AI127</f>
        <v>0</v>
      </c>
      <c r="AJ299" s="12">
        <f>(AJ239-AI239)+AJ127</f>
        <v>0</v>
      </c>
      <c r="AK299" s="12">
        <f>(AK239-AJ239)+AK127</f>
        <v>0</v>
      </c>
      <c r="AL299" s="12">
        <f>SUM(AH299:AK299)</f>
        <v>0</v>
      </c>
      <c r="AM299" s="12">
        <f>(AM239-AL239)+AM127</f>
        <v>0</v>
      </c>
      <c r="AN299" s="12">
        <f>(AN239-AM239)+AN127</f>
        <v>0</v>
      </c>
      <c r="AO299" s="12">
        <f>(AO239-AN239)+AO127</f>
        <v>0</v>
      </c>
      <c r="AP299" s="12">
        <f>(AP239-AO239)+AP127</f>
        <v>0</v>
      </c>
      <c r="AQ299" s="12">
        <f>SUM(AM299:AP299)</f>
        <v>0</v>
      </c>
      <c r="AR299" s="12">
        <f>(AR239-AQ239)+AR127</f>
        <v>0</v>
      </c>
      <c r="AS299" s="12">
        <f>(AS239-AR239)+AS127</f>
        <v>0</v>
      </c>
      <c r="AT299" s="12">
        <f>(AT239-AS239)+AT127</f>
        <v>0</v>
      </c>
      <c r="AU299" s="12">
        <f>(AU239-AT239)+AU127</f>
        <v>0</v>
      </c>
      <c r="AV299" s="12">
        <f>SUM(AR299:AU299)</f>
        <v>0</v>
      </c>
      <c r="AW299" s="12">
        <f>(AW239-AV239)+AW127</f>
        <v>0</v>
      </c>
      <c r="AX299" s="12">
        <f>(AX239-AW239)+AX127</f>
        <v>0</v>
      </c>
      <c r="AY299" s="12">
        <f>(AY239-AX239)+AY127</f>
        <v>0</v>
      </c>
      <c r="AZ299" s="12">
        <f>(AZ239-AY239)+AZ127</f>
        <v>0</v>
      </c>
      <c r="BA299" s="12">
        <f>SUM(AW299:AZ299)</f>
        <v>0</v>
      </c>
      <c r="BB299" s="12">
        <f>(BB239-BA239)+BB127</f>
        <v>0</v>
      </c>
      <c r="BC299" s="12">
        <f>(BC239-BB239)+BC127</f>
        <v>0</v>
      </c>
      <c r="BD299" s="12">
        <f>(BD239-BC239)+BD127</f>
        <v>0</v>
      </c>
      <c r="BE299" s="12">
        <f>(BE239-BD239)+BE127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5" t="inlineStr">
        <is>
          <t>Increases / (decreases) in debt</t>
        </is>
      </c>
      <c r="D300" s="12" t="n"/>
      <c r="E300" s="12" t="n"/>
      <c r="F300" s="12" t="n"/>
      <c r="G300" s="12" t="n"/>
      <c r="H300" s="12" t="n"/>
      <c r="I300" s="12" t="n"/>
      <c r="J300" s="12">
        <f>SUM(J203:J205,J208,J229,J226)-SUM(I203:I205,I208,I229,I226)</f>
        <v>393</v>
      </c>
      <c r="K300" s="12">
        <f>SUM(K203:K205,K208,K229,K226)-SUM(J203:J205,J208,J229,J226)</f>
        <v>633</v>
      </c>
      <c r="L300" s="12">
        <f>SUM(L203:L205,L208,L229,L226)-SUM(K203:K205,K208,K229,K226)</f>
        <v>1233</v>
      </c>
      <c r="M300" s="12" t="n"/>
      <c r="N300" s="12">
        <f>SUM(N203:N205,N208,N229,N226)-SUM(M203:M205,M208,M229,M226)</f>
        <v>180</v>
      </c>
      <c r="O300" s="12">
        <f>SUM(O203:O205,O208,O229,O226)-SUM(N203:N205,N208,N229,N226)</f>
        <v>2014</v>
      </c>
      <c r="P300" s="12">
        <f>SUM(P203:P205,P208,P229,P226)-SUM(O203:O205,O208,O229,O226)</f>
        <v>9833</v>
      </c>
      <c r="Q300" s="12">
        <f>SUM(Q203:Q205,Q208,Q229,Q226)-SUM(P203:P205,P208,P229,P226)</f>
        <v>691</v>
      </c>
      <c r="R300" s="12">
        <f>SUM(N300:Q300)</f>
        <v>12718</v>
      </c>
      <c r="S300" s="12">
        <f>SUM(S203:S205,S208,S229,S226)-SUM(R203:R205,R208,R229,R226)</f>
        <v>984</v>
      </c>
      <c r="T300" s="12">
        <f>SUM(T203:T205,T208,T229,T226)-SUM(S203:S205,S208,S229,S226)</f>
        <v>8643</v>
      </c>
      <c r="U300" s="12">
        <f>SUM(U203:U205,U208,U229,U226)-SUM(T203:T205,T208,T229,T226)</f>
        <v>-1</v>
      </c>
      <c r="V300" s="12">
        <f>SUM(V203:V205,V208,V229,V226)-SUM(U203:U205,U208,U229,U226)</f>
        <v>1017</v>
      </c>
      <c r="W300" s="12">
        <f>SUM(S300:V300)</f>
        <v>10643</v>
      </c>
      <c r="X300" s="12">
        <f>SUM(X203:X205,X208,X229,X226)-SUM(W203:W205,W208,W229,W226)</f>
        <v>399</v>
      </c>
      <c r="Y300" s="12">
        <f>SUM(Y203:Y205,Y208,Y229,Y226)-SUM(X203:X205,X208,X229,X226)</f>
        <v>358</v>
      </c>
      <c r="Z300" s="12">
        <f>SUM(Z203:Z205,Z208,Z229,Z226)-SUM(Y203:Y205,Y208,Y229,Y226)</f>
        <v>11056</v>
      </c>
      <c r="AA300" s="12">
        <f>SUM(AA203:AA205,AA208,AA229,AA226)-SUM(Z203:Z205,Z208,Z229,Z226)</f>
        <v>13</v>
      </c>
      <c r="AB300" s="12">
        <f>SUM(X300:AA300)</f>
        <v>11826</v>
      </c>
      <c r="AC300" s="12">
        <f>SUM(AC203:AC205,AC208,AC229,AC226)-SUM(AB203:AB205,AB208,AB229,AB226)</f>
        <v>459</v>
      </c>
      <c r="AD300" s="12">
        <f>SUM(AD203:AD205,AD208,AD229,AD226)-SUM(AC203:AC205,AC208,AC229,AC226)</f>
        <v>41</v>
      </c>
      <c r="AE300" s="12">
        <f>SUM(AE203:AE205,AE208,AE229,AE226)-SUM(AD203:AD205,AD208,AD229,AD226)</f>
        <v>1500</v>
      </c>
      <c r="AF300" s="12">
        <f>SUM(AF203:AF205,AF208,AF229,AF226)-SUM(AE203:AE205,AE208,AE229,AE226)</f>
        <v>32837</v>
      </c>
      <c r="AG300" s="12">
        <f>SUM(AC300:AF300)</f>
        <v>34837</v>
      </c>
      <c r="AH300" s="12">
        <f>SUM(AH203:AH205,AH208,AH229,AH226)-SUM(AG203:AG205,AG208,AG229,AG226)</f>
        <v>2872</v>
      </c>
      <c r="AI300" s="12">
        <f>SUM(AI203:AI205,AI208,AI229,AI226)-SUM(AH203:AH205,AH208,AH229,AH226)</f>
        <v>25549</v>
      </c>
      <c r="AJ300" s="12">
        <f>SUM(AJ203:AJ205,AJ208,AJ229,AJ226)-SUM(AI203:AI205,AI208,AI229,AI226)</f>
        <v>0</v>
      </c>
      <c r="AK300" s="12">
        <f>SUM(AK203:AK205,AK208,AK229,AK226)-SUM(AJ203:AJ205,AJ208,AJ229,AJ226)</f>
        <v>0</v>
      </c>
      <c r="AL300" s="12">
        <f>SUM(AH300:AK300)</f>
        <v>28421</v>
      </c>
      <c r="AM300" s="12">
        <f>SUM(AM203:AM205,AM208,AM229,AM226)-SUM(AL203:AL205,AL208,AL229,AL226)</f>
        <v>0</v>
      </c>
      <c r="AN300" s="12">
        <f>SUM(AN203:AN205,AN208,AN229,AN226)-SUM(AM203:AM205,AM208,AM229,AM226)</f>
        <v>0</v>
      </c>
      <c r="AO300" s="12">
        <f>SUM(AO203:AO205,AO208,AO229,AO226)-SUM(AN203:AN205,AN208,AN229,AN226)</f>
        <v>0</v>
      </c>
      <c r="AP300" s="12">
        <f>SUM(AP203:AP205,AP208,AP229,AP226)-SUM(AO203:AO205,AO208,AO229,AO226)</f>
        <v>0</v>
      </c>
      <c r="AQ300" s="12">
        <f>SUM(AM300:AP300)</f>
        <v>0</v>
      </c>
      <c r="AR300" s="12">
        <f>SUM(AR203:AR205,AR208,AR229,AR226)-SUM(AQ203:AQ205,AQ208,AQ229,AQ226)</f>
        <v>0</v>
      </c>
      <c r="AS300" s="12">
        <f>SUM(AS203:AS205,AS208,AS229,AS226)-SUM(AR203:AR205,AR208,AR229,AR226)</f>
        <v>0</v>
      </c>
      <c r="AT300" s="12">
        <f>SUM(AT203:AT205,AT208,AT229,AT226)-SUM(AS203:AS205,AS208,AS229,AS226)</f>
        <v>0</v>
      </c>
      <c r="AU300" s="12">
        <f>SUM(AU203:AU205,AU208,AU229,AU226)-SUM(AT203:AT205,AT208,AT229,AT226)</f>
        <v>0</v>
      </c>
      <c r="AV300" s="12">
        <f>SUM(AR300:AU300)</f>
        <v>0</v>
      </c>
      <c r="AW300" s="12">
        <f>SUM(AW203:AW205,AW208,AW229,AW226)-SUM(AV203:AV205,AV208,AV229,AV226)</f>
        <v>0</v>
      </c>
      <c r="AX300" s="12">
        <f>SUM(AX203:AX205,AX208,AX229,AX226)-SUM(AW203:AW205,AW208,AW229,AW226)</f>
        <v>0</v>
      </c>
      <c r="AY300" s="12">
        <f>SUM(AY203:AY205,AY208,AY229,AY226)-SUM(AX203:AX205,AX208,AX229,AX226)</f>
        <v>0</v>
      </c>
      <c r="AZ300" s="12">
        <f>SUM(AZ203:AZ205,AZ208,AZ229,AZ226)-SUM(AY203:AY205,AY208,AY229,AY226)</f>
        <v>0</v>
      </c>
      <c r="BA300" s="12">
        <f>SUM(AW300:AZ300)</f>
        <v>0</v>
      </c>
      <c r="BB300" s="12">
        <f>SUM(BB203:BB205,BB208,BB229,BB226)-SUM(BA203:BA205,BA208,BA229,BA226)</f>
        <v>0</v>
      </c>
      <c r="BC300" s="12">
        <f>SUM(BC203:BC205,BC208,BC229,BC226)-SUM(BB203:BB205,BB208,BB229,BB226)</f>
        <v>0</v>
      </c>
      <c r="BD300" s="12">
        <f>SUM(BD203:BD205,BD208,BD229,BD226)-SUM(BC203:BC205,BC208,BC229,BC226)</f>
        <v>0</v>
      </c>
      <c r="BE300" s="12">
        <f>SUM(BE203:BE205,BE208,BE229,BE226)-SUM(BD203:BD205,BD208,BD229,BD226)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14" t="inlineStr">
        <is>
          <t>Cash from financing</t>
        </is>
      </c>
      <c r="D301" s="12" t="n"/>
      <c r="E301" s="12" t="n"/>
      <c r="F301" s="12" t="n"/>
      <c r="G301" s="12" t="n"/>
      <c r="H301" s="12" t="n"/>
      <c r="I301" s="12" t="n"/>
      <c r="J301" s="12">
        <f>SUM(J293,J294,J295,J296,J297,J298,J299,J300)</f>
        <v>-5431</v>
      </c>
      <c r="K301" s="12">
        <f>SUM(K293,K294,K295,K296,K297,K298,K299,K300)</f>
        <v>-13428</v>
      </c>
      <c r="L301" s="12">
        <f>SUM(L293,L294,L295,L296,L297,L298,L299,L300)</f>
        <v>-17533</v>
      </c>
      <c r="M301" s="12" t="n"/>
      <c r="N301" s="12">
        <f>SUM(N293,N294,N295,N296,N297,N298,N299,N300)</f>
        <v>-8936</v>
      </c>
      <c r="O301" s="12">
        <f>SUM(O293,O294,O295,O296,O297,O298,O299,O300)</f>
        <v>-2134</v>
      </c>
      <c r="P301" s="12">
        <f>SUM(P293,P294,P295,P296,P297,P298,P299,P300)</f>
        <v>3765</v>
      </c>
      <c r="Q301" s="12">
        <f>SUM(Q293,Q294,Q295,Q296,Q297,Q298,Q299,Q300)</f>
        <v>-2343</v>
      </c>
      <c r="R301" s="12">
        <f>SUM(R293,R294,R295,R296,R297,R298,R299,R300)</f>
        <v>-9648</v>
      </c>
      <c r="S301" s="12">
        <f>SUM(S293,S294,S295,S296,S297,S298,S299,S300)</f>
        <v>-5643</v>
      </c>
      <c r="T301" s="12">
        <f>SUM(T293,T294,T295,T296,T297,T298,T299,T300)</f>
        <v>10093</v>
      </c>
      <c r="U301" s="12">
        <f>SUM(U293,U294,U295,U296,U297,U298,U299,U300)</f>
        <v>-2744</v>
      </c>
      <c r="V301" s="12">
        <f>SUM(V293,V294,V295,V296,V297,V298,V299,V300)</f>
        <v>-2705</v>
      </c>
      <c r="W301" s="12">
        <f>SUM(W293,W294,W295,W296,W297,W298,W299,W300)</f>
        <v>-999</v>
      </c>
      <c r="X301" s="12">
        <f>SUM(X293,X294,X295,X296,X297,X298,X299,X300)</f>
        <v>-15609</v>
      </c>
      <c r="Y301" s="12">
        <f>SUM(Y293,Y294,Y295,Y296,Y297,Y298,Y299,Y300)</f>
        <v>-5873</v>
      </c>
      <c r="Z301" s="12">
        <f>SUM(Z293,Z294,Z295,Z296,Z297,Z298,Z299,Z300)</f>
        <v>3134</v>
      </c>
      <c r="AA301" s="12">
        <f>SUM(AA293,AA294,AA295,AA296,AA297,AA298,AA299,AA300)</f>
        <v>-2717</v>
      </c>
      <c r="AB301" s="12">
        <f>SUM(AB293,AB294,AB295,AB296,AB297,AB298,AB299,AB300)</f>
        <v>-21065</v>
      </c>
      <c r="AC301" s="12">
        <f>SUM(AC293,AC294,AC295,AC296,AC297,AC298,AC299,AC300)</f>
        <v>-13793</v>
      </c>
      <c r="AD301" s="12">
        <f>SUM(AD293,AD294,AD295,AD296,AD297,AD298,AD299,AD300)</f>
        <v>-8255</v>
      </c>
      <c r="AE301" s="12">
        <f>SUM(AE293,AE294,AE295,AE296,AE297,AE298,AE299,AE300)</f>
        <v>-2213</v>
      </c>
      <c r="AF301" s="12">
        <f>SUM(AF293,AF294,AF295,AF296,AF297,AF298,AF299,AF300)</f>
        <v>33246</v>
      </c>
      <c r="AG301" s="12">
        <f>SUM(AG293,AG294,AG295,AG296,AG297,AG298,AG299,AG300)</f>
        <v>8985</v>
      </c>
      <c r="AH301" s="12">
        <f>SUM(AH293,AH294,AH295,AH296,AH297,AH298,AH299,AH300)</f>
        <v>2537</v>
      </c>
      <c r="AI301" s="12">
        <f>SUM(AI293,AI294,AI295,AI296,AI297,AI298,AI299,AI300)</f>
        <v>27241</v>
      </c>
      <c r="AJ301" s="12">
        <f>SUM(AJ293,AJ294,AJ295,AJ296,AJ297,AJ298,AJ299,AJ300)</f>
        <v>0</v>
      </c>
      <c r="AK301" s="12">
        <f>SUM(AK293,AK294,AK295,AK296,AK297,AK298,AK299,AK300)</f>
        <v>0</v>
      </c>
      <c r="AL301" s="12">
        <f>SUM(AL293,AL294,AL295,AL296,AL297,AL298,AL299,AL300)</f>
        <v>29778</v>
      </c>
      <c r="AM301" s="12">
        <f>SUM(AM293,AM294,AM295,AM296,AM297,AM298,AM299,AM300)</f>
        <v>0</v>
      </c>
      <c r="AN301" s="12">
        <f>SUM(AN293,AN294,AN295,AN296,AN297,AN298,AN299,AN300)</f>
        <v>0</v>
      </c>
      <c r="AO301" s="12">
        <f>SUM(AO293,AO294,AO295,AO296,AO297,AO298,AO299,AO300)</f>
        <v>0</v>
      </c>
      <c r="AP301" s="12">
        <f>SUM(AP293,AP294,AP295,AP296,AP297,AP298,AP299,AP300)</f>
        <v>0</v>
      </c>
      <c r="AQ301" s="12">
        <f>SUM(AQ293,AQ294,AQ295,AQ296,AQ297,AQ298,AQ299,AQ300)</f>
        <v>0</v>
      </c>
      <c r="AR301" s="12">
        <f>SUM(AR293,AR294,AR295,AR296,AR297,AR298,AR299,AR300)</f>
        <v>0</v>
      </c>
      <c r="AS301" s="12">
        <f>SUM(AS293,AS294,AS295,AS296,AS297,AS298,AS299,AS300)</f>
        <v>0</v>
      </c>
      <c r="AT301" s="12">
        <f>SUM(AT293,AT294,AT295,AT296,AT297,AT298,AT299,AT300)</f>
        <v>0</v>
      </c>
      <c r="AU301" s="12">
        <f>SUM(AU293,AU294,AU295,AU296,AU297,AU298,AU299,AU300)</f>
        <v>0</v>
      </c>
      <c r="AV301" s="12">
        <f>SUM(AV293,AV294,AV295,AV296,AV297,AV298,AV299,AV300)</f>
        <v>0</v>
      </c>
      <c r="AW301" s="12">
        <f>SUM(AW293,AW294,AW295,AW296,AW297,AW298,AW299,AW300)</f>
        <v>0</v>
      </c>
      <c r="AX301" s="12">
        <f>SUM(AX293,AX294,AX295,AX296,AX297,AX298,AX299,AX300)</f>
        <v>0</v>
      </c>
      <c r="AY301" s="12">
        <f>SUM(AY293,AY294,AY295,AY296,AY297,AY298,AY299,AY300)</f>
        <v>0</v>
      </c>
      <c r="AZ301" s="12">
        <f>SUM(AZ293,AZ294,AZ295,AZ296,AZ297,AZ298,AZ299,AZ300)</f>
        <v>0</v>
      </c>
      <c r="BA301" s="12">
        <f>SUM(BA293,BA294,BA295,BA296,BA297,BA298,BA299,BA300)</f>
        <v>0</v>
      </c>
      <c r="BB301" s="12">
        <f>SUM(BB293,BB294,BB295,BB296,BB297,BB298,BB299,BB300)</f>
        <v>0</v>
      </c>
      <c r="BC301" s="12">
        <f>SUM(BC293,BC294,BC295,BC296,BC297,BC298,BC299,BC300)</f>
        <v>0</v>
      </c>
      <c r="BD301" s="12">
        <f>SUM(BD293,BD294,BD295,BD296,BD297,BD298,BD299,BD300)</f>
        <v>0</v>
      </c>
      <c r="BE301" s="12">
        <f>SUM(BE293,BE294,BE295,BE296,BE297,BE298,BE299,BE300)</f>
        <v>0</v>
      </c>
      <c r="BF301" s="12">
        <f>SUM(BF293,BF294,BF295,BF296,BF297,BF298,BF299,BF300)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Others / cash reconciliation plug</t>
        </is>
      </c>
      <c r="D303" s="12" t="n"/>
      <c r="E303" s="12" t="n"/>
      <c r="F303" s="12" t="n"/>
      <c r="G303" s="12" t="n"/>
      <c r="H303" s="12" t="n"/>
      <c r="I303" s="12" t="n"/>
      <c r="J303" s="12">
        <f>J135-I135-SUM(J284,J291,J301)</f>
        <v>0</v>
      </c>
      <c r="K303" s="12">
        <f>K135-J135-SUM(K284,K291,K301)</f>
        <v>0</v>
      </c>
      <c r="L303" s="12">
        <f>L135-K135-SUM(L284,L291,L301)</f>
        <v>0</v>
      </c>
      <c r="M303" s="12" t="n"/>
      <c r="N303" s="12">
        <f>N135-M135-SUM(N284,N291,N301)</f>
        <v>0</v>
      </c>
      <c r="O303" s="12">
        <f>O135-N135-SUM(O284,O291,O301)</f>
        <v>0</v>
      </c>
      <c r="P303" s="12">
        <f>P135-O135-SUM(P284,P291,P301)</f>
        <v>0</v>
      </c>
      <c r="Q303" s="12">
        <f>Q135-P135-SUM(Q284,Q291,Q301)</f>
        <v>0</v>
      </c>
      <c r="R303" s="12">
        <f>SUM(N303:Q303)</f>
        <v>0</v>
      </c>
      <c r="S303" s="12">
        <f>S135-R135-SUM(S284,S291,S301)</f>
        <v>0</v>
      </c>
      <c r="T303" s="12">
        <f>T135-S135-SUM(T284,T291,T301)</f>
        <v>0</v>
      </c>
      <c r="U303" s="12">
        <f>U135-T135-SUM(U284,U291,U301)</f>
        <v>0</v>
      </c>
      <c r="V303" s="12">
        <f>V135-U135-SUM(V284,V291,V301)</f>
        <v>0</v>
      </c>
      <c r="W303" s="12">
        <f>SUM(S303:V303)</f>
        <v>0</v>
      </c>
      <c r="X303" s="12">
        <f>X135-W135-SUM(X284,X291,X301)</f>
        <v>0</v>
      </c>
      <c r="Y303" s="12">
        <f>Y135-X135-SUM(Y284,Y291,Y301)</f>
        <v>0</v>
      </c>
      <c r="Z303" s="12">
        <f>Z135-Y135-SUM(Z284,Z291,Z301)</f>
        <v>0</v>
      </c>
      <c r="AA303" s="12">
        <f>AA135-Z135-SUM(AA284,AA291,AA301)</f>
        <v>0</v>
      </c>
      <c r="AB303" s="12">
        <f>SUM(X303:AA303)</f>
        <v>0</v>
      </c>
      <c r="AC303" s="12">
        <f>AC135-AB135-SUM(AC284,AC291,AC301)</f>
        <v>0</v>
      </c>
      <c r="AD303" s="12">
        <f>AD135-AC135-SUM(AD284,AD291,AD301)</f>
        <v>0</v>
      </c>
      <c r="AE303" s="12">
        <f>AE135-AD135-SUM(AE284,AE291,AE301)</f>
        <v>0</v>
      </c>
      <c r="AF303" s="12">
        <f>AF135-AE135-SUM(AF284,AF291,AF301)</f>
        <v>0</v>
      </c>
      <c r="AG303" s="12">
        <f>SUM(AC303:AF303)</f>
        <v>0</v>
      </c>
      <c r="AH303" s="12">
        <f>AH135-AG135-SUM(AH284,AH291,AH301)</f>
        <v>0</v>
      </c>
      <c r="AI303" s="12">
        <f>AI135-AH135-SUM(AI284,AI291,AI301)</f>
        <v>0</v>
      </c>
      <c r="AJ303" s="12">
        <f>AJ135-AI135-SUM(AJ284,AJ291,AJ301)</f>
        <v>-3.63797880709171e-11</v>
      </c>
      <c r="AK303" s="12">
        <f>AK135-AJ135-SUM(AK284,AK291,AK301)</f>
        <v>9.45874489843845e-11</v>
      </c>
      <c r="AL303" s="12">
        <f>SUM(AH303:AK303)</f>
        <v>5.82076609134674e-11</v>
      </c>
      <c r="AM303" s="12">
        <f>AM135-AL135-SUM(AM284,AM291,AM301)</f>
        <v>0</v>
      </c>
      <c r="AN303" s="12">
        <f>AN135-AM135-SUM(AN284,AN291,AN301)</f>
        <v>0</v>
      </c>
      <c r="AO303" s="12">
        <f>AO135-AN135-SUM(AO284,AO291,AO301)</f>
        <v>0</v>
      </c>
      <c r="AP303" s="12">
        <f>AP135-AO135-SUM(AP284,AP291,AP301)</f>
        <v>0</v>
      </c>
      <c r="AQ303" s="12">
        <f>SUM(AM303:AP303)</f>
        <v>0</v>
      </c>
      <c r="AR303" s="12">
        <f>AR135-AQ135-SUM(AR284,AR291,AR301)</f>
        <v>0</v>
      </c>
      <c r="AS303" s="12">
        <f>AS135-AR135-SUM(AS284,AS291,AS301)</f>
        <v>0</v>
      </c>
      <c r="AT303" s="12">
        <f>AT135-AS135-SUM(AT284,AT291,AT301)</f>
        <v>0</v>
      </c>
      <c r="AU303" s="12">
        <f>AU135-AT135-SUM(AU284,AU291,AU301)</f>
        <v>0</v>
      </c>
      <c r="AV303" s="12">
        <f>SUM(AR303:AU303)</f>
        <v>0</v>
      </c>
      <c r="AW303" s="12">
        <f>AW135-AV135-SUM(AW284,AW291,AW301)</f>
        <v>0</v>
      </c>
      <c r="AX303" s="12">
        <f>AX135-AW135-SUM(AX284,AX291,AX301)</f>
        <v>0</v>
      </c>
      <c r="AY303" s="12">
        <f>AY135-AX135-SUM(AY284,AY291,AY301)</f>
        <v>0</v>
      </c>
      <c r="AZ303" s="12">
        <f>AZ135-AY135-SUM(AZ284,AZ291,AZ301)</f>
        <v>0</v>
      </c>
      <c r="BA303" s="12">
        <f>SUM(AW303:AZ303)</f>
        <v>0</v>
      </c>
      <c r="BB303" s="12">
        <f>BB135-BA135-SUM(BB284,BB291,BB301)</f>
        <v>0</v>
      </c>
      <c r="BC303" s="12">
        <f>BC135-BB135-SUM(BC284,BC291,BC301)</f>
        <v>0</v>
      </c>
      <c r="BD303" s="12">
        <f>BD135-BC135-SUM(BD284,BD291,BD301)</f>
        <v>0</v>
      </c>
      <c r="BE303" s="12">
        <f>BE135-BD135-SUM(BE284,BE291,BE301)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Total increase/decrease of cash</t>
        </is>
      </c>
      <c r="D305" s="12" t="n"/>
      <c r="E305" s="12" t="n"/>
      <c r="F305" s="12" t="n"/>
      <c r="G305" s="12" t="n"/>
      <c r="H305" s="12" t="n"/>
      <c r="I305" s="12" t="n"/>
      <c r="J305" s="12">
        <f>SUM(J284,J291,J301,J303)</f>
        <v>-139</v>
      </c>
      <c r="K305" s="12">
        <f>SUM(K284,K291,K301,K303)</f>
        <v>-6005</v>
      </c>
      <c r="L305" s="12">
        <f>SUM(L284,L291,L301,L303)</f>
        <v>-10077</v>
      </c>
      <c r="M305" s="12" t="n"/>
      <c r="N305" s="12">
        <f>SUM(N284,N291,N301,N303)</f>
        <v>-4108</v>
      </c>
      <c r="O305" s="12">
        <f>SUM(O284,O291,O301,O303)</f>
        <v>-3401</v>
      </c>
      <c r="P305" s="12">
        <f>SUM(P284,P291,P301,P303)</f>
        <v>1287</v>
      </c>
      <c r="Q305" s="12">
        <f>SUM(Q284,Q291,Q301,Q303)</f>
        <v>-1038</v>
      </c>
      <c r="R305" s="12">
        <f>SUM(N305:Q305)</f>
        <v>-7260</v>
      </c>
      <c r="S305" s="12">
        <f>SUM(S284,S291,S301,S303)</f>
        <v>-3299</v>
      </c>
      <c r="T305" s="12">
        <f>SUM(T284,T291,T301,T303)</f>
        <v>16007</v>
      </c>
      <c r="U305" s="12">
        <f>SUM(U284,U291,U301,U303)</f>
        <v>7677</v>
      </c>
      <c r="V305" s="12">
        <f>SUM(V284,V291,V301,V303)</f>
        <v>4280</v>
      </c>
      <c r="W305" s="12">
        <f>SUM(S305:V305)</f>
        <v>24665</v>
      </c>
      <c r="X305" s="12">
        <f>SUM(X284,X291,X301,X303)</f>
        <v>-7283</v>
      </c>
      <c r="Y305" s="12">
        <f>SUM(Y284,Y291,Y301,Y303)</f>
        <v>-40</v>
      </c>
      <c r="Z305" s="12">
        <f>SUM(Z284,Z291,Z301,Z303)</f>
        <v>12820</v>
      </c>
      <c r="AA305" s="12">
        <f>SUM(AA284,AA291,AA301,AA303)</f>
        <v>6915</v>
      </c>
      <c r="AB305" s="12">
        <f>SUM(X305:AA305)</f>
        <v>12412</v>
      </c>
      <c r="AC305" s="12">
        <f>SUM(AC284,AC291,AC301,AC303)</f>
        <v>-7585</v>
      </c>
      <c r="AD305" s="12">
        <f>SUM(AD284,AD291,AD301,AD303)</f>
        <v>-23159</v>
      </c>
      <c r="AE305" s="12">
        <f>SUM(AE284,AE291,AE301,AE303)</f>
        <v>-2623</v>
      </c>
      <c r="AF305" s="12">
        <f>SUM(AF284,AF291,AF301,AF303)</f>
        <v>37144</v>
      </c>
      <c r="AG305" s="12">
        <f>SUM(AC305:AF305)</f>
        <v>3777</v>
      </c>
      <c r="AH305" s="12">
        <f>SUM(AH284,AH291,AH301,AH303)</f>
        <v>-412</v>
      </c>
      <c r="AI305" s="12">
        <f>SUM(AI284,AI291,AI301,AI303)</f>
        <v>9080</v>
      </c>
      <c r="AJ305" s="12">
        <f>SUM(AJ284,AJ291,AJ301,AJ303)</f>
        <v>6768.10002969549</v>
      </c>
      <c r="AK305" s="12">
        <f>SUM(AK284,AK291,AK301,AK303)</f>
        <v>10388.4831027547</v>
      </c>
      <c r="AL305" s="12">
        <f>SUM(AH305:AK305)</f>
        <v>25824.5831324502</v>
      </c>
      <c r="AM305" s="12">
        <f>SUM(AM284,AM291,AM301,AM303)</f>
        <v>15144.2976578378</v>
      </c>
      <c r="AN305" s="12">
        <f>SUM(AN284,AN291,AN301,AN303)</f>
        <v>17747.6296149778</v>
      </c>
      <c r="AO305" s="12">
        <f>SUM(AO284,AO291,AO301,AO303)</f>
        <v>22537.3758814622</v>
      </c>
      <c r="AP305" s="12">
        <f>SUM(AP284,AP291,AP301,AP303)</f>
        <v>26829.1066160865</v>
      </c>
      <c r="AQ305" s="12">
        <f>SUM(AM305:AP305)</f>
        <v>82258.4097703643</v>
      </c>
      <c r="AR305" s="12">
        <f>SUM(AR284,AR291,AR301,AR303)</f>
        <v>35662.2967158215</v>
      </c>
      <c r="AS305" s="12">
        <f>SUM(AS284,AS291,AS301,AS303)</f>
        <v>42539.5630368139</v>
      </c>
      <c r="AT305" s="12">
        <f>SUM(AT284,AT291,AT301,AT303)</f>
        <v>53517.8127926035</v>
      </c>
      <c r="AU305" s="12">
        <f>SUM(AU284,AU291,AU301,AU303)</f>
        <v>64905.7901199866</v>
      </c>
      <c r="AV305" s="12">
        <f>SUM(AR305:AU305)</f>
        <v>196625.462665225</v>
      </c>
      <c r="AW305" s="12">
        <f>SUM(AW284,AW291,AW301,AW303)</f>
        <v>82447.5460729212</v>
      </c>
      <c r="AX305" s="12">
        <f>SUM(AX284,AX291,AX301,AX303)</f>
        <v>100144.868443682</v>
      </c>
      <c r="AY305" s="12">
        <f>SUM(AY284,AY291,AY301,AY303)</f>
        <v>124562.213006766</v>
      </c>
      <c r="AZ305" s="12">
        <f>SUM(AZ284,AZ291,AZ301,AZ303)</f>
        <v>152199.366655883</v>
      </c>
      <c r="BA305" s="12">
        <f>SUM(AW305:AZ305)</f>
        <v>459353.994179252</v>
      </c>
      <c r="BB305" s="12">
        <f>SUM(BB284,BB291,BB301,BB303)</f>
        <v>188763.359569875</v>
      </c>
      <c r="BC305" s="12">
        <f>SUM(BC284,BC291,BC301,BC303)</f>
        <v>230274.077823183</v>
      </c>
      <c r="BD305" s="12">
        <f>SUM(BD284,BD291,BD301,BD303)</f>
        <v>284632.847856703</v>
      </c>
      <c r="BE305" s="12">
        <f>SUM(BE284,BE291,BE301,BE303)</f>
        <v>348462.528396332</v>
      </c>
      <c r="BF305" s="12">
        <f>SUM(BB305:BE305)</f>
        <v>1052132.81364609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4" t="inlineStr">
        <is>
          <t>Check</t>
        </is>
      </c>
      <c r="E306" s="72" t="n"/>
      <c r="F306" s="72" t="n"/>
      <c r="G306" s="72" t="n"/>
      <c r="I306" s="72" t="str">
        <f>""</f>
        <v/>
      </c>
      <c r="J306" s="72">
        <f>J135-I135-J305</f>
        <v>0</v>
      </c>
      <c r="K306" s="72">
        <f>K135-J135-K305</f>
        <v>0</v>
      </c>
      <c r="L306" s="72">
        <f>L135-K135-L305</f>
        <v>0</v>
      </c>
      <c r="M306" s="4" t="str">
        <f>""</f>
        <v/>
      </c>
      <c r="N306" s="72">
        <f>N135-M135-N305</f>
        <v>0</v>
      </c>
      <c r="O306" s="72">
        <f>O135-N135-O305</f>
        <v>0</v>
      </c>
      <c r="P306" s="72">
        <f>P135-O135-P305</f>
        <v>0</v>
      </c>
      <c r="Q306" s="72">
        <f>Q135-P135-Q305</f>
        <v>0</v>
      </c>
      <c r="R306" s="4">
        <f>R135-M135-R305</f>
        <v>0</v>
      </c>
      <c r="S306" s="72">
        <f>S135-R135-S305</f>
        <v>0</v>
      </c>
      <c r="T306" s="72">
        <f>T135-S135-T305</f>
        <v>0</v>
      </c>
      <c r="U306" s="72">
        <f>U135-T135-U305</f>
        <v>0</v>
      </c>
      <c r="V306" s="72">
        <f>V135-U135-V305</f>
        <v>0</v>
      </c>
      <c r="W306" s="4">
        <f>W135-R135-W305</f>
        <v>0</v>
      </c>
      <c r="X306" s="72">
        <f>X135-W135-X305</f>
        <v>0</v>
      </c>
      <c r="Y306" s="72">
        <f>Y135-X135-Y305</f>
        <v>0</v>
      </c>
      <c r="Z306" s="72">
        <f>Z135-Y135-Z305</f>
        <v>0</v>
      </c>
      <c r="AA306" s="72">
        <f>AA135-Z135-AA305</f>
        <v>0</v>
      </c>
      <c r="AB306" s="4">
        <f>AB135-W135-AB305</f>
        <v>0</v>
      </c>
      <c r="AC306" s="72">
        <f>AC135-AB135-AC305</f>
        <v>0</v>
      </c>
      <c r="AD306" s="72">
        <f>AD135-AC135-AD305</f>
        <v>0</v>
      </c>
      <c r="AE306" s="72">
        <f>AE135-AD135-AE305</f>
        <v>0</v>
      </c>
      <c r="AF306" s="72">
        <f>AF135-AE135-AF305</f>
        <v>0</v>
      </c>
      <c r="AG306" s="4">
        <f>AG135-AB135-AG305</f>
        <v>0</v>
      </c>
      <c r="AH306" s="72">
        <f>AH135-AG135-AH305</f>
        <v>0</v>
      </c>
      <c r="AI306" s="72">
        <f>AI135-AH135-AI305</f>
        <v>0</v>
      </c>
      <c r="AJ306" s="72">
        <f>AJ135-AI135-AJ305</f>
        <v>0</v>
      </c>
      <c r="AK306" s="72">
        <f>AK135-AJ135-AK305</f>
        <v>0</v>
      </c>
      <c r="AL306" s="4">
        <f>AL135-AG135-AL305</f>
        <v>0</v>
      </c>
      <c r="AM306" s="72">
        <f>AM135-AL135-AM305</f>
        <v>0</v>
      </c>
      <c r="AN306" s="72">
        <f>AN135-AM135-AN305</f>
        <v>0</v>
      </c>
      <c r="AO306" s="72">
        <f>AO135-AN135-AO305</f>
        <v>0</v>
      </c>
      <c r="AP306" s="72">
        <f>AP135-AO135-AP305</f>
        <v>0</v>
      </c>
      <c r="AQ306" s="4">
        <f>AQ135-AL135-AQ305</f>
        <v>0</v>
      </c>
      <c r="AR306" s="72">
        <f>AR135-AQ135-AR305</f>
        <v>0</v>
      </c>
      <c r="AS306" s="72">
        <f>AS135-AR135-AS305</f>
        <v>0</v>
      </c>
      <c r="AT306" s="72">
        <f>AT135-AS135-AT305</f>
        <v>0</v>
      </c>
      <c r="AU306" s="72">
        <f>AU135-AT135-AU305</f>
        <v>0</v>
      </c>
      <c r="AV306" s="4">
        <f>AV135-AQ135-AV305</f>
        <v>0</v>
      </c>
      <c r="AW306" s="72">
        <f>AW135-AV135-AW305</f>
        <v>0</v>
      </c>
      <c r="AX306" s="72">
        <f>AX135-AW135-AX305</f>
        <v>0</v>
      </c>
      <c r="AY306" s="72">
        <f>AY135-AX135-AY305</f>
        <v>0</v>
      </c>
      <c r="AZ306" s="72">
        <f>AZ135-AY135-AZ305</f>
        <v>0</v>
      </c>
      <c r="BA306" s="4">
        <f>BA135-AV135-BA305</f>
        <v>0</v>
      </c>
      <c r="BB306" s="72">
        <f>BB135-BA135-BB305</f>
        <v>0</v>
      </c>
      <c r="BC306" s="72">
        <f>BC135-BB135-BC305</f>
        <v>0</v>
      </c>
      <c r="BD306" s="72">
        <f>BD135-BC135-BD305</f>
        <v>0</v>
      </c>
      <c r="BE306" s="72">
        <f>BE135-BD135-BE305</f>
        <v>0</v>
      </c>
      <c r="BF306" s="4">
        <f>BF135-BA135-BF305</f>
        <v>0</v>
      </c>
      <c r="BG306" s="72" t="n"/>
      <c r="BH306" s="72" t="n"/>
      <c r="BI306" s="72" t="n"/>
      <c r="BJ306" s="72" t="n"/>
      <c r="BL306" s="72" t="n"/>
      <c r="BM306" s="72" t="n"/>
      <c r="BN306" s="72" t="n"/>
      <c r="BO306" s="72" t="n"/>
      <c r="BQ306" s="72" t="n"/>
      <c r="BR306" s="72" t="n"/>
      <c r="BS306" s="72" t="n"/>
      <c r="BT306" s="72" t="n"/>
      <c r="BV306" s="72" t="n"/>
      <c r="BW306" s="72" t="n"/>
      <c r="BX306" s="72" t="n"/>
      <c r="BY306" s="72" t="n"/>
      <c r="CA306" s="72" t="n"/>
      <c r="CB306" s="72" t="n"/>
      <c r="CC306" s="72" t="n"/>
      <c r="CD306" s="72" t="n"/>
      <c r="CF306" s="72" t="n"/>
      <c r="CG306" s="72" t="n"/>
      <c r="CH306" s="72" t="n"/>
      <c r="CI306" s="72" t="n"/>
      <c r="CK306" s="72" t="n"/>
      <c r="CL306" s="72" t="n"/>
      <c r="CM306" s="72" t="n"/>
      <c r="CN306" s="72" t="n"/>
      <c r="CP306" s="72" t="n"/>
      <c r="CQ306" s="72" t="n"/>
      <c r="CR306" s="72" t="n"/>
      <c r="CS306" s="72" t="n"/>
      <c r="CU306" s="72" t="n"/>
      <c r="CV306" s="72" t="n"/>
      <c r="CW306" s="72" t="n"/>
      <c r="CX306" s="72" t="n"/>
    </row>
    <row r="307"/>
    <row r="308">
      <c r="C308" s="73" t="inlineStr">
        <is>
          <t>Ratio Analysis</t>
        </is>
      </c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W308" s="73" t="n"/>
      <c r="X308" s="73" t="n"/>
      <c r="Y308" s="73" t="n"/>
      <c r="Z308" s="73" t="n"/>
      <c r="AA308" s="73" t="n"/>
      <c r="AB308" s="73" t="n"/>
      <c r="AC308" s="73" t="n"/>
      <c r="AD308" s="73" t="n"/>
      <c r="AE308" s="73" t="n"/>
      <c r="AF308" s="73" t="n"/>
      <c r="AG308" s="73" t="n"/>
      <c r="AH308" s="73" t="n"/>
      <c r="AI308" s="73" t="n"/>
      <c r="AJ308" s="73" t="n"/>
      <c r="AK308" s="73" t="n"/>
      <c r="AL308" s="73" t="n"/>
      <c r="AM308" s="73" t="n"/>
      <c r="AN308" s="73" t="n"/>
      <c r="AO308" s="73" t="n"/>
      <c r="AP308" s="73" t="n"/>
      <c r="AQ308" s="73" t="n"/>
      <c r="AR308" s="73" t="n"/>
      <c r="AS308" s="73" t="n"/>
      <c r="AT308" s="73" t="n"/>
      <c r="AU308" s="73" t="n"/>
      <c r="AV308" s="73" t="n"/>
      <c r="AW308" s="73" t="n"/>
      <c r="AX308" s="73" t="n"/>
      <c r="AY308" s="73" t="n"/>
      <c r="AZ308" s="73" t="n"/>
      <c r="BA308" s="73" t="n"/>
      <c r="BB308" s="73" t="n"/>
      <c r="BC308" s="73" t="n"/>
      <c r="BD308" s="73" t="n"/>
      <c r="BE308" s="73" t="n"/>
      <c r="BF308" s="73" t="n"/>
      <c r="BG308" s="73" t="n"/>
      <c r="BH308" s="73" t="n"/>
      <c r="BI308" s="73" t="n"/>
      <c r="BJ308" s="73" t="n"/>
      <c r="BK308" s="73" t="n"/>
      <c r="BL308" s="73" t="n"/>
      <c r="BM308" s="73" t="n"/>
      <c r="BN308" s="73" t="n"/>
      <c r="BO308" s="73" t="n"/>
      <c r="BP308" s="73" t="n"/>
      <c r="BQ308" s="73" t="n"/>
      <c r="BR308" s="73" t="n"/>
      <c r="BS308" s="73" t="n"/>
      <c r="BT308" s="73" t="n"/>
      <c r="BU308" s="73" t="n"/>
      <c r="BV308" s="73" t="n"/>
      <c r="BW308" s="73" t="n"/>
      <c r="BX308" s="73" t="n"/>
      <c r="BY308" s="73" t="n"/>
      <c r="BZ308" s="73" t="n"/>
      <c r="CA308" s="73" t="n"/>
      <c r="CB308" s="73" t="n"/>
      <c r="CC308" s="73" t="n"/>
      <c r="CD308" s="73" t="n"/>
      <c r="CE308" s="73" t="n"/>
      <c r="CF308" s="73" t="n"/>
      <c r="CG308" s="73" t="n"/>
      <c r="CH308" s="73" t="n"/>
      <c r="CI308" s="73" t="n"/>
      <c r="CJ308" s="73" t="n"/>
      <c r="CK308" s="73" t="n"/>
      <c r="CL308" s="73" t="n"/>
      <c r="CM308" s="73" t="n"/>
      <c r="CN308" s="73" t="n"/>
      <c r="CO308" s="73" t="n"/>
      <c r="CP308" s="73" t="n"/>
      <c r="CQ308" s="73" t="n"/>
      <c r="CR308" s="73" t="n"/>
      <c r="CS308" s="73" t="n"/>
      <c r="CT308" s="73" t="n"/>
      <c r="CU308" s="73" t="n"/>
      <c r="CV308" s="73" t="n"/>
      <c r="CW308" s="73" t="n"/>
      <c r="CX308" s="73" t="n"/>
      <c r="CY308" s="73" t="n"/>
    </row>
    <row r="309"/>
    <row r="310" customFormat="1" s="74">
      <c r="C310" s="74" t="inlineStr">
        <is>
          <t>YEAR</t>
        </is>
      </c>
      <c r="D310">
        <f>IFERROR(D266,"")</f>
        <v>0</v>
      </c>
      <c r="E310" s="75">
        <f>IFERROR(E266,"")</f>
        <v>0</v>
      </c>
      <c r="F310" s="75">
        <f>IFERROR(F266,"")</f>
        <v>0</v>
      </c>
      <c r="G310" s="75">
        <f>IFERROR(G266,"")</f>
        <v>0</v>
      </c>
      <c r="H310" s="75">
        <f>IFERROR(H266,"")</f>
        <v>0</v>
      </c>
      <c r="I310" s="75" t="str">
        <f>IFERROR(I266,"")</f>
        <v>1Q21</v>
      </c>
      <c r="J310" s="75" t="str">
        <f>IFERROR(J266,"")</f>
        <v>2Q21</v>
      </c>
      <c r="K310" s="75" t="str">
        <f>IFERROR(K266,"")</f>
        <v>3Q21</v>
      </c>
      <c r="L310" s="75" t="str">
        <f>IFERROR(L266,"")</f>
        <v>4Q21</v>
      </c>
      <c r="M310" s="75">
        <f>IFERROR(M266,"")</f>
        <v>2021</v>
      </c>
      <c r="N310" s="75" t="str">
        <f>IFERROR(N266,"")</f>
        <v>1Q22</v>
      </c>
      <c r="O310" s="75" t="str">
        <f>IFERROR(O266,"")</f>
        <v>2Q22</v>
      </c>
      <c r="P310" s="75" t="str">
        <f>IFERROR(P266,"")</f>
        <v>3Q22</v>
      </c>
      <c r="Q310" s="75" t="str">
        <f>IFERROR(Q266,"")</f>
        <v>4Q22</v>
      </c>
      <c r="R310" s="75">
        <f>IFERROR(R266,"")</f>
        <v>2022</v>
      </c>
      <c r="S310" s="75" t="str">
        <f>IFERROR(S266,"")</f>
        <v>1Q23</v>
      </c>
      <c r="T310" s="75" t="str">
        <f>IFERROR(T266,"")</f>
        <v>2Q23</v>
      </c>
      <c r="U310" s="75" t="str">
        <f>IFERROR(U266,"")</f>
        <v>3Q23</v>
      </c>
      <c r="V310" s="75" t="str">
        <f>IFERROR(V266,"")</f>
        <v>4Q23</v>
      </c>
      <c r="W310" s="75">
        <f>IFERROR(W266,"")</f>
        <v>2023</v>
      </c>
      <c r="X310" s="75" t="str">
        <f>IFERROR(X266,"")</f>
        <v>1Q24</v>
      </c>
      <c r="Y310" s="75" t="str">
        <f>IFERROR(Y266,"")</f>
        <v>2Q24</v>
      </c>
      <c r="Z310" s="75" t="str">
        <f>IFERROR(Z266,"")</f>
        <v>3Q24</v>
      </c>
      <c r="AA310" s="75" t="str">
        <f>IFERROR(AA266,"")</f>
        <v>4Q24</v>
      </c>
      <c r="AB310" s="75">
        <f>IFERROR(AB266,"")</f>
        <v>2024</v>
      </c>
      <c r="AC310" s="75" t="str">
        <f>IFERROR(AC266,"")</f>
        <v>1Q25</v>
      </c>
      <c r="AD310" s="75" t="str">
        <f>IFERROR(AD266,"")</f>
        <v>2Q25</v>
      </c>
      <c r="AE310" s="75" t="str">
        <f>IFERROR(AE266,"")</f>
        <v>3Q25</v>
      </c>
      <c r="AF310" s="75" t="str">
        <f>IFERROR(AF266,"")</f>
        <v>4Q25</v>
      </c>
      <c r="AG310" s="75">
        <f>IFERROR(AG266,"")</f>
        <v>2025</v>
      </c>
      <c r="AH310" s="75" t="str">
        <f>IFERROR(AH266,"")</f>
        <v>1Q26</v>
      </c>
      <c r="AI310" s="75" t="str">
        <f>IFERROR(AI266,"")</f>
        <v>2Q26</v>
      </c>
      <c r="AJ310" s="75" t="str">
        <f>IFERROR(AJ266,"")</f>
        <v>3Q26</v>
      </c>
      <c r="AK310" s="75" t="str">
        <f>IFERROR(AK266,"")</f>
        <v>4Q26</v>
      </c>
      <c r="AL310" s="75">
        <f>IFERROR(AL266,"")</f>
        <v>2026</v>
      </c>
      <c r="AM310" s="75" t="str">
        <f>IFERROR(AM266,"")</f>
        <v>1Q27</v>
      </c>
      <c r="AN310" s="75" t="str">
        <f>IFERROR(AN266,"")</f>
        <v>2Q27</v>
      </c>
      <c r="AO310" s="75" t="str">
        <f>IFERROR(AO266,"")</f>
        <v>3Q27</v>
      </c>
      <c r="AP310" s="75" t="str">
        <f>IFERROR(AP266,"")</f>
        <v>4Q27</v>
      </c>
      <c r="AQ310" s="75">
        <f>IFERROR(AQ266,"")</f>
        <v>2027</v>
      </c>
      <c r="AR310" s="75" t="str">
        <f>IFERROR(AR266,"")</f>
        <v>1Q28</v>
      </c>
      <c r="AS310" s="75" t="str">
        <f>IFERROR(AS266,"")</f>
        <v>2Q28</v>
      </c>
      <c r="AT310" s="75" t="str">
        <f>IFERROR(AT266,"")</f>
        <v>3Q28</v>
      </c>
      <c r="AU310" s="75" t="str">
        <f>IFERROR(AU266,"")</f>
        <v>4Q28</v>
      </c>
      <c r="AV310" s="75">
        <f>IFERROR(AV266,"")</f>
        <v>2028</v>
      </c>
      <c r="AW310" s="75" t="str">
        <f>IFERROR(AW266,"")</f>
        <v>1Q29</v>
      </c>
      <c r="AX310" s="75" t="str">
        <f>IFERROR(AX266,"")</f>
        <v>2Q29</v>
      </c>
      <c r="AY310" s="75" t="str">
        <f>IFERROR(AY266,"")</f>
        <v>3Q29</v>
      </c>
      <c r="AZ310" s="75" t="str">
        <f>IFERROR(AZ266,"")</f>
        <v>4Q29</v>
      </c>
      <c r="BA310" s="75">
        <f>IFERROR(BA266,"")</f>
        <v>2029</v>
      </c>
      <c r="BB310" s="75" t="str">
        <f>IFERROR(BB266,"")</f>
        <v>1Q30</v>
      </c>
      <c r="BC310" s="75" t="str">
        <f>IFERROR(BC266,"")</f>
        <v>2Q30</v>
      </c>
      <c r="BD310" s="75" t="str">
        <f>IFERROR(BD266,"")</f>
        <v>3Q30</v>
      </c>
      <c r="BE310" s="75" t="str">
        <f>IFERROR(BE266,"")</f>
        <v>4Q30</v>
      </c>
      <c r="BF310" s="75">
        <f>IFERROR(BF266,"")</f>
        <v>2030</v>
      </c>
      <c r="BG310" s="75" t="n"/>
      <c r="BH310" s="75" t="n"/>
      <c r="BI310" s="75" t="n"/>
      <c r="BJ310" s="75" t="n"/>
      <c r="BK310" s="75" t="n"/>
      <c r="BL310" s="75" t="n"/>
      <c r="BM310" s="75" t="n"/>
      <c r="BN310" s="75" t="n"/>
      <c r="BO310" s="75" t="n"/>
      <c r="BP310" s="75" t="n"/>
      <c r="BQ310" s="75" t="n"/>
      <c r="BR310" s="75" t="n"/>
      <c r="BS310" s="75" t="n"/>
      <c r="BT310" s="75" t="n"/>
      <c r="BU310" s="75" t="n"/>
      <c r="BV310" s="75" t="n"/>
      <c r="BW310" s="75" t="n"/>
      <c r="BX310" s="75" t="n"/>
      <c r="BY310" s="75" t="n"/>
      <c r="BZ310" s="75" t="n"/>
      <c r="CA310" s="75" t="n"/>
      <c r="CB310" s="75" t="n"/>
      <c r="CC310" s="75" t="n"/>
      <c r="CD310" s="75" t="n"/>
      <c r="CE310" s="75" t="n"/>
      <c r="CF310" s="75" t="n"/>
      <c r="CG310" s="75" t="n"/>
      <c r="CH310" s="75" t="n"/>
      <c r="CI310" s="75" t="n"/>
      <c r="CJ310" s="75" t="n"/>
      <c r="CK310" s="75" t="n"/>
      <c r="CL310" s="75" t="n"/>
      <c r="CM310" s="75" t="n"/>
      <c r="CN310" s="75" t="n"/>
      <c r="CO310" s="75" t="n"/>
      <c r="CP310" s="75" t="n"/>
      <c r="CQ310" s="75" t="n"/>
      <c r="CR310" s="75" t="n"/>
      <c r="CS310" s="75" t="n"/>
      <c r="CT310" s="75" t="n"/>
      <c r="CU310" s="75" t="n"/>
      <c r="CV310" s="75" t="n"/>
      <c r="CW310" s="75" t="n"/>
      <c r="CX310" s="75" t="n"/>
      <c r="CY310" s="75" t="n"/>
    </row>
    <row r="311" customFormat="1" s="77">
      <c r="A311" s="76" t="n"/>
      <c r="B311" s="76" t="n"/>
      <c r="C311" s="74" t="inlineStr">
        <is>
          <t>GROWTH &amp; MARGINS</t>
        </is>
      </c>
    </row>
    <row r="312" customFormat="1" s="77">
      <c r="A312" s="76" t="n"/>
      <c r="B312" s="76" t="n"/>
      <c r="C312" s="77" t="inlineStr">
        <is>
          <t>NET REVENUE GROWTH (YoY)</t>
        </is>
      </c>
      <c r="E312" s="78" t="str">
        <f>IFERROR(E15/D15-1,"")</f>
        <v/>
      </c>
      <c r="F312" s="78" t="str">
        <f>IFERROR(F15/E15-1,"")</f>
        <v/>
      </c>
      <c r="G312" s="78" t="str">
        <f>IFERROR(G15/F15-1,"")</f>
        <v/>
      </c>
      <c r="H312" s="257" t="str">
        <f>""</f>
        <v/>
      </c>
      <c r="I312" s="257" t="str">
        <f>""</f>
        <v/>
      </c>
      <c r="J312" s="257" t="str">
        <f>""</f>
        <v/>
      </c>
      <c r="K312" s="257" t="str">
        <f>""</f>
        <v/>
      </c>
      <c r="L312" s="257" t="str">
        <f>""</f>
        <v/>
      </c>
      <c r="M312" s="257" t="str">
        <f>IFERROR(IF(AND(ISNUMBER(M15),ISNUMBER(H15),H15&lt;&gt;0),M15/H15-1,""),"")</f>
        <v/>
      </c>
      <c r="N312" s="257">
        <f>IFERROR(IF(AND(ISNUMBER(N15),ISNUMBER(I15),I15&lt;&gt;0),N15/I15-1,""),"")</f>
        <v>0.0663711742004509</v>
      </c>
      <c r="O312" s="257">
        <f>IFERROR(IF(AND(ISNUMBER(O15),ISNUMBER(J15),J15&lt;&gt;0),O15/J15-1,""),"")</f>
        <v>-0.00876981806926436</v>
      </c>
      <c r="P312" s="257">
        <f>IFERROR(IF(AND(ISNUMBER(P15),ISNUMBER(K15),K15&lt;&gt;0),P15/K15-1,""),"")</f>
        <v>-0.0446742502585316</v>
      </c>
      <c r="Q312" s="257">
        <f>IFERROR(IF(AND(ISNUMBER(Q15),ISNUMBER(L15),L15&lt;&gt;0),Q15/L15-1,""),"")</f>
        <v>-0.0447269163375011</v>
      </c>
      <c r="R312" s="257">
        <f>IFERROR(IF(AND(ISNUMBER(R15),ISNUMBER(M15),M15&lt;&gt;0),R15/M15-1,""),"")</f>
        <v>-0.0111931755547829</v>
      </c>
      <c r="S312" s="257">
        <f>IFERROR(IF(AND(ISNUMBER(S15),ISNUMBER(N15),N15&lt;&gt;0),S15/N15-1,""),"")</f>
        <v>0.02640819836606</v>
      </c>
      <c r="T312" s="257">
        <f>IFERROR(IF(AND(ISNUMBER(T15),ISNUMBER(O15),O15&lt;&gt;0),T15/O15-1,""),"")</f>
        <v>0.110228297828048</v>
      </c>
      <c r="U312" s="257">
        <f>IFERROR(IF(AND(ISNUMBER(U15),ISNUMBER(P15),P15&lt;&gt;0),U15/P15-1,""),"")</f>
        <v>0.232084866854297</v>
      </c>
      <c r="V312" s="257">
        <f>IFERROR(IF(AND(ISNUMBER(V15),ISNUMBER(Q15),Q15&lt;&gt;0),V15/Q15-1,""),"")</f>
        <v>0.247038706668739</v>
      </c>
      <c r="W312" s="257">
        <f>IFERROR(IF(AND(ISNUMBER(W15),ISNUMBER(R15),R15&lt;&gt;0),W15/R15-1,""),"")</f>
        <v>0.156866108104863</v>
      </c>
      <c r="X312" s="257">
        <f>IFERROR(IF(AND(ISNUMBER(X15),ISNUMBER(S15),S15&lt;&gt;0),X15/S15-1,""),"")</f>
        <v>0.272647931576191</v>
      </c>
      <c r="Y312" s="257">
        <f>IFERROR(IF(AND(ISNUMBER(Y15),ISNUMBER(T15),T15&lt;&gt;0),Y15/T15-1,""),"")</f>
        <v>0.221006906465827</v>
      </c>
      <c r="Z312" s="257">
        <f>IFERROR(IF(AND(ISNUMBER(Z15),ISNUMBER(U15),U15&lt;&gt;0),Z15/U15-1,""),"")</f>
        <v>0.188689744040297</v>
      </c>
      <c r="AA312" s="257">
        <f>IFERROR(IF(AND(ISNUMBER(AA15),ISNUMBER(V15),V15&lt;&gt;0),AA15/V15-1,""),"")</f>
        <v>0.206277579716287</v>
      </c>
      <c r="AB312" s="257">
        <f>IFERROR(IF(AND(ISNUMBER(AB15),ISNUMBER(W15),W15&lt;&gt;0),AB15/W15-1,""),"")</f>
        <v>0.219412754538513</v>
      </c>
      <c r="AC312" s="257">
        <f>IFERROR(IF(AND(ISNUMBER(AC15),ISNUMBER(X15),X15&lt;&gt;0),AC15/X15-1,""),"")</f>
        <v>0.16071869428062</v>
      </c>
      <c r="AD312" s="257">
        <f>IFERROR(IF(AND(ISNUMBER(AD15),ISNUMBER(Y15),Y15&lt;&gt;0),AD15/Y15-1,""),"")</f>
        <v>0.216144966855212</v>
      </c>
      <c r="AE312" s="257">
        <f>IFERROR(IF(AND(ISNUMBER(AE15),ISNUMBER(Z15),Z15&lt;&gt;0),AE15/Z15-1,""),"")</f>
        <v>0.26246027248762</v>
      </c>
      <c r="AF312" s="257">
        <f>IFERROR(IF(AND(ISNUMBER(AF15),ISNUMBER(AA15),AA15&lt;&gt;0),AF15/AA15-1,""),"")</f>
        <v>0.237842306499948</v>
      </c>
      <c r="AG312" s="257">
        <f>IFERROR(IF(AND(ISNUMBER(AG15),ISNUMBER(AB15),AB15&lt;&gt;0),AG15/AB15-1,""),"")</f>
        <v>0.221671732522796</v>
      </c>
      <c r="AH312" s="257">
        <f>IFERROR(IF(AND(ISNUMBER(AH15),ISNUMBER(AC15),AC15&lt;&gt;0),AH15/AC15-1,""),"")</f>
        <v>0.3307888642057</v>
      </c>
      <c r="AI312" s="257">
        <f>IFERROR(IF(AND(ISNUMBER(AI15),ISNUMBER(AD15),AD15&lt;&gt;0),AI15/AD15-1,""),"")</f>
        <v>0.279590032831046</v>
      </c>
      <c r="AJ312" s="257">
        <f>IFERROR(IF(AND(ISNUMBER(AJ15),ISNUMBER(AE15),AE15&lt;&gt;0),AJ15/AE15-1,""),"")</f>
        <v>0.247924189526691</v>
      </c>
      <c r="AK312" s="257">
        <f>IFERROR(IF(AND(ISNUMBER(AK15),ISNUMBER(AF15),AF15&lt;&gt;0),AK15/AF15-1,""),"")</f>
        <v>0.247924189526691</v>
      </c>
      <c r="AL312" s="257">
        <f>IFERROR(IF(AND(ISNUMBER(AL15),ISNUMBER(AG15),AG15&lt;&gt;0),AL15/AG15-1,""),"")</f>
        <v>0.272858730639907</v>
      </c>
      <c r="AM312" s="257">
        <f>IFERROR(IF(AND(ISNUMBER(AM15),ISNUMBER(AH15),AH15&lt;&gt;0),AM15/AH15-1,""),"")</f>
        <v>0.247924189526691</v>
      </c>
      <c r="AN312" s="257">
        <f>IFERROR(IF(AND(ISNUMBER(AN15),ISNUMBER(AI15),AI15&lt;&gt;0),AN15/AI15-1,""),"")</f>
        <v>0.247924189526691</v>
      </c>
      <c r="AO312" s="257">
        <f>IFERROR(IF(AND(ISNUMBER(AO15),ISNUMBER(AJ15),AJ15&lt;&gt;0),AO15/AJ15-1,""),"")</f>
        <v>0.247924189526691</v>
      </c>
      <c r="AP312" s="257">
        <f>IFERROR(IF(AND(ISNUMBER(AP15),ISNUMBER(AK15),AK15&lt;&gt;0),AP15/AK15-1,""),"")</f>
        <v>0.247924189526691</v>
      </c>
      <c r="AQ312" s="257">
        <f>IFERROR(IF(AND(ISNUMBER(AQ15),ISNUMBER(AL15),AL15&lt;&gt;0),AQ15/AL15-1,""),"")</f>
        <v>0.247924189526691</v>
      </c>
      <c r="AR312" s="257">
        <f>IFERROR(IF(AND(ISNUMBER(AR15),ISNUMBER(AM15),AM15&lt;&gt;0),AR15/AM15-1,""),"")</f>
        <v>0.242924189526691</v>
      </c>
      <c r="AS312" s="257">
        <f>IFERROR(IF(AND(ISNUMBER(AS15),ISNUMBER(AN15),AN15&lt;&gt;0),AS15/AN15-1,""),"")</f>
        <v>0.242924189526691</v>
      </c>
      <c r="AT312" s="257">
        <f>IFERROR(IF(AND(ISNUMBER(AT15),ISNUMBER(AO15),AO15&lt;&gt;0),AT15/AO15-1,""),"")</f>
        <v>0.242924189526691</v>
      </c>
      <c r="AU312" s="257">
        <f>IFERROR(IF(AND(ISNUMBER(AU15),ISNUMBER(AP15),AP15&lt;&gt;0),AU15/AP15-1,""),"")</f>
        <v>0.242924189526691</v>
      </c>
      <c r="AV312" s="257">
        <f>IFERROR(IF(AND(ISNUMBER(AV15),ISNUMBER(AQ15),AQ15&lt;&gt;0),AV15/AQ15-1,""),"")</f>
        <v>0.242924189526691</v>
      </c>
      <c r="AW312" s="257">
        <f>IFERROR(IF(AND(ISNUMBER(AW15),ISNUMBER(AR15),AR15&lt;&gt;0),AW15/AR15-1,""),"")</f>
        <v>0.237924189526691</v>
      </c>
      <c r="AX312" s="257">
        <f>IFERROR(IF(AND(ISNUMBER(AX15),ISNUMBER(AS15),AS15&lt;&gt;0),AX15/AS15-1,""),"")</f>
        <v>0.237924189526691</v>
      </c>
      <c r="AY312" s="257">
        <f>IFERROR(IF(AND(ISNUMBER(AY15),ISNUMBER(AT15),AT15&lt;&gt;0),AY15/AT15-1,""),"")</f>
        <v>0.237924189526691</v>
      </c>
      <c r="AZ312" s="257">
        <f>IFERROR(IF(AND(ISNUMBER(AZ15),ISNUMBER(AU15),AU15&lt;&gt;0),AZ15/AU15-1,""),"")</f>
        <v>0.237924189526691</v>
      </c>
      <c r="BA312" s="257">
        <f>IFERROR(IF(AND(ISNUMBER(BA15),ISNUMBER(AV15),AV15&lt;&gt;0),BA15/AV15-1,""),"")</f>
        <v>0.237924189526691</v>
      </c>
      <c r="BB312" s="257">
        <f>IFERROR(IF(AND(ISNUMBER(BB15),ISNUMBER(AW15),AW15&lt;&gt;0),BB15/AW15-1,""),"")</f>
        <v>0.232924189526691</v>
      </c>
      <c r="BC312" s="257">
        <f>IFERROR(IF(AND(ISNUMBER(BC15),ISNUMBER(AX15),AX15&lt;&gt;0),BC15/AX15-1,""),"")</f>
        <v>0.232924189526691</v>
      </c>
      <c r="BD312" s="257">
        <f>IFERROR(IF(AND(ISNUMBER(BD15),ISNUMBER(AY15),AY15&lt;&gt;0),BD15/AY15-1,""),"")</f>
        <v>0.232924189526691</v>
      </c>
      <c r="BE312" s="257">
        <f>IFERROR(IF(AND(ISNUMBER(BE15),ISNUMBER(AZ15),AZ15&lt;&gt;0),BE15/AZ15-1,""),"")</f>
        <v>0.232924189526691</v>
      </c>
      <c r="BF312" s="257">
        <f>IFERROR(IF(AND(ISNUMBER(BF15),ISNUMBER(BA15),BA15&lt;&gt;0),BF15/BA15-1,""),"")</f>
        <v>0.232924189526691</v>
      </c>
      <c r="BG312" s="79" t="n"/>
      <c r="BH312" s="79" t="n"/>
      <c r="BI312" s="79" t="n"/>
      <c r="BJ312" s="79" t="n"/>
      <c r="BK312" s="78" t="n"/>
      <c r="BL312" s="79" t="n"/>
      <c r="BM312" s="79" t="n"/>
      <c r="BN312" s="79" t="n"/>
      <c r="BO312" s="79" t="n"/>
      <c r="BP312" s="78" t="n"/>
      <c r="BQ312" s="79" t="n"/>
      <c r="BR312" s="79" t="n"/>
      <c r="BS312" s="79" t="n"/>
      <c r="BT312" s="79" t="n"/>
      <c r="BU312" s="78" t="n"/>
      <c r="BV312" s="79" t="n"/>
      <c r="BW312" s="79" t="n"/>
      <c r="BX312" s="79" t="n"/>
      <c r="BY312" s="79" t="n"/>
      <c r="BZ312" s="78" t="n"/>
      <c r="CA312" s="79" t="n"/>
      <c r="CB312" s="79" t="n"/>
      <c r="CC312" s="79" t="n"/>
      <c r="CD312" s="79" t="n"/>
      <c r="CE312" s="78" t="n"/>
      <c r="CF312" s="79" t="n"/>
      <c r="CG312" s="79" t="n"/>
      <c r="CH312" s="79" t="n"/>
      <c r="CI312" s="79" t="n"/>
      <c r="CJ312" s="78" t="n"/>
      <c r="CK312" s="79" t="n"/>
      <c r="CL312" s="79" t="n"/>
      <c r="CM312" s="79" t="n"/>
      <c r="CN312" s="79" t="n"/>
      <c r="CO312" s="78" t="n"/>
      <c r="CP312" s="79" t="n"/>
      <c r="CQ312" s="79" t="n"/>
      <c r="CR312" s="79" t="n"/>
      <c r="CS312" s="79" t="n"/>
      <c r="CT312" s="78" t="n"/>
      <c r="CU312" s="79" t="n"/>
      <c r="CV312" s="79" t="n"/>
      <c r="CW312" s="79" t="n"/>
      <c r="CX312" s="79" t="n"/>
      <c r="CY312" s="78" t="n"/>
    </row>
    <row r="313" customFormat="1" s="77">
      <c r="A313" s="76" t="n"/>
      <c r="B313" s="76" t="n"/>
      <c r="C313" s="77" t="inlineStr">
        <is>
          <t>GROSS MARGIN</t>
        </is>
      </c>
      <c r="D313" s="79" t="str">
        <f>IFERROR(SUM(D15,D45)/D15,"")</f>
        <v/>
      </c>
      <c r="E313" s="79" t="str">
        <f>IFERROR(SUM(E15,E45)/E15,"")</f>
        <v/>
      </c>
      <c r="F313" s="79" t="str">
        <f>IFERROR(SUM(F15,F45)/F15,"")</f>
        <v/>
      </c>
      <c r="G313" s="79" t="str">
        <f>IFERROR(SUM(G15,G45)/G15,"")</f>
        <v/>
      </c>
      <c r="H313" s="258" t="str">
        <f>IFERROR(IF(N(H15)&lt;&gt;0,(H15+H45)/H15,""),"")</f>
        <v/>
      </c>
      <c r="I313" s="258">
        <f>IFERROR(IF(N(I15)&lt;&gt;0,(I15+I45)/I15,""),"")</f>
        <v>0.803943296014673</v>
      </c>
      <c r="J313" s="258">
        <f>IFERROR(IF(N(J15)&lt;&gt;0,(J15+J45)/J15,""),"")</f>
        <v>0.814320597035458</v>
      </c>
      <c r="K313" s="258">
        <f>IFERROR(IF(N(K15)&lt;&gt;0,(K15+K45)/K15,""),"")</f>
        <v>0.801068597035505</v>
      </c>
      <c r="L313" s="258">
        <f>IFERROR(IF(N(L15)&lt;&gt;0,(L15+L45)/L15,""),"")</f>
        <v>0.81146981081643</v>
      </c>
      <c r="M313" s="258">
        <f>IFERROR(IF(N(M15)&lt;&gt;0,(M15+M45)/M15,""),"")</f>
        <v>0.807943762772516</v>
      </c>
      <c r="N313" s="258">
        <f>IFERROR(IF(N(N15)&lt;&gt;0,(N15+N45)/N15,""),"")</f>
        <v>0.784828722946825</v>
      </c>
      <c r="O313" s="258">
        <f>IFERROR(IF(N(O15)&lt;&gt;0,(O15+O45)/O15,""),"")</f>
        <v>0.819859829297065</v>
      </c>
      <c r="P313" s="258">
        <f>IFERROR(IF(N(P15)&lt;&gt;0,(P15+P45)/P15,""),"")</f>
        <v>0.793750451035578</v>
      </c>
      <c r="Q313" s="258">
        <f>IFERROR(IF(N(Q15)&lt;&gt;0,(Q15+Q45)/Q15,""),"")</f>
        <v>0.740836312762319</v>
      </c>
      <c r="R313" s="258">
        <f>IFERROR(IF(N(R15)&lt;&gt;0,(R15+R45)/R15,""),"")</f>
        <v>0.783472973784185</v>
      </c>
      <c r="S313" s="258">
        <f>IFERROR(IF(N(S15)&lt;&gt;0,(S15+S45)/S15,""),"")</f>
        <v>0.786769069645662</v>
      </c>
      <c r="T313" s="258">
        <f>IFERROR(IF(N(T15)&lt;&gt;0,(T15+T45)/T15,""),"")</f>
        <v>0.814212944154505</v>
      </c>
      <c r="U313" s="258">
        <f>IFERROR(IF(N(U15)&lt;&gt;0,(U15+U45)/U15,""),"")</f>
        <v>0.818133895624671</v>
      </c>
      <c r="V313" s="258">
        <f>IFERROR(IF(N(V15)&lt;&gt;0,(V15+V45)/V15,""),"")</f>
        <v>0.808157363316796</v>
      </c>
      <c r="W313" s="258">
        <f>IFERROR(IF(N(W15)&lt;&gt;0,(W15+W45)/W15,""),"")</f>
        <v>0.807577408618172</v>
      </c>
      <c r="X313" s="258">
        <f>IFERROR(IF(N(X15)&lt;&gt;0,(X15+X45)/X15,""),"")</f>
        <v>0.817857632697847</v>
      </c>
      <c r="Y313" s="258">
        <f>IFERROR(IF(N(Y15)&lt;&gt;0,(Y15+Y45)/Y15,""),"")</f>
        <v>0.812955900795987</v>
      </c>
      <c r="Z313" s="258">
        <f>IFERROR(IF(N(Z15)&lt;&gt;0,(Z15+Z45)/Z15,""),"")</f>
        <v>0.818300524772722</v>
      </c>
      <c r="AA313" s="258">
        <f>IFERROR(IF(N(AA15)&lt;&gt;0,(AA15+AA45)/AA15,""),"")</f>
        <v>0.817319417174744</v>
      </c>
      <c r="AB313" s="258">
        <f>IFERROR(IF(N(AB15)&lt;&gt;0,(AB15+AB45)/AB15,""),"")</f>
        <v>0.816644376899696</v>
      </c>
      <c r="AC313" s="258">
        <f>IFERROR(IF(N(AC15)&lt;&gt;0,(AC15+AC45)/AC15,""),"")</f>
        <v>0.82105213404547</v>
      </c>
      <c r="AD313" s="258">
        <f>IFERROR(IF(N(AD15)&lt;&gt;0,(AD15+AD45)/AD15,""),"")</f>
        <v>0.821302298173247</v>
      </c>
      <c r="AE313" s="258">
        <f>IFERROR(IF(N(AE15)&lt;&gt;0,(AE15+AE45)/AE15,""),"")</f>
        <v>0.820342687639046</v>
      </c>
      <c r="AF313" s="258">
        <f>IFERROR(IF(N(AF15)&lt;&gt;0,(AF15+AF45)/AF15,""),"")</f>
        <v>0.817908603676557</v>
      </c>
      <c r="AG313" s="258">
        <f>IFERROR(IF(N(AG15)&lt;&gt;0,(AG15+AG45)/AG15,""),"")</f>
        <v>0.819993531211903</v>
      </c>
      <c r="AH313" s="258">
        <f>IFERROR(IF(N(AH15)&lt;&gt;0,(AH15+AH45)/AH15,""),"")</f>
        <v>0.818543446218323</v>
      </c>
      <c r="AI313" s="258">
        <f>IFERROR(IF(N(AI15)&lt;&gt;0,(AI15+AI45)/AI15,""),"")</f>
        <v>0.813654380684528</v>
      </c>
      <c r="AJ313" s="258">
        <f>IFERROR(IF(N(AJ15)&lt;&gt;0,(AJ15+AJ45)/AJ15,""),"")</f>
        <v>0.818800591739529</v>
      </c>
      <c r="AK313" s="258">
        <f>IFERROR(IF(N(AK15)&lt;&gt;0,(AK15+AK45)/AK15,""),"")</f>
        <v>0.818800591739529</v>
      </c>
      <c r="AL313" s="258">
        <f>IFERROR(IF(N(AL15)&lt;&gt;0,(AL15+AL45)/AL15,""),"")</f>
        <v>0.817520783961333</v>
      </c>
      <c r="AM313" s="258">
        <f>IFERROR(IF(N(AM15)&lt;&gt;0,(AM15+AM45)/AM15,""),"")</f>
        <v>0.818800591739529</v>
      </c>
      <c r="AN313" s="258">
        <f>IFERROR(IF(N(AN15)&lt;&gt;0,(AN15+AN45)/AN15,""),"")</f>
        <v>0.818800591739529</v>
      </c>
      <c r="AO313" s="258">
        <f>IFERROR(IF(N(AO15)&lt;&gt;0,(AO15+AO45)/AO15,""),"")</f>
        <v>0.818800591739529</v>
      </c>
      <c r="AP313" s="258">
        <f>IFERROR(IF(N(AP15)&lt;&gt;0,(AP15+AP45)/AP15,""),"")</f>
        <v>0.818800591739529</v>
      </c>
      <c r="AQ313" s="258">
        <f>IFERROR(IF(N(AQ15)&lt;&gt;0,(AQ15+AQ45)/AQ15,""),"")</f>
        <v>0.818800591739529</v>
      </c>
      <c r="AR313" s="258">
        <f>IFERROR(IF(N(AR15)&lt;&gt;0,(AR15+AR45)/AR15,""),"")</f>
        <v>0.818800591739529</v>
      </c>
      <c r="AS313" s="258">
        <f>IFERROR(IF(N(AS15)&lt;&gt;0,(AS15+AS45)/AS15,""),"")</f>
        <v>0.818800591739529</v>
      </c>
      <c r="AT313" s="258">
        <f>IFERROR(IF(N(AT15)&lt;&gt;0,(AT15+AT45)/AT15,""),"")</f>
        <v>0.818800591739529</v>
      </c>
      <c r="AU313" s="258">
        <f>IFERROR(IF(N(AU15)&lt;&gt;0,(AU15+AU45)/AU15,""),"")</f>
        <v>0.818800591739529</v>
      </c>
      <c r="AV313" s="258">
        <f>IFERROR(IF(N(AV15)&lt;&gt;0,(AV15+AV45)/AV15,""),"")</f>
        <v>0.818800591739529</v>
      </c>
      <c r="AW313" s="258">
        <f>IFERROR(IF(N(AW15)&lt;&gt;0,(AW15+AW45)/AW15,""),"")</f>
        <v>0.818800591739528</v>
      </c>
      <c r="AX313" s="258">
        <f>IFERROR(IF(N(AX15)&lt;&gt;0,(AX15+AX45)/AX15,""),"")</f>
        <v>0.818800591739529</v>
      </c>
      <c r="AY313" s="258">
        <f>IFERROR(IF(N(AY15)&lt;&gt;0,(AY15+AY45)/AY15,""),"")</f>
        <v>0.818800591739529</v>
      </c>
      <c r="AZ313" s="258">
        <f>IFERROR(IF(N(AZ15)&lt;&gt;0,(AZ15+AZ45)/AZ15,""),"")</f>
        <v>0.818800591739529</v>
      </c>
      <c r="BA313" s="258">
        <f>IFERROR(IF(N(BA15)&lt;&gt;0,(BA15+BA45)/BA15,""),"")</f>
        <v>0.818800591739529</v>
      </c>
      <c r="BB313" s="258">
        <f>IFERROR(IF(N(BB15)&lt;&gt;0,(BB15+BB45)/BB15,""),"")</f>
        <v>0.818800591739529</v>
      </c>
      <c r="BC313" s="258">
        <f>IFERROR(IF(N(BC15)&lt;&gt;0,(BC15+BC45)/BC15,""),"")</f>
        <v>0.818800591739529</v>
      </c>
      <c r="BD313" s="258">
        <f>IFERROR(IF(N(BD15)&lt;&gt;0,(BD15+BD45)/BD15,""),"")</f>
        <v>0.818800591739529</v>
      </c>
      <c r="BE313" s="258">
        <f>IFERROR(IF(N(BE15)&lt;&gt;0,(BE15+BE45)/BE15,""),"")</f>
        <v>0.818800591739529</v>
      </c>
      <c r="BF313" s="258">
        <f>IFERROR(IF(N(BF15)&lt;&gt;0,(BF15+BF45)/BF15,""),"")</f>
        <v>0.818800591739528</v>
      </c>
      <c r="BG313" s="80" t="n"/>
      <c r="BH313" s="80" t="n"/>
      <c r="BI313" s="80" t="n"/>
      <c r="BJ313" s="80" t="n"/>
      <c r="BL313" s="80" t="n"/>
      <c r="BM313" s="80" t="n"/>
      <c r="BN313" s="80" t="n"/>
      <c r="BO313" s="80" t="n"/>
      <c r="BQ313" s="80" t="n"/>
      <c r="BR313" s="80" t="n"/>
      <c r="BS313" s="80" t="n"/>
      <c r="BT313" s="80" t="n"/>
      <c r="BV313" s="80" t="n"/>
      <c r="BW313" s="80" t="n"/>
      <c r="BX313" s="80" t="n"/>
      <c r="BY313" s="80" t="n"/>
      <c r="CA313" s="80" t="n"/>
      <c r="CB313" s="80" t="n"/>
      <c r="CC313" s="80" t="n"/>
      <c r="CD313" s="80" t="n"/>
      <c r="CF313" s="80" t="n"/>
      <c r="CG313" s="80" t="n"/>
      <c r="CH313" s="80" t="n"/>
      <c r="CI313" s="80" t="n"/>
      <c r="CK313" s="80" t="n"/>
      <c r="CL313" s="80" t="n"/>
      <c r="CM313" s="80" t="n"/>
      <c r="CN313" s="80" t="n"/>
      <c r="CP313" s="80" t="n"/>
      <c r="CQ313" s="80" t="n"/>
      <c r="CR313" s="80" t="n"/>
      <c r="CS313" s="80" t="n"/>
      <c r="CU313" s="80" t="n"/>
      <c r="CV313" s="80" t="n"/>
      <c r="CW313" s="80" t="n"/>
      <c r="CX313" s="80" t="n"/>
    </row>
    <row r="314" customFormat="1" s="77">
      <c r="A314" s="76" t="n"/>
      <c r="B314" s="76" t="n"/>
      <c r="C314" s="77" t="inlineStr">
        <is>
          <t>EBIT MARGIN</t>
        </is>
      </c>
      <c r="D314" s="78" t="str">
        <f>IFERROR((D64/D15),"")</f>
        <v/>
      </c>
      <c r="E314" s="78" t="str">
        <f>IFERROR((E64/E15),"")</f>
        <v/>
      </c>
      <c r="F314" s="78" t="str">
        <f>IFERROR((F64/F15),"")</f>
        <v/>
      </c>
      <c r="G314" s="78" t="str">
        <f>IFERROR((G64/G15),"")</f>
        <v/>
      </c>
      <c r="H314" s="258" t="str">
        <f>IFERROR(IF(N(H15)&lt;&gt;0,H64/H15,""),"")</f>
        <v/>
      </c>
      <c r="I314" s="257">
        <f>IFERROR(IF(N(I15)&lt;&gt;0,I64/I15,""),"")</f>
        <v>0.434756027664208</v>
      </c>
      <c r="J314" s="257">
        <f>IFERROR(IF(N(J15)&lt;&gt;0,J64/J15,""),"")</f>
        <v>0.425318980637617</v>
      </c>
      <c r="K314" s="257">
        <f>IFERROR(IF(N(K15)&lt;&gt;0,K64/K15,""),"")</f>
        <v>0.359289900034471</v>
      </c>
      <c r="L314" s="257">
        <f>IFERROR(IF(N(L15)&lt;&gt;0,L64/L15,""),"")</f>
        <v>0.373763772979715</v>
      </c>
      <c r="M314" s="258">
        <f>IFERROR(IF(N(M15)&lt;&gt;0,M64/M15,""),"")</f>
        <v>0.396450406600582</v>
      </c>
      <c r="N314" s="257">
        <f>IFERROR(IF(N(N15)&lt;&gt;0,N64/N15,""),"")</f>
        <v>0.305432134155081</v>
      </c>
      <c r="O314" s="257">
        <f>IFERROR(IF(N(O15)&lt;&gt;0,O64/O15,""),"")</f>
        <v>0.289986815626952</v>
      </c>
      <c r="P314" s="257">
        <f>IFERROR(IF(N(P15)&lt;&gt;0,P64/P15,""),"")</f>
        <v>0.204373240961247</v>
      </c>
      <c r="Q314" s="257">
        <f>IFERROR(IF(N(Q15)&lt;&gt;0,Q64/Q15,""),"")</f>
        <v>0.198942950411938</v>
      </c>
      <c r="R314" s="258">
        <f>IFERROR(IF(N(R15)&lt;&gt;0,R64/R15,""),"")</f>
        <v>0.248222692931077</v>
      </c>
      <c r="S314" s="257">
        <f>IFERROR(IF(N(S15)&lt;&gt;0,S64/S15,""),"")</f>
        <v>0.252295339500786</v>
      </c>
      <c r="T314" s="257">
        <f>IFERROR(IF(N(T15)&lt;&gt;0,T64/T15,""),"")</f>
        <v>0.29350917216163</v>
      </c>
      <c r="U314" s="257">
        <f>IFERROR(IF(N(U15)&lt;&gt;0,U64/U15,""),"")</f>
        <v>0.402624026240262</v>
      </c>
      <c r="V314" s="257">
        <f>IFERROR(IF(N(V15)&lt;&gt;0,V64/V15,""),"")</f>
        <v>0.408466505447384</v>
      </c>
      <c r="W314" s="258">
        <f>IFERROR(IF(N(W15)&lt;&gt;0,W64/W15,""),"")</f>
        <v>0.346557846124195</v>
      </c>
      <c r="X314" s="257">
        <f>IFERROR(IF(N(X15)&lt;&gt;0,X64/X15,""),"")</f>
        <v>0.379042655328487</v>
      </c>
      <c r="Y314" s="257">
        <f>IFERROR(IF(N(Y15)&lt;&gt;0,Y64/Y15,""),"")</f>
        <v>0.380000511888613</v>
      </c>
      <c r="Z314" s="257">
        <f>IFERROR(IF(N(Z15)&lt;&gt;0,Z64/Z15,""),"")</f>
        <v>0.427455714602479</v>
      </c>
      <c r="AA314" s="257">
        <f>IFERROR(IF(N(AA15)&lt;&gt;0,AA64/AA15,""),"")</f>
        <v>0.482876924666736</v>
      </c>
      <c r="AB314" s="258">
        <f>IFERROR(IF(N(AB15)&lt;&gt;0,AB64/AB15,""),"")</f>
        <v>0.421756838905775</v>
      </c>
      <c r="AC314" s="257">
        <f>IFERROR(IF(N(AC15)&lt;&gt;0,AC64/AC15,""),"")</f>
        <v>0.414874509618566</v>
      </c>
      <c r="AD314" s="257">
        <f>IFERROR(IF(N(AD15)&lt;&gt;0,AD64/AD15,""),"")</f>
        <v>0.430191935348093</v>
      </c>
      <c r="AE314" s="257">
        <f>IFERROR(IF(N(AE15)&lt;&gt;0,AE64/AE15,""),"")</f>
        <v>0.400745482221615</v>
      </c>
      <c r="AF314" s="257">
        <f>IFERROR(IF(N(AF15)&lt;&gt;0,AF64/AF15,""),"")</f>
        <v>0.413153456998314</v>
      </c>
      <c r="AG314" s="258">
        <f>IFERROR(IF(N(AG15)&lt;&gt;0,AG64/AG15,""),"")</f>
        <v>0.414380613539671</v>
      </c>
      <c r="AH314" s="257">
        <f>IFERROR(IF(N(AH15)&lt;&gt;0,AH64/AH15,""),"")</f>
        <v>0.406172861430271</v>
      </c>
      <c r="AI314" s="257">
        <f>IFERROR(IF(N(AI15)&lt;&gt;0,AI64/AI15,""),"")</f>
        <v>0.308794263252249</v>
      </c>
      <c r="AJ314" s="257">
        <f>IFERROR(IF(N(AJ15)&lt;&gt;0,AJ64/AJ15,""),"")</f>
        <v>0.395655418144851</v>
      </c>
      <c r="AK314" s="257">
        <f>IFERROR(IF(N(AK15)&lt;&gt;0,AK64/AK15,""),"")</f>
        <v>0.395655418144851</v>
      </c>
      <c r="AL314" s="258">
        <f>IFERROR(IF(N(AL15)&lt;&gt;0,AL64/AL15,""),"")</f>
        <v>0.377324705380188</v>
      </c>
      <c r="AM314" s="257">
        <f>IFERROR(IF(N(AM15)&lt;&gt;0,AM64/AM15,""),"")</f>
        <v>0.395655418144851</v>
      </c>
      <c r="AN314" s="257">
        <f>IFERROR(IF(N(AN15)&lt;&gt;0,AN64/AN15,""),"")</f>
        <v>0.395655418144851</v>
      </c>
      <c r="AO314" s="257">
        <f>IFERROR(IF(N(AO15)&lt;&gt;0,AO64/AO15,""),"")</f>
        <v>0.395655418144851</v>
      </c>
      <c r="AP314" s="257">
        <f>IFERROR(IF(N(AP15)&lt;&gt;0,AP64/AP15,""),"")</f>
        <v>0.395655418144851</v>
      </c>
      <c r="AQ314" s="258">
        <f>IFERROR(IF(N(AQ15)&lt;&gt;0,AQ64/AQ15,""),"")</f>
        <v>0.395655418144851</v>
      </c>
      <c r="AR314" s="257">
        <f>IFERROR(IF(N(AR15)&lt;&gt;0,AR64/AR15,""),"")</f>
        <v>0.395655418144851</v>
      </c>
      <c r="AS314" s="257">
        <f>IFERROR(IF(N(AS15)&lt;&gt;0,AS64/AS15,""),"")</f>
        <v>0.395655418144851</v>
      </c>
      <c r="AT314" s="257">
        <f>IFERROR(IF(N(AT15)&lt;&gt;0,AT64/AT15,""),"")</f>
        <v>0.395655418144851</v>
      </c>
      <c r="AU314" s="257">
        <f>IFERROR(IF(N(AU15)&lt;&gt;0,AU64/AU15,""),"")</f>
        <v>0.395655418144851</v>
      </c>
      <c r="AV314" s="258">
        <f>IFERROR(IF(N(AV15)&lt;&gt;0,AV64/AV15,""),"")</f>
        <v>0.395655418144851</v>
      </c>
      <c r="AW314" s="257">
        <f>IFERROR(IF(N(AW15)&lt;&gt;0,AW64/AW15,""),"")</f>
        <v>0.395655418144851</v>
      </c>
      <c r="AX314" s="257">
        <f>IFERROR(IF(N(AX15)&lt;&gt;0,AX64/AX15,""),"")</f>
        <v>0.395655418144851</v>
      </c>
      <c r="AY314" s="257">
        <f>IFERROR(IF(N(AY15)&lt;&gt;0,AY64/AY15,""),"")</f>
        <v>0.395655418144851</v>
      </c>
      <c r="AZ314" s="257">
        <f>IFERROR(IF(N(AZ15)&lt;&gt;0,AZ64/AZ15,""),"")</f>
        <v>0.395655418144851</v>
      </c>
      <c r="BA314" s="258">
        <f>IFERROR(IF(N(BA15)&lt;&gt;0,BA64/BA15,""),"")</f>
        <v>0.395655418144851</v>
      </c>
      <c r="BB314" s="257">
        <f>IFERROR(IF(N(BB15)&lt;&gt;0,BB64/BB15,""),"")</f>
        <v>0.395655418144851</v>
      </c>
      <c r="BC314" s="257">
        <f>IFERROR(IF(N(BC15)&lt;&gt;0,BC64/BC15,""),"")</f>
        <v>0.395655418144851</v>
      </c>
      <c r="BD314" s="257">
        <f>IFERROR(IF(N(BD15)&lt;&gt;0,BD64/BD15,""),"")</f>
        <v>0.395655418144851</v>
      </c>
      <c r="BE314" s="257">
        <f>IFERROR(IF(N(BE15)&lt;&gt;0,BE64/BE15,""),"")</f>
        <v>0.395655418144851</v>
      </c>
      <c r="BF314" s="258">
        <f>IFERROR(IF(N(BF15)&lt;&gt;0,BF64/BF15,""),"")</f>
        <v>0.395655418144851</v>
      </c>
      <c r="BG314" s="81" t="n"/>
      <c r="BH314" s="81" t="n"/>
      <c r="BI314" s="81" t="n"/>
      <c r="BJ314" s="81" t="n"/>
      <c r="BL314" s="81" t="n"/>
      <c r="BM314" s="81" t="n"/>
      <c r="BN314" s="81" t="n"/>
      <c r="BO314" s="81" t="n"/>
      <c r="BQ314" s="81" t="n"/>
      <c r="BR314" s="81" t="n"/>
      <c r="BS314" s="81" t="n"/>
      <c r="BT314" s="81" t="n"/>
      <c r="BV314" s="81" t="n"/>
      <c r="BW314" s="81" t="n"/>
      <c r="BX314" s="81" t="n"/>
      <c r="BY314" s="81" t="n"/>
      <c r="CA314" s="81" t="n"/>
      <c r="CB314" s="81" t="n"/>
      <c r="CC314" s="81" t="n"/>
      <c r="CD314" s="81" t="n"/>
      <c r="CF314" s="81" t="n"/>
      <c r="CG314" s="81" t="n"/>
      <c r="CH314" s="81" t="n"/>
      <c r="CI314" s="81" t="n"/>
      <c r="CK314" s="81" t="n"/>
      <c r="CL314" s="81" t="n"/>
      <c r="CM314" s="81" t="n"/>
      <c r="CN314" s="81" t="n"/>
      <c r="CP314" s="81" t="n"/>
      <c r="CQ314" s="81" t="n"/>
      <c r="CR314" s="81" t="n"/>
      <c r="CS314" s="81" t="n"/>
      <c r="CU314" s="81" t="n"/>
      <c r="CV314" s="81" t="n"/>
      <c r="CW314" s="81" t="n"/>
      <c r="CX314" s="81" t="n"/>
    </row>
    <row r="315" customFormat="1" s="77">
      <c r="A315" s="76" t="n"/>
      <c r="B315" s="76" t="n"/>
      <c r="C315" s="77" t="inlineStr">
        <is>
          <t>EBITDA MARGIN</t>
        </is>
      </c>
      <c r="D315" s="78" t="str">
        <f>IFERROR(D60/D15,"")</f>
        <v/>
      </c>
      <c r="E315" s="78" t="str">
        <f>IFERROR(E60/E15,"")</f>
        <v/>
      </c>
      <c r="F315" s="78" t="str">
        <f>IFERROR(F60/F15,"")</f>
        <v/>
      </c>
      <c r="G315" s="78" t="str">
        <f>IFERROR(G60/G15,"")</f>
        <v/>
      </c>
      <c r="H315" s="258" t="str">
        <f>IFERROR(IF(N(H15)&lt;&gt;0,H60/H15,""),"")</f>
        <v/>
      </c>
      <c r="I315" s="257">
        <f>IFERROR(IF(N(I15)&lt;&gt;0,I60/I15,""),"")</f>
        <v>0.510106606549234</v>
      </c>
      <c r="J315" s="257">
        <f>IFERROR(IF(N(J15)&lt;&gt;0,J60/J15,""),"")</f>
        <v>0.493620387247653</v>
      </c>
      <c r="K315" s="257">
        <f>IFERROR(IF(N(K15)&lt;&gt;0,K60/K15,""),"")</f>
        <v>0.428059289900034</v>
      </c>
      <c r="L315" s="257">
        <f>IFERROR(IF(N(L15)&lt;&gt;0,L60/L15,""),"")</f>
        <v>0.433577856315524</v>
      </c>
      <c r="M315" s="258">
        <f>IFERROR(IF(N(M15)&lt;&gt;0,M60/M15,""),"")</f>
        <v>0.464008004816457</v>
      </c>
      <c r="N315" s="257">
        <f>IFERROR(IF(N(N15)&lt;&gt;0,N60/N15,""),"")</f>
        <v>0.382685968181167</v>
      </c>
      <c r="O315" s="257">
        <f>IFERROR(IF(N(O15)&lt;&gt;0,O60/O15,""),"")</f>
        <v>0.358649642634099</v>
      </c>
      <c r="P315" s="257">
        <f>IFERROR(IF(N(P15)&lt;&gt;0,P60/P15,""),"")</f>
        <v>0.282853431478675</v>
      </c>
      <c r="Q315" s="257">
        <f>IFERROR(IF(N(Q15)&lt;&gt;0,Q60/Q15,""),"")</f>
        <v>0.272812062801181</v>
      </c>
      <c r="R315" s="258">
        <f>IFERROR(IF(N(R15)&lt;&gt;0,R60/R15,""),"")</f>
        <v>0.322710939978904</v>
      </c>
      <c r="S315" s="257">
        <f>IFERROR(IF(N(S15)&lt;&gt;0,S60/S15,""),"")</f>
        <v>0.340408448245767</v>
      </c>
      <c r="T315" s="257">
        <f>IFERROR(IF(N(T15)&lt;&gt;0,T60/T15,""),"")</f>
        <v>0.375480483765118</v>
      </c>
      <c r="U315" s="257">
        <f>IFERROR(IF(N(U15)&lt;&gt;0,U60/U15,""),"")</f>
        <v>0.486352720670064</v>
      </c>
      <c r="V315" s="257">
        <f>IFERROR(IF(N(V15)&lt;&gt;0,V60/V15,""),"")</f>
        <v>0.487547056917055</v>
      </c>
      <c r="W315" s="258">
        <f>IFERROR(IF(N(W15)&lt;&gt;0,W60/W15,""),"")</f>
        <v>0.429418610684873</v>
      </c>
      <c r="X315" s="257">
        <f>IFERROR(IF(N(X15)&lt;&gt;0,X60/X15,""),"")</f>
        <v>0.471595117267865</v>
      </c>
      <c r="Y315" s="257">
        <f>IFERROR(IF(N(Y15)&lt;&gt;0,Y60/Y15,""),"")</f>
        <v>0.473087456169538</v>
      </c>
      <c r="Z315" s="257">
        <f>IFERROR(IF(N(Z15)&lt;&gt;0,Z60/Z15,""),"")</f>
        <v>0.526669787380818</v>
      </c>
      <c r="AA315" s="257">
        <f>IFERROR(IF(N(AA15)&lt;&gt;0,AA60/AA15,""),"")</f>
        <v>0.575054252350935</v>
      </c>
      <c r="AB315" s="258">
        <f>IFERROR(IF(N(AB15)&lt;&gt;0,AB60/AB15,""),"")</f>
        <v>0.515969604863222</v>
      </c>
      <c r="AC315" s="257">
        <f>IFERROR(IF(N(AC15)&lt;&gt;0,AC60/AC15,""),"")</f>
        <v>0.507042586378031</v>
      </c>
      <c r="AD315" s="257">
        <f>IFERROR(IF(N(AD15)&lt;&gt;0,AD60/AD15,""),"")</f>
        <v>0.521571681117939</v>
      </c>
      <c r="AE315" s="257">
        <f>IFERROR(IF(N(AE15)&lt;&gt;0,AE60/AE15,""),"")</f>
        <v>0.497599625307365</v>
      </c>
      <c r="AF315" s="257">
        <f>IFERROR(IF(N(AF15)&lt;&gt;0,AF60/AF15,""),"")</f>
        <v>0.50349790459653</v>
      </c>
      <c r="AG315" s="258">
        <f>IFERROR(IF(N(AG15)&lt;&gt;0,AG60/AG15,""),"")</f>
        <v>0.507013659094867</v>
      </c>
      <c r="AH315" s="257">
        <f>IFERROR(IF(N(AH15)&lt;&gt;0,AH60/AH15,""),"")</f>
        <v>0.512706220809433</v>
      </c>
      <c r="AI315" s="257">
        <f>IFERROR(IF(N(AI15)&lt;&gt;0,AI60/AI15,""),"")</f>
        <v>0.413332017565501</v>
      </c>
      <c r="AJ315" s="257">
        <f>IFERROR(IF(N(AJ15)&lt;&gt;0,AJ60/AJ15,""),"")</f>
        <v>0.492625005962467</v>
      </c>
      <c r="AK315" s="257">
        <f>IFERROR(IF(N(AK15)&lt;&gt;0,AK60/AK15,""),"")</f>
        <v>0.492625005962467</v>
      </c>
      <c r="AL315" s="258">
        <f>IFERROR(IF(N(AL15)&lt;&gt;0,AL60/AL15,""),"")</f>
        <v>0.47819850515066</v>
      </c>
      <c r="AM315" s="257">
        <f>IFERROR(IF(N(AM15)&lt;&gt;0,AM60/AM15,""),"")</f>
        <v>0.492625005962467</v>
      </c>
      <c r="AN315" s="257">
        <f>IFERROR(IF(N(AN15)&lt;&gt;0,AN60/AN15,""),"")</f>
        <v>0.492625005962467</v>
      </c>
      <c r="AO315" s="257">
        <f>IFERROR(IF(N(AO15)&lt;&gt;0,AO60/AO15,""),"")</f>
        <v>0.492625005962467</v>
      </c>
      <c r="AP315" s="257">
        <f>IFERROR(IF(N(AP15)&lt;&gt;0,AP60/AP15,""),"")</f>
        <v>0.492625005962467</v>
      </c>
      <c r="AQ315" s="258">
        <f>IFERROR(IF(N(AQ15)&lt;&gt;0,AQ60/AQ15,""),"")</f>
        <v>0.492625005962467</v>
      </c>
      <c r="AR315" s="257">
        <f>IFERROR(IF(N(AR15)&lt;&gt;0,AR60/AR15,""),"")</f>
        <v>0.492625005962467</v>
      </c>
      <c r="AS315" s="257">
        <f>IFERROR(IF(N(AS15)&lt;&gt;0,AS60/AS15,""),"")</f>
        <v>0.492625005962467</v>
      </c>
      <c r="AT315" s="257">
        <f>IFERROR(IF(N(AT15)&lt;&gt;0,AT60/AT15,""),"")</f>
        <v>0.492625005962467</v>
      </c>
      <c r="AU315" s="257">
        <f>IFERROR(IF(N(AU15)&lt;&gt;0,AU60/AU15,""),"")</f>
        <v>0.492625005962467</v>
      </c>
      <c r="AV315" s="258">
        <f>IFERROR(IF(N(AV15)&lt;&gt;0,AV60/AV15,""),"")</f>
        <v>0.492625005962467</v>
      </c>
      <c r="AW315" s="257">
        <f>IFERROR(IF(N(AW15)&lt;&gt;0,AW60/AW15,""),"")</f>
        <v>0.492625005962467</v>
      </c>
      <c r="AX315" s="257">
        <f>IFERROR(IF(N(AX15)&lt;&gt;0,AX60/AX15,""),"")</f>
        <v>0.492625005962467</v>
      </c>
      <c r="AY315" s="257">
        <f>IFERROR(IF(N(AY15)&lt;&gt;0,AY60/AY15,""),"")</f>
        <v>0.492625005962467</v>
      </c>
      <c r="AZ315" s="257">
        <f>IFERROR(IF(N(AZ15)&lt;&gt;0,AZ60/AZ15,""),"")</f>
        <v>0.492625005962467</v>
      </c>
      <c r="BA315" s="258">
        <f>IFERROR(IF(N(BA15)&lt;&gt;0,BA60/BA15,""),"")</f>
        <v>0.492625005962467</v>
      </c>
      <c r="BB315" s="257">
        <f>IFERROR(IF(N(BB15)&lt;&gt;0,BB60/BB15,""),"")</f>
        <v>0.492625005962467</v>
      </c>
      <c r="BC315" s="257">
        <f>IFERROR(IF(N(BC15)&lt;&gt;0,BC60/BC15,""),"")</f>
        <v>0.492625005962467</v>
      </c>
      <c r="BD315" s="257">
        <f>IFERROR(IF(N(BD15)&lt;&gt;0,BD60/BD15,""),"")</f>
        <v>0.492625005962467</v>
      </c>
      <c r="BE315" s="257">
        <f>IFERROR(IF(N(BE15)&lt;&gt;0,BE60/BE15,""),"")</f>
        <v>0.492625005962467</v>
      </c>
      <c r="BF315" s="258">
        <f>IFERROR(IF(N(BF15)&lt;&gt;0,BF60/BF15,""),"")</f>
        <v>0.492625005962467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ETR</t>
        </is>
      </c>
      <c r="D316" s="78" t="str">
        <f>IFERROR(-D122/D121,"")</f>
        <v/>
      </c>
      <c r="E316" s="78" t="str">
        <f>IFERROR(-E122/E121,"")</f>
        <v/>
      </c>
      <c r="F316" s="78" t="str">
        <f>IFERROR(-F122/F121,"")</f>
        <v/>
      </c>
      <c r="G316" s="78" t="str">
        <f>IFERROR(-G122/G121,"")</f>
        <v/>
      </c>
      <c r="H316" s="258" t="str">
        <f>IFERROR(IF(N(H121)&lt;&gt;0,-H122/H121,""),"")</f>
        <v/>
      </c>
      <c r="I316" s="257">
        <f>IFERROR(IF(N(I121)&lt;&gt;0,-I122/I121,""),"")</f>
        <v>0.1743892897505</v>
      </c>
      <c r="J316" s="257">
        <f>IFERROR(IF(N(J121)&lt;&gt;0,-J122/J121,""),"")</f>
        <v>0.169343882362343</v>
      </c>
      <c r="K316" s="257">
        <f>IFERROR(IF(N(K121)&lt;&gt;0,-K122/K121,""),"")</f>
        <v>0.129768102224326</v>
      </c>
      <c r="L316" s="257">
        <f>IFERROR(IF(N(L121)&lt;&gt;0,-L122/L121,""),"")</f>
        <v>0.190348736518933</v>
      </c>
      <c r="M316" s="258">
        <f>IFERROR(IF(N(M121)&lt;&gt;0,-M122/M121,""),"")</f>
        <v>0.167371626765925</v>
      </c>
      <c r="N316" s="257">
        <f>IFERROR(IF(N(N121)&lt;&gt;0,-N122/N121,""),"")</f>
        <v>0.161989223170184</v>
      </c>
      <c r="O316" s="257">
        <f>IFERROR(IF(N(O121)&lt;&gt;0,-O122/O121,""),"")</f>
        <v>0.183117517713169</v>
      </c>
      <c r="P316" s="257">
        <f>IFERROR(IF(N(P121)&lt;&gt;0,-P122/P121,""),"")</f>
        <v>0.211800573888092</v>
      </c>
      <c r="Q316" s="257">
        <f>IFERROR(IF(N(Q121)&lt;&gt;0,-Q122/Q121,""),"")</f>
        <v>0.243291592128801</v>
      </c>
      <c r="R316" s="258">
        <f>IFERROR(IF(N(R121)&lt;&gt;0,-R122/R121,""),"")</f>
        <v>0.194975536972136</v>
      </c>
      <c r="S316" s="257">
        <f>IFERROR(IF(N(S121)&lt;&gt;0,-S122/S121,""),"")</f>
        <v>0.218694402627617</v>
      </c>
      <c r="T316" s="257">
        <f>IFERROR(IF(N(T121)&lt;&gt;0,-T122/T121,""),"")</f>
        <v>0.161949854729366</v>
      </c>
      <c r="U316" s="257">
        <f>IFERROR(IF(N(U121)&lt;&gt;0,-U122/U121,""),"")</f>
        <v>0.173823109843081</v>
      </c>
      <c r="V316" s="257">
        <f>IFERROR(IF(N(V121)&lt;&gt;0,-V122/V121,""),"")</f>
        <v>0.166002260962694</v>
      </c>
      <c r="W316" s="258">
        <f>IFERROR(IF(N(W121)&lt;&gt;0,-W122/W121,""),"")</f>
        <v>0.175638349463386</v>
      </c>
      <c r="X316" s="257">
        <f>IFERROR(IF(N(X121)&lt;&gt;0,-X122/X121,""),"")</f>
        <v>0.127899598110414</v>
      </c>
      <c r="Y316" s="257">
        <f>IFERROR(IF(N(Y121)&lt;&gt;0,-Y122/Y121,""),"")</f>
        <v>0.108632331523898</v>
      </c>
      <c r="Z316" s="257">
        <f>IFERROR(IF(N(Z121)&lt;&gt;0,-Z122/Z121,""),"")</f>
        <v>0.119739647626529</v>
      </c>
      <c r="AA316" s="257">
        <f>IFERROR(IF(N(AA121)&lt;&gt;0,-AA122/AA121,""),"")</f>
        <v>0.115234375</v>
      </c>
      <c r="AB316" s="258">
        <f>IFERROR(IF(N(AB121)&lt;&gt;0,-AB122/AB121,""),"")</f>
        <v>0.117501379788574</v>
      </c>
      <c r="AC316" s="257">
        <f>IFERROR(IF(N(AC121)&lt;&gt;0,-AC122/AC121,""),"")</f>
        <v>0.0945490153410946</v>
      </c>
      <c r="AD316" s="257">
        <f>IFERROR(IF(N(AD121)&lt;&gt;0,-AD122/AD121,""),"")</f>
        <v>0.106993279438979</v>
      </c>
      <c r="AE316" s="257">
        <f>IFERROR(IF(N(AE121)&lt;&gt;0,-AE122/AE121,""),"")</f>
        <v>0.874948068134607</v>
      </c>
      <c r="AF316" s="257">
        <f>IFERROR(IF(N(AF121)&lt;&gt;0,-AF122/AF121,""),"")</f>
        <v>0.10199574031711</v>
      </c>
      <c r="AG316" s="258">
        <f>IFERROR(IF(N(AG121)&lt;&gt;0,-AG122/AG121,""),"")</f>
        <v>0.29645188693517</v>
      </c>
      <c r="AH316" s="257">
        <f>IFERROR(IF(N(AH121)&lt;&gt;0,-AH122/AH121,""),"")</f>
        <v>-0.230829349025377</v>
      </c>
      <c r="AI316" s="257">
        <f>IFERROR(IF(N(AI121)&lt;&gt;0,-AI122/AI121,""),"")</f>
        <v>0.155043719343144</v>
      </c>
      <c r="AJ316" s="257">
        <f>IFERROR(IF(N(AJ121)&lt;&gt;0,-AJ122/AJ121,""),"")</f>
        <v>0.18378341225826</v>
      </c>
      <c r="AK316" s="257">
        <f>IFERROR(IF(N(AK121)&lt;&gt;0,-AK122/AK121,""),"")</f>
        <v>0.18378341225826</v>
      </c>
      <c r="AL316" s="258">
        <f>IFERROR(IF(N(AL121)&lt;&gt;0,-AL122/AL121,""),"")</f>
        <v>0.0847116466677087</v>
      </c>
      <c r="AM316" s="257">
        <f>IFERROR(IF(N(AM121)&lt;&gt;0,-AM122/AM121,""),"")</f>
        <v>0.18378341225826</v>
      </c>
      <c r="AN316" s="257">
        <f>IFERROR(IF(N(AN121)&lt;&gt;0,-AN122/AN121,""),"")</f>
        <v>0.18378341225826</v>
      </c>
      <c r="AO316" s="257">
        <f>IFERROR(IF(N(AO121)&lt;&gt;0,-AO122/AO121,""),"")</f>
        <v>0.18378341225826</v>
      </c>
      <c r="AP316" s="257">
        <f>IFERROR(IF(N(AP121)&lt;&gt;0,-AP122/AP121,""),"")</f>
        <v>0.18378341225826</v>
      </c>
      <c r="AQ316" s="258">
        <f>IFERROR(IF(N(AQ121)&lt;&gt;0,-AQ122/AQ121,""),"")</f>
        <v>0.18378341225826</v>
      </c>
      <c r="AR316" s="257">
        <f>IFERROR(IF(N(AR121)&lt;&gt;0,-AR122/AR121,""),"")</f>
        <v>0.18378341225826</v>
      </c>
      <c r="AS316" s="257">
        <f>IFERROR(IF(N(AS121)&lt;&gt;0,-AS122/AS121,""),"")</f>
        <v>0.18378341225826</v>
      </c>
      <c r="AT316" s="257">
        <f>IFERROR(IF(N(AT121)&lt;&gt;0,-AT122/AT121,""),"")</f>
        <v>0.18378341225826</v>
      </c>
      <c r="AU316" s="257">
        <f>IFERROR(IF(N(AU121)&lt;&gt;0,-AU122/AU121,""),"")</f>
        <v>0.18378341225826</v>
      </c>
      <c r="AV316" s="258">
        <f>IFERROR(IF(N(AV121)&lt;&gt;0,-AV122/AV121,""),"")</f>
        <v>0.18378341225826</v>
      </c>
      <c r="AW316" s="257">
        <f>IFERROR(IF(N(AW121)&lt;&gt;0,-AW122/AW121,""),"")</f>
        <v>0.18378341225826</v>
      </c>
      <c r="AX316" s="257">
        <f>IFERROR(IF(N(AX121)&lt;&gt;0,-AX122/AX121,""),"")</f>
        <v>0.18378341225826</v>
      </c>
      <c r="AY316" s="257">
        <f>IFERROR(IF(N(AY121)&lt;&gt;0,-AY122/AY121,""),"")</f>
        <v>0.18378341225826</v>
      </c>
      <c r="AZ316" s="257">
        <f>IFERROR(IF(N(AZ121)&lt;&gt;0,-AZ122/AZ121,""),"")</f>
        <v>0.18378341225826</v>
      </c>
      <c r="BA316" s="258">
        <f>IFERROR(IF(N(BA121)&lt;&gt;0,-BA122/BA121,""),"")</f>
        <v>0.18378341225826</v>
      </c>
      <c r="BB316" s="257">
        <f>IFERROR(IF(N(BB121)&lt;&gt;0,-BB122/BB121,""),"")</f>
        <v>0.18378341225826</v>
      </c>
      <c r="BC316" s="257">
        <f>IFERROR(IF(N(BC121)&lt;&gt;0,-BC122/BC121,""),"")</f>
        <v>0.18378341225826</v>
      </c>
      <c r="BD316" s="257">
        <f>IFERROR(IF(N(BD121)&lt;&gt;0,-BD122/BD121,""),"")</f>
        <v>0.18378341225826</v>
      </c>
      <c r="BE316" s="257">
        <f>IFERROR(IF(N(BE121)&lt;&gt;0,-BE122/BE121,""),"")</f>
        <v>0.18378341225826</v>
      </c>
      <c r="BF316" s="258">
        <f>IFERROR(IF(N(BF121)&lt;&gt;0,-BF122/BF121,""),"")</f>
        <v>0.18378341225826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</row>
    <row r="318" customFormat="1" s="77">
      <c r="A318" s="76" t="n"/>
      <c r="B318" s="76" t="n"/>
      <c r="C318" s="74" t="inlineStr">
        <is>
          <t>CAPITAL STRUCTURE</t>
        </is>
      </c>
    </row>
    <row r="319" customFormat="1" s="77">
      <c r="A319" s="76" t="n"/>
      <c r="B319" s="76" t="n"/>
      <c r="C319" s="77" t="inlineStr">
        <is>
          <t>TOTAL DEBT / EQUITY (BOOK VALUE)</t>
        </is>
      </c>
      <c r="H319" s="262" t="str">
        <f>IFERROR(IF(N(H262)&lt;&gt;0,(N(H203)+N(H204)+N(H205)+N(H208)+N(H226)+N(H229))/H262,""),"")</f>
        <v/>
      </c>
      <c r="I319" s="262">
        <f>IFERROR(IF(N(I262)&lt;&gt;0,(N(I203)+N(I204)+N(I205)+N(I208)+N(I226)+N(I229))/I262,""),"")</f>
        <v>0.0868940646580426</v>
      </c>
      <c r="J319" s="262">
        <f>IFERROR(IF(N(J262)&lt;&gt;0,(N(J203)+N(J204)+N(J205)+N(J208)+N(J226)+N(J229))/J262,""),"")</f>
        <v>0.0868643607978181</v>
      </c>
      <c r="K319" s="262">
        <f>IFERROR(IF(N(K262)&lt;&gt;0,(N(K203)+N(K204)+N(K205)+N(K208)+N(K226)+N(K229))/K262,""),"")</f>
        <v>0.0947810437912418</v>
      </c>
      <c r="L319" s="262">
        <f>IFERROR(IF(N(L262)&lt;&gt;0,(N(L203)+N(L204)+N(L205)+N(L208)+N(L226)+N(L229))/L262,""),"")</f>
        <v>0.111091536607436</v>
      </c>
      <c r="M319" s="262">
        <f>IFERROR(IF(N(M262)&lt;&gt;0,(N(M203)+N(M204)+N(M205)+N(M208)+N(M226)+N(M229))/M262,""),"")</f>
        <v>0.111091536607436</v>
      </c>
      <c r="N319" s="262">
        <f>IFERROR(IF(N(N262)&lt;&gt;0,(N(N203)+N(N204)+N(N205)+N(N208)+N(N226)+N(N229))/N262,""),"")</f>
        <v>0.11404064011426</v>
      </c>
      <c r="O319" s="262">
        <f>IFERROR(IF(N(O262)&lt;&gt;0,(N(O203)+N(O204)+N(O205)+N(O208)+N(O226)+N(O229))/O262,""),"")</f>
        <v>0.127752113034421</v>
      </c>
      <c r="P319" s="262">
        <f>IFERROR(IF(N(P262)&lt;&gt;0,(N(P203)+N(P204)+N(P205)+N(P208)+N(P226)+N(P229))/P262,""),"")</f>
        <v>0.208712750012088</v>
      </c>
      <c r="Q319" s="262">
        <f>IFERROR(IF(N(Q262)&lt;&gt;0,(N(Q203)+N(Q204)+N(Q205)+N(Q208)+N(Q226)+N(Q229))/Q262,""),"")</f>
        <v>0.211521481469697</v>
      </c>
      <c r="R319" s="262">
        <f>IFERROR(IF(N(R262)&lt;&gt;0,(N(R203)+N(R204)+N(R205)+N(R208)+N(R226)+N(R229))/R262,""),"")</f>
        <v>0.211521481469697</v>
      </c>
      <c r="S319" s="262">
        <f>IFERROR(IF(N(S262)&lt;&gt;0,(N(S203)+N(S204)+N(S205)+N(S208)+N(S226)+N(S229))/S262,""),"")</f>
        <v>0.220962378300413</v>
      </c>
      <c r="T319" s="262">
        <f>IFERROR(IF(N(T262)&lt;&gt;0,(N(T203)+N(T204)+N(T205)+N(T208)+N(T226)+N(T229))/T262,""),"")</f>
        <v>0.270217036103049</v>
      </c>
      <c r="U319" s="262">
        <f>IFERROR(IF(N(U262)&lt;&gt;0,(N(U203)+N(U204)+N(U205)+N(U208)+N(U226)+N(U229))/U262,""),"")</f>
        <v>0.253490862514261</v>
      </c>
      <c r="V319" s="262">
        <f>IFERROR(IF(N(V262)&lt;&gt;0,(N(V203)+N(V204)+N(V205)+N(V208)+N(V226)+N(V229))/V262,""),"")</f>
        <v>0.24309255196908</v>
      </c>
      <c r="W319" s="262">
        <f>IFERROR(IF(N(W262)&lt;&gt;0,(N(W203)+N(W204)+N(W205)+N(W208)+N(W226)+N(W229))/W262,""),"")</f>
        <v>0.24309255196908</v>
      </c>
      <c r="X319" s="262">
        <f>IFERROR(IF(N(X262)&lt;&gt;0,(N(X203)+N(X204)+N(X205)+N(X208)+N(X226)+N(X229))/X262,""),"")</f>
        <v>0.251676932233881</v>
      </c>
      <c r="Y319" s="262">
        <f>IFERROR(IF(N(Y262)&lt;&gt;0,(N(Y203)+N(Y204)+N(Y205)+N(Y208)+N(Y226)+N(Y229))/Y262,""),"")</f>
        <v>0.242346727225174</v>
      </c>
      <c r="Z319" s="262">
        <f>IFERROR(IF(N(Z262)&lt;&gt;0,(N(Z203)+N(Z204)+N(Z205)+N(Z208)+N(Z226)+N(Z229))/Z262,""),"")</f>
        <v>0.298105501157851</v>
      </c>
      <c r="AA319" s="262">
        <f>IFERROR(IF(N(AA262)&lt;&gt;0,(N(AA203)+N(AA204)+N(AA205)+N(AA208)+N(AA226)+N(AA229))/AA262,""),"")</f>
        <v>0.268620268620269</v>
      </c>
      <c r="AB319" s="262">
        <f>IFERROR(IF(N(AB262)&lt;&gt;0,(N(AB203)+N(AB204)+N(AB205)+N(AB208)+N(AB226)+N(AB229))/AB262,""),"")</f>
        <v>0.268620268620269</v>
      </c>
      <c r="AC319" s="262">
        <f>IFERROR(IF(N(AC262)&lt;&gt;0,(N(AC203)+N(AC204)+N(AC205)+N(AC208)+N(AC226)+N(AC229))/AC262,""),"")</f>
        <v>0.267628317723168</v>
      </c>
      <c r="AD319" s="262">
        <f>IFERROR(IF(N(AD262)&lt;&gt;0,(N(AD203)+N(AD204)+N(AD205)+N(AD208)+N(AD226)+N(AD229))/AD262,""),"")</f>
        <v>0.254062644179013</v>
      </c>
      <c r="AE319" s="262">
        <f>IFERROR(IF(N(AE262)&lt;&gt;0,(N(AE203)+N(AE204)+N(AE205)+N(AE208)+N(AE226)+N(AE229))/AE262,""),"")</f>
        <v>0.263106365875527</v>
      </c>
      <c r="AF319" s="262">
        <f>IFERROR(IF(N(AF262)&lt;&gt;0,(N(AF203)+N(AF204)+N(AF205)+N(AF208)+N(AF226)+N(AF229))/AF262,""),"")</f>
        <v>0.386189658585087</v>
      </c>
      <c r="AG319" s="262">
        <f>IFERROR(IF(N(AG262)&lt;&gt;0,(N(AG203)+N(AG204)+N(AG205)+N(AG208)+N(AG226)+N(AG229))/AG262,""),"")</f>
        <v>0.386189658585087</v>
      </c>
      <c r="AH319" s="262">
        <f>IFERROR(IF(N(AH262)&lt;&gt;0,(N(AH203)+N(AH204)+N(AH205)+N(AH208)+N(AH226)+N(AH229))/AH262,""),"")</f>
        <v>0.356076181565243</v>
      </c>
      <c r="AI319" s="262">
        <f>IFERROR(IF(N(AI262)&lt;&gt;0,(N(AI203)+N(AI204)+N(AI205)+N(AI208)+N(AI226)+N(AI229))/AI262,""),"")</f>
        <v>0.429973087921721</v>
      </c>
      <c r="AJ319" s="262">
        <f>IFERROR(IF(N(AJ262)&lt;&gt;0,(N(AJ203)+N(AJ204)+N(AJ205)+N(AJ208)+N(AJ226)+N(AJ229))/AJ262,""),"")</f>
        <v>0.397891924549853</v>
      </c>
      <c r="AK319" s="262">
        <f>IFERROR(IF(N(AK262)&lt;&gt;0,(N(AK203)+N(AK204)+N(AK205)+N(AK208)+N(AK226)+N(AK229))/AK262,""),"")</f>
        <v>0.3659757291854</v>
      </c>
      <c r="AL319" s="262">
        <f>IFERROR(IF(N(AL262)&lt;&gt;0,(N(AL203)+N(AL204)+N(AL205)+N(AL208)+N(AL226)+N(AL229))/AL262,""),"")</f>
        <v>0.3659757291854</v>
      </c>
      <c r="AM319" s="262">
        <f>IFERROR(IF(N(AM262)&lt;&gt;0,(N(AM203)+N(AM204)+N(AM205)+N(AM208)+N(AM226)+N(AM229))/AM262,""),"")</f>
        <v>0.34031086461336</v>
      </c>
      <c r="AN319" s="262">
        <f>IFERROR(IF(N(AN262)&lt;&gt;0,(N(AN203)+N(AN204)+N(AN205)+N(AN208)+N(AN226)+N(AN229))/AN262,""),"")</f>
        <v>0.316356690694604</v>
      </c>
      <c r="AO319" s="262">
        <f>IFERROR(IF(N(AO262)&lt;&gt;0,(N(AO203)+N(AO204)+N(AO205)+N(AO208)+N(AO226)+N(AO229))/AO262,""),"")</f>
        <v>0.294551019119817</v>
      </c>
      <c r="AP319" s="262">
        <f>IFERROR(IF(N(AP262)&lt;&gt;0,(N(AP203)+N(AP204)+N(AP205)+N(AP208)+N(AP226)+N(AP229))/AP262,""),"")</f>
        <v>0.272590006204244</v>
      </c>
      <c r="AQ319" s="262">
        <f>IFERROR(IF(N(AQ262)&lt;&gt;0,(N(AQ203)+N(AQ204)+N(AQ205)+N(AQ208)+N(AQ226)+N(AQ229))/AQ262,""),"")</f>
        <v>0.272590006204244</v>
      </c>
      <c r="AR319" s="262">
        <f>IFERROR(IF(N(AR262)&lt;&gt;0,(N(AR203)+N(AR204)+N(AR205)+N(AR208)+N(AR226)+N(AR229))/AR262,""),"")</f>
        <v>0.254800429924953</v>
      </c>
      <c r="AS319" s="262">
        <f>IFERROR(IF(N(AS262)&lt;&gt;0,(N(AS203)+N(AS204)+N(AS205)+N(AS208)+N(AS226)+N(AS229))/AS262,""),"")</f>
        <v>0.238027811735484</v>
      </c>
      <c r="AT319" s="262">
        <f>IFERROR(IF(N(AT262)&lt;&gt;0,(N(AT203)+N(AT204)+N(AT205)+N(AT208)+N(AT226)+N(AT229))/AT262,""),"")</f>
        <v>0.222615769757841</v>
      </c>
      <c r="AU319" s="262">
        <f>IFERROR(IF(N(AU262)&lt;&gt;0,(N(AU203)+N(AU204)+N(AU205)+N(AU208)+N(AU226)+N(AU229))/AU262,""),"")</f>
        <v>0.206953481557574</v>
      </c>
      <c r="AV319" s="262">
        <f>IFERROR(IF(N(AV262)&lt;&gt;0,(N(AV203)+N(AV204)+N(AV205)+N(AV208)+N(AV226)+N(AV229))/AV262,""),"")</f>
        <v>0.206953481557574</v>
      </c>
      <c r="AW319" s="262">
        <f>IFERROR(IF(N(AW262)&lt;&gt;0,(N(AW203)+N(AW204)+N(AW205)+N(AW208)+N(AW226)+N(AW229))/AW262,""),"")</f>
        <v>0.194209840353592</v>
      </c>
      <c r="AX319" s="262">
        <f>IFERROR(IF(N(AX262)&lt;&gt;0,(N(AX203)+N(AX204)+N(AX205)+N(AX208)+N(AX226)+N(AX229))/AX262,""),"")</f>
        <v>0.182102357853707</v>
      </c>
      <c r="AY319" s="262">
        <f>IFERROR(IF(N(AY262)&lt;&gt;0,(N(AY203)+N(AY204)+N(AY205)+N(AY208)+N(AY226)+N(AY229))/AY262,""),"")</f>
        <v>0.170897123972629</v>
      </c>
      <c r="AZ319" s="262">
        <f>IFERROR(IF(N(AZ262)&lt;&gt;0,(N(AZ203)+N(AZ204)+N(AZ205)+N(AZ208)+N(AZ226)+N(AZ229))/AZ262,""),"")</f>
        <v>0.159430717024326</v>
      </c>
      <c r="BA319" s="262">
        <f>IFERROR(IF(N(BA262)&lt;&gt;0,(N(BA203)+N(BA204)+N(BA205)+N(BA208)+N(BA226)+N(BA229))/BA262,""),"")</f>
        <v>0.159430717024326</v>
      </c>
      <c r="BB319" s="262">
        <f>IFERROR(IF(N(BB262)&lt;&gt;0,(N(BB203)+N(BB204)+N(BB205)+N(BB208)+N(BB226)+N(BB229))/BB262,""),"")</f>
        <v>0.150077246277091</v>
      </c>
      <c r="BC319" s="262">
        <f>IFERROR(IF(N(BC262)&lt;&gt;0,(N(BC203)+N(BC204)+N(BC205)+N(BC208)+N(BC226)+N(BC229))/BC262,""),"")</f>
        <v>0.141136812700229</v>
      </c>
      <c r="BD319" s="262">
        <f>IFERROR(IF(N(BD262)&lt;&gt;0,(N(BD203)+N(BD204)+N(BD205)+N(BD208)+N(BD226)+N(BD229))/BD262,""),"")</f>
        <v>0.132815424256052</v>
      </c>
      <c r="BE319" s="262">
        <f>IFERROR(IF(N(BE262)&lt;&gt;0,(N(BE203)+N(BE204)+N(BE205)+N(BE208)+N(BE226)+N(BE229))/BE262,""),"")</f>
        <v>0.124252711788376</v>
      </c>
      <c r="BF319" s="262">
        <f>IFERROR(IF(N(BF262)&lt;&gt;0,(N(BF203)+N(BF204)+N(BF205)+N(BF208)+N(BF226)+N(BF229))/BF262,""),"")</f>
        <v>0.124252711788376</v>
      </c>
    </row>
    <row r="320" customFormat="1" s="77">
      <c r="A320" s="76" t="n"/>
      <c r="B320" s="76" t="n"/>
      <c r="C320" s="77" t="inlineStr">
        <is>
          <t>NET DEBT / (NET DEBT + EQUITY) (BOOK VALUE)</t>
        </is>
      </c>
      <c r="H320" s="258" t="str">
        <f>IFERROR(IF(((N(H203)+N(H204)+N(H205)+N(H208)+N(H226)+N(H229))-N(H135)+N(H262))&lt;&gt;0,((N(H203)+N(H204)+N(H205)+N(H208)+N(H226)+N(H229))-N(H135))/((N(H203)+N(H204)+N(H205)+N(H208)+N(H226)+N(H229))-N(H135)+H262),""),"")</f>
        <v/>
      </c>
      <c r="I320" s="258">
        <f>IFERROR(IF(((N(I203)+N(I204)+N(I205)+N(I208)+N(I226)+N(I229))-N(I135)+N(I262))&lt;&gt;0,((N(I203)+N(I204)+N(I205)+N(I208)+N(I226)+N(I229))-N(I135))/((N(I203)+N(I204)+N(I205)+N(I208)+N(I226)+N(I229))-N(I135)+I262),""),"")</f>
        <v>-0.649027784632088</v>
      </c>
      <c r="J320" s="258">
        <f>IFERROR(IF(((N(J203)+N(J204)+N(J205)+N(J208)+N(J226)+N(J229))-N(J135)+N(J262))&lt;&gt;0,((N(J203)+N(J204)+N(J205)+N(J208)+N(J226)+N(J229))-N(J135))/((N(J203)+N(J204)+N(J205)+N(J208)+N(J226)+N(J229))-N(J135)+J262),""),"")</f>
        <v>-0.604417670682731</v>
      </c>
      <c r="K320" s="258">
        <f>IFERROR(IF(((N(K203)+N(K204)+N(K205)+N(K208)+N(K226)+N(K229))-N(K135)+N(K262))&lt;&gt;0,((N(K203)+N(K204)+N(K205)+N(K208)+N(K226)+N(K229))-N(K135))/((N(K203)+N(K204)+N(K205)+N(K208)+N(K226)+N(K229))-N(K135)+K262),""),"")</f>
        <v>-0.516747227750924</v>
      </c>
      <c r="L320" s="258">
        <f>IFERROR(IF(((N(L203)+N(L204)+N(L205)+N(L208)+N(L226)+N(L229))-N(L135)+N(L262))&lt;&gt;0,((N(L203)+N(L204)+N(L205)+N(L208)+N(L226)+N(L229))-N(L135))/((N(L203)+N(L204)+N(L205)+N(L208)+N(L226)+N(L229))-N(L135)+L262),""),"")</f>
        <v>-0.376016484121912</v>
      </c>
      <c r="M320" s="258">
        <f>IFERROR(IF(((N(M203)+N(M204)+N(M205)+N(M208)+N(M226)+N(M229))-N(M135)+N(M262))&lt;&gt;0,((N(M203)+N(M204)+N(M205)+N(M208)+N(M226)+N(M229))-N(M135))/((N(M203)+N(M204)+N(M205)+N(M208)+N(M226)+N(M229))-N(M135)+M262),""),"")</f>
        <v>-0.376016484121912</v>
      </c>
      <c r="N320" s="258">
        <f>IFERROR(IF(((N(N203)+N(N204)+N(N205)+N(N208)+N(N226)+N(N229))-N(N135)+N(N262))&lt;&gt;0,((N(N203)+N(N204)+N(N205)+N(N208)+N(N226)+N(N229))-N(N135))/((N(N203)+N(N204)+N(N205)+N(N208)+N(N226)+N(N229))-N(N135)+N262),""),"")</f>
        <v>-0.319484746924222</v>
      </c>
      <c r="O320" s="258">
        <f>IFERROR(IF(((N(O203)+N(O204)+N(O205)+N(O208)+N(O226)+N(O229))-N(O135)+N(O262))&lt;&gt;0,((N(O203)+N(O204)+N(O205)+N(O208)+N(O226)+N(O229))-N(O135))/((N(O203)+N(O204)+N(O205)+N(O208)+N(O226)+N(O229))-N(O135)+O262),""),"")</f>
        <v>-0.24097883467364</v>
      </c>
      <c r="P320" s="258">
        <f>IFERROR(IF(((N(P203)+N(P204)+N(P205)+N(P208)+N(P226)+N(P229))-N(P135)+N(P262))&lt;&gt;0,((N(P203)+N(P204)+N(P205)+N(P208)+N(P226)+N(P229))-N(P135))/((N(P203)+N(P204)+N(P205)+N(P208)+N(P226)+N(P229))-N(P135)+P262),""),"")</f>
        <v>-0.146703875510544</v>
      </c>
      <c r="Q320" s="258">
        <f>IFERROR(IF(((N(Q203)+N(Q204)+N(Q205)+N(Q208)+N(Q226)+N(Q229))-N(Q135)+N(Q262))&lt;&gt;0,((N(Q203)+N(Q204)+N(Q205)+N(Q208)+N(Q226)+N(Q229))-N(Q135))/((N(Q203)+N(Q204)+N(Q205)+N(Q208)+N(Q226)+N(Q229))-N(Q135)+Q262),""),"")</f>
        <v>-0.126803864976785</v>
      </c>
      <c r="R320" s="258">
        <f>IFERROR(IF(((N(R203)+N(R204)+N(R205)+N(R208)+N(R226)+N(R229))-N(R135)+N(R262))&lt;&gt;0,((N(R203)+N(R204)+N(R205)+N(R208)+N(R226)+N(R229))-N(R135))/((N(R203)+N(R204)+N(R205)+N(R208)+N(R226)+N(R229))-N(R135)+R262),""),"")</f>
        <v>-0.126803864976785</v>
      </c>
      <c r="S320" s="258">
        <f>IFERROR(IF(((N(S203)+N(S204)+N(S205)+N(S208)+N(S226)+N(S229))-N(S135)+N(S262))&lt;&gt;0,((N(S203)+N(S204)+N(S205)+N(S208)+N(S226)+N(S229))-N(S135))/((N(S203)+N(S204)+N(S205)+N(S208)+N(S226)+N(S229))-N(S135)+S262),""),"")</f>
        <v>-0.0858254082884513</v>
      </c>
      <c r="T320" s="258">
        <f>IFERROR(IF(((N(T203)+N(T204)+N(T205)+N(T208)+N(T226)+N(T229))-N(T135)+N(T262))&lt;&gt;0,((N(T203)+N(T204)+N(T205)+N(T208)+N(T226)+N(T229))-N(T135))/((N(T203)+N(T204)+N(T205)+N(T208)+N(T226)+N(T229))-N(T135)+T262),""),"")</f>
        <v>-0.14749368605796</v>
      </c>
      <c r="U320" s="258">
        <f>IFERROR(IF(((N(U203)+N(U204)+N(U205)+N(U208)+N(U226)+N(U229))-N(U135)+N(U262))&lt;&gt;0,((N(U203)+N(U204)+N(U205)+N(U208)+N(U226)+N(U229))-N(U135))/((N(U203)+N(U204)+N(U205)+N(U208)+N(U226)+N(U229))-N(U135)+U262),""),"")</f>
        <v>-0.211126840557105</v>
      </c>
      <c r="V320" s="258">
        <f>IFERROR(IF(((N(V203)+N(V204)+N(V205)+N(V208)+N(V226)+N(V229))-N(V135)+N(V262))&lt;&gt;0,((N(V203)+N(V204)+N(V205)+N(V208)+N(V226)+N(V229))-N(V135))/((N(V203)+N(V204)+N(V205)+N(V208)+N(V226)+N(V229))-N(V135)+V262),""),"")</f>
        <v>-0.225353802830423</v>
      </c>
      <c r="W320" s="258">
        <f>IFERROR(IF(((N(W203)+N(W204)+N(W205)+N(W208)+N(W226)+N(W229))-N(W135)+N(W262))&lt;&gt;0,((N(W203)+N(W204)+N(W205)+N(W208)+N(W226)+N(W229))-N(W135))/((N(W203)+N(W204)+N(W205)+N(W208)+N(W226)+N(W229))-N(W135)+W262),""),"")</f>
        <v>-0.225353802830423</v>
      </c>
      <c r="X320" s="258">
        <f>IFERROR(IF(((N(X203)+N(X204)+N(X205)+N(X208)+N(X226)+N(X229))-N(X135)+N(X262))&lt;&gt;0,((N(X203)+N(X204)+N(X205)+N(X208)+N(X226)+N(X229))-N(X135))/((N(X203)+N(X204)+N(X205)+N(X208)+N(X226)+N(X229))-N(X135)+X262),""),"")</f>
        <v>-0.15876226344911</v>
      </c>
      <c r="Y320" s="258">
        <f>IFERROR(IF(((N(Y203)+N(Y204)+N(Y205)+N(Y208)+N(Y226)+N(Y229))-N(Y135)+N(Y262))&lt;&gt;0,((N(Y203)+N(Y204)+N(Y205)+N(Y208)+N(Y226)+N(Y229))-N(Y135))/((N(Y203)+N(Y204)+N(Y205)+N(Y208)+N(Y226)+N(Y229))-N(Y135)+Y262),""),"")</f>
        <v>-0.146984795937779</v>
      </c>
      <c r="Z320" s="258">
        <f>IFERROR(IF(((N(Z203)+N(Z204)+N(Z205)+N(Z208)+N(Z226)+N(Z229))-N(Z135)+N(Z262))&lt;&gt;0,((N(Z203)+N(Z204)+N(Z205)+N(Z208)+N(Z226)+N(Z229))-N(Z135))/((N(Z203)+N(Z204)+N(Z205)+N(Z208)+N(Z226)+N(Z229))-N(Z135)+Z262),""),"")</f>
        <v>-0.153165213490706</v>
      </c>
      <c r="AA320" s="258">
        <f>IFERROR(IF(((N(AA203)+N(AA204)+N(AA205)+N(AA208)+N(AA226)+N(AA229))-N(AA135)+N(AA262))&lt;&gt;0,((N(AA203)+N(AA204)+N(AA205)+N(AA208)+N(AA226)+N(AA229))-N(AA135))/((N(AA203)+N(AA204)+N(AA205)+N(AA208)+N(AA226)+N(AA229))-N(AA135)+AA262),""),"")</f>
        <v>-0.186863960697158</v>
      </c>
      <c r="AB320" s="258">
        <f>IFERROR(IF(((N(AB203)+N(AB204)+N(AB205)+N(AB208)+N(AB226)+N(AB229))-N(AB135)+N(AB262))&lt;&gt;0,((N(AB203)+N(AB204)+N(AB205)+N(AB208)+N(AB226)+N(AB229))-N(AB135))/((N(AB203)+N(AB204)+N(AB205)+N(AB208)+N(AB226)+N(AB229))-N(AB135)+AB262),""),"")</f>
        <v>-0.186863960697158</v>
      </c>
      <c r="AC320" s="258">
        <f>IFERROR(IF(((N(AC203)+N(AC204)+N(AC205)+N(AC208)+N(AC226)+N(AC229))-N(AC135)+N(AC262))&lt;&gt;0,((N(AC203)+N(AC204)+N(AC205)+N(AC208)+N(AC226)+N(AC229))-N(AC135))/((N(AC203)+N(AC204)+N(AC205)+N(AC208)+N(AC226)+N(AC229))-N(AC135)+AC262),""),"")</f>
        <v>-0.126042186492046</v>
      </c>
      <c r="AD320" s="258">
        <f>IFERROR(IF(((N(AD203)+N(AD204)+N(AD205)+N(AD208)+N(AD226)+N(AD229))-N(AD135)+N(AD262))&lt;&gt;0,((N(AD203)+N(AD204)+N(AD205)+N(AD208)+N(AD226)+N(AD229))-N(AD135))/((N(AD203)+N(AD204)+N(AD205)+N(AD208)+N(AD226)+N(AD229))-N(AD135)+AD262),""),"")</f>
        <v>0.0125987679629883</v>
      </c>
      <c r="AE320" s="258">
        <f>IFERROR(IF(((N(AE203)+N(AE204)+N(AE205)+N(AE208)+N(AE226)+N(AE229))-N(AE135)+N(AE262))&lt;&gt;0,((N(AE203)+N(AE204)+N(AE205)+N(AE208)+N(AE226)+N(AE229))-N(AE135))/((N(AE203)+N(AE204)+N(AE205)+N(AE208)+N(AE226)+N(AE229))-N(AE135)+AE262),""),"")</f>
        <v>0.0329483052452187</v>
      </c>
      <c r="AF320" s="258">
        <f>IFERROR(IF(((N(AF203)+N(AF204)+N(AF205)+N(AF208)+N(AF226)+N(AF229))-N(AF135)+N(AF262))&lt;&gt;0,((N(AF203)+N(AF204)+N(AF205)+N(AF208)+N(AF226)+N(AF229))-N(AF135))/((N(AF203)+N(AF204)+N(AF205)+N(AF208)+N(AF226)+N(AF229))-N(AF135)+AF262),""),"")</f>
        <v>0.0104988430775958</v>
      </c>
      <c r="AG320" s="258">
        <f>IFERROR(IF(((N(AG203)+N(AG204)+N(AG205)+N(AG208)+N(AG226)+N(AG229))-N(AG135)+N(AG262))&lt;&gt;0,((N(AG203)+N(AG204)+N(AG205)+N(AG208)+N(AG226)+N(AG229))-N(AG135))/((N(AG203)+N(AG204)+N(AG205)+N(AG208)+N(AG226)+N(AG229))-N(AG135)+AG262),""),"")</f>
        <v>0.0104988430775958</v>
      </c>
      <c r="AH320" s="258">
        <f>IFERROR(IF(((N(AH203)+N(AH204)+N(AH205)+N(AH208)+N(AH226)+N(AH229))-N(AH135)+N(AH262))&lt;&gt;0,((N(AH203)+N(AH204)+N(AH205)+N(AH208)+N(AH226)+N(AH229))-N(AH135))/((N(AH203)+N(AH204)+N(AH205)+N(AH208)+N(AH226)+N(AH229))-N(AH135)+AH262),""),"")</f>
        <v>0.0224214706944277</v>
      </c>
      <c r="AI320" s="258">
        <f>IFERROR(IF(((N(AI203)+N(AI204)+N(AI205)+N(AI208)+N(AI226)+N(AI229))-N(AI135)+N(AI262))&lt;&gt;0,((N(AI203)+N(AI204)+N(AI205)+N(AI208)+N(AI226)+N(AI229))-N(AI135))/((N(AI203)+N(AI204)+N(AI205)+N(AI208)+N(AI226)+N(AI229))-N(AI135)+AI262),""),"")</f>
        <v>0.0778666967900903</v>
      </c>
      <c r="AJ320" s="258">
        <f>IFERROR(IF(((N(AJ203)+N(AJ204)+N(AJ205)+N(AJ208)+N(AJ226)+N(AJ229))-N(AJ135)+N(AJ262))&lt;&gt;0,((N(AJ203)+N(AJ204)+N(AJ205)+N(AJ208)+N(AJ226)+N(AJ229))-N(AJ135))/((N(AJ203)+N(AJ204)+N(AJ205)+N(AJ208)+N(AJ226)+N(AJ229))-N(AJ135)+AJ262),""),"")</f>
        <v>0.0513820857367117</v>
      </c>
      <c r="AK320" s="258">
        <f>IFERROR(IF(((N(AK203)+N(AK204)+N(AK205)+N(AK208)+N(AK226)+N(AK229))-N(AK135)+N(AK262))&lt;&gt;0,((N(AK203)+N(AK204)+N(AK205)+N(AK208)+N(AK226)+N(AK229))-N(AK135))/((N(AK203)+N(AK204)+N(AK205)+N(AK208)+N(AK226)+N(AK229))-N(AK135)+AK262),""),"")</f>
        <v>0.0157196680644784</v>
      </c>
      <c r="AL320" s="258">
        <f>IFERROR(IF(((N(AL203)+N(AL204)+N(AL205)+N(AL208)+N(AL226)+N(AL229))-N(AL135)+N(AL262))&lt;&gt;0,((N(AL203)+N(AL204)+N(AL205)+N(AL208)+N(AL226)+N(AL229))-N(AL135))/((N(AL203)+N(AL204)+N(AL205)+N(AL208)+N(AL226)+N(AL229))-N(AL135)+AL262),""),"")</f>
        <v>0.0157196680644784</v>
      </c>
      <c r="AM320" s="258">
        <f>IFERROR(IF(((N(AM203)+N(AM204)+N(AM205)+N(AM208)+N(AM226)+N(AM229))-N(AM135)+N(AM262))&lt;&gt;0,((N(AM203)+N(AM204)+N(AM205)+N(AM208)+N(AM226)+N(AM229))-N(AM135))/((N(AM203)+N(AM204)+N(AM205)+N(AM208)+N(AM226)+N(AM229))-N(AM135)+AM262),""),"")</f>
        <v>-0.0320287787309219</v>
      </c>
      <c r="AN320" s="258">
        <f>IFERROR(IF(((N(AN203)+N(AN204)+N(AN205)+N(AN208)+N(AN226)+N(AN229))-N(AN135)+N(AN262))&lt;&gt;0,((N(AN203)+N(AN204)+N(AN205)+N(AN208)+N(AN226)+N(AN229))-N(AN135))/((N(AN203)+N(AN204)+N(AN205)+N(AN208)+N(AN226)+N(AN229))-N(AN135)+AN262),""),"")</f>
        <v>-0.0855859967296649</v>
      </c>
      <c r="AO320" s="258">
        <f>IFERROR(IF(((N(AO203)+N(AO204)+N(AO205)+N(AO208)+N(AO226)+N(AO229))-N(AO135)+N(AO262))&lt;&gt;0,((N(AO203)+N(AO204)+N(AO205)+N(AO208)+N(AO226)+N(AO229))-N(AO135))/((N(AO203)+N(AO204)+N(AO205)+N(AO208)+N(AO226)+N(AO229))-N(AO135)+AO262),""),"")</f>
        <v>-0.152748463803787</v>
      </c>
      <c r="AP320" s="258">
        <f>IFERROR(IF(((N(AP203)+N(AP204)+N(AP205)+N(AP208)+N(AP226)+N(AP229))-N(AP135)+N(AP262))&lt;&gt;0,((N(AP203)+N(AP204)+N(AP205)+N(AP208)+N(AP226)+N(AP229))-N(AP135))/((N(AP203)+N(AP204)+N(AP205)+N(AP208)+N(AP226)+N(AP229))-N(AP135)+AP262),""),"")</f>
        <v>-0.231135072663116</v>
      </c>
      <c r="AQ320" s="258">
        <f>IFERROR(IF(((N(AQ203)+N(AQ204)+N(AQ205)+N(AQ208)+N(AQ226)+N(AQ229))-N(AQ135)+N(AQ262))&lt;&gt;0,((N(AQ203)+N(AQ204)+N(AQ205)+N(AQ208)+N(AQ226)+N(AQ229))-N(AQ135))/((N(AQ203)+N(AQ204)+N(AQ205)+N(AQ208)+N(AQ226)+N(AQ229))-N(AQ135)+AQ262),""),"")</f>
        <v>-0.231135072663116</v>
      </c>
      <c r="AR320" s="258">
        <f>IFERROR(IF(((N(AR203)+N(AR204)+N(AR205)+N(AR208)+N(AR226)+N(AR229))-N(AR135)+N(AR262))&lt;&gt;0,((N(AR203)+N(AR204)+N(AR205)+N(AR208)+N(AR226)+N(AR229))-N(AR135))/((N(AR203)+N(AR204)+N(AR205)+N(AR208)+N(AR226)+N(AR229))-N(AR135)+AR262),""),"")</f>
        <v>-0.344793392634464</v>
      </c>
      <c r="AS320" s="258">
        <f>IFERROR(IF(((N(AS203)+N(AS204)+N(AS205)+N(AS208)+N(AS226)+N(AS229))-N(AS135)+N(AS262))&lt;&gt;0,((N(AS203)+N(AS204)+N(AS205)+N(AS208)+N(AS226)+N(AS229))-N(AS135))/((N(AS203)+N(AS204)+N(AS205)+N(AS208)+N(AS226)+N(AS229))-N(AS135)+AS262),""),"")</f>
        <v>-0.49179181050526</v>
      </c>
      <c r="AT320" s="258">
        <f>IFERROR(IF(((N(AT203)+N(AT204)+N(AT205)+N(AT208)+N(AT226)+N(AT229))-N(AT135)+N(AT262))&lt;&gt;0,((N(AT203)+N(AT204)+N(AT205)+N(AT208)+N(AT226)+N(AT229))-N(AT135))/((N(AT203)+N(AT204)+N(AT205)+N(AT208)+N(AT226)+N(AT229))-N(AT135)+AT262),""),"")</f>
        <v>-0.707629078049366</v>
      </c>
      <c r="AU320" s="258">
        <f>IFERROR(IF(((N(AU203)+N(AU204)+N(AU205)+N(AU208)+N(AU226)+N(AU229))-N(AU135)+N(AU262))&lt;&gt;0,((N(AU203)+N(AU204)+N(AU205)+N(AU208)+N(AU226)+N(AU229))-N(AU135))/((N(AU203)+N(AU204)+N(AU205)+N(AU208)+N(AU226)+N(AU229))-N(AU135)+AU262),""),"")</f>
        <v>-1.01951306774759</v>
      </c>
      <c r="AV320" s="258">
        <f>IFERROR(IF(((N(AV203)+N(AV204)+N(AV205)+N(AV208)+N(AV226)+N(AV229))-N(AV135)+N(AV262))&lt;&gt;0,((N(AV203)+N(AV204)+N(AV205)+N(AV208)+N(AV226)+N(AV229))-N(AV135))/((N(AV203)+N(AV204)+N(AV205)+N(AV208)+N(AV226)+N(AV229))-N(AV135)+AV262),""),"")</f>
        <v>-1.01951306774759</v>
      </c>
      <c r="AW320" s="258">
        <f>IFERROR(IF(((N(AW203)+N(AW204)+N(AW205)+N(AW208)+N(AW226)+N(AW229))-N(AW135)+N(AW262))&lt;&gt;0,((N(AW203)+N(AW204)+N(AW205)+N(AW208)+N(AW226)+N(AW229))-N(AW135))/((N(AW203)+N(AW204)+N(AW205)+N(AW208)+N(AW226)+N(AW229))-N(AW135)+AW262),""),"")</f>
        <v>-1.60624088071218</v>
      </c>
      <c r="AX320" s="258">
        <f>IFERROR(IF(((N(AX203)+N(AX204)+N(AX205)+N(AX208)+N(AX226)+N(AX229))-N(AX135)+N(AX262))&lt;&gt;0,((N(AX203)+N(AX204)+N(AX205)+N(AX208)+N(AX226)+N(AX229))-N(AX135))/((N(AX203)+N(AX204)+N(AX205)+N(AX208)+N(AX226)+N(AX229))-N(AX135)+AX262),""),"")</f>
        <v>-2.84985046806822</v>
      </c>
      <c r="AY320" s="258">
        <f>IFERROR(IF(((N(AY203)+N(AY204)+N(AY205)+N(AY208)+N(AY226)+N(AY229))-N(AY135)+N(AY262))&lt;&gt;0,((N(AY203)+N(AY204)+N(AY205)+N(AY208)+N(AY226)+N(AY229))-N(AY135))/((N(AY203)+N(AY204)+N(AY205)+N(AY208)+N(AY226)+N(AY229))-N(AY135)+AY262),""),"")</f>
        <v>-7.63762438022568</v>
      </c>
      <c r="AZ320" s="258">
        <f>IFERROR(IF(((N(AZ203)+N(AZ204)+N(AZ205)+N(AZ208)+N(AZ226)+N(AZ229))-N(AZ135)+N(AZ262))&lt;&gt;0,((N(AZ203)+N(AZ204)+N(AZ205)+N(AZ208)+N(AZ226)+N(AZ229))-N(AZ135))/((N(AZ203)+N(AZ204)+N(AZ205)+N(AZ208)+N(AZ226)+N(AZ229))-N(AZ135)+AZ262),""),"")</f>
        <v>25.4256860320909</v>
      </c>
      <c r="BA320" s="258">
        <f>IFERROR(IF(((N(BA203)+N(BA204)+N(BA205)+N(BA208)+N(BA226)+N(BA229))-N(BA135)+N(BA262))&lt;&gt;0,((N(BA203)+N(BA204)+N(BA205)+N(BA208)+N(BA226)+N(BA229))-N(BA135))/((N(BA203)+N(BA204)+N(BA205)+N(BA208)+N(BA226)+N(BA229))-N(BA135)+BA262),""),"")</f>
        <v>25.4256860320909</v>
      </c>
      <c r="BB320" s="258">
        <f>IFERROR(IF(((N(BB203)+N(BB204)+N(BB205)+N(BB208)+N(BB226)+N(BB229))-N(BB135)+N(BB262))&lt;&gt;0,((N(BB203)+N(BB204)+N(BB205)+N(BB208)+N(BB226)+N(BB229))-N(BB135))/((N(BB203)+N(BB204)+N(BB205)+N(BB208)+N(BB226)+N(BB229))-N(BB135)+BB262),""),"")</f>
        <v>5.3086212030827</v>
      </c>
      <c r="BC320" s="258">
        <f>IFERROR(IF(((N(BC203)+N(BC204)+N(BC205)+N(BC208)+N(BC226)+N(BC229))-N(BC135)+N(BC262))&lt;&gt;0,((N(BC203)+N(BC204)+N(BC205)+N(BC208)+N(BC226)+N(BC229))-N(BC135))/((N(BC203)+N(BC204)+N(BC205)+N(BC208)+N(BC226)+N(BC229))-N(BC135)+BC262),""),"")</f>
        <v>3.23188056458406</v>
      </c>
      <c r="BD320" s="258">
        <f>IFERROR(IF(((N(BD203)+N(BD204)+N(BD205)+N(BD208)+N(BD226)+N(BD229))-N(BD135)+N(BD262))&lt;&gt;0,((N(BD203)+N(BD204)+N(BD205)+N(BD208)+N(BD226)+N(BD229))-N(BD135))/((N(BD203)+N(BD204)+N(BD205)+N(BD208)+N(BD226)+N(BD229))-N(BD135)+BD262),""),"")</f>
        <v>2.43009826231625</v>
      </c>
      <c r="BE320" s="258">
        <f>IFERROR(IF(((N(BE203)+N(BE204)+N(BE205)+N(BE208)+N(BE226)+N(BE229))-N(BE135)+N(BE262))&lt;&gt;0,((N(BE203)+N(BE204)+N(BE205)+N(BE208)+N(BE226)+N(BE229))-N(BE135))/((N(BE203)+N(BE204)+N(BE205)+N(BE208)+N(BE226)+N(BE229))-N(BE135)+BE262),""),"")</f>
        <v>2.02544112706281</v>
      </c>
      <c r="BF320" s="258">
        <f>IFERROR(IF(((N(BF203)+N(BF204)+N(BF205)+N(BF208)+N(BF226)+N(BF229))-N(BF135)+N(BF262))&lt;&gt;0,((N(BF203)+N(BF204)+N(BF205)+N(BF208)+N(BF226)+N(BF229))-N(BF135))/((N(BF203)+N(BF204)+N(BF205)+N(BF208)+N(BF226)+N(BF229))-N(BF135)+BF262),""),"")</f>
        <v>2.02544112706281</v>
      </c>
    </row>
    <row r="321" customFormat="1" s="77">
      <c r="A321" s="76" t="n"/>
      <c r="B321" s="76" t="n"/>
    </row>
    <row r="322" customFormat="1" s="77">
      <c r="A322" s="76" t="n"/>
      <c r="B322" s="76" t="n"/>
      <c r="C322" s="74" t="inlineStr">
        <is>
          <t>FINANCIAL RISK RATIOS</t>
        </is>
      </c>
    </row>
    <row r="323" customFormat="1" s="77">
      <c r="A323" s="76" t="n"/>
      <c r="B323" s="76" t="n"/>
      <c r="C323" s="77" t="inlineStr">
        <is>
          <t>EBITDA / TOTAL INTEREST (LTM)</t>
        </is>
      </c>
      <c r="D323" s="82" t="str">
        <f>IFERROR(D60/-D65,"")</f>
        <v/>
      </c>
      <c r="E323" s="82" t="str">
        <f>IFERROR(E60/-E65,"")</f>
        <v/>
      </c>
      <c r="F323" s="82" t="str">
        <f>IFERROR(F60/-F65,"")</f>
        <v/>
      </c>
      <c r="G323" s="82" t="str">
        <f>IFERROR(G60/-G65,"")</f>
        <v/>
      </c>
      <c r="H323" s="262" t="str">
        <f>IFERROR(IF(AND(COUNT(H60)=1,(H65)&lt;&gt;0),(H60)/-(H65),""),"")</f>
        <v/>
      </c>
      <c r="I323" s="262" t="str">
        <f>""</f>
        <v/>
      </c>
      <c r="J323" s="262" t="str">
        <f>""</f>
        <v/>
      </c>
      <c r="K323" s="262" t="str">
        <f>""</f>
        <v/>
      </c>
      <c r="L323" s="262" t="str">
        <f>IFERROR(IF(AND(COUNT(I60,J60,K60,L60)=4,(I65+J65+K65+L65)&lt;&gt;0),(I60+J60+K60+L60)/-(I65+J65+K65+L65),""),"")</f>
        <v/>
      </c>
      <c r="M323" s="262" t="str">
        <f>IFERROR(IF(AND(COUNT(I60,J60,K60,L60)=4,(I65+J65+K65+L65)&lt;&gt;0),(I60+J60+K60+L60)/-(I65+J65+K65+L65),""),"")</f>
        <v/>
      </c>
      <c r="N323" s="262" t="str">
        <f>IFERROR(IF(AND(COUNT(J60,K60,L60,N60)=4,(J65+K65+L65+N65)&lt;&gt;0),(J60+K60+L60+N60)/-(J65+K65+L65+N65),""),"")</f>
        <v/>
      </c>
      <c r="O323" s="262" t="str">
        <f>IFERROR(IF(AND(COUNT(K60,L60,N60,O60)=4,(K65+L65+N65+O65)&lt;&gt;0),(K60+L60+N60+O60)/-(K65+L65+N65+O65),""),"")</f>
        <v/>
      </c>
      <c r="P323" s="262" t="str">
        <f>IFERROR(IF(AND(COUNT(L60,N60,O60,P60)=4,(L65+N65+O65+P65)&lt;&gt;0),(L60+N60+O60+P60)/-(L65+N65+O65+P65),""),"")</f>
        <v/>
      </c>
      <c r="Q323" s="262" t="str">
        <f>IFERROR(IF(AND(COUNT(N60,O60,P60,Q60)=4,(N65+O65+P65+Q65)&lt;&gt;0),(N60+O60+P60+Q60)/-(N65+O65+P65+Q65),""),"")</f>
        <v/>
      </c>
      <c r="R323" s="262" t="str">
        <f>IFERROR(IF(AND(COUNT(N60,O60,P60,Q60)=4,(N65+O65+P65+Q65)&lt;&gt;0),(N60+O60+P60+Q60)/-(N65+O65+P65+Q65),""),"")</f>
        <v/>
      </c>
      <c r="S323" s="262">
        <f>IFERROR(IF(AND(COUNT(O60,P60,Q60,S60)=4,(O65+P65+Q65+S65)&lt;&gt;0),(O60+P60+Q60+S60)/-(O65+P65+Q65+S65),""),"")</f>
        <v>749.020408163265</v>
      </c>
      <c r="T323" s="262">
        <f>IFERROR(IF(AND(COUNT(P60,Q60,S60,T60)=4,(P65+Q65+S65+T65)&lt;&gt;0),(P60+Q60+S60+T60)/-(P65+Q65+S65+T65),""),"")</f>
        <v>241.383647798742</v>
      </c>
      <c r="U323" s="262">
        <f>IFERROR(IF(AND(COUNT(Q60,S60,T60,U60)=4,(Q65+S65+T65+U65)&lt;&gt;0),(Q60+S60+T60+U60)/-(Q65+S65+T65+U65),""),"")</f>
        <v>162.020618556701</v>
      </c>
      <c r="V323" s="262">
        <f>IFERROR(IF(AND(COUNT(S60,T60,U60,V60)=4,(S65+T65+U65+V65)&lt;&gt;0),(S60+T60+U60+V60)/-(S65+T65+U65+V65),""),"")</f>
        <v>129.885650224215</v>
      </c>
      <c r="W323" s="262">
        <f>IFERROR(IF(AND(COUNT(S60,T60,U60,V60)=4,(S65+T65+U65+V65)&lt;&gt;0),(S60+T60+U60+V60)/-(S65+T65+U65+V65),""),"")</f>
        <v>129.885650224215</v>
      </c>
      <c r="X323" s="262">
        <f>IFERROR(IF(AND(COUNT(T60,U60,V60,X60)=4,(T65+U65+V65+X65)&lt;&gt;0),(T60+U60+V60+X60)/-(T65+U65+V65+X65),""),"")</f>
        <v>164.659949622166</v>
      </c>
      <c r="Y323" s="262">
        <f>IFERROR(IF(AND(COUNT(U60,V60,X60,Y60)=4,(U65+V65+X65+Y65)&lt;&gt;0),(U60+V60+X60+Y60)/-(U65+V65+X65+Y65),""),"")</f>
        <v>250.310104529617</v>
      </c>
      <c r="Z323" s="262">
        <f>IFERROR(IF(AND(COUNT(V60,X60,Y60,Z60)=4,(V65+X65+Y65+Z65)&lt;&gt;0),(V60+X60+Y60+Z60)/-(V65+X65+Y65+Z65),""),"")</f>
        <v>215.8</v>
      </c>
      <c r="AA323" s="262">
        <f>IFERROR(IF(AND(COUNT(X60,Y60,Z60,AA60)=4,(X65+Y65+Z65+AA65)&lt;&gt;0),(X60+Y60+Z60+AA60)/-(X65+Y65+Z65+AA65),""),"")</f>
        <v>178.688421052632</v>
      </c>
      <c r="AB323" s="262">
        <f>IFERROR(IF(AND(COUNT(X60,Y60,Z60,AA60)=4,(X65+Y65+Z65+AA65)&lt;&gt;0),(X60+Y60+Z60+AA60)/-(X65+Y65+Z65+AA65),""),"")</f>
        <v>178.688421052632</v>
      </c>
      <c r="AC323" s="262">
        <f>IFERROR(IF(AND(COUNT(Y60,Z60,AA60,AC60)=4,(Y65+Z65+AA65+AC65)&lt;&gt;0),(Y60+Z60+AA60+AC60)/-(Y65+Z65+AA65+AC65),""),"")</f>
        <v>187.663157894737</v>
      </c>
      <c r="AD323" s="262">
        <f>IFERROR(IF(AND(COUNT(Z60,AA60,AC60,AD60)=4,(Z65+AA65+AC65+AD65)&lt;&gt;0),(Z60+AA60+AC60+AD60)/-(Z65+AA65+AC65+AD65),""),"")</f>
        <v>134.991513437058</v>
      </c>
      <c r="AE323" s="262">
        <f>IFERROR(IF(AND(COUNT(AA60,AC60,AD60,AE60)=4,(AA65+AC65+AD65+AE65)&lt;&gt;0),(AA60+AC60+AD60+AE60)/-(AA65+AC65+AD65+AE65),""),"")</f>
        <v>196.370808678501</v>
      </c>
      <c r="AF323" s="262">
        <f>IFERROR(IF(AND(COUNT(AB60,AD60,AE60,AF60)=4,(AB65+AD65+AE65+AF65)&lt;&gt;0),(AB60+AD60+AE60+AF60)/-(AB65+AD65+AE65+AF65),""),"")</f>
        <v>233.824611032532</v>
      </c>
      <c r="AG323" s="262">
        <f>IFERROR(IF(AND(COUNT(AC60,AD60,AE60,AF60)=4,(AC65+AD65+AE65+AF65)&lt;&gt;0),(AC60+AD60+AE60+AF60)/-(AC65+AD65+AE65+AF65),""),"")</f>
        <v>439.189655172414</v>
      </c>
      <c r="AH323" s="262">
        <f>IFERROR(IF(AND(COUNT(AD60,AF60,AG60,AH60)=4,(AD65+AF65+AG65+AH65)&lt;&gt;0),(AD60+AF60+AG60+AH60)/-(AD65+AF65+AG65+AH65),""),"")</f>
        <v>400.219827586207</v>
      </c>
      <c r="AI323" s="262">
        <f>IFERROR(IF(AND(COUNT(AE60,AG60,AH60,AI60)=4,(AE65+AG65+AH65+AI65)&lt;&gt;0),(AE60+AG60+AH60+AI60)/-(AE65+AG65+AH65+AI65),""),"")</f>
        <v>183.967545638945</v>
      </c>
      <c r="AJ323" s="262" t="str">
        <f>IFERROR(IF(AND(COUNT(AF60,AH60,AI60,AJ60)=4,(AF65+AH65+AI65+AJ65)&lt;&gt;0),(AF60+AH60+AI60+AJ60)/-(AF65+AH65+AI65+AJ65),""),"")</f>
        <v/>
      </c>
      <c r="AK323" s="262" t="str">
        <f>IFERROR(IF(AND(COUNT(AH60,AI60,AJ60,AK60)=4,(AH65+AI65+AJ65+AK65)&lt;&gt;0),(AH60+AI60+AJ60+AK60)/-(AH65+AI65+AJ65+AK65),""),"")</f>
        <v/>
      </c>
      <c r="AL323" s="262" t="str">
        <f>IFERROR(IF(AND(COUNT(AH60,AI60,AJ60,AK60)=4,(AH65+AI65+AJ65+AK65)&lt;&gt;0),(AH60+AI60+AJ60+AK60)/-(AH65+AI65+AJ65+AK65),""),"")</f>
        <v/>
      </c>
      <c r="AM323" s="262" t="str">
        <f>IFERROR(IF(AND(COUNT(AI60,AJ60,AK60,AM60)=4,(AI65+AJ65+AK65+AM65)&lt;&gt;0),(AI60+AJ60+AK60+AM60)/-(AI65+AJ65+AK65+AM65),""),"")</f>
        <v/>
      </c>
      <c r="AN323" s="262" t="str">
        <f>IFERROR(IF(AND(COUNT(AJ60,AK60,AM60,AN60)=4,(AJ65+AK65+AM65+AN65)&lt;&gt;0),(AJ60+AK60+AM60+AN60)/-(AJ65+AK65+AM65+AN65),""),"")</f>
        <v/>
      </c>
      <c r="AO323" s="262" t="str">
        <f>IFERROR(IF(AND(COUNT(AK60,AM60,AN60,AO60)=4,(AK65+AM65+AN65+AO65)&lt;&gt;0),(AK60+AM60+AN60+AO60)/-(AK65+AM65+AN65+AO65),""),"")</f>
        <v/>
      </c>
      <c r="AP323" s="262" t="str">
        <f>IFERROR(IF(AND(COUNT(AM60,AN60,AO60,AP60)=4,(AM65+AN65+AO65+AP65)&lt;&gt;0),(AM60+AN60+AO60+AP60)/-(AM65+AN65+AO65+AP65),""),"")</f>
        <v/>
      </c>
      <c r="AQ323" s="262" t="str">
        <f>IFERROR(IF(AND(COUNT(AM60,AN60,AO60,AP60)=4,(AM65+AN65+AO65+AP65)&lt;&gt;0),(AM60+AN60+AO60+AP60)/-(AM65+AN65+AO65+AP65),""),"")</f>
        <v/>
      </c>
      <c r="AR323" s="262" t="str">
        <f>IFERROR(IF(AND(COUNT(AN60,AO60,AP60,AR60)=4,(AN65+AO65+AP65+AR65)&lt;&gt;0),(AN60+AO60+AP60+AR60)/-(AN65+AO65+AP65+AR65),""),"")</f>
        <v/>
      </c>
      <c r="AS323" s="262" t="str">
        <f>IFERROR(IF(AND(COUNT(AO60,AP60,AR60,AS60)=4,(AO65+AP65+AR65+AS65)&lt;&gt;0),(AO60+AP60+AR60+AS60)/-(AO65+AP65+AR65+AS65),""),"")</f>
        <v/>
      </c>
      <c r="AT323" s="262" t="str">
        <f>IFERROR(IF(AND(COUNT(AP60,AR60,AS60,AT60)=4,(AP65+AR65+AS65+AT65)&lt;&gt;0),(AP60+AR60+AS60+AT60)/-(AP65+AR65+AS65+AT65),""),"")</f>
        <v/>
      </c>
      <c r="AU323" s="262" t="str">
        <f>IFERROR(IF(AND(COUNT(AR60,AS60,AT60,AU60)=4,(AR65+AS65+AT65+AU65)&lt;&gt;0),(AR60+AS60+AT60+AU60)/-(AR65+AS65+AT65+AU65),""),"")</f>
        <v/>
      </c>
      <c r="AV323" s="262" t="str">
        <f>IFERROR(IF(AND(COUNT(AR60,AS60,AT60,AU60)=4,(AR65+AS65+AT65+AU65)&lt;&gt;0),(AR60+AS60+AT60+AU60)/-(AR65+AS65+AT65+AU65),""),"")</f>
        <v/>
      </c>
      <c r="AW323" s="262" t="str">
        <f>IFERROR(IF(AND(COUNT(AS60,AT60,AU60,AW60)=4,(AS65+AT65+AU65+AW65)&lt;&gt;0),(AS60+AT60+AU60+AW60)/-(AS65+AT65+AU65+AW65),""),"")</f>
        <v/>
      </c>
      <c r="AX323" s="262" t="str">
        <f>IFERROR(IF(AND(COUNT(AT60,AU60,AW60,AX60)=4,(AT65+AU65+AW65+AX65)&lt;&gt;0),(AT60+AU60+AW60+AX60)/-(AT65+AU65+AW65+AX65),""),"")</f>
        <v/>
      </c>
      <c r="AY323" s="262" t="str">
        <f>IFERROR(IF(AND(COUNT(AU60,AW60,AX60,AY60)=4,(AU65+AW65+AX65+AY65)&lt;&gt;0),(AU60+AW60+AX60+AY60)/-(AU65+AW65+AX65+AY65),""),"")</f>
        <v/>
      </c>
      <c r="AZ323" s="262" t="str">
        <f>IFERROR(IF(AND(COUNT(AW60,AX60,AY60,AZ60)=4,(AW65+AX65+AY65+AZ65)&lt;&gt;0),(AW60+AX60+AY60+AZ60)/-(AW65+AX65+AY65+AZ65),""),"")</f>
        <v/>
      </c>
      <c r="BA323" s="262" t="str">
        <f>IFERROR(IF(AND(COUNT(AW60,AX60,AY60,AZ60)=4,(AW65+AX65+AY65+AZ65)&lt;&gt;0),(AW60+AX60+AY60+AZ60)/-(AW65+AX65+AY65+AZ65),""),"")</f>
        <v/>
      </c>
      <c r="BB323" s="262" t="str">
        <f>IFERROR(IF(AND(COUNT(AX60,AY60,AZ60,BB60)=4,(AX65+AY65+AZ65+BB65)&lt;&gt;0),(AX60+AY60+AZ60+BB60)/-(AX65+AY65+AZ65+BB65),""),"")</f>
        <v/>
      </c>
      <c r="BC323" s="262" t="str">
        <f>IFERROR(IF(AND(COUNT(AY60,AZ60,BB60,BC60)=4,(AY65+AZ65+BB65+BC65)&lt;&gt;0),(AY60+AZ60+BB60+BC60)/-(AY65+AZ65+BB65+BC65),""),"")</f>
        <v/>
      </c>
      <c r="BD323" s="262" t="str">
        <f>IFERROR(IF(AND(COUNT(AZ60,BB60,BC60,BD60)=4,(AZ65+BB65+BC65+BD65)&lt;&gt;0),(AZ60+BB60+BC60+BD60)/-(AZ65+BB65+BC65+BD65),""),"")</f>
        <v/>
      </c>
      <c r="BE323" s="262" t="str">
        <f>IFERROR(IF(AND(COUNT(BB60,BC60,BD60,BE60)=4,(BB65+BC65+BD65+BE65)&lt;&gt;0),(BB60+BC60+BD60+BE60)/-(BB65+BC65+BD65+BE65),""),"")</f>
        <v/>
      </c>
      <c r="BF323" s="262" t="str">
        <f>IFERROR(IF(AND(COUNT(BB60,BC60,BD60,BE60)=4,(BB65+BC65+BD65+BE65)&lt;&gt;0),(BB60+BC60+BD60+BE60)/-(BB65+BC65+BD65+BE65),""),"")</f>
        <v/>
      </c>
      <c r="BG323" s="82" t="n"/>
      <c r="BH323" s="82" t="n"/>
      <c r="BI323" s="82" t="n"/>
      <c r="BJ323" s="82" t="n"/>
      <c r="BL323" s="82" t="n"/>
      <c r="BM323" s="82" t="n"/>
      <c r="BN323" s="82" t="n"/>
      <c r="BO323" s="82" t="n"/>
      <c r="BQ323" s="82" t="n"/>
      <c r="BR323" s="82" t="n"/>
      <c r="BS323" s="82" t="n"/>
      <c r="BT323" s="82" t="n"/>
      <c r="BV323" s="82" t="n"/>
      <c r="BW323" s="82" t="n"/>
      <c r="BX323" s="82" t="n"/>
      <c r="BY323" s="82" t="n"/>
      <c r="CA323" s="82" t="n"/>
      <c r="CB323" s="82" t="n"/>
      <c r="CC323" s="82" t="n"/>
      <c r="CD323" s="82" t="n"/>
      <c r="CF323" s="82" t="n"/>
      <c r="CG323" s="82" t="n"/>
      <c r="CH323" s="82" t="n"/>
      <c r="CI323" s="82" t="n"/>
      <c r="CK323" s="82" t="n"/>
      <c r="CL323" s="82" t="n"/>
      <c r="CM323" s="82" t="n"/>
      <c r="CN323" s="82" t="n"/>
      <c r="CP323" s="82" t="n"/>
      <c r="CQ323" s="82" t="n"/>
      <c r="CR323" s="82" t="n"/>
      <c r="CS323" s="82" t="n"/>
      <c r="CU323" s="82" t="n"/>
      <c r="CV323" s="82" t="n"/>
      <c r="CW323" s="82" t="n"/>
      <c r="CX323" s="82" t="n"/>
    </row>
    <row r="324" customFormat="1" s="77">
      <c r="A324" s="76" t="n"/>
      <c r="B324" s="76" t="n"/>
      <c r="C324" s="77" t="inlineStr">
        <is>
          <t>(EBITDA - CAPEX) / TOTAL INTEREST (LTM)</t>
        </is>
      </c>
      <c r="D324" s="82" t="str">
        <f>IFERROR((D60-D159)/-D65,"")</f>
        <v/>
      </c>
      <c r="E324" s="82" t="str">
        <f>IFERROR((E60-E159)/-E65,"")</f>
        <v/>
      </c>
      <c r="F324" s="82" t="str">
        <f>IFERROR((F60-F159)/-F65,"")</f>
        <v/>
      </c>
      <c r="G324" s="82" t="str">
        <f>IFERROR((G60-G159)/-G65,"")</f>
        <v/>
      </c>
      <c r="H324" s="262" t="str">
        <f>IFERROR(IF(AND(COUNT(H60)=1,(H65)&lt;&gt;0),((H60)-(H159))/-(H65),""),"")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 t="str">
        <f>IFERROR(IF(AND(COUNT(I60,J60,K60,L60)=4,(I65+J65+K65+L65)&lt;&gt;0),((I60+J60+K60+L60)-(I159+J159+K159+L159))/-(I65+J65+K65+L65),""),"")</f>
        <v/>
      </c>
      <c r="M324" s="262" t="str">
        <f>IFERROR(IF(AND(COUNT(I60,J60,K60,L60)=4,(I65+J65+K65+L65)&lt;&gt;0),((I60+J60+K60+L60)-(I159+J159+K159+L159))/-(I65+J65+K65+L65),""),"")</f>
        <v/>
      </c>
      <c r="N324" s="262" t="str">
        <f>IFERROR(IF(AND(COUNT(J60,K60,L60,N60)=4,(J65+K65+L65+N65)&lt;&gt;0),((J60+K60+L60+N60)-(J159+K159+L159+N159))/-(J65+K65+L65+N65),""),"")</f>
        <v/>
      </c>
      <c r="O324" s="262" t="str">
        <f>IFERROR(IF(AND(COUNT(K60,L60,N60,O60)=4,(K65+L65+N65+O65)&lt;&gt;0),((K60+L60+N60+O60)-(K159+L159+N159+O159))/-(K65+L65+N65+O65),""),"")</f>
        <v/>
      </c>
      <c r="P324" s="262" t="str">
        <f>IFERROR(IF(AND(COUNT(L60,N60,O60,P60)=4,(L65+N65+O65+P65)&lt;&gt;0),((L60+N60+O60+P60)-(L159+N159+O159+P159))/-(L65+N65+O65+P65),""),"")</f>
        <v/>
      </c>
      <c r="Q324" s="262" t="str">
        <f>IFERROR(IF(AND(COUNT(N60,O60,P60,Q60)=4,(N65+O65+P65+Q65)&lt;&gt;0),((N60+O60+P60+Q60)-(N159+O159+P159+Q159))/-(N65+O65+P65+Q65),""),"")</f>
        <v/>
      </c>
      <c r="R324" s="262" t="str">
        <f>IFERROR(IF(AND(COUNT(N60,O60,P60,Q60)=4,(N65+O65+P65+Q65)&lt;&gt;0),((N60+O60+P60+Q60)-(N159+O159+P159+Q159))/-(N65+O65+P65+Q65),""),"")</f>
        <v/>
      </c>
      <c r="S324" s="262">
        <f>IFERROR(IF(AND(COUNT(O60,P60,Q60,S60)=4,(O65+P65+Q65+S65)&lt;&gt;0),((O60+P60+Q60+S60)-(O159+P159+Q159+S159))/-(O65+P65+Q65+S65),""),"")</f>
        <v>103.551020408163</v>
      </c>
      <c r="T324" s="262">
        <f>IFERROR(IF(AND(COUNT(P60,Q60,S60,T60)=4,(P65+Q65+S65+T65)&lt;&gt;0),((P60+Q60+S60+T60)-(P159+Q159+S159+T159))/-(P65+Q65+S65+T65),""),"")</f>
        <v>52.3333333333333</v>
      </c>
      <c r="U324" s="262">
        <f>IFERROR(IF(AND(COUNT(Q60,S60,T60,U60)=4,(Q65+S65+T65+U65)&lt;&gt;0),((Q60+S60+T60+U60)-(Q159+S159+T159+U159))/-(Q65+S65+T65+U65),""),"")</f>
        <v>64.3711340206186</v>
      </c>
      <c r="V324" s="262">
        <f>IFERROR(IF(AND(COUNT(S60,T60,U60,V60)=4,(S65+T65+U65+V65)&lt;&gt;0),((S60+T60+U60+V60)-(S159+T159+U159+V159))/-(S65+T65+U65+V65),""),"")</f>
        <v>66.5515695067265</v>
      </c>
      <c r="W324" s="262">
        <f>IFERROR(IF(AND(COUNT(S60,T60,U60,V60)=4,(S65+T65+U65+V65)&lt;&gt;0),((S60+T60+U60+V60)-(S159+T159+U159+V159))/-(S65+T65+U65+V65),""),"")</f>
        <v>66.5515695067265</v>
      </c>
      <c r="X324" s="262">
        <f>IFERROR(IF(AND(COUNT(T60,U60,V60,X60)=4,(T65+U65+V65+X65)&lt;&gt;0),((T60+U60+V60+X60)-(T159+U159+V159+X159))/-(T65+U65+V65+X65),""),"")</f>
        <v>97.2040302267003</v>
      </c>
      <c r="Y324" s="262">
        <f>IFERROR(IF(AND(COUNT(U60,V60,X60,Y60)=4,(U65+V65+X65+Y65)&lt;&gt;0),((U60+V60+X60+Y60)-(U159+V159+X159+Y159))/-(U65+V65+X65+Y65),""),"")</f>
        <v>152.567944250871</v>
      </c>
      <c r="Z324" s="262">
        <f>IFERROR(IF(AND(COUNT(V60,X60,Y60,Z60)=4,(V65+X65+Y65+Z65)&lt;&gt;0),((V60+X60+Y60+Z60)-(V159+X159+Y159+Z159))/-(V65+X65+Y65+Z65),""),"")</f>
        <v>118.335211267606</v>
      </c>
      <c r="AA324" s="262">
        <f>IFERROR(IF(AND(COUNT(X60,Y60,Z60,AA60)=4,(X65+Y65+Z65+AA65)&lt;&gt;0),((X60+Y60+Z60+AA60)-(X159+Y159+Z159+AA159))/-(X65+Y65+Z65+AA65),""),"")</f>
        <v>93.9368421052632</v>
      </c>
      <c r="AB324" s="262">
        <f>IFERROR(IF(AND(COUNT(X60,Y60,Z60,AA60)=4,(X65+Y65+Z65+AA65)&lt;&gt;0),((X60+Y60+Z60+AA60)-(X159+Y159+Z159+AA159))/-(X65+Y65+Z65+AA65),""),"")</f>
        <v>93.9368421052632</v>
      </c>
      <c r="AC324" s="262">
        <f>IFERROR(IF(AND(COUNT(Y60,Z60,AA60,AC60)=4,(Y65+Z65+AA65+AC65)&lt;&gt;0),((Y60+Z60+AA60+AC60)-(Y159+Z159+AA159+AC159))/-(Y65+Z65+AA65+AC65),""),"")</f>
        <v>80.9621052631579</v>
      </c>
      <c r="AD324" s="262">
        <f>IFERROR(IF(AND(COUNT(Z60,AA60,AC60,AD60)=4,(Z65+AA65+AC65+AD65)&lt;&gt;0),((Z60+AA60+AC60+AD60)-(Z159+AA159+AC159+AD159))/-(Z65+AA65+AC65+AD65),""),"")</f>
        <v>48.981612446959</v>
      </c>
      <c r="AE324" s="262">
        <f>IFERROR(IF(AND(COUNT(AA60,AC60,AD60,AE60)=4,(AA65+AC65+AD65+AE65)&lt;&gt;0),((AA60+AC60+AD60+AE60)-(AA159+AC159+AD159+AE159))/-(AA65+AC65+AD65+AE65),""),"")</f>
        <v>66.6410256410256</v>
      </c>
      <c r="AF324" s="262">
        <f>IFERROR(IF(AND(COUNT(AB60,AD60,AE60,AF60)=4,(AB65+AD65+AE65+AF65)&lt;&gt;0),((AB60+AD60+AE60+AF60)-(AB159+AD159+AE159+AF159))/-(AB65+AD65+AE65+AF65),""),"")</f>
        <v>152.425742574257</v>
      </c>
      <c r="AG324" s="262">
        <f>IFERROR(IF(AND(COUNT(AC60,AD60,AE60,AF60)=4,(AC65+AD65+AE65+AF65)&lt;&gt;0),((AC60+AD60+AE60+AF60)-(AC159+AD159+AE159+AF159))/-(AC65+AD65+AE65+AF65),""),"")</f>
        <v>121.646551724138</v>
      </c>
      <c r="AH324" s="262">
        <f>IFERROR(IF(AND(COUNT(AD60,AF60,AG60,AH60)=4,(AD65+AF65+AG65+AH65)&lt;&gt;0),((AD60+AF60+AG60+AH60)-(AD159+AF159+AG159+AH159))/-(AD65+AF65+AG65+AH65),""),"")</f>
        <v>104.099137931034</v>
      </c>
      <c r="AI324" s="262">
        <f>IFERROR(IF(AND(COUNT(AE60,AG60,AH60,AI60)=4,(AE65+AG65+AH65+AI65)&lt;&gt;0),((AE60+AG60+AH60+AI60)-(AE159+AG159+AH159+AI159))/-(AE65+AG65+AH65+AI65),""),"")</f>
        <v>28.2444219066937</v>
      </c>
      <c r="AJ324" s="262" t="str">
        <f>IFERROR(IF(AND(COUNT(AF60,AH60,AI60,AJ60)=4,(AF65+AH65+AI65+AJ65)&lt;&gt;0),((AF60+AH60+AI60+AJ60)-(AF159+AH159+AI159+AJ159))/-(AF65+AH65+AI65+AJ65),""),"")</f>
        <v/>
      </c>
      <c r="AK324" s="262" t="str">
        <f>IFERROR(IF(AND(COUNT(AH60,AI60,AJ60,AK60)=4,(AH65+AI65+AJ65+AK65)&lt;&gt;0),((AH60+AI60+AJ60+AK60)-(AH159+AI159+AJ159+AK159))/-(AH65+AI65+AJ65+AK65),""),"")</f>
        <v/>
      </c>
      <c r="AL324" s="262" t="str">
        <f>IFERROR(IF(AND(COUNT(AH60,AI60,AJ60,AK60)=4,(AH65+AI65+AJ65+AK65)&lt;&gt;0),((AH60+AI60+AJ60+AK60)-(AH159+AI159+AJ159+AK159))/-(AH65+AI65+AJ65+AK65),""),"")</f>
        <v/>
      </c>
      <c r="AM324" s="262" t="str">
        <f>IFERROR(IF(AND(COUNT(AI60,AJ60,AK60,AM60)=4,(AI65+AJ65+AK65+AM65)&lt;&gt;0),((AI60+AJ60+AK60+AM60)-(AI159+AJ159+AK159+AM159))/-(AI65+AJ65+AK65+AM65),""),"")</f>
        <v/>
      </c>
      <c r="AN324" s="262" t="str">
        <f>IFERROR(IF(AND(COUNT(AJ60,AK60,AM60,AN60)=4,(AJ65+AK65+AM65+AN65)&lt;&gt;0),((AJ60+AK60+AM60+AN60)-(AJ159+AK159+AM159+AN159))/-(AJ65+AK65+AM65+AN65),""),"")</f>
        <v/>
      </c>
      <c r="AO324" s="262" t="str">
        <f>IFERROR(IF(AND(COUNT(AK60,AM60,AN60,AO60)=4,(AK65+AM65+AN65+AO65)&lt;&gt;0),((AK60+AM60+AN60+AO60)-(AK159+AM159+AN159+AO159))/-(AK65+AM65+AN65+AO65),""),"")</f>
        <v/>
      </c>
      <c r="AP324" s="262" t="str">
        <f>IFERROR(IF(AND(COUNT(AM60,AN60,AO60,AP60)=4,(AM65+AN65+AO65+AP65)&lt;&gt;0),((AM60+AN60+AO60+AP60)-(AM159+AN159+AO159+AP159))/-(AM65+AN65+AO65+AP65),""),"")</f>
        <v/>
      </c>
      <c r="AQ324" s="262" t="str">
        <f>IFERROR(IF(AND(COUNT(AM60,AN60,AO60,AP60)=4,(AM65+AN65+AO65+AP65)&lt;&gt;0),((AM60+AN60+AO60+AP60)-(AM159+AN159+AO159+AP159))/-(AM65+AN65+AO65+AP65),""),"")</f>
        <v/>
      </c>
      <c r="AR324" s="262" t="str">
        <f>IFERROR(IF(AND(COUNT(AN60,AO60,AP60,AR60)=4,(AN65+AO65+AP65+AR65)&lt;&gt;0),((AN60+AO60+AP60+AR60)-(AN159+AO159+AP159+AR159))/-(AN65+AO65+AP65+AR65),""),"")</f>
        <v/>
      </c>
      <c r="AS324" s="262" t="str">
        <f>IFERROR(IF(AND(COUNT(AO60,AP60,AR60,AS60)=4,(AO65+AP65+AR65+AS65)&lt;&gt;0),((AO60+AP60+AR60+AS60)-(AO159+AP159+AR159+AS159))/-(AO65+AP65+AR65+AS65),""),"")</f>
        <v/>
      </c>
      <c r="AT324" s="262" t="str">
        <f>IFERROR(IF(AND(COUNT(AP60,AR60,AS60,AT60)=4,(AP65+AR65+AS65+AT65)&lt;&gt;0),((AP60+AR60+AS60+AT60)-(AP159+AR159+AS159+AT159))/-(AP65+AR65+AS65+AT65),""),"")</f>
        <v/>
      </c>
      <c r="AU324" s="262" t="str">
        <f>IFERROR(IF(AND(COUNT(AR60,AS60,AT60,AU60)=4,(AR65+AS65+AT65+AU65)&lt;&gt;0),((AR60+AS60+AT60+AU60)-(AR159+AS159+AT159+AU159))/-(AR65+AS65+AT65+AU65),""),"")</f>
        <v/>
      </c>
      <c r="AV324" s="262" t="str">
        <f>IFERROR(IF(AND(COUNT(AR60,AS60,AT60,AU60)=4,(AR65+AS65+AT65+AU65)&lt;&gt;0),((AR60+AS60+AT60+AU60)-(AR159+AS159+AT159+AU159))/-(AR65+AS65+AT65+AU65),""),"")</f>
        <v/>
      </c>
      <c r="AW324" s="262" t="str">
        <f>IFERROR(IF(AND(COUNT(AS60,AT60,AU60,AW60)=4,(AS65+AT65+AU65+AW65)&lt;&gt;0),((AS60+AT60+AU60+AW60)-(AS159+AT159+AU159+AW159))/-(AS65+AT65+AU65+AW65),""),"")</f>
        <v/>
      </c>
      <c r="AX324" s="262" t="str">
        <f>IFERROR(IF(AND(COUNT(AT60,AU60,AW60,AX60)=4,(AT65+AU65+AW65+AX65)&lt;&gt;0),((AT60+AU60+AW60+AX60)-(AT159+AU159+AW159+AX159))/-(AT65+AU65+AW65+AX65),""),"")</f>
        <v/>
      </c>
      <c r="AY324" s="262" t="str">
        <f>IFERROR(IF(AND(COUNT(AU60,AW60,AX60,AY60)=4,(AU65+AW65+AX65+AY65)&lt;&gt;0),((AU60+AW60+AX60+AY60)-(AU159+AW159+AX159+AY159))/-(AU65+AW65+AX65+AY65),""),"")</f>
        <v/>
      </c>
      <c r="AZ324" s="262" t="str">
        <f>IFERROR(IF(AND(COUNT(AW60,AX60,AY60,AZ60)=4,(AW65+AX65+AY65+AZ65)&lt;&gt;0),((AW60+AX60+AY60+AZ60)-(AW159+AX159+AY159+AZ159))/-(AW65+AX65+AY65+AZ65),""),"")</f>
        <v/>
      </c>
      <c r="BA324" s="262" t="str">
        <f>IFERROR(IF(AND(COUNT(AW60,AX60,AY60,AZ60)=4,(AW65+AX65+AY65+AZ65)&lt;&gt;0),((AW60+AX60+AY60+AZ60)-(AW159+AX159+AY159+AZ159))/-(AW65+AX65+AY65+AZ65),""),"")</f>
        <v/>
      </c>
      <c r="BB324" s="262" t="str">
        <f>IFERROR(IF(AND(COUNT(AX60,AY60,AZ60,BB60)=4,(AX65+AY65+AZ65+BB65)&lt;&gt;0),((AX60+AY60+AZ60+BB60)-(AX159+AY159+AZ159+BB159))/-(AX65+AY65+AZ65+BB65),""),"")</f>
        <v/>
      </c>
      <c r="BC324" s="262" t="str">
        <f>IFERROR(IF(AND(COUNT(AY60,AZ60,BB60,BC60)=4,(AY65+AZ65+BB65+BC65)&lt;&gt;0),((AY60+AZ60+BB60+BC60)-(AY159+AZ159+BB159+BC159))/-(AY65+AZ65+BB65+BC65),""),"")</f>
        <v/>
      </c>
      <c r="BD324" s="262" t="str">
        <f>IFERROR(IF(AND(COUNT(AZ60,BB60,BC60,BD60)=4,(AZ65+BB65+BC65+BD65)&lt;&gt;0),((AZ60+BB60+BC60+BD60)-(AZ159+BB159+BC159+BD159))/-(AZ65+BB65+BC65+BD65),""),"")</f>
        <v/>
      </c>
      <c r="BE324" s="262" t="str">
        <f>IFERROR(IF(AND(COUNT(BB60,BC60,BD60,BE60)=4,(BB65+BC65+BD65+BE65)&lt;&gt;0),((BB60+BC60+BD60+BE60)-(BB159+BC159+BD159+BE159))/-(BB65+BC65+BD65+BE65),""),"")</f>
        <v/>
      </c>
      <c r="BF324" s="262" t="str">
        <f>IFERROR(IF(AND(COUNT(BB60,BC60,BD60,BE60)=4,(BB65+BC65+BD65+BE65)&lt;&gt;0),((BB60+BC60+BD60+BE60)-(BB159+BC159+BD159+BE159))/-(BB65+BC65+BD65+BE65),""),"")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TOTAL DEBT / EBITDA (LTM)</t>
        </is>
      </c>
      <c r="D325" s="82" t="str">
        <f>IFERROR(SUM(D203,D204,D205,D208,D226,D229)/D60,"")</f>
        <v/>
      </c>
      <c r="E325" s="82" t="str">
        <f>IFERROR(SUM(E203,E204,E205,E208,E226,E229)/E60,"")</f>
        <v/>
      </c>
      <c r="F325" s="82" t="str">
        <f>IFERROR(SUM(F203,F204,F205,F208,F226,F229)/F60,"")</f>
        <v/>
      </c>
      <c r="G325" s="82" t="str">
        <f>IFERROR(SUM(G203,G204,G205,G208,G226,G229)/G60,"")</f>
        <v/>
      </c>
      <c r="H325" s="262" t="str">
        <f>IFERROR(IF(AND(COUNT(H60)=1,(H60)&lt;&gt;0),(N(H203)+N(H204)+N(H205)+N(H208)+N(H226)+N(H229))/(H60),""),"")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>
        <f>IFERROR(IF(AND(COUNT(I60,J60,K60,L60)=4,(I60+J60+K60+L60)&lt;&gt;0),(N(L203)+N(L204)+N(L205)+N(L208)+N(L226)+N(L229))/(I60+J60+K60+L60),""),"")</f>
        <v>0.253527046783626</v>
      </c>
      <c r="M325" s="262">
        <f>IFERROR(IF(AND(COUNT(I60,J60,K60,L60)=4,(I60+J60+K60+L60)&lt;&gt;0),(N(M203)+N(M204)+N(M205)+N(M208)+N(M226)+N(M229))/(I60+J60+K60+L60),""),"")</f>
        <v>0.253527046783626</v>
      </c>
      <c r="N325" s="262">
        <f>IFERROR(IF(AND(COUNT(J60,K60,L60,N60)=4,(J60+K60+L60+N60)&lt;&gt;0),(N(N203)+N(N204)+N(N205)+N(N208)+N(N226)+N(N229))/(J60+K60+L60+N60),""),"")</f>
        <v>0.269990393852065</v>
      </c>
      <c r="O325" s="262">
        <f>IFERROR(IF(AND(COUNT(K60,L60,N60,O60)=4,(K60+L60+N60+O60)&lt;&gt;0),(N(O203)+N(O204)+N(O205)+N(O208)+N(O226)+N(O229))/(K60+L60+N60+O60),""),"")</f>
        <v>0.334492234667111</v>
      </c>
      <c r="P325" s="262">
        <f>IFERROR(IF(AND(COUNT(L60,N60,O60,P60)=4,(L60+N60+O60+P60)&lt;&gt;0),(N(P203)+N(P204)+N(P205)+N(P208)+N(P226)+N(P229))/(L60+N60+O60+P60),""),"")</f>
        <v>0.596018870095501</v>
      </c>
      <c r="Q325" s="262">
        <f>IFERROR(IF(AND(COUNT(N60,O60,P60,Q60)=4,(N60+O60+P60+Q60)&lt;&gt;0),(N(Q203)+N(Q204)+N(Q205)+N(Q208)+N(Q226)+N(Q229))/(N60+O60+P60+Q60),""),"")</f>
        <v>0.706624857165635</v>
      </c>
      <c r="R325" s="262">
        <f>IFERROR(IF(AND(COUNT(N60,O60,P60,Q60)=4,(N60+O60+P60+Q60)&lt;&gt;0),(N(R203)+N(R204)+N(R205)+N(R208)+N(R226)+N(R229))/(N60+O60+P60+Q60),""),"")</f>
        <v>0.706624857165635</v>
      </c>
      <c r="S325" s="262">
        <f>IFERROR(IF(AND(COUNT(O60,P60,Q60,S60)=4,(O60+P60+Q60+S60)&lt;&gt;0),(N(S203)+N(S204)+N(S205)+N(S208)+N(S226)+N(S229))/(O60+P60+Q60+S60),""),"")</f>
        <v>0.751321453871724</v>
      </c>
      <c r="T325" s="262">
        <f>IFERROR(IF(AND(COUNT(P60,Q60,S60,T60)=4,(P60+Q60+S60+T60)&lt;&gt;0),(N(T203)+N(T204)+N(T205)+N(T208)+N(T226)+N(T229))/(P60+Q60+S60+T60),""),"")</f>
        <v>0.943668577384054</v>
      </c>
      <c r="U325" s="262">
        <f>IFERROR(IF(AND(COUNT(Q60,S60,T60,U60)=4,(Q60+S60+T60+U60)&lt;&gt;0),(N(U203)+N(U204)+N(U205)+N(U208)+N(U226)+N(U229))/(Q60+S60+T60+U60),""),"")</f>
        <v>0.768155595147196</v>
      </c>
      <c r="V325" s="262">
        <f>IFERROR(IF(AND(COUNT(S60,T60,U60,V60)=4,(S60+T60+U60+V60)&lt;&gt;0),(N(V203)+N(V204)+N(V205)+N(V208)+N(V226)+N(V229))/(S60+T60+U60+V60),""),"")</f>
        <v>0.642752334754613</v>
      </c>
      <c r="W325" s="262">
        <f>IFERROR(IF(AND(COUNT(S60,T60,U60,V60)=4,(S60+T60+U60+V60)&lt;&gt;0),(N(W203)+N(W204)+N(W205)+N(W208)+N(W226)+N(W229))/(S60+T60+U60+V60),""),"")</f>
        <v>0.642752334754613</v>
      </c>
      <c r="X325" s="262">
        <f>IFERROR(IF(AND(COUNT(T60,U60,V60,X60)=4,(T60+U60+V60+X60)&lt;&gt;0),(N(X203)+N(X204)+N(X205)+N(X208)+N(X226)+N(X229))/(T60+U60+V60+X60),""),"")</f>
        <v>0.575692213553618</v>
      </c>
      <c r="Y325" s="262">
        <f>IFERROR(IF(AND(COUNT(U60,V60,X60,Y60)=4,(U60+V60+X60+Y60)&lt;&gt;0),(N(Y203)+N(Y204)+N(Y205)+N(Y208)+N(Y226)+N(Y229))/(U60+V60+X60+Y60),""),"")</f>
        <v>0.52883531229555</v>
      </c>
      <c r="Z325" s="262">
        <f>IFERROR(IF(AND(COUNT(V60,X60,Y60,Z60)=4,(V60+X60+Y60+Z60)&lt;&gt;0),(N(Z203)+N(Z204)+N(Z205)+N(Z208)+N(Z226)+N(Z229))/(V60+X60+Y60+Z60),""),"")</f>
        <v>0.640225038833557</v>
      </c>
      <c r="AA325" s="262">
        <f>IFERROR(IF(AND(COUNT(X60,Y60,Z60,AA60)=4,(X60+Y60+Z60+AA60)&lt;&gt;0),(N(AA203)+N(AA204)+N(AA205)+N(AA208)+N(AA226)+N(AA229))/(X60+Y60+Z60+AA60),""),"")</f>
        <v>0.578012889239723</v>
      </c>
      <c r="AB325" s="262">
        <f>IFERROR(IF(AND(COUNT(X60,Y60,Z60,AA60)=4,(X60+Y60+Z60+AA60)&lt;&gt;0),(N(AB203)+N(AB204)+N(AB205)+N(AB208)+N(AB226)+N(AB229))/(X60+Y60+Z60+AA60),""),"")</f>
        <v>0.578012889239723</v>
      </c>
      <c r="AC325" s="262">
        <f>IFERROR(IF(AND(COUNT(Y60,Z60,AA60,AC60)=4,(Y60+Z60+AA60+AC60)&lt;&gt;0),(N(AC203)+N(AC204)+N(AC205)+N(AC208)+N(AC226)+N(AC229))/(Y60+Z60+AA60+AC60),""),"")</f>
        <v>0.555519407673323</v>
      </c>
      <c r="AD325" s="262">
        <f>IFERROR(IF(AND(COUNT(Z60,AA60,AC60,AD60)=4,(Z60+AA60+AC60+AD60)&lt;&gt;0),(N(AD203)+N(AD204)+N(AD205)+N(AD208)+N(AD226)+N(AD229))/(Z60+AA60+AC60+AD60),""),"")</f>
        <v>0.51928456920127</v>
      </c>
      <c r="AE325" s="262">
        <f>IFERROR(IF(AND(COUNT(AA60,AC60,AD60,AE60)=4,(AA60+AC60+AD60+AE60)&lt;&gt;0),(N(AE203)+N(AE204)+N(AE205)+N(AE208)+N(AE226)+N(AE229))/(AA60+AC60+AD60+AE60),""),"")</f>
        <v>0.512856568903174</v>
      </c>
      <c r="AF325" s="262">
        <f>IFERROR(IF(AND(COUNT(AB60,AD60,AE60,AF60)=4,(AB60+AD60+AE60+AF60)&lt;&gt;0),(N(AF203)+N(AF204)+N(AF205)+N(AF208)+N(AF226)+N(AF229))/(AB60+AD60+AE60+AF60),""),"")</f>
        <v>0.507500877118695</v>
      </c>
      <c r="AG325" s="262">
        <f>IFERROR(IF(AND(COUNT(AC60,AD60,AE60,AF60)=4,(AC60+AD60+AE60+AF60)&lt;&gt;0),(N(AG203)+N(AG204)+N(AG205)+N(AG208)+N(AG226)+N(AG229))/(AC60+AD60+AE60+AF60),""),"")</f>
        <v>0.823391434067444</v>
      </c>
      <c r="AH325" s="262">
        <f>IFERROR(IF(AND(COUNT(AD60,AF60,AG60,AH60)=4,(AD60+AF60+AG60+AH60)&lt;&gt;0),(N(AH203)+N(AH204)+N(AH205)+N(AH208)+N(AH226)+N(AH229))/(AD60+AF60+AG60+AH60),""),"")</f>
        <v>0.467248602599864</v>
      </c>
      <c r="AI325" s="262">
        <f>IFERROR(IF(AND(COUNT(AE60,AG60,AH60,AI60)=4,(AE60+AG60+AH60+AI60)&lt;&gt;0),(N(AI203)+N(AI204)+N(AI205)+N(AI208)+N(AI226)+N(AI229))/(AE60+AG60+AH60+AI60),""),"")</f>
        <v>0.619200405751081</v>
      </c>
      <c r="AJ325" s="262">
        <f>IFERROR(IF(AND(COUNT(AF60,AH60,AI60,AJ60)=4,(AF60+AH60+AI60+AJ60)&lt;&gt;0),(N(AJ203)+N(AJ204)+N(AJ205)+N(AJ208)+N(AJ226)+N(AJ229))/(AF60+AH60+AI60+AJ60),""),"")</f>
        <v>0.971109468895465</v>
      </c>
      <c r="AK325" s="262">
        <f>IFERROR(IF(AND(COUNT(AH60,AI60,AJ60,AK60)=4,(AH60+AI60+AJ60+AK60)&lt;&gt;0),(N(AK203)+N(AK204)+N(AK205)+N(AK208)+N(AK226)+N(AK229))/(AH60+AI60+AJ60+AK60),""),"")</f>
        <v>0.918206820035159</v>
      </c>
      <c r="AL325" s="262">
        <f>IFERROR(IF(AND(COUNT(AH60,AI60,AJ60,AK60)=4,(AH60+AI60+AJ60+AK60)&lt;&gt;0),(N(AL203)+N(AL204)+N(AL205)+N(AL208)+N(AL226)+N(AL229))/(AH60+AI60+AJ60+AK60),""),"")</f>
        <v>0.918206820035159</v>
      </c>
      <c r="AM325" s="262">
        <f>IFERROR(IF(AND(COUNT(AI60,AJ60,AK60,AM60)=4,(AI60+AJ60+AK60+AM60)&lt;&gt;0),(N(AM203)+N(AM204)+N(AM205)+N(AM208)+N(AM226)+N(AM229))/(AI60+AJ60+AK60+AM60),""),"")</f>
        <v>0.877005592973521</v>
      </c>
      <c r="AN325" s="262">
        <f>IFERROR(IF(AND(COUNT(AJ60,AK60,AM60,AN60)=4,(AJ60+AK60+AM60+AN60)&lt;&gt;0),(N(AN203)+N(AN204)+N(AN205)+N(AN208)+N(AN226)+N(AN229))/(AJ60+AK60+AM60+AN60),""),"")</f>
        <v>0.800459986665756</v>
      </c>
      <c r="AO325" s="262">
        <f>IFERROR(IF(AND(COUNT(AK60,AM60,AN60,AO60)=4,(AK60+AM60+AN60+AO60)&lt;&gt;0),(N(AO203)+N(AO204)+N(AO205)+N(AO208)+N(AO226)+N(AO229))/(AK60+AM60+AN60+AO60),""),"")</f>
        <v>0.758255790607034</v>
      </c>
      <c r="AP325" s="262">
        <f>IFERROR(IF(AND(COUNT(AM60,AN60,AO60,AP60)=4,(AM60+AN60+AO60+AP60)&lt;&gt;0),(N(AP203)+N(AP204)+N(AP205)+N(AP208)+N(AP226)+N(AP229))/(AM60+AN60+AO60+AP60),""),"")</f>
        <v>0.714239841415081</v>
      </c>
      <c r="AQ325" s="262">
        <f>IFERROR(IF(AND(COUNT(AM60,AN60,AO60,AP60)=4,(AM60+AN60+AO60+AP60)&lt;&gt;0),(N(AQ203)+N(AQ204)+N(AQ205)+N(AQ208)+N(AQ226)+N(AQ229))/(AM60+AN60+AO60+AP60),""),"")</f>
        <v>0.714239841415081</v>
      </c>
      <c r="AR325" s="262">
        <f>IFERROR(IF(AND(COUNT(AN60,AO60,AP60,AR60)=4,(AN60+AO60+AP60+AR60)&lt;&gt;0),(N(AR203)+N(AR204)+N(AR205)+N(AR208)+N(AR226)+N(AR229))/(AN60+AO60+AP60+AR60),""),"")</f>
        <v>0.67798361760733</v>
      </c>
      <c r="AS325" s="262">
        <f>IFERROR(IF(AND(COUNT(AO60,AP60,AR60,AS60)=4,(AO60+AP60+AR60+AS60)&lt;&gt;0),(N(AS203)+N(AS204)+N(AS205)+N(AS208)+N(AS226)+N(AS229))/(AO60+AP60+AR60+AS60),""),"")</f>
        <v>0.642754550776814</v>
      </c>
      <c r="AT325" s="262">
        <f>IFERROR(IF(AND(COUNT(AP60,AR60,AS60,AT60)=4,(AP60+AR60+AS60+AT60)&lt;&gt;0),(N(AT203)+N(AT204)+N(AT205)+N(AT208)+N(AT226)+N(AT229))/(AP60+AR60+AS60+AT60),""),"")</f>
        <v>0.609448546163119</v>
      </c>
      <c r="AU325" s="262">
        <f>IFERROR(IF(AND(COUNT(AR60,AS60,AT60,AU60)=4,(AR60+AS60+AT60+AU60)&lt;&gt;0),(N(AU203)+N(AU204)+N(AU205)+N(AU208)+N(AU226)+N(AU229))/(AR60+AS60+AT60+AU60),""),"")</f>
        <v>0.574644734919083</v>
      </c>
      <c r="AV325" s="262">
        <f>IFERROR(IF(AND(COUNT(AR60,AS60,AT60,AU60)=4,(AR60+AS60+AT60+AU60)&lt;&gt;0),(N(AV203)+N(AV204)+N(AV205)+N(AV208)+N(AV226)+N(AV229))/(AR60+AS60+AT60+AU60),""),"")</f>
        <v>0.574644734919083</v>
      </c>
      <c r="AW325" s="262">
        <f>IFERROR(IF(AND(COUNT(AS60,AT60,AU60,AW60)=4,(AS60+AT60+AU60+AW60)&lt;&gt;0),(N(AW203)+N(AW204)+N(AW205)+N(AW208)+N(AW226)+N(AW229))/(AS60+AT60+AU60+AW60),""),"")</f>
        <v>0.546045148170052</v>
      </c>
      <c r="AX325" s="262">
        <f>IFERROR(IF(AND(COUNT(AT60,AU60,AW60,AX60)=4,(AT60+AU60+AW60+AX60)&lt;&gt;0),(N(AX203)+N(AX204)+N(AX205)+N(AX208)+N(AX226)+N(AX229))/(AT60+AU60+AW60+AX60),""),"")</f>
        <v>0.518198437198983</v>
      </c>
      <c r="AY325" s="262">
        <f>IFERROR(IF(AND(COUNT(AU60,AW60,AX60,AY60)=4,(AU60+AW60+AX60+AY60)&lt;&gt;0),(N(AY203)+N(AY204)+N(AY205)+N(AY208)+N(AY226)+N(AY229))/(AU60+AW60+AX60+AY60),""),"")</f>
        <v>0.491819652328153</v>
      </c>
      <c r="AZ325" s="262">
        <f>IFERROR(IF(AND(COUNT(AW60,AX60,AY60,AZ60)=4,(AW60+AX60+AY60+AZ60)&lt;&gt;0),(N(AZ203)+N(AZ204)+N(AZ205)+N(AZ208)+N(AZ226)+N(AZ229))/(AW60+AX60+AY60+AZ60),""),"")</f>
        <v>0.464200263457808</v>
      </c>
      <c r="BA325" s="262">
        <f>IFERROR(IF(AND(COUNT(AW60,AX60,AY60,AZ60)=4,(AW60+AX60+AY60+AZ60)&lt;&gt;0),(N(BA203)+N(BA204)+N(BA205)+N(BA208)+N(BA226)+N(BA229))/(AW60+AX60+AY60+AZ60),""),"")</f>
        <v>0.464200263457808</v>
      </c>
      <c r="BB325" s="262">
        <f>IFERROR(IF(AND(COUNT(AX60,AY60,AZ60,BB60)=4,(AX60+AY60+AZ60+BB60)&lt;&gt;0),(N(BB203)+N(BB204)+N(BB205)+N(BB208)+N(BB226)+N(BB229))/(AX60+AY60+AZ60+BB60),""),"")</f>
        <v>0.441559233941915</v>
      </c>
      <c r="BC325" s="262">
        <f>IFERROR(IF(AND(COUNT(AY60,AZ60,BB60,BC60)=4,(AY60+AZ60+BB60+BC60)&lt;&gt;0),(N(BC203)+N(BC204)+N(BC205)+N(BC208)+N(BC226)+N(BC229))/(AY60+AZ60+BB60+BC60),""),"")</f>
        <v>0.419468621837066</v>
      </c>
      <c r="BD325" s="262">
        <f>IFERROR(IF(AND(COUNT(AZ60,BB60,BC60,BD60)=4,(AZ60+BB60+BC60+BD60)&lt;&gt;0),(N(BD203)+N(BD204)+N(BD205)+N(BD208)+N(BD226)+N(BD229))/(AZ60+BB60+BC60+BD60),""),"")</f>
        <v>0.398500882036259</v>
      </c>
      <c r="BE325" s="262">
        <f>IFERROR(IF(AND(COUNT(BB60,BC60,BD60,BE60)=4,(BB60+BC60+BD60+BE60)&lt;&gt;0),(N(BE203)+N(BE204)+N(BE205)+N(BE208)+N(BE226)+N(BE229))/(BB60+BC60+BD60+BE60),""),"")</f>
        <v>0.376503492591876</v>
      </c>
      <c r="BF325" s="262">
        <f>IFERROR(IF(AND(COUNT(BB60,BC60,BD60,BE60)=4,(BB60+BC60+BD60+BE60)&lt;&gt;0),(N(BF203)+N(BF204)+N(BF205)+N(BF208)+N(BF226)+N(BF229))/(BB60+BC60+BD60+BE60),""),"")</f>
        <v>0.376503492591876</v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TOTAL CAPITALIZATION</t>
        </is>
      </c>
      <c r="D326" s="80" t="str">
        <f>IFERROR(SUM(D203+D204+D205+D208+D226+D229)/(SUM(D203+D204+D205+D208+D226+D229)+D262),"")</f>
        <v/>
      </c>
      <c r="E326" s="80" t="str">
        <f>IFERROR(SUM(E203+E204+E205+E208+E226+E229)/(SUM(E203+E204+E205+E208+E226+E229)+E262),"")</f>
        <v/>
      </c>
      <c r="F326" s="80" t="str">
        <f>IFERROR(SUM(F203+F204+F205+F208+F226+F229)/(SUM(F203+F204+F205+F208+F226+F229)+F262),"")</f>
        <v/>
      </c>
      <c r="G326" s="80" t="str">
        <f>IFERROR(SUM(G203+G204+G205+G208+G226+G229)/(SUM(G203+G204+G205+G208+G226+G229)+G262),"")</f>
        <v/>
      </c>
      <c r="H326" s="258" t="str">
        <f>IFERROR(IF(((N(H203)+N(H204)+N(H205)+N(H208)+N(H226)+N(H229))+N(H262))&lt;&gt;0,(N(H203)+N(H204)+N(H205)+N(H208)+N(H226)+N(H229))/((N(H203)+N(H204)+N(H205)+N(H208)+N(H226)+N(H229))+H262),""),"")</f>
        <v/>
      </c>
      <c r="I326" s="258">
        <f>IFERROR(IF(((N(I203)+N(I204)+N(I205)+N(I208)+N(I226)+N(I229))+N(I262))&lt;&gt;0,(N(I203)+N(I204)+N(I205)+N(I208)+N(I226)+N(I229))/((N(I203)+N(I204)+N(I205)+N(I208)+N(I226)+N(I229))+I262),""),"")</f>
        <v>0.0799471332888188</v>
      </c>
      <c r="J326" s="258">
        <f>IFERROR(IF(((N(J203)+N(J204)+N(J205)+N(J208)+N(J226)+N(J229))+N(J262))&lt;&gt;0,(N(J203)+N(J204)+N(J205)+N(J208)+N(J226)+N(J229))/((N(J203)+N(J204)+N(J205)+N(J208)+N(J226)+N(J229))+J262),""),"")</f>
        <v>0.0799219883648176</v>
      </c>
      <c r="K326" s="258">
        <f>IFERROR(IF(((N(K203)+N(K204)+N(K205)+N(K208)+N(K226)+N(K229))+N(K262))&lt;&gt;0,(N(K203)+N(K204)+N(K205)+N(K208)+N(K226)+N(K229))/((N(K203)+N(K204)+N(K205)+N(K208)+N(K226)+N(K229))+K262),""),"")</f>
        <v>0.0865753424657534</v>
      </c>
      <c r="L326" s="258">
        <f>IFERROR(IF(((N(L203)+N(L204)+N(L205)+N(L208)+N(L226)+N(L229))+N(L262))&lt;&gt;0,(N(L203)+N(L204)+N(L205)+N(L208)+N(L226)+N(L229))/((N(L203)+N(L204)+N(L205)+N(L208)+N(L226)+N(L229))+L262),""),"")</f>
        <v>0.0999841443726937</v>
      </c>
      <c r="M326" s="258">
        <f>IFERROR(IF(((N(M203)+N(M204)+N(M205)+N(M208)+N(M226)+N(M229))+N(M262))&lt;&gt;0,(N(M203)+N(M204)+N(M205)+N(M208)+N(M226)+N(M229))/((N(M203)+N(M204)+N(M205)+N(M208)+N(M226)+N(M229))+M262),""),"")</f>
        <v>0.0999841443726937</v>
      </c>
      <c r="N326" s="258">
        <f>IFERROR(IF(((N(N203)+N(N204)+N(N205)+N(N208)+N(N226)+N(N229))+N(N262))&lt;&gt;0,(N(N203)+N(N204)+N(N205)+N(N208)+N(N226)+N(N229))/((N(N203)+N(N204)+N(N205)+N(N208)+N(N226)+N(N229))+N262),""),"")</f>
        <v>0.102366678564404</v>
      </c>
      <c r="O326" s="258">
        <f>IFERROR(IF(((N(O203)+N(O204)+N(O205)+N(O208)+N(O226)+N(O229))+N(O262))&lt;&gt;0,(N(O203)+N(O204)+N(O205)+N(O208)+N(O226)+N(O229))/((N(O203)+N(O204)+N(O205)+N(O208)+N(O226)+N(O229))+O262),""),"")</f>
        <v>0.113280313606047</v>
      </c>
      <c r="P326" s="258">
        <f>IFERROR(IF(((N(P203)+N(P204)+N(P205)+N(P208)+N(P226)+N(P229))+N(P262))&lt;&gt;0,(N(P203)+N(P204)+N(P205)+N(P208)+N(P226)+N(P229))/((N(P203)+N(P204)+N(P205)+N(P208)+N(P226)+N(P229))+P262),""),"")</f>
        <v>0.172673573609611</v>
      </c>
      <c r="Q326" s="258">
        <f>IFERROR(IF(((N(Q203)+N(Q204)+N(Q205)+N(Q208)+N(Q226)+N(Q229))+N(Q262))&lt;&gt;0,(N(Q203)+N(Q204)+N(Q205)+N(Q208)+N(Q226)+N(Q229))/((N(Q203)+N(Q204)+N(Q205)+N(Q208)+N(Q226)+N(Q229))+Q262),""),"")</f>
        <v>0.174591606261162</v>
      </c>
      <c r="R326" s="258">
        <f>IFERROR(IF(((N(R203)+N(R204)+N(R205)+N(R208)+N(R226)+N(R229))+N(R262))&lt;&gt;0,(N(R203)+N(R204)+N(R205)+N(R208)+N(R226)+N(R229))/((N(R203)+N(R204)+N(R205)+N(R208)+N(R226)+N(R229))+R262),""),"")</f>
        <v>0.174591606261162</v>
      </c>
      <c r="S326" s="258">
        <f>IFERROR(IF(((N(S203)+N(S204)+N(S205)+N(S208)+N(S226)+N(S229))+N(S262))&lt;&gt;0,(N(S203)+N(S204)+N(S205)+N(S208)+N(S226)+N(S229))/((N(S203)+N(S204)+N(S205)+N(S208)+N(S226)+N(S229))+S262),""),"")</f>
        <v>0.180973945002297</v>
      </c>
      <c r="T326" s="258">
        <f>IFERROR(IF(((N(T203)+N(T204)+N(T205)+N(T208)+N(T226)+N(T229))+N(T262))&lt;&gt;0,(N(T203)+N(T204)+N(T205)+N(T208)+N(T226)+N(T229))/((N(T203)+N(T204)+N(T205)+N(T208)+N(T226)+N(T229))+T262),""),"")</f>
        <v>0.212732964857769</v>
      </c>
      <c r="U326" s="258">
        <f>IFERROR(IF(((N(U203)+N(U204)+N(U205)+N(U208)+N(U226)+N(U229))+N(U262))&lt;&gt;0,(N(U203)+N(U204)+N(U205)+N(U208)+N(U226)+N(U229))/((N(U203)+N(U204)+N(U205)+N(U208)+N(U226)+N(U229))+U262),""),"")</f>
        <v>0.202227930091016</v>
      </c>
      <c r="V326" s="258">
        <f>IFERROR(IF(((N(V203)+N(V204)+N(V205)+N(V208)+N(V226)+N(V229))+N(V262))&lt;&gt;0,(N(V203)+N(V204)+N(V205)+N(V208)+N(V226)+N(V229))/((N(V203)+N(V204)+N(V205)+N(V208)+N(V226)+N(V229))+V262),""),"")</f>
        <v>0.195554668543398</v>
      </c>
      <c r="W326" s="258">
        <f>IFERROR(IF(((N(W203)+N(W204)+N(W205)+N(W208)+N(W226)+N(W229))+N(W262))&lt;&gt;0,(N(W203)+N(W204)+N(W205)+N(W208)+N(W226)+N(W229))/((N(W203)+N(W204)+N(W205)+N(W208)+N(W226)+N(W229))+W262),""),"")</f>
        <v>0.195554668543398</v>
      </c>
      <c r="X326" s="258">
        <f>IFERROR(IF(((N(X203)+N(X204)+N(X205)+N(X208)+N(X226)+N(X229))+N(X262))&lt;&gt;0,(N(X203)+N(X204)+N(X205)+N(X208)+N(X226)+N(X229))/((N(X203)+N(X204)+N(X205)+N(X208)+N(X226)+N(X229))+X262),""),"")</f>
        <v>0.201071798762569</v>
      </c>
      <c r="Y326" s="258">
        <f>IFERROR(IF(((N(Y203)+N(Y204)+N(Y205)+N(Y208)+N(Y226)+N(Y229))+N(Y262))&lt;&gt;0,(N(Y203)+N(Y204)+N(Y205)+N(Y208)+N(Y226)+N(Y229))/((N(Y203)+N(Y204)+N(Y205)+N(Y208)+N(Y226)+N(Y229))+Y262),""),"")</f>
        <v>0.19507173151771</v>
      </c>
      <c r="Z326" s="258">
        <f>IFERROR(IF(((N(Z203)+N(Z204)+N(Z205)+N(Z208)+N(Z226)+N(Z229))+N(Z262))&lt;&gt;0,(N(Z203)+N(Z204)+N(Z205)+N(Z208)+N(Z226)+N(Z229))/((N(Z203)+N(Z204)+N(Z205)+N(Z208)+N(Z226)+N(Z229))+Z262),""),"")</f>
        <v>0.229646589504439</v>
      </c>
      <c r="AA326" s="258">
        <f>IFERROR(IF(((N(AA203)+N(AA204)+N(AA205)+N(AA208)+N(AA226)+N(AA229))+N(AA262))&lt;&gt;0,(N(AA203)+N(AA204)+N(AA205)+N(AA208)+N(AA226)+N(AA229))/((N(AA203)+N(AA204)+N(AA205)+N(AA208)+N(AA226)+N(AA229))+AA262),""),"")</f>
        <v>0.211742059672762</v>
      </c>
      <c r="AB326" s="258">
        <f>IFERROR(IF(((N(AB203)+N(AB204)+N(AB205)+N(AB208)+N(AB226)+N(AB229))+N(AB262))&lt;&gt;0,(N(AB203)+N(AB204)+N(AB205)+N(AB208)+N(AB226)+N(AB229))/((N(AB203)+N(AB204)+N(AB205)+N(AB208)+N(AB226)+N(AB229))+AB262),""),"")</f>
        <v>0.211742059672762</v>
      </c>
      <c r="AC326" s="258">
        <f>IFERROR(IF(((N(AC203)+N(AC204)+N(AC205)+N(AC208)+N(AC226)+N(AC229))+N(AC262))&lt;&gt;0,(N(AC203)+N(AC204)+N(AC205)+N(AC208)+N(AC226)+N(AC229))/((N(AC203)+N(AC204)+N(AC205)+N(AC208)+N(AC226)+N(AC229))+AC262),""),"")</f>
        <v>0.2111252280983</v>
      </c>
      <c r="AD326" s="258">
        <f>IFERROR(IF(((N(AD203)+N(AD204)+N(AD205)+N(AD208)+N(AD226)+N(AD229))+N(AD262))&lt;&gt;0,(N(AD203)+N(AD204)+N(AD205)+N(AD208)+N(AD226)+N(AD229))/((N(AD203)+N(AD204)+N(AD205)+N(AD208)+N(AD226)+N(AD229))+AD262),""),"")</f>
        <v>0.20259166905122</v>
      </c>
      <c r="AE326" s="258">
        <f>IFERROR(IF(((N(AE203)+N(AE204)+N(AE205)+N(AE208)+N(AE226)+N(AE229))+N(AE262))&lt;&gt;0,(N(AE203)+N(AE204)+N(AE205)+N(AE208)+N(AE226)+N(AE229))/((N(AE203)+N(AE204)+N(AE205)+N(AE208)+N(AE226)+N(AE229))+AE262),""),"")</f>
        <v>0.208301037017697</v>
      </c>
      <c r="AF326" s="258">
        <f>IFERROR(IF(((N(AF203)+N(AF204)+N(AF205)+N(AF208)+N(AF226)+N(AF229))+N(AF262))&lt;&gt;0,(N(AF203)+N(AF204)+N(AF205)+N(AF208)+N(AF226)+N(AF229))/((N(AF203)+N(AF204)+N(AF205)+N(AF208)+N(AF226)+N(AF229))+AF262),""),"")</f>
        <v>0.278597994288371</v>
      </c>
      <c r="AG326" s="258">
        <f>IFERROR(IF(((N(AG203)+N(AG204)+N(AG205)+N(AG208)+N(AG226)+N(AG229))+N(AG262))&lt;&gt;0,(N(AG203)+N(AG204)+N(AG205)+N(AG208)+N(AG226)+N(AG229))/((N(AG203)+N(AG204)+N(AG205)+N(AG208)+N(AG226)+N(AG229))+AG262),""),"")</f>
        <v>0.278597994288371</v>
      </c>
      <c r="AH326" s="258">
        <f>IFERROR(IF(((N(AH203)+N(AH204)+N(AH205)+N(AH208)+N(AH226)+N(AH229))+N(AH262))&lt;&gt;0,(N(AH203)+N(AH204)+N(AH205)+N(AH208)+N(AH226)+N(AH229))/((N(AH203)+N(AH204)+N(AH205)+N(AH208)+N(AH226)+N(AH229))+AH262),""),"")</f>
        <v>0.262578302315025</v>
      </c>
      <c r="AI326" s="258">
        <f>IFERROR(IF(((N(AI203)+N(AI204)+N(AI205)+N(AI208)+N(AI226)+N(AI229))+N(AI262))&lt;&gt;0,(N(AI203)+N(AI204)+N(AI205)+N(AI208)+N(AI226)+N(AI229))/((N(AI203)+N(AI204)+N(AI205)+N(AI208)+N(AI226)+N(AI229))+AI262),""),"")</f>
        <v>0.300686139867591</v>
      </c>
      <c r="AJ326" s="258">
        <f>IFERROR(IF(((N(AJ203)+N(AJ204)+N(AJ205)+N(AJ208)+N(AJ226)+N(AJ229))+N(AJ262))&lt;&gt;0,(N(AJ203)+N(AJ204)+N(AJ205)+N(AJ208)+N(AJ226)+N(AJ229))/((N(AJ203)+N(AJ204)+N(AJ205)+N(AJ208)+N(AJ226)+N(AJ229))+AJ262),""),"")</f>
        <v>0.284637115045916</v>
      </c>
      <c r="AK326" s="258">
        <f>IFERROR(IF(((N(AK203)+N(AK204)+N(AK205)+N(AK208)+N(AK226)+N(AK229))+N(AK262))&lt;&gt;0,(N(AK203)+N(AK204)+N(AK205)+N(AK208)+N(AK226)+N(AK229))/((N(AK203)+N(AK204)+N(AK205)+N(AK208)+N(AK226)+N(AK229))+AK262),""),"")</f>
        <v>0.267922570925656</v>
      </c>
      <c r="AL326" s="258">
        <f>IFERROR(IF(((N(AL203)+N(AL204)+N(AL205)+N(AL208)+N(AL226)+N(AL229))+N(AL262))&lt;&gt;0,(N(AL203)+N(AL204)+N(AL205)+N(AL208)+N(AL226)+N(AL229))/((N(AL203)+N(AL204)+N(AL205)+N(AL208)+N(AL226)+N(AL229))+AL262),""),"")</f>
        <v>0.267922570925656</v>
      </c>
      <c r="AM326" s="258">
        <f>IFERROR(IF(((N(AM203)+N(AM204)+N(AM205)+N(AM208)+N(AM226)+N(AM229))+N(AM262))&lt;&gt;0,(N(AM203)+N(AM204)+N(AM205)+N(AM208)+N(AM226)+N(AM229))/((N(AM203)+N(AM204)+N(AM205)+N(AM208)+N(AM226)+N(AM229))+AM262),""),"")</f>
        <v>0.253904428888988</v>
      </c>
      <c r="AN326" s="258">
        <f>IFERROR(IF(((N(AN203)+N(AN204)+N(AN205)+N(AN208)+N(AN226)+N(AN229))+N(AN262))&lt;&gt;0,(N(AN203)+N(AN204)+N(AN205)+N(AN208)+N(AN226)+N(AN229))/((N(AN203)+N(AN204)+N(AN205)+N(AN208)+N(AN226)+N(AN229))+AN262),""),"")</f>
        <v>0.240327483372057</v>
      </c>
      <c r="AO326" s="258">
        <f>IFERROR(IF(((N(AO203)+N(AO204)+N(AO205)+N(AO208)+N(AO226)+N(AO229))+N(AO262))&lt;&gt;0,(N(AO203)+N(AO204)+N(AO205)+N(AO208)+N(AO226)+N(AO229))/((N(AO203)+N(AO204)+N(AO205)+N(AO208)+N(AO226)+N(AO229))+AO262),""),"")</f>
        <v>0.227531410326405</v>
      </c>
      <c r="AP326" s="258">
        <f>IFERROR(IF(((N(AP203)+N(AP204)+N(AP205)+N(AP208)+N(AP226)+N(AP229))+N(AP262))&lt;&gt;0,(N(AP203)+N(AP204)+N(AP205)+N(AP208)+N(AP226)+N(AP229))/((N(AP203)+N(AP204)+N(AP205)+N(AP208)+N(AP226)+N(AP229))+AP262),""),"")</f>
        <v>0.214200964077424</v>
      </c>
      <c r="AQ326" s="258">
        <f>IFERROR(IF(((N(AQ203)+N(AQ204)+N(AQ205)+N(AQ208)+N(AQ226)+N(AQ229))+N(AQ262))&lt;&gt;0,(N(AQ203)+N(AQ204)+N(AQ205)+N(AQ208)+N(AQ226)+N(AQ229))/((N(AQ203)+N(AQ204)+N(AQ205)+N(AQ208)+N(AQ226)+N(AQ229))+AQ262),""),"")</f>
        <v>0.214200964077424</v>
      </c>
      <c r="AR326" s="258">
        <f>IFERROR(IF(((N(AR203)+N(AR204)+N(AR205)+N(AR208)+N(AR226)+N(AR229))+N(AR262))&lt;&gt;0,(N(AR203)+N(AR204)+N(AR205)+N(AR208)+N(AR226)+N(AR229))/((N(AR203)+N(AR204)+N(AR205)+N(AR208)+N(AR226)+N(AR229))+AR262),""),"")</f>
        <v>0.203060521696021</v>
      </c>
      <c r="AS326" s="258">
        <f>IFERROR(IF(((N(AS203)+N(AS204)+N(AS205)+N(AS208)+N(AS226)+N(AS229))+N(AS262))&lt;&gt;0,(N(AS203)+N(AS204)+N(AS205)+N(AS208)+N(AS226)+N(AS229))/((N(AS203)+N(AS204)+N(AS205)+N(AS208)+N(AS226)+N(AS229))+AS262),""),"")</f>
        <v>0.192263703189199</v>
      </c>
      <c r="AT326" s="258">
        <f>IFERROR(IF(((N(AT203)+N(AT204)+N(AT205)+N(AT208)+N(AT226)+N(AT229))+N(AT262))&lt;&gt;0,(N(AT203)+N(AT204)+N(AT205)+N(AT208)+N(AT226)+N(AT229))/((N(AT203)+N(AT204)+N(AT205)+N(AT208)+N(AT226)+N(AT229))+AT262),""),"")</f>
        <v>0.182081546193318</v>
      </c>
      <c r="AU326" s="258">
        <f>IFERROR(IF(((N(AU203)+N(AU204)+N(AU205)+N(AU208)+N(AU226)+N(AU229))+N(AU262))&lt;&gt;0,(N(AU203)+N(AU204)+N(AU205)+N(AU208)+N(AU226)+N(AU229))/((N(AU203)+N(AU204)+N(AU205)+N(AU208)+N(AU226)+N(AU229))+AU262),""),"")</f>
        <v>0.17146765365845</v>
      </c>
      <c r="AV326" s="258">
        <f>IFERROR(IF(((N(AV203)+N(AV204)+N(AV205)+N(AV208)+N(AV226)+N(AV229))+N(AV262))&lt;&gt;0,(N(AV203)+N(AV204)+N(AV205)+N(AV208)+N(AV226)+N(AV229))/((N(AV203)+N(AV204)+N(AV205)+N(AV208)+N(AV226)+N(AV229))+AV262),""),"")</f>
        <v>0.17146765365845</v>
      </c>
      <c r="AW326" s="258">
        <f>IFERROR(IF(((N(AW203)+N(AW204)+N(AW205)+N(AW208)+N(AW226)+N(AW229))+N(AW262))&lt;&gt;0,(N(AW203)+N(AW204)+N(AW205)+N(AW208)+N(AW226)+N(AW229))/((N(AW203)+N(AW204)+N(AW205)+N(AW208)+N(AW226)+N(AW229))+AW262),""),"")</f>
        <v>0.162626226807919</v>
      </c>
      <c r="AX326" s="258">
        <f>IFERROR(IF(((N(AX203)+N(AX204)+N(AX205)+N(AX208)+N(AX226)+N(AX229))+N(AX262))&lt;&gt;0,(N(AX203)+N(AX204)+N(AX205)+N(AX208)+N(AX226)+N(AX229))/((N(AX203)+N(AX204)+N(AX205)+N(AX208)+N(AX226)+N(AX229))+AX262),""),"")</f>
        <v>0.154049568249185</v>
      </c>
      <c r="AY326" s="258">
        <f>IFERROR(IF(((N(AY203)+N(AY204)+N(AY205)+N(AY208)+N(AY226)+N(AY229))+N(AY262))&lt;&gt;0,(N(AY203)+N(AY204)+N(AY205)+N(AY208)+N(AY226)+N(AY229))/((N(AY203)+N(AY204)+N(AY205)+N(AY208)+N(AY226)+N(AY229))+AY262),""),"")</f>
        <v>0.145954004390076</v>
      </c>
      <c r="AZ326" s="258">
        <f>IFERROR(IF(((N(AZ203)+N(AZ204)+N(AZ205)+N(AZ208)+N(AZ226)+N(AZ229))+N(AZ262))&lt;&gt;0,(N(AZ203)+N(AZ204)+N(AZ205)+N(AZ208)+N(AZ226)+N(AZ229))/((N(AZ203)+N(AZ204)+N(AZ205)+N(AZ208)+N(AZ226)+N(AZ229))+AZ262),""),"")</f>
        <v>0.137507756766617</v>
      </c>
      <c r="BA326" s="258">
        <f>IFERROR(IF(((N(BA203)+N(BA204)+N(BA205)+N(BA208)+N(BA226)+N(BA229))+N(BA262))&lt;&gt;0,(N(BA203)+N(BA204)+N(BA205)+N(BA208)+N(BA226)+N(BA229))/((N(BA203)+N(BA204)+N(BA205)+N(BA208)+N(BA226)+N(BA229))+BA262),""),"")</f>
        <v>0.137507756766617</v>
      </c>
      <c r="BB326" s="258">
        <f>IFERROR(IF(((N(BB203)+N(BB204)+N(BB205)+N(BB208)+N(BB226)+N(BB229))+N(BB262))&lt;&gt;0,(N(BB203)+N(BB204)+N(BB205)+N(BB208)+N(BB226)+N(BB229))/((N(BB203)+N(BB204)+N(BB205)+N(BB208)+N(BB226)+N(BB229))+BB262),""),"")</f>
        <v>0.130493187968813</v>
      </c>
      <c r="BC326" s="258">
        <f>IFERROR(IF(((N(BC203)+N(BC204)+N(BC205)+N(BC208)+N(BC226)+N(BC229))+N(BC262))&lt;&gt;0,(N(BC203)+N(BC204)+N(BC205)+N(BC208)+N(BC226)+N(BC229))/((N(BC203)+N(BC204)+N(BC205)+N(BC208)+N(BC226)+N(BC229))+BC262),""),"")</f>
        <v>0.123680886576836</v>
      </c>
      <c r="BD326" s="258">
        <f>IFERROR(IF(((N(BD203)+N(BD204)+N(BD205)+N(BD208)+N(BD226)+N(BD229))+N(BD262))&lt;&gt;0,(N(BD203)+N(BD204)+N(BD205)+N(BD208)+N(BD226)+N(BD229))/((N(BD203)+N(BD204)+N(BD205)+N(BD208)+N(BD226)+N(BD229))+BD262),""),"")</f>
        <v>0.11724365806837</v>
      </c>
      <c r="BE326" s="258">
        <f>IFERROR(IF(((N(BE203)+N(BE204)+N(BE205)+N(BE208)+N(BE226)+N(BE229))+N(BE262))&lt;&gt;0,(N(BE203)+N(BE204)+N(BE205)+N(BE208)+N(BE226)+N(BE229))/((N(BE203)+N(BE204)+N(BE205)+N(BE208)+N(BE226)+N(BE229))+BE262),""),"")</f>
        <v>0.110520268695393</v>
      </c>
      <c r="BF326" s="258">
        <f>IFERROR(IF(((N(BF203)+N(BF204)+N(BF205)+N(BF208)+N(BF226)+N(BF229))+N(BF262))&lt;&gt;0,(N(BF203)+N(BF204)+N(BF205)+N(BF208)+N(BF226)+N(BF229))/((N(BF203)+N(BF204)+N(BF205)+N(BF208)+N(BF226)+N(BF229))+BF262),""),"")</f>
        <v>0.110520268695393</v>
      </c>
      <c r="BG326" s="80" t="n"/>
      <c r="BH326" s="80" t="n"/>
      <c r="BI326" s="80" t="n"/>
      <c r="BJ326" s="80" t="n"/>
      <c r="BL326" s="80" t="n"/>
      <c r="BM326" s="80" t="n"/>
      <c r="BN326" s="80" t="n"/>
      <c r="BO326" s="80" t="n"/>
      <c r="BQ326" s="80" t="n"/>
      <c r="BR326" s="80" t="n"/>
      <c r="BS326" s="80" t="n"/>
      <c r="BT326" s="80" t="n"/>
      <c r="BV326" s="80" t="n"/>
      <c r="BW326" s="80" t="n"/>
      <c r="BX326" s="80" t="n"/>
      <c r="BY326" s="80" t="n"/>
      <c r="CA326" s="80" t="n"/>
      <c r="CB326" s="80" t="n"/>
      <c r="CC326" s="80" t="n"/>
      <c r="CD326" s="80" t="n"/>
      <c r="CF326" s="80" t="n"/>
      <c r="CG326" s="80" t="n"/>
      <c r="CH326" s="80" t="n"/>
      <c r="CI326" s="80" t="n"/>
      <c r="CK326" s="80" t="n"/>
      <c r="CL326" s="80" t="n"/>
      <c r="CM326" s="80" t="n"/>
      <c r="CN326" s="80" t="n"/>
      <c r="CP326" s="80" t="n"/>
      <c r="CQ326" s="80" t="n"/>
      <c r="CR326" s="80" t="n"/>
      <c r="CS326" s="80" t="n"/>
      <c r="CU326" s="80" t="n"/>
      <c r="CV326" s="80" t="n"/>
      <c r="CW326" s="80" t="n"/>
      <c r="CX326" s="80" t="n"/>
    </row>
    <row r="327" customFormat="1" s="77">
      <c r="A327" s="76" t="n"/>
      <c r="B327" s="76" t="n"/>
      <c r="C327" s="77" t="inlineStr">
        <is>
          <t>NET DEBT / EBITDA (LTM)</t>
        </is>
      </c>
      <c r="D327" s="82" t="str">
        <f>IFERROR(SUM((D203+D204+D205+D208+D226)-D135)/(D60*4),"")</f>
        <v/>
      </c>
      <c r="E327" s="82" t="str">
        <f>IFERROR(SUM((E203+E204+E205+E208+E226)-E135)/(E60*4),"")</f>
        <v/>
      </c>
      <c r="F327" s="82" t="str">
        <f>IFERROR(SUM((F203+F204+F205+F208+F226)-F135)/(F60*4),"")</f>
        <v/>
      </c>
      <c r="G327" s="82" t="str">
        <f>IFERROR(SUM((G203+G204+G205+G208+G226)-G135)/(G60*4),"")</f>
        <v/>
      </c>
      <c r="H327" s="262" t="str">
        <f>IFERROR(IF(AND(COUNT(H60)=1,(H60)&lt;&gt;0),((N(H203)+N(H204)+N(H205)+N(H208)+N(H226)+N(H229))-N(H135))/(H60),""),"")</f>
        <v/>
      </c>
      <c r="I327" s="262" t="str">
        <f>""</f>
        <v/>
      </c>
      <c r="J327" s="262" t="str">
        <f>""</f>
        <v/>
      </c>
      <c r="K327" s="262" t="str">
        <f>""</f>
        <v/>
      </c>
      <c r="L327" s="262">
        <f>IFERROR(IF(AND(COUNT(I60,J60,K60,L60)=4,(I60+J60+K60+L60)&lt;&gt;0),((N(L203)+N(L204)+N(L205)+N(L208)+N(L226)+N(L229))-N(L135))/(I60+J60+K60+L60),""),"")</f>
        <v>-0.623629385964912</v>
      </c>
      <c r="M327" s="262">
        <f>IFERROR(IF(AND(COUNT(I60,J60,K60,L60)=4,(I60+J60+K60+L60)&lt;&gt;0),((N(M203)+N(M204)+N(M205)+N(M208)+N(M226)+N(M229))-N(M135))/(I60+J60+K60+L60),""),"")</f>
        <v>-0.623629385964912</v>
      </c>
      <c r="N327" s="262">
        <f>IFERROR(IF(AND(COUNT(J60,K60,L60,N60)=4,(J60+K60+L60+N60)&lt;&gt;0),((N(N203)+N(N204)+N(N205)+N(N208)+N(N226)+N(N229))-N(N135))/(J60+K60+L60+N60),""),"")</f>
        <v>-0.573237271853987</v>
      </c>
      <c r="O327" s="262">
        <f>IFERROR(IF(AND(COUNT(K60,L60,N60,O60)=4,(K60+L60+N60+O60)&lt;&gt;0),((N(O203)+N(O204)+N(O205)+N(O208)+N(O226)+N(O229))-N(O135))/(K60+L60+N60+O60),""),"")</f>
        <v>-0.508431527667902</v>
      </c>
      <c r="P327" s="262">
        <f>IFERROR(IF(AND(COUNT(L60,N60,O60,P60)=4,(L60+N60+O60+P60)&lt;&gt;0),((N(P203)+N(P204)+N(P205)+N(P208)+N(P226)+N(P229))-N(P135))/(L60+N60+O60+P60),""),"")</f>
        <v>-0.365343458750432</v>
      </c>
      <c r="Q327" s="262">
        <f>IFERROR(IF(AND(COUNT(N60,O60,P60,Q60)=4,(N60+O60+P60+Q60)&lt;&gt;0),((N(Q203)+N(Q204)+N(Q205)+N(Q208)+N(Q226)+N(Q229))-N(Q135))/(N60+O60+P60+Q60),""),"")</f>
        <v>-0.375940049427334</v>
      </c>
      <c r="R327" s="262">
        <f>IFERROR(IF(AND(COUNT(N60,O60,P60,Q60)=4,(N60+O60+P60+Q60)&lt;&gt;0),((N(R203)+N(R204)+N(R205)+N(R208)+N(R226)+N(R229))-N(R135))/(N60+O60+P60+Q60),""),"")</f>
        <v>-0.375940049427334</v>
      </c>
      <c r="S327" s="262">
        <f>IFERROR(IF(AND(COUNT(O60,P60,Q60,S60)=4,(O60+P60+Q60+S60)&lt;&gt;0),((N(S203)+N(S204)+N(S205)+N(S208)+N(S226)+N(S229))-N(S135))/(O60+P60+Q60+S60),""),"")</f>
        <v>-0.268759195684159</v>
      </c>
      <c r="T327" s="262">
        <f>IFERROR(IF(AND(COUNT(P60,Q60,S60,T60)=4,(P60+Q60+S60+T60)&lt;&gt;0),((N(T203)+N(T204)+N(T205)+N(T208)+N(T226)+N(T229))-N(T135))/(P60+Q60+S60+T60),""),"")</f>
        <v>-0.448879624804586</v>
      </c>
      <c r="U327" s="262">
        <f>IFERROR(IF(AND(COUNT(Q60,S60,T60,U60)=4,(Q60+S60+T60+U60)&lt;&gt;0),((N(U203)+N(U204)+N(U205)+N(U208)+N(U226)+N(U229))-N(U135))/(Q60+S60+T60+U60),""),"")</f>
        <v>-0.528251463476712</v>
      </c>
      <c r="V327" s="262">
        <f>IFERROR(IF(AND(COUNT(S60,T60,U60,V60)=4,(S60+T60+U60+V60)&lt;&gt;0),((N(V203)+N(V204)+N(V205)+N(V208)+N(V226)+N(V229))-N(V135))/(S60+T60+U60+V60),""),"")</f>
        <v>-0.486267672495641</v>
      </c>
      <c r="W327" s="262">
        <f>IFERROR(IF(AND(COUNT(S60,T60,U60,V60)=4,(S60+T60+U60+V60)&lt;&gt;0),((N(W203)+N(W204)+N(W205)+N(W208)+N(W226)+N(W229))-N(W135))/(S60+T60+U60+V60),""),"")</f>
        <v>-0.486267672495641</v>
      </c>
      <c r="X327" s="262">
        <f>IFERROR(IF(AND(COUNT(T60,U60,V60,X60)=4,(T60+U60+V60+X60)&lt;&gt;0),((N(X203)+N(X204)+N(X205)+N(X208)+N(X226)+N(X229))-N(X135))/(T60+U60+V60+X60),""),"")</f>
        <v>-0.313400642496558</v>
      </c>
      <c r="Y327" s="262">
        <f>IFERROR(IF(AND(COUNT(U60,V60,X60,Y60)=4,(U60+V60+X60+Y60)&lt;&gt;0),((N(Y203)+N(Y204)+N(Y205)+N(Y208)+N(Y226)+N(Y229))-N(Y135))/(U60+V60+X60+Y60),""),"")</f>
        <v>-0.279639193195896</v>
      </c>
      <c r="Z327" s="262">
        <f>IFERROR(IF(AND(COUNT(V60,X60,Y60,Z60)=4,(V60+X60+Y60+Z60)&lt;&gt;0),((N(Z203)+N(Z204)+N(Z205)+N(Z208)+N(Z226)+N(Z229))-N(Z135))/(V60+X60+Y60+Z60),""),"")</f>
        <v>-0.285253690819617</v>
      </c>
      <c r="AA327" s="262">
        <f>IFERROR(IF(AND(COUNT(X60,Y60,Z60,AA60)=4,(X60+Y60+Z60+AA60)&lt;&gt;0),((N(AA203)+N(AA204)+N(AA205)+N(AA208)+N(AA226)+N(AA229))-N(AA135))/(X60+Y60+Z60+AA60),""),"")</f>
        <v>-0.338784358542361</v>
      </c>
      <c r="AB327" s="262">
        <f>IFERROR(IF(AND(COUNT(X60,Y60,Z60,AA60)=4,(X60+Y60+Z60+AA60)&lt;&gt;0),((N(AB203)+N(AB204)+N(AB205)+N(AB208)+N(AB226)+N(AB229))-N(AB135))/(X60+Y60+Z60+AA60),""),"")</f>
        <v>-0.338784358542361</v>
      </c>
      <c r="AC327" s="262">
        <f>IFERROR(IF(AND(COUNT(Y60,Z60,AA60,AC60)=4,(Y60+Z60+AA60+AC60)&lt;&gt;0),((N(AC203)+N(AC204)+N(AC205)+N(AC208)+N(AC226)+N(AC229))-N(AC135))/(Y60+Z60+AA60+AC60),""),"")</f>
        <v>-0.232342382768679</v>
      </c>
      <c r="AD327" s="262">
        <f>IFERROR(IF(AND(COUNT(Z60,AA60,AC60,AD60)=4,(Z60+AA60+AC60+AD60)&lt;&gt;0),((N(AD203)+N(AD204)+N(AD205)+N(AD208)+N(AD226)+N(AD229))-N(AD135))/(Z60+AA60+AC60+AD60),""),"")</f>
        <v>0.0260794853257054</v>
      </c>
      <c r="AE327" s="262">
        <f>IFERROR(IF(AND(COUNT(AA60,AC60,AD60,AE60)=4,(AA60+AC60+AD60+AE60)&lt;&gt;0),((N(AE203)+N(AE204)+N(AE205)+N(AE208)+N(AE226)+N(AE229))-N(AE135))/(AA60+AC60+AD60+AE60),""),"")</f>
        <v>0.066412213740458</v>
      </c>
      <c r="AF327" s="262">
        <f>IFERROR(IF(AND(COUNT(AB60,AD60,AE60,AF60)=4,(AB60+AD60+AE60+AF60)&lt;&gt;0),((N(AF203)+N(AF204)+N(AF205)+N(AF208)+N(AF226)+N(AF229))-N(AF135))/(AB60+AD60+AE60+AF60),""),"")</f>
        <v>0.0139431627085425</v>
      </c>
      <c r="AG327" s="262">
        <f>IFERROR(IF(AND(COUNT(AC60,AD60,AE60,AF60)=4,(AC60+AD60+AE60+AF60)&lt;&gt;0),((N(AG203)+N(AG204)+N(AG205)+N(AG208)+N(AG226)+N(AG229))-N(AG135))/(AC60+AD60+AE60+AF60),""),"")</f>
        <v>0.0226219919130059</v>
      </c>
      <c r="AH327" s="262">
        <f>IFERROR(IF(AND(COUNT(AD60,AF60,AG60,AH60)=4,(AD60+AF60+AG60+AH60)&lt;&gt;0),((N(AH203)+N(AH204)+N(AH205)+N(AH208)+N(AH226)+N(AH229))-N(AH135))/(AD60+AF60+AG60+AH60),""),"")</f>
        <v>0.0300966063908843</v>
      </c>
      <c r="AI327" s="262">
        <f>IFERROR(IF(AND(COUNT(AE60,AG60,AH60,AI60)=4,(AE60+AG60+AH60+AI60)&lt;&gt;0),((N(AI203)+N(AI204)+N(AI205)+N(AI208)+N(AI226)+N(AI229))-N(AI135))/(AE60+AG60+AH60+AI60),""),"")</f>
        <v>0.121604039869454</v>
      </c>
      <c r="AJ327" s="262">
        <f>IFERROR(IF(AND(COUNT(AF60,AH60,AI60,AJ60)=4,(AF60+AH60+AI60+AJ60)&lt;&gt;0),((N(AJ203)+N(AJ204)+N(AJ205)+N(AJ208)+N(AJ226)+N(AJ229))-N(AJ135))/(AF60+AH60+AI60+AJ60),""),"")</f>
        <v>0.132197569753977</v>
      </c>
      <c r="AK327" s="262">
        <f>IFERROR(IF(AND(COUNT(AH60,AI60,AJ60,AK60)=4,(AH60+AI60+AJ60+AK60)&lt;&gt;0),((N(AK203)+N(AK204)+N(AK205)+N(AK208)+N(AK226)+N(AK229))-N(AK135))/(AH60+AI60+AJ60+AK60),""),"")</f>
        <v>0.0400693957835753</v>
      </c>
      <c r="AL327" s="262">
        <f>IFERROR(IF(AND(COUNT(AH60,AI60,AJ60,AK60)=4,(AH60+AI60+AJ60+AK60)&lt;&gt;0),((N(AL203)+N(AL204)+N(AL205)+N(AL208)+N(AL226)+N(AL229))-N(AL135))/(AH60+AI60+AJ60+AK60),""),"")</f>
        <v>0.0400693957835753</v>
      </c>
      <c r="AM327" s="262">
        <f>IFERROR(IF(AND(COUNT(AI60,AJ60,AK60,AM60)=4,(AI60+AJ60+AK60+AM60)&lt;&gt;0),((N(AM203)+N(AM204)+N(AM205)+N(AM208)+N(AM226)+N(AM229))-N(AM135))/(AI60+AJ60+AK60+AM60),""),"")</f>
        <v>-0.0799788434733845</v>
      </c>
      <c r="AN327" s="262">
        <f>IFERROR(IF(AND(COUNT(AJ60,AK60,AM60,AN60)=4,(AJ60+AK60+AM60+AN60)&lt;&gt;0),((N(AN203)+N(AN204)+N(AN205)+N(AN208)+N(AN226)+N(AN229))-N(AN135))/(AJ60+AK60+AM60+AN60),""),"")</f>
        <v>-0.199480791910172</v>
      </c>
      <c r="AO327" s="262">
        <f>IFERROR(IF(AND(COUNT(AK60,AM60,AN60,AO60)=4,(AK60+AM60+AN60+AO60)&lt;&gt;0),((N(AO203)+N(AO204)+N(AO205)+N(AO208)+N(AO226)+N(AO229))-N(AO135))/(AK60+AM60+AN60+AO60),""),"")</f>
        <v>-0.341112398404932</v>
      </c>
      <c r="AP327" s="262">
        <f>IFERROR(IF(AND(COUNT(AM60,AN60,AO60,AP60)=4,(AM60+AN60+AO60+AP60)&lt;&gt;0),((N(AP203)+N(AP204)+N(AP205)+N(AP208)+N(AP226)+N(AP229))-N(AP135))/(AM60+AN60+AO60+AP60),""),"")</f>
        <v>-0.491919784391226</v>
      </c>
      <c r="AQ327" s="262">
        <f>IFERROR(IF(AND(COUNT(AM60,AN60,AO60,AP60)=4,(AM60+AN60+AO60+AP60)&lt;&gt;0),((N(AQ203)+N(AQ204)+N(AQ205)+N(AQ208)+N(AQ226)+N(AQ229))-N(AQ135))/(AM60+AN60+AO60+AP60),""),"")</f>
        <v>-0.491919784391226</v>
      </c>
      <c r="AR327" s="262">
        <f>IFERROR(IF(AND(COUNT(AN60,AO60,AP60,AR60)=4,(AN60+AO60+AP60+AR60)&lt;&gt;0),((N(AR203)+N(AR204)+N(AR205)+N(AR208)+N(AR226)+N(AR229))-N(AR135))/(AN60+AO60+AP60+AR60),""),"")</f>
        <v>-0.682216802605577</v>
      </c>
      <c r="AS327" s="262">
        <f>IFERROR(IF(AND(COUNT(AO60,AP60,AR60,AS60)=4,(AO60+AP60+AR60+AS60)&lt;&gt;0),((N(AS203)+N(AS204)+N(AS205)+N(AS208)+N(AS226)+N(AS229))-N(AS135))/(AO60+AP60+AR60+AS60),""),"")</f>
        <v>-0.890206026263913</v>
      </c>
      <c r="AT327" s="262">
        <f>IFERROR(IF(AND(COUNT(AP60,AR60,AS60,AT60)=4,(AP60+AR60+AS60+AT60)&lt;&gt;0),((N(AT203)+N(AT204)+N(AT205)+N(AT208)+N(AT226)+N(AT229))-N(AT135))/(AP60+AR60+AS60+AT60),""),"")</f>
        <v>-1.13447060839713</v>
      </c>
      <c r="AU327" s="262">
        <f>IFERROR(IF(AND(COUNT(AR60,AS60,AT60,AU60)=4,(AR60+AS60+AT60+AU60)&lt;&gt;0),((N(AU203)+N(AU204)+N(AU205)+N(AU208)+N(AU226)+N(AU229))-N(AU135))/(AR60+AS60+AT60+AU60),""),"")</f>
        <v>-1.40175729226282</v>
      </c>
      <c r="AV327" s="262">
        <f>IFERROR(IF(AND(COUNT(AR60,AS60,AT60,AU60)=4,(AR60+AS60+AT60+AU60)&lt;&gt;0),((N(AV203)+N(AV204)+N(AV205)+N(AV208)+N(AV226)+N(AV229))-N(AV135))/(AR60+AS60+AT60+AU60),""),"")</f>
        <v>-1.40175729226282</v>
      </c>
      <c r="AW327" s="262">
        <f>IFERROR(IF(AND(COUNT(AS60,AT60,AU60,AW60)=4,(AS60+AT60+AU60+AW60)&lt;&gt;0),((N(AW203)+N(AW204)+N(AW205)+N(AW208)+N(AW226)+N(AW229))-N(AW135))/(AS60+AT60+AU60+AW60),""),"")</f>
        <v>-1.7328199670426</v>
      </c>
      <c r="AX327" s="262">
        <f>IFERROR(IF(AND(COUNT(AT60,AU60,AW60,AX60)=4,(AT60+AU60+AW60+AX60)&lt;&gt;0),((N(AX203)+N(AX204)+N(AX205)+N(AX208)+N(AX226)+N(AX229))-N(AX135))/(AT60+AU60+AW60+AX60),""),"")</f>
        <v>-2.10648679768328</v>
      </c>
      <c r="AY327" s="262">
        <f>IFERROR(IF(AND(COUNT(AU60,AW60,AX60,AY60)=4,(AU60+AW60+AX60+AY60)&lt;&gt;0),((N(AY203)+N(AY204)+N(AY205)+N(AY208)+N(AY226)+N(AY229))-N(AY135))/(AU60+AW60+AX60+AY60),""),"")</f>
        <v>-2.54469130647816</v>
      </c>
      <c r="AZ327" s="262">
        <f>IFERROR(IF(AND(COUNT(AW60,AX60,AY60,AZ60)=4,(AW60+AX60+AY60+AZ60)&lt;&gt;0),((N(AZ203)+N(AZ204)+N(AZ205)+N(AZ208)+N(AZ226)+N(AZ229))-N(AZ135))/(AW60+AX60+AY60+AZ60),""),"")</f>
        <v>-3.03081405630359</v>
      </c>
      <c r="BA327" s="262">
        <f>IFERROR(IF(AND(COUNT(AW60,AX60,AY60,AZ60)=4,(AW60+AX60+AY60+AZ60)&lt;&gt;0),((N(BA203)+N(BA204)+N(BA205)+N(BA208)+N(BA226)+N(BA229))-N(BA135))/(AW60+AX60+AY60+AZ60),""),"")</f>
        <v>-3.03081405630359</v>
      </c>
      <c r="BB327" s="262">
        <f>IFERROR(IF(AND(COUNT(AX60,AY60,AZ60,BB60)=4,(AX60+AY60+AZ60+BB60)&lt;&gt;0),((N(BB203)+N(BB204)+N(BB205)+N(BB208)+N(BB226)+N(BB229))-N(BB135))/(AX60+AY60+AZ60+BB60),""),"")</f>
        <v>-3.62507955465797</v>
      </c>
      <c r="BC327" s="262">
        <f>IFERROR(IF(AND(COUNT(AY60,AZ60,BB60,BC60)=4,(AY60+AZ60+BB60+BC60)&lt;&gt;0),((N(BC203)+N(BC204)+N(BC205)+N(BC208)+N(BC226)+N(BC229))-N(BC135))/(AY60+AZ60+BB60+BC60),""),"")</f>
        <v>-4.3037152217791</v>
      </c>
      <c r="BD327" s="262">
        <f>IFERROR(IF(AND(COUNT(AZ60,BB60,BC60,BD60)=4,(AZ60+BB60+BC60+BD60)&lt;&gt;0),((N(BD203)+N(BD204)+N(BD205)+N(BD208)+N(BD226)+N(BD229))-N(BD135))/(AZ60+BB60+BC60+BD60),""),"")</f>
        <v>-5.09845662661702</v>
      </c>
      <c r="BE327" s="262">
        <f>IFERROR(IF(AND(COUNT(BB60,BC60,BD60,BE60)=4,(BB60+BC60+BD60+BE60)&lt;&gt;0),((N(BE203)+N(BE204)+N(BE205)+N(BE208)+N(BE226)+N(BE229))-N(BE135))/(BB60+BC60+BD60+BE60),""),"")</f>
        <v>-5.98510847400287</v>
      </c>
      <c r="BF327" s="262">
        <f>IFERROR(IF(AND(COUNT(BB60,BC60,BD60,BE60)=4,(BB60+BC60+BD60+BE60)&lt;&gt;0),((N(BF203)+N(BF204)+N(BF205)+N(BF208)+N(BF226)+N(BF229))-N(BF135))/(BB60+BC60+BD60+BE60),""),"")</f>
        <v>-5.98510847400287</v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83" t="inlineStr">
        <is>
          <t>NET DEBT (EX IFRS 16.) / EBITDA (LTM)</t>
        </is>
      </c>
      <c r="D328" s="82" t="str">
        <f>IFERROR(SUM((D203+D204+D208)-D135)/(D60*4),"")</f>
        <v/>
      </c>
      <c r="E328" s="82" t="str">
        <f>IFERROR(SUM((E203+E204+E208)-E135)/(E60*4),"")</f>
        <v/>
      </c>
      <c r="F328" s="82" t="str">
        <f>IFERROR(SUM((F203+F204+F208)-F135)/(F60*4),"")</f>
        <v/>
      </c>
      <c r="G328" s="82" t="str">
        <f>IFERROR(SUM((G203+G204+G208)-G135)/(G60*4),"")</f>
        <v/>
      </c>
      <c r="H328" s="262" t="str">
        <f>IFERROR(IF(AND(COUNT(H60)=1,(H60)&lt;&gt;0),((N(H203)+N(H204)+N(H208)+N(H229))-N(H135))/(H60),""),"")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IFERROR(IF(AND(COUNT(I60,J60,K60,L60)=4,(I60+J60+K60+L60)&lt;&gt;0),((N(L203)+N(L204)+N(L208)+N(L229))-N(L135))/(I60+J60+K60+L60),""),"")</f>
        <v>-0.877156432748538</v>
      </c>
      <c r="M328" s="262">
        <f>IFERROR(IF(AND(COUNT(I60,J60,K60,L60)=4,(I60+J60+K60+L60)&lt;&gt;0),((N(M203)+N(M204)+N(M208)+N(M229))-N(M135))/(I60+J60+K60+L60),""),"")</f>
        <v>-0.877156432748538</v>
      </c>
      <c r="N328" s="262">
        <f>IFERROR(IF(AND(COUNT(J60,K60,L60,N60)=4,(J60+K60+L60+N60)&lt;&gt;0),((N(N203)+N(N204)+N(N208)+N(N229))-N(N135))/(J60+K60+L60+N60),""),"")</f>
        <v>-0.843227665706052</v>
      </c>
      <c r="O328" s="262">
        <f>IFERROR(IF(AND(COUNT(K60,L60,N60,O60)=4,(K60+L60+N60+O60)&lt;&gt;0),((N(O203)+N(O204)+N(O208)+N(O229))-N(O135))/(K60+L60+N60+O60),""),"")</f>
        <v>-0.842923762335013</v>
      </c>
      <c r="P328" s="262">
        <f>IFERROR(IF(AND(COUNT(L60,N60,O60,P60)=4,(L60+N60+O60+P60)&lt;&gt;0),((N(P203)+N(P204)+N(P208)+N(P229))-N(P135))/(L60+N60+O60+P60),""),"")</f>
        <v>-0.733034173282706</v>
      </c>
      <c r="Q328" s="262">
        <f>IFERROR(IF(AND(COUNT(N60,O60,P60,Q60)=4,(N60+O60+P60+Q60)&lt;&gt;0),((N(Q203)+N(Q204)+N(Q208)+N(Q229))-N(Q135))/(N60+O60+P60+Q60),""),"")</f>
        <v>-0.818872737902261</v>
      </c>
      <c r="R328" s="262">
        <f>IFERROR(IF(AND(COUNT(N60,O60,P60,Q60)=4,(N60+O60+P60+Q60)&lt;&gt;0),((N(R203)+N(R204)+N(R208)+N(R229))-N(R135))/(N60+O60+P60+Q60),""),"")</f>
        <v>-0.818872737902261</v>
      </c>
      <c r="S328" s="262">
        <f>IFERROR(IF(AND(COUNT(O60,P60,Q60,S60)=4,(O60+P60+Q60+S60)&lt;&gt;0),((N(S203)+N(S204)+N(S208)+N(S229))-N(S135))/(O60+P60+Q60+S60),""),"")</f>
        <v>-0.749659419105226</v>
      </c>
      <c r="T328" s="262">
        <f>IFERROR(IF(AND(COUNT(P60,Q60,S60,T60)=4,(P60+Q60+S60+T60)&lt;&gt;0),((N(T203)+N(T204)+N(T208)+N(T229))-N(T135))/(P60+Q60+S60+T60),""),"")</f>
        <v>-0.913600833767587</v>
      </c>
      <c r="U328" s="262">
        <f>IFERROR(IF(AND(COUNT(Q60,S60,T60,U60)=4,(Q60+S60+T60+U60)&lt;&gt;0),((N(U203)+N(U204)+N(U208)+N(U229))-N(U135))/(Q60+S60+T60+U60),""),"")</f>
        <v>-0.906507168914906</v>
      </c>
      <c r="V328" s="262">
        <f>IFERROR(IF(AND(COUNT(S60,T60,U60,V60)=4,(S60+T60+U60+V60)&lt;&gt;0),((N(V203)+N(V204)+N(V208)+N(V229))-N(V135))/(S60+T60+U60+V60),""),"")</f>
        <v>-0.811648742426073</v>
      </c>
      <c r="W328" s="262">
        <f>IFERROR(IF(AND(COUNT(S60,T60,U60,V60)=4,(S60+T60+U60+V60)&lt;&gt;0),((N(W203)+N(W204)+N(W208)+N(W229))-N(W135))/(S60+T60+U60+V60),""),"")</f>
        <v>-0.811648742426073</v>
      </c>
      <c r="X328" s="262">
        <f>IFERROR(IF(AND(COUNT(T60,U60,V60,X60)=4,(T60+U60+V60+X60)&lt;&gt;0),((N(X203)+N(X204)+N(X208)+N(X229))-N(X135))/(T60+U60+V60+X60),""),"")</f>
        <v>-0.607817041456326</v>
      </c>
      <c r="Y328" s="262">
        <f>IFERROR(IF(AND(COUNT(U60,V60,X60,Y60)=4,(U60+V60+X60+Y60)&lt;&gt;0),((N(Y203)+N(Y204)+N(Y208)+N(Y229))-N(Y135))/(U60+V60+X60+Y60),""),"")</f>
        <v>-0.55249933879926</v>
      </c>
      <c r="Z328" s="262">
        <f>IFERROR(IF(AND(COUNT(V60,X60,Y60,Z60)=4,(V60+X60+Y60+Z60)&lt;&gt;0),((N(Z203)+N(Z204)+N(Z208)+N(Z229))-N(Z135))/(V60+X60+Y60+Z60),""),"")</f>
        <v>-0.549243561461447</v>
      </c>
      <c r="AA328" s="262">
        <f>IFERROR(IF(AND(COUNT(X60,Y60,Z60,AA60)=4,(X60+Y60+Z60+AA60)&lt;&gt;0),((N(AA203)+N(AA204)+N(AA208)+N(AA229))-N(AA135))/(X60+Y60+Z60+AA60),""),"")</f>
        <v>-0.57717638465073</v>
      </c>
      <c r="AB328" s="262">
        <f>IFERROR(IF(AND(COUNT(X60,Y60,Z60,AA60)=4,(X60+Y60+Z60+AA60)&lt;&gt;0),((N(AB203)+N(AB204)+N(AB208)+N(AB229))-N(AB135))/(X60+Y60+Z60+AA60),""),"")</f>
        <v>-0.57717638465073</v>
      </c>
      <c r="AC328" s="262">
        <f>IFERROR(IF(AND(COUNT(Y60,Z60,AA60,AC60)=4,(Y60+Z60+AA60+AC60)&lt;&gt;0),((N(AC203)+N(AC204)+N(AC208)+N(AC229))-N(AC135))/(Y60+Z60+AA60+AC60),""),"")</f>
        <v>-0.464449181063496</v>
      </c>
      <c r="AD328" s="262">
        <f>IFERROR(IF(AND(COUNT(Z60,AA60,AC60,AD60)=4,(Z60+AA60+AC60+AD60)&lt;&gt;0),((N(AD203)+N(AD204)+N(AD208)+N(AD229))-N(AD135))/(Z60+AA60+AC60+AD60),""),"")</f>
        <v>-0.191106361131194</v>
      </c>
      <c r="AE328" s="262">
        <f>IFERROR(IF(AND(COUNT(AA60,AC60,AD60,AE60)=4,(AA60+AC60+AD60+AE60)&lt;&gt;0),((N(AE203)+N(AE204)+N(AE208)+N(AE229))-N(AE135))/(AA60+AC60+AD60+AE60),""),"")</f>
        <v>-0.156830052229811</v>
      </c>
      <c r="AF328" s="262">
        <f>IFERROR(IF(AND(COUNT(AB60,AD60,AE60,AF60)=4,(AB60+AD60+AE60+AF60)&lt;&gt;0),((N(AF203)+N(AF204)+N(AF208)+N(AF229))-N(AF135))/(AB60+AD60+AE60+AF60),""),"")</f>
        <v>-0.138209710006412</v>
      </c>
      <c r="AG328" s="262">
        <f>IFERROR(IF(AND(COUNT(AC60,AD60,AE60,AF60)=4,(AC60+AD60+AE60+AF60)&lt;&gt;0),((N(AG203)+N(AG204)+N(AG208)+N(AG229))-N(AG135))/(AC60+AD60+AE60+AF60),""),"")</f>
        <v>-0.224237427864798</v>
      </c>
      <c r="AH328" s="262">
        <f>IFERROR(IF(AND(COUNT(AD60,AF60,AG60,AH60)=4,(AD60+AF60+AG60+AH60)&lt;&gt;0),((N(AH203)+N(AH204)+N(AH208)+N(AH229))-N(AH135))/(AD60+AF60+AG60+AH60),""),"")</f>
        <v>-0.120795683406748</v>
      </c>
      <c r="AI328" s="262">
        <f>IFERROR(IF(AND(COUNT(AE60,AG60,AH60,AI60)=4,(AE60+AG60+AH60+AI60)&lt;&gt;0),((N(AI203)+N(AI204)+N(AI208)+N(AI229))-N(AI135))/(AE60+AG60+AH60+AI60),""),"")</f>
        <v>-0.0363632354238335</v>
      </c>
      <c r="AJ328" s="262">
        <f>IFERROR(IF(AND(COUNT(AF60,AH60,AI60,AJ60)=4,(AF60+AH60+AI60+AJ60)&lt;&gt;0),((N(AJ203)+N(AJ204)+N(AJ208)+N(AJ229))-N(AJ135))/(AF60+AH60+AI60+AJ60),""),"")</f>
        <v>-0.115546965598599</v>
      </c>
      <c r="AK328" s="262">
        <f>IFERROR(IF(AND(COUNT(AH60,AI60,AJ60,AK60)=4,(AH60+AI60+AJ60+AK60)&lt;&gt;0),((N(AK203)+N(AK204)+N(AK208)+N(AK229))-N(AK135))/(AH60+AI60+AJ60+AK60),""),"")</f>
        <v>-0.194178883399525</v>
      </c>
      <c r="AL328" s="262">
        <f>IFERROR(IF(AND(COUNT(AH60,AI60,AJ60,AK60)=4,(AH60+AI60+AJ60+AK60)&lt;&gt;0),((N(AL203)+N(AL204)+N(AL208)+N(AL229))-N(AL135))/(AH60+AI60+AJ60+AK60),""),"")</f>
        <v>-0.194178883399525</v>
      </c>
      <c r="AM328" s="262">
        <f>IFERROR(IF(AND(COUNT(AI60,AJ60,AK60,AM60)=4,(AI60+AJ60+AK60+AM60)&lt;&gt;0),((N(AM203)+N(AM204)+N(AM208)+N(AM229))-N(AM135))/(AI60+AJ60+AK60+AM60),""),"")</f>
        <v>-0.303716074024706</v>
      </c>
      <c r="AN328" s="262">
        <f>IFERROR(IF(AND(COUNT(AJ60,AK60,AM60,AN60)=4,(AJ60+AK60+AM60+AN60)&lt;&gt;0),((N(AN203)+N(AN204)+N(AN208)+N(AN229))-N(AN135))/(AJ60+AK60+AM60+AN60),""),"")</f>
        <v>-0.403690094585794</v>
      </c>
      <c r="AO328" s="262">
        <f>IFERROR(IF(AND(COUNT(AK60,AM60,AN60,AO60)=4,(AK60+AM60+AN60+AO60)&lt;&gt;0),((N(AO203)+N(AO204)+N(AO208)+N(AO229))-N(AO135))/(AK60+AM60+AN60+AO60),""),"")</f>
        <v>-0.534554780071753</v>
      </c>
      <c r="AP328" s="262">
        <f>IFERROR(IF(AND(COUNT(AM60,AN60,AO60,AP60)=4,(AM60+AN60+AO60+AP60)&lt;&gt;0),((N(AP203)+N(AP204)+N(AP208)+N(AP229))-N(AP135))/(AM60+AN60+AO60+AP60),""),"")</f>
        <v>-0.674133039754638</v>
      </c>
      <c r="AQ328" s="262">
        <f>IFERROR(IF(AND(COUNT(AM60,AN60,AO60,AP60)=4,(AM60+AN60+AO60+AP60)&lt;&gt;0),((N(AQ203)+N(AQ204)+N(AQ208)+N(AQ229))-N(AQ135))/(AM60+AN60+AO60+AP60),""),"")</f>
        <v>-0.674133039754638</v>
      </c>
      <c r="AR328" s="262">
        <f>IFERROR(IF(AND(COUNT(AN60,AO60,AP60,AR60)=4,(AN60+AO60+AP60+AR60)&lt;&gt;0),((N(AR203)+N(AR204)+N(AR208)+N(AR229))-N(AR135))/(AN60+AO60+AP60+AR60),""),"")</f>
        <v>-0.855180553553069</v>
      </c>
      <c r="AS328" s="262">
        <f>IFERROR(IF(AND(COUNT(AO60,AP60,AR60,AS60)=4,(AO60+AP60+AR60+AS60)&lt;&gt;0),((N(AS203)+N(AS204)+N(AS208)+N(AS229))-N(AS135))/(AO60+AP60+AR60+AS60),""),"")</f>
        <v>-1.05418231588765</v>
      </c>
      <c r="AT328" s="262">
        <f>IFERROR(IF(AND(COUNT(AP60,AR60,AS60,AT60)=4,(AP60+AR60+AS60+AT60)&lt;&gt;0),((N(AT203)+N(AT204)+N(AT208)+N(AT229))-N(AT135))/(AP60+AR60+AS60+AT60),""),"")</f>
        <v>-1.28995003860207</v>
      </c>
      <c r="AU328" s="262">
        <f>IFERROR(IF(AND(COUNT(AR60,AS60,AT60,AU60)=4,(AR60+AS60+AT60+AU60)&lt;&gt;0),((N(AU203)+N(AU204)+N(AU208)+N(AU229))-N(AU135))/(AR60+AS60+AT60+AU60),""),"")</f>
        <v>-1.54835775019807</v>
      </c>
      <c r="AV328" s="262">
        <f>IFERROR(IF(AND(COUNT(AR60,AS60,AT60,AU60)=4,(AR60+AS60+AT60+AU60)&lt;&gt;0),((N(AV203)+N(AV204)+N(AV208)+N(AV229))-N(AV135))/(AR60+AS60+AT60+AU60),""),"")</f>
        <v>-1.54835775019807</v>
      </c>
      <c r="AW328" s="262">
        <f>IFERROR(IF(AND(COUNT(AS60,AT60,AU60,AW60)=4,(AS60+AT60+AU60+AW60)&lt;&gt;0),((N(AW203)+N(AW204)+N(AW208)+N(AW229))-N(AW135))/(AS60+AT60+AU60+AW60),""),"")</f>
        <v>-1.87212424307729</v>
      </c>
      <c r="AX328" s="262">
        <f>IFERROR(IF(AND(COUNT(AT60,AU60,AW60,AX60)=4,(AT60+AU60+AW60+AX60)&lt;&gt;0),((N(AX203)+N(AX204)+N(AX208)+N(AX229))-N(AX135))/(AT60+AU60+AW60+AX60),""),"")</f>
        <v>-2.23868696167747</v>
      </c>
      <c r="AY328" s="262">
        <f>IFERROR(IF(AND(COUNT(AU60,AW60,AX60,AY60)=4,(AU60+AW60+AX60+AY60)&lt;&gt;0),((N(AY203)+N(AY204)+N(AY208)+N(AY229))-N(AY135))/(AU60+AW60+AX60+AY60),""),"")</f>
        <v>-2.67016184831305</v>
      </c>
      <c r="AZ328" s="262">
        <f>IFERROR(IF(AND(COUNT(AW60,AX60,AY60,AZ60)=4,(AW60+AX60+AY60+AZ60)&lt;&gt;0),((N(AZ203)+N(AZ204)+N(AZ208)+N(AZ229))-N(AZ135))/(AW60+AX60+AY60+AZ60),""),"")</f>
        <v>-3.1492384793624</v>
      </c>
      <c r="BA328" s="262">
        <f>IFERROR(IF(AND(COUNT(AW60,AX60,AY60,AZ60)=4,(AW60+AX60+AY60+AZ60)&lt;&gt;0),((N(BA203)+N(BA204)+N(BA208)+N(BA229))-N(BA135))/(AW60+AX60+AY60+AZ60),""),"")</f>
        <v>-3.1492384793624</v>
      </c>
      <c r="BB328" s="262">
        <f>IFERROR(IF(AND(COUNT(AX60,AY60,AZ60,BB60)=4,(AX60+AY60+AZ60+BB60)&lt;&gt;0),((N(BB203)+N(BB204)+N(BB208)+N(BB229))-N(BB135))/(AX60+AY60+AZ60+BB60),""),"")</f>
        <v>-3.73772791279622</v>
      </c>
      <c r="BC328" s="262">
        <f>IFERROR(IF(AND(COUNT(AY60,AZ60,BB60,BC60)=4,(AY60+AZ60+BB60+BC60)&lt;&gt;0),((N(BC203)+N(BC204)+N(BC208)+N(BC229))-N(BC135))/(AY60+AZ60+BB60+BC60),""),"")</f>
        <v>-4.41072793470241</v>
      </c>
      <c r="BD328" s="262">
        <f>IFERROR(IF(AND(COUNT(AZ60,BB60,BC60,BD60)=4,(AZ60+BB60+BC60+BD60)&lt;&gt;0),((N(BD203)+N(BD204)+N(BD208)+N(BD229))-N(BD135))/(AZ60+BB60+BC60+BD60),""),"")</f>
        <v>-5.20012015582753</v>
      </c>
      <c r="BE328" s="262">
        <f>IFERROR(IF(AND(COUNT(BB60,BC60,BD60,BE60)=4,(BB60+BC60+BD60+BE60)&lt;&gt;0),((N(BE203)+N(BE204)+N(BE208)+N(BE229))-N(BE135))/(BB60+BC60+BD60+BE60),""),"")</f>
        <v>-6.08116014049201</v>
      </c>
      <c r="BF328" s="262">
        <f>IFERROR(IF(AND(COUNT(BB60,BC60,BD60,BE60)=4,(BB60+BC60+BD60+BE60)&lt;&gt;0),((N(BF203)+N(BF204)+N(BF208)+N(BF229))-N(BF135))/(BB60+BC60+BD60+BE60),""),"")</f>
        <v>-6.08116014049201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INTEREST COVERAGE (EBIT / INTEREST, LTM)</t>
        </is>
      </c>
      <c r="D329" s="82" t="str">
        <f>IFERROR(D64/-D65,"")</f>
        <v/>
      </c>
      <c r="E329" s="82" t="str">
        <f>IFERROR(E64/-E65,"")</f>
        <v/>
      </c>
      <c r="F329" s="82" t="str">
        <f>IFERROR(F64/-F65,"")</f>
        <v/>
      </c>
      <c r="G329" s="82" t="str">
        <f>IFERROR(G64/-G65,"")</f>
        <v/>
      </c>
      <c r="H329" s="262" t="str">
        <f>IFERROR(IF(AND(COUNT(H64)=1,(H65)&lt;&gt;0),(H64)/-(H65),""),"")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 t="str">
        <f>IFERROR(IF(AND(COUNT(I64,J64,K64,L64)=4,(I65+J65+K65+L65)&lt;&gt;0),(I64+J64+K64+L64)/-(I65+J65+K65+L65),""),"")</f>
        <v/>
      </c>
      <c r="M329" s="262" t="str">
        <f>IFERROR(IF(AND(COUNT(I64,J64,K64,L64)=4,(I65+J65+K65+L65)&lt;&gt;0),(I64+J64+K64+L64)/-(I65+J65+K65+L65),""),"")</f>
        <v/>
      </c>
      <c r="N329" s="262" t="str">
        <f>IFERROR(IF(AND(COUNT(J64,K64,L64,N64)=4,(J65+K65+L65+N65)&lt;&gt;0),(J64+K64+L64+N64)/-(J65+K65+L65+N65),""),"")</f>
        <v/>
      </c>
      <c r="O329" s="262" t="str">
        <f>IFERROR(IF(AND(COUNT(K64,L64,N64,O64)=4,(K65+L65+N65+O65)&lt;&gt;0),(K64+L64+N64+O64)/-(K65+L65+N65+O65),""),"")</f>
        <v/>
      </c>
      <c r="P329" s="262" t="str">
        <f>IFERROR(IF(AND(COUNT(L64,N64,O64,P64)=4,(L65+N65+O65+P65)&lt;&gt;0),(L64+N64+O64+P64)/-(L65+N65+O65+P65),""),"")</f>
        <v/>
      </c>
      <c r="Q329" s="262" t="str">
        <f>IFERROR(IF(AND(COUNT(N64,O64,P64,Q64)=4,(N65+O65+P65+Q65)&lt;&gt;0),(N64+O64+P64+Q64)/-(N65+O65+P65+Q65),""),"")</f>
        <v/>
      </c>
      <c r="R329" s="262" t="str">
        <f>IFERROR(IF(AND(COUNT(N64,O64,P64,Q64)=4,(N65+O65+P65+Q65)&lt;&gt;0),(N64+O64+P64+Q64)/-(N65+O65+P65+Q65),""),"")</f>
        <v/>
      </c>
      <c r="S329" s="262">
        <f>IFERROR(IF(AND(COUNT(O64,P64,Q64,S64)=4,(O65+P65+Q65+S65)&lt;&gt;0),(O64+P64+Q64+S64)/-(O65+P65+Q65+S65),""),"")</f>
        <v>564.244897959184</v>
      </c>
      <c r="T329" s="262">
        <f>IFERROR(IF(AND(COUNT(P64,Q64,S64,T64)=4,(P65+Q65+S65+T65)&lt;&gt;0),(P64+Q64+S64+T64)/-(P65+Q65+S65+T65),""),"")</f>
        <v>180.389937106918</v>
      </c>
      <c r="U329" s="262">
        <f>IFERROR(IF(AND(COUNT(Q64,S64,T64,U64)=4,(Q65+S65+T65+U65)&lt;&gt;0),(Q64+S64+T64+U64)/-(Q65+S65+T65+U65),""),"")</f>
        <v>126.343642611684</v>
      </c>
      <c r="V329" s="262">
        <f>IFERROR(IF(AND(COUNT(S64,T64,U64,V64)=4,(S65+T65+U65+V65)&lt;&gt;0),(S64+T64+U64+V64)/-(S65+T65+U65+V65),""),"")</f>
        <v>104.822869955157</v>
      </c>
      <c r="W329" s="262">
        <f>IFERROR(IF(AND(COUNT(S64,T64,U64,V64)=4,(S65+T65+U65+V65)&lt;&gt;0),(S64+T64+U64+V64)/-(S65+T65+U65+V65),""),"")</f>
        <v>104.822869955157</v>
      </c>
      <c r="X329" s="262">
        <f>IFERROR(IF(AND(COUNT(T64,U64,V64,X64)=4,(T65+U65+V65+X65)&lt;&gt;0),(T64+U64+V64+X64)/-(T65+U65+V65+X65),""),"")</f>
        <v>134.362720403023</v>
      </c>
      <c r="Y329" s="262">
        <f>IFERROR(IF(AND(COUNT(U64,V64,X64,Y64)=4,(U65+V65+X65+Y65)&lt;&gt;0),(U64+V64+X64+Y64)/-(U65+V65+X65+Y65),""),"")</f>
        <v>204.867595818815</v>
      </c>
      <c r="Z329" s="262">
        <f>IFERROR(IF(AND(COUNT(V64,X64,Y64,Z64)=4,(V65+X65+Y65+Z65)&lt;&gt;0),(V64+X64+Y64+Z64)/-(V65+X65+Y65+Z65),""),"")</f>
        <v>175.771830985916</v>
      </c>
      <c r="AA329" s="262">
        <f>IFERROR(IF(AND(COUNT(X64,Y64,Z64,AA64)=4,(X65+Y65+Z65+AA65)&lt;&gt;0),(X64+Y64+Z64+AA64)/-(X65+Y65+Z65+AA65),""),"")</f>
        <v>146.061052631579</v>
      </c>
      <c r="AB329" s="262">
        <f>IFERROR(IF(AND(COUNT(X64,Y64,Z64,AA64)=4,(X65+Y65+Z65+AA65)&lt;&gt;0),(X64+Y64+Z64+AA64)/-(X65+Y65+Z65+AA65),""),"")</f>
        <v>146.061052631579</v>
      </c>
      <c r="AC329" s="262">
        <f>IFERROR(IF(AND(COUNT(Y64,Z64,AA64,AC64)=4,(Y65+Z65+AA65+AC65)&lt;&gt;0),(Y64+Z64+AA64+AC64)/-(Y65+Z65+AA65+AC65),""),"")</f>
        <v>153.928421052632</v>
      </c>
      <c r="AD329" s="262">
        <f>IFERROR(IF(AND(COUNT(Z64,AA64,AC64,AD64)=4,(Z65+AA65+AC65+AD65)&lt;&gt;0),(Z64+AA64+AC64+AD64)/-(Z65+AA65+AC65+AD65),""),"")</f>
        <v>111.329561527581</v>
      </c>
      <c r="AE329" s="262">
        <f>IFERROR(IF(AND(COUNT(AA64,AC64,AD64,AE64)=4,(AA65+AC65+AD65+AE65)&lt;&gt;0),(AA64+AC64+AD64+AE64)/-(AA65+AC65+AD65+AE65),""),"")</f>
        <v>161.528599605523</v>
      </c>
      <c r="AF329" s="262">
        <f>IFERROR(IF(AND(COUNT(AB64,AD64,AE64,AF64)=4,(AB65+AD65+AE65+AF65)&lt;&gt;0),(AB64+AD64+AE64+AF64)/-(AB65+AD65+AE65+AF65),""),"")</f>
        <v>191.089108910891</v>
      </c>
      <c r="AG329" s="262">
        <f>IFERROR(IF(AND(COUNT(AC64,AD64,AE64,AF64)=4,(AC65+AD65+AE65+AF65)&lt;&gt;0),(AC64+AD64+AE64+AF64)/-(AC65+AD65+AE65+AF65),""),"")</f>
        <v>358.948275862069</v>
      </c>
      <c r="AH329" s="262">
        <f>IFERROR(IF(AND(COUNT(AD64,AF64,AG64,AH64)=4,(AD65+AF65+AG65+AH65)&lt;&gt;0),(AD64+AF64+AG64+AH64)/-(AD65+AF65+AG65+AH65),""),"")</f>
        <v>326.150862068966</v>
      </c>
      <c r="AI329" s="262">
        <f>IFERROR(IF(AND(COUNT(AE64,AG64,AH64,AI64)=4,(AE65+AG65+AH65+AI65)&lt;&gt;0),(AE64+AG64+AH64+AI64)/-(AE65+AG65+AH65+AI65),""),"")</f>
        <v>147.523326572008</v>
      </c>
      <c r="AJ329" s="262" t="str">
        <f>IFERROR(IF(AND(COUNT(AF64,AH64,AI64,AJ64)=4,(AF65+AH65+AI65+AJ65)&lt;&gt;0),(AF64+AH64+AI64+AJ64)/-(AF65+AH65+AI65+AJ65),""),"")</f>
        <v/>
      </c>
      <c r="AK329" s="262" t="str">
        <f>IFERROR(IF(AND(COUNT(AH64,AI64,AJ64,AK64)=4,(AH65+AI65+AJ65+AK65)&lt;&gt;0),(AH64+AI64+AJ64+AK64)/-(AH65+AI65+AJ65+AK65),""),"")</f>
        <v/>
      </c>
      <c r="AL329" s="262" t="str">
        <f>IFERROR(IF(AND(COUNT(AH64,AI64,AJ64,AK64)=4,(AH65+AI65+AJ65+AK65)&lt;&gt;0),(AH64+AI64+AJ64+AK64)/-(AH65+AI65+AJ65+AK65),""),"")</f>
        <v/>
      </c>
      <c r="AM329" s="262" t="str">
        <f>IFERROR(IF(AND(COUNT(AI64,AJ64,AK64,AM64)=4,(AI65+AJ65+AK65+AM65)&lt;&gt;0),(AI64+AJ64+AK64+AM64)/-(AI65+AJ65+AK65+AM65),""),"")</f>
        <v/>
      </c>
      <c r="AN329" s="262" t="str">
        <f>IFERROR(IF(AND(COUNT(AJ64,AK64,AM64,AN64)=4,(AJ65+AK65+AM65+AN65)&lt;&gt;0),(AJ64+AK64+AM64+AN64)/-(AJ65+AK65+AM65+AN65),""),"")</f>
        <v/>
      </c>
      <c r="AO329" s="262" t="str">
        <f>IFERROR(IF(AND(COUNT(AK64,AM64,AN64,AO64)=4,(AK65+AM65+AN65+AO65)&lt;&gt;0),(AK64+AM64+AN64+AO64)/-(AK65+AM65+AN65+AO65),""),"")</f>
        <v/>
      </c>
      <c r="AP329" s="262" t="str">
        <f>IFERROR(IF(AND(COUNT(AM64,AN64,AO64,AP64)=4,(AM65+AN65+AO65+AP65)&lt;&gt;0),(AM64+AN64+AO64+AP64)/-(AM65+AN65+AO65+AP65),""),"")</f>
        <v/>
      </c>
      <c r="AQ329" s="262" t="str">
        <f>IFERROR(IF(AND(COUNT(AM64,AN64,AO64,AP64)=4,(AM65+AN65+AO65+AP65)&lt;&gt;0),(AM64+AN64+AO64+AP64)/-(AM65+AN65+AO65+AP65),""),"")</f>
        <v/>
      </c>
      <c r="AR329" s="262" t="str">
        <f>IFERROR(IF(AND(COUNT(AN64,AO64,AP64,AR64)=4,(AN65+AO65+AP65+AR65)&lt;&gt;0),(AN64+AO64+AP64+AR64)/-(AN65+AO65+AP65+AR65),""),"")</f>
        <v/>
      </c>
      <c r="AS329" s="262" t="str">
        <f>IFERROR(IF(AND(COUNT(AO64,AP64,AR64,AS64)=4,(AO65+AP65+AR65+AS65)&lt;&gt;0),(AO64+AP64+AR64+AS64)/-(AO65+AP65+AR65+AS65),""),"")</f>
        <v/>
      </c>
      <c r="AT329" s="262" t="str">
        <f>IFERROR(IF(AND(COUNT(AP64,AR64,AS64,AT64)=4,(AP65+AR65+AS65+AT65)&lt;&gt;0),(AP64+AR64+AS64+AT64)/-(AP65+AR65+AS65+AT65),""),"")</f>
        <v/>
      </c>
      <c r="AU329" s="262" t="str">
        <f>IFERROR(IF(AND(COUNT(AR64,AS64,AT64,AU64)=4,(AR65+AS65+AT65+AU65)&lt;&gt;0),(AR64+AS64+AT64+AU64)/-(AR65+AS65+AT65+AU65),""),"")</f>
        <v/>
      </c>
      <c r="AV329" s="262" t="str">
        <f>IFERROR(IF(AND(COUNT(AR64,AS64,AT64,AU64)=4,(AR65+AS65+AT65+AU65)&lt;&gt;0),(AR64+AS64+AT64+AU64)/-(AR65+AS65+AT65+AU65),""),"")</f>
        <v/>
      </c>
      <c r="AW329" s="262" t="str">
        <f>IFERROR(IF(AND(COUNT(AS64,AT64,AU64,AW64)=4,(AS65+AT65+AU65+AW65)&lt;&gt;0),(AS64+AT64+AU64+AW64)/-(AS65+AT65+AU65+AW65),""),"")</f>
        <v/>
      </c>
      <c r="AX329" s="262" t="str">
        <f>IFERROR(IF(AND(COUNT(AT64,AU64,AW64,AX64)=4,(AT65+AU65+AW65+AX65)&lt;&gt;0),(AT64+AU64+AW64+AX64)/-(AT65+AU65+AW65+AX65),""),"")</f>
        <v/>
      </c>
      <c r="AY329" s="262" t="str">
        <f>IFERROR(IF(AND(COUNT(AU64,AW64,AX64,AY64)=4,(AU65+AW65+AX65+AY65)&lt;&gt;0),(AU64+AW64+AX64+AY64)/-(AU65+AW65+AX65+AY65),""),"")</f>
        <v/>
      </c>
      <c r="AZ329" s="262" t="str">
        <f>IFERROR(IF(AND(COUNT(AW64,AX64,AY64,AZ64)=4,(AW65+AX65+AY65+AZ65)&lt;&gt;0),(AW64+AX64+AY64+AZ64)/-(AW65+AX65+AY65+AZ65),""),"")</f>
        <v/>
      </c>
      <c r="BA329" s="262" t="str">
        <f>IFERROR(IF(AND(COUNT(AW64,AX64,AY64,AZ64)=4,(AW65+AX65+AY65+AZ65)&lt;&gt;0),(AW64+AX64+AY64+AZ64)/-(AW65+AX65+AY65+AZ65),""),"")</f>
        <v/>
      </c>
      <c r="BB329" s="262" t="str">
        <f>IFERROR(IF(AND(COUNT(AX64,AY64,AZ64,BB64)=4,(AX65+AY65+AZ65+BB65)&lt;&gt;0),(AX64+AY64+AZ64+BB64)/-(AX65+AY65+AZ65+BB65),""),"")</f>
        <v/>
      </c>
      <c r="BC329" s="262" t="str">
        <f>IFERROR(IF(AND(COUNT(AY64,AZ64,BB64,BC64)=4,(AY65+AZ65+BB65+BC65)&lt;&gt;0),(AY64+AZ64+BB64+BC64)/-(AY65+AZ65+BB65+BC65),""),"")</f>
        <v/>
      </c>
      <c r="BD329" s="262" t="str">
        <f>IFERROR(IF(AND(COUNT(AZ64,BB64,BC64,BD64)=4,(AZ65+BB65+BC65+BD65)&lt;&gt;0),(AZ64+BB64+BC64+BD64)/-(AZ65+BB65+BC65+BD65),""),"")</f>
        <v/>
      </c>
      <c r="BE329" s="262" t="str">
        <f>IFERROR(IF(AND(COUNT(BB64,BC64,BD64,BE64)=4,(BB65+BC65+BD65+BE65)&lt;&gt;0),(BB64+BC64+BD64+BE64)/-(BB65+BC65+BD65+BE65),""),"")</f>
        <v/>
      </c>
      <c r="BF329" s="262" t="str">
        <f>IFERROR(IF(AND(COUNT(BB64,BC64,BD64,BE64)=4,(BB65+BC65+BD65+BE65)&lt;&gt;0),(BB64+BC64+BD64+BE64)/-(BB65+BC65+BD65+BE65),""),"")</f>
        <v/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</row>
    <row r="331" customFormat="1" s="77">
      <c r="A331" s="76" t="n"/>
      <c r="B331" s="76" t="n"/>
      <c r="C331" s="74" t="inlineStr">
        <is>
          <t>INTERNAL LIQUIDITY</t>
        </is>
      </c>
    </row>
    <row r="332" customFormat="1" s="77">
      <c r="A332" s="76" t="n"/>
      <c r="B332" s="76" t="n"/>
      <c r="C332" s="77" t="inlineStr">
        <is>
          <t>CURRENT RATIO</t>
        </is>
      </c>
      <c r="D332" s="82" t="str">
        <f>IFERROR(SUM(D135,D136,D140,D144,D145,D146)/SUM(D189,D193,D195,D196),"")</f>
        <v/>
      </c>
      <c r="E332" s="82" t="str">
        <f>IFERROR(SUM(E135,E136,E140,E144,E145,E146)/SUM(E189,E193,E195,E196),"")</f>
        <v/>
      </c>
      <c r="F332" s="82" t="str">
        <f>IFERROR(SUM(F135,F136,F140,F144,F145,F146)/SUM(F189,F193,F195,F196),"")</f>
        <v/>
      </c>
      <c r="G332" s="82" t="str">
        <f>IFERROR(SUM(G135,G136,G140,G144,G145,G146)/SUM(G189,G193,G195,G196),"")</f>
        <v/>
      </c>
      <c r="H332" s="262" t="str">
        <f>IFERROR(IF((N(H189)+N(H193)+N(H195)+N(H196)+N(H203)+N(H204)+N(H205))&lt;&gt;0,(N(H135)+(N(H136)+N(H140)+N(H144)+N(H145)+N(H146)))/(N(H189)+N(H193)+N(H195)+N(H196)+N(H203)+N(H204)+N(H205)),""),"")</f>
        <v/>
      </c>
      <c r="I332" s="262">
        <f>IFERROR(IF((N(I189)+N(I193)+N(I195)+N(I196)+N(I203)+N(I204)+N(I205))&lt;&gt;0,(N(I135)+(N(I136)+N(I140)+N(I144)+N(I145)+N(I146)))/(N(I189)+N(I193)+N(I195)+N(I196)+N(I203)+N(I204)+N(I205)),""),"")</f>
        <v>6.08020759613116</v>
      </c>
      <c r="J332" s="262">
        <f>IFERROR(IF((N(J189)+N(J193)+N(J195)+N(J196)+N(J203)+N(J204)+N(J205))&lt;&gt;0,(N(J135)+(N(J136)+N(J140)+N(J144)+N(J145)+N(J146)))/(N(J189)+N(J193)+N(J195)+N(J196)+N(J203)+N(J204)+N(J205)),""),"")</f>
        <v>5.42537313432836</v>
      </c>
      <c r="K332" s="262">
        <f>IFERROR(IF((N(K189)+N(K193)+N(K195)+N(K196)+N(K203)+N(K204)+N(K205))&lt;&gt;0,(N(K135)+(N(K136)+N(K140)+N(K144)+N(K145)+N(K146)))/(N(K189)+N(K193)+N(K195)+N(K196)+N(K203)+N(K204)+N(K205)),""),"")</f>
        <v>4.23428026049854</v>
      </c>
      <c r="L332" s="262">
        <f>IFERROR(IF((N(L189)+N(L193)+N(L195)+N(L196)+N(L203)+N(L204)+N(L205))&lt;&gt;0,(N(L135)+(N(L136)+N(L140)+N(L144)+N(L145)+N(L146)))/(N(L189)+N(L193)+N(L195)+N(L196)+N(L203)+N(L204)+N(L205)),""),"")</f>
        <v>3.15429382540809</v>
      </c>
      <c r="M332" s="262">
        <f>IFERROR(IF((N(M189)+N(M193)+N(M195)+N(M196)+N(M203)+N(M204)+N(M205))&lt;&gt;0,(N(M135)+(N(M136)+N(M140)+N(M144)+N(M145)+N(M146)))/(N(M189)+N(M193)+N(M195)+N(M196)+N(M203)+N(M204)+N(M205)),""),"")</f>
        <v>3.15429382540809</v>
      </c>
      <c r="N332" s="262">
        <f>IFERROR(IF((N(N189)+N(N193)+N(N195)+N(N196)+N(N203)+N(N204)+N(N205))&lt;&gt;0,(N(N135)+(N(N136)+N(N140)+N(N144)+N(N145)+N(N146)))/(N(N189)+N(N193)+N(N195)+N(N196)+N(N203)+N(N204)+N(N205)),""),"")</f>
        <v>2.8106326472541</v>
      </c>
      <c r="O332" s="262">
        <f>IFERROR(IF((N(O189)+N(O193)+N(O195)+N(O196)+N(O203)+N(O204)+N(O205))&lt;&gt;0,(N(O135)+(N(O136)+N(O140)+N(O144)+N(O145)+N(O146)))/(N(O189)+N(O193)+N(O195)+N(O196)+N(O203)+N(O204)+N(O205)),""),"")</f>
        <v>2.5200072016924</v>
      </c>
      <c r="P332" s="262">
        <f>IFERROR(IF((N(P189)+N(P193)+N(P195)+N(P196)+N(P203)+N(P204)+N(P205))&lt;&gt;0,(N(P135)+(N(P136)+N(P140)+N(P144)+N(P145)+N(P146)))/(N(P189)+N(P193)+N(P195)+N(P196)+N(P203)+N(P204)+N(P205)),""),"")</f>
        <v>2.57041477498127</v>
      </c>
      <c r="Q332" s="262">
        <f>IFERROR(IF((N(Q189)+N(Q193)+N(Q195)+N(Q196)+N(Q203)+N(Q204)+N(Q205))&lt;&gt;0,(N(Q135)+(N(Q136)+N(Q140)+N(Q144)+N(Q145)+N(Q146)))/(N(Q189)+N(Q193)+N(Q195)+N(Q196)+N(Q203)+N(Q204)+N(Q205)),""),"")</f>
        <v>2.20339672907571</v>
      </c>
      <c r="R332" s="262">
        <f>IFERROR(IF((N(R189)+N(R193)+N(R195)+N(R196)+N(R203)+N(R204)+N(R205))&lt;&gt;0,(N(R135)+(N(R136)+N(R140)+N(R144)+N(R145)+N(R146)))/(N(R189)+N(R193)+N(R195)+N(R196)+N(R203)+N(R204)+N(R205)),""),"")</f>
        <v>2.20339672907571</v>
      </c>
      <c r="S332" s="262">
        <f>IFERROR(IF((N(S189)+N(S193)+N(S195)+N(S196)+N(S203)+N(S204)+N(S205))&lt;&gt;0,(N(S135)+(N(S136)+N(S140)+N(S144)+N(S145)+N(S146)))/(N(S189)+N(S193)+N(S195)+N(S196)+N(S203)+N(S204)+N(S205)),""),"")</f>
        <v>2.06780662700445</v>
      </c>
      <c r="T332" s="262">
        <f>IFERROR(IF((N(T189)+N(T193)+N(T195)+N(T196)+N(T203)+N(T204)+N(T205))&lt;&gt;0,(N(T135)+(N(T136)+N(T140)+N(T144)+N(T145)+N(T146)))/(N(T189)+N(T193)+N(T195)+N(T196)+N(T203)+N(T204)+N(T205)),""),"")</f>
        <v>2.32478861000635</v>
      </c>
      <c r="U332" s="262">
        <f>IFERROR(IF((N(U189)+N(U193)+N(U195)+N(U196)+N(U203)+N(U204)+N(U205))&lt;&gt;0,(N(U135)+(N(U136)+N(U140)+N(U144)+N(U145)+N(U146)))/(N(U189)+N(U193)+N(U195)+N(U196)+N(U203)+N(U204)+N(U205)),""),"")</f>
        <v>2.56716124594674</v>
      </c>
      <c r="V332" s="262">
        <f>IFERROR(IF((N(V189)+N(V193)+N(V195)+N(V196)+N(V203)+N(V204)+N(V205))&lt;&gt;0,(N(V135)+(N(V136)+N(V140)+N(V144)+N(V145)+N(V146)))/(N(V189)+N(V193)+N(V195)+N(V196)+N(V203)+N(V204)+N(V205)),""),"")</f>
        <v>2.67099499374218</v>
      </c>
      <c r="W332" s="262">
        <f>IFERROR(IF((N(W189)+N(W193)+N(W195)+N(W196)+N(W203)+N(W204)+N(W205))&lt;&gt;0,(N(W135)+(N(W136)+N(W140)+N(W144)+N(W145)+N(W146)))/(N(W189)+N(W193)+N(W195)+N(W196)+N(W203)+N(W204)+N(W205)),""),"")</f>
        <v>2.67099499374218</v>
      </c>
      <c r="X332" s="262">
        <f>IFERROR(IF((N(X189)+N(X193)+N(X195)+N(X196)+N(X203)+N(X204)+N(X205))&lt;&gt;0,(N(X135)+(N(X136)+N(X140)+N(X144)+N(X145)+N(X146)))/(N(X189)+N(X193)+N(X195)+N(X196)+N(X203)+N(X204)+N(X205)),""),"")</f>
        <v>2.68068752001708</v>
      </c>
      <c r="Y332" s="262">
        <f>IFERROR(IF((N(Y189)+N(Y193)+N(Y195)+N(Y196)+N(Y203)+N(Y204)+N(Y205))&lt;&gt;0,(N(Y135)+(N(Y136)+N(Y140)+N(Y144)+N(Y145)+N(Y146)))/(N(Y189)+N(Y193)+N(Y195)+N(Y196)+N(Y203)+N(Y204)+N(Y205)),""),"")</f>
        <v>2.83035846541253</v>
      </c>
      <c r="Z332" s="262">
        <f>IFERROR(IF((N(Z189)+N(Z193)+N(Z195)+N(Z196)+N(Z203)+N(Z204)+N(Z205))&lt;&gt;0,(N(Z135)+(N(Z136)+N(Z140)+N(Z144)+N(Z145)+N(Z146)))/(N(Z189)+N(Z193)+N(Z195)+N(Z196)+N(Z203)+N(Z204)+N(Z205)),""),"")</f>
        <v>2.73228322832283</v>
      </c>
      <c r="AA332" s="262">
        <f>IFERROR(IF((N(AA189)+N(AA193)+N(AA195)+N(AA196)+N(AA203)+N(AA204)+N(AA205))&lt;&gt;0,(N(AA135)+(N(AA136)+N(AA140)+N(AA144)+N(AA145)+N(AA146)))/(N(AA189)+N(AA193)+N(AA195)+N(AA196)+N(AA203)+N(AA204)+N(AA205)),""),"")</f>
        <v>2.97788427193714</v>
      </c>
      <c r="AB332" s="262">
        <f>IFERROR(IF((N(AB189)+N(AB193)+N(AB195)+N(AB196)+N(AB203)+N(AB204)+N(AB205))&lt;&gt;0,(N(AB135)+(N(AB136)+N(AB140)+N(AB144)+N(AB145)+N(AB146)))/(N(AB189)+N(AB193)+N(AB195)+N(AB196)+N(AB203)+N(AB204)+N(AB205)),""),"")</f>
        <v>2.97788427193714</v>
      </c>
      <c r="AC332" s="262">
        <f>IFERROR(IF((N(AC189)+N(AC193)+N(AC195)+N(AC196)+N(AC203)+N(AC204)+N(AC205))&lt;&gt;0,(N(AC135)+(N(AC136)+N(AC140)+N(AC144)+N(AC145)+N(AC146)))/(N(AC189)+N(AC193)+N(AC195)+N(AC196)+N(AC203)+N(AC204)+N(AC205)),""),"")</f>
        <v>2.66234877544999</v>
      </c>
      <c r="AD332" s="262">
        <f>IFERROR(IF((N(AD189)+N(AD193)+N(AD195)+N(AD196)+N(AD203)+N(AD204)+N(AD205))&lt;&gt;0,(N(AD135)+(N(AD136)+N(AD140)+N(AD144)+N(AD145)+N(AD146)))/(N(AD189)+N(AD193)+N(AD195)+N(AD196)+N(AD203)+N(AD204)+N(AD205)),""),"")</f>
        <v>1.97327436000536</v>
      </c>
      <c r="AE332" s="262">
        <f>IFERROR(IF((N(AE189)+N(AE193)+N(AE195)+N(AE196)+N(AE203)+N(AE204)+N(AE205))&lt;&gt;0,(N(AE135)+(N(AE136)+N(AE140)+N(AE144)+N(AE145)+N(AE146)))/(N(AE189)+N(AE193)+N(AE195)+N(AE196)+N(AE203)+N(AE204)+N(AE205)),""),"")</f>
        <v>1.97840792250663</v>
      </c>
      <c r="AF332" s="262">
        <f>IFERROR(IF((N(AF189)+N(AF193)+N(AF195)+N(AF196)+N(AF203)+N(AF204)+N(AF205))&lt;&gt;0,(N(AF135)+(N(AF136)+N(AF140)+N(AF144)+N(AF145)+N(AF146)))/(N(AF189)+N(AF193)+N(AF195)+N(AF196)+N(AF203)+N(AF204)+N(AF205)),""),"")</f>
        <v>2.59876661248685</v>
      </c>
      <c r="AG332" s="262">
        <f>IFERROR(IF((N(AG189)+N(AG193)+N(AG195)+N(AG196)+N(AG203)+N(AG204)+N(AG205))&lt;&gt;0,(N(AG135)+(N(AG136)+N(AG140)+N(AG144)+N(AG145)+N(AG146)))/(N(AG189)+N(AG193)+N(AG195)+N(AG196)+N(AG203)+N(AG204)+N(AG205)),""),"")</f>
        <v>2.59876661248685</v>
      </c>
      <c r="AH332" s="262">
        <f>IFERROR(IF((N(AH189)+N(AH193)+N(AH195)+N(AH196)+N(AH203)+N(AH204)+N(AH205))&lt;&gt;0,(N(AH135)+(N(AH136)+N(AH140)+N(AH144)+N(AH145)+N(AH146)))/(N(AH189)+N(AH193)+N(AH195)+N(AH196)+N(AH203)+N(AH204)+N(AH205)),""),"")</f>
        <v>2.34776377986439</v>
      </c>
      <c r="AI332" s="262">
        <f>IFERROR(IF((N(AI189)+N(AI193)+N(AI195)+N(AI196)+N(AI203)+N(AI204)+N(AI205))&lt;&gt;0,(N(AI135)+(N(AI136)+N(AI140)+N(AI144)+N(AI145)+N(AI146)))/(N(AI189)+N(AI193)+N(AI195)+N(AI196)+N(AI203)+N(AI204)+N(AI205)),""),"")</f>
        <v>2.2255627095195</v>
      </c>
      <c r="AJ332" s="262">
        <f>IFERROR(IF((N(AJ189)+N(AJ193)+N(AJ195)+N(AJ196)+N(AJ203)+N(AJ204)+N(AJ205))&lt;&gt;0,(N(AJ135)+(N(AJ136)+N(AJ140)+N(AJ144)+N(AJ145)+N(AJ146)))/(N(AJ189)+N(AJ193)+N(AJ195)+N(AJ196)+N(AJ203)+N(AJ204)+N(AJ205)),""),"")</f>
        <v>2.10257700439619</v>
      </c>
      <c r="AK332" s="262">
        <f>IFERROR(IF((N(AK189)+N(AK193)+N(AK195)+N(AK196)+N(AK203)+N(AK204)+N(AK205))&lt;&gt;0,(N(AK135)+(N(AK136)+N(AK140)+N(AK144)+N(AK145)+N(AK146)))/(N(AK189)+N(AK193)+N(AK195)+N(AK196)+N(AK203)+N(AK204)+N(AK205)),""),"")</f>
        <v>1.90291043528909</v>
      </c>
      <c r="AL332" s="262">
        <f>IFERROR(IF((N(AL189)+N(AL193)+N(AL195)+N(AL196)+N(AL203)+N(AL204)+N(AL205))&lt;&gt;0,(N(AL135)+(N(AL136)+N(AL140)+N(AL144)+N(AL145)+N(AL146)))/(N(AL189)+N(AL193)+N(AL195)+N(AL196)+N(AL203)+N(AL204)+N(AL205)),""),"")</f>
        <v>1.90291043528909</v>
      </c>
      <c r="AM332" s="262">
        <f>IFERROR(IF((N(AM189)+N(AM193)+N(AM195)+N(AM196)+N(AM203)+N(AM204)+N(AM205))&lt;&gt;0,(N(AM135)+(N(AM136)+N(AM140)+N(AM144)+N(AM145)+N(AM146)))/(N(AM189)+N(AM193)+N(AM195)+N(AM196)+N(AM203)+N(AM204)+N(AM205)),""),"")</f>
        <v>1.7631268957291</v>
      </c>
      <c r="AN332" s="262">
        <f>IFERROR(IF((N(AN189)+N(AN193)+N(AN195)+N(AN196)+N(AN203)+N(AN204)+N(AN205))&lt;&gt;0,(N(AN135)+(N(AN136)+N(AN140)+N(AN144)+N(AN145)+N(AN146)))/(N(AN189)+N(AN193)+N(AN195)+N(AN196)+N(AN203)+N(AN204)+N(AN205)),""),"")</f>
        <v>1.6297852780807</v>
      </c>
      <c r="AO332" s="262">
        <f>IFERROR(IF((N(AO189)+N(AO193)+N(AO195)+N(AO196)+N(AO203)+N(AO204)+N(AO205))&lt;&gt;0,(N(AO135)+(N(AO136)+N(AO140)+N(AO144)+N(AO145)+N(AO146)))/(N(AO189)+N(AO193)+N(AO195)+N(AO196)+N(AO203)+N(AO204)+N(AO205)),""),"")</f>
        <v>1.51945542294748</v>
      </c>
      <c r="AP332" s="262">
        <f>IFERROR(IF((N(AP189)+N(AP193)+N(AP195)+N(AP196)+N(AP203)+N(AP204)+N(AP205))&lt;&gt;0,(N(AP135)+(N(AP136)+N(AP140)+N(AP144)+N(AP145)+N(AP146)))/(N(AP189)+N(AP193)+N(AP195)+N(AP196)+N(AP203)+N(AP204)+N(AP205)),""),"")</f>
        <v>1.42142107834088</v>
      </c>
      <c r="AQ332" s="262">
        <f>IFERROR(IF((N(AQ189)+N(AQ193)+N(AQ195)+N(AQ196)+N(AQ203)+N(AQ204)+N(AQ205))&lt;&gt;0,(N(AQ135)+(N(AQ136)+N(AQ140)+N(AQ144)+N(AQ145)+N(AQ146)))/(N(AQ189)+N(AQ193)+N(AQ195)+N(AQ196)+N(AQ203)+N(AQ204)+N(AQ205)),""),"")</f>
        <v>1.42142107834088</v>
      </c>
      <c r="AR332" s="262">
        <f>IFERROR(IF((N(AR189)+N(AR193)+N(AR195)+N(AR196)+N(AR203)+N(AR204)+N(AR205))&lt;&gt;0,(N(AR135)+(N(AR136)+N(AR140)+N(AR144)+N(AR145)+N(AR146)))/(N(AR189)+N(AR193)+N(AR195)+N(AR196)+N(AR203)+N(AR204)+N(AR205)),""),"")</f>
        <v>1.34984223232238</v>
      </c>
      <c r="AS332" s="262">
        <f>IFERROR(IF((N(AS189)+N(AS193)+N(AS195)+N(AS196)+N(AS203)+N(AS204)+N(AS205))&lt;&gt;0,(N(AS135)+(N(AS136)+N(AS140)+N(AS144)+N(AS145)+N(AS146)))/(N(AS189)+N(AS193)+N(AS195)+N(AS196)+N(AS203)+N(AS204)+N(AS205)),""),"")</f>
        <v>1.28579219027743</v>
      </c>
      <c r="AT332" s="262">
        <f>IFERROR(IF((N(AT189)+N(AT193)+N(AT195)+N(AT196)+N(AT203)+N(AT204)+N(AT205))&lt;&gt;0,(N(AT135)+(N(AT136)+N(AT140)+N(AT144)+N(AT145)+N(AT146)))/(N(AT189)+N(AT193)+N(AT195)+N(AT196)+N(AT203)+N(AT204)+N(AT205)),""),"")</f>
        <v>1.23363751758259</v>
      </c>
      <c r="AU332" s="262">
        <f>IFERROR(IF((N(AU189)+N(AU193)+N(AU195)+N(AU196)+N(AU203)+N(AU204)+N(AU205))&lt;&gt;0,(N(AU135)+(N(AU136)+N(AU140)+N(AU144)+N(AU145)+N(AU146)))/(N(AU189)+N(AU193)+N(AU195)+N(AU196)+N(AU203)+N(AU204)+N(AU205)),""),"")</f>
        <v>1.18927922409437</v>
      </c>
      <c r="AV332" s="262">
        <f>IFERROR(IF((N(AV189)+N(AV193)+N(AV195)+N(AV196)+N(AV203)+N(AV204)+N(AV205))&lt;&gt;0,(N(AV135)+(N(AV136)+N(AV140)+N(AV144)+N(AV145)+N(AV146)))/(N(AV189)+N(AV193)+N(AV195)+N(AV196)+N(AV203)+N(AV204)+N(AV205)),""),"")</f>
        <v>1.18927922409437</v>
      </c>
      <c r="AW332" s="262">
        <f>IFERROR(IF((N(AW189)+N(AW193)+N(AW195)+N(AW196)+N(AW203)+N(AW204)+N(AW205))&lt;&gt;0,(N(AW135)+(N(AW136)+N(AW140)+N(AW144)+N(AW145)+N(AW146)))/(N(AW189)+N(AW193)+N(AW195)+N(AW196)+N(AW203)+N(AW204)+N(AW205)),""),"")</f>
        <v>1.15553747458806</v>
      </c>
      <c r="AX332" s="262">
        <f>IFERROR(IF((N(AX189)+N(AX193)+N(AX195)+N(AX196)+N(AX203)+N(AX204)+N(AX205))&lt;&gt;0,(N(AX135)+(N(AX136)+N(AX140)+N(AX144)+N(AX145)+N(AX146)))/(N(AX189)+N(AX193)+N(AX195)+N(AX196)+N(AX203)+N(AX204)+N(AX205)),""),"")</f>
        <v>1.12680289964194</v>
      </c>
      <c r="AY332" s="262">
        <f>IFERROR(IF((N(AY189)+N(AY193)+N(AY195)+N(AY196)+N(AY203)+N(AY204)+N(AY205))&lt;&gt;0,(N(AY135)+(N(AY136)+N(AY140)+N(AY144)+N(AY145)+N(AY146)))/(N(AY189)+N(AY193)+N(AY195)+N(AY196)+N(AY203)+N(AY204)+N(AY205)),""),"")</f>
        <v>1.10337113243792</v>
      </c>
      <c r="AZ332" s="262">
        <f>IFERROR(IF((N(AZ189)+N(AZ193)+N(AZ195)+N(AZ196)+N(AZ203)+N(AZ204)+N(AZ205))&lt;&gt;0,(N(AZ135)+(N(AZ136)+N(AZ140)+N(AZ144)+N(AZ145)+N(AZ146)))/(N(AZ189)+N(AZ193)+N(AZ195)+N(AZ196)+N(AZ203)+N(AZ204)+N(AZ205)),""),"")</f>
        <v>1.08386985034489</v>
      </c>
      <c r="BA332" s="262">
        <f>IFERROR(IF((N(BA189)+N(BA193)+N(BA195)+N(BA196)+N(BA203)+N(BA204)+N(BA205))&lt;&gt;0,(N(BA135)+(N(BA136)+N(BA140)+N(BA144)+N(BA145)+N(BA146)))/(N(BA189)+N(BA193)+N(BA195)+N(BA196)+N(BA203)+N(BA204)+N(BA205)),""),"")</f>
        <v>1.08386985034489</v>
      </c>
      <c r="BB332" s="262">
        <f>IFERROR(IF((N(BB189)+N(BB193)+N(BB195)+N(BB196)+N(BB203)+N(BB204)+N(BB205))&lt;&gt;0,(N(BB135)+(N(BB136)+N(BB140)+N(BB144)+N(BB145)+N(BB146)))/(N(BB189)+N(BB193)+N(BB195)+N(BB196)+N(BB203)+N(BB204)+N(BB205)),""),"")</f>
        <v>1.06870935870669</v>
      </c>
      <c r="BC332" s="262">
        <f>IFERROR(IF((N(BC189)+N(BC193)+N(BC195)+N(BC196)+N(BC203)+N(BC204)+N(BC205))&lt;&gt;0,(N(BC135)+(N(BC136)+N(BC140)+N(BC144)+N(BC145)+N(BC146)))/(N(BC189)+N(BC193)+N(BC195)+N(BC196)+N(BC203)+N(BC204)+N(BC205)),""),"")</f>
        <v>1.05604646830214</v>
      </c>
      <c r="BD332" s="262">
        <f>IFERROR(IF((N(BD189)+N(BD193)+N(BD195)+N(BD196)+N(BD203)+N(BD204)+N(BD205))&lt;&gt;0,(N(BD135)+(N(BD136)+N(BD140)+N(BD144)+N(BD145)+N(BD146)))/(N(BD189)+N(BD193)+N(BD195)+N(BD196)+N(BD203)+N(BD204)+N(BD205)),""),"")</f>
        <v>1.04571972269591</v>
      </c>
      <c r="BE332" s="262">
        <f>IFERROR(IF((N(BE189)+N(BE193)+N(BE195)+N(BE196)+N(BE203)+N(BE204)+N(BE205))&lt;&gt;0,(N(BE135)+(N(BE136)+N(BE140)+N(BE144)+N(BE145)+N(BE146)))/(N(BE189)+N(BE193)+N(BE195)+N(BE196)+N(BE203)+N(BE204)+N(BE205)),""),"")</f>
        <v>1.03720696078034</v>
      </c>
      <c r="BF332" s="262">
        <f>IFERROR(IF((N(BF189)+N(BF193)+N(BF195)+N(BF196)+N(BF203)+N(BF204)+N(BF205))&lt;&gt;0,(N(BF135)+(N(BF136)+N(BF140)+N(BF144)+N(BF145)+N(BF146)))/(N(BF189)+N(BF193)+N(BF195)+N(BF196)+N(BF203)+N(BF204)+N(BF205)),""),"")</f>
        <v>1.03720696078034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CASH RATIO</t>
        </is>
      </c>
      <c r="D333" s="82" t="str">
        <f>IFERROR(SUM(D135)/SUM(D189,D193,D195,D196),"")</f>
        <v/>
      </c>
      <c r="E333" s="82" t="str">
        <f>IFERROR(SUM(E135)/SUM(E189,E193,E195,E196),"")</f>
        <v/>
      </c>
      <c r="F333" s="82" t="str">
        <f>IFERROR(SUM(F135)/SUM(F189,F193,F195,F196),"")</f>
        <v/>
      </c>
      <c r="G333" s="82" t="str">
        <f>IFERROR(SUM(G135)/SUM(G189,G193,G195,G196),"")</f>
        <v/>
      </c>
      <c r="H333" s="262" t="str">
        <f>IFERROR(IF((N(H189)+N(H193)+N(H195)+N(H196)+N(H203)+N(H204)+N(H205))&lt;&gt;0,N(H135)/(N(H189)+N(H193)+N(H195)+N(H196)+N(H203)+N(H204)+N(H205)),""),"")</f>
        <v/>
      </c>
      <c r="I333" s="262">
        <f>IFERROR(IF((N(I189)+N(I193)+N(I195)+N(I196)+N(I203)+N(I204)+N(I205))&lt;&gt;0,N(I135)/(N(I189)+N(I193)+N(I195)+N(I196)+N(I203)+N(I204)+N(I205)),""),"")</f>
        <v>5.04985452543839</v>
      </c>
      <c r="J333" s="262">
        <f>IFERROR(IF((N(J189)+N(J193)+N(J195)+N(J196)+N(J203)+N(J204)+N(J205))&lt;&gt;0,N(J135)/(N(J189)+N(J193)+N(J195)+N(J196)+N(J203)+N(J204)+N(J205)),""),"")</f>
        <v>4.30818878580073</v>
      </c>
      <c r="K333" s="262">
        <f>IFERROR(IF((N(K189)+N(K193)+N(K195)+N(K196)+N(K203)+N(K204)+N(K205))&lt;&gt;0,N(K135)/(N(K189)+N(K193)+N(K195)+N(K196)+N(K203)+N(K204)+N(K205)),""),"")</f>
        <v>3.26044239838311</v>
      </c>
      <c r="L333" s="262">
        <f>IFERROR(IF((N(L189)+N(L193)+N(L195)+N(L196)+N(L203)+N(L204)+N(L205))&lt;&gt;0,N(L135)/(N(L189)+N(L193)+N(L195)+N(L196)+N(L203)+N(L204)+N(L205)),""),"")</f>
        <v>2.27101963567542</v>
      </c>
      <c r="M333" s="262">
        <f>IFERROR(IF((N(M189)+N(M193)+N(M195)+N(M196)+N(M203)+N(M204)+N(M205))&lt;&gt;0,N(M135)/(N(M189)+N(M193)+N(M195)+N(M196)+N(M203)+N(M204)+N(M205)),""),"")</f>
        <v>2.27101963567542</v>
      </c>
      <c r="N333" s="262">
        <f>IFERROR(IF((N(N189)+N(N193)+N(N195)+N(N196)+N(N203)+N(N204)+N(N205))&lt;&gt;0,N(N135)/(N(N189)+N(N193)+N(N195)+N(N196)+N(N203)+N(N204)+N(N205)),""),"")</f>
        <v>2.08147586076069</v>
      </c>
      <c r="O333" s="262">
        <f>IFERROR(IF((N(O189)+N(O193)+N(O195)+N(O196)+N(O203)+N(O204)+N(O205))&lt;&gt;0,N(O135)/(N(O189)+N(O193)+N(O195)+N(O196)+N(O203)+N(O204)+N(O205)),""),"")</f>
        <v>1.82243327181888</v>
      </c>
      <c r="P333" s="262">
        <f>IFERROR(IF((N(P189)+N(P193)+N(P195)+N(P196)+N(P203)+N(P204)+N(P205))&lt;&gt;0,N(P135)/(N(P189)+N(P193)+N(P195)+N(P196)+N(P203)+N(P204)+N(P205)),""),"")</f>
        <v>1.84140697315643</v>
      </c>
      <c r="Q333" s="262">
        <f>IFERROR(IF((N(Q189)+N(Q193)+N(Q195)+N(Q196)+N(Q203)+N(Q204)+N(Q205))&lt;&gt;0,N(Q135)/(N(Q189)+N(Q193)+N(Q195)+N(Q196)+N(Q203)+N(Q204)+N(Q205)),""),"")</f>
        <v>1.50736327980463</v>
      </c>
      <c r="R333" s="262">
        <f>IFERROR(IF((N(R189)+N(R193)+N(R195)+N(R196)+N(R203)+N(R204)+N(R205))&lt;&gt;0,N(R135)/(N(R189)+N(R193)+N(R195)+N(R196)+N(R203)+N(R204)+N(R205)),""),"")</f>
        <v>1.50736327980463</v>
      </c>
      <c r="S333" s="262">
        <f>IFERROR(IF((N(S189)+N(S193)+N(S195)+N(S196)+N(S203)+N(S204)+N(S205))&lt;&gt;0,N(S135)/(N(S189)+N(S193)+N(S195)+N(S196)+N(S203)+N(S204)+N(S205)),""),"")</f>
        <v>1.47507978409046</v>
      </c>
      <c r="T333" s="262">
        <f>IFERROR(IF((N(T189)+N(T193)+N(T195)+N(T196)+N(T203)+N(T204)+N(T205))&lt;&gt;0,N(T135)/(N(T189)+N(T193)+N(T195)+N(T196)+N(T203)+N(T204)+N(T205)),""),"")</f>
        <v>1.78623709100632</v>
      </c>
      <c r="U333" s="262">
        <f>IFERROR(IF((N(U189)+N(U193)+N(U195)+N(U196)+N(U203)+N(U204)+N(U205))&lt;&gt;0,N(U135)/(N(U189)+N(U193)+N(U195)+N(U196)+N(U203)+N(U204)+N(U205)),""),"")</f>
        <v>2.00199796927713</v>
      </c>
      <c r="V333" s="262">
        <f>IFERROR(IF((N(V189)+N(V193)+N(V195)+N(V196)+N(V203)+N(V204)+N(V205))&lt;&gt;0,N(V135)/(N(V189)+N(V193)+N(V195)+N(V196)+N(V203)+N(V204)+N(V205)),""),"")</f>
        <v>2.04640175219024</v>
      </c>
      <c r="W333" s="262">
        <f>IFERROR(IF((N(W189)+N(W193)+N(W195)+N(W196)+N(W203)+N(W204)+N(W205))&lt;&gt;0,N(W135)/(N(W189)+N(W193)+N(W195)+N(W196)+N(W203)+N(W204)+N(W205)),""),"")</f>
        <v>2.04640175219024</v>
      </c>
      <c r="X333" s="262">
        <f>IFERROR(IF((N(X189)+N(X193)+N(X195)+N(X196)+N(X203)+N(X204)+N(X205))&lt;&gt;0,N(X135)/(N(X189)+N(X193)+N(X195)+N(X196)+N(X203)+N(X204)+N(X205)),""),"")</f>
        <v>2.0682537987972</v>
      </c>
      <c r="Y333" s="262">
        <f>IFERROR(IF((N(Y189)+N(Y193)+N(Y195)+N(Y196)+N(Y203)+N(Y204)+N(Y205))&lt;&gt;0,N(Y135)/(N(Y189)+N(Y193)+N(Y195)+N(Y196)+N(Y203)+N(Y204)+N(Y205)),""),"")</f>
        <v>2.15079247518886</v>
      </c>
      <c r="Z333" s="262">
        <f>IFERROR(IF((N(Z189)+N(Z193)+N(Z195)+N(Z196)+N(Z203)+N(Z204)+N(Z205))&lt;&gt;0,N(Z135)/(N(Z189)+N(Z193)+N(Z195)+N(Z196)+N(Z203)+N(Z204)+N(Z205)),""),"")</f>
        <v>2.12721272127213</v>
      </c>
      <c r="AA333" s="262">
        <f>IFERROR(IF((N(AA189)+N(AA193)+N(AA195)+N(AA196)+N(AA203)+N(AA204)+N(AA205))&lt;&gt;0,N(AA135)/(N(AA189)+N(AA193)+N(AA195)+N(AA196)+N(AA203)+N(AA204)+N(AA205)),""),"")</f>
        <v>2.31619835694726</v>
      </c>
      <c r="AB333" s="262">
        <f>IFERROR(IF((N(AB189)+N(AB193)+N(AB195)+N(AB196)+N(AB203)+N(AB204)+N(AB205))&lt;&gt;0,N(AB135)/(N(AB189)+N(AB193)+N(AB195)+N(AB196)+N(AB203)+N(AB204)+N(AB205)),""),"")</f>
        <v>2.31619835694726</v>
      </c>
      <c r="AC333" s="262">
        <f>IFERROR(IF((N(AC189)+N(AC193)+N(AC195)+N(AC196)+N(AC203)+N(AC204)+N(AC205))&lt;&gt;0,N(AC135)/(N(AC189)+N(AC193)+N(AC195)+N(AC196)+N(AC203)+N(AC204)+N(AC205)),""),"")</f>
        <v>2.07229271171437</v>
      </c>
      <c r="AD333" s="262">
        <f>IFERROR(IF((N(AD189)+N(AD193)+N(AD195)+N(AD196)+N(AD203)+N(AD204)+N(AD205))&lt;&gt;0,N(AD135)/(N(AD189)+N(AD193)+N(AD195)+N(AD196)+N(AD203)+N(AD204)+N(AD205)),""),"")</f>
        <v>1.26178796407988</v>
      </c>
      <c r="AE333" s="262">
        <f>IFERROR(IF((N(AE189)+N(AE193)+N(AE195)+N(AE196)+N(AE203)+N(AE204)+N(AE205))&lt;&gt;0,N(AE135)/(N(AE189)+N(AE193)+N(AE195)+N(AE196)+N(AE203)+N(AE204)+N(AE205)),""),"")</f>
        <v>1.20266248173602</v>
      </c>
      <c r="AF333" s="262">
        <f>IFERROR(IF((N(AF189)+N(AF193)+N(AF195)+N(AF196)+N(AF203)+N(AF204)+N(AF205))&lt;&gt;0,N(AF135)/(N(AF189)+N(AF193)+N(AF195)+N(AF196)+N(AF203)+N(AF204)+N(AF205)),""),"")</f>
        <v>1.95028205373363</v>
      </c>
      <c r="AG333" s="262">
        <f>IFERROR(IF((N(AG189)+N(AG193)+N(AG195)+N(AG196)+N(AG203)+N(AG204)+N(AG205))&lt;&gt;0,N(AG135)/(N(AG189)+N(AG193)+N(AG195)+N(AG196)+N(AG203)+N(AG204)+N(AG205)),""),"")</f>
        <v>1.95028205373363</v>
      </c>
      <c r="AH333" s="262">
        <f>IFERROR(IF((N(AH189)+N(AH193)+N(AH195)+N(AH196)+N(AH203)+N(AH204)+N(AH205))&lt;&gt;0,N(AH135)/(N(AH189)+N(AH193)+N(AH195)+N(AH196)+N(AH203)+N(AH204)+N(AH205)),""),"")</f>
        <v>1.73635916411781</v>
      </c>
      <c r="AI333" s="262">
        <f>IFERROR(IF((N(AI189)+N(AI193)+N(AI195)+N(AI196)+N(AI203)+N(AI204)+N(AI205))&lt;&gt;0,N(AI135)/(N(AI189)+N(AI193)+N(AI195)+N(AI196)+N(AI203)+N(AI204)+N(AI205)),""),"")</f>
        <v>1.60095070859717</v>
      </c>
      <c r="AJ333" s="262">
        <f>IFERROR(IF((N(AJ189)+N(AJ193)+N(AJ195)+N(AJ196)+N(AJ203)+N(AJ204)+N(AJ205))&lt;&gt;0,N(AJ135)/(N(AJ189)+N(AJ193)+N(AJ195)+N(AJ196)+N(AJ203)+N(AJ204)+N(AJ205)),""),"")</f>
        <v>1.54713055950284</v>
      </c>
      <c r="AK333" s="262">
        <f>IFERROR(IF((N(AK189)+N(AK193)+N(AK195)+N(AK196)+N(AK203)+N(AK204)+N(AK205))&lt;&gt;0,N(AK135)/(N(AK189)+N(AK193)+N(AK195)+N(AK196)+N(AK203)+N(AK204)+N(AK205)),""),"")</f>
        <v>1.4013773721983</v>
      </c>
      <c r="AL333" s="262">
        <f>IFERROR(IF((N(AL189)+N(AL193)+N(AL195)+N(AL196)+N(AL203)+N(AL204)+N(AL205))&lt;&gt;0,N(AL135)/(N(AL189)+N(AL193)+N(AL195)+N(AL196)+N(AL203)+N(AL204)+N(AL205)),""),"")</f>
        <v>1.4013773721983</v>
      </c>
      <c r="AM333" s="262">
        <f>IFERROR(IF((N(AM189)+N(AM193)+N(AM195)+N(AM196)+N(AM203)+N(AM204)+N(AM205))&lt;&gt;0,N(AM135)/(N(AM189)+N(AM193)+N(AM195)+N(AM196)+N(AM203)+N(AM204)+N(AM205)),""),"")</f>
        <v>1.35029740353444</v>
      </c>
      <c r="AN333" s="262">
        <f>IFERROR(IF((N(AN189)+N(AN193)+N(AN195)+N(AN196)+N(AN203)+N(AN204)+N(AN205))&lt;&gt;0,N(AN135)/(N(AN189)+N(AN193)+N(AN195)+N(AN196)+N(AN203)+N(AN204)+N(AN205)),""),"")</f>
        <v>1.27459081383931</v>
      </c>
      <c r="AO333" s="262">
        <f>IFERROR(IF((N(AO189)+N(AO193)+N(AO195)+N(AO196)+N(AO203)+N(AO204)+N(AO205))&lt;&gt;0,N(AO135)/(N(AO189)+N(AO193)+N(AO195)+N(AO196)+N(AO203)+N(AO204)+N(AO205)),""),"")</f>
        <v>1.21902660907067</v>
      </c>
      <c r="AP333" s="262">
        <f>IFERROR(IF((N(AP189)+N(AP193)+N(AP195)+N(AP196)+N(AP203)+N(AP204)+N(AP205))&lt;&gt;0,N(AP135)/(N(AP189)+N(AP193)+N(AP195)+N(AP196)+N(AP203)+N(AP204)+N(AP205)),""),"")</f>
        <v>1.15064192323211</v>
      </c>
      <c r="AQ333" s="262">
        <f>IFERROR(IF((N(AQ189)+N(AQ193)+N(AQ195)+N(AQ196)+N(AQ203)+N(AQ204)+N(AQ205))&lt;&gt;0,N(AQ135)/(N(AQ189)+N(AQ193)+N(AQ195)+N(AQ196)+N(AQ203)+N(AQ204)+N(AQ205)),""),"")</f>
        <v>1.15064192323211</v>
      </c>
      <c r="AR333" s="262">
        <f>IFERROR(IF((N(AR189)+N(AR193)+N(AR195)+N(AR196)+N(AR203)+N(AR204)+N(AR205))&lt;&gt;0,N(AR135)/(N(AR189)+N(AR193)+N(AR195)+N(AR196)+N(AR203)+N(AR204)+N(AR205)),""),"")</f>
        <v>1.13364098088803</v>
      </c>
      <c r="AS333" s="262">
        <f>IFERROR(IF((N(AS189)+N(AS193)+N(AS195)+N(AS196)+N(AS203)+N(AS204)+N(AS205))&lt;&gt;0,N(AS135)/(N(AS189)+N(AS193)+N(AS195)+N(AS196)+N(AS203)+N(AS204)+N(AS205)),""),"")</f>
        <v>1.09970775509845</v>
      </c>
      <c r="AT333" s="262">
        <f>IFERROR(IF((N(AT189)+N(AT193)+N(AT195)+N(AT196)+N(AT203)+N(AT204)+N(AT205))&lt;&gt;0,N(AT135)/(N(AT189)+N(AT193)+N(AT195)+N(AT196)+N(AT203)+N(AT204)+N(AT205)),""),"")</f>
        <v>1.07738348681728</v>
      </c>
      <c r="AU333" s="262">
        <f>IFERROR(IF((N(AU189)+N(AU193)+N(AU195)+N(AU196)+N(AU203)+N(AU204)+N(AU205))&lt;&gt;0,N(AU135)/(N(AU189)+N(AU193)+N(AU195)+N(AU196)+N(AU203)+N(AU204)+N(AU205)),""),"")</f>
        <v>1.04768428807959</v>
      </c>
      <c r="AV333" s="262">
        <f>IFERROR(IF((N(AV189)+N(AV193)+N(AV195)+N(AV196)+N(AV203)+N(AV204)+N(AV205))&lt;&gt;0,N(AV135)/(N(AV189)+N(AV193)+N(AV195)+N(AV196)+N(AV203)+N(AV204)+N(AV205)),""),"")</f>
        <v>1.04768428807959</v>
      </c>
      <c r="AW333" s="262">
        <f>IFERROR(IF((N(AW189)+N(AW193)+N(AW195)+N(AW196)+N(AW203)+N(AW204)+N(AW205))&lt;&gt;0,N(AW135)/(N(AW189)+N(AW193)+N(AW195)+N(AW196)+N(AW203)+N(AW204)+N(AW205)),""),"")</f>
        <v>1.04335033910628</v>
      </c>
      <c r="AX333" s="262">
        <f>IFERROR(IF((N(AX189)+N(AX193)+N(AX195)+N(AX196)+N(AX203)+N(AX204)+N(AX205))&lt;&gt;0,N(AX135)/(N(AX189)+N(AX193)+N(AX195)+N(AX196)+N(AX203)+N(AX204)+N(AX205)),""),"")</f>
        <v>1.03092240914405</v>
      </c>
      <c r="AY333" s="262">
        <f>IFERROR(IF((N(AY189)+N(AY193)+N(AY195)+N(AY196)+N(AY203)+N(AY204)+N(AY205))&lt;&gt;0,N(AY135)/(N(AY189)+N(AY193)+N(AY195)+N(AY196)+N(AY203)+N(AY204)+N(AY205)),""),"")</f>
        <v>1.02297472484581</v>
      </c>
      <c r="AZ333" s="262">
        <f>IFERROR(IF((N(AZ189)+N(AZ193)+N(AZ195)+N(AZ196)+N(AZ203)+N(AZ204)+N(AZ205))&lt;&gt;0,N(AZ135)/(N(AZ189)+N(AZ193)+N(AZ195)+N(AZ196)+N(AZ203)+N(AZ204)+N(AZ205)),""),"")</f>
        <v>1.01047064271165</v>
      </c>
      <c r="BA333" s="262">
        <f>IFERROR(IF((N(BA189)+N(BA193)+N(BA195)+N(BA196)+N(BA203)+N(BA204)+N(BA205))&lt;&gt;0,N(BA135)/(N(BA189)+N(BA193)+N(BA195)+N(BA196)+N(BA203)+N(BA204)+N(BA205)),""),"")</f>
        <v>1.01047064271165</v>
      </c>
      <c r="BB333" s="262">
        <f>IFERROR(IF((N(BB189)+N(BB193)+N(BB195)+N(BB196)+N(BB203)+N(BB204)+N(BB205))&lt;&gt;0,N(BB135)/(N(BB189)+N(BB193)+N(BB195)+N(BB196)+N(BB203)+N(BB204)+N(BB205)),""),"")</f>
        <v>1.01103646956766</v>
      </c>
      <c r="BC333" s="262">
        <f>IFERROR(IF((N(BC189)+N(BC193)+N(BC195)+N(BC196)+N(BC203)+N(BC204)+N(BC205))&lt;&gt;0,N(BC135)/(N(BC189)+N(BC193)+N(BC195)+N(BC196)+N(BC203)+N(BC204)+N(BC205)),""),"")</f>
        <v>1.00662034466132</v>
      </c>
      <c r="BD333" s="262">
        <f>IFERROR(IF((N(BD189)+N(BD193)+N(BD195)+N(BD196)+N(BD203)+N(BD204)+N(BD205))&lt;&gt;0,N(BD135)/(N(BD189)+N(BD193)+N(BD195)+N(BD196)+N(BD203)+N(BD204)+N(BD205)),""),"")</f>
        <v>1.00420060503107</v>
      </c>
      <c r="BE333" s="262">
        <f>IFERROR(IF((N(BE189)+N(BE193)+N(BE195)+N(BE196)+N(BE203)+N(BE204)+N(BE205))&lt;&gt;0,N(BE135)/(N(BE189)+N(BE193)+N(BE195)+N(BE196)+N(BE203)+N(BE204)+N(BE205)),""),"")</f>
        <v>0.998990905091706</v>
      </c>
      <c r="BF333" s="262">
        <f>IFERROR(IF((N(BF189)+N(BF193)+N(BF195)+N(BF196)+N(BF203)+N(BF204)+N(BF205))&lt;&gt;0,N(BF135)/(N(BF189)+N(BF193)+N(BF195)+N(BF196)+N(BF203)+N(BF204)+N(BF205)),""),"")</f>
        <v>0.998990905091706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</row>
    <row r="335" customFormat="1" s="77">
      <c r="A335" s="76" t="n"/>
      <c r="B335" s="76" t="n"/>
      <c r="C335" s="74" t="inlineStr">
        <is>
          <t>OPERATING EFFICIENCY</t>
        </is>
      </c>
    </row>
    <row r="336" customFormat="1" s="84">
      <c r="A336" s="81" t="n"/>
      <c r="B336" s="81" t="n"/>
      <c r="C336" s="84" t="inlineStr">
        <is>
          <t>RETURN ON CAPITAL (ROIC) - LTM</t>
        </is>
      </c>
      <c r="D336" t="str">
        <f>IFERROR(D338/D341,"")</f>
        <v/>
      </c>
      <c r="E336" t="str">
        <f>IFERROR(E338/E341,"")</f>
        <v/>
      </c>
      <c r="F336" t="str">
        <f>IFERROR(F338/F341,"")</f>
        <v/>
      </c>
      <c r="G336" t="str">
        <f>IFERROR(G338/G341,"")</f>
        <v/>
      </c>
      <c r="H336" s="257" t="str">
        <f>IFERROR(IF(AND(COUNT(H338)=1,N(H341)&lt;&gt;0),(H338)/H341,""),"")</f>
        <v/>
      </c>
      <c r="I336" s="257" t="str">
        <f>""</f>
        <v/>
      </c>
      <c r="J336" s="257" t="str">
        <f>""</f>
        <v/>
      </c>
      <c r="K336" s="257" t="str">
        <f>""</f>
        <v/>
      </c>
      <c r="L336" s="257">
        <f>IFERROR(IF(AND(COUNT(I338,J338,K338,L338)=4,N(L341)&lt;&gt;0),(I338+J338+K338+L338)/L341,""),"")</f>
        <v>0.428922263365458</v>
      </c>
      <c r="M336" s="257">
        <f>IFERROR(IF(AND(COUNT(I338,J338,K338,L338)=4,N(M341)&lt;&gt;0),(I338+J338+K338+L338)/M341,""),"")</f>
        <v>0.428922263365458</v>
      </c>
      <c r="N336" s="257">
        <f>IFERROR(IF(AND(COUNT(J338,K338,L338,N338)=4,N(N341)&lt;&gt;0),(J338+K338+L338+N338)/N341,""),"")</f>
        <v>0.392712534290749</v>
      </c>
      <c r="O336" s="257">
        <f>IFERROR(IF(AND(COUNT(K338,L338,N338,O338)=4,N(O341)&lt;&gt;0),(K338+L338+N338+O338)/O341,""),"")</f>
        <v>0.327895760719086</v>
      </c>
      <c r="P336" s="257">
        <f>IFERROR(IF(AND(COUNT(L338,N338,O338,P338)=4,N(P341)&lt;&gt;0),(L338+N338+O338+P338)/P341,""),"")</f>
        <v>0.264508033312922</v>
      </c>
      <c r="Q336" s="257">
        <f>IFERROR(IF(AND(COUNT(N338,O338,P338,Q338)=4,N(Q341)&lt;&gt;0),(N338+O338+P338+Q338)/Q341,""),"")</f>
        <v>0.208641040282132</v>
      </c>
      <c r="R336" s="257">
        <f>IFERROR(IF(AND(COUNT(N338,O338,P338,Q338)=4,N(R341)&lt;&gt;0),(N338+O338+P338+Q338)/R341,""),"")</f>
        <v>0.208641040282132</v>
      </c>
      <c r="S336" s="257">
        <f>IFERROR(IF(AND(COUNT(O338,P338,Q338,S338)=4,N(S341)&lt;&gt;0),(O338+P338+Q338+S338)/S341,""),"")</f>
        <v>0.189509688340214</v>
      </c>
      <c r="T336" s="257">
        <f>IFERROR(IF(AND(COUNT(P338,Q338,S338,T338)=4,N(T341)&lt;&gt;0),(P338+Q338+S338+T338)/T341,""),"")</f>
        <v>0.1954026040671</v>
      </c>
      <c r="U336" s="257">
        <f>IFERROR(IF(AND(COUNT(Q338,S338,T338,U338)=4,N(U341)&lt;&gt;0),(Q338+S338+T338+U338)/U341,""),"")</f>
        <v>0.25191722688919</v>
      </c>
      <c r="V336" s="257">
        <f>IFERROR(IF(AND(COUNT(S338,T338,U338,V338)=4,N(V341)&lt;&gt;0),(S338+T338+U338+V338)/V341,""),"")</f>
        <v>0.308322157448112</v>
      </c>
      <c r="W336" s="257">
        <f>IFERROR(IF(AND(COUNT(S338,T338,U338,V338)=4,N(W341)&lt;&gt;0),(S338+T338+U338+V338)/W341,""),"")</f>
        <v>0.308322157448112</v>
      </c>
      <c r="X336" s="257">
        <f>IFERROR(IF(AND(COUNT(T338,U338,V338,X338)=4,N(X341)&lt;&gt;0),(T338+U338+V338+X338)/X341,""),"")</f>
        <v>0.348290860029732</v>
      </c>
      <c r="Y336" s="257">
        <f>IFERROR(IF(AND(COUNT(U338,V338,X338,Y338)=4,N(Y341)&lt;&gt;0),(U338+V338+X338+Y338)/Y341,""),"")</f>
        <v>0.368082575833293</v>
      </c>
      <c r="Z336" s="257">
        <f>IFERROR(IF(AND(COUNT(V338,X338,Y338,Z338)=4,N(Z341)&lt;&gt;0),(V338+X338+Y338+Z338)/Z341,""),"")</f>
        <v>0.380032767930429</v>
      </c>
      <c r="AA336" s="257">
        <f>IFERROR(IF(AND(COUNT(X338,Y338,Z338,AA338)=4,N(AA341)&lt;&gt;0),(X338+Y338+Z338+AA338)/AA341,""),"")</f>
        <v>0.397895792252211</v>
      </c>
      <c r="AB336" s="257">
        <f>IFERROR(IF(AND(COUNT(X338,Y338,Z338,AA338)=4,N(AB341)&lt;&gt;0),(X338+Y338+Z338+AA338)/AB341,""),"")</f>
        <v>0.397895792252211</v>
      </c>
      <c r="AC336" s="257">
        <f>IFERROR(IF(AND(COUNT(Y338,Z338,AA338,AC338)=4,N(AC341)&lt;&gt;0),(Y338+Z338+AA338+AC338)/AC341,""),"")</f>
        <v>0.39602179302165</v>
      </c>
      <c r="AD336" s="257">
        <f>IFERROR(IF(AND(COUNT(Z338,AA338,AC338,AD338)=4,N(AD341)&lt;&gt;0),(Z338+AA338+AC338+AD338)/AD341,""),"")</f>
        <v>0.354796914272975</v>
      </c>
      <c r="AE336" s="257">
        <f>IFERROR(IF(AND(COUNT(AA338,AC338,AD338,AE338)=4,N(AE341)&lt;&gt;0),(AA338+AC338+AD338+AE338)/AE341,""),"")</f>
        <v>0.285974286638449</v>
      </c>
      <c r="AF336" s="257">
        <f>IFERROR(IF(AND(COUNT(AB338,AD338,AE338,AF338)=4,N(AF341)&lt;&gt;0),(AB338+AD338+AE338+AF338)/AF341,""),"")</f>
        <v>0.474929760113257</v>
      </c>
      <c r="AG336" s="257">
        <f>IFERROR(IF(AND(COUNT(AC338,AD338,AE338,AF338)=4,N(AG341)&lt;&gt;0),(AC338+AD338+AE338+AF338)/AG341,""),"")</f>
        <v>0.268452453392351</v>
      </c>
      <c r="AH336" s="257">
        <f>IFERROR(IF(AND(COUNT(AD338,AF338,AG338,AH338)=4,N(AH341)&lt;&gt;0),(AD338+AF338+AG338+AH338)/AH341,""),"")</f>
        <v>0.489171334073205</v>
      </c>
      <c r="AI336" s="257">
        <f>IFERROR(IF(AND(COUNT(AE338,AG338,AH338,AI338)=4,N(AI341)&lt;&gt;0),(AE338+AG338+AH338+AI338)/AI341,""),"")</f>
        <v>0.352629980527237</v>
      </c>
      <c r="AJ336" s="257">
        <f>IFERROR(IF(AND(COUNT(AF338,AH338,AI338,AJ338)=4,N(AJ341)&lt;&gt;0),(AF338+AH338+AI338+AJ338)/AJ341,""),"")</f>
        <v>0.274245581920888</v>
      </c>
      <c r="AK336" s="257">
        <f>IFERROR(IF(AND(COUNT(AH338,AI338,AJ338,AK338)=4,N(AK341)&lt;&gt;0),(AH338+AI338+AJ338+AK338)/AK341,""),"")</f>
        <v>0.267875660219192</v>
      </c>
      <c r="AL336" s="257">
        <f>IFERROR(IF(AND(COUNT(AH338,AI338,AJ338,AK338)=4,N(AL341)&lt;&gt;0),(AH338+AI338+AJ338+AK338)/AL341,""),"")</f>
        <v>0.267875660219192</v>
      </c>
      <c r="AM336" s="257">
        <f>IFERROR(IF(AND(COUNT(AI338,AJ338,AK338,AM338)=4,N(AM341)&lt;&gt;0),(AI338+AJ338+AK338+AM338)/AM341,""),"")</f>
        <v>0.260616157024178</v>
      </c>
      <c r="AN336" s="257">
        <f>IFERROR(IF(AND(COUNT(AJ338,AK338,AM338,AN338)=4,N(AN341)&lt;&gt;0),(AJ338+AK338+AM338+AN338)/AN341,""),"")</f>
        <v>0.28125983003556</v>
      </c>
      <c r="AO336" s="257">
        <f>IFERROR(IF(AND(COUNT(AK338,AM338,AN338,AO338)=4,N(AO341)&lt;&gt;0),(AK338+AM338+AN338+AO338)/AO341,""),"")</f>
        <v>0.293552259177041</v>
      </c>
      <c r="AP336" s="257">
        <f>IFERROR(IF(AND(COUNT(AM338,AN338,AO338,AP338)=4,N(AP341)&lt;&gt;0),(AM338+AN338+AO338+AP338)/AP341,""),"")</f>
        <v>0.308019095972288</v>
      </c>
      <c r="AQ336" s="257">
        <f>IFERROR(IF(AND(COUNT(AM338,AN338,AO338,AP338)=4,N(AQ341)&lt;&gt;0),(AM338+AN338+AO338+AP338)/AQ341,""),"")</f>
        <v>0.308019095972288</v>
      </c>
      <c r="AR336" s="257">
        <f>IFERROR(IF(AND(COUNT(AN338,AO338,AP338,AR338)=4,N(AR341)&lt;&gt;0),(AN338+AO338+AP338+AR338)/AR341,""),"")</f>
        <v>0.331316148361812</v>
      </c>
      <c r="AS336" s="257">
        <f>IFERROR(IF(AND(COUNT(AO338,AP338,AR338,AS338)=4,N(AS341)&lt;&gt;0),(AO338+AP338+AR338+AS338)/AS341,""),"")</f>
        <v>0.362156966140687</v>
      </c>
      <c r="AT336" s="257">
        <f>IFERROR(IF(AND(COUNT(AP338,AR338,AS338,AT338)=4,N(AT341)&lt;&gt;0),(AP338+AR338+AS338+AT338)/AT341,""),"")</f>
        <v>0.408901310821779</v>
      </c>
      <c r="AU336" s="257">
        <f>IFERROR(IF(AND(COUNT(AR338,AS338,AT338,AU338)=4,N(AU341)&lt;&gt;0),(AR338+AS338+AT338+AU338)/AU341,""),"")</f>
        <v>0.476788809284566</v>
      </c>
      <c r="AV336" s="257">
        <f>IFERROR(IF(AND(COUNT(AR338,AS338,AT338,AU338)=4,N(AV341)&lt;&gt;0),(AR338+AS338+AT338+AU338)/AV341,""),"")</f>
        <v>0.476788809284566</v>
      </c>
      <c r="AW336" s="257">
        <f>IFERROR(IF(AND(COUNT(AS338,AT338,AU338,AW338)=4,N(AW341)&lt;&gt;0),(AS338+AT338+AU338+AW338)/AW341,""),"")</f>
        <v>0.607663725928634</v>
      </c>
      <c r="AX336" s="257">
        <f>IFERROR(IF(AND(COUNT(AT338,AU338,AW338,AX338)=4,N(AX341)&lt;&gt;0),(AT338+AU338+AW338+AX338)/AX341,""),"")</f>
        <v>0.886889294035277</v>
      </c>
      <c r="AY336" s="257">
        <f>IFERROR(IF(AND(COUNT(AU338,AW338,AX338,AY338)=4,N(AY341)&lt;&gt;0),(AU338+AW338+AX338+AY338)/AY341,""),"")</f>
        <v>1.96756582486611</v>
      </c>
      <c r="AZ336" s="257">
        <f>IFERROR(IF(AND(COUNT(AW338,AX338,AY338,AZ338)=4,N(AZ341)&lt;&gt;0),(AW338+AX338+AY338+AZ338)/AZ341,""),"")</f>
        <v>-5.49945265939976</v>
      </c>
      <c r="BA336" s="257">
        <f>IFERROR(IF(AND(COUNT(AW338,AX338,AY338,AZ338)=4,N(BA341)&lt;&gt;0),(AW338+AX338+AY338+AZ338)/BA341,""),"")</f>
        <v>-5.49945265939976</v>
      </c>
      <c r="BB336" s="257">
        <f>IFERROR(IF(AND(COUNT(AX338,AY338,AZ338,BB338)=4,N(BB341)&lt;&gt;0),(AX338+AY338+AZ338+BB338)/BB341,""),"")</f>
        <v>-0.95999788511159</v>
      </c>
      <c r="BC336" s="257">
        <f>IFERROR(IF(AND(COUNT(AY338,AZ338,BB338,BC338)=4,N(BC341)&lt;&gt;0),(AY338+AZ338+BB338+BC338)/BC341,""),"")</f>
        <v>-0.492286422054543</v>
      </c>
      <c r="BD336" s="257">
        <f>IFERROR(IF(AND(COUNT(AZ338,BB338,BC338,BD338)=4,N(BD341)&lt;&gt;0),(AZ338+BB338+BC338+BD338)/BD341,""),"")</f>
        <v>-0.312457667666212</v>
      </c>
      <c r="BE336" s="257">
        <f>IFERROR(IF(AND(COUNT(BB338,BC338,BD338,BE338)=4,N(BE341)&lt;&gt;0),(BB338+BC338+BD338+BE338)/BE341,""),"")</f>
        <v>-0.221847060708168</v>
      </c>
      <c r="BF336" s="257">
        <f>IFERROR(IF(AND(COUNT(BB338,BC338,BD338,BE338)=4,N(BF341)&lt;&gt;0),(BB338+BC338+BD338+BE338)/BF341,""),"")</f>
        <v>-0.221847060708168</v>
      </c>
      <c r="BG336" s="81" t="n"/>
      <c r="BH336" s="81" t="n"/>
      <c r="BI336" s="81" t="n"/>
      <c r="BJ336" s="81" t="n"/>
      <c r="BL336" s="81" t="n"/>
      <c r="BM336" s="81" t="n"/>
      <c r="BN336" s="81" t="n"/>
      <c r="BO336" s="81" t="n"/>
      <c r="BQ336" s="81" t="n"/>
      <c r="BR336" s="81" t="n"/>
      <c r="BS336" s="81" t="n"/>
      <c r="BT336" s="81" t="n"/>
      <c r="BV336" s="81" t="n"/>
      <c r="BW336" s="81" t="n"/>
      <c r="BX336" s="81" t="n"/>
      <c r="BY336" s="81" t="n"/>
      <c r="CA336" s="81" t="n"/>
      <c r="CB336" s="81" t="n"/>
      <c r="CC336" s="81" t="n"/>
      <c r="CD336" s="81" t="n"/>
      <c r="CF336" s="81" t="n"/>
      <c r="CG336" s="81" t="n"/>
      <c r="CH336" s="81" t="n"/>
      <c r="CI336" s="81" t="n"/>
      <c r="CK336" s="81" t="n"/>
      <c r="CL336" s="81" t="n"/>
      <c r="CM336" s="81" t="n"/>
      <c r="CN336" s="81" t="n"/>
      <c r="CP336" s="81" t="n"/>
      <c r="CQ336" s="81" t="n"/>
      <c r="CR336" s="81" t="n"/>
      <c r="CS336" s="81" t="n"/>
      <c r="CU336" s="81" t="n"/>
      <c r="CV336" s="81" t="n"/>
      <c r="CW336" s="81" t="n"/>
      <c r="CX336" s="81" t="n"/>
    </row>
    <row r="337" customFormat="1" s="84">
      <c r="A337" s="81" t="n"/>
      <c r="B337" s="81" t="n"/>
      <c r="C337" s="84" t="inlineStr">
        <is>
          <t>RETURN ON CAPITAL (ROIC) - EX GOODWILL - LTM</t>
        </is>
      </c>
      <c r="D337" t="str">
        <f>IFERROR(D338/D342,"")</f>
        <v/>
      </c>
      <c r="E337" t="str">
        <f>IFERROR(E338/E342,"")</f>
        <v/>
      </c>
      <c r="F337" t="str">
        <f>IFERROR(F338/F342,"")</f>
        <v/>
      </c>
      <c r="G337" t="str">
        <f>IFERROR(G338/G342,"")</f>
        <v/>
      </c>
      <c r="H337" s="257" t="str">
        <f>IFERROR(IF(AND(COUNT(H338)=1,N(H342)&lt;&gt;0),(H338)/H342,""),"")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IFERROR(IF(AND(COUNT(I338,J338,K338,L338)=4,N(L342)&lt;&gt;0),(I338+J338+K338+L338)/L342,""),"")</f>
        <v>0.543991658251028</v>
      </c>
      <c r="M337" s="257">
        <f>IFERROR(IF(AND(COUNT(I338,J338,K338,L338)=4,N(M342)&lt;&gt;0),(I338+J338+K338+L338)/M342,""),"")</f>
        <v>0.543991658251028</v>
      </c>
      <c r="N337" s="257">
        <f>IFERROR(IF(AND(COUNT(J338,K338,L338,N338)=4,N(N342)&lt;&gt;0),(J338+K338+L338+N338)/N342,""),"")</f>
        <v>0.499208040098374</v>
      </c>
      <c r="O337" s="257">
        <f>IFERROR(IF(AND(COUNT(K338,L338,N338,O338)=4,N(O342)&lt;&gt;0),(K338+L338+N338+O338)/O342,""),"")</f>
        <v>0.409667585557421</v>
      </c>
      <c r="P337" s="257">
        <f>IFERROR(IF(AND(COUNT(L338,N338,O338,P338)=4,N(P342)&lt;&gt;0),(L338+N338+O338+P338)/P342,""),"")</f>
        <v>0.325463676510037</v>
      </c>
      <c r="Q337" s="257">
        <f>IFERROR(IF(AND(COUNT(N338,O338,P338,Q338)=4,N(Q342)&lt;&gt;0),(N338+O338+P338+Q338)/Q342,""),"")</f>
        <v>0.255065157792202</v>
      </c>
      <c r="R337" s="257">
        <f>IFERROR(IF(AND(COUNT(N338,O338,P338,Q338)=4,N(R342)&lt;&gt;0),(N338+O338+P338+Q338)/R342,""),"")</f>
        <v>0.255065157792202</v>
      </c>
      <c r="S337" s="257">
        <f>IFERROR(IF(AND(COUNT(O338,P338,Q338,S338)=4,N(S342)&lt;&gt;0),(O338+P338+Q338+S338)/S342,""),"")</f>
        <v>0.231014806544507</v>
      </c>
      <c r="T337" s="257">
        <f>IFERROR(IF(AND(COUNT(P338,Q338,S338,T338)=4,N(T342)&lt;&gt;0),(P338+Q338+S338+T338)/T342,""),"")</f>
        <v>0.23738898308882</v>
      </c>
      <c r="U337" s="257">
        <f>IFERROR(IF(AND(COUNT(Q338,S338,T338,U338)=4,N(U342)&lt;&gt;0),(Q338+S338+T338+U338)/U342,""),"")</f>
        <v>0.305428827680008</v>
      </c>
      <c r="V337" s="257">
        <f>IFERROR(IF(AND(COUNT(S338,T338,U338,V338)=4,N(V342)&lt;&gt;0),(S338+T338+U338+V338)/V342,""),"")</f>
        <v>0.369351299620073</v>
      </c>
      <c r="W337" s="257">
        <f>IFERROR(IF(AND(COUNT(S338,T338,U338,V338)=4,N(W342)&lt;&gt;0),(S338+T338+U338+V338)/W342,""),"")</f>
        <v>0.369351299620073</v>
      </c>
      <c r="X337" s="257">
        <f>IFERROR(IF(AND(COUNT(T338,U338,V338,X338)=4,N(X342)&lt;&gt;0),(T338+U338+V338+X338)/X342,""),"")</f>
        <v>0.414659825441531</v>
      </c>
      <c r="Y337" s="257">
        <f>IFERROR(IF(AND(COUNT(U338,V338,X338,Y338)=4,N(Y342)&lt;&gt;0),(U338+V338+X338+Y338)/Y342,""),"")</f>
        <v>0.433609015423544</v>
      </c>
      <c r="Z337" s="257">
        <f>IFERROR(IF(AND(COUNT(V338,X338,Y338,Z338)=4,N(Z342)&lt;&gt;0),(V338+X338+Y338+Z338)/Z342,""),"")</f>
        <v>0.444358846742734</v>
      </c>
      <c r="AA337" s="257">
        <f>IFERROR(IF(AND(COUNT(X338,Y338,Z338,AA338)=4,N(AA342)&lt;&gt;0),(X338+Y338+Z338+AA338)/AA342,""),"")</f>
        <v>0.459580570926192</v>
      </c>
      <c r="AB337" s="257">
        <f>IFERROR(IF(AND(COUNT(X338,Y338,Z338,AA338)=4,N(AB342)&lt;&gt;0),(X338+Y338+Z338+AA338)/AB342,""),"")</f>
        <v>0.459580570926192</v>
      </c>
      <c r="AC337" s="257">
        <f>IFERROR(IF(AND(COUNT(Y338,Z338,AA338,AC338)=4,N(AC342)&lt;&gt;0),(Y338+Z338+AA338+AC338)/AC342,""),"")</f>
        <v>0.452956265910259</v>
      </c>
      <c r="AD337" s="257">
        <f>IFERROR(IF(AND(COUNT(Z338,AA338,AC338,AD338)=4,N(AD342)&lt;&gt;0),(Z338+AA338+AC338+AD338)/AD342,""),"")</f>
        <v>0.396220138418104</v>
      </c>
      <c r="AE337" s="257">
        <f>IFERROR(IF(AND(COUNT(AA338,AC338,AD338,AE338)=4,N(AE342)&lt;&gt;0),(AA338+AC338+AD338+AE338)/AE342,""),"")</f>
        <v>0.319678854133415</v>
      </c>
      <c r="AF337" s="257">
        <f>IFERROR(IF(AND(COUNT(AB338,AD338,AE338,AF338)=4,N(AF342)&lt;&gt;0),(AB338+AD338+AE338+AF338)/AF342,""),"")</f>
        <v>0.534678940862427</v>
      </c>
      <c r="AG337" s="257">
        <f>IFERROR(IF(AND(COUNT(AC338,AD338,AE338,AF338)=4,N(AG342)&lt;&gt;0),(AC338+AD338+AE338+AF338)/AG342,""),"")</f>
        <v>0.302225477336929</v>
      </c>
      <c r="AH337" s="257">
        <f>IFERROR(IF(AND(COUNT(AD338,AF338,AG338,AH338)=4,N(AH342)&lt;&gt;0),(AD338+AF338+AG338+AH338)/AH342,""),"")</f>
        <v>0.543090380650572</v>
      </c>
      <c r="AI337" s="257">
        <f>IFERROR(IF(AND(COUNT(AE338,AG338,AH338,AI338)=4,N(AI342)&lt;&gt;0),(AE338+AG338+AH338+AI338)/AI342,""),"")</f>
        <v>0.384390330098837</v>
      </c>
      <c r="AJ337" s="257">
        <f>IFERROR(IF(AND(COUNT(AF338,AH338,AI338,AJ338)=4,N(AJ342)&lt;&gt;0),(AF338+AH338+AI338+AJ338)/AJ342,""),"")</f>
        <v>0.297658326177494</v>
      </c>
      <c r="AK337" s="257">
        <f>IFERROR(IF(AND(COUNT(AH338,AI338,AJ338,AK338)=4,N(AK342)&lt;&gt;0),(AH338+AI338+AJ338+AK338)/AK342,""),"")</f>
        <v>0.289616278975962</v>
      </c>
      <c r="AL337" s="257">
        <f>IFERROR(IF(AND(COUNT(AH338,AI338,AJ338,AK338)=4,N(AL342)&lt;&gt;0),(AH338+AI338+AJ338+AK338)/AL342,""),"")</f>
        <v>0.289616278975962</v>
      </c>
      <c r="AM337" s="257">
        <f>IFERROR(IF(AND(COUNT(AI338,AJ338,AK338,AM338)=4,N(AM342)&lt;&gt;0),(AI338+AJ338+AK338+AM338)/AM342,""),"")</f>
        <v>0.281196641338108</v>
      </c>
      <c r="AN337" s="257">
        <f>IFERROR(IF(AND(COUNT(AJ338,AK338,AM338,AN338)=4,N(AN342)&lt;&gt;0),(AJ338+AK338+AM338+AN338)/AN342,""),"")</f>
        <v>0.302940700836084</v>
      </c>
      <c r="AO337" s="257">
        <f>IFERROR(IF(AND(COUNT(AK338,AM338,AN338,AO338)=4,N(AO342)&lt;&gt;0),(AK338+AM338+AN338+AO338)/AO342,""),"")</f>
        <v>0.315904924571621</v>
      </c>
      <c r="AP337" s="257">
        <f>IFERROR(IF(AND(COUNT(AM338,AN338,AO338,AP338)=4,N(AP342)&lt;&gt;0),(AM338+AN338+AO338+AP338)/AP342,""),"")</f>
        <v>0.331180118533244</v>
      </c>
      <c r="AQ337" s="257">
        <f>IFERROR(IF(AND(COUNT(AM338,AN338,AO338,AP338)=4,N(AQ342)&lt;&gt;0),(AM338+AN338+AO338+AP338)/AQ342,""),"")</f>
        <v>0.331180118533244</v>
      </c>
      <c r="AR337" s="257">
        <f>IFERROR(IF(AND(COUNT(AN338,AO338,AP338,AR338)=4,N(AR342)&lt;&gt;0),(AN338+AO338+AP338+AR338)/AR342,""),"")</f>
        <v>0.356793260874199</v>
      </c>
      <c r="AS337" s="257">
        <f>IFERROR(IF(AND(COUNT(AO338,AP338,AR338,AS338)=4,N(AS342)&lt;&gt;0),(AO338+AP338+AR338+AS338)/AS342,""),"")</f>
        <v>0.3910969432615</v>
      </c>
      <c r="AT337" s="257">
        <f>IFERROR(IF(AND(COUNT(AP338,AR338,AS338,AT338)=4,N(AT342)&lt;&gt;0),(AP338+AR338+AS338+AT338)/AT342,""),"")</f>
        <v>0.444080780131961</v>
      </c>
      <c r="AU337" s="257">
        <f>IFERROR(IF(AND(COUNT(AR338,AS338,AT338,AU338)=4,N(AU342)&lt;&gt;0),(AR338+AS338+AT338+AU338)/AU342,""),"")</f>
        <v>0.522276940498588</v>
      </c>
      <c r="AV337" s="257">
        <f>IFERROR(IF(AND(COUNT(AR338,AS338,AT338,AU338)=4,N(AV342)&lt;&gt;0),(AR338+AS338+AT338+AU338)/AV342,""),"")</f>
        <v>0.522276940498588</v>
      </c>
      <c r="AW337" s="257">
        <f>IFERROR(IF(AND(COUNT(AS338,AT338,AU338,AW338)=4,N(AW342)&lt;&gt;0),(AS338+AT338+AU338+AW338)/AW342,""),"")</f>
        <v>0.679317012283713</v>
      </c>
      <c r="AX337" s="257">
        <f>IFERROR(IF(AND(COUNT(AT338,AU338,AW338,AX338)=4,N(AX342)&lt;&gt;0),(AT338+AU338+AW338+AX338)/AX342,""),"")</f>
        <v>1.03862837642142</v>
      </c>
      <c r="AY337" s="257">
        <f>IFERROR(IF(AND(COUNT(AU338,AW338,AX338,AY338)=4,N(AY342)&lt;&gt;0),(AU338+AW338+AX338+AY338)/AY342,""),"")</f>
        <v>2.84172045070007</v>
      </c>
      <c r="AZ337" s="257">
        <f>IFERROR(IF(AND(COUNT(AW338,AX338,AY338,AZ338)=4,N(AZ342)&lt;&gt;0),(AW338+AX338+AY338+AZ338)/AZ342,""),"")</f>
        <v>-3.03583041568101</v>
      </c>
      <c r="BA337" s="257">
        <f>IFERROR(IF(AND(COUNT(AW338,AX338,AY338,AZ338)=4,N(BA342)&lt;&gt;0),(AW338+AX338+AY338+AZ338)/BA342,""),"")</f>
        <v>-3.03583041568101</v>
      </c>
      <c r="BB337" s="257">
        <f>IFERROR(IF(AND(COUNT(AX338,AY338,AZ338,BB338)=4,N(BB342)&lt;&gt;0),(AX338+AY338+AZ338+BB338)/BB342,""),"")</f>
        <v>-0.845998941827896</v>
      </c>
      <c r="BC337" s="257">
        <f>IFERROR(IF(AND(COUNT(AY338,AZ338,BB338,BC338)=4,N(BC342)&lt;&gt;0),(AY338+AZ338+BB338+BC338)/BC342,""),"")</f>
        <v>-0.461961815526362</v>
      </c>
      <c r="BD337" s="257">
        <f>IFERROR(IF(AND(COUNT(AZ338,BB338,BC338,BD338)=4,N(BD342)&lt;&gt;0),(AZ338+BB338+BC338+BD338)/BD342,""),"")</f>
        <v>-0.30056101240416</v>
      </c>
      <c r="BE337" s="257">
        <f>IFERROR(IF(AND(COUNT(BB338,BC338,BD338,BE338)=4,N(BE342)&lt;&gt;0),(BB338+BC338+BD338+BE338)/BE342,""),"")</f>
        <v>-0.216108972178606</v>
      </c>
      <c r="BF337" s="257">
        <f>IFERROR(IF(AND(COUNT(BB338,BC338,BD338,BE338)=4,N(BF342)&lt;&gt;0),(BB338+BC338+BD338+BE338)/BF342,""),"")</f>
        <v>-0.216108972178606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77">
      <c r="A338" s="76" t="n"/>
      <c r="B338" s="76" t="n"/>
      <c r="C338" s="77" t="inlineStr">
        <is>
          <t>NOPLAT</t>
        </is>
      </c>
      <c r="D338">
        <f>IFERROR(D339*(1-D340),"")</f>
        <v>0</v>
      </c>
      <c r="E338">
        <f>IFERROR(E339*(1-E340),"")</f>
        <v>0</v>
      </c>
      <c r="F338">
        <f>IFERROR(F339*(1-F340),"")</f>
        <v>0</v>
      </c>
      <c r="G338">
        <f>IFERROR(G339*(1-G340),"")</f>
        <v>0</v>
      </c>
      <c r="H338" s="263">
        <f>IFERROR(H339*(1-N(H340)),0)</f>
        <v>0</v>
      </c>
      <c r="I338" s="263">
        <f>IFERROR(I339*(1-N(I340)),0)</f>
        <v>9393.79866121881</v>
      </c>
      <c r="J338" s="263">
        <f>IFERROR(J339*(1-N(J340)),0)</f>
        <v>10272.7242068249</v>
      </c>
      <c r="K338" s="263">
        <f>IFERROR(K339*(1-N(K340)),0)</f>
        <v>9070.42707051585</v>
      </c>
      <c r="L338" s="263">
        <f>IFERROR(L339*(1-N(L340)),0)</f>
        <v>10189.4611509092</v>
      </c>
      <c r="M338" s="263">
        <f>IFERROR(M339*(1-N(M340)),0)</f>
        <v>38927.8743338127</v>
      </c>
      <c r="N338" s="263">
        <f>IFERROR(N339*(1-N(N340)),0)</f>
        <v>7143.20386169735</v>
      </c>
      <c r="O338" s="263">
        <f>IFERROR(O339*(1-N(O340)),0)</f>
        <v>6827.50378695333</v>
      </c>
      <c r="P338" s="263">
        <f>IFERROR(P339*(1-N(P340)),0)</f>
        <v>4464.36154949785</v>
      </c>
      <c r="Q338" s="263">
        <f>IFERROR(Q339*(1-N(Q340)),0)</f>
        <v>4842.1771019678</v>
      </c>
      <c r="R338" s="263">
        <f>IFERROR(R339*(1-N(R340)),0)</f>
        <v>23301.4330823415</v>
      </c>
      <c r="S338" s="263">
        <f>IFERROR(S339*(1-N(S340)),0)</f>
        <v>5646.49555221021</v>
      </c>
      <c r="T338" s="263">
        <f>IFERROR(T339*(1-N(T340)),0)</f>
        <v>7870.96696438179</v>
      </c>
      <c r="U338" s="263">
        <f>IFERROR(U339*(1-N(U340)),0)</f>
        <v>11358.2798858773</v>
      </c>
      <c r="V338" s="263">
        <f>IFERROR(V339*(1-N(V340)),0)</f>
        <v>13664.2189563872</v>
      </c>
      <c r="W338" s="263">
        <f>IFERROR(W339*(1-N(W340)),0)</f>
        <v>38539.7315242373</v>
      </c>
      <c r="X338" s="263">
        <f>IFERROR(X339*(1-N(X340)),0)</f>
        <v>12050.6833533103</v>
      </c>
      <c r="Y338" s="263">
        <f>IFERROR(Y339*(1-N(Y340)),0)</f>
        <v>13234.1357738647</v>
      </c>
      <c r="Z338" s="263">
        <f>IFERROR(Z339*(1-N(Z340)),0)</f>
        <v>15272.5171136797</v>
      </c>
      <c r="AA338" s="263">
        <f>IFERROR(AA339*(1-N(AA340)),0)</f>
        <v>20671.6640625</v>
      </c>
      <c r="AB338" s="263">
        <f>IFERROR(AB339*(1-N(AB340)),0)</f>
        <v>61226.8717716485</v>
      </c>
      <c r="AC338" s="263">
        <f>IFERROR(AC339*(1-N(AC340)),0)</f>
        <v>15895.1920356871</v>
      </c>
      <c r="AD338" s="263">
        <f>IFERROR(AD339*(1-N(AD340)),0)</f>
        <v>18253.9503749878</v>
      </c>
      <c r="AE338" s="263">
        <f>IFERROR(AE339*(1-N(AE340)),0)</f>
        <v>2567.94142085584</v>
      </c>
      <c r="AF338" s="263">
        <f>IFERROR(AF339*(1-N(AF340)),0)</f>
        <v>22221.1154058531</v>
      </c>
      <c r="AG338" s="263">
        <f>IFERROR(AG339*(1-N(AG340)),0)</f>
        <v>58588.6726635867</v>
      </c>
      <c r="AH338" s="263">
        <f>IFERROR(AH339*(1-N(AH340)),0)</f>
        <v>22872</v>
      </c>
      <c r="AI338" s="263">
        <f>IFERROR(AI339*(1-N(AI340)),0)</f>
        <v>15864.0541693325</v>
      </c>
      <c r="AJ338" s="263">
        <f>IFERROR(AJ339*(1-N(AJ340)),0)</f>
        <v>20650.7966010952</v>
      </c>
      <c r="AK338" s="263">
        <f>IFERROR(AK339*(1-N(AK340)),0)</f>
        <v>24137.1952856913</v>
      </c>
      <c r="AL338" s="263">
        <f>IFERROR(AL339*(1-N(AL340)),0)</f>
        <v>88343.3392594891</v>
      </c>
      <c r="AM338" s="263">
        <f>IFERROR(AM339*(1-N(AM340)),0)</f>
        <v>22693.630369702</v>
      </c>
      <c r="AN338" s="263">
        <f>IFERROR(AN339*(1-N(AN340)),0)</f>
        <v>24503.1240806992</v>
      </c>
      <c r="AO338" s="263">
        <f>IFERROR(AO339*(1-N(AO340)),0)</f>
        <v>25770.6286115022</v>
      </c>
      <c r="AP338" s="263">
        <f>IFERROR(AP339*(1-N(AP340)),0)</f>
        <v>30121.3898643438</v>
      </c>
      <c r="AQ338" s="263">
        <f>IFERROR(AQ339*(1-N(AQ340)),0)</f>
        <v>103088.772926247</v>
      </c>
      <c r="AR338" s="263">
        <f>IFERROR(AR339*(1-N(AR340)),0)</f>
        <v>28206.4621346802</v>
      </c>
      <c r="AS338" s="263">
        <f>IFERROR(AS339*(1-N(AS340)),0)</f>
        <v>30455.525638875</v>
      </c>
      <c r="AT338" s="263">
        <f>IFERROR(AT339*(1-N(AT340)),0)</f>
        <v>32030.9376805448</v>
      </c>
      <c r="AU338" s="263">
        <f>IFERROR(AU339*(1-N(AU340)),0)</f>
        <v>37438.604084557</v>
      </c>
      <c r="AV338" s="263">
        <f>IFERROR(AV339*(1-N(AV340)),0)</f>
        <v>128131.529538657</v>
      </c>
      <c r="AW338" s="263">
        <f>IFERROR(AW339*(1-N(AW340)),0)</f>
        <v>34917.4617774892</v>
      </c>
      <c r="AX338" s="263">
        <f>IFERROR(AX339*(1-N(AX340)),0)</f>
        <v>37701.6318931137</v>
      </c>
      <c r="AY338" s="263">
        <f>IFERROR(AY339*(1-N(AY340)),0)</f>
        <v>39651.8725679683</v>
      </c>
      <c r="AZ338" s="263">
        <f>IFERROR(AZ339*(1-N(AZ340)),0)</f>
        <v>46346.1536183859</v>
      </c>
      <c r="BA338" s="263">
        <f>IFERROR(BA339*(1-N(BA340)),0)</f>
        <v>158617.119856957</v>
      </c>
      <c r="BB338" s="263">
        <f>IFERROR(BB339*(1-N(BB340)),0)</f>
        <v>43050.5832623401</v>
      </c>
      <c r="BC338" s="263">
        <f>IFERROR(BC339*(1-N(BC340)),0)</f>
        <v>46483.2539456508</v>
      </c>
      <c r="BD338" s="263">
        <f>IFERROR(BD339*(1-N(BD340)),0)</f>
        <v>48887.752849078</v>
      </c>
      <c r="BE338" s="263">
        <f>IFERROR(BE339*(1-N(BE340)),0)</f>
        <v>57141.2938876279</v>
      </c>
      <c r="BF338" s="263">
        <f>IFERROR(BF339*(1-N(BF340)),0)</f>
        <v>195562.883944697</v>
      </c>
      <c r="BG338" s="85" t="n"/>
      <c r="BH338" s="76" t="n"/>
      <c r="BI338" s="76" t="n"/>
      <c r="BJ338" s="76" t="n"/>
      <c r="BL338" s="85" t="n"/>
      <c r="BM338" s="76" t="n"/>
      <c r="BN338" s="76" t="n"/>
      <c r="BO338" s="76" t="n"/>
      <c r="BQ338" s="85" t="n"/>
      <c r="BR338" s="76" t="n"/>
      <c r="BS338" s="76" t="n"/>
      <c r="BT338" s="76" t="n"/>
      <c r="BV338" s="85" t="n"/>
      <c r="BW338" s="76" t="n"/>
      <c r="BX338" s="76" t="n"/>
      <c r="BY338" s="76" t="n"/>
      <c r="CA338" s="85" t="n"/>
      <c r="CB338" s="76" t="n"/>
      <c r="CC338" s="76" t="n"/>
      <c r="CD338" s="76" t="n"/>
      <c r="CF338" s="85" t="n"/>
      <c r="CG338" s="76" t="n"/>
      <c r="CH338" s="76" t="n"/>
      <c r="CI338" s="76" t="n"/>
      <c r="CK338" s="85" t="n"/>
      <c r="CL338" s="76" t="n"/>
      <c r="CM338" s="76" t="n"/>
      <c r="CN338" s="76" t="n"/>
      <c r="CP338" s="85" t="n"/>
      <c r="CQ338" s="76" t="n"/>
      <c r="CR338" s="76" t="n"/>
      <c r="CS338" s="76" t="n"/>
      <c r="CU338" s="85" t="n"/>
      <c r="CV338" s="76" t="n"/>
      <c r="CW338" s="76" t="n"/>
      <c r="CX338" s="76" t="n"/>
    </row>
    <row r="339" customFormat="1" s="77">
      <c r="A339" s="76" t="n"/>
      <c r="B339" s="76" t="n"/>
      <c r="C339" s="77" t="inlineStr">
        <is>
          <t>EBIT</t>
        </is>
      </c>
      <c r="D339" s="86">
        <f>IFERROR(D121,"")</f>
        <v>0</v>
      </c>
      <c r="E339" s="86">
        <f>IFERROR(E121,"")</f>
        <v>0</v>
      </c>
      <c r="F339" s="86">
        <f>IFERROR(F121,"")</f>
        <v>0</v>
      </c>
      <c r="G339" s="86">
        <f>IFERROR(G121,"")</f>
        <v>0</v>
      </c>
      <c r="H339" s="263">
        <f>IFERROR(H64,0)</f>
        <v>0</v>
      </c>
      <c r="I339" s="263">
        <f>IFERROR(I64,0)</f>
        <v>11378</v>
      </c>
      <c r="J339" s="263">
        <f>IFERROR(J64,0)</f>
        <v>12367</v>
      </c>
      <c r="K339" s="263">
        <f>IFERROR(K64,0)</f>
        <v>10423</v>
      </c>
      <c r="L339" s="263">
        <f>IFERROR(L64,0)</f>
        <v>12585</v>
      </c>
      <c r="M339" s="263">
        <f>IFERROR(M64,0)</f>
        <v>46753</v>
      </c>
      <c r="N339" s="263">
        <f>IFERROR(N64,0)</f>
        <v>8524</v>
      </c>
      <c r="O339" s="263">
        <f>IFERROR(O64,0)</f>
        <v>8358</v>
      </c>
      <c r="P339" s="263">
        <f>IFERROR(P64,0)</f>
        <v>5664</v>
      </c>
      <c r="Q339" s="263">
        <f>IFERROR(Q64,0)</f>
        <v>6399</v>
      </c>
      <c r="R339" s="263">
        <f>IFERROR(R64,0)</f>
        <v>28945</v>
      </c>
      <c r="S339" s="263">
        <f>IFERROR(S64,0)</f>
        <v>7227</v>
      </c>
      <c r="T339" s="263">
        <f>IFERROR(T64,0)</f>
        <v>9392</v>
      </c>
      <c r="U339" s="263">
        <f>IFERROR(U64,0)</f>
        <v>13748</v>
      </c>
      <c r="V339" s="263">
        <f>IFERROR(V64,0)</f>
        <v>16384</v>
      </c>
      <c r="W339" s="263">
        <f>IFERROR(W64,0)</f>
        <v>46751</v>
      </c>
      <c r="X339" s="263">
        <f>IFERROR(X64,0)</f>
        <v>13818</v>
      </c>
      <c r="Y339" s="263">
        <f>IFERROR(Y64,0)</f>
        <v>14847</v>
      </c>
      <c r="Z339" s="263">
        <f>IFERROR(Z64,0)</f>
        <v>17350</v>
      </c>
      <c r="AA339" s="263">
        <f>IFERROR(AA64,0)</f>
        <v>23364</v>
      </c>
      <c r="AB339" s="263">
        <f>IFERROR(AB64,0)</f>
        <v>69379</v>
      </c>
      <c r="AC339" s="263">
        <f>IFERROR(AC64,0)</f>
        <v>17555</v>
      </c>
      <c r="AD339" s="263">
        <f>IFERROR(AD64,0)</f>
        <v>20441</v>
      </c>
      <c r="AE339" s="263">
        <f>IFERROR(AE64,0)</f>
        <v>20535</v>
      </c>
      <c r="AF339" s="263">
        <f>IFERROR(AF64,0)</f>
        <v>24745</v>
      </c>
      <c r="AG339" s="263">
        <f>IFERROR(AG64,0)</f>
        <v>83276</v>
      </c>
      <c r="AH339" s="263">
        <f>IFERROR(AH64,0)</f>
        <v>22872</v>
      </c>
      <c r="AI339" s="263">
        <f>IFERROR(AI64,0)</f>
        <v>18775</v>
      </c>
      <c r="AJ339" s="263">
        <f>IFERROR(AJ64,0)</f>
        <v>25300.633326052</v>
      </c>
      <c r="AK339" s="263">
        <f>IFERROR(AK64,0)</f>
        <v>29572.0469887443</v>
      </c>
      <c r="AL339" s="263">
        <f>IFERROR(AL64,0)</f>
        <v>96519.6803147964</v>
      </c>
      <c r="AM339" s="263">
        <f>IFERROR(AM64,0)</f>
        <v>27803.4417708777</v>
      </c>
      <c r="AN339" s="263">
        <f>IFERROR(AN64,0)</f>
        <v>30020.3701427987</v>
      </c>
      <c r="AO339" s="263">
        <f>IFERROR(AO64,0)</f>
        <v>31573.2723379255</v>
      </c>
      <c r="AP339" s="263">
        <f>IFERROR(AP64,0)</f>
        <v>36903.672771074</v>
      </c>
      <c r="AQ339" s="263">
        <f>IFERROR(AQ64,0)</f>
        <v>126300.757022676</v>
      </c>
      <c r="AR339" s="263">
        <f>IFERROR(AR64,0)</f>
        <v>34557.5703291208</v>
      </c>
      <c r="AS339" s="263">
        <f>IFERROR(AS64,0)</f>
        <v>37313.0442290293</v>
      </c>
      <c r="AT339" s="263">
        <f>IFERROR(AT64,0)</f>
        <v>39243.1839313215</v>
      </c>
      <c r="AU339" s="263">
        <f>IFERROR(AU64,0)</f>
        <v>45868.4675695453</v>
      </c>
      <c r="AV339" s="263">
        <f>IFERROR(AV64,0)</f>
        <v>156982.266059017</v>
      </c>
      <c r="AW339" s="263">
        <f>IFERROR(AW64,0)</f>
        <v>42779.6522416885</v>
      </c>
      <c r="AX339" s="263">
        <f>IFERROR(AX64,0)</f>
        <v>46190.7200359947</v>
      </c>
      <c r="AY339" s="263">
        <f>IFERROR(AY64,0)</f>
        <v>48580.0866626281</v>
      </c>
      <c r="AZ339" s="263">
        <f>IFERROR(AZ64,0)</f>
        <v>56781.6855408607</v>
      </c>
      <c r="BA339" s="263">
        <f>IFERROR(BA64,0)</f>
        <v>194332.144481172</v>
      </c>
      <c r="BB339" s="263">
        <f>IFERROR(BB64,0)</f>
        <v>52744.0680683174</v>
      </c>
      <c r="BC339" s="263">
        <f>IFERROR(BC64,0)</f>
        <v>56949.6560640331</v>
      </c>
      <c r="BD339" s="263">
        <f>IFERROR(BD64,0)</f>
        <v>59895.5639756572</v>
      </c>
      <c r="BE339" s="263">
        <f>IFERROR(BE64,0)</f>
        <v>70007.5136254251</v>
      </c>
      <c r="BF339" s="263">
        <f>IFERROR(BF64,0)</f>
        <v>239596.801733433</v>
      </c>
      <c r="BG339" s="63" t="n"/>
      <c r="BH339" s="63" t="n"/>
      <c r="BI339" s="63" t="n"/>
      <c r="BJ339" s="63" t="n"/>
      <c r="BL339" s="63" t="n"/>
      <c r="BM339" s="63" t="n"/>
      <c r="BN339" s="63" t="n"/>
      <c r="BO339" s="63" t="n"/>
      <c r="BQ339" s="63" t="n"/>
      <c r="BR339" s="63" t="n"/>
      <c r="BS339" s="63" t="n"/>
      <c r="BT339" s="63" t="n"/>
      <c r="BV339" s="63" t="n"/>
      <c r="BW339" s="63" t="n"/>
      <c r="BX339" s="63" t="n"/>
      <c r="BY339" s="63" t="n"/>
      <c r="CA339" s="63" t="n"/>
      <c r="CB339" s="63" t="n"/>
      <c r="CC339" s="63" t="n"/>
      <c r="CD339" s="63" t="n"/>
      <c r="CF339" s="63" t="n"/>
      <c r="CG339" s="63" t="n"/>
      <c r="CH339" s="63" t="n"/>
      <c r="CI339" s="63" t="n"/>
      <c r="CK339" s="63" t="n"/>
      <c r="CL339" s="63" t="n"/>
      <c r="CM339" s="63" t="n"/>
      <c r="CN339" s="63" t="n"/>
      <c r="CP339" s="63" t="n"/>
      <c r="CQ339" s="63" t="n"/>
      <c r="CR339" s="63" t="n"/>
      <c r="CS339" s="63" t="n"/>
      <c r="CU339" s="63" t="n"/>
      <c r="CV339" s="63" t="n"/>
      <c r="CW339" s="63" t="n"/>
      <c r="CX339" s="63" t="n"/>
    </row>
    <row r="340" customFormat="1" s="77">
      <c r="A340" s="76" t="n"/>
      <c r="B340" s="76" t="n"/>
      <c r="C340" s="77" t="inlineStr">
        <is>
          <t>ETR (LIMITED TO 0%-100%)</t>
        </is>
      </c>
      <c r="D340" s="87">
        <f>IFERROR(D123,"")</f>
        <v>0</v>
      </c>
      <c r="E340" s="87">
        <f>IFERROR(E123,"")</f>
        <v>0</v>
      </c>
      <c r="F340" s="87">
        <f>IFERROR(F123,"")</f>
        <v>0</v>
      </c>
      <c r="G340" s="87">
        <f>IFERROR(G123,"")</f>
        <v>0</v>
      </c>
      <c r="H340" s="258" t="str">
        <f>IFERROR(IF(N(H121)&lt;&gt;0,MAX(0,MIN(1,-H122/H121)),""),"")</f>
        <v/>
      </c>
      <c r="I340" s="258">
        <f>IFERROR(IF(N(I121)&lt;&gt;0,MAX(0,MIN(1,-I122/I121)),""),"")</f>
        <v>0.1743892897505</v>
      </c>
      <c r="J340" s="258">
        <f>IFERROR(IF(N(J121)&lt;&gt;0,MAX(0,MIN(1,-J122/J121)),""),"")</f>
        <v>0.169343882362343</v>
      </c>
      <c r="K340" s="258">
        <f>IFERROR(IF(N(K121)&lt;&gt;0,MAX(0,MIN(1,-K122/K121)),""),"")</f>
        <v>0.129768102224326</v>
      </c>
      <c r="L340" s="258">
        <f>IFERROR(IF(N(L121)&lt;&gt;0,MAX(0,MIN(1,-L122/L121)),""),"")</f>
        <v>0.190348736518933</v>
      </c>
      <c r="M340" s="258">
        <f>IFERROR(IF(N(M121)&lt;&gt;0,MAX(0,MIN(1,-M122/M121)),""),"")</f>
        <v>0.167371626765925</v>
      </c>
      <c r="N340" s="258">
        <f>IFERROR(IF(N(N121)&lt;&gt;0,MAX(0,MIN(1,-N122/N121)),""),"")</f>
        <v>0.161989223170184</v>
      </c>
      <c r="O340" s="258">
        <f>IFERROR(IF(N(O121)&lt;&gt;0,MAX(0,MIN(1,-O122/O121)),""),"")</f>
        <v>0.183117517713169</v>
      </c>
      <c r="P340" s="258">
        <f>IFERROR(IF(N(P121)&lt;&gt;0,MAX(0,MIN(1,-P122/P121)),""),"")</f>
        <v>0.211800573888092</v>
      </c>
      <c r="Q340" s="258">
        <f>IFERROR(IF(N(Q121)&lt;&gt;0,MAX(0,MIN(1,-Q122/Q121)),""),"")</f>
        <v>0.243291592128801</v>
      </c>
      <c r="R340" s="258">
        <f>IFERROR(IF(N(R121)&lt;&gt;0,MAX(0,MIN(1,-R122/R121)),""),"")</f>
        <v>0.194975536972136</v>
      </c>
      <c r="S340" s="258">
        <f>IFERROR(IF(N(S121)&lt;&gt;0,MAX(0,MIN(1,-S122/S121)),""),"")</f>
        <v>0.218694402627617</v>
      </c>
      <c r="T340" s="258">
        <f>IFERROR(IF(N(T121)&lt;&gt;0,MAX(0,MIN(1,-T122/T121)),""),"")</f>
        <v>0.161949854729366</v>
      </c>
      <c r="U340" s="258">
        <f>IFERROR(IF(N(U121)&lt;&gt;0,MAX(0,MIN(1,-U122/U121)),""),"")</f>
        <v>0.173823109843081</v>
      </c>
      <c r="V340" s="258">
        <f>IFERROR(IF(N(V121)&lt;&gt;0,MAX(0,MIN(1,-V122/V121)),""),"")</f>
        <v>0.166002260962694</v>
      </c>
      <c r="W340" s="258">
        <f>IFERROR(IF(N(W121)&lt;&gt;0,MAX(0,MIN(1,-W122/W121)),""),"")</f>
        <v>0.175638349463386</v>
      </c>
      <c r="X340" s="258">
        <f>IFERROR(IF(N(X121)&lt;&gt;0,MAX(0,MIN(1,-X122/X121)),""),"")</f>
        <v>0.127899598110414</v>
      </c>
      <c r="Y340" s="258">
        <f>IFERROR(IF(N(Y121)&lt;&gt;0,MAX(0,MIN(1,-Y122/Y121)),""),"")</f>
        <v>0.108632331523898</v>
      </c>
      <c r="Z340" s="258">
        <f>IFERROR(IF(N(Z121)&lt;&gt;0,MAX(0,MIN(1,-Z122/Z121)),""),"")</f>
        <v>0.119739647626529</v>
      </c>
      <c r="AA340" s="258">
        <f>IFERROR(IF(N(AA121)&lt;&gt;0,MAX(0,MIN(1,-AA122/AA121)),""),"")</f>
        <v>0.115234375</v>
      </c>
      <c r="AB340" s="258">
        <f>IFERROR(IF(N(AB121)&lt;&gt;0,MAX(0,MIN(1,-AB122/AB121)),""),"")</f>
        <v>0.117501379788574</v>
      </c>
      <c r="AC340" s="258">
        <f>IFERROR(IF(N(AC121)&lt;&gt;0,MAX(0,MIN(1,-AC122/AC121)),""),"")</f>
        <v>0.0945490153410946</v>
      </c>
      <c r="AD340" s="258">
        <f>IFERROR(IF(N(AD121)&lt;&gt;0,MAX(0,MIN(1,-AD122/AD121)),""),"")</f>
        <v>0.106993279438979</v>
      </c>
      <c r="AE340" s="258">
        <f>IFERROR(IF(N(AE121)&lt;&gt;0,MAX(0,MIN(1,-AE122/AE121)),""),"")</f>
        <v>0.874948068134607</v>
      </c>
      <c r="AF340" s="258">
        <f>IFERROR(IF(N(AF121)&lt;&gt;0,MAX(0,MIN(1,-AF122/AF121)),""),"")</f>
        <v>0.10199574031711</v>
      </c>
      <c r="AG340" s="258">
        <f>IFERROR(IF(N(AG121)&lt;&gt;0,MAX(0,MIN(1,-AG122/AG121)),""),"")</f>
        <v>0.29645188693517</v>
      </c>
      <c r="AH340" s="258">
        <f>IFERROR(IF(N(AH121)&lt;&gt;0,MAX(0,MIN(1,-AH122/AH121)),""),"")</f>
        <v>0</v>
      </c>
      <c r="AI340" s="258">
        <f>IFERROR(IF(N(AI121)&lt;&gt;0,MAX(0,MIN(1,-AI122/AI121)),""),"")</f>
        <v>0.155043719343144</v>
      </c>
      <c r="AJ340" s="258">
        <f>IFERROR(IF(N(AJ121)&lt;&gt;0,MAX(0,MIN(1,-AJ122/AJ121)),""),"")</f>
        <v>0.18378341225826</v>
      </c>
      <c r="AK340" s="258">
        <f>IFERROR(IF(N(AK121)&lt;&gt;0,MAX(0,MIN(1,-AK122/AK121)),""),"")</f>
        <v>0.18378341225826</v>
      </c>
      <c r="AL340" s="258">
        <f>IFERROR(IF(N(AL121)&lt;&gt;0,MAX(0,MIN(1,-AL122/AL121)),""),"")</f>
        <v>0.0847116466677087</v>
      </c>
      <c r="AM340" s="258">
        <f>IFERROR(IF(N(AM121)&lt;&gt;0,MAX(0,MIN(1,-AM122/AM121)),""),"")</f>
        <v>0.18378341225826</v>
      </c>
      <c r="AN340" s="258">
        <f>IFERROR(IF(N(AN121)&lt;&gt;0,MAX(0,MIN(1,-AN122/AN121)),""),"")</f>
        <v>0.18378341225826</v>
      </c>
      <c r="AO340" s="258">
        <f>IFERROR(IF(N(AO121)&lt;&gt;0,MAX(0,MIN(1,-AO122/AO121)),""),"")</f>
        <v>0.18378341225826</v>
      </c>
      <c r="AP340" s="258">
        <f>IFERROR(IF(N(AP121)&lt;&gt;0,MAX(0,MIN(1,-AP122/AP121)),""),"")</f>
        <v>0.18378341225826</v>
      </c>
      <c r="AQ340" s="258">
        <f>IFERROR(IF(N(AQ121)&lt;&gt;0,MAX(0,MIN(1,-AQ122/AQ121)),""),"")</f>
        <v>0.18378341225826</v>
      </c>
      <c r="AR340" s="258">
        <f>IFERROR(IF(N(AR121)&lt;&gt;0,MAX(0,MIN(1,-AR122/AR121)),""),"")</f>
        <v>0.18378341225826</v>
      </c>
      <c r="AS340" s="258">
        <f>IFERROR(IF(N(AS121)&lt;&gt;0,MAX(0,MIN(1,-AS122/AS121)),""),"")</f>
        <v>0.18378341225826</v>
      </c>
      <c r="AT340" s="258">
        <f>IFERROR(IF(N(AT121)&lt;&gt;0,MAX(0,MIN(1,-AT122/AT121)),""),"")</f>
        <v>0.18378341225826</v>
      </c>
      <c r="AU340" s="258">
        <f>IFERROR(IF(N(AU121)&lt;&gt;0,MAX(0,MIN(1,-AU122/AU121)),""),"")</f>
        <v>0.18378341225826</v>
      </c>
      <c r="AV340" s="258">
        <f>IFERROR(IF(N(AV121)&lt;&gt;0,MAX(0,MIN(1,-AV122/AV121)),""),"")</f>
        <v>0.18378341225826</v>
      </c>
      <c r="AW340" s="258">
        <f>IFERROR(IF(N(AW121)&lt;&gt;0,MAX(0,MIN(1,-AW122/AW121)),""),"")</f>
        <v>0.18378341225826</v>
      </c>
      <c r="AX340" s="258">
        <f>IFERROR(IF(N(AX121)&lt;&gt;0,MAX(0,MIN(1,-AX122/AX121)),""),"")</f>
        <v>0.18378341225826</v>
      </c>
      <c r="AY340" s="258">
        <f>IFERROR(IF(N(AY121)&lt;&gt;0,MAX(0,MIN(1,-AY122/AY121)),""),"")</f>
        <v>0.18378341225826</v>
      </c>
      <c r="AZ340" s="258">
        <f>IFERROR(IF(N(AZ121)&lt;&gt;0,MAX(0,MIN(1,-AZ122/AZ121)),""),"")</f>
        <v>0.18378341225826</v>
      </c>
      <c r="BA340" s="258">
        <f>IFERROR(IF(N(BA121)&lt;&gt;0,MAX(0,MIN(1,-BA122/BA121)),""),"")</f>
        <v>0.18378341225826</v>
      </c>
      <c r="BB340" s="258">
        <f>IFERROR(IF(N(BB121)&lt;&gt;0,MAX(0,MIN(1,-BB122/BB121)),""),"")</f>
        <v>0.18378341225826</v>
      </c>
      <c r="BC340" s="258">
        <f>IFERROR(IF(N(BC121)&lt;&gt;0,MAX(0,MIN(1,-BC122/BC121)),""),"")</f>
        <v>0.18378341225826</v>
      </c>
      <c r="BD340" s="258">
        <f>IFERROR(IF(N(BD121)&lt;&gt;0,MAX(0,MIN(1,-BD122/BD121)),""),"")</f>
        <v>0.18378341225826</v>
      </c>
      <c r="BE340" s="258">
        <f>IFERROR(IF(N(BE121)&lt;&gt;0,MAX(0,MIN(1,-BE122/BE121)),""),"")</f>
        <v>0.18378341225826</v>
      </c>
      <c r="BF340" s="258">
        <f>IFERROR(IF(N(BF121)&lt;&gt;0,MAX(0,MIN(1,-BF122/BF121)),""),"")</f>
        <v>0.18378341225826</v>
      </c>
      <c r="BG340" s="88" t="n"/>
      <c r="BH340" s="88" t="n"/>
      <c r="BI340" s="88" t="n"/>
      <c r="BJ340" s="88" t="n"/>
      <c r="BL340" s="88" t="n"/>
      <c r="BM340" s="88" t="n"/>
      <c r="BN340" s="88" t="n"/>
      <c r="BO340" s="88" t="n"/>
      <c r="BQ340" s="88" t="n"/>
      <c r="BR340" s="88" t="n"/>
      <c r="BS340" s="88" t="n"/>
      <c r="BT340" s="88" t="n"/>
      <c r="BV340" s="88" t="n"/>
      <c r="BW340" s="88" t="n"/>
      <c r="BX340" s="88" t="n"/>
      <c r="BY340" s="88" t="n"/>
      <c r="CA340" s="88" t="n"/>
      <c r="CB340" s="88" t="n"/>
      <c r="CC340" s="88" t="n"/>
      <c r="CD340" s="88" t="n"/>
      <c r="CF340" s="88" t="n"/>
      <c r="CG340" s="88" t="n"/>
      <c r="CH340" s="88" t="n"/>
      <c r="CI340" s="88" t="n"/>
      <c r="CK340" s="88" t="n"/>
      <c r="CL340" s="88" t="n"/>
      <c r="CM340" s="88" t="n"/>
      <c r="CN340" s="88" t="n"/>
      <c r="CP340" s="88" t="n"/>
      <c r="CQ340" s="88" t="n"/>
      <c r="CR340" s="88" t="n"/>
      <c r="CS340" s="88" t="n"/>
      <c r="CU340" s="88" t="n"/>
      <c r="CV340" s="88" t="n"/>
      <c r="CW340" s="88" t="n"/>
      <c r="CX340" s="88" t="n"/>
    </row>
    <row r="341" customFormat="1" s="77">
      <c r="A341" s="76" t="n"/>
      <c r="B341" s="76" t="n"/>
      <c r="C341" s="77" t="inlineStr">
        <is>
          <t>INVESTED CAPITAL</t>
        </is>
      </c>
      <c r="D341" s="86">
        <f>IFERROR(D344-D345+D346,"")</f>
        <v>0</v>
      </c>
      <c r="E341" s="86">
        <f>IFERROR(E344-E345+E346,"")</f>
        <v>0</v>
      </c>
      <c r="F341" s="86">
        <f>IFERROR(F344-F345+F346,"")</f>
        <v>0</v>
      </c>
      <c r="G341" s="86">
        <f>IFERROR(G344-G345+G346,"")</f>
        <v>0</v>
      </c>
      <c r="H341" s="263">
        <f>IFERROR(H343+H346,0)</f>
        <v>0</v>
      </c>
      <c r="I341" s="263">
        <f>IFERROR(I343+I346,0)</f>
        <v>81052</v>
      </c>
      <c r="J341" s="263">
        <f>IFERROR(J343+J346,0)</f>
        <v>86154</v>
      </c>
      <c r="K341" s="263">
        <f>IFERROR(K343+K346,0)</f>
        <v>87925</v>
      </c>
      <c r="L341" s="263">
        <f>IFERROR(L343+L346,0)</f>
        <v>90754</v>
      </c>
      <c r="M341" s="263">
        <f>IFERROR(M343+M346,0)</f>
        <v>90754</v>
      </c>
      <c r="N341" s="263">
        <f>IFERROR(N343+N346,0)</f>
        <v>93391</v>
      </c>
      <c r="O341" s="263">
        <f>IFERROR(O343+O346,0)</f>
        <v>101345</v>
      </c>
      <c r="P341" s="263">
        <f>IFERROR(P343+P346,0)</f>
        <v>108218</v>
      </c>
      <c r="Q341" s="263">
        <f>IFERROR(Q343+Q346,0)</f>
        <v>111566</v>
      </c>
      <c r="R341" s="263">
        <f>IFERROR(R343+R346,0)</f>
        <v>111566</v>
      </c>
      <c r="S341" s="263">
        <f>IFERROR(S343+S346,0)</f>
        <v>114931</v>
      </c>
      <c r="T341" s="263">
        <f>IFERROR(T343+T346,0)</f>
        <v>116805</v>
      </c>
      <c r="U341" s="263">
        <f>IFERROR(U343+U346,0)</f>
        <v>117967</v>
      </c>
      <c r="V341" s="263">
        <f>IFERROR(V343+V346,0)</f>
        <v>124999</v>
      </c>
      <c r="W341" s="263">
        <f>IFERROR(W343+W346,0)</f>
        <v>124999</v>
      </c>
      <c r="X341" s="263">
        <f>IFERROR(X343+X346,0)</f>
        <v>129042</v>
      </c>
      <c r="Y341" s="263">
        <f>IFERROR(Y343+Y346,0)</f>
        <v>136674</v>
      </c>
      <c r="Z341" s="263">
        <f>IFERROR(Z343+Z346,0)</f>
        <v>142676</v>
      </c>
      <c r="AA341" s="263">
        <f>IFERROR(AA343+AA346,0)</f>
        <v>153882</v>
      </c>
      <c r="AB341" s="263">
        <f>IFERROR(AB343+AB346,0)</f>
        <v>153882</v>
      </c>
      <c r="AC341" s="263">
        <f>IFERROR(AC343+AC346,0)</f>
        <v>164318</v>
      </c>
      <c r="AD341" s="263">
        <f>IFERROR(AD343+AD346,0)</f>
        <v>197559</v>
      </c>
      <c r="AE341" s="263">
        <f>IFERROR(AE343+AE346,0)</f>
        <v>200678</v>
      </c>
      <c r="AF341" s="263">
        <f>IFERROR(AF343+AF346,0)</f>
        <v>219548</v>
      </c>
      <c r="AG341" s="263">
        <f>IFERROR(AG343+AG346,0)</f>
        <v>219548</v>
      </c>
      <c r="AH341" s="263">
        <f>IFERROR(AH343+AH346,0)</f>
        <v>249270</v>
      </c>
      <c r="AI341" s="263">
        <f>IFERROR(AI343+AI346,0)</f>
        <v>283279</v>
      </c>
      <c r="AJ341" s="263">
        <f>IFERROR(AJ343+AJ346,0)</f>
        <v>297572.58295531</v>
      </c>
      <c r="AK341" s="263">
        <f>IFERROR(AK343+AK346,0)</f>
        <v>311801.549972007</v>
      </c>
      <c r="AL341" s="263">
        <f>IFERROR(AL343+AL346,0)</f>
        <v>311801.549972007</v>
      </c>
      <c r="AM341" s="263">
        <f>IFERROR(AM343+AM346,0)</f>
        <v>319802.41508238</v>
      </c>
      <c r="AN341" s="263">
        <f>IFERROR(AN343+AN346,0)</f>
        <v>327045.445222512</v>
      </c>
      <c r="AO341" s="263">
        <f>IFERROR(AO343+AO346,0)</f>
        <v>330791.453010181</v>
      </c>
      <c r="AP341" s="263">
        <f>IFERROR(AP343+AP346,0)</f>
        <v>334683.057882625</v>
      </c>
      <c r="AQ341" s="263">
        <f>IFERROR(AQ343+AQ346,0)</f>
        <v>334683.057882625</v>
      </c>
      <c r="AR341" s="263">
        <f>IFERROR(AR343+AR346,0)</f>
        <v>327788.443841945</v>
      </c>
      <c r="AS341" s="263">
        <f>IFERROR(AS343+AS346,0)</f>
        <v>316310.376326988</v>
      </c>
      <c r="AT341" s="263">
        <f>IFERROR(AT343+AT346,0)</f>
        <v>295460.816879359</v>
      </c>
      <c r="AU341" s="263">
        <f>IFERROR(AU343+AU346,0)</f>
        <v>268738.542187938</v>
      </c>
      <c r="AV341" s="263">
        <f>IFERROR(AV343+AV346,0)</f>
        <v>268738.542187938</v>
      </c>
      <c r="AW341" s="263">
        <f>IFERROR(AW343+AW346,0)</f>
        <v>221903.206375202</v>
      </c>
      <c r="AX341" s="263">
        <f>IFERROR(AX343+AX346,0)</f>
        <v>160210.114600902</v>
      </c>
      <c r="AY341" s="263">
        <f>IFERROR(AY343+AY346,0)</f>
        <v>76088.7226394652</v>
      </c>
      <c r="AZ341" s="263">
        <f>IFERROR(AZ343+AZ346,0)</f>
        <v>-28842.3466262312</v>
      </c>
      <c r="BA341" s="263">
        <f>IFERROR(BA343+BA346,0)</f>
        <v>-28842.3466262312</v>
      </c>
      <c r="BB341" s="263">
        <f>IFERROR(BB343+BB346,0)</f>
        <v>-173698.550723812</v>
      </c>
      <c r="BC341" s="263">
        <f>IFERROR(BC343+BC346,0)</f>
        <v>-356564.502961036</v>
      </c>
      <c r="BD341" s="263">
        <f>IFERROR(BD343+BD346,0)</f>
        <v>-591336.884306632</v>
      </c>
      <c r="BE341" s="263">
        <f>IFERROR(BE343+BE346,0)</f>
        <v>-881521.185452862</v>
      </c>
      <c r="BF341" s="263">
        <f>IFERROR(BF343+BF346,0)</f>
        <v>-881521.185452862</v>
      </c>
      <c r="BG341" s="63" t="n"/>
      <c r="BH341" s="63" t="n"/>
      <c r="BI341" s="63" t="n"/>
      <c r="BJ341" s="63" t="n"/>
      <c r="BL341" s="63" t="n"/>
      <c r="BM341" s="63" t="n"/>
      <c r="BN341" s="63" t="n"/>
      <c r="BO341" s="63" t="n"/>
      <c r="BQ341" s="63" t="n"/>
      <c r="BR341" s="63" t="n"/>
      <c r="BS341" s="63" t="n"/>
      <c r="BT341" s="63" t="n"/>
      <c r="BV341" s="63" t="n"/>
      <c r="BW341" s="63" t="n"/>
      <c r="BX341" s="63" t="n"/>
      <c r="BY341" s="63" t="n"/>
      <c r="CA341" s="63" t="n"/>
      <c r="CB341" s="63" t="n"/>
      <c r="CC341" s="63" t="n"/>
      <c r="CD341" s="63" t="n"/>
      <c r="CF341" s="63" t="n"/>
      <c r="CG341" s="63" t="n"/>
      <c r="CH341" s="63" t="n"/>
      <c r="CI341" s="63" t="n"/>
      <c r="CK341" s="63" t="n"/>
      <c r="CL341" s="63" t="n"/>
      <c r="CM341" s="63" t="n"/>
      <c r="CN341" s="63" t="n"/>
      <c r="CP341" s="63" t="n"/>
      <c r="CQ341" s="63" t="n"/>
      <c r="CR341" s="63" t="n"/>
      <c r="CS341" s="63" t="n"/>
      <c r="CU341" s="63" t="n"/>
      <c r="CV341" s="63" t="n"/>
      <c r="CW341" s="63" t="n"/>
      <c r="CX341" s="63" t="n"/>
    </row>
    <row r="342" customFormat="1" s="77">
      <c r="A342" s="76" t="n"/>
      <c r="B342" s="76" t="n"/>
      <c r="C342" s="77" t="inlineStr">
        <is>
          <t>INVESTED CAPITAL - EX GOODWILL</t>
        </is>
      </c>
      <c r="D342" s="89">
        <f>IFERROR(D341-D170,"")</f>
        <v>0</v>
      </c>
      <c r="E342" s="89">
        <f>IFERROR(E341-E170,"")</f>
        <v>0</v>
      </c>
      <c r="F342" s="89">
        <f>IFERROR(F341-F170,"")</f>
        <v>0</v>
      </c>
      <c r="G342" s="89">
        <f>IFERROR(G341-G170,"")</f>
        <v>0</v>
      </c>
      <c r="H342" s="263">
        <f>IFERROR(H341-N(H170),0)</f>
        <v>0</v>
      </c>
      <c r="I342" s="263">
        <f>IFERROR(I341-N(I170),0)</f>
        <v>61996</v>
      </c>
      <c r="J342" s="263">
        <f>IFERROR(J341-N(J170),0)</f>
        <v>66935</v>
      </c>
      <c r="K342" s="263">
        <f>IFERROR(K341-N(K170),0)</f>
        <v>68860</v>
      </c>
      <c r="L342" s="263">
        <f>IFERROR(L341-N(L170),0)</f>
        <v>71557</v>
      </c>
      <c r="M342" s="263">
        <f>IFERROR(M341-N(M170),0)</f>
        <v>71557</v>
      </c>
      <c r="N342" s="263">
        <f>IFERROR(N341-N(N170),0)</f>
        <v>73468</v>
      </c>
      <c r="O342" s="263">
        <f>IFERROR(O341-N(O170),0)</f>
        <v>81116</v>
      </c>
      <c r="P342" s="263">
        <f>IFERROR(P341-N(P170),0)</f>
        <v>87950</v>
      </c>
      <c r="Q342" s="263">
        <f>IFERROR(Q341-N(Q170),0)</f>
        <v>91260</v>
      </c>
      <c r="R342" s="263">
        <f>IFERROR(R341-N(R170),0)</f>
        <v>91260</v>
      </c>
      <c r="S342" s="263">
        <f>IFERROR(S341-N(S170),0)</f>
        <v>94282</v>
      </c>
      <c r="T342" s="263">
        <f>IFERROR(T341-N(T170),0)</f>
        <v>96146</v>
      </c>
      <c r="U342" s="263">
        <f>IFERROR(U341-N(U170),0)</f>
        <v>97299</v>
      </c>
      <c r="V342" s="263">
        <f>IFERROR(V341-N(V170),0)</f>
        <v>104345</v>
      </c>
      <c r="W342" s="263">
        <f>IFERROR(W341-N(W170),0)</f>
        <v>104345</v>
      </c>
      <c r="X342" s="263">
        <f>IFERROR(X341-N(X170),0)</f>
        <v>108388</v>
      </c>
      <c r="Y342" s="263">
        <f>IFERROR(Y341-N(Y170),0)</f>
        <v>116020</v>
      </c>
      <c r="Z342" s="263">
        <f>IFERROR(Z341-N(Z170),0)</f>
        <v>122022</v>
      </c>
      <c r="AA342" s="263">
        <f>IFERROR(AA341-N(AA170),0)</f>
        <v>133228</v>
      </c>
      <c r="AB342" s="263">
        <f>IFERROR(AB341-N(AB170),0)</f>
        <v>133228</v>
      </c>
      <c r="AC342" s="263">
        <f>IFERROR(AC341-N(AC170),0)</f>
        <v>143664</v>
      </c>
      <c r="AD342" s="263">
        <f>IFERROR(AD341-N(AD170),0)</f>
        <v>176905</v>
      </c>
      <c r="AE342" s="263">
        <f>IFERROR(AE341-N(AE170),0)</f>
        <v>179520</v>
      </c>
      <c r="AF342" s="263">
        <f>IFERROR(AF341-N(AF170),0)</f>
        <v>195014</v>
      </c>
      <c r="AG342" s="263">
        <f>IFERROR(AG341-N(AG170),0)</f>
        <v>195014</v>
      </c>
      <c r="AH342" s="263">
        <f>IFERROR(AH341-N(AH170),0)</f>
        <v>224522</v>
      </c>
      <c r="AI342" s="263">
        <f>IFERROR(AI341-N(AI170),0)</f>
        <v>259873</v>
      </c>
      <c r="AJ342" s="263">
        <f>IFERROR(AJ341-N(AJ170),0)</f>
        <v>274166.58295531</v>
      </c>
      <c r="AK342" s="263">
        <f>IFERROR(AK341-N(AK170),0)</f>
        <v>288395.549972007</v>
      </c>
      <c r="AL342" s="263">
        <f>IFERROR(AL341-N(AL170),0)</f>
        <v>288395.549972007</v>
      </c>
      <c r="AM342" s="263">
        <f>IFERROR(AM341-N(AM170),0)</f>
        <v>296396.41508238</v>
      </c>
      <c r="AN342" s="263">
        <f>IFERROR(AN341-N(AN170),0)</f>
        <v>303639.445222512</v>
      </c>
      <c r="AO342" s="263">
        <f>IFERROR(AO341-N(AO170),0)</f>
        <v>307385.453010181</v>
      </c>
      <c r="AP342" s="263">
        <f>IFERROR(AP341-N(AP170),0)</f>
        <v>311277.057882625</v>
      </c>
      <c r="AQ342" s="263">
        <f>IFERROR(AQ341-N(AQ170),0)</f>
        <v>311277.057882625</v>
      </c>
      <c r="AR342" s="263">
        <f>IFERROR(AR341-N(AR170),0)</f>
        <v>304382.443841945</v>
      </c>
      <c r="AS342" s="263">
        <f>IFERROR(AS341-N(AS170),0)</f>
        <v>292904.376326988</v>
      </c>
      <c r="AT342" s="263">
        <f>IFERROR(AT341-N(AT170),0)</f>
        <v>272054.816879359</v>
      </c>
      <c r="AU342" s="263">
        <f>IFERROR(AU341-N(AU170),0)</f>
        <v>245332.542187938</v>
      </c>
      <c r="AV342" s="263">
        <f>IFERROR(AV341-N(AV170),0)</f>
        <v>245332.542187938</v>
      </c>
      <c r="AW342" s="263">
        <f>IFERROR(AW341-N(AW170),0)</f>
        <v>198497.206375202</v>
      </c>
      <c r="AX342" s="263">
        <f>IFERROR(AX341-N(AX170),0)</f>
        <v>136804.114600902</v>
      </c>
      <c r="AY342" s="263">
        <f>IFERROR(AY341-N(AY170),0)</f>
        <v>52682.7226394652</v>
      </c>
      <c r="AZ342" s="263">
        <f>IFERROR(AZ341-N(AZ170),0)</f>
        <v>-52248.3466262312</v>
      </c>
      <c r="BA342" s="263">
        <f>IFERROR(BA341-N(BA170),0)</f>
        <v>-52248.3466262312</v>
      </c>
      <c r="BB342" s="263">
        <f>IFERROR(BB341-N(BB170),0)</f>
        <v>-197104.550723812</v>
      </c>
      <c r="BC342" s="263">
        <f>IFERROR(BC341-N(BC170),0)</f>
        <v>-379970.502961036</v>
      </c>
      <c r="BD342" s="263">
        <f>IFERROR(BD341-N(BD170),0)</f>
        <v>-614742.884306632</v>
      </c>
      <c r="BE342" s="263">
        <f>IFERROR(BE341-N(BE170),0)</f>
        <v>-904927.185452862</v>
      </c>
      <c r="BF342" s="263">
        <f>IFERROR(BF341-N(BF170),0)</f>
        <v>-904927.185452862</v>
      </c>
      <c r="BG342" s="90" t="n"/>
      <c r="BH342" s="90" t="n"/>
      <c r="BI342" s="90" t="n"/>
      <c r="BJ342" s="90" t="n"/>
      <c r="BL342" s="90" t="n"/>
      <c r="BM342" s="90" t="n"/>
      <c r="BN342" s="90" t="n"/>
      <c r="BO342" s="90" t="n"/>
      <c r="BQ342" s="90" t="n"/>
      <c r="BR342" s="90" t="n"/>
      <c r="BS342" s="90" t="n"/>
      <c r="BT342" s="90" t="n"/>
      <c r="BV342" s="90" t="n"/>
      <c r="BW342" s="90" t="n"/>
      <c r="BX342" s="90" t="n"/>
      <c r="BY342" s="90" t="n"/>
      <c r="CA342" s="90" t="n"/>
      <c r="CB342" s="90" t="n"/>
      <c r="CC342" s="90" t="n"/>
      <c r="CD342" s="90" t="n"/>
      <c r="CF342" s="90" t="n"/>
      <c r="CG342" s="90" t="n"/>
      <c r="CH342" s="90" t="n"/>
      <c r="CI342" s="90" t="n"/>
      <c r="CK342" s="90" t="n"/>
      <c r="CL342" s="90" t="n"/>
      <c r="CM342" s="90" t="n"/>
      <c r="CN342" s="90" t="n"/>
      <c r="CP342" s="90" t="n"/>
      <c r="CQ342" s="90" t="n"/>
      <c r="CR342" s="90" t="n"/>
      <c r="CS342" s="90" t="n"/>
      <c r="CU342" s="90" t="n"/>
      <c r="CV342" s="90" t="n"/>
      <c r="CW342" s="90" t="n"/>
      <c r="CX342" s="90" t="n"/>
    </row>
    <row r="343" customFormat="1" s="77">
      <c r="A343" s="76" t="n"/>
      <c r="B343" s="76" t="n"/>
      <c r="C343" s="77" t="inlineStr">
        <is>
          <t>OPERATING WORKING CAPITAL</t>
        </is>
      </c>
      <c r="D343" s="91">
        <f>IFERROR(D344-D345,"")</f>
        <v>0</v>
      </c>
      <c r="E343" s="91">
        <f>IFERROR(E344-E345,"")</f>
        <v>0</v>
      </c>
      <c r="F343" s="91">
        <f>IFERROR(F344-F345,"")</f>
        <v>0</v>
      </c>
      <c r="G343" s="91">
        <f>IFERROR(G344-G345,"")</f>
        <v>0</v>
      </c>
      <c r="H343" s="263">
        <f>IFERROR(H344-H345,0)</f>
        <v>0</v>
      </c>
      <c r="I343" s="263">
        <f>IFERROR(I344-I345,0)</f>
        <v>1426</v>
      </c>
      <c r="J343" s="263">
        <f>IFERROR(J344-J345,0)</f>
        <v>2794</v>
      </c>
      <c r="K343" s="263">
        <f>IFERROR(K344-K345,0)</f>
        <v>620</v>
      </c>
      <c r="L343" s="263">
        <f>IFERROR(L344-L345,0)</f>
        <v>-1340</v>
      </c>
      <c r="M343" s="263">
        <f>IFERROR(M344-M345,0)</f>
        <v>-1340</v>
      </c>
      <c r="N343" s="263">
        <f>IFERROR(N344-N345,0)</f>
        <v>-4552</v>
      </c>
      <c r="O343" s="263">
        <f>IFERROR(O344-O345,0)</f>
        <v>-5444</v>
      </c>
      <c r="P343" s="263">
        <f>IFERROR(P344-P345,0)</f>
        <v>-4857</v>
      </c>
      <c r="Q343" s="263">
        <f>IFERROR(Q344-Q345,0)</f>
        <v>-6848</v>
      </c>
      <c r="R343" s="263">
        <f>IFERROR(R344-R345,0)</f>
        <v>-6848</v>
      </c>
      <c r="S343" s="263">
        <f>IFERROR(S344-S345,0)</f>
        <v>-8858</v>
      </c>
      <c r="T343" s="263">
        <f>IFERROR(T344-T345,0)</f>
        <v>-12411</v>
      </c>
      <c r="U343" s="263">
        <f>IFERROR(U344-U345,0)</f>
        <v>-11816</v>
      </c>
      <c r="V343" s="263">
        <f>IFERROR(V344-V345,0)</f>
        <v>-10375</v>
      </c>
      <c r="W343" s="263">
        <f>IFERROR(W344-W345,0)</f>
        <v>-10375</v>
      </c>
      <c r="X343" s="263">
        <f>IFERROR(X344-X345,0)</f>
        <v>-9215</v>
      </c>
      <c r="Y343" s="263">
        <f>IFERROR(Y344-Y345,0)</f>
        <v>-6736</v>
      </c>
      <c r="Z343" s="263">
        <f>IFERROR(Z344-Z345,0)</f>
        <v>-11147</v>
      </c>
      <c r="AA343" s="263">
        <f>IFERROR(AA344-AA345,0)</f>
        <v>-9424</v>
      </c>
      <c r="AB343" s="263">
        <f>IFERROR(AB344-AB345,0)</f>
        <v>-9424</v>
      </c>
      <c r="AC343" s="263">
        <f>IFERROR(AC344-AC345,0)</f>
        <v>-11917</v>
      </c>
      <c r="AD343" s="263">
        <f>IFERROR(AD344-AD345,0)</f>
        <v>-8786</v>
      </c>
      <c r="AE343" s="263">
        <f>IFERROR(AE344-AE345,0)</f>
        <v>-6175</v>
      </c>
      <c r="AF343" s="263">
        <f>IFERROR(AF344-AF345,0)</f>
        <v>-12493</v>
      </c>
      <c r="AG343" s="263">
        <f>IFERROR(AG344-AG345,0)</f>
        <v>-12493</v>
      </c>
      <c r="AH343" s="263">
        <f>IFERROR(AH344-AH345,0)</f>
        <v>-15754</v>
      </c>
      <c r="AI343" s="263">
        <f>IFERROR(AI344-AI345,0)</f>
        <v>-18739</v>
      </c>
      <c r="AJ343" s="263">
        <f>IFERROR(AJ344-AJ345,0)</f>
        <v>-25455.1207490242</v>
      </c>
      <c r="AK343" s="263">
        <f>IFERROR(AK344-AK345,0)</f>
        <v>-35782.8490987004</v>
      </c>
      <c r="AL343" s="263">
        <f>IFERROR(AL344-AL345,0)</f>
        <v>-35782.8490987004</v>
      </c>
      <c r="AM343" s="263">
        <f>IFERROR(AM344-AM345,0)</f>
        <v>-50870.025542029</v>
      </c>
      <c r="AN343" s="263">
        <f>IFERROR(AN344-AN345,0)</f>
        <v>-68555.9793394333</v>
      </c>
      <c r="AO343" s="263">
        <f>IFERROR(AO344-AO345,0)</f>
        <v>-91028.4890191917</v>
      </c>
      <c r="AP343" s="263">
        <f>IFERROR(AP344-AP345,0)</f>
        <v>-117781.778309283</v>
      </c>
      <c r="AQ343" s="263">
        <f>IFERROR(AQ344-AQ345,0)</f>
        <v>-117781.778309283</v>
      </c>
      <c r="AR343" s="263">
        <f>IFERROR(AR344-AR345,0)</f>
        <v>-153373.077685856</v>
      </c>
      <c r="AS343" s="263">
        <f>IFERROR(AS344-AS345,0)</f>
        <v>-195835.982357099</v>
      </c>
      <c r="AT343" s="263">
        <f>IFERROR(AT344-AT345,0)</f>
        <v>-249273.171378522</v>
      </c>
      <c r="AU343" s="263">
        <f>IFERROR(AU344-AU345,0)</f>
        <v>-314084.726310044</v>
      </c>
      <c r="AV343" s="263">
        <f>IFERROR(AV344-AV345,0)</f>
        <v>-314084.726310044</v>
      </c>
      <c r="AW343" s="263">
        <f>IFERROR(AW344-AW345,0)</f>
        <v>-396444.383059317</v>
      </c>
      <c r="AX343" s="263">
        <f>IFERROR(AX344-AX345,0)</f>
        <v>-496494.354257929</v>
      </c>
      <c r="AY343" s="263">
        <f>IFERROR(AY344-AY345,0)</f>
        <v>-620956.7611481</v>
      </c>
      <c r="AZ343" s="263">
        <f>IFERROR(AZ344-AZ345,0)</f>
        <v>-773039.471784678</v>
      </c>
      <c r="BA343" s="263">
        <f>IFERROR(BA344-BA345,0)</f>
        <v>-773039.471784678</v>
      </c>
      <c r="BB343" s="263">
        <f>IFERROR(BB344-BB345,0)</f>
        <v>-961694.470481426</v>
      </c>
      <c r="BC343" s="263">
        <f>IFERROR(BC344-BC345,0)</f>
        <v>-1191851.54719564</v>
      </c>
      <c r="BD343" s="263">
        <f>IFERROR(BD344-BD345,0)</f>
        <v>-1476361.34167693</v>
      </c>
      <c r="BE343" s="263">
        <f>IFERROR(BE344-BE345,0)</f>
        <v>-1824680.04204521</v>
      </c>
      <c r="BF343" s="263">
        <f>IFERROR(BF344-BF345,0)</f>
        <v>-1824680.04204521</v>
      </c>
      <c r="BG343" s="63" t="n"/>
      <c r="BH343" s="63" t="n"/>
      <c r="BI343" s="63" t="n"/>
      <c r="BJ343" s="63" t="n"/>
      <c r="BL343" s="63" t="n"/>
      <c r="BM343" s="63" t="n"/>
      <c r="BN343" s="63" t="n"/>
      <c r="BO343" s="63" t="n"/>
      <c r="BQ343" s="63" t="n"/>
      <c r="BR343" s="63" t="n"/>
      <c r="BS343" s="63" t="n"/>
      <c r="BT343" s="63" t="n"/>
      <c r="BV343" s="63" t="n"/>
      <c r="BW343" s="63" t="n"/>
      <c r="BX343" s="63" t="n"/>
      <c r="BY343" s="63" t="n"/>
      <c r="CA343" s="63" t="n"/>
      <c r="CB343" s="63" t="n"/>
      <c r="CC343" s="63" t="n"/>
      <c r="CD343" s="63" t="n"/>
      <c r="CF343" s="63" t="n"/>
      <c r="CG343" s="63" t="n"/>
      <c r="CH343" s="63" t="n"/>
      <c r="CI343" s="63" t="n"/>
      <c r="CK343" s="63" t="n"/>
      <c r="CL343" s="63" t="n"/>
      <c r="CM343" s="63" t="n"/>
      <c r="CN343" s="63" t="n"/>
      <c r="CP343" s="63" t="n"/>
      <c r="CQ343" s="63" t="n"/>
      <c r="CR343" s="63" t="n"/>
      <c r="CS343" s="63" t="n"/>
      <c r="CU343" s="63" t="n"/>
      <c r="CV343" s="63" t="n"/>
      <c r="CW343" s="63" t="n"/>
      <c r="CX343" s="63" t="n"/>
    </row>
    <row r="344" customFormat="1" s="77">
      <c r="A344" s="76" t="n"/>
      <c r="B344" s="76" t="n"/>
      <c r="C344" s="77" t="inlineStr">
        <is>
          <t>CURRENT ASSETS (OPERATING, EX CASH)</t>
        </is>
      </c>
      <c r="D344" s="89">
        <f>IFERROR(D136+D140+D144+D145+D146,"")</f>
        <v>0</v>
      </c>
      <c r="E344" s="89">
        <f>IFERROR(E136+E140+E144+E145+E146,"")</f>
        <v>0</v>
      </c>
      <c r="F344" s="89">
        <f>IFERROR(F136+F140+F144+F145+F146,"")</f>
        <v>0</v>
      </c>
      <c r="G344" s="89">
        <f>IFERROR(G136+G140+G144+G145+G146,"")</f>
        <v>0</v>
      </c>
      <c r="H344" s="263">
        <f>IFERROR((N(H136)+N(H140)+N(H144)+N(H145)+N(H146)),0)</f>
        <v>0</v>
      </c>
      <c r="I344" s="263">
        <f>IFERROR((N(I136)+N(I140)+N(I144)+N(I145)+N(I146)),0)</f>
        <v>13103</v>
      </c>
      <c r="J344" s="263">
        <f>IFERROR((N(J136)+N(J140)+N(J144)+N(J145)+N(J146)),0)</f>
        <v>16617</v>
      </c>
      <c r="K344" s="263">
        <f>IFERROR((N(K136)+N(K140)+N(K144)+N(K145)+N(K146)),0)</f>
        <v>17346</v>
      </c>
      <c r="L344" s="263">
        <f>IFERROR((N(L136)+N(L140)+N(L144)+N(L145)+N(L146)),0)</f>
        <v>18668</v>
      </c>
      <c r="M344" s="263">
        <f>IFERROR((N(M136)+N(M140)+N(M144)+N(M145)+N(M146)),0)</f>
        <v>18668</v>
      </c>
      <c r="N344" s="263">
        <f>IFERROR((N(N136)+N(N140)+N(N144)+N(N145)+N(N146)),0)</f>
        <v>15375</v>
      </c>
      <c r="O344" s="263">
        <f>IFERROR((N(O136)+N(O140)+N(O144)+N(O145)+N(O146)),0)</f>
        <v>15498</v>
      </c>
      <c r="P344" s="263">
        <f>IFERROR((N(P136)+N(P140)+N(P144)+N(P145)+N(P146)),0)</f>
        <v>16539</v>
      </c>
      <c r="Q344" s="263">
        <f>IFERROR((N(Q136)+N(Q140)+N(Q144)+N(Q145)+N(Q146)),0)</f>
        <v>18811</v>
      </c>
      <c r="R344" s="263">
        <f>IFERROR((N(R136)+N(R140)+N(R144)+N(R145)+N(R146)),0)</f>
        <v>18811</v>
      </c>
      <c r="S344" s="263">
        <f>IFERROR((N(S136)+N(S140)+N(S144)+N(S145)+N(S146)),0)</f>
        <v>15044</v>
      </c>
      <c r="T344" s="263">
        <f>IFERROR((N(T136)+N(T140)+N(T144)+N(T145)+N(T146)),0)</f>
        <v>16114</v>
      </c>
      <c r="U344" s="263">
        <f>IFERROR((N(U136)+N(U140)+N(U144)+N(U145)+N(U146)),0)</f>
        <v>17255</v>
      </c>
      <c r="V344" s="263">
        <f>IFERROR((N(V136)+N(V140)+N(V144)+N(V145)+N(V146)),0)</f>
        <v>19962</v>
      </c>
      <c r="W344" s="263">
        <f>IFERROR((N(W136)+N(W140)+N(W144)+N(W145)+N(W146)),0)</f>
        <v>19962</v>
      </c>
      <c r="X344" s="263">
        <f>IFERROR((N(X136)+N(X140)+N(X144)+N(X145)+N(X146)),0)</f>
        <v>17210</v>
      </c>
      <c r="Y344" s="263">
        <f>IFERROR((N(Y136)+N(Y140)+N(Y144)+N(Y145)+N(Y146)),0)</f>
        <v>18351</v>
      </c>
      <c r="Z344" s="263">
        <f>IFERROR((N(Z136)+N(Z140)+N(Z144)+N(Z145)+N(Z146)),0)</f>
        <v>20167</v>
      </c>
      <c r="AA344" s="263">
        <f>IFERROR((N(AA136)+N(AA140)+N(AA144)+N(AA145)+N(AA146)),0)</f>
        <v>22230</v>
      </c>
      <c r="AB344" s="263">
        <f>IFERROR((N(AB136)+N(AB140)+N(AB144)+N(AB145)+N(AB146)),0)</f>
        <v>22230</v>
      </c>
      <c r="AC344" s="263">
        <f>IFERROR((N(AC136)+N(AC140)+N(AC144)+N(AC145)+N(AC146)),0)</f>
        <v>19997</v>
      </c>
      <c r="AD344" s="263">
        <f>IFERROR((N(AD136)+N(AD140)+N(AD144)+N(AD145)+N(AD146)),0)</f>
        <v>26542</v>
      </c>
      <c r="AE344" s="263">
        <f>IFERROR((N(AE136)+N(AE140)+N(AE144)+N(AE145)+N(AE146)),0)</f>
        <v>28670</v>
      </c>
      <c r="AF344" s="263">
        <f>IFERROR((N(AF136)+N(AF140)+N(AF144)+N(AF145)+N(AF146)),0)</f>
        <v>27130</v>
      </c>
      <c r="AG344" s="263">
        <f>IFERROR((N(AG136)+N(AG140)+N(AG144)+N(AG145)+N(AG146)),0)</f>
        <v>27130</v>
      </c>
      <c r="AH344" s="263">
        <f>IFERROR((N(AH136)+N(AH140)+N(AH144)+N(AH145)+N(AH146)),0)</f>
        <v>28585</v>
      </c>
      <c r="AI344" s="263">
        <f>IFERROR((N(AI136)+N(AI140)+N(AI144)+N(AI145)+N(AI146)),0)</f>
        <v>35215</v>
      </c>
      <c r="AJ344" s="263">
        <f>IFERROR((N(AJ136)+N(AJ140)+N(AJ144)+N(AJ145)+N(AJ146)),0)</f>
        <v>34834.7544977518</v>
      </c>
      <c r="AK344" s="263">
        <f>IFERROR((N(AK136)+N(AK140)+N(AK144)+N(AK145)+N(AK146)),0)</f>
        <v>38442.8698749825</v>
      </c>
      <c r="AL344" s="263">
        <f>IFERROR((N(AL136)+N(AL140)+N(AL144)+N(AL145)+N(AL146)),0)</f>
        <v>38442.8698749825</v>
      </c>
      <c r="AM344" s="263">
        <f>IFERROR((N(AM136)+N(AM140)+N(AM144)+N(AM145)+N(AM146)),0)</f>
        <v>37470.8164639482</v>
      </c>
      <c r="AN344" s="263">
        <f>IFERROR((N(AN136)+N(AN140)+N(AN144)+N(AN145)+N(AN146)),0)</f>
        <v>39100.2395755453</v>
      </c>
      <c r="AO344" s="263">
        <f>IFERROR((N(AO136)+N(AO140)+N(AO144)+N(AO145)+N(AO146)),0)</f>
        <v>40133.3294103704</v>
      </c>
      <c r="AP344" s="263">
        <f>IFERROR((N(AP136)+N(AP140)+N(AP144)+N(AP145)+N(AP146)),0)</f>
        <v>44635.9838682197</v>
      </c>
      <c r="AQ344" s="263">
        <f>IFERROR((N(AQ136)+N(AQ140)+N(AQ144)+N(AQ145)+N(AQ146)),0)</f>
        <v>44635.9838682197</v>
      </c>
      <c r="AR344" s="263">
        <f>IFERROR((N(AR136)+N(AR140)+N(AR144)+N(AR145)+N(AR146)),0)</f>
        <v>42974.9848776732</v>
      </c>
      <c r="AS344" s="263">
        <f>IFERROR((N(AS136)+N(AS140)+N(AS144)+N(AS145)+N(AS146)),0)</f>
        <v>45328.1452211363</v>
      </c>
      <c r="AT344" s="263">
        <f>IFERROR((N(AT136)+N(AT140)+N(AT144)+N(AT145)+N(AT146)),0)</f>
        <v>46612.1975667945</v>
      </c>
      <c r="AU344" s="263">
        <f>IFERROR((N(AU136)+N(AU140)+N(AU144)+N(AU145)+N(AU146)),0)</f>
        <v>52208.6557095356</v>
      </c>
      <c r="AV344" s="263">
        <f>IFERROR((N(AV136)+N(AV140)+N(AV144)+N(AV145)+N(AV146)),0)</f>
        <v>52208.6557095356</v>
      </c>
      <c r="AW344" s="263">
        <f>IFERROR((N(AW136)+N(AW140)+N(AW144)+N(AW145)+N(AW146)),0)</f>
        <v>50402.5288494733</v>
      </c>
      <c r="AX344" s="263">
        <f>IFERROR((N(AX136)+N(AX140)+N(AX144)+N(AX145)+N(AX146)),0)</f>
        <v>52909.6340720255</v>
      </c>
      <c r="AY344" s="263">
        <f>IFERROR((N(AY136)+N(AY140)+N(AY144)+N(AY145)+N(AY146)),0)</f>
        <v>54499.1935313342</v>
      </c>
      <c r="AZ344" s="263">
        <f>IFERROR((N(AZ136)+N(AZ140)+N(AZ144)+N(AZ145)+N(AZ146)),0)</f>
        <v>61427.1844419071</v>
      </c>
      <c r="BA344" s="263">
        <f>IFERROR((N(BA136)+N(BA140)+N(BA144)+N(BA145)+N(BA146)),0)</f>
        <v>61427.1844419071</v>
      </c>
      <c r="BB344" s="263">
        <f>IFERROR((N(BB136)+N(BB140)+N(BB144)+N(BB145)+N(BB146)),0)</f>
        <v>59006.6386682346</v>
      </c>
      <c r="BC344" s="263">
        <f>IFERROR((N(BC136)+N(BC140)+N(BC144)+N(BC145)+N(BC146)),0)</f>
        <v>62097.7093428079</v>
      </c>
      <c r="BD344" s="263">
        <f>IFERROR((N(BD136)+N(BD140)+N(BD144)+N(BD145)+N(BD146)),0)</f>
        <v>64057.5156508807</v>
      </c>
      <c r="BE344" s="263">
        <f>IFERROR((N(BE136)+N(BE140)+N(BE144)+N(BE145)+N(BE146)),0)</f>
        <v>72599.203229347</v>
      </c>
      <c r="BF344" s="263">
        <f>IFERROR((N(BF136)+N(BF140)+N(BF144)+N(BF145)+N(BF146)),0)</f>
        <v>72599.203229347</v>
      </c>
      <c r="BG344" s="90" t="n"/>
      <c r="BH344" s="90" t="n"/>
      <c r="BI344" s="90" t="n"/>
      <c r="BJ344" s="90" t="n"/>
      <c r="BL344" s="90" t="n"/>
      <c r="BM344" s="90" t="n"/>
      <c r="BN344" s="90" t="n"/>
      <c r="BO344" s="90" t="n"/>
      <c r="BQ344" s="90" t="n"/>
      <c r="BR344" s="90" t="n"/>
      <c r="BS344" s="90" t="n"/>
      <c r="BT344" s="90" t="n"/>
      <c r="BV344" s="90" t="n"/>
      <c r="BW344" s="90" t="n"/>
      <c r="BX344" s="90" t="n"/>
      <c r="BY344" s="90" t="n"/>
      <c r="CA344" s="90" t="n"/>
      <c r="CB344" s="90" t="n"/>
      <c r="CC344" s="90" t="n"/>
      <c r="CD344" s="90" t="n"/>
      <c r="CF344" s="90" t="n"/>
      <c r="CG344" s="90" t="n"/>
      <c r="CH344" s="90" t="n"/>
      <c r="CI344" s="90" t="n"/>
      <c r="CK344" s="90" t="n"/>
      <c r="CL344" s="90" t="n"/>
      <c r="CM344" s="90" t="n"/>
      <c r="CN344" s="90" t="n"/>
      <c r="CP344" s="90" t="n"/>
      <c r="CQ344" s="90" t="n"/>
      <c r="CR344" s="90" t="n"/>
      <c r="CS344" s="90" t="n"/>
      <c r="CU344" s="90" t="n"/>
      <c r="CV344" s="90" t="n"/>
      <c r="CW344" s="90" t="n"/>
      <c r="CX344" s="90" t="n"/>
    </row>
    <row r="345" customFormat="1" s="77">
      <c r="A345" s="76" t="n"/>
      <c r="B345" s="76" t="n"/>
      <c r="C345" s="77" t="inlineStr">
        <is>
          <t>CURRENT LIABILITIES (OPERATING, EX DEBT)</t>
        </is>
      </c>
      <c r="D345" s="89">
        <f>IFERROR(D189+D193+D195+D196,"")</f>
        <v>0</v>
      </c>
      <c r="E345" s="89">
        <f>IFERROR(E189+E193+E195+E196,"")</f>
        <v>0</v>
      </c>
      <c r="F345" s="89">
        <f>IFERROR(F189+F193+F195+F196,"")</f>
        <v>0</v>
      </c>
      <c r="G345" s="89">
        <f>IFERROR(G189+G193+G195+G196,"")</f>
        <v>0</v>
      </c>
      <c r="H345" s="263">
        <f>IFERROR((N(H189)+N(H193)+N(H195)+N(H196)),0)</f>
        <v>0</v>
      </c>
      <c r="I345" s="263">
        <f>IFERROR((N(I189)+N(I193)+N(I195)+N(I196)),0)</f>
        <v>11677</v>
      </c>
      <c r="J345" s="263">
        <f>IFERROR((N(J189)+N(J193)+N(J195)+N(J196)),0)</f>
        <v>13823</v>
      </c>
      <c r="K345" s="263">
        <f>IFERROR((N(K189)+N(K193)+N(K195)+N(K196)),0)</f>
        <v>16726</v>
      </c>
      <c r="L345" s="263">
        <f>IFERROR((N(L189)+N(L193)+N(L195)+N(L196)),0)</f>
        <v>20008</v>
      </c>
      <c r="M345" s="263">
        <f>IFERROR((N(M189)+N(M193)+N(M195)+N(M196)),0)</f>
        <v>20008</v>
      </c>
      <c r="N345" s="263">
        <f>IFERROR((N(N189)+N(N193)+N(N195)+N(N196)),0)</f>
        <v>19927</v>
      </c>
      <c r="O345" s="263">
        <f>IFERROR((N(O189)+N(O193)+N(O195)+N(O196)),0)</f>
        <v>20942</v>
      </c>
      <c r="P345" s="263">
        <f>IFERROR((N(P189)+N(P193)+N(P195)+N(P196)),0)</f>
        <v>21396</v>
      </c>
      <c r="Q345" s="263">
        <f>IFERROR((N(Q189)+N(Q193)+N(Q195)+N(Q196)),0)</f>
        <v>25659</v>
      </c>
      <c r="R345" s="263">
        <f>IFERROR((N(R189)+N(R193)+N(R195)+N(R196)),0)</f>
        <v>25659</v>
      </c>
      <c r="S345" s="263">
        <f>IFERROR((N(S189)+N(S193)+N(S195)+N(S196)),0)</f>
        <v>23902</v>
      </c>
      <c r="T345" s="263">
        <f>IFERROR((N(T189)+N(T193)+N(T195)+N(T196)),0)</f>
        <v>28525</v>
      </c>
      <c r="U345" s="263">
        <f>IFERROR((N(U189)+N(U193)+N(U195)+N(U196)),0)</f>
        <v>29071</v>
      </c>
      <c r="V345" s="263">
        <f>IFERROR((N(V189)+N(V193)+N(V195)+N(V196)),0)</f>
        <v>30337</v>
      </c>
      <c r="W345" s="263">
        <f>IFERROR((N(W189)+N(W193)+N(W195)+N(W196)),0)</f>
        <v>30337</v>
      </c>
      <c r="X345" s="263">
        <f>IFERROR((N(X189)+N(X193)+N(X195)+N(X196)),0)</f>
        <v>26425</v>
      </c>
      <c r="Y345" s="263">
        <f>IFERROR((N(Y189)+N(Y193)+N(Y195)+N(Y196)),0)</f>
        <v>25087</v>
      </c>
      <c r="Z345" s="263">
        <f>IFERROR((N(Z189)+N(Z193)+N(Z195)+N(Z196)),0)</f>
        <v>31314</v>
      </c>
      <c r="AA345" s="263">
        <f>IFERROR((N(AA189)+N(AA193)+N(AA195)+N(AA196)),0)</f>
        <v>31654</v>
      </c>
      <c r="AB345" s="263">
        <f>IFERROR((N(AB189)+N(AB193)+N(AB195)+N(AB196)),0)</f>
        <v>31654</v>
      </c>
      <c r="AC345" s="263">
        <f>IFERROR((N(AC189)+N(AC193)+N(AC195)+N(AC196)),0)</f>
        <v>31914</v>
      </c>
      <c r="AD345" s="263">
        <f>IFERROR((N(AD189)+N(AD193)+N(AD195)+N(AD196)),0)</f>
        <v>35328</v>
      </c>
      <c r="AE345" s="263">
        <f>IFERROR((N(AE189)+N(AE193)+N(AE195)+N(AE196)),0)</f>
        <v>34845</v>
      </c>
      <c r="AF345" s="263">
        <f>IFERROR((N(AF189)+N(AF193)+N(AF195)+N(AF196)),0)</f>
        <v>39623</v>
      </c>
      <c r="AG345" s="263">
        <f>IFERROR((N(AG189)+N(AG193)+N(AG195)+N(AG196)),0)</f>
        <v>39623</v>
      </c>
      <c r="AH345" s="263">
        <f>IFERROR((N(AH189)+N(AH193)+N(AH195)+N(AH196)),0)</f>
        <v>44339</v>
      </c>
      <c r="AI345" s="263">
        <f>IFERROR((N(AI189)+N(AI193)+N(AI195)+N(AI196)),0)</f>
        <v>53954</v>
      </c>
      <c r="AJ345" s="263">
        <f>IFERROR((N(AJ189)+N(AJ193)+N(AJ195)+N(AJ196)),0)</f>
        <v>60289.8752467761</v>
      </c>
      <c r="AK345" s="263">
        <f>IFERROR((N(AK189)+N(AK193)+N(AK195)+N(AK196)),0)</f>
        <v>74225.7189736828</v>
      </c>
      <c r="AL345" s="263">
        <f>IFERROR((N(AL189)+N(AL193)+N(AL195)+N(AL196)),0)</f>
        <v>74225.7189736828</v>
      </c>
      <c r="AM345" s="263">
        <f>IFERROR((N(AM189)+N(AM193)+N(AM195)+N(AM196)),0)</f>
        <v>88340.8420059772</v>
      </c>
      <c r="AN345" s="263">
        <f>IFERROR((N(AN189)+N(AN193)+N(AN195)+N(AN196)),0)</f>
        <v>107656.218914979</v>
      </c>
      <c r="AO345" s="263">
        <f>IFERROR((N(AO189)+N(AO193)+N(AO195)+N(AO196)),0)</f>
        <v>131161.818429562</v>
      </c>
      <c r="AP345" s="263">
        <f>IFERROR((N(AP189)+N(AP193)+N(AP195)+N(AP196)),0)</f>
        <v>162417.762177502</v>
      </c>
      <c r="AQ345" s="263">
        <f>IFERROR((N(AQ189)+N(AQ193)+N(AQ195)+N(AQ196)),0)</f>
        <v>162417.762177502</v>
      </c>
      <c r="AR345" s="263">
        <f>IFERROR((N(AR189)+N(AR193)+N(AR195)+N(AR196)),0)</f>
        <v>196348.062563529</v>
      </c>
      <c r="AS345" s="263">
        <f>IFERROR((N(AS189)+N(AS193)+N(AS195)+N(AS196)),0)</f>
        <v>241164.127578235</v>
      </c>
      <c r="AT345" s="263">
        <f>IFERROR((N(AT189)+N(AT193)+N(AT195)+N(AT196)),0)</f>
        <v>295885.368945316</v>
      </c>
      <c r="AU345" s="263">
        <f>IFERROR((N(AU189)+N(AU193)+N(AU195)+N(AU196)),0)</f>
        <v>366293.382019579</v>
      </c>
      <c r="AV345" s="263">
        <f>IFERROR((N(AV189)+N(AV193)+N(AV195)+N(AV196)),0)</f>
        <v>366293.382019579</v>
      </c>
      <c r="AW345" s="263">
        <f>IFERROR((N(AW189)+N(AW193)+N(AW195)+N(AW196)),0)</f>
        <v>446846.91190879</v>
      </c>
      <c r="AX345" s="263">
        <f>IFERROR((N(AX189)+N(AX193)+N(AX195)+N(AX196)),0)</f>
        <v>549403.988329955</v>
      </c>
      <c r="AY345" s="263">
        <f>IFERROR((N(AY189)+N(AY193)+N(AY195)+N(AY196)),0)</f>
        <v>675455.954679434</v>
      </c>
      <c r="AZ345" s="263">
        <f>IFERROR((N(AZ189)+N(AZ193)+N(AZ195)+N(AZ196)),0)</f>
        <v>834466.656226585</v>
      </c>
      <c r="BA345" s="263">
        <f>IFERROR((N(BA189)+N(BA193)+N(BA195)+N(BA196)),0)</f>
        <v>834466.656226585</v>
      </c>
      <c r="BB345" s="263">
        <f>IFERROR((N(BB189)+N(BB193)+N(BB195)+N(BB196)),0)</f>
        <v>1020701.10914966</v>
      </c>
      <c r="BC345" s="263">
        <f>IFERROR((N(BC189)+N(BC193)+N(BC195)+N(BC196)),0)</f>
        <v>1253949.25653845</v>
      </c>
      <c r="BD345" s="263">
        <f>IFERROR((N(BD189)+N(BD193)+N(BD195)+N(BD196)),0)</f>
        <v>1540418.85732781</v>
      </c>
      <c r="BE345" s="263">
        <f>IFERROR((N(BE189)+N(BE193)+N(BE195)+N(BE196)),0)</f>
        <v>1897279.24527456</v>
      </c>
      <c r="BF345" s="263">
        <f>IFERROR((N(BF189)+N(BF193)+N(BF195)+N(BF196)),0)</f>
        <v>1897279.24527456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FIXED ASSETS</t>
        </is>
      </c>
      <c r="D346" s="89">
        <f>IFERROR(D157+D167+D170+D171+D180-D231,"")</f>
        <v>0</v>
      </c>
      <c r="E346" s="89">
        <f>IFERROR(E157+E167+E170+E171+E180-E231,"")</f>
        <v>0</v>
      </c>
      <c r="F346" s="89">
        <f>IFERROR(F157+F167+F170+F171+F180-F231,"")</f>
        <v>0</v>
      </c>
      <c r="G346" s="89">
        <f>IFERROR(G157+G167+G170+G171+G180-G231,"")</f>
        <v>0</v>
      </c>
      <c r="H346" s="263">
        <f>IFERROR((N(H157)+N(H167)+N(H170)+N(H171)+N(H180))-N(H231),0)</f>
        <v>0</v>
      </c>
      <c r="I346" s="263">
        <f>IFERROR((N(I157)+N(I167)+N(I170)+N(I171)+N(I180))-N(I231),0)</f>
        <v>79626</v>
      </c>
      <c r="J346" s="263">
        <f>IFERROR((N(J157)+N(J167)+N(J170)+N(J171)+N(J180))-N(J231),0)</f>
        <v>83360</v>
      </c>
      <c r="K346" s="263">
        <f>IFERROR((N(K157)+N(K167)+N(K170)+N(K171)+N(K180))-N(K231),0)</f>
        <v>87305</v>
      </c>
      <c r="L346" s="263">
        <f>IFERROR((N(L157)+N(L167)+N(L170)+N(L171)+N(L180))-N(L231),0)</f>
        <v>92094</v>
      </c>
      <c r="M346" s="263">
        <f>IFERROR((N(M157)+N(M167)+N(M170)+N(M171)+N(M180))-N(M231),0)</f>
        <v>92094</v>
      </c>
      <c r="N346" s="263">
        <f>IFERROR((N(N157)+N(N167)+N(N170)+N(N171)+N(N180))-N(N231),0)</f>
        <v>97943</v>
      </c>
      <c r="O346" s="263">
        <f>IFERROR((N(O157)+N(O167)+N(O170)+N(O171)+N(O180))-N(O231),0)</f>
        <v>106789</v>
      </c>
      <c r="P346" s="263">
        <f>IFERROR((N(P157)+N(P167)+N(P170)+N(P171)+N(P180))-N(P231),0)</f>
        <v>113075</v>
      </c>
      <c r="Q346" s="263">
        <f>IFERROR((N(Q157)+N(Q167)+N(Q170)+N(Q171)+N(Q180))-N(Q231),0)</f>
        <v>118414</v>
      </c>
      <c r="R346" s="263">
        <f>IFERROR((N(R157)+N(R167)+N(R170)+N(R171)+N(R180))-N(R231),0)</f>
        <v>118414</v>
      </c>
      <c r="S346" s="263">
        <f>IFERROR((N(S157)+N(S167)+N(S170)+N(S171)+N(S180))-N(S231),0)</f>
        <v>123789</v>
      </c>
      <c r="T346" s="263">
        <f>IFERROR((N(T157)+N(T167)+N(T170)+N(T171)+N(T180))-N(T231),0)</f>
        <v>129216</v>
      </c>
      <c r="U346" s="263">
        <f>IFERROR((N(U157)+N(U167)+N(U170)+N(U171)+N(U180))-N(U231),0)</f>
        <v>129783</v>
      </c>
      <c r="V346" s="263">
        <f>IFERROR((N(V157)+N(V167)+N(V170)+N(V171)+N(V180))-N(V231),0)</f>
        <v>135374</v>
      </c>
      <c r="W346" s="263">
        <f>IFERROR((N(W157)+N(W167)+N(W170)+N(W171)+N(W180))-N(W231),0)</f>
        <v>135374</v>
      </c>
      <c r="X346" s="263">
        <f>IFERROR((N(X157)+N(X167)+N(X170)+N(X171)+N(X180))-N(X231),0)</f>
        <v>138257</v>
      </c>
      <c r="Y346" s="263">
        <f>IFERROR((N(Y157)+N(Y167)+N(Y170)+N(Y171)+N(Y180))-N(Y231),0)</f>
        <v>143410</v>
      </c>
      <c r="Z346" s="263">
        <f>IFERROR((N(Z157)+N(Z167)+N(Z170)+N(Z171)+N(Z180))-N(Z231),0)</f>
        <v>153823</v>
      </c>
      <c r="AA346" s="263">
        <f>IFERROR((N(AA157)+N(AA167)+N(AA170)+N(AA171)+N(AA180))-N(AA231),0)</f>
        <v>163306</v>
      </c>
      <c r="AB346" s="263">
        <f>IFERROR((N(AB157)+N(AB167)+N(AB170)+N(AB171)+N(AB180))-N(AB231),0)</f>
        <v>163306</v>
      </c>
      <c r="AC346" s="263">
        <f>IFERROR((N(AC157)+N(AC167)+N(AC170)+N(AC171)+N(AC180))-N(AC231),0)</f>
        <v>176235</v>
      </c>
      <c r="AD346" s="263">
        <f>IFERROR((N(AD157)+N(AD167)+N(AD170)+N(AD171)+N(AD180))-N(AD231),0)</f>
        <v>206345</v>
      </c>
      <c r="AE346" s="263">
        <f>IFERROR((N(AE157)+N(AE167)+N(AE170)+N(AE171)+N(AE180))-N(AE231),0)</f>
        <v>206853</v>
      </c>
      <c r="AF346" s="263">
        <f>IFERROR((N(AF157)+N(AF167)+N(AF170)+N(AF171)+N(AF180))-N(AF231),0)</f>
        <v>232041</v>
      </c>
      <c r="AG346" s="263">
        <f>IFERROR((N(AG157)+N(AG167)+N(AG170)+N(AG171)+N(AG180))-N(AG231),0)</f>
        <v>232041</v>
      </c>
      <c r="AH346" s="263">
        <f>IFERROR((N(AH157)+N(AH167)+N(AH170)+N(AH171)+N(AH180))-N(AH231),0)</f>
        <v>265024</v>
      </c>
      <c r="AI346" s="263">
        <f>IFERROR((N(AI157)+N(AI167)+N(AI170)+N(AI171)+N(AI180))-N(AI231),0)</f>
        <v>302018</v>
      </c>
      <c r="AJ346" s="263">
        <f>IFERROR((N(AJ157)+N(AJ167)+N(AJ170)+N(AJ171)+N(AJ180))-N(AJ231),0)</f>
        <v>323027.703704334</v>
      </c>
      <c r="AK346" s="263">
        <f>IFERROR((N(AK157)+N(AK167)+N(AK170)+N(AK171)+N(AK180))-N(AK231),0)</f>
        <v>347584.399070708</v>
      </c>
      <c r="AL346" s="263">
        <f>IFERROR((N(AL157)+N(AL167)+N(AL170)+N(AL171)+N(AL180))-N(AL231),0)</f>
        <v>347584.399070708</v>
      </c>
      <c r="AM346" s="263">
        <f>IFERROR((N(AM157)+N(AM167)+N(AM170)+N(AM171)+N(AM180))-N(AM231),0)</f>
        <v>370672.440624409</v>
      </c>
      <c r="AN346" s="263">
        <f>IFERROR((N(AN157)+N(AN167)+N(AN170)+N(AN171)+N(AN180))-N(AN231),0)</f>
        <v>395601.424561945</v>
      </c>
      <c r="AO346" s="263">
        <f>IFERROR((N(AO157)+N(AO167)+N(AO170)+N(AO171)+N(AO180))-N(AO231),0)</f>
        <v>421819.942029373</v>
      </c>
      <c r="AP346" s="263">
        <f>IFERROR((N(AP157)+N(AP167)+N(AP170)+N(AP171)+N(AP180))-N(AP231),0)</f>
        <v>452464.836191908</v>
      </c>
      <c r="AQ346" s="263">
        <f>IFERROR((N(AQ157)+N(AQ167)+N(AQ170)+N(AQ171)+N(AQ180))-N(AQ231),0)</f>
        <v>452464.836191908</v>
      </c>
      <c r="AR346" s="263">
        <f>IFERROR((N(AR157)+N(AR167)+N(AR170)+N(AR171)+N(AR180))-N(AR231),0)</f>
        <v>481161.521527801</v>
      </c>
      <c r="AS346" s="263">
        <f>IFERROR((N(AS157)+N(AS167)+N(AS170)+N(AS171)+N(AS180))-N(AS231),0)</f>
        <v>512146.358684087</v>
      </c>
      <c r="AT346" s="263">
        <f>IFERROR((N(AT157)+N(AT167)+N(AT170)+N(AT171)+N(AT180))-N(AT231),0)</f>
        <v>544733.988257881</v>
      </c>
      <c r="AU346" s="263">
        <f>IFERROR((N(AU157)+N(AU167)+N(AU170)+N(AU171)+N(AU180))-N(AU231),0)</f>
        <v>582823.268497981</v>
      </c>
      <c r="AV346" s="263">
        <f>IFERROR((N(AV157)+N(AV167)+N(AV170)+N(AV171)+N(AV180))-N(AV231),0)</f>
        <v>582823.268497981</v>
      </c>
      <c r="AW346" s="263">
        <f>IFERROR((N(AW157)+N(AW167)+N(AW170)+N(AW171)+N(AW180))-N(AW231),0)</f>
        <v>618347.589434519</v>
      </c>
      <c r="AX346" s="263">
        <f>IFERROR((N(AX157)+N(AX167)+N(AX170)+N(AX171)+N(AX180))-N(AX231),0)</f>
        <v>656704.468858831</v>
      </c>
      <c r="AY346" s="263">
        <f>IFERROR((N(AY157)+N(AY167)+N(AY170)+N(AY171)+N(AY180))-N(AY231),0)</f>
        <v>697045.483787565</v>
      </c>
      <c r="AZ346" s="263">
        <f>IFERROR((N(AZ157)+N(AZ167)+N(AZ170)+N(AZ171)+N(AZ180))-N(AZ231),0)</f>
        <v>744197.125158446</v>
      </c>
      <c r="BA346" s="263">
        <f>IFERROR((N(BA157)+N(BA167)+N(BA170)+N(BA171)+N(BA180))-N(BA231),0)</f>
        <v>744197.125158446</v>
      </c>
      <c r="BB346" s="263">
        <f>IFERROR((N(BB157)+N(BB167)+N(BB170)+N(BB171)+N(BB180))-N(BB231),0)</f>
        <v>787995.919757613</v>
      </c>
      <c r="BC346" s="263">
        <f>IFERROR((N(BC157)+N(BC167)+N(BC170)+N(BC171)+N(BC180))-N(BC231),0)</f>
        <v>835287.044234606</v>
      </c>
      <c r="BD346" s="263">
        <f>IFERROR((N(BD157)+N(BD167)+N(BD170)+N(BD171)+N(BD180))-N(BD231),0)</f>
        <v>885024.4573703</v>
      </c>
      <c r="BE346" s="263">
        <f>IFERROR((N(BE157)+N(BE167)+N(BE170)+N(BE171)+N(BE180))-N(BE231),0)</f>
        <v>943158.856592347</v>
      </c>
      <c r="BF346" s="263">
        <f>IFERROR((N(BF157)+N(BF167)+N(BF170)+N(BF171)+N(BF180))-N(BF231),0)</f>
        <v>943158.856592347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  <c r="C354" s="74" t="inlineStr">
        <is>
          <t>DUPONT ANALYSIS</t>
        </is>
      </c>
    </row>
    <row r="355" customFormat="1" s="77">
      <c r="A355" s="76" t="n"/>
      <c r="B355" s="76" t="n"/>
      <c r="C355" s="77" t="inlineStr">
        <is>
          <t>NET PROFIT MARGIN (LTM)</t>
        </is>
      </c>
      <c r="D355" s="84" t="str">
        <f>IFERROR(D128/D15,"")</f>
        <v/>
      </c>
      <c r="E355" s="84" t="str">
        <f>IFERROR(E128/E15,"")</f>
        <v/>
      </c>
      <c r="F355" s="84" t="str">
        <f>IFERROR(F128/F15,"")</f>
        <v/>
      </c>
      <c r="G355" s="84" t="str">
        <f>IFERROR(G128/G15,"")</f>
        <v/>
      </c>
      <c r="H355" s="258" t="str">
        <f>IFERROR(IF(AND(COUNT(H128)=1,(H15)&lt;&gt;0),(H128)/(H15),""),"")</f>
        <v/>
      </c>
      <c r="I355" s="257" t="str">
        <f>""</f>
        <v/>
      </c>
      <c r="J355" s="257" t="str">
        <f>""</f>
        <v/>
      </c>
      <c r="K355" s="257" t="str">
        <f>""</f>
        <v/>
      </c>
      <c r="L355" s="257">
        <f>IFERROR(IF(AND(COUNT(I128,J128,K128,L128)=4,(I15+J15+K15+L15)&lt;&gt;0),(I128+J128+K128+L128)/(I15+J15+K15+L15),""),"")</f>
        <v>0.333844940599853</v>
      </c>
      <c r="M355" s="258">
        <f>IFERROR(IF(AND(COUNT(I128,J128,K128,L128)=4,(I15+J15+K15+L15)&lt;&gt;0),(I128+J128+K128+L128)/(I15+J15+K15+L15),""),"")</f>
        <v>0.333844940599853</v>
      </c>
      <c r="N355" s="257">
        <f>IFERROR(IF(AND(COUNT(J128,K128,L128,N128)=4,(J15+K15+L15+N15)&lt;&gt;0),(J128+K128+L128+N128)/(J15+K15+L15+N15),""),"")</f>
        <v>0.312018451356275</v>
      </c>
      <c r="O355" s="257">
        <f>IFERROR(IF(AND(COUNT(K128,L128,N128,O128)=4,(K15+L15+N15+O15)&lt;&gt;0),(K128+L128+N128+O128)/(K15+L15+N15+O15),""),"")</f>
        <v>0.281640719866679</v>
      </c>
      <c r="P355" s="257">
        <f>IFERROR(IF(AND(COUNT(L128,N128,O128,P128)=4,(L15+N15+O15+P15)&lt;&gt;0),(L128+N128+O128+P128)/(L15+N15+O15+P15),""),"")</f>
        <v>0.244101087922787</v>
      </c>
      <c r="Q355" s="257">
        <f>IFERROR(IF(AND(COUNT(N128,O128,P128,Q128)=4,(N15+O15+P15+Q15)&lt;&gt;0),(N128+O128+P128+Q128)/(N15+O15+P15+Q15),""),"")</f>
        <v>0.19895548371052</v>
      </c>
      <c r="R355" s="258">
        <f>IFERROR(IF(AND(COUNT(N128,O128,P128,Q128)=4,(N15+O15+P15+Q15)&lt;&gt;0),(N128+O128+P128+Q128)/(N15+O15+P15+Q15),""),"")</f>
        <v>0.19895548371052</v>
      </c>
      <c r="S355" s="257">
        <f>IFERROR(IF(AND(COUNT(O128,P128,Q128,S128)=4,(O15+P15+Q15+S15)&lt;&gt;0),(O128+P128+Q128+S128)/(O15+P15+Q15+S15),""),"")</f>
        <v>0.18274163584613</v>
      </c>
      <c r="T355" s="257">
        <f>IFERROR(IF(AND(COUNT(P128,Q128,S128,T128)=4,(P15+Q15+S15+T15)&lt;&gt;0),(P128+Q128+S128+T128)/(P15+Q15+S15+T15),""),"")</f>
        <v>0.187059731337587</v>
      </c>
      <c r="U355" s="257">
        <f>IFERROR(IF(AND(COUNT(Q128,S128,T128,U128)=4,(Q15+S15+T15+U15)&lt;&gt;0),(Q128+S128+T128+U128)/(Q15+S15+T15+U15),""),"")</f>
        <v>0.234201094876137</v>
      </c>
      <c r="V355" s="257">
        <f>IFERROR(IF(AND(COUNT(S128,T128,U128,V128)=4,(S15+T15+U15+V15)&lt;&gt;0),(S128+T128+U128+V128)/(S15+T15+U15+V15),""),"")</f>
        <v>0.289819942031564</v>
      </c>
      <c r="W355" s="258">
        <f>IFERROR(IF(AND(COUNT(S128,T128,U128,V128)=4,(S15+T15+U15+V15)&lt;&gt;0),(S128+T128+U128+V128)/(S15+T15+U15+V15),""),"")</f>
        <v>0.289819942031564</v>
      </c>
      <c r="X355" s="257">
        <f>IFERROR(IF(AND(COUNT(T128,U128,V128,X128)=4,(T15+U15+V15+X15)&lt;&gt;0),(T128+U128+V128+X128)/(T15+U15+V15+X15),""),"")</f>
        <v>0.320627001422455</v>
      </c>
      <c r="Y355" s="257">
        <f>IFERROR(IF(AND(COUNT(U128,V128,X128,Y128)=4,(U15+V15+X15+Y15)&lt;&gt;0),(U128+V128+X128+Y128)/(U15+V15+X15+Y15),""),"")</f>
        <v>0.343390104350961</v>
      </c>
      <c r="Z355" s="257">
        <f>IFERROR(IF(AND(COUNT(V128,X128,Y128,Z128)=4,(V15+X15+Y15+Z15)&lt;&gt;0),(V128+X128+Y128+Z128)/(V15+X15+Y15+Z15),""),"")</f>
        <v>0.355504205445957</v>
      </c>
      <c r="AA355" s="257">
        <f>IFERROR(IF(AND(COUNT(X128,Y128,Z128,AA128)=4,(X15+Y15+Z15+AA15)&lt;&gt;0),(X128+Y128+Z128+AA128)/(X15+Y15+Z15+AA15),""),"")</f>
        <v>0.379088145896657</v>
      </c>
      <c r="AB355" s="258">
        <f>IFERROR(IF(AND(COUNT(X128,Y128,Z128,AA128)=4,(X15+Y15+Z15+AA15)&lt;&gt;0),(X128+Y128+Z128+AA128)/(X15+Y15+Z15+AA15),""),"")</f>
        <v>0.379088145896657</v>
      </c>
      <c r="AC355" s="257">
        <f>IFERROR(IF(AND(COUNT(Y128,Z128,AA128,AC128)=4,(Y15+Z15+AA15+AC15)&lt;&gt;0),(Y128+Z128+AA128+AC128)/(Y15+Z15+AA15+AC15),""),"")</f>
        <v>0.391144582910207</v>
      </c>
      <c r="AD355" s="257">
        <f>IFERROR(IF(AND(COUNT(Z128,AA128,AC128,AD128)=4,(Z15+AA15+AC15+AD15)&lt;&gt;0),(Z128+AA128+AC128+AD128)/(Z15+AA15+AC15+AD15),""),"")</f>
        <v>0.399918346345719</v>
      </c>
      <c r="AE355" s="257">
        <f>IFERROR(IF(AND(COUNT(AA128,AC128,AD128,AE128)=4,(AA15+AC15+AD15+AE15)&lt;&gt;0),(AA128+AC128+AD128+AE128)/(AA15+AC15+AD15+AE15),""),"")</f>
        <v>0.308924980338547</v>
      </c>
      <c r="AF355" s="257">
        <f>IFERROR(IF(AND(COUNT(AB128,AD128,AE128,AF128)=4,(AB15+AD15+AE15+AF15)&lt;&gt;0),(AB128+AD128+AE128+AF128)/(AB15+AD15+AE15+AF15),""),"")</f>
        <v>0.328558475759011</v>
      </c>
      <c r="AG355" s="258">
        <f>IFERROR(IF(AND(COUNT(AC128,AD128,AE128,AF128)=4,(AC15+AD15+AE15+AF15)&lt;&gt;0),(AC128+AD128+AE128+AF128)/(AC15+AD15+AE15+AF15),""),"")</f>
        <v>0.300838454457244</v>
      </c>
      <c r="AH355" s="257">
        <f>IFERROR(IF(AND(COUNT(AD128,AF128,AG128,AH128)=4,(AD15+AF15+AG15+AH15)&lt;&gt;0),(AD128+AF128+AG128+AH128)/(AD15+AF15+AG15+AH15),""),"")</f>
        <v>0.351909181896705</v>
      </c>
      <c r="AI355" s="257">
        <f>IFERROR(IF(AND(COUNT(AE128,AG128,AH128,AI128)=4,(AE15+AG15+AH15+AI15)&lt;&gt;0),(AE128+AG128+AH128+AI128)/(AE15+AG15+AH15+AI15),""),"")</f>
        <v>0.286440719269791</v>
      </c>
      <c r="AJ355" s="257">
        <f>IFERROR(IF(AND(COUNT(AF128,AH128,AI128,AJ128)=4,(AF15+AH15+AI15+AJ15)&lt;&gt;0),(AF128+AH128+AI128+AJ128)/(AF15+AH15+AI15+AJ15),""),"")</f>
        <v>0.358789280264018</v>
      </c>
      <c r="AK355" s="257">
        <f>IFERROR(IF(AND(COUNT(AH128,AI128,AJ128,AK128)=4,(AH15+AI15+AJ15+AK15)&lt;&gt;0),(AH128+AI128+AJ128+AK128)/(AH15+AI15+AJ15+AK15),""),"")</f>
        <v>0.345192002294305</v>
      </c>
      <c r="AL355" s="258">
        <f>IFERROR(IF(AND(COUNT(AH128,AI128,AJ128,AK128)=4,(AH15+AI15+AJ15+AK15)&lt;&gt;0),(AH128+AI128+AJ128+AK128)/(AH15+AI15+AJ15+AK15),""),"")</f>
        <v>0.345192002294305</v>
      </c>
      <c r="AM355" s="257">
        <f>IFERROR(IF(AND(COUNT(AI128,AJ128,AK128,AM128)=4,(AI15+AJ15+AK15+AM15)&lt;&gt;0),(AI128+AJ128+AK128+AM128)/(AI15+AJ15+AK15+AM15),""),"")</f>
        <v>0.313879037061129</v>
      </c>
      <c r="AN355" s="257">
        <f>IFERROR(IF(AND(COUNT(AJ128,AK128,AM128,AN128)=4,(AJ15+AK15+AM15+AN15)&lt;&gt;0),(AJ128+AK128+AM128+AN128)/(AJ15+AK15+AM15+AN15),""),"")</f>
        <v>0.32936602340646</v>
      </c>
      <c r="AO355" s="257">
        <f>IFERROR(IF(AND(COUNT(AK128,AM128,AN128,AO128)=4,(AK15+AM15+AN15+AO15)&lt;&gt;0),(AK128+AM128+AN128+AO128)/(AK15+AM15+AN15+AO15),""),"")</f>
        <v>0.32936602340646</v>
      </c>
      <c r="AP355" s="257">
        <f>IFERROR(IF(AND(COUNT(AM128,AN128,AO128,AP128)=4,(AM15+AN15+AO15+AP15)&lt;&gt;0),(AM128+AN128+AO128+AP128)/(AM15+AN15+AO15+AP15),""),"")</f>
        <v>0.32936602340646</v>
      </c>
      <c r="AQ355" s="258">
        <f>IFERROR(IF(AND(COUNT(AM128,AN128,AO128,AP128)=4,(AM15+AN15+AO15+AP15)&lt;&gt;0),(AM128+AN128+AO128+AP128)/(AM15+AN15+AO15+AP15),""),"")</f>
        <v>0.32936602340646</v>
      </c>
      <c r="AR355" s="257">
        <f>IFERROR(IF(AND(COUNT(AN128,AO128,AP128,AR128)=4,(AN15+AO15+AP15+AR15)&lt;&gt;0),(AN128+AO128+AP128+AR128)/(AN15+AO15+AP15+AR15),""),"")</f>
        <v>0.32936602340646</v>
      </c>
      <c r="AS355" s="257">
        <f>IFERROR(IF(AND(COUNT(AO128,AP128,AR128,AS128)=4,(AO15+AP15+AR15+AS15)&lt;&gt;0),(AO128+AP128+AR128+AS128)/(AO15+AP15+AR15+AS15),""),"")</f>
        <v>0.32936602340646</v>
      </c>
      <c r="AT355" s="257">
        <f>IFERROR(IF(AND(COUNT(AP128,AR128,AS128,AT128)=4,(AP15+AR15+AS15+AT15)&lt;&gt;0),(AP128+AR128+AS128+AT128)/(AP15+AR15+AS15+AT15),""),"")</f>
        <v>0.32936602340646</v>
      </c>
      <c r="AU355" s="257">
        <f>IFERROR(IF(AND(COUNT(AR128,AS128,AT128,AU128)=4,(AR15+AS15+AT15+AU15)&lt;&gt;0),(AR128+AS128+AT128+AU128)/(AR15+AS15+AT15+AU15),""),"")</f>
        <v>0.32936602340646</v>
      </c>
      <c r="AV355" s="258">
        <f>IFERROR(IF(AND(COUNT(AR128,AS128,AT128,AU128)=4,(AR15+AS15+AT15+AU15)&lt;&gt;0),(AR128+AS128+AT128+AU128)/(AR15+AS15+AT15+AU15),""),"")</f>
        <v>0.32936602340646</v>
      </c>
      <c r="AW355" s="257">
        <f>IFERROR(IF(AND(COUNT(AS128,AT128,AU128,AW128)=4,(AS15+AT15+AU15+AW15)&lt;&gt;0),(AS128+AT128+AU128+AW128)/(AS15+AT15+AU15+AW15),""),"")</f>
        <v>0.32936602340646</v>
      </c>
      <c r="AX355" s="257">
        <f>IFERROR(IF(AND(COUNT(AT128,AU128,AW128,AX128)=4,(AT15+AU15+AW15+AX15)&lt;&gt;0),(AT128+AU128+AW128+AX128)/(AT15+AU15+AW15+AX15),""),"")</f>
        <v>0.32936602340646</v>
      </c>
      <c r="AY355" s="257">
        <f>IFERROR(IF(AND(COUNT(AU128,AW128,AX128,AY128)=4,(AU15+AW15+AX15+AY15)&lt;&gt;0),(AU128+AW128+AX128+AY128)/(AU15+AW15+AX15+AY15),""),"")</f>
        <v>0.32936602340646</v>
      </c>
      <c r="AZ355" s="257">
        <f>IFERROR(IF(AND(COUNT(AW128,AX128,AY128,AZ128)=4,(AW15+AX15+AY15+AZ15)&lt;&gt;0),(AW128+AX128+AY128+AZ128)/(AW15+AX15+AY15+AZ15),""),"")</f>
        <v>0.32936602340646</v>
      </c>
      <c r="BA355" s="258">
        <f>IFERROR(IF(AND(COUNT(AW128,AX128,AY128,AZ128)=4,(AW15+AX15+AY15+AZ15)&lt;&gt;0),(AW128+AX128+AY128+AZ128)/(AW15+AX15+AY15+AZ15),""),"")</f>
        <v>0.32936602340646</v>
      </c>
      <c r="BB355" s="257">
        <f>IFERROR(IF(AND(COUNT(AX128,AY128,AZ128,BB128)=4,(AX15+AY15+AZ15+BB15)&lt;&gt;0),(AX128+AY128+AZ128+BB128)/(AX15+AY15+AZ15+BB15),""),"")</f>
        <v>0.32936602340646</v>
      </c>
      <c r="BC355" s="257">
        <f>IFERROR(IF(AND(COUNT(AY128,AZ128,BB128,BC128)=4,(AY15+AZ15+BB15+BC15)&lt;&gt;0),(AY128+AZ128+BB128+BC128)/(AY15+AZ15+BB15+BC15),""),"")</f>
        <v>0.32936602340646</v>
      </c>
      <c r="BD355" s="257">
        <f>IFERROR(IF(AND(COUNT(AZ128,BB128,BC128,BD128)=4,(AZ15+BB15+BC15+BD15)&lt;&gt;0),(AZ128+BB128+BC128+BD128)/(AZ15+BB15+BC15+BD15),""),"")</f>
        <v>0.32936602340646</v>
      </c>
      <c r="BE355" s="257">
        <f>IFERROR(IF(AND(COUNT(BB128,BC128,BD128,BE128)=4,(BB15+BC15+BD15+BE15)&lt;&gt;0),(BB128+BC128+BD128+BE128)/(BB15+BC15+BD15+BE15),""),"")</f>
        <v>0.32936602340646</v>
      </c>
      <c r="BF355" s="258">
        <f>IFERROR(IF(AND(COUNT(BB128,BC128,BD128,BE128)=4,(BB15+BC15+BD15+BE15)&lt;&gt;0),(BB128+BC128+BD128+BE128)/(BB15+BC15+BD15+BE15),""),"")</f>
        <v>0.32936602340646</v>
      </c>
      <c r="BG355" s="81" t="n"/>
      <c r="BH355" s="81" t="n"/>
      <c r="BI355" s="81" t="n"/>
      <c r="BJ355" s="81" t="n"/>
      <c r="BL355" s="81" t="n"/>
      <c r="BM355" s="81" t="n"/>
      <c r="BN355" s="81" t="n"/>
      <c r="BO355" s="81" t="n"/>
      <c r="BQ355" s="81" t="n"/>
      <c r="BR355" s="81" t="n"/>
      <c r="BS355" s="81" t="n"/>
      <c r="BT355" s="81" t="n"/>
      <c r="BV355" s="81" t="n"/>
      <c r="BW355" s="81" t="n"/>
      <c r="BX355" s="81" t="n"/>
      <c r="BY355" s="81" t="n"/>
      <c r="CA355" s="81" t="n"/>
      <c r="CB355" s="81" t="n"/>
      <c r="CC355" s="81" t="n"/>
      <c r="CD355" s="81" t="n"/>
      <c r="CF355" s="81" t="n"/>
      <c r="CG355" s="81" t="n"/>
      <c r="CH355" s="81" t="n"/>
      <c r="CI355" s="81" t="n"/>
      <c r="CK355" s="81" t="n"/>
      <c r="CL355" s="81" t="n"/>
      <c r="CM355" s="81" t="n"/>
      <c r="CN355" s="81" t="n"/>
      <c r="CP355" s="81" t="n"/>
      <c r="CQ355" s="81" t="n"/>
      <c r="CR355" s="81" t="n"/>
      <c r="CS355" s="81" t="n"/>
      <c r="CU355" s="81" t="n"/>
      <c r="CV355" s="81" t="n"/>
      <c r="CW355" s="81" t="n"/>
      <c r="CX355" s="81" t="n"/>
    </row>
    <row r="356" customFormat="1" s="77">
      <c r="A356" s="76" t="n"/>
      <c r="B356" s="76" t="n"/>
      <c r="C356" s="77" t="inlineStr">
        <is>
          <t>ASSET TURNOVER (LTM REVENUE / ASSETS)</t>
        </is>
      </c>
      <c r="D356" s="84" t="str">
        <f>IFERROR(D15/D188,"")</f>
        <v/>
      </c>
      <c r="E356" s="84" t="str">
        <f>IFERROR(E15/E188,"")</f>
        <v/>
      </c>
      <c r="F356" s="84" t="str">
        <f>IFERROR(F15/F188,"")</f>
        <v/>
      </c>
      <c r="G356" s="84" t="str">
        <f>IFERROR(G15/G188,"")</f>
        <v/>
      </c>
      <c r="H356" s="262" t="str">
        <f>IFERROR(IF(AND(COUNT(H15)=1,N(H188)&lt;&gt;0),(H15)/H188,""),"")</f>
        <v/>
      </c>
      <c r="I356" s="264" t="str">
        <f>""</f>
        <v/>
      </c>
      <c r="J356" s="264" t="str">
        <f>""</f>
        <v/>
      </c>
      <c r="K356" s="264" t="str">
        <f>""</f>
        <v/>
      </c>
      <c r="L356" s="264">
        <f>IFERROR(IF(AND(COUNT(I15,J15,K15,L15)=4,N(L188)&lt;&gt;0),(I15+J15+K15+L15)/L188,""),"")</f>
        <v>0.710471301969431</v>
      </c>
      <c r="M356" s="262">
        <f>IFERROR(IF(AND(COUNT(I15,J15,K15,L15)=4,N(M188)&lt;&gt;0),(I15+J15+K15+L15)/M188,""),"")</f>
        <v>0.710471301969431</v>
      </c>
      <c r="N356" s="264">
        <f>IFERROR(IF(AND(COUNT(J15,K15,L15,N15)=4,N(N188)&lt;&gt;0),(J15+K15+L15+N15)/N188,""),"")</f>
        <v>0.728702091122776</v>
      </c>
      <c r="O356" s="264">
        <f>IFERROR(IF(AND(COUNT(K15,L15,N15,O15)=4,N(O188)&lt;&gt;0),(K15+L15+N15+O15)/O188,""),"")</f>
        <v>0.703331978631044</v>
      </c>
      <c r="P356" s="264">
        <f>IFERROR(IF(AND(COUNT(L15,N15,O15,P15)=4,N(P188)&lt;&gt;0),(L15+N15+O15+P15)/P188,""),"")</f>
        <v>0.660251322011918</v>
      </c>
      <c r="Q356" s="264">
        <f>IFERROR(IF(AND(COUNT(N15,O15,P15,Q15)=4,N(Q188)&lt;&gt;0),(N15+O15+P15+Q15)/Q188,""),"")</f>
        <v>0.627851631695984</v>
      </c>
      <c r="R356" s="262">
        <f>IFERROR(IF(AND(COUNT(N15,O15,P15,Q15)=4,N(R188)&lt;&gt;0),(N15+O15+P15+Q15)/R188,""),"")</f>
        <v>0.627851631695984</v>
      </c>
      <c r="S356" s="264">
        <f>IFERROR(IF(AND(COUNT(O15,P15,Q15,S15)=4,N(S188)&lt;&gt;0),(O15+P15+Q15+S15)/S188,""),"")</f>
        <v>0.636052707178128</v>
      </c>
      <c r="T356" s="264">
        <f>IFERROR(IF(AND(COUNT(P15,Q15,S15,T15)=4,N(T188)&lt;&gt;0),(P15+Q15+S15+T15)/T188,""),"")</f>
        <v>0.583115613872116</v>
      </c>
      <c r="U356" s="264">
        <f>IFERROR(IF(AND(COUNT(Q15,S15,T15,U15)=4,N(U188)&lt;&gt;0),(Q15+S15+T15+U15)/U188,""),"")</f>
        <v>0.587009996578415</v>
      </c>
      <c r="V356" s="264">
        <f>IFERROR(IF(AND(COUNT(S15,T15,U15,V15)=4,N(V188)&lt;&gt;0),(S15+T15+U15+V15)/V188,""),"")</f>
        <v>0.58748905815184</v>
      </c>
      <c r="W356" s="262">
        <f>IFERROR(IF(AND(COUNT(S15,T15,U15,V15)=4,N(W188)&lt;&gt;0),(S15+T15+U15+V15)/W188,""),"")</f>
        <v>0.58748905815184</v>
      </c>
      <c r="X356" s="264">
        <f>IFERROR(IF(AND(COUNT(T15,U15,V15,X15)=4,N(X188)&lt;&gt;0),(T15+U15+V15+X15)/X188,""),"")</f>
        <v>0.640407639424889</v>
      </c>
      <c r="Y356" s="264">
        <f>IFERROR(IF(AND(COUNT(U15,V15,X15,Y15)=4,N(Y188)&lt;&gt;0),(U15+V15+X15+Y15)/Y188,""),"")</f>
        <v>0.650557249454912</v>
      </c>
      <c r="Z356" s="264">
        <f>IFERROR(IF(AND(COUNT(V15,X15,Y15,Z15)=4,N(Z188)&lt;&gt;0),(V15+X15+Y15+Z15)/Z188,""),"")</f>
        <v>0.609286761723503</v>
      </c>
      <c r="AA356" s="264">
        <f>IFERROR(IF(AND(COUNT(X15,Y15,Z15,AA15)=4,N(AA188)&lt;&gt;0),(X15+Y15+Z15+AA15)/AA188,""),"")</f>
        <v>0.595897904033269</v>
      </c>
      <c r="AB356" s="262">
        <f>IFERROR(IF(AND(COUNT(X15,Y15,Z15,AA15)=4,N(AB188)&lt;&gt;0),(X15+Y15+Z15+AA15)/AB188,""),"")</f>
        <v>0.595897904033269</v>
      </c>
      <c r="AC356" s="264">
        <f>IFERROR(IF(AND(COUNT(Y15,Z15,AA15,AC15)=4,N(AC188)&lt;&gt;0),(Y15+Z15+AA15+AC15)/AC188,""),"")</f>
        <v>0.607962514230246</v>
      </c>
      <c r="AD356" s="264">
        <f>IFERROR(IF(AND(COUNT(Z15,AA15,AC15,AD15)=4,N(AD188)&lt;&gt;0),(Z15+AA15+AC15+AD15)/AD188,""),"")</f>
        <v>0.60664169584453</v>
      </c>
      <c r="AE356" s="264">
        <f>IFERROR(IF(AND(COUNT(AA15,AC15,AD15,AE15)=4,N(AE188)&lt;&gt;0),(AA15+AC15+AD15+AE15)/AE188,""),"")</f>
        <v>0.623533787074946</v>
      </c>
      <c r="AF356" s="264">
        <f>IFERROR(IF(AND(COUNT(AB15,AD15,AE15,AF15)=4,N(AF188)&lt;&gt;0),(AB15+AD15+AE15+AF15)/AF188,""),"")</f>
        <v>0.882875572713041</v>
      </c>
      <c r="AG356" s="262">
        <f>IFERROR(IF(AND(COUNT(AC15,AD15,AE15,AF15)=4,N(AG188)&lt;&gt;0),(AC15+AD15+AE15+AF15)/AG188,""),"")</f>
        <v>0.549053196401299</v>
      </c>
      <c r="AH356" s="264">
        <f>IFERROR(IF(AND(COUNT(AD15,AF15,AG15,AH15)=4,N(AH188)&lt;&gt;0),(AD15+AF15+AG15+AH15)/AH188,""),"")</f>
        <v>0.922669196710943</v>
      </c>
      <c r="AI356" s="264">
        <f>IFERROR(IF(AND(COUNT(AE15,AG15,AH15,AI15)=4,N(AI188)&lt;&gt;0),(AE15+AG15+AH15+AI15)/AI188,""),"")</f>
        <v>0.820789143827396</v>
      </c>
      <c r="AJ356" s="264">
        <f>IFERROR(IF(AND(COUNT(AF15,AH15,AI15,AJ15)=4,N(AJ188)&lt;&gt;0),(AF15+AH15+AI15+AJ15)/AJ188,""),"")</f>
        <v>0.50476450246283</v>
      </c>
      <c r="AK356" s="264">
        <f>IFERROR(IF(AND(COUNT(AH15,AI15,AJ15,AK15)=4,N(AK188)&lt;&gt;0),(AH15+AI15+AJ15+AK15)/AK188,""),"")</f>
        <v>0.495826046451317</v>
      </c>
      <c r="AL356" s="262">
        <f>IFERROR(IF(AND(COUNT(AH15,AI15,AJ15,AK15)=4,N(AL188)&lt;&gt;0),(AH15+AI15+AJ15+AK15)/AL188,""),"")</f>
        <v>0.495826046451317</v>
      </c>
      <c r="AM356" s="264">
        <f>IFERROR(IF(AND(COUNT(AI15,AJ15,AK15,AM15)=4,N(AM188)&lt;&gt;0),(AI15+AJ15+AK15+AM15)/AM188,""),"")</f>
        <v>0.487666195924073</v>
      </c>
      <c r="AN356" s="264">
        <f>IFERROR(IF(AND(COUNT(AJ15,AK15,AM15,AN15)=4,N(AN188)&lt;&gt;0),(AJ15+AK15+AM15+AN15)/AN188,""),"")</f>
        <v>0.476732621016637</v>
      </c>
      <c r="AO356" s="264">
        <f>IFERROR(IF(AND(COUNT(AK15,AM15,AN15,AO15)=4,N(AO188)&lt;&gt;0),(AK15+AM15+AN15+AO15)/AO188,""),"")</f>
        <v>0.464554804692874</v>
      </c>
      <c r="AP356" s="264">
        <f>IFERROR(IF(AND(COUNT(AM15,AN15,AO15,AP15)=4,N(AP188)&lt;&gt;0),(AM15+AN15+AO15+AP15)/AP188,""),"")</f>
        <v>0.450086868113431</v>
      </c>
      <c r="AQ356" s="262">
        <f>IFERROR(IF(AND(COUNT(AM15,AN15,AO15,AP15)=4,N(AQ188)&lt;&gt;0),(AM15+AN15+AO15+AP15)/AQ188,""),"")</f>
        <v>0.450086868113431</v>
      </c>
      <c r="AR356" s="264">
        <f>IFERROR(IF(AND(COUNT(AN15,AO15,AP15,AR15)=4,N(AR188)&lt;&gt;0),(AN15+AO15+AP15+AR15)/AR188,""),"")</f>
        <v>0.435644229172663</v>
      </c>
      <c r="AS356" s="264">
        <f>IFERROR(IF(AND(COUNT(AO15,AP15,AR15,AS15)=4,N(AS188)&lt;&gt;0),(AO15+AP15+AR15+AS15)/AS188,""),"")</f>
        <v>0.418395477733671</v>
      </c>
      <c r="AT356" s="264">
        <f>IFERROR(IF(AND(COUNT(AP15,AR15,AS15,AT15)=4,N(AT188)&lt;&gt;0),(AP15+AR15+AS15+AT15)/AT188,""),"")</f>
        <v>0.400027249802228</v>
      </c>
      <c r="AU356" s="264">
        <f>IFERROR(IF(AND(COUNT(AR15,AS15,AT15,AU15)=4,N(AU188)&lt;&gt;0),(AR15+AS15+AT15+AU15)/AU188,""),"")</f>
        <v>0.380117711856795</v>
      </c>
      <c r="AV356" s="262">
        <f>IFERROR(IF(AND(COUNT(AR15,AS15,AT15,AU15)=4,N(AV188)&lt;&gt;0),(AR15+AS15+AT15+AU15)/AV188,""),"")</f>
        <v>0.380117711856795</v>
      </c>
      <c r="AW356" s="264">
        <f>IFERROR(IF(AND(COUNT(AS15,AT15,AU15,AW15)=4,N(AW188)&lt;&gt;0),(AS15+AT15+AU15+AW15)/AW188,""),"")</f>
        <v>0.35996553676663</v>
      </c>
      <c r="AX356" s="264">
        <f>IFERROR(IF(AND(COUNT(AT15,AU15,AW15,AX15)=4,N(AX188)&lt;&gt;0),(AT15+AU15+AW15+AX15)/AX188,""),"")</f>
        <v>0.338196833142971</v>
      </c>
      <c r="AY356" s="264">
        <f>IFERROR(IF(AND(COUNT(AU15,AW15,AX15,AY15)=4,N(AY188)&lt;&gt;0),(AU15+AW15+AX15+AY15)/AY188,""),"")</f>
        <v>0.315907503098758</v>
      </c>
      <c r="AZ356" s="264">
        <f>IFERROR(IF(AND(COUNT(AW15,AX15,AY15,AZ15)=4,N(AZ188)&lt;&gt;0),(AW15+AX15+AY15+AZ15)/AZ188,""),"")</f>
        <v>0.29345335158656</v>
      </c>
      <c r="BA356" s="262">
        <f>IFERROR(IF(AND(COUNT(AW15,AX15,AY15,AZ15)=4,N(BA188)&lt;&gt;0),(AW15+AX15+AY15+AZ15)/BA188,""),"")</f>
        <v>0.29345335158656</v>
      </c>
      <c r="BB356" s="264">
        <f>IFERROR(IF(AND(COUNT(AX15,AY15,AZ15,BB15)=4,N(BB188)&lt;&gt;0),(AX15+AY15+AZ15+BB15)/BB188,""),"")</f>
        <v>0.271208687710217</v>
      </c>
      <c r="BC356" s="264">
        <f>IFERROR(IF(AND(COUNT(AY15,AZ15,BB15,BC15)=4,N(BC188)&lt;&gt;0),(AY15+AZ15+BB15+BC15)/BC188,""),"")</f>
        <v>0.248813247354899</v>
      </c>
      <c r="BD356" s="264">
        <f>IFERROR(IF(AND(COUNT(AZ15,BB15,BC15,BD15)=4,N(BD188)&lt;&gt;0),(AZ15+BB15+BC15+BD15)/BD188,""),"")</f>
        <v>0.22696203762555</v>
      </c>
      <c r="BE356" s="264">
        <f>IFERROR(IF(AND(COUNT(BB15,BC15,BD15,BE15)=4,N(BE188)&lt;&gt;0),(BB15+BC15+BD15+BE15)/BE188,""),"")</f>
        <v>0.206256012209514</v>
      </c>
      <c r="BF356" s="262">
        <f>IFERROR(IF(AND(COUNT(BB15,BC15,BD15,BE15)=4,N(BF188)&lt;&gt;0),(BB15+BC15+BD15+BE15)/BF188,""),"")</f>
        <v>0.206256012209514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EQUITY MULTIPLIER (ASSETS / EQUITY)</t>
        </is>
      </c>
      <c r="D357" s="84" t="str">
        <f>IFERROR(D188/D262,"")</f>
        <v/>
      </c>
      <c r="E357" s="84" t="str">
        <f>IFERROR(E188/E262,"")</f>
        <v/>
      </c>
      <c r="F357" s="84" t="str">
        <f>IFERROR(F188/F262,"")</f>
        <v/>
      </c>
      <c r="G357" s="84" t="str">
        <f>IFERROR(G188/G262,"")</f>
        <v/>
      </c>
      <c r="H357" s="262" t="str">
        <f>IFERROR(IF(N(H262)&lt;&gt;0,H188/H262,""),"")</f>
        <v/>
      </c>
      <c r="I357" s="264">
        <f>IFERROR(IF(N(I262)&lt;&gt;0,I188/I262,""),"")</f>
        <v>1.22345256888902</v>
      </c>
      <c r="J357" s="264">
        <f>IFERROR(IF(N(J262)&lt;&gt;0,J188/J262,""),"")</f>
        <v>1.23426682196676</v>
      </c>
      <c r="K357" s="264">
        <f>IFERROR(IF(N(K262)&lt;&gt;0,K188/K262,""),"")</f>
        <v>1.27163317336533</v>
      </c>
      <c r="L357" s="264">
        <f>IFERROR(IF(N(L262)&lt;&gt;0,L188/L262,""),"")</f>
        <v>1.32918264880404</v>
      </c>
      <c r="M357" s="262">
        <f>IFERROR(IF(N(M262)&lt;&gt;0,M188/M262,""),"")</f>
        <v>1.32918264880404</v>
      </c>
      <c r="N357" s="264">
        <f>IFERROR(IF(N(N262)&lt;&gt;0,N188/N262,""),"")</f>
        <v>1.3326354399974</v>
      </c>
      <c r="O357" s="264">
        <f>IFERROR(IF(N(O262)&lt;&gt;0,O188/O262,""),"")</f>
        <v>1.34994871468668</v>
      </c>
      <c r="P357" s="264">
        <f>IFERROR(IF(N(P262)&lt;&gt;0,P188/P262,""),"")</f>
        <v>1.4416007220333</v>
      </c>
      <c r="Q357" s="264">
        <f>IFERROR(IF(N(Q262)&lt;&gt;0,Q188/Q262,""),"")</f>
        <v>1.47738897329632</v>
      </c>
      <c r="R357" s="262">
        <f>IFERROR(IF(N(R262)&lt;&gt;0,R188/R262,""),"")</f>
        <v>1.47738897329632</v>
      </c>
      <c r="S357" s="264">
        <f>IFERROR(IF(N(S262)&lt;&gt;0,S188/S262,""),"")</f>
        <v>1.47835249809688</v>
      </c>
      <c r="T357" s="264">
        <f>IFERROR(IF(N(T262)&lt;&gt;0,T188/T262,""),"")</f>
        <v>1.54206799817955</v>
      </c>
      <c r="U357" s="264">
        <f>IFERROR(IF(N(U262)&lt;&gt;0,U188/U262,""),"")</f>
        <v>1.51374997375291</v>
      </c>
      <c r="V357" s="264">
        <f>IFERROR(IF(N(V262)&lt;&gt;0,V188/V262,""),"")</f>
        <v>1.49915778752742</v>
      </c>
      <c r="W357" s="262">
        <f>IFERROR(IF(N(W262)&lt;&gt;0,W188/W262,""),"")</f>
        <v>1.49915778752742</v>
      </c>
      <c r="X357" s="264">
        <f>IFERROR(IF(N(X262)&lt;&gt;0,X188/X262,""),"")</f>
        <v>1.49030622822329</v>
      </c>
      <c r="Y357" s="264">
        <f>IFERROR(IF(N(Y262)&lt;&gt;0,Y188/Y262,""),"")</f>
        <v>1.46870116035034</v>
      </c>
      <c r="Z357" s="264">
        <f>IFERROR(IF(N(Z262)&lt;&gt;0,Z188/Z262,""),"")</f>
        <v>1.55843650663409</v>
      </c>
      <c r="AA357" s="264">
        <f>IFERROR(IF(N(AA262)&lt;&gt;0,AA188/AA262,""),"")</f>
        <v>1.51149000476355</v>
      </c>
      <c r="AB357" s="262">
        <f>IFERROR(IF(N(AB262)&lt;&gt;0,AB188/AB262,""),"")</f>
        <v>1.51149000476355</v>
      </c>
      <c r="AC357" s="264">
        <f>IFERROR(IF(N(AC262)&lt;&gt;0,AC188/AC262,""),"")</f>
        <v>1.51442746812662</v>
      </c>
      <c r="AD357" s="264">
        <f>IFERROR(IF(N(AD262)&lt;&gt;0,AD188/AD262,""),"")</f>
        <v>1.51096529450966</v>
      </c>
      <c r="AE357" s="264">
        <f>IFERROR(IF(N(AE262)&lt;&gt;0,AE188/AE262,""),"")</f>
        <v>1.56567353374625</v>
      </c>
      <c r="AF357" s="264">
        <f>IFERROR(IF(N(AF262)&lt;&gt;0,AF188/AF262,""),"")</f>
        <v>1.68484600194253</v>
      </c>
      <c r="AG357" s="262">
        <f>IFERROR(IF(N(AG262)&lt;&gt;0,AG188/AG262,""),"")</f>
        <v>1.68484600194253</v>
      </c>
      <c r="AH357" s="264">
        <f>IFERROR(IF(N(AH262)&lt;&gt;0,AH188/AH262,""),"")</f>
        <v>1.6219976116316</v>
      </c>
      <c r="AI357" s="264">
        <f>IFERROR(IF(N(AI262)&lt;&gt;0,AI188/AI262,""),"")</f>
        <v>1.72251082416804</v>
      </c>
      <c r="AJ357" s="264">
        <f>IFERROR(IF(N(AJ262)&lt;&gt;0,AJ188/AJ262,""),"")</f>
        <v>1.69104797072209</v>
      </c>
      <c r="AK357" s="264">
        <f>IFERROR(IF(N(AK262)&lt;&gt;0,AK188/AK262,""),"")</f>
        <v>1.68102518190354</v>
      </c>
      <c r="AL357" s="262">
        <f>IFERROR(IF(N(AL262)&lt;&gt;0,AL188/AL262,""),"")</f>
        <v>1.68102518190354</v>
      </c>
      <c r="AM357" s="264">
        <f>IFERROR(IF(N(AM262)&lt;&gt;0,AM188/AM262,""),"")</f>
        <v>1.67603400138161</v>
      </c>
      <c r="AN357" s="264">
        <f>IFERROR(IF(N(AN262)&lt;&gt;0,AN188/AN262,""),"")</f>
        <v>1.68285258175133</v>
      </c>
      <c r="AO357" s="264">
        <f>IFERROR(IF(N(AO262)&lt;&gt;0,AO188/AO262,""),"")</f>
        <v>1.69742808985224</v>
      </c>
      <c r="AP357" s="264">
        <f>IFERROR(IF(N(AP262)&lt;&gt;0,AP188/AP262,""),"")</f>
        <v>1.72128610219074</v>
      </c>
      <c r="AQ357" s="262">
        <f>IFERROR(IF(N(AQ262)&lt;&gt;0,AQ188/AQ262,""),"")</f>
        <v>1.72128610219074</v>
      </c>
      <c r="AR357" s="264">
        <f>IFERROR(IF(N(AR262)&lt;&gt;0,AR188/AR262,""),"")</f>
        <v>1.75118705373879</v>
      </c>
      <c r="AS357" s="264">
        <f>IFERROR(IF(N(AS262)&lt;&gt;0,AS188/AS262,""),"")</f>
        <v>1.79671464992312</v>
      </c>
      <c r="AT357" s="264">
        <f>IFERROR(IF(N(AT262)&lt;&gt;0,AT188/AT262,""),"")</f>
        <v>1.85358647083794</v>
      </c>
      <c r="AU357" s="264">
        <f>IFERROR(IF(N(AU262)&lt;&gt;0,AU188/AU262,""),"")</f>
        <v>1.92326330488668</v>
      </c>
      <c r="AV357" s="262">
        <f>IFERROR(IF(N(AV262)&lt;&gt;0,AV188/AV262,""),"")</f>
        <v>1.92326330488668</v>
      </c>
      <c r="AW357" s="264">
        <f>IFERROR(IF(N(AW262)&lt;&gt;0,AW188/AW262,""),"")</f>
        <v>2.00569689557328</v>
      </c>
      <c r="AX357" s="264">
        <f>IFERROR(IF(N(AX262)&lt;&gt;0,AX188/AX262,""),"")</f>
        <v>2.10927633667796</v>
      </c>
      <c r="AY357" s="264">
        <f>IFERROR(IF(N(AY262)&lt;&gt;0,AY188/AY262,""),"")</f>
        <v>2.23281366558393</v>
      </c>
      <c r="AZ357" s="264">
        <f>IFERROR(IF(N(AZ262)&lt;&gt;0,AZ188/AZ262,""),"")</f>
        <v>2.37580662766744</v>
      </c>
      <c r="BA357" s="262">
        <f>IFERROR(IF(N(BA262)&lt;&gt;0,BA188/BA262,""),"")</f>
        <v>2.37580662766744</v>
      </c>
      <c r="BB357" s="264">
        <f>IFERROR(IF(N(BB262)&lt;&gt;0,BB188/BB262,""),"")</f>
        <v>2.54393394703989</v>
      </c>
      <c r="BC357" s="264">
        <f>IFERROR(IF(N(BC262)&lt;&gt;0,BC188/BC262,""),"")</f>
        <v>2.74505388368924</v>
      </c>
      <c r="BD357" s="264">
        <f>IFERROR(IF(N(BD262)&lt;&gt;0,BD188/BD262,""),"")</f>
        <v>2.98091472216983</v>
      </c>
      <c r="BE357" s="264">
        <f>IFERROR(IF(N(BE262)&lt;&gt;0,BE188/BE262,""),"")</f>
        <v>3.24798336858487</v>
      </c>
      <c r="BF357" s="262">
        <f>IFERROR(IF(N(BF262)&lt;&gt;0,BF188/BF262,""),"")</f>
        <v>3.24798336858487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ROE - DUPONT</t>
        </is>
      </c>
      <c r="D358" s="84">
        <f>IFERROR(PRODUCT(D355:D357),"")</f>
        <v>0</v>
      </c>
      <c r="E358" s="84">
        <f>IFERROR(PRODUCT(E355:E357),"")</f>
        <v>0</v>
      </c>
      <c r="F358" s="84">
        <f>IFERROR(PRODUCT(F355:F357),"")</f>
        <v>0</v>
      </c>
      <c r="G358" s="84">
        <f>IFERROR(PRODUCT(G355:G357),"")</f>
        <v>0</v>
      </c>
      <c r="H358" s="258" t="str">
        <f>IFERROR(IF(COUNT(H355,H356,H357)=3,H355*H356*H357,""),"")</f>
        <v/>
      </c>
      <c r="I358" s="257" t="str">
        <f>IFERROR(IF(COUNT(I355,I356,I357)=3,I355*I356*I357,""),"")</f>
        <v/>
      </c>
      <c r="J358" s="257" t="str">
        <f>IFERROR(IF(COUNT(J355,J356,J357)=3,J355*J356*J357,""),"")</f>
        <v/>
      </c>
      <c r="K358" s="257" t="str">
        <f>IFERROR(IF(COUNT(K355,K356,K357)=3,K355*K356*K357,""),"")</f>
        <v/>
      </c>
      <c r="L358" s="257">
        <f>IFERROR(IF(COUNT(L355,L356,L357)=3,L355*L356*L357,""),"")</f>
        <v>0.315265176691037</v>
      </c>
      <c r="M358" s="258">
        <f>IFERROR(IF(COUNT(M355,M356,M357)=3,M355*M356*M357,""),"")</f>
        <v>0.315265176691037</v>
      </c>
      <c r="N358" s="257">
        <f>IFERROR(IF(COUNT(N355,N356,N357)=3,N355*N356*N357,""),"")</f>
        <v>0.302999318336742</v>
      </c>
      <c r="O358" s="257">
        <f>IFERROR(IF(COUNT(O355,O356,O357)=3,O355*O356*O357,""),"")</f>
        <v>0.267407189485318</v>
      </c>
      <c r="P358" s="257">
        <f>IFERROR(IF(COUNT(P355,P356,P357)=3,P355*P356*P357,""),"")</f>
        <v>0.232340000322336</v>
      </c>
      <c r="Q358" s="257">
        <f>IFERROR(IF(COUNT(Q355,Q356,Q357)=3,Q355*Q356*Q357,""),"")</f>
        <v>0.184547341961452</v>
      </c>
      <c r="R358" s="258">
        <f>IFERROR(IF(COUNT(R355,R356,R357)=3,R355*R356*R357,""),"")</f>
        <v>0.184547341961452</v>
      </c>
      <c r="S358" s="257">
        <f>IFERROR(IF(COUNT(S355,S356,S357)=3,S355*S356*S357,""),"")</f>
        <v>0.171833807444208</v>
      </c>
      <c r="T358" s="257">
        <f>IFERROR(IF(COUNT(T355,T356,T357)=3,T355*T356*T357,""),"")</f>
        <v>0.168204845075466</v>
      </c>
      <c r="U358" s="257">
        <f>IFERROR(IF(COUNT(U355,U356,U357)=3,U355*U356*U357,""),"")</f>
        <v>0.208107900023097</v>
      </c>
      <c r="V358" s="257">
        <f>IFERROR(IF(COUNT(V355,V356,V357)=3,V355*V356*V357,""),"")</f>
        <v>0.255255666980048</v>
      </c>
      <c r="W358" s="258">
        <f>IFERROR(IF(COUNT(W355,W356,W357)=3,W355*W356*W357,""),"")</f>
        <v>0.255255666980048</v>
      </c>
      <c r="X358" s="257">
        <f>IFERROR(IF(COUNT(X355,X356,X357)=3,X355*X356*X357,""),"")</f>
        <v>0.306007530311846</v>
      </c>
      <c r="Y358" s="257">
        <f>IFERROR(IF(COUNT(Y355,Y356,Y357)=3,Y355*Y356*Y357,""),"")</f>
        <v>0.32810038082966</v>
      </c>
      <c r="Z358" s="257">
        <f>IFERROR(IF(COUNT(Z355,Z356,Z357)=3,Z355*Z356*Z357,""),"")</f>
        <v>0.337563590613205</v>
      </c>
      <c r="AA358" s="257">
        <f>IFERROR(IF(COUNT(AA355,AA356,AA357)=3,AA355*AA356*AA357,""),"")</f>
        <v>0.341442314536485</v>
      </c>
      <c r="AB358" s="258">
        <f>IFERROR(IF(COUNT(AB355,AB356,AB357)=3,AB355*AB356*AB357,""),"")</f>
        <v>0.341442314536485</v>
      </c>
      <c r="AC358" s="257">
        <f>IFERROR(IF(COUNT(AC355,AC356,AC357)=3,AC355*AC356*AC357,""),"")</f>
        <v>0.3601327359495</v>
      </c>
      <c r="AD358" s="257">
        <f>IFERROR(IF(COUNT(AD355,AD356,AD357)=3,AD355*AD356*AD357,""),"")</f>
        <v>0.366570974521967</v>
      </c>
      <c r="AE358" s="257">
        <f>IFERROR(IF(COUNT(AE355,AE356,AE357)=3,AE355*AE356*AE357,""),"")</f>
        <v>0.301588119505735</v>
      </c>
      <c r="AF358" s="257">
        <f>IFERROR(IF(COUNT(AF355,AF356,AF357)=3,AF355*AF356*AF357,""),"")</f>
        <v>0.488733814208053</v>
      </c>
      <c r="AG358" s="258">
        <f>IFERROR(IF(COUNT(AG355,AG356,AG357)=3,AG355*AG356*AG357,""),"")</f>
        <v>0.278296653977343</v>
      </c>
      <c r="AH358" s="257">
        <f>IFERROR(IF(COUNT(AH355,AH356,AH357)=3,AH355*AH356*AH357,""),"")</f>
        <v>0.526655750756112</v>
      </c>
      <c r="AI358" s="257">
        <f>IFERROR(IF(COUNT(AI355,AI356,AI357)=3,AI355*AI356*AI357,""),"")</f>
        <v>0.404975097714196</v>
      </c>
      <c r="AJ358" s="257">
        <f>IFERROR(IF(COUNT(AJ355,AJ356,AJ357)=3,AJ355*AJ356*AJ357,""),"")</f>
        <v>0.306255708181709</v>
      </c>
      <c r="AK358" s="257">
        <f>IFERROR(IF(COUNT(AK355,AK356,AK357)=3,AK355*AK356*AK357,""),"")</f>
        <v>0.287716177282997</v>
      </c>
      <c r="AL358" s="258">
        <f>IFERROR(IF(COUNT(AL355,AL356,AL357)=3,AL355*AL356*AL357,""),"")</f>
        <v>0.287716177282997</v>
      </c>
      <c r="AM358" s="257">
        <f>IFERROR(IF(COUNT(AM355,AM356,AM357)=3,AM355*AM356*AM357,""),"")</f>
        <v>0.25654750099918</v>
      </c>
      <c r="AN358" s="257">
        <f>IFERROR(IF(COUNT(AN355,AN356,AN357)=3,AN355*AN356*AN357,""),"")</f>
        <v>0.264240717427882</v>
      </c>
      <c r="AO358" s="257">
        <f>IFERROR(IF(COUNT(AO355,AO356,AO357)=3,AO355*AO356*AO357,""),"")</f>
        <v>0.259721042458824</v>
      </c>
      <c r="AP358" s="257">
        <f>IFERROR(IF(COUNT(AP355,AP356,AP357)=3,AP355*AP356*AP357,""),"")</f>
        <v>0.255169169794447</v>
      </c>
      <c r="AQ358" s="258">
        <f>IFERROR(IF(COUNT(AQ355,AQ356,AQ357)=3,AQ355*AQ356*AQ357,""),"")</f>
        <v>0.255169169794447</v>
      </c>
      <c r="AR358" s="257">
        <f>IFERROR(IF(COUNT(AR355,AR356,AR357)=3,AR355*AR356*AR357,""),"")</f>
        <v>0.251271538995851</v>
      </c>
      <c r="AS358" s="257">
        <f>IFERROR(IF(COUNT(AS355,AS356,AS357)=3,AS355*AS356*AS357,""),"")</f>
        <v>0.247596719978129</v>
      </c>
      <c r="AT358" s="257">
        <f>IFERROR(IF(COUNT(AT355,AT356,AT357)=3,AT355*AT356*AT357,""),"")</f>
        <v>0.244219998209256</v>
      </c>
      <c r="AU358" s="257">
        <f>IFERROR(IF(COUNT(AU355,AU356,AU357)=3,AU355*AU356*AU357,""),"")</f>
        <v>0.240788448412486</v>
      </c>
      <c r="AV358" s="258">
        <f>IFERROR(IF(COUNT(AV355,AV356,AV357)=3,AV355*AV356*AV357,""),"")</f>
        <v>0.240788448412486</v>
      </c>
      <c r="AW358" s="257">
        <f>IFERROR(IF(COUNT(AW355,AW356,AW357)=3,AW355*AW356*AW357,""),"")</f>
        <v>0.237796261133492</v>
      </c>
      <c r="AX358" s="257">
        <f>IFERROR(IF(COUNT(AX355,AX356,AX357)=3,AX355*AX356*AX357,""),"")</f>
        <v>0.234953442936016</v>
      </c>
      <c r="AY358" s="257">
        <f>IFERROR(IF(COUNT(AY355,AY356,AY357)=3,AY355*AY356*AY357,""),"")</f>
        <v>0.232322471321198</v>
      </c>
      <c r="AZ358" s="257">
        <f>IFERROR(IF(COUNT(AZ355,AZ356,AZ357)=3,AZ355*AZ356*AZ357,""),"")</f>
        <v>0.229630176673437</v>
      </c>
      <c r="BA358" s="258">
        <f>IFERROR(IF(COUNT(BA355,BA356,BA357)=3,BA355*BA356*BA357,""),"")</f>
        <v>0.229630176673437</v>
      </c>
      <c r="BB358" s="257">
        <f>IFERROR(IF(COUNT(BB355,BB356,BB357)=3,BB355*BB356*BB357,""),"")</f>
        <v>0.227241801940366</v>
      </c>
      <c r="BC358" s="257">
        <f>IFERROR(IF(COUNT(BC355,BC356,BC357)=3,BC355*BC356*BC357,""),"")</f>
        <v>0.224958894746371</v>
      </c>
      <c r="BD358" s="257">
        <f>IFERROR(IF(COUNT(BD355,BD356,BD357)=3,BD355*BD356*BD357,""),"")</f>
        <v>0.222834058475298</v>
      </c>
      <c r="BE358" s="257">
        <f>IFERROR(IF(COUNT(BE355,BE356,BE357)=3,BE355*BE356*BE357,""),"")</f>
        <v>0.220647600992615</v>
      </c>
      <c r="BF358" s="258">
        <f>IFERROR(IF(COUNT(BF355,BF356,BF357)=3,BF355*BF356*BF357,""),"")</f>
        <v>0.220647600992615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(LTM)</t>
        </is>
      </c>
      <c r="D359" s="84" t="str">
        <f>IFERROR(D128/D262,"")</f>
        <v/>
      </c>
      <c r="E359" s="84" t="str">
        <f>IFERROR(E128/E262,"")</f>
        <v/>
      </c>
      <c r="F359" s="84" t="str">
        <f>IFERROR(F128/F262,"")</f>
        <v/>
      </c>
      <c r="G359" s="84" t="str">
        <f>IFERROR(G128/G262,"")</f>
        <v/>
      </c>
      <c r="H359" s="258" t="str">
        <f>IFERROR(IF(AND(COUNT(H128)=1,N(H262)&lt;&gt;0),(H128)/H262,""),"")</f>
        <v/>
      </c>
      <c r="I359" s="257" t="str">
        <f>""</f>
        <v/>
      </c>
      <c r="J359" s="257" t="str">
        <f>""</f>
        <v/>
      </c>
      <c r="K359" s="257" t="str">
        <f>""</f>
        <v/>
      </c>
      <c r="L359" s="257">
        <f>IFERROR(IF(AND(COUNT(I128,J128,K128,L128)=4,N(L262)&lt;&gt;0),(I128+J128+K128+L128)/L262,""),"")</f>
        <v>0.315265176691037</v>
      </c>
      <c r="M359" s="258">
        <f>IFERROR(IF(AND(COUNT(I128,J128,K128,L128)=4,N(M262)&lt;&gt;0),(I128+J128+K128+L128)/M262,""),"")</f>
        <v>0.315265176691037</v>
      </c>
      <c r="N359" s="257">
        <f>IFERROR(IF(AND(COUNT(J128,K128,L128,N128)=4,N(N262)&lt;&gt;0),(J128+K128+L128+N128)/N262,""),"")</f>
        <v>0.302999318336742</v>
      </c>
      <c r="O359" s="257">
        <f>IFERROR(IF(AND(COUNT(K128,L128,N128,O128)=4,N(O262)&lt;&gt;0),(K128+L128+N128+O128)/O262,""),"")</f>
        <v>0.267407189485318</v>
      </c>
      <c r="P359" s="257">
        <f>IFERROR(IF(AND(COUNT(L128,N128,O128,P128)=4,N(P262)&lt;&gt;0),(L128+N128+O128+P128)/P262,""),"")</f>
        <v>0.232340000322336</v>
      </c>
      <c r="Q359" s="257">
        <f>IFERROR(IF(AND(COUNT(N128,O128,P128,Q128)=4,N(Q262)&lt;&gt;0),(N128+O128+P128+Q128)/Q262,""),"")</f>
        <v>0.184547341961452</v>
      </c>
      <c r="R359" s="258">
        <f>IFERROR(IF(AND(COUNT(N128,O128,P128,Q128)=4,N(R262)&lt;&gt;0),(N128+O128+P128+Q128)/R262,""),"")</f>
        <v>0.184547341961452</v>
      </c>
      <c r="S359" s="257">
        <f>IFERROR(IF(AND(COUNT(O128,P128,Q128,S128)=4,N(S262)&lt;&gt;0),(O128+P128+Q128+S128)/S262,""),"")</f>
        <v>0.171833807444209</v>
      </c>
      <c r="T359" s="257">
        <f>IFERROR(IF(AND(COUNT(P128,Q128,S128,T128)=4,N(T262)&lt;&gt;0),(P128+Q128+S128+T128)/T262,""),"")</f>
        <v>0.168204845075466</v>
      </c>
      <c r="U359" s="257">
        <f>IFERROR(IF(AND(COUNT(Q128,S128,T128,U128)=4,N(U262)&lt;&gt;0),(Q128+S128+T128+U128)/U262,""),"")</f>
        <v>0.208107900023097</v>
      </c>
      <c r="V359" s="257">
        <f>IFERROR(IF(AND(COUNT(S128,T128,U128,V128)=4,N(V262)&lt;&gt;0),(S128+T128+U128+V128)/V262,""),"")</f>
        <v>0.255255666980048</v>
      </c>
      <c r="W359" s="258">
        <f>IFERROR(IF(AND(COUNT(S128,T128,U128,V128)=4,N(W262)&lt;&gt;0),(S128+T128+U128+V128)/W262,""),"")</f>
        <v>0.255255666980048</v>
      </c>
      <c r="X359" s="257">
        <f>IFERROR(IF(AND(COUNT(T128,U128,V128,X128)=4,N(X262)&lt;&gt;0),(T128+U128+V128+X128)/X262,""),"")</f>
        <v>0.306007530311846</v>
      </c>
      <c r="Y359" s="257">
        <f>IFERROR(IF(AND(COUNT(U128,V128,X128,Y128)=4,N(Y262)&lt;&gt;0),(U128+V128+X128+Y128)/Y262,""),"")</f>
        <v>0.32810038082966</v>
      </c>
      <c r="Z359" s="257">
        <f>IFERROR(IF(AND(COUNT(V128,X128,Y128,Z128)=4,N(Z262)&lt;&gt;0),(V128+X128+Y128+Z128)/Z262,""),"")</f>
        <v>0.337563590613205</v>
      </c>
      <c r="AA359" s="257">
        <f>IFERROR(IF(AND(COUNT(X128,Y128,Z128,AA128)=4,N(AA262)&lt;&gt;0),(X128+Y128+Z128+AA128)/AA262,""),"")</f>
        <v>0.341442314536485</v>
      </c>
      <c r="AB359" s="258">
        <f>IFERROR(IF(AND(COUNT(X128,Y128,Z128,AA128)=4,N(AB262)&lt;&gt;0),(X128+Y128+Z128+AA128)/AB262,""),"")</f>
        <v>0.341442314536485</v>
      </c>
      <c r="AC359" s="257">
        <f>IFERROR(IF(AND(COUNT(Y128,Z128,AA128,AC128)=4,N(AC262)&lt;&gt;0),(Y128+Z128+AA128+AC128)/AC262,""),"")</f>
        <v>0.3601327359495</v>
      </c>
      <c r="AD359" s="257">
        <f>IFERROR(IF(AND(COUNT(Z128,AA128,AC128,AD128)=4,N(AD262)&lt;&gt;0),(Z128+AA128+AC128+AD128)/AD262,""),"")</f>
        <v>0.366570974521966</v>
      </c>
      <c r="AE359" s="257">
        <f>IFERROR(IF(AND(COUNT(AA128,AC128,AD128,AE128)=4,N(AE262)&lt;&gt;0),(AA128+AC128+AD128+AE128)/AE262,""),"")</f>
        <v>0.301588119505735</v>
      </c>
      <c r="AF359" s="257">
        <f>IFERROR(IF(AND(COUNT(AB128,AD128,AE128,AF128)=4,N(AF262)&lt;&gt;0),(AB128+AD128+AE128+AF128)/AF262,""),"")</f>
        <v>0.488733814208053</v>
      </c>
      <c r="AG359" s="258">
        <f>IFERROR(IF(AND(COUNT(AC128,AD128,AE128,AF128)=4,N(AG262)&lt;&gt;0),(AC128+AD128+AE128+AF128)/AG262,""),"")</f>
        <v>0.278296653977343</v>
      </c>
      <c r="AH359" s="257">
        <f>IFERROR(IF(AND(COUNT(AD128,AF128,AG128,AH128)=4,N(AH262)&lt;&gt;0),(AD128+AF128+AG128+AH128)/AH262,""),"")</f>
        <v>0.526655750756112</v>
      </c>
      <c r="AI359" s="257">
        <f>IFERROR(IF(AND(COUNT(AE128,AG128,AH128,AI128)=4,N(AI262)&lt;&gt;0),(AE128+AG128+AH128+AI128)/AI262,""),"")</f>
        <v>0.404975097714196</v>
      </c>
      <c r="AJ359" s="257">
        <f>IFERROR(IF(AND(COUNT(AF128,AH128,AI128,AJ128)=4,N(AJ262)&lt;&gt;0),(AF128+AH128+AI128+AJ128)/AJ262,""),"")</f>
        <v>0.306255708181709</v>
      </c>
      <c r="AK359" s="257">
        <f>IFERROR(IF(AND(COUNT(AH128,AI128,AJ128,AK128)=4,N(AK262)&lt;&gt;0),(AH128+AI128+AJ128+AK128)/AK262,""),"")</f>
        <v>0.287716177282997</v>
      </c>
      <c r="AL359" s="258">
        <f>IFERROR(IF(AND(COUNT(AH128,AI128,AJ128,AK128)=4,N(AL262)&lt;&gt;0),(AH128+AI128+AJ128+AK128)/AL262,""),"")</f>
        <v>0.287716177282997</v>
      </c>
      <c r="AM359" s="257">
        <f>IFERROR(IF(AND(COUNT(AI128,AJ128,AK128,AM128)=4,N(AM262)&lt;&gt;0),(AI128+AJ128+AK128+AM128)/AM262,""),"")</f>
        <v>0.25654750099918</v>
      </c>
      <c r="AN359" s="257">
        <f>IFERROR(IF(AND(COUNT(AJ128,AK128,AM128,AN128)=4,N(AN262)&lt;&gt;0),(AJ128+AK128+AM128+AN128)/AN262,""),"")</f>
        <v>0.264240717427882</v>
      </c>
      <c r="AO359" s="257">
        <f>IFERROR(IF(AND(COUNT(AK128,AM128,AN128,AO128)=4,N(AO262)&lt;&gt;0),(AK128+AM128+AN128+AO128)/AO262,""),"")</f>
        <v>0.259721042458825</v>
      </c>
      <c r="AP359" s="257">
        <f>IFERROR(IF(AND(COUNT(AM128,AN128,AO128,AP128)=4,N(AP262)&lt;&gt;0),(AM128+AN128+AO128+AP128)/AP262,""),"")</f>
        <v>0.255169169794447</v>
      </c>
      <c r="AQ359" s="258">
        <f>IFERROR(IF(AND(COUNT(AM128,AN128,AO128,AP128)=4,N(AQ262)&lt;&gt;0),(AM128+AN128+AO128+AP128)/AQ262,""),"")</f>
        <v>0.255169169794447</v>
      </c>
      <c r="AR359" s="257">
        <f>IFERROR(IF(AND(COUNT(AN128,AO128,AP128,AR128)=4,N(AR262)&lt;&gt;0),(AN128+AO128+AP128+AR128)/AR262,""),"")</f>
        <v>0.251271538995851</v>
      </c>
      <c r="AS359" s="257">
        <f>IFERROR(IF(AND(COUNT(AO128,AP128,AR128,AS128)=4,N(AS262)&lt;&gt;0),(AO128+AP128+AR128+AS128)/AS262,""),"")</f>
        <v>0.247596719978129</v>
      </c>
      <c r="AT359" s="257">
        <f>IFERROR(IF(AND(COUNT(AP128,AR128,AS128,AT128)=4,N(AT262)&lt;&gt;0),(AP128+AR128+AS128+AT128)/AT262,""),"")</f>
        <v>0.244219998209256</v>
      </c>
      <c r="AU359" s="257">
        <f>IFERROR(IF(AND(COUNT(AR128,AS128,AT128,AU128)=4,N(AU262)&lt;&gt;0),(AR128+AS128+AT128+AU128)/AU262,""),"")</f>
        <v>0.240788448412486</v>
      </c>
      <c r="AV359" s="258">
        <f>IFERROR(IF(AND(COUNT(AR128,AS128,AT128,AU128)=4,N(AV262)&lt;&gt;0),(AR128+AS128+AT128+AU128)/AV262,""),"")</f>
        <v>0.240788448412486</v>
      </c>
      <c r="AW359" s="257">
        <f>IFERROR(IF(AND(COUNT(AS128,AT128,AU128,AW128)=4,N(AW262)&lt;&gt;0),(AS128+AT128+AU128+AW128)/AW262,""),"")</f>
        <v>0.237796261133492</v>
      </c>
      <c r="AX359" s="257">
        <f>IFERROR(IF(AND(COUNT(AT128,AU128,AW128,AX128)=4,N(AX262)&lt;&gt;0),(AT128+AU128+AW128+AX128)/AX262,""),"")</f>
        <v>0.234953442936016</v>
      </c>
      <c r="AY359" s="257">
        <f>IFERROR(IF(AND(COUNT(AU128,AW128,AX128,AY128)=4,N(AY262)&lt;&gt;0),(AU128+AW128+AX128+AY128)/AY262,""),"")</f>
        <v>0.232322471321198</v>
      </c>
      <c r="AZ359" s="257">
        <f>IFERROR(IF(AND(COUNT(AW128,AX128,AY128,AZ128)=4,N(AZ262)&lt;&gt;0),(AW128+AX128+AY128+AZ128)/AZ262,""),"")</f>
        <v>0.229630176673437</v>
      </c>
      <c r="BA359" s="258">
        <f>IFERROR(IF(AND(COUNT(AW128,AX128,AY128,AZ128)=4,N(BA262)&lt;&gt;0),(AW128+AX128+AY128+AZ128)/BA262,""),"")</f>
        <v>0.229630176673437</v>
      </c>
      <c r="BB359" s="257">
        <f>IFERROR(IF(AND(COUNT(AX128,AY128,AZ128,BB128)=4,N(BB262)&lt;&gt;0),(AX128+AY128+AZ128+BB128)/BB262,""),"")</f>
        <v>0.227241801940366</v>
      </c>
      <c r="BC359" s="257">
        <f>IFERROR(IF(AND(COUNT(AY128,AZ128,BB128,BC128)=4,N(BC262)&lt;&gt;0),(AY128+AZ128+BB128+BC128)/BC262,""),"")</f>
        <v>0.224958894746371</v>
      </c>
      <c r="BD359" s="257">
        <f>IFERROR(IF(AND(COUNT(AZ128,BB128,BC128,BD128)=4,N(BD262)&lt;&gt;0),(AZ128+BB128+BC128+BD128)/BD262,""),"")</f>
        <v>0.222834058475298</v>
      </c>
      <c r="BE359" s="257">
        <f>IFERROR(IF(AND(COUNT(BB128,BC128,BD128,BE128)=4,N(BE262)&lt;&gt;0),(BB128+BC128+BD128+BE128)/BE262,""),"")</f>
        <v>0.220647600992615</v>
      </c>
      <c r="BF359" s="258">
        <f>IFERROR(IF(AND(COUNT(BB128,BC128,BD128,BE128)=4,N(BF262)&lt;&gt;0),(BB128+BC128+BD128+BE128)/BF262,""),"")</f>
        <v>0.220647600992615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/>
    <row r="361">
      <c r="C361" s="73" t="inlineStr">
        <is>
          <t>Scenario Analysis</t>
        </is>
      </c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  <c r="AA361" s="73" t="n"/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73" t="n"/>
      <c r="BR361" s="73" t="n"/>
      <c r="BS361" s="73" t="n"/>
      <c r="BT361" s="73" t="n"/>
      <c r="BU361" s="73" t="n"/>
      <c r="BV361" s="73" t="n"/>
      <c r="BW361" s="73" t="n"/>
      <c r="BX361" s="73" t="n"/>
      <c r="BY361" s="73" t="n"/>
      <c r="BZ361" s="73" t="n"/>
      <c r="CA361" s="73" t="n"/>
      <c r="CB361" s="73" t="n"/>
      <c r="CC361" s="73" t="n"/>
      <c r="CD361" s="73" t="n"/>
      <c r="CE361" s="73" t="n"/>
      <c r="CF361" s="73" t="n"/>
      <c r="CG361" s="73" t="n"/>
      <c r="CH361" s="73" t="n"/>
      <c r="CI361" s="73" t="n"/>
      <c r="CJ361" s="73" t="n"/>
      <c r="CK361" s="73" t="n"/>
      <c r="CL361" s="73" t="n"/>
      <c r="CM361" s="73" t="n"/>
      <c r="CN361" s="73" t="n"/>
      <c r="CO361" s="73" t="n"/>
      <c r="CP361" s="73" t="n"/>
      <c r="CQ361" s="73" t="n"/>
      <c r="CR361" s="73" t="n"/>
      <c r="CS361" s="73" t="n"/>
      <c r="CT361" s="73" t="n"/>
      <c r="CU361" s="73" t="n"/>
      <c r="CV361" s="73" t="n"/>
      <c r="CW361" s="73" t="n"/>
      <c r="CX361" s="73" t="n"/>
      <c r="CY361" s="73" t="n"/>
    </row>
    <row r="362"/>
    <row r="363"/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7"/>
    <row r="368"/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2"/>
    <row r="373"/>
    <row r="374">
      <c r="C374" s="4" t="inlineStr">
        <is>
          <t>% Gross Margin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Capital expenditures</t>
        </is>
      </c>
    </row>
    <row r="381">
      <c r="C381" s="4" t="inlineStr">
        <is>
          <t>Bull case</t>
        </is>
      </c>
    </row>
    <row r="382">
      <c r="C382" s="4" t="inlineStr">
        <is>
          <t>Base case</t>
        </is>
      </c>
    </row>
    <row r="383">
      <c r="C383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6:G306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6:L306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6:Q306">
    <cfRule type="cellIs" priority="22" operator="notEqual" dxfId="0">
      <formula>0</formula>
    </cfRule>
  </conditionalFormatting>
  <conditionalFormatting sqref="S306:V306">
    <cfRule type="cellIs" priority="21" operator="notEqual" dxfId="0">
      <formula>0</formula>
    </cfRule>
  </conditionalFormatting>
  <conditionalFormatting sqref="X306:AA306">
    <cfRule type="cellIs" priority="20" operator="notEqual" dxfId="0">
      <formula>0</formula>
    </cfRule>
  </conditionalFormatting>
  <conditionalFormatting sqref="AC306:AF306">
    <cfRule type="cellIs" priority="19" operator="notEqual" dxfId="0">
      <formula>0</formula>
    </cfRule>
  </conditionalFormatting>
  <conditionalFormatting sqref="AH306:AK306">
    <cfRule type="cellIs" priority="15" operator="notEqual" dxfId="0">
      <formula>0</formula>
    </cfRule>
  </conditionalFormatting>
  <conditionalFormatting sqref="AM306:AP306">
    <cfRule type="cellIs" priority="14" operator="notEqual" dxfId="0">
      <formula>0</formula>
    </cfRule>
  </conditionalFormatting>
  <conditionalFormatting sqref="AR306:AU306">
    <cfRule type="cellIs" priority="13" operator="notEqual" dxfId="0">
      <formula>0</formula>
    </cfRule>
  </conditionalFormatting>
  <conditionalFormatting sqref="AW306:AZ306">
    <cfRule type="cellIs" priority="12" operator="notEqual" dxfId="0">
      <formula>0</formula>
    </cfRule>
  </conditionalFormatting>
  <conditionalFormatting sqref="BB306:BE306">
    <cfRule type="cellIs" priority="11" operator="notEqual" dxfId="0">
      <formula>0</formula>
    </cfRule>
  </conditionalFormatting>
  <conditionalFormatting sqref="BG306:BJ306">
    <cfRule type="cellIs" priority="10" operator="notEqual" dxfId="0">
      <formula>0</formula>
    </cfRule>
  </conditionalFormatting>
  <conditionalFormatting sqref="BL306:BO306">
    <cfRule type="cellIs" priority="9" operator="notEqual" dxfId="0">
      <formula>0</formula>
    </cfRule>
  </conditionalFormatting>
  <conditionalFormatting sqref="BQ306:BT306">
    <cfRule type="cellIs" priority="8" operator="notEqual" dxfId="0">
      <formula>0</formula>
    </cfRule>
  </conditionalFormatting>
  <conditionalFormatting sqref="BV306:BY306">
    <cfRule type="cellIs" priority="7" operator="notEqual" dxfId="0">
      <formula>0</formula>
    </cfRule>
  </conditionalFormatting>
  <conditionalFormatting sqref="CA306:CD306">
    <cfRule type="cellIs" priority="6" operator="notEqual" dxfId="0">
      <formula>0</formula>
    </cfRule>
  </conditionalFormatting>
  <conditionalFormatting sqref="CF306:CI306">
    <cfRule type="cellIs" priority="5" operator="notEqual" dxfId="0">
      <formula>0</formula>
    </cfRule>
  </conditionalFormatting>
  <conditionalFormatting sqref="CK306:CN306">
    <cfRule type="cellIs" priority="4" operator="notEqual" dxfId="0">
      <formula>0</formula>
    </cfRule>
  </conditionalFormatting>
  <conditionalFormatting sqref="CP306:CS306">
    <cfRule type="cellIs" priority="3" operator="notEqual" dxfId="0">
      <formula>0</formula>
    </cfRule>
  </conditionalFormatting>
  <conditionalFormatting sqref="CU306:CX306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META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134901</v>
      </c>
      <c r="E18" s="113">
        <f>IFERROR(Model!AB15,"")</f>
        <v>164500</v>
      </c>
      <c r="F18" s="113">
        <f>IFERROR(Model!AG15,"")</f>
        <v>200965</v>
      </c>
      <c r="G18" s="113">
        <f>IFERROR(Model!AL15,"")</f>
        <v>255800.054803049</v>
      </c>
      <c r="H18" s="113">
        <f>IFERROR(Model!AQ15,"")</f>
        <v>319219.076070978</v>
      </c>
      <c r="I18" s="113">
        <f>IFERROR(Model!AV15,"")</f>
        <v>396765.111406979</v>
      </c>
      <c r="J18" s="113">
        <f>IFERROR(Model!BA15,"")</f>
        <v>491165.128970952</v>
      </c>
      <c r="K18" s="113">
        <f>IFERROR(Model!BF15,"")</f>
        <v>605569.368560284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0.219412754538513</v>
      </c>
      <c r="F19" s="117">
        <f>IFERROR(IF(E18=0,"",F18/E18-1),"")</f>
        <v>0.221671732522796</v>
      </c>
      <c r="G19" s="117">
        <f>IFERROR(IF(F18=0,"",G18/F18-1),"")</f>
        <v>0.272858730639907</v>
      </c>
      <c r="H19" s="117">
        <f>IFERROR(IF(G18=0,"",H18/G18-1),"")</f>
        <v>0.247924189526691</v>
      </c>
      <c r="I19" s="117">
        <f>IFERROR(IF(H18=0,"",I18/H18-1),"")</f>
        <v>0.242924189526691</v>
      </c>
      <c r="J19" s="117">
        <f>IFERROR(IF(I18=0,"",J18/I18-1),"")</f>
        <v>0.237924189526691</v>
      </c>
      <c r="K19" s="117">
        <f>IFERROR(IF(J18=0,"",K18/J18-1),"")</f>
        <v>0.232924189526691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IFERROR(Model!W60,"")</f>
        <v>57929</v>
      </c>
      <c r="E20" s="113">
        <f>IFERROR(Model!AB60,"")</f>
        <v>84877</v>
      </c>
      <c r="F20" s="113">
        <f>IFERROR(Model!AG60,"")</f>
        <v>101892</v>
      </c>
      <c r="G20" s="113">
        <f>IFERROR(Model!AL60,"")</f>
        <v>122323.203824275</v>
      </c>
      <c r="H20" s="113">
        <f>IFERROR(Model!AQ60,"")</f>
        <v>157255.299252799</v>
      </c>
      <c r="I20" s="113">
        <f>IFERROR(Model!AV60,"")</f>
        <v>195456.415372562</v>
      </c>
      <c r="J20" s="113">
        <f>IFERROR(Model!BA60,"")</f>
        <v>241960.224587871</v>
      </c>
      <c r="K20" s="113">
        <f>IFERROR(Model!BF60,"")</f>
        <v>298318.613797697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0.429418610684873</v>
      </c>
      <c r="E21" s="122">
        <f>IFERROR(IF(E18=0,"",E20/E18),"")</f>
        <v>0.515969604863222</v>
      </c>
      <c r="F21" s="122">
        <f>IFERROR(IF(F18=0,"",F20/F18),"")</f>
        <v>0.507013659094867</v>
      </c>
      <c r="G21" s="122">
        <f>IFERROR(IF(G18=0,"",G20/G18),"")</f>
        <v>0.47819850515066</v>
      </c>
      <c r="H21" s="122">
        <f>IFERROR(IF(H18=0,"",H20/H18),"")</f>
        <v>0.492625005962467</v>
      </c>
      <c r="I21" s="122">
        <f>IFERROR(IF(I18=0,"",I20/I18),"")</f>
        <v>0.492625005962467</v>
      </c>
      <c r="J21" s="122">
        <f>IFERROR(IF(J18=0,"",J20/J18),"")</f>
        <v>0.492625005962467</v>
      </c>
      <c r="K21" s="122">
        <f>IFERROR(IF(K18=0,"",K20/K18),"")</f>
        <v>0.492625005962467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IFERROR(Model!W64,"")</f>
        <v>46751</v>
      </c>
      <c r="E22" s="113">
        <f>IFERROR(Model!AB64,"")</f>
        <v>69379</v>
      </c>
      <c r="F22" s="113">
        <f>IFERROR(Model!AG64,"")</f>
        <v>83276</v>
      </c>
      <c r="G22" s="113">
        <f>IFERROR(Model!AL64,"")</f>
        <v>96519.6803147964</v>
      </c>
      <c r="H22" s="113">
        <f>IFERROR(Model!AQ64,"")</f>
        <v>126300.757022676</v>
      </c>
      <c r="I22" s="113">
        <f>IFERROR(Model!AV64,"")</f>
        <v>156982.266059017</v>
      </c>
      <c r="J22" s="113">
        <f>IFERROR(Model!BA64,"")</f>
        <v>194332.144481172</v>
      </c>
      <c r="K22" s="113">
        <f>IFERROR(Model!BF64,"")</f>
        <v>239596.801733433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0.346557846124195</v>
      </c>
      <c r="E23" s="122">
        <f>IFERROR(IF(E18=0,"",E22/E18),"")</f>
        <v>0.421756838905775</v>
      </c>
      <c r="F23" s="122">
        <f>IFERROR(IF(F18=0,"",F22/F18),"")</f>
        <v>0.414380613539671</v>
      </c>
      <c r="G23" s="122">
        <f>IFERROR(IF(G18=0,"",G22/G18),"")</f>
        <v>0.377324705380188</v>
      </c>
      <c r="H23" s="122">
        <f>IFERROR(IF(H18=0,"",H22/H18),"")</f>
        <v>0.395655418144851</v>
      </c>
      <c r="I23" s="122">
        <f>IFERROR(IF(I18=0,"",I22/I18),"")</f>
        <v>0.395655418144851</v>
      </c>
      <c r="J23" s="122">
        <f>IFERROR(IF(J18=0,"",J22/J18),"")</f>
        <v>0.395655418144851</v>
      </c>
      <c r="K23" s="122">
        <f>IFERROR(IF(K18=0,"",K22/K18),"")</f>
        <v>0.395655418144851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IFERROR(Model!W123,"")</f>
        <v>0.175638349463386</v>
      </c>
      <c r="E24" s="125">
        <f>IFERROR(Model!AB123,"")</f>
        <v>0.117501379788574</v>
      </c>
      <c r="F24" s="125">
        <f>IFERROR(Model!AG123,"")</f>
        <v>0.29645188693517</v>
      </c>
      <c r="G24" s="125">
        <f>IFERROR(Model!AL123,"")</f>
        <v>0.0847116466677087</v>
      </c>
      <c r="H24" s="125">
        <f>IFERROR(Model!AQ123,"")</f>
        <v>0.18378341225826</v>
      </c>
      <c r="I24" s="125">
        <f>IFERROR(Model!AV123,"")</f>
        <v>0.18378341225826</v>
      </c>
      <c r="J24" s="125">
        <f>IFERROR(Model!BA123,"")</f>
        <v>0.18378341225826</v>
      </c>
      <c r="K24" s="125">
        <f>IFERROR(Model!BF123,"")</f>
        <v>0.18378341225826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38539.7315242373</v>
      </c>
      <c r="E25" s="127">
        <f>IFERROR(E22*(1-E24),"")</f>
        <v>61226.8717716485</v>
      </c>
      <c r="F25" s="127">
        <f>IFERROR(F22*(1-F24),"")</f>
        <v>58588.6726635867</v>
      </c>
      <c r="G25" s="127">
        <f>IFERROR(G22*(1-G24),"")</f>
        <v>88343.3392594891</v>
      </c>
      <c r="H25" s="127">
        <f>IFERROR(H22*(1-H24),"")</f>
        <v>103088.772926247</v>
      </c>
      <c r="I25" s="127">
        <f>IFERROR(I22*(1-I24),"")</f>
        <v>128131.529538657</v>
      </c>
      <c r="J25" s="127">
        <f>IFERROR(J22*(1-J24),"")</f>
        <v>158617.119856957</v>
      </c>
      <c r="K25" s="127">
        <f>IFERROR(K22*(1-K24),"")</f>
        <v>195562.883944697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IFERROR(-Model!W61,"")</f>
        <v>11178</v>
      </c>
      <c r="E26" s="130">
        <f>IFERROR(-Model!AB61,"")</f>
        <v>15498</v>
      </c>
      <c r="F26" s="130">
        <f>IFERROR(-Model!AG61,"")</f>
        <v>18616</v>
      </c>
      <c r="G26" s="130">
        <f>IFERROR(-Model!AL61,"")</f>
        <v>25803.5235094785</v>
      </c>
      <c r="H26" s="130">
        <f>IFERROR(-Model!AQ61,"")</f>
        <v>30954.5422301227</v>
      </c>
      <c r="I26" s="130">
        <f>IFERROR(-Model!AV61,"")</f>
        <v>38474.149313545</v>
      </c>
      <c r="J26" s="130">
        <f>IFERROR(-Model!BA61,"")</f>
        <v>47628.0801066991</v>
      </c>
      <c r="K26" s="130">
        <f>IFERROR(-Model!BF61,"")</f>
        <v>58721.8120642642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IFERROR(Model!W270,"")</f>
        <v>3527</v>
      </c>
      <c r="E27" s="133">
        <f>IFERROR(Model!AB270,"")</f>
        <v>-951</v>
      </c>
      <c r="F27" s="133">
        <f>IFERROR(Model!AG270,"")</f>
        <v>3069</v>
      </c>
      <c r="G27" s="133">
        <f>IFERROR(Model!AL270,"")</f>
        <v>23289.8490987004</v>
      </c>
      <c r="H27" s="133">
        <f>IFERROR(Model!AQ270,"")</f>
        <v>81998.9292105824</v>
      </c>
      <c r="I27" s="133">
        <f>IFERROR(Model!AV270,"")</f>
        <v>196302.948000761</v>
      </c>
      <c r="J27" s="133">
        <f>IFERROR(Model!BA270,"")</f>
        <v>458954.745474634</v>
      </c>
      <c r="K27" s="133">
        <f>IFERROR(Model!BF270,"")</f>
        <v>1051640.57026053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IFERROR(Model!W271,"")</f>
        <v>-2703</v>
      </c>
      <c r="E28" s="136">
        <f>IFERROR(Model!AB271,"")</f>
        <v>-825</v>
      </c>
      <c r="F28" s="136">
        <f>IFERROR(Model!AG271,"")</f>
        <v>-2775</v>
      </c>
      <c r="G28" s="136">
        <f>IFERROR(Model!AL271,"")</f>
        <v>-5210.86987498247</v>
      </c>
      <c r="H28" s="136">
        <f>IFERROR(Model!AQ271,"")</f>
        <v>-6193.11399323723</v>
      </c>
      <c r="I28" s="136">
        <f>IFERROR(Model!AV271,"")</f>
        <v>-7572.67184131589</v>
      </c>
      <c r="J28" s="136">
        <f>IFERROR(Model!BA271,"")</f>
        <v>-9218.52873237147</v>
      </c>
      <c r="K28" s="136">
        <f>IFERROR(Model!BF271,"")</f>
        <v>-11172.0187874399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IFERROR(Model!W272,"")</f>
        <v>0</v>
      </c>
      <c r="E29" s="136">
        <f>IFERROR(Model!AB272,"")</f>
        <v>0</v>
      </c>
      <c r="F29" s="136">
        <f>IFERROR(Model!AG272,"")</f>
        <v>0</v>
      </c>
      <c r="G29" s="136">
        <f>IFERROR(Model!AL272,"")</f>
        <v>0</v>
      </c>
      <c r="H29" s="136">
        <f>IFERROR(Model!AQ272,"")</f>
        <v>0</v>
      </c>
      <c r="I29" s="136">
        <f>IFERROR(Model!AV272,"")</f>
        <v>0</v>
      </c>
      <c r="J29" s="136">
        <f>IFERROR(Model!BA272,"")</f>
        <v>0</v>
      </c>
      <c r="K29" s="136">
        <f>IFERROR(Model!BF272,"")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IFERROR(Model!W273,"")</f>
        <v>0</v>
      </c>
      <c r="E30" s="136">
        <f>IFERROR(Model!AB273,"")</f>
        <v>0</v>
      </c>
      <c r="F30" s="136">
        <f>IFERROR(Model!AG273,"")</f>
        <v>0</v>
      </c>
      <c r="G30" s="136">
        <f>IFERROR(Model!AL273,"")</f>
        <v>0</v>
      </c>
      <c r="H30" s="136">
        <f>IFERROR(Model!AQ273,"")</f>
        <v>0</v>
      </c>
      <c r="I30" s="136">
        <f>IFERROR(Model!AV273,"")</f>
        <v>0</v>
      </c>
      <c r="J30" s="136">
        <f>IFERROR(Model!BA273,"")</f>
        <v>0</v>
      </c>
      <c r="K30" s="136">
        <f>IFERROR(Model!BF273,"")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IFERROR(Model!W274,"")</f>
        <v>0</v>
      </c>
      <c r="E31" s="136">
        <f>IFERROR(Model!AB274,"")</f>
        <v>0</v>
      </c>
      <c r="F31" s="136">
        <f>IFERROR(Model!AG274,"")</f>
        <v>0</v>
      </c>
      <c r="G31" s="136">
        <f>IFERROR(Model!AL274,"")</f>
        <v>0</v>
      </c>
      <c r="H31" s="136">
        <f>IFERROR(Model!AQ274,"")</f>
        <v>0</v>
      </c>
      <c r="I31" s="136">
        <f>IFERROR(Model!AV274,"")</f>
        <v>0</v>
      </c>
      <c r="J31" s="136">
        <f>IFERROR(Model!BA274,"")</f>
        <v>0</v>
      </c>
      <c r="K31" s="136">
        <f>IFERROR(Model!BF274,"")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IFERROR(Model!W275,"")</f>
        <v>1552</v>
      </c>
      <c r="E32" s="136">
        <f>IFERROR(Model!AB275,"")</f>
        <v>-1443</v>
      </c>
      <c r="F32" s="136">
        <f>IFERROR(Model!AG275,"")</f>
        <v>-2125</v>
      </c>
      <c r="G32" s="136">
        <f>IFERROR(Model!AL275,"")</f>
        <v>-6102</v>
      </c>
      <c r="H32" s="136">
        <f>IFERROR(Model!AQ275,"")</f>
        <v>0</v>
      </c>
      <c r="I32" s="136">
        <f>IFERROR(Model!AV275,"")</f>
        <v>0</v>
      </c>
      <c r="J32" s="136">
        <f>IFERROR(Model!BA275,"")</f>
        <v>0</v>
      </c>
      <c r="K32" s="136">
        <f>IFERROR(Model!BF275,"")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IFERROR(Model!W276,"")</f>
        <v>-141</v>
      </c>
      <c r="E33" s="136">
        <f>IFERROR(Model!AB276,"")</f>
        <v>2838</v>
      </c>
      <c r="F33" s="136">
        <f>IFERROR(Model!AG276,"")</f>
        <v>1207</v>
      </c>
      <c r="G33" s="136">
        <f>IFERROR(Model!AL276,"")</f>
        <v>6052.5317661782</v>
      </c>
      <c r="H33" s="136">
        <f>IFERROR(Model!AQ276,"")</f>
        <v>3705.60677436467</v>
      </c>
      <c r="I33" s="136">
        <f>IFERROR(Model!AV276,"")</f>
        <v>4531.05563790094</v>
      </c>
      <c r="J33" s="136">
        <f>IFERROR(Model!BA276,"")</f>
        <v>5515.84268554615</v>
      </c>
      <c r="K33" s="136">
        <f>IFERROR(Model!BF276,"")</f>
        <v>6684.69990174149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IFERROR(Model!W277,"")</f>
        <v>5073</v>
      </c>
      <c r="E34" s="136">
        <f>IFERROR(Model!AB277,"")</f>
        <v>-658</v>
      </c>
      <c r="F34" s="136">
        <f>IFERROR(Model!AG277,"")</f>
        <v>6762</v>
      </c>
      <c r="G34" s="136">
        <f>IFERROR(Model!AL277,"")</f>
        <v>28550.1872075046</v>
      </c>
      <c r="H34" s="136">
        <f>IFERROR(Model!AQ277,"")</f>
        <v>84486.436429455</v>
      </c>
      <c r="I34" s="136">
        <f>IFERROR(Model!AV277,"")</f>
        <v>199344.564204176</v>
      </c>
      <c r="J34" s="136">
        <f>IFERROR(Model!BA277,"")</f>
        <v>462657.43152146</v>
      </c>
      <c r="K34" s="136">
        <f>IFERROR(Model!BF277,"")</f>
        <v>1056127.88914623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IFERROR(Model!W278,"")</f>
        <v>0</v>
      </c>
      <c r="E35" s="136">
        <f>IFERROR(Model!AB278,"")</f>
        <v>0</v>
      </c>
      <c r="F35" s="136">
        <f>IFERROR(Model!AG278,"")</f>
        <v>0</v>
      </c>
      <c r="G35" s="136">
        <f>IFERROR(Model!AL278,"")</f>
        <v>0</v>
      </c>
      <c r="H35" s="136">
        <f>IFERROR(Model!AQ278,"")</f>
        <v>0</v>
      </c>
      <c r="I35" s="136">
        <f>IFERROR(Model!AV278,"")</f>
        <v>0</v>
      </c>
      <c r="J35" s="136">
        <f>IFERROR(Model!BA278,"")</f>
        <v>0</v>
      </c>
      <c r="K35" s="136">
        <f>IFERROR(Model!BF278,"")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IFERROR(Model!W279,"")</f>
        <v>-254</v>
      </c>
      <c r="E36" s="136">
        <f>IFERROR(Model!AB279,"")</f>
        <v>-863</v>
      </c>
      <c r="F36" s="136">
        <f>IFERROR(Model!AG279,"")</f>
        <v>0</v>
      </c>
      <c r="G36" s="136">
        <f>IFERROR(Model!AL279,"")</f>
        <v>0</v>
      </c>
      <c r="H36" s="136">
        <f>IFERROR(Model!AQ279,"")</f>
        <v>0</v>
      </c>
      <c r="I36" s="136">
        <f>IFERROR(Model!AV279,"")</f>
        <v>0</v>
      </c>
      <c r="J36" s="136">
        <f>IFERROR(Model!BA279,"")</f>
        <v>0</v>
      </c>
      <c r="K36" s="136">
        <f>IFERROR(Model!BF279,"")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IFERROR(Model!W280,"")</f>
        <v>0</v>
      </c>
      <c r="E37" s="136">
        <f>IFERROR(Model!AB280,"")</f>
        <v>0</v>
      </c>
      <c r="F37" s="136">
        <f>IFERROR(Model!AG280,"")</f>
        <v>0</v>
      </c>
      <c r="G37" s="136">
        <f>IFERROR(Model!AL280,"")</f>
        <v>0</v>
      </c>
      <c r="H37" s="136">
        <f>IFERROR(Model!AQ280,"")</f>
        <v>0</v>
      </c>
      <c r="I37" s="136">
        <f>IFERROR(Model!AV280,"")</f>
        <v>0</v>
      </c>
      <c r="J37" s="136">
        <f>IFERROR(Model!BA280,"")</f>
        <v>0</v>
      </c>
      <c r="K37" s="136">
        <f>IFERROR(Model!BF280,"")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IFERROR((Model!W180-Model!R180)*-1,"")</f>
        <v>-151</v>
      </c>
      <c r="E38" s="136">
        <f>IFERROR((Model!AB180-Model!W180)*-1,"")</f>
        <v>-6152</v>
      </c>
      <c r="F38" s="136">
        <f>IFERROR((Model!AG180-Model!AB180)*-1,"")</f>
        <v>-16874</v>
      </c>
      <c r="G38" s="136">
        <f>IFERROR((Model!AL180-Model!AG180)*-1,"")</f>
        <v>-15405</v>
      </c>
      <c r="H38" s="136">
        <f>IFERROR((Model!AQ180-Model!AL180)*-1,"")</f>
        <v>0</v>
      </c>
      <c r="I38" s="136">
        <f>IFERROR((Model!AV180-Model!AQ180)*-1,"")</f>
        <v>0</v>
      </c>
      <c r="J38" s="136">
        <f>IFERROR((Model!BA180-Model!AV180)*-1,"")</f>
        <v>0</v>
      </c>
      <c r="K38" s="136">
        <f>IFERROR((Model!BF180-Model!BA180)*-1,"")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IFERROR(Model!W231-Model!R231,"")</f>
        <v>1120</v>
      </c>
      <c r="E39" s="136">
        <f>IFERROR(Model!AB231-Model!W231,"")</f>
        <v>3819</v>
      </c>
      <c r="F39" s="136">
        <f>IFERROR(Model!AG231-Model!AB231,"")</f>
        <v>12555</v>
      </c>
      <c r="G39" s="136">
        <f>IFERROR(Model!AL231-Model!AG231,"")</f>
        <v>-2795</v>
      </c>
      <c r="H39" s="136">
        <f>IFERROR(Model!AQ231-Model!AL231,"")</f>
        <v>0</v>
      </c>
      <c r="I39" s="136">
        <f>IFERROR(Model!AV231-Model!AQ231,"")</f>
        <v>0</v>
      </c>
      <c r="J39" s="136">
        <f>IFERROR(Model!BA231-Model!AV231,"")</f>
        <v>0</v>
      </c>
      <c r="K39" s="136">
        <f>IFERROR(Model!BF231-Model!BA231,"")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IFERROR(Model!W286,"")</f>
        <v>-28247</v>
      </c>
      <c r="E40" s="136">
        <f>IFERROR(Model!AB286,"")</f>
        <v>-40257</v>
      </c>
      <c r="F40" s="136">
        <f>IFERROR(Model!AG286,"")</f>
        <v>-73670</v>
      </c>
      <c r="G40" s="136">
        <f>IFERROR(Model!AL286,"")</f>
        <v>-120693.922580186</v>
      </c>
      <c r="H40" s="136">
        <f>IFERROR(Model!AQ286,"")</f>
        <v>-135834.979351323</v>
      </c>
      <c r="I40" s="136">
        <f>IFERROR(Model!AV286,"")</f>
        <v>-168832.581619618</v>
      </c>
      <c r="J40" s="136">
        <f>IFERROR(Model!BA286,"")</f>
        <v>-209001.936767165</v>
      </c>
      <c r="K40" s="136">
        <f>IFERROR(Model!BF286,"")</f>
        <v>-257683.543498165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-13542</v>
      </c>
      <c r="E44" s="133">
        <f>IFERROR(SUM(E27,E40:E42,E26),"")</f>
        <v>-25710</v>
      </c>
      <c r="F44" s="133">
        <f>IFERROR(SUM(F27,F40:F42,F26),"")</f>
        <v>-51985</v>
      </c>
      <c r="G44" s="133">
        <f>IFERROR(SUM(G27,G40:G42,G26),"")</f>
        <v>-71600.5499720073</v>
      </c>
      <c r="H44" s="133">
        <f>IFERROR(SUM(H27,H40:H42,H26),"")</f>
        <v>-22881.5079106179</v>
      </c>
      <c r="I44" s="133">
        <f>IFERROR(SUM(I27,I40:I42,I26),"")</f>
        <v>65944.5156946876</v>
      </c>
      <c r="J44" s="133">
        <f>IFERROR(SUM(J27,J40:J42,J26),"")</f>
        <v>297580.888814169</v>
      </c>
      <c r="K44" s="133">
        <f>IFERROR(SUM(K27,K40:K42,K26),"")</f>
        <v>852678.83882663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IFERROR(Model!W341,"")</f>
        <v>124999</v>
      </c>
      <c r="E46" s="136">
        <f>IFERROR(Model!AB341,"")</f>
        <v>153882</v>
      </c>
      <c r="F46" s="136">
        <f>IFERROR(Model!AG341,"")</f>
        <v>219548</v>
      </c>
      <c r="G46" s="136">
        <f>IFERROR(Model!AL341,"")</f>
        <v>311801.549972007</v>
      </c>
      <c r="H46" s="136">
        <f>IFERROR(Model!AQ341,"")</f>
        <v>334683.057882625</v>
      </c>
      <c r="I46" s="136">
        <f>IFERROR(Model!AV341,"")</f>
        <v>268738.542187938</v>
      </c>
      <c r="J46" s="136">
        <f>IFERROR(Model!BA341,"")</f>
        <v>-28842.3466262312</v>
      </c>
      <c r="K46" s="136">
        <f>IFERROR(Model!BF341,"")</f>
        <v>-881521.185452862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IFERROR(Model!W342,"")</f>
        <v>104345</v>
      </c>
      <c r="E47" s="136">
        <f>IFERROR(Model!AB342,"")</f>
        <v>133228</v>
      </c>
      <c r="F47" s="136">
        <f>IFERROR(Model!AG342,"")</f>
        <v>195014</v>
      </c>
      <c r="G47" s="136">
        <f>IFERROR(Model!AL342,"")</f>
        <v>288395.549972007</v>
      </c>
      <c r="H47" s="136">
        <f>IFERROR(Model!AQ342,"")</f>
        <v>311277.057882625</v>
      </c>
      <c r="I47" s="136">
        <f>IFERROR(Model!AV342,"")</f>
        <v>245332.542187938</v>
      </c>
      <c r="J47" s="136">
        <f>IFERROR(Model!BA342,"")</f>
        <v>-52248.3466262312</v>
      </c>
      <c r="K47" s="136">
        <f>IFERROR(Model!BF342,"")</f>
        <v>-904927.185452862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0.926598023735925</v>
      </c>
      <c r="E48" s="122">
        <f>IFERROR(IF(E18=0,"",E46/E18),"")</f>
        <v>0.935452887537994</v>
      </c>
      <c r="F48" s="122">
        <f>IFERROR(IF(F18=0,"",F46/F18),"")</f>
        <v>1.09246883785734</v>
      </c>
      <c r="G48" s="122">
        <f>IFERROR(IF(G18=0,"",G46/G18),"")</f>
        <v>1.21892683022322</v>
      </c>
      <c r="H48" s="122">
        <f>IFERROR(IF(H18=0,"",H46/H18),"")</f>
        <v>1.04844316324069</v>
      </c>
      <c r="I48" s="122">
        <f>IFERROR(IF(I18=0,"",I46/I18),"")</f>
        <v>0.677324024874457</v>
      </c>
      <c r="J48" s="122">
        <f>IFERROR(IF(J18=0,"",J46/J18),"")</f>
        <v>-0.0587223011671437</v>
      </c>
      <c r="K48" s="122">
        <f>IFERROR(IF(K18=0,"",K46/K18),"")</f>
        <v>-1.45568985358134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0.308320318756448</v>
      </c>
      <c r="E50" s="150">
        <f>IFERROR(IF(E46=0,"",E25/E46),"")</f>
        <v>0.397881960019031</v>
      </c>
      <c r="F50" s="150">
        <f>IFERROR(IF(F46=0,"",F25/F46),"")</f>
        <v>0.266860425344739</v>
      </c>
      <c r="G50" s="150">
        <f>IFERROR(IF(G46=0,"",G25/G46),"")</f>
        <v>0.283331943883603</v>
      </c>
      <c r="H50" s="150">
        <f>IFERROR(IF(H46=0,"",H25/H46),"")</f>
        <v>0.308019095972288</v>
      </c>
      <c r="I50" s="150">
        <f>IFERROR(IF(I46=0,"",I25/I46),"")</f>
        <v>0.476788809284566</v>
      </c>
      <c r="J50" s="150">
        <f>IFERROR(IF(J46=0,"",J25/J46),"")</f>
        <v>-5.49945265939977</v>
      </c>
      <c r="K50" s="150">
        <f>IFERROR(IF(K46=0,"",K25/K46),"")</f>
        <v>-0.221847060708168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1.07921663373307</v>
      </c>
      <c r="E51" s="154">
        <f>IFERROR(IF(E46=0,"",E18/E46),"")</f>
        <v>1.06900092278499</v>
      </c>
      <c r="F51" s="154">
        <f>IFERROR(IF(F46=0,"",F18/F46),"")</f>
        <v>0.915357917175287</v>
      </c>
      <c r="G51" s="154">
        <f>IFERROR(IF(G46=0,"",G18/G46),"")</f>
        <v>0.820393788376016</v>
      </c>
      <c r="H51" s="154">
        <f>IFERROR(IF(H46=0,"",H18/H46),"")</f>
        <v>0.953795146042108</v>
      </c>
      <c r="I51" s="154">
        <f>IFERROR(IF(I46=0,"",I18/I46),"")</f>
        <v>1.47639824260678</v>
      </c>
      <c r="J51" s="154">
        <f>IFERROR(IF(J46=0,"",J18/J46),"")</f>
        <v>-17.0293053937662</v>
      </c>
      <c r="K51" s="154">
        <f>IFERROR(IF(K46=0,"",K18/K46),"")</f>
        <v>-0.686959517880658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24997.7315242373</v>
      </c>
      <c r="E53" s="155">
        <f>IFERROR(E25+E44,"")</f>
        <v>35516.8717716485</v>
      </c>
      <c r="F53" s="155">
        <f>IFERROR(F25+F44,"")</f>
        <v>6603.67266358675</v>
      </c>
      <c r="G53" s="156">
        <f>IFERROR(G25+G44,"")</f>
        <v>16742.7892874819</v>
      </c>
      <c r="H53" s="155">
        <f>IFERROR(H25+H44,"")</f>
        <v>80207.2650156292</v>
      </c>
      <c r="I53" s="155">
        <f>IFERROR(I25+I44,"")</f>
        <v>194076.045233344</v>
      </c>
      <c r="J53" s="155">
        <f>IFERROR(J25+J44,"")</f>
        <v>456198.008671126</v>
      </c>
      <c r="K53" s="155">
        <f>IFERROR(K25+K44,"")</f>
        <v>1048241.72277133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-0.221847060708168</v>
      </c>
      <c r="E64" s="157" t="inlineStr">
        <is>
          <t>Current portion of long-term debt</t>
        </is>
      </c>
      <c r="H64" s="137">
        <f>IFERROR(INDEX(Model!$I$203:$BF$203,1,MATCH(Control!$B$7,Model!$I$5:$BF$5,0)),"")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IFERROR(INDEX(Model!$I$204:$BF$204,1,MATCH(Control!$B$7,Model!$I$5:$BF$5,0)),"")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IFERROR(INDEX(Model!$I$208:$BF$208,1,MATCH(Control!$B$7,Model!$I$5:$BF$5,0)),"")</f>
        <v>83664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IFERROR(INDEX(Model!$I$229:$BF$229,1,MATCH(Control!$B$7,Model!$I$5:$BF$5,0)),"")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IFERROR(INDEX(Model!$I$239:$BF$239,1,MATCH(Control!$B$7,Model!$I$5:$BF$5,0)),"")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IFERROR(INDEX(Model!$I$244:$BF$244,1,MATCH(Control!$B$7,Model!$I$5:$BF$5,0)),"")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IFERROR(INDEX(Model!$I$205:$BF$205,1,MATCH(Control!$B$7,Model!$I$5:$BF$5,0)),"")</f>
        <v>2425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IFERROR(INDEX(Model!$I$226:$BF$226,1,MATCH(Control!$B$7,Model!$I$5:$BF$5,0)),"")</f>
        <v>26229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IFERROR(-INDEX(Model!$I$135:$BF$135,1,MATCH(Control!$B$7,Model!$I$5:$BF$5,0)),"")</f>
        <v>-90260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298318.613797697</v>
      </c>
      <c r="E73" s="157" t="inlineStr">
        <is>
          <t>Less: Equity investments</t>
        </is>
      </c>
      <c r="H73" s="137">
        <f>IFERROR(-INDEX(Model!$I$152:$BF$152,1,MATCH(Control!$B$7,Model!$I$5:$BF$5,0)),"")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22058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22058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22058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META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Meta Platforms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META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IFERROR(-Model!AG65/AVERAGE(Model!AB83,Model!AG83),"")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0.247924189526691</v>
      </c>
      <c r="C18" s="247">
        <f>IF(B18="","",B18)</f>
        <v>0.247924189526691</v>
      </c>
      <c r="D18" s="247">
        <f>IF(C18="","",MAX(0,C18-0.5%))</f>
        <v>0.242924189526691</v>
      </c>
      <c r="E18" s="247">
        <f>IF(D18="","",MAX(0,D18-0.5%))</f>
        <v>0.237924189526691</v>
      </c>
      <c r="F18" s="247">
        <f>IF(E18="","",MAX(0,E18-0.5%))</f>
        <v>0.232924189526691</v>
      </c>
    </row>
    <row r="19" ht="15" customHeight="1">
      <c r="A19" t="inlineStr">
        <is>
          <t>Gross margin</t>
        </is>
      </c>
      <c r="B19" s="247">
        <f>IFERROR(AVERAGE(Model!AC46:AF46,Model!AH46:AI46),"")</f>
        <v>0.818800591739529</v>
      </c>
      <c r="C19" s="247">
        <f>IF(B19="","",B19)</f>
        <v>0.818800591739529</v>
      </c>
      <c r="D19" s="247">
        <f>IF(C19="","",C19)</f>
        <v>0.818800591739529</v>
      </c>
      <c r="E19" s="247">
        <f>IF(D19="","",D19)</f>
        <v>0.818800591739529</v>
      </c>
      <c r="F19" s="247">
        <f>IF(E19="","",E19)</f>
        <v>0.818800591739529</v>
      </c>
    </row>
    <row r="20" ht="15" customHeight="1">
      <c r="A20" t="inlineStr">
        <is>
          <t>SG&amp;A / Revenue</t>
        </is>
      </c>
      <c r="B20" s="247">
        <f>IFERROR(AVERAGE(Model!AC50:AF50,Model!AH50:AI50),"")</f>
        <v>0.326175585777062</v>
      </c>
      <c r="C20" s="247">
        <f>IF(B20="","",B20)</f>
        <v>0.326175585777062</v>
      </c>
      <c r="D20" s="247">
        <f>IF(C20="","",C20)</f>
        <v>0.326175585777062</v>
      </c>
      <c r="E20" s="247">
        <f>IF(D20="","",D20)</f>
        <v>0.326175585777062</v>
      </c>
      <c r="F20" s="247">
        <f>IF(E20="","",E20)</f>
        <v>0.326175585777062</v>
      </c>
    </row>
    <row r="21" ht="15" customHeight="1">
      <c r="A21" t="inlineStr">
        <is>
          <t>D&amp;A / Revenue</t>
        </is>
      </c>
      <c r="B21" s="247">
        <f>IFERROR(AVERAGE(Model!AC62:AF62,Model!AH62:AI62),"")</f>
        <v>0.0969695878176152</v>
      </c>
      <c r="C21" s="247">
        <f>IF(B21="","",B21)</f>
        <v>0.0969695878176152</v>
      </c>
      <c r="D21" s="247">
        <f>IF(C21="","",C21)</f>
        <v>0.0969695878176152</v>
      </c>
      <c r="E21" s="247">
        <f>IF(D21="","",D21)</f>
        <v>0.0969695878176152</v>
      </c>
      <c r="F21" s="247">
        <f>IF(E21="","",E21)</f>
        <v>0.0969695878176152</v>
      </c>
    </row>
    <row r="22" ht="15" customHeight="1">
      <c r="A22" t="inlineStr">
        <is>
          <t>Effective tax rate</t>
        </is>
      </c>
      <c r="B22" s="247">
        <f>IFERROR(AVERAGE(Model!AC123:AF123,Model!AH123:AI123),"")</f>
        <v>0.18378341225826</v>
      </c>
      <c r="C22" s="247">
        <f>IF(B22="","",B22)</f>
        <v>0.18378341225826</v>
      </c>
      <c r="D22" s="247">
        <f>IF(C22="","",C22)</f>
        <v>0.18378341225826</v>
      </c>
      <c r="E22" s="247">
        <f>IF(D22="","",D22)</f>
        <v>0.18378341225826</v>
      </c>
      <c r="F22" s="247">
        <f>IF(E22="","",E22)</f>
        <v>0.18378341225826</v>
      </c>
    </row>
    <row r="23" ht="15" customHeight="1">
      <c r="A23" t="inlineStr">
        <is>
          <t>Financial income / Revenue</t>
        </is>
      </c>
      <c r="B23" s="247">
        <f>IFERROR(AVERAGE(Model!AC114:AF114,Model!AH114:AI114)/AVERAGE(Model!AC15:AF15,Model!AH15:AI15),"")</f>
        <v>0.00787230764877687</v>
      </c>
      <c r="C23" s="247">
        <f>IF(B23="","",B23)</f>
        <v>0.00787230764877687</v>
      </c>
      <c r="D23" s="247">
        <f>IF(C23="","",C23)</f>
        <v>0.00787230764877687</v>
      </c>
      <c r="E23" s="247">
        <f>IF(D23="","",D23)</f>
        <v>0.00787230764877687</v>
      </c>
      <c r="F23" s="247">
        <f>IF(E23="","",E23)</f>
        <v>0.00787230764877687</v>
      </c>
    </row>
    <row r="24" ht="15" customHeight="1">
      <c r="A24" t="inlineStr">
        <is>
          <t>Capex / Revenue</t>
        </is>
      </c>
      <c r="B24" s="247">
        <f>IFERROR(-AVERAGE(Model!AC286:AF286,Model!AH286:AI286)/AVERAGE(Model!AC15:AF15,Model!AH15:AI15),"")</f>
        <v>0.425522750780471</v>
      </c>
      <c r="C24" s="247">
        <f>IF(B24="","",B24)</f>
        <v>0.425522750780471</v>
      </c>
      <c r="D24" s="247">
        <f>IF(C24="","",C24)</f>
        <v>0.425522750780471</v>
      </c>
      <c r="E24" s="247">
        <f>IF(D24="","",D24)</f>
        <v>0.425522750780471</v>
      </c>
      <c r="F24" s="247">
        <f>IF(E24="","",E24)</f>
        <v>0.425522750780471</v>
      </c>
    </row>
    <row r="25" ht="15" customHeight="1">
      <c r="A25" t="inlineStr">
        <is>
          <t>DSO</t>
        </is>
      </c>
      <c r="B25" s="249">
        <f>IFERROR(AVERAGE(Model!AC137:AF137,Model!AH137:AI137),0)</f>
        <v>30.7477774372664</v>
      </c>
      <c r="C25" s="249">
        <f>IF(B25="","",B25)</f>
        <v>30.7477774372664</v>
      </c>
      <c r="D25" s="249">
        <f>IF(C25="","",C25)</f>
        <v>30.7477774372664</v>
      </c>
      <c r="E25" s="249">
        <f>IF(D25="","",D25)</f>
        <v>30.7477774372664</v>
      </c>
      <c r="F25" s="249">
        <f>IF(E25="","",E25)</f>
        <v>30.7477774372664</v>
      </c>
    </row>
    <row r="26" ht="15" customHeight="1">
      <c r="A26" t="inlineStr">
        <is>
          <t>DIO</t>
        </is>
      </c>
      <c r="B26" s="249">
        <f>IFERROR(AVERAGE(Model!AC141:AF141,Model!AH141:AI141),0)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IFERROR(AVERAGE(Model!AC190:AF190,Model!AH190:AI190),0)</f>
        <v>101.532998371017</v>
      </c>
      <c r="C27" s="249">
        <f>IF(B27="","",B27)</f>
        <v>101.532998371017</v>
      </c>
      <c r="D27" s="249">
        <f>IF(C27="","",C27)</f>
        <v>101.532998371017</v>
      </c>
      <c r="E27" s="249">
        <f>IF(D27="","",D27)</f>
        <v>101.532998371017</v>
      </c>
      <c r="F27" s="249">
        <f>IF(E27="","",E27)</f>
        <v>101.532998371017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Meta Platforms Inc. (META, CIK 1326801) - fonte: SEC EDGAR XBRL (instâncias dos 10-Q/10-K). Moeda: USD. Brutos em USD unidades (fator 0,000001 -&gt; milhões). Colunas = trimestres-CALENDÁRIO (cada fechamento vai para o fim de trimestre mais próximo); an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2026-10-16T15:39:18Z</dcterms:modified>
  <cp:lastModifiedBy>Lucas Nascimento</cp:lastModifiedBy>
  <cp:revision>0</cp:revision>
</cp:coreProperties>
</file>